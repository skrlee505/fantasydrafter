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cd1b19182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ing" sheetId="1" r:id="R766780934bb0464f"/>
    <x:sheet xmlns:r="http://schemas.openxmlformats.org/officeDocument/2006/relationships" name="DraftSheet" sheetId="2" r:id="R2900120e70954596"/>
    <x:sheet xmlns:r="http://schemas.openxmlformats.org/officeDocument/2006/relationships" name="Aggregate" sheetId="3" r:id="R27c0de34c4eb42bb"/>
    <x:sheet xmlns:r="http://schemas.openxmlformats.org/officeDocument/2006/relationships" name="QB" sheetId="4" r:id="Rfecca96c61334dfe"/>
    <x:sheet xmlns:r="http://schemas.openxmlformats.org/officeDocument/2006/relationships" name="RB" sheetId="5" r:id="R83ef8148fce74598"/>
    <x:sheet xmlns:r="http://schemas.openxmlformats.org/officeDocument/2006/relationships" name="WR" sheetId="6" r:id="R2811a1e1f1cb4695"/>
    <x:sheet xmlns:r="http://schemas.openxmlformats.org/officeDocument/2006/relationships" name="TE" sheetId="7" r:id="Ra64998f2c435454f"/>
    <x:sheet xmlns:r="http://schemas.openxmlformats.org/officeDocument/2006/relationships" name="FLEX" sheetId="8" r:id="R4760d5d904124521"/>
    <x:sheet xmlns:r="http://schemas.openxmlformats.org/officeDocument/2006/relationships" name="ECR" sheetId="9" r:id="R4f98bbda86f84a21"/>
    <x:sheet xmlns:r="http://schemas.openxmlformats.org/officeDocument/2006/relationships" name="RISK" sheetId="10" r:id="R89c42b156e974a06"/>
    <x:sheet xmlns:r="http://schemas.openxmlformats.org/officeDocument/2006/relationships" name="Rookies" sheetId="11" r:id="R70d822bb9cfd4409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======
ID#AAACElJ2U8E
Unknown Author    (2026-07-31 20:47:31)
https://1drv.ms/x/c/51e1841f2161445f/EU_85uEzFv9Fuf7th7aQt4MBwIo5fQojs-6KpYJbxF0AoQ?e=ecU3iH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<x:sst xmlns:x="http://schemas.openxmlformats.org/spreadsheetml/2006/main">
  <x:si>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LEAGUE SETTINGS &amp; SCORING INPUTS</x:t>
  </x:si>
  <x:si>
    <x:t xml:space="preserve">INPUT YOUR LEAGUE SCORING HERE</x:t>
  </x:si>
  <x:si>
    <x:t xml:space="preserve">LEAGUE &amp; ROSTER SETTINGS</x:t>
  </x:si>
  <x:si>
    <x:t xml:space="preserve">Setting:</x:t>
  </x:si>
  <x:si>
    <x:t xml:space="preserve">Points:</x:t>
  </x:si>
  <x:si>
    <x:t xml:space="preserve">DESCRIPTION</x:t>
  </x:si>
  <x:si>
    <x:t xml:space="preserve">#TEAMS:</x:t>
  </x:si>
  <x:si>
    <x:t xml:space="preserve">QB:</x:t>
  </x:si>
  <x:si>
    <x:t xml:space="preserve">RB:</x:t>
  </x:si>
  <x:si>
    <x:t xml:space="preserve">WR:</x:t>
  </x:si>
  <x:si>
    <x:t xml:space="preserve">TE:</x:t>
  </x:si>
  <x:si>
    <x:t xml:space="preserve">FLEX:</x:t>
  </x:si>
  <x:si>
    <x:t xml:space="preserve">BENCH:</x:t>
  </x:si>
  <x:si>
    <x:t xml:space="preserve">SUPERFLEX:</x:t>
  </x:si>
  <x:si>
    <x:t xml:space="preserve">PASSING</x:t>
  </x:si>
  <x:si>
    <x:t xml:space="preserve">PassINCMP</x:t>
  </x:si>
  <x:si>
    <x:t xml:space="preserve">Points Per Pass Incompletion (Use a Negative, Default is 0)</x:t>
  </x:si>
  <x:si>
    <x:t xml:space="preserve">ADVANCED SETTINGS</x:t>
  </x:si>
  <x:si>
    <x:t xml:space="preserve">PassCMP</x:t>
  </x:si>
  <x:si>
    <x:t xml:space="preserve">Points Per Pass Completion (Default is 0)</x:t>
  </x:si>
  <x:si>
    <x:t xml:space="preserve">Snake/Auction</x:t>
  </x:si>
  <x:si>
    <x:t xml:space="preserve">ESTIMATED KEEPER SAVINGS</x:t>
  </x:si>
  <x:si>
    <x:t xml:space="preserve">PassYDS</x:t>
  </x:si>
  <x:si>
    <x:t xml:space="preserve">Passing Yards Per 1 Point (Default is 25)</x:t>
  </x:si>
  <x:si>
    <x:t xml:space="preserve">Budget:</x:t>
  </x:si>
  <x:si>
    <x:t xml:space="preserve">Est. Total Saved (Auction Keepers)</x:t>
  </x:si>
  <x:si>
    <x:t xml:space="preserve">PassTDs</x:t>
  </x:si>
  <x:si>
    <x:t xml:space="preserve">Points Per Passing Touchdown (Default is 4)</x:t>
  </x:si>
  <x:si>
    <x:t xml:space="preserve">INTS</x:t>
  </x:si>
  <x:si>
    <x:t xml:space="preserve">Points Per Interception (Use a Negative, Default is -2)</x:t>
  </x:si>
  <x:si>
    <x:t xml:space="preserve">SACKS</x:t>
  </x:si>
  <x:si>
    <x:t xml:space="preserve">Points Per Sack (Use a Negative, Default is 0)</x:t>
  </x:si>
  <x:si>
    <x:t xml:space="preserve">RUSHING</x:t>
  </x:si>
  <x:si>
    <x:t xml:space="preserve">RushATT</x:t>
  </x:si>
  <x:si>
    <x:t xml:space="preserve">Points Per Rush Attempt (Default is 0)</x:t>
  </x:si>
  <x:si>
    <x:t xml:space="preserve">RushYDS</x:t>
  </x:si>
  <x:si>
    <x:t xml:space="preserve">Rushing Yards Per 1 Point (Default is 10)</x:t>
  </x:si>
  <x:si>
    <x:t xml:space="preserve">RushTDS</x:t>
  </x:si>
  <x:si>
    <x:t xml:space="preserve">Points Per Rushing Touchdown (Default is 6)</x:t>
  </x:si>
  <x:si>
    <x:t xml:space="preserve">RECEIVING</x:t>
  </x:si>
  <x:si>
    <x:t xml:space="preserve">RB PPR</x:t>
  </x:si>
  <x:si>
    <x:t xml:space="preserve">RB Points Per Reception (Examples: 0 , .5 , 1)</x:t>
  </x:si>
  <x:si>
    <x:t xml:space="preserve">WR PPR</x:t>
  </x:si>
  <x:si>
    <x:t xml:space="preserve">WR Points Per Reception (Examples: 0 , .5 , 1)</x:t>
  </x:si>
  <x:si>
    <x:t xml:space="preserve">TE PPR</x:t>
  </x:si>
  <x:si>
    <x:t xml:space="preserve">TE Points Per Reception (Examples: 0 , .5 , 1)</x:t>
  </x:si>
  <x:si>
    <x:t xml:space="preserve">RecYDS</x:t>
  </x:si>
  <x:si>
    <x:t xml:space="preserve">Receiving Yards Per 1 Point (Default is 10)</x:t>
  </x:si>
  <x:si>
    <x:t xml:space="preserve">RecTDS</x:t>
  </x:si>
  <x:si>
    <x:t xml:space="preserve">Points Per Receiving Touchdown (Default is 6)</x:t>
  </x:si>
  <x:si>
    <x:t xml:space="preserve">OTHER:</x:t>
  </x:si>
  <x:si>
    <x:t xml:space="preserve">FL</x:t>
  </x:si>
  <x:si>
    <x:t xml:space="preserve">Points Per Fumble Lost (Use a Negative, Default is -2)</x:t>
  </x:si>
  <x:si>
    <x:t xml:space="preserve">Pass1D</x:t>
  </x:si>
  <x:si>
    <x:t xml:space="preserve">Points Per Passing 1st Down (Default is 0)</x:t>
  </x:si>
  <x:si>
    <x:t xml:space="preserve">Rush1D</x:t>
  </x:si>
  <x:si>
    <x:t xml:space="preserve">Points Per Rushing 1st Down (Default is 0)</x:t>
  </x:si>
  <x:si>
    <x:t xml:space="preserve">Rec1D</x:t>
  </x:si>
  <x:si>
    <x:t xml:space="preserve">Points Per Receiving 1st Down (Default is 0)</x:t>
  </x:si>
  <x:si>
    <x:t xml:space="preserve">🔒  CALCULATED VALUES BELOW — DO NOT EDIT (used internally for VBD/Auction math)</x:t>
  </x:si>
  <x:si>
    <x:t xml:space="preserve">QBs:</x:t>
  </x:si>
  <x:si>
    <x:t xml:space="preserve">POINTS</x:t>
  </x:si>
  <x:si>
    <x:t xml:space="preserve">RBs:</x:t>
  </x:si>
  <x:si>
    <x:t xml:space="preserve">PPR</x:t>
  </x:si>
  <x:si>
    <x:t xml:space="preserve">WRs:</x:t>
  </x:si>
  <x:si>
    <x:t xml:space="preserve">TEs:</x:t>
  </x:si>
  <x:si>
    <x:t xml:space="preserve">Baseline Calcs</x:t>
  </x:si>
  <x:si>
    <x:t xml:space="preserve">Roster</x:t>
  </x:si>
  <x:si>
    <x:t xml:space="preserve">Flex:</x:t>
  </x:si>
  <x:si>
    <x:t xml:space="preserve">Baselines: </x:t>
  </x:si>
  <x:si>
    <x:t xml:space="preserve">Total Dollars:</x:t>
  </x:si>
  <x:si>
    <x:t xml:space="preserve">Total Roster:</x:t>
  </x:si>
  <x:si>
    <x:t xml:space="preserve">Premium:</x:t>
  </x:si>
  <x:si>
    <x:t xml:space="preserve">Total VOR:</x:t>
  </x:si>
  <x:si>
    <x:t xml:space="preserve">Premium/VOR:</x:t>
  </x:si>
  <x:si>
    <x:t xml:space="preserve">PLAYER SEARCH</x:t>
  </x:si>
  <x:si>
    <x:t xml:space="preserve">TYPE NAME HERE:</x:t>
  </x:si>
  <x:si>
    <x:t xml:space="preserve">QUARTERBACK</x:t>
  </x:si>
  <x:si>
    <x:t xml:space="preserve">RUNNING BACK</x:t>
  </x:si>
  <x:si>
    <x:t xml:space="preserve">WIDE RECEIVER</x:t>
  </x:si>
  <x:si>
    <x:t xml:space="preserve">Position:</x:t>
  </x:si>
  <x:si>
    <x:t xml:space="preserve">TIER</x:t>
  </x:si>
  <x:si>
    <x:t xml:space="preserve">NAME</x:t>
  </x:si>
  <x:si>
    <x:t xml:space="preserve">TM/BYE</x:t>
  </x:si>
  <x:si>
    <x:t xml:space="preserve">PTS</x:t>
  </x:si>
  <x:si>
    <x:t xml:space="preserve">VALUE</x:t>
  </x:si>
  <x:si>
    <x:t xml:space="preserve">PS</x:t>
  </x:si>
  <x:si>
    <x:t xml:space="preserve">ECR</x:t>
  </x:si>
  <x:si>
    <x:t xml:space="preserve">DRAFT</x:t>
  </x:si>
  <x:si>
    <x:t xml:space="preserve">Tier:</x:t>
  </x:si>
  <x:si>
    <x:t xml:space="preserve">Name:</x:t>
  </x:si>
  <x:si>
    <x:t xml:space="preserve">TM/BYE:</x:t>
  </x:si>
  <x:si>
    <x:t xml:space="preserve">PTS:</x:t>
  </x:si>
  <x:si>
    <x:t xml:space="preserve">VALUE:</x:t>
  </x:si>
  <x:si>
    <x:t xml:space="preserve">PS:</x:t>
  </x:si>
  <x:si>
    <x:t xml:space="preserve">ECR:</x:t>
  </x:si>
  <x:si>
    <x:t xml:space="preserve">Drafted?:</x:t>
  </x:si>
  <x:si>
    <x:t xml:space="preserve">TIGHT END</x:t>
  </x:si>
  <x:si>
    <x:t xml:space="preserve">Baseline:</x:t>
  </x:si>
  <x:si>
    <x:t xml:space="preserve">PLAYER</x:t>
  </x:si>
  <x:si>
    <x:t xml:space="preserve">Team</x:t>
  </x:si>
  <x:si>
    <x:t xml:space="preserve">Bye</x:t>
  </x:si>
  <x:si>
    <x:t xml:space="preserve">Team/Bye</x:t>
  </x:si>
  <x:si>
    <x:t xml:space="preserve">LOW</x:t>
  </x:si>
  <x:si>
    <x:t xml:space="preserve">AVG</x:t>
  </x:si>
  <x:si>
    <x:t xml:space="preserve">HIGH</x:t>
  </x:si>
  <x:si>
    <x:t xml:space="preserve">Zscore Projection</x:t>
  </x:si>
  <x:si>
    <x:t xml:space="preserve">VBD</x:t>
  </x:si>
  <x:si>
    <x:t xml:space="preserve">Auc</x:t>
  </x:si>
  <x:si>
    <x:t xml:space="preserve">Tier</x:t>
  </x:si>
  <x:si>
    <x:t xml:space="preserve">Missed Games</x:t>
  </x:si>
  <x:si>
    <x:t xml:space="preserve">Auction</x:t>
  </x:si>
  <x:si>
    <x:t xml:space="preserve">V/R</x:t>
  </x:si>
  <x:si>
    <x:t xml:space="preserve">QBRank</x:t>
  </x:si>
  <x:si>
    <x:t xml:space="preserve">QBPts</x:t>
  </x:si>
  <x:si>
    <x:t xml:space="preserve">QB</x:t>
  </x:si>
  <x:si>
    <x:t xml:space="preserve">QBTier</x:t>
  </x:si>
  <x:si>
    <x:t xml:space="preserve">RBRank</x:t>
  </x:si>
  <x:si>
    <x:t xml:space="preserve">RBPts</x:t>
  </x:si>
  <x:si>
    <x:t xml:space="preserve">RB</x:t>
  </x:si>
  <x:si>
    <x:t xml:space="preserve">RB Tier</x:t>
  </x:si>
  <x:si>
    <x:t xml:space="preserve">WRRank</x:t>
  </x:si>
  <x:si>
    <x:t xml:space="preserve">WRPts</x:t>
  </x:si>
  <x:si>
    <x:t xml:space="preserve">WR</x:t>
  </x:si>
  <x:si>
    <x:t xml:space="preserve">WRTier</x:t>
  </x:si>
  <x:si>
    <x:t xml:space="preserve">TERank</x:t>
  </x:si>
  <x:si>
    <x:t xml:space="preserve">TEPts</x:t>
  </x:si>
  <x:si>
    <x:t xml:space="preserve">TE</x:t>
  </x:si>
  <x:si>
    <x:t xml:space="preserve">TETier</x:t>
  </x:si>
  <x:si>
    <x:t xml:space="preserve">QB1</x:t>
  </x:si>
  <x:si>
    <x:t xml:space="preserve">RB1</x:t>
  </x:si>
  <x:si>
    <x:t xml:space="preserve">WR1</x:t>
  </x:si>
  <x:si>
    <x:t xml:space="preserve">TE1</x:t>
  </x:si>
  <x:si>
    <x:t xml:space="preserve">QB2</x:t>
  </x:si>
  <x:si>
    <x:t xml:space="preserve">RB2</x:t>
  </x:si>
  <x:si>
    <x:t xml:space="preserve">WR2</x:t>
  </x:si>
  <x:si>
    <x:t xml:space="preserve">TE2</x:t>
  </x:si>
  <x:si>
    <x:t xml:space="preserve">QB3</x:t>
  </x:si>
  <x:si>
    <x:t xml:space="preserve">RB3</x:t>
  </x:si>
  <x:si>
    <x:t xml:space="preserve">WR3</x:t>
  </x:si>
  <x:si>
    <x:t xml:space="preserve">TE3</x:t>
  </x:si>
  <x:si>
    <x:t xml:space="preserve">QB4</x:t>
  </x:si>
  <x:si>
    <x:t xml:space="preserve">RB4</x:t>
  </x:si>
  <x:si>
    <x:t xml:space="preserve">WR4</x:t>
  </x:si>
  <x:si>
    <x:t xml:space="preserve">TE4</x:t>
  </x:si>
  <x:si>
    <x:t xml:space="preserve">QB5</x:t>
  </x:si>
  <x:si>
    <x:t xml:space="preserve">RB5</x:t>
  </x:si>
  <x:si>
    <x:t xml:space="preserve">WR5</x:t>
  </x:si>
  <x:si>
    <x:t xml:space="preserve">TE5</x:t>
  </x:si>
  <x:si>
    <x:t xml:space="preserve">QB6</x:t>
  </x:si>
  <x:si>
    <x:t xml:space="preserve">RB6</x:t>
  </x:si>
  <x:si>
    <x:t xml:space="preserve">WR6</x:t>
  </x:si>
  <x:si>
    <x:t xml:space="preserve">TE6</x:t>
  </x:si>
  <x:si>
    <x:t xml:space="preserve">QB7</x:t>
  </x:si>
  <x:si>
    <x:t xml:space="preserve">RB7</x:t>
  </x:si>
  <x:si>
    <x:t xml:space="preserve">WR7</x:t>
  </x:si>
  <x:si>
    <x:t xml:space="preserve">TE7</x:t>
  </x:si>
  <x:si>
    <x:t xml:space="preserve">QB8</x:t>
  </x:si>
  <x:si>
    <x:t xml:space="preserve">RB8</x:t>
  </x:si>
  <x:si>
    <x:t xml:space="preserve">WR8</x:t>
  </x:si>
  <x:si>
    <x:t xml:space="preserve">TE8</x:t>
  </x:si>
  <x:si>
    <x:t xml:space="preserve">QB9</x:t>
  </x:si>
  <x:si>
    <x:t xml:space="preserve">RB9</x:t>
  </x:si>
  <x:si>
    <x:t xml:space="preserve">WR9</x:t>
  </x:si>
  <x:si>
    <x:t xml:space="preserve">TE9</x:t>
  </x:si>
  <x:si>
    <x:t xml:space="preserve">QB10</x:t>
  </x:si>
  <x:si>
    <x:t xml:space="preserve">RB10</x:t>
  </x:si>
  <x:si>
    <x:t xml:space="preserve">WR10</x:t>
  </x:si>
  <x:si>
    <x:t xml:space="preserve">TE10</x:t>
  </x:si>
  <x:si>
    <x:t xml:space="preserve">QB11</x:t>
  </x:si>
  <x:si>
    <x:t xml:space="preserve">RB11</x:t>
  </x:si>
  <x:si>
    <x:t xml:space="preserve">WR11</x:t>
  </x:si>
  <x:si>
    <x:t xml:space="preserve">TE11</x:t>
  </x:si>
  <x:si>
    <x:t xml:space="preserve">QB12</x:t>
  </x:si>
  <x:si>
    <x:t xml:space="preserve">RB12</x:t>
  </x:si>
  <x:si>
    <x:t xml:space="preserve">WR12</x:t>
  </x:si>
  <x:si>
    <x:t xml:space="preserve">TE12</x:t>
  </x:si>
  <x:si>
    <x:t xml:space="preserve">QB13</x:t>
  </x:si>
  <x:si>
    <x:t xml:space="preserve">RB13</x:t>
  </x:si>
  <x:si>
    <x:t xml:space="preserve">WR13</x:t>
  </x:si>
  <x:si>
    <x:t xml:space="preserve">TE13</x:t>
  </x:si>
  <x:si>
    <x:t xml:space="preserve">QB14</x:t>
  </x:si>
  <x:si>
    <x:t xml:space="preserve">RB14</x:t>
  </x:si>
  <x:si>
    <x:t xml:space="preserve">WR14</x:t>
  </x:si>
  <x:si>
    <x:t xml:space="preserve">TE14</x:t>
  </x:si>
  <x:si>
    <x:t xml:space="preserve">QB15</x:t>
  </x:si>
  <x:si>
    <x:t xml:space="preserve">RB15</x:t>
  </x:si>
  <x:si>
    <x:t xml:space="preserve">WR15</x:t>
  </x:si>
  <x:si>
    <x:t xml:space="preserve">TE15</x:t>
  </x:si>
  <x:si>
    <x:t xml:space="preserve">QB16</x:t>
  </x:si>
  <x:si>
    <x:t xml:space="preserve">RB16</x:t>
  </x:si>
  <x:si>
    <x:t xml:space="preserve">WR16</x:t>
  </x:si>
  <x:si>
    <x:t xml:space="preserve">TE16</x:t>
  </x:si>
  <x:si>
    <x:t xml:space="preserve">QB17</x:t>
  </x:si>
  <x:si>
    <x:t xml:space="preserve">RB17</x:t>
  </x:si>
  <x:si>
    <x:t xml:space="preserve">WR17</x:t>
  </x:si>
  <x:si>
    <x:t xml:space="preserve">TE17</x:t>
  </x:si>
  <x:si>
    <x:t xml:space="preserve">QB18</x:t>
  </x:si>
  <x:si>
    <x:t xml:space="preserve">RB18</x:t>
  </x:si>
  <x:si>
    <x:t xml:space="preserve">WR18</x:t>
  </x:si>
  <x:si>
    <x:t xml:space="preserve">TE18</x:t>
  </x:si>
  <x:si>
    <x:t xml:space="preserve">QB19</x:t>
  </x:si>
  <x:si>
    <x:t xml:space="preserve">RB19</x:t>
  </x:si>
  <x:si>
    <x:t xml:space="preserve">WR19</x:t>
  </x:si>
  <x:si>
    <x:t xml:space="preserve">TE19</x:t>
  </x:si>
  <x:si>
    <x:t xml:space="preserve">QB20</x:t>
  </x:si>
  <x:si>
    <x:t xml:space="preserve">RB20</x:t>
  </x:si>
  <x:si>
    <x:t xml:space="preserve">WR20</x:t>
  </x:si>
  <x:si>
    <x:t xml:space="preserve">TE20</x:t>
  </x:si>
  <x:si>
    <x:t xml:space="preserve">QB21</x:t>
  </x:si>
  <x:si>
    <x:t xml:space="preserve">RB21</x:t>
  </x:si>
  <x:si>
    <x:t xml:space="preserve">WR21</x:t>
  </x:si>
  <x:si>
    <x:t xml:space="preserve">TE21</x:t>
  </x:si>
  <x:si>
    <x:t xml:space="preserve">QB22</x:t>
  </x:si>
  <x:si>
    <x:t xml:space="preserve">RB22</x:t>
  </x:si>
  <x:si>
    <x:t xml:space="preserve">WR22</x:t>
  </x:si>
  <x:si>
    <x:t xml:space="preserve">TE22</x:t>
  </x:si>
  <x:si>
    <x:t xml:space="preserve">QB23</x:t>
  </x:si>
  <x:si>
    <x:t xml:space="preserve">RB23</x:t>
  </x:si>
  <x:si>
    <x:t xml:space="preserve">WR23</x:t>
  </x:si>
  <x:si>
    <x:t xml:space="preserve">TE23</x:t>
  </x:si>
  <x:si>
    <x:t xml:space="preserve">QB24</x:t>
  </x:si>
  <x:si>
    <x:t xml:space="preserve">RB24</x:t>
  </x:si>
  <x:si>
    <x:t xml:space="preserve">WR24</x:t>
  </x:si>
  <x:si>
    <x:t xml:space="preserve">TE24</x:t>
  </x:si>
  <x:si>
    <x:t xml:space="preserve">QB25</x:t>
  </x:si>
  <x:si>
    <x:t xml:space="preserve">RB25</x:t>
  </x:si>
  <x:si>
    <x:t xml:space="preserve">WR25</x:t>
  </x:si>
  <x:si>
    <x:t xml:space="preserve">TE25</x:t>
  </x:si>
  <x:si>
    <x:t xml:space="preserve">QB26</x:t>
  </x:si>
  <x:si>
    <x:t xml:space="preserve">RB26</x:t>
  </x:si>
  <x:si>
    <x:t xml:space="preserve">WR26</x:t>
  </x:si>
  <x:si>
    <x:t xml:space="preserve">TE26</x:t>
  </x:si>
  <x:si>
    <x:t xml:space="preserve">QB27</x:t>
  </x:si>
  <x:si>
    <x:t xml:space="preserve">RB27</x:t>
  </x:si>
  <x:si>
    <x:t xml:space="preserve">WR27</x:t>
  </x:si>
  <x:si>
    <x:t xml:space="preserve">TE27</x:t>
  </x:si>
  <x:si>
    <x:t xml:space="preserve">QB28</x:t>
  </x:si>
  <x:si>
    <x:t xml:space="preserve">RB28</x:t>
  </x:si>
  <x:si>
    <x:t xml:space="preserve">WR28</x:t>
  </x:si>
  <x:si>
    <x:t xml:space="preserve">TE28</x:t>
  </x:si>
  <x:si>
    <x:t xml:space="preserve">QB29</x:t>
  </x:si>
  <x:si>
    <x:t xml:space="preserve">RB29</x:t>
  </x:si>
  <x:si>
    <x:t xml:space="preserve">WR29</x:t>
  </x:si>
  <x:si>
    <x:t xml:space="preserve">TE29</x:t>
  </x:si>
  <x:si>
    <x:t xml:space="preserve">QB30</x:t>
  </x:si>
  <x:si>
    <x:t xml:space="preserve">RB30</x:t>
  </x:si>
  <x:si>
    <x:t xml:space="preserve">WR30</x:t>
  </x:si>
  <x:si>
    <x:t xml:space="preserve">TE30</x:t>
  </x:si>
  <x:si>
    <x:t xml:space="preserve">QB31</x:t>
  </x:si>
  <x:si>
    <x:t xml:space="preserve">RB31</x:t>
  </x:si>
  <x:si>
    <x:t xml:space="preserve">WR31</x:t>
  </x:si>
  <x:si>
    <x:t xml:space="preserve">TE31</x:t>
  </x:si>
  <x:si>
    <x:t xml:space="preserve">QB32</x:t>
  </x:si>
  <x:si>
    <x:t xml:space="preserve">RB32</x:t>
  </x:si>
  <x:si>
    <x:t xml:space="preserve">WR32</x:t>
  </x:si>
  <x:si>
    <x:t xml:space="preserve">TE32</x:t>
  </x:si>
  <x:si>
    <x:t xml:space="preserve">QB33</x:t>
  </x:si>
  <x:si>
    <x:t xml:space="preserve">RB33</x:t>
  </x:si>
  <x:si>
    <x:t xml:space="preserve">WR33</x:t>
  </x:si>
  <x:si>
    <x:t xml:space="preserve">TE33</x:t>
  </x:si>
  <x:si>
    <x:t xml:space="preserve">QB34</x:t>
  </x:si>
  <x:si>
    <x:t xml:space="preserve">RB34</x:t>
  </x:si>
  <x:si>
    <x:t xml:space="preserve">WR34</x:t>
  </x:si>
  <x:si>
    <x:t xml:space="preserve">TE34</x:t>
  </x:si>
  <x:si>
    <x:t xml:space="preserve">QB35</x:t>
  </x:si>
  <x:si>
    <x:t xml:space="preserve">RB35</x:t>
  </x:si>
  <x:si>
    <x:t xml:space="preserve">WR35</x:t>
  </x:si>
  <x:si>
    <x:t xml:space="preserve">TE35</x:t>
  </x:si>
  <x:si>
    <x:t xml:space="preserve">QB36</x:t>
  </x:si>
  <x:si>
    <x:t xml:space="preserve">RB36</x:t>
  </x:si>
  <x:si>
    <x:t xml:space="preserve">WR36</x:t>
  </x:si>
  <x:si>
    <x:t xml:space="preserve">TE36</x:t>
  </x:si>
  <x:si>
    <x:t xml:space="preserve">QB37</x:t>
  </x:si>
  <x:si>
    <x:t xml:space="preserve">RB37</x:t>
  </x:si>
  <x:si>
    <x:t xml:space="preserve">WR37</x:t>
  </x:si>
  <x:si>
    <x:t xml:space="preserve">TE37</x:t>
  </x:si>
  <x:si>
    <x:t xml:space="preserve">QB38</x:t>
  </x:si>
  <x:si>
    <x:t xml:space="preserve">RB38</x:t>
  </x:si>
  <x:si>
    <x:t xml:space="preserve">WR38</x:t>
  </x:si>
  <x:si>
    <x:t xml:space="preserve">TE38</x:t>
  </x:si>
  <x:si>
    <x:t xml:space="preserve">QB39</x:t>
  </x:si>
  <x:si>
    <x:t xml:space="preserve">RB39</x:t>
  </x:si>
  <x:si>
    <x:t xml:space="preserve">WR39</x:t>
  </x:si>
  <x:si>
    <x:t xml:space="preserve">TE39</x:t>
  </x:si>
  <x:si>
    <x:t xml:space="preserve">QB40</x:t>
  </x:si>
  <x:si>
    <x:t xml:space="preserve">RB40</x:t>
  </x:si>
  <x:si>
    <x:t xml:space="preserve">WR40</x:t>
  </x:si>
  <x:si>
    <x:t xml:space="preserve">TE40</x:t>
  </x:si>
  <x:si>
    <x:t xml:space="preserve">QB41</x:t>
  </x:si>
  <x:si>
    <x:t xml:space="preserve">RB41</x:t>
  </x:si>
  <x:si>
    <x:t xml:space="preserve">WR41</x:t>
  </x:si>
  <x:si>
    <x:t xml:space="preserve">TE41</x:t>
  </x:si>
  <x:si>
    <x:t xml:space="preserve">QB42</x:t>
  </x:si>
  <x:si>
    <x:t xml:space="preserve">RB42</x:t>
  </x:si>
  <x:si>
    <x:t xml:space="preserve">WR42</x:t>
  </x:si>
  <x:si>
    <x:t xml:space="preserve">TE42</x:t>
  </x:si>
  <x:si>
    <x:t xml:space="preserve">QB43</x:t>
  </x:si>
  <x:si>
    <x:t xml:space="preserve">RB43</x:t>
  </x:si>
  <x:si>
    <x:t xml:space="preserve">WR43</x:t>
  </x:si>
  <x:si>
    <x:t xml:space="preserve">TE43</x:t>
  </x:si>
  <x:si>
    <x:t xml:space="preserve">QB44</x:t>
  </x:si>
  <x:si>
    <x:t xml:space="preserve">RB44</x:t>
  </x:si>
  <x:si>
    <x:t xml:space="preserve">WR44</x:t>
  </x:si>
  <x:si>
    <x:t xml:space="preserve">TE44</x:t>
  </x:si>
  <x:si>
    <x:t xml:space="preserve">QB45</x:t>
  </x:si>
  <x:si>
    <x:t xml:space="preserve">RB45</x:t>
  </x:si>
  <x:si>
    <x:t xml:space="preserve">WR45</x:t>
  </x:si>
  <x:si>
    <x:t xml:space="preserve">TE45</x:t>
  </x:si>
  <x:si>
    <x:t xml:space="preserve">QB46</x:t>
  </x:si>
  <x:si>
    <x:t xml:space="preserve">RB46</x:t>
  </x:si>
  <x:si>
    <x:t xml:space="preserve">WR46</x:t>
  </x:si>
  <x:si>
    <x:t xml:space="preserve">TE46</x:t>
  </x:si>
  <x:si>
    <x:t xml:space="preserve">QB47</x:t>
  </x:si>
  <x:si>
    <x:t xml:space="preserve">RB47</x:t>
  </x:si>
  <x:si>
    <x:t xml:space="preserve">WR47</x:t>
  </x:si>
  <x:si>
    <x:t xml:space="preserve">TE47</x:t>
  </x:si>
  <x:si>
    <x:t xml:space="preserve">QB48</x:t>
  </x:si>
  <x:si>
    <x:t xml:space="preserve">RB48</x:t>
  </x:si>
  <x:si>
    <x:t xml:space="preserve">WR48</x:t>
  </x:si>
  <x:si>
    <x:t xml:space="preserve">TE48</x:t>
  </x:si>
  <x:si>
    <x:t xml:space="preserve">RB49</x:t>
  </x:si>
  <x:si>
    <x:t xml:space="preserve">WR49</x:t>
  </x:si>
  <x:si>
    <x:t xml:space="preserve">TE49</x:t>
  </x:si>
  <x:si>
    <x:t xml:space="preserve">RB50</x:t>
  </x:si>
  <x:si>
    <x:t xml:space="preserve">WR50</x:t>
  </x:si>
  <x:si>
    <x:t xml:space="preserve">TE50</x:t>
  </x:si>
  <x:si>
    <x:t xml:space="preserve">RB51</x:t>
  </x:si>
  <x:si>
    <x:t xml:space="preserve">WR51</x:t>
  </x:si>
  <x:si>
    <x:t xml:space="preserve">TE51</x:t>
  </x:si>
  <x:si>
    <x:t xml:space="preserve">RB52</x:t>
  </x:si>
  <x:si>
    <x:t xml:space="preserve">WR52</x:t>
  </x:si>
  <x:si>
    <x:t xml:space="preserve">TE52</x:t>
  </x:si>
  <x:si>
    <x:t xml:space="preserve">RB53</x:t>
  </x:si>
  <x:si>
    <x:t xml:space="preserve">WR53</x:t>
  </x:si>
  <x:si>
    <x:t xml:space="preserve">TE53</x:t>
  </x:si>
  <x:si>
    <x:t xml:space="preserve">RB54</x:t>
  </x:si>
  <x:si>
    <x:t xml:space="preserve">WR54</x:t>
  </x:si>
  <x:si>
    <x:t xml:space="preserve">TE54</x:t>
  </x:si>
  <x:si>
    <x:t xml:space="preserve">RB55</x:t>
  </x:si>
  <x:si>
    <x:t xml:space="preserve">WR55</x:t>
  </x:si>
  <x:si>
    <x:t xml:space="preserve">TE55</x:t>
  </x:si>
  <x:si>
    <x:t xml:space="preserve">RB56</x:t>
  </x:si>
  <x:si>
    <x:t xml:space="preserve">WR56</x:t>
  </x:si>
  <x:si>
    <x:t xml:space="preserve">TE56</x:t>
  </x:si>
  <x:si>
    <x:t xml:space="preserve">RB57</x:t>
  </x:si>
  <x:si>
    <x:t xml:space="preserve">WR57</x:t>
  </x:si>
  <x:si>
    <x:t xml:space="preserve">TE57</x:t>
  </x:si>
  <x:si>
    <x:t xml:space="preserve">RB58</x:t>
  </x:si>
  <x:si>
    <x:t xml:space="preserve">WR58</x:t>
  </x:si>
  <x:si>
    <x:t xml:space="preserve">TE58</x:t>
  </x:si>
  <x:si>
    <x:t xml:space="preserve">RB59</x:t>
  </x:si>
  <x:si>
    <x:t xml:space="preserve">WR59</x:t>
  </x:si>
  <x:si>
    <x:t xml:space="preserve">TE59</x:t>
  </x:si>
  <x:si>
    <x:t xml:space="preserve">RB60</x:t>
  </x:si>
  <x:si>
    <x:t xml:space="preserve">WR60</x:t>
  </x:si>
  <x:si>
    <x:t xml:space="preserve">TE60</x:t>
  </x:si>
  <x:si>
    <x:t xml:space="preserve">RB61</x:t>
  </x:si>
  <x:si>
    <x:t xml:space="preserve">WR61</x:t>
  </x:si>
  <x:si>
    <x:t xml:space="preserve">TE61</x:t>
  </x:si>
  <x:si>
    <x:t xml:space="preserve">RB62</x:t>
  </x:si>
  <x:si>
    <x:t xml:space="preserve">WR62</x:t>
  </x:si>
  <x:si>
    <x:t xml:space="preserve">TE62</x:t>
  </x:si>
  <x:si>
    <x:t xml:space="preserve">RB63</x:t>
  </x:si>
  <x:si>
    <x:t xml:space="preserve">WR63</x:t>
  </x:si>
  <x:si>
    <x:t xml:space="preserve">TE63</x:t>
  </x:si>
  <x:si>
    <x:t xml:space="preserve">RB64</x:t>
  </x:si>
  <x:si>
    <x:t xml:space="preserve">WR64</x:t>
  </x:si>
  <x:si>
    <x:t xml:space="preserve">TE64</x:t>
  </x:si>
  <x:si>
    <x:t xml:space="preserve">RB65</x:t>
  </x:si>
  <x:si>
    <x:t xml:space="preserve">WR65</x:t>
  </x:si>
  <x:si>
    <x:t xml:space="preserve">TE65</x:t>
  </x:si>
  <x:si>
    <x:t xml:space="preserve">RB66</x:t>
  </x:si>
  <x:si>
    <x:t xml:space="preserve">WR66</x:t>
  </x:si>
  <x:si>
    <x:t xml:space="preserve">TE66</x:t>
  </x:si>
  <x:si>
    <x:t xml:space="preserve">RB67</x:t>
  </x:si>
  <x:si>
    <x:t xml:space="preserve">WR67</x:t>
  </x:si>
  <x:si>
    <x:t xml:space="preserve">TE67</x:t>
  </x:si>
  <x:si>
    <x:t xml:space="preserve">RB68</x:t>
  </x:si>
  <x:si>
    <x:t xml:space="preserve">WR68</x:t>
  </x:si>
  <x:si>
    <x:t xml:space="preserve">TE68</x:t>
  </x:si>
  <x:si>
    <x:t xml:space="preserve">RB69</x:t>
  </x:si>
  <x:si>
    <x:t xml:space="preserve">WR69</x:t>
  </x:si>
  <x:si>
    <x:t xml:space="preserve">TE69</x:t>
  </x:si>
  <x:si>
    <x:t xml:space="preserve">RB70</x:t>
  </x:si>
  <x:si>
    <x:t xml:space="preserve">WR70</x:t>
  </x:si>
  <x:si>
    <x:t xml:space="preserve">TE70</x:t>
  </x:si>
  <x:si>
    <x:t xml:space="preserve">RB71</x:t>
  </x:si>
  <x:si>
    <x:t xml:space="preserve">WR71</x:t>
  </x:si>
  <x:si>
    <x:t xml:space="preserve">TE71</x:t>
  </x:si>
  <x:si>
    <x:t xml:space="preserve">RB72</x:t>
  </x:si>
  <x:si>
    <x:t xml:space="preserve">WR72</x:t>
  </x:si>
  <x:si>
    <x:t xml:space="preserve">TE72</x:t>
  </x:si>
  <x:si>
    <x:t xml:space="preserve">RB73</x:t>
  </x:si>
  <x:si>
    <x:t xml:space="preserve">WR73</x:t>
  </x:si>
  <x:si>
    <x:t xml:space="preserve">TE73</x:t>
  </x:si>
  <x:si>
    <x:t xml:space="preserve">RB74</x:t>
  </x:si>
  <x:si>
    <x:t xml:space="preserve">WR74</x:t>
  </x:si>
  <x:si>
    <x:t xml:space="preserve">TE74</x:t>
  </x:si>
  <x:si>
    <x:t xml:space="preserve">RB75</x:t>
  </x:si>
  <x:si>
    <x:t xml:space="preserve">WR75</x:t>
  </x:si>
  <x:si>
    <x:t xml:space="preserve">TE75</x:t>
  </x:si>
  <x:si>
    <x:t xml:space="preserve">RB76</x:t>
  </x:si>
  <x:si>
    <x:t xml:space="preserve">WR76</x:t>
  </x:si>
  <x:si>
    <x:t xml:space="preserve">TE76</x:t>
  </x:si>
  <x:si>
    <x:t xml:space="preserve">RB77</x:t>
  </x:si>
  <x:si>
    <x:t xml:space="preserve">WR77</x:t>
  </x:si>
  <x:si>
    <x:t xml:space="preserve">TE77</x:t>
  </x:si>
  <x:si>
    <x:t xml:space="preserve">RB78</x:t>
  </x:si>
  <x:si>
    <x:t xml:space="preserve">WR78</x:t>
  </x:si>
  <x:si>
    <x:t xml:space="preserve">TE78</x:t>
  </x:si>
  <x:si>
    <x:t xml:space="preserve">RB79</x:t>
  </x:si>
  <x:si>
    <x:t xml:space="preserve">WR79</x:t>
  </x:si>
  <x:si>
    <x:t xml:space="preserve">TE79</x:t>
  </x:si>
  <x:si>
    <x:t xml:space="preserve">RB80</x:t>
  </x:si>
  <x:si>
    <x:t xml:space="preserve">WR80</x:t>
  </x:si>
  <x:si>
    <x:t xml:space="preserve">TE80</x:t>
  </x:si>
  <x:si>
    <x:t xml:space="preserve">RB81</x:t>
  </x:si>
  <x:si>
    <x:t xml:space="preserve">WR81</x:t>
  </x:si>
  <x:si>
    <x:t xml:space="preserve">TE81</x:t>
  </x:si>
  <x:si>
    <x:t xml:space="preserve">RB82</x:t>
  </x:si>
  <x:si>
    <x:t xml:space="preserve">WR82</x:t>
  </x:si>
  <x:si>
    <x:t xml:space="preserve">TE82</x:t>
  </x:si>
  <x:si>
    <x:t xml:space="preserve">RB83</x:t>
  </x:si>
  <x:si>
    <x:t xml:space="preserve">WR83</x:t>
  </x:si>
  <x:si>
    <x:t xml:space="preserve">TE83</x:t>
  </x:si>
  <x:si>
    <x:t xml:space="preserve">RB84</x:t>
  </x:si>
  <x:si>
    <x:t xml:space="preserve">WR84</x:t>
  </x:si>
  <x:si>
    <x:t xml:space="preserve">TE84</x:t>
  </x:si>
  <x:si>
    <x:t xml:space="preserve">RB85</x:t>
  </x:si>
  <x:si>
    <x:t xml:space="preserve">WR85</x:t>
  </x:si>
  <x:si>
    <x:t xml:space="preserve">TE85</x:t>
  </x:si>
  <x:si>
    <x:t xml:space="preserve">RB86</x:t>
  </x:si>
  <x:si>
    <x:t xml:space="preserve">WR86</x:t>
  </x:si>
  <x:si>
    <x:t xml:space="preserve">TE86</x:t>
  </x:si>
  <x:si>
    <x:t xml:space="preserve">RB87</x:t>
  </x:si>
  <x:si>
    <x:t xml:space="preserve">WR87</x:t>
  </x:si>
  <x:si>
    <x:t xml:space="preserve">TE87</x:t>
  </x:si>
  <x:si>
    <x:t xml:space="preserve">RB88</x:t>
  </x:si>
  <x:si>
    <x:t xml:space="preserve">WR88</x:t>
  </x:si>
  <x:si>
    <x:t xml:space="preserve">TE88</x:t>
  </x:si>
  <x:si>
    <x:t xml:space="preserve">RB89</x:t>
  </x:si>
  <x:si>
    <x:t xml:space="preserve">WR89</x:t>
  </x:si>
  <x:si>
    <x:t xml:space="preserve">TE89</x:t>
  </x:si>
  <x:si>
    <x:t xml:space="preserve">RB90</x:t>
  </x:si>
  <x:si>
    <x:t xml:space="preserve">WR90</x:t>
  </x:si>
  <x:si>
    <x:t xml:space="preserve">TE90</x:t>
  </x:si>
  <x:si>
    <x:t xml:space="preserve">RB91</x:t>
  </x:si>
  <x:si>
    <x:t xml:space="preserve">WR91</x:t>
  </x:si>
  <x:si>
    <x:t xml:space="preserve">TE91</x:t>
  </x:si>
  <x:si>
    <x:t xml:space="preserve">RB92</x:t>
  </x:si>
  <x:si>
    <x:t xml:space="preserve">WR92</x:t>
  </x:si>
  <x:si>
    <x:t xml:space="preserve">TE92</x:t>
  </x:si>
  <x:si>
    <x:t xml:space="preserve">RB93</x:t>
  </x:si>
  <x:si>
    <x:t xml:space="preserve">WR93</x:t>
  </x:si>
  <x:si>
    <x:t xml:space="preserve">TE93</x:t>
  </x:si>
  <x:si>
    <x:t xml:space="preserve">RB94</x:t>
  </x:si>
  <x:si>
    <x:t xml:space="preserve">WR94</x:t>
  </x:si>
  <x:si>
    <x:t xml:space="preserve">TE94</x:t>
  </x:si>
  <x:si>
    <x:t xml:space="preserve">RB95</x:t>
  </x:si>
  <x:si>
    <x:t xml:space="preserve">WR95</x:t>
  </x:si>
  <x:si>
    <x:t xml:space="preserve">TE95</x:t>
  </x:si>
  <x:si>
    <x:t xml:space="preserve">RB96</x:t>
  </x:si>
  <x:si>
    <x:t xml:space="preserve">WR96</x:t>
  </x:si>
  <x:si>
    <x:t xml:space="preserve">TE96</x:t>
  </x:si>
  <x:si>
    <x:t xml:space="preserve">RB97</x:t>
  </x:si>
  <x:si>
    <x:t xml:space="preserve">WR97</x:t>
  </x:si>
  <x:si>
    <x:t xml:space="preserve">TE97</x:t>
  </x:si>
  <x:si>
    <x:t xml:space="preserve">RB98</x:t>
  </x:si>
  <x:si>
    <x:t xml:space="preserve">WR98</x:t>
  </x:si>
  <x:si>
    <x:t xml:space="preserve">TE98</x:t>
  </x:si>
  <x:si>
    <x:t xml:space="preserve">RB99</x:t>
  </x:si>
  <x:si>
    <x:t xml:space="preserve">WR99</x:t>
  </x:si>
  <x:si>
    <x:t xml:space="preserve">TE99</x:t>
  </x:si>
  <x:si>
    <x:t xml:space="preserve">RB100</x:t>
  </x:si>
  <x:si>
    <x:t xml:space="preserve">WR100</x:t>
  </x:si>
  <x:si>
    <x:t xml:space="preserve">TE100</x:t>
  </x:si>
  <x:si>
    <x:t xml:space="preserve">Player</x:t>
  </x:si>
  <x:si>
    <x:t xml:space="preserve">ATT</x:t>
  </x:si>
  <x:si>
    <x:t xml:space="preserve">CMP</x:t>
  </x:si>
  <x:si>
    <x:t xml:space="preserve">YDS</x:t>
  </x:si>
  <x:si>
    <x:t xml:space="preserve">TDS</x:t>
  </x:si>
  <x:si>
    <x:t xml:space="preserve">FPTS</x:t>
  </x:si>
  <x:si>
    <x:t xml:space="preserve">Pa1D</x:t>
  </x:si>
  <x:si>
    <x:t xml:space="preserve">Ru1D</x:t>
  </x:si>
  <x:si>
    <x:t xml:space="preserve">Â </x:t>
  </x:si>
  <x:si>
    <x:t xml:space="preserve">Josh Allen</x:t>
  </x:si>
  <x:si>
    <x:t xml:space="preserve">BUF</x:t>
  </x:si>
  <x:si>
    <x:t xml:space="preserve">high</x:t>
  </x:si>
  <x:si>
    <x:t xml:space="preserve">low</x:t>
  </x:si>
  <x:si>
    <x:t xml:space="preserve">Lamar Jackson</x:t>
  </x:si>
  <x:si>
    <x:t xml:space="preserve">BAL</x:t>
  </x:si>
  <x:si>
    <x:t xml:space="preserve">Drake Maye</x:t>
  </x:si>
  <x:si>
    <x:t xml:space="preserve">NE</x:t>
  </x:si>
  <x:si>
    <x:t xml:space="preserve">Jayden Daniels</x:t>
  </x:si>
  <x:si>
    <x:t xml:space="preserve">WAS</x:t>
  </x:si>
  <x:si>
    <x:t xml:space="preserve">Jalen Hurts</x:t>
  </x:si>
  <x:si>
    <x:t xml:space="preserve">PHI</x:t>
  </x:si>
  <x:si>
    <x:t xml:space="preserve">Joe Burrow</x:t>
  </x:si>
  <x:si>
    <x:t xml:space="preserve">CIN</x:t>
  </x:si>
  <x:si>
    <x:t xml:space="preserve">Jaxson Dart</x:t>
  </x:si>
  <x:si>
    <x:t xml:space="preserve">NYG</x:t>
  </x:si>
  <x:si>
    <x:t xml:space="preserve">Brock Purdy</x:t>
  </x:si>
  <x:si>
    <x:t xml:space="preserve">SF</x:t>
  </x:si>
  <x:si>
    <x:t xml:space="preserve">Trevor Lawrence</x:t>
  </x:si>
  <x:si>
    <x:t xml:space="preserve">JAC</x:t>
  </x:si>
  <x:si>
    <x:t xml:space="preserve">Dak Prescott</x:t>
  </x:si>
  <x:si>
    <x:t xml:space="preserve">DAL</x:t>
  </x:si>
  <x:si>
    <x:t xml:space="preserve">Patrick Mahomes II</x:t>
  </x:si>
  <x:si>
    <x:t xml:space="preserve">KC</x:t>
  </x:si>
  <x:si>
    <x:t xml:space="preserve">Caleb Williams</x:t>
  </x:si>
  <x:si>
    <x:t xml:space="preserve">CHI</x:t>
  </x:si>
  <x:si>
    <x:t xml:space="preserve">Justin Herbert</x:t>
  </x:si>
  <x:si>
    <x:t xml:space="preserve">LAC</x:t>
  </x:si>
  <x:si>
    <x:t xml:space="preserve">Bo Nix</x:t>
  </x:si>
  <x:si>
    <x:t xml:space="preserve">DEN</x:t>
  </x:si>
  <x:si>
    <x:t xml:space="preserve">Matthew Stafford</x:t>
  </x:si>
  <x:si>
    <x:t xml:space="preserve">LAR</x:t>
  </x:si>
  <x:si>
    <x:t xml:space="preserve">Jared Goff</x:t>
  </x:si>
  <x:si>
    <x:t xml:space="preserve">DET</x:t>
  </x:si>
  <x:si>
    <x:t xml:space="preserve">Tyler Shough</x:t>
  </x:si>
  <x:si>
    <x:t xml:space="preserve">NO</x:t>
  </x:si>
  <x:si>
    <x:t xml:space="preserve">Baker Mayfield</x:t>
  </x:si>
  <x:si>
    <x:t xml:space="preserve">TB</x:t>
  </x:si>
  <x:si>
    <x:t xml:space="preserve">Kyler Murray</x:t>
  </x:si>
  <x:si>
    <x:t xml:space="preserve">MIN</x:t>
  </x:si>
  <x:si>
    <x:t xml:space="preserve">Daniel Jones</x:t>
  </x:si>
  <x:si>
    <x:t xml:space="preserve">IND</x:t>
  </x:si>
  <x:si>
    <x:t xml:space="preserve">Malik Willis</x:t>
  </x:si>
  <x:si>
    <x:t xml:space="preserve">MIA</x:t>
  </x:si>
  <x:si>
    <x:t xml:space="preserve">Jordan Love</x:t>
  </x:si>
  <x:si>
    <x:t xml:space="preserve">GB</x:t>
  </x:si>
  <x:si>
    <x:t xml:space="preserve">Sam Darnold</x:t>
  </x:si>
  <x:si>
    <x:t xml:space="preserve">SEA</x:t>
  </x:si>
  <x:si>
    <x:t xml:space="preserve">C.J. Stroud</x:t>
  </x:si>
  <x:si>
    <x:t xml:space="preserve">HOU</x:t>
  </x:si>
  <x:si>
    <x:t xml:space="preserve">Bryce Young</x:t>
  </x:si>
  <x:si>
    <x:t xml:space="preserve">CAR</x:t>
  </x:si>
  <x:si>
    <x:t xml:space="preserve">Geno Smith</x:t>
  </x:si>
  <x:si>
    <x:t xml:space="preserve">NYJ</x:t>
  </x:si>
  <x:si>
    <x:t xml:space="preserve">Cam Ward</x:t>
  </x:si>
  <x:si>
    <x:t xml:space="preserve">TEN</x:t>
  </x:si>
  <x:si>
    <x:t xml:space="preserve">Jacoby Brissett</x:t>
  </x:si>
  <x:si>
    <x:t xml:space="preserve">ARI</x:t>
  </x:si>
  <x:si>
    <x:t xml:space="preserve">Aaron Rodgers</x:t>
  </x:si>
  <x:si>
    <x:t xml:space="preserve">PIT</x:t>
  </x:si>
  <x:si>
    <x:t xml:space="preserve">Fernando Mendoza</x:t>
  </x:si>
  <x:si>
    <x:t xml:space="preserve">LV</x:t>
  </x:si>
  <x:si>
    <x:t xml:space="preserve">Deshaun Watson</x:t>
  </x:si>
  <x:si>
    <x:t xml:space="preserve">CLE</x:t>
  </x:si>
  <x:si>
    <x:t xml:space="preserve">Tua Tagovailoa</x:t>
  </x:si>
  <x:si>
    <x:t xml:space="preserve">ATL</x:t>
  </x:si>
  <x:si>
    <x:t xml:space="preserve">Michael Penix Jr.</x:t>
  </x:si>
  <x:si>
    <x:t xml:space="preserve">Shedeur Sanders</x:t>
  </x:si>
  <x:si>
    <x:t xml:space="preserve">Kirk Cousins</x:t>
  </x:si>
  <x:si>
    <x:t xml:space="preserve">Ty Simpson</x:t>
  </x:si>
  <x:si>
    <x:t xml:space="preserve">Carson Beck</x:t>
  </x:si>
  <x:si>
    <x:t xml:space="preserve">J.J. McCarthy</x:t>
  </x:si>
  <x:si>
    <x:t xml:space="preserve">Marcus Mariota</x:t>
  </x:si>
  <x:si>
    <x:t xml:space="preserve">Riley Leonard</x:t>
  </x:si>
  <x:si>
    <x:t xml:space="preserve">Justin Fields</x:t>
  </x:si>
  <x:si>
    <x:t xml:space="preserve">Shane Buechele</x:t>
  </x:si>
  <x:si>
    <x:t xml:space="preserve">Jameis Winston</x:t>
  </x:si>
  <x:si>
    <x:t xml:space="preserve">Quinn Ewers</x:t>
  </x:si>
  <x:si>
    <x:t xml:space="preserve">Tyson Bagent</x:t>
  </x:si>
  <x:si>
    <x:t xml:space="preserve">Will Levis</x:t>
  </x:si>
  <x:si>
    <x:t xml:space="preserve">Jake Browning</x:t>
  </x:si>
  <x:si>
    <x:t xml:space="preserve">Jarrett Stidham</x:t>
  </x:si>
  <x:si>
    <x:t xml:space="preserve">Davis Mills</x:t>
  </x:si>
  <x:si>
    <x:t xml:space="preserve">Tyrod Taylor</x:t>
  </x:si>
  <x:si>
    <x:t xml:space="preserve">Joshua Dobbs</x:t>
  </x:si>
  <x:si>
    <x:t xml:space="preserve">Tommy DeVito</x:t>
  </x:si>
  <x:si>
    <x:t xml:space="preserve">Tyler Huntley</x:t>
  </x:si>
  <x:si>
    <x:t xml:space="preserve">Mac Jones</x:t>
  </x:si>
  <x:si>
    <x:t xml:space="preserve">Trey Lance</x:t>
  </x:si>
  <x:si>
    <x:t xml:space="preserve">Anthony Richardson Sr.</x:t>
  </x:si>
  <x:si>
    <x:t xml:space="preserve">Joe Flacco</x:t>
  </x:si>
  <x:si>
    <x:t xml:space="preserve">Tanner McKee</x:t>
  </x:si>
  <x:si>
    <x:t xml:space="preserve">Kenny Pickett</x:t>
  </x:si>
  <x:si>
    <x:t xml:space="preserve">Spencer Rattler</x:t>
  </x:si>
  <x:si>
    <x:t xml:space="preserve">Sam Howell</x:t>
  </x:si>
  <x:si>
    <x:t xml:space="preserve">Drew Lock</x:t>
  </x:si>
  <x:si>
    <x:t xml:space="preserve">Andy Dalton</x:t>
  </x:si>
  <x:si>
    <x:t xml:space="preserve">Nick Mullens</x:t>
  </x:si>
  <x:si>
    <x:t xml:space="preserve">Chris Oladokun</x:t>
  </x:si>
  <x:si>
    <x:t xml:space="preserve">Gardner Minshew II</x:t>
  </x:si>
  <x:si>
    <x:t xml:space="preserve">Behren Morton</x:t>
  </x:si>
  <x:si>
    <x:t xml:space="preserve">Cade Klubnik</x:t>
  </x:si>
  <x:si>
    <x:t xml:space="preserve">Drew Allar</x:t>
  </x:si>
  <x:si>
    <x:t xml:space="preserve">Adrian Martinez</x:t>
  </x:si>
  <x:si>
    <x:t xml:space="preserve">Garrett Nussmeier</x:t>
  </x:si>
  <x:si>
    <x:t xml:space="preserve">Cole Payton</x:t>
  </x:si>
  <x:si>
    <x:t xml:space="preserve">Jalen Milroe</x:t>
  </x:si>
  <x:si>
    <x:t xml:space="preserve">Kyle Allen</x:t>
  </x:si>
  <x:si>
    <x:t xml:space="preserve">Mitchell Trubisky</x:t>
  </x:si>
  <x:si>
    <x:t xml:space="preserve">Joe Milton III</x:t>
  </x:si>
  <x:si>
    <x:t xml:space="preserve">Will Howard</x:t>
  </x:si>
  <x:si>
    <x:t xml:space="preserve">Mason Rudolph</x:t>
  </x:si>
  <x:si>
    <x:t xml:space="preserve">Brady Cook</x:t>
  </x:si>
  <x:si>
    <x:t xml:space="preserve">Josh Johnson</x:t>
  </x:si>
  <x:si>
    <x:t xml:space="preserve">Stetson Bennett IV</x:t>
  </x:si>
  <x:si>
    <x:t xml:space="preserve">Aidan O'Connell</x:t>
  </x:si>
  <x:si>
    <x:t xml:space="preserve">REC</x:t>
  </x:si>
  <x:si>
    <x:t xml:space="preserve">Jahmyr Gibbs</x:t>
  </x:si>
  <x:si>
    <x:t xml:space="preserve">Bijan Robinson</x:t>
  </x:si>
  <x:si>
    <x:t xml:space="preserve">Christian McCaffrey</x:t>
  </x:si>
  <x:si>
    <x:t xml:space="preserve">Jonathan Taylor</x:t>
  </x:si>
  <x:si>
    <x:t xml:space="preserve">De'Von Achane</x:t>
  </x:si>
  <x:si>
    <x:t xml:space="preserve">Chase Brown</x:t>
  </x:si>
  <x:si>
    <x:t xml:space="preserve">Derrick Henry</x:t>
  </x:si>
  <x:si>
    <x:t xml:space="preserve">James Cook III</x:t>
  </x:si>
  <x:si>
    <x:t xml:space="preserve">Saquon Barkley</x:t>
  </x:si>
  <x:si>
    <x:t xml:space="preserve">Ashton Jeanty</x:t>
  </x:si>
  <x:si>
    <x:t xml:space="preserve">Kenneth Walker III</x:t>
  </x:si>
  <x:si>
    <x:t xml:space="preserve">Jeremiyah Love</x:t>
  </x:si>
  <x:si>
    <x:t xml:space="preserve">Omarion Hampton</x:t>
  </x:si>
  <x:si>
    <x:t xml:space="preserve">Josh Jacobs</x:t>
  </x:si>
  <x:si>
    <x:t xml:space="preserve">Breece Hall</x:t>
  </x:si>
  <x:si>
    <x:t xml:space="preserve">Kyren Williams</x:t>
  </x:si>
  <x:si>
    <x:t xml:space="preserve">Travis Etienne Jr.</x:t>
  </x:si>
  <x:si>
    <x:t xml:space="preserve">Cam Skattebo</x:t>
  </x:si>
  <x:si>
    <x:t xml:space="preserve">Javonte Williams</x:t>
  </x:si>
  <x:si>
    <x:t xml:space="preserve">Bucky Irving</x:t>
  </x:si>
  <x:si>
    <x:t xml:space="preserve">D'Andre Swift</x:t>
  </x:si>
  <x:si>
    <x:t xml:space="preserve">Quinshon Judkins</x:t>
  </x:si>
  <x:si>
    <x:t xml:space="preserve">Bhayshul Tuten</x:t>
  </x:si>
  <x:si>
    <x:t xml:space="preserve">David Montgomery</x:t>
  </x:si>
  <x:si>
    <x:t xml:space="preserve">Jaylen Warren</x:t>
  </x:si>
  <x:si>
    <x:t xml:space="preserve">TreVeyon Henderson</x:t>
  </x:si>
  <x:si>
    <x:t xml:space="preserve">Rhamondre Stevenson</x:t>
  </x:si>
  <x:si>
    <x:t xml:space="preserve">Jadarian Price</x:t>
  </x:si>
  <x:si>
    <x:t xml:space="preserve">Tony Pollard</x:t>
  </x:si>
  <x:si>
    <x:t xml:space="preserve">Rico Dowdle</x:t>
  </x:si>
  <x:si>
    <x:t xml:space="preserve">J.K. Dobbins</x:t>
  </x:si>
  <x:si>
    <x:t xml:space="preserve">Chuba Hubbard</x:t>
  </x:si>
  <x:si>
    <x:t xml:space="preserve">Kenny Gainwell</x:t>
  </x:si>
  <x:si>
    <x:t xml:space="preserve">Jonathon Brooks</x:t>
  </x:si>
  <x:si>
    <x:t xml:space="preserve">RJ Harvey</x:t>
  </x:si>
  <x:si>
    <x:t xml:space="preserve">Rachaad White</x:t>
  </x:si>
  <x:si>
    <x:t xml:space="preserve">Aaron Jones Sr.</x:t>
  </x:si>
  <x:si>
    <x:t xml:space="preserve">Kyle Monangai</x:t>
  </x:si>
  <x:si>
    <x:t xml:space="preserve">Jacory Croskey-Merritt</x:t>
  </x:si>
  <x:si>
    <x:t xml:space="preserve">Jordan Mason</x:t>
  </x:si>
  <x:si>
    <x:t xml:space="preserve">Blake Corum</x:t>
  </x:si>
  <x:si>
    <x:t xml:space="preserve">Tyjae Spears</x:t>
  </x:si>
  <x:si>
    <x:t xml:space="preserve">Woody Marks</x:t>
  </x:si>
  <x:si>
    <x:t xml:space="preserve">Zach Charbonnet</x:t>
  </x:si>
  <x:si>
    <x:t xml:space="preserve">Alvin Kamara</x:t>
  </x:si>
  <x:si>
    <x:t xml:space="preserve">Isiah Pacheco</x:t>
  </x:si>
  <x:si>
    <x:t xml:space="preserve">Justice Hill</x:t>
  </x:si>
  <x:si>
    <x:t xml:space="preserve">Dylan Sampson</x:t>
  </x:si>
  <x:si>
    <x:t xml:space="preserve">Tyrone Tracy Jr.</x:t>
  </x:si>
  <x:si>
    <x:t xml:space="preserve">Mike Washington Jr.</x:t>
  </x:si>
  <x:si>
    <x:t xml:space="preserve">AJ Dillon</x:t>
  </x:si>
  <x:si>
    <x:t xml:space="preserve">Tyler Allgeier</x:t>
  </x:si>
  <x:si>
    <x:t xml:space="preserve">Braelon Allen</x:t>
  </x:si>
  <x:si>
    <x:t xml:space="preserve">Samaje Perine</x:t>
  </x:si>
  <x:si>
    <x:t xml:space="preserve">Chris Rodriguez Jr.</x:t>
  </x:si>
  <x:si>
    <x:t xml:space="preserve">Ty Johnson</x:t>
  </x:si>
  <x:si>
    <x:t xml:space="preserve">Kaelon Black</x:t>
  </x:si>
  <x:si>
    <x:t xml:space="preserve">Brian Robinson Jr.</x:t>
  </x:si>
  <x:si>
    <x:t xml:space="preserve">Keaton Mitchell</x:t>
  </x:si>
  <x:si>
    <x:t xml:space="preserve">Emari Demercado</x:t>
  </x:si>
  <x:si>
    <x:t xml:space="preserve">Tank Bigsby</x:t>
  </x:si>
  <x:si>
    <x:t xml:space="preserve">Jordan James</x:t>
  </x:si>
  <x:si>
    <x:t xml:space="preserve">Jonah Coleman</x:t>
  </x:si>
  <x:si>
    <x:t xml:space="preserve">Adam Randall</x:t>
  </x:si>
  <x:si>
    <x:t xml:space="preserve">Chris Brooks</x:t>
  </x:si>
  <x:si>
    <x:t xml:space="preserve">James Conner</x:t>
  </x:si>
  <x:si>
    <x:t xml:space="preserve">Najee Harris</x:t>
  </x:si>
  <x:si>
    <x:t xml:space="preserve">Kimani Vidal</x:t>
  </x:si>
  <x:si>
    <x:t xml:space="preserve">Kyle Juszczyk</x:t>
  </x:si>
  <x:si>
    <x:t xml:space="preserve">Jaydon Blue</x:t>
  </x:si>
  <x:si>
    <x:t xml:space="preserve">MarShawn Lloyd</x:t>
  </x:si>
  <x:si>
    <x:t xml:space="preserve">Emanuel Wilson</x:t>
  </x:si>
  <x:si>
    <x:t xml:space="preserve">Jaylen Wright</x:t>
  </x:si>
  <x:si>
    <x:t xml:space="preserve">Jawhar Jordan</x:t>
  </x:si>
  <x:si>
    <x:t xml:space="preserve">Malik Davis</x:t>
  </x:si>
  <x:si>
    <x:t xml:space="preserve">LeQuint Allen Jr.</x:t>
  </x:si>
  <x:si>
    <x:t xml:space="preserve">Isaiah Davis</x:t>
  </x:si>
  <x:si>
    <x:t xml:space="preserve">George Holani</x:t>
  </x:si>
  <x:si>
    <x:t xml:space="preserve">Ty Chandler</x:t>
  </x:si>
  <x:si>
    <x:t xml:space="preserve">Trayveon Williams</x:t>
  </x:si>
  <x:si>
    <x:t xml:space="preserve">Ray Davis</x:t>
  </x:si>
  <x:si>
    <x:t xml:space="preserve">DJ Giddens</x:t>
  </x:si>
  <x:si>
    <x:t xml:space="preserve">Emmett Johnson</x:t>
  </x:si>
  <x:si>
    <x:t xml:space="preserve">Frank Gore Jr.</x:t>
  </x:si>
  <x:si>
    <x:t xml:space="preserve">Ollie Gordon II</x:t>
  </x:si>
  <x:si>
    <x:t xml:space="preserve">Roschon Johnson</x:t>
  </x:si>
  <x:si>
    <x:t xml:space="preserve">Brashard Smith</x:t>
  </x:si>
  <x:si>
    <x:t xml:space="preserve">Sean Tucker</x:t>
  </x:si>
  <x:si>
    <x:t xml:space="preserve">Phil Mafah</x:t>
  </x:si>
  <x:si>
    <x:t xml:space="preserve">Will Shipley</x:t>
  </x:si>
  <x:si>
    <x:t xml:space="preserve">Jam Miller</x:t>
  </x:si>
  <x:si>
    <x:t xml:space="preserve">Hunter Luepke</x:t>
  </x:si>
  <x:si>
    <x:t xml:space="preserve">Salvon Ahmed</x:t>
  </x:si>
  <x:si>
    <x:t xml:space="preserve">Seth McGowan</x:t>
  </x:si>
  <x:si>
    <x:t xml:space="preserve">Israel Abanikanda</x:t>
  </x:si>
  <x:si>
    <x:t xml:space="preserve">Carlos Washington Jr.</x:t>
  </x:si>
  <x:si>
    <x:t xml:space="preserve">Kendre Miller</x:t>
  </x:si>
  <x:si>
    <x:t xml:space="preserve">Dameon Pierce</x:t>
  </x:si>
  <x:si>
    <x:t xml:space="preserve">Deuce Vaughn</x:t>
  </x:si>
  <x:si>
    <x:t xml:space="preserve">Kaytron Allen</x:t>
  </x:si>
  <x:si>
    <x:t xml:space="preserve">Demond Claiborne</x:t>
  </x:si>
  <x:si>
    <x:t xml:space="preserve">Nicholas Singleton</x:t>
  </x:si>
  <x:si>
    <x:t xml:space="preserve">Devin Neal</x:t>
  </x:si>
  <x:si>
    <x:t xml:space="preserve">Jerome Ford</x:t>
  </x:si>
  <x:si>
    <x:t xml:space="preserve">Tahj Brooks</x:t>
  </x:si>
  <x:si>
    <x:t xml:space="preserve">Michael Burton</x:t>
  </x:si>
  <x:si>
    <x:t xml:space="preserve">Alec Ingold</x:t>
  </x:si>
  <x:si>
    <x:t xml:space="preserve">Isaac Guerendo</x:t>
  </x:si>
  <x:si>
    <x:t xml:space="preserve">Andrew Beck</x:t>
  </x:si>
  <x:si>
    <x:t xml:space="preserve">Trevor Etienne</x:t>
  </x:si>
  <x:si>
    <x:t xml:space="preserve">Adam Prentice</x:t>
  </x:si>
  <x:si>
    <x:t xml:space="preserve">Connor Heyward</x:t>
  </x:si>
  <x:si>
    <x:t xml:space="preserve">Max Bredeson</x:t>
  </x:si>
  <x:si>
    <x:t xml:space="preserve">Riley Nowakowski</x:t>
  </x:si>
  <x:si>
    <x:t xml:space="preserve">Reggie Gilliam</x:t>
  </x:si>
  <x:si>
    <x:t xml:space="preserve">Patrick Ricard</x:t>
  </x:si>
  <x:si>
    <x:t xml:space="preserve">Kaleb Johnson</x:t>
  </x:si>
  <x:si>
    <x:t xml:space="preserve">British Brooks</x:t>
  </x:si>
  <x:si>
    <x:t xml:space="preserve">Devin Singletary</x:t>
  </x:si>
  <x:si>
    <x:t xml:space="preserve">DeeJay Dallas</x:t>
  </x:si>
  <x:si>
    <x:t xml:space="preserve">Kene Nwangwu</x:t>
  </x:si>
  <x:si>
    <x:t xml:space="preserve">Tyler Badie</x:t>
  </x:si>
  <x:si>
    <x:t xml:space="preserve">Bam Knight</x:t>
  </x:si>
  <x:si>
    <x:t xml:space="preserve">Trey Benson</x:t>
  </x:si>
  <x:si>
    <x:t xml:space="preserve">Jacob Saylors</x:t>
  </x:si>
  <x:si>
    <x:t xml:space="preserve">Zavier Scott</x:t>
  </x:si>
  <x:si>
    <x:t xml:space="preserve">Rasheen Ali</x:t>
  </x:si>
  <x:si>
    <x:t xml:space="preserve">Dylan Laube</x:t>
  </x:si>
  <x:si>
    <x:t xml:space="preserve">Chris Collier</x:t>
  </x:si>
  <x:si>
    <x:t xml:space="preserve">Josh Williams</x:t>
  </x:si>
  <x:si>
    <x:t xml:space="preserve">Puka Nacua</x:t>
  </x:si>
  <x:si>
    <x:t xml:space="preserve">Ja'Marr Chase</x:t>
  </x:si>
  <x:si>
    <x:t xml:space="preserve">Jaxon Smith-Njigba</x:t>
  </x:si>
  <x:si>
    <x:t xml:space="preserve">Amon-Ra St. Brown</x:t>
  </x:si>
  <x:si>
    <x:t xml:space="preserve">Drake London</x:t>
  </x:si>
  <x:si>
    <x:t xml:space="preserve">Rashee Rice</x:t>
  </x:si>
  <x:si>
    <x:t xml:space="preserve">CeeDee Lamb</x:t>
  </x:si>
  <x:si>
    <x:t xml:space="preserve">Justin Jefferson</x:t>
  </x:si>
  <x:si>
    <x:t xml:space="preserve">Chris Olave</x:t>
  </x:si>
  <x:si>
    <x:t xml:space="preserve">A.J. Brown</x:t>
  </x:si>
  <x:si>
    <x:t xml:space="preserve">George Pickens</x:t>
  </x:si>
  <x:si>
    <x:t xml:space="preserve">Nico Collins</x:t>
  </x:si>
  <x:si>
    <x:t xml:space="preserve">Garrett Wilson</x:t>
  </x:si>
  <x:si>
    <x:t xml:space="preserve">Zay Flowers</x:t>
  </x:si>
  <x:si>
    <x:t xml:space="preserve">Malik Nabers</x:t>
  </x:si>
  <x:si>
    <x:t xml:space="preserve">DeVonta Smith</x:t>
  </x:si>
  <x:si>
    <x:t xml:space="preserve">Tetairoa McMillan</x:t>
  </x:si>
  <x:si>
    <x:t xml:space="preserve">Emeka Egbuka</x:t>
  </x:si>
  <x:si>
    <x:t xml:space="preserve">Davante Adams</x:t>
  </x:si>
  <x:si>
    <x:t xml:space="preserve">Tee Higgins</x:t>
  </x:si>
  <x:si>
    <x:t xml:space="preserve">Ladd McConkey</x:t>
  </x:si>
  <x:si>
    <x:t xml:space="preserve">Jameson Williams</x:t>
  </x:si>
  <x:si>
    <x:t xml:space="preserve">Jaylen Waddle</x:t>
  </x:si>
  <x:si>
    <x:t xml:space="preserve">Terry McLaurin</x:t>
  </x:si>
  <x:si>
    <x:t xml:space="preserve">DJ Moore</x:t>
  </x:si>
  <x:si>
    <x:t xml:space="preserve">Luther Burden III</x:t>
  </x:si>
  <x:si>
    <x:t xml:space="preserve">Rome Odunze</x:t>
  </x:si>
  <x:si>
    <x:t xml:space="preserve">Mike Evans</x:t>
  </x:si>
  <x:si>
    <x:t xml:space="preserve">Marvin Harrison Jr.</x:t>
  </x:si>
  <x:si>
    <x:t xml:space="preserve">Courtland Sutton</x:t>
  </x:si>
  <x:si>
    <x:t xml:space="preserve">Christian Watson</x:t>
  </x:si>
  <x:si>
    <x:t xml:space="preserve">DK Metcalf</x:t>
  </x:si>
  <x:si>
    <x:t xml:space="preserve">Alec Pierce</x:t>
  </x:si>
  <x:si>
    <x:t xml:space="preserve">Michael Pittman Jr.</x:t>
  </x:si>
  <x:si>
    <x:t xml:space="preserve">Parker Washington</x:t>
  </x:si>
  <x:si>
    <x:t xml:space="preserve">Brian Thomas Jr.</x:t>
  </x:si>
  <x:si>
    <x:t xml:space="preserve">Wan'Dale Robinson</x:t>
  </x:si>
  <x:si>
    <x:t xml:space="preserve">Jakobi Meyers</x:t>
  </x:si>
  <x:si>
    <x:t xml:space="preserve">Carnell Tate</x:t>
  </x:si>
  <x:si>
    <x:t xml:space="preserve">Michael Wilson</x:t>
  </x:si>
  <x:si>
    <x:t xml:space="preserve">Jayden Reed</x:t>
  </x:si>
  <x:si>
    <x:t xml:space="preserve">Chris Godwin Jr.</x:t>
  </x:si>
  <x:si>
    <x:t xml:space="preserve">Quentin Johnston</x:t>
  </x:si>
  <x:si>
    <x:t xml:space="preserve">Jordan Addison</x:t>
  </x:si>
  <x:si>
    <x:t xml:space="preserve">Deebo Samuel Sr.</x:t>
  </x:si>
  <x:si>
    <x:t xml:space="preserve">Xavier Worthy</x:t>
  </x:si>
  <x:si>
    <x:t xml:space="preserve">Stefon Diggs</x:t>
  </x:si>
  <x:si>
    <x:t xml:space="preserve">Khalil Shakir</x:t>
  </x:si>
  <x:si>
    <x:t xml:space="preserve">Josh Downs</x:t>
  </x:si>
  <x:si>
    <x:t xml:space="preserve">Romeo Doubs</x:t>
  </x:si>
  <x:si>
    <x:t xml:space="preserve">Matthew Golden</x:t>
  </x:si>
  <x:si>
    <x:t xml:space="preserve">KC Concepcion</x:t>
  </x:si>
  <x:si>
    <x:t xml:space="preserve">Jalen Coker</x:t>
  </x:si>
  <x:si>
    <x:t xml:space="preserve">Rashid Shaheed</x:t>
  </x:si>
  <x:si>
    <x:t xml:space="preserve">Denzel Boston</x:t>
  </x:si>
  <x:si>
    <x:t xml:space="preserve">Makai Lemon</x:t>
  </x:si>
  <x:si>
    <x:t xml:space="preserve">De'Zhaun Stribling</x:t>
  </x:si>
  <x:si>
    <x:t xml:space="preserve">Calvin Ridley</x:t>
  </x:si>
  <x:si>
    <x:t xml:space="preserve">Tank Dell</x:t>
  </x:si>
  <x:si>
    <x:t xml:space="preserve">Jerry Jeudy</x:t>
  </x:si>
  <x:si>
    <x:t xml:space="preserve">Tre Tucker</x:t>
  </x:si>
  <x:si>
    <x:t xml:space="preserve">Keenan Allen</x:t>
  </x:si>
  <x:si>
    <x:t xml:space="preserve">Rashod Bateman</x:t>
  </x:si>
  <x:si>
    <x:t xml:space="preserve">Jauan Jennings</x:t>
  </x:si>
  <x:si>
    <x:t xml:space="preserve">Jalen McMillan</x:t>
  </x:si>
  <x:si>
    <x:t xml:space="preserve">Jalen Nailor</x:t>
  </x:si>
  <x:si>
    <x:t xml:space="preserve">Devaughn Vele</x:t>
  </x:si>
  <x:si>
    <x:t xml:space="preserve">Ja'Kobi Lane</x:t>
  </x:si>
  <x:si>
    <x:t xml:space="preserve">Cooper Kupp</x:t>
  </x:si>
  <x:si>
    <x:t xml:space="preserve">Adonai Mitchell</x:t>
  </x:si>
  <x:si>
    <x:t xml:space="preserve">Malik Washington</x:t>
  </x:si>
  <x:si>
    <x:t xml:space="preserve">Travis Hunter</x:t>
  </x:si>
  <x:si>
    <x:t xml:space="preserve">Jaylin Noel</x:t>
  </x:si>
  <x:si>
    <x:t xml:space="preserve">Kayshon Boutte</x:t>
  </x:si>
  <x:si>
    <x:t xml:space="preserve">Germie Bernard</x:t>
  </x:si>
  <x:si>
    <x:t xml:space="preserve">Dontayvion Wicks</x:t>
  </x:si>
  <x:si>
    <x:t xml:space="preserve">Jordyn Tyson</x:t>
  </x:si>
  <x:si>
    <x:t xml:space="preserve">Bub Means</x:t>
  </x:si>
  <x:si>
    <x:t xml:space="preserve">Caleb Douglas</x:t>
  </x:si>
  <x:si>
    <x:t xml:space="preserve">Antonio Williams</x:t>
  </x:si>
  <x:si>
    <x:t xml:space="preserve">Troy Franklin</x:t>
  </x:si>
  <x:si>
    <x:t xml:space="preserve">Darius Slayton</x:t>
  </x:si>
  <x:si>
    <x:t xml:space="preserve">Tory Horton</x:t>
  </x:si>
  <x:si>
    <x:t xml:space="preserve">Chris Bell</x:t>
  </x:si>
  <x:si>
    <x:t xml:space="preserve">Xavier Legette</x:t>
  </x:si>
  <x:si>
    <x:t xml:space="preserve">Omar Cooper Jr.</x:t>
  </x:si>
  <x:si>
    <x:t xml:space="preserve">Tyquan Thornton</x:t>
  </x:si>
  <x:si>
    <x:t xml:space="preserve">Jahan Dotson</x:t>
  </x:si>
  <x:si>
    <x:t xml:space="preserve">Xavier Hutchinson</x:t>
  </x:si>
  <x:si>
    <x:t xml:space="preserve">Tre' Harris</x:t>
  </x:si>
  <x:si>
    <x:t xml:space="preserve">Christian Kirk</x:t>
  </x:si>
  <x:si>
    <x:t xml:space="preserve">Ryan Flournoy</x:t>
  </x:si>
  <x:si>
    <x:t xml:space="preserve">Jalen Tolbert</x:t>
  </x:si>
  <x:si>
    <x:t xml:space="preserve">Isaac TeSlaa</x:t>
  </x:si>
  <x:si>
    <x:t xml:space="preserve">Malik Benson</x:t>
  </x:si>
  <x:si>
    <x:t xml:space="preserve">Ted Hurst III</x:t>
  </x:si>
  <x:si>
    <x:t xml:space="preserve">Hollywood Brown</x:t>
  </x:si>
  <x:si>
    <x:t xml:space="preserve">Zachariah Branch</x:t>
  </x:si>
  <x:si>
    <x:t xml:space="preserve">Andrei Iosivas</x:t>
  </x:si>
  <x:si>
    <x:t xml:space="preserve">Elic Ayomanor</x:t>
  </x:si>
  <x:si>
    <x:t xml:space="preserve">Chimere Dike</x:t>
  </x:si>
  <x:si>
    <x:t xml:space="preserve">Keon Coleman</x:t>
  </x:si>
  <x:si>
    <x:t xml:space="preserve">Pat Bryant</x:t>
  </x:si>
  <x:si>
    <x:t xml:space="preserve">Joshua Palmer</x:t>
  </x:si>
  <x:si>
    <x:t xml:space="preserve">Marvin Mims Jr.</x:t>
  </x:si>
  <x:si>
    <x:t xml:space="preserve">Jack Bech</x:t>
  </x:si>
  <x:si>
    <x:t xml:space="preserve">Ashton Dulin</x:t>
  </x:si>
  <x:si>
    <x:t xml:space="preserve">Darnell Mooney</x:t>
  </x:si>
  <x:si>
    <x:t xml:space="preserve">KaVontae Turpin</x:t>
  </x:si>
  <x:si>
    <x:t xml:space="preserve">DeMario Douglas</x:t>
  </x:si>
  <x:si>
    <x:t xml:space="preserve">Savion Williams</x:t>
  </x:si>
  <x:si>
    <x:t xml:space="preserve">Malachi Fields</x:t>
  </x:si>
  <x:si>
    <x:t xml:space="preserve">Calvin Austin III</x:t>
  </x:si>
  <x:si>
    <x:t xml:space="preserve">Jahdae Walker</x:t>
  </x:si>
  <x:si>
    <x:t xml:space="preserve">Tutu Atwell</x:t>
  </x:si>
  <x:si>
    <x:t xml:space="preserve">Cedric Tillman</x:t>
  </x:si>
  <x:si>
    <x:t xml:space="preserve">Demarcus Robinson</x:t>
  </x:si>
  <x:si>
    <x:t xml:space="preserve">Kendrick Bourne</x:t>
  </x:si>
  <x:si>
    <x:t xml:space="preserve">Luke McCaffrey</x:t>
  </x:si>
  <x:si>
    <x:t xml:space="preserve">Theo Wease Jr.</x:t>
  </x:si>
  <x:si>
    <x:t xml:space="preserve">Dyami Brown</x:t>
  </x:si>
  <x:si>
    <x:t xml:space="preserve">Kalif Raymond</x:t>
  </x:si>
  <x:si>
    <x:t xml:space="preserve">Treylon Burks</x:t>
  </x:si>
  <x:si>
    <x:t xml:space="preserve">Devontez Walker</x:t>
  </x:si>
  <x:si>
    <x:t xml:space="preserve">Cyrus Allen</x:t>
  </x:si>
  <x:si>
    <x:t xml:space="preserve">Isaiah Williams</x:t>
  </x:si>
  <x:si>
    <x:t xml:space="preserve">Colbie Young</x:t>
  </x:si>
  <x:si>
    <x:t xml:space="preserve">Bryce Lance</x:t>
  </x:si>
  <x:si>
    <x:t xml:space="preserve">Zavion Thomas</x:t>
  </x:si>
  <x:si>
    <x:t xml:space="preserve">Jaylin Lane</x:t>
  </x:si>
  <x:si>
    <x:t xml:space="preserve">Elijah Sarratt</x:t>
  </x:si>
  <x:si>
    <x:t xml:space="preserve">Kevin Coleman Jr.</x:t>
  </x:si>
  <x:si>
    <x:t xml:space="preserve">Olamide Zaccheaus</x:t>
  </x:si>
  <x:si>
    <x:t xml:space="preserve">Jordan Whittington</x:t>
  </x:si>
  <x:si>
    <x:t xml:space="preserve">Isaiah Bond</x:t>
  </x:si>
  <x:si>
    <x:t xml:space="preserve">Konata Mumpfield</x:t>
  </x:si>
  <x:si>
    <x:t xml:space="preserve">Roman Wilson</x:t>
  </x:si>
  <x:si>
    <x:t xml:space="preserve">Skyler Bell</x:t>
  </x:si>
  <x:si>
    <x:t xml:space="preserve">Mack Hollins</x:t>
  </x:si>
  <x:si>
    <x:t xml:space="preserve">Brenen Thompson</x:t>
  </x:si>
  <x:si>
    <x:t xml:space="preserve">Justin Watson</x:t>
  </x:si>
  <x:si>
    <x:t xml:space="preserve">Odell Beckham Jr.</x:t>
  </x:si>
  <x:si>
    <x:t xml:space="preserve">Kyle Williams</x:t>
  </x:si>
  <x:si>
    <x:t xml:space="preserve">Tez Johnson</x:t>
  </x:si>
  <x:si>
    <x:t xml:space="preserve">Jimmy Horn Jr.</x:t>
  </x:si>
  <x:si>
    <x:t xml:space="preserve">Jalen Royals</x:t>
  </x:si>
  <x:si>
    <x:t xml:space="preserve">KeAndre Lambert-Smith</x:t>
  </x:si>
  <x:si>
    <x:t xml:space="preserve">Nick Westbrook-Ikhine</x:t>
  </x:si>
  <x:si>
    <x:t xml:space="preserve">Mason Tipton</x:t>
  </x:si>
  <x:si>
    <x:t xml:space="preserve">Dont'e Thornton Jr.</x:t>
  </x:si>
  <x:si>
    <x:t xml:space="preserve">Greg Dortch</x:t>
  </x:si>
  <x:si>
    <x:t xml:space="preserve">Barion Brown</x:t>
  </x:si>
  <x:si>
    <x:t xml:space="preserve">Bo Melton</x:t>
  </x:si>
  <x:si>
    <x:t xml:space="preserve">Tyrell Shavers</x:t>
  </x:si>
  <x:si>
    <x:t xml:space="preserve">Derius Davis</x:t>
  </x:si>
  <x:si>
    <x:t xml:space="preserve">Xavier Smith</x:t>
  </x:si>
  <x:si>
    <x:t xml:space="preserve">Mitch Tinsley</x:t>
  </x:si>
  <x:si>
    <x:t xml:space="preserve">CJ Daniels</x:t>
  </x:si>
  <x:si>
    <x:t xml:space="preserve">Malachi Corley</x:t>
  </x:si>
  <x:si>
    <x:t xml:space="preserve">Tai Felton</x:t>
  </x:si>
  <x:si>
    <x:t xml:space="preserve">Darius Cooper</x:t>
  </x:si>
  <x:si>
    <x:t xml:space="preserve">Jonathan Mingo</x:t>
  </x:si>
  <x:si>
    <x:t xml:space="preserve">Lewis Bond</x:t>
  </x:si>
  <x:si>
    <x:t xml:space="preserve">Reggie Virgil</x:t>
  </x:si>
  <x:si>
    <x:t xml:space="preserve">Brycen Tremayne</x:t>
  </x:si>
  <x:si>
    <x:t xml:space="preserve">Ben Skowronek</x:t>
  </x:si>
  <x:si>
    <x:t xml:space="preserve">Arian Smith</x:t>
  </x:si>
  <x:si>
    <x:t xml:space="preserve">Jalen Reagor</x:t>
  </x:si>
  <x:si>
    <x:t xml:space="preserve">Kameron Johnson</x:t>
  </x:si>
  <x:si>
    <x:t xml:space="preserve">Kaden Wetjen</x:t>
  </x:si>
  <x:si>
    <x:t xml:space="preserve">Laquon Treadwell</x:t>
  </x:si>
  <x:si>
    <x:t xml:space="preserve">David Moore</x:t>
  </x:si>
  <x:si>
    <x:t xml:space="preserve">Braxton Berrios</x:t>
  </x:si>
  <x:si>
    <x:t xml:space="preserve">Devin Duvernay</x:t>
  </x:si>
  <x:si>
    <x:t xml:space="preserve">Mason Kinsey</x:t>
  </x:si>
  <x:si>
    <x:t xml:space="preserve">Michael Bandy</x:t>
  </x:si>
  <x:si>
    <x:t xml:space="preserve">Skyy Moore</x:t>
  </x:si>
  <x:si>
    <x:t xml:space="preserve">Britain Covey</x:t>
  </x:si>
  <x:si>
    <x:t xml:space="preserve">Dareke Young</x:t>
  </x:si>
  <x:si>
    <x:t xml:space="preserve">Jacob Cowing</x:t>
  </x:si>
  <x:si>
    <x:t xml:space="preserve">Charlie Jones</x:t>
  </x:si>
  <x:si>
    <x:t xml:space="preserve">Jalen Brooks</x:t>
  </x:si>
  <x:si>
    <x:t xml:space="preserve">Nikko Remigio</x:t>
  </x:si>
  <x:si>
    <x:t xml:space="preserve">Anthony Gould</x:t>
  </x:si>
  <x:si>
    <x:t xml:space="preserve">Jeshaun Jones</x:t>
  </x:si>
  <x:si>
    <x:t xml:space="preserve">Efton Chism III</x:t>
  </x:si>
  <x:si>
    <x:t xml:space="preserve">LaJohntay Wester</x:t>
  </x:si>
  <x:si>
    <x:t xml:space="preserve">Ke'Shawn Williams</x:t>
  </x:si>
  <x:si>
    <x:t xml:space="preserve">Myles Price</x:t>
  </x:si>
  <x:si>
    <x:t xml:space="preserve">Gage Larvadain</x:t>
  </x:si>
  <x:si>
    <x:t xml:space="preserve">Josh Cameron</x:t>
  </x:si>
  <x:si>
    <x:t xml:space="preserve">Trey McBride</x:t>
  </x:si>
  <x:si>
    <x:t xml:space="preserve">Brock Bowers</x:t>
  </x:si>
  <x:si>
    <x:t xml:space="preserve">Colston Loveland</x:t>
  </x:si>
  <x:si>
    <x:t xml:space="preserve">Tyler Warren</x:t>
  </x:si>
  <x:si>
    <x:t xml:space="preserve">Harold Fannin Jr.</x:t>
  </x:si>
  <x:si>
    <x:t xml:space="preserve">Kyle Pitts Sr.</x:t>
  </x:si>
  <x:si>
    <x:t xml:space="preserve">Sam LaPorta</x:t>
  </x:si>
  <x:si>
    <x:t xml:space="preserve">Travis Kelce</x:t>
  </x:si>
  <x:si>
    <x:t xml:space="preserve">George Kittle</x:t>
  </x:si>
  <x:si>
    <x:t xml:space="preserve">Dallas Goedert</x:t>
  </x:si>
  <x:si>
    <x:t xml:space="preserve">Tucker Kraft</x:t>
  </x:si>
  <x:si>
    <x:t xml:space="preserve">Jake Ferguson</x:t>
  </x:si>
  <x:si>
    <x:t xml:space="preserve">Mark Andrews</x:t>
  </x:si>
  <x:si>
    <x:t xml:space="preserve">Isaiah Likely</x:t>
  </x:si>
  <x:si>
    <x:t xml:space="preserve">Dalton Kincaid</x:t>
  </x:si>
  <x:si>
    <x:t xml:space="preserve">Juwan Johnson</x:t>
  </x:si>
  <x:si>
    <x:t xml:space="preserve">Hunter Henry</x:t>
  </x:si>
  <x:si>
    <x:t xml:space="preserve">Brenton Strange</x:t>
  </x:si>
  <x:si>
    <x:t xml:space="preserve">Dalton Schultz</x:t>
  </x:si>
  <x:si>
    <x:t xml:space="preserve">T.J. Hockenson</x:t>
  </x:si>
  <x:si>
    <x:t xml:space="preserve">Pat Freiermuth</x:t>
  </x:si>
  <x:si>
    <x:t xml:space="preserve">Greg Dulcich</x:t>
  </x:si>
  <x:si>
    <x:t xml:space="preserve">Cade Otton</x:t>
  </x:si>
  <x:si>
    <x:t xml:space="preserve">Kenyon Sadiq</x:t>
  </x:si>
  <x:si>
    <x:t xml:space="preserve">Chig Okonkwo</x:t>
  </x:si>
  <x:si>
    <x:t xml:space="preserve">AJ Barner</x:t>
  </x:si>
  <x:si>
    <x:t xml:space="preserve">Terrance Ferguson</x:t>
  </x:si>
  <x:si>
    <x:t xml:space="preserve">Evan Engram</x:t>
  </x:si>
  <x:si>
    <x:t xml:space="preserve">Darren Waller</x:t>
  </x:si>
  <x:si>
    <x:t xml:space="preserve">Gunnar Helm</x:t>
  </x:si>
  <x:si>
    <x:t xml:space="preserve">David Njoku</x:t>
  </x:si>
  <x:si>
    <x:t xml:space="preserve">Mike Gesicki</x:t>
  </x:si>
  <x:si>
    <x:t xml:space="preserve">Oronde Gadsden II</x:t>
  </x:si>
  <x:si>
    <x:t xml:space="preserve">Mason Taylor</x:t>
  </x:si>
  <x:si>
    <x:t xml:space="preserve">Colby Parkinson</x:t>
  </x:si>
  <x:si>
    <x:t xml:space="preserve">Michael Mayer</x:t>
  </x:si>
  <x:si>
    <x:t xml:space="preserve">Dawson Knox</x:t>
  </x:si>
  <x:si>
    <x:t xml:space="preserve">Theo Johnson</x:t>
  </x:si>
  <x:si>
    <x:t xml:space="preserve">Darnell Washington</x:t>
  </x:si>
  <x:si>
    <x:t xml:space="preserve">Tyler Higbee</x:t>
  </x:si>
  <x:si>
    <x:t xml:space="preserve">Erick All Jr.</x:t>
  </x:si>
  <x:si>
    <x:t xml:space="preserve">Cole Kmet</x:t>
  </x:si>
  <x:si>
    <x:t xml:space="preserve">Noah Fant</x:t>
  </x:si>
  <x:si>
    <x:t xml:space="preserve">Will Kacmarek</x:t>
  </x:si>
  <x:si>
    <x:t xml:space="preserve">Elijah Arroyo</x:t>
  </x:si>
  <x:si>
    <x:t xml:space="preserve">Charlie Kolar</x:t>
  </x:si>
  <x:si>
    <x:t xml:space="preserve">Brock Wright</x:t>
  </x:si>
  <x:si>
    <x:t xml:space="preserve">Josh Oliver</x:t>
  </x:si>
  <x:si>
    <x:t xml:space="preserve">Daniel Bellinger</x:t>
  </x:si>
  <x:si>
    <x:t xml:space="preserve">Austin Hooper</x:t>
  </x:si>
  <x:si>
    <x:t xml:space="preserve">Noah Gray</x:t>
  </x:si>
  <x:si>
    <x:t xml:space="preserve">Eli Stowers</x:t>
  </x:si>
  <x:si>
    <x:t xml:space="preserve">Tommy Tremble</x:t>
  </x:si>
  <x:si>
    <x:t xml:space="preserve">Jake Tonges</x:t>
  </x:si>
  <x:si>
    <x:t xml:space="preserve">Adam Trautman</x:t>
  </x:si>
  <x:si>
    <x:t xml:space="preserve">Luke Musgrave</x:t>
  </x:si>
  <x:si>
    <x:t xml:space="preserve">Eli Raridon</x:t>
  </x:si>
  <x:si>
    <x:t xml:space="preserve">Ja'Tavion Sanders</x:t>
  </x:si>
  <x:si>
    <x:t xml:space="preserve">Elijah Higgins</x:t>
  </x:si>
  <x:si>
    <x:t xml:space="preserve">Ben Sims</x:t>
  </x:si>
  <x:si>
    <x:t xml:space="preserve">Marlin Klein</x:t>
  </x:si>
  <x:si>
    <x:t xml:space="preserve">Davis Allen</x:t>
  </x:si>
  <x:si>
    <x:t xml:space="preserve">John Bates</x:t>
  </x:si>
  <x:si>
    <x:t xml:space="preserve">Jeremy Ruckert</x:t>
  </x:si>
  <x:si>
    <x:t xml:space="preserve">Drew Sample</x:t>
  </x:si>
  <x:si>
    <x:t xml:space="preserve">Nate Boerkircher</x:t>
  </x:si>
  <x:si>
    <x:t xml:space="preserve">Cade Stover</x:t>
  </x:si>
  <x:si>
    <x:t xml:space="preserve">Nate Adkins</x:t>
  </x:si>
  <x:si>
    <x:t xml:space="preserve">Nick Vannett</x:t>
  </x:si>
  <x:si>
    <x:t xml:space="preserve">Jack Endries</x:t>
  </x:si>
  <x:si>
    <x:t xml:space="preserve">Luke Schoonmaker</x:t>
  </x:si>
  <x:si>
    <x:t xml:space="preserve">Ben Sinnott</x:t>
  </x:si>
  <x:si>
    <x:t xml:space="preserve">Zack Kuntz</x:t>
  </x:si>
  <x:si>
    <x:t xml:space="preserve">Jackson Hawes</x:t>
  </x:si>
  <x:si>
    <x:t xml:space="preserve">Hayden Rucci</x:t>
  </x:si>
  <x:si>
    <x:t xml:space="preserve">Will Mallory</x:t>
  </x:si>
  <x:si>
    <x:t xml:space="preserve">Tanner Hudson</x:t>
  </x:si>
  <x:si>
    <x:t xml:space="preserve">Cam Grandy</x:t>
  </x:si>
  <x:si>
    <x:t xml:space="preserve">Grant Calcaterra</x:t>
  </x:si>
  <x:si>
    <x:t xml:space="preserve">Dallen Bentley</x:t>
  </x:si>
  <x:si>
    <x:t xml:space="preserve">Charlie Woerner</x:t>
  </x:si>
  <x:si>
    <x:t xml:space="preserve">Bauer Sharp</x:t>
  </x:si>
  <x:si>
    <x:t xml:space="preserve">Zaire Mitchell-Paden</x:t>
  </x:si>
  <x:si>
    <x:t xml:space="preserve">Foster Moreau</x:t>
  </x:si>
  <x:si>
    <x:t xml:space="preserve">Mo Alie-Cox</x:t>
  </x:si>
  <x:si>
    <x:t xml:space="preserve">Tanner Conner</x:t>
  </x:si>
  <x:si>
    <x:t xml:space="preserve">Jaheim Bell</x:t>
  </x:si>
  <x:si>
    <x:t xml:space="preserve">Drake Dabney</x:t>
  </x:si>
  <x:si>
    <x:t xml:space="preserve">Seydou Traore</x:t>
  </x:si>
  <x:si>
    <x:t xml:space="preserve">Durham Smythe</x:t>
  </x:si>
  <x:si>
    <x:t xml:space="preserve">Oscar Delp</x:t>
  </x:si>
  <x:si>
    <x:t xml:space="preserve">Mitchell Evans</x:t>
  </x:si>
  <x:si>
    <x:t xml:space="preserve">Payne Durham</x:t>
  </x:si>
  <x:si>
    <x:t xml:space="preserve">Max Klare</x:t>
  </x:si>
  <x:si>
    <x:t xml:space="preserve">Justin Joly</x:t>
  </x:si>
  <x:si>
    <x:t xml:space="preserve">Brevyn Spann-Ford</x:t>
  </x:si>
  <x:si>
    <x:t xml:space="preserve">Tanner Koziol</x:t>
  </x:si>
  <x:si>
    <x:t xml:space="preserve">Sam Roush</x:t>
  </x:si>
  <x:si>
    <x:t xml:space="preserve">Devin Culp</x:t>
  </x:si>
  <x:si>
    <x:t xml:space="preserve">Joe Royer</x:t>
  </x:si>
  <x:si>
    <x:t xml:space="preserve">Josh Cuevas</x:t>
  </x:si>
  <x:si>
    <x:t xml:space="preserve">Hunter Long</x:t>
  </x:si>
  <x:si>
    <x:t xml:space="preserve">Lucas Krull</x:t>
  </x:si>
  <x:si>
    <x:t xml:space="preserve">Luke Farrell</x:t>
  </x:si>
  <x:si>
    <x:t xml:space="preserve">CJ Dippre</x:t>
  </x:si>
  <x:si>
    <x:t xml:space="preserve">Ko Kieft</x:t>
  </x:si>
  <x:si>
    <x:t xml:space="preserve">Tyler Conklin</x:t>
  </x:si>
  <x:si>
    <x:t xml:space="preserve">Drew Ogletree</x:t>
  </x:si>
  <x:si>
    <x:t xml:space="preserve">Josh Whyle</x:t>
  </x:si>
  <x:si>
    <x:t xml:space="preserve">Eric Saubert</x:t>
  </x:si>
  <x:si>
    <x:t xml:space="preserve">Tip Reiman</x:t>
  </x:si>
  <x:si>
    <x:t xml:space="preserve">Ian Thomas</x:t>
  </x:si>
  <x:si>
    <x:t xml:space="preserve">Johnny Mundt</x:t>
  </x:si>
  <x:si>
    <x:t xml:space="preserve">Jack Stoll</x:t>
  </x:si>
  <x:si>
    <x:t xml:space="preserve">Chris Manhertz</x:t>
  </x:si>
  <x:si>
    <x:t xml:space="preserve">Quintin Morris</x:t>
  </x:si>
  <x:si>
    <x:t xml:space="preserve">Cole Turner</x:t>
  </x:si>
  <x:si>
    <x:t xml:space="preserve">Jelani Woods</x:t>
  </x:si>
  <x:si>
    <x:t xml:space="preserve">Blake Whiteheart</x:t>
  </x:si>
  <x:si>
    <x:t xml:space="preserve">Julian Hill</x:t>
  </x:si>
  <x:si>
    <x:t xml:space="preserve">RK</x:t>
  </x:si>
  <x:si>
    <x:t xml:space="preserve">TIERS</x:t>
  </x:si>
  <x:si>
    <x:t xml:space="preserve">PLAYER NAME</x:t>
  </x:si>
  <x:si>
    <x:t xml:space="preserve">TEAM</x:t>
  </x:si>
  <x:si>
    <x:t xml:space="preserve">POS</x:t>
  </x:si>
  <x:si>
    <x:t xml:space="preserve">BYE WEEK</x:t>
  </x:si>
  <x:si>
    <x:t xml:space="preserve">UPSIDE </x:t>
  </x:si>
  <x:si>
    <x:t xml:space="preserve">BUST </x:t>
  </x:si>
  <x:si>
    <x:t xml:space="preserve">SOS SEASON</x:t>
  </x:si>
  <x:si>
    <x:t xml:space="preserve">ECR VS. ADP</x:t>
  </x:si>
  <x:si>
    <x:t xml:space="preserve">% OVER </x:t>
  </x:si>
  <x:si>
    <x:t xml:space="preserve">Proj Missed</x:t>
  </x:si>
  <x:si>
    <x:t xml:space="preserve">Pts</x:t>
  </x:si>
  <x:si>
    <x:t xml:space="preserve">5 out of 5</x:t>
  </x:si>
  <x:si>
    <x:t xml:space="preserve">1 out of 5</x:t>
  </x:si>
  <x:si>
    <x:t xml:space="preserve">5 out of 5 stars</x:t>
  </x:si>
  <x:si>
    <x:t xml:space="preserve">2 out of 5 stars</x:t>
  </x:si>
  <x:si>
    <x:t xml:space="preserve">4 out of 5 stars</x:t>
  </x:si>
  <x:si>
    <x:t xml:space="preserve">2 out of 5</x:t>
  </x:si>
  <x:si>
    <x:t xml:space="preserve">1 out of 5 stars</x:t>
  </x:si>
  <x:si>
    <x:t xml:space="preserve">3 out of 5 stars</x:t>
  </x:si>
  <x:si>
    <x:t xml:space="preserve">4 out of 5</x:t>
  </x:si>
  <x:si>
    <x:t xml:space="preserve">3 out of 5</x:t>
  </x:si>
  <x:si>
    <x:t xml:space="preserve">-</x:t>
  </x:si>
  <x:si>
    <x:t xml:space="preserve">Houston Texans</x:t>
  </x:si>
  <x:si>
    <x:t xml:space="preserve">DST1</x:t>
  </x:si>
  <x:si>
    <x:t xml:space="preserve">Denver Broncos</x:t>
  </x:si>
  <x:si>
    <x:t xml:space="preserve">DST2</x:t>
  </x:si>
  <x:si>
    <x:t xml:space="preserve">Seattle Seahawks</x:t>
  </x:si>
  <x:si>
    <x:t xml:space="preserve">DST3</x:t>
  </x:si>
  <x:si>
    <x:t xml:space="preserve">Los Angeles Rams</x:t>
  </x:si>
  <x:si>
    <x:t xml:space="preserve">DST4</x:t>
  </x:si>
  <x:si>
    <x:t xml:space="preserve">Philadelphia Eagles</x:t>
  </x:si>
  <x:si>
    <x:t xml:space="preserve">DST5</x:t>
  </x:si>
  <x:si>
    <x:t xml:space="preserve">0 out of 5 stars</x:t>
  </x:si>
  <x:si>
    <x:t xml:space="preserve">Jacksonville Jaguars</x:t>
  </x:si>
  <x:si>
    <x:t xml:space="preserve">DST6</x:t>
  </x:si>
  <x:si>
    <x:t xml:space="preserve">New England Patriots</x:t>
  </x:si>
  <x:si>
    <x:t xml:space="preserve">DST7</x:t>
  </x:si>
  <x:si>
    <x:t xml:space="preserve">Pittsburgh Steelers</x:t>
  </x:si>
  <x:si>
    <x:t xml:space="preserve">DST8</x:t>
  </x:si>
  <x:si>
    <x:t xml:space="preserve">Brandon Aubrey</x:t>
  </x:si>
  <x:si>
    <x:t xml:space="preserve">K1</x:t>
  </x:si>
  <x:si>
    <x:t xml:space="preserve">Los Angeles Chargers</x:t>
  </x:si>
  <x:si>
    <x:t xml:space="preserve">DST9</x:t>
  </x:si>
  <x:si>
    <x:t xml:space="preserve">Minnesota Vikings</x:t>
  </x:si>
  <x:si>
    <x:t xml:space="preserve">DST10</x:t>
  </x:si>
  <x:si>
    <x:t xml:space="preserve">Cameron Dicker</x:t>
  </x:si>
  <x:si>
    <x:t xml:space="preserve">K2</x:t>
  </x:si>
  <x:si>
    <x:t xml:space="preserve">Ka'imi Fairbairn</x:t>
  </x:si>
  <x:si>
    <x:t xml:space="preserve">K3</x:t>
  </x:si>
  <x:si>
    <x:t xml:space="preserve">Cam Little</x:t>
  </x:si>
  <x:si>
    <x:t xml:space="preserve">K4</x:t>
  </x:si>
  <x:si>
    <x:t xml:space="preserve">Baltimore Ravens</x:t>
  </x:si>
  <x:si>
    <x:t xml:space="preserve">DST11</x:t>
  </x:si>
  <x:si>
    <x:t xml:space="preserve">Kansas City Chiefs</x:t>
  </x:si>
  <x:si>
    <x:t xml:space="preserve">DST12</x:t>
  </x:si>
  <x:si>
    <x:t xml:space="preserve">Jason Myers</x:t>
  </x:si>
  <x:si>
    <x:t xml:space="preserve">K5</x:t>
  </x:si>
  <x:si>
    <x:t xml:space="preserve">Tyler Loop</x:t>
  </x:si>
  <x:si>
    <x:t xml:space="preserve">K6</x:t>
  </x:si>
  <x:si>
    <x:t xml:space="preserve">Eddy Pineiro</x:t>
  </x:si>
  <x:si>
    <x:t xml:space="preserve">K7</x:t>
  </x:si>
  <x:si>
    <x:t xml:space="preserve">Jake Bates</x:t>
  </x:si>
  <x:si>
    <x:t xml:space="preserve">K8</x:t>
  </x:si>
  <x:si>
    <x:t xml:space="preserve">Green Bay Packers</x:t>
  </x:si>
  <x:si>
    <x:t xml:space="preserve">DST13</x:t>
  </x:si>
  <x:si>
    <x:t xml:space="preserve">Harrison Mevis</x:t>
  </x:si>
  <x:si>
    <x:t xml:space="preserve">K9</x:t>
  </x:si>
  <x:si>
    <x:t xml:space="preserve">Cairo Santos</x:t>
  </x:si>
  <x:si>
    <x:t xml:space="preserve">K10</x:t>
  </x:si>
  <x:si>
    <x:t xml:space="preserve">Buffalo Bills</x:t>
  </x:si>
  <x:si>
    <x:t xml:space="preserve">DST14</x:t>
  </x:si>
  <x:si>
    <x:t xml:space="preserve">Detroit Lions</x:t>
  </x:si>
  <x:si>
    <x:t xml:space="preserve">DST15</x:t>
  </x:si>
  <x:si>
    <x:t xml:space="preserve">Chase McLaughlin</x:t>
  </x:si>
  <x:si>
    <x:t xml:space="preserve">K11</x:t>
  </x:si>
  <x:si>
    <x:t xml:space="preserve">Andy Borregales</x:t>
  </x:si>
  <x:si>
    <x:t xml:space="preserve">K12</x:t>
  </x:si>
  <x:si>
    <x:t xml:space="preserve">Evan McPherson</x:t>
  </x:si>
  <x:si>
    <x:t xml:space="preserve">K13</x:t>
  </x:si>
  <x:si>
    <x:t xml:space="preserve">Cleveland Browns</x:t>
  </x:si>
  <x:si>
    <x:t xml:space="preserve">DST16</x:t>
  </x:si>
  <x:si>
    <x:t xml:space="preserve">Harrison Butker</x:t>
  </x:si>
  <x:si>
    <x:t xml:space="preserve">K14</x:t>
  </x:si>
  <x:si>
    <x:t xml:space="preserve">Chris Boswell</x:t>
  </x:si>
  <x:si>
    <x:t xml:space="preserve">K15</x:t>
  </x:si>
  <x:si>
    <x:t xml:space="preserve">Wil Lutz</x:t>
  </x:si>
  <x:si>
    <x:t xml:space="preserve">K16</x:t>
  </x:si>
  <x:si>
    <x:t xml:space="preserve">Will Reichard</x:t>
  </x:si>
  <x:si>
    <x:t xml:space="preserve">K17</x:t>
  </x:si>
  <x:si>
    <x:t xml:space="preserve">WR101</x:t>
  </x:si>
  <x:si>
    <x:t xml:space="preserve">FA</x:t>
  </x:si>
  <x:si>
    <x:t xml:space="preserve">San Francisco 49ers</x:t>
  </x:si>
  <x:si>
    <x:t xml:space="preserve">DST17</x:t>
  </x:si>
  <x:si>
    <x:t xml:space="preserve">Atlanta Falcons</x:t>
  </x:si>
  <x:si>
    <x:t xml:space="preserve">DST18</x:t>
  </x:si>
  <x:si>
    <x:t xml:space="preserve">WR102</x:t>
  </x:si>
  <x:si>
    <x:t xml:space="preserve">WR103</x:t>
  </x:si>
  <x:si>
    <x:t xml:space="preserve">WR104</x:t>
  </x:si>
  <x:si>
    <x:t xml:space="preserve">WR105</x:t>
  </x:si>
  <x:si>
    <x:t xml:space="preserve">New Orleans Saints</x:t>
  </x:si>
  <x:si>
    <x:t xml:space="preserve">DST19</x:t>
  </x:si>
  <x:si>
    <x:t xml:space="preserve">WR106</x:t>
  </x:si>
  <x:si>
    <x:t xml:space="preserve">Jarquez Hunter</x:t>
  </x:si>
  <x:si>
    <x:t xml:space="preserve">Audric Estime</x:t>
  </x:si>
  <x:si>
    <x:t xml:space="preserve">Jaleel McLaughlin</x:t>
  </x:si>
  <x:si>
    <x:t xml:space="preserve">WR107</x:t>
  </x:si>
  <x:si>
    <x:t xml:space="preserve">Charlie Smyth</x:t>
  </x:si>
  <x:si>
    <x:t xml:space="preserve">K18</x:t>
  </x:si>
  <x:si>
    <x:t xml:space="preserve">Brandon Aiyuk</x:t>
  </x:si>
  <x:si>
    <x:t xml:space="preserve">WR108</x:t>
  </x:si>
  <x:si>
    <x:t xml:space="preserve">Indianapolis Colts</x:t>
  </x:si>
  <x:si>
    <x:t xml:space="preserve">DST20</x:t>
  </x:si>
  <x:si>
    <x:t xml:space="preserve">WR109</x:t>
  </x:si>
  <x:si>
    <x:t xml:space="preserve">Chicago Bears</x:t>
  </x:si>
  <x:si>
    <x:t xml:space="preserve">DST21</x:t>
  </x:si>
  <x:si>
    <x:t xml:space="preserve">Tyreek Hill</x:t>
  </x:si>
  <x:si>
    <x:t xml:space="preserve">WR110</x:t>
  </x:si>
  <x:si>
    <x:t xml:space="preserve">WR111</x:t>
  </x:si>
  <x:si>
    <x:t xml:space="preserve">WR112</x:t>
  </x:si>
  <x:si>
    <x:t xml:space="preserve">Kareem Hunt</x:t>
  </x:si>
  <x:si>
    <x:t xml:space="preserve">WR113</x:t>
  </x:si>
  <x:si>
    <x:t xml:space="preserve">WR114</x:t>
  </x:si>
  <x:si>
    <x:t xml:space="preserve">Joe Mixon</x:t>
  </x:si>
  <x:si>
    <x:t xml:space="preserve">WR115</x:t>
  </x:si>
  <x:si>
    <x:t xml:space="preserve">WR116</x:t>
  </x:si>
  <x:si>
    <x:t xml:space="preserve">Dallas Cowboys</x:t>
  </x:si>
  <x:si>
    <x:t xml:space="preserve">DST22</x:t>
  </x:si>
  <x:si>
    <x:t xml:space="preserve">WR117</x:t>
  </x:si>
  <x:si>
    <x:t xml:space="preserve">WR118</x:t>
  </x:si>
  <x:si>
    <x:t xml:space="preserve">WR119</x:t>
  </x:si>
  <x:si>
    <x:t xml:space="preserve">WR120</x:t>
  </x:si>
  <x:si>
    <x:t xml:space="preserve">WR121</x:t>
  </x:si>
  <x:si>
    <x:t xml:space="preserve">WR122</x:t>
  </x:si>
  <x:si>
    <x:t xml:space="preserve">RB101</x:t>
  </x:si>
  <x:si>
    <x:t xml:space="preserve">Chris Brazzell II</x:t>
  </x:si>
  <x:si>
    <x:t xml:space="preserve">WR123</x:t>
  </x:si>
  <x:si>
    <x:t xml:space="preserve">WR124</x:t>
  </x:si>
  <x:si>
    <x:t xml:space="preserve">WR125</x:t>
  </x:si>
  <x:si>
    <x:t xml:space="preserve">WR126</x:t>
  </x:si>
  <x:si>
    <x:t xml:space="preserve">WR127</x:t>
  </x:si>
  <x:si>
    <x:t xml:space="preserve">Jake Elliott</x:t>
  </x:si>
  <x:si>
    <x:t xml:space="preserve">K19</x:t>
  </x:si>
  <x:si>
    <x:t xml:space="preserve">Eli Heidenreich</x:t>
  </x:si>
  <x:si>
    <x:t xml:space="preserve">RB102</x:t>
  </x:si>
  <x:si>
    <x:t xml:space="preserve">Michael Carter</x:t>
  </x:si>
  <x:si>
    <x:t xml:space="preserve">RB103</x:t>
  </x:si>
  <x:si>
    <x:t xml:space="preserve">RB104</x:t>
  </x:si>
  <x:si>
    <x:t xml:space="preserve">Carolina Panthers</x:t>
  </x:si>
  <x:si>
    <x:t xml:space="preserve">DST23</x:t>
  </x:si>
  <x:si>
    <x:t xml:space="preserve">Tyler Bass</x:t>
  </x:si>
  <x:si>
    <x:t xml:space="preserve">K20</x:t>
  </x:si>
  <x:si>
    <x:t xml:space="preserve">WR128</x:t>
  </x:si>
  <x:si>
    <x:t xml:space="preserve">WR129</x:t>
  </x:si>
  <x:si>
    <x:t xml:space="preserve">WR130</x:t>
  </x:si>
  <x:si>
    <x:t xml:space="preserve">WR131</x:t>
  </x:si>
  <x:si>
    <x:t xml:space="preserve">WR132</x:t>
  </x:si>
  <x:si>
    <x:t xml:space="preserve">WR133</x:t>
  </x:si>
  <x:si>
    <x:t xml:space="preserve">New York Giants</x:t>
  </x:si>
  <x:si>
    <x:t xml:space="preserve">DST24</x:t>
  </x:si>
  <x:si>
    <x:t xml:space="preserve">WR134</x:t>
  </x:si>
  <x:si>
    <x:t xml:space="preserve">John Metchie III</x:t>
  </x:si>
  <x:si>
    <x:t xml:space="preserve">WR135</x:t>
  </x:si>
  <x:si>
    <x:t xml:space="preserve">RB105</x:t>
  </x:si>
  <x:si>
    <x:t xml:space="preserve">Raheim Sanders</x:t>
  </x:si>
  <x:si>
    <x:t xml:space="preserve">RB106</x:t>
  </x:si>
  <x:si>
    <x:t xml:space="preserve">Tampa Bay Buccaneers</x:t>
  </x:si>
  <x:si>
    <x:t xml:space="preserve">DST25</x:t>
  </x:si>
  <x:si>
    <x:t xml:space="preserve">RB107</x:t>
  </x:si>
  <x:si>
    <x:t xml:space="preserve">WR136</x:t>
  </x:si>
  <x:si>
    <x:t xml:space="preserve">WR137</x:t>
  </x:si>
  <x:si>
    <x:t xml:space="preserve">WR138</x:t>
  </x:si>
  <x:si>
    <x:t xml:space="preserve">WR139</x:t>
  </x:si>
  <x:si>
    <x:t xml:space="preserve">Trey Smack</x:t>
  </x:si>
  <x:si>
    <x:t xml:space="preserve">K21</x:t>
  </x:si>
  <x:si>
    <x:t xml:space="preserve">Cincinnati Bengals</x:t>
  </x:si>
  <x:si>
    <x:t xml:space="preserve">DST26</x:t>
  </x:si>
  <x:si>
    <x:t xml:space="preserve">J'Mari Taylor</x:t>
  </x:si>
  <x:si>
    <x:t xml:space="preserve">RB108</x:t>
  </x:si>
  <x:si>
    <x:t xml:space="preserve">Zane Gonzalez</x:t>
  </x:si>
  <x:si>
    <x:t xml:space="preserve">K22</x:t>
  </x:si>
  <x:si>
    <x:t xml:space="preserve">RB109</x:t>
  </x:si>
  <x:si>
    <x:t xml:space="preserve">Tennessee Titans</x:t>
  </x:si>
  <x:si>
    <x:t xml:space="preserve">DST27</x:t>
  </x:si>
  <x:si>
    <x:t xml:space="preserve">WR140</x:t>
  </x:si>
  <x:si>
    <x:t xml:space="preserve">WR141</x:t>
  </x:si>
  <x:si>
    <x:t xml:space="preserve">WR142</x:t>
  </x:si>
  <x:si>
    <x:t xml:space="preserve">WR143</x:t>
  </x:si>
  <x:si>
    <x:t xml:space="preserve">RB110</x:t>
  </x:si>
  <x:si>
    <x:t xml:space="preserve">Miami Dolphins</x:t>
  </x:si>
  <x:si>
    <x:t xml:space="preserve">DST28</x:t>
  </x:si>
  <x:si>
    <x:t xml:space="preserve">WR144</x:t>
  </x:si>
  <x:si>
    <x:t xml:space="preserve">RB111</x:t>
  </x:si>
  <x:si>
    <x:t xml:space="preserve">Nick Folk</x:t>
  </x:si>
  <x:si>
    <x:t xml:space="preserve">K23</x:t>
  </x:si>
  <x:si>
    <x:t xml:space="preserve">WR145</x:t>
  </x:si>
  <x:si>
    <x:t xml:space="preserve">Austin Ekeler</x:t>
  </x:si>
  <x:si>
    <x:t xml:space="preserve">RB112</x:t>
  </x:si>
  <x:si>
    <x:t xml:space="preserve">Sione Vaki</x:t>
  </x:si>
  <x:si>
    <x:t xml:space="preserve">RB113</x:t>
  </x:si>
  <x:si>
    <x:t xml:space="preserve">Damien Martinez</x:t>
  </x:si>
  <x:si>
    <x:t xml:space="preserve">RB114</x:t>
  </x:si>
  <x:si>
    <x:t xml:space="preserve">WR146</x:t>
  </x:si>
  <x:si>
    <x:t xml:space="preserve">Deion Burks</x:t>
  </x:si>
  <x:si>
    <x:t xml:space="preserve">WR147</x:t>
  </x:si>
  <x:si>
    <x:t xml:space="preserve">WR148</x:t>
  </x:si>
  <x:si>
    <x:t xml:space="preserve">RB115</x:t>
  </x:si>
  <x:si>
    <x:t xml:space="preserve">Blake Grupe</x:t>
  </x:si>
  <x:si>
    <x:t xml:space="preserve">K24</x:t>
  </x:si>
  <x:si>
    <x:t xml:space="preserve">WR149</x:t>
  </x:si>
  <x:si>
    <x:t xml:space="preserve">Terrell Jennings</x:t>
  </x:si>
  <x:si>
    <x:t xml:space="preserve">RB116</x:t>
  </x:si>
  <x:si>
    <x:t xml:space="preserve">Tim Patrick</x:t>
  </x:si>
  <x:si>
    <x:t xml:space="preserve">WR150</x:t>
  </x:si>
  <x:si>
    <x:t xml:space="preserve">Tommy Myers</x:t>
  </x:si>
  <x:si>
    <x:t xml:space="preserve">Joey Slye</x:t>
  </x:si>
  <x:si>
    <x:t xml:space="preserve">K25</x:t>
  </x:si>
  <x:si>
    <x:t xml:space="preserve">Tyler Goodson</x:t>
  </x:si>
  <x:si>
    <x:t xml:space="preserve">RB117</x:t>
  </x:si>
  <x:si>
    <x:t xml:space="preserve">Robert Henry Jr.</x:t>
  </x:si>
  <x:si>
    <x:t xml:space="preserve">RB118</x:t>
  </x:si>
  <x:si>
    <x:t xml:space="preserve">Ben Sauls</x:t>
  </x:si>
  <x:si>
    <x:t xml:space="preserve">K26</x:t>
  </x:si>
  <x:si>
    <x:t xml:space="preserve">Brandon McManus</x:t>
  </x:si>
  <x:si>
    <x:t xml:space="preserve">K27</x:t>
  </x:si>
  <x:si>
    <x:t xml:space="preserve">Daniel Carlson</x:t>
  </x:si>
  <x:si>
    <x:t xml:space="preserve">K28</x:t>
  </x:si>
  <x:si>
    <x:t xml:space="preserve">Washington Commanders</x:t>
  </x:si>
  <x:si>
    <x:t xml:space="preserve">DST29</x:t>
  </x:si>
  <x:si>
    <x:t xml:space="preserve">RB119</x:t>
  </x:si>
  <x:si>
    <x:t xml:space="preserve">WR151</x:t>
  </x:si>
  <x:si>
    <x:t xml:space="preserve">Jake Moody</x:t>
  </x:si>
  <x:si>
    <x:t xml:space="preserve">K29</x:t>
  </x:si>
  <x:si>
    <x:t xml:space="preserve">New York Jets</x:t>
  </x:si>
  <x:si>
    <x:t xml:space="preserve">DST30</x:t>
  </x:si>
  <x:si>
    <x:t xml:space="preserve">Las Vegas Raiders</x:t>
  </x:si>
  <x:si>
    <x:t xml:space="preserve">DST31</x:t>
  </x:si>
  <x:si>
    <x:t xml:space="preserve">WR152</x:t>
  </x:si>
  <x:si>
    <x:t xml:space="preserve">Zach Ertz</x:t>
  </x:si>
  <x:si>
    <x:t xml:space="preserve">Matt Hibner</x:t>
  </x:si>
  <x:si>
    <x:t xml:space="preserve">Khalil Herbert</x:t>
  </x:si>
  <x:si>
    <x:t xml:space="preserve">RB120</x:t>
  </x:si>
  <x:si>
    <x:t xml:space="preserve">Xavier Restrepo</x:t>
  </x:si>
  <x:si>
    <x:t xml:space="preserve">WR153</x:t>
  </x:si>
  <x:si>
    <x:t xml:space="preserve">Jonnu Smith</x:t>
  </x:si>
  <x:si>
    <x:t xml:space="preserve">Jeremy McNichols</x:t>
  </x:si>
  <x:si>
    <x:t xml:space="preserve">RB121</x:t>
  </x:si>
  <x:si>
    <x:t xml:space="preserve">Ronnie Rivers</x:t>
  </x:si>
  <x:si>
    <x:t xml:space="preserve">RB122</x:t>
  </x:si>
  <x:si>
    <x:t xml:space="preserve">WR154</x:t>
  </x:si>
  <x:si>
    <x:t xml:space="preserve">RB123</x:t>
  </x:si>
  <x:si>
    <x:t xml:space="preserve">RB124</x:t>
  </x:si>
  <x:si>
    <x:t xml:space="preserve">Chad Ryland</x:t>
  </x:si>
  <x:si>
    <x:t xml:space="preserve">K30</x:t>
  </x:si>
  <x:si>
    <x:t xml:space="preserve">Van Jefferson</x:t>
  </x:si>
  <x:si>
    <x:t xml:space="preserve">WR155</x:t>
  </x:si>
  <x:si>
    <x:t xml:space="preserve">Ryan Fitzgerald</x:t>
  </x:si>
  <x:si>
    <x:t xml:space="preserve">K31</x:t>
  </x:si>
  <x:si>
    <x:t xml:space="preserve">RB125</x:t>
  </x:si>
  <x:si>
    <x:t xml:space="preserve">Spencer Shrader</x:t>
  </x:si>
  <x:si>
    <x:t xml:space="preserve">K32</x:t>
  </x:si>
  <x:si>
    <x:t xml:space="preserve">WR156</x:t>
  </x:si>
  <x:si>
    <x:t xml:space="preserve">WR157</x:t>
  </x:si>
  <x:si>
    <x:t xml:space="preserve">WR158</x:t>
  </x:si>
  <x:si>
    <x:t xml:space="preserve">WR159</x:t>
  </x:si>
  <x:si>
    <x:t xml:space="preserve">WR160</x:t>
  </x:si>
  <x:si>
    <x:t xml:space="preserve">Arizona Cardinals</x:t>
  </x:si>
  <x:si>
    <x:t xml:space="preserve">DST32</x:t>
  </x:si>
  <x:si>
    <x:t xml:space="preserve">Lil'Jordan Humphrey</x:t>
  </x:si>
  <x:si>
    <x:t xml:space="preserve">WR161</x:t>
  </x:si>
  <x:si>
    <x:t xml:space="preserve">Marquez Valdes-Scantling</x:t>
  </x:si>
  <x:si>
    <x:t xml:space="preserve">WR162</x:t>
  </x:si>
  <x:si>
    <x:t xml:space="preserve">QB49</x:t>
  </x:si>
  <x:si>
    <x:t xml:space="preserve">QB50</x:t>
  </x:si>
  <x:si>
    <x:t xml:space="preserve">Roman Hemby</x:t>
  </x:si>
  <x:si>
    <x:t xml:space="preserve">RB126</x:t>
  </x:si>
  <x:si>
    <x:t xml:space="preserve">RB127</x:t>
  </x:si>
  <x:si>
    <x:t xml:space="preserve">RB128</x:t>
  </x:si>
  <x:si>
    <x:t xml:space="preserve">Antonio Gibson</x:t>
  </x:si>
  <x:si>
    <x:t xml:space="preserve">RB129</x:t>
  </x:si>
  <x:si>
    <x:t xml:space="preserve">RB130</x:t>
  </x:si>
  <x:si>
    <x:t xml:space="preserve">Travis Homer</x:t>
  </x:si>
  <x:si>
    <x:t xml:space="preserve">RB131</x:t>
  </x:si>
  <x:si>
    <x:t xml:space="preserve">RB132</x:t>
  </x:si>
  <x:si>
    <x:t xml:space="preserve">RB133</x:t>
  </x:si>
  <x:si>
    <x:t xml:space="preserve">RB134</x:t>
  </x:si>
  <x:si>
    <x:t xml:space="preserve">WR163</x:t>
  </x:si>
  <x:si>
    <x:t xml:space="preserve">Elijah Moore</x:t>
  </x:si>
  <x:si>
    <x:t xml:space="preserve">WR164</x:t>
  </x:si>
  <x:si>
    <x:t xml:space="preserve">RB135</x:t>
  </x:si>
  <x:si>
    <x:t xml:space="preserve">Kalel Mullings</x:t>
  </x:si>
  <x:si>
    <x:t xml:space="preserve">RB136</x:t>
  </x:si>
  <x:si>
    <x:t xml:space="preserve">RB137</x:t>
  </x:si>
  <x:si>
    <x:t xml:space="preserve">Jaret Patterson</x:t>
  </x:si>
  <x:si>
    <x:t xml:space="preserve">RB138</x:t>
  </x:si>
  <x:si>
    <x:t xml:space="preserve">Cedrick Wilson Jr.</x:t>
  </x:si>
  <x:si>
    <x:t xml:space="preserve">WR165</x:t>
  </x:si>
  <x:si>
    <x:t xml:space="preserve">RB139</x:t>
  </x:si>
  <x:si>
    <x:t xml:space="preserve">WR166</x:t>
  </x:si>
  <x:si>
    <x:t xml:space="preserve">Jason Sanders</x:t>
  </x:si>
  <x:si>
    <x:t xml:space="preserve">K33</x:t>
  </x:si>
  <x:si>
    <x:t xml:space="preserve">QB51</x:t>
  </x:si>
  <x:si>
    <x:t xml:space="preserve">Drew Stevens</x:t>
  </x:si>
  <x:si>
    <x:t xml:space="preserve">K34</x:t>
  </x:si>
  <x:si>
    <x:t xml:space="preserve">WR167</x:t>
  </x:si>
  <x:si>
    <x:t xml:space="preserve">WR168</x:t>
  </x:si>
  <x:si>
    <x:t xml:space="preserve">Lan Larison</x:t>
  </x:si>
  <x:si>
    <x:t xml:space="preserve">RB140</x:t>
  </x:si>
  <x:si>
    <x:t xml:space="preserve">WR169</x:t>
  </x:si>
  <x:si>
    <x:t xml:space="preserve">WR170</x:t>
  </x:si>
  <x:si>
    <x:t xml:space="preserve">WR171</x:t>
  </x:si>
  <x:si>
    <x:t xml:space="preserve">WR172</x:t>
  </x:si>
  <x:si>
    <x:t xml:space="preserve">WR173</x:t>
  </x:si>
  <x:si>
    <x:t xml:space="preserve">RB141</x:t>
  </x:si>
  <x:si>
    <x:t xml:space="preserve">Michael Woods II</x:t>
  </x:si>
  <x:si>
    <x:t xml:space="preserve">WR174</x:t>
  </x:si>
  <x:si>
    <x:t xml:space="preserve">Chris Blair</x:t>
  </x:si>
  <x:si>
    <x:t xml:space="preserve">WR175</x:t>
  </x:si>
  <x:si>
    <x:t xml:space="preserve">DeAndre Hopkins</x:t>
  </x:si>
  <x:si>
    <x:t xml:space="preserve">WR176</x:t>
  </x:si>
  <x:si>
    <x:t xml:space="preserve">Tyler Lockett</x:t>
  </x:si>
  <x:si>
    <x:t xml:space="preserve">WR177</x:t>
  </x:si>
  <x:si>
    <x:t xml:space="preserve">David Sills V</x:t>
  </x:si>
  <x:si>
    <x:t xml:space="preserve">WR178</x:t>
  </x:si>
  <x:si>
    <x:t xml:space="preserve">QB52</x:t>
  </x:si>
  <x:si>
    <x:t xml:space="preserve">QB53</x:t>
  </x:si>
  <x:si>
    <x:t xml:space="preserve">WR179</x:t>
  </x:si>
  <x:si>
    <x:t xml:space="preserve">QB54</x:t>
  </x:si>
  <x:si>
    <x:t xml:space="preserve">QB55</x:t>
  </x:si>
  <x:si>
    <x:t xml:space="preserve">RB142</x:t>
  </x:si>
  <x:si>
    <x:t xml:space="preserve">WR180</x:t>
  </x:si>
  <x:si>
    <x:t xml:space="preserve">QB56</x:t>
  </x:si>
  <x:si>
    <x:t xml:space="preserve">Miles Sanders</x:t>
  </x:si>
  <x:si>
    <x:t xml:space="preserve">RB143</x:t>
  </x:si>
  <x:si>
    <x:t xml:space="preserve">Michael Trigg</x:t>
  </x:si>
  <x:si>
    <x:t xml:space="preserve">Moliki Matavao</x:t>
  </x:si>
  <x:si>
    <x:t xml:space="preserve">Noah Whittington</x:t>
  </x:si>
  <x:si>
    <x:t xml:space="preserve">RB144</x:t>
  </x:si>
  <x:si>
    <x:t xml:space="preserve">Miles Kitselman</x:t>
  </x:si>
  <x:si>
    <x:t xml:space="preserve">Donovan Edwards</x:t>
  </x:si>
  <x:si>
    <x:t xml:space="preserve">RB145</x:t>
  </x:si>
  <x:si>
    <x:t xml:space="preserve">Will Dissly</x:t>
  </x:si>
  <x:si>
    <x:t xml:space="preserve">Jaydn Ott</x:t>
  </x:si>
  <x:si>
    <x:t xml:space="preserve">RB146</x:t>
  </x:si>
  <x:si>
    <x:t xml:space="preserve">Khalil Dinkins</x:t>
  </x:si>
  <x:si>
    <x:t xml:space="preserve">Myles Montgomery</x:t>
  </x:si>
  <x:si>
    <x:t xml:space="preserve">RB147</x:t>
  </x:si>
  <x:si>
    <x:t xml:space="preserve">Alexander Mattison</x:t>
  </x:si>
  <x:si>
    <x:t xml:space="preserve">RB148</x:t>
  </x:si>
  <x:si>
    <x:t xml:space="preserve">RB149</x:t>
  </x:si>
  <x:si>
    <x:t xml:space="preserve">Raheem Mostert</x:t>
  </x:si>
  <x:si>
    <x:t xml:space="preserve">RB150</x:t>
  </x:si>
  <x:si>
    <x:t xml:space="preserve">Lew Nichols III</x:t>
  </x:si>
  <x:si>
    <x:t xml:space="preserve">RB151</x:t>
  </x:si>
  <x:si>
    <x:t xml:space="preserve">Ulysses Bentley IV</x:t>
  </x:si>
  <x:si>
    <x:t xml:space="preserve">RB152</x:t>
  </x:si>
  <x:si>
    <x:t xml:space="preserve">Scotty Miller</x:t>
  </x:si>
  <x:si>
    <x:t xml:space="preserve">WR181</x:t>
  </x:si>
  <x:si>
    <x:t xml:space="preserve">Miles Davis</x:t>
  </x:si>
  <x:si>
    <x:t xml:space="preserve">RB153</x:t>
  </x:si>
  <x:si>
    <x:t xml:space="preserve">Ahmani Marshall</x:t>
  </x:si>
  <x:si>
    <x:t xml:space="preserve">RB154</x:t>
  </x:si>
  <x:si>
    <x:t xml:space="preserve">Jake Bobo</x:t>
  </x:si>
  <x:si>
    <x:t xml:space="preserve">WR182</x:t>
  </x:si>
  <x:si>
    <x:t xml:space="preserve">Nathan Carter</x:t>
  </x:si>
  <x:si>
    <x:t xml:space="preserve">RB155</x:t>
  </x:si>
  <x:si>
    <x:t xml:space="preserve">Elijah Mitchell</x:t>
  </x:si>
  <x:si>
    <x:t xml:space="preserve">RB156</x:t>
  </x:si>
  <x:si>
    <x:t xml:space="preserve">Dohnte Meyers</x:t>
  </x:si>
  <x:si>
    <x:t xml:space="preserve">WR183</x:t>
  </x:si>
  <x:si>
    <x:t xml:space="preserve">WR184</x:t>
  </x:si>
  <x:si>
    <x:t xml:space="preserve">Cash Jones</x:t>
  </x:si>
  <x:si>
    <x:t xml:space="preserve">RB157</x:t>
  </x:si>
  <x:si>
    <x:t xml:space="preserve">Cam Akers</x:t>
  </x:si>
  <x:si>
    <x:t xml:space="preserve">RB158</x:t>
  </x:si>
  <x:si>
    <x:t xml:space="preserve">Sincere McCormick</x:t>
  </x:si>
  <x:si>
    <x:t xml:space="preserve">RB159</x:t>
  </x:si>
  <x:si>
    <x:t xml:space="preserve">Brandin Cooks</x:t>
  </x:si>
  <x:si>
    <x:t xml:space="preserve">WR185</x:t>
  </x:si>
  <x:si>
    <x:t xml:space="preserve">Noah Brown</x:t>
  </x:si>
  <x:si>
    <x:t xml:space="preserve">WR186</x:t>
  </x:si>
  <x:si>
    <x:t xml:space="preserve">JaMycal Hasty</x:t>
  </x:si>
  <x:si>
    <x:t xml:space="preserve">RB160</x:t>
  </x:si>
  <x:si>
    <x:t xml:space="preserve">Anderson Castle</x:t>
  </x:si>
  <x:si>
    <x:t xml:space="preserve">RB161</x:t>
  </x:si>
  <x:si>
    <x:t xml:space="preserve">Dominic Zvada</x:t>
  </x:si>
  <x:si>
    <x:t xml:space="preserve">K35</x:t>
  </x:si>
  <x:si>
    <x:t xml:space="preserve">Craig Reynolds</x:t>
  </x:si>
  <x:si>
    <x:t xml:space="preserve">RB162</x:t>
  </x:si>
  <x:si>
    <x:t xml:space="preserve">Kenny McIntosh</x:t>
  </x:si>
  <x:si>
    <x:t xml:space="preserve">RB163</x:t>
  </x:si>
  <x:si>
    <x:t xml:space="preserve">Jermar Jefferson</x:t>
  </x:si>
  <x:si>
    <x:t xml:space="preserve">RB164</x:t>
  </x:si>
  <x:si>
    <x:t xml:space="preserve">Eric Gray</x:t>
  </x:si>
  <x:si>
    <x:t xml:space="preserve">RB165</x:t>
  </x:si>
  <x:si>
    <x:t xml:space="preserve">QB57</x:t>
  </x:si>
  <x:si>
    <x:t xml:space="preserve">Diontae Johnson</x:t>
  </x:si>
  <x:si>
    <x:t xml:space="preserve">WR187</x:t>
  </x:si>
  <x:si>
    <x:t xml:space="preserve">Mecole Hardman Jr.</x:t>
  </x:si>
  <x:si>
    <x:t xml:space="preserve">WR188</x:t>
  </x:si>
  <x:si>
    <x:t xml:space="preserve">Curtis Samuel</x:t>
  </x:si>
  <x:si>
    <x:t xml:space="preserve">WR189</x:t>
  </x:si>
  <x:si>
    <x:t xml:space="preserve">Vinny Anthony II</x:t>
  </x:si>
  <x:si>
    <x:t xml:space="preserve">WR190</x:t>
  </x:si>
  <x:si>
    <x:t xml:space="preserve">Coleman Owen</x:t>
  </x:si>
  <x:si>
    <x:t xml:space="preserve">WR191</x:t>
  </x:si>
  <x:si>
    <x:t xml:space="preserve">QB58</x:t>
  </x:si>
  <x:si>
    <x:t xml:space="preserve">Tahj Washington</x:t>
  </x:si>
  <x:si>
    <x:t xml:space="preserve">WR192</x:t>
  </x:si>
  <x:si>
    <x:t xml:space="preserve">Jared Wayne</x:t>
  </x:si>
  <x:si>
    <x:t xml:space="preserve">WR193</x:t>
  </x:si>
  <x:si>
    <x:t xml:space="preserve">JuJu Smith-Schuster</x:t>
  </x:si>
  <x:si>
    <x:t xml:space="preserve">WR194</x:t>
  </x:si>
  <x:si>
    <x:t xml:space="preserve">J. Michael Sturdivant</x:t>
  </x:si>
  <x:si>
    <x:t xml:space="preserve">WR195</x:t>
  </x:si>
  <x:si>
    <x:t xml:space="preserve">Velus Jones Jr.</x:t>
  </x:si>
  <x:si>
    <x:t xml:space="preserve">WR196</x:t>
  </x:si>
  <x:si>
    <x:t xml:space="preserve">RB166</x:t>
  </x:si>
  <x:si>
    <x:t xml:space="preserve">Montorie Foster Jr.</x:t>
  </x:si>
  <x:si>
    <x:t xml:space="preserve">WR197</x:t>
  </x:si>
  <x:si>
    <x:t xml:space="preserve">Casey Washington</x:t>
  </x:si>
  <x:si>
    <x:t xml:space="preserve">WR198</x:t>
  </x:si>
  <x:si>
    <x:t xml:space="preserve">Maurice Alexander</x:t>
  </x:si>
  <x:si>
    <x:t xml:space="preserve">WR199</x:t>
  </x:si>
  <x:si>
    <x:t xml:space="preserve">WR200</x:t>
  </x:si>
  <x:si>
    <x:t xml:space="preserve">Pierre Strong Jr.</x:t>
  </x:si>
  <x:si>
    <x:t xml:space="preserve">RB167</x:t>
  </x:si>
  <x:si>
    <x:t xml:space="preserve">Quentin Skinner</x:t>
  </x:si>
  <x:si>
    <x:t xml:space="preserve">WR201</x:t>
  </x:si>
  <x:si>
    <x:t xml:space="preserve">WR202</x:t>
  </x:si>
  <x:si>
    <x:t xml:space="preserve">TE101</x:t>
  </x:si>
  <x:si>
    <x:t xml:space="preserve">WR203</x:t>
  </x:si>
  <x:si>
    <x:t xml:space="preserve">Isaiah Hodgins</x:t>
  </x:si>
  <x:si>
    <x:t xml:space="preserve">WR204</x:t>
  </x:si>
  <x:si>
    <x:t xml:space="preserve">Kevin Austin Jr.</x:t>
  </x:si>
  <x:si>
    <x:t xml:space="preserve">WR205</x:t>
  </x:si>
  <x:si>
    <x:t xml:space="preserve">TE102</x:t>
  </x:si>
  <x:si>
    <x:t xml:space="preserve">WR206</x:t>
  </x:si>
  <x:si>
    <x:t xml:space="preserve">Kendric Pryor</x:t>
  </x:si>
  <x:si>
    <x:t xml:space="preserve">WR207</x:t>
  </x:si>
  <x:si>
    <x:t xml:space="preserve">Michael Briscoe</x:t>
  </x:si>
  <x:si>
    <x:t xml:space="preserve">WR208</x:t>
  </x:si>
  <x:si>
    <x:t xml:space="preserve">Jordan Watkins</x:t>
  </x:si>
  <x:si>
    <x:t xml:space="preserve">WR209</x:t>
  </x:si>
  <x:si>
    <x:t xml:space="preserve">Taylen Green</x:t>
  </x:si>
  <x:si>
    <x:t xml:space="preserve">QB59</x:t>
  </x:si>
  <x:si>
    <x:t xml:space="preserve">K.J. Osborn</x:t>
  </x:si>
  <x:si>
    <x:t xml:space="preserve">WR210</x:t>
  </x:si>
  <x:si>
    <x:t xml:space="preserve">WR211</x:t>
  </x:si>
  <x:si>
    <x:t xml:space="preserve">Joshua Cephus</x:t>
  </x:si>
  <x:si>
    <x:t xml:space="preserve">WR212</x:t>
  </x:si>
  <x:si>
    <x:t xml:space="preserve">Cooper Rush</x:t>
  </x:si>
  <x:si>
    <x:t xml:space="preserve">QB60</x:t>
  </x:si>
  <x:si>
    <x:t xml:space="preserve">Dominic Lovett</x:t>
  </x:si>
  <x:si>
    <x:t xml:space="preserve">WR213</x:t>
  </x:si>
  <x:si>
    <x:t xml:space="preserve">Deontay Burnett</x:t>
  </x:si>
  <x:si>
    <x:t xml:space="preserve">WR214</x:t>
  </x:si>
  <x:si>
    <x:t xml:space="preserve">WR215</x:t>
  </x:si>
  <x:si>
    <x:t xml:space="preserve">Ricky White III</x:t>
  </x:si>
  <x:si>
    <x:t xml:space="preserve">WR216</x:t>
  </x:si>
  <x:si>
    <x:t xml:space="preserve">WR217</x:t>
  </x:si>
  <x:si>
    <x:t xml:space="preserve">Jermaine Burton</x:t>
  </x:si>
  <x:si>
    <x:t xml:space="preserve">WR218</x:t>
  </x:si>
  <x:si>
    <x:t xml:space="preserve">Terrace Marshall Jr.</x:t>
  </x:si>
  <x:si>
    <x:t xml:space="preserve">WR219</x:t>
  </x:si>
  <x:si>
    <x:t xml:space="preserve">WR220</x:t>
  </x:si>
  <x:si>
    <x:t xml:space="preserve">WR221</x:t>
  </x:si>
  <x:si>
    <x:t xml:space="preserve">QB61</x:t>
  </x:si>
  <x:si>
    <x:t xml:space="preserve">Tyler Scott</x:t>
  </x:si>
  <x:si>
    <x:t xml:space="preserve">WR222</x:t>
  </x:si>
  <x:si>
    <x:t xml:space="preserve">WR223</x:t>
  </x:si>
  <x:si>
    <x:t xml:space="preserve">QB62</x:t>
  </x:si>
  <x:si>
    <x:t xml:space="preserve">WR224</x:t>
  </x:si>
  <x:si>
    <x:t xml:space="preserve">QB63</x:t>
  </x:si>
  <x:si>
    <x:t xml:space="preserve">Hassan Haskins</x:t>
  </x:si>
  <x:si>
    <x:t xml:space="preserve">RB168</x:t>
  </x:si>
  <x:si>
    <x:t xml:space="preserve">WR225</x:t>
  </x:si>
  <x:si>
    <x:t xml:space="preserve">WR226</x:t>
  </x:si>
  <x:si>
    <x:t xml:space="preserve">WR227</x:t>
  </x:si>
  <x:si>
    <x:t xml:space="preserve">QB64</x:t>
  </x:si>
  <x:si>
    <x:t xml:space="preserve">WR228</x:t>
  </x:si>
  <x:si>
    <x:t xml:space="preserve">WR229</x:t>
  </x:si>
  <x:si>
    <x:t xml:space="preserve">WR230</x:t>
  </x:si>
  <x:si>
    <x:t xml:space="preserve">WR231</x:t>
  </x:si>
  <x:si>
    <x:t xml:space="preserve">Cody White</x:t>
  </x:si>
  <x:si>
    <x:t xml:space="preserve">WR232</x:t>
  </x:si>
  <x:si>
    <x:t xml:space="preserve">WR233</x:t>
  </x:si>
  <x:si>
    <x:t xml:space="preserve">WR234</x:t>
  </x:si>
  <x:si>
    <x:t xml:space="preserve">WR235</x:t>
  </x:si>
  <x:si>
    <x:t xml:space="preserve">WR236</x:t>
  </x:si>
  <x:si>
    <x:t xml:space="preserve">Taysom Hill</x:t>
  </x:si>
  <x:si>
    <x:t xml:space="preserve">TE103</x:t>
  </x:si>
  <x:si>
    <x:t xml:space="preserve">WR237</x:t>
  </x:si>
  <x:si>
    <x:t xml:space="preserve">TE104</x:t>
  </x:si>
  <x:si>
    <x:t xml:space="preserve">WR238</x:t>
  </x:si>
  <x:si>
    <x:t xml:space="preserve">TE105</x:t>
  </x:si>
  <x:si>
    <x:t xml:space="preserve">TE106</x:t>
  </x:si>
  <x:si>
    <x:t xml:space="preserve">Thomas Fidone II</x:t>
  </x:si>
  <x:si>
    <x:t xml:space="preserve">TE107</x:t>
  </x:si>
  <x:si>
    <x:t xml:space="preserve">WR239</x:t>
  </x:si>
  <x:si>
    <x:t xml:space="preserve">Jared Wiley</x:t>
  </x:si>
  <x:si>
    <x:t xml:space="preserve">TE108</x:t>
  </x:si>
  <x:si>
    <x:t xml:space="preserve">TE109</x:t>
  </x:si>
  <x:si>
    <x:t xml:space="preserve">TE110</x:t>
  </x:si>
  <x:si>
    <x:t xml:space="preserve">TE111</x:t>
  </x:si>
  <x:si>
    <x:t xml:space="preserve">TE112</x:t>
  </x:si>
  <x:si>
    <x:t xml:space="preserve">Stone Smartt</x:t>
  </x:si>
  <x:si>
    <x:t xml:space="preserve">TE113</x:t>
  </x:si>
  <x:si>
    <x:t xml:space="preserve">TE114</x:t>
  </x:si>
  <x:si>
    <x:t xml:space="preserve">Kylen Granson</x:t>
  </x:si>
  <x:si>
    <x:t xml:space="preserve">TE115</x:t>
  </x:si>
  <x:si>
    <x:t xml:space="preserve">Elijah Tau-Tolliver</x:t>
  </x:si>
  <x:si>
    <x:t xml:space="preserve">RB169</x:t>
  </x:si>
  <x:si>
    <x:t xml:space="preserve">Teagan Quitoriano</x:t>
  </x:si>
  <x:si>
    <x:t xml:space="preserve">TE116</x:t>
  </x:si>
  <x:si>
    <x:t xml:space="preserve">TE117</x:t>
  </x:si>
  <x:si>
    <x:t xml:space="preserve">Jake Briningstool</x:t>
  </x:si>
  <x:si>
    <x:t xml:space="preserve">TE118</x:t>
  </x:si>
  <x:si>
    <x:t xml:space="preserve">TE119</x:t>
  </x:si>
  <x:si>
    <x:t xml:space="preserve">Ben Yurosek</x:t>
  </x:si>
  <x:si>
    <x:t xml:space="preserve">TE120</x:t>
  </x:si>
  <x:si>
    <x:t xml:space="preserve">TE121</x:t>
  </x:si>
  <x:si>
    <x:t xml:space="preserve">Albert Okwuegbunam Jr.</x:t>
  </x:si>
  <x:si>
    <x:t xml:space="preserve">TE122</x:t>
  </x:si>
  <x:si>
    <x:t xml:space="preserve">TE123</x:t>
  </x:si>
  <x:si>
    <x:t xml:space="preserve">TE124</x:t>
  </x:si>
  <x:si>
    <x:t xml:space="preserve">TE125</x:t>
  </x:si>
  <x:si>
    <x:t xml:space="preserve">David Martin-Robinson</x:t>
  </x:si>
  <x:si>
    <x:t xml:space="preserve">TE126</x:t>
  </x:si>
  <x:si>
    <x:t xml:space="preserve">Corey Kiner</x:t>
  </x:si>
  <x:si>
    <x:t xml:space="preserve">RB170</x:t>
  </x:si>
  <x:si>
    <x:t xml:space="preserve">TE127</x:t>
  </x:si>
  <x:si>
    <x:t xml:space="preserve">Brayden Willis</x:t>
  </x:si>
  <x:si>
    <x:t xml:space="preserve">TE128</x:t>
  </x:si>
  <x:si>
    <x:t xml:space="preserve">Brevin Jordan</x:t>
  </x:si>
  <x:si>
    <x:t xml:space="preserve">TE129</x:t>
  </x:si>
  <x:si>
    <x:t xml:space="preserve">Colson Yankoff</x:t>
  </x:si>
  <x:si>
    <x:t xml:space="preserve">TE130</x:t>
  </x:si>
  <x:si>
    <x:t xml:space="preserve">Cameron Latu</x:t>
  </x:si>
  <x:si>
    <x:t xml:space="preserve">TE131</x:t>
  </x:si>
  <x:si>
    <x:t xml:space="preserve">TE132</x:t>
  </x:si>
  <x:si>
    <x:t xml:space="preserve">Gavin Bartholomew</x:t>
  </x:si>
  <x:si>
    <x:t xml:space="preserve">TE133</x:t>
  </x:si>
  <x:si>
    <x:t xml:space="preserve">TE134</x:t>
  </x:si>
  <x:si>
    <x:t xml:space="preserve">TE135</x:t>
  </x:si>
  <x:si>
    <x:t xml:space="preserve">TE136</x:t>
  </x:si>
  <x:si>
    <x:t xml:space="preserve">TE137</x:t>
  </x:si>
  <x:si>
    <x:t xml:space="preserve">Ty Pezza</x:t>
  </x:si>
  <x:si>
    <x:t xml:space="preserve">TE138</x:t>
  </x:si>
  <x:si>
    <x:t xml:space="preserve">TE139</x:t>
  </x:si>
  <x:si>
    <x:t xml:space="preserve">Raheem Blackshear</x:t>
  </x:si>
  <x:si>
    <x:t xml:space="preserve">RB171</x:t>
  </x:si>
  <x:si>
    <x:t xml:space="preserve">Mario Williams</x:t>
  </x:si>
  <x:si>
    <x:t xml:space="preserve">WR240</x:t>
  </x:si>
  <x:si>
    <x:t xml:space="preserve">Joel Wilson</x:t>
  </x:si>
  <x:si>
    <x:t xml:space="preserve">TE140</x:t>
  </x:si>
  <x:si>
    <x:t xml:space="preserve">Juice Wells Jr.</x:t>
  </x:si>
  <x:si>
    <x:t xml:space="preserve">WR241</x:t>
  </x:si>
  <x:si>
    <x:t xml:space="preserve">RB172</x:t>
  </x:si>
  <x:si>
    <x:t xml:space="preserve">Zach Horton</x:t>
  </x:si>
  <x:si>
    <x:t xml:space="preserve">TE141</x:t>
  </x:si>
  <x:si>
    <x:t xml:space="preserve">Carsen Ryan</x:t>
  </x:si>
  <x:si>
    <x:t xml:space="preserve">TE142</x:t>
  </x:si>
  <x:si>
    <x:t xml:space="preserve">Brenden Bates</x:t>
  </x:si>
  <x:si>
    <x:t xml:space="preserve">TE143</x:t>
  </x:si>
  <x:si>
    <x:t xml:space="preserve">Josiah Deguara</x:t>
  </x:si>
  <x:si>
    <x:t xml:space="preserve">TE144</x:t>
  </x:si>
  <x:si>
    <x:t xml:space="preserve">Anthony Hankerson</x:t>
  </x:si>
  <x:si>
    <x:t xml:space="preserve">RB173</x:t>
  </x:si>
  <x:si>
    <x:t xml:space="preserve">TE145</x:t>
  </x:si>
  <x:si>
    <x:t xml:space="preserve">Bryson Nesbit</x:t>
  </x:si>
  <x:si>
    <x:t xml:space="preserve">TE146</x:t>
  </x:si>
  <x:si>
    <x:t xml:space="preserve">E.J. Jenkins</x:t>
  </x:si>
  <x:si>
    <x:t xml:space="preserve">TE147</x:t>
  </x:si>
  <x:si>
    <x:t xml:space="preserve">Joshua Simon</x:t>
  </x:si>
  <x:si>
    <x:t xml:space="preserve">TE148</x:t>
  </x:si>
  <x:si>
    <x:t xml:space="preserve">TE149</x:t>
  </x:si>
  <x:si>
    <x:t xml:space="preserve">TE150</x:t>
  </x:si>
  <x:si>
    <x:t xml:space="preserve">Rivaldo Fairweather</x:t>
  </x:si>
  <x:si>
    <x:t xml:space="preserve">TE151</x:t>
  </x:si>
  <x:si>
    <x:t xml:space="preserve">Jack Velling</x:t>
  </x:si>
  <x:si>
    <x:t xml:space="preserve">TE152</x:t>
  </x:si>
  <x:si>
    <x:t xml:space="preserve">Princeton Fant</x:t>
  </x:si>
  <x:si>
    <x:t xml:space="preserve">TE153</x:t>
  </x:si>
  <x:si>
    <x:t xml:space="preserve">Lance Mason</x:t>
  </x:si>
  <x:si>
    <x:t xml:space="preserve">TE154</x:t>
  </x:si>
  <x:si>
    <x:t xml:space="preserve">Shane Zylstra</x:t>
  </x:si>
  <x:si>
    <x:t xml:space="preserve">TE155</x:t>
  </x:si>
  <x:si>
    <x:t xml:space="preserve">Jamal Haynes</x:t>
  </x:si>
  <x:si>
    <x:t xml:space="preserve">RB174</x:t>
  </x:si>
  <x:si>
    <x:t xml:space="preserve">DJ Rogers</x:t>
  </x:si>
  <x:si>
    <x:t xml:space="preserve">TE156</x:t>
  </x:si>
  <x:si>
    <x:t xml:space="preserve">Tanner Arkin</x:t>
  </x:si>
  <x:si>
    <x:t xml:space="preserve">TE157</x:t>
  </x:si>
  <x:si>
    <x:t xml:space="preserve">Lake McRee</x:t>
  </x:si>
  <x:si>
    <x:t xml:space="preserve">TE158</x:t>
  </x:si>
  <x:si>
    <x:t xml:space="preserve">Nick Kallerup</x:t>
  </x:si>
  <x:si>
    <x:t xml:space="preserve">TE159</x:t>
  </x:si>
  <x:si>
    <x:t xml:space="preserve">Jack Westover</x:t>
  </x:si>
  <x:si>
    <x:t xml:space="preserve">TE160</x:t>
  </x:si>
  <x:si>
    <x:t xml:space="preserve">Owen Wright</x:t>
  </x:si>
  <x:si>
    <x:t xml:space="preserve">RB175</x:t>
  </x:si>
  <x:si>
    <x:t xml:space="preserve">Pharaoh Brown</x:t>
  </x:si>
  <x:si>
    <x:t xml:space="preserve">TE161</x:t>
  </x:si>
  <x:si>
    <x:t xml:space="preserve">Kenny Fletcher Jr.</x:t>
  </x:si>
  <x:si>
    <x:t xml:space="preserve">TE162</x:t>
  </x:si>
  <x:si>
    <x:t xml:space="preserve">James Mitchell</x:t>
  </x:si>
  <x:si>
    <x:t xml:space="preserve">TE163</x:t>
  </x:si>
  <x:si>
    <x:t xml:space="preserve">TE164</x:t>
  </x:si>
  <x:si>
    <x:t xml:space="preserve">Dean Connors</x:t>
  </x:si>
  <x:si>
    <x:t xml:space="preserve">RB176</x:t>
  </x:si>
  <x:si>
    <x:t xml:space="preserve">Quentin Moore</x:t>
  </x:si>
  <x:si>
    <x:t xml:space="preserve">TE165</x:t>
  </x:si>
  <x:si>
    <x:t xml:space="preserve">RB177</x:t>
  </x:si>
  <x:si>
    <x:t xml:space="preserve">Dontae McMillan</x:t>
  </x:si>
  <x:si>
    <x:t xml:space="preserve">RB178</x:t>
  </x:si>
  <x:si>
    <x:t xml:space="preserve">Patrick Herbert</x:t>
  </x:si>
  <x:si>
    <x:t xml:space="preserve">TE166</x:t>
  </x:si>
  <x:si>
    <x:t xml:space="preserve">Messiah Swinson</x:t>
  </x:si>
  <x:si>
    <x:t xml:space="preserve">TE167</x:t>
  </x:si>
  <x:si>
    <x:t xml:space="preserve">Chris Myarick</x:t>
  </x:si>
  <x:si>
    <x:t xml:space="preserve">TE168</x:t>
  </x:si>
  <x:si>
    <x:t xml:space="preserve">CJ Donaldson</x:t>
  </x:si>
  <x:si>
    <x:t xml:space="preserve">RB179</x:t>
  </x:si>
  <x:si>
    <x:t xml:space="preserve">Chase Curtis</x:t>
  </x:si>
  <x:si>
    <x:t xml:space="preserve">TE169</x:t>
  </x:si>
  <x:si>
    <x:t xml:space="preserve">Chip Trayanum</x:t>
  </x:si>
  <x:si>
    <x:t xml:space="preserve">RB180</x:t>
  </x:si>
  <x:si>
    <x:t xml:space="preserve">Keleki Latu</x:t>
  </x:si>
  <x:si>
    <x:t xml:space="preserve">TE170</x:t>
  </x:si>
  <x:si>
    <x:t xml:space="preserve">TE171</x:t>
  </x:si>
  <x:si>
    <x:t xml:space="preserve">Ameer Abdullah</x:t>
  </x:si>
  <x:si>
    <x:t xml:space="preserve">RB181</x:t>
  </x:si>
  <x:si>
    <x:t xml:space="preserve">Dae'Quan Wright</x:t>
  </x:si>
  <x:si>
    <x:t xml:space="preserve">TE172</x:t>
  </x:si>
  <x:si>
    <x:t xml:space="preserve">Carter Runyon</x:t>
  </x:si>
  <x:si>
    <x:t xml:space="preserve">TE173</x:t>
  </x:si>
  <x:si>
    <x:t xml:space="preserve">Stephen Carlson</x:t>
  </x:si>
  <x:si>
    <x:t xml:space="preserve">TE174</x:t>
  </x:si>
  <x:si>
    <x:t xml:space="preserve">Treyton Welch</x:t>
  </x:si>
  <x:si>
    <x:t xml:space="preserve">TE175</x:t>
  </x:si>
  <x:si>
    <x:t xml:space="preserve">Ja'Quinden Jackson</x:t>
  </x:si>
  <x:si>
    <x:t xml:space="preserve">RB182</x:t>
  </x:si>
  <x:si>
    <x:t xml:space="preserve">Kendrick Law</x:t>
  </x:si>
  <x:si>
    <x:t xml:space="preserve">WR242</x:t>
  </x:si>
  <x:si>
    <x:t xml:space="preserve">Evan Svoboda</x:t>
  </x:si>
  <x:si>
    <x:t xml:space="preserve">TE176</x:t>
  </x:si>
  <x:si>
    <x:t xml:space="preserve">TE177</x:t>
  </x:si>
  <x:si>
    <x:t xml:space="preserve">Brittain Brown</x:t>
  </x:si>
  <x:si>
    <x:t xml:space="preserve">RB183</x:t>
  </x:si>
  <x:si>
    <x:t xml:space="preserve">Cody Hardy</x:t>
  </x:si>
  <x:si>
    <x:t xml:space="preserve">TE178</x:t>
  </x:si>
  <x:si>
    <x:t xml:space="preserve">Kentrel Bullock</x:t>
  </x:si>
  <x:si>
    <x:t xml:space="preserve">RB184</x:t>
  </x:si>
  <x:si>
    <x:t xml:space="preserve">Patrick Gurd</x:t>
  </x:si>
  <x:si>
    <x:t xml:space="preserve">TE179</x:t>
  </x:si>
  <x:si>
    <x:t xml:space="preserve">Michael Wortham</x:t>
  </x:si>
  <x:si>
    <x:t xml:space="preserve">WR243</x:t>
  </x:si>
  <x:si>
    <x:t xml:space="preserve">Mark Redman</x:t>
  </x:si>
  <x:si>
    <x:t xml:space="preserve">TE180</x:t>
  </x:si>
  <x:si>
    <x:t xml:space="preserve">Tyler Johnson</x:t>
  </x:si>
  <x:si>
    <x:t xml:space="preserve">WR244</x:t>
  </x:si>
  <x:si>
    <x:t xml:space="preserve">Dan Villari</x:t>
  </x:si>
  <x:si>
    <x:t xml:space="preserve">TE181</x:t>
  </x:si>
  <x:si>
    <x:t xml:space="preserve">Terion Stewart</x:t>
  </x:si>
  <x:si>
    <x:t xml:space="preserve">RB185</x:t>
  </x:si>
  <x:si>
    <x:t xml:space="preserve">Johnny Pascuzzi</x:t>
  </x:si>
  <x:si>
    <x:t xml:space="preserve">TE182</x:t>
  </x:si>
  <x:si>
    <x:t xml:space="preserve">Gary Brightwell</x:t>
  </x:si>
  <x:si>
    <x:t xml:space="preserve">RB186</x:t>
  </x:si>
  <x:si>
    <x:t xml:space="preserve">Hayden Large</x:t>
  </x:si>
  <x:si>
    <x:t xml:space="preserve">TE183</x:t>
  </x:si>
  <x:si>
    <x:t xml:space="preserve">Rohan Jones</x:t>
  </x:si>
  <x:si>
    <x:t xml:space="preserve">TE184</x:t>
  </x:si>
  <x:si>
    <x:t xml:space="preserve">Desmond Reid</x:t>
  </x:si>
  <x:si>
    <x:t xml:space="preserve">RB187</x:t>
  </x:si>
  <x:si>
    <x:t xml:space="preserve">Gus Edwards</x:t>
  </x:si>
  <x:si>
    <x:t xml:space="preserve">RB188</x:t>
  </x:si>
  <x:si>
    <x:t xml:space="preserve">Dylan Drummond</x:t>
  </x:si>
  <x:si>
    <x:t xml:space="preserve">WR245</x:t>
  </x:si>
  <x:si>
    <x:t xml:space="preserve">Ray-Ray McCloud III</x:t>
  </x:si>
  <x:si>
    <x:t xml:space="preserve">WR246</x:t>
  </x:si>
  <x:si>
    <x:t xml:space="preserve">Josh Kattus</x:t>
  </x:si>
  <x:si>
    <x:t xml:space="preserve">TE185</x:t>
  </x:si>
  <x:si>
    <x:t xml:space="preserve">Amar Johnson</x:t>
  </x:si>
  <x:si>
    <x:t xml:space="preserve">RB189</x:t>
  </x:si>
  <x:si>
    <x:t xml:space="preserve">Davon Booth</x:t>
  </x:si>
  <x:si>
    <x:t xml:space="preserve">RB190</x:t>
  </x:si>
  <x:si>
    <x:t xml:space="preserve">Zack Moss</x:t>
  </x:si>
  <x:si>
    <x:t xml:space="preserve">RB191</x:t>
  </x:si>
  <x:si>
    <x:t xml:space="preserve">Jeff Caldwell</x:t>
  </x:si>
  <x:si>
    <x:t xml:space="preserve">WR247</x:t>
  </x:si>
  <x:si>
    <x:t xml:space="preserve">EJ Smith</x:t>
  </x:si>
  <x:si>
    <x:t xml:space="preserve">RB192</x:t>
  </x:si>
  <x:si>
    <x:t xml:space="preserve">Ronnie Bell</x:t>
  </x:si>
  <x:si>
    <x:t xml:space="preserve">WR248</x:t>
  </x:si>
  <x:si>
    <x:t xml:space="preserve">Trey Sermon</x:t>
  </x:si>
  <x:si>
    <x:t xml:space="preserve">RB193</x:t>
  </x:si>
  <x:si>
    <x:t xml:space="preserve">Shedrick Jackson</x:t>
  </x:si>
  <x:si>
    <x:t xml:space="preserve">WR249</x:t>
  </x:si>
  <x:si>
    <x:t xml:space="preserve">Jeff Wilson Jr.</x:t>
  </x:si>
  <x:si>
    <x:t xml:space="preserve">RB194</x:t>
  </x:si>
  <x:si>
    <x:t xml:space="preserve">Deven Thompkins</x:t>
  </x:si>
  <x:si>
    <x:t xml:space="preserve">WR250</x:t>
  </x:si>
  <x:si>
    <x:t xml:space="preserve">Dante Pettis</x:t>
  </x:si>
  <x:si>
    <x:t xml:space="preserve">WR251</x:t>
  </x:si>
  <x:si>
    <x:t xml:space="preserve">Royce Freeman</x:t>
  </x:si>
  <x:si>
    <x:t xml:space="preserve">RB195</x:t>
  </x:si>
  <x:si>
    <x:t xml:space="preserve">TE186</x:t>
  </x:si>
  <x:si>
    <x:t xml:space="preserve">Julius Chestnut</x:t>
  </x:si>
  <x:si>
    <x:t xml:space="preserve">RB196</x:t>
  </x:si>
  <x:si>
    <x:t xml:space="preserve">Simi Fehoko</x:t>
  </x:si>
  <x:si>
    <x:t xml:space="preserve">WR252</x:t>
  </x:si>
  <x:si>
    <x:t xml:space="preserve">Tylan Wallace</x:t>
  </x:si>
  <x:si>
    <x:t xml:space="preserve">WR253</x:t>
  </x:si>
  <x:si>
    <x:t xml:space="preserve">Cody Schrader</x:t>
  </x:si>
  <x:si>
    <x:t xml:space="preserve">RB197</x:t>
  </x:si>
  <x:si>
    <x:t xml:space="preserve">RB198</x:t>
  </x:si>
  <x:si>
    <x:t xml:space="preserve">Tom Kennedy</x:t>
  </x:si>
  <x:si>
    <x:t xml:space="preserve">WR254</x:t>
  </x:si>
  <x:si>
    <x:t xml:space="preserve">Jaden Nixon</x:t>
  </x:si>
  <x:si>
    <x:t xml:space="preserve">RB199</x:t>
  </x:si>
  <x:si>
    <x:t xml:space="preserve">D'Onta Foreman</x:t>
  </x:si>
  <x:si>
    <x:t xml:space="preserve">RB200</x:t>
  </x:si>
  <x:si>
    <x:t xml:space="preserve">Xavier Weaver</x:t>
  </x:si>
  <x:si>
    <x:t xml:space="preserve">WR255</x:t>
  </x:si>
  <x:si>
    <x:t xml:space="preserve">Carson Steele</x:t>
  </x:si>
  <x:si>
    <x:t xml:space="preserve">RB201</x:t>
  </x:si>
  <x:si>
    <x:t xml:space="preserve">RB202</x:t>
  </x:si>
  <x:si>
    <x:t xml:space="preserve">Jalin Hyatt</x:t>
  </x:si>
  <x:si>
    <x:t xml:space="preserve">WR256</x:t>
  </x:si>
  <x:si>
    <x:t xml:space="preserve">Dare Ogunbowale</x:t>
  </x:si>
  <x:si>
    <x:t xml:space="preserve">RB203</x:t>
  </x:si>
  <x:si>
    <x:t xml:space="preserve">Zamir White</x:t>
  </x:si>
  <x:si>
    <x:t xml:space="preserve">RB204</x:t>
  </x:si>
  <x:si>
    <x:t xml:space="preserve">Tay Martin</x:t>
  </x:si>
  <x:si>
    <x:t xml:space="preserve">WR257</x:t>
  </x:si>
  <x:si>
    <x:t xml:space="preserve">Chris Moore</x:t>
  </x:si>
  <x:si>
    <x:t xml:space="preserve">WR258</x:t>
  </x:si>
  <x:si>
    <x:t xml:space="preserve">WR259</x:t>
  </x:si>
  <x:si>
    <x:t xml:space="preserve">Gregory Desrosiers</x:t>
  </x:si>
  <x:si>
    <x:t xml:space="preserve">RB205</x:t>
  </x:si>
  <x:si>
    <x:t xml:space="preserve">Evan Hull</x:t>
  </x:si>
  <x:si>
    <x:t xml:space="preserve">RB206</x:t>
  </x:si>
  <x:si>
    <x:t xml:space="preserve">Clyde Edwards-Helaire</x:t>
  </x:si>
  <x:si>
    <x:t xml:space="preserve">RB207</x:t>
  </x:si>
  <x:si>
    <x:t xml:space="preserve">Bryce Oliver</x:t>
  </x:si>
  <x:si>
    <x:t xml:space="preserve">WR260</x:t>
  </x:si>
  <x:si>
    <x:t xml:space="preserve">Jason Brownlee</x:t>
  </x:si>
  <x:si>
    <x:t xml:space="preserve">WR261</x:t>
  </x:si>
  <x:si>
    <x:t xml:space="preserve">Myles Gaskin</x:t>
  </x:si>
  <x:si>
    <x:t xml:space="preserve">RB208</x:t>
  </x:si>
  <x:si>
    <x:t xml:space="preserve">Sam Scott</x:t>
  </x:si>
  <x:si>
    <x:t xml:space="preserve">RB209</x:t>
  </x:si>
  <x:si>
    <x:t xml:space="preserve">Darrynton Evans</x:t>
  </x:si>
  <x:si>
    <x:t xml:space="preserve">RB210</x:t>
  </x:si>
  <x:si>
    <x:t xml:space="preserve">KhaDarel Hodge</x:t>
  </x:si>
  <x:si>
    <x:t xml:space="preserve">WR262</x:t>
  </x:si>
  <x:si>
    <x:t xml:space="preserve">Tyrion Davis-Price</x:t>
  </x:si>
  <x:si>
    <x:t xml:space="preserve">RB211</x:t>
  </x:si>
  <x:si>
    <x:t xml:space="preserve">Camden Brown</x:t>
  </x:si>
  <x:si>
    <x:t xml:space="preserve">WR263</x:t>
  </x:si>
  <x:si>
    <x:t xml:space="preserve">Jashaun Corbin</x:t>
  </x:si>
  <x:si>
    <x:t xml:space="preserve">RB212</x:t>
  </x:si>
  <x:si>
    <x:t xml:space="preserve">Alex Bachman</x:t>
  </x:si>
  <x:si>
    <x:t xml:space="preserve">WR264</x:t>
  </x:si>
  <x:si>
    <x:t xml:space="preserve">Gabe Davis</x:t>
  </x:si>
  <x:si>
    <x:t xml:space="preserve">WR265</x:t>
  </x:si>
  <x:si>
    <x:t xml:space="preserve">WR266</x:t>
  </x:si>
  <x:si>
    <x:t xml:space="preserve">Jimmy Holiday</x:t>
  </x:si>
  <x:si>
    <x:t xml:space="preserve">WR267</x:t>
  </x:si>
  <x:si>
    <x:t xml:space="preserve">D'Ernest Johnson</x:t>
  </x:si>
  <x:si>
    <x:t xml:space="preserve">RB213</x:t>
  </x:si>
  <x:si>
    <x:t xml:space="preserve">Samori Toure</x:t>
  </x:si>
  <x:si>
    <x:t xml:space="preserve">WR268</x:t>
  </x:si>
  <x:si>
    <x:t xml:space="preserve">Trent Sherfield Sr.</x:t>
  </x:si>
  <x:si>
    <x:t xml:space="preserve">WR269</x:t>
  </x:si>
  <x:si>
    <x:t xml:space="preserve">Eli Pancol</x:t>
  </x:si>
  <x:si>
    <x:t xml:space="preserve">WR270</x:t>
  </x:si>
  <x:si>
    <x:t xml:space="preserve">Zay Jones</x:t>
  </x:si>
  <x:si>
    <x:t xml:space="preserve">WR271</x:t>
  </x:si>
  <x:si>
    <x:t xml:space="preserve">Emmanuel Henderson Jr.</x:t>
  </x:si>
  <x:si>
    <x:t xml:space="preserve">WR272</x:t>
  </x:si>
  <x:si>
    <x:t xml:space="preserve">Tejhaun Palmer</x:t>
  </x:si>
  <x:si>
    <x:t xml:space="preserve">WR273</x:t>
  </x:si>
  <x:si>
    <x:t xml:space="preserve">Xavier Gipson</x:t>
  </x:si>
  <x:si>
    <x:t xml:space="preserve">WR274</x:t>
  </x:si>
  <x:si>
    <x:t xml:space="preserve">Isaiah Neyor</x:t>
  </x:si>
  <x:si>
    <x:t xml:space="preserve">WR275</x:t>
  </x:si>
  <x:si>
    <x:t xml:space="preserve">Andrew Armstrong</x:t>
  </x:si>
  <x:si>
    <x:t xml:space="preserve">WR276</x:t>
  </x:si>
  <x:si>
    <x:t xml:space="preserve">Raylen Sharpe</x:t>
  </x:si>
  <x:si>
    <x:t xml:space="preserve">WR277</x:t>
  </x:si>
  <x:si>
    <x:t xml:space="preserve">Sederrick Cunningham</x:t>
  </x:si>
  <x:si>
    <x:t xml:space="preserve">WR278</x:t>
  </x:si>
  <x:si>
    <x:t xml:space="preserve">Jacob De Jesus</x:t>
  </x:si>
  <x:si>
    <x:t xml:space="preserve">WR279</x:t>
  </x:si>
  <x:si>
    <x:t xml:space="preserve">Sahmir Hagans</x:t>
  </x:si>
  <x:si>
    <x:t xml:space="preserve">WR280</x:t>
  </x:si>
  <x:si>
    <x:t xml:space="preserve">Omari Kelly</x:t>
  </x:si>
  <x:si>
    <x:t xml:space="preserve">WR281</x:t>
  </x:si>
  <x:si>
    <x:t xml:space="preserve">Malik Turner</x:t>
  </x:si>
  <x:si>
    <x:t xml:space="preserve">WR282</x:t>
  </x:si>
  <x:si>
    <x:t xml:space="preserve">Anthony Smith</x:t>
  </x:si>
  <x:si>
    <x:t xml:space="preserve">WR283</x:t>
  </x:si>
  <x:si>
    <x:t xml:space="preserve">Brennan Presley</x:t>
  </x:si>
  <x:si>
    <x:t xml:space="preserve">WR284</x:t>
  </x:si>
  <x:si>
    <x:t xml:space="preserve">Kaden Prather</x:t>
  </x:si>
  <x:si>
    <x:t xml:space="preserve">WR285</x:t>
  </x:si>
  <x:si>
    <x:t xml:space="preserve">Omari Evans</x:t>
  </x:si>
  <x:si>
    <x:t xml:space="preserve">WR286</x:t>
  </x:si>
  <x:si>
    <x:t xml:space="preserve">Tru Edwards</x:t>
  </x:si>
  <x:si>
    <x:t xml:space="preserve">WR287</x:t>
  </x:si>
  <x:si>
    <x:t xml:space="preserve">JP Richardson</x:t>
  </x:si>
  <x:si>
    <x:t xml:space="preserve">WR288</x:t>
  </x:si>
  <x:si>
    <x:t xml:space="preserve">Xavier Loyd</x:t>
  </x:si>
  <x:si>
    <x:t xml:space="preserve">WR289</x:t>
  </x:si>
  <x:si>
    <x:t xml:space="preserve">WR290</x:t>
  </x:si>
  <x:si>
    <x:t xml:space="preserve">Dalen Cambre</x:t>
  </x:si>
  <x:si>
    <x:t xml:space="preserve">WR291</x:t>
  </x:si>
  <x:si>
    <x:t xml:space="preserve">Devonte Ross</x:t>
  </x:si>
  <x:si>
    <x:t xml:space="preserve">WR292</x:t>
  </x:si>
  <x:si>
    <x:t xml:space="preserve">Nick Nash</x:t>
  </x:si>
  <x:si>
    <x:t xml:space="preserve">WR293</x:t>
  </x:si>
  <x:si>
    <x:t xml:space="preserve">Jordan Moore</x:t>
  </x:si>
  <x:si>
    <x:t xml:space="preserve">WR294</x:t>
  </x:si>
  <x:si>
    <x:t xml:space="preserve">Chris Hilton Jr.</x:t>
  </x:si>
  <x:si>
    <x:t xml:space="preserve">WR295</x:t>
  </x:si>
  <x:si>
    <x:t xml:space="preserve">Brandon Smith</x:t>
  </x:si>
  <x:si>
    <x:t xml:space="preserve">WR296</x:t>
  </x:si>
  <x:si>
    <x:t xml:space="preserve">Sincere Brown</x:t>
  </x:si>
  <x:si>
    <x:t xml:space="preserve">WR297</x:t>
  </x:si>
  <x:si>
    <x:t xml:space="preserve">Jamaal Pritchett</x:t>
  </x:si>
  <x:si>
    <x:t xml:space="preserve">WR298</x:t>
  </x:si>
  <x:si>
    <x:t xml:space="preserve">Jaden Bradley</x:t>
  </x:si>
  <x:si>
    <x:t xml:space="preserve">WR299</x:t>
  </x:si>
  <x:si>
    <x:t xml:space="preserve">Noah Thomas</x:t>
  </x:si>
  <x:si>
    <x:t xml:space="preserve">WR300</x:t>
  </x:si>
  <x:si>
    <x:t xml:space="preserve">Tyren Montgomery</x:t>
  </x:si>
  <x:si>
    <x:t xml:space="preserve">WR301</x:t>
  </x:si>
  <x:si>
    <x:t xml:space="preserve">Rashad Rochelle</x:t>
  </x:si>
  <x:si>
    <x:t xml:space="preserve">WR302</x:t>
  </x:si>
  <x:si>
    <x:t xml:space="preserve">Brandon Johnson</x:t>
  </x:si>
  <x:si>
    <x:t xml:space="preserve">WR303</x:t>
  </x:si>
  <x:si>
    <x:t xml:space="preserve">Josh Kelly</x:t>
  </x:si>
  <x:si>
    <x:t xml:space="preserve">WR304</x:t>
  </x:si>
  <x:si>
    <x:t xml:space="preserve">E.J. Williams Jr.</x:t>
  </x:si>
  <x:si>
    <x:t xml:space="preserve">WR305</x:t>
  </x:si>
  <x:si>
    <x:t xml:space="preserve">Beaux Collins</x:t>
  </x:si>
  <x:si>
    <x:t xml:space="preserve">WR306</x:t>
  </x:si>
  <x:si>
    <x:t xml:space="preserve">Donaven McCulley</x:t>
  </x:si>
  <x:si>
    <x:t xml:space="preserve">WR307</x:t>
  </x:si>
  <x:si>
    <x:t xml:space="preserve">Junior Bergen</x:t>
  </x:si>
  <x:si>
    <x:t xml:space="preserve">WR308</x:t>
  </x:si>
  <x:si>
    <x:t xml:space="preserve">Caullin Lacy</x:t>
  </x:si>
  <x:si>
    <x:t xml:space="preserve">WR309</x:t>
  </x:si>
  <x:si>
    <x:t xml:space="preserve">Dontae Fleming</x:t>
  </x:si>
  <x:si>
    <x:t xml:space="preserve">WR310</x:t>
  </x:si>
  <x:si>
    <x:t xml:space="preserve">Eric Rivers Jr.</x:t>
  </x:si>
  <x:si>
    <x:t xml:space="preserve">WR311</x:t>
  </x:si>
  <x:si>
    <x:t xml:space="preserve">Malik McClain</x:t>
  </x:si>
  <x:si>
    <x:t xml:space="preserve">WR312</x:t>
  </x:si>
  <x:si>
    <x:t xml:space="preserve">Hakeem Butler</x:t>
  </x:si>
  <x:si>
    <x:t xml:space="preserve">WR313</x:t>
  </x:si>
  <x:si>
    <x:t xml:space="preserve">Dillon Bell</x:t>
  </x:si>
  <x:si>
    <x:t xml:space="preserve">WR314</x:t>
  </x:si>
  <x:si>
    <x:t xml:space="preserve">Dane Key</x:t>
  </x:si>
  <x:si>
    <x:t xml:space="preserve">WR315</x:t>
  </x:si>
  <x:si>
    <x:t xml:space="preserve">AJ Henning</x:t>
  </x:si>
  <x:si>
    <x:t xml:space="preserve">WR316</x:t>
  </x:si>
  <x:si>
    <x:t xml:space="preserve">Jordan Hudson</x:t>
  </x:si>
  <x:si>
    <x:t xml:space="preserve">WR317</x:t>
  </x:si>
  <x:si>
    <x:t xml:space="preserve">Quez Watkins</x:t>
  </x:si>
  <x:si>
    <x:t xml:space="preserve">WR318</x:t>
  </x:si>
  <x:si>
    <x:t xml:space="preserve">Danny Gray</x:t>
  </x:si>
  <x:si>
    <x:t xml:space="preserve">WR319</x:t>
  </x:si>
  <x:si>
    <x:t xml:space="preserve">Stephen Gosnell</x:t>
  </x:si>
  <x:si>
    <x:t xml:space="preserve">WR320</x:t>
  </x:si>
  <x:si>
    <x:t xml:space="preserve">Treyvhon Saunders</x:t>
  </x:si>
  <x:si>
    <x:t xml:space="preserve">WR321</x:t>
  </x:si>
  <x:si>
    <x:t xml:space="preserve">Trey Palmer</x:t>
  </x:si>
  <x:si>
    <x:t xml:space="preserve">WR322</x:t>
  </x:si>
  <x:si>
    <x:t xml:space="preserve">Daniel Sobkowicz</x:t>
  </x:si>
  <x:si>
    <x:t xml:space="preserve">WR323</x:t>
  </x:si>
  <x:si>
    <x:t xml:space="preserve">Dennis Houston</x:t>
  </x:si>
  <x:si>
    <x:t xml:space="preserve">WR324</x:t>
  </x:si>
  <x:si>
    <x:t xml:space="preserve">Wesley Grimes</x:t>
  </x:si>
  <x:si>
    <x:t xml:space="preserve">WR325</x:t>
  </x:si>
  <x:si>
    <x:t xml:space="preserve">Kolbe Katsis</x:t>
  </x:si>
  <x:si>
    <x:t xml:space="preserve">WR326</x:t>
  </x:si>
  <x:si>
    <x:t xml:space="preserve">Nick DeGennaro</x:t>
  </x:si>
  <x:si>
    <x:t xml:space="preserve">WR327</x:t>
  </x:si>
  <x:si>
    <x:t xml:space="preserve">Dean Patterson IV</x:t>
  </x:si>
  <x:si>
    <x:t xml:space="preserve">WR328</x:t>
  </x:si>
  <x:si>
    <x:t xml:space="preserve">Cameron Dorner</x:t>
  </x:si>
  <x:si>
    <x:t xml:space="preserve">WR329</x:t>
  </x:si>
  <x:si>
    <x:t xml:space="preserve">Cameron Ross</x:t>
  </x:si>
  <x:si>
    <x:t xml:space="preserve">WR330</x:t>
  </x:si>
  <x:si>
    <x:t xml:space="preserve">Kobe Prentice</x:t>
  </x:si>
  <x:si>
    <x:t xml:space="preserve">WR331</x:t>
  </x:si>
  <x:si>
    <x:t xml:space="preserve">Keelan Marion</x:t>
  </x:si>
  <x:si>
    <x:t xml:space="preserve">WR332</x:t>
  </x:si>
  <x:si>
    <x:t xml:space="preserve">Max Tomczak</x:t>
  </x:si>
  <x:si>
    <x:t xml:space="preserve">WR333</x:t>
  </x:si>
  <x:si>
    <x:t xml:space="preserve">Johnny Wilson</x:t>
  </x:si>
  <x:si>
    <x:t xml:space="preserve">WR334</x:t>
  </x:si>
  <x:si>
    <x:t xml:space="preserve">Hank Beatty</x:t>
  </x:si>
  <x:si>
    <x:t xml:space="preserve">WR335</x:t>
  </x:si>
  <x:si>
    <x:t xml:space="preserve">Kyle Dixon</x:t>
  </x:si>
  <x:si>
    <x:t xml:space="preserve">WR336</x:t>
  </x:si>
  <x:si>
    <x:t xml:space="preserve">Ja'Mori Maclin</x:t>
  </x:si>
  <x:si>
    <x:t xml:space="preserve">WR337</x:t>
  </x:si>
  <x:si>
    <x:t xml:space="preserve">Jackson Meeks</x:t>
  </x:si>
  <x:si>
    <x:t xml:space="preserve">WR338</x:t>
  </x:si>
  <x:si>
    <x:t xml:space="preserve">Lance McCutcheon</x:t>
  </x:si>
  <x:si>
    <x:t xml:space="preserve">WR339</x:t>
  </x:si>
  <x:si>
    <x:t xml:space="preserve">Courtney Jackson</x:t>
  </x:si>
  <x:si>
    <x:t xml:space="preserve">WR340</x:t>
  </x:si>
  <x:si>
    <x:t xml:space="preserve">Luke Floriea</x:t>
  </x:si>
  <x:si>
    <x:t xml:space="preserve">WR341</x:t>
  </x:si>
  <x:si>
    <x:t xml:space="preserve">Brock Rechsteiner</x:t>
  </x:si>
  <x:si>
    <x:t xml:space="preserve">WR342</x:t>
  </x:si>
  <x:si>
    <x:t xml:space="preserve">Kole Wilson</x:t>
  </x:si>
  <x:si>
    <x:t xml:space="preserve">WR343</x:t>
  </x:si>
  <x:si>
    <x:t xml:space="preserve">Bryson Green</x:t>
  </x:si>
  <x:si>
    <x:t xml:space="preserve">WR344</x:t>
  </x:si>
  <x:si>
    <x:t xml:space="preserve">Cornelius Johnson</x:t>
  </x:si>
  <x:si>
    <x:t xml:space="preserve">WR345</x:t>
  </x:si>
  <x:si>
    <x:t xml:space="preserve">Xavier Guillory</x:t>
  </x:si>
  <x:si>
    <x:t xml:space="preserve">WR346</x:t>
  </x:si>
  <x:si>
    <x:t xml:space="preserve">Cortez Braham Jr.</x:t>
  </x:si>
  <x:si>
    <x:t xml:space="preserve">WR347</x:t>
  </x:si>
  <x:si>
    <x:t xml:space="preserve">Harrison Wallace III</x:t>
  </x:si>
  <x:si>
    <x:t xml:space="preserve">WR348</x:t>
  </x:si>
  <x:si>
    <x:t xml:space="preserve">Octavian Smith Jr.</x:t>
  </x:si>
  <x:si>
    <x:t xml:space="preserve">WR349</x:t>
  </x:si>
  <x:si>
    <x:t xml:space="preserve">Irv Charles</x:t>
  </x:si>
  <x:si>
    <x:t xml:space="preserve">WR350</x:t>
  </x:si>
  <x:si>
    <x:t xml:space="preserve">Phillip Dorsett II</x:t>
  </x:si>
  <x:si>
    <x:t xml:space="preserve">WR351</x:t>
  </x:si>
  <x:si>
    <x:t xml:space="preserve">Trenton Irwin</x:t>
  </x:si>
  <x:si>
    <x:t xml:space="preserve">WR352</x:t>
  </x:si>
  <x:si>
    <x:t xml:space="preserve">Ihmir Smith-Marsette</x:t>
  </x:si>
  <x:si>
    <x:t xml:space="preserve">WR353</x:t>
  </x:si>
  <x:si>
    <x:t xml:space="preserve">Position</x:t>
  </x:si>
  <x:si>
    <x:t xml:space="preserve">Projected Games Adjustment</x:t>
  </x:si>
  <x:si>
    <x:t xml:space="preserve">QB65</x:t>
  </x:si>
  <x:si>
    <x:t xml:space="preserve">QB66</x:t>
  </x:si>
  <x:si>
    <x:t xml:space="preserve">QB67</x:t>
  </x:si>
  <x:si>
    <x:t xml:space="preserve">QB68</x:t>
  </x:si>
  <x:si>
    <x:t xml:space="preserve">QB69</x:t>
  </x:si>
  <x:si>
    <x:t xml:space="preserve">QB70</x:t>
  </x:si>
  <x:si>
    <x:t xml:space="preserve">QB71</x:t>
  </x:si>
  <x:si>
    <x:t xml:space="preserve">QB72</x:t>
  </x:si>
  <x:si>
    <x:t xml:space="preserve">QB73</x:t>
  </x:si>
  <x:si>
    <x:t xml:space="preserve">QB74</x:t>
  </x:si>
  <x:si>
    <x:t xml:space="preserve">QB75</x:t>
  </x:si>
  <x:si>
    <x:t xml:space="preserve">Brendan Sorsby</x:t>
  </x:si>
  <x:si>
    <x:t xml:space="preserve">Diego Pavia</x:t>
  </x:si>
  <x:si>
    <x:t xml:space="preserve">Aaron Anderson</x:t>
  </x:si>
  <x:si>
    <x:t xml:space="preserve">Eric McAlister</x:t>
  </x:si>
  <x:si>
    <x:t xml:space="preserve">TJ Harden</x:t>
  </x:si>
  <x:si>
    <x:t xml:space="preserve">John Michael Gyllenborg</x:t>
  </x:si>
  <x:si>
    <x:t xml:space="preserve">Luke Altmyer</x:t>
  </x:si>
  <x:si>
    <x:t xml:space="preserve">Joe Fagnano</x:t>
  </x:si>
  <x:si>
    <x:t xml:space="preserve">Rahsul Faison</x:t>
  </x:si>
  <x:si>
    <x:t xml:space="preserve">Trebor Pena</x:t>
  </x:si>
  <x:si>
    <x:t xml:space="preserve">Haynes King</x:t>
  </x:si>
  <x:si>
    <x:t xml:space="preserve">Miller Moss</x:t>
  </x:si>
  <x:si>
    <x:t xml:space="preserve">Joey Aguilar</x:t>
  </x:si>
  <x:si>
    <x:t xml:space="preserve">Sawyer Robertson</x:t>
  </x:si>
  <x:si>
    <x:t xml:space="preserve">Jalon Daniels</x:t>
  </x:si>
  <x:si>
    <x:t xml:space="preserve">Chase Roberts</x:t>
  </x:si>
  <x:si>
    <x:t xml:space="preserve">Rueben Owens II</x:t>
  </x:si>
</x:sst>
</file>

<file path=xl/styles.xml><?xml version="1.0" encoding="utf-8"?>
<x:styleSheet xmlns:x="http://schemas.openxmlformats.org/spreadsheetml/2006/main">
  <x:numFmts count="4">
    <x:numFmt numFmtId="164" formatCode="0.0"/>
    <x:numFmt numFmtId="165" formatCode="\$#,##0_);[Red]&quot;($&quot;#,##0\)"/>
    <x:numFmt numFmtId="166" formatCode="\$#,##0"/>
    <x:numFmt numFmtId="167" formatCode="0.000"/>
  </x:numFmts>
  <x:fonts count="28">
    <x:font>
      <x:sz val="11"/>
      <x:color theme="1"/>
      <x:name val="Aptos Narrow"/>
    </x:font>
    <x:font>
      <x:color theme="1"/>
      <x:name val="Aptos Narrow"/>
    </x:font>
    <x:font>
      <x:sz val="11"/>
      <x:color theme="1"/>
      <x:name val="Aptos Narrow"/>
    </x:font>
    <x:font>
      <x:b/>
      <x:i/>
      <x:sz val="8"/>
      <x:color rgb="FF0000FF"/>
      <x:name val="Aptos Narrow"/>
    </x:font>
    <x:font>
      <x:b/>
      <x:sz val="11"/>
      <x:color theme="0"/>
      <x:name val="Aptos Narrow"/>
    </x:font>
    <x:font>
      <x:b/>
      <x:sz val="18"/>
      <x:color theme="0"/>
      <x:name val="Aptos Narrow"/>
    </x:font>
    <x:font/>
    <x:font>
      <x:b/>
      <x:sz val="11"/>
      <x:color theme="1"/>
      <x:name val="Aptos Narrow"/>
    </x:font>
    <x:font>
      <x:b/>
      <x:sz val="18"/>
      <x:color rgb="FFFFFFFF"/>
      <x:name val="Aptos Narrow"/>
    </x:font>
    <x:font>
      <x:b/>
      <x:sz val="12"/>
      <x:color rgb="FFFFFFFF"/>
      <x:name val="Cambria"/>
    </x:font>
    <x:font>
      <x:b/>
      <x:sz val="16"/>
      <x:color theme="0"/>
      <x:name val="Aptos Narrow"/>
    </x:font>
    <x:font>
      <x:b/>
      <x:sz val="16"/>
      <x:color theme="1"/>
      <x:name val="Aptos Narrow"/>
    </x:font>
    <x:font>
      <x:b/>
      <x:sz val="16"/>
      <x:color theme="1"/>
      <x:name val="Aptos Narrow"/>
    </x:font>
    <x:font>
      <x:i/>
      <x:sz val="9"/>
      <x:color rgb="FF404040"/>
      <x:name val="Aptos Narrow"/>
    </x:font>
    <x:font>
      <x:b/>
      <x:sz val="11"/>
      <x:color rgb="FFFFFFFF"/>
      <x:name val="Cambria"/>
    </x:font>
    <x:font>
      <x:b/>
      <x:i/>
      <x:sz val="16"/>
      <x:color theme="1"/>
      <x:name val="Aptos Narrow"/>
    </x:font>
    <x:font>
      <x:b/>
      <x:sz val="11"/>
      <x:color theme="1"/>
      <x:name val="Cambria"/>
    </x:font>
    <x:font>
      <x:b/>
      <x:sz val="16"/>
      <x:color rgb="FFFF0000"/>
      <x:name val="Aptos Narrow"/>
    </x:font>
    <x:font>
      <x:sz val="14"/>
      <x:color theme="1"/>
      <x:name val="Aptos Narrow"/>
    </x:font>
    <x:font>
      <x:b/>
      <x:sz val="11"/>
      <x:color theme="1"/>
      <x:name val="Aptos Narrow"/>
    </x:font>
    <x:font>
      <x:b/>
      <x:sz val="11"/>
      <x:color theme="1"/>
      <x:name val="Aptos Narrow"/>
    </x:font>
    <x:font>
      <x:b/>
      <x:sz val="14"/>
      <x:color theme="0"/>
      <x:name val="Aptos Narrow"/>
    </x:font>
    <x:font>
      <x:b/>
      <x:sz val="9"/>
      <x:color theme="1"/>
      <x:name val="Aptos Narrow"/>
    </x:font>
    <x:font>
      <x:b/>
      <x:sz val="10"/>
      <x:color theme="1"/>
      <x:name val="Aptos Narrow"/>
    </x:font>
    <x:font>
      <x:b/>
      <x:sz val="10"/>
      <x:color theme="1"/>
      <x:name val="Aptos Narrow"/>
    </x:font>
    <x:font>
      <x:b/>
      <x:sz val="12"/>
      <x:color theme="0"/>
      <x:name val="Aptos Narrow"/>
    </x:font>
    <x:font>
      <x:b/>
      <x:sz val="10"/>
      <x:color theme="0"/>
      <x:name val="Aptos Narrow"/>
    </x:font>
    <x:font>
      <x:b/>
      <x:sz val="11"/>
      <x:color rgb="FFFFFFFF"/>
      <x:name val="Aptos Narrow"/>
    </x:font>
  </x:fonts>
  <x:fills count="11">
    <x:fill>
      <x:patternFill patternType="none"/>
    </x:fill>
    <x:fill>
      <x:patternFill patternType="lightGray"/>
    </x:fill>
    <x:fill>
      <x:patternFill patternType="solid">
        <x:fgColor theme="0"/>
      </x:patternFill>
    </x:fill>
    <x:fill>
      <x:patternFill patternType="solid">
        <x:fgColor theme="1"/>
      </x:patternFill>
    </x:fill>
    <x:fill>
      <x:patternFill patternType="solid">
        <x:fgColor rgb="FF7F7F7F"/>
      </x:patternFill>
    </x:fill>
    <x:fill>
      <x:patternFill patternType="solid">
        <x:fgColor rgb="FF1F3864"/>
      </x:patternFill>
    </x:fill>
    <x:fill>
      <x:patternFill patternType="solid">
        <x:fgColor rgb="FFD9D9D9"/>
      </x:patternFill>
    </x:fill>
    <x:fill>
      <x:patternFill patternType="solid">
        <x:fgColor rgb="FF44546A"/>
      </x:patternFill>
    </x:fill>
    <x:fill>
      <x:patternFill patternType="solid">
        <x:fgColor rgb="FFFFF2CC"/>
      </x:patternFill>
    </x:fill>
    <x:fill>
      <x:patternFill patternType="solid">
        <x:fgColor rgb="FFBFBFBF"/>
      </x:patternFill>
    </x:fill>
    <x:fill>
      <x:patternFill patternType="solid">
        <x:fgColor rgb="FFEDEDED"/>
      </x:patternFill>
    </x:fill>
  </x:fills>
  <x:borders count="48">
    <x:border/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/>
    <x:border/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  <x:right style="thin">
        <x:color rgb="FFA6A6A6"/>
      </x:right>
      <x:top style="medium">
        <x:color rgb="FF000000"/>
      </x:top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thin">
        <x:color rgb="FF000000"/>
      </x:bottom>
    </x:border>
    <x:border>
      <x:top style="thin">
        <x:color theme="1"/>
      </x:top>
    </x:border>
    <x:border>
      <x:right style="thin">
        <x:color theme="1"/>
      </x:right>
      <x:top style="thin">
        <x:color theme="1"/>
      </x:top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/>
    <x:border/>
    <x:border/>
    <x:border/>
    <x:border/>
    <x:border/>
    <x:border/>
    <x:border/>
    <x:border>
      <x:left style="medium">
        <x:color rgb="FF000000"/>
      </x:left>
    </x:border>
    <x:border>
      <x:right style="medium">
        <x:color rgb="FF000000"/>
      </x:right>
    </x:border>
    <x:border>
      <x:left style="thin">
        <x:color rgb="FFBFBFBF"/>
      </x:left>
      <x:top style="thin">
        <x:color rgb="FFBFBFBF"/>
      </x:top>
      <x:bottom style="thin">
        <x:color rgb="FFBFBFBF"/>
      </x:bottom>
    </x:border>
    <x:border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</x:borders>
  <x:cellStyleXfs count="1">
    <x:xf numFmtId="0" fontId="0" fillId="0" borderId="0" applyFont="1" applyAlignment="1"/>
  </x:cellStyleXfs>
  <x:cellXfs count="134">
    <x:xf numFmtId="0" fontId="0" fillId="0" borderId="0" xfId="0" applyFont="1" applyAlignment="1">
      <x:alignment vertical="bottom" wrapText="0"/>
    </x:xf>
    <x:xf numFmtId="0" fontId="1" fillId="0" borderId="0" xfId="0" applyFont="1"/>
    <x:xf numFmtId="0" fontId="2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/>
    </x:xf>
    <x:xf numFmtId="0" fontId="4" fillId="3" borderId="1" xfId="0" applyFont="1" applyFill="1" applyBorder="1" applyAlignment="1">
      <x:alignment horizontal="center"/>
    </x:xf>
    <x:xf numFmtId="0" fontId="5" fillId="3" borderId="3" xfId="0" applyFont="1" applyFill="1" applyBorder="1" applyAlignment="1">
      <x:alignment horizontal="center" vertical="center"/>
    </x:xf>
    <x:xf numFmtId="0" fontId="6" fillId="0" borderId="4" xfId="0" applyFont="1" applyBorder="1"/>
    <x:xf numFmtId="0" fontId="2" fillId="0" borderId="0" xfId="0" applyFont="1" applyAlignment="1">
      <x:alignment horizontal="center"/>
    </x:xf>
    <x:xf numFmtId="0" fontId="6" fillId="0" borderId="5" xfId="0" applyFont="1" applyBorder="1"/>
    <x:xf numFmtId="0" fontId="5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164" fontId="2" fillId="0" borderId="0" xfId="0" applyNumberFormat="1" applyFont="1" applyAlignment="1">
      <x:alignment horizontal="center" vertical="center"/>
    </x:xf>
    <x:xf numFmtId="0" fontId="8" fillId="5" borderId="6" xfId="0" applyFont="1" applyFill="1" applyBorder="1" applyAlignment="1">
      <x:alignment horizontal="center" vertical="center"/>
    </x:xf>
    <x:xf numFmtId="0" fontId="6" fillId="0" borderId="7" xfId="0" applyFont="1" applyBorder="1"/>
    <x:xf numFmtId="1" fontId="2" fillId="0" borderId="0" xfId="0" applyNumberFormat="1" applyFont="1" applyAlignment="1">
      <x:alignment horizontal="center" vertical="center"/>
    </x:xf>
    <x:xf numFmtId="0" fontId="6" fillId="0" borderId="8" xfId="0" applyFont="1" applyBorder="1"/>
    <x:xf numFmtId="1" fontId="2" fillId="4" borderId="1" xfId="0" applyNumberFormat="1" applyFont="1" applyFill="1" applyBorder="1" applyAlignment="1">
      <x:alignment horizontal="center"/>
    </x:xf>
    <x:xf numFmtId="0" fontId="9" fillId="5" borderId="6" xfId="0" applyFont="1" applyFill="1" applyBorder="1" applyAlignment="1">
      <x:alignment horizontal="center" vertical="center"/>
    </x:xf>
    <x:xf numFmtId="0" fontId="10" fillId="3" borderId="9" xfId="0" applyFont="1" applyFill="1" applyBorder="1" applyAlignment="1">
      <x:alignment horizontal="center" vertical="center"/>
    </x:xf>
    <x:xf numFmtId="0" fontId="11" fillId="2" borderId="1" xfId="0" applyFont="1" applyFill="1" applyBorder="1" applyAlignment="1">
      <x:alignment horizontal="center" vertical="center"/>
    </x:xf>
    <x:xf numFmtId="0" fontId="5" fillId="3" borderId="9" xfId="0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center" vertical="center"/>
    </x:xf>
    <x:xf numFmtId="0" fontId="13" fillId="6" borderId="6" xfId="0" applyFont="1" applyFill="1" applyBorder="1" applyAlignment="1">
      <x:alignment horizontal="center" vertical="center"/>
    </x:xf>
    <x:xf numFmtId="164" fontId="4" fillId="3" borderId="1" xfId="0" applyNumberFormat="1" applyFont="1" applyFill="1" applyBorder="1" applyAlignment="1">
      <x:alignment horizontal="center"/>
    </x:xf>
    <x:xf numFmtId="0" fontId="12" fillId="6" borderId="10" xfId="0" applyFont="1" applyFill="1" applyBorder="1" applyAlignment="1">
      <x:alignment horizontal="center" vertical="center"/>
    </x:xf>
    <x:xf numFmtId="0" fontId="12" fillId="6" borderId="11" xfId="0" applyFont="1" applyFill="1" applyBorder="1" applyAlignment="1">
      <x:alignment horizontal="center" vertical="center"/>
    </x:xf>
    <x:xf numFmtId="0" fontId="14" fillId="7" borderId="12" xfId="0" applyFont="1" applyFill="1" applyBorder="1" applyAlignment="1">
      <x:alignment horizontal="center"/>
    </x:xf>
    <x:xf numFmtId="0" fontId="15" fillId="6" borderId="13" xfId="0" applyFont="1" applyFill="1" applyBorder="1" applyAlignment="1">
      <x:alignment horizontal="center" vertical="center"/>
    </x:xf>
    <x:xf numFmtId="0" fontId="6" fillId="0" borderId="14" xfId="0" applyFont="1" applyBorder="1"/>
    <x:xf numFmtId="0" fontId="16" fillId="8" borderId="15" xfId="0" applyFont="1" applyFill="1" applyBorder="1" applyAlignment="1">
      <x:alignment horizontal="center"/>
    </x:xf>
    <x:xf numFmtId="0" fontId="6" fillId="0" borderId="16" xfId="0" applyFont="1" applyBorder="1"/>
    <x:xf numFmtId="0" fontId="12" fillId="6" borderId="2" xfId="0" applyFont="1" applyFill="1" applyBorder="1" applyAlignment="1">
      <x:alignment horizontal="center" vertical="center"/>
    </x:xf>
    <x:xf numFmtId="0" fontId="12" fillId="6" borderId="15" xfId="0" applyFont="1" applyFill="1" applyBorder="1" applyAlignment="1">
      <x:alignment horizontal="center" vertical="center"/>
    </x:xf>
    <x:xf numFmtId="0" fontId="12" fillId="6" borderId="17" xfId="0" applyFont="1" applyFill="1" applyBorder="1" applyAlignment="1">
      <x:alignment horizontal="center" vertical="center"/>
    </x:xf>
    <x:xf numFmtId="0" fontId="10" fillId="3" borderId="18" xfId="0" applyFont="1" applyFill="1" applyBorder="1" applyAlignment="1">
      <x:alignment horizontal="center" vertical="center"/>
    </x:xf>
    <x:xf numFmtId="0" fontId="6" fillId="0" borderId="19" xfId="0" applyFont="1" applyBorder="1"/>
    <x:xf numFmtId="0" fontId="12" fillId="8" borderId="15" xfId="0" applyFont="1" applyFill="1" applyBorder="1" applyAlignment="1">
      <x:alignment horizontal="center" vertical="center"/>
    </x:xf>
    <x:xf numFmtId="0" fontId="2" fillId="0" borderId="12" xfId="0" applyFont="1" applyBorder="1" applyAlignment="1">
      <x:alignment horizontal="center"/>
    </x:xf>
    <x:xf numFmtId="0" fontId="12" fillId="8" borderId="20" xfId="0" applyFont="1" applyFill="1" applyBorder="1" applyAlignment="1">
      <x:alignment horizontal="center" vertical="center"/>
    </x:xf>
    <x:xf numFmtId="0" fontId="12" fillId="8" borderId="21" xfId="0" applyFont="1" applyFill="1" applyBorder="1" applyAlignment="1">
      <x:alignment horizontal="center" vertical="center"/>
    </x:xf>
    <x:xf numFmtId="0" fontId="7" fillId="6" borderId="22" xfId="0" applyFont="1" applyFill="1" applyBorder="1" applyAlignment="1">
      <x:alignment horizontal="center"/>
    </x:xf>
    <x:xf numFmtId="0" fontId="4" fillId="3" borderId="23" xfId="0" applyFont="1" applyFill="1" applyBorder="1" applyAlignment="1">
      <x:alignment horizontal="center" vertical="center"/>
    </x:xf>
    <x:xf numFmtId="0" fontId="7" fillId="0" borderId="0" xfId="0" applyFont="1" applyAlignment="1">
      <x:alignment horizontal="center"/>
    </x:xf>
    <x:xf numFmtId="0" fontId="4" fillId="3" borderId="24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9" xfId="0" applyFont="1" applyBorder="1" applyAlignment="1">
      <x:alignment horizontal="center" vertical="center"/>
    </x:xf>
    <x:xf numFmtId="0" fontId="4" fillId="3" borderId="26" xfId="0" applyFont="1" applyFill="1" applyBorder="1" applyAlignment="1">
      <x:alignment horizontal="center" vertical="center"/>
    </x:xf>
    <x:xf numFmtId="0" fontId="12" fillId="0" borderId="9" xfId="0" applyFont="1" applyBorder="1" applyAlignment="1">
      <x:alignment horizontal="center" vertical="center"/>
    </x:xf>
    <x:xf numFmtId="0" fontId="4" fillId="3" borderId="27" xfId="0" applyFont="1" applyFill="1" applyBorder="1" applyAlignment="1">
      <x:alignment horizontal="center" vertical="center"/>
    </x:xf>
    <x:xf numFmtId="0" fontId="12" fillId="9" borderId="9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1" fontId="2" fillId="0" borderId="22" xfId="0" applyNumberFormat="1" applyFont="1" applyBorder="1" applyAlignment="1">
      <x:alignment horizontal="center"/>
    </x:xf>
    <x:xf numFmtId="0" fontId="12" fillId="0" borderId="0" xfId="0" applyFont="1" applyAlignment="1">
      <x:alignment horizontal="center" vertical="center"/>
    </x:xf>
    <x:xf numFmtId="0" fontId="2" fillId="0" borderId="22" xfId="0" applyFont="1" applyBorder="1" applyAlignment="1">
      <x:alignment horizontal="center"/>
    </x:xf>
    <x:xf numFmtId="164" fontId="2" fillId="0" borderId="28" xfId="0" applyNumberFormat="1" applyFont="1" applyBorder="1" applyAlignment="1">
      <x:alignment horizontal="center" vertical="center"/>
    </x:xf>
    <x:xf numFmtId="164" fontId="2" fillId="0" borderId="29" xfId="0" applyNumberFormat="1" applyFont="1" applyBorder="1" applyAlignment="1">
      <x:alignment horizontal="center" vertical="center"/>
    </x:xf>
    <x:xf numFmtId="164" fontId="2" fillId="0" borderId="30" xfId="0" applyNumberFormat="1" applyFont="1" applyBorder="1" applyAlignment="1">
      <x:alignment horizontal="center" vertical="center"/>
    </x:xf>
    <x:xf numFmtId="165" fontId="12" fillId="8" borderId="15" xfId="0" applyNumberFormat="1" applyFont="1" applyFill="1" applyBorder="1" applyAlignment="1">
      <x:alignment horizontal="center" vertical="center"/>
    </x:xf>
    <x:xf numFmtId="0" fontId="2" fillId="2" borderId="31" xfId="0" applyFont="1" applyFill="1" applyBorder="1" applyAlignment="1">
      <x:alignment horizontal="center" vertical="center"/>
    </x:xf>
    <x:xf numFmtId="9" fontId="2" fillId="0" borderId="22" xfId="0" applyNumberFormat="1" applyFont="1" applyBorder="1" applyAlignment="1">
      <x:alignment horizontal="center"/>
    </x:xf>
    <x:xf numFmtId="9" fontId="2" fillId="8" borderId="22" xfId="0" applyNumberFormat="1" applyFont="1" applyFill="1" applyBorder="1" applyAlignment="1">
      <x:alignment horizontal="center"/>
    </x:xf>
    <x:xf numFmtId="0" fontId="2" fillId="2" borderId="12" xfId="0" applyFont="1" applyFill="1" applyBorder="1" applyAlignment="1">
      <x:alignment horizontal="center" vertical="center"/>
    </x:xf>
    <x:xf numFmtId="1" fontId="2" fillId="8" borderId="22" xfId="0" applyNumberFormat="1" applyFont="1" applyFill="1" applyBorder="1" applyAlignment="1">
      <x:alignment horizontal="center"/>
    </x:xf>
    <x:xf numFmtId="1" fontId="2" fillId="0" borderId="0" xfId="0" applyNumberFormat="1" applyFont="1" applyAlignment="1">
      <x:alignment horizontal="center" wrapText="0"/>
    </x:xf>
    <x:xf numFmtId="0" fontId="10" fillId="2" borderId="6" xfId="0" applyFont="1" applyFill="1" applyBorder="1" applyAlignment="1">
      <x:alignment horizontal="center" vertical="center"/>
    </x:xf>
    <x:xf numFmtId="1" fontId="2" fillId="2" borderId="12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vertical="center"/>
    </x:xf>
    <x:xf numFmtId="1" fontId="12" fillId="2" borderId="1" xfId="0" applyNumberFormat="1" applyFont="1" applyFill="1" applyBorder="1" applyAlignment="1">
      <x:alignment horizontal="center" vertical="center"/>
    </x:xf>
    <x:xf numFmtId="1" fontId="2" fillId="2" borderId="23" xfId="0" applyNumberFormat="1" applyFont="1" applyFill="1" applyBorder="1" applyAlignment="1">
      <x:alignment horizontal="center" vertical="center"/>
    </x:xf>
    <x:xf numFmtId="0" fontId="17" fillId="2" borderId="1" xfId="0" applyFont="1" applyFill="1" applyBorder="1" applyAlignment="1">
      <x:alignment horizontal="left" vertical="center"/>
    </x:xf>
    <x:xf numFmtId="0" fontId="17" fillId="2" borderId="1" xfId="0" applyFont="1" applyFill="1" applyBorder="1" applyAlignment="1">
      <x:alignment horizontal="center" vertical="center"/>
    </x:xf>
    <x:xf numFmtId="1" fontId="7" fillId="0" borderId="0" xfId="0" applyNumberFormat="1" applyFont="1" applyAlignment="1">
      <x:alignment horizontal="center" wrapText="0"/>
    </x:xf>
    <x:xf numFmtId="166" fontId="2" fillId="2" borderId="23" xfId="0" applyNumberFormat="1" applyFont="1" applyFill="1" applyBorder="1" applyAlignment="1">
      <x:alignment horizontal="center" vertical="center"/>
    </x:xf>
    <x:xf numFmtId="1" fontId="2" fillId="6" borderId="23" xfId="0" applyNumberFormat="1" applyFont="1" applyFill="1" applyBorder="1" applyAlignment="1">
      <x:alignment horizontal="center" vertical="center"/>
    </x:xf>
    <x:xf numFmtId="0" fontId="10" fillId="2" borderId="1" xfId="0" applyFont="1" applyFill="1" applyBorder="1" applyAlignment="1">
      <x:alignment horizontal="center" vertical="center"/>
    </x:xf>
    <x:xf numFmtId="164" fontId="2" fillId="2" borderId="23" xfId="0" applyNumberFormat="1" applyFont="1" applyFill="1" applyBorder="1" applyAlignment="1">
      <x:alignment horizontal="center" vertical="center"/>
    </x:xf>
    <x:xf numFmtId="1" fontId="2" fillId="2" borderId="1" xfId="0" applyNumberFormat="1" applyFont="1" applyFill="1" applyBorder="1" applyAlignment="1">
      <x:alignment horizontal="center" vertical="center"/>
    </x:xf>
    <x:xf numFmtId="0" fontId="18" fillId="2" borderId="32" xfId="0" applyFont="1" applyFill="1" applyBorder="1" applyAlignment="1">
      <x:alignment horizontal="center" vertical="center" wrapText="1"/>
    </x:xf>
    <x:xf numFmtId="0" fontId="6" fillId="0" borderId="33" xfId="0" applyFont="1" applyBorder="1"/>
    <x:xf numFmtId="0" fontId="6" fillId="0" borderId="34" xfId="0" applyFont="1" applyBorder="1"/>
    <x:xf numFmtId="0" fontId="6" fillId="0" borderId="35" xfId="0" applyFont="1" applyBorder="1"/>
    <x:xf numFmtId="0" fontId="6" fillId="0" borderId="36" xfId="0" applyFont="1" applyBorder="1"/>
    <x:xf numFmtId="0" fontId="6" fillId="0" borderId="37" xfId="0" applyFont="1" applyBorder="1"/>
    <x:xf numFmtId="0" fontId="6" fillId="0" borderId="38" xfId="0" applyFont="1" applyBorder="1"/>
    <x:xf numFmtId="0" fontId="6" fillId="0" borderId="39" xfId="0" applyFont="1" applyBorder="1"/>
    <x:xf numFmtId="0" fontId="2" fillId="2" borderId="26" xfId="0" applyFont="1" applyFill="1" applyBorder="1" applyAlignment="1">
      <x:alignment horizontal="center" vertical="center"/>
    </x:xf>
    <x:xf numFmtId="0" fontId="19" fillId="2" borderId="1" xfId="0" applyFont="1" applyFill="1" applyBorder="1" applyAlignment="1">
      <x:alignment horizontal="center" vertical="center"/>
    </x:xf>
    <x:xf numFmtId="1" fontId="2" fillId="2" borderId="40" xfId="0" applyNumberFormat="1" applyFont="1" applyFill="1" applyBorder="1" applyAlignment="1">
      <x:alignment horizontal="center" vertical="center"/>
    </x:xf>
    <x:xf numFmtId="164" fontId="2" fillId="2" borderId="1" xfId="0" applyNumberFormat="1" applyFont="1" applyFill="1" applyBorder="1" applyAlignment="1">
      <x:alignment horizontal="center" vertical="center"/>
    </x:xf>
    <x:xf numFmtId="1" fontId="2" fillId="2" borderId="41" xfId="0" applyNumberFormat="1" applyFont="1" applyFill="1" applyBorder="1" applyAlignment="1">
      <x:alignment horizontal="center" vertical="center"/>
    </x:xf>
    <x:xf numFmtId="0" fontId="20" fillId="2" borderId="40" xfId="0" applyFont="1" applyFill="1" applyBorder="1" applyAlignment="1">
      <x:alignment horizontal="center" vertical="center"/>
    </x:xf>
    <x:xf numFmtId="1" fontId="2" fillId="0" borderId="12" xfId="0" applyNumberFormat="1" applyFont="1" applyBorder="1" applyAlignment="1">
      <x:alignment horizontal="center"/>
    </x:xf>
    <x:xf numFmtId="0" fontId="21" fillId="3" borderId="9" xfId="0" applyFont="1" applyFill="1" applyBorder="1" applyAlignment="1">
      <x:alignment horizontal="center" vertical="center"/>
    </x:xf>
    <x:xf numFmtId="0" fontId="22" fillId="10" borderId="22" xfId="0" applyFont="1" applyFill="1" applyBorder="1" applyAlignment="1">
      <x:alignment horizontal="center" vertical="center"/>
    </x:xf>
    <x:xf numFmtId="0" fontId="7" fillId="10" borderId="22" xfId="0" applyFont="1" applyFill="1" applyBorder="1" applyAlignment="1">
      <x:alignment horizontal="center" vertical="center"/>
    </x:xf>
    <x:xf numFmtId="0" fontId="23" fillId="10" borderId="22" xfId="0" applyFont="1" applyFill="1" applyBorder="1" applyAlignment="1">
      <x:alignment horizontal="center" vertical="center"/>
    </x:xf>
    <x:xf numFmtId="0" fontId="24" fillId="10" borderId="22" xfId="0" applyFont="1" applyFill="1" applyBorder="1" applyAlignment="1">
      <x:alignment horizontal="center" vertical="center"/>
    </x:xf>
    <x:xf numFmtId="9" fontId="2" fillId="0" borderId="12" xfId="0" applyNumberFormat="1" applyFont="1" applyBorder="1" applyAlignment="1">
      <x:alignment horizontal="center"/>
    </x:xf>
    <x:xf numFmtId="0" fontId="25" fillId="3" borderId="42" xfId="0" applyFont="1" applyFill="1" applyBorder="1" applyAlignment="1">
      <x:alignment horizontal="center" vertical="center"/>
    </x:xf>
    <x:xf numFmtId="0" fontId="6" fillId="0" borderId="43" xfId="0" applyFont="1" applyBorder="1"/>
    <x:xf numFmtId="0" fontId="6" fillId="0" borderId="44" xfId="0" applyFont="1" applyBorder="1"/>
    <x:xf numFmtId="0" fontId="22" fillId="10" borderId="22" xfId="0" applyFont="1" applyFill="1" applyBorder="1" applyAlignment="1">
      <x:alignment vertical="center"/>
    </x:xf>
    <x:xf numFmtId="164" fontId="24" fillId="10" borderId="22" xfId="0" applyNumberFormat="1" applyFont="1" applyFill="1" applyBorder="1" applyAlignment="1">
      <x:alignment horizontal="center" vertical="center"/>
    </x:xf>
    <x:xf numFmtId="1" fontId="24" fillId="10" borderId="22" xfId="0" applyNumberFormat="1" applyFont="1" applyFill="1" applyBorder="1" applyAlignment="1">
      <x:alignment horizontal="center" vertical="center"/>
    </x:xf>
    <x:xf numFmtId="0" fontId="26" fillId="3" borderId="22" xfId="0" applyFont="1" applyFill="1" applyBorder="1" applyAlignment="1">
      <x:alignment horizontal="center" vertical="center"/>
    </x:xf>
    <x:xf numFmtId="2" fontId="24" fillId="10" borderId="22" xfId="0" applyNumberFormat="1" applyFont="1" applyFill="1" applyBorder="1" applyAlignment="1">
      <x:alignment horizontal="center" vertical="center"/>
    </x:xf>
    <x:xf numFmtId="165" fontId="7" fillId="10" borderId="22" xfId="0" applyNumberFormat="1" applyFont="1" applyFill="1" applyBorder="1" applyAlignment="1">
      <x:alignment horizontal="center" vertical="center"/>
    </x:xf>
    <x:xf numFmtId="166" fontId="7" fillId="10" borderId="22" xfId="0" applyNumberFormat="1" applyFont="1" applyFill="1" applyBorder="1" applyAlignment="1">
      <x:alignment horizontal="center" vertical="center"/>
    </x:xf>
    <x:xf numFmtId="1" fontId="7" fillId="10" borderId="22" xfId="0" applyNumberFormat="1" applyFont="1" applyFill="1" applyBorder="1" applyAlignment="1">
      <x:alignment horizontal="center" vertical="center"/>
    </x:xf>
    <x:xf numFmtId="2" fontId="7" fillId="10" borderId="22" xfId="0" applyNumberFormat="1" applyFont="1" applyFill="1" applyBorder="1" applyAlignment="1">
      <x:alignment horizontal="center" vertical="center"/>
    </x:xf>
    <x:xf numFmtId="0" fontId="2" fillId="0" borderId="0" xfId="0" applyFont="1" applyAlignment="1">
      <x:alignment horizontal="center" wrapText="0"/>
    </x:xf>
    <x:xf numFmtId="1" fontId="7" fillId="6" borderId="22" xfId="0" applyNumberFormat="1" applyFont="1" applyFill="1" applyBorder="1" applyAlignment="1">
      <x:alignment horizontal="center"/>
    </x:xf>
    <x:xf numFmtId="0" fontId="7" fillId="0" borderId="0" xfId="0" applyFont="1" applyAlignment="1">
      <x:alignment horizontal="center" vertical="center"/>
    </x:xf>
    <x:xf numFmtId="1" fontId="2" fillId="2" borderId="1" xfId="0" applyNumberFormat="1" applyFont="1" applyFill="1" applyBorder="1" applyAlignment="1">
      <x:alignment horizontal="center"/>
    </x:xf>
    <x:xf numFmtId="0" fontId="27" fillId="2" borderId="1" xfId="0" applyFont="1" applyFill="1" applyBorder="1" applyAlignment="1">
      <x:alignment horizontal="center"/>
    </x:xf>
    <x:xf numFmtId="0" fontId="7" fillId="2" borderId="1" xfId="0" applyFont="1" applyFill="1" applyBorder="1" applyAlignment="1">
      <x:alignment horizontal="center"/>
    </x:xf>
    <x:xf numFmtId="1" fontId="2" fillId="0" borderId="0" xfId="0" applyNumberFormat="1" applyFont="1" applyAlignment="1">
      <x:alignment horizontal="center"/>
    </x:xf>
    <x:xf numFmtId="164" fontId="4" fillId="3" borderId="1" xfId="0" applyNumberFormat="1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/>
    </x:xf>
    <x:xf numFmtId="0" fontId="2" fillId="3" borderId="1" xfId="0" applyFont="1" applyFill="1" applyBorder="1"/>
    <x:xf numFmtId="1" fontId="2" fillId="2" borderId="45" xfId="0" applyNumberFormat="1" applyFont="1" applyFill="1" applyBorder="1" applyAlignment="1">
      <x:alignment horizontal="center" vertical="center"/>
    </x:xf>
    <x:xf numFmtId="1" fontId="2" fillId="2" borderId="46" xfId="0" applyNumberFormat="1" applyFont="1" applyFill="1" applyBorder="1" applyAlignment="1">
      <x:alignment horizontal="center" vertical="center"/>
    </x:xf>
    <x:xf numFmtId="164" fontId="2" fillId="2" borderId="46" xfId="0" applyNumberFormat="1" applyFont="1" applyFill="1" applyBorder="1" applyAlignment="1">
      <x:alignment horizontal="center" vertical="center"/>
    </x:xf>
    <x:xf numFmtId="1" fontId="2" fillId="2" borderId="47" xfId="0" applyNumberFormat="1" applyFont="1" applyFill="1" applyBorder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2" fontId="2" fillId="0" borderId="0" xfId="0" applyNumberFormat="1" applyFont="1" applyAlignment="1">
      <x:alignment horizontal="center"/>
    </x:xf>
    <x:xf numFmtId="167" fontId="2" fillId="0" borderId="0" xfId="0" applyNumberFormat="1" applyFont="1"/>
    <x:xf numFmtId="9" fontId="2" fillId="0" borderId="0" xfId="0" applyNumberFormat="1" applyFont="1"/>
    <x:xf numFmtId="10" fontId="2" fillId="0" borderId="0" xfId="0" applyNumberFormat="1" applyFont="1"/>
    <x:xf numFmtId="164" fontId="2" fillId="0" borderId="0" xfId="0" applyNumberFormat="1" applyFont="1"/>
    <x:xf numFmtId="2" fontId="2" fillId="0" borderId="0" xfId="0" applyNumberFormat="1" applyFont="1"/>
  </x:cellXfs>
  <x:cellStyles count="1">
    <x:cellStyle name="Normal" xfId="0"/>
  </x:cellStyles>
  <x:dxfs count="7">
    <x:dxf>
      <x:fill>
        <x:patternFill>
          <x:bgColor rgb="FFD9D9D9"/>
        </x:patternFill>
      </x:fill>
      <x:border/>
    </x:dxf>
    <x:dxf>
      <x:font>
        <x:color rgb="FFFFFFFF"/>
      </x:font>
      <x:fill>
        <x:patternFill>
          <x:bgColor rgb="FF000000"/>
        </x:patternFill>
      </x:fill>
      <x:border/>
    </x:dxf>
    <x:dxf>
      <x:font>
        <x:color rgb="FF000000"/>
      </x:font>
      <x:fill>
        <x:patternFill>
          <x:bgColor theme="7"/>
        </x:patternFill>
      </x:fill>
      <x:border/>
    </x:dxf>
    <x:dxf>
      <x:fill>
        <x:patternFill>
          <x:bgColor rgb="FFFFFF00"/>
        </x:patternFill>
      </x:fill>
      <x:border/>
    </x:dxf>
    <x:dxf>
      <x:font>
        <x:color rgb="FF000000"/>
      </x:font>
      <x:fill>
        <x:patternFill>
          <x:bgColor rgb="FF000000"/>
        </x:patternFill>
      </x:fill>
      <x:border/>
    </x:dxf>
    <x:dxf>
      <x:font>
        <x:color rgb="FFFF0000"/>
      </x:font>
      <x:fill>
        <x:patternFill patternType="none"/>
      </x:fill>
      <x:border/>
    </x:dxf>
    <x:dxf>
      <x:font>
        <x:b/>
        <x:color rgb="FFFF0000"/>
      </x:font>
      <x:fill>
        <x:patternFill patternType="none"/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b32908ef544eb" /><Relationship Type="http://schemas.openxmlformats.org/officeDocument/2006/relationships/theme" Target="/xl/theme/theme1.xml" Id="R83e14bec1d1d4c56" /><Relationship Type="http://schemas.openxmlformats.org/officeDocument/2006/relationships/sharedStrings" Target="/xl/sharedStrings.xml" Id="R4d70394a13db4c93" /><Relationship Type="http://schemas.openxmlformats.org/officeDocument/2006/relationships/worksheet" Target="/xl/worksheets/sheet1.xml" Id="R766780934bb0464f" /><Relationship Type="http://schemas.openxmlformats.org/officeDocument/2006/relationships/worksheet" Target="/xl/worksheets/sheet2.xml" Id="R2900120e70954596" /><Relationship Type="http://schemas.openxmlformats.org/officeDocument/2006/relationships/worksheet" Target="/xl/worksheets/sheet3.xml" Id="R27c0de34c4eb42bb" /><Relationship Type="http://schemas.openxmlformats.org/officeDocument/2006/relationships/worksheet" Target="/xl/worksheets/sheet4.xml" Id="Rfecca96c61334dfe" /><Relationship Type="http://schemas.openxmlformats.org/officeDocument/2006/relationships/worksheet" Target="/xl/worksheets/sheet5.xml" Id="R83ef8148fce74598" /><Relationship Type="http://schemas.openxmlformats.org/officeDocument/2006/relationships/worksheet" Target="/xl/worksheets/sheet6.xml" Id="R2811a1e1f1cb4695" /><Relationship Type="http://schemas.openxmlformats.org/officeDocument/2006/relationships/worksheet" Target="/xl/worksheets/sheet7.xml" Id="Ra64998f2c435454f" /><Relationship Type="http://schemas.openxmlformats.org/officeDocument/2006/relationships/worksheet" Target="/xl/worksheets/sheet8.xml" Id="R4760d5d904124521" /><Relationship Type="http://schemas.openxmlformats.org/officeDocument/2006/relationships/worksheet" Target="/xl/worksheets/sheet9.xml" Id="R4f98bbda86f84a21" /><Relationship Type="http://schemas.openxmlformats.org/officeDocument/2006/relationships/worksheet" Target="/xl/worksheets/sheet10.xml" Id="R89c42b156e974a06" /><Relationship Type="http://schemas.openxmlformats.org/officeDocument/2006/relationships/worksheet" Target="/xl/worksheets/sheet11.xml" Id="R70d822bb9cfd440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f0e94185ea347b0" /><Relationship Type="http://schemas.openxmlformats.org/officeDocument/2006/relationships/vmlDrawing" Target="/xl/drawings/vmldrawing.vml" Id="R001a919a9e5a4dd0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7.1299991607666" customWidth="1"/>
    <x:col min="2" max="2" width="14" customWidth="1"/>
    <x:col min="3" max="3" width="20.6299991607666" customWidth="1"/>
    <x:col min="4" max="4" width="13.880000114440918" customWidth="1"/>
    <x:col min="5" max="5" width="14.380000114440918" customWidth="1"/>
    <x:col min="6" max="6" width="13.380000114440918" customWidth="1"/>
    <x:col min="7" max="7" width="15.880000114440918" customWidth="1"/>
    <x:col min="8" max="8" width="10.5" customWidth="1"/>
    <x:col min="9" max="9" width="13.5" customWidth="1"/>
    <x:col min="10" max="10" width="8" customWidth="1"/>
    <x:col min="11" max="11" width="12.380000114440918" customWidth="1"/>
    <x:col min="12" max="12" width="10.130000114440918" customWidth="1"/>
    <x:col min="13" max="13" width="10.5" customWidth="1"/>
    <x:col min="14" max="14" width="11" customWidth="1"/>
    <x:col min="15" max="15" width="13.5" customWidth="1"/>
    <x:col min="16" max="16" width="19.5" customWidth="1"/>
    <x:col min="17" max="33" width="8.880000114440918" customWidth="1"/>
  </x:cols>
  <x:sheetData>
    <x:row r="1" ht="24" customHeight="1">
      <x:c r="A1" s="4"/>
      <x:c r="B1" s="7" t="s">
        <x:v>0</x:v>
      </x:c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10"/>
      <x:c r="Q1" s="11"/>
      <x:c r="R1" s="12"/>
      <x:c r="S1" s="12"/>
      <x:c r="T1" s="12"/>
      <x:c r="U1" s="12"/>
      <x:c r="V1" s="12"/>
      <x:c r="W1" s="12"/>
      <x:c r="X1" s="12"/>
      <x:c r="Y1" s="12"/>
      <x:c r="Z1" s="12"/>
      <x:c r="AA1" s="12"/>
      <x:c r="AB1" s="12"/>
      <x:c r="AC1" s="12"/>
      <x:c r="AD1" s="12"/>
      <x:c r="AE1" s="12"/>
      <x:c r="AF1" s="12"/>
      <x:c r="AG1" s="12"/>
    </x:row>
    <x:row r="2" ht="29.25" customHeight="1">
      <x:c r="A2" s="20" t="s">
        <x:v>1</x:v>
      </x:c>
      <x:c r="B2" s="8"/>
      <x:c r="C2" s="8"/>
      <x:c r="D2" s="8"/>
      <x:c r="E2" s="8"/>
      <x:c r="F2" s="8"/>
      <x:c r="G2" s="10"/>
      <x:c r="H2" s="21"/>
      <x:c r="I2" s="22" t="s">
        <x:v>2</x:v>
      </x:c>
      <x:c r="J2" s="8"/>
      <x:c r="K2" s="8"/>
      <x:c r="L2" s="8"/>
      <x:c r="M2" s="8"/>
      <x:c r="N2" s="8"/>
      <x:c r="O2" s="8"/>
      <x:c r="P2" s="10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</x:row>
    <x:row r="3" ht="21" customHeight="1">
      <x:c r="A3" s="26" t="s">
        <x:v>3</x:v>
      </x:c>
      <x:c r="B3" s="27" t="s">
        <x:v>4</x:v>
      </x:c>
      <x:c r="C3" s="29" t="s">
        <x:v>5</x:v>
      </x:c>
      <x:c r="D3" s="30"/>
      <x:c r="E3" s="30"/>
      <x:c r="F3" s="30"/>
      <x:c r="G3" s="32"/>
      <x:c r="H3" s="21"/>
      <x:c r="I3" s="33" t="s">
        <x:v>6</x:v>
      </x:c>
      <x:c r="J3" s="33" t="s">
        <x:v>7</x:v>
      </x:c>
      <x:c r="K3" s="34" t="s">
        <x:v>8</x:v>
      </x:c>
      <x:c r="L3" s="34" t="s">
        <x:v>9</x:v>
      </x:c>
      <x:c r="M3" s="34" t="s">
        <x:v>10</x:v>
      </x:c>
      <x:c r="N3" s="34" t="s">
        <x:v>11</x:v>
      </x:c>
      <x:c r="O3" s="35" t="s">
        <x:v>12</x:v>
      </x:c>
      <x:c r="P3" s="35" t="s">
        <x:v>13</x:v>
      </x:c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</x:row>
    <x:row r="4" ht="21" customHeight="1">
      <x:c r="A4" s="36" t="s">
        <x:v>14</x:v>
      </x:c>
      <x:c r="B4" s="15"/>
      <x:c r="C4" s="15"/>
      <x:c r="D4" s="15"/>
      <x:c r="E4" s="15"/>
      <x:c r="F4" s="15"/>
      <x:c r="G4" s="37"/>
      <x:c r="H4" s="21"/>
      <x:c r="I4" s="38" t="n">
        <x:v>12</x:v>
      </x:c>
      <x:c r="J4" s="40" t="n">
        <x:v>1</x:v>
      </x:c>
      <x:c r="K4" s="40" t="n">
        <x:v>2</x:v>
      </x:c>
      <x:c r="L4" s="40" t="n">
        <x:v>3</x:v>
      </x:c>
      <x:c r="M4" s="40" t="n">
        <x:v>1</x:v>
      </x:c>
      <x:c r="N4" s="40" t="n">
        <x:v>1</x:v>
      </x:c>
      <x:c r="O4" s="40" t="n">
        <x:v>5</x:v>
      </x:c>
      <x:c r="P4" s="41" t="n">
        <x:v>0</x:v>
      </x:c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</x:row>
    <x:row r="5" ht="21" customHeight="1">
      <x:c r="A5" s="46" t="s">
        <x:v>15</x:v>
      </x:c>
      <x:c r="B5" s="38" t="n">
        <x:v>0</x:v>
      </x:c>
      <x:c r="C5" s="47" t="s">
        <x:v>16</x:v>
      </x:c>
      <x:c r="D5" s="8"/>
      <x:c r="E5" s="8"/>
      <x:c r="F5" s="8"/>
      <x:c r="G5" s="10"/>
      <x:c r="H5" s="21"/>
      <x:c r="I5" s="20" t="s">
        <x:v>17</x:v>
      </x:c>
      <x:c r="J5" s="8"/>
      <x:c r="K5" s="8"/>
      <x:c r="L5" s="8"/>
      <x:c r="M5" s="8"/>
      <x:c r="N5" s="8"/>
      <x:c r="O5" s="8"/>
      <x:c r="P5" s="10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</x:row>
    <x:row r="6" ht="21" customHeight="1">
      <x:c r="A6" s="46" t="s">
        <x:v>18</x:v>
      </x:c>
      <x:c r="B6" s="38" t="n">
        <x:v>0</x:v>
      </x:c>
      <x:c r="C6" s="47" t="s">
        <x:v>19</x:v>
      </x:c>
      <x:c r="D6" s="8"/>
      <x:c r="E6" s="8"/>
      <x:c r="F6" s="8"/>
      <x:c r="G6" s="10"/>
      <x:c r="H6" s="21"/>
      <x:c r="I6" s="49" t="s">
        <x:v>20</x:v>
      </x:c>
      <x:c r="J6" s="10"/>
      <x:c r="K6" s="38" t="str">
        <x:v>Snake</x:v>
      </x:c>
      <x:c r="L6" s="51" t="s">
        <x:v>21</x:v>
      </x:c>
      <x:c r="M6" s="8"/>
      <x:c r="N6" s="8"/>
      <x:c r="O6" s="8"/>
      <x:c r="P6" s="10"/>
      <x:c r="Q6" s="54"/>
      <x:c r="R6" s="23"/>
      <x:c r="S6" s="54"/>
      <x:c r="T6" s="54"/>
      <x:c r="U6" s="54"/>
      <x:c r="V6" s="23"/>
      <x:c r="W6" s="23"/>
      <x:c r="X6" s="23"/>
      <x:c r="Y6" s="23"/>
      <x:c r="Z6" s="23"/>
      <x:c r="AA6" s="23"/>
      <x:c r="AB6" s="23"/>
      <x:c r="AC6" s="23"/>
      <x:c r="AD6" s="54"/>
      <x:c r="AE6" s="54"/>
      <x:c r="AF6" s="54"/>
      <x:c r="AG6" s="54"/>
    </x:row>
    <x:row r="7" ht="29.25" customHeight="1">
      <x:c r="A7" s="46" t="s">
        <x:v>22</x:v>
      </x:c>
      <x:c r="B7" s="38" t="n">
        <x:v>25</x:v>
      </x:c>
      <x:c r="C7" s="47" t="s">
        <x:v>23</x:v>
      </x:c>
      <x:c r="D7" s="8"/>
      <x:c r="E7" s="8"/>
      <x:c r="F7" s="8"/>
      <x:c r="G7" s="10"/>
      <x:c r="H7" s="21"/>
      <x:c r="I7" s="49" t="s">
        <x:v>24</x:v>
      </x:c>
      <x:c r="J7" s="8"/>
      <x:c r="K7" s="59">
        <x:v>200.0</x:v>
      </x:c>
      <x:c r="L7" s="49" t="s">
        <x:v>25</x:v>
      </x:c>
      <x:c r="M7" s="8"/>
      <x:c r="N7" s="8"/>
      <x:c r="O7" s="10"/>
      <x:c r="P7" s="59">
        <x:v>0.0</x:v>
      </x:c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</x:row>
    <x:row r="8" ht="21" customHeight="1">
      <x:c r="A8" s="46" t="s">
        <x:v>26</x:v>
      </x:c>
      <x:c r="B8" s="38" t="n">
        <x:v>4</x:v>
      </x:c>
      <x:c r="C8" s="47" t="s">
        <x:v>27</x:v>
      </x:c>
      <x:c r="D8" s="8"/>
      <x:c r="E8" s="8"/>
      <x:c r="F8" s="8"/>
      <x:c r="G8" s="10"/>
      <x:c r="H8" s="21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</x:row>
    <x:row r="9" ht="21" customHeight="1">
      <x:c r="A9" s="46" t="s">
        <x:v>28</x:v>
      </x:c>
      <x:c r="B9" s="38" t="n">
        <x:v>-2</x:v>
      </x:c>
      <x:c r="C9" s="47" t="s">
        <x:v>29</x:v>
      </x:c>
      <x:c r="D9" s="8"/>
      <x:c r="E9" s="8"/>
      <x:c r="F9" s="8"/>
      <x:c r="G9" s="10"/>
      <x:c r="H9" s="21"/>
      <x:c r="I9" s="66"/>
      <x:c r="J9" s="15"/>
      <x:c r="K9" s="15"/>
      <x:c r="L9" s="15"/>
      <x:c r="M9" s="15"/>
      <x:c r="N9" s="17"/>
      <x:c r="O9" s="68"/>
      <x:c r="P9" s="68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</x:row>
    <x:row r="10" ht="21" customHeight="1">
      <x:c r="A10" s="46" t="s">
        <x:v>30</x:v>
      </x:c>
      <x:c r="B10" s="38" t="n">
        <x:v>0</x:v>
      </x:c>
      <x:c r="C10" s="47" t="s">
        <x:v>31</x:v>
      </x:c>
      <x:c r="D10" s="8"/>
      <x:c r="E10" s="8"/>
      <x:c r="F10" s="8"/>
      <x:c r="G10" s="10"/>
      <x:c r="H10" s="21"/>
      <x:c r="I10" s="23"/>
      <x:c r="J10" s="69"/>
      <x:c r="K10" s="23"/>
      <x:c r="L10" s="69"/>
      <x:c r="M10" s="23"/>
      <x:c r="N10" s="69"/>
      <x:c r="O10" s="71"/>
      <x:c r="P10" s="72"/>
      <x:c r="Q10" s="23"/>
      <x:c r="R10" s="23"/>
      <x:c r="S10" s="23"/>
      <x:c r="T10" s="23"/>
      <x:c r="U10" s="23"/>
      <x:c r="V10" s="23"/>
      <x:c r="W10" s="23"/>
      <x:c r="X10" s="23"/>
      <x:c r="Y10" s="23"/>
      <x:c r="Z10" s="54"/>
      <x:c r="AA10" s="54"/>
      <x:c r="AB10" s="54"/>
      <x:c r="AC10" s="54"/>
      <x:c r="AD10" s="54"/>
      <x:c r="AE10" s="54"/>
      <x:c r="AF10" s="54"/>
      <x:c r="AG10" s="54"/>
    </x:row>
    <x:row r="11" ht="21" customHeight="1">
      <x:c r="A11" s="36" t="s">
        <x:v>32</x:v>
      </x:c>
      <x:c r="B11" s="15"/>
      <x:c r="C11" s="15"/>
      <x:c r="D11" s="15"/>
      <x:c r="E11" s="15"/>
      <x:c r="F11" s="15"/>
      <x:c r="G11" s="37"/>
      <x:c r="H11" s="21"/>
      <x:c r="I11" s="76"/>
      <x:c r="J11" s="76"/>
      <x:c r="K11" s="76"/>
      <x:c r="L11" s="76"/>
      <x:c r="M11" s="76"/>
      <x:c r="N11" s="76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54"/>
      <x:c r="AA11" s="54"/>
      <x:c r="AB11" s="54"/>
      <x:c r="AC11" s="54"/>
      <x:c r="AD11" s="54"/>
      <x:c r="AE11" s="54"/>
      <x:c r="AF11" s="54"/>
      <x:c r="AG11" s="54"/>
    </x:row>
    <x:row r="12" ht="21" customHeight="1">
      <x:c r="A12" s="46" t="s">
        <x:v>33</x:v>
      </x:c>
      <x:c r="B12" s="38" t="n">
        <x:v>0</x:v>
      </x:c>
      <x:c r="C12" s="47" t="s">
        <x:v>34</x:v>
      </x:c>
      <x:c r="D12" s="8"/>
      <x:c r="E12" s="8"/>
      <x:c r="F12" s="8"/>
      <x:c r="G12" s="10"/>
      <x:c r="H12" s="21"/>
      <x:c r="I12" s="79"/>
      <x:c r="J12" s="80"/>
      <x:c r="K12" s="80"/>
      <x:c r="L12" s="80"/>
      <x:c r="M12" s="80"/>
      <x:c r="N12" s="81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</x:row>
    <x:row r="13" ht="21" customHeight="1">
      <x:c r="A13" s="46" t="s">
        <x:v>35</x:v>
      </x:c>
      <x:c r="B13" s="38" t="n">
        <x:v>10</x:v>
      </x:c>
      <x:c r="C13" s="47" t="s">
        <x:v>36</x:v>
      </x:c>
      <x:c r="D13" s="8"/>
      <x:c r="E13" s="8"/>
      <x:c r="F13" s="8"/>
      <x:c r="G13" s="10"/>
      <x:c r="H13" s="21"/>
      <x:c r="I13" s="82"/>
      <x:c r="N13" s="8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54"/>
      <x:c r="AA13" s="54"/>
      <x:c r="AB13" s="54"/>
      <x:c r="AC13" s="54"/>
      <x:c r="AD13" s="54"/>
      <x:c r="AE13" s="54"/>
      <x:c r="AF13" s="54"/>
      <x:c r="AG13" s="54"/>
    </x:row>
    <x:row r="14" ht="29.25" customHeight="1">
      <x:c r="A14" s="46" t="s">
        <x:v>37</x:v>
      </x:c>
      <x:c r="B14" s="38" t="n">
        <x:v>6</x:v>
      </x:c>
      <x:c r="C14" s="47" t="s">
        <x:v>38</x:v>
      </x:c>
      <x:c r="D14" s="8"/>
      <x:c r="E14" s="8"/>
      <x:c r="F14" s="8"/>
      <x:c r="G14" s="10"/>
      <x:c r="H14" s="21"/>
      <x:c r="I14" s="82"/>
      <x:c r="N14" s="8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54"/>
      <x:c r="AA14" s="54"/>
      <x:c r="AB14" s="54"/>
      <x:c r="AC14" s="54"/>
      <x:c r="AD14" s="54"/>
      <x:c r="AE14" s="54"/>
      <x:c r="AF14" s="54"/>
      <x:c r="AG14" s="54"/>
    </x:row>
    <x:row r="15" ht="21" customHeight="1">
      <x:c r="A15" s="36" t="s">
        <x:v>39</x:v>
      </x:c>
      <x:c r="B15" s="15"/>
      <x:c r="C15" s="15"/>
      <x:c r="D15" s="15"/>
      <x:c r="E15" s="15"/>
      <x:c r="F15" s="15"/>
      <x:c r="G15" s="37"/>
      <x:c r="H15" s="21"/>
      <x:c r="I15" s="82"/>
      <x:c r="N15" s="8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54"/>
      <x:c r="AA15" s="54"/>
      <x:c r="AB15" s="54"/>
      <x:c r="AC15" s="54"/>
      <x:c r="AD15" s="54"/>
      <x:c r="AE15" s="54"/>
      <x:c r="AF15" s="54"/>
      <x:c r="AG15" s="54"/>
    </x:row>
    <x:row r="16" ht="21" customHeight="1">
      <x:c r="A16" s="46" t="s">
        <x:v>40</x:v>
      </x:c>
      <x:c r="B16" s="38" t="n">
        <x:v>0.5</x:v>
      </x:c>
      <x:c r="C16" s="47" t="s">
        <x:v>41</x:v>
      </x:c>
      <x:c r="D16" s="8"/>
      <x:c r="E16" s="8"/>
      <x:c r="F16" s="8"/>
      <x:c r="G16" s="10"/>
      <x:c r="H16" s="21"/>
      <x:c r="I16" s="82"/>
      <x:c r="N16" s="8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</x:row>
    <x:row r="17" ht="21" customHeight="1">
      <x:c r="A17" s="46" t="s">
        <x:v>42</x:v>
      </x:c>
      <x:c r="B17" s="38" t="n">
        <x:v>0.5</x:v>
      </x:c>
      <x:c r="C17" s="47" t="s">
        <x:v>43</x:v>
      </x:c>
      <x:c r="D17" s="8"/>
      <x:c r="E17" s="8"/>
      <x:c r="F17" s="8"/>
      <x:c r="G17" s="10"/>
      <x:c r="H17" s="21"/>
      <x:c r="I17" s="84"/>
      <x:c r="J17" s="85"/>
      <x:c r="K17" s="85"/>
      <x:c r="L17" s="85"/>
      <x:c r="M17" s="85"/>
      <x:c r="N17" s="86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</x:row>
    <x:row r="18" ht="21" customHeight="1">
      <x:c r="A18" s="46" t="s">
        <x:v>44</x:v>
      </x:c>
      <x:c r="B18" s="38" t="n">
        <x:v>0.5</x:v>
      </x:c>
      <x:c r="C18" s="47" t="s">
        <x:v>45</x:v>
      </x:c>
      <x:c r="D18" s="8"/>
      <x:c r="E18" s="8"/>
      <x:c r="F18" s="8"/>
      <x:c r="G18" s="10"/>
      <x:c r="H18" s="21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</x:row>
    <x:row r="19" ht="29.25" customHeight="1">
      <x:c r="A19" s="46" t="s">
        <x:v>46</x:v>
      </x:c>
      <x:c r="B19" s="38" t="n">
        <x:v>10</x:v>
      </x:c>
      <x:c r="C19" s="47" t="s">
        <x:v>47</x:v>
      </x:c>
      <x:c r="D19" s="8"/>
      <x:c r="E19" s="8"/>
      <x:c r="F19" s="8"/>
      <x:c r="G19" s="10"/>
      <x:c r="H19" s="21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</x:row>
    <x:row r="20" ht="21" customHeight="1">
      <x:c r="A20" s="46" t="s">
        <x:v>48</x:v>
      </x:c>
      <x:c r="B20" s="38" t="n">
        <x:v>6</x:v>
      </x:c>
      <x:c r="C20" s="47" t="s">
        <x:v>49</x:v>
      </x:c>
      <x:c r="D20" s="8"/>
      <x:c r="E20" s="8"/>
      <x:c r="F20" s="8"/>
      <x:c r="G20" s="10"/>
      <x:c r="H20" s="21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</x:row>
    <x:row r="21" ht="21" customHeight="1">
      <x:c r="A21" s="36" t="s">
        <x:v>50</x:v>
      </x:c>
      <x:c r="B21" s="15"/>
      <x:c r="C21" s="15"/>
      <x:c r="D21" s="15"/>
      <x:c r="E21" s="15"/>
      <x:c r="F21" s="15"/>
      <x:c r="G21" s="37"/>
      <x:c r="H21" s="21"/>
      <x:c r="I21" s="21"/>
      <x:c r="J21" s="21"/>
      <x:c r="K21" s="21"/>
      <x:c r="L21" s="21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</x:row>
    <x:row r="22" ht="21" customHeight="1">
      <x:c r="A22" s="46" t="s">
        <x:v>51</x:v>
      </x:c>
      <x:c r="B22" s="38" t="n">
        <x:v>-1</x:v>
      </x:c>
      <x:c r="C22" s="47" t="s">
        <x:v>52</x:v>
      </x:c>
      <x:c r="D22" s="8"/>
      <x:c r="E22" s="8"/>
      <x:c r="F22" s="8"/>
      <x:c r="G22" s="10"/>
      <x:c r="H22" s="21"/>
      <x:c r="I22" s="88"/>
      <x:c r="J22" s="88"/>
      <x:c r="K22" s="88"/>
      <x:c r="L22" s="88"/>
      <x:c r="M22" s="12"/>
      <x:c r="N22" s="12"/>
      <x:c r="O22" s="12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</x:row>
    <x:row r="23" ht="21" customHeight="1">
      <x:c r="A23" s="46" t="s">
        <x:v>53</x:v>
      </x:c>
      <x:c r="B23" s="38" t="n">
        <x:v>0</x:v>
      </x:c>
      <x:c r="C23" s="47" t="s">
        <x:v>54</x:v>
      </x:c>
      <x:c r="D23" s="8"/>
      <x:c r="E23" s="8"/>
      <x:c r="F23" s="8"/>
      <x:c r="G23" s="10"/>
      <x:c r="H23" s="21"/>
      <x:c r="I23" s="88"/>
      <x:c r="J23" s="88"/>
      <x:c r="K23" s="88"/>
      <x:c r="L23" s="88"/>
      <x:c r="M23" s="12"/>
      <x:c r="N23" s="12"/>
      <x:c r="O23" s="12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</x:row>
    <x:row r="24" ht="21" customHeight="1">
      <x:c r="A24" s="46" t="s">
        <x:v>55</x:v>
      </x:c>
      <x:c r="B24" s="38" t="n">
        <x:v>0</x:v>
      </x:c>
      <x:c r="C24" s="47" t="s">
        <x:v>56</x:v>
      </x:c>
      <x:c r="D24" s="8"/>
      <x:c r="E24" s="8"/>
      <x:c r="F24" s="8"/>
      <x:c r="G24" s="10"/>
      <x:c r="H24" s="21"/>
      <x:c r="I24" s="88"/>
      <x:c r="J24" s="88"/>
      <x:c r="K24" s="88"/>
      <x:c r="L24" s="88"/>
      <x:c r="M24" s="12"/>
      <x:c r="N24" s="12"/>
      <x:c r="O24" s="12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</x:row>
    <x:row r="25" ht="21" customHeight="1">
      <x:c r="A25" s="47" t="s">
        <x:v>57</x:v>
      </x:c>
      <x:c r="B25" s="38" t="n">
        <x:v>0</x:v>
      </x:c>
      <x:c r="C25" s="47" t="s">
        <x:v>58</x:v>
      </x:c>
      <x:c r="D25" s="8"/>
      <x:c r="E25" s="8"/>
      <x:c r="F25" s="8"/>
      <x:c r="G25" s="10"/>
      <x:c r="H25" s="21"/>
      <x:c r="I25" s="88"/>
      <x:c r="J25" s="88"/>
      <x:c r="K25" s="88"/>
      <x:c r="L25" s="88"/>
      <x:c r="M25" s="12"/>
      <x:c r="N25" s="12"/>
      <x:c r="O25" s="12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</x:row>
    <x:row r="26" ht="14.25" customHeight="1">
      <x:c r="A26" s="92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  <x:c r="Z26" s="12"/>
      <x:c r="AA26" s="12"/>
      <x:c r="AB26" s="12"/>
      <x:c r="AC26" s="12"/>
      <x:c r="AD26" s="12"/>
      <x:c r="AE26" s="12"/>
      <x:c r="AF26" s="12"/>
      <x:c r="AG26" s="12"/>
    </x:row>
    <x:row r="27" ht="15" customHeight="1">
      <x:c r="A27" s="92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  <x:c r="Z27" s="12"/>
      <x:c r="AA27" s="12"/>
      <x:c r="AB27" s="12"/>
      <x:c r="AC27" s="12"/>
      <x:c r="AD27" s="12"/>
      <x:c r="AE27" s="12"/>
      <x:c r="AF27" s="12"/>
      <x:c r="AG27" s="12"/>
    </x:row>
    <x:row r="28" ht="18" hidden="1" customHeight="1">
      <x:c r="A28" s="94" t="s">
        <x:v>59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10"/>
      <x:c r="R28" s="12"/>
      <x:c r="S28" s="12"/>
      <x:c r="T28" s="12"/>
      <x:c r="U28" s="12"/>
      <x:c r="V28" s="12"/>
      <x:c r="W28" s="12"/>
      <x:c r="X28" s="12"/>
      <x:c r="Y28" s="12"/>
      <x:c r="Z28" s="12"/>
      <x:c r="AA28" s="12"/>
      <x:c r="AB28" s="12"/>
      <x:c r="AC28" s="12"/>
      <x:c r="AD28" s="12"/>
      <x:c r="AE28" s="12"/>
      <x:c r="AF28" s="12"/>
      <x:c r="AG28" s="12"/>
    </x:row>
    <x:row r="29" ht="14.25" hidden="1" customHeight="1">
      <x:c r="A29" s="95" t="s">
        <x:v>60</x:v>
      </x:c>
      <x:c r="B29" s="95" t="s">
        <x:v>18</x:v>
      </x:c>
      <x:c r="C29" s="95" t="s">
        <x:v>22</x:v>
      </x:c>
      <x:c r="D29" s="95" t="s">
        <x:v>26</x:v>
      </x:c>
      <x:c r="E29" s="95" t="s">
        <x:v>28</x:v>
      </x:c>
      <x:c r="F29" s="95" t="s">
        <x:v>33</x:v>
      </x:c>
      <x:c r="G29" s="95" t="s">
        <x:v>35</x:v>
      </x:c>
      <x:c r="H29" s="95" t="s">
        <x:v>37</x:v>
      </x:c>
      <x:c r="I29" s="95" t="s">
        <x:v>51</x:v>
      </x:c>
      <x:c r="J29" s="95" t="s">
        <x:v>53</x:v>
      </x:c>
      <x:c r="K29" s="95" t="s">
        <x:v>55</x:v>
      </x:c>
      <x:c r="L29" s="96"/>
      <x:c r="M29" s="96"/>
      <x:c r="N29" s="96"/>
      <x:c r="O29" s="96"/>
      <x:c r="P29" s="96"/>
      <x:c r="Q29" s="96"/>
      <x:c r="R29" s="12"/>
      <x:c r="S29" s="12"/>
      <x:c r="T29" s="12"/>
      <x:c r="U29" s="12"/>
      <x:c r="V29" s="12"/>
      <x:c r="W29" s="12"/>
      <x:c r="X29" s="12"/>
      <x:c r="Y29" s="12"/>
      <x:c r="Z29" s="12"/>
      <x:c r="AA29" s="12"/>
      <x:c r="AB29" s="12"/>
      <x:c r="AC29" s="12"/>
      <x:c r="AD29" s="12"/>
      <x:c r="AE29" s="12"/>
      <x:c r="AF29" s="12"/>
      <x:c r="AG29" s="12"/>
    </x:row>
    <x:row r="30" ht="15" hidden="1" customHeight="1">
      <x:c r="A30" s="97" t="s">
        <x:v>61</x:v>
      </x:c>
      <x:c r="B30" s="98" t="n">
        <x:f>B6</x:f>
        <x:v>0</x:v>
      </x:c>
      <x:c r="C30" s="98" t="n">
        <x:f>B7</x:f>
        <x:v>25</x:v>
      </x:c>
      <x:c r="D30" s="98" t="n">
        <x:f>B8</x:f>
        <x:v>4</x:v>
      </x:c>
      <x:c r="E30" s="98" t="n">
        <x:f>B9</x:f>
        <x:v>-2</x:v>
      </x:c>
      <x:c r="F30" s="98" t="n">
        <x:f>B12</x:f>
        <x:v>0</x:v>
      </x:c>
      <x:c r="G30" s="98" t="n">
        <x:f>B13</x:f>
        <x:v>10</x:v>
      </x:c>
      <x:c r="H30" s="98" t="n">
        <x:f>B14</x:f>
        <x:v>6</x:v>
      </x:c>
      <x:c r="I30" s="98" t="n">
        <x:f>B22</x:f>
        <x:v>-1</x:v>
      </x:c>
      <x:c r="J30" s="98" t="n">
        <x:f>B23</x:f>
        <x:v>0</x:v>
      </x:c>
      <x:c r="K30" s="98" t="n">
        <x:f>B24</x:f>
        <x:v>0</x:v>
      </x:c>
      <x:c r="L30" s="96"/>
      <x:c r="M30" s="96"/>
      <x:c r="N30" s="96"/>
      <x:c r="O30" s="96"/>
      <x:c r="P30" s="96"/>
      <x:c r="Q30" s="96"/>
      <x:c r="R30" s="12"/>
      <x:c r="S30" s="12"/>
      <x:c r="T30" s="12"/>
      <x:c r="U30" s="12"/>
      <x:c r="V30" s="12"/>
      <x:c r="W30" s="12"/>
      <x:c r="X30" s="12"/>
      <x:c r="Y30" s="12"/>
      <x:c r="Z30" s="12"/>
      <x:c r="AA30" s="12"/>
      <x:c r="AB30" s="12"/>
      <x:c r="AC30" s="12"/>
      <x:c r="AD30" s="12"/>
      <x:c r="AE30" s="12"/>
      <x:c r="AF30" s="12"/>
      <x:c r="AG30" s="12"/>
    </x:row>
    <x:row r="31" ht="14.25" hidden="1" customHeight="1">
      <x:c r="A31" s="95" t="s">
        <x:v>62</x:v>
      </x:c>
      <x:c r="B31" s="95" t="s">
        <x:v>33</x:v>
      </x:c>
      <x:c r="C31" s="95" t="s">
        <x:v>35</x:v>
      </x:c>
      <x:c r="D31" s="95" t="s">
        <x:v>37</x:v>
      </x:c>
      <x:c r="E31" s="95" t="s">
        <x:v>63</x:v>
      </x:c>
      <x:c r="F31" s="95" t="s">
        <x:v>46</x:v>
      </x:c>
      <x:c r="G31" s="95" t="s">
        <x:v>48</x:v>
      </x:c>
      <x:c r="H31" s="95" t="s">
        <x:v>51</x:v>
      </x:c>
      <x:c r="I31" s="95" t="s">
        <x:v>55</x:v>
      </x:c>
      <x:c r="J31" s="95" t="s">
        <x:v>57</x:v>
      </x:c>
      <x:c r="K31" s="98"/>
      <x:c r="L31" s="96"/>
      <x:c r="M31" s="96"/>
      <x:c r="N31" s="96"/>
      <x:c r="O31" s="96"/>
      <x:c r="P31" s="96"/>
      <x:c r="Q31" s="96"/>
      <x:c r="R31" s="12"/>
      <x:c r="S31" s="12"/>
      <x:c r="T31" s="12"/>
      <x:c r="U31" s="12"/>
      <x:c r="V31" s="12"/>
      <x:c r="W31" s="12"/>
      <x:c r="X31" s="12"/>
      <x:c r="Y31" s="12"/>
      <x:c r="Z31" s="12"/>
      <x:c r="AA31" s="12"/>
      <x:c r="AB31" s="12"/>
      <x:c r="AC31" s="12"/>
      <x:c r="AD31" s="12"/>
      <x:c r="AE31" s="12"/>
      <x:c r="AF31" s="12"/>
      <x:c r="AG31" s="12"/>
    </x:row>
    <x:row r="32" ht="15" hidden="1" customHeight="1">
      <x:c r="A32" s="97" t="s">
        <x:v>61</x:v>
      </x:c>
      <x:c r="B32" s="98" t="n">
        <x:f>B12</x:f>
        <x:v>0</x:v>
      </x:c>
      <x:c r="C32" s="98" t="n">
        <x:f>B13</x:f>
        <x:v>10</x:v>
      </x:c>
      <x:c r="D32" s="98" t="n">
        <x:f>B14</x:f>
        <x:v>6</x:v>
      </x:c>
      <x:c r="E32" s="98" t="n">
        <x:f>B16</x:f>
        <x:v>0.5</x:v>
      </x:c>
      <x:c r="F32" s="98" t="n">
        <x:f>B19</x:f>
        <x:v>10</x:v>
      </x:c>
      <x:c r="G32" s="98" t="n">
        <x:f>B20</x:f>
        <x:v>6</x:v>
      </x:c>
      <x:c r="H32" s="98" t="n">
        <x:f>B22</x:f>
        <x:v>-1</x:v>
      </x:c>
      <x:c r="I32" s="98" t="n">
        <x:f>B24</x:f>
        <x:v>0</x:v>
      </x:c>
      <x:c r="J32" s="98" t="n">
        <x:f>B25</x:f>
        <x:v>0</x:v>
      </x:c>
      <x:c r="K32" s="98"/>
      <x:c r="L32" s="96"/>
      <x:c r="M32" s="96"/>
      <x:c r="N32" s="96"/>
      <x:c r="O32" s="96"/>
      <x:c r="P32" s="96"/>
      <x:c r="Q32" s="96"/>
      <x:c r="R32" s="12"/>
      <x:c r="S32" s="12"/>
      <x:c r="T32" s="12"/>
      <x:c r="U32" s="12"/>
      <x:c r="V32" s="12"/>
      <x:c r="W32" s="12"/>
      <x:c r="X32" s="12"/>
      <x:c r="Y32" s="12"/>
      <x:c r="Z32" s="12"/>
      <x:c r="AA32" s="12"/>
      <x:c r="AB32" s="12"/>
      <x:c r="AC32" s="12"/>
      <x:c r="AD32" s="12"/>
      <x:c r="AE32" s="12"/>
      <x:c r="AF32" s="12"/>
      <x:c r="AG32" s="12"/>
    </x:row>
    <x:row r="33" ht="14.25" hidden="1" customHeight="1">
      <x:c r="A33" s="95" t="s">
        <x:v>64</x:v>
      </x:c>
      <x:c r="B33" s="95" t="s">
        <x:v>63</x:v>
      </x:c>
      <x:c r="C33" s="95" t="s">
        <x:v>46</x:v>
      </x:c>
      <x:c r="D33" s="95" t="s">
        <x:v>48</x:v>
      </x:c>
      <x:c r="E33" s="95" t="s">
        <x:v>33</x:v>
      </x:c>
      <x:c r="F33" s="95" t="s">
        <x:v>35</x:v>
      </x:c>
      <x:c r="G33" s="95" t="s">
        <x:v>37</x:v>
      </x:c>
      <x:c r="H33" s="95" t="s">
        <x:v>51</x:v>
      </x:c>
      <x:c r="I33" s="95" t="s">
        <x:v>55</x:v>
      </x:c>
      <x:c r="J33" s="95" t="s">
        <x:v>57</x:v>
      </x:c>
      <x:c r="K33" s="98"/>
      <x:c r="L33" s="96"/>
      <x:c r="M33" s="96"/>
      <x:c r="N33" s="96"/>
      <x:c r="O33" s="96"/>
      <x:c r="P33" s="96"/>
      <x:c r="Q33" s="96"/>
      <x:c r="R33" s="12"/>
      <x:c r="S33" s="12"/>
      <x:c r="T33" s="12"/>
      <x:c r="U33" s="12"/>
      <x:c r="V33" s="12"/>
      <x:c r="W33" s="12"/>
      <x:c r="X33" s="12"/>
      <x:c r="Y33" s="12"/>
      <x:c r="Z33" s="12"/>
      <x:c r="AA33" s="12"/>
      <x:c r="AB33" s="12"/>
      <x:c r="AC33" s="12"/>
      <x:c r="AD33" s="12"/>
      <x:c r="AE33" s="12"/>
      <x:c r="AF33" s="12"/>
      <x:c r="AG33" s="12"/>
    </x:row>
    <x:row r="34" ht="15" hidden="1" customHeight="1">
      <x:c r="A34" s="97" t="s">
        <x:v>61</x:v>
      </x:c>
      <x:c r="B34" s="98" t="n">
        <x:f>B17</x:f>
        <x:v>0.5</x:v>
      </x:c>
      <x:c r="C34" s="98" t="n">
        <x:f>B19</x:f>
        <x:v>10</x:v>
      </x:c>
      <x:c r="D34" s="98" t="n">
        <x:f>B20</x:f>
        <x:v>6</x:v>
      </x:c>
      <x:c r="E34" s="98" t="n">
        <x:f>B12</x:f>
        <x:v>0</x:v>
      </x:c>
      <x:c r="F34" s="98" t="n">
        <x:f>B13</x:f>
        <x:v>10</x:v>
      </x:c>
      <x:c r="G34" s="98" t="n">
        <x:f>B14</x:f>
        <x:v>6</x:v>
      </x:c>
      <x:c r="H34" s="98" t="n">
        <x:f>B22</x:f>
        <x:v>-1</x:v>
      </x:c>
      <x:c r="I34" s="98" t="n">
        <x:f>B24</x:f>
        <x:v>0</x:v>
      </x:c>
      <x:c r="J34" s="98" t="n">
        <x:f>B25</x:f>
        <x:v>0</x:v>
      </x:c>
      <x:c r="K34" s="98"/>
      <x:c r="L34" s="96"/>
      <x:c r="M34" s="96"/>
      <x:c r="N34" s="96"/>
      <x:c r="O34" s="96"/>
      <x:c r="P34" s="96"/>
      <x:c r="Q34" s="96"/>
      <x:c r="R34" s="12"/>
      <x:c r="S34" s="12"/>
      <x:c r="T34" s="12"/>
      <x:c r="U34" s="12"/>
      <x:c r="V34" s="12"/>
      <x:c r="W34" s="12"/>
      <x:c r="X34" s="12"/>
      <x:c r="Y34" s="12"/>
      <x:c r="Z34" s="12"/>
      <x:c r="AA34" s="12"/>
      <x:c r="AB34" s="12"/>
      <x:c r="AC34" s="12"/>
      <x:c r="AD34" s="12"/>
      <x:c r="AE34" s="12"/>
      <x:c r="AF34" s="12"/>
      <x:c r="AG34" s="12"/>
    </x:row>
    <x:row r="35" ht="14.25" hidden="1" customHeight="1">
      <x:c r="A35" s="95" t="s">
        <x:v>65</x:v>
      </x:c>
      <x:c r="B35" s="95" t="s">
        <x:v>63</x:v>
      </x:c>
      <x:c r="C35" s="95" t="s">
        <x:v>46</x:v>
      </x:c>
      <x:c r="D35" s="95" t="s">
        <x:v>48</x:v>
      </x:c>
      <x:c r="E35" s="95" t="s">
        <x:v>51</x:v>
      </x:c>
      <x:c r="F35" s="95" t="s">
        <x:v>57</x:v>
      </x:c>
      <x:c r="G35" s="98"/>
      <x:c r="H35" s="98"/>
      <x:c r="I35" s="98"/>
      <x:c r="J35" s="98"/>
      <x:c r="K35" s="98"/>
      <x:c r="L35" s="96"/>
      <x:c r="M35" s="96"/>
      <x:c r="N35" s="96"/>
      <x:c r="O35" s="96"/>
      <x:c r="P35" s="96"/>
      <x:c r="Q35" s="96"/>
      <x:c r="R35" s="12"/>
      <x:c r="S35" s="12"/>
      <x:c r="T35" s="12"/>
      <x:c r="U35" s="12"/>
      <x:c r="V35" s="12"/>
      <x:c r="W35" s="12"/>
      <x:c r="X35" s="12"/>
      <x:c r="Y35" s="12"/>
      <x:c r="Z35" s="12"/>
      <x:c r="AA35" s="12"/>
      <x:c r="AB35" s="12"/>
      <x:c r="AC35" s="12"/>
      <x:c r="AD35" s="12"/>
      <x:c r="AE35" s="12"/>
      <x:c r="AF35" s="12"/>
      <x:c r="AG35" s="12"/>
    </x:row>
    <x:row r="36" ht="15" hidden="1" customHeight="1">
      <x:c r="A36" s="97" t="s">
        <x:v>61</x:v>
      </x:c>
      <x:c r="B36" s="98" t="n">
        <x:f>B18</x:f>
        <x:v>0.5</x:v>
      </x:c>
      <x:c r="C36" s="98" t="n">
        <x:f>B19</x:f>
        <x:v>10</x:v>
      </x:c>
      <x:c r="D36" s="98" t="n">
        <x:f>B20</x:f>
        <x:v>6</x:v>
      </x:c>
      <x:c r="E36" s="98" t="n">
        <x:f>B22</x:f>
        <x:v>-1</x:v>
      </x:c>
      <x:c r="F36" s="98" t="n">
        <x:f>B25</x:f>
        <x:v>0</x:v>
      </x:c>
      <x:c r="G36" s="98"/>
      <x:c r="H36" s="98"/>
      <x:c r="I36" s="98"/>
      <x:c r="J36" s="98"/>
      <x:c r="K36" s="98"/>
      <x:c r="L36" s="96"/>
      <x:c r="M36" s="96"/>
      <x:c r="N36" s="96"/>
      <x:c r="O36" s="96"/>
      <x:c r="P36" s="96"/>
      <x:c r="Q36" s="96"/>
      <x:c r="R36" s="12"/>
      <x:c r="S36" s="12"/>
      <x:c r="T36" s="12"/>
      <x:c r="U36" s="12"/>
      <x:c r="V36" s="12"/>
      <x:c r="W36" s="12"/>
      <x:c r="X36" s="12"/>
      <x:c r="Y36" s="12"/>
      <x:c r="Z36" s="12"/>
      <x:c r="AA36" s="12"/>
      <x:c r="AB36" s="12"/>
      <x:c r="AC36" s="12"/>
      <x:c r="AD36" s="12"/>
      <x:c r="AE36" s="12"/>
      <x:c r="AF36" s="12"/>
      <x:c r="AG36" s="12"/>
    </x:row>
    <x:row r="37" ht="15" hidden="1" customHeight="1">
      <x:c r="A37" s="98"/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6"/>
      <x:c r="M37" s="96"/>
      <x:c r="N37" s="96"/>
      <x:c r="O37" s="96"/>
      <x:c r="P37" s="96"/>
      <x:c r="Q37" s="96"/>
      <x:c r="R37" s="12"/>
      <x:c r="S37" s="12"/>
      <x:c r="T37" s="12"/>
      <x:c r="U37" s="12"/>
      <x:c r="V37" s="12"/>
      <x:c r="W37" s="12"/>
      <x:c r="X37" s="12"/>
      <x:c r="Y37" s="12"/>
      <x:c r="Z37" s="12"/>
      <x:c r="AA37" s="12"/>
      <x:c r="AB37" s="12"/>
      <x:c r="AC37" s="12"/>
      <x:c r="AD37" s="12"/>
      <x:c r="AE37" s="12"/>
      <x:c r="AF37" s="12"/>
      <x:c r="AG37" s="12"/>
    </x:row>
    <x:row r="38" ht="15" hidden="1" customHeight="1">
      <x:c r="A38" s="100" t="s">
        <x:v>66</x:v>
      </x:c>
      <x:c r="B38" s="101"/>
      <x:c r="C38" s="101"/>
      <x:c r="D38" s="101"/>
      <x:c r="E38" s="101"/>
      <x:c r="F38" s="102"/>
      <x:c r="G38" s="95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12"/>
      <x:c r="S38" s="12"/>
      <x:c r="T38" s="12"/>
      <x:c r="U38" s="12"/>
      <x:c r="V38" s="12"/>
      <x:c r="W38" s="12"/>
      <x:c r="X38" s="12"/>
      <x:c r="Y38" s="12"/>
      <x:c r="Z38" s="12"/>
      <x:c r="AA38" s="12"/>
      <x:c r="AB38" s="12"/>
      <x:c r="AC38" s="12"/>
      <x:c r="AD38" s="12"/>
      <x:c r="AE38" s="12"/>
      <x:c r="AF38" s="12"/>
      <x:c r="AG38" s="12"/>
    </x:row>
    <x:row r="39" ht="15" hidden="1" customHeight="1">
      <x:c r="A39" s="95" t="s">
        <x:v>6</x:v>
      </x:c>
      <x:c r="B39" s="95" t="s">
        <x:v>7</x:v>
      </x:c>
      <x:c r="C39" s="95" t="s">
        <x:v>8</x:v>
      </x:c>
      <x:c r="D39" s="95" t="s">
        <x:v>9</x:v>
      </x:c>
      <x:c r="E39" s="95" t="s">
        <x:v>10</x:v>
      </x:c>
      <x:c r="F39" s="95" t="s">
        <x:v>11</x:v>
      </x:c>
      <x:c r="G39" s="103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12"/>
      <x:c r="S39" s="12"/>
      <x:c r="T39" s="12"/>
      <x:c r="U39" s="12"/>
      <x:c r="V39" s="12"/>
      <x:c r="W39" s="12"/>
      <x:c r="X39" s="12"/>
      <x:c r="Y39" s="12"/>
      <x:c r="Z39" s="12"/>
      <x:c r="AA39" s="12"/>
      <x:c r="AB39" s="12"/>
      <x:c r="AC39" s="12"/>
      <x:c r="AD39" s="12"/>
      <x:c r="AE39" s="12"/>
      <x:c r="AF39" s="12"/>
      <x:c r="AG39" s="12"/>
    </x:row>
    <x:row r="40" ht="15" hidden="1" customHeight="1">
      <x:c r="A40" s="98" t="n">
        <x:f>I4</x:f>
        <x:v>12</x:v>
      </x:c>
      <x:c r="B40" s="98" t="n">
        <x:f>J4+P4</x:f>
        <x:v>1</x:v>
      </x:c>
      <x:c r="C40" s="98" t="n">
        <x:f t="shared" ref="C40:E40" si="1">K4</x:f>
        <x:v>2</x:v>
      </x:c>
      <x:c r="D40" s="98">
        <x:f t="shared" si="1"/>
        <x:v>3</x:v>
      </x:c>
      <x:c r="E40" s="98">
        <x:f t="shared" si="1"/>
        <x:v>1</x:v>
      </x:c>
      <x:c r="F40" s="104" t="n">
        <x:f>N4+I38</x:f>
        <x:v>1</x:v>
      </x:c>
      <x:c r="G40" s="98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12"/>
      <x:c r="S40" s="12"/>
      <x:c r="T40" s="12"/>
      <x:c r="U40" s="12"/>
      <x:c r="V40" s="12"/>
      <x:c r="W40" s="12"/>
      <x:c r="X40" s="12"/>
      <x:c r="Y40" s="12"/>
      <x:c r="Z40" s="12"/>
      <x:c r="AA40" s="12"/>
      <x:c r="AB40" s="12"/>
      <x:c r="AC40" s="12"/>
      <x:c r="AD40" s="12"/>
      <x:c r="AE40" s="12"/>
      <x:c r="AF40" s="12"/>
      <x:c r="AG40" s="12"/>
    </x:row>
    <x:row r="41" ht="15" hidden="1" customHeight="1">
      <x:c r="A41" s="98" t="s">
        <x:v>67</x:v>
      </x:c>
      <x:c r="B41" s="98" t="n">
        <x:f>(J4+P4)*I4</x:f>
        <x:v>12</x:v>
      </x:c>
      <x:c r="C41" s="98" t="n">
        <x:f>K4*I4</x:f>
        <x:v>24</x:v>
      </x:c>
      <x:c r="D41" s="98" t="n">
        <x:f>L4*I4</x:f>
        <x:v>36</x:v>
      </x:c>
      <x:c r="E41" s="98" t="n">
        <x:f>M4*I4</x:f>
        <x:v>12</x:v>
      </x:c>
      <x:c r="F41" s="104" t="n">
        <x:f>N4*I4</x:f>
        <x:v>12</x:v>
      </x:c>
      <x:c r="G41" s="98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12"/>
      <x:c r="S41" s="12"/>
      <x:c r="T41" s="12"/>
      <x:c r="U41" s="12"/>
      <x:c r="V41" s="12"/>
      <x:c r="W41" s="12"/>
      <x:c r="X41" s="12"/>
      <x:c r="Y41" s="12"/>
      <x:c r="Z41" s="12"/>
      <x:c r="AA41" s="12"/>
      <x:c r="AB41" s="12"/>
      <x:c r="AC41" s="12"/>
      <x:c r="AD41" s="12"/>
      <x:c r="AE41" s="12"/>
      <x:c r="AF41" s="12"/>
      <x:c r="AG41" s="12"/>
    </x:row>
    <x:row r="42" ht="15" hidden="1" customHeight="1">
      <x:c r="A42" s="98" t="s">
        <x:v>68</x:v>
      </x:c>
      <x:c r="B42" s="98">
        <x:v>0.0</x:v>
      </x:c>
      <x:c r="C42" s="105" t="n">
        <x:f>FLEX!E1</x:f>
        <x:v>0</x:v>
      </x:c>
      <x:c r="D42" s="105" t="n">
        <x:f>FLEX!G1</x:f>
        <x:v>0</x:v>
      </x:c>
      <x:c r="E42" s="105" t="n">
        <x:f>FLEX!I1</x:f>
        <x:v>0</x:v>
      </x:c>
      <x:c r="F42" s="104"/>
      <x:c r="G42" s="98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12"/>
      <x:c r="S42" s="12"/>
      <x:c r="T42" s="12"/>
      <x:c r="U42" s="12"/>
      <x:c r="V42" s="12"/>
      <x:c r="W42" s="12"/>
      <x:c r="X42" s="12"/>
      <x:c r="Y42" s="12"/>
      <x:c r="Z42" s="12"/>
      <x:c r="AA42" s="12"/>
      <x:c r="AB42" s="12"/>
      <x:c r="AC42" s="12"/>
      <x:c r="AD42" s="12"/>
      <x:c r="AE42" s="12"/>
      <x:c r="AF42" s="12"/>
      <x:c r="AG42" s="12"/>
    </x:row>
    <x:row r="43" ht="15" hidden="1" customHeight="1">
      <x:c r="A43" s="106" t="s">
        <x:v>69</x:v>
      </x:c>
      <x:c r="B43" s="106" t="n">
        <x:f>ROUND(B41*1.2,)</x:f>
        <x:v>14</x:v>
      </x:c>
      <x:c r="C43" s="106" t="n">
        <x:f>ROUND((C41+C42)*1.2,)</x:f>
        <x:v>29</x:v>
      </x:c>
      <x:c r="D43" s="106" t="n">
        <x:f>ROUND((D41+D42)*1.3,)</x:f>
        <x:v>47</x:v>
      </x:c>
      <x:c r="E43" s="106" t="n">
        <x:f>ROUND((E41+E42)*1.2,)</x:f>
        <x:v>14</x:v>
      </x:c>
      <x:c r="F43" s="106"/>
      <x:c r="G43" s="107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12"/>
      <x:c r="S43" s="12"/>
      <x:c r="T43" s="12"/>
      <x:c r="U43" s="12"/>
      <x:c r="V43" s="12"/>
      <x:c r="W43" s="12"/>
      <x:c r="X43" s="12"/>
      <x:c r="Y43" s="12"/>
      <x:c r="Z43" s="12"/>
      <x:c r="AA43" s="12"/>
      <x:c r="AB43" s="12"/>
      <x:c r="AC43" s="12"/>
      <x:c r="AD43" s="12"/>
      <x:c r="AE43" s="12"/>
      <x:c r="AF43" s="12"/>
      <x:c r="AG43" s="12"/>
    </x:row>
    <x:row r="44" ht="15" hidden="1" customHeight="1">
      <x:c r="A44" s="95" t="s">
        <x:v>70</x:v>
      </x:c>
      <x:c r="B44" s="108" t="n">
        <x:f>K7*I4+P7</x:f>
        <x:v>2400</x:v>
      </x:c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12"/>
      <x:c r="S44" s="12"/>
      <x:c r="T44" s="12"/>
      <x:c r="U44" s="12"/>
      <x:c r="V44" s="12"/>
      <x:c r="W44" s="12"/>
      <x:c r="X44" s="12"/>
      <x:c r="Y44" s="12"/>
      <x:c r="Z44" s="12"/>
      <x:c r="AA44" s="12"/>
      <x:c r="AB44" s="12"/>
      <x:c r="AC44" s="12"/>
      <x:c r="AD44" s="12"/>
      <x:c r="AE44" s="12"/>
      <x:c r="AF44" s="12"/>
      <x:c r="AG44" s="12"/>
    </x:row>
    <x:row r="45" ht="15" hidden="1" customHeight="1">
      <x:c r="A45" s="95" t="s">
        <x:v>71</x:v>
      </x:c>
      <x:c r="B45" s="109" t="n">
        <x:f>SUM(J4:P4)*I4</x:f>
        <x:v>156</x:v>
      </x:c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12"/>
      <x:c r="S45" s="12"/>
      <x:c r="T45" s="12"/>
      <x:c r="U45" s="12"/>
      <x:c r="V45" s="12"/>
      <x:c r="W45" s="12"/>
      <x:c r="X45" s="12"/>
      <x:c r="Y45" s="12"/>
      <x:c r="Z45" s="12"/>
      <x:c r="AA45" s="12"/>
      <x:c r="AB45" s="12"/>
      <x:c r="AC45" s="12"/>
      <x:c r="AD45" s="12"/>
      <x:c r="AE45" s="12"/>
      <x:c r="AF45" s="12"/>
      <x:c r="AG45" s="12"/>
    </x:row>
    <x:row r="46" ht="15" hidden="1" customHeight="1">
      <x:c r="A46" s="95" t="s">
        <x:v>72</x:v>
      </x:c>
      <x:c r="B46" s="108" t="n">
        <x:f>B44-B45</x:f>
        <x:v>2244</x:v>
      </x:c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12"/>
      <x:c r="S46" s="12"/>
      <x:c r="T46" s="12"/>
      <x:c r="U46" s="12"/>
      <x:c r="V46" s="12"/>
      <x:c r="W46" s="12"/>
      <x:c r="X46" s="12"/>
      <x:c r="Y46" s="12"/>
      <x:c r="Z46" s="12"/>
      <x:c r="AA46" s="12"/>
      <x:c r="AB46" s="12"/>
      <x:c r="AC46" s="12"/>
      <x:c r="AD46" s="12"/>
      <x:c r="AE46" s="12"/>
      <x:c r="AF46" s="12"/>
      <x:c r="AG46" s="12"/>
    </x:row>
    <x:row r="47" ht="15" hidden="1" customHeight="1">
      <x:c r="A47" s="95" t="s">
        <x:v>73</x:v>
      </x:c>
      <x:c r="B47" s="110" t="n">
        <x:f>SUM(Aggregate!J1+Aggregate!X1+Aggregate!AL1+Aggregate!AZ1)</x:f>
        <x:v>3726.9862907062648</x:v>
      </x:c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12"/>
      <x:c r="S47" s="12"/>
      <x:c r="T47" s="12"/>
      <x:c r="U47" s="12"/>
      <x:c r="V47" s="12"/>
      <x:c r="W47" s="12"/>
      <x:c r="X47" s="12"/>
      <x:c r="Y47" s="12"/>
      <x:c r="Z47" s="12"/>
      <x:c r="AA47" s="12"/>
      <x:c r="AB47" s="12"/>
      <x:c r="AC47" s="12"/>
      <x:c r="AD47" s="12"/>
      <x:c r="AE47" s="12"/>
      <x:c r="AF47" s="12"/>
      <x:c r="AG47" s="12"/>
    </x:row>
    <x:row r="48" ht="15" hidden="1" customHeight="1">
      <x:c r="A48" s="95" t="s">
        <x:v>74</x:v>
      </x:c>
      <x:c r="B48" s="111" t="n">
        <x:f>B46/B47</x:f>
        <x:v>0.6020950507909599</x:v>
      </x:c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12"/>
      <x:c r="S48" s="12"/>
      <x:c r="T48" s="12"/>
      <x:c r="U48" s="12"/>
      <x:c r="V48" s="12"/>
      <x:c r="W48" s="12"/>
      <x:c r="X48" s="12"/>
      <x:c r="Y48" s="12"/>
      <x:c r="Z48" s="12"/>
      <x:c r="AA48" s="12"/>
      <x:c r="AB48" s="12"/>
      <x:c r="AC48" s="12"/>
      <x:c r="AD48" s="12"/>
      <x:c r="AE48" s="12"/>
      <x:c r="AF48" s="12"/>
      <x:c r="AG48" s="12"/>
    </x:row>
    <x:row r="49" ht="14.25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  <x:c r="Z49" s="12"/>
      <x:c r="AA49" s="12"/>
      <x:c r="AB49" s="12"/>
      <x:c r="AC49" s="12"/>
      <x:c r="AD49" s="12"/>
      <x:c r="AE49" s="12"/>
      <x:c r="AF49" s="12"/>
      <x:c r="AG49" s="12"/>
    </x:row>
    <x:row r="50" ht="14.25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  <x:c r="Z50" s="12"/>
      <x:c r="AA50" s="12"/>
      <x:c r="AB50" s="12"/>
      <x:c r="AC50" s="12"/>
      <x:c r="AD50" s="12"/>
      <x:c r="AE50" s="12"/>
      <x:c r="AF50" s="12"/>
      <x:c r="AG50" s="12"/>
    </x:row>
    <x:row r="51" ht="14.25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  <x:c r="Z51" s="12"/>
      <x:c r="AA51" s="12"/>
      <x:c r="AB51" s="12"/>
      <x:c r="AC51" s="12"/>
      <x:c r="AD51" s="12"/>
      <x:c r="AE51" s="12"/>
      <x:c r="AF51" s="12"/>
      <x:c r="AG51" s="12"/>
    </x:row>
    <x:row r="52" ht="14.25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  <x:c r="Z52" s="12"/>
      <x:c r="AA52" s="12"/>
      <x:c r="AB52" s="12"/>
      <x:c r="AC52" s="12"/>
      <x:c r="AD52" s="12"/>
      <x:c r="AE52" s="12"/>
      <x:c r="AF52" s="12"/>
      <x:c r="AG52" s="12"/>
    </x:row>
    <x:row r="53" ht="14.25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  <x:c r="Z53" s="12"/>
      <x:c r="AA53" s="12"/>
      <x:c r="AB53" s="12"/>
      <x:c r="AC53" s="12"/>
      <x:c r="AD53" s="12"/>
      <x:c r="AE53" s="12"/>
      <x:c r="AF53" s="12"/>
      <x:c r="AG53" s="12"/>
    </x:row>
    <x:row r="54" ht="14.25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  <x:c r="Z54" s="12"/>
      <x:c r="AA54" s="12"/>
      <x:c r="AB54" s="12"/>
      <x:c r="AC54" s="12"/>
      <x:c r="AD54" s="12"/>
      <x:c r="AE54" s="12"/>
      <x:c r="AF54" s="12"/>
      <x:c r="AG54" s="12"/>
    </x:row>
    <x:row r="55" ht="14.25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  <x:c r="Z55" s="12"/>
      <x:c r="AA55" s="12"/>
      <x:c r="AB55" s="12"/>
      <x:c r="AC55" s="12"/>
      <x:c r="AD55" s="12"/>
      <x:c r="AE55" s="12"/>
      <x:c r="AF55" s="12"/>
      <x:c r="AG55" s="12"/>
    </x:row>
    <x:row r="56" ht="14.25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  <x:c r="Z56" s="12"/>
      <x:c r="AA56" s="12"/>
      <x:c r="AB56" s="12"/>
      <x:c r="AC56" s="12"/>
      <x:c r="AD56" s="12"/>
      <x:c r="AE56" s="12"/>
      <x:c r="AF56" s="12"/>
      <x:c r="AG56" s="12"/>
    </x:row>
    <x:row r="57" ht="14.25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  <x:c r="Z57" s="12"/>
      <x:c r="AA57" s="12"/>
      <x:c r="AB57" s="12"/>
      <x:c r="AC57" s="12"/>
      <x:c r="AD57" s="12"/>
      <x:c r="AE57" s="12"/>
      <x:c r="AF57" s="12"/>
      <x:c r="AG57" s="12"/>
    </x:row>
    <x:row r="58" ht="14.25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  <x:c r="Z58" s="12"/>
      <x:c r="AA58" s="12"/>
      <x:c r="AB58" s="12"/>
      <x:c r="AC58" s="12"/>
      <x:c r="AD58" s="12"/>
      <x:c r="AE58" s="12"/>
      <x:c r="AF58" s="12"/>
      <x:c r="AG58" s="12"/>
    </x:row>
    <x:row r="59" ht="14.25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  <x:c r="Z59" s="12"/>
      <x:c r="AA59" s="12"/>
      <x:c r="AB59" s="12"/>
      <x:c r="AC59" s="12"/>
      <x:c r="AD59" s="12"/>
      <x:c r="AE59" s="12"/>
      <x:c r="AF59" s="12"/>
      <x:c r="AG59" s="12"/>
    </x:row>
    <x:row r="60" ht="14.25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  <x:c r="Z60" s="12"/>
      <x:c r="AA60" s="12"/>
      <x:c r="AB60" s="12"/>
      <x:c r="AC60" s="12"/>
      <x:c r="AD60" s="12"/>
      <x:c r="AE60" s="12"/>
      <x:c r="AF60" s="12"/>
      <x:c r="AG60" s="12"/>
    </x:row>
    <x:row r="61" ht="14.25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  <x:c r="Z61" s="12"/>
      <x:c r="AA61" s="12"/>
      <x:c r="AB61" s="12"/>
      <x:c r="AC61" s="12"/>
      <x:c r="AD61" s="12"/>
      <x:c r="AE61" s="12"/>
      <x:c r="AF61" s="12"/>
      <x:c r="AG61" s="12"/>
    </x:row>
    <x:row r="62" ht="14.25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  <x:c r="Z62" s="12"/>
      <x:c r="AA62" s="12"/>
      <x:c r="AB62" s="12"/>
      <x:c r="AC62" s="12"/>
      <x:c r="AD62" s="12"/>
      <x:c r="AE62" s="12"/>
      <x:c r="AF62" s="12"/>
      <x:c r="AG62" s="12"/>
    </x:row>
    <x:row r="63" ht="14.25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  <x:c r="Z63" s="12"/>
      <x:c r="AA63" s="12"/>
      <x:c r="AB63" s="12"/>
      <x:c r="AC63" s="12"/>
      <x:c r="AD63" s="12"/>
      <x:c r="AE63" s="12"/>
      <x:c r="AF63" s="12"/>
      <x:c r="AG63" s="12"/>
    </x:row>
    <x:row r="64" ht="14.25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  <x:c r="Z64" s="12"/>
      <x:c r="AA64" s="12"/>
      <x:c r="AB64" s="12"/>
      <x:c r="AC64" s="12"/>
      <x:c r="AD64" s="12"/>
      <x:c r="AE64" s="12"/>
      <x:c r="AF64" s="12"/>
      <x:c r="AG64" s="12"/>
    </x:row>
    <x:row r="65" ht="14.25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  <x:c r="Z65" s="12"/>
      <x:c r="AA65" s="12"/>
      <x:c r="AB65" s="12"/>
      <x:c r="AC65" s="12"/>
      <x:c r="AD65" s="12"/>
      <x:c r="AE65" s="12"/>
      <x:c r="AF65" s="12"/>
      <x:c r="AG65" s="12"/>
    </x:row>
    <x:row r="66" ht="14.25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  <x:c r="Z66" s="12"/>
      <x:c r="AA66" s="12"/>
      <x:c r="AB66" s="12"/>
      <x:c r="AC66" s="12"/>
      <x:c r="AD66" s="12"/>
      <x:c r="AE66" s="12"/>
      <x:c r="AF66" s="12"/>
      <x:c r="AG66" s="12"/>
    </x:row>
    <x:row r="67" ht="14.25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  <x:c r="Z67" s="12"/>
      <x:c r="AA67" s="12"/>
      <x:c r="AB67" s="12"/>
      <x:c r="AC67" s="12"/>
      <x:c r="AD67" s="12"/>
      <x:c r="AE67" s="12"/>
      <x:c r="AF67" s="12"/>
      <x:c r="AG67" s="12"/>
    </x:row>
    <x:row r="68" ht="14.25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  <x:c r="Z68" s="12"/>
      <x:c r="AA68" s="12"/>
      <x:c r="AB68" s="12"/>
      <x:c r="AC68" s="12"/>
      <x:c r="AD68" s="12"/>
      <x:c r="AE68" s="12"/>
      <x:c r="AF68" s="12"/>
      <x:c r="AG68" s="12"/>
    </x:row>
    <x:row r="69" ht="14.25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  <x:c r="Z69" s="12"/>
      <x:c r="AA69" s="12"/>
      <x:c r="AB69" s="12"/>
      <x:c r="AC69" s="12"/>
      <x:c r="AD69" s="12"/>
      <x:c r="AE69" s="12"/>
      <x:c r="AF69" s="12"/>
      <x:c r="AG69" s="12"/>
    </x:row>
    <x:row r="70" ht="14.25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  <x:c r="Z70" s="12"/>
      <x:c r="AA70" s="12"/>
      <x:c r="AB70" s="12"/>
      <x:c r="AC70" s="12"/>
      <x:c r="AD70" s="12"/>
      <x:c r="AE70" s="12"/>
      <x:c r="AF70" s="12"/>
      <x:c r="AG70" s="12"/>
    </x:row>
    <x:row r="71" ht="14.25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  <x:c r="Z71" s="12"/>
      <x:c r="AA71" s="12"/>
      <x:c r="AB71" s="12"/>
      <x:c r="AC71" s="12"/>
      <x:c r="AD71" s="12"/>
      <x:c r="AE71" s="12"/>
      <x:c r="AF71" s="12"/>
      <x:c r="AG71" s="12"/>
    </x:row>
    <x:row r="72" ht="14.25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  <x:c r="Z72" s="12"/>
      <x:c r="AA72" s="12"/>
      <x:c r="AB72" s="12"/>
      <x:c r="AC72" s="12"/>
      <x:c r="AD72" s="12"/>
      <x:c r="AE72" s="12"/>
      <x:c r="AF72" s="12"/>
      <x:c r="AG72" s="12"/>
    </x:row>
    <x:row r="73" ht="14.25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  <x:c r="Z73" s="12"/>
      <x:c r="AA73" s="12"/>
      <x:c r="AB73" s="12"/>
      <x:c r="AC73" s="12"/>
      <x:c r="AD73" s="12"/>
      <x:c r="AE73" s="12"/>
      <x:c r="AF73" s="12"/>
      <x:c r="AG73" s="12"/>
    </x:row>
    <x:row r="74" ht="14.25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  <x:c r="Z74" s="12"/>
      <x:c r="AA74" s="12"/>
      <x:c r="AB74" s="12"/>
      <x:c r="AC74" s="12"/>
      <x:c r="AD74" s="12"/>
      <x:c r="AE74" s="12"/>
      <x:c r="AF74" s="12"/>
      <x:c r="AG74" s="12"/>
    </x:row>
    <x:row r="75" ht="14.25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  <x:c r="Z75" s="12"/>
      <x:c r="AA75" s="12"/>
      <x:c r="AB75" s="12"/>
      <x:c r="AC75" s="12"/>
      <x:c r="AD75" s="12"/>
      <x:c r="AE75" s="12"/>
      <x:c r="AF75" s="12"/>
      <x:c r="AG75" s="12"/>
    </x:row>
    <x:row r="76" ht="14.25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  <x:c r="Z76" s="12"/>
      <x:c r="AA76" s="12"/>
      <x:c r="AB76" s="12"/>
      <x:c r="AC76" s="12"/>
      <x:c r="AD76" s="12"/>
      <x:c r="AE76" s="12"/>
      <x:c r="AF76" s="12"/>
      <x:c r="AG76" s="12"/>
    </x:row>
    <x:row r="77" ht="14.25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  <x:c r="Z77" s="12"/>
      <x:c r="AA77" s="12"/>
      <x:c r="AB77" s="12"/>
      <x:c r="AC77" s="12"/>
      <x:c r="AD77" s="12"/>
      <x:c r="AE77" s="12"/>
      <x:c r="AF77" s="12"/>
      <x:c r="AG77" s="12"/>
    </x:row>
    <x:row r="78" ht="14.25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  <x:c r="Z78" s="12"/>
      <x:c r="AA78" s="12"/>
      <x:c r="AB78" s="12"/>
      <x:c r="AC78" s="12"/>
      <x:c r="AD78" s="12"/>
      <x:c r="AE78" s="12"/>
      <x:c r="AF78" s="12"/>
      <x:c r="AG78" s="12"/>
    </x:row>
    <x:row r="79" ht="14.25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  <x:c r="Z79" s="12"/>
      <x:c r="AA79" s="12"/>
      <x:c r="AB79" s="12"/>
      <x:c r="AC79" s="12"/>
      <x:c r="AD79" s="12"/>
      <x:c r="AE79" s="12"/>
      <x:c r="AF79" s="12"/>
      <x:c r="AG79" s="12"/>
    </x:row>
    <x:row r="80" ht="14.25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  <x:c r="Z80" s="12"/>
      <x:c r="AA80" s="12"/>
      <x:c r="AB80" s="12"/>
      <x:c r="AC80" s="12"/>
      <x:c r="AD80" s="12"/>
      <x:c r="AE80" s="12"/>
      <x:c r="AF80" s="12"/>
      <x:c r="AG80" s="12"/>
    </x:row>
    <x:row r="81" ht="14.25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  <x:c r="Z81" s="12"/>
      <x:c r="AA81" s="12"/>
      <x:c r="AB81" s="12"/>
      <x:c r="AC81" s="12"/>
      <x:c r="AD81" s="12"/>
      <x:c r="AE81" s="12"/>
      <x:c r="AF81" s="12"/>
      <x:c r="AG81" s="12"/>
    </x:row>
    <x:row r="82" ht="14.25" customHeight="1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  <x:c r="Z82" s="12"/>
      <x:c r="AA82" s="12"/>
      <x:c r="AB82" s="12"/>
      <x:c r="AC82" s="12"/>
      <x:c r="AD82" s="12"/>
      <x:c r="AE82" s="12"/>
      <x:c r="AF82" s="12"/>
      <x:c r="AG82" s="12"/>
    </x:row>
    <x:row r="83" ht="14.25" customHeight="1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  <x:c r="Z83" s="12"/>
      <x:c r="AA83" s="12"/>
      <x:c r="AB83" s="12"/>
      <x:c r="AC83" s="12"/>
      <x:c r="AD83" s="12"/>
      <x:c r="AE83" s="12"/>
      <x:c r="AF83" s="12"/>
      <x:c r="AG83" s="12"/>
    </x:row>
    <x:row r="84" ht="14.25" customHeight="1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  <x:c r="Z84" s="12"/>
      <x:c r="AA84" s="12"/>
      <x:c r="AB84" s="12"/>
      <x:c r="AC84" s="12"/>
      <x:c r="AD84" s="12"/>
      <x:c r="AE84" s="12"/>
      <x:c r="AF84" s="12"/>
      <x:c r="AG84" s="12"/>
    </x:row>
    <x:row r="85" ht="14.25" customHeight="1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  <x:c r="Z85" s="12"/>
      <x:c r="AA85" s="12"/>
      <x:c r="AB85" s="12"/>
      <x:c r="AC85" s="12"/>
      <x:c r="AD85" s="12"/>
      <x:c r="AE85" s="12"/>
      <x:c r="AF85" s="12"/>
      <x:c r="AG85" s="12"/>
    </x:row>
    <x:row r="86" ht="14.25" customHeight="1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  <x:c r="Z86" s="12"/>
      <x:c r="AA86" s="12"/>
      <x:c r="AB86" s="12"/>
      <x:c r="AC86" s="12"/>
      <x:c r="AD86" s="12"/>
      <x:c r="AE86" s="12"/>
      <x:c r="AF86" s="12"/>
      <x:c r="AG86" s="12"/>
    </x:row>
    <x:row r="87" ht="14.25" customHeight="1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  <x:c r="Z87" s="12"/>
      <x:c r="AA87" s="12"/>
      <x:c r="AB87" s="12"/>
      <x:c r="AC87" s="12"/>
      <x:c r="AD87" s="12"/>
      <x:c r="AE87" s="12"/>
      <x:c r="AF87" s="12"/>
      <x:c r="AG87" s="12"/>
    </x:row>
    <x:row r="88" ht="14.25" customHeight="1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  <x:c r="Z88" s="12"/>
      <x:c r="AA88" s="12"/>
      <x:c r="AB88" s="12"/>
      <x:c r="AC88" s="12"/>
      <x:c r="AD88" s="12"/>
      <x:c r="AE88" s="12"/>
      <x:c r="AF88" s="12"/>
      <x:c r="AG88" s="12"/>
    </x:row>
    <x:row r="89" ht="14.25" customHeight="1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  <x:c r="Z89" s="12"/>
      <x:c r="AA89" s="12"/>
      <x:c r="AB89" s="12"/>
      <x:c r="AC89" s="12"/>
      <x:c r="AD89" s="12"/>
      <x:c r="AE89" s="12"/>
      <x:c r="AF89" s="12"/>
      <x:c r="AG89" s="12"/>
    </x:row>
    <x:row r="90" ht="14.25" customHeight="1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  <x:c r="Z90" s="12"/>
      <x:c r="AA90" s="12"/>
      <x:c r="AB90" s="12"/>
      <x:c r="AC90" s="12"/>
      <x:c r="AD90" s="12"/>
      <x:c r="AE90" s="12"/>
      <x:c r="AF90" s="12"/>
      <x:c r="AG90" s="12"/>
    </x:row>
    <x:row r="91" ht="14.25" customHeight="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  <x:c r="Z91" s="12"/>
      <x:c r="AA91" s="12"/>
      <x:c r="AB91" s="12"/>
      <x:c r="AC91" s="12"/>
      <x:c r="AD91" s="12"/>
      <x:c r="AE91" s="12"/>
      <x:c r="AF91" s="12"/>
      <x:c r="AG91" s="12"/>
    </x:row>
    <x:row r="92" ht="14.25" customHeight="1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  <x:c r="Z92" s="12"/>
      <x:c r="AA92" s="12"/>
      <x:c r="AB92" s="12"/>
      <x:c r="AC92" s="12"/>
      <x:c r="AD92" s="12"/>
      <x:c r="AE92" s="12"/>
      <x:c r="AF92" s="12"/>
      <x:c r="AG92" s="12"/>
    </x:row>
    <x:row r="93" ht="14.25" customHeight="1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  <x:c r="Z93" s="12"/>
      <x:c r="AA93" s="12"/>
      <x:c r="AB93" s="12"/>
      <x:c r="AC93" s="12"/>
      <x:c r="AD93" s="12"/>
      <x:c r="AE93" s="12"/>
      <x:c r="AF93" s="12"/>
      <x:c r="AG93" s="12"/>
    </x:row>
    <x:row r="94" ht="14.25" customHeight="1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  <x:c r="Z94" s="12"/>
      <x:c r="AA94" s="12"/>
      <x:c r="AB94" s="12"/>
      <x:c r="AC94" s="12"/>
      <x:c r="AD94" s="12"/>
      <x:c r="AE94" s="12"/>
      <x:c r="AF94" s="12"/>
      <x:c r="AG94" s="12"/>
    </x:row>
    <x:row r="95" ht="14.25" customHeight="1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  <x:c r="Z95" s="12"/>
      <x:c r="AA95" s="12"/>
      <x:c r="AB95" s="12"/>
      <x:c r="AC95" s="12"/>
      <x:c r="AD95" s="12"/>
      <x:c r="AE95" s="12"/>
      <x:c r="AF95" s="12"/>
      <x:c r="AG95" s="12"/>
    </x:row>
    <x:row r="96" ht="14.25" customHeight="1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  <x:c r="Z96" s="12"/>
      <x:c r="AA96" s="12"/>
      <x:c r="AB96" s="12"/>
      <x:c r="AC96" s="12"/>
      <x:c r="AD96" s="12"/>
      <x:c r="AE96" s="12"/>
      <x:c r="AF96" s="12"/>
      <x:c r="AG96" s="12"/>
    </x:row>
    <x:row r="97" ht="14.25" customHeight="1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  <x:c r="Z97" s="12"/>
      <x:c r="AA97" s="12"/>
      <x:c r="AB97" s="12"/>
      <x:c r="AC97" s="12"/>
      <x:c r="AD97" s="12"/>
      <x:c r="AE97" s="12"/>
      <x:c r="AF97" s="12"/>
      <x:c r="AG97" s="12"/>
    </x:row>
    <x:row r="98" ht="14.25" customHeight="1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  <x:c r="Z98" s="12"/>
      <x:c r="AA98" s="12"/>
      <x:c r="AB98" s="12"/>
      <x:c r="AC98" s="12"/>
      <x:c r="AD98" s="12"/>
      <x:c r="AE98" s="12"/>
      <x:c r="AF98" s="12"/>
      <x:c r="AG98" s="12"/>
    </x:row>
    <x:row r="99" ht="14.25" customHeight="1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  <x:c r="Z99" s="12"/>
      <x:c r="AA99" s="12"/>
      <x:c r="AB99" s="12"/>
      <x:c r="AC99" s="12"/>
      <x:c r="AD99" s="12"/>
      <x:c r="AE99" s="12"/>
      <x:c r="AF99" s="12"/>
      <x:c r="AG99" s="12"/>
    </x:row>
    <x:row r="100" ht="14.25" customHeight="1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  <x:c r="Z100" s="12"/>
      <x:c r="AA100" s="12"/>
      <x:c r="AB100" s="12"/>
      <x:c r="AC100" s="12"/>
      <x:c r="AD100" s="12"/>
      <x:c r="AE100" s="12"/>
      <x:c r="AF100" s="12"/>
      <x:c r="AG100" s="12"/>
    </x:row>
    <x:row r="101" ht="14.25" customHeight="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  <x:c r="Z101" s="12"/>
      <x:c r="AA101" s="12"/>
      <x:c r="AB101" s="12"/>
      <x:c r="AC101" s="12"/>
      <x:c r="AD101" s="12"/>
      <x:c r="AE101" s="12"/>
      <x:c r="AF101" s="12"/>
      <x:c r="AG101" s="12"/>
    </x:row>
    <x:row r="102" ht="14.25" customHeight="1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  <x:c r="Z102" s="12"/>
      <x:c r="AA102" s="12"/>
      <x:c r="AB102" s="12"/>
      <x:c r="AC102" s="12"/>
      <x:c r="AD102" s="12"/>
      <x:c r="AE102" s="12"/>
      <x:c r="AF102" s="12"/>
      <x:c r="AG102" s="12"/>
    </x:row>
    <x:row r="103" ht="14.25" customHeight="1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  <x:c r="Z103" s="12"/>
      <x:c r="AA103" s="12"/>
      <x:c r="AB103" s="12"/>
      <x:c r="AC103" s="12"/>
      <x:c r="AD103" s="12"/>
      <x:c r="AE103" s="12"/>
      <x:c r="AF103" s="12"/>
      <x:c r="AG103" s="12"/>
    </x:row>
    <x:row r="104" ht="14.25" customHeight="1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  <x:c r="Z104" s="12"/>
      <x:c r="AA104" s="12"/>
      <x:c r="AB104" s="12"/>
      <x:c r="AC104" s="12"/>
      <x:c r="AD104" s="12"/>
      <x:c r="AE104" s="12"/>
      <x:c r="AF104" s="12"/>
      <x:c r="AG104" s="12"/>
    </x:row>
    <x:row r="105" ht="14.25" customHeight="1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  <x:c r="Z105" s="12"/>
      <x:c r="AA105" s="12"/>
      <x:c r="AB105" s="12"/>
      <x:c r="AC105" s="12"/>
      <x:c r="AD105" s="12"/>
      <x:c r="AE105" s="12"/>
      <x:c r="AF105" s="12"/>
      <x:c r="AG105" s="12"/>
    </x:row>
    <x:row r="106" ht="14.25" customHeight="1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  <x:c r="Z106" s="12"/>
      <x:c r="AA106" s="12"/>
      <x:c r="AB106" s="12"/>
      <x:c r="AC106" s="12"/>
      <x:c r="AD106" s="12"/>
      <x:c r="AE106" s="12"/>
      <x:c r="AF106" s="12"/>
      <x:c r="AG106" s="12"/>
    </x:row>
    <x:row r="107" ht="14.25" customHeight="1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  <x:c r="Z107" s="12"/>
      <x:c r="AA107" s="12"/>
      <x:c r="AB107" s="12"/>
      <x:c r="AC107" s="12"/>
      <x:c r="AD107" s="12"/>
      <x:c r="AE107" s="12"/>
      <x:c r="AF107" s="12"/>
      <x:c r="AG107" s="12"/>
    </x:row>
    <x:row r="108" ht="14.25" customHeight="1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  <x:c r="Z108" s="12"/>
      <x:c r="AA108" s="12"/>
      <x:c r="AB108" s="12"/>
      <x:c r="AC108" s="12"/>
      <x:c r="AD108" s="12"/>
      <x:c r="AE108" s="12"/>
      <x:c r="AF108" s="12"/>
      <x:c r="AG108" s="12"/>
    </x:row>
    <x:row r="109" ht="14.25" customHeight="1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  <x:c r="Z109" s="12"/>
      <x:c r="AA109" s="12"/>
      <x:c r="AB109" s="12"/>
      <x:c r="AC109" s="12"/>
      <x:c r="AD109" s="12"/>
      <x:c r="AE109" s="12"/>
      <x:c r="AF109" s="12"/>
      <x:c r="AG109" s="12"/>
    </x:row>
    <x:row r="110" ht="14.25" customHeight="1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  <x:c r="Z110" s="12"/>
      <x:c r="AA110" s="12"/>
      <x:c r="AB110" s="12"/>
      <x:c r="AC110" s="12"/>
      <x:c r="AD110" s="12"/>
      <x:c r="AE110" s="12"/>
      <x:c r="AF110" s="12"/>
      <x:c r="AG110" s="12"/>
    </x:row>
    <x:row r="111" ht="14.25" customHeight="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  <x:c r="Z111" s="12"/>
      <x:c r="AA111" s="12"/>
      <x:c r="AB111" s="12"/>
      <x:c r="AC111" s="12"/>
      <x:c r="AD111" s="12"/>
      <x:c r="AE111" s="12"/>
      <x:c r="AF111" s="12"/>
      <x:c r="AG111" s="12"/>
    </x:row>
    <x:row r="112" ht="14.25" customHeight="1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  <x:c r="Z112" s="12"/>
      <x:c r="AA112" s="12"/>
      <x:c r="AB112" s="12"/>
      <x:c r="AC112" s="12"/>
      <x:c r="AD112" s="12"/>
      <x:c r="AE112" s="12"/>
      <x:c r="AF112" s="12"/>
      <x:c r="AG112" s="12"/>
    </x:row>
    <x:row r="113" ht="14.25" customHeight="1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  <x:c r="Z113" s="12"/>
      <x:c r="AA113" s="12"/>
      <x:c r="AB113" s="12"/>
      <x:c r="AC113" s="12"/>
      <x:c r="AD113" s="12"/>
      <x:c r="AE113" s="12"/>
      <x:c r="AF113" s="12"/>
      <x:c r="AG113" s="12"/>
    </x:row>
    <x:row r="114" ht="14.25" customHeight="1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  <x:c r="Z114" s="12"/>
      <x:c r="AA114" s="12"/>
      <x:c r="AB114" s="12"/>
      <x:c r="AC114" s="12"/>
      <x:c r="AD114" s="12"/>
      <x:c r="AE114" s="12"/>
      <x:c r="AF114" s="12"/>
      <x:c r="AG114" s="12"/>
    </x:row>
    <x:row r="115" ht="14.25" customHeight="1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  <x:c r="Z115" s="12"/>
      <x:c r="AA115" s="12"/>
      <x:c r="AB115" s="12"/>
      <x:c r="AC115" s="12"/>
      <x:c r="AD115" s="12"/>
      <x:c r="AE115" s="12"/>
      <x:c r="AF115" s="12"/>
      <x:c r="AG115" s="12"/>
    </x:row>
    <x:row r="116" ht="14.25" customHeight="1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  <x:c r="Z116" s="12"/>
      <x:c r="AA116" s="12"/>
      <x:c r="AB116" s="12"/>
      <x:c r="AC116" s="12"/>
      <x:c r="AD116" s="12"/>
      <x:c r="AE116" s="12"/>
      <x:c r="AF116" s="12"/>
      <x:c r="AG116" s="12"/>
    </x:row>
    <x:row r="117" ht="14.25" customHeight="1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  <x:c r="Z117" s="12"/>
      <x:c r="AA117" s="12"/>
      <x:c r="AB117" s="12"/>
      <x:c r="AC117" s="12"/>
      <x:c r="AD117" s="12"/>
      <x:c r="AE117" s="12"/>
      <x:c r="AF117" s="12"/>
      <x:c r="AG117" s="12"/>
    </x:row>
    <x:row r="118" ht="14.25" customHeight="1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  <x:c r="Z118" s="12"/>
      <x:c r="AA118" s="12"/>
      <x:c r="AB118" s="12"/>
      <x:c r="AC118" s="12"/>
      <x:c r="AD118" s="12"/>
      <x:c r="AE118" s="12"/>
      <x:c r="AF118" s="12"/>
      <x:c r="AG118" s="12"/>
    </x:row>
    <x:row r="119" ht="14.25" customHeight="1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  <x:c r="Z119" s="12"/>
      <x:c r="AA119" s="12"/>
      <x:c r="AB119" s="12"/>
      <x:c r="AC119" s="12"/>
      <x:c r="AD119" s="12"/>
      <x:c r="AE119" s="12"/>
      <x:c r="AF119" s="12"/>
      <x:c r="AG119" s="12"/>
    </x:row>
    <x:row r="120" ht="14.25" customHeight="1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  <x:c r="Z120" s="12"/>
      <x:c r="AA120" s="12"/>
      <x:c r="AB120" s="12"/>
      <x:c r="AC120" s="12"/>
      <x:c r="AD120" s="12"/>
      <x:c r="AE120" s="12"/>
      <x:c r="AF120" s="12"/>
      <x:c r="AG120" s="12"/>
    </x:row>
    <x:row r="121" ht="14.25" customHeight="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  <x:c r="Z121" s="12"/>
      <x:c r="AA121" s="12"/>
      <x:c r="AB121" s="12"/>
      <x:c r="AC121" s="12"/>
      <x:c r="AD121" s="12"/>
      <x:c r="AE121" s="12"/>
      <x:c r="AF121" s="12"/>
      <x:c r="AG121" s="12"/>
    </x:row>
    <x:row r="122" ht="14.25" customHeight="1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  <x:c r="Z122" s="12"/>
      <x:c r="AA122" s="12"/>
      <x:c r="AB122" s="12"/>
      <x:c r="AC122" s="12"/>
      <x:c r="AD122" s="12"/>
      <x:c r="AE122" s="12"/>
      <x:c r="AF122" s="12"/>
      <x:c r="AG122" s="12"/>
    </x:row>
    <x:row r="123" ht="14.25" customHeight="1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  <x:c r="Z123" s="12"/>
      <x:c r="AA123" s="12"/>
      <x:c r="AB123" s="12"/>
      <x:c r="AC123" s="12"/>
      <x:c r="AD123" s="12"/>
      <x:c r="AE123" s="12"/>
      <x:c r="AF123" s="12"/>
      <x:c r="AG123" s="12"/>
    </x:row>
    <x:row r="124" ht="14.25" customHeight="1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  <x:c r="Z124" s="12"/>
      <x:c r="AA124" s="12"/>
      <x:c r="AB124" s="12"/>
      <x:c r="AC124" s="12"/>
      <x:c r="AD124" s="12"/>
      <x:c r="AE124" s="12"/>
      <x:c r="AF124" s="12"/>
      <x:c r="AG124" s="12"/>
    </x:row>
    <x:row r="125" ht="14.25" customHeight="1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  <x:c r="Z125" s="12"/>
      <x:c r="AA125" s="12"/>
      <x:c r="AB125" s="12"/>
      <x:c r="AC125" s="12"/>
      <x:c r="AD125" s="12"/>
      <x:c r="AE125" s="12"/>
      <x:c r="AF125" s="12"/>
      <x:c r="AG125" s="12"/>
    </x:row>
    <x:row r="126" ht="14.25" customHeight="1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  <x:c r="Z126" s="12"/>
      <x:c r="AA126" s="12"/>
      <x:c r="AB126" s="12"/>
      <x:c r="AC126" s="12"/>
      <x:c r="AD126" s="12"/>
      <x:c r="AE126" s="12"/>
      <x:c r="AF126" s="12"/>
      <x:c r="AG126" s="12"/>
    </x:row>
    <x:row r="127" ht="14.25" customHeight="1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  <x:c r="Z127" s="12"/>
      <x:c r="AA127" s="12"/>
      <x:c r="AB127" s="12"/>
      <x:c r="AC127" s="12"/>
      <x:c r="AD127" s="12"/>
      <x:c r="AE127" s="12"/>
      <x:c r="AF127" s="12"/>
      <x:c r="AG127" s="12"/>
    </x:row>
    <x:row r="128" ht="14.25" customHeight="1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  <x:c r="Z128" s="12"/>
      <x:c r="AA128" s="12"/>
      <x:c r="AB128" s="12"/>
      <x:c r="AC128" s="12"/>
      <x:c r="AD128" s="12"/>
      <x:c r="AE128" s="12"/>
      <x:c r="AF128" s="12"/>
      <x:c r="AG128" s="12"/>
    </x:row>
    <x:row r="129" ht="14.25" customHeight="1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  <x:c r="Z129" s="12"/>
      <x:c r="AA129" s="12"/>
      <x:c r="AB129" s="12"/>
      <x:c r="AC129" s="12"/>
      <x:c r="AD129" s="12"/>
      <x:c r="AE129" s="12"/>
      <x:c r="AF129" s="12"/>
      <x:c r="AG129" s="12"/>
    </x:row>
    <x:row r="130" ht="14.25" customHeight="1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  <x:c r="Z130" s="12"/>
      <x:c r="AA130" s="12"/>
      <x:c r="AB130" s="12"/>
      <x:c r="AC130" s="12"/>
      <x:c r="AD130" s="12"/>
      <x:c r="AE130" s="12"/>
      <x:c r="AF130" s="12"/>
      <x:c r="AG130" s="12"/>
    </x:row>
    <x:row r="131" ht="14.25" customHeight="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  <x:c r="Z131" s="12"/>
      <x:c r="AA131" s="12"/>
      <x:c r="AB131" s="12"/>
      <x:c r="AC131" s="12"/>
      <x:c r="AD131" s="12"/>
      <x:c r="AE131" s="12"/>
      <x:c r="AF131" s="12"/>
      <x:c r="AG131" s="12"/>
    </x:row>
    <x:row r="132" ht="14.25" customHeight="1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  <x:c r="Z132" s="12"/>
      <x:c r="AA132" s="12"/>
      <x:c r="AB132" s="12"/>
      <x:c r="AC132" s="12"/>
      <x:c r="AD132" s="12"/>
      <x:c r="AE132" s="12"/>
      <x:c r="AF132" s="12"/>
      <x:c r="AG132" s="12"/>
    </x:row>
    <x:row r="133" ht="14.25" customHeight="1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  <x:c r="Z133" s="12"/>
      <x:c r="AA133" s="12"/>
      <x:c r="AB133" s="12"/>
      <x:c r="AC133" s="12"/>
      <x:c r="AD133" s="12"/>
      <x:c r="AE133" s="12"/>
      <x:c r="AF133" s="12"/>
      <x:c r="AG133" s="12"/>
    </x:row>
    <x:row r="134" ht="14.25" customHeight="1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  <x:c r="Z134" s="12"/>
      <x:c r="AA134" s="12"/>
      <x:c r="AB134" s="12"/>
      <x:c r="AC134" s="12"/>
      <x:c r="AD134" s="12"/>
      <x:c r="AE134" s="12"/>
      <x:c r="AF134" s="12"/>
      <x:c r="AG134" s="12"/>
    </x:row>
    <x:row r="135" ht="14.25" customHeight="1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  <x:c r="Z135" s="12"/>
      <x:c r="AA135" s="12"/>
      <x:c r="AB135" s="12"/>
      <x:c r="AC135" s="12"/>
      <x:c r="AD135" s="12"/>
      <x:c r="AE135" s="12"/>
      <x:c r="AF135" s="12"/>
      <x:c r="AG135" s="12"/>
    </x:row>
    <x:row r="136" ht="14.25" customHeight="1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  <x:c r="Z136" s="12"/>
      <x:c r="AA136" s="12"/>
      <x:c r="AB136" s="12"/>
      <x:c r="AC136" s="12"/>
      <x:c r="AD136" s="12"/>
      <x:c r="AE136" s="12"/>
      <x:c r="AF136" s="12"/>
      <x:c r="AG136" s="12"/>
    </x:row>
    <x:row r="137" ht="14.25" customHeight="1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  <x:c r="Z137" s="12"/>
      <x:c r="AA137" s="12"/>
      <x:c r="AB137" s="12"/>
      <x:c r="AC137" s="12"/>
      <x:c r="AD137" s="12"/>
      <x:c r="AE137" s="12"/>
      <x:c r="AF137" s="12"/>
      <x:c r="AG137" s="12"/>
    </x:row>
    <x:row r="138" ht="14.25" customHeight="1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  <x:c r="Z138" s="12"/>
      <x:c r="AA138" s="12"/>
      <x:c r="AB138" s="12"/>
      <x:c r="AC138" s="12"/>
      <x:c r="AD138" s="12"/>
      <x:c r="AE138" s="12"/>
      <x:c r="AF138" s="12"/>
      <x:c r="AG138" s="12"/>
    </x:row>
    <x:row r="139" ht="14.25" customHeight="1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  <x:c r="Z139" s="12"/>
      <x:c r="AA139" s="12"/>
      <x:c r="AB139" s="12"/>
      <x:c r="AC139" s="12"/>
      <x:c r="AD139" s="12"/>
      <x:c r="AE139" s="12"/>
      <x:c r="AF139" s="12"/>
      <x:c r="AG139" s="12"/>
    </x:row>
    <x:row r="140" ht="14.25" customHeight="1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  <x:c r="Z140" s="12"/>
      <x:c r="AA140" s="12"/>
      <x:c r="AB140" s="12"/>
      <x:c r="AC140" s="12"/>
      <x:c r="AD140" s="12"/>
      <x:c r="AE140" s="12"/>
      <x:c r="AF140" s="12"/>
      <x:c r="AG140" s="12"/>
    </x:row>
    <x:row r="141" ht="14.25" customHeight="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  <x:c r="Z141" s="12"/>
      <x:c r="AA141" s="12"/>
      <x:c r="AB141" s="12"/>
      <x:c r="AC141" s="12"/>
      <x:c r="AD141" s="12"/>
      <x:c r="AE141" s="12"/>
      <x:c r="AF141" s="12"/>
      <x:c r="AG141" s="12"/>
    </x:row>
    <x:row r="142" ht="14.25" customHeight="1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  <x:c r="Z142" s="12"/>
      <x:c r="AA142" s="12"/>
      <x:c r="AB142" s="12"/>
      <x:c r="AC142" s="12"/>
      <x:c r="AD142" s="12"/>
      <x:c r="AE142" s="12"/>
      <x:c r="AF142" s="12"/>
      <x:c r="AG142" s="12"/>
    </x:row>
    <x:row r="143" ht="14.25" customHeight="1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  <x:c r="Z143" s="12"/>
      <x:c r="AA143" s="12"/>
      <x:c r="AB143" s="12"/>
      <x:c r="AC143" s="12"/>
      <x:c r="AD143" s="12"/>
      <x:c r="AE143" s="12"/>
      <x:c r="AF143" s="12"/>
      <x:c r="AG143" s="12"/>
    </x:row>
    <x:row r="144" ht="14.25" customHeight="1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  <x:c r="Z144" s="12"/>
      <x:c r="AA144" s="12"/>
      <x:c r="AB144" s="12"/>
      <x:c r="AC144" s="12"/>
      <x:c r="AD144" s="12"/>
      <x:c r="AE144" s="12"/>
      <x:c r="AF144" s="12"/>
      <x:c r="AG144" s="12"/>
    </x:row>
    <x:row r="145" ht="14.25" customHeight="1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  <x:c r="Z145" s="12"/>
      <x:c r="AA145" s="12"/>
      <x:c r="AB145" s="12"/>
      <x:c r="AC145" s="12"/>
      <x:c r="AD145" s="12"/>
      <x:c r="AE145" s="12"/>
      <x:c r="AF145" s="12"/>
      <x:c r="AG145" s="12"/>
    </x:row>
    <x:row r="146" ht="14.25" customHeight="1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  <x:c r="Z146" s="12"/>
      <x:c r="AA146" s="12"/>
      <x:c r="AB146" s="12"/>
      <x:c r="AC146" s="12"/>
      <x:c r="AD146" s="12"/>
      <x:c r="AE146" s="12"/>
      <x:c r="AF146" s="12"/>
      <x:c r="AG146" s="12"/>
    </x:row>
    <x:row r="147" ht="14.25" customHeight="1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  <x:c r="AE147" s="12"/>
      <x:c r="AF147" s="12"/>
      <x:c r="AG147" s="12"/>
    </x:row>
    <x:row r="148" ht="14.25" customHeight="1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  <x:c r="Z148" s="12"/>
      <x:c r="AA148" s="12"/>
      <x:c r="AB148" s="12"/>
      <x:c r="AC148" s="12"/>
      <x:c r="AD148" s="12"/>
      <x:c r="AE148" s="12"/>
      <x:c r="AF148" s="12"/>
      <x:c r="AG148" s="12"/>
    </x:row>
    <x:row r="149" ht="14.25" customHeight="1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  <x:c r="Z149" s="12"/>
      <x:c r="AA149" s="12"/>
      <x:c r="AB149" s="12"/>
      <x:c r="AC149" s="12"/>
      <x:c r="AD149" s="12"/>
      <x:c r="AE149" s="12"/>
      <x:c r="AF149" s="12"/>
      <x:c r="AG149" s="12"/>
    </x:row>
    <x:row r="150" ht="14.25" customHeight="1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  <x:c r="Z150" s="12"/>
      <x:c r="AA150" s="12"/>
      <x:c r="AB150" s="12"/>
      <x:c r="AC150" s="12"/>
      <x:c r="AD150" s="12"/>
      <x:c r="AE150" s="12"/>
      <x:c r="AF150" s="12"/>
      <x:c r="AG150" s="12"/>
    </x:row>
    <x:row r="151" ht="14.25" customHeight="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  <x:c r="Z151" s="12"/>
      <x:c r="AA151" s="12"/>
      <x:c r="AB151" s="12"/>
      <x:c r="AC151" s="12"/>
      <x:c r="AD151" s="12"/>
      <x:c r="AE151" s="12"/>
      <x:c r="AF151" s="12"/>
      <x:c r="AG151" s="12"/>
    </x:row>
    <x:row r="152" ht="14.25" customHeight="1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  <x:c r="Z152" s="12"/>
      <x:c r="AA152" s="12"/>
      <x:c r="AB152" s="12"/>
      <x:c r="AC152" s="12"/>
      <x:c r="AD152" s="12"/>
      <x:c r="AE152" s="12"/>
      <x:c r="AF152" s="12"/>
      <x:c r="AG152" s="12"/>
    </x:row>
    <x:row r="153" ht="14.25" customHeight="1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  <x:c r="Z153" s="12"/>
      <x:c r="AA153" s="12"/>
      <x:c r="AB153" s="12"/>
      <x:c r="AC153" s="12"/>
      <x:c r="AD153" s="12"/>
      <x:c r="AE153" s="12"/>
      <x:c r="AF153" s="12"/>
      <x:c r="AG153" s="12"/>
    </x:row>
    <x:row r="154" ht="14.25" customHeight="1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  <x:c r="Z154" s="12"/>
      <x:c r="AA154" s="12"/>
      <x:c r="AB154" s="12"/>
      <x:c r="AC154" s="12"/>
      <x:c r="AD154" s="12"/>
      <x:c r="AE154" s="12"/>
      <x:c r="AF154" s="12"/>
      <x:c r="AG154" s="12"/>
    </x:row>
    <x:row r="155" ht="14.25" customHeight="1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  <x:c r="Z155" s="12"/>
      <x:c r="AA155" s="12"/>
      <x:c r="AB155" s="12"/>
      <x:c r="AC155" s="12"/>
      <x:c r="AD155" s="12"/>
      <x:c r="AE155" s="12"/>
      <x:c r="AF155" s="12"/>
      <x:c r="AG155" s="12"/>
    </x:row>
    <x:row r="156" ht="14.25" customHeight="1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  <x:c r="Z156" s="12"/>
      <x:c r="AA156" s="12"/>
      <x:c r="AB156" s="12"/>
      <x:c r="AC156" s="12"/>
      <x:c r="AD156" s="12"/>
      <x:c r="AE156" s="12"/>
      <x:c r="AF156" s="12"/>
      <x:c r="AG156" s="12"/>
    </x:row>
    <x:row r="157" ht="14.25" customHeight="1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  <x:c r="Z157" s="12"/>
      <x:c r="AA157" s="12"/>
      <x:c r="AB157" s="12"/>
      <x:c r="AC157" s="12"/>
      <x:c r="AD157" s="12"/>
      <x:c r="AE157" s="12"/>
      <x:c r="AF157" s="12"/>
      <x:c r="AG157" s="12"/>
    </x:row>
    <x:row r="158" ht="14.25" customHeight="1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  <x:c r="Z158" s="12"/>
      <x:c r="AA158" s="12"/>
      <x:c r="AB158" s="12"/>
      <x:c r="AC158" s="12"/>
      <x:c r="AD158" s="12"/>
      <x:c r="AE158" s="12"/>
      <x:c r="AF158" s="12"/>
      <x:c r="AG158" s="12"/>
    </x:row>
    <x:row r="159" ht="14.25" customHeight="1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  <x:c r="Z159" s="12"/>
      <x:c r="AA159" s="12"/>
      <x:c r="AB159" s="12"/>
      <x:c r="AC159" s="12"/>
      <x:c r="AD159" s="12"/>
      <x:c r="AE159" s="12"/>
      <x:c r="AF159" s="12"/>
      <x:c r="AG159" s="12"/>
    </x:row>
    <x:row r="160" ht="14.25" customHeight="1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  <x:c r="Z160" s="12"/>
      <x:c r="AA160" s="12"/>
      <x:c r="AB160" s="12"/>
      <x:c r="AC160" s="12"/>
      <x:c r="AD160" s="12"/>
      <x:c r="AE160" s="12"/>
      <x:c r="AF160" s="12"/>
      <x:c r="AG160" s="12"/>
    </x:row>
    <x:row r="161" ht="14.25" customHeight="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  <x:c r="Z161" s="12"/>
      <x:c r="AA161" s="12"/>
      <x:c r="AB161" s="12"/>
      <x:c r="AC161" s="12"/>
      <x:c r="AD161" s="12"/>
      <x:c r="AE161" s="12"/>
      <x:c r="AF161" s="12"/>
      <x:c r="AG161" s="12"/>
    </x:row>
    <x:row r="162" ht="14.25" customHeight="1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  <x:c r="Z162" s="12"/>
      <x:c r="AA162" s="12"/>
      <x:c r="AB162" s="12"/>
      <x:c r="AC162" s="12"/>
      <x:c r="AD162" s="12"/>
      <x:c r="AE162" s="12"/>
      <x:c r="AF162" s="12"/>
      <x:c r="AG162" s="12"/>
    </x:row>
    <x:row r="163" ht="14.25" customHeight="1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  <x:c r="Z163" s="12"/>
      <x:c r="AA163" s="12"/>
      <x:c r="AB163" s="12"/>
      <x:c r="AC163" s="12"/>
      <x:c r="AD163" s="12"/>
      <x:c r="AE163" s="12"/>
      <x:c r="AF163" s="12"/>
      <x:c r="AG163" s="12"/>
    </x:row>
    <x:row r="164" ht="14.25" customHeight="1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  <x:c r="Z164" s="12"/>
      <x:c r="AA164" s="12"/>
      <x:c r="AB164" s="12"/>
      <x:c r="AC164" s="12"/>
      <x:c r="AD164" s="12"/>
      <x:c r="AE164" s="12"/>
      <x:c r="AF164" s="12"/>
      <x:c r="AG164" s="12"/>
    </x:row>
    <x:row r="165" ht="14.25" customHeight="1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  <x:c r="Z165" s="12"/>
      <x:c r="AA165" s="12"/>
      <x:c r="AB165" s="12"/>
      <x:c r="AC165" s="12"/>
      <x:c r="AD165" s="12"/>
      <x:c r="AE165" s="12"/>
      <x:c r="AF165" s="12"/>
      <x:c r="AG165" s="12"/>
    </x:row>
    <x:row r="166" ht="14.25" customHeight="1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  <x:c r="Z166" s="12"/>
      <x:c r="AA166" s="12"/>
      <x:c r="AB166" s="12"/>
      <x:c r="AC166" s="12"/>
      <x:c r="AD166" s="12"/>
      <x:c r="AE166" s="12"/>
      <x:c r="AF166" s="12"/>
      <x:c r="AG166" s="12"/>
    </x:row>
    <x:row r="167" ht="14.25" customHeight="1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  <x:c r="Z167" s="12"/>
      <x:c r="AA167" s="12"/>
      <x:c r="AB167" s="12"/>
      <x:c r="AC167" s="12"/>
      <x:c r="AD167" s="12"/>
      <x:c r="AE167" s="12"/>
      <x:c r="AF167" s="12"/>
      <x:c r="AG167" s="12"/>
    </x:row>
    <x:row r="168" ht="14.25" customHeight="1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  <x:c r="Z168" s="12"/>
      <x:c r="AA168" s="12"/>
      <x:c r="AB168" s="12"/>
      <x:c r="AC168" s="12"/>
      <x:c r="AD168" s="12"/>
      <x:c r="AE168" s="12"/>
      <x:c r="AF168" s="12"/>
      <x:c r="AG168" s="12"/>
    </x:row>
    <x:row r="169" ht="14.25" customHeight="1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  <x:c r="Z169" s="12"/>
      <x:c r="AA169" s="12"/>
      <x:c r="AB169" s="12"/>
      <x:c r="AC169" s="12"/>
      <x:c r="AD169" s="12"/>
      <x:c r="AE169" s="12"/>
      <x:c r="AF169" s="12"/>
      <x:c r="AG169" s="12"/>
    </x:row>
    <x:row r="170" ht="14.25" customHeight="1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  <x:c r="Z170" s="12"/>
      <x:c r="AA170" s="12"/>
      <x:c r="AB170" s="12"/>
      <x:c r="AC170" s="12"/>
      <x:c r="AD170" s="12"/>
      <x:c r="AE170" s="12"/>
      <x:c r="AF170" s="12"/>
      <x:c r="AG170" s="12"/>
    </x:row>
    <x:row r="171" ht="14.25" customHeight="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  <x:c r="Z171" s="12"/>
      <x:c r="AA171" s="12"/>
      <x:c r="AB171" s="12"/>
      <x:c r="AC171" s="12"/>
      <x:c r="AD171" s="12"/>
      <x:c r="AE171" s="12"/>
      <x:c r="AF171" s="12"/>
      <x:c r="AG171" s="12"/>
    </x:row>
    <x:row r="172" ht="14.25" customHeight="1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  <x:c r="Z172" s="12"/>
      <x:c r="AA172" s="12"/>
      <x:c r="AB172" s="12"/>
      <x:c r="AC172" s="12"/>
      <x:c r="AD172" s="12"/>
      <x:c r="AE172" s="12"/>
      <x:c r="AF172" s="12"/>
      <x:c r="AG172" s="12"/>
    </x:row>
    <x:row r="173" ht="14.25" customHeight="1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  <x:c r="Z173" s="12"/>
      <x:c r="AA173" s="12"/>
      <x:c r="AB173" s="12"/>
      <x:c r="AC173" s="12"/>
      <x:c r="AD173" s="12"/>
      <x:c r="AE173" s="12"/>
      <x:c r="AF173" s="12"/>
      <x:c r="AG173" s="12"/>
    </x:row>
    <x:row r="174" ht="14.25" customHeight="1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  <x:c r="Z174" s="12"/>
      <x:c r="AA174" s="12"/>
      <x:c r="AB174" s="12"/>
      <x:c r="AC174" s="12"/>
      <x:c r="AD174" s="12"/>
      <x:c r="AE174" s="12"/>
      <x:c r="AF174" s="12"/>
      <x:c r="AG174" s="12"/>
    </x:row>
    <x:row r="175" ht="14.25" customHeight="1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  <x:c r="Z175" s="12"/>
      <x:c r="AA175" s="12"/>
      <x:c r="AB175" s="12"/>
      <x:c r="AC175" s="12"/>
      <x:c r="AD175" s="12"/>
      <x:c r="AE175" s="12"/>
      <x:c r="AF175" s="12"/>
      <x:c r="AG175" s="12"/>
    </x:row>
    <x:row r="176" ht="14.25" customHeight="1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  <x:c r="Z176" s="12"/>
      <x:c r="AA176" s="12"/>
      <x:c r="AB176" s="12"/>
      <x:c r="AC176" s="12"/>
      <x:c r="AD176" s="12"/>
      <x:c r="AE176" s="12"/>
      <x:c r="AF176" s="12"/>
      <x:c r="AG176" s="12"/>
    </x:row>
    <x:row r="177" ht="14.25" customHeight="1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  <x:c r="Z177" s="12"/>
      <x:c r="AA177" s="12"/>
      <x:c r="AB177" s="12"/>
      <x:c r="AC177" s="12"/>
      <x:c r="AD177" s="12"/>
      <x:c r="AE177" s="12"/>
      <x:c r="AF177" s="12"/>
      <x:c r="AG177" s="12"/>
    </x:row>
    <x:row r="178" ht="14.25" customHeight="1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  <x:c r="Z178" s="12"/>
      <x:c r="AA178" s="12"/>
      <x:c r="AB178" s="12"/>
      <x:c r="AC178" s="12"/>
      <x:c r="AD178" s="12"/>
      <x:c r="AE178" s="12"/>
      <x:c r="AF178" s="12"/>
      <x:c r="AG178" s="12"/>
    </x:row>
    <x:row r="179" ht="14.25" customHeight="1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  <x:c r="Z179" s="12"/>
      <x:c r="AA179" s="12"/>
      <x:c r="AB179" s="12"/>
      <x:c r="AC179" s="12"/>
      <x:c r="AD179" s="12"/>
      <x:c r="AE179" s="12"/>
      <x:c r="AF179" s="12"/>
      <x:c r="AG179" s="12"/>
    </x:row>
    <x:row r="180" ht="14.25" customHeight="1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  <x:c r="Z180" s="12"/>
      <x:c r="AA180" s="12"/>
      <x:c r="AB180" s="12"/>
      <x:c r="AC180" s="12"/>
      <x:c r="AD180" s="12"/>
      <x:c r="AE180" s="12"/>
      <x:c r="AF180" s="12"/>
      <x:c r="AG180" s="12"/>
    </x:row>
    <x:row r="181" ht="14.25" customHeight="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  <x:c r="Z181" s="12"/>
      <x:c r="AA181" s="12"/>
      <x:c r="AB181" s="12"/>
      <x:c r="AC181" s="12"/>
      <x:c r="AD181" s="12"/>
      <x:c r="AE181" s="12"/>
      <x:c r="AF181" s="12"/>
      <x:c r="AG181" s="12"/>
    </x:row>
    <x:row r="182" ht="14.25" customHeight="1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  <x:c r="Z182" s="12"/>
      <x:c r="AA182" s="12"/>
      <x:c r="AB182" s="12"/>
      <x:c r="AC182" s="12"/>
      <x:c r="AD182" s="12"/>
      <x:c r="AE182" s="12"/>
      <x:c r="AF182" s="12"/>
      <x:c r="AG182" s="12"/>
    </x:row>
    <x:row r="183" ht="14.25" customHeight="1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  <x:c r="Z183" s="12"/>
      <x:c r="AA183" s="12"/>
      <x:c r="AB183" s="12"/>
      <x:c r="AC183" s="12"/>
      <x:c r="AD183" s="12"/>
      <x:c r="AE183" s="12"/>
      <x:c r="AF183" s="12"/>
      <x:c r="AG183" s="12"/>
    </x:row>
    <x:row r="184" ht="14.25" customHeight="1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  <x:c r="Z184" s="12"/>
      <x:c r="AA184" s="12"/>
      <x:c r="AB184" s="12"/>
      <x:c r="AC184" s="12"/>
      <x:c r="AD184" s="12"/>
      <x:c r="AE184" s="12"/>
      <x:c r="AF184" s="12"/>
      <x:c r="AG184" s="12"/>
    </x:row>
    <x:row r="185" ht="14.25" customHeight="1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  <x:c r="Z185" s="12"/>
      <x:c r="AA185" s="12"/>
      <x:c r="AB185" s="12"/>
      <x:c r="AC185" s="12"/>
      <x:c r="AD185" s="12"/>
      <x:c r="AE185" s="12"/>
      <x:c r="AF185" s="12"/>
      <x:c r="AG185" s="12"/>
    </x:row>
    <x:row r="186" ht="14.25" customHeight="1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  <x:c r="Z186" s="12"/>
      <x:c r="AA186" s="12"/>
      <x:c r="AB186" s="12"/>
      <x:c r="AC186" s="12"/>
      <x:c r="AD186" s="12"/>
      <x:c r="AE186" s="12"/>
      <x:c r="AF186" s="12"/>
      <x:c r="AG186" s="12"/>
    </x:row>
    <x:row r="187" ht="14.25" customHeight="1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  <x:c r="Z187" s="12"/>
      <x:c r="AA187" s="12"/>
      <x:c r="AB187" s="12"/>
      <x:c r="AC187" s="12"/>
      <x:c r="AD187" s="12"/>
      <x:c r="AE187" s="12"/>
      <x:c r="AF187" s="12"/>
      <x:c r="AG187" s="12"/>
    </x:row>
    <x:row r="188" ht="14.25" customHeight="1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  <x:c r="Z188" s="12"/>
      <x:c r="AA188" s="12"/>
      <x:c r="AB188" s="12"/>
      <x:c r="AC188" s="12"/>
      <x:c r="AD188" s="12"/>
      <x:c r="AE188" s="12"/>
      <x:c r="AF188" s="12"/>
      <x:c r="AG188" s="12"/>
    </x:row>
    <x:row r="189" ht="14.25" customHeight="1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  <x:c r="Z189" s="12"/>
      <x:c r="AA189" s="12"/>
      <x:c r="AB189" s="12"/>
      <x:c r="AC189" s="12"/>
      <x:c r="AD189" s="12"/>
      <x:c r="AE189" s="12"/>
      <x:c r="AF189" s="12"/>
      <x:c r="AG189" s="12"/>
    </x:row>
    <x:row r="190" ht="14.25" customHeight="1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  <x:c r="Z190" s="12"/>
      <x:c r="AA190" s="12"/>
      <x:c r="AB190" s="12"/>
      <x:c r="AC190" s="12"/>
      <x:c r="AD190" s="12"/>
      <x:c r="AE190" s="12"/>
      <x:c r="AF190" s="12"/>
      <x:c r="AG190" s="12"/>
    </x:row>
    <x:row r="191" ht="14.25" customHeight="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  <x:c r="Z191" s="12"/>
      <x:c r="AA191" s="12"/>
      <x:c r="AB191" s="12"/>
      <x:c r="AC191" s="12"/>
      <x:c r="AD191" s="12"/>
      <x:c r="AE191" s="12"/>
      <x:c r="AF191" s="12"/>
      <x:c r="AG191" s="12"/>
    </x:row>
    <x:row r="192" ht="14.25" customHeight="1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  <x:c r="Z192" s="12"/>
      <x:c r="AA192" s="12"/>
      <x:c r="AB192" s="12"/>
      <x:c r="AC192" s="12"/>
      <x:c r="AD192" s="12"/>
      <x:c r="AE192" s="12"/>
      <x:c r="AF192" s="12"/>
      <x:c r="AG192" s="12"/>
    </x:row>
    <x:row r="193" ht="14.25" customHeight="1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  <x:c r="Z193" s="12"/>
      <x:c r="AA193" s="12"/>
      <x:c r="AB193" s="12"/>
      <x:c r="AC193" s="12"/>
      <x:c r="AD193" s="12"/>
      <x:c r="AE193" s="12"/>
      <x:c r="AF193" s="12"/>
      <x:c r="AG193" s="12"/>
    </x:row>
    <x:row r="194" ht="14.25" customHeight="1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  <x:c r="Z194" s="12"/>
      <x:c r="AA194" s="12"/>
      <x:c r="AB194" s="12"/>
      <x:c r="AC194" s="12"/>
      <x:c r="AD194" s="12"/>
      <x:c r="AE194" s="12"/>
      <x:c r="AF194" s="12"/>
      <x:c r="AG194" s="12"/>
    </x:row>
    <x:row r="195" ht="14.25" customHeight="1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  <x:c r="Z195" s="12"/>
      <x:c r="AA195" s="12"/>
      <x:c r="AB195" s="12"/>
      <x:c r="AC195" s="12"/>
      <x:c r="AD195" s="12"/>
      <x:c r="AE195" s="12"/>
      <x:c r="AF195" s="12"/>
      <x:c r="AG195" s="12"/>
    </x:row>
    <x:row r="196" ht="14.25" customHeight="1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  <x:c r="Z196" s="12"/>
      <x:c r="AA196" s="12"/>
      <x:c r="AB196" s="12"/>
      <x:c r="AC196" s="12"/>
      <x:c r="AD196" s="12"/>
      <x:c r="AE196" s="12"/>
      <x:c r="AF196" s="12"/>
      <x:c r="AG196" s="12"/>
    </x:row>
    <x:row r="197" ht="14.25" customHeight="1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  <x:c r="Z197" s="12"/>
      <x:c r="AA197" s="12"/>
      <x:c r="AB197" s="12"/>
      <x:c r="AC197" s="12"/>
      <x:c r="AD197" s="12"/>
      <x:c r="AE197" s="12"/>
      <x:c r="AF197" s="12"/>
      <x:c r="AG197" s="12"/>
    </x:row>
    <x:row r="198" ht="14.25" customHeight="1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  <x:c r="Z198" s="12"/>
      <x:c r="AA198" s="12"/>
      <x:c r="AB198" s="12"/>
      <x:c r="AC198" s="12"/>
      <x:c r="AD198" s="12"/>
      <x:c r="AE198" s="12"/>
      <x:c r="AF198" s="12"/>
      <x:c r="AG198" s="12"/>
    </x:row>
    <x:row r="199" ht="14.25" customHeight="1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  <x:c r="Z199" s="12"/>
      <x:c r="AA199" s="12"/>
      <x:c r="AB199" s="12"/>
      <x:c r="AC199" s="12"/>
      <x:c r="AD199" s="12"/>
      <x:c r="AE199" s="12"/>
      <x:c r="AF199" s="12"/>
      <x:c r="AG199" s="12"/>
    </x:row>
    <x:row r="200" ht="14.25" customHeight="1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  <x:c r="Z200" s="12"/>
      <x:c r="AA200" s="12"/>
      <x:c r="AB200" s="12"/>
      <x:c r="AC200" s="12"/>
      <x:c r="AD200" s="12"/>
      <x:c r="AE200" s="12"/>
      <x:c r="AF200" s="12"/>
      <x:c r="AG200" s="12"/>
    </x:row>
    <x:row r="201" ht="14.25" customHeight="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  <x:c r="Z201" s="12"/>
      <x:c r="AA201" s="12"/>
      <x:c r="AB201" s="12"/>
      <x:c r="AC201" s="12"/>
      <x:c r="AD201" s="12"/>
      <x:c r="AE201" s="12"/>
      <x:c r="AF201" s="12"/>
      <x:c r="AG201" s="12"/>
    </x:row>
    <x:row r="202" ht="14.25" customHeight="1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  <x:c r="Z202" s="12"/>
      <x:c r="AA202" s="12"/>
      <x:c r="AB202" s="12"/>
      <x:c r="AC202" s="12"/>
      <x:c r="AD202" s="12"/>
      <x:c r="AE202" s="12"/>
      <x:c r="AF202" s="12"/>
      <x:c r="AG202" s="12"/>
    </x:row>
    <x:row r="203" ht="14.25" customHeight="1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  <x:c r="Z203" s="12"/>
      <x:c r="AA203" s="12"/>
      <x:c r="AB203" s="12"/>
      <x:c r="AC203" s="12"/>
      <x:c r="AD203" s="12"/>
      <x:c r="AE203" s="12"/>
      <x:c r="AF203" s="12"/>
      <x:c r="AG203" s="12"/>
    </x:row>
    <x:row r="204" ht="14.25" customHeight="1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  <x:c r="Z204" s="12"/>
      <x:c r="AA204" s="12"/>
      <x:c r="AB204" s="12"/>
      <x:c r="AC204" s="12"/>
      <x:c r="AD204" s="12"/>
      <x:c r="AE204" s="12"/>
      <x:c r="AF204" s="12"/>
      <x:c r="AG204" s="12"/>
    </x:row>
    <x:row r="205" ht="14.25" customHeight="1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  <x:c r="Z205" s="12"/>
      <x:c r="AA205" s="12"/>
      <x:c r="AB205" s="12"/>
      <x:c r="AC205" s="12"/>
      <x:c r="AD205" s="12"/>
      <x:c r="AE205" s="12"/>
      <x:c r="AF205" s="12"/>
      <x:c r="AG205" s="12"/>
    </x:row>
    <x:row r="206" ht="14.25" customHeight="1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  <x:c r="Z206" s="12"/>
      <x:c r="AA206" s="12"/>
      <x:c r="AB206" s="12"/>
      <x:c r="AC206" s="12"/>
      <x:c r="AD206" s="12"/>
      <x:c r="AE206" s="12"/>
      <x:c r="AF206" s="12"/>
      <x:c r="AG206" s="12"/>
    </x:row>
    <x:row r="207" ht="14.25" customHeight="1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  <x:c r="Z207" s="12"/>
      <x:c r="AA207" s="12"/>
      <x:c r="AB207" s="12"/>
      <x:c r="AC207" s="12"/>
      <x:c r="AD207" s="12"/>
      <x:c r="AE207" s="12"/>
      <x:c r="AF207" s="12"/>
      <x:c r="AG207" s="12"/>
    </x:row>
    <x:row r="208" ht="14.25" customHeight="1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  <x:c r="Z208" s="12"/>
      <x:c r="AA208" s="12"/>
      <x:c r="AB208" s="12"/>
      <x:c r="AC208" s="12"/>
      <x:c r="AD208" s="12"/>
      <x:c r="AE208" s="12"/>
      <x:c r="AF208" s="12"/>
      <x:c r="AG208" s="12"/>
    </x:row>
    <x:row r="209" ht="14.25" customHeight="1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  <x:c r="Z209" s="12"/>
      <x:c r="AA209" s="12"/>
      <x:c r="AB209" s="12"/>
      <x:c r="AC209" s="12"/>
      <x:c r="AD209" s="12"/>
      <x:c r="AE209" s="12"/>
      <x:c r="AF209" s="12"/>
      <x:c r="AG209" s="12"/>
    </x:row>
    <x:row r="210" ht="14.25" customHeight="1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  <x:c r="Z210" s="12"/>
      <x:c r="AA210" s="12"/>
      <x:c r="AB210" s="12"/>
      <x:c r="AC210" s="12"/>
      <x:c r="AD210" s="12"/>
      <x:c r="AE210" s="12"/>
      <x:c r="AF210" s="12"/>
      <x:c r="AG210" s="12"/>
    </x:row>
    <x:row r="211" ht="14.25" customHeight="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  <x:c r="Z211" s="12"/>
      <x:c r="AA211" s="12"/>
      <x:c r="AB211" s="12"/>
      <x:c r="AC211" s="12"/>
      <x:c r="AD211" s="12"/>
      <x:c r="AE211" s="12"/>
      <x:c r="AF211" s="12"/>
      <x:c r="AG211" s="12"/>
    </x:row>
    <x:row r="212" ht="14.25" customHeight="1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  <x:c r="Z212" s="12"/>
      <x:c r="AA212" s="12"/>
      <x:c r="AB212" s="12"/>
      <x:c r="AC212" s="12"/>
      <x:c r="AD212" s="12"/>
      <x:c r="AE212" s="12"/>
      <x:c r="AF212" s="12"/>
      <x:c r="AG212" s="12"/>
    </x:row>
    <x:row r="213" ht="14.25" customHeight="1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  <x:c r="Z213" s="12"/>
      <x:c r="AA213" s="12"/>
      <x:c r="AB213" s="12"/>
      <x:c r="AC213" s="12"/>
      <x:c r="AD213" s="12"/>
      <x:c r="AE213" s="12"/>
      <x:c r="AF213" s="12"/>
      <x:c r="AG213" s="12"/>
    </x:row>
    <x:row r="214" ht="14.25" customHeight="1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  <x:c r="Z214" s="12"/>
      <x:c r="AA214" s="12"/>
      <x:c r="AB214" s="12"/>
      <x:c r="AC214" s="12"/>
      <x:c r="AD214" s="12"/>
      <x:c r="AE214" s="12"/>
      <x:c r="AF214" s="12"/>
      <x:c r="AG214" s="12"/>
    </x:row>
    <x:row r="215" ht="14.25" customHeight="1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  <x:c r="Z215" s="12"/>
      <x:c r="AA215" s="12"/>
      <x:c r="AB215" s="12"/>
      <x:c r="AC215" s="12"/>
      <x:c r="AD215" s="12"/>
      <x:c r="AE215" s="12"/>
      <x:c r="AF215" s="12"/>
      <x:c r="AG215" s="12"/>
    </x:row>
    <x:row r="216" ht="14.25" customHeight="1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  <x:c r="Z216" s="12"/>
      <x:c r="AA216" s="12"/>
      <x:c r="AB216" s="12"/>
      <x:c r="AC216" s="12"/>
      <x:c r="AD216" s="12"/>
      <x:c r="AE216" s="12"/>
      <x:c r="AF216" s="12"/>
      <x:c r="AG216" s="12"/>
    </x:row>
    <x:row r="217" ht="14.25" customHeight="1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  <x:c r="Z217" s="12"/>
      <x:c r="AA217" s="12"/>
      <x:c r="AB217" s="12"/>
      <x:c r="AC217" s="12"/>
      <x:c r="AD217" s="12"/>
      <x:c r="AE217" s="12"/>
      <x:c r="AF217" s="12"/>
      <x:c r="AG217" s="12"/>
    </x:row>
    <x:row r="218" ht="14.25" customHeight="1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  <x:c r="Z218" s="12"/>
      <x:c r="AA218" s="12"/>
      <x:c r="AB218" s="12"/>
      <x:c r="AC218" s="12"/>
      <x:c r="AD218" s="12"/>
      <x:c r="AE218" s="12"/>
      <x:c r="AF218" s="12"/>
      <x:c r="AG218" s="12"/>
    </x:row>
    <x:row r="219" ht="14.25" customHeight="1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  <x:c r="Z219" s="12"/>
      <x:c r="AA219" s="12"/>
      <x:c r="AB219" s="12"/>
      <x:c r="AC219" s="12"/>
      <x:c r="AD219" s="12"/>
      <x:c r="AE219" s="12"/>
      <x:c r="AF219" s="12"/>
      <x:c r="AG219" s="12"/>
    </x:row>
    <x:row r="220" ht="14.25" customHeight="1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  <x:c r="Z220" s="12"/>
      <x:c r="AA220" s="12"/>
      <x:c r="AB220" s="12"/>
      <x:c r="AC220" s="12"/>
      <x:c r="AD220" s="12"/>
      <x:c r="AE220" s="12"/>
      <x:c r="AF220" s="12"/>
      <x:c r="AG220" s="12"/>
    </x:row>
    <x:row r="221" ht="14.25" customHeight="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  <x:c r="Z221" s="12"/>
      <x:c r="AA221" s="12"/>
      <x:c r="AB221" s="12"/>
      <x:c r="AC221" s="12"/>
      <x:c r="AD221" s="12"/>
      <x:c r="AE221" s="12"/>
      <x:c r="AF221" s="12"/>
      <x:c r="AG221" s="12"/>
    </x:row>
    <x:row r="222" ht="14.25" customHeight="1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  <x:c r="Z222" s="12"/>
      <x:c r="AA222" s="12"/>
      <x:c r="AB222" s="12"/>
      <x:c r="AC222" s="12"/>
      <x:c r="AD222" s="12"/>
      <x:c r="AE222" s="12"/>
      <x:c r="AF222" s="12"/>
      <x:c r="AG222" s="12"/>
    </x:row>
    <x:row r="223" ht="14.25" customHeight="1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  <x:c r="Z223" s="12"/>
      <x:c r="AA223" s="12"/>
      <x:c r="AB223" s="12"/>
      <x:c r="AC223" s="12"/>
      <x:c r="AD223" s="12"/>
      <x:c r="AE223" s="12"/>
      <x:c r="AF223" s="12"/>
      <x:c r="AG223" s="12"/>
    </x:row>
    <x:row r="224" ht="14.25" customHeight="1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  <x:c r="Z224" s="12"/>
      <x:c r="AA224" s="12"/>
      <x:c r="AB224" s="12"/>
      <x:c r="AC224" s="12"/>
      <x:c r="AD224" s="12"/>
      <x:c r="AE224" s="12"/>
      <x:c r="AF224" s="12"/>
      <x:c r="AG224" s="12"/>
    </x:row>
    <x:row r="225" ht="14.25" customHeight="1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  <x:c r="Z225" s="12"/>
      <x:c r="AA225" s="12"/>
      <x:c r="AB225" s="12"/>
      <x:c r="AC225" s="12"/>
      <x:c r="AD225" s="12"/>
      <x:c r="AE225" s="12"/>
      <x:c r="AF225" s="12"/>
      <x:c r="AG225" s="12"/>
    </x:row>
    <x:row r="226" ht="14.25" customHeight="1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  <x:c r="Z226" s="12"/>
      <x:c r="AA226" s="12"/>
      <x:c r="AB226" s="12"/>
      <x:c r="AC226" s="12"/>
      <x:c r="AD226" s="12"/>
      <x:c r="AE226" s="12"/>
      <x:c r="AF226" s="12"/>
      <x:c r="AG226" s="12"/>
    </x:row>
    <x:row r="227" ht="14.25" customHeight="1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  <x:c r="Z227" s="12"/>
      <x:c r="AA227" s="12"/>
      <x:c r="AB227" s="12"/>
      <x:c r="AC227" s="12"/>
      <x:c r="AD227" s="12"/>
      <x:c r="AE227" s="12"/>
      <x:c r="AF227" s="12"/>
      <x:c r="AG227" s="12"/>
    </x:row>
    <x:row r="228" ht="14.25" customHeight="1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  <x:c r="Z228" s="12"/>
      <x:c r="AA228" s="12"/>
      <x:c r="AB228" s="12"/>
      <x:c r="AC228" s="12"/>
      <x:c r="AD228" s="12"/>
      <x:c r="AE228" s="12"/>
      <x:c r="AF228" s="12"/>
      <x:c r="AG228" s="12"/>
    </x:row>
    <x:row r="229" ht="14.25" customHeight="1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  <x:c r="Z229" s="12"/>
      <x:c r="AA229" s="12"/>
      <x:c r="AB229" s="12"/>
      <x:c r="AC229" s="12"/>
      <x:c r="AD229" s="12"/>
      <x:c r="AE229" s="12"/>
      <x:c r="AF229" s="12"/>
      <x:c r="AG229" s="12"/>
    </x:row>
    <x:row r="230" ht="14.25" customHeight="1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  <x:c r="Z230" s="12"/>
      <x:c r="AA230" s="12"/>
      <x:c r="AB230" s="12"/>
      <x:c r="AC230" s="12"/>
      <x:c r="AD230" s="12"/>
      <x:c r="AE230" s="12"/>
      <x:c r="AF230" s="12"/>
      <x:c r="AG230" s="12"/>
    </x:row>
    <x:row r="231" ht="14.25" customHeight="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  <x:c r="Z231" s="12"/>
      <x:c r="AA231" s="12"/>
      <x:c r="AB231" s="12"/>
      <x:c r="AC231" s="12"/>
      <x:c r="AD231" s="12"/>
      <x:c r="AE231" s="12"/>
      <x:c r="AF231" s="12"/>
      <x:c r="AG231" s="12"/>
    </x:row>
    <x:row r="232" ht="14.25" customHeight="1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  <x:c r="Z232" s="12"/>
      <x:c r="AA232" s="12"/>
      <x:c r="AB232" s="12"/>
      <x:c r="AC232" s="12"/>
      <x:c r="AD232" s="12"/>
      <x:c r="AE232" s="12"/>
      <x:c r="AF232" s="12"/>
      <x:c r="AG232" s="12"/>
    </x:row>
    <x:row r="233" ht="14.25" customHeight="1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  <x:c r="Z233" s="12"/>
      <x:c r="AA233" s="12"/>
      <x:c r="AB233" s="12"/>
      <x:c r="AC233" s="12"/>
      <x:c r="AD233" s="12"/>
      <x:c r="AE233" s="12"/>
      <x:c r="AF233" s="12"/>
      <x:c r="AG233" s="12"/>
    </x:row>
    <x:row r="234" ht="14.25" customHeight="1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  <x:c r="Z234" s="12"/>
      <x:c r="AA234" s="12"/>
      <x:c r="AB234" s="12"/>
      <x:c r="AC234" s="12"/>
      <x:c r="AD234" s="12"/>
      <x:c r="AE234" s="12"/>
      <x:c r="AF234" s="12"/>
      <x:c r="AG234" s="12"/>
    </x:row>
    <x:row r="235" ht="14.25" customHeight="1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  <x:c r="Z235" s="12"/>
      <x:c r="AA235" s="12"/>
      <x:c r="AB235" s="12"/>
      <x:c r="AC235" s="12"/>
      <x:c r="AD235" s="12"/>
      <x:c r="AE235" s="12"/>
      <x:c r="AF235" s="12"/>
      <x:c r="AG235" s="12"/>
    </x:row>
    <x:row r="236" ht="14.25" customHeight="1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  <x:c r="Z236" s="12"/>
      <x:c r="AA236" s="12"/>
      <x:c r="AB236" s="12"/>
      <x:c r="AC236" s="12"/>
      <x:c r="AD236" s="12"/>
      <x:c r="AE236" s="12"/>
      <x:c r="AF236" s="12"/>
      <x:c r="AG236" s="12"/>
    </x:row>
    <x:row r="237" ht="14.25" customHeight="1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  <x:c r="Z237" s="12"/>
      <x:c r="AA237" s="12"/>
      <x:c r="AB237" s="12"/>
      <x:c r="AC237" s="12"/>
      <x:c r="AD237" s="12"/>
      <x:c r="AE237" s="12"/>
      <x:c r="AF237" s="12"/>
      <x:c r="AG237" s="12"/>
    </x:row>
    <x:row r="238" ht="14.25" customHeight="1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  <x:c r="Z238" s="12"/>
      <x:c r="AA238" s="12"/>
      <x:c r="AB238" s="12"/>
      <x:c r="AC238" s="12"/>
      <x:c r="AD238" s="12"/>
      <x:c r="AE238" s="12"/>
      <x:c r="AF238" s="12"/>
      <x:c r="AG238" s="12"/>
    </x:row>
    <x:row r="239" ht="14.25" customHeight="1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  <x:c r="Z239" s="12"/>
      <x:c r="AA239" s="12"/>
      <x:c r="AB239" s="12"/>
      <x:c r="AC239" s="12"/>
      <x:c r="AD239" s="12"/>
      <x:c r="AE239" s="12"/>
      <x:c r="AF239" s="12"/>
      <x:c r="AG239" s="12"/>
    </x:row>
    <x:row r="240" ht="14.25" customHeight="1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  <x:c r="Z240" s="12"/>
      <x:c r="AA240" s="12"/>
      <x:c r="AB240" s="12"/>
      <x:c r="AC240" s="12"/>
      <x:c r="AD240" s="12"/>
      <x:c r="AE240" s="12"/>
      <x:c r="AF240" s="12"/>
      <x:c r="AG240" s="12"/>
    </x:row>
    <x:row r="241" ht="14.25" customHeight="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  <x:c r="Z241" s="12"/>
      <x:c r="AA241" s="12"/>
      <x:c r="AB241" s="12"/>
      <x:c r="AC241" s="12"/>
      <x:c r="AD241" s="12"/>
      <x:c r="AE241" s="12"/>
      <x:c r="AF241" s="12"/>
      <x:c r="AG241" s="12"/>
    </x:row>
    <x:row r="242" ht="14.25" customHeight="1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  <x:c r="Z242" s="12"/>
      <x:c r="AA242" s="12"/>
      <x:c r="AB242" s="12"/>
      <x:c r="AC242" s="12"/>
      <x:c r="AD242" s="12"/>
      <x:c r="AE242" s="12"/>
      <x:c r="AF242" s="12"/>
      <x:c r="AG242" s="12"/>
    </x:row>
    <x:row r="243" ht="14.25" customHeight="1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  <x:c r="Z243" s="12"/>
      <x:c r="AA243" s="12"/>
      <x:c r="AB243" s="12"/>
      <x:c r="AC243" s="12"/>
      <x:c r="AD243" s="12"/>
      <x:c r="AE243" s="12"/>
      <x:c r="AF243" s="12"/>
      <x:c r="AG243" s="12"/>
    </x:row>
    <x:row r="244" ht="14.25" customHeight="1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  <x:c r="Z244" s="12"/>
      <x:c r="AA244" s="12"/>
      <x:c r="AB244" s="12"/>
      <x:c r="AC244" s="12"/>
      <x:c r="AD244" s="12"/>
      <x:c r="AE244" s="12"/>
      <x:c r="AF244" s="12"/>
      <x:c r="AG244" s="12"/>
    </x:row>
    <x:row r="245" ht="14.25" customHeight="1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  <x:c r="Z245" s="12"/>
      <x:c r="AA245" s="12"/>
      <x:c r="AB245" s="12"/>
      <x:c r="AC245" s="12"/>
      <x:c r="AD245" s="12"/>
      <x:c r="AE245" s="12"/>
      <x:c r="AF245" s="12"/>
      <x:c r="AG245" s="12"/>
    </x:row>
    <x:row r="246" ht="14.25" customHeight="1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  <x:c r="Z246" s="12"/>
      <x:c r="AA246" s="12"/>
      <x:c r="AB246" s="12"/>
      <x:c r="AC246" s="12"/>
      <x:c r="AD246" s="12"/>
      <x:c r="AE246" s="12"/>
      <x:c r="AF246" s="12"/>
      <x:c r="AG246" s="12"/>
    </x:row>
    <x:row r="247" ht="14.25" customHeight="1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  <x:c r="Z247" s="12"/>
      <x:c r="AA247" s="12"/>
      <x:c r="AB247" s="12"/>
      <x:c r="AC247" s="12"/>
      <x:c r="AD247" s="12"/>
      <x:c r="AE247" s="12"/>
      <x:c r="AF247" s="12"/>
      <x:c r="AG247" s="12"/>
    </x:row>
    <x:row r="248" ht="14.25" customHeight="1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  <x:c r="Z248" s="12"/>
      <x:c r="AA248" s="12"/>
      <x:c r="AB248" s="12"/>
      <x:c r="AC248" s="12"/>
      <x:c r="AD248" s="12"/>
      <x:c r="AE248" s="12"/>
      <x:c r="AF248" s="12"/>
      <x:c r="AG248" s="12"/>
    </x:row>
    <x:row r="249" ht="14.25" customHeight="1">
      <x:c r="A249" s="114"/>
      <x:c r="B249" s="114"/>
      <x:c r="C249" s="114"/>
      <x:c r="D249" s="114"/>
      <x:c r="E249" s="114"/>
      <x:c r="F249" s="114"/>
      <x:c r="G249" s="114"/>
      <x:c r="H249" s="114"/>
      <x:c r="I249" s="114"/>
      <x:c r="J249" s="114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  <x:c r="Z249" s="12"/>
      <x:c r="AA249" s="12"/>
      <x:c r="AB249" s="12"/>
      <x:c r="AC249" s="12"/>
      <x:c r="AD249" s="12"/>
      <x:c r="AE249" s="12"/>
      <x:c r="AF249" s="12"/>
      <x:c r="AG249" s="12"/>
    </x:row>
    <x:row r="250" ht="14.25" customHeight="1">
      <x:c r="A250" s="114"/>
      <x:c r="B250" s="114"/>
      <x:c r="C250" s="114"/>
      <x:c r="D250" s="114"/>
      <x:c r="E250" s="114"/>
      <x:c r="F250" s="114"/>
      <x:c r="G250" s="114"/>
      <x:c r="H250" s="114"/>
      <x:c r="I250" s="114"/>
      <x:c r="J250" s="114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  <x:c r="Z250" s="12"/>
      <x:c r="AA250" s="12"/>
      <x:c r="AB250" s="12"/>
      <x:c r="AC250" s="12"/>
      <x:c r="AD250" s="12"/>
      <x:c r="AE250" s="12"/>
      <x:c r="AF250" s="12"/>
      <x:c r="AG250" s="12"/>
    </x:row>
    <x:row r="251" ht="14.25" customHeight="1">
      <x:c r="A251" s="114"/>
      <x:c r="B251" s="114"/>
      <x:c r="C251" s="114"/>
      <x:c r="D251" s="114"/>
      <x:c r="E251" s="114"/>
      <x:c r="F251" s="114"/>
      <x:c r="G251" s="114"/>
      <x:c r="H251" s="114"/>
      <x:c r="I251" s="114"/>
      <x:c r="J251" s="114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  <x:c r="Z251" s="12"/>
      <x:c r="AA251" s="12"/>
      <x:c r="AB251" s="12"/>
      <x:c r="AC251" s="12"/>
      <x:c r="AD251" s="12"/>
      <x:c r="AE251" s="12"/>
      <x:c r="AF251" s="12"/>
      <x:c r="AG251" s="12"/>
    </x:row>
    <x:row r="252" ht="14.25" customHeight="1">
      <x:c r="A252" s="114"/>
      <x:c r="B252" s="114"/>
      <x:c r="C252" s="114"/>
      <x:c r="D252" s="114"/>
      <x:c r="E252" s="114"/>
      <x:c r="F252" s="114"/>
      <x:c r="G252" s="114"/>
      <x:c r="H252" s="114"/>
      <x:c r="I252" s="114"/>
      <x:c r="J252" s="114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  <x:c r="Z252" s="12"/>
      <x:c r="AA252" s="12"/>
      <x:c r="AB252" s="12"/>
      <x:c r="AC252" s="12"/>
      <x:c r="AD252" s="12"/>
      <x:c r="AE252" s="12"/>
      <x:c r="AF252" s="12"/>
      <x:c r="AG252" s="12"/>
    </x:row>
    <x:row r="253" ht="14.25" customHeight="1">
      <x:c r="A253" s="114"/>
      <x:c r="B253" s="114"/>
      <x:c r="C253" s="114"/>
      <x:c r="D253" s="114"/>
      <x:c r="E253" s="114"/>
      <x:c r="F253" s="114"/>
      <x:c r="G253" s="114"/>
      <x:c r="H253" s="114"/>
      <x:c r="I253" s="114"/>
      <x:c r="J253" s="114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  <x:c r="Z253" s="12"/>
      <x:c r="AA253" s="12"/>
      <x:c r="AB253" s="12"/>
      <x:c r="AC253" s="12"/>
      <x:c r="AD253" s="12"/>
      <x:c r="AE253" s="12"/>
      <x:c r="AF253" s="12"/>
      <x:c r="AG253" s="12"/>
    </x:row>
    <x:row r="254" ht="14.25" customHeight="1">
      <x:c r="A254" s="114"/>
      <x:c r="B254" s="114"/>
      <x:c r="C254" s="114"/>
      <x:c r="D254" s="114"/>
      <x:c r="E254" s="114"/>
      <x:c r="F254" s="114"/>
      <x:c r="G254" s="114"/>
      <x:c r="H254" s="114"/>
      <x:c r="I254" s="114"/>
      <x:c r="J254" s="114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  <x:c r="Z254" s="12"/>
      <x:c r="AA254" s="12"/>
      <x:c r="AB254" s="12"/>
      <x:c r="AC254" s="12"/>
      <x:c r="AD254" s="12"/>
      <x:c r="AE254" s="12"/>
      <x:c r="AF254" s="12"/>
      <x:c r="AG254" s="12"/>
    </x:row>
    <x:row r="255" ht="14.25" customHeight="1">
      <x:c r="A255" s="114"/>
      <x:c r="B255" s="114"/>
      <x:c r="C255" s="114"/>
      <x:c r="D255" s="114"/>
      <x:c r="E255" s="114"/>
      <x:c r="F255" s="114"/>
      <x:c r="G255" s="114"/>
      <x:c r="H255" s="114"/>
      <x:c r="I255" s="114"/>
      <x:c r="J255" s="114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  <x:c r="Z255" s="12"/>
      <x:c r="AA255" s="12"/>
      <x:c r="AB255" s="12"/>
      <x:c r="AC255" s="12"/>
      <x:c r="AD255" s="12"/>
      <x:c r="AE255" s="12"/>
      <x:c r="AF255" s="12"/>
      <x:c r="AG255" s="12"/>
    </x:row>
    <x:row r="256" ht="14.25" customHeight="1">
      <x:c r="A256" s="114"/>
      <x:c r="B256" s="114"/>
      <x:c r="C256" s="114"/>
      <x:c r="D256" s="114"/>
      <x:c r="E256" s="114"/>
      <x:c r="F256" s="114"/>
      <x:c r="G256" s="114"/>
      <x:c r="H256" s="114"/>
      <x:c r="I256" s="114"/>
      <x:c r="J256" s="114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  <x:c r="Z256" s="12"/>
      <x:c r="AA256" s="12"/>
      <x:c r="AB256" s="12"/>
      <x:c r="AC256" s="12"/>
      <x:c r="AD256" s="12"/>
      <x:c r="AE256" s="12"/>
      <x:c r="AF256" s="12"/>
      <x:c r="AG256" s="12"/>
    </x:row>
    <x:row r="257" ht="14.25" customHeight="1">
      <x:c r="A257" s="114"/>
      <x:c r="B257" s="114"/>
      <x:c r="C257" s="114"/>
      <x:c r="D257" s="114"/>
      <x:c r="E257" s="114"/>
      <x:c r="F257" s="114"/>
      <x:c r="G257" s="114"/>
      <x:c r="H257" s="114"/>
      <x:c r="I257" s="114"/>
      <x:c r="J257" s="114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  <x:c r="Z257" s="12"/>
      <x:c r="AA257" s="12"/>
      <x:c r="AB257" s="12"/>
      <x:c r="AC257" s="12"/>
      <x:c r="AD257" s="12"/>
      <x:c r="AE257" s="12"/>
      <x:c r="AF257" s="12"/>
      <x:c r="AG257" s="12"/>
    </x:row>
    <x:row r="258" ht="14.25" customHeight="1">
      <x:c r="A258" s="114"/>
      <x:c r="B258" s="114"/>
      <x:c r="C258" s="114"/>
      <x:c r="D258" s="114"/>
      <x:c r="E258" s="114"/>
      <x:c r="F258" s="114"/>
      <x:c r="G258" s="114"/>
      <x:c r="H258" s="114"/>
      <x:c r="I258" s="114"/>
      <x:c r="J258" s="114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  <x:c r="Z258" s="12"/>
      <x:c r="AA258" s="12"/>
      <x:c r="AB258" s="12"/>
      <x:c r="AC258" s="12"/>
      <x:c r="AD258" s="12"/>
      <x:c r="AE258" s="12"/>
      <x:c r="AF258" s="12"/>
      <x:c r="AG258" s="12"/>
    </x:row>
    <x:row r="259" ht="14.25" customHeight="1">
      <x:c r="A259" s="114"/>
      <x:c r="B259" s="114"/>
      <x:c r="C259" s="114"/>
      <x:c r="D259" s="114"/>
      <x:c r="E259" s="114"/>
      <x:c r="F259" s="114"/>
      <x:c r="G259" s="114"/>
      <x:c r="H259" s="114"/>
      <x:c r="I259" s="114"/>
      <x:c r="J259" s="114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  <x:c r="Z259" s="12"/>
      <x:c r="AA259" s="12"/>
      <x:c r="AB259" s="12"/>
      <x:c r="AC259" s="12"/>
      <x:c r="AD259" s="12"/>
      <x:c r="AE259" s="12"/>
      <x:c r="AF259" s="12"/>
      <x:c r="AG259" s="12"/>
    </x:row>
    <x:row r="260" ht="14.25" customHeight="1">
      <x:c r="A260" s="114"/>
      <x:c r="B260" s="114"/>
      <x:c r="C260" s="114"/>
      <x:c r="D260" s="114"/>
      <x:c r="E260" s="114"/>
      <x:c r="F260" s="114"/>
      <x:c r="G260" s="114"/>
      <x:c r="H260" s="114"/>
      <x:c r="I260" s="114"/>
      <x:c r="J260" s="114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  <x:c r="Z260" s="12"/>
      <x:c r="AA260" s="12"/>
      <x:c r="AB260" s="12"/>
      <x:c r="AC260" s="12"/>
      <x:c r="AD260" s="12"/>
      <x:c r="AE260" s="12"/>
      <x:c r="AF260" s="12"/>
      <x:c r="AG260" s="12"/>
    </x:row>
    <x:row r="261" ht="14.25" customHeight="1">
      <x:c r="A261" s="114"/>
      <x:c r="B261" s="114"/>
      <x:c r="C261" s="114"/>
      <x:c r="D261" s="114"/>
      <x:c r="E261" s="114"/>
      <x:c r="F261" s="114"/>
      <x:c r="G261" s="114"/>
      <x:c r="H261" s="114"/>
      <x:c r="I261" s="114"/>
      <x:c r="J261" s="114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  <x:c r="Z261" s="12"/>
      <x:c r="AA261" s="12"/>
      <x:c r="AB261" s="12"/>
      <x:c r="AC261" s="12"/>
      <x:c r="AD261" s="12"/>
      <x:c r="AE261" s="12"/>
      <x:c r="AF261" s="12"/>
      <x:c r="AG261" s="12"/>
    </x:row>
    <x:row r="262" ht="14.25" customHeight="1">
      <x:c r="A262" s="114"/>
      <x:c r="B262" s="114"/>
      <x:c r="C262" s="114"/>
      <x:c r="D262" s="114"/>
      <x:c r="E262" s="114"/>
      <x:c r="F262" s="114"/>
      <x:c r="G262" s="114"/>
      <x:c r="H262" s="114"/>
      <x:c r="I262" s="114"/>
      <x:c r="J262" s="114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  <x:c r="Z262" s="12"/>
      <x:c r="AA262" s="12"/>
      <x:c r="AB262" s="12"/>
      <x:c r="AC262" s="12"/>
      <x:c r="AD262" s="12"/>
      <x:c r="AE262" s="12"/>
      <x:c r="AF262" s="12"/>
      <x:c r="AG262" s="12"/>
    </x:row>
    <x:row r="263" ht="14.25" customHeight="1">
      <x:c r="A263" s="114"/>
      <x:c r="B263" s="114"/>
      <x:c r="C263" s="114"/>
      <x:c r="D263" s="114"/>
      <x:c r="E263" s="114"/>
      <x:c r="F263" s="114"/>
      <x:c r="G263" s="114"/>
      <x:c r="H263" s="114"/>
      <x:c r="I263" s="114"/>
      <x:c r="J263" s="114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  <x:c r="Z263" s="12"/>
      <x:c r="AA263" s="12"/>
      <x:c r="AB263" s="12"/>
      <x:c r="AC263" s="12"/>
      <x:c r="AD263" s="12"/>
      <x:c r="AE263" s="12"/>
      <x:c r="AF263" s="12"/>
      <x:c r="AG263" s="12"/>
    </x:row>
    <x:row r="264" ht="14.25" customHeight="1">
      <x:c r="A264" s="114"/>
      <x:c r="B264" s="114"/>
      <x:c r="C264" s="114"/>
      <x:c r="D264" s="114"/>
      <x:c r="E264" s="114"/>
      <x:c r="F264" s="114"/>
      <x:c r="G264" s="114"/>
      <x:c r="H264" s="114"/>
      <x:c r="I264" s="114"/>
      <x:c r="J264" s="114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  <x:c r="Z264" s="12"/>
      <x:c r="AA264" s="12"/>
      <x:c r="AB264" s="12"/>
      <x:c r="AC264" s="12"/>
      <x:c r="AD264" s="12"/>
      <x:c r="AE264" s="12"/>
      <x:c r="AF264" s="12"/>
      <x:c r="AG264" s="12"/>
    </x:row>
    <x:row r="265" ht="14.25" customHeight="1">
      <x:c r="A265" s="114"/>
      <x:c r="B265" s="114"/>
      <x:c r="C265" s="114"/>
      <x:c r="D265" s="114"/>
      <x:c r="E265" s="114"/>
      <x:c r="F265" s="114"/>
      <x:c r="G265" s="114"/>
      <x:c r="H265" s="114"/>
      <x:c r="I265" s="114"/>
      <x:c r="J265" s="114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  <x:c r="Z265" s="12"/>
      <x:c r="AA265" s="12"/>
      <x:c r="AB265" s="12"/>
      <x:c r="AC265" s="12"/>
      <x:c r="AD265" s="12"/>
      <x:c r="AE265" s="12"/>
      <x:c r="AF265" s="12"/>
      <x:c r="AG265" s="12"/>
    </x:row>
    <x:row r="266" ht="14.25" customHeight="1">
      <x:c r="A266" s="114"/>
      <x:c r="B266" s="114"/>
      <x:c r="C266" s="114"/>
      <x:c r="D266" s="114"/>
      <x:c r="E266" s="114"/>
      <x:c r="F266" s="114"/>
      <x:c r="G266" s="114"/>
      <x:c r="H266" s="114"/>
      <x:c r="I266" s="114"/>
      <x:c r="J266" s="114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  <x:c r="Z266" s="12"/>
      <x:c r="AA266" s="12"/>
      <x:c r="AB266" s="12"/>
      <x:c r="AC266" s="12"/>
      <x:c r="AD266" s="12"/>
      <x:c r="AE266" s="12"/>
      <x:c r="AF266" s="12"/>
      <x:c r="AG266" s="12"/>
    </x:row>
    <x:row r="267" ht="14.25" customHeight="1">
      <x:c r="A267" s="114"/>
      <x:c r="B267" s="114"/>
      <x:c r="C267" s="114"/>
      <x:c r="D267" s="114"/>
      <x:c r="E267" s="114"/>
      <x:c r="F267" s="114"/>
      <x:c r="G267" s="114"/>
      <x:c r="H267" s="114"/>
      <x:c r="I267" s="114"/>
      <x:c r="J267" s="114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  <x:c r="Z267" s="12"/>
      <x:c r="AA267" s="12"/>
      <x:c r="AB267" s="12"/>
      <x:c r="AC267" s="12"/>
      <x:c r="AD267" s="12"/>
      <x:c r="AE267" s="12"/>
      <x:c r="AF267" s="12"/>
      <x:c r="AG267" s="12"/>
    </x:row>
    <x:row r="268" ht="14.25" customHeight="1">
      <x:c r="A268" s="114"/>
      <x:c r="B268" s="114"/>
      <x:c r="C268" s="114"/>
      <x:c r="D268" s="114"/>
      <x:c r="E268" s="114"/>
      <x:c r="F268" s="114"/>
      <x:c r="G268" s="114"/>
      <x:c r="H268" s="114"/>
      <x:c r="I268" s="114"/>
      <x:c r="J268" s="114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 s="12"/>
      <x:c r="AA268" s="12"/>
      <x:c r="AB268" s="12"/>
      <x:c r="AC268" s="12"/>
      <x:c r="AD268" s="12"/>
      <x:c r="AE268" s="12"/>
      <x:c r="AF268" s="12"/>
      <x:c r="AG268" s="12"/>
    </x:row>
    <x:row r="269" ht="14.25" customHeight="1">
      <x:c r="A269" s="114"/>
      <x:c r="B269" s="114"/>
      <x:c r="C269" s="114"/>
      <x:c r="D269" s="114"/>
      <x:c r="E269" s="114"/>
      <x:c r="F269" s="114"/>
      <x:c r="G269" s="114"/>
      <x:c r="H269" s="114"/>
      <x:c r="I269" s="114"/>
      <x:c r="J269" s="114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 s="12"/>
      <x:c r="AA269" s="12"/>
      <x:c r="AB269" s="12"/>
      <x:c r="AC269" s="12"/>
      <x:c r="AD269" s="12"/>
      <x:c r="AE269" s="12"/>
      <x:c r="AF269" s="12"/>
      <x:c r="AG269" s="12"/>
    </x:row>
    <x:row r="270" ht="14.25" customHeight="1">
      <x:c r="A270" s="114"/>
      <x:c r="B270" s="114"/>
      <x:c r="C270" s="114"/>
      <x:c r="D270" s="114"/>
      <x:c r="E270" s="114"/>
      <x:c r="F270" s="114"/>
      <x:c r="G270" s="114"/>
      <x:c r="H270" s="114"/>
      <x:c r="I270" s="114"/>
      <x:c r="J270" s="114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  <x:c r="Z270" s="12"/>
      <x:c r="AA270" s="12"/>
      <x:c r="AB270" s="12"/>
      <x:c r="AC270" s="12"/>
      <x:c r="AD270" s="12"/>
      <x:c r="AE270" s="12"/>
      <x:c r="AF270" s="12"/>
      <x:c r="AG270" s="12"/>
    </x:row>
    <x:row r="271" ht="14.25" customHeight="1">
      <x:c r="A271" s="114"/>
      <x:c r="B271" s="114"/>
      <x:c r="C271" s="114"/>
      <x:c r="D271" s="114"/>
      <x:c r="E271" s="114"/>
      <x:c r="F271" s="114"/>
      <x:c r="G271" s="114"/>
      <x:c r="H271" s="114"/>
      <x:c r="I271" s="114"/>
      <x:c r="J271" s="114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  <x:c r="Z271" s="12"/>
      <x:c r="AA271" s="12"/>
      <x:c r="AB271" s="12"/>
      <x:c r="AC271" s="12"/>
      <x:c r="AD271" s="12"/>
      <x:c r="AE271" s="12"/>
      <x:c r="AF271" s="12"/>
      <x:c r="AG271" s="12"/>
    </x:row>
    <x:row r="272" ht="14.25" customHeight="1">
      <x:c r="A272" s="114"/>
      <x:c r="B272" s="114"/>
      <x:c r="C272" s="114"/>
      <x:c r="D272" s="114"/>
      <x:c r="E272" s="114"/>
      <x:c r="F272" s="114"/>
      <x:c r="G272" s="114"/>
      <x:c r="H272" s="114"/>
      <x:c r="I272" s="114"/>
      <x:c r="J272" s="114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  <x:c r="Z272" s="12"/>
      <x:c r="AA272" s="12"/>
      <x:c r="AB272" s="12"/>
      <x:c r="AC272" s="12"/>
      <x:c r="AD272" s="12"/>
      <x:c r="AE272" s="12"/>
      <x:c r="AF272" s="12"/>
      <x:c r="AG272" s="12"/>
    </x:row>
    <x:row r="273" ht="14.25" customHeight="1">
      <x:c r="A273" s="114"/>
      <x:c r="B273" s="114"/>
      <x:c r="C273" s="114"/>
      <x:c r="D273" s="114"/>
      <x:c r="E273" s="114"/>
      <x:c r="F273" s="114"/>
      <x:c r="G273" s="114"/>
      <x:c r="H273" s="114"/>
      <x:c r="I273" s="114"/>
      <x:c r="J273" s="114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  <x:c r="Z273" s="12"/>
      <x:c r="AA273" s="12"/>
      <x:c r="AB273" s="12"/>
      <x:c r="AC273" s="12"/>
      <x:c r="AD273" s="12"/>
      <x:c r="AE273" s="12"/>
      <x:c r="AF273" s="12"/>
      <x:c r="AG273" s="12"/>
    </x:row>
    <x:row r="274" ht="14.25" customHeight="1">
      <x:c r="A274" s="114"/>
      <x:c r="B274" s="114"/>
      <x:c r="C274" s="114"/>
      <x:c r="D274" s="114"/>
      <x:c r="E274" s="114"/>
      <x:c r="F274" s="114"/>
      <x:c r="G274" s="114"/>
      <x:c r="H274" s="114"/>
      <x:c r="I274" s="114"/>
      <x:c r="J274" s="114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  <x:c r="Z274" s="12"/>
      <x:c r="AA274" s="12"/>
      <x:c r="AB274" s="12"/>
      <x:c r="AC274" s="12"/>
      <x:c r="AD274" s="12"/>
      <x:c r="AE274" s="12"/>
      <x:c r="AF274" s="12"/>
      <x:c r="AG274" s="12"/>
    </x:row>
    <x:row r="275" ht="14.25" customHeight="1">
      <x:c r="A275" s="114"/>
      <x:c r="B275" s="114"/>
      <x:c r="C275" s="114"/>
      <x:c r="D275" s="114"/>
      <x:c r="E275" s="114"/>
      <x:c r="F275" s="114"/>
      <x:c r="G275" s="114"/>
      <x:c r="H275" s="114"/>
      <x:c r="I275" s="114"/>
      <x:c r="J275" s="114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  <x:c r="Z275" s="12"/>
      <x:c r="AA275" s="12"/>
      <x:c r="AB275" s="12"/>
      <x:c r="AC275" s="12"/>
      <x:c r="AD275" s="12"/>
      <x:c r="AE275" s="12"/>
      <x:c r="AF275" s="12"/>
      <x:c r="AG275" s="12"/>
    </x:row>
    <x:row r="276" ht="14.25" customHeight="1">
      <x:c r="A276" s="114"/>
      <x:c r="B276" s="114"/>
      <x:c r="C276" s="114"/>
      <x:c r="D276" s="114"/>
      <x:c r="E276" s="114"/>
      <x:c r="F276" s="114"/>
      <x:c r="G276" s="114"/>
      <x:c r="H276" s="114"/>
      <x:c r="I276" s="114"/>
      <x:c r="J276" s="114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  <x:c r="Z276" s="12"/>
      <x:c r="AA276" s="12"/>
      <x:c r="AB276" s="12"/>
      <x:c r="AC276" s="12"/>
      <x:c r="AD276" s="12"/>
      <x:c r="AE276" s="12"/>
      <x:c r="AF276" s="12"/>
      <x:c r="AG276" s="12"/>
    </x:row>
    <x:row r="277" ht="14.25" customHeight="1">
      <x:c r="A277" s="114"/>
      <x:c r="B277" s="114"/>
      <x:c r="C277" s="114"/>
      <x:c r="D277" s="114"/>
      <x:c r="E277" s="114"/>
      <x:c r="F277" s="114"/>
      <x:c r="G277" s="114"/>
      <x:c r="H277" s="114"/>
      <x:c r="I277" s="114"/>
      <x:c r="J277" s="114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  <x:c r="Z277" s="12"/>
      <x:c r="AA277" s="12"/>
      <x:c r="AB277" s="12"/>
      <x:c r="AC277" s="12"/>
      <x:c r="AD277" s="12"/>
      <x:c r="AE277" s="12"/>
      <x:c r="AF277" s="12"/>
      <x:c r="AG277" s="12"/>
    </x:row>
    <x:row r="278" ht="14.25" customHeight="1">
      <x:c r="A278" s="114"/>
      <x:c r="B278" s="114"/>
      <x:c r="C278" s="114"/>
      <x:c r="D278" s="114"/>
      <x:c r="E278" s="114"/>
      <x:c r="F278" s="114"/>
      <x:c r="G278" s="114"/>
      <x:c r="H278" s="114"/>
      <x:c r="I278" s="114"/>
      <x:c r="J278" s="114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  <x:c r="Z278" s="12"/>
      <x:c r="AA278" s="12"/>
      <x:c r="AB278" s="12"/>
      <x:c r="AC278" s="12"/>
      <x:c r="AD278" s="12"/>
      <x:c r="AE278" s="12"/>
      <x:c r="AF278" s="12"/>
      <x:c r="AG278" s="12"/>
    </x:row>
    <x:row r="279" ht="14.25" customHeight="1">
      <x:c r="A279" s="114"/>
      <x:c r="B279" s="114"/>
      <x:c r="C279" s="114"/>
      <x:c r="D279" s="114"/>
      <x:c r="E279" s="114"/>
      <x:c r="F279" s="114"/>
      <x:c r="G279" s="114"/>
      <x:c r="H279" s="114"/>
      <x:c r="I279" s="114"/>
      <x:c r="J279" s="114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  <x:c r="Z279" s="12"/>
      <x:c r="AA279" s="12"/>
      <x:c r="AB279" s="12"/>
      <x:c r="AC279" s="12"/>
      <x:c r="AD279" s="12"/>
      <x:c r="AE279" s="12"/>
      <x:c r="AF279" s="12"/>
      <x:c r="AG279" s="12"/>
    </x:row>
    <x:row r="280" ht="14.25" customHeight="1">
      <x:c r="A280" s="114"/>
      <x:c r="B280" s="114"/>
      <x:c r="C280" s="114"/>
      <x:c r="D280" s="114"/>
      <x:c r="E280" s="114"/>
      <x:c r="F280" s="114"/>
      <x:c r="G280" s="114"/>
      <x:c r="H280" s="114"/>
      <x:c r="I280" s="114"/>
      <x:c r="J280" s="114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  <x:c r="Z280" s="12"/>
      <x:c r="AA280" s="12"/>
      <x:c r="AB280" s="12"/>
      <x:c r="AC280" s="12"/>
      <x:c r="AD280" s="12"/>
      <x:c r="AE280" s="12"/>
      <x:c r="AF280" s="12"/>
      <x:c r="AG280" s="12"/>
    </x:row>
    <x:row r="281" ht="14.25" customHeight="1">
      <x:c r="A281" s="114"/>
      <x:c r="B281" s="114"/>
      <x:c r="C281" s="114"/>
      <x:c r="D281" s="114"/>
      <x:c r="E281" s="114"/>
      <x:c r="F281" s="114"/>
      <x:c r="G281" s="114"/>
      <x:c r="H281" s="114"/>
      <x:c r="I281" s="114"/>
      <x:c r="J281" s="114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  <x:c r="Z281" s="12"/>
      <x:c r="AA281" s="12"/>
      <x:c r="AB281" s="12"/>
      <x:c r="AC281" s="12"/>
      <x:c r="AD281" s="12"/>
      <x:c r="AE281" s="12"/>
      <x:c r="AF281" s="12"/>
      <x:c r="AG281" s="12"/>
    </x:row>
    <x:row r="282" ht="14.25" customHeight="1">
      <x:c r="A282" s="114"/>
      <x:c r="B282" s="114"/>
      <x:c r="C282" s="114"/>
      <x:c r="D282" s="114"/>
      <x:c r="E282" s="114"/>
      <x:c r="F282" s="114"/>
      <x:c r="G282" s="114"/>
      <x:c r="H282" s="114"/>
      <x:c r="I282" s="114"/>
      <x:c r="J282" s="114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  <x:c r="Z282" s="12"/>
      <x:c r="AA282" s="12"/>
      <x:c r="AB282" s="12"/>
      <x:c r="AC282" s="12"/>
      <x:c r="AD282" s="12"/>
      <x:c r="AE282" s="12"/>
      <x:c r="AF282" s="12"/>
      <x:c r="AG282" s="12"/>
    </x:row>
    <x:row r="283" ht="14.25" customHeight="1">
      <x:c r="A283" s="114"/>
      <x:c r="B283" s="114"/>
      <x:c r="C283" s="114"/>
      <x:c r="D283" s="114"/>
      <x:c r="E283" s="114"/>
      <x:c r="F283" s="114"/>
      <x:c r="G283" s="114"/>
      <x:c r="H283" s="114"/>
      <x:c r="I283" s="114"/>
      <x:c r="J283" s="114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  <x:c r="Z283" s="12"/>
      <x:c r="AA283" s="12"/>
      <x:c r="AB283" s="12"/>
      <x:c r="AC283" s="12"/>
      <x:c r="AD283" s="12"/>
      <x:c r="AE283" s="12"/>
      <x:c r="AF283" s="12"/>
      <x:c r="AG283" s="12"/>
    </x:row>
    <x:row r="284" ht="14.25" customHeight="1">
      <x:c r="A284" s="114"/>
      <x:c r="B284" s="114"/>
      <x:c r="C284" s="114"/>
      <x:c r="D284" s="114"/>
      <x:c r="E284" s="114"/>
      <x:c r="F284" s="114"/>
      <x:c r="G284" s="114"/>
      <x:c r="H284" s="114"/>
      <x:c r="I284" s="114"/>
      <x:c r="J284" s="114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  <x:c r="Z284" s="12"/>
      <x:c r="AA284" s="12"/>
      <x:c r="AB284" s="12"/>
      <x:c r="AC284" s="12"/>
      <x:c r="AD284" s="12"/>
      <x:c r="AE284" s="12"/>
      <x:c r="AF284" s="12"/>
      <x:c r="AG284" s="12"/>
    </x:row>
    <x:row r="285" ht="14.25" customHeight="1">
      <x:c r="A285" s="114"/>
      <x:c r="B285" s="114"/>
      <x:c r="C285" s="114"/>
      <x:c r="D285" s="114"/>
      <x:c r="E285" s="114"/>
      <x:c r="F285" s="114"/>
      <x:c r="G285" s="114"/>
      <x:c r="H285" s="114"/>
      <x:c r="I285" s="114"/>
      <x:c r="J285" s="114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  <x:c r="Z285" s="12"/>
      <x:c r="AA285" s="12"/>
      <x:c r="AB285" s="12"/>
      <x:c r="AC285" s="12"/>
      <x:c r="AD285" s="12"/>
      <x:c r="AE285" s="12"/>
      <x:c r="AF285" s="12"/>
      <x:c r="AG285" s="12"/>
    </x:row>
    <x:row r="286" ht="14.25" customHeight="1">
      <x:c r="A286" s="114"/>
      <x:c r="B286" s="114"/>
      <x:c r="C286" s="114"/>
      <x:c r="D286" s="114"/>
      <x:c r="E286" s="114"/>
      <x:c r="F286" s="114"/>
      <x:c r="G286" s="114"/>
      <x:c r="H286" s="114"/>
      <x:c r="I286" s="114"/>
      <x:c r="J286" s="114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  <x:c r="Z286" s="12"/>
      <x:c r="AA286" s="12"/>
      <x:c r="AB286" s="12"/>
      <x:c r="AC286" s="12"/>
      <x:c r="AD286" s="12"/>
      <x:c r="AE286" s="12"/>
      <x:c r="AF286" s="12"/>
      <x:c r="AG286" s="12"/>
    </x:row>
    <x:row r="287" ht="14.25" customHeight="1">
      <x:c r="A287" s="114"/>
      <x:c r="B287" s="114"/>
      <x:c r="C287" s="114"/>
      <x:c r="D287" s="114"/>
      <x:c r="E287" s="114"/>
      <x:c r="F287" s="114"/>
      <x:c r="G287" s="114"/>
      <x:c r="H287" s="114"/>
      <x:c r="I287" s="114"/>
      <x:c r="J287" s="114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  <x:c r="Z287" s="12"/>
      <x:c r="AA287" s="12"/>
      <x:c r="AB287" s="12"/>
      <x:c r="AC287" s="12"/>
      <x:c r="AD287" s="12"/>
      <x:c r="AE287" s="12"/>
      <x:c r="AF287" s="12"/>
      <x:c r="AG287" s="12"/>
    </x:row>
    <x:row r="288" ht="14.25" customHeight="1">
      <x:c r="A288" s="114"/>
      <x:c r="B288" s="114"/>
      <x:c r="C288" s="114"/>
      <x:c r="D288" s="114"/>
      <x:c r="E288" s="114"/>
      <x:c r="F288" s="114"/>
      <x:c r="G288" s="114"/>
      <x:c r="H288" s="114"/>
      <x:c r="I288" s="114"/>
      <x:c r="J288" s="114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  <x:c r="Z288" s="12"/>
      <x:c r="AA288" s="12"/>
      <x:c r="AB288" s="12"/>
      <x:c r="AC288" s="12"/>
      <x:c r="AD288" s="12"/>
      <x:c r="AE288" s="12"/>
      <x:c r="AF288" s="12"/>
      <x:c r="AG288" s="12"/>
    </x:row>
    <x:row r="289" ht="14.25" customHeight="1">
      <x:c r="A289" s="114"/>
      <x:c r="B289" s="114"/>
      <x:c r="C289" s="114"/>
      <x:c r="D289" s="114"/>
      <x:c r="E289" s="114"/>
      <x:c r="F289" s="114"/>
      <x:c r="G289" s="114"/>
      <x:c r="H289" s="114"/>
      <x:c r="I289" s="114"/>
      <x:c r="J289" s="114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  <x:c r="Z289" s="12"/>
      <x:c r="AA289" s="12"/>
      <x:c r="AB289" s="12"/>
      <x:c r="AC289" s="12"/>
      <x:c r="AD289" s="12"/>
      <x:c r="AE289" s="12"/>
      <x:c r="AF289" s="12"/>
      <x:c r="AG289" s="12"/>
    </x:row>
    <x:row r="290" ht="14.25" customHeight="1">
      <x:c r="A290" s="114"/>
      <x:c r="B290" s="114"/>
      <x:c r="C290" s="114"/>
      <x:c r="D290" s="114"/>
      <x:c r="E290" s="114"/>
      <x:c r="F290" s="114"/>
      <x:c r="G290" s="114"/>
      <x:c r="H290" s="114"/>
      <x:c r="I290" s="114"/>
      <x:c r="J290" s="114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  <x:c r="Z290" s="12"/>
      <x:c r="AA290" s="12"/>
      <x:c r="AB290" s="12"/>
      <x:c r="AC290" s="12"/>
      <x:c r="AD290" s="12"/>
      <x:c r="AE290" s="12"/>
      <x:c r="AF290" s="12"/>
      <x:c r="AG290" s="12"/>
    </x:row>
    <x:row r="291" ht="14.25" customHeight="1">
      <x:c r="A291" s="114"/>
      <x:c r="B291" s="114"/>
      <x:c r="C291" s="114"/>
      <x:c r="D291" s="114"/>
      <x:c r="E291" s="114"/>
      <x:c r="F291" s="114"/>
      <x:c r="G291" s="114"/>
      <x:c r="H291" s="114"/>
      <x:c r="I291" s="114"/>
      <x:c r="J291" s="114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  <x:c r="Z291" s="12"/>
      <x:c r="AA291" s="12"/>
      <x:c r="AB291" s="12"/>
      <x:c r="AC291" s="12"/>
      <x:c r="AD291" s="12"/>
      <x:c r="AE291" s="12"/>
      <x:c r="AF291" s="12"/>
      <x:c r="AG291" s="12"/>
    </x:row>
    <x:row r="292" ht="14.25" customHeight="1">
      <x:c r="A292" s="114"/>
      <x:c r="B292" s="114"/>
      <x:c r="C292" s="114"/>
      <x:c r="D292" s="114"/>
      <x:c r="E292" s="114"/>
      <x:c r="F292" s="114"/>
      <x:c r="G292" s="114"/>
      <x:c r="H292" s="114"/>
      <x:c r="I292" s="114"/>
      <x:c r="J292" s="114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  <x:c r="Z292" s="12"/>
      <x:c r="AA292" s="12"/>
      <x:c r="AB292" s="12"/>
      <x:c r="AC292" s="12"/>
      <x:c r="AD292" s="12"/>
      <x:c r="AE292" s="12"/>
      <x:c r="AF292" s="12"/>
      <x:c r="AG292" s="12"/>
    </x:row>
    <x:row r="293" ht="14.25" customHeight="1">
      <x:c r="A293" s="114"/>
      <x:c r="B293" s="114"/>
      <x:c r="C293" s="114"/>
      <x:c r="D293" s="114"/>
      <x:c r="E293" s="114"/>
      <x:c r="F293" s="114"/>
      <x:c r="G293" s="114"/>
      <x:c r="H293" s="114"/>
      <x:c r="I293" s="114"/>
      <x:c r="J293" s="114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  <x:c r="Z293" s="12"/>
      <x:c r="AA293" s="12"/>
      <x:c r="AB293" s="12"/>
      <x:c r="AC293" s="12"/>
      <x:c r="AD293" s="12"/>
      <x:c r="AE293" s="12"/>
      <x:c r="AF293" s="12"/>
      <x:c r="AG293" s="12"/>
    </x:row>
    <x:row r="294" ht="14.25" customHeight="1">
      <x:c r="A294" s="114"/>
      <x:c r="B294" s="114"/>
      <x:c r="C294" s="114"/>
      <x:c r="D294" s="114"/>
      <x:c r="E294" s="114"/>
      <x:c r="F294" s="114"/>
      <x:c r="G294" s="114"/>
      <x:c r="H294" s="114"/>
      <x:c r="I294" s="114"/>
      <x:c r="J294" s="114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  <x:c r="Z294" s="12"/>
      <x:c r="AA294" s="12"/>
      <x:c r="AB294" s="12"/>
      <x:c r="AC294" s="12"/>
      <x:c r="AD294" s="12"/>
      <x:c r="AE294" s="12"/>
      <x:c r="AF294" s="12"/>
      <x:c r="AG294" s="12"/>
    </x:row>
    <x:row r="295" ht="14.25" customHeight="1">
      <x:c r="A295" s="114"/>
      <x:c r="B295" s="114"/>
      <x:c r="C295" s="114"/>
      <x:c r="D295" s="114"/>
      <x:c r="E295" s="114"/>
      <x:c r="F295" s="114"/>
      <x:c r="G295" s="114"/>
      <x:c r="H295" s="114"/>
      <x:c r="I295" s="114"/>
      <x:c r="J295" s="114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  <x:c r="Z295" s="12"/>
      <x:c r="AA295" s="12"/>
      <x:c r="AB295" s="12"/>
      <x:c r="AC295" s="12"/>
      <x:c r="AD295" s="12"/>
      <x:c r="AE295" s="12"/>
      <x:c r="AF295" s="12"/>
      <x:c r="AG295" s="12"/>
    </x:row>
    <x:row r="296" ht="14.25" customHeight="1">
      <x:c r="A296" s="114"/>
      <x:c r="B296" s="114"/>
      <x:c r="C296" s="114"/>
      <x:c r="D296" s="114"/>
      <x:c r="E296" s="114"/>
      <x:c r="F296" s="114"/>
      <x:c r="G296" s="114"/>
      <x:c r="H296" s="114"/>
      <x:c r="I296" s="114"/>
      <x:c r="J296" s="114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  <x:c r="Z296" s="12"/>
      <x:c r="AA296" s="12"/>
      <x:c r="AB296" s="12"/>
      <x:c r="AC296" s="12"/>
      <x:c r="AD296" s="12"/>
      <x:c r="AE296" s="12"/>
      <x:c r="AF296" s="12"/>
      <x:c r="AG296" s="12"/>
    </x:row>
    <x:row r="297" ht="14.25" customHeight="1">
      <x:c r="A297" s="114"/>
      <x:c r="B297" s="114"/>
      <x:c r="C297" s="114"/>
      <x:c r="D297" s="114"/>
      <x:c r="E297" s="114"/>
      <x:c r="F297" s="114"/>
      <x:c r="G297" s="114"/>
      <x:c r="H297" s="114"/>
      <x:c r="I297" s="114"/>
      <x:c r="J297" s="114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  <x:c r="Z297" s="12"/>
      <x:c r="AA297" s="12"/>
      <x:c r="AB297" s="12"/>
      <x:c r="AC297" s="12"/>
      <x:c r="AD297" s="12"/>
      <x:c r="AE297" s="12"/>
      <x:c r="AF297" s="12"/>
      <x:c r="AG297" s="12"/>
    </x:row>
    <x:row r="298" ht="14.25" customHeight="1">
      <x:c r="A298" s="114"/>
      <x:c r="B298" s="114"/>
      <x:c r="C298" s="114"/>
      <x:c r="D298" s="114"/>
      <x:c r="E298" s="114"/>
      <x:c r="F298" s="114"/>
      <x:c r="G298" s="114"/>
      <x:c r="H298" s="114"/>
      <x:c r="I298" s="114"/>
      <x:c r="J298" s="114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  <x:c r="Z298" s="12"/>
      <x:c r="AA298" s="12"/>
      <x:c r="AB298" s="12"/>
      <x:c r="AC298" s="12"/>
      <x:c r="AD298" s="12"/>
      <x:c r="AE298" s="12"/>
      <x:c r="AF298" s="12"/>
      <x:c r="AG298" s="12"/>
    </x:row>
    <x:row r="299" ht="14.25" customHeight="1">
      <x:c r="A299" s="114"/>
      <x:c r="B299" s="114"/>
      <x:c r="C299" s="114"/>
      <x:c r="D299" s="114"/>
      <x:c r="E299" s="114"/>
      <x:c r="F299" s="114"/>
      <x:c r="G299" s="114"/>
      <x:c r="H299" s="114"/>
      <x:c r="I299" s="114"/>
      <x:c r="J299" s="114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  <x:c r="Z299" s="12"/>
      <x:c r="AA299" s="12"/>
      <x:c r="AB299" s="12"/>
      <x:c r="AC299" s="12"/>
      <x:c r="AD299" s="12"/>
      <x:c r="AE299" s="12"/>
      <x:c r="AF299" s="12"/>
      <x:c r="AG299" s="12"/>
    </x:row>
    <x:row r="300" ht="14.25" customHeight="1">
      <x:c r="A300" s="114"/>
      <x:c r="B300" s="114"/>
      <x:c r="C300" s="114"/>
      <x:c r="D300" s="114"/>
      <x:c r="E300" s="114"/>
      <x:c r="F300" s="114"/>
      <x:c r="G300" s="114"/>
      <x:c r="H300" s="114"/>
      <x:c r="I300" s="114"/>
      <x:c r="J300" s="114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  <x:c r="Z300" s="12"/>
      <x:c r="AA300" s="12"/>
      <x:c r="AB300" s="12"/>
      <x:c r="AC300" s="12"/>
      <x:c r="AD300" s="12"/>
      <x:c r="AE300" s="12"/>
      <x:c r="AF300" s="12"/>
      <x:c r="AG300" s="12"/>
    </x:row>
    <x:row r="301" ht="14.25" customHeight="1">
      <x:c r="A301" s="114"/>
      <x:c r="B301" s="114"/>
      <x:c r="C301" s="114"/>
      <x:c r="D301" s="114"/>
      <x:c r="E301" s="114"/>
      <x:c r="F301" s="114"/>
      <x:c r="G301" s="114"/>
      <x:c r="H301" s="114"/>
      <x:c r="I301" s="114"/>
      <x:c r="J301" s="114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  <x:c r="Z301" s="12"/>
      <x:c r="AA301" s="12"/>
      <x:c r="AB301" s="12"/>
      <x:c r="AC301" s="12"/>
      <x:c r="AD301" s="12"/>
      <x:c r="AE301" s="12"/>
      <x:c r="AF301" s="12"/>
      <x:c r="AG301" s="12"/>
    </x:row>
    <x:row r="302" ht="14.25" customHeight="1">
      <x:c r="A302" s="114"/>
      <x:c r="B302" s="114"/>
      <x:c r="C302" s="114"/>
      <x:c r="D302" s="114"/>
      <x:c r="E302" s="114"/>
      <x:c r="F302" s="114"/>
      <x:c r="G302" s="114"/>
      <x:c r="H302" s="114"/>
      <x:c r="I302" s="114"/>
      <x:c r="J302" s="114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  <x:c r="Z302" s="12"/>
      <x:c r="AA302" s="12"/>
      <x:c r="AB302" s="12"/>
      <x:c r="AC302" s="12"/>
      <x:c r="AD302" s="12"/>
      <x:c r="AE302" s="12"/>
      <x:c r="AF302" s="12"/>
      <x:c r="AG302" s="12"/>
    </x:row>
    <x:row r="303" ht="14.25" customHeight="1">
      <x:c r="A303" s="114"/>
      <x:c r="B303" s="114"/>
      <x:c r="C303" s="114"/>
      <x:c r="D303" s="114"/>
      <x:c r="E303" s="114"/>
      <x:c r="F303" s="114"/>
      <x:c r="G303" s="114"/>
      <x:c r="H303" s="114"/>
      <x:c r="I303" s="114"/>
      <x:c r="J303" s="114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  <x:c r="Z303" s="12"/>
      <x:c r="AA303" s="12"/>
      <x:c r="AB303" s="12"/>
      <x:c r="AC303" s="12"/>
      <x:c r="AD303" s="12"/>
      <x:c r="AE303" s="12"/>
      <x:c r="AF303" s="12"/>
      <x:c r="AG303" s="12"/>
    </x:row>
    <x:row r="304" ht="14.25" customHeight="1">
      <x:c r="A304" s="114"/>
      <x:c r="B304" s="114"/>
      <x:c r="C304" s="114"/>
      <x:c r="D304" s="114"/>
      <x:c r="E304" s="114"/>
      <x:c r="F304" s="114"/>
      <x:c r="G304" s="114"/>
      <x:c r="H304" s="114"/>
      <x:c r="I304" s="114"/>
      <x:c r="J304" s="114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  <x:c r="Z304" s="12"/>
      <x:c r="AA304" s="12"/>
      <x:c r="AB304" s="12"/>
      <x:c r="AC304" s="12"/>
      <x:c r="AD304" s="12"/>
      <x:c r="AE304" s="12"/>
      <x:c r="AF304" s="12"/>
      <x:c r="AG304" s="12"/>
    </x:row>
    <x:row r="305" ht="14.25" customHeight="1">
      <x:c r="A305" s="114"/>
      <x:c r="B305" s="114"/>
      <x:c r="C305" s="114"/>
      <x:c r="D305" s="114"/>
      <x:c r="E305" s="114"/>
      <x:c r="F305" s="114"/>
      <x:c r="G305" s="114"/>
      <x:c r="H305" s="114"/>
      <x:c r="I305" s="114"/>
      <x:c r="J305" s="114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  <x:c r="Z305" s="12"/>
      <x:c r="AA305" s="12"/>
      <x:c r="AB305" s="12"/>
      <x:c r="AC305" s="12"/>
      <x:c r="AD305" s="12"/>
      <x:c r="AE305" s="12"/>
      <x:c r="AF305" s="12"/>
      <x:c r="AG305" s="12"/>
    </x:row>
    <x:row r="306" ht="14.25" customHeight="1">
      <x:c r="A306" s="114"/>
      <x:c r="B306" s="114"/>
      <x:c r="C306" s="114"/>
      <x:c r="D306" s="114"/>
      <x:c r="E306" s="114"/>
      <x:c r="F306" s="114"/>
      <x:c r="G306" s="114"/>
      <x:c r="H306" s="114"/>
      <x:c r="I306" s="114"/>
      <x:c r="J306" s="114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  <x:c r="Z306" s="12"/>
      <x:c r="AA306" s="12"/>
      <x:c r="AB306" s="12"/>
      <x:c r="AC306" s="12"/>
      <x:c r="AD306" s="12"/>
      <x:c r="AE306" s="12"/>
      <x:c r="AF306" s="12"/>
      <x:c r="AG306" s="12"/>
    </x:row>
    <x:row r="307" ht="14.25" customHeight="1">
      <x:c r="A307" s="114"/>
      <x:c r="B307" s="114"/>
      <x:c r="C307" s="114"/>
      <x:c r="D307" s="114"/>
      <x:c r="E307" s="114"/>
      <x:c r="F307" s="114"/>
      <x:c r="G307" s="114"/>
      <x:c r="H307" s="114"/>
      <x:c r="I307" s="114"/>
      <x:c r="J307" s="114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  <x:c r="Z307" s="12"/>
      <x:c r="AA307" s="12"/>
      <x:c r="AB307" s="12"/>
      <x:c r="AC307" s="12"/>
      <x:c r="AD307" s="12"/>
      <x:c r="AE307" s="12"/>
      <x:c r="AF307" s="12"/>
      <x:c r="AG307" s="12"/>
    </x:row>
    <x:row r="308" ht="14.25" customHeight="1">
      <x:c r="A308" s="114"/>
      <x:c r="B308" s="114"/>
      <x:c r="C308" s="114"/>
      <x:c r="D308" s="114"/>
      <x:c r="E308" s="114"/>
      <x:c r="F308" s="114"/>
      <x:c r="G308" s="114"/>
      <x:c r="H308" s="114"/>
      <x:c r="I308" s="114"/>
      <x:c r="J308" s="114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  <x:c r="Z308" s="12"/>
      <x:c r="AA308" s="12"/>
      <x:c r="AB308" s="12"/>
      <x:c r="AC308" s="12"/>
      <x:c r="AD308" s="12"/>
      <x:c r="AE308" s="12"/>
      <x:c r="AF308" s="12"/>
      <x:c r="AG308" s="12"/>
    </x:row>
    <x:row r="309" ht="14.25" customHeight="1">
      <x:c r="A309" s="114"/>
      <x:c r="B309" s="114"/>
      <x:c r="C309" s="114"/>
      <x:c r="D309" s="114"/>
      <x:c r="E309" s="114"/>
      <x:c r="F309" s="114"/>
      <x:c r="G309" s="114"/>
      <x:c r="H309" s="114"/>
      <x:c r="I309" s="114"/>
      <x:c r="J309" s="114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  <x:c r="Z309" s="12"/>
      <x:c r="AA309" s="12"/>
      <x:c r="AB309" s="12"/>
      <x:c r="AC309" s="12"/>
      <x:c r="AD309" s="12"/>
      <x:c r="AE309" s="12"/>
      <x:c r="AF309" s="12"/>
      <x:c r="AG309" s="12"/>
    </x:row>
    <x:row r="310" ht="14.25" customHeight="1">
      <x:c r="A310" s="114"/>
      <x:c r="B310" s="114"/>
      <x:c r="C310" s="114"/>
      <x:c r="D310" s="114"/>
      <x:c r="E310" s="114"/>
      <x:c r="F310" s="114"/>
      <x:c r="G310" s="114"/>
      <x:c r="H310" s="114"/>
      <x:c r="I310" s="114"/>
      <x:c r="J310" s="114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  <x:c r="Z310" s="12"/>
      <x:c r="AA310" s="12"/>
      <x:c r="AB310" s="12"/>
      <x:c r="AC310" s="12"/>
      <x:c r="AD310" s="12"/>
      <x:c r="AE310" s="12"/>
      <x:c r="AF310" s="12"/>
      <x:c r="AG310" s="12"/>
    </x:row>
    <x:row r="311" ht="14.25" customHeight="1">
      <x:c r="A311" s="114"/>
      <x:c r="B311" s="114"/>
      <x:c r="C311" s="114"/>
      <x:c r="D311" s="114"/>
      <x:c r="E311" s="114"/>
      <x:c r="F311" s="114"/>
      <x:c r="G311" s="114"/>
      <x:c r="H311" s="114"/>
      <x:c r="I311" s="114"/>
      <x:c r="J311" s="114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  <x:c r="Z311" s="12"/>
      <x:c r="AA311" s="12"/>
      <x:c r="AB311" s="12"/>
      <x:c r="AC311" s="12"/>
      <x:c r="AD311" s="12"/>
      <x:c r="AE311" s="12"/>
      <x:c r="AF311" s="12"/>
      <x:c r="AG311" s="12"/>
    </x:row>
    <x:row r="312" ht="14.25" customHeight="1">
      <x:c r="A312" s="114"/>
      <x:c r="B312" s="114"/>
      <x:c r="C312" s="114"/>
      <x:c r="D312" s="114"/>
      <x:c r="E312" s="114"/>
      <x:c r="F312" s="114"/>
      <x:c r="G312" s="114"/>
      <x:c r="H312" s="114"/>
      <x:c r="I312" s="114"/>
      <x:c r="J312" s="114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  <x:c r="Z312" s="12"/>
      <x:c r="AA312" s="12"/>
      <x:c r="AB312" s="12"/>
      <x:c r="AC312" s="12"/>
      <x:c r="AD312" s="12"/>
      <x:c r="AE312" s="12"/>
      <x:c r="AF312" s="12"/>
      <x:c r="AG312" s="12"/>
    </x:row>
    <x:row r="313" ht="14.25" customHeight="1">
      <x:c r="A313" s="114"/>
      <x:c r="B313" s="114"/>
      <x:c r="C313" s="114"/>
      <x:c r="D313" s="114"/>
      <x:c r="E313" s="114"/>
      <x:c r="F313" s="114"/>
      <x:c r="G313" s="114"/>
      <x:c r="H313" s="114"/>
      <x:c r="I313" s="114"/>
      <x:c r="J313" s="114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  <x:c r="Z313" s="12"/>
      <x:c r="AA313" s="12"/>
      <x:c r="AB313" s="12"/>
      <x:c r="AC313" s="12"/>
      <x:c r="AD313" s="12"/>
      <x:c r="AE313" s="12"/>
      <x:c r="AF313" s="12"/>
      <x:c r="AG313" s="12"/>
    </x:row>
    <x:row r="314" ht="14.25" customHeight="1">
      <x:c r="A314" s="114"/>
      <x:c r="B314" s="114"/>
      <x:c r="C314" s="114"/>
      <x:c r="D314" s="114"/>
      <x:c r="E314" s="114"/>
      <x:c r="F314" s="114"/>
      <x:c r="G314" s="114"/>
      <x:c r="H314" s="114"/>
      <x:c r="I314" s="114"/>
      <x:c r="J314" s="114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  <x:c r="Z314" s="12"/>
      <x:c r="AA314" s="12"/>
      <x:c r="AB314" s="12"/>
      <x:c r="AC314" s="12"/>
      <x:c r="AD314" s="12"/>
      <x:c r="AE314" s="12"/>
      <x:c r="AF314" s="12"/>
      <x:c r="AG314" s="12"/>
    </x:row>
    <x:row r="315" ht="14.25" customHeight="1">
      <x:c r="A315" s="114"/>
      <x:c r="B315" s="114"/>
      <x:c r="C315" s="114"/>
      <x:c r="D315" s="114"/>
      <x:c r="E315" s="114"/>
      <x:c r="F315" s="114"/>
      <x:c r="G315" s="114"/>
      <x:c r="H315" s="114"/>
      <x:c r="I315" s="114"/>
      <x:c r="J315" s="114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  <x:c r="Z315" s="12"/>
      <x:c r="AA315" s="12"/>
      <x:c r="AB315" s="12"/>
      <x:c r="AC315" s="12"/>
      <x:c r="AD315" s="12"/>
      <x:c r="AE315" s="12"/>
      <x:c r="AF315" s="12"/>
      <x:c r="AG315" s="12"/>
    </x:row>
    <x:row r="316" ht="14.25" customHeight="1">
      <x:c r="A316" s="114"/>
      <x:c r="B316" s="114"/>
      <x:c r="C316" s="114"/>
      <x:c r="D316" s="114"/>
      <x:c r="E316" s="114"/>
      <x:c r="F316" s="114"/>
      <x:c r="G316" s="114"/>
      <x:c r="H316" s="114"/>
      <x:c r="I316" s="114"/>
      <x:c r="J316" s="114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  <x:c r="Z316" s="12"/>
      <x:c r="AA316" s="12"/>
      <x:c r="AB316" s="12"/>
      <x:c r="AC316" s="12"/>
      <x:c r="AD316" s="12"/>
      <x:c r="AE316" s="12"/>
      <x:c r="AF316" s="12"/>
      <x:c r="AG316" s="12"/>
    </x:row>
    <x:row r="317" ht="14.25" customHeight="1">
      <x:c r="A317" s="114"/>
      <x:c r="B317" s="114"/>
      <x:c r="C317" s="114"/>
      <x:c r="D317" s="114"/>
      <x:c r="E317" s="114"/>
      <x:c r="F317" s="114"/>
      <x:c r="G317" s="114"/>
      <x:c r="H317" s="114"/>
      <x:c r="I317" s="114"/>
      <x:c r="J317" s="114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  <x:c r="Z317" s="12"/>
      <x:c r="AA317" s="12"/>
      <x:c r="AB317" s="12"/>
      <x:c r="AC317" s="12"/>
      <x:c r="AD317" s="12"/>
      <x:c r="AE317" s="12"/>
      <x:c r="AF317" s="12"/>
      <x:c r="AG317" s="12"/>
    </x:row>
    <x:row r="318" ht="14.25" customHeight="1">
      <x:c r="A318" s="114"/>
      <x:c r="B318" s="114"/>
      <x:c r="C318" s="114"/>
      <x:c r="D318" s="114"/>
      <x:c r="E318" s="114"/>
      <x:c r="F318" s="114"/>
      <x:c r="G318" s="114"/>
      <x:c r="H318" s="114"/>
      <x:c r="I318" s="114"/>
      <x:c r="J318" s="114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  <x:c r="Z318" s="12"/>
      <x:c r="AA318" s="12"/>
      <x:c r="AB318" s="12"/>
      <x:c r="AC318" s="12"/>
      <x:c r="AD318" s="12"/>
      <x:c r="AE318" s="12"/>
      <x:c r="AF318" s="12"/>
      <x:c r="AG318" s="12"/>
    </x:row>
    <x:row r="319" ht="14.25" customHeight="1">
      <x:c r="A319" s="114"/>
      <x:c r="B319" s="114"/>
      <x:c r="C319" s="114"/>
      <x:c r="D319" s="114"/>
      <x:c r="E319" s="114"/>
      <x:c r="F319" s="114"/>
      <x:c r="G319" s="114"/>
      <x:c r="H319" s="114"/>
      <x:c r="I319" s="114"/>
      <x:c r="J319" s="114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  <x:c r="Z319" s="12"/>
      <x:c r="AA319" s="12"/>
      <x:c r="AB319" s="12"/>
      <x:c r="AC319" s="12"/>
      <x:c r="AD319" s="12"/>
      <x:c r="AE319" s="12"/>
      <x:c r="AF319" s="12"/>
      <x:c r="AG319" s="12"/>
    </x:row>
    <x:row r="320" ht="14.25" customHeight="1">
      <x:c r="A320" s="114"/>
      <x:c r="B320" s="114"/>
      <x:c r="C320" s="114"/>
      <x:c r="D320" s="114"/>
      <x:c r="E320" s="114"/>
      <x:c r="F320" s="114"/>
      <x:c r="G320" s="114"/>
      <x:c r="H320" s="114"/>
      <x:c r="I320" s="114"/>
      <x:c r="J320" s="114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  <x:c r="Z320" s="12"/>
      <x:c r="AA320" s="12"/>
      <x:c r="AB320" s="12"/>
      <x:c r="AC320" s="12"/>
      <x:c r="AD320" s="12"/>
      <x:c r="AE320" s="12"/>
      <x:c r="AF320" s="12"/>
      <x:c r="AG320" s="12"/>
    </x:row>
    <x:row r="321" ht="14.25" customHeight="1">
      <x:c r="A321" s="114"/>
      <x:c r="B321" s="114"/>
      <x:c r="C321" s="114"/>
      <x:c r="D321" s="114"/>
      <x:c r="E321" s="114"/>
      <x:c r="F321" s="114"/>
      <x:c r="G321" s="114"/>
      <x:c r="H321" s="114"/>
      <x:c r="I321" s="114"/>
      <x:c r="J321" s="114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  <x:c r="Z321" s="12"/>
      <x:c r="AA321" s="12"/>
      <x:c r="AB321" s="12"/>
      <x:c r="AC321" s="12"/>
      <x:c r="AD321" s="12"/>
      <x:c r="AE321" s="12"/>
      <x:c r="AF321" s="12"/>
      <x:c r="AG321" s="12"/>
    </x:row>
    <x:row r="322" ht="14.25" customHeight="1">
      <x:c r="A322" s="114"/>
      <x:c r="B322" s="114"/>
      <x:c r="C322" s="114"/>
      <x:c r="D322" s="114"/>
      <x:c r="E322" s="114"/>
      <x:c r="F322" s="114"/>
      <x:c r="G322" s="114"/>
      <x:c r="H322" s="114"/>
      <x:c r="I322" s="114"/>
      <x:c r="J322" s="114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  <x:c r="Z322" s="12"/>
      <x:c r="AA322" s="12"/>
      <x:c r="AB322" s="12"/>
      <x:c r="AC322" s="12"/>
      <x:c r="AD322" s="12"/>
      <x:c r="AE322" s="12"/>
      <x:c r="AF322" s="12"/>
      <x:c r="AG322" s="12"/>
    </x:row>
    <x:row r="323" ht="14.25" customHeight="1">
      <x:c r="A323" s="114"/>
      <x:c r="B323" s="114"/>
      <x:c r="C323" s="114"/>
      <x:c r="D323" s="114"/>
      <x:c r="E323" s="114"/>
      <x:c r="F323" s="114"/>
      <x:c r="G323" s="114"/>
      <x:c r="H323" s="114"/>
      <x:c r="I323" s="114"/>
      <x:c r="J323" s="114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  <x:c r="Z323" s="12"/>
      <x:c r="AA323" s="12"/>
      <x:c r="AB323" s="12"/>
      <x:c r="AC323" s="12"/>
      <x:c r="AD323" s="12"/>
      <x:c r="AE323" s="12"/>
      <x:c r="AF323" s="12"/>
      <x:c r="AG323" s="12"/>
    </x:row>
    <x:row r="324" ht="14.25" customHeight="1">
      <x:c r="A324" s="114"/>
      <x:c r="B324" s="114"/>
      <x:c r="C324" s="114"/>
      <x:c r="D324" s="114"/>
      <x:c r="E324" s="114"/>
      <x:c r="F324" s="114"/>
      <x:c r="G324" s="114"/>
      <x:c r="H324" s="114"/>
      <x:c r="I324" s="114"/>
      <x:c r="J324" s="114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  <x:c r="Z324" s="12"/>
      <x:c r="AA324" s="12"/>
      <x:c r="AB324" s="12"/>
      <x:c r="AC324" s="12"/>
      <x:c r="AD324" s="12"/>
      <x:c r="AE324" s="12"/>
      <x:c r="AF324" s="12"/>
      <x:c r="AG324" s="12"/>
    </x:row>
    <x:row r="325" ht="14.25" customHeight="1">
      <x:c r="A325" s="114"/>
      <x:c r="B325" s="114"/>
      <x:c r="C325" s="114"/>
      <x:c r="D325" s="114"/>
      <x:c r="E325" s="114"/>
      <x:c r="F325" s="114"/>
      <x:c r="G325" s="114"/>
      <x:c r="H325" s="114"/>
      <x:c r="I325" s="114"/>
      <x:c r="J325" s="114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  <x:c r="Z325" s="12"/>
      <x:c r="AA325" s="12"/>
      <x:c r="AB325" s="12"/>
      <x:c r="AC325" s="12"/>
      <x:c r="AD325" s="12"/>
      <x:c r="AE325" s="12"/>
      <x:c r="AF325" s="12"/>
      <x:c r="AG325" s="12"/>
    </x:row>
    <x:row r="326" ht="14.25" customHeight="1">
      <x:c r="A326" s="114"/>
      <x:c r="B326" s="114"/>
      <x:c r="C326" s="114"/>
      <x:c r="D326" s="114"/>
      <x:c r="E326" s="114"/>
      <x:c r="F326" s="114"/>
      <x:c r="G326" s="114"/>
      <x:c r="H326" s="114"/>
      <x:c r="I326" s="114"/>
      <x:c r="J326" s="114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  <x:c r="Z326" s="12"/>
      <x:c r="AA326" s="12"/>
      <x:c r="AB326" s="12"/>
      <x:c r="AC326" s="12"/>
      <x:c r="AD326" s="12"/>
      <x:c r="AE326" s="12"/>
      <x:c r="AF326" s="12"/>
      <x:c r="AG326" s="12"/>
    </x:row>
    <x:row r="327" ht="14.25" customHeight="1">
      <x:c r="A327" s="114"/>
      <x:c r="B327" s="114"/>
      <x:c r="C327" s="114"/>
      <x:c r="D327" s="114"/>
      <x:c r="E327" s="114"/>
      <x:c r="F327" s="114"/>
      <x:c r="G327" s="114"/>
      <x:c r="H327" s="114"/>
      <x:c r="I327" s="114"/>
      <x:c r="J327" s="114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  <x:c r="Z327" s="12"/>
      <x:c r="AA327" s="12"/>
      <x:c r="AB327" s="12"/>
      <x:c r="AC327" s="12"/>
      <x:c r="AD327" s="12"/>
      <x:c r="AE327" s="12"/>
      <x:c r="AF327" s="12"/>
      <x:c r="AG327" s="12"/>
    </x:row>
    <x:row r="328" ht="14.25" customHeight="1">
      <x:c r="A328" s="114"/>
      <x:c r="B328" s="114"/>
      <x:c r="C328" s="114"/>
      <x:c r="D328" s="114"/>
      <x:c r="E328" s="114"/>
      <x:c r="F328" s="114"/>
      <x:c r="G328" s="114"/>
      <x:c r="H328" s="114"/>
      <x:c r="I328" s="114"/>
      <x:c r="J328" s="114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  <x:c r="Z328" s="12"/>
      <x:c r="AA328" s="12"/>
      <x:c r="AB328" s="12"/>
      <x:c r="AC328" s="12"/>
      <x:c r="AD328" s="12"/>
      <x:c r="AE328" s="12"/>
      <x:c r="AF328" s="12"/>
      <x:c r="AG328" s="12"/>
    </x:row>
    <x:row r="329" ht="14.25" customHeight="1">
      <x:c r="A329" s="114"/>
      <x:c r="B329" s="114"/>
      <x:c r="C329" s="114"/>
      <x:c r="D329" s="114"/>
      <x:c r="E329" s="114"/>
      <x:c r="F329" s="114"/>
      <x:c r="G329" s="114"/>
      <x:c r="H329" s="114"/>
      <x:c r="I329" s="114"/>
      <x:c r="J329" s="114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  <x:c r="Z329" s="12"/>
      <x:c r="AA329" s="12"/>
      <x:c r="AB329" s="12"/>
      <x:c r="AC329" s="12"/>
      <x:c r="AD329" s="12"/>
      <x:c r="AE329" s="12"/>
      <x:c r="AF329" s="12"/>
      <x:c r="AG329" s="12"/>
    </x:row>
    <x:row r="330" ht="14.25" customHeight="1">
      <x:c r="A330" s="114"/>
      <x:c r="B330" s="114"/>
      <x:c r="C330" s="114"/>
      <x:c r="D330" s="114"/>
      <x:c r="E330" s="114"/>
      <x:c r="F330" s="114"/>
      <x:c r="G330" s="114"/>
      <x:c r="H330" s="114"/>
      <x:c r="I330" s="114"/>
      <x:c r="J330" s="114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  <x:c r="Z330" s="12"/>
      <x:c r="AA330" s="12"/>
      <x:c r="AB330" s="12"/>
      <x:c r="AC330" s="12"/>
      <x:c r="AD330" s="12"/>
      <x:c r="AE330" s="12"/>
      <x:c r="AF330" s="12"/>
      <x:c r="AG330" s="12"/>
    </x:row>
    <x:row r="331" ht="14.25" customHeight="1">
      <x:c r="A331" s="114"/>
      <x:c r="B331" s="114"/>
      <x:c r="C331" s="114"/>
      <x:c r="D331" s="114"/>
      <x:c r="E331" s="114"/>
      <x:c r="F331" s="114"/>
      <x:c r="G331" s="114"/>
      <x:c r="H331" s="114"/>
      <x:c r="I331" s="114"/>
      <x:c r="J331" s="114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  <x:c r="Z331" s="12"/>
      <x:c r="AA331" s="12"/>
      <x:c r="AB331" s="12"/>
      <x:c r="AC331" s="12"/>
      <x:c r="AD331" s="12"/>
      <x:c r="AE331" s="12"/>
      <x:c r="AF331" s="12"/>
      <x:c r="AG331" s="12"/>
    </x:row>
    <x:row r="332" ht="14.25" customHeight="1">
      <x:c r="A332" s="114"/>
      <x:c r="B332" s="114"/>
      <x:c r="C332" s="114"/>
      <x:c r="D332" s="114"/>
      <x:c r="E332" s="114"/>
      <x:c r="F332" s="114"/>
      <x:c r="G332" s="114"/>
      <x:c r="H332" s="114"/>
      <x:c r="I332" s="114"/>
      <x:c r="J332" s="114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  <x:c r="Z332" s="12"/>
      <x:c r="AA332" s="12"/>
      <x:c r="AB332" s="12"/>
      <x:c r="AC332" s="12"/>
      <x:c r="AD332" s="12"/>
      <x:c r="AE332" s="12"/>
      <x:c r="AF332" s="12"/>
      <x:c r="AG332" s="12"/>
    </x:row>
    <x:row r="333" ht="14.25" customHeight="1">
      <x:c r="A333" s="114"/>
      <x:c r="B333" s="114"/>
      <x:c r="C333" s="114"/>
      <x:c r="D333" s="114"/>
      <x:c r="E333" s="114"/>
      <x:c r="F333" s="114"/>
      <x:c r="G333" s="114"/>
      <x:c r="H333" s="114"/>
      <x:c r="I333" s="114"/>
      <x:c r="J333" s="114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  <x:c r="Z333" s="12"/>
      <x:c r="AA333" s="12"/>
      <x:c r="AB333" s="12"/>
      <x:c r="AC333" s="12"/>
      <x:c r="AD333" s="12"/>
      <x:c r="AE333" s="12"/>
      <x:c r="AF333" s="12"/>
      <x:c r="AG333" s="12"/>
    </x:row>
    <x:row r="334" ht="14.25" customHeight="1">
      <x:c r="A334" s="114"/>
      <x:c r="B334" s="114"/>
      <x:c r="C334" s="114"/>
      <x:c r="D334" s="114"/>
      <x:c r="E334" s="114"/>
      <x:c r="F334" s="114"/>
      <x:c r="G334" s="114"/>
      <x:c r="H334" s="114"/>
      <x:c r="I334" s="114"/>
      <x:c r="J334" s="114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  <x:c r="Z334" s="12"/>
      <x:c r="AA334" s="12"/>
      <x:c r="AB334" s="12"/>
      <x:c r="AC334" s="12"/>
      <x:c r="AD334" s="12"/>
      <x:c r="AE334" s="12"/>
      <x:c r="AF334" s="12"/>
      <x:c r="AG334" s="12"/>
    </x:row>
    <x:row r="335" ht="14.25" customHeight="1">
      <x:c r="A335" s="114"/>
      <x:c r="B335" s="114"/>
      <x:c r="C335" s="114"/>
      <x:c r="D335" s="114"/>
      <x:c r="E335" s="114"/>
      <x:c r="F335" s="114"/>
      <x:c r="G335" s="114"/>
      <x:c r="H335" s="114"/>
      <x:c r="I335" s="114"/>
      <x:c r="J335" s="114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  <x:c r="Z335" s="12"/>
      <x:c r="AA335" s="12"/>
      <x:c r="AB335" s="12"/>
      <x:c r="AC335" s="12"/>
      <x:c r="AD335" s="12"/>
      <x:c r="AE335" s="12"/>
      <x:c r="AF335" s="12"/>
      <x:c r="AG335" s="12"/>
    </x:row>
    <x:row r="336" ht="14.25" customHeight="1">
      <x:c r="A336" s="114"/>
      <x:c r="B336" s="114"/>
      <x:c r="C336" s="114"/>
      <x:c r="D336" s="114"/>
      <x:c r="E336" s="114"/>
      <x:c r="F336" s="114"/>
      <x:c r="G336" s="114"/>
      <x:c r="H336" s="114"/>
      <x:c r="I336" s="114"/>
      <x:c r="J336" s="114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  <x:c r="Z336" s="12"/>
      <x:c r="AA336" s="12"/>
      <x:c r="AB336" s="12"/>
      <x:c r="AC336" s="12"/>
      <x:c r="AD336" s="12"/>
      <x:c r="AE336" s="12"/>
      <x:c r="AF336" s="12"/>
      <x:c r="AG336" s="12"/>
    </x:row>
    <x:row r="337" ht="14.25" customHeight="1">
      <x:c r="A337" s="114"/>
      <x:c r="B337" s="114"/>
      <x:c r="C337" s="114"/>
      <x:c r="D337" s="114"/>
      <x:c r="E337" s="114"/>
      <x:c r="F337" s="114"/>
      <x:c r="G337" s="114"/>
      <x:c r="H337" s="114"/>
      <x:c r="I337" s="114"/>
      <x:c r="J337" s="114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  <x:c r="Z337" s="12"/>
      <x:c r="AA337" s="12"/>
      <x:c r="AB337" s="12"/>
      <x:c r="AC337" s="12"/>
      <x:c r="AD337" s="12"/>
      <x:c r="AE337" s="12"/>
      <x:c r="AF337" s="12"/>
      <x:c r="AG337" s="12"/>
    </x:row>
    <x:row r="338" ht="14.25" customHeight="1">
      <x:c r="A338" s="114"/>
      <x:c r="B338" s="114"/>
      <x:c r="C338" s="114"/>
      <x:c r="D338" s="114"/>
      <x:c r="E338" s="114"/>
      <x:c r="F338" s="114"/>
      <x:c r="G338" s="114"/>
      <x:c r="H338" s="114"/>
      <x:c r="I338" s="114"/>
      <x:c r="J338" s="114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  <x:c r="Z338" s="12"/>
      <x:c r="AA338" s="12"/>
      <x:c r="AB338" s="12"/>
      <x:c r="AC338" s="12"/>
      <x:c r="AD338" s="12"/>
      <x:c r="AE338" s="12"/>
      <x:c r="AF338" s="12"/>
      <x:c r="AG338" s="12"/>
    </x:row>
    <x:row r="339" ht="14.25" customHeight="1">
      <x:c r="A339" s="114"/>
      <x:c r="B339" s="114"/>
      <x:c r="C339" s="114"/>
      <x:c r="D339" s="114"/>
      <x:c r="E339" s="114"/>
      <x:c r="F339" s="114"/>
      <x:c r="G339" s="114"/>
      <x:c r="H339" s="114"/>
      <x:c r="I339" s="114"/>
      <x:c r="J339" s="114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  <x:c r="Z339" s="12"/>
      <x:c r="AA339" s="12"/>
      <x:c r="AB339" s="12"/>
      <x:c r="AC339" s="12"/>
      <x:c r="AD339" s="12"/>
      <x:c r="AE339" s="12"/>
      <x:c r="AF339" s="12"/>
      <x:c r="AG339" s="12"/>
    </x:row>
    <x:row r="340" ht="14.25" customHeight="1">
      <x:c r="A340" s="114"/>
      <x:c r="B340" s="114"/>
      <x:c r="C340" s="114"/>
      <x:c r="D340" s="114"/>
      <x:c r="E340" s="114"/>
      <x:c r="F340" s="114"/>
      <x:c r="G340" s="114"/>
      <x:c r="H340" s="114"/>
      <x:c r="I340" s="114"/>
      <x:c r="J340" s="114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  <x:c r="Z340" s="12"/>
      <x:c r="AA340" s="12"/>
      <x:c r="AB340" s="12"/>
      <x:c r="AC340" s="12"/>
      <x:c r="AD340" s="12"/>
      <x:c r="AE340" s="12"/>
      <x:c r="AF340" s="12"/>
      <x:c r="AG340" s="12"/>
    </x:row>
    <x:row r="341" ht="14.25" customHeight="1">
      <x:c r="A341" s="114"/>
      <x:c r="B341" s="114"/>
      <x:c r="C341" s="114"/>
      <x:c r="D341" s="114"/>
      <x:c r="E341" s="114"/>
      <x:c r="F341" s="114"/>
      <x:c r="G341" s="114"/>
      <x:c r="H341" s="114"/>
      <x:c r="I341" s="114"/>
      <x:c r="J341" s="114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  <x:c r="Z341" s="12"/>
      <x:c r="AA341" s="12"/>
      <x:c r="AB341" s="12"/>
      <x:c r="AC341" s="12"/>
      <x:c r="AD341" s="12"/>
      <x:c r="AE341" s="12"/>
      <x:c r="AF341" s="12"/>
      <x:c r="AG341" s="12"/>
    </x:row>
    <x:row r="342" ht="14.25" customHeight="1">
      <x:c r="A342" s="114"/>
      <x:c r="B342" s="114"/>
      <x:c r="C342" s="114"/>
      <x:c r="D342" s="114"/>
      <x:c r="E342" s="114"/>
      <x:c r="F342" s="114"/>
      <x:c r="G342" s="114"/>
      <x:c r="H342" s="114"/>
      <x:c r="I342" s="114"/>
      <x:c r="J342" s="114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  <x:c r="Z342" s="12"/>
      <x:c r="AA342" s="12"/>
      <x:c r="AB342" s="12"/>
      <x:c r="AC342" s="12"/>
      <x:c r="AD342" s="12"/>
      <x:c r="AE342" s="12"/>
      <x:c r="AF342" s="12"/>
      <x:c r="AG342" s="12"/>
    </x:row>
    <x:row r="343" ht="14.25" customHeight="1">
      <x:c r="A343" s="114"/>
      <x:c r="B343" s="114"/>
      <x:c r="C343" s="114"/>
      <x:c r="D343" s="114"/>
      <x:c r="E343" s="114"/>
      <x:c r="F343" s="114"/>
      <x:c r="G343" s="114"/>
      <x:c r="H343" s="114"/>
      <x:c r="I343" s="114"/>
      <x:c r="J343" s="114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  <x:c r="Z343" s="12"/>
      <x:c r="AA343" s="12"/>
      <x:c r="AB343" s="12"/>
      <x:c r="AC343" s="12"/>
      <x:c r="AD343" s="12"/>
      <x:c r="AE343" s="12"/>
      <x:c r="AF343" s="12"/>
      <x:c r="AG343" s="12"/>
    </x:row>
    <x:row r="344" ht="14.25" customHeight="1">
      <x:c r="A344" s="114"/>
      <x:c r="B344" s="114"/>
      <x:c r="C344" s="114"/>
      <x:c r="D344" s="114"/>
      <x:c r="E344" s="114"/>
      <x:c r="F344" s="114"/>
      <x:c r="G344" s="114"/>
      <x:c r="H344" s="114"/>
      <x:c r="I344" s="114"/>
      <x:c r="J344" s="114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  <x:c r="Z344" s="12"/>
      <x:c r="AA344" s="12"/>
      <x:c r="AB344" s="12"/>
      <x:c r="AC344" s="12"/>
      <x:c r="AD344" s="12"/>
      <x:c r="AE344" s="12"/>
      <x:c r="AF344" s="12"/>
      <x:c r="AG344" s="12"/>
    </x:row>
    <x:row r="345" ht="14.25" customHeight="1">
      <x:c r="A345" s="114"/>
      <x:c r="B345" s="114"/>
      <x:c r="C345" s="114"/>
      <x:c r="D345" s="114"/>
      <x:c r="E345" s="114"/>
      <x:c r="F345" s="114"/>
      <x:c r="G345" s="114"/>
      <x:c r="H345" s="114"/>
      <x:c r="I345" s="114"/>
      <x:c r="J345" s="114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  <x:c r="Z345" s="12"/>
      <x:c r="AA345" s="12"/>
      <x:c r="AB345" s="12"/>
      <x:c r="AC345" s="12"/>
      <x:c r="AD345" s="12"/>
      <x:c r="AE345" s="12"/>
      <x:c r="AF345" s="12"/>
      <x:c r="AG345" s="12"/>
    </x:row>
    <x:row r="346" ht="14.25" customHeight="1">
      <x:c r="A346" s="114"/>
      <x:c r="B346" s="114"/>
      <x:c r="C346" s="114"/>
      <x:c r="D346" s="114"/>
      <x:c r="E346" s="114"/>
      <x:c r="F346" s="114"/>
      <x:c r="G346" s="114"/>
      <x:c r="H346" s="114"/>
      <x:c r="I346" s="114"/>
      <x:c r="J346" s="114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  <x:c r="Z346" s="12"/>
      <x:c r="AA346" s="12"/>
      <x:c r="AB346" s="12"/>
      <x:c r="AC346" s="12"/>
      <x:c r="AD346" s="12"/>
      <x:c r="AE346" s="12"/>
      <x:c r="AF346" s="12"/>
      <x:c r="AG346" s="12"/>
    </x:row>
    <x:row r="347" ht="14.25" customHeight="1">
      <x:c r="A347" s="114"/>
      <x:c r="B347" s="114"/>
      <x:c r="C347" s="114"/>
      <x:c r="D347" s="114"/>
      <x:c r="E347" s="114"/>
      <x:c r="F347" s="114"/>
      <x:c r="G347" s="114"/>
      <x:c r="H347" s="114"/>
      <x:c r="I347" s="114"/>
      <x:c r="J347" s="114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  <x:c r="Z347" s="12"/>
      <x:c r="AA347" s="12"/>
      <x:c r="AB347" s="12"/>
      <x:c r="AC347" s="12"/>
      <x:c r="AD347" s="12"/>
      <x:c r="AE347" s="12"/>
      <x:c r="AF347" s="12"/>
      <x:c r="AG347" s="12"/>
    </x:row>
    <x:row r="348" ht="14.25" customHeight="1">
      <x:c r="A348" s="114"/>
      <x:c r="B348" s="114"/>
      <x:c r="C348" s="114"/>
      <x:c r="D348" s="114"/>
      <x:c r="E348" s="114"/>
      <x:c r="F348" s="114"/>
      <x:c r="G348" s="114"/>
      <x:c r="H348" s="114"/>
      <x:c r="I348" s="114"/>
      <x:c r="J348" s="114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  <x:c r="Z348" s="12"/>
      <x:c r="AA348" s="12"/>
      <x:c r="AB348" s="12"/>
      <x:c r="AC348" s="12"/>
      <x:c r="AD348" s="12"/>
      <x:c r="AE348" s="12"/>
      <x:c r="AF348" s="12"/>
      <x:c r="AG348" s="12"/>
    </x:row>
    <x:row r="349" ht="14.25" customHeight="1">
      <x:c r="A349" s="114"/>
      <x:c r="B349" s="114"/>
      <x:c r="C349" s="114"/>
      <x:c r="D349" s="114"/>
      <x:c r="E349" s="114"/>
      <x:c r="F349" s="114"/>
      <x:c r="G349" s="114"/>
      <x:c r="H349" s="114"/>
      <x:c r="I349" s="114"/>
      <x:c r="J349" s="114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  <x:c r="Z349" s="12"/>
      <x:c r="AA349" s="12"/>
      <x:c r="AB349" s="12"/>
      <x:c r="AC349" s="12"/>
      <x:c r="AD349" s="12"/>
      <x:c r="AE349" s="12"/>
      <x:c r="AF349" s="12"/>
      <x:c r="AG349" s="12"/>
    </x:row>
    <x:row r="350" ht="14.25" customHeight="1">
      <x:c r="A350" s="114"/>
      <x:c r="B350" s="114"/>
      <x:c r="C350" s="114"/>
      <x:c r="D350" s="114"/>
      <x:c r="E350" s="114"/>
      <x:c r="F350" s="114"/>
      <x:c r="G350" s="114"/>
      <x:c r="H350" s="114"/>
      <x:c r="I350" s="114"/>
      <x:c r="J350" s="114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  <x:c r="Z350" s="12"/>
      <x:c r="AA350" s="12"/>
      <x:c r="AB350" s="12"/>
      <x:c r="AC350" s="12"/>
      <x:c r="AD350" s="12"/>
      <x:c r="AE350" s="12"/>
      <x:c r="AF350" s="12"/>
      <x:c r="AG350" s="12"/>
    </x:row>
    <x:row r="351" ht="14.25" customHeight="1">
      <x:c r="A351" s="114"/>
      <x:c r="B351" s="114"/>
      <x:c r="C351" s="114"/>
      <x:c r="D351" s="114"/>
      <x:c r="E351" s="114"/>
      <x:c r="F351" s="114"/>
      <x:c r="G351" s="114"/>
      <x:c r="H351" s="114"/>
      <x:c r="I351" s="114"/>
      <x:c r="J351" s="114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  <x:c r="Z351" s="12"/>
      <x:c r="AA351" s="12"/>
      <x:c r="AB351" s="12"/>
      <x:c r="AC351" s="12"/>
      <x:c r="AD351" s="12"/>
      <x:c r="AE351" s="12"/>
      <x:c r="AF351" s="12"/>
      <x:c r="AG351" s="12"/>
    </x:row>
    <x:row r="352" ht="14.25" customHeight="1">
      <x:c r="A352" s="114"/>
      <x:c r="B352" s="114"/>
      <x:c r="C352" s="114"/>
      <x:c r="D352" s="114"/>
      <x:c r="E352" s="114"/>
      <x:c r="F352" s="114"/>
      <x:c r="G352" s="114"/>
      <x:c r="H352" s="114"/>
      <x:c r="I352" s="114"/>
      <x:c r="J352" s="114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  <x:c r="Z352" s="12"/>
      <x:c r="AA352" s="12"/>
      <x:c r="AB352" s="12"/>
      <x:c r="AC352" s="12"/>
      <x:c r="AD352" s="12"/>
      <x:c r="AE352" s="12"/>
      <x:c r="AF352" s="12"/>
      <x:c r="AG352" s="12"/>
    </x:row>
    <x:row r="353" ht="14.25" customHeight="1">
      <x:c r="A353" s="114"/>
      <x:c r="B353" s="114"/>
      <x:c r="C353" s="114"/>
      <x:c r="D353" s="114"/>
      <x:c r="E353" s="114"/>
      <x:c r="F353" s="114"/>
      <x:c r="G353" s="114"/>
      <x:c r="H353" s="114"/>
      <x:c r="I353" s="114"/>
      <x:c r="J353" s="114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  <x:c r="Z353" s="12"/>
      <x:c r="AA353" s="12"/>
      <x:c r="AB353" s="12"/>
      <x:c r="AC353" s="12"/>
      <x:c r="AD353" s="12"/>
      <x:c r="AE353" s="12"/>
      <x:c r="AF353" s="12"/>
      <x:c r="AG353" s="12"/>
    </x:row>
    <x:row r="354" ht="14.25" customHeight="1">
      <x:c r="A354" s="114"/>
      <x:c r="B354" s="114"/>
      <x:c r="C354" s="114"/>
      <x:c r="D354" s="114"/>
      <x:c r="E354" s="114"/>
      <x:c r="F354" s="114"/>
      <x:c r="G354" s="114"/>
      <x:c r="H354" s="114"/>
      <x:c r="I354" s="114"/>
      <x:c r="J354" s="114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  <x:c r="Z354" s="12"/>
      <x:c r="AA354" s="12"/>
      <x:c r="AB354" s="12"/>
      <x:c r="AC354" s="12"/>
      <x:c r="AD354" s="12"/>
      <x:c r="AE354" s="12"/>
      <x:c r="AF354" s="12"/>
      <x:c r="AG354" s="12"/>
    </x:row>
    <x:row r="355" ht="14.25" customHeight="1">
      <x:c r="A355" s="114"/>
      <x:c r="B355" s="114"/>
      <x:c r="C355" s="114"/>
      <x:c r="D355" s="114"/>
      <x:c r="E355" s="114"/>
      <x:c r="F355" s="114"/>
      <x:c r="G355" s="114"/>
      <x:c r="H355" s="114"/>
      <x:c r="I355" s="114"/>
      <x:c r="J355" s="114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  <x:c r="Z355" s="12"/>
      <x:c r="AA355" s="12"/>
      <x:c r="AB355" s="12"/>
      <x:c r="AC355" s="12"/>
      <x:c r="AD355" s="12"/>
      <x:c r="AE355" s="12"/>
      <x:c r="AF355" s="12"/>
      <x:c r="AG355" s="12"/>
    </x:row>
    <x:row r="356" ht="14.25" customHeight="1">
      <x:c r="A356" s="114"/>
      <x:c r="B356" s="114"/>
      <x:c r="C356" s="114"/>
      <x:c r="D356" s="114"/>
      <x:c r="E356" s="114"/>
      <x:c r="F356" s="114"/>
      <x:c r="G356" s="114"/>
      <x:c r="H356" s="114"/>
      <x:c r="I356" s="114"/>
      <x:c r="J356" s="114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  <x:c r="Z356" s="12"/>
      <x:c r="AA356" s="12"/>
      <x:c r="AB356" s="12"/>
      <x:c r="AC356" s="12"/>
      <x:c r="AD356" s="12"/>
      <x:c r="AE356" s="12"/>
      <x:c r="AF356" s="12"/>
      <x:c r="AG356" s="12"/>
    </x:row>
    <x:row r="357" ht="14.25" customHeight="1">
      <x:c r="A357" s="114"/>
      <x:c r="B357" s="114"/>
      <x:c r="C357" s="114"/>
      <x:c r="D357" s="114"/>
      <x:c r="E357" s="114"/>
      <x:c r="F357" s="114"/>
      <x:c r="G357" s="114"/>
      <x:c r="H357" s="114"/>
      <x:c r="I357" s="114"/>
      <x:c r="J357" s="114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  <x:c r="Z357" s="12"/>
      <x:c r="AA357" s="12"/>
      <x:c r="AB357" s="12"/>
      <x:c r="AC357" s="12"/>
      <x:c r="AD357" s="12"/>
      <x:c r="AE357" s="12"/>
      <x:c r="AF357" s="12"/>
      <x:c r="AG357" s="12"/>
    </x:row>
    <x:row r="358" ht="14.25" customHeight="1">
      <x:c r="A358" s="114"/>
      <x:c r="B358" s="114"/>
      <x:c r="C358" s="114"/>
      <x:c r="D358" s="114"/>
      <x:c r="E358" s="114"/>
      <x:c r="F358" s="114"/>
      <x:c r="G358" s="114"/>
      <x:c r="H358" s="114"/>
      <x:c r="I358" s="114"/>
      <x:c r="J358" s="114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  <x:c r="Z358" s="12"/>
      <x:c r="AA358" s="12"/>
      <x:c r="AB358" s="12"/>
      <x:c r="AC358" s="12"/>
      <x:c r="AD358" s="12"/>
      <x:c r="AE358" s="12"/>
      <x:c r="AF358" s="12"/>
      <x:c r="AG358" s="12"/>
    </x:row>
    <x:row r="359" ht="14.25" customHeight="1">
      <x:c r="A359" s="114"/>
      <x:c r="B359" s="114"/>
      <x:c r="C359" s="114"/>
      <x:c r="D359" s="114"/>
      <x:c r="E359" s="114"/>
      <x:c r="F359" s="114"/>
      <x:c r="G359" s="114"/>
      <x:c r="H359" s="114"/>
      <x:c r="I359" s="114"/>
      <x:c r="J359" s="114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  <x:c r="Z359" s="12"/>
      <x:c r="AA359" s="12"/>
      <x:c r="AB359" s="12"/>
      <x:c r="AC359" s="12"/>
      <x:c r="AD359" s="12"/>
      <x:c r="AE359" s="12"/>
      <x:c r="AF359" s="12"/>
      <x:c r="AG359" s="12"/>
    </x:row>
    <x:row r="360" ht="14.25" customHeight="1">
      <x:c r="A360" s="114"/>
      <x:c r="B360" s="114"/>
      <x:c r="C360" s="114"/>
      <x:c r="D360" s="114"/>
      <x:c r="E360" s="114"/>
      <x:c r="F360" s="114"/>
      <x:c r="G360" s="114"/>
      <x:c r="H360" s="114"/>
      <x:c r="I360" s="114"/>
      <x:c r="J360" s="114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  <x:c r="Z360" s="12"/>
      <x:c r="AA360" s="12"/>
      <x:c r="AB360" s="12"/>
      <x:c r="AC360" s="12"/>
      <x:c r="AD360" s="12"/>
      <x:c r="AE360" s="12"/>
      <x:c r="AF360" s="12"/>
      <x:c r="AG360" s="12"/>
    </x:row>
    <x:row r="361" ht="14.25" customHeight="1">
      <x:c r="A361" s="114"/>
      <x:c r="B361" s="114"/>
      <x:c r="C361" s="114"/>
      <x:c r="D361" s="114"/>
      <x:c r="E361" s="114"/>
      <x:c r="F361" s="114"/>
      <x:c r="G361" s="114"/>
      <x:c r="H361" s="114"/>
      <x:c r="I361" s="114"/>
      <x:c r="J361" s="114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  <x:c r="Z361" s="12"/>
      <x:c r="AA361" s="12"/>
      <x:c r="AB361" s="12"/>
      <x:c r="AC361" s="12"/>
      <x:c r="AD361" s="12"/>
      <x:c r="AE361" s="12"/>
      <x:c r="AF361" s="12"/>
      <x:c r="AG361" s="12"/>
    </x:row>
    <x:row r="362" ht="14.25" customHeight="1">
      <x:c r="A362" s="114"/>
      <x:c r="B362" s="114"/>
      <x:c r="C362" s="114"/>
      <x:c r="D362" s="114"/>
      <x:c r="E362" s="114"/>
      <x:c r="F362" s="114"/>
      <x:c r="G362" s="114"/>
      <x:c r="H362" s="114"/>
      <x:c r="I362" s="114"/>
      <x:c r="J362" s="114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  <x:c r="Z362" s="12"/>
      <x:c r="AA362" s="12"/>
      <x:c r="AB362" s="12"/>
      <x:c r="AC362" s="12"/>
      <x:c r="AD362" s="12"/>
      <x:c r="AE362" s="12"/>
      <x:c r="AF362" s="12"/>
      <x:c r="AG362" s="12"/>
    </x:row>
    <x:row r="363" ht="14.25" customHeight="1">
      <x:c r="A363" s="114"/>
      <x:c r="B363" s="114"/>
      <x:c r="C363" s="114"/>
      <x:c r="D363" s="114"/>
      <x:c r="E363" s="114"/>
      <x:c r="F363" s="114"/>
      <x:c r="G363" s="114"/>
      <x:c r="H363" s="114"/>
      <x:c r="I363" s="114"/>
      <x:c r="J363" s="114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  <x:c r="Z363" s="12"/>
      <x:c r="AA363" s="12"/>
      <x:c r="AB363" s="12"/>
      <x:c r="AC363" s="12"/>
      <x:c r="AD363" s="12"/>
      <x:c r="AE363" s="12"/>
      <x:c r="AF363" s="12"/>
      <x:c r="AG363" s="12"/>
    </x:row>
    <x:row r="364" ht="14.25" customHeight="1">
      <x:c r="A364" s="114"/>
      <x:c r="B364" s="114"/>
      <x:c r="C364" s="114"/>
      <x:c r="D364" s="114"/>
      <x:c r="E364" s="114"/>
      <x:c r="F364" s="114"/>
      <x:c r="G364" s="114"/>
      <x:c r="H364" s="114"/>
      <x:c r="I364" s="114"/>
      <x:c r="J364" s="114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  <x:c r="Z364" s="12"/>
      <x:c r="AA364" s="12"/>
      <x:c r="AB364" s="12"/>
      <x:c r="AC364" s="12"/>
      <x:c r="AD364" s="12"/>
      <x:c r="AE364" s="12"/>
      <x:c r="AF364" s="12"/>
      <x:c r="AG364" s="12"/>
    </x:row>
    <x:row r="365" ht="14.25" customHeight="1">
      <x:c r="A365" s="114"/>
      <x:c r="B365" s="114"/>
      <x:c r="C365" s="114"/>
      <x:c r="D365" s="114"/>
      <x:c r="E365" s="114"/>
      <x:c r="F365" s="114"/>
      <x:c r="G365" s="114"/>
      <x:c r="H365" s="114"/>
      <x:c r="I365" s="114"/>
      <x:c r="J365" s="114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  <x:c r="Z365" s="12"/>
      <x:c r="AA365" s="12"/>
      <x:c r="AB365" s="12"/>
      <x:c r="AC365" s="12"/>
      <x:c r="AD365" s="12"/>
      <x:c r="AE365" s="12"/>
      <x:c r="AF365" s="12"/>
      <x:c r="AG365" s="12"/>
    </x:row>
    <x:row r="366" ht="14.25" customHeight="1">
      <x:c r="A366" s="114"/>
      <x:c r="B366" s="114"/>
      <x:c r="C366" s="114"/>
      <x:c r="D366" s="114"/>
      <x:c r="E366" s="114"/>
      <x:c r="F366" s="114"/>
      <x:c r="G366" s="114"/>
      <x:c r="H366" s="114"/>
      <x:c r="I366" s="114"/>
      <x:c r="J366" s="114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  <x:c r="Z366" s="12"/>
      <x:c r="AA366" s="12"/>
      <x:c r="AB366" s="12"/>
      <x:c r="AC366" s="12"/>
      <x:c r="AD366" s="12"/>
      <x:c r="AE366" s="12"/>
      <x:c r="AF366" s="12"/>
      <x:c r="AG366" s="12"/>
    </x:row>
    <x:row r="367" ht="14.25" customHeight="1">
      <x:c r="A367" s="114"/>
      <x:c r="B367" s="114"/>
      <x:c r="C367" s="114"/>
      <x:c r="D367" s="114"/>
      <x:c r="E367" s="114"/>
      <x:c r="F367" s="114"/>
      <x:c r="G367" s="114"/>
      <x:c r="H367" s="114"/>
      <x:c r="I367" s="114"/>
      <x:c r="J367" s="114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  <x:c r="Z367" s="12"/>
      <x:c r="AA367" s="12"/>
      <x:c r="AB367" s="12"/>
      <x:c r="AC367" s="12"/>
      <x:c r="AD367" s="12"/>
      <x:c r="AE367" s="12"/>
      <x:c r="AF367" s="12"/>
      <x:c r="AG367" s="12"/>
    </x:row>
    <x:row r="368" ht="14.25" customHeight="1">
      <x:c r="A368" s="114"/>
      <x:c r="B368" s="114"/>
      <x:c r="C368" s="114"/>
      <x:c r="D368" s="114"/>
      <x:c r="E368" s="114"/>
      <x:c r="F368" s="114"/>
      <x:c r="G368" s="114"/>
      <x:c r="H368" s="114"/>
      <x:c r="I368" s="114"/>
      <x:c r="J368" s="114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  <x:c r="Z368" s="12"/>
      <x:c r="AA368" s="12"/>
      <x:c r="AB368" s="12"/>
      <x:c r="AC368" s="12"/>
      <x:c r="AD368" s="12"/>
      <x:c r="AE368" s="12"/>
      <x:c r="AF368" s="12"/>
      <x:c r="AG368" s="12"/>
    </x:row>
    <x:row r="369" ht="14.25" customHeight="1">
      <x:c r="A369" s="114"/>
      <x:c r="B369" s="114"/>
      <x:c r="C369" s="114"/>
      <x:c r="D369" s="114"/>
      <x:c r="E369" s="114"/>
      <x:c r="F369" s="114"/>
      <x:c r="G369" s="114"/>
      <x:c r="H369" s="114"/>
      <x:c r="I369" s="114"/>
      <x:c r="J369" s="114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  <x:c r="Z369" s="12"/>
      <x:c r="AA369" s="12"/>
      <x:c r="AB369" s="12"/>
      <x:c r="AC369" s="12"/>
      <x:c r="AD369" s="12"/>
      <x:c r="AE369" s="12"/>
      <x:c r="AF369" s="12"/>
      <x:c r="AG369" s="12"/>
    </x:row>
    <x:row r="370" ht="14.25" customHeight="1">
      <x:c r="A370" s="114"/>
      <x:c r="B370" s="114"/>
      <x:c r="C370" s="114"/>
      <x:c r="D370" s="114"/>
      <x:c r="E370" s="114"/>
      <x:c r="F370" s="114"/>
      <x:c r="G370" s="114"/>
      <x:c r="H370" s="114"/>
      <x:c r="I370" s="114"/>
      <x:c r="J370" s="114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  <x:c r="Z370" s="12"/>
      <x:c r="AA370" s="12"/>
      <x:c r="AB370" s="12"/>
      <x:c r="AC370" s="12"/>
      <x:c r="AD370" s="12"/>
      <x:c r="AE370" s="12"/>
      <x:c r="AF370" s="12"/>
      <x:c r="AG370" s="12"/>
    </x:row>
    <x:row r="371" ht="14.25" customHeight="1">
      <x:c r="A371" s="114"/>
      <x:c r="B371" s="114"/>
      <x:c r="C371" s="114"/>
      <x:c r="D371" s="114"/>
      <x:c r="E371" s="114"/>
      <x:c r="F371" s="114"/>
      <x:c r="G371" s="114"/>
      <x:c r="H371" s="114"/>
      <x:c r="I371" s="114"/>
      <x:c r="J371" s="114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  <x:c r="Z371" s="12"/>
      <x:c r="AA371" s="12"/>
      <x:c r="AB371" s="12"/>
      <x:c r="AC371" s="12"/>
      <x:c r="AD371" s="12"/>
      <x:c r="AE371" s="12"/>
      <x:c r="AF371" s="12"/>
      <x:c r="AG371" s="12"/>
    </x:row>
    <x:row r="372" ht="14.25" customHeight="1">
      <x:c r="A372" s="114"/>
      <x:c r="B372" s="114"/>
      <x:c r="C372" s="114"/>
      <x:c r="D372" s="114"/>
      <x:c r="E372" s="114"/>
      <x:c r="F372" s="114"/>
      <x:c r="G372" s="114"/>
      <x:c r="H372" s="114"/>
      <x:c r="I372" s="114"/>
      <x:c r="J372" s="114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  <x:c r="Z372" s="12"/>
      <x:c r="AA372" s="12"/>
      <x:c r="AB372" s="12"/>
      <x:c r="AC372" s="12"/>
      <x:c r="AD372" s="12"/>
      <x:c r="AE372" s="12"/>
      <x:c r="AF372" s="12"/>
      <x:c r="AG372" s="12"/>
    </x:row>
    <x:row r="373" ht="14.25" customHeight="1">
      <x:c r="A373" s="114"/>
      <x:c r="B373" s="114"/>
      <x:c r="C373" s="114"/>
      <x:c r="D373" s="114"/>
      <x:c r="E373" s="114"/>
      <x:c r="F373" s="114"/>
      <x:c r="G373" s="114"/>
      <x:c r="H373" s="114"/>
      <x:c r="I373" s="114"/>
      <x:c r="J373" s="114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  <x:c r="Z373" s="12"/>
      <x:c r="AA373" s="12"/>
      <x:c r="AB373" s="12"/>
      <x:c r="AC373" s="12"/>
      <x:c r="AD373" s="12"/>
      <x:c r="AE373" s="12"/>
      <x:c r="AF373" s="12"/>
      <x:c r="AG373" s="12"/>
    </x:row>
    <x:row r="374" ht="14.25" customHeight="1">
      <x:c r="A374" s="114"/>
      <x:c r="B374" s="114"/>
      <x:c r="C374" s="114"/>
      <x:c r="D374" s="114"/>
      <x:c r="E374" s="114"/>
      <x:c r="F374" s="114"/>
      <x:c r="G374" s="114"/>
      <x:c r="H374" s="114"/>
      <x:c r="I374" s="114"/>
      <x:c r="J374" s="114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  <x:c r="Z374" s="12"/>
      <x:c r="AA374" s="12"/>
      <x:c r="AB374" s="12"/>
      <x:c r="AC374" s="12"/>
      <x:c r="AD374" s="12"/>
      <x:c r="AE374" s="12"/>
      <x:c r="AF374" s="12"/>
      <x:c r="AG374" s="12"/>
    </x:row>
    <x:row r="375" ht="14.25" customHeight="1">
      <x:c r="A375" s="114"/>
      <x:c r="B375" s="114"/>
      <x:c r="C375" s="114"/>
      <x:c r="D375" s="114"/>
      <x:c r="E375" s="114"/>
      <x:c r="F375" s="114"/>
      <x:c r="G375" s="114"/>
      <x:c r="H375" s="114"/>
      <x:c r="I375" s="114"/>
      <x:c r="J375" s="114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  <x:c r="Z375" s="12"/>
      <x:c r="AA375" s="12"/>
      <x:c r="AB375" s="12"/>
      <x:c r="AC375" s="12"/>
      <x:c r="AD375" s="12"/>
      <x:c r="AE375" s="12"/>
      <x:c r="AF375" s="12"/>
      <x:c r="AG375" s="12"/>
    </x:row>
    <x:row r="376" ht="14.25" customHeight="1">
      <x:c r="A376" s="114"/>
      <x:c r="B376" s="114"/>
      <x:c r="C376" s="114"/>
      <x:c r="D376" s="114"/>
      <x:c r="E376" s="114"/>
      <x:c r="F376" s="114"/>
      <x:c r="G376" s="114"/>
      <x:c r="H376" s="114"/>
      <x:c r="I376" s="114"/>
      <x:c r="J376" s="114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  <x:c r="Z376" s="12"/>
      <x:c r="AA376" s="12"/>
      <x:c r="AB376" s="12"/>
      <x:c r="AC376" s="12"/>
      <x:c r="AD376" s="12"/>
      <x:c r="AE376" s="12"/>
      <x:c r="AF376" s="12"/>
      <x:c r="AG376" s="12"/>
    </x:row>
    <x:row r="377" ht="14.25" customHeight="1">
      <x:c r="A377" s="114"/>
      <x:c r="B377" s="114"/>
      <x:c r="C377" s="114"/>
      <x:c r="D377" s="114"/>
      <x:c r="E377" s="114"/>
      <x:c r="F377" s="114"/>
      <x:c r="G377" s="114"/>
      <x:c r="H377" s="114"/>
      <x:c r="I377" s="114"/>
      <x:c r="J377" s="114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  <x:c r="Z377" s="12"/>
      <x:c r="AA377" s="12"/>
      <x:c r="AB377" s="12"/>
      <x:c r="AC377" s="12"/>
      <x:c r="AD377" s="12"/>
      <x:c r="AE377" s="12"/>
      <x:c r="AF377" s="12"/>
      <x:c r="AG377" s="12"/>
    </x:row>
    <x:row r="378" ht="14.25" customHeight="1">
      <x:c r="A378" s="114"/>
      <x:c r="B378" s="114"/>
      <x:c r="C378" s="114"/>
      <x:c r="D378" s="114"/>
      <x:c r="E378" s="114"/>
      <x:c r="F378" s="114"/>
      <x:c r="G378" s="114"/>
      <x:c r="H378" s="114"/>
      <x:c r="I378" s="114"/>
      <x:c r="J378" s="114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  <x:c r="Z378" s="12"/>
      <x:c r="AA378" s="12"/>
      <x:c r="AB378" s="12"/>
      <x:c r="AC378" s="12"/>
      <x:c r="AD378" s="12"/>
      <x:c r="AE378" s="12"/>
      <x:c r="AF378" s="12"/>
      <x:c r="AG378" s="12"/>
    </x:row>
    <x:row r="379" ht="14.25" customHeight="1">
      <x:c r="A379" s="114"/>
      <x:c r="B379" s="114"/>
      <x:c r="C379" s="114"/>
      <x:c r="D379" s="114"/>
      <x:c r="E379" s="114"/>
      <x:c r="F379" s="114"/>
      <x:c r="G379" s="114"/>
      <x:c r="H379" s="114"/>
      <x:c r="I379" s="114"/>
      <x:c r="J379" s="114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  <x:c r="Z379" s="12"/>
      <x:c r="AA379" s="12"/>
      <x:c r="AB379" s="12"/>
      <x:c r="AC379" s="12"/>
      <x:c r="AD379" s="12"/>
      <x:c r="AE379" s="12"/>
      <x:c r="AF379" s="12"/>
      <x:c r="AG379" s="12"/>
    </x:row>
    <x:row r="380" ht="14.25" customHeight="1">
      <x:c r="A380" s="114"/>
      <x:c r="B380" s="114"/>
      <x:c r="C380" s="114"/>
      <x:c r="D380" s="114"/>
      <x:c r="E380" s="114"/>
      <x:c r="F380" s="114"/>
      <x:c r="G380" s="114"/>
      <x:c r="H380" s="114"/>
      <x:c r="I380" s="114"/>
      <x:c r="J380" s="114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  <x:c r="Z380" s="12"/>
      <x:c r="AA380" s="12"/>
      <x:c r="AB380" s="12"/>
      <x:c r="AC380" s="12"/>
      <x:c r="AD380" s="12"/>
      <x:c r="AE380" s="12"/>
      <x:c r="AF380" s="12"/>
      <x:c r="AG380" s="12"/>
    </x:row>
    <x:row r="381" ht="14.25" customHeight="1">
      <x:c r="A381" s="114"/>
      <x:c r="B381" s="114"/>
      <x:c r="C381" s="114"/>
      <x:c r="D381" s="114"/>
      <x:c r="E381" s="114"/>
      <x:c r="F381" s="114"/>
      <x:c r="G381" s="114"/>
      <x:c r="H381" s="114"/>
      <x:c r="I381" s="114"/>
      <x:c r="J381" s="114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  <x:c r="Z381" s="12"/>
      <x:c r="AA381" s="12"/>
      <x:c r="AB381" s="12"/>
      <x:c r="AC381" s="12"/>
      <x:c r="AD381" s="12"/>
      <x:c r="AE381" s="12"/>
      <x:c r="AF381" s="12"/>
      <x:c r="AG381" s="12"/>
    </x:row>
    <x:row r="382" ht="14.25" customHeight="1">
      <x:c r="A382" s="114"/>
      <x:c r="B382" s="114"/>
      <x:c r="C382" s="114"/>
      <x:c r="D382" s="114"/>
      <x:c r="E382" s="114"/>
      <x:c r="F382" s="114"/>
      <x:c r="G382" s="114"/>
      <x:c r="H382" s="114"/>
      <x:c r="I382" s="114"/>
      <x:c r="J382" s="114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  <x:c r="Z382" s="12"/>
      <x:c r="AA382" s="12"/>
      <x:c r="AB382" s="12"/>
      <x:c r="AC382" s="12"/>
      <x:c r="AD382" s="12"/>
      <x:c r="AE382" s="12"/>
      <x:c r="AF382" s="12"/>
      <x:c r="AG382" s="12"/>
    </x:row>
    <x:row r="383" ht="14.25" customHeight="1">
      <x:c r="A383" s="114"/>
      <x:c r="B383" s="114"/>
      <x:c r="C383" s="114"/>
      <x:c r="D383" s="114"/>
      <x:c r="E383" s="114"/>
      <x:c r="F383" s="114"/>
      <x:c r="G383" s="114"/>
      <x:c r="H383" s="114"/>
      <x:c r="I383" s="114"/>
      <x:c r="J383" s="114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  <x:c r="Z383" s="12"/>
      <x:c r="AA383" s="12"/>
      <x:c r="AB383" s="12"/>
      <x:c r="AC383" s="12"/>
      <x:c r="AD383" s="12"/>
      <x:c r="AE383" s="12"/>
      <x:c r="AF383" s="12"/>
      <x:c r="AG383" s="12"/>
    </x:row>
    <x:row r="384" ht="14.25" customHeight="1">
      <x:c r="A384" s="114"/>
      <x:c r="B384" s="114"/>
      <x:c r="C384" s="114"/>
      <x:c r="D384" s="114"/>
      <x:c r="E384" s="114"/>
      <x:c r="F384" s="114"/>
      <x:c r="G384" s="114"/>
      <x:c r="H384" s="114"/>
      <x:c r="I384" s="114"/>
      <x:c r="J384" s="114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  <x:c r="Z384" s="12"/>
      <x:c r="AA384" s="12"/>
      <x:c r="AB384" s="12"/>
      <x:c r="AC384" s="12"/>
      <x:c r="AD384" s="12"/>
      <x:c r="AE384" s="12"/>
      <x:c r="AF384" s="12"/>
      <x:c r="AG384" s="12"/>
    </x:row>
    <x:row r="385" ht="14.25" customHeight="1">
      <x:c r="A385" s="114"/>
      <x:c r="B385" s="114"/>
      <x:c r="C385" s="114"/>
      <x:c r="D385" s="114"/>
      <x:c r="E385" s="114"/>
      <x:c r="F385" s="114"/>
      <x:c r="G385" s="114"/>
      <x:c r="H385" s="114"/>
      <x:c r="I385" s="114"/>
      <x:c r="J385" s="114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  <x:c r="Z385" s="12"/>
      <x:c r="AA385" s="12"/>
      <x:c r="AB385" s="12"/>
      <x:c r="AC385" s="12"/>
      <x:c r="AD385" s="12"/>
      <x:c r="AE385" s="12"/>
      <x:c r="AF385" s="12"/>
      <x:c r="AG385" s="12"/>
    </x:row>
    <x:row r="386" ht="14.25" customHeight="1">
      <x:c r="A386" s="114"/>
      <x:c r="B386" s="114"/>
      <x:c r="C386" s="114"/>
      <x:c r="D386" s="114"/>
      <x:c r="E386" s="114"/>
      <x:c r="F386" s="114"/>
      <x:c r="G386" s="114"/>
      <x:c r="H386" s="114"/>
      <x:c r="I386" s="114"/>
      <x:c r="J386" s="114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  <x:c r="Z386" s="12"/>
      <x:c r="AA386" s="12"/>
      <x:c r="AB386" s="12"/>
      <x:c r="AC386" s="12"/>
      <x:c r="AD386" s="12"/>
      <x:c r="AE386" s="12"/>
      <x:c r="AF386" s="12"/>
      <x:c r="AG386" s="12"/>
    </x:row>
    <x:row r="387" ht="14.25" customHeight="1">
      <x:c r="A387" s="114"/>
      <x:c r="B387" s="114"/>
      <x:c r="C387" s="114"/>
      <x:c r="D387" s="114"/>
      <x:c r="E387" s="114"/>
      <x:c r="F387" s="114"/>
      <x:c r="G387" s="114"/>
      <x:c r="H387" s="114"/>
      <x:c r="I387" s="114"/>
      <x:c r="J387" s="114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  <x:c r="Z387" s="12"/>
      <x:c r="AA387" s="12"/>
      <x:c r="AB387" s="12"/>
      <x:c r="AC387" s="12"/>
      <x:c r="AD387" s="12"/>
      <x:c r="AE387" s="12"/>
      <x:c r="AF387" s="12"/>
      <x:c r="AG387" s="12"/>
    </x:row>
    <x:row r="388" ht="14.25" customHeight="1">
      <x:c r="A388" s="114"/>
      <x:c r="B388" s="114"/>
      <x:c r="C388" s="114"/>
      <x:c r="D388" s="114"/>
      <x:c r="E388" s="114"/>
      <x:c r="F388" s="114"/>
      <x:c r="G388" s="114"/>
      <x:c r="H388" s="114"/>
      <x:c r="I388" s="114"/>
      <x:c r="J388" s="114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  <x:c r="Z388" s="12"/>
      <x:c r="AA388" s="12"/>
      <x:c r="AB388" s="12"/>
      <x:c r="AC388" s="12"/>
      <x:c r="AD388" s="12"/>
      <x:c r="AE388" s="12"/>
      <x:c r="AF388" s="12"/>
      <x:c r="AG388" s="12"/>
    </x:row>
    <x:row r="389" ht="14.25" customHeight="1">
      <x:c r="A389" s="114"/>
      <x:c r="B389" s="114"/>
      <x:c r="C389" s="114"/>
      <x:c r="D389" s="114"/>
      <x:c r="E389" s="114"/>
      <x:c r="F389" s="114"/>
      <x:c r="G389" s="114"/>
      <x:c r="H389" s="114"/>
      <x:c r="I389" s="114"/>
      <x:c r="J389" s="114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  <x:c r="Z389" s="12"/>
      <x:c r="AA389" s="12"/>
      <x:c r="AB389" s="12"/>
      <x:c r="AC389" s="12"/>
      <x:c r="AD389" s="12"/>
      <x:c r="AE389" s="12"/>
      <x:c r="AF389" s="12"/>
      <x:c r="AG389" s="12"/>
    </x:row>
    <x:row r="390" ht="14.25" customHeight="1">
      <x:c r="A390" s="114"/>
      <x:c r="B390" s="114"/>
      <x:c r="C390" s="114"/>
      <x:c r="D390" s="114"/>
      <x:c r="E390" s="114"/>
      <x:c r="F390" s="114"/>
      <x:c r="G390" s="114"/>
      <x:c r="H390" s="114"/>
      <x:c r="I390" s="114"/>
      <x:c r="J390" s="114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  <x:c r="Z390" s="12"/>
      <x:c r="AA390" s="12"/>
      <x:c r="AB390" s="12"/>
      <x:c r="AC390" s="12"/>
      <x:c r="AD390" s="12"/>
      <x:c r="AE390" s="12"/>
      <x:c r="AF390" s="12"/>
      <x:c r="AG390" s="12"/>
    </x:row>
    <x:row r="391" ht="14.25" customHeight="1">
      <x:c r="A391" s="114"/>
      <x:c r="B391" s="114"/>
      <x:c r="C391" s="114"/>
      <x:c r="D391" s="114"/>
      <x:c r="E391" s="114"/>
      <x:c r="F391" s="114"/>
      <x:c r="G391" s="114"/>
      <x:c r="H391" s="114"/>
      <x:c r="I391" s="114"/>
      <x:c r="J391" s="114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  <x:c r="Z391" s="12"/>
      <x:c r="AA391" s="12"/>
      <x:c r="AB391" s="12"/>
      <x:c r="AC391" s="12"/>
      <x:c r="AD391" s="12"/>
      <x:c r="AE391" s="12"/>
      <x:c r="AF391" s="12"/>
      <x:c r="AG391" s="12"/>
    </x:row>
    <x:row r="392" ht="14.25" customHeight="1">
      <x:c r="A392" s="114"/>
      <x:c r="B392" s="114"/>
      <x:c r="C392" s="114"/>
      <x:c r="D392" s="114"/>
      <x:c r="E392" s="114"/>
      <x:c r="F392" s="114"/>
      <x:c r="G392" s="114"/>
      <x:c r="H392" s="114"/>
      <x:c r="I392" s="114"/>
      <x:c r="J392" s="114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  <x:c r="Z392" s="12"/>
      <x:c r="AA392" s="12"/>
      <x:c r="AB392" s="12"/>
      <x:c r="AC392" s="12"/>
      <x:c r="AD392" s="12"/>
      <x:c r="AE392" s="12"/>
      <x:c r="AF392" s="12"/>
      <x:c r="AG392" s="12"/>
    </x:row>
    <x:row r="393" ht="14.25" customHeight="1">
      <x:c r="A393" s="114"/>
      <x:c r="B393" s="114"/>
      <x:c r="C393" s="114"/>
      <x:c r="D393" s="114"/>
      <x:c r="E393" s="114"/>
      <x:c r="F393" s="114"/>
      <x:c r="G393" s="114"/>
      <x:c r="H393" s="114"/>
      <x:c r="I393" s="114"/>
      <x:c r="J393" s="114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  <x:c r="Z393" s="12"/>
      <x:c r="AA393" s="12"/>
      <x:c r="AB393" s="12"/>
      <x:c r="AC393" s="12"/>
      <x:c r="AD393" s="12"/>
      <x:c r="AE393" s="12"/>
      <x:c r="AF393" s="12"/>
      <x:c r="AG393" s="12"/>
    </x:row>
    <x:row r="394" ht="14.25" customHeight="1">
      <x:c r="A394" s="114"/>
      <x:c r="B394" s="114"/>
      <x:c r="C394" s="114"/>
      <x:c r="D394" s="114"/>
      <x:c r="E394" s="114"/>
      <x:c r="F394" s="114"/>
      <x:c r="G394" s="114"/>
      <x:c r="H394" s="114"/>
      <x:c r="I394" s="114"/>
      <x:c r="J394" s="114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  <x:c r="Z394" s="12"/>
      <x:c r="AA394" s="12"/>
      <x:c r="AB394" s="12"/>
      <x:c r="AC394" s="12"/>
      <x:c r="AD394" s="12"/>
      <x:c r="AE394" s="12"/>
      <x:c r="AF394" s="12"/>
      <x:c r="AG394" s="12"/>
    </x:row>
    <x:row r="395" ht="14.25" customHeight="1">
      <x:c r="A395" s="114"/>
      <x:c r="B395" s="114"/>
      <x:c r="C395" s="114"/>
      <x:c r="D395" s="114"/>
      <x:c r="E395" s="114"/>
      <x:c r="F395" s="114"/>
      <x:c r="G395" s="114"/>
      <x:c r="H395" s="114"/>
      <x:c r="I395" s="114"/>
      <x:c r="J395" s="114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  <x:c r="Z395" s="12"/>
      <x:c r="AA395" s="12"/>
      <x:c r="AB395" s="12"/>
      <x:c r="AC395" s="12"/>
      <x:c r="AD395" s="12"/>
      <x:c r="AE395" s="12"/>
      <x:c r="AF395" s="12"/>
      <x:c r="AG395" s="12"/>
    </x:row>
    <x:row r="396" ht="14.25" customHeight="1">
      <x:c r="A396" s="114"/>
      <x:c r="B396" s="114"/>
      <x:c r="C396" s="114"/>
      <x:c r="D396" s="114"/>
      <x:c r="E396" s="114"/>
      <x:c r="F396" s="114"/>
      <x:c r="G396" s="114"/>
      <x:c r="H396" s="114"/>
      <x:c r="I396" s="114"/>
      <x:c r="J396" s="114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  <x:c r="Z396" s="12"/>
      <x:c r="AA396" s="12"/>
      <x:c r="AB396" s="12"/>
      <x:c r="AC396" s="12"/>
      <x:c r="AD396" s="12"/>
      <x:c r="AE396" s="12"/>
      <x:c r="AF396" s="12"/>
      <x:c r="AG396" s="12"/>
    </x:row>
    <x:row r="397" ht="14.25" customHeight="1">
      <x:c r="A397" s="114"/>
      <x:c r="B397" s="114"/>
      <x:c r="C397" s="114"/>
      <x:c r="D397" s="114"/>
      <x:c r="E397" s="114"/>
      <x:c r="F397" s="114"/>
      <x:c r="G397" s="114"/>
      <x:c r="H397" s="114"/>
      <x:c r="I397" s="114"/>
      <x:c r="J397" s="114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  <x:c r="Z397" s="12"/>
      <x:c r="AA397" s="12"/>
      <x:c r="AB397" s="12"/>
      <x:c r="AC397" s="12"/>
      <x:c r="AD397" s="12"/>
      <x:c r="AE397" s="12"/>
      <x:c r="AF397" s="12"/>
      <x:c r="AG397" s="12"/>
    </x:row>
    <x:row r="398" ht="14.25" customHeight="1">
      <x:c r="A398" s="114"/>
      <x:c r="B398" s="114"/>
      <x:c r="C398" s="114"/>
      <x:c r="D398" s="114"/>
      <x:c r="E398" s="114"/>
      <x:c r="F398" s="114"/>
      <x:c r="G398" s="114"/>
      <x:c r="H398" s="114"/>
      <x:c r="I398" s="114"/>
      <x:c r="J398" s="114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  <x:c r="Z398" s="12"/>
      <x:c r="AA398" s="12"/>
      <x:c r="AB398" s="12"/>
      <x:c r="AC398" s="12"/>
      <x:c r="AD398" s="12"/>
      <x:c r="AE398" s="12"/>
      <x:c r="AF398" s="12"/>
      <x:c r="AG398" s="12"/>
    </x:row>
    <x:row r="399" ht="14.25" customHeight="1">
      <x:c r="A399" s="114"/>
      <x:c r="B399" s="114"/>
      <x:c r="C399" s="114"/>
      <x:c r="D399" s="114"/>
      <x:c r="E399" s="114"/>
      <x:c r="F399" s="114"/>
      <x:c r="G399" s="114"/>
      <x:c r="H399" s="114"/>
      <x:c r="I399" s="114"/>
      <x:c r="J399" s="114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  <x:c r="Z399" s="12"/>
      <x:c r="AA399" s="12"/>
      <x:c r="AB399" s="12"/>
      <x:c r="AC399" s="12"/>
      <x:c r="AD399" s="12"/>
      <x:c r="AE399" s="12"/>
      <x:c r="AF399" s="12"/>
      <x:c r="AG399" s="12"/>
    </x:row>
    <x:row r="400" ht="14.25" customHeight="1">
      <x:c r="A400" s="114"/>
      <x:c r="B400" s="114"/>
      <x:c r="C400" s="114"/>
      <x:c r="D400" s="114"/>
      <x:c r="E400" s="114"/>
      <x:c r="F400" s="114"/>
      <x:c r="G400" s="114"/>
      <x:c r="H400" s="114"/>
      <x:c r="I400" s="114"/>
      <x:c r="J400" s="114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  <x:c r="Z400" s="12"/>
      <x:c r="AA400" s="12"/>
      <x:c r="AB400" s="12"/>
      <x:c r="AC400" s="12"/>
      <x:c r="AD400" s="12"/>
      <x:c r="AE400" s="12"/>
      <x:c r="AF400" s="12"/>
      <x:c r="AG400" s="12"/>
    </x:row>
    <x:row r="401" ht="14.25" customHeight="1">
      <x:c r="A401" s="114"/>
      <x:c r="B401" s="114"/>
      <x:c r="C401" s="114"/>
      <x:c r="D401" s="114"/>
      <x:c r="E401" s="114"/>
      <x:c r="F401" s="114"/>
      <x:c r="G401" s="114"/>
      <x:c r="H401" s="114"/>
      <x:c r="I401" s="114"/>
      <x:c r="J401" s="114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  <x:c r="Z401" s="12"/>
      <x:c r="AA401" s="12"/>
      <x:c r="AB401" s="12"/>
      <x:c r="AC401" s="12"/>
      <x:c r="AD401" s="12"/>
      <x:c r="AE401" s="12"/>
      <x:c r="AF401" s="12"/>
      <x:c r="AG401" s="12"/>
    </x:row>
    <x:row r="402" ht="14.25" customHeight="1">
      <x:c r="A402" s="114"/>
      <x:c r="B402" s="114"/>
      <x:c r="C402" s="114"/>
      <x:c r="D402" s="114"/>
      <x:c r="E402" s="114"/>
      <x:c r="F402" s="114"/>
      <x:c r="G402" s="114"/>
      <x:c r="H402" s="114"/>
      <x:c r="I402" s="114"/>
      <x:c r="J402" s="114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  <x:c r="Z402" s="12"/>
      <x:c r="AA402" s="12"/>
      <x:c r="AB402" s="12"/>
      <x:c r="AC402" s="12"/>
      <x:c r="AD402" s="12"/>
      <x:c r="AE402" s="12"/>
      <x:c r="AF402" s="12"/>
      <x:c r="AG402" s="12"/>
    </x:row>
    <x:row r="403" ht="14.25" customHeight="1">
      <x:c r="A403" s="114"/>
      <x:c r="B403" s="114"/>
      <x:c r="C403" s="114"/>
      <x:c r="D403" s="114"/>
      <x:c r="E403" s="114"/>
      <x:c r="F403" s="114"/>
      <x:c r="G403" s="114"/>
      <x:c r="H403" s="114"/>
      <x:c r="I403" s="114"/>
      <x:c r="J403" s="114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  <x:c r="Z403" s="12"/>
      <x:c r="AA403" s="12"/>
      <x:c r="AB403" s="12"/>
      <x:c r="AC403" s="12"/>
      <x:c r="AD403" s="12"/>
      <x:c r="AE403" s="12"/>
      <x:c r="AF403" s="12"/>
      <x:c r="AG403" s="12"/>
    </x:row>
    <x:row r="404" ht="14.25" customHeight="1">
      <x:c r="A404" s="114"/>
      <x:c r="B404" s="114"/>
      <x:c r="C404" s="114"/>
      <x:c r="D404" s="114"/>
      <x:c r="E404" s="114"/>
      <x:c r="F404" s="114"/>
      <x:c r="G404" s="114"/>
      <x:c r="H404" s="114"/>
      <x:c r="I404" s="114"/>
      <x:c r="J404" s="114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  <x:c r="Z404" s="12"/>
      <x:c r="AA404" s="12"/>
      <x:c r="AB404" s="12"/>
      <x:c r="AC404" s="12"/>
      <x:c r="AD404" s="12"/>
      <x:c r="AE404" s="12"/>
      <x:c r="AF404" s="12"/>
      <x:c r="AG404" s="12"/>
    </x:row>
    <x:row r="405" ht="14.25" customHeight="1">
      <x:c r="A405" s="114"/>
      <x:c r="B405" s="114"/>
      <x:c r="C405" s="114"/>
      <x:c r="D405" s="114"/>
      <x:c r="E405" s="114"/>
      <x:c r="F405" s="114"/>
      <x:c r="G405" s="114"/>
      <x:c r="H405" s="114"/>
      <x:c r="I405" s="114"/>
      <x:c r="J405" s="114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  <x:c r="Z405" s="12"/>
      <x:c r="AA405" s="12"/>
      <x:c r="AB405" s="12"/>
      <x:c r="AC405" s="12"/>
      <x:c r="AD405" s="12"/>
      <x:c r="AE405" s="12"/>
      <x:c r="AF405" s="12"/>
      <x:c r="AG405" s="12"/>
    </x:row>
    <x:row r="406" ht="14.25" customHeight="1">
      <x:c r="A406" s="114"/>
      <x:c r="B406" s="114"/>
      <x:c r="C406" s="114"/>
      <x:c r="D406" s="114"/>
      <x:c r="E406" s="114"/>
      <x:c r="F406" s="114"/>
      <x:c r="G406" s="114"/>
      <x:c r="H406" s="114"/>
      <x:c r="I406" s="114"/>
      <x:c r="J406" s="114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  <x:c r="Z406" s="12"/>
      <x:c r="AA406" s="12"/>
      <x:c r="AB406" s="12"/>
      <x:c r="AC406" s="12"/>
      <x:c r="AD406" s="12"/>
      <x:c r="AE406" s="12"/>
      <x:c r="AF406" s="12"/>
      <x:c r="AG406" s="12"/>
    </x:row>
    <x:row r="407" ht="14.25" customHeight="1">
      <x:c r="A407" s="114"/>
      <x:c r="B407" s="114"/>
      <x:c r="C407" s="114"/>
      <x:c r="D407" s="114"/>
      <x:c r="E407" s="114"/>
      <x:c r="F407" s="114"/>
      <x:c r="G407" s="114"/>
      <x:c r="H407" s="114"/>
      <x:c r="I407" s="114"/>
      <x:c r="J407" s="114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  <x:c r="Z407" s="12"/>
      <x:c r="AA407" s="12"/>
      <x:c r="AB407" s="12"/>
      <x:c r="AC407" s="12"/>
      <x:c r="AD407" s="12"/>
      <x:c r="AE407" s="12"/>
      <x:c r="AF407" s="12"/>
      <x:c r="AG407" s="12"/>
    </x:row>
    <x:row r="408" ht="14.25" customHeight="1">
      <x:c r="A408" s="114"/>
      <x:c r="B408" s="114"/>
      <x:c r="C408" s="114"/>
      <x:c r="D408" s="114"/>
      <x:c r="E408" s="114"/>
      <x:c r="F408" s="114"/>
      <x:c r="G408" s="114"/>
      <x:c r="H408" s="114"/>
      <x:c r="I408" s="114"/>
      <x:c r="J408" s="114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  <x:c r="Z408" s="12"/>
      <x:c r="AA408" s="12"/>
      <x:c r="AB408" s="12"/>
      <x:c r="AC408" s="12"/>
      <x:c r="AD408" s="12"/>
      <x:c r="AE408" s="12"/>
      <x:c r="AF408" s="12"/>
      <x:c r="AG408" s="12"/>
    </x:row>
    <x:row r="409" ht="14.25" customHeight="1">
      <x:c r="A409" s="114"/>
      <x:c r="B409" s="114"/>
      <x:c r="C409" s="114"/>
      <x:c r="D409" s="114"/>
      <x:c r="E409" s="114"/>
      <x:c r="F409" s="114"/>
      <x:c r="G409" s="114"/>
      <x:c r="H409" s="114"/>
      <x:c r="I409" s="114"/>
      <x:c r="J409" s="114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  <x:c r="Z409" s="12"/>
      <x:c r="AA409" s="12"/>
      <x:c r="AB409" s="12"/>
      <x:c r="AC409" s="12"/>
      <x:c r="AD409" s="12"/>
      <x:c r="AE409" s="12"/>
      <x:c r="AF409" s="12"/>
      <x:c r="AG409" s="12"/>
    </x:row>
    <x:row r="410" ht="14.25" customHeight="1">
      <x:c r="A410" s="114"/>
      <x:c r="B410" s="114"/>
      <x:c r="C410" s="114"/>
      <x:c r="D410" s="114"/>
      <x:c r="E410" s="114"/>
      <x:c r="F410" s="114"/>
      <x:c r="G410" s="114"/>
      <x:c r="H410" s="114"/>
      <x:c r="I410" s="114"/>
      <x:c r="J410" s="114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  <x:c r="Z410" s="12"/>
      <x:c r="AA410" s="12"/>
      <x:c r="AB410" s="12"/>
      <x:c r="AC410" s="12"/>
      <x:c r="AD410" s="12"/>
      <x:c r="AE410" s="12"/>
      <x:c r="AF410" s="12"/>
      <x:c r="AG410" s="12"/>
    </x:row>
    <x:row r="411" ht="14.25" customHeight="1">
      <x:c r="A411" s="114"/>
      <x:c r="B411" s="114"/>
      <x:c r="C411" s="114"/>
      <x:c r="D411" s="114"/>
      <x:c r="E411" s="114"/>
      <x:c r="F411" s="114"/>
      <x:c r="G411" s="114"/>
      <x:c r="H411" s="114"/>
      <x:c r="I411" s="114"/>
      <x:c r="J411" s="114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  <x:c r="Z411" s="12"/>
      <x:c r="AA411" s="12"/>
      <x:c r="AB411" s="12"/>
      <x:c r="AC411" s="12"/>
      <x:c r="AD411" s="12"/>
      <x:c r="AE411" s="12"/>
      <x:c r="AF411" s="12"/>
      <x:c r="AG411" s="12"/>
    </x:row>
    <x:row r="412" ht="14.25" customHeight="1">
      <x:c r="A412" s="114"/>
      <x:c r="B412" s="114"/>
      <x:c r="C412" s="114"/>
      <x:c r="D412" s="114"/>
      <x:c r="E412" s="114"/>
      <x:c r="F412" s="114"/>
      <x:c r="G412" s="114"/>
      <x:c r="H412" s="114"/>
      <x:c r="I412" s="114"/>
      <x:c r="J412" s="114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  <x:c r="Z412" s="12"/>
      <x:c r="AA412" s="12"/>
      <x:c r="AB412" s="12"/>
      <x:c r="AC412" s="12"/>
      <x:c r="AD412" s="12"/>
      <x:c r="AE412" s="12"/>
      <x:c r="AF412" s="12"/>
      <x:c r="AG412" s="12"/>
    </x:row>
    <x:row r="413" ht="14.25" customHeight="1">
      <x:c r="A413" s="114"/>
      <x:c r="B413" s="114"/>
      <x:c r="C413" s="114"/>
      <x:c r="D413" s="114"/>
      <x:c r="E413" s="114"/>
      <x:c r="F413" s="114"/>
      <x:c r="G413" s="114"/>
      <x:c r="H413" s="114"/>
      <x:c r="I413" s="114"/>
      <x:c r="J413" s="114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  <x:c r="Z413" s="12"/>
      <x:c r="AA413" s="12"/>
      <x:c r="AB413" s="12"/>
      <x:c r="AC413" s="12"/>
      <x:c r="AD413" s="12"/>
      <x:c r="AE413" s="12"/>
      <x:c r="AF413" s="12"/>
      <x:c r="AG413" s="12"/>
    </x:row>
    <x:row r="414" ht="14.25" customHeight="1">
      <x:c r="A414" s="114"/>
      <x:c r="B414" s="114"/>
      <x:c r="C414" s="114"/>
      <x:c r="D414" s="114"/>
      <x:c r="E414" s="114"/>
      <x:c r="F414" s="114"/>
      <x:c r="G414" s="114"/>
      <x:c r="H414" s="114"/>
      <x:c r="I414" s="114"/>
      <x:c r="J414" s="114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  <x:c r="Z414" s="12"/>
      <x:c r="AA414" s="12"/>
      <x:c r="AB414" s="12"/>
      <x:c r="AC414" s="12"/>
      <x:c r="AD414" s="12"/>
      <x:c r="AE414" s="12"/>
      <x:c r="AF414" s="12"/>
      <x:c r="AG414" s="12"/>
    </x:row>
    <x:row r="415" ht="14.25" customHeight="1">
      <x:c r="A415" s="114"/>
      <x:c r="B415" s="114"/>
      <x:c r="C415" s="114"/>
      <x:c r="D415" s="114"/>
      <x:c r="E415" s="114"/>
      <x:c r="F415" s="114"/>
      <x:c r="G415" s="114"/>
      <x:c r="H415" s="114"/>
      <x:c r="I415" s="114"/>
      <x:c r="J415" s="114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  <x:c r="Z415" s="12"/>
      <x:c r="AA415" s="12"/>
      <x:c r="AB415" s="12"/>
      <x:c r="AC415" s="12"/>
      <x:c r="AD415" s="12"/>
      <x:c r="AE415" s="12"/>
      <x:c r="AF415" s="12"/>
      <x:c r="AG415" s="12"/>
    </x:row>
    <x:row r="416" ht="14.25" customHeight="1">
      <x:c r="A416" s="114"/>
      <x:c r="B416" s="114"/>
      <x:c r="C416" s="114"/>
      <x:c r="D416" s="114"/>
      <x:c r="E416" s="114"/>
      <x:c r="F416" s="114"/>
      <x:c r="G416" s="114"/>
      <x:c r="H416" s="114"/>
      <x:c r="I416" s="114"/>
      <x:c r="J416" s="114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  <x:c r="Z416" s="12"/>
      <x:c r="AA416" s="12"/>
      <x:c r="AB416" s="12"/>
      <x:c r="AC416" s="12"/>
      <x:c r="AD416" s="12"/>
      <x:c r="AE416" s="12"/>
      <x:c r="AF416" s="12"/>
      <x:c r="AG416" s="12"/>
    </x:row>
    <x:row r="417" ht="14.25" customHeight="1">
      <x:c r="A417" s="114"/>
      <x:c r="B417" s="114"/>
      <x:c r="C417" s="114"/>
      <x:c r="D417" s="114"/>
      <x:c r="E417" s="114"/>
      <x:c r="F417" s="114"/>
      <x:c r="G417" s="114"/>
      <x:c r="H417" s="114"/>
      <x:c r="I417" s="114"/>
      <x:c r="J417" s="114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  <x:c r="Z417" s="12"/>
      <x:c r="AA417" s="12"/>
      <x:c r="AB417" s="12"/>
      <x:c r="AC417" s="12"/>
      <x:c r="AD417" s="12"/>
      <x:c r="AE417" s="12"/>
      <x:c r="AF417" s="12"/>
      <x:c r="AG417" s="12"/>
    </x:row>
    <x:row r="418" ht="14.25" customHeight="1">
      <x:c r="A418" s="114"/>
      <x:c r="B418" s="114"/>
      <x:c r="C418" s="114"/>
      <x:c r="D418" s="114"/>
      <x:c r="E418" s="114"/>
      <x:c r="F418" s="114"/>
      <x:c r="G418" s="114"/>
      <x:c r="H418" s="114"/>
      <x:c r="I418" s="114"/>
      <x:c r="J418" s="114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  <x:c r="Z418" s="12"/>
      <x:c r="AA418" s="12"/>
      <x:c r="AB418" s="12"/>
      <x:c r="AC418" s="12"/>
      <x:c r="AD418" s="12"/>
      <x:c r="AE418" s="12"/>
      <x:c r="AF418" s="12"/>
      <x:c r="AG418" s="12"/>
    </x:row>
    <x:row r="419" ht="14.25" customHeight="1">
      <x:c r="A419" s="114"/>
      <x:c r="B419" s="114"/>
      <x:c r="C419" s="114"/>
      <x:c r="D419" s="114"/>
      <x:c r="E419" s="114"/>
      <x:c r="F419" s="114"/>
      <x:c r="G419" s="114"/>
      <x:c r="H419" s="114"/>
      <x:c r="I419" s="114"/>
      <x:c r="J419" s="114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  <x:c r="Z419" s="12"/>
      <x:c r="AA419" s="12"/>
      <x:c r="AB419" s="12"/>
      <x:c r="AC419" s="12"/>
      <x:c r="AD419" s="12"/>
      <x:c r="AE419" s="12"/>
      <x:c r="AF419" s="12"/>
      <x:c r="AG419" s="12"/>
    </x:row>
    <x:row r="420" ht="14.25" customHeight="1">
      <x:c r="A420" s="114"/>
      <x:c r="B420" s="114"/>
      <x:c r="C420" s="114"/>
      <x:c r="D420" s="114"/>
      <x:c r="E420" s="114"/>
      <x:c r="F420" s="114"/>
      <x:c r="G420" s="114"/>
      <x:c r="H420" s="114"/>
      <x:c r="I420" s="114"/>
      <x:c r="J420" s="114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  <x:c r="Z420" s="12"/>
      <x:c r="AA420" s="12"/>
      <x:c r="AB420" s="12"/>
      <x:c r="AC420" s="12"/>
      <x:c r="AD420" s="12"/>
      <x:c r="AE420" s="12"/>
      <x:c r="AF420" s="12"/>
      <x:c r="AG420" s="12"/>
    </x:row>
    <x:row r="421" ht="14.25" customHeight="1">
      <x:c r="A421" s="114"/>
      <x:c r="B421" s="114"/>
      <x:c r="C421" s="114"/>
      <x:c r="D421" s="114"/>
      <x:c r="E421" s="114"/>
      <x:c r="F421" s="114"/>
      <x:c r="G421" s="114"/>
      <x:c r="H421" s="114"/>
      <x:c r="I421" s="114"/>
      <x:c r="J421" s="114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  <x:c r="Z421" s="12"/>
      <x:c r="AA421" s="12"/>
      <x:c r="AB421" s="12"/>
      <x:c r="AC421" s="12"/>
      <x:c r="AD421" s="12"/>
      <x:c r="AE421" s="12"/>
      <x:c r="AF421" s="12"/>
      <x:c r="AG421" s="12"/>
    </x:row>
    <x:row r="422" ht="14.25" customHeight="1">
      <x:c r="A422" s="114"/>
      <x:c r="B422" s="114"/>
      <x:c r="C422" s="114"/>
      <x:c r="D422" s="114"/>
      <x:c r="E422" s="114"/>
      <x:c r="F422" s="114"/>
      <x:c r="G422" s="114"/>
      <x:c r="H422" s="114"/>
      <x:c r="I422" s="114"/>
      <x:c r="J422" s="114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  <x:c r="Z422" s="12"/>
      <x:c r="AA422" s="12"/>
      <x:c r="AB422" s="12"/>
      <x:c r="AC422" s="12"/>
      <x:c r="AD422" s="12"/>
      <x:c r="AE422" s="12"/>
      <x:c r="AF422" s="12"/>
      <x:c r="AG422" s="12"/>
    </x:row>
    <x:row r="423" ht="14.25" customHeight="1">
      <x:c r="A423" s="114"/>
      <x:c r="B423" s="114"/>
      <x:c r="C423" s="114"/>
      <x:c r="D423" s="114"/>
      <x:c r="E423" s="114"/>
      <x:c r="F423" s="114"/>
      <x:c r="G423" s="114"/>
      <x:c r="H423" s="114"/>
      <x:c r="I423" s="114"/>
      <x:c r="J423" s="114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  <x:c r="Z423" s="12"/>
      <x:c r="AA423" s="12"/>
      <x:c r="AB423" s="12"/>
      <x:c r="AC423" s="12"/>
      <x:c r="AD423" s="12"/>
      <x:c r="AE423" s="12"/>
      <x:c r="AF423" s="12"/>
      <x:c r="AG423" s="12"/>
    </x:row>
    <x:row r="424" ht="14.25" customHeight="1">
      <x:c r="A424" s="114"/>
      <x:c r="B424" s="114"/>
      <x:c r="C424" s="114"/>
      <x:c r="D424" s="114"/>
      <x:c r="E424" s="114"/>
      <x:c r="F424" s="114"/>
      <x:c r="G424" s="114"/>
      <x:c r="H424" s="114"/>
      <x:c r="I424" s="114"/>
      <x:c r="J424" s="114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  <x:c r="Z424" s="12"/>
      <x:c r="AA424" s="12"/>
      <x:c r="AB424" s="12"/>
      <x:c r="AC424" s="12"/>
      <x:c r="AD424" s="12"/>
      <x:c r="AE424" s="12"/>
      <x:c r="AF424" s="12"/>
      <x:c r="AG424" s="12"/>
    </x:row>
    <x:row r="425" ht="14.25" customHeight="1">
      <x:c r="A425" s="114"/>
      <x:c r="B425" s="114"/>
      <x:c r="C425" s="114"/>
      <x:c r="D425" s="114"/>
      <x:c r="E425" s="114"/>
      <x:c r="F425" s="114"/>
      <x:c r="G425" s="114"/>
      <x:c r="H425" s="114"/>
      <x:c r="I425" s="114"/>
      <x:c r="J425" s="114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  <x:c r="Z425" s="12"/>
      <x:c r="AA425" s="12"/>
      <x:c r="AB425" s="12"/>
      <x:c r="AC425" s="12"/>
      <x:c r="AD425" s="12"/>
      <x:c r="AE425" s="12"/>
      <x:c r="AF425" s="12"/>
      <x:c r="AG425" s="12"/>
    </x:row>
    <x:row r="426" ht="14.25" customHeight="1">
      <x:c r="A426" s="114"/>
      <x:c r="B426" s="114"/>
      <x:c r="C426" s="114"/>
      <x:c r="D426" s="114"/>
      <x:c r="E426" s="114"/>
      <x:c r="F426" s="114"/>
      <x:c r="G426" s="114"/>
      <x:c r="H426" s="114"/>
      <x:c r="I426" s="114"/>
      <x:c r="J426" s="114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  <x:c r="Z426" s="12"/>
      <x:c r="AA426" s="12"/>
      <x:c r="AB426" s="12"/>
      <x:c r="AC426" s="12"/>
      <x:c r="AD426" s="12"/>
      <x:c r="AE426" s="12"/>
      <x:c r="AF426" s="12"/>
      <x:c r="AG426" s="12"/>
    </x:row>
    <x:row r="427" ht="14.25" customHeight="1">
      <x:c r="A427" s="114"/>
      <x:c r="B427" s="114"/>
      <x:c r="C427" s="114"/>
      <x:c r="D427" s="114"/>
      <x:c r="E427" s="114"/>
      <x:c r="F427" s="114"/>
      <x:c r="G427" s="114"/>
      <x:c r="H427" s="114"/>
      <x:c r="I427" s="114"/>
      <x:c r="J427" s="114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  <x:c r="Z427" s="12"/>
      <x:c r="AA427" s="12"/>
      <x:c r="AB427" s="12"/>
      <x:c r="AC427" s="12"/>
      <x:c r="AD427" s="12"/>
      <x:c r="AE427" s="12"/>
      <x:c r="AF427" s="12"/>
      <x:c r="AG427" s="12"/>
    </x:row>
    <x:row r="428" ht="14.25" customHeight="1">
      <x:c r="A428" s="114"/>
      <x:c r="B428" s="114"/>
      <x:c r="C428" s="114"/>
      <x:c r="D428" s="114"/>
      <x:c r="E428" s="114"/>
      <x:c r="F428" s="114"/>
      <x:c r="G428" s="114"/>
      <x:c r="H428" s="114"/>
      <x:c r="I428" s="114"/>
      <x:c r="J428" s="114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  <x:c r="Z428" s="12"/>
      <x:c r="AA428" s="12"/>
      <x:c r="AB428" s="12"/>
      <x:c r="AC428" s="12"/>
      <x:c r="AD428" s="12"/>
      <x:c r="AE428" s="12"/>
      <x:c r="AF428" s="12"/>
      <x:c r="AG428" s="12"/>
    </x:row>
    <x:row r="429" ht="14.25" customHeight="1">
      <x:c r="A429" s="114"/>
      <x:c r="B429" s="114"/>
      <x:c r="C429" s="114"/>
      <x:c r="D429" s="114"/>
      <x:c r="E429" s="114"/>
      <x:c r="F429" s="114"/>
      <x:c r="G429" s="114"/>
      <x:c r="H429" s="114"/>
      <x:c r="I429" s="114"/>
      <x:c r="J429" s="114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  <x:c r="Z429" s="12"/>
      <x:c r="AA429" s="12"/>
      <x:c r="AB429" s="12"/>
      <x:c r="AC429" s="12"/>
      <x:c r="AD429" s="12"/>
      <x:c r="AE429" s="12"/>
      <x:c r="AF429" s="12"/>
      <x:c r="AG429" s="12"/>
    </x:row>
    <x:row r="430" ht="14.25" customHeight="1">
      <x:c r="A430" s="114"/>
      <x:c r="B430" s="114"/>
      <x:c r="C430" s="114"/>
      <x:c r="D430" s="114"/>
      <x:c r="E430" s="114"/>
      <x:c r="F430" s="114"/>
      <x:c r="G430" s="114"/>
      <x:c r="H430" s="114"/>
      <x:c r="I430" s="114"/>
      <x:c r="J430" s="114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  <x:c r="Z430" s="12"/>
      <x:c r="AA430" s="12"/>
      <x:c r="AB430" s="12"/>
      <x:c r="AC430" s="12"/>
      <x:c r="AD430" s="12"/>
      <x:c r="AE430" s="12"/>
      <x:c r="AF430" s="12"/>
      <x:c r="AG430" s="12"/>
    </x:row>
    <x:row r="431" ht="14.25" customHeight="1">
      <x:c r="A431" s="114"/>
      <x:c r="B431" s="114"/>
      <x:c r="C431" s="114"/>
      <x:c r="D431" s="114"/>
      <x:c r="E431" s="114"/>
      <x:c r="F431" s="114"/>
      <x:c r="G431" s="114"/>
      <x:c r="H431" s="114"/>
      <x:c r="I431" s="114"/>
      <x:c r="J431" s="114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  <x:c r="Z431" s="12"/>
      <x:c r="AA431" s="12"/>
      <x:c r="AB431" s="12"/>
      <x:c r="AC431" s="12"/>
      <x:c r="AD431" s="12"/>
      <x:c r="AE431" s="12"/>
      <x:c r="AF431" s="12"/>
      <x:c r="AG431" s="12"/>
    </x:row>
    <x:row r="432" ht="14.25" customHeight="1">
      <x:c r="A432" s="114"/>
      <x:c r="B432" s="114"/>
      <x:c r="C432" s="114"/>
      <x:c r="D432" s="114"/>
      <x:c r="E432" s="114"/>
      <x:c r="F432" s="114"/>
      <x:c r="G432" s="114"/>
      <x:c r="H432" s="114"/>
      <x:c r="I432" s="114"/>
      <x:c r="J432" s="114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  <x:c r="Z432" s="12"/>
      <x:c r="AA432" s="12"/>
      <x:c r="AB432" s="12"/>
      <x:c r="AC432" s="12"/>
      <x:c r="AD432" s="12"/>
      <x:c r="AE432" s="12"/>
      <x:c r="AF432" s="12"/>
      <x:c r="AG432" s="12"/>
    </x:row>
    <x:row r="433" ht="14.25" customHeight="1">
      <x:c r="A433" s="114"/>
      <x:c r="B433" s="114"/>
      <x:c r="C433" s="114"/>
      <x:c r="D433" s="114"/>
      <x:c r="E433" s="114"/>
      <x:c r="F433" s="114"/>
      <x:c r="G433" s="114"/>
      <x:c r="H433" s="114"/>
      <x:c r="I433" s="114"/>
      <x:c r="J433" s="114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  <x:c r="Z433" s="12"/>
      <x:c r="AA433" s="12"/>
      <x:c r="AB433" s="12"/>
      <x:c r="AC433" s="12"/>
      <x:c r="AD433" s="12"/>
      <x:c r="AE433" s="12"/>
      <x:c r="AF433" s="12"/>
      <x:c r="AG433" s="12"/>
    </x:row>
    <x:row r="434" ht="14.25" customHeight="1">
      <x:c r="A434" s="114"/>
      <x:c r="B434" s="114"/>
      <x:c r="C434" s="114"/>
      <x:c r="D434" s="114"/>
      <x:c r="E434" s="114"/>
      <x:c r="F434" s="114"/>
      <x:c r="G434" s="114"/>
      <x:c r="H434" s="114"/>
      <x:c r="I434" s="114"/>
      <x:c r="J434" s="114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  <x:c r="Z434" s="12"/>
      <x:c r="AA434" s="12"/>
      <x:c r="AB434" s="12"/>
      <x:c r="AC434" s="12"/>
      <x:c r="AD434" s="12"/>
      <x:c r="AE434" s="12"/>
      <x:c r="AF434" s="12"/>
      <x:c r="AG434" s="12"/>
    </x:row>
    <x:row r="435" ht="14.25" customHeight="1">
      <x:c r="A435" s="114"/>
      <x:c r="B435" s="114"/>
      <x:c r="C435" s="114"/>
      <x:c r="D435" s="114"/>
      <x:c r="E435" s="114"/>
      <x:c r="F435" s="114"/>
      <x:c r="G435" s="114"/>
      <x:c r="H435" s="114"/>
      <x:c r="I435" s="114"/>
      <x:c r="J435" s="114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  <x:c r="Z435" s="12"/>
      <x:c r="AA435" s="12"/>
      <x:c r="AB435" s="12"/>
      <x:c r="AC435" s="12"/>
      <x:c r="AD435" s="12"/>
      <x:c r="AE435" s="12"/>
      <x:c r="AF435" s="12"/>
      <x:c r="AG435" s="12"/>
    </x:row>
    <x:row r="436" ht="14.25" customHeight="1">
      <x:c r="A436" s="114"/>
      <x:c r="B436" s="114"/>
      <x:c r="C436" s="114"/>
      <x:c r="D436" s="114"/>
      <x:c r="E436" s="114"/>
      <x:c r="F436" s="114"/>
      <x:c r="G436" s="114"/>
      <x:c r="H436" s="114"/>
      <x:c r="I436" s="114"/>
      <x:c r="J436" s="114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  <x:c r="Z436" s="12"/>
      <x:c r="AA436" s="12"/>
      <x:c r="AB436" s="12"/>
      <x:c r="AC436" s="12"/>
      <x:c r="AD436" s="12"/>
      <x:c r="AE436" s="12"/>
      <x:c r="AF436" s="12"/>
      <x:c r="AG436" s="12"/>
    </x:row>
    <x:row r="437" ht="14.25" customHeight="1">
      <x:c r="A437" s="114"/>
      <x:c r="B437" s="114"/>
      <x:c r="C437" s="114"/>
      <x:c r="D437" s="114"/>
      <x:c r="E437" s="114"/>
      <x:c r="F437" s="114"/>
      <x:c r="G437" s="114"/>
      <x:c r="H437" s="114"/>
      <x:c r="I437" s="114"/>
      <x:c r="J437" s="114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  <x:c r="Z437" s="12"/>
      <x:c r="AA437" s="12"/>
      <x:c r="AB437" s="12"/>
      <x:c r="AC437" s="12"/>
      <x:c r="AD437" s="12"/>
      <x:c r="AE437" s="12"/>
      <x:c r="AF437" s="12"/>
      <x:c r="AG437" s="12"/>
    </x:row>
    <x:row r="438" ht="14.25" customHeight="1">
      <x:c r="A438" s="114"/>
      <x:c r="B438" s="114"/>
      <x:c r="C438" s="114"/>
      <x:c r="D438" s="114"/>
      <x:c r="E438" s="114"/>
      <x:c r="F438" s="114"/>
      <x:c r="G438" s="114"/>
      <x:c r="H438" s="114"/>
      <x:c r="I438" s="114"/>
      <x:c r="J438" s="114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  <x:c r="Z438" s="12"/>
      <x:c r="AA438" s="12"/>
      <x:c r="AB438" s="12"/>
      <x:c r="AC438" s="12"/>
      <x:c r="AD438" s="12"/>
      <x:c r="AE438" s="12"/>
      <x:c r="AF438" s="12"/>
      <x:c r="AG438" s="12"/>
    </x:row>
    <x:row r="439" ht="14.25" customHeight="1">
      <x:c r="A439" s="114"/>
      <x:c r="B439" s="114"/>
      <x:c r="C439" s="114"/>
      <x:c r="D439" s="114"/>
      <x:c r="E439" s="114"/>
      <x:c r="F439" s="114"/>
      <x:c r="G439" s="114"/>
      <x:c r="H439" s="114"/>
      <x:c r="I439" s="114"/>
      <x:c r="J439" s="114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  <x:c r="Z439" s="12"/>
      <x:c r="AA439" s="12"/>
      <x:c r="AB439" s="12"/>
      <x:c r="AC439" s="12"/>
      <x:c r="AD439" s="12"/>
      <x:c r="AE439" s="12"/>
      <x:c r="AF439" s="12"/>
      <x:c r="AG439" s="12"/>
    </x:row>
    <x:row r="440" ht="14.25" customHeight="1">
      <x:c r="A440" s="114"/>
      <x:c r="B440" s="114"/>
      <x:c r="C440" s="114"/>
      <x:c r="D440" s="114"/>
      <x:c r="E440" s="114"/>
      <x:c r="F440" s="114"/>
      <x:c r="G440" s="114"/>
      <x:c r="H440" s="114"/>
      <x:c r="I440" s="114"/>
      <x:c r="J440" s="114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  <x:c r="Z440" s="12"/>
      <x:c r="AA440" s="12"/>
      <x:c r="AB440" s="12"/>
      <x:c r="AC440" s="12"/>
      <x:c r="AD440" s="12"/>
      <x:c r="AE440" s="12"/>
      <x:c r="AF440" s="12"/>
      <x:c r="AG440" s="12"/>
    </x:row>
    <x:row r="441" ht="14.25" customHeight="1">
      <x:c r="A441" s="114"/>
      <x:c r="B441" s="114"/>
      <x:c r="C441" s="114"/>
      <x:c r="D441" s="114"/>
      <x:c r="E441" s="114"/>
      <x:c r="F441" s="114"/>
      <x:c r="G441" s="114"/>
      <x:c r="H441" s="114"/>
      <x:c r="I441" s="114"/>
      <x:c r="J441" s="114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  <x:c r="Z441" s="12"/>
      <x:c r="AA441" s="12"/>
      <x:c r="AB441" s="12"/>
      <x:c r="AC441" s="12"/>
      <x:c r="AD441" s="12"/>
      <x:c r="AE441" s="12"/>
      <x:c r="AF441" s="12"/>
      <x:c r="AG441" s="12"/>
    </x:row>
    <x:row r="442" ht="14.25" customHeight="1">
      <x:c r="A442" s="114"/>
      <x:c r="B442" s="114"/>
      <x:c r="C442" s="114"/>
      <x:c r="D442" s="114"/>
      <x:c r="E442" s="114"/>
      <x:c r="F442" s="114"/>
      <x:c r="G442" s="114"/>
      <x:c r="H442" s="114"/>
      <x:c r="I442" s="114"/>
      <x:c r="J442" s="114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  <x:c r="Z442" s="12"/>
      <x:c r="AA442" s="12"/>
      <x:c r="AB442" s="12"/>
      <x:c r="AC442" s="12"/>
      <x:c r="AD442" s="12"/>
      <x:c r="AE442" s="12"/>
      <x:c r="AF442" s="12"/>
      <x:c r="AG442" s="12"/>
    </x:row>
    <x:row r="443" ht="14.25" customHeight="1">
      <x:c r="A443" s="114"/>
      <x:c r="B443" s="114"/>
      <x:c r="C443" s="114"/>
      <x:c r="D443" s="114"/>
      <x:c r="E443" s="114"/>
      <x:c r="F443" s="114"/>
      <x:c r="G443" s="114"/>
      <x:c r="H443" s="114"/>
      <x:c r="I443" s="114"/>
      <x:c r="J443" s="114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  <x:c r="Z443" s="12"/>
      <x:c r="AA443" s="12"/>
      <x:c r="AB443" s="12"/>
      <x:c r="AC443" s="12"/>
      <x:c r="AD443" s="12"/>
      <x:c r="AE443" s="12"/>
      <x:c r="AF443" s="12"/>
      <x:c r="AG443" s="12"/>
    </x:row>
    <x:row r="444" ht="14.25" customHeight="1">
      <x:c r="A444" s="114"/>
      <x:c r="B444" s="114"/>
      <x:c r="C444" s="114"/>
      <x:c r="D444" s="114"/>
      <x:c r="E444" s="114"/>
      <x:c r="F444" s="114"/>
      <x:c r="G444" s="114"/>
      <x:c r="H444" s="114"/>
      <x:c r="I444" s="114"/>
      <x:c r="J444" s="114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  <x:c r="Z444" s="12"/>
      <x:c r="AA444" s="12"/>
      <x:c r="AB444" s="12"/>
      <x:c r="AC444" s="12"/>
      <x:c r="AD444" s="12"/>
      <x:c r="AE444" s="12"/>
      <x:c r="AF444" s="12"/>
      <x:c r="AG444" s="12"/>
    </x:row>
    <x:row r="445" ht="14.25" customHeight="1">
      <x:c r="A445" s="114"/>
      <x:c r="B445" s="114"/>
      <x:c r="C445" s="114"/>
      <x:c r="D445" s="114"/>
      <x:c r="E445" s="114"/>
      <x:c r="F445" s="114"/>
      <x:c r="G445" s="114"/>
      <x:c r="H445" s="114"/>
      <x:c r="I445" s="114"/>
      <x:c r="J445" s="114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  <x:c r="Z445" s="12"/>
      <x:c r="AA445" s="12"/>
      <x:c r="AB445" s="12"/>
      <x:c r="AC445" s="12"/>
      <x:c r="AD445" s="12"/>
      <x:c r="AE445" s="12"/>
      <x:c r="AF445" s="12"/>
      <x:c r="AG445" s="12"/>
    </x:row>
    <x:row r="446" ht="14.25" customHeight="1">
      <x:c r="A446" s="114"/>
      <x:c r="B446" s="114"/>
      <x:c r="C446" s="114"/>
      <x:c r="D446" s="114"/>
      <x:c r="E446" s="114"/>
      <x:c r="F446" s="114"/>
      <x:c r="G446" s="114"/>
      <x:c r="H446" s="114"/>
      <x:c r="I446" s="114"/>
      <x:c r="J446" s="114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  <x:c r="Z446" s="12"/>
      <x:c r="AA446" s="12"/>
      <x:c r="AB446" s="12"/>
      <x:c r="AC446" s="12"/>
      <x:c r="AD446" s="12"/>
      <x:c r="AE446" s="12"/>
      <x:c r="AF446" s="12"/>
      <x:c r="AG446" s="12"/>
    </x:row>
    <x:row r="447" ht="14.25" customHeight="1">
      <x:c r="A447" s="114"/>
      <x:c r="B447" s="114"/>
      <x:c r="C447" s="114"/>
      <x:c r="D447" s="114"/>
      <x:c r="E447" s="114"/>
      <x:c r="F447" s="114"/>
      <x:c r="G447" s="114"/>
      <x:c r="H447" s="114"/>
      <x:c r="I447" s="114"/>
      <x:c r="J447" s="114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  <x:c r="Z447" s="12"/>
      <x:c r="AA447" s="12"/>
      <x:c r="AB447" s="12"/>
      <x:c r="AC447" s="12"/>
      <x:c r="AD447" s="12"/>
      <x:c r="AE447" s="12"/>
      <x:c r="AF447" s="12"/>
      <x:c r="AG447" s="12"/>
    </x:row>
    <x:row r="448" ht="14.25" customHeight="1">
      <x:c r="A448" s="114"/>
      <x:c r="B448" s="114"/>
      <x:c r="C448" s="114"/>
      <x:c r="D448" s="114"/>
      <x:c r="E448" s="114"/>
      <x:c r="F448" s="114"/>
      <x:c r="G448" s="114"/>
      <x:c r="H448" s="114"/>
      <x:c r="I448" s="114"/>
      <x:c r="J448" s="114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  <x:c r="Z448" s="12"/>
      <x:c r="AA448" s="12"/>
      <x:c r="AB448" s="12"/>
      <x:c r="AC448" s="12"/>
      <x:c r="AD448" s="12"/>
      <x:c r="AE448" s="12"/>
      <x:c r="AF448" s="12"/>
      <x:c r="AG448" s="12"/>
    </x:row>
    <x:row r="449" ht="14.25" customHeight="1">
      <x:c r="A449" s="114"/>
      <x:c r="B449" s="114"/>
      <x:c r="C449" s="114"/>
      <x:c r="D449" s="114"/>
      <x:c r="E449" s="114"/>
      <x:c r="F449" s="114"/>
      <x:c r="G449" s="114"/>
      <x:c r="H449" s="114"/>
      <x:c r="I449" s="114"/>
      <x:c r="J449" s="114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  <x:c r="Z449" s="12"/>
      <x:c r="AA449" s="12"/>
      <x:c r="AB449" s="12"/>
      <x:c r="AC449" s="12"/>
      <x:c r="AD449" s="12"/>
      <x:c r="AE449" s="12"/>
      <x:c r="AF449" s="12"/>
      <x:c r="AG449" s="12"/>
    </x:row>
    <x:row r="450" ht="14.25" customHeight="1">
      <x:c r="A450" s="114"/>
      <x:c r="B450" s="114"/>
      <x:c r="C450" s="114"/>
      <x:c r="D450" s="114"/>
      <x:c r="E450" s="114"/>
      <x:c r="F450" s="114"/>
      <x:c r="G450" s="114"/>
      <x:c r="H450" s="114"/>
      <x:c r="I450" s="114"/>
      <x:c r="J450" s="114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  <x:c r="Z450" s="12"/>
      <x:c r="AA450" s="12"/>
      <x:c r="AB450" s="12"/>
      <x:c r="AC450" s="12"/>
      <x:c r="AD450" s="12"/>
      <x:c r="AE450" s="12"/>
      <x:c r="AF450" s="12"/>
      <x:c r="AG450" s="12"/>
    </x:row>
    <x:row r="451" ht="14.25" customHeight="1">
      <x:c r="A451" s="114"/>
      <x:c r="B451" s="114"/>
      <x:c r="C451" s="114"/>
      <x:c r="D451" s="114"/>
      <x:c r="E451" s="114"/>
      <x:c r="F451" s="114"/>
      <x:c r="G451" s="114"/>
      <x:c r="H451" s="114"/>
      <x:c r="I451" s="114"/>
      <x:c r="J451" s="114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  <x:c r="Z451" s="12"/>
      <x:c r="AA451" s="12"/>
      <x:c r="AB451" s="12"/>
      <x:c r="AC451" s="12"/>
      <x:c r="AD451" s="12"/>
      <x:c r="AE451" s="12"/>
      <x:c r="AF451" s="12"/>
      <x:c r="AG451" s="12"/>
    </x:row>
    <x:row r="452" ht="14.25" customHeight="1">
      <x:c r="A452" s="114"/>
      <x:c r="B452" s="114"/>
      <x:c r="C452" s="114"/>
      <x:c r="D452" s="114"/>
      <x:c r="E452" s="114"/>
      <x:c r="F452" s="114"/>
      <x:c r="G452" s="114"/>
      <x:c r="H452" s="114"/>
      <x:c r="I452" s="114"/>
      <x:c r="J452" s="114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  <x:c r="Z452" s="12"/>
      <x:c r="AA452" s="12"/>
      <x:c r="AB452" s="12"/>
      <x:c r="AC452" s="12"/>
      <x:c r="AD452" s="12"/>
      <x:c r="AE452" s="12"/>
      <x:c r="AF452" s="12"/>
      <x:c r="AG452" s="12"/>
    </x:row>
    <x:row r="453" ht="14.25" customHeight="1">
      <x:c r="A453" s="114"/>
      <x:c r="B453" s="114"/>
      <x:c r="C453" s="114"/>
      <x:c r="D453" s="114"/>
      <x:c r="E453" s="114"/>
      <x:c r="F453" s="114"/>
      <x:c r="G453" s="114"/>
      <x:c r="H453" s="114"/>
      <x:c r="I453" s="114"/>
      <x:c r="J453" s="114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  <x:c r="Z453" s="12"/>
      <x:c r="AA453" s="12"/>
      <x:c r="AB453" s="12"/>
      <x:c r="AC453" s="12"/>
      <x:c r="AD453" s="12"/>
      <x:c r="AE453" s="12"/>
      <x:c r="AF453" s="12"/>
      <x:c r="AG453" s="12"/>
    </x:row>
    <x:row r="454" ht="14.25" customHeight="1">
      <x:c r="A454" s="114"/>
      <x:c r="B454" s="114"/>
      <x:c r="C454" s="114"/>
      <x:c r="D454" s="114"/>
      <x:c r="E454" s="114"/>
      <x:c r="F454" s="114"/>
      <x:c r="G454" s="114"/>
      <x:c r="H454" s="114"/>
      <x:c r="I454" s="114"/>
      <x:c r="J454" s="114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  <x:c r="Z454" s="12"/>
      <x:c r="AA454" s="12"/>
      <x:c r="AB454" s="12"/>
      <x:c r="AC454" s="12"/>
      <x:c r="AD454" s="12"/>
      <x:c r="AE454" s="12"/>
      <x:c r="AF454" s="12"/>
      <x:c r="AG454" s="12"/>
    </x:row>
    <x:row r="455" ht="14.25" customHeight="1">
      <x:c r="A455" s="114"/>
      <x:c r="B455" s="114"/>
      <x:c r="C455" s="114"/>
      <x:c r="D455" s="114"/>
      <x:c r="E455" s="114"/>
      <x:c r="F455" s="114"/>
      <x:c r="G455" s="114"/>
      <x:c r="H455" s="114"/>
      <x:c r="I455" s="114"/>
      <x:c r="J455" s="114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  <x:c r="Z455" s="12"/>
      <x:c r="AA455" s="12"/>
      <x:c r="AB455" s="12"/>
      <x:c r="AC455" s="12"/>
      <x:c r="AD455" s="12"/>
      <x:c r="AE455" s="12"/>
      <x:c r="AF455" s="12"/>
      <x:c r="AG455" s="12"/>
    </x:row>
    <x:row r="456" ht="14.25" customHeight="1">
      <x:c r="A456" s="114"/>
      <x:c r="B456" s="114"/>
      <x:c r="C456" s="114"/>
      <x:c r="D456" s="114"/>
      <x:c r="E456" s="114"/>
      <x:c r="F456" s="114"/>
      <x:c r="G456" s="114"/>
      <x:c r="H456" s="114"/>
      <x:c r="I456" s="114"/>
      <x:c r="J456" s="114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  <x:c r="Z456" s="12"/>
      <x:c r="AA456" s="12"/>
      <x:c r="AB456" s="12"/>
      <x:c r="AC456" s="12"/>
      <x:c r="AD456" s="12"/>
      <x:c r="AE456" s="12"/>
      <x:c r="AF456" s="12"/>
      <x:c r="AG456" s="12"/>
    </x:row>
    <x:row r="457" ht="14.25" customHeight="1">
      <x:c r="A457" s="114"/>
      <x:c r="B457" s="114"/>
      <x:c r="C457" s="114"/>
      <x:c r="D457" s="114"/>
      <x:c r="E457" s="114"/>
      <x:c r="F457" s="114"/>
      <x:c r="G457" s="114"/>
      <x:c r="H457" s="114"/>
      <x:c r="I457" s="114"/>
      <x:c r="J457" s="114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  <x:c r="Z457" s="12"/>
      <x:c r="AA457" s="12"/>
      <x:c r="AB457" s="12"/>
      <x:c r="AC457" s="12"/>
      <x:c r="AD457" s="12"/>
      <x:c r="AE457" s="12"/>
      <x:c r="AF457" s="12"/>
      <x:c r="AG457" s="12"/>
    </x:row>
    <x:row r="458" ht="14.25" customHeight="1">
      <x:c r="A458" s="114"/>
      <x:c r="B458" s="114"/>
      <x:c r="C458" s="114"/>
      <x:c r="D458" s="114"/>
      <x:c r="E458" s="114"/>
      <x:c r="F458" s="114"/>
      <x:c r="G458" s="114"/>
      <x:c r="H458" s="114"/>
      <x:c r="I458" s="114"/>
      <x:c r="J458" s="114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  <x:c r="Z458" s="12"/>
      <x:c r="AA458" s="12"/>
      <x:c r="AB458" s="12"/>
      <x:c r="AC458" s="12"/>
      <x:c r="AD458" s="12"/>
      <x:c r="AE458" s="12"/>
      <x:c r="AF458" s="12"/>
      <x:c r="AG458" s="12"/>
    </x:row>
    <x:row r="459" ht="14.25" customHeight="1">
      <x:c r="A459" s="114"/>
      <x:c r="B459" s="114"/>
      <x:c r="C459" s="114"/>
      <x:c r="D459" s="114"/>
      <x:c r="E459" s="114"/>
      <x:c r="F459" s="114"/>
      <x:c r="G459" s="114"/>
      <x:c r="H459" s="114"/>
      <x:c r="I459" s="114"/>
      <x:c r="J459" s="114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  <x:c r="Z459" s="12"/>
      <x:c r="AA459" s="12"/>
      <x:c r="AB459" s="12"/>
      <x:c r="AC459" s="12"/>
      <x:c r="AD459" s="12"/>
      <x:c r="AE459" s="12"/>
      <x:c r="AF459" s="12"/>
      <x:c r="AG459" s="12"/>
    </x:row>
    <x:row r="460" ht="14.25" customHeight="1">
      <x:c r="A460" s="114"/>
      <x:c r="B460" s="114"/>
      <x:c r="C460" s="114"/>
      <x:c r="D460" s="114"/>
      <x:c r="E460" s="114"/>
      <x:c r="F460" s="114"/>
      <x:c r="G460" s="114"/>
      <x:c r="H460" s="114"/>
      <x:c r="I460" s="114"/>
      <x:c r="J460" s="114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  <x:c r="Z460" s="12"/>
      <x:c r="AA460" s="12"/>
      <x:c r="AB460" s="12"/>
      <x:c r="AC460" s="12"/>
      <x:c r="AD460" s="12"/>
      <x:c r="AE460" s="12"/>
      <x:c r="AF460" s="12"/>
      <x:c r="AG460" s="12"/>
    </x:row>
    <x:row r="461" ht="14.25" customHeight="1">
      <x:c r="A461" s="114"/>
      <x:c r="B461" s="114"/>
      <x:c r="C461" s="114"/>
      <x:c r="D461" s="114"/>
      <x:c r="E461" s="114"/>
      <x:c r="F461" s="114"/>
      <x:c r="G461" s="114"/>
      <x:c r="H461" s="114"/>
      <x:c r="I461" s="114"/>
      <x:c r="J461" s="114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  <x:c r="Z461" s="12"/>
      <x:c r="AA461" s="12"/>
      <x:c r="AB461" s="12"/>
      <x:c r="AC461" s="12"/>
      <x:c r="AD461" s="12"/>
      <x:c r="AE461" s="12"/>
      <x:c r="AF461" s="12"/>
      <x:c r="AG461" s="12"/>
    </x:row>
    <x:row r="462" ht="14.25" customHeight="1">
      <x:c r="A462" s="114"/>
      <x:c r="B462" s="114"/>
      <x:c r="C462" s="114"/>
      <x:c r="D462" s="114"/>
      <x:c r="E462" s="114"/>
      <x:c r="F462" s="114"/>
      <x:c r="G462" s="114"/>
      <x:c r="H462" s="114"/>
      <x:c r="I462" s="114"/>
      <x:c r="J462" s="114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  <x:c r="Z462" s="12"/>
      <x:c r="AA462" s="12"/>
      <x:c r="AB462" s="12"/>
      <x:c r="AC462" s="12"/>
      <x:c r="AD462" s="12"/>
      <x:c r="AE462" s="12"/>
      <x:c r="AF462" s="12"/>
      <x:c r="AG462" s="12"/>
    </x:row>
    <x:row r="463" ht="14.25" customHeight="1">
      <x:c r="A463" s="114"/>
      <x:c r="B463" s="114"/>
      <x:c r="C463" s="114"/>
      <x:c r="D463" s="114"/>
      <x:c r="E463" s="114"/>
      <x:c r="F463" s="114"/>
      <x:c r="G463" s="114"/>
      <x:c r="H463" s="114"/>
      <x:c r="I463" s="114"/>
      <x:c r="J463" s="114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  <x:c r="Z463" s="12"/>
      <x:c r="AA463" s="12"/>
      <x:c r="AB463" s="12"/>
      <x:c r="AC463" s="12"/>
      <x:c r="AD463" s="12"/>
      <x:c r="AE463" s="12"/>
      <x:c r="AF463" s="12"/>
      <x:c r="AG463" s="12"/>
    </x:row>
    <x:row r="464" ht="14.25" customHeight="1">
      <x:c r="A464" s="114"/>
      <x:c r="B464" s="114"/>
      <x:c r="C464" s="114"/>
      <x:c r="D464" s="114"/>
      <x:c r="E464" s="114"/>
      <x:c r="F464" s="114"/>
      <x:c r="G464" s="114"/>
      <x:c r="H464" s="114"/>
      <x:c r="I464" s="114"/>
      <x:c r="J464" s="114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  <x:c r="Z464" s="12"/>
      <x:c r="AA464" s="12"/>
      <x:c r="AB464" s="12"/>
      <x:c r="AC464" s="12"/>
      <x:c r="AD464" s="12"/>
      <x:c r="AE464" s="12"/>
      <x:c r="AF464" s="12"/>
      <x:c r="AG464" s="12"/>
    </x:row>
    <x:row r="465" ht="14.25" customHeight="1">
      <x:c r="A465" s="114"/>
      <x:c r="B465" s="114"/>
      <x:c r="C465" s="114"/>
      <x:c r="D465" s="114"/>
      <x:c r="E465" s="114"/>
      <x:c r="F465" s="114"/>
      <x:c r="G465" s="114"/>
      <x:c r="H465" s="114"/>
      <x:c r="I465" s="114"/>
      <x:c r="J465" s="114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  <x:c r="Z465" s="12"/>
      <x:c r="AA465" s="12"/>
      <x:c r="AB465" s="12"/>
      <x:c r="AC465" s="12"/>
      <x:c r="AD465" s="12"/>
      <x:c r="AE465" s="12"/>
      <x:c r="AF465" s="12"/>
      <x:c r="AG465" s="12"/>
    </x:row>
    <x:row r="466" ht="14.25" customHeight="1">
      <x:c r="A466" s="114"/>
      <x:c r="B466" s="114"/>
      <x:c r="C466" s="114"/>
      <x:c r="D466" s="114"/>
      <x:c r="E466" s="114"/>
      <x:c r="F466" s="114"/>
      <x:c r="G466" s="114"/>
      <x:c r="H466" s="114"/>
      <x:c r="I466" s="114"/>
      <x:c r="J466" s="114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  <x:c r="Z466" s="12"/>
      <x:c r="AA466" s="12"/>
      <x:c r="AB466" s="12"/>
      <x:c r="AC466" s="12"/>
      <x:c r="AD466" s="12"/>
      <x:c r="AE466" s="12"/>
      <x:c r="AF466" s="12"/>
      <x:c r="AG466" s="12"/>
    </x:row>
    <x:row r="467" ht="14.25" customHeight="1">
      <x:c r="A467" s="114"/>
      <x:c r="B467" s="114"/>
      <x:c r="C467" s="114"/>
      <x:c r="D467" s="114"/>
      <x:c r="E467" s="114"/>
      <x:c r="F467" s="114"/>
      <x:c r="G467" s="114"/>
      <x:c r="H467" s="114"/>
      <x:c r="I467" s="114"/>
      <x:c r="J467" s="114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  <x:c r="Z467" s="12"/>
      <x:c r="AA467" s="12"/>
      <x:c r="AB467" s="12"/>
      <x:c r="AC467" s="12"/>
      <x:c r="AD467" s="12"/>
      <x:c r="AE467" s="12"/>
      <x:c r="AF467" s="12"/>
      <x:c r="AG467" s="12"/>
    </x:row>
    <x:row r="468" ht="14.25" customHeight="1">
      <x:c r="A468" s="114"/>
      <x:c r="B468" s="114"/>
      <x:c r="C468" s="114"/>
      <x:c r="D468" s="114"/>
      <x:c r="E468" s="114"/>
      <x:c r="F468" s="114"/>
      <x:c r="G468" s="114"/>
      <x:c r="H468" s="114"/>
      <x:c r="I468" s="114"/>
      <x:c r="J468" s="114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  <x:c r="Z468" s="12"/>
      <x:c r="AA468" s="12"/>
      <x:c r="AB468" s="12"/>
      <x:c r="AC468" s="12"/>
      <x:c r="AD468" s="12"/>
      <x:c r="AE468" s="12"/>
      <x:c r="AF468" s="12"/>
      <x:c r="AG468" s="12"/>
    </x:row>
    <x:row r="469" ht="14.25" customHeight="1">
      <x:c r="A469" s="114"/>
      <x:c r="B469" s="114"/>
      <x:c r="C469" s="114"/>
      <x:c r="D469" s="114"/>
      <x:c r="E469" s="114"/>
      <x:c r="F469" s="114"/>
      <x:c r="G469" s="114"/>
      <x:c r="H469" s="114"/>
      <x:c r="I469" s="114"/>
      <x:c r="J469" s="114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  <x:c r="Z469" s="12"/>
      <x:c r="AA469" s="12"/>
      <x:c r="AB469" s="12"/>
      <x:c r="AC469" s="12"/>
      <x:c r="AD469" s="12"/>
      <x:c r="AE469" s="12"/>
      <x:c r="AF469" s="12"/>
      <x:c r="AG469" s="12"/>
    </x:row>
    <x:row r="470" ht="14.25" customHeight="1">
      <x:c r="A470" s="114"/>
      <x:c r="B470" s="114"/>
      <x:c r="C470" s="114"/>
      <x:c r="D470" s="114"/>
      <x:c r="E470" s="114"/>
      <x:c r="F470" s="114"/>
      <x:c r="G470" s="114"/>
      <x:c r="H470" s="114"/>
      <x:c r="I470" s="114"/>
      <x:c r="J470" s="114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  <x:c r="Z470" s="12"/>
      <x:c r="AA470" s="12"/>
      <x:c r="AB470" s="12"/>
      <x:c r="AC470" s="12"/>
      <x:c r="AD470" s="12"/>
      <x:c r="AE470" s="12"/>
      <x:c r="AF470" s="12"/>
      <x:c r="AG470" s="12"/>
    </x:row>
    <x:row r="471" ht="14.25" customHeight="1">
      <x:c r="A471" s="114"/>
      <x:c r="B471" s="114"/>
      <x:c r="C471" s="114"/>
      <x:c r="D471" s="114"/>
      <x:c r="E471" s="114"/>
      <x:c r="F471" s="114"/>
      <x:c r="G471" s="114"/>
      <x:c r="H471" s="114"/>
      <x:c r="I471" s="114"/>
      <x:c r="J471" s="114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  <x:c r="Z471" s="12"/>
      <x:c r="AA471" s="12"/>
      <x:c r="AB471" s="12"/>
      <x:c r="AC471" s="12"/>
      <x:c r="AD471" s="12"/>
      <x:c r="AE471" s="12"/>
      <x:c r="AF471" s="12"/>
      <x:c r="AG471" s="12"/>
    </x:row>
    <x:row r="472" ht="14.25" customHeight="1">
      <x:c r="A472" s="114"/>
      <x:c r="B472" s="114"/>
      <x:c r="C472" s="114"/>
      <x:c r="D472" s="114"/>
      <x:c r="E472" s="114"/>
      <x:c r="F472" s="114"/>
      <x:c r="G472" s="114"/>
      <x:c r="H472" s="114"/>
      <x:c r="I472" s="114"/>
      <x:c r="J472" s="114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  <x:c r="Z472" s="12"/>
      <x:c r="AA472" s="12"/>
      <x:c r="AB472" s="12"/>
      <x:c r="AC472" s="12"/>
      <x:c r="AD472" s="12"/>
      <x:c r="AE472" s="12"/>
      <x:c r="AF472" s="12"/>
      <x:c r="AG472" s="12"/>
    </x:row>
    <x:row r="473" ht="14.25" customHeight="1">
      <x:c r="A473" s="114"/>
      <x:c r="B473" s="114"/>
      <x:c r="C473" s="114"/>
      <x:c r="D473" s="114"/>
      <x:c r="E473" s="114"/>
      <x:c r="F473" s="114"/>
      <x:c r="G473" s="114"/>
      <x:c r="H473" s="114"/>
      <x:c r="I473" s="114"/>
      <x:c r="J473" s="114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  <x:c r="Z473" s="12"/>
      <x:c r="AA473" s="12"/>
      <x:c r="AB473" s="12"/>
      <x:c r="AC473" s="12"/>
      <x:c r="AD473" s="12"/>
      <x:c r="AE473" s="12"/>
      <x:c r="AF473" s="12"/>
      <x:c r="AG473" s="12"/>
    </x:row>
    <x:row r="474" ht="14.25" customHeight="1">
      <x:c r="A474" s="114"/>
      <x:c r="B474" s="114"/>
      <x:c r="C474" s="114"/>
      <x:c r="D474" s="114"/>
      <x:c r="E474" s="114"/>
      <x:c r="F474" s="114"/>
      <x:c r="G474" s="114"/>
      <x:c r="H474" s="114"/>
      <x:c r="I474" s="114"/>
      <x:c r="J474" s="114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  <x:c r="Z474" s="12"/>
      <x:c r="AA474" s="12"/>
      <x:c r="AB474" s="12"/>
      <x:c r="AC474" s="12"/>
      <x:c r="AD474" s="12"/>
      <x:c r="AE474" s="12"/>
      <x:c r="AF474" s="12"/>
      <x:c r="AG474" s="12"/>
    </x:row>
    <x:row r="475" ht="14.25" customHeight="1">
      <x:c r="A475" s="114"/>
      <x:c r="B475" s="114"/>
      <x:c r="C475" s="114"/>
      <x:c r="D475" s="114"/>
      <x:c r="E475" s="114"/>
      <x:c r="F475" s="114"/>
      <x:c r="G475" s="114"/>
      <x:c r="H475" s="114"/>
      <x:c r="I475" s="114"/>
      <x:c r="J475" s="114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  <x:c r="Z475" s="12"/>
      <x:c r="AA475" s="12"/>
      <x:c r="AB475" s="12"/>
      <x:c r="AC475" s="12"/>
      <x:c r="AD475" s="12"/>
      <x:c r="AE475" s="12"/>
      <x:c r="AF475" s="12"/>
      <x:c r="AG475" s="12"/>
    </x:row>
    <x:row r="476" ht="14.25" customHeight="1">
      <x:c r="A476" s="114"/>
      <x:c r="B476" s="114"/>
      <x:c r="C476" s="114"/>
      <x:c r="D476" s="114"/>
      <x:c r="E476" s="114"/>
      <x:c r="F476" s="114"/>
      <x:c r="G476" s="114"/>
      <x:c r="H476" s="114"/>
      <x:c r="I476" s="114"/>
      <x:c r="J476" s="114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  <x:c r="Z476" s="12"/>
      <x:c r="AA476" s="12"/>
      <x:c r="AB476" s="12"/>
      <x:c r="AC476" s="12"/>
      <x:c r="AD476" s="12"/>
      <x:c r="AE476" s="12"/>
      <x:c r="AF476" s="12"/>
      <x:c r="AG476" s="12"/>
    </x:row>
    <x:row r="477" ht="14.25" customHeight="1">
      <x:c r="A477" s="114"/>
      <x:c r="B477" s="114"/>
      <x:c r="C477" s="114"/>
      <x:c r="D477" s="114"/>
      <x:c r="E477" s="114"/>
      <x:c r="F477" s="114"/>
      <x:c r="G477" s="114"/>
      <x:c r="H477" s="114"/>
      <x:c r="I477" s="114"/>
      <x:c r="J477" s="114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  <x:c r="Z477" s="12"/>
      <x:c r="AA477" s="12"/>
      <x:c r="AB477" s="12"/>
      <x:c r="AC477" s="12"/>
      <x:c r="AD477" s="12"/>
      <x:c r="AE477" s="12"/>
      <x:c r="AF477" s="12"/>
      <x:c r="AG477" s="12"/>
    </x:row>
    <x:row r="478" ht="14.25" customHeight="1">
      <x:c r="A478" s="114"/>
      <x:c r="B478" s="114"/>
      <x:c r="C478" s="114"/>
      <x:c r="D478" s="114"/>
      <x:c r="E478" s="114"/>
      <x:c r="F478" s="114"/>
      <x:c r="G478" s="114"/>
      <x:c r="H478" s="114"/>
      <x:c r="I478" s="114"/>
      <x:c r="J478" s="114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  <x:c r="Z478" s="12"/>
      <x:c r="AA478" s="12"/>
      <x:c r="AB478" s="12"/>
      <x:c r="AC478" s="12"/>
      <x:c r="AD478" s="12"/>
      <x:c r="AE478" s="12"/>
      <x:c r="AF478" s="12"/>
      <x:c r="AG478" s="12"/>
    </x:row>
    <x:row r="479" ht="14.25" customHeight="1">
      <x:c r="A479" s="114"/>
      <x:c r="B479" s="114"/>
      <x:c r="C479" s="114"/>
      <x:c r="D479" s="114"/>
      <x:c r="E479" s="114"/>
      <x:c r="F479" s="114"/>
      <x:c r="G479" s="114"/>
      <x:c r="H479" s="114"/>
      <x:c r="I479" s="114"/>
      <x:c r="J479" s="114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  <x:c r="Z479" s="12"/>
      <x:c r="AA479" s="12"/>
      <x:c r="AB479" s="12"/>
      <x:c r="AC479" s="12"/>
      <x:c r="AD479" s="12"/>
      <x:c r="AE479" s="12"/>
      <x:c r="AF479" s="12"/>
      <x:c r="AG479" s="12"/>
    </x:row>
    <x:row r="480" ht="14.25" customHeight="1">
      <x:c r="A480" s="114"/>
      <x:c r="B480" s="114"/>
      <x:c r="C480" s="114"/>
      <x:c r="D480" s="114"/>
      <x:c r="E480" s="114"/>
      <x:c r="F480" s="114"/>
      <x:c r="G480" s="114"/>
      <x:c r="H480" s="114"/>
      <x:c r="I480" s="114"/>
      <x:c r="J480" s="114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  <x:c r="Z480" s="12"/>
      <x:c r="AA480" s="12"/>
      <x:c r="AB480" s="12"/>
      <x:c r="AC480" s="12"/>
      <x:c r="AD480" s="12"/>
      <x:c r="AE480" s="12"/>
      <x:c r="AF480" s="12"/>
      <x:c r="AG480" s="12"/>
    </x:row>
    <x:row r="481" ht="14.25" customHeight="1">
      <x:c r="A481" s="114"/>
      <x:c r="B481" s="114"/>
      <x:c r="C481" s="114"/>
      <x:c r="D481" s="114"/>
      <x:c r="E481" s="114"/>
      <x:c r="F481" s="114"/>
      <x:c r="G481" s="114"/>
      <x:c r="H481" s="114"/>
      <x:c r="I481" s="114"/>
      <x:c r="J481" s="114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  <x:c r="Z481" s="12"/>
      <x:c r="AA481" s="12"/>
      <x:c r="AB481" s="12"/>
      <x:c r="AC481" s="12"/>
      <x:c r="AD481" s="12"/>
      <x:c r="AE481" s="12"/>
      <x:c r="AF481" s="12"/>
      <x:c r="AG481" s="12"/>
    </x:row>
    <x:row r="482" ht="14.25" customHeight="1">
      <x:c r="A482" s="114"/>
      <x:c r="B482" s="114"/>
      <x:c r="C482" s="114"/>
      <x:c r="D482" s="114"/>
      <x:c r="E482" s="114"/>
      <x:c r="F482" s="114"/>
      <x:c r="G482" s="114"/>
      <x:c r="H482" s="114"/>
      <x:c r="I482" s="114"/>
      <x:c r="J482" s="114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  <x:c r="Z482" s="12"/>
      <x:c r="AA482" s="12"/>
      <x:c r="AB482" s="12"/>
      <x:c r="AC482" s="12"/>
      <x:c r="AD482" s="12"/>
      <x:c r="AE482" s="12"/>
      <x:c r="AF482" s="12"/>
      <x:c r="AG482" s="12"/>
    </x:row>
    <x:row r="483" ht="14.25" customHeight="1">
      <x:c r="A483" s="114"/>
      <x:c r="B483" s="114"/>
      <x:c r="C483" s="114"/>
      <x:c r="D483" s="114"/>
      <x:c r="E483" s="114"/>
      <x:c r="F483" s="114"/>
      <x:c r="G483" s="114"/>
      <x:c r="H483" s="114"/>
      <x:c r="I483" s="114"/>
      <x:c r="J483" s="114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  <x:c r="Z483" s="12"/>
      <x:c r="AA483" s="12"/>
      <x:c r="AB483" s="12"/>
      <x:c r="AC483" s="12"/>
      <x:c r="AD483" s="12"/>
      <x:c r="AE483" s="12"/>
      <x:c r="AF483" s="12"/>
      <x:c r="AG483" s="12"/>
    </x:row>
    <x:row r="484" ht="14.25" customHeight="1">
      <x:c r="A484" s="114"/>
      <x:c r="B484" s="114"/>
      <x:c r="C484" s="114"/>
      <x:c r="D484" s="114"/>
      <x:c r="E484" s="114"/>
      <x:c r="F484" s="114"/>
      <x:c r="G484" s="114"/>
      <x:c r="H484" s="114"/>
      <x:c r="I484" s="114"/>
      <x:c r="J484" s="114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  <x:c r="Z484" s="12"/>
      <x:c r="AA484" s="12"/>
      <x:c r="AB484" s="12"/>
      <x:c r="AC484" s="12"/>
      <x:c r="AD484" s="12"/>
      <x:c r="AE484" s="12"/>
      <x:c r="AF484" s="12"/>
      <x:c r="AG484" s="12"/>
    </x:row>
    <x:row r="485" ht="14.25" customHeight="1">
      <x:c r="A485" s="114"/>
      <x:c r="B485" s="114"/>
      <x:c r="C485" s="114"/>
      <x:c r="D485" s="114"/>
      <x:c r="E485" s="114"/>
      <x:c r="F485" s="114"/>
      <x:c r="G485" s="114"/>
      <x:c r="H485" s="114"/>
      <x:c r="I485" s="114"/>
      <x:c r="J485" s="114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  <x:c r="Z485" s="12"/>
      <x:c r="AA485" s="12"/>
      <x:c r="AB485" s="12"/>
      <x:c r="AC485" s="12"/>
      <x:c r="AD485" s="12"/>
      <x:c r="AE485" s="12"/>
      <x:c r="AF485" s="12"/>
      <x:c r="AG485" s="12"/>
    </x:row>
    <x:row r="486" ht="14.25" customHeight="1">
      <x:c r="A486" s="114"/>
      <x:c r="B486" s="114"/>
      <x:c r="C486" s="114"/>
      <x:c r="D486" s="114"/>
      <x:c r="E486" s="114"/>
      <x:c r="F486" s="114"/>
      <x:c r="G486" s="114"/>
      <x:c r="H486" s="114"/>
      <x:c r="I486" s="114"/>
      <x:c r="J486" s="114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  <x:c r="Z486" s="12"/>
      <x:c r="AA486" s="12"/>
      <x:c r="AB486" s="12"/>
      <x:c r="AC486" s="12"/>
      <x:c r="AD486" s="12"/>
      <x:c r="AE486" s="12"/>
      <x:c r="AF486" s="12"/>
      <x:c r="AG486" s="12"/>
    </x:row>
    <x:row r="487" ht="14.25" customHeight="1">
      <x:c r="A487" s="114"/>
      <x:c r="B487" s="114"/>
      <x:c r="C487" s="114"/>
      <x:c r="D487" s="114"/>
      <x:c r="E487" s="114"/>
      <x:c r="F487" s="114"/>
      <x:c r="G487" s="114"/>
      <x:c r="H487" s="114"/>
      <x:c r="I487" s="114"/>
      <x:c r="J487" s="114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  <x:c r="Z487" s="12"/>
      <x:c r="AA487" s="12"/>
      <x:c r="AB487" s="12"/>
      <x:c r="AC487" s="12"/>
      <x:c r="AD487" s="12"/>
      <x:c r="AE487" s="12"/>
      <x:c r="AF487" s="12"/>
      <x:c r="AG487" s="12"/>
    </x:row>
    <x:row r="488" ht="14.25" customHeight="1">
      <x:c r="A488" s="114"/>
      <x:c r="B488" s="114"/>
      <x:c r="C488" s="114"/>
      <x:c r="D488" s="114"/>
      <x:c r="E488" s="114"/>
      <x:c r="F488" s="114"/>
      <x:c r="G488" s="114"/>
      <x:c r="H488" s="114"/>
      <x:c r="I488" s="114"/>
      <x:c r="J488" s="114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  <x:c r="Z488" s="12"/>
      <x:c r="AA488" s="12"/>
      <x:c r="AB488" s="12"/>
      <x:c r="AC488" s="12"/>
      <x:c r="AD488" s="12"/>
      <x:c r="AE488" s="12"/>
      <x:c r="AF488" s="12"/>
      <x:c r="AG488" s="12"/>
    </x:row>
    <x:row r="489" ht="14.25" customHeight="1">
      <x:c r="A489" s="114"/>
      <x:c r="B489" s="114"/>
      <x:c r="C489" s="114"/>
      <x:c r="D489" s="114"/>
      <x:c r="E489" s="114"/>
      <x:c r="F489" s="114"/>
      <x:c r="G489" s="114"/>
      <x:c r="H489" s="114"/>
      <x:c r="I489" s="114"/>
      <x:c r="J489" s="114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  <x:c r="Z489" s="12"/>
      <x:c r="AA489" s="12"/>
      <x:c r="AB489" s="12"/>
      <x:c r="AC489" s="12"/>
      <x:c r="AD489" s="12"/>
      <x:c r="AE489" s="12"/>
      <x:c r="AF489" s="12"/>
      <x:c r="AG489" s="12"/>
    </x:row>
    <x:row r="490" ht="14.25" customHeight="1">
      <x:c r="A490" s="114"/>
      <x:c r="B490" s="114"/>
      <x:c r="C490" s="114"/>
      <x:c r="D490" s="114"/>
      <x:c r="E490" s="114"/>
      <x:c r="F490" s="114"/>
      <x:c r="G490" s="114"/>
      <x:c r="H490" s="114"/>
      <x:c r="I490" s="114"/>
      <x:c r="J490" s="114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  <x:c r="Z490" s="12"/>
      <x:c r="AA490" s="12"/>
      <x:c r="AB490" s="12"/>
      <x:c r="AC490" s="12"/>
      <x:c r="AD490" s="12"/>
      <x:c r="AE490" s="12"/>
      <x:c r="AF490" s="12"/>
      <x:c r="AG490" s="12"/>
    </x:row>
    <x:row r="491" ht="14.25" customHeight="1">
      <x:c r="A491" s="114"/>
      <x:c r="B491" s="114"/>
      <x:c r="C491" s="114"/>
      <x:c r="D491" s="114"/>
      <x:c r="E491" s="114"/>
      <x:c r="F491" s="114"/>
      <x:c r="G491" s="114"/>
      <x:c r="H491" s="114"/>
      <x:c r="I491" s="114"/>
      <x:c r="J491" s="114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  <x:c r="Z491" s="12"/>
      <x:c r="AA491" s="12"/>
      <x:c r="AB491" s="12"/>
      <x:c r="AC491" s="12"/>
      <x:c r="AD491" s="12"/>
      <x:c r="AE491" s="12"/>
      <x:c r="AF491" s="12"/>
      <x:c r="AG491" s="12"/>
    </x:row>
    <x:row r="492" ht="14.25" customHeight="1">
      <x:c r="A492" s="114"/>
      <x:c r="B492" s="114"/>
      <x:c r="C492" s="114"/>
      <x:c r="D492" s="114"/>
      <x:c r="E492" s="114"/>
      <x:c r="F492" s="114"/>
      <x:c r="G492" s="114"/>
      <x:c r="H492" s="114"/>
      <x:c r="I492" s="114"/>
      <x:c r="J492" s="114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  <x:c r="Z492" s="12"/>
      <x:c r="AA492" s="12"/>
      <x:c r="AB492" s="12"/>
      <x:c r="AC492" s="12"/>
      <x:c r="AD492" s="12"/>
      <x:c r="AE492" s="12"/>
      <x:c r="AF492" s="12"/>
      <x:c r="AG492" s="12"/>
    </x:row>
    <x:row r="493" ht="14.25" customHeight="1">
      <x:c r="A493" s="114"/>
      <x:c r="B493" s="114"/>
      <x:c r="C493" s="114"/>
      <x:c r="D493" s="114"/>
      <x:c r="E493" s="114"/>
      <x:c r="F493" s="114"/>
      <x:c r="G493" s="114"/>
      <x:c r="H493" s="114"/>
      <x:c r="I493" s="114"/>
      <x:c r="J493" s="114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  <x:c r="Z493" s="12"/>
      <x:c r="AA493" s="12"/>
      <x:c r="AB493" s="12"/>
      <x:c r="AC493" s="12"/>
      <x:c r="AD493" s="12"/>
      <x:c r="AE493" s="12"/>
      <x:c r="AF493" s="12"/>
      <x:c r="AG493" s="12"/>
    </x:row>
    <x:row r="494" ht="14.25" customHeight="1">
      <x:c r="A494" s="114"/>
      <x:c r="B494" s="114"/>
      <x:c r="C494" s="114"/>
      <x:c r="D494" s="114"/>
      <x:c r="E494" s="114"/>
      <x:c r="F494" s="114"/>
      <x:c r="G494" s="114"/>
      <x:c r="H494" s="114"/>
      <x:c r="I494" s="114"/>
      <x:c r="J494" s="114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  <x:c r="Z494" s="12"/>
      <x:c r="AA494" s="12"/>
      <x:c r="AB494" s="12"/>
      <x:c r="AC494" s="12"/>
      <x:c r="AD494" s="12"/>
      <x:c r="AE494" s="12"/>
      <x:c r="AF494" s="12"/>
      <x:c r="AG494" s="12"/>
    </x:row>
    <x:row r="495" ht="14.25" customHeight="1">
      <x:c r="A495" s="114"/>
      <x:c r="B495" s="114"/>
      <x:c r="C495" s="114"/>
      <x:c r="D495" s="114"/>
      <x:c r="E495" s="114"/>
      <x:c r="F495" s="114"/>
      <x:c r="G495" s="114"/>
      <x:c r="H495" s="114"/>
      <x:c r="I495" s="114"/>
      <x:c r="J495" s="114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  <x:c r="Z495" s="12"/>
      <x:c r="AA495" s="12"/>
      <x:c r="AB495" s="12"/>
      <x:c r="AC495" s="12"/>
      <x:c r="AD495" s="12"/>
      <x:c r="AE495" s="12"/>
      <x:c r="AF495" s="12"/>
      <x:c r="AG495" s="12"/>
    </x:row>
    <x:row r="496" ht="14.25" customHeight="1">
      <x:c r="A496" s="114"/>
      <x:c r="B496" s="114"/>
      <x:c r="C496" s="114"/>
      <x:c r="D496" s="114"/>
      <x:c r="E496" s="114"/>
      <x:c r="F496" s="114"/>
      <x:c r="G496" s="114"/>
      <x:c r="H496" s="114"/>
      <x:c r="I496" s="114"/>
      <x:c r="J496" s="114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  <x:c r="Z496" s="12"/>
      <x:c r="AA496" s="12"/>
      <x:c r="AB496" s="12"/>
      <x:c r="AC496" s="12"/>
      <x:c r="AD496" s="12"/>
      <x:c r="AE496" s="12"/>
      <x:c r="AF496" s="12"/>
      <x:c r="AG496" s="12"/>
    </x:row>
    <x:row r="497" ht="14.25" customHeight="1">
      <x:c r="A497" s="114"/>
      <x:c r="B497" s="114"/>
      <x:c r="C497" s="114"/>
      <x:c r="D497" s="114"/>
      <x:c r="E497" s="114"/>
      <x:c r="F497" s="114"/>
      <x:c r="G497" s="114"/>
      <x:c r="H497" s="114"/>
      <x:c r="I497" s="114"/>
      <x:c r="J497" s="114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  <x:c r="Z497" s="12"/>
      <x:c r="AA497" s="12"/>
      <x:c r="AB497" s="12"/>
      <x:c r="AC497" s="12"/>
      <x:c r="AD497" s="12"/>
      <x:c r="AE497" s="12"/>
      <x:c r="AF497" s="12"/>
      <x:c r="AG497" s="12"/>
    </x:row>
    <x:row r="498" ht="14.25" customHeight="1">
      <x:c r="A498" s="114"/>
      <x:c r="B498" s="114"/>
      <x:c r="C498" s="114"/>
      <x:c r="D498" s="114"/>
      <x:c r="E498" s="114"/>
      <x:c r="F498" s="114"/>
      <x:c r="G498" s="114"/>
      <x:c r="H498" s="114"/>
      <x:c r="I498" s="114"/>
      <x:c r="J498" s="114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  <x:c r="Z498" s="12"/>
      <x:c r="AA498" s="12"/>
      <x:c r="AB498" s="12"/>
      <x:c r="AC498" s="12"/>
      <x:c r="AD498" s="12"/>
      <x:c r="AE498" s="12"/>
      <x:c r="AF498" s="12"/>
      <x:c r="AG498" s="12"/>
    </x:row>
    <x:row r="499" ht="14.25" customHeight="1">
      <x:c r="A499" s="114"/>
      <x:c r="B499" s="114"/>
      <x:c r="C499" s="114"/>
      <x:c r="D499" s="114"/>
      <x:c r="E499" s="114"/>
      <x:c r="F499" s="114"/>
      <x:c r="G499" s="114"/>
      <x:c r="H499" s="114"/>
      <x:c r="I499" s="114"/>
      <x:c r="J499" s="114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  <x:c r="Z499" s="12"/>
      <x:c r="AA499" s="12"/>
      <x:c r="AB499" s="12"/>
      <x:c r="AC499" s="12"/>
      <x:c r="AD499" s="12"/>
      <x:c r="AE499" s="12"/>
      <x:c r="AF499" s="12"/>
      <x:c r="AG499" s="12"/>
    </x:row>
    <x:row r="500" ht="14.25" customHeight="1">
      <x:c r="A500" s="114"/>
      <x:c r="B500" s="114"/>
      <x:c r="C500" s="114"/>
      <x:c r="D500" s="114"/>
      <x:c r="E500" s="114"/>
      <x:c r="F500" s="114"/>
      <x:c r="G500" s="114"/>
      <x:c r="H500" s="114"/>
      <x:c r="I500" s="114"/>
      <x:c r="J500" s="114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  <x:c r="Z500" s="12"/>
      <x:c r="AA500" s="12"/>
      <x:c r="AB500" s="12"/>
      <x:c r="AC500" s="12"/>
      <x:c r="AD500" s="12"/>
      <x:c r="AE500" s="12"/>
      <x:c r="AF500" s="12"/>
      <x:c r="AG500" s="12"/>
    </x:row>
    <x:row r="501" ht="14.25" customHeight="1">
      <x:c r="A501" s="114"/>
      <x:c r="B501" s="114"/>
      <x:c r="C501" s="114"/>
      <x:c r="D501" s="114"/>
      <x:c r="E501" s="114"/>
      <x:c r="F501" s="114"/>
      <x:c r="G501" s="114"/>
      <x:c r="H501" s="114"/>
      <x:c r="I501" s="114"/>
      <x:c r="J501" s="114"/>
      <x:c r="K501" s="12"/>
      <x:c r="L501" s="12"/>
      <x:c r="M501" s="12"/>
      <x:c r="N501" s="12"/>
      <x:c r="O501" s="12"/>
      <x:c r="P501" s="12"/>
      <x:c r="Q501" s="12"/>
      <x:c r="R501" s="12"/>
      <x:c r="S501" s="12"/>
      <x:c r="T501" s="12"/>
      <x:c r="U501" s="12"/>
      <x:c r="V501" s="12"/>
      <x:c r="W501" s="12"/>
      <x:c r="X501" s="12"/>
      <x:c r="Y501" s="12"/>
      <x:c r="Z501" s="12"/>
      <x:c r="AA501" s="12"/>
      <x:c r="AB501" s="12"/>
      <x:c r="AC501" s="12"/>
      <x:c r="AD501" s="12"/>
      <x:c r="AE501" s="12"/>
      <x:c r="AF501" s="12"/>
      <x:c r="AG501" s="12"/>
    </x:row>
    <x:row r="502" ht="14.25" customHeight="1">
      <x:c r="A502" s="114"/>
      <x:c r="B502" s="114"/>
      <x:c r="C502" s="114"/>
      <x:c r="D502" s="114"/>
      <x:c r="E502" s="114"/>
      <x:c r="F502" s="114"/>
      <x:c r="G502" s="114"/>
      <x:c r="H502" s="114"/>
      <x:c r="I502" s="114"/>
      <x:c r="J502" s="114"/>
      <x:c r="K502" s="12"/>
      <x:c r="L502" s="12"/>
      <x:c r="M502" s="12"/>
      <x:c r="N502" s="12"/>
      <x:c r="O502" s="12"/>
      <x:c r="P502" s="12"/>
      <x:c r="Q502" s="12"/>
      <x:c r="R502" s="12"/>
      <x:c r="S502" s="12"/>
      <x:c r="T502" s="12"/>
      <x:c r="U502" s="12"/>
      <x:c r="V502" s="12"/>
      <x:c r="W502" s="12"/>
      <x:c r="X502" s="12"/>
      <x:c r="Y502" s="12"/>
      <x:c r="Z502" s="12"/>
      <x:c r="AA502" s="12"/>
      <x:c r="AB502" s="12"/>
      <x:c r="AC502" s="12"/>
      <x:c r="AD502" s="12"/>
      <x:c r="AE502" s="12"/>
      <x:c r="AF502" s="12"/>
      <x:c r="AG502" s="12"/>
    </x:row>
    <x:row r="503" ht="14.25" customHeight="1">
      <x:c r="A503" s="114"/>
      <x:c r="B503" s="114"/>
      <x:c r="C503" s="114"/>
      <x:c r="D503" s="114"/>
      <x:c r="E503" s="114"/>
      <x:c r="F503" s="114"/>
      <x:c r="G503" s="114"/>
      <x:c r="H503" s="114"/>
      <x:c r="I503" s="114"/>
      <x:c r="J503" s="114"/>
      <x:c r="K503" s="12"/>
      <x:c r="L503" s="12"/>
      <x:c r="M503" s="12"/>
      <x:c r="N503" s="12"/>
      <x:c r="O503" s="12"/>
      <x:c r="P503" s="12"/>
      <x:c r="Q503" s="12"/>
      <x:c r="R503" s="12"/>
      <x:c r="S503" s="12"/>
      <x:c r="T503" s="12"/>
      <x:c r="U503" s="12"/>
      <x:c r="V503" s="12"/>
      <x:c r="W503" s="12"/>
      <x:c r="X503" s="12"/>
      <x:c r="Y503" s="12"/>
      <x:c r="Z503" s="12"/>
      <x:c r="AA503" s="12"/>
      <x:c r="AB503" s="12"/>
      <x:c r="AC503" s="12"/>
      <x:c r="AD503" s="12"/>
      <x:c r="AE503" s="12"/>
      <x:c r="AF503" s="12"/>
      <x:c r="AG503" s="12"/>
    </x:row>
    <x:row r="504" ht="14.25" customHeight="1">
      <x:c r="A504" s="114"/>
      <x:c r="B504" s="114"/>
      <x:c r="C504" s="114"/>
      <x:c r="D504" s="114"/>
      <x:c r="E504" s="114"/>
      <x:c r="F504" s="114"/>
      <x:c r="G504" s="114"/>
      <x:c r="H504" s="114"/>
      <x:c r="I504" s="114"/>
      <x:c r="J504" s="114"/>
      <x:c r="K504" s="12"/>
      <x:c r="L504" s="12"/>
      <x:c r="M504" s="12"/>
      <x:c r="N504" s="12"/>
      <x:c r="O504" s="12"/>
      <x:c r="P504" s="12"/>
      <x:c r="Q504" s="12"/>
      <x:c r="R504" s="12"/>
      <x:c r="S504" s="12"/>
      <x:c r="T504" s="12"/>
      <x:c r="U504" s="12"/>
      <x:c r="V504" s="12"/>
      <x:c r="W504" s="12"/>
      <x:c r="X504" s="12"/>
      <x:c r="Y504" s="12"/>
      <x:c r="Z504" s="12"/>
      <x:c r="AA504" s="12"/>
      <x:c r="AB504" s="12"/>
      <x:c r="AC504" s="12"/>
      <x:c r="AD504" s="12"/>
      <x:c r="AE504" s="12"/>
      <x:c r="AF504" s="12"/>
      <x:c r="AG504" s="12"/>
    </x:row>
    <x:row r="505" ht="14.25" customHeight="1">
      <x:c r="A505" s="114"/>
      <x:c r="B505" s="114"/>
      <x:c r="C505" s="114"/>
      <x:c r="D505" s="114"/>
      <x:c r="E505" s="114"/>
      <x:c r="F505" s="114"/>
      <x:c r="G505" s="114"/>
      <x:c r="H505" s="114"/>
      <x:c r="I505" s="114"/>
      <x:c r="J505" s="114"/>
      <x:c r="K505" s="12"/>
      <x:c r="L505" s="12"/>
      <x:c r="M505" s="12"/>
      <x:c r="N505" s="12"/>
      <x:c r="O505" s="12"/>
      <x:c r="P505" s="12"/>
      <x:c r="Q505" s="12"/>
      <x:c r="R505" s="12"/>
      <x:c r="S505" s="12"/>
      <x:c r="T505" s="12"/>
      <x:c r="U505" s="12"/>
      <x:c r="V505" s="12"/>
      <x:c r="W505" s="12"/>
      <x:c r="X505" s="12"/>
      <x:c r="Y505" s="12"/>
      <x:c r="Z505" s="12"/>
      <x:c r="AA505" s="12"/>
      <x:c r="AB505" s="12"/>
      <x:c r="AC505" s="12"/>
      <x:c r="AD505" s="12"/>
      <x:c r="AE505" s="12"/>
      <x:c r="AF505" s="12"/>
      <x:c r="AG505" s="12"/>
    </x:row>
    <x:row r="506" ht="14.25" customHeight="1">
      <x:c r="A506" s="114"/>
      <x:c r="B506" s="114"/>
      <x:c r="C506" s="114"/>
      <x:c r="D506" s="114"/>
      <x:c r="E506" s="114"/>
      <x:c r="F506" s="114"/>
      <x:c r="G506" s="114"/>
      <x:c r="H506" s="114"/>
      <x:c r="I506" s="114"/>
      <x:c r="J506" s="114"/>
      <x:c r="K506" s="12"/>
      <x:c r="L506" s="12"/>
      <x:c r="M506" s="12"/>
      <x:c r="N506" s="12"/>
      <x:c r="O506" s="12"/>
      <x:c r="P506" s="12"/>
      <x:c r="Q506" s="12"/>
      <x:c r="R506" s="12"/>
      <x:c r="S506" s="12"/>
      <x:c r="T506" s="12"/>
      <x:c r="U506" s="12"/>
      <x:c r="V506" s="12"/>
      <x:c r="W506" s="12"/>
      <x:c r="X506" s="12"/>
      <x:c r="Y506" s="12"/>
      <x:c r="Z506" s="12"/>
      <x:c r="AA506" s="12"/>
      <x:c r="AB506" s="12"/>
      <x:c r="AC506" s="12"/>
      <x:c r="AD506" s="12"/>
      <x:c r="AE506" s="12"/>
      <x:c r="AF506" s="12"/>
      <x:c r="AG506" s="12"/>
    </x:row>
    <x:row r="507" ht="14.25" customHeight="1">
      <x:c r="A507" s="114"/>
      <x:c r="B507" s="114"/>
      <x:c r="C507" s="114"/>
      <x:c r="D507" s="114"/>
      <x:c r="E507" s="114"/>
      <x:c r="F507" s="114"/>
      <x:c r="G507" s="114"/>
      <x:c r="H507" s="114"/>
      <x:c r="I507" s="114"/>
      <x:c r="J507" s="114"/>
      <x:c r="K507" s="12"/>
      <x:c r="L507" s="12"/>
      <x:c r="M507" s="12"/>
      <x:c r="N507" s="12"/>
      <x:c r="O507" s="12"/>
      <x:c r="P507" s="12"/>
      <x:c r="Q507" s="12"/>
      <x:c r="R507" s="12"/>
      <x:c r="S507" s="12"/>
      <x:c r="T507" s="12"/>
      <x:c r="U507" s="12"/>
      <x:c r="V507" s="12"/>
      <x:c r="W507" s="12"/>
      <x:c r="X507" s="12"/>
      <x:c r="Y507" s="12"/>
      <x:c r="Z507" s="12"/>
      <x:c r="AA507" s="12"/>
      <x:c r="AB507" s="12"/>
      <x:c r="AC507" s="12"/>
      <x:c r="AD507" s="12"/>
      <x:c r="AE507" s="12"/>
      <x:c r="AF507" s="12"/>
      <x:c r="AG507" s="12"/>
    </x:row>
    <x:row r="508" ht="14.25" customHeight="1">
      <x:c r="A508" s="114"/>
      <x:c r="B508" s="114"/>
      <x:c r="C508" s="114"/>
      <x:c r="D508" s="114"/>
      <x:c r="E508" s="114"/>
      <x:c r="F508" s="114"/>
      <x:c r="G508" s="114"/>
      <x:c r="H508" s="114"/>
      <x:c r="I508" s="114"/>
      <x:c r="J508" s="114"/>
      <x:c r="K508" s="12"/>
      <x:c r="L508" s="12"/>
      <x:c r="M508" s="12"/>
      <x:c r="N508" s="12"/>
      <x:c r="O508" s="12"/>
      <x:c r="P508" s="12"/>
      <x:c r="Q508" s="12"/>
      <x:c r="R508" s="12"/>
      <x:c r="S508" s="12"/>
      <x:c r="T508" s="12"/>
      <x:c r="U508" s="12"/>
      <x:c r="V508" s="12"/>
      <x:c r="W508" s="12"/>
      <x:c r="X508" s="12"/>
      <x:c r="Y508" s="12"/>
      <x:c r="Z508" s="12"/>
      <x:c r="AA508" s="12"/>
      <x:c r="AB508" s="12"/>
      <x:c r="AC508" s="12"/>
      <x:c r="AD508" s="12"/>
      <x:c r="AE508" s="12"/>
      <x:c r="AF508" s="12"/>
      <x:c r="AG508" s="12"/>
    </x:row>
    <x:row r="509" ht="14.25" customHeight="1">
      <x:c r="A509" s="114"/>
      <x:c r="B509" s="114"/>
      <x:c r="C509" s="114"/>
      <x:c r="D509" s="114"/>
      <x:c r="E509" s="114"/>
      <x:c r="F509" s="114"/>
      <x:c r="G509" s="114"/>
      <x:c r="H509" s="114"/>
      <x:c r="I509" s="114"/>
      <x:c r="J509" s="114"/>
      <x:c r="K509" s="12"/>
      <x:c r="L509" s="12"/>
      <x:c r="M509" s="12"/>
      <x:c r="N509" s="12"/>
      <x:c r="O509" s="12"/>
      <x:c r="P509" s="12"/>
      <x:c r="Q509" s="12"/>
      <x:c r="R509" s="12"/>
      <x:c r="S509" s="12"/>
      <x:c r="T509" s="12"/>
      <x:c r="U509" s="12"/>
      <x:c r="V509" s="12"/>
      <x:c r="W509" s="12"/>
      <x:c r="X509" s="12"/>
      <x:c r="Y509" s="12"/>
      <x:c r="Z509" s="12"/>
      <x:c r="AA509" s="12"/>
      <x:c r="AB509" s="12"/>
      <x:c r="AC509" s="12"/>
      <x:c r="AD509" s="12"/>
      <x:c r="AE509" s="12"/>
      <x:c r="AF509" s="12"/>
      <x:c r="AG509" s="12"/>
    </x:row>
    <x:row r="510" ht="14.25" customHeight="1">
      <x:c r="A510" s="114"/>
      <x:c r="B510" s="114"/>
      <x:c r="C510" s="114"/>
      <x:c r="D510" s="114"/>
      <x:c r="E510" s="114"/>
      <x:c r="F510" s="114"/>
      <x:c r="G510" s="114"/>
      <x:c r="H510" s="114"/>
      <x:c r="I510" s="114"/>
      <x:c r="J510" s="114"/>
      <x:c r="K510" s="12"/>
      <x:c r="L510" s="12"/>
      <x:c r="M510" s="12"/>
      <x:c r="N510" s="12"/>
      <x:c r="O510" s="12"/>
      <x:c r="P510" s="12"/>
      <x:c r="Q510" s="12"/>
      <x:c r="R510" s="12"/>
      <x:c r="S510" s="12"/>
      <x:c r="T510" s="12"/>
      <x:c r="U510" s="12"/>
      <x:c r="V510" s="12"/>
      <x:c r="W510" s="12"/>
      <x:c r="X510" s="12"/>
      <x:c r="Y510" s="12"/>
      <x:c r="Z510" s="12"/>
      <x:c r="AA510" s="12"/>
      <x:c r="AB510" s="12"/>
      <x:c r="AC510" s="12"/>
      <x:c r="AD510" s="12"/>
      <x:c r="AE510" s="12"/>
      <x:c r="AF510" s="12"/>
      <x:c r="AG510" s="12"/>
    </x:row>
    <x:row r="511" ht="14.25" customHeight="1">
      <x:c r="A511" s="114"/>
      <x:c r="B511" s="114"/>
      <x:c r="C511" s="114"/>
      <x:c r="D511" s="114"/>
      <x:c r="E511" s="114"/>
      <x:c r="F511" s="114"/>
      <x:c r="G511" s="114"/>
      <x:c r="H511" s="114"/>
      <x:c r="I511" s="114"/>
      <x:c r="J511" s="114"/>
      <x:c r="K511" s="12"/>
      <x:c r="L511" s="12"/>
      <x:c r="M511" s="12"/>
      <x:c r="N511" s="12"/>
      <x:c r="O511" s="12"/>
      <x:c r="P511" s="12"/>
      <x:c r="Q511" s="12"/>
      <x:c r="R511" s="12"/>
      <x:c r="S511" s="12"/>
      <x:c r="T511" s="12"/>
      <x:c r="U511" s="12"/>
      <x:c r="V511" s="12"/>
      <x:c r="W511" s="12"/>
      <x:c r="X511" s="12"/>
      <x:c r="Y511" s="12"/>
      <x:c r="Z511" s="12"/>
      <x:c r="AA511" s="12"/>
      <x:c r="AB511" s="12"/>
      <x:c r="AC511" s="12"/>
      <x:c r="AD511" s="12"/>
      <x:c r="AE511" s="12"/>
      <x:c r="AF511" s="12"/>
      <x:c r="AG511" s="12"/>
    </x:row>
    <x:row r="512" ht="14.25" customHeight="1">
      <x:c r="A512" s="114"/>
      <x:c r="B512" s="114"/>
      <x:c r="C512" s="114"/>
      <x:c r="D512" s="114"/>
      <x:c r="E512" s="114"/>
      <x:c r="F512" s="114"/>
      <x:c r="G512" s="114"/>
      <x:c r="H512" s="114"/>
      <x:c r="I512" s="114"/>
      <x:c r="J512" s="114"/>
      <x:c r="K512" s="12"/>
      <x:c r="L512" s="12"/>
      <x:c r="M512" s="12"/>
      <x:c r="N512" s="12"/>
      <x:c r="O512" s="12"/>
      <x:c r="P512" s="12"/>
      <x:c r="Q512" s="12"/>
      <x:c r="R512" s="12"/>
      <x:c r="S512" s="12"/>
      <x:c r="T512" s="12"/>
      <x:c r="U512" s="12"/>
      <x:c r="V512" s="12"/>
      <x:c r="W512" s="12"/>
      <x:c r="X512" s="12"/>
      <x:c r="Y512" s="12"/>
      <x:c r="Z512" s="12"/>
      <x:c r="AA512" s="12"/>
      <x:c r="AB512" s="12"/>
      <x:c r="AC512" s="12"/>
      <x:c r="AD512" s="12"/>
      <x:c r="AE512" s="12"/>
      <x:c r="AF512" s="12"/>
      <x:c r="AG512" s="12"/>
    </x:row>
    <x:row r="513" ht="14.25" customHeight="1">
      <x:c r="A513" s="114"/>
      <x:c r="B513" s="114"/>
      <x:c r="C513" s="114"/>
      <x:c r="D513" s="114"/>
      <x:c r="E513" s="114"/>
      <x:c r="F513" s="114"/>
      <x:c r="G513" s="114"/>
      <x:c r="H513" s="114"/>
      <x:c r="I513" s="114"/>
      <x:c r="J513" s="114"/>
      <x:c r="K513" s="12"/>
      <x:c r="L513" s="12"/>
      <x:c r="M513" s="12"/>
      <x:c r="N513" s="12"/>
      <x:c r="O513" s="12"/>
      <x:c r="P513" s="12"/>
      <x:c r="Q513" s="12"/>
      <x:c r="R513" s="12"/>
      <x:c r="S513" s="12"/>
      <x:c r="T513" s="12"/>
      <x:c r="U513" s="12"/>
      <x:c r="V513" s="12"/>
      <x:c r="W513" s="12"/>
      <x:c r="X513" s="12"/>
      <x:c r="Y513" s="12"/>
      <x:c r="Z513" s="12"/>
      <x:c r="AA513" s="12"/>
      <x:c r="AB513" s="12"/>
      <x:c r="AC513" s="12"/>
      <x:c r="AD513" s="12"/>
      <x:c r="AE513" s="12"/>
      <x:c r="AF513" s="12"/>
      <x:c r="AG513" s="12"/>
    </x:row>
    <x:row r="514" ht="14.25" customHeight="1">
      <x:c r="A514" s="114"/>
      <x:c r="B514" s="114"/>
      <x:c r="C514" s="114"/>
      <x:c r="D514" s="114"/>
      <x:c r="E514" s="114"/>
      <x:c r="F514" s="114"/>
      <x:c r="G514" s="114"/>
      <x:c r="H514" s="114"/>
      <x:c r="I514" s="114"/>
      <x:c r="J514" s="114"/>
      <x:c r="K514" s="12"/>
      <x:c r="L514" s="12"/>
      <x:c r="M514" s="12"/>
      <x:c r="N514" s="12"/>
      <x:c r="O514" s="12"/>
      <x:c r="P514" s="12"/>
      <x:c r="Q514" s="12"/>
      <x:c r="R514" s="12"/>
      <x:c r="S514" s="12"/>
      <x:c r="T514" s="12"/>
      <x:c r="U514" s="12"/>
      <x:c r="V514" s="12"/>
      <x:c r="W514" s="12"/>
      <x:c r="X514" s="12"/>
      <x:c r="Y514" s="12"/>
      <x:c r="Z514" s="12"/>
      <x:c r="AA514" s="12"/>
      <x:c r="AB514" s="12"/>
      <x:c r="AC514" s="12"/>
      <x:c r="AD514" s="12"/>
      <x:c r="AE514" s="12"/>
      <x:c r="AF514" s="12"/>
      <x:c r="AG514" s="12"/>
    </x:row>
    <x:row r="515" ht="14.25" customHeight="1">
      <x:c r="A515" s="114"/>
      <x:c r="B515" s="114"/>
      <x:c r="C515" s="114"/>
      <x:c r="D515" s="114"/>
      <x:c r="E515" s="114"/>
      <x:c r="F515" s="114"/>
      <x:c r="G515" s="114"/>
      <x:c r="H515" s="114"/>
      <x:c r="I515" s="114"/>
      <x:c r="J515" s="114"/>
      <x:c r="K515" s="12"/>
      <x:c r="L515" s="12"/>
      <x:c r="M515" s="12"/>
      <x:c r="N515" s="12"/>
      <x:c r="O515" s="12"/>
      <x:c r="P515" s="12"/>
      <x:c r="Q515" s="12"/>
      <x:c r="R515" s="12"/>
      <x:c r="S515" s="12"/>
      <x:c r="T515" s="12"/>
      <x:c r="U515" s="12"/>
      <x:c r="V515" s="12"/>
      <x:c r="W515" s="12"/>
      <x:c r="X515" s="12"/>
      <x:c r="Y515" s="12"/>
      <x:c r="Z515" s="12"/>
      <x:c r="AA515" s="12"/>
      <x:c r="AB515" s="12"/>
      <x:c r="AC515" s="12"/>
      <x:c r="AD515" s="12"/>
      <x:c r="AE515" s="12"/>
      <x:c r="AF515" s="12"/>
      <x:c r="AG515" s="12"/>
    </x:row>
    <x:row r="516" ht="14.25" customHeight="1">
      <x:c r="A516" s="114"/>
      <x:c r="B516" s="114"/>
      <x:c r="C516" s="114"/>
      <x:c r="D516" s="114"/>
      <x:c r="E516" s="114"/>
      <x:c r="F516" s="114"/>
      <x:c r="G516" s="114"/>
      <x:c r="H516" s="114"/>
      <x:c r="I516" s="114"/>
      <x:c r="J516" s="114"/>
      <x:c r="K516" s="12"/>
      <x:c r="L516" s="12"/>
      <x:c r="M516" s="12"/>
      <x:c r="N516" s="12"/>
      <x:c r="O516" s="12"/>
      <x:c r="P516" s="12"/>
      <x:c r="Q516" s="12"/>
      <x:c r="R516" s="12"/>
      <x:c r="S516" s="12"/>
      <x:c r="T516" s="12"/>
      <x:c r="U516" s="12"/>
      <x:c r="V516" s="12"/>
      <x:c r="W516" s="12"/>
      <x:c r="X516" s="12"/>
      <x:c r="Y516" s="12"/>
      <x:c r="Z516" s="12"/>
      <x:c r="AA516" s="12"/>
      <x:c r="AB516" s="12"/>
      <x:c r="AC516" s="12"/>
      <x:c r="AD516" s="12"/>
      <x:c r="AE516" s="12"/>
      <x:c r="AF516" s="12"/>
      <x:c r="AG516" s="12"/>
    </x:row>
    <x:row r="517" ht="14.25" customHeight="1">
      <x:c r="A517" s="114"/>
      <x:c r="B517" s="114"/>
      <x:c r="C517" s="114"/>
      <x:c r="D517" s="114"/>
      <x:c r="E517" s="114"/>
      <x:c r="F517" s="114"/>
      <x:c r="G517" s="114"/>
      <x:c r="H517" s="114"/>
      <x:c r="I517" s="114"/>
      <x:c r="J517" s="114"/>
      <x:c r="K517" s="12"/>
      <x:c r="L517" s="12"/>
      <x:c r="M517" s="12"/>
      <x:c r="N517" s="12"/>
      <x:c r="O517" s="12"/>
      <x:c r="P517" s="12"/>
      <x:c r="Q517" s="12"/>
      <x:c r="R517" s="12"/>
      <x:c r="S517" s="12"/>
      <x:c r="T517" s="12"/>
      <x:c r="U517" s="12"/>
      <x:c r="V517" s="12"/>
      <x:c r="W517" s="12"/>
      <x:c r="X517" s="12"/>
      <x:c r="Y517" s="12"/>
      <x:c r="Z517" s="12"/>
      <x:c r="AA517" s="12"/>
      <x:c r="AB517" s="12"/>
      <x:c r="AC517" s="12"/>
      <x:c r="AD517" s="12"/>
      <x:c r="AE517" s="12"/>
      <x:c r="AF517" s="12"/>
      <x:c r="AG517" s="12"/>
    </x:row>
    <x:row r="518" ht="14.25" customHeight="1">
      <x:c r="A518" s="114"/>
      <x:c r="B518" s="114"/>
      <x:c r="C518" s="114"/>
      <x:c r="D518" s="114"/>
      <x:c r="E518" s="114"/>
      <x:c r="F518" s="114"/>
      <x:c r="G518" s="114"/>
      <x:c r="H518" s="114"/>
      <x:c r="I518" s="114"/>
      <x:c r="J518" s="114"/>
      <x:c r="K518" s="12"/>
      <x:c r="L518" s="12"/>
      <x:c r="M518" s="12"/>
      <x:c r="N518" s="12"/>
      <x:c r="O518" s="12"/>
      <x:c r="P518" s="12"/>
      <x:c r="Q518" s="12"/>
      <x:c r="R518" s="12"/>
      <x:c r="S518" s="12"/>
      <x:c r="T518" s="12"/>
      <x:c r="U518" s="12"/>
      <x:c r="V518" s="12"/>
      <x:c r="W518" s="12"/>
      <x:c r="X518" s="12"/>
      <x:c r="Y518" s="12"/>
      <x:c r="Z518" s="12"/>
      <x:c r="AA518" s="12"/>
      <x:c r="AB518" s="12"/>
      <x:c r="AC518" s="12"/>
      <x:c r="AD518" s="12"/>
      <x:c r="AE518" s="12"/>
      <x:c r="AF518" s="12"/>
      <x:c r="AG518" s="12"/>
    </x:row>
    <x:row r="519" ht="14.25" customHeight="1">
      <x:c r="A519" s="114"/>
      <x:c r="B519" s="114"/>
      <x:c r="C519" s="114"/>
      <x:c r="D519" s="114"/>
      <x:c r="E519" s="114"/>
      <x:c r="F519" s="114"/>
      <x:c r="G519" s="114"/>
      <x:c r="H519" s="114"/>
      <x:c r="I519" s="114"/>
      <x:c r="J519" s="114"/>
      <x:c r="K519" s="12"/>
      <x:c r="L519" s="12"/>
      <x:c r="M519" s="12"/>
      <x:c r="N519" s="12"/>
      <x:c r="O519" s="12"/>
      <x:c r="P519" s="12"/>
      <x:c r="Q519" s="12"/>
      <x:c r="R519" s="12"/>
      <x:c r="S519" s="12"/>
      <x:c r="T519" s="12"/>
      <x:c r="U519" s="12"/>
      <x:c r="V519" s="12"/>
      <x:c r="W519" s="12"/>
      <x:c r="X519" s="12"/>
      <x:c r="Y519" s="12"/>
      <x:c r="Z519" s="12"/>
      <x:c r="AA519" s="12"/>
      <x:c r="AB519" s="12"/>
      <x:c r="AC519" s="12"/>
      <x:c r="AD519" s="12"/>
      <x:c r="AE519" s="12"/>
      <x:c r="AF519" s="12"/>
      <x:c r="AG519" s="12"/>
    </x:row>
    <x:row r="520" ht="14.25" customHeight="1">
      <x:c r="A520" s="114"/>
      <x:c r="B520" s="114"/>
      <x:c r="C520" s="114"/>
      <x:c r="D520" s="114"/>
      <x:c r="E520" s="114"/>
      <x:c r="F520" s="114"/>
      <x:c r="G520" s="114"/>
      <x:c r="H520" s="114"/>
      <x:c r="I520" s="114"/>
      <x:c r="J520" s="114"/>
      <x:c r="K520" s="12"/>
      <x:c r="L520" s="12"/>
      <x:c r="M520" s="12"/>
      <x:c r="N520" s="12"/>
      <x:c r="O520" s="12"/>
      <x:c r="P520" s="12"/>
      <x:c r="Q520" s="12"/>
      <x:c r="R520" s="12"/>
      <x:c r="S520" s="12"/>
      <x:c r="T520" s="12"/>
      <x:c r="U520" s="12"/>
      <x:c r="V520" s="12"/>
      <x:c r="W520" s="12"/>
      <x:c r="X520" s="12"/>
      <x:c r="Y520" s="12"/>
      <x:c r="Z520" s="12"/>
      <x:c r="AA520" s="12"/>
      <x:c r="AB520" s="12"/>
      <x:c r="AC520" s="12"/>
      <x:c r="AD520" s="12"/>
      <x:c r="AE520" s="12"/>
      <x:c r="AF520" s="12"/>
      <x:c r="AG520" s="12"/>
    </x:row>
    <x:row r="521" ht="14.25" customHeight="1">
      <x:c r="A521" s="114"/>
      <x:c r="B521" s="114"/>
      <x:c r="C521" s="114"/>
      <x:c r="D521" s="114"/>
      <x:c r="E521" s="114"/>
      <x:c r="F521" s="114"/>
      <x:c r="G521" s="114"/>
      <x:c r="H521" s="114"/>
      <x:c r="I521" s="114"/>
      <x:c r="J521" s="114"/>
      <x:c r="K521" s="12"/>
      <x:c r="L521" s="12"/>
      <x:c r="M521" s="12"/>
      <x:c r="N521" s="12"/>
      <x:c r="O521" s="12"/>
      <x:c r="P521" s="12"/>
      <x:c r="Q521" s="12"/>
      <x:c r="R521" s="12"/>
      <x:c r="S521" s="12"/>
      <x:c r="T521" s="12"/>
      <x:c r="U521" s="12"/>
      <x:c r="V521" s="12"/>
      <x:c r="W521" s="12"/>
      <x:c r="X521" s="12"/>
      <x:c r="Y521" s="12"/>
      <x:c r="Z521" s="12"/>
      <x:c r="AA521" s="12"/>
      <x:c r="AB521" s="12"/>
      <x:c r="AC521" s="12"/>
      <x:c r="AD521" s="12"/>
      <x:c r="AE521" s="12"/>
      <x:c r="AF521" s="12"/>
      <x:c r="AG521" s="12"/>
    </x:row>
    <x:row r="522" ht="14.25" customHeight="1">
      <x:c r="A522" s="114"/>
      <x:c r="B522" s="114"/>
      <x:c r="C522" s="114"/>
      <x:c r="D522" s="114"/>
      <x:c r="E522" s="114"/>
      <x:c r="F522" s="114"/>
      <x:c r="G522" s="114"/>
      <x:c r="H522" s="114"/>
      <x:c r="I522" s="114"/>
      <x:c r="J522" s="114"/>
      <x:c r="K522" s="12"/>
      <x:c r="L522" s="12"/>
      <x:c r="M522" s="12"/>
      <x:c r="N522" s="12"/>
      <x:c r="O522" s="12"/>
      <x:c r="P522" s="12"/>
      <x:c r="Q522" s="12"/>
      <x:c r="R522" s="12"/>
      <x:c r="S522" s="12"/>
      <x:c r="T522" s="12"/>
      <x:c r="U522" s="12"/>
      <x:c r="V522" s="12"/>
      <x:c r="W522" s="12"/>
      <x:c r="X522" s="12"/>
      <x:c r="Y522" s="12"/>
      <x:c r="Z522" s="12"/>
      <x:c r="AA522" s="12"/>
      <x:c r="AB522" s="12"/>
      <x:c r="AC522" s="12"/>
      <x:c r="AD522" s="12"/>
      <x:c r="AE522" s="12"/>
      <x:c r="AF522" s="12"/>
      <x:c r="AG522" s="12"/>
    </x:row>
    <x:row r="523" ht="14.25" customHeight="1">
      <x:c r="A523" s="114"/>
      <x:c r="B523" s="114"/>
      <x:c r="C523" s="114"/>
      <x:c r="D523" s="114"/>
      <x:c r="E523" s="114"/>
      <x:c r="F523" s="114"/>
      <x:c r="G523" s="114"/>
      <x:c r="H523" s="114"/>
      <x:c r="I523" s="114"/>
      <x:c r="J523" s="114"/>
      <x:c r="K523" s="12"/>
      <x:c r="L523" s="12"/>
      <x:c r="M523" s="12"/>
      <x:c r="N523" s="12"/>
      <x:c r="O523" s="12"/>
      <x:c r="P523" s="12"/>
      <x:c r="Q523" s="12"/>
      <x:c r="R523" s="12"/>
      <x:c r="S523" s="12"/>
      <x:c r="T523" s="12"/>
      <x:c r="U523" s="12"/>
      <x:c r="V523" s="12"/>
      <x:c r="W523" s="12"/>
      <x:c r="X523" s="12"/>
      <x:c r="Y523" s="12"/>
      <x:c r="Z523" s="12"/>
      <x:c r="AA523" s="12"/>
      <x:c r="AB523" s="12"/>
      <x:c r="AC523" s="12"/>
      <x:c r="AD523" s="12"/>
      <x:c r="AE523" s="12"/>
      <x:c r="AF523" s="12"/>
      <x:c r="AG523" s="12"/>
    </x:row>
    <x:row r="524" ht="14.25" customHeight="1">
      <x:c r="A524" s="114"/>
      <x:c r="B524" s="114"/>
      <x:c r="C524" s="114"/>
      <x:c r="D524" s="114"/>
      <x:c r="E524" s="114"/>
      <x:c r="F524" s="114"/>
      <x:c r="G524" s="114"/>
      <x:c r="H524" s="114"/>
      <x:c r="I524" s="114"/>
      <x:c r="J524" s="114"/>
      <x:c r="K524" s="12"/>
      <x:c r="L524" s="12"/>
      <x:c r="M524" s="12"/>
      <x:c r="N524" s="12"/>
      <x:c r="O524" s="12"/>
      <x:c r="P524" s="12"/>
      <x:c r="Q524" s="12"/>
      <x:c r="R524" s="12"/>
      <x:c r="S524" s="12"/>
      <x:c r="T524" s="12"/>
      <x:c r="U524" s="12"/>
      <x:c r="V524" s="12"/>
      <x:c r="W524" s="12"/>
      <x:c r="X524" s="12"/>
      <x:c r="Y524" s="12"/>
      <x:c r="Z524" s="12"/>
      <x:c r="AA524" s="12"/>
      <x:c r="AB524" s="12"/>
      <x:c r="AC524" s="12"/>
      <x:c r="AD524" s="12"/>
      <x:c r="AE524" s="12"/>
      <x:c r="AF524" s="12"/>
      <x:c r="AG524" s="12"/>
    </x:row>
    <x:row r="525" ht="14.25" customHeight="1">
      <x:c r="A525" s="114"/>
      <x:c r="B525" s="114"/>
      <x:c r="C525" s="114"/>
      <x:c r="D525" s="114"/>
      <x:c r="E525" s="114"/>
      <x:c r="F525" s="114"/>
      <x:c r="G525" s="114"/>
      <x:c r="H525" s="114"/>
      <x:c r="I525" s="114"/>
      <x:c r="J525" s="114"/>
      <x:c r="K525" s="12"/>
      <x:c r="L525" s="12"/>
      <x:c r="M525" s="12"/>
      <x:c r="N525" s="12"/>
      <x:c r="O525" s="12"/>
      <x:c r="P525" s="12"/>
      <x:c r="Q525" s="12"/>
      <x:c r="R525" s="12"/>
      <x:c r="S525" s="12"/>
      <x:c r="T525" s="12"/>
      <x:c r="U525" s="12"/>
      <x:c r="V525" s="12"/>
      <x:c r="W525" s="12"/>
      <x:c r="X525" s="12"/>
      <x:c r="Y525" s="12"/>
      <x:c r="Z525" s="12"/>
      <x:c r="AA525" s="12"/>
      <x:c r="AB525" s="12"/>
      <x:c r="AC525" s="12"/>
      <x:c r="AD525" s="12"/>
      <x:c r="AE525" s="12"/>
      <x:c r="AF525" s="12"/>
      <x:c r="AG525" s="12"/>
    </x:row>
    <x:row r="526" ht="14.25" customHeight="1">
      <x:c r="A526" s="114"/>
      <x:c r="B526" s="114"/>
      <x:c r="C526" s="114"/>
      <x:c r="D526" s="114"/>
      <x:c r="E526" s="114"/>
      <x:c r="F526" s="114"/>
      <x:c r="G526" s="114"/>
      <x:c r="H526" s="114"/>
      <x:c r="I526" s="114"/>
      <x:c r="J526" s="114"/>
      <x:c r="K526" s="12"/>
      <x:c r="L526" s="12"/>
      <x:c r="M526" s="12"/>
      <x:c r="N526" s="12"/>
      <x:c r="O526" s="12"/>
      <x:c r="P526" s="12"/>
      <x:c r="Q526" s="12"/>
      <x:c r="R526" s="12"/>
      <x:c r="S526" s="12"/>
      <x:c r="T526" s="12"/>
      <x:c r="U526" s="12"/>
      <x:c r="V526" s="12"/>
      <x:c r="W526" s="12"/>
      <x:c r="X526" s="12"/>
      <x:c r="Y526" s="12"/>
      <x:c r="Z526" s="12"/>
      <x:c r="AA526" s="12"/>
      <x:c r="AB526" s="12"/>
      <x:c r="AC526" s="12"/>
      <x:c r="AD526" s="12"/>
      <x:c r="AE526" s="12"/>
      <x:c r="AF526" s="12"/>
      <x:c r="AG526" s="12"/>
    </x:row>
    <x:row r="527" ht="14.25" customHeight="1">
      <x:c r="A527" s="114"/>
      <x:c r="B527" s="114"/>
      <x:c r="C527" s="114"/>
      <x:c r="D527" s="114"/>
      <x:c r="E527" s="114"/>
      <x:c r="F527" s="114"/>
      <x:c r="G527" s="114"/>
      <x:c r="H527" s="114"/>
      <x:c r="I527" s="114"/>
      <x:c r="J527" s="114"/>
      <x:c r="K527" s="12"/>
      <x:c r="L527" s="12"/>
      <x:c r="M527" s="12"/>
      <x:c r="N527" s="12"/>
      <x:c r="O527" s="12"/>
      <x:c r="P527" s="12"/>
      <x:c r="Q527" s="12"/>
      <x:c r="R527" s="12"/>
      <x:c r="S527" s="12"/>
      <x:c r="T527" s="12"/>
      <x:c r="U527" s="12"/>
      <x:c r="V527" s="12"/>
      <x:c r="W527" s="12"/>
      <x:c r="X527" s="12"/>
      <x:c r="Y527" s="12"/>
      <x:c r="Z527" s="12"/>
      <x:c r="AA527" s="12"/>
      <x:c r="AB527" s="12"/>
      <x:c r="AC527" s="12"/>
      <x:c r="AD527" s="12"/>
      <x:c r="AE527" s="12"/>
      <x:c r="AF527" s="12"/>
      <x:c r="AG527" s="12"/>
    </x:row>
    <x:row r="528" ht="14.25" customHeight="1">
      <x:c r="A528" s="114"/>
      <x:c r="B528" s="114"/>
      <x:c r="C528" s="114"/>
      <x:c r="D528" s="114"/>
      <x:c r="E528" s="114"/>
      <x:c r="F528" s="114"/>
      <x:c r="G528" s="114"/>
      <x:c r="H528" s="114"/>
      <x:c r="I528" s="114"/>
      <x:c r="J528" s="114"/>
      <x:c r="K528" s="12"/>
      <x:c r="L528" s="12"/>
      <x:c r="M528" s="12"/>
      <x:c r="N528" s="12"/>
      <x:c r="O528" s="12"/>
      <x:c r="P528" s="12"/>
      <x:c r="Q528" s="12"/>
      <x:c r="R528" s="12"/>
      <x:c r="S528" s="12"/>
      <x:c r="T528" s="12"/>
      <x:c r="U528" s="12"/>
      <x:c r="V528" s="12"/>
      <x:c r="W528" s="12"/>
      <x:c r="X528" s="12"/>
      <x:c r="Y528" s="12"/>
      <x:c r="Z528" s="12"/>
      <x:c r="AA528" s="12"/>
      <x:c r="AB528" s="12"/>
      <x:c r="AC528" s="12"/>
      <x:c r="AD528" s="12"/>
      <x:c r="AE528" s="12"/>
      <x:c r="AF528" s="12"/>
      <x:c r="AG528" s="12"/>
    </x:row>
    <x:row r="529" ht="14.25" customHeight="1">
      <x:c r="A529" s="114"/>
      <x:c r="B529" s="114"/>
      <x:c r="C529" s="114"/>
      <x:c r="D529" s="114"/>
      <x:c r="E529" s="114"/>
      <x:c r="F529" s="114"/>
      <x:c r="G529" s="114"/>
      <x:c r="H529" s="114"/>
      <x:c r="I529" s="114"/>
      <x:c r="J529" s="114"/>
      <x:c r="K529" s="12"/>
      <x:c r="L529" s="12"/>
      <x:c r="M529" s="12"/>
      <x:c r="N529" s="12"/>
      <x:c r="O529" s="12"/>
      <x:c r="P529" s="12"/>
      <x:c r="Q529" s="12"/>
      <x:c r="R529" s="12"/>
      <x:c r="S529" s="12"/>
      <x:c r="T529" s="12"/>
      <x:c r="U529" s="12"/>
      <x:c r="V529" s="12"/>
      <x:c r="W529" s="12"/>
      <x:c r="X529" s="12"/>
      <x:c r="Y529" s="12"/>
      <x:c r="Z529" s="12"/>
      <x:c r="AA529" s="12"/>
      <x:c r="AB529" s="12"/>
      <x:c r="AC529" s="12"/>
      <x:c r="AD529" s="12"/>
      <x:c r="AE529" s="12"/>
      <x:c r="AF529" s="12"/>
      <x:c r="AG529" s="12"/>
    </x:row>
    <x:row r="530" ht="14.25" customHeight="1">
      <x:c r="A530" s="114"/>
      <x:c r="B530" s="114"/>
      <x:c r="C530" s="114"/>
      <x:c r="D530" s="114"/>
      <x:c r="E530" s="114"/>
      <x:c r="F530" s="114"/>
      <x:c r="G530" s="114"/>
      <x:c r="H530" s="114"/>
      <x:c r="I530" s="114"/>
      <x:c r="J530" s="114"/>
      <x:c r="K530" s="12"/>
      <x:c r="L530" s="12"/>
      <x:c r="M530" s="12"/>
      <x:c r="N530" s="12"/>
      <x:c r="O530" s="12"/>
      <x:c r="P530" s="12"/>
      <x:c r="Q530" s="12"/>
      <x:c r="R530" s="12"/>
      <x:c r="S530" s="12"/>
      <x:c r="T530" s="12"/>
      <x:c r="U530" s="12"/>
      <x:c r="V530" s="12"/>
      <x:c r="W530" s="12"/>
      <x:c r="X530" s="12"/>
      <x:c r="Y530" s="12"/>
      <x:c r="Z530" s="12"/>
      <x:c r="AA530" s="12"/>
      <x:c r="AB530" s="12"/>
      <x:c r="AC530" s="12"/>
      <x:c r="AD530" s="12"/>
      <x:c r="AE530" s="12"/>
      <x:c r="AF530" s="12"/>
      <x:c r="AG530" s="12"/>
    </x:row>
    <x:row r="531" ht="14.25" customHeight="1">
      <x:c r="A531" s="114"/>
      <x:c r="B531" s="114"/>
      <x:c r="C531" s="114"/>
      <x:c r="D531" s="114"/>
      <x:c r="E531" s="114"/>
      <x:c r="F531" s="114"/>
      <x:c r="G531" s="114"/>
      <x:c r="H531" s="114"/>
      <x:c r="I531" s="114"/>
      <x:c r="J531" s="114"/>
      <x:c r="K531" s="12"/>
      <x:c r="L531" s="12"/>
      <x:c r="M531" s="12"/>
      <x:c r="N531" s="12"/>
      <x:c r="O531" s="12"/>
      <x:c r="P531" s="12"/>
      <x:c r="Q531" s="12"/>
      <x:c r="R531" s="12"/>
      <x:c r="S531" s="12"/>
      <x:c r="T531" s="12"/>
      <x:c r="U531" s="12"/>
      <x:c r="V531" s="12"/>
      <x:c r="W531" s="12"/>
      <x:c r="X531" s="12"/>
      <x:c r="Y531" s="12"/>
      <x:c r="Z531" s="12"/>
      <x:c r="AA531" s="12"/>
      <x:c r="AB531" s="12"/>
      <x:c r="AC531" s="12"/>
      <x:c r="AD531" s="12"/>
      <x:c r="AE531" s="12"/>
      <x:c r="AF531" s="12"/>
      <x:c r="AG531" s="12"/>
    </x:row>
    <x:row r="532" ht="14.25" customHeight="1">
      <x:c r="A532" s="114"/>
      <x:c r="B532" s="114"/>
      <x:c r="C532" s="114"/>
      <x:c r="D532" s="114"/>
      <x:c r="E532" s="114"/>
      <x:c r="F532" s="114"/>
      <x:c r="G532" s="114"/>
      <x:c r="H532" s="114"/>
      <x:c r="I532" s="114"/>
      <x:c r="J532" s="114"/>
      <x:c r="K532" s="12"/>
      <x:c r="L532" s="12"/>
      <x:c r="M532" s="12"/>
      <x:c r="N532" s="12"/>
      <x:c r="O532" s="12"/>
      <x:c r="P532" s="12"/>
      <x:c r="Q532" s="12"/>
      <x:c r="R532" s="12"/>
      <x:c r="S532" s="12"/>
      <x:c r="T532" s="12"/>
      <x:c r="U532" s="12"/>
      <x:c r="V532" s="12"/>
      <x:c r="W532" s="12"/>
      <x:c r="X532" s="12"/>
      <x:c r="Y532" s="12"/>
      <x:c r="Z532" s="12"/>
      <x:c r="AA532" s="12"/>
      <x:c r="AB532" s="12"/>
      <x:c r="AC532" s="12"/>
      <x:c r="AD532" s="12"/>
      <x:c r="AE532" s="12"/>
      <x:c r="AF532" s="12"/>
      <x:c r="AG532" s="12"/>
    </x:row>
    <x:row r="533" ht="14.25" customHeight="1">
      <x:c r="A533" s="114"/>
      <x:c r="B533" s="114"/>
      <x:c r="C533" s="114"/>
      <x:c r="D533" s="114"/>
      <x:c r="E533" s="114"/>
      <x:c r="F533" s="114"/>
      <x:c r="G533" s="114"/>
      <x:c r="H533" s="114"/>
      <x:c r="I533" s="114"/>
      <x:c r="J533" s="114"/>
      <x:c r="K533" s="12"/>
      <x:c r="L533" s="12"/>
      <x:c r="M533" s="12"/>
      <x:c r="N533" s="12"/>
      <x:c r="O533" s="12"/>
      <x:c r="P533" s="12"/>
      <x:c r="Q533" s="12"/>
      <x:c r="R533" s="12"/>
      <x:c r="S533" s="12"/>
      <x:c r="T533" s="12"/>
      <x:c r="U533" s="12"/>
      <x:c r="V533" s="12"/>
      <x:c r="W533" s="12"/>
      <x:c r="X533" s="12"/>
      <x:c r="Y533" s="12"/>
      <x:c r="Z533" s="12"/>
      <x:c r="AA533" s="12"/>
      <x:c r="AB533" s="12"/>
      <x:c r="AC533" s="12"/>
      <x:c r="AD533" s="12"/>
      <x:c r="AE533" s="12"/>
      <x:c r="AF533" s="12"/>
      <x:c r="AG533" s="12"/>
    </x:row>
    <x:row r="534" ht="14.25" customHeight="1">
      <x:c r="A534" s="114"/>
      <x:c r="B534" s="114"/>
      <x:c r="C534" s="114"/>
      <x:c r="D534" s="114"/>
      <x:c r="E534" s="114"/>
      <x:c r="F534" s="114"/>
      <x:c r="G534" s="114"/>
      <x:c r="H534" s="114"/>
      <x:c r="I534" s="114"/>
      <x:c r="J534" s="114"/>
      <x:c r="K534" s="12"/>
      <x:c r="L534" s="12"/>
      <x:c r="M534" s="12"/>
      <x:c r="N534" s="12"/>
      <x:c r="O534" s="12"/>
      <x:c r="P534" s="12"/>
      <x:c r="Q534" s="12"/>
      <x:c r="R534" s="12"/>
      <x:c r="S534" s="12"/>
      <x:c r="T534" s="12"/>
      <x:c r="U534" s="12"/>
      <x:c r="V534" s="12"/>
      <x:c r="W534" s="12"/>
      <x:c r="X534" s="12"/>
      <x:c r="Y534" s="12"/>
      <x:c r="Z534" s="12"/>
      <x:c r="AA534" s="12"/>
      <x:c r="AB534" s="12"/>
      <x:c r="AC534" s="12"/>
      <x:c r="AD534" s="12"/>
      <x:c r="AE534" s="12"/>
      <x:c r="AF534" s="12"/>
      <x:c r="AG534" s="12"/>
    </x:row>
    <x:row r="535" ht="14.25" customHeight="1">
      <x:c r="A535" s="114"/>
      <x:c r="B535" s="114"/>
      <x:c r="C535" s="114"/>
      <x:c r="D535" s="114"/>
      <x:c r="E535" s="114"/>
      <x:c r="F535" s="114"/>
      <x:c r="G535" s="114"/>
      <x:c r="H535" s="114"/>
      <x:c r="I535" s="114"/>
      <x:c r="J535" s="114"/>
      <x:c r="K535" s="12"/>
      <x:c r="L535" s="12"/>
      <x:c r="M535" s="12"/>
      <x:c r="N535" s="12"/>
      <x:c r="O535" s="12"/>
      <x:c r="P535" s="12"/>
      <x:c r="Q535" s="12"/>
      <x:c r="R535" s="12"/>
      <x:c r="S535" s="12"/>
      <x:c r="T535" s="12"/>
      <x:c r="U535" s="12"/>
      <x:c r="V535" s="12"/>
      <x:c r="W535" s="12"/>
      <x:c r="X535" s="12"/>
      <x:c r="Y535" s="12"/>
      <x:c r="Z535" s="12"/>
      <x:c r="AA535" s="12"/>
      <x:c r="AB535" s="12"/>
      <x:c r="AC535" s="12"/>
      <x:c r="AD535" s="12"/>
      <x:c r="AE535" s="12"/>
      <x:c r="AF535" s="12"/>
      <x:c r="AG535" s="12"/>
    </x:row>
    <x:row r="536" ht="14.25" customHeight="1">
      <x:c r="A536" s="114"/>
      <x:c r="B536" s="114"/>
      <x:c r="C536" s="114"/>
      <x:c r="D536" s="114"/>
      <x:c r="E536" s="114"/>
      <x:c r="F536" s="114"/>
      <x:c r="G536" s="114"/>
      <x:c r="H536" s="114"/>
      <x:c r="I536" s="114"/>
      <x:c r="J536" s="114"/>
      <x:c r="K536" s="12"/>
      <x:c r="L536" s="12"/>
      <x:c r="M536" s="12"/>
      <x:c r="N536" s="12"/>
      <x:c r="O536" s="12"/>
      <x:c r="P536" s="12"/>
      <x:c r="Q536" s="12"/>
      <x:c r="R536" s="12"/>
      <x:c r="S536" s="12"/>
      <x:c r="T536" s="12"/>
      <x:c r="U536" s="12"/>
      <x:c r="V536" s="12"/>
      <x:c r="W536" s="12"/>
      <x:c r="X536" s="12"/>
      <x:c r="Y536" s="12"/>
      <x:c r="Z536" s="12"/>
      <x:c r="AA536" s="12"/>
      <x:c r="AB536" s="12"/>
      <x:c r="AC536" s="12"/>
      <x:c r="AD536" s="12"/>
      <x:c r="AE536" s="12"/>
      <x:c r="AF536" s="12"/>
      <x:c r="AG536" s="12"/>
    </x:row>
    <x:row r="537" ht="14.25" customHeight="1">
      <x:c r="A537" s="114"/>
      <x:c r="B537" s="114"/>
      <x:c r="C537" s="114"/>
      <x:c r="D537" s="114"/>
      <x:c r="E537" s="114"/>
      <x:c r="F537" s="114"/>
      <x:c r="G537" s="114"/>
      <x:c r="H537" s="114"/>
      <x:c r="I537" s="114"/>
      <x:c r="J537" s="114"/>
      <x:c r="K537" s="12"/>
      <x:c r="L537" s="12"/>
      <x:c r="M537" s="12"/>
      <x:c r="N537" s="12"/>
      <x:c r="O537" s="12"/>
      <x:c r="P537" s="12"/>
      <x:c r="Q537" s="12"/>
      <x:c r="R537" s="12"/>
      <x:c r="S537" s="12"/>
      <x:c r="T537" s="12"/>
      <x:c r="U537" s="12"/>
      <x:c r="V537" s="12"/>
      <x:c r="W537" s="12"/>
      <x:c r="X537" s="12"/>
      <x:c r="Y537" s="12"/>
      <x:c r="Z537" s="12"/>
      <x:c r="AA537" s="12"/>
      <x:c r="AB537" s="12"/>
      <x:c r="AC537" s="12"/>
      <x:c r="AD537" s="12"/>
      <x:c r="AE537" s="12"/>
      <x:c r="AF537" s="12"/>
      <x:c r="AG537" s="12"/>
    </x:row>
    <x:row r="538" ht="14.25" customHeight="1">
      <x:c r="A538" s="114"/>
      <x:c r="B538" s="114"/>
      <x:c r="C538" s="114"/>
      <x:c r="D538" s="114"/>
      <x:c r="E538" s="114"/>
      <x:c r="F538" s="114"/>
      <x:c r="G538" s="114"/>
      <x:c r="H538" s="114"/>
      <x:c r="I538" s="114"/>
      <x:c r="J538" s="114"/>
      <x:c r="K538" s="12"/>
      <x:c r="L538" s="12"/>
      <x:c r="M538" s="12"/>
      <x:c r="N538" s="12"/>
      <x:c r="O538" s="12"/>
      <x:c r="P538" s="12"/>
      <x:c r="Q538" s="12"/>
      <x:c r="R538" s="12"/>
      <x:c r="S538" s="12"/>
      <x:c r="T538" s="12"/>
      <x:c r="U538" s="12"/>
      <x:c r="V538" s="12"/>
      <x:c r="W538" s="12"/>
      <x:c r="X538" s="12"/>
      <x:c r="Y538" s="12"/>
      <x:c r="Z538" s="12"/>
      <x:c r="AA538" s="12"/>
      <x:c r="AB538" s="12"/>
      <x:c r="AC538" s="12"/>
      <x:c r="AD538" s="12"/>
      <x:c r="AE538" s="12"/>
      <x:c r="AF538" s="12"/>
      <x:c r="AG538" s="12"/>
    </x:row>
    <x:row r="539" ht="14.25" customHeight="1">
      <x:c r="A539" s="114"/>
      <x:c r="B539" s="114"/>
      <x:c r="C539" s="114"/>
      <x:c r="D539" s="114"/>
      <x:c r="E539" s="114"/>
      <x:c r="F539" s="114"/>
      <x:c r="G539" s="114"/>
      <x:c r="H539" s="114"/>
      <x:c r="I539" s="114"/>
      <x:c r="J539" s="114"/>
      <x:c r="K539" s="12"/>
      <x:c r="L539" s="12"/>
      <x:c r="M539" s="12"/>
      <x:c r="N539" s="12"/>
      <x:c r="O539" s="12"/>
      <x:c r="P539" s="12"/>
      <x:c r="Q539" s="12"/>
      <x:c r="R539" s="12"/>
      <x:c r="S539" s="12"/>
      <x:c r="T539" s="12"/>
      <x:c r="U539" s="12"/>
      <x:c r="V539" s="12"/>
      <x:c r="W539" s="12"/>
      <x:c r="X539" s="12"/>
      <x:c r="Y539" s="12"/>
      <x:c r="Z539" s="12"/>
      <x:c r="AA539" s="12"/>
      <x:c r="AB539" s="12"/>
      <x:c r="AC539" s="12"/>
      <x:c r="AD539" s="12"/>
      <x:c r="AE539" s="12"/>
      <x:c r="AF539" s="12"/>
      <x:c r="AG539" s="12"/>
    </x:row>
    <x:row r="540" ht="14.25" customHeight="1">
      <x:c r="A540" s="114"/>
      <x:c r="B540" s="114"/>
      <x:c r="C540" s="114"/>
      <x:c r="D540" s="114"/>
      <x:c r="E540" s="114"/>
      <x:c r="F540" s="114"/>
      <x:c r="G540" s="114"/>
      <x:c r="H540" s="114"/>
      <x:c r="I540" s="114"/>
      <x:c r="J540" s="114"/>
      <x:c r="K540" s="12"/>
      <x:c r="L540" s="12"/>
      <x:c r="M540" s="12"/>
      <x:c r="N540" s="12"/>
      <x:c r="O540" s="12"/>
      <x:c r="P540" s="12"/>
      <x:c r="Q540" s="12"/>
      <x:c r="R540" s="12"/>
      <x:c r="S540" s="12"/>
      <x:c r="T540" s="12"/>
      <x:c r="U540" s="12"/>
      <x:c r="V540" s="12"/>
      <x:c r="W540" s="12"/>
      <x:c r="X540" s="12"/>
      <x:c r="Y540" s="12"/>
      <x:c r="Z540" s="12"/>
      <x:c r="AA540" s="12"/>
      <x:c r="AB540" s="12"/>
      <x:c r="AC540" s="12"/>
      <x:c r="AD540" s="12"/>
      <x:c r="AE540" s="12"/>
      <x:c r="AF540" s="12"/>
      <x:c r="AG540" s="12"/>
    </x:row>
    <x:row r="541" ht="14.25" customHeight="1">
      <x:c r="A541" s="114"/>
      <x:c r="B541" s="114"/>
      <x:c r="C541" s="114"/>
      <x:c r="D541" s="114"/>
      <x:c r="E541" s="114"/>
      <x:c r="F541" s="114"/>
      <x:c r="G541" s="114"/>
      <x:c r="H541" s="114"/>
      <x:c r="I541" s="114"/>
      <x:c r="J541" s="114"/>
      <x:c r="K541" s="12"/>
      <x:c r="L541" s="12"/>
      <x:c r="M541" s="12"/>
      <x:c r="N541" s="12"/>
      <x:c r="O541" s="12"/>
      <x:c r="P541" s="12"/>
      <x:c r="Q541" s="12"/>
      <x:c r="R541" s="12"/>
      <x:c r="S541" s="12"/>
      <x:c r="T541" s="12"/>
      <x:c r="U541" s="12"/>
      <x:c r="V541" s="12"/>
      <x:c r="W541" s="12"/>
      <x:c r="X541" s="12"/>
      <x:c r="Y541" s="12"/>
      <x:c r="Z541" s="12"/>
      <x:c r="AA541" s="12"/>
      <x:c r="AB541" s="12"/>
      <x:c r="AC541" s="12"/>
      <x:c r="AD541" s="12"/>
      <x:c r="AE541" s="12"/>
      <x:c r="AF541" s="12"/>
      <x:c r="AG541" s="12"/>
    </x:row>
    <x:row r="542" ht="14.25" customHeight="1">
      <x:c r="A542" s="114"/>
      <x:c r="B542" s="114"/>
      <x:c r="C542" s="114"/>
      <x:c r="D542" s="114"/>
      <x:c r="E542" s="114"/>
      <x:c r="F542" s="114"/>
      <x:c r="G542" s="114"/>
      <x:c r="H542" s="114"/>
      <x:c r="I542" s="114"/>
      <x:c r="J542" s="114"/>
      <x:c r="K542" s="12"/>
      <x:c r="L542" s="12"/>
      <x:c r="M542" s="12"/>
      <x:c r="N542" s="12"/>
      <x:c r="O542" s="12"/>
      <x:c r="P542" s="12"/>
      <x:c r="Q542" s="12"/>
      <x:c r="R542" s="12"/>
      <x:c r="S542" s="12"/>
      <x:c r="T542" s="12"/>
      <x:c r="U542" s="12"/>
      <x:c r="V542" s="12"/>
      <x:c r="W542" s="12"/>
      <x:c r="X542" s="12"/>
      <x:c r="Y542" s="12"/>
      <x:c r="Z542" s="12"/>
      <x:c r="AA542" s="12"/>
      <x:c r="AB542" s="12"/>
      <x:c r="AC542" s="12"/>
      <x:c r="AD542" s="12"/>
      <x:c r="AE542" s="12"/>
      <x:c r="AF542" s="12"/>
      <x:c r="AG542" s="12"/>
    </x:row>
    <x:row r="543" ht="14.25" customHeight="1">
      <x:c r="A543" s="114"/>
      <x:c r="B543" s="114"/>
      <x:c r="C543" s="114"/>
      <x:c r="D543" s="114"/>
      <x:c r="E543" s="114"/>
      <x:c r="F543" s="114"/>
      <x:c r="G543" s="114"/>
      <x:c r="H543" s="114"/>
      <x:c r="I543" s="114"/>
      <x:c r="J543" s="114"/>
      <x:c r="K543" s="12"/>
      <x:c r="L543" s="12"/>
      <x:c r="M543" s="12"/>
      <x:c r="N543" s="12"/>
      <x:c r="O543" s="12"/>
      <x:c r="P543" s="12"/>
      <x:c r="Q543" s="12"/>
      <x:c r="R543" s="12"/>
      <x:c r="S543" s="12"/>
      <x:c r="T543" s="12"/>
      <x:c r="U543" s="12"/>
      <x:c r="V543" s="12"/>
      <x:c r="W543" s="12"/>
      <x:c r="X543" s="12"/>
      <x:c r="Y543" s="12"/>
      <x:c r="Z543" s="12"/>
      <x:c r="AA543" s="12"/>
      <x:c r="AB543" s="12"/>
      <x:c r="AC543" s="12"/>
      <x:c r="AD543" s="12"/>
      <x:c r="AE543" s="12"/>
      <x:c r="AF543" s="12"/>
      <x:c r="AG543" s="12"/>
    </x:row>
    <x:row r="544" ht="14.25" customHeight="1">
      <x:c r="A544" s="114"/>
      <x:c r="B544" s="114"/>
      <x:c r="C544" s="114"/>
      <x:c r="D544" s="114"/>
      <x:c r="E544" s="114"/>
      <x:c r="F544" s="114"/>
      <x:c r="G544" s="114"/>
      <x:c r="H544" s="114"/>
      <x:c r="I544" s="114"/>
      <x:c r="J544" s="114"/>
      <x:c r="K544" s="12"/>
      <x:c r="L544" s="12"/>
      <x:c r="M544" s="12"/>
      <x:c r="N544" s="12"/>
      <x:c r="O544" s="12"/>
      <x:c r="P544" s="12"/>
      <x:c r="Q544" s="12"/>
      <x:c r="R544" s="12"/>
      <x:c r="S544" s="12"/>
      <x:c r="T544" s="12"/>
      <x:c r="U544" s="12"/>
      <x:c r="V544" s="12"/>
      <x:c r="W544" s="12"/>
      <x:c r="X544" s="12"/>
      <x:c r="Y544" s="12"/>
      <x:c r="Z544" s="12"/>
      <x:c r="AA544" s="12"/>
      <x:c r="AB544" s="12"/>
      <x:c r="AC544" s="12"/>
      <x:c r="AD544" s="12"/>
      <x:c r="AE544" s="12"/>
      <x:c r="AF544" s="12"/>
      <x:c r="AG544" s="12"/>
    </x:row>
    <x:row r="545" ht="14.25" customHeight="1">
      <x:c r="A545" s="114"/>
      <x:c r="B545" s="114"/>
      <x:c r="C545" s="114"/>
      <x:c r="D545" s="114"/>
      <x:c r="E545" s="114"/>
      <x:c r="F545" s="114"/>
      <x:c r="G545" s="114"/>
      <x:c r="H545" s="114"/>
      <x:c r="I545" s="114"/>
      <x:c r="J545" s="114"/>
      <x:c r="K545" s="12"/>
      <x:c r="L545" s="12"/>
      <x:c r="M545" s="12"/>
      <x:c r="N545" s="12"/>
      <x:c r="O545" s="12"/>
      <x:c r="P545" s="12"/>
      <x:c r="Q545" s="12"/>
      <x:c r="R545" s="12"/>
      <x:c r="S545" s="12"/>
      <x:c r="T545" s="12"/>
      <x:c r="U545" s="12"/>
      <x:c r="V545" s="12"/>
      <x:c r="W545" s="12"/>
      <x:c r="X545" s="12"/>
      <x:c r="Y545" s="12"/>
      <x:c r="Z545" s="12"/>
      <x:c r="AA545" s="12"/>
      <x:c r="AB545" s="12"/>
      <x:c r="AC545" s="12"/>
      <x:c r="AD545" s="12"/>
      <x:c r="AE545" s="12"/>
      <x:c r="AF545" s="12"/>
      <x:c r="AG545" s="12"/>
    </x:row>
    <x:row r="546" ht="14.25" customHeight="1">
      <x:c r="A546" s="114"/>
      <x:c r="B546" s="114"/>
      <x:c r="C546" s="114"/>
      <x:c r="D546" s="114"/>
      <x:c r="E546" s="114"/>
      <x:c r="F546" s="114"/>
      <x:c r="G546" s="114"/>
      <x:c r="H546" s="114"/>
      <x:c r="I546" s="114"/>
      <x:c r="J546" s="114"/>
      <x:c r="K546" s="12"/>
      <x:c r="L546" s="12"/>
      <x:c r="M546" s="12"/>
      <x:c r="N546" s="12"/>
      <x:c r="O546" s="12"/>
      <x:c r="P546" s="12"/>
      <x:c r="Q546" s="12"/>
      <x:c r="R546" s="12"/>
      <x:c r="S546" s="12"/>
      <x:c r="T546" s="12"/>
      <x:c r="U546" s="12"/>
      <x:c r="V546" s="12"/>
      <x:c r="W546" s="12"/>
      <x:c r="X546" s="12"/>
      <x:c r="Y546" s="12"/>
      <x:c r="Z546" s="12"/>
      <x:c r="AA546" s="12"/>
      <x:c r="AB546" s="12"/>
      <x:c r="AC546" s="12"/>
      <x:c r="AD546" s="12"/>
      <x:c r="AE546" s="12"/>
      <x:c r="AF546" s="12"/>
      <x:c r="AG546" s="12"/>
    </x:row>
    <x:row r="547" ht="14.25" customHeight="1">
      <x:c r="A547" s="114"/>
      <x:c r="B547" s="114"/>
      <x:c r="C547" s="114"/>
      <x:c r="D547" s="114"/>
      <x:c r="E547" s="114"/>
      <x:c r="F547" s="114"/>
      <x:c r="G547" s="114"/>
      <x:c r="H547" s="114"/>
      <x:c r="I547" s="114"/>
      <x:c r="J547" s="114"/>
      <x:c r="K547" s="12"/>
      <x:c r="L547" s="12"/>
      <x:c r="M547" s="12"/>
      <x:c r="N547" s="12"/>
      <x:c r="O547" s="12"/>
      <x:c r="P547" s="12"/>
      <x:c r="Q547" s="12"/>
      <x:c r="R547" s="12"/>
      <x:c r="S547" s="12"/>
      <x:c r="T547" s="12"/>
      <x:c r="U547" s="12"/>
      <x:c r="V547" s="12"/>
      <x:c r="W547" s="12"/>
      <x:c r="X547" s="12"/>
      <x:c r="Y547" s="12"/>
      <x:c r="Z547" s="12"/>
      <x:c r="AA547" s="12"/>
      <x:c r="AB547" s="12"/>
      <x:c r="AC547" s="12"/>
      <x:c r="AD547" s="12"/>
      <x:c r="AE547" s="12"/>
      <x:c r="AF547" s="12"/>
      <x:c r="AG547" s="12"/>
    </x:row>
    <x:row r="548" ht="14.25" customHeight="1">
      <x:c r="A548" s="114"/>
      <x:c r="B548" s="114"/>
      <x:c r="C548" s="114"/>
      <x:c r="D548" s="114"/>
      <x:c r="E548" s="114"/>
      <x:c r="F548" s="114"/>
      <x:c r="G548" s="114"/>
      <x:c r="H548" s="114"/>
      <x:c r="I548" s="114"/>
      <x:c r="J548" s="114"/>
      <x:c r="K548" s="12"/>
      <x:c r="L548" s="12"/>
      <x:c r="M548" s="12"/>
      <x:c r="N548" s="12"/>
      <x:c r="O548" s="12"/>
      <x:c r="P548" s="12"/>
      <x:c r="Q548" s="12"/>
      <x:c r="R548" s="12"/>
      <x:c r="S548" s="12"/>
      <x:c r="T548" s="12"/>
      <x:c r="U548" s="12"/>
      <x:c r="V548" s="12"/>
      <x:c r="W548" s="12"/>
      <x:c r="X548" s="12"/>
      <x:c r="Y548" s="12"/>
      <x:c r="Z548" s="12"/>
      <x:c r="AA548" s="12"/>
      <x:c r="AB548" s="12"/>
      <x:c r="AC548" s="12"/>
      <x:c r="AD548" s="12"/>
      <x:c r="AE548" s="12"/>
      <x:c r="AF548" s="12"/>
      <x:c r="AG548" s="12"/>
    </x:row>
    <x:row r="549" ht="14.25" customHeight="1">
      <x:c r="A549" s="114"/>
      <x:c r="B549" s="114"/>
      <x:c r="C549" s="114"/>
      <x:c r="D549" s="114"/>
      <x:c r="E549" s="114"/>
      <x:c r="F549" s="114"/>
      <x:c r="G549" s="114"/>
      <x:c r="H549" s="114"/>
      <x:c r="I549" s="114"/>
      <x:c r="J549" s="114"/>
      <x:c r="K549" s="12"/>
      <x:c r="L549" s="12"/>
      <x:c r="M549" s="12"/>
      <x:c r="N549" s="12"/>
      <x:c r="O549" s="12"/>
      <x:c r="P549" s="12"/>
      <x:c r="Q549" s="12"/>
      <x:c r="R549" s="12"/>
      <x:c r="S549" s="12"/>
      <x:c r="T549" s="12"/>
      <x:c r="U549" s="12"/>
      <x:c r="V549" s="12"/>
      <x:c r="W549" s="12"/>
      <x:c r="X549" s="12"/>
      <x:c r="Y549" s="12"/>
      <x:c r="Z549" s="12"/>
      <x:c r="AA549" s="12"/>
      <x:c r="AB549" s="12"/>
      <x:c r="AC549" s="12"/>
      <x:c r="AD549" s="12"/>
      <x:c r="AE549" s="12"/>
      <x:c r="AF549" s="12"/>
      <x:c r="AG549" s="12"/>
    </x:row>
    <x:row r="550" ht="14.25" customHeight="1">
      <x:c r="A550" s="114"/>
      <x:c r="B550" s="114"/>
      <x:c r="C550" s="114"/>
      <x:c r="D550" s="114"/>
      <x:c r="E550" s="114"/>
      <x:c r="F550" s="114"/>
      <x:c r="G550" s="114"/>
      <x:c r="H550" s="114"/>
      <x:c r="I550" s="114"/>
      <x:c r="J550" s="114"/>
      <x:c r="K550" s="12"/>
      <x:c r="L550" s="12"/>
      <x:c r="M550" s="12"/>
      <x:c r="N550" s="12"/>
      <x:c r="O550" s="12"/>
      <x:c r="P550" s="12"/>
      <x:c r="Q550" s="12"/>
      <x:c r="R550" s="12"/>
      <x:c r="S550" s="12"/>
      <x:c r="T550" s="12"/>
      <x:c r="U550" s="12"/>
      <x:c r="V550" s="12"/>
      <x:c r="W550" s="12"/>
      <x:c r="X550" s="12"/>
      <x:c r="Y550" s="12"/>
      <x:c r="Z550" s="12"/>
      <x:c r="AA550" s="12"/>
      <x:c r="AB550" s="12"/>
      <x:c r="AC550" s="12"/>
      <x:c r="AD550" s="12"/>
      <x:c r="AE550" s="12"/>
      <x:c r="AF550" s="12"/>
      <x:c r="AG550" s="12"/>
    </x:row>
    <x:row r="551" ht="14.25" customHeight="1">
      <x:c r="A551" s="114"/>
      <x:c r="B551" s="114"/>
      <x:c r="C551" s="114"/>
      <x:c r="D551" s="114"/>
      <x:c r="E551" s="114"/>
      <x:c r="F551" s="114"/>
      <x:c r="G551" s="114"/>
      <x:c r="H551" s="114"/>
      <x:c r="I551" s="114"/>
      <x:c r="J551" s="114"/>
      <x:c r="K551" s="12"/>
      <x:c r="L551" s="12"/>
      <x:c r="M551" s="12"/>
      <x:c r="N551" s="12"/>
      <x:c r="O551" s="12"/>
      <x:c r="P551" s="12"/>
      <x:c r="Q551" s="12"/>
      <x:c r="R551" s="12"/>
      <x:c r="S551" s="12"/>
      <x:c r="T551" s="12"/>
      <x:c r="U551" s="12"/>
      <x:c r="V551" s="12"/>
      <x:c r="W551" s="12"/>
      <x:c r="X551" s="12"/>
      <x:c r="Y551" s="12"/>
      <x:c r="Z551" s="12"/>
      <x:c r="AA551" s="12"/>
      <x:c r="AB551" s="12"/>
      <x:c r="AC551" s="12"/>
      <x:c r="AD551" s="12"/>
      <x:c r="AE551" s="12"/>
      <x:c r="AF551" s="12"/>
      <x:c r="AG551" s="12"/>
    </x:row>
    <x:row r="552" ht="14.25" customHeight="1">
      <x:c r="A552" s="114"/>
      <x:c r="B552" s="114"/>
      <x:c r="C552" s="114"/>
      <x:c r="D552" s="114"/>
      <x:c r="E552" s="114"/>
      <x:c r="F552" s="114"/>
      <x:c r="G552" s="114"/>
      <x:c r="H552" s="114"/>
      <x:c r="I552" s="114"/>
      <x:c r="J552" s="114"/>
      <x:c r="K552" s="12"/>
      <x:c r="L552" s="12"/>
      <x:c r="M552" s="12"/>
      <x:c r="N552" s="12"/>
      <x:c r="O552" s="12"/>
      <x:c r="P552" s="12"/>
      <x:c r="Q552" s="12"/>
      <x:c r="R552" s="12"/>
      <x:c r="S552" s="12"/>
      <x:c r="T552" s="12"/>
      <x:c r="U552" s="12"/>
      <x:c r="V552" s="12"/>
      <x:c r="W552" s="12"/>
      <x:c r="X552" s="12"/>
      <x:c r="Y552" s="12"/>
      <x:c r="Z552" s="12"/>
      <x:c r="AA552" s="12"/>
      <x:c r="AB552" s="12"/>
      <x:c r="AC552" s="12"/>
      <x:c r="AD552" s="12"/>
      <x:c r="AE552" s="12"/>
      <x:c r="AF552" s="12"/>
      <x:c r="AG552" s="12"/>
    </x:row>
    <x:row r="553" ht="14.25" customHeight="1">
      <x:c r="A553" s="114"/>
      <x:c r="B553" s="114"/>
      <x:c r="C553" s="114"/>
      <x:c r="D553" s="114"/>
      <x:c r="E553" s="114"/>
      <x:c r="F553" s="114"/>
      <x:c r="G553" s="114"/>
      <x:c r="H553" s="114"/>
      <x:c r="I553" s="114"/>
      <x:c r="J553" s="114"/>
      <x:c r="K553" s="12"/>
      <x:c r="L553" s="12"/>
      <x:c r="M553" s="12"/>
      <x:c r="N553" s="12"/>
      <x:c r="O553" s="12"/>
      <x:c r="P553" s="12"/>
      <x:c r="Q553" s="12"/>
      <x:c r="R553" s="12"/>
      <x:c r="S553" s="12"/>
      <x:c r="T553" s="12"/>
      <x:c r="U553" s="12"/>
      <x:c r="V553" s="12"/>
      <x:c r="W553" s="12"/>
      <x:c r="X553" s="12"/>
      <x:c r="Y553" s="12"/>
      <x:c r="Z553" s="12"/>
      <x:c r="AA553" s="12"/>
      <x:c r="AB553" s="12"/>
      <x:c r="AC553" s="12"/>
      <x:c r="AD553" s="12"/>
      <x:c r="AE553" s="12"/>
      <x:c r="AF553" s="12"/>
      <x:c r="AG553" s="12"/>
    </x:row>
    <x:row r="554" ht="14.25" customHeight="1">
      <x:c r="A554" s="114"/>
      <x:c r="B554" s="114"/>
      <x:c r="C554" s="114"/>
      <x:c r="D554" s="114"/>
      <x:c r="E554" s="114"/>
      <x:c r="F554" s="114"/>
      <x:c r="G554" s="114"/>
      <x:c r="H554" s="114"/>
      <x:c r="I554" s="114"/>
      <x:c r="J554" s="114"/>
      <x:c r="K554" s="12"/>
      <x:c r="L554" s="12"/>
      <x:c r="M554" s="12"/>
      <x:c r="N554" s="12"/>
      <x:c r="O554" s="12"/>
      <x:c r="P554" s="12"/>
      <x:c r="Q554" s="12"/>
      <x:c r="R554" s="12"/>
      <x:c r="S554" s="12"/>
      <x:c r="T554" s="12"/>
      <x:c r="U554" s="12"/>
      <x:c r="V554" s="12"/>
      <x:c r="W554" s="12"/>
      <x:c r="X554" s="12"/>
      <x:c r="Y554" s="12"/>
      <x:c r="Z554" s="12"/>
      <x:c r="AA554" s="12"/>
      <x:c r="AB554" s="12"/>
      <x:c r="AC554" s="12"/>
      <x:c r="AD554" s="12"/>
      <x:c r="AE554" s="12"/>
      <x:c r="AF554" s="12"/>
      <x:c r="AG554" s="12"/>
    </x:row>
    <x:row r="555" ht="14.25" customHeight="1">
      <x:c r="A555" s="114"/>
      <x:c r="B555" s="114"/>
      <x:c r="C555" s="114"/>
      <x:c r="D555" s="114"/>
      <x:c r="E555" s="114"/>
      <x:c r="F555" s="114"/>
      <x:c r="G555" s="114"/>
      <x:c r="H555" s="114"/>
      <x:c r="I555" s="114"/>
      <x:c r="J555" s="114"/>
      <x:c r="K555" s="12"/>
      <x:c r="L555" s="12"/>
      <x:c r="M555" s="12"/>
      <x:c r="N555" s="12"/>
      <x:c r="O555" s="12"/>
      <x:c r="P555" s="12"/>
      <x:c r="Q555" s="12"/>
      <x:c r="R555" s="12"/>
      <x:c r="S555" s="12"/>
      <x:c r="T555" s="12"/>
      <x:c r="U555" s="12"/>
      <x:c r="V555" s="12"/>
      <x:c r="W555" s="12"/>
      <x:c r="X555" s="12"/>
      <x:c r="Y555" s="12"/>
      <x:c r="Z555" s="12"/>
      <x:c r="AA555" s="12"/>
      <x:c r="AB555" s="12"/>
      <x:c r="AC555" s="12"/>
      <x:c r="AD555" s="12"/>
      <x:c r="AE555" s="12"/>
      <x:c r="AF555" s="12"/>
      <x:c r="AG555" s="12"/>
    </x:row>
    <x:row r="556" ht="14.25" customHeight="1">
      <x:c r="A556" s="114"/>
      <x:c r="B556" s="114"/>
      <x:c r="C556" s="114"/>
      <x:c r="D556" s="114"/>
      <x:c r="E556" s="114"/>
      <x:c r="F556" s="114"/>
      <x:c r="G556" s="114"/>
      <x:c r="H556" s="114"/>
      <x:c r="I556" s="114"/>
      <x:c r="J556" s="114"/>
      <x:c r="K556" s="12"/>
      <x:c r="L556" s="12"/>
      <x:c r="M556" s="12"/>
      <x:c r="N556" s="12"/>
      <x:c r="O556" s="12"/>
      <x:c r="P556" s="12"/>
      <x:c r="Q556" s="12"/>
      <x:c r="R556" s="12"/>
      <x:c r="S556" s="12"/>
      <x:c r="T556" s="12"/>
      <x:c r="U556" s="12"/>
      <x:c r="V556" s="12"/>
      <x:c r="W556" s="12"/>
      <x:c r="X556" s="12"/>
      <x:c r="Y556" s="12"/>
      <x:c r="Z556" s="12"/>
      <x:c r="AA556" s="12"/>
      <x:c r="AB556" s="12"/>
      <x:c r="AC556" s="12"/>
      <x:c r="AD556" s="12"/>
      <x:c r="AE556" s="12"/>
      <x:c r="AF556" s="12"/>
      <x:c r="AG556" s="12"/>
    </x:row>
    <x:row r="557" ht="14.25" customHeight="1">
      <x:c r="A557" s="114"/>
      <x:c r="B557" s="114"/>
      <x:c r="C557" s="114"/>
      <x:c r="D557" s="114"/>
      <x:c r="E557" s="114"/>
      <x:c r="F557" s="114"/>
      <x:c r="G557" s="114"/>
      <x:c r="H557" s="114"/>
      <x:c r="I557" s="114"/>
      <x:c r="J557" s="114"/>
      <x:c r="K557" s="12"/>
      <x:c r="L557" s="12"/>
      <x:c r="M557" s="12"/>
      <x:c r="N557" s="12"/>
      <x:c r="O557" s="12"/>
      <x:c r="P557" s="12"/>
      <x:c r="Q557" s="12"/>
      <x:c r="R557" s="12"/>
      <x:c r="S557" s="12"/>
      <x:c r="T557" s="12"/>
      <x:c r="U557" s="12"/>
      <x:c r="V557" s="12"/>
      <x:c r="W557" s="12"/>
      <x:c r="X557" s="12"/>
      <x:c r="Y557" s="12"/>
      <x:c r="Z557" s="12"/>
      <x:c r="AA557" s="12"/>
      <x:c r="AB557" s="12"/>
      <x:c r="AC557" s="12"/>
      <x:c r="AD557" s="12"/>
      <x:c r="AE557" s="12"/>
      <x:c r="AF557" s="12"/>
      <x:c r="AG557" s="12"/>
    </x:row>
    <x:row r="558" ht="14.25" customHeight="1">
      <x:c r="A558" s="114"/>
      <x:c r="B558" s="114"/>
      <x:c r="C558" s="114"/>
      <x:c r="D558" s="114"/>
      <x:c r="E558" s="114"/>
      <x:c r="F558" s="114"/>
      <x:c r="G558" s="114"/>
      <x:c r="H558" s="114"/>
      <x:c r="I558" s="114"/>
      <x:c r="J558" s="114"/>
      <x:c r="K558" s="12"/>
      <x:c r="L558" s="12"/>
      <x:c r="M558" s="12"/>
      <x:c r="N558" s="12"/>
      <x:c r="O558" s="12"/>
      <x:c r="P558" s="12"/>
      <x:c r="Q558" s="12"/>
      <x:c r="R558" s="12"/>
      <x:c r="S558" s="12"/>
      <x:c r="T558" s="12"/>
      <x:c r="U558" s="12"/>
      <x:c r="V558" s="12"/>
      <x:c r="W558" s="12"/>
      <x:c r="X558" s="12"/>
      <x:c r="Y558" s="12"/>
      <x:c r="Z558" s="12"/>
      <x:c r="AA558" s="12"/>
      <x:c r="AB558" s="12"/>
      <x:c r="AC558" s="12"/>
      <x:c r="AD558" s="12"/>
      <x:c r="AE558" s="12"/>
      <x:c r="AF558" s="12"/>
      <x:c r="AG558" s="12"/>
    </x:row>
    <x:row r="559" ht="14.25" customHeight="1">
      <x:c r="A559" s="114"/>
      <x:c r="B559" s="114"/>
      <x:c r="C559" s="114"/>
      <x:c r="D559" s="114"/>
      <x:c r="E559" s="114"/>
      <x:c r="F559" s="114"/>
      <x:c r="G559" s="114"/>
      <x:c r="H559" s="114"/>
      <x:c r="I559" s="114"/>
      <x:c r="J559" s="114"/>
      <x:c r="K559" s="12"/>
      <x:c r="L559" s="12"/>
      <x:c r="M559" s="12"/>
      <x:c r="N559" s="12"/>
      <x:c r="O559" s="12"/>
      <x:c r="P559" s="12"/>
      <x:c r="Q559" s="12"/>
      <x:c r="R559" s="12"/>
      <x:c r="S559" s="12"/>
      <x:c r="T559" s="12"/>
      <x:c r="U559" s="12"/>
      <x:c r="V559" s="12"/>
      <x:c r="W559" s="12"/>
      <x:c r="X559" s="12"/>
      <x:c r="Y559" s="12"/>
      <x:c r="Z559" s="12"/>
      <x:c r="AA559" s="12"/>
      <x:c r="AB559" s="12"/>
      <x:c r="AC559" s="12"/>
      <x:c r="AD559" s="12"/>
      <x:c r="AE559" s="12"/>
      <x:c r="AF559" s="12"/>
      <x:c r="AG559" s="12"/>
    </x:row>
    <x:row r="560" ht="14.25" customHeight="1">
      <x:c r="A560" s="114"/>
      <x:c r="B560" s="114"/>
      <x:c r="C560" s="114"/>
      <x:c r="D560" s="114"/>
      <x:c r="E560" s="114"/>
      <x:c r="F560" s="114"/>
      <x:c r="G560" s="114"/>
      <x:c r="H560" s="114"/>
      <x:c r="I560" s="114"/>
      <x:c r="J560" s="114"/>
      <x:c r="K560" s="12"/>
      <x:c r="L560" s="12"/>
      <x:c r="M560" s="12"/>
      <x:c r="N560" s="12"/>
      <x:c r="O560" s="12"/>
      <x:c r="P560" s="12"/>
      <x:c r="Q560" s="12"/>
      <x:c r="R560" s="12"/>
      <x:c r="S560" s="12"/>
      <x:c r="T560" s="12"/>
      <x:c r="U560" s="12"/>
      <x:c r="V560" s="12"/>
      <x:c r="W560" s="12"/>
      <x:c r="X560" s="12"/>
      <x:c r="Y560" s="12"/>
      <x:c r="Z560" s="12"/>
      <x:c r="AA560" s="12"/>
      <x:c r="AB560" s="12"/>
      <x:c r="AC560" s="12"/>
      <x:c r="AD560" s="12"/>
      <x:c r="AE560" s="12"/>
      <x:c r="AF560" s="12"/>
      <x:c r="AG560" s="12"/>
    </x:row>
    <x:row r="561" ht="14.25" customHeight="1">
      <x:c r="A561" s="114"/>
      <x:c r="B561" s="114"/>
      <x:c r="C561" s="114"/>
      <x:c r="D561" s="114"/>
      <x:c r="E561" s="114"/>
      <x:c r="F561" s="114"/>
      <x:c r="G561" s="114"/>
      <x:c r="H561" s="114"/>
      <x:c r="I561" s="114"/>
      <x:c r="J561" s="114"/>
      <x:c r="K561" s="12"/>
      <x:c r="L561" s="12"/>
      <x:c r="M561" s="12"/>
      <x:c r="N561" s="12"/>
      <x:c r="O561" s="12"/>
      <x:c r="P561" s="12"/>
      <x:c r="Q561" s="12"/>
      <x:c r="R561" s="12"/>
      <x:c r="S561" s="12"/>
      <x:c r="T561" s="12"/>
      <x:c r="U561" s="12"/>
      <x:c r="V561" s="12"/>
      <x:c r="W561" s="12"/>
      <x:c r="X561" s="12"/>
      <x:c r="Y561" s="12"/>
      <x:c r="Z561" s="12"/>
      <x:c r="AA561" s="12"/>
      <x:c r="AB561" s="12"/>
      <x:c r="AC561" s="12"/>
      <x:c r="AD561" s="12"/>
      <x:c r="AE561" s="12"/>
      <x:c r="AF561" s="12"/>
      <x:c r="AG561" s="12"/>
    </x:row>
    <x:row r="562" ht="14.25" customHeight="1">
      <x:c r="A562" s="114"/>
      <x:c r="B562" s="114"/>
      <x:c r="C562" s="114"/>
      <x:c r="D562" s="114"/>
      <x:c r="E562" s="114"/>
      <x:c r="F562" s="114"/>
      <x:c r="G562" s="114"/>
      <x:c r="H562" s="114"/>
      <x:c r="I562" s="114"/>
      <x:c r="J562" s="114"/>
      <x:c r="K562" s="12"/>
      <x:c r="L562" s="12"/>
      <x:c r="M562" s="12"/>
      <x:c r="N562" s="12"/>
      <x:c r="O562" s="12"/>
      <x:c r="P562" s="12"/>
      <x:c r="Q562" s="12"/>
      <x:c r="R562" s="12"/>
      <x:c r="S562" s="12"/>
      <x:c r="T562" s="12"/>
      <x:c r="U562" s="12"/>
      <x:c r="V562" s="12"/>
      <x:c r="W562" s="12"/>
      <x:c r="X562" s="12"/>
      <x:c r="Y562" s="12"/>
      <x:c r="Z562" s="12"/>
      <x:c r="AA562" s="12"/>
      <x:c r="AB562" s="12"/>
      <x:c r="AC562" s="12"/>
      <x:c r="AD562" s="12"/>
      <x:c r="AE562" s="12"/>
      <x:c r="AF562" s="12"/>
      <x:c r="AG562" s="12"/>
    </x:row>
    <x:row r="563" ht="14.25" customHeight="1">
      <x:c r="A563" s="114"/>
      <x:c r="B563" s="114"/>
      <x:c r="C563" s="114"/>
      <x:c r="D563" s="114"/>
      <x:c r="E563" s="114"/>
      <x:c r="F563" s="114"/>
      <x:c r="G563" s="114"/>
      <x:c r="H563" s="114"/>
      <x:c r="I563" s="114"/>
      <x:c r="J563" s="114"/>
      <x:c r="K563" s="12"/>
      <x:c r="L563" s="12"/>
      <x:c r="M563" s="12"/>
      <x:c r="N563" s="12"/>
      <x:c r="O563" s="12"/>
      <x:c r="P563" s="12"/>
      <x:c r="Q563" s="12"/>
      <x:c r="R563" s="12"/>
      <x:c r="S563" s="12"/>
      <x:c r="T563" s="12"/>
      <x:c r="U563" s="12"/>
      <x:c r="V563" s="12"/>
      <x:c r="W563" s="12"/>
      <x:c r="X563" s="12"/>
      <x:c r="Y563" s="12"/>
      <x:c r="Z563" s="12"/>
      <x:c r="AA563" s="12"/>
      <x:c r="AB563" s="12"/>
      <x:c r="AC563" s="12"/>
      <x:c r="AD563" s="12"/>
      <x:c r="AE563" s="12"/>
      <x:c r="AF563" s="12"/>
      <x:c r="AG563" s="12"/>
    </x:row>
    <x:row r="564" ht="14.25" customHeight="1">
      <x:c r="A564" s="114"/>
      <x:c r="B564" s="114"/>
      <x:c r="C564" s="114"/>
      <x:c r="D564" s="114"/>
      <x:c r="E564" s="114"/>
      <x:c r="F564" s="114"/>
      <x:c r="G564" s="114"/>
      <x:c r="H564" s="114"/>
      <x:c r="I564" s="114"/>
      <x:c r="J564" s="114"/>
      <x:c r="K564" s="12"/>
      <x:c r="L564" s="12"/>
      <x:c r="M564" s="12"/>
      <x:c r="N564" s="12"/>
      <x:c r="O564" s="12"/>
      <x:c r="P564" s="12"/>
      <x:c r="Q564" s="12"/>
      <x:c r="R564" s="12"/>
      <x:c r="S564" s="12"/>
      <x:c r="T564" s="12"/>
      <x:c r="U564" s="12"/>
      <x:c r="V564" s="12"/>
      <x:c r="W564" s="12"/>
      <x:c r="X564" s="12"/>
      <x:c r="Y564" s="12"/>
      <x:c r="Z564" s="12"/>
      <x:c r="AA564" s="12"/>
      <x:c r="AB564" s="12"/>
      <x:c r="AC564" s="12"/>
      <x:c r="AD564" s="12"/>
      <x:c r="AE564" s="12"/>
      <x:c r="AF564" s="12"/>
      <x:c r="AG564" s="12"/>
    </x:row>
    <x:row r="565" ht="14.25" customHeight="1">
      <x:c r="A565" s="114"/>
      <x:c r="B565" s="114"/>
      <x:c r="C565" s="114"/>
      <x:c r="D565" s="114"/>
      <x:c r="E565" s="114"/>
      <x:c r="F565" s="114"/>
      <x:c r="G565" s="114"/>
      <x:c r="H565" s="114"/>
      <x:c r="I565" s="114"/>
      <x:c r="J565" s="114"/>
      <x:c r="K565" s="12"/>
      <x:c r="L565" s="12"/>
      <x:c r="M565" s="12"/>
      <x:c r="N565" s="12"/>
      <x:c r="O565" s="12"/>
      <x:c r="P565" s="12"/>
      <x:c r="Q565" s="12"/>
      <x:c r="R565" s="12"/>
      <x:c r="S565" s="12"/>
      <x:c r="T565" s="12"/>
      <x:c r="U565" s="12"/>
      <x:c r="V565" s="12"/>
      <x:c r="W565" s="12"/>
      <x:c r="X565" s="12"/>
      <x:c r="Y565" s="12"/>
      <x:c r="Z565" s="12"/>
      <x:c r="AA565" s="12"/>
      <x:c r="AB565" s="12"/>
      <x:c r="AC565" s="12"/>
      <x:c r="AD565" s="12"/>
      <x:c r="AE565" s="12"/>
      <x:c r="AF565" s="12"/>
      <x:c r="AG565" s="12"/>
    </x:row>
    <x:row r="566" ht="14.25" customHeight="1">
      <x:c r="A566" s="114"/>
      <x:c r="B566" s="114"/>
      <x:c r="C566" s="114"/>
      <x:c r="D566" s="114"/>
      <x:c r="E566" s="114"/>
      <x:c r="F566" s="114"/>
      <x:c r="G566" s="114"/>
      <x:c r="H566" s="114"/>
      <x:c r="I566" s="114"/>
      <x:c r="J566" s="114"/>
      <x:c r="K566" s="12"/>
      <x:c r="L566" s="12"/>
      <x:c r="M566" s="12"/>
      <x:c r="N566" s="12"/>
      <x:c r="O566" s="12"/>
      <x:c r="P566" s="12"/>
      <x:c r="Q566" s="12"/>
      <x:c r="R566" s="12"/>
      <x:c r="S566" s="12"/>
      <x:c r="T566" s="12"/>
      <x:c r="U566" s="12"/>
      <x:c r="V566" s="12"/>
      <x:c r="W566" s="12"/>
      <x:c r="X566" s="12"/>
      <x:c r="Y566" s="12"/>
      <x:c r="Z566" s="12"/>
      <x:c r="AA566" s="12"/>
      <x:c r="AB566" s="12"/>
      <x:c r="AC566" s="12"/>
      <x:c r="AD566" s="12"/>
      <x:c r="AE566" s="12"/>
      <x:c r="AF566" s="12"/>
      <x:c r="AG566" s="12"/>
    </x:row>
    <x:row r="567" ht="14.25" customHeight="1">
      <x:c r="A567" s="114"/>
      <x:c r="B567" s="114"/>
      <x:c r="C567" s="114"/>
      <x:c r="D567" s="114"/>
      <x:c r="E567" s="114"/>
      <x:c r="F567" s="114"/>
      <x:c r="G567" s="114"/>
      <x:c r="H567" s="114"/>
      <x:c r="I567" s="114"/>
      <x:c r="J567" s="114"/>
      <x:c r="K567" s="12"/>
      <x:c r="L567" s="12"/>
      <x:c r="M567" s="12"/>
      <x:c r="N567" s="12"/>
      <x:c r="O567" s="12"/>
      <x:c r="P567" s="12"/>
      <x:c r="Q567" s="12"/>
      <x:c r="R567" s="12"/>
      <x:c r="S567" s="12"/>
      <x:c r="T567" s="12"/>
      <x:c r="U567" s="12"/>
      <x:c r="V567" s="12"/>
      <x:c r="W567" s="12"/>
      <x:c r="X567" s="12"/>
      <x:c r="Y567" s="12"/>
      <x:c r="Z567" s="12"/>
      <x:c r="AA567" s="12"/>
      <x:c r="AB567" s="12"/>
      <x:c r="AC567" s="12"/>
      <x:c r="AD567" s="12"/>
      <x:c r="AE567" s="12"/>
      <x:c r="AF567" s="12"/>
      <x:c r="AG567" s="12"/>
    </x:row>
    <x:row r="568" ht="14.25" customHeight="1">
      <x:c r="A568" s="114"/>
      <x:c r="B568" s="114"/>
      <x:c r="C568" s="114"/>
      <x:c r="D568" s="114"/>
      <x:c r="E568" s="114"/>
      <x:c r="F568" s="114"/>
      <x:c r="G568" s="114"/>
      <x:c r="H568" s="114"/>
      <x:c r="I568" s="114"/>
      <x:c r="J568" s="114"/>
      <x:c r="K568" s="12"/>
      <x:c r="L568" s="12"/>
      <x:c r="M568" s="12"/>
      <x:c r="N568" s="12"/>
      <x:c r="O568" s="12"/>
      <x:c r="P568" s="12"/>
      <x:c r="Q568" s="12"/>
      <x:c r="R568" s="12"/>
      <x:c r="S568" s="12"/>
      <x:c r="T568" s="12"/>
      <x:c r="U568" s="12"/>
      <x:c r="V568" s="12"/>
      <x:c r="W568" s="12"/>
      <x:c r="X568" s="12"/>
      <x:c r="Y568" s="12"/>
      <x:c r="Z568" s="12"/>
      <x:c r="AA568" s="12"/>
      <x:c r="AB568" s="12"/>
      <x:c r="AC568" s="12"/>
      <x:c r="AD568" s="12"/>
      <x:c r="AE568" s="12"/>
      <x:c r="AF568" s="12"/>
      <x:c r="AG568" s="12"/>
    </x:row>
    <x:row r="569" ht="14.25" customHeight="1">
      <x:c r="A569" s="114"/>
      <x:c r="B569" s="114"/>
      <x:c r="C569" s="114"/>
      <x:c r="D569" s="114"/>
      <x:c r="E569" s="114"/>
      <x:c r="F569" s="114"/>
      <x:c r="G569" s="114"/>
      <x:c r="H569" s="114"/>
      <x:c r="I569" s="114"/>
      <x:c r="J569" s="114"/>
      <x:c r="K569" s="12"/>
      <x:c r="L569" s="12"/>
      <x:c r="M569" s="12"/>
      <x:c r="N569" s="12"/>
      <x:c r="O569" s="12"/>
      <x:c r="P569" s="12"/>
      <x:c r="Q569" s="12"/>
      <x:c r="R569" s="12"/>
      <x:c r="S569" s="12"/>
      <x:c r="T569" s="12"/>
      <x:c r="U569" s="12"/>
      <x:c r="V569" s="12"/>
      <x:c r="W569" s="12"/>
      <x:c r="X569" s="12"/>
      <x:c r="Y569" s="12"/>
      <x:c r="Z569" s="12"/>
      <x:c r="AA569" s="12"/>
      <x:c r="AB569" s="12"/>
      <x:c r="AC569" s="12"/>
      <x:c r="AD569" s="12"/>
      <x:c r="AE569" s="12"/>
      <x:c r="AF569" s="12"/>
      <x:c r="AG569" s="12"/>
    </x:row>
    <x:row r="570" ht="14.25" customHeight="1">
      <x:c r="A570" s="114"/>
      <x:c r="B570" s="114"/>
      <x:c r="C570" s="114"/>
      <x:c r="D570" s="114"/>
      <x:c r="E570" s="114"/>
      <x:c r="F570" s="114"/>
      <x:c r="G570" s="114"/>
      <x:c r="H570" s="114"/>
      <x:c r="I570" s="114"/>
      <x:c r="J570" s="114"/>
      <x:c r="K570" s="12"/>
      <x:c r="L570" s="12"/>
      <x:c r="M570" s="12"/>
      <x:c r="N570" s="12"/>
      <x:c r="O570" s="12"/>
      <x:c r="P570" s="12"/>
      <x:c r="Q570" s="12"/>
      <x:c r="R570" s="12"/>
      <x:c r="S570" s="12"/>
      <x:c r="T570" s="12"/>
      <x:c r="U570" s="12"/>
      <x:c r="V570" s="12"/>
      <x:c r="W570" s="12"/>
      <x:c r="X570" s="12"/>
      <x:c r="Y570" s="12"/>
      <x:c r="Z570" s="12"/>
      <x:c r="AA570" s="12"/>
      <x:c r="AB570" s="12"/>
      <x:c r="AC570" s="12"/>
      <x:c r="AD570" s="12"/>
      <x:c r="AE570" s="12"/>
      <x:c r="AF570" s="12"/>
      <x:c r="AG570" s="12"/>
    </x:row>
    <x:row r="571" ht="14.25" customHeight="1">
      <x:c r="A571" s="114"/>
      <x:c r="B571" s="114"/>
      <x:c r="C571" s="114"/>
      <x:c r="D571" s="114"/>
      <x:c r="E571" s="114"/>
      <x:c r="F571" s="114"/>
      <x:c r="G571" s="114"/>
      <x:c r="H571" s="114"/>
      <x:c r="I571" s="114"/>
      <x:c r="J571" s="114"/>
      <x:c r="K571" s="12"/>
      <x:c r="L571" s="12"/>
      <x:c r="M571" s="12"/>
      <x:c r="N571" s="12"/>
      <x:c r="O571" s="12"/>
      <x:c r="P571" s="12"/>
      <x:c r="Q571" s="12"/>
      <x:c r="R571" s="12"/>
      <x:c r="S571" s="12"/>
      <x:c r="T571" s="12"/>
      <x:c r="U571" s="12"/>
      <x:c r="V571" s="12"/>
      <x:c r="W571" s="12"/>
      <x:c r="X571" s="12"/>
      <x:c r="Y571" s="12"/>
      <x:c r="Z571" s="12"/>
      <x:c r="AA571" s="12"/>
      <x:c r="AB571" s="12"/>
      <x:c r="AC571" s="12"/>
      <x:c r="AD571" s="12"/>
      <x:c r="AE571" s="12"/>
      <x:c r="AF571" s="12"/>
      <x:c r="AG571" s="12"/>
    </x:row>
    <x:row r="572" ht="14.25" customHeight="1">
      <x:c r="A572" s="114"/>
      <x:c r="B572" s="114"/>
      <x:c r="C572" s="114"/>
      <x:c r="D572" s="114"/>
      <x:c r="E572" s="114"/>
      <x:c r="F572" s="114"/>
      <x:c r="G572" s="114"/>
      <x:c r="H572" s="114"/>
      <x:c r="I572" s="114"/>
      <x:c r="J572" s="114"/>
      <x:c r="K572" s="12"/>
      <x:c r="L572" s="12"/>
      <x:c r="M572" s="12"/>
      <x:c r="N572" s="12"/>
      <x:c r="O572" s="12"/>
      <x:c r="P572" s="12"/>
      <x:c r="Q572" s="12"/>
      <x:c r="R572" s="12"/>
      <x:c r="S572" s="12"/>
      <x:c r="T572" s="12"/>
      <x:c r="U572" s="12"/>
      <x:c r="V572" s="12"/>
      <x:c r="W572" s="12"/>
      <x:c r="X572" s="12"/>
      <x:c r="Y572" s="12"/>
      <x:c r="Z572" s="12"/>
      <x:c r="AA572" s="12"/>
      <x:c r="AB572" s="12"/>
      <x:c r="AC572" s="12"/>
      <x:c r="AD572" s="12"/>
      <x:c r="AE572" s="12"/>
      <x:c r="AF572" s="12"/>
      <x:c r="AG572" s="12"/>
    </x:row>
    <x:row r="573" ht="14.25" customHeight="1">
      <x:c r="A573" s="114"/>
      <x:c r="B573" s="114"/>
      <x:c r="C573" s="114"/>
      <x:c r="D573" s="114"/>
      <x:c r="E573" s="114"/>
      <x:c r="F573" s="114"/>
      <x:c r="G573" s="114"/>
      <x:c r="H573" s="114"/>
      <x:c r="I573" s="114"/>
      <x:c r="J573" s="114"/>
      <x:c r="K573" s="12"/>
      <x:c r="L573" s="12"/>
      <x:c r="M573" s="12"/>
      <x:c r="N573" s="12"/>
      <x:c r="O573" s="12"/>
      <x:c r="P573" s="12"/>
      <x:c r="Q573" s="12"/>
      <x:c r="R573" s="12"/>
      <x:c r="S573" s="12"/>
      <x:c r="T573" s="12"/>
      <x:c r="U573" s="12"/>
      <x:c r="V573" s="12"/>
      <x:c r="W573" s="12"/>
      <x:c r="X573" s="12"/>
      <x:c r="Y573" s="12"/>
      <x:c r="Z573" s="12"/>
      <x:c r="AA573" s="12"/>
      <x:c r="AB573" s="12"/>
      <x:c r="AC573" s="12"/>
      <x:c r="AD573" s="12"/>
      <x:c r="AE573" s="12"/>
      <x:c r="AF573" s="12"/>
      <x:c r="AG573" s="12"/>
    </x:row>
    <x:row r="574" ht="14.25" customHeight="1">
      <x:c r="A574" s="114"/>
      <x:c r="B574" s="114"/>
      <x:c r="C574" s="114"/>
      <x:c r="D574" s="114"/>
      <x:c r="E574" s="114"/>
      <x:c r="F574" s="114"/>
      <x:c r="G574" s="114"/>
      <x:c r="H574" s="114"/>
      <x:c r="I574" s="114"/>
      <x:c r="J574" s="114"/>
      <x:c r="K574" s="12"/>
      <x:c r="L574" s="12"/>
      <x:c r="M574" s="12"/>
      <x:c r="N574" s="12"/>
      <x:c r="O574" s="12"/>
      <x:c r="P574" s="12"/>
      <x:c r="Q574" s="12"/>
      <x:c r="R574" s="12"/>
      <x:c r="S574" s="12"/>
      <x:c r="T574" s="12"/>
      <x:c r="U574" s="12"/>
      <x:c r="V574" s="12"/>
      <x:c r="W574" s="12"/>
      <x:c r="X574" s="12"/>
      <x:c r="Y574" s="12"/>
      <x:c r="Z574" s="12"/>
      <x:c r="AA574" s="12"/>
      <x:c r="AB574" s="12"/>
      <x:c r="AC574" s="12"/>
      <x:c r="AD574" s="12"/>
      <x:c r="AE574" s="12"/>
      <x:c r="AF574" s="12"/>
      <x:c r="AG574" s="12"/>
    </x:row>
    <x:row r="575" ht="14.25" customHeight="1">
      <x:c r="A575" s="114"/>
      <x:c r="B575" s="114"/>
      <x:c r="C575" s="114"/>
      <x:c r="D575" s="114"/>
      <x:c r="E575" s="114"/>
      <x:c r="F575" s="114"/>
      <x:c r="G575" s="114"/>
      <x:c r="H575" s="114"/>
      <x:c r="I575" s="114"/>
      <x:c r="J575" s="114"/>
      <x:c r="K575" s="12"/>
      <x:c r="L575" s="12"/>
      <x:c r="M575" s="12"/>
      <x:c r="N575" s="12"/>
      <x:c r="O575" s="12"/>
      <x:c r="P575" s="12"/>
      <x:c r="Q575" s="12"/>
      <x:c r="R575" s="12"/>
      <x:c r="S575" s="12"/>
      <x:c r="T575" s="12"/>
      <x:c r="U575" s="12"/>
      <x:c r="V575" s="12"/>
      <x:c r="W575" s="12"/>
      <x:c r="X575" s="12"/>
      <x:c r="Y575" s="12"/>
      <x:c r="Z575" s="12"/>
      <x:c r="AA575" s="12"/>
      <x:c r="AB575" s="12"/>
      <x:c r="AC575" s="12"/>
      <x:c r="AD575" s="12"/>
      <x:c r="AE575" s="12"/>
      <x:c r="AF575" s="12"/>
      <x:c r="AG575" s="12"/>
    </x:row>
    <x:row r="576" ht="14.25" customHeight="1">
      <x:c r="A576" s="114"/>
      <x:c r="B576" s="114"/>
      <x:c r="C576" s="114"/>
      <x:c r="D576" s="114"/>
      <x:c r="E576" s="114"/>
      <x:c r="F576" s="114"/>
      <x:c r="G576" s="114"/>
      <x:c r="H576" s="114"/>
      <x:c r="I576" s="114"/>
      <x:c r="J576" s="114"/>
      <x:c r="K576" s="12"/>
      <x:c r="L576" s="12"/>
      <x:c r="M576" s="12"/>
      <x:c r="N576" s="12"/>
      <x:c r="O576" s="12"/>
      <x:c r="P576" s="12"/>
      <x:c r="Q576" s="12"/>
      <x:c r="R576" s="12"/>
      <x:c r="S576" s="12"/>
      <x:c r="T576" s="12"/>
      <x:c r="U576" s="12"/>
      <x:c r="V576" s="12"/>
      <x:c r="W576" s="12"/>
      <x:c r="X576" s="12"/>
      <x:c r="Y576" s="12"/>
      <x:c r="Z576" s="12"/>
      <x:c r="AA576" s="12"/>
      <x:c r="AB576" s="12"/>
      <x:c r="AC576" s="12"/>
      <x:c r="AD576" s="12"/>
      <x:c r="AE576" s="12"/>
      <x:c r="AF576" s="12"/>
      <x:c r="AG576" s="12"/>
    </x:row>
    <x:row r="577" ht="14.25" customHeight="1">
      <x:c r="A577" s="114"/>
      <x:c r="B577" s="114"/>
      <x:c r="C577" s="114"/>
      <x:c r="D577" s="114"/>
      <x:c r="E577" s="114"/>
      <x:c r="F577" s="114"/>
      <x:c r="G577" s="114"/>
      <x:c r="H577" s="114"/>
      <x:c r="I577" s="114"/>
      <x:c r="J577" s="114"/>
      <x:c r="K577" s="12"/>
      <x:c r="L577" s="12"/>
      <x:c r="M577" s="12"/>
      <x:c r="N577" s="12"/>
      <x:c r="O577" s="12"/>
      <x:c r="P577" s="12"/>
      <x:c r="Q577" s="12"/>
      <x:c r="R577" s="12"/>
      <x:c r="S577" s="12"/>
      <x:c r="T577" s="12"/>
      <x:c r="U577" s="12"/>
      <x:c r="V577" s="12"/>
      <x:c r="W577" s="12"/>
      <x:c r="X577" s="12"/>
      <x:c r="Y577" s="12"/>
      <x:c r="Z577" s="12"/>
      <x:c r="AA577" s="12"/>
      <x:c r="AB577" s="12"/>
      <x:c r="AC577" s="12"/>
      <x:c r="AD577" s="12"/>
      <x:c r="AE577" s="12"/>
      <x:c r="AF577" s="12"/>
      <x:c r="AG577" s="12"/>
    </x:row>
    <x:row r="578" ht="14.25" customHeight="1">
      <x:c r="A578" s="114"/>
      <x:c r="B578" s="114"/>
      <x:c r="C578" s="114"/>
      <x:c r="D578" s="114"/>
      <x:c r="E578" s="114"/>
      <x:c r="F578" s="114"/>
      <x:c r="G578" s="114"/>
      <x:c r="H578" s="114"/>
      <x:c r="I578" s="114"/>
      <x:c r="J578" s="114"/>
      <x:c r="K578" s="12"/>
      <x:c r="L578" s="12"/>
      <x:c r="M578" s="12"/>
      <x:c r="N578" s="12"/>
      <x:c r="O578" s="12"/>
      <x:c r="P578" s="12"/>
      <x:c r="Q578" s="12"/>
      <x:c r="R578" s="12"/>
      <x:c r="S578" s="12"/>
      <x:c r="T578" s="12"/>
      <x:c r="U578" s="12"/>
      <x:c r="V578" s="12"/>
      <x:c r="W578" s="12"/>
      <x:c r="X578" s="12"/>
      <x:c r="Y578" s="12"/>
      <x:c r="Z578" s="12"/>
      <x:c r="AA578" s="12"/>
      <x:c r="AB578" s="12"/>
      <x:c r="AC578" s="12"/>
      <x:c r="AD578" s="12"/>
      <x:c r="AE578" s="12"/>
      <x:c r="AF578" s="12"/>
      <x:c r="AG578" s="12"/>
    </x:row>
    <x:row r="579" ht="14.25" customHeight="1">
      <x:c r="A579" s="114"/>
      <x:c r="B579" s="114"/>
      <x:c r="C579" s="114"/>
      <x:c r="D579" s="114"/>
      <x:c r="E579" s="114"/>
      <x:c r="F579" s="114"/>
      <x:c r="G579" s="114"/>
      <x:c r="H579" s="114"/>
      <x:c r="I579" s="114"/>
      <x:c r="J579" s="114"/>
      <x:c r="K579" s="12"/>
      <x:c r="L579" s="12"/>
      <x:c r="M579" s="12"/>
      <x:c r="N579" s="12"/>
      <x:c r="O579" s="12"/>
      <x:c r="P579" s="12"/>
      <x:c r="Q579" s="12"/>
      <x:c r="R579" s="12"/>
      <x:c r="S579" s="12"/>
      <x:c r="T579" s="12"/>
      <x:c r="U579" s="12"/>
      <x:c r="V579" s="12"/>
      <x:c r="W579" s="12"/>
      <x:c r="X579" s="12"/>
      <x:c r="Y579" s="12"/>
      <x:c r="Z579" s="12"/>
      <x:c r="AA579" s="12"/>
      <x:c r="AB579" s="12"/>
      <x:c r="AC579" s="12"/>
      <x:c r="AD579" s="12"/>
      <x:c r="AE579" s="12"/>
      <x:c r="AF579" s="12"/>
      <x:c r="AG579" s="12"/>
    </x:row>
    <x:row r="580" ht="14.25" customHeight="1">
      <x:c r="A580" s="114"/>
      <x:c r="B580" s="114"/>
      <x:c r="C580" s="114"/>
      <x:c r="D580" s="114"/>
      <x:c r="E580" s="114"/>
      <x:c r="F580" s="114"/>
      <x:c r="G580" s="114"/>
      <x:c r="H580" s="114"/>
      <x:c r="I580" s="114"/>
      <x:c r="J580" s="114"/>
      <x:c r="K580" s="12"/>
      <x:c r="L580" s="12"/>
      <x:c r="M580" s="12"/>
      <x:c r="N580" s="12"/>
      <x:c r="O580" s="12"/>
      <x:c r="P580" s="12"/>
      <x:c r="Q580" s="12"/>
      <x:c r="R580" s="12"/>
      <x:c r="S580" s="12"/>
      <x:c r="T580" s="12"/>
      <x:c r="U580" s="12"/>
      <x:c r="V580" s="12"/>
      <x:c r="W580" s="12"/>
      <x:c r="X580" s="12"/>
      <x:c r="Y580" s="12"/>
      <x:c r="Z580" s="12"/>
      <x:c r="AA580" s="12"/>
      <x:c r="AB580" s="12"/>
      <x:c r="AC580" s="12"/>
      <x:c r="AD580" s="12"/>
      <x:c r="AE580" s="12"/>
      <x:c r="AF580" s="12"/>
      <x:c r="AG580" s="12"/>
    </x:row>
    <x:row r="581" ht="14.25" customHeight="1">
      <x:c r="A581" s="114"/>
      <x:c r="B581" s="114"/>
      <x:c r="C581" s="114"/>
      <x:c r="D581" s="114"/>
      <x:c r="E581" s="114"/>
      <x:c r="F581" s="114"/>
      <x:c r="G581" s="114"/>
      <x:c r="H581" s="114"/>
      <x:c r="I581" s="114"/>
      <x:c r="J581" s="114"/>
      <x:c r="K581" s="12"/>
      <x:c r="L581" s="12"/>
      <x:c r="M581" s="12"/>
      <x:c r="N581" s="12"/>
      <x:c r="O581" s="12"/>
      <x:c r="P581" s="12"/>
      <x:c r="Q581" s="12"/>
      <x:c r="R581" s="12"/>
      <x:c r="S581" s="12"/>
      <x:c r="T581" s="12"/>
      <x:c r="U581" s="12"/>
      <x:c r="V581" s="12"/>
      <x:c r="W581" s="12"/>
      <x:c r="X581" s="12"/>
      <x:c r="Y581" s="12"/>
      <x:c r="Z581" s="12"/>
      <x:c r="AA581" s="12"/>
      <x:c r="AB581" s="12"/>
      <x:c r="AC581" s="12"/>
      <x:c r="AD581" s="12"/>
      <x:c r="AE581" s="12"/>
      <x:c r="AF581" s="12"/>
      <x:c r="AG581" s="12"/>
    </x:row>
    <x:row r="582" ht="14.25" customHeight="1">
      <x:c r="A582" s="114"/>
      <x:c r="B582" s="114"/>
      <x:c r="C582" s="114"/>
      <x:c r="D582" s="114"/>
      <x:c r="E582" s="114"/>
      <x:c r="F582" s="114"/>
      <x:c r="G582" s="114"/>
      <x:c r="H582" s="114"/>
      <x:c r="I582" s="114"/>
      <x:c r="J582" s="114"/>
      <x:c r="K582" s="12"/>
      <x:c r="L582" s="12"/>
      <x:c r="M582" s="12"/>
      <x:c r="N582" s="12"/>
      <x:c r="O582" s="12"/>
      <x:c r="P582" s="12"/>
      <x:c r="Q582" s="12"/>
      <x:c r="R582" s="12"/>
      <x:c r="S582" s="12"/>
      <x:c r="T582" s="12"/>
      <x:c r="U582" s="12"/>
      <x:c r="V582" s="12"/>
      <x:c r="W582" s="12"/>
      <x:c r="X582" s="12"/>
      <x:c r="Y582" s="12"/>
      <x:c r="Z582" s="12"/>
      <x:c r="AA582" s="12"/>
      <x:c r="AB582" s="12"/>
      <x:c r="AC582" s="12"/>
      <x:c r="AD582" s="12"/>
      <x:c r="AE582" s="12"/>
      <x:c r="AF582" s="12"/>
      <x:c r="AG582" s="12"/>
    </x:row>
    <x:row r="583" ht="14.25" customHeight="1">
      <x:c r="A583" s="114"/>
      <x:c r="B583" s="114"/>
      <x:c r="C583" s="114"/>
      <x:c r="D583" s="114"/>
      <x:c r="E583" s="114"/>
      <x:c r="F583" s="114"/>
      <x:c r="G583" s="114"/>
      <x:c r="H583" s="114"/>
      <x:c r="I583" s="114"/>
      <x:c r="J583" s="114"/>
      <x:c r="K583" s="12"/>
      <x:c r="L583" s="12"/>
      <x:c r="M583" s="12"/>
      <x:c r="N583" s="12"/>
      <x:c r="O583" s="12"/>
      <x:c r="P583" s="12"/>
      <x:c r="Q583" s="12"/>
      <x:c r="R583" s="12"/>
      <x:c r="S583" s="12"/>
      <x:c r="T583" s="12"/>
      <x:c r="U583" s="12"/>
      <x:c r="V583" s="12"/>
      <x:c r="W583" s="12"/>
      <x:c r="X583" s="12"/>
      <x:c r="Y583" s="12"/>
      <x:c r="Z583" s="12"/>
      <x:c r="AA583" s="12"/>
      <x:c r="AB583" s="12"/>
      <x:c r="AC583" s="12"/>
      <x:c r="AD583" s="12"/>
      <x:c r="AE583" s="12"/>
      <x:c r="AF583" s="12"/>
      <x:c r="AG583" s="12"/>
    </x:row>
    <x:row r="584" ht="14.25" customHeight="1">
      <x:c r="A584" s="114"/>
      <x:c r="B584" s="114"/>
      <x:c r="C584" s="114"/>
      <x:c r="D584" s="114"/>
      <x:c r="E584" s="114"/>
      <x:c r="F584" s="114"/>
      <x:c r="G584" s="114"/>
      <x:c r="H584" s="114"/>
      <x:c r="I584" s="114"/>
      <x:c r="J584" s="114"/>
      <x:c r="K584" s="12"/>
      <x:c r="L584" s="12"/>
      <x:c r="M584" s="12"/>
      <x:c r="N584" s="12"/>
      <x:c r="O584" s="12"/>
      <x:c r="P584" s="12"/>
      <x:c r="Q584" s="12"/>
      <x:c r="R584" s="12"/>
      <x:c r="S584" s="12"/>
      <x:c r="T584" s="12"/>
      <x:c r="U584" s="12"/>
      <x:c r="V584" s="12"/>
      <x:c r="W584" s="12"/>
      <x:c r="X584" s="12"/>
      <x:c r="Y584" s="12"/>
      <x:c r="Z584" s="12"/>
      <x:c r="AA584" s="12"/>
      <x:c r="AB584" s="12"/>
      <x:c r="AC584" s="12"/>
      <x:c r="AD584" s="12"/>
      <x:c r="AE584" s="12"/>
      <x:c r="AF584" s="12"/>
      <x:c r="AG584" s="12"/>
    </x:row>
    <x:row r="585" ht="14.25" customHeight="1">
      <x:c r="A585" s="114"/>
      <x:c r="B585" s="114"/>
      <x:c r="C585" s="114"/>
      <x:c r="D585" s="114"/>
      <x:c r="E585" s="114"/>
      <x:c r="F585" s="114"/>
      <x:c r="G585" s="114"/>
      <x:c r="H585" s="114"/>
      <x:c r="I585" s="114"/>
      <x:c r="J585" s="114"/>
      <x:c r="K585" s="12"/>
      <x:c r="L585" s="12"/>
      <x:c r="M585" s="12"/>
      <x:c r="N585" s="12"/>
      <x:c r="O585" s="12"/>
      <x:c r="P585" s="12"/>
      <x:c r="Q585" s="12"/>
      <x:c r="R585" s="12"/>
      <x:c r="S585" s="12"/>
      <x:c r="T585" s="12"/>
      <x:c r="U585" s="12"/>
      <x:c r="V585" s="12"/>
      <x:c r="W585" s="12"/>
      <x:c r="X585" s="12"/>
      <x:c r="Y585" s="12"/>
      <x:c r="Z585" s="12"/>
      <x:c r="AA585" s="12"/>
      <x:c r="AB585" s="12"/>
      <x:c r="AC585" s="12"/>
      <x:c r="AD585" s="12"/>
      <x:c r="AE585" s="12"/>
      <x:c r="AF585" s="12"/>
      <x:c r="AG585" s="12"/>
    </x:row>
    <x:row r="586" ht="14.25" customHeight="1">
      <x:c r="A586" s="114"/>
      <x:c r="B586" s="114"/>
      <x:c r="C586" s="114"/>
      <x:c r="D586" s="114"/>
      <x:c r="E586" s="114"/>
      <x:c r="F586" s="114"/>
      <x:c r="G586" s="114"/>
      <x:c r="H586" s="114"/>
      <x:c r="I586" s="114"/>
      <x:c r="J586" s="114"/>
      <x:c r="K586" s="12"/>
      <x:c r="L586" s="12"/>
      <x:c r="M586" s="12"/>
      <x:c r="N586" s="12"/>
      <x:c r="O586" s="12"/>
      <x:c r="P586" s="12"/>
      <x:c r="Q586" s="12"/>
      <x:c r="R586" s="12"/>
      <x:c r="S586" s="12"/>
      <x:c r="T586" s="12"/>
      <x:c r="U586" s="12"/>
      <x:c r="V586" s="12"/>
      <x:c r="W586" s="12"/>
      <x:c r="X586" s="12"/>
      <x:c r="Y586" s="12"/>
      <x:c r="Z586" s="12"/>
      <x:c r="AA586" s="12"/>
      <x:c r="AB586" s="12"/>
      <x:c r="AC586" s="12"/>
      <x:c r="AD586" s="12"/>
      <x:c r="AE586" s="12"/>
      <x:c r="AF586" s="12"/>
      <x:c r="AG586" s="12"/>
    </x:row>
    <x:row r="587" ht="14.25" customHeight="1">
      <x:c r="A587" s="114"/>
      <x:c r="B587" s="114"/>
      <x:c r="C587" s="114"/>
      <x:c r="D587" s="114"/>
      <x:c r="E587" s="114"/>
      <x:c r="F587" s="114"/>
      <x:c r="G587" s="114"/>
      <x:c r="H587" s="114"/>
      <x:c r="I587" s="114"/>
      <x:c r="J587" s="114"/>
      <x:c r="K587" s="12"/>
      <x:c r="L587" s="12"/>
      <x:c r="M587" s="12"/>
      <x:c r="N587" s="12"/>
      <x:c r="O587" s="12"/>
      <x:c r="P587" s="12"/>
      <x:c r="Q587" s="12"/>
      <x:c r="R587" s="12"/>
      <x:c r="S587" s="12"/>
      <x:c r="T587" s="12"/>
      <x:c r="U587" s="12"/>
      <x:c r="V587" s="12"/>
      <x:c r="W587" s="12"/>
      <x:c r="X587" s="12"/>
      <x:c r="Y587" s="12"/>
      <x:c r="Z587" s="12"/>
      <x:c r="AA587" s="12"/>
      <x:c r="AB587" s="12"/>
      <x:c r="AC587" s="12"/>
      <x:c r="AD587" s="12"/>
      <x:c r="AE587" s="12"/>
      <x:c r="AF587" s="12"/>
      <x:c r="AG587" s="12"/>
    </x:row>
    <x:row r="588" ht="14.25" customHeight="1">
      <x:c r="A588" s="114"/>
      <x:c r="B588" s="114"/>
      <x:c r="C588" s="114"/>
      <x:c r="D588" s="114"/>
      <x:c r="E588" s="114"/>
      <x:c r="F588" s="114"/>
      <x:c r="G588" s="114"/>
      <x:c r="H588" s="114"/>
      <x:c r="I588" s="114"/>
      <x:c r="J588" s="114"/>
      <x:c r="K588" s="12"/>
      <x:c r="L588" s="12"/>
      <x:c r="M588" s="12"/>
      <x:c r="N588" s="12"/>
      <x:c r="O588" s="12"/>
      <x:c r="P588" s="12"/>
      <x:c r="Q588" s="12"/>
      <x:c r="R588" s="12"/>
      <x:c r="S588" s="12"/>
      <x:c r="T588" s="12"/>
      <x:c r="U588" s="12"/>
      <x:c r="V588" s="12"/>
      <x:c r="W588" s="12"/>
      <x:c r="X588" s="12"/>
      <x:c r="Y588" s="12"/>
      <x:c r="Z588" s="12"/>
      <x:c r="AA588" s="12"/>
      <x:c r="AB588" s="12"/>
      <x:c r="AC588" s="12"/>
      <x:c r="AD588" s="12"/>
      <x:c r="AE588" s="12"/>
      <x:c r="AF588" s="12"/>
      <x:c r="AG588" s="12"/>
    </x:row>
    <x:row r="589" ht="14.25" customHeight="1">
      <x:c r="A589" s="114"/>
      <x:c r="B589" s="114"/>
      <x:c r="C589" s="114"/>
      <x:c r="D589" s="114"/>
      <x:c r="E589" s="114"/>
      <x:c r="F589" s="114"/>
      <x:c r="G589" s="114"/>
      <x:c r="H589" s="114"/>
      <x:c r="I589" s="114"/>
      <x:c r="J589" s="114"/>
      <x:c r="K589" s="12"/>
      <x:c r="L589" s="12"/>
      <x:c r="M589" s="12"/>
      <x:c r="N589" s="12"/>
      <x:c r="O589" s="12"/>
      <x:c r="P589" s="12"/>
      <x:c r="Q589" s="12"/>
      <x:c r="R589" s="12"/>
      <x:c r="S589" s="12"/>
      <x:c r="T589" s="12"/>
      <x:c r="U589" s="12"/>
      <x:c r="V589" s="12"/>
      <x:c r="W589" s="12"/>
      <x:c r="X589" s="12"/>
      <x:c r="Y589" s="12"/>
      <x:c r="Z589" s="12"/>
      <x:c r="AA589" s="12"/>
      <x:c r="AB589" s="12"/>
      <x:c r="AC589" s="12"/>
      <x:c r="AD589" s="12"/>
      <x:c r="AE589" s="12"/>
      <x:c r="AF589" s="12"/>
      <x:c r="AG589" s="12"/>
    </x:row>
    <x:row r="590" ht="14.25" customHeight="1">
      <x:c r="A590" s="114"/>
      <x:c r="B590" s="114"/>
      <x:c r="C590" s="114"/>
      <x:c r="D590" s="114"/>
      <x:c r="E590" s="114"/>
      <x:c r="F590" s="114"/>
      <x:c r="G590" s="114"/>
      <x:c r="H590" s="114"/>
      <x:c r="I590" s="114"/>
      <x:c r="J590" s="114"/>
      <x:c r="K590" s="12"/>
      <x:c r="L590" s="12"/>
      <x:c r="M590" s="12"/>
      <x:c r="N590" s="12"/>
      <x:c r="O590" s="12"/>
      <x:c r="P590" s="12"/>
      <x:c r="Q590" s="12"/>
      <x:c r="R590" s="12"/>
      <x:c r="S590" s="12"/>
      <x:c r="T590" s="12"/>
      <x:c r="U590" s="12"/>
      <x:c r="V590" s="12"/>
      <x:c r="W590" s="12"/>
      <x:c r="X590" s="12"/>
      <x:c r="Y590" s="12"/>
      <x:c r="Z590" s="12"/>
      <x:c r="AA590" s="12"/>
      <x:c r="AB590" s="12"/>
      <x:c r="AC590" s="12"/>
      <x:c r="AD590" s="12"/>
      <x:c r="AE590" s="12"/>
      <x:c r="AF590" s="12"/>
      <x:c r="AG590" s="12"/>
    </x:row>
    <x:row r="591" ht="14.25" customHeight="1">
      <x:c r="A591" s="114"/>
      <x:c r="B591" s="114"/>
      <x:c r="C591" s="114"/>
      <x:c r="D591" s="114"/>
      <x:c r="E591" s="114"/>
      <x:c r="F591" s="114"/>
      <x:c r="G591" s="114"/>
      <x:c r="H591" s="114"/>
      <x:c r="I591" s="114"/>
      <x:c r="J591" s="114"/>
      <x:c r="K591" s="12"/>
      <x:c r="L591" s="12"/>
      <x:c r="M591" s="12"/>
      <x:c r="N591" s="12"/>
      <x:c r="O591" s="12"/>
      <x:c r="P591" s="12"/>
      <x:c r="Q591" s="12"/>
      <x:c r="R591" s="12"/>
      <x:c r="S591" s="12"/>
      <x:c r="T591" s="12"/>
      <x:c r="U591" s="12"/>
      <x:c r="V591" s="12"/>
      <x:c r="W591" s="12"/>
      <x:c r="X591" s="12"/>
      <x:c r="Y591" s="12"/>
      <x:c r="Z591" s="12"/>
      <x:c r="AA591" s="12"/>
      <x:c r="AB591" s="12"/>
      <x:c r="AC591" s="12"/>
      <x:c r="AD591" s="12"/>
      <x:c r="AE591" s="12"/>
      <x:c r="AF591" s="12"/>
      <x:c r="AG591" s="12"/>
    </x:row>
    <x:row r="592" ht="14.25" customHeight="1">
      <x:c r="A592" s="114"/>
      <x:c r="B592" s="114"/>
      <x:c r="C592" s="114"/>
      <x:c r="D592" s="114"/>
      <x:c r="E592" s="114"/>
      <x:c r="F592" s="114"/>
      <x:c r="G592" s="114"/>
      <x:c r="H592" s="114"/>
      <x:c r="I592" s="114"/>
      <x:c r="J592" s="114"/>
      <x:c r="K592" s="12"/>
      <x:c r="L592" s="12"/>
      <x:c r="M592" s="12"/>
      <x:c r="N592" s="12"/>
      <x:c r="O592" s="12"/>
      <x:c r="P592" s="12"/>
      <x:c r="Q592" s="12"/>
      <x:c r="R592" s="12"/>
      <x:c r="S592" s="12"/>
      <x:c r="T592" s="12"/>
      <x:c r="U592" s="12"/>
      <x:c r="V592" s="12"/>
      <x:c r="W592" s="12"/>
      <x:c r="X592" s="12"/>
      <x:c r="Y592" s="12"/>
      <x:c r="Z592" s="12"/>
      <x:c r="AA592" s="12"/>
      <x:c r="AB592" s="12"/>
      <x:c r="AC592" s="12"/>
      <x:c r="AD592" s="12"/>
      <x:c r="AE592" s="12"/>
      <x:c r="AF592" s="12"/>
      <x:c r="AG592" s="12"/>
    </x:row>
    <x:row r="593" ht="14.25" customHeight="1">
      <x:c r="A593" s="114"/>
      <x:c r="B593" s="114"/>
      <x:c r="C593" s="114"/>
      <x:c r="D593" s="114"/>
      <x:c r="E593" s="114"/>
      <x:c r="F593" s="114"/>
      <x:c r="G593" s="114"/>
      <x:c r="H593" s="114"/>
      <x:c r="I593" s="114"/>
      <x:c r="J593" s="114"/>
      <x:c r="K593" s="12"/>
      <x:c r="L593" s="12"/>
      <x:c r="M593" s="12"/>
      <x:c r="N593" s="12"/>
      <x:c r="O593" s="12"/>
      <x:c r="P593" s="12"/>
      <x:c r="Q593" s="12"/>
      <x:c r="R593" s="12"/>
      <x:c r="S593" s="12"/>
      <x:c r="T593" s="12"/>
      <x:c r="U593" s="12"/>
      <x:c r="V593" s="12"/>
      <x:c r="W593" s="12"/>
      <x:c r="X593" s="12"/>
      <x:c r="Y593" s="12"/>
      <x:c r="Z593" s="12"/>
      <x:c r="AA593" s="12"/>
      <x:c r="AB593" s="12"/>
      <x:c r="AC593" s="12"/>
      <x:c r="AD593" s="12"/>
      <x:c r="AE593" s="12"/>
      <x:c r="AF593" s="12"/>
      <x:c r="AG593" s="12"/>
    </x:row>
    <x:row r="594" ht="14.25" customHeight="1">
      <x:c r="A594" s="114"/>
      <x:c r="B594" s="114"/>
      <x:c r="C594" s="114"/>
      <x:c r="D594" s="114"/>
      <x:c r="E594" s="114"/>
      <x:c r="F594" s="114"/>
      <x:c r="G594" s="114"/>
      <x:c r="H594" s="114"/>
      <x:c r="I594" s="114"/>
      <x:c r="J594" s="114"/>
      <x:c r="K594" s="12"/>
      <x:c r="L594" s="12"/>
      <x:c r="M594" s="12"/>
      <x:c r="N594" s="12"/>
      <x:c r="O594" s="12"/>
      <x:c r="P594" s="12"/>
      <x:c r="Q594" s="12"/>
      <x:c r="R594" s="12"/>
      <x:c r="S594" s="12"/>
      <x:c r="T594" s="12"/>
      <x:c r="U594" s="12"/>
      <x:c r="V594" s="12"/>
      <x:c r="W594" s="12"/>
      <x:c r="X594" s="12"/>
      <x:c r="Y594" s="12"/>
      <x:c r="Z594" s="12"/>
      <x:c r="AA594" s="12"/>
      <x:c r="AB594" s="12"/>
      <x:c r="AC594" s="12"/>
      <x:c r="AD594" s="12"/>
      <x:c r="AE594" s="12"/>
      <x:c r="AF594" s="12"/>
      <x:c r="AG594" s="12"/>
    </x:row>
    <x:row r="595" ht="14.25" customHeight="1">
      <x:c r="A595" s="114"/>
      <x:c r="B595" s="114"/>
      <x:c r="C595" s="114"/>
      <x:c r="D595" s="114"/>
      <x:c r="E595" s="114"/>
      <x:c r="F595" s="114"/>
      <x:c r="G595" s="114"/>
      <x:c r="H595" s="114"/>
      <x:c r="I595" s="114"/>
      <x:c r="J595" s="114"/>
      <x:c r="K595" s="12"/>
      <x:c r="L595" s="12"/>
      <x:c r="M595" s="12"/>
      <x:c r="N595" s="12"/>
      <x:c r="O595" s="12"/>
      <x:c r="P595" s="12"/>
      <x:c r="Q595" s="12"/>
      <x:c r="R595" s="12"/>
      <x:c r="S595" s="12"/>
      <x:c r="T595" s="12"/>
      <x:c r="U595" s="12"/>
      <x:c r="V595" s="12"/>
      <x:c r="W595" s="12"/>
      <x:c r="X595" s="12"/>
      <x:c r="Y595" s="12"/>
      <x:c r="Z595" s="12"/>
      <x:c r="AA595" s="12"/>
      <x:c r="AB595" s="12"/>
      <x:c r="AC595" s="12"/>
      <x:c r="AD595" s="12"/>
      <x:c r="AE595" s="12"/>
      <x:c r="AF595" s="12"/>
      <x:c r="AG595" s="12"/>
    </x:row>
    <x:row r="596" ht="14.25" customHeight="1">
      <x:c r="A596" s="114"/>
      <x:c r="B596" s="114"/>
      <x:c r="C596" s="114"/>
      <x:c r="D596" s="114"/>
      <x:c r="E596" s="114"/>
      <x:c r="F596" s="114"/>
      <x:c r="G596" s="114"/>
      <x:c r="H596" s="114"/>
      <x:c r="I596" s="114"/>
      <x:c r="J596" s="114"/>
      <x:c r="K596" s="12"/>
      <x:c r="L596" s="12"/>
      <x:c r="M596" s="12"/>
      <x:c r="N596" s="12"/>
      <x:c r="O596" s="12"/>
      <x:c r="P596" s="12"/>
      <x:c r="Q596" s="12"/>
      <x:c r="R596" s="12"/>
      <x:c r="S596" s="12"/>
      <x:c r="T596" s="12"/>
      <x:c r="U596" s="12"/>
      <x:c r="V596" s="12"/>
      <x:c r="W596" s="12"/>
      <x:c r="X596" s="12"/>
      <x:c r="Y596" s="12"/>
      <x:c r="Z596" s="12"/>
      <x:c r="AA596" s="12"/>
      <x:c r="AB596" s="12"/>
      <x:c r="AC596" s="12"/>
      <x:c r="AD596" s="12"/>
      <x:c r="AE596" s="12"/>
      <x:c r="AF596" s="12"/>
      <x:c r="AG596" s="12"/>
    </x:row>
    <x:row r="597" ht="14.25" customHeight="1">
      <x:c r="A597" s="114"/>
      <x:c r="B597" s="114"/>
      <x:c r="C597" s="114"/>
      <x:c r="D597" s="114"/>
      <x:c r="E597" s="114"/>
      <x:c r="F597" s="114"/>
      <x:c r="G597" s="114"/>
      <x:c r="H597" s="114"/>
      <x:c r="I597" s="114"/>
      <x:c r="J597" s="114"/>
      <x:c r="K597" s="12"/>
      <x:c r="L597" s="12"/>
      <x:c r="M597" s="12"/>
      <x:c r="N597" s="12"/>
      <x:c r="O597" s="12"/>
      <x:c r="P597" s="12"/>
      <x:c r="Q597" s="12"/>
      <x:c r="R597" s="12"/>
      <x:c r="S597" s="12"/>
      <x:c r="T597" s="12"/>
      <x:c r="U597" s="12"/>
      <x:c r="V597" s="12"/>
      <x:c r="W597" s="12"/>
      <x:c r="X597" s="12"/>
      <x:c r="Y597" s="12"/>
      <x:c r="Z597" s="12"/>
      <x:c r="AA597" s="12"/>
      <x:c r="AB597" s="12"/>
      <x:c r="AC597" s="12"/>
      <x:c r="AD597" s="12"/>
      <x:c r="AE597" s="12"/>
      <x:c r="AF597" s="12"/>
      <x:c r="AG597" s="12"/>
    </x:row>
    <x:row r="598" ht="14.25" customHeight="1">
      <x:c r="A598" s="114"/>
      <x:c r="B598" s="114"/>
      <x:c r="C598" s="114"/>
      <x:c r="D598" s="114"/>
      <x:c r="E598" s="114"/>
      <x:c r="F598" s="114"/>
      <x:c r="G598" s="114"/>
      <x:c r="H598" s="114"/>
      <x:c r="I598" s="114"/>
      <x:c r="J598" s="114"/>
      <x:c r="K598" s="12"/>
      <x:c r="L598" s="12"/>
      <x:c r="M598" s="12"/>
      <x:c r="N598" s="12"/>
      <x:c r="O598" s="12"/>
      <x:c r="P598" s="12"/>
      <x:c r="Q598" s="12"/>
      <x:c r="R598" s="12"/>
      <x:c r="S598" s="12"/>
      <x:c r="T598" s="12"/>
      <x:c r="U598" s="12"/>
      <x:c r="V598" s="12"/>
      <x:c r="W598" s="12"/>
      <x:c r="X598" s="12"/>
      <x:c r="Y598" s="12"/>
      <x:c r="Z598" s="12"/>
      <x:c r="AA598" s="12"/>
      <x:c r="AB598" s="12"/>
      <x:c r="AC598" s="12"/>
      <x:c r="AD598" s="12"/>
      <x:c r="AE598" s="12"/>
      <x:c r="AF598" s="12"/>
      <x:c r="AG598" s="12"/>
    </x:row>
    <x:row r="599" ht="14.25" customHeight="1">
      <x:c r="A599" s="114"/>
      <x:c r="B599" s="114"/>
      <x:c r="C599" s="114"/>
      <x:c r="D599" s="114"/>
      <x:c r="E599" s="114"/>
      <x:c r="F599" s="114"/>
      <x:c r="G599" s="114"/>
      <x:c r="H599" s="114"/>
      <x:c r="I599" s="114"/>
      <x:c r="J599" s="114"/>
      <x:c r="K599" s="12"/>
      <x:c r="L599" s="12"/>
      <x:c r="M599" s="12"/>
      <x:c r="N599" s="12"/>
      <x:c r="O599" s="12"/>
      <x:c r="P599" s="12"/>
      <x:c r="Q599" s="12"/>
      <x:c r="R599" s="12"/>
      <x:c r="S599" s="12"/>
      <x:c r="T599" s="12"/>
      <x:c r="U599" s="12"/>
      <x:c r="V599" s="12"/>
      <x:c r="W599" s="12"/>
      <x:c r="X599" s="12"/>
      <x:c r="Y599" s="12"/>
      <x:c r="Z599" s="12"/>
      <x:c r="AA599" s="12"/>
      <x:c r="AB599" s="12"/>
      <x:c r="AC599" s="12"/>
      <x:c r="AD599" s="12"/>
      <x:c r="AE599" s="12"/>
      <x:c r="AF599" s="12"/>
      <x:c r="AG599" s="12"/>
    </x:row>
    <x:row r="600" ht="14.25" customHeight="1">
      <x:c r="A600" s="114"/>
      <x:c r="B600" s="114"/>
      <x:c r="C600" s="114"/>
      <x:c r="D600" s="114"/>
      <x:c r="E600" s="114"/>
      <x:c r="F600" s="114"/>
      <x:c r="G600" s="114"/>
      <x:c r="H600" s="114"/>
      <x:c r="I600" s="114"/>
      <x:c r="J600" s="114"/>
      <x:c r="K600" s="12"/>
      <x:c r="L600" s="12"/>
      <x:c r="M600" s="12"/>
      <x:c r="N600" s="12"/>
      <x:c r="O600" s="12"/>
      <x:c r="P600" s="12"/>
      <x:c r="Q600" s="12"/>
      <x:c r="R600" s="12"/>
      <x:c r="S600" s="12"/>
      <x:c r="T600" s="12"/>
      <x:c r="U600" s="12"/>
      <x:c r="V600" s="12"/>
      <x:c r="W600" s="12"/>
      <x:c r="X600" s="12"/>
      <x:c r="Y600" s="12"/>
      <x:c r="Z600" s="12"/>
      <x:c r="AA600" s="12"/>
      <x:c r="AB600" s="12"/>
      <x:c r="AC600" s="12"/>
      <x:c r="AD600" s="12"/>
      <x:c r="AE600" s="12"/>
      <x:c r="AF600" s="12"/>
      <x:c r="AG600" s="12"/>
    </x:row>
    <x:row r="601" ht="14.25" customHeight="1">
      <x:c r="A601" s="114"/>
      <x:c r="B601" s="114"/>
      <x:c r="C601" s="114"/>
      <x:c r="D601" s="114"/>
      <x:c r="E601" s="114"/>
      <x:c r="F601" s="114"/>
      <x:c r="G601" s="114"/>
      <x:c r="H601" s="114"/>
      <x:c r="I601" s="114"/>
      <x:c r="J601" s="114"/>
      <x:c r="K601" s="12"/>
      <x:c r="L601" s="12"/>
      <x:c r="M601" s="12"/>
      <x:c r="N601" s="12"/>
      <x:c r="O601" s="12"/>
      <x:c r="P601" s="12"/>
      <x:c r="Q601" s="12"/>
      <x:c r="R601" s="12"/>
      <x:c r="S601" s="12"/>
      <x:c r="T601" s="12"/>
      <x:c r="U601" s="12"/>
      <x:c r="V601" s="12"/>
      <x:c r="W601" s="12"/>
      <x:c r="X601" s="12"/>
      <x:c r="Y601" s="12"/>
      <x:c r="Z601" s="12"/>
      <x:c r="AA601" s="12"/>
      <x:c r="AB601" s="12"/>
      <x:c r="AC601" s="12"/>
      <x:c r="AD601" s="12"/>
      <x:c r="AE601" s="12"/>
      <x:c r="AF601" s="12"/>
      <x:c r="AG601" s="12"/>
    </x:row>
    <x:row r="602" ht="14.25" customHeight="1">
      <x:c r="A602" s="114"/>
      <x:c r="B602" s="114"/>
      <x:c r="C602" s="114"/>
      <x:c r="D602" s="114"/>
      <x:c r="E602" s="114"/>
      <x:c r="F602" s="114"/>
      <x:c r="G602" s="114"/>
      <x:c r="H602" s="114"/>
      <x:c r="I602" s="114"/>
      <x:c r="J602" s="114"/>
      <x:c r="K602" s="12"/>
      <x:c r="L602" s="12"/>
      <x:c r="M602" s="12"/>
      <x:c r="N602" s="12"/>
      <x:c r="O602" s="12"/>
      <x:c r="P602" s="12"/>
      <x:c r="Q602" s="12"/>
      <x:c r="R602" s="12"/>
      <x:c r="S602" s="12"/>
      <x:c r="T602" s="12"/>
      <x:c r="U602" s="12"/>
      <x:c r="V602" s="12"/>
      <x:c r="W602" s="12"/>
      <x:c r="X602" s="12"/>
      <x:c r="Y602" s="12"/>
      <x:c r="Z602" s="12"/>
      <x:c r="AA602" s="12"/>
      <x:c r="AB602" s="12"/>
      <x:c r="AC602" s="12"/>
      <x:c r="AD602" s="12"/>
      <x:c r="AE602" s="12"/>
      <x:c r="AF602" s="12"/>
      <x:c r="AG602" s="12"/>
    </x:row>
    <x:row r="603" ht="14.25" customHeight="1">
      <x:c r="A603" s="114"/>
      <x:c r="B603" s="114"/>
      <x:c r="C603" s="114"/>
      <x:c r="D603" s="114"/>
      <x:c r="E603" s="114"/>
      <x:c r="F603" s="114"/>
      <x:c r="G603" s="114"/>
      <x:c r="H603" s="114"/>
      <x:c r="I603" s="114"/>
      <x:c r="J603" s="114"/>
      <x:c r="K603" s="12"/>
      <x:c r="L603" s="12"/>
      <x:c r="M603" s="12"/>
      <x:c r="N603" s="12"/>
      <x:c r="O603" s="12"/>
      <x:c r="P603" s="12"/>
      <x:c r="Q603" s="12"/>
      <x:c r="R603" s="12"/>
      <x:c r="S603" s="12"/>
      <x:c r="T603" s="12"/>
      <x:c r="U603" s="12"/>
      <x:c r="V603" s="12"/>
      <x:c r="W603" s="12"/>
      <x:c r="X603" s="12"/>
      <x:c r="Y603" s="12"/>
      <x:c r="Z603" s="12"/>
      <x:c r="AA603" s="12"/>
      <x:c r="AB603" s="12"/>
      <x:c r="AC603" s="12"/>
      <x:c r="AD603" s="12"/>
      <x:c r="AE603" s="12"/>
      <x:c r="AF603" s="12"/>
      <x:c r="AG603" s="12"/>
    </x:row>
    <x:row r="604" ht="14.25" customHeight="1">
      <x:c r="A604" s="114"/>
      <x:c r="B604" s="114"/>
      <x:c r="C604" s="114"/>
      <x:c r="D604" s="114"/>
      <x:c r="E604" s="114"/>
      <x:c r="F604" s="114"/>
      <x:c r="G604" s="114"/>
      <x:c r="H604" s="114"/>
      <x:c r="I604" s="114"/>
      <x:c r="J604" s="114"/>
      <x:c r="K604" s="12"/>
      <x:c r="L604" s="12"/>
      <x:c r="M604" s="12"/>
      <x:c r="N604" s="12"/>
      <x:c r="O604" s="12"/>
      <x:c r="P604" s="12"/>
      <x:c r="Q604" s="12"/>
      <x:c r="R604" s="12"/>
      <x:c r="S604" s="12"/>
      <x:c r="T604" s="12"/>
      <x:c r="U604" s="12"/>
      <x:c r="V604" s="12"/>
      <x:c r="W604" s="12"/>
      <x:c r="X604" s="12"/>
      <x:c r="Y604" s="12"/>
      <x:c r="Z604" s="12"/>
      <x:c r="AA604" s="12"/>
      <x:c r="AB604" s="12"/>
      <x:c r="AC604" s="12"/>
      <x:c r="AD604" s="12"/>
      <x:c r="AE604" s="12"/>
      <x:c r="AF604" s="12"/>
      <x:c r="AG604" s="12"/>
    </x:row>
    <x:row r="605" ht="14.25" customHeight="1">
      <x:c r="A605" s="114"/>
      <x:c r="B605" s="114"/>
      <x:c r="C605" s="114"/>
      <x:c r="D605" s="114"/>
      <x:c r="E605" s="114"/>
      <x:c r="F605" s="114"/>
      <x:c r="G605" s="114"/>
      <x:c r="H605" s="114"/>
      <x:c r="I605" s="114"/>
      <x:c r="J605" s="114"/>
      <x:c r="K605" s="12"/>
      <x:c r="L605" s="12"/>
      <x:c r="M605" s="12"/>
      <x:c r="N605" s="12"/>
      <x:c r="O605" s="12"/>
      <x:c r="P605" s="12"/>
      <x:c r="Q605" s="12"/>
      <x:c r="R605" s="12"/>
      <x:c r="S605" s="12"/>
      <x:c r="T605" s="12"/>
      <x:c r="U605" s="12"/>
      <x:c r="V605" s="12"/>
      <x:c r="W605" s="12"/>
      <x:c r="X605" s="12"/>
      <x:c r="Y605" s="12"/>
      <x:c r="Z605" s="12"/>
      <x:c r="AA605" s="12"/>
      <x:c r="AB605" s="12"/>
      <x:c r="AC605" s="12"/>
      <x:c r="AD605" s="12"/>
      <x:c r="AE605" s="12"/>
      <x:c r="AF605" s="12"/>
      <x:c r="AG605" s="12"/>
    </x:row>
    <x:row r="606" ht="14.25" customHeight="1">
      <x:c r="A606" s="114"/>
      <x:c r="B606" s="114"/>
      <x:c r="C606" s="114"/>
      <x:c r="D606" s="114"/>
      <x:c r="E606" s="114"/>
      <x:c r="F606" s="114"/>
      <x:c r="G606" s="114"/>
      <x:c r="H606" s="114"/>
      <x:c r="I606" s="114"/>
      <x:c r="J606" s="114"/>
      <x:c r="K606" s="12"/>
      <x:c r="L606" s="12"/>
      <x:c r="M606" s="12"/>
      <x:c r="N606" s="12"/>
      <x:c r="O606" s="12"/>
      <x:c r="P606" s="12"/>
      <x:c r="Q606" s="12"/>
      <x:c r="R606" s="12"/>
      <x:c r="S606" s="12"/>
      <x:c r="T606" s="12"/>
      <x:c r="U606" s="12"/>
      <x:c r="V606" s="12"/>
      <x:c r="W606" s="12"/>
      <x:c r="X606" s="12"/>
      <x:c r="Y606" s="12"/>
      <x:c r="Z606" s="12"/>
      <x:c r="AA606" s="12"/>
      <x:c r="AB606" s="12"/>
      <x:c r="AC606" s="12"/>
      <x:c r="AD606" s="12"/>
      <x:c r="AE606" s="12"/>
      <x:c r="AF606" s="12"/>
      <x:c r="AG606" s="12"/>
    </x:row>
    <x:row r="607" ht="14.25" customHeight="1">
      <x:c r="A607" s="114"/>
      <x:c r="B607" s="114"/>
      <x:c r="C607" s="114"/>
      <x:c r="D607" s="114"/>
      <x:c r="E607" s="114"/>
      <x:c r="F607" s="114"/>
      <x:c r="G607" s="114"/>
      <x:c r="H607" s="114"/>
      <x:c r="I607" s="114"/>
      <x:c r="J607" s="114"/>
      <x:c r="K607" s="12"/>
      <x:c r="L607" s="12"/>
      <x:c r="M607" s="12"/>
      <x:c r="N607" s="12"/>
      <x:c r="O607" s="12"/>
      <x:c r="P607" s="12"/>
      <x:c r="Q607" s="12"/>
      <x:c r="R607" s="12"/>
      <x:c r="S607" s="12"/>
      <x:c r="T607" s="12"/>
      <x:c r="U607" s="12"/>
      <x:c r="V607" s="12"/>
      <x:c r="W607" s="12"/>
      <x:c r="X607" s="12"/>
      <x:c r="Y607" s="12"/>
      <x:c r="Z607" s="12"/>
      <x:c r="AA607" s="12"/>
      <x:c r="AB607" s="12"/>
      <x:c r="AC607" s="12"/>
      <x:c r="AD607" s="12"/>
      <x:c r="AE607" s="12"/>
      <x:c r="AF607" s="12"/>
      <x:c r="AG607" s="12"/>
    </x:row>
    <x:row r="608" ht="14.25" customHeight="1">
      <x:c r="A608" s="114"/>
      <x:c r="B608" s="114"/>
      <x:c r="C608" s="114"/>
      <x:c r="D608" s="114"/>
      <x:c r="E608" s="114"/>
      <x:c r="F608" s="114"/>
      <x:c r="G608" s="114"/>
      <x:c r="H608" s="114"/>
      <x:c r="I608" s="114"/>
      <x:c r="J608" s="114"/>
      <x:c r="K608" s="12"/>
      <x:c r="L608" s="12"/>
      <x:c r="M608" s="12"/>
      <x:c r="N608" s="12"/>
      <x:c r="O608" s="12"/>
      <x:c r="P608" s="12"/>
      <x:c r="Q608" s="12"/>
      <x:c r="R608" s="12"/>
      <x:c r="S608" s="12"/>
      <x:c r="T608" s="12"/>
      <x:c r="U608" s="12"/>
      <x:c r="V608" s="12"/>
      <x:c r="W608" s="12"/>
      <x:c r="X608" s="12"/>
      <x:c r="Y608" s="12"/>
      <x:c r="Z608" s="12"/>
      <x:c r="AA608" s="12"/>
      <x:c r="AB608" s="12"/>
      <x:c r="AC608" s="12"/>
      <x:c r="AD608" s="12"/>
      <x:c r="AE608" s="12"/>
      <x:c r="AF608" s="12"/>
      <x:c r="AG608" s="12"/>
    </x:row>
    <x:row r="609" ht="14.25" customHeight="1">
      <x:c r="A609" s="114"/>
      <x:c r="B609" s="114"/>
      <x:c r="C609" s="114"/>
      <x:c r="D609" s="114"/>
      <x:c r="E609" s="114"/>
      <x:c r="F609" s="114"/>
      <x:c r="G609" s="114"/>
      <x:c r="H609" s="114"/>
      <x:c r="I609" s="114"/>
      <x:c r="J609" s="114"/>
      <x:c r="K609" s="12"/>
      <x:c r="L609" s="12"/>
      <x:c r="M609" s="12"/>
      <x:c r="N609" s="12"/>
      <x:c r="O609" s="12"/>
      <x:c r="P609" s="12"/>
      <x:c r="Q609" s="12"/>
      <x:c r="R609" s="12"/>
      <x:c r="S609" s="12"/>
      <x:c r="T609" s="12"/>
      <x:c r="U609" s="12"/>
      <x:c r="V609" s="12"/>
      <x:c r="W609" s="12"/>
      <x:c r="X609" s="12"/>
      <x:c r="Y609" s="12"/>
      <x:c r="Z609" s="12"/>
      <x:c r="AA609" s="12"/>
      <x:c r="AB609" s="12"/>
      <x:c r="AC609" s="12"/>
      <x:c r="AD609" s="12"/>
      <x:c r="AE609" s="12"/>
      <x:c r="AF609" s="12"/>
      <x:c r="AG609" s="12"/>
    </x:row>
    <x:row r="610" ht="14.25" customHeight="1">
      <x:c r="A610" s="114"/>
      <x:c r="B610" s="114"/>
      <x:c r="C610" s="114"/>
      <x:c r="D610" s="114"/>
      <x:c r="E610" s="114"/>
      <x:c r="F610" s="114"/>
      <x:c r="G610" s="114"/>
      <x:c r="H610" s="114"/>
      <x:c r="I610" s="114"/>
      <x:c r="J610" s="114"/>
      <x:c r="K610" s="12"/>
      <x:c r="L610" s="12"/>
      <x:c r="M610" s="12"/>
      <x:c r="N610" s="12"/>
      <x:c r="O610" s="12"/>
      <x:c r="P610" s="12"/>
      <x:c r="Q610" s="12"/>
      <x:c r="R610" s="12"/>
      <x:c r="S610" s="12"/>
      <x:c r="T610" s="12"/>
      <x:c r="U610" s="12"/>
      <x:c r="V610" s="12"/>
      <x:c r="W610" s="12"/>
      <x:c r="X610" s="12"/>
      <x:c r="Y610" s="12"/>
      <x:c r="Z610" s="12"/>
      <x:c r="AA610" s="12"/>
      <x:c r="AB610" s="12"/>
      <x:c r="AC610" s="12"/>
      <x:c r="AD610" s="12"/>
      <x:c r="AE610" s="12"/>
      <x:c r="AF610" s="12"/>
      <x:c r="AG610" s="12"/>
    </x:row>
    <x:row r="611" ht="14.25" customHeight="1">
      <x:c r="A611" s="114"/>
      <x:c r="B611" s="114"/>
      <x:c r="C611" s="114"/>
      <x:c r="D611" s="114"/>
      <x:c r="E611" s="114"/>
      <x:c r="F611" s="114"/>
      <x:c r="G611" s="114"/>
      <x:c r="H611" s="114"/>
      <x:c r="I611" s="114"/>
      <x:c r="J611" s="114"/>
      <x:c r="K611" s="12"/>
      <x:c r="L611" s="12"/>
      <x:c r="M611" s="12"/>
      <x:c r="N611" s="12"/>
      <x:c r="O611" s="12"/>
      <x:c r="P611" s="12"/>
      <x:c r="Q611" s="12"/>
      <x:c r="R611" s="12"/>
      <x:c r="S611" s="12"/>
      <x:c r="T611" s="12"/>
      <x:c r="U611" s="12"/>
      <x:c r="V611" s="12"/>
      <x:c r="W611" s="12"/>
      <x:c r="X611" s="12"/>
      <x:c r="Y611" s="12"/>
      <x:c r="Z611" s="12"/>
      <x:c r="AA611" s="12"/>
      <x:c r="AB611" s="12"/>
      <x:c r="AC611" s="12"/>
      <x:c r="AD611" s="12"/>
      <x:c r="AE611" s="12"/>
      <x:c r="AF611" s="12"/>
      <x:c r="AG611" s="12"/>
    </x:row>
    <x:row r="612" ht="14.25" customHeight="1">
      <x:c r="A612" s="114"/>
      <x:c r="B612" s="114"/>
      <x:c r="C612" s="114"/>
      <x:c r="D612" s="114"/>
      <x:c r="E612" s="114"/>
      <x:c r="F612" s="114"/>
      <x:c r="G612" s="114"/>
      <x:c r="H612" s="114"/>
      <x:c r="I612" s="114"/>
      <x:c r="J612" s="114"/>
      <x:c r="K612" s="12"/>
      <x:c r="L612" s="12"/>
      <x:c r="M612" s="12"/>
      <x:c r="N612" s="12"/>
      <x:c r="O612" s="12"/>
      <x:c r="P612" s="12"/>
      <x:c r="Q612" s="12"/>
      <x:c r="R612" s="12"/>
      <x:c r="S612" s="12"/>
      <x:c r="T612" s="12"/>
      <x:c r="U612" s="12"/>
      <x:c r="V612" s="12"/>
      <x:c r="W612" s="12"/>
      <x:c r="X612" s="12"/>
      <x:c r="Y612" s="12"/>
      <x:c r="Z612" s="12"/>
      <x:c r="AA612" s="12"/>
      <x:c r="AB612" s="12"/>
      <x:c r="AC612" s="12"/>
      <x:c r="AD612" s="12"/>
      <x:c r="AE612" s="12"/>
      <x:c r="AF612" s="12"/>
      <x:c r="AG612" s="12"/>
    </x:row>
    <x:row r="613" ht="14.25" customHeight="1">
      <x:c r="A613" s="114"/>
      <x:c r="B613" s="114"/>
      <x:c r="C613" s="114"/>
      <x:c r="D613" s="114"/>
      <x:c r="E613" s="114"/>
      <x:c r="F613" s="114"/>
      <x:c r="G613" s="114"/>
      <x:c r="H613" s="114"/>
      <x:c r="I613" s="114"/>
      <x:c r="J613" s="114"/>
      <x:c r="K613" s="12"/>
      <x:c r="L613" s="12"/>
      <x:c r="M613" s="12"/>
      <x:c r="N613" s="12"/>
      <x:c r="O613" s="12"/>
      <x:c r="P613" s="12"/>
      <x:c r="Q613" s="12"/>
      <x:c r="R613" s="12"/>
      <x:c r="S613" s="12"/>
      <x:c r="T613" s="12"/>
      <x:c r="U613" s="12"/>
      <x:c r="V613" s="12"/>
      <x:c r="W613" s="12"/>
      <x:c r="X613" s="12"/>
      <x:c r="Y613" s="12"/>
      <x:c r="Z613" s="12"/>
      <x:c r="AA613" s="12"/>
      <x:c r="AB613" s="12"/>
      <x:c r="AC613" s="12"/>
      <x:c r="AD613" s="12"/>
      <x:c r="AE613" s="12"/>
      <x:c r="AF613" s="12"/>
      <x:c r="AG613" s="12"/>
    </x:row>
    <x:row r="614" ht="14.25" customHeight="1">
      <x:c r="A614" s="114"/>
      <x:c r="B614" s="114"/>
      <x:c r="C614" s="114"/>
      <x:c r="D614" s="114"/>
      <x:c r="E614" s="114"/>
      <x:c r="F614" s="114"/>
      <x:c r="G614" s="114"/>
      <x:c r="H614" s="114"/>
      <x:c r="I614" s="114"/>
      <x:c r="J614" s="114"/>
      <x:c r="K614" s="12"/>
      <x:c r="L614" s="12"/>
      <x:c r="M614" s="12"/>
      <x:c r="N614" s="12"/>
      <x:c r="O614" s="12"/>
      <x:c r="P614" s="12"/>
      <x:c r="Q614" s="12"/>
      <x:c r="R614" s="12"/>
      <x:c r="S614" s="12"/>
      <x:c r="T614" s="12"/>
      <x:c r="U614" s="12"/>
      <x:c r="V614" s="12"/>
      <x:c r="W614" s="12"/>
      <x:c r="X614" s="12"/>
      <x:c r="Y614" s="12"/>
      <x:c r="Z614" s="12"/>
      <x:c r="AA614" s="12"/>
      <x:c r="AB614" s="12"/>
      <x:c r="AC614" s="12"/>
      <x:c r="AD614" s="12"/>
      <x:c r="AE614" s="12"/>
      <x:c r="AF614" s="12"/>
      <x:c r="AG614" s="12"/>
    </x:row>
    <x:row r="615" ht="14.25" customHeight="1">
      <x:c r="A615" s="114"/>
      <x:c r="B615" s="114"/>
      <x:c r="C615" s="114"/>
      <x:c r="D615" s="114"/>
      <x:c r="E615" s="114"/>
      <x:c r="F615" s="114"/>
      <x:c r="G615" s="114"/>
      <x:c r="H615" s="114"/>
      <x:c r="I615" s="114"/>
      <x:c r="J615" s="114"/>
      <x:c r="K615" s="12"/>
      <x:c r="L615" s="12"/>
      <x:c r="M615" s="12"/>
      <x:c r="N615" s="12"/>
      <x:c r="O615" s="12"/>
      <x:c r="P615" s="12"/>
      <x:c r="Q615" s="12"/>
      <x:c r="R615" s="12"/>
      <x:c r="S615" s="12"/>
      <x:c r="T615" s="12"/>
      <x:c r="U615" s="12"/>
      <x:c r="V615" s="12"/>
      <x:c r="W615" s="12"/>
      <x:c r="X615" s="12"/>
      <x:c r="Y615" s="12"/>
      <x:c r="Z615" s="12"/>
      <x:c r="AA615" s="12"/>
      <x:c r="AB615" s="12"/>
      <x:c r="AC615" s="12"/>
      <x:c r="AD615" s="12"/>
      <x:c r="AE615" s="12"/>
      <x:c r="AF615" s="12"/>
      <x:c r="AG615" s="12"/>
    </x:row>
    <x:row r="616" ht="14.25" customHeight="1">
      <x:c r="A616" s="114"/>
      <x:c r="B616" s="114"/>
      <x:c r="C616" s="114"/>
      <x:c r="D616" s="114"/>
      <x:c r="E616" s="114"/>
      <x:c r="F616" s="114"/>
      <x:c r="G616" s="114"/>
      <x:c r="H616" s="114"/>
      <x:c r="I616" s="114"/>
      <x:c r="J616" s="114"/>
      <x:c r="K616" s="12"/>
      <x:c r="L616" s="12"/>
      <x:c r="M616" s="12"/>
      <x:c r="N616" s="12"/>
      <x:c r="O616" s="12"/>
      <x:c r="P616" s="12"/>
      <x:c r="Q616" s="12"/>
      <x:c r="R616" s="12"/>
      <x:c r="S616" s="12"/>
      <x:c r="T616" s="12"/>
      <x:c r="U616" s="12"/>
      <x:c r="V616" s="12"/>
      <x:c r="W616" s="12"/>
      <x:c r="X616" s="12"/>
      <x:c r="Y616" s="12"/>
      <x:c r="Z616" s="12"/>
      <x:c r="AA616" s="12"/>
      <x:c r="AB616" s="12"/>
      <x:c r="AC616" s="12"/>
      <x:c r="AD616" s="12"/>
      <x:c r="AE616" s="12"/>
      <x:c r="AF616" s="12"/>
      <x:c r="AG616" s="12"/>
    </x:row>
    <x:row r="617" ht="14.25" customHeight="1">
      <x:c r="A617" s="114"/>
      <x:c r="B617" s="114"/>
      <x:c r="C617" s="114"/>
      <x:c r="D617" s="114"/>
      <x:c r="E617" s="114"/>
      <x:c r="F617" s="114"/>
      <x:c r="G617" s="114"/>
      <x:c r="H617" s="114"/>
      <x:c r="I617" s="114"/>
      <x:c r="J617" s="114"/>
      <x:c r="K617" s="12"/>
      <x:c r="L617" s="12"/>
      <x:c r="M617" s="12"/>
      <x:c r="N617" s="12"/>
      <x:c r="O617" s="12"/>
      <x:c r="P617" s="12"/>
      <x:c r="Q617" s="12"/>
      <x:c r="R617" s="12"/>
      <x:c r="S617" s="12"/>
      <x:c r="T617" s="12"/>
      <x:c r="U617" s="12"/>
      <x:c r="V617" s="12"/>
      <x:c r="W617" s="12"/>
      <x:c r="X617" s="12"/>
      <x:c r="Y617" s="12"/>
      <x:c r="Z617" s="12"/>
      <x:c r="AA617" s="12"/>
      <x:c r="AB617" s="12"/>
      <x:c r="AC617" s="12"/>
      <x:c r="AD617" s="12"/>
      <x:c r="AE617" s="12"/>
      <x:c r="AF617" s="12"/>
      <x:c r="AG617" s="12"/>
    </x:row>
    <x:row r="618" ht="14.25" customHeight="1">
      <x:c r="A618" s="114"/>
      <x:c r="B618" s="114"/>
      <x:c r="C618" s="114"/>
      <x:c r="D618" s="114"/>
      <x:c r="E618" s="114"/>
      <x:c r="F618" s="114"/>
      <x:c r="G618" s="114"/>
      <x:c r="H618" s="114"/>
      <x:c r="I618" s="114"/>
      <x:c r="J618" s="114"/>
      <x:c r="K618" s="12"/>
      <x:c r="L618" s="12"/>
      <x:c r="M618" s="12"/>
      <x:c r="N618" s="12"/>
      <x:c r="O618" s="12"/>
      <x:c r="P618" s="12"/>
      <x:c r="Q618" s="12"/>
      <x:c r="R618" s="12"/>
      <x:c r="S618" s="12"/>
      <x:c r="T618" s="12"/>
      <x:c r="U618" s="12"/>
      <x:c r="V618" s="12"/>
      <x:c r="W618" s="12"/>
      <x:c r="X618" s="12"/>
      <x:c r="Y618" s="12"/>
      <x:c r="Z618" s="12"/>
      <x:c r="AA618" s="12"/>
      <x:c r="AB618" s="12"/>
      <x:c r="AC618" s="12"/>
      <x:c r="AD618" s="12"/>
      <x:c r="AE618" s="12"/>
      <x:c r="AF618" s="12"/>
      <x:c r="AG618" s="12"/>
    </x:row>
    <x:row r="619" ht="14.25" customHeight="1">
      <x:c r="A619" s="114"/>
      <x:c r="B619" s="114"/>
      <x:c r="C619" s="114"/>
      <x:c r="D619" s="114"/>
      <x:c r="E619" s="114"/>
      <x:c r="F619" s="114"/>
      <x:c r="G619" s="114"/>
      <x:c r="H619" s="114"/>
      <x:c r="I619" s="114"/>
      <x:c r="J619" s="114"/>
      <x:c r="K619" s="12"/>
      <x:c r="L619" s="12"/>
      <x:c r="M619" s="12"/>
      <x:c r="N619" s="12"/>
      <x:c r="O619" s="12"/>
      <x:c r="P619" s="12"/>
      <x:c r="Q619" s="12"/>
      <x:c r="R619" s="12"/>
      <x:c r="S619" s="12"/>
      <x:c r="T619" s="12"/>
      <x:c r="U619" s="12"/>
      <x:c r="V619" s="12"/>
      <x:c r="W619" s="12"/>
      <x:c r="X619" s="12"/>
      <x:c r="Y619" s="12"/>
      <x:c r="Z619" s="12"/>
      <x:c r="AA619" s="12"/>
      <x:c r="AB619" s="12"/>
      <x:c r="AC619" s="12"/>
      <x:c r="AD619" s="12"/>
      <x:c r="AE619" s="12"/>
      <x:c r="AF619" s="12"/>
      <x:c r="AG619" s="12"/>
    </x:row>
    <x:row r="620" ht="14.25" customHeight="1">
      <x:c r="A620" s="114"/>
      <x:c r="B620" s="114"/>
      <x:c r="C620" s="114"/>
      <x:c r="D620" s="114"/>
      <x:c r="E620" s="114"/>
      <x:c r="F620" s="114"/>
      <x:c r="G620" s="114"/>
      <x:c r="H620" s="114"/>
      <x:c r="I620" s="114"/>
      <x:c r="J620" s="114"/>
      <x:c r="K620" s="12"/>
      <x:c r="L620" s="12"/>
      <x:c r="M620" s="12"/>
      <x:c r="N620" s="12"/>
      <x:c r="O620" s="12"/>
      <x:c r="P620" s="12"/>
      <x:c r="Q620" s="12"/>
      <x:c r="R620" s="12"/>
      <x:c r="S620" s="12"/>
      <x:c r="T620" s="12"/>
      <x:c r="U620" s="12"/>
      <x:c r="V620" s="12"/>
      <x:c r="W620" s="12"/>
      <x:c r="X620" s="12"/>
      <x:c r="Y620" s="12"/>
      <x:c r="Z620" s="12"/>
      <x:c r="AA620" s="12"/>
      <x:c r="AB620" s="12"/>
      <x:c r="AC620" s="12"/>
      <x:c r="AD620" s="12"/>
      <x:c r="AE620" s="12"/>
      <x:c r="AF620" s="12"/>
      <x:c r="AG620" s="12"/>
    </x:row>
    <x:row r="621" ht="14.25" customHeight="1">
      <x:c r="A621" s="114"/>
      <x:c r="B621" s="114"/>
      <x:c r="C621" s="114"/>
      <x:c r="D621" s="114"/>
      <x:c r="E621" s="114"/>
      <x:c r="F621" s="114"/>
      <x:c r="G621" s="114"/>
      <x:c r="H621" s="114"/>
      <x:c r="I621" s="114"/>
      <x:c r="J621" s="114"/>
      <x:c r="K621" s="12"/>
      <x:c r="L621" s="12"/>
      <x:c r="M621" s="12"/>
      <x:c r="N621" s="12"/>
      <x:c r="O621" s="12"/>
      <x:c r="P621" s="12"/>
      <x:c r="Q621" s="12"/>
      <x:c r="R621" s="12"/>
      <x:c r="S621" s="12"/>
      <x:c r="T621" s="12"/>
      <x:c r="U621" s="12"/>
      <x:c r="V621" s="12"/>
      <x:c r="W621" s="12"/>
      <x:c r="X621" s="12"/>
      <x:c r="Y621" s="12"/>
      <x:c r="Z621" s="12"/>
      <x:c r="AA621" s="12"/>
      <x:c r="AB621" s="12"/>
      <x:c r="AC621" s="12"/>
      <x:c r="AD621" s="12"/>
      <x:c r="AE621" s="12"/>
      <x:c r="AF621" s="12"/>
      <x:c r="AG621" s="12"/>
    </x:row>
    <x:row r="622" ht="14.25" customHeight="1">
      <x:c r="A622" s="114"/>
      <x:c r="B622" s="114"/>
      <x:c r="C622" s="114"/>
      <x:c r="D622" s="114"/>
      <x:c r="E622" s="114"/>
      <x:c r="F622" s="114"/>
      <x:c r="G622" s="114"/>
      <x:c r="H622" s="114"/>
      <x:c r="I622" s="114"/>
      <x:c r="J622" s="114"/>
      <x:c r="K622" s="12"/>
      <x:c r="L622" s="12"/>
      <x:c r="M622" s="12"/>
      <x:c r="N622" s="12"/>
      <x:c r="O622" s="12"/>
      <x:c r="P622" s="12"/>
      <x:c r="Q622" s="12"/>
      <x:c r="R622" s="12"/>
      <x:c r="S622" s="12"/>
      <x:c r="T622" s="12"/>
      <x:c r="U622" s="12"/>
      <x:c r="V622" s="12"/>
      <x:c r="W622" s="12"/>
      <x:c r="X622" s="12"/>
      <x:c r="Y622" s="12"/>
      <x:c r="Z622" s="12"/>
      <x:c r="AA622" s="12"/>
      <x:c r="AB622" s="12"/>
      <x:c r="AC622" s="12"/>
      <x:c r="AD622" s="12"/>
      <x:c r="AE622" s="12"/>
      <x:c r="AF622" s="12"/>
      <x:c r="AG622" s="12"/>
    </x:row>
    <x:row r="623" ht="14.25" customHeight="1">
      <x:c r="A623" s="114"/>
      <x:c r="B623" s="114"/>
      <x:c r="C623" s="114"/>
      <x:c r="D623" s="114"/>
      <x:c r="E623" s="114"/>
      <x:c r="F623" s="114"/>
      <x:c r="G623" s="114"/>
      <x:c r="H623" s="114"/>
      <x:c r="I623" s="114"/>
      <x:c r="J623" s="114"/>
      <x:c r="K623" s="12"/>
      <x:c r="L623" s="12"/>
      <x:c r="M623" s="12"/>
      <x:c r="N623" s="12"/>
      <x:c r="O623" s="12"/>
      <x:c r="P623" s="12"/>
      <x:c r="Q623" s="12"/>
      <x:c r="R623" s="12"/>
      <x:c r="S623" s="12"/>
      <x:c r="T623" s="12"/>
      <x:c r="U623" s="12"/>
      <x:c r="V623" s="12"/>
      <x:c r="W623" s="12"/>
      <x:c r="X623" s="12"/>
      <x:c r="Y623" s="12"/>
      <x:c r="Z623" s="12"/>
      <x:c r="AA623" s="12"/>
      <x:c r="AB623" s="12"/>
      <x:c r="AC623" s="12"/>
      <x:c r="AD623" s="12"/>
      <x:c r="AE623" s="12"/>
      <x:c r="AF623" s="12"/>
      <x:c r="AG623" s="12"/>
    </x:row>
    <x:row r="624" ht="14.25" customHeight="1">
      <x:c r="A624" s="114"/>
      <x:c r="B624" s="114"/>
      <x:c r="C624" s="114"/>
      <x:c r="D624" s="114"/>
      <x:c r="E624" s="114"/>
      <x:c r="F624" s="114"/>
      <x:c r="G624" s="114"/>
      <x:c r="H624" s="114"/>
      <x:c r="I624" s="114"/>
      <x:c r="J624" s="114"/>
      <x:c r="K624" s="12"/>
      <x:c r="L624" s="12"/>
      <x:c r="M624" s="12"/>
      <x:c r="N624" s="12"/>
      <x:c r="O624" s="12"/>
      <x:c r="P624" s="12"/>
      <x:c r="Q624" s="12"/>
      <x:c r="R624" s="12"/>
      <x:c r="S624" s="12"/>
      <x:c r="T624" s="12"/>
      <x:c r="U624" s="12"/>
      <x:c r="V624" s="12"/>
      <x:c r="W624" s="12"/>
      <x:c r="X624" s="12"/>
      <x:c r="Y624" s="12"/>
      <x:c r="Z624" s="12"/>
      <x:c r="AA624" s="12"/>
      <x:c r="AB624" s="12"/>
      <x:c r="AC624" s="12"/>
      <x:c r="AD624" s="12"/>
      <x:c r="AE624" s="12"/>
      <x:c r="AF624" s="12"/>
      <x:c r="AG624" s="12"/>
    </x:row>
    <x:row r="625" ht="14.25" customHeight="1">
      <x:c r="A625" s="114"/>
      <x:c r="B625" s="114"/>
      <x:c r="C625" s="114"/>
      <x:c r="D625" s="114"/>
      <x:c r="E625" s="114"/>
      <x:c r="F625" s="114"/>
      <x:c r="G625" s="114"/>
      <x:c r="H625" s="114"/>
      <x:c r="I625" s="114"/>
      <x:c r="J625" s="114"/>
      <x:c r="K625" s="12"/>
      <x:c r="L625" s="12"/>
      <x:c r="M625" s="12"/>
      <x:c r="N625" s="12"/>
      <x:c r="O625" s="12"/>
      <x:c r="P625" s="12"/>
      <x:c r="Q625" s="12"/>
      <x:c r="R625" s="12"/>
      <x:c r="S625" s="12"/>
      <x:c r="T625" s="12"/>
      <x:c r="U625" s="12"/>
      <x:c r="V625" s="12"/>
      <x:c r="W625" s="12"/>
      <x:c r="X625" s="12"/>
      <x:c r="Y625" s="12"/>
      <x:c r="Z625" s="12"/>
      <x:c r="AA625" s="12"/>
      <x:c r="AB625" s="12"/>
      <x:c r="AC625" s="12"/>
      <x:c r="AD625" s="12"/>
      <x:c r="AE625" s="12"/>
      <x:c r="AF625" s="12"/>
      <x:c r="AG625" s="12"/>
    </x:row>
    <x:row r="626" ht="14.25" customHeight="1">
      <x:c r="A626" s="114"/>
      <x:c r="B626" s="114"/>
      <x:c r="C626" s="114"/>
      <x:c r="D626" s="114"/>
      <x:c r="E626" s="114"/>
      <x:c r="F626" s="114"/>
      <x:c r="G626" s="114"/>
      <x:c r="H626" s="114"/>
      <x:c r="I626" s="114"/>
      <x:c r="J626" s="114"/>
      <x:c r="K626" s="12"/>
      <x:c r="L626" s="12"/>
      <x:c r="M626" s="12"/>
      <x:c r="N626" s="12"/>
      <x:c r="O626" s="12"/>
      <x:c r="P626" s="12"/>
      <x:c r="Q626" s="12"/>
      <x:c r="R626" s="12"/>
      <x:c r="S626" s="12"/>
      <x:c r="T626" s="12"/>
      <x:c r="U626" s="12"/>
      <x:c r="V626" s="12"/>
      <x:c r="W626" s="12"/>
      <x:c r="X626" s="12"/>
      <x:c r="Y626" s="12"/>
      <x:c r="Z626" s="12"/>
      <x:c r="AA626" s="12"/>
      <x:c r="AB626" s="12"/>
      <x:c r="AC626" s="12"/>
      <x:c r="AD626" s="12"/>
      <x:c r="AE626" s="12"/>
      <x:c r="AF626" s="12"/>
      <x:c r="AG626" s="12"/>
    </x:row>
    <x:row r="627" ht="14.25" customHeight="1">
      <x:c r="A627" s="114"/>
      <x:c r="B627" s="114"/>
      <x:c r="C627" s="114"/>
      <x:c r="D627" s="114"/>
      <x:c r="E627" s="114"/>
      <x:c r="F627" s="114"/>
      <x:c r="G627" s="114"/>
      <x:c r="H627" s="114"/>
      <x:c r="I627" s="114"/>
      <x:c r="J627" s="114"/>
      <x:c r="K627" s="12"/>
      <x:c r="L627" s="12"/>
      <x:c r="M627" s="12"/>
      <x:c r="N627" s="12"/>
      <x:c r="O627" s="12"/>
      <x:c r="P627" s="12"/>
      <x:c r="Q627" s="12"/>
      <x:c r="R627" s="12"/>
      <x:c r="S627" s="12"/>
      <x:c r="T627" s="12"/>
      <x:c r="U627" s="12"/>
      <x:c r="V627" s="12"/>
      <x:c r="W627" s="12"/>
      <x:c r="X627" s="12"/>
      <x:c r="Y627" s="12"/>
      <x:c r="Z627" s="12"/>
      <x:c r="AA627" s="12"/>
      <x:c r="AB627" s="12"/>
      <x:c r="AC627" s="12"/>
      <x:c r="AD627" s="12"/>
      <x:c r="AE627" s="12"/>
      <x:c r="AF627" s="12"/>
      <x:c r="AG627" s="12"/>
    </x:row>
    <x:row r="628" ht="14.25" customHeight="1">
      <x:c r="A628" s="114"/>
      <x:c r="B628" s="114"/>
      <x:c r="C628" s="114"/>
      <x:c r="D628" s="114"/>
      <x:c r="E628" s="114"/>
      <x:c r="F628" s="114"/>
      <x:c r="G628" s="114"/>
      <x:c r="H628" s="114"/>
      <x:c r="I628" s="114"/>
      <x:c r="J628" s="114"/>
      <x:c r="K628" s="12"/>
      <x:c r="L628" s="12"/>
      <x:c r="M628" s="12"/>
      <x:c r="N628" s="12"/>
      <x:c r="O628" s="12"/>
      <x:c r="P628" s="12"/>
      <x:c r="Q628" s="12"/>
      <x:c r="R628" s="12"/>
      <x:c r="S628" s="12"/>
      <x:c r="T628" s="12"/>
      <x:c r="U628" s="12"/>
      <x:c r="V628" s="12"/>
      <x:c r="W628" s="12"/>
      <x:c r="X628" s="12"/>
      <x:c r="Y628" s="12"/>
      <x:c r="Z628" s="12"/>
      <x:c r="AA628" s="12"/>
      <x:c r="AB628" s="12"/>
      <x:c r="AC628" s="12"/>
      <x:c r="AD628" s="12"/>
      <x:c r="AE628" s="12"/>
      <x:c r="AF628" s="12"/>
      <x:c r="AG628" s="12"/>
    </x:row>
    <x:row r="629" ht="14.25" customHeight="1">
      <x:c r="A629" s="114"/>
      <x:c r="B629" s="114"/>
      <x:c r="C629" s="114"/>
      <x:c r="D629" s="114"/>
      <x:c r="E629" s="114"/>
      <x:c r="F629" s="114"/>
      <x:c r="G629" s="114"/>
      <x:c r="H629" s="114"/>
      <x:c r="I629" s="114"/>
      <x:c r="J629" s="114"/>
      <x:c r="K629" s="12"/>
      <x:c r="L629" s="12"/>
      <x:c r="M629" s="12"/>
      <x:c r="N629" s="12"/>
      <x:c r="O629" s="12"/>
      <x:c r="P629" s="12"/>
      <x:c r="Q629" s="12"/>
      <x:c r="R629" s="12"/>
      <x:c r="S629" s="12"/>
      <x:c r="T629" s="12"/>
      <x:c r="U629" s="12"/>
      <x:c r="V629" s="12"/>
      <x:c r="W629" s="12"/>
      <x:c r="X629" s="12"/>
      <x:c r="Y629" s="12"/>
      <x:c r="Z629" s="12"/>
      <x:c r="AA629" s="12"/>
      <x:c r="AB629" s="12"/>
      <x:c r="AC629" s="12"/>
      <x:c r="AD629" s="12"/>
      <x:c r="AE629" s="12"/>
      <x:c r="AF629" s="12"/>
      <x:c r="AG629" s="12"/>
    </x:row>
    <x:row r="630" ht="14.25" customHeight="1">
      <x:c r="A630" s="114"/>
      <x:c r="B630" s="114"/>
      <x:c r="C630" s="114"/>
      <x:c r="D630" s="114"/>
      <x:c r="E630" s="114"/>
      <x:c r="F630" s="114"/>
      <x:c r="G630" s="114"/>
      <x:c r="H630" s="114"/>
      <x:c r="I630" s="114"/>
      <x:c r="J630" s="114"/>
      <x:c r="K630" s="12"/>
      <x:c r="L630" s="12"/>
      <x:c r="M630" s="12"/>
      <x:c r="N630" s="12"/>
      <x:c r="O630" s="12"/>
      <x:c r="P630" s="12"/>
      <x:c r="Q630" s="12"/>
      <x:c r="R630" s="12"/>
      <x:c r="S630" s="12"/>
      <x:c r="T630" s="12"/>
      <x:c r="U630" s="12"/>
      <x:c r="V630" s="12"/>
      <x:c r="W630" s="12"/>
      <x:c r="X630" s="12"/>
      <x:c r="Y630" s="12"/>
      <x:c r="Z630" s="12"/>
      <x:c r="AA630" s="12"/>
      <x:c r="AB630" s="12"/>
      <x:c r="AC630" s="12"/>
      <x:c r="AD630" s="12"/>
      <x:c r="AE630" s="12"/>
      <x:c r="AF630" s="12"/>
      <x:c r="AG630" s="12"/>
    </x:row>
    <x:row r="631" ht="14.25" customHeight="1">
      <x:c r="A631" s="114"/>
      <x:c r="B631" s="114"/>
      <x:c r="C631" s="114"/>
      <x:c r="D631" s="114"/>
      <x:c r="E631" s="114"/>
      <x:c r="F631" s="114"/>
      <x:c r="G631" s="114"/>
      <x:c r="H631" s="114"/>
      <x:c r="I631" s="114"/>
      <x:c r="J631" s="114"/>
      <x:c r="K631" s="12"/>
      <x:c r="L631" s="12"/>
      <x:c r="M631" s="12"/>
      <x:c r="N631" s="12"/>
      <x:c r="O631" s="12"/>
      <x:c r="P631" s="12"/>
      <x:c r="Q631" s="12"/>
      <x:c r="R631" s="12"/>
      <x:c r="S631" s="12"/>
      <x:c r="T631" s="12"/>
      <x:c r="U631" s="12"/>
      <x:c r="V631" s="12"/>
      <x:c r="W631" s="12"/>
      <x:c r="X631" s="12"/>
      <x:c r="Y631" s="12"/>
      <x:c r="Z631" s="12"/>
      <x:c r="AA631" s="12"/>
      <x:c r="AB631" s="12"/>
      <x:c r="AC631" s="12"/>
      <x:c r="AD631" s="12"/>
      <x:c r="AE631" s="12"/>
      <x:c r="AF631" s="12"/>
      <x:c r="AG631" s="12"/>
    </x:row>
    <x:row r="632" ht="14.25" customHeight="1">
      <x:c r="A632" s="114"/>
      <x:c r="B632" s="114"/>
      <x:c r="C632" s="114"/>
      <x:c r="D632" s="114"/>
      <x:c r="E632" s="114"/>
      <x:c r="F632" s="114"/>
      <x:c r="G632" s="114"/>
      <x:c r="H632" s="114"/>
      <x:c r="I632" s="114"/>
      <x:c r="J632" s="114"/>
      <x:c r="K632" s="12"/>
      <x:c r="L632" s="12"/>
      <x:c r="M632" s="12"/>
      <x:c r="N632" s="12"/>
      <x:c r="O632" s="12"/>
      <x:c r="P632" s="12"/>
      <x:c r="Q632" s="12"/>
      <x:c r="R632" s="12"/>
      <x:c r="S632" s="12"/>
      <x:c r="T632" s="12"/>
      <x:c r="U632" s="12"/>
      <x:c r="V632" s="12"/>
      <x:c r="W632" s="12"/>
      <x:c r="X632" s="12"/>
      <x:c r="Y632" s="12"/>
      <x:c r="Z632" s="12"/>
      <x:c r="AA632" s="12"/>
      <x:c r="AB632" s="12"/>
      <x:c r="AC632" s="12"/>
      <x:c r="AD632" s="12"/>
      <x:c r="AE632" s="12"/>
      <x:c r="AF632" s="12"/>
      <x:c r="AG632" s="12"/>
    </x:row>
    <x:row r="633" ht="14.25" customHeight="1">
      <x:c r="A633" s="114"/>
      <x:c r="B633" s="114"/>
      <x:c r="C633" s="114"/>
      <x:c r="D633" s="114"/>
      <x:c r="E633" s="114"/>
      <x:c r="F633" s="114"/>
      <x:c r="G633" s="114"/>
      <x:c r="H633" s="114"/>
      <x:c r="I633" s="114"/>
      <x:c r="J633" s="114"/>
      <x:c r="K633" s="12"/>
      <x:c r="L633" s="12"/>
      <x:c r="M633" s="12"/>
      <x:c r="N633" s="12"/>
      <x:c r="O633" s="12"/>
      <x:c r="P633" s="12"/>
      <x:c r="Q633" s="12"/>
      <x:c r="R633" s="12"/>
      <x:c r="S633" s="12"/>
      <x:c r="T633" s="12"/>
      <x:c r="U633" s="12"/>
      <x:c r="V633" s="12"/>
      <x:c r="W633" s="12"/>
      <x:c r="X633" s="12"/>
      <x:c r="Y633" s="12"/>
      <x:c r="Z633" s="12"/>
      <x:c r="AA633" s="12"/>
      <x:c r="AB633" s="12"/>
      <x:c r="AC633" s="12"/>
      <x:c r="AD633" s="12"/>
      <x:c r="AE633" s="12"/>
      <x:c r="AF633" s="12"/>
      <x:c r="AG633" s="12"/>
    </x:row>
    <x:row r="634" ht="14.25" customHeight="1">
      <x:c r="A634" s="114"/>
      <x:c r="B634" s="114"/>
      <x:c r="C634" s="114"/>
      <x:c r="D634" s="114"/>
      <x:c r="E634" s="114"/>
      <x:c r="F634" s="114"/>
      <x:c r="G634" s="114"/>
      <x:c r="H634" s="114"/>
      <x:c r="I634" s="114"/>
      <x:c r="J634" s="114"/>
      <x:c r="K634" s="12"/>
      <x:c r="L634" s="12"/>
      <x:c r="M634" s="12"/>
      <x:c r="N634" s="12"/>
      <x:c r="O634" s="12"/>
      <x:c r="P634" s="12"/>
      <x:c r="Q634" s="12"/>
      <x:c r="R634" s="12"/>
      <x:c r="S634" s="12"/>
      <x:c r="T634" s="12"/>
      <x:c r="U634" s="12"/>
      <x:c r="V634" s="12"/>
      <x:c r="W634" s="12"/>
      <x:c r="X634" s="12"/>
      <x:c r="Y634" s="12"/>
      <x:c r="Z634" s="12"/>
      <x:c r="AA634" s="12"/>
      <x:c r="AB634" s="12"/>
      <x:c r="AC634" s="12"/>
      <x:c r="AD634" s="12"/>
      <x:c r="AE634" s="12"/>
      <x:c r="AF634" s="12"/>
      <x:c r="AG634" s="12"/>
    </x:row>
    <x:row r="635" ht="14.25" customHeight="1">
      <x:c r="A635" s="114"/>
      <x:c r="B635" s="114"/>
      <x:c r="C635" s="114"/>
      <x:c r="D635" s="114"/>
      <x:c r="E635" s="114"/>
      <x:c r="F635" s="114"/>
      <x:c r="G635" s="114"/>
      <x:c r="H635" s="114"/>
      <x:c r="I635" s="114"/>
      <x:c r="J635" s="114"/>
      <x:c r="K635" s="12"/>
      <x:c r="L635" s="12"/>
      <x:c r="M635" s="12"/>
      <x:c r="N635" s="12"/>
      <x:c r="O635" s="12"/>
      <x:c r="P635" s="12"/>
      <x:c r="Q635" s="12"/>
      <x:c r="R635" s="12"/>
      <x:c r="S635" s="12"/>
      <x:c r="T635" s="12"/>
      <x:c r="U635" s="12"/>
      <x:c r="V635" s="12"/>
      <x:c r="W635" s="12"/>
      <x:c r="X635" s="12"/>
      <x:c r="Y635" s="12"/>
      <x:c r="Z635" s="12"/>
      <x:c r="AA635" s="12"/>
      <x:c r="AB635" s="12"/>
      <x:c r="AC635" s="12"/>
      <x:c r="AD635" s="12"/>
      <x:c r="AE635" s="12"/>
      <x:c r="AF635" s="12"/>
      <x:c r="AG635" s="12"/>
    </x:row>
    <x:row r="636" ht="14.25" customHeight="1">
      <x:c r="A636" s="114"/>
      <x:c r="B636" s="114"/>
      <x:c r="C636" s="114"/>
      <x:c r="D636" s="114"/>
      <x:c r="E636" s="114"/>
      <x:c r="F636" s="114"/>
      <x:c r="G636" s="114"/>
      <x:c r="H636" s="114"/>
      <x:c r="I636" s="114"/>
      <x:c r="J636" s="114"/>
      <x:c r="K636" s="12"/>
      <x:c r="L636" s="12"/>
      <x:c r="M636" s="12"/>
      <x:c r="N636" s="12"/>
      <x:c r="O636" s="12"/>
      <x:c r="P636" s="12"/>
      <x:c r="Q636" s="12"/>
      <x:c r="R636" s="12"/>
      <x:c r="S636" s="12"/>
      <x:c r="T636" s="12"/>
      <x:c r="U636" s="12"/>
      <x:c r="V636" s="12"/>
      <x:c r="W636" s="12"/>
      <x:c r="X636" s="12"/>
      <x:c r="Y636" s="12"/>
      <x:c r="Z636" s="12"/>
      <x:c r="AA636" s="12"/>
      <x:c r="AB636" s="12"/>
      <x:c r="AC636" s="12"/>
      <x:c r="AD636" s="12"/>
      <x:c r="AE636" s="12"/>
      <x:c r="AF636" s="12"/>
      <x:c r="AG636" s="12"/>
    </x:row>
    <x:row r="637" ht="14.25" customHeight="1">
      <x:c r="A637" s="114"/>
      <x:c r="B637" s="114"/>
      <x:c r="C637" s="114"/>
      <x:c r="D637" s="114"/>
      <x:c r="E637" s="114"/>
      <x:c r="F637" s="114"/>
      <x:c r="G637" s="114"/>
      <x:c r="H637" s="114"/>
      <x:c r="I637" s="114"/>
      <x:c r="J637" s="114"/>
      <x:c r="K637" s="12"/>
      <x:c r="L637" s="12"/>
      <x:c r="M637" s="12"/>
      <x:c r="N637" s="12"/>
      <x:c r="O637" s="12"/>
      <x:c r="P637" s="12"/>
      <x:c r="Q637" s="12"/>
      <x:c r="R637" s="12"/>
      <x:c r="S637" s="12"/>
      <x:c r="T637" s="12"/>
      <x:c r="U637" s="12"/>
      <x:c r="V637" s="12"/>
      <x:c r="W637" s="12"/>
      <x:c r="X637" s="12"/>
      <x:c r="Y637" s="12"/>
      <x:c r="Z637" s="12"/>
      <x:c r="AA637" s="12"/>
      <x:c r="AB637" s="12"/>
      <x:c r="AC637" s="12"/>
      <x:c r="AD637" s="12"/>
      <x:c r="AE637" s="12"/>
      <x:c r="AF637" s="12"/>
      <x:c r="AG637" s="12"/>
    </x:row>
    <x:row r="638" ht="14.25" customHeight="1">
      <x:c r="A638" s="114"/>
      <x:c r="B638" s="114"/>
      <x:c r="C638" s="114"/>
      <x:c r="D638" s="114"/>
      <x:c r="E638" s="114"/>
      <x:c r="F638" s="114"/>
      <x:c r="G638" s="114"/>
      <x:c r="H638" s="114"/>
      <x:c r="I638" s="114"/>
      <x:c r="J638" s="114"/>
      <x:c r="K638" s="12"/>
      <x:c r="L638" s="12"/>
      <x:c r="M638" s="12"/>
      <x:c r="N638" s="12"/>
      <x:c r="O638" s="12"/>
      <x:c r="P638" s="12"/>
      <x:c r="Q638" s="12"/>
      <x:c r="R638" s="12"/>
      <x:c r="S638" s="12"/>
      <x:c r="T638" s="12"/>
      <x:c r="U638" s="12"/>
      <x:c r="V638" s="12"/>
      <x:c r="W638" s="12"/>
      <x:c r="X638" s="12"/>
      <x:c r="Y638" s="12"/>
      <x:c r="Z638" s="12"/>
      <x:c r="AA638" s="12"/>
      <x:c r="AB638" s="12"/>
      <x:c r="AC638" s="12"/>
      <x:c r="AD638" s="12"/>
      <x:c r="AE638" s="12"/>
      <x:c r="AF638" s="12"/>
      <x:c r="AG638" s="12"/>
    </x:row>
    <x:row r="639" ht="14.25" customHeight="1">
      <x:c r="A639" s="114"/>
      <x:c r="B639" s="114"/>
      <x:c r="C639" s="114"/>
      <x:c r="D639" s="114"/>
      <x:c r="E639" s="114"/>
      <x:c r="F639" s="114"/>
      <x:c r="G639" s="114"/>
      <x:c r="H639" s="114"/>
      <x:c r="I639" s="114"/>
      <x:c r="J639" s="114"/>
      <x:c r="K639" s="12"/>
      <x:c r="L639" s="12"/>
      <x:c r="M639" s="12"/>
      <x:c r="N639" s="12"/>
      <x:c r="O639" s="12"/>
      <x:c r="P639" s="12"/>
      <x:c r="Q639" s="12"/>
      <x:c r="R639" s="12"/>
      <x:c r="S639" s="12"/>
      <x:c r="T639" s="12"/>
      <x:c r="U639" s="12"/>
      <x:c r="V639" s="12"/>
      <x:c r="W639" s="12"/>
      <x:c r="X639" s="12"/>
      <x:c r="Y639" s="12"/>
      <x:c r="Z639" s="12"/>
      <x:c r="AA639" s="12"/>
      <x:c r="AB639" s="12"/>
      <x:c r="AC639" s="12"/>
      <x:c r="AD639" s="12"/>
      <x:c r="AE639" s="12"/>
      <x:c r="AF639" s="12"/>
      <x:c r="AG639" s="12"/>
    </x:row>
    <x:row r="640" ht="14.25" customHeight="1">
      <x:c r="A640" s="114"/>
      <x:c r="B640" s="114"/>
      <x:c r="C640" s="114"/>
      <x:c r="D640" s="114"/>
      <x:c r="E640" s="114"/>
      <x:c r="F640" s="114"/>
      <x:c r="G640" s="114"/>
      <x:c r="H640" s="114"/>
      <x:c r="I640" s="114"/>
      <x:c r="J640" s="114"/>
      <x:c r="K640" s="12"/>
      <x:c r="L640" s="12"/>
      <x:c r="M640" s="12"/>
      <x:c r="N640" s="12"/>
      <x:c r="O640" s="12"/>
      <x:c r="P640" s="12"/>
      <x:c r="Q640" s="12"/>
      <x:c r="R640" s="12"/>
      <x:c r="S640" s="12"/>
      <x:c r="T640" s="12"/>
      <x:c r="U640" s="12"/>
      <x:c r="V640" s="12"/>
      <x:c r="W640" s="12"/>
      <x:c r="X640" s="12"/>
      <x:c r="Y640" s="12"/>
      <x:c r="Z640" s="12"/>
      <x:c r="AA640" s="12"/>
      <x:c r="AB640" s="12"/>
      <x:c r="AC640" s="12"/>
      <x:c r="AD640" s="12"/>
      <x:c r="AE640" s="12"/>
      <x:c r="AF640" s="12"/>
      <x:c r="AG640" s="12"/>
    </x:row>
    <x:row r="641" ht="14.25" customHeight="1">
      <x:c r="A641" s="114"/>
      <x:c r="B641" s="114"/>
      <x:c r="C641" s="114"/>
      <x:c r="D641" s="114"/>
      <x:c r="E641" s="114"/>
      <x:c r="F641" s="114"/>
      <x:c r="G641" s="114"/>
      <x:c r="H641" s="114"/>
      <x:c r="I641" s="114"/>
      <x:c r="J641" s="114"/>
      <x:c r="K641" s="12"/>
      <x:c r="L641" s="12"/>
      <x:c r="M641" s="12"/>
      <x:c r="N641" s="12"/>
      <x:c r="O641" s="12"/>
      <x:c r="P641" s="12"/>
      <x:c r="Q641" s="12"/>
      <x:c r="R641" s="12"/>
      <x:c r="S641" s="12"/>
      <x:c r="T641" s="12"/>
      <x:c r="U641" s="12"/>
      <x:c r="V641" s="12"/>
      <x:c r="W641" s="12"/>
      <x:c r="X641" s="12"/>
      <x:c r="Y641" s="12"/>
      <x:c r="Z641" s="12"/>
      <x:c r="AA641" s="12"/>
      <x:c r="AB641" s="12"/>
      <x:c r="AC641" s="12"/>
      <x:c r="AD641" s="12"/>
      <x:c r="AE641" s="12"/>
      <x:c r="AF641" s="12"/>
      <x:c r="AG641" s="12"/>
    </x:row>
    <x:row r="642" ht="14.25" customHeight="1">
      <x:c r="A642" s="114"/>
      <x:c r="B642" s="114"/>
      <x:c r="C642" s="114"/>
      <x:c r="D642" s="114"/>
      <x:c r="E642" s="114"/>
      <x:c r="F642" s="114"/>
      <x:c r="G642" s="114"/>
      <x:c r="H642" s="114"/>
      <x:c r="I642" s="114"/>
      <x:c r="J642" s="114"/>
      <x:c r="K642" s="12"/>
      <x:c r="L642" s="12"/>
      <x:c r="M642" s="12"/>
      <x:c r="N642" s="12"/>
      <x:c r="O642" s="12"/>
      <x:c r="P642" s="12"/>
      <x:c r="Q642" s="12"/>
      <x:c r="R642" s="12"/>
      <x:c r="S642" s="12"/>
      <x:c r="T642" s="12"/>
      <x:c r="U642" s="12"/>
      <x:c r="V642" s="12"/>
      <x:c r="W642" s="12"/>
      <x:c r="X642" s="12"/>
      <x:c r="Y642" s="12"/>
      <x:c r="Z642" s="12"/>
      <x:c r="AA642" s="12"/>
      <x:c r="AB642" s="12"/>
      <x:c r="AC642" s="12"/>
      <x:c r="AD642" s="12"/>
      <x:c r="AE642" s="12"/>
      <x:c r="AF642" s="12"/>
      <x:c r="AG642" s="12"/>
    </x:row>
    <x:row r="643" ht="14.25" customHeight="1">
      <x:c r="A643" s="114"/>
      <x:c r="B643" s="114"/>
      <x:c r="C643" s="114"/>
      <x:c r="D643" s="114"/>
      <x:c r="E643" s="114"/>
      <x:c r="F643" s="114"/>
      <x:c r="G643" s="114"/>
      <x:c r="H643" s="114"/>
      <x:c r="I643" s="114"/>
      <x:c r="J643" s="114"/>
      <x:c r="K643" s="12"/>
      <x:c r="L643" s="12"/>
      <x:c r="M643" s="12"/>
      <x:c r="N643" s="12"/>
      <x:c r="O643" s="12"/>
      <x:c r="P643" s="12"/>
      <x:c r="Q643" s="12"/>
      <x:c r="R643" s="12"/>
      <x:c r="S643" s="12"/>
      <x:c r="T643" s="12"/>
      <x:c r="U643" s="12"/>
      <x:c r="V643" s="12"/>
      <x:c r="W643" s="12"/>
      <x:c r="X643" s="12"/>
      <x:c r="Y643" s="12"/>
      <x:c r="Z643" s="12"/>
      <x:c r="AA643" s="12"/>
      <x:c r="AB643" s="12"/>
      <x:c r="AC643" s="12"/>
      <x:c r="AD643" s="12"/>
      <x:c r="AE643" s="12"/>
      <x:c r="AF643" s="12"/>
      <x:c r="AG643" s="12"/>
    </x:row>
    <x:row r="644" ht="14.25" customHeight="1">
      <x:c r="A644" s="114"/>
      <x:c r="B644" s="114"/>
      <x:c r="C644" s="114"/>
      <x:c r="D644" s="114"/>
      <x:c r="E644" s="114"/>
      <x:c r="F644" s="114"/>
      <x:c r="G644" s="114"/>
      <x:c r="H644" s="114"/>
      <x:c r="I644" s="114"/>
      <x:c r="J644" s="114"/>
      <x:c r="K644" s="12"/>
      <x:c r="L644" s="12"/>
      <x:c r="M644" s="12"/>
      <x:c r="N644" s="12"/>
      <x:c r="O644" s="12"/>
      <x:c r="P644" s="12"/>
      <x:c r="Q644" s="12"/>
      <x:c r="R644" s="12"/>
      <x:c r="S644" s="12"/>
      <x:c r="T644" s="12"/>
      <x:c r="U644" s="12"/>
      <x:c r="V644" s="12"/>
      <x:c r="W644" s="12"/>
      <x:c r="X644" s="12"/>
      <x:c r="Y644" s="12"/>
      <x:c r="Z644" s="12"/>
      <x:c r="AA644" s="12"/>
      <x:c r="AB644" s="12"/>
      <x:c r="AC644" s="12"/>
      <x:c r="AD644" s="12"/>
      <x:c r="AE644" s="12"/>
      <x:c r="AF644" s="12"/>
      <x:c r="AG644" s="12"/>
    </x:row>
    <x:row r="645" ht="14.25" customHeight="1">
      <x:c r="A645" s="114"/>
      <x:c r="B645" s="114"/>
      <x:c r="C645" s="114"/>
      <x:c r="D645" s="114"/>
      <x:c r="E645" s="114"/>
      <x:c r="F645" s="114"/>
      <x:c r="G645" s="114"/>
      <x:c r="H645" s="114"/>
      <x:c r="I645" s="114"/>
      <x:c r="J645" s="114"/>
      <x:c r="K645" s="12"/>
      <x:c r="L645" s="12"/>
      <x:c r="M645" s="12"/>
      <x:c r="N645" s="12"/>
      <x:c r="O645" s="12"/>
      <x:c r="P645" s="12"/>
      <x:c r="Q645" s="12"/>
      <x:c r="R645" s="12"/>
      <x:c r="S645" s="12"/>
      <x:c r="T645" s="12"/>
      <x:c r="U645" s="12"/>
      <x:c r="V645" s="12"/>
      <x:c r="W645" s="12"/>
      <x:c r="X645" s="12"/>
      <x:c r="Y645" s="12"/>
      <x:c r="Z645" s="12"/>
      <x:c r="AA645" s="12"/>
      <x:c r="AB645" s="12"/>
      <x:c r="AC645" s="12"/>
      <x:c r="AD645" s="12"/>
      <x:c r="AE645" s="12"/>
      <x:c r="AF645" s="12"/>
      <x:c r="AG645" s="12"/>
    </x:row>
    <x:row r="646" ht="14.25" customHeight="1">
      <x:c r="A646" s="114"/>
      <x:c r="B646" s="114"/>
      <x:c r="C646" s="114"/>
      <x:c r="D646" s="114"/>
      <x:c r="E646" s="114"/>
      <x:c r="F646" s="114"/>
      <x:c r="G646" s="114"/>
      <x:c r="H646" s="114"/>
      <x:c r="I646" s="114"/>
      <x:c r="J646" s="114"/>
      <x:c r="K646" s="12"/>
      <x:c r="L646" s="12"/>
      <x:c r="M646" s="12"/>
      <x:c r="N646" s="12"/>
      <x:c r="O646" s="12"/>
      <x:c r="P646" s="12"/>
      <x:c r="Q646" s="12"/>
      <x:c r="R646" s="12"/>
      <x:c r="S646" s="12"/>
      <x:c r="T646" s="12"/>
      <x:c r="U646" s="12"/>
      <x:c r="V646" s="12"/>
      <x:c r="W646" s="12"/>
      <x:c r="X646" s="12"/>
      <x:c r="Y646" s="12"/>
      <x:c r="Z646" s="12"/>
      <x:c r="AA646" s="12"/>
      <x:c r="AB646" s="12"/>
      <x:c r="AC646" s="12"/>
      <x:c r="AD646" s="12"/>
      <x:c r="AE646" s="12"/>
      <x:c r="AF646" s="12"/>
      <x:c r="AG646" s="12"/>
    </x:row>
    <x:row r="647" ht="14.25" customHeight="1">
      <x:c r="A647" s="114"/>
      <x:c r="B647" s="114"/>
      <x:c r="C647" s="114"/>
      <x:c r="D647" s="114"/>
      <x:c r="E647" s="114"/>
      <x:c r="F647" s="114"/>
      <x:c r="G647" s="114"/>
      <x:c r="H647" s="114"/>
      <x:c r="I647" s="114"/>
      <x:c r="J647" s="114"/>
      <x:c r="K647" s="12"/>
      <x:c r="L647" s="12"/>
      <x:c r="M647" s="12"/>
      <x:c r="N647" s="12"/>
      <x:c r="O647" s="12"/>
      <x:c r="P647" s="12"/>
      <x:c r="Q647" s="12"/>
      <x:c r="R647" s="12"/>
      <x:c r="S647" s="12"/>
      <x:c r="T647" s="12"/>
      <x:c r="U647" s="12"/>
      <x:c r="V647" s="12"/>
      <x:c r="W647" s="12"/>
      <x:c r="X647" s="12"/>
      <x:c r="Y647" s="12"/>
      <x:c r="Z647" s="12"/>
      <x:c r="AA647" s="12"/>
      <x:c r="AB647" s="12"/>
      <x:c r="AC647" s="12"/>
      <x:c r="AD647" s="12"/>
      <x:c r="AE647" s="12"/>
      <x:c r="AF647" s="12"/>
      <x:c r="AG647" s="12"/>
    </x:row>
    <x:row r="648" ht="14.25" customHeight="1">
      <x:c r="A648" s="114"/>
      <x:c r="B648" s="114"/>
      <x:c r="C648" s="114"/>
      <x:c r="D648" s="114"/>
      <x:c r="E648" s="114"/>
      <x:c r="F648" s="114"/>
      <x:c r="G648" s="114"/>
      <x:c r="H648" s="114"/>
      <x:c r="I648" s="114"/>
      <x:c r="J648" s="114"/>
      <x:c r="K648" s="12"/>
      <x:c r="L648" s="12"/>
      <x:c r="M648" s="12"/>
      <x:c r="N648" s="12"/>
      <x:c r="O648" s="12"/>
      <x:c r="P648" s="12"/>
      <x:c r="Q648" s="12"/>
      <x:c r="R648" s="12"/>
      <x:c r="S648" s="12"/>
      <x:c r="T648" s="12"/>
      <x:c r="U648" s="12"/>
      <x:c r="V648" s="12"/>
      <x:c r="W648" s="12"/>
      <x:c r="X648" s="12"/>
      <x:c r="Y648" s="12"/>
      <x:c r="Z648" s="12"/>
      <x:c r="AA648" s="12"/>
      <x:c r="AB648" s="12"/>
      <x:c r="AC648" s="12"/>
      <x:c r="AD648" s="12"/>
      <x:c r="AE648" s="12"/>
      <x:c r="AF648" s="12"/>
      <x:c r="AG648" s="12"/>
    </x:row>
    <x:row r="649" ht="14.25" customHeight="1">
      <x:c r="A649" s="114"/>
      <x:c r="B649" s="114"/>
      <x:c r="C649" s="114"/>
      <x:c r="D649" s="114"/>
      <x:c r="E649" s="114"/>
      <x:c r="F649" s="114"/>
      <x:c r="G649" s="114"/>
      <x:c r="H649" s="114"/>
      <x:c r="I649" s="114"/>
      <x:c r="J649" s="114"/>
      <x:c r="K649" s="12"/>
      <x:c r="L649" s="12"/>
      <x:c r="M649" s="12"/>
      <x:c r="N649" s="12"/>
      <x:c r="O649" s="12"/>
      <x:c r="P649" s="12"/>
      <x:c r="Q649" s="12"/>
      <x:c r="R649" s="12"/>
      <x:c r="S649" s="12"/>
      <x:c r="T649" s="12"/>
      <x:c r="U649" s="12"/>
      <x:c r="V649" s="12"/>
      <x:c r="W649" s="12"/>
      <x:c r="X649" s="12"/>
      <x:c r="Y649" s="12"/>
      <x:c r="Z649" s="12"/>
      <x:c r="AA649" s="12"/>
      <x:c r="AB649" s="12"/>
      <x:c r="AC649" s="12"/>
      <x:c r="AD649" s="12"/>
      <x:c r="AE649" s="12"/>
      <x:c r="AF649" s="12"/>
      <x:c r="AG649" s="12"/>
    </x:row>
    <x:row r="650" ht="14.25" customHeight="1">
      <x:c r="A650" s="114"/>
      <x:c r="B650" s="114"/>
      <x:c r="C650" s="114"/>
      <x:c r="D650" s="114"/>
      <x:c r="E650" s="114"/>
      <x:c r="F650" s="114"/>
      <x:c r="G650" s="114"/>
      <x:c r="H650" s="114"/>
      <x:c r="I650" s="114"/>
      <x:c r="J650" s="114"/>
      <x:c r="K650" s="12"/>
      <x:c r="L650" s="12"/>
      <x:c r="M650" s="12"/>
      <x:c r="N650" s="12"/>
      <x:c r="O650" s="12"/>
      <x:c r="P650" s="12"/>
      <x:c r="Q650" s="12"/>
      <x:c r="R650" s="12"/>
      <x:c r="S650" s="12"/>
      <x:c r="T650" s="12"/>
      <x:c r="U650" s="12"/>
      <x:c r="V650" s="12"/>
      <x:c r="W650" s="12"/>
      <x:c r="X650" s="12"/>
      <x:c r="Y650" s="12"/>
      <x:c r="Z650" s="12"/>
      <x:c r="AA650" s="12"/>
      <x:c r="AB650" s="12"/>
      <x:c r="AC650" s="12"/>
      <x:c r="AD650" s="12"/>
      <x:c r="AE650" s="12"/>
      <x:c r="AF650" s="12"/>
      <x:c r="AG650" s="12"/>
    </x:row>
    <x:row r="651" ht="14.25" customHeight="1">
      <x:c r="A651" s="114"/>
      <x:c r="B651" s="114"/>
      <x:c r="C651" s="114"/>
      <x:c r="D651" s="114"/>
      <x:c r="E651" s="114"/>
      <x:c r="F651" s="114"/>
      <x:c r="G651" s="114"/>
      <x:c r="H651" s="114"/>
      <x:c r="I651" s="114"/>
      <x:c r="J651" s="114"/>
      <x:c r="K651" s="12"/>
      <x:c r="L651" s="12"/>
      <x:c r="M651" s="12"/>
      <x:c r="N651" s="12"/>
      <x:c r="O651" s="12"/>
      <x:c r="P651" s="12"/>
      <x:c r="Q651" s="12"/>
      <x:c r="R651" s="12"/>
      <x:c r="S651" s="12"/>
      <x:c r="T651" s="12"/>
      <x:c r="U651" s="12"/>
      <x:c r="V651" s="12"/>
      <x:c r="W651" s="12"/>
      <x:c r="X651" s="12"/>
      <x:c r="Y651" s="12"/>
      <x:c r="Z651" s="12"/>
      <x:c r="AA651" s="12"/>
      <x:c r="AB651" s="12"/>
      <x:c r="AC651" s="12"/>
      <x:c r="AD651" s="12"/>
      <x:c r="AE651" s="12"/>
      <x:c r="AF651" s="12"/>
      <x:c r="AG651" s="12"/>
    </x:row>
    <x:row r="652" ht="14.25" customHeight="1">
      <x:c r="A652" s="114"/>
      <x:c r="B652" s="114"/>
      <x:c r="C652" s="114"/>
      <x:c r="D652" s="114"/>
      <x:c r="E652" s="114"/>
      <x:c r="F652" s="114"/>
      <x:c r="G652" s="114"/>
      <x:c r="H652" s="114"/>
      <x:c r="I652" s="114"/>
      <x:c r="J652" s="114"/>
      <x:c r="K652" s="12"/>
      <x:c r="L652" s="12"/>
      <x:c r="M652" s="12"/>
      <x:c r="N652" s="12"/>
      <x:c r="O652" s="12"/>
      <x:c r="P652" s="12"/>
      <x:c r="Q652" s="12"/>
      <x:c r="R652" s="12"/>
      <x:c r="S652" s="12"/>
      <x:c r="T652" s="12"/>
      <x:c r="U652" s="12"/>
      <x:c r="V652" s="12"/>
      <x:c r="W652" s="12"/>
      <x:c r="X652" s="12"/>
      <x:c r="Y652" s="12"/>
      <x:c r="Z652" s="12"/>
      <x:c r="AA652" s="12"/>
      <x:c r="AB652" s="12"/>
      <x:c r="AC652" s="12"/>
      <x:c r="AD652" s="12"/>
      <x:c r="AE652" s="12"/>
      <x:c r="AF652" s="12"/>
      <x:c r="AG652" s="12"/>
    </x:row>
    <x:row r="653" ht="14.25" customHeight="1">
      <x:c r="A653" s="114"/>
      <x:c r="B653" s="114"/>
      <x:c r="C653" s="114"/>
      <x:c r="D653" s="114"/>
      <x:c r="E653" s="114"/>
      <x:c r="F653" s="114"/>
      <x:c r="G653" s="114"/>
      <x:c r="H653" s="114"/>
      <x:c r="I653" s="114"/>
      <x:c r="J653" s="114"/>
      <x:c r="K653" s="12"/>
      <x:c r="L653" s="12"/>
      <x:c r="M653" s="12"/>
      <x:c r="N653" s="12"/>
      <x:c r="O653" s="12"/>
      <x:c r="P653" s="12"/>
      <x:c r="Q653" s="12"/>
      <x:c r="R653" s="12"/>
      <x:c r="S653" s="12"/>
      <x:c r="T653" s="12"/>
      <x:c r="U653" s="12"/>
      <x:c r="V653" s="12"/>
      <x:c r="W653" s="12"/>
      <x:c r="X653" s="12"/>
      <x:c r="Y653" s="12"/>
      <x:c r="Z653" s="12"/>
      <x:c r="AA653" s="12"/>
      <x:c r="AB653" s="12"/>
      <x:c r="AC653" s="12"/>
      <x:c r="AD653" s="12"/>
      <x:c r="AE653" s="12"/>
      <x:c r="AF653" s="12"/>
      <x:c r="AG653" s="12"/>
    </x:row>
    <x:row r="654" ht="14.25" customHeight="1">
      <x:c r="A654" s="114"/>
      <x:c r="B654" s="114"/>
      <x:c r="C654" s="114"/>
      <x:c r="D654" s="114"/>
      <x:c r="E654" s="114"/>
      <x:c r="F654" s="114"/>
      <x:c r="G654" s="114"/>
      <x:c r="H654" s="114"/>
      <x:c r="I654" s="114"/>
      <x:c r="J654" s="114"/>
      <x:c r="K654" s="12"/>
      <x:c r="L654" s="12"/>
      <x:c r="M654" s="12"/>
      <x:c r="N654" s="12"/>
      <x:c r="O654" s="12"/>
      <x:c r="P654" s="12"/>
      <x:c r="Q654" s="12"/>
      <x:c r="R654" s="12"/>
      <x:c r="S654" s="12"/>
      <x:c r="T654" s="12"/>
      <x:c r="U654" s="12"/>
      <x:c r="V654" s="12"/>
      <x:c r="W654" s="12"/>
      <x:c r="X654" s="12"/>
      <x:c r="Y654" s="12"/>
      <x:c r="Z654" s="12"/>
      <x:c r="AA654" s="12"/>
      <x:c r="AB654" s="12"/>
      <x:c r="AC654" s="12"/>
      <x:c r="AD654" s="12"/>
      <x:c r="AE654" s="12"/>
      <x:c r="AF654" s="12"/>
      <x:c r="AG654" s="12"/>
    </x:row>
    <x:row r="655" ht="14.25" customHeight="1">
      <x:c r="A655" s="114"/>
      <x:c r="B655" s="114"/>
      <x:c r="C655" s="114"/>
      <x:c r="D655" s="114"/>
      <x:c r="E655" s="114"/>
      <x:c r="F655" s="114"/>
      <x:c r="G655" s="114"/>
      <x:c r="H655" s="114"/>
      <x:c r="I655" s="114"/>
      <x:c r="J655" s="114"/>
      <x:c r="K655" s="12"/>
      <x:c r="L655" s="12"/>
      <x:c r="M655" s="12"/>
      <x:c r="N655" s="12"/>
      <x:c r="O655" s="12"/>
      <x:c r="P655" s="12"/>
      <x:c r="Q655" s="12"/>
      <x:c r="R655" s="12"/>
      <x:c r="S655" s="12"/>
      <x:c r="T655" s="12"/>
      <x:c r="U655" s="12"/>
      <x:c r="V655" s="12"/>
      <x:c r="W655" s="12"/>
      <x:c r="X655" s="12"/>
      <x:c r="Y655" s="12"/>
      <x:c r="Z655" s="12"/>
      <x:c r="AA655" s="12"/>
      <x:c r="AB655" s="12"/>
      <x:c r="AC655" s="12"/>
      <x:c r="AD655" s="12"/>
      <x:c r="AE655" s="12"/>
      <x:c r="AF655" s="12"/>
      <x:c r="AG655" s="12"/>
    </x:row>
    <x:row r="656" ht="14.25" customHeight="1">
      <x:c r="A656" s="114"/>
      <x:c r="B656" s="114"/>
      <x:c r="C656" s="114"/>
      <x:c r="D656" s="114"/>
      <x:c r="E656" s="114"/>
      <x:c r="F656" s="114"/>
      <x:c r="G656" s="114"/>
      <x:c r="H656" s="114"/>
      <x:c r="I656" s="114"/>
      <x:c r="J656" s="114"/>
      <x:c r="K656" s="12"/>
      <x:c r="L656" s="12"/>
      <x:c r="M656" s="12"/>
      <x:c r="N656" s="12"/>
      <x:c r="O656" s="12"/>
      <x:c r="P656" s="12"/>
      <x:c r="Q656" s="12"/>
      <x:c r="R656" s="12"/>
      <x:c r="S656" s="12"/>
      <x:c r="T656" s="12"/>
      <x:c r="U656" s="12"/>
      <x:c r="V656" s="12"/>
      <x:c r="W656" s="12"/>
      <x:c r="X656" s="12"/>
      <x:c r="Y656" s="12"/>
      <x:c r="Z656" s="12"/>
      <x:c r="AA656" s="12"/>
      <x:c r="AB656" s="12"/>
      <x:c r="AC656" s="12"/>
      <x:c r="AD656" s="12"/>
      <x:c r="AE656" s="12"/>
      <x:c r="AF656" s="12"/>
      <x:c r="AG656" s="12"/>
    </x:row>
    <x:row r="657" ht="14.25" customHeight="1">
      <x:c r="A657" s="114"/>
      <x:c r="B657" s="114"/>
      <x:c r="C657" s="114"/>
      <x:c r="D657" s="114"/>
      <x:c r="E657" s="114"/>
      <x:c r="F657" s="114"/>
      <x:c r="G657" s="114"/>
      <x:c r="H657" s="114"/>
      <x:c r="I657" s="114"/>
      <x:c r="J657" s="114"/>
      <x:c r="K657" s="12"/>
      <x:c r="L657" s="12"/>
      <x:c r="M657" s="12"/>
      <x:c r="N657" s="12"/>
      <x:c r="O657" s="12"/>
      <x:c r="P657" s="12"/>
      <x:c r="Q657" s="12"/>
      <x:c r="R657" s="12"/>
      <x:c r="S657" s="12"/>
      <x:c r="T657" s="12"/>
      <x:c r="U657" s="12"/>
      <x:c r="V657" s="12"/>
      <x:c r="W657" s="12"/>
      <x:c r="X657" s="12"/>
      <x:c r="Y657" s="12"/>
      <x:c r="Z657" s="12"/>
      <x:c r="AA657" s="12"/>
      <x:c r="AB657" s="12"/>
      <x:c r="AC657" s="12"/>
      <x:c r="AD657" s="12"/>
      <x:c r="AE657" s="12"/>
      <x:c r="AF657" s="12"/>
      <x:c r="AG657" s="12"/>
    </x:row>
    <x:row r="658" ht="14.25" customHeight="1">
      <x:c r="A658" s="114"/>
      <x:c r="B658" s="114"/>
      <x:c r="C658" s="114"/>
      <x:c r="D658" s="114"/>
      <x:c r="E658" s="114"/>
      <x:c r="F658" s="114"/>
      <x:c r="G658" s="114"/>
      <x:c r="H658" s="114"/>
      <x:c r="I658" s="114"/>
      <x:c r="J658" s="114"/>
      <x:c r="K658" s="12"/>
      <x:c r="L658" s="12"/>
      <x:c r="M658" s="12"/>
      <x:c r="N658" s="12"/>
      <x:c r="O658" s="12"/>
      <x:c r="P658" s="12"/>
      <x:c r="Q658" s="12"/>
      <x:c r="R658" s="12"/>
      <x:c r="S658" s="12"/>
      <x:c r="T658" s="12"/>
      <x:c r="U658" s="12"/>
      <x:c r="V658" s="12"/>
      <x:c r="W658" s="12"/>
      <x:c r="X658" s="12"/>
      <x:c r="Y658" s="12"/>
      <x:c r="Z658" s="12"/>
      <x:c r="AA658" s="12"/>
      <x:c r="AB658" s="12"/>
      <x:c r="AC658" s="12"/>
      <x:c r="AD658" s="12"/>
      <x:c r="AE658" s="12"/>
      <x:c r="AF658" s="12"/>
      <x:c r="AG658" s="12"/>
    </x:row>
    <x:row r="659" ht="14.25" customHeight="1">
      <x:c r="A659" s="114"/>
      <x:c r="B659" s="114"/>
      <x:c r="C659" s="114"/>
      <x:c r="D659" s="114"/>
      <x:c r="E659" s="114"/>
      <x:c r="F659" s="114"/>
      <x:c r="G659" s="114"/>
      <x:c r="H659" s="114"/>
      <x:c r="I659" s="114"/>
      <x:c r="J659" s="114"/>
      <x:c r="K659" s="12"/>
      <x:c r="L659" s="12"/>
      <x:c r="M659" s="12"/>
      <x:c r="N659" s="12"/>
      <x:c r="O659" s="12"/>
      <x:c r="P659" s="12"/>
      <x:c r="Q659" s="12"/>
      <x:c r="R659" s="12"/>
      <x:c r="S659" s="12"/>
      <x:c r="T659" s="12"/>
      <x:c r="U659" s="12"/>
      <x:c r="V659" s="12"/>
      <x:c r="W659" s="12"/>
      <x:c r="X659" s="12"/>
      <x:c r="Y659" s="12"/>
      <x:c r="Z659" s="12"/>
      <x:c r="AA659" s="12"/>
      <x:c r="AB659" s="12"/>
      <x:c r="AC659" s="12"/>
      <x:c r="AD659" s="12"/>
      <x:c r="AE659" s="12"/>
      <x:c r="AF659" s="12"/>
      <x:c r="AG659" s="12"/>
    </x:row>
    <x:row r="660" ht="14.25" customHeight="1">
      <x:c r="A660" s="114"/>
      <x:c r="B660" s="114"/>
      <x:c r="C660" s="114"/>
      <x:c r="D660" s="114"/>
      <x:c r="E660" s="114"/>
      <x:c r="F660" s="114"/>
      <x:c r="G660" s="114"/>
      <x:c r="H660" s="114"/>
      <x:c r="I660" s="114"/>
      <x:c r="J660" s="114"/>
      <x:c r="K660" s="12"/>
      <x:c r="L660" s="12"/>
      <x:c r="M660" s="12"/>
      <x:c r="N660" s="12"/>
      <x:c r="O660" s="12"/>
      <x:c r="P660" s="12"/>
      <x:c r="Q660" s="12"/>
      <x:c r="R660" s="12"/>
      <x:c r="S660" s="12"/>
      <x:c r="T660" s="12"/>
      <x:c r="U660" s="12"/>
      <x:c r="V660" s="12"/>
      <x:c r="W660" s="12"/>
      <x:c r="X660" s="12"/>
      <x:c r="Y660" s="12"/>
      <x:c r="Z660" s="12"/>
      <x:c r="AA660" s="12"/>
      <x:c r="AB660" s="12"/>
      <x:c r="AC660" s="12"/>
      <x:c r="AD660" s="12"/>
      <x:c r="AE660" s="12"/>
      <x:c r="AF660" s="12"/>
      <x:c r="AG660" s="12"/>
    </x:row>
    <x:row r="661" ht="14.25" customHeight="1">
      <x:c r="A661" s="114"/>
      <x:c r="B661" s="114"/>
      <x:c r="C661" s="114"/>
      <x:c r="D661" s="114"/>
      <x:c r="E661" s="114"/>
      <x:c r="F661" s="114"/>
      <x:c r="G661" s="114"/>
      <x:c r="H661" s="114"/>
      <x:c r="I661" s="114"/>
      <x:c r="J661" s="114"/>
      <x:c r="K661" s="12"/>
      <x:c r="L661" s="12"/>
      <x:c r="M661" s="12"/>
      <x:c r="N661" s="12"/>
      <x:c r="O661" s="12"/>
      <x:c r="P661" s="12"/>
      <x:c r="Q661" s="12"/>
      <x:c r="R661" s="12"/>
      <x:c r="S661" s="12"/>
      <x:c r="T661" s="12"/>
      <x:c r="U661" s="12"/>
      <x:c r="V661" s="12"/>
      <x:c r="W661" s="12"/>
      <x:c r="X661" s="12"/>
      <x:c r="Y661" s="12"/>
      <x:c r="Z661" s="12"/>
      <x:c r="AA661" s="12"/>
      <x:c r="AB661" s="12"/>
      <x:c r="AC661" s="12"/>
      <x:c r="AD661" s="12"/>
      <x:c r="AE661" s="12"/>
      <x:c r="AF661" s="12"/>
      <x:c r="AG661" s="12"/>
    </x:row>
    <x:row r="662" ht="14.25" customHeight="1">
      <x:c r="A662" s="114"/>
      <x:c r="B662" s="114"/>
      <x:c r="C662" s="114"/>
      <x:c r="D662" s="114"/>
      <x:c r="E662" s="114"/>
      <x:c r="F662" s="114"/>
      <x:c r="G662" s="114"/>
      <x:c r="H662" s="114"/>
      <x:c r="I662" s="114"/>
      <x:c r="J662" s="114"/>
      <x:c r="K662" s="12"/>
      <x:c r="L662" s="12"/>
      <x:c r="M662" s="12"/>
      <x:c r="N662" s="12"/>
      <x:c r="O662" s="12"/>
      <x:c r="P662" s="12"/>
      <x:c r="Q662" s="12"/>
      <x:c r="R662" s="12"/>
      <x:c r="S662" s="12"/>
      <x:c r="T662" s="12"/>
      <x:c r="U662" s="12"/>
      <x:c r="V662" s="12"/>
      <x:c r="W662" s="12"/>
      <x:c r="X662" s="12"/>
      <x:c r="Y662" s="12"/>
      <x:c r="Z662" s="12"/>
      <x:c r="AA662" s="12"/>
      <x:c r="AB662" s="12"/>
      <x:c r="AC662" s="12"/>
      <x:c r="AD662" s="12"/>
      <x:c r="AE662" s="12"/>
      <x:c r="AF662" s="12"/>
      <x:c r="AG662" s="12"/>
    </x:row>
    <x:row r="663" ht="14.25" customHeight="1">
      <x:c r="A663" s="114"/>
      <x:c r="B663" s="114"/>
      <x:c r="C663" s="114"/>
      <x:c r="D663" s="114"/>
      <x:c r="E663" s="114"/>
      <x:c r="F663" s="114"/>
      <x:c r="G663" s="114"/>
      <x:c r="H663" s="114"/>
      <x:c r="I663" s="114"/>
      <x:c r="J663" s="114"/>
      <x:c r="K663" s="12"/>
      <x:c r="L663" s="12"/>
      <x:c r="M663" s="12"/>
      <x:c r="N663" s="12"/>
      <x:c r="O663" s="12"/>
      <x:c r="P663" s="12"/>
      <x:c r="Q663" s="12"/>
      <x:c r="R663" s="12"/>
      <x:c r="S663" s="12"/>
      <x:c r="T663" s="12"/>
      <x:c r="U663" s="12"/>
      <x:c r="V663" s="12"/>
      <x:c r="W663" s="12"/>
      <x:c r="X663" s="12"/>
      <x:c r="Y663" s="12"/>
      <x:c r="Z663" s="12"/>
      <x:c r="AA663" s="12"/>
      <x:c r="AB663" s="12"/>
      <x:c r="AC663" s="12"/>
      <x:c r="AD663" s="12"/>
      <x:c r="AE663" s="12"/>
      <x:c r="AF663" s="12"/>
      <x:c r="AG663" s="12"/>
    </x:row>
    <x:row r="664" ht="14.25" customHeight="1">
      <x:c r="A664" s="114"/>
      <x:c r="B664" s="114"/>
      <x:c r="C664" s="114"/>
      <x:c r="D664" s="114"/>
      <x:c r="E664" s="114"/>
      <x:c r="F664" s="114"/>
      <x:c r="G664" s="114"/>
      <x:c r="H664" s="114"/>
      <x:c r="I664" s="114"/>
      <x:c r="J664" s="114"/>
      <x:c r="K664" s="12"/>
      <x:c r="L664" s="12"/>
      <x:c r="M664" s="12"/>
      <x:c r="N664" s="12"/>
      <x:c r="O664" s="12"/>
      <x:c r="P664" s="12"/>
      <x:c r="Q664" s="12"/>
      <x:c r="R664" s="12"/>
      <x:c r="S664" s="12"/>
      <x:c r="T664" s="12"/>
      <x:c r="U664" s="12"/>
      <x:c r="V664" s="12"/>
      <x:c r="W664" s="12"/>
      <x:c r="X664" s="12"/>
      <x:c r="Y664" s="12"/>
      <x:c r="Z664" s="12"/>
      <x:c r="AA664" s="12"/>
      <x:c r="AB664" s="12"/>
      <x:c r="AC664" s="12"/>
      <x:c r="AD664" s="12"/>
      <x:c r="AE664" s="12"/>
      <x:c r="AF664" s="12"/>
      <x:c r="AG664" s="12"/>
    </x:row>
    <x:row r="665" ht="14.25" customHeight="1">
      <x:c r="A665" s="114"/>
      <x:c r="B665" s="114"/>
      <x:c r="C665" s="114"/>
      <x:c r="D665" s="114"/>
      <x:c r="E665" s="114"/>
      <x:c r="F665" s="114"/>
      <x:c r="G665" s="114"/>
      <x:c r="H665" s="114"/>
      <x:c r="I665" s="114"/>
      <x:c r="J665" s="114"/>
      <x:c r="K665" s="12"/>
      <x:c r="L665" s="12"/>
      <x:c r="M665" s="12"/>
      <x:c r="N665" s="12"/>
      <x:c r="O665" s="12"/>
      <x:c r="P665" s="12"/>
      <x:c r="Q665" s="12"/>
      <x:c r="R665" s="12"/>
      <x:c r="S665" s="12"/>
      <x:c r="T665" s="12"/>
      <x:c r="U665" s="12"/>
      <x:c r="V665" s="12"/>
      <x:c r="W665" s="12"/>
      <x:c r="X665" s="12"/>
      <x:c r="Y665" s="12"/>
      <x:c r="Z665" s="12"/>
      <x:c r="AA665" s="12"/>
      <x:c r="AB665" s="12"/>
      <x:c r="AC665" s="12"/>
      <x:c r="AD665" s="12"/>
      <x:c r="AE665" s="12"/>
      <x:c r="AF665" s="12"/>
      <x:c r="AG665" s="12"/>
    </x:row>
    <x:row r="666" ht="14.25" customHeight="1">
      <x:c r="A666" s="114"/>
      <x:c r="B666" s="114"/>
      <x:c r="C666" s="114"/>
      <x:c r="D666" s="114"/>
      <x:c r="E666" s="114"/>
      <x:c r="F666" s="114"/>
      <x:c r="G666" s="114"/>
      <x:c r="H666" s="114"/>
      <x:c r="I666" s="114"/>
      <x:c r="J666" s="114"/>
      <x:c r="K666" s="12"/>
      <x:c r="L666" s="12"/>
      <x:c r="M666" s="12"/>
      <x:c r="N666" s="12"/>
      <x:c r="O666" s="12"/>
      <x:c r="P666" s="12"/>
      <x:c r="Q666" s="12"/>
      <x:c r="R666" s="12"/>
      <x:c r="S666" s="12"/>
      <x:c r="T666" s="12"/>
      <x:c r="U666" s="12"/>
      <x:c r="V666" s="12"/>
      <x:c r="W666" s="12"/>
      <x:c r="X666" s="12"/>
      <x:c r="Y666" s="12"/>
      <x:c r="Z666" s="12"/>
      <x:c r="AA666" s="12"/>
      <x:c r="AB666" s="12"/>
      <x:c r="AC666" s="12"/>
      <x:c r="AD666" s="12"/>
      <x:c r="AE666" s="12"/>
      <x:c r="AF666" s="12"/>
      <x:c r="AG666" s="12"/>
    </x:row>
    <x:row r="667" ht="14.25" customHeight="1">
      <x:c r="A667" s="114"/>
      <x:c r="B667" s="114"/>
      <x:c r="C667" s="114"/>
      <x:c r="D667" s="114"/>
      <x:c r="E667" s="114"/>
      <x:c r="F667" s="114"/>
      <x:c r="G667" s="114"/>
      <x:c r="H667" s="114"/>
      <x:c r="I667" s="114"/>
      <x:c r="J667" s="114"/>
      <x:c r="K667" s="12"/>
      <x:c r="L667" s="12"/>
      <x:c r="M667" s="12"/>
      <x:c r="N667" s="12"/>
      <x:c r="O667" s="12"/>
      <x:c r="P667" s="12"/>
      <x:c r="Q667" s="12"/>
      <x:c r="R667" s="12"/>
      <x:c r="S667" s="12"/>
      <x:c r="T667" s="12"/>
      <x:c r="U667" s="12"/>
      <x:c r="V667" s="12"/>
      <x:c r="W667" s="12"/>
      <x:c r="X667" s="12"/>
      <x:c r="Y667" s="12"/>
      <x:c r="Z667" s="12"/>
      <x:c r="AA667" s="12"/>
      <x:c r="AB667" s="12"/>
      <x:c r="AC667" s="12"/>
      <x:c r="AD667" s="12"/>
      <x:c r="AE667" s="12"/>
      <x:c r="AF667" s="12"/>
      <x:c r="AG667" s="12"/>
    </x:row>
    <x:row r="668" ht="14.25" customHeight="1">
      <x:c r="A668" s="114"/>
      <x:c r="B668" s="114"/>
      <x:c r="C668" s="114"/>
      <x:c r="D668" s="114"/>
      <x:c r="E668" s="114"/>
      <x:c r="F668" s="114"/>
      <x:c r="G668" s="114"/>
      <x:c r="H668" s="114"/>
      <x:c r="I668" s="114"/>
      <x:c r="J668" s="114"/>
      <x:c r="K668" s="12"/>
      <x:c r="L668" s="12"/>
      <x:c r="M668" s="12"/>
      <x:c r="N668" s="12"/>
      <x:c r="O668" s="12"/>
      <x:c r="P668" s="12"/>
      <x:c r="Q668" s="12"/>
      <x:c r="R668" s="12"/>
      <x:c r="S668" s="12"/>
      <x:c r="T668" s="12"/>
      <x:c r="U668" s="12"/>
      <x:c r="V668" s="12"/>
      <x:c r="W668" s="12"/>
      <x:c r="X668" s="12"/>
      <x:c r="Y668" s="12"/>
      <x:c r="Z668" s="12"/>
      <x:c r="AA668" s="12"/>
      <x:c r="AB668" s="12"/>
      <x:c r="AC668" s="12"/>
      <x:c r="AD668" s="12"/>
      <x:c r="AE668" s="12"/>
      <x:c r="AF668" s="12"/>
      <x:c r="AG668" s="12"/>
    </x:row>
    <x:row r="669" ht="14.25" customHeight="1">
      <x:c r="A669" s="114"/>
      <x:c r="B669" s="114"/>
      <x:c r="C669" s="114"/>
      <x:c r="D669" s="114"/>
      <x:c r="E669" s="114"/>
      <x:c r="F669" s="114"/>
      <x:c r="G669" s="114"/>
      <x:c r="H669" s="114"/>
      <x:c r="I669" s="114"/>
      <x:c r="J669" s="114"/>
      <x:c r="K669" s="12"/>
      <x:c r="L669" s="12"/>
      <x:c r="M669" s="12"/>
      <x:c r="N669" s="12"/>
      <x:c r="O669" s="12"/>
      <x:c r="P669" s="12"/>
      <x:c r="Q669" s="12"/>
      <x:c r="R669" s="12"/>
      <x:c r="S669" s="12"/>
      <x:c r="T669" s="12"/>
      <x:c r="U669" s="12"/>
      <x:c r="V669" s="12"/>
      <x:c r="W669" s="12"/>
      <x:c r="X669" s="12"/>
      <x:c r="Y669" s="12"/>
      <x:c r="Z669" s="12"/>
      <x:c r="AA669" s="12"/>
      <x:c r="AB669" s="12"/>
      <x:c r="AC669" s="12"/>
      <x:c r="AD669" s="12"/>
      <x:c r="AE669" s="12"/>
      <x:c r="AF669" s="12"/>
      <x:c r="AG669" s="12"/>
    </x:row>
    <x:row r="670" ht="14.25" customHeight="1">
      <x:c r="A670" s="114"/>
      <x:c r="B670" s="114"/>
      <x:c r="C670" s="114"/>
      <x:c r="D670" s="114"/>
      <x:c r="E670" s="114"/>
      <x:c r="F670" s="114"/>
      <x:c r="G670" s="114"/>
      <x:c r="H670" s="114"/>
      <x:c r="I670" s="114"/>
      <x:c r="J670" s="114"/>
      <x:c r="K670" s="12"/>
      <x:c r="L670" s="12"/>
      <x:c r="M670" s="12"/>
      <x:c r="N670" s="12"/>
      <x:c r="O670" s="12"/>
      <x:c r="P670" s="12"/>
      <x:c r="Q670" s="12"/>
      <x:c r="R670" s="12"/>
      <x:c r="S670" s="12"/>
      <x:c r="T670" s="12"/>
      <x:c r="U670" s="12"/>
      <x:c r="V670" s="12"/>
      <x:c r="W670" s="12"/>
      <x:c r="X670" s="12"/>
      <x:c r="Y670" s="12"/>
      <x:c r="Z670" s="12"/>
      <x:c r="AA670" s="12"/>
      <x:c r="AB670" s="12"/>
      <x:c r="AC670" s="12"/>
      <x:c r="AD670" s="12"/>
      <x:c r="AE670" s="12"/>
      <x:c r="AF670" s="12"/>
      <x:c r="AG670" s="12"/>
    </x:row>
    <x:row r="671" ht="14.25" customHeight="1">
      <x:c r="A671" s="114"/>
      <x:c r="B671" s="114"/>
      <x:c r="C671" s="114"/>
      <x:c r="D671" s="114"/>
      <x:c r="E671" s="114"/>
      <x:c r="F671" s="114"/>
      <x:c r="G671" s="114"/>
      <x:c r="H671" s="114"/>
      <x:c r="I671" s="114"/>
      <x:c r="J671" s="114"/>
      <x:c r="K671" s="12"/>
      <x:c r="L671" s="12"/>
      <x:c r="M671" s="12"/>
      <x:c r="N671" s="12"/>
      <x:c r="O671" s="12"/>
      <x:c r="P671" s="12"/>
      <x:c r="Q671" s="12"/>
      <x:c r="R671" s="12"/>
      <x:c r="S671" s="12"/>
      <x:c r="T671" s="12"/>
      <x:c r="U671" s="12"/>
      <x:c r="V671" s="12"/>
      <x:c r="W671" s="12"/>
      <x:c r="X671" s="12"/>
      <x:c r="Y671" s="12"/>
      <x:c r="Z671" s="12"/>
      <x:c r="AA671" s="12"/>
      <x:c r="AB671" s="12"/>
      <x:c r="AC671" s="12"/>
      <x:c r="AD671" s="12"/>
      <x:c r="AE671" s="12"/>
      <x:c r="AF671" s="12"/>
      <x:c r="AG671" s="12"/>
    </x:row>
    <x:row r="672" ht="14.25" customHeight="1">
      <x:c r="A672" s="114"/>
      <x:c r="B672" s="114"/>
      <x:c r="C672" s="114"/>
      <x:c r="D672" s="114"/>
      <x:c r="E672" s="114"/>
      <x:c r="F672" s="114"/>
      <x:c r="G672" s="114"/>
      <x:c r="H672" s="114"/>
      <x:c r="I672" s="114"/>
      <x:c r="J672" s="114"/>
      <x:c r="K672" s="12"/>
      <x:c r="L672" s="12"/>
      <x:c r="M672" s="12"/>
      <x:c r="N672" s="12"/>
      <x:c r="O672" s="12"/>
      <x:c r="P672" s="12"/>
      <x:c r="Q672" s="12"/>
      <x:c r="R672" s="12"/>
      <x:c r="S672" s="12"/>
      <x:c r="T672" s="12"/>
      <x:c r="U672" s="12"/>
      <x:c r="V672" s="12"/>
      <x:c r="W672" s="12"/>
      <x:c r="X672" s="12"/>
      <x:c r="Y672" s="12"/>
      <x:c r="Z672" s="12"/>
      <x:c r="AA672" s="12"/>
      <x:c r="AB672" s="12"/>
      <x:c r="AC672" s="12"/>
      <x:c r="AD672" s="12"/>
      <x:c r="AE672" s="12"/>
      <x:c r="AF672" s="12"/>
      <x:c r="AG672" s="12"/>
    </x:row>
    <x:row r="673" ht="14.25" customHeight="1">
      <x:c r="A673" s="114"/>
      <x:c r="B673" s="114"/>
      <x:c r="C673" s="114"/>
      <x:c r="D673" s="114"/>
      <x:c r="E673" s="114"/>
      <x:c r="F673" s="114"/>
      <x:c r="G673" s="114"/>
      <x:c r="H673" s="114"/>
      <x:c r="I673" s="114"/>
      <x:c r="J673" s="114"/>
      <x:c r="K673" s="12"/>
      <x:c r="L673" s="12"/>
      <x:c r="M673" s="12"/>
      <x:c r="N673" s="12"/>
      <x:c r="O673" s="12"/>
      <x:c r="P673" s="12"/>
      <x:c r="Q673" s="12"/>
      <x:c r="R673" s="12"/>
      <x:c r="S673" s="12"/>
      <x:c r="T673" s="12"/>
      <x:c r="U673" s="12"/>
      <x:c r="V673" s="12"/>
      <x:c r="W673" s="12"/>
      <x:c r="X673" s="12"/>
      <x:c r="Y673" s="12"/>
      <x:c r="Z673" s="12"/>
      <x:c r="AA673" s="12"/>
      <x:c r="AB673" s="12"/>
      <x:c r="AC673" s="12"/>
      <x:c r="AD673" s="12"/>
      <x:c r="AE673" s="12"/>
      <x:c r="AF673" s="12"/>
      <x:c r="AG673" s="12"/>
    </x:row>
    <x:row r="674" ht="14.25" customHeight="1">
      <x:c r="A674" s="114"/>
      <x:c r="B674" s="114"/>
      <x:c r="C674" s="114"/>
      <x:c r="D674" s="114"/>
      <x:c r="E674" s="114"/>
      <x:c r="F674" s="114"/>
      <x:c r="G674" s="114"/>
      <x:c r="H674" s="114"/>
      <x:c r="I674" s="114"/>
      <x:c r="J674" s="114"/>
      <x:c r="K674" s="12"/>
      <x:c r="L674" s="12"/>
      <x:c r="M674" s="12"/>
      <x:c r="N674" s="12"/>
      <x:c r="O674" s="12"/>
      <x:c r="P674" s="12"/>
      <x:c r="Q674" s="12"/>
      <x:c r="R674" s="12"/>
      <x:c r="S674" s="12"/>
      <x:c r="T674" s="12"/>
      <x:c r="U674" s="12"/>
      <x:c r="V674" s="12"/>
      <x:c r="W674" s="12"/>
      <x:c r="X674" s="12"/>
      <x:c r="Y674" s="12"/>
      <x:c r="Z674" s="12"/>
      <x:c r="AA674" s="12"/>
      <x:c r="AB674" s="12"/>
      <x:c r="AC674" s="12"/>
      <x:c r="AD674" s="12"/>
      <x:c r="AE674" s="12"/>
      <x:c r="AF674" s="12"/>
      <x:c r="AG674" s="12"/>
    </x:row>
    <x:row r="675" ht="14.25" customHeight="1">
      <x:c r="A675" s="114"/>
      <x:c r="B675" s="114"/>
      <x:c r="C675" s="114"/>
      <x:c r="D675" s="114"/>
      <x:c r="E675" s="114"/>
      <x:c r="F675" s="114"/>
      <x:c r="G675" s="114"/>
      <x:c r="H675" s="114"/>
      <x:c r="I675" s="114"/>
      <x:c r="J675" s="114"/>
      <x:c r="K675" s="12"/>
      <x:c r="L675" s="12"/>
      <x:c r="M675" s="12"/>
      <x:c r="N675" s="12"/>
      <x:c r="O675" s="12"/>
      <x:c r="P675" s="12"/>
      <x:c r="Q675" s="12"/>
      <x:c r="R675" s="12"/>
      <x:c r="S675" s="12"/>
      <x:c r="T675" s="12"/>
      <x:c r="U675" s="12"/>
      <x:c r="V675" s="12"/>
      <x:c r="W675" s="12"/>
      <x:c r="X675" s="12"/>
      <x:c r="Y675" s="12"/>
      <x:c r="Z675" s="12"/>
      <x:c r="AA675" s="12"/>
      <x:c r="AB675" s="12"/>
      <x:c r="AC675" s="12"/>
      <x:c r="AD675" s="12"/>
      <x:c r="AE675" s="12"/>
      <x:c r="AF675" s="12"/>
      <x:c r="AG675" s="12"/>
    </x:row>
    <x:row r="676" ht="14.25" customHeight="1">
      <x:c r="A676" s="114"/>
      <x:c r="B676" s="114"/>
      <x:c r="C676" s="114"/>
      <x:c r="D676" s="114"/>
      <x:c r="E676" s="114"/>
      <x:c r="F676" s="114"/>
      <x:c r="G676" s="114"/>
      <x:c r="H676" s="114"/>
      <x:c r="I676" s="114"/>
      <x:c r="J676" s="114"/>
      <x:c r="K676" s="12"/>
      <x:c r="L676" s="12"/>
      <x:c r="M676" s="12"/>
      <x:c r="N676" s="12"/>
      <x:c r="O676" s="12"/>
      <x:c r="P676" s="12"/>
      <x:c r="Q676" s="12"/>
      <x:c r="R676" s="12"/>
      <x:c r="S676" s="12"/>
      <x:c r="T676" s="12"/>
      <x:c r="U676" s="12"/>
      <x:c r="V676" s="12"/>
      <x:c r="W676" s="12"/>
      <x:c r="X676" s="12"/>
      <x:c r="Y676" s="12"/>
      <x:c r="Z676" s="12"/>
      <x:c r="AA676" s="12"/>
      <x:c r="AB676" s="12"/>
      <x:c r="AC676" s="12"/>
      <x:c r="AD676" s="12"/>
      <x:c r="AE676" s="12"/>
      <x:c r="AF676" s="12"/>
      <x:c r="AG676" s="12"/>
    </x:row>
    <x:row r="677" ht="14.25" customHeight="1">
      <x:c r="A677" s="114"/>
      <x:c r="B677" s="114"/>
      <x:c r="C677" s="114"/>
      <x:c r="D677" s="114"/>
      <x:c r="E677" s="114"/>
      <x:c r="F677" s="114"/>
      <x:c r="G677" s="114"/>
      <x:c r="H677" s="114"/>
      <x:c r="I677" s="114"/>
      <x:c r="J677" s="114"/>
      <x:c r="K677" s="12"/>
      <x:c r="L677" s="12"/>
      <x:c r="M677" s="12"/>
      <x:c r="N677" s="12"/>
      <x:c r="O677" s="12"/>
      <x:c r="P677" s="12"/>
      <x:c r="Q677" s="12"/>
      <x:c r="R677" s="12"/>
      <x:c r="S677" s="12"/>
      <x:c r="T677" s="12"/>
      <x:c r="U677" s="12"/>
      <x:c r="V677" s="12"/>
      <x:c r="W677" s="12"/>
      <x:c r="X677" s="12"/>
      <x:c r="Y677" s="12"/>
      <x:c r="Z677" s="12"/>
      <x:c r="AA677" s="12"/>
      <x:c r="AB677" s="12"/>
      <x:c r="AC677" s="12"/>
      <x:c r="AD677" s="12"/>
      <x:c r="AE677" s="12"/>
      <x:c r="AF677" s="12"/>
      <x:c r="AG677" s="12"/>
    </x:row>
    <x:row r="678" ht="14.25" customHeight="1">
      <x:c r="A678" s="114"/>
      <x:c r="B678" s="114"/>
      <x:c r="C678" s="114"/>
      <x:c r="D678" s="114"/>
      <x:c r="E678" s="114"/>
      <x:c r="F678" s="114"/>
      <x:c r="G678" s="114"/>
      <x:c r="H678" s="114"/>
      <x:c r="I678" s="114"/>
      <x:c r="J678" s="114"/>
      <x:c r="K678" s="12"/>
      <x:c r="L678" s="12"/>
      <x:c r="M678" s="12"/>
      <x:c r="N678" s="12"/>
      <x:c r="O678" s="12"/>
      <x:c r="P678" s="12"/>
      <x:c r="Q678" s="12"/>
      <x:c r="R678" s="12"/>
      <x:c r="S678" s="12"/>
      <x:c r="T678" s="12"/>
      <x:c r="U678" s="12"/>
      <x:c r="V678" s="12"/>
      <x:c r="W678" s="12"/>
      <x:c r="X678" s="12"/>
      <x:c r="Y678" s="12"/>
      <x:c r="Z678" s="12"/>
      <x:c r="AA678" s="12"/>
      <x:c r="AB678" s="12"/>
      <x:c r="AC678" s="12"/>
      <x:c r="AD678" s="12"/>
      <x:c r="AE678" s="12"/>
      <x:c r="AF678" s="12"/>
      <x:c r="AG678" s="12"/>
    </x:row>
    <x:row r="679" ht="14.25" customHeight="1">
      <x:c r="A679" s="114"/>
      <x:c r="B679" s="114"/>
      <x:c r="C679" s="114"/>
      <x:c r="D679" s="114"/>
      <x:c r="E679" s="114"/>
      <x:c r="F679" s="114"/>
      <x:c r="G679" s="114"/>
      <x:c r="H679" s="114"/>
      <x:c r="I679" s="114"/>
      <x:c r="J679" s="114"/>
      <x:c r="K679" s="12"/>
      <x:c r="L679" s="12"/>
      <x:c r="M679" s="12"/>
      <x:c r="N679" s="12"/>
      <x:c r="O679" s="12"/>
      <x:c r="P679" s="12"/>
      <x:c r="Q679" s="12"/>
      <x:c r="R679" s="12"/>
      <x:c r="S679" s="12"/>
      <x:c r="T679" s="12"/>
      <x:c r="U679" s="12"/>
      <x:c r="V679" s="12"/>
      <x:c r="W679" s="12"/>
      <x:c r="X679" s="12"/>
      <x:c r="Y679" s="12"/>
      <x:c r="Z679" s="12"/>
      <x:c r="AA679" s="12"/>
      <x:c r="AB679" s="12"/>
      <x:c r="AC679" s="12"/>
      <x:c r="AD679" s="12"/>
      <x:c r="AE679" s="12"/>
      <x:c r="AF679" s="12"/>
      <x:c r="AG679" s="12"/>
    </x:row>
    <x:row r="680" ht="14.25" customHeight="1">
      <x:c r="A680" s="114"/>
      <x:c r="B680" s="114"/>
      <x:c r="C680" s="114"/>
      <x:c r="D680" s="114"/>
      <x:c r="E680" s="114"/>
      <x:c r="F680" s="114"/>
      <x:c r="G680" s="114"/>
      <x:c r="H680" s="114"/>
      <x:c r="I680" s="114"/>
      <x:c r="J680" s="114"/>
      <x:c r="K680" s="12"/>
      <x:c r="L680" s="12"/>
      <x:c r="M680" s="12"/>
      <x:c r="N680" s="12"/>
      <x:c r="O680" s="12"/>
      <x:c r="P680" s="12"/>
      <x:c r="Q680" s="12"/>
      <x:c r="R680" s="12"/>
      <x:c r="S680" s="12"/>
      <x:c r="T680" s="12"/>
      <x:c r="U680" s="12"/>
      <x:c r="V680" s="12"/>
      <x:c r="W680" s="12"/>
      <x:c r="X680" s="12"/>
      <x:c r="Y680" s="12"/>
      <x:c r="Z680" s="12"/>
      <x:c r="AA680" s="12"/>
      <x:c r="AB680" s="12"/>
      <x:c r="AC680" s="12"/>
      <x:c r="AD680" s="12"/>
      <x:c r="AE680" s="12"/>
      <x:c r="AF680" s="12"/>
      <x:c r="AG680" s="12"/>
    </x:row>
    <x:row r="681" ht="14.25" customHeight="1">
      <x:c r="A681" s="114"/>
      <x:c r="B681" s="114"/>
      <x:c r="C681" s="114"/>
      <x:c r="D681" s="114"/>
      <x:c r="E681" s="114"/>
      <x:c r="F681" s="114"/>
      <x:c r="G681" s="114"/>
      <x:c r="H681" s="114"/>
      <x:c r="I681" s="114"/>
      <x:c r="J681" s="114"/>
      <x:c r="K681" s="12"/>
      <x:c r="L681" s="12"/>
      <x:c r="M681" s="12"/>
      <x:c r="N681" s="12"/>
      <x:c r="O681" s="12"/>
      <x:c r="P681" s="12"/>
      <x:c r="Q681" s="12"/>
      <x:c r="R681" s="12"/>
      <x:c r="S681" s="12"/>
      <x:c r="T681" s="12"/>
      <x:c r="U681" s="12"/>
      <x:c r="V681" s="12"/>
      <x:c r="W681" s="12"/>
      <x:c r="X681" s="12"/>
      <x:c r="Y681" s="12"/>
      <x:c r="Z681" s="12"/>
      <x:c r="AA681" s="12"/>
      <x:c r="AB681" s="12"/>
      <x:c r="AC681" s="12"/>
      <x:c r="AD681" s="12"/>
      <x:c r="AE681" s="12"/>
      <x:c r="AF681" s="12"/>
      <x:c r="AG681" s="12"/>
    </x:row>
    <x:row r="682" ht="14.25" customHeight="1">
      <x:c r="A682" s="114"/>
      <x:c r="B682" s="114"/>
      <x:c r="C682" s="114"/>
      <x:c r="D682" s="114"/>
      <x:c r="E682" s="114"/>
      <x:c r="F682" s="114"/>
      <x:c r="G682" s="114"/>
      <x:c r="H682" s="114"/>
      <x:c r="I682" s="114"/>
      <x:c r="J682" s="114"/>
      <x:c r="K682" s="12"/>
      <x:c r="L682" s="12"/>
      <x:c r="M682" s="12"/>
      <x:c r="N682" s="12"/>
      <x:c r="O682" s="12"/>
      <x:c r="P682" s="12"/>
      <x:c r="Q682" s="12"/>
      <x:c r="R682" s="12"/>
      <x:c r="S682" s="12"/>
      <x:c r="T682" s="12"/>
      <x:c r="U682" s="12"/>
      <x:c r="V682" s="12"/>
      <x:c r="W682" s="12"/>
      <x:c r="X682" s="12"/>
      <x:c r="Y682" s="12"/>
      <x:c r="Z682" s="12"/>
      <x:c r="AA682" s="12"/>
      <x:c r="AB682" s="12"/>
      <x:c r="AC682" s="12"/>
      <x:c r="AD682" s="12"/>
      <x:c r="AE682" s="12"/>
      <x:c r="AF682" s="12"/>
      <x:c r="AG682" s="12"/>
    </x:row>
    <x:row r="683" ht="14.25" customHeight="1">
      <x:c r="A683" s="114"/>
      <x:c r="B683" s="114"/>
      <x:c r="C683" s="114"/>
      <x:c r="D683" s="114"/>
      <x:c r="E683" s="114"/>
      <x:c r="F683" s="114"/>
      <x:c r="G683" s="114"/>
      <x:c r="H683" s="114"/>
      <x:c r="I683" s="114"/>
      <x:c r="J683" s="114"/>
      <x:c r="K683" s="12"/>
      <x:c r="L683" s="12"/>
      <x:c r="M683" s="12"/>
      <x:c r="N683" s="12"/>
      <x:c r="O683" s="12"/>
      <x:c r="P683" s="12"/>
      <x:c r="Q683" s="12"/>
      <x:c r="R683" s="12"/>
      <x:c r="S683" s="12"/>
      <x:c r="T683" s="12"/>
      <x:c r="U683" s="12"/>
      <x:c r="V683" s="12"/>
      <x:c r="W683" s="12"/>
      <x:c r="X683" s="12"/>
      <x:c r="Y683" s="12"/>
      <x:c r="Z683" s="12"/>
      <x:c r="AA683" s="12"/>
      <x:c r="AB683" s="12"/>
      <x:c r="AC683" s="12"/>
      <x:c r="AD683" s="12"/>
      <x:c r="AE683" s="12"/>
      <x:c r="AF683" s="12"/>
      <x:c r="AG683" s="12"/>
    </x:row>
    <x:row r="684" ht="14.25" customHeight="1">
      <x:c r="A684" s="114"/>
      <x:c r="B684" s="114"/>
      <x:c r="C684" s="114"/>
      <x:c r="D684" s="114"/>
      <x:c r="E684" s="114"/>
      <x:c r="F684" s="114"/>
      <x:c r="G684" s="114"/>
      <x:c r="H684" s="114"/>
      <x:c r="I684" s="114"/>
      <x:c r="J684" s="114"/>
      <x:c r="K684" s="12"/>
      <x:c r="L684" s="12"/>
      <x:c r="M684" s="12"/>
      <x:c r="N684" s="12"/>
      <x:c r="O684" s="12"/>
      <x:c r="P684" s="12"/>
      <x:c r="Q684" s="12"/>
      <x:c r="R684" s="12"/>
      <x:c r="S684" s="12"/>
      <x:c r="T684" s="12"/>
      <x:c r="U684" s="12"/>
      <x:c r="V684" s="12"/>
      <x:c r="W684" s="12"/>
      <x:c r="X684" s="12"/>
      <x:c r="Y684" s="12"/>
      <x:c r="Z684" s="12"/>
      <x:c r="AA684" s="12"/>
      <x:c r="AB684" s="12"/>
      <x:c r="AC684" s="12"/>
      <x:c r="AD684" s="12"/>
      <x:c r="AE684" s="12"/>
      <x:c r="AF684" s="12"/>
      <x:c r="AG684" s="12"/>
    </x:row>
    <x:row r="685" ht="14.25" customHeight="1">
      <x:c r="A685" s="114"/>
      <x:c r="B685" s="114"/>
      <x:c r="C685" s="114"/>
      <x:c r="D685" s="114"/>
      <x:c r="E685" s="114"/>
      <x:c r="F685" s="114"/>
      <x:c r="G685" s="114"/>
      <x:c r="H685" s="114"/>
      <x:c r="I685" s="114"/>
      <x:c r="J685" s="114"/>
      <x:c r="K685" s="12"/>
      <x:c r="L685" s="12"/>
      <x:c r="M685" s="12"/>
      <x:c r="N685" s="12"/>
      <x:c r="O685" s="12"/>
      <x:c r="P685" s="12"/>
      <x:c r="Q685" s="12"/>
      <x:c r="R685" s="12"/>
      <x:c r="S685" s="12"/>
      <x:c r="T685" s="12"/>
      <x:c r="U685" s="12"/>
      <x:c r="V685" s="12"/>
      <x:c r="W685" s="12"/>
      <x:c r="X685" s="12"/>
      <x:c r="Y685" s="12"/>
      <x:c r="Z685" s="12"/>
      <x:c r="AA685" s="12"/>
      <x:c r="AB685" s="12"/>
      <x:c r="AC685" s="12"/>
      <x:c r="AD685" s="12"/>
      <x:c r="AE685" s="12"/>
      <x:c r="AF685" s="12"/>
      <x:c r="AG685" s="12"/>
    </x:row>
    <x:row r="686" ht="14.25" customHeight="1">
      <x:c r="A686" s="114"/>
      <x:c r="B686" s="114"/>
      <x:c r="C686" s="114"/>
      <x:c r="D686" s="114"/>
      <x:c r="E686" s="114"/>
      <x:c r="F686" s="114"/>
      <x:c r="G686" s="114"/>
      <x:c r="H686" s="114"/>
      <x:c r="I686" s="114"/>
      <x:c r="J686" s="114"/>
      <x:c r="K686" s="12"/>
      <x:c r="L686" s="12"/>
      <x:c r="M686" s="12"/>
      <x:c r="N686" s="12"/>
      <x:c r="O686" s="12"/>
      <x:c r="P686" s="12"/>
      <x:c r="Q686" s="12"/>
      <x:c r="R686" s="12"/>
      <x:c r="S686" s="12"/>
      <x:c r="T686" s="12"/>
      <x:c r="U686" s="12"/>
      <x:c r="V686" s="12"/>
      <x:c r="W686" s="12"/>
      <x:c r="X686" s="12"/>
      <x:c r="Y686" s="12"/>
      <x:c r="Z686" s="12"/>
      <x:c r="AA686" s="12"/>
      <x:c r="AB686" s="12"/>
      <x:c r="AC686" s="12"/>
      <x:c r="AD686" s="12"/>
      <x:c r="AE686" s="12"/>
      <x:c r="AF686" s="12"/>
      <x:c r="AG686" s="12"/>
    </x:row>
    <x:row r="687" ht="14.25" customHeight="1">
      <x:c r="A687" s="114"/>
      <x:c r="B687" s="114"/>
      <x:c r="C687" s="114"/>
      <x:c r="D687" s="114"/>
      <x:c r="E687" s="114"/>
      <x:c r="F687" s="114"/>
      <x:c r="G687" s="114"/>
      <x:c r="H687" s="114"/>
      <x:c r="I687" s="114"/>
      <x:c r="J687" s="114"/>
      <x:c r="K687" s="12"/>
      <x:c r="L687" s="12"/>
      <x:c r="M687" s="12"/>
      <x:c r="N687" s="12"/>
      <x:c r="O687" s="12"/>
      <x:c r="P687" s="12"/>
      <x:c r="Q687" s="12"/>
      <x:c r="R687" s="12"/>
      <x:c r="S687" s="12"/>
      <x:c r="T687" s="12"/>
      <x:c r="U687" s="12"/>
      <x:c r="V687" s="12"/>
      <x:c r="W687" s="12"/>
      <x:c r="X687" s="12"/>
      <x:c r="Y687" s="12"/>
      <x:c r="Z687" s="12"/>
      <x:c r="AA687" s="12"/>
      <x:c r="AB687" s="12"/>
      <x:c r="AC687" s="12"/>
      <x:c r="AD687" s="12"/>
      <x:c r="AE687" s="12"/>
      <x:c r="AF687" s="12"/>
      <x:c r="AG687" s="12"/>
    </x:row>
    <x:row r="688" ht="14.25" customHeight="1">
      <x:c r="A688" s="114"/>
      <x:c r="B688" s="114"/>
      <x:c r="C688" s="114"/>
      <x:c r="D688" s="114"/>
      <x:c r="E688" s="114"/>
      <x:c r="F688" s="114"/>
      <x:c r="G688" s="114"/>
      <x:c r="H688" s="114"/>
      <x:c r="I688" s="114"/>
      <x:c r="J688" s="114"/>
      <x:c r="K688" s="12"/>
      <x:c r="L688" s="12"/>
      <x:c r="M688" s="12"/>
      <x:c r="N688" s="12"/>
      <x:c r="O688" s="12"/>
      <x:c r="P688" s="12"/>
      <x:c r="Q688" s="12"/>
      <x:c r="R688" s="12"/>
      <x:c r="S688" s="12"/>
      <x:c r="T688" s="12"/>
      <x:c r="U688" s="12"/>
      <x:c r="V688" s="12"/>
      <x:c r="W688" s="12"/>
      <x:c r="X688" s="12"/>
      <x:c r="Y688" s="12"/>
      <x:c r="Z688" s="12"/>
      <x:c r="AA688" s="12"/>
      <x:c r="AB688" s="12"/>
      <x:c r="AC688" s="12"/>
      <x:c r="AD688" s="12"/>
      <x:c r="AE688" s="12"/>
      <x:c r="AF688" s="12"/>
      <x:c r="AG688" s="12"/>
    </x:row>
    <x:row r="689" ht="14.25" customHeight="1">
      <x:c r="A689" s="114"/>
      <x:c r="B689" s="114"/>
      <x:c r="C689" s="114"/>
      <x:c r="D689" s="114"/>
      <x:c r="E689" s="114"/>
      <x:c r="F689" s="114"/>
      <x:c r="G689" s="114"/>
      <x:c r="H689" s="114"/>
      <x:c r="I689" s="114"/>
      <x:c r="J689" s="114"/>
      <x:c r="K689" s="12"/>
      <x:c r="L689" s="12"/>
      <x:c r="M689" s="12"/>
      <x:c r="N689" s="12"/>
      <x:c r="O689" s="12"/>
      <x:c r="P689" s="12"/>
      <x:c r="Q689" s="12"/>
      <x:c r="R689" s="12"/>
      <x:c r="S689" s="12"/>
      <x:c r="T689" s="12"/>
      <x:c r="U689" s="12"/>
      <x:c r="V689" s="12"/>
      <x:c r="W689" s="12"/>
      <x:c r="X689" s="12"/>
      <x:c r="Y689" s="12"/>
      <x:c r="Z689" s="12"/>
      <x:c r="AA689" s="12"/>
      <x:c r="AB689" s="12"/>
      <x:c r="AC689" s="12"/>
      <x:c r="AD689" s="12"/>
      <x:c r="AE689" s="12"/>
      <x:c r="AF689" s="12"/>
      <x:c r="AG689" s="12"/>
    </x:row>
    <x:row r="690" ht="14.25" customHeight="1">
      <x:c r="A690" s="114"/>
      <x:c r="B690" s="114"/>
      <x:c r="C690" s="114"/>
      <x:c r="D690" s="114"/>
      <x:c r="E690" s="114"/>
      <x:c r="F690" s="114"/>
      <x:c r="G690" s="114"/>
      <x:c r="H690" s="114"/>
      <x:c r="I690" s="114"/>
      <x:c r="J690" s="114"/>
      <x:c r="K690" s="12"/>
      <x:c r="L690" s="12"/>
      <x:c r="M690" s="12"/>
      <x:c r="N690" s="12"/>
      <x:c r="O690" s="12"/>
      <x:c r="P690" s="12"/>
      <x:c r="Q690" s="12"/>
      <x:c r="R690" s="12"/>
      <x:c r="S690" s="12"/>
      <x:c r="T690" s="12"/>
      <x:c r="U690" s="12"/>
      <x:c r="V690" s="12"/>
      <x:c r="W690" s="12"/>
      <x:c r="X690" s="12"/>
      <x:c r="Y690" s="12"/>
      <x:c r="Z690" s="12"/>
      <x:c r="AA690" s="12"/>
      <x:c r="AB690" s="12"/>
      <x:c r="AC690" s="12"/>
      <x:c r="AD690" s="12"/>
      <x:c r="AE690" s="12"/>
      <x:c r="AF690" s="12"/>
      <x:c r="AG690" s="12"/>
    </x:row>
    <x:row r="691" ht="14.25" customHeight="1">
      <x:c r="A691" s="114"/>
      <x:c r="B691" s="114"/>
      <x:c r="C691" s="114"/>
      <x:c r="D691" s="114"/>
      <x:c r="E691" s="114"/>
      <x:c r="F691" s="114"/>
      <x:c r="G691" s="114"/>
      <x:c r="H691" s="114"/>
      <x:c r="I691" s="114"/>
      <x:c r="J691" s="114"/>
      <x:c r="K691" s="12"/>
      <x:c r="L691" s="12"/>
      <x:c r="M691" s="12"/>
      <x:c r="N691" s="12"/>
      <x:c r="O691" s="12"/>
      <x:c r="P691" s="12"/>
      <x:c r="Q691" s="12"/>
      <x:c r="R691" s="12"/>
      <x:c r="S691" s="12"/>
      <x:c r="T691" s="12"/>
      <x:c r="U691" s="12"/>
      <x:c r="V691" s="12"/>
      <x:c r="W691" s="12"/>
      <x:c r="X691" s="12"/>
      <x:c r="Y691" s="12"/>
      <x:c r="Z691" s="12"/>
      <x:c r="AA691" s="12"/>
      <x:c r="AB691" s="12"/>
      <x:c r="AC691" s="12"/>
      <x:c r="AD691" s="12"/>
      <x:c r="AE691" s="12"/>
      <x:c r="AF691" s="12"/>
      <x:c r="AG691" s="12"/>
    </x:row>
    <x:row r="692" ht="14.25" customHeight="1">
      <x:c r="A692" s="114"/>
      <x:c r="B692" s="114"/>
      <x:c r="C692" s="114"/>
      <x:c r="D692" s="114"/>
      <x:c r="E692" s="114"/>
      <x:c r="F692" s="114"/>
      <x:c r="G692" s="114"/>
      <x:c r="H692" s="114"/>
      <x:c r="I692" s="114"/>
      <x:c r="J692" s="114"/>
      <x:c r="K692" s="12"/>
      <x:c r="L692" s="12"/>
      <x:c r="M692" s="12"/>
      <x:c r="N692" s="12"/>
      <x:c r="O692" s="12"/>
      <x:c r="P692" s="12"/>
      <x:c r="Q692" s="12"/>
      <x:c r="R692" s="12"/>
      <x:c r="S692" s="12"/>
      <x:c r="T692" s="12"/>
      <x:c r="U692" s="12"/>
      <x:c r="V692" s="12"/>
      <x:c r="W692" s="12"/>
      <x:c r="X692" s="12"/>
      <x:c r="Y692" s="12"/>
      <x:c r="Z692" s="12"/>
      <x:c r="AA692" s="12"/>
      <x:c r="AB692" s="12"/>
      <x:c r="AC692" s="12"/>
      <x:c r="AD692" s="12"/>
      <x:c r="AE692" s="12"/>
      <x:c r="AF692" s="12"/>
      <x:c r="AG692" s="12"/>
    </x:row>
    <x:row r="693" ht="14.25" customHeight="1">
      <x:c r="A693" s="114"/>
      <x:c r="B693" s="114"/>
      <x:c r="C693" s="114"/>
      <x:c r="D693" s="114"/>
      <x:c r="E693" s="114"/>
      <x:c r="F693" s="114"/>
      <x:c r="G693" s="114"/>
      <x:c r="H693" s="114"/>
      <x:c r="I693" s="114"/>
      <x:c r="J693" s="114"/>
      <x:c r="K693" s="12"/>
      <x:c r="L693" s="12"/>
      <x:c r="M693" s="12"/>
      <x:c r="N693" s="12"/>
      <x:c r="O693" s="12"/>
      <x:c r="P693" s="12"/>
      <x:c r="Q693" s="12"/>
      <x:c r="R693" s="12"/>
      <x:c r="S693" s="12"/>
      <x:c r="T693" s="12"/>
      <x:c r="U693" s="12"/>
      <x:c r="V693" s="12"/>
      <x:c r="W693" s="12"/>
      <x:c r="X693" s="12"/>
      <x:c r="Y693" s="12"/>
      <x:c r="Z693" s="12"/>
      <x:c r="AA693" s="12"/>
      <x:c r="AB693" s="12"/>
      <x:c r="AC693" s="12"/>
      <x:c r="AD693" s="12"/>
      <x:c r="AE693" s="12"/>
      <x:c r="AF693" s="12"/>
      <x:c r="AG693" s="12"/>
    </x:row>
    <x:row r="694" ht="14.25" customHeight="1">
      <x:c r="A694" s="114"/>
      <x:c r="B694" s="114"/>
      <x:c r="C694" s="114"/>
      <x:c r="D694" s="114"/>
      <x:c r="E694" s="114"/>
      <x:c r="F694" s="114"/>
      <x:c r="G694" s="114"/>
      <x:c r="H694" s="114"/>
      <x:c r="I694" s="114"/>
      <x:c r="J694" s="114"/>
      <x:c r="K694" s="12"/>
      <x:c r="L694" s="12"/>
      <x:c r="M694" s="12"/>
      <x:c r="N694" s="12"/>
      <x:c r="O694" s="12"/>
      <x:c r="P694" s="12"/>
      <x:c r="Q694" s="12"/>
      <x:c r="R694" s="12"/>
      <x:c r="S694" s="12"/>
      <x:c r="T694" s="12"/>
      <x:c r="U694" s="12"/>
      <x:c r="V694" s="12"/>
      <x:c r="W694" s="12"/>
      <x:c r="X694" s="12"/>
      <x:c r="Y694" s="12"/>
      <x:c r="Z694" s="12"/>
      <x:c r="AA694" s="12"/>
      <x:c r="AB694" s="12"/>
      <x:c r="AC694" s="12"/>
      <x:c r="AD694" s="12"/>
      <x:c r="AE694" s="12"/>
      <x:c r="AF694" s="12"/>
      <x:c r="AG694" s="12"/>
    </x:row>
    <x:row r="695" ht="14.25" customHeight="1">
      <x:c r="A695" s="114"/>
      <x:c r="B695" s="114"/>
      <x:c r="C695" s="114"/>
      <x:c r="D695" s="114"/>
      <x:c r="E695" s="114"/>
      <x:c r="F695" s="114"/>
      <x:c r="G695" s="114"/>
      <x:c r="H695" s="114"/>
      <x:c r="I695" s="114"/>
      <x:c r="J695" s="114"/>
      <x:c r="K695" s="12"/>
      <x:c r="L695" s="12"/>
      <x:c r="M695" s="12"/>
      <x:c r="N695" s="12"/>
      <x:c r="O695" s="12"/>
      <x:c r="P695" s="12"/>
      <x:c r="Q695" s="12"/>
      <x:c r="R695" s="12"/>
      <x:c r="S695" s="12"/>
      <x:c r="T695" s="12"/>
      <x:c r="U695" s="12"/>
      <x:c r="V695" s="12"/>
      <x:c r="W695" s="12"/>
      <x:c r="X695" s="12"/>
      <x:c r="Y695" s="12"/>
      <x:c r="Z695" s="12"/>
      <x:c r="AA695" s="12"/>
      <x:c r="AB695" s="12"/>
      <x:c r="AC695" s="12"/>
      <x:c r="AD695" s="12"/>
      <x:c r="AE695" s="12"/>
      <x:c r="AF695" s="12"/>
      <x:c r="AG695" s="12"/>
    </x:row>
    <x:row r="696" ht="14.25" customHeight="1">
      <x:c r="A696" s="114"/>
      <x:c r="B696" s="114"/>
      <x:c r="C696" s="114"/>
      <x:c r="D696" s="114"/>
      <x:c r="E696" s="114"/>
      <x:c r="F696" s="114"/>
      <x:c r="G696" s="114"/>
      <x:c r="H696" s="114"/>
      <x:c r="I696" s="114"/>
      <x:c r="J696" s="114"/>
      <x:c r="K696" s="12"/>
      <x:c r="L696" s="12"/>
      <x:c r="M696" s="12"/>
      <x:c r="N696" s="12"/>
      <x:c r="O696" s="12"/>
      <x:c r="P696" s="12"/>
      <x:c r="Q696" s="12"/>
      <x:c r="R696" s="12"/>
      <x:c r="S696" s="12"/>
      <x:c r="T696" s="12"/>
      <x:c r="U696" s="12"/>
      <x:c r="V696" s="12"/>
      <x:c r="W696" s="12"/>
      <x:c r="X696" s="12"/>
      <x:c r="Y696" s="12"/>
      <x:c r="Z696" s="12"/>
      <x:c r="AA696" s="12"/>
      <x:c r="AB696" s="12"/>
      <x:c r="AC696" s="12"/>
      <x:c r="AD696" s="12"/>
      <x:c r="AE696" s="12"/>
      <x:c r="AF696" s="12"/>
      <x:c r="AG696" s="12"/>
    </x:row>
    <x:row r="697" ht="14.25" customHeight="1">
      <x:c r="A697" s="114"/>
      <x:c r="B697" s="114"/>
      <x:c r="C697" s="114"/>
      <x:c r="D697" s="114"/>
      <x:c r="E697" s="114"/>
      <x:c r="F697" s="114"/>
      <x:c r="G697" s="114"/>
      <x:c r="H697" s="114"/>
      <x:c r="I697" s="114"/>
      <x:c r="J697" s="114"/>
      <x:c r="K697" s="12"/>
      <x:c r="L697" s="12"/>
      <x:c r="M697" s="12"/>
      <x:c r="N697" s="12"/>
      <x:c r="O697" s="12"/>
      <x:c r="P697" s="12"/>
      <x:c r="Q697" s="12"/>
      <x:c r="R697" s="12"/>
      <x:c r="S697" s="12"/>
      <x:c r="T697" s="12"/>
      <x:c r="U697" s="12"/>
      <x:c r="V697" s="12"/>
      <x:c r="W697" s="12"/>
      <x:c r="X697" s="12"/>
      <x:c r="Y697" s="12"/>
      <x:c r="Z697" s="12"/>
      <x:c r="AA697" s="12"/>
      <x:c r="AB697" s="12"/>
      <x:c r="AC697" s="12"/>
      <x:c r="AD697" s="12"/>
      <x:c r="AE697" s="12"/>
      <x:c r="AF697" s="12"/>
      <x:c r="AG697" s="12"/>
    </x:row>
    <x:row r="698" ht="14.25" customHeight="1">
      <x:c r="A698" s="114"/>
      <x:c r="B698" s="114"/>
      <x:c r="C698" s="114"/>
      <x:c r="D698" s="114"/>
      <x:c r="E698" s="114"/>
      <x:c r="F698" s="114"/>
      <x:c r="G698" s="114"/>
      <x:c r="H698" s="114"/>
      <x:c r="I698" s="114"/>
      <x:c r="J698" s="114"/>
      <x:c r="K698" s="12"/>
      <x:c r="L698" s="12"/>
      <x:c r="M698" s="12"/>
      <x:c r="N698" s="12"/>
      <x:c r="O698" s="12"/>
      <x:c r="P698" s="12"/>
      <x:c r="Q698" s="12"/>
      <x:c r="R698" s="12"/>
      <x:c r="S698" s="12"/>
      <x:c r="T698" s="12"/>
      <x:c r="U698" s="12"/>
      <x:c r="V698" s="12"/>
      <x:c r="W698" s="12"/>
      <x:c r="X698" s="12"/>
      <x:c r="Y698" s="12"/>
      <x:c r="Z698" s="12"/>
      <x:c r="AA698" s="12"/>
      <x:c r="AB698" s="12"/>
      <x:c r="AC698" s="12"/>
      <x:c r="AD698" s="12"/>
      <x:c r="AE698" s="12"/>
      <x:c r="AF698" s="12"/>
      <x:c r="AG698" s="12"/>
    </x:row>
    <x:row r="699" ht="14.25" customHeight="1">
      <x:c r="A699" s="114"/>
      <x:c r="B699" s="114"/>
      <x:c r="C699" s="114"/>
      <x:c r="D699" s="114"/>
      <x:c r="E699" s="114"/>
      <x:c r="F699" s="114"/>
      <x:c r="G699" s="114"/>
      <x:c r="H699" s="114"/>
      <x:c r="I699" s="114"/>
      <x:c r="J699" s="114"/>
      <x:c r="K699" s="12"/>
      <x:c r="L699" s="12"/>
      <x:c r="M699" s="12"/>
      <x:c r="N699" s="12"/>
      <x:c r="O699" s="12"/>
      <x:c r="P699" s="12"/>
      <x:c r="Q699" s="12"/>
      <x:c r="R699" s="12"/>
      <x:c r="S699" s="12"/>
      <x:c r="T699" s="12"/>
      <x:c r="U699" s="12"/>
      <x:c r="V699" s="12"/>
      <x:c r="W699" s="12"/>
      <x:c r="X699" s="12"/>
      <x:c r="Y699" s="12"/>
      <x:c r="Z699" s="12"/>
      <x:c r="AA699" s="12"/>
      <x:c r="AB699" s="12"/>
      <x:c r="AC699" s="12"/>
      <x:c r="AD699" s="12"/>
      <x:c r="AE699" s="12"/>
      <x:c r="AF699" s="12"/>
      <x:c r="AG699" s="12"/>
    </x:row>
    <x:row r="700" ht="14.25" customHeight="1">
      <x:c r="A700" s="114"/>
      <x:c r="B700" s="114"/>
      <x:c r="C700" s="114"/>
      <x:c r="D700" s="114"/>
      <x:c r="E700" s="114"/>
      <x:c r="F700" s="114"/>
      <x:c r="G700" s="114"/>
      <x:c r="H700" s="114"/>
      <x:c r="I700" s="114"/>
      <x:c r="J700" s="114"/>
      <x:c r="K700" s="12"/>
      <x:c r="L700" s="12"/>
      <x:c r="M700" s="12"/>
      <x:c r="N700" s="12"/>
      <x:c r="O700" s="12"/>
      <x:c r="P700" s="12"/>
      <x:c r="Q700" s="12"/>
      <x:c r="R700" s="12"/>
      <x:c r="S700" s="12"/>
      <x:c r="T700" s="12"/>
      <x:c r="U700" s="12"/>
      <x:c r="V700" s="12"/>
      <x:c r="W700" s="12"/>
      <x:c r="X700" s="12"/>
      <x:c r="Y700" s="12"/>
      <x:c r="Z700" s="12"/>
      <x:c r="AA700" s="12"/>
      <x:c r="AB700" s="12"/>
      <x:c r="AC700" s="12"/>
      <x:c r="AD700" s="12"/>
      <x:c r="AE700" s="12"/>
      <x:c r="AF700" s="12"/>
      <x:c r="AG700" s="12"/>
    </x:row>
    <x:row r="701" ht="14.25" customHeight="1">
      <x:c r="A701" s="114"/>
      <x:c r="B701" s="114"/>
      <x:c r="C701" s="114"/>
      <x:c r="D701" s="114"/>
      <x:c r="E701" s="114"/>
      <x:c r="F701" s="114"/>
      <x:c r="G701" s="114"/>
      <x:c r="H701" s="114"/>
      <x:c r="I701" s="114"/>
      <x:c r="J701" s="114"/>
      <x:c r="K701" s="12"/>
      <x:c r="L701" s="12"/>
      <x:c r="M701" s="12"/>
      <x:c r="N701" s="12"/>
      <x:c r="O701" s="12"/>
      <x:c r="P701" s="12"/>
      <x:c r="Q701" s="12"/>
      <x:c r="R701" s="12"/>
      <x:c r="S701" s="12"/>
      <x:c r="T701" s="12"/>
      <x:c r="U701" s="12"/>
      <x:c r="V701" s="12"/>
      <x:c r="W701" s="12"/>
      <x:c r="X701" s="12"/>
      <x:c r="Y701" s="12"/>
      <x:c r="Z701" s="12"/>
      <x:c r="AA701" s="12"/>
      <x:c r="AB701" s="12"/>
      <x:c r="AC701" s="12"/>
      <x:c r="AD701" s="12"/>
      <x:c r="AE701" s="12"/>
      <x:c r="AF701" s="12"/>
      <x:c r="AG701" s="12"/>
    </x:row>
    <x:row r="702" ht="14.25" customHeight="1">
      <x:c r="A702" s="114"/>
      <x:c r="B702" s="114"/>
      <x:c r="C702" s="114"/>
      <x:c r="D702" s="114"/>
      <x:c r="E702" s="114"/>
      <x:c r="F702" s="114"/>
      <x:c r="G702" s="114"/>
      <x:c r="H702" s="114"/>
      <x:c r="I702" s="114"/>
      <x:c r="J702" s="114"/>
      <x:c r="K702" s="12"/>
      <x:c r="L702" s="12"/>
      <x:c r="M702" s="12"/>
      <x:c r="N702" s="12"/>
      <x:c r="O702" s="12"/>
      <x:c r="P702" s="12"/>
      <x:c r="Q702" s="12"/>
      <x:c r="R702" s="12"/>
      <x:c r="S702" s="12"/>
      <x:c r="T702" s="12"/>
      <x:c r="U702" s="12"/>
      <x:c r="V702" s="12"/>
      <x:c r="W702" s="12"/>
      <x:c r="X702" s="12"/>
      <x:c r="Y702" s="12"/>
      <x:c r="Z702" s="12"/>
      <x:c r="AA702" s="12"/>
      <x:c r="AB702" s="12"/>
      <x:c r="AC702" s="12"/>
      <x:c r="AD702" s="12"/>
      <x:c r="AE702" s="12"/>
      <x:c r="AF702" s="12"/>
      <x:c r="AG702" s="12"/>
    </x:row>
    <x:row r="703" ht="14.25" customHeight="1">
      <x:c r="A703" s="114"/>
      <x:c r="B703" s="114"/>
      <x:c r="C703" s="114"/>
      <x:c r="D703" s="114"/>
      <x:c r="E703" s="114"/>
      <x:c r="F703" s="114"/>
      <x:c r="G703" s="114"/>
      <x:c r="H703" s="114"/>
      <x:c r="I703" s="114"/>
      <x:c r="J703" s="114"/>
      <x:c r="K703" s="12"/>
      <x:c r="L703" s="12"/>
      <x:c r="M703" s="12"/>
      <x:c r="N703" s="12"/>
      <x:c r="O703" s="12"/>
      <x:c r="P703" s="12"/>
      <x:c r="Q703" s="12"/>
      <x:c r="R703" s="12"/>
      <x:c r="S703" s="12"/>
      <x:c r="T703" s="12"/>
      <x:c r="U703" s="12"/>
      <x:c r="V703" s="12"/>
      <x:c r="W703" s="12"/>
      <x:c r="X703" s="12"/>
      <x:c r="Y703" s="12"/>
      <x:c r="Z703" s="12"/>
      <x:c r="AA703" s="12"/>
      <x:c r="AB703" s="12"/>
      <x:c r="AC703" s="12"/>
      <x:c r="AD703" s="12"/>
      <x:c r="AE703" s="12"/>
      <x:c r="AF703" s="12"/>
      <x:c r="AG703" s="12"/>
    </x:row>
    <x:row r="704" ht="14.25" customHeight="1">
      <x:c r="A704" s="114"/>
      <x:c r="B704" s="114"/>
      <x:c r="C704" s="114"/>
      <x:c r="D704" s="114"/>
      <x:c r="E704" s="114"/>
      <x:c r="F704" s="114"/>
      <x:c r="G704" s="114"/>
      <x:c r="H704" s="114"/>
      <x:c r="I704" s="114"/>
      <x:c r="J704" s="114"/>
      <x:c r="K704" s="12"/>
      <x:c r="L704" s="12"/>
      <x:c r="M704" s="12"/>
      <x:c r="N704" s="12"/>
      <x:c r="O704" s="12"/>
      <x:c r="P704" s="12"/>
      <x:c r="Q704" s="12"/>
      <x:c r="R704" s="12"/>
      <x:c r="S704" s="12"/>
      <x:c r="T704" s="12"/>
      <x:c r="U704" s="12"/>
      <x:c r="V704" s="12"/>
      <x:c r="W704" s="12"/>
      <x:c r="X704" s="12"/>
      <x:c r="Y704" s="12"/>
      <x:c r="Z704" s="12"/>
      <x:c r="AA704" s="12"/>
      <x:c r="AB704" s="12"/>
      <x:c r="AC704" s="12"/>
      <x:c r="AD704" s="12"/>
      <x:c r="AE704" s="12"/>
      <x:c r="AF704" s="12"/>
      <x:c r="AG704" s="12"/>
    </x:row>
    <x:row r="705" ht="14.25" customHeight="1">
      <x:c r="A705" s="114"/>
      <x:c r="B705" s="114"/>
      <x:c r="C705" s="114"/>
      <x:c r="D705" s="114"/>
      <x:c r="E705" s="114"/>
      <x:c r="F705" s="114"/>
      <x:c r="G705" s="114"/>
      <x:c r="H705" s="114"/>
      <x:c r="I705" s="114"/>
      <x:c r="J705" s="114"/>
      <x:c r="K705" s="12"/>
      <x:c r="L705" s="12"/>
      <x:c r="M705" s="12"/>
      <x:c r="N705" s="12"/>
      <x:c r="O705" s="12"/>
      <x:c r="P705" s="12"/>
      <x:c r="Q705" s="12"/>
      <x:c r="R705" s="12"/>
      <x:c r="S705" s="12"/>
      <x:c r="T705" s="12"/>
      <x:c r="U705" s="12"/>
      <x:c r="V705" s="12"/>
      <x:c r="W705" s="12"/>
      <x:c r="X705" s="12"/>
      <x:c r="Y705" s="12"/>
      <x:c r="Z705" s="12"/>
      <x:c r="AA705" s="12"/>
      <x:c r="AB705" s="12"/>
      <x:c r="AC705" s="12"/>
      <x:c r="AD705" s="12"/>
      <x:c r="AE705" s="12"/>
      <x:c r="AF705" s="12"/>
      <x:c r="AG705" s="12"/>
    </x:row>
    <x:row r="706" ht="14.25" customHeight="1">
      <x:c r="A706" s="114"/>
      <x:c r="B706" s="114"/>
      <x:c r="C706" s="114"/>
      <x:c r="D706" s="114"/>
      <x:c r="E706" s="114"/>
      <x:c r="F706" s="114"/>
      <x:c r="G706" s="114"/>
      <x:c r="H706" s="114"/>
      <x:c r="I706" s="114"/>
      <x:c r="J706" s="114"/>
      <x:c r="K706" s="12"/>
      <x:c r="L706" s="12"/>
      <x:c r="M706" s="12"/>
      <x:c r="N706" s="12"/>
      <x:c r="O706" s="12"/>
      <x:c r="P706" s="12"/>
      <x:c r="Q706" s="12"/>
      <x:c r="R706" s="12"/>
      <x:c r="S706" s="12"/>
      <x:c r="T706" s="12"/>
      <x:c r="U706" s="12"/>
      <x:c r="V706" s="12"/>
      <x:c r="W706" s="12"/>
      <x:c r="X706" s="12"/>
      <x:c r="Y706" s="12"/>
      <x:c r="Z706" s="12"/>
      <x:c r="AA706" s="12"/>
      <x:c r="AB706" s="12"/>
      <x:c r="AC706" s="12"/>
      <x:c r="AD706" s="12"/>
      <x:c r="AE706" s="12"/>
      <x:c r="AF706" s="12"/>
      <x:c r="AG706" s="12"/>
    </x:row>
    <x:row r="707" ht="14.25" customHeight="1">
      <x:c r="A707" s="114"/>
      <x:c r="B707" s="114"/>
      <x:c r="C707" s="114"/>
      <x:c r="D707" s="114"/>
      <x:c r="E707" s="114"/>
      <x:c r="F707" s="114"/>
      <x:c r="G707" s="114"/>
      <x:c r="H707" s="114"/>
      <x:c r="I707" s="114"/>
      <x:c r="J707" s="114"/>
      <x:c r="K707" s="12"/>
      <x:c r="L707" s="12"/>
      <x:c r="M707" s="12"/>
      <x:c r="N707" s="12"/>
      <x:c r="O707" s="12"/>
      <x:c r="P707" s="12"/>
      <x:c r="Q707" s="12"/>
      <x:c r="R707" s="12"/>
      <x:c r="S707" s="12"/>
      <x:c r="T707" s="12"/>
      <x:c r="U707" s="12"/>
      <x:c r="V707" s="12"/>
      <x:c r="W707" s="12"/>
      <x:c r="X707" s="12"/>
      <x:c r="Y707" s="12"/>
      <x:c r="Z707" s="12"/>
      <x:c r="AA707" s="12"/>
      <x:c r="AB707" s="12"/>
      <x:c r="AC707" s="12"/>
      <x:c r="AD707" s="12"/>
      <x:c r="AE707" s="12"/>
      <x:c r="AF707" s="12"/>
      <x:c r="AG707" s="12"/>
    </x:row>
    <x:row r="708" ht="14.25" customHeight="1">
      <x:c r="A708" s="114"/>
      <x:c r="B708" s="114"/>
      <x:c r="C708" s="114"/>
      <x:c r="D708" s="114"/>
      <x:c r="E708" s="114"/>
      <x:c r="F708" s="114"/>
      <x:c r="G708" s="114"/>
      <x:c r="H708" s="114"/>
      <x:c r="I708" s="114"/>
      <x:c r="J708" s="114"/>
      <x:c r="K708" s="12"/>
      <x:c r="L708" s="12"/>
      <x:c r="M708" s="12"/>
      <x:c r="N708" s="12"/>
      <x:c r="O708" s="12"/>
      <x:c r="P708" s="12"/>
      <x:c r="Q708" s="12"/>
      <x:c r="R708" s="12"/>
      <x:c r="S708" s="12"/>
      <x:c r="T708" s="12"/>
      <x:c r="U708" s="12"/>
      <x:c r="V708" s="12"/>
      <x:c r="W708" s="12"/>
      <x:c r="X708" s="12"/>
      <x:c r="Y708" s="12"/>
      <x:c r="Z708" s="12"/>
      <x:c r="AA708" s="12"/>
      <x:c r="AB708" s="12"/>
      <x:c r="AC708" s="12"/>
      <x:c r="AD708" s="12"/>
      <x:c r="AE708" s="12"/>
      <x:c r="AF708" s="12"/>
      <x:c r="AG708" s="12"/>
    </x:row>
    <x:row r="709" ht="14.25" customHeight="1">
      <x:c r="A709" s="114"/>
      <x:c r="B709" s="114"/>
      <x:c r="C709" s="114"/>
      <x:c r="D709" s="114"/>
      <x:c r="E709" s="114"/>
      <x:c r="F709" s="114"/>
      <x:c r="G709" s="114"/>
      <x:c r="H709" s="114"/>
      <x:c r="I709" s="114"/>
      <x:c r="J709" s="114"/>
      <x:c r="K709" s="12"/>
      <x:c r="L709" s="12"/>
      <x:c r="M709" s="12"/>
      <x:c r="N709" s="12"/>
      <x:c r="O709" s="12"/>
      <x:c r="P709" s="12"/>
      <x:c r="Q709" s="12"/>
      <x:c r="R709" s="12"/>
      <x:c r="S709" s="12"/>
      <x:c r="T709" s="12"/>
      <x:c r="U709" s="12"/>
      <x:c r="V709" s="12"/>
      <x:c r="W709" s="12"/>
      <x:c r="X709" s="12"/>
      <x:c r="Y709" s="12"/>
      <x:c r="Z709" s="12"/>
      <x:c r="AA709" s="12"/>
      <x:c r="AB709" s="12"/>
      <x:c r="AC709" s="12"/>
      <x:c r="AD709" s="12"/>
      <x:c r="AE709" s="12"/>
      <x:c r="AF709" s="12"/>
      <x:c r="AG709" s="12"/>
    </x:row>
    <x:row r="710" ht="14.25" customHeight="1">
      <x:c r="A710" s="114"/>
      <x:c r="B710" s="114"/>
      <x:c r="C710" s="114"/>
      <x:c r="D710" s="114"/>
      <x:c r="E710" s="114"/>
      <x:c r="F710" s="114"/>
      <x:c r="G710" s="114"/>
      <x:c r="H710" s="114"/>
      <x:c r="I710" s="114"/>
      <x:c r="J710" s="114"/>
      <x:c r="K710" s="12"/>
      <x:c r="L710" s="12"/>
      <x:c r="M710" s="12"/>
      <x:c r="N710" s="12"/>
      <x:c r="O710" s="12"/>
      <x:c r="P710" s="12"/>
      <x:c r="Q710" s="12"/>
      <x:c r="R710" s="12"/>
      <x:c r="S710" s="12"/>
      <x:c r="T710" s="12"/>
      <x:c r="U710" s="12"/>
      <x:c r="V710" s="12"/>
      <x:c r="W710" s="12"/>
      <x:c r="X710" s="12"/>
      <x:c r="Y710" s="12"/>
      <x:c r="Z710" s="12"/>
      <x:c r="AA710" s="12"/>
      <x:c r="AB710" s="12"/>
      <x:c r="AC710" s="12"/>
      <x:c r="AD710" s="12"/>
      <x:c r="AE710" s="12"/>
      <x:c r="AF710" s="12"/>
      <x:c r="AG710" s="12"/>
    </x:row>
    <x:row r="711" ht="14.25" customHeight="1">
      <x:c r="A711" s="114"/>
      <x:c r="B711" s="114"/>
      <x:c r="C711" s="114"/>
      <x:c r="D711" s="114"/>
      <x:c r="E711" s="114"/>
      <x:c r="F711" s="114"/>
      <x:c r="G711" s="114"/>
      <x:c r="H711" s="114"/>
      <x:c r="I711" s="114"/>
      <x:c r="J711" s="114"/>
      <x:c r="K711" s="12"/>
      <x:c r="L711" s="12"/>
      <x:c r="M711" s="12"/>
      <x:c r="N711" s="12"/>
      <x:c r="O711" s="12"/>
      <x:c r="P711" s="12"/>
      <x:c r="Q711" s="12"/>
      <x:c r="R711" s="12"/>
      <x:c r="S711" s="12"/>
      <x:c r="T711" s="12"/>
      <x:c r="U711" s="12"/>
      <x:c r="V711" s="12"/>
      <x:c r="W711" s="12"/>
      <x:c r="X711" s="12"/>
      <x:c r="Y711" s="12"/>
      <x:c r="Z711" s="12"/>
      <x:c r="AA711" s="12"/>
      <x:c r="AB711" s="12"/>
      <x:c r="AC711" s="12"/>
      <x:c r="AD711" s="12"/>
      <x:c r="AE711" s="12"/>
      <x:c r="AF711" s="12"/>
      <x:c r="AG711" s="12"/>
    </x:row>
    <x:row r="712" ht="14.25" customHeight="1">
      <x:c r="A712" s="114"/>
      <x:c r="B712" s="114"/>
      <x:c r="C712" s="114"/>
      <x:c r="D712" s="114"/>
      <x:c r="E712" s="114"/>
      <x:c r="F712" s="114"/>
      <x:c r="G712" s="114"/>
      <x:c r="H712" s="114"/>
      <x:c r="I712" s="114"/>
      <x:c r="J712" s="114"/>
      <x:c r="K712" s="12"/>
      <x:c r="L712" s="12"/>
      <x:c r="M712" s="12"/>
      <x:c r="N712" s="12"/>
      <x:c r="O712" s="12"/>
      <x:c r="P712" s="12"/>
      <x:c r="Q712" s="12"/>
      <x:c r="R712" s="12"/>
      <x:c r="S712" s="12"/>
      <x:c r="T712" s="12"/>
      <x:c r="U712" s="12"/>
      <x:c r="V712" s="12"/>
      <x:c r="W712" s="12"/>
      <x:c r="X712" s="12"/>
      <x:c r="Y712" s="12"/>
      <x:c r="Z712" s="12"/>
      <x:c r="AA712" s="12"/>
      <x:c r="AB712" s="12"/>
      <x:c r="AC712" s="12"/>
      <x:c r="AD712" s="12"/>
      <x:c r="AE712" s="12"/>
      <x:c r="AF712" s="12"/>
      <x:c r="AG712" s="12"/>
    </x:row>
    <x:row r="713" ht="14.25" customHeight="1">
      <x:c r="A713" s="114"/>
      <x:c r="B713" s="114"/>
      <x:c r="C713" s="114"/>
      <x:c r="D713" s="114"/>
      <x:c r="E713" s="114"/>
      <x:c r="F713" s="114"/>
      <x:c r="G713" s="114"/>
      <x:c r="H713" s="114"/>
      <x:c r="I713" s="114"/>
      <x:c r="J713" s="114"/>
      <x:c r="K713" s="12"/>
      <x:c r="L713" s="12"/>
      <x:c r="M713" s="12"/>
      <x:c r="N713" s="12"/>
      <x:c r="O713" s="12"/>
      <x:c r="P713" s="12"/>
      <x:c r="Q713" s="12"/>
      <x:c r="R713" s="12"/>
      <x:c r="S713" s="12"/>
      <x:c r="T713" s="12"/>
      <x:c r="U713" s="12"/>
      <x:c r="V713" s="12"/>
      <x:c r="W713" s="12"/>
      <x:c r="X713" s="12"/>
      <x:c r="Y713" s="12"/>
      <x:c r="Z713" s="12"/>
      <x:c r="AA713" s="12"/>
      <x:c r="AB713" s="12"/>
      <x:c r="AC713" s="12"/>
      <x:c r="AD713" s="12"/>
      <x:c r="AE713" s="12"/>
      <x:c r="AF713" s="12"/>
      <x:c r="AG713" s="12"/>
    </x:row>
    <x:row r="714" ht="14.25" customHeight="1">
      <x:c r="A714" s="114"/>
      <x:c r="B714" s="114"/>
      <x:c r="C714" s="114"/>
      <x:c r="D714" s="114"/>
      <x:c r="E714" s="114"/>
      <x:c r="F714" s="114"/>
      <x:c r="G714" s="114"/>
      <x:c r="H714" s="114"/>
      <x:c r="I714" s="114"/>
      <x:c r="J714" s="114"/>
      <x:c r="K714" s="12"/>
      <x:c r="L714" s="12"/>
      <x:c r="M714" s="12"/>
      <x:c r="N714" s="12"/>
      <x:c r="O714" s="12"/>
      <x:c r="P714" s="12"/>
      <x:c r="Q714" s="12"/>
      <x:c r="R714" s="12"/>
      <x:c r="S714" s="12"/>
      <x:c r="T714" s="12"/>
      <x:c r="U714" s="12"/>
      <x:c r="V714" s="12"/>
      <x:c r="W714" s="12"/>
      <x:c r="X714" s="12"/>
      <x:c r="Y714" s="12"/>
      <x:c r="Z714" s="12"/>
      <x:c r="AA714" s="12"/>
      <x:c r="AB714" s="12"/>
      <x:c r="AC714" s="12"/>
      <x:c r="AD714" s="12"/>
      <x:c r="AE714" s="12"/>
      <x:c r="AF714" s="12"/>
      <x:c r="AG714" s="12"/>
    </x:row>
    <x:row r="715" ht="14.25" customHeight="1">
      <x:c r="A715" s="114"/>
      <x:c r="B715" s="114"/>
      <x:c r="C715" s="114"/>
      <x:c r="D715" s="114"/>
      <x:c r="E715" s="114"/>
      <x:c r="F715" s="114"/>
      <x:c r="G715" s="114"/>
      <x:c r="H715" s="114"/>
      <x:c r="I715" s="114"/>
      <x:c r="J715" s="114"/>
      <x:c r="K715" s="12"/>
      <x:c r="L715" s="12"/>
      <x:c r="M715" s="12"/>
      <x:c r="N715" s="12"/>
      <x:c r="O715" s="12"/>
      <x:c r="P715" s="12"/>
      <x:c r="Q715" s="12"/>
      <x:c r="R715" s="12"/>
      <x:c r="S715" s="12"/>
      <x:c r="T715" s="12"/>
      <x:c r="U715" s="12"/>
      <x:c r="V715" s="12"/>
      <x:c r="W715" s="12"/>
      <x:c r="X715" s="12"/>
      <x:c r="Y715" s="12"/>
      <x:c r="Z715" s="12"/>
      <x:c r="AA715" s="12"/>
      <x:c r="AB715" s="12"/>
      <x:c r="AC715" s="12"/>
      <x:c r="AD715" s="12"/>
      <x:c r="AE715" s="12"/>
      <x:c r="AF715" s="12"/>
      <x:c r="AG715" s="12"/>
    </x:row>
    <x:row r="716" ht="14.25" customHeight="1">
      <x:c r="A716" s="114"/>
      <x:c r="B716" s="114"/>
      <x:c r="C716" s="114"/>
      <x:c r="D716" s="114"/>
      <x:c r="E716" s="114"/>
      <x:c r="F716" s="114"/>
      <x:c r="G716" s="114"/>
      <x:c r="H716" s="114"/>
      <x:c r="I716" s="114"/>
      <x:c r="J716" s="114"/>
      <x:c r="K716" s="12"/>
      <x:c r="L716" s="12"/>
      <x:c r="M716" s="12"/>
      <x:c r="N716" s="12"/>
      <x:c r="O716" s="12"/>
      <x:c r="P716" s="12"/>
      <x:c r="Q716" s="12"/>
      <x:c r="R716" s="12"/>
      <x:c r="S716" s="12"/>
      <x:c r="T716" s="12"/>
      <x:c r="U716" s="12"/>
      <x:c r="V716" s="12"/>
      <x:c r="W716" s="12"/>
      <x:c r="X716" s="12"/>
      <x:c r="Y716" s="12"/>
      <x:c r="Z716" s="12"/>
      <x:c r="AA716" s="12"/>
      <x:c r="AB716" s="12"/>
      <x:c r="AC716" s="12"/>
      <x:c r="AD716" s="12"/>
      <x:c r="AE716" s="12"/>
      <x:c r="AF716" s="12"/>
      <x:c r="AG716" s="12"/>
    </x:row>
    <x:row r="717" ht="14.25" customHeight="1">
      <x:c r="A717" s="114"/>
      <x:c r="B717" s="114"/>
      <x:c r="C717" s="114"/>
      <x:c r="D717" s="114"/>
      <x:c r="E717" s="114"/>
      <x:c r="F717" s="114"/>
      <x:c r="G717" s="114"/>
      <x:c r="H717" s="114"/>
      <x:c r="I717" s="114"/>
      <x:c r="J717" s="114"/>
      <x:c r="K717" s="12"/>
      <x:c r="L717" s="12"/>
      <x:c r="M717" s="12"/>
      <x:c r="N717" s="12"/>
      <x:c r="O717" s="12"/>
      <x:c r="P717" s="12"/>
      <x:c r="Q717" s="12"/>
      <x:c r="R717" s="12"/>
      <x:c r="S717" s="12"/>
      <x:c r="T717" s="12"/>
      <x:c r="U717" s="12"/>
      <x:c r="V717" s="12"/>
      <x:c r="W717" s="12"/>
      <x:c r="X717" s="12"/>
      <x:c r="Y717" s="12"/>
      <x:c r="Z717" s="12"/>
      <x:c r="AA717" s="12"/>
      <x:c r="AB717" s="12"/>
      <x:c r="AC717" s="12"/>
      <x:c r="AD717" s="12"/>
      <x:c r="AE717" s="12"/>
      <x:c r="AF717" s="12"/>
      <x:c r="AG717" s="12"/>
    </x:row>
    <x:row r="718" ht="14.25" customHeight="1">
      <x:c r="A718" s="114"/>
      <x:c r="B718" s="114"/>
      <x:c r="C718" s="114"/>
      <x:c r="D718" s="114"/>
      <x:c r="E718" s="114"/>
      <x:c r="F718" s="114"/>
      <x:c r="G718" s="114"/>
      <x:c r="H718" s="114"/>
      <x:c r="I718" s="114"/>
      <x:c r="J718" s="114"/>
      <x:c r="K718" s="12"/>
      <x:c r="L718" s="12"/>
      <x:c r="M718" s="12"/>
      <x:c r="N718" s="12"/>
      <x:c r="O718" s="12"/>
      <x:c r="P718" s="12"/>
      <x:c r="Q718" s="12"/>
      <x:c r="R718" s="12"/>
      <x:c r="S718" s="12"/>
      <x:c r="T718" s="12"/>
      <x:c r="U718" s="12"/>
      <x:c r="V718" s="12"/>
      <x:c r="W718" s="12"/>
      <x:c r="X718" s="12"/>
      <x:c r="Y718" s="12"/>
      <x:c r="Z718" s="12"/>
      <x:c r="AA718" s="12"/>
      <x:c r="AB718" s="12"/>
      <x:c r="AC718" s="12"/>
      <x:c r="AD718" s="12"/>
      <x:c r="AE718" s="12"/>
      <x:c r="AF718" s="12"/>
      <x:c r="AG718" s="12"/>
    </x:row>
    <x:row r="719" ht="14.25" customHeight="1">
      <x:c r="A719" s="114"/>
      <x:c r="B719" s="114"/>
      <x:c r="C719" s="114"/>
      <x:c r="D719" s="114"/>
      <x:c r="E719" s="114"/>
      <x:c r="F719" s="114"/>
      <x:c r="G719" s="114"/>
      <x:c r="H719" s="114"/>
      <x:c r="I719" s="114"/>
      <x:c r="J719" s="114"/>
      <x:c r="K719" s="12"/>
      <x:c r="L719" s="12"/>
      <x:c r="M719" s="12"/>
      <x:c r="N719" s="12"/>
      <x:c r="O719" s="12"/>
      <x:c r="P719" s="12"/>
      <x:c r="Q719" s="12"/>
      <x:c r="R719" s="12"/>
      <x:c r="S719" s="12"/>
      <x:c r="T719" s="12"/>
      <x:c r="U719" s="12"/>
      <x:c r="V719" s="12"/>
      <x:c r="W719" s="12"/>
      <x:c r="X719" s="12"/>
      <x:c r="Y719" s="12"/>
      <x:c r="Z719" s="12"/>
      <x:c r="AA719" s="12"/>
      <x:c r="AB719" s="12"/>
      <x:c r="AC719" s="12"/>
      <x:c r="AD719" s="12"/>
      <x:c r="AE719" s="12"/>
      <x:c r="AF719" s="12"/>
      <x:c r="AG719" s="12"/>
    </x:row>
    <x:row r="720" ht="14.25" customHeight="1">
      <x:c r="A720" s="114"/>
      <x:c r="B720" s="114"/>
      <x:c r="C720" s="114"/>
      <x:c r="D720" s="114"/>
      <x:c r="E720" s="114"/>
      <x:c r="F720" s="114"/>
      <x:c r="G720" s="114"/>
      <x:c r="H720" s="114"/>
      <x:c r="I720" s="114"/>
      <x:c r="J720" s="114"/>
      <x:c r="K720" s="12"/>
      <x:c r="L720" s="12"/>
      <x:c r="M720" s="12"/>
      <x:c r="N720" s="12"/>
      <x:c r="O720" s="12"/>
      <x:c r="P720" s="12"/>
      <x:c r="Q720" s="12"/>
      <x:c r="R720" s="12"/>
      <x:c r="S720" s="12"/>
      <x:c r="T720" s="12"/>
      <x:c r="U720" s="12"/>
      <x:c r="V720" s="12"/>
      <x:c r="W720" s="12"/>
      <x:c r="X720" s="12"/>
      <x:c r="Y720" s="12"/>
      <x:c r="Z720" s="12"/>
      <x:c r="AA720" s="12"/>
      <x:c r="AB720" s="12"/>
      <x:c r="AC720" s="12"/>
      <x:c r="AD720" s="12"/>
      <x:c r="AE720" s="12"/>
      <x:c r="AF720" s="12"/>
      <x:c r="AG720" s="12"/>
    </x:row>
    <x:row r="721" ht="14.25" customHeight="1">
      <x:c r="A721" s="114"/>
      <x:c r="B721" s="114"/>
      <x:c r="C721" s="114"/>
      <x:c r="D721" s="114"/>
      <x:c r="E721" s="114"/>
      <x:c r="F721" s="114"/>
      <x:c r="G721" s="114"/>
      <x:c r="H721" s="114"/>
      <x:c r="I721" s="114"/>
      <x:c r="J721" s="114"/>
      <x:c r="K721" s="12"/>
      <x:c r="L721" s="12"/>
      <x:c r="M721" s="12"/>
      <x:c r="N721" s="12"/>
      <x:c r="O721" s="12"/>
      <x:c r="P721" s="12"/>
      <x:c r="Q721" s="12"/>
      <x:c r="R721" s="12"/>
      <x:c r="S721" s="12"/>
      <x:c r="T721" s="12"/>
      <x:c r="U721" s="12"/>
      <x:c r="V721" s="12"/>
      <x:c r="W721" s="12"/>
      <x:c r="X721" s="12"/>
      <x:c r="Y721" s="12"/>
      <x:c r="Z721" s="12"/>
      <x:c r="AA721" s="12"/>
      <x:c r="AB721" s="12"/>
      <x:c r="AC721" s="12"/>
      <x:c r="AD721" s="12"/>
      <x:c r="AE721" s="12"/>
      <x:c r="AF721" s="12"/>
      <x:c r="AG721" s="12"/>
    </x:row>
    <x:row r="722" ht="14.25" customHeight="1">
      <x:c r="A722" s="114"/>
      <x:c r="B722" s="114"/>
      <x:c r="C722" s="114"/>
      <x:c r="D722" s="114"/>
      <x:c r="E722" s="114"/>
      <x:c r="F722" s="114"/>
      <x:c r="G722" s="114"/>
      <x:c r="H722" s="114"/>
      <x:c r="I722" s="114"/>
      <x:c r="J722" s="114"/>
      <x:c r="K722" s="12"/>
      <x:c r="L722" s="12"/>
      <x:c r="M722" s="12"/>
      <x:c r="N722" s="12"/>
      <x:c r="O722" s="12"/>
      <x:c r="P722" s="12"/>
      <x:c r="Q722" s="12"/>
      <x:c r="R722" s="12"/>
      <x:c r="S722" s="12"/>
      <x:c r="T722" s="12"/>
      <x:c r="U722" s="12"/>
      <x:c r="V722" s="12"/>
      <x:c r="W722" s="12"/>
      <x:c r="X722" s="12"/>
      <x:c r="Y722" s="12"/>
      <x:c r="Z722" s="12"/>
      <x:c r="AA722" s="12"/>
      <x:c r="AB722" s="12"/>
      <x:c r="AC722" s="12"/>
      <x:c r="AD722" s="12"/>
      <x:c r="AE722" s="12"/>
      <x:c r="AF722" s="12"/>
      <x:c r="AG722" s="12"/>
    </x:row>
    <x:row r="723" ht="14.25" customHeight="1">
      <x:c r="A723" s="114"/>
      <x:c r="B723" s="114"/>
      <x:c r="C723" s="114"/>
      <x:c r="D723" s="114"/>
      <x:c r="E723" s="114"/>
      <x:c r="F723" s="114"/>
      <x:c r="G723" s="114"/>
      <x:c r="H723" s="114"/>
      <x:c r="I723" s="114"/>
      <x:c r="J723" s="114"/>
      <x:c r="K723" s="12"/>
      <x:c r="L723" s="12"/>
      <x:c r="M723" s="12"/>
      <x:c r="N723" s="12"/>
      <x:c r="O723" s="12"/>
      <x:c r="P723" s="12"/>
      <x:c r="Q723" s="12"/>
      <x:c r="R723" s="12"/>
      <x:c r="S723" s="12"/>
      <x:c r="T723" s="12"/>
      <x:c r="U723" s="12"/>
      <x:c r="V723" s="12"/>
      <x:c r="W723" s="12"/>
      <x:c r="X723" s="12"/>
      <x:c r="Y723" s="12"/>
      <x:c r="Z723" s="12"/>
      <x:c r="AA723" s="12"/>
      <x:c r="AB723" s="12"/>
      <x:c r="AC723" s="12"/>
      <x:c r="AD723" s="12"/>
      <x:c r="AE723" s="12"/>
      <x:c r="AF723" s="12"/>
      <x:c r="AG723" s="12"/>
    </x:row>
    <x:row r="724" ht="14.25" customHeight="1">
      <x:c r="A724" s="114"/>
      <x:c r="B724" s="114"/>
      <x:c r="C724" s="114"/>
      <x:c r="D724" s="114"/>
      <x:c r="E724" s="114"/>
      <x:c r="F724" s="114"/>
      <x:c r="G724" s="114"/>
      <x:c r="H724" s="114"/>
      <x:c r="I724" s="114"/>
      <x:c r="J724" s="114"/>
      <x:c r="K724" s="12"/>
      <x:c r="L724" s="12"/>
      <x:c r="M724" s="12"/>
      <x:c r="N724" s="12"/>
      <x:c r="O724" s="12"/>
      <x:c r="P724" s="12"/>
      <x:c r="Q724" s="12"/>
      <x:c r="R724" s="12"/>
      <x:c r="S724" s="12"/>
      <x:c r="T724" s="12"/>
      <x:c r="U724" s="12"/>
      <x:c r="V724" s="12"/>
      <x:c r="W724" s="12"/>
      <x:c r="X724" s="12"/>
      <x:c r="Y724" s="12"/>
      <x:c r="Z724" s="12"/>
      <x:c r="AA724" s="12"/>
      <x:c r="AB724" s="12"/>
      <x:c r="AC724" s="12"/>
      <x:c r="AD724" s="12"/>
      <x:c r="AE724" s="12"/>
      <x:c r="AF724" s="12"/>
      <x:c r="AG724" s="12"/>
    </x:row>
    <x:row r="725" ht="14.25" customHeight="1">
      <x:c r="A725" s="114"/>
      <x:c r="B725" s="114"/>
      <x:c r="C725" s="114"/>
      <x:c r="D725" s="114"/>
      <x:c r="E725" s="114"/>
      <x:c r="F725" s="114"/>
      <x:c r="G725" s="114"/>
      <x:c r="H725" s="114"/>
      <x:c r="I725" s="114"/>
      <x:c r="J725" s="114"/>
      <x:c r="K725" s="12"/>
      <x:c r="L725" s="12"/>
      <x:c r="M725" s="12"/>
      <x:c r="N725" s="12"/>
      <x:c r="O725" s="12"/>
      <x:c r="P725" s="12"/>
      <x:c r="Q725" s="12"/>
      <x:c r="R725" s="12"/>
      <x:c r="S725" s="12"/>
      <x:c r="T725" s="12"/>
      <x:c r="U725" s="12"/>
      <x:c r="V725" s="12"/>
      <x:c r="W725" s="12"/>
      <x:c r="X725" s="12"/>
      <x:c r="Y725" s="12"/>
      <x:c r="Z725" s="12"/>
      <x:c r="AA725" s="12"/>
      <x:c r="AB725" s="12"/>
      <x:c r="AC725" s="12"/>
      <x:c r="AD725" s="12"/>
      <x:c r="AE725" s="12"/>
      <x:c r="AF725" s="12"/>
      <x:c r="AG725" s="12"/>
    </x:row>
    <x:row r="726" ht="14.25" customHeight="1">
      <x:c r="A726" s="114"/>
      <x:c r="B726" s="114"/>
      <x:c r="C726" s="114"/>
      <x:c r="D726" s="114"/>
      <x:c r="E726" s="114"/>
      <x:c r="F726" s="114"/>
      <x:c r="G726" s="114"/>
      <x:c r="H726" s="114"/>
      <x:c r="I726" s="114"/>
      <x:c r="J726" s="114"/>
      <x:c r="K726" s="12"/>
      <x:c r="L726" s="12"/>
      <x:c r="M726" s="12"/>
      <x:c r="N726" s="12"/>
      <x:c r="O726" s="12"/>
      <x:c r="P726" s="12"/>
      <x:c r="Q726" s="12"/>
      <x:c r="R726" s="12"/>
      <x:c r="S726" s="12"/>
      <x:c r="T726" s="12"/>
      <x:c r="U726" s="12"/>
      <x:c r="V726" s="12"/>
      <x:c r="W726" s="12"/>
      <x:c r="X726" s="12"/>
      <x:c r="Y726" s="12"/>
      <x:c r="Z726" s="12"/>
      <x:c r="AA726" s="12"/>
      <x:c r="AB726" s="12"/>
      <x:c r="AC726" s="12"/>
      <x:c r="AD726" s="12"/>
      <x:c r="AE726" s="12"/>
      <x:c r="AF726" s="12"/>
      <x:c r="AG726" s="12"/>
    </x:row>
    <x:row r="727" ht="14.25" customHeight="1">
      <x:c r="A727" s="114"/>
      <x:c r="B727" s="114"/>
      <x:c r="C727" s="114"/>
      <x:c r="D727" s="114"/>
      <x:c r="E727" s="114"/>
      <x:c r="F727" s="114"/>
      <x:c r="G727" s="114"/>
      <x:c r="H727" s="114"/>
      <x:c r="I727" s="114"/>
      <x:c r="J727" s="114"/>
      <x:c r="K727" s="12"/>
      <x:c r="L727" s="12"/>
      <x:c r="M727" s="12"/>
      <x:c r="N727" s="12"/>
      <x:c r="O727" s="12"/>
      <x:c r="P727" s="12"/>
      <x:c r="Q727" s="12"/>
      <x:c r="R727" s="12"/>
      <x:c r="S727" s="12"/>
      <x:c r="T727" s="12"/>
      <x:c r="U727" s="12"/>
      <x:c r="V727" s="12"/>
      <x:c r="W727" s="12"/>
      <x:c r="X727" s="12"/>
      <x:c r="Y727" s="12"/>
      <x:c r="Z727" s="12"/>
      <x:c r="AA727" s="12"/>
      <x:c r="AB727" s="12"/>
      <x:c r="AC727" s="12"/>
      <x:c r="AD727" s="12"/>
      <x:c r="AE727" s="12"/>
      <x:c r="AF727" s="12"/>
      <x:c r="AG727" s="12"/>
    </x:row>
    <x:row r="728" ht="14.25" customHeight="1">
      <x:c r="A728" s="114"/>
      <x:c r="B728" s="114"/>
      <x:c r="C728" s="114"/>
      <x:c r="D728" s="114"/>
      <x:c r="E728" s="114"/>
      <x:c r="F728" s="114"/>
      <x:c r="G728" s="114"/>
      <x:c r="H728" s="114"/>
      <x:c r="I728" s="114"/>
      <x:c r="J728" s="114"/>
      <x:c r="K728" s="12"/>
      <x:c r="L728" s="12"/>
      <x:c r="M728" s="12"/>
      <x:c r="N728" s="12"/>
      <x:c r="O728" s="12"/>
      <x:c r="P728" s="12"/>
      <x:c r="Q728" s="12"/>
      <x:c r="R728" s="12"/>
      <x:c r="S728" s="12"/>
      <x:c r="T728" s="12"/>
      <x:c r="U728" s="12"/>
      <x:c r="V728" s="12"/>
      <x:c r="W728" s="12"/>
      <x:c r="X728" s="12"/>
      <x:c r="Y728" s="12"/>
      <x:c r="Z728" s="12"/>
      <x:c r="AA728" s="12"/>
      <x:c r="AB728" s="12"/>
      <x:c r="AC728" s="12"/>
      <x:c r="AD728" s="12"/>
      <x:c r="AE728" s="12"/>
      <x:c r="AF728" s="12"/>
      <x:c r="AG728" s="12"/>
    </x:row>
    <x:row r="729" ht="14.25" customHeight="1">
      <x:c r="A729" s="114"/>
      <x:c r="B729" s="114"/>
      <x:c r="C729" s="114"/>
      <x:c r="D729" s="114"/>
      <x:c r="E729" s="114"/>
      <x:c r="F729" s="114"/>
      <x:c r="G729" s="114"/>
      <x:c r="H729" s="114"/>
      <x:c r="I729" s="114"/>
      <x:c r="J729" s="114"/>
      <x:c r="K729" s="12"/>
      <x:c r="L729" s="12"/>
      <x:c r="M729" s="12"/>
      <x:c r="N729" s="12"/>
      <x:c r="O729" s="12"/>
      <x:c r="P729" s="12"/>
      <x:c r="Q729" s="12"/>
      <x:c r="R729" s="12"/>
      <x:c r="S729" s="12"/>
      <x:c r="T729" s="12"/>
      <x:c r="U729" s="12"/>
      <x:c r="V729" s="12"/>
      <x:c r="W729" s="12"/>
      <x:c r="X729" s="12"/>
      <x:c r="Y729" s="12"/>
      <x:c r="Z729" s="12"/>
      <x:c r="AA729" s="12"/>
      <x:c r="AB729" s="12"/>
      <x:c r="AC729" s="12"/>
      <x:c r="AD729" s="12"/>
      <x:c r="AE729" s="12"/>
      <x:c r="AF729" s="12"/>
      <x:c r="AG729" s="12"/>
    </x:row>
    <x:row r="730" ht="14.25" customHeight="1">
      <x:c r="A730" s="114"/>
      <x:c r="B730" s="114"/>
      <x:c r="C730" s="114"/>
      <x:c r="D730" s="114"/>
      <x:c r="E730" s="114"/>
      <x:c r="F730" s="114"/>
      <x:c r="G730" s="114"/>
      <x:c r="H730" s="114"/>
      <x:c r="I730" s="114"/>
      <x:c r="J730" s="114"/>
      <x:c r="K730" s="12"/>
      <x:c r="L730" s="12"/>
      <x:c r="M730" s="12"/>
      <x:c r="N730" s="12"/>
      <x:c r="O730" s="12"/>
      <x:c r="P730" s="12"/>
      <x:c r="Q730" s="12"/>
      <x:c r="R730" s="12"/>
      <x:c r="S730" s="12"/>
      <x:c r="T730" s="12"/>
      <x:c r="U730" s="12"/>
      <x:c r="V730" s="12"/>
      <x:c r="W730" s="12"/>
      <x:c r="X730" s="12"/>
      <x:c r="Y730" s="12"/>
      <x:c r="Z730" s="12"/>
      <x:c r="AA730" s="12"/>
      <x:c r="AB730" s="12"/>
      <x:c r="AC730" s="12"/>
      <x:c r="AD730" s="12"/>
      <x:c r="AE730" s="12"/>
      <x:c r="AF730" s="12"/>
      <x:c r="AG730" s="12"/>
    </x:row>
    <x:row r="731" ht="14.25" customHeight="1">
      <x:c r="A731" s="114"/>
      <x:c r="B731" s="114"/>
      <x:c r="C731" s="114"/>
      <x:c r="D731" s="114"/>
      <x:c r="E731" s="114"/>
      <x:c r="F731" s="114"/>
      <x:c r="G731" s="114"/>
      <x:c r="H731" s="114"/>
      <x:c r="I731" s="114"/>
      <x:c r="J731" s="114"/>
      <x:c r="K731" s="12"/>
      <x:c r="L731" s="12"/>
      <x:c r="M731" s="12"/>
      <x:c r="N731" s="12"/>
      <x:c r="O731" s="12"/>
      <x:c r="P731" s="12"/>
      <x:c r="Q731" s="12"/>
      <x:c r="R731" s="12"/>
      <x:c r="S731" s="12"/>
      <x:c r="T731" s="12"/>
      <x:c r="U731" s="12"/>
      <x:c r="V731" s="12"/>
      <x:c r="W731" s="12"/>
      <x:c r="X731" s="12"/>
      <x:c r="Y731" s="12"/>
      <x:c r="Z731" s="12"/>
      <x:c r="AA731" s="12"/>
      <x:c r="AB731" s="12"/>
      <x:c r="AC731" s="12"/>
      <x:c r="AD731" s="12"/>
      <x:c r="AE731" s="12"/>
      <x:c r="AF731" s="12"/>
      <x:c r="AG731" s="12"/>
    </x:row>
    <x:row r="732" ht="14.25" customHeight="1">
      <x:c r="A732" s="114"/>
      <x:c r="B732" s="114"/>
      <x:c r="C732" s="114"/>
      <x:c r="D732" s="114"/>
      <x:c r="E732" s="114"/>
      <x:c r="F732" s="114"/>
      <x:c r="G732" s="114"/>
      <x:c r="H732" s="114"/>
      <x:c r="I732" s="114"/>
      <x:c r="J732" s="114"/>
      <x:c r="K732" s="12"/>
      <x:c r="L732" s="12"/>
      <x:c r="M732" s="12"/>
      <x:c r="N732" s="12"/>
      <x:c r="O732" s="12"/>
      <x:c r="P732" s="12"/>
      <x:c r="Q732" s="12"/>
      <x:c r="R732" s="12"/>
      <x:c r="S732" s="12"/>
      <x:c r="T732" s="12"/>
      <x:c r="U732" s="12"/>
      <x:c r="V732" s="12"/>
      <x:c r="W732" s="12"/>
      <x:c r="X732" s="12"/>
      <x:c r="Y732" s="12"/>
      <x:c r="Z732" s="12"/>
      <x:c r="AA732" s="12"/>
      <x:c r="AB732" s="12"/>
      <x:c r="AC732" s="12"/>
      <x:c r="AD732" s="12"/>
      <x:c r="AE732" s="12"/>
      <x:c r="AF732" s="12"/>
      <x:c r="AG732" s="12"/>
    </x:row>
    <x:row r="733" ht="14.25" customHeight="1">
      <x:c r="A733" s="114"/>
      <x:c r="B733" s="114"/>
      <x:c r="C733" s="114"/>
      <x:c r="D733" s="114"/>
      <x:c r="E733" s="114"/>
      <x:c r="F733" s="114"/>
      <x:c r="G733" s="114"/>
      <x:c r="H733" s="114"/>
      <x:c r="I733" s="114"/>
      <x:c r="J733" s="114"/>
      <x:c r="K733" s="12"/>
      <x:c r="L733" s="12"/>
      <x:c r="M733" s="12"/>
      <x:c r="N733" s="12"/>
      <x:c r="O733" s="12"/>
      <x:c r="P733" s="12"/>
      <x:c r="Q733" s="12"/>
      <x:c r="R733" s="12"/>
      <x:c r="S733" s="12"/>
      <x:c r="T733" s="12"/>
      <x:c r="U733" s="12"/>
      <x:c r="V733" s="12"/>
      <x:c r="W733" s="12"/>
      <x:c r="X733" s="12"/>
      <x:c r="Y733" s="12"/>
      <x:c r="Z733" s="12"/>
      <x:c r="AA733" s="12"/>
      <x:c r="AB733" s="12"/>
      <x:c r="AC733" s="12"/>
      <x:c r="AD733" s="12"/>
      <x:c r="AE733" s="12"/>
      <x:c r="AF733" s="12"/>
      <x:c r="AG733" s="12"/>
    </x:row>
    <x:row r="734" ht="14.25" customHeight="1">
      <x:c r="A734" s="114"/>
      <x:c r="B734" s="114"/>
      <x:c r="C734" s="114"/>
      <x:c r="D734" s="114"/>
      <x:c r="E734" s="114"/>
      <x:c r="F734" s="114"/>
      <x:c r="G734" s="114"/>
      <x:c r="H734" s="114"/>
      <x:c r="I734" s="114"/>
      <x:c r="J734" s="114"/>
      <x:c r="K734" s="12"/>
      <x:c r="L734" s="12"/>
      <x:c r="M734" s="12"/>
      <x:c r="N734" s="12"/>
      <x:c r="O734" s="12"/>
      <x:c r="P734" s="12"/>
      <x:c r="Q734" s="12"/>
      <x:c r="R734" s="12"/>
      <x:c r="S734" s="12"/>
      <x:c r="T734" s="12"/>
      <x:c r="U734" s="12"/>
      <x:c r="V734" s="12"/>
      <x:c r="W734" s="12"/>
      <x:c r="X734" s="12"/>
      <x:c r="Y734" s="12"/>
      <x:c r="Z734" s="12"/>
      <x:c r="AA734" s="12"/>
      <x:c r="AB734" s="12"/>
      <x:c r="AC734" s="12"/>
      <x:c r="AD734" s="12"/>
      <x:c r="AE734" s="12"/>
      <x:c r="AF734" s="12"/>
      <x:c r="AG734" s="12"/>
    </x:row>
    <x:row r="735" ht="14.25" customHeight="1">
      <x:c r="A735" s="114"/>
      <x:c r="B735" s="114"/>
      <x:c r="C735" s="114"/>
      <x:c r="D735" s="114"/>
      <x:c r="E735" s="114"/>
      <x:c r="F735" s="114"/>
      <x:c r="G735" s="114"/>
      <x:c r="H735" s="114"/>
      <x:c r="I735" s="114"/>
      <x:c r="J735" s="114"/>
      <x:c r="K735" s="12"/>
      <x:c r="L735" s="12"/>
      <x:c r="M735" s="12"/>
      <x:c r="N735" s="12"/>
      <x:c r="O735" s="12"/>
      <x:c r="P735" s="12"/>
      <x:c r="Q735" s="12"/>
      <x:c r="R735" s="12"/>
      <x:c r="S735" s="12"/>
      <x:c r="T735" s="12"/>
      <x:c r="U735" s="12"/>
      <x:c r="V735" s="12"/>
      <x:c r="W735" s="12"/>
      <x:c r="X735" s="12"/>
      <x:c r="Y735" s="12"/>
      <x:c r="Z735" s="12"/>
      <x:c r="AA735" s="12"/>
      <x:c r="AB735" s="12"/>
      <x:c r="AC735" s="12"/>
      <x:c r="AD735" s="12"/>
      <x:c r="AE735" s="12"/>
      <x:c r="AF735" s="12"/>
      <x:c r="AG735" s="12"/>
    </x:row>
    <x:row r="736" ht="14.25" customHeight="1">
      <x:c r="A736" s="114"/>
      <x:c r="B736" s="114"/>
      <x:c r="C736" s="114"/>
      <x:c r="D736" s="114"/>
      <x:c r="E736" s="114"/>
      <x:c r="F736" s="114"/>
      <x:c r="G736" s="114"/>
      <x:c r="H736" s="114"/>
      <x:c r="I736" s="114"/>
      <x:c r="J736" s="114"/>
      <x:c r="K736" s="12"/>
      <x:c r="L736" s="12"/>
      <x:c r="M736" s="12"/>
      <x:c r="N736" s="12"/>
      <x:c r="O736" s="12"/>
      <x:c r="P736" s="12"/>
      <x:c r="Q736" s="12"/>
      <x:c r="R736" s="12"/>
      <x:c r="S736" s="12"/>
      <x:c r="T736" s="12"/>
      <x:c r="U736" s="12"/>
      <x:c r="V736" s="12"/>
      <x:c r="W736" s="12"/>
      <x:c r="X736" s="12"/>
      <x:c r="Y736" s="12"/>
      <x:c r="Z736" s="12"/>
      <x:c r="AA736" s="12"/>
      <x:c r="AB736" s="12"/>
      <x:c r="AC736" s="12"/>
      <x:c r="AD736" s="12"/>
      <x:c r="AE736" s="12"/>
      <x:c r="AF736" s="12"/>
      <x:c r="AG736" s="12"/>
    </x:row>
    <x:row r="737" ht="14.25" customHeight="1">
      <x:c r="A737" s="114"/>
      <x:c r="B737" s="114"/>
      <x:c r="C737" s="114"/>
      <x:c r="D737" s="114"/>
      <x:c r="E737" s="114"/>
      <x:c r="F737" s="114"/>
      <x:c r="G737" s="114"/>
      <x:c r="H737" s="114"/>
      <x:c r="I737" s="114"/>
      <x:c r="J737" s="114"/>
      <x:c r="K737" s="12"/>
      <x:c r="L737" s="12"/>
      <x:c r="M737" s="12"/>
      <x:c r="N737" s="12"/>
      <x:c r="O737" s="12"/>
      <x:c r="P737" s="12"/>
      <x:c r="Q737" s="12"/>
      <x:c r="R737" s="12"/>
      <x:c r="S737" s="12"/>
      <x:c r="T737" s="12"/>
      <x:c r="U737" s="12"/>
      <x:c r="V737" s="12"/>
      <x:c r="W737" s="12"/>
      <x:c r="X737" s="12"/>
      <x:c r="Y737" s="12"/>
      <x:c r="Z737" s="12"/>
      <x:c r="AA737" s="12"/>
      <x:c r="AB737" s="12"/>
      <x:c r="AC737" s="12"/>
      <x:c r="AD737" s="12"/>
      <x:c r="AE737" s="12"/>
      <x:c r="AF737" s="12"/>
      <x:c r="AG737" s="12"/>
    </x:row>
    <x:row r="738" ht="14.25" customHeight="1">
      <x:c r="A738" s="114"/>
      <x:c r="B738" s="114"/>
      <x:c r="C738" s="114"/>
      <x:c r="D738" s="114"/>
      <x:c r="E738" s="114"/>
      <x:c r="F738" s="114"/>
      <x:c r="G738" s="114"/>
      <x:c r="H738" s="114"/>
      <x:c r="I738" s="114"/>
      <x:c r="J738" s="114"/>
      <x:c r="K738" s="12"/>
      <x:c r="L738" s="12"/>
      <x:c r="M738" s="12"/>
      <x:c r="N738" s="12"/>
      <x:c r="O738" s="12"/>
      <x:c r="P738" s="12"/>
      <x:c r="Q738" s="12"/>
      <x:c r="R738" s="12"/>
      <x:c r="S738" s="12"/>
      <x:c r="T738" s="12"/>
      <x:c r="U738" s="12"/>
      <x:c r="V738" s="12"/>
      <x:c r="W738" s="12"/>
      <x:c r="X738" s="12"/>
      <x:c r="Y738" s="12"/>
      <x:c r="Z738" s="12"/>
      <x:c r="AA738" s="12"/>
      <x:c r="AB738" s="12"/>
      <x:c r="AC738" s="12"/>
      <x:c r="AD738" s="12"/>
      <x:c r="AE738" s="12"/>
      <x:c r="AF738" s="12"/>
      <x:c r="AG738" s="12"/>
    </x:row>
    <x:row r="739" ht="14.25" customHeight="1">
      <x:c r="A739" s="114"/>
      <x:c r="B739" s="114"/>
      <x:c r="C739" s="114"/>
      <x:c r="D739" s="114"/>
      <x:c r="E739" s="114"/>
      <x:c r="F739" s="114"/>
      <x:c r="G739" s="114"/>
      <x:c r="H739" s="114"/>
      <x:c r="I739" s="114"/>
      <x:c r="J739" s="114"/>
      <x:c r="K739" s="12"/>
      <x:c r="L739" s="12"/>
      <x:c r="M739" s="12"/>
      <x:c r="N739" s="12"/>
      <x:c r="O739" s="12"/>
      <x:c r="P739" s="12"/>
      <x:c r="Q739" s="12"/>
      <x:c r="R739" s="12"/>
      <x:c r="S739" s="12"/>
      <x:c r="T739" s="12"/>
      <x:c r="U739" s="12"/>
      <x:c r="V739" s="12"/>
      <x:c r="W739" s="12"/>
      <x:c r="X739" s="12"/>
      <x:c r="Y739" s="12"/>
      <x:c r="Z739" s="12"/>
      <x:c r="AA739" s="12"/>
      <x:c r="AB739" s="12"/>
      <x:c r="AC739" s="12"/>
      <x:c r="AD739" s="12"/>
      <x:c r="AE739" s="12"/>
      <x:c r="AF739" s="12"/>
      <x:c r="AG739" s="12"/>
    </x:row>
    <x:row r="740" ht="14.25" customHeight="1">
      <x:c r="A740" s="114"/>
      <x:c r="B740" s="114"/>
      <x:c r="C740" s="114"/>
      <x:c r="D740" s="114"/>
      <x:c r="E740" s="114"/>
      <x:c r="F740" s="114"/>
      <x:c r="G740" s="114"/>
      <x:c r="H740" s="114"/>
      <x:c r="I740" s="114"/>
      <x:c r="J740" s="114"/>
      <x:c r="K740" s="12"/>
      <x:c r="L740" s="12"/>
      <x:c r="M740" s="12"/>
      <x:c r="N740" s="12"/>
      <x:c r="O740" s="12"/>
      <x:c r="P740" s="12"/>
      <x:c r="Q740" s="12"/>
      <x:c r="R740" s="12"/>
      <x:c r="S740" s="12"/>
      <x:c r="T740" s="12"/>
      <x:c r="U740" s="12"/>
      <x:c r="V740" s="12"/>
      <x:c r="W740" s="12"/>
      <x:c r="X740" s="12"/>
      <x:c r="Y740" s="12"/>
      <x:c r="Z740" s="12"/>
      <x:c r="AA740" s="12"/>
      <x:c r="AB740" s="12"/>
      <x:c r="AC740" s="12"/>
      <x:c r="AD740" s="12"/>
      <x:c r="AE740" s="12"/>
      <x:c r="AF740" s="12"/>
      <x:c r="AG740" s="12"/>
    </x:row>
    <x:row r="741" ht="14.25" customHeight="1">
      <x:c r="A741" s="114"/>
      <x:c r="B741" s="114"/>
      <x:c r="C741" s="114"/>
      <x:c r="D741" s="114"/>
      <x:c r="E741" s="114"/>
      <x:c r="F741" s="114"/>
      <x:c r="G741" s="114"/>
      <x:c r="H741" s="114"/>
      <x:c r="I741" s="114"/>
      <x:c r="J741" s="114"/>
      <x:c r="K741" s="12"/>
      <x:c r="L741" s="12"/>
      <x:c r="M741" s="12"/>
      <x:c r="N741" s="12"/>
      <x:c r="O741" s="12"/>
      <x:c r="P741" s="12"/>
      <x:c r="Q741" s="12"/>
      <x:c r="R741" s="12"/>
      <x:c r="S741" s="12"/>
      <x:c r="T741" s="12"/>
      <x:c r="U741" s="12"/>
      <x:c r="V741" s="12"/>
      <x:c r="W741" s="12"/>
      <x:c r="X741" s="12"/>
      <x:c r="Y741" s="12"/>
      <x:c r="Z741" s="12"/>
      <x:c r="AA741" s="12"/>
      <x:c r="AB741" s="12"/>
      <x:c r="AC741" s="12"/>
      <x:c r="AD741" s="12"/>
      <x:c r="AE741" s="12"/>
      <x:c r="AF741" s="12"/>
      <x:c r="AG741" s="12"/>
    </x:row>
    <x:row r="742" ht="14.25" customHeight="1">
      <x:c r="A742" s="114"/>
      <x:c r="B742" s="114"/>
      <x:c r="C742" s="114"/>
      <x:c r="D742" s="114"/>
      <x:c r="E742" s="114"/>
      <x:c r="F742" s="114"/>
      <x:c r="G742" s="114"/>
      <x:c r="H742" s="114"/>
      <x:c r="I742" s="114"/>
      <x:c r="J742" s="114"/>
      <x:c r="K742" s="12"/>
      <x:c r="L742" s="12"/>
      <x:c r="M742" s="12"/>
      <x:c r="N742" s="12"/>
      <x:c r="O742" s="12"/>
      <x:c r="P742" s="12"/>
      <x:c r="Q742" s="12"/>
      <x:c r="R742" s="12"/>
      <x:c r="S742" s="12"/>
      <x:c r="T742" s="12"/>
      <x:c r="U742" s="12"/>
      <x:c r="V742" s="12"/>
      <x:c r="W742" s="12"/>
      <x:c r="X742" s="12"/>
      <x:c r="Y742" s="12"/>
      <x:c r="Z742" s="12"/>
      <x:c r="AA742" s="12"/>
      <x:c r="AB742" s="12"/>
      <x:c r="AC742" s="12"/>
      <x:c r="AD742" s="12"/>
      <x:c r="AE742" s="12"/>
      <x:c r="AF742" s="12"/>
      <x:c r="AG742" s="12"/>
    </x:row>
    <x:row r="743" ht="14.25" customHeight="1">
      <x:c r="A743" s="114"/>
      <x:c r="B743" s="114"/>
      <x:c r="C743" s="114"/>
      <x:c r="D743" s="114"/>
      <x:c r="E743" s="114"/>
      <x:c r="F743" s="114"/>
      <x:c r="G743" s="114"/>
      <x:c r="H743" s="114"/>
      <x:c r="I743" s="114"/>
      <x:c r="J743" s="114"/>
      <x:c r="K743" s="12"/>
      <x:c r="L743" s="12"/>
      <x:c r="M743" s="12"/>
      <x:c r="N743" s="12"/>
      <x:c r="O743" s="12"/>
      <x:c r="P743" s="12"/>
      <x:c r="Q743" s="12"/>
      <x:c r="R743" s="12"/>
      <x:c r="S743" s="12"/>
      <x:c r="T743" s="12"/>
      <x:c r="U743" s="12"/>
      <x:c r="V743" s="12"/>
      <x:c r="W743" s="12"/>
      <x:c r="X743" s="12"/>
      <x:c r="Y743" s="12"/>
      <x:c r="Z743" s="12"/>
      <x:c r="AA743" s="12"/>
      <x:c r="AB743" s="12"/>
      <x:c r="AC743" s="12"/>
      <x:c r="AD743" s="12"/>
      <x:c r="AE743" s="12"/>
      <x:c r="AF743" s="12"/>
      <x:c r="AG743" s="12"/>
    </x:row>
    <x:row r="744" ht="14.25" customHeight="1">
      <x:c r="A744" s="114"/>
      <x:c r="B744" s="114"/>
      <x:c r="C744" s="114"/>
      <x:c r="D744" s="114"/>
      <x:c r="E744" s="114"/>
      <x:c r="F744" s="114"/>
      <x:c r="G744" s="114"/>
      <x:c r="H744" s="114"/>
      <x:c r="I744" s="114"/>
      <x:c r="J744" s="114"/>
      <x:c r="K744" s="12"/>
      <x:c r="L744" s="12"/>
      <x:c r="M744" s="12"/>
      <x:c r="N744" s="12"/>
      <x:c r="O744" s="12"/>
      <x:c r="P744" s="12"/>
      <x:c r="Q744" s="12"/>
      <x:c r="R744" s="12"/>
      <x:c r="S744" s="12"/>
      <x:c r="T744" s="12"/>
      <x:c r="U744" s="12"/>
      <x:c r="V744" s="12"/>
      <x:c r="W744" s="12"/>
      <x:c r="X744" s="12"/>
      <x:c r="Y744" s="12"/>
      <x:c r="Z744" s="12"/>
      <x:c r="AA744" s="12"/>
      <x:c r="AB744" s="12"/>
      <x:c r="AC744" s="12"/>
      <x:c r="AD744" s="12"/>
      <x:c r="AE744" s="12"/>
      <x:c r="AF744" s="12"/>
      <x:c r="AG744" s="12"/>
    </x:row>
    <x:row r="745" ht="14.25" customHeight="1">
      <x:c r="A745" s="114"/>
      <x:c r="B745" s="114"/>
      <x:c r="C745" s="114"/>
      <x:c r="D745" s="114"/>
      <x:c r="E745" s="114"/>
      <x:c r="F745" s="114"/>
      <x:c r="G745" s="114"/>
      <x:c r="H745" s="114"/>
      <x:c r="I745" s="114"/>
      <x:c r="J745" s="114"/>
      <x:c r="K745" s="12"/>
      <x:c r="L745" s="12"/>
      <x:c r="M745" s="12"/>
      <x:c r="N745" s="12"/>
      <x:c r="O745" s="12"/>
      <x:c r="P745" s="12"/>
      <x:c r="Q745" s="12"/>
      <x:c r="R745" s="12"/>
      <x:c r="S745" s="12"/>
      <x:c r="T745" s="12"/>
      <x:c r="U745" s="12"/>
      <x:c r="V745" s="12"/>
      <x:c r="W745" s="12"/>
      <x:c r="X745" s="12"/>
      <x:c r="Y745" s="12"/>
      <x:c r="Z745" s="12"/>
      <x:c r="AA745" s="12"/>
      <x:c r="AB745" s="12"/>
      <x:c r="AC745" s="12"/>
      <x:c r="AD745" s="12"/>
      <x:c r="AE745" s="12"/>
      <x:c r="AF745" s="12"/>
      <x:c r="AG745" s="12"/>
    </x:row>
    <x:row r="746" ht="14.25" customHeight="1">
      <x:c r="A746" s="114"/>
      <x:c r="B746" s="114"/>
      <x:c r="C746" s="114"/>
      <x:c r="D746" s="114"/>
      <x:c r="E746" s="114"/>
      <x:c r="F746" s="114"/>
      <x:c r="G746" s="114"/>
      <x:c r="H746" s="114"/>
      <x:c r="I746" s="114"/>
      <x:c r="J746" s="114"/>
      <x:c r="K746" s="12"/>
      <x:c r="L746" s="12"/>
      <x:c r="M746" s="12"/>
      <x:c r="N746" s="12"/>
      <x:c r="O746" s="12"/>
      <x:c r="P746" s="12"/>
      <x:c r="Q746" s="12"/>
      <x:c r="R746" s="12"/>
      <x:c r="S746" s="12"/>
      <x:c r="T746" s="12"/>
      <x:c r="U746" s="12"/>
      <x:c r="V746" s="12"/>
      <x:c r="W746" s="12"/>
      <x:c r="X746" s="12"/>
      <x:c r="Y746" s="12"/>
      <x:c r="Z746" s="12"/>
      <x:c r="AA746" s="12"/>
      <x:c r="AB746" s="12"/>
      <x:c r="AC746" s="12"/>
      <x:c r="AD746" s="12"/>
      <x:c r="AE746" s="12"/>
      <x:c r="AF746" s="12"/>
      <x:c r="AG746" s="12"/>
    </x:row>
    <x:row r="747" ht="14.25" customHeight="1">
      <x:c r="A747" s="114"/>
      <x:c r="B747" s="114"/>
      <x:c r="C747" s="114"/>
      <x:c r="D747" s="114"/>
      <x:c r="E747" s="114"/>
      <x:c r="F747" s="114"/>
      <x:c r="G747" s="114"/>
      <x:c r="H747" s="114"/>
      <x:c r="I747" s="114"/>
      <x:c r="J747" s="114"/>
      <x:c r="K747" s="12"/>
      <x:c r="L747" s="12"/>
      <x:c r="M747" s="12"/>
      <x:c r="N747" s="12"/>
      <x:c r="O747" s="12"/>
      <x:c r="P747" s="12"/>
      <x:c r="Q747" s="12"/>
      <x:c r="R747" s="12"/>
      <x:c r="S747" s="12"/>
      <x:c r="T747" s="12"/>
      <x:c r="U747" s="12"/>
      <x:c r="V747" s="12"/>
      <x:c r="W747" s="12"/>
      <x:c r="X747" s="12"/>
      <x:c r="Y747" s="12"/>
      <x:c r="Z747" s="12"/>
      <x:c r="AA747" s="12"/>
      <x:c r="AB747" s="12"/>
      <x:c r="AC747" s="12"/>
      <x:c r="AD747" s="12"/>
      <x:c r="AE747" s="12"/>
      <x:c r="AF747" s="12"/>
      <x:c r="AG747" s="12"/>
    </x:row>
    <x:row r="748" ht="14.25" customHeight="1">
      <x:c r="A748" s="114"/>
      <x:c r="B748" s="114"/>
      <x:c r="C748" s="114"/>
      <x:c r="D748" s="114"/>
      <x:c r="E748" s="114"/>
      <x:c r="F748" s="114"/>
      <x:c r="G748" s="114"/>
      <x:c r="H748" s="114"/>
      <x:c r="I748" s="114"/>
      <x:c r="J748" s="114"/>
      <x:c r="K748" s="12"/>
      <x:c r="L748" s="12"/>
      <x:c r="M748" s="12"/>
      <x:c r="N748" s="12"/>
      <x:c r="O748" s="12"/>
      <x:c r="P748" s="12"/>
      <x:c r="Q748" s="12"/>
      <x:c r="R748" s="12"/>
      <x:c r="S748" s="12"/>
      <x:c r="T748" s="12"/>
      <x:c r="U748" s="12"/>
      <x:c r="V748" s="12"/>
      <x:c r="W748" s="12"/>
      <x:c r="X748" s="12"/>
      <x:c r="Y748" s="12"/>
      <x:c r="Z748" s="12"/>
      <x:c r="AA748" s="12"/>
      <x:c r="AB748" s="12"/>
      <x:c r="AC748" s="12"/>
      <x:c r="AD748" s="12"/>
      <x:c r="AE748" s="12"/>
      <x:c r="AF748" s="12"/>
      <x:c r="AG748" s="12"/>
    </x:row>
    <x:row r="749" ht="14.25" customHeight="1">
      <x:c r="A749" s="114"/>
      <x:c r="B749" s="114"/>
      <x:c r="C749" s="114"/>
      <x:c r="D749" s="114"/>
      <x:c r="E749" s="114"/>
      <x:c r="F749" s="114"/>
      <x:c r="G749" s="114"/>
      <x:c r="H749" s="114"/>
      <x:c r="I749" s="114"/>
      <x:c r="J749" s="114"/>
      <x:c r="K749" s="12"/>
      <x:c r="L749" s="12"/>
      <x:c r="M749" s="12"/>
      <x:c r="N749" s="12"/>
      <x:c r="O749" s="12"/>
      <x:c r="P749" s="12"/>
      <x:c r="Q749" s="12"/>
      <x:c r="R749" s="12"/>
      <x:c r="S749" s="12"/>
      <x:c r="T749" s="12"/>
      <x:c r="U749" s="12"/>
      <x:c r="V749" s="12"/>
      <x:c r="W749" s="12"/>
      <x:c r="X749" s="12"/>
      <x:c r="Y749" s="12"/>
      <x:c r="Z749" s="12"/>
      <x:c r="AA749" s="12"/>
      <x:c r="AB749" s="12"/>
      <x:c r="AC749" s="12"/>
      <x:c r="AD749" s="12"/>
      <x:c r="AE749" s="12"/>
      <x:c r="AF749" s="12"/>
      <x:c r="AG749" s="12"/>
    </x:row>
    <x:row r="750" ht="14.25" customHeight="1">
      <x:c r="A750" s="114"/>
      <x:c r="B750" s="114"/>
      <x:c r="C750" s="114"/>
      <x:c r="D750" s="114"/>
      <x:c r="E750" s="114"/>
      <x:c r="F750" s="114"/>
      <x:c r="G750" s="114"/>
      <x:c r="H750" s="114"/>
      <x:c r="I750" s="114"/>
      <x:c r="J750" s="114"/>
      <x:c r="K750" s="12"/>
      <x:c r="L750" s="12"/>
      <x:c r="M750" s="12"/>
      <x:c r="N750" s="12"/>
      <x:c r="O750" s="12"/>
      <x:c r="P750" s="12"/>
      <x:c r="Q750" s="12"/>
      <x:c r="R750" s="12"/>
      <x:c r="S750" s="12"/>
      <x:c r="T750" s="12"/>
      <x:c r="U750" s="12"/>
      <x:c r="V750" s="12"/>
      <x:c r="W750" s="12"/>
      <x:c r="X750" s="12"/>
      <x:c r="Y750" s="12"/>
      <x:c r="Z750" s="12"/>
      <x:c r="AA750" s="12"/>
      <x:c r="AB750" s="12"/>
      <x:c r="AC750" s="12"/>
      <x:c r="AD750" s="12"/>
      <x:c r="AE750" s="12"/>
      <x:c r="AF750" s="12"/>
      <x:c r="AG750" s="12"/>
    </x:row>
    <x:row r="751" ht="14.25" customHeight="1">
      <x:c r="A751" s="114"/>
      <x:c r="B751" s="114"/>
      <x:c r="C751" s="114"/>
      <x:c r="D751" s="114"/>
      <x:c r="E751" s="114"/>
      <x:c r="F751" s="114"/>
      <x:c r="G751" s="114"/>
      <x:c r="H751" s="114"/>
      <x:c r="I751" s="114"/>
      <x:c r="J751" s="114"/>
      <x:c r="K751" s="12"/>
      <x:c r="L751" s="12"/>
      <x:c r="M751" s="12"/>
      <x:c r="N751" s="12"/>
      <x:c r="O751" s="12"/>
      <x:c r="P751" s="12"/>
      <x:c r="Q751" s="12"/>
      <x:c r="R751" s="12"/>
      <x:c r="S751" s="12"/>
      <x:c r="T751" s="12"/>
      <x:c r="U751" s="12"/>
      <x:c r="V751" s="12"/>
      <x:c r="W751" s="12"/>
      <x:c r="X751" s="12"/>
      <x:c r="Y751" s="12"/>
      <x:c r="Z751" s="12"/>
      <x:c r="AA751" s="12"/>
      <x:c r="AB751" s="12"/>
      <x:c r="AC751" s="12"/>
      <x:c r="AD751" s="12"/>
      <x:c r="AE751" s="12"/>
      <x:c r="AF751" s="12"/>
      <x:c r="AG751" s="12"/>
    </x:row>
    <x:row r="752" ht="14.25" customHeight="1">
      <x:c r="A752" s="114"/>
      <x:c r="B752" s="114"/>
      <x:c r="C752" s="114"/>
      <x:c r="D752" s="114"/>
      <x:c r="E752" s="114"/>
      <x:c r="F752" s="114"/>
      <x:c r="G752" s="114"/>
      <x:c r="H752" s="114"/>
      <x:c r="I752" s="114"/>
      <x:c r="J752" s="114"/>
      <x:c r="K752" s="12"/>
      <x:c r="L752" s="12"/>
      <x:c r="M752" s="12"/>
      <x:c r="N752" s="12"/>
      <x:c r="O752" s="12"/>
      <x:c r="P752" s="12"/>
      <x:c r="Q752" s="12"/>
      <x:c r="R752" s="12"/>
      <x:c r="S752" s="12"/>
      <x:c r="T752" s="12"/>
      <x:c r="U752" s="12"/>
      <x:c r="V752" s="12"/>
      <x:c r="W752" s="12"/>
      <x:c r="X752" s="12"/>
      <x:c r="Y752" s="12"/>
      <x:c r="Z752" s="12"/>
      <x:c r="AA752" s="12"/>
      <x:c r="AB752" s="12"/>
      <x:c r="AC752" s="12"/>
      <x:c r="AD752" s="12"/>
      <x:c r="AE752" s="12"/>
      <x:c r="AF752" s="12"/>
      <x:c r="AG752" s="12"/>
    </x:row>
    <x:row r="753" ht="14.25" customHeight="1">
      <x:c r="A753" s="114"/>
      <x:c r="B753" s="114"/>
      <x:c r="C753" s="114"/>
      <x:c r="D753" s="114"/>
      <x:c r="E753" s="114"/>
      <x:c r="F753" s="114"/>
      <x:c r="G753" s="114"/>
      <x:c r="H753" s="114"/>
      <x:c r="I753" s="114"/>
      <x:c r="J753" s="114"/>
      <x:c r="K753" s="12"/>
      <x:c r="L753" s="12"/>
      <x:c r="M753" s="12"/>
      <x:c r="N753" s="12"/>
      <x:c r="O753" s="12"/>
      <x:c r="P753" s="12"/>
      <x:c r="Q753" s="12"/>
      <x:c r="R753" s="12"/>
      <x:c r="S753" s="12"/>
      <x:c r="T753" s="12"/>
      <x:c r="U753" s="12"/>
      <x:c r="V753" s="12"/>
      <x:c r="W753" s="12"/>
      <x:c r="X753" s="12"/>
      <x:c r="Y753" s="12"/>
      <x:c r="Z753" s="12"/>
      <x:c r="AA753" s="12"/>
      <x:c r="AB753" s="12"/>
      <x:c r="AC753" s="12"/>
      <x:c r="AD753" s="12"/>
      <x:c r="AE753" s="12"/>
      <x:c r="AF753" s="12"/>
      <x:c r="AG753" s="12"/>
    </x:row>
    <x:row r="754" ht="14.25" customHeight="1">
      <x:c r="A754" s="114"/>
      <x:c r="B754" s="114"/>
      <x:c r="C754" s="114"/>
      <x:c r="D754" s="114"/>
      <x:c r="E754" s="114"/>
      <x:c r="F754" s="114"/>
      <x:c r="G754" s="114"/>
      <x:c r="H754" s="114"/>
      <x:c r="I754" s="114"/>
      <x:c r="J754" s="114"/>
      <x:c r="K754" s="12"/>
      <x:c r="L754" s="12"/>
      <x:c r="M754" s="12"/>
      <x:c r="N754" s="12"/>
      <x:c r="O754" s="12"/>
      <x:c r="P754" s="12"/>
      <x:c r="Q754" s="12"/>
      <x:c r="R754" s="12"/>
      <x:c r="S754" s="12"/>
      <x:c r="T754" s="12"/>
      <x:c r="U754" s="12"/>
      <x:c r="V754" s="12"/>
      <x:c r="W754" s="12"/>
      <x:c r="X754" s="12"/>
      <x:c r="Y754" s="12"/>
      <x:c r="Z754" s="12"/>
      <x:c r="AA754" s="12"/>
      <x:c r="AB754" s="12"/>
      <x:c r="AC754" s="12"/>
      <x:c r="AD754" s="12"/>
      <x:c r="AE754" s="12"/>
      <x:c r="AF754" s="12"/>
      <x:c r="AG754" s="12"/>
    </x:row>
    <x:row r="755" ht="14.25" customHeight="1">
      <x:c r="A755" s="114"/>
      <x:c r="B755" s="114"/>
      <x:c r="C755" s="114"/>
      <x:c r="D755" s="114"/>
      <x:c r="E755" s="114"/>
      <x:c r="F755" s="114"/>
      <x:c r="G755" s="114"/>
      <x:c r="H755" s="114"/>
      <x:c r="I755" s="114"/>
      <x:c r="J755" s="114"/>
      <x:c r="K755" s="12"/>
      <x:c r="L755" s="12"/>
      <x:c r="M755" s="12"/>
      <x:c r="N755" s="12"/>
      <x:c r="O755" s="12"/>
      <x:c r="P755" s="12"/>
      <x:c r="Q755" s="12"/>
      <x:c r="R755" s="12"/>
      <x:c r="S755" s="12"/>
      <x:c r="T755" s="12"/>
      <x:c r="U755" s="12"/>
      <x:c r="V755" s="12"/>
      <x:c r="W755" s="12"/>
      <x:c r="X755" s="12"/>
      <x:c r="Y755" s="12"/>
      <x:c r="Z755" s="12"/>
      <x:c r="AA755" s="12"/>
      <x:c r="AB755" s="12"/>
      <x:c r="AC755" s="12"/>
      <x:c r="AD755" s="12"/>
      <x:c r="AE755" s="12"/>
      <x:c r="AF755" s="12"/>
      <x:c r="AG755" s="12"/>
    </x:row>
    <x:row r="756" ht="14.25" customHeight="1">
      <x:c r="A756" s="114"/>
      <x:c r="B756" s="114"/>
      <x:c r="C756" s="114"/>
      <x:c r="D756" s="114"/>
      <x:c r="E756" s="114"/>
      <x:c r="F756" s="114"/>
      <x:c r="G756" s="114"/>
      <x:c r="H756" s="114"/>
      <x:c r="I756" s="114"/>
      <x:c r="J756" s="114"/>
      <x:c r="K756" s="12"/>
      <x:c r="L756" s="12"/>
      <x:c r="M756" s="12"/>
      <x:c r="N756" s="12"/>
      <x:c r="O756" s="12"/>
      <x:c r="P756" s="12"/>
      <x:c r="Q756" s="12"/>
      <x:c r="R756" s="12"/>
      <x:c r="S756" s="12"/>
      <x:c r="T756" s="12"/>
      <x:c r="U756" s="12"/>
      <x:c r="V756" s="12"/>
      <x:c r="W756" s="12"/>
      <x:c r="X756" s="12"/>
      <x:c r="Y756" s="12"/>
      <x:c r="Z756" s="12"/>
      <x:c r="AA756" s="12"/>
      <x:c r="AB756" s="12"/>
      <x:c r="AC756" s="12"/>
      <x:c r="AD756" s="12"/>
      <x:c r="AE756" s="12"/>
      <x:c r="AF756" s="12"/>
      <x:c r="AG756" s="12"/>
    </x:row>
    <x:row r="757" ht="14.25" customHeight="1">
      <x:c r="A757" s="114"/>
      <x:c r="B757" s="114"/>
      <x:c r="C757" s="114"/>
      <x:c r="D757" s="114"/>
      <x:c r="E757" s="114"/>
      <x:c r="F757" s="114"/>
      <x:c r="G757" s="114"/>
      <x:c r="H757" s="114"/>
      <x:c r="I757" s="114"/>
      <x:c r="J757" s="114"/>
      <x:c r="K757" s="12"/>
      <x:c r="L757" s="12"/>
      <x:c r="M757" s="12"/>
      <x:c r="N757" s="12"/>
      <x:c r="O757" s="12"/>
      <x:c r="P757" s="12"/>
      <x:c r="Q757" s="12"/>
      <x:c r="R757" s="12"/>
      <x:c r="S757" s="12"/>
      <x:c r="T757" s="12"/>
      <x:c r="U757" s="12"/>
      <x:c r="V757" s="12"/>
      <x:c r="W757" s="12"/>
      <x:c r="X757" s="12"/>
      <x:c r="Y757" s="12"/>
      <x:c r="Z757" s="12"/>
      <x:c r="AA757" s="12"/>
      <x:c r="AB757" s="12"/>
      <x:c r="AC757" s="12"/>
      <x:c r="AD757" s="12"/>
      <x:c r="AE757" s="12"/>
      <x:c r="AF757" s="12"/>
      <x:c r="AG757" s="12"/>
    </x:row>
    <x:row r="758" ht="14.25" customHeight="1">
      <x:c r="A758" s="114"/>
      <x:c r="B758" s="114"/>
      <x:c r="C758" s="114"/>
      <x:c r="D758" s="114"/>
      <x:c r="E758" s="114"/>
      <x:c r="F758" s="114"/>
      <x:c r="G758" s="114"/>
      <x:c r="H758" s="114"/>
      <x:c r="I758" s="114"/>
      <x:c r="J758" s="114"/>
      <x:c r="K758" s="12"/>
      <x:c r="L758" s="12"/>
      <x:c r="M758" s="12"/>
      <x:c r="N758" s="12"/>
      <x:c r="O758" s="12"/>
      <x:c r="P758" s="12"/>
      <x:c r="Q758" s="12"/>
      <x:c r="R758" s="12"/>
      <x:c r="S758" s="12"/>
      <x:c r="T758" s="12"/>
      <x:c r="U758" s="12"/>
      <x:c r="V758" s="12"/>
      <x:c r="W758" s="12"/>
      <x:c r="X758" s="12"/>
      <x:c r="Y758" s="12"/>
      <x:c r="Z758" s="12"/>
      <x:c r="AA758" s="12"/>
      <x:c r="AB758" s="12"/>
      <x:c r="AC758" s="12"/>
      <x:c r="AD758" s="12"/>
      <x:c r="AE758" s="12"/>
      <x:c r="AF758" s="12"/>
      <x:c r="AG758" s="12"/>
    </x:row>
    <x:row r="759" ht="14.25" customHeight="1">
      <x:c r="A759" s="114"/>
      <x:c r="B759" s="114"/>
      <x:c r="C759" s="114"/>
      <x:c r="D759" s="114"/>
      <x:c r="E759" s="114"/>
      <x:c r="F759" s="114"/>
      <x:c r="G759" s="114"/>
      <x:c r="H759" s="114"/>
      <x:c r="I759" s="114"/>
      <x:c r="J759" s="114"/>
      <x:c r="K759" s="12"/>
      <x:c r="L759" s="12"/>
      <x:c r="M759" s="12"/>
      <x:c r="N759" s="12"/>
      <x:c r="O759" s="12"/>
      <x:c r="P759" s="12"/>
      <x:c r="Q759" s="12"/>
      <x:c r="R759" s="12"/>
      <x:c r="S759" s="12"/>
      <x:c r="T759" s="12"/>
      <x:c r="U759" s="12"/>
      <x:c r="V759" s="12"/>
      <x:c r="W759" s="12"/>
      <x:c r="X759" s="12"/>
      <x:c r="Y759" s="12"/>
      <x:c r="Z759" s="12"/>
      <x:c r="AA759" s="12"/>
      <x:c r="AB759" s="12"/>
      <x:c r="AC759" s="12"/>
      <x:c r="AD759" s="12"/>
      <x:c r="AE759" s="12"/>
      <x:c r="AF759" s="12"/>
      <x:c r="AG759" s="12"/>
    </x:row>
    <x:row r="760" ht="14.25" customHeight="1">
      <x:c r="A760" s="114"/>
      <x:c r="B760" s="114"/>
      <x:c r="C760" s="114"/>
      <x:c r="D760" s="114"/>
      <x:c r="E760" s="114"/>
      <x:c r="F760" s="114"/>
      <x:c r="G760" s="114"/>
      <x:c r="H760" s="114"/>
      <x:c r="I760" s="114"/>
      <x:c r="J760" s="114"/>
      <x:c r="K760" s="12"/>
      <x:c r="L760" s="12"/>
      <x:c r="M760" s="12"/>
      <x:c r="N760" s="12"/>
      <x:c r="O760" s="12"/>
      <x:c r="P760" s="12"/>
      <x:c r="Q760" s="12"/>
      <x:c r="R760" s="12"/>
      <x:c r="S760" s="12"/>
      <x:c r="T760" s="12"/>
      <x:c r="U760" s="12"/>
      <x:c r="V760" s="12"/>
      <x:c r="W760" s="12"/>
      <x:c r="X760" s="12"/>
      <x:c r="Y760" s="12"/>
      <x:c r="Z760" s="12"/>
      <x:c r="AA760" s="12"/>
      <x:c r="AB760" s="12"/>
      <x:c r="AC760" s="12"/>
      <x:c r="AD760" s="12"/>
      <x:c r="AE760" s="12"/>
      <x:c r="AF760" s="12"/>
      <x:c r="AG760" s="12"/>
    </x:row>
    <x:row r="761" ht="14.25" customHeight="1">
      <x:c r="A761" s="114"/>
      <x:c r="B761" s="114"/>
      <x:c r="C761" s="114"/>
      <x:c r="D761" s="114"/>
      <x:c r="E761" s="114"/>
      <x:c r="F761" s="114"/>
      <x:c r="G761" s="114"/>
      <x:c r="H761" s="114"/>
      <x:c r="I761" s="114"/>
      <x:c r="J761" s="114"/>
      <x:c r="K761" s="12"/>
      <x:c r="L761" s="12"/>
      <x:c r="M761" s="12"/>
      <x:c r="N761" s="12"/>
      <x:c r="O761" s="12"/>
      <x:c r="P761" s="12"/>
      <x:c r="Q761" s="12"/>
      <x:c r="R761" s="12"/>
      <x:c r="S761" s="12"/>
      <x:c r="T761" s="12"/>
      <x:c r="U761" s="12"/>
      <x:c r="V761" s="12"/>
      <x:c r="W761" s="12"/>
      <x:c r="X761" s="12"/>
      <x:c r="Y761" s="12"/>
      <x:c r="Z761" s="12"/>
      <x:c r="AA761" s="12"/>
      <x:c r="AB761" s="12"/>
      <x:c r="AC761" s="12"/>
      <x:c r="AD761" s="12"/>
      <x:c r="AE761" s="12"/>
      <x:c r="AF761" s="12"/>
      <x:c r="AG761" s="12"/>
    </x:row>
    <x:row r="762" ht="14.25" customHeight="1">
      <x:c r="A762" s="114"/>
      <x:c r="B762" s="114"/>
      <x:c r="C762" s="114"/>
      <x:c r="D762" s="114"/>
      <x:c r="E762" s="114"/>
      <x:c r="F762" s="114"/>
      <x:c r="G762" s="114"/>
      <x:c r="H762" s="114"/>
      <x:c r="I762" s="114"/>
      <x:c r="J762" s="114"/>
      <x:c r="K762" s="12"/>
      <x:c r="L762" s="12"/>
      <x:c r="M762" s="12"/>
      <x:c r="N762" s="12"/>
      <x:c r="O762" s="12"/>
      <x:c r="P762" s="12"/>
      <x:c r="Q762" s="12"/>
      <x:c r="R762" s="12"/>
      <x:c r="S762" s="12"/>
      <x:c r="T762" s="12"/>
      <x:c r="U762" s="12"/>
      <x:c r="V762" s="12"/>
      <x:c r="W762" s="12"/>
      <x:c r="X762" s="12"/>
      <x:c r="Y762" s="12"/>
      <x:c r="Z762" s="12"/>
      <x:c r="AA762" s="12"/>
      <x:c r="AB762" s="12"/>
      <x:c r="AC762" s="12"/>
      <x:c r="AD762" s="12"/>
      <x:c r="AE762" s="12"/>
      <x:c r="AF762" s="12"/>
      <x:c r="AG762" s="12"/>
    </x:row>
    <x:row r="763" ht="14.25" customHeight="1">
      <x:c r="A763" s="114"/>
      <x:c r="B763" s="114"/>
      <x:c r="C763" s="114"/>
      <x:c r="D763" s="114"/>
      <x:c r="E763" s="114"/>
      <x:c r="F763" s="114"/>
      <x:c r="G763" s="114"/>
      <x:c r="H763" s="114"/>
      <x:c r="I763" s="114"/>
      <x:c r="J763" s="114"/>
      <x:c r="K763" s="12"/>
      <x:c r="L763" s="12"/>
      <x:c r="M763" s="12"/>
      <x:c r="N763" s="12"/>
      <x:c r="O763" s="12"/>
      <x:c r="P763" s="12"/>
      <x:c r="Q763" s="12"/>
      <x:c r="R763" s="12"/>
      <x:c r="S763" s="12"/>
      <x:c r="T763" s="12"/>
      <x:c r="U763" s="12"/>
      <x:c r="V763" s="12"/>
      <x:c r="W763" s="12"/>
      <x:c r="X763" s="12"/>
      <x:c r="Y763" s="12"/>
      <x:c r="Z763" s="12"/>
      <x:c r="AA763" s="12"/>
      <x:c r="AB763" s="12"/>
      <x:c r="AC763" s="12"/>
      <x:c r="AD763" s="12"/>
      <x:c r="AE763" s="12"/>
      <x:c r="AF763" s="12"/>
      <x:c r="AG763" s="12"/>
    </x:row>
    <x:row r="764" ht="14.25" customHeight="1">
      <x:c r="A764" s="114"/>
      <x:c r="B764" s="114"/>
      <x:c r="C764" s="114"/>
      <x:c r="D764" s="114"/>
      <x:c r="E764" s="114"/>
      <x:c r="F764" s="114"/>
      <x:c r="G764" s="114"/>
      <x:c r="H764" s="114"/>
      <x:c r="I764" s="114"/>
      <x:c r="J764" s="114"/>
      <x:c r="K764" s="12"/>
      <x:c r="L764" s="12"/>
      <x:c r="M764" s="12"/>
      <x:c r="N764" s="12"/>
      <x:c r="O764" s="12"/>
      <x:c r="P764" s="12"/>
      <x:c r="Q764" s="12"/>
      <x:c r="R764" s="12"/>
      <x:c r="S764" s="12"/>
      <x:c r="T764" s="12"/>
      <x:c r="U764" s="12"/>
      <x:c r="V764" s="12"/>
      <x:c r="W764" s="12"/>
      <x:c r="X764" s="12"/>
      <x:c r="Y764" s="12"/>
      <x:c r="Z764" s="12"/>
      <x:c r="AA764" s="12"/>
      <x:c r="AB764" s="12"/>
      <x:c r="AC764" s="12"/>
      <x:c r="AD764" s="12"/>
      <x:c r="AE764" s="12"/>
      <x:c r="AF764" s="12"/>
      <x:c r="AG764" s="12"/>
    </x:row>
    <x:row r="765" ht="14.25" customHeight="1">
      <x:c r="A765" s="114"/>
      <x:c r="B765" s="114"/>
      <x:c r="C765" s="114"/>
      <x:c r="D765" s="114"/>
      <x:c r="E765" s="114"/>
      <x:c r="F765" s="114"/>
      <x:c r="G765" s="114"/>
      <x:c r="H765" s="114"/>
      <x:c r="I765" s="114"/>
      <x:c r="J765" s="114"/>
      <x:c r="K765" s="12"/>
      <x:c r="L765" s="12"/>
      <x:c r="M765" s="12"/>
      <x:c r="N765" s="12"/>
      <x:c r="O765" s="12"/>
      <x:c r="P765" s="12"/>
      <x:c r="Q765" s="12"/>
      <x:c r="R765" s="12"/>
      <x:c r="S765" s="12"/>
      <x:c r="T765" s="12"/>
      <x:c r="U765" s="12"/>
      <x:c r="V765" s="12"/>
      <x:c r="W765" s="12"/>
      <x:c r="X765" s="12"/>
      <x:c r="Y765" s="12"/>
      <x:c r="Z765" s="12"/>
      <x:c r="AA765" s="12"/>
      <x:c r="AB765" s="12"/>
      <x:c r="AC765" s="12"/>
      <x:c r="AD765" s="12"/>
      <x:c r="AE765" s="12"/>
      <x:c r="AF765" s="12"/>
      <x:c r="AG765" s="12"/>
    </x:row>
    <x:row r="766" ht="14.25" customHeight="1">
      <x:c r="A766" s="114"/>
      <x:c r="B766" s="114"/>
      <x:c r="C766" s="114"/>
      <x:c r="D766" s="114"/>
      <x:c r="E766" s="114"/>
      <x:c r="F766" s="114"/>
      <x:c r="G766" s="114"/>
      <x:c r="H766" s="114"/>
      <x:c r="I766" s="114"/>
      <x:c r="J766" s="114"/>
      <x:c r="K766" s="12"/>
      <x:c r="L766" s="12"/>
      <x:c r="M766" s="12"/>
      <x:c r="N766" s="12"/>
      <x:c r="O766" s="12"/>
      <x:c r="P766" s="12"/>
      <x:c r="Q766" s="12"/>
      <x:c r="R766" s="12"/>
      <x:c r="S766" s="12"/>
      <x:c r="T766" s="12"/>
      <x:c r="U766" s="12"/>
      <x:c r="V766" s="12"/>
      <x:c r="W766" s="12"/>
      <x:c r="X766" s="12"/>
      <x:c r="Y766" s="12"/>
      <x:c r="Z766" s="12"/>
      <x:c r="AA766" s="12"/>
      <x:c r="AB766" s="12"/>
      <x:c r="AC766" s="12"/>
      <x:c r="AD766" s="12"/>
      <x:c r="AE766" s="12"/>
      <x:c r="AF766" s="12"/>
      <x:c r="AG766" s="12"/>
    </x:row>
    <x:row r="767" ht="14.25" customHeight="1">
      <x:c r="A767" s="114"/>
      <x:c r="B767" s="114"/>
      <x:c r="C767" s="114"/>
      <x:c r="D767" s="114"/>
      <x:c r="E767" s="114"/>
      <x:c r="F767" s="114"/>
      <x:c r="G767" s="114"/>
      <x:c r="H767" s="114"/>
      <x:c r="I767" s="114"/>
      <x:c r="J767" s="114"/>
      <x:c r="K767" s="12"/>
      <x:c r="L767" s="12"/>
      <x:c r="M767" s="12"/>
      <x:c r="N767" s="12"/>
      <x:c r="O767" s="12"/>
      <x:c r="P767" s="12"/>
      <x:c r="Q767" s="12"/>
      <x:c r="R767" s="12"/>
      <x:c r="S767" s="12"/>
      <x:c r="T767" s="12"/>
      <x:c r="U767" s="12"/>
      <x:c r="V767" s="12"/>
      <x:c r="W767" s="12"/>
      <x:c r="X767" s="12"/>
      <x:c r="Y767" s="12"/>
      <x:c r="Z767" s="12"/>
      <x:c r="AA767" s="12"/>
      <x:c r="AB767" s="12"/>
      <x:c r="AC767" s="12"/>
      <x:c r="AD767" s="12"/>
      <x:c r="AE767" s="12"/>
      <x:c r="AF767" s="12"/>
      <x:c r="AG767" s="12"/>
    </x:row>
    <x:row r="768" ht="14.25" customHeight="1">
      <x:c r="A768" s="114"/>
      <x:c r="B768" s="114"/>
      <x:c r="C768" s="114"/>
      <x:c r="D768" s="114"/>
      <x:c r="E768" s="114"/>
      <x:c r="F768" s="114"/>
      <x:c r="G768" s="114"/>
      <x:c r="H768" s="114"/>
      <x:c r="I768" s="114"/>
      <x:c r="J768" s="114"/>
      <x:c r="K768" s="12"/>
      <x:c r="L768" s="12"/>
      <x:c r="M768" s="12"/>
      <x:c r="N768" s="12"/>
      <x:c r="O768" s="12"/>
      <x:c r="P768" s="12"/>
      <x:c r="Q768" s="12"/>
      <x:c r="R768" s="12"/>
      <x:c r="S768" s="12"/>
      <x:c r="T768" s="12"/>
      <x:c r="U768" s="12"/>
      <x:c r="V768" s="12"/>
      <x:c r="W768" s="12"/>
      <x:c r="X768" s="12"/>
      <x:c r="Y768" s="12"/>
      <x:c r="Z768" s="12"/>
      <x:c r="AA768" s="12"/>
      <x:c r="AB768" s="12"/>
      <x:c r="AC768" s="12"/>
      <x:c r="AD768" s="12"/>
      <x:c r="AE768" s="12"/>
      <x:c r="AF768" s="12"/>
      <x:c r="AG768" s="12"/>
    </x:row>
    <x:row r="769" ht="14.25" customHeight="1">
      <x:c r="A769" s="114"/>
      <x:c r="B769" s="114"/>
      <x:c r="C769" s="114"/>
      <x:c r="D769" s="114"/>
      <x:c r="E769" s="114"/>
      <x:c r="F769" s="114"/>
      <x:c r="G769" s="114"/>
      <x:c r="H769" s="114"/>
      <x:c r="I769" s="114"/>
      <x:c r="J769" s="114"/>
      <x:c r="K769" s="12"/>
      <x:c r="L769" s="12"/>
      <x:c r="M769" s="12"/>
      <x:c r="N769" s="12"/>
      <x:c r="O769" s="12"/>
      <x:c r="P769" s="12"/>
      <x:c r="Q769" s="12"/>
      <x:c r="R769" s="12"/>
      <x:c r="S769" s="12"/>
      <x:c r="T769" s="12"/>
      <x:c r="U769" s="12"/>
      <x:c r="V769" s="12"/>
      <x:c r="W769" s="12"/>
      <x:c r="X769" s="12"/>
      <x:c r="Y769" s="12"/>
      <x:c r="Z769" s="12"/>
      <x:c r="AA769" s="12"/>
      <x:c r="AB769" s="12"/>
      <x:c r="AC769" s="12"/>
      <x:c r="AD769" s="12"/>
      <x:c r="AE769" s="12"/>
      <x:c r="AF769" s="12"/>
      <x:c r="AG769" s="12"/>
    </x:row>
    <x:row r="770" ht="14.25" customHeight="1">
      <x:c r="A770" s="114"/>
      <x:c r="B770" s="114"/>
      <x:c r="C770" s="114"/>
      <x:c r="D770" s="114"/>
      <x:c r="E770" s="114"/>
      <x:c r="F770" s="114"/>
      <x:c r="G770" s="114"/>
      <x:c r="H770" s="114"/>
      <x:c r="I770" s="114"/>
      <x:c r="J770" s="114"/>
      <x:c r="K770" s="12"/>
      <x:c r="L770" s="12"/>
      <x:c r="M770" s="12"/>
      <x:c r="N770" s="12"/>
      <x:c r="O770" s="12"/>
      <x:c r="P770" s="12"/>
      <x:c r="Q770" s="12"/>
      <x:c r="R770" s="12"/>
      <x:c r="S770" s="12"/>
      <x:c r="T770" s="12"/>
      <x:c r="U770" s="12"/>
      <x:c r="V770" s="12"/>
      <x:c r="W770" s="12"/>
      <x:c r="X770" s="12"/>
      <x:c r="Y770" s="12"/>
      <x:c r="Z770" s="12"/>
      <x:c r="AA770" s="12"/>
      <x:c r="AB770" s="12"/>
      <x:c r="AC770" s="12"/>
      <x:c r="AD770" s="12"/>
      <x:c r="AE770" s="12"/>
      <x:c r="AF770" s="12"/>
      <x:c r="AG770" s="12"/>
    </x:row>
    <x:row r="771" ht="14.25" customHeight="1">
      <x:c r="A771" s="114"/>
      <x:c r="B771" s="114"/>
      <x:c r="C771" s="114"/>
      <x:c r="D771" s="114"/>
      <x:c r="E771" s="114"/>
      <x:c r="F771" s="114"/>
      <x:c r="G771" s="114"/>
      <x:c r="H771" s="114"/>
      <x:c r="I771" s="114"/>
      <x:c r="J771" s="114"/>
      <x:c r="K771" s="12"/>
      <x:c r="L771" s="12"/>
      <x:c r="M771" s="12"/>
      <x:c r="N771" s="12"/>
      <x:c r="O771" s="12"/>
      <x:c r="P771" s="12"/>
      <x:c r="Q771" s="12"/>
      <x:c r="R771" s="12"/>
      <x:c r="S771" s="12"/>
      <x:c r="T771" s="12"/>
      <x:c r="U771" s="12"/>
      <x:c r="V771" s="12"/>
      <x:c r="W771" s="12"/>
      <x:c r="X771" s="12"/>
      <x:c r="Y771" s="12"/>
      <x:c r="Z771" s="12"/>
      <x:c r="AA771" s="12"/>
      <x:c r="AB771" s="12"/>
      <x:c r="AC771" s="12"/>
      <x:c r="AD771" s="12"/>
      <x:c r="AE771" s="12"/>
      <x:c r="AF771" s="12"/>
      <x:c r="AG771" s="12"/>
    </x:row>
    <x:row r="772" ht="14.25" customHeight="1">
      <x:c r="A772" s="114"/>
      <x:c r="B772" s="114"/>
      <x:c r="C772" s="114"/>
      <x:c r="D772" s="114"/>
      <x:c r="E772" s="114"/>
      <x:c r="F772" s="114"/>
      <x:c r="G772" s="114"/>
      <x:c r="H772" s="114"/>
      <x:c r="I772" s="114"/>
      <x:c r="J772" s="114"/>
      <x:c r="K772" s="12"/>
      <x:c r="L772" s="12"/>
      <x:c r="M772" s="12"/>
      <x:c r="N772" s="12"/>
      <x:c r="O772" s="12"/>
      <x:c r="P772" s="12"/>
      <x:c r="Q772" s="12"/>
      <x:c r="R772" s="12"/>
      <x:c r="S772" s="12"/>
      <x:c r="T772" s="12"/>
      <x:c r="U772" s="12"/>
      <x:c r="V772" s="12"/>
      <x:c r="W772" s="12"/>
      <x:c r="X772" s="12"/>
      <x:c r="Y772" s="12"/>
      <x:c r="Z772" s="12"/>
      <x:c r="AA772" s="12"/>
      <x:c r="AB772" s="12"/>
      <x:c r="AC772" s="12"/>
      <x:c r="AD772" s="12"/>
      <x:c r="AE772" s="12"/>
      <x:c r="AF772" s="12"/>
      <x:c r="AG772" s="12"/>
    </x:row>
    <x:row r="773" ht="14.25" customHeight="1">
      <x:c r="A773" s="114"/>
      <x:c r="B773" s="114"/>
      <x:c r="C773" s="114"/>
      <x:c r="D773" s="114"/>
      <x:c r="E773" s="114"/>
      <x:c r="F773" s="114"/>
      <x:c r="G773" s="114"/>
      <x:c r="H773" s="114"/>
      <x:c r="I773" s="114"/>
      <x:c r="J773" s="114"/>
      <x:c r="K773" s="12"/>
      <x:c r="L773" s="12"/>
      <x:c r="M773" s="12"/>
      <x:c r="N773" s="12"/>
      <x:c r="O773" s="12"/>
      <x:c r="P773" s="12"/>
      <x:c r="Q773" s="12"/>
      <x:c r="R773" s="12"/>
      <x:c r="S773" s="12"/>
      <x:c r="T773" s="12"/>
      <x:c r="U773" s="12"/>
      <x:c r="V773" s="12"/>
      <x:c r="W773" s="12"/>
      <x:c r="X773" s="12"/>
      <x:c r="Y773" s="12"/>
      <x:c r="Z773" s="12"/>
      <x:c r="AA773" s="12"/>
      <x:c r="AB773" s="12"/>
      <x:c r="AC773" s="12"/>
      <x:c r="AD773" s="12"/>
      <x:c r="AE773" s="12"/>
      <x:c r="AF773" s="12"/>
      <x:c r="AG773" s="12"/>
    </x:row>
    <x:row r="774" ht="14.25" customHeight="1">
      <x:c r="A774" s="114"/>
      <x:c r="B774" s="114"/>
      <x:c r="C774" s="114"/>
      <x:c r="D774" s="114"/>
      <x:c r="E774" s="114"/>
      <x:c r="F774" s="114"/>
      <x:c r="G774" s="114"/>
      <x:c r="H774" s="114"/>
      <x:c r="I774" s="114"/>
      <x:c r="J774" s="114"/>
      <x:c r="K774" s="12"/>
      <x:c r="L774" s="12"/>
      <x:c r="M774" s="12"/>
      <x:c r="N774" s="12"/>
      <x:c r="O774" s="12"/>
      <x:c r="P774" s="12"/>
      <x:c r="Q774" s="12"/>
      <x:c r="R774" s="12"/>
      <x:c r="S774" s="12"/>
      <x:c r="T774" s="12"/>
      <x:c r="U774" s="12"/>
      <x:c r="V774" s="12"/>
      <x:c r="W774" s="12"/>
      <x:c r="X774" s="12"/>
      <x:c r="Y774" s="12"/>
      <x:c r="Z774" s="12"/>
      <x:c r="AA774" s="12"/>
      <x:c r="AB774" s="12"/>
      <x:c r="AC774" s="12"/>
      <x:c r="AD774" s="12"/>
      <x:c r="AE774" s="12"/>
      <x:c r="AF774" s="12"/>
      <x:c r="AG774" s="12"/>
    </x:row>
    <x:row r="775" ht="14.25" customHeight="1">
      <x:c r="A775" s="114"/>
      <x:c r="B775" s="114"/>
      <x:c r="C775" s="114"/>
      <x:c r="D775" s="114"/>
      <x:c r="E775" s="114"/>
      <x:c r="F775" s="114"/>
      <x:c r="G775" s="114"/>
      <x:c r="H775" s="114"/>
      <x:c r="I775" s="114"/>
      <x:c r="J775" s="114"/>
      <x:c r="K775" s="12"/>
      <x:c r="L775" s="12"/>
      <x:c r="M775" s="12"/>
      <x:c r="N775" s="12"/>
      <x:c r="O775" s="12"/>
      <x:c r="P775" s="12"/>
      <x:c r="Q775" s="12"/>
      <x:c r="R775" s="12"/>
      <x:c r="S775" s="12"/>
      <x:c r="T775" s="12"/>
      <x:c r="U775" s="12"/>
      <x:c r="V775" s="12"/>
      <x:c r="W775" s="12"/>
      <x:c r="X775" s="12"/>
      <x:c r="Y775" s="12"/>
      <x:c r="Z775" s="12"/>
      <x:c r="AA775" s="12"/>
      <x:c r="AB775" s="12"/>
      <x:c r="AC775" s="12"/>
      <x:c r="AD775" s="12"/>
      <x:c r="AE775" s="12"/>
      <x:c r="AF775" s="12"/>
      <x:c r="AG775" s="12"/>
    </x:row>
    <x:row r="776" ht="14.25" customHeight="1">
      <x:c r="A776" s="114"/>
      <x:c r="B776" s="114"/>
      <x:c r="C776" s="114"/>
      <x:c r="D776" s="114"/>
      <x:c r="E776" s="114"/>
      <x:c r="F776" s="114"/>
      <x:c r="G776" s="114"/>
      <x:c r="H776" s="114"/>
      <x:c r="I776" s="114"/>
      <x:c r="J776" s="114"/>
      <x:c r="K776" s="12"/>
      <x:c r="L776" s="12"/>
      <x:c r="M776" s="12"/>
      <x:c r="N776" s="12"/>
      <x:c r="O776" s="12"/>
      <x:c r="P776" s="12"/>
      <x:c r="Q776" s="12"/>
      <x:c r="R776" s="12"/>
      <x:c r="S776" s="12"/>
      <x:c r="T776" s="12"/>
      <x:c r="U776" s="12"/>
      <x:c r="V776" s="12"/>
      <x:c r="W776" s="12"/>
      <x:c r="X776" s="12"/>
      <x:c r="Y776" s="12"/>
      <x:c r="Z776" s="12"/>
      <x:c r="AA776" s="12"/>
      <x:c r="AB776" s="12"/>
      <x:c r="AC776" s="12"/>
      <x:c r="AD776" s="12"/>
      <x:c r="AE776" s="12"/>
      <x:c r="AF776" s="12"/>
      <x:c r="AG776" s="12"/>
    </x:row>
    <x:row r="777" ht="14.25" customHeight="1">
      <x:c r="A777" s="114"/>
      <x:c r="B777" s="114"/>
      <x:c r="C777" s="114"/>
      <x:c r="D777" s="114"/>
      <x:c r="E777" s="114"/>
      <x:c r="F777" s="114"/>
      <x:c r="G777" s="114"/>
      <x:c r="H777" s="114"/>
      <x:c r="I777" s="114"/>
      <x:c r="J777" s="114"/>
      <x:c r="K777" s="12"/>
      <x:c r="L777" s="12"/>
      <x:c r="M777" s="12"/>
      <x:c r="N777" s="12"/>
      <x:c r="O777" s="12"/>
      <x:c r="P777" s="12"/>
      <x:c r="Q777" s="12"/>
      <x:c r="R777" s="12"/>
      <x:c r="S777" s="12"/>
      <x:c r="T777" s="12"/>
      <x:c r="U777" s="12"/>
      <x:c r="V777" s="12"/>
      <x:c r="W777" s="12"/>
      <x:c r="X777" s="12"/>
      <x:c r="Y777" s="12"/>
      <x:c r="Z777" s="12"/>
      <x:c r="AA777" s="12"/>
      <x:c r="AB777" s="12"/>
      <x:c r="AC777" s="12"/>
      <x:c r="AD777" s="12"/>
      <x:c r="AE777" s="12"/>
      <x:c r="AF777" s="12"/>
      <x:c r="AG777" s="12"/>
    </x:row>
    <x:row r="778" ht="14.25" customHeight="1">
      <x:c r="A778" s="114"/>
      <x:c r="B778" s="114"/>
      <x:c r="C778" s="114"/>
      <x:c r="D778" s="114"/>
      <x:c r="E778" s="114"/>
      <x:c r="F778" s="114"/>
      <x:c r="G778" s="114"/>
      <x:c r="H778" s="114"/>
      <x:c r="I778" s="114"/>
      <x:c r="J778" s="114"/>
      <x:c r="K778" s="12"/>
      <x:c r="L778" s="12"/>
      <x:c r="M778" s="12"/>
      <x:c r="N778" s="12"/>
      <x:c r="O778" s="12"/>
      <x:c r="P778" s="12"/>
      <x:c r="Q778" s="12"/>
      <x:c r="R778" s="12"/>
      <x:c r="S778" s="12"/>
      <x:c r="T778" s="12"/>
      <x:c r="U778" s="12"/>
      <x:c r="V778" s="12"/>
      <x:c r="W778" s="12"/>
      <x:c r="X778" s="12"/>
      <x:c r="Y778" s="12"/>
      <x:c r="Z778" s="12"/>
      <x:c r="AA778" s="12"/>
      <x:c r="AB778" s="12"/>
      <x:c r="AC778" s="12"/>
      <x:c r="AD778" s="12"/>
      <x:c r="AE778" s="12"/>
      <x:c r="AF778" s="12"/>
      <x:c r="AG778" s="12"/>
    </x:row>
    <x:row r="779" ht="14.25" customHeight="1">
      <x:c r="A779" s="114"/>
      <x:c r="B779" s="114"/>
      <x:c r="C779" s="114"/>
      <x:c r="D779" s="114"/>
      <x:c r="E779" s="114"/>
      <x:c r="F779" s="114"/>
      <x:c r="G779" s="114"/>
      <x:c r="H779" s="114"/>
      <x:c r="I779" s="114"/>
      <x:c r="J779" s="114"/>
      <x:c r="K779" s="12"/>
      <x:c r="L779" s="12"/>
      <x:c r="M779" s="12"/>
      <x:c r="N779" s="12"/>
      <x:c r="O779" s="12"/>
      <x:c r="P779" s="12"/>
      <x:c r="Q779" s="12"/>
      <x:c r="R779" s="12"/>
      <x:c r="S779" s="12"/>
      <x:c r="T779" s="12"/>
      <x:c r="U779" s="12"/>
      <x:c r="V779" s="12"/>
      <x:c r="W779" s="12"/>
      <x:c r="X779" s="12"/>
      <x:c r="Y779" s="12"/>
      <x:c r="Z779" s="12"/>
      <x:c r="AA779" s="12"/>
      <x:c r="AB779" s="12"/>
      <x:c r="AC779" s="12"/>
      <x:c r="AD779" s="12"/>
      <x:c r="AE779" s="12"/>
      <x:c r="AF779" s="12"/>
      <x:c r="AG779" s="12"/>
    </x:row>
    <x:row r="780" ht="14.25" customHeight="1">
      <x:c r="A780" s="114"/>
      <x:c r="B780" s="114"/>
      <x:c r="C780" s="114"/>
      <x:c r="D780" s="114"/>
      <x:c r="E780" s="114"/>
      <x:c r="F780" s="114"/>
      <x:c r="G780" s="114"/>
      <x:c r="H780" s="114"/>
      <x:c r="I780" s="114"/>
      <x:c r="J780" s="114"/>
      <x:c r="K780" s="12"/>
      <x:c r="L780" s="12"/>
      <x:c r="M780" s="12"/>
      <x:c r="N780" s="12"/>
      <x:c r="O780" s="12"/>
      <x:c r="P780" s="12"/>
      <x:c r="Q780" s="12"/>
      <x:c r="R780" s="12"/>
      <x:c r="S780" s="12"/>
      <x:c r="T780" s="12"/>
      <x:c r="U780" s="12"/>
      <x:c r="V780" s="12"/>
      <x:c r="W780" s="12"/>
      <x:c r="X780" s="12"/>
      <x:c r="Y780" s="12"/>
      <x:c r="Z780" s="12"/>
      <x:c r="AA780" s="12"/>
      <x:c r="AB780" s="12"/>
      <x:c r="AC780" s="12"/>
      <x:c r="AD780" s="12"/>
      <x:c r="AE780" s="12"/>
      <x:c r="AF780" s="12"/>
      <x:c r="AG780" s="12"/>
    </x:row>
    <x:row r="781" ht="14.25" customHeight="1">
      <x:c r="A781" s="114"/>
      <x:c r="B781" s="114"/>
      <x:c r="C781" s="114"/>
      <x:c r="D781" s="114"/>
      <x:c r="E781" s="114"/>
      <x:c r="F781" s="114"/>
      <x:c r="G781" s="114"/>
      <x:c r="H781" s="114"/>
      <x:c r="I781" s="114"/>
      <x:c r="J781" s="114"/>
      <x:c r="K781" s="12"/>
      <x:c r="L781" s="12"/>
      <x:c r="M781" s="12"/>
      <x:c r="N781" s="12"/>
      <x:c r="O781" s="12"/>
      <x:c r="P781" s="12"/>
      <x:c r="Q781" s="12"/>
      <x:c r="R781" s="12"/>
      <x:c r="S781" s="12"/>
      <x:c r="T781" s="12"/>
      <x:c r="U781" s="12"/>
      <x:c r="V781" s="12"/>
      <x:c r="W781" s="12"/>
      <x:c r="X781" s="12"/>
      <x:c r="Y781" s="12"/>
      <x:c r="Z781" s="12"/>
      <x:c r="AA781" s="12"/>
      <x:c r="AB781" s="12"/>
      <x:c r="AC781" s="12"/>
      <x:c r="AD781" s="12"/>
      <x:c r="AE781" s="12"/>
      <x:c r="AF781" s="12"/>
      <x:c r="AG781" s="12"/>
    </x:row>
    <x:row r="782" ht="14.25" customHeight="1">
      <x:c r="A782" s="114"/>
      <x:c r="B782" s="114"/>
      <x:c r="C782" s="114"/>
      <x:c r="D782" s="114"/>
      <x:c r="E782" s="114"/>
      <x:c r="F782" s="114"/>
      <x:c r="G782" s="114"/>
      <x:c r="H782" s="114"/>
      <x:c r="I782" s="114"/>
      <x:c r="J782" s="114"/>
      <x:c r="K782" s="12"/>
      <x:c r="L782" s="12"/>
      <x:c r="M782" s="12"/>
      <x:c r="N782" s="12"/>
      <x:c r="O782" s="12"/>
      <x:c r="P782" s="12"/>
      <x:c r="Q782" s="12"/>
      <x:c r="R782" s="12"/>
      <x:c r="S782" s="12"/>
      <x:c r="T782" s="12"/>
      <x:c r="U782" s="12"/>
      <x:c r="V782" s="12"/>
      <x:c r="W782" s="12"/>
      <x:c r="X782" s="12"/>
      <x:c r="Y782" s="12"/>
      <x:c r="Z782" s="12"/>
      <x:c r="AA782" s="12"/>
      <x:c r="AB782" s="12"/>
      <x:c r="AC782" s="12"/>
      <x:c r="AD782" s="12"/>
      <x:c r="AE782" s="12"/>
      <x:c r="AF782" s="12"/>
      <x:c r="AG782" s="12"/>
    </x:row>
    <x:row r="783" ht="14.25" customHeight="1">
      <x:c r="A783" s="114"/>
      <x:c r="B783" s="114"/>
      <x:c r="C783" s="114"/>
      <x:c r="D783" s="114"/>
      <x:c r="E783" s="114"/>
      <x:c r="F783" s="114"/>
      <x:c r="G783" s="114"/>
      <x:c r="H783" s="114"/>
      <x:c r="I783" s="114"/>
      <x:c r="J783" s="114"/>
      <x:c r="K783" s="12"/>
      <x:c r="L783" s="12"/>
      <x:c r="M783" s="12"/>
      <x:c r="N783" s="12"/>
      <x:c r="O783" s="12"/>
      <x:c r="P783" s="12"/>
      <x:c r="Q783" s="12"/>
      <x:c r="R783" s="12"/>
      <x:c r="S783" s="12"/>
      <x:c r="T783" s="12"/>
      <x:c r="U783" s="12"/>
      <x:c r="V783" s="12"/>
      <x:c r="W783" s="12"/>
      <x:c r="X783" s="12"/>
      <x:c r="Y783" s="12"/>
      <x:c r="Z783" s="12"/>
      <x:c r="AA783" s="12"/>
      <x:c r="AB783" s="12"/>
      <x:c r="AC783" s="12"/>
      <x:c r="AD783" s="12"/>
      <x:c r="AE783" s="12"/>
      <x:c r="AF783" s="12"/>
      <x:c r="AG783" s="12"/>
    </x:row>
    <x:row r="784" ht="14.25" customHeight="1">
      <x:c r="A784" s="114"/>
      <x:c r="B784" s="114"/>
      <x:c r="C784" s="114"/>
      <x:c r="D784" s="114"/>
      <x:c r="E784" s="114"/>
      <x:c r="F784" s="114"/>
      <x:c r="G784" s="114"/>
      <x:c r="H784" s="114"/>
      <x:c r="I784" s="114"/>
      <x:c r="J784" s="114"/>
      <x:c r="K784" s="12"/>
      <x:c r="L784" s="12"/>
      <x:c r="M784" s="12"/>
      <x:c r="N784" s="12"/>
      <x:c r="O784" s="12"/>
      <x:c r="P784" s="12"/>
      <x:c r="Q784" s="12"/>
      <x:c r="R784" s="12"/>
      <x:c r="S784" s="12"/>
      <x:c r="T784" s="12"/>
      <x:c r="U784" s="12"/>
      <x:c r="V784" s="12"/>
      <x:c r="W784" s="12"/>
      <x:c r="X784" s="12"/>
      <x:c r="Y784" s="12"/>
      <x:c r="Z784" s="12"/>
      <x:c r="AA784" s="12"/>
      <x:c r="AB784" s="12"/>
      <x:c r="AC784" s="12"/>
      <x:c r="AD784" s="12"/>
      <x:c r="AE784" s="12"/>
      <x:c r="AF784" s="12"/>
      <x:c r="AG784" s="12"/>
    </x:row>
    <x:row r="785" ht="14.25" customHeight="1">
      <x:c r="A785" s="114"/>
      <x:c r="B785" s="114"/>
      <x:c r="C785" s="114"/>
      <x:c r="D785" s="114"/>
      <x:c r="E785" s="114"/>
      <x:c r="F785" s="114"/>
      <x:c r="G785" s="114"/>
      <x:c r="H785" s="114"/>
      <x:c r="I785" s="114"/>
      <x:c r="J785" s="114"/>
      <x:c r="K785" s="12"/>
      <x:c r="L785" s="12"/>
      <x:c r="M785" s="12"/>
      <x:c r="N785" s="12"/>
      <x:c r="O785" s="12"/>
      <x:c r="P785" s="12"/>
      <x:c r="Q785" s="12"/>
      <x:c r="R785" s="12"/>
      <x:c r="S785" s="12"/>
      <x:c r="T785" s="12"/>
      <x:c r="U785" s="12"/>
      <x:c r="V785" s="12"/>
      <x:c r="W785" s="12"/>
      <x:c r="X785" s="12"/>
      <x:c r="Y785" s="12"/>
      <x:c r="Z785" s="12"/>
      <x:c r="AA785" s="12"/>
      <x:c r="AB785" s="12"/>
      <x:c r="AC785" s="12"/>
      <x:c r="AD785" s="12"/>
      <x:c r="AE785" s="12"/>
      <x:c r="AF785" s="12"/>
      <x:c r="AG785" s="12"/>
    </x:row>
    <x:row r="786" ht="14.25" customHeight="1">
      <x:c r="A786" s="114"/>
      <x:c r="B786" s="114"/>
      <x:c r="C786" s="114"/>
      <x:c r="D786" s="114"/>
      <x:c r="E786" s="114"/>
      <x:c r="F786" s="114"/>
      <x:c r="G786" s="114"/>
      <x:c r="H786" s="114"/>
      <x:c r="I786" s="114"/>
      <x:c r="J786" s="114"/>
      <x:c r="K786" s="12"/>
      <x:c r="L786" s="12"/>
      <x:c r="M786" s="12"/>
      <x:c r="N786" s="12"/>
      <x:c r="O786" s="12"/>
      <x:c r="P786" s="12"/>
      <x:c r="Q786" s="12"/>
      <x:c r="R786" s="12"/>
      <x:c r="S786" s="12"/>
      <x:c r="T786" s="12"/>
      <x:c r="U786" s="12"/>
      <x:c r="V786" s="12"/>
      <x:c r="W786" s="12"/>
      <x:c r="X786" s="12"/>
      <x:c r="Y786" s="12"/>
      <x:c r="Z786" s="12"/>
      <x:c r="AA786" s="12"/>
      <x:c r="AB786" s="12"/>
      <x:c r="AC786" s="12"/>
      <x:c r="AD786" s="12"/>
      <x:c r="AE786" s="12"/>
      <x:c r="AF786" s="12"/>
      <x:c r="AG786" s="12"/>
    </x:row>
    <x:row r="787" ht="14.25" customHeight="1">
      <x:c r="A787" s="114"/>
      <x:c r="B787" s="114"/>
      <x:c r="C787" s="114"/>
      <x:c r="D787" s="114"/>
      <x:c r="E787" s="114"/>
      <x:c r="F787" s="114"/>
      <x:c r="G787" s="114"/>
      <x:c r="H787" s="114"/>
      <x:c r="I787" s="114"/>
      <x:c r="J787" s="114"/>
      <x:c r="K787" s="12"/>
      <x:c r="L787" s="12"/>
      <x:c r="M787" s="12"/>
      <x:c r="N787" s="12"/>
      <x:c r="O787" s="12"/>
      <x:c r="P787" s="12"/>
      <x:c r="Q787" s="12"/>
      <x:c r="R787" s="12"/>
      <x:c r="S787" s="12"/>
      <x:c r="T787" s="12"/>
      <x:c r="U787" s="12"/>
      <x:c r="V787" s="12"/>
      <x:c r="W787" s="12"/>
      <x:c r="X787" s="12"/>
      <x:c r="Y787" s="12"/>
      <x:c r="Z787" s="12"/>
      <x:c r="AA787" s="12"/>
      <x:c r="AB787" s="12"/>
      <x:c r="AC787" s="12"/>
      <x:c r="AD787" s="12"/>
      <x:c r="AE787" s="12"/>
      <x:c r="AF787" s="12"/>
      <x:c r="AG787" s="12"/>
    </x:row>
    <x:row r="788" ht="14.25" customHeight="1">
      <x:c r="A788" s="114"/>
      <x:c r="B788" s="114"/>
      <x:c r="C788" s="114"/>
      <x:c r="D788" s="114"/>
      <x:c r="E788" s="114"/>
      <x:c r="F788" s="114"/>
      <x:c r="G788" s="114"/>
      <x:c r="H788" s="114"/>
      <x:c r="I788" s="114"/>
      <x:c r="J788" s="114"/>
      <x:c r="K788" s="12"/>
      <x:c r="L788" s="12"/>
      <x:c r="M788" s="12"/>
      <x:c r="N788" s="12"/>
      <x:c r="O788" s="12"/>
      <x:c r="P788" s="12"/>
      <x:c r="Q788" s="12"/>
      <x:c r="R788" s="12"/>
      <x:c r="S788" s="12"/>
      <x:c r="T788" s="12"/>
      <x:c r="U788" s="12"/>
      <x:c r="V788" s="12"/>
      <x:c r="W788" s="12"/>
      <x:c r="X788" s="12"/>
      <x:c r="Y788" s="12"/>
      <x:c r="Z788" s="12"/>
      <x:c r="AA788" s="12"/>
      <x:c r="AB788" s="12"/>
      <x:c r="AC788" s="12"/>
      <x:c r="AD788" s="12"/>
      <x:c r="AE788" s="12"/>
      <x:c r="AF788" s="12"/>
      <x:c r="AG788" s="12"/>
    </x:row>
    <x:row r="789" ht="14.25" customHeight="1">
      <x:c r="A789" s="114"/>
      <x:c r="B789" s="114"/>
      <x:c r="C789" s="114"/>
      <x:c r="D789" s="114"/>
      <x:c r="E789" s="114"/>
      <x:c r="F789" s="114"/>
      <x:c r="G789" s="114"/>
      <x:c r="H789" s="114"/>
      <x:c r="I789" s="114"/>
      <x:c r="J789" s="114"/>
      <x:c r="K789" s="12"/>
      <x:c r="L789" s="12"/>
      <x:c r="M789" s="12"/>
      <x:c r="N789" s="12"/>
      <x:c r="O789" s="12"/>
      <x:c r="P789" s="12"/>
      <x:c r="Q789" s="12"/>
      <x:c r="R789" s="12"/>
      <x:c r="S789" s="12"/>
      <x:c r="T789" s="12"/>
      <x:c r="U789" s="12"/>
      <x:c r="V789" s="12"/>
      <x:c r="W789" s="12"/>
      <x:c r="X789" s="12"/>
      <x:c r="Y789" s="12"/>
      <x:c r="Z789" s="12"/>
      <x:c r="AA789" s="12"/>
      <x:c r="AB789" s="12"/>
      <x:c r="AC789" s="12"/>
      <x:c r="AD789" s="12"/>
      <x:c r="AE789" s="12"/>
      <x:c r="AF789" s="12"/>
      <x:c r="AG789" s="12"/>
    </x:row>
    <x:row r="790" ht="14.25" customHeight="1">
      <x:c r="A790" s="114"/>
      <x:c r="B790" s="114"/>
      <x:c r="C790" s="114"/>
      <x:c r="D790" s="114"/>
      <x:c r="E790" s="114"/>
      <x:c r="F790" s="114"/>
      <x:c r="G790" s="114"/>
      <x:c r="H790" s="114"/>
      <x:c r="I790" s="114"/>
      <x:c r="J790" s="114"/>
      <x:c r="K790" s="12"/>
      <x:c r="L790" s="12"/>
      <x:c r="M790" s="12"/>
      <x:c r="N790" s="12"/>
      <x:c r="O790" s="12"/>
      <x:c r="P790" s="12"/>
      <x:c r="Q790" s="12"/>
      <x:c r="R790" s="12"/>
      <x:c r="S790" s="12"/>
      <x:c r="T790" s="12"/>
      <x:c r="U790" s="12"/>
      <x:c r="V790" s="12"/>
      <x:c r="W790" s="12"/>
      <x:c r="X790" s="12"/>
      <x:c r="Y790" s="12"/>
      <x:c r="Z790" s="12"/>
      <x:c r="AA790" s="12"/>
      <x:c r="AB790" s="12"/>
      <x:c r="AC790" s="12"/>
      <x:c r="AD790" s="12"/>
      <x:c r="AE790" s="12"/>
      <x:c r="AF790" s="12"/>
      <x:c r="AG790" s="12"/>
    </x:row>
    <x:row r="791" ht="14.25" customHeight="1">
      <x:c r="A791" s="114"/>
      <x:c r="B791" s="114"/>
      <x:c r="C791" s="114"/>
      <x:c r="D791" s="114"/>
      <x:c r="E791" s="114"/>
      <x:c r="F791" s="114"/>
      <x:c r="G791" s="114"/>
      <x:c r="H791" s="114"/>
      <x:c r="I791" s="114"/>
      <x:c r="J791" s="114"/>
      <x:c r="K791" s="12"/>
      <x:c r="L791" s="12"/>
      <x:c r="M791" s="12"/>
      <x:c r="N791" s="12"/>
      <x:c r="O791" s="12"/>
      <x:c r="P791" s="12"/>
      <x:c r="Q791" s="12"/>
      <x:c r="R791" s="12"/>
      <x:c r="S791" s="12"/>
      <x:c r="T791" s="12"/>
      <x:c r="U791" s="12"/>
      <x:c r="V791" s="12"/>
      <x:c r="W791" s="12"/>
      <x:c r="X791" s="12"/>
      <x:c r="Y791" s="12"/>
      <x:c r="Z791" s="12"/>
      <x:c r="AA791" s="12"/>
      <x:c r="AB791" s="12"/>
      <x:c r="AC791" s="12"/>
      <x:c r="AD791" s="12"/>
      <x:c r="AE791" s="12"/>
      <x:c r="AF791" s="12"/>
      <x:c r="AG791" s="12"/>
    </x:row>
    <x:row r="792" ht="14.25" customHeight="1">
      <x:c r="A792" s="114"/>
      <x:c r="B792" s="114"/>
      <x:c r="C792" s="114"/>
      <x:c r="D792" s="114"/>
      <x:c r="E792" s="114"/>
      <x:c r="F792" s="114"/>
      <x:c r="G792" s="114"/>
      <x:c r="H792" s="114"/>
      <x:c r="I792" s="114"/>
      <x:c r="J792" s="114"/>
      <x:c r="K792" s="12"/>
      <x:c r="L792" s="12"/>
      <x:c r="M792" s="12"/>
      <x:c r="N792" s="12"/>
      <x:c r="O792" s="12"/>
      <x:c r="P792" s="12"/>
      <x:c r="Q792" s="12"/>
      <x:c r="R792" s="12"/>
      <x:c r="S792" s="12"/>
      <x:c r="T792" s="12"/>
      <x:c r="U792" s="12"/>
      <x:c r="V792" s="12"/>
      <x:c r="W792" s="12"/>
      <x:c r="X792" s="12"/>
      <x:c r="Y792" s="12"/>
      <x:c r="Z792" s="12"/>
      <x:c r="AA792" s="12"/>
      <x:c r="AB792" s="12"/>
      <x:c r="AC792" s="12"/>
      <x:c r="AD792" s="12"/>
      <x:c r="AE792" s="12"/>
      <x:c r="AF792" s="12"/>
      <x:c r="AG792" s="12"/>
    </x:row>
    <x:row r="793" ht="14.25" customHeight="1">
      <x:c r="A793" s="114"/>
      <x:c r="B793" s="114"/>
      <x:c r="C793" s="114"/>
      <x:c r="D793" s="114"/>
      <x:c r="E793" s="114"/>
      <x:c r="F793" s="114"/>
      <x:c r="G793" s="114"/>
      <x:c r="H793" s="114"/>
      <x:c r="I793" s="114"/>
      <x:c r="J793" s="114"/>
      <x:c r="K793" s="12"/>
      <x:c r="L793" s="12"/>
      <x:c r="M793" s="12"/>
      <x:c r="N793" s="12"/>
      <x:c r="O793" s="12"/>
      <x:c r="P793" s="12"/>
      <x:c r="Q793" s="12"/>
      <x:c r="R793" s="12"/>
      <x:c r="S793" s="12"/>
      <x:c r="T793" s="12"/>
      <x:c r="U793" s="12"/>
      <x:c r="V793" s="12"/>
      <x:c r="W793" s="12"/>
      <x:c r="X793" s="12"/>
      <x:c r="Y793" s="12"/>
      <x:c r="Z793" s="12"/>
      <x:c r="AA793" s="12"/>
      <x:c r="AB793" s="12"/>
      <x:c r="AC793" s="12"/>
      <x:c r="AD793" s="12"/>
      <x:c r="AE793" s="12"/>
      <x:c r="AF793" s="12"/>
      <x:c r="AG793" s="12"/>
    </x:row>
    <x:row r="794" ht="14.25" customHeight="1">
      <x:c r="A794" s="114"/>
      <x:c r="B794" s="114"/>
      <x:c r="C794" s="114"/>
      <x:c r="D794" s="114"/>
      <x:c r="E794" s="114"/>
      <x:c r="F794" s="114"/>
      <x:c r="G794" s="114"/>
      <x:c r="H794" s="114"/>
      <x:c r="I794" s="114"/>
      <x:c r="J794" s="114"/>
      <x:c r="K794" s="12"/>
      <x:c r="L794" s="12"/>
      <x:c r="M794" s="12"/>
      <x:c r="N794" s="12"/>
      <x:c r="O794" s="12"/>
      <x:c r="P794" s="12"/>
      <x:c r="Q794" s="12"/>
      <x:c r="R794" s="12"/>
      <x:c r="S794" s="12"/>
      <x:c r="T794" s="12"/>
      <x:c r="U794" s="12"/>
      <x:c r="V794" s="12"/>
      <x:c r="W794" s="12"/>
      <x:c r="X794" s="12"/>
      <x:c r="Y794" s="12"/>
      <x:c r="Z794" s="12"/>
      <x:c r="AA794" s="12"/>
      <x:c r="AB794" s="12"/>
      <x:c r="AC794" s="12"/>
      <x:c r="AD794" s="12"/>
      <x:c r="AE794" s="12"/>
      <x:c r="AF794" s="12"/>
      <x:c r="AG794" s="12"/>
    </x:row>
    <x:row r="795" ht="14.25" customHeight="1">
      <x:c r="A795" s="114"/>
      <x:c r="B795" s="114"/>
      <x:c r="C795" s="114"/>
      <x:c r="D795" s="114"/>
      <x:c r="E795" s="114"/>
      <x:c r="F795" s="114"/>
      <x:c r="G795" s="114"/>
      <x:c r="H795" s="114"/>
      <x:c r="I795" s="114"/>
      <x:c r="J795" s="114"/>
      <x:c r="K795" s="12"/>
      <x:c r="L795" s="12"/>
      <x:c r="M795" s="12"/>
      <x:c r="N795" s="12"/>
      <x:c r="O795" s="12"/>
      <x:c r="P795" s="12"/>
      <x:c r="Q795" s="12"/>
      <x:c r="R795" s="12"/>
      <x:c r="S795" s="12"/>
      <x:c r="T795" s="12"/>
      <x:c r="U795" s="12"/>
      <x:c r="V795" s="12"/>
      <x:c r="W795" s="12"/>
      <x:c r="X795" s="12"/>
      <x:c r="Y795" s="12"/>
      <x:c r="Z795" s="12"/>
      <x:c r="AA795" s="12"/>
      <x:c r="AB795" s="12"/>
      <x:c r="AC795" s="12"/>
      <x:c r="AD795" s="12"/>
      <x:c r="AE795" s="12"/>
      <x:c r="AF795" s="12"/>
      <x:c r="AG795" s="12"/>
    </x:row>
    <x:row r="796" ht="14.25" customHeight="1">
      <x:c r="A796" s="114"/>
      <x:c r="B796" s="114"/>
      <x:c r="C796" s="114"/>
      <x:c r="D796" s="114"/>
      <x:c r="E796" s="114"/>
      <x:c r="F796" s="114"/>
      <x:c r="G796" s="114"/>
      <x:c r="H796" s="114"/>
      <x:c r="I796" s="114"/>
      <x:c r="J796" s="114"/>
      <x:c r="K796" s="12"/>
      <x:c r="L796" s="12"/>
      <x:c r="M796" s="12"/>
      <x:c r="N796" s="12"/>
      <x:c r="O796" s="12"/>
      <x:c r="P796" s="12"/>
      <x:c r="Q796" s="12"/>
      <x:c r="R796" s="12"/>
      <x:c r="S796" s="12"/>
      <x:c r="T796" s="12"/>
      <x:c r="U796" s="12"/>
      <x:c r="V796" s="12"/>
      <x:c r="W796" s="12"/>
      <x:c r="X796" s="12"/>
      <x:c r="Y796" s="12"/>
      <x:c r="Z796" s="12"/>
      <x:c r="AA796" s="12"/>
      <x:c r="AB796" s="12"/>
      <x:c r="AC796" s="12"/>
      <x:c r="AD796" s="12"/>
      <x:c r="AE796" s="12"/>
      <x:c r="AF796" s="12"/>
      <x:c r="AG796" s="12"/>
    </x:row>
    <x:row r="797" ht="14.25" customHeight="1">
      <x:c r="A797" s="114"/>
      <x:c r="B797" s="114"/>
      <x:c r="C797" s="114"/>
      <x:c r="D797" s="114"/>
      <x:c r="E797" s="114"/>
      <x:c r="F797" s="114"/>
      <x:c r="G797" s="114"/>
      <x:c r="H797" s="114"/>
      <x:c r="I797" s="114"/>
      <x:c r="J797" s="114"/>
      <x:c r="K797" s="12"/>
      <x:c r="L797" s="12"/>
      <x:c r="M797" s="12"/>
      <x:c r="N797" s="12"/>
      <x:c r="O797" s="12"/>
      <x:c r="P797" s="12"/>
      <x:c r="Q797" s="12"/>
      <x:c r="R797" s="12"/>
      <x:c r="S797" s="12"/>
      <x:c r="T797" s="12"/>
      <x:c r="U797" s="12"/>
      <x:c r="V797" s="12"/>
      <x:c r="W797" s="12"/>
      <x:c r="X797" s="12"/>
      <x:c r="Y797" s="12"/>
      <x:c r="Z797" s="12"/>
      <x:c r="AA797" s="12"/>
      <x:c r="AB797" s="12"/>
      <x:c r="AC797" s="12"/>
      <x:c r="AD797" s="12"/>
      <x:c r="AE797" s="12"/>
      <x:c r="AF797" s="12"/>
      <x:c r="AG797" s="12"/>
    </x:row>
    <x:row r="798" ht="14.25" customHeight="1">
      <x:c r="A798" s="114"/>
      <x:c r="B798" s="114"/>
      <x:c r="C798" s="114"/>
      <x:c r="D798" s="114"/>
      <x:c r="E798" s="114"/>
      <x:c r="F798" s="114"/>
      <x:c r="G798" s="114"/>
      <x:c r="H798" s="114"/>
      <x:c r="I798" s="114"/>
      <x:c r="J798" s="114"/>
      <x:c r="K798" s="12"/>
      <x:c r="L798" s="12"/>
      <x:c r="M798" s="12"/>
      <x:c r="N798" s="12"/>
      <x:c r="O798" s="12"/>
      <x:c r="P798" s="12"/>
      <x:c r="Q798" s="12"/>
      <x:c r="R798" s="12"/>
      <x:c r="S798" s="12"/>
      <x:c r="T798" s="12"/>
      <x:c r="U798" s="12"/>
      <x:c r="V798" s="12"/>
      <x:c r="W798" s="12"/>
      <x:c r="X798" s="12"/>
      <x:c r="Y798" s="12"/>
      <x:c r="Z798" s="12"/>
      <x:c r="AA798" s="12"/>
      <x:c r="AB798" s="12"/>
      <x:c r="AC798" s="12"/>
      <x:c r="AD798" s="12"/>
      <x:c r="AE798" s="12"/>
      <x:c r="AF798" s="12"/>
      <x:c r="AG798" s="12"/>
    </x:row>
    <x:row r="799" ht="14.25" customHeight="1">
      <x:c r="A799" s="114"/>
      <x:c r="B799" s="114"/>
      <x:c r="C799" s="114"/>
      <x:c r="D799" s="114"/>
      <x:c r="E799" s="114"/>
      <x:c r="F799" s="114"/>
      <x:c r="G799" s="114"/>
      <x:c r="H799" s="114"/>
      <x:c r="I799" s="114"/>
      <x:c r="J799" s="114"/>
      <x:c r="K799" s="12"/>
      <x:c r="L799" s="12"/>
      <x:c r="M799" s="12"/>
      <x:c r="N799" s="12"/>
      <x:c r="O799" s="12"/>
      <x:c r="P799" s="12"/>
      <x:c r="Q799" s="12"/>
      <x:c r="R799" s="12"/>
      <x:c r="S799" s="12"/>
      <x:c r="T799" s="12"/>
      <x:c r="U799" s="12"/>
      <x:c r="V799" s="12"/>
      <x:c r="W799" s="12"/>
      <x:c r="X799" s="12"/>
      <x:c r="Y799" s="12"/>
      <x:c r="Z799" s="12"/>
      <x:c r="AA799" s="12"/>
      <x:c r="AB799" s="12"/>
      <x:c r="AC799" s="12"/>
      <x:c r="AD799" s="12"/>
      <x:c r="AE799" s="12"/>
      <x:c r="AF799" s="12"/>
      <x:c r="AG799" s="12"/>
    </x:row>
    <x:row r="800" ht="14.25" customHeight="1">
      <x:c r="A800" s="114"/>
      <x:c r="B800" s="114"/>
      <x:c r="C800" s="114"/>
      <x:c r="D800" s="114"/>
      <x:c r="E800" s="114"/>
      <x:c r="F800" s="114"/>
      <x:c r="G800" s="114"/>
      <x:c r="H800" s="114"/>
      <x:c r="I800" s="114"/>
      <x:c r="J800" s="114"/>
      <x:c r="K800" s="12"/>
      <x:c r="L800" s="12"/>
      <x:c r="M800" s="12"/>
      <x:c r="N800" s="12"/>
      <x:c r="O800" s="12"/>
      <x:c r="P800" s="12"/>
      <x:c r="Q800" s="12"/>
      <x:c r="R800" s="12"/>
      <x:c r="S800" s="12"/>
      <x:c r="T800" s="12"/>
      <x:c r="U800" s="12"/>
      <x:c r="V800" s="12"/>
      <x:c r="W800" s="12"/>
      <x:c r="X800" s="12"/>
      <x:c r="Y800" s="12"/>
      <x:c r="Z800" s="12"/>
      <x:c r="AA800" s="12"/>
      <x:c r="AB800" s="12"/>
      <x:c r="AC800" s="12"/>
      <x:c r="AD800" s="12"/>
      <x:c r="AE800" s="12"/>
      <x:c r="AF800" s="12"/>
      <x:c r="AG800" s="12"/>
    </x:row>
    <x:row r="801" ht="14.25" customHeight="1">
      <x:c r="A801" s="114"/>
      <x:c r="B801" s="114"/>
      <x:c r="C801" s="114"/>
      <x:c r="D801" s="114"/>
      <x:c r="E801" s="114"/>
      <x:c r="F801" s="114"/>
      <x:c r="G801" s="114"/>
      <x:c r="H801" s="114"/>
      <x:c r="I801" s="114"/>
      <x:c r="J801" s="114"/>
      <x:c r="K801" s="12"/>
      <x:c r="L801" s="12"/>
      <x:c r="M801" s="12"/>
      <x:c r="N801" s="12"/>
      <x:c r="O801" s="12"/>
      <x:c r="P801" s="12"/>
      <x:c r="Q801" s="12"/>
      <x:c r="R801" s="12"/>
      <x:c r="S801" s="12"/>
      <x:c r="T801" s="12"/>
      <x:c r="U801" s="12"/>
      <x:c r="V801" s="12"/>
      <x:c r="W801" s="12"/>
      <x:c r="X801" s="12"/>
      <x:c r="Y801" s="12"/>
      <x:c r="Z801" s="12"/>
      <x:c r="AA801" s="12"/>
      <x:c r="AB801" s="12"/>
      <x:c r="AC801" s="12"/>
      <x:c r="AD801" s="12"/>
      <x:c r="AE801" s="12"/>
      <x:c r="AF801" s="12"/>
      <x:c r="AG801" s="12"/>
    </x:row>
    <x:row r="802" ht="14.25" customHeight="1">
      <x:c r="A802" s="114"/>
      <x:c r="B802" s="114"/>
      <x:c r="C802" s="114"/>
      <x:c r="D802" s="114"/>
      <x:c r="E802" s="114"/>
      <x:c r="F802" s="114"/>
      <x:c r="G802" s="114"/>
      <x:c r="H802" s="114"/>
      <x:c r="I802" s="114"/>
      <x:c r="J802" s="114"/>
      <x:c r="K802" s="12"/>
      <x:c r="L802" s="12"/>
      <x:c r="M802" s="12"/>
      <x:c r="N802" s="12"/>
      <x:c r="O802" s="12"/>
      <x:c r="P802" s="12"/>
      <x:c r="Q802" s="12"/>
      <x:c r="R802" s="12"/>
      <x:c r="S802" s="12"/>
      <x:c r="T802" s="12"/>
      <x:c r="U802" s="12"/>
      <x:c r="V802" s="12"/>
      <x:c r="W802" s="12"/>
      <x:c r="X802" s="12"/>
      <x:c r="Y802" s="12"/>
      <x:c r="Z802" s="12"/>
      <x:c r="AA802" s="12"/>
      <x:c r="AB802" s="12"/>
      <x:c r="AC802" s="12"/>
      <x:c r="AD802" s="12"/>
      <x:c r="AE802" s="12"/>
      <x:c r="AF802" s="12"/>
      <x:c r="AG802" s="12"/>
    </x:row>
    <x:row r="803" ht="14.25" customHeight="1">
      <x:c r="A803" s="114"/>
      <x:c r="B803" s="114"/>
      <x:c r="C803" s="114"/>
      <x:c r="D803" s="114"/>
      <x:c r="E803" s="114"/>
      <x:c r="F803" s="114"/>
      <x:c r="G803" s="114"/>
      <x:c r="H803" s="114"/>
      <x:c r="I803" s="114"/>
      <x:c r="J803" s="114"/>
      <x:c r="K803" s="12"/>
      <x:c r="L803" s="12"/>
      <x:c r="M803" s="12"/>
      <x:c r="N803" s="12"/>
      <x:c r="O803" s="12"/>
      <x:c r="P803" s="12"/>
      <x:c r="Q803" s="12"/>
      <x:c r="R803" s="12"/>
      <x:c r="S803" s="12"/>
      <x:c r="T803" s="12"/>
      <x:c r="U803" s="12"/>
      <x:c r="V803" s="12"/>
      <x:c r="W803" s="12"/>
      <x:c r="X803" s="12"/>
      <x:c r="Y803" s="12"/>
      <x:c r="Z803" s="12"/>
      <x:c r="AA803" s="12"/>
      <x:c r="AB803" s="12"/>
      <x:c r="AC803" s="12"/>
      <x:c r="AD803" s="12"/>
      <x:c r="AE803" s="12"/>
      <x:c r="AF803" s="12"/>
      <x:c r="AG803" s="12"/>
    </x:row>
    <x:row r="804" ht="14.25" customHeight="1">
      <x:c r="A804" s="114"/>
      <x:c r="B804" s="114"/>
      <x:c r="C804" s="114"/>
      <x:c r="D804" s="114"/>
      <x:c r="E804" s="114"/>
      <x:c r="F804" s="114"/>
      <x:c r="G804" s="114"/>
      <x:c r="H804" s="114"/>
      <x:c r="I804" s="114"/>
      <x:c r="J804" s="114"/>
      <x:c r="K804" s="12"/>
      <x:c r="L804" s="12"/>
      <x:c r="M804" s="12"/>
      <x:c r="N804" s="12"/>
      <x:c r="O804" s="12"/>
      <x:c r="P804" s="12"/>
      <x:c r="Q804" s="12"/>
      <x:c r="R804" s="12"/>
      <x:c r="S804" s="12"/>
      <x:c r="T804" s="12"/>
      <x:c r="U804" s="12"/>
      <x:c r="V804" s="12"/>
      <x:c r="W804" s="12"/>
      <x:c r="X804" s="12"/>
      <x:c r="Y804" s="12"/>
      <x:c r="Z804" s="12"/>
      <x:c r="AA804" s="12"/>
      <x:c r="AB804" s="12"/>
      <x:c r="AC804" s="12"/>
      <x:c r="AD804" s="12"/>
      <x:c r="AE804" s="12"/>
      <x:c r="AF804" s="12"/>
      <x:c r="AG804" s="12"/>
    </x:row>
    <x:row r="805" ht="14.25" customHeight="1">
      <x:c r="A805" s="114"/>
      <x:c r="B805" s="114"/>
      <x:c r="C805" s="114"/>
      <x:c r="D805" s="114"/>
      <x:c r="E805" s="114"/>
      <x:c r="F805" s="114"/>
      <x:c r="G805" s="114"/>
      <x:c r="H805" s="114"/>
      <x:c r="I805" s="114"/>
      <x:c r="J805" s="114"/>
      <x:c r="K805" s="12"/>
      <x:c r="L805" s="12"/>
      <x:c r="M805" s="12"/>
      <x:c r="N805" s="12"/>
      <x:c r="O805" s="12"/>
      <x:c r="P805" s="12"/>
      <x:c r="Q805" s="12"/>
      <x:c r="R805" s="12"/>
      <x:c r="S805" s="12"/>
      <x:c r="T805" s="12"/>
      <x:c r="U805" s="12"/>
      <x:c r="V805" s="12"/>
      <x:c r="W805" s="12"/>
      <x:c r="X805" s="12"/>
      <x:c r="Y805" s="12"/>
      <x:c r="Z805" s="12"/>
      <x:c r="AA805" s="12"/>
      <x:c r="AB805" s="12"/>
      <x:c r="AC805" s="12"/>
      <x:c r="AD805" s="12"/>
      <x:c r="AE805" s="12"/>
      <x:c r="AF805" s="12"/>
      <x:c r="AG805" s="12"/>
    </x:row>
    <x:row r="806" ht="14.25" customHeight="1">
      <x:c r="A806" s="114"/>
      <x:c r="B806" s="114"/>
      <x:c r="C806" s="114"/>
      <x:c r="D806" s="114"/>
      <x:c r="E806" s="114"/>
      <x:c r="F806" s="114"/>
      <x:c r="G806" s="114"/>
      <x:c r="H806" s="114"/>
      <x:c r="I806" s="114"/>
      <x:c r="J806" s="114"/>
      <x:c r="K806" s="12"/>
      <x:c r="L806" s="12"/>
      <x:c r="M806" s="12"/>
      <x:c r="N806" s="12"/>
      <x:c r="O806" s="12"/>
      <x:c r="P806" s="12"/>
      <x:c r="Q806" s="12"/>
      <x:c r="R806" s="12"/>
      <x:c r="S806" s="12"/>
      <x:c r="T806" s="12"/>
      <x:c r="U806" s="12"/>
      <x:c r="V806" s="12"/>
      <x:c r="W806" s="12"/>
      <x:c r="X806" s="12"/>
      <x:c r="Y806" s="12"/>
      <x:c r="Z806" s="12"/>
      <x:c r="AA806" s="12"/>
      <x:c r="AB806" s="12"/>
      <x:c r="AC806" s="12"/>
      <x:c r="AD806" s="12"/>
      <x:c r="AE806" s="12"/>
      <x:c r="AF806" s="12"/>
      <x:c r="AG806" s="12"/>
    </x:row>
    <x:row r="807" ht="14.25" customHeight="1">
      <x:c r="A807" s="114"/>
      <x:c r="B807" s="114"/>
      <x:c r="C807" s="114"/>
      <x:c r="D807" s="114"/>
      <x:c r="E807" s="114"/>
      <x:c r="F807" s="114"/>
      <x:c r="G807" s="114"/>
      <x:c r="H807" s="114"/>
      <x:c r="I807" s="114"/>
      <x:c r="J807" s="114"/>
      <x:c r="K807" s="12"/>
      <x:c r="L807" s="12"/>
      <x:c r="M807" s="12"/>
      <x:c r="N807" s="12"/>
      <x:c r="O807" s="12"/>
      <x:c r="P807" s="12"/>
      <x:c r="Q807" s="12"/>
      <x:c r="R807" s="12"/>
      <x:c r="S807" s="12"/>
      <x:c r="T807" s="12"/>
      <x:c r="U807" s="12"/>
      <x:c r="V807" s="12"/>
      <x:c r="W807" s="12"/>
      <x:c r="X807" s="12"/>
      <x:c r="Y807" s="12"/>
      <x:c r="Z807" s="12"/>
      <x:c r="AA807" s="12"/>
      <x:c r="AB807" s="12"/>
      <x:c r="AC807" s="12"/>
      <x:c r="AD807" s="12"/>
      <x:c r="AE807" s="12"/>
      <x:c r="AF807" s="12"/>
      <x:c r="AG807" s="12"/>
    </x:row>
    <x:row r="808" ht="14.25" customHeight="1">
      <x:c r="A808" s="114"/>
      <x:c r="B808" s="114"/>
      <x:c r="C808" s="114"/>
      <x:c r="D808" s="114"/>
      <x:c r="E808" s="114"/>
      <x:c r="F808" s="114"/>
      <x:c r="G808" s="114"/>
      <x:c r="H808" s="114"/>
      <x:c r="I808" s="114"/>
      <x:c r="J808" s="114"/>
      <x:c r="K808" s="12"/>
      <x:c r="L808" s="12"/>
      <x:c r="M808" s="12"/>
      <x:c r="N808" s="12"/>
      <x:c r="O808" s="12"/>
      <x:c r="P808" s="12"/>
      <x:c r="Q808" s="12"/>
      <x:c r="R808" s="12"/>
      <x:c r="S808" s="12"/>
      <x:c r="T808" s="12"/>
      <x:c r="U808" s="12"/>
      <x:c r="V808" s="12"/>
      <x:c r="W808" s="12"/>
      <x:c r="X808" s="12"/>
      <x:c r="Y808" s="12"/>
      <x:c r="Z808" s="12"/>
      <x:c r="AA808" s="12"/>
      <x:c r="AB808" s="12"/>
      <x:c r="AC808" s="12"/>
      <x:c r="AD808" s="12"/>
      <x:c r="AE808" s="12"/>
      <x:c r="AF808" s="12"/>
      <x:c r="AG808" s="12"/>
    </x:row>
    <x:row r="809" ht="14.25" customHeight="1">
      <x:c r="A809" s="114"/>
      <x:c r="B809" s="114"/>
      <x:c r="C809" s="114"/>
      <x:c r="D809" s="114"/>
      <x:c r="E809" s="114"/>
      <x:c r="F809" s="114"/>
      <x:c r="G809" s="114"/>
      <x:c r="H809" s="114"/>
      <x:c r="I809" s="114"/>
      <x:c r="J809" s="114"/>
      <x:c r="K809" s="12"/>
      <x:c r="L809" s="12"/>
      <x:c r="M809" s="12"/>
      <x:c r="N809" s="12"/>
      <x:c r="O809" s="12"/>
      <x:c r="P809" s="12"/>
      <x:c r="Q809" s="12"/>
      <x:c r="R809" s="12"/>
      <x:c r="S809" s="12"/>
      <x:c r="T809" s="12"/>
      <x:c r="U809" s="12"/>
      <x:c r="V809" s="12"/>
      <x:c r="W809" s="12"/>
      <x:c r="X809" s="12"/>
      <x:c r="Y809" s="12"/>
      <x:c r="Z809" s="12"/>
      <x:c r="AA809" s="12"/>
      <x:c r="AB809" s="12"/>
      <x:c r="AC809" s="12"/>
      <x:c r="AD809" s="12"/>
      <x:c r="AE809" s="12"/>
      <x:c r="AF809" s="12"/>
      <x:c r="AG809" s="12"/>
    </x:row>
    <x:row r="810" ht="14.25" customHeight="1">
      <x:c r="A810" s="114"/>
      <x:c r="B810" s="114"/>
      <x:c r="C810" s="114"/>
      <x:c r="D810" s="114"/>
      <x:c r="E810" s="114"/>
      <x:c r="F810" s="114"/>
      <x:c r="G810" s="114"/>
      <x:c r="H810" s="114"/>
      <x:c r="I810" s="114"/>
      <x:c r="J810" s="114"/>
      <x:c r="K810" s="12"/>
      <x:c r="L810" s="12"/>
      <x:c r="M810" s="12"/>
      <x:c r="N810" s="12"/>
      <x:c r="O810" s="12"/>
      <x:c r="P810" s="12"/>
      <x:c r="Q810" s="12"/>
      <x:c r="R810" s="12"/>
      <x:c r="S810" s="12"/>
      <x:c r="T810" s="12"/>
      <x:c r="U810" s="12"/>
      <x:c r="V810" s="12"/>
      <x:c r="W810" s="12"/>
      <x:c r="X810" s="12"/>
      <x:c r="Y810" s="12"/>
      <x:c r="Z810" s="12"/>
      <x:c r="AA810" s="12"/>
      <x:c r="AB810" s="12"/>
      <x:c r="AC810" s="12"/>
      <x:c r="AD810" s="12"/>
      <x:c r="AE810" s="12"/>
      <x:c r="AF810" s="12"/>
      <x:c r="AG810" s="12"/>
    </x:row>
    <x:row r="811" ht="14.25" customHeight="1">
      <x:c r="A811" s="114"/>
      <x:c r="B811" s="114"/>
      <x:c r="C811" s="114"/>
      <x:c r="D811" s="114"/>
      <x:c r="E811" s="114"/>
      <x:c r="F811" s="114"/>
      <x:c r="G811" s="114"/>
      <x:c r="H811" s="114"/>
      <x:c r="I811" s="114"/>
      <x:c r="J811" s="114"/>
      <x:c r="K811" s="12"/>
      <x:c r="L811" s="12"/>
      <x:c r="M811" s="12"/>
      <x:c r="N811" s="12"/>
      <x:c r="O811" s="12"/>
      <x:c r="P811" s="12"/>
      <x:c r="Q811" s="12"/>
      <x:c r="R811" s="12"/>
      <x:c r="S811" s="12"/>
      <x:c r="T811" s="12"/>
      <x:c r="U811" s="12"/>
      <x:c r="V811" s="12"/>
      <x:c r="W811" s="12"/>
      <x:c r="X811" s="12"/>
      <x:c r="Y811" s="12"/>
      <x:c r="Z811" s="12"/>
      <x:c r="AA811" s="12"/>
      <x:c r="AB811" s="12"/>
      <x:c r="AC811" s="12"/>
      <x:c r="AD811" s="12"/>
      <x:c r="AE811" s="12"/>
      <x:c r="AF811" s="12"/>
      <x:c r="AG811" s="12"/>
    </x:row>
    <x:row r="812" ht="14.25" customHeight="1">
      <x:c r="A812" s="114"/>
      <x:c r="B812" s="114"/>
      <x:c r="C812" s="114"/>
      <x:c r="D812" s="114"/>
      <x:c r="E812" s="114"/>
      <x:c r="F812" s="114"/>
      <x:c r="G812" s="114"/>
      <x:c r="H812" s="114"/>
      <x:c r="I812" s="114"/>
      <x:c r="J812" s="114"/>
      <x:c r="K812" s="12"/>
      <x:c r="L812" s="12"/>
      <x:c r="M812" s="12"/>
      <x:c r="N812" s="12"/>
      <x:c r="O812" s="12"/>
      <x:c r="P812" s="12"/>
      <x:c r="Q812" s="12"/>
      <x:c r="R812" s="12"/>
      <x:c r="S812" s="12"/>
      <x:c r="T812" s="12"/>
      <x:c r="U812" s="12"/>
      <x:c r="V812" s="12"/>
      <x:c r="W812" s="12"/>
      <x:c r="X812" s="12"/>
      <x:c r="Y812" s="12"/>
      <x:c r="Z812" s="12"/>
      <x:c r="AA812" s="12"/>
      <x:c r="AB812" s="12"/>
      <x:c r="AC812" s="12"/>
      <x:c r="AD812" s="12"/>
      <x:c r="AE812" s="12"/>
      <x:c r="AF812" s="12"/>
      <x:c r="AG812" s="12"/>
    </x:row>
    <x:row r="813" ht="14.25" customHeight="1">
      <x:c r="A813" s="114"/>
      <x:c r="B813" s="114"/>
      <x:c r="C813" s="114"/>
      <x:c r="D813" s="114"/>
      <x:c r="E813" s="114"/>
      <x:c r="F813" s="114"/>
      <x:c r="G813" s="114"/>
      <x:c r="H813" s="114"/>
      <x:c r="I813" s="114"/>
      <x:c r="J813" s="114"/>
      <x:c r="K813" s="12"/>
      <x:c r="L813" s="12"/>
      <x:c r="M813" s="12"/>
      <x:c r="N813" s="12"/>
      <x:c r="O813" s="12"/>
      <x:c r="P813" s="12"/>
      <x:c r="Q813" s="12"/>
      <x:c r="R813" s="12"/>
      <x:c r="S813" s="12"/>
      <x:c r="T813" s="12"/>
      <x:c r="U813" s="12"/>
      <x:c r="V813" s="12"/>
      <x:c r="W813" s="12"/>
      <x:c r="X813" s="12"/>
      <x:c r="Y813" s="12"/>
      <x:c r="Z813" s="12"/>
      <x:c r="AA813" s="12"/>
      <x:c r="AB813" s="12"/>
      <x:c r="AC813" s="12"/>
      <x:c r="AD813" s="12"/>
      <x:c r="AE813" s="12"/>
      <x:c r="AF813" s="12"/>
      <x:c r="AG813" s="12"/>
    </x:row>
    <x:row r="814" ht="14.25" customHeight="1">
      <x:c r="A814" s="114"/>
      <x:c r="B814" s="114"/>
      <x:c r="C814" s="114"/>
      <x:c r="D814" s="114"/>
      <x:c r="E814" s="114"/>
      <x:c r="F814" s="114"/>
      <x:c r="G814" s="114"/>
      <x:c r="H814" s="114"/>
      <x:c r="I814" s="114"/>
      <x:c r="J814" s="114"/>
      <x:c r="K814" s="12"/>
      <x:c r="L814" s="12"/>
      <x:c r="M814" s="12"/>
      <x:c r="N814" s="12"/>
      <x:c r="O814" s="12"/>
      <x:c r="P814" s="12"/>
      <x:c r="Q814" s="12"/>
      <x:c r="R814" s="12"/>
      <x:c r="S814" s="12"/>
      <x:c r="T814" s="12"/>
      <x:c r="U814" s="12"/>
      <x:c r="V814" s="12"/>
      <x:c r="W814" s="12"/>
      <x:c r="X814" s="12"/>
      <x:c r="Y814" s="12"/>
      <x:c r="Z814" s="12"/>
      <x:c r="AA814" s="12"/>
      <x:c r="AB814" s="12"/>
      <x:c r="AC814" s="12"/>
      <x:c r="AD814" s="12"/>
      <x:c r="AE814" s="12"/>
      <x:c r="AF814" s="12"/>
      <x:c r="AG814" s="12"/>
    </x:row>
    <x:row r="815" ht="14.25" customHeight="1">
      <x:c r="A815" s="114"/>
      <x:c r="B815" s="114"/>
      <x:c r="C815" s="114"/>
      <x:c r="D815" s="114"/>
      <x:c r="E815" s="114"/>
      <x:c r="F815" s="114"/>
      <x:c r="G815" s="114"/>
      <x:c r="H815" s="114"/>
      <x:c r="I815" s="114"/>
      <x:c r="J815" s="114"/>
      <x:c r="K815" s="12"/>
      <x:c r="L815" s="12"/>
      <x:c r="M815" s="12"/>
      <x:c r="N815" s="12"/>
      <x:c r="O815" s="12"/>
      <x:c r="P815" s="12"/>
      <x:c r="Q815" s="12"/>
      <x:c r="R815" s="12"/>
      <x:c r="S815" s="12"/>
      <x:c r="T815" s="12"/>
      <x:c r="U815" s="12"/>
      <x:c r="V815" s="12"/>
      <x:c r="W815" s="12"/>
      <x:c r="X815" s="12"/>
      <x:c r="Y815" s="12"/>
      <x:c r="Z815" s="12"/>
      <x:c r="AA815" s="12"/>
      <x:c r="AB815" s="12"/>
      <x:c r="AC815" s="12"/>
      <x:c r="AD815" s="12"/>
      <x:c r="AE815" s="12"/>
      <x:c r="AF815" s="12"/>
      <x:c r="AG815" s="12"/>
    </x:row>
    <x:row r="816" ht="14.25" customHeight="1">
      <x:c r="A816" s="114"/>
      <x:c r="B816" s="114"/>
      <x:c r="C816" s="114"/>
      <x:c r="D816" s="114"/>
      <x:c r="E816" s="114"/>
      <x:c r="F816" s="114"/>
      <x:c r="G816" s="114"/>
      <x:c r="H816" s="114"/>
      <x:c r="I816" s="114"/>
      <x:c r="J816" s="114"/>
      <x:c r="K816" s="12"/>
      <x:c r="L816" s="12"/>
      <x:c r="M816" s="12"/>
      <x:c r="N816" s="12"/>
      <x:c r="O816" s="12"/>
      <x:c r="P816" s="12"/>
      <x:c r="Q816" s="12"/>
      <x:c r="R816" s="12"/>
      <x:c r="S816" s="12"/>
      <x:c r="T816" s="12"/>
      <x:c r="U816" s="12"/>
      <x:c r="V816" s="12"/>
      <x:c r="W816" s="12"/>
      <x:c r="X816" s="12"/>
      <x:c r="Y816" s="12"/>
      <x:c r="Z816" s="12"/>
      <x:c r="AA816" s="12"/>
      <x:c r="AB816" s="12"/>
      <x:c r="AC816" s="12"/>
      <x:c r="AD816" s="12"/>
      <x:c r="AE816" s="12"/>
      <x:c r="AF816" s="12"/>
      <x:c r="AG816" s="12"/>
    </x:row>
    <x:row r="817" ht="14.25" customHeight="1">
      <x:c r="A817" s="114"/>
      <x:c r="B817" s="114"/>
      <x:c r="C817" s="114"/>
      <x:c r="D817" s="114"/>
      <x:c r="E817" s="114"/>
      <x:c r="F817" s="114"/>
      <x:c r="G817" s="114"/>
      <x:c r="H817" s="114"/>
      <x:c r="I817" s="114"/>
      <x:c r="J817" s="114"/>
      <x:c r="K817" s="12"/>
      <x:c r="L817" s="12"/>
      <x:c r="M817" s="12"/>
      <x:c r="N817" s="12"/>
      <x:c r="O817" s="12"/>
      <x:c r="P817" s="12"/>
      <x:c r="Q817" s="12"/>
      <x:c r="R817" s="12"/>
      <x:c r="S817" s="12"/>
      <x:c r="T817" s="12"/>
      <x:c r="U817" s="12"/>
      <x:c r="V817" s="12"/>
      <x:c r="W817" s="12"/>
      <x:c r="X817" s="12"/>
      <x:c r="Y817" s="12"/>
      <x:c r="Z817" s="12"/>
      <x:c r="AA817" s="12"/>
      <x:c r="AB817" s="12"/>
      <x:c r="AC817" s="12"/>
      <x:c r="AD817" s="12"/>
      <x:c r="AE817" s="12"/>
      <x:c r="AF817" s="12"/>
      <x:c r="AG817" s="12"/>
    </x:row>
    <x:row r="818" ht="14.25" customHeight="1">
      <x:c r="A818" s="114"/>
      <x:c r="B818" s="114"/>
      <x:c r="C818" s="114"/>
      <x:c r="D818" s="114"/>
      <x:c r="E818" s="114"/>
      <x:c r="F818" s="114"/>
      <x:c r="G818" s="114"/>
      <x:c r="H818" s="114"/>
      <x:c r="I818" s="114"/>
      <x:c r="J818" s="114"/>
      <x:c r="K818" s="12"/>
      <x:c r="L818" s="12"/>
      <x:c r="M818" s="12"/>
      <x:c r="N818" s="12"/>
      <x:c r="O818" s="12"/>
      <x:c r="P818" s="12"/>
      <x:c r="Q818" s="12"/>
      <x:c r="R818" s="12"/>
      <x:c r="S818" s="12"/>
      <x:c r="T818" s="12"/>
      <x:c r="U818" s="12"/>
      <x:c r="V818" s="12"/>
      <x:c r="W818" s="12"/>
      <x:c r="X818" s="12"/>
      <x:c r="Y818" s="12"/>
      <x:c r="Z818" s="12"/>
      <x:c r="AA818" s="12"/>
      <x:c r="AB818" s="12"/>
      <x:c r="AC818" s="12"/>
      <x:c r="AD818" s="12"/>
      <x:c r="AE818" s="12"/>
      <x:c r="AF818" s="12"/>
      <x:c r="AG818" s="12"/>
    </x:row>
    <x:row r="819" ht="14.25" customHeight="1">
      <x:c r="A819" s="114"/>
      <x:c r="B819" s="114"/>
      <x:c r="C819" s="114"/>
      <x:c r="D819" s="114"/>
      <x:c r="E819" s="114"/>
      <x:c r="F819" s="114"/>
      <x:c r="G819" s="114"/>
      <x:c r="H819" s="114"/>
      <x:c r="I819" s="114"/>
      <x:c r="J819" s="114"/>
      <x:c r="K819" s="12"/>
      <x:c r="L819" s="12"/>
      <x:c r="M819" s="12"/>
      <x:c r="N819" s="12"/>
      <x:c r="O819" s="12"/>
      <x:c r="P819" s="12"/>
      <x:c r="Q819" s="12"/>
      <x:c r="R819" s="12"/>
      <x:c r="S819" s="12"/>
      <x:c r="T819" s="12"/>
      <x:c r="U819" s="12"/>
      <x:c r="V819" s="12"/>
      <x:c r="W819" s="12"/>
      <x:c r="X819" s="12"/>
      <x:c r="Y819" s="12"/>
      <x:c r="Z819" s="12"/>
      <x:c r="AA819" s="12"/>
      <x:c r="AB819" s="12"/>
      <x:c r="AC819" s="12"/>
      <x:c r="AD819" s="12"/>
      <x:c r="AE819" s="12"/>
      <x:c r="AF819" s="12"/>
      <x:c r="AG819" s="12"/>
    </x:row>
    <x:row r="820" ht="14.25" customHeight="1">
      <x:c r="A820" s="114"/>
      <x:c r="B820" s="114"/>
      <x:c r="C820" s="114"/>
      <x:c r="D820" s="114"/>
      <x:c r="E820" s="114"/>
      <x:c r="F820" s="114"/>
      <x:c r="G820" s="114"/>
      <x:c r="H820" s="114"/>
      <x:c r="I820" s="114"/>
      <x:c r="J820" s="114"/>
      <x:c r="K820" s="12"/>
      <x:c r="L820" s="12"/>
      <x:c r="M820" s="12"/>
      <x:c r="N820" s="12"/>
      <x:c r="O820" s="12"/>
      <x:c r="P820" s="12"/>
      <x:c r="Q820" s="12"/>
      <x:c r="R820" s="12"/>
      <x:c r="S820" s="12"/>
      <x:c r="T820" s="12"/>
      <x:c r="U820" s="12"/>
      <x:c r="V820" s="12"/>
      <x:c r="W820" s="12"/>
      <x:c r="X820" s="12"/>
      <x:c r="Y820" s="12"/>
      <x:c r="Z820" s="12"/>
      <x:c r="AA820" s="12"/>
      <x:c r="AB820" s="12"/>
      <x:c r="AC820" s="12"/>
      <x:c r="AD820" s="12"/>
      <x:c r="AE820" s="12"/>
      <x:c r="AF820" s="12"/>
      <x:c r="AG820" s="12"/>
    </x:row>
    <x:row r="821" ht="14.25" customHeight="1">
      <x:c r="A821" s="114"/>
      <x:c r="B821" s="114"/>
      <x:c r="C821" s="114"/>
      <x:c r="D821" s="114"/>
      <x:c r="E821" s="114"/>
      <x:c r="F821" s="114"/>
      <x:c r="G821" s="114"/>
      <x:c r="H821" s="114"/>
      <x:c r="I821" s="114"/>
      <x:c r="J821" s="114"/>
      <x:c r="K821" s="12"/>
      <x:c r="L821" s="12"/>
      <x:c r="M821" s="12"/>
      <x:c r="N821" s="12"/>
      <x:c r="O821" s="12"/>
      <x:c r="P821" s="12"/>
      <x:c r="Q821" s="12"/>
      <x:c r="R821" s="12"/>
      <x:c r="S821" s="12"/>
      <x:c r="T821" s="12"/>
      <x:c r="U821" s="12"/>
      <x:c r="V821" s="12"/>
      <x:c r="W821" s="12"/>
      <x:c r="X821" s="12"/>
      <x:c r="Y821" s="12"/>
      <x:c r="Z821" s="12"/>
      <x:c r="AA821" s="12"/>
      <x:c r="AB821" s="12"/>
      <x:c r="AC821" s="12"/>
      <x:c r="AD821" s="12"/>
      <x:c r="AE821" s="12"/>
      <x:c r="AF821" s="12"/>
      <x:c r="AG821" s="12"/>
    </x:row>
    <x:row r="822" ht="14.25" customHeight="1">
      <x:c r="A822" s="114"/>
      <x:c r="B822" s="114"/>
      <x:c r="C822" s="114"/>
      <x:c r="D822" s="114"/>
      <x:c r="E822" s="114"/>
      <x:c r="F822" s="114"/>
      <x:c r="G822" s="114"/>
      <x:c r="H822" s="114"/>
      <x:c r="I822" s="114"/>
      <x:c r="J822" s="114"/>
      <x:c r="K822" s="12"/>
      <x:c r="L822" s="12"/>
      <x:c r="M822" s="12"/>
      <x:c r="N822" s="12"/>
      <x:c r="O822" s="12"/>
      <x:c r="P822" s="12"/>
      <x:c r="Q822" s="12"/>
      <x:c r="R822" s="12"/>
      <x:c r="S822" s="12"/>
      <x:c r="T822" s="12"/>
      <x:c r="U822" s="12"/>
      <x:c r="V822" s="12"/>
      <x:c r="W822" s="12"/>
      <x:c r="X822" s="12"/>
      <x:c r="Y822" s="12"/>
      <x:c r="Z822" s="12"/>
      <x:c r="AA822" s="12"/>
      <x:c r="AB822" s="12"/>
      <x:c r="AC822" s="12"/>
      <x:c r="AD822" s="12"/>
      <x:c r="AE822" s="12"/>
      <x:c r="AF822" s="12"/>
      <x:c r="AG822" s="12"/>
    </x:row>
    <x:row r="823" ht="14.25" customHeight="1">
      <x:c r="A823" s="114"/>
      <x:c r="B823" s="114"/>
      <x:c r="C823" s="114"/>
      <x:c r="D823" s="114"/>
      <x:c r="E823" s="114"/>
      <x:c r="F823" s="114"/>
      <x:c r="G823" s="114"/>
      <x:c r="H823" s="114"/>
      <x:c r="I823" s="114"/>
      <x:c r="J823" s="114"/>
      <x:c r="K823" s="12"/>
      <x:c r="L823" s="12"/>
      <x:c r="M823" s="12"/>
      <x:c r="N823" s="12"/>
      <x:c r="O823" s="12"/>
      <x:c r="P823" s="12"/>
      <x:c r="Q823" s="12"/>
      <x:c r="R823" s="12"/>
      <x:c r="S823" s="12"/>
      <x:c r="T823" s="12"/>
      <x:c r="U823" s="12"/>
      <x:c r="V823" s="12"/>
      <x:c r="W823" s="12"/>
      <x:c r="X823" s="12"/>
      <x:c r="Y823" s="12"/>
      <x:c r="Z823" s="12"/>
      <x:c r="AA823" s="12"/>
      <x:c r="AB823" s="12"/>
      <x:c r="AC823" s="12"/>
      <x:c r="AD823" s="12"/>
      <x:c r="AE823" s="12"/>
      <x:c r="AF823" s="12"/>
      <x:c r="AG823" s="12"/>
    </x:row>
    <x:row r="824" ht="14.25" customHeight="1">
      <x:c r="A824" s="114"/>
      <x:c r="B824" s="114"/>
      <x:c r="C824" s="114"/>
      <x:c r="D824" s="114"/>
      <x:c r="E824" s="114"/>
      <x:c r="F824" s="114"/>
      <x:c r="G824" s="114"/>
      <x:c r="H824" s="114"/>
      <x:c r="I824" s="114"/>
      <x:c r="J824" s="114"/>
      <x:c r="K824" s="12"/>
      <x:c r="L824" s="12"/>
      <x:c r="M824" s="12"/>
      <x:c r="N824" s="12"/>
      <x:c r="O824" s="12"/>
      <x:c r="P824" s="12"/>
      <x:c r="Q824" s="12"/>
      <x:c r="R824" s="12"/>
      <x:c r="S824" s="12"/>
      <x:c r="T824" s="12"/>
      <x:c r="U824" s="12"/>
      <x:c r="V824" s="12"/>
      <x:c r="W824" s="12"/>
      <x:c r="X824" s="12"/>
      <x:c r="Y824" s="12"/>
      <x:c r="Z824" s="12"/>
      <x:c r="AA824" s="12"/>
      <x:c r="AB824" s="12"/>
      <x:c r="AC824" s="12"/>
      <x:c r="AD824" s="12"/>
      <x:c r="AE824" s="12"/>
      <x:c r="AF824" s="12"/>
      <x:c r="AG824" s="12"/>
    </x:row>
    <x:row r="825" ht="14.25" customHeight="1">
      <x:c r="A825" s="114"/>
      <x:c r="B825" s="114"/>
      <x:c r="C825" s="114"/>
      <x:c r="D825" s="114"/>
      <x:c r="E825" s="114"/>
      <x:c r="F825" s="114"/>
      <x:c r="G825" s="114"/>
      <x:c r="H825" s="114"/>
      <x:c r="I825" s="114"/>
      <x:c r="J825" s="114"/>
      <x:c r="K825" s="12"/>
      <x:c r="L825" s="12"/>
      <x:c r="M825" s="12"/>
      <x:c r="N825" s="12"/>
      <x:c r="O825" s="12"/>
      <x:c r="P825" s="12"/>
      <x:c r="Q825" s="12"/>
      <x:c r="R825" s="12"/>
      <x:c r="S825" s="12"/>
      <x:c r="T825" s="12"/>
      <x:c r="U825" s="12"/>
      <x:c r="V825" s="12"/>
      <x:c r="W825" s="12"/>
      <x:c r="X825" s="12"/>
      <x:c r="Y825" s="12"/>
      <x:c r="Z825" s="12"/>
      <x:c r="AA825" s="12"/>
      <x:c r="AB825" s="12"/>
      <x:c r="AC825" s="12"/>
      <x:c r="AD825" s="12"/>
      <x:c r="AE825" s="12"/>
      <x:c r="AF825" s="12"/>
      <x:c r="AG825" s="12"/>
    </x:row>
    <x:row r="826" ht="14.25" customHeight="1">
      <x:c r="A826" s="114"/>
      <x:c r="B826" s="114"/>
      <x:c r="C826" s="114"/>
      <x:c r="D826" s="114"/>
      <x:c r="E826" s="114"/>
      <x:c r="F826" s="114"/>
      <x:c r="G826" s="114"/>
      <x:c r="H826" s="114"/>
      <x:c r="I826" s="114"/>
      <x:c r="J826" s="114"/>
      <x:c r="K826" s="12"/>
      <x:c r="L826" s="12"/>
      <x:c r="M826" s="12"/>
      <x:c r="N826" s="12"/>
      <x:c r="O826" s="12"/>
      <x:c r="P826" s="12"/>
      <x:c r="Q826" s="12"/>
      <x:c r="R826" s="12"/>
      <x:c r="S826" s="12"/>
      <x:c r="T826" s="12"/>
      <x:c r="U826" s="12"/>
      <x:c r="V826" s="12"/>
      <x:c r="W826" s="12"/>
      <x:c r="X826" s="12"/>
      <x:c r="Y826" s="12"/>
      <x:c r="Z826" s="12"/>
      <x:c r="AA826" s="12"/>
      <x:c r="AB826" s="12"/>
      <x:c r="AC826" s="12"/>
      <x:c r="AD826" s="12"/>
      <x:c r="AE826" s="12"/>
      <x:c r="AF826" s="12"/>
      <x:c r="AG826" s="12"/>
    </x:row>
    <x:row r="827" ht="14.25" customHeight="1">
      <x:c r="A827" s="114"/>
      <x:c r="B827" s="114"/>
      <x:c r="C827" s="114"/>
      <x:c r="D827" s="114"/>
      <x:c r="E827" s="114"/>
      <x:c r="F827" s="114"/>
      <x:c r="G827" s="114"/>
      <x:c r="H827" s="114"/>
      <x:c r="I827" s="114"/>
      <x:c r="J827" s="114"/>
      <x:c r="K827" s="12"/>
      <x:c r="L827" s="12"/>
      <x:c r="M827" s="12"/>
      <x:c r="N827" s="12"/>
      <x:c r="O827" s="12"/>
      <x:c r="P827" s="12"/>
      <x:c r="Q827" s="12"/>
      <x:c r="R827" s="12"/>
      <x:c r="S827" s="12"/>
      <x:c r="T827" s="12"/>
      <x:c r="U827" s="12"/>
      <x:c r="V827" s="12"/>
      <x:c r="W827" s="12"/>
      <x:c r="X827" s="12"/>
      <x:c r="Y827" s="12"/>
      <x:c r="Z827" s="12"/>
      <x:c r="AA827" s="12"/>
      <x:c r="AB827" s="12"/>
      <x:c r="AC827" s="12"/>
      <x:c r="AD827" s="12"/>
      <x:c r="AE827" s="12"/>
      <x:c r="AF827" s="12"/>
      <x:c r="AG827" s="12"/>
    </x:row>
    <x:row r="828" ht="14.25" customHeight="1">
      <x:c r="A828" s="114"/>
      <x:c r="B828" s="114"/>
      <x:c r="C828" s="114"/>
      <x:c r="D828" s="114"/>
      <x:c r="E828" s="114"/>
      <x:c r="F828" s="114"/>
      <x:c r="G828" s="114"/>
      <x:c r="H828" s="114"/>
      <x:c r="I828" s="114"/>
      <x:c r="J828" s="114"/>
      <x:c r="K828" s="12"/>
      <x:c r="L828" s="12"/>
      <x:c r="M828" s="12"/>
      <x:c r="N828" s="12"/>
      <x:c r="O828" s="12"/>
      <x:c r="P828" s="12"/>
      <x:c r="Q828" s="12"/>
      <x:c r="R828" s="12"/>
      <x:c r="S828" s="12"/>
      <x:c r="T828" s="12"/>
      <x:c r="U828" s="12"/>
      <x:c r="V828" s="12"/>
      <x:c r="W828" s="12"/>
      <x:c r="X828" s="12"/>
      <x:c r="Y828" s="12"/>
      <x:c r="Z828" s="12"/>
      <x:c r="AA828" s="12"/>
      <x:c r="AB828" s="12"/>
      <x:c r="AC828" s="12"/>
      <x:c r="AD828" s="12"/>
      <x:c r="AE828" s="12"/>
      <x:c r="AF828" s="12"/>
      <x:c r="AG828" s="12"/>
    </x:row>
    <x:row r="829" ht="14.25" customHeight="1">
      <x:c r="A829" s="114"/>
      <x:c r="B829" s="114"/>
      <x:c r="C829" s="114"/>
      <x:c r="D829" s="114"/>
      <x:c r="E829" s="114"/>
      <x:c r="F829" s="114"/>
      <x:c r="G829" s="114"/>
      <x:c r="H829" s="114"/>
      <x:c r="I829" s="114"/>
      <x:c r="J829" s="114"/>
      <x:c r="K829" s="12"/>
      <x:c r="L829" s="12"/>
      <x:c r="M829" s="12"/>
      <x:c r="N829" s="12"/>
      <x:c r="O829" s="12"/>
      <x:c r="P829" s="12"/>
      <x:c r="Q829" s="12"/>
      <x:c r="R829" s="12"/>
      <x:c r="S829" s="12"/>
      <x:c r="T829" s="12"/>
      <x:c r="U829" s="12"/>
      <x:c r="V829" s="12"/>
      <x:c r="W829" s="12"/>
      <x:c r="X829" s="12"/>
      <x:c r="Y829" s="12"/>
      <x:c r="Z829" s="12"/>
      <x:c r="AA829" s="12"/>
      <x:c r="AB829" s="12"/>
      <x:c r="AC829" s="12"/>
      <x:c r="AD829" s="12"/>
      <x:c r="AE829" s="12"/>
      <x:c r="AF829" s="12"/>
      <x:c r="AG829" s="12"/>
    </x:row>
    <x:row r="830" ht="14.25" customHeight="1">
      <x:c r="A830" s="114"/>
      <x:c r="B830" s="114"/>
      <x:c r="C830" s="114"/>
      <x:c r="D830" s="114"/>
      <x:c r="E830" s="114"/>
      <x:c r="F830" s="114"/>
      <x:c r="G830" s="114"/>
      <x:c r="H830" s="114"/>
      <x:c r="I830" s="114"/>
      <x:c r="J830" s="114"/>
      <x:c r="K830" s="12"/>
      <x:c r="L830" s="12"/>
      <x:c r="M830" s="12"/>
      <x:c r="N830" s="12"/>
      <x:c r="O830" s="12"/>
      <x:c r="P830" s="12"/>
      <x:c r="Q830" s="12"/>
      <x:c r="R830" s="12"/>
      <x:c r="S830" s="12"/>
      <x:c r="T830" s="12"/>
      <x:c r="U830" s="12"/>
      <x:c r="V830" s="12"/>
      <x:c r="W830" s="12"/>
      <x:c r="X830" s="12"/>
      <x:c r="Y830" s="12"/>
      <x:c r="Z830" s="12"/>
      <x:c r="AA830" s="12"/>
      <x:c r="AB830" s="12"/>
      <x:c r="AC830" s="12"/>
      <x:c r="AD830" s="12"/>
      <x:c r="AE830" s="12"/>
      <x:c r="AF830" s="12"/>
      <x:c r="AG830" s="12"/>
    </x:row>
    <x:row r="831" ht="14.25" customHeight="1">
      <x:c r="A831" s="114"/>
      <x:c r="B831" s="114"/>
      <x:c r="C831" s="114"/>
      <x:c r="D831" s="114"/>
      <x:c r="E831" s="114"/>
      <x:c r="F831" s="114"/>
      <x:c r="G831" s="114"/>
      <x:c r="H831" s="114"/>
      <x:c r="I831" s="114"/>
      <x:c r="J831" s="114"/>
      <x:c r="K831" s="12"/>
      <x:c r="L831" s="12"/>
      <x:c r="M831" s="12"/>
      <x:c r="N831" s="12"/>
      <x:c r="O831" s="12"/>
      <x:c r="P831" s="12"/>
      <x:c r="Q831" s="12"/>
      <x:c r="R831" s="12"/>
      <x:c r="S831" s="12"/>
      <x:c r="T831" s="12"/>
      <x:c r="U831" s="12"/>
      <x:c r="V831" s="12"/>
      <x:c r="W831" s="12"/>
      <x:c r="X831" s="12"/>
      <x:c r="Y831" s="12"/>
      <x:c r="Z831" s="12"/>
      <x:c r="AA831" s="12"/>
      <x:c r="AB831" s="12"/>
      <x:c r="AC831" s="12"/>
      <x:c r="AD831" s="12"/>
      <x:c r="AE831" s="12"/>
      <x:c r="AF831" s="12"/>
      <x:c r="AG831" s="12"/>
    </x:row>
    <x:row r="832" ht="14.25" customHeight="1">
      <x:c r="A832" s="114"/>
      <x:c r="B832" s="114"/>
      <x:c r="C832" s="114"/>
      <x:c r="D832" s="114"/>
      <x:c r="E832" s="114"/>
      <x:c r="F832" s="114"/>
      <x:c r="G832" s="114"/>
      <x:c r="H832" s="114"/>
      <x:c r="I832" s="114"/>
      <x:c r="J832" s="114"/>
      <x:c r="K832" s="12"/>
      <x:c r="L832" s="12"/>
      <x:c r="M832" s="12"/>
      <x:c r="N832" s="12"/>
      <x:c r="O832" s="12"/>
      <x:c r="P832" s="12"/>
      <x:c r="Q832" s="12"/>
      <x:c r="R832" s="12"/>
      <x:c r="S832" s="12"/>
      <x:c r="T832" s="12"/>
      <x:c r="U832" s="12"/>
      <x:c r="V832" s="12"/>
      <x:c r="W832" s="12"/>
      <x:c r="X832" s="12"/>
      <x:c r="Y832" s="12"/>
      <x:c r="Z832" s="12"/>
      <x:c r="AA832" s="12"/>
      <x:c r="AB832" s="12"/>
      <x:c r="AC832" s="12"/>
      <x:c r="AD832" s="12"/>
      <x:c r="AE832" s="12"/>
      <x:c r="AF832" s="12"/>
      <x:c r="AG832" s="12"/>
    </x:row>
    <x:row r="833" ht="14.25" customHeight="1">
      <x:c r="A833" s="114"/>
      <x:c r="B833" s="114"/>
      <x:c r="C833" s="114"/>
      <x:c r="D833" s="114"/>
      <x:c r="E833" s="114"/>
      <x:c r="F833" s="114"/>
      <x:c r="G833" s="114"/>
      <x:c r="H833" s="114"/>
      <x:c r="I833" s="114"/>
      <x:c r="J833" s="114"/>
      <x:c r="K833" s="12"/>
      <x:c r="L833" s="12"/>
      <x:c r="M833" s="12"/>
      <x:c r="N833" s="12"/>
      <x:c r="O833" s="12"/>
      <x:c r="P833" s="12"/>
      <x:c r="Q833" s="12"/>
      <x:c r="R833" s="12"/>
      <x:c r="S833" s="12"/>
      <x:c r="T833" s="12"/>
      <x:c r="U833" s="12"/>
      <x:c r="V833" s="12"/>
      <x:c r="W833" s="12"/>
      <x:c r="X833" s="12"/>
      <x:c r="Y833" s="12"/>
      <x:c r="Z833" s="12"/>
      <x:c r="AA833" s="12"/>
      <x:c r="AB833" s="12"/>
      <x:c r="AC833" s="12"/>
      <x:c r="AD833" s="12"/>
      <x:c r="AE833" s="12"/>
      <x:c r="AF833" s="12"/>
      <x:c r="AG833" s="12"/>
    </x:row>
    <x:row r="834" ht="14.25" customHeight="1">
      <x:c r="A834" s="114"/>
      <x:c r="B834" s="114"/>
      <x:c r="C834" s="114"/>
      <x:c r="D834" s="114"/>
      <x:c r="E834" s="114"/>
      <x:c r="F834" s="114"/>
      <x:c r="G834" s="114"/>
      <x:c r="H834" s="114"/>
      <x:c r="I834" s="114"/>
      <x:c r="J834" s="114"/>
      <x:c r="K834" s="12"/>
      <x:c r="L834" s="12"/>
      <x:c r="M834" s="12"/>
      <x:c r="N834" s="12"/>
      <x:c r="O834" s="12"/>
      <x:c r="P834" s="12"/>
      <x:c r="Q834" s="12"/>
      <x:c r="R834" s="12"/>
      <x:c r="S834" s="12"/>
      <x:c r="T834" s="12"/>
      <x:c r="U834" s="12"/>
      <x:c r="V834" s="12"/>
      <x:c r="W834" s="12"/>
      <x:c r="X834" s="12"/>
      <x:c r="Y834" s="12"/>
      <x:c r="Z834" s="12"/>
      <x:c r="AA834" s="12"/>
      <x:c r="AB834" s="12"/>
      <x:c r="AC834" s="12"/>
      <x:c r="AD834" s="12"/>
      <x:c r="AE834" s="12"/>
      <x:c r="AF834" s="12"/>
      <x:c r="AG834" s="12"/>
    </x:row>
    <x:row r="835" ht="14.25" customHeight="1">
      <x:c r="A835" s="114"/>
      <x:c r="B835" s="114"/>
      <x:c r="C835" s="114"/>
      <x:c r="D835" s="114"/>
      <x:c r="E835" s="114"/>
      <x:c r="F835" s="114"/>
      <x:c r="G835" s="114"/>
      <x:c r="H835" s="114"/>
      <x:c r="I835" s="114"/>
      <x:c r="J835" s="114"/>
      <x:c r="K835" s="12"/>
      <x:c r="L835" s="12"/>
      <x:c r="M835" s="12"/>
      <x:c r="N835" s="12"/>
      <x:c r="O835" s="12"/>
      <x:c r="P835" s="12"/>
      <x:c r="Q835" s="12"/>
      <x:c r="R835" s="12"/>
      <x:c r="S835" s="12"/>
      <x:c r="T835" s="12"/>
      <x:c r="U835" s="12"/>
      <x:c r="V835" s="12"/>
      <x:c r="W835" s="12"/>
      <x:c r="X835" s="12"/>
      <x:c r="Y835" s="12"/>
      <x:c r="Z835" s="12"/>
      <x:c r="AA835" s="12"/>
      <x:c r="AB835" s="12"/>
      <x:c r="AC835" s="12"/>
      <x:c r="AD835" s="12"/>
      <x:c r="AE835" s="12"/>
      <x:c r="AF835" s="12"/>
      <x:c r="AG835" s="12"/>
    </x:row>
    <x:row r="836" ht="14.25" customHeight="1">
      <x:c r="A836" s="114"/>
      <x:c r="B836" s="114"/>
      <x:c r="C836" s="114"/>
      <x:c r="D836" s="114"/>
      <x:c r="E836" s="114"/>
      <x:c r="F836" s="114"/>
      <x:c r="G836" s="114"/>
      <x:c r="H836" s="114"/>
      <x:c r="I836" s="114"/>
      <x:c r="J836" s="114"/>
      <x:c r="K836" s="12"/>
      <x:c r="L836" s="12"/>
      <x:c r="M836" s="12"/>
      <x:c r="N836" s="12"/>
      <x:c r="O836" s="12"/>
      <x:c r="P836" s="12"/>
      <x:c r="Q836" s="12"/>
      <x:c r="R836" s="12"/>
      <x:c r="S836" s="12"/>
      <x:c r="T836" s="12"/>
      <x:c r="U836" s="12"/>
      <x:c r="V836" s="12"/>
      <x:c r="W836" s="12"/>
      <x:c r="X836" s="12"/>
      <x:c r="Y836" s="12"/>
      <x:c r="Z836" s="12"/>
      <x:c r="AA836" s="12"/>
      <x:c r="AB836" s="12"/>
      <x:c r="AC836" s="12"/>
      <x:c r="AD836" s="12"/>
      <x:c r="AE836" s="12"/>
      <x:c r="AF836" s="12"/>
      <x:c r="AG836" s="12"/>
    </x:row>
    <x:row r="837" ht="14.25" customHeight="1">
      <x:c r="A837" s="114"/>
      <x:c r="B837" s="114"/>
      <x:c r="C837" s="114"/>
      <x:c r="D837" s="114"/>
      <x:c r="E837" s="114"/>
      <x:c r="F837" s="114"/>
      <x:c r="G837" s="114"/>
      <x:c r="H837" s="114"/>
      <x:c r="I837" s="114"/>
      <x:c r="J837" s="114"/>
      <x:c r="K837" s="12"/>
      <x:c r="L837" s="12"/>
      <x:c r="M837" s="12"/>
      <x:c r="N837" s="12"/>
      <x:c r="O837" s="12"/>
      <x:c r="P837" s="12"/>
      <x:c r="Q837" s="12"/>
      <x:c r="R837" s="12"/>
      <x:c r="S837" s="12"/>
      <x:c r="T837" s="12"/>
      <x:c r="U837" s="12"/>
      <x:c r="V837" s="12"/>
      <x:c r="W837" s="12"/>
      <x:c r="X837" s="12"/>
      <x:c r="Y837" s="12"/>
      <x:c r="Z837" s="12"/>
      <x:c r="AA837" s="12"/>
      <x:c r="AB837" s="12"/>
      <x:c r="AC837" s="12"/>
      <x:c r="AD837" s="12"/>
      <x:c r="AE837" s="12"/>
      <x:c r="AF837" s="12"/>
      <x:c r="AG837" s="12"/>
    </x:row>
    <x:row r="838" ht="14.25" customHeight="1">
      <x:c r="A838" s="114"/>
      <x:c r="B838" s="114"/>
      <x:c r="C838" s="114"/>
      <x:c r="D838" s="114"/>
      <x:c r="E838" s="114"/>
      <x:c r="F838" s="114"/>
      <x:c r="G838" s="114"/>
      <x:c r="H838" s="114"/>
      <x:c r="I838" s="114"/>
      <x:c r="J838" s="114"/>
      <x:c r="K838" s="12"/>
      <x:c r="L838" s="12"/>
      <x:c r="M838" s="12"/>
      <x:c r="N838" s="12"/>
      <x:c r="O838" s="12"/>
      <x:c r="P838" s="12"/>
      <x:c r="Q838" s="12"/>
      <x:c r="R838" s="12"/>
      <x:c r="S838" s="12"/>
      <x:c r="T838" s="12"/>
      <x:c r="U838" s="12"/>
      <x:c r="V838" s="12"/>
      <x:c r="W838" s="12"/>
      <x:c r="X838" s="12"/>
      <x:c r="Y838" s="12"/>
      <x:c r="Z838" s="12"/>
      <x:c r="AA838" s="12"/>
      <x:c r="AB838" s="12"/>
      <x:c r="AC838" s="12"/>
      <x:c r="AD838" s="12"/>
      <x:c r="AE838" s="12"/>
      <x:c r="AF838" s="12"/>
      <x:c r="AG838" s="12"/>
    </x:row>
    <x:row r="839" ht="14.25" customHeight="1">
      <x:c r="A839" s="114"/>
      <x:c r="B839" s="114"/>
      <x:c r="C839" s="114"/>
      <x:c r="D839" s="114"/>
      <x:c r="E839" s="114"/>
      <x:c r="F839" s="114"/>
      <x:c r="G839" s="114"/>
      <x:c r="H839" s="114"/>
      <x:c r="I839" s="114"/>
      <x:c r="J839" s="114"/>
      <x:c r="K839" s="12"/>
      <x:c r="L839" s="12"/>
      <x:c r="M839" s="12"/>
      <x:c r="N839" s="12"/>
      <x:c r="O839" s="12"/>
      <x:c r="P839" s="12"/>
      <x:c r="Q839" s="12"/>
      <x:c r="R839" s="12"/>
      <x:c r="S839" s="12"/>
      <x:c r="T839" s="12"/>
      <x:c r="U839" s="12"/>
      <x:c r="V839" s="12"/>
      <x:c r="W839" s="12"/>
      <x:c r="X839" s="12"/>
      <x:c r="Y839" s="12"/>
      <x:c r="Z839" s="12"/>
      <x:c r="AA839" s="12"/>
      <x:c r="AB839" s="12"/>
      <x:c r="AC839" s="12"/>
      <x:c r="AD839" s="12"/>
      <x:c r="AE839" s="12"/>
      <x:c r="AF839" s="12"/>
      <x:c r="AG839" s="12"/>
    </x:row>
    <x:row r="840" ht="14.25" customHeight="1">
      <x:c r="A840" s="114"/>
      <x:c r="B840" s="114"/>
      <x:c r="C840" s="114"/>
      <x:c r="D840" s="114"/>
      <x:c r="E840" s="114"/>
      <x:c r="F840" s="114"/>
      <x:c r="G840" s="114"/>
      <x:c r="H840" s="114"/>
      <x:c r="I840" s="114"/>
      <x:c r="J840" s="114"/>
      <x:c r="K840" s="12"/>
      <x:c r="L840" s="12"/>
      <x:c r="M840" s="12"/>
      <x:c r="N840" s="12"/>
      <x:c r="O840" s="12"/>
      <x:c r="P840" s="12"/>
      <x:c r="Q840" s="12"/>
      <x:c r="R840" s="12"/>
      <x:c r="S840" s="12"/>
      <x:c r="T840" s="12"/>
      <x:c r="U840" s="12"/>
      <x:c r="V840" s="12"/>
      <x:c r="W840" s="12"/>
      <x:c r="X840" s="12"/>
      <x:c r="Y840" s="12"/>
      <x:c r="Z840" s="12"/>
      <x:c r="AA840" s="12"/>
      <x:c r="AB840" s="12"/>
      <x:c r="AC840" s="12"/>
      <x:c r="AD840" s="12"/>
      <x:c r="AE840" s="12"/>
      <x:c r="AF840" s="12"/>
      <x:c r="AG840" s="12"/>
    </x:row>
    <x:row r="841" ht="14.25" customHeight="1">
      <x:c r="A841" s="114"/>
      <x:c r="B841" s="114"/>
      <x:c r="C841" s="114"/>
      <x:c r="D841" s="114"/>
      <x:c r="E841" s="114"/>
      <x:c r="F841" s="114"/>
      <x:c r="G841" s="114"/>
      <x:c r="H841" s="114"/>
      <x:c r="I841" s="114"/>
      <x:c r="J841" s="114"/>
      <x:c r="K841" s="12"/>
      <x:c r="L841" s="12"/>
      <x:c r="M841" s="12"/>
      <x:c r="N841" s="12"/>
      <x:c r="O841" s="12"/>
      <x:c r="P841" s="12"/>
      <x:c r="Q841" s="12"/>
      <x:c r="R841" s="12"/>
      <x:c r="S841" s="12"/>
      <x:c r="T841" s="12"/>
      <x:c r="U841" s="12"/>
      <x:c r="V841" s="12"/>
      <x:c r="W841" s="12"/>
      <x:c r="X841" s="12"/>
      <x:c r="Y841" s="12"/>
      <x:c r="Z841" s="12"/>
      <x:c r="AA841" s="12"/>
      <x:c r="AB841" s="12"/>
      <x:c r="AC841" s="12"/>
      <x:c r="AD841" s="12"/>
      <x:c r="AE841" s="12"/>
      <x:c r="AF841" s="12"/>
      <x:c r="AG841" s="12"/>
    </x:row>
    <x:row r="842" ht="14.25" customHeight="1">
      <x:c r="A842" s="114"/>
      <x:c r="B842" s="114"/>
      <x:c r="C842" s="114"/>
      <x:c r="D842" s="114"/>
      <x:c r="E842" s="114"/>
      <x:c r="F842" s="114"/>
      <x:c r="G842" s="114"/>
      <x:c r="H842" s="114"/>
      <x:c r="I842" s="114"/>
      <x:c r="J842" s="114"/>
      <x:c r="K842" s="12"/>
      <x:c r="L842" s="12"/>
      <x:c r="M842" s="12"/>
      <x:c r="N842" s="12"/>
      <x:c r="O842" s="12"/>
      <x:c r="P842" s="12"/>
      <x:c r="Q842" s="12"/>
      <x:c r="R842" s="12"/>
      <x:c r="S842" s="12"/>
      <x:c r="T842" s="12"/>
      <x:c r="U842" s="12"/>
      <x:c r="V842" s="12"/>
      <x:c r="W842" s="12"/>
      <x:c r="X842" s="12"/>
      <x:c r="Y842" s="12"/>
      <x:c r="Z842" s="12"/>
      <x:c r="AA842" s="12"/>
      <x:c r="AB842" s="12"/>
      <x:c r="AC842" s="12"/>
      <x:c r="AD842" s="12"/>
      <x:c r="AE842" s="12"/>
      <x:c r="AF842" s="12"/>
      <x:c r="AG842" s="12"/>
    </x:row>
    <x:row r="843" ht="14.25" customHeight="1">
      <x:c r="A843" s="114"/>
      <x:c r="B843" s="114"/>
      <x:c r="C843" s="114"/>
      <x:c r="D843" s="114"/>
      <x:c r="E843" s="114"/>
      <x:c r="F843" s="114"/>
      <x:c r="G843" s="114"/>
      <x:c r="H843" s="114"/>
      <x:c r="I843" s="114"/>
      <x:c r="J843" s="114"/>
      <x:c r="K843" s="12"/>
      <x:c r="L843" s="12"/>
      <x:c r="M843" s="12"/>
      <x:c r="N843" s="12"/>
      <x:c r="O843" s="12"/>
      <x:c r="P843" s="12"/>
      <x:c r="Q843" s="12"/>
      <x:c r="R843" s="12"/>
      <x:c r="S843" s="12"/>
      <x:c r="T843" s="12"/>
      <x:c r="U843" s="12"/>
      <x:c r="V843" s="12"/>
      <x:c r="W843" s="12"/>
      <x:c r="X843" s="12"/>
      <x:c r="Y843" s="12"/>
      <x:c r="Z843" s="12"/>
      <x:c r="AA843" s="12"/>
      <x:c r="AB843" s="12"/>
      <x:c r="AC843" s="12"/>
      <x:c r="AD843" s="12"/>
      <x:c r="AE843" s="12"/>
      <x:c r="AF843" s="12"/>
      <x:c r="AG843" s="12"/>
    </x:row>
    <x:row r="844" ht="14.25" customHeight="1">
      <x:c r="A844" s="114"/>
      <x:c r="B844" s="114"/>
      <x:c r="C844" s="114"/>
      <x:c r="D844" s="114"/>
      <x:c r="E844" s="114"/>
      <x:c r="F844" s="114"/>
      <x:c r="G844" s="114"/>
      <x:c r="H844" s="114"/>
      <x:c r="I844" s="114"/>
      <x:c r="J844" s="114"/>
      <x:c r="K844" s="12"/>
      <x:c r="L844" s="12"/>
      <x:c r="M844" s="12"/>
      <x:c r="N844" s="12"/>
      <x:c r="O844" s="12"/>
      <x:c r="P844" s="12"/>
      <x:c r="Q844" s="12"/>
      <x:c r="R844" s="12"/>
      <x:c r="S844" s="12"/>
      <x:c r="T844" s="12"/>
      <x:c r="U844" s="12"/>
      <x:c r="V844" s="12"/>
      <x:c r="W844" s="12"/>
      <x:c r="X844" s="12"/>
      <x:c r="Y844" s="12"/>
      <x:c r="Z844" s="12"/>
      <x:c r="AA844" s="12"/>
      <x:c r="AB844" s="12"/>
      <x:c r="AC844" s="12"/>
      <x:c r="AD844" s="12"/>
      <x:c r="AE844" s="12"/>
      <x:c r="AF844" s="12"/>
      <x:c r="AG844" s="12"/>
    </x:row>
    <x:row r="845" ht="14.25" customHeight="1">
      <x:c r="A845" s="114"/>
      <x:c r="B845" s="114"/>
      <x:c r="C845" s="114"/>
      <x:c r="D845" s="114"/>
      <x:c r="E845" s="114"/>
      <x:c r="F845" s="114"/>
      <x:c r="G845" s="114"/>
      <x:c r="H845" s="114"/>
      <x:c r="I845" s="114"/>
      <x:c r="J845" s="114"/>
      <x:c r="K845" s="12"/>
      <x:c r="L845" s="12"/>
      <x:c r="M845" s="12"/>
      <x:c r="N845" s="12"/>
      <x:c r="O845" s="12"/>
      <x:c r="P845" s="12"/>
      <x:c r="Q845" s="12"/>
      <x:c r="R845" s="12"/>
      <x:c r="S845" s="12"/>
      <x:c r="T845" s="12"/>
      <x:c r="U845" s="12"/>
      <x:c r="V845" s="12"/>
      <x:c r="W845" s="12"/>
      <x:c r="X845" s="12"/>
      <x:c r="Y845" s="12"/>
      <x:c r="Z845" s="12"/>
      <x:c r="AA845" s="12"/>
      <x:c r="AB845" s="12"/>
      <x:c r="AC845" s="12"/>
      <x:c r="AD845" s="12"/>
      <x:c r="AE845" s="12"/>
      <x:c r="AF845" s="12"/>
      <x:c r="AG845" s="12"/>
    </x:row>
    <x:row r="846" ht="14.25" customHeight="1">
      <x:c r="A846" s="114"/>
      <x:c r="B846" s="114"/>
      <x:c r="C846" s="114"/>
      <x:c r="D846" s="114"/>
      <x:c r="E846" s="114"/>
      <x:c r="F846" s="114"/>
      <x:c r="G846" s="114"/>
      <x:c r="H846" s="114"/>
      <x:c r="I846" s="114"/>
      <x:c r="J846" s="114"/>
      <x:c r="K846" s="12"/>
      <x:c r="L846" s="12"/>
      <x:c r="M846" s="12"/>
      <x:c r="N846" s="12"/>
      <x:c r="O846" s="12"/>
      <x:c r="P846" s="12"/>
      <x:c r="Q846" s="12"/>
      <x:c r="R846" s="12"/>
      <x:c r="S846" s="12"/>
      <x:c r="T846" s="12"/>
      <x:c r="U846" s="12"/>
      <x:c r="V846" s="12"/>
      <x:c r="W846" s="12"/>
      <x:c r="X846" s="12"/>
      <x:c r="Y846" s="12"/>
      <x:c r="Z846" s="12"/>
      <x:c r="AA846" s="12"/>
      <x:c r="AB846" s="12"/>
      <x:c r="AC846" s="12"/>
      <x:c r="AD846" s="12"/>
      <x:c r="AE846" s="12"/>
      <x:c r="AF846" s="12"/>
      <x:c r="AG846" s="12"/>
    </x:row>
    <x:row r="847" ht="14.25" customHeight="1">
      <x:c r="A847" s="114"/>
      <x:c r="B847" s="114"/>
      <x:c r="C847" s="114"/>
      <x:c r="D847" s="114"/>
      <x:c r="E847" s="114"/>
      <x:c r="F847" s="114"/>
      <x:c r="G847" s="114"/>
      <x:c r="H847" s="114"/>
      <x:c r="I847" s="114"/>
      <x:c r="J847" s="114"/>
      <x:c r="K847" s="12"/>
      <x:c r="L847" s="12"/>
      <x:c r="M847" s="12"/>
      <x:c r="N847" s="12"/>
      <x:c r="O847" s="12"/>
      <x:c r="P847" s="12"/>
      <x:c r="Q847" s="12"/>
      <x:c r="R847" s="12"/>
      <x:c r="S847" s="12"/>
      <x:c r="T847" s="12"/>
      <x:c r="U847" s="12"/>
      <x:c r="V847" s="12"/>
      <x:c r="W847" s="12"/>
      <x:c r="X847" s="12"/>
      <x:c r="Y847" s="12"/>
      <x:c r="Z847" s="12"/>
      <x:c r="AA847" s="12"/>
      <x:c r="AB847" s="12"/>
      <x:c r="AC847" s="12"/>
      <x:c r="AD847" s="12"/>
      <x:c r="AE847" s="12"/>
      <x:c r="AF847" s="12"/>
      <x:c r="AG847" s="12"/>
    </x:row>
    <x:row r="848" ht="14.25" customHeight="1">
      <x:c r="A848" s="114"/>
      <x:c r="B848" s="114"/>
      <x:c r="C848" s="114"/>
      <x:c r="D848" s="114"/>
      <x:c r="E848" s="114"/>
      <x:c r="F848" s="114"/>
      <x:c r="G848" s="114"/>
      <x:c r="H848" s="114"/>
      <x:c r="I848" s="114"/>
      <x:c r="J848" s="114"/>
      <x:c r="K848" s="12"/>
      <x:c r="L848" s="12"/>
      <x:c r="M848" s="12"/>
      <x:c r="N848" s="12"/>
      <x:c r="O848" s="12"/>
      <x:c r="P848" s="12"/>
      <x:c r="Q848" s="12"/>
      <x:c r="R848" s="12"/>
      <x:c r="S848" s="12"/>
      <x:c r="T848" s="12"/>
      <x:c r="U848" s="12"/>
      <x:c r="V848" s="12"/>
      <x:c r="W848" s="12"/>
      <x:c r="X848" s="12"/>
      <x:c r="Y848" s="12"/>
      <x:c r="Z848" s="12"/>
      <x:c r="AA848" s="12"/>
      <x:c r="AB848" s="12"/>
      <x:c r="AC848" s="12"/>
      <x:c r="AD848" s="12"/>
      <x:c r="AE848" s="12"/>
      <x:c r="AF848" s="12"/>
      <x:c r="AG848" s="12"/>
    </x:row>
    <x:row r="849" ht="14.25" customHeight="1">
      <x:c r="A849" s="114"/>
      <x:c r="B849" s="114"/>
      <x:c r="C849" s="114"/>
      <x:c r="D849" s="114"/>
      <x:c r="E849" s="114"/>
      <x:c r="F849" s="114"/>
      <x:c r="G849" s="114"/>
      <x:c r="H849" s="114"/>
      <x:c r="I849" s="114"/>
      <x:c r="J849" s="114"/>
      <x:c r="K849" s="12"/>
      <x:c r="L849" s="12"/>
      <x:c r="M849" s="12"/>
      <x:c r="N849" s="12"/>
      <x:c r="O849" s="12"/>
      <x:c r="P849" s="12"/>
      <x:c r="Q849" s="12"/>
      <x:c r="R849" s="12"/>
      <x:c r="S849" s="12"/>
      <x:c r="T849" s="12"/>
      <x:c r="U849" s="12"/>
      <x:c r="V849" s="12"/>
      <x:c r="W849" s="12"/>
      <x:c r="X849" s="12"/>
      <x:c r="Y849" s="12"/>
      <x:c r="Z849" s="12"/>
      <x:c r="AA849" s="12"/>
      <x:c r="AB849" s="12"/>
      <x:c r="AC849" s="12"/>
      <x:c r="AD849" s="12"/>
      <x:c r="AE849" s="12"/>
      <x:c r="AF849" s="12"/>
      <x:c r="AG849" s="12"/>
    </x:row>
    <x:row r="850" ht="14.25" customHeight="1">
      <x:c r="A850" s="114"/>
      <x:c r="B850" s="114"/>
      <x:c r="C850" s="114"/>
      <x:c r="D850" s="114"/>
      <x:c r="E850" s="114"/>
      <x:c r="F850" s="114"/>
      <x:c r="G850" s="114"/>
      <x:c r="H850" s="114"/>
      <x:c r="I850" s="114"/>
      <x:c r="J850" s="114"/>
      <x:c r="K850" s="12"/>
      <x:c r="L850" s="12"/>
      <x:c r="M850" s="12"/>
      <x:c r="N850" s="12"/>
      <x:c r="O850" s="12"/>
      <x:c r="P850" s="12"/>
      <x:c r="Q850" s="12"/>
      <x:c r="R850" s="12"/>
      <x:c r="S850" s="12"/>
      <x:c r="T850" s="12"/>
      <x:c r="U850" s="12"/>
      <x:c r="V850" s="12"/>
      <x:c r="W850" s="12"/>
      <x:c r="X850" s="12"/>
      <x:c r="Y850" s="12"/>
      <x:c r="Z850" s="12"/>
      <x:c r="AA850" s="12"/>
      <x:c r="AB850" s="12"/>
      <x:c r="AC850" s="12"/>
      <x:c r="AD850" s="12"/>
      <x:c r="AE850" s="12"/>
      <x:c r="AF850" s="12"/>
      <x:c r="AG850" s="12"/>
    </x:row>
    <x:row r="851" ht="14.25" customHeight="1">
      <x:c r="A851" s="114"/>
      <x:c r="B851" s="114"/>
      <x:c r="C851" s="114"/>
      <x:c r="D851" s="114"/>
      <x:c r="E851" s="114"/>
      <x:c r="F851" s="114"/>
      <x:c r="G851" s="114"/>
      <x:c r="H851" s="114"/>
      <x:c r="I851" s="114"/>
      <x:c r="J851" s="114"/>
      <x:c r="K851" s="12"/>
      <x:c r="L851" s="12"/>
      <x:c r="M851" s="12"/>
      <x:c r="N851" s="12"/>
      <x:c r="O851" s="12"/>
      <x:c r="P851" s="12"/>
      <x:c r="Q851" s="12"/>
      <x:c r="R851" s="12"/>
      <x:c r="S851" s="12"/>
      <x:c r="T851" s="12"/>
      <x:c r="U851" s="12"/>
      <x:c r="V851" s="12"/>
      <x:c r="W851" s="12"/>
      <x:c r="X851" s="12"/>
      <x:c r="Y851" s="12"/>
      <x:c r="Z851" s="12"/>
      <x:c r="AA851" s="12"/>
      <x:c r="AB851" s="12"/>
      <x:c r="AC851" s="12"/>
      <x:c r="AD851" s="12"/>
      <x:c r="AE851" s="12"/>
      <x:c r="AF851" s="12"/>
      <x:c r="AG851" s="12"/>
    </x:row>
    <x:row r="852" ht="14.25" customHeight="1">
      <x:c r="A852" s="114"/>
      <x:c r="B852" s="114"/>
      <x:c r="C852" s="114"/>
      <x:c r="D852" s="114"/>
      <x:c r="E852" s="114"/>
      <x:c r="F852" s="114"/>
      <x:c r="G852" s="114"/>
      <x:c r="H852" s="114"/>
      <x:c r="I852" s="114"/>
      <x:c r="J852" s="114"/>
      <x:c r="K852" s="12"/>
      <x:c r="L852" s="12"/>
      <x:c r="M852" s="12"/>
      <x:c r="N852" s="12"/>
      <x:c r="O852" s="12"/>
      <x:c r="P852" s="12"/>
      <x:c r="Q852" s="12"/>
      <x:c r="R852" s="12"/>
      <x:c r="S852" s="12"/>
      <x:c r="T852" s="12"/>
      <x:c r="U852" s="12"/>
      <x:c r="V852" s="12"/>
      <x:c r="W852" s="12"/>
      <x:c r="X852" s="12"/>
      <x:c r="Y852" s="12"/>
      <x:c r="Z852" s="12"/>
      <x:c r="AA852" s="12"/>
      <x:c r="AB852" s="12"/>
      <x:c r="AC852" s="12"/>
      <x:c r="AD852" s="12"/>
      <x:c r="AE852" s="12"/>
      <x:c r="AF852" s="12"/>
      <x:c r="AG852" s="12"/>
    </x:row>
    <x:row r="853" ht="14.25" customHeight="1">
      <x:c r="A853" s="114"/>
      <x:c r="B853" s="114"/>
      <x:c r="C853" s="114"/>
      <x:c r="D853" s="114"/>
      <x:c r="E853" s="114"/>
      <x:c r="F853" s="114"/>
      <x:c r="G853" s="114"/>
      <x:c r="H853" s="114"/>
      <x:c r="I853" s="114"/>
      <x:c r="J853" s="114"/>
      <x:c r="K853" s="12"/>
      <x:c r="L853" s="12"/>
      <x:c r="M853" s="12"/>
      <x:c r="N853" s="12"/>
      <x:c r="O853" s="12"/>
      <x:c r="P853" s="12"/>
      <x:c r="Q853" s="12"/>
      <x:c r="R853" s="12"/>
      <x:c r="S853" s="12"/>
      <x:c r="T853" s="12"/>
      <x:c r="U853" s="12"/>
      <x:c r="V853" s="12"/>
      <x:c r="W853" s="12"/>
      <x:c r="X853" s="12"/>
      <x:c r="Y853" s="12"/>
      <x:c r="Z853" s="12"/>
      <x:c r="AA853" s="12"/>
      <x:c r="AB853" s="12"/>
      <x:c r="AC853" s="12"/>
      <x:c r="AD853" s="12"/>
      <x:c r="AE853" s="12"/>
      <x:c r="AF853" s="12"/>
      <x:c r="AG853" s="12"/>
    </x:row>
    <x:row r="854" ht="14.25" customHeight="1">
      <x:c r="A854" s="114"/>
      <x:c r="B854" s="114"/>
      <x:c r="C854" s="114"/>
      <x:c r="D854" s="114"/>
      <x:c r="E854" s="114"/>
      <x:c r="F854" s="114"/>
      <x:c r="G854" s="114"/>
      <x:c r="H854" s="114"/>
      <x:c r="I854" s="114"/>
      <x:c r="J854" s="114"/>
      <x:c r="K854" s="12"/>
      <x:c r="L854" s="12"/>
      <x:c r="M854" s="12"/>
      <x:c r="N854" s="12"/>
      <x:c r="O854" s="12"/>
      <x:c r="P854" s="12"/>
      <x:c r="Q854" s="12"/>
      <x:c r="R854" s="12"/>
      <x:c r="S854" s="12"/>
      <x:c r="T854" s="12"/>
      <x:c r="U854" s="12"/>
      <x:c r="V854" s="12"/>
      <x:c r="W854" s="12"/>
      <x:c r="X854" s="12"/>
      <x:c r="Y854" s="12"/>
      <x:c r="Z854" s="12"/>
      <x:c r="AA854" s="12"/>
      <x:c r="AB854" s="12"/>
      <x:c r="AC854" s="12"/>
      <x:c r="AD854" s="12"/>
      <x:c r="AE854" s="12"/>
      <x:c r="AF854" s="12"/>
      <x:c r="AG854" s="12"/>
    </x:row>
    <x:row r="855" ht="14.25" customHeight="1">
      <x:c r="A855" s="114"/>
      <x:c r="B855" s="114"/>
      <x:c r="C855" s="114"/>
      <x:c r="D855" s="114"/>
      <x:c r="E855" s="114"/>
      <x:c r="F855" s="114"/>
      <x:c r="G855" s="114"/>
      <x:c r="H855" s="114"/>
      <x:c r="I855" s="114"/>
      <x:c r="J855" s="114"/>
      <x:c r="K855" s="12"/>
      <x:c r="L855" s="12"/>
      <x:c r="M855" s="12"/>
      <x:c r="N855" s="12"/>
      <x:c r="O855" s="12"/>
      <x:c r="P855" s="12"/>
      <x:c r="Q855" s="12"/>
      <x:c r="R855" s="12"/>
      <x:c r="S855" s="12"/>
      <x:c r="T855" s="12"/>
      <x:c r="U855" s="12"/>
      <x:c r="V855" s="12"/>
      <x:c r="W855" s="12"/>
      <x:c r="X855" s="12"/>
      <x:c r="Y855" s="12"/>
      <x:c r="Z855" s="12"/>
      <x:c r="AA855" s="12"/>
      <x:c r="AB855" s="12"/>
      <x:c r="AC855" s="12"/>
      <x:c r="AD855" s="12"/>
      <x:c r="AE855" s="12"/>
      <x:c r="AF855" s="12"/>
      <x:c r="AG855" s="12"/>
    </x:row>
    <x:row r="856" ht="14.25" customHeight="1">
      <x:c r="A856" s="114"/>
      <x:c r="B856" s="114"/>
      <x:c r="C856" s="114"/>
      <x:c r="D856" s="114"/>
      <x:c r="E856" s="114"/>
      <x:c r="F856" s="114"/>
      <x:c r="G856" s="114"/>
      <x:c r="H856" s="114"/>
      <x:c r="I856" s="114"/>
      <x:c r="J856" s="114"/>
      <x:c r="K856" s="12"/>
      <x:c r="L856" s="12"/>
      <x:c r="M856" s="12"/>
      <x:c r="N856" s="12"/>
      <x:c r="O856" s="12"/>
      <x:c r="P856" s="12"/>
      <x:c r="Q856" s="12"/>
      <x:c r="R856" s="12"/>
      <x:c r="S856" s="12"/>
      <x:c r="T856" s="12"/>
      <x:c r="U856" s="12"/>
      <x:c r="V856" s="12"/>
      <x:c r="W856" s="12"/>
      <x:c r="X856" s="12"/>
      <x:c r="Y856" s="12"/>
      <x:c r="Z856" s="12"/>
      <x:c r="AA856" s="12"/>
      <x:c r="AB856" s="12"/>
      <x:c r="AC856" s="12"/>
      <x:c r="AD856" s="12"/>
      <x:c r="AE856" s="12"/>
      <x:c r="AF856" s="12"/>
      <x:c r="AG856" s="12"/>
    </x:row>
    <x:row r="857" ht="14.25" customHeight="1">
      <x:c r="A857" s="114"/>
      <x:c r="B857" s="114"/>
      <x:c r="C857" s="114"/>
      <x:c r="D857" s="114"/>
      <x:c r="E857" s="114"/>
      <x:c r="F857" s="114"/>
      <x:c r="G857" s="114"/>
      <x:c r="H857" s="114"/>
      <x:c r="I857" s="114"/>
      <x:c r="J857" s="114"/>
      <x:c r="K857" s="12"/>
      <x:c r="L857" s="12"/>
      <x:c r="M857" s="12"/>
      <x:c r="N857" s="12"/>
      <x:c r="O857" s="12"/>
      <x:c r="P857" s="12"/>
      <x:c r="Q857" s="12"/>
      <x:c r="R857" s="12"/>
      <x:c r="S857" s="12"/>
      <x:c r="T857" s="12"/>
      <x:c r="U857" s="12"/>
      <x:c r="V857" s="12"/>
      <x:c r="W857" s="12"/>
      <x:c r="X857" s="12"/>
      <x:c r="Y857" s="12"/>
      <x:c r="Z857" s="12"/>
      <x:c r="AA857" s="12"/>
      <x:c r="AB857" s="12"/>
      <x:c r="AC857" s="12"/>
      <x:c r="AD857" s="12"/>
      <x:c r="AE857" s="12"/>
      <x:c r="AF857" s="12"/>
      <x:c r="AG857" s="12"/>
    </x:row>
    <x:row r="858" ht="14.25" customHeight="1">
      <x:c r="A858" s="114"/>
      <x:c r="B858" s="114"/>
      <x:c r="C858" s="114"/>
      <x:c r="D858" s="114"/>
      <x:c r="E858" s="114"/>
      <x:c r="F858" s="114"/>
      <x:c r="G858" s="114"/>
      <x:c r="H858" s="114"/>
      <x:c r="I858" s="114"/>
      <x:c r="J858" s="114"/>
      <x:c r="K858" s="12"/>
      <x:c r="L858" s="12"/>
      <x:c r="M858" s="12"/>
      <x:c r="N858" s="12"/>
      <x:c r="O858" s="12"/>
      <x:c r="P858" s="12"/>
      <x:c r="Q858" s="12"/>
      <x:c r="R858" s="12"/>
      <x:c r="S858" s="12"/>
      <x:c r="T858" s="12"/>
      <x:c r="U858" s="12"/>
      <x:c r="V858" s="12"/>
      <x:c r="W858" s="12"/>
      <x:c r="X858" s="12"/>
      <x:c r="Y858" s="12"/>
      <x:c r="Z858" s="12"/>
      <x:c r="AA858" s="12"/>
      <x:c r="AB858" s="12"/>
      <x:c r="AC858" s="12"/>
      <x:c r="AD858" s="12"/>
      <x:c r="AE858" s="12"/>
      <x:c r="AF858" s="12"/>
      <x:c r="AG858" s="12"/>
    </x:row>
    <x:row r="859" ht="14.25" customHeight="1">
      <x:c r="A859" s="114"/>
      <x:c r="B859" s="114"/>
      <x:c r="C859" s="114"/>
      <x:c r="D859" s="114"/>
      <x:c r="E859" s="114"/>
      <x:c r="F859" s="114"/>
      <x:c r="G859" s="114"/>
      <x:c r="H859" s="114"/>
      <x:c r="I859" s="114"/>
      <x:c r="J859" s="114"/>
      <x:c r="K859" s="12"/>
      <x:c r="L859" s="12"/>
      <x:c r="M859" s="12"/>
      <x:c r="N859" s="12"/>
      <x:c r="O859" s="12"/>
      <x:c r="P859" s="12"/>
      <x:c r="Q859" s="12"/>
      <x:c r="R859" s="12"/>
      <x:c r="S859" s="12"/>
      <x:c r="T859" s="12"/>
      <x:c r="U859" s="12"/>
      <x:c r="V859" s="12"/>
      <x:c r="W859" s="12"/>
      <x:c r="X859" s="12"/>
      <x:c r="Y859" s="12"/>
      <x:c r="Z859" s="12"/>
      <x:c r="AA859" s="12"/>
      <x:c r="AB859" s="12"/>
      <x:c r="AC859" s="12"/>
      <x:c r="AD859" s="12"/>
      <x:c r="AE859" s="12"/>
      <x:c r="AF859" s="12"/>
      <x:c r="AG859" s="12"/>
    </x:row>
    <x:row r="860" ht="14.25" customHeight="1">
      <x:c r="A860" s="114"/>
      <x:c r="B860" s="114"/>
      <x:c r="C860" s="114"/>
      <x:c r="D860" s="114"/>
      <x:c r="E860" s="114"/>
      <x:c r="F860" s="114"/>
      <x:c r="G860" s="114"/>
      <x:c r="H860" s="114"/>
      <x:c r="I860" s="114"/>
      <x:c r="J860" s="114"/>
      <x:c r="K860" s="12"/>
      <x:c r="L860" s="12"/>
      <x:c r="M860" s="12"/>
      <x:c r="N860" s="12"/>
      <x:c r="O860" s="12"/>
      <x:c r="P860" s="12"/>
      <x:c r="Q860" s="12"/>
      <x:c r="R860" s="12"/>
      <x:c r="S860" s="12"/>
      <x:c r="T860" s="12"/>
      <x:c r="U860" s="12"/>
      <x:c r="V860" s="12"/>
      <x:c r="W860" s="12"/>
      <x:c r="X860" s="12"/>
      <x:c r="Y860" s="12"/>
      <x:c r="Z860" s="12"/>
      <x:c r="AA860" s="12"/>
      <x:c r="AB860" s="12"/>
      <x:c r="AC860" s="12"/>
      <x:c r="AD860" s="12"/>
      <x:c r="AE860" s="12"/>
      <x:c r="AF860" s="12"/>
      <x:c r="AG860" s="12"/>
    </x:row>
    <x:row r="861" ht="14.25" customHeight="1">
      <x:c r="A861" s="114"/>
      <x:c r="B861" s="114"/>
      <x:c r="C861" s="114"/>
      <x:c r="D861" s="114"/>
      <x:c r="E861" s="114"/>
      <x:c r="F861" s="114"/>
      <x:c r="G861" s="114"/>
      <x:c r="H861" s="114"/>
      <x:c r="I861" s="114"/>
      <x:c r="J861" s="114"/>
      <x:c r="K861" s="12"/>
      <x:c r="L861" s="12"/>
      <x:c r="M861" s="12"/>
      <x:c r="N861" s="12"/>
      <x:c r="O861" s="12"/>
      <x:c r="P861" s="12"/>
      <x:c r="Q861" s="12"/>
      <x:c r="R861" s="12"/>
      <x:c r="S861" s="12"/>
      <x:c r="T861" s="12"/>
      <x:c r="U861" s="12"/>
      <x:c r="V861" s="12"/>
      <x:c r="W861" s="12"/>
      <x:c r="X861" s="12"/>
      <x:c r="Y861" s="12"/>
      <x:c r="Z861" s="12"/>
      <x:c r="AA861" s="12"/>
      <x:c r="AB861" s="12"/>
      <x:c r="AC861" s="12"/>
      <x:c r="AD861" s="12"/>
      <x:c r="AE861" s="12"/>
      <x:c r="AF861" s="12"/>
      <x:c r="AG861" s="12"/>
    </x:row>
    <x:row r="862" ht="14.25" customHeight="1">
      <x:c r="A862" s="114"/>
      <x:c r="B862" s="114"/>
      <x:c r="C862" s="114"/>
      <x:c r="D862" s="114"/>
      <x:c r="E862" s="114"/>
      <x:c r="F862" s="114"/>
      <x:c r="G862" s="114"/>
      <x:c r="H862" s="114"/>
      <x:c r="I862" s="114"/>
      <x:c r="J862" s="114"/>
      <x:c r="K862" s="12"/>
      <x:c r="L862" s="12"/>
      <x:c r="M862" s="12"/>
      <x:c r="N862" s="12"/>
      <x:c r="O862" s="12"/>
      <x:c r="P862" s="12"/>
      <x:c r="Q862" s="12"/>
      <x:c r="R862" s="12"/>
      <x:c r="S862" s="12"/>
      <x:c r="T862" s="12"/>
      <x:c r="U862" s="12"/>
      <x:c r="V862" s="12"/>
      <x:c r="W862" s="12"/>
      <x:c r="X862" s="12"/>
      <x:c r="Y862" s="12"/>
      <x:c r="Z862" s="12"/>
      <x:c r="AA862" s="12"/>
      <x:c r="AB862" s="12"/>
      <x:c r="AC862" s="12"/>
      <x:c r="AD862" s="12"/>
      <x:c r="AE862" s="12"/>
      <x:c r="AF862" s="12"/>
      <x:c r="AG862" s="12"/>
    </x:row>
    <x:row r="863" ht="14.25" customHeight="1">
      <x:c r="A863" s="114"/>
      <x:c r="B863" s="114"/>
      <x:c r="C863" s="114"/>
      <x:c r="D863" s="114"/>
      <x:c r="E863" s="114"/>
      <x:c r="F863" s="114"/>
      <x:c r="G863" s="114"/>
      <x:c r="H863" s="114"/>
      <x:c r="I863" s="114"/>
      <x:c r="J863" s="114"/>
      <x:c r="K863" s="12"/>
      <x:c r="L863" s="12"/>
      <x:c r="M863" s="12"/>
      <x:c r="N863" s="12"/>
      <x:c r="O863" s="12"/>
      <x:c r="P863" s="12"/>
      <x:c r="Q863" s="12"/>
      <x:c r="R863" s="12"/>
      <x:c r="S863" s="12"/>
      <x:c r="T863" s="12"/>
      <x:c r="U863" s="12"/>
      <x:c r="V863" s="12"/>
      <x:c r="W863" s="12"/>
      <x:c r="X863" s="12"/>
      <x:c r="Y863" s="12"/>
      <x:c r="Z863" s="12"/>
      <x:c r="AA863" s="12"/>
      <x:c r="AB863" s="12"/>
      <x:c r="AC863" s="12"/>
      <x:c r="AD863" s="12"/>
      <x:c r="AE863" s="12"/>
      <x:c r="AF863" s="12"/>
      <x:c r="AG863" s="12"/>
    </x:row>
    <x:row r="864" ht="14.25" customHeight="1">
      <x:c r="A864" s="114"/>
      <x:c r="B864" s="114"/>
      <x:c r="C864" s="114"/>
      <x:c r="D864" s="114"/>
      <x:c r="E864" s="114"/>
      <x:c r="F864" s="114"/>
      <x:c r="G864" s="114"/>
      <x:c r="H864" s="114"/>
      <x:c r="I864" s="114"/>
      <x:c r="J864" s="114"/>
      <x:c r="K864" s="12"/>
      <x:c r="L864" s="12"/>
      <x:c r="M864" s="12"/>
      <x:c r="N864" s="12"/>
      <x:c r="O864" s="12"/>
      <x:c r="P864" s="12"/>
      <x:c r="Q864" s="12"/>
      <x:c r="R864" s="12"/>
      <x:c r="S864" s="12"/>
      <x:c r="T864" s="12"/>
      <x:c r="U864" s="12"/>
      <x:c r="V864" s="12"/>
      <x:c r="W864" s="12"/>
      <x:c r="X864" s="12"/>
      <x:c r="Y864" s="12"/>
      <x:c r="Z864" s="12"/>
      <x:c r="AA864" s="12"/>
      <x:c r="AB864" s="12"/>
      <x:c r="AC864" s="12"/>
      <x:c r="AD864" s="12"/>
      <x:c r="AE864" s="12"/>
      <x:c r="AF864" s="12"/>
      <x:c r="AG864" s="12"/>
    </x:row>
    <x:row r="865" ht="14.25" customHeight="1">
      <x:c r="A865" s="114"/>
      <x:c r="B865" s="114"/>
      <x:c r="C865" s="114"/>
      <x:c r="D865" s="114"/>
      <x:c r="E865" s="114"/>
      <x:c r="F865" s="114"/>
      <x:c r="G865" s="114"/>
      <x:c r="H865" s="114"/>
      <x:c r="I865" s="114"/>
      <x:c r="J865" s="114"/>
      <x:c r="K865" s="12"/>
      <x:c r="L865" s="12"/>
      <x:c r="M865" s="12"/>
      <x:c r="N865" s="12"/>
      <x:c r="O865" s="12"/>
      <x:c r="P865" s="12"/>
      <x:c r="Q865" s="12"/>
      <x:c r="R865" s="12"/>
      <x:c r="S865" s="12"/>
      <x:c r="T865" s="12"/>
      <x:c r="U865" s="12"/>
      <x:c r="V865" s="12"/>
      <x:c r="W865" s="12"/>
      <x:c r="X865" s="12"/>
      <x:c r="Y865" s="12"/>
      <x:c r="Z865" s="12"/>
      <x:c r="AA865" s="12"/>
      <x:c r="AB865" s="12"/>
      <x:c r="AC865" s="12"/>
      <x:c r="AD865" s="12"/>
      <x:c r="AE865" s="12"/>
      <x:c r="AF865" s="12"/>
      <x:c r="AG865" s="12"/>
    </x:row>
    <x:row r="866" ht="14.25" customHeight="1">
      <x:c r="A866" s="114"/>
      <x:c r="B866" s="114"/>
      <x:c r="C866" s="114"/>
      <x:c r="D866" s="114"/>
      <x:c r="E866" s="114"/>
      <x:c r="F866" s="114"/>
      <x:c r="G866" s="114"/>
      <x:c r="H866" s="114"/>
      <x:c r="I866" s="114"/>
      <x:c r="J866" s="114"/>
      <x:c r="K866" s="12"/>
      <x:c r="L866" s="12"/>
      <x:c r="M866" s="12"/>
      <x:c r="N866" s="12"/>
      <x:c r="O866" s="12"/>
      <x:c r="P866" s="12"/>
      <x:c r="Q866" s="12"/>
      <x:c r="R866" s="12"/>
      <x:c r="S866" s="12"/>
      <x:c r="T866" s="12"/>
      <x:c r="U866" s="12"/>
      <x:c r="V866" s="12"/>
      <x:c r="W866" s="12"/>
      <x:c r="X866" s="12"/>
      <x:c r="Y866" s="12"/>
      <x:c r="Z866" s="12"/>
      <x:c r="AA866" s="12"/>
      <x:c r="AB866" s="12"/>
      <x:c r="AC866" s="12"/>
      <x:c r="AD866" s="12"/>
      <x:c r="AE866" s="12"/>
      <x:c r="AF866" s="12"/>
      <x:c r="AG866" s="12"/>
    </x:row>
    <x:row r="867" ht="14.25" customHeight="1">
      <x:c r="A867" s="114"/>
      <x:c r="B867" s="114"/>
      <x:c r="C867" s="114"/>
      <x:c r="D867" s="114"/>
      <x:c r="E867" s="114"/>
      <x:c r="F867" s="114"/>
      <x:c r="G867" s="114"/>
      <x:c r="H867" s="114"/>
      <x:c r="I867" s="114"/>
      <x:c r="J867" s="114"/>
      <x:c r="K867" s="12"/>
      <x:c r="L867" s="12"/>
      <x:c r="M867" s="12"/>
      <x:c r="N867" s="12"/>
      <x:c r="O867" s="12"/>
      <x:c r="P867" s="12"/>
      <x:c r="Q867" s="12"/>
      <x:c r="R867" s="12"/>
      <x:c r="S867" s="12"/>
      <x:c r="T867" s="12"/>
      <x:c r="U867" s="12"/>
      <x:c r="V867" s="12"/>
      <x:c r="W867" s="12"/>
      <x:c r="X867" s="12"/>
      <x:c r="Y867" s="12"/>
      <x:c r="Z867" s="12"/>
      <x:c r="AA867" s="12"/>
      <x:c r="AB867" s="12"/>
      <x:c r="AC867" s="12"/>
      <x:c r="AD867" s="12"/>
      <x:c r="AE867" s="12"/>
      <x:c r="AF867" s="12"/>
      <x:c r="AG867" s="12"/>
    </x:row>
    <x:row r="868" ht="14.25" customHeight="1">
      <x:c r="A868" s="114"/>
      <x:c r="B868" s="114"/>
      <x:c r="C868" s="114"/>
      <x:c r="D868" s="114"/>
      <x:c r="E868" s="114"/>
      <x:c r="F868" s="114"/>
      <x:c r="G868" s="114"/>
      <x:c r="H868" s="114"/>
      <x:c r="I868" s="114"/>
      <x:c r="J868" s="114"/>
      <x:c r="K868" s="12"/>
      <x:c r="L868" s="12"/>
      <x:c r="M868" s="12"/>
      <x:c r="N868" s="12"/>
      <x:c r="O868" s="12"/>
      <x:c r="P868" s="12"/>
      <x:c r="Q868" s="12"/>
      <x:c r="R868" s="12"/>
      <x:c r="S868" s="12"/>
      <x:c r="T868" s="12"/>
      <x:c r="U868" s="12"/>
      <x:c r="V868" s="12"/>
      <x:c r="W868" s="12"/>
      <x:c r="X868" s="12"/>
      <x:c r="Y868" s="12"/>
      <x:c r="Z868" s="12"/>
      <x:c r="AA868" s="12"/>
      <x:c r="AB868" s="12"/>
      <x:c r="AC868" s="12"/>
      <x:c r="AD868" s="12"/>
      <x:c r="AE868" s="12"/>
      <x:c r="AF868" s="12"/>
      <x:c r="AG868" s="12"/>
    </x:row>
    <x:row r="869" ht="14.25" customHeight="1">
      <x:c r="A869" s="114"/>
      <x:c r="B869" s="114"/>
      <x:c r="C869" s="114"/>
      <x:c r="D869" s="114"/>
      <x:c r="E869" s="114"/>
      <x:c r="F869" s="114"/>
      <x:c r="G869" s="114"/>
      <x:c r="H869" s="114"/>
      <x:c r="I869" s="114"/>
      <x:c r="J869" s="114"/>
      <x:c r="K869" s="12"/>
      <x:c r="L869" s="12"/>
      <x:c r="M869" s="12"/>
      <x:c r="N869" s="12"/>
      <x:c r="O869" s="12"/>
      <x:c r="P869" s="12"/>
      <x:c r="Q869" s="12"/>
      <x:c r="R869" s="12"/>
      <x:c r="S869" s="12"/>
      <x:c r="T869" s="12"/>
      <x:c r="U869" s="12"/>
      <x:c r="V869" s="12"/>
      <x:c r="W869" s="12"/>
      <x:c r="X869" s="12"/>
      <x:c r="Y869" s="12"/>
      <x:c r="Z869" s="12"/>
      <x:c r="AA869" s="12"/>
      <x:c r="AB869" s="12"/>
      <x:c r="AC869" s="12"/>
      <x:c r="AD869" s="12"/>
      <x:c r="AE869" s="12"/>
      <x:c r="AF869" s="12"/>
      <x:c r="AG869" s="12"/>
    </x:row>
    <x:row r="870" ht="14.25" customHeight="1">
      <x:c r="A870" s="114"/>
      <x:c r="B870" s="114"/>
      <x:c r="C870" s="114"/>
      <x:c r="D870" s="114"/>
      <x:c r="E870" s="114"/>
      <x:c r="F870" s="114"/>
      <x:c r="G870" s="114"/>
      <x:c r="H870" s="114"/>
      <x:c r="I870" s="114"/>
      <x:c r="J870" s="114"/>
      <x:c r="K870" s="12"/>
      <x:c r="L870" s="12"/>
      <x:c r="M870" s="12"/>
      <x:c r="N870" s="12"/>
      <x:c r="O870" s="12"/>
      <x:c r="P870" s="12"/>
      <x:c r="Q870" s="12"/>
      <x:c r="R870" s="12"/>
      <x:c r="S870" s="12"/>
      <x:c r="T870" s="12"/>
      <x:c r="U870" s="12"/>
      <x:c r="V870" s="12"/>
      <x:c r="W870" s="12"/>
      <x:c r="X870" s="12"/>
      <x:c r="Y870" s="12"/>
      <x:c r="Z870" s="12"/>
      <x:c r="AA870" s="12"/>
      <x:c r="AB870" s="12"/>
      <x:c r="AC870" s="12"/>
      <x:c r="AD870" s="12"/>
      <x:c r="AE870" s="12"/>
      <x:c r="AF870" s="12"/>
      <x:c r="AG870" s="12"/>
    </x:row>
    <x:row r="871" ht="14.25" customHeight="1">
      <x:c r="A871" s="114"/>
      <x:c r="B871" s="114"/>
      <x:c r="C871" s="114"/>
      <x:c r="D871" s="114"/>
      <x:c r="E871" s="114"/>
      <x:c r="F871" s="114"/>
      <x:c r="G871" s="114"/>
      <x:c r="H871" s="114"/>
      <x:c r="I871" s="114"/>
      <x:c r="J871" s="114"/>
      <x:c r="K871" s="12"/>
      <x:c r="L871" s="12"/>
      <x:c r="M871" s="12"/>
      <x:c r="N871" s="12"/>
      <x:c r="O871" s="12"/>
      <x:c r="P871" s="12"/>
      <x:c r="Q871" s="12"/>
      <x:c r="R871" s="12"/>
      <x:c r="S871" s="12"/>
      <x:c r="T871" s="12"/>
      <x:c r="U871" s="12"/>
      <x:c r="V871" s="12"/>
      <x:c r="W871" s="12"/>
      <x:c r="X871" s="12"/>
      <x:c r="Y871" s="12"/>
      <x:c r="Z871" s="12"/>
      <x:c r="AA871" s="12"/>
      <x:c r="AB871" s="12"/>
      <x:c r="AC871" s="12"/>
      <x:c r="AD871" s="12"/>
      <x:c r="AE871" s="12"/>
      <x:c r="AF871" s="12"/>
      <x:c r="AG871" s="12"/>
    </x:row>
    <x:row r="872" ht="14.25" customHeight="1">
      <x:c r="A872" s="114"/>
      <x:c r="B872" s="114"/>
      <x:c r="C872" s="114"/>
      <x:c r="D872" s="114"/>
      <x:c r="E872" s="114"/>
      <x:c r="F872" s="114"/>
      <x:c r="G872" s="114"/>
      <x:c r="H872" s="114"/>
      <x:c r="I872" s="114"/>
      <x:c r="J872" s="114"/>
      <x:c r="K872" s="12"/>
      <x:c r="L872" s="12"/>
      <x:c r="M872" s="12"/>
      <x:c r="N872" s="12"/>
      <x:c r="O872" s="12"/>
      <x:c r="P872" s="12"/>
      <x:c r="Q872" s="12"/>
      <x:c r="R872" s="12"/>
      <x:c r="S872" s="12"/>
      <x:c r="T872" s="12"/>
      <x:c r="U872" s="12"/>
      <x:c r="V872" s="12"/>
      <x:c r="W872" s="12"/>
      <x:c r="X872" s="12"/>
      <x:c r="Y872" s="12"/>
      <x:c r="Z872" s="12"/>
      <x:c r="AA872" s="12"/>
      <x:c r="AB872" s="12"/>
      <x:c r="AC872" s="12"/>
      <x:c r="AD872" s="12"/>
      <x:c r="AE872" s="12"/>
      <x:c r="AF872" s="12"/>
      <x:c r="AG872" s="12"/>
    </x:row>
    <x:row r="873" ht="14.25" customHeight="1">
      <x:c r="A873" s="114"/>
      <x:c r="B873" s="114"/>
      <x:c r="C873" s="114"/>
      <x:c r="D873" s="114"/>
      <x:c r="E873" s="114"/>
      <x:c r="F873" s="114"/>
      <x:c r="G873" s="114"/>
      <x:c r="H873" s="114"/>
      <x:c r="I873" s="114"/>
      <x:c r="J873" s="114"/>
      <x:c r="K873" s="12"/>
      <x:c r="L873" s="12"/>
      <x:c r="M873" s="12"/>
      <x:c r="N873" s="12"/>
      <x:c r="O873" s="12"/>
      <x:c r="P873" s="12"/>
      <x:c r="Q873" s="12"/>
      <x:c r="R873" s="12"/>
      <x:c r="S873" s="12"/>
      <x:c r="T873" s="12"/>
      <x:c r="U873" s="12"/>
      <x:c r="V873" s="12"/>
      <x:c r="W873" s="12"/>
      <x:c r="X873" s="12"/>
      <x:c r="Y873" s="12"/>
      <x:c r="Z873" s="12"/>
      <x:c r="AA873" s="12"/>
      <x:c r="AB873" s="12"/>
      <x:c r="AC873" s="12"/>
      <x:c r="AD873" s="12"/>
      <x:c r="AE873" s="12"/>
      <x:c r="AF873" s="12"/>
      <x:c r="AG873" s="12"/>
    </x:row>
    <x:row r="874" ht="14.25" customHeight="1">
      <x:c r="A874" s="114"/>
      <x:c r="B874" s="114"/>
      <x:c r="C874" s="114"/>
      <x:c r="D874" s="114"/>
      <x:c r="E874" s="114"/>
      <x:c r="F874" s="114"/>
      <x:c r="G874" s="114"/>
      <x:c r="H874" s="114"/>
      <x:c r="I874" s="114"/>
      <x:c r="J874" s="114"/>
      <x:c r="K874" s="12"/>
      <x:c r="L874" s="12"/>
      <x:c r="M874" s="12"/>
      <x:c r="N874" s="12"/>
      <x:c r="O874" s="12"/>
      <x:c r="P874" s="12"/>
      <x:c r="Q874" s="12"/>
      <x:c r="R874" s="12"/>
      <x:c r="S874" s="12"/>
      <x:c r="T874" s="12"/>
      <x:c r="U874" s="12"/>
      <x:c r="V874" s="12"/>
      <x:c r="W874" s="12"/>
      <x:c r="X874" s="12"/>
      <x:c r="Y874" s="12"/>
      <x:c r="Z874" s="12"/>
      <x:c r="AA874" s="12"/>
      <x:c r="AB874" s="12"/>
      <x:c r="AC874" s="12"/>
      <x:c r="AD874" s="12"/>
      <x:c r="AE874" s="12"/>
      <x:c r="AF874" s="12"/>
      <x:c r="AG874" s="12"/>
    </x:row>
    <x:row r="875" ht="14.25" customHeight="1">
      <x:c r="A875" s="114"/>
      <x:c r="B875" s="114"/>
      <x:c r="C875" s="114"/>
      <x:c r="D875" s="114"/>
      <x:c r="E875" s="114"/>
      <x:c r="F875" s="114"/>
      <x:c r="G875" s="114"/>
      <x:c r="H875" s="114"/>
      <x:c r="I875" s="114"/>
      <x:c r="J875" s="114"/>
      <x:c r="K875" s="12"/>
      <x:c r="L875" s="12"/>
      <x:c r="M875" s="12"/>
      <x:c r="N875" s="12"/>
      <x:c r="O875" s="12"/>
      <x:c r="P875" s="12"/>
      <x:c r="Q875" s="12"/>
      <x:c r="R875" s="12"/>
      <x:c r="S875" s="12"/>
      <x:c r="T875" s="12"/>
      <x:c r="U875" s="12"/>
      <x:c r="V875" s="12"/>
      <x:c r="W875" s="12"/>
      <x:c r="X875" s="12"/>
      <x:c r="Y875" s="12"/>
      <x:c r="Z875" s="12"/>
      <x:c r="AA875" s="12"/>
      <x:c r="AB875" s="12"/>
      <x:c r="AC875" s="12"/>
      <x:c r="AD875" s="12"/>
      <x:c r="AE875" s="12"/>
      <x:c r="AF875" s="12"/>
      <x:c r="AG875" s="12"/>
    </x:row>
    <x:row r="876" ht="14.25" customHeight="1">
      <x:c r="A876" s="114"/>
      <x:c r="B876" s="114"/>
      <x:c r="C876" s="114"/>
      <x:c r="D876" s="114"/>
      <x:c r="E876" s="114"/>
      <x:c r="F876" s="114"/>
      <x:c r="G876" s="114"/>
      <x:c r="H876" s="114"/>
      <x:c r="I876" s="114"/>
      <x:c r="J876" s="114"/>
      <x:c r="K876" s="12"/>
      <x:c r="L876" s="12"/>
      <x:c r="M876" s="12"/>
      <x:c r="N876" s="12"/>
      <x:c r="O876" s="12"/>
      <x:c r="P876" s="12"/>
      <x:c r="Q876" s="12"/>
      <x:c r="R876" s="12"/>
      <x:c r="S876" s="12"/>
      <x:c r="T876" s="12"/>
      <x:c r="U876" s="12"/>
      <x:c r="V876" s="12"/>
      <x:c r="W876" s="12"/>
      <x:c r="X876" s="12"/>
      <x:c r="Y876" s="12"/>
      <x:c r="Z876" s="12"/>
      <x:c r="AA876" s="12"/>
      <x:c r="AB876" s="12"/>
      <x:c r="AC876" s="12"/>
      <x:c r="AD876" s="12"/>
      <x:c r="AE876" s="12"/>
      <x:c r="AF876" s="12"/>
      <x:c r="AG876" s="12"/>
    </x:row>
    <x:row r="877" ht="14.25" customHeight="1">
      <x:c r="A877" s="114"/>
      <x:c r="B877" s="114"/>
      <x:c r="C877" s="114"/>
      <x:c r="D877" s="114"/>
      <x:c r="E877" s="114"/>
      <x:c r="F877" s="114"/>
      <x:c r="G877" s="114"/>
      <x:c r="H877" s="114"/>
      <x:c r="I877" s="114"/>
      <x:c r="J877" s="114"/>
      <x:c r="K877" s="12"/>
      <x:c r="L877" s="12"/>
      <x:c r="M877" s="12"/>
      <x:c r="N877" s="12"/>
      <x:c r="O877" s="12"/>
      <x:c r="P877" s="12"/>
      <x:c r="Q877" s="12"/>
      <x:c r="R877" s="12"/>
      <x:c r="S877" s="12"/>
      <x:c r="T877" s="12"/>
      <x:c r="U877" s="12"/>
      <x:c r="V877" s="12"/>
      <x:c r="W877" s="12"/>
      <x:c r="X877" s="12"/>
      <x:c r="Y877" s="12"/>
      <x:c r="Z877" s="12"/>
      <x:c r="AA877" s="12"/>
      <x:c r="AB877" s="12"/>
      <x:c r="AC877" s="12"/>
      <x:c r="AD877" s="12"/>
      <x:c r="AE877" s="12"/>
      <x:c r="AF877" s="12"/>
      <x:c r="AG877" s="12"/>
    </x:row>
    <x:row r="878" ht="14.25" customHeight="1">
      <x:c r="A878" s="114"/>
      <x:c r="B878" s="114"/>
      <x:c r="C878" s="114"/>
      <x:c r="D878" s="114"/>
      <x:c r="E878" s="114"/>
      <x:c r="F878" s="114"/>
      <x:c r="G878" s="114"/>
      <x:c r="H878" s="114"/>
      <x:c r="I878" s="114"/>
      <x:c r="J878" s="114"/>
      <x:c r="K878" s="12"/>
      <x:c r="L878" s="12"/>
      <x:c r="M878" s="12"/>
      <x:c r="N878" s="12"/>
      <x:c r="O878" s="12"/>
      <x:c r="P878" s="12"/>
      <x:c r="Q878" s="12"/>
      <x:c r="R878" s="12"/>
      <x:c r="S878" s="12"/>
      <x:c r="T878" s="12"/>
      <x:c r="U878" s="12"/>
      <x:c r="V878" s="12"/>
      <x:c r="W878" s="12"/>
      <x:c r="X878" s="12"/>
      <x:c r="Y878" s="12"/>
      <x:c r="Z878" s="12"/>
      <x:c r="AA878" s="12"/>
      <x:c r="AB878" s="12"/>
      <x:c r="AC878" s="12"/>
      <x:c r="AD878" s="12"/>
      <x:c r="AE878" s="12"/>
      <x:c r="AF878" s="12"/>
      <x:c r="AG878" s="12"/>
    </x:row>
    <x:row r="879" ht="14.25" customHeight="1">
      <x:c r="A879" s="114"/>
      <x:c r="B879" s="114"/>
      <x:c r="C879" s="114"/>
      <x:c r="D879" s="114"/>
      <x:c r="E879" s="114"/>
      <x:c r="F879" s="114"/>
      <x:c r="G879" s="114"/>
      <x:c r="H879" s="114"/>
      <x:c r="I879" s="114"/>
      <x:c r="J879" s="114"/>
      <x:c r="K879" s="12"/>
      <x:c r="L879" s="12"/>
      <x:c r="M879" s="12"/>
      <x:c r="N879" s="12"/>
      <x:c r="O879" s="12"/>
      <x:c r="P879" s="12"/>
      <x:c r="Q879" s="12"/>
      <x:c r="R879" s="12"/>
      <x:c r="S879" s="12"/>
      <x:c r="T879" s="12"/>
      <x:c r="U879" s="12"/>
      <x:c r="V879" s="12"/>
      <x:c r="W879" s="12"/>
      <x:c r="X879" s="12"/>
      <x:c r="Y879" s="12"/>
      <x:c r="Z879" s="12"/>
      <x:c r="AA879" s="12"/>
      <x:c r="AB879" s="12"/>
      <x:c r="AC879" s="12"/>
      <x:c r="AD879" s="12"/>
      <x:c r="AE879" s="12"/>
      <x:c r="AF879" s="12"/>
      <x:c r="AG879" s="12"/>
    </x:row>
    <x:row r="880" ht="14.25" customHeight="1">
      <x:c r="A880" s="114"/>
      <x:c r="B880" s="114"/>
      <x:c r="C880" s="114"/>
      <x:c r="D880" s="114"/>
      <x:c r="E880" s="114"/>
      <x:c r="F880" s="114"/>
      <x:c r="G880" s="114"/>
      <x:c r="H880" s="114"/>
      <x:c r="I880" s="114"/>
      <x:c r="J880" s="114"/>
      <x:c r="K880" s="12"/>
      <x:c r="L880" s="12"/>
      <x:c r="M880" s="12"/>
      <x:c r="N880" s="12"/>
      <x:c r="O880" s="12"/>
      <x:c r="P880" s="12"/>
      <x:c r="Q880" s="12"/>
      <x:c r="R880" s="12"/>
      <x:c r="S880" s="12"/>
      <x:c r="T880" s="12"/>
      <x:c r="U880" s="12"/>
      <x:c r="V880" s="12"/>
      <x:c r="W880" s="12"/>
      <x:c r="X880" s="12"/>
      <x:c r="Y880" s="12"/>
      <x:c r="Z880" s="12"/>
      <x:c r="AA880" s="12"/>
      <x:c r="AB880" s="12"/>
      <x:c r="AC880" s="12"/>
      <x:c r="AD880" s="12"/>
      <x:c r="AE880" s="12"/>
      <x:c r="AF880" s="12"/>
      <x:c r="AG880" s="12"/>
    </x:row>
    <x:row r="881" ht="14.25" customHeight="1">
      <x:c r="A881" s="114"/>
      <x:c r="B881" s="114"/>
      <x:c r="C881" s="114"/>
      <x:c r="D881" s="114"/>
      <x:c r="E881" s="114"/>
      <x:c r="F881" s="114"/>
      <x:c r="G881" s="114"/>
      <x:c r="H881" s="114"/>
      <x:c r="I881" s="114"/>
      <x:c r="J881" s="114"/>
      <x:c r="K881" s="12"/>
      <x:c r="L881" s="12"/>
      <x:c r="M881" s="12"/>
      <x:c r="N881" s="12"/>
      <x:c r="O881" s="12"/>
      <x:c r="P881" s="12"/>
      <x:c r="Q881" s="12"/>
      <x:c r="R881" s="12"/>
      <x:c r="S881" s="12"/>
      <x:c r="T881" s="12"/>
      <x:c r="U881" s="12"/>
      <x:c r="V881" s="12"/>
      <x:c r="W881" s="12"/>
      <x:c r="X881" s="12"/>
      <x:c r="Y881" s="12"/>
      <x:c r="Z881" s="12"/>
      <x:c r="AA881" s="12"/>
      <x:c r="AB881" s="12"/>
      <x:c r="AC881" s="12"/>
      <x:c r="AD881" s="12"/>
      <x:c r="AE881" s="12"/>
      <x:c r="AF881" s="12"/>
      <x:c r="AG881" s="12"/>
    </x:row>
    <x:row r="882" ht="14.25" customHeight="1">
      <x:c r="A882" s="114"/>
      <x:c r="B882" s="114"/>
      <x:c r="C882" s="114"/>
      <x:c r="D882" s="114"/>
      <x:c r="E882" s="114"/>
      <x:c r="F882" s="114"/>
      <x:c r="G882" s="114"/>
      <x:c r="H882" s="114"/>
      <x:c r="I882" s="114"/>
      <x:c r="J882" s="114"/>
      <x:c r="K882" s="12"/>
      <x:c r="L882" s="12"/>
      <x:c r="M882" s="12"/>
      <x:c r="N882" s="12"/>
      <x:c r="O882" s="12"/>
      <x:c r="P882" s="12"/>
      <x:c r="Q882" s="12"/>
      <x:c r="R882" s="12"/>
      <x:c r="S882" s="12"/>
      <x:c r="T882" s="12"/>
      <x:c r="U882" s="12"/>
      <x:c r="V882" s="12"/>
      <x:c r="W882" s="12"/>
      <x:c r="X882" s="12"/>
      <x:c r="Y882" s="12"/>
      <x:c r="Z882" s="12"/>
      <x:c r="AA882" s="12"/>
      <x:c r="AB882" s="12"/>
      <x:c r="AC882" s="12"/>
      <x:c r="AD882" s="12"/>
      <x:c r="AE882" s="12"/>
      <x:c r="AF882" s="12"/>
      <x:c r="AG882" s="12"/>
    </x:row>
    <x:row r="883" ht="14.25" customHeight="1">
      <x:c r="A883" s="114"/>
      <x:c r="B883" s="114"/>
      <x:c r="C883" s="114"/>
      <x:c r="D883" s="114"/>
      <x:c r="E883" s="114"/>
      <x:c r="F883" s="114"/>
      <x:c r="G883" s="114"/>
      <x:c r="H883" s="114"/>
      <x:c r="I883" s="114"/>
      <x:c r="J883" s="114"/>
      <x:c r="K883" s="12"/>
      <x:c r="L883" s="12"/>
      <x:c r="M883" s="12"/>
      <x:c r="N883" s="12"/>
      <x:c r="O883" s="12"/>
      <x:c r="P883" s="12"/>
      <x:c r="Q883" s="12"/>
      <x:c r="R883" s="12"/>
      <x:c r="S883" s="12"/>
      <x:c r="T883" s="12"/>
      <x:c r="U883" s="12"/>
      <x:c r="V883" s="12"/>
      <x:c r="W883" s="12"/>
      <x:c r="X883" s="12"/>
      <x:c r="Y883" s="12"/>
      <x:c r="Z883" s="12"/>
      <x:c r="AA883" s="12"/>
      <x:c r="AB883" s="12"/>
      <x:c r="AC883" s="12"/>
      <x:c r="AD883" s="12"/>
      <x:c r="AE883" s="12"/>
      <x:c r="AF883" s="12"/>
      <x:c r="AG883" s="12"/>
    </x:row>
    <x:row r="884" ht="14.25" customHeight="1">
      <x:c r="A884" s="114"/>
      <x:c r="B884" s="114"/>
      <x:c r="C884" s="114"/>
      <x:c r="D884" s="114"/>
      <x:c r="E884" s="114"/>
      <x:c r="F884" s="114"/>
      <x:c r="G884" s="114"/>
      <x:c r="H884" s="114"/>
      <x:c r="I884" s="114"/>
      <x:c r="J884" s="114"/>
      <x:c r="K884" s="12"/>
      <x:c r="L884" s="12"/>
      <x:c r="M884" s="12"/>
      <x:c r="N884" s="12"/>
      <x:c r="O884" s="12"/>
      <x:c r="P884" s="12"/>
      <x:c r="Q884" s="12"/>
      <x:c r="R884" s="12"/>
      <x:c r="S884" s="12"/>
      <x:c r="T884" s="12"/>
      <x:c r="U884" s="12"/>
      <x:c r="V884" s="12"/>
      <x:c r="W884" s="12"/>
      <x:c r="X884" s="12"/>
      <x:c r="Y884" s="12"/>
      <x:c r="Z884" s="12"/>
      <x:c r="AA884" s="12"/>
      <x:c r="AB884" s="12"/>
      <x:c r="AC884" s="12"/>
      <x:c r="AD884" s="12"/>
      <x:c r="AE884" s="12"/>
      <x:c r="AF884" s="12"/>
      <x:c r="AG884" s="12"/>
    </x:row>
    <x:row r="885" ht="14.25" customHeight="1">
      <x:c r="A885" s="114"/>
      <x:c r="B885" s="114"/>
      <x:c r="C885" s="114"/>
      <x:c r="D885" s="114"/>
      <x:c r="E885" s="114"/>
      <x:c r="F885" s="114"/>
      <x:c r="G885" s="114"/>
      <x:c r="H885" s="114"/>
      <x:c r="I885" s="114"/>
      <x:c r="J885" s="114"/>
      <x:c r="K885" s="12"/>
      <x:c r="L885" s="12"/>
      <x:c r="M885" s="12"/>
      <x:c r="N885" s="12"/>
      <x:c r="O885" s="12"/>
      <x:c r="P885" s="12"/>
      <x:c r="Q885" s="12"/>
      <x:c r="R885" s="12"/>
      <x:c r="S885" s="12"/>
      <x:c r="T885" s="12"/>
      <x:c r="U885" s="12"/>
      <x:c r="V885" s="12"/>
      <x:c r="W885" s="12"/>
      <x:c r="X885" s="12"/>
      <x:c r="Y885" s="12"/>
      <x:c r="Z885" s="12"/>
      <x:c r="AA885" s="12"/>
      <x:c r="AB885" s="12"/>
      <x:c r="AC885" s="12"/>
      <x:c r="AD885" s="12"/>
      <x:c r="AE885" s="12"/>
      <x:c r="AF885" s="12"/>
      <x:c r="AG885" s="12"/>
    </x:row>
    <x:row r="886" ht="14.25" customHeight="1">
      <x:c r="A886" s="114"/>
      <x:c r="B886" s="114"/>
      <x:c r="C886" s="114"/>
      <x:c r="D886" s="114"/>
      <x:c r="E886" s="114"/>
      <x:c r="F886" s="114"/>
      <x:c r="G886" s="114"/>
      <x:c r="H886" s="114"/>
      <x:c r="I886" s="114"/>
      <x:c r="J886" s="114"/>
      <x:c r="K886" s="12"/>
      <x:c r="L886" s="12"/>
      <x:c r="M886" s="12"/>
      <x:c r="N886" s="12"/>
      <x:c r="O886" s="12"/>
      <x:c r="P886" s="12"/>
      <x:c r="Q886" s="12"/>
      <x:c r="R886" s="12"/>
      <x:c r="S886" s="12"/>
      <x:c r="T886" s="12"/>
      <x:c r="U886" s="12"/>
      <x:c r="V886" s="12"/>
      <x:c r="W886" s="12"/>
      <x:c r="X886" s="12"/>
      <x:c r="Y886" s="12"/>
      <x:c r="Z886" s="12"/>
      <x:c r="AA886" s="12"/>
      <x:c r="AB886" s="12"/>
      <x:c r="AC886" s="12"/>
      <x:c r="AD886" s="12"/>
      <x:c r="AE886" s="12"/>
      <x:c r="AF886" s="12"/>
      <x:c r="AG886" s="12"/>
    </x:row>
    <x:row r="887" ht="14.25" customHeight="1">
      <x:c r="A887" s="114"/>
      <x:c r="B887" s="114"/>
      <x:c r="C887" s="114"/>
      <x:c r="D887" s="114"/>
      <x:c r="E887" s="114"/>
      <x:c r="F887" s="114"/>
      <x:c r="G887" s="114"/>
      <x:c r="H887" s="114"/>
      <x:c r="I887" s="114"/>
      <x:c r="J887" s="114"/>
      <x:c r="K887" s="12"/>
      <x:c r="L887" s="12"/>
      <x:c r="M887" s="12"/>
      <x:c r="N887" s="12"/>
      <x:c r="O887" s="12"/>
      <x:c r="P887" s="12"/>
      <x:c r="Q887" s="12"/>
      <x:c r="R887" s="12"/>
      <x:c r="S887" s="12"/>
      <x:c r="T887" s="12"/>
      <x:c r="U887" s="12"/>
      <x:c r="V887" s="12"/>
      <x:c r="W887" s="12"/>
      <x:c r="X887" s="12"/>
      <x:c r="Y887" s="12"/>
      <x:c r="Z887" s="12"/>
      <x:c r="AA887" s="12"/>
      <x:c r="AB887" s="12"/>
      <x:c r="AC887" s="12"/>
      <x:c r="AD887" s="12"/>
      <x:c r="AE887" s="12"/>
      <x:c r="AF887" s="12"/>
      <x:c r="AG887" s="12"/>
    </x:row>
    <x:row r="888" ht="14.25" customHeight="1">
      <x:c r="A888" s="114"/>
      <x:c r="B888" s="114"/>
      <x:c r="C888" s="114"/>
      <x:c r="D888" s="114"/>
      <x:c r="E888" s="114"/>
      <x:c r="F888" s="114"/>
      <x:c r="G888" s="114"/>
      <x:c r="H888" s="114"/>
      <x:c r="I888" s="114"/>
      <x:c r="J888" s="114"/>
      <x:c r="K888" s="12"/>
      <x:c r="L888" s="12"/>
      <x:c r="M888" s="12"/>
      <x:c r="N888" s="12"/>
      <x:c r="O888" s="12"/>
      <x:c r="P888" s="12"/>
      <x:c r="Q888" s="12"/>
      <x:c r="R888" s="12"/>
      <x:c r="S888" s="12"/>
      <x:c r="T888" s="12"/>
      <x:c r="U888" s="12"/>
      <x:c r="V888" s="12"/>
      <x:c r="W888" s="12"/>
      <x:c r="X888" s="12"/>
      <x:c r="Y888" s="12"/>
      <x:c r="Z888" s="12"/>
      <x:c r="AA888" s="12"/>
      <x:c r="AB888" s="12"/>
      <x:c r="AC888" s="12"/>
      <x:c r="AD888" s="12"/>
      <x:c r="AE888" s="12"/>
      <x:c r="AF888" s="12"/>
      <x:c r="AG888" s="12"/>
    </x:row>
    <x:row r="889" ht="14.25" customHeight="1">
      <x:c r="A889" s="114"/>
      <x:c r="B889" s="114"/>
      <x:c r="C889" s="114"/>
      <x:c r="D889" s="114"/>
      <x:c r="E889" s="114"/>
      <x:c r="F889" s="114"/>
      <x:c r="G889" s="114"/>
      <x:c r="H889" s="114"/>
      <x:c r="I889" s="114"/>
      <x:c r="J889" s="114"/>
      <x:c r="K889" s="12"/>
      <x:c r="L889" s="12"/>
      <x:c r="M889" s="12"/>
      <x:c r="N889" s="12"/>
      <x:c r="O889" s="12"/>
      <x:c r="P889" s="12"/>
      <x:c r="Q889" s="12"/>
      <x:c r="R889" s="12"/>
      <x:c r="S889" s="12"/>
      <x:c r="T889" s="12"/>
      <x:c r="U889" s="12"/>
      <x:c r="V889" s="12"/>
      <x:c r="W889" s="12"/>
      <x:c r="X889" s="12"/>
      <x:c r="Y889" s="12"/>
      <x:c r="Z889" s="12"/>
      <x:c r="AA889" s="12"/>
      <x:c r="AB889" s="12"/>
      <x:c r="AC889" s="12"/>
      <x:c r="AD889" s="12"/>
      <x:c r="AE889" s="12"/>
      <x:c r="AF889" s="12"/>
      <x:c r="AG889" s="12"/>
    </x:row>
    <x:row r="890" ht="14.25" customHeight="1">
      <x:c r="A890" s="114"/>
      <x:c r="B890" s="114"/>
      <x:c r="C890" s="114"/>
      <x:c r="D890" s="114"/>
      <x:c r="E890" s="114"/>
      <x:c r="F890" s="114"/>
      <x:c r="G890" s="114"/>
      <x:c r="H890" s="114"/>
      <x:c r="I890" s="114"/>
      <x:c r="J890" s="114"/>
      <x:c r="K890" s="12"/>
      <x:c r="L890" s="12"/>
      <x:c r="M890" s="12"/>
      <x:c r="N890" s="12"/>
      <x:c r="O890" s="12"/>
      <x:c r="P890" s="12"/>
      <x:c r="Q890" s="12"/>
      <x:c r="R890" s="12"/>
      <x:c r="S890" s="12"/>
      <x:c r="T890" s="12"/>
      <x:c r="U890" s="12"/>
      <x:c r="V890" s="12"/>
      <x:c r="W890" s="12"/>
      <x:c r="X890" s="12"/>
      <x:c r="Y890" s="12"/>
      <x:c r="Z890" s="12"/>
      <x:c r="AA890" s="12"/>
      <x:c r="AB890" s="12"/>
      <x:c r="AC890" s="12"/>
      <x:c r="AD890" s="12"/>
      <x:c r="AE890" s="12"/>
      <x:c r="AF890" s="12"/>
      <x:c r="AG890" s="12"/>
    </x:row>
    <x:row r="891" ht="14.25" customHeight="1">
      <x:c r="A891" s="114"/>
      <x:c r="B891" s="114"/>
      <x:c r="C891" s="114"/>
      <x:c r="D891" s="114"/>
      <x:c r="E891" s="114"/>
      <x:c r="F891" s="114"/>
      <x:c r="G891" s="114"/>
      <x:c r="H891" s="114"/>
      <x:c r="I891" s="114"/>
      <x:c r="J891" s="114"/>
      <x:c r="K891" s="12"/>
      <x:c r="L891" s="12"/>
      <x:c r="M891" s="12"/>
      <x:c r="N891" s="12"/>
      <x:c r="O891" s="12"/>
      <x:c r="P891" s="12"/>
      <x:c r="Q891" s="12"/>
      <x:c r="R891" s="12"/>
      <x:c r="S891" s="12"/>
      <x:c r="T891" s="12"/>
      <x:c r="U891" s="12"/>
      <x:c r="V891" s="12"/>
      <x:c r="W891" s="12"/>
      <x:c r="X891" s="12"/>
      <x:c r="Y891" s="12"/>
      <x:c r="Z891" s="12"/>
      <x:c r="AA891" s="12"/>
      <x:c r="AB891" s="12"/>
      <x:c r="AC891" s="12"/>
      <x:c r="AD891" s="12"/>
      <x:c r="AE891" s="12"/>
      <x:c r="AF891" s="12"/>
      <x:c r="AG891" s="12"/>
    </x:row>
    <x:row r="892" ht="14.25" customHeight="1">
      <x:c r="A892" s="114"/>
      <x:c r="B892" s="114"/>
      <x:c r="C892" s="114"/>
      <x:c r="D892" s="114"/>
      <x:c r="E892" s="114"/>
      <x:c r="F892" s="114"/>
      <x:c r="G892" s="114"/>
      <x:c r="H892" s="114"/>
      <x:c r="I892" s="114"/>
      <x:c r="J892" s="114"/>
      <x:c r="K892" s="12"/>
      <x:c r="L892" s="12"/>
      <x:c r="M892" s="12"/>
      <x:c r="N892" s="12"/>
      <x:c r="O892" s="12"/>
      <x:c r="P892" s="12"/>
      <x:c r="Q892" s="12"/>
      <x:c r="R892" s="12"/>
      <x:c r="S892" s="12"/>
      <x:c r="T892" s="12"/>
      <x:c r="U892" s="12"/>
      <x:c r="V892" s="12"/>
      <x:c r="W892" s="12"/>
      <x:c r="X892" s="12"/>
      <x:c r="Y892" s="12"/>
      <x:c r="Z892" s="12"/>
      <x:c r="AA892" s="12"/>
      <x:c r="AB892" s="12"/>
      <x:c r="AC892" s="12"/>
      <x:c r="AD892" s="12"/>
      <x:c r="AE892" s="12"/>
      <x:c r="AF892" s="12"/>
      <x:c r="AG892" s="12"/>
    </x:row>
    <x:row r="893" ht="14.25" customHeight="1">
      <x:c r="A893" s="114"/>
      <x:c r="B893" s="114"/>
      <x:c r="C893" s="114"/>
      <x:c r="D893" s="114"/>
      <x:c r="E893" s="114"/>
      <x:c r="F893" s="114"/>
      <x:c r="G893" s="114"/>
      <x:c r="H893" s="114"/>
      <x:c r="I893" s="114"/>
      <x:c r="J893" s="114"/>
      <x:c r="K893" s="12"/>
      <x:c r="L893" s="12"/>
      <x:c r="M893" s="12"/>
      <x:c r="N893" s="12"/>
      <x:c r="O893" s="12"/>
      <x:c r="P893" s="12"/>
      <x:c r="Q893" s="12"/>
      <x:c r="R893" s="12"/>
      <x:c r="S893" s="12"/>
      <x:c r="T893" s="12"/>
      <x:c r="U893" s="12"/>
      <x:c r="V893" s="12"/>
      <x:c r="W893" s="12"/>
      <x:c r="X893" s="12"/>
      <x:c r="Y893" s="12"/>
      <x:c r="Z893" s="12"/>
      <x:c r="AA893" s="12"/>
      <x:c r="AB893" s="12"/>
      <x:c r="AC893" s="12"/>
      <x:c r="AD893" s="12"/>
      <x:c r="AE893" s="12"/>
      <x:c r="AF893" s="12"/>
      <x:c r="AG893" s="12"/>
    </x:row>
    <x:row r="894" ht="14.25" customHeight="1">
      <x:c r="A894" s="114"/>
      <x:c r="B894" s="114"/>
      <x:c r="C894" s="114"/>
      <x:c r="D894" s="114"/>
      <x:c r="E894" s="114"/>
      <x:c r="F894" s="114"/>
      <x:c r="G894" s="114"/>
      <x:c r="H894" s="114"/>
      <x:c r="I894" s="114"/>
      <x:c r="J894" s="114"/>
      <x:c r="K894" s="12"/>
      <x:c r="L894" s="12"/>
      <x:c r="M894" s="12"/>
      <x:c r="N894" s="12"/>
      <x:c r="O894" s="12"/>
      <x:c r="P894" s="12"/>
      <x:c r="Q894" s="12"/>
      <x:c r="R894" s="12"/>
      <x:c r="S894" s="12"/>
      <x:c r="T894" s="12"/>
      <x:c r="U894" s="12"/>
      <x:c r="V894" s="12"/>
      <x:c r="W894" s="12"/>
      <x:c r="X894" s="12"/>
      <x:c r="Y894" s="12"/>
      <x:c r="Z894" s="12"/>
      <x:c r="AA894" s="12"/>
      <x:c r="AB894" s="12"/>
      <x:c r="AC894" s="12"/>
      <x:c r="AD894" s="12"/>
      <x:c r="AE894" s="12"/>
      <x:c r="AF894" s="12"/>
      <x:c r="AG894" s="12"/>
    </x:row>
    <x:row r="895" ht="14.25" customHeight="1">
      <x:c r="A895" s="114"/>
      <x:c r="B895" s="114"/>
      <x:c r="C895" s="114"/>
      <x:c r="D895" s="114"/>
      <x:c r="E895" s="114"/>
      <x:c r="F895" s="114"/>
      <x:c r="G895" s="114"/>
      <x:c r="H895" s="114"/>
      <x:c r="I895" s="114"/>
      <x:c r="J895" s="114"/>
      <x:c r="K895" s="12"/>
      <x:c r="L895" s="12"/>
      <x:c r="M895" s="12"/>
      <x:c r="N895" s="12"/>
      <x:c r="O895" s="12"/>
      <x:c r="P895" s="12"/>
      <x:c r="Q895" s="12"/>
      <x:c r="R895" s="12"/>
      <x:c r="S895" s="12"/>
      <x:c r="T895" s="12"/>
      <x:c r="U895" s="12"/>
      <x:c r="V895" s="12"/>
      <x:c r="W895" s="12"/>
      <x:c r="X895" s="12"/>
      <x:c r="Y895" s="12"/>
      <x:c r="Z895" s="12"/>
      <x:c r="AA895" s="12"/>
      <x:c r="AB895" s="12"/>
      <x:c r="AC895" s="12"/>
      <x:c r="AD895" s="12"/>
      <x:c r="AE895" s="12"/>
      <x:c r="AF895" s="12"/>
      <x:c r="AG895" s="12"/>
    </x:row>
    <x:row r="896" ht="14.25" customHeight="1">
      <x:c r="A896" s="114"/>
      <x:c r="B896" s="114"/>
      <x:c r="C896" s="114"/>
      <x:c r="D896" s="114"/>
      <x:c r="E896" s="114"/>
      <x:c r="F896" s="114"/>
      <x:c r="G896" s="114"/>
      <x:c r="H896" s="114"/>
      <x:c r="I896" s="114"/>
      <x:c r="J896" s="114"/>
      <x:c r="K896" s="12"/>
      <x:c r="L896" s="12"/>
      <x:c r="M896" s="12"/>
      <x:c r="N896" s="12"/>
      <x:c r="O896" s="12"/>
      <x:c r="P896" s="12"/>
      <x:c r="Q896" s="12"/>
      <x:c r="R896" s="12"/>
      <x:c r="S896" s="12"/>
      <x:c r="T896" s="12"/>
      <x:c r="U896" s="12"/>
      <x:c r="V896" s="12"/>
      <x:c r="W896" s="12"/>
      <x:c r="X896" s="12"/>
      <x:c r="Y896" s="12"/>
      <x:c r="Z896" s="12"/>
      <x:c r="AA896" s="12"/>
      <x:c r="AB896" s="12"/>
      <x:c r="AC896" s="12"/>
      <x:c r="AD896" s="12"/>
      <x:c r="AE896" s="12"/>
      <x:c r="AF896" s="12"/>
      <x:c r="AG896" s="12"/>
    </x:row>
    <x:row r="897" ht="14.25" customHeight="1">
      <x:c r="A897" s="114"/>
      <x:c r="B897" s="114"/>
      <x:c r="C897" s="114"/>
      <x:c r="D897" s="114"/>
      <x:c r="E897" s="114"/>
      <x:c r="F897" s="114"/>
      <x:c r="G897" s="114"/>
      <x:c r="H897" s="114"/>
      <x:c r="I897" s="114"/>
      <x:c r="J897" s="114"/>
      <x:c r="K897" s="12"/>
      <x:c r="L897" s="12"/>
      <x:c r="M897" s="12"/>
      <x:c r="N897" s="12"/>
      <x:c r="O897" s="12"/>
      <x:c r="P897" s="12"/>
      <x:c r="Q897" s="12"/>
      <x:c r="R897" s="12"/>
      <x:c r="S897" s="12"/>
      <x:c r="T897" s="12"/>
      <x:c r="U897" s="12"/>
      <x:c r="V897" s="12"/>
      <x:c r="W897" s="12"/>
      <x:c r="X897" s="12"/>
      <x:c r="Y897" s="12"/>
      <x:c r="Z897" s="12"/>
      <x:c r="AA897" s="12"/>
      <x:c r="AB897" s="12"/>
      <x:c r="AC897" s="12"/>
      <x:c r="AD897" s="12"/>
      <x:c r="AE897" s="12"/>
      <x:c r="AF897" s="12"/>
      <x:c r="AG897" s="12"/>
    </x:row>
    <x:row r="898" ht="14.25" customHeight="1">
      <x:c r="A898" s="114"/>
      <x:c r="B898" s="114"/>
      <x:c r="C898" s="114"/>
      <x:c r="D898" s="114"/>
      <x:c r="E898" s="114"/>
      <x:c r="F898" s="114"/>
      <x:c r="G898" s="114"/>
      <x:c r="H898" s="114"/>
      <x:c r="I898" s="114"/>
      <x:c r="J898" s="114"/>
      <x:c r="K898" s="12"/>
      <x:c r="L898" s="12"/>
      <x:c r="M898" s="12"/>
      <x:c r="N898" s="12"/>
      <x:c r="O898" s="12"/>
      <x:c r="P898" s="12"/>
      <x:c r="Q898" s="12"/>
      <x:c r="R898" s="12"/>
      <x:c r="S898" s="12"/>
      <x:c r="T898" s="12"/>
      <x:c r="U898" s="12"/>
      <x:c r="V898" s="12"/>
      <x:c r="W898" s="12"/>
      <x:c r="X898" s="12"/>
      <x:c r="Y898" s="12"/>
      <x:c r="Z898" s="12"/>
      <x:c r="AA898" s="12"/>
      <x:c r="AB898" s="12"/>
      <x:c r="AC898" s="12"/>
      <x:c r="AD898" s="12"/>
      <x:c r="AE898" s="12"/>
      <x:c r="AF898" s="12"/>
      <x:c r="AG898" s="12"/>
    </x:row>
    <x:row r="899" ht="14.25" customHeight="1">
      <x:c r="A899" s="114"/>
      <x:c r="B899" s="114"/>
      <x:c r="C899" s="114"/>
      <x:c r="D899" s="114"/>
      <x:c r="E899" s="114"/>
      <x:c r="F899" s="114"/>
      <x:c r="G899" s="114"/>
      <x:c r="H899" s="114"/>
      <x:c r="I899" s="114"/>
      <x:c r="J899" s="114"/>
      <x:c r="K899" s="12"/>
      <x:c r="L899" s="12"/>
      <x:c r="M899" s="12"/>
      <x:c r="N899" s="12"/>
      <x:c r="O899" s="12"/>
      <x:c r="P899" s="12"/>
      <x:c r="Q899" s="12"/>
      <x:c r="R899" s="12"/>
      <x:c r="S899" s="12"/>
      <x:c r="T899" s="12"/>
      <x:c r="U899" s="12"/>
      <x:c r="V899" s="12"/>
      <x:c r="W899" s="12"/>
      <x:c r="X899" s="12"/>
      <x:c r="Y899" s="12"/>
      <x:c r="Z899" s="12"/>
      <x:c r="AA899" s="12"/>
      <x:c r="AB899" s="12"/>
      <x:c r="AC899" s="12"/>
      <x:c r="AD899" s="12"/>
      <x:c r="AE899" s="12"/>
      <x:c r="AF899" s="12"/>
      <x:c r="AG899" s="12"/>
    </x:row>
    <x:row r="900" ht="14.25" customHeight="1">
      <x:c r="A900" s="114"/>
      <x:c r="B900" s="114"/>
      <x:c r="C900" s="114"/>
      <x:c r="D900" s="114"/>
      <x:c r="E900" s="114"/>
      <x:c r="F900" s="114"/>
      <x:c r="G900" s="114"/>
      <x:c r="H900" s="114"/>
      <x:c r="I900" s="114"/>
      <x:c r="J900" s="114"/>
      <x:c r="K900" s="12"/>
      <x:c r="L900" s="12"/>
      <x:c r="M900" s="12"/>
      <x:c r="N900" s="12"/>
      <x:c r="O900" s="12"/>
      <x:c r="P900" s="12"/>
      <x:c r="Q900" s="12"/>
      <x:c r="R900" s="12"/>
      <x:c r="S900" s="12"/>
      <x:c r="T900" s="12"/>
      <x:c r="U900" s="12"/>
      <x:c r="V900" s="12"/>
      <x:c r="W900" s="12"/>
      <x:c r="X900" s="12"/>
      <x:c r="Y900" s="12"/>
      <x:c r="Z900" s="12"/>
      <x:c r="AA900" s="12"/>
      <x:c r="AB900" s="12"/>
      <x:c r="AC900" s="12"/>
      <x:c r="AD900" s="12"/>
      <x:c r="AE900" s="12"/>
      <x:c r="AF900" s="12"/>
      <x:c r="AG900" s="12"/>
    </x:row>
    <x:row r="901" ht="14.25" customHeight="1">
      <x:c r="A901" s="114"/>
      <x:c r="B901" s="114"/>
      <x:c r="C901" s="114"/>
      <x:c r="D901" s="114"/>
      <x:c r="E901" s="114"/>
      <x:c r="F901" s="114"/>
      <x:c r="G901" s="114"/>
      <x:c r="H901" s="114"/>
      <x:c r="I901" s="114"/>
      <x:c r="J901" s="114"/>
      <x:c r="K901" s="12"/>
      <x:c r="L901" s="12"/>
      <x:c r="M901" s="12"/>
      <x:c r="N901" s="12"/>
      <x:c r="O901" s="12"/>
      <x:c r="P901" s="12"/>
      <x:c r="Q901" s="12"/>
      <x:c r="R901" s="12"/>
      <x:c r="S901" s="12"/>
      <x:c r="T901" s="12"/>
      <x:c r="U901" s="12"/>
      <x:c r="V901" s="12"/>
      <x:c r="W901" s="12"/>
      <x:c r="X901" s="12"/>
      <x:c r="Y901" s="12"/>
      <x:c r="Z901" s="12"/>
      <x:c r="AA901" s="12"/>
      <x:c r="AB901" s="12"/>
      <x:c r="AC901" s="12"/>
      <x:c r="AD901" s="12"/>
      <x:c r="AE901" s="12"/>
      <x:c r="AF901" s="12"/>
      <x:c r="AG901" s="12"/>
    </x:row>
    <x:row r="902" ht="14.25" customHeight="1">
      <x:c r="A902" s="114"/>
      <x:c r="B902" s="114"/>
      <x:c r="C902" s="114"/>
      <x:c r="D902" s="114"/>
      <x:c r="E902" s="114"/>
      <x:c r="F902" s="114"/>
      <x:c r="G902" s="114"/>
      <x:c r="H902" s="114"/>
      <x:c r="I902" s="114"/>
      <x:c r="J902" s="114"/>
      <x:c r="K902" s="12"/>
      <x:c r="L902" s="12"/>
      <x:c r="M902" s="12"/>
      <x:c r="N902" s="12"/>
      <x:c r="O902" s="12"/>
      <x:c r="P902" s="12"/>
      <x:c r="Q902" s="12"/>
      <x:c r="R902" s="12"/>
      <x:c r="S902" s="12"/>
      <x:c r="T902" s="12"/>
      <x:c r="U902" s="12"/>
      <x:c r="V902" s="12"/>
      <x:c r="W902" s="12"/>
      <x:c r="X902" s="12"/>
      <x:c r="Y902" s="12"/>
      <x:c r="Z902" s="12"/>
      <x:c r="AA902" s="12"/>
      <x:c r="AB902" s="12"/>
      <x:c r="AC902" s="12"/>
      <x:c r="AD902" s="12"/>
      <x:c r="AE902" s="12"/>
      <x:c r="AF902" s="12"/>
      <x:c r="AG902" s="12"/>
    </x:row>
    <x:row r="903" ht="14.25" customHeight="1">
      <x:c r="A903" s="114"/>
      <x:c r="B903" s="114"/>
      <x:c r="C903" s="114"/>
      <x:c r="D903" s="114"/>
      <x:c r="E903" s="114"/>
      <x:c r="F903" s="114"/>
      <x:c r="G903" s="114"/>
      <x:c r="H903" s="114"/>
      <x:c r="I903" s="114"/>
      <x:c r="J903" s="114"/>
      <x:c r="K903" s="12"/>
      <x:c r="L903" s="12"/>
      <x:c r="M903" s="12"/>
      <x:c r="N903" s="12"/>
      <x:c r="O903" s="12"/>
      <x:c r="P903" s="12"/>
      <x:c r="Q903" s="12"/>
      <x:c r="R903" s="12"/>
      <x:c r="S903" s="12"/>
      <x:c r="T903" s="12"/>
      <x:c r="U903" s="12"/>
      <x:c r="V903" s="12"/>
      <x:c r="W903" s="12"/>
      <x:c r="X903" s="12"/>
      <x:c r="Y903" s="12"/>
      <x:c r="Z903" s="12"/>
      <x:c r="AA903" s="12"/>
      <x:c r="AB903" s="12"/>
      <x:c r="AC903" s="12"/>
      <x:c r="AD903" s="12"/>
      <x:c r="AE903" s="12"/>
      <x:c r="AF903" s="12"/>
      <x:c r="AG903" s="12"/>
    </x:row>
    <x:row r="904" ht="14.25" customHeight="1">
      <x:c r="A904" s="114"/>
      <x:c r="B904" s="114"/>
      <x:c r="C904" s="114"/>
      <x:c r="D904" s="114"/>
      <x:c r="E904" s="114"/>
      <x:c r="F904" s="114"/>
      <x:c r="G904" s="114"/>
      <x:c r="H904" s="114"/>
      <x:c r="I904" s="114"/>
      <x:c r="J904" s="114"/>
      <x:c r="K904" s="12"/>
      <x:c r="L904" s="12"/>
      <x:c r="M904" s="12"/>
      <x:c r="N904" s="12"/>
      <x:c r="O904" s="12"/>
      <x:c r="P904" s="12"/>
      <x:c r="Q904" s="12"/>
      <x:c r="R904" s="12"/>
      <x:c r="S904" s="12"/>
      <x:c r="T904" s="12"/>
      <x:c r="U904" s="12"/>
      <x:c r="V904" s="12"/>
      <x:c r="W904" s="12"/>
      <x:c r="X904" s="12"/>
      <x:c r="Y904" s="12"/>
      <x:c r="Z904" s="12"/>
      <x:c r="AA904" s="12"/>
      <x:c r="AB904" s="12"/>
      <x:c r="AC904" s="12"/>
      <x:c r="AD904" s="12"/>
      <x:c r="AE904" s="12"/>
      <x:c r="AF904" s="12"/>
      <x:c r="AG904" s="12"/>
    </x:row>
    <x:row r="905" ht="14.25" customHeight="1">
      <x:c r="A905" s="114"/>
      <x:c r="B905" s="114"/>
      <x:c r="C905" s="114"/>
      <x:c r="D905" s="114"/>
      <x:c r="E905" s="114"/>
      <x:c r="F905" s="114"/>
      <x:c r="G905" s="114"/>
      <x:c r="H905" s="114"/>
      <x:c r="I905" s="114"/>
      <x:c r="J905" s="114"/>
      <x:c r="K905" s="12"/>
      <x:c r="L905" s="12"/>
      <x:c r="M905" s="12"/>
      <x:c r="N905" s="12"/>
      <x:c r="O905" s="12"/>
      <x:c r="P905" s="12"/>
      <x:c r="Q905" s="12"/>
      <x:c r="R905" s="12"/>
      <x:c r="S905" s="12"/>
      <x:c r="T905" s="12"/>
      <x:c r="U905" s="12"/>
      <x:c r="V905" s="12"/>
      <x:c r="W905" s="12"/>
      <x:c r="X905" s="12"/>
      <x:c r="Y905" s="12"/>
      <x:c r="Z905" s="12"/>
      <x:c r="AA905" s="12"/>
      <x:c r="AB905" s="12"/>
      <x:c r="AC905" s="12"/>
      <x:c r="AD905" s="12"/>
      <x:c r="AE905" s="12"/>
      <x:c r="AF905" s="12"/>
      <x:c r="AG905" s="12"/>
    </x:row>
    <x:row r="906" ht="14.25" customHeight="1">
      <x:c r="A906" s="114"/>
      <x:c r="B906" s="114"/>
      <x:c r="C906" s="114"/>
      <x:c r="D906" s="114"/>
      <x:c r="E906" s="114"/>
      <x:c r="F906" s="114"/>
      <x:c r="G906" s="114"/>
      <x:c r="H906" s="114"/>
      <x:c r="I906" s="114"/>
      <x:c r="J906" s="114"/>
      <x:c r="K906" s="12"/>
      <x:c r="L906" s="12"/>
      <x:c r="M906" s="12"/>
      <x:c r="N906" s="12"/>
      <x:c r="O906" s="12"/>
      <x:c r="P906" s="12"/>
      <x:c r="Q906" s="12"/>
      <x:c r="R906" s="12"/>
      <x:c r="S906" s="12"/>
      <x:c r="T906" s="12"/>
      <x:c r="U906" s="12"/>
      <x:c r="V906" s="12"/>
      <x:c r="W906" s="12"/>
      <x:c r="X906" s="12"/>
      <x:c r="Y906" s="12"/>
      <x:c r="Z906" s="12"/>
      <x:c r="AA906" s="12"/>
      <x:c r="AB906" s="12"/>
      <x:c r="AC906" s="12"/>
      <x:c r="AD906" s="12"/>
      <x:c r="AE906" s="12"/>
      <x:c r="AF906" s="12"/>
      <x:c r="AG906" s="12"/>
    </x:row>
    <x:row r="907" ht="14.25" customHeight="1">
      <x:c r="A907" s="114"/>
      <x:c r="B907" s="114"/>
      <x:c r="C907" s="114"/>
      <x:c r="D907" s="114"/>
      <x:c r="E907" s="114"/>
      <x:c r="F907" s="114"/>
      <x:c r="G907" s="114"/>
      <x:c r="H907" s="114"/>
      <x:c r="I907" s="114"/>
      <x:c r="J907" s="114"/>
      <x:c r="K907" s="12"/>
      <x:c r="L907" s="12"/>
      <x:c r="M907" s="12"/>
      <x:c r="N907" s="12"/>
      <x:c r="O907" s="12"/>
      <x:c r="P907" s="12"/>
      <x:c r="Q907" s="12"/>
      <x:c r="R907" s="12"/>
      <x:c r="S907" s="12"/>
      <x:c r="T907" s="12"/>
      <x:c r="U907" s="12"/>
      <x:c r="V907" s="12"/>
      <x:c r="W907" s="12"/>
      <x:c r="X907" s="12"/>
      <x:c r="Y907" s="12"/>
      <x:c r="Z907" s="12"/>
      <x:c r="AA907" s="12"/>
      <x:c r="AB907" s="12"/>
      <x:c r="AC907" s="12"/>
      <x:c r="AD907" s="12"/>
      <x:c r="AE907" s="12"/>
      <x:c r="AF907" s="12"/>
      <x:c r="AG907" s="12"/>
    </x:row>
    <x:row r="908" ht="14.25" customHeight="1">
      <x:c r="A908" s="114"/>
      <x:c r="B908" s="114"/>
      <x:c r="C908" s="114"/>
      <x:c r="D908" s="114"/>
      <x:c r="E908" s="114"/>
      <x:c r="F908" s="114"/>
      <x:c r="G908" s="114"/>
      <x:c r="H908" s="114"/>
      <x:c r="I908" s="114"/>
      <x:c r="J908" s="114"/>
      <x:c r="K908" s="12"/>
      <x:c r="L908" s="12"/>
      <x:c r="M908" s="12"/>
      <x:c r="N908" s="12"/>
      <x:c r="O908" s="12"/>
      <x:c r="P908" s="12"/>
      <x:c r="Q908" s="12"/>
      <x:c r="R908" s="12"/>
      <x:c r="S908" s="12"/>
      <x:c r="T908" s="12"/>
      <x:c r="U908" s="12"/>
      <x:c r="V908" s="12"/>
      <x:c r="W908" s="12"/>
      <x:c r="X908" s="12"/>
      <x:c r="Y908" s="12"/>
      <x:c r="Z908" s="12"/>
      <x:c r="AA908" s="12"/>
      <x:c r="AB908" s="12"/>
      <x:c r="AC908" s="12"/>
      <x:c r="AD908" s="12"/>
      <x:c r="AE908" s="12"/>
      <x:c r="AF908" s="12"/>
      <x:c r="AG908" s="12"/>
    </x:row>
    <x:row r="909" ht="14.25" customHeight="1">
      <x:c r="A909" s="114"/>
      <x:c r="B909" s="114"/>
      <x:c r="C909" s="114"/>
      <x:c r="D909" s="114"/>
      <x:c r="E909" s="114"/>
      <x:c r="F909" s="114"/>
      <x:c r="G909" s="114"/>
      <x:c r="H909" s="114"/>
      <x:c r="I909" s="114"/>
      <x:c r="J909" s="114"/>
      <x:c r="K909" s="12"/>
      <x:c r="L909" s="12"/>
      <x:c r="M909" s="12"/>
      <x:c r="N909" s="12"/>
      <x:c r="O909" s="12"/>
      <x:c r="P909" s="12"/>
      <x:c r="Q909" s="12"/>
      <x:c r="R909" s="12"/>
      <x:c r="S909" s="12"/>
      <x:c r="T909" s="12"/>
      <x:c r="U909" s="12"/>
      <x:c r="V909" s="12"/>
      <x:c r="W909" s="12"/>
      <x:c r="X909" s="12"/>
      <x:c r="Y909" s="12"/>
      <x:c r="Z909" s="12"/>
      <x:c r="AA909" s="12"/>
      <x:c r="AB909" s="12"/>
      <x:c r="AC909" s="12"/>
      <x:c r="AD909" s="12"/>
      <x:c r="AE909" s="12"/>
      <x:c r="AF909" s="12"/>
      <x:c r="AG909" s="12"/>
    </x:row>
    <x:row r="910" ht="14.25" customHeight="1">
      <x:c r="A910" s="114"/>
      <x:c r="B910" s="114"/>
      <x:c r="C910" s="114"/>
      <x:c r="D910" s="114"/>
      <x:c r="E910" s="114"/>
      <x:c r="F910" s="114"/>
      <x:c r="G910" s="114"/>
      <x:c r="H910" s="114"/>
      <x:c r="I910" s="114"/>
      <x:c r="J910" s="114"/>
      <x:c r="K910" s="12"/>
      <x:c r="L910" s="12"/>
      <x:c r="M910" s="12"/>
      <x:c r="N910" s="12"/>
      <x:c r="O910" s="12"/>
      <x:c r="P910" s="12"/>
      <x:c r="Q910" s="12"/>
      <x:c r="R910" s="12"/>
      <x:c r="S910" s="12"/>
      <x:c r="T910" s="12"/>
      <x:c r="U910" s="12"/>
      <x:c r="V910" s="12"/>
      <x:c r="W910" s="12"/>
      <x:c r="X910" s="12"/>
      <x:c r="Y910" s="12"/>
      <x:c r="Z910" s="12"/>
      <x:c r="AA910" s="12"/>
      <x:c r="AB910" s="12"/>
      <x:c r="AC910" s="12"/>
      <x:c r="AD910" s="12"/>
      <x:c r="AE910" s="12"/>
      <x:c r="AF910" s="12"/>
      <x:c r="AG910" s="12"/>
    </x:row>
    <x:row r="911" ht="14.25" customHeight="1">
      <x:c r="A911" s="114"/>
      <x:c r="B911" s="114"/>
      <x:c r="C911" s="114"/>
      <x:c r="D911" s="114"/>
      <x:c r="E911" s="114"/>
      <x:c r="F911" s="114"/>
      <x:c r="G911" s="114"/>
      <x:c r="H911" s="114"/>
      <x:c r="I911" s="114"/>
      <x:c r="J911" s="114"/>
      <x:c r="K911" s="12"/>
      <x:c r="L911" s="12"/>
      <x:c r="M911" s="12"/>
      <x:c r="N911" s="12"/>
      <x:c r="O911" s="12"/>
      <x:c r="P911" s="12"/>
      <x:c r="Q911" s="12"/>
      <x:c r="R911" s="12"/>
      <x:c r="S911" s="12"/>
      <x:c r="T911" s="12"/>
      <x:c r="U911" s="12"/>
      <x:c r="V911" s="12"/>
      <x:c r="W911" s="12"/>
      <x:c r="X911" s="12"/>
      <x:c r="Y911" s="12"/>
      <x:c r="Z911" s="12"/>
      <x:c r="AA911" s="12"/>
      <x:c r="AB911" s="12"/>
      <x:c r="AC911" s="12"/>
      <x:c r="AD911" s="12"/>
      <x:c r="AE911" s="12"/>
      <x:c r="AF911" s="12"/>
      <x:c r="AG911" s="12"/>
    </x:row>
    <x:row r="912" ht="14.25" customHeight="1">
      <x:c r="A912" s="114"/>
      <x:c r="B912" s="114"/>
      <x:c r="C912" s="114"/>
      <x:c r="D912" s="114"/>
      <x:c r="E912" s="114"/>
      <x:c r="F912" s="114"/>
      <x:c r="G912" s="114"/>
      <x:c r="H912" s="114"/>
      <x:c r="I912" s="114"/>
      <x:c r="J912" s="114"/>
      <x:c r="K912" s="12"/>
      <x:c r="L912" s="12"/>
      <x:c r="M912" s="12"/>
      <x:c r="N912" s="12"/>
      <x:c r="O912" s="12"/>
      <x:c r="P912" s="12"/>
      <x:c r="Q912" s="12"/>
      <x:c r="R912" s="12"/>
      <x:c r="S912" s="12"/>
      <x:c r="T912" s="12"/>
      <x:c r="U912" s="12"/>
      <x:c r="V912" s="12"/>
      <x:c r="W912" s="12"/>
      <x:c r="X912" s="12"/>
      <x:c r="Y912" s="12"/>
      <x:c r="Z912" s="12"/>
      <x:c r="AA912" s="12"/>
      <x:c r="AB912" s="12"/>
      <x:c r="AC912" s="12"/>
      <x:c r="AD912" s="12"/>
      <x:c r="AE912" s="12"/>
      <x:c r="AF912" s="12"/>
      <x:c r="AG912" s="12"/>
    </x:row>
    <x:row r="913" ht="14.25" customHeight="1">
      <x:c r="A913" s="114"/>
      <x:c r="B913" s="114"/>
      <x:c r="C913" s="114"/>
      <x:c r="D913" s="114"/>
      <x:c r="E913" s="114"/>
      <x:c r="F913" s="114"/>
      <x:c r="G913" s="114"/>
      <x:c r="H913" s="114"/>
      <x:c r="I913" s="114"/>
      <x:c r="J913" s="114"/>
      <x:c r="K913" s="12"/>
      <x:c r="L913" s="12"/>
      <x:c r="M913" s="12"/>
      <x:c r="N913" s="12"/>
      <x:c r="O913" s="12"/>
      <x:c r="P913" s="12"/>
      <x:c r="Q913" s="12"/>
      <x:c r="R913" s="12"/>
      <x:c r="S913" s="12"/>
      <x:c r="T913" s="12"/>
      <x:c r="U913" s="12"/>
      <x:c r="V913" s="12"/>
      <x:c r="W913" s="12"/>
      <x:c r="X913" s="12"/>
      <x:c r="Y913" s="12"/>
      <x:c r="Z913" s="12"/>
      <x:c r="AA913" s="12"/>
      <x:c r="AB913" s="12"/>
      <x:c r="AC913" s="12"/>
      <x:c r="AD913" s="12"/>
      <x:c r="AE913" s="12"/>
      <x:c r="AF913" s="12"/>
      <x:c r="AG913" s="12"/>
    </x:row>
    <x:row r="914" ht="14.25" customHeight="1">
      <x:c r="A914" s="114"/>
      <x:c r="B914" s="114"/>
      <x:c r="C914" s="114"/>
      <x:c r="D914" s="114"/>
      <x:c r="E914" s="114"/>
      <x:c r="F914" s="114"/>
      <x:c r="G914" s="114"/>
      <x:c r="H914" s="114"/>
      <x:c r="I914" s="114"/>
      <x:c r="J914" s="114"/>
      <x:c r="K914" s="12"/>
      <x:c r="L914" s="12"/>
      <x:c r="M914" s="12"/>
      <x:c r="N914" s="12"/>
      <x:c r="O914" s="12"/>
      <x:c r="P914" s="12"/>
      <x:c r="Q914" s="12"/>
      <x:c r="R914" s="12"/>
      <x:c r="S914" s="12"/>
      <x:c r="T914" s="12"/>
      <x:c r="U914" s="12"/>
      <x:c r="V914" s="12"/>
      <x:c r="W914" s="12"/>
      <x:c r="X914" s="12"/>
      <x:c r="Y914" s="12"/>
      <x:c r="Z914" s="12"/>
      <x:c r="AA914" s="12"/>
      <x:c r="AB914" s="12"/>
      <x:c r="AC914" s="12"/>
      <x:c r="AD914" s="12"/>
      <x:c r="AE914" s="12"/>
      <x:c r="AF914" s="12"/>
      <x:c r="AG914" s="12"/>
    </x:row>
    <x:row r="915" ht="14.25" customHeight="1">
      <x:c r="A915" s="114"/>
      <x:c r="B915" s="114"/>
      <x:c r="C915" s="114"/>
      <x:c r="D915" s="114"/>
      <x:c r="E915" s="114"/>
      <x:c r="F915" s="114"/>
      <x:c r="G915" s="114"/>
      <x:c r="H915" s="114"/>
      <x:c r="I915" s="114"/>
      <x:c r="J915" s="114"/>
      <x:c r="K915" s="12"/>
      <x:c r="L915" s="12"/>
      <x:c r="M915" s="12"/>
      <x:c r="N915" s="12"/>
      <x:c r="O915" s="12"/>
      <x:c r="P915" s="12"/>
      <x:c r="Q915" s="12"/>
      <x:c r="R915" s="12"/>
      <x:c r="S915" s="12"/>
      <x:c r="T915" s="12"/>
      <x:c r="U915" s="12"/>
      <x:c r="V915" s="12"/>
      <x:c r="W915" s="12"/>
      <x:c r="X915" s="12"/>
      <x:c r="Y915" s="12"/>
      <x:c r="Z915" s="12"/>
      <x:c r="AA915" s="12"/>
      <x:c r="AB915" s="12"/>
      <x:c r="AC915" s="12"/>
      <x:c r="AD915" s="12"/>
      <x:c r="AE915" s="12"/>
      <x:c r="AF915" s="12"/>
      <x:c r="AG915" s="12"/>
    </x:row>
    <x:row r="916" ht="14.25" customHeight="1">
      <x:c r="A916" s="114"/>
      <x:c r="B916" s="114"/>
      <x:c r="C916" s="114"/>
      <x:c r="D916" s="114"/>
      <x:c r="E916" s="114"/>
      <x:c r="F916" s="114"/>
      <x:c r="G916" s="114"/>
      <x:c r="H916" s="114"/>
      <x:c r="I916" s="114"/>
      <x:c r="J916" s="114"/>
      <x:c r="K916" s="12"/>
      <x:c r="L916" s="12"/>
      <x:c r="M916" s="12"/>
      <x:c r="N916" s="12"/>
      <x:c r="O916" s="12"/>
      <x:c r="P916" s="12"/>
      <x:c r="Q916" s="12"/>
      <x:c r="R916" s="12"/>
      <x:c r="S916" s="12"/>
      <x:c r="T916" s="12"/>
      <x:c r="U916" s="12"/>
      <x:c r="V916" s="12"/>
      <x:c r="W916" s="12"/>
      <x:c r="X916" s="12"/>
      <x:c r="Y916" s="12"/>
      <x:c r="Z916" s="12"/>
      <x:c r="AA916" s="12"/>
      <x:c r="AB916" s="12"/>
      <x:c r="AC916" s="12"/>
      <x:c r="AD916" s="12"/>
      <x:c r="AE916" s="12"/>
      <x:c r="AF916" s="12"/>
      <x:c r="AG916" s="12"/>
    </x:row>
    <x:row r="917" ht="14.25" customHeight="1">
      <x:c r="A917" s="114"/>
      <x:c r="B917" s="114"/>
      <x:c r="C917" s="114"/>
      <x:c r="D917" s="114"/>
      <x:c r="E917" s="114"/>
      <x:c r="F917" s="114"/>
      <x:c r="G917" s="114"/>
      <x:c r="H917" s="114"/>
      <x:c r="I917" s="114"/>
      <x:c r="J917" s="114"/>
      <x:c r="K917" s="12"/>
      <x:c r="L917" s="12"/>
      <x:c r="M917" s="12"/>
      <x:c r="N917" s="12"/>
      <x:c r="O917" s="12"/>
      <x:c r="P917" s="12"/>
      <x:c r="Q917" s="12"/>
      <x:c r="R917" s="12"/>
      <x:c r="S917" s="12"/>
      <x:c r="T917" s="12"/>
      <x:c r="U917" s="12"/>
      <x:c r="V917" s="12"/>
      <x:c r="W917" s="12"/>
      <x:c r="X917" s="12"/>
      <x:c r="Y917" s="12"/>
      <x:c r="Z917" s="12"/>
      <x:c r="AA917" s="12"/>
      <x:c r="AB917" s="12"/>
      <x:c r="AC917" s="12"/>
      <x:c r="AD917" s="12"/>
      <x:c r="AE917" s="12"/>
      <x:c r="AF917" s="12"/>
      <x:c r="AG917" s="12"/>
    </x:row>
    <x:row r="918" ht="14.25" customHeight="1">
      <x:c r="A918" s="114"/>
      <x:c r="B918" s="114"/>
      <x:c r="C918" s="114"/>
      <x:c r="D918" s="114"/>
      <x:c r="E918" s="114"/>
      <x:c r="F918" s="114"/>
      <x:c r="G918" s="114"/>
      <x:c r="H918" s="114"/>
      <x:c r="I918" s="114"/>
      <x:c r="J918" s="114"/>
      <x:c r="K918" s="12"/>
      <x:c r="L918" s="12"/>
      <x:c r="M918" s="12"/>
      <x:c r="N918" s="12"/>
      <x:c r="O918" s="12"/>
      <x:c r="P918" s="12"/>
      <x:c r="Q918" s="12"/>
      <x:c r="R918" s="12"/>
      <x:c r="S918" s="12"/>
      <x:c r="T918" s="12"/>
      <x:c r="U918" s="12"/>
      <x:c r="V918" s="12"/>
      <x:c r="W918" s="12"/>
      <x:c r="X918" s="12"/>
      <x:c r="Y918" s="12"/>
      <x:c r="Z918" s="12"/>
      <x:c r="AA918" s="12"/>
      <x:c r="AB918" s="12"/>
      <x:c r="AC918" s="12"/>
      <x:c r="AD918" s="12"/>
      <x:c r="AE918" s="12"/>
      <x:c r="AF918" s="12"/>
      <x:c r="AG918" s="12"/>
    </x:row>
    <x:row r="919" ht="14.25" customHeight="1">
      <x:c r="A919" s="114"/>
      <x:c r="B919" s="114"/>
      <x:c r="C919" s="114"/>
      <x:c r="D919" s="114"/>
      <x:c r="E919" s="114"/>
      <x:c r="F919" s="114"/>
      <x:c r="G919" s="114"/>
      <x:c r="H919" s="114"/>
      <x:c r="I919" s="114"/>
      <x:c r="J919" s="114"/>
      <x:c r="K919" s="12"/>
      <x:c r="L919" s="12"/>
      <x:c r="M919" s="12"/>
      <x:c r="N919" s="12"/>
      <x:c r="O919" s="12"/>
      <x:c r="P919" s="12"/>
      <x:c r="Q919" s="12"/>
      <x:c r="R919" s="12"/>
      <x:c r="S919" s="12"/>
      <x:c r="T919" s="12"/>
      <x:c r="U919" s="12"/>
      <x:c r="V919" s="12"/>
      <x:c r="W919" s="12"/>
      <x:c r="X919" s="12"/>
      <x:c r="Y919" s="12"/>
      <x:c r="Z919" s="12"/>
      <x:c r="AA919" s="12"/>
      <x:c r="AB919" s="12"/>
      <x:c r="AC919" s="12"/>
      <x:c r="AD919" s="12"/>
      <x:c r="AE919" s="12"/>
      <x:c r="AF919" s="12"/>
      <x:c r="AG919" s="12"/>
    </x:row>
    <x:row r="920" ht="14.25" customHeight="1">
      <x:c r="A920" s="114"/>
      <x:c r="B920" s="114"/>
      <x:c r="C920" s="114"/>
      <x:c r="D920" s="114"/>
      <x:c r="E920" s="114"/>
      <x:c r="F920" s="114"/>
      <x:c r="G920" s="114"/>
      <x:c r="H920" s="114"/>
      <x:c r="I920" s="114"/>
      <x:c r="J920" s="114"/>
      <x:c r="K920" s="12"/>
      <x:c r="L920" s="12"/>
      <x:c r="M920" s="12"/>
      <x:c r="N920" s="12"/>
      <x:c r="O920" s="12"/>
      <x:c r="P920" s="12"/>
      <x:c r="Q920" s="12"/>
      <x:c r="R920" s="12"/>
      <x:c r="S920" s="12"/>
      <x:c r="T920" s="12"/>
      <x:c r="U920" s="12"/>
      <x:c r="V920" s="12"/>
      <x:c r="W920" s="12"/>
      <x:c r="X920" s="12"/>
      <x:c r="Y920" s="12"/>
      <x:c r="Z920" s="12"/>
      <x:c r="AA920" s="12"/>
      <x:c r="AB920" s="12"/>
      <x:c r="AC920" s="12"/>
      <x:c r="AD920" s="12"/>
      <x:c r="AE920" s="12"/>
      <x:c r="AF920" s="12"/>
      <x:c r="AG920" s="12"/>
    </x:row>
    <x:row r="921" ht="14.25" customHeight="1">
      <x:c r="A921" s="114"/>
      <x:c r="B921" s="114"/>
      <x:c r="C921" s="114"/>
      <x:c r="D921" s="114"/>
      <x:c r="E921" s="114"/>
      <x:c r="F921" s="114"/>
      <x:c r="G921" s="114"/>
      <x:c r="H921" s="114"/>
      <x:c r="I921" s="114"/>
      <x:c r="J921" s="114"/>
      <x:c r="K921" s="12"/>
      <x:c r="L921" s="12"/>
      <x:c r="M921" s="12"/>
      <x:c r="N921" s="12"/>
      <x:c r="O921" s="12"/>
      <x:c r="P921" s="12"/>
      <x:c r="Q921" s="12"/>
      <x:c r="R921" s="12"/>
      <x:c r="S921" s="12"/>
      <x:c r="T921" s="12"/>
      <x:c r="U921" s="12"/>
      <x:c r="V921" s="12"/>
      <x:c r="W921" s="12"/>
      <x:c r="X921" s="12"/>
      <x:c r="Y921" s="12"/>
      <x:c r="Z921" s="12"/>
      <x:c r="AA921" s="12"/>
      <x:c r="AB921" s="12"/>
      <x:c r="AC921" s="12"/>
      <x:c r="AD921" s="12"/>
      <x:c r="AE921" s="12"/>
      <x:c r="AF921" s="12"/>
      <x:c r="AG921" s="12"/>
    </x:row>
    <x:row r="922" ht="14.25" customHeight="1">
      <x:c r="A922" s="114"/>
      <x:c r="B922" s="114"/>
      <x:c r="C922" s="114"/>
      <x:c r="D922" s="114"/>
      <x:c r="E922" s="114"/>
      <x:c r="F922" s="114"/>
      <x:c r="G922" s="114"/>
      <x:c r="H922" s="114"/>
      <x:c r="I922" s="114"/>
      <x:c r="J922" s="114"/>
      <x:c r="K922" s="12"/>
      <x:c r="L922" s="12"/>
      <x:c r="M922" s="12"/>
      <x:c r="N922" s="12"/>
      <x:c r="O922" s="12"/>
      <x:c r="P922" s="12"/>
      <x:c r="Q922" s="12"/>
      <x:c r="R922" s="12"/>
      <x:c r="S922" s="12"/>
      <x:c r="T922" s="12"/>
      <x:c r="U922" s="12"/>
      <x:c r="V922" s="12"/>
      <x:c r="W922" s="12"/>
      <x:c r="X922" s="12"/>
      <x:c r="Y922" s="12"/>
      <x:c r="Z922" s="12"/>
      <x:c r="AA922" s="12"/>
      <x:c r="AB922" s="12"/>
      <x:c r="AC922" s="12"/>
      <x:c r="AD922" s="12"/>
      <x:c r="AE922" s="12"/>
      <x:c r="AF922" s="12"/>
      <x:c r="AG922" s="12"/>
    </x:row>
    <x:row r="923" ht="14.25" customHeight="1">
      <x:c r="A923" s="114"/>
      <x:c r="B923" s="114"/>
      <x:c r="C923" s="114"/>
      <x:c r="D923" s="114"/>
      <x:c r="E923" s="114"/>
      <x:c r="F923" s="114"/>
      <x:c r="G923" s="114"/>
      <x:c r="H923" s="114"/>
      <x:c r="I923" s="114"/>
      <x:c r="J923" s="114"/>
      <x:c r="K923" s="12"/>
      <x:c r="L923" s="12"/>
      <x:c r="M923" s="12"/>
      <x:c r="N923" s="12"/>
      <x:c r="O923" s="12"/>
      <x:c r="P923" s="12"/>
      <x:c r="Q923" s="12"/>
      <x:c r="R923" s="12"/>
      <x:c r="S923" s="12"/>
      <x:c r="T923" s="12"/>
      <x:c r="U923" s="12"/>
      <x:c r="V923" s="12"/>
      <x:c r="W923" s="12"/>
      <x:c r="X923" s="12"/>
      <x:c r="Y923" s="12"/>
      <x:c r="Z923" s="12"/>
      <x:c r="AA923" s="12"/>
      <x:c r="AB923" s="12"/>
      <x:c r="AC923" s="12"/>
      <x:c r="AD923" s="12"/>
      <x:c r="AE923" s="12"/>
      <x:c r="AF923" s="12"/>
      <x:c r="AG923" s="12"/>
    </x:row>
    <x:row r="924" ht="14.25" customHeight="1">
      <x:c r="A924" s="114"/>
      <x:c r="B924" s="114"/>
      <x:c r="C924" s="114"/>
      <x:c r="D924" s="114"/>
      <x:c r="E924" s="114"/>
      <x:c r="F924" s="114"/>
      <x:c r="G924" s="114"/>
      <x:c r="H924" s="114"/>
      <x:c r="I924" s="114"/>
      <x:c r="J924" s="114"/>
      <x:c r="K924" s="12"/>
      <x:c r="L924" s="12"/>
      <x:c r="M924" s="12"/>
      <x:c r="N924" s="12"/>
      <x:c r="O924" s="12"/>
      <x:c r="P924" s="12"/>
      <x:c r="Q924" s="12"/>
      <x:c r="R924" s="12"/>
      <x:c r="S924" s="12"/>
      <x:c r="T924" s="12"/>
      <x:c r="U924" s="12"/>
      <x:c r="V924" s="12"/>
      <x:c r="W924" s="12"/>
      <x:c r="X924" s="12"/>
      <x:c r="Y924" s="12"/>
      <x:c r="Z924" s="12"/>
      <x:c r="AA924" s="12"/>
      <x:c r="AB924" s="12"/>
      <x:c r="AC924" s="12"/>
      <x:c r="AD924" s="12"/>
      <x:c r="AE924" s="12"/>
      <x:c r="AF924" s="12"/>
      <x:c r="AG924" s="12"/>
    </x:row>
    <x:row r="925" ht="14.25" customHeight="1">
      <x:c r="A925" s="114"/>
      <x:c r="B925" s="114"/>
      <x:c r="C925" s="114"/>
      <x:c r="D925" s="114"/>
      <x:c r="E925" s="114"/>
      <x:c r="F925" s="114"/>
      <x:c r="G925" s="114"/>
      <x:c r="H925" s="114"/>
      <x:c r="I925" s="114"/>
      <x:c r="J925" s="114"/>
      <x:c r="K925" s="12"/>
      <x:c r="L925" s="12"/>
      <x:c r="M925" s="12"/>
      <x:c r="N925" s="12"/>
      <x:c r="O925" s="12"/>
      <x:c r="P925" s="12"/>
      <x:c r="Q925" s="12"/>
      <x:c r="R925" s="12"/>
      <x:c r="S925" s="12"/>
      <x:c r="T925" s="12"/>
      <x:c r="U925" s="12"/>
      <x:c r="V925" s="12"/>
      <x:c r="W925" s="12"/>
      <x:c r="X925" s="12"/>
      <x:c r="Y925" s="12"/>
      <x:c r="Z925" s="12"/>
      <x:c r="AA925" s="12"/>
      <x:c r="AB925" s="12"/>
      <x:c r="AC925" s="12"/>
      <x:c r="AD925" s="12"/>
      <x:c r="AE925" s="12"/>
      <x:c r="AF925" s="12"/>
      <x:c r="AG925" s="12"/>
    </x:row>
    <x:row r="926" ht="14.25" customHeight="1">
      <x:c r="A926" s="114"/>
      <x:c r="B926" s="114"/>
      <x:c r="C926" s="114"/>
      <x:c r="D926" s="114"/>
      <x:c r="E926" s="114"/>
      <x:c r="F926" s="114"/>
      <x:c r="G926" s="114"/>
      <x:c r="H926" s="114"/>
      <x:c r="I926" s="114"/>
      <x:c r="J926" s="114"/>
      <x:c r="K926" s="12"/>
      <x:c r="L926" s="12"/>
      <x:c r="M926" s="12"/>
      <x:c r="N926" s="12"/>
      <x:c r="O926" s="12"/>
      <x:c r="P926" s="12"/>
      <x:c r="Q926" s="12"/>
      <x:c r="R926" s="12"/>
      <x:c r="S926" s="12"/>
      <x:c r="T926" s="12"/>
      <x:c r="U926" s="12"/>
      <x:c r="V926" s="12"/>
      <x:c r="W926" s="12"/>
      <x:c r="X926" s="12"/>
      <x:c r="Y926" s="12"/>
      <x:c r="Z926" s="12"/>
      <x:c r="AA926" s="12"/>
      <x:c r="AB926" s="12"/>
      <x:c r="AC926" s="12"/>
      <x:c r="AD926" s="12"/>
      <x:c r="AE926" s="12"/>
      <x:c r="AF926" s="12"/>
      <x:c r="AG926" s="12"/>
    </x:row>
    <x:row r="927" ht="14.25" customHeight="1">
      <x:c r="A927" s="114"/>
      <x:c r="B927" s="114"/>
      <x:c r="C927" s="114"/>
      <x:c r="D927" s="114"/>
      <x:c r="E927" s="114"/>
      <x:c r="F927" s="114"/>
      <x:c r="G927" s="114"/>
      <x:c r="H927" s="114"/>
      <x:c r="I927" s="114"/>
      <x:c r="J927" s="114"/>
      <x:c r="K927" s="12"/>
      <x:c r="L927" s="12"/>
      <x:c r="M927" s="12"/>
      <x:c r="N927" s="12"/>
      <x:c r="O927" s="12"/>
      <x:c r="P927" s="12"/>
      <x:c r="Q927" s="12"/>
      <x:c r="R927" s="12"/>
      <x:c r="S927" s="12"/>
      <x:c r="T927" s="12"/>
      <x:c r="U927" s="12"/>
      <x:c r="V927" s="12"/>
      <x:c r="W927" s="12"/>
      <x:c r="X927" s="12"/>
      <x:c r="Y927" s="12"/>
      <x:c r="Z927" s="12"/>
      <x:c r="AA927" s="12"/>
      <x:c r="AB927" s="12"/>
      <x:c r="AC927" s="12"/>
      <x:c r="AD927" s="12"/>
      <x:c r="AE927" s="12"/>
      <x:c r="AF927" s="12"/>
      <x:c r="AG927" s="12"/>
    </x:row>
    <x:row r="928" ht="14.25" customHeight="1">
      <x:c r="A928" s="114"/>
      <x:c r="B928" s="114"/>
      <x:c r="C928" s="114"/>
      <x:c r="D928" s="114"/>
      <x:c r="E928" s="114"/>
      <x:c r="F928" s="114"/>
      <x:c r="G928" s="114"/>
      <x:c r="H928" s="114"/>
      <x:c r="I928" s="114"/>
      <x:c r="J928" s="114"/>
      <x:c r="K928" s="12"/>
      <x:c r="L928" s="12"/>
      <x:c r="M928" s="12"/>
      <x:c r="N928" s="12"/>
      <x:c r="O928" s="12"/>
      <x:c r="P928" s="12"/>
      <x:c r="Q928" s="12"/>
      <x:c r="R928" s="12"/>
      <x:c r="S928" s="12"/>
      <x:c r="T928" s="12"/>
      <x:c r="U928" s="12"/>
      <x:c r="V928" s="12"/>
      <x:c r="W928" s="12"/>
      <x:c r="X928" s="12"/>
      <x:c r="Y928" s="12"/>
      <x:c r="Z928" s="12"/>
      <x:c r="AA928" s="12"/>
      <x:c r="AB928" s="12"/>
      <x:c r="AC928" s="12"/>
      <x:c r="AD928" s="12"/>
      <x:c r="AE928" s="12"/>
      <x:c r="AF928" s="12"/>
      <x:c r="AG928" s="12"/>
    </x:row>
    <x:row r="929" ht="14.25" customHeight="1">
      <x:c r="A929" s="114"/>
      <x:c r="B929" s="114"/>
      <x:c r="C929" s="114"/>
      <x:c r="D929" s="114"/>
      <x:c r="E929" s="114"/>
      <x:c r="F929" s="114"/>
      <x:c r="G929" s="114"/>
      <x:c r="H929" s="114"/>
      <x:c r="I929" s="114"/>
      <x:c r="J929" s="114"/>
      <x:c r="K929" s="12"/>
      <x:c r="L929" s="12"/>
      <x:c r="M929" s="12"/>
      <x:c r="N929" s="12"/>
      <x:c r="O929" s="12"/>
      <x:c r="P929" s="12"/>
      <x:c r="Q929" s="12"/>
      <x:c r="R929" s="12"/>
      <x:c r="S929" s="12"/>
      <x:c r="T929" s="12"/>
      <x:c r="U929" s="12"/>
      <x:c r="V929" s="12"/>
      <x:c r="W929" s="12"/>
      <x:c r="X929" s="12"/>
      <x:c r="Y929" s="12"/>
      <x:c r="Z929" s="12"/>
      <x:c r="AA929" s="12"/>
      <x:c r="AB929" s="12"/>
      <x:c r="AC929" s="12"/>
      <x:c r="AD929" s="12"/>
      <x:c r="AE929" s="12"/>
      <x:c r="AF929" s="12"/>
      <x:c r="AG929" s="12"/>
    </x:row>
    <x:row r="930" ht="14.25" customHeight="1">
      <x:c r="A930" s="114"/>
      <x:c r="B930" s="114"/>
      <x:c r="C930" s="114"/>
      <x:c r="D930" s="114"/>
      <x:c r="E930" s="114"/>
      <x:c r="F930" s="114"/>
      <x:c r="G930" s="114"/>
      <x:c r="H930" s="114"/>
      <x:c r="I930" s="114"/>
      <x:c r="J930" s="114"/>
      <x:c r="K930" s="12"/>
      <x:c r="L930" s="12"/>
      <x:c r="M930" s="12"/>
      <x:c r="N930" s="12"/>
      <x:c r="O930" s="12"/>
      <x:c r="P930" s="12"/>
      <x:c r="Q930" s="12"/>
      <x:c r="R930" s="12"/>
      <x:c r="S930" s="12"/>
      <x:c r="T930" s="12"/>
      <x:c r="U930" s="12"/>
      <x:c r="V930" s="12"/>
      <x:c r="W930" s="12"/>
      <x:c r="X930" s="12"/>
      <x:c r="Y930" s="12"/>
      <x:c r="Z930" s="12"/>
      <x:c r="AA930" s="12"/>
      <x:c r="AB930" s="12"/>
      <x:c r="AC930" s="12"/>
      <x:c r="AD930" s="12"/>
      <x:c r="AE930" s="12"/>
      <x:c r="AF930" s="12"/>
      <x:c r="AG930" s="12"/>
    </x:row>
    <x:row r="931" ht="14.25" customHeight="1">
      <x:c r="A931" s="114"/>
      <x:c r="B931" s="114"/>
      <x:c r="C931" s="114"/>
      <x:c r="D931" s="114"/>
      <x:c r="E931" s="114"/>
      <x:c r="F931" s="114"/>
      <x:c r="G931" s="114"/>
      <x:c r="H931" s="114"/>
      <x:c r="I931" s="114"/>
      <x:c r="J931" s="114"/>
      <x:c r="K931" s="12"/>
      <x:c r="L931" s="12"/>
      <x:c r="M931" s="12"/>
      <x:c r="N931" s="12"/>
      <x:c r="O931" s="12"/>
      <x:c r="P931" s="12"/>
      <x:c r="Q931" s="12"/>
      <x:c r="R931" s="12"/>
      <x:c r="S931" s="12"/>
      <x:c r="T931" s="12"/>
      <x:c r="U931" s="12"/>
      <x:c r="V931" s="12"/>
      <x:c r="W931" s="12"/>
      <x:c r="X931" s="12"/>
      <x:c r="Y931" s="12"/>
      <x:c r="Z931" s="12"/>
      <x:c r="AA931" s="12"/>
      <x:c r="AB931" s="12"/>
      <x:c r="AC931" s="12"/>
      <x:c r="AD931" s="12"/>
      <x:c r="AE931" s="12"/>
      <x:c r="AF931" s="12"/>
      <x:c r="AG931" s="12"/>
    </x:row>
    <x:row r="932" ht="14.25" customHeight="1">
      <x:c r="A932" s="114"/>
      <x:c r="B932" s="114"/>
      <x:c r="C932" s="114"/>
      <x:c r="D932" s="114"/>
      <x:c r="E932" s="114"/>
      <x:c r="F932" s="114"/>
      <x:c r="G932" s="114"/>
      <x:c r="H932" s="114"/>
      <x:c r="I932" s="114"/>
      <x:c r="J932" s="114"/>
      <x:c r="K932" s="12"/>
      <x:c r="L932" s="12"/>
      <x:c r="M932" s="12"/>
      <x:c r="N932" s="12"/>
      <x:c r="O932" s="12"/>
      <x:c r="P932" s="12"/>
      <x:c r="Q932" s="12"/>
      <x:c r="R932" s="12"/>
      <x:c r="S932" s="12"/>
      <x:c r="T932" s="12"/>
      <x:c r="U932" s="12"/>
      <x:c r="V932" s="12"/>
      <x:c r="W932" s="12"/>
      <x:c r="X932" s="12"/>
      <x:c r="Y932" s="12"/>
      <x:c r="Z932" s="12"/>
      <x:c r="AA932" s="12"/>
      <x:c r="AB932" s="12"/>
      <x:c r="AC932" s="12"/>
      <x:c r="AD932" s="12"/>
      <x:c r="AE932" s="12"/>
      <x:c r="AF932" s="12"/>
      <x:c r="AG932" s="12"/>
    </x:row>
    <x:row r="933" ht="14.25" customHeight="1">
      <x:c r="A933" s="114"/>
      <x:c r="B933" s="114"/>
      <x:c r="C933" s="114"/>
      <x:c r="D933" s="114"/>
      <x:c r="E933" s="114"/>
      <x:c r="F933" s="114"/>
      <x:c r="G933" s="114"/>
      <x:c r="H933" s="114"/>
      <x:c r="I933" s="114"/>
      <x:c r="J933" s="114"/>
      <x:c r="K933" s="12"/>
      <x:c r="L933" s="12"/>
      <x:c r="M933" s="12"/>
      <x:c r="N933" s="12"/>
      <x:c r="O933" s="12"/>
      <x:c r="P933" s="12"/>
      <x:c r="Q933" s="12"/>
      <x:c r="R933" s="12"/>
      <x:c r="S933" s="12"/>
      <x:c r="T933" s="12"/>
      <x:c r="U933" s="12"/>
      <x:c r="V933" s="12"/>
      <x:c r="W933" s="12"/>
      <x:c r="X933" s="12"/>
      <x:c r="Y933" s="12"/>
      <x:c r="Z933" s="12"/>
      <x:c r="AA933" s="12"/>
      <x:c r="AB933" s="12"/>
      <x:c r="AC933" s="12"/>
      <x:c r="AD933" s="12"/>
      <x:c r="AE933" s="12"/>
      <x:c r="AF933" s="12"/>
      <x:c r="AG933" s="12"/>
    </x:row>
    <x:row r="934" ht="14.25" customHeight="1">
      <x:c r="A934" s="114"/>
      <x:c r="B934" s="114"/>
      <x:c r="C934" s="114"/>
      <x:c r="D934" s="114"/>
      <x:c r="E934" s="114"/>
      <x:c r="F934" s="114"/>
      <x:c r="G934" s="114"/>
      <x:c r="H934" s="114"/>
      <x:c r="I934" s="114"/>
      <x:c r="J934" s="114"/>
      <x:c r="K934" s="12"/>
      <x:c r="L934" s="12"/>
      <x:c r="M934" s="12"/>
      <x:c r="N934" s="12"/>
      <x:c r="O934" s="12"/>
      <x:c r="P934" s="12"/>
      <x:c r="Q934" s="12"/>
      <x:c r="R934" s="12"/>
      <x:c r="S934" s="12"/>
      <x:c r="T934" s="12"/>
      <x:c r="U934" s="12"/>
      <x:c r="V934" s="12"/>
      <x:c r="W934" s="12"/>
      <x:c r="X934" s="12"/>
      <x:c r="Y934" s="12"/>
      <x:c r="Z934" s="12"/>
      <x:c r="AA934" s="12"/>
      <x:c r="AB934" s="12"/>
      <x:c r="AC934" s="12"/>
      <x:c r="AD934" s="12"/>
      <x:c r="AE934" s="12"/>
      <x:c r="AF934" s="12"/>
      <x:c r="AG934" s="12"/>
    </x:row>
    <x:row r="935" ht="14.25" customHeight="1">
      <x:c r="A935" s="114"/>
      <x:c r="B935" s="114"/>
      <x:c r="C935" s="114"/>
      <x:c r="D935" s="114"/>
      <x:c r="E935" s="114"/>
      <x:c r="F935" s="114"/>
      <x:c r="G935" s="114"/>
      <x:c r="H935" s="114"/>
      <x:c r="I935" s="114"/>
      <x:c r="J935" s="114"/>
      <x:c r="K935" s="12"/>
      <x:c r="L935" s="12"/>
      <x:c r="M935" s="12"/>
      <x:c r="N935" s="12"/>
      <x:c r="O935" s="12"/>
      <x:c r="P935" s="12"/>
      <x:c r="Q935" s="12"/>
      <x:c r="R935" s="12"/>
      <x:c r="S935" s="12"/>
      <x:c r="T935" s="12"/>
      <x:c r="U935" s="12"/>
      <x:c r="V935" s="12"/>
      <x:c r="W935" s="12"/>
      <x:c r="X935" s="12"/>
      <x:c r="Y935" s="12"/>
      <x:c r="Z935" s="12"/>
      <x:c r="AA935" s="12"/>
      <x:c r="AB935" s="12"/>
      <x:c r="AC935" s="12"/>
      <x:c r="AD935" s="12"/>
      <x:c r="AE935" s="12"/>
      <x:c r="AF935" s="12"/>
      <x:c r="AG935" s="12"/>
    </x:row>
    <x:row r="936" ht="14.25" customHeight="1">
      <x:c r="A936" s="114"/>
      <x:c r="B936" s="114"/>
      <x:c r="C936" s="114"/>
      <x:c r="D936" s="114"/>
      <x:c r="E936" s="114"/>
      <x:c r="F936" s="114"/>
      <x:c r="G936" s="114"/>
      <x:c r="H936" s="114"/>
      <x:c r="I936" s="114"/>
      <x:c r="J936" s="114"/>
      <x:c r="K936" s="12"/>
      <x:c r="L936" s="12"/>
      <x:c r="M936" s="12"/>
      <x:c r="N936" s="12"/>
      <x:c r="O936" s="12"/>
      <x:c r="P936" s="12"/>
      <x:c r="Q936" s="12"/>
      <x:c r="R936" s="12"/>
      <x:c r="S936" s="12"/>
      <x:c r="T936" s="12"/>
      <x:c r="U936" s="12"/>
      <x:c r="V936" s="12"/>
      <x:c r="W936" s="12"/>
      <x:c r="X936" s="12"/>
      <x:c r="Y936" s="12"/>
      <x:c r="Z936" s="12"/>
      <x:c r="AA936" s="12"/>
      <x:c r="AB936" s="12"/>
      <x:c r="AC936" s="12"/>
      <x:c r="AD936" s="12"/>
      <x:c r="AE936" s="12"/>
      <x:c r="AF936" s="12"/>
      <x:c r="AG936" s="12"/>
    </x:row>
    <x:row r="937" ht="14.25" customHeight="1">
      <x:c r="A937" s="114"/>
      <x:c r="B937" s="114"/>
      <x:c r="C937" s="114"/>
      <x:c r="D937" s="114"/>
      <x:c r="E937" s="114"/>
      <x:c r="F937" s="114"/>
      <x:c r="G937" s="114"/>
      <x:c r="H937" s="114"/>
      <x:c r="I937" s="114"/>
      <x:c r="J937" s="114"/>
      <x:c r="K937" s="12"/>
      <x:c r="L937" s="12"/>
      <x:c r="M937" s="12"/>
      <x:c r="N937" s="12"/>
      <x:c r="O937" s="12"/>
      <x:c r="P937" s="12"/>
      <x:c r="Q937" s="12"/>
      <x:c r="R937" s="12"/>
      <x:c r="S937" s="12"/>
      <x:c r="T937" s="12"/>
      <x:c r="U937" s="12"/>
      <x:c r="V937" s="12"/>
      <x:c r="W937" s="12"/>
      <x:c r="X937" s="12"/>
      <x:c r="Y937" s="12"/>
      <x:c r="Z937" s="12"/>
      <x:c r="AA937" s="12"/>
      <x:c r="AB937" s="12"/>
      <x:c r="AC937" s="12"/>
      <x:c r="AD937" s="12"/>
      <x:c r="AE937" s="12"/>
      <x:c r="AF937" s="12"/>
      <x:c r="AG937" s="12"/>
    </x:row>
    <x:row r="938" ht="14.25" customHeight="1">
      <x:c r="A938" s="114"/>
      <x:c r="B938" s="114"/>
      <x:c r="C938" s="114"/>
      <x:c r="D938" s="114"/>
      <x:c r="E938" s="114"/>
      <x:c r="F938" s="114"/>
      <x:c r="G938" s="114"/>
      <x:c r="H938" s="114"/>
      <x:c r="I938" s="114"/>
      <x:c r="J938" s="114"/>
      <x:c r="K938" s="12"/>
      <x:c r="L938" s="12"/>
      <x:c r="M938" s="12"/>
      <x:c r="N938" s="12"/>
      <x:c r="O938" s="12"/>
      <x:c r="P938" s="12"/>
      <x:c r="Q938" s="12"/>
      <x:c r="R938" s="12"/>
      <x:c r="S938" s="12"/>
      <x:c r="T938" s="12"/>
      <x:c r="U938" s="12"/>
      <x:c r="V938" s="12"/>
      <x:c r="W938" s="12"/>
      <x:c r="X938" s="12"/>
      <x:c r="Y938" s="12"/>
      <x:c r="Z938" s="12"/>
      <x:c r="AA938" s="12"/>
      <x:c r="AB938" s="12"/>
      <x:c r="AC938" s="12"/>
      <x:c r="AD938" s="12"/>
      <x:c r="AE938" s="12"/>
      <x:c r="AF938" s="12"/>
      <x:c r="AG938" s="12"/>
    </x:row>
    <x:row r="939" ht="14.25" customHeight="1">
      <x:c r="A939" s="114"/>
      <x:c r="B939" s="114"/>
      <x:c r="C939" s="114"/>
      <x:c r="D939" s="114"/>
      <x:c r="E939" s="114"/>
      <x:c r="F939" s="114"/>
      <x:c r="G939" s="114"/>
      <x:c r="H939" s="114"/>
      <x:c r="I939" s="114"/>
      <x:c r="J939" s="114"/>
      <x:c r="K939" s="12"/>
      <x:c r="L939" s="12"/>
      <x:c r="M939" s="12"/>
      <x:c r="N939" s="12"/>
      <x:c r="O939" s="12"/>
      <x:c r="P939" s="12"/>
      <x:c r="Q939" s="12"/>
      <x:c r="R939" s="12"/>
      <x:c r="S939" s="12"/>
      <x:c r="T939" s="12"/>
      <x:c r="U939" s="12"/>
      <x:c r="V939" s="12"/>
      <x:c r="W939" s="12"/>
      <x:c r="X939" s="12"/>
      <x:c r="Y939" s="12"/>
      <x:c r="Z939" s="12"/>
      <x:c r="AA939" s="12"/>
      <x:c r="AB939" s="12"/>
      <x:c r="AC939" s="12"/>
      <x:c r="AD939" s="12"/>
      <x:c r="AE939" s="12"/>
      <x:c r="AF939" s="12"/>
      <x:c r="AG939" s="12"/>
    </x:row>
    <x:row r="940" ht="14.25" customHeight="1">
      <x:c r="A940" s="114"/>
      <x:c r="B940" s="114"/>
      <x:c r="C940" s="114"/>
      <x:c r="D940" s="114"/>
      <x:c r="E940" s="114"/>
      <x:c r="F940" s="114"/>
      <x:c r="G940" s="114"/>
      <x:c r="H940" s="114"/>
      <x:c r="I940" s="114"/>
      <x:c r="J940" s="114"/>
      <x:c r="K940" s="12"/>
      <x:c r="L940" s="12"/>
      <x:c r="M940" s="12"/>
      <x:c r="N940" s="12"/>
      <x:c r="O940" s="12"/>
      <x:c r="P940" s="12"/>
      <x:c r="Q940" s="12"/>
      <x:c r="R940" s="12"/>
      <x:c r="S940" s="12"/>
      <x:c r="T940" s="12"/>
      <x:c r="U940" s="12"/>
      <x:c r="V940" s="12"/>
      <x:c r="W940" s="12"/>
      <x:c r="X940" s="12"/>
      <x:c r="Y940" s="12"/>
      <x:c r="Z940" s="12"/>
      <x:c r="AA940" s="12"/>
      <x:c r="AB940" s="12"/>
      <x:c r="AC940" s="12"/>
      <x:c r="AD940" s="12"/>
      <x:c r="AE940" s="12"/>
      <x:c r="AF940" s="12"/>
      <x:c r="AG940" s="12"/>
    </x:row>
    <x:row r="941" ht="14.25" customHeight="1">
      <x:c r="A941" s="114"/>
      <x:c r="B941" s="114"/>
      <x:c r="C941" s="114"/>
      <x:c r="D941" s="114"/>
      <x:c r="E941" s="114"/>
      <x:c r="F941" s="114"/>
      <x:c r="G941" s="114"/>
      <x:c r="H941" s="114"/>
      <x:c r="I941" s="114"/>
      <x:c r="J941" s="114"/>
      <x:c r="K941" s="12"/>
      <x:c r="L941" s="12"/>
      <x:c r="M941" s="12"/>
      <x:c r="N941" s="12"/>
      <x:c r="O941" s="12"/>
      <x:c r="P941" s="12"/>
      <x:c r="Q941" s="12"/>
      <x:c r="R941" s="12"/>
      <x:c r="S941" s="12"/>
      <x:c r="T941" s="12"/>
      <x:c r="U941" s="12"/>
      <x:c r="V941" s="12"/>
      <x:c r="W941" s="12"/>
      <x:c r="X941" s="12"/>
      <x:c r="Y941" s="12"/>
      <x:c r="Z941" s="12"/>
      <x:c r="AA941" s="12"/>
      <x:c r="AB941" s="12"/>
      <x:c r="AC941" s="12"/>
      <x:c r="AD941" s="12"/>
      <x:c r="AE941" s="12"/>
      <x:c r="AF941" s="12"/>
      <x:c r="AG941" s="12"/>
    </x:row>
    <x:row r="942" ht="14.25" customHeight="1">
      <x:c r="A942" s="114"/>
      <x:c r="B942" s="114"/>
      <x:c r="C942" s="114"/>
      <x:c r="D942" s="114"/>
      <x:c r="E942" s="114"/>
      <x:c r="F942" s="114"/>
      <x:c r="G942" s="114"/>
      <x:c r="H942" s="114"/>
      <x:c r="I942" s="114"/>
      <x:c r="J942" s="114"/>
      <x:c r="K942" s="12"/>
      <x:c r="L942" s="12"/>
      <x:c r="M942" s="12"/>
      <x:c r="N942" s="12"/>
      <x:c r="O942" s="12"/>
      <x:c r="P942" s="12"/>
      <x:c r="Q942" s="12"/>
      <x:c r="R942" s="12"/>
      <x:c r="S942" s="12"/>
      <x:c r="T942" s="12"/>
      <x:c r="U942" s="12"/>
      <x:c r="V942" s="12"/>
      <x:c r="W942" s="12"/>
      <x:c r="X942" s="12"/>
      <x:c r="Y942" s="12"/>
      <x:c r="Z942" s="12"/>
      <x:c r="AA942" s="12"/>
      <x:c r="AB942" s="12"/>
      <x:c r="AC942" s="12"/>
      <x:c r="AD942" s="12"/>
      <x:c r="AE942" s="12"/>
      <x:c r="AF942" s="12"/>
      <x:c r="AG942" s="12"/>
    </x:row>
    <x:row r="943" ht="14.25" customHeight="1">
      <x:c r="A943" s="114"/>
      <x:c r="B943" s="114"/>
      <x:c r="C943" s="114"/>
      <x:c r="D943" s="114"/>
      <x:c r="E943" s="114"/>
      <x:c r="F943" s="114"/>
      <x:c r="G943" s="114"/>
      <x:c r="H943" s="114"/>
      <x:c r="I943" s="114"/>
      <x:c r="J943" s="114"/>
      <x:c r="K943" s="12"/>
      <x:c r="L943" s="12"/>
      <x:c r="M943" s="12"/>
      <x:c r="N943" s="12"/>
      <x:c r="O943" s="12"/>
      <x:c r="P943" s="12"/>
      <x:c r="Q943" s="12"/>
      <x:c r="R943" s="12"/>
      <x:c r="S943" s="12"/>
      <x:c r="T943" s="12"/>
      <x:c r="U943" s="12"/>
      <x:c r="V943" s="12"/>
      <x:c r="W943" s="12"/>
      <x:c r="X943" s="12"/>
      <x:c r="Y943" s="12"/>
      <x:c r="Z943" s="12"/>
      <x:c r="AA943" s="12"/>
      <x:c r="AB943" s="12"/>
      <x:c r="AC943" s="12"/>
      <x:c r="AD943" s="12"/>
      <x:c r="AE943" s="12"/>
      <x:c r="AF943" s="12"/>
      <x:c r="AG943" s="12"/>
    </x:row>
    <x:row r="944" ht="14.25" customHeight="1">
      <x:c r="A944" s="114"/>
      <x:c r="B944" s="114"/>
      <x:c r="C944" s="114"/>
      <x:c r="D944" s="114"/>
      <x:c r="E944" s="114"/>
      <x:c r="F944" s="114"/>
      <x:c r="G944" s="114"/>
      <x:c r="H944" s="114"/>
      <x:c r="I944" s="114"/>
      <x:c r="J944" s="114"/>
      <x:c r="K944" s="12"/>
      <x:c r="L944" s="12"/>
      <x:c r="M944" s="12"/>
      <x:c r="N944" s="12"/>
      <x:c r="O944" s="12"/>
      <x:c r="P944" s="12"/>
      <x:c r="Q944" s="12"/>
      <x:c r="R944" s="12"/>
      <x:c r="S944" s="12"/>
      <x:c r="T944" s="12"/>
      <x:c r="U944" s="12"/>
      <x:c r="V944" s="12"/>
      <x:c r="W944" s="12"/>
      <x:c r="X944" s="12"/>
      <x:c r="Y944" s="12"/>
      <x:c r="Z944" s="12"/>
      <x:c r="AA944" s="12"/>
      <x:c r="AB944" s="12"/>
      <x:c r="AC944" s="12"/>
      <x:c r="AD944" s="12"/>
      <x:c r="AE944" s="12"/>
      <x:c r="AF944" s="12"/>
      <x:c r="AG944" s="12"/>
    </x:row>
    <x:row r="945" ht="14.25" customHeight="1">
      <x:c r="A945" s="114"/>
      <x:c r="B945" s="114"/>
      <x:c r="C945" s="114"/>
      <x:c r="D945" s="114"/>
      <x:c r="E945" s="114"/>
      <x:c r="F945" s="114"/>
      <x:c r="G945" s="114"/>
      <x:c r="H945" s="114"/>
      <x:c r="I945" s="114"/>
      <x:c r="J945" s="114"/>
      <x:c r="K945" s="12"/>
      <x:c r="L945" s="12"/>
      <x:c r="M945" s="12"/>
      <x:c r="N945" s="12"/>
      <x:c r="O945" s="12"/>
      <x:c r="P945" s="12"/>
      <x:c r="Q945" s="12"/>
      <x:c r="R945" s="12"/>
      <x:c r="S945" s="12"/>
      <x:c r="T945" s="12"/>
      <x:c r="U945" s="12"/>
      <x:c r="V945" s="12"/>
      <x:c r="W945" s="12"/>
      <x:c r="X945" s="12"/>
      <x:c r="Y945" s="12"/>
      <x:c r="Z945" s="12"/>
      <x:c r="AA945" s="12"/>
      <x:c r="AB945" s="12"/>
      <x:c r="AC945" s="12"/>
      <x:c r="AD945" s="12"/>
      <x:c r="AE945" s="12"/>
      <x:c r="AF945" s="12"/>
      <x:c r="AG945" s="12"/>
    </x:row>
    <x:row r="946" ht="14.25" customHeight="1">
      <x:c r="A946" s="114"/>
      <x:c r="B946" s="114"/>
      <x:c r="C946" s="114"/>
      <x:c r="D946" s="114"/>
      <x:c r="E946" s="114"/>
      <x:c r="F946" s="114"/>
      <x:c r="G946" s="114"/>
      <x:c r="H946" s="114"/>
      <x:c r="I946" s="114"/>
      <x:c r="J946" s="114"/>
      <x:c r="K946" s="12"/>
      <x:c r="L946" s="12"/>
      <x:c r="M946" s="12"/>
      <x:c r="N946" s="12"/>
      <x:c r="O946" s="12"/>
      <x:c r="P946" s="12"/>
      <x:c r="Q946" s="12"/>
      <x:c r="R946" s="12"/>
      <x:c r="S946" s="12"/>
      <x:c r="T946" s="12"/>
      <x:c r="U946" s="12"/>
      <x:c r="V946" s="12"/>
      <x:c r="W946" s="12"/>
      <x:c r="X946" s="12"/>
      <x:c r="Y946" s="12"/>
      <x:c r="Z946" s="12"/>
      <x:c r="AA946" s="12"/>
      <x:c r="AB946" s="12"/>
      <x:c r="AC946" s="12"/>
      <x:c r="AD946" s="12"/>
      <x:c r="AE946" s="12"/>
      <x:c r="AF946" s="12"/>
      <x:c r="AG946" s="12"/>
    </x:row>
    <x:row r="947" ht="14.25" customHeight="1">
      <x:c r="A947" s="114"/>
      <x:c r="B947" s="114"/>
      <x:c r="C947" s="114"/>
      <x:c r="D947" s="114"/>
      <x:c r="E947" s="114"/>
      <x:c r="F947" s="114"/>
      <x:c r="G947" s="114"/>
      <x:c r="H947" s="114"/>
      <x:c r="I947" s="114"/>
      <x:c r="J947" s="114"/>
      <x:c r="K947" s="12"/>
      <x:c r="L947" s="12"/>
      <x:c r="M947" s="12"/>
      <x:c r="N947" s="12"/>
      <x:c r="O947" s="12"/>
      <x:c r="P947" s="12"/>
      <x:c r="Q947" s="12"/>
      <x:c r="R947" s="12"/>
      <x:c r="S947" s="12"/>
      <x:c r="T947" s="12"/>
      <x:c r="U947" s="12"/>
      <x:c r="V947" s="12"/>
      <x:c r="W947" s="12"/>
      <x:c r="X947" s="12"/>
      <x:c r="Y947" s="12"/>
      <x:c r="Z947" s="12"/>
      <x:c r="AA947" s="12"/>
      <x:c r="AB947" s="12"/>
      <x:c r="AC947" s="12"/>
      <x:c r="AD947" s="12"/>
      <x:c r="AE947" s="12"/>
      <x:c r="AF947" s="12"/>
      <x:c r="AG947" s="12"/>
    </x:row>
    <x:row r="948" ht="14.25" customHeight="1">
      <x:c r="A948" s="114"/>
      <x:c r="B948" s="114"/>
      <x:c r="C948" s="114"/>
      <x:c r="D948" s="114"/>
      <x:c r="E948" s="114"/>
      <x:c r="F948" s="114"/>
      <x:c r="G948" s="114"/>
      <x:c r="H948" s="114"/>
      <x:c r="I948" s="114"/>
      <x:c r="J948" s="114"/>
      <x:c r="K948" s="12"/>
      <x:c r="L948" s="12"/>
      <x:c r="M948" s="12"/>
      <x:c r="N948" s="12"/>
      <x:c r="O948" s="12"/>
      <x:c r="P948" s="12"/>
      <x:c r="Q948" s="12"/>
      <x:c r="R948" s="12"/>
      <x:c r="S948" s="12"/>
      <x:c r="T948" s="12"/>
      <x:c r="U948" s="12"/>
      <x:c r="V948" s="12"/>
      <x:c r="W948" s="12"/>
      <x:c r="X948" s="12"/>
      <x:c r="Y948" s="12"/>
      <x:c r="Z948" s="12"/>
      <x:c r="AA948" s="12"/>
      <x:c r="AB948" s="12"/>
      <x:c r="AC948" s="12"/>
      <x:c r="AD948" s="12"/>
      <x:c r="AE948" s="12"/>
      <x:c r="AF948" s="12"/>
      <x:c r="AG948" s="12"/>
    </x:row>
    <x:row r="949" ht="14.25" customHeight="1">
      <x:c r="A949" s="114"/>
      <x:c r="B949" s="114"/>
      <x:c r="C949" s="114"/>
      <x:c r="D949" s="114"/>
      <x:c r="E949" s="114"/>
      <x:c r="F949" s="114"/>
      <x:c r="G949" s="114"/>
      <x:c r="H949" s="114"/>
      <x:c r="I949" s="114"/>
      <x:c r="J949" s="114"/>
      <x:c r="K949" s="12"/>
      <x:c r="L949" s="12"/>
      <x:c r="M949" s="12"/>
      <x:c r="N949" s="12"/>
      <x:c r="O949" s="12"/>
      <x:c r="P949" s="12"/>
      <x:c r="Q949" s="12"/>
      <x:c r="R949" s="12"/>
      <x:c r="S949" s="12"/>
      <x:c r="T949" s="12"/>
      <x:c r="U949" s="12"/>
      <x:c r="V949" s="12"/>
      <x:c r="W949" s="12"/>
      <x:c r="X949" s="12"/>
      <x:c r="Y949" s="12"/>
      <x:c r="Z949" s="12"/>
      <x:c r="AA949" s="12"/>
      <x:c r="AB949" s="12"/>
      <x:c r="AC949" s="12"/>
      <x:c r="AD949" s="12"/>
      <x:c r="AE949" s="12"/>
      <x:c r="AF949" s="12"/>
      <x:c r="AG949" s="12"/>
    </x:row>
    <x:row r="950" ht="14.25" customHeight="1">
      <x:c r="A950" s="114"/>
      <x:c r="B950" s="114"/>
      <x:c r="C950" s="114"/>
      <x:c r="D950" s="114"/>
      <x:c r="E950" s="114"/>
      <x:c r="F950" s="114"/>
      <x:c r="G950" s="114"/>
      <x:c r="H950" s="114"/>
      <x:c r="I950" s="114"/>
      <x:c r="J950" s="114"/>
      <x:c r="K950" s="12"/>
      <x:c r="L950" s="12"/>
      <x:c r="M950" s="12"/>
      <x:c r="N950" s="12"/>
      <x:c r="O950" s="12"/>
      <x:c r="P950" s="12"/>
      <x:c r="Q950" s="12"/>
      <x:c r="R950" s="12"/>
      <x:c r="S950" s="12"/>
      <x:c r="T950" s="12"/>
      <x:c r="U950" s="12"/>
      <x:c r="V950" s="12"/>
      <x:c r="W950" s="12"/>
      <x:c r="X950" s="12"/>
      <x:c r="Y950" s="12"/>
      <x:c r="Z950" s="12"/>
      <x:c r="AA950" s="12"/>
      <x:c r="AB950" s="12"/>
      <x:c r="AC950" s="12"/>
      <x:c r="AD950" s="12"/>
      <x:c r="AE950" s="12"/>
      <x:c r="AF950" s="12"/>
      <x:c r="AG950" s="12"/>
    </x:row>
    <x:row r="951" ht="14.25" customHeight="1">
      <x:c r="A951" s="114"/>
      <x:c r="B951" s="114"/>
      <x:c r="C951" s="114"/>
      <x:c r="D951" s="114"/>
      <x:c r="E951" s="114"/>
      <x:c r="F951" s="114"/>
      <x:c r="G951" s="114"/>
      <x:c r="H951" s="114"/>
      <x:c r="I951" s="114"/>
      <x:c r="J951" s="114"/>
      <x:c r="K951" s="12"/>
      <x:c r="L951" s="12"/>
      <x:c r="M951" s="12"/>
      <x:c r="N951" s="12"/>
      <x:c r="O951" s="12"/>
      <x:c r="P951" s="12"/>
      <x:c r="Q951" s="12"/>
      <x:c r="R951" s="12"/>
      <x:c r="S951" s="12"/>
      <x:c r="T951" s="12"/>
      <x:c r="U951" s="12"/>
      <x:c r="V951" s="12"/>
      <x:c r="W951" s="12"/>
      <x:c r="X951" s="12"/>
      <x:c r="Y951" s="12"/>
      <x:c r="Z951" s="12"/>
      <x:c r="AA951" s="12"/>
      <x:c r="AB951" s="12"/>
      <x:c r="AC951" s="12"/>
      <x:c r="AD951" s="12"/>
      <x:c r="AE951" s="12"/>
      <x:c r="AF951" s="12"/>
      <x:c r="AG951" s="12"/>
    </x:row>
    <x:row r="952" ht="14.25" customHeight="1">
      <x:c r="A952" s="114"/>
      <x:c r="B952" s="114"/>
      <x:c r="C952" s="114"/>
      <x:c r="D952" s="114"/>
      <x:c r="E952" s="114"/>
      <x:c r="F952" s="114"/>
      <x:c r="G952" s="114"/>
      <x:c r="H952" s="114"/>
      <x:c r="I952" s="114"/>
      <x:c r="J952" s="114"/>
      <x:c r="K952" s="12"/>
      <x:c r="L952" s="12"/>
      <x:c r="M952" s="12"/>
      <x:c r="N952" s="12"/>
      <x:c r="O952" s="12"/>
      <x:c r="P952" s="12"/>
      <x:c r="Q952" s="12"/>
      <x:c r="R952" s="12"/>
      <x:c r="S952" s="12"/>
      <x:c r="T952" s="12"/>
      <x:c r="U952" s="12"/>
      <x:c r="V952" s="12"/>
      <x:c r="W952" s="12"/>
      <x:c r="X952" s="12"/>
      <x:c r="Y952" s="12"/>
      <x:c r="Z952" s="12"/>
      <x:c r="AA952" s="12"/>
      <x:c r="AB952" s="12"/>
      <x:c r="AC952" s="12"/>
      <x:c r="AD952" s="12"/>
      <x:c r="AE952" s="12"/>
      <x:c r="AF952" s="12"/>
      <x:c r="AG952" s="12"/>
    </x:row>
    <x:row r="953" ht="14.25" customHeight="1">
      <x:c r="A953" s="114"/>
      <x:c r="B953" s="114"/>
      <x:c r="C953" s="114"/>
      <x:c r="D953" s="114"/>
      <x:c r="E953" s="114"/>
      <x:c r="F953" s="114"/>
      <x:c r="G953" s="114"/>
      <x:c r="H953" s="114"/>
      <x:c r="I953" s="114"/>
      <x:c r="J953" s="114"/>
      <x:c r="K953" s="12"/>
      <x:c r="L953" s="12"/>
      <x:c r="M953" s="12"/>
      <x:c r="N953" s="12"/>
      <x:c r="O953" s="12"/>
      <x:c r="P953" s="12"/>
      <x:c r="Q953" s="12"/>
      <x:c r="R953" s="12"/>
      <x:c r="S953" s="12"/>
      <x:c r="T953" s="12"/>
      <x:c r="U953" s="12"/>
      <x:c r="V953" s="12"/>
      <x:c r="W953" s="12"/>
      <x:c r="X953" s="12"/>
      <x:c r="Y953" s="12"/>
      <x:c r="Z953" s="12"/>
      <x:c r="AA953" s="12"/>
      <x:c r="AB953" s="12"/>
      <x:c r="AC953" s="12"/>
      <x:c r="AD953" s="12"/>
      <x:c r="AE953" s="12"/>
      <x:c r="AF953" s="12"/>
      <x:c r="AG953" s="12"/>
    </x:row>
    <x:row r="954" ht="14.25" customHeight="1">
      <x:c r="A954" s="114"/>
      <x:c r="B954" s="114"/>
      <x:c r="C954" s="114"/>
      <x:c r="D954" s="114"/>
      <x:c r="E954" s="114"/>
      <x:c r="F954" s="114"/>
      <x:c r="G954" s="114"/>
      <x:c r="H954" s="114"/>
      <x:c r="I954" s="114"/>
      <x:c r="J954" s="114"/>
      <x:c r="K954" s="12"/>
      <x:c r="L954" s="12"/>
      <x:c r="M954" s="12"/>
      <x:c r="N954" s="12"/>
      <x:c r="O954" s="12"/>
      <x:c r="P954" s="12"/>
      <x:c r="Q954" s="12"/>
      <x:c r="R954" s="12"/>
      <x:c r="S954" s="12"/>
      <x:c r="T954" s="12"/>
      <x:c r="U954" s="12"/>
      <x:c r="V954" s="12"/>
      <x:c r="W954" s="12"/>
      <x:c r="X954" s="12"/>
      <x:c r="Y954" s="12"/>
      <x:c r="Z954" s="12"/>
      <x:c r="AA954" s="12"/>
      <x:c r="AB954" s="12"/>
      <x:c r="AC954" s="12"/>
      <x:c r="AD954" s="12"/>
      <x:c r="AE954" s="12"/>
      <x:c r="AF954" s="12"/>
      <x:c r="AG954" s="12"/>
    </x:row>
    <x:row r="955" ht="14.25" customHeight="1">
      <x:c r="A955" s="114"/>
      <x:c r="B955" s="114"/>
      <x:c r="C955" s="114"/>
      <x:c r="D955" s="114"/>
      <x:c r="E955" s="114"/>
      <x:c r="F955" s="114"/>
      <x:c r="G955" s="114"/>
      <x:c r="H955" s="114"/>
      <x:c r="I955" s="114"/>
      <x:c r="J955" s="114"/>
      <x:c r="K955" s="12"/>
      <x:c r="L955" s="12"/>
      <x:c r="M955" s="12"/>
      <x:c r="N955" s="12"/>
      <x:c r="O955" s="12"/>
      <x:c r="P955" s="12"/>
      <x:c r="Q955" s="12"/>
      <x:c r="R955" s="12"/>
      <x:c r="S955" s="12"/>
      <x:c r="T955" s="12"/>
      <x:c r="U955" s="12"/>
      <x:c r="V955" s="12"/>
      <x:c r="W955" s="12"/>
      <x:c r="X955" s="12"/>
      <x:c r="Y955" s="12"/>
      <x:c r="Z955" s="12"/>
      <x:c r="AA955" s="12"/>
      <x:c r="AB955" s="12"/>
      <x:c r="AC955" s="12"/>
      <x:c r="AD955" s="12"/>
      <x:c r="AE955" s="12"/>
      <x:c r="AF955" s="12"/>
      <x:c r="AG955" s="12"/>
    </x:row>
    <x:row r="956" ht="14.25" customHeight="1">
      <x:c r="A956" s="114"/>
      <x:c r="B956" s="114"/>
      <x:c r="C956" s="114"/>
      <x:c r="D956" s="114"/>
      <x:c r="E956" s="114"/>
      <x:c r="F956" s="114"/>
      <x:c r="G956" s="114"/>
      <x:c r="H956" s="114"/>
      <x:c r="I956" s="114"/>
      <x:c r="J956" s="114"/>
      <x:c r="K956" s="12"/>
      <x:c r="L956" s="12"/>
      <x:c r="M956" s="12"/>
      <x:c r="N956" s="12"/>
      <x:c r="O956" s="12"/>
      <x:c r="P956" s="12"/>
      <x:c r="Q956" s="12"/>
      <x:c r="R956" s="12"/>
      <x:c r="S956" s="12"/>
      <x:c r="T956" s="12"/>
      <x:c r="U956" s="12"/>
      <x:c r="V956" s="12"/>
      <x:c r="W956" s="12"/>
      <x:c r="X956" s="12"/>
      <x:c r="Y956" s="12"/>
      <x:c r="Z956" s="12"/>
      <x:c r="AA956" s="12"/>
      <x:c r="AB956" s="12"/>
      <x:c r="AC956" s="12"/>
      <x:c r="AD956" s="12"/>
      <x:c r="AE956" s="12"/>
      <x:c r="AF956" s="12"/>
      <x:c r="AG956" s="12"/>
    </x:row>
    <x:row r="957" ht="14.25" customHeight="1">
      <x:c r="A957" s="114"/>
      <x:c r="B957" s="114"/>
      <x:c r="C957" s="114"/>
      <x:c r="D957" s="114"/>
      <x:c r="E957" s="114"/>
      <x:c r="F957" s="114"/>
      <x:c r="G957" s="114"/>
      <x:c r="H957" s="114"/>
      <x:c r="I957" s="114"/>
      <x:c r="J957" s="114"/>
      <x:c r="K957" s="12"/>
      <x:c r="L957" s="12"/>
      <x:c r="M957" s="12"/>
      <x:c r="N957" s="12"/>
      <x:c r="O957" s="12"/>
      <x:c r="P957" s="12"/>
      <x:c r="Q957" s="12"/>
      <x:c r="R957" s="12"/>
      <x:c r="S957" s="12"/>
      <x:c r="T957" s="12"/>
      <x:c r="U957" s="12"/>
      <x:c r="V957" s="12"/>
      <x:c r="W957" s="12"/>
      <x:c r="X957" s="12"/>
      <x:c r="Y957" s="12"/>
      <x:c r="Z957" s="12"/>
      <x:c r="AA957" s="12"/>
      <x:c r="AB957" s="12"/>
      <x:c r="AC957" s="12"/>
      <x:c r="AD957" s="12"/>
      <x:c r="AE957" s="12"/>
      <x:c r="AF957" s="12"/>
      <x:c r="AG957" s="12"/>
    </x:row>
    <x:row r="958" ht="14.25" customHeight="1">
      <x:c r="A958" s="114"/>
      <x:c r="B958" s="114"/>
      <x:c r="C958" s="114"/>
      <x:c r="D958" s="114"/>
      <x:c r="E958" s="114"/>
      <x:c r="F958" s="114"/>
      <x:c r="G958" s="114"/>
      <x:c r="H958" s="114"/>
      <x:c r="I958" s="114"/>
      <x:c r="J958" s="114"/>
      <x:c r="K958" s="12"/>
      <x:c r="L958" s="12"/>
      <x:c r="M958" s="12"/>
      <x:c r="N958" s="12"/>
      <x:c r="O958" s="12"/>
      <x:c r="P958" s="12"/>
      <x:c r="Q958" s="12"/>
      <x:c r="R958" s="12"/>
      <x:c r="S958" s="12"/>
      <x:c r="T958" s="12"/>
      <x:c r="U958" s="12"/>
      <x:c r="V958" s="12"/>
      <x:c r="W958" s="12"/>
      <x:c r="X958" s="12"/>
      <x:c r="Y958" s="12"/>
      <x:c r="Z958" s="12"/>
      <x:c r="AA958" s="12"/>
      <x:c r="AB958" s="12"/>
      <x:c r="AC958" s="12"/>
      <x:c r="AD958" s="12"/>
      <x:c r="AE958" s="12"/>
      <x:c r="AF958" s="12"/>
      <x:c r="AG958" s="12"/>
    </x:row>
    <x:row r="959" ht="14.25" customHeight="1">
      <x:c r="A959" s="114"/>
      <x:c r="B959" s="114"/>
      <x:c r="C959" s="114"/>
      <x:c r="D959" s="114"/>
      <x:c r="E959" s="114"/>
      <x:c r="F959" s="114"/>
      <x:c r="G959" s="114"/>
      <x:c r="H959" s="114"/>
      <x:c r="I959" s="114"/>
      <x:c r="J959" s="114"/>
      <x:c r="K959" s="12"/>
      <x:c r="L959" s="12"/>
      <x:c r="M959" s="12"/>
      <x:c r="N959" s="12"/>
      <x:c r="O959" s="12"/>
      <x:c r="P959" s="12"/>
      <x:c r="Q959" s="12"/>
      <x:c r="R959" s="12"/>
      <x:c r="S959" s="12"/>
      <x:c r="T959" s="12"/>
      <x:c r="U959" s="12"/>
      <x:c r="V959" s="12"/>
      <x:c r="W959" s="12"/>
      <x:c r="X959" s="12"/>
      <x:c r="Y959" s="12"/>
      <x:c r="Z959" s="12"/>
      <x:c r="AA959" s="12"/>
      <x:c r="AB959" s="12"/>
      <x:c r="AC959" s="12"/>
      <x:c r="AD959" s="12"/>
      <x:c r="AE959" s="12"/>
      <x:c r="AF959" s="12"/>
      <x:c r="AG959" s="12"/>
    </x:row>
    <x:row r="960" ht="14.25" customHeight="1">
      <x:c r="A960" s="114"/>
      <x:c r="B960" s="114"/>
      <x:c r="C960" s="114"/>
      <x:c r="D960" s="114"/>
      <x:c r="E960" s="114"/>
      <x:c r="F960" s="114"/>
      <x:c r="G960" s="114"/>
      <x:c r="H960" s="114"/>
      <x:c r="I960" s="114"/>
      <x:c r="J960" s="114"/>
      <x:c r="K960" s="12"/>
      <x:c r="L960" s="12"/>
      <x:c r="M960" s="12"/>
      <x:c r="N960" s="12"/>
      <x:c r="O960" s="12"/>
      <x:c r="P960" s="12"/>
      <x:c r="Q960" s="12"/>
      <x:c r="R960" s="12"/>
      <x:c r="S960" s="12"/>
      <x:c r="T960" s="12"/>
      <x:c r="U960" s="12"/>
      <x:c r="V960" s="12"/>
      <x:c r="W960" s="12"/>
      <x:c r="X960" s="12"/>
      <x:c r="Y960" s="12"/>
      <x:c r="Z960" s="12"/>
      <x:c r="AA960" s="12"/>
      <x:c r="AB960" s="12"/>
      <x:c r="AC960" s="12"/>
      <x:c r="AD960" s="12"/>
      <x:c r="AE960" s="12"/>
      <x:c r="AF960" s="12"/>
      <x:c r="AG960" s="12"/>
    </x:row>
    <x:row r="961" ht="14.25" customHeight="1">
      <x:c r="A961" s="114"/>
      <x:c r="B961" s="114"/>
      <x:c r="C961" s="114"/>
      <x:c r="D961" s="114"/>
      <x:c r="E961" s="114"/>
      <x:c r="F961" s="114"/>
      <x:c r="G961" s="114"/>
      <x:c r="H961" s="114"/>
      <x:c r="I961" s="114"/>
      <x:c r="J961" s="114"/>
      <x:c r="K961" s="12"/>
      <x:c r="L961" s="12"/>
      <x:c r="M961" s="12"/>
      <x:c r="N961" s="12"/>
      <x:c r="O961" s="12"/>
      <x:c r="P961" s="12"/>
      <x:c r="Q961" s="12"/>
      <x:c r="R961" s="12"/>
      <x:c r="S961" s="12"/>
      <x:c r="T961" s="12"/>
      <x:c r="U961" s="12"/>
      <x:c r="V961" s="12"/>
      <x:c r="W961" s="12"/>
      <x:c r="X961" s="12"/>
      <x:c r="Y961" s="12"/>
      <x:c r="Z961" s="12"/>
      <x:c r="AA961" s="12"/>
      <x:c r="AB961" s="12"/>
      <x:c r="AC961" s="12"/>
      <x:c r="AD961" s="12"/>
      <x:c r="AE961" s="12"/>
      <x:c r="AF961" s="12"/>
      <x:c r="AG961" s="12"/>
    </x:row>
    <x:row r="962" ht="14.25" customHeight="1">
      <x:c r="A962" s="114"/>
      <x:c r="B962" s="114"/>
      <x:c r="C962" s="114"/>
      <x:c r="D962" s="114"/>
      <x:c r="E962" s="114"/>
      <x:c r="F962" s="114"/>
      <x:c r="G962" s="114"/>
      <x:c r="H962" s="114"/>
      <x:c r="I962" s="114"/>
      <x:c r="J962" s="114"/>
      <x:c r="K962" s="12"/>
      <x:c r="L962" s="12"/>
      <x:c r="M962" s="12"/>
      <x:c r="N962" s="12"/>
      <x:c r="O962" s="12"/>
      <x:c r="P962" s="12"/>
      <x:c r="Q962" s="12"/>
      <x:c r="R962" s="12"/>
      <x:c r="S962" s="12"/>
      <x:c r="T962" s="12"/>
      <x:c r="U962" s="12"/>
      <x:c r="V962" s="12"/>
      <x:c r="W962" s="12"/>
      <x:c r="X962" s="12"/>
      <x:c r="Y962" s="12"/>
      <x:c r="Z962" s="12"/>
      <x:c r="AA962" s="12"/>
      <x:c r="AB962" s="12"/>
      <x:c r="AC962" s="12"/>
      <x:c r="AD962" s="12"/>
      <x:c r="AE962" s="12"/>
      <x:c r="AF962" s="12"/>
      <x:c r="AG962" s="12"/>
    </x:row>
    <x:row r="963" ht="14.25" customHeight="1">
      <x:c r="A963" s="114"/>
      <x:c r="B963" s="114"/>
      <x:c r="C963" s="114"/>
      <x:c r="D963" s="114"/>
      <x:c r="E963" s="114"/>
      <x:c r="F963" s="114"/>
      <x:c r="G963" s="114"/>
      <x:c r="H963" s="114"/>
      <x:c r="I963" s="114"/>
      <x:c r="J963" s="114"/>
      <x:c r="K963" s="12"/>
      <x:c r="L963" s="12"/>
      <x:c r="M963" s="12"/>
      <x:c r="N963" s="12"/>
      <x:c r="O963" s="12"/>
      <x:c r="P963" s="12"/>
      <x:c r="Q963" s="12"/>
      <x:c r="R963" s="12"/>
      <x:c r="S963" s="12"/>
      <x:c r="T963" s="12"/>
      <x:c r="U963" s="12"/>
      <x:c r="V963" s="12"/>
      <x:c r="W963" s="12"/>
      <x:c r="X963" s="12"/>
      <x:c r="Y963" s="12"/>
      <x:c r="Z963" s="12"/>
      <x:c r="AA963" s="12"/>
      <x:c r="AB963" s="12"/>
      <x:c r="AC963" s="12"/>
      <x:c r="AD963" s="12"/>
      <x:c r="AE963" s="12"/>
      <x:c r="AF963" s="12"/>
      <x:c r="AG963" s="12"/>
    </x:row>
    <x:row r="964" ht="14.25" customHeight="1">
      <x:c r="A964" s="114"/>
      <x:c r="B964" s="114"/>
      <x:c r="C964" s="114"/>
      <x:c r="D964" s="114"/>
      <x:c r="E964" s="114"/>
      <x:c r="F964" s="114"/>
      <x:c r="G964" s="114"/>
      <x:c r="H964" s="114"/>
      <x:c r="I964" s="114"/>
      <x:c r="J964" s="114"/>
      <x:c r="K964" s="12"/>
      <x:c r="L964" s="12"/>
      <x:c r="M964" s="12"/>
      <x:c r="N964" s="12"/>
      <x:c r="O964" s="12"/>
      <x:c r="P964" s="12"/>
      <x:c r="Q964" s="12"/>
      <x:c r="R964" s="12"/>
      <x:c r="S964" s="12"/>
      <x:c r="T964" s="12"/>
      <x:c r="U964" s="12"/>
      <x:c r="V964" s="12"/>
      <x:c r="W964" s="12"/>
      <x:c r="X964" s="12"/>
      <x:c r="Y964" s="12"/>
      <x:c r="Z964" s="12"/>
      <x:c r="AA964" s="12"/>
      <x:c r="AB964" s="12"/>
      <x:c r="AC964" s="12"/>
      <x:c r="AD964" s="12"/>
      <x:c r="AE964" s="12"/>
      <x:c r="AF964" s="12"/>
      <x:c r="AG964" s="12"/>
    </x:row>
    <x:row r="965" ht="14.25" customHeight="1">
      <x:c r="A965" s="114"/>
      <x:c r="B965" s="114"/>
      <x:c r="C965" s="114"/>
      <x:c r="D965" s="114"/>
      <x:c r="E965" s="114"/>
      <x:c r="F965" s="114"/>
      <x:c r="G965" s="114"/>
      <x:c r="H965" s="114"/>
      <x:c r="I965" s="114"/>
      <x:c r="J965" s="114"/>
      <x:c r="K965" s="12"/>
      <x:c r="L965" s="12"/>
      <x:c r="M965" s="12"/>
      <x:c r="N965" s="12"/>
      <x:c r="O965" s="12"/>
      <x:c r="P965" s="12"/>
      <x:c r="Q965" s="12"/>
      <x:c r="R965" s="12"/>
      <x:c r="S965" s="12"/>
      <x:c r="T965" s="12"/>
      <x:c r="U965" s="12"/>
      <x:c r="V965" s="12"/>
      <x:c r="W965" s="12"/>
      <x:c r="X965" s="12"/>
      <x:c r="Y965" s="12"/>
      <x:c r="Z965" s="12"/>
      <x:c r="AA965" s="12"/>
      <x:c r="AB965" s="12"/>
      <x:c r="AC965" s="12"/>
      <x:c r="AD965" s="12"/>
      <x:c r="AE965" s="12"/>
      <x:c r="AF965" s="12"/>
      <x:c r="AG965" s="12"/>
    </x:row>
    <x:row r="966" ht="14.25" customHeight="1">
      <x:c r="A966" s="114"/>
      <x:c r="B966" s="114"/>
      <x:c r="C966" s="114"/>
      <x:c r="D966" s="114"/>
      <x:c r="E966" s="114"/>
      <x:c r="F966" s="114"/>
      <x:c r="G966" s="114"/>
      <x:c r="H966" s="114"/>
      <x:c r="I966" s="114"/>
      <x:c r="J966" s="114"/>
      <x:c r="K966" s="12"/>
      <x:c r="L966" s="12"/>
      <x:c r="M966" s="12"/>
      <x:c r="N966" s="12"/>
      <x:c r="O966" s="12"/>
      <x:c r="P966" s="12"/>
      <x:c r="Q966" s="12"/>
      <x:c r="R966" s="12"/>
      <x:c r="S966" s="12"/>
      <x:c r="T966" s="12"/>
      <x:c r="U966" s="12"/>
      <x:c r="V966" s="12"/>
      <x:c r="W966" s="12"/>
      <x:c r="X966" s="12"/>
      <x:c r="Y966" s="12"/>
      <x:c r="Z966" s="12"/>
      <x:c r="AA966" s="12"/>
      <x:c r="AB966" s="12"/>
      <x:c r="AC966" s="12"/>
      <x:c r="AD966" s="12"/>
      <x:c r="AE966" s="12"/>
      <x:c r="AF966" s="12"/>
      <x:c r="AG966" s="12"/>
    </x:row>
    <x:row r="967" ht="14.25" customHeight="1">
      <x:c r="A967" s="114"/>
      <x:c r="B967" s="114"/>
      <x:c r="C967" s="114"/>
      <x:c r="D967" s="114"/>
      <x:c r="E967" s="114"/>
      <x:c r="F967" s="114"/>
      <x:c r="G967" s="114"/>
      <x:c r="H967" s="114"/>
      <x:c r="I967" s="114"/>
      <x:c r="J967" s="114"/>
      <x:c r="K967" s="12"/>
      <x:c r="L967" s="12"/>
      <x:c r="M967" s="12"/>
      <x:c r="N967" s="12"/>
      <x:c r="O967" s="12"/>
      <x:c r="P967" s="12"/>
      <x:c r="Q967" s="12"/>
      <x:c r="R967" s="12"/>
      <x:c r="S967" s="12"/>
      <x:c r="T967" s="12"/>
      <x:c r="U967" s="12"/>
      <x:c r="V967" s="12"/>
      <x:c r="W967" s="12"/>
      <x:c r="X967" s="12"/>
      <x:c r="Y967" s="12"/>
      <x:c r="Z967" s="12"/>
      <x:c r="AA967" s="12"/>
      <x:c r="AB967" s="12"/>
      <x:c r="AC967" s="12"/>
      <x:c r="AD967" s="12"/>
      <x:c r="AE967" s="12"/>
      <x:c r="AF967" s="12"/>
      <x:c r="AG967" s="12"/>
    </x:row>
    <x:row r="968" ht="14.25" customHeight="1">
      <x:c r="A968" s="114"/>
      <x:c r="B968" s="114"/>
      <x:c r="C968" s="114"/>
      <x:c r="D968" s="114"/>
      <x:c r="E968" s="114"/>
      <x:c r="F968" s="114"/>
      <x:c r="G968" s="114"/>
      <x:c r="H968" s="114"/>
      <x:c r="I968" s="114"/>
      <x:c r="J968" s="114"/>
      <x:c r="K968" s="12"/>
      <x:c r="L968" s="12"/>
      <x:c r="M968" s="12"/>
      <x:c r="N968" s="12"/>
      <x:c r="O968" s="12"/>
      <x:c r="P968" s="12"/>
      <x:c r="Q968" s="12"/>
      <x:c r="R968" s="12"/>
      <x:c r="S968" s="12"/>
      <x:c r="T968" s="12"/>
      <x:c r="U968" s="12"/>
      <x:c r="V968" s="12"/>
      <x:c r="W968" s="12"/>
      <x:c r="X968" s="12"/>
      <x:c r="Y968" s="12"/>
      <x:c r="Z968" s="12"/>
      <x:c r="AA968" s="12"/>
      <x:c r="AB968" s="12"/>
      <x:c r="AC968" s="12"/>
      <x:c r="AD968" s="12"/>
      <x:c r="AE968" s="12"/>
      <x:c r="AF968" s="12"/>
      <x:c r="AG968" s="12"/>
    </x:row>
    <x:row r="969" ht="14.25" customHeight="1">
      <x:c r="A969" s="114"/>
      <x:c r="B969" s="114"/>
      <x:c r="C969" s="114"/>
      <x:c r="D969" s="114"/>
      <x:c r="E969" s="114"/>
      <x:c r="F969" s="114"/>
      <x:c r="G969" s="114"/>
      <x:c r="H969" s="114"/>
      <x:c r="I969" s="114"/>
      <x:c r="J969" s="114"/>
      <x:c r="K969" s="12"/>
      <x:c r="L969" s="12"/>
      <x:c r="M969" s="12"/>
      <x:c r="N969" s="12"/>
      <x:c r="O969" s="12"/>
      <x:c r="P969" s="12"/>
      <x:c r="Q969" s="12"/>
      <x:c r="R969" s="12"/>
      <x:c r="S969" s="12"/>
      <x:c r="T969" s="12"/>
      <x:c r="U969" s="12"/>
      <x:c r="V969" s="12"/>
      <x:c r="W969" s="12"/>
      <x:c r="X969" s="12"/>
      <x:c r="Y969" s="12"/>
      <x:c r="Z969" s="12"/>
      <x:c r="AA969" s="12"/>
      <x:c r="AB969" s="12"/>
      <x:c r="AC969" s="12"/>
      <x:c r="AD969" s="12"/>
      <x:c r="AE969" s="12"/>
      <x:c r="AF969" s="12"/>
      <x:c r="AG969" s="12"/>
    </x:row>
    <x:row r="970" ht="14.25" customHeight="1">
      <x:c r="A970" s="114"/>
      <x:c r="B970" s="114"/>
      <x:c r="C970" s="114"/>
      <x:c r="D970" s="114"/>
      <x:c r="E970" s="114"/>
      <x:c r="F970" s="114"/>
      <x:c r="G970" s="114"/>
      <x:c r="H970" s="114"/>
      <x:c r="I970" s="114"/>
      <x:c r="J970" s="114"/>
      <x:c r="K970" s="12"/>
      <x:c r="L970" s="12"/>
      <x:c r="M970" s="12"/>
      <x:c r="N970" s="12"/>
      <x:c r="O970" s="12"/>
      <x:c r="P970" s="12"/>
      <x:c r="Q970" s="12"/>
      <x:c r="R970" s="12"/>
      <x:c r="S970" s="12"/>
      <x:c r="T970" s="12"/>
      <x:c r="U970" s="12"/>
      <x:c r="V970" s="12"/>
      <x:c r="W970" s="12"/>
      <x:c r="X970" s="12"/>
      <x:c r="Y970" s="12"/>
      <x:c r="Z970" s="12"/>
      <x:c r="AA970" s="12"/>
      <x:c r="AB970" s="12"/>
      <x:c r="AC970" s="12"/>
      <x:c r="AD970" s="12"/>
      <x:c r="AE970" s="12"/>
      <x:c r="AF970" s="12"/>
      <x:c r="AG970" s="12"/>
    </x:row>
    <x:row r="971" ht="14.25" customHeight="1">
      <x:c r="A971" s="114"/>
      <x:c r="B971" s="114"/>
      <x:c r="C971" s="114"/>
      <x:c r="D971" s="114"/>
      <x:c r="E971" s="114"/>
      <x:c r="F971" s="114"/>
      <x:c r="G971" s="114"/>
      <x:c r="H971" s="114"/>
      <x:c r="I971" s="114"/>
      <x:c r="J971" s="114"/>
      <x:c r="K971" s="12"/>
      <x:c r="L971" s="12"/>
      <x:c r="M971" s="12"/>
      <x:c r="N971" s="12"/>
      <x:c r="O971" s="12"/>
      <x:c r="P971" s="12"/>
      <x:c r="Q971" s="12"/>
      <x:c r="R971" s="12"/>
      <x:c r="S971" s="12"/>
      <x:c r="T971" s="12"/>
      <x:c r="U971" s="12"/>
      <x:c r="V971" s="12"/>
      <x:c r="W971" s="12"/>
      <x:c r="X971" s="12"/>
      <x:c r="Y971" s="12"/>
      <x:c r="Z971" s="12"/>
      <x:c r="AA971" s="12"/>
      <x:c r="AB971" s="12"/>
      <x:c r="AC971" s="12"/>
      <x:c r="AD971" s="12"/>
      <x:c r="AE971" s="12"/>
      <x:c r="AF971" s="12"/>
      <x:c r="AG971" s="12"/>
    </x:row>
    <x:row r="972" ht="14.25" customHeight="1">
      <x:c r="A972" s="114"/>
      <x:c r="B972" s="114"/>
      <x:c r="C972" s="114"/>
      <x:c r="D972" s="114"/>
      <x:c r="E972" s="114"/>
      <x:c r="F972" s="114"/>
      <x:c r="G972" s="114"/>
      <x:c r="H972" s="114"/>
      <x:c r="I972" s="114"/>
      <x:c r="J972" s="114"/>
      <x:c r="K972" s="12"/>
      <x:c r="L972" s="12"/>
      <x:c r="M972" s="12"/>
      <x:c r="N972" s="12"/>
      <x:c r="O972" s="12"/>
      <x:c r="P972" s="12"/>
      <x:c r="Q972" s="12"/>
      <x:c r="R972" s="12"/>
      <x:c r="S972" s="12"/>
      <x:c r="T972" s="12"/>
      <x:c r="U972" s="12"/>
      <x:c r="V972" s="12"/>
      <x:c r="W972" s="12"/>
      <x:c r="X972" s="12"/>
      <x:c r="Y972" s="12"/>
      <x:c r="Z972" s="12"/>
      <x:c r="AA972" s="12"/>
      <x:c r="AB972" s="12"/>
      <x:c r="AC972" s="12"/>
      <x:c r="AD972" s="12"/>
      <x:c r="AE972" s="12"/>
      <x:c r="AF972" s="12"/>
      <x:c r="AG972" s="12"/>
    </x:row>
    <x:row r="973" ht="14.25" customHeight="1">
      <x:c r="A973" s="114"/>
      <x:c r="B973" s="114"/>
      <x:c r="C973" s="114"/>
      <x:c r="D973" s="114"/>
      <x:c r="E973" s="114"/>
      <x:c r="F973" s="114"/>
      <x:c r="G973" s="114"/>
      <x:c r="H973" s="114"/>
      <x:c r="I973" s="114"/>
      <x:c r="J973" s="114"/>
      <x:c r="K973" s="12"/>
      <x:c r="L973" s="12"/>
      <x:c r="M973" s="12"/>
      <x:c r="N973" s="12"/>
      <x:c r="O973" s="12"/>
      <x:c r="P973" s="12"/>
      <x:c r="Q973" s="12"/>
      <x:c r="R973" s="12"/>
      <x:c r="S973" s="12"/>
      <x:c r="T973" s="12"/>
      <x:c r="U973" s="12"/>
      <x:c r="V973" s="12"/>
      <x:c r="W973" s="12"/>
      <x:c r="X973" s="12"/>
      <x:c r="Y973" s="12"/>
      <x:c r="Z973" s="12"/>
      <x:c r="AA973" s="12"/>
      <x:c r="AB973" s="12"/>
      <x:c r="AC973" s="12"/>
      <x:c r="AD973" s="12"/>
      <x:c r="AE973" s="12"/>
      <x:c r="AF973" s="12"/>
      <x:c r="AG973" s="12"/>
    </x:row>
    <x:row r="974" ht="14.25" customHeight="1">
      <x:c r="A974" s="114"/>
      <x:c r="B974" s="114"/>
      <x:c r="C974" s="114"/>
      <x:c r="D974" s="114"/>
      <x:c r="E974" s="114"/>
      <x:c r="F974" s="114"/>
      <x:c r="G974" s="114"/>
      <x:c r="H974" s="114"/>
      <x:c r="I974" s="114"/>
      <x:c r="J974" s="114"/>
      <x:c r="K974" s="12"/>
      <x:c r="L974" s="12"/>
      <x:c r="M974" s="12"/>
      <x:c r="N974" s="12"/>
      <x:c r="O974" s="12"/>
      <x:c r="P974" s="12"/>
      <x:c r="Q974" s="12"/>
      <x:c r="R974" s="12"/>
      <x:c r="S974" s="12"/>
      <x:c r="T974" s="12"/>
      <x:c r="U974" s="12"/>
      <x:c r="V974" s="12"/>
      <x:c r="W974" s="12"/>
      <x:c r="X974" s="12"/>
      <x:c r="Y974" s="12"/>
      <x:c r="Z974" s="12"/>
      <x:c r="AA974" s="12"/>
      <x:c r="AB974" s="12"/>
      <x:c r="AC974" s="12"/>
      <x:c r="AD974" s="12"/>
      <x:c r="AE974" s="12"/>
      <x:c r="AF974" s="12"/>
      <x:c r="AG974" s="12"/>
    </x:row>
    <x:row r="975" ht="14.25" customHeight="1">
      <x:c r="A975" s="114"/>
      <x:c r="B975" s="114"/>
      <x:c r="C975" s="114"/>
      <x:c r="D975" s="114"/>
      <x:c r="E975" s="114"/>
      <x:c r="F975" s="114"/>
      <x:c r="G975" s="114"/>
      <x:c r="H975" s="114"/>
      <x:c r="I975" s="114"/>
      <x:c r="J975" s="114"/>
      <x:c r="K975" s="12"/>
      <x:c r="L975" s="12"/>
      <x:c r="M975" s="12"/>
      <x:c r="N975" s="12"/>
      <x:c r="O975" s="12"/>
      <x:c r="P975" s="12"/>
      <x:c r="Q975" s="12"/>
      <x:c r="R975" s="12"/>
      <x:c r="S975" s="12"/>
      <x:c r="T975" s="12"/>
      <x:c r="U975" s="12"/>
      <x:c r="V975" s="12"/>
      <x:c r="W975" s="12"/>
      <x:c r="X975" s="12"/>
      <x:c r="Y975" s="12"/>
      <x:c r="Z975" s="12"/>
      <x:c r="AA975" s="12"/>
      <x:c r="AB975" s="12"/>
      <x:c r="AC975" s="12"/>
      <x:c r="AD975" s="12"/>
      <x:c r="AE975" s="12"/>
      <x:c r="AF975" s="12"/>
      <x:c r="AG975" s="12"/>
    </x:row>
    <x:row r="976" ht="14.25" customHeight="1">
      <x:c r="A976" s="114"/>
      <x:c r="B976" s="114"/>
      <x:c r="C976" s="114"/>
      <x:c r="D976" s="114"/>
      <x:c r="E976" s="114"/>
      <x:c r="F976" s="114"/>
      <x:c r="G976" s="114"/>
      <x:c r="H976" s="114"/>
      <x:c r="I976" s="114"/>
      <x:c r="J976" s="114"/>
      <x:c r="K976" s="12"/>
      <x:c r="L976" s="12"/>
      <x:c r="M976" s="12"/>
      <x:c r="N976" s="12"/>
      <x:c r="O976" s="12"/>
      <x:c r="P976" s="12"/>
      <x:c r="Q976" s="12"/>
      <x:c r="R976" s="12"/>
      <x:c r="S976" s="12"/>
      <x:c r="T976" s="12"/>
      <x:c r="U976" s="12"/>
      <x:c r="V976" s="12"/>
      <x:c r="W976" s="12"/>
      <x:c r="X976" s="12"/>
      <x:c r="Y976" s="12"/>
      <x:c r="Z976" s="12"/>
      <x:c r="AA976" s="12"/>
      <x:c r="AB976" s="12"/>
      <x:c r="AC976" s="12"/>
      <x:c r="AD976" s="12"/>
      <x:c r="AE976" s="12"/>
      <x:c r="AF976" s="12"/>
      <x:c r="AG976" s="12"/>
    </x:row>
    <x:row r="977" ht="14.25" customHeight="1">
      <x:c r="A977" s="114"/>
      <x:c r="B977" s="114"/>
      <x:c r="C977" s="114"/>
      <x:c r="D977" s="114"/>
      <x:c r="E977" s="114"/>
      <x:c r="F977" s="114"/>
      <x:c r="G977" s="114"/>
      <x:c r="H977" s="114"/>
      <x:c r="I977" s="114"/>
      <x:c r="J977" s="114"/>
      <x:c r="K977" s="12"/>
      <x:c r="L977" s="12"/>
      <x:c r="M977" s="12"/>
      <x:c r="N977" s="12"/>
      <x:c r="O977" s="12"/>
      <x:c r="P977" s="12"/>
      <x:c r="Q977" s="12"/>
      <x:c r="R977" s="12"/>
      <x:c r="S977" s="12"/>
      <x:c r="T977" s="12"/>
      <x:c r="U977" s="12"/>
      <x:c r="V977" s="12"/>
      <x:c r="W977" s="12"/>
      <x:c r="X977" s="12"/>
      <x:c r="Y977" s="12"/>
      <x:c r="Z977" s="12"/>
      <x:c r="AA977" s="12"/>
      <x:c r="AB977" s="12"/>
      <x:c r="AC977" s="12"/>
      <x:c r="AD977" s="12"/>
      <x:c r="AE977" s="12"/>
      <x:c r="AF977" s="12"/>
      <x:c r="AG977" s="12"/>
    </x:row>
    <x:row r="978" ht="14.25" customHeight="1">
      <x:c r="A978" s="114"/>
      <x:c r="B978" s="114"/>
      <x:c r="C978" s="114"/>
      <x:c r="D978" s="114"/>
      <x:c r="E978" s="114"/>
      <x:c r="F978" s="114"/>
      <x:c r="G978" s="114"/>
      <x:c r="H978" s="114"/>
      <x:c r="I978" s="114"/>
      <x:c r="J978" s="114"/>
      <x:c r="K978" s="12"/>
      <x:c r="L978" s="12"/>
      <x:c r="M978" s="12"/>
      <x:c r="N978" s="12"/>
      <x:c r="O978" s="12"/>
      <x:c r="P978" s="12"/>
      <x:c r="Q978" s="12"/>
      <x:c r="R978" s="12"/>
      <x:c r="S978" s="12"/>
      <x:c r="T978" s="12"/>
      <x:c r="U978" s="12"/>
      <x:c r="V978" s="12"/>
      <x:c r="W978" s="12"/>
      <x:c r="X978" s="12"/>
      <x:c r="Y978" s="12"/>
      <x:c r="Z978" s="12"/>
      <x:c r="AA978" s="12"/>
      <x:c r="AB978" s="12"/>
      <x:c r="AC978" s="12"/>
      <x:c r="AD978" s="12"/>
      <x:c r="AE978" s="12"/>
      <x:c r="AF978" s="12"/>
      <x:c r="AG978" s="12"/>
    </x:row>
    <x:row r="979" ht="14.25" customHeight="1">
      <x:c r="A979" s="114"/>
      <x:c r="B979" s="114"/>
      <x:c r="C979" s="114"/>
      <x:c r="D979" s="114"/>
      <x:c r="E979" s="114"/>
      <x:c r="F979" s="114"/>
      <x:c r="G979" s="114"/>
      <x:c r="H979" s="114"/>
      <x:c r="I979" s="114"/>
      <x:c r="J979" s="114"/>
      <x:c r="K979" s="12"/>
      <x:c r="L979" s="12"/>
      <x:c r="M979" s="12"/>
      <x:c r="N979" s="12"/>
      <x:c r="O979" s="12"/>
      <x:c r="P979" s="12"/>
      <x:c r="Q979" s="12"/>
      <x:c r="R979" s="12"/>
      <x:c r="S979" s="12"/>
      <x:c r="T979" s="12"/>
      <x:c r="U979" s="12"/>
      <x:c r="V979" s="12"/>
      <x:c r="W979" s="12"/>
      <x:c r="X979" s="12"/>
      <x:c r="Y979" s="12"/>
      <x:c r="Z979" s="12"/>
      <x:c r="AA979" s="12"/>
      <x:c r="AB979" s="12"/>
      <x:c r="AC979" s="12"/>
      <x:c r="AD979" s="12"/>
      <x:c r="AE979" s="12"/>
      <x:c r="AF979" s="12"/>
      <x:c r="AG979" s="12"/>
    </x:row>
    <x:row r="980" ht="14.25" customHeight="1">
      <x:c r="A980" s="114"/>
      <x:c r="B980" s="114"/>
      <x:c r="C980" s="114"/>
      <x:c r="D980" s="114"/>
      <x:c r="E980" s="114"/>
      <x:c r="F980" s="114"/>
      <x:c r="G980" s="114"/>
      <x:c r="H980" s="114"/>
      <x:c r="I980" s="114"/>
      <x:c r="J980" s="114"/>
      <x:c r="K980" s="12"/>
      <x:c r="L980" s="12"/>
      <x:c r="M980" s="12"/>
      <x:c r="N980" s="12"/>
      <x:c r="O980" s="12"/>
      <x:c r="P980" s="12"/>
      <x:c r="Q980" s="12"/>
      <x:c r="R980" s="12"/>
      <x:c r="S980" s="12"/>
      <x:c r="T980" s="12"/>
      <x:c r="U980" s="12"/>
      <x:c r="V980" s="12"/>
      <x:c r="W980" s="12"/>
      <x:c r="X980" s="12"/>
      <x:c r="Y980" s="12"/>
      <x:c r="Z980" s="12"/>
      <x:c r="AA980" s="12"/>
      <x:c r="AB980" s="12"/>
      <x:c r="AC980" s="12"/>
      <x:c r="AD980" s="12"/>
      <x:c r="AE980" s="12"/>
      <x:c r="AF980" s="12"/>
      <x:c r="AG980" s="12"/>
    </x:row>
    <x:row r="981" ht="14.25" customHeight="1">
      <x:c r="A981" s="114"/>
      <x:c r="B981" s="114"/>
      <x:c r="C981" s="114"/>
      <x:c r="D981" s="114"/>
      <x:c r="E981" s="114"/>
      <x:c r="F981" s="114"/>
      <x:c r="G981" s="114"/>
      <x:c r="H981" s="114"/>
      <x:c r="I981" s="114"/>
      <x:c r="J981" s="114"/>
      <x:c r="K981" s="12"/>
      <x:c r="L981" s="12"/>
      <x:c r="M981" s="12"/>
      <x:c r="N981" s="12"/>
      <x:c r="O981" s="12"/>
      <x:c r="P981" s="12"/>
      <x:c r="Q981" s="12"/>
      <x:c r="R981" s="12"/>
      <x:c r="S981" s="12"/>
      <x:c r="T981" s="12"/>
      <x:c r="U981" s="12"/>
      <x:c r="V981" s="12"/>
      <x:c r="W981" s="12"/>
      <x:c r="X981" s="12"/>
      <x:c r="Y981" s="12"/>
      <x:c r="Z981" s="12"/>
      <x:c r="AA981" s="12"/>
      <x:c r="AB981" s="12"/>
      <x:c r="AC981" s="12"/>
      <x:c r="AD981" s="12"/>
      <x:c r="AE981" s="12"/>
      <x:c r="AF981" s="12"/>
      <x:c r="AG981" s="12"/>
    </x:row>
    <x:row r="982" ht="14.25" customHeight="1">
      <x:c r="A982" s="114"/>
      <x:c r="B982" s="114"/>
      <x:c r="C982" s="114"/>
      <x:c r="D982" s="114"/>
      <x:c r="E982" s="114"/>
      <x:c r="F982" s="114"/>
      <x:c r="G982" s="114"/>
      <x:c r="H982" s="114"/>
      <x:c r="I982" s="114"/>
      <x:c r="J982" s="114"/>
      <x:c r="K982" s="12"/>
      <x:c r="L982" s="12"/>
      <x:c r="M982" s="12"/>
      <x:c r="N982" s="12"/>
      <x:c r="O982" s="12"/>
      <x:c r="P982" s="12"/>
      <x:c r="Q982" s="12"/>
      <x:c r="R982" s="12"/>
      <x:c r="S982" s="12"/>
      <x:c r="T982" s="12"/>
      <x:c r="U982" s="12"/>
      <x:c r="V982" s="12"/>
      <x:c r="W982" s="12"/>
      <x:c r="X982" s="12"/>
      <x:c r="Y982" s="12"/>
      <x:c r="Z982" s="12"/>
      <x:c r="AA982" s="12"/>
      <x:c r="AB982" s="12"/>
      <x:c r="AC982" s="12"/>
      <x:c r="AD982" s="12"/>
      <x:c r="AE982" s="12"/>
      <x:c r="AF982" s="12"/>
      <x:c r="AG982" s="12"/>
    </x:row>
    <x:row r="983" ht="14.25" customHeight="1">
      <x:c r="A983" s="114"/>
      <x:c r="B983" s="114"/>
      <x:c r="C983" s="114"/>
      <x:c r="D983" s="114"/>
      <x:c r="E983" s="114"/>
      <x:c r="F983" s="114"/>
      <x:c r="G983" s="114"/>
      <x:c r="H983" s="114"/>
      <x:c r="I983" s="114"/>
      <x:c r="J983" s="114"/>
      <x:c r="K983" s="12"/>
      <x:c r="L983" s="12"/>
      <x:c r="M983" s="12"/>
      <x:c r="N983" s="12"/>
      <x:c r="O983" s="12"/>
      <x:c r="P983" s="12"/>
      <x:c r="Q983" s="12"/>
      <x:c r="R983" s="12"/>
      <x:c r="S983" s="12"/>
      <x:c r="T983" s="12"/>
      <x:c r="U983" s="12"/>
      <x:c r="V983" s="12"/>
      <x:c r="W983" s="12"/>
      <x:c r="X983" s="12"/>
      <x:c r="Y983" s="12"/>
      <x:c r="Z983" s="12"/>
      <x:c r="AA983" s="12"/>
      <x:c r="AB983" s="12"/>
      <x:c r="AC983" s="12"/>
      <x:c r="AD983" s="12"/>
      <x:c r="AE983" s="12"/>
      <x:c r="AF983" s="12"/>
      <x:c r="AG983" s="12"/>
    </x:row>
    <x:row r="984" ht="14.25" customHeight="1">
      <x:c r="A984" s="114"/>
      <x:c r="B984" s="114"/>
      <x:c r="C984" s="114"/>
      <x:c r="D984" s="114"/>
      <x:c r="E984" s="114"/>
      <x:c r="F984" s="114"/>
      <x:c r="G984" s="114"/>
      <x:c r="H984" s="114"/>
      <x:c r="I984" s="114"/>
      <x:c r="J984" s="114"/>
      <x:c r="K984" s="12"/>
      <x:c r="L984" s="12"/>
      <x:c r="M984" s="12"/>
      <x:c r="N984" s="12"/>
      <x:c r="O984" s="12"/>
      <x:c r="P984" s="12"/>
      <x:c r="Q984" s="12"/>
      <x:c r="R984" s="12"/>
      <x:c r="S984" s="12"/>
      <x:c r="T984" s="12"/>
      <x:c r="U984" s="12"/>
      <x:c r="V984" s="12"/>
      <x:c r="W984" s="12"/>
      <x:c r="X984" s="12"/>
      <x:c r="Y984" s="12"/>
      <x:c r="Z984" s="12"/>
      <x:c r="AA984" s="12"/>
      <x:c r="AB984" s="12"/>
      <x:c r="AC984" s="12"/>
      <x:c r="AD984" s="12"/>
      <x:c r="AE984" s="12"/>
      <x:c r="AF984" s="12"/>
      <x:c r="AG984" s="12"/>
    </x:row>
    <x:row r="985" ht="14.25" customHeight="1">
      <x:c r="A985" s="114"/>
      <x:c r="B985" s="114"/>
      <x:c r="C985" s="114"/>
      <x:c r="D985" s="114"/>
      <x:c r="E985" s="114"/>
      <x:c r="F985" s="114"/>
      <x:c r="G985" s="114"/>
      <x:c r="H985" s="114"/>
      <x:c r="I985" s="114"/>
      <x:c r="J985" s="114"/>
      <x:c r="K985" s="12"/>
      <x:c r="L985" s="12"/>
      <x:c r="M985" s="12"/>
      <x:c r="N985" s="12"/>
      <x:c r="O985" s="12"/>
      <x:c r="P985" s="12"/>
      <x:c r="Q985" s="12"/>
      <x:c r="R985" s="12"/>
      <x:c r="S985" s="12"/>
      <x:c r="T985" s="12"/>
      <x:c r="U985" s="12"/>
      <x:c r="V985" s="12"/>
      <x:c r="W985" s="12"/>
      <x:c r="X985" s="12"/>
      <x:c r="Y985" s="12"/>
      <x:c r="Z985" s="12"/>
      <x:c r="AA985" s="12"/>
      <x:c r="AB985" s="12"/>
      <x:c r="AC985" s="12"/>
      <x:c r="AD985" s="12"/>
      <x:c r="AE985" s="12"/>
      <x:c r="AF985" s="12"/>
      <x:c r="AG985" s="12"/>
    </x:row>
    <x:row r="986" ht="14.25" customHeight="1">
      <x:c r="A986" s="114"/>
      <x:c r="B986" s="114"/>
      <x:c r="C986" s="114"/>
      <x:c r="D986" s="114"/>
      <x:c r="E986" s="114"/>
      <x:c r="F986" s="114"/>
      <x:c r="G986" s="114"/>
      <x:c r="H986" s="114"/>
      <x:c r="I986" s="114"/>
      <x:c r="J986" s="114"/>
      <x:c r="K986" s="12"/>
      <x:c r="L986" s="12"/>
      <x:c r="M986" s="12"/>
      <x:c r="N986" s="12"/>
      <x:c r="O986" s="12"/>
      <x:c r="P986" s="12"/>
      <x:c r="Q986" s="12"/>
      <x:c r="R986" s="12"/>
      <x:c r="S986" s="12"/>
      <x:c r="T986" s="12"/>
      <x:c r="U986" s="12"/>
      <x:c r="V986" s="12"/>
      <x:c r="W986" s="12"/>
      <x:c r="X986" s="12"/>
      <x:c r="Y986" s="12"/>
      <x:c r="Z986" s="12"/>
      <x:c r="AA986" s="12"/>
      <x:c r="AB986" s="12"/>
      <x:c r="AC986" s="12"/>
      <x:c r="AD986" s="12"/>
      <x:c r="AE986" s="12"/>
      <x:c r="AF986" s="12"/>
      <x:c r="AG986" s="12"/>
    </x:row>
    <x:row r="987" ht="14.25" customHeight="1">
      <x:c r="A987" s="114"/>
      <x:c r="B987" s="114"/>
      <x:c r="C987" s="114"/>
      <x:c r="D987" s="114"/>
      <x:c r="E987" s="114"/>
      <x:c r="F987" s="114"/>
      <x:c r="G987" s="114"/>
      <x:c r="H987" s="114"/>
      <x:c r="I987" s="114"/>
      <x:c r="J987" s="114"/>
      <x:c r="K987" s="12"/>
      <x:c r="L987" s="12"/>
      <x:c r="M987" s="12"/>
      <x:c r="N987" s="12"/>
      <x:c r="O987" s="12"/>
      <x:c r="P987" s="12"/>
      <x:c r="Q987" s="12"/>
      <x:c r="R987" s="12"/>
      <x:c r="S987" s="12"/>
      <x:c r="T987" s="12"/>
      <x:c r="U987" s="12"/>
      <x:c r="V987" s="12"/>
      <x:c r="W987" s="12"/>
      <x:c r="X987" s="12"/>
      <x:c r="Y987" s="12"/>
      <x:c r="Z987" s="12"/>
      <x:c r="AA987" s="12"/>
      <x:c r="AB987" s="12"/>
      <x:c r="AC987" s="12"/>
      <x:c r="AD987" s="12"/>
      <x:c r="AE987" s="12"/>
      <x:c r="AF987" s="12"/>
      <x:c r="AG987" s="12"/>
    </x:row>
    <x:row r="988" ht="14.25" customHeight="1">
      <x:c r="A988" s="114"/>
      <x:c r="B988" s="114"/>
      <x:c r="C988" s="114"/>
      <x:c r="D988" s="114"/>
      <x:c r="E988" s="114"/>
      <x:c r="F988" s="114"/>
      <x:c r="G988" s="114"/>
      <x:c r="H988" s="114"/>
      <x:c r="I988" s="114"/>
      <x:c r="J988" s="114"/>
      <x:c r="K988" s="12"/>
      <x:c r="L988" s="12"/>
      <x:c r="M988" s="12"/>
      <x:c r="N988" s="12"/>
      <x:c r="O988" s="12"/>
      <x:c r="P988" s="12"/>
      <x:c r="Q988" s="12"/>
      <x:c r="R988" s="12"/>
      <x:c r="S988" s="12"/>
      <x:c r="T988" s="12"/>
      <x:c r="U988" s="12"/>
      <x:c r="V988" s="12"/>
      <x:c r="W988" s="12"/>
      <x:c r="X988" s="12"/>
      <x:c r="Y988" s="12"/>
      <x:c r="Z988" s="12"/>
      <x:c r="AA988" s="12"/>
      <x:c r="AB988" s="12"/>
      <x:c r="AC988" s="12"/>
      <x:c r="AD988" s="12"/>
      <x:c r="AE988" s="12"/>
      <x:c r="AF988" s="12"/>
      <x:c r="AG988" s="12"/>
    </x:row>
    <x:row r="989" ht="14.25" customHeight="1">
      <x:c r="A989" s="114"/>
      <x:c r="B989" s="114"/>
      <x:c r="C989" s="114"/>
      <x:c r="D989" s="114"/>
      <x:c r="E989" s="114"/>
      <x:c r="F989" s="114"/>
      <x:c r="G989" s="114"/>
      <x:c r="H989" s="114"/>
      <x:c r="I989" s="114"/>
      <x:c r="J989" s="114"/>
      <x:c r="K989" s="12"/>
      <x:c r="L989" s="12"/>
      <x:c r="M989" s="12"/>
      <x:c r="N989" s="12"/>
      <x:c r="O989" s="12"/>
      <x:c r="P989" s="12"/>
      <x:c r="Q989" s="12"/>
      <x:c r="R989" s="12"/>
      <x:c r="S989" s="12"/>
      <x:c r="T989" s="12"/>
      <x:c r="U989" s="12"/>
      <x:c r="V989" s="12"/>
      <x:c r="W989" s="12"/>
      <x:c r="X989" s="12"/>
      <x:c r="Y989" s="12"/>
      <x:c r="Z989" s="12"/>
      <x:c r="AA989" s="12"/>
      <x:c r="AB989" s="12"/>
      <x:c r="AC989" s="12"/>
      <x:c r="AD989" s="12"/>
      <x:c r="AE989" s="12"/>
      <x:c r="AF989" s="12"/>
      <x:c r="AG989" s="12"/>
    </x:row>
    <x:row r="990" ht="14.25" customHeight="1">
      <x:c r="A990" s="114"/>
      <x:c r="B990" s="114"/>
      <x:c r="C990" s="114"/>
      <x:c r="D990" s="114"/>
      <x:c r="E990" s="114"/>
      <x:c r="F990" s="114"/>
      <x:c r="G990" s="114"/>
      <x:c r="H990" s="114"/>
      <x:c r="I990" s="114"/>
      <x:c r="J990" s="114"/>
      <x:c r="K990" s="12"/>
      <x:c r="L990" s="12"/>
      <x:c r="M990" s="12"/>
      <x:c r="N990" s="12"/>
      <x:c r="O990" s="12"/>
      <x:c r="P990" s="12"/>
      <x:c r="Q990" s="12"/>
      <x:c r="R990" s="12"/>
      <x:c r="S990" s="12"/>
      <x:c r="T990" s="12"/>
      <x:c r="U990" s="12"/>
      <x:c r="V990" s="12"/>
      <x:c r="W990" s="12"/>
      <x:c r="X990" s="12"/>
      <x:c r="Y990" s="12"/>
      <x:c r="Z990" s="12"/>
      <x:c r="AA990" s="12"/>
      <x:c r="AB990" s="12"/>
      <x:c r="AC990" s="12"/>
      <x:c r="AD990" s="12"/>
      <x:c r="AE990" s="12"/>
      <x:c r="AF990" s="12"/>
      <x:c r="AG990" s="12"/>
    </x:row>
    <x:row r="991" ht="14.25" customHeight="1">
      <x:c r="A991" s="114"/>
      <x:c r="B991" s="114"/>
      <x:c r="C991" s="114"/>
      <x:c r="D991" s="114"/>
      <x:c r="E991" s="114"/>
      <x:c r="F991" s="114"/>
      <x:c r="G991" s="114"/>
      <x:c r="H991" s="114"/>
      <x:c r="I991" s="114"/>
      <x:c r="J991" s="114"/>
      <x:c r="K991" s="12"/>
      <x:c r="L991" s="12"/>
      <x:c r="M991" s="12"/>
      <x:c r="N991" s="12"/>
      <x:c r="O991" s="12"/>
      <x:c r="P991" s="12"/>
      <x:c r="Q991" s="12"/>
      <x:c r="R991" s="12"/>
      <x:c r="S991" s="12"/>
      <x:c r="T991" s="12"/>
      <x:c r="U991" s="12"/>
      <x:c r="V991" s="12"/>
      <x:c r="W991" s="12"/>
      <x:c r="X991" s="12"/>
      <x:c r="Y991" s="12"/>
      <x:c r="Z991" s="12"/>
      <x:c r="AA991" s="12"/>
      <x:c r="AB991" s="12"/>
      <x:c r="AC991" s="12"/>
      <x:c r="AD991" s="12"/>
      <x:c r="AE991" s="12"/>
      <x:c r="AF991" s="12"/>
      <x:c r="AG991" s="12"/>
    </x:row>
    <x:row r="992" ht="14.25" customHeight="1">
      <x:c r="A992" s="114"/>
      <x:c r="B992" s="114"/>
      <x:c r="C992" s="114"/>
      <x:c r="D992" s="114"/>
      <x:c r="E992" s="114"/>
      <x:c r="F992" s="114"/>
      <x:c r="G992" s="114"/>
      <x:c r="H992" s="114"/>
      <x:c r="I992" s="114"/>
      <x:c r="J992" s="114"/>
      <x:c r="K992" s="12"/>
      <x:c r="L992" s="12"/>
      <x:c r="M992" s="12"/>
      <x:c r="N992" s="12"/>
      <x:c r="O992" s="12"/>
      <x:c r="P992" s="12"/>
      <x:c r="Q992" s="12"/>
      <x:c r="R992" s="12"/>
      <x:c r="S992" s="12"/>
      <x:c r="T992" s="12"/>
      <x:c r="U992" s="12"/>
      <x:c r="V992" s="12"/>
      <x:c r="W992" s="12"/>
      <x:c r="X992" s="12"/>
      <x:c r="Y992" s="12"/>
      <x:c r="Z992" s="12"/>
      <x:c r="AA992" s="12"/>
      <x:c r="AB992" s="12"/>
      <x:c r="AC992" s="12"/>
      <x:c r="AD992" s="12"/>
      <x:c r="AE992" s="12"/>
      <x:c r="AF992" s="12"/>
      <x:c r="AG992" s="12"/>
    </x:row>
    <x:row r="993" ht="14.25" customHeight="1">
      <x:c r="A993" s="114"/>
      <x:c r="B993" s="114"/>
      <x:c r="C993" s="114"/>
      <x:c r="D993" s="114"/>
      <x:c r="E993" s="114"/>
      <x:c r="F993" s="114"/>
      <x:c r="G993" s="114"/>
      <x:c r="H993" s="114"/>
      <x:c r="I993" s="114"/>
      <x:c r="J993" s="114"/>
      <x:c r="K993" s="12"/>
      <x:c r="L993" s="12"/>
      <x:c r="M993" s="12"/>
      <x:c r="N993" s="12"/>
      <x:c r="O993" s="12"/>
      <x:c r="P993" s="12"/>
      <x:c r="Q993" s="12"/>
      <x:c r="R993" s="12"/>
      <x:c r="S993" s="12"/>
      <x:c r="T993" s="12"/>
      <x:c r="U993" s="12"/>
      <x:c r="V993" s="12"/>
      <x:c r="W993" s="12"/>
      <x:c r="X993" s="12"/>
      <x:c r="Y993" s="12"/>
      <x:c r="Z993" s="12"/>
      <x:c r="AA993" s="12"/>
      <x:c r="AB993" s="12"/>
      <x:c r="AC993" s="12"/>
      <x:c r="AD993" s="12"/>
      <x:c r="AE993" s="12"/>
      <x:c r="AF993" s="12"/>
      <x:c r="AG993" s="12"/>
    </x:row>
    <x:row r="994" ht="14.25" customHeight="1">
      <x:c r="A994" s="114"/>
      <x:c r="B994" s="114"/>
      <x:c r="C994" s="114"/>
      <x:c r="D994" s="114"/>
      <x:c r="E994" s="114"/>
      <x:c r="F994" s="114"/>
      <x:c r="G994" s="114"/>
      <x:c r="H994" s="114"/>
      <x:c r="I994" s="114"/>
      <x:c r="J994" s="114"/>
      <x:c r="K994" s="12"/>
      <x:c r="L994" s="12"/>
      <x:c r="M994" s="12"/>
      <x:c r="N994" s="12"/>
      <x:c r="O994" s="12"/>
      <x:c r="P994" s="12"/>
      <x:c r="Q994" s="12"/>
      <x:c r="R994" s="12"/>
      <x:c r="S994" s="12"/>
      <x:c r="T994" s="12"/>
      <x:c r="U994" s="12"/>
      <x:c r="V994" s="12"/>
      <x:c r="W994" s="12"/>
      <x:c r="X994" s="12"/>
      <x:c r="Y994" s="12"/>
      <x:c r="Z994" s="12"/>
      <x:c r="AA994" s="12"/>
      <x:c r="AB994" s="12"/>
      <x:c r="AC994" s="12"/>
      <x:c r="AD994" s="12"/>
      <x:c r="AE994" s="12"/>
      <x:c r="AF994" s="12"/>
      <x:c r="AG994" s="12"/>
    </x:row>
    <x:row r="995" ht="14.25" customHeight="1">
      <x:c r="A995" s="114"/>
      <x:c r="B995" s="114"/>
      <x:c r="C995" s="114"/>
      <x:c r="D995" s="114"/>
      <x:c r="E995" s="114"/>
      <x:c r="F995" s="114"/>
      <x:c r="G995" s="114"/>
      <x:c r="H995" s="114"/>
      <x:c r="I995" s="114"/>
      <x:c r="J995" s="114"/>
      <x:c r="K995" s="12"/>
      <x:c r="L995" s="12"/>
      <x:c r="M995" s="12"/>
      <x:c r="N995" s="12"/>
      <x:c r="O995" s="12"/>
      <x:c r="P995" s="12"/>
      <x:c r="Q995" s="12"/>
      <x:c r="R995" s="12"/>
      <x:c r="S995" s="12"/>
      <x:c r="T995" s="12"/>
      <x:c r="U995" s="12"/>
      <x:c r="V995" s="12"/>
      <x:c r="W995" s="12"/>
      <x:c r="X995" s="12"/>
      <x:c r="Y995" s="12"/>
      <x:c r="Z995" s="12"/>
      <x:c r="AA995" s="12"/>
      <x:c r="AB995" s="12"/>
      <x:c r="AC995" s="12"/>
      <x:c r="AD995" s="12"/>
      <x:c r="AE995" s="12"/>
      <x:c r="AF995" s="12"/>
      <x:c r="AG995" s="12"/>
    </x:row>
    <x:row r="996" ht="14.25" customHeight="1">
      <x:c r="A996" s="114"/>
      <x:c r="B996" s="114"/>
      <x:c r="C996" s="114"/>
      <x:c r="D996" s="114"/>
      <x:c r="E996" s="114"/>
      <x:c r="F996" s="114"/>
      <x:c r="G996" s="114"/>
      <x:c r="H996" s="114"/>
      <x:c r="I996" s="114"/>
      <x:c r="J996" s="114"/>
      <x:c r="K996" s="12"/>
      <x:c r="L996" s="12"/>
      <x:c r="M996" s="12"/>
      <x:c r="N996" s="12"/>
      <x:c r="O996" s="12"/>
      <x:c r="P996" s="12"/>
      <x:c r="Q996" s="12"/>
      <x:c r="R996" s="12"/>
      <x:c r="S996" s="12"/>
      <x:c r="T996" s="12"/>
      <x:c r="U996" s="12"/>
      <x:c r="V996" s="12"/>
      <x:c r="W996" s="12"/>
      <x:c r="X996" s="12"/>
      <x:c r="Y996" s="12"/>
      <x:c r="Z996" s="12"/>
      <x:c r="AA996" s="12"/>
      <x:c r="AB996" s="12"/>
      <x:c r="AC996" s="12"/>
      <x:c r="AD996" s="12"/>
      <x:c r="AE996" s="12"/>
      <x:c r="AF996" s="12"/>
      <x:c r="AG996" s="12"/>
    </x:row>
    <x:row r="997" ht="14.25" customHeight="1">
      <x:c r="A997" s="114"/>
      <x:c r="B997" s="114"/>
      <x:c r="C997" s="114"/>
      <x:c r="D997" s="114"/>
      <x:c r="E997" s="114"/>
      <x:c r="F997" s="114"/>
      <x:c r="G997" s="114"/>
      <x:c r="H997" s="114"/>
      <x:c r="I997" s="114"/>
      <x:c r="J997" s="114"/>
      <x:c r="K997" s="12"/>
      <x:c r="L997" s="12"/>
      <x:c r="M997" s="12"/>
      <x:c r="N997" s="12"/>
      <x:c r="O997" s="12"/>
      <x:c r="P997" s="12"/>
      <x:c r="Q997" s="12"/>
      <x:c r="R997" s="12"/>
      <x:c r="S997" s="12"/>
      <x:c r="T997" s="12"/>
      <x:c r="U997" s="12"/>
      <x:c r="V997" s="12"/>
      <x:c r="W997" s="12"/>
      <x:c r="X997" s="12"/>
      <x:c r="Y997" s="12"/>
      <x:c r="Z997" s="12"/>
      <x:c r="AA997" s="12"/>
      <x:c r="AB997" s="12"/>
      <x:c r="AC997" s="12"/>
      <x:c r="AD997" s="12"/>
      <x:c r="AE997" s="12"/>
      <x:c r="AF997" s="12"/>
      <x:c r="AG997" s="12"/>
    </x:row>
    <x:row r="998" ht="14.25" customHeight="1">
      <x:c r="A998" s="114"/>
      <x:c r="B998" s="114"/>
      <x:c r="C998" s="114"/>
      <x:c r="D998" s="114"/>
      <x:c r="E998" s="114"/>
      <x:c r="F998" s="114"/>
      <x:c r="G998" s="114"/>
      <x:c r="H998" s="114"/>
      <x:c r="I998" s="114"/>
      <x:c r="J998" s="114"/>
      <x:c r="K998" s="12"/>
      <x:c r="L998" s="12"/>
      <x:c r="M998" s="12"/>
      <x:c r="N998" s="12"/>
      <x:c r="O998" s="12"/>
      <x:c r="P998" s="12"/>
      <x:c r="Q998" s="12"/>
      <x:c r="R998" s="12"/>
      <x:c r="S998" s="12"/>
      <x:c r="T998" s="12"/>
      <x:c r="U998" s="12"/>
      <x:c r="V998" s="12"/>
      <x:c r="W998" s="12"/>
      <x:c r="X998" s="12"/>
      <x:c r="Y998" s="12"/>
      <x:c r="Z998" s="12"/>
      <x:c r="AA998" s="12"/>
      <x:c r="AB998" s="12"/>
      <x:c r="AC998" s="12"/>
      <x:c r="AD998" s="12"/>
      <x:c r="AE998" s="12"/>
      <x:c r="AF998" s="12"/>
      <x:c r="AG998" s="12"/>
    </x:row>
    <x:row r="999" ht="14.25" customHeight="1">
      <x:c r="A999" s="114"/>
      <x:c r="B999" s="114"/>
      <x:c r="C999" s="114"/>
      <x:c r="D999" s="114"/>
      <x:c r="E999" s="114"/>
      <x:c r="F999" s="114"/>
      <x:c r="G999" s="114"/>
      <x:c r="H999" s="114"/>
      <x:c r="I999" s="114"/>
      <x:c r="J999" s="114"/>
      <x:c r="K999" s="12"/>
      <x:c r="L999" s="12"/>
      <x:c r="M999" s="12"/>
      <x:c r="N999" s="12"/>
      <x:c r="O999" s="12"/>
      <x:c r="P999" s="12"/>
      <x:c r="Q999" s="12"/>
      <x:c r="R999" s="12"/>
      <x:c r="S999" s="12"/>
      <x:c r="T999" s="12"/>
      <x:c r="U999" s="12"/>
      <x:c r="V999" s="12"/>
      <x:c r="W999" s="12"/>
      <x:c r="X999" s="12"/>
      <x:c r="Y999" s="12"/>
      <x:c r="Z999" s="12"/>
      <x:c r="AA999" s="12"/>
      <x:c r="AB999" s="12"/>
      <x:c r="AC999" s="12"/>
      <x:c r="AD999" s="12"/>
      <x:c r="AE999" s="12"/>
      <x:c r="AF999" s="12"/>
      <x:c r="AG999" s="12"/>
    </x:row>
    <x:row r="1000" ht="14.25" customHeight="1">
      <x:c r="A1000" s="114"/>
      <x:c r="B1000" s="114"/>
      <x:c r="C1000" s="114"/>
      <x:c r="D1000" s="114"/>
      <x:c r="E1000" s="114"/>
      <x:c r="F1000" s="114"/>
      <x:c r="G1000" s="114"/>
      <x:c r="H1000" s="114"/>
      <x:c r="I1000" s="114"/>
      <x:c r="J1000" s="114"/>
      <x:c r="K1000" s="12"/>
      <x:c r="L1000" s="12"/>
      <x:c r="M1000" s="12"/>
      <x:c r="N1000" s="12"/>
      <x:c r="O1000" s="12"/>
      <x:c r="P1000" s="12"/>
      <x:c r="Q1000" s="12"/>
      <x:c r="R1000" s="12"/>
      <x:c r="S1000" s="12"/>
      <x:c r="T1000" s="12"/>
      <x:c r="U1000" s="12"/>
      <x:c r="V1000" s="12"/>
      <x:c r="W1000" s="12"/>
      <x:c r="X1000" s="12"/>
      <x:c r="Y1000" s="12"/>
      <x:c r="Z1000" s="12"/>
      <x:c r="AA1000" s="12"/>
      <x:c r="AB1000" s="12"/>
      <x:c r="AC1000" s="12"/>
      <x:c r="AD1000" s="12"/>
      <x:c r="AE1000" s="12"/>
      <x:c r="AF1000" s="12"/>
      <x:c r="AG1000" s="12"/>
    </x:row>
  </x:sheetData>
  <x:mergeCells>
    <x:mergeCell ref="B1:P1"/>
    <x:mergeCell ref="A2:G2"/>
    <x:mergeCell ref="I2:P2"/>
    <x:mergeCell ref="C3:G3"/>
    <x:mergeCell ref="A4:G4"/>
    <x:mergeCell ref="C5:G5"/>
    <x:mergeCell ref="I5:P5"/>
    <x:mergeCell ref="C6:G6"/>
    <x:mergeCell ref="I6:J6"/>
    <x:mergeCell ref="L6:P6"/>
    <x:mergeCell ref="C7:G7"/>
    <x:mergeCell ref="I7:J7"/>
    <x:mergeCell ref="L7:O7"/>
    <x:mergeCell ref="C8:G8"/>
    <x:mergeCell ref="C14:G14"/>
    <x:mergeCell ref="A15:G15"/>
    <x:mergeCell ref="C9:G9"/>
    <x:mergeCell ref="I9:N9"/>
    <x:mergeCell ref="C10:G10"/>
    <x:mergeCell ref="A11:G11"/>
    <x:mergeCell ref="C12:G12"/>
    <x:mergeCell ref="I12:N17"/>
    <x:mergeCell ref="C13:G13"/>
    <x:mergeCell ref="C23:G23"/>
    <x:mergeCell ref="C24:G24"/>
    <x:mergeCell ref="C25:G25"/>
    <x:mergeCell ref="A28:Q28"/>
    <x:mergeCell ref="C16:G16"/>
    <x:mergeCell ref="C17:G17"/>
    <x:mergeCell ref="C18:G18"/>
    <x:mergeCell ref="C19:G19"/>
    <x:mergeCell ref="C20:G20"/>
    <x:mergeCell ref="A21:G21"/>
    <x:mergeCell ref="C22:G22"/>
    <x:mergeCell ref="A38:F38"/>
  </x:mergeCells>
  <x:dataValidations count="8">
    <x:dataValidation type="list" allowBlank="1" showErrorMessage="1" sqref="L4">
      <x:formula1>"1,2,3,4,5"</x:formula1>
    </x:dataValidation>
    <x:dataValidation type="list" allowBlank="1" showErrorMessage="1" sqref="K6">
      <x:formula1>"Snake,Auction"</x:formula1>
    </x:dataValidation>
    <x:dataValidation type="list" allowBlank="1" showErrorMessage="1" sqref="N4">
      <x:formula1>"0,1,2,3"</x:formula1>
    </x:dataValidation>
    <x:dataValidation type="list" allowBlank="1" showErrorMessage="1" sqref="O4">
      <x:formula1>"4,5,6,7,8,9,10,11,12,13,14,15,16,17,18,19,20"</x:formula1>
    </x:dataValidation>
    <x:dataValidation type="list" allowBlank="1" showErrorMessage="1" sqref="J4 M4">
      <x:formula1>"0,1,2"</x:formula1>
    </x:dataValidation>
    <x:dataValidation type="list" allowBlank="1" showErrorMessage="1" sqref="P4">
      <x:formula1>"0,1"</x:formula1>
    </x:dataValidation>
    <x:dataValidation type="list" allowBlank="1" showErrorMessage="1" sqref="K4">
      <x:formula1>"1,2,3,4"</x:formula1>
    </x:dataValidation>
    <x:dataValidation type="list" allowBlank="1" showErrorMessage="1" sqref="I4">
      <x:formula1>"8,10,12,14,16,18"</x:formula1>
    </x:dataValidation>
  </x:dataValidations>
  <x:pageMargins left="0.7" right="0.7" top="0.75" bottom="0.75" header="0.3" footer="0.3"/>
  <x:legacyDrawing xmlns:r="http://schemas.openxmlformats.org/officeDocument/2006/relationships" r:id="R001a919a9e5a4dd0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.5" customWidth="1"/>
    <x:col min="2" max="2" width="9" customWidth="1"/>
    <x:col min="3" max="3" width="16.75" customWidth="1"/>
    <x:col min="4" max="4" width="11.5" customWidth="1"/>
    <x:col min="5" max="5" width="8.5" customWidth="1"/>
    <x:col min="6" max="6" width="10.75" customWidth="1"/>
    <x:col min="7" max="7" width="7.630000114440918" customWidth="1"/>
    <x:col min="8" max="8" width="8.75" customWidth="1"/>
    <x:col min="9" max="9" width="10.75" customWidth="1"/>
    <x:col min="10" max="10" width="13" hidden="1" customWidth="1"/>
    <x:col min="11" max="11" width="2.75" customWidth="1"/>
    <x:col min="12" max="12" width="9" customWidth="1"/>
    <x:col min="13" max="13" width="19.75" customWidth="1"/>
    <x:col min="14" max="14" width="11.5" customWidth="1"/>
    <x:col min="15" max="15" width="8.5" customWidth="1"/>
    <x:col min="16" max="16" width="10.75" customWidth="1"/>
    <x:col min="17" max="17" width="7.630000114440918" customWidth="1"/>
    <x:col min="18" max="18" width="8.75" customWidth="1"/>
    <x:col min="19" max="19" width="10.75" customWidth="1"/>
    <x:col min="20" max="20" width="4.380000114440918" hidden="1" customWidth="1"/>
    <x:col min="21" max="21" width="2.75" customWidth="1"/>
    <x:col min="22" max="22" width="9" customWidth="1"/>
    <x:col min="23" max="23" width="17.25" customWidth="1"/>
    <x:col min="24" max="24" width="11.5" customWidth="1"/>
    <x:col min="25" max="25" width="8.5" customWidth="1"/>
    <x:col min="26" max="26" width="10.75" customWidth="1"/>
    <x:col min="27" max="27" width="7.630000114440918" customWidth="1"/>
    <x:col min="28" max="28" width="8.75" customWidth="1"/>
    <x:col min="29" max="29" width="10.75" customWidth="1"/>
    <x:col min="30" max="30" width="13" hidden="1" customWidth="1"/>
    <x:col min="31" max="31" width="8.5" customWidth="1"/>
    <x:col min="32" max="32" width="18.8799991607666" customWidth="1"/>
    <x:col min="33" max="33" width="28.3799991607666" customWidth="1"/>
    <x:col min="34" max="34" width="8.5" customWidth="1"/>
  </x:cols>
  <x:sheetData>
    <x:row r="1" ht="25.5" customHeight="1">
      <x:c r="A1" s="2"/>
      <x:c r="B1" s="14" t="str">
        <x:f>"DRAFTSHEET  -  "&amp;Scoring!I4&amp;" Team  -  "&amp;Scoring!B17&amp;" PPR  -  "&amp;Scoring!J4&amp;"QB("&amp;Aggregate!B1&amp;")/"&amp;Scoring!K4&amp;"RB("&amp;Aggregate!P1&amp;")/"&amp;Scoring!L4&amp;"WR("&amp;Aggregate!AD1&amp;")/"&amp;Scoring!M4&amp;"TE("&amp;Aggregate!AR1&amp;")/"&amp;Scoring!N4&amp;"[RB/WR/TE]"</x:f>
        <x:v>DRAFTSHEET  -  12 Team  -  0.5 PPR  -  1QB(14)/2RB(29)/3WR(47)/1TE(14)/1[RB/WR/TE]</x:v>
      </x:c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  <x:c r="W1" s="15"/>
      <x:c r="X1" s="15"/>
      <x:c r="Y1" s="15"/>
      <x:c r="Z1" s="15"/>
      <x:c r="AA1" s="15"/>
      <x:c r="AB1" s="15"/>
      <x:c r="AC1" s="15"/>
      <x:c r="AD1" s="17"/>
      <x:c r="AE1" s="2"/>
      <x:c r="AF1" s="19" t="s">
        <x:v>75</x:v>
      </x:c>
      <x:c r="AG1" s="17"/>
      <x:c r="AH1" s="2"/>
    </x:row>
    <x:row r="2" ht="15.75" customHeight="1">
      <x:c r="A2" s="2"/>
      <x:c r="B2" s="24" t="str">
        <x:f>"Passing: "&amp;Scoring!B8&amp;" PPTD, "&amp;ROUND(1/Scoring!B7,2)&amp;" PPY, "&amp;Scoring!B9&amp;" Int  |  Rushing: "&amp;Scoring!B14&amp;" PPTD, "&amp;ROUND(1/Scoring!B13,2)&amp;" PPY  |  Receiving: "&amp;Scoring!B20&amp;" PPTD, "&amp;ROUND(1/Scoring!B19,2)&amp;" PPY, "&amp;Scoring!B17&amp;" PPR  |  Draft: use 'x' if drafted by someone else, 'o' if drafted by you  |  Updated: "&amp;TEXT(TODAY(),"yyyy-mm-dd")</x:f>
        <x:v>Passing: 4 PPTD, 0.04 PPY, -2 Int  |  Rushing: 6 PPTD, 0.1 PPY  |  Receiving: 6 PPTD, 0.1 PPY, 0.5 PPR  |  Draft: use 'x' if drafted by someone else, 'o' if drafted by you  |  Updated: 2026-08-26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  <x:c r="AD2" s="17"/>
      <x:c r="AE2" s="2"/>
      <x:c r="AF2" s="28" t="s">
        <x:v>76</x:v>
      </x:c>
      <x:c r="AG2" s="31"/>
      <x:c r="AH2" s="2" t="str">
        <x:f>IF($AG$2="","",IFERROR(MATCH("*"&amp;$AG$2&amp;"*",C5:C44,0)+4,""))</x:f>
      </x:c>
    </x:row>
    <x:row r="3" ht="23.25" customHeight="1">
      <x:c r="A3" s="2"/>
      <x:c r="B3" s="14" t="s">
        <x:v>77</x:v>
      </x:c>
      <x:c r="C3" s="15"/>
      <x:c r="D3" s="15"/>
      <x:c r="E3" s="15"/>
      <x:c r="F3" s="15"/>
      <x:c r="G3" s="15"/>
      <x:c r="H3" s="15"/>
      <x:c r="I3" s="17"/>
      <x:c r="J3" s="9"/>
      <x:c r="K3" s="9"/>
      <x:c r="L3" s="14" t="s">
        <x:v>78</x:v>
      </x:c>
      <x:c r="M3" s="15"/>
      <x:c r="N3" s="15"/>
      <x:c r="O3" s="15"/>
      <x:c r="P3" s="15"/>
      <x:c r="Q3" s="15"/>
      <x:c r="R3" s="15"/>
      <x:c r="S3" s="17"/>
      <x:c r="T3" s="9"/>
      <x:c r="U3" s="9"/>
      <x:c r="V3" s="14" t="s">
        <x:v>79</x:v>
      </x:c>
      <x:c r="W3" s="15"/>
      <x:c r="X3" s="15"/>
      <x:c r="Y3" s="15"/>
      <x:c r="Z3" s="15"/>
      <x:c r="AA3" s="15"/>
      <x:c r="AB3" s="15"/>
      <x:c r="AC3" s="17"/>
      <x:c r="AD3" s="9"/>
      <x:c r="AE3" s="2"/>
      <x:c r="AF3" s="28" t="s">
        <x:v>80</x:v>
      </x:c>
      <x:c r="AG3" s="39" t="str">
        <x:f>IF($AG$2="","",IF(AH2&lt;&gt;"","QB",IF(AH3&lt;&gt;"","RB",IF(AH4&lt;&gt;"","WR",IF(AH5&lt;&gt;"","TE","Not Found")))))</x:f>
      </x:c>
      <x:c r="AH3" s="2" t="str">
        <x:f>IF($AG$2="","",IFERROR(MATCH("*"&amp;$AG$2&amp;"*",M5:M84,0)+4,""))</x:f>
      </x:c>
    </x:row>
    <x:row r="4" ht="15" customHeight="1">
      <x:c r="A4" s="2"/>
      <x:c r="B4" s="42" t="s">
        <x:v>81</x:v>
      </x:c>
      <x:c r="C4" s="42" t="s">
        <x:v>82</x:v>
      </x:c>
      <x:c r="D4" s="42" t="s">
        <x:v>83</x:v>
      </x:c>
      <x:c r="E4" s="42" t="s">
        <x:v>84</x:v>
      </x:c>
      <x:c r="F4" s="42" t="s">
        <x:v>85</x:v>
      </x:c>
      <x:c r="G4" s="42" t="s">
        <x:v>86</x:v>
      </x:c>
      <x:c r="H4" s="42" t="s">
        <x:v>87</x:v>
      </x:c>
      <x:c r="I4" s="42" t="s">
        <x:v>88</x:v>
      </x:c>
      <x:c r="J4" s="42"/>
      <x:c r="K4" s="44"/>
      <x:c r="L4" s="42" t="s">
        <x:v>81</x:v>
      </x:c>
      <x:c r="M4" s="42" t="s">
        <x:v>82</x:v>
      </x:c>
      <x:c r="N4" s="42" t="s">
        <x:v>83</x:v>
      </x:c>
      <x:c r="O4" s="42" t="s">
        <x:v>84</x:v>
      </x:c>
      <x:c r="P4" s="42" t="s">
        <x:v>85</x:v>
      </x:c>
      <x:c r="Q4" s="42" t="s">
        <x:v>86</x:v>
      </x:c>
      <x:c r="R4" s="42" t="s">
        <x:v>87</x:v>
      </x:c>
      <x:c r="S4" s="42" t="s">
        <x:v>88</x:v>
      </x:c>
      <x:c r="T4" s="42"/>
      <x:c r="U4" s="44"/>
      <x:c r="V4" s="42" t="s">
        <x:v>81</x:v>
      </x:c>
      <x:c r="W4" s="42" t="s">
        <x:v>82</x:v>
      </x:c>
      <x:c r="X4" s="42" t="s">
        <x:v>83</x:v>
      </x:c>
      <x:c r="Y4" s="42" t="s">
        <x:v>84</x:v>
      </x:c>
      <x:c r="Z4" s="42" t="s">
        <x:v>85</x:v>
      </x:c>
      <x:c r="AA4" s="42" t="s">
        <x:v>86</x:v>
      </x:c>
      <x:c r="AB4" s="42" t="s">
        <x:v>87</x:v>
      </x:c>
      <x:c r="AC4" s="42" t="s">
        <x:v>88</x:v>
      </x:c>
      <x:c r="AD4" s="42"/>
      <x:c r="AE4" s="2"/>
      <x:c r="AF4" s="28" t="s">
        <x:v>89</x:v>
      </x:c>
      <x:c r="AG4" s="39" t="str">
        <x:f t="array" ref="AG4">IF($AG$2="","",IF(AH2&lt;&gt;"",INDEX(B:B,AH2),IF(AH3&lt;&gt;"",INDEX(L:L,AH3),IF(AH4&lt;&gt;"",INDEX(V:V,AH4),IF(AH5&lt;&gt;"",INDEX(B:B,AH5),"")))))</x:f>
      </x:c>
      <x:c r="AH4" s="2" t="str">
        <x:f>IF($AG$2="","",IFERROR(MATCH("*"&amp;$AG$2&amp;"*",W5:W84,0)+4,""))</x:f>
      </x:c>
    </x:row>
    <x:row r="5" ht="14.25" customHeight="1">
      <x:c r="A5" s="2"/>
      <x:c r="B5" s="53" t="n">
        <x:f>IFERROR(VLOOKUP(DraftSheet!$C5,Aggregate!$B:$M,11,FALSE()),"")</x:f>
        <x:v>1</x:v>
      </x:c>
      <x:c r="C5" s="55" t="str">
        <x:f>Aggregate!B3</x:f>
        <x:v>Josh Allen</x:v>
      </x:c>
      <x:c r="D5" s="55" t="str">
        <x:f>VLOOKUP(DraftSheet!$C5,Aggregate!B:M,4,FALSE())</x:f>
        <x:v>BUF/7</x:v>
      </x:c>
      <x:c r="E5" s="53" t="n">
        <x:f>IFERROR(VLOOKUP(DraftSheet!$C5,Aggregate!$B:$M,8,FALSE()),"")</x:f>
        <x:v>312.3244003</x:v>
      </x:c>
      <x:c r="F5" s="53" t="n">
        <x:f>IF(Scoring!$K$6="Auction",IFERROR(VLOOKUP(DraftSheet!$C5,Aggregate!$B:$M,10,FALSE()),""),IFERROR(VLOOKUP(DraftSheet!$C5,Aggregate!$B:$M,9,FALSE()),""))</x:f>
        <x:v>69.48524217941176</x:v>
      </x:c>
      <x:c r="G5" s="61" t="n">
        <x:f>SUMIFS($J6:J$44,$I6:I$44,"&lt;&gt;x",$I6:I$44,"&lt;&gt;o",$J6:J$44,"&gt;0")/Aggregate!$J$1</x:f>
        <x:v>0.717802244331899</x:v>
      </x:c>
      <x:c r="H5" s="53" t="n">
        <x:f t="array" ref="H5">IFERROR(INDEX(ECR!$K:$K,MATCH(DraftSheet!$C5,ECR!$C:$C,0)),"ND")</x:f>
        <x:v>26</x:v>
      </x:c>
      <x:c r="I5" s="62"/>
      <x:c r="J5" s="64" t="n">
        <x:f>VLOOKUP(C5,Aggregate!B:J,9,FALSE())</x:f>
        <x:v>68.32188807</x:v>
      </x:c>
      <x:c r="K5" s="65"/>
      <x:c r="L5" s="53" t="n">
        <x:f>IFERROR(VLOOKUP(DraftSheet!$M5,Aggregate!$P:$AA,11,FALSE()),"")</x:f>
        <x:v>1</x:v>
      </x:c>
      <x:c r="M5" s="55" t="str">
        <x:f>Aggregate!P3</x:f>
        <x:v>Jahmyr Gibbs</x:v>
      </x:c>
      <x:c r="N5" s="55" t="str">
        <x:f>VLOOKUP(DraftSheet!$M5,Aggregate!P:AA,4,FALSE())</x:f>
        <x:v>DET/6</x:v>
      </x:c>
      <x:c r="O5" s="53" t="n">
        <x:f>IFERROR(VLOOKUP(DraftSheet!$M5,Aggregate!$P:$AA,8,FALSE()),"")</x:f>
        <x:v>257.6466176</x:v>
      </x:c>
      <x:c r="P5" s="53" t="n">
        <x:f>IF(Scoring!$K$6="Auction",IFERROR(VLOOKUP(DraftSheet!$M5,Aggregate!$P:$AA,10,FALSE()),""),IFERROR(VLOOKUP(DraftSheet!$M5,Aggregate!$P:$AA,9,FALSE()),""))</x:f>
        <x:v>127.64628851470587</x:v>
      </x:c>
      <x:c r="Q5" s="61" t="n">
        <x:f>SUMIFS($T6:T$84,$S6:S$84,"&lt;&gt;x",$S6:S$84,"&lt;&gt;o",$T6:T$84,"&gt;0")/Aggregate!$X$1</x:f>
        <x:v>1.5954517634230132</x:v>
      </x:c>
      <x:c r="R5" s="53" t="n">
        <x:f t="array" ref="R5">IFERROR(INDEX(ECR!$K:$K,MATCH(DraftSheet!$M5,ECR!$C:$C,0)),"ND")</x:f>
        <x:v>1</x:v>
      </x:c>
      <x:c r="S5" s="62"/>
      <x:c r="T5" s="64" t="n">
        <x:f>VLOOKUP(M5,Aggregate!P:X,9,FALSE())</x:f>
        <x:v>156.1465779</x:v>
      </x:c>
      <x:c r="U5" s="73"/>
      <x:c r="V5" s="53" t="n">
        <x:f>IFERROR(VLOOKUP(DraftSheet!$W5,Aggregate!$AD:$AO,11,FALSE()),"")</x:f>
        <x:v>1</x:v>
      </x:c>
      <x:c r="W5" s="55" t="str">
        <x:f>Aggregate!AD4</x:f>
        <x:v>Puka Nacua</x:v>
      </x:c>
      <x:c r="X5" s="55" t="str">
        <x:f>VLOOKUP(DraftSheet!$W5,Aggregate!AD:AO,4,FALSE())</x:f>
        <x:v>LAR/11</x:v>
      </x:c>
      <x:c r="Y5" s="53" t="n">
        <x:f>IFERROR(VLOOKUP(DraftSheet!$W5,Aggregate!$AD:$AO,8,FALSE()),"")</x:f>
        <x:v>236.3124752</x:v>
      </x:c>
      <x:c r="Z5" s="53" t="n">
        <x:f>IF(Scoring!$K$6="Auction",IFERROR(VLOOKUP(DraftSheet!$W5,Aggregate!$AD:$AO,10,FALSE()),""),IFERROR(VLOOKUP(DraftSheet!$W5,Aggregate!$AD:$AO,9,FALSE()),""))</x:f>
        <x:v>134.1175634647059</x:v>
      </x:c>
      <x:c r="AA5" s="61" t="n">
        <x:f>SUMIFS($AD6:AD$84,$AC6:AC$84,"&lt;&gt;x",$AC6:AC$84,"&lt;&gt;o",$AD6:AD$84,"&gt;0")/Aggregate!$AL$1</x:f>
        <x:v>0.9508474320146488</x:v>
      </x:c>
      <x:c r="AB5" s="53" t="n">
        <x:f t="array" ref="AB5">IFERROR(INDEX(ECR!$K:$K,MATCH(DraftSheet!$W5,ECR!$C:$C,0)),"ND")</x:f>
        <x:v>4</x:v>
      </x:c>
      <x:c r="AC5" s="62"/>
      <x:c r="AD5" s="64" t="n">
        <x:f>VLOOKUP(W5,Aggregate!AD:AL,9,FALSE())</x:f>
        <x:v>134.9980988</x:v>
      </x:c>
      <x:c r="AE5" s="2"/>
      <x:c r="AF5" s="28" t="s">
        <x:v>90</x:v>
      </x:c>
      <x:c r="AG5" s="39" t="str">
        <x:f t="array" ref="AG5">IF($AG$2="","",IF(AH2&lt;&gt;"",INDEX(C:C,AH2),IF(AH3&lt;&gt;"",INDEX(M:M,AH3),IF(AH4&lt;&gt;"",INDEX(W:W,AH4),IF(AH5&lt;&gt;"",INDEX(C:C,AH5),"")))))</x:f>
      </x:c>
      <x:c r="AH5" s="2" t="str">
        <x:f>IF($AG$2="","",IFERROR(MATCH("*"&amp;$AG$2&amp;"*",C48:C84,0)+47,""))</x:f>
      </x:c>
    </x:row>
    <x:row r="6" ht="14.25" customHeight="1">
      <x:c r="A6" s="2"/>
      <x:c r="B6" s="53" t="n">
        <x:f>IFERROR(VLOOKUP(DraftSheet!$C6,Aggregate!$B:$M,11,FALSE()),"")</x:f>
        <x:v>2</x:v>
      </x:c>
      <x:c r="C6" s="55" t="str">
        <x:f>Aggregate!B4</x:f>
        <x:v>Lamar Jackson</x:v>
      </x:c>
      <x:c r="D6" s="55" t="str">
        <x:f>VLOOKUP(DraftSheet!$C6,Aggregate!B:M,4,FALSE())</x:f>
        <x:v>BAL/13</x:v>
      </x:c>
      <x:c r="E6" s="53" t="n">
        <x:f>IFERROR(VLOOKUP(DraftSheet!$C6,Aggregate!$B:$M,8,FALSE()),"")</x:f>
        <x:v>273.6705407</x:v>
      </x:c>
      <x:c r="F6" s="53" t="n">
        <x:f>IF(Scoring!$K$6="Auction",IFERROR(VLOOKUP(DraftSheet!$C6,Aggregate!$B:$M,10,FALSE()),""),IFERROR(VLOOKUP(DraftSheet!$C6,Aggregate!$B:$M,9,FALSE()),""))</x:f>
        <x:v>31.82581511323528</x:v>
      </x:c>
      <x:c r="G6" s="61" t="n">
        <x:f>SUMIFS($J7:J$44,$I7:I$44,"&lt;&gt;x",$I7:I$44,"&lt;&gt;o",$J7:J$44,"&gt;0")/Aggregate!$J$1</x:f>
        <x:v>0.6101936720440982</x:v>
      </x:c>
      <x:c r="H6" s="53" t="n">
        <x:f t="array" ref="H6">IFERROR(INDEX(ECR!$K:$K,MATCH(DraftSheet!$C6,ECR!$C:$C,0)),"ND")</x:f>
        <x:v>37</x:v>
      </x:c>
      <x:c r="I6" s="62"/>
      <x:c r="J6" s="64" t="n">
        <x:f>VLOOKUP(C6,Aggregate!B:J,9,FALSE())</x:f>
        <x:v>29.66802852</x:v>
      </x:c>
      <x:c r="K6" s="65"/>
      <x:c r="L6" s="53" t="n">
        <x:f>IFERROR(VLOOKUP(DraftSheet!$M6,Aggregate!$P:$AA,11,FALSE()),"")</x:f>
        <x:v>1</x:v>
      </x:c>
      <x:c r="M6" s="55" t="str">
        <x:f>Aggregate!P4</x:f>
        <x:v>Bijan Robinson</x:v>
      </x:c>
      <x:c r="N6" s="55" t="str">
        <x:f>VLOOKUP(DraftSheet!$M6,Aggregate!P:AA,4,FALSE())</x:f>
        <x:v>ATL/11</x:v>
      </x:c>
      <x:c r="O6" s="53" t="n">
        <x:f>IFERROR(VLOOKUP(DraftSheet!$M6,Aggregate!$P:$AA,8,FALSE()),"")</x:f>
        <x:v>243.3045588</x:v>
      </x:c>
      <x:c r="P6" s="53" t="n">
        <x:f>IF(Scoring!$K$6="Auction",IFERROR(VLOOKUP(DraftSheet!$M6,Aggregate!$P:$AA,10,FALSE()),""),IFERROR(VLOOKUP(DraftSheet!$M6,Aggregate!$P:$AA,9,FALSE()),""))</x:f>
        <x:v>113.30422969852938</x:v>
      </x:c>
      <x:c r="Q6" s="61" t="n">
        <x:f>SUMIFS($T7:T$84,$S7:S$84,"&lt;&gt;x",$S7:S$84,"&lt;&gt;o",$T7:T$84,"&gt;0")/Aggregate!$X$1</x:f>
        <x:v>1.4862377351851128</x:v>
      </x:c>
      <x:c r="R6" s="53" t="n">
        <x:f t="array" ref="R6">IFERROR(INDEX(ECR!$K:$K,MATCH(DraftSheet!$M6,ECR!$C:$C,0)),"ND")</x:f>
        <x:v>2</x:v>
      </x:c>
      <x:c r="S6" s="62"/>
      <x:c r="T6" s="64" t="n">
        <x:f>VLOOKUP(M6,Aggregate!P:X,9,FALSE())</x:f>
        <x:v>141.8045191</x:v>
      </x:c>
      <x:c r="U6" s="73"/>
      <x:c r="V6" s="53" t="n">
        <x:f>IFERROR(VLOOKUP(DraftSheet!$W6,Aggregate!$AD:$AO,11,FALSE()),"")</x:f>
        <x:v>1</x:v>
      </x:c>
      <x:c r="W6" s="55" t="str">
        <x:f>Aggregate!AD3</x:f>
        <x:v>Ja'Marr Chase</x:v>
      </x:c>
      <x:c r="X6" s="55" t="str">
        <x:f>VLOOKUP(DraftSheet!$W6,Aggregate!AD:AO,4,FALSE())</x:f>
        <x:v>CIN/6</x:v>
      </x:c>
      <x:c r="Y6" s="53" t="n">
        <x:f>IFERROR(VLOOKUP(DraftSheet!$W6,Aggregate!$AD:$AO,8,FALSE()),"")</x:f>
        <x:v>234.1372306</x:v>
      </x:c>
      <x:c r="Z6" s="53" t="n">
        <x:f>IF(Scoring!$K$6="Auction",IFERROR(VLOOKUP(DraftSheet!$W6,Aggregate!$AD:$AO,10,FALSE()),""),IFERROR(VLOOKUP(DraftSheet!$W6,Aggregate!$AD:$AO,9,FALSE()),""))</x:f>
        <x:v>131.94231884264707</x:v>
      </x:c>
      <x:c r="AA6" s="61" t="n">
        <x:f>SUMIFS($AD7:AD$84,$AC7:AC$84,"&lt;&gt;x",$AC7:AC$84,"&lt;&gt;o",$AD7:AD$84,"&gt;0")/Aggregate!$AL$1</x:f>
        <x:v>0.8810252135592667</x:v>
      </x:c>
      <x:c r="AB6" s="53" t="n">
        <x:f t="array" ref="AB6">IFERROR(INDEX(ECR!$K:$K,MATCH(DraftSheet!$W6,ECR!$C:$C,0)),"ND")</x:f>
        <x:v>3</x:v>
      </x:c>
      <x:c r="AC6" s="62"/>
      <x:c r="AD6" s="64" t="n">
        <x:f>VLOOKUP(W6,Aggregate!AD:AL,9,FALSE())</x:f>
        <x:v>132.8228541</x:v>
      </x:c>
      <x:c r="AE6" s="2"/>
      <x:c r="AF6" s="28" t="s">
        <x:v>91</x:v>
      </x:c>
      <x:c r="AG6" s="39" t="str">
        <x:f t="array" ref="AG6">IF($AG$2="","",IF(AH2&lt;&gt;"",INDEX(D:D,AH2),IF(AH3&lt;&gt;"",INDEX(N:N,AH3),IF(AH4&lt;&gt;"",INDEX(X:X,AH4),IF(AH5&lt;&gt;"",INDEX(D:D,AH5),"")))))</x:f>
      </x:c>
      <x:c r="AH6" s="2"/>
    </x:row>
    <x:row r="7" ht="14.25" customHeight="1">
      <x:c r="A7" s="2"/>
      <x:c r="B7" s="53" t="n">
        <x:f>IFERROR(VLOOKUP(DraftSheet!$C7,Aggregate!$B:$M,11,FALSE()),"")</x:f>
        <x:v>2</x:v>
      </x:c>
      <x:c r="C7" s="55" t="str">
        <x:f>Aggregate!B5</x:f>
        <x:v>Drake Maye</x:v>
      </x:c>
      <x:c r="D7" s="55" t="str">
        <x:f>VLOOKUP(DraftSheet!$C7,Aggregate!B:M,4,FALSE())</x:f>
        <x:v>NE/11</x:v>
      </x:c>
      <x:c r="E7" s="53" t="n">
        <x:f>IFERROR(VLOOKUP(DraftSheet!$C7,Aggregate!$B:$M,8,FALSE()),"")</x:f>
        <x:v>269.6731554</x:v>
      </x:c>
      <x:c r="F7" s="53" t="n">
        <x:f>IF(Scoring!$K$6="Auction",IFERROR(VLOOKUP(DraftSheet!$C7,Aggregate!$B:$M,10,FALSE()),""),IFERROR(VLOOKUP(DraftSheet!$C7,Aggregate!$B:$M,9,FALSE()),""))</x:f>
        <x:v>28.28401958970582</x:v>
      </x:c>
      <x:c r="G7" s="61" t="n">
        <x:f>SUMIFS($J8:J$44,$I8:I$44,"&lt;&gt;x",$I8:I$44,"&lt;&gt;o",$J8:J$44,"&gt;0")/Aggregate!$J$1</x:f>
        <x:v>0.5170839713079421</x:v>
      </x:c>
      <x:c r="H7" s="53" t="n">
        <x:f t="array" ref="H7">IFERROR(INDEX(ECR!$K:$K,MATCH(DraftSheet!$C7,ECR!$C:$C,0)),"ND")</x:f>
        <x:v>45</x:v>
      </x:c>
      <x:c r="I7" s="62"/>
      <x:c r="J7" s="64" t="n">
        <x:f>VLOOKUP(C7,Aggregate!B:J,9,FALSE())</x:f>
        <x:v>25.67064313</x:v>
      </x:c>
      <x:c r="K7" s="65"/>
      <x:c r="L7" s="53" t="n">
        <x:f>IFERROR(VLOOKUP(DraftSheet!$M7,Aggregate!$P:$AA,11,FALSE()),"")</x:f>
        <x:v>2</x:v>
      </x:c>
      <x:c r="M7" s="55" t="str">
        <x:f>Aggregate!P5</x:f>
        <x:v>Christian McCaffrey</x:v>
      </x:c>
      <x:c r="N7" s="55" t="str">
        <x:f>VLOOKUP(DraftSheet!$M7,Aggregate!P:AA,4,FALSE())</x:f>
        <x:v>SF/8</x:v>
      </x:c>
      <x:c r="O7" s="53" t="n">
        <x:f>IFERROR(VLOOKUP(DraftSheet!$M7,Aggregate!$P:$AA,8,FALSE()),"")</x:f>
        <x:v>224.9267647</x:v>
      </x:c>
      <x:c r="P7" s="53" t="n">
        <x:f>IF(Scoring!$K$6="Auction",IFERROR(VLOOKUP(DraftSheet!$M7,Aggregate!$P:$AA,10,FALSE()),""),IFERROR(VLOOKUP(DraftSheet!$M7,Aggregate!$P:$AA,9,FALSE()),""))</x:f>
        <x:v>94.92643559264707</x:v>
      </x:c>
      <x:c r="Q7" s="61" t="n">
        <x:f>SUMIFS($T8:T$84,$S8:S$84,"&lt;&gt;x",$S8:S$84,"&lt;&gt;o",$T8:T$84,"&gt;0")/Aggregate!$X$1</x:f>
        <x:v>1.3911777898814266</x:v>
      </x:c>
      <x:c r="R7" s="53" t="n">
        <x:f t="array" ref="R7">IFERROR(INDEX(ECR!$K:$K,MATCH(DraftSheet!$M7,ECR!$C:$C,0)),"ND")</x:f>
        <x:v>7</x:v>
      </x:c>
      <x:c r="S7" s="62"/>
      <x:c r="T7" s="64" t="n">
        <x:f>VLOOKUP(M7,Aggregate!P:X,9,FALSE())</x:f>
        <x:v>123.426725</x:v>
      </x:c>
      <x:c r="U7" s="73"/>
      <x:c r="V7" s="53" t="n">
        <x:f>IFERROR(VLOOKUP(DraftSheet!$W7,Aggregate!$AD:$AO,11,FALSE()),"")</x:f>
        <x:v>1</x:v>
      </x:c>
      <x:c r="W7" s="55" t="str">
        <x:f>Aggregate!AD5</x:f>
        <x:v>Jaxon Smith-Njigba</x:v>
      </x:c>
      <x:c r="X7" s="55" t="str">
        <x:f>VLOOKUP(DraftSheet!$W7,Aggregate!AD:AO,4,FALSE())</x:f>
        <x:v>SEA/11</x:v>
      </x:c>
      <x:c r="Y7" s="53" t="n">
        <x:f>IFERROR(VLOOKUP(DraftSheet!$W7,Aggregate!$AD:$AO,8,FALSE()),"")</x:f>
        <x:v>228.3441696</x:v>
      </x:c>
      <x:c r="Z7" s="53" t="n">
        <x:f>IF(Scoring!$K$6="Auction",IFERROR(VLOOKUP(DraftSheet!$W7,Aggregate!$AD:$AO,10,FALSE()),""),IFERROR(VLOOKUP(DraftSheet!$W7,Aggregate!$AD:$AO,9,FALSE()),""))</x:f>
        <x:v>126.1492578867647</x:v>
      </x:c>
      <x:c r="AA7" s="61" t="n">
        <x:f>SUMIFS($AD8:AD$84,$AC8:AC$84,"&lt;&gt;x",$AC8:AC$84,"&lt;&gt;o",$AD8:AD$84,"&gt;0")/Aggregate!$AL$1</x:f>
        <x:v>0.8142482870186375</x:v>
      </x:c>
      <x:c r="AB7" s="53" t="n">
        <x:f t="array" ref="AB7">IFERROR(INDEX(ECR!$K:$K,MATCH(DraftSheet!$W7,ECR!$C:$C,0)),"ND")</x:f>
        <x:v>5</x:v>
      </x:c>
      <x:c r="AC7" s="62"/>
      <x:c r="AD7" s="64" t="n">
        <x:f>VLOOKUP(W7,Aggregate!AD:AL,9,FALSE())</x:f>
        <x:v>127.0297932</x:v>
      </x:c>
      <x:c r="AE7" s="2"/>
      <x:c r="AF7" s="28" t="s">
        <x:v>92</x:v>
      </x:c>
      <x:c r="AG7" s="93" t="str">
        <x:f t="array" ref="AG7">IF($AG$2="","",IF(AH2&lt;&gt;"",INDEX(E:E,AH2),IF(AH3&lt;&gt;"",INDEX(O:O,AH3),IF(AH4&lt;&gt;"",INDEX(Y:Y,AH4),IF(AH5&lt;&gt;"",INDEX(E:E,AH5),"")))))</x:f>
      </x:c>
      <x:c r="AH7" s="2"/>
    </x:row>
    <x:row r="8" ht="14.25" customHeight="1">
      <x:c r="A8" s="2"/>
      <x:c r="B8" s="53" t="n">
        <x:f>IFERROR(VLOOKUP(DraftSheet!$C8,Aggregate!$B:$M,11,FALSE()),"")</x:f>
        <x:v>2</x:v>
      </x:c>
      <x:c r="C8" s="55" t="str">
        <x:f>Aggregate!B7</x:f>
        <x:v>Jayden Daniels</x:v>
      </x:c>
      <x:c r="D8" s="55" t="str">
        <x:f>VLOOKUP(DraftSheet!$C8,Aggregate!B:M,4,FALSE())</x:f>
        <x:v>WAS/7</x:v>
      </x:c>
      <x:c r="E8" s="53" t="n">
        <x:f>IFERROR(VLOOKUP(DraftSheet!$C8,Aggregate!$B:$M,8,FALSE()),"")</x:f>
        <x:v>269.5499216</x:v>
      </x:c>
      <x:c r="F8" s="53" t="n">
        <x:f>IF(Scoring!$K$6="Auction",IFERROR(VLOOKUP(DraftSheet!$C8,Aggregate!$B:$M,10,FALSE()),""),IFERROR(VLOOKUP(DraftSheet!$C8,Aggregate!$B:$M,9,FALSE()),""))</x:f>
        <x:v>25.951815747058816</x:v>
      </x:c>
      <x:c r="G8" s="61" t="n">
        <x:f>SUMIFS($J9:J$44,$I9:I$44,"&lt;&gt;x",$I9:I$44,"&lt;&gt;o",$J9:J$44,"&gt;0")/Aggregate!$J$1</x:f>
        <x:v>0.4244212501741512</x:v>
      </x:c>
      <x:c r="H8" s="53" t="n">
        <x:f t="array" ref="H8">IFERROR(INDEX(ECR!$K:$K,MATCH(DraftSheet!$C8,ECR!$C:$C,0)),"ND")</x:f>
        <x:v>60</x:v>
      </x:c>
      <x:c r="I8" s="62"/>
      <x:c r="J8" s="64" t="n">
        <x:f>VLOOKUP(C8,Aggregate!B:J,9,FALSE())</x:f>
        <x:v>25.54740942</x:v>
      </x:c>
      <x:c r="K8" s="65"/>
      <x:c r="L8" s="53" t="n">
        <x:f>IFERROR(VLOOKUP(DraftSheet!$M8,Aggregate!$P:$AA,11,FALSE()),"")</x:f>
        <x:v>2</x:v>
      </x:c>
      <x:c r="M8" s="55" t="str">
        <x:f>Aggregate!P6</x:f>
        <x:v>Jonathan Taylor</x:v>
      </x:c>
      <x:c r="N8" s="55" t="str">
        <x:f>VLOOKUP(DraftSheet!$M8,Aggregate!P:AA,4,FALSE())</x:f>
        <x:v>IND/13</x:v>
      </x:c>
      <x:c r="O8" s="53" t="n">
        <x:f>IFERROR(VLOOKUP(DraftSheet!$M8,Aggregate!$P:$AA,8,FALSE()),"")</x:f>
        <x:v>222.0342647</x:v>
      </x:c>
      <x:c r="P8" s="53" t="n">
        <x:f>IF(Scoring!$K$6="Auction",IFERROR(VLOOKUP(DraftSheet!$M8,Aggregate!$P:$AA,10,FALSE()),""),IFERROR(VLOOKUP(DraftSheet!$M8,Aggregate!$P:$AA,9,FALSE()),""))</x:f>
        <x:v>92.03393559264705</x:v>
      </x:c>
      <x:c r="Q8" s="61" t="n">
        <x:f>SUMIFS($T9:T$84,$S9:S$84,"&lt;&gt;x",$S9:S$84,"&lt;&gt;o",$T9:T$84,"&gt;0")/Aggregate!$X$1</x:f>
        <x:v>1.2983455703137259</x:v>
      </x:c>
      <x:c r="R8" s="53" t="n">
        <x:f t="array" ref="R8">IFERROR(INDEX(ECR!$K:$K,MATCH(DraftSheet!$M8,ECR!$C:$C,0)),"ND")</x:f>
        <x:v>8</x:v>
      </x:c>
      <x:c r="S8" s="62"/>
      <x:c r="T8" s="64" t="n">
        <x:f>VLOOKUP(M8,Aggregate!P:X,9,FALSE())</x:f>
        <x:v>120.534225</x:v>
      </x:c>
      <x:c r="U8" s="73"/>
      <x:c r="V8" s="53" t="n">
        <x:f>IFERROR(VLOOKUP(DraftSheet!$W8,Aggregate!$AD:$AO,11,FALSE()),"")</x:f>
        <x:v>1</x:v>
      </x:c>
      <x:c r="W8" s="55" t="str">
        <x:f>Aggregate!AD6</x:f>
        <x:v>Amon-Ra St. Brown</x:v>
      </x:c>
      <x:c r="X8" s="55" t="str">
        <x:f>VLOOKUP(DraftSheet!$W8,Aggregate!AD:AO,4,FALSE())</x:f>
        <x:v>DET/6</x:v>
      </x:c>
      <x:c r="Y8" s="53" t="n">
        <x:f>IFERROR(VLOOKUP(DraftSheet!$W8,Aggregate!$AD:$AO,8,FALSE()),"")</x:f>
        <x:v>218.0472379</x:v>
      </x:c>
      <x:c r="Z8" s="53" t="n">
        <x:f>IF(Scoring!$K$6="Auction",IFERROR(VLOOKUP(DraftSheet!$W8,Aggregate!$AD:$AO,10,FALSE()),""),IFERROR(VLOOKUP(DraftSheet!$W8,Aggregate!$AD:$AO,9,FALSE()),""))</x:f>
        <x:v>115.85232617205884</x:v>
      </x:c>
      <x:c r="AA8" s="61" t="n">
        <x:f>SUMIFS($AD9:AD$84,$AC9:AC$84,"&lt;&gt;x",$AC9:AC$84,"&lt;&gt;o",$AD9:AD$84,"&gt;0")/Aggregate!$AL$1</x:f>
        <x:v>0.7528842438213842</x:v>
      </x:c>
      <x:c r="AB8" s="53" t="n">
        <x:f t="array" ref="AB8">IFERROR(INDEX(ECR!$K:$K,MATCH(DraftSheet!$W8,ECR!$C:$C,0)),"ND")</x:f>
        <x:v>6</x:v>
      </x:c>
      <x:c r="AC8" s="62"/>
      <x:c r="AD8" s="64" t="n">
        <x:f>VLOOKUP(W8,Aggregate!AD:AL,9,FALSE())</x:f>
        <x:v>116.7328615</x:v>
      </x:c>
      <x:c r="AE8" s="2"/>
      <x:c r="AF8" s="28" t="s">
        <x:v>93</x:v>
      </x:c>
      <x:c r="AG8" s="93" t="str">
        <x:f t="array" ref="AG8">IF($AG$2="","",IF(AH2&lt;&gt;"",INDEX(F:F,AH2),IF(AH3&lt;&gt;"",INDEX(P:P,AH3),IF(AH4&lt;&gt;"",INDEX(Z:Z,AH4),IF(AH5&lt;&gt;"",INDEX(F:F,AH5),"")))))</x:f>
      </x:c>
      <x:c r="AH8" s="2"/>
    </x:row>
    <x:row r="9" ht="14.25" customHeight="1">
      <x:c r="A9" s="2"/>
      <x:c r="B9" s="53" t="n">
        <x:f>IFERROR(VLOOKUP(DraftSheet!$C9,Aggregate!$B:$M,11,FALSE()),"")</x:f>
        <x:v>2</x:v>
      </x:c>
      <x:c r="C9" s="55" t="str">
        <x:f>Aggregate!B8</x:f>
        <x:v>Jalen Hurts</x:v>
      </x:c>
      <x:c r="D9" s="55" t="str">
        <x:f>VLOOKUP(DraftSheet!$C9,Aggregate!B:M,4,FALSE())</x:f>
        <x:v>PHI/10</x:v>
      </x:c>
      <x:c r="E9" s="53" t="n">
        <x:f>IFERROR(VLOOKUP(DraftSheet!$C9,Aggregate!$B:$M,8,FALSE()),"")</x:f>
        <x:v>268.4105003</x:v>
      </x:c>
      <x:c r="F9" s="53" t="n">
        <x:f>IF(Scoring!$K$6="Auction",IFERROR(VLOOKUP(DraftSheet!$C9,Aggregate!$B:$M,10,FALSE()),""),IFERROR(VLOOKUP(DraftSheet!$C9,Aggregate!$B:$M,9,FALSE()),""))</x:f>
        <x:v>27.731987072058786</x:v>
      </x:c>
      <x:c r="G9" s="61" t="n">
        <x:f>SUMIFS($J10:J$44,$I10:I$44,"&lt;&gt;x",$I10:I$44,"&lt;&gt;o",$J10:J$44,"&gt;0")/Aggregate!$J$1</x:f>
        <x:v>0.33589131121173565</x:v>
      </x:c>
      <x:c r="H9" s="53" t="n">
        <x:f t="array" ref="H9">IFERROR(INDEX(ECR!$K:$K,MATCH(DraftSheet!$C9,ECR!$C:$C,0)),"ND")</x:f>
        <x:v>63</x:v>
      </x:c>
      <x:c r="I9" s="62"/>
      <x:c r="J9" s="64" t="n">
        <x:f>VLOOKUP(C9,Aggregate!B:J,9,FALSE())</x:f>
        <x:v>24.40798812</x:v>
      </x:c>
      <x:c r="K9" s="65"/>
      <x:c r="L9" s="53" t="n">
        <x:f>IFERROR(VLOOKUP(DraftSheet!$M9,Aggregate!$P:$AA,11,FALSE()),"")</x:f>
        <x:v>3</x:v>
      </x:c>
      <x:c r="M9" s="55" t="str">
        <x:f>Aggregate!P10</x:f>
        <x:v>De'Von Achane</x:v>
      </x:c>
      <x:c r="N9" s="55" t="str">
        <x:f>VLOOKUP(DraftSheet!$M9,Aggregate!P:AA,4,FALSE())</x:f>
        <x:v>MIA/6</x:v>
      </x:c>
      <x:c r="O9" s="53" t="n">
        <x:f>IFERROR(VLOOKUP(DraftSheet!$M9,Aggregate!$P:$AA,8,FALSE()),"")</x:f>
        <x:v>197.7338235</x:v>
      </x:c>
      <x:c r="P9" s="53" t="n">
        <x:f>IF(Scoring!$K$6="Auction",IFERROR(VLOOKUP(DraftSheet!$M9,Aggregate!$P:$AA,10,FALSE()),""),IFERROR(VLOOKUP(DraftSheet!$M9,Aggregate!$P:$AA,9,FALSE()),""))</x:f>
        <x:v>67.73349440441174</x:v>
      </x:c>
      <x:c r="Q9" s="61" t="n">
        <x:f>SUMIFS($T10:T$84,$S10:S$84,"&lt;&gt;x",$S10:S$84,"&lt;&gt;o",$T10:T$84,"&gt;0")/Aggregate!$X$1</x:f>
        <x:v>1.2242288972326247</x:v>
      </x:c>
      <x:c r="R9" s="53" t="n">
        <x:f t="array" ref="R9">IFERROR(INDEX(ECR!$K:$K,MATCH(DraftSheet!$M9,ECR!$C:$C,0)),"ND")</x:f>
        <x:v>16</x:v>
      </x:c>
      <x:c r="S9" s="62"/>
      <x:c r="T9" s="64" t="n">
        <x:f>VLOOKUP(M9,Aggregate!P:X,9,FALSE())</x:f>
        <x:v>96.23378382</x:v>
      </x:c>
      <x:c r="U9" s="73"/>
      <x:c r="V9" s="53" t="n">
        <x:f>IFERROR(VLOOKUP(DraftSheet!$W9,Aggregate!$AD:$AO,11,FALSE()),"")</x:f>
        <x:v>2</x:v>
      </x:c>
      <x:c r="W9" s="55" t="str">
        <x:f>Aggregate!AD8</x:f>
        <x:v>Justin Jefferson</x:v>
      </x:c>
      <x:c r="X9" s="55" t="str">
        <x:f>VLOOKUP(DraftSheet!$W9,Aggregate!AD:AO,4,FALSE())</x:f>
        <x:v>MIN/6</x:v>
      </x:c>
      <x:c r="Y9" s="53" t="n">
        <x:f>IFERROR(VLOOKUP(DraftSheet!$W9,Aggregate!$AD:$AO,8,FALSE()),"")</x:f>
        <x:v>185.2322918</x:v>
      </x:c>
      <x:c r="Z9" s="53" t="n">
        <x:f>IF(Scoring!$K$6="Auction",IFERROR(VLOOKUP(DraftSheet!$W9,Aggregate!$AD:$AO,10,FALSE()),""),IFERROR(VLOOKUP(DraftSheet!$W9,Aggregate!$AD:$AO,9,FALSE()),""))</x:f>
        <x:v>83.03738001764708</x:v>
      </x:c>
      <x:c r="AA9" s="61" t="n">
        <x:f>SUMIFS($AD10:AD$84,$AC10:AC$84,"&lt;&gt;x",$AC10:AC$84,"&lt;&gt;o",$AD10:AD$84,"&gt;0")/Aggregate!$AL$1</x:f>
        <x:v>0.7087703369685227</x:v>
      </x:c>
      <x:c r="AB9" s="53" t="n">
        <x:f t="array" ref="AB9">IFERROR(INDEX(ECR!$K:$K,MATCH(DraftSheet!$W9,ECR!$C:$C,0)),"ND")</x:f>
        <x:v>11</x:v>
      </x:c>
      <x:c r="AC9" s="62"/>
      <x:c r="AD9" s="64" t="n">
        <x:f>VLOOKUP(W9,Aggregate!AD:AL,9,FALSE())</x:f>
        <x:v>83.91791529</x:v>
      </x:c>
      <x:c r="AE9" s="2"/>
      <x:c r="AF9" s="28" t="s">
        <x:v>94</x:v>
      </x:c>
      <x:c r="AG9" s="99" t="str">
        <x:f t="array" ref="AG9">IF($AG$2="","",IF(AH2&lt;&gt;"",INDEX(G:G,AH2),IF(AH3&lt;&gt;"",INDEX(Q:Q,AH3),IF(AH4&lt;&gt;"",INDEX(AA:AA,AH4),IF(AH5&lt;&gt;"",INDEX(G:G,AH5),"")))))</x:f>
      </x:c>
      <x:c r="AH9" s="2"/>
    </x:row>
    <x:row r="10" ht="14.25" customHeight="1">
      <x:c r="A10" s="2"/>
      <x:c r="B10" s="53" t="n">
        <x:f>IFERROR(VLOOKUP(DraftSheet!$C10,Aggregate!$B:$M,11,FALSE()),"")</x:f>
        <x:v>2</x:v>
      </x:c>
      <x:c r="C10" s="55" t="str">
        <x:f>Aggregate!B6</x:f>
        <x:v>Joe Burrow</x:v>
      </x:c>
      <x:c r="D10" s="55" t="str">
        <x:f>VLOOKUP(DraftSheet!$C10,Aggregate!B:M,4,FALSE())</x:f>
        <x:v>CIN/6</x:v>
      </x:c>
      <x:c r="E10" s="53" t="n">
        <x:f>IFERROR(VLOOKUP(DraftSheet!$C10,Aggregate!$B:$M,8,FALSE()),"")</x:f>
        <x:v>264.8471089</x:v>
      </x:c>
      <x:c r="F10" s="53" t="n">
        <x:f>IF(Scoring!$K$6="Auction",IFERROR(VLOOKUP(DraftSheet!$C10,Aggregate!$B:$M,10,FALSE()),""),IFERROR(VLOOKUP(DraftSheet!$C10,Aggregate!$B:$M,9,FALSE()),""))</x:f>
        <x:v>20.117277733823556</x:v>
      </x:c>
      <x:c r="G10" s="61" t="n">
        <x:f>SUMIFS($J11:J$44,$I11:I$44,"&lt;&gt;x",$I11:I$44,"&lt;&gt;o",$J11:J$44,"&gt;0")/Aggregate!$J$1</x:f>
        <x:v>0.2602861091213444</x:v>
      </x:c>
      <x:c r="H10" s="53" t="n">
        <x:f t="array" ref="H10">IFERROR(INDEX(ECR!$K:$K,MATCH(DraftSheet!$C10,ECR!$C:$C,0)),"ND")</x:f>
        <x:v>50</x:v>
      </x:c>
      <x:c r="I10" s="62"/>
      <x:c r="J10" s="64" t="n">
        <x:f>VLOOKUP(C10,Aggregate!B:J,9,FALSE())</x:f>
        <x:v>20.84459671</x:v>
      </x:c>
      <x:c r="K10" s="65"/>
      <x:c r="L10" s="53" t="n">
        <x:f>IFERROR(VLOOKUP(DraftSheet!$M10,Aggregate!$P:$AA,11,FALSE()),"")</x:f>
        <x:v>3</x:v>
      </x:c>
      <x:c r="M10" s="55" t="str">
        <x:f>Aggregate!P12</x:f>
        <x:v>Derrick Henry</x:v>
      </x:c>
      <x:c r="N10" s="55" t="str">
        <x:f>VLOOKUP(DraftSheet!$M10,Aggregate!P:AA,4,FALSE())</x:f>
        <x:v>BAL/13</x:v>
      </x:c>
      <x:c r="O10" s="53" t="n">
        <x:f>IFERROR(VLOOKUP(DraftSheet!$M10,Aggregate!$P:$AA,8,FALSE()),"")</x:f>
        <x:v>196.8811765</x:v>
      </x:c>
      <x:c r="P10" s="53" t="n">
        <x:f>IF(Scoring!$K$6="Auction",IFERROR(VLOOKUP(DraftSheet!$M10,Aggregate!$P:$AA,10,FALSE()),""),IFERROR(VLOOKUP(DraftSheet!$M10,Aggregate!$P:$AA,9,FALSE()),""))</x:f>
        <x:v>66.8808473529412</x:v>
      </x:c>
      <x:c r="Q10" s="61" t="n">
        <x:f>SUMIFS($T11:T$84,$S11:S$84,"&lt;&gt;x",$S11:S$84,"&lt;&gt;o",$T11:T$84,"&gt;0")/Aggregate!$X$1</x:f>
        <x:v>1.1507689099939695</x:v>
      </x:c>
      <x:c r="R10" s="53" t="n">
        <x:f t="array" ref="R10">IFERROR(INDEX(ECR!$K:$K,MATCH(DraftSheet!$M10,ECR!$C:$C,0)),"ND")</x:f>
        <x:v>20</x:v>
      </x:c>
      <x:c r="S10" s="62"/>
      <x:c r="T10" s="64" t="n">
        <x:f>VLOOKUP(M10,Aggregate!P:X,9,FALSE())</x:f>
        <x:v>95.38113676</x:v>
      </x:c>
      <x:c r="U10" s="73"/>
      <x:c r="V10" s="53" t="n">
        <x:f>IFERROR(VLOOKUP(DraftSheet!$W10,Aggregate!$AD:$AO,11,FALSE()),"")</x:f>
        <x:v>2</x:v>
      </x:c>
      <x:c r="W10" s="55" t="str">
        <x:f>Aggregate!AD7</x:f>
        <x:v>CeeDee Lamb</x:v>
      </x:c>
      <x:c r="X10" s="55" t="str">
        <x:f>VLOOKUP(DraftSheet!$W10,Aggregate!AD:AO,4,FALSE())</x:f>
        <x:v>DAL/14</x:v>
      </x:c>
      <x:c r="Y10" s="53" t="n">
        <x:f>IFERROR(VLOOKUP(DraftSheet!$W10,Aggregate!$AD:$AO,8,FALSE()),"")</x:f>
        <x:v>184.0414043</x:v>
      </x:c>
      <x:c r="Z10" s="53" t="n">
        <x:f>IF(Scoring!$K$6="Auction",IFERROR(VLOOKUP(DraftSheet!$W10,Aggregate!$AD:$AO,10,FALSE()),""),IFERROR(VLOOKUP(DraftSheet!$W10,Aggregate!$AD:$AO,9,FALSE()),""))</x:f>
        <x:v>81.84649256911766</x:v>
      </x:c>
      <x:c r="AA10" s="61" t="n">
        <x:f>SUMIFS($AD11:AD$84,$AC11:AC$84,"&lt;&gt;x",$AC11:AC$84,"&lt;&gt;o",$AD11:AD$84,"&gt;0")/Aggregate!$AL$1</x:f>
        <x:v>0.6652824549225999</x:v>
      </x:c>
      <x:c r="AB10" s="53" t="n">
        <x:f t="array" ref="AB10">IFERROR(INDEX(ECR!$K:$K,MATCH(DraftSheet!$W10,ECR!$C:$C,0)),"ND")</x:f>
        <x:v>9</x:v>
      </x:c>
      <x:c r="AC10" s="62"/>
      <x:c r="AD10" s="64" t="n">
        <x:f>VLOOKUP(W10,Aggregate!AD:AL,9,FALSE())</x:f>
        <x:v>82.72702787</x:v>
      </x:c>
      <x:c r="AE10" s="2"/>
      <x:c r="AF10" s="28" t="s">
        <x:v>95</x:v>
      </x:c>
      <x:c r="AG10" s="39" t="str">
        <x:f t="array" ref="AG10">IF($AG$2="","",IF(AH2&lt;&gt;"",INDEX(H:H,AH2),IF(AH3&lt;&gt;"",INDEX(R:R,AH3),IF(AH4&lt;&gt;"",INDEX(AB:AB,AH4),IF(AH5&lt;&gt;"",INDEX(H:H,AH5),"")))))</x:f>
      </x:c>
      <x:c r="AH10" s="2"/>
    </x:row>
    <x:row r="11" ht="14.25" customHeight="1">
      <x:c r="A11" s="2"/>
      <x:c r="B11" s="53" t="n">
        <x:f>IFERROR(VLOOKUP(DraftSheet!$C11,Aggregate!$B:$M,11,FALSE()),"")</x:f>
        <x:v>3</x:v>
      </x:c>
      <x:c r="C11" s="55" t="str">
        <x:f>Aggregate!B11</x:f>
        <x:v>Trevor Lawrence</x:v>
      </x:c>
      <x:c r="D11" s="55" t="str">
        <x:f>VLOOKUP(DraftSheet!$C11,Aggregate!B:M,4,FALSE())</x:f>
        <x:v>JAC/7</x:v>
      </x:c>
      <x:c r="E11" s="53" t="n">
        <x:f>IFERROR(VLOOKUP(DraftSheet!$C11,Aggregate!$B:$M,8,FALSE()),"")</x:f>
        <x:v>257.0833541</x:v>
      </x:c>
      <x:c r="F11" s="53" t="n">
        <x:f>IF(Scoring!$K$6="Auction",IFERROR(VLOOKUP(DraftSheet!$C11,Aggregate!$B:$M,10,FALSE()),""),IFERROR(VLOOKUP(DraftSheet!$C11,Aggregate!$B:$M,9,FALSE()),""))</x:f>
        <x:v>12.593299347058831</x:v>
      </x:c>
      <x:c r="G11" s="61" t="n">
        <x:f>SUMIFS($J12:J$44,$I12:I$44,"&lt;&gt;x",$I12:I$44,"&lt;&gt;o",$J12:J$44,"&gt;0")/Aggregate!$J$1</x:f>
        <x:v>0.21284073489123304</x:v>
      </x:c>
      <x:c r="H11" s="53" t="n">
        <x:f t="array" ref="H11">IFERROR(INDEX(ECR!$K:$K,MATCH(DraftSheet!$C11,ECR!$C:$C,0)),"ND")</x:f>
        <x:v>75</x:v>
      </x:c>
      <x:c r="I11" s="62"/>
      <x:c r="J11" s="64" t="n">
        <x:f>VLOOKUP(C11,Aggregate!B:J,9,FALSE())</x:f>
        <x:v>13.08084185</x:v>
      </x:c>
      <x:c r="K11" s="65"/>
      <x:c r="L11" s="53" t="n">
        <x:f>IFERROR(VLOOKUP(DraftSheet!$M11,Aggregate!$P:$AA,11,FALSE()),"")</x:f>
        <x:v>3</x:v>
      </x:c>
      <x:c r="M11" s="55" t="str">
        <x:f>Aggregate!P7</x:f>
        <x:v>James Cook III</x:v>
      </x:c>
      <x:c r="N11" s="55" t="str">
        <x:f>VLOOKUP(DraftSheet!$M11,Aggregate!P:AA,4,FALSE())</x:f>
        <x:v>BUF/7</x:v>
      </x:c>
      <x:c r="O11" s="53" t="n">
        <x:f>IFERROR(VLOOKUP(DraftSheet!$M11,Aggregate!$P:$AA,8,FALSE()),"")</x:f>
        <x:v>195.6939706</x:v>
      </x:c>
      <x:c r="P11" s="53" t="n">
        <x:f>IF(Scoring!$K$6="Auction",IFERROR(VLOOKUP(DraftSheet!$M11,Aggregate!$P:$AA,10,FALSE()),""),IFERROR(VLOOKUP(DraftSheet!$M11,Aggregate!$P:$AA,9,FALSE()),""))</x:f>
        <x:v>65.69364146470588</x:v>
      </x:c>
      <x:c r="Q11" s="61" t="n">
        <x:f>SUMIFS($T12:T$84,$S12:S$84,"&lt;&gt;x",$S12:S$84,"&lt;&gt;o",$T12:T$84,"&gt;0")/Aggregate!$X$1</x:f>
        <x:v>1.078223276806408</x:v>
      </x:c>
      <x:c r="R11" s="53" t="n">
        <x:f t="array" ref="R11">IFERROR(INDEX(ECR!$K:$K,MATCH(DraftSheet!$M11,ECR!$C:$C,0)),"ND")</x:f>
        <x:v>10</x:v>
      </x:c>
      <x:c r="S11" s="62"/>
      <x:c r="T11" s="64" t="n">
        <x:f>VLOOKUP(M11,Aggregate!P:X,9,FALSE())</x:f>
        <x:v>94.19393088</x:v>
      </x:c>
      <x:c r="U11" s="73"/>
      <x:c r="V11" s="53" t="n">
        <x:f>IFERROR(VLOOKUP(DraftSheet!$W11,Aggregate!$AD:$AO,11,FALSE()),"")</x:f>
        <x:v>2</x:v>
      </x:c>
      <x:c r="W11" s="55" t="str">
        <x:f>Aggregate!AD9</x:f>
        <x:v>Drake London</x:v>
      </x:c>
      <x:c r="X11" s="55" t="str">
        <x:f>VLOOKUP(DraftSheet!$W11,Aggregate!AD:AO,4,FALSE())</x:f>
        <x:v>ATL/11</x:v>
      </x:c>
      <x:c r="Y11" s="53" t="n">
        <x:f>IFERROR(VLOOKUP(DraftSheet!$W11,Aggregate!$AD:$AO,8,FALSE()),"")</x:f>
        <x:v>181.2615818</x:v>
      </x:c>
      <x:c r="Z11" s="53" t="n">
        <x:f>IF(Scoring!$K$6="Auction",IFERROR(VLOOKUP(DraftSheet!$W11,Aggregate!$AD:$AO,10,FALSE()),""),IFERROR(VLOOKUP(DraftSheet!$W11,Aggregate!$AD:$AO,9,FALSE()),""))</x:f>
        <x:v>79.0666700897059</x:v>
      </x:c>
      <x:c r="AA11" s="61" t="n">
        <x:f>SUMIFS($AD12:AD$84,$AC12:AC$84,"&lt;&gt;x",$AC12:AC$84,"&lt;&gt;o",$AD12:AD$84,"&gt;0")/Aggregate!$AL$1</x:f>
        <x:v>0.6232558678863147</x:v>
      </x:c>
      <x:c r="AB11" s="53" t="n">
        <x:f t="array" ref="AB11">IFERROR(INDEX(ECR!$K:$K,MATCH(DraftSheet!$W11,ECR!$C:$C,0)),"ND")</x:f>
        <x:v>13</x:v>
      </x:c>
      <x:c r="AC11" s="62"/>
      <x:c r="AD11" s="64" t="n">
        <x:f>VLOOKUP(W11,Aggregate!AD:AL,9,FALSE())</x:f>
        <x:v>79.94720537</x:v>
      </x:c>
      <x:c r="AE11" s="2"/>
      <x:c r="AF11" s="28" t="s">
        <x:v>96</x:v>
      </x:c>
      <x:c r="AG11" s="39" t="str">
        <x:f t="array" ref="AG11">IF($AG$2="","",IF(AH2&lt;&gt;"",IF(INDEX(I:I,AH2)="","Available",INDEX(I:I,AH2)),IF(AH3&lt;&gt;"",IF(INDEX(S:S,AH3)="","Available",INDEX(S:S,AH3)),IF(AH4&lt;&gt;"",IF(INDEX(AC:AC,AH4)="","Available",INDEX(AC:AC,AH4)),IF(AH5&lt;&gt;"",IF(INDEX(I:I,AH5)="","Available",INDEX(I:I,AH5)),"")))))</x:f>
      </x:c>
      <x:c r="AH11" s="2"/>
    </x:row>
    <x:row r="12" ht="14.25" customHeight="1">
      <x:c r="A12" s="2"/>
      <x:c r="B12" s="53" t="n">
        <x:f>IFERROR(VLOOKUP(DraftSheet!$C12,Aggregate!$B:$M,11,FALSE()),"")</x:f>
        <x:v>3</x:v>
      </x:c>
      <x:c r="C12" s="55" t="str">
        <x:f>Aggregate!B14</x:f>
        <x:v>Jaxson Dart</x:v>
      </x:c>
      <x:c r="D12" s="55" t="str">
        <x:f>VLOOKUP(DraftSheet!$C12,Aggregate!B:M,4,FALSE())</x:f>
        <x:v>NYG/8</x:v>
      </x:c>
      <x:c r="E12" s="53" t="n">
        <x:f>IFERROR(VLOOKUP(DraftSheet!$C12,Aggregate!$B:$M,8,FALSE()),"")</x:f>
        <x:v>255.8620874</x:v>
      </x:c>
      <x:c r="F12" s="53" t="n">
        <x:f>IF(Scoring!$K$6="Auction",IFERROR(VLOOKUP(DraftSheet!$C12,Aggregate!$B:$M,10,FALSE()),""),IFERROR(VLOOKUP(DraftSheet!$C12,Aggregate!$B:$M,9,FALSE()),""))</x:f>
        <x:v>12.120402074999987</x:v>
      </x:c>
      <x:c r="G12" s="61" t="n">
        <x:f>SUMIFS($J13:J$44,$I13:I$44,"&lt;&gt;x",$I13:I$44,"&lt;&gt;o",$J13:J$44,"&gt;0")/Aggregate!$J$1</x:f>
        <x:v>0.16982500332527634</x:v>
      </x:c>
      <x:c r="H12" s="53" t="n">
        <x:f t="array" ref="H12">IFERROR(INDEX(ECR!$K:$K,MATCH(DraftSheet!$C12,ECR!$C:$C,0)),"ND")</x:f>
        <x:v>98</x:v>
      </x:c>
      <x:c r="I12" s="62"/>
      <x:c r="J12" s="64" t="n">
        <x:f>VLOOKUP(C12,Aggregate!B:J,9,FALSE())</x:f>
        <x:v>11.85957516</x:v>
      </x:c>
      <x:c r="K12" s="65"/>
      <x:c r="L12" s="53" t="n">
        <x:f>IFERROR(VLOOKUP(DraftSheet!$M12,Aggregate!$P:$AA,11,FALSE()),"")</x:f>
        <x:v>3</x:v>
      </x:c>
      <x:c r="M12" s="55" t="str">
        <x:f>Aggregate!P8</x:f>
        <x:v>Chase Brown</x:v>
      </x:c>
      <x:c r="N12" s="55" t="str">
        <x:f>VLOOKUP(DraftSheet!$M12,Aggregate!P:AA,4,FALSE())</x:f>
        <x:v>CIN/6</x:v>
      </x:c>
      <x:c r="O12" s="53" t="n">
        <x:f>IFERROR(VLOOKUP(DraftSheet!$M12,Aggregate!$P:$AA,8,FALSE()),"")</x:f>
        <x:v>191.4536765</x:v>
      </x:c>
      <x:c r="P12" s="53" t="n">
        <x:f>IF(Scoring!$K$6="Auction",IFERROR(VLOOKUP(DraftSheet!$M12,Aggregate!$P:$AA,10,FALSE()),""),IFERROR(VLOOKUP(DraftSheet!$M12,Aggregate!$P:$AA,9,FALSE()),""))</x:f>
        <x:v>61.45334734999997</x:v>
      </x:c>
      <x:c r="Q12" s="61" t="n">
        <x:f>SUMIFS($T13:T$84,$S13:S$84,"&lt;&gt;x",$S13:S$84,"&lt;&gt;o",$T13:T$84,"&gt;0")/Aggregate!$X$1</x:f>
        <x:v>1.0089434041510066</x:v>
      </x:c>
      <x:c r="R12" s="53" t="n">
        <x:f t="array" ref="R12">IFERROR(INDEX(ECR!$K:$K,MATCH(DraftSheet!$M12,ECR!$C:$C,0)),"ND")</x:f>
        <x:v>12</x:v>
      </x:c>
      <x:c r="S12" s="62"/>
      <x:c r="T12" s="64" t="n">
        <x:f>VLOOKUP(M12,Aggregate!P:X,9,FALSE())</x:f>
        <x:v>89.95363676</x:v>
      </x:c>
      <x:c r="U12" s="73"/>
      <x:c r="V12" s="53" t="n">
        <x:f>IFERROR(VLOOKUP(DraftSheet!$W12,Aggregate!$AD:$AO,11,FALSE()),"")</x:f>
        <x:v>2</x:v>
      </x:c>
      <x:c r="W12" s="55" t="str">
        <x:f>Aggregate!AD10</x:f>
        <x:v>A.J. Brown</x:v>
      </x:c>
      <x:c r="X12" s="55" t="str">
        <x:f>VLOOKUP(DraftSheet!$W12,Aggregate!AD:AO,4,FALSE())</x:f>
        <x:v>NE/11</x:v>
      </x:c>
      <x:c r="Y12" s="53" t="n">
        <x:f>IFERROR(VLOOKUP(DraftSheet!$W12,Aggregate!$AD:$AO,8,FALSE()),"")</x:f>
        <x:v>176.0786305</x:v>
      </x:c>
      <x:c r="Z12" s="53" t="n">
        <x:f>IF(Scoring!$K$6="Auction",IFERROR(VLOOKUP(DraftSheet!$W12,Aggregate!$AD:$AO,10,FALSE()),""),IFERROR(VLOOKUP(DraftSheet!$W12,Aggregate!$AD:$AO,9,FALSE()),""))</x:f>
        <x:v>73.88371875882353</x:v>
      </x:c>
      <x:c r="AA12" s="61" t="n">
        <x:f>SUMIFS($AD13:AD$84,$AC13:AC$84,"&lt;&gt;x",$AC13:AC$84,"&lt;&gt;o",$AD13:AD$84,"&gt;0")/Aggregate!$AL$1</x:f>
        <x:v>0.5839538508230135</x:v>
      </x:c>
      <x:c r="AB12" s="53" t="n">
        <x:f t="array" ref="AB12">IFERROR(INDEX(ECR!$K:$K,MATCH(DraftSheet!$W12,ECR!$C:$C,0)),"ND")</x:f>
        <x:v>15</x:v>
      </x:c>
      <x:c r="AC12" s="62"/>
      <x:c r="AD12" s="64" t="n">
        <x:f>VLOOKUP(W12,Aggregate!AD:AL,9,FALSE())</x:f>
        <x:v>74.76425404</x:v>
      </x:c>
      <x:c r="AE12" s="2"/>
      <x:c r="AF12" s="2"/>
      <x:c r="AG12" s="2"/>
      <x:c r="AH12" s="2"/>
    </x:row>
    <x:row r="13" ht="14.25" customHeight="1">
      <x:c r="A13" s="2"/>
      <x:c r="B13" s="53" t="n">
        <x:f>IFERROR(VLOOKUP(DraftSheet!$C13,Aggregate!$B:$M,11,FALSE()),"")</x:f>
        <x:v>3</x:v>
      </x:c>
      <x:c r="C13" s="55" t="str">
        <x:f>Aggregate!B13</x:f>
        <x:v>Brock Purdy</x:v>
      </x:c>
      <x:c r="D13" s="55" t="str">
        <x:f>VLOOKUP(DraftSheet!$C13,Aggregate!B:M,4,FALSE())</x:f>
        <x:v>SF/8</x:v>
      </x:c>
      <x:c r="E13" s="53" t="n">
        <x:f>IFERROR(VLOOKUP(DraftSheet!$C13,Aggregate!$B:$M,8,FALSE()),"")</x:f>
        <x:v>255.7833397</x:v>
      </x:c>
      <x:c r="F13" s="53" t="n">
        <x:f>IF(Scoring!$K$6="Auction",IFERROR(VLOOKUP(DraftSheet!$C13,Aggregate!$B:$M,10,FALSE()),""),IFERROR(VLOOKUP(DraftSheet!$C13,Aggregate!$B:$M,9,FALSE()),""))</x:f>
        <x:v>11.022472775000011</x:v>
      </x:c>
      <x:c r="G13" s="61" t="n">
        <x:f>SUMIFS($J14:J$44,$I14:I$44,"&lt;&gt;x",$I14:I$44,"&lt;&gt;o",$J14:J$44,"&gt;0")/Aggregate!$J$1</x:f>
        <x:v>0.12709489658302722</x:v>
      </x:c>
      <x:c r="H13" s="53" t="n">
        <x:f t="array" ref="H13">IFERROR(INDEX(ECR!$K:$K,MATCH(DraftSheet!$C13,ECR!$C:$C,0)),"ND")</x:f>
        <x:v>91</x:v>
      </x:c>
      <x:c r="I13" s="62"/>
      <x:c r="J13" s="64" t="n">
        <x:f>VLOOKUP(C13,Aggregate!B:J,9,FALSE())</x:f>
        <x:v>11.78082748</x:v>
      </x:c>
      <x:c r="K13" s="65"/>
      <x:c r="L13" s="53" t="n">
        <x:f>IFERROR(VLOOKUP(DraftSheet!$M13,Aggregate!$P:$AA,11,FALSE()),"")</x:f>
        <x:v>3</x:v>
      </x:c>
      <x:c r="M13" s="55" t="str">
        <x:f>Aggregate!P9</x:f>
        <x:v>Saquon Barkley</x:v>
      </x:c>
      <x:c r="N13" s="55" t="str">
        <x:f>VLOOKUP(DraftSheet!$M13,Aggregate!P:AA,4,FALSE())</x:f>
        <x:v>PHI/10</x:v>
      </x:c>
      <x:c r="O13" s="53" t="n">
        <x:f>IFERROR(VLOOKUP(DraftSheet!$M13,Aggregate!$P:$AA,8,FALSE()),"")</x:f>
        <x:v>188.4885294</x:v>
      </x:c>
      <x:c r="P13" s="53" t="n">
        <x:f>IF(Scoring!$K$6="Auction",IFERROR(VLOOKUP(DraftSheet!$M13,Aggregate!$P:$AA,10,FALSE()),""),IFERROR(VLOOKUP(DraftSheet!$M13,Aggregate!$P:$AA,9,FALSE()),""))</x:f>
        <x:v>58.48820028529411</x:v>
      </x:c>
      <x:c r="Q13" s="61" t="n">
        <x:f>SUMIFS($T14:T$84,$S14:S$84,"&lt;&gt;x",$S14:S$84,"&lt;&gt;o",$T14:T$84,"&gt;0")/Aggregate!$X$1</x:f>
        <x:v>0.9419472080364059</x:v>
      </x:c>
      <x:c r="R13" s="53" t="n">
        <x:f t="array" ref="R13">IFERROR(INDEX(ECR!$K:$K,MATCH(DraftSheet!$M13,ECR!$C:$C,0)),"ND")</x:f>
        <x:v>14</x:v>
      </x:c>
      <x:c r="S13" s="62"/>
      <x:c r="T13" s="64" t="n">
        <x:f>VLOOKUP(M13,Aggregate!P:X,9,FALSE())</x:f>
        <x:v>86.98848971</x:v>
      </x:c>
      <x:c r="U13" s="73"/>
      <x:c r="V13" s="53" t="n">
        <x:f>IFERROR(VLOOKUP(DraftSheet!$W13,Aggregate!$AD:$AO,11,FALSE()),"")</x:f>
        <x:v>2</x:v>
      </x:c>
      <x:c r="W13" s="55" t="str">
        <x:f>Aggregate!AD15</x:f>
        <x:v>Rashee Rice</x:v>
      </x:c>
      <x:c r="X13" s="55" t="str">
        <x:f>VLOOKUP(DraftSheet!$W13,Aggregate!AD:AO,4,FALSE())</x:f>
        <x:v>KC/5</x:v>
      </x:c>
      <x:c r="Y13" s="53" t="n">
        <x:f>IFERROR(VLOOKUP(DraftSheet!$W13,Aggregate!$AD:$AO,8,FALSE()),"")</x:f>
        <x:v>174.7254483</x:v>
      </x:c>
      <x:c r="Z13" s="53" t="n">
        <x:f>IF(Scoring!$K$6="Auction",IFERROR(VLOOKUP(DraftSheet!$W13,Aggregate!$AD:$AO,10,FALSE()),""),IFERROR(VLOOKUP(DraftSheet!$W13,Aggregate!$AD:$AO,9,FALSE()),""))</x:f>
        <x:v>72.53053656911766</x:v>
      </x:c>
      <x:c r="AA13" s="61" t="n">
        <x:f>SUMIFS($AD14:AD$84,$AC14:AC$84,"&lt;&gt;x",$AC14:AC$84,"&lt;&gt;o",$AD14:AD$84,"&gt;0")/Aggregate!$AL$1</x:f>
        <x:v>0.5453631735597818</x:v>
      </x:c>
      <x:c r="AB13" s="53" t="n">
        <x:f t="array" ref="AB13">IFERROR(INDEX(ECR!$K:$K,MATCH(DraftSheet!$W13,ECR!$C:$C,0)),"ND")</x:f>
        <x:v>29</x:v>
      </x:c>
      <x:c r="AC13" s="62"/>
      <x:c r="AD13" s="64" t="n">
        <x:f>VLOOKUP(W13,Aggregate!AD:AL,9,FALSE())</x:f>
        <x:v>73.41107185</x:v>
      </x:c>
      <x:c r="AE13" s="2"/>
      <x:c r="AF13" s="2"/>
      <x:c r="AG13" s="2"/>
      <x:c r="AH13" s="2"/>
    </x:row>
    <x:row r="14" ht="14.25" customHeight="1">
      <x:c r="A14" s="2"/>
      <x:c r="B14" s="53" t="n">
        <x:f>IFERROR(VLOOKUP(DraftSheet!$C14,Aggregate!$B:$M,11,FALSE()),"")</x:f>
        <x:v>3</x:v>
      </x:c>
      <x:c r="C14" s="55" t="str">
        <x:f>Aggregate!B12</x:f>
        <x:v>Dak Prescott</x:v>
      </x:c>
      <x:c r="D14" s="55" t="str">
        <x:f>VLOOKUP(DraftSheet!$C14,Aggregate!B:M,4,FALSE())</x:f>
        <x:v>DAL/14</x:v>
      </x:c>
      <x:c r="E14" s="53" t="n">
        <x:f>IFERROR(VLOOKUP(DraftSheet!$C14,Aggregate!$B:$M,8,FALSE()),"")</x:f>
        <x:v>255.0833425</x:v>
      </x:c>
      <x:c r="F14" s="53" t="n">
        <x:f>IF(Scoring!$K$6="Auction",IFERROR(VLOOKUP(DraftSheet!$C14,Aggregate!$B:$M,10,FALSE()),""),IFERROR(VLOOKUP(DraftSheet!$C14,Aggregate!$B:$M,9,FALSE()),""))</x:f>
        <x:v>11.423632177941158</x:v>
      </x:c>
      <x:c r="G14" s="61" t="n">
        <x:f>SUMIFS($J15:J$44,$I15:I$44,"&lt;&gt;x",$I15:I$44,"&lt;&gt;o",$J15:J$44,"&gt;0")/Aggregate!$J$1</x:f>
        <x:v>0.08690374180540489</x:v>
      </x:c>
      <x:c r="H14" s="53" t="n">
        <x:f t="array" ref="H14">IFERROR(INDEX(ECR!$K:$K,MATCH(DraftSheet!$C14,ECR!$C:$C,0)),"ND")</x:f>
        <x:v>77</x:v>
      </x:c>
      <x:c r="I14" s="62"/>
      <x:c r="J14" s="64" t="n">
        <x:f>VLOOKUP(C14,Aggregate!B:J,9,FALSE())</x:f>
        <x:v>11.08083028</x:v>
      </x:c>
      <x:c r="K14" s="65"/>
      <x:c r="L14" s="53" t="n">
        <x:f>IFERROR(VLOOKUP(DraftSheet!$M14,Aggregate!$P:$AA,11,FALSE()),"")</x:f>
        <x:v>3</x:v>
      </x:c>
      <x:c r="M14" s="55" t="str">
        <x:f>Aggregate!P13</x:f>
        <x:v>Kenneth Walker III</x:v>
      </x:c>
      <x:c r="N14" s="55" t="str">
        <x:f>VLOOKUP(DraftSheet!$M14,Aggregate!P:AA,4,FALSE())</x:f>
        <x:v>KC/5</x:v>
      </x:c>
      <x:c r="O14" s="53" t="n">
        <x:f>IFERROR(VLOOKUP(DraftSheet!$M14,Aggregate!$P:$AA,8,FALSE()),"")</x:f>
        <x:v>178.8772279</x:v>
      </x:c>
      <x:c r="P14" s="53" t="n">
        <x:f>IF(Scoring!$K$6="Auction",IFERROR(VLOOKUP(DraftSheet!$M14,Aggregate!$P:$AA,10,FALSE()),""),IFERROR(VLOOKUP(DraftSheet!$M14,Aggregate!$P:$AA,9,FALSE()),""))</x:f>
        <x:v>48.87689881029411</x:v>
      </x:c>
      <x:c r="Q14" s="61" t="n">
        <x:f>SUMIFS($T15:T$84,$S15:S$84,"&lt;&gt;x",$S15:S$84,"&lt;&gt;o",$T15:T$84,"&gt;0")/Aggregate!$X$1</x:f>
        <x:v>0.8823533779169771</x:v>
      </x:c>
      <x:c r="R14" s="53" t="n">
        <x:f t="array" ref="R14">IFERROR(INDEX(ECR!$K:$K,MATCH(DraftSheet!$M14,ECR!$C:$C,0)),"ND")</x:f>
        <x:v>21</x:v>
      </x:c>
      <x:c r="S14" s="62"/>
      <x:c r="T14" s="64" t="n">
        <x:f>VLOOKUP(M14,Aggregate!P:X,9,FALSE())</x:f>
        <x:v>77.37718824</x:v>
      </x:c>
      <x:c r="U14" s="73"/>
      <x:c r="V14" s="53" t="n">
        <x:f>IFERROR(VLOOKUP(DraftSheet!$W14,Aggregate!$AD:$AO,11,FALSE()),"")</x:f>
        <x:v>2</x:v>
      </x:c>
      <x:c r="W14" s="55" t="str">
        <x:f>Aggregate!AD12</x:f>
        <x:v>George Pickens</x:v>
      </x:c>
      <x:c r="X14" s="55" t="str">
        <x:f>VLOOKUP(DraftSheet!$W14,Aggregate!AD:AO,4,FALSE())</x:f>
        <x:v>DAL/14</x:v>
      </x:c>
      <x:c r="Y14" s="53" t="n">
        <x:f>IFERROR(VLOOKUP(DraftSheet!$W14,Aggregate!$AD:$AO,8,FALSE()),"")</x:f>
        <x:v>173.1393276</x:v>
      </x:c>
      <x:c r="Z14" s="53" t="n">
        <x:f>IF(Scoring!$K$6="Auction",IFERROR(VLOOKUP(DraftSheet!$W14,Aggregate!$AD:$AO,10,FALSE()),""),IFERROR(VLOOKUP(DraftSheet!$W14,Aggregate!$AD:$AO,9,FALSE()),""))</x:f>
        <x:v>70.944415825</x:v>
      </x:c>
      <x:c r="AA14" s="61" t="n">
        <x:f>SUMIFS($AD15:AD$84,$AC15:AC$84,"&lt;&gt;x",$AC15:AC$84,"&lt;&gt;o",$AD15:AD$84,"&gt;0")/Aggregate!$AL$1</x:f>
        <x:v>0.5076062870643626</x:v>
      </x:c>
      <x:c r="AB14" s="53" t="n">
        <x:f t="array" ref="AB14">IFERROR(INDEX(ECR!$K:$K,MATCH(DraftSheet!$W14,ECR!$C:$C,0)),"ND")</x:f>
        <x:v>23</x:v>
      </x:c>
      <x:c r="AC14" s="62"/>
      <x:c r="AD14" s="64" t="n">
        <x:f>VLOOKUP(W14,Aggregate!AD:AL,9,FALSE())</x:f>
        <x:v>71.8249511</x:v>
      </x:c>
      <x:c r="AE14" s="2"/>
      <x:c r="AF14" s="2"/>
      <x:c r="AG14" s="2"/>
      <x:c r="AH14" s="2"/>
    </x:row>
    <x:row r="15" ht="14.25" customHeight="1">
      <x:c r="A15" s="2"/>
      <x:c r="B15" s="53" t="n">
        <x:f>IFERROR(VLOOKUP(DraftSheet!$C15,Aggregate!$B:$M,11,FALSE()),"")</x:f>
        <x:v>3</x:v>
      </x:c>
      <x:c r="C15" s="55" t="str">
        <x:f>Aggregate!B9</x:f>
        <x:v>Caleb Williams</x:v>
      </x:c>
      <x:c r="D15" s="55" t="str">
        <x:f>VLOOKUP(DraftSheet!$C15,Aggregate!B:M,4,FALSE())</x:f>
        <x:v>CHI/10</x:v>
      </x:c>
      <x:c r="E15" s="53" t="n">
        <x:f>IFERROR(VLOOKUP(DraftSheet!$C15,Aggregate!$B:$M,8,FALSE()),"")</x:f>
        <x:v>254.204151</x:v>
      </x:c>
      <x:c r="F15" s="53" t="n">
        <x:f>IF(Scoring!$K$6="Auction",IFERROR(VLOOKUP(DraftSheet!$C15,Aggregate!$B:$M,10,FALSE()),""),IFERROR(VLOOKUP(DraftSheet!$C15,Aggregate!$B:$M,9,FALSE()),""))</x:f>
        <x:v>11.892005772058809</x:v>
      </x:c>
      <x:c r="G15" s="61" t="n">
        <x:f>SUMIFS($J16:J$44,$I16:I$44,"&lt;&gt;x",$I16:I$44,"&lt;&gt;o",$J16:J$44,"&gt;0")/Aggregate!$J$1</x:f>
        <x:v>0.049901492765928784</x:v>
      </x:c>
      <x:c r="H15" s="53" t="n">
        <x:f t="array" ref="H15">IFERROR(INDEX(ECR!$K:$K,MATCH(DraftSheet!$C15,ECR!$C:$C,0)),"ND")</x:f>
        <x:v>67</x:v>
      </x:c>
      <x:c r="I15" s="62"/>
      <x:c r="J15" s="64" t="n">
        <x:f>VLOOKUP(C15,Aggregate!B:J,9,FALSE())</x:f>
        <x:v>10.20163874</x:v>
      </x:c>
      <x:c r="K15" s="65"/>
      <x:c r="L15" s="53" t="n">
        <x:f>IFERROR(VLOOKUP(DraftSheet!$M15,Aggregate!$P:$AA,11,FALSE()),"")</x:f>
        <x:v>3</x:v>
      </x:c>
      <x:c r="M15" s="55" t="str">
        <x:f>Aggregate!P14</x:f>
        <x:v>Ashton Jeanty</x:v>
      </x:c>
      <x:c r="N15" s="55" t="str">
        <x:f>VLOOKUP(DraftSheet!$M15,Aggregate!P:AA,4,FALSE())</x:f>
        <x:v>LV/13</x:v>
      </x:c>
      <x:c r="O15" s="53" t="n">
        <x:f>IFERROR(VLOOKUP(DraftSheet!$M15,Aggregate!$P:$AA,8,FALSE()),"")</x:f>
        <x:v>178.2108824</x:v>
      </x:c>
      <x:c r="P15" s="53" t="n">
        <x:f>IF(Scoring!$K$6="Auction",IFERROR(VLOOKUP(DraftSheet!$M15,Aggregate!$P:$AA,10,FALSE()),""),IFERROR(VLOOKUP(DraftSheet!$M15,Aggregate!$P:$AA,9,FALSE()),""))</x:f>
        <x:v>48.21055323970586</x:v>
      </x:c>
      <x:c r="Q15" s="61" t="n">
        <x:f>SUMIFS($T16:T$84,$S16:S$84,"&lt;&gt;x",$S16:S$84,"&lt;&gt;o",$T16:T$84,"&gt;0")/Aggregate!$X$1</x:f>
        <x:v>0.8232727492564607</x:v>
      </x:c>
      <x:c r="R15" s="53" t="n">
        <x:f t="array" ref="R15">IFERROR(INDEX(ECR!$K:$K,MATCH(DraftSheet!$M15,ECR!$C:$C,0)),"ND")</x:f>
        <x:v>22</x:v>
      </x:c>
      <x:c r="S15" s="62"/>
      <x:c r="T15" s="64" t="n">
        <x:f>VLOOKUP(M15,Aggregate!P:X,9,FALSE())</x:f>
        <x:v>76.71084265</x:v>
      </x:c>
      <x:c r="U15" s="73"/>
      <x:c r="V15" s="53" t="n">
        <x:f>IFERROR(VLOOKUP(DraftSheet!$W15,Aggregate!$AD:$AO,11,FALSE()),"")</x:f>
        <x:v>2</x:v>
      </x:c>
      <x:c r="W15" s="55" t="str">
        <x:f>Aggregate!AD13</x:f>
        <x:v>Chris Olave</x:v>
      </x:c>
      <x:c r="X15" s="55" t="str">
        <x:f>VLOOKUP(DraftSheet!$W15,Aggregate!AD:AO,4,FALSE())</x:f>
        <x:v>NO/8</x:v>
      </x:c>
      <x:c r="Y15" s="53" t="n">
        <x:f>IFERROR(VLOOKUP(DraftSheet!$W15,Aggregate!$AD:$AO,8,FALSE()),"")</x:f>
        <x:v>172.660061</x:v>
      </x:c>
      <x:c r="Z15" s="53" t="n">
        <x:f>IF(Scoring!$K$6="Auction",IFERROR(VLOOKUP(DraftSheet!$W15,Aggregate!$AD:$AO,10,FALSE()),""),IFERROR(VLOOKUP(DraftSheet!$W15,Aggregate!$AD:$AO,9,FALSE()),""))</x:f>
        <x:v>70.4651492632353</x:v>
      </x:c>
      <x:c r="AA15" s="61" t="n">
        <x:f>SUMIFS($AD16:AD$84,$AC16:AC$84,"&lt;&gt;x",$AC16:AC$84,"&lt;&gt;o",$AD16:AD$84,"&gt;0")/Aggregate!$AL$1</x:f>
        <x:v>0.470101341044707</x:v>
      </x:c>
      <x:c r="AB15" s="53" t="n">
        <x:f t="array" ref="AB15">IFERROR(INDEX(ECR!$K:$K,MATCH(DraftSheet!$W15,ECR!$C:$C,0)),"ND")</x:f>
        <x:v>24</x:v>
      </x:c>
      <x:c r="AC15" s="62"/>
      <x:c r="AD15" s="64" t="n">
        <x:f>VLOOKUP(W15,Aggregate!AD:AL,9,FALSE())</x:f>
        <x:v>71.34568456</x:v>
      </x:c>
      <x:c r="AE15" s="2"/>
      <x:c r="AF15" s="2"/>
      <x:c r="AG15" s="2"/>
      <x:c r="AH15" s="2"/>
    </x:row>
    <x:row r="16" ht="14.25" customHeight="1">
      <x:c r="A16" s="2"/>
      <x:c r="B16" s="53" t="n">
        <x:f>IFERROR(VLOOKUP(DraftSheet!$C16,Aggregate!$B:$M,11,FALSE()),"")</x:f>
        <x:v>3</x:v>
      </x:c>
      <x:c r="C16" s="55" t="str">
        <x:f>Aggregate!B10</x:f>
        <x:v>Justin Herbert</x:v>
      </x:c>
      <x:c r="D16" s="55" t="str">
        <x:f>VLOOKUP(DraftSheet!$C16,Aggregate!B:M,4,FALSE())</x:f>
        <x:v>LAC/7</x:v>
      </x:c>
      <x:c r="E16" s="53" t="n">
        <x:f>IFERROR(VLOOKUP(DraftSheet!$C16,Aggregate!$B:$M,8,FALSE()),"")</x:f>
        <x:v>253.2052478</x:v>
      </x:c>
      <x:c r="F16" s="53" t="n">
        <x:f>IF(Scoring!$K$6="Auction",IFERROR(VLOOKUP(DraftSheet!$C16,Aggregate!$B:$M,10,FALSE()),""),IFERROR(VLOOKUP(DraftSheet!$C16,Aggregate!$B:$M,9,FALSE()),""))</x:f>
        <x:v>9.015145379411763</x:v>
      </x:c>
      <x:c r="G16" s="61" t="n">
        <x:f>SUMIFS($J17:J$44,$I17:I$44,"&lt;&gt;x",$I17:I$44,"&lt;&gt;o",$J17:J$44,"&gt;0")/Aggregate!$J$1</x:f>
        <x:v>0.016522354329834132</x:v>
      </x:c>
      <x:c r="H16" s="53" t="n">
        <x:f t="array" ref="H16">IFERROR(INDEX(ECR!$K:$K,MATCH(DraftSheet!$C16,ECR!$C:$C,0)),"ND")</x:f>
        <x:v>70</x:v>
      </x:c>
      <x:c r="I16" s="62"/>
      <x:c r="J16" s="64" t="n">
        <x:f>VLOOKUP(C16,Aggregate!B:J,9,FALSE())</x:f>
        <x:v>9.202735526</x:v>
      </x:c>
      <x:c r="K16" s="65"/>
      <x:c r="L16" s="53" t="n">
        <x:f>IFERROR(VLOOKUP(DraftSheet!$M16,Aggregate!$P:$AA,11,FALSE()),"")</x:f>
        <x:v>3</x:v>
      </x:c>
      <x:c r="M16" s="55" t="str">
        <x:f>Aggregate!P19</x:f>
        <x:v>Jeremiyah Love</x:v>
      </x:c>
      <x:c r="N16" s="55" t="str">
        <x:f>VLOOKUP(DraftSheet!$M16,Aggregate!P:AA,4,FALSE())</x:f>
        <x:v>ARI/14</x:v>
      </x:c>
      <x:c r="O16" s="53" t="n">
        <x:f>IFERROR(VLOOKUP(DraftSheet!$M16,Aggregate!$P:$AA,8,FALSE()),"")</x:f>
        <x:v>176.6980074</x:v>
      </x:c>
      <x:c r="P16" s="53" t="n">
        <x:f>IF(Scoring!$K$6="Auction",IFERROR(VLOOKUP(DraftSheet!$M16,Aggregate!$P:$AA,10,FALSE()),""),IFERROR(VLOOKUP(DraftSheet!$M16,Aggregate!$P:$AA,9,FALSE()),""))</x:f>
        <x:v>46.697678233823524</x:v>
      </x:c>
      <x:c r="Q16" s="61" t="n">
        <x:f>SUMIFS($T17:T$84,$S17:S$84,"&lt;&gt;x",$S17:S$84,"&lt;&gt;o",$T17:T$84,"&gt;0")/Aggregate!$X$1</x:f>
        <x:v>0.7653572962477438</x:v>
      </x:c>
      <x:c r="R16" s="53" t="n">
        <x:f t="array" ref="R16">IFERROR(INDEX(ECR!$K:$K,MATCH(DraftSheet!$M16,ECR!$C:$C,0)),"ND")</x:f>
        <x:v>44</x:v>
      </x:c>
      <x:c r="S16" s="62"/>
      <x:c r="T16" s="64" t="n">
        <x:f>VLOOKUP(M16,Aggregate!P:X,9,FALSE())</x:f>
        <x:v>75.19796765</x:v>
      </x:c>
      <x:c r="U16" s="73"/>
      <x:c r="V16" s="53" t="n">
        <x:f>IFERROR(VLOOKUP(DraftSheet!$W16,Aggregate!$AD:$AO,11,FALSE()),"")</x:f>
        <x:v>2</x:v>
      </x:c>
      <x:c r="W16" s="55" t="str">
        <x:f>Aggregate!AD11</x:f>
        <x:v>Nico Collins</x:v>
      </x:c>
      <x:c r="X16" s="55" t="str">
        <x:f>VLOOKUP(DraftSheet!$W16,Aggregate!AD:AO,4,FALSE())</x:f>
        <x:v>HOU/8</x:v>
      </x:c>
      <x:c r="Y16" s="53" t="n">
        <x:f>IFERROR(VLOOKUP(DraftSheet!$W16,Aggregate!$AD:$AO,8,FALSE()),"")</x:f>
        <x:v>170.2457982</x:v>
      </x:c>
      <x:c r="Z16" s="53" t="n">
        <x:f>IF(Scoring!$K$6="Auction",IFERROR(VLOOKUP(DraftSheet!$W16,Aggregate!$AD:$AO,10,FALSE()),""),IFERROR(VLOOKUP(DraftSheet!$W16,Aggregate!$AD:$AO,9,FALSE()),""))</x:f>
        <x:v>68.05088643676473</x:v>
      </x:c>
      <x:c r="AA16" s="61" t="n">
        <x:f>SUMIFS($AD17:AD$84,$AC17:AC$84,"&lt;&gt;x",$AC17:AC$84,"&lt;&gt;o",$AD17:AD$84,"&gt;0")/Aggregate!$AL$1</x:f>
        <x:v>0.4338655229064344</x:v>
      </x:c>
      <x:c r="AB16" s="53" t="n">
        <x:f t="array" ref="AB16">IFERROR(INDEX(ECR!$K:$K,MATCH(DraftSheet!$W16,ECR!$C:$C,0)),"ND")</x:f>
        <x:v>17</x:v>
      </x:c>
      <x:c r="AC16" s="62"/>
      <x:c r="AD16" s="64" t="n">
        <x:f>VLOOKUP(W16,Aggregate!AD:AL,9,FALSE())</x:f>
        <x:v>68.93142172</x:v>
      </x:c>
      <x:c r="AE16" s="2"/>
      <x:c r="AF16" s="2"/>
      <x:c r="AG16" s="2"/>
      <x:c r="AH16" s="2"/>
    </x:row>
    <x:row r="17" ht="14.25" customHeight="1">
      <x:c r="A17" s="2"/>
      <x:c r="B17" s="53" t="n">
        <x:f>IFERROR(VLOOKUP(DraftSheet!$C17,Aggregate!$B:$M,11,FALSE()),"")</x:f>
        <x:v>3</x:v>
      </x:c>
      <x:c r="C17" s="55" t="str">
        <x:f>Aggregate!B16</x:f>
        <x:v>Patrick Mahomes II</x:v>
      </x:c>
      <x:c r="D17" s="55" t="str">
        <x:f>VLOOKUP(DraftSheet!$C17,Aggregate!B:M,4,FALSE())</x:f>
        <x:v>KC/5</x:v>
      </x:c>
      <x:c r="E17" s="53" t="n">
        <x:f>IFERROR(VLOOKUP(DraftSheet!$C17,Aggregate!$B:$M,8,FALSE()),"")</x:f>
        <x:v>248.5577783</x:v>
      </x:c>
      <x:c r="F17" s="53" t="n">
        <x:f>IF(Scoring!$K$6="Auction",IFERROR(VLOOKUP(DraftSheet!$C17,Aggregate!$B:$M,10,FALSE()),""),IFERROR(VLOOKUP(DraftSheet!$C17,Aggregate!$B:$M,9,FALSE()),""))</x:f>
        <x:v>4.240092405882336</x:v>
      </x:c>
      <x:c r="G17" s="61" t="n">
        <x:f>SUMIFS($J18:J$44,$I18:I$44,"&lt;&gt;x",$I18:I$44,"&lt;&gt;o",$J18:J$44,"&gt;0")/Aggregate!$J$1</x:f>
        <x:v>0</x:v>
      </x:c>
      <x:c r="H17" s="53" t="n">
        <x:f t="array" ref="H17">IFERROR(INDEX(ECR!$K:$K,MATCH(DraftSheet!$C17,ECR!$C:$C,0)),"ND")</x:f>
        <x:v>104</x:v>
      </x:c>
      <x:c r="I17" s="62"/>
      <x:c r="J17" s="64" t="n">
        <x:f>VLOOKUP(C17,Aggregate!B:J,9,FALSE())</x:f>
        <x:v>4.555266082</x:v>
      </x:c>
      <x:c r="K17" s="65"/>
      <x:c r="L17" s="53" t="n">
        <x:f>IFERROR(VLOOKUP(DraftSheet!$M17,Aggregate!$P:$AA,11,FALSE()),"")</x:f>
        <x:v>3</x:v>
      </x:c>
      <x:c r="M17" s="55" t="str">
        <x:f>Aggregate!P11</x:f>
        <x:v>Omarion Hampton</x:v>
      </x:c>
      <x:c r="N17" s="55" t="str">
        <x:f>VLOOKUP(DraftSheet!$M17,Aggregate!P:AA,4,FALSE())</x:f>
        <x:v>LAC/7</x:v>
      </x:c>
      <x:c r="O17" s="53" t="n">
        <x:f>IFERROR(VLOOKUP(DraftSheet!$M17,Aggregate!$P:$AA,8,FALSE()),"")</x:f>
        <x:v>176.5438235</x:v>
      </x:c>
      <x:c r="P17" s="53" t="n">
        <x:f>IF(Scoring!$K$6="Auction",IFERROR(VLOOKUP(DraftSheet!$M17,Aggregate!$P:$AA,10,FALSE()),""),IFERROR(VLOOKUP(DraftSheet!$M17,Aggregate!$P:$AA,9,FALSE()),""))</x:f>
        <x:v>46.54349439411763</x:v>
      </x:c>
      <x:c r="Q17" s="61" t="n">
        <x:f>SUMIFS($T18:T$84,$S18:S$84,"&lt;&gt;x",$S18:S$84,"&lt;&gt;o",$T18:T$84,"&gt;0")/Aggregate!$X$1</x:f>
        <x:v>0.7075605914797055</x:v>
      </x:c>
      <x:c r="R17" s="53" t="n">
        <x:f t="array" ref="R17">IFERROR(INDEX(ECR!$K:$K,MATCH(DraftSheet!$M17,ECR!$C:$C,0)),"ND")</x:f>
        <x:v>19</x:v>
      </x:c>
      <x:c r="S17" s="62"/>
      <x:c r="T17" s="64" t="n">
        <x:f>VLOOKUP(M17,Aggregate!P:X,9,FALSE())</x:f>
        <x:v>75.04378382</x:v>
      </x:c>
      <x:c r="U17" s="73"/>
      <x:c r="V17" s="53" t="n">
        <x:f>IFERROR(VLOOKUP(DraftSheet!$W17,Aggregate!$AD:$AO,11,FALSE()),"")</x:f>
        <x:v>3</x:v>
      </x:c>
      <x:c r="W17" s="55" t="str">
        <x:f>Aggregate!AD14</x:f>
        <x:v>Malik Nabers</x:v>
      </x:c>
      <x:c r="X17" s="55" t="str">
        <x:f>VLOOKUP(DraftSheet!$W17,Aggregate!AD:AO,4,FALSE())</x:f>
        <x:v>NYG/8</x:v>
      </x:c>
      <x:c r="Y17" s="53" t="n">
        <x:f>IFERROR(VLOOKUP(DraftSheet!$W17,Aggregate!$AD:$AO,8,FALSE()),"")</x:f>
        <x:v>163.7070774</x:v>
      </x:c>
      <x:c r="Z17" s="53" t="n">
        <x:f>IF(Scoring!$K$6="Auction",IFERROR(VLOOKUP(DraftSheet!$W17,Aggregate!$AD:$AO,10,FALSE()),""),IFERROR(VLOOKUP(DraftSheet!$W17,Aggregate!$AD:$AO,9,FALSE()),""))</x:f>
        <x:v>61.5121656602941</x:v>
      </x:c>
      <x:c r="AA17" s="61" t="n">
        <x:f>SUMIFS($AD18:AD$84,$AC18:AC$84,"&lt;&gt;x",$AC18:AC$84,"&lt;&gt;o",$AD18:AD$84,"&gt;0")/Aggregate!$AL$1</x:f>
        <x:v>0.40106697461011376</x:v>
      </x:c>
      <x:c r="AB17" s="53" t="n">
        <x:f t="array" ref="AB17">IFERROR(INDEX(ECR!$K:$K,MATCH(DraftSheet!$W17,ECR!$C:$C,0)),"ND")</x:f>
        <x:v>28</x:v>
      </x:c>
      <x:c r="AC17" s="62"/>
      <x:c r="AD17" s="64" t="n">
        <x:f>VLOOKUP(W17,Aggregate!AD:AL,9,FALSE())</x:f>
        <x:v>62.39270094</x:v>
      </x:c>
      <x:c r="AE17" s="2"/>
      <x:c r="AF17" s="2"/>
      <x:c r="AG17" s="2"/>
      <x:c r="AH17" s="2"/>
    </x:row>
    <x:row r="18" ht="14.25" customHeight="1">
      <x:c r="A18" s="2"/>
      <x:c r="B18" s="53" t="n">
        <x:f>IFERROR(VLOOKUP(DraftSheet!$C18,Aggregate!$B:$M,11,FALSE()),"")</x:f>
        <x:v>4</x:v>
      </x:c>
      <x:c r="C18" s="55" t="str">
        <x:f>Aggregate!B15</x:f>
        <x:v>Bo Nix</x:v>
      </x:c>
      <x:c r="D18" s="55" t="str">
        <x:f>VLOOKUP(DraftSheet!$C18,Aggregate!B:M,4,FALSE())</x:f>
        <x:v>DEN/10</x:v>
      </x:c>
      <x:c r="E18" s="53" t="n">
        <x:f>IFERROR(VLOOKUP(DraftSheet!$C18,Aggregate!$B:$M,8,FALSE()),"")</x:f>
        <x:v>244.0025122</x:v>
      </x:c>
      <x:c r="F18" s="53" t="n">
        <x:f>IF(Scoring!$K$6="Auction",IFERROR(VLOOKUP(DraftSheet!$C18,Aggregate!$B:$M,10,FALSE()),""),IFERROR(VLOOKUP(DraftSheet!$C18,Aggregate!$B:$M,9,FALSE()),""))</x:f>
        <x:v>0</x:v>
      </x:c>
      <x:c r="G18" s="61" t="n">
        <x:f>SUMIFS($J19:J$44,$I19:I$44,"&lt;&gt;x",$I19:I$44,"&lt;&gt;o",$J19:J$44,"&gt;0")/Aggregate!$J$1</x:f>
        <x:v>0</x:v>
      </x:c>
      <x:c r="H18" s="53" t="n">
        <x:f t="array" ref="H18">IFERROR(INDEX(ECR!$K:$K,MATCH(DraftSheet!$C18,ECR!$C:$C,0)),"ND")</x:f>
        <x:v>103</x:v>
      </x:c>
      <x:c r="I18" s="62"/>
      <x:c r="J18" s="64" t="n">
        <x:f>VLOOKUP(C18,Aggregate!B:J,9,FALSE())</x:f>
        <x:v>0</x:v>
      </x:c>
      <x:c r="K18" s="65"/>
      <x:c r="L18" s="53" t="n">
        <x:f>IFERROR(VLOOKUP(DraftSheet!$M18,Aggregate!$P:$AA,11,FALSE()),"")</x:f>
        <x:v>4</x:v>
      </x:c>
      <x:c r="M18" s="55" t="str">
        <x:f>Aggregate!P18</x:f>
        <x:v>Josh Jacobs</x:v>
      </x:c>
      <x:c r="N18" s="55" t="str">
        <x:f>VLOOKUP(DraftSheet!$M18,Aggregate!P:AA,4,FALSE())</x:f>
        <x:v>GB/11</x:v>
      </x:c>
      <x:c r="O18" s="53" t="n">
        <x:f>IFERROR(VLOOKUP(DraftSheet!$M18,Aggregate!$P:$AA,8,FALSE()),"")</x:f>
        <x:v>173.9094118</x:v>
      </x:c>
      <x:c r="P18" s="53" t="n">
        <x:f>IF(Scoring!$K$6="Auction",IFERROR(VLOOKUP(DraftSheet!$M18,Aggregate!$P:$AA,10,FALSE()),""),IFERROR(VLOOKUP(DraftSheet!$M18,Aggregate!$P:$AA,9,FALSE()),""))</x:f>
        <x:v>43.909082647058824</x:v>
      </x:c>
      <x:c r="Q18" s="61" t="n">
        <x:f>SUMIFS($T19:T$84,$S19:S$84,"&lt;&gt;x",$S19:S$84,"&lt;&gt;o",$T19:T$84,"&gt;0")/Aggregate!$X$1</x:f>
        <x:v>0.6517928398238314</x:v>
      </x:c>
      <x:c r="R18" s="53" t="n">
        <x:f t="array" ref="R18">IFERROR(INDEX(ECR!$K:$K,MATCH(DraftSheet!$M18,ECR!$C:$C,0)),"ND")</x:f>
        <x:v>38</x:v>
      </x:c>
      <x:c r="S18" s="62"/>
      <x:c r="T18" s="64" t="n">
        <x:f>VLOOKUP(M18,Aggregate!P:X,9,FALSE())</x:f>
        <x:v>72.40937206</x:v>
      </x:c>
      <x:c r="U18" s="73"/>
      <x:c r="V18" s="53" t="n">
        <x:f>IFERROR(VLOOKUP(DraftSheet!$W18,Aggregate!$AD:$AO,11,FALSE()),"")</x:f>
        <x:v>3</x:v>
      </x:c>
      <x:c r="W18" s="55" t="str">
        <x:f>Aggregate!AD17</x:f>
        <x:v>Zay Flowers</x:v>
      </x:c>
      <x:c r="X18" s="55" t="str">
        <x:f>VLOOKUP(DraftSheet!$W18,Aggregate!AD:AO,4,FALSE())</x:f>
        <x:v>BAL/13</x:v>
      </x:c>
      <x:c r="Y18" s="53" t="n">
        <x:f>IFERROR(VLOOKUP(DraftSheet!$W18,Aggregate!$AD:$AO,8,FALSE()),"")</x:f>
        <x:v>157.2949383</x:v>
      </x:c>
      <x:c r="Z18" s="53" t="n">
        <x:f>IF(Scoring!$K$6="Auction",IFERROR(VLOOKUP(DraftSheet!$W18,Aggregate!$AD:$AO,10,FALSE()),""),IFERROR(VLOOKUP(DraftSheet!$W18,Aggregate!$AD:$AO,9,FALSE()),""))</x:f>
        <x:v>55.10002654411764</x:v>
      </x:c>
      <x:c r="AA18" s="61" t="n">
        <x:f>SUMIFS($AD19:AD$84,$AC19:AC$84,"&lt;&gt;x",$AC19:AC$84,"&lt;&gt;o",$AD19:AD$84,"&gt;0")/Aggregate!$AL$1</x:f>
        <x:v>0.3716391547930158</x:v>
      </x:c>
      <x:c r="AB18" s="53" t="n">
        <x:f t="array" ref="AB18">IFERROR(INDEX(ECR!$K:$K,MATCH(DraftSheet!$W18,ECR!$C:$C,0)),"ND")</x:f>
        <x:v>31</x:v>
      </x:c>
      <x:c r="AC18" s="62"/>
      <x:c r="AD18" s="64" t="n">
        <x:f>VLOOKUP(W18,Aggregate!AD:AL,9,FALSE())</x:f>
        <x:v>55.98056184</x:v>
      </x:c>
      <x:c r="AE18" s="2"/>
      <x:c r="AF18" s="2"/>
      <x:c r="AG18" s="2"/>
      <x:c r="AH18" s="2"/>
    </x:row>
    <x:row r="19" ht="14.25" customHeight="1">
      <x:c r="A19" s="2"/>
      <x:c r="B19" s="53" t="n">
        <x:f>IFERROR(VLOOKUP(DraftSheet!$C19,Aggregate!$B:$M,11,FALSE()),"")</x:f>
        <x:v>4</x:v>
      </x:c>
      <x:c r="C19" s="55" t="str">
        <x:f>Aggregate!B17</x:f>
        <x:v>Matthew Stafford</x:v>
      </x:c>
      <x:c r="D19" s="55" t="str">
        <x:f>VLOOKUP(DraftSheet!$C19,Aggregate!B:M,4,FALSE())</x:f>
        <x:v>LAR/11</x:v>
      </x:c>
      <x:c r="E19" s="53" t="n">
        <x:f>IFERROR(VLOOKUP(DraftSheet!$C19,Aggregate!$B:$M,8,FALSE()),"")</x:f>
        <x:v>238.4373756</x:v>
      </x:c>
      <x:c r="F19" s="53" t="n">
        <x:f>IF(Scoring!$K$6="Auction",IFERROR(VLOOKUP(DraftSheet!$C19,Aggregate!$B:$M,10,FALSE()),""),IFERROR(VLOOKUP(DraftSheet!$C19,Aggregate!$B:$M,9,FALSE()),""))</x:f>
        <x:v>-3.4875347455882206</x:v>
      </x:c>
      <x:c r="G19" s="61" t="n">
        <x:f>SUMIFS($J20:J$44,$I20:I$44,"&lt;&gt;x",$I20:I$44,"&lt;&gt;o",$J20:J$44,"&gt;0")/Aggregate!$J$1</x:f>
        <x:v>0</x:v>
      </x:c>
      <x:c r="H19" s="53" t="n">
        <x:f t="array" ref="H19">IFERROR(INDEX(ECR!$K:$K,MATCH(DraftSheet!$C19,ECR!$C:$C,0)),"ND")</x:f>
        <x:v>110</x:v>
      </x:c>
      <x:c r="I19" s="62"/>
      <x:c r="J19" s="64" t="n">
        <x:f>VLOOKUP(C19,Aggregate!B:J,9,FALSE())</x:f>
        <x:v>-5.565136635</x:v>
      </x:c>
      <x:c r="K19" s="65"/>
      <x:c r="L19" s="53" t="n">
        <x:f>IFERROR(VLOOKUP(DraftSheet!$M19,Aggregate!$P:$AA,11,FALSE()),"")</x:f>
        <x:v>4</x:v>
      </x:c>
      <x:c r="M19" s="55" t="str">
        <x:f>Aggregate!P15</x:f>
        <x:v>Kyren Williams</x:v>
      </x:c>
      <x:c r="N19" s="55" t="str">
        <x:f>VLOOKUP(DraftSheet!$M19,Aggregate!P:AA,4,FALSE())</x:f>
        <x:v>LAR/11</x:v>
      </x:c>
      <x:c r="O19" s="53" t="n">
        <x:f>IFERROR(VLOOKUP(DraftSheet!$M19,Aggregate!$P:$AA,8,FALSE()),"")</x:f>
        <x:v>172.4564706</x:v>
      </x:c>
      <x:c r="P19" s="53" t="n">
        <x:f>IF(Scoring!$K$6="Auction",IFERROR(VLOOKUP(DraftSheet!$M19,Aggregate!$P:$AA,10,FALSE()),""),IFERROR(VLOOKUP(DraftSheet!$M19,Aggregate!$P:$AA,9,FALSE()),""))</x:f>
        <x:v>42.45614146764706</x:v>
      </x:c>
      <x:c r="Q19" s="61" t="n">
        <x:f>SUMIFS($T20:T$84,$S20:S$84,"&lt;&gt;x",$S20:S$84,"&lt;&gt;o",$T20:T$84,"&gt;0")/Aggregate!$X$1</x:f>
        <x:v>0.5971441044028957</x:v>
      </x:c>
      <x:c r="R19" s="53" t="n">
        <x:f t="array" ref="R19">IFERROR(INDEX(ECR!$K:$K,MATCH(DraftSheet!$M19,ECR!$C:$C,0)),"ND")</x:f>
        <x:v>32</x:v>
      </x:c>
      <x:c r="S19" s="62"/>
      <x:c r="T19" s="64" t="n">
        <x:f>VLOOKUP(M19,Aggregate!P:X,9,FALSE())</x:f>
        <x:v>70.95643088</x:v>
      </x:c>
      <x:c r="U19" s="73"/>
      <x:c r="V19" s="53" t="n">
        <x:f>IFERROR(VLOOKUP(DraftSheet!$W19,Aggregate!$AD:$AO,11,FALSE()),"")</x:f>
        <x:v>3</x:v>
      </x:c>
      <x:c r="W19" s="55" t="str">
        <x:f>Aggregate!AD16</x:f>
        <x:v>DeVonta Smith</x:v>
      </x:c>
      <x:c r="X19" s="55" t="str">
        <x:f>VLOOKUP(DraftSheet!$W19,Aggregate!AD:AO,4,FALSE())</x:f>
        <x:v>PHI/10</x:v>
      </x:c>
      <x:c r="Y19" s="53" t="n">
        <x:f>IFERROR(VLOOKUP(DraftSheet!$W19,Aggregate!$AD:$AO,8,FALSE()),"")</x:f>
        <x:v>154.0949271</x:v>
      </x:c>
      <x:c r="Z19" s="53" t="n">
        <x:f>IF(Scoring!$K$6="Auction",IFERROR(VLOOKUP(DraftSheet!$W19,Aggregate!$AD:$AO,10,FALSE()),""),IFERROR(VLOOKUP(DraftSheet!$W19,Aggregate!$AD:$AO,9,FALSE()),""))</x:f>
        <x:v>51.90001537058825</x:v>
      </x:c>
      <x:c r="AA19" s="61" t="n">
        <x:f>SUMIFS($AD20:AD$84,$AC20:AC$84,"&lt;&gt;x",$AC20:AC$84,"&lt;&gt;o",$AD20:AD$84,"&gt;0")/Aggregate!$AL$1</x:f>
        <x:v>0.34389351445612526</x:v>
      </x:c>
      <x:c r="AB19" s="53" t="n">
        <x:f t="array" ref="AB19">IFERROR(INDEX(ECR!$K:$K,MATCH(DraftSheet!$W19,ECR!$C:$C,0)),"ND")</x:f>
        <x:v>30</x:v>
      </x:c>
      <x:c r="AC19" s="62"/>
      <x:c r="AD19" s="64" t="n">
        <x:f>VLOOKUP(W19,Aggregate!AD:AL,9,FALSE())</x:f>
        <x:v>52.78055066</x:v>
      </x:c>
      <x:c r="AE19" s="2"/>
      <x:c r="AF19" s="2"/>
      <x:c r="AG19" s="2"/>
      <x:c r="AH19" s="2"/>
    </x:row>
    <x:row r="20" ht="14.25" customHeight="1">
      <x:c r="A20" s="2"/>
      <x:c r="B20" s="53" t="n">
        <x:f>IFERROR(VLOOKUP(DraftSheet!$C20,Aggregate!$B:$M,11,FALSE()),"")</x:f>
        <x:v>4</x:v>
      </x:c>
      <x:c r="C20" s="55" t="str">
        <x:f>Aggregate!B18</x:f>
        <x:v>Jared Goff</x:v>
      </x:c>
      <x:c r="D20" s="55" t="str">
        <x:f>VLOOKUP(DraftSheet!$C20,Aggregate!B:M,4,FALSE())</x:f>
        <x:v>DET/6</x:v>
      </x:c>
      <x:c r="E20" s="53" t="n">
        <x:f>IFERROR(VLOOKUP(DraftSheet!$C20,Aggregate!$B:$M,8,FALSE()),"")</x:f>
        <x:v>232.447176</x:v>
      </x:c>
      <x:c r="F20" s="53" t="n">
        <x:f>IF(Scoring!$K$6="Auction",IFERROR(VLOOKUP(DraftSheet!$C20,Aggregate!$B:$M,10,FALSE()),""),IFERROR(VLOOKUP(DraftSheet!$C20,Aggregate!$B:$M,9,FALSE()),""))</x:f>
        <x:v>-9.815309322058795</x:v>
      </x:c>
      <x:c r="G20" s="61" t="n">
        <x:f>SUMIFS($J21:J$44,$I21:I$44,"&lt;&gt;x",$I21:I$44,"&lt;&gt;o",$J21:J$44,"&gt;0")/Aggregate!$J$1</x:f>
        <x:v>0</x:v>
      </x:c>
      <x:c r="H20" s="53" t="n">
        <x:f t="array" ref="H20">IFERROR(INDEX(ECR!$K:$K,MATCH(DraftSheet!$C20,ECR!$C:$C,0)),"ND")</x:f>
        <x:v>112</x:v>
      </x:c>
      <x:c r="I20" s="62"/>
      <x:c r="J20" s="64" t="n">
        <x:f>VLOOKUP(C20,Aggregate!B:J,9,FALSE())</x:f>
        <x:v>-11.55533622</x:v>
      </x:c>
      <x:c r="K20" s="65"/>
      <x:c r="L20" s="53" t="n">
        <x:f>IFERROR(VLOOKUP(DraftSheet!$M20,Aggregate!$P:$AA,11,FALSE()),"")</x:f>
        <x:v>4</x:v>
      </x:c>
      <x:c r="M20" s="55" t="str">
        <x:f>Aggregate!P17</x:f>
        <x:v>Breece Hall</x:v>
      </x:c>
      <x:c r="N20" s="55" t="str">
        <x:f>VLOOKUP(DraftSheet!$M20,Aggregate!P:AA,4,FALSE())</x:f>
        <x:v>NYJ/13</x:v>
      </x:c>
      <x:c r="O20" s="53" t="n">
        <x:f>IFERROR(VLOOKUP(DraftSheet!$M20,Aggregate!$P:$AA,8,FALSE()),"")</x:f>
        <x:v>169.8947059</x:v>
      </x:c>
      <x:c r="P20" s="53" t="n">
        <x:f>IF(Scoring!$K$6="Auction",IFERROR(VLOOKUP(DraftSheet!$M20,Aggregate!$P:$AA,10,FALSE()),""),IFERROR(VLOOKUP(DraftSheet!$M20,Aggregate!$P:$AA,9,FALSE()),""))</x:f>
        <x:v>39.89437675588235</x:v>
      </x:c>
      <x:c r="Q20" s="61" t="n">
        <x:f>SUMIFS($T21:T$84,$S21:S$84,"&lt;&gt;x",$S21:S$84,"&lt;&gt;o",$T21:T$84,"&gt;0")/Aggregate!$X$1</x:f>
        <x:v>0.5444683712816071</x:v>
      </x:c>
      <x:c r="R20" s="53" t="n">
        <x:f t="array" ref="R20">IFERROR(INDEX(ECR!$K:$K,MATCH(DraftSheet!$M20,ECR!$C:$C,0)),"ND")</x:f>
        <x:v>36</x:v>
      </x:c>
      <x:c r="S20" s="62"/>
      <x:c r="T20" s="64" t="n">
        <x:f>VLOOKUP(M20,Aggregate!P:X,9,FALSE())</x:f>
        <x:v>68.39466618</x:v>
      </x:c>
      <x:c r="U20" s="73"/>
      <x:c r="V20" s="53" t="n">
        <x:f>IFERROR(VLOOKUP(DraftSheet!$W20,Aggregate!$AD:$AO,11,FALSE()),"")</x:f>
        <x:v>3</x:v>
      </x:c>
      <x:c r="W20" s="55" t="str">
        <x:f>Aggregate!AD19</x:f>
        <x:v>Tetairoa McMillan</x:v>
      </x:c>
      <x:c r="X20" s="55" t="str">
        <x:f>VLOOKUP(DraftSheet!$W20,Aggregate!AD:AO,4,FALSE())</x:f>
        <x:v>CAR/5</x:v>
      </x:c>
      <x:c r="Y20" s="53" t="n">
        <x:f>IFERROR(VLOOKUP(DraftSheet!$W20,Aggregate!$AD:$AO,8,FALSE()),"")</x:f>
        <x:v>150.7705939</x:v>
      </x:c>
      <x:c r="Z20" s="53" t="n">
        <x:f>IF(Scoring!$K$6="Auction",IFERROR(VLOOKUP(DraftSheet!$W20,Aggregate!$AD:$AO,10,FALSE()),""),IFERROR(VLOOKUP(DraftSheet!$W20,Aggregate!$AD:$AO,9,FALSE()),""))</x:f>
        <x:v>48.57568208529415</x:v>
      </x:c>
      <x:c r="AA20" s="61" t="n">
        <x:f>SUMIFS($AD21:AD$84,$AC21:AC$84,"&lt;&gt;x",$AC21:AC$84,"&lt;&gt;o",$AD21:AD$84,"&gt;0")/Aggregate!$AL$1</x:f>
        <x:v>0.31789540714784975</x:v>
      </x:c>
      <x:c r="AB20" s="53" t="n">
        <x:f t="array" ref="AB20">IFERROR(INDEX(ECR!$K:$K,MATCH(DraftSheet!$W20,ECR!$C:$C,0)),"ND")</x:f>
        <x:v>35</x:v>
      </x:c>
      <x:c r="AC20" s="62"/>
      <x:c r="AD20" s="64" t="n">
        <x:f>VLOOKUP(W20,Aggregate!AD:AL,9,FALSE())</x:f>
        <x:v>49.45621738</x:v>
      </x:c>
      <x:c r="AE20" s="2"/>
      <x:c r="AF20" s="2"/>
      <x:c r="AG20" s="2"/>
      <x:c r="AH20" s="2"/>
    </x:row>
    <x:row r="21" ht="14.25" customHeight="1">
      <x:c r="A21" s="2"/>
      <x:c r="B21" s="53" t="n">
        <x:f>IFERROR(VLOOKUP(DraftSheet!$C21,Aggregate!$B:$M,11,FALSE()),"")</x:f>
        <x:v>5</x:v>
      </x:c>
      <x:c r="C21" s="55" t="str">
        <x:f>Aggregate!B19</x:f>
        <x:v>Baker Mayfield</x:v>
      </x:c>
      <x:c r="D21" s="55" t="str">
        <x:f>VLOOKUP(DraftSheet!$C21,Aggregate!B:M,4,FALSE())</x:f>
        <x:v>TB/10</x:v>
      </x:c>
      <x:c r="E21" s="53" t="n">
        <x:f>IFERROR(VLOOKUP(DraftSheet!$C21,Aggregate!$B:$M,8,FALSE()),"")</x:f>
        <x:v>226.4698368</x:v>
      </x:c>
      <x:c r="F21" s="53" t="n">
        <x:f>IF(Scoring!$K$6="Auction",IFERROR(VLOOKUP(DraftSheet!$C21,Aggregate!$B:$M,10,FALSE()),""),IFERROR(VLOOKUP(DraftSheet!$C21,Aggregate!$B:$M,9,FALSE()),""))</x:f>
        <x:v>-17.681065544117644</x:v>
      </x:c>
      <x:c r="G21" s="61" t="n">
        <x:f>SUMIFS($J22:J$44,$I22:I$44,"&lt;&gt;x",$I22:I$44,"&lt;&gt;o",$J22:J$44,"&gt;0")/Aggregate!$J$1</x:f>
        <x:v>0</x:v>
      </x:c>
      <x:c r="H21" s="53" t="n">
        <x:f t="array" ref="H21">IFERROR(INDEX(ECR!$K:$K,MATCH(DraftSheet!$C21,ECR!$C:$C,0)),"ND")</x:f>
        <x:v>120</x:v>
      </x:c>
      <x:c r="I21" s="62"/>
      <x:c r="J21" s="64" t="n">
        <x:f>VLOOKUP(C21,Aggregate!B:J,9,FALSE())</x:f>
        <x:v>-17.53267538</x:v>
      </x:c>
      <x:c r="K21" s="65"/>
      <x:c r="L21" s="53" t="n">
        <x:f>IFERROR(VLOOKUP(DraftSheet!$M21,Aggregate!$P:$AA,11,FALSE()),"")</x:f>
        <x:v>4</x:v>
      </x:c>
      <x:c r="M21" s="55" t="str">
        <x:f>Aggregate!P16</x:f>
        <x:v>Javonte Williams</x:v>
      </x:c>
      <x:c r="N21" s="55" t="str">
        <x:f>VLOOKUP(DraftSheet!$M21,Aggregate!P:AA,4,FALSE())</x:f>
        <x:v>DAL/14</x:v>
      </x:c>
      <x:c r="O21" s="53" t="n">
        <x:f>IFERROR(VLOOKUP(DraftSheet!$M21,Aggregate!$P:$AA,8,FALSE()),"")</x:f>
        <x:v>169.5677941</x:v>
      </x:c>
      <x:c r="P21" s="53" t="n">
        <x:f>IF(Scoring!$K$6="Auction",IFERROR(VLOOKUP(DraftSheet!$M21,Aggregate!$P:$AA,10,FALSE()),""),IFERROR(VLOOKUP(DraftSheet!$M21,Aggregate!$P:$AA,9,FALSE()),""))</x:f>
        <x:v>39.56746499558824</x:v>
      </x:c>
      <x:c r="Q21" s="61" t="n">
        <x:f>SUMIFS($T22:T$84,$S22:S$84,"&lt;&gt;x",$S22:S$84,"&lt;&gt;o",$T22:T$84,"&gt;0")/Aggregate!$X$1</x:f>
        <x:v>0.49204441681664535</x:v>
      </x:c>
      <x:c r="R21" s="53" t="n">
        <x:f t="array" ref="R21">IFERROR(INDEX(ECR!$K:$K,MATCH(DraftSheet!$M21,ECR!$C:$C,0)),"ND")</x:f>
        <x:v>34</x:v>
      </x:c>
      <x:c r="S21" s="62"/>
      <x:c r="T21" s="64" t="n">
        <x:f>VLOOKUP(M21,Aggregate!P:X,9,FALSE())</x:f>
        <x:v>68.06775441</x:v>
      </x:c>
      <x:c r="U21" s="73"/>
      <x:c r="V21" s="53" t="n">
        <x:f>IFERROR(VLOOKUP(DraftSheet!$W21,Aggregate!$AD:$AO,11,FALSE()),"")</x:f>
        <x:v>3</x:v>
      </x:c>
      <x:c r="W21" s="55" t="str">
        <x:f>Aggregate!AD20</x:f>
        <x:v>Garrett Wilson</x:v>
      </x:c>
      <x:c r="X21" s="55" t="str">
        <x:f>VLOOKUP(DraftSheet!$W21,Aggregate!AD:AO,4,FALSE())</x:f>
        <x:v>NYJ/13</x:v>
      </x:c>
      <x:c r="Y21" s="53" t="n">
        <x:f>IFERROR(VLOOKUP(DraftSheet!$W21,Aggregate!$AD:$AO,8,FALSE()),"")</x:f>
        <x:v>149.8740606</x:v>
      </x:c>
      <x:c r="Z21" s="53" t="n">
        <x:f>IF(Scoring!$K$6="Auction",IFERROR(VLOOKUP(DraftSheet!$W21,Aggregate!$AD:$AO,10,FALSE()),""),IFERROR(VLOOKUP(DraftSheet!$W21,Aggregate!$AD:$AO,9,FALSE()),""))</x:f>
        <x:v>47.67914888382356</x:v>
      </x:c>
      <x:c r="AA21" s="61" t="n">
        <x:f>SUMIFS($AD22:AD$84,$AC22:AC$84,"&lt;&gt;x",$AC22:AC$84,"&lt;&gt;o",$AD22:AD$84,"&gt;0")/Aggregate!$AL$1</x:f>
        <x:v>0.29236858875113625</x:v>
      </x:c>
      <x:c r="AB21" s="53" t="n">
        <x:f t="array" ref="AB21">IFERROR(INDEX(ECR!$K:$K,MATCH(DraftSheet!$W21,ECR!$C:$C,0)),"ND")</x:f>
        <x:v>39</x:v>
      </x:c>
      <x:c r="AC21" s="62"/>
      <x:c r="AD21" s="64" t="n">
        <x:f>VLOOKUP(W21,Aggregate!AD:AL,9,FALSE())</x:f>
        <x:v>48.55968416</x:v>
      </x:c>
      <x:c r="AE21" s="2"/>
      <x:c r="AF21" s="2"/>
      <x:c r="AG21" s="2"/>
      <x:c r="AH21" s="2"/>
    </x:row>
    <x:row r="22" ht="14.25" customHeight="1">
      <x:c r="A22" s="2"/>
      <x:c r="B22" s="53" t="n">
        <x:f>IFERROR(VLOOKUP(DraftSheet!$C22,Aggregate!$B:$M,11,FALSE()),"")</x:f>
        <x:v>5</x:v>
      </x:c>
      <x:c r="C22" s="55" t="str">
        <x:f>Aggregate!B20</x:f>
        <x:v>Kyler Murray</x:v>
      </x:c>
      <x:c r="D22" s="55" t="str">
        <x:f>VLOOKUP(DraftSheet!$C22,Aggregate!B:M,4,FALSE())</x:f>
        <x:v>MIN/6</x:v>
      </x:c>
      <x:c r="E22" s="53" t="n">
        <x:f>IFERROR(VLOOKUP(DraftSheet!$C22,Aggregate!$B:$M,8,FALSE()),"")</x:f>
        <x:v>222.3705482</x:v>
      </x:c>
      <x:c r="F22" s="53" t="n">
        <x:f>IF(Scoring!$K$6="Auction",IFERROR(VLOOKUP(DraftSheet!$C22,Aggregate!$B:$M,10,FALSE()),""),IFERROR(VLOOKUP(DraftSheet!$C22,Aggregate!$B:$M,9,FALSE()),""))</x:f>
        <x:v>-22.58228033235295</x:v>
      </x:c>
      <x:c r="G22" s="61" t="n">
        <x:f>SUMIFS($J23:J$44,$I23:I$44,"&lt;&gt;x",$I23:I$44,"&lt;&gt;o",$J23:J$44,"&gt;0")/Aggregate!$J$1</x:f>
        <x:v>0</x:v>
      </x:c>
      <x:c r="H22" s="53" t="n">
        <x:f t="array" ref="H22">IFERROR(INDEX(ECR!$K:$K,MATCH(DraftSheet!$C22,ECR!$C:$C,0)),"ND")</x:f>
        <x:v>122</x:v>
      </x:c>
      <x:c r="I22" s="62"/>
      <x:c r="J22" s="64" t="n">
        <x:f>VLOOKUP(C22,Aggregate!B:J,9,FALSE())</x:f>
        <x:v>-21.63196399</x:v>
      </x:c>
      <x:c r="K22" s="65"/>
      <x:c r="L22" s="53" t="n">
        <x:f>IFERROR(VLOOKUP(DraftSheet!$M22,Aggregate!$P:$AA,11,FALSE()),"")</x:f>
        <x:v>4</x:v>
      </x:c>
      <x:c r="M22" s="55" t="str">
        <x:f>Aggregate!P20</x:f>
        <x:v>Travis Etienne Jr.</x:v>
      </x:c>
      <x:c r="N22" s="55" t="str">
        <x:f>VLOOKUP(DraftSheet!$M22,Aggregate!P:AA,4,FALSE())</x:f>
        <x:v>NO/8</x:v>
      </x:c>
      <x:c r="O22" s="53" t="n">
        <x:f>IFERROR(VLOOKUP(DraftSheet!$M22,Aggregate!$P:$AA,8,FALSE()),"")</x:f>
        <x:v>163.6413235</x:v>
      </x:c>
      <x:c r="P22" s="53" t="n">
        <x:f>IF(Scoring!$K$6="Auction",IFERROR(VLOOKUP(DraftSheet!$M22,Aggregate!$P:$AA,10,FALSE()),""),IFERROR(VLOOKUP(DraftSheet!$M22,Aggregate!$P:$AA,9,FALSE()),""))</x:f>
        <x:v>33.64099441470586</x:v>
      </x:c>
      <x:c r="Q22" s="61" t="n">
        <x:f>SUMIFS($T23:T$84,$S23:S$84,"&lt;&gt;x",$S23:S$84,"&lt;&gt;o",$T23:T$84,"&gt;0")/Aggregate!$X$1</x:f>
        <x:v>0.44418487066867746</x:v>
      </x:c>
      <x:c r="R22" s="53" t="n">
        <x:f t="array" ref="R22">IFERROR(INDEX(ECR!$K:$K,MATCH(DraftSheet!$M22,ECR!$C:$C,0)),"ND")</x:f>
        <x:v>46</x:v>
      </x:c>
      <x:c r="S22" s="62"/>
      <x:c r="T22" s="64" t="n">
        <x:f>VLOOKUP(M22,Aggregate!P:X,9,FALSE())</x:f>
        <x:v>62.14128382</x:v>
      </x:c>
      <x:c r="U22" s="73"/>
      <x:c r="V22" s="53" t="n">
        <x:f>IFERROR(VLOOKUP(DraftSheet!$W22,Aggregate!$AD:$AO,11,FALSE()),"")</x:f>
        <x:v>3</x:v>
      </x:c>
      <x:c r="W22" s="55" t="str">
        <x:f>Aggregate!AD18</x:f>
        <x:v>Tee Higgins</x:v>
      </x:c>
      <x:c r="X22" s="55" t="str">
        <x:f>VLOOKUP(DraftSheet!$W22,Aggregate!AD:AO,4,FALSE())</x:f>
        <x:v>CIN/6</x:v>
      </x:c>
      <x:c r="Y22" s="53" t="n">
        <x:f>IFERROR(VLOOKUP(DraftSheet!$W22,Aggregate!$AD:$AO,8,FALSE()),"")</x:f>
        <x:v>148.0210392</x:v>
      </x:c>
      <x:c r="Z22" s="53" t="n">
        <x:f>IF(Scoring!$K$6="Auction",IFERROR(VLOOKUP(DraftSheet!$W22,Aggregate!$AD:$AO,10,FALSE()),""),IFERROR(VLOOKUP(DraftSheet!$W22,Aggregate!$AD:$AO,9,FALSE()),""))</x:f>
        <x:v>45.826127423529414</x:v>
      </x:c>
      <x:c r="AA22" s="61" t="n">
        <x:f>SUMIFS($AD23:AD$84,$AC23:AC$84,"&lt;&gt;x",$AC23:AC$84,"&lt;&gt;o",$AD23:AD$84,"&gt;0")/Aggregate!$AL$1</x:f>
        <x:v>0.26781586528229556</x:v>
      </x:c>
      <x:c r="AB22" s="53" t="n">
        <x:f t="array" ref="AB22">IFERROR(INDEX(ECR!$K:$K,MATCH(DraftSheet!$W22,ECR!$C:$C,0)),"ND")</x:f>
        <x:v>33</x:v>
      </x:c>
      <x:c r="AC22" s="62"/>
      <x:c r="AD22" s="64" t="n">
        <x:f>VLOOKUP(W22,Aggregate!AD:AL,9,FALSE())</x:f>
        <x:v>46.70666271</x:v>
      </x:c>
      <x:c r="AE22" s="2"/>
      <x:c r="AF22" s="2"/>
      <x:c r="AG22" s="2"/>
      <x:c r="AH22" s="2"/>
    </x:row>
    <x:row r="23" ht="14.25" customHeight="1">
      <x:c r="A23" s="2"/>
      <x:c r="B23" s="53" t="n">
        <x:f>IFERROR(VLOOKUP(DraftSheet!$C23,Aggregate!$B:$M,11,FALSE()),"")</x:f>
        <x:v>5</x:v>
      </x:c>
      <x:c r="C23" s="55" t="str">
        <x:f>Aggregate!B22</x:f>
        <x:v>Tyler Shough</x:v>
      </x:c>
      <x:c r="D23" s="55" t="str">
        <x:f>VLOOKUP(DraftSheet!$C23,Aggregate!B:M,4,FALSE())</x:f>
        <x:v>NO/8</x:v>
      </x:c>
      <x:c r="E23" s="53" t="n">
        <x:f>IFERROR(VLOOKUP(DraftSheet!$C23,Aggregate!$B:$M,8,FALSE()),"")</x:f>
        <x:v>218.933267</x:v>
      </x:c>
      <x:c r="F23" s="53" t="n">
        <x:f>IF(Scoring!$K$6="Auction",IFERROR(VLOOKUP(DraftSheet!$C23,Aggregate!$B:$M,10,FALSE()),""),IFERROR(VLOOKUP(DraftSheet!$C23,Aggregate!$B:$M,9,FALSE()),""))</x:f>
        <x:v>-24.376012433823547</x:v>
      </x:c>
      <x:c r="G23" s="61" t="n">
        <x:f>SUMIFS($J24:J$44,$I24:I$44,"&lt;&gt;x",$I24:I$44,"&lt;&gt;o",$J24:J$44,"&gt;0")/Aggregate!$J$1</x:f>
        <x:v>0</x:v>
      </x:c>
      <x:c r="H23" s="53" t="n">
        <x:f t="array" ref="H23">IFERROR(INDEX(ECR!$K:$K,MATCH(DraftSheet!$C23,ECR!$C:$C,0)),"ND")</x:f>
        <x:v>127</x:v>
      </x:c>
      <x:c r="I23" s="62"/>
      <x:c r="J23" s="64" t="n">
        <x:f>VLOOKUP(C23,Aggregate!B:J,9,FALSE())</x:f>
        <x:v>-25.06924522</x:v>
      </x:c>
      <x:c r="K23" s="65"/>
      <x:c r="L23" s="53" t="n">
        <x:f>IFERROR(VLOOKUP(DraftSheet!$M23,Aggregate!$P:$AA,11,FALSE()),"")</x:f>
        <x:v>4</x:v>
      </x:c>
      <x:c r="M23" s="55" t="str">
        <x:f>Aggregate!P22</x:f>
        <x:v>Cam Skattebo</x:v>
      </x:c>
      <x:c r="N23" s="55" t="str">
        <x:f>VLOOKUP(DraftSheet!$M23,Aggregate!P:AA,4,FALSE())</x:f>
        <x:v>NYG/8</x:v>
      </x:c>
      <x:c r="O23" s="53" t="n">
        <x:f>IFERROR(VLOOKUP(DraftSheet!$M23,Aggregate!$P:$AA,8,FALSE()),"")</x:f>
        <x:v>161.7333824</x:v>
      </x:c>
      <x:c r="P23" s="53" t="n">
        <x:f>IF(Scoring!$K$6="Auction",IFERROR(VLOOKUP(DraftSheet!$M23,Aggregate!$P:$AA,10,FALSE()),""),IFERROR(VLOOKUP(DraftSheet!$M23,Aggregate!$P:$AA,9,FALSE()),""))</x:f>
        <x:v>31.733053232352944</x:v>
      </x:c>
      <x:c r="Q23" s="61" t="n">
        <x:f>SUMIFS($T24:T$84,$S24:S$84,"&lt;&gt;x",$S24:S$84,"&lt;&gt;o",$T24:T$84,"&gt;0")/Aggregate!$X$1</x:f>
        <x:v>0.39779476951540443</x:v>
      </x:c>
      <x:c r="R23" s="53" t="n">
        <x:f t="array" ref="R23">IFERROR(INDEX(ECR!$K:$K,MATCH(DraftSheet!$M23,ECR!$C:$C,0)),"ND")</x:f>
        <x:v>52</x:v>
      </x:c>
      <x:c r="S23" s="62"/>
      <x:c r="T23" s="64" t="n">
        <x:f>VLOOKUP(M23,Aggregate!P:X,9,FALSE())</x:f>
        <x:v>60.23334265</x:v>
      </x:c>
      <x:c r="U23" s="73"/>
      <x:c r="V23" s="53" t="n">
        <x:f>IFERROR(VLOOKUP(DraftSheet!$W23,Aggregate!$AD:$AO,11,FALSE()),"")</x:f>
        <x:v>3</x:v>
      </x:c>
      <x:c r="W23" s="55" t="str">
        <x:f>Aggregate!AD23</x:f>
        <x:v>Emeka Egbuka</x:v>
      </x:c>
      <x:c r="X23" s="55" t="str">
        <x:f>VLOOKUP(DraftSheet!$W23,Aggregate!AD:AO,4,FALSE())</x:f>
        <x:v>TB/10</x:v>
      </x:c>
      <x:c r="Y23" s="53" t="n">
        <x:f>IFERROR(VLOOKUP(DraftSheet!$W23,Aggregate!$AD:$AO,8,FALSE()),"")</x:f>
        <x:v>144.3515007</x:v>
      </x:c>
      <x:c r="Z23" s="53" t="n">
        <x:f>IF(Scoring!$K$6="Auction",IFERROR(VLOOKUP(DraftSheet!$W23,Aggregate!$AD:$AO,10,FALSE()),""),IFERROR(VLOOKUP(DraftSheet!$W23,Aggregate!$AD:$AO,9,FALSE()),""))</x:f>
        <x:v>42.15658891029415</x:v>
      </x:c>
      <x:c r="AA23" s="61" t="n">
        <x:f>SUMIFS($AD24:AD$84,$AC24:AC$84,"&lt;&gt;x",$AC24:AC$84,"&lt;&gt;o",$AD24:AD$84,"&gt;0")/Aggregate!$AL$1</x:f>
        <x:v>0.24519214207406503</x:v>
      </x:c>
      <x:c r="AB23" s="53" t="n">
        <x:f t="array" ref="AB23">IFERROR(INDEX(ECR!$K:$K,MATCH(DraftSheet!$W23,ECR!$C:$C,0)),"ND")</x:f>
        <x:v>43</x:v>
      </x:c>
      <x:c r="AC23" s="62"/>
      <x:c r="AD23" s="64" t="n">
        <x:f>VLOOKUP(W23,Aggregate!AD:AL,9,FALSE())</x:f>
        <x:v>43.03712419</x:v>
      </x:c>
      <x:c r="AE23" s="2"/>
      <x:c r="AF23" s="2"/>
      <x:c r="AG23" s="2"/>
      <x:c r="AH23" s="2"/>
    </x:row>
    <x:row r="24" ht="14.25" customHeight="1">
      <x:c r="A24" s="2"/>
      <x:c r="B24" s="53" t="n">
        <x:f>IFERROR(VLOOKUP(DraftSheet!$C24,Aggregate!$B:$M,11,FALSE()),"")</x:f>
        <x:v>6</x:v>
      </x:c>
      <x:c r="C24" s="55" t="str">
        <x:f>Aggregate!B21</x:f>
        <x:v>Jordan Love</x:v>
      </x:c>
      <x:c r="D24" s="55" t="str">
        <x:f>VLOOKUP(DraftSheet!$C24,Aggregate!B:M,4,FALSE())</x:f>
        <x:v>GB/11</x:v>
      </x:c>
      <x:c r="E24" s="53" t="n">
        <x:f>IFERROR(VLOOKUP(DraftSheet!$C24,Aggregate!$B:$M,8,FALSE()),"")</x:f>
        <x:v>213.182207</x:v>
      </x:c>
      <x:c r="F24" s="53" t="n">
        <x:f>IF(Scoring!$K$6="Auction",IFERROR(VLOOKUP(DraftSheet!$C24,Aggregate!$B:$M,10,FALSE()),""),IFERROR(VLOOKUP(DraftSheet!$C24,Aggregate!$B:$M,9,FALSE()),""))</x:f>
        <x:v>-29.58927700882353</x:v>
      </x:c>
      <x:c r="G24" s="61" t="n">
        <x:f>SUMIFS($J25:J$44,$I25:I$44,"&lt;&gt;x",$I25:I$44,"&lt;&gt;o",$J25:J$44,"&gt;0")/Aggregate!$J$1</x:f>
        <x:v>0</x:v>
      </x:c>
      <x:c r="H24" s="53" t="n">
        <x:f t="array" ref="H24">IFERROR(INDEX(ECR!$K:$K,MATCH(DraftSheet!$C24,ECR!$C:$C,0)),"ND")</x:f>
        <x:v>123</x:v>
      </x:c>
      <x:c r="I24" s="62"/>
      <x:c r="J24" s="64" t="n">
        <x:f>VLOOKUP(C24,Aggregate!B:J,9,FALSE())</x:f>
        <x:v>-30.82030523</x:v>
      </x:c>
      <x:c r="K24" s="65"/>
      <x:c r="L24" s="53" t="n">
        <x:f>IFERROR(VLOOKUP(DraftSheet!$M24,Aggregate!$P:$AA,11,FALSE()),"")</x:f>
        <x:v>4</x:v>
      </x:c>
      <x:c r="M24" s="55" t="str">
        <x:f>Aggregate!P21</x:f>
        <x:v>D'Andre Swift</x:v>
      </x:c>
      <x:c r="N24" s="55" t="str">
        <x:f>VLOOKUP(DraftSheet!$M24,Aggregate!P:AA,4,FALSE())</x:f>
        <x:v>CHI/10</x:v>
      </x:c>
      <x:c r="O24" s="53" t="n">
        <x:f>IFERROR(VLOOKUP(DraftSheet!$M24,Aggregate!$P:$AA,8,FALSE()),"")</x:f>
        <x:v>158.2501471</x:v>
      </x:c>
      <x:c r="P24" s="53" t="n">
        <x:f>IF(Scoring!$K$6="Auction",IFERROR(VLOOKUP(DraftSheet!$M24,Aggregate!$P:$AA,10,FALSE()),""),IFERROR(VLOOKUP(DraftSheet!$M24,Aggregate!$P:$AA,9,FALSE()),""))</x:f>
        <x:v>28.249817936764686</x:v>
      </x:c>
      <x:c r="Q24" s="61" t="n">
        <x:f>SUMIFS($T25:T$84,$S25:S$84,"&lt;&gt;x",$S25:S$84,"&lt;&gt;o",$T25:T$84,"&gt;0")/Aggregate!$X$1</x:f>
        <x:v>0.3540873625444317</x:v>
      </x:c>
      <x:c r="R24" s="53" t="n">
        <x:f t="array" ref="R24">IFERROR(INDEX(ECR!$K:$K,MATCH(DraftSheet!$M24,ECR!$C:$C,0)),"ND")</x:f>
        <x:v>49</x:v>
      </x:c>
      <x:c r="S24" s="62"/>
      <x:c r="T24" s="64" t="n">
        <x:f>VLOOKUP(M24,Aggregate!P:X,9,FALSE())</x:f>
        <x:v>56.75010735</x:v>
      </x:c>
      <x:c r="U24" s="73"/>
      <x:c r="V24" s="53" t="n">
        <x:f>IFERROR(VLOOKUP(DraftSheet!$W24,Aggregate!$AD:$AO,11,FALSE()),"")</x:f>
        <x:v>4</x:v>
      </x:c>
      <x:c r="W24" s="55" t="str">
        <x:f>Aggregate!AD25</x:f>
        <x:v>Davante Adams</x:v>
      </x:c>
      <x:c r="X24" s="55" t="str">
        <x:f>VLOOKUP(DraftSheet!$W24,Aggregate!AD:AO,4,FALSE())</x:f>
        <x:v>LAR/11</x:v>
      </x:c>
      <x:c r="Y24" s="53" t="n">
        <x:f>IFERROR(VLOOKUP(DraftSheet!$W24,Aggregate!$AD:$AO,8,FALSE()),"")</x:f>
        <x:v>140.6068388</x:v>
      </x:c>
      <x:c r="Z24" s="53" t="n">
        <x:f>IF(Scoring!$K$6="Auction",IFERROR(VLOOKUP(DraftSheet!$W24,Aggregate!$AD:$AO,10,FALSE()),""),IFERROR(VLOOKUP(DraftSheet!$W24,Aggregate!$AD:$AO,9,FALSE()),""))</x:f>
        <x:v>38.41192700441178</x:v>
      </x:c>
      <x:c r="AA24" s="61" t="n">
        <x:f>SUMIFS($AD25:AD$84,$AC25:AC$84,"&lt;&gt;x",$AC25:AC$84,"&lt;&gt;o",$AD25:AD$84,"&gt;0")/Aggregate!$AL$1</x:f>
        <x:v>0.22453690993383038</x:v>
      </x:c>
      <x:c r="AB24" s="53" t="n">
        <x:f t="array" ref="AB24">IFERROR(INDEX(ECR!$K:$K,MATCH(DraftSheet!$W24,ECR!$C:$C,0)),"ND")</x:f>
        <x:v>48</x:v>
      </x:c>
      <x:c r="AC24" s="62"/>
      <x:c r="AD24" s="64" t="n">
        <x:f>VLOOKUP(W24,Aggregate!AD:AL,9,FALSE())</x:f>
        <x:v>39.29246228</x:v>
      </x:c>
      <x:c r="AE24" s="2"/>
      <x:c r="AF24" s="2"/>
      <x:c r="AG24" s="2"/>
      <x:c r="AH24" s="2"/>
    </x:row>
    <x:row r="25" ht="14.25" customHeight="1">
      <x:c r="A25" s="2"/>
      <x:c r="B25" s="53" t="n">
        <x:f>IFERROR(VLOOKUP(DraftSheet!$C25,Aggregate!$B:$M,11,FALSE()),"")</x:f>
        <x:v>6</x:v>
      </x:c>
      <x:c r="C25" s="55" t="str">
        <x:f>Aggregate!B23</x:f>
        <x:v>Malik Willis</x:v>
      </x:c>
      <x:c r="D25" s="55" t="str">
        <x:f>VLOOKUP(DraftSheet!$C25,Aggregate!B:M,4,FALSE())</x:f>
        <x:v>MIA/6</x:v>
      </x:c>
      <x:c r="E25" s="53" t="n">
        <x:f>IFERROR(VLOOKUP(DraftSheet!$C25,Aggregate!$B:$M,8,FALSE()),"")</x:f>
        <x:v>208.3062623</x:v>
      </x:c>
      <x:c r="F25" s="53" t="n">
        <x:f>IF(Scoring!$K$6="Auction",IFERROR(VLOOKUP(DraftSheet!$C25,Aggregate!$B:$M,10,FALSE()),""),IFERROR(VLOOKUP(DraftSheet!$C25,Aggregate!$B:$M,9,FALSE()),""))</x:f>
        <x:v>-34.238267166176485</x:v>
      </x:c>
      <x:c r="G25" s="61" t="n">
        <x:f>SUMIFS($J26:J$44,$I26:I$44,"&lt;&gt;x",$I26:I$44,"&lt;&gt;o",$J26:J$44,"&gt;0")/Aggregate!$J$1</x:f>
        <x:v>0</x:v>
      </x:c>
      <x:c r="H25" s="53" t="n">
        <x:f t="array" ref="H25">IFERROR(INDEX(ECR!$K:$K,MATCH(DraftSheet!$C25,ECR!$C:$C,0)),"ND")</x:f>
        <x:v>137</x:v>
      </x:c>
      <x:c r="I25" s="62"/>
      <x:c r="J25" s="64" t="n">
        <x:f>VLOOKUP(C25,Aggregate!B:J,9,FALSE())</x:f>
        <x:v>-35.69624994</x:v>
      </x:c>
      <x:c r="K25" s="65"/>
      <x:c r="L25" s="53" t="n">
        <x:f>IFERROR(VLOOKUP(DraftSheet!$M25,Aggregate!$P:$AA,11,FALSE()),"")</x:f>
        <x:v>4</x:v>
      </x:c>
      <x:c r="M25" s="55" t="str">
        <x:f>Aggregate!P23</x:f>
        <x:v>Bucky Irving</x:v>
      </x:c>
      <x:c r="N25" s="55" t="str">
        <x:f>VLOOKUP(DraftSheet!$M25,Aggregate!P:AA,4,FALSE())</x:f>
        <x:v>TB/10</x:v>
      </x:c>
      <x:c r="O25" s="53" t="n">
        <x:f>IFERROR(VLOOKUP(DraftSheet!$M25,Aggregate!$P:$AA,8,FALSE()),"")</x:f>
        <x:v>156.5047059</x:v>
      </x:c>
      <x:c r="P25" s="53" t="n">
        <x:f>IF(Scoring!$K$6="Auction",IFERROR(VLOOKUP(DraftSheet!$M25,Aggregate!$P:$AA,10,FALSE()),""),IFERROR(VLOOKUP(DraftSheet!$M25,Aggregate!$P:$AA,9,FALSE()),""))</x:f>
        <x:v>26.504376754411766</x:v>
      </x:c>
      <x:c r="Q25" s="61" t="n">
        <x:f>SUMIFS($T26:T$84,$S26:S$84,"&lt;&gt;x",$S26:S$84,"&lt;&gt;o",$T26:T$84,"&gt;0")/Aggregate!$X$1</x:f>
        <x:v>0.3117242474369189</x:v>
      </x:c>
      <x:c r="R25" s="53" t="n">
        <x:f t="array" ref="R25">IFERROR(INDEX(ECR!$K:$K,MATCH(DraftSheet!$M25,ECR!$C:$C,0)),"ND")</x:f>
        <x:v>55</x:v>
      </x:c>
      <x:c r="S25" s="62"/>
      <x:c r="T25" s="64" t="n">
        <x:f>VLOOKUP(M25,Aggregate!P:X,9,FALSE())</x:f>
        <x:v>55.00466618</x:v>
      </x:c>
      <x:c r="U25" s="73"/>
      <x:c r="V25" s="53" t="n">
        <x:f>IFERROR(VLOOKUP(DraftSheet!$W25,Aggregate!$AD:$AO,11,FALSE()),"")</x:f>
        <x:v>4</x:v>
      </x:c>
      <x:c r="W25" s="55" t="str">
        <x:f>Aggregate!AD22</x:f>
        <x:v>Ladd McConkey</x:v>
      </x:c>
      <x:c r="X25" s="55" t="str">
        <x:f>VLOOKUP(DraftSheet!$W25,Aggregate!AD:AO,4,FALSE())</x:f>
        <x:v>LAC/7</x:v>
      </x:c>
      <x:c r="Y25" s="53" t="n">
        <x:f>IFERROR(VLOOKUP(DraftSheet!$W25,Aggregate!$AD:$AO,8,FALSE()),"")</x:f>
        <x:v>139.711185</x:v>
      </x:c>
      <x:c r="Z25" s="53" t="n">
        <x:f>IF(Scoring!$K$6="Auction",IFERROR(VLOOKUP(DraftSheet!$W25,Aggregate!$AD:$AO,10,FALSE()),""),IFERROR(VLOOKUP(DraftSheet!$W25,Aggregate!$AD:$AO,9,FALSE()),""))</x:f>
        <x:v>37.51627328970591</x:v>
      </x:c>
      <x:c r="AA25" s="61" t="n">
        <x:f>SUMIFS($AD26:AD$84,$AC26:AC$84,"&lt;&gt;x",$AC26:AC$84,"&lt;&gt;o",$AD26:AD$84,"&gt;0")/Aggregate!$AL$1</x:f>
        <x:v>0.20435250436499966</x:v>
      </x:c>
      <x:c r="AB25" s="53" t="n">
        <x:f t="array" ref="AB25">IFERROR(INDEX(ECR!$K:$K,MATCH(DraftSheet!$W25,ECR!$C:$C,0)),"ND")</x:f>
        <x:v>41</x:v>
      </x:c>
      <x:c r="AC25" s="62"/>
      <x:c r="AD25" s="64" t="n">
        <x:f>VLOOKUP(W25,Aggregate!AD:AL,9,FALSE())</x:f>
        <x:v>38.39680857</x:v>
      </x:c>
      <x:c r="AE25" s="2"/>
      <x:c r="AF25" s="2"/>
      <x:c r="AG25" s="2"/>
      <x:c r="AH25" s="2"/>
    </x:row>
    <x:row r="26" ht="14.25" customHeight="1">
      <x:c r="A26" s="2"/>
      <x:c r="B26" s="53" t="n">
        <x:f>IFERROR(VLOOKUP(DraftSheet!$C26,Aggregate!$B:$M,11,FALSE()),"")</x:f>
        <x:v>6</x:v>
      </x:c>
      <x:c r="C26" s="55" t="str">
        <x:f>Aggregate!B27</x:f>
        <x:v>Daniel Jones</x:v>
      </x:c>
      <x:c r="D26" s="55" t="str">
        <x:f>VLOOKUP(DraftSheet!$C26,Aggregate!B:M,4,FALSE())</x:f>
        <x:v>IND/13</x:v>
      </x:c>
      <x:c r="E26" s="53" t="n">
        <x:f>IFERROR(VLOOKUP(DraftSheet!$C26,Aggregate!$B:$M,8,FALSE()),"")</x:f>
        <x:v>205.7076706</x:v>
      </x:c>
      <x:c r="F26" s="53" t="n">
        <x:f>IF(Scoring!$K$6="Auction",IFERROR(VLOOKUP(DraftSheet!$C26,Aggregate!$B:$M,10,FALSE()),""),IFERROR(VLOOKUP(DraftSheet!$C26,Aggregate!$B:$M,9,FALSE()),""))</x:f>
        <x:v>-37.114850032352905</x:v>
      </x:c>
      <x:c r="G26" s="61" t="n">
        <x:f>SUMIFS($J27:J$44,$I27:I$44,"&lt;&gt;x",$I27:I$44,"&lt;&gt;o",$J27:J$44,"&gt;0")/Aggregate!$J$1</x:f>
        <x:v>0</x:v>
      </x:c>
      <x:c r="H26" s="53" t="n">
        <x:f t="array" ref="H26">IFERROR(INDEX(ECR!$K:$K,MATCH(DraftSheet!$C26,ECR!$C:$C,0)),"ND")</x:f>
        <x:v>157</x:v>
      </x:c>
      <x:c r="I26" s="62"/>
      <x:c r="J26" s="64" t="n">
        <x:f>VLOOKUP(C26,Aggregate!B:J,9,FALSE())</x:f>
        <x:v>-38.29484164</x:v>
      </x:c>
      <x:c r="K26" s="65"/>
      <x:c r="L26" s="53" t="n">
        <x:f>IFERROR(VLOOKUP(DraftSheet!$M26,Aggregate!$P:$AA,11,FALSE()),"")</x:f>
        <x:v>4</x:v>
      </x:c>
      <x:c r="M26" s="55" t="str">
        <x:f>Aggregate!P24</x:f>
        <x:v>Quinshon Judkins</x:v>
      </x:c>
      <x:c r="N26" s="55" t="str">
        <x:f>VLOOKUP(DraftSheet!$M26,Aggregate!P:AA,4,FALSE())</x:f>
        <x:v>CLE/11</x:v>
      </x:c>
      <x:c r="O26" s="53" t="n">
        <x:f>IFERROR(VLOOKUP(DraftSheet!$M26,Aggregate!$P:$AA,8,FALSE()),"")</x:f>
        <x:v>152.8952941</x:v>
      </x:c>
      <x:c r="P26" s="53" t="n">
        <x:f>IF(Scoring!$K$6="Auction",IFERROR(VLOOKUP(DraftSheet!$M26,Aggregate!$P:$AA,10,FALSE()),""),IFERROR(VLOOKUP(DraftSheet!$M26,Aggregate!$P:$AA,9,FALSE()),""))</x:f>
        <x:v>22.894964995588225</x:v>
      </x:c>
      <x:c r="Q26" s="61" t="n">
        <x:f>SUMIFS($T27:T$84,$S27:S$84,"&lt;&gt;x",$S27:S$84,"&lt;&gt;o",$T27:T$84,"&gt;0")/Aggregate!$X$1</x:f>
        <x:v>0.272141004236683</x:v>
      </x:c>
      <x:c r="R26" s="53" t="n">
        <x:f t="array" ref="R26">IFERROR(INDEX(ECR!$K:$K,MATCH(DraftSheet!$M26,ECR!$C:$C,0)),"ND")</x:f>
        <x:v>56</x:v>
      </x:c>
      <x:c r="S26" s="62"/>
      <x:c r="T26" s="64" t="n">
        <x:f>VLOOKUP(M26,Aggregate!P:X,9,FALSE())</x:f>
        <x:v>51.39525441</x:v>
      </x:c>
      <x:c r="U26" s="73"/>
      <x:c r="V26" s="53" t="n">
        <x:f>IFERROR(VLOOKUP(DraftSheet!$W26,Aggregate!$AD:$AO,11,FALSE()),"")</x:f>
        <x:v>4</x:v>
      </x:c>
      <x:c r="W26" s="55" t="str">
        <x:f>Aggregate!AD24</x:f>
        <x:v>Terry McLaurin</x:v>
      </x:c>
      <x:c r="X26" s="55" t="str">
        <x:f>VLOOKUP(DraftSheet!$W26,Aggregate!AD:AO,4,FALSE())</x:f>
        <x:v>WAS/7</x:v>
      </x:c>
      <x:c r="Y26" s="53" t="n">
        <x:f>IFERROR(VLOOKUP(DraftSheet!$W26,Aggregate!$AD:$AO,8,FALSE()),"")</x:f>
        <x:v>137.3866376</x:v>
      </x:c>
      <x:c r="Z26" s="53" t="n">
        <x:f>IF(Scoring!$K$6="Auction",IFERROR(VLOOKUP(DraftSheet!$W26,Aggregate!$AD:$AO,10,FALSE()),""),IFERROR(VLOOKUP(DraftSheet!$W26,Aggregate!$AD:$AO,9,FALSE()),""))</x:f>
        <x:v>35.19172579117648</x:v>
      </x:c>
      <x:c r="AA26" s="61" t="n">
        <x:f>SUMIFS($AD27:AD$84,$AC27:AC$84,"&lt;&gt;x",$AC27:AC$84,"&lt;&gt;o",$AD27:AD$84,"&gt;0")/Aggregate!$AL$1</x:f>
        <x:v>0.18539006517430648</x:v>
      </x:c>
      <x:c r="AB26" s="53" t="n">
        <x:f t="array" ref="AB26">IFERROR(INDEX(ECR!$K:$K,MATCH(DraftSheet!$W26,ECR!$C:$C,0)),"ND")</x:f>
        <x:v>47</x:v>
      </x:c>
      <x:c r="AC26" s="62"/>
      <x:c r="AD26" s="64" t="n">
        <x:f>VLOOKUP(W26,Aggregate!AD:AL,9,FALSE())</x:f>
        <x:v>36.07226109</x:v>
      </x:c>
      <x:c r="AE26" s="2"/>
      <x:c r="AF26" s="2"/>
      <x:c r="AG26" s="2"/>
      <x:c r="AH26" s="2"/>
    </x:row>
    <x:row r="27" ht="14.25" customHeight="1">
      <x:c r="A27" s="2"/>
      <x:c r="B27" s="53" t="n">
        <x:f>IFERROR(VLOOKUP(DraftSheet!$C27,Aggregate!$B:$M,11,FALSE()),"")</x:f>
        <x:v>6</x:v>
      </x:c>
      <x:c r="C27" s="55" t="str">
        <x:f>Aggregate!B24</x:f>
        <x:v>Sam Darnold</x:v>
      </x:c>
      <x:c r="D27" s="55" t="str">
        <x:f>VLOOKUP(DraftSheet!$C27,Aggregate!B:M,4,FALSE())</x:f>
        <x:v>SEA/11</x:v>
      </x:c>
      <x:c r="E27" s="53" t="n">
        <x:f>IFERROR(VLOOKUP(DraftSheet!$C27,Aggregate!$B:$M,8,FALSE()),"")</x:f>
        <x:v>203.8682106</x:v>
      </x:c>
      <x:c r="F27" s="53" t="n">
        <x:f>IF(Scoring!$K$6="Auction",IFERROR(VLOOKUP(DraftSheet!$C27,Aggregate!$B:$M,10,FALSE()),""),IFERROR(VLOOKUP(DraftSheet!$C27,Aggregate!$B:$M,9,FALSE()),""))</x:f>
        <x:v>-38.83566320441176</x:v>
      </x:c>
      <x:c r="G27" s="61" t="n">
        <x:f>SUMIFS($J28:J$44,$I28:I$44,"&lt;&gt;x",$I28:I$44,"&lt;&gt;o",$J28:J$44,"&gt;0")/Aggregate!$J$1</x:f>
        <x:v>0</x:v>
      </x:c>
      <x:c r="H27" s="53" t="n">
        <x:f t="array" ref="H27">IFERROR(INDEX(ECR!$K:$K,MATCH(DraftSheet!$C27,ECR!$C:$C,0)),"ND")</x:f>
        <x:v>142</x:v>
      </x:c>
      <x:c r="I27" s="62"/>
      <x:c r="J27" s="64" t="n">
        <x:f>VLOOKUP(C27,Aggregate!B:J,9,FALSE())</x:f>
        <x:v>-40.13430158</x:v>
      </x:c>
      <x:c r="K27" s="65"/>
      <x:c r="L27" s="53" t="n">
        <x:f>IFERROR(VLOOKUP(DraftSheet!$M27,Aggregate!$P:$AA,11,FALSE()),"")</x:f>
        <x:v>5</x:v>
      </x:c>
      <x:c r="M27" s="55" t="str">
        <x:f>Aggregate!P26</x:f>
        <x:v>Bhayshul Tuten</x:v>
      </x:c>
      <x:c r="N27" s="55" t="str">
        <x:f>VLOOKUP(DraftSheet!$M27,Aggregate!P:AA,4,FALSE())</x:f>
        <x:v>JAC/7</x:v>
      </x:c>
      <x:c r="O27" s="53" t="n">
        <x:f>IFERROR(VLOOKUP(DraftSheet!$M27,Aggregate!$P:$AA,8,FALSE()),"")</x:f>
        <x:v>147.6493613</x:v>
      </x:c>
      <x:c r="P27" s="53" t="n">
        <x:f>IF(Scoring!$K$6="Auction",IFERROR(VLOOKUP(DraftSheet!$M27,Aggregate!$P:$AA,10,FALSE()),""),IFERROR(VLOOKUP(DraftSheet!$M27,Aggregate!$P:$AA,9,FALSE()),""))</x:f>
        <x:v>17.64903218088233</x:v>
      </x:c>
      <x:c r="Q27" s="61" t="n">
        <x:f>SUMIFS($T28:T$84,$S28:S$84,"&lt;&gt;x",$S28:S$84,"&lt;&gt;o",$T28:T$84,"&gt;0")/Aggregate!$X$1</x:f>
        <x:v>0.23659803745904526</x:v>
      </x:c>
      <x:c r="R27" s="53" t="n">
        <x:f t="array" ref="R27">IFERROR(INDEX(ECR!$K:$K,MATCH(DraftSheet!$M27,ECR!$C:$C,0)),"ND")</x:f>
        <x:v>64</x:v>
      </x:c>
      <x:c r="S27" s="62"/>
      <x:c r="T27" s="64" t="n">
        <x:f>VLOOKUP(M27,Aggregate!P:X,9,FALSE())</x:f>
        <x:v>46.14932159</x:v>
      </x:c>
      <x:c r="U27" s="73"/>
      <x:c r="V27" s="53" t="n">
        <x:f>IFERROR(VLOOKUP(DraftSheet!$W27,Aggregate!$AD:$AO,11,FALSE()),"")</x:f>
        <x:v>4</x:v>
      </x:c>
      <x:c r="W27" s="55" t="str">
        <x:f>Aggregate!AD21</x:f>
        <x:v>Jaylen Waddle</x:v>
      </x:c>
      <x:c r="X27" s="55" t="str">
        <x:f>VLOOKUP(DraftSheet!$W27,Aggregate!AD:AO,4,FALSE())</x:f>
        <x:v>DEN/10</x:v>
      </x:c>
      <x:c r="Y27" s="53" t="n">
        <x:f>IFERROR(VLOOKUP(DraftSheet!$W27,Aggregate!$AD:$AO,8,FALSE()),"")</x:f>
        <x:v>136.6946706</x:v>
      </x:c>
      <x:c r="Z27" s="53" t="n">
        <x:f>IF(Scoring!$K$6="Auction",IFERROR(VLOOKUP(DraftSheet!$W27,Aggregate!$AD:$AO,10,FALSE()),""),IFERROR(VLOOKUP(DraftSheet!$W27,Aggregate!$AD:$AO,9,FALSE()),""))</x:f>
        <x:v>34.49975880588235</x:v>
      </x:c>
      <x:c r="AA27" s="61" t="n">
        <x:f>SUMIFS($AD28:AD$84,$AC28:AC$84,"&lt;&gt;x",$AC28:AC$84,"&lt;&gt;o",$AD28:AD$84,"&gt;0")/Aggregate!$AL$1</x:f>
        <x:v>0.16679137867261454</x:v>
      </x:c>
      <x:c r="AB27" s="53" t="n">
        <x:f t="array" ref="AB27">IFERROR(INDEX(ECR!$K:$K,MATCH(DraftSheet!$W27,ECR!$C:$C,0)),"ND")</x:f>
        <x:v>40</x:v>
      </x:c>
      <x:c r="AC27" s="62"/>
      <x:c r="AD27" s="64" t="n">
        <x:f>VLOOKUP(W27,Aggregate!AD:AL,9,FALSE())</x:f>
        <x:v>35.3802941</x:v>
      </x:c>
      <x:c r="AE27" s="2"/>
      <x:c r="AF27" s="2"/>
      <x:c r="AG27" s="2"/>
      <x:c r="AH27" s="2"/>
    </x:row>
    <x:row r="28" ht="14.25" customHeight="1">
      <x:c r="A28" s="2"/>
      <x:c r="B28" s="53" t="n">
        <x:f>IFERROR(VLOOKUP(DraftSheet!$C28,Aggregate!$B:$M,11,FALSE()),"")</x:f>
        <x:v>7</x:v>
      </x:c>
      <x:c r="C28" s="55" t="str">
        <x:f>Aggregate!B25</x:f>
        <x:v>C.J. Stroud</x:v>
      </x:c>
      <x:c r="D28" s="55" t="str">
        <x:f>VLOOKUP(DraftSheet!$C28,Aggregate!B:M,4,FALSE())</x:f>
        <x:v>HOU/8</x:v>
      </x:c>
      <x:c r="E28" s="53" t="n">
        <x:f>IFERROR(VLOOKUP(DraftSheet!$C28,Aggregate!$B:$M,8,FALSE()),"")</x:f>
        <x:v>198.89957</x:v>
      </x:c>
      <x:c r="F28" s="53" t="n">
        <x:f>IF(Scoring!$K$6="Auction",IFERROR(VLOOKUP(DraftSheet!$C28,Aggregate!$B:$M,10,FALSE()),""),IFERROR(VLOOKUP(DraftSheet!$C28,Aggregate!$B:$M,9,FALSE()),""))</x:f>
        <x:v>-43.922950619117614</x:v>
      </x:c>
      <x:c r="G28" s="61" t="n">
        <x:f>SUMIFS($J29:J$44,$I29:I$44,"&lt;&gt;x",$I29:I$44,"&lt;&gt;o",$J29:J$44,"&gt;0")/Aggregate!$J$1</x:f>
        <x:v>0</x:v>
      </x:c>
      <x:c r="H28" s="53" t="n">
        <x:f t="array" ref="H28">IFERROR(INDEX(ECR!$K:$K,MATCH(DraftSheet!$C28,ECR!$C:$C,0)),"ND")</x:f>
        <x:v>147</x:v>
      </x:c>
      <x:c r="I28" s="62"/>
      <x:c r="J28" s="64" t="n">
        <x:f>VLOOKUP(C28,Aggregate!B:J,9,FALSE())</x:f>
        <x:v>-45.10294222</x:v>
      </x:c>
      <x:c r="K28" s="65"/>
      <x:c r="L28" s="53" t="n">
        <x:f>IFERROR(VLOOKUP(DraftSheet!$M28,Aggregate!$P:$AA,11,FALSE()),"")</x:f>
        <x:v>5</x:v>
      </x:c>
      <x:c r="M28" s="55" t="str">
        <x:f>Aggregate!P28</x:f>
        <x:v>Jadarian Price</x:v>
      </x:c>
      <x:c r="N28" s="55" t="str">
        <x:f>VLOOKUP(DraftSheet!$M28,Aggregate!P:AA,4,FALSE())</x:f>
        <x:v>SEA/11</x:v>
      </x:c>
      <x:c r="O28" s="53" t="n">
        <x:f>IFERROR(VLOOKUP(DraftSheet!$M28,Aggregate!$P:$AA,8,FALSE()),"")</x:f>
        <x:v>145.7335608</x:v>
      </x:c>
      <x:c r="P28" s="53" t="n">
        <x:f>IF(Scoring!$K$6="Auction",IFERROR(VLOOKUP(DraftSheet!$M28,Aggregate!$P:$AA,10,FALSE()),""),IFERROR(VLOOKUP(DraftSheet!$M28,Aggregate!$P:$AA,9,FALSE()),""))</x:f>
        <x:v>15.733231643176453</x:v>
      </x:c>
      <x:c r="Q28" s="61" t="n">
        <x:f>SUMIFS($T29:T$84,$S29:S$84,"&lt;&gt;x",$S29:S$84,"&lt;&gt;o",$T29:T$84,"&gt;0")/Aggregate!$X$1</x:f>
        <x:v>0.20253056874387793</x:v>
      </x:c>
      <x:c r="R28" s="53" t="n">
        <x:f t="array" ref="R28">IFERROR(INDEX(ECR!$K:$K,MATCH(DraftSheet!$M28,ECR!$C:$C,0)),"ND")</x:f>
        <x:v>66</x:v>
      </x:c>
      <x:c r="S28" s="62"/>
      <x:c r="T28" s="64" t="n">
        <x:f>VLOOKUP(M28,Aggregate!P:X,9,FALSE())</x:f>
        <x:v>44.23352106</x:v>
      </x:c>
      <x:c r="U28" s="73"/>
      <x:c r="V28" s="53" t="n">
        <x:f>IFERROR(VLOOKUP(DraftSheet!$W28,Aggregate!$AD:$AO,11,FALSE()),"")</x:f>
        <x:v>4</x:v>
      </x:c>
      <x:c r="W28" s="55" t="str">
        <x:f>Aggregate!AD27</x:f>
        <x:v>Jameson Williams</x:v>
      </x:c>
      <x:c r="X28" s="55" t="str">
        <x:f>VLOOKUP(DraftSheet!$W28,Aggregate!AD:AO,4,FALSE())</x:f>
        <x:v>DET/6</x:v>
      </x:c>
      <x:c r="Y28" s="53" t="n">
        <x:f>IFERROR(VLOOKUP(DraftSheet!$W28,Aggregate!$AD:$AO,8,FALSE()),"")</x:f>
        <x:v>135.8772302</x:v>
      </x:c>
      <x:c r="Z28" s="53" t="n">
        <x:f>IF(Scoring!$K$6="Auction",IFERROR(VLOOKUP(DraftSheet!$W28,Aggregate!$AD:$AO,10,FALSE()),""),IFERROR(VLOOKUP(DraftSheet!$W28,Aggregate!$AD:$AO,9,FALSE()),""))</x:f>
        <x:v>33.68231845147059</x:v>
      </x:c>
      <x:c r="AA28" s="61" t="n">
        <x:f>SUMIFS($AD29:AD$84,$AC29:AC$84,"&lt;&gt;x",$AC29:AC$84,"&lt;&gt;o",$AD29:AD$84,"&gt;0")/Aggregate!$AL$1</x:f>
        <x:v>0.14862240360182571</x:v>
      </x:c>
      <x:c r="AB28" s="53" t="n">
        <x:f t="array" ref="AB28">IFERROR(INDEX(ECR!$K:$K,MATCH(DraftSheet!$W28,ECR!$C:$C,0)),"ND")</x:f>
        <x:v>54</x:v>
      </x:c>
      <x:c r="AC28" s="62"/>
      <x:c r="AD28" s="64" t="n">
        <x:f>VLOOKUP(W28,Aggregate!AD:AL,9,FALSE())</x:f>
        <x:v>34.56285375</x:v>
      </x:c>
      <x:c r="AE28" s="2"/>
      <x:c r="AF28" s="2"/>
      <x:c r="AG28" s="2"/>
      <x:c r="AH28" s="2"/>
    </x:row>
    <x:row r="29" ht="14.25" customHeight="1">
      <x:c r="A29" s="2"/>
      <x:c r="B29" s="53" t="n">
        <x:f>IFERROR(VLOOKUP(DraftSheet!$C29,Aggregate!$B:$M,11,FALSE()),"")</x:f>
        <x:v>7</x:v>
      </x:c>
      <x:c r="C29" s="55" t="str">
        <x:f>Aggregate!B28</x:f>
        <x:v>Bryce Young</x:v>
      </x:c>
      <x:c r="D29" s="55" t="str">
        <x:f>VLOOKUP(DraftSheet!$C29,Aggregate!B:M,4,FALSE())</x:f>
        <x:v>CAR/5</x:v>
      </x:c>
      <x:c r="E29" s="53" t="n">
        <x:f>IFERROR(VLOOKUP(DraftSheet!$C29,Aggregate!$B:$M,8,FALSE()),"")</x:f>
        <x:v>189.5811765</x:v>
      </x:c>
      <x:c r="F29" s="53" t="n">
        <x:f>IF(Scoring!$K$6="Auction",IFERROR(VLOOKUP(DraftSheet!$C29,Aggregate!$B:$M,10,FALSE()),""),IFERROR(VLOOKUP(DraftSheet!$C29,Aggregate!$B:$M,9,FALSE()),""))</x:f>
        <x:v>-53.975461791176485</x:v>
      </x:c>
      <x:c r="G29" s="61" t="n">
        <x:f>SUMIFS($J30:J$44,$I30:I$44,"&lt;&gt;x",$I30:I$44,"&lt;&gt;o",$J30:J$44,"&gt;0")/Aggregate!$J$1</x:f>
        <x:v>0</x:v>
      </x:c>
      <x:c r="H29" s="53" t="n">
        <x:f t="array" ref="H29">IFERROR(INDEX(ECR!$K:$K,MATCH(DraftSheet!$C29,ECR!$C:$C,0)),"ND")</x:f>
        <x:v>172</x:v>
      </x:c>
      <x:c r="I29" s="62"/>
      <x:c r="J29" s="64" t="n">
        <x:f>VLOOKUP(C29,Aggregate!B:J,9,FALSE())</x:f>
        <x:v>-54.42133575</x:v>
      </x:c>
      <x:c r="K29" s="65"/>
      <x:c r="L29" s="53" t="n">
        <x:f>IFERROR(VLOOKUP(DraftSheet!$M29,Aggregate!$P:$AA,11,FALSE()),"")</x:f>
        <x:v>5</x:v>
      </x:c>
      <x:c r="M29" s="55" t="str">
        <x:f>Aggregate!P25</x:f>
        <x:v>David Montgomery</x:v>
      </x:c>
      <x:c r="N29" s="55" t="str">
        <x:f>VLOOKUP(DraftSheet!$M29,Aggregate!P:AA,4,FALSE())</x:f>
        <x:v>HOU/8</x:v>
      </x:c>
      <x:c r="O29" s="53" t="n">
        <x:f>IFERROR(VLOOKUP(DraftSheet!$M29,Aggregate!$P:$AA,8,FALSE()),"")</x:f>
        <x:v>142.4119357</x:v>
      </x:c>
      <x:c r="P29" s="53" t="n">
        <x:f>IF(Scoring!$K$6="Auction",IFERROR(VLOOKUP(DraftSheet!$M29,Aggregate!$P:$AA,10,FALSE()),""),IFERROR(VLOOKUP(DraftSheet!$M29,Aggregate!$P:$AA,9,FALSE()),""))</x:f>
        <x:v>12.411606602941163</x:v>
      </x:c>
      <x:c r="Q29" s="61" t="n">
        <x:f>SUMIFS($T30:T$84,$S30:S$84,"&lt;&gt;x",$S30:S$84,"&lt;&gt;o",$T30:T$84,"&gt;0")/Aggregate!$X$1</x:f>
        <x:v>0.17102132634130499</x:v>
      </x:c>
      <x:c r="R29" s="53" t="n">
        <x:f t="array" ref="R29">IFERROR(INDEX(ECR!$K:$K,MATCH(DraftSheet!$M29,ECR!$C:$C,0)),"ND")</x:f>
        <x:v>57</x:v>
      </x:c>
      <x:c r="S29" s="62"/>
      <x:c r="T29" s="64" t="n">
        <x:f>VLOOKUP(M29,Aggregate!P:X,9,FALSE())</x:f>
        <x:v>40.91189601</x:v>
      </x:c>
      <x:c r="U29" s="73"/>
      <x:c r="V29" s="53" t="n">
        <x:f>IFERROR(VLOOKUP(DraftSheet!$W29,Aggregate!$AD:$AO,11,FALSE()),"")</x:f>
        <x:v>4</x:v>
      </x:c>
      <x:c r="W29" s="55" t="str">
        <x:f>Aggregate!AD26</x:f>
        <x:v>Luther Burden III</x:v>
      </x:c>
      <x:c r="X29" s="55" t="str">
        <x:f>VLOOKUP(DraftSheet!$W29,Aggregate!AD:AO,4,FALSE())</x:f>
        <x:v>CHI/10</x:v>
      </x:c>
      <x:c r="Y29" s="53" t="n">
        <x:f>IFERROR(VLOOKUP(DraftSheet!$W29,Aggregate!$AD:$AO,8,FALSE()),"")</x:f>
        <x:v>131.0506781</x:v>
      </x:c>
      <x:c r="Z29" s="53" t="n">
        <x:f>IF(Scoring!$K$6="Auction",IFERROR(VLOOKUP(DraftSheet!$W29,Aggregate!$AD:$AO,10,FALSE()),""),IFERROR(VLOOKUP(DraftSheet!$W29,Aggregate!$AD:$AO,9,FALSE()),""))</x:f>
        <x:v>28.85576634117649</x:v>
      </x:c>
      <x:c r="AA29" s="61" t="n">
        <x:f>SUMIFS($AD30:AD$84,$AC30:AC$84,"&lt;&gt;x",$AC30:AC$84,"&lt;&gt;o",$AD30:AD$84,"&gt;0")/Aggregate!$AL$1</x:f>
        <x:v>0.1329906468342606</x:v>
      </x:c>
      <x:c r="AB29" s="53" t="n">
        <x:f t="array" ref="AB29">IFERROR(INDEX(ECR!$K:$K,MATCH(DraftSheet!$W29,ECR!$C:$C,0)),"ND")</x:f>
        <x:v>51</x:v>
      </x:c>
      <x:c r="AC29" s="62"/>
      <x:c r="AD29" s="64" t="n">
        <x:f>VLOOKUP(W29,Aggregate!AD:AL,9,FALSE())</x:f>
        <x:v>29.73630163</x:v>
      </x:c>
      <x:c r="AE29" s="2"/>
      <x:c r="AF29" s="2"/>
      <x:c r="AG29" s="2"/>
      <x:c r="AH29" s="2"/>
    </x:row>
    <x:row r="30" ht="14.25" customHeight="1">
      <x:c r="A30" s="2"/>
      <x:c r="B30" s="53" t="n">
        <x:f>IFERROR(VLOOKUP(DraftSheet!$C30,Aggregate!$B:$M,11,FALSE()),"")</x:f>
        <x:v>8</x:v>
      </x:c>
      <x:c r="C30" s="55" t="str">
        <x:f>Aggregate!B26</x:f>
        <x:v>Cam Ward</x:v>
      </x:c>
      <x:c r="D30" s="55" t="str">
        <x:f>VLOOKUP(DraftSheet!$C30,Aggregate!B:M,4,FALSE())</x:f>
        <x:v>TEN/9</x:v>
      </x:c>
      <x:c r="E30" s="53" t="n">
        <x:f>IFERROR(VLOOKUP(DraftSheet!$C30,Aggregate!$B:$M,8,FALSE()),"")</x:f>
        <x:v>180.0203294</x:v>
      </x:c>
      <x:c r="F30" s="53" t="n">
        <x:f>IF(Scoring!$K$6="Auction",IFERROR(VLOOKUP(DraftSheet!$C30,Aggregate!$B:$M,10,FALSE()),""),IFERROR(VLOOKUP(DraftSheet!$C30,Aggregate!$B:$M,9,FALSE()),""))</x:f>
        <x:v>-61.31513237941178</x:v>
      </x:c>
      <x:c r="G30" s="61" t="n">
        <x:f>SUMIFS($J31:J$44,$I31:I$44,"&lt;&gt;x",$I31:I$44,"&lt;&gt;o",$J31:J$44,"&gt;0")/Aggregate!$J$1</x:f>
        <x:v>0</x:v>
      </x:c>
      <x:c r="H30" s="53" t="n">
        <x:f t="array" ref="H30">IFERROR(INDEX(ECR!$K:$K,MATCH(DraftSheet!$C30,ECR!$C:$C,0)),"ND")</x:f>
        <x:v>155</x:v>
      </x:c>
      <x:c r="I30" s="62"/>
      <x:c r="J30" s="64" t="n">
        <x:f>VLOOKUP(C30,Aggregate!B:J,9,FALSE())</x:f>
        <x:v>-63.98218281</x:v>
      </x:c>
      <x:c r="K30" s="65"/>
      <x:c r="L30" s="53" t="n">
        <x:f>IFERROR(VLOOKUP(DraftSheet!$M30,Aggregate!$P:$AA,11,FALSE()),"")</x:f>
        <x:v>5</x:v>
      </x:c>
      <x:c r="M30" s="55" t="str">
        <x:f>Aggregate!P27</x:f>
        <x:v>TreVeyon Henderson</x:v>
      </x:c>
      <x:c r="N30" s="55" t="str">
        <x:f>VLOOKUP(DraftSheet!$M30,Aggregate!P:AA,4,FALSE())</x:f>
        <x:v>NE/11</x:v>
      </x:c>
      <x:c r="O30" s="53" t="n">
        <x:f>IFERROR(VLOOKUP(DraftSheet!$M30,Aggregate!$P:$AA,8,FALSE()),"")</x:f>
        <x:v>134.5650628</x:v>
      </x:c>
      <x:c r="P30" s="53" t="n">
        <x:f>IF(Scoring!$K$6="Auction",IFERROR(VLOOKUP(DraftSheet!$M30,Aggregate!$P:$AA,10,FALSE()),""),IFERROR(VLOOKUP(DraftSheet!$M30,Aggregate!$P:$AA,9,FALSE()),""))</x:f>
        <x:v>4.564733674999985</x:v>
      </x:c>
      <x:c r="Q30" s="61" t="n">
        <x:f>SUMIFS($T31:T$84,$S31:S$84,"&lt;&gt;x",$S31:S$84,"&lt;&gt;o",$T31:T$84,"&gt;0")/Aggregate!$X$1</x:f>
        <x:v>0.1455555345008383</x:v>
      </x:c>
      <x:c r="R30" s="53" t="n">
        <x:f t="array" ref="R30">IFERROR(INDEX(ECR!$K:$K,MATCH(DraftSheet!$M30,ECR!$C:$C,0)),"ND")</x:f>
        <x:v>65</x:v>
      </x:c>
      <x:c r="S30" s="62"/>
      <x:c r="T30" s="64" t="n">
        <x:f>VLOOKUP(M30,Aggregate!P:X,9,FALSE())</x:f>
        <x:v>33.06502309</x:v>
      </x:c>
      <x:c r="U30" s="73"/>
      <x:c r="V30" s="53" t="n">
        <x:f>IFERROR(VLOOKUP(DraftSheet!$W30,Aggregate!$AD:$AO,11,FALSE()),"")</x:f>
        <x:v>4</x:v>
      </x:c>
      <x:c r="W30" s="55" t="str">
        <x:f>Aggregate!AD28</x:f>
        <x:v>DJ Moore</x:v>
      </x:c>
      <x:c r="X30" s="55" t="str">
        <x:f>VLOOKUP(DraftSheet!$W30,Aggregate!AD:AO,4,FALSE())</x:f>
        <x:v>BUF/7</x:v>
      </x:c>
      <x:c r="Y30" s="53" t="n">
        <x:f>IFERROR(VLOOKUP(DraftSheet!$W30,Aggregate!$AD:$AO,8,FALSE()),"")</x:f>
        <x:v>129.2319808</x:v>
      </x:c>
      <x:c r="Z30" s="53" t="n">
        <x:f>IF(Scoring!$K$6="Auction",IFERROR(VLOOKUP(DraftSheet!$W30,Aggregate!$AD:$AO,10,FALSE()),""),IFERROR(VLOOKUP(DraftSheet!$W30,Aggregate!$AD:$AO,9,FALSE()),""))</x:f>
        <x:v>27.037068995588214</x:v>
      </x:c>
      <x:c r="AA30" s="61" t="n">
        <x:f>SUMIFS($AD31:AD$84,$AC31:AC$84,"&lt;&gt;x",$AC31:AC$84,"&lt;&gt;o",$AD31:AD$84,"&gt;0")/Aggregate!$AL$1</x:f>
        <x:v>0.1183149415221332</x:v>
      </x:c>
      <x:c r="AB30" s="53" t="n">
        <x:f t="array" ref="AB30">IFERROR(INDEX(ECR!$K:$K,MATCH(DraftSheet!$W30,ECR!$C:$C,0)),"ND")</x:f>
        <x:v>58</x:v>
      </x:c>
      <x:c r="AC30" s="62"/>
      <x:c r="AD30" s="64" t="n">
        <x:f>VLOOKUP(W30,Aggregate!AD:AL,9,FALSE())</x:f>
        <x:v>27.91760429</x:v>
      </x:c>
      <x:c r="AE30" s="2"/>
      <x:c r="AF30" s="2"/>
      <x:c r="AG30" s="2"/>
      <x:c r="AH30" s="2"/>
    </x:row>
    <x:row r="31" ht="14.25" customHeight="1">
      <x:c r="A31" s="2"/>
      <x:c r="B31" s="53" t="n">
        <x:f>IFERROR(VLOOKUP(DraftSheet!$C31,Aggregate!$B:$M,11,FALSE()),"")</x:f>
        <x:v>8</x:v>
      </x:c>
      <x:c r="C31" s="55" t="str">
        <x:f>Aggregate!B30</x:f>
        <x:v>Geno Smith</x:v>
      </x:c>
      <x:c r="D31" s="55" t="str">
        <x:f>VLOOKUP(DraftSheet!$C31,Aggregate!B:M,4,FALSE())</x:f>
        <x:v>NYJ/13</x:v>
      </x:c>
      <x:c r="E31" s="53" t="n">
        <x:f>IFERROR(VLOOKUP(DraftSheet!$C31,Aggregate!$B:$M,8,FALSE()),"")</x:f>
        <x:v>175.3750588</x:v>
      </x:c>
      <x:c r="F31" s="53" t="n">
        <x:f>IF(Scoring!$K$6="Auction",IFERROR(VLOOKUP(DraftSheet!$C31,Aggregate!$B:$M,10,FALSE()),""),IFERROR(VLOOKUP(DraftSheet!$C31,Aggregate!$B:$M,9,FALSE()),""))</x:f>
        <x:v>-70.28981474558825</x:v>
      </x:c>
      <x:c r="G31" s="61" t="n">
        <x:f>SUMIFS($J32:J$44,$I32:I$44,"&lt;&gt;x",$I32:I$44,"&lt;&gt;o",$J32:J$44,"&gt;0")/Aggregate!$J$1</x:f>
        <x:v>0</x:v>
      </x:c>
      <x:c r="H31" s="53" t="n">
        <x:f t="array" ref="H31">IFERROR(INDEX(ECR!$K:$K,MATCH(DraftSheet!$C31,ECR!$C:$C,0)),"ND")</x:f>
        <x:v>195</x:v>
      </x:c>
      <x:c r="I31" s="62"/>
      <x:c r="J31" s="64" t="n">
        <x:f>VLOOKUP(C31,Aggregate!B:J,9,FALSE())</x:f>
        <x:v>-68.6274534</x:v>
      </x:c>
      <x:c r="K31" s="65"/>
      <x:c r="L31" s="53" t="n">
        <x:f>IFERROR(VLOOKUP(DraftSheet!$M31,Aggregate!$P:$AA,11,FALSE()),"")</x:f>
        <x:v>5</x:v>
      </x:c>
      <x:c r="M31" s="55" t="str">
        <x:f>Aggregate!P30</x:f>
        <x:v>Jaylen Warren</x:v>
      </x:c>
      <x:c r="N31" s="55" t="str">
        <x:f>VLOOKUP(DraftSheet!$M31,Aggregate!P:AA,4,FALSE())</x:f>
        <x:v>PIT/9</x:v>
      </x:c>
      <x:c r="O31" s="53" t="n">
        <x:f>IFERROR(VLOOKUP(DraftSheet!$M31,Aggregate!$P:$AA,8,FALSE()),"")</x:f>
        <x:v>130.6304329</x:v>
      </x:c>
      <x:c r="P31" s="53" t="n">
        <x:f>IF(Scoring!$K$6="Auction",IFERROR(VLOOKUP(DraftSheet!$M31,Aggregate!$P:$AA,10,FALSE()),""),IFERROR(VLOOKUP(DraftSheet!$M31,Aggregate!$P:$AA,9,FALSE()),""))</x:f>
        <x:v>0.6301038161764438</x:v>
      </x:c>
      <x:c r="Q31" s="61" t="n">
        <x:f>SUMIFS($T32:T$84,$S32:S$84,"&lt;&gt;x",$S32:S$84,"&lt;&gt;o",$T32:T$84,"&gt;0")/Aggregate!$X$1</x:f>
        <x:v>0.12312008878947173</x:v>
      </x:c>
      <x:c r="R31" s="53" t="n">
        <x:f t="array" ref="R31">IFERROR(INDEX(ECR!$K:$K,MATCH(DraftSheet!$M31,ECR!$C:$C,0)),"ND")</x:f>
        <x:v>74</x:v>
      </x:c>
      <x:c r="S31" s="62"/>
      <x:c r="T31" s="64" t="n">
        <x:f>VLOOKUP(M31,Aggregate!P:X,9,FALSE())</x:f>
        <x:v>29.13039324</x:v>
      </x:c>
      <x:c r="U31" s="73"/>
      <x:c r="V31" s="53" t="n">
        <x:f>IFERROR(VLOOKUP(DraftSheet!$W31,Aggregate!$AD:$AO,11,FALSE()),"")</x:f>
        <x:v>4</x:v>
      </x:c>
      <x:c r="W31" s="55" t="str">
        <x:f>Aggregate!AD31</x:f>
        <x:v>Rome Odunze</x:v>
      </x:c>
      <x:c r="X31" s="55" t="str">
        <x:f>VLOOKUP(DraftSheet!$W31,Aggregate!AD:AO,4,FALSE())</x:f>
        <x:v>CHI/10</x:v>
      </x:c>
      <x:c r="Y31" s="53" t="n">
        <x:f>IFERROR(VLOOKUP(DraftSheet!$W31,Aggregate!$AD:$AO,8,FALSE()),"")</x:f>
        <x:v>127.0740975</x:v>
      </x:c>
      <x:c r="Z31" s="53" t="n">
        <x:f>IF(Scoring!$K$6="Auction",IFERROR(VLOOKUP(DraftSheet!$W31,Aggregate!$AD:$AO,10,FALSE()),""),IFERROR(VLOOKUP(DraftSheet!$W31,Aggregate!$AD:$AO,9,FALSE()),""))</x:f>
        <x:v>24.87918572058824</x:v>
      </x:c>
      <x:c r="AA31" s="61" t="n">
        <x:f>SUMIFS($AD32:AD$84,$AC32:AC$84,"&lt;&gt;x",$AC32:AC$84,"&lt;&gt;o",$AD32:AD$84,"&gt;0")/Aggregate!$AL$1</x:f>
        <x:v>0.10477359068158013</x:v>
      </x:c>
      <x:c r="AB31" s="53" t="n">
        <x:f t="array" ref="AB31">IFERROR(INDEX(ECR!$K:$K,MATCH(DraftSheet!$W31,ECR!$C:$C,0)),"ND")</x:f>
        <x:v>62</x:v>
      </x:c>
      <x:c r="AC31" s="62"/>
      <x:c r="AD31" s="64" t="n">
        <x:f>VLOOKUP(W31,Aggregate!AD:AL,9,FALSE())</x:f>
        <x:v>25.759721</x:v>
      </x:c>
      <x:c r="AE31" s="2"/>
      <x:c r="AF31" s="2"/>
      <x:c r="AG31" s="2"/>
      <x:c r="AH31" s="2"/>
    </x:row>
    <x:row r="32" ht="14.25" customHeight="1">
      <x:c r="A32" s="2"/>
      <x:c r="B32" s="53" t="n">
        <x:f>IFERROR(VLOOKUP(DraftSheet!$C32,Aggregate!$B:$M,11,FALSE()),"")</x:f>
        <x:v>8</x:v>
      </x:c>
      <x:c r="C32" s="55" t="str">
        <x:f>Aggregate!B29</x:f>
        <x:v>Jacoby Brissett</x:v>
      </x:c>
      <x:c r="D32" s="55" t="str">
        <x:f>VLOOKUP(DraftSheet!$C32,Aggregate!B:M,4,FALSE())</x:f>
        <x:v>ARI/14</x:v>
      </x:c>
      <x:c r="E32" s="53" t="n">
        <x:f>IFERROR(VLOOKUP(DraftSheet!$C32,Aggregate!$B:$M,8,FALSE()),"")</x:f>
        <x:v>174.0227765</x:v>
      </x:c>
      <x:c r="F32" s="53" t="n">
        <x:f>IF(Scoring!$K$6="Auction",IFERROR(VLOOKUP(DraftSheet!$C32,Aggregate!$B:$M,10,FALSE()),""),IFERROR(VLOOKUP(DraftSheet!$C32,Aggregate!$B:$M,9,FALSE()),""))</x:f>
        <x:v>-67.6703323838235</x:v>
      </x:c>
      <x:c r="G32" s="61" t="n">
        <x:f>SUMIFS($J33:J$44,$I33:I$44,"&lt;&gt;x",$I33:I$44,"&lt;&gt;o",$J33:J$44,"&gt;0")/Aggregate!$J$1</x:f>
        <x:v>0</x:v>
      </x:c>
      <x:c r="H32" s="53" t="n">
        <x:f t="array" ref="H32">IFERROR(INDEX(ECR!$K:$K,MATCH(DraftSheet!$C32,ECR!$C:$C,0)),"ND")</x:f>
        <x:v>184</x:v>
      </x:c>
      <x:c r="I32" s="62"/>
      <x:c r="J32" s="64" t="n">
        <x:f>VLOOKUP(C32,Aggregate!B:J,9,FALSE())</x:f>
        <x:v>-69.97973575</x:v>
      </x:c>
      <x:c r="K32" s="65"/>
      <x:c r="L32" s="53" t="n">
        <x:f>IFERROR(VLOOKUP(DraftSheet!$M32,Aggregate!$P:$AA,11,FALSE()),"")</x:f>
        <x:v>5</x:v>
      </x:c>
      <x:c r="M32" s="55" t="str">
        <x:f>Aggregate!P31</x:f>
        <x:v>Tony Pollard</x:v>
      </x:c>
      <x:c r="N32" s="55" t="str">
        <x:f>VLOOKUP(DraftSheet!$M32,Aggregate!P:AA,4,FALSE())</x:f>
        <x:v>TEN/9</x:v>
      </x:c>
      <x:c r="O32" s="53" t="n">
        <x:f>IFERROR(VLOOKUP(DraftSheet!$M32,Aggregate!$P:$AA,8,FALSE()),"")</x:f>
        <x:v>130.0816868</x:v>
      </x:c>
      <x:c r="P32" s="53" t="n">
        <x:f>IF(Scoring!$K$6="Auction",IFERROR(VLOOKUP(DraftSheet!$M32,Aggregate!$P:$AA,10,FALSE()),""),IFERROR(VLOOKUP(DraftSheet!$M32,Aggregate!$P:$AA,9,FALSE()),""))</x:f>
        <x:v>0.08135768676470434</x:v>
      </x:c>
      <x:c r="Q32" s="61" t="n">
        <x:f>SUMIFS($T33:T$84,$S33:S$84,"&lt;&gt;x",$S33:S$84,"&lt;&gt;o",$T33:T$84,"&gt;0")/Aggregate!$X$1</x:f>
        <x:v>0.10110727258685062</x:v>
      </x:c>
      <x:c r="R32" s="53" t="n">
        <x:f t="array" ref="R32">IFERROR(INDEX(ECR!$K:$K,MATCH(DraftSheet!$M32,ECR!$C:$C,0)),"ND")</x:f>
        <x:v>79</x:v>
      </x:c>
      <x:c r="S32" s="62"/>
      <x:c r="T32" s="64" t="n">
        <x:f>VLOOKUP(M32,Aggregate!P:X,9,FALSE())</x:f>
        <x:v>28.58164712</x:v>
      </x:c>
      <x:c r="U32" s="73"/>
      <x:c r="V32" s="53" t="n">
        <x:f>IFERROR(VLOOKUP(DraftSheet!$W32,Aggregate!$AD:$AO,11,FALSE()),"")</x:f>
        <x:v>4</x:v>
      </x:c>
      <x:c r="W32" s="55" t="str">
        <x:f>Aggregate!AD30</x:f>
        <x:v>Mike Evans</x:v>
      </x:c>
      <x:c r="X32" s="55" t="str">
        <x:f>VLOOKUP(DraftSheet!$W32,Aggregate!AD:AO,4,FALSE())</x:f>
        <x:v>SF/8</x:v>
      </x:c>
      <x:c r="Y32" s="53" t="n">
        <x:f>IFERROR(VLOOKUP(DraftSheet!$W32,Aggregate!$AD:$AO,8,FALSE()),"")</x:f>
        <x:v>125.6166987</x:v>
      </x:c>
      <x:c r="Z32" s="53" t="n">
        <x:f>IF(Scoring!$K$6="Auction",IFERROR(VLOOKUP(DraftSheet!$W32,Aggregate!$AD:$AO,10,FALSE()),""),IFERROR(VLOOKUP(DraftSheet!$W32,Aggregate!$AD:$AO,9,FALSE()),""))</x:f>
        <x:v>23.421786977941196</x:v>
      </x:c>
      <x:c r="AA32" s="61" t="n">
        <x:f>SUMIFS($AD33:AD$84,$AC33:AC$84,"&lt;&gt;x",$AC33:AC$84,"&lt;&gt;o",$AD33:AD$84,"&gt;0")/Aggregate!$AL$1</x:f>
        <x:v>0.09199836411903924</x:v>
      </x:c>
      <x:c r="AB32" s="53" t="n">
        <x:f t="array" ref="AB32">IFERROR(INDEX(ECR!$K:$K,MATCH(DraftSheet!$W32,ECR!$C:$C,0)),"ND")</x:f>
        <x:v>61</x:v>
      </x:c>
      <x:c r="AC32" s="62"/>
      <x:c r="AD32" s="64" t="n">
        <x:f>VLOOKUP(W32,Aggregate!AD:AL,9,FALSE())</x:f>
        <x:v>24.30232226</x:v>
      </x:c>
      <x:c r="AE32" s="2"/>
      <x:c r="AF32" s="2"/>
      <x:c r="AG32" s="2"/>
      <x:c r="AH32" s="2"/>
    </x:row>
    <x:row r="33" ht="14.25" customHeight="1">
      <x:c r="A33" s="2"/>
      <x:c r="B33" s="53" t="n">
        <x:f>IFERROR(VLOOKUP(DraftSheet!$C33,Aggregate!$B:$M,11,FALSE()),"")</x:f>
        <x:v>9</x:v>
      </x:c>
      <x:c r="C33" s="55" t="str">
        <x:f>Aggregate!B31</x:f>
        <x:v>Aaron Rodgers</x:v>
      </x:c>
      <x:c r="D33" s="55" t="str">
        <x:f>VLOOKUP(DraftSheet!$C33,Aggregate!B:M,4,FALSE())</x:f>
        <x:v>PIT/9</x:v>
      </x:c>
      <x:c r="E33" s="53" t="n">
        <x:f>IFERROR(VLOOKUP(DraftSheet!$C33,Aggregate!$B:$M,8,FALSE()),"")</x:f>
        <x:v>166.4613647</x:v>
      </x:c>
      <x:c r="F33" s="53" t="n">
        <x:f>IF(Scoring!$K$6="Auction",IFERROR(VLOOKUP(DraftSheet!$C33,Aggregate!$B:$M,10,FALSE()),""),IFERROR(VLOOKUP(DraftSheet!$C33,Aggregate!$B:$M,9,FALSE()),""))</x:f>
        <x:v>-75.83409708235294</x:v>
      </x:c>
      <x:c r="G33" s="61" t="n">
        <x:f>SUMIFS($J34:J$44,$I34:I$44,"&lt;&gt;x",$I34:I$44,"&lt;&gt;o",$J34:J$44,"&gt;0")/Aggregate!$J$1</x:f>
        <x:v>0</x:v>
      </x:c>
      <x:c r="H33" s="53" t="n">
        <x:f t="array" ref="H33">IFERROR(INDEX(ECR!$K:$K,MATCH(DraftSheet!$C33,ECR!$C:$C,0)),"ND")</x:f>
        <x:v>205</x:v>
      </x:c>
      <x:c r="I33" s="62"/>
      <x:c r="J33" s="64" t="n">
        <x:f>VLOOKUP(C33,Aggregate!B:J,9,FALSE())</x:f>
        <x:v>-77.54114752</x:v>
      </x:c>
      <x:c r="K33" s="65"/>
      <x:c r="L33" s="53" t="n">
        <x:f>IFERROR(VLOOKUP(DraftSheet!$M33,Aggregate!$P:$AA,11,FALSE()),"")</x:f>
        <x:v>5</x:v>
      </x:c>
      <x:c r="M33" s="55" t="str">
        <x:f>Aggregate!P29</x:f>
        <x:v>Rhamondre Stevenson</x:v>
      </x:c>
      <x:c r="N33" s="55" t="str">
        <x:f>VLOOKUP(DraftSheet!$M33,Aggregate!P:AA,4,FALSE())</x:f>
        <x:v>NE/11</x:v>
      </x:c>
      <x:c r="O33" s="53" t="n">
        <x:f>IFERROR(VLOOKUP(DraftSheet!$M33,Aggregate!$P:$AA,8,FALSE()),"")</x:f>
        <x:v>130.0003291</x:v>
      </x:c>
      <x:c r="P33" s="53" t="n">
        <x:f>IF(Scoring!$K$6="Auction",IFERROR(VLOOKUP(DraftSheet!$M33,Aggregate!$P:$AA,10,FALSE()),""),IFERROR(VLOOKUP(DraftSheet!$M33,Aggregate!$P:$AA,9,FALSE()),""))</x:f>
        <x:v>0</x:v>
      </x:c>
      <x:c r="Q33" s="61" t="n">
        <x:f>SUMIFS($T34:T$84,$S34:S$84,"&lt;&gt;x",$S34:S$84,"&lt;&gt;o",$T34:T$84,"&gt;0")/Aggregate!$X$1</x:f>
        <x:v>0.07915711590519331</x:v>
      </x:c>
      <x:c r="R33" s="53" t="n">
        <x:f t="array" ref="R33">IFERROR(INDEX(ECR!$K:$K,MATCH(DraftSheet!$M33,ECR!$C:$C,0)),"ND")</x:f>
        <x:v>71</x:v>
      </x:c>
      <x:c r="S33" s="62"/>
      <x:c r="T33" s="64" t="n">
        <x:f>VLOOKUP(M33,Aggregate!P:X,9,FALSE())</x:f>
        <x:v>28.50028941</x:v>
      </x:c>
      <x:c r="U33" s="73"/>
      <x:c r="V33" s="53" t="n">
        <x:f>IFERROR(VLOOKUP(DraftSheet!$W33,Aggregate!$AD:$AO,11,FALSE()),"")</x:f>
        <x:v>4</x:v>
      </x:c>
      <x:c r="W33" s="55" t="str">
        <x:f>Aggregate!AD29</x:f>
        <x:v>Christian Watson</x:v>
      </x:c>
      <x:c r="X33" s="55" t="str">
        <x:f>VLOOKUP(DraftSheet!$W33,Aggregate!AD:AO,4,FALSE())</x:f>
        <x:v>GB/11</x:v>
      </x:c>
      <x:c r="Y33" s="53" t="n">
        <x:f>IFERROR(VLOOKUP(DraftSheet!$W33,Aggregate!$AD:$AO,8,FALSE()),"")</x:f>
        <x:v>125.229936</x:v>
      </x:c>
      <x:c r="Z33" s="53" t="n">
        <x:f>IF(Scoring!$K$6="Auction",IFERROR(VLOOKUP(DraftSheet!$W33,Aggregate!$AD:$AO,10,FALSE()),""),IFERROR(VLOOKUP(DraftSheet!$W33,Aggregate!$AD:$AO,9,FALSE()),""))</x:f>
        <x:v>23.035024248529425</x:v>
      </x:c>
      <x:c r="AA33" s="61" t="n">
        <x:f>SUMIFS($AD34:AD$84,$AC34:AC$84,"&lt;&gt;x",$AC34:AC$84,"&lt;&gt;o",$AD34:AD$84,"&gt;0")/Aggregate!$AL$1</x:f>
        <x:v>0.07942645069345218</x:v>
      </x:c>
      <x:c r="AB33" s="53" t="n">
        <x:f t="array" ref="AB33">IFERROR(INDEX(ECR!$K:$K,MATCH(DraftSheet!$W33,ECR!$C:$C,0)),"ND")</x:f>
        <x:v>59</x:v>
      </x:c>
      <x:c r="AC33" s="62"/>
      <x:c r="AD33" s="64" t="n">
        <x:f>VLOOKUP(W33,Aggregate!AD:AL,9,FALSE())</x:f>
        <x:v>23.91555954</x:v>
      </x:c>
      <x:c r="AE33" s="2"/>
      <x:c r="AF33" s="2"/>
      <x:c r="AG33" s="2"/>
      <x:c r="AH33" s="2"/>
    </x:row>
    <x:row r="34" ht="14.25" customHeight="1">
      <x:c r="A34" s="2"/>
      <x:c r="B34" s="53" t="n">
        <x:f>IFERROR(VLOOKUP(DraftSheet!$C34,Aggregate!$B:$M,11,FALSE()),"")</x:f>
        <x:v>10</x:v>
      </x:c>
      <x:c r="C34" s="55" t="str">
        <x:f>Aggregate!B32</x:f>
        <x:v>Fernando Mendoza</x:v>
      </x:c>
      <x:c r="D34" s="55" t="str">
        <x:f>VLOOKUP(DraftSheet!$C34,Aggregate!B:M,4,FALSE())</x:f>
        <x:v>LV/13</x:v>
      </x:c>
      <x:c r="E34" s="53" t="n">
        <x:f>IFERROR(VLOOKUP(DraftSheet!$C34,Aggregate!$B:$M,8,FALSE()),"")</x:f>
        <x:v>144.3230118</x:v>
      </x:c>
      <x:c r="F34" s="53" t="n">
        <x:f>IF(Scoring!$K$6="Auction",IFERROR(VLOOKUP(DraftSheet!$C34,Aggregate!$B:$M,10,FALSE()),""),IFERROR(VLOOKUP(DraftSheet!$C34,Aggregate!$B:$M,9,FALSE()),""))</x:f>
        <x:v>-99.81715591911765</x:v>
      </x:c>
      <x:c r="G34" s="61" t="n">
        <x:f>SUMIFS($J35:J$44,$I35:I$44,"&lt;&gt;x",$I35:I$44,"&lt;&gt;o",$J35:J$44,"&gt;0")/Aggregate!$J$1</x:f>
        <x:v>0</x:v>
      </x:c>
      <x:c r="H34" s="53" t="n">
        <x:f t="array" ref="H34">IFERROR(INDEX(ECR!$K:$K,MATCH(DraftSheet!$C34,ECR!$C:$C,0)),"ND")</x:f>
        <x:v>230</x:v>
      </x:c>
      <x:c r="I34" s="62"/>
      <x:c r="J34" s="64" t="n">
        <x:f>VLOOKUP(C34,Aggregate!B:J,9,FALSE())</x:f>
        <x:v>-99.67950046</x:v>
      </x:c>
      <x:c r="K34" s="65"/>
      <x:c r="L34" s="53" t="n">
        <x:f>IFERROR(VLOOKUP(DraftSheet!$M34,Aggregate!$P:$AA,11,FALSE()),"")</x:f>
        <x:v>6</x:v>
      </x:c>
      <x:c r="M34" s="55" t="str">
        <x:f>Aggregate!P32</x:f>
        <x:v>Rico Dowdle</x:v>
      </x:c>
      <x:c r="N34" s="55" t="str">
        <x:f>VLOOKUP(DraftSheet!$M34,Aggregate!P:AA,4,FALSE())</x:f>
        <x:v>PIT/9</x:v>
      </x:c>
      <x:c r="O34" s="53" t="n">
        <x:f>IFERROR(VLOOKUP(DraftSheet!$M34,Aggregate!$P:$AA,8,FALSE()),"")</x:f>
        <x:v>126.0260065</x:v>
      </x:c>
      <x:c r="P34" s="53" t="n">
        <x:f>IF(Scoring!$K$6="Auction",IFERROR(VLOOKUP(DraftSheet!$M34,Aggregate!$P:$AA,10,FALSE()),""),IFERROR(VLOOKUP(DraftSheet!$M34,Aggregate!$P:$AA,9,FALSE()),""))</x:f>
        <x:v>-3.9743225955882338</x:v>
      </x:c>
      <x:c r="Q34" s="61" t="n">
        <x:f>SUMIFS($T35:T$84,$S35:S$84,"&lt;&gt;x",$S35:S$84,"&lt;&gt;o",$T35:T$84,"&gt;0")/Aggregate!$X$1</x:f>
        <x:v>0.0602678756338564</x:v>
      </x:c>
      <x:c r="R34" s="53" t="n">
        <x:f t="array" ref="R34">IFERROR(INDEX(ECR!$K:$K,MATCH(DraftSheet!$M34,ECR!$C:$C,0)),"ND")</x:f>
        <x:v>82</x:v>
      </x:c>
      <x:c r="S34" s="62"/>
      <x:c r="T34" s="64" t="n">
        <x:f>VLOOKUP(M34,Aggregate!P:X,9,FALSE())</x:f>
        <x:v>24.52596682</x:v>
      </x:c>
      <x:c r="U34" s="73"/>
      <x:c r="V34" s="53" t="n">
        <x:f>IFERROR(VLOOKUP(DraftSheet!$W34,Aggregate!$AD:$AO,11,FALSE()),"")</x:f>
        <x:v>5</x:v>
      </x:c>
      <x:c r="W34" s="55" t="str">
        <x:f>Aggregate!AD33</x:f>
        <x:v>Marvin Harrison Jr.</x:v>
      </x:c>
      <x:c r="X34" s="55" t="str">
        <x:f>VLOOKUP(DraftSheet!$W34,Aggregate!AD:AO,4,FALSE())</x:f>
        <x:v>ARI/14</x:v>
      </x:c>
      <x:c r="Y34" s="53" t="n">
        <x:f>IFERROR(VLOOKUP(DraftSheet!$W34,Aggregate!$AD:$AO,8,FALSE()),"")</x:f>
        <x:v>120.3436476</x:v>
      </x:c>
      <x:c r="Z34" s="53" t="n">
        <x:f>IF(Scoring!$K$6="Auction",IFERROR(VLOOKUP(DraftSheet!$W34,Aggregate!$AD:$AO,10,FALSE()),""),IFERROR(VLOOKUP(DraftSheet!$W34,Aggregate!$AD:$AO,9,FALSE()),""))</x:f>
        <x:v>18.14873582058823</x:v>
      </x:c>
      <x:c r="AA34" s="61" t="n">
        <x:f>SUMIFS($AD35:AD$84,$AC35:AC$84,"&lt;&gt;x",$AC35:AC$84,"&lt;&gt;o",$AD35:AD$84,"&gt;0")/Aggregate!$AL$1</x:f>
        <x:v>0.06942315771504229</x:v>
      </x:c>
      <x:c r="AB34" s="53" t="n">
        <x:f t="array" ref="AB34">IFERROR(INDEX(ECR!$K:$K,MATCH(DraftSheet!$W34,ECR!$C:$C,0)),"ND")</x:f>
        <x:v>72</x:v>
      </x:c>
      <x:c r="AC34" s="62"/>
      <x:c r="AD34" s="64" t="n">
        <x:f>VLOOKUP(W34,Aggregate!AD:AL,9,FALSE())</x:f>
        <x:v>19.0292711</x:v>
      </x:c>
      <x:c r="AE34" s="2"/>
      <x:c r="AF34" s="2"/>
      <x:c r="AG34" s="2"/>
      <x:c r="AH34" s="2"/>
    </x:row>
    <x:row r="35" ht="14.25" customHeight="1">
      <x:c r="A35" s="2"/>
      <x:c r="B35" s="53" t="n">
        <x:f>IFERROR(VLOOKUP(DraftSheet!$C35,Aggregate!$B:$M,11,FALSE()),"")</x:f>
        <x:v>11</x:v>
      </x:c>
      <x:c r="C35" s="55" t="str">
        <x:f>Aggregate!B36</x:f>
        <x:v>Deshaun Watson</x:v>
      </x:c>
      <x:c r="D35" s="55" t="str">
        <x:f>VLOOKUP(DraftSheet!$C35,Aggregate!B:M,4,FALSE())</x:f>
        <x:v>CLE/11</x:v>
      </x:c>
      <x:c r="E35" s="53" t="n">
        <x:f>IFERROR(VLOOKUP(DraftSheet!$C35,Aggregate!$B:$M,8,FALSE()),"")</x:f>
        <x:v>105.2389647</x:v>
      </x:c>
      <x:c r="F35" s="53" t="n">
        <x:f>IF(Scoring!$K$6="Auction",IFERROR(VLOOKUP(DraftSheet!$C35,Aggregate!$B:$M,10,FALSE()),""),IFERROR(VLOOKUP(DraftSheet!$C35,Aggregate!$B:$M,9,FALSE()),""))</x:f>
        <x:v>-136.02120296867645</x:v>
      </x:c>
      <x:c r="G35" s="61" t="n">
        <x:f>SUMIFS($J36:J$44,$I36:I$44,"&lt;&gt;x",$I36:I$44,"&lt;&gt;o",$J36:J$44,"&gt;0")/Aggregate!$J$1</x:f>
        <x:v>0</x:v>
      </x:c>
      <x:c r="H35" s="53" t="n">
        <x:f t="array" ref="H35">IFERROR(INDEX(ECR!$K:$K,MATCH(DraftSheet!$C35,ECR!$C:$C,0)),"ND")</x:f>
        <x:v>279</x:v>
      </x:c>
      <x:c r="I35" s="62"/>
      <x:c r="J35" s="64" t="n">
        <x:f>VLOOKUP(C35,Aggregate!B:J,9,FALSE())</x:f>
        <x:v>-138.7635475</x:v>
      </x:c>
      <x:c r="K35" s="65"/>
      <x:c r="L35" s="53" t="n">
        <x:f>IFERROR(VLOOKUP(DraftSheet!$M35,Aggregate!$P:$AA,11,FALSE()),"")</x:f>
        <x:v>6</x:v>
      </x:c>
      <x:c r="M35" s="55" t="str">
        <x:f>Aggregate!P34</x:f>
        <x:v>J.K. Dobbins</x:v>
      </x:c>
      <x:c r="N35" s="55" t="str">
        <x:f>VLOOKUP(DraftSheet!$M35,Aggregate!P:AA,4,FALSE())</x:f>
        <x:v>DEN/10</x:v>
      </x:c>
      <x:c r="O35" s="53" t="n">
        <x:f>IFERROR(VLOOKUP(DraftSheet!$M35,Aggregate!$P:$AA,8,FALSE()),"")</x:f>
        <x:v>123.5081372</x:v>
      </x:c>
      <x:c r="P35" s="53" t="n">
        <x:f>IF(Scoring!$K$6="Auction",IFERROR(VLOOKUP(DraftSheet!$M35,Aggregate!$P:$AA,10,FALSE()),""),IFERROR(VLOOKUP(DraftSheet!$M35,Aggregate!$P:$AA,9,FALSE()),""))</x:f>
        <x:v>-6.492191900000009</x:v>
      </x:c>
      <x:c r="Q35" s="61" t="n">
        <x:f>SUMIFS($T36:T$84,$S36:S$84,"&lt;&gt;x",$S36:S$84,"&lt;&gt;o",$T36:T$84,"&gt;0")/Aggregate!$X$1</x:f>
        <x:v>0.04331783059749987</x:v>
      </x:c>
      <x:c r="R35" s="53" t="n">
        <x:f t="array" ref="R35">IFERROR(INDEX(ECR!$K:$K,MATCH(DraftSheet!$M35,ECR!$C:$C,0)),"ND")</x:f>
        <x:v>87</x:v>
      </x:c>
      <x:c r="S35" s="62"/>
      <x:c r="T35" s="64" t="n">
        <x:f>VLOOKUP(M35,Aggregate!P:X,9,FALSE())</x:f>
        <x:v>22.00809753</x:v>
      </x:c>
      <x:c r="U35" s="73"/>
      <x:c r="V35" s="53" t="n">
        <x:f>IFERROR(VLOOKUP(DraftSheet!$W35,Aggregate!$AD:$AO,11,FALSE()),"")</x:f>
        <x:v>5</x:v>
      </x:c>
      <x:c r="W35" s="55" t="str">
        <x:f>Aggregate!AD34</x:f>
        <x:v>Carnell Tate</x:v>
      </x:c>
      <x:c r="X35" s="55" t="str">
        <x:f>VLOOKUP(DraftSheet!$W35,Aggregate!AD:AO,4,FALSE())</x:f>
        <x:v>TEN/9</x:v>
      </x:c>
      <x:c r="Y35" s="53" t="n">
        <x:f>IFERROR(VLOOKUP(DraftSheet!$W35,Aggregate!$AD:$AO,8,FALSE()),"")</x:f>
        <x:v>118.5307693</x:v>
      </x:c>
      <x:c r="Z35" s="53" t="n">
        <x:f>IF(Scoring!$K$6="Auction",IFERROR(VLOOKUP(DraftSheet!$W35,Aggregate!$AD:$AO,10,FALSE()),""),IFERROR(VLOOKUP(DraftSheet!$W35,Aggregate!$AD:$AO,9,FALSE()),""))</x:f>
        <x:v>16.335857565882364</x:v>
      </x:c>
      <x:c r="AA35" s="61" t="n">
        <x:f>SUMIFS($AD36:AD$84,$AC36:AC$84,"&lt;&gt;x",$AC36:AC$84,"&lt;&gt;o",$AD36:AD$84,"&gt;0")/Aggregate!$AL$1</x:f>
        <x:v>0.06037285722245442</x:v>
      </x:c>
      <x:c r="AB35" s="53" t="n">
        <x:f t="array" ref="AB35">IFERROR(INDEX(ECR!$K:$K,MATCH(DraftSheet!$W35,ECR!$C:$C,0)),"ND")</x:f>
        <x:v>73</x:v>
      </x:c>
      <x:c r="AC35" s="62"/>
      <x:c r="AD35" s="64" t="n">
        <x:f>VLOOKUP(W35,Aggregate!AD:AL,9,FALSE())</x:f>
        <x:v>17.21639284</x:v>
      </x:c>
      <x:c r="AE35" s="2"/>
      <x:c r="AF35" s="2"/>
      <x:c r="AG35" s="2"/>
      <x:c r="AH35" s="2"/>
    </x:row>
    <x:row r="36" ht="14.25" customHeight="1">
      <x:c r="A36" s="2"/>
      <x:c r="B36" s="53" t="n">
        <x:f>IFERROR(VLOOKUP(DraftSheet!$C36,Aggregate!$B:$M,11,FALSE()),"")</x:f>
        <x:v>11</x:v>
      </x:c>
      <x:c r="C36" s="55" t="str">
        <x:f>Aggregate!B33</x:f>
        <x:v>Tua Tagovailoa</x:v>
      </x:c>
      <x:c r="D36" s="55" t="str">
        <x:f>VLOOKUP(DraftSheet!$C36,Aggregate!B:M,4,FALSE())</x:f>
        <x:v>ATL/11</x:v>
      </x:c>
      <x:c r="E36" s="53" t="n">
        <x:f>IFERROR(VLOOKUP(DraftSheet!$C36,Aggregate!$B:$M,8,FALSE()),"")</x:f>
        <x:v>96.44235294</x:v>
      </x:c>
      <x:c r="F36" s="53" t="n">
        <x:f>IF(Scoring!$K$6="Auction",IFERROR(VLOOKUP(DraftSheet!$C36,Aggregate!$B:$M,10,FALSE()),""),IFERROR(VLOOKUP(DraftSheet!$C36,Aggregate!$B:$M,9,FALSE()),""))</x:f>
        <x:v>-144.4789912</x:v>
      </x:c>
      <x:c r="G36" s="61" t="n">
        <x:f>SUMIFS($J37:J$44,$I37:I$44,"&lt;&gt;x",$I37:I$44,"&lt;&gt;o",$J37:J$44,"&gt;0")/Aggregate!$J$1</x:f>
        <x:v>0</x:v>
      </x:c>
      <x:c r="H36" s="53" t="n">
        <x:f t="array" ref="H36">IFERROR(INDEX(ECR!$K:$K,MATCH(DraftSheet!$C36,ECR!$C:$C,0)),"ND")</x:f>
        <x:v>246</x:v>
      </x:c>
      <x:c r="I36" s="62"/>
      <x:c r="J36" s="64" t="n">
        <x:f>VLOOKUP(C36,Aggregate!B:J,9,FALSE())</x:f>
        <x:v>-147.5601593</x:v>
      </x:c>
      <x:c r="K36" s="65"/>
      <x:c r="L36" s="53" t="n">
        <x:f>IFERROR(VLOOKUP(DraftSheet!$M36,Aggregate!$P:$AA,11,FALSE()),"")</x:f>
        <x:v>6</x:v>
      </x:c>
      <x:c r="M36" s="55" t="str">
        <x:f>Aggregate!P35</x:f>
        <x:v>Chuba Hubbard</x:v>
      </x:c>
      <x:c r="N36" s="55" t="str">
        <x:f>VLOOKUP(DraftSheet!$M36,Aggregate!P:AA,4,FALSE())</x:f>
        <x:v>CAR/5</x:v>
      </x:c>
      <x:c r="O36" s="53" t="n">
        <x:f>IFERROR(VLOOKUP(DraftSheet!$M36,Aggregate!$P:$AA,8,FALSE()),"")</x:f>
        <x:v>116.858494</x:v>
      </x:c>
      <x:c r="P36" s="53" t="n">
        <x:f>IF(Scoring!$K$6="Auction",IFERROR(VLOOKUP(DraftSheet!$M36,Aggregate!$P:$AA,10,FALSE()),""),IFERROR(VLOOKUP(DraftSheet!$M36,Aggregate!$P:$AA,9,FALSE()),""))</x:f>
        <x:v>-13.141835161764732</x:v>
      </x:c>
      <x:c r="Q36" s="61" t="n">
        <x:f>SUMIFS($T37:T$84,$S37:S$84,"&lt;&gt;x",$S37:S$84,"&lt;&gt;o",$T37:T$84,"&gt;0")/Aggregate!$X$1</x:f>
        <x:v>0.03148916203398765</x:v>
      </x:c>
      <x:c r="R36" s="53" t="n">
        <x:f t="array" ref="R36">IFERROR(INDEX(ECR!$K:$K,MATCH(DraftSheet!$M36,ECR!$C:$C,0)),"ND")</x:f>
        <x:v>93</x:v>
      </x:c>
      <x:c r="S36" s="62"/>
      <x:c r="T36" s="64" t="n">
        <x:f>VLOOKUP(M36,Aggregate!P:X,9,FALSE())</x:f>
        <x:v>15.35845426</x:v>
      </x:c>
      <x:c r="U36" s="73"/>
      <x:c r="V36" s="53" t="n">
        <x:f>IFERROR(VLOOKUP(DraftSheet!$W36,Aggregate!$AD:$AO,11,FALSE()),"")</x:f>
        <x:v>5</x:v>
      </x:c>
      <x:c r="W36" s="55" t="str">
        <x:f>Aggregate!AD36</x:f>
        <x:v>DK Metcalf</x:v>
      </x:c>
      <x:c r="X36" s="55" t="str">
        <x:f>VLOOKUP(DraftSheet!$W36,Aggregate!AD:AO,4,FALSE())</x:f>
        <x:v>PIT/9</x:v>
      </x:c>
      <x:c r="Y36" s="53" t="n">
        <x:f>IFERROR(VLOOKUP(DraftSheet!$W36,Aggregate!$AD:$AO,8,FALSE()),"")</x:f>
        <x:v>118.1492676</x:v>
      </x:c>
      <x:c r="Z36" s="53" t="n">
        <x:f>IF(Scoring!$K$6="Auction",IFERROR(VLOOKUP(DraftSheet!$W36,Aggregate!$AD:$AO,10,FALSE()),""),IFERROR(VLOOKUP(DraftSheet!$W36,Aggregate!$AD:$AO,9,FALSE()),""))</x:f>
        <x:v>15.954355861764725</x:v>
      </x:c>
      <x:c r="AA36" s="61" t="n">
        <x:f>SUMIFS($AD37:AD$84,$AC37:AC$84,"&lt;&gt;x",$AC37:AC$84,"&lt;&gt;o",$AD37:AD$84,"&gt;0")/Aggregate!$AL$1</x:f>
        <x:v>0.051523104257767474</x:v>
      </x:c>
      <x:c r="AB36" s="53" t="n">
        <x:f t="array" ref="AB36">IFERROR(INDEX(ECR!$K:$K,MATCH(DraftSheet!$W36,ECR!$C:$C,0)),"ND")</x:f>
        <x:v>78</x:v>
      </x:c>
      <x:c r="AC36" s="62"/>
      <x:c r="AD36" s="64" t="n">
        <x:f>VLOOKUP(W36,Aggregate!AD:AL,9,FALSE())</x:f>
        <x:v>16.83489114</x:v>
      </x:c>
      <x:c r="AE36" s="2"/>
      <x:c r="AF36" s="2"/>
      <x:c r="AG36" s="2"/>
      <x:c r="AH36" s="2"/>
    </x:row>
    <x:row r="37" ht="14.25" customHeight="1">
      <x:c r="A37" s="2"/>
      <x:c r="B37" s="53" t="n">
        <x:f>IFERROR(VLOOKUP(DraftSheet!$C37,Aggregate!$B:$M,11,FALSE()),"")</x:f>
        <x:v>12</x:v>
      </x:c>
      <x:c r="C37" s="55" t="str">
        <x:f>Aggregate!B34</x:f>
        <x:v>Michael Penix Jr.</x:v>
      </x:c>
      <x:c r="D37" s="55" t="str">
        <x:f>VLOOKUP(DraftSheet!$C37,Aggregate!B:M,4,FALSE())</x:f>
        <x:v>ATL/11</x:v>
      </x:c>
      <x:c r="E37" s="53" t="n">
        <x:f>IFERROR(VLOOKUP(DraftSheet!$C37,Aggregate!$B:$M,8,FALSE()),"")</x:f>
        <x:v>90.41505882</x:v>
      </x:c>
      <x:c r="F37" s="53" t="n">
        <x:f>IF(Scoring!$K$6="Auction",IFERROR(VLOOKUP(DraftSheet!$C37,Aggregate!$B:$M,10,FALSE()),""),IFERROR(VLOOKUP(DraftSheet!$C37,Aggregate!$B:$M,9,FALSE()),""))</x:f>
        <x:v>-149.772167675</x:v>
      </x:c>
      <x:c r="G37" s="61" t="n">
        <x:f>SUMIFS($J38:J$44,$I38:I$44,"&lt;&gt;x",$I38:I$44,"&lt;&gt;o",$J38:J$44,"&gt;0")/Aggregate!$J$1</x:f>
        <x:v>0</x:v>
      </x:c>
      <x:c r="H37" s="53" t="n">
        <x:f t="array" ref="H37">IFERROR(INDEX(ECR!$K:$K,MATCH(DraftSheet!$C37,ECR!$C:$C,0)),"ND")</x:f>
        <x:v>268</x:v>
      </x:c>
      <x:c r="I37" s="62"/>
      <x:c r="J37" s="64" t="n">
        <x:f>VLOOKUP(C37,Aggregate!B:J,9,FALSE())</x:f>
        <x:v>-153.5874534</x:v>
      </x:c>
      <x:c r="K37" s="65"/>
      <x:c r="L37" s="53" t="n">
        <x:f>IFERROR(VLOOKUP(DraftSheet!$M37,Aggregate!$P:$AA,11,FALSE()),"")</x:f>
        <x:v>6</x:v>
      </x:c>
      <x:c r="M37" s="55" t="str">
        <x:f>Aggregate!P33</x:f>
        <x:v>Jonathon Brooks</x:v>
      </x:c>
      <x:c r="N37" s="55" t="str">
        <x:f>VLOOKUP(DraftSheet!$M37,Aggregate!P:AA,4,FALSE())</x:f>
        <x:v>CAR/5</x:v>
      </x:c>
      <x:c r="O37" s="53" t="n">
        <x:f>IFERROR(VLOOKUP(DraftSheet!$M37,Aggregate!$P:$AA,8,FALSE()),"")</x:f>
        <x:v>115.5946898</x:v>
      </x:c>
      <x:c r="P37" s="53" t="n">
        <x:f>IF(Scoring!$K$6="Auction",IFERROR(VLOOKUP(DraftSheet!$M37,Aggregate!$P:$AA,10,FALSE()),""),IFERROR(VLOOKUP(DraftSheet!$M37,Aggregate!$P:$AA,9,FALSE()),""))</x:f>
        <x:v>-14.405639350000015</x:v>
      </x:c>
      <x:c r="Q37" s="61" t="n">
        <x:f>SUMIFS($T38:T$84,$S38:S$84,"&lt;&gt;x",$S38:S$84,"&lt;&gt;o",$T38:T$84,"&gt;0")/Aggregate!$X$1</x:f>
        <x:v>0.020633841488310045</x:v>
      </x:c>
      <x:c r="R37" s="53" t="n">
        <x:f t="array" ref="R37">IFERROR(INDEX(ECR!$K:$K,MATCH(DraftSheet!$M37,ECR!$C:$C,0)),"ND")</x:f>
        <x:v>85</x:v>
      </x:c>
      <x:c r="S37" s="62"/>
      <x:c r="T37" s="64" t="n">
        <x:f>VLOOKUP(M37,Aggregate!P:X,9,FALSE())</x:f>
        <x:v>14.09465006</x:v>
      </x:c>
      <x:c r="U37" s="73"/>
      <x:c r="V37" s="53" t="n">
        <x:f>IFERROR(VLOOKUP(DraftSheet!$W37,Aggregate!$AD:$AO,11,FALSE()),"")</x:f>
        <x:v>5</x:v>
      </x:c>
      <x:c r="W37" s="55" t="str">
        <x:f>Aggregate!AD38</x:f>
        <x:v>Courtland Sutton</x:v>
      </x:c>
      <x:c r="X37" s="55" t="str">
        <x:f>VLOOKUP(DraftSheet!$W37,Aggregate!AD:AO,4,FALSE())</x:f>
        <x:v>DEN/10</x:v>
      </x:c>
      <x:c r="Y37" s="53" t="n">
        <x:f>IFERROR(VLOOKUP(DraftSheet!$W37,Aggregate!$AD:$AO,8,FALSE()),"")</x:f>
        <x:v>116.9123194</x:v>
      </x:c>
      <x:c r="Z37" s="53" t="n">
        <x:f>IF(Scoring!$K$6="Auction",IFERROR(VLOOKUP(DraftSheet!$W37,Aggregate!$AD:$AO,10,FALSE()),""),IFERROR(VLOOKUP(DraftSheet!$W37,Aggregate!$AD:$AO,9,FALSE()),""))</x:f>
        <x:v>14.717407620588233</x:v>
      </x:c>
      <x:c r="AA37" s="61" t="n">
        <x:f>SUMIFS($AD38:AD$84,$AC38:AC$84,"&lt;&gt;x",$AC38:AC$84,"&lt;&gt;o",$AD38:AD$84,"&gt;0")/Aggregate!$AL$1</x:f>
        <x:v>0.04332358931737608</x:v>
      </x:c>
      <x:c r="AB37" s="53" t="n">
        <x:f t="array" ref="AB37">IFERROR(INDEX(ECR!$K:$K,MATCH(DraftSheet!$W37,ECR!$C:$C,0)),"ND")</x:f>
        <x:v>86</x:v>
      </x:c>
      <x:c r="AC37" s="62"/>
      <x:c r="AD37" s="64" t="n">
        <x:f>VLOOKUP(W37,Aggregate!AD:AL,9,FALSE())</x:f>
        <x:v>15.5979429</x:v>
      </x:c>
      <x:c r="AE37" s="2"/>
      <x:c r="AF37" s="2"/>
      <x:c r="AG37" s="2"/>
      <x:c r="AH37" s="2"/>
    </x:row>
    <x:row r="38" ht="14.25" customHeight="1">
      <x:c r="A38" s="2"/>
      <x:c r="B38" s="53" t="n">
        <x:f>IFERROR(VLOOKUP(DraftSheet!$C38,Aggregate!$B:$M,11,FALSE()),"")</x:f>
        <x:v>13</x:v>
      </x:c>
      <x:c r="C38" s="55" t="str">
        <x:f>Aggregate!B37</x:f>
        <x:v>Shedeur Sanders</x:v>
      </x:c>
      <x:c r="D38" s="55" t="str">
        <x:f>VLOOKUP(DraftSheet!$C38,Aggregate!B:M,4,FALSE())</x:f>
        <x:v>CLE/11</x:v>
      </x:c>
      <x:c r="E38" s="53" t="n">
        <x:f>IFERROR(VLOOKUP(DraftSheet!$C38,Aggregate!$B:$M,8,FALSE()),"")</x:f>
        <x:v>57.72536471</x:v>
      </x:c>
      <x:c r="F38" s="53" t="n">
        <x:f>IF(Scoring!$K$6="Auction",IFERROR(VLOOKUP(DraftSheet!$C38,Aggregate!$B:$M,10,FALSE()),""),IFERROR(VLOOKUP(DraftSheet!$C38,Aggregate!$B:$M,9,FALSE()),""))</x:f>
        <x:v>-183.17715591073528</x:v>
      </x:c>
      <x:c r="G38" s="61" t="n">
        <x:f>SUMIFS($J39:J$44,$I39:I$44,"&lt;&gt;x",$I39:I$44,"&lt;&gt;o",$J39:J$44,"&gt;0")/Aggregate!$J$1</x:f>
        <x:v>0</x:v>
      </x:c>
      <x:c r="H38" s="53" t="n">
        <x:f t="array" ref="H38">IFERROR(INDEX(ECR!$K:$K,MATCH(DraftSheet!$C38,ECR!$C:$C,0)),"ND")</x:f>
        <x:v>282</x:v>
      </x:c>
      <x:c r="I38" s="62"/>
      <x:c r="J38" s="64" t="n">
        <x:f>VLOOKUP(C38,Aggregate!B:J,9,FALSE())</x:f>
        <x:v>-186.2771475</x:v>
      </x:c>
      <x:c r="K38" s="65"/>
      <x:c r="L38" s="53" t="n">
        <x:f>IFERROR(VLOOKUP(DraftSheet!$M38,Aggregate!$P:$AA,11,FALSE()),"")</x:f>
        <x:v>6</x:v>
      </x:c>
      <x:c r="M38" s="55" t="str">
        <x:f>Aggregate!P41</x:f>
        <x:v>Kyle Monangai</x:v>
      </x:c>
      <x:c r="N38" s="55" t="str">
        <x:f>VLOOKUP(DraftSheet!$M38,Aggregate!P:AA,4,FALSE())</x:f>
        <x:v>CHI/10</x:v>
      </x:c>
      <x:c r="O38" s="53" t="n">
        <x:f>IFERROR(VLOOKUP(DraftSheet!$M38,Aggregate!$P:$AA,8,FALSE()),"")</x:f>
        <x:v>107.1046504</x:v>
      </x:c>
      <x:c r="P38" s="53" t="n">
        <x:f>IF(Scoring!$K$6="Auction",IFERROR(VLOOKUP(DraftSheet!$M38,Aggregate!$P:$AA,10,FALSE()),""),IFERROR(VLOOKUP(DraftSheet!$M38,Aggregate!$P:$AA,9,FALSE()),""))</x:f>
        <x:v>-22.895678702941197</x:v>
      </x:c>
      <x:c r="Q38" s="61" t="n">
        <x:f>SUMIFS($T39:T$84,$S39:S$84,"&lt;&gt;x",$S39:S$84,"&lt;&gt;o",$T39:T$84,"&gt;0")/Aggregate!$X$1</x:f>
        <x:v>0.016317321000864443</x:v>
      </x:c>
      <x:c r="R38" s="53" t="n">
        <x:f t="array" ref="R38">IFERROR(INDEX(ECR!$K:$K,MATCH(DraftSheet!$M38,ECR!$C:$C,0)),"ND")</x:f>
        <x:v>111</x:v>
      </x:c>
      <x:c r="S38" s="62"/>
      <x:c r="T38" s="64" t="n">
        <x:f>VLOOKUP(M38,Aggregate!P:X,9,FALSE())</x:f>
        <x:v>5.604610706</x:v>
      </x:c>
      <x:c r="U38" s="73"/>
      <x:c r="V38" s="53" t="n">
        <x:f>IFERROR(VLOOKUP(DraftSheet!$W38,Aggregate!$AD:$AO,11,FALSE()),"")</x:f>
        <x:v>5</x:v>
      </x:c>
      <x:c r="W38" s="55" t="str">
        <x:f>Aggregate!AD43</x:f>
        <x:v>Alec Pierce</x:v>
      </x:c>
      <x:c r="X38" s="55" t="str">
        <x:f>VLOOKUP(DraftSheet!$W38,Aggregate!AD:AO,4,FALSE())</x:f>
        <x:v>IND/13</x:v>
      </x:c>
      <x:c r="Y38" s="53" t="n">
        <x:f>IFERROR(VLOOKUP(DraftSheet!$W38,Aggregate!$AD:$AO,8,FALSE()),"")</x:f>
        <x:v>116.6843118</x:v>
      </x:c>
      <x:c r="Z38" s="53" t="n">
        <x:f>IF(Scoring!$K$6="Auction",IFERROR(VLOOKUP(DraftSheet!$W38,Aggregate!$AD:$AO,10,FALSE()),""),IFERROR(VLOOKUP(DraftSheet!$W38,Aggregate!$AD:$AO,9,FALSE()),""))</x:f>
        <x:v>14.489400016176475</x:v>
      </x:c>
      <x:c r="AA38" s="61" t="n">
        <x:f>SUMIFS($AD39:AD$84,$AC39:AC$84,"&lt;&gt;x",$AC39:AC$84,"&lt;&gt;o",$AD39:AD$84,"&gt;0")/Aggregate!$AL$1</x:f>
        <x:v>0.03524393324662564</x:v>
      </x:c>
      <x:c r="AB38" s="53" t="n">
        <x:f t="array" ref="AB38">IFERROR(INDEX(ECR!$K:$K,MATCH(DraftSheet!$W38,ECR!$C:$C,0)),"ND")</x:f>
        <x:v>97</x:v>
      </x:c>
      <x:c r="AC38" s="62"/>
      <x:c r="AD38" s="64" t="n">
        <x:f>VLOOKUP(W38,Aggregate!AD:AL,9,FALSE())</x:f>
        <x:v>15.36993529</x:v>
      </x:c>
      <x:c r="AE38" s="2"/>
      <x:c r="AF38" s="2"/>
      <x:c r="AG38" s="2"/>
      <x:c r="AH38" s="2"/>
    </x:row>
    <x:row r="39" ht="14.25" customHeight="1">
      <x:c r="A39" s="2"/>
      <x:c r="B39" s="53" t="n">
        <x:f>IFERROR(VLOOKUP(DraftSheet!$C39,Aggregate!$B:$M,11,FALSE()),"")</x:f>
        <x:v>13</x:v>
      </x:c>
      <x:c r="C39" s="55" t="str">
        <x:f>Aggregate!B35</x:f>
        <x:v>Kirk Cousins</x:v>
      </x:c>
      <x:c r="D39" s="55" t="str">
        <x:f>VLOOKUP(DraftSheet!$C39,Aggregate!B:M,4,FALSE())</x:f>
        <x:v>LV/13</x:v>
      </x:c>
      <x:c r="E39" s="53" t="n">
        <x:f>IFERROR(VLOOKUP(DraftSheet!$C39,Aggregate!$B:$M,8,FALSE()),"")</x:f>
        <x:v>48.68028235</x:v>
      </x:c>
      <x:c r="F39" s="53" t="n">
        <x:f>IF(Scoring!$K$6="Auction",IFERROR(VLOOKUP(DraftSheet!$C39,Aggregate!$B:$M,10,FALSE()),""),IFERROR(VLOOKUP(DraftSheet!$C39,Aggregate!$B:$M,9,FALSE()),""))</x:f>
        <x:v>-191.45047355632352</x:v>
      </x:c>
      <x:c r="G39" s="61" t="n">
        <x:f>SUMIFS($J40:J$44,$I40:I$44,"&lt;&gt;x",$I40:I$44,"&lt;&gt;o",$J40:J$44,"&gt;0")/Aggregate!$J$1</x:f>
        <x:v>0</x:v>
      </x:c>
      <x:c r="H39" s="53" t="n">
        <x:f t="array" ref="H39">IFERROR(INDEX(ECR!$K:$K,MATCH(DraftSheet!$C39,ECR!$C:$C,0)),"ND")</x:f>
        <x:v>270</x:v>
      </x:c>
      <x:c r="I39" s="62"/>
      <x:c r="J39" s="64" t="n">
        <x:f>VLOOKUP(C39,Aggregate!B:J,9,FALSE())</x:f>
        <x:v>-195.3222299</x:v>
      </x:c>
      <x:c r="K39" s="65"/>
      <x:c r="L39" s="53" t="n">
        <x:f>IFERROR(VLOOKUP(DraftSheet!$M39,Aggregate!$P:$AA,11,FALSE()),"")</x:f>
        <x:v>6</x:v>
      </x:c>
      <x:c r="M39" s="55" t="str">
        <x:f>Aggregate!P38</x:f>
        <x:v>RJ Harvey</x:v>
      </x:c>
      <x:c r="N39" s="55" t="str">
        <x:f>VLOOKUP(DraftSheet!$M39,Aggregate!P:AA,4,FALSE())</x:f>
        <x:v>DEN/10</x:v>
      </x:c>
      <x:c r="O39" s="53" t="n">
        <x:f>IFERROR(VLOOKUP(DraftSheet!$M39,Aggregate!$P:$AA,8,FALSE()),"")</x:f>
        <x:v>106.8914164</x:v>
      </x:c>
      <x:c r="P39" s="53" t="n">
        <x:f>IF(Scoring!$K$6="Auction",IFERROR(VLOOKUP(DraftSheet!$M39,Aggregate!$P:$AA,10,FALSE()),""),IFERROR(VLOOKUP(DraftSheet!$M39,Aggregate!$P:$AA,9,FALSE()),""))</x:f>
        <x:v>-23.108912752941194</x:v>
      </x:c>
      <x:c r="Q39" s="61" t="n">
        <x:f>SUMIFS($T40:T$84,$S40:S$84,"&lt;&gt;x",$S40:S$84,"&lt;&gt;o",$T40:T$84,"&gt;0")/Aggregate!$X$1</x:f>
        <x:v>0.012165027630590458</x:v>
      </x:c>
      <x:c r="R39" s="53" t="n">
        <x:f t="array" ref="R39">IFERROR(INDEX(ECR!$K:$K,MATCH(DraftSheet!$M39,ECR!$C:$C,0)),"ND")</x:f>
        <x:v>100</x:v>
      </x:c>
      <x:c r="S39" s="62"/>
      <x:c r="T39" s="64" t="n">
        <x:f>VLOOKUP(M39,Aggregate!P:X,9,FALSE())</x:f>
        <x:v>5.391376676</x:v>
      </x:c>
      <x:c r="U39" s="73"/>
      <x:c r="V39" s="53" t="n">
        <x:f>IFERROR(VLOOKUP(DraftSheet!$W39,Aggregate!$AD:$AO,11,FALSE()),"")</x:f>
        <x:v>5</x:v>
      </x:c>
      <x:c r="W39" s="55" t="str">
        <x:f>Aggregate!AD32</x:f>
        <x:v>Parker Washington</x:v>
      </x:c>
      <x:c r="X39" s="55" t="str">
        <x:f>VLOOKUP(DraftSheet!$W39,Aggregate!AD:AO,4,FALSE())</x:f>
        <x:v>JAC/7</x:v>
      </x:c>
      <x:c r="Y39" s="53" t="n">
        <x:f>IFERROR(VLOOKUP(DraftSheet!$W39,Aggregate!$AD:$AO,8,FALSE()),"")</x:f>
        <x:v>115.6485545</x:v>
      </x:c>
      <x:c r="Z39" s="53" t="n">
        <x:f>IF(Scoring!$K$6="Auction",IFERROR(VLOOKUP(DraftSheet!$W39,Aggregate!$AD:$AO,10,FALSE()),""),IFERROR(VLOOKUP(DraftSheet!$W39,Aggregate!$AD:$AO,9,FALSE()),""))</x:f>
        <x:v>13.453642733823528</x:v>
      </x:c>
      <x:c r="AA39" s="61" t="n">
        <x:f>SUMIFS($AD40:AD$84,$AC40:AC$84,"&lt;&gt;x",$AC40:AC$84,"&lt;&gt;o",$AD40:AD$84,"&gt;0")/Aggregate!$AL$1</x:f>
        <x:v>0.027708753287015418</x:v>
      </x:c>
      <x:c r="AB39" s="53" t="n">
        <x:f t="array" ref="AB39">IFERROR(INDEX(ECR!$K:$K,MATCH(DraftSheet!$W39,ECR!$C:$C,0)),"ND")</x:f>
        <x:v>68</x:v>
      </x:c>
      <x:c r="AC39" s="62"/>
      <x:c r="AD39" s="64" t="n">
        <x:f>VLOOKUP(W39,Aggregate!AD:AL,9,FALSE())</x:f>
        <x:v>14.33417801</x:v>
      </x:c>
      <x:c r="AE39" s="2"/>
      <x:c r="AF39" s="2"/>
      <x:c r="AG39" s="2"/>
      <x:c r="AH39" s="2"/>
    </x:row>
    <x:row r="40" ht="15" customHeight="1">
      <x:c r="A40" s="2"/>
      <x:c r="B40" s="53" t="n">
        <x:f>IFERROR(VLOOKUP(DraftSheet!$C40,Aggregate!$B:$M,11,FALSE()),"")</x:f>
        <x:v>14</x:v>
      </x:c>
      <x:c r="C40" s="55" t="str">
        <x:f>Aggregate!B39</x:f>
        <x:v>J.J. McCarthy</x:v>
      </x:c>
      <x:c r="D40" s="55" t="str">
        <x:f>VLOOKUP(DraftSheet!$C40,Aggregate!B:M,4,FALSE())</x:f>
        <x:v>MIN/6</x:v>
      </x:c>
      <x:c r="E40" s="53" t="n">
        <x:f>IFERROR(VLOOKUP(DraftSheet!$C40,Aggregate!$B:$M,8,FALSE()),"")</x:f>
        <x:v>18.3744</x:v>
      </x:c>
      <x:c r="F40" s="53" t="n">
        <x:f>IF(Scoring!$K$6="Auction",IFERROR(VLOOKUP(DraftSheet!$C40,Aggregate!$B:$M,10,FALSE()),""),IFERROR(VLOOKUP(DraftSheet!$C40,Aggregate!$B:$M,9,FALSE()),""))</x:f>
        <x:v>-220.75870885058822</x:v>
      </x:c>
      <x:c r="G40" s="61" t="n">
        <x:f>SUMIFS($J41:J$44,$I41:I$44,"&lt;&gt;x",$I41:I$44,"&lt;&gt;o",$J41:J$44,"&gt;0")/Aggregate!$J$1</x:f>
        <x:v>0</x:v>
      </x:c>
      <x:c r="H40" s="53" t="n">
        <x:f t="array" ref="H40">IFERROR(INDEX(ECR!$K:$K,MATCH(DraftSheet!$C40,ECR!$C:$C,0)),"ND")</x:f>
        <x:v>333</x:v>
      </x:c>
      <x:c r="I40" s="62"/>
      <x:c r="J40" s="64" t="n">
        <x:f>VLOOKUP(C40,Aggregate!B:J,9,FALSE())</x:f>
        <x:v>-225.6281122</x:v>
      </x:c>
      <x:c r="K40" s="65"/>
      <x:c r="L40" s="53" t="n">
        <x:f>IFERROR(VLOOKUP(DraftSheet!$M40,Aggregate!$P:$AA,11,FALSE()),"")</x:f>
        <x:v>6</x:v>
      </x:c>
      <x:c r="M40" s="55" t="str">
        <x:f>Aggregate!P37</x:f>
        <x:v>Jacory Croskey-Merritt</x:v>
      </x:c>
      <x:c r="N40" s="55" t="str">
        <x:f>VLOOKUP(DraftSheet!$M40,Aggregate!P:AA,4,FALSE())</x:f>
        <x:v>WAS/7</x:v>
      </x:c>
      <x:c r="O40" s="53" t="n">
        <x:f>IFERROR(VLOOKUP(DraftSheet!$M40,Aggregate!$P:$AA,8,FALSE()),"")</x:f>
        <x:v>106.0946801</x:v>
      </x:c>
      <x:c r="P40" s="53" t="n">
        <x:f>IF(Scoring!$K$6="Auction",IFERROR(VLOOKUP(DraftSheet!$M40,Aggregate!$P:$AA,10,FALSE()),""),IFERROR(VLOOKUP(DraftSheet!$M40,Aggregate!$P:$AA,9,FALSE()),""))</x:f>
        <x:v>-23.905648977941183</x:v>
      </x:c>
      <x:c r="Q40" s="61" t="n">
        <x:f>SUMIFS($T41:T$84,$S41:S$84,"&lt;&gt;x",$S41:S$84,"&lt;&gt;o",$T41:T$84,"&gt;0")/Aggregate!$X$1</x:f>
        <x:v>0.008626359088493397</x:v>
      </x:c>
      <x:c r="R40" s="53" t="n">
        <x:f t="array" ref="R40">IFERROR(INDEX(ECR!$K:$K,MATCH(DraftSheet!$M40,ECR!$C:$C,0)),"ND")</x:f>
        <x:v>99</x:v>
      </x:c>
      <x:c r="S40" s="62"/>
      <x:c r="T40" s="64" t="n">
        <x:f>VLOOKUP(M40,Aggregate!P:X,9,FALSE())</x:f>
        <x:v>4.594640441</x:v>
      </x:c>
      <x:c r="U40" s="73"/>
      <x:c r="V40" s="53" t="n">
        <x:f>IFERROR(VLOOKUP(DraftSheet!$W40,Aggregate!$AD:$AO,11,FALSE()),"")</x:f>
        <x:v>5</x:v>
      </x:c>
      <x:c r="W40" s="55" t="str">
        <x:f>Aggregate!AD35</x:f>
        <x:v>Brian Thomas Jr.</x:v>
      </x:c>
      <x:c r="X40" s="55" t="str">
        <x:f>VLOOKUP(DraftSheet!$W40,Aggregate!AD:AO,4,FALSE())</x:f>
        <x:v>JAC/7</x:v>
      </x:c>
      <x:c r="Y40" s="53" t="n">
        <x:f>IFERROR(VLOOKUP(DraftSheet!$W40,Aggregate!$AD:$AO,8,FALSE()),"")</x:f>
        <x:v>112.9407704</x:v>
      </x:c>
      <x:c r="Z40" s="53" t="n">
        <x:f>IF(Scoring!$K$6="Auction",IFERROR(VLOOKUP(DraftSheet!$W40,Aggregate!$AD:$AO,10,FALSE()),""),IFERROR(VLOOKUP(DraftSheet!$W40,Aggregate!$AD:$AO,9,FALSE()),""))</x:f>
        <x:v>10.745858639705887</x:v>
      </x:c>
      <x:c r="AA40" s="61" t="n">
        <x:f>SUMIFS($AD41:AD$84,$AC41:AC$84,"&lt;&gt;x",$AC41:AC$84,"&lt;&gt;o",$AD41:AD$84,"&gt;0")/Aggregate!$AL$1</x:f>
        <x:v>0.021596999234376153</x:v>
      </x:c>
      <x:c r="AB40" s="53" t="n">
        <x:f t="array" ref="AB40">IFERROR(INDEX(ECR!$K:$K,MATCH(DraftSheet!$W40,ECR!$C:$C,0)),"ND")</x:f>
        <x:v>76</x:v>
      </x:c>
      <x:c r="AC40" s="62"/>
      <x:c r="AD40" s="64" t="n">
        <x:f>VLOOKUP(W40,Aggregate!AD:AL,9,FALSE())</x:f>
        <x:v>11.62639393</x:v>
      </x:c>
      <x:c r="AE40" s="2"/>
      <x:c r="AF40" s="2"/>
      <x:c r="AG40" s="2"/>
      <x:c r="AH40" s="2"/>
    </x:row>
    <x:row r="41" ht="15" customHeight="1">
      <x:c r="A41" s="2"/>
      <x:c r="B41" s="53" t="n">
        <x:f>IFERROR(VLOOKUP(DraftSheet!$C41,Aggregate!$B:$M,11,FALSE()),"")</x:f>
        <x:v>14</x:v>
      </x:c>
      <x:c r="C41" s="55" t="str">
        <x:f>Aggregate!B38</x:f>
        <x:v>Carson Beck</x:v>
      </x:c>
      <x:c r="D41" s="55" t="str">
        <x:f>VLOOKUP(DraftSheet!$C41,Aggregate!B:M,4,FALSE())</x:f>
        <x:v>ARI/14</x:v>
      </x:c>
      <x:c r="E41" s="53" t="n">
        <x:f>IFERROR(VLOOKUP(DraftSheet!$C41,Aggregate!$B:$M,8,FALSE()),"")</x:f>
        <x:v>16.51501176</x:v>
      </x:c>
      <x:c r="F41" s="53" t="n">
        <x:f>IF(Scoring!$K$6="Auction",IFERROR(VLOOKUP(DraftSheet!$C41,Aggregate!$B:$M,10,FALSE()),""),IFERROR(VLOOKUP(DraftSheet!$C41,Aggregate!$B:$M,9,FALSE()),""))</x:f>
        <x:v>-222.4298617917647</x:v>
      </x:c>
      <x:c r="G41" s="61" t="n">
        <x:f>SUMIFS(J$42:$J44,I$42:$I44,"&lt;&gt;x",I$42:$I44,"&lt;&gt;o",J$42:$J44,"&gt;0")/Aggregate!$J$1</x:f>
        <x:v>0</x:v>
      </x:c>
      <x:c r="H41" s="53" t="n">
        <x:f t="array" ref="H41">IFERROR(INDEX(ECR!$K:$K,MATCH(DraftSheet!$C41,ECR!$C:$C,0)),"ND")</x:f>
        <x:v>329</x:v>
      </x:c>
      <x:c r="I41" s="62"/>
      <x:c r="J41" s="64" t="n">
        <x:f>VLOOKUP(C41,Aggregate!B:J,9,FALSE())</x:f>
        <x:v>-227.4875005</x:v>
      </x:c>
      <x:c r="K41" s="65"/>
      <x:c r="L41" s="53" t="n">
        <x:f>IFERROR(VLOOKUP(DraftSheet!$M41,Aggregate!$P:$AA,11,FALSE()),"")</x:f>
        <x:v>6</x:v>
      </x:c>
      <x:c r="M41" s="55" t="str">
        <x:f>Aggregate!P42</x:f>
        <x:v>Rachaad White</x:v>
      </x:c>
      <x:c r="N41" s="55" t="str">
        <x:f>VLOOKUP(DraftSheet!$M41,Aggregate!P:AA,4,FALSE())</x:f>
        <x:v>WAS/7</x:v>
      </x:c>
      <x:c r="O41" s="53" t="n">
        <x:f>IFERROR(VLOOKUP(DraftSheet!$M41,Aggregate!$P:$AA,8,FALSE()),"")</x:f>
        <x:v>105.6110141</x:v>
      </x:c>
      <x:c r="P41" s="53" t="n">
        <x:f>IF(Scoring!$K$6="Auction",IFERROR(VLOOKUP(DraftSheet!$M41,Aggregate!$P:$AA,10,FALSE()),""),IFERROR(VLOOKUP(DraftSheet!$M41,Aggregate!$P:$AA,9,FALSE()),""))</x:f>
        <x:v>-24.38931500735295</x:v>
      </x:c>
      <x:c r="Q41" s="61" t="n">
        <x:f>SUMIFS($T42:T$84,$S42:S$84,"&lt;&gt;x",$S42:S$84,"&lt;&gt;o",$T42:T$84,"&gt;0")/Aggregate!$X$1</x:f>
        <x:v>0.0054601971187127505</x:v>
      </x:c>
      <x:c r="R41" s="53" t="n">
        <x:f t="array" ref="R41">IFERROR(INDEX(ECR!$K:$K,MATCH(DraftSheet!$M41,ECR!$C:$C,0)),"ND")</x:f>
        <x:v>114</x:v>
      </x:c>
      <x:c r="S41" s="62"/>
      <x:c r="T41" s="64" t="n">
        <x:f>VLOOKUP(M41,Aggregate!P:X,9,FALSE())</x:f>
        <x:v>4.110974412</x:v>
      </x:c>
      <x:c r="U41" s="73"/>
      <x:c r="V41" s="53" t="n">
        <x:f>IFERROR(VLOOKUP(DraftSheet!$W41,Aggregate!$AD:$AO,11,FALSE()),"")</x:f>
        <x:v>5</x:v>
      </x:c>
      <x:c r="W41" s="55" t="str">
        <x:f>Aggregate!AD39</x:f>
        <x:v>Michael Pittman Jr.</x:v>
      </x:c>
      <x:c r="X41" s="55" t="str">
        <x:f>VLOOKUP(DraftSheet!$W41,Aggregate!AD:AO,4,FALSE())</x:f>
        <x:v>PIT/9</x:v>
      </x:c>
      <x:c r="Y41" s="53" t="n">
        <x:f>IFERROR(VLOOKUP(DraftSheet!$W41,Aggregate!$AD:$AO,8,FALSE()),"")</x:f>
        <x:v>107.9562318</x:v>
      </x:c>
      <x:c r="Z41" s="53" t="n">
        <x:f>IF(Scoring!$K$6="Auction",IFERROR(VLOOKUP(DraftSheet!$W41,Aggregate!$AD:$AO,10,FALSE()),""),IFERROR(VLOOKUP(DraftSheet!$W41,Aggregate!$AD:$AO,9,FALSE()),""))</x:f>
        <x:v>5.761320010294114</x:v>
      </x:c>
      <x:c r="AA41" s="61" t="n">
        <x:f>SUMIFS($AD42:AD$84,$AC42:AC$84,"&lt;&gt;x",$AC42:AC$84,"&lt;&gt;o",$AD42:AD$84,"&gt;0")/Aggregate!$AL$1</x:f>
        <x:v>0.01810551371835527</x:v>
      </x:c>
      <x:c r="AB41" s="53" t="n">
        <x:f t="array" ref="AB41">IFERROR(INDEX(ECR!$K:$K,MATCH(DraftSheet!$W41,ECR!$C:$C,0)),"ND")</x:f>
        <x:v>88</x:v>
      </x:c>
      <x:c r="AC41" s="62"/>
      <x:c r="AD41" s="64" t="n">
        <x:f>VLOOKUP(W41,Aggregate!AD:AL,9,FALSE())</x:f>
        <x:v>6.641855294</x:v>
      </x:c>
      <x:c r="AE41" s="2"/>
      <x:c r="AF41" s="2"/>
      <x:c r="AG41" s="2"/>
      <x:c r="AH41" s="2"/>
    </x:row>
    <x:row r="42" ht="14.25" customHeight="1">
      <x:c r="A42" s="2"/>
      <x:c r="B42" s="53" t="n">
        <x:f>IFERROR(VLOOKUP(DraftSheet!$C42,Aggregate!$B:$M,11,FALSE()),"")</x:f>
        <x:v>14</x:v>
      </x:c>
      <x:c r="C42" s="55" t="str">
        <x:f>Aggregate!B42</x:f>
        <x:v>Ty Simpson</x:v>
      </x:c>
      <x:c r="D42" s="55" t="str">
        <x:f>VLOOKUP(DraftSheet!$C42,Aggregate!B:M,4,FALSE())</x:f>
        <x:v>LAR/11</x:v>
      </x:c>
      <x:c r="E42" s="53" t="n">
        <x:f>IFERROR(VLOOKUP(DraftSheet!$C42,Aggregate!$B:$M,8,FALSE()),"")</x:f>
        <x:v>15.5392</x:v>
      </x:c>
      <x:c r="F42" s="53" t="n">
        <x:f>IF(Scoring!$K$6="Auction",IFERROR(VLOOKUP(DraftSheet!$C42,Aggregate!$B:$M,10,FALSE()),""),IFERROR(VLOOKUP(DraftSheet!$C42,Aggregate!$B:$M,9,FALSE()),""))</x:f>
        <x:v>-223.33037943963234</x:v>
      </x:c>
      <x:c r="G42" s="61" t="n">
        <x:f>SUMIFS(J42:$J$45,I42:$I$45,"&lt;&gt;x",I42:$I$45,"&lt;&gt;o",J42:$J$45,"&gt;0")/Aggregate!$J$1</x:f>
        <x:v>0</x:v>
      </x:c>
      <x:c r="H42" s="53" t="n">
        <x:f t="array" ref="H42">IFERROR(INDEX(ECR!$K:$K,MATCH(DraftSheet!$C42,ECR!$C:$C,0)),"ND")</x:f>
        <x:v>361</x:v>
      </x:c>
      <x:c r="I42" s="62"/>
      <x:c r="J42" s="64" t="n">
        <x:f>VLOOKUP(C42,Aggregate!B:J,9,FALSE())</x:f>
        <x:v>-228.4633122</x:v>
      </x:c>
      <x:c r="K42" s="65"/>
      <x:c r="L42" s="53" t="n">
        <x:f>IFERROR(VLOOKUP(DraftSheet!$M42,Aggregate!$P:$AA,11,FALSE()),"")</x:f>
        <x:v>6</x:v>
      </x:c>
      <x:c r="M42" s="55" t="str">
        <x:f>Aggregate!P40</x:f>
        <x:v>Kenny Gainwell</x:v>
      </x:c>
      <x:c r="N42" s="55" t="str">
        <x:f>VLOOKUP(DraftSheet!$M42,Aggregate!P:AA,4,FALSE())</x:f>
        <x:v>TB/10</x:v>
      </x:c>
      <x:c r="O42" s="53" t="n">
        <x:f>IFERROR(VLOOKUP(DraftSheet!$M42,Aggregate!$P:$AA,8,FALSE()),"")</x:f>
        <x:v>105.5199259</x:v>
      </x:c>
      <x:c r="P42" s="53" t="n">
        <x:f>IF(Scoring!$K$6="Auction",IFERROR(VLOOKUP(DraftSheet!$M42,Aggregate!$P:$AA,10,FALSE()),""),IFERROR(VLOOKUP(DraftSheet!$M42,Aggregate!$P:$AA,9,FALSE()),""))</x:f>
        <x:v>-24.48040324264707</x:v>
      </x:c>
      <x:c r="Q42" s="61" t="n">
        <x:f>SUMIFS($T43:T$84,$S43:S$84,"&lt;&gt;x",$S43:S$84,"&lt;&gt;o",$T43:T$84,"&gt;0")/Aggregate!$X$1</x:f>
        <x:v>0.002364188859418787</x:v>
      </x:c>
      <x:c r="R42" s="53" t="n">
        <x:f t="array" ref="R42">IFERROR(INDEX(ECR!$K:$K,MATCH(DraftSheet!$M42,ECR!$C:$C,0)),"ND")</x:f>
        <x:v>109</x:v>
      </x:c>
      <x:c r="S42" s="62"/>
      <x:c r="T42" s="64" t="n">
        <x:f>VLOOKUP(M42,Aggregate!P:X,9,FALSE())</x:f>
        <x:v>4.019886176</x:v>
      </x:c>
      <x:c r="U42" s="73"/>
      <x:c r="V42" s="53" t="n">
        <x:f>IFERROR(VLOOKUP(DraftSheet!$W42,Aggregate!$AD:$AO,11,FALSE()),"")</x:f>
        <x:v>5</x:v>
      </x:c>
      <x:c r="W42" s="55" t="str">
        <x:f>Aggregate!AD50</x:f>
        <x:v>KC Concepcion</x:v>
      </x:c>
      <x:c r="X42" s="55" t="str">
        <x:f>VLOOKUP(DraftSheet!$W42,Aggregate!AD:AO,4,FALSE())</x:f>
        <x:v>CLE/11</x:v>
      </x:c>
      <x:c r="Y42" s="53" t="n">
        <x:f>IFERROR(VLOOKUP(DraftSheet!$W42,Aggregate!$AD:$AO,8,FALSE()),"")</x:f>
        <x:v>107.1680188</x:v>
      </x:c>
      <x:c r="Z42" s="53" t="n">
        <x:f>IF(Scoring!$K$6="Auction",IFERROR(VLOOKUP(DraftSheet!$W42,Aggregate!$AD:$AO,10,FALSE()),""),IFERROR(VLOOKUP(DraftSheet!$W42,Aggregate!$AD:$AO,9,FALSE()),""))</x:f>
        <x:v>4.973107055882352</x:v>
      </x:c>
      <x:c r="AA42" s="61" t="n">
        <x:f>SUMIFS($AD43:AD$84,$AC43:AC$84,"&lt;&gt;x",$AC43:AC$84,"&lt;&gt;o",$AD43:AD$84,"&gt;0")/Aggregate!$AL$1</x:f>
        <x:v>0.01502837539076649</x:v>
      </x:c>
      <x:c r="AB42" s="53" t="n">
        <x:f t="array" ref="AB42">IFERROR(INDEX(ECR!$K:$K,MATCH(DraftSheet!$W42,ECR!$C:$C,0)),"ND")</x:f>
        <x:v>121</x:v>
      </x:c>
      <x:c r="AC42" s="62"/>
      <x:c r="AD42" s="64" t="n">
        <x:f>VLOOKUP(W42,Aggregate!AD:AL,9,FALSE())</x:f>
        <x:v>5.853642353</x:v>
      </x:c>
      <x:c r="AE42" s="2"/>
      <x:c r="AF42" s="2"/>
      <x:c r="AG42" s="2"/>
      <x:c r="AH42" s="2"/>
    </x:row>
    <x:row r="43" ht="15" customHeight="1">
      <x:c r="A43" s="2"/>
      <x:c r="B43" s="53" t="n">
        <x:f>IFERROR(VLOOKUP(DraftSheet!$C43,Aggregate!$B:$M,11,FALSE()),"")</x:f>
        <x:v>14</x:v>
      </x:c>
      <x:c r="C43" s="55" t="str">
        <x:f>Aggregate!B41</x:f>
        <x:v>Justin Fields</x:v>
      </x:c>
      <x:c r="D43" s="55" t="str">
        <x:f>VLOOKUP(DraftSheet!$C43,Aggregate!B:M,4,FALSE())</x:f>
        <x:v>KC/5</x:v>
      </x:c>
      <x:c r="E43" s="53" t="n">
        <x:f>IFERROR(VLOOKUP(DraftSheet!$C43,Aggregate!$B:$M,8,FALSE()),"")</x:f>
        <x:v>10.56527059</x:v>
      </x:c>
      <x:c r="F43" s="53" t="n">
        <x:f>IF(Scoring!$K$6="Auction",IFERROR(VLOOKUP(DraftSheet!$C43,Aggregate!$B:$M,10,FALSE()),""),IFERROR(VLOOKUP(DraftSheet!$C43,Aggregate!$B:$M,9,FALSE()),""))</x:f>
        <x:v>-228.2666617920588</x:v>
      </x:c>
      <x:c r="G43" s="61" t="n">
        <x:f>SUMIFS(J44:$J$44,I44:$I$44,"&lt;&gt;x",I44:$I$44,"&lt;&gt;o",J44:$J$44,"&gt;0")/Aggregate!$J$1</x:f>
        <x:v>0</x:v>
      </x:c>
      <x:c r="H43" s="53" t="n">
        <x:f t="array" ref="H43">IFERROR(INDEX(ECR!$K:$K,MATCH(DraftSheet!$C43,ECR!$C:$C,0)),"ND")</x:f>
        <x:v>357</x:v>
      </x:c>
      <x:c r="I43" s="62"/>
      <x:c r="J43" s="64" t="n">
        <x:f>VLOOKUP(C43,Aggregate!B:J,9,FALSE())</x:f>
        <x:v>-233.4372416</x:v>
      </x:c>
      <x:c r="K43" s="65"/>
      <x:c r="L43" s="53" t="n">
        <x:f>IFERROR(VLOOKUP(DraftSheet!$M43,Aggregate!$P:$AA,11,FALSE()),"")</x:f>
        <x:v>7</x:v>
      </x:c>
      <x:c r="M43" s="55" t="str">
        <x:f>Aggregate!P43</x:f>
        <x:v>Aaron Jones Sr.</x:v>
      </x:c>
      <x:c r="N43" s="55" t="str">
        <x:f>VLOOKUP(DraftSheet!$M43,Aggregate!P:AA,4,FALSE())</x:f>
        <x:v>MIN/6</x:v>
      </x:c>
      <x:c r="O43" s="53" t="n">
        <x:f>IFERROR(VLOOKUP(DraftSheet!$M43,Aggregate!$P:$AA,8,FALSE()),"")</x:f>
        <x:v>103.3014966</x:v>
      </x:c>
      <x:c r="P43" s="53" t="n">
        <x:f>IF(Scoring!$K$6="Auction",IFERROR(VLOOKUP(DraftSheet!$M43,Aggregate!$P:$AA,10,FALSE()),""),IFERROR(VLOOKUP(DraftSheet!$M43,Aggregate!$P:$AA,9,FALSE()),""))</x:f>
        <x:v>-26.698832535588252</x:v>
      </x:c>
      <x:c r="Q43" s="61" t="n">
        <x:f>SUMIFS($T44:T$84,$S44:S$84,"&lt;&gt;x",$S44:S$84,"&lt;&gt;o",$T44:T$84,"&gt;0")/Aggregate!$X$1</x:f>
        <x:v>0.0009767552005424838</x:v>
      </x:c>
      <x:c r="R43" s="53" t="n">
        <x:f t="array" ref="R43">IFERROR(INDEX(ECR!$K:$K,MATCH(DraftSheet!$M43,ECR!$C:$C,0)),"ND")</x:f>
        <x:v>117</x:v>
      </x:c>
      <x:c r="S43" s="62"/>
      <x:c r="T43" s="64" t="n">
        <x:f>VLOOKUP(M43,Aggregate!P:X,9,FALSE())</x:f>
        <x:v>1.801456882</x:v>
      </x:c>
      <x:c r="U43" s="73"/>
      <x:c r="V43" s="53" t="n">
        <x:f>IFERROR(VLOOKUP(DraftSheet!$W43,Aggregate!$AD:$AO,11,FALSE()),"")</x:f>
        <x:v>5</x:v>
      </x:c>
      <x:c r="W43" s="55" t="str">
        <x:f>Aggregate!AD40</x:f>
        <x:v>Michael Wilson</x:v>
      </x:c>
      <x:c r="X43" s="55" t="str">
        <x:f>VLOOKUP(DraftSheet!$W43,Aggregate!AD:AO,4,FALSE())</x:f>
        <x:v>ARI/14</x:v>
      </x:c>
      <x:c r="Y43" s="53" t="n">
        <x:f>IFERROR(VLOOKUP(DraftSheet!$W43,Aggregate!$AD:$AO,8,FALSE()),"")</x:f>
        <x:v>106.1761324</x:v>
      </x:c>
      <x:c r="Z43" s="53" t="n">
        <x:f>IF(Scoring!$K$6="Auction",IFERROR(VLOOKUP(DraftSheet!$W43,Aggregate!$AD:$AO,10,FALSE()),""),IFERROR(VLOOKUP(DraftSheet!$W43,Aggregate!$AD:$AO,9,FALSE()),""))</x:f>
        <x:v>3.9812205926470625</x:v>
      </x:c>
      <x:c r="AA43" s="61" t="n">
        <x:f>SUMIFS($AD44:AD$84,$AC44:AC$84,"&lt;&gt;x",$AC44:AC$84,"&lt;&gt;o",$AD44:AD$84,"&gt;0")/Aggregate!$AL$1</x:f>
        <x:v>0.012472651200303227</x:v>
      </x:c>
      <x:c r="AB43" s="53" t="n">
        <x:f t="array" ref="AB43">IFERROR(INDEX(ECR!$K:$K,MATCH(DraftSheet!$W43,ECR!$C:$C,0)),"ND")</x:f>
        <x:v>89</x:v>
      </x:c>
      <x:c r="AC43" s="62"/>
      <x:c r="AD43" s="64" t="n">
        <x:f>VLOOKUP(W43,Aggregate!AD:AL,9,FALSE())</x:f>
        <x:v>4.861755882</x:v>
      </x:c>
      <x:c r="AE43" s="2"/>
      <x:c r="AF43" s="2"/>
      <x:c r="AG43" s="2"/>
      <x:c r="AH43" s="2"/>
    </x:row>
    <x:row r="44" ht="14.25" customHeight="1">
      <x:c r="A44" s="2"/>
      <x:c r="B44" s="53" t="n">
        <x:f>IFERROR(VLOOKUP(DraftSheet!$C44,Aggregate!$B:$M,11,FALSE()),"")</x:f>
        <x:v>14</x:v>
      </x:c>
      <x:c r="C44" s="55" t="str">
        <x:f>Aggregate!B40</x:f>
        <x:v>Mac Jones</x:v>
      </x:c>
      <x:c r="D44" s="55" t="str">
        <x:f>VLOOKUP(DraftSheet!$C44,Aggregate!B:M,4,FALSE())</x:f>
        <x:v>SF/8</x:v>
      </x:c>
      <x:c r="E44" s="53" t="n">
        <x:f>IFERROR(VLOOKUP(DraftSheet!$C44,Aggregate!$B:$M,8,FALSE()),"")</x:f>
        <x:v>10.24752941</x:v>
      </x:c>
      <x:c r="F44" s="53" t="n">
        <x:f>IF(Scoring!$K$6="Auction",IFERROR(VLOOKUP(DraftSheet!$C44,Aggregate!$B:$M,10,FALSE()),""),IFERROR(VLOOKUP(DraftSheet!$C44,Aggregate!$B:$M,9,FALSE()),""))</x:f>
        <x:v>-228.47146179235293</x:v>
      </x:c>
      <x:c r="G44" s="61" t="n">
        <x:f>SUMIFS(J44:$J$45,I44:$I$45,"&lt;&gt;x",I44:$I$45,"&lt;&gt;o",J44:$J$45,"&gt;0")/Aggregate!$J$1</x:f>
        <x:v>0</x:v>
      </x:c>
      <x:c r="H44" s="53" t="n">
        <x:f t="array" ref="H44">IFERROR(INDEX(ECR!$K:$K,MATCH(DraftSheet!$C44,ECR!$C:$C,0)),"ND")</x:f>
        <x:v>346</x:v>
      </x:c>
      <x:c r="I44" s="62"/>
      <x:c r="J44" s="64" t="n">
        <x:f>VLOOKUP(C44,Aggregate!B:J,9,FALSE())</x:f>
        <x:v>-233.7549828</x:v>
      </x:c>
      <x:c r="K44" s="65"/>
      <x:c r="L44" s="53" t="n">
        <x:f>IFERROR(VLOOKUP(DraftSheet!$M44,Aggregate!$P:$AA,11,FALSE()),"")</x:f>
        <x:v>7</x:v>
      </x:c>
      <x:c r="M44" s="55" t="str">
        <x:f>Aggregate!P39</x:f>
        <x:v>Jordan Mason</x:v>
      </x:c>
      <x:c r="N44" s="55" t="str">
        <x:f>VLOOKUP(DraftSheet!$M44,Aggregate!P:AA,4,FALSE())</x:f>
        <x:v>MIN/6</x:v>
      </x:c>
      <x:c r="O44" s="53" t="n">
        <x:f>IFERROR(VLOOKUP(DraftSheet!$M44,Aggregate!$P:$AA,8,FALSE()),"")</x:f>
        <x:v>102.7682678</x:v>
      </x:c>
      <x:c r="P44" s="53" t="n">
        <x:f>IF(Scoring!$K$6="Auction",IFERROR(VLOOKUP(DraftSheet!$M44,Aggregate!$P:$AA,10,FALSE()),""),IFERROR(VLOOKUP(DraftSheet!$M44,Aggregate!$P:$AA,9,FALSE()),""))</x:f>
        <x:v>-27.232061301470594</x:v>
      </x:c>
      <x:c r="Q44" s="61" t="n">
        <x:f>SUMIFS($T45:T$84,$S45:S$84,"&lt;&gt;x",$S45:S$84,"&lt;&gt;o",$T45:T$84,"&gt;0")/Aggregate!$X$1</x:f>
        <x:v>0</x:v>
      </x:c>
      <x:c r="R44" s="53" t="n">
        <x:f t="array" ref="R44">IFERROR(INDEX(ECR!$K:$K,MATCH(DraftSheet!$M44,ECR!$C:$C,0)),"ND")</x:f>
        <x:v>107</x:v>
      </x:c>
      <x:c r="S44" s="62"/>
      <x:c r="T44" s="64" t="n">
        <x:f>VLOOKUP(M44,Aggregate!P:X,9,FALSE())</x:f>
        <x:v>1.268228118</x:v>
      </x:c>
      <x:c r="U44" s="73"/>
      <x:c r="V44" s="53" t="n">
        <x:f>IFERROR(VLOOKUP(DraftSheet!$W44,Aggregate!$AD:$AO,11,FALSE()),"")</x:f>
        <x:v>5</x:v>
      </x:c>
      <x:c r="W44" s="55" t="str">
        <x:f>Aggregate!AD49</x:f>
        <x:v>Makai Lemon</x:v>
      </x:c>
      <x:c r="X44" s="55" t="str">
        <x:f>VLOOKUP(DraftSheet!$W44,Aggregate!AD:AO,4,FALSE())</x:f>
        <x:v>PHI/10</x:v>
      </x:c>
      <x:c r="Y44" s="53" t="n">
        <x:f>IFERROR(VLOOKUP(DraftSheet!$W44,Aggregate!$AD:$AO,8,FALSE()),"")</x:f>
        <x:v>105.2278024</x:v>
      </x:c>
      <x:c r="Z44" s="53" t="n">
        <x:f>IF(Scoring!$K$6="Auction",IFERROR(VLOOKUP(DraftSheet!$W44,Aggregate!$AD:$AO,10,FALSE()),""),IFERROR(VLOOKUP(DraftSheet!$W44,Aggregate!$AD:$AO,9,FALSE()),""))</x:f>
        <x:v>3.032890586764708</x:v>
      </x:c>
      <x:c r="AA44" s="61" t="n">
        <x:f>SUMIFS($AD45:AD$84,$AC45:AC$84,"&lt;&gt;x",$AC45:AC$84,"&lt;&gt;o",$AD45:AD$84,"&gt;0")/Aggregate!$AL$1</x:f>
        <x:v>0.010415444413915174</x:v>
      </x:c>
      <x:c r="AB44" s="53" t="n">
        <x:f t="array" ref="AB44">IFERROR(INDEX(ECR!$K:$K,MATCH(DraftSheet!$W44,ECR!$C:$C,0)),"ND")</x:f>
        <x:v>116</x:v>
      </x:c>
      <x:c r="AC44" s="62"/>
      <x:c r="AD44" s="64" t="n">
        <x:f>VLOOKUP(W44,Aggregate!AD:AL,9,FALSE())</x:f>
        <x:v>3.913425882</x:v>
      </x:c>
      <x:c r="AE44" s="2"/>
      <x:c r="AF44" s="2"/>
      <x:c r="AG44" s="2"/>
      <x:c r="AH44" s="2"/>
    </x:row>
    <x:row r="45" ht="14.25" customHeight="1">
      <x:c r="A45" s="2"/>
      <x:c r="B45" s="112"/>
      <x:c r="C45" s="112"/>
      <x:c r="D45" s="65"/>
      <x:c r="E45" s="65"/>
      <x:c r="F45" s="65"/>
      <x:c r="G45" s="65"/>
      <x:c r="H45" s="65"/>
      <x:c r="I45" s="9"/>
      <x:c r="J45" s="65"/>
      <x:c r="K45" s="65"/>
      <x:c r="L45" s="53" t="n">
        <x:f>IFERROR(VLOOKUP(DraftSheet!$M45,Aggregate!$P:$AA,11,FALSE()),"")</x:f>
        <x:v>7</x:v>
      </x:c>
      <x:c r="M45" s="55" t="str">
        <x:f>Aggregate!P36</x:f>
        <x:v>Blake Corum</x:v>
      </x:c>
      <x:c r="N45" s="55" t="str">
        <x:f>VLOOKUP(DraftSheet!$M45,Aggregate!P:AA,4,FALSE())</x:f>
        <x:v>LAR/11</x:v>
      </x:c>
      <x:c r="O45" s="53" t="n">
        <x:f>IFERROR(VLOOKUP(DraftSheet!$M45,Aggregate!$P:$AA,8,FALSE()),"")</x:f>
        <x:v>101.5000397</x:v>
      </x:c>
      <x:c r="P45" s="53" t="n">
        <x:f>IF(Scoring!$K$6="Auction",IFERROR(VLOOKUP(DraftSheet!$M45,Aggregate!$P:$AA,10,FALSE()),""),IFERROR(VLOOKUP(DraftSheet!$M45,Aggregate!$P:$AA,9,FALSE()),""))</x:f>
        <x:v>-28.500289411764697</x:v>
      </x:c>
      <x:c r="Q45" s="61" t="n">
        <x:f>SUMIFS($T46:T$84,$S46:S$84,"&lt;&gt;x",$S46:S$84,"&lt;&gt;o",$T46:T$84,"&gt;0")/Aggregate!$X$1</x:f>
        <x:v>0</x:v>
      </x:c>
      <x:c r="R45" s="53" t="n">
        <x:f t="array" ref="R45">IFERROR(INDEX(ECR!$K:$K,MATCH(DraftSheet!$M45,ECR!$C:$C,0)),"ND")</x:f>
        <x:v>94</x:v>
      </x:c>
      <x:c r="S45" s="62"/>
      <x:c r="T45" s="64" t="n">
        <x:f>VLOOKUP(M45,Aggregate!P:X,9,FALSE())</x:f>
        <x:v>0</x:v>
      </x:c>
      <x:c r="U45" s="73"/>
      <x:c r="V45" s="53" t="n">
        <x:f>IFERROR(VLOOKUP(DraftSheet!$W45,Aggregate!$AD:$AO,11,FALSE()),"")</x:f>
        <x:v>5</x:v>
      </x:c>
      <x:c r="W45" s="55" t="str">
        <x:f>Aggregate!AD47</x:f>
        <x:v>Jayden Reed</x:v>
      </x:c>
      <x:c r="X45" s="55" t="str">
        <x:f>VLOOKUP(DraftSheet!$W45,Aggregate!AD:AO,4,FALSE())</x:f>
        <x:v>GB/11</x:v>
      </x:c>
      <x:c r="Y45" s="53" t="n">
        <x:f>IFERROR(VLOOKUP(DraftSheet!$W45,Aggregate!$AD:$AO,8,FALSE()),"")</x:f>
        <x:v>105.1704265</x:v>
      </x:c>
      <x:c r="Z45" s="53" t="n">
        <x:f>IF(Scoring!$K$6="Auction",IFERROR(VLOOKUP(DraftSheet!$W45,Aggregate!$AD:$AO,10,FALSE()),""),IFERROR(VLOOKUP(DraftSheet!$W45,Aggregate!$AD:$AO,9,FALSE()),""))</x:f>
        <x:v>2.975514710294121</x:v>
      </x:c>
      <x:c r="AA45" s="61" t="n">
        <x:f>SUMIFS($AD46:AD$84,$AC46:AC$84,"&lt;&gt;x",$AC46:AC$84,"&lt;&gt;o",$AD46:AD$84,"&gt;0")/Aggregate!$AL$1</x:f>
        <x:v>0.008388398938200793</x:v>
      </x:c>
      <x:c r="AB45" s="53" t="n">
        <x:f t="array" ref="AB45">IFERROR(INDEX(ECR!$K:$K,MATCH(DraftSheet!$W45,ECR!$C:$C,0)),"ND")</x:f>
        <x:v>108</x:v>
      </x:c>
      <x:c r="AC45" s="62"/>
      <x:c r="AD45" s="64" t="n">
        <x:f>VLOOKUP(W45,Aggregate!AD:AL,9,FALSE())</x:f>
        <x:v>3.85605</x:v>
      </x:c>
      <x:c r="AE45" s="2"/>
      <x:c r="AF45" s="2"/>
      <x:c r="AG45" s="2"/>
      <x:c r="AH45" s="2"/>
    </x:row>
    <x:row r="46" ht="14.25" customHeight="1">
      <x:c r="A46" s="2"/>
      <x:c r="B46" s="14" t="s">
        <x:v>97</x:v>
      </x:c>
      <x:c r="C46" s="15"/>
      <x:c r="D46" s="15"/>
      <x:c r="E46" s="15"/>
      <x:c r="F46" s="15"/>
      <x:c r="G46" s="15"/>
      <x:c r="H46" s="15"/>
      <x:c r="I46" s="17"/>
      <x:c r="J46" s="9"/>
      <x:c r="K46" s="65"/>
      <x:c r="L46" s="53" t="n">
        <x:f>IFERROR(VLOOKUP(DraftSheet!$M46,Aggregate!$P:$AA,11,FALSE()),"")</x:f>
        <x:v>7</x:v>
      </x:c>
      <x:c r="M46" s="55" t="str">
        <x:f>Aggregate!P59</x:f>
        <x:v>Mike Washington Jr.</x:v>
      </x:c>
      <x:c r="N46" s="55" t="str">
        <x:f>VLOOKUP(DraftSheet!$M46,Aggregate!P:AA,4,FALSE())</x:f>
        <x:v>LV/13</x:v>
      </x:c>
      <x:c r="O46" s="53" t="n">
        <x:f>IFERROR(VLOOKUP(DraftSheet!$M46,Aggregate!$P:$AA,8,FALSE()),"")</x:f>
        <x:v>91.05915409</x:v>
      </x:c>
      <x:c r="P46" s="53" t="n">
        <x:f>IF(Scoring!$K$6="Auction",IFERROR(VLOOKUP(DraftSheet!$M46,Aggregate!$P:$AA,10,FALSE()),""),IFERROR(VLOOKUP(DraftSheet!$M46,Aggregate!$P:$AA,9,FALSE()),""))</x:f>
        <x:v>-38.94117503514707</x:v>
      </x:c>
      <x:c r="Q46" s="61" t="n">
        <x:f>SUMIFS($T47:T$84,$S47:S$84,"&lt;&gt;x",$S47:S$84,"&lt;&gt;o",$T47:T$84,"&gt;0")/Aggregate!$X$1</x:f>
        <x:v>0</x:v>
      </x:c>
      <x:c r="R46" s="53" t="n">
        <x:f t="array" ref="R46">IFERROR(INDEX(ECR!$K:$K,MATCH(DraftSheet!$M46,ECR!$C:$C,0)),"ND")</x:f>
        <x:v>167</x:v>
      </x:c>
      <x:c r="S46" s="62"/>
      <x:c r="T46" s="64" t="n">
        <x:f>VLOOKUP(M46,Aggregate!P:X,9,FALSE())</x:f>
        <x:v>-10.44088562</x:v>
      </x:c>
      <x:c r="U46" s="73"/>
      <x:c r="V46" s="53" t="n">
        <x:f>IFERROR(VLOOKUP(DraftSheet!$W46,Aggregate!$AD:$AO,11,FALSE()),"")</x:f>
        <x:v>5</x:v>
      </x:c>
      <x:c r="W46" s="55" t="str">
        <x:f>Aggregate!AD37</x:f>
        <x:v>Chris Godwin Jr.</x:v>
      </x:c>
      <x:c r="X46" s="55" t="str">
        <x:f>VLOOKUP(DraftSheet!$W46,Aggregate!AD:AO,4,FALSE())</x:f>
        <x:v>TB/10</x:v>
      </x:c>
      <x:c r="Y46" s="53" t="n">
        <x:f>IFERROR(VLOOKUP(DraftSheet!$W46,Aggregate!$AD:$AO,8,FALSE()),"")</x:f>
        <x:v>105.0852276</x:v>
      </x:c>
      <x:c r="Z46" s="53" t="n">
        <x:f>IF(Scoring!$K$6="Auction",IFERROR(VLOOKUP(DraftSheet!$W46,Aggregate!$AD:$AO,10,FALSE()),""),IFERROR(VLOOKUP(DraftSheet!$W46,Aggregate!$AD:$AO,9,FALSE()),""))</x:f>
        <x:v>2.8903159014705864</x:v>
      </x:c>
      <x:c r="AA46" s="61" t="n">
        <x:f>SUMIFS($AD47:AD$84,$AC47:AC$84,"&lt;&gt;x",$AC47:AC$84,"&lt;&gt;o",$AD47:AD$84,"&gt;0")/Aggregate!$AL$1</x:f>
        <x:v>0.006406140716470514</x:v>
      </x:c>
      <x:c r="AB46" s="53" t="n">
        <x:f t="array" ref="AB46">IFERROR(INDEX(ECR!$K:$K,MATCH(DraftSheet!$W46,ECR!$C:$C,0)),"ND")</x:f>
        <x:v>83</x:v>
      </x:c>
      <x:c r="AC46" s="62"/>
      <x:c r="AD46" s="64" t="n">
        <x:f>VLOOKUP(W46,Aggregate!AD:AL,9,FALSE())</x:f>
        <x:v>3.770851176</x:v>
      </x:c>
      <x:c r="AE46" s="2"/>
      <x:c r="AF46" s="2"/>
      <x:c r="AG46" s="2"/>
      <x:c r="AH46" s="2"/>
    </x:row>
    <x:row r="47" ht="14.25" customHeight="1">
      <x:c r="A47" s="2"/>
      <x:c r="B47" s="42" t="s">
        <x:v>81</x:v>
      </x:c>
      <x:c r="C47" s="42" t="s">
        <x:v>82</x:v>
      </x:c>
      <x:c r="D47" s="113" t="s">
        <x:v>83</x:v>
      </x:c>
      <x:c r="E47" s="113" t="s">
        <x:v>84</x:v>
      </x:c>
      <x:c r="F47" s="113" t="s">
        <x:v>85</x:v>
      </x:c>
      <x:c r="G47" s="113" t="s">
        <x:v>86</x:v>
      </x:c>
      <x:c r="H47" s="113" t="s">
        <x:v>87</x:v>
      </x:c>
      <x:c r="I47" s="42" t="s">
        <x:v>88</x:v>
      </x:c>
      <x:c r="J47" s="113"/>
      <x:c r="K47" s="65"/>
      <x:c r="L47" s="53" t="n">
        <x:f>IFERROR(VLOOKUP(DraftSheet!$M47,Aggregate!$P:$AA,11,FALSE()),"")</x:f>
        <x:v>7</x:v>
      </x:c>
      <x:c r="M47" s="55" t="str">
        <x:f>Aggregate!P45</x:f>
        <x:v>Woody Marks</x:v>
      </x:c>
      <x:c r="N47" s="55" t="str">
        <x:f>VLOOKUP(DraftSheet!$M47,Aggregate!P:AA,4,FALSE())</x:f>
        <x:v>HOU/8</x:v>
      </x:c>
      <x:c r="O47" s="53" t="n">
        <x:f>IFERROR(VLOOKUP(DraftSheet!$M47,Aggregate!$P:$AA,8,FALSE()),"")</x:f>
        <x:v>86.28327354</x:v>
      </x:c>
      <x:c r="P47" s="53" t="n">
        <x:f>IF(Scoring!$K$6="Auction",IFERROR(VLOOKUP(DraftSheet!$M47,Aggregate!$P:$AA,10,FALSE()),""),IFERROR(VLOOKUP(DraftSheet!$M47,Aggregate!$P:$AA,9,FALSE()),""))</x:f>
        <x:v>-43.71705558852942</x:v>
      </x:c>
      <x:c r="Q47" s="61" t="n">
        <x:f>SUMIFS($T48:T$84,$S48:S$84,"&lt;&gt;x",$S48:S$84,"&lt;&gt;o",$T48:T$84,"&gt;0")/Aggregate!$X$1</x:f>
        <x:v>0</x:v>
      </x:c>
      <x:c r="R47" s="53" t="n">
        <x:f t="array" ref="R47">IFERROR(INDEX(ECR!$K:$K,MATCH(DraftSheet!$M47,ECR!$C:$C,0)),"ND")</x:f>
        <x:v>130</x:v>
      </x:c>
      <x:c r="S47" s="62"/>
      <x:c r="T47" s="64" t="n">
        <x:f>VLOOKUP(M47,Aggregate!P:X,9,FALSE())</x:f>
        <x:v>-15.21676617</x:v>
      </x:c>
      <x:c r="U47" s="73"/>
      <x:c r="V47" s="53" t="n">
        <x:f>IFERROR(VLOOKUP(DraftSheet!$W47,Aggregate!$AD:$AO,11,FALSE()),"")</x:f>
        <x:v>5</x:v>
      </x:c>
      <x:c r="W47" s="55" t="str">
        <x:f>Aggregate!AD41</x:f>
        <x:v>Quentin Johnston</x:v>
      </x:c>
      <x:c r="X47" s="55" t="str">
        <x:f>VLOOKUP(DraftSheet!$W47,Aggregate!AD:AO,4,FALSE())</x:f>
        <x:v>LAC/7</x:v>
      </x:c>
      <x:c r="Y47" s="53" t="n">
        <x:f>IFERROR(VLOOKUP(DraftSheet!$W47,Aggregate!$AD:$AO,8,FALSE()),"")</x:f>
        <x:v>104.9689235</x:v>
      </x:c>
      <x:c r="Z47" s="53" t="n">
        <x:f>IF(Scoring!$K$6="Auction",IFERROR(VLOOKUP(DraftSheet!$W47,Aggregate!$AD:$AO,10,FALSE()),""),IFERROR(VLOOKUP(DraftSheet!$W47,Aggregate!$AD:$AO,9,FALSE()),""))</x:f>
        <x:v>2.7740117705882312</x:v>
      </x:c>
      <x:c r="AA47" s="61" t="n">
        <x:f>SUMIFS($AD48:AD$84,$AC48:AC$84,"&lt;&gt;x",$AC48:AC$84,"&lt;&gt;o",$AD48:AD$84,"&gt;0")/Aggregate!$AL$1</x:f>
        <x:v>0.004485021155849869</x:v>
      </x:c>
      <x:c r="AB47" s="53" t="n">
        <x:f t="array" ref="AB47">IFERROR(INDEX(ECR!$K:$K,MATCH(DraftSheet!$W47,ECR!$C:$C,0)),"ND")</x:f>
        <x:v>90</x:v>
      </x:c>
      <x:c r="AC47" s="62"/>
      <x:c r="AD47" s="64" t="n">
        <x:f>VLOOKUP(W47,Aggregate!AD:AL,9,FALSE())</x:f>
        <x:v>3.654547059</x:v>
      </x:c>
      <x:c r="AE47" s="2"/>
      <x:c r="AF47" s="2"/>
      <x:c r="AG47" s="2"/>
      <x:c r="AH47" s="2"/>
    </x:row>
    <x:row r="48" ht="14.25" customHeight="1">
      <x:c r="A48" s="2"/>
      <x:c r="B48" s="53" t="n">
        <x:f>IFERROR(VLOOKUP(DraftSheet!$C48,Aggregate!$AR:$BC,11,FALSE()),"")</x:f>
        <x:v>1</x:v>
      </x:c>
      <x:c r="C48" s="55" t="str">
        <x:f>Aggregate!AR3</x:f>
        <x:v>Brock Bowers</x:v>
      </x:c>
      <x:c r="D48" s="55" t="str">
        <x:f>VLOOKUP(DraftSheet!$C48,Aggregate!AR:BD,4,FALSE())</x:f>
        <x:v>LV/13</x:v>
      </x:c>
      <x:c r="E48" s="53" t="n">
        <x:f>IFERROR(VLOOKUP(DraftSheet!$C48,Aggregate!$AR:$BC,8,FALSE()),"")</x:f>
        <x:v>163.7618934</x:v>
      </x:c>
      <x:c r="F48" s="53" t="n">
        <x:f>IF(Scoring!$K$6="Auction",IFERROR(VLOOKUP($C48,Aggregate!$AR:$BC,10,FALSE()),""),IFERROR(VLOOKUP($C48,Aggregate!$AR:$BC,9,FALSE()),""))</x:f>
        <x:v>58.421435654411795</x:v>
      </x:c>
      <x:c r="G48" s="61" t="n">
        <x:f>SUMIFS($J49:J$84,$I49:I$84,"&lt;&gt;x",$I49:I$84,"&lt;&gt;o",$J49:J$84,"&gt;0")/Aggregate!$AZ$1</x:f>
        <x:v>0.7633559055017982</x:v>
      </x:c>
      <x:c r="H48" s="53" t="n">
        <x:f t="array" ref="H48">IFERROR(INDEX(ECR!$K:$K,MATCH(DraftSheet!$C48,ECR!$C:$C,0)),"ND")</x:f>
        <x:v>18</x:v>
      </x:c>
      <x:c r="I48" s="62"/>
      <x:c r="J48" s="64" t="n">
        <x:f>VLOOKUP(C48,Aggregate!AR:AZ,9,FALSE())</x:f>
        <x:v>58.43633493</x:v>
      </x:c>
      <x:c r="K48" s="65"/>
      <x:c r="L48" s="53" t="n">
        <x:f>IFERROR(VLOOKUP(DraftSheet!$M48,Aggregate!$P:$AA,11,FALSE()),"")</x:f>
        <x:v>7</x:v>
      </x:c>
      <x:c r="M48" s="55" t="str">
        <x:f>Aggregate!P47</x:f>
        <x:v>Tyjae Spears</x:v>
      </x:c>
      <x:c r="N48" s="55" t="str">
        <x:f>VLOOKUP(DraftSheet!$M48,Aggregate!P:AA,4,FALSE())</x:f>
        <x:v>TEN/9</x:v>
      </x:c>
      <x:c r="O48" s="53" t="n">
        <x:f>IFERROR(VLOOKUP(DraftSheet!$M48,Aggregate!$P:$AA,8,FALSE()),"")</x:f>
        <x:v>85.45328798</x:v>
      </x:c>
      <x:c r="P48" s="53" t="n">
        <x:f>IF(Scoring!$K$6="Auction",IFERROR(VLOOKUP(DraftSheet!$M48,Aggregate!$P:$AA,10,FALSE()),""),IFERROR(VLOOKUP(DraftSheet!$M48,Aggregate!$P:$AA,9,FALSE()),""))</x:f>
        <x:v>-44.54704114794117</x:v>
      </x:c>
      <x:c r="Q48" s="61" t="n">
        <x:f>SUMIFS($T49:T$84,$S49:S$84,"&lt;&gt;x",$S49:S$84,"&lt;&gt;o",$T49:T$84,"&gt;0")/Aggregate!$X$1</x:f>
        <x:v>0</x:v>
      </x:c>
      <x:c r="R48" s="53" t="n">
        <x:f t="array" ref="R48">IFERROR(INDEX(ECR!$K:$K,MATCH(DraftSheet!$M48,ECR!$C:$C,0)),"ND")</x:f>
        <x:v>136</x:v>
      </x:c>
      <x:c r="S48" s="62"/>
      <x:c r="T48" s="64" t="n">
        <x:f>VLOOKUP(M48,Aggregate!P:X,9,FALSE())</x:f>
        <x:v>-16.04675173</x:v>
      </x:c>
      <x:c r="U48" s="73"/>
      <x:c r="V48" s="53" t="n">
        <x:f>IFERROR(VLOOKUP(DraftSheet!$W48,Aggregate!$AD:$AO,11,FALSE()),"")</x:f>
        <x:v>5</x:v>
      </x:c>
      <x:c r="W48" s="55" t="str">
        <x:f>Aggregate!AD48</x:f>
        <x:v>Jakobi Meyers</x:v>
      </x:c>
      <x:c r="X48" s="55" t="str">
        <x:f>VLOOKUP(DraftSheet!$W48,Aggregate!AD:AO,4,FALSE())</x:f>
        <x:v>JAC/7</x:v>
      </x:c>
      <x:c r="Y48" s="53" t="n">
        <x:f>IFERROR(VLOOKUP(DraftSheet!$W48,Aggregate!$AD:$AO,8,FALSE()),"")</x:f>
        <x:v>104.5355294</x:v>
      </x:c>
      <x:c r="Z48" s="53" t="n">
        <x:f>IF(Scoring!$K$6="Auction",IFERROR(VLOOKUP(DraftSheet!$W48,Aggregate!$AD:$AO,10,FALSE()),""),IFERROR(VLOOKUP(DraftSheet!$W48,Aggregate!$AD:$AO,9,FALSE()),""))</x:f>
        <x:v>2.340617650000013</x:v>
      </x:c>
      <x:c r="AA48" s="61" t="n">
        <x:f>SUMIFS($AD49:AD$84,$AC49:AC$84,"&lt;&gt;x",$AC49:AC$84,"&lt;&gt;o",$AD49:AD$84,"&gt;0")/Aggregate!$AL$1</x:f>
        <x:v>0.0027917278905555615</x:v>
      </x:c>
      <x:c r="AB48" s="53" t="n">
        <x:f t="array" ref="AB48">IFERROR(INDEX(ECR!$K:$K,MATCH(DraftSheet!$W48,ECR!$C:$C,0)),"ND")</x:f>
        <x:v>113</x:v>
      </x:c>
      <x:c r="AC48" s="62"/>
      <x:c r="AD48" s="64" t="n">
        <x:f>VLOOKUP(W48,Aggregate!AD:AL,9,FALSE())</x:f>
        <x:v>3.221152941</x:v>
      </x:c>
      <x:c r="AE48" s="2"/>
      <x:c r="AF48" s="2"/>
      <x:c r="AG48" s="2"/>
      <x:c r="AH48" s="2"/>
    </x:row>
    <x:row r="49" ht="14.25" customHeight="1">
      <x:c r="A49" s="2"/>
      <x:c r="B49" s="53" t="n">
        <x:f>IFERROR(VLOOKUP(DraftSheet!$C49,Aggregate!$AR:$BC,11,FALSE()),"")</x:f>
        <x:v>1</x:v>
      </x:c>
      <x:c r="C49" s="55" t="str">
        <x:f>Aggregate!AR4</x:f>
        <x:v>Trey McBride</x:v>
      </x:c>
      <x:c r="D49" s="55" t="str">
        <x:f>VLOOKUP(DraftSheet!$C49,Aggregate!AR:BD,4,FALSE())</x:f>
        <x:v>ARI/14</x:v>
      </x:c>
      <x:c r="E49" s="53" t="n">
        <x:f>IFERROR(VLOOKUP($C49,Aggregate!$AR:$BC,8,FALSE()),"")</x:f>
        <x:v>162.1539676</x:v>
      </x:c>
      <x:c r="F49" s="53" t="n">
        <x:f>IF(Scoring!$K$6="Auction",IFERROR(VLOOKUP($C49,Aggregate!$AR:$BC,10,FALSE()),""),IFERROR(VLOOKUP($C49,Aggregate!$AR:$BC,9,FALSE()),""))</x:f>
        <x:v>56.83286551176471</x:v>
      </x:c>
      <x:c r="G49" s="61" t="n">
        <x:f>SUMIFS($J50:J$84,$I50:I$84,"&lt;&gt;x",$I50:I$84,"&lt;&gt;o",$J50:J$84,"&gt;0")/Aggregate!$AZ$1</x:f>
        <x:v>0.5365620920542205</x:v>
      </x:c>
      <x:c r="H49" s="53" t="n">
        <x:f t="array" ref="H49">IFERROR(INDEX(ECR!$K:$K,MATCH(DraftSheet!$C49,ECR!$C:$C,0)),"ND")</x:f>
        <x:v>25</x:v>
      </x:c>
      <x:c r="I49" s="62"/>
      <x:c r="J49" s="64" t="n">
        <x:f>VLOOKUP(C49,Aggregate!AR:AZ,9,FALSE())</x:f>
        <x:v>56.82840919</x:v>
      </x:c>
      <x:c r="K49" s="65"/>
      <x:c r="L49" s="53" t="n">
        <x:f>IFERROR(VLOOKUP(DraftSheet!$M49,Aggregate!$P:$AA,11,FALSE()),"")</x:f>
        <x:v>7</x:v>
      </x:c>
      <x:c r="M49" s="55" t="str">
        <x:f>Aggregate!P50</x:f>
        <x:v>Jonah Coleman</x:v>
      </x:c>
      <x:c r="N49" s="55" t="str">
        <x:f>VLOOKUP(DraftSheet!$M49,Aggregate!P:AA,4,FALSE())</x:f>
        <x:v>DEN/10</x:v>
      </x:c>
      <x:c r="O49" s="53" t="n">
        <x:f>IFERROR(VLOOKUP(DraftSheet!$M49,Aggregate!$P:$AA,8,FALSE()),"")</x:f>
        <x:v>84.13025688</x:v>
      </x:c>
      <x:c r="P49" s="53" t="n">
        <x:f>IF(Scoring!$K$6="Auction",IFERROR(VLOOKUP(DraftSheet!$M49,Aggregate!$P:$AA,10,FALSE()),""),IFERROR(VLOOKUP(DraftSheet!$M49,Aggregate!$P:$AA,9,FALSE()),""))</x:f>
        <x:v>-45.870072244264705</x:v>
      </x:c>
      <x:c r="Q49" s="61" t="n">
        <x:f>SUMIFS($T50:T$84,$S50:S$84,"&lt;&gt;x",$S50:S$84,"&lt;&gt;o",$T50:T$84,"&gt;0")/Aggregate!$X$1</x:f>
        <x:v>0</x:v>
      </x:c>
      <x:c r="R49" s="53" t="n">
        <x:f t="array" ref="R49">IFERROR(INDEX(ECR!$K:$K,MATCH(DraftSheet!$M49,ECR!$C:$C,0)),"ND")</x:f>
        <x:v>143</x:v>
      </x:c>
      <x:c r="S49" s="62"/>
      <x:c r="T49" s="64" t="n">
        <x:f>VLOOKUP(M49,Aggregate!P:X,9,FALSE())</x:f>
        <x:v>-17.36978283</x:v>
      </x:c>
      <x:c r="U49" s="73"/>
      <x:c r="V49" s="53" t="n">
        <x:f>IFERROR(VLOOKUP(DraftSheet!$W49,Aggregate!$AD:$AO,11,FALSE()),"")</x:f>
        <x:v>5</x:v>
      </x:c>
      <x:c r="W49" s="55" t="str">
        <x:f>Aggregate!AD46</x:f>
        <x:v>Jordan Addison</x:v>
      </x:c>
      <x:c r="X49" s="55" t="str">
        <x:f>VLOOKUP(DraftSheet!$W49,Aggregate!AD:AO,4,FALSE())</x:f>
        <x:v>MIN/6</x:v>
      </x:c>
      <x:c r="Y49" s="53" t="n">
        <x:f>IFERROR(VLOOKUP(DraftSheet!$W49,Aggregate!$AD:$AO,8,FALSE()),"")</x:f>
        <x:v>103.5135441</x:v>
      </x:c>
      <x:c r="Z49" s="53" t="n">
        <x:f>IF(Scoring!$K$6="Auction",IFERROR(VLOOKUP(DraftSheet!$W49,Aggregate!$AD:$AO,10,FALSE()),""),IFERROR(VLOOKUP(DraftSheet!$W49,Aggregate!$AD:$AO,9,FALSE()),""))</x:f>
        <x:v>1.3186323705882614</x:v>
      </x:c>
      <x:c r="AA49" s="61" t="n">
        <x:f>SUMIFS($AD50:AD$84,$AC50:AC$84,"&lt;&gt;x",$AC50:AC$84,"&lt;&gt;o",$AD50:AD$84,"&gt;0")/Aggregate!$AL$1</x:f>
        <x:v>0.0016356710891165794</x:v>
      </x:c>
      <x:c r="AB49" s="53" t="n">
        <x:f t="array" ref="AB49">IFERROR(INDEX(ECR!$K:$K,MATCH(DraftSheet!$W49,ECR!$C:$C,0)),"ND")</x:f>
        <x:v>106</x:v>
      </x:c>
      <x:c r="AC49" s="62"/>
      <x:c r="AD49" s="64" t="n">
        <x:f>VLOOKUP(W49,Aggregate!AD:AL,9,FALSE())</x:f>
        <x:v>2.199167647</x:v>
      </x:c>
      <x:c r="AE49" s="2"/>
      <x:c r="AF49" s="2"/>
      <x:c r="AG49" s="2"/>
      <x:c r="AH49" s="2"/>
    </x:row>
    <x:row r="50" ht="14.25" customHeight="1">
      <x:c r="A50" s="2"/>
      <x:c r="B50" s="53" t="n">
        <x:f>IFERROR(VLOOKUP(DraftSheet!$C50,Aggregate!$AR:$BC,11,FALSE()),"")</x:f>
        <x:v>2</x:v>
      </x:c>
      <x:c r="C50" s="55" t="str">
        <x:f>Aggregate!AR5</x:f>
        <x:v>Colston Loveland</x:v>
      </x:c>
      <x:c r="D50" s="55" t="str">
        <x:f>VLOOKUP(DraftSheet!$C50,Aggregate!AR:BD,4,FALSE())</x:f>
        <x:v>CHI/10</x:v>
      </x:c>
      <x:c r="E50" s="53" t="n">
        <x:f>IFERROR(VLOOKUP($C50,Aggregate!$AR:$BC,8,FALSE()),"")</x:f>
        <x:v>138.5244546</x:v>
      </x:c>
      <x:c r="F50" s="53" t="n">
        <x:f>IF(Scoring!$K$6="Auction",IFERROR(VLOOKUP($C50,Aggregate!$AR:$BC,10,FALSE()),""),IFERROR(VLOOKUP($C50,Aggregate!$AR:$BC,9,FALSE()),""))</x:f>
        <x:v>33.18263983529414</x:v>
      </x:c>
      <x:c r="G50" s="61" t="n">
        <x:f>SUMIFS($J51:J$84,$I51:I$84,"&lt;&gt;x",$I51:I$84,"&lt;&gt;o",$J51:J$84,"&gt;0")/Aggregate!$AZ$1</x:f>
        <x:v>0.40407018581058285</x:v>
      </x:c>
      <x:c r="H50" s="53" t="n">
        <x:f t="array" ref="H50">IFERROR(INDEX(ECR!$K:$K,MATCH(DraftSheet!$C50,ECR!$C:$C,0)),"ND")</x:f>
        <x:v>42</x:v>
      </x:c>
      <x:c r="I50" s="62"/>
      <x:c r="J50" s="64" t="n">
        <x:f>VLOOKUP(C50,Aggregate!AR:AZ,9,FALSE())</x:f>
        <x:v>33.19889616</x:v>
      </x:c>
      <x:c r="K50" s="65"/>
      <x:c r="L50" s="53" t="n">
        <x:f>IFERROR(VLOOKUP(DraftSheet!$M50,Aggregate!$P:$AA,11,FALSE()),"")</x:f>
        <x:v>8</x:v>
      </x:c>
      <x:c r="M50" s="55" t="str">
        <x:f>Aggregate!P51</x:f>
        <x:v>Zach Charbonnet</x:v>
      </x:c>
      <x:c r="N50" s="55" t="str">
        <x:f>VLOOKUP(DraftSheet!$M50,Aggregate!P:AA,4,FALSE())</x:f>
        <x:v>SEA/11</x:v>
      </x:c>
      <x:c r="O50" s="53" t="n">
        <x:f>IFERROR(VLOOKUP(DraftSheet!$M50,Aggregate!$P:$AA,8,FALSE()),"")</x:f>
        <x:v>81.24605176</x:v>
      </x:c>
      <x:c r="P50" s="53" t="n">
        <x:f>IF(Scoring!$K$6="Auction",IFERROR(VLOOKUP(DraftSheet!$M50,Aggregate!$P:$AA,10,FALSE()),""),IFERROR(VLOOKUP(DraftSheet!$M50,Aggregate!$P:$AA,9,FALSE()),""))</x:f>
        <x:v>-48.754277360294125</x:v>
      </x:c>
      <x:c r="Q50" s="61" t="n">
        <x:f>SUMIFS($T50:T$85,$S50:S$85,"&lt;&gt;x",$S50:S$85,"&lt;&gt;o",$T50:T$85,"&gt;0")/Aggregate!$X$1</x:f>
        <x:v>0</x:v>
      </x:c>
      <x:c r="R50" s="53" t="n">
        <x:f t="array" ref="R50">IFERROR(INDEX(ECR!$K:$K,MATCH(DraftSheet!$M50,ECR!$C:$C,0)),"ND")</x:f>
        <x:v>145</x:v>
      </x:c>
      <x:c r="S50" s="62"/>
      <x:c r="T50" s="64" t="n">
        <x:f>VLOOKUP(M50,Aggregate!P:X,9,FALSE())</x:f>
        <x:v>-20.25398794</x:v>
      </x:c>
      <x:c r="U50" s="73"/>
      <x:c r="V50" s="53" t="n">
        <x:f>IFERROR(VLOOKUP(DraftSheet!$W50,Aggregate!$AD:$AO,11,FALSE()),"")</x:f>
        <x:v>5</x:v>
      </x:c>
      <x:c r="W50" s="55" t="str">
        <x:f>Aggregate!AD58</x:f>
        <x:v>De'Zhaun Stribling</x:v>
      </x:c>
      <x:c r="X50" s="55" t="str">
        <x:f>VLOOKUP(DraftSheet!$W50,Aggregate!AD:AO,4,FALSE())</x:f>
        <x:v>SF/8</x:v>
      </x:c>
      <x:c r="Y50" s="53" t="n">
        <x:f>IFERROR(VLOOKUP(DraftSheet!$W50,Aggregate!$AD:$AO,8,FALSE()),"")</x:f>
        <x:v>103.4354029</x:v>
      </x:c>
      <x:c r="Z50" s="53" t="n">
        <x:f>IF(Scoring!$K$6="Auction",IFERROR(VLOOKUP(DraftSheet!$W50,Aggregate!$AD:$AO,10,FALSE()),""),IFERROR(VLOOKUP(DraftSheet!$W50,Aggregate!$AD:$AO,9,FALSE()),""))</x:f>
        <x:v>1.2404911839705903</x:v>
      </x:c>
      <x:c r="AA50" s="61" t="n">
        <x:f>SUMIFS($AD51:AD$84,$AC51:AC$84,"&lt;&gt;x",$AC51:AC$84,"&lt;&gt;o",$AD51:AD$84,"&gt;0")/Aggregate!$AL$1</x:f>
        <x:v>0.0005206914825474256</x:v>
      </x:c>
      <x:c r="AB50" s="53" t="n">
        <x:f t="array" ref="AB50">IFERROR(INDEX(ECR!$K:$K,MATCH(DraftSheet!$W50,ECR!$C:$C,0)),"ND")</x:f>
        <x:v>146</x:v>
      </x:c>
      <x:c r="AC50" s="62"/>
      <x:c r="AD50" s="64" t="n">
        <x:f>VLOOKUP(W50,Aggregate!AD:AL,9,FALSE())</x:f>
        <x:v>2.121026471</x:v>
      </x:c>
      <x:c r="AE50" s="2"/>
      <x:c r="AF50" s="2"/>
      <x:c r="AG50" s="2"/>
      <x:c r="AH50" s="2"/>
    </x:row>
    <x:row r="51" ht="14.25" customHeight="1">
      <x:c r="A51" s="2"/>
      <x:c r="B51" s="53" t="n">
        <x:f>IFERROR(VLOOKUP(DraftSheet!$C51,Aggregate!$AR:$BC,11,FALSE()),"")</x:f>
        <x:v>3</x:v>
      </x:c>
      <x:c r="C51" s="55" t="str">
        <x:f>Aggregate!AR6</x:f>
        <x:v>Tyler Warren</x:v>
      </x:c>
      <x:c r="D51" s="55" t="str">
        <x:f>VLOOKUP(DraftSheet!$C51,Aggregate!AR:BD,4,FALSE())</x:f>
        <x:v>IND/13</x:v>
      </x:c>
      <x:c r="E51" s="53" t="n">
        <x:f>IFERROR(VLOOKUP($C51,Aggregate!$AR:$BC,8,FALSE()),"")</x:f>
        <x:v>126.655045</x:v>
      </x:c>
      <x:c r="F51" s="53" t="n">
        <x:f>IF(Scoring!$K$6="Auction",IFERROR(VLOOKUP($C51,Aggregate!$AR:$BC,10,FALSE()),""),IFERROR(VLOOKUP($C51,Aggregate!$AR:$BC,9,FALSE()),""))</x:f>
        <x:v>21.372201388235297</x:v>
      </x:c>
      <x:c r="G51" s="61" t="n">
        <x:f>SUMIFS($J52:J$84,$I52:I$84,"&lt;&gt;x",$I52:I$84,"&lt;&gt;o",$J52:J$84,"&gt;0")/Aggregate!$AZ$1</x:f>
        <x:v>0.31894734566364086</x:v>
      </x:c>
      <x:c r="H51" s="53" t="n">
        <x:f t="array" ref="H51">IFERROR(INDEX(ECR!$K:$K,MATCH(DraftSheet!$C51,ECR!$C:$C,0)),"ND")</x:f>
        <x:v>53</x:v>
      </x:c>
      <x:c r="I51" s="62"/>
      <x:c r="J51" s="64" t="n">
        <x:f>VLOOKUP(C51,Aggregate!AR:AZ,9,FALSE())</x:f>
        <x:v>21.32948654</x:v>
      </x:c>
      <x:c r="K51" s="65"/>
      <x:c r="L51" s="53" t="n">
        <x:f>IFERROR(VLOOKUP(DraftSheet!$M51,Aggregate!$P:$AA,11,FALSE()),"")</x:f>
        <x:v>8</x:v>
      </x:c>
      <x:c r="M51" s="55" t="str">
        <x:f>Aggregate!P72</x:f>
        <x:v>Kaelon Black</x:v>
      </x:c>
      <x:c r="N51" s="55" t="str">
        <x:f>VLOOKUP(DraftSheet!$M51,Aggregate!P:AA,4,FALSE())</x:f>
        <x:v>SF/8</x:v>
      </x:c>
      <x:c r="O51" s="53" t="n">
        <x:f>IFERROR(VLOOKUP(DraftSheet!$M51,Aggregate!$P:$AA,8,FALSE()),"")</x:f>
        <x:v>81.23089708</x:v>
      </x:c>
      <x:c r="P51" s="53" t="n">
        <x:f>IF(Scoring!$K$6="Auction",IFERROR(VLOOKUP(DraftSheet!$M51,Aggregate!$P:$AA,10,FALSE()),""),IFERROR(VLOOKUP(DraftSheet!$M51,Aggregate!$P:$AA,9,FALSE()),""))</x:f>
        <x:v>-48.76943204426472</x:v>
      </x:c>
      <x:c r="Q51" s="61" t="n">
        <x:f>SUMIFS($T51:T$85,$S51:S$85,"&lt;&gt;x",$S51:S$85,"&lt;&gt;o",$T51:T$85,"&gt;0")/Aggregate!$X$1</x:f>
        <x:v>0</x:v>
      </x:c>
      <x:c r="R51" s="53" t="n">
        <x:f t="array" ref="R51">IFERROR(INDEX(ECR!$K:$K,MATCH(DraftSheet!$M51,ECR!$C:$C,0)),"ND")</x:f>
        <x:v>243</x:v>
      </x:c>
      <x:c r="S51" s="62"/>
      <x:c r="T51" s="64" t="n">
        <x:f>VLOOKUP(M51,Aggregate!P:X,9,FALSE())</x:f>
        <x:v>-20.26914263</x:v>
      </x:c>
      <x:c r="U51" s="73"/>
      <x:c r="V51" s="53" t="n">
        <x:f>IFERROR(VLOOKUP(DraftSheet!$W51,Aggregate!$AD:$AO,11,FALSE()),"")</x:f>
        <x:v>5</x:v>
      </x:c>
      <x:c r="W51" s="55" t="str">
        <x:f>Aggregate!AD44</x:f>
        <x:v>Wan'Dale Robinson</x:v>
      </x:c>
      <x:c r="X51" s="55" t="str">
        <x:f>VLOOKUP(DraftSheet!$W51,Aggregate!AD:AO,4,FALSE())</x:f>
        <x:v>TEN/9</x:v>
      </x:c>
      <x:c r="Y51" s="53" t="n">
        <x:f>IFERROR(VLOOKUP(DraftSheet!$W51,Aggregate!$AD:$AO,8,FALSE()),"")</x:f>
        <x:v>102.1949118</x:v>
      </x:c>
      <x:c r="Z51" s="53" t="n">
        <x:f>IF(Scoring!$K$6="Auction",IFERROR(VLOOKUP(DraftSheet!$W51,Aggregate!$AD:$AO,10,FALSE()),""),IFERROR(VLOOKUP(DraftSheet!$W51,Aggregate!$AD:$AO,9,FALSE()),""))</x:f>
        <x:v>0</x:v>
      </x:c>
      <x:c r="AA51" s="61" t="n">
        <x:f>SUMIFS($AD52:AD$84,$AC52:AC$84,"&lt;&gt;x",$AC52:AC$84,"&lt;&gt;o",$AD52:AD$84,"&gt;0")/Aggregate!$AL$1</x:f>
        <x:v>0.000057812348689660514</x:v>
      </x:c>
      <x:c r="AB51" s="53" t="n">
        <x:f t="array" ref="AB51">IFERROR(INDEX(ECR!$K:$K,MATCH(DraftSheet!$W51,ECR!$C:$C,0)),"ND")</x:f>
        <x:v>101</x:v>
      </x:c>
      <x:c r="AC51" s="62"/>
      <x:c r="AD51" s="64" t="n">
        <x:f>VLOOKUP(W51,Aggregate!AD:AL,9,FALSE())</x:f>
        <x:v>0.8805352941</x:v>
      </x:c>
      <x:c r="AE51" s="2"/>
      <x:c r="AF51" s="2"/>
      <x:c r="AG51" s="2"/>
      <x:c r="AH51" s="2"/>
    </x:row>
    <x:row r="52" ht="14.25" customHeight="1">
      <x:c r="A52" s="2"/>
      <x:c r="B52" s="53" t="n">
        <x:f>IFERROR(VLOOKUP(DraftSheet!$C52,Aggregate!$AR:$BC,11,FALSE()),"")</x:f>
        <x:v>3</x:v>
      </x:c>
      <x:c r="C52" s="55" t="str">
        <x:f>Aggregate!AR8</x:f>
        <x:v>Harold Fannin Jr.</x:v>
      </x:c>
      <x:c r="D52" s="55" t="str">
        <x:f>VLOOKUP(DraftSheet!$C52,Aggregate!AR:BD,4,FALSE())</x:f>
        <x:v>CLE/11</x:v>
      </x:c>
      <x:c r="E52" s="53" t="n">
        <x:f>IFERROR(VLOOKUP($C52,Aggregate!$AR:$BC,8,FALSE()),"")</x:f>
        <x:v>119.6735791</x:v>
      </x:c>
      <x:c r="F52" s="53" t="n">
        <x:f>IF(Scoring!$K$6="Auction",IFERROR(VLOOKUP($C52,Aggregate!$AR:$BC,10,FALSE()),""),IFERROR(VLOOKUP($C52,Aggregate!$AR:$BC,9,FALSE()),""))</x:f>
        <x:v>14.684487570588246</x:v>
      </x:c>
      <x:c r="G52" s="61" t="n">
        <x:f>SUMIFS($J53:J$84,$I53:I$84,"&lt;&gt;x",$I53:I$84,"&lt;&gt;o",$J53:J$84,"&gt;0")/Aggregate!$AZ$1</x:f>
        <x:v>0.26168650778654406</x:v>
      </x:c>
      <x:c r="H52" s="53" t="n">
        <x:f t="array" ref="H52">IFERROR(INDEX(ECR!$K:$K,MATCH(DraftSheet!$C52,ECR!$C:$C,0)),"ND")</x:f>
        <x:v>80</x:v>
      </x:c>
      <x:c r="I52" s="62"/>
      <x:c r="J52" s="64" t="n">
        <x:f>VLOOKUP(C52,Aggregate!AR:AZ,9,FALSE())</x:f>
        <x:v>14.34802068</x:v>
      </x:c>
      <x:c r="K52" s="65"/>
      <x:c r="L52" s="53" t="n">
        <x:f>IFERROR(VLOOKUP(DraftSheet!$M52,Aggregate!$P:$AA,11,FALSE()),"")</x:f>
        <x:v>8</x:v>
      </x:c>
      <x:c r="M52" s="55" t="str">
        <x:f>Aggregate!P44</x:f>
        <x:v>Chris Rodriguez Jr.</x:v>
      </x:c>
      <x:c r="N52" s="55" t="str">
        <x:f>VLOOKUP(DraftSheet!$M52,Aggregate!P:AA,4,FALSE())</x:f>
        <x:v>JAC/7</x:v>
      </x:c>
      <x:c r="O52" s="53" t="n">
        <x:f>IFERROR(VLOOKUP(DraftSheet!$M52,Aggregate!$P:$AA,8,FALSE()),"")</x:f>
        <x:v>78.3908891</x:v>
      </x:c>
      <x:c r="P52" s="53" t="n">
        <x:f>IF(Scoring!$K$6="Auction",IFERROR(VLOOKUP(DraftSheet!$M52,Aggregate!$P:$AA,10,FALSE()),""),IFERROR(VLOOKUP(DraftSheet!$M52,Aggregate!$P:$AA,9,FALSE()),""))</x:f>
        <x:v>-51.60944002191178</x:v>
      </x:c>
      <x:c r="Q52" s="61" t="n">
        <x:f>SUMIFS($T53:T$84,$S53:S$84,"&lt;&gt;x",$S53:S$84,"&lt;&gt;o",$T53:T$84,"&gt;0")/Aggregate!$X$1</x:f>
        <x:v>0</x:v>
      </x:c>
      <x:c r="R52" s="53" t="n">
        <x:f t="array" ref="R52">IFERROR(INDEX(ECR!$K:$K,MATCH(DraftSheet!$M52,ECR!$C:$C,0)),"ND")</x:f>
        <x:v>124</x:v>
      </x:c>
      <x:c r="S52" s="62"/>
      <x:c r="T52" s="64" t="n">
        <x:f>VLOOKUP(M52,Aggregate!P:X,9,FALSE())</x:f>
        <x:v>-23.1091506</x:v>
      </x:c>
      <x:c r="U52" s="73"/>
      <x:c r="V52" s="53" t="n">
        <x:f>IFERROR(VLOOKUP(DraftSheet!$W52,Aggregate!$AD:$AO,11,FALSE()),"")</x:f>
        <x:v>5</x:v>
      </x:c>
      <x:c r="W52" s="55" t="str">
        <x:f>Aggregate!AD51</x:f>
        <x:v>Xavier Worthy</x:v>
      </x:c>
      <x:c r="X52" s="55" t="str">
        <x:f>VLOOKUP(DraftSheet!$W52,Aggregate!AD:AO,4,FALSE())</x:f>
        <x:v>KC/5</x:v>
      </x:c>
      <x:c r="Y52" s="53" t="n">
        <x:f>IFERROR(VLOOKUP(DraftSheet!$W52,Aggregate!$AD:$AO,8,FALSE()),"")</x:f>
        <x:v>101.4243529</x:v>
      </x:c>
      <x:c r="Z52" s="53" t="n">
        <x:f>IF(Scoring!$K$6="Auction",IFERROR(VLOOKUP(DraftSheet!$W52,Aggregate!$AD:$AO,10,FALSE()),""),IFERROR(VLOOKUP(DraftSheet!$W52,Aggregate!$AD:$AO,9,FALSE()),""))</x:f>
        <x:v>-0.7705588132352972</x:v>
      </x:c>
      <x:c r="AA52" s="61" t="n">
        <x:f>SUMIFS(AD$64:$AD73,AC$64:$AC73,"&lt;&gt;x",AC$64:$AC73,"&lt;&gt;o",AD$64:$AD73,"&gt;0")/Aggregate!$AL$1</x:f>
        <x:v>0</x:v>
      </x:c>
      <x:c r="AB52" s="53" t="n">
        <x:f t="array" ref="AB52">IFERROR(INDEX(ECR!$K:$K,MATCH(DraftSheet!$W52,ECR!$C:$C,0)),"ND")</x:f>
        <x:v>126</x:v>
      </x:c>
      <x:c r="AC52" s="62"/>
      <x:c r="AD52" s="64" t="n">
        <x:f>VLOOKUP(W52,Aggregate!AD:AL,9,FALSE())</x:f>
        <x:v>0.1099764706</x:v>
      </x:c>
      <x:c r="AE52" s="2"/>
      <x:c r="AF52" s="2"/>
      <x:c r="AG52" s="2"/>
      <x:c r="AH52" s="2"/>
    </x:row>
    <x:row r="53" ht="14.25" customHeight="1">
      <x:c r="A53" s="2"/>
      <x:c r="B53" s="53" t="n">
        <x:f>IFERROR(VLOOKUP(DraftSheet!$C53,Aggregate!$AR:$BC,11,FALSE()),"")</x:f>
        <x:v>3</x:v>
      </x:c>
      <x:c r="C53" s="55" t="str">
        <x:f>Aggregate!AR7</x:f>
        <x:v>Tucker Kraft</x:v>
      </x:c>
      <x:c r="D53" s="55" t="str">
        <x:f>VLOOKUP(DraftSheet!$C53,Aggregate!AR:BD,4,FALSE())</x:f>
        <x:v>GB/11</x:v>
      </x:c>
      <x:c r="E53" s="53" t="n">
        <x:f>IFERROR(VLOOKUP($C53,Aggregate!$AR:$BC,8,FALSE()),"")</x:f>
        <x:v>119.1722723</x:v>
      </x:c>
      <x:c r="F53" s="53" t="n">
        <x:f>IF(Scoring!$K$6="Auction",IFERROR(VLOOKUP($C53,Aggregate!$AR:$BC,10,FALSE()),""),IFERROR(VLOOKUP($C53,Aggregate!$AR:$BC,9,FALSE()),""))</x:f>
        <x:v>13.849091748529432</x:v>
      </x:c>
      <x:c r="G53" s="61" t="n">
        <x:f>SUMIFS($J54:J$84,$I54:I$84,"&lt;&gt;x",$I54:I$84,"&lt;&gt;o",$J54:J$84,"&gt;0")/Aggregate!$AZ$1</x:f>
        <x:v>0.20642631177339094</x:v>
      </x:c>
      <x:c r="H53" s="53" t="n">
        <x:f t="array" ref="H53">IFERROR(INDEX(ECR!$K:$K,MATCH(DraftSheet!$C53,ECR!$C:$C,0)),"ND")</x:f>
        <x:v>69</x:v>
      </x:c>
      <x:c r="I53" s="62"/>
      <x:c r="J53" s="64" t="n">
        <x:f>VLOOKUP(C53,Aggregate!AR:AZ,9,FALSE())</x:f>
        <x:v>13.84671382</x:v>
      </x:c>
      <x:c r="K53" s="65"/>
      <x:c r="L53" s="53" t="n">
        <x:f>IFERROR(VLOOKUP(DraftSheet!$M53,Aggregate!$P:$AA,11,FALSE()),"")</x:f>
        <x:v>8</x:v>
      </x:c>
      <x:c r="M53" s="55" t="str">
        <x:f>Aggregate!P54</x:f>
        <x:v>Alvin Kamara</x:v>
      </x:c>
      <x:c r="N53" s="55" t="str">
        <x:f>VLOOKUP(DraftSheet!$M53,Aggregate!P:AA,4,FALSE())</x:f>
        <x:v>NO/8</x:v>
      </x:c>
      <x:c r="O53" s="53" t="n">
        <x:f>IFERROR(VLOOKUP(DraftSheet!$M53,Aggregate!$P:$AA,8,FALSE()),"")</x:f>
        <x:v>76.09293882</x:v>
      </x:c>
      <x:c r="P53" s="53" t="n">
        <x:f>IF(Scoring!$K$6="Auction",IFERROR(VLOOKUP(DraftSheet!$M53,Aggregate!$P:$AA,10,FALSE()),""),IFERROR(VLOOKUP(DraftSheet!$M53,Aggregate!$P:$AA,9,FALSE()),""))</x:f>
        <x:v>-53.907390300882355</x:v>
      </x:c>
      <x:c r="Q53" s="61" t="n">
        <x:f>SUMIFS($T54:T$84,$S54:S$84,"&lt;&gt;x",$S54:S$84,"&lt;&gt;o",$T54:T$84,"&gt;0")/Aggregate!$X$1</x:f>
        <x:v>0</x:v>
      </x:c>
      <x:c r="R53" s="53" t="n">
        <x:f t="array" ref="R53">IFERROR(INDEX(ECR!$K:$K,MATCH(DraftSheet!$M53,ECR!$C:$C,0)),"ND")</x:f>
        <x:v>151</x:v>
      </x:c>
      <x:c r="S53" s="62"/>
      <x:c r="T53" s="64" t="n">
        <x:f>VLOOKUP(M53,Aggregate!P:X,9,FALSE())</x:f>
        <x:v>-25.40710088</x:v>
      </x:c>
      <x:c r="U53" s="73"/>
      <x:c r="V53" s="53" t="n">
        <x:f>IFERROR(VLOOKUP(DraftSheet!$W53,Aggregate!$AD:$AO,11,FALSE()),"")</x:f>
        <x:v>5</x:v>
      </x:c>
      <x:c r="W53" s="55" t="str">
        <x:f>Aggregate!AD61</x:f>
        <x:v>Denzel Boston</x:v>
      </x:c>
      <x:c r="X53" s="55" t="str">
        <x:f>VLOOKUP(DraftSheet!$W53,Aggregate!AD:AO,4,FALSE())</x:f>
        <x:v>CLE/11</x:v>
      </x:c>
      <x:c r="Y53" s="53" t="n">
        <x:f>IFERROR(VLOOKUP(DraftSheet!$W53,Aggregate!$AD:$AO,8,FALSE()),"")</x:f>
        <x:v>101.3143765</x:v>
      </x:c>
      <x:c r="Z53" s="53" t="n">
        <x:f>IF(Scoring!$K$6="Auction",IFERROR(VLOOKUP(DraftSheet!$W53,Aggregate!$AD:$AO,10,FALSE()),""),IFERROR(VLOOKUP(DraftSheet!$W53,Aggregate!$AD:$AO,9,FALSE()),""))</x:f>
        <x:v>-0.8805352861764675</x:v>
      </x:c>
      <x:c r="AA53" s="61" t="n">
        <x:f>SUMIFS($AD54:AD$84,$AC54:AC$84,"&lt;&gt;x",$AC54:AC$84,"&lt;&gt;o",$AD54:AD$84,"&gt;0")/Aggregate!$AL$1</x:f>
        <x:v>0</x:v>
      </x:c>
      <x:c r="AB53" s="53" t="n">
        <x:f t="array" ref="AB53">IFERROR(INDEX(ECR!$K:$K,MATCH(DraftSheet!$W53,ECR!$C:$C,0)),"ND")</x:f>
        <x:v>161</x:v>
      </x:c>
      <x:c r="AC53" s="62"/>
      <x:c r="AD53" s="64" t="n">
        <x:f>VLOOKUP(W53,Aggregate!AD:AL,9,FALSE())</x:f>
        <x:v>0</x:v>
      </x:c>
      <x:c r="AE53" s="2"/>
      <x:c r="AF53" s="2"/>
      <x:c r="AG53" s="2"/>
      <x:c r="AH53" s="2"/>
    </x:row>
    <x:row r="54" ht="14.25" customHeight="1">
      <x:c r="A54" s="2"/>
      <x:c r="B54" s="53" t="n">
        <x:f>IFERROR(VLOOKUP(DraftSheet!$C54,Aggregate!$AR:$BC,11,FALSE()),"")</x:f>
        <x:v>3</x:v>
      </x:c>
      <x:c r="C54" s="55" t="str">
        <x:f>Aggregate!AR9</x:f>
        <x:v>Sam LaPorta</x:v>
      </x:c>
      <x:c r="D54" s="55" t="str">
        <x:f>VLOOKUP(DraftSheet!$C54,Aggregate!AR:BD,4,FALSE())</x:f>
        <x:v>DET/6</x:v>
      </x:c>
      <x:c r="E54" s="53" t="n">
        <x:f>IFERROR(VLOOKUP($C54,Aggregate!$AR:$BC,8,FALSE()),"")</x:f>
        <x:v>117.4143049</x:v>
      </x:c>
      <x:c r="F54" s="53" t="n">
        <x:f>IF(Scoring!$K$6="Auction",IFERROR(VLOOKUP($C54,Aggregate!$AR:$BC,10,FALSE()),""),IFERROR(VLOOKUP($C54,Aggregate!$AR:$BC,9,FALSE()),""))</x:f>
        <x:v>12.070453601470604</x:v>
      </x:c>
      <x:c r="G54" s="61" t="n">
        <x:f>SUMIFS($J55:J$84,$I55:I$84,"&lt;&gt;x",$I55:I$84,"&lt;&gt;o",$J55:J$84,"&gt;0")/Aggregate!$AZ$1</x:f>
        <x:v>0.15818190484378328</x:v>
      </x:c>
      <x:c r="H54" s="53" t="n">
        <x:f t="array" ref="H54">IFERROR(INDEX(ECR!$K:$K,MATCH(DraftSheet!$C54,ECR!$C:$C,0)),"ND")</x:f>
        <x:v>81</x:v>
      </x:c>
      <x:c r="I54" s="62"/>
      <x:c r="J54" s="64" t="n">
        <x:f>VLOOKUP(C54,Aggregate!AR:AZ,9,FALSE())</x:f>
        <x:v>12.08874641</x:v>
      </x:c>
      <x:c r="K54" s="65"/>
      <x:c r="L54" s="53" t="n">
        <x:f>IFERROR(VLOOKUP(DraftSheet!$M54,Aggregate!$P:$AA,11,FALSE()),"")</x:f>
        <x:v>8</x:v>
      </x:c>
      <x:c r="M54" s="55" t="str">
        <x:f>Aggregate!P55</x:f>
        <x:v>Isiah Pacheco</x:v>
      </x:c>
      <x:c r="N54" s="55" t="str">
        <x:f>VLOOKUP(DraftSheet!$M54,Aggregate!P:AA,4,FALSE())</x:f>
        <x:v>DET/6</x:v>
      </x:c>
      <x:c r="O54" s="53" t="n">
        <x:f>IFERROR(VLOOKUP(DraftSheet!$M54,Aggregate!$P:$AA,8,FALSE()),"")</x:f>
        <x:v>75.36102588</x:v>
      </x:c>
      <x:c r="P54" s="53" t="n">
        <x:f>IF(Scoring!$K$6="Auction",IFERROR(VLOOKUP(DraftSheet!$M54,Aggregate!$P:$AA,10,FALSE()),""),IFERROR(VLOOKUP(DraftSheet!$M54,Aggregate!$P:$AA,9,FALSE()),""))</x:f>
        <x:v>-54.63930324294118</x:v>
      </x:c>
      <x:c r="Q54" s="61" t="n">
        <x:f>SUMIFS($T55:T$84,$S55:S$84,"&lt;&gt;x",$S55:S$84,"&lt;&gt;o",$T55:T$84,"&gt;0")/Aggregate!$X$1</x:f>
        <x:v>0</x:v>
      </x:c>
      <x:c r="R54" s="53" t="n">
        <x:f t="array" ref="R54">IFERROR(INDEX(ECR!$K:$K,MATCH(DraftSheet!$M54,ECR!$C:$C,0)),"ND")</x:f>
        <x:v>152</x:v>
      </x:c>
      <x:c r="S54" s="62"/>
      <x:c r="T54" s="64" t="n">
        <x:f>VLOOKUP(M54,Aggregate!P:X,9,FALSE())</x:f>
        <x:v>-26.13901382</x:v>
      </x:c>
      <x:c r="U54" s="73"/>
      <x:c r="V54" s="53" t="n">
        <x:f>IFERROR(VLOOKUP(DraftSheet!$W54,Aggregate!$AD:$AO,11,FALSE()),"")</x:f>
        <x:v>6</x:v>
      </x:c>
      <x:c r="W54" s="55" t="str">
        <x:f>Aggregate!AD57</x:f>
        <x:v>Deebo Samuel Sr.</x:v>
      </x:c>
      <x:c r="X54" s="55" t="str">
        <x:f>VLOOKUP(DraftSheet!$W54,Aggregate!AD:AO,4,FALSE())</x:f>
        <x:v>SF/8</x:v>
      </x:c>
      <x:c r="Y54" s="53" t="n">
        <x:f>IFERROR(VLOOKUP(DraftSheet!$W54,Aggregate!$AD:$AO,8,FALSE()),"")</x:f>
        <x:v>99.58297059</x:v>
      </x:c>
      <x:c r="Z54" s="53" t="n">
        <x:f>IF(Scoring!$K$6="Auction",IFERROR(VLOOKUP(DraftSheet!$W54,Aggregate!$AD:$AO,10,FALSE()),""),IFERROR(VLOOKUP(DraftSheet!$W54,Aggregate!$AD:$AO,9,FALSE()),""))</x:f>
        <x:v>-2.6119411680882365</x:v>
      </x:c>
      <x:c r="AA54" s="61" t="n">
        <x:f>SUMIFS($AD55:AD$84,$AC55:AC$84,"&lt;&gt;x",$AC55:AC$84,"&lt;&gt;o",$AD55:AD$84,"&gt;0")/Aggregate!$AL$1</x:f>
        <x:v>0</x:v>
      </x:c>
      <x:c r="AB54" s="53" t="n">
        <x:f t="array" ref="AB54">IFERROR(INDEX(ECR!$K:$K,MATCH(DraftSheet!$W54,ECR!$C:$C,0)),"ND")</x:f>
        <x:v>138</x:v>
      </x:c>
      <x:c r="AC54" s="62"/>
      <x:c r="AD54" s="64" t="n">
        <x:f>VLOOKUP(W54,Aggregate!AD:AL,9,FALSE())</x:f>
        <x:v>-1.731405882</x:v>
      </x:c>
      <x:c r="AE54" s="2"/>
      <x:c r="AF54" s="2"/>
      <x:c r="AG54" s="2"/>
      <x:c r="AH54" s="2"/>
    </x:row>
    <x:row r="55" ht="14.25" customHeight="1">
      <x:c r="A55" s="2"/>
      <x:c r="B55" s="53" t="n">
        <x:f>IFERROR(VLOOKUP(DraftSheet!$C55,Aggregate!$AR:$BC,11,FALSE()),"")</x:f>
        <x:v>3</x:v>
      </x:c>
      <x:c r="C55" s="55" t="str">
        <x:f>Aggregate!AR10</x:f>
        <x:v>Kyle Pitts Sr.</x:v>
      </x:c>
      <x:c r="D55" s="55" t="str">
        <x:f>VLOOKUP(DraftSheet!$C55,Aggregate!AR:BD,4,FALSE())</x:f>
        <x:v>ATL/11</x:v>
      </x:c>
      <x:c r="E55" s="53" t="n">
        <x:f>IFERROR(VLOOKUP($C55,Aggregate!$AR:$BC,8,FALSE()),"")</x:f>
        <x:v>117.1141028</x:v>
      </x:c>
      <x:c r="F55" s="53" t="n">
        <x:f>IF(Scoring!$K$6="Auction",IFERROR(VLOOKUP($C55,Aggregate!$AR:$BC,10,FALSE()),""),IFERROR(VLOOKUP($C55,Aggregate!$AR:$BC,9,FALSE()),""))</x:f>
        <x:v>11.73077713235294</x:v>
      </x:c>
      <x:c r="G55" s="61" t="n">
        <x:f>SUMIFS($J56:J$84,$I56:I$84,"&lt;&gt;x",$I56:I$84,"&lt;&gt;o",$J56:J$84,"&gt;0")/Aggregate!$AZ$1</x:f>
        <x:v>0.11113556017265841</x:v>
      </x:c>
      <x:c r="H55" s="53" t="n">
        <x:f t="array" ref="H55">IFERROR(INDEX(ECR!$K:$K,MATCH(DraftSheet!$C55,ECR!$C:$C,0)),"ND")</x:f>
        <x:v>84</x:v>
      </x:c>
      <x:c r="I55" s="62"/>
      <x:c r="J55" s="64" t="n">
        <x:f>VLOOKUP(C55,Aggregate!AR:AZ,9,FALSE())</x:f>
        <x:v>11.78854434</x:v>
      </x:c>
      <x:c r="K55" s="65"/>
      <x:c r="L55" s="53" t="n">
        <x:f>IFERROR(VLOOKUP(DraftSheet!$M55,Aggregate!$P:$AA,11,FALSE()),"")</x:f>
        <x:v>8</x:v>
      </x:c>
      <x:c r="M55" s="55" t="str">
        <x:f>Aggregate!P46</x:f>
        <x:v>Tyler Allgeier</x:v>
      </x:c>
      <x:c r="N55" s="55" t="str">
        <x:f>VLOOKUP(DraftSheet!$M55,Aggregate!P:AA,4,FALSE())</x:f>
        <x:v>ARI/14</x:v>
      </x:c>
      <x:c r="O55" s="53" t="n">
        <x:f>IFERROR(VLOOKUP(DraftSheet!$M55,Aggregate!$P:$AA,8,FALSE()),"")</x:f>
        <x:v>71.66616588</x:v>
      </x:c>
      <x:c r="P55" s="53" t="n">
        <x:f>IF(Scoring!$K$6="Auction",IFERROR(VLOOKUP(DraftSheet!$M55,Aggregate!$P:$AA,10,FALSE()),""),IFERROR(VLOOKUP(DraftSheet!$M55,Aggregate!$P:$AA,9,FALSE()),""))</x:f>
        <x:v>-58.33416324250001</x:v>
      </x:c>
      <x:c r="Q55" s="61" t="n">
        <x:f>SUMIFS($T56:T$84,$S56:S$84,"&lt;&gt;x",$S56:S$84,"&lt;&gt;o",$T56:T$84,"&gt;0")/Aggregate!$X$1</x:f>
        <x:v>0</x:v>
      </x:c>
      <x:c r="R55" s="53" t="n">
        <x:f t="array" ref="R55">IFERROR(INDEX(ECR!$K:$K,MATCH(DraftSheet!$M55,ECR!$C:$C,0)),"ND")</x:f>
        <x:v>131</x:v>
      </x:c>
      <x:c r="S55" s="62"/>
      <x:c r="T55" s="64" t="n">
        <x:f>VLOOKUP(M55,Aggregate!P:X,9,FALSE())</x:f>
        <x:v>-29.83387382</x:v>
      </x:c>
      <x:c r="U55" s="73"/>
      <x:c r="V55" s="53" t="n">
        <x:f>IFERROR(VLOOKUP(DraftSheet!$W55,Aggregate!$AD:$AO,11,FALSE()),"")</x:f>
        <x:v>6</x:v>
      </x:c>
      <x:c r="W55" s="55" t="str">
        <x:f>Aggregate!AD45</x:f>
        <x:v>Stefon Diggs</x:v>
      </x:c>
      <x:c r="X55" s="55" t="str">
        <x:f>VLOOKUP(DraftSheet!$W55,Aggregate!AD:AO,4,FALSE())</x:f>
        <x:v>WAS/7</x:v>
      </x:c>
      <x:c r="Y55" s="53" t="n">
        <x:f>IFERROR(VLOOKUP(DraftSheet!$W55,Aggregate!$AD:$AO,8,FALSE()),"")</x:f>
        <x:v>98.34211765</x:v>
      </x:c>
      <x:c r="Z55" s="53" t="n">
        <x:f>IF(Scoring!$K$6="Auction",IFERROR(VLOOKUP(DraftSheet!$W55,Aggregate!$AD:$AO,10,FALSE()),""),IFERROR(VLOOKUP(DraftSheet!$W55,Aggregate!$AD:$AO,9,FALSE()),""))</x:f>
        <x:v>-3.8527941191176325</x:v>
      </x:c>
      <x:c r="AA55" s="61" t="n">
        <x:f>SUMIFS($AD56:AD$84,$AC56:AC$84,"&lt;&gt;x",$AC56:AC$84,"&lt;&gt;o",$AD56:AD$84,"&gt;0")/Aggregate!$AL$1</x:f>
        <x:v>0</x:v>
      </x:c>
      <x:c r="AB55" s="53" t="n">
        <x:f t="array" ref="AB55">IFERROR(INDEX(ECR!$K:$K,MATCH(DraftSheet!$W55,ECR!$C:$C,0)),"ND")</x:f>
        <x:v>102</x:v>
      </x:c>
      <x:c r="AC55" s="62"/>
      <x:c r="AD55" s="64" t="n">
        <x:f>VLOOKUP(W55,Aggregate!AD:AL,9,FALSE())</x:f>
        <x:v>-2.972258824</x:v>
      </x:c>
      <x:c r="AE55" s="2"/>
      <x:c r="AF55" s="2"/>
      <x:c r="AG55" s="2"/>
      <x:c r="AH55" s="2"/>
    </x:row>
    <x:row r="56" ht="14.25" customHeight="1">
      <x:c r="A56" s="2"/>
      <x:c r="B56" s="53" t="n">
        <x:f>IFERROR(VLOOKUP(DraftSheet!$C56,Aggregate!$AR:$BC,11,FALSE()),"")</x:f>
        <x:v>3</x:v>
      </x:c>
      <x:c r="C56" s="55" t="str">
        <x:f>Aggregate!AR11</x:f>
        <x:v>George Kittle</x:v>
      </x:c>
      <x:c r="D56" s="55" t="str">
        <x:f>VLOOKUP(DraftSheet!$C56,Aggregate!AR:BD,4,FALSE())</x:f>
        <x:v>SF/8</x:v>
      </x:c>
      <x:c r="E56" s="53" t="n">
        <x:f>IFERROR(VLOOKUP($C56,Aggregate!$AR:$BC,8,FALSE()),"")</x:f>
        <x:v>115.8807647</x:v>
      </x:c>
      <x:c r="F56" s="53" t="n">
        <x:f>IF(Scoring!$K$6="Auction",IFERROR(VLOOKUP($C56,Aggregate!$AR:$BC,10,FALSE()),""),IFERROR(VLOOKUP($C56,Aggregate!$AR:$BC,9,FALSE()),""))</x:f>
        <x:v>10.516732677941192</x:v>
      </x:c>
      <x:c r="G56" s="61" t="n">
        <x:f>SUMIFS($J57:J$84,$I57:I$84,"&lt;&gt;x",$I57:I$84,"&lt;&gt;o",$J57:J$84,"&gt;0")/Aggregate!$AZ$1</x:f>
        <x:v>0.06901128633708825</x:v>
      </x:c>
      <x:c r="H56" s="53" t="n">
        <x:f t="array" ref="H56">IFERROR(INDEX(ECR!$K:$K,MATCH(DraftSheet!$C56,ECR!$C:$C,0)),"ND")</x:f>
        <x:v>95</x:v>
      </x:c>
      <x:c r="I56" s="62"/>
      <x:c r="J56" s="64" t="n">
        <x:f>VLOOKUP(C56,Aggregate!AR:AZ,9,FALSE())</x:f>
        <x:v>10.55520622</x:v>
      </x:c>
      <x:c r="K56" s="65"/>
      <x:c r="L56" s="53" t="n">
        <x:f>IFERROR(VLOOKUP(DraftSheet!$M56,Aggregate!$P:$AA,11,FALSE()),"")</x:f>
        <x:v>8</x:v>
      </x:c>
      <x:c r="M56" s="55" t="str">
        <x:f>Aggregate!P52</x:f>
        <x:v>Dylan Sampson</x:v>
      </x:c>
      <x:c r="N56" s="55" t="str">
        <x:f>VLOOKUP(DraftSheet!$M56,Aggregate!P:AA,4,FALSE())</x:f>
        <x:v>CLE/11</x:v>
      </x:c>
      <x:c r="O56" s="53" t="n">
        <x:f>IFERROR(VLOOKUP(DraftSheet!$M56,Aggregate!$P:$AA,8,FALSE()),"")</x:f>
        <x:v>69.55216353</x:v>
      </x:c>
      <x:c r="P56" s="53" t="n">
        <x:f>IF(Scoring!$K$6="Auction",IFERROR(VLOOKUP(DraftSheet!$M56,Aggregate!$P:$AA,10,FALSE()),""),IFERROR(VLOOKUP(DraftSheet!$M56,Aggregate!$P:$AA,9,FALSE()),""))</x:f>
        <x:v>-60.448165596323534</x:v>
      </x:c>
      <x:c r="Q56" s="61" t="n">
        <x:f>SUMIFS($T57:T$84,$S57:S$84,"&lt;&gt;x",$S57:S$84,"&lt;&gt;o",$T57:T$84,"&gt;0")/Aggregate!$X$1</x:f>
        <x:v>0</x:v>
      </x:c>
      <x:c r="R56" s="53" t="n">
        <x:f t="array" ref="R56">IFERROR(INDEX(ECR!$K:$K,MATCH(DraftSheet!$M56,ECR!$C:$C,0)),"ND")</x:f>
        <x:v>148</x:v>
      </x:c>
      <x:c r="S56" s="62"/>
      <x:c r="T56" s="64" t="n">
        <x:f>VLOOKUP(M56,Aggregate!P:X,9,FALSE())</x:f>
        <x:v>-31.94787618</x:v>
      </x:c>
      <x:c r="U56" s="73"/>
      <x:c r="V56" s="53" t="n">
        <x:f>IFERROR(VLOOKUP(DraftSheet!$W56,Aggregate!$AD:$AO,11,FALSE()),"")</x:f>
        <x:v>6</x:v>
      </x:c>
      <x:c r="W56" s="55" t="str">
        <x:f>Aggregate!AD53</x:f>
        <x:v>Matthew Golden</x:v>
      </x:c>
      <x:c r="X56" s="55" t="str">
        <x:f>VLOOKUP(DraftSheet!$W56,Aggregate!AD:AO,4,FALSE())</x:f>
        <x:v>GB/11</x:v>
      </x:c>
      <x:c r="Y56" s="53" t="n">
        <x:f>IFERROR(VLOOKUP(DraftSheet!$W56,Aggregate!$AD:$AO,8,FALSE()),"")</x:f>
        <x:v>98.09973529</x:v>
      </x:c>
      <x:c r="Z56" s="53" t="n">
        <x:f>IF(Scoring!$K$6="Auction",IFERROR(VLOOKUP(DraftSheet!$W56,Aggregate!$AD:$AO,10,FALSE()),""),IFERROR(VLOOKUP(DraftSheet!$W56,Aggregate!$AD:$AO,9,FALSE()),""))</x:f>
        <x:v>-4.0951764627941145</x:v>
      </x:c>
      <x:c r="AA56" s="61" t="n">
        <x:f>SUMIFS($AD57:AD$84,$AC57:AC$84,"&lt;&gt;x",$AC57:AC$84,"&lt;&gt;o",$AD57:AD$84,"&gt;0")/Aggregate!$AL$1</x:f>
        <x:v>0</x:v>
      </x:c>
      <x:c r="AB56" s="53" t="n">
        <x:f t="array" ref="AB56">IFERROR(INDEX(ECR!$K:$K,MATCH(DraftSheet!$W56,ECR!$C:$C,0)),"ND")</x:f>
        <x:v>129</x:v>
      </x:c>
      <x:c r="AC56" s="62"/>
      <x:c r="AD56" s="64" t="n">
        <x:f>VLOOKUP(W56,Aggregate!AD:AL,9,FALSE())</x:f>
        <x:v>-3.214641176</x:v>
      </x:c>
      <x:c r="AE56" s="2"/>
      <x:c r="AF56" s="2"/>
      <x:c r="AG56" s="2"/>
      <x:c r="AH56" s="2"/>
    </x:row>
    <x:row r="57" ht="14.25" customHeight="1">
      <x:c r="A57" s="2"/>
      <x:c r="B57" s="53" t="n">
        <x:f>IFERROR(VLOOKUP(DraftSheet!$C57,Aggregate!$AR:$BC,11,FALSE()),"")</x:f>
        <x:v>4</x:v>
      </x:c>
      <x:c r="C57" s="55" t="str">
        <x:f>Aggregate!AR12</x:f>
        <x:v>Travis Kelce</x:v>
      </x:c>
      <x:c r="D57" s="55" t="str">
        <x:f>VLOOKUP(DraftSheet!$C57,Aggregate!AR:BD,4,FALSE())</x:f>
        <x:v>KC/5</x:v>
      </x:c>
      <x:c r="E57" s="53" t="n">
        <x:f>IFERROR(VLOOKUP($C57,Aggregate!$AR:$BC,8,FALSE()),"")</x:f>
        <x:v>113.7293426</x:v>
      </x:c>
      <x:c r="F57" s="53" t="n">
        <x:f>IF(Scoring!$K$6="Auction",IFERROR(VLOOKUP($C57,Aggregate!$AR:$BC,10,FALSE()),""),IFERROR(VLOOKUP($C57,Aggregate!$AR:$BC,9,FALSE()),""))</x:f>
        <x:v>8.423474600000006</x:v>
      </x:c>
      <x:c r="G57" s="61" t="n">
        <x:f>SUMIFS($J58:J$84,$I58:I$84,"&lt;&gt;x",$I58:I$84,"&lt;&gt;o",$J58:J$84,"&gt;0")/Aggregate!$AZ$1</x:f>
        <x:v>0.03547302115148249</x:v>
      </x:c>
      <x:c r="H57" s="53" t="n">
        <x:f t="array" ref="H57">IFERROR(INDEX(ECR!$K:$K,MATCH(DraftSheet!$C57,ECR!$C:$C,0)),"ND")</x:f>
        <x:v>105</x:v>
      </x:c>
      <x:c r="I57" s="62"/>
      <x:c r="J57" s="64" t="n">
        <x:f>VLOOKUP(C57,Aggregate!AR:AZ,9,FALSE())</x:f>
        <x:v>8.403784162</x:v>
      </x:c>
      <x:c r="K57" s="65"/>
      <x:c r="L57" s="53" t="n">
        <x:f>IFERROR(VLOOKUP(DraftSheet!$M57,Aggregate!$P:$AA,11,FALSE()),"")</x:f>
        <x:v>8</x:v>
      </x:c>
      <x:c r="M57" s="55" t="str">
        <x:f>Aggregate!P53</x:f>
        <x:v>Tyrone Tracy Jr.</x:v>
      </x:c>
      <x:c r="N57" s="55" t="str">
        <x:f>VLOOKUP(DraftSheet!$M57,Aggregate!P:AA,4,FALSE())</x:f>
        <x:v>NYG/8</x:v>
      </x:c>
      <x:c r="O57" s="53" t="n">
        <x:f>IFERROR(VLOOKUP(DraftSheet!$M57,Aggregate!$P:$AA,8,FALSE()),"")</x:f>
        <x:v>68.53417294</x:v>
      </x:c>
      <x:c r="P57" s="53" t="n">
        <x:f>IF(Scoring!$K$6="Auction",IFERROR(VLOOKUP(DraftSheet!$M57,Aggregate!$P:$AA,10,FALSE()),""),IFERROR(VLOOKUP(DraftSheet!$M57,Aggregate!$P:$AA,9,FALSE()),""))</x:f>
        <x:v>-61.46615618352942</x:v>
      </x:c>
      <x:c r="Q57" s="61" t="n">
        <x:f>SUMIFS($T58:T$84,$S58:S$84,"&lt;&gt;x",$S58:S$84,"&lt;&gt;o",$T58:T$84,"&gt;0")/Aggregate!$X$1</x:f>
        <x:v>0</x:v>
      </x:c>
      <x:c r="R57" s="53" t="n">
        <x:f t="array" ref="R57">IFERROR(INDEX(ECR!$K:$K,MATCH(DraftSheet!$M57,ECR!$C:$C,0)),"ND")</x:f>
        <x:v>149</x:v>
      </x:c>
      <x:c r="S57" s="62"/>
      <x:c r="T57" s="64" t="n">
        <x:f>VLOOKUP(M57,Aggregate!P:X,9,FALSE())</x:f>
        <x:v>-32.96586676</x:v>
      </x:c>
      <x:c r="U57" s="73"/>
      <x:c r="V57" s="53" t="n">
        <x:f>IFERROR(VLOOKUP(DraftSheet!$W57,Aggregate!$AD:$AO,11,FALSE()),"")</x:f>
        <x:v>6</x:v>
      </x:c>
      <x:c r="W57" s="55" t="str">
        <x:f>Aggregate!AD56</x:f>
        <x:v>Romeo Doubs</x:v>
      </x:c>
      <x:c r="X57" s="55" t="str">
        <x:f>VLOOKUP(DraftSheet!$W57,Aggregate!AD:AO,4,FALSE())</x:f>
        <x:v>NE/11</x:v>
      </x:c>
      <x:c r="Y57" s="53" t="n">
        <x:f>IFERROR(VLOOKUP(DraftSheet!$W57,Aggregate!$AD:$AO,8,FALSE()),"")</x:f>
        <x:v>97.15191176</x:v>
      </x:c>
      <x:c r="Z57" s="53" t="n">
        <x:f>IF(Scoring!$K$6="Auction",IFERROR(VLOOKUP(DraftSheet!$W57,Aggregate!$AD:$AO,10,FALSE()),""),IFERROR(VLOOKUP(DraftSheet!$W57,Aggregate!$AD:$AO,9,FALSE()),""))</x:f>
        <x:v>-5.042999992058824</x:v>
      </x:c>
      <x:c r="AA57" s="61" t="n">
        <x:f>SUMIFS($AD58:AD$84,$AC58:AC$84,"&lt;&gt;x",$AC58:AC$84,"&lt;&gt;o",$AD58:AD$84,"&gt;0")/Aggregate!$AL$1</x:f>
        <x:v>0</x:v>
      </x:c>
      <x:c r="AB57" s="53" t="n">
        <x:f t="array" ref="AB57">IFERROR(INDEX(ECR!$K:$K,MATCH(DraftSheet!$W57,ECR!$C:$C,0)),"ND")</x:f>
        <x:v>135</x:v>
      </x:c>
      <x:c r="AC57" s="62"/>
      <x:c r="AD57" s="64" t="n">
        <x:f>VLOOKUP(W57,Aggregate!AD:AL,9,FALSE())</x:f>
        <x:v>-4.162464706</x:v>
      </x:c>
      <x:c r="AE57" s="2"/>
      <x:c r="AF57" s="2"/>
      <x:c r="AG57" s="2"/>
      <x:c r="AH57" s="2"/>
    </x:row>
    <x:row r="58" ht="14.25" customHeight="1">
      <x:c r="A58" s="2"/>
      <x:c r="B58" s="53" t="n">
        <x:f>IFERROR(VLOOKUP(DraftSheet!$C58,Aggregate!$AR:$BC,11,FALSE()),"")</x:f>
        <x:v>4</x:v>
      </x:c>
      <x:c r="C58" s="55" t="str">
        <x:f>Aggregate!AR14</x:f>
        <x:v>Dallas Goedert</x:v>
      </x:c>
      <x:c r="D58" s="55" t="str">
        <x:f>VLOOKUP(DraftSheet!$C58,Aggregate!AR:BD,4,FALSE())</x:f>
        <x:v>PHI/10</x:v>
      </x:c>
      <x:c r="E58" s="53" t="n">
        <x:f>IFERROR(VLOOKUP($C58,Aggregate!$AR:$BC,8,FALSE()),"")</x:f>
        <x:v>113.0838664</x:v>
      </x:c>
      <x:c r="F58" s="53" t="n">
        <x:f>IF(Scoring!$K$6="Auction",IFERROR(VLOOKUP($C58,Aggregate!$AR:$BC,10,FALSE()),""),IFERROR(VLOOKUP($C58,Aggregate!$AR:$BC,9,FALSE()),""))</x:f>
        <x:v>7.7387400823529475</x:v>
      </x:c>
      <x:c r="G58" s="61" t="n">
        <x:f>SUMIFS($J59:J$84,$I59:I$84,"&lt;&gt;x",$I59:I$84,"&lt;&gt;o",$J59:J$84,"&gt;0")/Aggregate!$AZ$1</x:f>
        <x:v>0.0045107566971273275</x:v>
      </x:c>
      <x:c r="H58" s="53" t="n">
        <x:f t="array" ref="H58">IFERROR(INDEX(ECR!$K:$K,MATCH(DraftSheet!$C58,ECR!$C:$C,0)),"ND")</x:f>
        <x:v>118</x:v>
      </x:c>
      <x:c r="I58" s="62"/>
      <x:c r="J58" s="64" t="n">
        <x:f>VLOOKUP(C58,Aggregate!AR:AZ,9,FALSE())</x:f>
        <x:v>7.758307897</x:v>
      </x:c>
      <x:c r="K58" s="65"/>
      <x:c r="L58" s="53" t="n">
        <x:f>IFERROR(VLOOKUP(DraftSheet!$M58,Aggregate!$P:$AA,11,FALSE()),"")</x:f>
        <x:v>8</x:v>
      </x:c>
      <x:c r="M58" s="55" t="str">
        <x:f>Aggregate!P57</x:f>
        <x:v>Braelon Allen</x:v>
      </x:c>
      <x:c r="N58" s="55" t="str">
        <x:f>VLOOKUP(DraftSheet!$M58,Aggregate!P:AA,4,FALSE())</x:f>
        <x:v>NYJ/13</x:v>
      </x:c>
      <x:c r="O58" s="53" t="n">
        <x:f>IFERROR(VLOOKUP(DraftSheet!$M58,Aggregate!$P:$AA,8,FALSE()),"")</x:f>
        <x:v>66.67281059</x:v>
      </x:c>
      <x:c r="P58" s="53" t="n">
        <x:f>IF(Scoring!$K$6="Auction",IFERROR(VLOOKUP(DraftSheet!$M58,Aggregate!$P:$AA,10,FALSE()),""),IFERROR(VLOOKUP(DraftSheet!$M58,Aggregate!$P:$AA,9,FALSE()),""))</x:f>
        <x:v>-63.327518537352944</x:v>
      </x:c>
      <x:c r="Q58" s="61" t="n">
        <x:f>SUMIFS($T59:T$84,$S59:S$84,"&lt;&gt;x",$S59:S$84,"&lt;&gt;o",$T59:T$84,"&gt;0")/Aggregate!$X$1</x:f>
        <x:v>0</x:v>
      </x:c>
      <x:c r="R58" s="53" t="n">
        <x:f t="array" ref="R58">IFERROR(INDEX(ECR!$K:$K,MATCH(DraftSheet!$M58,ECR!$C:$C,0)),"ND")</x:f>
        <x:v>160</x:v>
      </x:c>
      <x:c r="S58" s="62"/>
      <x:c r="T58" s="64" t="n">
        <x:f>VLOOKUP(M58,Aggregate!P:X,9,FALSE())</x:f>
        <x:v>-34.82722912</x:v>
      </x:c>
      <x:c r="U58" s="73"/>
      <x:c r="V58" s="53" t="n">
        <x:f>IFERROR(VLOOKUP(DraftSheet!$W58,Aggregate!$AD:$AO,11,FALSE()),"")</x:f>
        <x:v>6</x:v>
      </x:c>
      <x:c r="W58" s="55" t="str">
        <x:f>Aggregate!AD42</x:f>
        <x:v>Josh Downs</x:v>
      </x:c>
      <x:c r="X58" s="55" t="str">
        <x:f>VLOOKUP(DraftSheet!$W58,Aggregate!AD:AO,4,FALSE())</x:f>
        <x:v>IND/13</x:v>
      </x:c>
      <x:c r="Y58" s="53" t="n">
        <x:f>IFERROR(VLOOKUP(DraftSheet!$W58,Aggregate!$AD:$AO,8,FALSE()),"")</x:f>
        <x:v>97.04200765</x:v>
      </x:c>
      <x:c r="Z58" s="53" t="n">
        <x:f>IF(Scoring!$K$6="Auction",IFERROR(VLOOKUP(DraftSheet!$W58,Aggregate!$AD:$AO,10,FALSE()),""),IFERROR(VLOOKUP(DraftSheet!$W58,Aggregate!$AD:$AO,9,FALSE()),""))</x:f>
        <x:v>-5.152904102941179</x:v>
      </x:c>
      <x:c r="AA58" s="61" t="n">
        <x:f>SUMIFS($AD59:AD$84,$AC59:AC$84,"&lt;&gt;x",$AC59:AC$84,"&lt;&gt;o",$AD59:AD$84,"&gt;0")/Aggregate!$AL$1</x:f>
        <x:v>0</x:v>
      </x:c>
      <x:c r="AB58" s="53" t="n">
        <x:f t="array" ref="AB58">IFERROR(INDEX(ECR!$K:$K,MATCH(DraftSheet!$W58,ECR!$C:$C,0)),"ND")</x:f>
        <x:v>96</x:v>
      </x:c>
      <x:c r="AC58" s="62"/>
      <x:c r="AD58" s="64" t="n">
        <x:f>VLOOKUP(W58,Aggregate!AD:AL,9,FALSE())</x:f>
        <x:v>-4.272368824</x:v>
      </x:c>
      <x:c r="AE58" s="2"/>
      <x:c r="AF58" s="2"/>
      <x:c r="AG58" s="2"/>
      <x:c r="AH58" s="2"/>
    </x:row>
    <x:row r="59" ht="14.25" customHeight="1">
      <x:c r="A59" s="2"/>
      <x:c r="B59" s="53" t="n">
        <x:f>IFERROR(VLOOKUP(DraftSheet!$C59,Aggregate!$AR:$BC,11,FALSE()),"")</x:f>
        <x:v>4</x:v>
      </x:c>
      <x:c r="C59" s="55" t="str">
        <x:f>Aggregate!AR16</x:f>
        <x:v>Mark Andrews</x:v>
      </x:c>
      <x:c r="D59" s="55" t="str">
        <x:f>VLOOKUP(DraftSheet!$C59,Aggregate!AR:BD,4,FALSE())</x:f>
        <x:v>BAL/13</x:v>
      </x:c>
      <x:c r="E59" s="53" t="n">
        <x:f>IFERROR(VLOOKUP($C59,Aggregate!$AR:$BC,8,FALSE()),"")</x:f>
        <x:v>106.1915865</x:v>
      </x:c>
      <x:c r="F59" s="53" t="n">
        <x:f>IF(Scoring!$K$6="Auction",IFERROR(VLOOKUP($C59,Aggregate!$AR:$BC,10,FALSE()),""),IFERROR(VLOOKUP($C59,Aggregate!$AR:$BC,9,FALSE()),""))</x:f>
        <x:v>0.8851114147058752</x:v>
      </x:c>
      <x:c r="G59" s="61" t="n">
        <x:f>SUMIFS($J60:J$84,$I60:I$84,"&lt;&gt;x",$I60:I$84,"&lt;&gt;o",$J60:J$84,"&gt;0")/Aggregate!$AZ$1</x:f>
        <x:v>0.0010545663490315225</x:v>
      </x:c>
      <x:c r="H59" s="53" t="n">
        <x:f t="array" ref="H59">IFERROR(INDEX(ECR!$K:$K,MATCH(DraftSheet!$C59,ECR!$C:$C,0)),"ND")</x:f>
        <x:v>125</x:v>
      </x:c>
      <x:c r="I59" s="62"/>
      <x:c r="J59" s="64" t="n">
        <x:f>VLOOKUP(C59,Aggregate!AR:AZ,9,FALSE())</x:f>
        <x:v>0.8660280294</x:v>
      </x:c>
      <x:c r="K59" s="65"/>
      <x:c r="L59" s="53" t="n">
        <x:f>IFERROR(VLOOKUP(DraftSheet!$M59,Aggregate!$P:$AA,11,FALSE()),"")</x:f>
        <x:v>8</x:v>
      </x:c>
      <x:c r="M59" s="55" t="str">
        <x:f>Aggregate!P49</x:f>
        <x:v>Tank Bigsby</x:v>
      </x:c>
      <x:c r="N59" s="55" t="str">
        <x:f>VLOOKUP(DraftSheet!$M59,Aggregate!P:AA,4,FALSE())</x:f>
        <x:v>PHI/10</x:v>
      </x:c>
      <x:c r="O59" s="53" t="n">
        <x:f>IFERROR(VLOOKUP(DraftSheet!$M59,Aggregate!$P:$AA,8,FALSE()),"")</x:f>
        <x:v>65.73469882</x:v>
      </x:c>
      <x:c r="P59" s="53" t="n">
        <x:f>IF(Scoring!$K$6="Auction",IFERROR(VLOOKUP(DraftSheet!$M59,Aggregate!$P:$AA,10,FALSE()),""),IFERROR(VLOOKUP(DraftSheet!$M59,Aggregate!$P:$AA,9,FALSE()),""))</x:f>
        <x:v>-64.26563030264707</x:v>
      </x:c>
      <x:c r="Q59" s="61" t="n">
        <x:f>SUMIFS($T60:T$84,$S60:S$84,"&lt;&gt;x",$S60:S$84,"&lt;&gt;o",$T60:T$84,"&gt;0")/Aggregate!$X$1</x:f>
        <x:v>0</x:v>
      </x:c>
      <x:c r="R59" s="53" t="n">
        <x:f t="array" ref="R59">IFERROR(INDEX(ECR!$K:$K,MATCH(DraftSheet!$M59,ECR!$C:$C,0)),"ND")</x:f>
        <x:v>141</x:v>
      </x:c>
      <x:c r="S59" s="62"/>
      <x:c r="T59" s="64" t="n">
        <x:f>VLOOKUP(M59,Aggregate!P:X,9,FALSE())</x:f>
        <x:v>-35.76534088</x:v>
      </x:c>
      <x:c r="U59" s="73"/>
      <x:c r="V59" s="53" t="n">
        <x:f>IFERROR(VLOOKUP(DraftSheet!$W59,Aggregate!$AD:$AO,11,FALSE()),"")</x:f>
        <x:v>6</x:v>
      </x:c>
      <x:c r="W59" s="55" t="str">
        <x:f>Aggregate!AD59</x:f>
        <x:v>Rashid Shaheed</x:v>
      </x:c>
      <x:c r="X59" s="55" t="str">
        <x:f>VLOOKUP(DraftSheet!$W59,Aggregate!AD:AO,4,FALSE())</x:f>
        <x:v>SEA/11</x:v>
      </x:c>
      <x:c r="Y59" s="53" t="n">
        <x:f>IFERROR(VLOOKUP(DraftSheet!$W59,Aggregate!$AD:$AO,8,FALSE()),"")</x:f>
        <x:v>94.95419118</x:v>
      </x:c>
      <x:c r="Z59" s="53" t="n">
        <x:f>IF(Scoring!$K$6="Auction",IFERROR(VLOOKUP(DraftSheet!$W59,Aggregate!$AD:$AO,10,FALSE()),""),IFERROR(VLOOKUP(DraftSheet!$W59,Aggregate!$AD:$AO,9,FALSE()),""))</x:f>
        <x:v>-7.240720581029393</x:v>
      </x:c>
      <x:c r="AA59" s="61" t="n">
        <x:f>SUMIFS($AD60:AD$84,$AC60:AC$84,"&lt;&gt;x",$AC60:AC$84,"&lt;&gt;o",$AD60:AD$84,"&gt;0")/Aggregate!$AL$1</x:f>
        <x:v>0</x:v>
      </x:c>
      <x:c r="AB59" s="53" t="n">
        <x:f t="array" ref="AB59">IFERROR(INDEX(ECR!$K:$K,MATCH(DraftSheet!$W59,ECR!$C:$C,0)),"ND")</x:f>
        <x:v>153</x:v>
      </x:c>
      <x:c r="AC59" s="62"/>
      <x:c r="AD59" s="64" t="n">
        <x:f>VLOOKUP(W59,Aggregate!AD:AL,9,FALSE())</x:f>
        <x:v>-6.360185294</x:v>
      </x:c>
      <x:c r="AE59" s="2"/>
      <x:c r="AF59" s="2"/>
      <x:c r="AG59" s="2"/>
      <x:c r="AH59" s="2"/>
    </x:row>
    <x:row r="60" ht="14.25" customHeight="1">
      <x:c r="A60" s="2"/>
      <x:c r="B60" s="53" t="n">
        <x:f>IFERROR(VLOOKUP(DraftSheet!$C60,Aggregate!$AR:$BC,11,FALSE()),"")</x:f>
        <x:v>4</x:v>
      </x:c>
      <x:c r="C60" s="55" t="str">
        <x:f>Aggregate!AR15</x:f>
        <x:v>Isaiah Likely</x:v>
      </x:c>
      <x:c r="D60" s="55" t="str">
        <x:f>VLOOKUP(DraftSheet!$C60,Aggregate!AR:BD,4,FALSE())</x:f>
        <x:v>NYG/8</x:v>
      </x:c>
      <x:c r="E60" s="53" t="n">
        <x:f>IFERROR(VLOOKUP($C60,Aggregate!$AR:$BC,8,FALSE()),"")</x:f>
        <x:v>105.5898043</x:v>
      </x:c>
      <x:c r="F60" s="53" t="n">
        <x:f>IF(Scoring!$K$6="Auction",IFERROR(VLOOKUP($C60,Aggregate!$AR:$BC,10,FALSE()),""),IFERROR(VLOOKUP($C60,Aggregate!$AR:$BC,9,FALSE()),""))</x:f>
        <x:v>0.8650018911764761</x:v>
      </x:c>
      <x:c r="G60" s="61" t="n">
        <x:f>SUMIFS($J61:J$84,$I61:I$84,"&lt;&gt;x",$I61:I$84,"&lt;&gt;o",$J61:J$84,"&gt;0")/Aggregate!$AZ$1</x:f>
        <x:v>0</x:v>
      </x:c>
      <x:c r="H60" s="53" t="n">
        <x:f t="array" ref="H60">IFERROR(INDEX(ECR!$K:$K,MATCH(DraftSheet!$C60,ECR!$C:$C,0)),"ND")</x:f>
        <x:v>119</x:v>
      </x:c>
      <x:c r="I60" s="62"/>
      <x:c r="J60" s="64" t="n">
        <x:f>VLOOKUP(C60,Aggregate!AR:AZ,9,FALSE())</x:f>
        <x:v>0.2642458676</x:v>
      </x:c>
      <x:c r="K60" s="65"/>
      <x:c r="L60" s="53" t="n">
        <x:f>IFERROR(VLOOKUP(DraftSheet!$M60,Aggregate!$P:$AA,11,FALSE()),"")</x:f>
        <x:v>8</x:v>
      </x:c>
      <x:c r="M60" s="55" t="str">
        <x:f>Aggregate!P61</x:f>
        <x:v>Emmett Johnson</x:v>
      </x:c>
      <x:c r="N60" s="55" t="str">
        <x:f>VLOOKUP(DraftSheet!$M60,Aggregate!P:AA,4,FALSE())</x:f>
        <x:v>KC/5</x:v>
      </x:c>
      <x:c r="O60" s="53" t="n">
        <x:f>IFERROR(VLOOKUP(DraftSheet!$M60,Aggregate!$P:$AA,8,FALSE()),"")</x:f>
        <x:v>65.37512151</x:v>
      </x:c>
      <x:c r="P60" s="53" t="n">
        <x:f>IF(Scoring!$K$6="Auction",IFERROR(VLOOKUP(DraftSheet!$M60,Aggregate!$P:$AA,10,FALSE()),""),IFERROR(VLOOKUP(DraftSheet!$M60,Aggregate!$P:$AA,9,FALSE()),""))</x:f>
        <x:v>-64.62520761088236</x:v>
      </x:c>
      <x:c r="Q60" s="61" t="n">
        <x:f>SUMIFS($T61:T$84,$S61:S$84,"&lt;&gt;x",$S61:S$84,"&lt;&gt;o",$T61:T$84,"&gt;0")/Aggregate!$X$1</x:f>
        <x:v>0</x:v>
      </x:c>
      <x:c r="R60" s="53" t="n">
        <x:f t="array" ref="R60">IFERROR(INDEX(ECR!$K:$K,MATCH(DraftSheet!$M60,ECR!$C:$C,0)),"ND")</x:f>
        <x:v>176</x:v>
      </x:c>
      <x:c r="S60" s="62"/>
      <x:c r="T60" s="64" t="n">
        <x:f>VLOOKUP(M60,Aggregate!P:X,9,FALSE())</x:f>
        <x:v>-36.12491819</x:v>
      </x:c>
      <x:c r="U60" s="73"/>
      <x:c r="V60" s="53" t="n">
        <x:f>IFERROR(VLOOKUP(DraftSheet!$W60,Aggregate!$AD:$AO,11,FALSE()),"")</x:f>
        <x:v>6</x:v>
      </x:c>
      <x:c r="W60" s="55" t="str">
        <x:f>Aggregate!AD52</x:f>
        <x:v>Jalen Coker</x:v>
      </x:c>
      <x:c r="X60" s="55" t="str">
        <x:f>VLOOKUP(DraftSheet!$W60,Aggregate!AD:AO,4,FALSE())</x:f>
        <x:v>CAR/5</x:v>
      </x:c>
      <x:c r="Y60" s="53" t="n">
        <x:f>IFERROR(VLOOKUP(DraftSheet!$W60,Aggregate!$AD:$AO,8,FALSE()),"")</x:f>
        <x:v>94.44048529</x:v>
      </x:c>
      <x:c r="Z60" s="53" t="n">
        <x:f>IF(Scoring!$K$6="Auction",IFERROR(VLOOKUP(DraftSheet!$W60,Aggregate!$AD:$AO,10,FALSE()),""),IFERROR(VLOOKUP(DraftSheet!$W60,Aggregate!$AD:$AO,9,FALSE()),""))</x:f>
        <x:v>-7.754426454411757</x:v>
      </x:c>
      <x:c r="AA60" s="61" t="n">
        <x:f>SUMIFS($AD61:AD$84,$AC61:AC$84,"&lt;&gt;x",$AC61:AC$84,"&lt;&gt;o",$AD61:AD$84,"&gt;0")/Aggregate!$AL$1</x:f>
        <x:v>0</x:v>
      </x:c>
      <x:c r="AB60" s="53" t="n">
        <x:f t="array" ref="AB60">IFERROR(INDEX(ECR!$K:$K,MATCH(DraftSheet!$W60,ECR!$C:$C,0)),"ND")</x:f>
        <x:v>128</x:v>
      </x:c>
      <x:c r="AC60" s="62"/>
      <x:c r="AD60" s="64" t="n">
        <x:f>VLOOKUP(W60,Aggregate!AD:AL,9,FALSE())</x:f>
        <x:v>-6.873891176</x:v>
      </x:c>
      <x:c r="AE60" s="2"/>
      <x:c r="AF60" s="2"/>
      <x:c r="AG60" s="2"/>
      <x:c r="AH60" s="2"/>
    </x:row>
    <x:row r="61" ht="14.25" customHeight="1">
      <x:c r="A61" s="2"/>
      <x:c r="B61" s="53" t="n">
        <x:f>IFERROR(VLOOKUP(DraftSheet!$C61,Aggregate!$AR:$BC,11,FALSE()),"")</x:f>
        <x:v>4</x:v>
      </x:c>
      <x:c r="C61" s="55" t="str">
        <x:f>Aggregate!AR13</x:f>
        <x:v>Dalton Kincaid</x:v>
      </x:c>
      <x:c r="D61" s="55" t="str">
        <x:f>VLOOKUP(DraftSheet!$C61,Aggregate!AR:BD,4,FALSE())</x:f>
        <x:v>BUF/7</x:v>
      </x:c>
      <x:c r="E61" s="53" t="n">
        <x:f>IFERROR(VLOOKUP($C61,Aggregate!$AR:$BC,8,FALSE()),"")</x:f>
        <x:v>105.3255585</x:v>
      </x:c>
      <x:c r="F61" s="53" t="n">
        <x:f>IF(Scoring!$K$6="Auction",IFERROR(VLOOKUP($C61,Aggregate!$AR:$BC,10,FALSE()),""),IFERROR(VLOOKUP($C61,Aggregate!$AR:$BC,9,FALSE()),""))</x:f>
        <x:v>0</x:v>
      </x:c>
      <x:c r="G61" s="61" t="n">
        <x:f>SUMIFS($J62:J$84,$I62:I$84,"&lt;&gt;x",$I62:I$84,"&lt;&gt;o",$J62:J$84,"&gt;0")/Aggregate!$AZ$1</x:f>
        <x:v>0</x:v>
      </x:c>
      <x:c r="H61" s="53" t="n">
        <x:f t="array" ref="H61">IFERROR(INDEX(ECR!$K:$K,MATCH(DraftSheet!$C61,ECR!$C:$C,0)),"ND")</x:f>
        <x:v>115</x:v>
      </x:c>
      <x:c r="I61" s="62"/>
      <x:c r="J61" s="64" t="n">
        <x:f>VLOOKUP(C61,Aggregate!AR:AZ,9,FALSE())</x:f>
        <x:v>0</x:v>
      </x:c>
      <x:c r="K61" s="65"/>
      <x:c r="L61" s="53" t="n">
        <x:f>IFERROR(VLOOKUP(DraftSheet!$M61,Aggregate!$P:$AA,11,FALSE()),"")</x:f>
        <x:v>8</x:v>
      </x:c>
      <x:c r="M61" s="55" t="str">
        <x:f>Aggregate!P48</x:f>
        <x:v>Keaton Mitchell</x:v>
      </x:c>
      <x:c r="N61" s="55" t="str">
        <x:f>VLOOKUP(DraftSheet!$M61,Aggregate!P:AA,4,FALSE())</x:f>
        <x:v>LAC/7</x:v>
      </x:c>
      <x:c r="O61" s="53" t="n">
        <x:f>IFERROR(VLOOKUP(DraftSheet!$M61,Aggregate!$P:$AA,8,FALSE()),"")</x:f>
        <x:v>63.71543647</x:v>
      </x:c>
      <x:c r="P61" s="53" t="n">
        <x:f>IF(Scoring!$K$6="Auction",IFERROR(VLOOKUP(DraftSheet!$M61,Aggregate!$P:$AA,10,FALSE()),""),IFERROR(VLOOKUP(DraftSheet!$M61,Aggregate!$P:$AA,9,FALSE()),""))</x:f>
        <x:v>-66.28489265470589</x:v>
      </x:c>
      <x:c r="Q61" s="61" t="n">
        <x:f>SUMIFS($T62:T$84,$S62:S$84,"&lt;&gt;x",$S62:S$84,"&lt;&gt;o",$T62:T$84,"&gt;0")/Aggregate!$X$1</x:f>
        <x:v>0</x:v>
      </x:c>
      <x:c r="R61" s="53" t="n">
        <x:f t="array" ref="R61">IFERROR(INDEX(ECR!$K:$K,MATCH(DraftSheet!$M61,ECR!$C:$C,0)),"ND")</x:f>
        <x:v>139</x:v>
      </x:c>
      <x:c r="S61" s="62"/>
      <x:c r="T61" s="64" t="n">
        <x:f>VLOOKUP(M61,Aggregate!P:X,9,FALSE())</x:f>
        <x:v>-37.78460324</x:v>
      </x:c>
      <x:c r="U61" s="73"/>
      <x:c r="V61" s="53" t="n">
        <x:f>IFERROR(VLOOKUP(DraftSheet!$W61,Aggregate!$AD:$AO,11,FALSE()),"")</x:f>
        <x:v>6</x:v>
      </x:c>
      <x:c r="W61" s="55" t="str">
        <x:f>Aggregate!AD54</x:f>
        <x:v>Khalil Shakir</x:v>
      </x:c>
      <x:c r="X61" s="55" t="str">
        <x:f>VLOOKUP(DraftSheet!$W61,Aggregate!AD:AO,4,FALSE())</x:f>
        <x:v>BUF/7</x:v>
      </x:c>
      <x:c r="Y61" s="53" t="n">
        <x:f>IFERROR(VLOOKUP(DraftSheet!$W61,Aggregate!$AD:$AO,8,FALSE()),"")</x:f>
        <x:v>93.97380882</x:v>
      </x:c>
      <x:c r="Z61" s="53" t="n">
        <x:f>IF(Scoring!$K$6="Auction",IFERROR(VLOOKUP(DraftSheet!$W61,Aggregate!$AD:$AO,10,FALSE()),""),IFERROR(VLOOKUP(DraftSheet!$W61,Aggregate!$AD:$AO,9,FALSE()),""))</x:f>
        <x:v>-8.22110293279411</x:v>
      </x:c>
      <x:c r="AA61" s="61" t="n">
        <x:f>SUMIFS($AD62:AD$84,$AC62:AC$84,"&lt;&gt;x",$AC62:AC$84,"&lt;&gt;o",$AD62:AD$84,"&gt;0")/Aggregate!$AL$1</x:f>
        <x:v>0</x:v>
      </x:c>
      <x:c r="AB61" s="53" t="n">
        <x:f t="array" ref="AB61">IFERROR(INDEX(ECR!$K:$K,MATCH(DraftSheet!$W61,ECR!$C:$C,0)),"ND")</x:f>
        <x:v>133</x:v>
      </x:c>
      <x:c r="AC61" s="62"/>
      <x:c r="AD61" s="64" t="n">
        <x:f>VLOOKUP(W61,Aggregate!AD:AL,9,FALSE())</x:f>
        <x:v>-7.340567647</x:v>
      </x:c>
      <x:c r="AE61" s="2"/>
      <x:c r="AF61" s="2"/>
      <x:c r="AG61" s="2"/>
      <x:c r="AH61" s="2"/>
    </x:row>
    <x:row r="62" ht="14.25" customHeight="1">
      <x:c r="A62" s="2"/>
      <x:c r="B62" s="53" t="n">
        <x:f>IFERROR(VLOOKUP(DraftSheet!$C62,Aggregate!$AR:$BC,11,FALSE()),"")</x:f>
        <x:v>5</x:v>
      </x:c>
      <x:c r="C62" s="55" t="str">
        <x:f>Aggregate!AR17</x:f>
        <x:v>Jake Ferguson</x:v>
      </x:c>
      <x:c r="D62" s="55" t="str">
        <x:f>VLOOKUP(DraftSheet!$C62,Aggregate!AR:BD,4,FALSE())</x:f>
        <x:v>DAL/14</x:v>
      </x:c>
      <x:c r="E62" s="53" t="n">
        <x:f>IFERROR(VLOOKUP($C62,Aggregate!$AR:$BC,8,FALSE()),"")</x:f>
        <x:v>101.4702975</x:v>
      </x:c>
      <x:c r="F62" s="53" t="n">
        <x:f>IF(Scoring!$K$6="Auction",IFERROR(VLOOKUP($C62,Aggregate!$AR:$BC,10,FALSE()),""),IFERROR(VLOOKUP($C62,Aggregate!$AR:$BC,9,FALSE()),""))</x:f>
        <x:v>-3.176966111764699</x:v>
      </x:c>
      <x:c r="G62" s="61" t="n">
        <x:f>SUMIFS($J63:J$84,$I63:I$84,"&lt;&gt;x",$I63:I$84,"&lt;&gt;o",$J63:J$84,"&gt;0")/Aggregate!$AZ$1</x:f>
        <x:v>0</x:v>
      </x:c>
      <x:c r="H62" s="53" t="n">
        <x:f t="array" ref="H62">IFERROR(INDEX(ECR!$K:$K,MATCH(DraftSheet!$C62,ECR!$C:$C,0)),"ND")</x:f>
        <x:v>132</x:v>
      </x:c>
      <x:c r="I62" s="62"/>
      <x:c r="J62" s="64" t="n">
        <x:f>VLOOKUP(C62,Aggregate!AR:AZ,9,FALSE())</x:f>
        <x:v>-3.855260956</x:v>
      </x:c>
      <x:c r="K62" s="65"/>
      <x:c r="L62" s="53" t="n">
        <x:f>IFERROR(VLOOKUP(DraftSheet!$M62,Aggregate!$P:$AA,11,FALSE()),"")</x:f>
        <x:v>8</x:v>
      </x:c>
      <x:c r="M62" s="55" t="str">
        <x:f>Aggregate!P56</x:f>
        <x:v>Brian Robinson Jr.</x:v>
      </x:c>
      <x:c r="N62" s="55" t="str">
        <x:f>VLOOKUP(DraftSheet!$M62,Aggregate!P:AA,4,FALSE())</x:f>
        <x:v>ATL/11</x:v>
      </x:c>
      <x:c r="O62" s="53" t="n">
        <x:f>IFERROR(VLOOKUP(DraftSheet!$M62,Aggregate!$P:$AA,8,FALSE()),"")</x:f>
        <x:v>63.70800588</x:v>
      </x:c>
      <x:c r="P62" s="53" t="n">
        <x:f>IF(Scoring!$K$6="Auction",IFERROR(VLOOKUP(DraftSheet!$M62,Aggregate!$P:$AA,10,FALSE()),""),IFERROR(VLOOKUP(DraftSheet!$M62,Aggregate!$P:$AA,9,FALSE()),""))</x:f>
        <x:v>-66.2923232422059</x:v>
      </x:c>
      <x:c r="Q62" s="61" t="n">
        <x:f>SUMIFS($T63:T$84,$S63:S$84,"&lt;&gt;x",$S63:S$84,"&lt;&gt;o",$T63:T$84,"&gt;0")/Aggregate!$X$1</x:f>
        <x:v>0</x:v>
      </x:c>
      <x:c r="R62" s="53" t="n">
        <x:f t="array" ref="R62">IFERROR(INDEX(ECR!$K:$K,MATCH(DraftSheet!$M62,ECR!$C:$C,0)),"ND")</x:f>
        <x:v>158</x:v>
      </x:c>
      <x:c r="S62" s="62"/>
      <x:c r="T62" s="64" t="n">
        <x:f>VLOOKUP(M62,Aggregate!P:X,9,FALSE())</x:f>
        <x:v>-37.79203382</x:v>
      </x:c>
      <x:c r="U62" s="73"/>
      <x:c r="V62" s="53" t="n">
        <x:f>IFERROR(VLOOKUP(DraftSheet!$W62,Aggregate!$AD:$AO,11,FALSE()),"")</x:f>
        <x:v>6</x:v>
      </x:c>
      <x:c r="W62" s="55" t="str">
        <x:f>Aggregate!AD55</x:f>
        <x:v>Jordyn Tyson</x:v>
      </x:c>
      <x:c r="X62" s="55" t="str">
        <x:f>VLOOKUP(DraftSheet!$W62,Aggregate!AD:AO,4,FALSE())</x:f>
        <x:v>NO/8</x:v>
      </x:c>
      <x:c r="Y62" s="53" t="n">
        <x:f>IFERROR(VLOOKUP(DraftSheet!$W62,Aggregate!$AD:$AO,8,FALSE()),"")</x:f>
        <x:v>89.53155529</x:v>
      </x:c>
      <x:c r="Z62" s="53" t="n">
        <x:f>IF(Scoring!$K$6="Auction",IFERROR(VLOOKUP(DraftSheet!$W62,Aggregate!$AD:$AO,10,FALSE()),""),IFERROR(VLOOKUP(DraftSheet!$W62,Aggregate!$AD:$AO,9,FALSE()),""))</x:f>
        <x:v>-12.663356463382343</x:v>
      </x:c>
      <x:c r="AA62" s="61" t="n">
        <x:f>SUMIFS($AD63:AD$84,$AC63:AC$84,"&lt;&gt;x",$AC63:AC$84,"&lt;&gt;o",$AD63:AD$84,"&gt;0")/Aggregate!$AL$1</x:f>
        <x:v>0</x:v>
      </x:c>
      <x:c r="AB62" s="53" t="n">
        <x:f t="array" ref="AB62">IFERROR(INDEX(ECR!$K:$K,MATCH(DraftSheet!$W62,ECR!$C:$C,0)),"ND")</x:f>
        <x:v>134</x:v>
      </x:c>
      <x:c r="AC62" s="62"/>
      <x:c r="AD62" s="64" t="n">
        <x:f>VLOOKUP(W62,Aggregate!AD:AL,9,FALSE())</x:f>
        <x:v>-11.78282118</x:v>
      </x:c>
      <x:c r="AE62" s="2"/>
      <x:c r="AF62" s="2"/>
      <x:c r="AG62" s="2"/>
      <x:c r="AH62" s="2"/>
    </x:row>
    <x:row r="63" ht="14.25" customHeight="1">
      <x:c r="A63" s="2"/>
      <x:c r="B63" s="53" t="n">
        <x:f>IFERROR(VLOOKUP(DraftSheet!$C63,Aggregate!$AR:$BC,11,FALSE()),"")</x:f>
        <x:v>5</x:v>
      </x:c>
      <x:c r="C63" s="55" t="str">
        <x:f>Aggregate!AR19</x:f>
        <x:v>Hunter Henry</x:v>
      </x:c>
      <x:c r="D63" s="55" t="str">
        <x:f>VLOOKUP(DraftSheet!$C63,Aggregate!AR:BD,4,FALSE())</x:f>
        <x:v>NE/11</x:v>
      </x:c>
      <x:c r="E63" s="53" t="n">
        <x:f>IFERROR(VLOOKUP($C63,Aggregate!$AR:$BC,8,FALSE()),"")</x:f>
        <x:v>97.28985115</x:v>
      </x:c>
      <x:c r="F63" s="53" t="n">
        <x:f>IF(Scoring!$K$6="Auction",IFERROR(VLOOKUP($C63,Aggregate!$AR:$BC,10,FALSE()),""),IFERROR(VLOOKUP($C63,Aggregate!$AR:$BC,9,FALSE()),""))</x:f>
        <x:v>-8.113412905441166</x:v>
      </x:c>
      <x:c r="G63" s="61" t="n">
        <x:f>SUMIFS($J64:J$84,$I64:I$84,"&lt;&gt;x",$I64:I$84,"&lt;&gt;o",$J64:J$84,"&gt;0")/Aggregate!$AZ$1</x:f>
        <x:v>0</x:v>
      </x:c>
      <x:c r="H63" s="53" t="n">
        <x:f t="array" ref="H63">IFERROR(INDEX(ECR!$K:$K,MATCH(DraftSheet!$C63,ECR!$C:$C,0)),"ND")</x:f>
        <x:v>144</x:v>
      </x:c>
      <x:c r="I63" s="62"/>
      <x:c r="J63" s="64" t="n">
        <x:f>VLOOKUP(C63,Aggregate!AR:AZ,9,FALSE())</x:f>
        <x:v>-8.035707309</x:v>
      </x:c>
      <x:c r="K63" s="65"/>
      <x:c r="L63" s="53" t="n">
        <x:f>IFERROR(VLOOKUP(DraftSheet!$M63,Aggregate!$P:$AA,11,FALSE()),"")</x:f>
        <x:v>8</x:v>
      </x:c>
      <x:c r="M63" s="55" t="str">
        <x:f>Aggregate!P73</x:f>
        <x:v>Justice Hill</x:v>
      </x:c>
      <x:c r="N63" s="55" t="str">
        <x:f>VLOOKUP(DraftSheet!$M63,Aggregate!P:AA,4,FALSE())</x:f>
        <x:v>BAL/13</x:v>
      </x:c>
      <x:c r="O63" s="53" t="n">
        <x:f>IFERROR(VLOOKUP(DraftSheet!$M63,Aggregate!$P:$AA,8,FALSE()),"")</x:f>
        <x:v>63.33833412</x:v>
      </x:c>
      <x:c r="P63" s="53" t="n">
        <x:f>IF(Scoring!$K$6="Auction",IFERROR(VLOOKUP(DraftSheet!$M63,Aggregate!$P:$AA,10,FALSE()),""),IFERROR(VLOOKUP(DraftSheet!$M63,Aggregate!$P:$AA,9,FALSE()),""))</x:f>
        <x:v>-66.66199500779413</x:v>
      </x:c>
      <x:c r="Q63" s="61" t="n">
        <x:f>SUMIFS(T63:$T$85,S63:$S$85,"&lt;&gt;x",S63:$S$85,"&lt;&gt;o",T63:$T$85,"&gt;0")/Aggregate!$X$1</x:f>
        <x:v>0</x:v>
      </x:c>
      <x:c r="R63" s="53" t="n">
        <x:f t="array" ref="R63">IFERROR(INDEX(ECR!$K:$K,MATCH(DraftSheet!$M63,ECR!$C:$C,0)),"ND")</x:f>
        <x:v>244</x:v>
      </x:c>
      <x:c r="S63" s="62"/>
      <x:c r="T63" s="64" t="n">
        <x:f>VLOOKUP(M63,Aggregate!P:X,9,FALSE())</x:f>
        <x:v>-38.16170559</x:v>
      </x:c>
      <x:c r="U63" s="73"/>
      <x:c r="V63" s="53" t="n">
        <x:f>IFERROR(VLOOKUP(DraftSheet!$W63,Aggregate!$AD:$AO,11,FALSE()),"")</x:f>
        <x:v>6</x:v>
      </x:c>
      <x:c r="W63" s="55" t="str">
        <x:f>Aggregate!AD74</x:f>
        <x:v>Calvin Ridley</x:v>
      </x:c>
      <x:c r="X63" s="55" t="str">
        <x:f>VLOOKUP(DraftSheet!$W63,Aggregate!AD:AO,4,FALSE())</x:f>
        <x:v>TEN/9</x:v>
      </x:c>
      <x:c r="Y63" s="53" t="n">
        <x:f>IFERROR(VLOOKUP(DraftSheet!$W63,Aggregate!$AD:$AO,8,FALSE()),"")</x:f>
        <x:v>87.68452941</x:v>
      </x:c>
      <x:c r="Z63" s="53" t="n">
        <x:f>IF(Scoring!$K$6="Auction",IFERROR(VLOOKUP(DraftSheet!$W63,Aggregate!$AD:$AO,10,FALSE()),""),IFERROR(VLOOKUP(DraftSheet!$W63,Aggregate!$AD:$AO,9,FALSE()),""))</x:f>
        <x:v>-14.510382345882348</x:v>
      </x:c>
      <x:c r="AA63" s="61" t="n">
        <x:f>SUMIFS($AD64:AD$84,$AC64:AC$84,"&lt;&gt;x",$AC64:AC$84,"&lt;&gt;o",$AD64:AD$84,"&gt;0")/Aggregate!$AL$1</x:f>
        <x:v>0</x:v>
      </x:c>
      <x:c r="AB63" s="53" t="n">
        <x:f t="array" ref="AB63">IFERROR(INDEX(ECR!$K:$K,MATCH(DraftSheet!$W63,ECR!$C:$C,0)),"ND")</x:f>
        <x:v>186</x:v>
      </x:c>
      <x:c r="AC63" s="62"/>
      <x:c r="AD63" s="64" t="n">
        <x:f>VLOOKUP(W63,Aggregate!AD:AL,9,FALSE())</x:f>
        <x:v>-13.62984706</x:v>
      </x:c>
      <x:c r="AE63" s="2"/>
      <x:c r="AF63" s="2"/>
      <x:c r="AG63" s="2"/>
      <x:c r="AH63" s="2"/>
    </x:row>
    <x:row r="64" ht="14.25" customHeight="1">
      <x:c r="A64" s="2"/>
      <x:c r="B64" s="53" t="n">
        <x:f>IFERROR(VLOOKUP(DraftSheet!$C64,Aggregate!$AR:$BC,11,FALSE()),"")</x:f>
        <x:v>5</x:v>
      </x:c>
      <x:c r="C64" s="55" t="str">
        <x:f>Aggregate!AR18</x:f>
        <x:v>Juwan Johnson</x:v>
      </x:c>
      <x:c r="D64" s="55" t="str">
        <x:f>VLOOKUP(DraftSheet!$C64,Aggregate!AR:BD,4,FALSE())</x:f>
        <x:v>NO/8</x:v>
      </x:c>
      <x:c r="E64" s="53" t="n">
        <x:f>IFERROR(VLOOKUP($C64,Aggregate!$AR:$BC,8,FALSE()),"")</x:f>
        <x:v>97.07150821</x:v>
      </x:c>
      <x:c r="F64" s="53" t="n">
        <x:f>IF(Scoring!$K$6="Auction",IFERROR(VLOOKUP($C64,Aggregate!$AR:$BC,10,FALSE()),""),IFERROR(VLOOKUP($C64,Aggregate!$AR:$BC,9,FALSE()),""))</x:f>
        <x:v>-7.633373052500005</x:v>
      </x:c>
      <x:c r="G64" s="61" t="n">
        <x:f>SUMIFS($J65:J$84,$I65:I$84,"&lt;&gt;x",$I65:I$84,"&lt;&gt;o",$J65:J$84,"&gt;0")/Aggregate!$AZ$1</x:f>
        <x:v>0</x:v>
      </x:c>
      <x:c r="H64" s="53" t="n">
        <x:f t="array" ref="H64">IFERROR(INDEX(ECR!$K:$K,MATCH(DraftSheet!$C64,ECR!$C:$C,0)),"ND")</x:f>
        <x:v>140</x:v>
      </x:c>
      <x:c r="I64" s="62"/>
      <x:c r="J64" s="64" t="n">
        <x:f>VLOOKUP(C64,Aggregate!AR:AZ,9,FALSE())</x:f>
        <x:v>-8.25405025</x:v>
      </x:c>
      <x:c r="K64" s="65"/>
      <x:c r="L64" s="53" t="n">
        <x:f>IFERROR(VLOOKUP(DraftSheet!$M64,Aggregate!$P:$AA,11,FALSE()),"")</x:f>
        <x:v>9</x:v>
      </x:c>
      <x:c r="M64" s="55" t="str">
        <x:f>Aggregate!P66</x:f>
        <x:v>Kaytron Allen</x:v>
      </x:c>
      <x:c r="N64" s="55" t="str">
        <x:f>VLOOKUP(DraftSheet!$M64,Aggregate!P:AA,4,FALSE())</x:f>
        <x:v>WAS/7</x:v>
      </x:c>
      <x:c r="O64" s="53" t="n">
        <x:f>IFERROR(VLOOKUP(DraftSheet!$M64,Aggregate!$P:$AA,8,FALSE()),"")</x:f>
        <x:v>59.34679302</x:v>
      </x:c>
      <x:c r="P64" s="53" t="n">
        <x:f>IF(Scoring!$K$6="Auction",IFERROR(VLOOKUP(DraftSheet!$M64,Aggregate!$P:$AA,10,FALSE()),""),IFERROR(VLOOKUP(DraftSheet!$M64,Aggregate!$P:$AA,9,FALSE()),""))</x:f>
        <x:v>-70.65353610441178</x:v>
      </x:c>
      <x:c r="Q64" s="61" t="n">
        <x:f>SUMIFS(T65:$T$84,S65:$S$84,"&lt;&gt;x",S65:$S$84,"&lt;&gt;o",T65:$T$84,"&gt;0")/Aggregate!$X$1</x:f>
        <x:v>0</x:v>
      </x:c>
      <x:c r="R64" s="53" t="n">
        <x:f t="array" ref="R64">IFERROR(INDEX(ECR!$K:$K,MATCH(DraftSheet!$M64,ECR!$C:$C,0)),"ND")</x:f>
        <x:v>203</x:v>
      </x:c>
      <x:c r="S64" s="62"/>
      <x:c r="T64" s="64" t="n">
        <x:f>VLOOKUP(M64,Aggregate!P:X,9,FALSE())</x:f>
        <x:v>-42.15324668</x:v>
      </x:c>
      <x:c r="U64" s="73"/>
      <x:c r="V64" s="53" t="n">
        <x:f>IFERROR(VLOOKUP(DraftSheet!$W64,Aggregate!$AD:$AO,11,FALSE()),"")</x:f>
        <x:v>6</x:v>
      </x:c>
      <x:c r="W64" s="55" t="str">
        <x:f>Aggregate!AD63</x:f>
        <x:v>Jerry Jeudy</x:v>
      </x:c>
      <x:c r="X64" s="55" t="str">
        <x:f>VLOOKUP(DraftSheet!$W64,Aggregate!AD:AO,4,FALSE())</x:f>
        <x:v>CLE/11</x:v>
      </x:c>
      <x:c r="Y64" s="53" t="n">
        <x:f>IFERROR(VLOOKUP(DraftSheet!$W64,Aggregate!$AD:$AO,8,FALSE()),"")</x:f>
        <x:v>86.25555882</x:v>
      </x:c>
      <x:c r="Z64" s="53" t="n">
        <x:f>IF(Scoring!$K$6="Auction",IFERROR(VLOOKUP(DraftSheet!$W64,Aggregate!$AD:$AO,10,FALSE()),""),IFERROR(VLOOKUP(DraftSheet!$W64,Aggregate!$AD:$AO,9,FALSE()),""))</x:f>
        <x:v>-15.939352933235284</x:v>
      </x:c>
      <x:c r="AA64" s="61" t="n">
        <x:f>SUMIFS($AD65:AD$84,$AC65:AC$84,"&lt;&gt;x",$AC65:AC$84,"&lt;&gt;o",$AD65:AD$84,"&gt;0")/Aggregate!$AL$1</x:f>
        <x:v>0</x:v>
      </x:c>
      <x:c r="AB64" s="53" t="n">
        <x:f t="array" ref="AB64">IFERROR(INDEX(ECR!$K:$K,MATCH(DraftSheet!$W64,ECR!$C:$C,0)),"ND")</x:f>
        <x:v>164</x:v>
      </x:c>
      <x:c r="AC64" s="62"/>
      <x:c r="AD64" s="64" t="n">
        <x:f>VLOOKUP(W64,Aggregate!AD:AL,9,FALSE())</x:f>
        <x:v>-15.05881765</x:v>
      </x:c>
      <x:c r="AE64" s="2"/>
      <x:c r="AF64" s="2"/>
      <x:c r="AG64" s="2"/>
      <x:c r="AH64" s="2"/>
    </x:row>
    <x:row r="65" ht="14.25" customHeight="1">
      <x:c r="A65" s="2"/>
      <x:c r="B65" s="53" t="n">
        <x:f>IFERROR(VLOOKUP(DraftSheet!$C65,Aggregate!$AR:$BC,11,FALSE()),"")</x:f>
        <x:v>5</x:v>
      </x:c>
      <x:c r="C65" s="55" t="str">
        <x:f>Aggregate!AR20</x:f>
        <x:v>Brenton Strange</x:v>
      </x:c>
      <x:c r="D65" s="55" t="str">
        <x:f>VLOOKUP(DraftSheet!$C65,Aggregate!AR:BD,4,FALSE())</x:f>
        <x:v>JAC/7</x:v>
      </x:c>
      <x:c r="E65" s="53" t="n">
        <x:f>IFERROR(VLOOKUP($C65,Aggregate!$AR:$BC,8,FALSE()),"")</x:f>
        <x:v>96.36205129</x:v>
      </x:c>
      <x:c r="F65" s="53" t="n">
        <x:f>IF(Scoring!$K$6="Auction",IFERROR(VLOOKUP($C65,Aggregate!$AR:$BC,10,FALSE()),""),IFERROR(VLOOKUP($C65,Aggregate!$AR:$BC,9,FALSE()),""))</x:f>
        <x:v>-8.982741436176468</x:v>
      </x:c>
      <x:c r="G65" s="61" t="n">
        <x:f>SUMIFS($J66:J$84,$I66:I$84,"&lt;&gt;x",$I66:I$84,"&lt;&gt;o",$J66:J$84,"&gt;0")/Aggregate!$AZ$1</x:f>
        <x:v>0</x:v>
      </x:c>
      <x:c r="H65" s="53" t="n">
        <x:f t="array" ref="H65">IFERROR(INDEX(ECR!$K:$K,MATCH(DraftSheet!$C65,ECR!$C:$C,0)),"ND")</x:f>
        <x:v>150</x:v>
      </x:c>
      <x:c r="I65" s="62"/>
      <x:c r="J65" s="64" t="n">
        <x:f>VLOOKUP(C65,Aggregate!AR:AZ,9,FALSE())</x:f>
        <x:v>-8.963507162</x:v>
      </x:c>
      <x:c r="K65" s="65"/>
      <x:c r="L65" s="53" t="n">
        <x:f>IFERROR(VLOOKUP(DraftSheet!$M65,Aggregate!$P:$AA,11,FALSE()),"")</x:f>
        <x:v>9</x:v>
      </x:c>
      <x:c r="M65" s="55" t="str">
        <x:f>Aggregate!P64</x:f>
        <x:v>Nicholas Singleton</x:v>
      </x:c>
      <x:c r="N65" s="55" t="str">
        <x:f>VLOOKUP(DraftSheet!$M65,Aggregate!P:AA,4,FALSE())</x:f>
        <x:v>TEN/9</x:v>
      </x:c>
      <x:c r="O65" s="53" t="n">
        <x:f>IFERROR(VLOOKUP(DraftSheet!$M65,Aggregate!$P:$AA,8,FALSE()),"")</x:f>
        <x:v>58.8881251</x:v>
      </x:c>
      <x:c r="P65" s="53" t="n">
        <x:f>IF(Scoring!$K$6="Auction",IFERROR(VLOOKUP(DraftSheet!$M65,Aggregate!$P:$AA,10,FALSE()),""),IFERROR(VLOOKUP(DraftSheet!$M65,Aggregate!$P:$AA,9,FALSE()),""))</x:f>
        <x:v>-71.11220402426471</x:v>
      </x:c>
      <x:c r="Q65" s="61" t="n">
        <x:f>SUMIFS($T65:T$85,$S65:S$85,"&lt;&gt;x",$S65:S$85,"&lt;&gt;o",$T65:T$85,"&gt;0")/Aggregate!$X$1</x:f>
        <x:v>0</x:v>
      </x:c>
      <x:c r="R65" s="53" t="n">
        <x:f t="array" ref="R65">IFERROR(INDEX(ECR!$K:$K,MATCH(DraftSheet!$M65,ECR!$C:$C,0)),"ND")</x:f>
        <x:v>190</x:v>
      </x:c>
      <x:c r="S65" s="62"/>
      <x:c r="T65" s="64" t="n">
        <x:f>VLOOKUP(M65,Aggregate!P:X,9,FALSE())</x:f>
        <x:v>-42.6119146</x:v>
      </x:c>
      <x:c r="U65" s="73"/>
      <x:c r="V65" s="53" t="n">
        <x:f>IFERROR(VLOOKUP(DraftSheet!$W65,Aggregate!$AD:$AO,11,FALSE()),"")</x:f>
        <x:v>6</x:v>
      </x:c>
      <x:c r="W65" s="55" t="str">
        <x:f>Aggregate!AD62</x:f>
        <x:v>Tre Tucker</x:v>
      </x:c>
      <x:c r="X65" s="55" t="str">
        <x:f>VLOOKUP(DraftSheet!$W65,Aggregate!AD:AO,4,FALSE())</x:f>
        <x:v>LV/13</x:v>
      </x:c>
      <x:c r="Y65" s="53" t="n">
        <x:f>IFERROR(VLOOKUP(DraftSheet!$W65,Aggregate!$AD:$AO,8,FALSE()),"")</x:f>
        <x:v>85.41083824</x:v>
      </x:c>
      <x:c r="Z65" s="53" t="n">
        <x:f>IF(Scoring!$K$6="Auction",IFERROR(VLOOKUP(DraftSheet!$W65,Aggregate!$AD:$AO,10,FALSE()),""),IFERROR(VLOOKUP(DraftSheet!$W65,Aggregate!$AD:$AO,9,FALSE()),""))</x:f>
        <x:v>-16.78407352147059</x:v>
      </x:c>
      <x:c r="AA65" s="61" t="n">
        <x:f>SUMIFS(AD65:$AD$85,AC65:$AC$85,"&lt;&gt;x",AC65:$AC$85,"&lt;&gt;o",AD65:$AD$85,"&gt;0")/Aggregate!$AL$1</x:f>
        <x:v>0</x:v>
      </x:c>
      <x:c r="AB65" s="53" t="n">
        <x:f t="array" ref="AB65">IFERROR(INDEX(ECR!$K:$K,MATCH(DraftSheet!$W65,ECR!$C:$C,0)),"ND")</x:f>
        <x:v>163</x:v>
      </x:c>
      <x:c r="AC65" s="62"/>
      <x:c r="AD65" s="64" t="n">
        <x:f>VLOOKUP(W65,Aggregate!AD:AL,9,FALSE())</x:f>
        <x:v>-15.90353824</x:v>
      </x:c>
      <x:c r="AE65" s="2"/>
      <x:c r="AF65" s="2"/>
      <x:c r="AG65" s="2"/>
      <x:c r="AH65" s="2"/>
    </x:row>
    <x:row r="66" ht="14.25" customHeight="1">
      <x:c r="A66" s="2"/>
      <x:c r="B66" s="53" t="n">
        <x:f>IFERROR(VLOOKUP(DraftSheet!$C66,Aggregate!$AR:$BC,11,FALSE()),"")</x:f>
        <x:v>6</x:v>
      </x:c>
      <x:c r="C66" s="55" t="str">
        <x:f>Aggregate!AR22</x:f>
        <x:v>Dalton Schultz</x:v>
      </x:c>
      <x:c r="D66" s="55" t="str">
        <x:f>VLOOKUP(DraftSheet!$C66,Aggregate!AR:BD,4,FALSE())</x:f>
        <x:v>HOU/8</x:v>
      </x:c>
      <x:c r="E66" s="53" t="n">
        <x:f>IFERROR(VLOOKUP($C66,Aggregate!$AR:$BC,8,FALSE()),"")</x:f>
        <x:v>89.52595191</x:v>
      </x:c>
      <x:c r="F66" s="53" t="n">
        <x:f>IF(Scoring!$K$6="Auction",IFERROR(VLOOKUP($C66,Aggregate!$AR:$BC,10,FALSE()),""),IFERROR(VLOOKUP($C66,Aggregate!$AR:$BC,9,FALSE()),""))</x:f>
        <x:v>-15.81827787632352</x:v>
      </x:c>
      <x:c r="G66" s="61" t="n">
        <x:f>SUMIFS(J66:$J$85,I66:$I$85,"&lt;&gt;x",I66:$I$85,"&lt;&gt;o",J66:$J$85,"&gt;0")/Aggregate!$AZ$1</x:f>
        <x:v>0</x:v>
      </x:c>
      <x:c r="H66" s="53" t="n">
        <x:f t="array" ref="H66">IFERROR(INDEX(ECR!$K:$K,MATCH(DraftSheet!$C66,ECR!$C:$C,0)),"ND")</x:f>
        <x:v>156</x:v>
      </x:c>
      <x:c r="I66" s="62"/>
      <x:c r="J66" s="64" t="n">
        <x:f>VLOOKUP(C66,Aggregate!AR:AZ,9,FALSE())</x:f>
        <x:v>-15.79960654</x:v>
      </x:c>
      <x:c r="K66" s="65"/>
      <x:c r="L66" s="53" t="n">
        <x:f>IFERROR(VLOOKUP(DraftSheet!$M66,Aggregate!$P:$AA,11,FALSE()),"")</x:f>
        <x:v>9</x:v>
      </x:c>
      <x:c r="M66" s="55" t="str">
        <x:f>Aggregate!P79</x:f>
        <x:v>Samaje Perine</x:v>
      </x:c>
      <x:c r="N66" s="55" t="str">
        <x:f>VLOOKUP(DraftSheet!$M66,Aggregate!P:AA,4,FALSE())</x:f>
        <x:v>CIN/6</x:v>
      </x:c>
      <x:c r="O66" s="53" t="n">
        <x:f>IFERROR(VLOOKUP(DraftSheet!$M66,Aggregate!$P:$AA,8,FALSE()),"")</x:f>
        <x:v>56.95545882</x:v>
      </x:c>
      <x:c r="P66" s="53" t="n">
        <x:f>IF(Scoring!$K$6="Auction",IFERROR(VLOOKUP(DraftSheet!$M66,Aggregate!$P:$AA,10,FALSE()),""),IFERROR(VLOOKUP(DraftSheet!$M66,Aggregate!$P:$AA,9,FALSE()),""))</x:f>
        <x:v>-73.04487030191177</x:v>
      </x:c>
      <x:c r="Q66" s="61" t="n">
        <x:f>SUMIFS($T66:T$85,$S66:S$85,"&lt;&gt;x",$S66:S$85,"&lt;&gt;o",$T66:T$85,"&gt;0")/Aggregate!$X$1</x:f>
        <x:v>0</x:v>
      </x:c>
      <x:c r="R66" s="53" t="n">
        <x:f t="array" ref="R66">IFERROR(INDEX(ECR!$K:$K,MATCH(DraftSheet!$M66,ECR!$C:$C,0)),"ND")</x:f>
        <x:v>260</x:v>
      </x:c>
      <x:c r="S66" s="62"/>
      <x:c r="T66" s="64" t="n">
        <x:f>VLOOKUP(M66,Aggregate!P:X,9,FALSE())</x:f>
        <x:v>-44.54458088</x:v>
      </x:c>
      <x:c r="U66" s="73"/>
      <x:c r="V66" s="53" t="n">
        <x:f>IFERROR(VLOOKUP(DraftSheet!$W66,Aggregate!$AD:$AO,11,FALSE()),"")</x:f>
        <x:v>6</x:v>
      </x:c>
      <x:c r="W66" s="55" t="str">
        <x:f>Aggregate!AD76</x:f>
        <x:v>Tank Dell</x:v>
      </x:c>
      <x:c r="X66" s="55" t="str">
        <x:f>VLOOKUP(DraftSheet!$W66,Aggregate!AD:AO,4,FALSE())</x:f>
        <x:v>HOU/8</x:v>
      </x:c>
      <x:c r="Y66" s="53" t="n">
        <x:f>IFERROR(VLOOKUP(DraftSheet!$W66,Aggregate!$AD:$AO,8,FALSE()),"")</x:f>
        <x:v>84.82839706</x:v>
      </x:c>
      <x:c r="Z66" s="53" t="n">
        <x:f>IF(Scoring!$K$6="Auction",IFERROR(VLOOKUP(DraftSheet!$W66,Aggregate!$AD:$AO,10,FALSE()),""),IFERROR(VLOOKUP(DraftSheet!$W66,Aggregate!$AD:$AO,9,FALSE()),""))</x:f>
        <x:v>-17.36651469970589</x:v>
      </x:c>
      <x:c r="AA66" s="61" t="n">
        <x:f>SUMIFS($AD67:AD$84,$AC67:AC$84,"&lt;&gt;x",$AC67:AC$84,"&lt;&gt;o",$AD67:AD$84,"&gt;0")/Aggregate!$AL$1</x:f>
        <x:v>0</x:v>
      </x:c>
      <x:c r="AB66" s="53" t="n">
        <x:f t="array" ref="AB66">IFERROR(INDEX(ECR!$K:$K,MATCH(DraftSheet!$W66,ECR!$C:$C,0)),"ND")</x:f>
        <x:v>189</x:v>
      </x:c>
      <x:c r="AC66" s="62"/>
      <x:c r="AD66" s="64" t="n">
        <x:f>VLOOKUP(W66,Aggregate!AD:AL,9,FALSE())</x:f>
        <x:v>-16.48597941</x:v>
      </x:c>
      <x:c r="AE66" s="2"/>
      <x:c r="AF66" s="2"/>
      <x:c r="AG66" s="2"/>
      <x:c r="AH66" s="2"/>
    </x:row>
    <x:row r="67" ht="14.25" customHeight="1">
      <x:c r="A67" s="2"/>
      <x:c r="B67" s="53" t="n">
        <x:f>IFERROR(VLOOKUP(DraftSheet!$C67,Aggregate!$AR:$BC,11,FALSE()),"")</x:f>
        <x:v>6</x:v>
      </x:c>
      <x:c r="C67" s="55" t="str">
        <x:f>Aggregate!AR24</x:f>
        <x:v>T.J. Hockenson</x:v>
      </x:c>
      <x:c r="D67" s="55" t="str">
        <x:f>VLOOKUP(DraftSheet!$C67,Aggregate!AR:BD,4,FALSE())</x:f>
        <x:v>MIN/6</x:v>
      </x:c>
      <x:c r="E67" s="53" t="n">
        <x:f>IFERROR(VLOOKUP($C67,Aggregate!$AR:$BC,8,FALSE()),"")</x:f>
        <x:v>86.54392406</x:v>
      </x:c>
      <x:c r="F67" s="53" t="n">
        <x:f>IF(Scoring!$K$6="Auction",IFERROR(VLOOKUP($C67,Aggregate!$AR:$BC,10,FALSE()),""),IFERROR(VLOOKUP($C67,Aggregate!$AR:$BC,9,FALSE()),""))</x:f>
        <x:v>-18.819199847058826</x:v>
      </x:c>
      <x:c r="G67" s="61" t="n">
        <x:f>SUMIFS($J68:J$84,$I68:I$84,"&lt;&gt;x",$I68:I$84,"&lt;&gt;o",$J68:J$84,"&gt;0")/Aggregate!$AZ$1</x:f>
        <x:v>0</x:v>
      </x:c>
      <x:c r="H67" s="53" t="n">
        <x:f t="array" ref="H67">IFERROR(INDEX(ECR!$K:$K,MATCH(DraftSheet!$C67,ECR!$C:$C,0)),"ND")</x:f>
        <x:v>173</x:v>
      </x:c>
      <x:c r="I67" s="62"/>
      <x:c r="J67" s="64" t="n">
        <x:f>VLOOKUP(C67,Aggregate!AR:AZ,9,FALSE())</x:f>
        <x:v>-18.7816344</x:v>
      </x:c>
      <x:c r="K67" s="65"/>
      <x:c r="L67" s="53" t="n">
        <x:f>IFERROR(VLOOKUP(DraftSheet!$M67,Aggregate!$P:$AA,11,FALSE()),"")</x:f>
        <x:v>9</x:v>
      </x:c>
      <x:c r="M67" s="55" t="str">
        <x:f>Aggregate!P74</x:f>
        <x:v>Demond Claiborne</x:v>
      </x:c>
      <x:c r="N67" s="55" t="str">
        <x:f>VLOOKUP(DraftSheet!$M67,Aggregate!P:AA,4,FALSE())</x:f>
        <x:v>MIN/6</x:v>
      </x:c>
      <x:c r="O67" s="53" t="n">
        <x:f>IFERROR(VLOOKUP(DraftSheet!$M67,Aggregate!$P:$AA,8,FALSE()),"")</x:f>
        <x:v>53.93181872</x:v>
      </x:c>
      <x:c r="P67" s="53" t="n">
        <x:f>IF(Scoring!$K$6="Auction",IFERROR(VLOOKUP(DraftSheet!$M67,Aggregate!$P:$AA,10,FALSE()),""),IFERROR(VLOOKUP(DraftSheet!$M67,Aggregate!$P:$AA,9,FALSE()),""))</x:f>
        <x:v>-76.06851040514707</x:v>
      </x:c>
      <x:c r="Q67" s="61" t="n">
        <x:f>SUMIFS($T68:T$84,$S68:S$84,"&lt;&gt;x",$S68:S$84,"&lt;&gt;o",$T68:T$84,"&gt;0")/Aggregate!$X$1</x:f>
        <x:v>0</x:v>
      </x:c>
      <x:c r="R67" s="53" t="n">
        <x:f t="array" ref="R67">IFERROR(INDEX(ECR!$K:$K,MATCH(DraftSheet!$M67,ECR!$C:$C,0)),"ND")</x:f>
        <x:v>245</x:v>
      </x:c>
      <x:c r="S67" s="62"/>
      <x:c r="T67" s="64" t="n">
        <x:f>VLOOKUP(M67,Aggregate!P:X,9,FALSE())</x:f>
        <x:v>-47.56822099</x:v>
      </x:c>
      <x:c r="U67" s="73"/>
      <x:c r="V67" s="53" t="n">
        <x:f>IFERROR(VLOOKUP(DraftSheet!$W67,Aggregate!$AD:$AO,11,FALSE()),"")</x:f>
        <x:v>6</x:v>
      </x:c>
      <x:c r="W67" s="55" t="str">
        <x:f>Aggregate!AD65</x:f>
        <x:v>Jalen McMillan</x:v>
      </x:c>
      <x:c r="X67" s="55" t="str">
        <x:f>VLOOKUP(DraftSheet!$W67,Aggregate!AD:AO,4,FALSE())</x:f>
        <x:v>TB/10</x:v>
      </x:c>
      <x:c r="Y67" s="53" t="n">
        <x:f>IFERROR(VLOOKUP(DraftSheet!$W67,Aggregate!$AD:$AO,8,FALSE()),"")</x:f>
        <x:v>81.52092706</x:v>
      </x:c>
      <x:c r="Z67" s="53" t="n">
        <x:f>IF(Scoring!$K$6="Auction",IFERROR(VLOOKUP(DraftSheet!$W67,Aggregate!$AD:$AO,10,FALSE()),""),IFERROR(VLOOKUP(DraftSheet!$W67,Aggregate!$AD:$AO,9,FALSE()),""))</x:f>
        <x:v>-20.67398469911764</x:v>
      </x:c>
      <x:c r="AA67" s="61" t="n">
        <x:f>SUMIFS($AD68:AD$84,$AC68:AC$84,"&lt;&gt;x",$AC68:AC$84,"&lt;&gt;o",$AD68:AD$84,"&gt;0")/Aggregate!$AL$1</x:f>
        <x:v>0</x:v>
      </x:c>
      <x:c r="AB67" s="53" t="n">
        <x:f t="array" ref="AB67">IFERROR(INDEX(ECR!$K:$K,MATCH(DraftSheet!$W67,ECR!$C:$C,0)),"ND")</x:f>
        <x:v>166</x:v>
      </x:c>
      <x:c r="AC67" s="62"/>
      <x:c r="AD67" s="64" t="n">
        <x:f>VLOOKUP(W67,Aggregate!AD:AL,9,FALSE())</x:f>
        <x:v>-19.79344941</x:v>
      </x:c>
      <x:c r="AE67" s="2"/>
      <x:c r="AF67" s="2"/>
      <x:c r="AG67" s="2"/>
      <x:c r="AH67" s="2"/>
    </x:row>
    <x:row r="68" ht="14.25" customHeight="1">
      <x:c r="A68" s="2"/>
      <x:c r="B68" s="53" t="n">
        <x:f>IFERROR(VLOOKUP(DraftSheet!$C68,Aggregate!$AR:$BC,11,FALSE()),"")</x:f>
        <x:v>6</x:v>
      </x:c>
      <x:c r="C68" s="55" t="str">
        <x:f>Aggregate!AR30</x:f>
        <x:v>Pat Freiermuth</x:v>
      </x:c>
      <x:c r="D68" s="55" t="str">
        <x:f>VLOOKUP(DraftSheet!$C68,Aggregate!AR:BD,4,FALSE())</x:f>
        <x:v>PIT/9</x:v>
      </x:c>
      <x:c r="E68" s="53" t="n">
        <x:f>IFERROR(VLOOKUP($C68,Aggregate!$AR:$BC,8,FALSE()),"")</x:f>
        <x:v>83.12144529</x:v>
      </x:c>
      <x:c r="F68" s="53" t="n">
        <x:f>IF(Scoring!$K$6="Auction",IFERROR(VLOOKUP($C68,Aggregate!$AR:$BC,10,FALSE()),""),IFERROR(VLOOKUP($C68,Aggregate!$AR:$BC,9,FALSE()),""))</x:f>
        <x:v>-22.197970671764722</x:v>
      </x:c>
      <x:c r="G68" s="61" t="n">
        <x:f>SUMIFS($J69:J$84,$I69:I$84,"&lt;&gt;x",$I69:I$84,"&lt;&gt;o",$J69:J$84,"&gt;0")/Aggregate!$AZ$1</x:f>
        <x:v>0</x:v>
      </x:c>
      <x:c r="H68" s="53" t="n">
        <x:f t="array" ref="H68">IFERROR(INDEX(ECR!$K:$K,MATCH(DraftSheet!$C68,ECR!$C:$C,0)),"ND")</x:f>
        <x:v>204</x:v>
      </x:c>
      <x:c r="I68" s="62"/>
      <x:c r="J68" s="64" t="n">
        <x:f>VLOOKUP(C68,Aggregate!AR:AZ,9,FALSE())</x:f>
        <x:v>-22.20411316</x:v>
      </x:c>
      <x:c r="K68" s="65"/>
      <x:c r="L68" s="53" t="n">
        <x:f>IFERROR(VLOOKUP(DraftSheet!$M68,Aggregate!$P:$AA,11,FALSE()),"")</x:f>
        <x:v>9</x:v>
      </x:c>
      <x:c r="M68" s="55" t="str">
        <x:f>Aggregate!P80</x:f>
        <x:v>Ty Johnson</x:v>
      </x:c>
      <x:c r="N68" s="55" t="str">
        <x:f>VLOOKUP(DraftSheet!$M68,Aggregate!P:AA,4,FALSE())</x:f>
        <x:v>BUF/7</x:v>
      </x:c>
      <x:c r="O68" s="53" t="n">
        <x:f>IFERROR(VLOOKUP(DraftSheet!$M68,Aggregate!$P:$AA,8,FALSE()),"")</x:f>
        <x:v>52.36521294</x:v>
      </x:c>
      <x:c r="P68" s="53" t="n">
        <x:f>IF(Scoring!$K$6="Auction",IFERROR(VLOOKUP(DraftSheet!$M68,Aggregate!$P:$AA,10,FALSE()),""),IFERROR(VLOOKUP(DraftSheet!$M68,Aggregate!$P:$AA,9,FALSE()),""))</x:f>
        <x:v>-77.6351161832353</x:v>
      </x:c>
      <x:c r="Q68" s="61" t="n">
        <x:f>SUMIFS($T69:T$84,$S69:S$84,"&lt;&gt;x",$S69:S$84,"&lt;&gt;o",$T69:T$84,"&gt;0")/Aggregate!$X$1</x:f>
        <x:v>0</x:v>
      </x:c>
      <x:c r="R68" s="53" t="n">
        <x:f t="array" ref="R68">IFERROR(INDEX(ECR!$K:$K,MATCH(DraftSheet!$M68,ECR!$C:$C,0)),"ND")</x:f>
        <x:v>264</x:v>
      </x:c>
      <x:c r="S68" s="62"/>
      <x:c r="T68" s="64" t="n">
        <x:f>VLOOKUP(M68,Aggregate!P:X,9,FALSE())</x:f>
        <x:v>-49.13482676</x:v>
      </x:c>
      <x:c r="U68" s="73"/>
      <x:c r="V68" s="53" t="n">
        <x:f>IFERROR(VLOOKUP(DraftSheet!$W68,Aggregate!$AD:$AO,11,FALSE()),"")</x:f>
        <x:v>6</x:v>
      </x:c>
      <x:c r="W68" s="55" t="str">
        <x:f>Aggregate!AD64</x:f>
        <x:v>Jauan Jennings</x:v>
      </x:c>
      <x:c r="X68" s="55" t="str">
        <x:f>VLOOKUP(DraftSheet!$W68,Aggregate!AD:AO,4,FALSE())</x:f>
        <x:v>MIN/6</x:v>
      </x:c>
      <x:c r="Y68" s="53" t="n">
        <x:f>IFERROR(VLOOKUP(DraftSheet!$W68,Aggregate!$AD:$AO,8,FALSE()),"")</x:f>
        <x:v>81.32383765</x:v>
      </x:c>
      <x:c r="Z68" s="53" t="n">
        <x:f>IF(Scoring!$K$6="Auction",IFERROR(VLOOKUP(DraftSheet!$W68,Aggregate!$AD:$AO,10,FALSE()),""),IFERROR(VLOOKUP(DraftSheet!$W68,Aggregate!$AD:$AO,9,FALSE()),""))</x:f>
        <x:v>-20.871074109705873</x:v>
      </x:c>
      <x:c r="AA68" s="61" t="n">
        <x:f>SUMIFS($AD69:AD$84,$AC69:AC$84,"&lt;&gt;x",$AC69:AC$84,"&lt;&gt;o",$AD69:AD$84,"&gt;0")/Aggregate!$AL$1</x:f>
        <x:v>0</x:v>
      </x:c>
      <x:c r="AB68" s="53" t="n">
        <x:f t="array" ref="AB68">IFERROR(INDEX(ECR!$K:$K,MATCH(DraftSheet!$W68,ECR!$C:$C,0)),"ND")</x:f>
        <x:v>165</x:v>
      </x:c>
      <x:c r="AC68" s="62"/>
      <x:c r="AD68" s="64" t="n">
        <x:f>VLOOKUP(W68,Aggregate!AD:AL,9,FALSE())</x:f>
        <x:v>-19.99053882</x:v>
      </x:c>
      <x:c r="AE68" s="2"/>
      <x:c r="AF68" s="2"/>
      <x:c r="AG68" s="2"/>
      <x:c r="AH68" s="2"/>
    </x:row>
    <x:row r="69" ht="14.25" customHeight="1">
      <x:c r="A69" s="2"/>
      <x:c r="B69" s="53" t="n">
        <x:f>IFERROR(VLOOKUP(DraftSheet!$C69,Aggregate!$AR:$BC,11,FALSE()),"")</x:f>
        <x:v>6</x:v>
      </x:c>
      <x:c r="C69" s="55" t="str">
        <x:f>Aggregate!AR27</x:f>
        <x:v>Kenyon Sadiq</x:v>
      </x:c>
      <x:c r="D69" s="55" t="str">
        <x:f>VLOOKUP(DraftSheet!$C69,Aggregate!AR:BD,4,FALSE())</x:f>
        <x:v>NYJ/13</x:v>
      </x:c>
      <x:c r="E69" s="53" t="n">
        <x:f>IFERROR(VLOOKUP($C69,Aggregate!$AR:$BC,8,FALSE()),"")</x:f>
        <x:v>82.04916465</x:v>
      </x:c>
      <x:c r="F69" s="53" t="n">
        <x:f>IF(Scoring!$K$6="Auction",IFERROR(VLOOKUP($C69,Aggregate!$AR:$BC,10,FALSE()),""),IFERROR(VLOOKUP($C69,Aggregate!$AR:$BC,9,FALSE()),""))</x:f>
        <x:v>-22.993408524264694</x:v>
      </x:c>
      <x:c r="G69" s="61" t="n">
        <x:f>SUMIFS(J69:$J$84,I69:$I$84,"&lt;&gt;x",I69:$I$84,"&lt;&gt;o",J69:$J$84,"&gt;0")/Aggregate!$AZ$1</x:f>
        <x:v>0</x:v>
      </x:c>
      <x:c r="H69" s="53" t="n">
        <x:f t="array" ref="H69">IFERROR(INDEX(ECR!$K:$K,MATCH(DraftSheet!$C69,ECR!$C:$C,0)),"ND")</x:f>
        <x:v>187</x:v>
      </x:c>
      <x:c r="I69" s="62"/>
      <x:c r="J69" s="64" t="n">
        <x:f>VLOOKUP(C69,Aggregate!AR:AZ,9,FALSE())</x:f>
        <x:v>-23.27639381</x:v>
      </x:c>
      <x:c r="K69" s="65"/>
      <x:c r="L69" s="53" t="n">
        <x:f>IFERROR(VLOOKUP(DraftSheet!$M69,Aggregate!$P:$AA,11,FALSE()),"")</x:f>
        <x:v>9</x:v>
      </x:c>
      <x:c r="M69" s="55" t="str">
        <x:f>Aggregate!P78</x:f>
        <x:v>Jordan James</x:v>
      </x:c>
      <x:c r="N69" s="55" t="str">
        <x:f>VLOOKUP(DraftSheet!$M69,Aggregate!P:AA,4,FALSE())</x:f>
        <x:v>SF/8</x:v>
      </x:c>
      <x:c r="O69" s="53" t="n">
        <x:f>IFERROR(VLOOKUP(DraftSheet!$M69,Aggregate!$P:$AA,8,FALSE()),"")</x:f>
        <x:v>47.08392235</x:v>
      </x:c>
      <x:c r="P69" s="53" t="n">
        <x:f>IF(Scoring!$K$6="Auction",IFERROR(VLOOKUP(DraftSheet!$M69,Aggregate!$P:$AA,10,FALSE()),""),IFERROR(VLOOKUP(DraftSheet!$M69,Aggregate!$P:$AA,9,FALSE()),""))</x:f>
        <x:v>-82.91640677117648</x:v>
      </x:c>
      <x:c r="Q69" s="61" t="n">
        <x:f>SUMIFS(T$66:$T88,S$66:$S88,"&lt;&gt;x",S$66:$S88,"&lt;&gt;o",T$66:$T88,"&gt;0")/Aggregate!$X$1</x:f>
        <x:v>0</x:v>
      </x:c>
      <x:c r="R69" s="53" t="n">
        <x:f t="array" ref="R69">IFERROR(INDEX(ECR!$K:$K,MATCH(DraftSheet!$M69,ECR!$C:$C,0)),"ND")</x:f>
        <x:v>259</x:v>
      </x:c>
      <x:c r="S69" s="62"/>
      <x:c r="T69" s="64" t="n">
        <x:f>VLOOKUP(M69,Aggregate!P:X,9,FALSE())</x:f>
        <x:v>-54.41611735</x:v>
      </x:c>
      <x:c r="U69" s="73"/>
      <x:c r="V69" s="53" t="n">
        <x:f>IFERROR(VLOOKUP(DraftSheet!$W69,Aggregate!$AD:$AO,11,FALSE()),"")</x:f>
        <x:v>6</x:v>
      </x:c>
      <x:c r="W69" s="55" t="str">
        <x:f>Aggregate!AD72</x:f>
        <x:v>Omar Cooper Jr.</x:v>
      </x:c>
      <x:c r="X69" s="55" t="str">
        <x:f>VLOOKUP(DraftSheet!$W69,Aggregate!AD:AO,4,FALSE())</x:f>
        <x:v>NYJ/13</x:v>
      </x:c>
      <x:c r="Y69" s="53" t="n">
        <x:f>IFERROR(VLOOKUP(DraftSheet!$W69,Aggregate!$AD:$AO,8,FALSE()),"")</x:f>
        <x:v>80.89210765</x:v>
      </x:c>
      <x:c r="Z69" s="53" t="n">
        <x:f>IF(Scoring!$K$6="Auction",IFERROR(VLOOKUP(DraftSheet!$W69,Aggregate!$AD:$AO,10,FALSE()),""),IFERROR(VLOOKUP(DraftSheet!$W69,Aggregate!$AD:$AO,9,FALSE()),""))</x:f>
        <x:v>-21.302804109705875</x:v>
      </x:c>
      <x:c r="AA69" s="61" t="n">
        <x:f>SUMIFS($AD70:AD$84,$AC70:AC$84,"&lt;&gt;x",$AC70:AC$84,"&lt;&gt;o",$AD70:AD$84,"&gt;0")/Aggregate!$AL$1</x:f>
        <x:v>0</x:v>
      </x:c>
      <x:c r="AB69" s="53" t="n">
        <x:f t="array" ref="AB69">IFERROR(INDEX(ECR!$K:$K,MATCH(DraftSheet!$W69,ECR!$C:$C,0)),"ND")</x:f>
        <x:v>181</x:v>
      </x:c>
      <x:c r="AC69" s="62"/>
      <x:c r="AD69" s="64" t="n">
        <x:f>VLOOKUP(W69,Aggregate!AD:AL,9,FALSE())</x:f>
        <x:v>-20.42226882</x:v>
      </x:c>
      <x:c r="AE69" s="2"/>
      <x:c r="AF69" s="2"/>
      <x:c r="AG69" s="2"/>
      <x:c r="AH69" s="2"/>
    </x:row>
    <x:row r="70" ht="14.25" customHeight="1">
      <x:c r="A70" s="2"/>
      <x:c r="B70" s="53" t="n">
        <x:f>IFERROR(VLOOKUP(DraftSheet!$C70,Aggregate!$AR:$BC,11,FALSE()),"")</x:f>
        <x:v>6</x:v>
      </x:c>
      <x:c r="C70" s="55" t="str">
        <x:f>Aggregate!AR29</x:f>
        <x:v>Cade Otton</x:v>
      </x:c>
      <x:c r="D70" s="55" t="str">
        <x:f>VLOOKUP(DraftSheet!$C70,Aggregate!AR:BD,4,FALSE())</x:f>
        <x:v>TB/10</x:v>
      </x:c>
      <x:c r="E70" s="53" t="n">
        <x:f>IFERROR(VLOOKUP($C70,Aggregate!$AR:$BC,8,FALSE()),"")</x:f>
        <x:v>81.877313</x:v>
      </x:c>
      <x:c r="F70" s="53" t="n">
        <x:f>IF(Scoring!$K$6="Auction",IFERROR(VLOOKUP($C70,Aggregate!$AR:$BC,10,FALSE()),""),IFERROR(VLOOKUP($C70,Aggregate!$AR:$BC,9,FALSE()),""))</x:f>
        <x:v>-23.50352031735295</x:v>
      </x:c>
      <x:c r="G70" s="61" t="n">
        <x:f>SUMIFS($J71:J$84,$I71:I$84,"&lt;&gt;x",$I71:I$84,"&lt;&gt;o",$J71:J$84,"&gt;0")/Aggregate!$AZ$1</x:f>
        <x:v>0</x:v>
      </x:c>
      <x:c r="H70" s="53" t="n">
        <x:f t="array" ref="H70">IFERROR(INDEX(ECR!$K:$K,MATCH(DraftSheet!$C70,ECR!$C:$C,0)),"ND")</x:f>
        <x:v>202</x:v>
      </x:c>
      <x:c r="I70" s="62"/>
      <x:c r="J70" s="64" t="n">
        <x:f>VLOOKUP(C70,Aggregate!AR:AZ,9,FALSE())</x:f>
        <x:v>-23.44824546</x:v>
      </x:c>
      <x:c r="K70" s="65"/>
      <x:c r="L70" s="53" t="n">
        <x:f>IFERROR(VLOOKUP(DraftSheet!$M70,Aggregate!$P:$AA,11,FALSE()),"")</x:f>
        <x:v>9</x:v>
      </x:c>
      <x:c r="M70" s="55" t="str">
        <x:f>Aggregate!P63</x:f>
        <x:v>Kimani Vidal</x:v>
      </x:c>
      <x:c r="N70" s="55" t="str">
        <x:f>VLOOKUP(DraftSheet!$M70,Aggregate!P:AA,4,FALSE())</x:f>
        <x:v>LAC/7</x:v>
      </x:c>
      <x:c r="O70" s="53" t="n">
        <x:f>IFERROR(VLOOKUP(DraftSheet!$M70,Aggregate!$P:$AA,8,FALSE()),"")</x:f>
        <x:v>44.77203229</x:v>
      </x:c>
      <x:c r="P70" s="53" t="n">
        <x:f>IF(Scoring!$K$6="Auction",IFERROR(VLOOKUP(DraftSheet!$M70,Aggregate!$P:$AA,10,FALSE()),""),IFERROR(VLOOKUP(DraftSheet!$M70,Aggregate!$P:$AA,9,FALSE()),""))</x:f>
        <x:v>-85.22829683470589</x:v>
      </x:c>
      <x:c r="Q70" s="61" t="n">
        <x:f>SUMIFS(T71:$T$84,S71:$S$84,"&lt;&gt;x",S71:$S$84,"&lt;&gt;o",T71:$T$84,"&gt;0")/Aggregate!$X$1</x:f>
        <x:v>0</x:v>
      </x:c>
      <x:c r="R70" s="53" t="n">
        <x:f t="array" ref="R70">IFERROR(INDEX(ECR!$K:$K,MATCH(DraftSheet!$M70,ECR!$C:$C,0)),"ND")</x:f>
        <x:v>185</x:v>
      </x:c>
      <x:c r="S70" s="62"/>
      <x:c r="T70" s="64" t="n">
        <x:f>VLOOKUP(M70,Aggregate!P:X,9,FALSE())</x:f>
        <x:v>-56.72800742</x:v>
      </x:c>
      <x:c r="U70" s="73"/>
      <x:c r="V70" s="53" t="n">
        <x:f>IFERROR(VLOOKUP(DraftSheet!$W70,Aggregate!$AD:$AO,11,FALSE()),"")</x:f>
        <x:v>6</x:v>
      </x:c>
      <x:c r="W70" s="55" t="str">
        <x:f>Aggregate!AD79</x:f>
        <x:v>Rashod Bateman</x:v>
      </x:c>
      <x:c r="X70" s="55" t="str">
        <x:f>VLOOKUP(DraftSheet!$W70,Aggregate!AD:AO,4,FALSE())</x:f>
        <x:v>BAL/13</x:v>
      </x:c>
      <x:c r="Y70" s="53" t="n">
        <x:f>IFERROR(VLOOKUP(DraftSheet!$W70,Aggregate!$AD:$AO,8,FALSE()),"")</x:f>
        <x:v>80.70427941</x:v>
      </x:c>
      <x:c r="Z70" s="53" t="n">
        <x:f>IF(Scoring!$K$6="Auction",IFERROR(VLOOKUP(DraftSheet!$W70,Aggregate!$AD:$AO,10,FALSE()),""),IFERROR(VLOOKUP(DraftSheet!$W70,Aggregate!$AD:$AO,9,FALSE()),""))</x:f>
        <x:v>-21.490632346617645</x:v>
      </x:c>
      <x:c r="AA70" s="61" t="n">
        <x:f>SUMIFS(AD70:$AD$85,AC70:$AC$85,"&lt;&gt;x",AC70:$AC$85,"&lt;&gt;o",AD70:$AD$85,"&gt;0")/Aggregate!$AL$1</x:f>
        <x:v>0</x:v>
      </x:c>
      <x:c r="AB70" s="53" t="n">
        <x:f t="array" ref="AB70">IFERROR(INDEX(ECR!$K:$K,MATCH(DraftSheet!$W70,ECR!$C:$C,0)),"ND")</x:f>
        <x:v>198</x:v>
      </x:c>
      <x:c r="AC70" s="62"/>
      <x:c r="AD70" s="64" t="n">
        <x:f>VLOOKUP(W70,Aggregate!AD:AL,9,FALSE())</x:f>
        <x:v>-20.61009706</x:v>
      </x:c>
      <x:c r="AE70" s="2"/>
      <x:c r="AF70" s="2"/>
      <x:c r="AG70" s="2"/>
      <x:c r="AH70" s="2"/>
    </x:row>
    <x:row r="71" ht="14.25" customHeight="1">
      <x:c r="A71" s="2"/>
      <x:c r="B71" s="53" t="n">
        <x:f>IFERROR(VLOOKUP(DraftSheet!$C71,Aggregate!$AR:$BC,11,FALSE()),"")</x:f>
        <x:v>6</x:v>
      </x:c>
      <x:c r="C71" s="55" t="str">
        <x:f>Aggregate!AR23</x:f>
        <x:v>AJ Barner</x:v>
      </x:c>
      <x:c r="D71" s="55" t="str">
        <x:f>VLOOKUP(DraftSheet!$C71,Aggregate!AR:BD,4,FALSE())</x:f>
        <x:v>SEA/11</x:v>
      </x:c>
      <x:c r="E71" s="53" t="n">
        <x:f>IFERROR(VLOOKUP($C71,Aggregate!$AR:$BC,8,FALSE()),"")</x:f>
        <x:v>81.5383314</x:v>
      </x:c>
      <x:c r="F71" s="53" t="n">
        <x:f>IF(Scoring!$K$6="Auction",IFERROR(VLOOKUP($C71,Aggregate!$AR:$BC,10,FALSE()),""),IFERROR(VLOOKUP($C71,Aggregate!$AR:$BC,9,FALSE()),""))</x:f>
        <x:v>-23.785919714264693</x:v>
      </x:c>
      <x:c r="G71" s="61" t="n">
        <x:f>SUMIFS($J72:J$84,$I72:I$84,"&lt;&gt;x",$I72:I$84,"&lt;&gt;o",$J72:J$84,"&gt;0")/Aggregate!$AZ$1</x:f>
        <x:v>0</x:v>
      </x:c>
      <x:c r="H71" s="53" t="n">
        <x:f t="array" ref="H71">IFERROR(INDEX(ECR!$K:$K,MATCH(DraftSheet!$C71,ECR!$C:$C,0)),"ND")</x:f>
        <x:v>169</x:v>
      </x:c>
      <x:c r="I71" s="62"/>
      <x:c r="J71" s="64" t="n">
        <x:f>VLOOKUP(C71,Aggregate!AR:AZ,9,FALSE())</x:f>
        <x:v>-23.78722706</x:v>
      </x:c>
      <x:c r="K71" s="65"/>
      <x:c r="L71" s="53" t="n">
        <x:f>IFERROR(VLOOKUP(DraftSheet!$M71,Aggregate!$P:$AA,11,FALSE()),"")</x:f>
        <x:v>9</x:v>
      </x:c>
      <x:c r="M71" s="55" t="str">
        <x:f>Aggregate!P58</x:f>
        <x:v>MarShawn Lloyd</x:v>
      </x:c>
      <x:c r="N71" s="55" t="str">
        <x:f>VLOOKUP(DraftSheet!$M71,Aggregate!P:AA,4,FALSE())</x:f>
        <x:v>GB/11</x:v>
      </x:c>
      <x:c r="O71" s="53" t="n">
        <x:f>IFERROR(VLOOKUP(DraftSheet!$M71,Aggregate!$P:$AA,8,FALSE()),"")</x:f>
        <x:v>44.34017765</x:v>
      </x:c>
      <x:c r="P71" s="53" t="n">
        <x:f>IF(Scoring!$K$6="Auction",IFERROR(VLOOKUP(DraftSheet!$M71,Aggregate!$P:$AA,10,FALSE()),""),IFERROR(VLOOKUP(DraftSheet!$M71,Aggregate!$P:$AA,9,FALSE()),""))</x:f>
        <x:v>-85.66015147676471</x:v>
      </x:c>
      <x:c r="Q71" s="61" t="n">
        <x:f>SUMIFS(T71:$T$85,S71:$S$85,"&lt;&gt;x",S71:$S$85,"&lt;&gt;o",T71:$T$85,"&gt;0")/Aggregate!$X$1</x:f>
        <x:v>0</x:v>
      </x:c>
      <x:c r="R71" s="53" t="n">
        <x:f t="array" ref="R71">IFERROR(INDEX(ECR!$K:$K,MATCH(DraftSheet!$M71,ECR!$C:$C,0)),"ND")</x:f>
        <x:v>162</x:v>
      </x:c>
      <x:c r="S71" s="62"/>
      <x:c r="T71" s="64" t="n">
        <x:f>VLOOKUP(M71,Aggregate!P:X,9,FALSE())</x:f>
        <x:v>-57.15986206</x:v>
      </x:c>
      <x:c r="U71" s="73"/>
      <x:c r="V71" s="53" t="n">
        <x:f>IFERROR(VLOOKUP(DraftSheet!$W71,Aggregate!$AD:$AO,11,FALSE()),"")</x:f>
        <x:v>6</x:v>
      </x:c>
      <x:c r="W71" s="55" t="str">
        <x:f>Aggregate!AD75</x:f>
        <x:v>Keenan Allen</x:v>
      </x:c>
      <x:c r="X71" s="55" t="str">
        <x:f>VLOOKUP(DraftSheet!$W71,Aggregate!AD:AO,4,FALSE())</x:f>
        <x:v>IND/13</x:v>
      </x:c>
      <x:c r="Y71" s="53" t="n">
        <x:f>IFERROR(VLOOKUP(DraftSheet!$W71,Aggregate!$AD:$AO,8,FALSE()),"")</x:f>
        <x:v>80.25077118</x:v>
      </x:c>
      <x:c r="Z71" s="53" t="n">
        <x:f>IF(Scoring!$K$6="Auction",IFERROR(VLOOKUP(DraftSheet!$W71,Aggregate!$AD:$AO,10,FALSE()),""),IFERROR(VLOOKUP(DraftSheet!$W71,Aggregate!$AD:$AO,9,FALSE()),""))</x:f>
        <x:v>-21.944140579999996</x:v>
      </x:c>
      <x:c r="AA71" s="61" t="n">
        <x:f>SUMIFS($AD72:AD$84,$AC72:AC$84,"&lt;&gt;x",$AC72:AC$84,"&lt;&gt;o",$AD72:AD$84,"&gt;0")/Aggregate!$AL$1</x:f>
        <x:v>0</x:v>
      </x:c>
      <x:c r="AB71" s="53" t="n">
        <x:f t="array" ref="AB71">IFERROR(INDEX(ECR!$K:$K,MATCH(DraftSheet!$W71,ECR!$C:$C,0)),"ND")</x:f>
        <x:v>188</x:v>
      </x:c>
      <x:c r="AC71" s="62"/>
      <x:c r="AD71" s="64" t="n">
        <x:f>VLOOKUP(W71,Aggregate!AD:AL,9,FALSE())</x:f>
        <x:v>-21.06360529</x:v>
      </x:c>
      <x:c r="AE71" s="2"/>
      <x:c r="AF71" s="2"/>
      <x:c r="AG71" s="2"/>
      <x:c r="AH71" s="2"/>
    </x:row>
    <x:row r="72" ht="14.25" customHeight="1">
      <x:c r="A72" s="2"/>
      <x:c r="B72" s="53" t="n">
        <x:f>IFERROR(VLOOKUP(DraftSheet!$C72,Aggregate!$AR:$BC,11,FALSE()),"")</x:f>
        <x:v>6</x:v>
      </x:c>
      <x:c r="C72" s="55" t="str">
        <x:f>Aggregate!AR34</x:f>
        <x:v>Greg Dulcich</x:v>
      </x:c>
      <x:c r="D72" s="55" t="str">
        <x:f>VLOOKUP(DraftSheet!$C72,Aggregate!AR:BD,4,FALSE())</x:f>
        <x:v>MIA/6</x:v>
      </x:c>
      <x:c r="E72" s="53" t="n">
        <x:f>IFERROR(VLOOKUP($C72,Aggregate!$AR:$BC,8,FALSE()),"")</x:f>
        <x:v>81.47282259</x:v>
      </x:c>
      <x:c r="F72" s="53" t="n">
        <x:f>IF(Scoring!$K$6="Auction",IFERROR(VLOOKUP($C72,Aggregate!$AR:$BC,10,FALSE()),""),IFERROR(VLOOKUP($C72,Aggregate!$AR:$BC,9,FALSE()),""))</x:f>
        <x:v>-23.25779955249999</x:v>
      </x:c>
      <x:c r="G72" s="61" t="n">
        <x:f>SUMIFS($J73:J$84,$I73:I$84,"&lt;&gt;x",$I73:I$84,"&lt;&gt;o",$J73:J$84,"&gt;0")/Aggregate!$AZ$1</x:f>
        <x:v>0</x:v>
      </x:c>
      <x:c r="H72" s="53" t="n">
        <x:f t="array" ref="H72">IFERROR(INDEX(ECR!$K:$K,MATCH(DraftSheet!$C72,ECR!$C:$C,0)),"ND")</x:f>
        <x:v>271</x:v>
      </x:c>
      <x:c r="I72" s="62"/>
      <x:c r="J72" s="64" t="n">
        <x:f>VLOOKUP(C72,Aggregate!AR:AZ,9,FALSE())</x:f>
        <x:v>-23.85273587</x:v>
      </x:c>
      <x:c r="K72" s="65"/>
      <x:c r="L72" s="53" t="n">
        <x:f>IFERROR(VLOOKUP(DraftSheet!$M72,Aggregate!$P:$AA,11,FALSE()),"")</x:f>
        <x:v>9</x:v>
      </x:c>
      <x:c r="M72" s="55" t="str">
        <x:f>Aggregate!P68</x:f>
        <x:v>James Conner</x:v>
      </x:c>
      <x:c r="N72" s="55" t="str">
        <x:f>VLOOKUP(DraftSheet!$M72,Aggregate!P:AA,4,FALSE())</x:f>
        <x:v>ARI/14</x:v>
      </x:c>
      <x:c r="O72" s="53" t="n">
        <x:f>IFERROR(VLOOKUP(DraftSheet!$M72,Aggregate!$P:$AA,8,FALSE()),"")</x:f>
        <x:v>43.86462</x:v>
      </x:c>
      <x:c r="P72" s="53" t="n">
        <x:f>IF(Scoring!$K$6="Auction",IFERROR(VLOOKUP(DraftSheet!$M72,Aggregate!$P:$AA,10,FALSE()),""),IFERROR(VLOOKUP(DraftSheet!$M72,Aggregate!$P:$AA,9,FALSE()),""))</x:f>
        <x:v>-86.13570912455883</x:v>
      </x:c>
      <x:c r="Q72" s="61" t="n">
        <x:f>SUMIFS($T73:T$84,$S73:S$84,"&lt;&gt;x",$S73:S$84,"&lt;&gt;o",$T73:T$84,"&gt;0")/Aggregate!$X$1</x:f>
        <x:v>0</x:v>
      </x:c>
      <x:c r="R72" s="53" t="n">
        <x:f t="array" ref="R72">IFERROR(INDEX(ECR!$K:$K,MATCH(DraftSheet!$M72,ECR!$C:$C,0)),"ND")</x:f>
        <x:v>213</x:v>
      </x:c>
      <x:c r="S72" s="62"/>
      <x:c r="T72" s="64" t="n">
        <x:f>VLOOKUP(M72,Aggregate!P:X,9,FALSE())</x:f>
        <x:v>-57.63541971</x:v>
      </x:c>
      <x:c r="U72" s="73"/>
      <x:c r="V72" s="53" t="n">
        <x:f>IFERROR(VLOOKUP(DraftSheet!$W72,Aggregate!$AD:$AO,11,FALSE()),"")</x:f>
        <x:v>7</x:v>
      </x:c>
      <x:c r="W72" s="55" t="str">
        <x:f>Aggregate!AD69</x:f>
        <x:v>Jalen Nailor</x:v>
      </x:c>
      <x:c r="X72" s="55" t="str">
        <x:f>VLOOKUP(DraftSheet!$W72,Aggregate!AD:AO,4,FALSE())</x:f>
        <x:v>LV/13</x:v>
      </x:c>
      <x:c r="Y72" s="53" t="n">
        <x:f>IFERROR(VLOOKUP(DraftSheet!$W72,Aggregate!$AD:$AO,8,FALSE()),"")</x:f>
        <x:v>77.91869118</x:v>
      </x:c>
      <x:c r="Z72" s="53" t="n">
        <x:f>IF(Scoring!$K$6="Auction",IFERROR(VLOOKUP(DraftSheet!$W72,Aggregate!$AD:$AO,10,FALSE()),""),IFERROR(VLOOKUP(DraftSheet!$W72,Aggregate!$AD:$AO,9,FALSE()),""))</x:f>
        <x:v>-24.27622057970588</x:v>
      </x:c>
      <x:c r="AA72" s="61" t="n">
        <x:f>SUMIFS($AD73:AD$84,$AC73:AC$84,"&lt;&gt;x",$AC73:AC$84,"&lt;&gt;o",$AD73:AD$84,"&gt;0")/Aggregate!$AL$1</x:f>
        <x:v>0</x:v>
      </x:c>
      <x:c r="AB72" s="53" t="n">
        <x:f t="array" ref="AB72">IFERROR(INDEX(ECR!$K:$K,MATCH(DraftSheet!$W72,ECR!$C:$C,0)),"ND")</x:f>
        <x:v>177</x:v>
      </x:c>
      <x:c r="AC72" s="62"/>
      <x:c r="AD72" s="64" t="n">
        <x:f>VLOOKUP(W72,Aggregate!AD:AL,9,FALSE())</x:f>
        <x:v>-23.39568529</x:v>
      </x:c>
      <x:c r="AE72" s="2"/>
      <x:c r="AF72" s="2"/>
      <x:c r="AG72" s="2"/>
      <x:c r="AH72" s="2"/>
    </x:row>
    <x:row r="73" ht="15" customHeight="1">
      <x:c r="A73" s="2"/>
      <x:c r="B73" s="53" t="n">
        <x:f>IFERROR(VLOOKUP(DraftSheet!$C73,Aggregate!$AR:$BC,11,FALSE()),"")</x:f>
        <x:v>6</x:v>
      </x:c>
      <x:c r="C73" s="55" t="str">
        <x:f>Aggregate!AR25</x:f>
        <x:v>Terrance Ferguson</x:v>
      </x:c>
      <x:c r="D73" s="55" t="str">
        <x:f>VLOOKUP(DraftSheet!$C73,Aggregate!AR:BD,4,FALSE())</x:f>
        <x:v>LAR/11</x:v>
      </x:c>
      <x:c r="E73" s="53" t="n">
        <x:f>IFERROR(VLOOKUP($C73,Aggregate!$AR:$BC,8,FALSE()),"")</x:f>
        <x:v>81.02681488</x:v>
      </x:c>
      <x:c r="F73" s="53" t="n">
        <x:f>IF(Scoring!$K$6="Auction",IFERROR(VLOOKUP($C73,Aggregate!$AR:$BC,10,FALSE()),""),IFERROR(VLOOKUP($C73,Aggregate!$AR:$BC,9,FALSE()),""))</x:f>
        <x:v>-24.335909759411763</x:v>
      </x:c>
      <x:c r="G73" s="61" t="n">
        <x:f>SUMIFS($J74:J$84,$I74:I$84,"&lt;&gt;x",$I74:I$84,"&lt;&gt;o",$J74:J$84,"&gt;0")/Aggregate!$AZ$1</x:f>
        <x:v>0</x:v>
      </x:c>
      <x:c r="H73" s="53" t="n">
        <x:f t="array" ref="H73">IFERROR(INDEX(ECR!$K:$K,MATCH(DraftSheet!$C73,ECR!$C:$C,0)),"ND")</x:f>
        <x:v>174</x:v>
      </x:c>
      <x:c r="I73" s="62"/>
      <x:c r="J73" s="64" t="n">
        <x:f>VLOOKUP(C73,Aggregate!AR:AZ,9,FALSE())</x:f>
        <x:v>-24.29874357</x:v>
      </x:c>
      <x:c r="K73" s="65"/>
      <x:c r="L73" s="53" t="n">
        <x:f>IFERROR(VLOOKUP(DraftSheet!$M73,Aggregate!$P:$AA,11,FALSE()),"")</x:f>
        <x:v>9</x:v>
      </x:c>
      <x:c r="M73" s="55" t="str">
        <x:f>Aggregate!P65</x:f>
        <x:v>Jaydon Blue</x:v>
      </x:c>
      <x:c r="N73" s="55" t="str">
        <x:f>VLOOKUP(DraftSheet!$M73,Aggregate!P:AA,4,FALSE())</x:f>
        <x:v>DAL/14</x:v>
      </x:c>
      <x:c r="O73" s="53" t="n">
        <x:f>IFERROR(VLOOKUP(DraftSheet!$M73,Aggregate!$P:$AA,8,FALSE()),"")</x:f>
        <x:v>42.7670701</x:v>
      </x:c>
      <x:c r="P73" s="53" t="n">
        <x:f>IF(Scoring!$K$6="Auction",IFERROR(VLOOKUP(DraftSheet!$M73,Aggregate!$P:$AA,10,FALSE()),""),IFERROR(VLOOKUP(DraftSheet!$M73,Aggregate!$P:$AA,9,FALSE()),""))</x:f>
        <x:v>-87.23325902029413</x:v>
      </x:c>
      <x:c r="Q73" s="61" t="n">
        <x:f>SUMIFS($T74:T$84,$S74:S$84,"&lt;&gt;x",$S74:S$84,"&lt;&gt;o",$T74:T$84,"&gt;0")/Aggregate!$X$1</x:f>
        <x:v>0</x:v>
      </x:c>
      <x:c r="R73" s="53" t="n">
        <x:f t="array" ref="R73">IFERROR(INDEX(ECR!$K:$K,MATCH(DraftSheet!$M73,ECR!$C:$C,0)),"ND")</x:f>
        <x:v>197</x:v>
      </x:c>
      <x:c r="S73" s="62"/>
      <x:c r="T73" s="64" t="n">
        <x:f>VLOOKUP(M73,Aggregate!P:X,9,FALSE())</x:f>
        <x:v>-58.7329696</x:v>
      </x:c>
      <x:c r="U73" s="73"/>
      <x:c r="V73" s="53" t="n">
        <x:f>IFERROR(VLOOKUP(DraftSheet!$W73,Aggregate!$AD:$AO,11,FALSE()),"")</x:f>
        <x:v>7</x:v>
      </x:c>
      <x:c r="W73" s="55" t="str">
        <x:f>Aggregate!AD60</x:f>
        <x:v>Adonai Mitchell</x:v>
      </x:c>
      <x:c r="X73" s="55" t="str">
        <x:f>VLOOKUP(DraftSheet!$W73,Aggregate!AD:AO,4,FALSE())</x:f>
        <x:v>NYJ/13</x:v>
      </x:c>
      <x:c r="Y73" s="53" t="n">
        <x:f>IFERROR(VLOOKUP(DraftSheet!$W73,Aggregate!$AD:$AO,8,FALSE()),"")</x:f>
        <x:v>74.07313235</x:v>
      </x:c>
      <x:c r="Z73" s="53" t="n">
        <x:f>IF(Scoring!$K$6="Auction",IFERROR(VLOOKUP(DraftSheet!$W73,Aggregate!$AD:$AO,10,FALSE()),""),IFERROR(VLOOKUP(DraftSheet!$W73,Aggregate!$AD:$AO,9,FALSE()),""))</x:f>
        <x:v>-28.121779404558822</x:v>
      </x:c>
      <x:c r="AA73" s="61" t="n">
        <x:f>SUMIFS($AD74:AD$84,$AC74:AC$84,"&lt;&gt;x",$AC74:AC$84,"&lt;&gt;o",$AD74:AD$84,"&gt;0")/Aggregate!$AL$1</x:f>
        <x:v>0</x:v>
      </x:c>
      <x:c r="AB73" s="53" t="n">
        <x:f t="array" ref="AB73">IFERROR(INDEX(ECR!$K:$K,MATCH(DraftSheet!$W73,ECR!$C:$C,0)),"ND")</x:f>
        <x:v>159</x:v>
      </x:c>
      <x:c r="AC73" s="62"/>
      <x:c r="AD73" s="64" t="n">
        <x:f>VLOOKUP(W73,Aggregate!AD:AL,9,FALSE())</x:f>
        <x:v>-27.24124412</x:v>
      </x:c>
      <x:c r="AE73" s="2"/>
      <x:c r="AF73" s="2"/>
      <x:c r="AG73" s="2"/>
      <x:c r="AH73" s="2"/>
    </x:row>
    <x:row r="74" ht="14.25" customHeight="1">
      <x:c r="A74" s="2"/>
      <x:c r="B74" s="53" t="n">
        <x:f>IFERROR(VLOOKUP(DraftSheet!$C74,Aggregate!$AR:$BC,11,FALSE()),"")</x:f>
        <x:v>6</x:v>
      </x:c>
      <x:c r="C74" s="55" t="str">
        <x:f>Aggregate!AR21</x:f>
        <x:v>Chig Okonkwo</x:v>
      </x:c>
      <x:c r="D74" s="55" t="str">
        <x:f>VLOOKUP(DraftSheet!$C74,Aggregate!AR:BD,4,FALSE())</x:f>
        <x:v>WAS/7</x:v>
      </x:c>
      <x:c r="E74" s="53" t="n">
        <x:f>IFERROR(VLOOKUP($C74,Aggregate!$AR:$BC,8,FALSE()),"")</x:f>
        <x:v>80.96461147</x:v>
      </x:c>
      <x:c r="F74" s="53" t="n">
        <x:f>IF(Scoring!$K$6="Auction",IFERROR(VLOOKUP($C74,Aggregate!$AR:$BC,10,FALSE()),""),IFERROR(VLOOKUP($C74,Aggregate!$AR:$BC,9,FALSE()),""))</x:f>
        <x:v>-24.418927729999993</x:v>
      </x:c>
      <x:c r="G74" s="61" t="n">
        <x:f>SUMIFS($J75:J$84,$I75:I$84,"&lt;&gt;x",$I75:I$84,"&lt;&gt;o",$J75:J$84,"&gt;0")/Aggregate!$AZ$1</x:f>
        <x:v>0</x:v>
      </x:c>
      <x:c r="H74" s="53" t="n">
        <x:f t="array" ref="H74">IFERROR(INDEX(ECR!$K:$K,MATCH(DraftSheet!$C74,ECR!$C:$C,0)),"ND")</x:f>
        <x:v>154</x:v>
      </x:c>
      <x:c r="I74" s="62"/>
      <x:c r="J74" s="64" t="n">
        <x:f>VLOOKUP(C74,Aggregate!AR:AZ,9,FALSE())</x:f>
        <x:v>-24.36094699</x:v>
      </x:c>
      <x:c r="K74" s="9"/>
      <x:c r="L74" s="53" t="n">
        <x:f>IFERROR(VLOOKUP(DraftSheet!$M74,Aggregate!$P:$AA,11,FALSE()),"")</x:f>
        <x:v>9</x:v>
      </x:c>
      <x:c r="M74" s="55" t="str">
        <x:f>Aggregate!P67</x:f>
        <x:v>Emanuel Wilson</x:v>
      </x:c>
      <x:c r="N74" s="55" t="str">
        <x:f>VLOOKUP(DraftSheet!$M74,Aggregate!P:AA,4,FALSE())</x:f>
        <x:v>SEA/11</x:v>
      </x:c>
      <x:c r="O74" s="53" t="n">
        <x:f>IFERROR(VLOOKUP(DraftSheet!$M74,Aggregate!$P:$AA,8,FALSE()),"")</x:f>
        <x:v>41.08210248</x:v>
      </x:c>
      <x:c r="P74" s="53" t="n">
        <x:f>IF(Scoring!$K$6="Auction",IFERROR(VLOOKUP(DraftSheet!$M74,Aggregate!$P:$AA,10,FALSE()),""),IFERROR(VLOOKUP(DraftSheet!$M74,Aggregate!$P:$AA,9,FALSE()),""))</x:f>
        <x:v>-88.91822663970589</x:v>
      </x:c>
      <x:c r="Q74" s="61" t="n">
        <x:f>SUMIFS($T75:T$84,$S75:S$84,"&lt;&gt;x",$S75:S$84,"&lt;&gt;o",$T75:T$84,"&gt;0")/Aggregate!$X$1</x:f>
        <x:v>0</x:v>
      </x:c>
      <x:c r="R74" s="53" t="n">
        <x:f t="array" ref="R74">IFERROR(INDEX(ECR!$K:$K,MATCH(DraftSheet!$M74,ECR!$C:$C,0)),"ND")</x:f>
        <x:v>208</x:v>
      </x:c>
      <x:c r="S74" s="62"/>
      <x:c r="T74" s="64" t="n">
        <x:f>VLOOKUP(M74,Aggregate!P:X,9,FALSE())</x:f>
        <x:v>-60.41793722</x:v>
      </x:c>
      <x:c r="U74" s="9"/>
      <x:c r="V74" s="53" t="n">
        <x:f>IFERROR(VLOOKUP(DraftSheet!$W74,Aggregate!$AD:$AO,11,FALSE()),"")</x:f>
        <x:v>7</x:v>
      </x:c>
      <x:c r="W74" s="55" t="str">
        <x:f>Aggregate!AD68</x:f>
        <x:v>Kayshon Boutte</x:v>
      </x:c>
      <x:c r="X74" s="55" t="str">
        <x:f>VLOOKUP(DraftSheet!$W74,Aggregate!AD:AO,4,FALSE())</x:f>
        <x:v>HOU/8</x:v>
      </x:c>
      <x:c r="Y74" s="53" t="n">
        <x:f>IFERROR(VLOOKUP(DraftSheet!$W74,Aggregate!$AD:$AO,8,FALSE()),"")</x:f>
        <x:v>71.70538235</x:v>
      </x:c>
      <x:c r="Z74" s="53" t="n">
        <x:f>IF(Scoring!$K$6="Auction",IFERROR(VLOOKUP(DraftSheet!$W74,Aggregate!$AD:$AO,10,FALSE()),""),IFERROR(VLOOKUP(DraftSheet!$W74,Aggregate!$AD:$AO,9,FALSE()),""))</x:f>
        <x:v>-30.489529404558823</x:v>
      </x:c>
      <x:c r="AA74" s="61" t="n">
        <x:f>SUMIFS($AD75:AD$84,$AC75:AC$84,"&lt;&gt;x",$AC75:AC$84,"&lt;&gt;o",$AD75:AD$84,"&gt;0")/Aggregate!$AL$1</x:f>
        <x:v>0</x:v>
      </x:c>
      <x:c r="AB74" s="53" t="n">
        <x:f t="array" ref="AB74">IFERROR(INDEX(ECR!$K:$K,MATCH(DraftSheet!$W74,ECR!$C:$C,0)),"ND")</x:f>
        <x:v>175</x:v>
      </x:c>
      <x:c r="AC74" s="62"/>
      <x:c r="AD74" s="64" t="n">
        <x:f>VLOOKUP(W74,Aggregate!AD:AL,9,FALSE())</x:f>
        <x:v>-29.60899412</x:v>
      </x:c>
      <x:c r="AE74" s="2"/>
      <x:c r="AF74" s="2"/>
      <x:c r="AG74" s="2"/>
      <x:c r="AH74" s="2"/>
    </x:row>
    <x:row r="75" ht="14.25" customHeight="1">
      <x:c r="A75" s="2"/>
      <x:c r="B75" s="53" t="n">
        <x:f>IFERROR(VLOOKUP(DraftSheet!$C75,Aggregate!$AR:$BC,11,FALSE()),"")</x:f>
        <x:v>7</x:v>
      </x:c>
      <x:c r="C75" s="55" t="str">
        <x:f>Aggregate!AR28</x:f>
        <x:v>Gunnar Helm</x:v>
      </x:c>
      <x:c r="D75" s="55" t="str">
        <x:f>VLOOKUP(DraftSheet!$C75,Aggregate!AR:BD,4,FALSE())</x:f>
        <x:v>TEN/9</x:v>
      </x:c>
      <x:c r="E75" s="53" t="n">
        <x:f>IFERROR(VLOOKUP($C75,Aggregate!$AR:$BC,8,FALSE()),"")</x:f>
        <x:v>72.34986449</x:v>
      </x:c>
      <x:c r="F75" s="53" t="n">
        <x:f>IF(Scoring!$K$6="Auction",IFERROR(VLOOKUP($C75,Aggregate!$AR:$BC,10,FALSE()),""),IFERROR(VLOOKUP($C75,Aggregate!$AR:$BC,9,FALSE()),""))</x:f>
        <x:v>-32.99132118529411</x:v>
      </x:c>
      <x:c r="G75" s="61" t="n">
        <x:f>SUMIFS($J76:J$84,$I76:I$84,"&lt;&gt;x",$I76:I$84,"&lt;&gt;o",$J76:J$84,"&gt;0")/Aggregate!$AZ$1</x:f>
        <x:v>0</x:v>
      </x:c>
      <x:c r="H75" s="53" t="n">
        <x:f t="array" ref="H75">IFERROR(INDEX(ECR!$K:$K,MATCH(DraftSheet!$C75,ECR!$C:$C,0)),"ND")</x:f>
        <x:v>192</x:v>
      </x:c>
      <x:c r="I75" s="62"/>
      <x:c r="J75" s="64" t="n">
        <x:f>VLOOKUP(C75,Aggregate!AR:AZ,9,FALSE())</x:f>
        <x:v>-32.97569397</x:v>
      </x:c>
      <x:c r="K75" s="65"/>
      <x:c r="L75" s="53" t="n">
        <x:f>IFERROR(VLOOKUP(DraftSheet!$M75,Aggregate!$P:$AA,11,FALSE()),"")</x:f>
        <x:v>9</x:v>
      </x:c>
      <x:c r="M75" s="55" t="str">
        <x:f>Aggregate!P76</x:f>
        <x:v>Chris Brooks</x:v>
      </x:c>
      <x:c r="N75" s="55" t="str">
        <x:f>VLOOKUP(DraftSheet!$M75,Aggregate!P:AA,4,FALSE())</x:f>
        <x:v>GB/11</x:v>
      </x:c>
      <x:c r="O75" s="53" t="n">
        <x:f>IFERROR(VLOOKUP(DraftSheet!$M75,Aggregate!$P:$AA,8,FALSE()),"")</x:f>
        <x:v>40.66575176</x:v>
      </x:c>
      <x:c r="P75" s="53" t="n">
        <x:f>IF(Scoring!$K$6="Auction",IFERROR(VLOOKUP(DraftSheet!$M75,Aggregate!$P:$AA,10,FALSE()),""),IFERROR(VLOOKUP(DraftSheet!$M75,Aggregate!$P:$AA,9,FALSE()),""))</x:f>
        <x:v>-89.3345773614706</x:v>
      </x:c>
      <x:c r="Q75" s="61" t="n">
        <x:f>SUMIFS($T76:T$84,$S76:S$84,"&lt;&gt;x",$S76:S$84,"&lt;&gt;o",$T76:T$84,"&gt;0")/Aggregate!$X$1</x:f>
        <x:v>0</x:v>
      </x:c>
      <x:c r="R75" s="53" t="n">
        <x:f t="array" ref="R75">IFERROR(INDEX(ECR!$K:$K,MATCH(DraftSheet!$M75,ECR!$C:$C,0)),"ND")</x:f>
        <x:v>255</x:v>
      </x:c>
      <x:c r="S75" s="62"/>
      <x:c r="T75" s="64" t="n">
        <x:f>VLOOKUP(M75,Aggregate!P:X,9,FALSE())</x:f>
        <x:v>-60.83428794</x:v>
      </x:c>
      <x:c r="U75" s="73"/>
      <x:c r="V75" s="53" t="n">
        <x:f>IFERROR(VLOOKUP(DraftSheet!$W75,Aggregate!$AD:$AO,11,FALSE()),"")</x:f>
        <x:v>7</x:v>
      </x:c>
      <x:c r="W75" s="55" t="str">
        <x:f>Aggregate!AD82</x:f>
        <x:v>Cooper Kupp</x:v>
      </x:c>
      <x:c r="X75" s="55" t="str">
        <x:f>VLOOKUP(DraftSheet!$W75,Aggregate!AD:AO,4,FALSE())</x:f>
        <x:v>SEA/11</x:v>
      </x:c>
      <x:c r="Y75" s="53" t="n">
        <x:f>IFERROR(VLOOKUP(DraftSheet!$W75,Aggregate!$AD:$AO,8,FALSE()),"")</x:f>
        <x:v>71.62847118</x:v>
      </x:c>
      <x:c r="Z75" s="53" t="n">
        <x:f>IF(Scoring!$K$6="Auction",IFERROR(VLOOKUP(DraftSheet!$W75,Aggregate!$AD:$AO,10,FALSE()),""),IFERROR(VLOOKUP(DraftSheet!$W75,Aggregate!$AD:$AO,9,FALSE()),""))</x:f>
        <x:v>-30.56644057999999</x:v>
      </x:c>
      <x:c r="AA75" s="61" t="n">
        <x:f>SUMIFS(AD75:$AD$85,AC75:$AC$85,"&lt;&gt;x",AC75:$AC$85,"&lt;&gt;o",AD75:$AD$85,"&gt;0")/Aggregate!$AL$1</x:f>
        <x:v>0</x:v>
      </x:c>
      <x:c r="AB75" s="53" t="n">
        <x:f t="array" ref="AB75">IFERROR(INDEX(ECR!$K:$K,MATCH(DraftSheet!$W75,ECR!$C:$C,0)),"ND")</x:f>
        <x:v>218</x:v>
      </x:c>
      <x:c r="AC75" s="62"/>
      <x:c r="AD75" s="64" t="n">
        <x:f>VLOOKUP(W75,Aggregate!AD:AL,9,FALSE())</x:f>
        <x:v>-29.68590529</x:v>
      </x:c>
      <x:c r="AE75" s="2"/>
      <x:c r="AF75" s="2"/>
      <x:c r="AG75" s="2"/>
      <x:c r="AH75" s="2"/>
    </x:row>
    <x:row r="76" ht="14.25" customHeight="1">
      <x:c r="A76" s="2"/>
      <x:c r="B76" s="53" t="n">
        <x:f>IFERROR(VLOOKUP(DraftSheet!$C76,Aggregate!$AR:$BC,11,FALSE()),"")</x:f>
        <x:v>7</x:v>
      </x:c>
      <x:c r="C76" s="55" t="str">
        <x:f>Aggregate!AR32</x:f>
        <x:v>Evan Engram</x:v>
      </x:c>
      <x:c r="D76" s="55" t="str">
        <x:f>VLOOKUP(DraftSheet!$C76,Aggregate!AR:BD,4,FALSE())</x:f>
        <x:v>DEN/10</x:v>
      </x:c>
      <x:c r="E76" s="53" t="n">
        <x:f>IFERROR(VLOOKUP($C76,Aggregate!$AR:$BC,8,FALSE()),"")</x:f>
        <x:v>71.94045362</x:v>
      </x:c>
      <x:c r="F76" s="53" t="n">
        <x:f>IF(Scoring!$K$6="Auction",IFERROR(VLOOKUP($C76,Aggregate!$AR:$BC,10,FALSE()),""),IFERROR(VLOOKUP($C76,Aggregate!$AR:$BC,9,FALSE()),""))</x:f>
        <x:v>-33.43987205308822</x:v>
      </x:c>
      <x:c r="G76" s="61" t="n">
        <x:f>SUMIFS($J77:J$84,$I77:I$84,"&lt;&gt;x",$I77:I$84,"&lt;&gt;o",$J77:J$84,"&gt;0")/Aggregate!$AZ$1</x:f>
        <x:v>0</x:v>
      </x:c>
      <x:c r="H76" s="53" t="n">
        <x:f t="array" ref="H76">IFERROR(INDEX(ECR!$K:$K,MATCH(DraftSheet!$C76,ECR!$C:$C,0)),"ND")</x:f>
        <x:v>233</x:v>
      </x:c>
      <x:c r="I76" s="62"/>
      <x:c r="J76" s="64" t="n">
        <x:f>VLOOKUP(C76,Aggregate!AR:AZ,9,FALSE())</x:f>
        <x:v>-33.38510484</x:v>
      </x:c>
      <x:c r="K76" s="65"/>
      <x:c r="L76" s="53" t="n">
        <x:f>IFERROR(VLOOKUP(DraftSheet!$M76,Aggregate!$P:$AA,11,FALSE()),"")</x:f>
        <x:v>9</x:v>
      </x:c>
      <x:c r="M76" s="55" t="str">
        <x:f>Aggregate!P77</x:f>
        <x:v>Najee Harris</x:v>
      </x:c>
      <x:c r="N76" s="55" t="str">
        <x:f>VLOOKUP(DraftSheet!$M76,Aggregate!P:AA,4,FALSE())</x:f>
        <x:v>NYG/8</x:v>
      </x:c>
      <x:c r="O76" s="53" t="n">
        <x:f>IFERROR(VLOOKUP(DraftSheet!$M76,Aggregate!$P:$AA,8,FALSE()),"")</x:f>
        <x:v>39.65519176</x:v>
      </x:c>
      <x:c r="P76" s="53" t="n">
        <x:f>IF(Scoring!$K$6="Auction",IFERROR(VLOOKUP(DraftSheet!$M76,Aggregate!$P:$AA,10,FALSE()),""),IFERROR(VLOOKUP(DraftSheet!$M76,Aggregate!$P:$AA,9,FALSE()),""))</x:f>
        <x:v>-90.34513736058824</x:v>
      </x:c>
      <x:c r="Q76" s="61" t="n">
        <x:f>SUMIFS($T77:T$84,$S77:S$84,"&lt;&gt;x",$S77:S$84,"&lt;&gt;o",$T77:T$84,"&gt;0")/Aggregate!$X$1</x:f>
        <x:v>0</x:v>
      </x:c>
      <x:c r="R76" s="53" t="n">
        <x:f t="array" ref="R76">IFERROR(INDEX(ECR!$K:$K,MATCH(DraftSheet!$M76,ECR!$C:$C,0)),"ND")</x:f>
        <x:v>258</x:v>
      </x:c>
      <x:c r="S76" s="62"/>
      <x:c r="T76" s="64" t="n">
        <x:f>VLOOKUP(M76,Aggregate!P:X,9,FALSE())</x:f>
        <x:v>-61.84484794</x:v>
      </x:c>
      <x:c r="U76" s="73"/>
      <x:c r="V76" s="53" t="n">
        <x:f>IFERROR(VLOOKUP(DraftSheet!$W76,Aggregate!$AD:$AO,11,FALSE()),"")</x:f>
        <x:v>7</x:v>
      </x:c>
      <x:c r="W76" s="55" t="str">
        <x:f>Aggregate!AD67</x:f>
        <x:v>Dontayvion Wicks</x:v>
      </x:c>
      <x:c r="X76" s="55" t="str">
        <x:f>VLOOKUP(DraftSheet!$W76,Aggregate!AD:AO,4,FALSE())</x:f>
        <x:v>PHI/10</x:v>
      </x:c>
      <x:c r="Y76" s="53" t="n">
        <x:f>IFERROR(VLOOKUP(DraftSheet!$W76,Aggregate!$AD:$AO,8,FALSE()),"")</x:f>
        <x:v>69.30145588</x:v>
      </x:c>
      <x:c r="Z76" s="53" t="n">
        <x:f>IF(Scoring!$K$6="Auction",IFERROR(VLOOKUP(DraftSheet!$W76,Aggregate!$AD:$AO,10,FALSE()),""),IFERROR(VLOOKUP(DraftSheet!$W76,Aggregate!$AD:$AO,9,FALSE()),""))</x:f>
        <x:v>-32.8934558757353</x:v>
      </x:c>
      <x:c r="AA76" s="61" t="n">
        <x:f>SUMIFS(AD77:$AD$84,AC77:$AC$84,"&lt;&gt;x",AC77:$AC$84,"&lt;&gt;o",AD77:$AD$84,"&gt;0")/Aggregate!$AL$1</x:f>
        <x:v>0</x:v>
      </x:c>
      <x:c r="AB76" s="53" t="n">
        <x:f t="array" ref="AB76">IFERROR(INDEX(ECR!$K:$K,MATCH(DraftSheet!$W76,ECR!$C:$C,0)),"ND")</x:f>
        <x:v>171</x:v>
      </x:c>
      <x:c r="AC76" s="62"/>
      <x:c r="AD76" s="64" t="n">
        <x:f>VLOOKUP(W76,Aggregate!AD:AL,9,FALSE())</x:f>
        <x:v>-32.01292059</x:v>
      </x:c>
      <x:c r="AE76" s="2"/>
      <x:c r="AF76" s="2"/>
      <x:c r="AG76" s="2"/>
      <x:c r="AH76" s="2"/>
    </x:row>
    <x:row r="77" ht="14.25" customHeight="1">
      <x:c r="A77" s="2"/>
      <x:c r="B77" s="53" t="n">
        <x:f>IFERROR(VLOOKUP(DraftSheet!$C77,Aggregate!$AR:$BC,11,FALSE()),"")</x:f>
        <x:v>7</x:v>
      </x:c>
      <x:c r="C77" s="55" t="str">
        <x:f>Aggregate!AR31</x:f>
        <x:v>David Njoku</x:v>
      </x:c>
      <x:c r="D77" s="55" t="str">
        <x:f>VLOOKUP(DraftSheet!$C77,Aggregate!AR:BD,4,FALSE())</x:f>
        <x:v>LAC/7</x:v>
      </x:c>
      <x:c r="E77" s="53" t="n">
        <x:f>IFERROR(VLOOKUP($C77,Aggregate!$AR:$BC,8,FALSE()),"")</x:f>
        <x:v>71.28871976</x:v>
      </x:c>
      <x:c r="F77" s="53" t="n">
        <x:f>IF(Scoring!$K$6="Auction",IFERROR(VLOOKUP($C77,Aggregate!$AR:$BC,10,FALSE()),""),IFERROR(VLOOKUP($C77,Aggregate!$AR:$BC,9,FALSE()),""))</x:f>
        <x:v>-34.091605905441185</x:v>
      </x:c>
      <x:c r="G77" s="61" t="n">
        <x:f>SUMIFS(J77:$J$85,I77:$I$85,"&lt;&gt;x",I77:$I$85,"&lt;&gt;o",J77:$J$85,"&gt;0")/Aggregate!$AZ$1</x:f>
        <x:v>0</x:v>
      </x:c>
      <x:c r="H77" s="53" t="n">
        <x:f t="array" ref="H77">IFERROR(INDEX(ECR!$K:$K,MATCH(DraftSheet!$C77,ECR!$C:$C,0)),"ND")</x:f>
        <x:v>227</x:v>
      </x:c>
      <x:c r="I77" s="62"/>
      <x:c r="J77" s="64" t="n">
        <x:f>VLOOKUP(C77,Aggregate!AR:AZ,9,FALSE())</x:f>
        <x:v>-34.03683869</x:v>
      </x:c>
      <x:c r="K77" s="65"/>
      <x:c r="L77" s="53" t="n">
        <x:f>IFERROR(VLOOKUP(DraftSheet!$M77,Aggregate!$P:$AA,11,FALSE()),"")</x:f>
        <x:v>9</x:v>
      </x:c>
      <x:c r="M77" s="55" t="str">
        <x:f>Aggregate!P70</x:f>
        <x:v>Jaylen Wright</x:v>
      </x:c>
      <x:c r="N77" s="55" t="str">
        <x:f>VLOOKUP(DraftSheet!$M77,Aggregate!P:AA,4,FALSE())</x:f>
        <x:v>MIA/6</x:v>
      </x:c>
      <x:c r="O77" s="53" t="n">
        <x:f>IFERROR(VLOOKUP(DraftSheet!$M77,Aggregate!$P:$AA,8,FALSE()),"")</x:f>
        <x:v>39.02544941</x:v>
      </x:c>
      <x:c r="P77" s="53" t="n">
        <x:f>IF(Scoring!$K$6="Auction",IFERROR(VLOOKUP(DraftSheet!$M77,Aggregate!$P:$AA,10,FALSE()),""),IFERROR(VLOOKUP(DraftSheet!$M77,Aggregate!$P:$AA,9,FALSE()),""))</x:f>
        <x:v>-90.97487971205882</x:v>
      </x:c>
      <x:c r="Q77" s="61" t="n">
        <x:f>SUMIFS($T78:T$84,$S78:S$84,"&lt;&gt;x",$S78:S$84,"&lt;&gt;o",$T78:T$84,"&gt;0")/Aggregate!$X$1</x:f>
        <x:v>0</x:v>
      </x:c>
      <x:c r="R77" s="53" t="n">
        <x:f t="array" ref="R77">IFERROR(INDEX(ECR!$K:$K,MATCH(DraftSheet!$M77,ECR!$C:$C,0)),"ND")</x:f>
        <x:v>222</x:v>
      </x:c>
      <x:c r="S77" s="62"/>
      <x:c r="T77" s="64" t="n">
        <x:f>VLOOKUP(M77,Aggregate!P:X,9,FALSE())</x:f>
        <x:v>-62.47459029</x:v>
      </x:c>
      <x:c r="U77" s="73"/>
      <x:c r="V77" s="53" t="n">
        <x:f>IFERROR(VLOOKUP(DraftSheet!$W77,Aggregate!$AD:$AO,11,FALSE()),"")</x:f>
        <x:v>7</x:v>
      </x:c>
      <x:c r="W77" s="55" t="str">
        <x:f>Aggregate!AD73</x:f>
        <x:v>Malik Washington</x:v>
      </x:c>
      <x:c r="X77" s="55" t="str">
        <x:f>VLOOKUP(DraftSheet!$W77,Aggregate!AD:AO,4,FALSE())</x:f>
        <x:v>MIA/6</x:v>
      </x:c>
      <x:c r="Y77" s="53" t="n">
        <x:f>IFERROR(VLOOKUP(DraftSheet!$W77,Aggregate!$AD:$AO,8,FALSE()),"")</x:f>
        <x:v>68.41332353</x:v>
      </x:c>
      <x:c r="Z77" s="53" t="n">
        <x:f>IF(Scoring!$K$6="Auction",IFERROR(VLOOKUP(DraftSheet!$W77,Aggregate!$AD:$AO,10,FALSE()),""),IFERROR(VLOOKUP(DraftSheet!$W77,Aggregate!$AD:$AO,9,FALSE()),""))</x:f>
        <x:v>-33.78158822838236</x:v>
      </x:c>
      <x:c r="AA77" s="61" t="n">
        <x:f>SUMIFS(AD77:$AD$85,AC77:$AC$85,"&lt;&gt;x",AC77:$AC$85,"&lt;&gt;o",AD77:$AD$85,"&gt;0")/Aggregate!$AL$1</x:f>
        <x:v>0</x:v>
      </x:c>
      <x:c r="AB77" s="53" t="n">
        <x:f t="array" ref="AB77">IFERROR(INDEX(ECR!$K:$K,MATCH(DraftSheet!$W77,ECR!$C:$C,0)),"ND")</x:f>
        <x:v>182</x:v>
      </x:c>
      <x:c r="AC77" s="62"/>
      <x:c r="AD77" s="64" t="n">
        <x:f>VLOOKUP(W77,Aggregate!AD:AL,9,FALSE())</x:f>
        <x:v>-32.90105294</x:v>
      </x:c>
      <x:c r="AE77" s="2"/>
      <x:c r="AF77" s="2"/>
      <x:c r="AG77" s="2"/>
      <x:c r="AH77" s="2"/>
    </x:row>
    <x:row r="78" ht="14.25" customHeight="1">
      <x:c r="A78" s="2"/>
      <x:c r="B78" s="53" t="n">
        <x:f>IFERROR(VLOOKUP(DraftSheet!$C78,Aggregate!$AR:$BC,11,FALSE()),"")</x:f>
        <x:v>7</x:v>
      </x:c>
      <x:c r="C78" s="55" t="str">
        <x:f>Aggregate!AR26</x:f>
        <x:v>Oronde Gadsden II</x:v>
      </x:c>
      <x:c r="D78" s="55" t="str">
        <x:f>VLOOKUP(DraftSheet!$C78,Aggregate!AR:BD,4,FALSE())</x:f>
        <x:v>LAC/7</x:v>
      </x:c>
      <x:c r="E78" s="53" t="n">
        <x:f>IFERROR(VLOOKUP($C78,Aggregate!$AR:$BC,8,FALSE()),"")</x:f>
        <x:v>70.77428912</x:v>
      </x:c>
      <x:c r="F78" s="53" t="n">
        <x:f>IF(Scoring!$K$6="Auction",IFERROR(VLOOKUP($C78,Aggregate!$AR:$BC,10,FALSE()),""),IFERROR(VLOOKUP($C78,Aggregate!$AR:$BC,9,FALSE()),""))</x:f>
        <x:v>-34.32991243455882</x:v>
      </x:c>
      <x:c r="G78" s="61" t="n">
        <x:f>SUMIFS($J79:J$84,$I79:I$84,"&lt;&gt;x",$I79:I$84,"&lt;&gt;o",$J79:J$84,"&gt;0")/Aggregate!$AZ$1</x:f>
        <x:v>0</x:v>
      </x:c>
      <x:c r="H78" s="53" t="n">
        <x:f t="array" ref="H78">IFERROR(INDEX(ECR!$K:$K,MATCH(DraftSheet!$C78,ECR!$C:$C,0)),"ND")</x:f>
        <x:v>178</x:v>
      </x:c>
      <x:c r="I78" s="62"/>
      <x:c r="J78" s="64" t="n">
        <x:f>VLOOKUP(C78,Aggregate!AR:AZ,9,FALSE())</x:f>
        <x:v>-34.55126934</x:v>
      </x:c>
      <x:c r="K78" s="65"/>
      <x:c r="L78" s="53" t="n">
        <x:f>IFERROR(VLOOKUP(DraftSheet!$M78,Aggregate!$P:$AA,11,FALSE()),"")</x:f>
        <x:v>10</x:v>
      </x:c>
      <x:c r="M78" s="55" t="str">
        <x:f>Aggregate!P69</x:f>
        <x:v>George Holani</x:v>
      </x:c>
      <x:c r="N78" s="55" t="str">
        <x:f>VLOOKUP(DraftSheet!$M78,Aggregate!P:AA,4,FALSE())</x:f>
        <x:v>SEA/11</x:v>
      </x:c>
      <x:c r="O78" s="53" t="n">
        <x:f>IFERROR(VLOOKUP(DraftSheet!$M78,Aggregate!$P:$AA,8,FALSE()),"")</x:f>
        <x:v>34.47978706</x:v>
      </x:c>
      <x:c r="P78" s="53" t="n">
        <x:f>IF(Scoring!$K$6="Auction",IFERROR(VLOOKUP(DraftSheet!$M78,Aggregate!$P:$AA,10,FALSE()),""),IFERROR(VLOOKUP(DraftSheet!$M78,Aggregate!$P:$AA,9,FALSE()),""))</x:f>
        <x:v>-95.52054206602942</x:v>
      </x:c>
      <x:c r="Q78" s="61" t="n">
        <x:f>SUMIFS($T79:T$84,$S79:S$84,"&lt;&gt;x",$S79:S$84,"&lt;&gt;o",$T79:T$84,"&gt;0")/Aggregate!$X$1</x:f>
        <x:v>0</x:v>
      </x:c>
      <x:c r="R78" s="53" t="n">
        <x:f t="array" ref="R78">IFERROR(INDEX(ECR!$K:$K,MATCH(DraftSheet!$M78,ECR!$C:$C,0)),"ND")</x:f>
        <x:v>219</x:v>
      </x:c>
      <x:c r="S78" s="62"/>
      <x:c r="T78" s="64" t="n">
        <x:f>VLOOKUP(M78,Aggregate!P:X,9,FALSE())</x:f>
        <x:v>-67.02025265</x:v>
      </x:c>
      <x:c r="U78" s="73"/>
      <x:c r="V78" s="53" t="n">
        <x:f>IFERROR(VLOOKUP(DraftSheet!$W78,Aggregate!$AD:$AO,11,FALSE()),"")</x:f>
        <x:v>7</x:v>
      </x:c>
      <x:c r="W78" s="55" t="str">
        <x:f>Aggregate!AD78</x:f>
        <x:v>Travis Hunter</x:v>
      </x:c>
      <x:c r="X78" s="55" t="str">
        <x:f>VLOOKUP(DraftSheet!$W78,Aggregate!AD:AO,4,FALSE())</x:f>
        <x:v>JAC/7</x:v>
      </x:c>
      <x:c r="Y78" s="53" t="n">
        <x:f>IFERROR(VLOOKUP(DraftSheet!$W78,Aggregate!$AD:$AO,8,FALSE()),"")</x:f>
        <x:v>67.94664706</x:v>
      </x:c>
      <x:c r="Z78" s="53" t="n">
        <x:f>IF(Scoring!$K$6="Auction",IFERROR(VLOOKUP(DraftSheet!$W78,Aggregate!$AD:$AO,10,FALSE()),""),IFERROR(VLOOKUP(DraftSheet!$W78,Aggregate!$AD:$AO,9,FALSE()),""))</x:f>
        <x:v>-34.248264698676465</x:v>
      </x:c>
      <x:c r="AA78" s="61" t="n">
        <x:f>SUMIFS($AD79:AD$84,$AC79:AC$84,"&lt;&gt;x",$AC79:AC$84,"&lt;&gt;o",$AD79:AD$84,"&gt;0")/Aggregate!$AL$1</x:f>
        <x:v>0</x:v>
      </x:c>
      <x:c r="AB78" s="53" t="n">
        <x:f t="array" ref="AB78">IFERROR(INDEX(ECR!$K:$K,MATCH(DraftSheet!$W78,ECR!$C:$C,0)),"ND")</x:f>
        <x:v>193</x:v>
      </x:c>
      <x:c r="AC78" s="62"/>
      <x:c r="AD78" s="64" t="n">
        <x:f>VLOOKUP(W78,Aggregate!AD:AL,9,FALSE())</x:f>
        <x:v>-33.36772941</x:v>
      </x:c>
      <x:c r="AE78" s="2"/>
      <x:c r="AF78" s="2"/>
      <x:c r="AG78" s="2"/>
      <x:c r="AH78" s="2"/>
    </x:row>
    <x:row r="79" ht="14.25" customHeight="1">
      <x:c r="A79" s="2"/>
      <x:c r="B79" s="53" t="n">
        <x:f>IFERROR(VLOOKUP(DraftSheet!$C79,Aggregate!$AR:$BC,11,FALSE()),"")</x:f>
        <x:v>7</x:v>
      </x:c>
      <x:c r="C79" s="55" t="str">
        <x:f>Aggregate!AR38</x:f>
        <x:v>Mike Gesicki</x:v>
      </x:c>
      <x:c r="D79" s="55" t="str">
        <x:f>VLOOKUP(DraftSheet!$C79,Aggregate!AR:BD,4,FALSE())</x:f>
        <x:v>CIN/6</x:v>
      </x:c>
      <x:c r="E79" s="53" t="n">
        <x:f>IFERROR(VLOOKUP($C79,Aggregate!$AR:$BC,8,FALSE()),"")</x:f>
        <x:v>65.58960162</x:v>
      </x:c>
      <x:c r="F79" s="53" t="n">
        <x:f>IF(Scoring!$K$6="Auction",IFERROR(VLOOKUP($C79,Aggregate!$AR:$BC,10,FALSE()),""),IFERROR(VLOOKUP($C79,Aggregate!$AR:$BC,9,FALSE()),""))</x:f>
        <x:v>-39.811027287205874</x:v>
      </x:c>
      <x:c r="G79" s="61" t="n">
        <x:f>SUMIFS($J80:J$84,$I80:I$84,"&lt;&gt;x",$I80:I$84,"&lt;&gt;o",$J80:J$84,"&gt;0")/Aggregate!$AZ$1</x:f>
        <x:v>0</x:v>
      </x:c>
      <x:c r="H79" s="53" t="n">
        <x:f t="array" ref="H79">IFERROR(INDEX(ECR!$K:$K,MATCH(DraftSheet!$C79,ECR!$C:$C,0)),"ND")</x:f>
        <x:v>305</x:v>
      </x:c>
      <x:c r="I79" s="62"/>
      <x:c r="J79" s="64" t="n">
        <x:f>VLOOKUP(C79,Aggregate!AR:AZ,9,FALSE())</x:f>
        <x:v>-39.73595684</x:v>
      </x:c>
      <x:c r="K79" s="65"/>
      <x:c r="L79" s="53" t="n">
        <x:f>IFERROR(VLOOKUP(DraftSheet!$M79,Aggregate!$P:$AA,11,FALSE()),"")</x:f>
        <x:v>10</x:v>
      </x:c>
      <x:c r="M79" s="55" t="str">
        <x:f>Aggregate!P60</x:f>
        <x:v>Ray Davis</x:v>
      </x:c>
      <x:c r="N79" s="55" t="str">
        <x:f>VLOOKUP(DraftSheet!$M79,Aggregate!P:AA,4,FALSE())</x:f>
        <x:v>BUF/7</x:v>
      </x:c>
      <x:c r="O79" s="53" t="n">
        <x:f>IFERROR(VLOOKUP(DraftSheet!$M79,Aggregate!$P:$AA,8,FALSE()),"")</x:f>
        <x:v>34.24943882</x:v>
      </x:c>
      <x:c r="P79" s="53" t="n">
        <x:f>IF(Scoring!$K$6="Auction",IFERROR(VLOOKUP(DraftSheet!$M79,Aggregate!$P:$AA,10,FALSE()),""),IFERROR(VLOOKUP(DraftSheet!$M79,Aggregate!$P:$AA,9,FALSE()),""))</x:f>
        <x:v>-95.75089030117648</x:v>
      </x:c>
      <x:c r="Q79" s="61" t="n">
        <x:f>SUMIFS($T80:T$84,$S80:S$84,"&lt;&gt;x",$S80:S$84,"&lt;&gt;o",$T80:T$84,"&gt;0")/Aggregate!$X$1</x:f>
        <x:v>0</x:v>
      </x:c>
      <x:c r="R79" s="53" t="n">
        <x:f t="array" ref="R79">IFERROR(INDEX(ECR!$K:$K,MATCH(DraftSheet!$M79,ECR!$C:$C,0)),"ND")</x:f>
        <x:v>168</x:v>
      </x:c>
      <x:c r="S79" s="62"/>
      <x:c r="T79" s="64" t="n">
        <x:f>VLOOKUP(M79,Aggregate!P:X,9,FALSE())</x:f>
        <x:v>-67.25060088</x:v>
      </x:c>
      <x:c r="U79" s="73"/>
      <x:c r="V79" s="53" t="n">
        <x:f>IFERROR(VLOOKUP(DraftSheet!$W79,Aggregate!$AD:$AO,11,FALSE()),"")</x:f>
        <x:v>7</x:v>
      </x:c>
      <x:c r="W79" s="55" t="str">
        <x:f>Aggregate!AD77</x:f>
        <x:v>Jaylin Noel</x:v>
      </x:c>
      <x:c r="X79" s="55" t="str">
        <x:f>VLOOKUP(DraftSheet!$W79,Aggregate!AD:AO,4,FALSE())</x:f>
        <x:v>HOU/8</x:v>
      </x:c>
      <x:c r="Y79" s="53" t="n">
        <x:f>IFERROR(VLOOKUP(DraftSheet!$W79,Aggregate!$AD:$AO,8,FALSE()),"")</x:f>
        <x:v>67.56180176</x:v>
      </x:c>
      <x:c r="Z79" s="53" t="n">
        <x:f>IF(Scoring!$K$6="Auction",IFERROR(VLOOKUP(DraftSheet!$W79,Aggregate!$AD:$AO,10,FALSE()),""),IFERROR(VLOOKUP(DraftSheet!$W79,Aggregate!$AD:$AO,9,FALSE()),""))</x:f>
        <x:v>-34.63310999323528</x:v>
      </x:c>
      <x:c r="AA79" s="61" t="n">
        <x:f>SUMIFS($AD80:AD$84,$AC80:AC$84,"&lt;&gt;x",$AC80:AC$84,"&lt;&gt;o",$AD80:AD$84,"&gt;0")/Aggregate!$AL$1</x:f>
        <x:v>0</x:v>
      </x:c>
      <x:c r="AB79" s="53" t="n">
        <x:f t="array" ref="AB79">IFERROR(INDEX(ECR!$K:$K,MATCH(DraftSheet!$W79,ECR!$C:$C,0)),"ND")</x:f>
        <x:v>191</x:v>
      </x:c>
      <x:c r="AC79" s="62"/>
      <x:c r="AD79" s="64" t="n">
        <x:f>VLOOKUP(W79,Aggregate!AD:AL,9,FALSE())</x:f>
        <x:v>-33.75257471</x:v>
      </x:c>
      <x:c r="AE79" s="2"/>
      <x:c r="AF79" s="2"/>
      <x:c r="AG79" s="2"/>
      <x:c r="AH79" s="2"/>
    </x:row>
    <x:row r="80" ht="14.25" customHeight="1">
      <x:c r="A80" s="2"/>
      <x:c r="B80" s="53" t="n">
        <x:f>IFERROR(VLOOKUP(DraftSheet!$C80,Aggregate!$AR:$BC,11,FALSE()),"")</x:f>
        <x:v>7</x:v>
      </x:c>
      <x:c r="C80" s="55" t="str">
        <x:f>Aggregate!AR33</x:f>
        <x:v>Colby Parkinson</x:v>
      </x:c>
      <x:c r="D80" s="55" t="str">
        <x:f>VLOOKUP(DraftSheet!$C80,Aggregate!AR:BD,4,FALSE())</x:f>
        <x:v>LAR/11</x:v>
      </x:c>
      <x:c r="E80" s="53" t="n">
        <x:f>IFERROR(VLOOKUP($C80,Aggregate!$AR:$BC,8,FALSE()),"")</x:f>
        <x:v>64.82456874</x:v>
      </x:c>
      <x:c r="F80" s="53" t="n">
        <x:f>IF(Scoring!$K$6="Auction",IFERROR(VLOOKUP($C80,Aggregate!$AR:$BC,10,FALSE()),""),IFERROR(VLOOKUP($C80,Aggregate!$AR:$BC,9,FALSE()),""))</x:f>
        <x:v>-40.251208405588216</x:v>
      </x:c>
      <x:c r="G80" s="61" t="n">
        <x:f>SUMIFS(J80:$J$85,I80:$I$85,"&lt;&gt;x",I80:$I$85,"&lt;&gt;o",J80:$J$85,"&gt;0")/Aggregate!$AZ$1</x:f>
        <x:v>0</x:v>
      </x:c>
      <x:c r="H80" s="53" t="n">
        <x:f t="array" ref="H80">IFERROR(INDEX(ECR!$K:$K,MATCH(DraftSheet!$C80,ECR!$C:$C,0)),"ND")</x:f>
        <x:v>237</x:v>
      </x:c>
      <x:c r="I80" s="62"/>
      <x:c r="J80" s="64" t="n">
        <x:f>VLOOKUP(C80,Aggregate!AR:AZ,9,FALSE())</x:f>
        <x:v>-40.50098972</x:v>
      </x:c>
      <x:c r="K80" s="65"/>
      <x:c r="L80" s="53" t="n">
        <x:f>IFERROR(VLOOKUP(DraftSheet!$M80,Aggregate!$P:$AA,11,FALSE()),"")</x:f>
        <x:v>10</x:v>
      </x:c>
      <x:c r="M80" s="55" t="str">
        <x:f>Aggregate!P62</x:f>
        <x:v>Sean Tucker</x:v>
      </x:c>
      <x:c r="N80" s="55" t="str">
        <x:f>VLOOKUP(DraftSheet!$M80,Aggregate!P:AA,4,FALSE())</x:f>
        <x:v>TB/10</x:v>
      </x:c>
      <x:c r="O80" s="53" t="n">
        <x:f>IFERROR(VLOOKUP(DraftSheet!$M80,Aggregate!$P:$AA,8,FALSE()),"")</x:f>
        <x:v>32.65557765</x:v>
      </x:c>
      <x:c r="P80" s="53" t="n">
        <x:f>IF(Scoring!$K$6="Auction",IFERROR(VLOOKUP(DraftSheet!$M80,Aggregate!$P:$AA,10,FALSE()),""),IFERROR(VLOOKUP(DraftSheet!$M80,Aggregate!$P:$AA,9,FALSE()),""))</x:f>
        <x:v>-97.34475147779412</x:v>
      </x:c>
      <x:c r="Q80" s="61" t="n">
        <x:f>SUMIFS($T81:T$84,$S81:S$84,"&lt;&gt;x",$S81:S$84,"&lt;&gt;o",$T81:T$84,"&gt;0")/Aggregate!$X$1</x:f>
        <x:v>0</x:v>
      </x:c>
      <x:c r="R80" s="53" t="n">
        <x:f t="array" ref="R80">IFERROR(INDEX(ECR!$K:$K,MATCH(DraftSheet!$M80,ECR!$C:$C,0)),"ND")</x:f>
        <x:v>183</x:v>
      </x:c>
      <x:c r="S80" s="62"/>
      <x:c r="T80" s="64" t="n">
        <x:f>VLOOKUP(M80,Aggregate!P:X,9,FALSE())</x:f>
        <x:v>-68.84446206</x:v>
      </x:c>
      <x:c r="U80" s="73"/>
      <x:c r="V80" s="53" t="n">
        <x:f>IFERROR(VLOOKUP(DraftSheet!$W80,Aggregate!$AD:$AO,11,FALSE()),"")</x:f>
        <x:v>7</x:v>
      </x:c>
      <x:c r="W80" s="55" t="str">
        <x:f>Aggregate!AD66</x:f>
        <x:v>Tre' Harris</x:v>
      </x:c>
      <x:c r="X80" s="55" t="str">
        <x:f>VLOOKUP(DraftSheet!$W80,Aggregate!AD:AO,4,FALSE())</x:f>
        <x:v>LAC/7</x:v>
      </x:c>
      <x:c r="Y80" s="53" t="n">
        <x:f>IFERROR(VLOOKUP(DraftSheet!$W80,Aggregate!$AD:$AO,8,FALSE()),"")</x:f>
        <x:v>60.83377412</x:v>
      </x:c>
      <x:c r="Z80" s="53" t="n">
        <x:f>IF(Scoring!$K$6="Auction",IFERROR(VLOOKUP(DraftSheet!$W80,Aggregate!$AD:$AO,10,FALSE()),""),IFERROR(VLOOKUP(DraftSheet!$W80,Aggregate!$AD:$AO,9,FALSE()),""))</x:f>
        <x:v>-41.36113764014706</x:v>
      </x:c>
      <x:c r="AA80" s="61" t="n">
        <x:f>SUMIFS($AD81:AD$84,$AC81:AC$84,"&lt;&gt;x",$AC81:AC$84,"&lt;&gt;o",$AD81:AD$84,"&gt;0")/Aggregate!$AL$1</x:f>
        <x:v>0</x:v>
      </x:c>
      <x:c r="AB80" s="53" t="n">
        <x:f t="array" ref="AB80">IFERROR(INDEX(ECR!$K:$K,MATCH(DraftSheet!$W80,ECR!$C:$C,0)),"ND")</x:f>
        <x:v>170</x:v>
      </x:c>
      <x:c r="AC80" s="62"/>
      <x:c r="AD80" s="64" t="n">
        <x:f>VLOOKUP(W80,Aggregate!AD:AL,9,FALSE())</x:f>
        <x:v>-40.48060235</x:v>
      </x:c>
      <x:c r="AE80" s="2"/>
      <x:c r="AF80" s="2"/>
      <x:c r="AG80" s="2"/>
      <x:c r="AH80" s="2"/>
    </x:row>
    <x:row r="81" ht="14.25" customHeight="1">
      <x:c r="A81" s="2"/>
      <x:c r="B81" s="53" t="n">
        <x:f>IFERROR(VLOOKUP(DraftSheet!$C81,Aggregate!$AR:$BC,11,FALSE()),"")</x:f>
        <x:v>7</x:v>
      </x:c>
      <x:c r="C81" s="55" t="str">
        <x:f>Aggregate!AR35</x:f>
        <x:v>Mason Taylor</x:v>
      </x:c>
      <x:c r="D81" s="55" t="str">
        <x:f>VLOOKUP(DraftSheet!$C81,Aggregate!AR:BD,4,FALSE())</x:f>
        <x:v>NYJ/13</x:v>
      </x:c>
      <x:c r="E81" s="53" t="n">
        <x:f>IFERROR(VLOOKUP($C81,Aggregate!$AR:$BC,8,FALSE()),"")</x:f>
        <x:v>62.47671494</x:v>
      </x:c>
      <x:c r="F81" s="53" t="n">
        <x:f>IF(Scoring!$K$6="Auction",IFERROR(VLOOKUP($C81,Aggregate!$AR:$BC,10,FALSE()),""),IFERROR(VLOOKUP($C81,Aggregate!$AR:$BC,9,FALSE()),""))</x:f>
        <x:v>-42.92391396411764</x:v>
      </x:c>
      <x:c r="G81" s="61" t="n">
        <x:f>SUMIFS($J82:J$84,$I82:I$84,"&lt;&gt;x",$I82:I$84,"&lt;&gt;o",$J82:J$84,"&gt;0")/Aggregate!$AZ$1</x:f>
        <x:v>0</x:v>
      </x:c>
      <x:c r="H81" s="53" t="n">
        <x:f t="array" ref="H81">IFERROR(INDEX(ECR!$K:$K,MATCH(DraftSheet!$C81,ECR!$C:$C,0)),"ND")</x:f>
        <x:v>280</x:v>
      </x:c>
      <x:c r="I81" s="62"/>
      <x:c r="J81" s="64" t="n">
        <x:f>VLOOKUP(C81,Aggregate!AR:AZ,9,FALSE())</x:f>
        <x:v>-42.84884351</x:v>
      </x:c>
      <x:c r="K81" s="65"/>
      <x:c r="L81" s="53" t="n">
        <x:f>IFERROR(VLOOKUP(DraftSheet!$M81,Aggregate!$P:$AA,11,FALSE()),"")</x:f>
        <x:v>10</x:v>
      </x:c>
      <x:c r="M81" s="55" t="str">
        <x:f>Aggregate!P82</x:f>
        <x:v>Malik Davis</x:v>
      </x:c>
      <x:c r="N81" s="55" t="str">
        <x:f>VLOOKUP(DraftSheet!$M81,Aggregate!P:AA,4,FALSE())</x:f>
        <x:v>DAL/14</x:v>
      </x:c>
      <x:c r="O81" s="53" t="n">
        <x:f>IFERROR(VLOOKUP(DraftSheet!$M81,Aggregate!$P:$AA,8,FALSE()),"")</x:f>
        <x:v>31.59114588</x:v>
      </x:c>
      <x:c r="P81" s="53" t="n">
        <x:f>IF(Scoring!$K$6="Auction",IFERROR(VLOOKUP(DraftSheet!$M81,Aggregate!$P:$AA,10,FALSE()),""),IFERROR(VLOOKUP(DraftSheet!$M81,Aggregate!$P:$AA,9,FALSE()),""))</x:f>
        <x:v>-98.40918324367648</x:v>
      </x:c>
      <x:c r="Q81" s="61" t="n">
        <x:f>SUMIFS(T81:$T$85,S81:$S$85,"&lt;&gt;x",S81:$S$85,"&lt;&gt;o",T81:$T$85,"&gt;0")/Aggregate!$X$1</x:f>
        <x:v>0</x:v>
      </x:c>
      <x:c r="R81" s="53" t="n">
        <x:f t="array" ref="R81">IFERROR(INDEX(ECR!$K:$K,MATCH(DraftSheet!$M81,ECR!$C:$C,0)),"ND")</x:f>
        <x:v>274</x:v>
      </x:c>
      <x:c r="S81" s="62"/>
      <x:c r="T81" s="64" t="n">
        <x:f>VLOOKUP(M81,Aggregate!P:X,9,FALSE())</x:f>
        <x:v>-69.90889382</x:v>
      </x:c>
      <x:c r="U81" s="73"/>
      <x:c r="V81" s="53" t="n">
        <x:f>IFERROR(VLOOKUP(DraftSheet!$W81,Aggregate!$AD:$AO,11,FALSE()),"")</x:f>
        <x:v>8</x:v>
      </x:c>
      <x:c r="W81" s="55" t="str">
        <x:f>Aggregate!AD71</x:f>
        <x:v>Ryan Flournoy</x:v>
      </x:c>
      <x:c r="X81" s="55" t="str">
        <x:f>VLOOKUP(DraftSheet!$W81,Aggregate!AD:AO,4,FALSE())</x:f>
        <x:v>DAL/14</x:v>
      </x:c>
      <x:c r="Y81" s="53" t="n">
        <x:f>IFERROR(VLOOKUP(DraftSheet!$W81,Aggregate!$AD:$AO,8,FALSE()),"")</x:f>
        <x:v>59.60977941</x:v>
      </x:c>
      <x:c r="Z81" s="53" t="n">
        <x:f>IF(Scoring!$K$6="Auction",IFERROR(VLOOKUP(DraftSheet!$W81,Aggregate!$AD:$AO,10,FALSE()),""),IFERROR(VLOOKUP(DraftSheet!$W81,Aggregate!$AD:$AO,9,FALSE()),""))</x:f>
        <x:v>-42.585132346176465</x:v>
      </x:c>
      <x:c r="AA81" s="61" t="n">
        <x:f>SUMIFS($AD82:AD$84,$AC82:AC$84,"&lt;&gt;x",$AC82:AC$84,"&lt;&gt;o",$AD82:AD$84,"&gt;0")/Aggregate!$AL$1</x:f>
        <x:v>0</x:v>
      </x:c>
      <x:c r="AB81" s="53" t="n">
        <x:f t="array" ref="AB81">IFERROR(INDEX(ECR!$K:$K,MATCH(DraftSheet!$W81,ECR!$C:$C,0)),"ND")</x:f>
        <x:v>180</x:v>
      </x:c>
      <x:c r="AC81" s="62"/>
      <x:c r="AD81" s="64" t="n">
        <x:f>VLOOKUP(W81,Aggregate!AD:AL,9,FALSE())</x:f>
        <x:v>-41.70459706</x:v>
      </x:c>
      <x:c r="AE81" s="2"/>
      <x:c r="AF81" s="2"/>
      <x:c r="AG81" s="2"/>
      <x:c r="AH81" s="2"/>
    </x:row>
    <x:row r="82" ht="14.25" customHeight="1">
      <x:c r="A82" s="2"/>
      <x:c r="B82" s="53" t="n">
        <x:f>IFERROR(VLOOKUP(DraftSheet!$C82,Aggregate!$AR:$BC,11,FALSE()),"")</x:f>
        <x:v>8</x:v>
      </x:c>
      <x:c r="C82" s="55" t="str">
        <x:f>Aggregate!AR36</x:f>
        <x:v>Theo Johnson</x:v>
      </x:c>
      <x:c r="D82" s="55" t="str">
        <x:f>VLOOKUP(DraftSheet!$C82,Aggregate!AR:BD,4,FALSE())</x:f>
        <x:v>NYG/8</x:v>
      </x:c>
      <x:c r="E82" s="53" t="n">
        <x:f>IFERROR(VLOOKUP($C82,Aggregate!$AR:$BC,8,FALSE()),"")</x:f>
        <x:v>55.55371241</x:v>
      </x:c>
      <x:c r="F82" s="53" t="n">
        <x:f>IF(Scoring!$K$6="Auction",IFERROR(VLOOKUP($C82,Aggregate!$AR:$BC,10,FALSE()),""),IFERROR(VLOOKUP($C82,Aggregate!$AR:$BC,9,FALSE()),""))</x:f>
        <x:v>-49.86721972970587</x:v>
      </x:c>
      <x:c r="G82" s="61" t="n">
        <x:f>SUMIFS($J83:J$84,$I83:I$84,"&lt;&gt;x",$I83:I$84,"&lt;&gt;o",$J83:J$84,"&gt;0")/Aggregate!$AZ$1</x:f>
        <x:v>0</x:v>
      </x:c>
      <x:c r="H82" s="53" t="n">
        <x:f t="array" ref="H82">IFERROR(INDEX(ECR!$K:$K,MATCH(DraftSheet!$C82,ECR!$C:$C,0)),"ND")</x:f>
        <x:v>283</x:v>
      </x:c>
      <x:c r="I82" s="62"/>
      <x:c r="J82" s="64" t="n">
        <x:f>VLOOKUP(C82,Aggregate!AR:AZ,9,FALSE())</x:f>
        <x:v>-49.77184604</x:v>
      </x:c>
      <x:c r="K82" s="65"/>
      <x:c r="L82" s="53" t="n">
        <x:f>IFERROR(VLOOKUP(DraftSheet!$M82,Aggregate!$P:$AA,11,FALSE()),"")</x:f>
        <x:v>10</x:v>
      </x:c>
      <x:c r="M82" s="55" t="str">
        <x:f>Aggregate!P75</x:f>
        <x:v>Isaiah Davis</x:v>
      </x:c>
      <x:c r="N82" s="55" t="str">
        <x:f>VLOOKUP(DraftSheet!$M82,Aggregate!P:AA,4,FALSE())</x:f>
        <x:v>NYJ/13</x:v>
      </x:c>
      <x:c r="O82" s="53" t="n">
        <x:f>IFERROR(VLOOKUP(DraftSheet!$M82,Aggregate!$P:$AA,8,FALSE()),"")</x:f>
        <x:v>30.67904118</x:v>
      </x:c>
      <x:c r="P82" s="53" t="n">
        <x:f>IF(Scoring!$K$6="Auction",IFERROR(VLOOKUP(DraftSheet!$M82,Aggregate!$P:$AA,10,FALSE()),""),IFERROR(VLOOKUP(DraftSheet!$M82,Aggregate!$P:$AA,9,FALSE()),""))</x:f>
        <x:v>-99.32128794926471</x:v>
      </x:c>
      <x:c r="Q82" s="61" t="n">
        <x:f>SUMIFS($T83:T$84,$S83:S$84,"&lt;&gt;x",$S83:S$84,"&lt;&gt;o",$T83:T$84,"&gt;0")/Aggregate!$X$1</x:f>
        <x:v>0</x:v>
      </x:c>
      <x:c r="R82" s="53" t="n">
        <x:f t="array" ref="R82">IFERROR(INDEX(ECR!$K:$K,MATCH(DraftSheet!$M82,ECR!$C:$C,0)),"ND")</x:f>
        <x:v>250</x:v>
      </x:c>
      <x:c r="S82" s="62"/>
      <x:c r="T82" s="64" t="n">
        <x:f>VLOOKUP(M82,Aggregate!P:X,9,FALSE())</x:f>
        <x:v>-70.82099853</x:v>
      </x:c>
      <x:c r="U82" s="73"/>
      <x:c r="V82" s="53" t="n">
        <x:f>IFERROR(VLOOKUP(DraftSheet!$W82,Aggregate!$AD:$AO,11,FALSE()),"")</x:f>
        <x:v>8</x:v>
      </x:c>
      <x:c r="W82" s="55" t="str">
        <x:f>Aggregate!AD80</x:f>
        <x:v>Isaac TeSlaa</x:v>
      </x:c>
      <x:c r="X82" s="55" t="str">
        <x:f>VLOOKUP(DraftSheet!$W82,Aggregate!AD:AO,4,FALSE())</x:f>
        <x:v>DET/6</x:v>
      </x:c>
      <x:c r="Y82" s="53" t="n">
        <x:f>IFERROR(VLOOKUP(DraftSheet!$W82,Aggregate!$AD:$AO,8,FALSE()),"")</x:f>
        <x:v>56.29963235</x:v>
      </x:c>
      <x:c r="Z82" s="53" t="n">
        <x:f>IF(Scoring!$K$6="Auction",IFERROR(VLOOKUP(DraftSheet!$W82,Aggregate!$AD:$AO,10,FALSE()),""),IFERROR(VLOOKUP(DraftSheet!$W82,Aggregate!$AD:$AO,9,FALSE()),""))</x:f>
        <x:v>-45.895279405588234</x:v>
      </x:c>
      <x:c r="AA82" s="61" t="n">
        <x:f>SUMIFS($AD83:AD$84,$AC83:AC$84,"&lt;&gt;x",$AC83:AC$84,"&lt;&gt;o",$AD83:AD$84,"&gt;0")/Aggregate!$AL$1</x:f>
        <x:v>0</x:v>
      </x:c>
      <x:c r="AB82" s="53" t="n">
        <x:f t="array" ref="AB82">IFERROR(INDEX(ECR!$K:$K,MATCH(DraftSheet!$W82,ECR!$C:$C,0)),"ND")</x:f>
        <x:v>199</x:v>
      </x:c>
      <x:c r="AC82" s="62"/>
      <x:c r="AD82" s="64" t="n">
        <x:f>VLOOKUP(W82,Aggregate!AD:AL,9,FALSE())</x:f>
        <x:v>-45.01474412</x:v>
      </x:c>
      <x:c r="AE82" s="2"/>
      <x:c r="AF82" s="2"/>
      <x:c r="AG82" s="2"/>
      <x:c r="AH82" s="2"/>
    </x:row>
    <x:row r="83" ht="14.25" customHeight="1">
      <x:c r="A83" s="2"/>
      <x:c r="B83" s="53" t="n">
        <x:f>IFERROR(VLOOKUP(DraftSheet!$C83,Aggregate!$AR:$BC,11,FALSE()),"")</x:f>
        <x:v>9</x:v>
      </x:c>
      <x:c r="C83" s="55" t="str">
        <x:f>Aggregate!AR37</x:f>
        <x:v>Eli Stowers</x:v>
      </x:c>
      <x:c r="D83" s="55" t="str">
        <x:f>VLOOKUP(DraftSheet!$C83,Aggregate!AR:BD,4,FALSE())</x:f>
        <x:v>PHI/10</x:v>
      </x:c>
      <x:c r="E83" s="53" t="n">
        <x:f>IFERROR(VLOOKUP($C83,Aggregate!$AR:$BC,8,FALSE()),"")</x:f>
        <x:v>39.02484856</x:v>
      </x:c>
      <x:c r="F83" s="53" t="n">
        <x:f>IF(Scoring!$K$6="Auction",IFERROR(VLOOKUP($C83,Aggregate!$AR:$BC,10,FALSE()),""),IFERROR(VLOOKUP($C83,Aggregate!$AR:$BC,9,FALSE()),""))</x:f>
        <x:v>-66.09153505220587</x:v>
      </x:c>
      <x:c r="G83" s="61">
        <x:v>0.0</x:v>
      </x:c>
      <x:c r="H83" s="53" t="n">
        <x:f t="array" ref="H83">IFERROR(INDEX(ECR!$K:$K,MATCH(DraftSheet!$C83,ECR!$C:$C,0)),"ND")</x:f>
        <x:v>296</x:v>
      </x:c>
      <x:c r="I83" s="62"/>
      <x:c r="J83" s="64" t="n">
        <x:f>VLOOKUP(C83,Aggregate!AR:AZ,9,FALSE())</x:f>
        <x:v>-66.3007099</x:v>
      </x:c>
      <x:c r="K83" s="65"/>
      <x:c r="L83" s="53" t="n">
        <x:f>IFERROR(VLOOKUP(DraftSheet!$M83,Aggregate!$P:$AA,11,FALSE()),"")</x:f>
        <x:v>10</x:v>
      </x:c>
      <x:c r="M83" s="55" t="str">
        <x:f>Aggregate!P71</x:f>
        <x:v>Ollie Gordon II</x:v>
      </x:c>
      <x:c r="N83" s="55" t="str">
        <x:f>VLOOKUP(DraftSheet!$M83,Aggregate!P:AA,4,FALSE())</x:f>
        <x:v>MIA/6</x:v>
      </x:c>
      <x:c r="O83" s="53" t="n">
        <x:f>IFERROR(VLOOKUP(DraftSheet!$M83,Aggregate!$P:$AA,8,FALSE()),"")</x:f>
        <x:v>28.55203529</x:v>
      </x:c>
      <x:c r="P83" s="53" t="n">
        <x:f>IF(Scoring!$K$6="Auction",IFERROR(VLOOKUP(DraftSheet!$M83,Aggregate!$P:$AA,10,FALSE()),""),IFERROR(VLOOKUP(DraftSheet!$M83,Aggregate!$P:$AA,9,FALSE()),""))</x:f>
        <x:v>-101.44829383000001</x:v>
      </x:c>
      <x:c r="Q83" s="61" t="n">
        <x:f>SUMIFS($T84:T$84,$S84:S$84,"&lt;&gt;x",$S84:S$84,"&lt;&gt;o",$T84:T$84,"&gt;0")/Aggregate!$X$1</x:f>
        <x:v>0</x:v>
      </x:c>
      <x:c r="R83" s="53" t="n">
        <x:f t="array" ref="R83">IFERROR(INDEX(ECR!$K:$K,MATCH(DraftSheet!$M83,ECR!$C:$C,0)),"ND")</x:f>
        <x:v>239</x:v>
      </x:c>
      <x:c r="S83" s="62"/>
      <x:c r="T83" s="64" t="n">
        <x:f>VLOOKUP(M83,Aggregate!P:X,9,FALSE())</x:f>
        <x:v>-72.94800441</x:v>
      </x:c>
      <x:c r="U83" s="73"/>
      <x:c r="V83" s="53" t="n">
        <x:f>IFERROR(VLOOKUP(DraftSheet!$W83,Aggregate!$AD:$AO,11,FALSE()),"")</x:f>
        <x:v>8</x:v>
      </x:c>
      <x:c r="W83" s="55" t="str">
        <x:f>Aggregate!AD70</x:f>
        <x:v>Pat Bryant</x:v>
      </x:c>
      <x:c r="X83" s="55" t="str">
        <x:f>VLOOKUP(DraftSheet!$W83,Aggregate!AD:AO,4,FALSE())</x:f>
        <x:v>DEN/10</x:v>
      </x:c>
      <x:c r="Y83" s="53" t="n">
        <x:f>IFERROR(VLOOKUP(DraftSheet!$W83,Aggregate!$AD:$AO,8,FALSE()),"")</x:f>
        <x:v>52.00056529</x:v>
      </x:c>
      <x:c r="Z83" s="53" t="n">
        <x:f>IF(Scoring!$K$6="Auction",IFERROR(VLOOKUP(DraftSheet!$W83,Aggregate!$AD:$AO,10,FALSE()),""),IFERROR(VLOOKUP(DraftSheet!$W83,Aggregate!$AD:$AO,9,FALSE()),""))</x:f>
        <x:v>-50.19434646338235</x:v>
      </x:c>
      <x:c r="AA83" s="61" t="n">
        <x:f>SUMIFS($AD84:AD$84,$AC84:AC$84,"&lt;&gt;x",$AC84:AC$84,"&lt;&gt;o",$AD84:AD$84,"&gt;0")/Aggregate!$AL$1</x:f>
        <x:v>0</x:v>
      </x:c>
      <x:c r="AB83" s="53" t="n">
        <x:f t="array" ref="AB83">IFERROR(INDEX(ECR!$K:$K,MATCH(DraftSheet!$W83,ECR!$C:$C,0)),"ND")</x:f>
        <x:v>179</x:v>
      </x:c>
      <x:c r="AC83" s="62"/>
      <x:c r="AD83" s="64" t="n">
        <x:f>VLOOKUP(W83,Aggregate!AD:AL,9,FALSE())</x:f>
        <x:v>-49.31381118</x:v>
      </x:c>
      <x:c r="AE83" s="2"/>
      <x:c r="AF83" s="2"/>
      <x:c r="AG83" s="2"/>
      <x:c r="AH83" s="2"/>
    </x:row>
    <x:row r="84" ht="14.25" customHeight="1">
      <x:c r="A84" s="2"/>
      <x:c r="B84" s="53" t="n">
        <x:f>IFERROR(VLOOKUP(DraftSheet!$C84,Aggregate!$AR:$BC,11,FALSE()),"")</x:f>
        <x:v>9</x:v>
      </x:c>
      <x:c r="C84" s="55" t="str">
        <x:f>Aggregate!AR39</x:f>
        <x:v>Jake Tonges</x:v>
      </x:c>
      <x:c r="D84" s="55" t="str">
        <x:f>VLOOKUP(DraftSheet!$C84,Aggregate!AR:BD,4,FALSE())</x:f>
        <x:v>SF/8</x:v>
      </x:c>
      <x:c r="E84" s="53" t="n">
        <x:f>IFERROR(VLOOKUP($C84,Aggregate!$AR:$BC,8,FALSE()),"")</x:f>
        <x:v>36.48085318</x:v>
      </x:c>
      <x:c r="F84" s="53" t="n">
        <x:f>IF(Scoring!$K$6="Auction",IFERROR(VLOOKUP($C84,Aggregate!$AR:$BC,10,FALSE()),""),IFERROR(VLOOKUP($C84,Aggregate!$AR:$BC,9,FALSE()),""))</x:f>
        <x:v>-68.91977572911765</x:v>
      </x:c>
      <x:c r="G84" s="61" t="n">
        <x:f>SUMIFS(J84:$J$85,I84:$I$85,"&lt;&gt;x",I84:$I$85,"&lt;&gt;o",J84:$J$85,"&gt;0")/Aggregate!$AZ$1</x:f>
        <x:v>0</x:v>
      </x:c>
      <x:c r="H84" s="53" t="n">
        <x:f t="array" ref="H84">IFERROR(INDEX(ECR!$K:$K,MATCH(DraftSheet!$C84,ECR!$C:$C,0)),"ND")</x:f>
        <x:v>321</x:v>
      </x:c>
      <x:c r="I84" s="62"/>
      <x:c r="J84" s="64" t="n">
        <x:f>VLOOKUP(C84,Aggregate!AR:AZ,9,FALSE())</x:f>
        <x:v>-68.84470528</x:v>
      </x:c>
      <x:c r="K84" s="65"/>
      <x:c r="L84" s="53" t="n">
        <x:f>IFERROR(VLOOKUP(DraftSheet!$M84,Aggregate!$P:$AA,11,FALSE()),"")</x:f>
        <x:v>10</x:v>
      </x:c>
      <x:c r="M84" s="55" t="str">
        <x:f>Aggregate!P81</x:f>
        <x:v>LeQuint Allen Jr.</x:v>
      </x:c>
      <x:c r="N84" s="55" t="str">
        <x:f>VLOOKUP(DraftSheet!$M84,Aggregate!P:AA,4,FALSE())</x:f>
        <x:v>JAC/7</x:v>
      </x:c>
      <x:c r="O84" s="53" t="n">
        <x:f>IFERROR(VLOOKUP(DraftSheet!$M84,Aggregate!$P:$AA,8,FALSE()),"")</x:f>
        <x:v>27.07892118</x:v>
      </x:c>
      <x:c r="P84" s="53" t="n">
        <x:f>IF(Scoring!$K$6="Auction",IFERROR(VLOOKUP(DraftSheet!$M84,Aggregate!$P:$AA,10,FALSE()),""),IFERROR(VLOOKUP(DraftSheet!$M84,Aggregate!$P:$AA,9,FALSE()),""))</x:f>
        <x:v>-102.92140794735295</x:v>
      </x:c>
      <x:c r="Q84" s="61" t="n">
        <x:f>SUMIFS(T84:$T$85,S84:$S$85,"&lt;&gt;x",S84:$S$85,"&lt;&gt;o",T84:$T$85,"&gt;0")/Aggregate!$X$1</x:f>
        <x:v>0</x:v>
      </x:c>
      <x:c r="R84" s="53" t="n">
        <x:f t="array" ref="R84">IFERROR(INDEX(ECR!$K:$K,MATCH(DraftSheet!$M84,ECR!$C:$C,0)),"ND")</x:f>
        <x:v>266</x:v>
      </x:c>
      <x:c r="S84" s="62"/>
      <x:c r="T84" s="64" t="n">
        <x:f>VLOOKUP(M84,Aggregate!P:X,9,FALSE())</x:f>
        <x:v>-74.42111853</x:v>
      </x:c>
      <x:c r="U84" s="73"/>
      <x:c r="V84" s="53" t="n">
        <x:f>IFERROR(VLOOKUP(DraftSheet!$W84,Aggregate!$AD:$AO,11,FALSE()),"")</x:f>
        <x:v>8</x:v>
      </x:c>
      <x:c r="W84" s="55" t="str">
        <x:f>Aggregate!AD81</x:f>
        <x:v>Darnell Mooney</x:v>
      </x:c>
      <x:c r="X84" s="55" t="str">
        <x:f>VLOOKUP(DraftSheet!$W84,Aggregate!AD:AO,4,FALSE())</x:f>
        <x:v>NYG/8</x:v>
      </x:c>
      <x:c r="Y84" s="53" t="n">
        <x:f>IFERROR(VLOOKUP(DraftSheet!$W84,Aggregate!$AD:$AO,8,FALSE()),"")</x:f>
        <x:v>45.65832353</x:v>
      </x:c>
      <x:c r="Z84" s="53" t="n">
        <x:f>IF(Scoring!$K$6="Auction",IFERROR(VLOOKUP(DraftSheet!$W84,Aggregate!$AD:$AO,10,FALSE()),""),IFERROR(VLOOKUP(DraftSheet!$W84,Aggregate!$AD:$AO,9,FALSE()),""))</x:f>
        <x:v>-56.53658822852941</x:v>
      </x:c>
      <x:c r="AA84" s="61" t="n">
        <x:f>SUMIFS(AD84:$AD$85,AC84:$AC$85,"&lt;&gt;x",AC84:$AC$85,"&lt;&gt;o",AD84:$AD$85,"&gt;0")/Aggregate!$AL$1</x:f>
        <x:v>0</x:v>
      </x:c>
      <x:c r="AB84" s="53" t="n">
        <x:f t="array" ref="AB84">IFERROR(INDEX(ECR!$K:$K,MATCH(DraftSheet!$W84,ECR!$C:$C,0)),"ND")</x:f>
        <x:v>216</x:v>
      </x:c>
      <x:c r="AC84" s="62"/>
      <x:c r="AD84" s="64" t="n">
        <x:f>VLOOKUP(W84,Aggregate!AD:AL,9,FALSE())</x:f>
        <x:v>-55.65605294</x:v>
      </x:c>
      <x:c r="AE84" s="2"/>
      <x:c r="AF84" s="2"/>
      <x:c r="AG84" s="2"/>
      <x:c r="AH84" s="2"/>
    </x:row>
    <x:row r="85" ht="14.25" customHeight="1">
      <x:c r="A85" s="2"/>
      <x:c r="B85" s="2"/>
      <x:c r="C85" s="2"/>
      <x:c r="D85" s="115"/>
      <x:c r="E85" s="115"/>
      <x:c r="F85" s="115"/>
      <x:c r="G85" s="115"/>
      <x:c r="H85" s="115"/>
      <x:c r="I85" s="2"/>
      <x:c r="J85" s="115"/>
      <x:c r="K85" s="2"/>
      <x:c r="L85" s="2"/>
      <x:c r="M85" s="2"/>
      <x:c r="N85" s="115"/>
      <x:c r="O85" s="115"/>
      <x:c r="P85" s="115"/>
      <x:c r="Q85" s="115"/>
      <x:c r="R85" s="115"/>
      <x:c r="S85" s="2"/>
      <x:c r="T85" s="115"/>
      <x:c r="U85" s="2"/>
      <x:c r="V85" s="2"/>
      <x:c r="W85" s="2"/>
      <x:c r="X85" s="115"/>
      <x:c r="Y85" s="115"/>
      <x:c r="Z85" s="115"/>
      <x:c r="AA85" s="115"/>
      <x:c r="AB85" s="115"/>
      <x:c r="AC85" s="2"/>
      <x:c r="AD85" s="115"/>
      <x:c r="AE85" s="2"/>
      <x:c r="AF85" s="2"/>
      <x:c r="AG85" s="2"/>
      <x:c r="AH85" s="2"/>
    </x:row>
    <x:row r="86" ht="14.25" customHeight="1">
      <x:c r="A86" s="2"/>
      <x:c r="B86" s="2"/>
      <x:c r="C86" s="2"/>
      <x:c r="D86" s="115"/>
      <x:c r="E86" s="115"/>
      <x:c r="F86" s="115"/>
      <x:c r="G86" s="115"/>
      <x:c r="H86" s="115"/>
      <x:c r="I86" s="2"/>
      <x:c r="J86" s="115"/>
      <x:c r="K86" s="2"/>
      <x:c r="L86" s="2"/>
      <x:c r="M86" s="2"/>
      <x:c r="N86" s="115"/>
      <x:c r="O86" s="115"/>
      <x:c r="P86" s="115"/>
      <x:c r="Q86" s="115"/>
      <x:c r="R86" s="115"/>
      <x:c r="S86" s="2"/>
      <x:c r="T86" s="115"/>
      <x:c r="U86" s="2"/>
      <x:c r="V86" s="2"/>
      <x:c r="W86" s="2"/>
      <x:c r="X86" s="115"/>
      <x:c r="Y86" s="115"/>
      <x:c r="Z86" s="115"/>
      <x:c r="AA86" s="115"/>
      <x:c r="AB86" s="115"/>
      <x:c r="AC86" s="2"/>
      <x:c r="AD86" s="115"/>
      <x:c r="AE86" s="2"/>
      <x:c r="AF86" s="2"/>
      <x:c r="AG86" s="2"/>
      <x:c r="AH86" s="2"/>
    </x:row>
    <x:row r="87" ht="14.25" customHeight="1">
      <x:c r="A87" s="2"/>
      <x:c r="B87" s="2"/>
      <x:c r="C87" s="2"/>
      <x:c r="D87" s="115"/>
      <x:c r="E87" s="115"/>
      <x:c r="F87" s="115"/>
      <x:c r="G87" s="115"/>
      <x:c r="H87" s="115"/>
      <x:c r="I87" s="2"/>
      <x:c r="J87" s="115"/>
      <x:c r="K87" s="2"/>
      <x:c r="L87" s="2"/>
      <x:c r="M87" s="2"/>
      <x:c r="N87" s="115"/>
      <x:c r="O87" s="115"/>
      <x:c r="P87" s="115"/>
      <x:c r="Q87" s="115"/>
      <x:c r="R87" s="115"/>
      <x:c r="S87" s="2"/>
      <x:c r="T87" s="115"/>
      <x:c r="U87" s="2"/>
      <x:c r="V87" s="2"/>
      <x:c r="W87" s="2"/>
      <x:c r="X87" s="115"/>
      <x:c r="Y87" s="115"/>
      <x:c r="Z87" s="115"/>
      <x:c r="AA87" s="115"/>
      <x:c r="AB87" s="115"/>
      <x:c r="AC87" s="2"/>
      <x:c r="AD87" s="115"/>
      <x:c r="AE87" s="2"/>
      <x:c r="AF87" s="2"/>
      <x:c r="AG87" s="2"/>
      <x:c r="AH87" s="2"/>
    </x:row>
    <x:row r="88" ht="14.25" customHeight="1">
      <x:c r="A88" s="2"/>
      <x:c r="B88" s="2"/>
      <x:c r="C88" s="2"/>
      <x:c r="D88" s="115"/>
      <x:c r="E88" s="115"/>
      <x:c r="F88" s="115"/>
      <x:c r="G88" s="115"/>
      <x:c r="H88" s="115"/>
      <x:c r="I88" s="2"/>
      <x:c r="J88" s="115"/>
      <x:c r="K88" s="2"/>
      <x:c r="L88" s="2"/>
      <x:c r="M88" s="2"/>
      <x:c r="N88" s="115"/>
      <x:c r="O88" s="115"/>
      <x:c r="P88" s="115"/>
      <x:c r="Q88" s="115"/>
      <x:c r="R88" s="115"/>
      <x:c r="S88" s="2"/>
      <x:c r="T88" s="115"/>
      <x:c r="U88" s="2"/>
      <x:c r="V88" s="2"/>
      <x:c r="W88" s="2"/>
      <x:c r="X88" s="115"/>
      <x:c r="Y88" s="115"/>
      <x:c r="Z88" s="115"/>
      <x:c r="AA88" s="115"/>
      <x:c r="AB88" s="115"/>
      <x:c r="AC88" s="2"/>
      <x:c r="AD88" s="115"/>
      <x:c r="AE88" s="2"/>
      <x:c r="AF88" s="2"/>
      <x:c r="AG88" s="2"/>
      <x:c r="AH88" s="2"/>
    </x:row>
    <x:row r="89" ht="14.25" customHeight="1">
      <x:c r="A89" s="2"/>
      <x:c r="B89" s="2"/>
      <x:c r="C89" s="2"/>
      <x:c r="D89" s="115"/>
      <x:c r="E89" s="115"/>
      <x:c r="F89" s="115"/>
      <x:c r="G89" s="115"/>
      <x:c r="H89" s="115"/>
      <x:c r="I89" s="2"/>
      <x:c r="J89" s="115"/>
      <x:c r="K89" s="2"/>
      <x:c r="L89" s="2"/>
      <x:c r="M89" s="2"/>
      <x:c r="N89" s="115"/>
      <x:c r="O89" s="115"/>
      <x:c r="P89" s="115"/>
      <x:c r="Q89" s="115"/>
      <x:c r="R89" s="115"/>
      <x:c r="S89" s="2"/>
      <x:c r="T89" s="115"/>
      <x:c r="U89" s="2"/>
      <x:c r="V89" s="2"/>
      <x:c r="W89" s="2"/>
      <x:c r="X89" s="115"/>
      <x:c r="Y89" s="115"/>
      <x:c r="Z89" s="115"/>
      <x:c r="AA89" s="115"/>
      <x:c r="AB89" s="115"/>
      <x:c r="AC89" s="2"/>
      <x:c r="AD89" s="115"/>
      <x:c r="AE89" s="2"/>
      <x:c r="AF89" s="2"/>
      <x:c r="AG89" s="2"/>
      <x:c r="AH89" s="2"/>
    </x:row>
    <x:row r="90" ht="14.25" customHeight="1">
      <x:c r="A90" s="2"/>
      <x:c r="B90" s="2"/>
      <x:c r="C90" s="2"/>
      <x:c r="D90" s="115"/>
      <x:c r="E90" s="115"/>
      <x:c r="F90" s="115"/>
      <x:c r="G90" s="115"/>
      <x:c r="H90" s="115"/>
      <x:c r="I90" s="2"/>
      <x:c r="J90" s="115"/>
      <x:c r="K90" s="2"/>
      <x:c r="L90" s="2"/>
      <x:c r="M90" s="2"/>
      <x:c r="N90" s="115"/>
      <x:c r="O90" s="115"/>
      <x:c r="P90" s="115"/>
      <x:c r="Q90" s="115"/>
      <x:c r="R90" s="115"/>
      <x:c r="S90" s="2"/>
      <x:c r="T90" s="115"/>
      <x:c r="U90" s="2"/>
      <x:c r="V90" s="2"/>
      <x:c r="W90" s="2"/>
      <x:c r="X90" s="115"/>
      <x:c r="Y90" s="115"/>
      <x:c r="Z90" s="115"/>
      <x:c r="AA90" s="115"/>
      <x:c r="AB90" s="115"/>
      <x:c r="AC90" s="2"/>
      <x:c r="AD90" s="115"/>
      <x:c r="AE90" s="2"/>
      <x:c r="AF90" s="2"/>
      <x:c r="AG90" s="2"/>
      <x:c r="AH90" s="2"/>
    </x:row>
    <x:row r="91" ht="14.25" customHeight="1">
      <x:c r="A91" s="2"/>
      <x:c r="B91" s="2"/>
      <x:c r="C91" s="2"/>
      <x:c r="D91" s="115"/>
      <x:c r="E91" s="115"/>
      <x:c r="F91" s="115"/>
      <x:c r="G91" s="115"/>
      <x:c r="H91" s="115"/>
      <x:c r="I91" s="2"/>
      <x:c r="J91" s="115"/>
      <x:c r="K91" s="2"/>
      <x:c r="L91" s="2"/>
      <x:c r="M91" s="2"/>
      <x:c r="N91" s="115"/>
      <x:c r="O91" s="115"/>
      <x:c r="P91" s="115"/>
      <x:c r="Q91" s="115"/>
      <x:c r="R91" s="115"/>
      <x:c r="S91" s="2"/>
      <x:c r="T91" s="115"/>
      <x:c r="U91" s="2"/>
      <x:c r="V91" s="2"/>
      <x:c r="W91" s="2"/>
      <x:c r="X91" s="115"/>
      <x:c r="Y91" s="115"/>
      <x:c r="Z91" s="115"/>
      <x:c r="AA91" s="115"/>
      <x:c r="AB91" s="115"/>
      <x:c r="AC91" s="2"/>
      <x:c r="AD91" s="115"/>
      <x:c r="AE91" s="2"/>
      <x:c r="AF91" s="2"/>
      <x:c r="AG91" s="2"/>
      <x:c r="AH91" s="2"/>
    </x:row>
    <x:row r="92" ht="14.25" customHeight="1">
      <x:c r="A92" s="2"/>
      <x:c r="B92" s="2"/>
      <x:c r="C92" s="2"/>
      <x:c r="D92" s="115"/>
      <x:c r="E92" s="115"/>
      <x:c r="F92" s="115"/>
      <x:c r="G92" s="115"/>
      <x:c r="H92" s="115"/>
      <x:c r="I92" s="2"/>
      <x:c r="J92" s="115"/>
      <x:c r="K92" s="2"/>
      <x:c r="L92" s="2"/>
      <x:c r="M92" s="2"/>
      <x:c r="N92" s="115"/>
      <x:c r="O92" s="115"/>
      <x:c r="P92" s="115"/>
      <x:c r="Q92" s="115"/>
      <x:c r="R92" s="115"/>
      <x:c r="S92" s="2"/>
      <x:c r="T92" s="115"/>
      <x:c r="U92" s="2"/>
      <x:c r="V92" s="2"/>
      <x:c r="W92" s="2"/>
      <x:c r="X92" s="115"/>
      <x:c r="Y92" s="115"/>
      <x:c r="Z92" s="115"/>
      <x:c r="AA92" s="115"/>
      <x:c r="AB92" s="115"/>
      <x:c r="AC92" s="2"/>
      <x:c r="AD92" s="115"/>
      <x:c r="AE92" s="2"/>
      <x:c r="AF92" s="2"/>
      <x:c r="AG92" s="2"/>
      <x:c r="AH92" s="2"/>
    </x:row>
    <x:row r="93" ht="14.25" customHeight="1">
      <x:c r="A93" s="2"/>
      <x:c r="B93" s="2"/>
      <x:c r="C93" s="2"/>
      <x:c r="D93" s="115"/>
      <x:c r="E93" s="115"/>
      <x:c r="F93" s="115"/>
      <x:c r="G93" s="115"/>
      <x:c r="H93" s="115"/>
      <x:c r="I93" s="2"/>
      <x:c r="J93" s="115"/>
      <x:c r="K93" s="2"/>
      <x:c r="L93" s="2"/>
      <x:c r="M93" s="2"/>
      <x:c r="N93" s="115"/>
      <x:c r="O93" s="115"/>
      <x:c r="P93" s="115"/>
      <x:c r="Q93" s="115"/>
      <x:c r="R93" s="115"/>
      <x:c r="S93" s="2"/>
      <x:c r="T93" s="115"/>
      <x:c r="U93" s="2"/>
      <x:c r="V93" s="2"/>
      <x:c r="W93" s="2"/>
      <x:c r="X93" s="115"/>
      <x:c r="Y93" s="115"/>
      <x:c r="Z93" s="115"/>
      <x:c r="AA93" s="115"/>
      <x:c r="AB93" s="115"/>
      <x:c r="AC93" s="2"/>
      <x:c r="AD93" s="115"/>
      <x:c r="AE93" s="2"/>
      <x:c r="AF93" s="2"/>
      <x:c r="AG93" s="2"/>
      <x:c r="AH93" s="2"/>
    </x:row>
    <x:row r="94" ht="14.25" customHeight="1">
      <x:c r="A94" s="2"/>
      <x:c r="B94" s="2"/>
      <x:c r="C94" s="2"/>
      <x:c r="D94" s="115"/>
      <x:c r="E94" s="115"/>
      <x:c r="F94" s="115"/>
      <x:c r="G94" s="115"/>
      <x:c r="H94" s="115"/>
      <x:c r="I94" s="2"/>
      <x:c r="J94" s="115"/>
      <x:c r="K94" s="2"/>
      <x:c r="L94" s="2"/>
      <x:c r="M94" s="2"/>
      <x:c r="N94" s="115"/>
      <x:c r="O94" s="115"/>
      <x:c r="P94" s="115"/>
      <x:c r="Q94" s="115"/>
      <x:c r="R94" s="115"/>
      <x:c r="S94" s="2"/>
      <x:c r="T94" s="115"/>
      <x:c r="U94" s="2"/>
      <x:c r="V94" s="2"/>
      <x:c r="W94" s="2"/>
      <x:c r="X94" s="115"/>
      <x:c r="Y94" s="115"/>
      <x:c r="Z94" s="115"/>
      <x:c r="AA94" s="115"/>
      <x:c r="AB94" s="115"/>
      <x:c r="AC94" s="2"/>
      <x:c r="AD94" s="115"/>
      <x:c r="AE94" s="2"/>
      <x:c r="AF94" s="2"/>
      <x:c r="AG94" s="2"/>
      <x:c r="AH94" s="2"/>
    </x:row>
    <x:row r="95" ht="14.25" customHeight="1">
      <x:c r="A95" s="2"/>
      <x:c r="B95" s="2"/>
      <x:c r="C95" s="2"/>
      <x:c r="D95" s="115"/>
      <x:c r="E95" s="115"/>
      <x:c r="F95" s="115"/>
      <x:c r="G95" s="115"/>
      <x:c r="H95" s="115"/>
      <x:c r="I95" s="2"/>
      <x:c r="J95" s="115"/>
      <x:c r="K95" s="2"/>
      <x:c r="L95" s="2"/>
      <x:c r="M95" s="2"/>
      <x:c r="N95" s="115"/>
      <x:c r="O95" s="115"/>
      <x:c r="P95" s="115"/>
      <x:c r="Q95" s="115"/>
      <x:c r="R95" s="115"/>
      <x:c r="S95" s="2"/>
      <x:c r="T95" s="115"/>
      <x:c r="U95" s="2"/>
      <x:c r="V95" s="2"/>
      <x:c r="W95" s="2"/>
      <x:c r="X95" s="115"/>
      <x:c r="Y95" s="115"/>
      <x:c r="Z95" s="115"/>
      <x:c r="AA95" s="115"/>
      <x:c r="AB95" s="115"/>
      <x:c r="AC95" s="2"/>
      <x:c r="AD95" s="115"/>
      <x:c r="AE95" s="2"/>
      <x:c r="AF95" s="2"/>
      <x:c r="AG95" s="2"/>
      <x:c r="AH95" s="2"/>
    </x:row>
    <x:row r="96" ht="14.25" customHeight="1">
      <x:c r="A96" s="2"/>
      <x:c r="B96" s="2"/>
      <x:c r="C96" s="2"/>
      <x:c r="D96" s="115"/>
      <x:c r="E96" s="115"/>
      <x:c r="F96" s="115"/>
      <x:c r="G96" s="115"/>
      <x:c r="H96" s="115"/>
      <x:c r="I96" s="2"/>
      <x:c r="J96" s="115"/>
      <x:c r="K96" s="2"/>
      <x:c r="L96" s="2"/>
      <x:c r="M96" s="2"/>
      <x:c r="N96" s="115"/>
      <x:c r="O96" s="115"/>
      <x:c r="P96" s="115"/>
      <x:c r="Q96" s="115"/>
      <x:c r="R96" s="115"/>
      <x:c r="S96" s="2"/>
      <x:c r="T96" s="115"/>
      <x:c r="U96" s="2"/>
      <x:c r="V96" s="2"/>
      <x:c r="W96" s="2"/>
      <x:c r="X96" s="115"/>
      <x:c r="Y96" s="115"/>
      <x:c r="Z96" s="115"/>
      <x:c r="AA96" s="115"/>
      <x:c r="AB96" s="115"/>
      <x:c r="AC96" s="2"/>
      <x:c r="AD96" s="115"/>
      <x:c r="AE96" s="2"/>
      <x:c r="AF96" s="2"/>
      <x:c r="AG96" s="2"/>
      <x:c r="AH96" s="2"/>
    </x:row>
    <x:row r="97" ht="14.25" customHeight="1">
      <x:c r="A97" s="2"/>
      <x:c r="B97" s="2"/>
      <x:c r="C97" s="2"/>
      <x:c r="D97" s="115"/>
      <x:c r="E97" s="115"/>
      <x:c r="F97" s="115"/>
      <x:c r="G97" s="115"/>
      <x:c r="H97" s="115"/>
      <x:c r="I97" s="2"/>
      <x:c r="J97" s="115"/>
      <x:c r="K97" s="2"/>
      <x:c r="L97" s="2"/>
      <x:c r="M97" s="2"/>
      <x:c r="N97" s="115"/>
      <x:c r="O97" s="115"/>
      <x:c r="P97" s="115"/>
      <x:c r="Q97" s="115"/>
      <x:c r="R97" s="115"/>
      <x:c r="S97" s="2"/>
      <x:c r="T97" s="115"/>
      <x:c r="U97" s="2"/>
      <x:c r="V97" s="2"/>
      <x:c r="W97" s="2"/>
      <x:c r="X97" s="115"/>
      <x:c r="Y97" s="115"/>
      <x:c r="Z97" s="115"/>
      <x:c r="AA97" s="115"/>
      <x:c r="AB97" s="115"/>
      <x:c r="AC97" s="2"/>
      <x:c r="AD97" s="115"/>
      <x:c r="AE97" s="2"/>
      <x:c r="AF97" s="2"/>
      <x:c r="AG97" s="2"/>
      <x:c r="AH97" s="2"/>
    </x:row>
    <x:row r="98" ht="14.25" customHeight="1">
      <x:c r="A98" s="2"/>
      <x:c r="B98" s="2"/>
      <x:c r="C98" s="2"/>
      <x:c r="D98" s="115"/>
      <x:c r="E98" s="115"/>
      <x:c r="F98" s="115"/>
      <x:c r="G98" s="115"/>
      <x:c r="H98" s="115"/>
      <x:c r="I98" s="2"/>
      <x:c r="J98" s="115"/>
      <x:c r="K98" s="2"/>
      <x:c r="L98" s="2"/>
      <x:c r="M98" s="2"/>
      <x:c r="N98" s="115"/>
      <x:c r="O98" s="115"/>
      <x:c r="P98" s="115"/>
      <x:c r="Q98" s="115"/>
      <x:c r="R98" s="115"/>
      <x:c r="S98" s="2"/>
      <x:c r="T98" s="115"/>
      <x:c r="U98" s="2"/>
      <x:c r="V98" s="2"/>
      <x:c r="W98" s="2"/>
      <x:c r="X98" s="115"/>
      <x:c r="Y98" s="115"/>
      <x:c r="Z98" s="115"/>
      <x:c r="AA98" s="115"/>
      <x:c r="AB98" s="115"/>
      <x:c r="AC98" s="2"/>
      <x:c r="AD98" s="115"/>
      <x:c r="AE98" s="2"/>
      <x:c r="AF98" s="2"/>
      <x:c r="AG98" s="2"/>
      <x:c r="AH98" s="2"/>
    </x:row>
    <x:row r="99" ht="14.25" customHeight="1">
      <x:c r="A99" s="2"/>
      <x:c r="B99" s="2"/>
      <x:c r="C99" s="2"/>
      <x:c r="D99" s="115"/>
      <x:c r="E99" s="115"/>
      <x:c r="F99" s="115"/>
      <x:c r="G99" s="115"/>
      <x:c r="H99" s="115"/>
      <x:c r="I99" s="2"/>
      <x:c r="J99" s="115"/>
      <x:c r="K99" s="2"/>
      <x:c r="L99" s="2"/>
      <x:c r="M99" s="2"/>
      <x:c r="N99" s="115"/>
      <x:c r="O99" s="115"/>
      <x:c r="P99" s="115"/>
      <x:c r="Q99" s="115"/>
      <x:c r="R99" s="115"/>
      <x:c r="S99" s="2"/>
      <x:c r="T99" s="115"/>
      <x:c r="U99" s="2"/>
      <x:c r="V99" s="2"/>
      <x:c r="W99" s="2"/>
      <x:c r="X99" s="115"/>
      <x:c r="Y99" s="115"/>
      <x:c r="Z99" s="115"/>
      <x:c r="AA99" s="115"/>
      <x:c r="AB99" s="115"/>
      <x:c r="AC99" s="2"/>
      <x:c r="AD99" s="115"/>
      <x:c r="AE99" s="2"/>
      <x:c r="AF99" s="2"/>
      <x:c r="AG99" s="2"/>
      <x:c r="AH99" s="2"/>
    </x:row>
    <x:row r="100" ht="14.25" customHeight="1">
      <x:c r="A100" s="2"/>
      <x:c r="B100" s="2"/>
      <x:c r="C100" s="2"/>
      <x:c r="D100" s="115"/>
      <x:c r="E100" s="115"/>
      <x:c r="F100" s="115"/>
      <x:c r="G100" s="115"/>
      <x:c r="H100" s="115"/>
      <x:c r="I100" s="2"/>
      <x:c r="J100" s="115"/>
      <x:c r="K100" s="2"/>
      <x:c r="L100" s="2"/>
      <x:c r="M100" s="2"/>
      <x:c r="N100" s="115"/>
      <x:c r="O100" s="115"/>
      <x:c r="P100" s="115"/>
      <x:c r="Q100" s="115"/>
      <x:c r="R100" s="115"/>
      <x:c r="S100" s="2"/>
      <x:c r="T100" s="115"/>
      <x:c r="U100" s="2"/>
      <x:c r="V100" s="2"/>
      <x:c r="W100" s="2"/>
      <x:c r="X100" s="115"/>
      <x:c r="Y100" s="115"/>
      <x:c r="Z100" s="115"/>
      <x:c r="AA100" s="115"/>
      <x:c r="AB100" s="115"/>
      <x:c r="AC100" s="2"/>
      <x:c r="AD100" s="115"/>
      <x:c r="AE100" s="2"/>
      <x:c r="AF100" s="2"/>
      <x:c r="AG100" s="2"/>
      <x:c r="AH100" s="2"/>
    </x:row>
    <x:row r="101" ht="14.25" customHeight="1">
      <x:c r="A101" s="2"/>
      <x:c r="B101" s="2"/>
      <x:c r="C101" s="2"/>
      <x:c r="D101" s="115"/>
      <x:c r="E101" s="115"/>
      <x:c r="F101" s="115"/>
      <x:c r="G101" s="115"/>
      <x:c r="H101" s="115"/>
      <x:c r="I101" s="2"/>
      <x:c r="J101" s="115"/>
      <x:c r="K101" s="2"/>
      <x:c r="L101" s="2"/>
      <x:c r="M101" s="2"/>
      <x:c r="N101" s="115"/>
      <x:c r="O101" s="115"/>
      <x:c r="P101" s="115"/>
      <x:c r="Q101" s="115"/>
      <x:c r="R101" s="115"/>
      <x:c r="S101" s="2"/>
      <x:c r="T101" s="115"/>
      <x:c r="U101" s="2"/>
      <x:c r="V101" s="2"/>
      <x:c r="W101" s="2"/>
      <x:c r="X101" s="115"/>
      <x:c r="Y101" s="115"/>
      <x:c r="Z101" s="115"/>
      <x:c r="AA101" s="115"/>
      <x:c r="AB101" s="115"/>
      <x:c r="AC101" s="2"/>
      <x:c r="AD101" s="115"/>
      <x:c r="AE101" s="2"/>
      <x:c r="AF101" s="2"/>
      <x:c r="AG101" s="2"/>
      <x:c r="AH101" s="2"/>
    </x:row>
    <x:row r="102" ht="14.25" customHeight="1">
      <x:c r="A102" s="2"/>
      <x:c r="B102" s="2"/>
      <x:c r="C102" s="2"/>
      <x:c r="D102" s="115"/>
      <x:c r="E102" s="115"/>
      <x:c r="F102" s="115"/>
      <x:c r="G102" s="115"/>
      <x:c r="H102" s="115"/>
      <x:c r="I102" s="2"/>
      <x:c r="J102" s="115"/>
      <x:c r="K102" s="2"/>
      <x:c r="L102" s="2"/>
      <x:c r="M102" s="2"/>
      <x:c r="N102" s="115"/>
      <x:c r="O102" s="115"/>
      <x:c r="P102" s="115"/>
      <x:c r="Q102" s="115"/>
      <x:c r="R102" s="115"/>
      <x:c r="S102" s="2"/>
      <x:c r="T102" s="115"/>
      <x:c r="U102" s="2"/>
      <x:c r="V102" s="2"/>
      <x:c r="W102" s="2"/>
      <x:c r="X102" s="115"/>
      <x:c r="Y102" s="115"/>
      <x:c r="Z102" s="115"/>
      <x:c r="AA102" s="115"/>
      <x:c r="AB102" s="115"/>
      <x:c r="AC102" s="2"/>
      <x:c r="AD102" s="115"/>
      <x:c r="AE102" s="2"/>
      <x:c r="AF102" s="2"/>
      <x:c r="AG102" s="2"/>
      <x:c r="AH102" s="2"/>
    </x:row>
    <x:row r="103" ht="14.25" customHeight="1">
      <x:c r="A103" s="2"/>
      <x:c r="B103" s="2"/>
      <x:c r="C103" s="2"/>
      <x:c r="D103" s="115"/>
      <x:c r="E103" s="115"/>
      <x:c r="F103" s="115"/>
      <x:c r="G103" s="115"/>
      <x:c r="H103" s="115"/>
      <x:c r="I103" s="2"/>
      <x:c r="J103" s="115"/>
      <x:c r="K103" s="2"/>
      <x:c r="L103" s="2"/>
      <x:c r="M103" s="2"/>
      <x:c r="N103" s="115"/>
      <x:c r="O103" s="115"/>
      <x:c r="P103" s="115"/>
      <x:c r="Q103" s="115"/>
      <x:c r="R103" s="115"/>
      <x:c r="S103" s="2"/>
      <x:c r="T103" s="115"/>
      <x:c r="U103" s="2"/>
      <x:c r="V103" s="2"/>
      <x:c r="W103" s="2"/>
      <x:c r="X103" s="115"/>
      <x:c r="Y103" s="115"/>
      <x:c r="Z103" s="115"/>
      <x:c r="AA103" s="115"/>
      <x:c r="AB103" s="115"/>
      <x:c r="AC103" s="2"/>
      <x:c r="AD103" s="115"/>
      <x:c r="AE103" s="2"/>
      <x:c r="AF103" s="2"/>
      <x:c r="AG103" s="2"/>
      <x:c r="AH103" s="2"/>
    </x:row>
    <x:row r="104" ht="14.25" customHeight="1">
      <x:c r="A104" s="2"/>
      <x:c r="B104" s="2"/>
      <x:c r="C104" s="2"/>
      <x:c r="D104" s="115"/>
      <x:c r="E104" s="115"/>
      <x:c r="F104" s="115"/>
      <x:c r="G104" s="115"/>
      <x:c r="H104" s="115"/>
      <x:c r="I104" s="2"/>
      <x:c r="J104" s="115"/>
      <x:c r="K104" s="2"/>
      <x:c r="L104" s="2"/>
      <x:c r="M104" s="2"/>
      <x:c r="N104" s="115"/>
      <x:c r="O104" s="115"/>
      <x:c r="P104" s="115"/>
      <x:c r="Q104" s="115"/>
      <x:c r="R104" s="115"/>
      <x:c r="S104" s="2"/>
      <x:c r="T104" s="115"/>
      <x:c r="U104" s="2"/>
      <x:c r="V104" s="2"/>
      <x:c r="W104" s="2"/>
      <x:c r="X104" s="115"/>
      <x:c r="Y104" s="115"/>
      <x:c r="Z104" s="115"/>
      <x:c r="AA104" s="115"/>
      <x:c r="AB104" s="115"/>
      <x:c r="AC104" s="2"/>
      <x:c r="AD104" s="115"/>
      <x:c r="AE104" s="2"/>
      <x:c r="AF104" s="2"/>
      <x:c r="AG104" s="2"/>
      <x:c r="AH104" s="2"/>
    </x:row>
    <x:row r="105" ht="14.25" customHeight="1">
      <x:c r="A105" s="2"/>
      <x:c r="B105" s="2"/>
      <x:c r="C105" s="2"/>
      <x:c r="D105" s="115"/>
      <x:c r="E105" s="115"/>
      <x:c r="F105" s="115"/>
      <x:c r="G105" s="115"/>
      <x:c r="H105" s="115"/>
      <x:c r="I105" s="2"/>
      <x:c r="J105" s="115"/>
      <x:c r="K105" s="2"/>
      <x:c r="L105" s="2"/>
      <x:c r="M105" s="2"/>
      <x:c r="N105" s="115"/>
      <x:c r="O105" s="115"/>
      <x:c r="P105" s="115"/>
      <x:c r="Q105" s="115"/>
      <x:c r="R105" s="115"/>
      <x:c r="S105" s="2"/>
      <x:c r="T105" s="115"/>
      <x:c r="U105" s="2"/>
      <x:c r="V105" s="2"/>
      <x:c r="W105" s="2"/>
      <x:c r="X105" s="115"/>
      <x:c r="Y105" s="115"/>
      <x:c r="Z105" s="115"/>
      <x:c r="AA105" s="115"/>
      <x:c r="AB105" s="115"/>
      <x:c r="AC105" s="2"/>
      <x:c r="AD105" s="115"/>
      <x:c r="AE105" s="2"/>
      <x:c r="AF105" s="2"/>
      <x:c r="AG105" s="2"/>
      <x:c r="AH105" s="2"/>
    </x:row>
    <x:row r="106" ht="14.25" customHeight="1">
      <x:c r="A106" s="2"/>
      <x:c r="B106" s="2"/>
      <x:c r="C106" s="2"/>
      <x:c r="D106" s="115"/>
      <x:c r="E106" s="115"/>
      <x:c r="F106" s="115"/>
      <x:c r="G106" s="115"/>
      <x:c r="H106" s="115"/>
      <x:c r="I106" s="2"/>
      <x:c r="J106" s="115"/>
      <x:c r="K106" s="2"/>
      <x:c r="L106" s="2"/>
      <x:c r="M106" s="2"/>
      <x:c r="N106" s="115"/>
      <x:c r="O106" s="115"/>
      <x:c r="P106" s="115"/>
      <x:c r="Q106" s="115"/>
      <x:c r="R106" s="115"/>
      <x:c r="S106" s="2"/>
      <x:c r="T106" s="115"/>
      <x:c r="U106" s="2"/>
      <x:c r="V106" s="2"/>
      <x:c r="W106" s="2"/>
      <x:c r="X106" s="115"/>
      <x:c r="Y106" s="115"/>
      <x:c r="Z106" s="115"/>
      <x:c r="AA106" s="115"/>
      <x:c r="AB106" s="115"/>
      <x:c r="AC106" s="2"/>
      <x:c r="AD106" s="115"/>
      <x:c r="AE106" s="2"/>
      <x:c r="AF106" s="2"/>
      <x:c r="AG106" s="2"/>
      <x:c r="AH106" s="2"/>
    </x:row>
    <x:row r="107" ht="14.25" customHeight="1">
      <x:c r="A107" s="2"/>
      <x:c r="B107" s="2"/>
      <x:c r="C107" s="2"/>
      <x:c r="D107" s="115"/>
      <x:c r="E107" s="115"/>
      <x:c r="F107" s="115"/>
      <x:c r="G107" s="115"/>
      <x:c r="H107" s="115"/>
      <x:c r="I107" s="2"/>
      <x:c r="J107" s="115"/>
      <x:c r="K107" s="2"/>
      <x:c r="L107" s="2"/>
      <x:c r="M107" s="2"/>
      <x:c r="N107" s="115"/>
      <x:c r="O107" s="115"/>
      <x:c r="P107" s="115"/>
      <x:c r="Q107" s="115"/>
      <x:c r="R107" s="115"/>
      <x:c r="S107" s="2"/>
      <x:c r="T107" s="115"/>
      <x:c r="U107" s="2"/>
      <x:c r="V107" s="2"/>
      <x:c r="W107" s="2"/>
      <x:c r="X107" s="115"/>
      <x:c r="Y107" s="115"/>
      <x:c r="Z107" s="115"/>
      <x:c r="AA107" s="115"/>
      <x:c r="AB107" s="115"/>
      <x:c r="AC107" s="2"/>
      <x:c r="AD107" s="115"/>
      <x:c r="AE107" s="2"/>
      <x:c r="AF107" s="2"/>
      <x:c r="AG107" s="2"/>
      <x:c r="AH107" s="2"/>
    </x:row>
    <x:row r="108" ht="14.25" customHeight="1">
      <x:c r="A108" s="2"/>
      <x:c r="B108" s="2"/>
      <x:c r="C108" s="2"/>
      <x:c r="D108" s="115"/>
      <x:c r="E108" s="115"/>
      <x:c r="F108" s="115"/>
      <x:c r="G108" s="115"/>
      <x:c r="H108" s="115"/>
      <x:c r="I108" s="2"/>
      <x:c r="J108" s="115"/>
      <x:c r="K108" s="2"/>
      <x:c r="L108" s="2"/>
      <x:c r="M108" s="2"/>
      <x:c r="N108" s="115"/>
      <x:c r="O108" s="115"/>
      <x:c r="P108" s="115"/>
      <x:c r="Q108" s="115"/>
      <x:c r="R108" s="115"/>
      <x:c r="S108" s="2"/>
      <x:c r="T108" s="115"/>
      <x:c r="U108" s="2"/>
      <x:c r="V108" s="2"/>
      <x:c r="W108" s="2"/>
      <x:c r="X108" s="115"/>
      <x:c r="Y108" s="115"/>
      <x:c r="Z108" s="115"/>
      <x:c r="AA108" s="115"/>
      <x:c r="AB108" s="115"/>
      <x:c r="AC108" s="2"/>
      <x:c r="AD108" s="115"/>
      <x:c r="AE108" s="2"/>
      <x:c r="AF108" s="2"/>
      <x:c r="AG108" s="2"/>
      <x:c r="AH108" s="2"/>
    </x:row>
    <x:row r="109" ht="14.25" customHeight="1">
      <x:c r="A109" s="2"/>
      <x:c r="B109" s="2"/>
      <x:c r="C109" s="2"/>
      <x:c r="D109" s="115"/>
      <x:c r="E109" s="115"/>
      <x:c r="F109" s="115"/>
      <x:c r="G109" s="115"/>
      <x:c r="H109" s="115"/>
      <x:c r="I109" s="2"/>
      <x:c r="J109" s="115"/>
      <x:c r="K109" s="2"/>
      <x:c r="L109" s="2"/>
      <x:c r="M109" s="2"/>
      <x:c r="N109" s="115"/>
      <x:c r="O109" s="115"/>
      <x:c r="P109" s="115"/>
      <x:c r="Q109" s="115"/>
      <x:c r="R109" s="115"/>
      <x:c r="S109" s="2"/>
      <x:c r="T109" s="115"/>
      <x:c r="U109" s="2"/>
      <x:c r="V109" s="2"/>
      <x:c r="W109" s="2"/>
      <x:c r="X109" s="115"/>
      <x:c r="Y109" s="115"/>
      <x:c r="Z109" s="115"/>
      <x:c r="AA109" s="115"/>
      <x:c r="AB109" s="115"/>
      <x:c r="AC109" s="2"/>
      <x:c r="AD109" s="115"/>
      <x:c r="AE109" s="2"/>
      <x:c r="AF109" s="2"/>
      <x:c r="AG109" s="2"/>
      <x:c r="AH109" s="2"/>
    </x:row>
    <x:row r="110" ht="14.25" customHeight="1">
      <x:c r="A110" s="2"/>
      <x:c r="B110" s="2"/>
      <x:c r="C110" s="2"/>
      <x:c r="D110" s="115"/>
      <x:c r="E110" s="115"/>
      <x:c r="F110" s="115"/>
      <x:c r="G110" s="115"/>
      <x:c r="H110" s="115"/>
      <x:c r="I110" s="2"/>
      <x:c r="J110" s="115"/>
      <x:c r="K110" s="2"/>
      <x:c r="L110" s="2"/>
      <x:c r="M110" s="2"/>
      <x:c r="N110" s="115"/>
      <x:c r="O110" s="115"/>
      <x:c r="P110" s="115"/>
      <x:c r="Q110" s="115"/>
      <x:c r="R110" s="115"/>
      <x:c r="S110" s="2"/>
      <x:c r="T110" s="115"/>
      <x:c r="U110" s="2"/>
      <x:c r="V110" s="2"/>
      <x:c r="W110" s="2"/>
      <x:c r="X110" s="115"/>
      <x:c r="Y110" s="115"/>
      <x:c r="Z110" s="115"/>
      <x:c r="AA110" s="115"/>
      <x:c r="AB110" s="115"/>
      <x:c r="AC110" s="2"/>
      <x:c r="AD110" s="115"/>
      <x:c r="AE110" s="2"/>
      <x:c r="AF110" s="2"/>
      <x:c r="AG110" s="2"/>
      <x:c r="AH110" s="2"/>
    </x:row>
    <x:row r="111" ht="14.25" customHeight="1">
      <x:c r="A111" s="2"/>
      <x:c r="B111" s="2"/>
      <x:c r="C111" s="2"/>
      <x:c r="D111" s="115"/>
      <x:c r="E111" s="115"/>
      <x:c r="F111" s="115"/>
      <x:c r="G111" s="115"/>
      <x:c r="H111" s="115"/>
      <x:c r="I111" s="2"/>
      <x:c r="J111" s="115"/>
      <x:c r="K111" s="2"/>
      <x:c r="L111" s="2"/>
      <x:c r="M111" s="2"/>
      <x:c r="N111" s="115"/>
      <x:c r="O111" s="115"/>
      <x:c r="P111" s="115"/>
      <x:c r="Q111" s="115"/>
      <x:c r="R111" s="115"/>
      <x:c r="S111" s="2"/>
      <x:c r="T111" s="115"/>
      <x:c r="U111" s="2"/>
      <x:c r="V111" s="2"/>
      <x:c r="W111" s="2"/>
      <x:c r="X111" s="115"/>
      <x:c r="Y111" s="115"/>
      <x:c r="Z111" s="115"/>
      <x:c r="AA111" s="115"/>
      <x:c r="AB111" s="115"/>
      <x:c r="AC111" s="2"/>
      <x:c r="AD111" s="115"/>
      <x:c r="AE111" s="2"/>
      <x:c r="AF111" s="2"/>
      <x:c r="AG111" s="2"/>
      <x:c r="AH111" s="2"/>
    </x:row>
    <x:row r="112" ht="14.25" customHeight="1">
      <x:c r="A112" s="2"/>
      <x:c r="B112" s="2"/>
      <x:c r="C112" s="2"/>
      <x:c r="D112" s="115"/>
      <x:c r="E112" s="115"/>
      <x:c r="F112" s="115"/>
      <x:c r="G112" s="115"/>
      <x:c r="H112" s="115"/>
      <x:c r="I112" s="2"/>
      <x:c r="J112" s="115"/>
      <x:c r="K112" s="2"/>
      <x:c r="L112" s="2"/>
      <x:c r="M112" s="2"/>
      <x:c r="N112" s="115"/>
      <x:c r="O112" s="115"/>
      <x:c r="P112" s="115"/>
      <x:c r="Q112" s="115"/>
      <x:c r="R112" s="115"/>
      <x:c r="S112" s="2"/>
      <x:c r="T112" s="115"/>
      <x:c r="U112" s="2"/>
      <x:c r="V112" s="2"/>
      <x:c r="W112" s="2"/>
      <x:c r="X112" s="115"/>
      <x:c r="Y112" s="115"/>
      <x:c r="Z112" s="115"/>
      <x:c r="AA112" s="115"/>
      <x:c r="AB112" s="115"/>
      <x:c r="AC112" s="2"/>
      <x:c r="AD112" s="115"/>
      <x:c r="AE112" s="2"/>
      <x:c r="AF112" s="2"/>
      <x:c r="AG112" s="2"/>
      <x:c r="AH112" s="2"/>
    </x:row>
    <x:row r="113" ht="14.25" customHeight="1">
      <x:c r="A113" s="2"/>
      <x:c r="B113" s="2"/>
      <x:c r="C113" s="2"/>
      <x:c r="D113" s="115"/>
      <x:c r="E113" s="115"/>
      <x:c r="F113" s="115"/>
      <x:c r="G113" s="115"/>
      <x:c r="H113" s="115"/>
      <x:c r="I113" s="2"/>
      <x:c r="J113" s="115"/>
      <x:c r="K113" s="2"/>
      <x:c r="L113" s="2"/>
      <x:c r="M113" s="2"/>
      <x:c r="N113" s="115"/>
      <x:c r="O113" s="115"/>
      <x:c r="P113" s="115"/>
      <x:c r="Q113" s="115"/>
      <x:c r="R113" s="115"/>
      <x:c r="S113" s="2"/>
      <x:c r="T113" s="115"/>
      <x:c r="U113" s="2"/>
      <x:c r="V113" s="2"/>
      <x:c r="W113" s="2"/>
      <x:c r="X113" s="115"/>
      <x:c r="Y113" s="115"/>
      <x:c r="Z113" s="115"/>
      <x:c r="AA113" s="115"/>
      <x:c r="AB113" s="115"/>
      <x:c r="AC113" s="2"/>
      <x:c r="AD113" s="115"/>
      <x:c r="AE113" s="2"/>
      <x:c r="AF113" s="2"/>
      <x:c r="AG113" s="2"/>
      <x:c r="AH113" s="2"/>
    </x:row>
    <x:row r="114" ht="14.25" customHeight="1">
      <x:c r="A114" s="2"/>
      <x:c r="B114" s="2"/>
      <x:c r="C114" s="2"/>
      <x:c r="D114" s="115"/>
      <x:c r="E114" s="115"/>
      <x:c r="F114" s="115"/>
      <x:c r="G114" s="115"/>
      <x:c r="H114" s="115"/>
      <x:c r="I114" s="2"/>
      <x:c r="J114" s="115"/>
      <x:c r="K114" s="2"/>
      <x:c r="L114" s="2"/>
      <x:c r="M114" s="2"/>
      <x:c r="N114" s="115"/>
      <x:c r="O114" s="115"/>
      <x:c r="P114" s="115"/>
      <x:c r="Q114" s="115"/>
      <x:c r="R114" s="115"/>
      <x:c r="S114" s="2"/>
      <x:c r="T114" s="115"/>
      <x:c r="U114" s="2"/>
      <x:c r="V114" s="2"/>
      <x:c r="W114" s="2"/>
      <x:c r="X114" s="115"/>
      <x:c r="Y114" s="115"/>
      <x:c r="Z114" s="115"/>
      <x:c r="AA114" s="115"/>
      <x:c r="AB114" s="115"/>
      <x:c r="AC114" s="2"/>
      <x:c r="AD114" s="115"/>
      <x:c r="AE114" s="2"/>
      <x:c r="AF114" s="2"/>
      <x:c r="AG114" s="2"/>
      <x:c r="AH114" s="2"/>
    </x:row>
    <x:row r="115" ht="14.25" customHeight="1">
      <x:c r="A115" s="2"/>
      <x:c r="B115" s="2"/>
      <x:c r="C115" s="2"/>
      <x:c r="D115" s="115"/>
      <x:c r="E115" s="115"/>
      <x:c r="F115" s="115"/>
      <x:c r="G115" s="115"/>
      <x:c r="H115" s="115"/>
      <x:c r="I115" s="2"/>
      <x:c r="J115" s="115"/>
      <x:c r="K115" s="2"/>
      <x:c r="L115" s="2"/>
      <x:c r="M115" s="2"/>
      <x:c r="N115" s="115"/>
      <x:c r="O115" s="115"/>
      <x:c r="P115" s="115"/>
      <x:c r="Q115" s="115"/>
      <x:c r="R115" s="115"/>
      <x:c r="S115" s="2"/>
      <x:c r="T115" s="115"/>
      <x:c r="U115" s="2"/>
      <x:c r="V115" s="2"/>
      <x:c r="W115" s="2"/>
      <x:c r="X115" s="115"/>
      <x:c r="Y115" s="115"/>
      <x:c r="Z115" s="115"/>
      <x:c r="AA115" s="115"/>
      <x:c r="AB115" s="115"/>
      <x:c r="AC115" s="2"/>
      <x:c r="AD115" s="115"/>
      <x:c r="AE115" s="2"/>
      <x:c r="AF115" s="2"/>
      <x:c r="AG115" s="2"/>
      <x:c r="AH115" s="2"/>
    </x:row>
    <x:row r="116" ht="14.25" customHeight="1">
      <x:c r="A116" s="2"/>
      <x:c r="B116" s="2"/>
      <x:c r="C116" s="2"/>
      <x:c r="D116" s="115"/>
      <x:c r="E116" s="115"/>
      <x:c r="F116" s="115"/>
      <x:c r="G116" s="115"/>
      <x:c r="H116" s="115"/>
      <x:c r="I116" s="2"/>
      <x:c r="J116" s="115"/>
      <x:c r="K116" s="2"/>
      <x:c r="L116" s="2"/>
      <x:c r="M116" s="2"/>
      <x:c r="N116" s="115"/>
      <x:c r="O116" s="115"/>
      <x:c r="P116" s="115"/>
      <x:c r="Q116" s="115"/>
      <x:c r="R116" s="115"/>
      <x:c r="S116" s="2"/>
      <x:c r="T116" s="115"/>
      <x:c r="U116" s="2"/>
      <x:c r="V116" s="2"/>
      <x:c r="W116" s="2"/>
      <x:c r="X116" s="115"/>
      <x:c r="Y116" s="115"/>
      <x:c r="Z116" s="115"/>
      <x:c r="AA116" s="115"/>
      <x:c r="AB116" s="115"/>
      <x:c r="AC116" s="2"/>
      <x:c r="AD116" s="115"/>
      <x:c r="AE116" s="2"/>
      <x:c r="AF116" s="2"/>
      <x:c r="AG116" s="2"/>
      <x:c r="AH116" s="2"/>
    </x:row>
    <x:row r="117" ht="14.25" customHeight="1">
      <x:c r="A117" s="2"/>
      <x:c r="B117" s="2"/>
      <x:c r="C117" s="2"/>
      <x:c r="D117" s="115"/>
      <x:c r="E117" s="115"/>
      <x:c r="F117" s="115"/>
      <x:c r="G117" s="115"/>
      <x:c r="H117" s="115"/>
      <x:c r="I117" s="2"/>
      <x:c r="J117" s="115"/>
      <x:c r="K117" s="2"/>
      <x:c r="L117" s="2"/>
      <x:c r="M117" s="2"/>
      <x:c r="N117" s="115"/>
      <x:c r="O117" s="115"/>
      <x:c r="P117" s="115"/>
      <x:c r="Q117" s="115"/>
      <x:c r="R117" s="115"/>
      <x:c r="S117" s="2"/>
      <x:c r="T117" s="115"/>
      <x:c r="U117" s="2"/>
      <x:c r="V117" s="2"/>
      <x:c r="W117" s="2"/>
      <x:c r="X117" s="115"/>
      <x:c r="Y117" s="115"/>
      <x:c r="Z117" s="115"/>
      <x:c r="AA117" s="115"/>
      <x:c r="AB117" s="115"/>
      <x:c r="AC117" s="2"/>
      <x:c r="AD117" s="115"/>
      <x:c r="AE117" s="2"/>
      <x:c r="AF117" s="2"/>
      <x:c r="AG117" s="2"/>
      <x:c r="AH117" s="2"/>
    </x:row>
    <x:row r="118" ht="14.25" customHeight="1">
      <x:c r="A118" s="2"/>
      <x:c r="B118" s="2"/>
      <x:c r="C118" s="2"/>
      <x:c r="D118" s="115"/>
      <x:c r="E118" s="115"/>
      <x:c r="F118" s="115"/>
      <x:c r="G118" s="115"/>
      <x:c r="H118" s="115"/>
      <x:c r="I118" s="2"/>
      <x:c r="J118" s="115"/>
      <x:c r="K118" s="2"/>
      <x:c r="L118" s="2"/>
      <x:c r="M118" s="2"/>
      <x:c r="N118" s="115"/>
      <x:c r="O118" s="115"/>
      <x:c r="P118" s="115"/>
      <x:c r="Q118" s="115"/>
      <x:c r="R118" s="115"/>
      <x:c r="S118" s="2"/>
      <x:c r="T118" s="115"/>
      <x:c r="U118" s="2"/>
      <x:c r="V118" s="2"/>
      <x:c r="W118" s="2"/>
      <x:c r="X118" s="115"/>
      <x:c r="Y118" s="115"/>
      <x:c r="Z118" s="115"/>
      <x:c r="AA118" s="115"/>
      <x:c r="AB118" s="115"/>
      <x:c r="AC118" s="2"/>
      <x:c r="AD118" s="115"/>
      <x:c r="AE118" s="2"/>
      <x:c r="AF118" s="2"/>
      <x:c r="AG118" s="2"/>
      <x:c r="AH118" s="2"/>
    </x:row>
    <x:row r="119" ht="14.25" customHeight="1">
      <x:c r="A119" s="2"/>
      <x:c r="B119" s="2"/>
      <x:c r="C119" s="2"/>
      <x:c r="D119" s="115"/>
      <x:c r="E119" s="115"/>
      <x:c r="F119" s="115"/>
      <x:c r="G119" s="115"/>
      <x:c r="H119" s="115"/>
      <x:c r="I119" s="2"/>
      <x:c r="J119" s="115"/>
      <x:c r="K119" s="2"/>
      <x:c r="L119" s="2"/>
      <x:c r="M119" s="2"/>
      <x:c r="N119" s="115"/>
      <x:c r="O119" s="115"/>
      <x:c r="P119" s="115"/>
      <x:c r="Q119" s="115"/>
      <x:c r="R119" s="115"/>
      <x:c r="S119" s="2"/>
      <x:c r="T119" s="115"/>
      <x:c r="U119" s="2"/>
      <x:c r="V119" s="2"/>
      <x:c r="W119" s="2"/>
      <x:c r="X119" s="115"/>
      <x:c r="Y119" s="115"/>
      <x:c r="Z119" s="115"/>
      <x:c r="AA119" s="115"/>
      <x:c r="AB119" s="115"/>
      <x:c r="AC119" s="2"/>
      <x:c r="AD119" s="115"/>
      <x:c r="AE119" s="2"/>
      <x:c r="AF119" s="2"/>
      <x:c r="AG119" s="2"/>
      <x:c r="AH119" s="2"/>
    </x:row>
    <x:row r="120" ht="14.25" customHeight="1">
      <x:c r="A120" s="2"/>
      <x:c r="B120" s="2"/>
      <x:c r="C120" s="2"/>
      <x:c r="D120" s="115"/>
      <x:c r="E120" s="115"/>
      <x:c r="F120" s="115"/>
      <x:c r="G120" s="115"/>
      <x:c r="H120" s="115"/>
      <x:c r="I120" s="2"/>
      <x:c r="J120" s="115"/>
      <x:c r="K120" s="2"/>
      <x:c r="L120" s="2"/>
      <x:c r="M120" s="2"/>
      <x:c r="N120" s="115"/>
      <x:c r="O120" s="115"/>
      <x:c r="P120" s="115"/>
      <x:c r="Q120" s="115"/>
      <x:c r="R120" s="115"/>
      <x:c r="S120" s="2"/>
      <x:c r="T120" s="115"/>
      <x:c r="U120" s="2"/>
      <x:c r="V120" s="2"/>
      <x:c r="W120" s="2"/>
      <x:c r="X120" s="115"/>
      <x:c r="Y120" s="115"/>
      <x:c r="Z120" s="115"/>
      <x:c r="AA120" s="115"/>
      <x:c r="AB120" s="115"/>
      <x:c r="AC120" s="2"/>
      <x:c r="AD120" s="115"/>
      <x:c r="AE120" s="2"/>
      <x:c r="AF120" s="2"/>
      <x:c r="AG120" s="2"/>
      <x:c r="AH120" s="2"/>
    </x:row>
    <x:row r="121" ht="14.25" customHeight="1">
      <x:c r="A121" s="2"/>
      <x:c r="B121" s="2"/>
      <x:c r="C121" s="2"/>
      <x:c r="D121" s="115"/>
      <x:c r="E121" s="115"/>
      <x:c r="F121" s="115"/>
      <x:c r="G121" s="115"/>
      <x:c r="H121" s="115"/>
      <x:c r="I121" s="2"/>
      <x:c r="J121" s="115"/>
      <x:c r="K121" s="2"/>
      <x:c r="L121" s="2"/>
      <x:c r="M121" s="2"/>
      <x:c r="N121" s="115"/>
      <x:c r="O121" s="115"/>
      <x:c r="P121" s="115"/>
      <x:c r="Q121" s="115"/>
      <x:c r="R121" s="115"/>
      <x:c r="S121" s="2"/>
      <x:c r="T121" s="115"/>
      <x:c r="U121" s="2"/>
      <x:c r="V121" s="2"/>
      <x:c r="W121" s="2"/>
      <x:c r="X121" s="115"/>
      <x:c r="Y121" s="115"/>
      <x:c r="Z121" s="115"/>
      <x:c r="AA121" s="115"/>
      <x:c r="AB121" s="115"/>
      <x:c r="AC121" s="2"/>
      <x:c r="AD121" s="115"/>
      <x:c r="AE121" s="2"/>
      <x:c r="AF121" s="2"/>
      <x:c r="AG121" s="2"/>
      <x:c r="AH121" s="2"/>
    </x:row>
    <x:row r="122" ht="14.25" customHeight="1">
      <x:c r="A122" s="2"/>
      <x:c r="B122" s="2"/>
      <x:c r="C122" s="2"/>
      <x:c r="D122" s="115"/>
      <x:c r="E122" s="115"/>
      <x:c r="F122" s="115"/>
      <x:c r="G122" s="115"/>
      <x:c r="H122" s="115"/>
      <x:c r="I122" s="2"/>
      <x:c r="J122" s="115"/>
      <x:c r="K122" s="2"/>
      <x:c r="L122" s="2"/>
      <x:c r="M122" s="2"/>
      <x:c r="N122" s="115"/>
      <x:c r="O122" s="115"/>
      <x:c r="P122" s="115"/>
      <x:c r="Q122" s="115"/>
      <x:c r="R122" s="115"/>
      <x:c r="S122" s="2"/>
      <x:c r="T122" s="115"/>
      <x:c r="U122" s="2"/>
      <x:c r="V122" s="2"/>
      <x:c r="W122" s="2"/>
      <x:c r="X122" s="115"/>
      <x:c r="Y122" s="115"/>
      <x:c r="Z122" s="115"/>
      <x:c r="AA122" s="115"/>
      <x:c r="AB122" s="115"/>
      <x:c r="AC122" s="2"/>
      <x:c r="AD122" s="115"/>
      <x:c r="AE122" s="2"/>
      <x:c r="AF122" s="2"/>
      <x:c r="AG122" s="2"/>
      <x:c r="AH122" s="2"/>
    </x:row>
    <x:row r="123" ht="14.25" customHeight="1">
      <x:c r="A123" s="2"/>
      <x:c r="B123" s="2"/>
      <x:c r="C123" s="2"/>
      <x:c r="D123" s="115"/>
      <x:c r="E123" s="115"/>
      <x:c r="F123" s="115"/>
      <x:c r="G123" s="115"/>
      <x:c r="H123" s="115"/>
      <x:c r="I123" s="2"/>
      <x:c r="J123" s="115"/>
      <x:c r="K123" s="2"/>
      <x:c r="L123" s="2"/>
      <x:c r="M123" s="2"/>
      <x:c r="N123" s="115"/>
      <x:c r="O123" s="115"/>
      <x:c r="P123" s="115"/>
      <x:c r="Q123" s="115"/>
      <x:c r="R123" s="115"/>
      <x:c r="S123" s="2"/>
      <x:c r="T123" s="115"/>
      <x:c r="U123" s="2"/>
      <x:c r="V123" s="2"/>
      <x:c r="W123" s="2"/>
      <x:c r="X123" s="115"/>
      <x:c r="Y123" s="115"/>
      <x:c r="Z123" s="115"/>
      <x:c r="AA123" s="115"/>
      <x:c r="AB123" s="115"/>
      <x:c r="AC123" s="2"/>
      <x:c r="AD123" s="115"/>
      <x:c r="AE123" s="2"/>
      <x:c r="AF123" s="2"/>
      <x:c r="AG123" s="2"/>
      <x:c r="AH123" s="2"/>
    </x:row>
    <x:row r="124" ht="14.25" customHeight="1">
      <x:c r="A124" s="2"/>
      <x:c r="B124" s="2"/>
      <x:c r="C124" s="2"/>
      <x:c r="D124" s="115"/>
      <x:c r="E124" s="115"/>
      <x:c r="F124" s="115"/>
      <x:c r="G124" s="115"/>
      <x:c r="H124" s="115"/>
      <x:c r="I124" s="2"/>
      <x:c r="J124" s="115"/>
      <x:c r="K124" s="2"/>
      <x:c r="L124" s="2"/>
      <x:c r="M124" s="2"/>
      <x:c r="N124" s="115"/>
      <x:c r="O124" s="115"/>
      <x:c r="P124" s="115"/>
      <x:c r="Q124" s="115"/>
      <x:c r="R124" s="115"/>
      <x:c r="S124" s="2"/>
      <x:c r="T124" s="115"/>
      <x:c r="U124" s="2"/>
      <x:c r="V124" s="2"/>
      <x:c r="W124" s="2"/>
      <x:c r="X124" s="115"/>
      <x:c r="Y124" s="115"/>
      <x:c r="Z124" s="115"/>
      <x:c r="AA124" s="115"/>
      <x:c r="AB124" s="115"/>
      <x:c r="AC124" s="2"/>
      <x:c r="AD124" s="115"/>
      <x:c r="AE124" s="2"/>
      <x:c r="AF124" s="2"/>
      <x:c r="AG124" s="2"/>
      <x:c r="AH124" s="2"/>
    </x:row>
    <x:row r="125" ht="14.25" customHeight="1">
      <x:c r="A125" s="2"/>
      <x:c r="B125" s="2"/>
      <x:c r="C125" s="2"/>
      <x:c r="D125" s="115"/>
      <x:c r="E125" s="115"/>
      <x:c r="F125" s="115"/>
      <x:c r="G125" s="115"/>
      <x:c r="H125" s="115"/>
      <x:c r="I125" s="2"/>
      <x:c r="J125" s="115"/>
      <x:c r="K125" s="2"/>
      <x:c r="L125" s="2"/>
      <x:c r="M125" s="2"/>
      <x:c r="N125" s="115"/>
      <x:c r="O125" s="115"/>
      <x:c r="P125" s="115"/>
      <x:c r="Q125" s="115"/>
      <x:c r="R125" s="115"/>
      <x:c r="S125" s="2"/>
      <x:c r="T125" s="115"/>
      <x:c r="U125" s="2"/>
      <x:c r="V125" s="2"/>
      <x:c r="W125" s="2"/>
      <x:c r="X125" s="115"/>
      <x:c r="Y125" s="115"/>
      <x:c r="Z125" s="115"/>
      <x:c r="AA125" s="115"/>
      <x:c r="AB125" s="115"/>
      <x:c r="AC125" s="2"/>
      <x:c r="AD125" s="115"/>
      <x:c r="AE125" s="2"/>
      <x:c r="AF125" s="2"/>
      <x:c r="AG125" s="2"/>
      <x:c r="AH125" s="2"/>
    </x:row>
    <x:row r="126" ht="14.25" customHeight="1">
      <x:c r="A126" s="2"/>
      <x:c r="B126" s="2"/>
      <x:c r="C126" s="2"/>
      <x:c r="D126" s="115"/>
      <x:c r="E126" s="115"/>
      <x:c r="F126" s="115"/>
      <x:c r="G126" s="115"/>
      <x:c r="H126" s="115"/>
      <x:c r="I126" s="2"/>
      <x:c r="J126" s="115"/>
      <x:c r="K126" s="2"/>
      <x:c r="L126" s="2"/>
      <x:c r="M126" s="2"/>
      <x:c r="N126" s="115"/>
      <x:c r="O126" s="115"/>
      <x:c r="P126" s="115"/>
      <x:c r="Q126" s="115"/>
      <x:c r="R126" s="115"/>
      <x:c r="S126" s="2"/>
      <x:c r="T126" s="115"/>
      <x:c r="U126" s="2"/>
      <x:c r="V126" s="2"/>
      <x:c r="W126" s="2"/>
      <x:c r="X126" s="115"/>
      <x:c r="Y126" s="115"/>
      <x:c r="Z126" s="115"/>
      <x:c r="AA126" s="115"/>
      <x:c r="AB126" s="115"/>
      <x:c r="AC126" s="2"/>
      <x:c r="AD126" s="115"/>
      <x:c r="AE126" s="2"/>
      <x:c r="AF126" s="2"/>
      <x:c r="AG126" s="2"/>
      <x:c r="AH126" s="2"/>
    </x:row>
    <x:row r="127" ht="14.25" customHeight="1">
      <x:c r="A127" s="2"/>
      <x:c r="B127" s="2"/>
      <x:c r="C127" s="2"/>
      <x:c r="D127" s="115"/>
      <x:c r="E127" s="115"/>
      <x:c r="F127" s="115"/>
      <x:c r="G127" s="115"/>
      <x:c r="H127" s="115"/>
      <x:c r="I127" s="2"/>
      <x:c r="J127" s="115"/>
      <x:c r="K127" s="2"/>
      <x:c r="L127" s="2"/>
      <x:c r="M127" s="2"/>
      <x:c r="N127" s="115"/>
      <x:c r="O127" s="115"/>
      <x:c r="P127" s="115"/>
      <x:c r="Q127" s="115"/>
      <x:c r="R127" s="115"/>
      <x:c r="S127" s="2"/>
      <x:c r="T127" s="115"/>
      <x:c r="U127" s="2"/>
      <x:c r="V127" s="2"/>
      <x:c r="W127" s="2"/>
      <x:c r="X127" s="115"/>
      <x:c r="Y127" s="115"/>
      <x:c r="Z127" s="115"/>
      <x:c r="AA127" s="115"/>
      <x:c r="AB127" s="115"/>
      <x:c r="AC127" s="2"/>
      <x:c r="AD127" s="115"/>
      <x:c r="AE127" s="2"/>
      <x:c r="AF127" s="2"/>
      <x:c r="AG127" s="2"/>
      <x:c r="AH127" s="2"/>
    </x:row>
    <x:row r="128" ht="14.25" customHeight="1">
      <x:c r="A128" s="2"/>
      <x:c r="B128" s="2"/>
      <x:c r="C128" s="2"/>
      <x:c r="D128" s="115"/>
      <x:c r="E128" s="115"/>
      <x:c r="F128" s="115"/>
      <x:c r="G128" s="115"/>
      <x:c r="H128" s="115"/>
      <x:c r="I128" s="2"/>
      <x:c r="J128" s="115"/>
      <x:c r="K128" s="2"/>
      <x:c r="L128" s="2"/>
      <x:c r="M128" s="2"/>
      <x:c r="N128" s="115"/>
      <x:c r="O128" s="115"/>
      <x:c r="P128" s="115"/>
      <x:c r="Q128" s="115"/>
      <x:c r="R128" s="115"/>
      <x:c r="S128" s="2"/>
      <x:c r="T128" s="115"/>
      <x:c r="U128" s="2"/>
      <x:c r="V128" s="2"/>
      <x:c r="W128" s="2"/>
      <x:c r="X128" s="115"/>
      <x:c r="Y128" s="115"/>
      <x:c r="Z128" s="115"/>
      <x:c r="AA128" s="115"/>
      <x:c r="AB128" s="115"/>
      <x:c r="AC128" s="2"/>
      <x:c r="AD128" s="115"/>
      <x:c r="AE128" s="2"/>
      <x:c r="AF128" s="2"/>
      <x:c r="AG128" s="2"/>
      <x:c r="AH128" s="2"/>
    </x:row>
    <x:row r="129" ht="14.25" customHeight="1">
      <x:c r="A129" s="2"/>
      <x:c r="B129" s="2"/>
      <x:c r="C129" s="2"/>
      <x:c r="D129" s="115"/>
      <x:c r="E129" s="115"/>
      <x:c r="F129" s="115"/>
      <x:c r="G129" s="115"/>
      <x:c r="H129" s="115"/>
      <x:c r="I129" s="2"/>
      <x:c r="J129" s="115"/>
      <x:c r="K129" s="2"/>
      <x:c r="L129" s="2"/>
      <x:c r="M129" s="2"/>
      <x:c r="N129" s="115"/>
      <x:c r="O129" s="115"/>
      <x:c r="P129" s="115"/>
      <x:c r="Q129" s="115"/>
      <x:c r="R129" s="115"/>
      <x:c r="S129" s="2"/>
      <x:c r="T129" s="115"/>
      <x:c r="U129" s="2"/>
      <x:c r="V129" s="2"/>
      <x:c r="W129" s="2"/>
      <x:c r="X129" s="115"/>
      <x:c r="Y129" s="115"/>
      <x:c r="Z129" s="115"/>
      <x:c r="AA129" s="115"/>
      <x:c r="AB129" s="115"/>
      <x:c r="AC129" s="2"/>
      <x:c r="AD129" s="115"/>
      <x:c r="AE129" s="2"/>
      <x:c r="AF129" s="2"/>
      <x:c r="AG129" s="2"/>
      <x:c r="AH129" s="2"/>
    </x:row>
    <x:row r="130" ht="14.25" customHeight="1">
      <x:c r="A130" s="2"/>
      <x:c r="B130" s="2"/>
      <x:c r="C130" s="2"/>
      <x:c r="D130" s="115"/>
      <x:c r="E130" s="115"/>
      <x:c r="F130" s="115"/>
      <x:c r="G130" s="115"/>
      <x:c r="H130" s="115"/>
      <x:c r="I130" s="2"/>
      <x:c r="J130" s="115"/>
      <x:c r="K130" s="2"/>
      <x:c r="L130" s="2"/>
      <x:c r="M130" s="2"/>
      <x:c r="N130" s="115"/>
      <x:c r="O130" s="115"/>
      <x:c r="P130" s="115"/>
      <x:c r="Q130" s="115"/>
      <x:c r="R130" s="115"/>
      <x:c r="S130" s="2"/>
      <x:c r="T130" s="115"/>
      <x:c r="U130" s="2"/>
      <x:c r="V130" s="2"/>
      <x:c r="W130" s="2"/>
      <x:c r="X130" s="115"/>
      <x:c r="Y130" s="115"/>
      <x:c r="Z130" s="115"/>
      <x:c r="AA130" s="115"/>
      <x:c r="AB130" s="115"/>
      <x:c r="AC130" s="2"/>
      <x:c r="AD130" s="115"/>
      <x:c r="AE130" s="2"/>
      <x:c r="AF130" s="2"/>
      <x:c r="AG130" s="2"/>
      <x:c r="AH130" s="2"/>
    </x:row>
    <x:row r="131" ht="14.25" customHeight="1">
      <x:c r="A131" s="2"/>
      <x:c r="B131" s="2"/>
      <x:c r="C131" s="2"/>
      <x:c r="D131" s="115"/>
      <x:c r="E131" s="115"/>
      <x:c r="F131" s="115"/>
      <x:c r="G131" s="115"/>
      <x:c r="H131" s="115"/>
      <x:c r="I131" s="2"/>
      <x:c r="J131" s="115"/>
      <x:c r="K131" s="2"/>
      <x:c r="L131" s="2"/>
      <x:c r="M131" s="2"/>
      <x:c r="N131" s="115"/>
      <x:c r="O131" s="115"/>
      <x:c r="P131" s="115"/>
      <x:c r="Q131" s="115"/>
      <x:c r="R131" s="115"/>
      <x:c r="S131" s="2"/>
      <x:c r="T131" s="115"/>
      <x:c r="U131" s="2"/>
      <x:c r="V131" s="2"/>
      <x:c r="W131" s="2"/>
      <x:c r="X131" s="115"/>
      <x:c r="Y131" s="115"/>
      <x:c r="Z131" s="115"/>
      <x:c r="AA131" s="115"/>
      <x:c r="AB131" s="115"/>
      <x:c r="AC131" s="2"/>
      <x:c r="AD131" s="115"/>
      <x:c r="AE131" s="2"/>
      <x:c r="AF131" s="2"/>
      <x:c r="AG131" s="2"/>
      <x:c r="AH131" s="2"/>
    </x:row>
    <x:row r="132" ht="14.25" customHeight="1">
      <x:c r="A132" s="2"/>
      <x:c r="B132" s="2"/>
      <x:c r="C132" s="2"/>
      <x:c r="D132" s="115"/>
      <x:c r="E132" s="115"/>
      <x:c r="F132" s="115"/>
      <x:c r="G132" s="115"/>
      <x:c r="H132" s="115"/>
      <x:c r="I132" s="2"/>
      <x:c r="J132" s="115"/>
      <x:c r="K132" s="2"/>
      <x:c r="L132" s="2"/>
      <x:c r="M132" s="2"/>
      <x:c r="N132" s="115"/>
      <x:c r="O132" s="115"/>
      <x:c r="P132" s="115"/>
      <x:c r="Q132" s="115"/>
      <x:c r="R132" s="115"/>
      <x:c r="S132" s="2"/>
      <x:c r="T132" s="115"/>
      <x:c r="U132" s="2"/>
      <x:c r="V132" s="2"/>
      <x:c r="W132" s="2"/>
      <x:c r="X132" s="115"/>
      <x:c r="Y132" s="115"/>
      <x:c r="Z132" s="115"/>
      <x:c r="AA132" s="115"/>
      <x:c r="AB132" s="115"/>
      <x:c r="AC132" s="2"/>
      <x:c r="AD132" s="115"/>
      <x:c r="AE132" s="2"/>
      <x:c r="AF132" s="2"/>
      <x:c r="AG132" s="2"/>
      <x:c r="AH132" s="2"/>
    </x:row>
    <x:row r="133" ht="14.25" customHeight="1">
      <x:c r="A133" s="2"/>
      <x:c r="B133" s="2"/>
      <x:c r="C133" s="2"/>
      <x:c r="D133" s="115"/>
      <x:c r="E133" s="115"/>
      <x:c r="F133" s="115"/>
      <x:c r="G133" s="115"/>
      <x:c r="H133" s="115"/>
      <x:c r="I133" s="2"/>
      <x:c r="J133" s="115"/>
      <x:c r="K133" s="2"/>
      <x:c r="L133" s="2"/>
      <x:c r="M133" s="2"/>
      <x:c r="N133" s="115"/>
      <x:c r="O133" s="115"/>
      <x:c r="P133" s="115"/>
      <x:c r="Q133" s="115"/>
      <x:c r="R133" s="115"/>
      <x:c r="S133" s="2"/>
      <x:c r="T133" s="115"/>
      <x:c r="U133" s="2"/>
      <x:c r="V133" s="2"/>
      <x:c r="W133" s="2"/>
      <x:c r="X133" s="115"/>
      <x:c r="Y133" s="115"/>
      <x:c r="Z133" s="115"/>
      <x:c r="AA133" s="115"/>
      <x:c r="AB133" s="115"/>
      <x:c r="AC133" s="2"/>
      <x:c r="AD133" s="115"/>
      <x:c r="AE133" s="2"/>
      <x:c r="AF133" s="2"/>
      <x:c r="AG133" s="2"/>
      <x:c r="AH133" s="2"/>
    </x:row>
    <x:row r="134" ht="14.25" customHeight="1">
      <x:c r="A134" s="2"/>
      <x:c r="B134" s="2"/>
      <x:c r="C134" s="2"/>
      <x:c r="D134" s="115"/>
      <x:c r="E134" s="115"/>
      <x:c r="F134" s="115"/>
      <x:c r="G134" s="115"/>
      <x:c r="H134" s="115"/>
      <x:c r="I134" s="2"/>
      <x:c r="J134" s="115"/>
      <x:c r="K134" s="2"/>
      <x:c r="L134" s="2"/>
      <x:c r="M134" s="2"/>
      <x:c r="N134" s="115"/>
      <x:c r="O134" s="115"/>
      <x:c r="P134" s="115"/>
      <x:c r="Q134" s="115"/>
      <x:c r="R134" s="115"/>
      <x:c r="S134" s="2"/>
      <x:c r="T134" s="115"/>
      <x:c r="U134" s="2"/>
      <x:c r="V134" s="2"/>
      <x:c r="W134" s="2"/>
      <x:c r="X134" s="115"/>
      <x:c r="Y134" s="115"/>
      <x:c r="Z134" s="115"/>
      <x:c r="AA134" s="115"/>
      <x:c r="AB134" s="115"/>
      <x:c r="AC134" s="2"/>
      <x:c r="AD134" s="115"/>
      <x:c r="AE134" s="2"/>
      <x:c r="AF134" s="2"/>
      <x:c r="AG134" s="2"/>
      <x:c r="AH134" s="2"/>
    </x:row>
    <x:row r="135" ht="14.25" customHeight="1">
      <x:c r="A135" s="2"/>
      <x:c r="B135" s="2"/>
      <x:c r="C135" s="2"/>
      <x:c r="D135" s="115"/>
      <x:c r="E135" s="115"/>
      <x:c r="F135" s="115"/>
      <x:c r="G135" s="115"/>
      <x:c r="H135" s="115"/>
      <x:c r="I135" s="2"/>
      <x:c r="J135" s="115"/>
      <x:c r="K135" s="2"/>
      <x:c r="L135" s="2"/>
      <x:c r="M135" s="2"/>
      <x:c r="N135" s="115"/>
      <x:c r="O135" s="115"/>
      <x:c r="P135" s="115"/>
      <x:c r="Q135" s="115"/>
      <x:c r="R135" s="115"/>
      <x:c r="S135" s="2"/>
      <x:c r="T135" s="115"/>
      <x:c r="U135" s="2"/>
      <x:c r="V135" s="2"/>
      <x:c r="W135" s="2"/>
      <x:c r="X135" s="115"/>
      <x:c r="Y135" s="115"/>
      <x:c r="Z135" s="115"/>
      <x:c r="AA135" s="115"/>
      <x:c r="AB135" s="115"/>
      <x:c r="AC135" s="2"/>
      <x:c r="AD135" s="115"/>
      <x:c r="AE135" s="2"/>
      <x:c r="AF135" s="2"/>
      <x:c r="AG135" s="2"/>
      <x:c r="AH135" s="2"/>
    </x:row>
    <x:row r="136" ht="14.25" customHeight="1">
      <x:c r="A136" s="2"/>
      <x:c r="B136" s="2"/>
      <x:c r="C136" s="2"/>
      <x:c r="D136" s="115"/>
      <x:c r="E136" s="115"/>
      <x:c r="F136" s="115"/>
      <x:c r="G136" s="115"/>
      <x:c r="H136" s="115"/>
      <x:c r="I136" s="2"/>
      <x:c r="J136" s="115"/>
      <x:c r="K136" s="2"/>
      <x:c r="L136" s="2"/>
      <x:c r="M136" s="2"/>
      <x:c r="N136" s="115"/>
      <x:c r="O136" s="115"/>
      <x:c r="P136" s="115"/>
      <x:c r="Q136" s="115"/>
      <x:c r="R136" s="115"/>
      <x:c r="S136" s="2"/>
      <x:c r="T136" s="115"/>
      <x:c r="U136" s="2"/>
      <x:c r="V136" s="2"/>
      <x:c r="W136" s="2"/>
      <x:c r="X136" s="115"/>
      <x:c r="Y136" s="115"/>
      <x:c r="Z136" s="115"/>
      <x:c r="AA136" s="115"/>
      <x:c r="AB136" s="115"/>
      <x:c r="AC136" s="2"/>
      <x:c r="AD136" s="115"/>
      <x:c r="AE136" s="2"/>
      <x:c r="AF136" s="2"/>
      <x:c r="AG136" s="2"/>
      <x:c r="AH136" s="2"/>
    </x:row>
    <x:row r="137" ht="14.25" customHeight="1">
      <x:c r="A137" s="2"/>
      <x:c r="B137" s="2"/>
      <x:c r="C137" s="2"/>
      <x:c r="D137" s="115"/>
      <x:c r="E137" s="115"/>
      <x:c r="F137" s="115"/>
      <x:c r="G137" s="115"/>
      <x:c r="H137" s="115"/>
      <x:c r="I137" s="2"/>
      <x:c r="J137" s="115"/>
      <x:c r="K137" s="2"/>
      <x:c r="L137" s="2"/>
      <x:c r="M137" s="2"/>
      <x:c r="N137" s="115"/>
      <x:c r="O137" s="115"/>
      <x:c r="P137" s="115"/>
      <x:c r="Q137" s="115"/>
      <x:c r="R137" s="115"/>
      <x:c r="S137" s="2"/>
      <x:c r="T137" s="115"/>
      <x:c r="U137" s="2"/>
      <x:c r="V137" s="2"/>
      <x:c r="W137" s="2"/>
      <x:c r="X137" s="115"/>
      <x:c r="Y137" s="115"/>
      <x:c r="Z137" s="115"/>
      <x:c r="AA137" s="115"/>
      <x:c r="AB137" s="115"/>
      <x:c r="AC137" s="2"/>
      <x:c r="AD137" s="115"/>
      <x:c r="AE137" s="2"/>
      <x:c r="AF137" s="2"/>
      <x:c r="AG137" s="2"/>
      <x:c r="AH137" s="2"/>
    </x:row>
    <x:row r="138" ht="14.25" customHeight="1">
      <x:c r="A138" s="2"/>
      <x:c r="B138" s="2"/>
      <x:c r="C138" s="2"/>
      <x:c r="D138" s="115"/>
      <x:c r="E138" s="115"/>
      <x:c r="F138" s="115"/>
      <x:c r="G138" s="115"/>
      <x:c r="H138" s="115"/>
      <x:c r="I138" s="2"/>
      <x:c r="J138" s="115"/>
      <x:c r="K138" s="2"/>
      <x:c r="L138" s="2"/>
      <x:c r="M138" s="2"/>
      <x:c r="N138" s="115"/>
      <x:c r="O138" s="115"/>
      <x:c r="P138" s="115"/>
      <x:c r="Q138" s="115"/>
      <x:c r="R138" s="115"/>
      <x:c r="S138" s="2"/>
      <x:c r="T138" s="115"/>
      <x:c r="U138" s="2"/>
      <x:c r="V138" s="2"/>
      <x:c r="W138" s="2"/>
      <x:c r="X138" s="115"/>
      <x:c r="Y138" s="115"/>
      <x:c r="Z138" s="115"/>
      <x:c r="AA138" s="115"/>
      <x:c r="AB138" s="115"/>
      <x:c r="AC138" s="2"/>
      <x:c r="AD138" s="115"/>
      <x:c r="AE138" s="2"/>
      <x:c r="AF138" s="2"/>
      <x:c r="AG138" s="2"/>
      <x:c r="AH138" s="2"/>
    </x:row>
    <x:row r="139" ht="14.25" customHeight="1">
      <x:c r="A139" s="2"/>
      <x:c r="B139" s="2"/>
      <x:c r="C139" s="2"/>
      <x:c r="D139" s="115"/>
      <x:c r="E139" s="115"/>
      <x:c r="F139" s="115"/>
      <x:c r="G139" s="115"/>
      <x:c r="H139" s="115"/>
      <x:c r="I139" s="2"/>
      <x:c r="J139" s="115"/>
      <x:c r="K139" s="2"/>
      <x:c r="L139" s="2"/>
      <x:c r="M139" s="2"/>
      <x:c r="N139" s="115"/>
      <x:c r="O139" s="115"/>
      <x:c r="P139" s="115"/>
      <x:c r="Q139" s="115"/>
      <x:c r="R139" s="115"/>
      <x:c r="S139" s="2"/>
      <x:c r="T139" s="115"/>
      <x:c r="U139" s="2"/>
      <x:c r="V139" s="2"/>
      <x:c r="W139" s="2"/>
      <x:c r="X139" s="115"/>
      <x:c r="Y139" s="115"/>
      <x:c r="Z139" s="115"/>
      <x:c r="AA139" s="115"/>
      <x:c r="AB139" s="115"/>
      <x:c r="AC139" s="2"/>
      <x:c r="AD139" s="115"/>
      <x:c r="AE139" s="2"/>
      <x:c r="AF139" s="2"/>
      <x:c r="AG139" s="2"/>
      <x:c r="AH139" s="2"/>
    </x:row>
    <x:row r="140" ht="14.25" customHeight="1">
      <x:c r="A140" s="2"/>
      <x:c r="B140" s="2"/>
      <x:c r="C140" s="2"/>
      <x:c r="D140" s="115"/>
      <x:c r="E140" s="115"/>
      <x:c r="F140" s="115"/>
      <x:c r="G140" s="115"/>
      <x:c r="H140" s="115"/>
      <x:c r="I140" s="2"/>
      <x:c r="J140" s="115"/>
      <x:c r="K140" s="2"/>
      <x:c r="L140" s="2"/>
      <x:c r="M140" s="2"/>
      <x:c r="N140" s="115"/>
      <x:c r="O140" s="115"/>
      <x:c r="P140" s="115"/>
      <x:c r="Q140" s="115"/>
      <x:c r="R140" s="115"/>
      <x:c r="S140" s="2"/>
      <x:c r="T140" s="115"/>
      <x:c r="U140" s="2"/>
      <x:c r="V140" s="2"/>
      <x:c r="W140" s="2"/>
      <x:c r="X140" s="115"/>
      <x:c r="Y140" s="115"/>
      <x:c r="Z140" s="115"/>
      <x:c r="AA140" s="115"/>
      <x:c r="AB140" s="115"/>
      <x:c r="AC140" s="2"/>
      <x:c r="AD140" s="115"/>
      <x:c r="AE140" s="2"/>
      <x:c r="AF140" s="2"/>
      <x:c r="AG140" s="2"/>
      <x:c r="AH140" s="2"/>
    </x:row>
    <x:row r="141" ht="14.2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115"/>
      <x:c r="O141" s="115"/>
      <x:c r="P141" s="115"/>
      <x:c r="Q141" s="115"/>
      <x:c r="R141" s="115"/>
      <x:c r="S141" s="2"/>
      <x:c r="T141" s="115"/>
      <x:c r="U141" s="2"/>
      <x:c r="V141" s="2"/>
      <x:c r="W141" s="2"/>
      <x:c r="X141" s="115"/>
      <x:c r="Y141" s="115"/>
      <x:c r="Z141" s="115"/>
      <x:c r="AA141" s="115"/>
      <x:c r="AB141" s="115"/>
      <x:c r="AC141" s="2"/>
      <x:c r="AD141" s="115"/>
      <x:c r="AE141" s="2"/>
      <x:c r="AF141" s="2"/>
      <x:c r="AG141" s="2"/>
      <x:c r="AH141" s="2"/>
    </x:row>
    <x:row r="142" ht="14.25" customHeight="1">
      <x:c r="A142" s="2"/>
      <x:c r="B142" s="116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115"/>
      <x:c r="O142" s="115"/>
      <x:c r="P142" s="115"/>
      <x:c r="Q142" s="115"/>
      <x:c r="R142" s="115"/>
      <x:c r="S142" s="2"/>
      <x:c r="T142" s="115"/>
      <x:c r="U142" s="2"/>
      <x:c r="V142" s="2"/>
      <x:c r="W142" s="2"/>
      <x:c r="X142" s="115"/>
      <x:c r="Y142" s="115"/>
      <x:c r="Z142" s="115"/>
      <x:c r="AA142" s="115"/>
      <x:c r="AB142" s="115"/>
      <x:c r="AC142" s="2"/>
      <x:c r="AD142" s="115"/>
      <x:c r="AE142" s="2"/>
      <x:c r="AF142" s="2"/>
      <x:c r="AG142" s="2"/>
      <x:c r="AH142" s="2"/>
    </x:row>
    <x:row r="143" ht="14.25" customHeight="1">
      <x:c r="A143" s="2"/>
      <x:c r="B143" s="117"/>
      <x:c r="C143" s="117"/>
      <x:c r="D143" s="117"/>
      <x:c r="E143" s="117"/>
      <x:c r="F143" s="117"/>
      <x:c r="G143" s="117"/>
      <x:c r="H143" s="117"/>
      <x:c r="I143" s="117"/>
      <x:c r="J143" s="117"/>
      <x:c r="K143" s="2"/>
      <x:c r="L143" s="2"/>
      <x:c r="M143" s="2"/>
      <x:c r="N143" s="115"/>
      <x:c r="O143" s="115"/>
      <x:c r="P143" s="115"/>
      <x:c r="Q143" s="115"/>
      <x:c r="R143" s="115"/>
      <x:c r="S143" s="2"/>
      <x:c r="T143" s="115"/>
      <x:c r="U143" s="2"/>
      <x:c r="V143" s="2"/>
      <x:c r="W143" s="2"/>
      <x:c r="X143" s="115"/>
      <x:c r="Y143" s="115"/>
      <x:c r="Z143" s="115"/>
      <x:c r="AA143" s="115"/>
      <x:c r="AB143" s="115"/>
      <x:c r="AC143" s="2"/>
      <x:c r="AD143" s="115"/>
      <x:c r="AE143" s="2"/>
      <x:c r="AF143" s="2"/>
      <x:c r="AG143" s="2"/>
      <x:c r="AH143" s="2"/>
    </x:row>
    <x:row r="144" ht="14.25" customHeight="1">
      <x:c r="A144" s="2"/>
      <x:c r="B144" s="9"/>
      <x:c r="C144" s="9"/>
      <x:c r="D144" s="118"/>
      <x:c r="E144" s="118"/>
      <x:c r="F144" s="118"/>
      <x:c r="G144" s="118"/>
      <x:c r="H144" s="118"/>
      <x:c r="I144" s="9"/>
      <x:c r="J144" s="118"/>
      <x:c r="K144" s="9"/>
      <x:c r="L144" s="9"/>
      <x:c r="M144" s="9"/>
      <x:c r="N144" s="118"/>
      <x:c r="O144" s="118"/>
      <x:c r="P144" s="118"/>
      <x:c r="Q144" s="118"/>
      <x:c r="R144" s="118"/>
      <x:c r="S144" s="9"/>
      <x:c r="T144" s="118"/>
      <x:c r="U144" s="9"/>
      <x:c r="V144" s="9"/>
      <x:c r="W144" s="9"/>
      <x:c r="X144" s="118"/>
      <x:c r="Y144" s="118"/>
      <x:c r="Z144" s="118"/>
      <x:c r="AA144" s="118"/>
      <x:c r="AB144" s="118"/>
      <x:c r="AC144" s="9"/>
      <x:c r="AD144" s="118"/>
      <x:c r="AE144" s="2"/>
      <x:c r="AF144" s="2"/>
      <x:c r="AG144" s="2"/>
      <x:c r="AH144" s="2"/>
    </x:row>
    <x:row r="145" ht="14.25" customHeight="1">
      <x:c r="A145" s="2"/>
      <x:c r="B145" s="9"/>
      <x:c r="C145" s="9"/>
      <x:c r="D145" s="118"/>
      <x:c r="E145" s="118"/>
      <x:c r="F145" s="118"/>
      <x:c r="G145" s="118"/>
      <x:c r="H145" s="118"/>
      <x:c r="I145" s="9"/>
      <x:c r="J145" s="118"/>
      <x:c r="K145" s="9"/>
      <x:c r="L145" s="9"/>
      <x:c r="M145" s="9"/>
      <x:c r="N145" s="118"/>
      <x:c r="O145" s="118"/>
      <x:c r="P145" s="118"/>
      <x:c r="Q145" s="118"/>
      <x:c r="R145" s="118"/>
      <x:c r="S145" s="9"/>
      <x:c r="T145" s="118"/>
      <x:c r="U145" s="9"/>
      <x:c r="V145" s="9"/>
      <x:c r="W145" s="9"/>
      <x:c r="X145" s="118"/>
      <x:c r="Y145" s="118"/>
      <x:c r="Z145" s="118"/>
      <x:c r="AA145" s="118"/>
      <x:c r="AB145" s="118"/>
      <x:c r="AC145" s="9"/>
      <x:c r="AD145" s="118"/>
      <x:c r="AE145" s="2"/>
      <x:c r="AF145" s="2"/>
      <x:c r="AG145" s="2"/>
      <x:c r="AH145" s="2"/>
    </x:row>
    <x:row r="146" ht="14.25" customHeight="1">
      <x:c r="A146" s="2"/>
      <x:c r="B146" s="9"/>
      <x:c r="C146" s="9"/>
      <x:c r="D146" s="118"/>
      <x:c r="E146" s="118"/>
      <x:c r="F146" s="118"/>
      <x:c r="G146" s="118"/>
      <x:c r="H146" s="118"/>
      <x:c r="I146" s="9"/>
      <x:c r="J146" s="118"/>
      <x:c r="K146" s="9"/>
      <x:c r="L146" s="9"/>
      <x:c r="M146" s="9"/>
      <x:c r="N146" s="118"/>
      <x:c r="O146" s="118"/>
      <x:c r="P146" s="118"/>
      <x:c r="Q146" s="118"/>
      <x:c r="R146" s="118"/>
      <x:c r="S146" s="9"/>
      <x:c r="T146" s="118"/>
      <x:c r="U146" s="9"/>
      <x:c r="V146" s="9"/>
      <x:c r="W146" s="9"/>
      <x:c r="X146" s="118"/>
      <x:c r="Y146" s="118"/>
      <x:c r="Z146" s="118"/>
      <x:c r="AA146" s="118"/>
      <x:c r="AB146" s="118"/>
      <x:c r="AC146" s="9"/>
      <x:c r="AD146" s="118"/>
      <x:c r="AE146" s="2"/>
      <x:c r="AF146" s="2"/>
      <x:c r="AG146" s="2"/>
      <x:c r="AH146" s="2"/>
    </x:row>
    <x:row r="147" ht="14.25" customHeight="1">
      <x:c r="A147" s="2"/>
      <x:c r="B147" s="9"/>
      <x:c r="C147" s="9"/>
      <x:c r="D147" s="118"/>
      <x:c r="E147" s="118"/>
      <x:c r="F147" s="118"/>
      <x:c r="G147" s="118"/>
      <x:c r="H147" s="118"/>
      <x:c r="I147" s="9"/>
      <x:c r="J147" s="118"/>
      <x:c r="K147" s="9"/>
      <x:c r="L147" s="9"/>
      <x:c r="M147" s="9"/>
      <x:c r="N147" s="118"/>
      <x:c r="O147" s="118"/>
      <x:c r="P147" s="118"/>
      <x:c r="Q147" s="118"/>
      <x:c r="R147" s="118"/>
      <x:c r="S147" s="9"/>
      <x:c r="T147" s="118"/>
      <x:c r="U147" s="9"/>
      <x:c r="V147" s="9"/>
      <x:c r="W147" s="9"/>
      <x:c r="X147" s="118"/>
      <x:c r="Y147" s="118"/>
      <x:c r="Z147" s="118"/>
      <x:c r="AA147" s="118"/>
      <x:c r="AB147" s="118"/>
      <x:c r="AC147" s="9"/>
      <x:c r="AD147" s="118"/>
      <x:c r="AE147" s="2"/>
      <x:c r="AF147" s="2"/>
      <x:c r="AG147" s="2"/>
      <x:c r="AH147" s="2"/>
    </x:row>
    <x:row r="148" ht="14.25" customHeight="1">
      <x:c r="A148" s="2"/>
      <x:c r="B148" s="9"/>
      <x:c r="C148" s="9"/>
      <x:c r="D148" s="118"/>
      <x:c r="E148" s="118"/>
      <x:c r="F148" s="118"/>
      <x:c r="G148" s="118"/>
      <x:c r="H148" s="118"/>
      <x:c r="I148" s="9"/>
      <x:c r="J148" s="118"/>
      <x:c r="K148" s="9"/>
      <x:c r="L148" s="9"/>
      <x:c r="M148" s="9"/>
      <x:c r="N148" s="118"/>
      <x:c r="O148" s="118"/>
      <x:c r="P148" s="118"/>
      <x:c r="Q148" s="118"/>
      <x:c r="R148" s="118"/>
      <x:c r="S148" s="9"/>
      <x:c r="T148" s="118"/>
      <x:c r="U148" s="9"/>
      <x:c r="V148" s="9"/>
      <x:c r="W148" s="9"/>
      <x:c r="X148" s="118"/>
      <x:c r="Y148" s="118"/>
      <x:c r="Z148" s="118"/>
      <x:c r="AA148" s="118"/>
      <x:c r="AB148" s="118"/>
      <x:c r="AC148" s="9"/>
      <x:c r="AD148" s="118"/>
      <x:c r="AE148" s="2"/>
      <x:c r="AF148" s="2"/>
      <x:c r="AG148" s="2"/>
      <x:c r="AH148" s="2"/>
    </x:row>
    <x:row r="149" ht="14.25" customHeight="1">
      <x:c r="A149" s="2"/>
      <x:c r="B149" s="9"/>
      <x:c r="C149" s="9"/>
      <x:c r="D149" s="118"/>
      <x:c r="E149" s="118"/>
      <x:c r="F149" s="118"/>
      <x:c r="G149" s="118"/>
      <x:c r="H149" s="118"/>
      <x:c r="I149" s="9"/>
      <x:c r="J149" s="118"/>
      <x:c r="K149" s="9"/>
      <x:c r="L149" s="9"/>
      <x:c r="M149" s="9"/>
      <x:c r="N149" s="118"/>
      <x:c r="O149" s="118"/>
      <x:c r="P149" s="118"/>
      <x:c r="Q149" s="118"/>
      <x:c r="R149" s="118"/>
      <x:c r="S149" s="9"/>
      <x:c r="T149" s="118"/>
      <x:c r="U149" s="9"/>
      <x:c r="V149" s="9"/>
      <x:c r="W149" s="9"/>
      <x:c r="X149" s="118"/>
      <x:c r="Y149" s="118"/>
      <x:c r="Z149" s="118"/>
      <x:c r="AA149" s="118"/>
      <x:c r="AB149" s="118"/>
      <x:c r="AC149" s="9"/>
      <x:c r="AD149" s="118"/>
      <x:c r="AE149" s="2"/>
      <x:c r="AF149" s="2"/>
      <x:c r="AG149" s="2"/>
      <x:c r="AH149" s="2"/>
    </x:row>
    <x:row r="150" ht="14.25" customHeight="1">
      <x:c r="A150" s="2"/>
      <x:c r="B150" s="9"/>
      <x:c r="C150" s="9"/>
      <x:c r="D150" s="118"/>
      <x:c r="E150" s="118"/>
      <x:c r="F150" s="118"/>
      <x:c r="G150" s="118"/>
      <x:c r="H150" s="118"/>
      <x:c r="I150" s="9"/>
      <x:c r="J150" s="118"/>
      <x:c r="K150" s="9"/>
      <x:c r="L150" s="9"/>
      <x:c r="M150" s="9"/>
      <x:c r="N150" s="118"/>
      <x:c r="O150" s="118"/>
      <x:c r="P150" s="118"/>
      <x:c r="Q150" s="118"/>
      <x:c r="R150" s="118"/>
      <x:c r="S150" s="9"/>
      <x:c r="T150" s="118"/>
      <x:c r="U150" s="9"/>
      <x:c r="V150" s="9"/>
      <x:c r="W150" s="9"/>
      <x:c r="X150" s="118"/>
      <x:c r="Y150" s="118"/>
      <x:c r="Z150" s="118"/>
      <x:c r="AA150" s="118"/>
      <x:c r="AB150" s="118"/>
      <x:c r="AC150" s="9"/>
      <x:c r="AD150" s="118"/>
      <x:c r="AE150" s="2"/>
      <x:c r="AF150" s="2"/>
      <x:c r="AG150" s="2"/>
      <x:c r="AH150" s="2"/>
    </x:row>
    <x:row r="151" ht="14.25" customHeight="1">
      <x:c r="A151" s="2"/>
      <x:c r="B151" s="9"/>
      <x:c r="C151" s="9"/>
      <x:c r="D151" s="118"/>
      <x:c r="E151" s="118"/>
      <x:c r="F151" s="118"/>
      <x:c r="G151" s="118"/>
      <x:c r="H151" s="118"/>
      <x:c r="I151" s="9"/>
      <x:c r="J151" s="118"/>
      <x:c r="K151" s="9"/>
      <x:c r="L151" s="9"/>
      <x:c r="M151" s="9"/>
      <x:c r="N151" s="118"/>
      <x:c r="O151" s="118"/>
      <x:c r="P151" s="118"/>
      <x:c r="Q151" s="118"/>
      <x:c r="R151" s="118"/>
      <x:c r="S151" s="9"/>
      <x:c r="T151" s="118"/>
      <x:c r="U151" s="9"/>
      <x:c r="V151" s="9"/>
      <x:c r="W151" s="9"/>
      <x:c r="X151" s="118"/>
      <x:c r="Y151" s="118"/>
      <x:c r="Z151" s="118"/>
      <x:c r="AA151" s="118"/>
      <x:c r="AB151" s="118"/>
      <x:c r="AC151" s="9"/>
      <x:c r="AD151" s="118"/>
      <x:c r="AE151" s="2"/>
      <x:c r="AF151" s="2"/>
      <x:c r="AG151" s="2"/>
      <x:c r="AH151" s="2"/>
    </x:row>
    <x:row r="152" ht="14.25" customHeight="1">
      <x:c r="A152" s="2"/>
      <x:c r="B152" s="9"/>
      <x:c r="C152" s="9"/>
      <x:c r="D152" s="118"/>
      <x:c r="E152" s="118"/>
      <x:c r="F152" s="118"/>
      <x:c r="G152" s="118"/>
      <x:c r="H152" s="118"/>
      <x:c r="I152" s="9"/>
      <x:c r="J152" s="118"/>
      <x:c r="K152" s="9"/>
      <x:c r="L152" s="9"/>
      <x:c r="M152" s="9"/>
      <x:c r="N152" s="118"/>
      <x:c r="O152" s="118"/>
      <x:c r="P152" s="118"/>
      <x:c r="Q152" s="118"/>
      <x:c r="R152" s="118"/>
      <x:c r="S152" s="9"/>
      <x:c r="T152" s="118"/>
      <x:c r="U152" s="9"/>
      <x:c r="V152" s="9"/>
      <x:c r="W152" s="9"/>
      <x:c r="X152" s="118"/>
      <x:c r="Y152" s="118"/>
      <x:c r="Z152" s="118"/>
      <x:c r="AA152" s="118"/>
      <x:c r="AB152" s="118"/>
      <x:c r="AC152" s="9"/>
      <x:c r="AD152" s="118"/>
      <x:c r="AE152" s="2"/>
      <x:c r="AF152" s="2"/>
      <x:c r="AG152" s="2"/>
      <x:c r="AH152" s="2"/>
    </x:row>
    <x:row r="153" ht="14.25" customHeight="1">
      <x:c r="A153" s="2"/>
      <x:c r="B153" s="9"/>
      <x:c r="C153" s="9"/>
      <x:c r="D153" s="118"/>
      <x:c r="E153" s="118"/>
      <x:c r="F153" s="118"/>
      <x:c r="G153" s="118"/>
      <x:c r="H153" s="118"/>
      <x:c r="I153" s="9"/>
      <x:c r="J153" s="118"/>
      <x:c r="K153" s="9"/>
      <x:c r="L153" s="9"/>
      <x:c r="M153" s="9"/>
      <x:c r="N153" s="118"/>
      <x:c r="O153" s="118"/>
      <x:c r="P153" s="118"/>
      <x:c r="Q153" s="118"/>
      <x:c r="R153" s="118"/>
      <x:c r="S153" s="9"/>
      <x:c r="T153" s="118"/>
      <x:c r="U153" s="9"/>
      <x:c r="V153" s="9"/>
      <x:c r="W153" s="9"/>
      <x:c r="X153" s="118"/>
      <x:c r="Y153" s="118"/>
      <x:c r="Z153" s="118"/>
      <x:c r="AA153" s="118"/>
      <x:c r="AB153" s="118"/>
      <x:c r="AC153" s="9"/>
      <x:c r="AD153" s="118"/>
      <x:c r="AE153" s="2"/>
      <x:c r="AF153" s="2"/>
      <x:c r="AG153" s="2"/>
      <x:c r="AH153" s="2"/>
    </x:row>
    <x:row r="154" ht="14.25" customHeight="1">
      <x:c r="A154" s="2"/>
      <x:c r="B154" s="9"/>
      <x:c r="C154" s="9"/>
      <x:c r="D154" s="118"/>
      <x:c r="E154" s="118"/>
      <x:c r="F154" s="118"/>
      <x:c r="G154" s="118"/>
      <x:c r="H154" s="118"/>
      <x:c r="I154" s="9"/>
      <x:c r="J154" s="118"/>
      <x:c r="K154" s="9"/>
      <x:c r="L154" s="9"/>
      <x:c r="M154" s="9"/>
      <x:c r="N154" s="118"/>
      <x:c r="O154" s="118"/>
      <x:c r="P154" s="118"/>
      <x:c r="Q154" s="118"/>
      <x:c r="R154" s="118"/>
      <x:c r="S154" s="9"/>
      <x:c r="T154" s="118"/>
      <x:c r="U154" s="9"/>
      <x:c r="V154" s="9"/>
      <x:c r="W154" s="9"/>
      <x:c r="X154" s="118"/>
      <x:c r="Y154" s="118"/>
      <x:c r="Z154" s="118"/>
      <x:c r="AA154" s="118"/>
      <x:c r="AB154" s="118"/>
      <x:c r="AC154" s="9"/>
      <x:c r="AD154" s="118"/>
      <x:c r="AE154" s="2"/>
      <x:c r="AF154" s="2"/>
      <x:c r="AG154" s="2"/>
      <x:c r="AH154" s="2"/>
    </x:row>
    <x:row r="155" ht="14.25" customHeight="1">
      <x:c r="A155" s="2"/>
      <x:c r="B155" s="9"/>
      <x:c r="C155" s="9"/>
      <x:c r="D155" s="118"/>
      <x:c r="E155" s="118"/>
      <x:c r="F155" s="118"/>
      <x:c r="G155" s="118"/>
      <x:c r="H155" s="118"/>
      <x:c r="I155" s="9"/>
      <x:c r="J155" s="118"/>
      <x:c r="K155" s="9"/>
      <x:c r="L155" s="9"/>
      <x:c r="M155" s="9"/>
      <x:c r="N155" s="118"/>
      <x:c r="O155" s="118"/>
      <x:c r="P155" s="118"/>
      <x:c r="Q155" s="118"/>
      <x:c r="R155" s="118"/>
      <x:c r="S155" s="9"/>
      <x:c r="T155" s="118"/>
      <x:c r="U155" s="9"/>
      <x:c r="V155" s="9"/>
      <x:c r="W155" s="9"/>
      <x:c r="X155" s="118"/>
      <x:c r="Y155" s="118"/>
      <x:c r="Z155" s="118"/>
      <x:c r="AA155" s="118"/>
      <x:c r="AB155" s="118"/>
      <x:c r="AC155" s="9"/>
      <x:c r="AD155" s="118"/>
      <x:c r="AE155" s="2"/>
      <x:c r="AF155" s="2"/>
      <x:c r="AG155" s="2"/>
      <x:c r="AH155" s="2"/>
    </x:row>
    <x:row r="156" ht="14.25" customHeight="1">
      <x:c r="A156" s="2"/>
      <x:c r="B156" s="9"/>
      <x:c r="C156" s="9"/>
      <x:c r="D156" s="118"/>
      <x:c r="E156" s="118"/>
      <x:c r="F156" s="118"/>
      <x:c r="G156" s="118"/>
      <x:c r="H156" s="118"/>
      <x:c r="I156" s="9"/>
      <x:c r="J156" s="118"/>
      <x:c r="K156" s="9"/>
      <x:c r="L156" s="9"/>
      <x:c r="M156" s="9"/>
      <x:c r="N156" s="118"/>
      <x:c r="O156" s="118"/>
      <x:c r="P156" s="118"/>
      <x:c r="Q156" s="118"/>
      <x:c r="R156" s="118"/>
      <x:c r="S156" s="9"/>
      <x:c r="T156" s="118"/>
      <x:c r="U156" s="9"/>
      <x:c r="V156" s="9"/>
      <x:c r="W156" s="9"/>
      <x:c r="X156" s="118"/>
      <x:c r="Y156" s="118"/>
      <x:c r="Z156" s="118"/>
      <x:c r="AA156" s="118"/>
      <x:c r="AB156" s="118"/>
      <x:c r="AC156" s="9"/>
      <x:c r="AD156" s="118"/>
      <x:c r="AE156" s="2"/>
      <x:c r="AF156" s="2"/>
      <x:c r="AG156" s="2"/>
      <x:c r="AH156" s="2"/>
    </x:row>
    <x:row r="157" ht="14.25" customHeight="1">
      <x:c r="A157" s="2"/>
      <x:c r="B157" s="9"/>
      <x:c r="C157" s="9"/>
      <x:c r="D157" s="118"/>
      <x:c r="E157" s="118"/>
      <x:c r="F157" s="118"/>
      <x:c r="G157" s="118"/>
      <x:c r="H157" s="118"/>
      <x:c r="I157" s="9"/>
      <x:c r="J157" s="118"/>
      <x:c r="K157" s="9"/>
      <x:c r="L157" s="9"/>
      <x:c r="M157" s="9"/>
      <x:c r="N157" s="118"/>
      <x:c r="O157" s="118"/>
      <x:c r="P157" s="118"/>
      <x:c r="Q157" s="118"/>
      <x:c r="R157" s="118"/>
      <x:c r="S157" s="9"/>
      <x:c r="T157" s="118"/>
      <x:c r="U157" s="9"/>
      <x:c r="V157" s="9"/>
      <x:c r="W157" s="9"/>
      <x:c r="X157" s="118"/>
      <x:c r="Y157" s="118"/>
      <x:c r="Z157" s="118"/>
      <x:c r="AA157" s="118"/>
      <x:c r="AB157" s="118"/>
      <x:c r="AC157" s="9"/>
      <x:c r="AD157" s="118"/>
      <x:c r="AE157" s="2"/>
      <x:c r="AF157" s="2"/>
      <x:c r="AG157" s="2"/>
      <x:c r="AH157" s="2"/>
    </x:row>
    <x:row r="158" ht="14.25" customHeight="1">
      <x:c r="A158" s="2"/>
      <x:c r="B158" s="9"/>
      <x:c r="C158" s="9"/>
      <x:c r="D158" s="118"/>
      <x:c r="E158" s="118"/>
      <x:c r="F158" s="118"/>
      <x:c r="G158" s="118"/>
      <x:c r="H158" s="118"/>
      <x:c r="I158" s="9"/>
      <x:c r="J158" s="118"/>
      <x:c r="K158" s="9"/>
      <x:c r="L158" s="9"/>
      <x:c r="M158" s="9"/>
      <x:c r="N158" s="118"/>
      <x:c r="O158" s="118"/>
      <x:c r="P158" s="118"/>
      <x:c r="Q158" s="118"/>
      <x:c r="R158" s="118"/>
      <x:c r="S158" s="9"/>
      <x:c r="T158" s="118"/>
      <x:c r="U158" s="9"/>
      <x:c r="V158" s="9"/>
      <x:c r="W158" s="9"/>
      <x:c r="X158" s="118"/>
      <x:c r="Y158" s="118"/>
      <x:c r="Z158" s="118"/>
      <x:c r="AA158" s="118"/>
      <x:c r="AB158" s="118"/>
      <x:c r="AC158" s="9"/>
      <x:c r="AD158" s="118"/>
      <x:c r="AE158" s="2"/>
      <x:c r="AF158" s="2"/>
      <x:c r="AG158" s="2"/>
      <x:c r="AH158" s="2"/>
    </x:row>
    <x:row r="159" ht="14.25" customHeight="1">
      <x:c r="A159" s="2"/>
      <x:c r="B159" s="9"/>
      <x:c r="C159" s="9"/>
      <x:c r="D159" s="118"/>
      <x:c r="E159" s="118"/>
      <x:c r="F159" s="118"/>
      <x:c r="G159" s="118"/>
      <x:c r="H159" s="118"/>
      <x:c r="I159" s="9"/>
      <x:c r="J159" s="118"/>
      <x:c r="K159" s="9"/>
      <x:c r="L159" s="9"/>
      <x:c r="M159" s="9"/>
      <x:c r="N159" s="118"/>
      <x:c r="O159" s="118"/>
      <x:c r="P159" s="118"/>
      <x:c r="Q159" s="118"/>
      <x:c r="R159" s="118"/>
      <x:c r="S159" s="9"/>
      <x:c r="T159" s="118"/>
      <x:c r="U159" s="9"/>
      <x:c r="V159" s="9"/>
      <x:c r="W159" s="9"/>
      <x:c r="X159" s="118"/>
      <x:c r="Y159" s="118"/>
      <x:c r="Z159" s="118"/>
      <x:c r="AA159" s="118"/>
      <x:c r="AB159" s="118"/>
      <x:c r="AC159" s="9"/>
      <x:c r="AD159" s="118"/>
      <x:c r="AE159" s="2"/>
      <x:c r="AF159" s="2"/>
      <x:c r="AG159" s="2"/>
      <x:c r="AH159" s="2"/>
    </x:row>
    <x:row r="160" ht="14.25" customHeight="1">
      <x:c r="A160" s="2"/>
      <x:c r="B160" s="9"/>
      <x:c r="C160" s="9"/>
      <x:c r="D160" s="118"/>
      <x:c r="E160" s="118"/>
      <x:c r="F160" s="118"/>
      <x:c r="G160" s="118"/>
      <x:c r="H160" s="118"/>
      <x:c r="I160" s="9"/>
      <x:c r="J160" s="118"/>
      <x:c r="K160" s="9"/>
      <x:c r="L160" s="9"/>
      <x:c r="M160" s="9"/>
      <x:c r="N160" s="118"/>
      <x:c r="O160" s="118"/>
      <x:c r="P160" s="118"/>
      <x:c r="Q160" s="118"/>
      <x:c r="R160" s="118"/>
      <x:c r="S160" s="9"/>
      <x:c r="T160" s="118"/>
      <x:c r="U160" s="9"/>
      <x:c r="V160" s="9"/>
      <x:c r="W160" s="9"/>
      <x:c r="X160" s="118"/>
      <x:c r="Y160" s="118"/>
      <x:c r="Z160" s="118"/>
      <x:c r="AA160" s="118"/>
      <x:c r="AB160" s="118"/>
      <x:c r="AC160" s="9"/>
      <x:c r="AD160" s="118"/>
      <x:c r="AE160" s="2"/>
      <x:c r="AF160" s="2"/>
      <x:c r="AG160" s="2"/>
      <x:c r="AH160" s="2"/>
    </x:row>
    <x:row r="161" ht="14.25" customHeight="1">
      <x:c r="A161" s="2"/>
      <x:c r="B161" s="9"/>
      <x:c r="C161" s="9"/>
      <x:c r="D161" s="118"/>
      <x:c r="E161" s="118"/>
      <x:c r="F161" s="118"/>
      <x:c r="G161" s="118"/>
      <x:c r="H161" s="118"/>
      <x:c r="I161" s="9"/>
      <x:c r="J161" s="118"/>
      <x:c r="K161" s="9"/>
      <x:c r="L161" s="9"/>
      <x:c r="M161" s="9"/>
      <x:c r="N161" s="118"/>
      <x:c r="O161" s="118"/>
      <x:c r="P161" s="118"/>
      <x:c r="Q161" s="118"/>
      <x:c r="R161" s="118"/>
      <x:c r="S161" s="9"/>
      <x:c r="T161" s="118"/>
      <x:c r="U161" s="9"/>
      <x:c r="V161" s="9"/>
      <x:c r="W161" s="9"/>
      <x:c r="X161" s="118"/>
      <x:c r="Y161" s="118"/>
      <x:c r="Z161" s="118"/>
      <x:c r="AA161" s="118"/>
      <x:c r="AB161" s="118"/>
      <x:c r="AC161" s="9"/>
      <x:c r="AD161" s="118"/>
      <x:c r="AE161" s="2"/>
      <x:c r="AF161" s="2"/>
      <x:c r="AG161" s="2"/>
      <x:c r="AH161" s="2"/>
    </x:row>
    <x:row r="162" ht="14.25" customHeight="1">
      <x:c r="A162" s="2"/>
      <x:c r="B162" s="9"/>
      <x:c r="C162" s="9"/>
      <x:c r="D162" s="118"/>
      <x:c r="E162" s="118"/>
      <x:c r="F162" s="118"/>
      <x:c r="G162" s="118"/>
      <x:c r="H162" s="118"/>
      <x:c r="I162" s="9"/>
      <x:c r="J162" s="118"/>
      <x:c r="K162" s="9"/>
      <x:c r="L162" s="9"/>
      <x:c r="M162" s="9"/>
      <x:c r="N162" s="118"/>
      <x:c r="O162" s="118"/>
      <x:c r="P162" s="118"/>
      <x:c r="Q162" s="118"/>
      <x:c r="R162" s="118"/>
      <x:c r="S162" s="9"/>
      <x:c r="T162" s="118"/>
      <x:c r="U162" s="9"/>
      <x:c r="V162" s="9"/>
      <x:c r="W162" s="9"/>
      <x:c r="X162" s="118"/>
      <x:c r="Y162" s="118"/>
      <x:c r="Z162" s="118"/>
      <x:c r="AA162" s="118"/>
      <x:c r="AB162" s="118"/>
      <x:c r="AC162" s="9"/>
      <x:c r="AD162" s="118"/>
      <x:c r="AE162" s="2"/>
      <x:c r="AF162" s="2"/>
      <x:c r="AG162" s="2"/>
      <x:c r="AH162" s="2"/>
    </x:row>
    <x:row r="163" ht="14.25" customHeight="1">
      <x:c r="A163" s="2"/>
      <x:c r="B163" s="9"/>
      <x:c r="C163" s="9"/>
      <x:c r="D163" s="118"/>
      <x:c r="E163" s="118"/>
      <x:c r="F163" s="118"/>
      <x:c r="G163" s="118"/>
      <x:c r="H163" s="118"/>
      <x:c r="I163" s="9"/>
      <x:c r="J163" s="118"/>
      <x:c r="K163" s="9"/>
      <x:c r="L163" s="9"/>
      <x:c r="M163" s="9"/>
      <x:c r="N163" s="118"/>
      <x:c r="O163" s="118"/>
      <x:c r="P163" s="118"/>
      <x:c r="Q163" s="118"/>
      <x:c r="R163" s="118"/>
      <x:c r="S163" s="9"/>
      <x:c r="T163" s="118"/>
      <x:c r="U163" s="9"/>
      <x:c r="V163" s="9"/>
      <x:c r="W163" s="9"/>
      <x:c r="X163" s="118"/>
      <x:c r="Y163" s="118"/>
      <x:c r="Z163" s="118"/>
      <x:c r="AA163" s="118"/>
      <x:c r="AB163" s="118"/>
      <x:c r="AC163" s="9"/>
      <x:c r="AD163" s="118"/>
      <x:c r="AE163" s="2"/>
      <x:c r="AF163" s="2"/>
      <x:c r="AG163" s="2"/>
      <x:c r="AH163" s="2"/>
    </x:row>
    <x:row r="164" ht="14.25" customHeight="1">
      <x:c r="A164" s="2"/>
      <x:c r="B164" s="9"/>
      <x:c r="C164" s="9"/>
      <x:c r="D164" s="118"/>
      <x:c r="E164" s="118"/>
      <x:c r="F164" s="118"/>
      <x:c r="G164" s="118"/>
      <x:c r="H164" s="118"/>
      <x:c r="I164" s="9"/>
      <x:c r="J164" s="118"/>
      <x:c r="K164" s="9"/>
      <x:c r="L164" s="9"/>
      <x:c r="M164" s="9"/>
      <x:c r="N164" s="118"/>
      <x:c r="O164" s="118"/>
      <x:c r="P164" s="118"/>
      <x:c r="Q164" s="118"/>
      <x:c r="R164" s="118"/>
      <x:c r="S164" s="9"/>
      <x:c r="T164" s="118"/>
      <x:c r="U164" s="9"/>
      <x:c r="V164" s="9"/>
      <x:c r="W164" s="9"/>
      <x:c r="X164" s="118"/>
      <x:c r="Y164" s="118"/>
      <x:c r="Z164" s="118"/>
      <x:c r="AA164" s="118"/>
      <x:c r="AB164" s="118"/>
      <x:c r="AC164" s="9"/>
      <x:c r="AD164" s="118"/>
      <x:c r="AE164" s="2"/>
      <x:c r="AF164" s="2"/>
      <x:c r="AG164" s="2"/>
      <x:c r="AH164" s="2"/>
    </x:row>
    <x:row r="165" ht="14.25" customHeight="1">
      <x:c r="A165" s="2"/>
      <x:c r="B165" s="9"/>
      <x:c r="C165" s="9"/>
      <x:c r="D165" s="118"/>
      <x:c r="E165" s="118"/>
      <x:c r="F165" s="118"/>
      <x:c r="G165" s="118"/>
      <x:c r="H165" s="118"/>
      <x:c r="I165" s="9"/>
      <x:c r="J165" s="118"/>
      <x:c r="K165" s="9"/>
      <x:c r="L165" s="9"/>
      <x:c r="M165" s="9"/>
      <x:c r="N165" s="118"/>
      <x:c r="O165" s="118"/>
      <x:c r="P165" s="118"/>
      <x:c r="Q165" s="118"/>
      <x:c r="R165" s="118"/>
      <x:c r="S165" s="9"/>
      <x:c r="T165" s="118"/>
      <x:c r="U165" s="9"/>
      <x:c r="V165" s="9"/>
      <x:c r="W165" s="9"/>
      <x:c r="X165" s="118"/>
      <x:c r="Y165" s="118"/>
      <x:c r="Z165" s="118"/>
      <x:c r="AA165" s="118"/>
      <x:c r="AB165" s="118"/>
      <x:c r="AC165" s="9"/>
      <x:c r="AD165" s="118"/>
      <x:c r="AE165" s="2"/>
      <x:c r="AF165" s="2"/>
      <x:c r="AG165" s="2"/>
      <x:c r="AH165" s="2"/>
    </x:row>
    <x:row r="166" ht="14.25" customHeight="1">
      <x:c r="A166" s="2"/>
      <x:c r="B166" s="9"/>
      <x:c r="C166" s="9"/>
      <x:c r="D166" s="118"/>
      <x:c r="E166" s="118"/>
      <x:c r="F166" s="118"/>
      <x:c r="G166" s="118"/>
      <x:c r="H166" s="118"/>
      <x:c r="I166" s="9"/>
      <x:c r="J166" s="118"/>
      <x:c r="K166" s="9"/>
      <x:c r="L166" s="9"/>
      <x:c r="M166" s="9"/>
      <x:c r="N166" s="118"/>
      <x:c r="O166" s="118"/>
      <x:c r="P166" s="118"/>
      <x:c r="Q166" s="118"/>
      <x:c r="R166" s="118"/>
      <x:c r="S166" s="9"/>
      <x:c r="T166" s="118"/>
      <x:c r="U166" s="9"/>
      <x:c r="V166" s="9"/>
      <x:c r="W166" s="9"/>
      <x:c r="X166" s="118"/>
      <x:c r="Y166" s="118"/>
      <x:c r="Z166" s="118"/>
      <x:c r="AA166" s="118"/>
      <x:c r="AB166" s="118"/>
      <x:c r="AC166" s="9"/>
      <x:c r="AD166" s="118"/>
      <x:c r="AE166" s="2"/>
      <x:c r="AF166" s="2"/>
      <x:c r="AG166" s="2"/>
      <x:c r="AH166" s="2"/>
    </x:row>
    <x:row r="167" ht="14.25" customHeight="1">
      <x:c r="A167" s="2"/>
      <x:c r="B167" s="9"/>
      <x:c r="C167" s="9"/>
      <x:c r="D167" s="118"/>
      <x:c r="E167" s="118"/>
      <x:c r="F167" s="118"/>
      <x:c r="G167" s="118"/>
      <x:c r="H167" s="118"/>
      <x:c r="I167" s="9"/>
      <x:c r="J167" s="118"/>
      <x:c r="K167" s="9"/>
      <x:c r="L167" s="9"/>
      <x:c r="M167" s="9"/>
      <x:c r="N167" s="118"/>
      <x:c r="O167" s="118"/>
      <x:c r="P167" s="118"/>
      <x:c r="Q167" s="118"/>
      <x:c r="R167" s="118"/>
      <x:c r="S167" s="9"/>
      <x:c r="T167" s="118"/>
      <x:c r="U167" s="9"/>
      <x:c r="V167" s="9"/>
      <x:c r="W167" s="9"/>
      <x:c r="X167" s="118"/>
      <x:c r="Y167" s="118"/>
      <x:c r="Z167" s="118"/>
      <x:c r="AA167" s="118"/>
      <x:c r="AB167" s="118"/>
      <x:c r="AC167" s="9"/>
      <x:c r="AD167" s="118"/>
      <x:c r="AE167" s="2"/>
      <x:c r="AF167" s="2"/>
      <x:c r="AG167" s="2"/>
      <x:c r="AH167" s="2"/>
    </x:row>
    <x:row r="168" ht="14.25" customHeight="1">
      <x:c r="A168" s="2"/>
      <x:c r="B168" s="9"/>
      <x:c r="C168" s="9"/>
      <x:c r="D168" s="118"/>
      <x:c r="E168" s="118"/>
      <x:c r="F168" s="118"/>
      <x:c r="G168" s="118"/>
      <x:c r="H168" s="118"/>
      <x:c r="I168" s="9"/>
      <x:c r="J168" s="118"/>
      <x:c r="K168" s="9"/>
      <x:c r="L168" s="9"/>
      <x:c r="M168" s="9"/>
      <x:c r="N168" s="118"/>
      <x:c r="O168" s="118"/>
      <x:c r="P168" s="118"/>
      <x:c r="Q168" s="118"/>
      <x:c r="R168" s="118"/>
      <x:c r="S168" s="9"/>
      <x:c r="T168" s="118"/>
      <x:c r="U168" s="9"/>
      <x:c r="V168" s="9"/>
      <x:c r="W168" s="9"/>
      <x:c r="X168" s="118"/>
      <x:c r="Y168" s="118"/>
      <x:c r="Z168" s="118"/>
      <x:c r="AA168" s="118"/>
      <x:c r="AB168" s="118"/>
      <x:c r="AC168" s="9"/>
      <x:c r="AD168" s="118"/>
      <x:c r="AE168" s="2"/>
      <x:c r="AF168" s="2"/>
      <x:c r="AG168" s="2"/>
      <x:c r="AH168" s="2"/>
    </x:row>
    <x:row r="169" ht="14.25" customHeight="1">
      <x:c r="A169" s="2"/>
      <x:c r="B169" s="9"/>
      <x:c r="C169" s="9"/>
      <x:c r="D169" s="118"/>
      <x:c r="E169" s="118"/>
      <x:c r="F169" s="118"/>
      <x:c r="G169" s="118"/>
      <x:c r="H169" s="118"/>
      <x:c r="I169" s="9"/>
      <x:c r="J169" s="118"/>
      <x:c r="K169" s="9"/>
      <x:c r="L169" s="9"/>
      <x:c r="M169" s="9"/>
      <x:c r="N169" s="118"/>
      <x:c r="O169" s="118"/>
      <x:c r="P169" s="118"/>
      <x:c r="Q169" s="118"/>
      <x:c r="R169" s="118"/>
      <x:c r="S169" s="9"/>
      <x:c r="T169" s="118"/>
      <x:c r="U169" s="9"/>
      <x:c r="V169" s="9"/>
      <x:c r="W169" s="9"/>
      <x:c r="X169" s="118"/>
      <x:c r="Y169" s="118"/>
      <x:c r="Z169" s="118"/>
      <x:c r="AA169" s="118"/>
      <x:c r="AB169" s="118"/>
      <x:c r="AC169" s="9"/>
      <x:c r="AD169" s="118"/>
      <x:c r="AE169" s="2"/>
      <x:c r="AF169" s="2"/>
      <x:c r="AG169" s="2"/>
      <x:c r="AH169" s="2"/>
    </x:row>
    <x:row r="170" ht="14.25" customHeight="1">
      <x:c r="A170" s="2"/>
      <x:c r="B170" s="9"/>
      <x:c r="C170" s="9"/>
      <x:c r="D170" s="118"/>
      <x:c r="E170" s="118"/>
      <x:c r="F170" s="118"/>
      <x:c r="G170" s="118"/>
      <x:c r="H170" s="118"/>
      <x:c r="I170" s="9"/>
      <x:c r="J170" s="118"/>
      <x:c r="K170" s="9"/>
      <x:c r="L170" s="9"/>
      <x:c r="M170" s="9"/>
      <x:c r="N170" s="118"/>
      <x:c r="O170" s="118"/>
      <x:c r="P170" s="118"/>
      <x:c r="Q170" s="118"/>
      <x:c r="R170" s="118"/>
      <x:c r="S170" s="9"/>
      <x:c r="T170" s="118"/>
      <x:c r="U170" s="9"/>
      <x:c r="V170" s="9"/>
      <x:c r="W170" s="9"/>
      <x:c r="X170" s="118"/>
      <x:c r="Y170" s="118"/>
      <x:c r="Z170" s="118"/>
      <x:c r="AA170" s="118"/>
      <x:c r="AB170" s="118"/>
      <x:c r="AC170" s="9"/>
      <x:c r="AD170" s="118"/>
      <x:c r="AE170" s="2"/>
      <x:c r="AF170" s="2"/>
      <x:c r="AG170" s="2"/>
      <x:c r="AH170" s="2"/>
    </x:row>
    <x:row r="171" ht="14.25" customHeight="1">
      <x:c r="A171" s="2"/>
      <x:c r="B171" s="9"/>
      <x:c r="C171" s="9"/>
      <x:c r="D171" s="118"/>
      <x:c r="E171" s="118"/>
      <x:c r="F171" s="118"/>
      <x:c r="G171" s="118"/>
      <x:c r="H171" s="118"/>
      <x:c r="I171" s="9"/>
      <x:c r="J171" s="118"/>
      <x:c r="K171" s="9"/>
      <x:c r="L171" s="9"/>
      <x:c r="M171" s="9"/>
      <x:c r="N171" s="118"/>
      <x:c r="O171" s="118"/>
      <x:c r="P171" s="118"/>
      <x:c r="Q171" s="118"/>
      <x:c r="R171" s="118"/>
      <x:c r="S171" s="9"/>
      <x:c r="T171" s="118"/>
      <x:c r="U171" s="9"/>
      <x:c r="V171" s="9"/>
      <x:c r="W171" s="9"/>
      <x:c r="X171" s="118"/>
      <x:c r="Y171" s="118"/>
      <x:c r="Z171" s="118"/>
      <x:c r="AA171" s="118"/>
      <x:c r="AB171" s="118"/>
      <x:c r="AC171" s="9"/>
      <x:c r="AD171" s="118"/>
      <x:c r="AE171" s="2"/>
      <x:c r="AF171" s="2"/>
      <x:c r="AG171" s="2"/>
      <x:c r="AH171" s="2"/>
    </x:row>
    <x:row r="172" ht="14.25" customHeight="1">
      <x:c r="A172" s="2"/>
      <x:c r="B172" s="9"/>
      <x:c r="C172" s="9"/>
      <x:c r="D172" s="118"/>
      <x:c r="E172" s="118"/>
      <x:c r="F172" s="118"/>
      <x:c r="G172" s="118"/>
      <x:c r="H172" s="118"/>
      <x:c r="I172" s="9"/>
      <x:c r="J172" s="118"/>
      <x:c r="K172" s="9"/>
      <x:c r="L172" s="9"/>
      <x:c r="M172" s="9"/>
      <x:c r="N172" s="118"/>
      <x:c r="O172" s="118"/>
      <x:c r="P172" s="118"/>
      <x:c r="Q172" s="118"/>
      <x:c r="R172" s="118"/>
      <x:c r="S172" s="9"/>
      <x:c r="T172" s="118"/>
      <x:c r="U172" s="9"/>
      <x:c r="V172" s="9"/>
      <x:c r="W172" s="9"/>
      <x:c r="X172" s="118"/>
      <x:c r="Y172" s="118"/>
      <x:c r="Z172" s="118"/>
      <x:c r="AA172" s="118"/>
      <x:c r="AB172" s="118"/>
      <x:c r="AC172" s="9"/>
      <x:c r="AD172" s="118"/>
      <x:c r="AE172" s="2"/>
      <x:c r="AF172" s="2"/>
      <x:c r="AG172" s="2"/>
      <x:c r="AH172" s="2"/>
    </x:row>
    <x:row r="173" ht="14.25" customHeight="1">
      <x:c r="A173" s="2"/>
      <x:c r="B173" s="9"/>
      <x:c r="C173" s="9"/>
      <x:c r="D173" s="118"/>
      <x:c r="E173" s="118"/>
      <x:c r="F173" s="118"/>
      <x:c r="G173" s="118"/>
      <x:c r="H173" s="118"/>
      <x:c r="I173" s="9"/>
      <x:c r="J173" s="118"/>
      <x:c r="K173" s="9"/>
      <x:c r="L173" s="9"/>
      <x:c r="M173" s="9"/>
      <x:c r="N173" s="118"/>
      <x:c r="O173" s="118"/>
      <x:c r="P173" s="118"/>
      <x:c r="Q173" s="118"/>
      <x:c r="R173" s="118"/>
      <x:c r="S173" s="9"/>
      <x:c r="T173" s="118"/>
      <x:c r="U173" s="9"/>
      <x:c r="V173" s="9"/>
      <x:c r="W173" s="9"/>
      <x:c r="X173" s="118"/>
      <x:c r="Y173" s="118"/>
      <x:c r="Z173" s="118"/>
      <x:c r="AA173" s="118"/>
      <x:c r="AB173" s="118"/>
      <x:c r="AC173" s="9"/>
      <x:c r="AD173" s="118"/>
      <x:c r="AE173" s="2"/>
      <x:c r="AF173" s="2"/>
      <x:c r="AG173" s="2"/>
      <x:c r="AH173" s="2"/>
    </x:row>
    <x:row r="174" ht="14.25" customHeight="1">
      <x:c r="A174" s="2"/>
      <x:c r="B174" s="9"/>
      <x:c r="C174" s="9"/>
      <x:c r="D174" s="118"/>
      <x:c r="E174" s="118"/>
      <x:c r="F174" s="118"/>
      <x:c r="G174" s="118"/>
      <x:c r="H174" s="118"/>
      <x:c r="I174" s="9"/>
      <x:c r="J174" s="118"/>
      <x:c r="K174" s="9"/>
      <x:c r="L174" s="9"/>
      <x:c r="M174" s="9"/>
      <x:c r="N174" s="118"/>
      <x:c r="O174" s="118"/>
      <x:c r="P174" s="118"/>
      <x:c r="Q174" s="118"/>
      <x:c r="R174" s="118"/>
      <x:c r="S174" s="9"/>
      <x:c r="T174" s="118"/>
      <x:c r="U174" s="9"/>
      <x:c r="V174" s="9"/>
      <x:c r="W174" s="9"/>
      <x:c r="X174" s="118"/>
      <x:c r="Y174" s="118"/>
      <x:c r="Z174" s="118"/>
      <x:c r="AA174" s="118"/>
      <x:c r="AB174" s="118"/>
      <x:c r="AC174" s="9"/>
      <x:c r="AD174" s="118"/>
      <x:c r="AE174" s="2"/>
      <x:c r="AF174" s="2"/>
      <x:c r="AG174" s="2"/>
      <x:c r="AH174" s="2"/>
    </x:row>
    <x:row r="175" ht="14.25" customHeight="1">
      <x:c r="A175" s="2"/>
      <x:c r="B175" s="9"/>
      <x:c r="C175" s="9"/>
      <x:c r="D175" s="118"/>
      <x:c r="E175" s="118"/>
      <x:c r="F175" s="118"/>
      <x:c r="G175" s="118"/>
      <x:c r="H175" s="118"/>
      <x:c r="I175" s="9"/>
      <x:c r="J175" s="118"/>
      <x:c r="K175" s="9"/>
      <x:c r="L175" s="9"/>
      <x:c r="M175" s="9"/>
      <x:c r="N175" s="118"/>
      <x:c r="O175" s="118"/>
      <x:c r="P175" s="118"/>
      <x:c r="Q175" s="118"/>
      <x:c r="R175" s="118"/>
      <x:c r="S175" s="9"/>
      <x:c r="T175" s="118"/>
      <x:c r="U175" s="9"/>
      <x:c r="V175" s="9"/>
      <x:c r="W175" s="9"/>
      <x:c r="X175" s="118"/>
      <x:c r="Y175" s="118"/>
      <x:c r="Z175" s="118"/>
      <x:c r="AA175" s="118"/>
      <x:c r="AB175" s="118"/>
      <x:c r="AC175" s="9"/>
      <x:c r="AD175" s="118"/>
      <x:c r="AE175" s="2"/>
      <x:c r="AF175" s="2"/>
      <x:c r="AG175" s="2"/>
      <x:c r="AH175" s="2"/>
    </x:row>
    <x:row r="176" ht="14.25" customHeight="1">
      <x:c r="A176" s="2"/>
      <x:c r="B176" s="9"/>
      <x:c r="C176" s="9"/>
      <x:c r="D176" s="118"/>
      <x:c r="E176" s="118"/>
      <x:c r="F176" s="118"/>
      <x:c r="G176" s="118"/>
      <x:c r="H176" s="118"/>
      <x:c r="I176" s="9"/>
      <x:c r="J176" s="118"/>
      <x:c r="K176" s="9"/>
      <x:c r="L176" s="9"/>
      <x:c r="M176" s="9"/>
      <x:c r="N176" s="118"/>
      <x:c r="O176" s="118"/>
      <x:c r="P176" s="118"/>
      <x:c r="Q176" s="118"/>
      <x:c r="R176" s="118"/>
      <x:c r="S176" s="9"/>
      <x:c r="T176" s="118"/>
      <x:c r="U176" s="9"/>
      <x:c r="V176" s="9"/>
      <x:c r="W176" s="9"/>
      <x:c r="X176" s="118"/>
      <x:c r="Y176" s="118"/>
      <x:c r="Z176" s="118"/>
      <x:c r="AA176" s="118"/>
      <x:c r="AB176" s="118"/>
      <x:c r="AC176" s="9"/>
      <x:c r="AD176" s="118"/>
      <x:c r="AE176" s="2"/>
      <x:c r="AF176" s="2"/>
      <x:c r="AG176" s="2"/>
      <x:c r="AH176" s="2"/>
    </x:row>
    <x:row r="177" ht="14.25" customHeight="1">
      <x:c r="A177" s="2"/>
      <x:c r="B177" s="9"/>
      <x:c r="C177" s="9"/>
      <x:c r="D177" s="118"/>
      <x:c r="E177" s="118"/>
      <x:c r="F177" s="118"/>
      <x:c r="G177" s="118"/>
      <x:c r="H177" s="118"/>
      <x:c r="I177" s="9"/>
      <x:c r="J177" s="118"/>
      <x:c r="K177" s="9"/>
      <x:c r="L177" s="9"/>
      <x:c r="M177" s="9"/>
      <x:c r="N177" s="118"/>
      <x:c r="O177" s="118"/>
      <x:c r="P177" s="118"/>
      <x:c r="Q177" s="118"/>
      <x:c r="R177" s="118"/>
      <x:c r="S177" s="9"/>
      <x:c r="T177" s="118"/>
      <x:c r="U177" s="9"/>
      <x:c r="V177" s="9"/>
      <x:c r="W177" s="9"/>
      <x:c r="X177" s="118"/>
      <x:c r="Y177" s="118"/>
      <x:c r="Z177" s="118"/>
      <x:c r="AA177" s="118"/>
      <x:c r="AB177" s="118"/>
      <x:c r="AC177" s="9"/>
      <x:c r="AD177" s="118"/>
      <x:c r="AE177" s="2"/>
      <x:c r="AF177" s="2"/>
      <x:c r="AG177" s="2"/>
      <x:c r="AH177" s="2"/>
    </x:row>
    <x:row r="178" ht="14.25" customHeight="1">
      <x:c r="A178" s="2"/>
      <x:c r="B178" s="9"/>
      <x:c r="C178" s="9"/>
      <x:c r="D178" s="118"/>
      <x:c r="E178" s="118"/>
      <x:c r="F178" s="118"/>
      <x:c r="G178" s="118"/>
      <x:c r="H178" s="118"/>
      <x:c r="I178" s="9"/>
      <x:c r="J178" s="118"/>
      <x:c r="K178" s="9"/>
      <x:c r="L178" s="9"/>
      <x:c r="M178" s="9"/>
      <x:c r="N178" s="118"/>
      <x:c r="O178" s="118"/>
      <x:c r="P178" s="118"/>
      <x:c r="Q178" s="118"/>
      <x:c r="R178" s="118"/>
      <x:c r="S178" s="9"/>
      <x:c r="T178" s="118"/>
      <x:c r="U178" s="9"/>
      <x:c r="V178" s="9"/>
      <x:c r="W178" s="9"/>
      <x:c r="X178" s="118"/>
      <x:c r="Y178" s="118"/>
      <x:c r="Z178" s="118"/>
      <x:c r="AA178" s="118"/>
      <x:c r="AB178" s="118"/>
      <x:c r="AC178" s="9"/>
      <x:c r="AD178" s="118"/>
      <x:c r="AE178" s="2"/>
      <x:c r="AF178" s="2"/>
      <x:c r="AG178" s="2"/>
      <x:c r="AH178" s="2"/>
    </x:row>
    <x:row r="179" ht="14.25" customHeight="1">
      <x:c r="A179" s="2"/>
      <x:c r="B179" s="9"/>
      <x:c r="C179" s="9"/>
      <x:c r="D179" s="118"/>
      <x:c r="E179" s="118"/>
      <x:c r="F179" s="118"/>
      <x:c r="G179" s="118"/>
      <x:c r="H179" s="118"/>
      <x:c r="I179" s="9"/>
      <x:c r="J179" s="118"/>
      <x:c r="K179" s="9"/>
      <x:c r="L179" s="9"/>
      <x:c r="M179" s="9"/>
      <x:c r="N179" s="118"/>
      <x:c r="O179" s="118"/>
      <x:c r="P179" s="118"/>
      <x:c r="Q179" s="118"/>
      <x:c r="R179" s="118"/>
      <x:c r="S179" s="9"/>
      <x:c r="T179" s="118"/>
      <x:c r="U179" s="9"/>
      <x:c r="V179" s="9"/>
      <x:c r="W179" s="9"/>
      <x:c r="X179" s="118"/>
      <x:c r="Y179" s="118"/>
      <x:c r="Z179" s="118"/>
      <x:c r="AA179" s="118"/>
      <x:c r="AB179" s="118"/>
      <x:c r="AC179" s="9"/>
      <x:c r="AD179" s="118"/>
      <x:c r="AE179" s="2"/>
      <x:c r="AF179" s="2"/>
      <x:c r="AG179" s="2"/>
      <x:c r="AH179" s="2"/>
    </x:row>
    <x:row r="180" ht="14.25" customHeight="1">
      <x:c r="A180" s="2"/>
      <x:c r="B180" s="9"/>
      <x:c r="C180" s="9"/>
      <x:c r="D180" s="118"/>
      <x:c r="E180" s="118"/>
      <x:c r="F180" s="118"/>
      <x:c r="G180" s="118"/>
      <x:c r="H180" s="118"/>
      <x:c r="I180" s="9"/>
      <x:c r="J180" s="118"/>
      <x:c r="K180" s="9"/>
      <x:c r="L180" s="9"/>
      <x:c r="M180" s="9"/>
      <x:c r="N180" s="118"/>
      <x:c r="O180" s="118"/>
      <x:c r="P180" s="118"/>
      <x:c r="Q180" s="118"/>
      <x:c r="R180" s="118"/>
      <x:c r="S180" s="9"/>
      <x:c r="T180" s="118"/>
      <x:c r="U180" s="9"/>
      <x:c r="V180" s="9"/>
      <x:c r="W180" s="9"/>
      <x:c r="X180" s="118"/>
      <x:c r="Y180" s="118"/>
      <x:c r="Z180" s="118"/>
      <x:c r="AA180" s="118"/>
      <x:c r="AB180" s="118"/>
      <x:c r="AC180" s="9"/>
      <x:c r="AD180" s="118"/>
      <x:c r="AE180" s="2"/>
      <x:c r="AF180" s="2"/>
      <x:c r="AG180" s="2"/>
      <x:c r="AH180" s="2"/>
    </x:row>
    <x:row r="181" ht="14.25" customHeight="1">
      <x:c r="A181" s="2"/>
      <x:c r="B181" s="9"/>
      <x:c r="C181" s="9"/>
      <x:c r="D181" s="118"/>
      <x:c r="E181" s="118"/>
      <x:c r="F181" s="118"/>
      <x:c r="G181" s="118"/>
      <x:c r="H181" s="118"/>
      <x:c r="I181" s="9"/>
      <x:c r="J181" s="118"/>
      <x:c r="K181" s="9"/>
      <x:c r="L181" s="9"/>
      <x:c r="M181" s="9"/>
      <x:c r="N181" s="118"/>
      <x:c r="O181" s="118"/>
      <x:c r="P181" s="118"/>
      <x:c r="Q181" s="118"/>
      <x:c r="R181" s="118"/>
      <x:c r="S181" s="9"/>
      <x:c r="T181" s="118"/>
      <x:c r="U181" s="9"/>
      <x:c r="V181" s="9"/>
      <x:c r="W181" s="9"/>
      <x:c r="X181" s="118"/>
      <x:c r="Y181" s="118"/>
      <x:c r="Z181" s="118"/>
      <x:c r="AA181" s="118"/>
      <x:c r="AB181" s="118"/>
      <x:c r="AC181" s="9"/>
      <x:c r="AD181" s="118"/>
      <x:c r="AE181" s="2"/>
      <x:c r="AF181" s="2"/>
      <x:c r="AG181" s="2"/>
      <x:c r="AH181" s="2"/>
    </x:row>
    <x:row r="182" ht="14.25" customHeight="1">
      <x:c r="A182" s="2"/>
      <x:c r="B182" s="9"/>
      <x:c r="C182" s="9"/>
      <x:c r="D182" s="118"/>
      <x:c r="E182" s="118"/>
      <x:c r="F182" s="118"/>
      <x:c r="G182" s="118"/>
      <x:c r="H182" s="118"/>
      <x:c r="I182" s="9"/>
      <x:c r="J182" s="118"/>
      <x:c r="K182" s="9"/>
      <x:c r="L182" s="9"/>
      <x:c r="M182" s="9"/>
      <x:c r="N182" s="118"/>
      <x:c r="O182" s="118"/>
      <x:c r="P182" s="118"/>
      <x:c r="Q182" s="118"/>
      <x:c r="R182" s="118"/>
      <x:c r="S182" s="9"/>
      <x:c r="T182" s="118"/>
      <x:c r="U182" s="9"/>
      <x:c r="V182" s="9"/>
      <x:c r="W182" s="9"/>
      <x:c r="X182" s="118"/>
      <x:c r="Y182" s="118"/>
      <x:c r="Z182" s="118"/>
      <x:c r="AA182" s="118"/>
      <x:c r="AB182" s="118"/>
      <x:c r="AC182" s="9"/>
      <x:c r="AD182" s="118"/>
      <x:c r="AE182" s="2"/>
      <x:c r="AF182" s="2"/>
      <x:c r="AG182" s="2"/>
      <x:c r="AH182" s="2"/>
    </x:row>
    <x:row r="183" ht="14.25" customHeight="1">
      <x:c r="A183" s="2"/>
      <x:c r="B183" s="9"/>
      <x:c r="C183" s="9"/>
      <x:c r="D183" s="118"/>
      <x:c r="E183" s="118"/>
      <x:c r="F183" s="118"/>
      <x:c r="G183" s="118"/>
      <x:c r="H183" s="118"/>
      <x:c r="I183" s="9"/>
      <x:c r="J183" s="118"/>
      <x:c r="K183" s="9"/>
      <x:c r="L183" s="9"/>
      <x:c r="M183" s="9"/>
      <x:c r="N183" s="118"/>
      <x:c r="O183" s="118"/>
      <x:c r="P183" s="118"/>
      <x:c r="Q183" s="118"/>
      <x:c r="R183" s="118"/>
      <x:c r="S183" s="9"/>
      <x:c r="T183" s="118"/>
      <x:c r="U183" s="9"/>
      <x:c r="V183" s="9"/>
      <x:c r="W183" s="9"/>
      <x:c r="X183" s="118"/>
      <x:c r="Y183" s="118"/>
      <x:c r="Z183" s="118"/>
      <x:c r="AA183" s="118"/>
      <x:c r="AB183" s="118"/>
      <x:c r="AC183" s="9"/>
      <x:c r="AD183" s="118"/>
      <x:c r="AE183" s="2"/>
      <x:c r="AF183" s="2"/>
      <x:c r="AG183" s="2"/>
      <x:c r="AH183" s="2"/>
    </x:row>
    <x:row r="184" ht="14.25" customHeight="1">
      <x:c r="A184" s="2"/>
      <x:c r="B184" s="9"/>
      <x:c r="C184" s="9"/>
      <x:c r="D184" s="118"/>
      <x:c r="E184" s="118"/>
      <x:c r="F184" s="118"/>
      <x:c r="G184" s="118"/>
      <x:c r="H184" s="118"/>
      <x:c r="I184" s="9"/>
      <x:c r="J184" s="118"/>
      <x:c r="K184" s="9"/>
      <x:c r="L184" s="9"/>
      <x:c r="M184" s="9"/>
      <x:c r="N184" s="118"/>
      <x:c r="O184" s="118"/>
      <x:c r="P184" s="118"/>
      <x:c r="Q184" s="118"/>
      <x:c r="R184" s="118"/>
      <x:c r="S184" s="9"/>
      <x:c r="T184" s="118"/>
      <x:c r="U184" s="9"/>
      <x:c r="V184" s="9"/>
      <x:c r="W184" s="9"/>
      <x:c r="X184" s="118"/>
      <x:c r="Y184" s="118"/>
      <x:c r="Z184" s="118"/>
      <x:c r="AA184" s="118"/>
      <x:c r="AB184" s="118"/>
      <x:c r="AC184" s="9"/>
      <x:c r="AD184" s="118"/>
      <x:c r="AE184" s="2"/>
      <x:c r="AF184" s="2"/>
      <x:c r="AG184" s="2"/>
      <x:c r="AH184" s="2"/>
    </x:row>
    <x:row r="185" ht="14.25" customHeight="1">
      <x:c r="A185" s="2"/>
      <x:c r="B185" s="9"/>
      <x:c r="C185" s="9"/>
      <x:c r="D185" s="118"/>
      <x:c r="E185" s="118"/>
      <x:c r="F185" s="118"/>
      <x:c r="G185" s="118"/>
      <x:c r="H185" s="118"/>
      <x:c r="I185" s="9"/>
      <x:c r="J185" s="118"/>
      <x:c r="K185" s="9"/>
      <x:c r="L185" s="9"/>
      <x:c r="M185" s="9"/>
      <x:c r="N185" s="118"/>
      <x:c r="O185" s="118"/>
      <x:c r="P185" s="118"/>
      <x:c r="Q185" s="118"/>
      <x:c r="R185" s="118"/>
      <x:c r="S185" s="9"/>
      <x:c r="T185" s="118"/>
      <x:c r="U185" s="9"/>
      <x:c r="V185" s="9"/>
      <x:c r="W185" s="9"/>
      <x:c r="X185" s="118"/>
      <x:c r="Y185" s="118"/>
      <x:c r="Z185" s="118"/>
      <x:c r="AA185" s="118"/>
      <x:c r="AB185" s="118"/>
      <x:c r="AC185" s="9"/>
      <x:c r="AD185" s="118"/>
      <x:c r="AE185" s="2"/>
      <x:c r="AF185" s="2"/>
      <x:c r="AG185" s="2"/>
      <x:c r="AH185" s="2"/>
    </x:row>
    <x:row r="186" ht="14.25" customHeight="1">
      <x:c r="A186" s="2"/>
      <x:c r="B186" s="9"/>
      <x:c r="C186" s="9"/>
      <x:c r="D186" s="118"/>
      <x:c r="E186" s="118"/>
      <x:c r="F186" s="118"/>
      <x:c r="G186" s="118"/>
      <x:c r="H186" s="118"/>
      <x:c r="I186" s="9"/>
      <x:c r="J186" s="118"/>
      <x:c r="K186" s="9"/>
      <x:c r="L186" s="9"/>
      <x:c r="M186" s="9"/>
      <x:c r="N186" s="118"/>
      <x:c r="O186" s="118"/>
      <x:c r="P186" s="118"/>
      <x:c r="Q186" s="118"/>
      <x:c r="R186" s="118"/>
      <x:c r="S186" s="9"/>
      <x:c r="T186" s="118"/>
      <x:c r="U186" s="9"/>
      <x:c r="V186" s="9"/>
      <x:c r="W186" s="9"/>
      <x:c r="X186" s="118"/>
      <x:c r="Y186" s="118"/>
      <x:c r="Z186" s="118"/>
      <x:c r="AA186" s="118"/>
      <x:c r="AB186" s="118"/>
      <x:c r="AC186" s="9"/>
      <x:c r="AD186" s="118"/>
      <x:c r="AE186" s="2"/>
      <x:c r="AF186" s="2"/>
      <x:c r="AG186" s="2"/>
      <x:c r="AH186" s="2"/>
    </x:row>
    <x:row r="187" ht="14.25" customHeight="1">
      <x:c r="A187" s="2"/>
      <x:c r="B187" s="9"/>
      <x:c r="C187" s="9"/>
      <x:c r="D187" s="118"/>
      <x:c r="E187" s="118"/>
      <x:c r="F187" s="118"/>
      <x:c r="G187" s="118"/>
      <x:c r="H187" s="118"/>
      <x:c r="I187" s="9"/>
      <x:c r="J187" s="118"/>
      <x:c r="K187" s="9"/>
      <x:c r="L187" s="9"/>
      <x:c r="M187" s="9"/>
      <x:c r="N187" s="118"/>
      <x:c r="O187" s="118"/>
      <x:c r="P187" s="118"/>
      <x:c r="Q187" s="118"/>
      <x:c r="R187" s="118"/>
      <x:c r="S187" s="9"/>
      <x:c r="T187" s="118"/>
      <x:c r="U187" s="9"/>
      <x:c r="V187" s="9"/>
      <x:c r="W187" s="9"/>
      <x:c r="X187" s="118"/>
      <x:c r="Y187" s="118"/>
      <x:c r="Z187" s="118"/>
      <x:c r="AA187" s="118"/>
      <x:c r="AB187" s="118"/>
      <x:c r="AC187" s="9"/>
      <x:c r="AD187" s="118"/>
      <x:c r="AE187" s="2"/>
      <x:c r="AF187" s="2"/>
      <x:c r="AG187" s="2"/>
      <x:c r="AH187" s="2"/>
    </x:row>
    <x:row r="188" ht="14.25" customHeight="1">
      <x:c r="A188" s="2"/>
      <x:c r="B188" s="9"/>
      <x:c r="C188" s="9"/>
      <x:c r="D188" s="118"/>
      <x:c r="E188" s="118"/>
      <x:c r="F188" s="118"/>
      <x:c r="G188" s="118"/>
      <x:c r="H188" s="118"/>
      <x:c r="I188" s="9"/>
      <x:c r="J188" s="118"/>
      <x:c r="K188" s="9"/>
      <x:c r="L188" s="9"/>
      <x:c r="M188" s="9"/>
      <x:c r="N188" s="118"/>
      <x:c r="O188" s="118"/>
      <x:c r="P188" s="118"/>
      <x:c r="Q188" s="118"/>
      <x:c r="R188" s="118"/>
      <x:c r="S188" s="9"/>
      <x:c r="T188" s="118"/>
      <x:c r="U188" s="9"/>
      <x:c r="V188" s="9"/>
      <x:c r="W188" s="9"/>
      <x:c r="X188" s="118"/>
      <x:c r="Y188" s="118"/>
      <x:c r="Z188" s="118"/>
      <x:c r="AA188" s="118"/>
      <x:c r="AB188" s="118"/>
      <x:c r="AC188" s="9"/>
      <x:c r="AD188" s="118"/>
      <x:c r="AE188" s="2"/>
      <x:c r="AF188" s="2"/>
      <x:c r="AG188" s="2"/>
      <x:c r="AH188" s="2"/>
    </x:row>
    <x:row r="189" ht="14.25" customHeight="1">
      <x:c r="A189" s="2"/>
      <x:c r="B189" s="9"/>
      <x:c r="C189" s="9"/>
      <x:c r="D189" s="118"/>
      <x:c r="E189" s="118"/>
      <x:c r="F189" s="118"/>
      <x:c r="G189" s="118"/>
      <x:c r="H189" s="118"/>
      <x:c r="I189" s="9"/>
      <x:c r="J189" s="118"/>
      <x:c r="K189" s="9"/>
      <x:c r="L189" s="9"/>
      <x:c r="M189" s="9"/>
      <x:c r="N189" s="118"/>
      <x:c r="O189" s="118"/>
      <x:c r="P189" s="118"/>
      <x:c r="Q189" s="118"/>
      <x:c r="R189" s="118"/>
      <x:c r="S189" s="9"/>
      <x:c r="T189" s="118"/>
      <x:c r="U189" s="9"/>
      <x:c r="V189" s="9"/>
      <x:c r="W189" s="9"/>
      <x:c r="X189" s="118"/>
      <x:c r="Y189" s="118"/>
      <x:c r="Z189" s="118"/>
      <x:c r="AA189" s="118"/>
      <x:c r="AB189" s="118"/>
      <x:c r="AC189" s="9"/>
      <x:c r="AD189" s="118"/>
      <x:c r="AE189" s="2"/>
      <x:c r="AF189" s="2"/>
      <x:c r="AG189" s="2"/>
      <x:c r="AH189" s="2"/>
    </x:row>
    <x:row r="190" ht="14.25" customHeight="1">
      <x:c r="A190" s="2"/>
      <x:c r="B190" s="9"/>
      <x:c r="C190" s="9"/>
      <x:c r="D190" s="118"/>
      <x:c r="E190" s="118"/>
      <x:c r="F190" s="118"/>
      <x:c r="G190" s="118"/>
      <x:c r="H190" s="118"/>
      <x:c r="I190" s="9"/>
      <x:c r="J190" s="118"/>
      <x:c r="K190" s="9"/>
      <x:c r="L190" s="9"/>
      <x:c r="M190" s="9"/>
      <x:c r="N190" s="118"/>
      <x:c r="O190" s="118"/>
      <x:c r="P190" s="118"/>
      <x:c r="Q190" s="118"/>
      <x:c r="R190" s="118"/>
      <x:c r="S190" s="9"/>
      <x:c r="T190" s="118"/>
      <x:c r="U190" s="9"/>
      <x:c r="V190" s="9"/>
      <x:c r="W190" s="9"/>
      <x:c r="X190" s="118"/>
      <x:c r="Y190" s="118"/>
      <x:c r="Z190" s="118"/>
      <x:c r="AA190" s="118"/>
      <x:c r="AB190" s="118"/>
      <x:c r="AC190" s="9"/>
      <x:c r="AD190" s="118"/>
      <x:c r="AE190" s="2"/>
      <x:c r="AF190" s="2"/>
      <x:c r="AG190" s="2"/>
      <x:c r="AH190" s="2"/>
    </x:row>
    <x:row r="191" ht="14.25" customHeight="1">
      <x:c r="A191" s="2"/>
      <x:c r="B191" s="9"/>
      <x:c r="C191" s="9"/>
      <x:c r="D191" s="118"/>
      <x:c r="E191" s="118"/>
      <x:c r="F191" s="118"/>
      <x:c r="G191" s="118"/>
      <x:c r="H191" s="118"/>
      <x:c r="I191" s="9"/>
      <x:c r="J191" s="118"/>
      <x:c r="K191" s="9"/>
      <x:c r="L191" s="9"/>
      <x:c r="M191" s="9"/>
      <x:c r="N191" s="118"/>
      <x:c r="O191" s="118"/>
      <x:c r="P191" s="118"/>
      <x:c r="Q191" s="118"/>
      <x:c r="R191" s="118"/>
      <x:c r="S191" s="9"/>
      <x:c r="T191" s="118"/>
      <x:c r="U191" s="9"/>
      <x:c r="V191" s="9"/>
      <x:c r="W191" s="9"/>
      <x:c r="X191" s="118"/>
      <x:c r="Y191" s="118"/>
      <x:c r="Z191" s="118"/>
      <x:c r="AA191" s="118"/>
      <x:c r="AB191" s="118"/>
      <x:c r="AC191" s="9"/>
      <x:c r="AD191" s="118"/>
      <x:c r="AE191" s="2"/>
      <x:c r="AF191" s="2"/>
      <x:c r="AG191" s="2"/>
      <x:c r="AH191" s="2"/>
    </x:row>
    <x:row r="192" ht="14.25" customHeight="1">
      <x:c r="A192" s="2"/>
      <x:c r="B192" s="9"/>
      <x:c r="C192" s="9"/>
      <x:c r="D192" s="118"/>
      <x:c r="E192" s="118"/>
      <x:c r="F192" s="118"/>
      <x:c r="G192" s="118"/>
      <x:c r="H192" s="118"/>
      <x:c r="I192" s="9"/>
      <x:c r="J192" s="118"/>
      <x:c r="K192" s="9"/>
      <x:c r="L192" s="9"/>
      <x:c r="M192" s="9"/>
      <x:c r="N192" s="118"/>
      <x:c r="O192" s="118"/>
      <x:c r="P192" s="118"/>
      <x:c r="Q192" s="118"/>
      <x:c r="R192" s="118"/>
      <x:c r="S192" s="9"/>
      <x:c r="T192" s="118"/>
      <x:c r="U192" s="9"/>
      <x:c r="V192" s="9"/>
      <x:c r="W192" s="9"/>
      <x:c r="X192" s="118"/>
      <x:c r="Y192" s="118"/>
      <x:c r="Z192" s="118"/>
      <x:c r="AA192" s="118"/>
      <x:c r="AB192" s="118"/>
      <x:c r="AC192" s="9"/>
      <x:c r="AD192" s="118"/>
      <x:c r="AE192" s="2"/>
      <x:c r="AF192" s="2"/>
      <x:c r="AG192" s="2"/>
      <x:c r="AH192" s="2"/>
    </x:row>
    <x:row r="193" ht="14.25" customHeight="1">
      <x:c r="A193" s="2"/>
      <x:c r="B193" s="9"/>
      <x:c r="C193" s="9"/>
      <x:c r="D193" s="118"/>
      <x:c r="E193" s="118"/>
      <x:c r="F193" s="118"/>
      <x:c r="G193" s="118"/>
      <x:c r="H193" s="118"/>
      <x:c r="I193" s="9"/>
      <x:c r="J193" s="118"/>
      <x:c r="K193" s="9"/>
      <x:c r="L193" s="9"/>
      <x:c r="M193" s="9"/>
      <x:c r="N193" s="118"/>
      <x:c r="O193" s="118"/>
      <x:c r="P193" s="118"/>
      <x:c r="Q193" s="118"/>
      <x:c r="R193" s="118"/>
      <x:c r="S193" s="9"/>
      <x:c r="T193" s="118"/>
      <x:c r="U193" s="9"/>
      <x:c r="V193" s="9"/>
      <x:c r="W193" s="9"/>
      <x:c r="X193" s="118"/>
      <x:c r="Y193" s="118"/>
      <x:c r="Z193" s="118"/>
      <x:c r="AA193" s="118"/>
      <x:c r="AB193" s="118"/>
      <x:c r="AC193" s="9"/>
      <x:c r="AD193" s="118"/>
      <x:c r="AE193" s="2"/>
      <x:c r="AF193" s="2"/>
      <x:c r="AG193" s="2"/>
      <x:c r="AH193" s="2"/>
    </x:row>
    <x:row r="194" ht="14.25" customHeight="1">
      <x:c r="A194" s="2"/>
      <x:c r="B194" s="9"/>
      <x:c r="C194" s="9"/>
      <x:c r="D194" s="118"/>
      <x:c r="E194" s="118"/>
      <x:c r="F194" s="118"/>
      <x:c r="G194" s="118"/>
      <x:c r="H194" s="118"/>
      <x:c r="I194" s="9"/>
      <x:c r="J194" s="118"/>
      <x:c r="K194" s="9"/>
      <x:c r="L194" s="9"/>
      <x:c r="M194" s="9"/>
      <x:c r="N194" s="118"/>
      <x:c r="O194" s="118"/>
      <x:c r="P194" s="118"/>
      <x:c r="Q194" s="118"/>
      <x:c r="R194" s="118"/>
      <x:c r="S194" s="9"/>
      <x:c r="T194" s="118"/>
      <x:c r="U194" s="9"/>
      <x:c r="V194" s="9"/>
      <x:c r="W194" s="9"/>
      <x:c r="X194" s="118"/>
      <x:c r="Y194" s="118"/>
      <x:c r="Z194" s="118"/>
      <x:c r="AA194" s="118"/>
      <x:c r="AB194" s="118"/>
      <x:c r="AC194" s="9"/>
      <x:c r="AD194" s="118"/>
      <x:c r="AE194" s="2"/>
      <x:c r="AF194" s="2"/>
      <x:c r="AG194" s="2"/>
      <x:c r="AH194" s="2"/>
    </x:row>
    <x:row r="195" ht="14.25" customHeight="1">
      <x:c r="A195" s="2"/>
      <x:c r="B195" s="9"/>
      <x:c r="C195" s="9"/>
      <x:c r="D195" s="118"/>
      <x:c r="E195" s="118"/>
      <x:c r="F195" s="118"/>
      <x:c r="G195" s="118"/>
      <x:c r="H195" s="118"/>
      <x:c r="I195" s="9"/>
      <x:c r="J195" s="118"/>
      <x:c r="K195" s="9"/>
      <x:c r="L195" s="9"/>
      <x:c r="M195" s="9"/>
      <x:c r="N195" s="118"/>
      <x:c r="O195" s="118"/>
      <x:c r="P195" s="118"/>
      <x:c r="Q195" s="118"/>
      <x:c r="R195" s="118"/>
      <x:c r="S195" s="9"/>
      <x:c r="T195" s="118"/>
      <x:c r="U195" s="9"/>
      <x:c r="V195" s="9"/>
      <x:c r="W195" s="9"/>
      <x:c r="X195" s="118"/>
      <x:c r="Y195" s="118"/>
      <x:c r="Z195" s="118"/>
      <x:c r="AA195" s="118"/>
      <x:c r="AB195" s="118"/>
      <x:c r="AC195" s="9"/>
      <x:c r="AD195" s="118"/>
      <x:c r="AE195" s="2"/>
      <x:c r="AF195" s="2"/>
      <x:c r="AG195" s="2"/>
      <x:c r="AH195" s="2"/>
    </x:row>
    <x:row r="196" ht="14.25" customHeight="1">
      <x:c r="A196" s="2"/>
      <x:c r="B196" s="9"/>
      <x:c r="C196" s="9"/>
      <x:c r="D196" s="118"/>
      <x:c r="E196" s="118"/>
      <x:c r="F196" s="118"/>
      <x:c r="G196" s="118"/>
      <x:c r="H196" s="118"/>
      <x:c r="I196" s="9"/>
      <x:c r="J196" s="118"/>
      <x:c r="K196" s="9"/>
      <x:c r="L196" s="9"/>
      <x:c r="M196" s="9"/>
      <x:c r="N196" s="118"/>
      <x:c r="O196" s="118"/>
      <x:c r="P196" s="118"/>
      <x:c r="Q196" s="118"/>
      <x:c r="R196" s="118"/>
      <x:c r="S196" s="9"/>
      <x:c r="T196" s="118"/>
      <x:c r="U196" s="9"/>
      <x:c r="V196" s="9"/>
      <x:c r="W196" s="9"/>
      <x:c r="X196" s="118"/>
      <x:c r="Y196" s="118"/>
      <x:c r="Z196" s="118"/>
      <x:c r="AA196" s="118"/>
      <x:c r="AB196" s="118"/>
      <x:c r="AC196" s="9"/>
      <x:c r="AD196" s="118"/>
      <x:c r="AE196" s="2"/>
      <x:c r="AF196" s="2"/>
      <x:c r="AG196" s="2"/>
      <x:c r="AH196" s="2"/>
    </x:row>
    <x:row r="197" ht="14.25" customHeight="1">
      <x:c r="A197" s="2"/>
      <x:c r="B197" s="9"/>
      <x:c r="C197" s="9"/>
      <x:c r="D197" s="118"/>
      <x:c r="E197" s="118"/>
      <x:c r="F197" s="118"/>
      <x:c r="G197" s="118"/>
      <x:c r="H197" s="118"/>
      <x:c r="I197" s="9"/>
      <x:c r="J197" s="118"/>
      <x:c r="K197" s="9"/>
      <x:c r="L197" s="9"/>
      <x:c r="M197" s="9"/>
      <x:c r="N197" s="118"/>
      <x:c r="O197" s="118"/>
      <x:c r="P197" s="118"/>
      <x:c r="Q197" s="118"/>
      <x:c r="R197" s="118"/>
      <x:c r="S197" s="9"/>
      <x:c r="T197" s="118"/>
      <x:c r="U197" s="9"/>
      <x:c r="V197" s="9"/>
      <x:c r="W197" s="9"/>
      <x:c r="X197" s="118"/>
      <x:c r="Y197" s="118"/>
      <x:c r="Z197" s="118"/>
      <x:c r="AA197" s="118"/>
      <x:c r="AB197" s="118"/>
      <x:c r="AC197" s="9"/>
      <x:c r="AD197" s="118"/>
      <x:c r="AE197" s="2"/>
      <x:c r="AF197" s="2"/>
      <x:c r="AG197" s="2"/>
      <x:c r="AH197" s="2"/>
    </x:row>
    <x:row r="198" ht="14.25" customHeight="1">
      <x:c r="A198" s="2"/>
      <x:c r="B198" s="9"/>
      <x:c r="C198" s="9"/>
      <x:c r="D198" s="118"/>
      <x:c r="E198" s="118"/>
      <x:c r="F198" s="118"/>
      <x:c r="G198" s="118"/>
      <x:c r="H198" s="118"/>
      <x:c r="I198" s="9"/>
      <x:c r="J198" s="118"/>
      <x:c r="K198" s="9"/>
      <x:c r="L198" s="9"/>
      <x:c r="M198" s="9"/>
      <x:c r="N198" s="118"/>
      <x:c r="O198" s="118"/>
      <x:c r="P198" s="118"/>
      <x:c r="Q198" s="118"/>
      <x:c r="R198" s="118"/>
      <x:c r="S198" s="9"/>
      <x:c r="T198" s="118"/>
      <x:c r="U198" s="9"/>
      <x:c r="V198" s="9"/>
      <x:c r="W198" s="9"/>
      <x:c r="X198" s="118"/>
      <x:c r="Y198" s="118"/>
      <x:c r="Z198" s="118"/>
      <x:c r="AA198" s="118"/>
      <x:c r="AB198" s="118"/>
      <x:c r="AC198" s="9"/>
      <x:c r="AD198" s="118"/>
      <x:c r="AE198" s="2"/>
      <x:c r="AF198" s="2"/>
      <x:c r="AG198" s="2"/>
      <x:c r="AH198" s="2"/>
    </x:row>
    <x:row r="199" ht="14.25" customHeight="1">
      <x:c r="A199" s="2"/>
      <x:c r="B199" s="9"/>
      <x:c r="C199" s="9"/>
      <x:c r="D199" s="118"/>
      <x:c r="E199" s="118"/>
      <x:c r="F199" s="118"/>
      <x:c r="G199" s="118"/>
      <x:c r="H199" s="118"/>
      <x:c r="I199" s="9"/>
      <x:c r="J199" s="118"/>
      <x:c r="K199" s="9"/>
      <x:c r="L199" s="9"/>
      <x:c r="M199" s="9"/>
      <x:c r="N199" s="118"/>
      <x:c r="O199" s="118"/>
      <x:c r="P199" s="118"/>
      <x:c r="Q199" s="118"/>
      <x:c r="R199" s="118"/>
      <x:c r="S199" s="9"/>
      <x:c r="T199" s="118"/>
      <x:c r="U199" s="9"/>
      <x:c r="V199" s="9"/>
      <x:c r="W199" s="9"/>
      <x:c r="X199" s="118"/>
      <x:c r="Y199" s="118"/>
      <x:c r="Z199" s="118"/>
      <x:c r="AA199" s="118"/>
      <x:c r="AB199" s="118"/>
      <x:c r="AC199" s="9"/>
      <x:c r="AD199" s="118"/>
      <x:c r="AE199" s="2"/>
      <x:c r="AF199" s="2"/>
      <x:c r="AG199" s="2"/>
      <x:c r="AH199" s="2"/>
    </x:row>
    <x:row r="200" ht="14.25" customHeight="1">
      <x:c r="A200" s="2"/>
      <x:c r="B200" s="9"/>
      <x:c r="C200" s="9"/>
      <x:c r="D200" s="118"/>
      <x:c r="E200" s="118"/>
      <x:c r="F200" s="118"/>
      <x:c r="G200" s="118"/>
      <x:c r="H200" s="118"/>
      <x:c r="I200" s="9"/>
      <x:c r="J200" s="118"/>
      <x:c r="K200" s="9"/>
      <x:c r="L200" s="9"/>
      <x:c r="M200" s="9"/>
      <x:c r="N200" s="118"/>
      <x:c r="O200" s="118"/>
      <x:c r="P200" s="118"/>
      <x:c r="Q200" s="118"/>
      <x:c r="R200" s="118"/>
      <x:c r="S200" s="9"/>
      <x:c r="T200" s="118"/>
      <x:c r="U200" s="9"/>
      <x:c r="V200" s="9"/>
      <x:c r="W200" s="9"/>
      <x:c r="X200" s="118"/>
      <x:c r="Y200" s="118"/>
      <x:c r="Z200" s="118"/>
      <x:c r="AA200" s="118"/>
      <x:c r="AB200" s="118"/>
      <x:c r="AC200" s="9"/>
      <x:c r="AD200" s="118"/>
      <x:c r="AE200" s="2"/>
      <x:c r="AF200" s="2"/>
      <x:c r="AG200" s="2"/>
      <x:c r="AH200" s="2"/>
    </x:row>
    <x:row r="201" ht="14.25" customHeight="1">
      <x:c r="A201" s="2"/>
      <x:c r="B201" s="9"/>
      <x:c r="C201" s="9"/>
      <x:c r="D201" s="118"/>
      <x:c r="E201" s="118"/>
      <x:c r="F201" s="118"/>
      <x:c r="G201" s="118"/>
      <x:c r="H201" s="118"/>
      <x:c r="I201" s="9"/>
      <x:c r="J201" s="118"/>
      <x:c r="K201" s="9"/>
      <x:c r="L201" s="9"/>
      <x:c r="M201" s="9"/>
      <x:c r="N201" s="118"/>
      <x:c r="O201" s="118"/>
      <x:c r="P201" s="118"/>
      <x:c r="Q201" s="118"/>
      <x:c r="R201" s="118"/>
      <x:c r="S201" s="9"/>
      <x:c r="T201" s="118"/>
      <x:c r="U201" s="9"/>
      <x:c r="V201" s="9"/>
      <x:c r="W201" s="9"/>
      <x:c r="X201" s="118"/>
      <x:c r="Y201" s="118"/>
      <x:c r="Z201" s="118"/>
      <x:c r="AA201" s="118"/>
      <x:c r="AB201" s="118"/>
      <x:c r="AC201" s="9"/>
      <x:c r="AD201" s="118"/>
      <x:c r="AE201" s="2"/>
      <x:c r="AF201" s="2"/>
      <x:c r="AG201" s="2"/>
      <x:c r="AH201" s="2"/>
    </x:row>
    <x:row r="202" ht="14.25" customHeight="1">
      <x:c r="A202" s="2"/>
      <x:c r="B202" s="9"/>
      <x:c r="C202" s="9"/>
      <x:c r="D202" s="118"/>
      <x:c r="E202" s="118"/>
      <x:c r="F202" s="118"/>
      <x:c r="G202" s="118"/>
      <x:c r="H202" s="118"/>
      <x:c r="I202" s="9"/>
      <x:c r="J202" s="118"/>
      <x:c r="K202" s="9"/>
      <x:c r="L202" s="9"/>
      <x:c r="M202" s="9"/>
      <x:c r="N202" s="118"/>
      <x:c r="O202" s="118"/>
      <x:c r="P202" s="118"/>
      <x:c r="Q202" s="118"/>
      <x:c r="R202" s="118"/>
      <x:c r="S202" s="9"/>
      <x:c r="T202" s="118"/>
      <x:c r="U202" s="9"/>
      <x:c r="V202" s="9"/>
      <x:c r="W202" s="9"/>
      <x:c r="X202" s="118"/>
      <x:c r="Y202" s="118"/>
      <x:c r="Z202" s="118"/>
      <x:c r="AA202" s="118"/>
      <x:c r="AB202" s="118"/>
      <x:c r="AC202" s="9"/>
      <x:c r="AD202" s="118"/>
      <x:c r="AE202" s="2"/>
      <x:c r="AF202" s="2"/>
      <x:c r="AG202" s="2"/>
      <x:c r="AH202" s="2"/>
    </x:row>
    <x:row r="203" ht="14.25" customHeight="1">
      <x:c r="A203" s="2"/>
      <x:c r="B203" s="9"/>
      <x:c r="C203" s="9"/>
      <x:c r="D203" s="118"/>
      <x:c r="E203" s="118"/>
      <x:c r="F203" s="118"/>
      <x:c r="G203" s="118"/>
      <x:c r="H203" s="118"/>
      <x:c r="I203" s="9"/>
      <x:c r="J203" s="118"/>
      <x:c r="K203" s="9"/>
      <x:c r="L203" s="9"/>
      <x:c r="M203" s="9"/>
      <x:c r="N203" s="118"/>
      <x:c r="O203" s="118"/>
      <x:c r="P203" s="118"/>
      <x:c r="Q203" s="118"/>
      <x:c r="R203" s="118"/>
      <x:c r="S203" s="9"/>
      <x:c r="T203" s="118"/>
      <x:c r="U203" s="9"/>
      <x:c r="V203" s="9"/>
      <x:c r="W203" s="9"/>
      <x:c r="X203" s="118"/>
      <x:c r="Y203" s="118"/>
      <x:c r="Z203" s="118"/>
      <x:c r="AA203" s="118"/>
      <x:c r="AB203" s="118"/>
      <x:c r="AC203" s="9"/>
      <x:c r="AD203" s="118"/>
      <x:c r="AE203" s="2"/>
      <x:c r="AF203" s="2"/>
      <x:c r="AG203" s="2"/>
      <x:c r="AH203" s="2"/>
    </x:row>
    <x:row r="204" ht="14.25" customHeight="1">
      <x:c r="A204" s="2"/>
      <x:c r="B204" s="9"/>
      <x:c r="C204" s="9"/>
      <x:c r="D204" s="118"/>
      <x:c r="E204" s="118"/>
      <x:c r="F204" s="118"/>
      <x:c r="G204" s="118"/>
      <x:c r="H204" s="118"/>
      <x:c r="I204" s="9"/>
      <x:c r="J204" s="118"/>
      <x:c r="K204" s="9"/>
      <x:c r="L204" s="9"/>
      <x:c r="M204" s="9"/>
      <x:c r="N204" s="118"/>
      <x:c r="O204" s="118"/>
      <x:c r="P204" s="118"/>
      <x:c r="Q204" s="118"/>
      <x:c r="R204" s="118"/>
      <x:c r="S204" s="9"/>
      <x:c r="T204" s="118"/>
      <x:c r="U204" s="9"/>
      <x:c r="V204" s="9"/>
      <x:c r="W204" s="9"/>
      <x:c r="X204" s="118"/>
      <x:c r="Y204" s="118"/>
      <x:c r="Z204" s="118"/>
      <x:c r="AA204" s="118"/>
      <x:c r="AB204" s="118"/>
      <x:c r="AC204" s="9"/>
      <x:c r="AD204" s="118"/>
      <x:c r="AE204" s="2"/>
      <x:c r="AF204" s="2"/>
      <x:c r="AG204" s="2"/>
      <x:c r="AH204" s="2"/>
    </x:row>
    <x:row r="205" ht="14.25" customHeight="1">
      <x:c r="A205" s="2"/>
      <x:c r="B205" s="9"/>
      <x:c r="C205" s="9"/>
      <x:c r="D205" s="118"/>
      <x:c r="E205" s="118"/>
      <x:c r="F205" s="118"/>
      <x:c r="G205" s="118"/>
      <x:c r="H205" s="118"/>
      <x:c r="I205" s="9"/>
      <x:c r="J205" s="118"/>
      <x:c r="K205" s="9"/>
      <x:c r="L205" s="9"/>
      <x:c r="M205" s="9"/>
      <x:c r="N205" s="118"/>
      <x:c r="O205" s="118"/>
      <x:c r="P205" s="118"/>
      <x:c r="Q205" s="118"/>
      <x:c r="R205" s="118"/>
      <x:c r="S205" s="9"/>
      <x:c r="T205" s="118"/>
      <x:c r="U205" s="9"/>
      <x:c r="V205" s="9"/>
      <x:c r="W205" s="9"/>
      <x:c r="X205" s="118"/>
      <x:c r="Y205" s="118"/>
      <x:c r="Z205" s="118"/>
      <x:c r="AA205" s="118"/>
      <x:c r="AB205" s="118"/>
      <x:c r="AC205" s="9"/>
      <x:c r="AD205" s="118"/>
      <x:c r="AE205" s="2"/>
      <x:c r="AF205" s="2"/>
      <x:c r="AG205" s="2"/>
      <x:c r="AH205" s="2"/>
    </x:row>
    <x:row r="206" ht="14.25" customHeight="1">
      <x:c r="A206" s="2"/>
      <x:c r="B206" s="9"/>
      <x:c r="C206" s="9"/>
      <x:c r="D206" s="118"/>
      <x:c r="E206" s="118"/>
      <x:c r="F206" s="118"/>
      <x:c r="G206" s="118"/>
      <x:c r="H206" s="118"/>
      <x:c r="I206" s="9"/>
      <x:c r="J206" s="118"/>
      <x:c r="K206" s="9"/>
      <x:c r="L206" s="9"/>
      <x:c r="M206" s="9"/>
      <x:c r="N206" s="118"/>
      <x:c r="O206" s="118"/>
      <x:c r="P206" s="118"/>
      <x:c r="Q206" s="118"/>
      <x:c r="R206" s="118"/>
      <x:c r="S206" s="9"/>
      <x:c r="T206" s="118"/>
      <x:c r="U206" s="9"/>
      <x:c r="V206" s="9"/>
      <x:c r="W206" s="9"/>
      <x:c r="X206" s="118"/>
      <x:c r="Y206" s="118"/>
      <x:c r="Z206" s="118"/>
      <x:c r="AA206" s="118"/>
      <x:c r="AB206" s="118"/>
      <x:c r="AC206" s="9"/>
      <x:c r="AD206" s="118"/>
      <x:c r="AE206" s="2"/>
      <x:c r="AF206" s="2"/>
      <x:c r="AG206" s="2"/>
      <x:c r="AH206" s="2"/>
    </x:row>
    <x:row r="207" ht="14.25" customHeight="1">
      <x:c r="A207" s="2"/>
      <x:c r="B207" s="9"/>
      <x:c r="C207" s="9"/>
      <x:c r="D207" s="118"/>
      <x:c r="E207" s="118"/>
      <x:c r="F207" s="118"/>
      <x:c r="G207" s="118"/>
      <x:c r="H207" s="118"/>
      <x:c r="I207" s="9"/>
      <x:c r="J207" s="118"/>
      <x:c r="K207" s="9"/>
      <x:c r="L207" s="9"/>
      <x:c r="M207" s="9"/>
      <x:c r="N207" s="118"/>
      <x:c r="O207" s="118"/>
      <x:c r="P207" s="118"/>
      <x:c r="Q207" s="118"/>
      <x:c r="R207" s="118"/>
      <x:c r="S207" s="9"/>
      <x:c r="T207" s="118"/>
      <x:c r="U207" s="9"/>
      <x:c r="V207" s="9"/>
      <x:c r="W207" s="9"/>
      <x:c r="X207" s="118"/>
      <x:c r="Y207" s="118"/>
      <x:c r="Z207" s="118"/>
      <x:c r="AA207" s="118"/>
      <x:c r="AB207" s="118"/>
      <x:c r="AC207" s="9"/>
      <x:c r="AD207" s="118"/>
      <x:c r="AE207" s="2"/>
      <x:c r="AF207" s="2"/>
      <x:c r="AG207" s="2"/>
      <x:c r="AH207" s="2"/>
    </x:row>
    <x:row r="208" ht="14.25" customHeight="1">
      <x:c r="A208" s="2"/>
      <x:c r="B208" s="9"/>
      <x:c r="C208" s="9"/>
      <x:c r="D208" s="118"/>
      <x:c r="E208" s="118"/>
      <x:c r="F208" s="118"/>
      <x:c r="G208" s="118"/>
      <x:c r="H208" s="118"/>
      <x:c r="I208" s="9"/>
      <x:c r="J208" s="118"/>
      <x:c r="K208" s="9"/>
      <x:c r="L208" s="9"/>
      <x:c r="M208" s="9"/>
      <x:c r="N208" s="118"/>
      <x:c r="O208" s="118"/>
      <x:c r="P208" s="118"/>
      <x:c r="Q208" s="118"/>
      <x:c r="R208" s="118"/>
      <x:c r="S208" s="9"/>
      <x:c r="T208" s="118"/>
      <x:c r="U208" s="9"/>
      <x:c r="V208" s="9"/>
      <x:c r="W208" s="9"/>
      <x:c r="X208" s="118"/>
      <x:c r="Y208" s="118"/>
      <x:c r="Z208" s="118"/>
      <x:c r="AA208" s="118"/>
      <x:c r="AB208" s="118"/>
      <x:c r="AC208" s="9"/>
      <x:c r="AD208" s="118"/>
      <x:c r="AE208" s="2"/>
      <x:c r="AF208" s="2"/>
      <x:c r="AG208" s="2"/>
      <x:c r="AH208" s="2"/>
    </x:row>
    <x:row r="209" ht="14.25" customHeight="1">
      <x:c r="A209" s="2"/>
      <x:c r="B209" s="9"/>
      <x:c r="C209" s="9"/>
      <x:c r="D209" s="118"/>
      <x:c r="E209" s="118"/>
      <x:c r="F209" s="118"/>
      <x:c r="G209" s="118"/>
      <x:c r="H209" s="118"/>
      <x:c r="I209" s="9"/>
      <x:c r="J209" s="118"/>
      <x:c r="K209" s="9"/>
      <x:c r="L209" s="9"/>
      <x:c r="M209" s="9"/>
      <x:c r="N209" s="118"/>
      <x:c r="O209" s="118"/>
      <x:c r="P209" s="118"/>
      <x:c r="Q209" s="118"/>
      <x:c r="R209" s="118"/>
      <x:c r="S209" s="9"/>
      <x:c r="T209" s="118"/>
      <x:c r="U209" s="9"/>
      <x:c r="V209" s="9"/>
      <x:c r="W209" s="9"/>
      <x:c r="X209" s="118"/>
      <x:c r="Y209" s="118"/>
      <x:c r="Z209" s="118"/>
      <x:c r="AA209" s="118"/>
      <x:c r="AB209" s="118"/>
      <x:c r="AC209" s="9"/>
      <x:c r="AD209" s="118"/>
      <x:c r="AE209" s="2"/>
      <x:c r="AF209" s="2"/>
      <x:c r="AG209" s="2"/>
      <x:c r="AH209" s="2"/>
    </x:row>
    <x:row r="210" ht="14.25" customHeight="1">
      <x:c r="A210" s="2"/>
      <x:c r="B210" s="9"/>
      <x:c r="C210" s="9"/>
      <x:c r="D210" s="118"/>
      <x:c r="E210" s="118"/>
      <x:c r="F210" s="118"/>
      <x:c r="G210" s="118"/>
      <x:c r="H210" s="118"/>
      <x:c r="I210" s="9"/>
      <x:c r="J210" s="118"/>
      <x:c r="K210" s="9"/>
      <x:c r="L210" s="9"/>
      <x:c r="M210" s="9"/>
      <x:c r="N210" s="118"/>
      <x:c r="O210" s="118"/>
      <x:c r="P210" s="118"/>
      <x:c r="Q210" s="118"/>
      <x:c r="R210" s="118"/>
      <x:c r="S210" s="9"/>
      <x:c r="T210" s="118"/>
      <x:c r="U210" s="9"/>
      <x:c r="V210" s="9"/>
      <x:c r="W210" s="9"/>
      <x:c r="X210" s="118"/>
      <x:c r="Y210" s="118"/>
      <x:c r="Z210" s="118"/>
      <x:c r="AA210" s="118"/>
      <x:c r="AB210" s="118"/>
      <x:c r="AC210" s="9"/>
      <x:c r="AD210" s="118"/>
      <x:c r="AE210" s="2"/>
      <x:c r="AF210" s="2"/>
      <x:c r="AG210" s="2"/>
      <x:c r="AH210" s="2"/>
    </x:row>
    <x:row r="211" ht="14.25" customHeight="1">
      <x:c r="A211" s="2"/>
      <x:c r="B211" s="9"/>
      <x:c r="C211" s="9"/>
      <x:c r="D211" s="118"/>
      <x:c r="E211" s="118"/>
      <x:c r="F211" s="118"/>
      <x:c r="G211" s="118"/>
      <x:c r="H211" s="118"/>
      <x:c r="I211" s="9"/>
      <x:c r="J211" s="118"/>
      <x:c r="K211" s="9"/>
      <x:c r="L211" s="9"/>
      <x:c r="M211" s="9"/>
      <x:c r="N211" s="118"/>
      <x:c r="O211" s="118"/>
      <x:c r="P211" s="118"/>
      <x:c r="Q211" s="118"/>
      <x:c r="R211" s="118"/>
      <x:c r="S211" s="9"/>
      <x:c r="T211" s="118"/>
      <x:c r="U211" s="9"/>
      <x:c r="V211" s="9"/>
      <x:c r="W211" s="9"/>
      <x:c r="X211" s="118"/>
      <x:c r="Y211" s="118"/>
      <x:c r="Z211" s="118"/>
      <x:c r="AA211" s="118"/>
      <x:c r="AB211" s="118"/>
      <x:c r="AC211" s="9"/>
      <x:c r="AD211" s="118"/>
      <x:c r="AE211" s="2"/>
      <x:c r="AF211" s="2"/>
      <x:c r="AG211" s="2"/>
      <x:c r="AH211" s="2"/>
    </x:row>
    <x:row r="212" ht="14.25" customHeight="1">
      <x:c r="A212" s="2"/>
      <x:c r="B212" s="9"/>
      <x:c r="C212" s="9"/>
      <x:c r="D212" s="118"/>
      <x:c r="E212" s="118"/>
      <x:c r="F212" s="118"/>
      <x:c r="G212" s="118"/>
      <x:c r="H212" s="118"/>
      <x:c r="I212" s="9"/>
      <x:c r="J212" s="118"/>
      <x:c r="K212" s="9"/>
      <x:c r="L212" s="9"/>
      <x:c r="M212" s="9"/>
      <x:c r="N212" s="118"/>
      <x:c r="O212" s="118"/>
      <x:c r="P212" s="118"/>
      <x:c r="Q212" s="118"/>
      <x:c r="R212" s="118"/>
      <x:c r="S212" s="9"/>
      <x:c r="T212" s="118"/>
      <x:c r="U212" s="9"/>
      <x:c r="V212" s="9"/>
      <x:c r="W212" s="9"/>
      <x:c r="X212" s="118"/>
      <x:c r="Y212" s="118"/>
      <x:c r="Z212" s="118"/>
      <x:c r="AA212" s="118"/>
      <x:c r="AB212" s="118"/>
      <x:c r="AC212" s="9"/>
      <x:c r="AD212" s="118"/>
      <x:c r="AE212" s="2"/>
      <x:c r="AF212" s="2"/>
      <x:c r="AG212" s="2"/>
      <x:c r="AH212" s="2"/>
    </x:row>
    <x:row r="213" ht="14.25" customHeight="1">
      <x:c r="A213" s="2"/>
      <x:c r="B213" s="9"/>
      <x:c r="C213" s="9"/>
      <x:c r="D213" s="118"/>
      <x:c r="E213" s="118"/>
      <x:c r="F213" s="118"/>
      <x:c r="G213" s="118"/>
      <x:c r="H213" s="118"/>
      <x:c r="I213" s="9"/>
      <x:c r="J213" s="118"/>
      <x:c r="K213" s="9"/>
      <x:c r="L213" s="9"/>
      <x:c r="M213" s="9"/>
      <x:c r="N213" s="118"/>
      <x:c r="O213" s="118"/>
      <x:c r="P213" s="118"/>
      <x:c r="Q213" s="118"/>
      <x:c r="R213" s="118"/>
      <x:c r="S213" s="9"/>
      <x:c r="T213" s="118"/>
      <x:c r="U213" s="9"/>
      <x:c r="V213" s="9"/>
      <x:c r="W213" s="9"/>
      <x:c r="X213" s="118"/>
      <x:c r="Y213" s="118"/>
      <x:c r="Z213" s="118"/>
      <x:c r="AA213" s="118"/>
      <x:c r="AB213" s="118"/>
      <x:c r="AC213" s="9"/>
      <x:c r="AD213" s="118"/>
      <x:c r="AE213" s="2"/>
      <x:c r="AF213" s="2"/>
      <x:c r="AG213" s="2"/>
      <x:c r="AH213" s="2"/>
    </x:row>
    <x:row r="214" ht="14.25" customHeight="1">
      <x:c r="A214" s="2"/>
      <x:c r="B214" s="9"/>
      <x:c r="C214" s="9"/>
      <x:c r="D214" s="118"/>
      <x:c r="E214" s="118"/>
      <x:c r="F214" s="118"/>
      <x:c r="G214" s="118"/>
      <x:c r="H214" s="118"/>
      <x:c r="I214" s="9"/>
      <x:c r="J214" s="118"/>
      <x:c r="K214" s="9"/>
      <x:c r="L214" s="9"/>
      <x:c r="M214" s="9"/>
      <x:c r="N214" s="118"/>
      <x:c r="O214" s="118"/>
      <x:c r="P214" s="118"/>
      <x:c r="Q214" s="118"/>
      <x:c r="R214" s="118"/>
      <x:c r="S214" s="9"/>
      <x:c r="T214" s="118"/>
      <x:c r="U214" s="9"/>
      <x:c r="V214" s="9"/>
      <x:c r="W214" s="9"/>
      <x:c r="X214" s="118"/>
      <x:c r="Y214" s="118"/>
      <x:c r="Z214" s="118"/>
      <x:c r="AA214" s="118"/>
      <x:c r="AB214" s="118"/>
      <x:c r="AC214" s="9"/>
      <x:c r="AD214" s="118"/>
      <x:c r="AE214" s="2"/>
      <x:c r="AF214" s="2"/>
      <x:c r="AG214" s="2"/>
      <x:c r="AH214" s="2"/>
    </x:row>
    <x:row r="215" ht="14.25" customHeight="1">
      <x:c r="A215" s="2"/>
      <x:c r="B215" s="9"/>
      <x:c r="C215" s="9"/>
      <x:c r="D215" s="118"/>
      <x:c r="E215" s="118"/>
      <x:c r="F215" s="118"/>
      <x:c r="G215" s="118"/>
      <x:c r="H215" s="118"/>
      <x:c r="I215" s="9"/>
      <x:c r="J215" s="118"/>
      <x:c r="K215" s="9"/>
      <x:c r="L215" s="9"/>
      <x:c r="M215" s="9"/>
      <x:c r="N215" s="118"/>
      <x:c r="O215" s="118"/>
      <x:c r="P215" s="118"/>
      <x:c r="Q215" s="118"/>
      <x:c r="R215" s="118"/>
      <x:c r="S215" s="9"/>
      <x:c r="T215" s="118"/>
      <x:c r="U215" s="9"/>
      <x:c r="V215" s="9"/>
      <x:c r="W215" s="9"/>
      <x:c r="X215" s="118"/>
      <x:c r="Y215" s="118"/>
      <x:c r="Z215" s="118"/>
      <x:c r="AA215" s="118"/>
      <x:c r="AB215" s="118"/>
      <x:c r="AC215" s="9"/>
      <x:c r="AD215" s="118"/>
      <x:c r="AE215" s="2"/>
      <x:c r="AF215" s="2"/>
      <x:c r="AG215" s="2"/>
      <x:c r="AH215" s="2"/>
    </x:row>
    <x:row r="216" ht="14.25" customHeight="1">
      <x:c r="A216" s="2"/>
      <x:c r="B216" s="9"/>
      <x:c r="C216" s="9"/>
      <x:c r="D216" s="118"/>
      <x:c r="E216" s="118"/>
      <x:c r="F216" s="118"/>
      <x:c r="G216" s="118"/>
      <x:c r="H216" s="118"/>
      <x:c r="I216" s="9"/>
      <x:c r="J216" s="118"/>
      <x:c r="K216" s="9"/>
      <x:c r="L216" s="9"/>
      <x:c r="M216" s="9"/>
      <x:c r="N216" s="118"/>
      <x:c r="O216" s="118"/>
      <x:c r="P216" s="118"/>
      <x:c r="Q216" s="118"/>
      <x:c r="R216" s="118"/>
      <x:c r="S216" s="9"/>
      <x:c r="T216" s="118"/>
      <x:c r="U216" s="9"/>
      <x:c r="V216" s="9"/>
      <x:c r="W216" s="9"/>
      <x:c r="X216" s="118"/>
      <x:c r="Y216" s="118"/>
      <x:c r="Z216" s="118"/>
      <x:c r="AA216" s="118"/>
      <x:c r="AB216" s="118"/>
      <x:c r="AC216" s="9"/>
      <x:c r="AD216" s="118"/>
      <x:c r="AE216" s="2"/>
      <x:c r="AF216" s="2"/>
      <x:c r="AG216" s="2"/>
      <x:c r="AH216" s="2"/>
    </x:row>
    <x:row r="217" ht="14.25" customHeight="1">
      <x:c r="A217" s="2"/>
      <x:c r="B217" s="9"/>
      <x:c r="C217" s="9"/>
      <x:c r="D217" s="118"/>
      <x:c r="E217" s="118"/>
      <x:c r="F217" s="118"/>
      <x:c r="G217" s="118"/>
      <x:c r="H217" s="118"/>
      <x:c r="I217" s="9"/>
      <x:c r="J217" s="118"/>
      <x:c r="K217" s="9"/>
      <x:c r="L217" s="9"/>
      <x:c r="M217" s="9"/>
      <x:c r="N217" s="118"/>
      <x:c r="O217" s="118"/>
      <x:c r="P217" s="118"/>
      <x:c r="Q217" s="118"/>
      <x:c r="R217" s="118"/>
      <x:c r="S217" s="9"/>
      <x:c r="T217" s="118"/>
      <x:c r="U217" s="9"/>
      <x:c r="V217" s="9"/>
      <x:c r="W217" s="9"/>
      <x:c r="X217" s="118"/>
      <x:c r="Y217" s="118"/>
      <x:c r="Z217" s="118"/>
      <x:c r="AA217" s="118"/>
      <x:c r="AB217" s="118"/>
      <x:c r="AC217" s="9"/>
      <x:c r="AD217" s="118"/>
      <x:c r="AE217" s="2"/>
      <x:c r="AF217" s="2"/>
      <x:c r="AG217" s="2"/>
      <x:c r="AH217" s="2"/>
    </x:row>
    <x:row r="218" ht="14.25" customHeight="1">
      <x:c r="A218" s="2"/>
      <x:c r="B218" s="9"/>
      <x:c r="C218" s="9"/>
      <x:c r="D218" s="118"/>
      <x:c r="E218" s="118"/>
      <x:c r="F218" s="118"/>
      <x:c r="G218" s="118"/>
      <x:c r="H218" s="118"/>
      <x:c r="I218" s="9"/>
      <x:c r="J218" s="118"/>
      <x:c r="K218" s="9"/>
      <x:c r="L218" s="9"/>
      <x:c r="M218" s="9"/>
      <x:c r="N218" s="118"/>
      <x:c r="O218" s="118"/>
      <x:c r="P218" s="118"/>
      <x:c r="Q218" s="118"/>
      <x:c r="R218" s="118"/>
      <x:c r="S218" s="9"/>
      <x:c r="T218" s="118"/>
      <x:c r="U218" s="9"/>
      <x:c r="V218" s="9"/>
      <x:c r="W218" s="9"/>
      <x:c r="X218" s="118"/>
      <x:c r="Y218" s="118"/>
      <x:c r="Z218" s="118"/>
      <x:c r="AA218" s="118"/>
      <x:c r="AB218" s="118"/>
      <x:c r="AC218" s="9"/>
      <x:c r="AD218" s="118"/>
      <x:c r="AE218" s="2"/>
      <x:c r="AF218" s="2"/>
      <x:c r="AG218" s="2"/>
      <x:c r="AH218" s="2"/>
    </x:row>
    <x:row r="219" ht="14.25" customHeight="1">
      <x:c r="A219" s="2"/>
      <x:c r="B219" s="9"/>
      <x:c r="C219" s="9"/>
      <x:c r="D219" s="118"/>
      <x:c r="E219" s="118"/>
      <x:c r="F219" s="118"/>
      <x:c r="G219" s="118"/>
      <x:c r="H219" s="118"/>
      <x:c r="I219" s="9"/>
      <x:c r="J219" s="118"/>
      <x:c r="K219" s="9"/>
      <x:c r="L219" s="9"/>
      <x:c r="M219" s="9"/>
      <x:c r="N219" s="118"/>
      <x:c r="O219" s="118"/>
      <x:c r="P219" s="118"/>
      <x:c r="Q219" s="118"/>
      <x:c r="R219" s="118"/>
      <x:c r="S219" s="9"/>
      <x:c r="T219" s="118"/>
      <x:c r="U219" s="9"/>
      <x:c r="V219" s="9"/>
      <x:c r="W219" s="9"/>
      <x:c r="X219" s="118"/>
      <x:c r="Y219" s="118"/>
      <x:c r="Z219" s="118"/>
      <x:c r="AA219" s="118"/>
      <x:c r="AB219" s="118"/>
      <x:c r="AC219" s="9"/>
      <x:c r="AD219" s="118"/>
      <x:c r="AE219" s="2"/>
      <x:c r="AF219" s="2"/>
      <x:c r="AG219" s="2"/>
      <x:c r="AH219" s="2"/>
    </x:row>
    <x:row r="220" ht="14.25" customHeight="1">
      <x:c r="A220" s="2"/>
      <x:c r="B220" s="9"/>
      <x:c r="C220" s="9"/>
      <x:c r="D220" s="118"/>
      <x:c r="E220" s="118"/>
      <x:c r="F220" s="118"/>
      <x:c r="G220" s="118"/>
      <x:c r="H220" s="118"/>
      <x:c r="I220" s="9"/>
      <x:c r="J220" s="118"/>
      <x:c r="K220" s="9"/>
      <x:c r="L220" s="9"/>
      <x:c r="M220" s="9"/>
      <x:c r="N220" s="118"/>
      <x:c r="O220" s="118"/>
      <x:c r="P220" s="118"/>
      <x:c r="Q220" s="118"/>
      <x:c r="R220" s="118"/>
      <x:c r="S220" s="9"/>
      <x:c r="T220" s="118"/>
      <x:c r="U220" s="9"/>
      <x:c r="V220" s="9"/>
      <x:c r="W220" s="9"/>
      <x:c r="X220" s="118"/>
      <x:c r="Y220" s="118"/>
      <x:c r="Z220" s="118"/>
      <x:c r="AA220" s="118"/>
      <x:c r="AB220" s="118"/>
      <x:c r="AC220" s="9"/>
      <x:c r="AD220" s="118"/>
      <x:c r="AE220" s="2"/>
      <x:c r="AF220" s="2"/>
      <x:c r="AG220" s="2"/>
      <x:c r="AH220" s="2"/>
    </x:row>
    <x:row r="221" ht="14.25" customHeight="1">
      <x:c r="A221" s="2"/>
      <x:c r="B221" s="9"/>
      <x:c r="C221" s="9"/>
      <x:c r="D221" s="118"/>
      <x:c r="E221" s="118"/>
      <x:c r="F221" s="118"/>
      <x:c r="G221" s="118"/>
      <x:c r="H221" s="118"/>
      <x:c r="I221" s="9"/>
      <x:c r="J221" s="118"/>
      <x:c r="K221" s="9"/>
      <x:c r="L221" s="9"/>
      <x:c r="M221" s="9"/>
      <x:c r="N221" s="118"/>
      <x:c r="O221" s="118"/>
      <x:c r="P221" s="118"/>
      <x:c r="Q221" s="118"/>
      <x:c r="R221" s="118"/>
      <x:c r="S221" s="9"/>
      <x:c r="T221" s="118"/>
      <x:c r="U221" s="9"/>
      <x:c r="V221" s="9"/>
      <x:c r="W221" s="9"/>
      <x:c r="X221" s="118"/>
      <x:c r="Y221" s="118"/>
      <x:c r="Z221" s="118"/>
      <x:c r="AA221" s="118"/>
      <x:c r="AB221" s="118"/>
      <x:c r="AC221" s="9"/>
      <x:c r="AD221" s="118"/>
      <x:c r="AE221" s="2"/>
      <x:c r="AF221" s="2"/>
      <x:c r="AG221" s="2"/>
      <x:c r="AH221" s="2"/>
    </x:row>
    <x:row r="222" ht="14.25" customHeight="1">
      <x:c r="A222" s="2"/>
      <x:c r="B222" s="9"/>
      <x:c r="C222" s="9"/>
      <x:c r="D222" s="118"/>
      <x:c r="E222" s="118"/>
      <x:c r="F222" s="118"/>
      <x:c r="G222" s="118"/>
      <x:c r="H222" s="118"/>
      <x:c r="I222" s="9"/>
      <x:c r="J222" s="118"/>
      <x:c r="K222" s="9"/>
      <x:c r="L222" s="9"/>
      <x:c r="M222" s="9"/>
      <x:c r="N222" s="118"/>
      <x:c r="O222" s="118"/>
      <x:c r="P222" s="118"/>
      <x:c r="Q222" s="118"/>
      <x:c r="R222" s="118"/>
      <x:c r="S222" s="9"/>
      <x:c r="T222" s="118"/>
      <x:c r="U222" s="9"/>
      <x:c r="V222" s="9"/>
      <x:c r="W222" s="9"/>
      <x:c r="X222" s="118"/>
      <x:c r="Y222" s="118"/>
      <x:c r="Z222" s="118"/>
      <x:c r="AA222" s="118"/>
      <x:c r="AB222" s="118"/>
      <x:c r="AC222" s="9"/>
      <x:c r="AD222" s="118"/>
      <x:c r="AE222" s="2"/>
      <x:c r="AF222" s="2"/>
      <x:c r="AG222" s="2"/>
      <x:c r="AH222" s="2"/>
    </x:row>
    <x:row r="223" ht="14.25" customHeight="1">
      <x:c r="A223" s="2"/>
      <x:c r="B223" s="9"/>
      <x:c r="C223" s="9"/>
      <x:c r="D223" s="118"/>
      <x:c r="E223" s="118"/>
      <x:c r="F223" s="118"/>
      <x:c r="G223" s="118"/>
      <x:c r="H223" s="118"/>
      <x:c r="I223" s="9"/>
      <x:c r="J223" s="118"/>
      <x:c r="K223" s="9"/>
      <x:c r="L223" s="9"/>
      <x:c r="M223" s="9"/>
      <x:c r="N223" s="118"/>
      <x:c r="O223" s="118"/>
      <x:c r="P223" s="118"/>
      <x:c r="Q223" s="118"/>
      <x:c r="R223" s="118"/>
      <x:c r="S223" s="9"/>
      <x:c r="T223" s="118"/>
      <x:c r="U223" s="9"/>
      <x:c r="V223" s="9"/>
      <x:c r="W223" s="9"/>
      <x:c r="X223" s="118"/>
      <x:c r="Y223" s="118"/>
      <x:c r="Z223" s="118"/>
      <x:c r="AA223" s="118"/>
      <x:c r="AB223" s="118"/>
      <x:c r="AC223" s="9"/>
      <x:c r="AD223" s="118"/>
      <x:c r="AE223" s="2"/>
      <x:c r="AF223" s="2"/>
      <x:c r="AG223" s="2"/>
      <x:c r="AH223" s="2"/>
    </x:row>
    <x:row r="224" ht="14.25" customHeight="1">
      <x:c r="A224" s="2"/>
      <x:c r="B224" s="9"/>
      <x:c r="C224" s="9"/>
      <x:c r="D224" s="118"/>
      <x:c r="E224" s="118"/>
      <x:c r="F224" s="118"/>
      <x:c r="G224" s="118"/>
      <x:c r="H224" s="118"/>
      <x:c r="I224" s="9"/>
      <x:c r="J224" s="118"/>
      <x:c r="K224" s="9"/>
      <x:c r="L224" s="9"/>
      <x:c r="M224" s="9"/>
      <x:c r="N224" s="118"/>
      <x:c r="O224" s="118"/>
      <x:c r="P224" s="118"/>
      <x:c r="Q224" s="118"/>
      <x:c r="R224" s="118"/>
      <x:c r="S224" s="9"/>
      <x:c r="T224" s="118"/>
      <x:c r="U224" s="9"/>
      <x:c r="V224" s="9"/>
      <x:c r="W224" s="9"/>
      <x:c r="X224" s="118"/>
      <x:c r="Y224" s="118"/>
      <x:c r="Z224" s="118"/>
      <x:c r="AA224" s="118"/>
      <x:c r="AB224" s="118"/>
      <x:c r="AC224" s="9"/>
      <x:c r="AD224" s="118"/>
      <x:c r="AE224" s="2"/>
      <x:c r="AF224" s="2"/>
      <x:c r="AG224" s="2"/>
      <x:c r="AH224" s="2"/>
    </x:row>
    <x:row r="225" ht="14.25" customHeight="1">
      <x:c r="A225" s="2"/>
      <x:c r="B225" s="9"/>
      <x:c r="C225" s="9"/>
      <x:c r="D225" s="118"/>
      <x:c r="E225" s="118"/>
      <x:c r="F225" s="118"/>
      <x:c r="G225" s="118"/>
      <x:c r="H225" s="118"/>
      <x:c r="I225" s="9"/>
      <x:c r="J225" s="118"/>
      <x:c r="K225" s="9"/>
      <x:c r="L225" s="9"/>
      <x:c r="M225" s="9"/>
      <x:c r="N225" s="118"/>
      <x:c r="O225" s="118"/>
      <x:c r="P225" s="118"/>
      <x:c r="Q225" s="118"/>
      <x:c r="R225" s="118"/>
      <x:c r="S225" s="9"/>
      <x:c r="T225" s="118"/>
      <x:c r="U225" s="9"/>
      <x:c r="V225" s="9"/>
      <x:c r="W225" s="9"/>
      <x:c r="X225" s="118"/>
      <x:c r="Y225" s="118"/>
      <x:c r="Z225" s="118"/>
      <x:c r="AA225" s="118"/>
      <x:c r="AB225" s="118"/>
      <x:c r="AC225" s="9"/>
      <x:c r="AD225" s="118"/>
      <x:c r="AE225" s="2"/>
      <x:c r="AF225" s="9"/>
      <x:c r="AG225" s="9"/>
      <x:c r="AH225" s="2"/>
    </x:row>
    <x:row r="226" ht="14.25" customHeight="1">
      <x:c r="A226" s="2"/>
      <x:c r="B226" s="9"/>
      <x:c r="C226" s="9"/>
      <x:c r="D226" s="118"/>
      <x:c r="E226" s="118"/>
      <x:c r="F226" s="118"/>
      <x:c r="G226" s="118"/>
      <x:c r="H226" s="118"/>
      <x:c r="I226" s="9"/>
      <x:c r="J226" s="118"/>
      <x:c r="K226" s="9"/>
      <x:c r="L226" s="9"/>
      <x:c r="M226" s="9"/>
      <x:c r="N226" s="118"/>
      <x:c r="O226" s="118"/>
      <x:c r="P226" s="118"/>
      <x:c r="Q226" s="118"/>
      <x:c r="R226" s="118"/>
      <x:c r="S226" s="9"/>
      <x:c r="T226" s="118"/>
      <x:c r="U226" s="9"/>
      <x:c r="V226" s="9"/>
      <x:c r="W226" s="9"/>
      <x:c r="X226" s="118"/>
      <x:c r="Y226" s="118"/>
      <x:c r="Z226" s="118"/>
      <x:c r="AA226" s="118"/>
      <x:c r="AB226" s="118"/>
      <x:c r="AC226" s="9"/>
      <x:c r="AD226" s="118"/>
      <x:c r="AE226" s="2"/>
      <x:c r="AF226" s="9"/>
      <x:c r="AG226" s="9"/>
      <x:c r="AH226" s="2"/>
    </x:row>
    <x:row r="227" ht="14.25" customHeight="1">
      <x:c r="A227" s="2"/>
      <x:c r="B227" s="9"/>
      <x:c r="C227" s="9"/>
      <x:c r="D227" s="118"/>
      <x:c r="E227" s="118"/>
      <x:c r="F227" s="118"/>
      <x:c r="G227" s="118"/>
      <x:c r="H227" s="118"/>
      <x:c r="I227" s="9"/>
      <x:c r="J227" s="118"/>
      <x:c r="K227" s="9"/>
      <x:c r="L227" s="9"/>
      <x:c r="M227" s="9"/>
      <x:c r="N227" s="118"/>
      <x:c r="O227" s="118"/>
      <x:c r="P227" s="118"/>
      <x:c r="Q227" s="118"/>
      <x:c r="R227" s="118"/>
      <x:c r="S227" s="9"/>
      <x:c r="T227" s="118"/>
      <x:c r="U227" s="9"/>
      <x:c r="V227" s="9"/>
      <x:c r="W227" s="9"/>
      <x:c r="X227" s="118"/>
      <x:c r="Y227" s="118"/>
      <x:c r="Z227" s="118"/>
      <x:c r="AA227" s="118"/>
      <x:c r="AB227" s="118"/>
      <x:c r="AC227" s="9"/>
      <x:c r="AD227" s="118"/>
      <x:c r="AE227" s="2"/>
      <x:c r="AF227" s="9"/>
      <x:c r="AG227" s="9"/>
      <x:c r="AH227" s="2"/>
    </x:row>
    <x:row r="228" ht="14.25" customHeight="1">
      <x:c r="A228" s="2"/>
      <x:c r="B228" s="9"/>
      <x:c r="C228" s="9"/>
      <x:c r="D228" s="118"/>
      <x:c r="E228" s="118"/>
      <x:c r="F228" s="118"/>
      <x:c r="G228" s="118"/>
      <x:c r="H228" s="118"/>
      <x:c r="I228" s="9"/>
      <x:c r="J228" s="118"/>
      <x:c r="K228" s="9"/>
      <x:c r="L228" s="9"/>
      <x:c r="M228" s="9"/>
      <x:c r="N228" s="118"/>
      <x:c r="O228" s="118"/>
      <x:c r="P228" s="118"/>
      <x:c r="Q228" s="118"/>
      <x:c r="R228" s="118"/>
      <x:c r="S228" s="9"/>
      <x:c r="T228" s="118"/>
      <x:c r="U228" s="9"/>
      <x:c r="V228" s="9"/>
      <x:c r="W228" s="9"/>
      <x:c r="X228" s="118"/>
      <x:c r="Y228" s="118"/>
      <x:c r="Z228" s="118"/>
      <x:c r="AA228" s="118"/>
      <x:c r="AB228" s="118"/>
      <x:c r="AC228" s="9"/>
      <x:c r="AD228" s="118"/>
      <x:c r="AE228" s="2"/>
      <x:c r="AF228" s="9"/>
      <x:c r="AG228" s="9"/>
      <x:c r="AH228" s="2"/>
    </x:row>
    <x:row r="229" ht="14.25" customHeight="1">
      <x:c r="A229" s="2"/>
      <x:c r="B229" s="9"/>
      <x:c r="C229" s="9"/>
      <x:c r="D229" s="118"/>
      <x:c r="E229" s="118"/>
      <x:c r="F229" s="118"/>
      <x:c r="G229" s="118"/>
      <x:c r="H229" s="118"/>
      <x:c r="I229" s="9"/>
      <x:c r="J229" s="118"/>
      <x:c r="K229" s="9"/>
      <x:c r="L229" s="9"/>
      <x:c r="M229" s="9"/>
      <x:c r="N229" s="118"/>
      <x:c r="O229" s="118"/>
      <x:c r="P229" s="118"/>
      <x:c r="Q229" s="118"/>
      <x:c r="R229" s="118"/>
      <x:c r="S229" s="9"/>
      <x:c r="T229" s="118"/>
      <x:c r="U229" s="9"/>
      <x:c r="V229" s="9"/>
      <x:c r="W229" s="9"/>
      <x:c r="X229" s="118"/>
      <x:c r="Y229" s="118"/>
      <x:c r="Z229" s="118"/>
      <x:c r="AA229" s="118"/>
      <x:c r="AB229" s="118"/>
      <x:c r="AC229" s="9"/>
      <x:c r="AD229" s="118"/>
      <x:c r="AE229" s="2"/>
      <x:c r="AF229" s="9"/>
      <x:c r="AG229" s="9"/>
      <x:c r="AH229" s="2"/>
    </x:row>
    <x:row r="230" ht="14.25" customHeight="1">
      <x:c r="A230" s="2"/>
      <x:c r="B230" s="9"/>
      <x:c r="C230" s="9"/>
      <x:c r="D230" s="118"/>
      <x:c r="E230" s="118"/>
      <x:c r="F230" s="118"/>
      <x:c r="G230" s="118"/>
      <x:c r="H230" s="118"/>
      <x:c r="I230" s="9"/>
      <x:c r="J230" s="118"/>
      <x:c r="K230" s="9"/>
      <x:c r="L230" s="9"/>
      <x:c r="M230" s="9"/>
      <x:c r="N230" s="118"/>
      <x:c r="O230" s="118"/>
      <x:c r="P230" s="118"/>
      <x:c r="Q230" s="118"/>
      <x:c r="R230" s="118"/>
      <x:c r="S230" s="9"/>
      <x:c r="T230" s="118"/>
      <x:c r="U230" s="9"/>
      <x:c r="V230" s="9"/>
      <x:c r="W230" s="9"/>
      <x:c r="X230" s="118"/>
      <x:c r="Y230" s="118"/>
      <x:c r="Z230" s="118"/>
      <x:c r="AA230" s="118"/>
      <x:c r="AB230" s="118"/>
      <x:c r="AC230" s="9"/>
      <x:c r="AD230" s="118"/>
      <x:c r="AE230" s="2"/>
      <x:c r="AF230" s="9"/>
      <x:c r="AG230" s="9"/>
      <x:c r="AH230" s="2"/>
    </x:row>
    <x:row r="231" ht="14.25" customHeight="1">
      <x:c r="A231" s="2"/>
      <x:c r="B231" s="9"/>
      <x:c r="C231" s="9"/>
      <x:c r="D231" s="118"/>
      <x:c r="E231" s="118"/>
      <x:c r="F231" s="118"/>
      <x:c r="G231" s="118"/>
      <x:c r="H231" s="118"/>
      <x:c r="I231" s="9"/>
      <x:c r="J231" s="118"/>
      <x:c r="K231" s="9"/>
      <x:c r="L231" s="9"/>
      <x:c r="M231" s="9"/>
      <x:c r="N231" s="118"/>
      <x:c r="O231" s="118"/>
      <x:c r="P231" s="118"/>
      <x:c r="Q231" s="118"/>
      <x:c r="R231" s="118"/>
      <x:c r="S231" s="9"/>
      <x:c r="T231" s="118"/>
      <x:c r="U231" s="9"/>
      <x:c r="V231" s="9"/>
      <x:c r="W231" s="9"/>
      <x:c r="X231" s="118"/>
      <x:c r="Y231" s="118"/>
      <x:c r="Z231" s="118"/>
      <x:c r="AA231" s="118"/>
      <x:c r="AB231" s="118"/>
      <x:c r="AC231" s="9"/>
      <x:c r="AD231" s="118"/>
      <x:c r="AE231" s="2"/>
      <x:c r="AF231" s="9"/>
      <x:c r="AG231" s="9"/>
      <x:c r="AH231" s="2"/>
    </x:row>
    <x:row r="232" ht="14.25" customHeight="1">
      <x:c r="A232" s="2"/>
      <x:c r="B232" s="9"/>
      <x:c r="C232" s="9"/>
      <x:c r="D232" s="118"/>
      <x:c r="E232" s="118"/>
      <x:c r="F232" s="118"/>
      <x:c r="G232" s="118"/>
      <x:c r="H232" s="118"/>
      <x:c r="I232" s="9"/>
      <x:c r="J232" s="118"/>
      <x:c r="K232" s="9"/>
      <x:c r="L232" s="9"/>
      <x:c r="M232" s="9"/>
      <x:c r="N232" s="118"/>
      <x:c r="O232" s="118"/>
      <x:c r="P232" s="118"/>
      <x:c r="Q232" s="118"/>
      <x:c r="R232" s="118"/>
      <x:c r="S232" s="9"/>
      <x:c r="T232" s="118"/>
      <x:c r="U232" s="9"/>
      <x:c r="V232" s="9"/>
      <x:c r="W232" s="9"/>
      <x:c r="X232" s="118"/>
      <x:c r="Y232" s="118"/>
      <x:c r="Z232" s="118"/>
      <x:c r="AA232" s="118"/>
      <x:c r="AB232" s="118"/>
      <x:c r="AC232" s="9"/>
      <x:c r="AD232" s="118"/>
      <x:c r="AE232" s="2"/>
      <x:c r="AF232" s="9"/>
      <x:c r="AG232" s="9"/>
      <x:c r="AH232" s="2"/>
    </x:row>
    <x:row r="233" ht="14.25" customHeight="1">
      <x:c r="A233" s="2"/>
      <x:c r="B233" s="9"/>
      <x:c r="C233" s="9"/>
      <x:c r="D233" s="118"/>
      <x:c r="E233" s="118"/>
      <x:c r="F233" s="118"/>
      <x:c r="G233" s="118"/>
      <x:c r="H233" s="118"/>
      <x:c r="I233" s="9"/>
      <x:c r="J233" s="118"/>
      <x:c r="K233" s="9"/>
      <x:c r="L233" s="9"/>
      <x:c r="M233" s="9"/>
      <x:c r="N233" s="118"/>
      <x:c r="O233" s="118"/>
      <x:c r="P233" s="118"/>
      <x:c r="Q233" s="118"/>
      <x:c r="R233" s="118"/>
      <x:c r="S233" s="9"/>
      <x:c r="T233" s="118"/>
      <x:c r="U233" s="9"/>
      <x:c r="V233" s="9"/>
      <x:c r="W233" s="9"/>
      <x:c r="X233" s="118"/>
      <x:c r="Y233" s="118"/>
      <x:c r="Z233" s="118"/>
      <x:c r="AA233" s="118"/>
      <x:c r="AB233" s="118"/>
      <x:c r="AC233" s="9"/>
      <x:c r="AD233" s="118"/>
      <x:c r="AE233" s="2"/>
      <x:c r="AF233" s="9"/>
      <x:c r="AG233" s="9"/>
      <x:c r="AH233" s="2"/>
    </x:row>
    <x:row r="234" ht="14.25" customHeight="1">
      <x:c r="A234" s="2"/>
      <x:c r="B234" s="9"/>
      <x:c r="C234" s="9"/>
      <x:c r="D234" s="118"/>
      <x:c r="E234" s="118"/>
      <x:c r="F234" s="118"/>
      <x:c r="G234" s="118"/>
      <x:c r="H234" s="118"/>
      <x:c r="I234" s="9"/>
      <x:c r="J234" s="118"/>
      <x:c r="K234" s="9"/>
      <x:c r="L234" s="9"/>
      <x:c r="M234" s="9"/>
      <x:c r="N234" s="118"/>
      <x:c r="O234" s="118"/>
      <x:c r="P234" s="118"/>
      <x:c r="Q234" s="118"/>
      <x:c r="R234" s="118"/>
      <x:c r="S234" s="9"/>
      <x:c r="T234" s="118"/>
      <x:c r="U234" s="9"/>
      <x:c r="V234" s="9"/>
      <x:c r="W234" s="9"/>
      <x:c r="X234" s="118"/>
      <x:c r="Y234" s="118"/>
      <x:c r="Z234" s="118"/>
      <x:c r="AA234" s="118"/>
      <x:c r="AB234" s="118"/>
      <x:c r="AC234" s="9"/>
      <x:c r="AD234" s="118"/>
      <x:c r="AE234" s="2"/>
      <x:c r="AF234" s="9"/>
      <x:c r="AG234" s="9"/>
      <x:c r="AH234" s="2"/>
    </x:row>
    <x:row r="235" ht="14.25" customHeight="1">
      <x:c r="A235" s="2"/>
      <x:c r="B235" s="9"/>
      <x:c r="C235" s="9"/>
      <x:c r="D235" s="118"/>
      <x:c r="E235" s="118"/>
      <x:c r="F235" s="118"/>
      <x:c r="G235" s="118"/>
      <x:c r="H235" s="118"/>
      <x:c r="I235" s="9"/>
      <x:c r="J235" s="118"/>
      <x:c r="K235" s="9"/>
      <x:c r="L235" s="9"/>
      <x:c r="M235" s="9"/>
      <x:c r="N235" s="118"/>
      <x:c r="O235" s="118"/>
      <x:c r="P235" s="118"/>
      <x:c r="Q235" s="118"/>
      <x:c r="R235" s="118"/>
      <x:c r="S235" s="9"/>
      <x:c r="T235" s="118"/>
      <x:c r="U235" s="9"/>
      <x:c r="V235" s="9"/>
      <x:c r="W235" s="9"/>
      <x:c r="X235" s="118"/>
      <x:c r="Y235" s="118"/>
      <x:c r="Z235" s="118"/>
      <x:c r="AA235" s="118"/>
      <x:c r="AB235" s="118"/>
      <x:c r="AC235" s="9"/>
      <x:c r="AD235" s="118"/>
      <x:c r="AE235" s="2"/>
      <x:c r="AF235" s="9"/>
      <x:c r="AG235" s="9"/>
      <x:c r="AH235" s="2"/>
    </x:row>
    <x:row r="236" ht="14.25" customHeight="1">
      <x:c r="A236" s="2"/>
      <x:c r="B236" s="9"/>
      <x:c r="C236" s="9"/>
      <x:c r="D236" s="118"/>
      <x:c r="E236" s="118"/>
      <x:c r="F236" s="118"/>
      <x:c r="G236" s="118"/>
      <x:c r="H236" s="118"/>
      <x:c r="I236" s="9"/>
      <x:c r="J236" s="118"/>
      <x:c r="K236" s="9"/>
      <x:c r="L236" s="9"/>
      <x:c r="M236" s="9"/>
      <x:c r="N236" s="118"/>
      <x:c r="O236" s="118"/>
      <x:c r="P236" s="118"/>
      <x:c r="Q236" s="118"/>
      <x:c r="R236" s="118"/>
      <x:c r="S236" s="9"/>
      <x:c r="T236" s="118"/>
      <x:c r="U236" s="9"/>
      <x:c r="V236" s="9"/>
      <x:c r="W236" s="9"/>
      <x:c r="X236" s="118"/>
      <x:c r="Y236" s="118"/>
      <x:c r="Z236" s="118"/>
      <x:c r="AA236" s="118"/>
      <x:c r="AB236" s="118"/>
      <x:c r="AC236" s="9"/>
      <x:c r="AD236" s="118"/>
      <x:c r="AE236" s="2"/>
      <x:c r="AF236" s="9"/>
      <x:c r="AG236" s="9"/>
      <x:c r="AH236" s="2"/>
    </x:row>
    <x:row r="237" ht="14.25" customHeight="1">
      <x:c r="A237" s="2"/>
      <x:c r="B237" s="9"/>
      <x:c r="C237" s="9"/>
      <x:c r="D237" s="118"/>
      <x:c r="E237" s="118"/>
      <x:c r="F237" s="118"/>
      <x:c r="G237" s="118"/>
      <x:c r="H237" s="118"/>
      <x:c r="I237" s="9"/>
      <x:c r="J237" s="118"/>
      <x:c r="K237" s="9"/>
      <x:c r="L237" s="9"/>
      <x:c r="M237" s="9"/>
      <x:c r="N237" s="118"/>
      <x:c r="O237" s="118"/>
      <x:c r="P237" s="118"/>
      <x:c r="Q237" s="118"/>
      <x:c r="R237" s="118"/>
      <x:c r="S237" s="9"/>
      <x:c r="T237" s="118"/>
      <x:c r="U237" s="9"/>
      <x:c r="V237" s="9"/>
      <x:c r="W237" s="9"/>
      <x:c r="X237" s="118"/>
      <x:c r="Y237" s="118"/>
      <x:c r="Z237" s="118"/>
      <x:c r="AA237" s="118"/>
      <x:c r="AB237" s="118"/>
      <x:c r="AC237" s="9"/>
      <x:c r="AD237" s="118"/>
      <x:c r="AE237" s="2"/>
      <x:c r="AF237" s="9"/>
      <x:c r="AG237" s="9"/>
      <x:c r="AH237" s="2"/>
    </x:row>
    <x:row r="238" ht="14.25" customHeight="1">
      <x:c r="A238" s="2"/>
      <x:c r="B238" s="9"/>
      <x:c r="C238" s="9"/>
      <x:c r="D238" s="118"/>
      <x:c r="E238" s="118"/>
      <x:c r="F238" s="118"/>
      <x:c r="G238" s="118"/>
      <x:c r="H238" s="118"/>
      <x:c r="I238" s="9"/>
      <x:c r="J238" s="118"/>
      <x:c r="K238" s="9"/>
      <x:c r="L238" s="9"/>
      <x:c r="M238" s="9"/>
      <x:c r="N238" s="118"/>
      <x:c r="O238" s="118"/>
      <x:c r="P238" s="118"/>
      <x:c r="Q238" s="118"/>
      <x:c r="R238" s="118"/>
      <x:c r="S238" s="9"/>
      <x:c r="T238" s="118"/>
      <x:c r="U238" s="9"/>
      <x:c r="V238" s="9"/>
      <x:c r="W238" s="9"/>
      <x:c r="X238" s="118"/>
      <x:c r="Y238" s="118"/>
      <x:c r="Z238" s="118"/>
      <x:c r="AA238" s="118"/>
      <x:c r="AB238" s="118"/>
      <x:c r="AC238" s="9"/>
      <x:c r="AD238" s="118"/>
      <x:c r="AE238" s="2"/>
      <x:c r="AF238" s="9"/>
      <x:c r="AG238" s="9"/>
      <x:c r="AH238" s="2"/>
    </x:row>
    <x:row r="239" ht="14.25" customHeight="1">
      <x:c r="A239" s="2"/>
      <x:c r="B239" s="9"/>
      <x:c r="C239" s="9"/>
      <x:c r="D239" s="118"/>
      <x:c r="E239" s="118"/>
      <x:c r="F239" s="118"/>
      <x:c r="G239" s="118"/>
      <x:c r="H239" s="118"/>
      <x:c r="I239" s="9"/>
      <x:c r="J239" s="118"/>
      <x:c r="K239" s="9"/>
      <x:c r="L239" s="9"/>
      <x:c r="M239" s="9"/>
      <x:c r="N239" s="118"/>
      <x:c r="O239" s="118"/>
      <x:c r="P239" s="118"/>
      <x:c r="Q239" s="118"/>
      <x:c r="R239" s="118"/>
      <x:c r="S239" s="9"/>
      <x:c r="T239" s="118"/>
      <x:c r="U239" s="9"/>
      <x:c r="V239" s="9"/>
      <x:c r="W239" s="9"/>
      <x:c r="X239" s="118"/>
      <x:c r="Y239" s="118"/>
      <x:c r="Z239" s="118"/>
      <x:c r="AA239" s="118"/>
      <x:c r="AB239" s="118"/>
      <x:c r="AC239" s="9"/>
      <x:c r="AD239" s="118"/>
      <x:c r="AE239" s="2"/>
      <x:c r="AF239" s="9"/>
      <x:c r="AG239" s="9"/>
      <x:c r="AH239" s="2"/>
    </x:row>
    <x:row r="240" ht="14.25" customHeight="1">
      <x:c r="A240" s="2"/>
      <x:c r="B240" s="9"/>
      <x:c r="C240" s="9"/>
      <x:c r="D240" s="118"/>
      <x:c r="E240" s="118"/>
      <x:c r="F240" s="118"/>
      <x:c r="G240" s="118"/>
      <x:c r="H240" s="118"/>
      <x:c r="I240" s="9"/>
      <x:c r="J240" s="118"/>
      <x:c r="K240" s="9"/>
      <x:c r="L240" s="9"/>
      <x:c r="M240" s="9"/>
      <x:c r="N240" s="118"/>
      <x:c r="O240" s="118"/>
      <x:c r="P240" s="118"/>
      <x:c r="Q240" s="118"/>
      <x:c r="R240" s="118"/>
      <x:c r="S240" s="9"/>
      <x:c r="T240" s="118"/>
      <x:c r="U240" s="9"/>
      <x:c r="V240" s="9"/>
      <x:c r="W240" s="9"/>
      <x:c r="X240" s="118"/>
      <x:c r="Y240" s="118"/>
      <x:c r="Z240" s="118"/>
      <x:c r="AA240" s="118"/>
      <x:c r="AB240" s="118"/>
      <x:c r="AC240" s="9"/>
      <x:c r="AD240" s="118"/>
      <x:c r="AE240" s="2"/>
      <x:c r="AF240" s="9"/>
      <x:c r="AG240" s="9"/>
      <x:c r="AH240" s="2"/>
    </x:row>
    <x:row r="241" ht="14.25" customHeight="1">
      <x:c r="A241" s="2"/>
      <x:c r="B241" s="9"/>
      <x:c r="C241" s="9"/>
      <x:c r="D241" s="118"/>
      <x:c r="E241" s="118"/>
      <x:c r="F241" s="118"/>
      <x:c r="G241" s="118"/>
      <x:c r="H241" s="118"/>
      <x:c r="I241" s="9"/>
      <x:c r="J241" s="118"/>
      <x:c r="K241" s="9"/>
      <x:c r="L241" s="9"/>
      <x:c r="M241" s="9"/>
      <x:c r="N241" s="118"/>
      <x:c r="O241" s="118"/>
      <x:c r="P241" s="118"/>
      <x:c r="Q241" s="118"/>
      <x:c r="R241" s="118"/>
      <x:c r="S241" s="9"/>
      <x:c r="T241" s="118"/>
      <x:c r="U241" s="9"/>
      <x:c r="V241" s="9"/>
      <x:c r="W241" s="9"/>
      <x:c r="X241" s="118"/>
      <x:c r="Y241" s="118"/>
      <x:c r="Z241" s="118"/>
      <x:c r="AA241" s="118"/>
      <x:c r="AB241" s="118"/>
      <x:c r="AC241" s="9"/>
      <x:c r="AD241" s="118"/>
      <x:c r="AE241" s="2"/>
      <x:c r="AF241" s="9"/>
      <x:c r="AG241" s="9"/>
      <x:c r="AH241" s="2"/>
    </x:row>
    <x:row r="242" ht="14.25" customHeight="1">
      <x:c r="A242" s="2"/>
      <x:c r="B242" s="9"/>
      <x:c r="C242" s="9"/>
      <x:c r="D242" s="118"/>
      <x:c r="E242" s="118"/>
      <x:c r="F242" s="118"/>
      <x:c r="G242" s="118"/>
      <x:c r="H242" s="118"/>
      <x:c r="I242" s="9"/>
      <x:c r="J242" s="118"/>
      <x:c r="K242" s="9"/>
      <x:c r="L242" s="9"/>
      <x:c r="M242" s="9"/>
      <x:c r="N242" s="118"/>
      <x:c r="O242" s="118"/>
      <x:c r="P242" s="118"/>
      <x:c r="Q242" s="118"/>
      <x:c r="R242" s="118"/>
      <x:c r="S242" s="9"/>
      <x:c r="T242" s="118"/>
      <x:c r="U242" s="9"/>
      <x:c r="V242" s="9"/>
      <x:c r="W242" s="9"/>
      <x:c r="X242" s="118"/>
      <x:c r="Y242" s="118"/>
      <x:c r="Z242" s="118"/>
      <x:c r="AA242" s="118"/>
      <x:c r="AB242" s="118"/>
      <x:c r="AC242" s="9"/>
      <x:c r="AD242" s="118"/>
      <x:c r="AE242" s="2"/>
      <x:c r="AF242" s="9"/>
      <x:c r="AG242" s="9"/>
      <x:c r="AH242" s="2"/>
    </x:row>
    <x:row r="243" ht="14.25" customHeight="1">
      <x:c r="A243" s="2"/>
      <x:c r="B243" s="9"/>
      <x:c r="C243" s="9"/>
      <x:c r="D243" s="118"/>
      <x:c r="E243" s="118"/>
      <x:c r="F243" s="118"/>
      <x:c r="G243" s="118"/>
      <x:c r="H243" s="118"/>
      <x:c r="I243" s="9"/>
      <x:c r="J243" s="118"/>
      <x:c r="K243" s="9"/>
      <x:c r="L243" s="9"/>
      <x:c r="M243" s="9"/>
      <x:c r="N243" s="118"/>
      <x:c r="O243" s="118"/>
      <x:c r="P243" s="118"/>
      <x:c r="Q243" s="118"/>
      <x:c r="R243" s="118"/>
      <x:c r="S243" s="9"/>
      <x:c r="T243" s="118"/>
      <x:c r="U243" s="9"/>
      <x:c r="V243" s="9"/>
      <x:c r="W243" s="9"/>
      <x:c r="X243" s="118"/>
      <x:c r="Y243" s="118"/>
      <x:c r="Z243" s="118"/>
      <x:c r="AA243" s="118"/>
      <x:c r="AB243" s="118"/>
      <x:c r="AC243" s="9"/>
      <x:c r="AD243" s="118"/>
      <x:c r="AE243" s="2"/>
      <x:c r="AF243" s="9"/>
      <x:c r="AG243" s="9"/>
      <x:c r="AH243" s="2"/>
    </x:row>
    <x:row r="244" ht="14.25" customHeight="1">
      <x:c r="A244" s="2"/>
      <x:c r="B244" s="9"/>
      <x:c r="C244" s="9"/>
      <x:c r="D244" s="118"/>
      <x:c r="E244" s="118"/>
      <x:c r="F244" s="118"/>
      <x:c r="G244" s="118"/>
      <x:c r="H244" s="118"/>
      <x:c r="I244" s="9"/>
      <x:c r="J244" s="118"/>
      <x:c r="K244" s="9"/>
      <x:c r="L244" s="9"/>
      <x:c r="M244" s="9"/>
      <x:c r="N244" s="118"/>
      <x:c r="O244" s="118"/>
      <x:c r="P244" s="118"/>
      <x:c r="Q244" s="118"/>
      <x:c r="R244" s="118"/>
      <x:c r="S244" s="9"/>
      <x:c r="T244" s="118"/>
      <x:c r="U244" s="9"/>
      <x:c r="V244" s="9"/>
      <x:c r="W244" s="9"/>
      <x:c r="X244" s="118"/>
      <x:c r="Y244" s="118"/>
      <x:c r="Z244" s="118"/>
      <x:c r="AA244" s="118"/>
      <x:c r="AB244" s="118"/>
      <x:c r="AC244" s="9"/>
      <x:c r="AD244" s="118"/>
      <x:c r="AE244" s="2"/>
      <x:c r="AF244" s="9"/>
      <x:c r="AG244" s="9"/>
      <x:c r="AH244" s="2"/>
    </x:row>
    <x:row r="245" ht="14.25" customHeight="1">
      <x:c r="A245" s="2"/>
      <x:c r="B245" s="9"/>
      <x:c r="C245" s="9"/>
      <x:c r="D245" s="118"/>
      <x:c r="E245" s="118"/>
      <x:c r="F245" s="118"/>
      <x:c r="G245" s="118"/>
      <x:c r="H245" s="118"/>
      <x:c r="I245" s="9"/>
      <x:c r="J245" s="118"/>
      <x:c r="K245" s="9"/>
      <x:c r="L245" s="9"/>
      <x:c r="M245" s="9"/>
      <x:c r="N245" s="118"/>
      <x:c r="O245" s="118"/>
      <x:c r="P245" s="118"/>
      <x:c r="Q245" s="118"/>
      <x:c r="R245" s="118"/>
      <x:c r="S245" s="9"/>
      <x:c r="T245" s="118"/>
      <x:c r="U245" s="9"/>
      <x:c r="V245" s="9"/>
      <x:c r="W245" s="9"/>
      <x:c r="X245" s="118"/>
      <x:c r="Y245" s="118"/>
      <x:c r="Z245" s="118"/>
      <x:c r="AA245" s="118"/>
      <x:c r="AB245" s="118"/>
      <x:c r="AC245" s="9"/>
      <x:c r="AD245" s="118"/>
      <x:c r="AE245" s="2"/>
      <x:c r="AF245" s="9"/>
      <x:c r="AG245" s="9"/>
      <x:c r="AH245" s="2"/>
    </x:row>
    <x:row r="246" ht="14.25" customHeight="1">
      <x:c r="A246" s="2"/>
      <x:c r="B246" s="9"/>
      <x:c r="C246" s="9"/>
      <x:c r="D246" s="118"/>
      <x:c r="E246" s="118"/>
      <x:c r="F246" s="118"/>
      <x:c r="G246" s="118"/>
      <x:c r="H246" s="118"/>
      <x:c r="I246" s="9"/>
      <x:c r="J246" s="118"/>
      <x:c r="K246" s="9"/>
      <x:c r="L246" s="9"/>
      <x:c r="M246" s="9"/>
      <x:c r="N246" s="118"/>
      <x:c r="O246" s="118"/>
      <x:c r="P246" s="118"/>
      <x:c r="Q246" s="118"/>
      <x:c r="R246" s="118"/>
      <x:c r="S246" s="9"/>
      <x:c r="T246" s="118"/>
      <x:c r="U246" s="9"/>
      <x:c r="V246" s="9"/>
      <x:c r="W246" s="9"/>
      <x:c r="X246" s="118"/>
      <x:c r="Y246" s="118"/>
      <x:c r="Z246" s="118"/>
      <x:c r="AA246" s="118"/>
      <x:c r="AB246" s="118"/>
      <x:c r="AC246" s="9"/>
      <x:c r="AD246" s="118"/>
      <x:c r="AE246" s="2"/>
      <x:c r="AF246" s="9"/>
      <x:c r="AG246" s="9"/>
      <x:c r="AH246" s="2"/>
    </x:row>
    <x:row r="247" ht="14.25" customHeight="1">
      <x:c r="A247" s="2"/>
      <x:c r="B247" s="9"/>
      <x:c r="C247" s="9"/>
      <x:c r="D247" s="118"/>
      <x:c r="E247" s="118"/>
      <x:c r="F247" s="118"/>
      <x:c r="G247" s="118"/>
      <x:c r="H247" s="118"/>
      <x:c r="I247" s="9"/>
      <x:c r="J247" s="118"/>
      <x:c r="K247" s="9"/>
      <x:c r="L247" s="9"/>
      <x:c r="M247" s="9"/>
      <x:c r="N247" s="118"/>
      <x:c r="O247" s="118"/>
      <x:c r="P247" s="118"/>
      <x:c r="Q247" s="118"/>
      <x:c r="R247" s="118"/>
      <x:c r="S247" s="9"/>
      <x:c r="T247" s="118"/>
      <x:c r="U247" s="9"/>
      <x:c r="V247" s="9"/>
      <x:c r="W247" s="9"/>
      <x:c r="X247" s="118"/>
      <x:c r="Y247" s="118"/>
      <x:c r="Z247" s="118"/>
      <x:c r="AA247" s="118"/>
      <x:c r="AB247" s="118"/>
      <x:c r="AC247" s="9"/>
      <x:c r="AD247" s="118"/>
      <x:c r="AE247" s="2"/>
      <x:c r="AF247" s="9"/>
      <x:c r="AG247" s="9"/>
      <x:c r="AH247" s="2"/>
    </x:row>
    <x:row r="248" ht="14.25" customHeight="1">
      <x:c r="A248" s="2"/>
      <x:c r="B248" s="9"/>
      <x:c r="C248" s="9"/>
      <x:c r="D248" s="118"/>
      <x:c r="E248" s="118"/>
      <x:c r="F248" s="118"/>
      <x:c r="G248" s="118"/>
      <x:c r="H248" s="118"/>
      <x:c r="I248" s="9"/>
      <x:c r="J248" s="118"/>
      <x:c r="K248" s="9"/>
      <x:c r="L248" s="9"/>
      <x:c r="M248" s="9"/>
      <x:c r="N248" s="118"/>
      <x:c r="O248" s="118"/>
      <x:c r="P248" s="118"/>
      <x:c r="Q248" s="118"/>
      <x:c r="R248" s="118"/>
      <x:c r="S248" s="9"/>
      <x:c r="T248" s="118"/>
      <x:c r="U248" s="9"/>
      <x:c r="V248" s="9"/>
      <x:c r="W248" s="9"/>
      <x:c r="X248" s="118"/>
      <x:c r="Y248" s="118"/>
      <x:c r="Z248" s="118"/>
      <x:c r="AA248" s="118"/>
      <x:c r="AB248" s="118"/>
      <x:c r="AC248" s="9"/>
      <x:c r="AD248" s="118"/>
      <x:c r="AE248" s="2"/>
      <x:c r="AF248" s="9"/>
      <x:c r="AG248" s="9"/>
      <x:c r="AH248" s="2"/>
    </x:row>
    <x:row r="249" ht="14.25" customHeight="1">
      <x:c r="A249" s="2"/>
      <x:c r="B249" s="9"/>
      <x:c r="C249" s="9"/>
      <x:c r="D249" s="118"/>
      <x:c r="E249" s="118"/>
      <x:c r="F249" s="118"/>
      <x:c r="G249" s="118"/>
      <x:c r="H249" s="118"/>
      <x:c r="I249" s="9"/>
      <x:c r="J249" s="118"/>
      <x:c r="K249" s="9"/>
      <x:c r="L249" s="9"/>
      <x:c r="M249" s="9"/>
      <x:c r="N249" s="118"/>
      <x:c r="O249" s="118"/>
      <x:c r="P249" s="118"/>
      <x:c r="Q249" s="118"/>
      <x:c r="R249" s="118"/>
      <x:c r="S249" s="9"/>
      <x:c r="T249" s="118"/>
      <x:c r="U249" s="9"/>
      <x:c r="V249" s="9"/>
      <x:c r="W249" s="9"/>
      <x:c r="X249" s="118"/>
      <x:c r="Y249" s="118"/>
      <x:c r="Z249" s="118"/>
      <x:c r="AA249" s="118"/>
      <x:c r="AB249" s="118"/>
      <x:c r="AC249" s="9"/>
      <x:c r="AD249" s="118"/>
      <x:c r="AE249" s="2"/>
      <x:c r="AF249" s="9"/>
      <x:c r="AG249" s="9"/>
      <x:c r="AH249" s="2"/>
    </x:row>
    <x:row r="250" ht="14.25" customHeight="1">
      <x:c r="A250" s="2"/>
      <x:c r="B250" s="9"/>
      <x:c r="C250" s="9"/>
      <x:c r="D250" s="118"/>
      <x:c r="E250" s="118"/>
      <x:c r="F250" s="118"/>
      <x:c r="G250" s="118"/>
      <x:c r="H250" s="118"/>
      <x:c r="I250" s="9"/>
      <x:c r="J250" s="118"/>
      <x:c r="K250" s="9"/>
      <x:c r="L250" s="9"/>
      <x:c r="M250" s="9"/>
      <x:c r="N250" s="118"/>
      <x:c r="O250" s="118"/>
      <x:c r="P250" s="118"/>
      <x:c r="Q250" s="118"/>
      <x:c r="R250" s="118"/>
      <x:c r="S250" s="9"/>
      <x:c r="T250" s="118"/>
      <x:c r="U250" s="9"/>
      <x:c r="V250" s="9"/>
      <x:c r="W250" s="9"/>
      <x:c r="X250" s="118"/>
      <x:c r="Y250" s="118"/>
      <x:c r="Z250" s="118"/>
      <x:c r="AA250" s="118"/>
      <x:c r="AB250" s="118"/>
      <x:c r="AC250" s="9"/>
      <x:c r="AD250" s="118"/>
      <x:c r="AE250" s="2"/>
      <x:c r="AF250" s="9"/>
      <x:c r="AG250" s="9"/>
      <x:c r="AH250" s="2"/>
    </x:row>
    <x:row r="251" ht="14.25" customHeight="1">
      <x:c r="A251" s="2"/>
      <x:c r="B251" s="9"/>
      <x:c r="C251" s="9"/>
      <x:c r="D251" s="118"/>
      <x:c r="E251" s="118"/>
      <x:c r="F251" s="118"/>
      <x:c r="G251" s="118"/>
      <x:c r="H251" s="118"/>
      <x:c r="I251" s="9"/>
      <x:c r="J251" s="118"/>
      <x:c r="K251" s="9"/>
      <x:c r="L251" s="9"/>
      <x:c r="M251" s="9"/>
      <x:c r="N251" s="118"/>
      <x:c r="O251" s="118"/>
      <x:c r="P251" s="118"/>
      <x:c r="Q251" s="118"/>
      <x:c r="R251" s="118"/>
      <x:c r="S251" s="9"/>
      <x:c r="T251" s="118"/>
      <x:c r="U251" s="9"/>
      <x:c r="V251" s="9"/>
      <x:c r="W251" s="9"/>
      <x:c r="X251" s="118"/>
      <x:c r="Y251" s="118"/>
      <x:c r="Z251" s="118"/>
      <x:c r="AA251" s="118"/>
      <x:c r="AB251" s="118"/>
      <x:c r="AC251" s="9"/>
      <x:c r="AD251" s="118"/>
      <x:c r="AE251" s="2"/>
      <x:c r="AF251" s="9"/>
      <x:c r="AG251" s="9"/>
      <x:c r="AH251" s="2"/>
    </x:row>
    <x:row r="252" ht="14.25" customHeight="1">
      <x:c r="A252" s="2"/>
      <x:c r="B252" s="9"/>
      <x:c r="C252" s="9"/>
      <x:c r="D252" s="118"/>
      <x:c r="E252" s="118"/>
      <x:c r="F252" s="118"/>
      <x:c r="G252" s="118"/>
      <x:c r="H252" s="118"/>
      <x:c r="I252" s="9"/>
      <x:c r="J252" s="118"/>
      <x:c r="K252" s="9"/>
      <x:c r="L252" s="9"/>
      <x:c r="M252" s="9"/>
      <x:c r="N252" s="118"/>
      <x:c r="O252" s="118"/>
      <x:c r="P252" s="118"/>
      <x:c r="Q252" s="118"/>
      <x:c r="R252" s="118"/>
      <x:c r="S252" s="9"/>
      <x:c r="T252" s="118"/>
      <x:c r="U252" s="9"/>
      <x:c r="V252" s="9"/>
      <x:c r="W252" s="9"/>
      <x:c r="X252" s="118"/>
      <x:c r="Y252" s="118"/>
      <x:c r="Z252" s="118"/>
      <x:c r="AA252" s="118"/>
      <x:c r="AB252" s="118"/>
      <x:c r="AC252" s="9"/>
      <x:c r="AD252" s="118"/>
      <x:c r="AE252" s="2"/>
      <x:c r="AF252" s="9"/>
      <x:c r="AG252" s="9"/>
      <x:c r="AH252" s="2"/>
    </x:row>
    <x:row r="253" ht="14.25" customHeight="1">
      <x:c r="A253" s="2"/>
      <x:c r="B253" s="9"/>
      <x:c r="C253" s="9"/>
      <x:c r="D253" s="118"/>
      <x:c r="E253" s="118"/>
      <x:c r="F253" s="118"/>
      <x:c r="G253" s="118"/>
      <x:c r="H253" s="118"/>
      <x:c r="I253" s="9"/>
      <x:c r="J253" s="118"/>
      <x:c r="K253" s="9"/>
      <x:c r="L253" s="9"/>
      <x:c r="M253" s="9"/>
      <x:c r="N253" s="118"/>
      <x:c r="O253" s="118"/>
      <x:c r="P253" s="118"/>
      <x:c r="Q253" s="118"/>
      <x:c r="R253" s="118"/>
      <x:c r="S253" s="9"/>
      <x:c r="T253" s="118"/>
      <x:c r="U253" s="9"/>
      <x:c r="V253" s="9"/>
      <x:c r="W253" s="9"/>
      <x:c r="X253" s="118"/>
      <x:c r="Y253" s="118"/>
      <x:c r="Z253" s="118"/>
      <x:c r="AA253" s="118"/>
      <x:c r="AB253" s="118"/>
      <x:c r="AC253" s="9"/>
      <x:c r="AD253" s="118"/>
      <x:c r="AE253" s="2"/>
      <x:c r="AF253" s="9"/>
      <x:c r="AG253" s="9"/>
      <x:c r="AH253" s="2"/>
    </x:row>
    <x:row r="254" ht="14.25" customHeight="1">
      <x:c r="A254" s="2"/>
      <x:c r="B254" s="9"/>
      <x:c r="C254" s="9"/>
      <x:c r="D254" s="118"/>
      <x:c r="E254" s="118"/>
      <x:c r="F254" s="118"/>
      <x:c r="G254" s="118"/>
      <x:c r="H254" s="118"/>
      <x:c r="I254" s="9"/>
      <x:c r="J254" s="118"/>
      <x:c r="K254" s="9"/>
      <x:c r="L254" s="9"/>
      <x:c r="M254" s="9"/>
      <x:c r="N254" s="118"/>
      <x:c r="O254" s="118"/>
      <x:c r="P254" s="118"/>
      <x:c r="Q254" s="118"/>
      <x:c r="R254" s="118"/>
      <x:c r="S254" s="9"/>
      <x:c r="T254" s="118"/>
      <x:c r="U254" s="9"/>
      <x:c r="V254" s="9"/>
      <x:c r="W254" s="9"/>
      <x:c r="X254" s="118"/>
      <x:c r="Y254" s="118"/>
      <x:c r="Z254" s="118"/>
      <x:c r="AA254" s="118"/>
      <x:c r="AB254" s="118"/>
      <x:c r="AC254" s="9"/>
      <x:c r="AD254" s="118"/>
      <x:c r="AE254" s="2"/>
      <x:c r="AF254" s="9"/>
      <x:c r="AG254" s="9"/>
      <x:c r="AH254" s="2"/>
    </x:row>
    <x:row r="255" ht="14.25" customHeight="1">
      <x:c r="A255" s="2"/>
      <x:c r="B255" s="9"/>
      <x:c r="C255" s="9"/>
      <x:c r="D255" s="118"/>
      <x:c r="E255" s="118"/>
      <x:c r="F255" s="118"/>
      <x:c r="G255" s="118"/>
      <x:c r="H255" s="118"/>
      <x:c r="I255" s="9"/>
      <x:c r="J255" s="118"/>
      <x:c r="K255" s="9"/>
      <x:c r="L255" s="9"/>
      <x:c r="M255" s="9"/>
      <x:c r="N255" s="118"/>
      <x:c r="O255" s="118"/>
      <x:c r="P255" s="118"/>
      <x:c r="Q255" s="118"/>
      <x:c r="R255" s="118"/>
      <x:c r="S255" s="9"/>
      <x:c r="T255" s="118"/>
      <x:c r="U255" s="9"/>
      <x:c r="V255" s="9"/>
      <x:c r="W255" s="9"/>
      <x:c r="X255" s="118"/>
      <x:c r="Y255" s="118"/>
      <x:c r="Z255" s="118"/>
      <x:c r="AA255" s="118"/>
      <x:c r="AB255" s="118"/>
      <x:c r="AC255" s="9"/>
      <x:c r="AD255" s="118"/>
      <x:c r="AE255" s="2"/>
      <x:c r="AF255" s="9"/>
      <x:c r="AG255" s="9"/>
      <x:c r="AH255" s="2"/>
    </x:row>
    <x:row r="256" ht="14.25" customHeight="1">
      <x:c r="A256" s="2"/>
      <x:c r="B256" s="9"/>
      <x:c r="C256" s="9"/>
      <x:c r="D256" s="118"/>
      <x:c r="E256" s="118"/>
      <x:c r="F256" s="118"/>
      <x:c r="G256" s="118"/>
      <x:c r="H256" s="118"/>
      <x:c r="I256" s="9"/>
      <x:c r="J256" s="118"/>
      <x:c r="K256" s="9"/>
      <x:c r="L256" s="9"/>
      <x:c r="M256" s="9"/>
      <x:c r="N256" s="118"/>
      <x:c r="O256" s="118"/>
      <x:c r="P256" s="118"/>
      <x:c r="Q256" s="118"/>
      <x:c r="R256" s="118"/>
      <x:c r="S256" s="9"/>
      <x:c r="T256" s="118"/>
      <x:c r="U256" s="9"/>
      <x:c r="V256" s="9"/>
      <x:c r="W256" s="9"/>
      <x:c r="X256" s="118"/>
      <x:c r="Y256" s="118"/>
      <x:c r="Z256" s="118"/>
      <x:c r="AA256" s="118"/>
      <x:c r="AB256" s="118"/>
      <x:c r="AC256" s="9"/>
      <x:c r="AD256" s="118"/>
      <x:c r="AE256" s="2"/>
      <x:c r="AF256" s="9"/>
      <x:c r="AG256" s="9"/>
      <x:c r="AH256" s="2"/>
    </x:row>
    <x:row r="257" ht="14.25" customHeight="1">
      <x:c r="A257" s="2"/>
      <x:c r="B257" s="9"/>
      <x:c r="C257" s="9"/>
      <x:c r="D257" s="118"/>
      <x:c r="E257" s="118"/>
      <x:c r="F257" s="118"/>
      <x:c r="G257" s="118"/>
      <x:c r="H257" s="118"/>
      <x:c r="I257" s="9"/>
      <x:c r="J257" s="118"/>
      <x:c r="K257" s="9"/>
      <x:c r="L257" s="9"/>
      <x:c r="M257" s="9"/>
      <x:c r="N257" s="118"/>
      <x:c r="O257" s="118"/>
      <x:c r="P257" s="118"/>
      <x:c r="Q257" s="118"/>
      <x:c r="R257" s="118"/>
      <x:c r="S257" s="9"/>
      <x:c r="T257" s="118"/>
      <x:c r="U257" s="9"/>
      <x:c r="V257" s="9"/>
      <x:c r="W257" s="9"/>
      <x:c r="X257" s="118"/>
      <x:c r="Y257" s="118"/>
      <x:c r="Z257" s="118"/>
      <x:c r="AA257" s="118"/>
      <x:c r="AB257" s="118"/>
      <x:c r="AC257" s="9"/>
      <x:c r="AD257" s="118"/>
      <x:c r="AE257" s="2"/>
      <x:c r="AF257" s="9"/>
      <x:c r="AG257" s="9"/>
      <x:c r="AH257" s="2"/>
    </x:row>
    <x:row r="258" ht="14.25" customHeight="1">
      <x:c r="A258" s="2"/>
      <x:c r="B258" s="9"/>
      <x:c r="C258" s="9"/>
      <x:c r="D258" s="118"/>
      <x:c r="E258" s="118"/>
      <x:c r="F258" s="118"/>
      <x:c r="G258" s="118"/>
      <x:c r="H258" s="118"/>
      <x:c r="I258" s="9"/>
      <x:c r="J258" s="118"/>
      <x:c r="K258" s="9"/>
      <x:c r="L258" s="9"/>
      <x:c r="M258" s="9"/>
      <x:c r="N258" s="118"/>
      <x:c r="O258" s="118"/>
      <x:c r="P258" s="118"/>
      <x:c r="Q258" s="118"/>
      <x:c r="R258" s="118"/>
      <x:c r="S258" s="9"/>
      <x:c r="T258" s="118"/>
      <x:c r="U258" s="9"/>
      <x:c r="V258" s="9"/>
      <x:c r="W258" s="9"/>
      <x:c r="X258" s="118"/>
      <x:c r="Y258" s="118"/>
      <x:c r="Z258" s="118"/>
      <x:c r="AA258" s="118"/>
      <x:c r="AB258" s="118"/>
      <x:c r="AC258" s="9"/>
      <x:c r="AD258" s="118"/>
      <x:c r="AE258" s="2"/>
      <x:c r="AF258" s="9"/>
      <x:c r="AG258" s="9"/>
      <x:c r="AH258" s="2"/>
    </x:row>
    <x:row r="259" ht="14.25" customHeight="1">
      <x:c r="A259" s="2"/>
      <x:c r="B259" s="9"/>
      <x:c r="C259" s="9"/>
      <x:c r="D259" s="118"/>
      <x:c r="E259" s="118"/>
      <x:c r="F259" s="118"/>
      <x:c r="G259" s="118"/>
      <x:c r="H259" s="118"/>
      <x:c r="I259" s="9"/>
      <x:c r="J259" s="118"/>
      <x:c r="K259" s="9"/>
      <x:c r="L259" s="9"/>
      <x:c r="M259" s="9"/>
      <x:c r="N259" s="118"/>
      <x:c r="O259" s="118"/>
      <x:c r="P259" s="118"/>
      <x:c r="Q259" s="118"/>
      <x:c r="R259" s="118"/>
      <x:c r="S259" s="9"/>
      <x:c r="T259" s="118"/>
      <x:c r="U259" s="9"/>
      <x:c r="V259" s="9"/>
      <x:c r="W259" s="9"/>
      <x:c r="X259" s="118"/>
      <x:c r="Y259" s="118"/>
      <x:c r="Z259" s="118"/>
      <x:c r="AA259" s="118"/>
      <x:c r="AB259" s="118"/>
      <x:c r="AC259" s="9"/>
      <x:c r="AD259" s="118"/>
      <x:c r="AE259" s="2"/>
      <x:c r="AF259" s="9"/>
      <x:c r="AG259" s="9"/>
      <x:c r="AH259" s="2"/>
    </x:row>
    <x:row r="260" ht="14.25" customHeight="1">
      <x:c r="A260" s="2"/>
      <x:c r="B260" s="9"/>
      <x:c r="C260" s="9"/>
      <x:c r="D260" s="118"/>
      <x:c r="E260" s="118"/>
      <x:c r="F260" s="118"/>
      <x:c r="G260" s="118"/>
      <x:c r="H260" s="118"/>
      <x:c r="I260" s="9"/>
      <x:c r="J260" s="118"/>
      <x:c r="K260" s="9"/>
      <x:c r="L260" s="9"/>
      <x:c r="M260" s="9"/>
      <x:c r="N260" s="118"/>
      <x:c r="O260" s="118"/>
      <x:c r="P260" s="118"/>
      <x:c r="Q260" s="118"/>
      <x:c r="R260" s="118"/>
      <x:c r="S260" s="9"/>
      <x:c r="T260" s="118"/>
      <x:c r="U260" s="9"/>
      <x:c r="V260" s="9"/>
      <x:c r="W260" s="9"/>
      <x:c r="X260" s="118"/>
      <x:c r="Y260" s="118"/>
      <x:c r="Z260" s="118"/>
      <x:c r="AA260" s="118"/>
      <x:c r="AB260" s="118"/>
      <x:c r="AC260" s="9"/>
      <x:c r="AD260" s="118"/>
      <x:c r="AE260" s="2"/>
      <x:c r="AF260" s="9"/>
      <x:c r="AG260" s="9"/>
      <x:c r="AH260" s="2"/>
    </x:row>
    <x:row r="261" ht="14.25" customHeight="1">
      <x:c r="A261" s="2"/>
      <x:c r="B261" s="9"/>
      <x:c r="C261" s="9"/>
      <x:c r="D261" s="118"/>
      <x:c r="E261" s="118"/>
      <x:c r="F261" s="118"/>
      <x:c r="G261" s="118"/>
      <x:c r="H261" s="118"/>
      <x:c r="I261" s="9"/>
      <x:c r="J261" s="118"/>
      <x:c r="K261" s="9"/>
      <x:c r="L261" s="9"/>
      <x:c r="M261" s="9"/>
      <x:c r="N261" s="118"/>
      <x:c r="O261" s="118"/>
      <x:c r="P261" s="118"/>
      <x:c r="Q261" s="118"/>
      <x:c r="R261" s="118"/>
      <x:c r="S261" s="9"/>
      <x:c r="T261" s="118"/>
      <x:c r="U261" s="9"/>
      <x:c r="V261" s="9"/>
      <x:c r="W261" s="9"/>
      <x:c r="X261" s="118"/>
      <x:c r="Y261" s="118"/>
      <x:c r="Z261" s="118"/>
      <x:c r="AA261" s="118"/>
      <x:c r="AB261" s="118"/>
      <x:c r="AC261" s="9"/>
      <x:c r="AD261" s="118"/>
      <x:c r="AE261" s="2"/>
      <x:c r="AF261" s="9"/>
      <x:c r="AG261" s="9"/>
      <x:c r="AH261" s="2"/>
    </x:row>
    <x:row r="262" ht="14.25" customHeight="1">
      <x:c r="A262" s="2"/>
      <x:c r="B262" s="9"/>
      <x:c r="C262" s="9"/>
      <x:c r="D262" s="118"/>
      <x:c r="E262" s="118"/>
      <x:c r="F262" s="118"/>
      <x:c r="G262" s="118"/>
      <x:c r="H262" s="118"/>
      <x:c r="I262" s="9"/>
      <x:c r="J262" s="118"/>
      <x:c r="K262" s="9"/>
      <x:c r="L262" s="9"/>
      <x:c r="M262" s="9"/>
      <x:c r="N262" s="118"/>
      <x:c r="O262" s="118"/>
      <x:c r="P262" s="118"/>
      <x:c r="Q262" s="118"/>
      <x:c r="R262" s="118"/>
      <x:c r="S262" s="9"/>
      <x:c r="T262" s="118"/>
      <x:c r="U262" s="9"/>
      <x:c r="V262" s="9"/>
      <x:c r="W262" s="9"/>
      <x:c r="X262" s="118"/>
      <x:c r="Y262" s="118"/>
      <x:c r="Z262" s="118"/>
      <x:c r="AA262" s="118"/>
      <x:c r="AB262" s="118"/>
      <x:c r="AC262" s="9"/>
      <x:c r="AD262" s="118"/>
      <x:c r="AE262" s="2"/>
      <x:c r="AF262" s="9"/>
      <x:c r="AG262" s="9"/>
      <x:c r="AH262" s="2"/>
    </x:row>
    <x:row r="263" ht="14.25" customHeight="1">
      <x:c r="A263" s="2"/>
      <x:c r="B263" s="9"/>
      <x:c r="C263" s="9"/>
      <x:c r="D263" s="118"/>
      <x:c r="E263" s="118"/>
      <x:c r="F263" s="118"/>
      <x:c r="G263" s="118"/>
      <x:c r="H263" s="118"/>
      <x:c r="I263" s="9"/>
      <x:c r="J263" s="118"/>
      <x:c r="K263" s="9"/>
      <x:c r="L263" s="9"/>
      <x:c r="M263" s="9"/>
      <x:c r="N263" s="118"/>
      <x:c r="O263" s="118"/>
      <x:c r="P263" s="118"/>
      <x:c r="Q263" s="118"/>
      <x:c r="R263" s="118"/>
      <x:c r="S263" s="9"/>
      <x:c r="T263" s="118"/>
      <x:c r="U263" s="9"/>
      <x:c r="V263" s="9"/>
      <x:c r="W263" s="9"/>
      <x:c r="X263" s="118"/>
      <x:c r="Y263" s="118"/>
      <x:c r="Z263" s="118"/>
      <x:c r="AA263" s="118"/>
      <x:c r="AB263" s="118"/>
      <x:c r="AC263" s="9"/>
      <x:c r="AD263" s="118"/>
      <x:c r="AE263" s="2"/>
      <x:c r="AF263" s="9"/>
      <x:c r="AG263" s="9"/>
      <x:c r="AH263" s="2"/>
    </x:row>
    <x:row r="264" ht="14.25" customHeight="1">
      <x:c r="A264" s="2"/>
      <x:c r="B264" s="9"/>
      <x:c r="C264" s="9"/>
      <x:c r="D264" s="118"/>
      <x:c r="E264" s="118"/>
      <x:c r="F264" s="118"/>
      <x:c r="G264" s="118"/>
      <x:c r="H264" s="118"/>
      <x:c r="I264" s="9"/>
      <x:c r="J264" s="118"/>
      <x:c r="K264" s="9"/>
      <x:c r="L264" s="9"/>
      <x:c r="M264" s="9"/>
      <x:c r="N264" s="118"/>
      <x:c r="O264" s="118"/>
      <x:c r="P264" s="118"/>
      <x:c r="Q264" s="118"/>
      <x:c r="R264" s="118"/>
      <x:c r="S264" s="9"/>
      <x:c r="T264" s="118"/>
      <x:c r="U264" s="9"/>
      <x:c r="V264" s="9"/>
      <x:c r="W264" s="9"/>
      <x:c r="X264" s="118"/>
      <x:c r="Y264" s="118"/>
      <x:c r="Z264" s="118"/>
      <x:c r="AA264" s="118"/>
      <x:c r="AB264" s="118"/>
      <x:c r="AC264" s="9"/>
      <x:c r="AD264" s="118"/>
      <x:c r="AE264" s="2"/>
      <x:c r="AF264" s="9"/>
      <x:c r="AG264" s="9"/>
      <x:c r="AH264" s="2"/>
    </x:row>
    <x:row r="265" ht="14.25" customHeight="1">
      <x:c r="A265" s="2"/>
      <x:c r="B265" s="9"/>
      <x:c r="C265" s="9"/>
      <x:c r="D265" s="118"/>
      <x:c r="E265" s="118"/>
      <x:c r="F265" s="118"/>
      <x:c r="G265" s="118"/>
      <x:c r="H265" s="118"/>
      <x:c r="I265" s="9"/>
      <x:c r="J265" s="118"/>
      <x:c r="K265" s="9"/>
      <x:c r="L265" s="9"/>
      <x:c r="M265" s="9"/>
      <x:c r="N265" s="118"/>
      <x:c r="O265" s="118"/>
      <x:c r="P265" s="118"/>
      <x:c r="Q265" s="118"/>
      <x:c r="R265" s="118"/>
      <x:c r="S265" s="9"/>
      <x:c r="T265" s="118"/>
      <x:c r="U265" s="9"/>
      <x:c r="V265" s="9"/>
      <x:c r="W265" s="9"/>
      <x:c r="X265" s="118"/>
      <x:c r="Y265" s="118"/>
      <x:c r="Z265" s="118"/>
      <x:c r="AA265" s="118"/>
      <x:c r="AB265" s="118"/>
      <x:c r="AC265" s="9"/>
      <x:c r="AD265" s="118"/>
      <x:c r="AE265" s="2"/>
      <x:c r="AF265" s="9"/>
      <x:c r="AG265" s="9"/>
      <x:c r="AH265" s="2"/>
    </x:row>
    <x:row r="266" ht="14.25" customHeight="1">
      <x:c r="A266" s="2"/>
      <x:c r="B266" s="9"/>
      <x:c r="C266" s="9"/>
      <x:c r="D266" s="118"/>
      <x:c r="E266" s="118"/>
      <x:c r="F266" s="118"/>
      <x:c r="G266" s="118"/>
      <x:c r="H266" s="118"/>
      <x:c r="I266" s="9"/>
      <x:c r="J266" s="118"/>
      <x:c r="K266" s="9"/>
      <x:c r="L266" s="9"/>
      <x:c r="M266" s="9"/>
      <x:c r="N266" s="118"/>
      <x:c r="O266" s="118"/>
      <x:c r="P266" s="118"/>
      <x:c r="Q266" s="118"/>
      <x:c r="R266" s="118"/>
      <x:c r="S266" s="9"/>
      <x:c r="T266" s="118"/>
      <x:c r="U266" s="9"/>
      <x:c r="V266" s="9"/>
      <x:c r="W266" s="9"/>
      <x:c r="X266" s="118"/>
      <x:c r="Y266" s="118"/>
      <x:c r="Z266" s="118"/>
      <x:c r="AA266" s="118"/>
      <x:c r="AB266" s="118"/>
      <x:c r="AC266" s="9"/>
      <x:c r="AD266" s="118"/>
      <x:c r="AE266" s="2"/>
      <x:c r="AF266" s="9"/>
      <x:c r="AG266" s="9"/>
      <x:c r="AH266" s="2"/>
    </x:row>
    <x:row r="267" ht="14.25" customHeight="1">
      <x:c r="A267" s="2"/>
      <x:c r="B267" s="9"/>
      <x:c r="C267" s="9"/>
      <x:c r="D267" s="118"/>
      <x:c r="E267" s="118"/>
      <x:c r="F267" s="118"/>
      <x:c r="G267" s="118"/>
      <x:c r="H267" s="118"/>
      <x:c r="I267" s="9"/>
      <x:c r="J267" s="118"/>
      <x:c r="K267" s="9"/>
      <x:c r="L267" s="9"/>
      <x:c r="M267" s="9"/>
      <x:c r="N267" s="118"/>
      <x:c r="O267" s="118"/>
      <x:c r="P267" s="118"/>
      <x:c r="Q267" s="118"/>
      <x:c r="R267" s="118"/>
      <x:c r="S267" s="9"/>
      <x:c r="T267" s="118"/>
      <x:c r="U267" s="9"/>
      <x:c r="V267" s="9"/>
      <x:c r="W267" s="9"/>
      <x:c r="X267" s="118"/>
      <x:c r="Y267" s="118"/>
      <x:c r="Z267" s="118"/>
      <x:c r="AA267" s="118"/>
      <x:c r="AB267" s="118"/>
      <x:c r="AC267" s="9"/>
      <x:c r="AD267" s="118"/>
      <x:c r="AE267" s="2"/>
      <x:c r="AF267" s="9"/>
      <x:c r="AG267" s="9"/>
      <x:c r="AH267" s="2"/>
    </x:row>
    <x:row r="268" ht="14.25" customHeight="1">
      <x:c r="A268" s="2"/>
      <x:c r="B268" s="9"/>
      <x:c r="C268" s="9"/>
      <x:c r="D268" s="118"/>
      <x:c r="E268" s="118"/>
      <x:c r="F268" s="118"/>
      <x:c r="G268" s="118"/>
      <x:c r="H268" s="118"/>
      <x:c r="I268" s="9"/>
      <x:c r="J268" s="118"/>
      <x:c r="K268" s="9"/>
      <x:c r="L268" s="9"/>
      <x:c r="M268" s="9"/>
      <x:c r="N268" s="118"/>
      <x:c r="O268" s="118"/>
      <x:c r="P268" s="118"/>
      <x:c r="Q268" s="118"/>
      <x:c r="R268" s="118"/>
      <x:c r="S268" s="9"/>
      <x:c r="T268" s="118"/>
      <x:c r="U268" s="9"/>
      <x:c r="V268" s="9"/>
      <x:c r="W268" s="9"/>
      <x:c r="X268" s="118"/>
      <x:c r="Y268" s="118"/>
      <x:c r="Z268" s="118"/>
      <x:c r="AA268" s="118"/>
      <x:c r="AB268" s="118"/>
      <x:c r="AC268" s="9"/>
      <x:c r="AD268" s="118"/>
      <x:c r="AE268" s="2"/>
      <x:c r="AF268" s="9"/>
      <x:c r="AG268" s="9"/>
      <x:c r="AH268" s="2"/>
    </x:row>
    <x:row r="269" ht="14.25" customHeight="1">
      <x:c r="A269" s="2"/>
      <x:c r="B269" s="9"/>
      <x:c r="C269" s="9"/>
      <x:c r="D269" s="118"/>
      <x:c r="E269" s="118"/>
      <x:c r="F269" s="118"/>
      <x:c r="G269" s="118"/>
      <x:c r="H269" s="118"/>
      <x:c r="I269" s="9"/>
      <x:c r="J269" s="118"/>
      <x:c r="K269" s="9"/>
      <x:c r="L269" s="9"/>
      <x:c r="M269" s="9"/>
      <x:c r="N269" s="118"/>
      <x:c r="O269" s="118"/>
      <x:c r="P269" s="118"/>
      <x:c r="Q269" s="118"/>
      <x:c r="R269" s="118"/>
      <x:c r="S269" s="9"/>
      <x:c r="T269" s="118"/>
      <x:c r="U269" s="9"/>
      <x:c r="V269" s="9"/>
      <x:c r="W269" s="9"/>
      <x:c r="X269" s="118"/>
      <x:c r="Y269" s="118"/>
      <x:c r="Z269" s="118"/>
      <x:c r="AA269" s="118"/>
      <x:c r="AB269" s="118"/>
      <x:c r="AC269" s="9"/>
      <x:c r="AD269" s="118"/>
      <x:c r="AE269" s="2"/>
      <x:c r="AF269" s="9"/>
      <x:c r="AG269" s="9"/>
      <x:c r="AH269" s="2"/>
    </x:row>
    <x:row r="270" ht="14.25" customHeight="1">
      <x:c r="A270" s="2"/>
      <x:c r="B270" s="9"/>
      <x:c r="C270" s="9"/>
      <x:c r="D270" s="118"/>
      <x:c r="E270" s="118"/>
      <x:c r="F270" s="118"/>
      <x:c r="G270" s="118"/>
      <x:c r="H270" s="118"/>
      <x:c r="I270" s="9"/>
      <x:c r="J270" s="118"/>
      <x:c r="K270" s="9"/>
      <x:c r="L270" s="9"/>
      <x:c r="M270" s="9"/>
      <x:c r="N270" s="118"/>
      <x:c r="O270" s="118"/>
      <x:c r="P270" s="118"/>
      <x:c r="Q270" s="118"/>
      <x:c r="R270" s="118"/>
      <x:c r="S270" s="9"/>
      <x:c r="T270" s="118"/>
      <x:c r="U270" s="9"/>
      <x:c r="V270" s="9"/>
      <x:c r="W270" s="9"/>
      <x:c r="X270" s="118"/>
      <x:c r="Y270" s="118"/>
      <x:c r="Z270" s="118"/>
      <x:c r="AA270" s="118"/>
      <x:c r="AB270" s="118"/>
      <x:c r="AC270" s="9"/>
      <x:c r="AD270" s="118"/>
      <x:c r="AE270" s="2"/>
      <x:c r="AF270" s="9"/>
      <x:c r="AG270" s="9"/>
      <x:c r="AH270" s="2"/>
    </x:row>
    <x:row r="271" ht="14.25" customHeight="1">
      <x:c r="A271" s="2"/>
      <x:c r="B271" s="9"/>
      <x:c r="C271" s="9"/>
      <x:c r="D271" s="118"/>
      <x:c r="E271" s="118"/>
      <x:c r="F271" s="118"/>
      <x:c r="G271" s="118"/>
      <x:c r="H271" s="118"/>
      <x:c r="I271" s="9"/>
      <x:c r="J271" s="118"/>
      <x:c r="K271" s="9"/>
      <x:c r="L271" s="9"/>
      <x:c r="M271" s="9"/>
      <x:c r="N271" s="118"/>
      <x:c r="O271" s="118"/>
      <x:c r="P271" s="118"/>
      <x:c r="Q271" s="118"/>
      <x:c r="R271" s="118"/>
      <x:c r="S271" s="9"/>
      <x:c r="T271" s="118"/>
      <x:c r="U271" s="9"/>
      <x:c r="V271" s="9"/>
      <x:c r="W271" s="9"/>
      <x:c r="X271" s="118"/>
      <x:c r="Y271" s="118"/>
      <x:c r="Z271" s="118"/>
      <x:c r="AA271" s="118"/>
      <x:c r="AB271" s="118"/>
      <x:c r="AC271" s="9"/>
      <x:c r="AD271" s="118"/>
      <x:c r="AE271" s="2"/>
      <x:c r="AF271" s="9"/>
      <x:c r="AG271" s="9"/>
      <x:c r="AH271" s="2"/>
    </x:row>
    <x:row r="272" ht="14.25" customHeight="1">
      <x:c r="A272" s="2"/>
      <x:c r="B272" s="9"/>
      <x:c r="C272" s="9"/>
      <x:c r="D272" s="118"/>
      <x:c r="E272" s="118"/>
      <x:c r="F272" s="118"/>
      <x:c r="G272" s="118"/>
      <x:c r="H272" s="118"/>
      <x:c r="I272" s="9"/>
      <x:c r="J272" s="118"/>
      <x:c r="K272" s="9"/>
      <x:c r="L272" s="9"/>
      <x:c r="M272" s="9"/>
      <x:c r="N272" s="118"/>
      <x:c r="O272" s="118"/>
      <x:c r="P272" s="118"/>
      <x:c r="Q272" s="118"/>
      <x:c r="R272" s="118"/>
      <x:c r="S272" s="9"/>
      <x:c r="T272" s="118"/>
      <x:c r="U272" s="9"/>
      <x:c r="V272" s="9"/>
      <x:c r="W272" s="9"/>
      <x:c r="X272" s="118"/>
      <x:c r="Y272" s="118"/>
      <x:c r="Z272" s="118"/>
      <x:c r="AA272" s="118"/>
      <x:c r="AB272" s="118"/>
      <x:c r="AC272" s="9"/>
      <x:c r="AD272" s="118"/>
      <x:c r="AE272" s="2"/>
      <x:c r="AF272" s="9"/>
      <x:c r="AG272" s="9"/>
      <x:c r="AH272" s="2"/>
    </x:row>
    <x:row r="273" ht="14.25" customHeight="1">
      <x:c r="A273" s="2"/>
      <x:c r="B273" s="9"/>
      <x:c r="C273" s="9"/>
      <x:c r="D273" s="118"/>
      <x:c r="E273" s="118"/>
      <x:c r="F273" s="118"/>
      <x:c r="G273" s="118"/>
      <x:c r="H273" s="118"/>
      <x:c r="I273" s="9"/>
      <x:c r="J273" s="118"/>
      <x:c r="K273" s="9"/>
      <x:c r="L273" s="9"/>
      <x:c r="M273" s="9"/>
      <x:c r="N273" s="118"/>
      <x:c r="O273" s="118"/>
      <x:c r="P273" s="118"/>
      <x:c r="Q273" s="118"/>
      <x:c r="R273" s="118"/>
      <x:c r="S273" s="9"/>
      <x:c r="T273" s="118"/>
      <x:c r="U273" s="9"/>
      <x:c r="V273" s="9"/>
      <x:c r="W273" s="9"/>
      <x:c r="X273" s="118"/>
      <x:c r="Y273" s="118"/>
      <x:c r="Z273" s="118"/>
      <x:c r="AA273" s="118"/>
      <x:c r="AB273" s="118"/>
      <x:c r="AC273" s="9"/>
      <x:c r="AD273" s="118"/>
      <x:c r="AE273" s="2"/>
      <x:c r="AF273" s="9"/>
      <x:c r="AG273" s="9"/>
      <x:c r="AH273" s="2"/>
    </x:row>
    <x:row r="274" ht="14.25" customHeight="1">
      <x:c r="A274" s="2"/>
      <x:c r="B274" s="9"/>
      <x:c r="C274" s="9"/>
      <x:c r="D274" s="118"/>
      <x:c r="E274" s="118"/>
      <x:c r="F274" s="118"/>
      <x:c r="G274" s="118"/>
      <x:c r="H274" s="118"/>
      <x:c r="I274" s="9"/>
      <x:c r="J274" s="118"/>
      <x:c r="K274" s="9"/>
      <x:c r="L274" s="9"/>
      <x:c r="M274" s="9"/>
      <x:c r="N274" s="118"/>
      <x:c r="O274" s="118"/>
      <x:c r="P274" s="118"/>
      <x:c r="Q274" s="118"/>
      <x:c r="R274" s="118"/>
      <x:c r="S274" s="9"/>
      <x:c r="T274" s="118"/>
      <x:c r="U274" s="9"/>
      <x:c r="V274" s="9"/>
      <x:c r="W274" s="9"/>
      <x:c r="X274" s="118"/>
      <x:c r="Y274" s="118"/>
      <x:c r="Z274" s="118"/>
      <x:c r="AA274" s="118"/>
      <x:c r="AB274" s="118"/>
      <x:c r="AC274" s="9"/>
      <x:c r="AD274" s="118"/>
      <x:c r="AE274" s="2"/>
      <x:c r="AF274" s="9"/>
      <x:c r="AG274" s="9"/>
      <x:c r="AH274" s="2"/>
    </x:row>
    <x:row r="275" ht="14.25" customHeight="1">
      <x:c r="A275" s="2"/>
      <x:c r="B275" s="9"/>
      <x:c r="C275" s="9"/>
      <x:c r="D275" s="118"/>
      <x:c r="E275" s="118"/>
      <x:c r="F275" s="118"/>
      <x:c r="G275" s="118"/>
      <x:c r="H275" s="118"/>
      <x:c r="I275" s="9"/>
      <x:c r="J275" s="118"/>
      <x:c r="K275" s="9"/>
      <x:c r="L275" s="9"/>
      <x:c r="M275" s="9"/>
      <x:c r="N275" s="118"/>
      <x:c r="O275" s="118"/>
      <x:c r="P275" s="118"/>
      <x:c r="Q275" s="118"/>
      <x:c r="R275" s="118"/>
      <x:c r="S275" s="9"/>
      <x:c r="T275" s="118"/>
      <x:c r="U275" s="9"/>
      <x:c r="V275" s="9"/>
      <x:c r="W275" s="9"/>
      <x:c r="X275" s="118"/>
      <x:c r="Y275" s="118"/>
      <x:c r="Z275" s="118"/>
      <x:c r="AA275" s="118"/>
      <x:c r="AB275" s="118"/>
      <x:c r="AC275" s="9"/>
      <x:c r="AD275" s="118"/>
      <x:c r="AE275" s="2"/>
      <x:c r="AF275" s="9"/>
      <x:c r="AG275" s="9"/>
      <x:c r="AH275" s="2"/>
    </x:row>
    <x:row r="276" ht="14.25" customHeight="1">
      <x:c r="A276" s="2"/>
      <x:c r="B276" s="9"/>
      <x:c r="C276" s="9"/>
      <x:c r="D276" s="118"/>
      <x:c r="E276" s="118"/>
      <x:c r="F276" s="118"/>
      <x:c r="G276" s="118"/>
      <x:c r="H276" s="118"/>
      <x:c r="I276" s="9"/>
      <x:c r="J276" s="118"/>
      <x:c r="K276" s="9"/>
      <x:c r="L276" s="9"/>
      <x:c r="M276" s="9"/>
      <x:c r="N276" s="118"/>
      <x:c r="O276" s="118"/>
      <x:c r="P276" s="118"/>
      <x:c r="Q276" s="118"/>
      <x:c r="R276" s="118"/>
      <x:c r="S276" s="9"/>
      <x:c r="T276" s="118"/>
      <x:c r="U276" s="9"/>
      <x:c r="V276" s="9"/>
      <x:c r="W276" s="9"/>
      <x:c r="X276" s="118"/>
      <x:c r="Y276" s="118"/>
      <x:c r="Z276" s="118"/>
      <x:c r="AA276" s="118"/>
      <x:c r="AB276" s="118"/>
      <x:c r="AC276" s="9"/>
      <x:c r="AD276" s="118"/>
      <x:c r="AE276" s="2"/>
      <x:c r="AF276" s="9"/>
      <x:c r="AG276" s="9"/>
      <x:c r="AH276" s="2"/>
    </x:row>
    <x:row r="277" ht="14.25" customHeight="1">
      <x:c r="A277" s="2"/>
      <x:c r="B277" s="9"/>
      <x:c r="C277" s="9"/>
      <x:c r="D277" s="118"/>
      <x:c r="E277" s="118"/>
      <x:c r="F277" s="118"/>
      <x:c r="G277" s="118"/>
      <x:c r="H277" s="118"/>
      <x:c r="I277" s="9"/>
      <x:c r="J277" s="118"/>
      <x:c r="K277" s="9"/>
      <x:c r="L277" s="9"/>
      <x:c r="M277" s="9"/>
      <x:c r="N277" s="118"/>
      <x:c r="O277" s="118"/>
      <x:c r="P277" s="118"/>
      <x:c r="Q277" s="118"/>
      <x:c r="R277" s="118"/>
      <x:c r="S277" s="9"/>
      <x:c r="T277" s="118"/>
      <x:c r="U277" s="9"/>
      <x:c r="V277" s="9"/>
      <x:c r="W277" s="9"/>
      <x:c r="X277" s="118"/>
      <x:c r="Y277" s="118"/>
      <x:c r="Z277" s="118"/>
      <x:c r="AA277" s="118"/>
      <x:c r="AB277" s="118"/>
      <x:c r="AC277" s="9"/>
      <x:c r="AD277" s="118"/>
      <x:c r="AE277" s="2"/>
      <x:c r="AF277" s="9"/>
      <x:c r="AG277" s="9"/>
      <x:c r="AH277" s="2"/>
    </x:row>
    <x:row r="278" ht="14.25" customHeight="1">
      <x:c r="A278" s="2"/>
      <x:c r="B278" s="9"/>
      <x:c r="C278" s="9"/>
      <x:c r="D278" s="118"/>
      <x:c r="E278" s="118"/>
      <x:c r="F278" s="118"/>
      <x:c r="G278" s="118"/>
      <x:c r="H278" s="118"/>
      <x:c r="I278" s="9"/>
      <x:c r="J278" s="118"/>
      <x:c r="K278" s="9"/>
      <x:c r="L278" s="9"/>
      <x:c r="M278" s="9"/>
      <x:c r="N278" s="118"/>
      <x:c r="O278" s="118"/>
      <x:c r="P278" s="118"/>
      <x:c r="Q278" s="118"/>
      <x:c r="R278" s="118"/>
      <x:c r="S278" s="9"/>
      <x:c r="T278" s="118"/>
      <x:c r="U278" s="9"/>
      <x:c r="V278" s="9"/>
      <x:c r="W278" s="9"/>
      <x:c r="X278" s="118"/>
      <x:c r="Y278" s="118"/>
      <x:c r="Z278" s="118"/>
      <x:c r="AA278" s="118"/>
      <x:c r="AB278" s="118"/>
      <x:c r="AC278" s="9"/>
      <x:c r="AD278" s="118"/>
      <x:c r="AE278" s="2"/>
      <x:c r="AF278" s="9"/>
      <x:c r="AG278" s="9"/>
      <x:c r="AH278" s="2"/>
    </x:row>
    <x:row r="279" ht="14.25" customHeight="1">
      <x:c r="A279" s="2"/>
      <x:c r="B279" s="9"/>
      <x:c r="C279" s="9"/>
      <x:c r="D279" s="118"/>
      <x:c r="E279" s="118"/>
      <x:c r="F279" s="118"/>
      <x:c r="G279" s="118"/>
      <x:c r="H279" s="118"/>
      <x:c r="I279" s="9"/>
      <x:c r="J279" s="118"/>
      <x:c r="K279" s="9"/>
      <x:c r="L279" s="9"/>
      <x:c r="M279" s="9"/>
      <x:c r="N279" s="118"/>
      <x:c r="O279" s="118"/>
      <x:c r="P279" s="118"/>
      <x:c r="Q279" s="118"/>
      <x:c r="R279" s="118"/>
      <x:c r="S279" s="9"/>
      <x:c r="T279" s="118"/>
      <x:c r="U279" s="9"/>
      <x:c r="V279" s="9"/>
      <x:c r="W279" s="9"/>
      <x:c r="X279" s="118"/>
      <x:c r="Y279" s="118"/>
      <x:c r="Z279" s="118"/>
      <x:c r="AA279" s="118"/>
      <x:c r="AB279" s="118"/>
      <x:c r="AC279" s="9"/>
      <x:c r="AD279" s="118"/>
      <x:c r="AE279" s="2"/>
      <x:c r="AF279" s="9"/>
      <x:c r="AG279" s="9"/>
      <x:c r="AH279" s="2"/>
    </x:row>
    <x:row r="280" ht="14.25" customHeight="1">
      <x:c r="A280" s="2"/>
      <x:c r="B280" s="9"/>
      <x:c r="C280" s="9"/>
      <x:c r="D280" s="118"/>
      <x:c r="E280" s="118"/>
      <x:c r="F280" s="118"/>
      <x:c r="G280" s="118"/>
      <x:c r="H280" s="118"/>
      <x:c r="I280" s="9"/>
      <x:c r="J280" s="118"/>
      <x:c r="K280" s="9"/>
      <x:c r="L280" s="9"/>
      <x:c r="M280" s="9"/>
      <x:c r="N280" s="118"/>
      <x:c r="O280" s="118"/>
      <x:c r="P280" s="118"/>
      <x:c r="Q280" s="118"/>
      <x:c r="R280" s="118"/>
      <x:c r="S280" s="9"/>
      <x:c r="T280" s="118"/>
      <x:c r="U280" s="9"/>
      <x:c r="V280" s="9"/>
      <x:c r="W280" s="9"/>
      <x:c r="X280" s="118"/>
      <x:c r="Y280" s="118"/>
      <x:c r="Z280" s="118"/>
      <x:c r="AA280" s="118"/>
      <x:c r="AB280" s="118"/>
      <x:c r="AC280" s="9"/>
      <x:c r="AD280" s="118"/>
      <x:c r="AE280" s="2"/>
      <x:c r="AF280" s="9"/>
      <x:c r="AG280" s="9"/>
      <x:c r="AH280" s="2"/>
    </x:row>
    <x:row r="281" ht="14.25" customHeight="1">
      <x:c r="A281" s="2"/>
      <x:c r="B281" s="9"/>
      <x:c r="C281" s="9"/>
      <x:c r="D281" s="118"/>
      <x:c r="E281" s="118"/>
      <x:c r="F281" s="118"/>
      <x:c r="G281" s="118"/>
      <x:c r="H281" s="118"/>
      <x:c r="I281" s="9"/>
      <x:c r="J281" s="118"/>
      <x:c r="K281" s="9"/>
      <x:c r="L281" s="9"/>
      <x:c r="M281" s="9"/>
      <x:c r="N281" s="118"/>
      <x:c r="O281" s="118"/>
      <x:c r="P281" s="118"/>
      <x:c r="Q281" s="118"/>
      <x:c r="R281" s="118"/>
      <x:c r="S281" s="9"/>
      <x:c r="T281" s="118"/>
      <x:c r="U281" s="9"/>
      <x:c r="V281" s="9"/>
      <x:c r="W281" s="9"/>
      <x:c r="X281" s="118"/>
      <x:c r="Y281" s="118"/>
      <x:c r="Z281" s="118"/>
      <x:c r="AA281" s="118"/>
      <x:c r="AB281" s="118"/>
      <x:c r="AC281" s="9"/>
      <x:c r="AD281" s="118"/>
      <x:c r="AE281" s="2"/>
      <x:c r="AF281" s="9"/>
      <x:c r="AG281" s="9"/>
      <x:c r="AH281" s="2"/>
    </x:row>
    <x:row r="282" ht="14.25" customHeight="1">
      <x:c r="A282" s="2"/>
      <x:c r="B282" s="9"/>
      <x:c r="C282" s="9"/>
      <x:c r="D282" s="118"/>
      <x:c r="E282" s="118"/>
      <x:c r="F282" s="118"/>
      <x:c r="G282" s="118"/>
      <x:c r="H282" s="118"/>
      <x:c r="I282" s="9"/>
      <x:c r="J282" s="118"/>
      <x:c r="K282" s="9"/>
      <x:c r="L282" s="9"/>
      <x:c r="M282" s="9"/>
      <x:c r="N282" s="118"/>
      <x:c r="O282" s="118"/>
      <x:c r="P282" s="118"/>
      <x:c r="Q282" s="118"/>
      <x:c r="R282" s="118"/>
      <x:c r="S282" s="9"/>
      <x:c r="T282" s="118"/>
      <x:c r="U282" s="9"/>
      <x:c r="V282" s="9"/>
      <x:c r="W282" s="9"/>
      <x:c r="X282" s="118"/>
      <x:c r="Y282" s="118"/>
      <x:c r="Z282" s="118"/>
      <x:c r="AA282" s="118"/>
      <x:c r="AB282" s="118"/>
      <x:c r="AC282" s="9"/>
      <x:c r="AD282" s="118"/>
      <x:c r="AE282" s="2"/>
      <x:c r="AF282" s="9"/>
      <x:c r="AG282" s="9"/>
      <x:c r="AH282" s="2"/>
    </x:row>
    <x:row r="283" ht="14.25" customHeight="1">
      <x:c r="A283" s="2"/>
      <x:c r="B283" s="9"/>
      <x:c r="C283" s="9"/>
      <x:c r="D283" s="118"/>
      <x:c r="E283" s="118"/>
      <x:c r="F283" s="118"/>
      <x:c r="G283" s="118"/>
      <x:c r="H283" s="118"/>
      <x:c r="I283" s="9"/>
      <x:c r="J283" s="118"/>
      <x:c r="K283" s="9"/>
      <x:c r="L283" s="9"/>
      <x:c r="M283" s="9"/>
      <x:c r="N283" s="118"/>
      <x:c r="O283" s="118"/>
      <x:c r="P283" s="118"/>
      <x:c r="Q283" s="118"/>
      <x:c r="R283" s="118"/>
      <x:c r="S283" s="9"/>
      <x:c r="T283" s="118"/>
      <x:c r="U283" s="9"/>
      <x:c r="V283" s="9"/>
      <x:c r="W283" s="9"/>
      <x:c r="X283" s="118"/>
      <x:c r="Y283" s="118"/>
      <x:c r="Z283" s="118"/>
      <x:c r="AA283" s="118"/>
      <x:c r="AB283" s="118"/>
      <x:c r="AC283" s="9"/>
      <x:c r="AD283" s="118"/>
      <x:c r="AE283" s="2"/>
      <x:c r="AF283" s="9"/>
      <x:c r="AG283" s="9"/>
      <x:c r="AH283" s="2"/>
    </x:row>
    <x:row r="284" ht="14.25" customHeight="1">
      <x:c r="A284" s="2"/>
      <x:c r="B284" s="9"/>
      <x:c r="C284" s="9"/>
      <x:c r="D284" s="118"/>
      <x:c r="E284" s="118"/>
      <x:c r="F284" s="118"/>
      <x:c r="G284" s="118"/>
      <x:c r="H284" s="118"/>
      <x:c r="I284" s="9"/>
      <x:c r="J284" s="118"/>
      <x:c r="K284" s="9"/>
      <x:c r="L284" s="9"/>
      <x:c r="M284" s="9"/>
      <x:c r="N284" s="118"/>
      <x:c r="O284" s="118"/>
      <x:c r="P284" s="118"/>
      <x:c r="Q284" s="118"/>
      <x:c r="R284" s="118"/>
      <x:c r="S284" s="9"/>
      <x:c r="T284" s="118"/>
      <x:c r="U284" s="9"/>
      <x:c r="V284" s="9"/>
      <x:c r="W284" s="9"/>
      <x:c r="X284" s="118"/>
      <x:c r="Y284" s="118"/>
      <x:c r="Z284" s="118"/>
      <x:c r="AA284" s="118"/>
      <x:c r="AB284" s="118"/>
      <x:c r="AC284" s="9"/>
      <x:c r="AD284" s="118"/>
      <x:c r="AE284" s="2"/>
      <x:c r="AF284" s="9"/>
      <x:c r="AG284" s="9"/>
      <x:c r="AH284" s="2"/>
    </x:row>
    <x:row r="285" ht="14.25" customHeight="1">
      <x:c r="A285" s="2"/>
      <x:c r="B285" s="9"/>
      <x:c r="C285" s="9"/>
      <x:c r="D285" s="9"/>
      <x:c r="E285" s="9"/>
      <x:c r="F285" s="9"/>
      <x:c r="G285" s="9"/>
      <x:c r="H285" s="9"/>
      <x:c r="I285" s="9"/>
      <x:c r="J285" s="9"/>
      <x:c r="K285" s="9"/>
      <x:c r="L285" s="9"/>
      <x:c r="M285" s="9"/>
      <x:c r="N285" s="9"/>
      <x:c r="O285" s="9"/>
      <x:c r="P285" s="9"/>
      <x:c r="Q285" s="9"/>
      <x:c r="R285" s="9"/>
      <x:c r="S285" s="9"/>
      <x:c r="T285" s="9"/>
      <x:c r="U285" s="9"/>
      <x:c r="V285" s="9"/>
      <x:c r="W285" s="9"/>
      <x:c r="X285" s="9"/>
      <x:c r="Y285" s="9"/>
      <x:c r="Z285" s="9"/>
      <x:c r="AA285" s="9"/>
      <x:c r="AB285" s="9"/>
      <x:c r="AC285" s="9"/>
      <x:c r="AD285" s="9"/>
      <x:c r="AE285" s="2"/>
      <x:c r="AF285" s="9"/>
      <x:c r="AG285" s="9"/>
      <x:c r="AH285" s="2"/>
    </x:row>
    <x:row r="286" ht="14.25" customHeight="1">
      <x:c r="A286" s="2"/>
      <x:c r="B286" s="9"/>
      <x:c r="C286" s="9"/>
      <x:c r="D286" s="9"/>
      <x:c r="E286" s="9"/>
      <x:c r="F286" s="9"/>
      <x:c r="G286" s="9"/>
      <x:c r="H286" s="9"/>
      <x:c r="I286" s="9"/>
      <x:c r="J286" s="9"/>
      <x:c r="K286" s="9"/>
      <x:c r="L286" s="9"/>
      <x:c r="M286" s="9"/>
      <x:c r="N286" s="9"/>
      <x:c r="O286" s="9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  <x:c r="Z286" s="9"/>
      <x:c r="AA286" s="9"/>
      <x:c r="AB286" s="9"/>
      <x:c r="AC286" s="9"/>
      <x:c r="AD286" s="9"/>
      <x:c r="AE286" s="2"/>
      <x:c r="AF286" s="9"/>
      <x:c r="AG286" s="9"/>
      <x:c r="AH286" s="2"/>
    </x:row>
    <x:row r="287" ht="14.25" customHeight="1">
      <x:c r="A287" s="2"/>
      <x:c r="B287" s="9"/>
      <x:c r="C287" s="9"/>
      <x:c r="D287" s="9"/>
      <x:c r="E287" s="9"/>
      <x:c r="F287" s="9"/>
      <x:c r="G287" s="9"/>
      <x:c r="H287" s="9"/>
      <x:c r="I287" s="9"/>
      <x:c r="J287" s="9"/>
      <x:c r="K287" s="9"/>
      <x:c r="L287" s="9"/>
      <x:c r="M287" s="9"/>
      <x:c r="N287" s="9"/>
      <x:c r="O287" s="9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  <x:c r="Z287" s="9"/>
      <x:c r="AA287" s="9"/>
      <x:c r="AB287" s="9"/>
      <x:c r="AC287" s="9"/>
      <x:c r="AD287" s="9"/>
      <x:c r="AE287" s="2"/>
      <x:c r="AF287" s="9"/>
      <x:c r="AG287" s="9"/>
      <x:c r="AH287" s="2"/>
    </x:row>
    <x:row r="288" ht="14.25" customHeight="1">
      <x:c r="A288" s="2"/>
      <x:c r="B288" s="9"/>
      <x:c r="C288" s="9"/>
      <x:c r="D288" s="9"/>
      <x:c r="E288" s="9"/>
      <x:c r="F288" s="9"/>
      <x:c r="G288" s="9"/>
      <x:c r="H288" s="9"/>
      <x:c r="I288" s="9"/>
      <x:c r="J288" s="9"/>
      <x:c r="K288" s="9"/>
      <x:c r="L288" s="9"/>
      <x:c r="M288" s="9"/>
      <x:c r="N288" s="9"/>
      <x:c r="O288" s="9"/>
      <x:c r="P288" s="9"/>
      <x:c r="Q288" s="9"/>
      <x:c r="R288" s="9"/>
      <x:c r="S288" s="9"/>
      <x:c r="T288" s="9"/>
      <x:c r="U288" s="9"/>
      <x:c r="V288" s="9"/>
      <x:c r="W288" s="9"/>
      <x:c r="X288" s="9"/>
      <x:c r="Y288" s="9"/>
      <x:c r="Z288" s="9"/>
      <x:c r="AA288" s="9"/>
      <x:c r="AB288" s="9"/>
      <x:c r="AC288" s="9"/>
      <x:c r="AD288" s="9"/>
      <x:c r="AE288" s="2"/>
      <x:c r="AF288" s="9"/>
      <x:c r="AG288" s="9"/>
      <x:c r="AH288" s="2"/>
    </x:row>
    <x:row r="289" ht="14.25" customHeight="1">
      <x:c r="A289" s="2"/>
      <x:c r="B289" s="9"/>
      <x:c r="C289" s="9"/>
      <x:c r="D289" s="9"/>
      <x:c r="E289" s="9"/>
      <x:c r="F289" s="9"/>
      <x:c r="G289" s="9"/>
      <x:c r="H289" s="9"/>
      <x:c r="I289" s="9"/>
      <x:c r="J289" s="9"/>
      <x:c r="K289" s="9"/>
      <x:c r="L289" s="9"/>
      <x:c r="M289" s="9"/>
      <x:c r="N289" s="9"/>
      <x:c r="O289" s="9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  <x:c r="Z289" s="9"/>
      <x:c r="AA289" s="9"/>
      <x:c r="AB289" s="9"/>
      <x:c r="AC289" s="9"/>
      <x:c r="AD289" s="9"/>
      <x:c r="AE289" s="2"/>
      <x:c r="AF289" s="9"/>
      <x:c r="AG289" s="9"/>
      <x:c r="AH289" s="2"/>
    </x:row>
    <x:row r="290" ht="14.25" customHeight="1">
      <x:c r="A290" s="2"/>
      <x:c r="B290" s="9"/>
      <x:c r="C290" s="9"/>
      <x:c r="D290" s="9"/>
      <x:c r="E290" s="9"/>
      <x:c r="F290" s="9"/>
      <x:c r="G290" s="9"/>
      <x:c r="H290" s="9"/>
      <x:c r="I290" s="9"/>
      <x:c r="J290" s="9"/>
      <x:c r="K290" s="9"/>
      <x:c r="L290" s="9"/>
      <x:c r="M290" s="9"/>
      <x:c r="N290" s="9"/>
      <x:c r="O290" s="9"/>
      <x:c r="P290" s="9"/>
      <x:c r="Q290" s="9"/>
      <x:c r="R290" s="9"/>
      <x:c r="S290" s="9"/>
      <x:c r="T290" s="9"/>
      <x:c r="U290" s="9"/>
      <x:c r="V290" s="9"/>
      <x:c r="W290" s="9"/>
      <x:c r="X290" s="9"/>
      <x:c r="Y290" s="9"/>
      <x:c r="Z290" s="9"/>
      <x:c r="AA290" s="9"/>
      <x:c r="AB290" s="9"/>
      <x:c r="AC290" s="9"/>
      <x:c r="AD290" s="9"/>
      <x:c r="AE290" s="2"/>
      <x:c r="AF290" s="9"/>
      <x:c r="AG290" s="9"/>
      <x:c r="AH290" s="2"/>
    </x:row>
    <x:row r="291" ht="14.25" customHeight="1">
      <x:c r="A291" s="2"/>
      <x:c r="B291" s="9"/>
      <x:c r="C291" s="9"/>
      <x:c r="D291" s="9"/>
      <x:c r="E291" s="9"/>
      <x:c r="F291" s="9"/>
      <x:c r="G291" s="9"/>
      <x:c r="H291" s="9"/>
      <x:c r="I291" s="9"/>
      <x:c r="J291" s="9"/>
      <x:c r="K291" s="9"/>
      <x:c r="L291" s="9"/>
      <x:c r="M291" s="9"/>
      <x:c r="N291" s="9"/>
      <x:c r="O291" s="9"/>
      <x:c r="P291" s="9"/>
      <x:c r="Q291" s="9"/>
      <x:c r="R291" s="9"/>
      <x:c r="S291" s="9"/>
      <x:c r="T291" s="9"/>
      <x:c r="U291" s="9"/>
      <x:c r="V291" s="9"/>
      <x:c r="W291" s="9"/>
      <x:c r="X291" s="9"/>
      <x:c r="Y291" s="9"/>
      <x:c r="Z291" s="9"/>
      <x:c r="AA291" s="9"/>
      <x:c r="AB291" s="9"/>
      <x:c r="AC291" s="9"/>
      <x:c r="AD291" s="9"/>
      <x:c r="AE291" s="2"/>
      <x:c r="AF291" s="9"/>
      <x:c r="AG291" s="9"/>
      <x:c r="AH291" s="2"/>
    </x:row>
    <x:row r="292" ht="14.25" customHeight="1">
      <x:c r="A292" s="2"/>
      <x:c r="B292" s="9"/>
      <x:c r="C292" s="9"/>
      <x:c r="D292" s="9"/>
      <x:c r="E292" s="9"/>
      <x:c r="F292" s="9"/>
      <x:c r="G292" s="9"/>
      <x:c r="H292" s="9"/>
      <x:c r="I292" s="9"/>
      <x:c r="J292" s="9"/>
      <x:c r="K292" s="9"/>
      <x:c r="L292" s="9"/>
      <x:c r="M292" s="9"/>
      <x:c r="N292" s="9"/>
      <x:c r="O292" s="9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  <x:c r="Z292" s="9"/>
      <x:c r="AA292" s="9"/>
      <x:c r="AB292" s="9"/>
      <x:c r="AC292" s="9"/>
      <x:c r="AD292" s="9"/>
      <x:c r="AE292" s="2"/>
      <x:c r="AF292" s="9"/>
      <x:c r="AG292" s="9"/>
      <x:c r="AH292" s="2"/>
    </x:row>
    <x:row r="293" ht="14.25" customHeight="1">
      <x:c r="A293" s="2"/>
      <x:c r="B293" s="9"/>
      <x:c r="C293" s="9"/>
      <x:c r="D293" s="9"/>
      <x:c r="E293" s="9"/>
      <x:c r="F293" s="9"/>
      <x:c r="G293" s="9"/>
      <x:c r="H293" s="9"/>
      <x:c r="I293" s="9"/>
      <x:c r="J293" s="9"/>
      <x:c r="K293" s="9"/>
      <x:c r="L293" s="9"/>
      <x:c r="M293" s="9"/>
      <x:c r="N293" s="9"/>
      <x:c r="O293" s="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  <x:c r="AA293" s="9"/>
      <x:c r="AB293" s="9"/>
      <x:c r="AC293" s="9"/>
      <x:c r="AD293" s="9"/>
      <x:c r="AE293" s="2"/>
      <x:c r="AF293" s="9"/>
      <x:c r="AG293" s="9"/>
      <x:c r="AH293" s="2"/>
    </x:row>
    <x:row r="294" ht="14.25" customHeight="1">
      <x:c r="A294" s="2"/>
      <x:c r="B294" s="9"/>
      <x:c r="C294" s="9"/>
      <x:c r="D294" s="9"/>
      <x:c r="E294" s="9"/>
      <x:c r="F294" s="9"/>
      <x:c r="G294" s="9"/>
      <x:c r="H294" s="9"/>
      <x:c r="I294" s="9"/>
      <x:c r="J294" s="9"/>
      <x:c r="K294" s="9"/>
      <x:c r="L294" s="9"/>
      <x:c r="M294" s="9"/>
      <x:c r="N294" s="9"/>
      <x:c r="O294" s="9"/>
      <x:c r="P294" s="9"/>
      <x:c r="Q294" s="9"/>
      <x:c r="R294" s="9"/>
      <x:c r="S294" s="9"/>
      <x:c r="T294" s="9"/>
      <x:c r="U294" s="9"/>
      <x:c r="V294" s="9"/>
      <x:c r="W294" s="9"/>
      <x:c r="X294" s="9"/>
      <x:c r="Y294" s="9"/>
      <x:c r="Z294" s="9"/>
      <x:c r="AA294" s="9"/>
      <x:c r="AB294" s="9"/>
      <x:c r="AC294" s="9"/>
      <x:c r="AD294" s="9"/>
      <x:c r="AE294" s="2"/>
      <x:c r="AF294" s="9"/>
      <x:c r="AG294" s="9"/>
      <x:c r="AH294" s="2"/>
    </x:row>
    <x:row r="295" ht="14.25" customHeight="1">
      <x:c r="A295" s="2"/>
      <x:c r="B295" s="9"/>
      <x:c r="C295" s="9"/>
      <x:c r="D295" s="9"/>
      <x:c r="E295" s="9"/>
      <x:c r="F295" s="9"/>
      <x:c r="G295" s="9"/>
      <x:c r="H295" s="9"/>
      <x:c r="I295" s="9"/>
      <x:c r="J295" s="9"/>
      <x:c r="K295" s="9"/>
      <x:c r="L295" s="9"/>
      <x:c r="M295" s="9"/>
      <x:c r="N295" s="9"/>
      <x:c r="O295" s="9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  <x:c r="AA295" s="9"/>
      <x:c r="AB295" s="9"/>
      <x:c r="AC295" s="9"/>
      <x:c r="AD295" s="9"/>
      <x:c r="AE295" s="2"/>
      <x:c r="AF295" s="9"/>
      <x:c r="AG295" s="9"/>
      <x:c r="AH295" s="2"/>
    </x:row>
    <x:row r="296" ht="14.25" customHeight="1">
      <x:c r="A296" s="2"/>
      <x:c r="B296" s="9"/>
      <x:c r="C296" s="9"/>
      <x:c r="D296" s="9"/>
      <x:c r="E296" s="9"/>
      <x:c r="F296" s="9"/>
      <x:c r="G296" s="9"/>
      <x:c r="H296" s="9"/>
      <x:c r="I296" s="9"/>
      <x:c r="J296" s="9"/>
      <x:c r="K296" s="9"/>
      <x:c r="L296" s="9"/>
      <x:c r="M296" s="9"/>
      <x:c r="N296" s="9"/>
      <x:c r="O296" s="9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  <x:c r="Z296" s="9"/>
      <x:c r="AA296" s="9"/>
      <x:c r="AB296" s="9"/>
      <x:c r="AC296" s="9"/>
      <x:c r="AD296" s="9"/>
      <x:c r="AE296" s="2"/>
      <x:c r="AF296" s="9"/>
      <x:c r="AG296" s="9"/>
      <x:c r="AH296" s="2"/>
    </x:row>
    <x:row r="297" ht="14.25" customHeight="1">
      <x:c r="A297" s="2"/>
      <x:c r="B297" s="9"/>
      <x:c r="C297" s="9"/>
      <x:c r="D297" s="9"/>
      <x:c r="E297" s="9"/>
      <x:c r="F297" s="9"/>
      <x:c r="G297" s="9"/>
      <x:c r="H297" s="9"/>
      <x:c r="I297" s="9"/>
      <x:c r="J297" s="9"/>
      <x:c r="K297" s="9"/>
      <x:c r="L297" s="9"/>
      <x:c r="M297" s="9"/>
      <x:c r="N297" s="9"/>
      <x:c r="O297" s="9"/>
      <x:c r="P297" s="9"/>
      <x:c r="Q297" s="9"/>
      <x:c r="R297" s="9"/>
      <x:c r="S297" s="9"/>
      <x:c r="T297" s="9"/>
      <x:c r="U297" s="9"/>
      <x:c r="V297" s="9"/>
      <x:c r="W297" s="9"/>
      <x:c r="X297" s="9"/>
      <x:c r="Y297" s="9"/>
      <x:c r="Z297" s="9"/>
      <x:c r="AA297" s="9"/>
      <x:c r="AB297" s="9"/>
      <x:c r="AC297" s="9"/>
      <x:c r="AD297" s="9"/>
      <x:c r="AE297" s="2"/>
      <x:c r="AF297" s="9"/>
      <x:c r="AG297" s="9"/>
      <x:c r="AH297" s="2"/>
    </x:row>
    <x:row r="298" ht="14.25" customHeight="1">
      <x:c r="A298" s="2"/>
      <x:c r="B298" s="9"/>
      <x:c r="C298" s="9"/>
      <x:c r="D298" s="9"/>
      <x:c r="E298" s="9"/>
      <x:c r="F298" s="9"/>
      <x:c r="G298" s="9"/>
      <x:c r="H298" s="9"/>
      <x:c r="I298" s="9"/>
      <x:c r="J298" s="9"/>
      <x:c r="K298" s="9"/>
      <x:c r="L298" s="9"/>
      <x:c r="M298" s="9"/>
      <x:c r="N298" s="9"/>
      <x:c r="O298" s="9"/>
      <x:c r="P298" s="9"/>
      <x:c r="Q298" s="9"/>
      <x:c r="R298" s="9"/>
      <x:c r="S298" s="9"/>
      <x:c r="T298" s="9"/>
      <x:c r="U298" s="9"/>
      <x:c r="V298" s="9"/>
      <x:c r="W298" s="9"/>
      <x:c r="X298" s="9"/>
      <x:c r="Y298" s="9"/>
      <x:c r="Z298" s="9"/>
      <x:c r="AA298" s="9"/>
      <x:c r="AB298" s="9"/>
      <x:c r="AC298" s="9"/>
      <x:c r="AD298" s="9"/>
      <x:c r="AE298" s="2"/>
      <x:c r="AF298" s="9"/>
      <x:c r="AG298" s="9"/>
      <x:c r="AH298" s="2"/>
    </x:row>
    <x:row r="299" ht="14.25" customHeight="1">
      <x:c r="A299" s="2"/>
      <x:c r="B299" s="9"/>
      <x:c r="C299" s="9"/>
      <x:c r="D299" s="9"/>
      <x:c r="E299" s="9"/>
      <x:c r="F299" s="9"/>
      <x:c r="G299" s="9"/>
      <x:c r="H299" s="9"/>
      <x:c r="I299" s="9"/>
      <x:c r="J299" s="9"/>
      <x:c r="K299" s="9"/>
      <x:c r="L299" s="9"/>
      <x:c r="M299" s="9"/>
      <x:c r="N299" s="9"/>
      <x:c r="O299" s="9"/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  <x:c r="Z299" s="9"/>
      <x:c r="AA299" s="9"/>
      <x:c r="AB299" s="9"/>
      <x:c r="AC299" s="9"/>
      <x:c r="AD299" s="9"/>
      <x:c r="AE299" s="2"/>
      <x:c r="AF299" s="9"/>
      <x:c r="AG299" s="9"/>
      <x:c r="AH299" s="2"/>
    </x:row>
    <x:row r="300" ht="14.25" customHeight="1">
      <x:c r="A300" s="2"/>
      <x:c r="B300" s="9"/>
      <x:c r="C300" s="9"/>
      <x:c r="D300" s="9"/>
      <x:c r="E300" s="9"/>
      <x:c r="F300" s="9"/>
      <x:c r="G300" s="9"/>
      <x:c r="H300" s="9"/>
      <x:c r="I300" s="9"/>
      <x:c r="J300" s="9"/>
      <x:c r="K300" s="9"/>
      <x:c r="L300" s="9"/>
      <x:c r="M300" s="9"/>
      <x:c r="N300" s="9"/>
      <x:c r="O300" s="9"/>
      <x:c r="P300" s="9"/>
      <x:c r="Q300" s="9"/>
      <x:c r="R300" s="9"/>
      <x:c r="S300" s="9"/>
      <x:c r="T300" s="9"/>
      <x:c r="U300" s="9"/>
      <x:c r="V300" s="9"/>
      <x:c r="W300" s="9"/>
      <x:c r="X300" s="9"/>
      <x:c r="Y300" s="9"/>
      <x:c r="Z300" s="9"/>
      <x:c r="AA300" s="9"/>
      <x:c r="AB300" s="9"/>
      <x:c r="AC300" s="9"/>
      <x:c r="AD300" s="9"/>
      <x:c r="AE300" s="2"/>
      <x:c r="AF300" s="9"/>
      <x:c r="AG300" s="9"/>
      <x:c r="AH300" s="2"/>
    </x:row>
    <x:row r="301" ht="14.25" customHeight="1">
      <x:c r="A301" s="2"/>
      <x:c r="B301" s="9"/>
      <x:c r="C301" s="9"/>
      <x:c r="D301" s="9"/>
      <x:c r="E301" s="9"/>
      <x:c r="F301" s="9"/>
      <x:c r="G301" s="9"/>
      <x:c r="H301" s="9"/>
      <x:c r="I301" s="9"/>
      <x:c r="J301" s="9"/>
      <x:c r="K301" s="9"/>
      <x:c r="L301" s="9"/>
      <x:c r="M301" s="9"/>
      <x:c r="N301" s="9"/>
      <x:c r="O301" s="9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  <x:c r="Z301" s="9"/>
      <x:c r="AA301" s="9"/>
      <x:c r="AB301" s="9"/>
      <x:c r="AC301" s="9"/>
      <x:c r="AD301" s="9"/>
      <x:c r="AE301" s="2"/>
      <x:c r="AF301" s="9"/>
      <x:c r="AG301" s="9"/>
      <x:c r="AH301" s="2"/>
    </x:row>
    <x:row r="302" ht="14.25" customHeight="1">
      <x:c r="A302" s="2"/>
      <x:c r="B302" s="9"/>
      <x:c r="C302" s="9"/>
      <x:c r="D302" s="9"/>
      <x:c r="E302" s="9"/>
      <x:c r="F302" s="9"/>
      <x:c r="G302" s="9"/>
      <x:c r="H302" s="9"/>
      <x:c r="I302" s="9"/>
      <x:c r="J302" s="9"/>
      <x:c r="K302" s="9"/>
      <x:c r="L302" s="9"/>
      <x:c r="M302" s="9"/>
      <x:c r="N302" s="9"/>
      <x:c r="O302" s="9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  <x:c r="Z302" s="9"/>
      <x:c r="AA302" s="9"/>
      <x:c r="AB302" s="9"/>
      <x:c r="AC302" s="9"/>
      <x:c r="AD302" s="9"/>
      <x:c r="AE302" s="2"/>
      <x:c r="AF302" s="9"/>
      <x:c r="AG302" s="9"/>
      <x:c r="AH302" s="2"/>
    </x:row>
    <x:row r="303" ht="14.25" customHeight="1">
      <x:c r="A303" s="2"/>
      <x:c r="B303" s="9"/>
      <x:c r="C303" s="9"/>
      <x:c r="D303" s="9"/>
      <x:c r="E303" s="9"/>
      <x:c r="F303" s="9"/>
      <x:c r="G303" s="9"/>
      <x:c r="H303" s="9"/>
      <x:c r="I303" s="9"/>
      <x:c r="J303" s="9"/>
      <x:c r="K303" s="9"/>
      <x:c r="L303" s="9"/>
      <x:c r="M303" s="9"/>
      <x:c r="N303" s="9"/>
      <x:c r="O303" s="9"/>
      <x:c r="P303" s="9"/>
      <x:c r="Q303" s="9"/>
      <x:c r="R303" s="9"/>
      <x:c r="S303" s="9"/>
      <x:c r="T303" s="9"/>
      <x:c r="U303" s="9"/>
      <x:c r="V303" s="9"/>
      <x:c r="W303" s="9"/>
      <x:c r="X303" s="9"/>
      <x:c r="Y303" s="9"/>
      <x:c r="Z303" s="9"/>
      <x:c r="AA303" s="9"/>
      <x:c r="AB303" s="9"/>
      <x:c r="AC303" s="9"/>
      <x:c r="AD303" s="9"/>
      <x:c r="AE303" s="2"/>
      <x:c r="AF303" s="9"/>
      <x:c r="AG303" s="9"/>
      <x:c r="AH303" s="2"/>
    </x:row>
    <x:row r="304" ht="14.25" customHeight="1">
      <x:c r="A304" s="2"/>
      <x:c r="B304" s="9"/>
      <x:c r="C304" s="9"/>
      <x:c r="D304" s="9"/>
      <x:c r="E304" s="9"/>
      <x:c r="F304" s="9"/>
      <x:c r="G304" s="9"/>
      <x:c r="H304" s="9"/>
      <x:c r="I304" s="9"/>
      <x:c r="J304" s="9"/>
      <x:c r="K304" s="9"/>
      <x:c r="L304" s="9"/>
      <x:c r="M304" s="9"/>
      <x:c r="N304" s="9"/>
      <x:c r="O304" s="9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  <x:c r="Z304" s="9"/>
      <x:c r="AA304" s="9"/>
      <x:c r="AB304" s="9"/>
      <x:c r="AC304" s="9"/>
      <x:c r="AD304" s="9"/>
      <x:c r="AE304" s="2"/>
      <x:c r="AF304" s="9"/>
      <x:c r="AG304" s="9"/>
      <x:c r="AH304" s="2"/>
    </x:row>
    <x:row r="305" ht="14.25" customHeight="1">
      <x:c r="A305" s="2"/>
      <x:c r="B305" s="9"/>
      <x:c r="C305" s="9"/>
      <x:c r="D305" s="9"/>
      <x:c r="E305" s="9"/>
      <x:c r="F305" s="9"/>
      <x:c r="G305" s="9"/>
      <x:c r="H305" s="9"/>
      <x:c r="I305" s="9"/>
      <x:c r="J305" s="9"/>
      <x:c r="K305" s="9"/>
      <x:c r="L305" s="9"/>
      <x:c r="M305" s="9"/>
      <x:c r="N305" s="9"/>
      <x:c r="O305" s="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  <x:c r="AA305" s="9"/>
      <x:c r="AB305" s="9"/>
      <x:c r="AC305" s="9"/>
      <x:c r="AD305" s="9"/>
      <x:c r="AE305" s="2"/>
      <x:c r="AF305" s="9"/>
      <x:c r="AG305" s="9"/>
      <x:c r="AH305" s="2"/>
    </x:row>
    <x:row r="306" ht="14.25" customHeight="1">
      <x:c r="A306" s="2"/>
      <x:c r="B306" s="9"/>
      <x:c r="C306" s="9"/>
      <x:c r="D306" s="9"/>
      <x:c r="E306" s="9"/>
      <x:c r="F306" s="9"/>
      <x:c r="G306" s="9"/>
      <x:c r="H306" s="9"/>
      <x:c r="I306" s="9"/>
      <x:c r="J306" s="9"/>
      <x:c r="K306" s="9"/>
      <x:c r="L306" s="9"/>
      <x:c r="M306" s="9"/>
      <x:c r="N306" s="9"/>
      <x:c r="O306" s="9"/>
      <x:c r="P306" s="9"/>
      <x:c r="Q306" s="9"/>
      <x:c r="R306" s="9"/>
      <x:c r="S306" s="9"/>
      <x:c r="T306" s="9"/>
      <x:c r="U306" s="9"/>
      <x:c r="V306" s="9"/>
      <x:c r="W306" s="9"/>
      <x:c r="X306" s="9"/>
      <x:c r="Y306" s="9"/>
      <x:c r="Z306" s="9"/>
      <x:c r="AA306" s="9"/>
      <x:c r="AB306" s="9"/>
      <x:c r="AC306" s="9"/>
      <x:c r="AD306" s="9"/>
      <x:c r="AE306" s="2"/>
      <x:c r="AF306" s="9"/>
      <x:c r="AG306" s="9"/>
      <x:c r="AH306" s="2"/>
    </x:row>
    <x:row r="307" ht="14.25" customHeight="1">
      <x:c r="A307" s="2"/>
      <x:c r="B307" s="9"/>
      <x:c r="C307" s="9"/>
      <x:c r="D307" s="9"/>
      <x:c r="E307" s="9"/>
      <x:c r="F307" s="9"/>
      <x:c r="G307" s="9"/>
      <x:c r="H307" s="9"/>
      <x:c r="I307" s="9"/>
      <x:c r="J307" s="9"/>
      <x:c r="K307" s="9"/>
      <x:c r="L307" s="9"/>
      <x:c r="M307" s="9"/>
      <x:c r="N307" s="9"/>
      <x:c r="O307" s="9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  <x:c r="Z307" s="9"/>
      <x:c r="AA307" s="9"/>
      <x:c r="AB307" s="9"/>
      <x:c r="AC307" s="9"/>
      <x:c r="AD307" s="9"/>
      <x:c r="AE307" s="2"/>
      <x:c r="AF307" s="9"/>
      <x:c r="AG307" s="9"/>
      <x:c r="AH307" s="2"/>
    </x:row>
    <x:row r="308" ht="14.25" customHeight="1">
      <x:c r="A308" s="2"/>
      <x:c r="B308" s="9"/>
      <x:c r="C308" s="9"/>
      <x:c r="D308" s="9"/>
      <x:c r="E308" s="9"/>
      <x:c r="F308" s="9"/>
      <x:c r="G308" s="9"/>
      <x:c r="H308" s="9"/>
      <x:c r="I308" s="9"/>
      <x:c r="J308" s="9"/>
      <x:c r="K308" s="9"/>
      <x:c r="L308" s="9"/>
      <x:c r="M308" s="9"/>
      <x:c r="N308" s="9"/>
      <x:c r="O308" s="9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  <x:c r="Z308" s="9"/>
      <x:c r="AA308" s="9"/>
      <x:c r="AB308" s="9"/>
      <x:c r="AC308" s="9"/>
      <x:c r="AD308" s="9"/>
      <x:c r="AE308" s="2"/>
      <x:c r="AF308" s="9"/>
      <x:c r="AG308" s="9"/>
      <x:c r="AH308" s="2"/>
    </x:row>
    <x:row r="309" ht="14.25" customHeight="1">
      <x:c r="A309" s="2"/>
      <x:c r="B309" s="9"/>
      <x:c r="C309" s="9"/>
      <x:c r="D309" s="9"/>
      <x:c r="E309" s="9"/>
      <x:c r="F309" s="9"/>
      <x:c r="G309" s="9"/>
      <x:c r="H309" s="9"/>
      <x:c r="I309" s="9"/>
      <x:c r="J309" s="9"/>
      <x:c r="K309" s="9"/>
      <x:c r="L309" s="9"/>
      <x:c r="M309" s="9"/>
      <x:c r="N309" s="9"/>
      <x:c r="O309" s="9"/>
      <x:c r="P309" s="9"/>
      <x:c r="Q309" s="9"/>
      <x:c r="R309" s="9"/>
      <x:c r="S309" s="9"/>
      <x:c r="T309" s="9"/>
      <x:c r="U309" s="9"/>
      <x:c r="V309" s="9"/>
      <x:c r="W309" s="9"/>
      <x:c r="X309" s="9"/>
      <x:c r="Y309" s="9"/>
      <x:c r="Z309" s="9"/>
      <x:c r="AA309" s="9"/>
      <x:c r="AB309" s="9"/>
      <x:c r="AC309" s="9"/>
      <x:c r="AD309" s="9"/>
      <x:c r="AE309" s="2"/>
      <x:c r="AF309" s="9"/>
      <x:c r="AG309" s="9"/>
      <x:c r="AH309" s="2"/>
    </x:row>
    <x:row r="310" ht="14.25" customHeight="1">
      <x:c r="A310" s="2"/>
      <x:c r="B310" s="9"/>
      <x:c r="C310" s="9"/>
      <x:c r="D310" s="9"/>
      <x:c r="E310" s="9"/>
      <x:c r="F310" s="9"/>
      <x:c r="G310" s="9"/>
      <x:c r="H310" s="9"/>
      <x:c r="I310" s="9"/>
      <x:c r="J310" s="9"/>
      <x:c r="K310" s="9"/>
      <x:c r="L310" s="9"/>
      <x:c r="M310" s="9"/>
      <x:c r="N310" s="9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  <x:c r="AA310" s="9"/>
      <x:c r="AB310" s="9"/>
      <x:c r="AC310" s="9"/>
      <x:c r="AD310" s="9"/>
      <x:c r="AE310" s="2"/>
      <x:c r="AF310" s="9"/>
      <x:c r="AG310" s="9"/>
      <x:c r="AH310" s="2"/>
    </x:row>
    <x:row r="311" ht="14.25" customHeight="1">
      <x:c r="A311" s="2"/>
      <x:c r="B311" s="9"/>
      <x:c r="C311" s="9"/>
      <x:c r="D311" s="9"/>
      <x:c r="E311" s="9"/>
      <x:c r="F311" s="9"/>
      <x:c r="G311" s="9"/>
      <x:c r="H311" s="9"/>
      <x:c r="I311" s="9"/>
      <x:c r="J311" s="9"/>
      <x:c r="K311" s="9"/>
      <x:c r="L311" s="9"/>
      <x:c r="M311" s="9"/>
      <x:c r="N311" s="9"/>
      <x:c r="O311" s="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  <x:c r="AA311" s="9"/>
      <x:c r="AB311" s="9"/>
      <x:c r="AC311" s="9"/>
      <x:c r="AD311" s="9"/>
      <x:c r="AE311" s="2"/>
      <x:c r="AF311" s="9"/>
      <x:c r="AG311" s="9"/>
      <x:c r="AH311" s="2"/>
    </x:row>
    <x:row r="312" ht="14.25" customHeight="1">
      <x:c r="A312" s="2"/>
      <x:c r="B312" s="9"/>
      <x:c r="C312" s="9"/>
      <x:c r="D312" s="9"/>
      <x:c r="E312" s="9"/>
      <x:c r="F312" s="9"/>
      <x:c r="G312" s="9"/>
      <x:c r="H312" s="9"/>
      <x:c r="I312" s="9"/>
      <x:c r="J312" s="9"/>
      <x:c r="K312" s="9"/>
      <x:c r="L312" s="9"/>
      <x:c r="M312" s="9"/>
      <x:c r="N312" s="9"/>
      <x:c r="O312" s="9"/>
      <x:c r="P312" s="9"/>
      <x:c r="Q312" s="9"/>
      <x:c r="R312" s="9"/>
      <x:c r="S312" s="9"/>
      <x:c r="T312" s="9"/>
      <x:c r="U312" s="9"/>
      <x:c r="V312" s="9"/>
      <x:c r="W312" s="9"/>
      <x:c r="X312" s="9"/>
      <x:c r="Y312" s="9"/>
      <x:c r="Z312" s="9"/>
      <x:c r="AA312" s="9"/>
      <x:c r="AB312" s="9"/>
      <x:c r="AC312" s="9"/>
      <x:c r="AD312" s="9"/>
      <x:c r="AE312" s="2"/>
      <x:c r="AF312" s="9"/>
      <x:c r="AG312" s="9"/>
      <x:c r="AH312" s="2"/>
    </x:row>
    <x:row r="313" ht="14.25" customHeight="1">
      <x:c r="A313" s="2"/>
      <x:c r="B313" s="9"/>
      <x:c r="C313" s="9"/>
      <x:c r="D313" s="9"/>
      <x:c r="E313" s="9"/>
      <x:c r="F313" s="9"/>
      <x:c r="G313" s="9"/>
      <x:c r="H313" s="9"/>
      <x:c r="I313" s="9"/>
      <x:c r="J313" s="9"/>
      <x:c r="K313" s="9"/>
      <x:c r="L313" s="9"/>
      <x:c r="M313" s="9"/>
      <x:c r="N313" s="9"/>
      <x:c r="O313" s="9"/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  <x:c r="Z313" s="9"/>
      <x:c r="AA313" s="9"/>
      <x:c r="AB313" s="9"/>
      <x:c r="AC313" s="9"/>
      <x:c r="AD313" s="9"/>
      <x:c r="AE313" s="2"/>
      <x:c r="AF313" s="9"/>
      <x:c r="AG313" s="9"/>
      <x:c r="AH313" s="2"/>
    </x:row>
    <x:row r="314" ht="14.25" customHeight="1">
      <x:c r="A314" s="2"/>
      <x:c r="B314" s="9"/>
      <x:c r="C314" s="9"/>
      <x:c r="D314" s="9"/>
      <x:c r="E314" s="9"/>
      <x:c r="F314" s="9"/>
      <x:c r="G314" s="9"/>
      <x:c r="H314" s="9"/>
      <x:c r="I314" s="9"/>
      <x:c r="J314" s="9"/>
      <x:c r="K314" s="9"/>
      <x:c r="L314" s="9"/>
      <x:c r="M314" s="9"/>
      <x:c r="N314" s="9"/>
      <x:c r="O314" s="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  <x:c r="AA314" s="9"/>
      <x:c r="AB314" s="9"/>
      <x:c r="AC314" s="9"/>
      <x:c r="AD314" s="9"/>
      <x:c r="AE314" s="2"/>
      <x:c r="AF314" s="9"/>
      <x:c r="AG314" s="9"/>
      <x:c r="AH314" s="2"/>
    </x:row>
    <x:row r="315" ht="14.25" customHeight="1">
      <x:c r="A315" s="2"/>
      <x:c r="B315" s="9"/>
      <x:c r="C315" s="9"/>
      <x:c r="D315" s="9"/>
      <x:c r="E315" s="9"/>
      <x:c r="F315" s="9"/>
      <x:c r="G315" s="9"/>
      <x:c r="H315" s="9"/>
      <x:c r="I315" s="9"/>
      <x:c r="J315" s="9"/>
      <x:c r="K315" s="9"/>
      <x:c r="L315" s="9"/>
      <x:c r="M315" s="9"/>
      <x:c r="N315" s="9"/>
      <x:c r="O315" s="9"/>
      <x:c r="P315" s="9"/>
      <x:c r="Q315" s="9"/>
      <x:c r="R315" s="9"/>
      <x:c r="S315" s="9"/>
      <x:c r="T315" s="9"/>
      <x:c r="U315" s="9"/>
      <x:c r="V315" s="9"/>
      <x:c r="W315" s="9"/>
      <x:c r="X315" s="9"/>
      <x:c r="Y315" s="9"/>
      <x:c r="Z315" s="9"/>
      <x:c r="AA315" s="9"/>
      <x:c r="AB315" s="9"/>
      <x:c r="AC315" s="9"/>
      <x:c r="AD315" s="9"/>
      <x:c r="AE315" s="2"/>
      <x:c r="AF315" s="9"/>
      <x:c r="AG315" s="9"/>
      <x:c r="AH315" s="2"/>
    </x:row>
    <x:row r="316" ht="14.25" customHeight="1">
      <x:c r="A316" s="2"/>
      <x:c r="B316" s="9"/>
      <x:c r="C316" s="9"/>
      <x:c r="D316" s="9"/>
      <x:c r="E316" s="9"/>
      <x:c r="F316" s="9"/>
      <x:c r="G316" s="9"/>
      <x:c r="H316" s="9"/>
      <x:c r="I316" s="9"/>
      <x:c r="J316" s="9"/>
      <x:c r="K316" s="9"/>
      <x:c r="L316" s="9"/>
      <x:c r="M316" s="9"/>
      <x:c r="N316" s="9"/>
      <x:c r="O316" s="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  <x:c r="AA316" s="9"/>
      <x:c r="AB316" s="9"/>
      <x:c r="AC316" s="9"/>
      <x:c r="AD316" s="9"/>
      <x:c r="AE316" s="2"/>
      <x:c r="AF316" s="9"/>
      <x:c r="AG316" s="9"/>
      <x:c r="AH316" s="2"/>
    </x:row>
    <x:row r="317" ht="14.25" customHeight="1">
      <x:c r="A317" s="2"/>
      <x:c r="B317" s="9"/>
      <x:c r="C317" s="9"/>
      <x:c r="D317" s="9"/>
      <x:c r="E317" s="9"/>
      <x:c r="F317" s="9"/>
      <x:c r="G317" s="9"/>
      <x:c r="H317" s="9"/>
      <x:c r="I317" s="9"/>
      <x:c r="J317" s="9"/>
      <x:c r="K317" s="9"/>
      <x:c r="L317" s="9"/>
      <x:c r="M317" s="9"/>
      <x:c r="N317" s="9"/>
      <x:c r="O317" s="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  <x:c r="AA317" s="9"/>
      <x:c r="AB317" s="9"/>
      <x:c r="AC317" s="9"/>
      <x:c r="AD317" s="9"/>
      <x:c r="AE317" s="2"/>
      <x:c r="AF317" s="9"/>
      <x:c r="AG317" s="9"/>
      <x:c r="AH317" s="2"/>
    </x:row>
    <x:row r="318" ht="14.25" customHeight="1">
      <x:c r="A318" s="2"/>
      <x:c r="B318" s="9"/>
      <x:c r="C318" s="9"/>
      <x:c r="D318" s="9"/>
      <x:c r="E318" s="9"/>
      <x:c r="F318" s="9"/>
      <x:c r="G318" s="9"/>
      <x:c r="H318" s="9"/>
      <x:c r="I318" s="9"/>
      <x:c r="J318" s="9"/>
      <x:c r="K318" s="9"/>
      <x:c r="L318" s="9"/>
      <x:c r="M318" s="9"/>
      <x:c r="N318" s="9"/>
      <x:c r="O318" s="9"/>
      <x:c r="P318" s="9"/>
      <x:c r="Q318" s="9"/>
      <x:c r="R318" s="9"/>
      <x:c r="S318" s="9"/>
      <x:c r="T318" s="9"/>
      <x:c r="U318" s="9"/>
      <x:c r="V318" s="9"/>
      <x:c r="W318" s="9"/>
      <x:c r="X318" s="9"/>
      <x:c r="Y318" s="9"/>
      <x:c r="Z318" s="9"/>
      <x:c r="AA318" s="9"/>
      <x:c r="AB318" s="9"/>
      <x:c r="AC318" s="9"/>
      <x:c r="AD318" s="9"/>
      <x:c r="AE318" s="2"/>
      <x:c r="AF318" s="9"/>
      <x:c r="AG318" s="9"/>
      <x:c r="AH318" s="2"/>
    </x:row>
    <x:row r="319" ht="14.25" customHeight="1">
      <x:c r="A319" s="2"/>
      <x:c r="B319" s="9"/>
      <x:c r="C319" s="9"/>
      <x:c r="D319" s="9"/>
      <x:c r="E319" s="9"/>
      <x:c r="F319" s="9"/>
      <x:c r="G319" s="9"/>
      <x:c r="H319" s="9"/>
      <x:c r="I319" s="9"/>
      <x:c r="J319" s="9"/>
      <x:c r="K319" s="9"/>
      <x:c r="L319" s="9"/>
      <x:c r="M319" s="9"/>
      <x:c r="N319" s="9"/>
      <x:c r="O319" s="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  <x:c r="AA319" s="9"/>
      <x:c r="AB319" s="9"/>
      <x:c r="AC319" s="9"/>
      <x:c r="AD319" s="9"/>
      <x:c r="AE319" s="2"/>
      <x:c r="AF319" s="9"/>
      <x:c r="AG319" s="9"/>
      <x:c r="AH319" s="2"/>
    </x:row>
    <x:row r="320" ht="14.25" customHeight="1">
      <x:c r="A320" s="2"/>
      <x:c r="B320" s="9"/>
      <x:c r="C320" s="9"/>
      <x:c r="D320" s="9"/>
      <x:c r="E320" s="9"/>
      <x:c r="F320" s="9"/>
      <x:c r="G320" s="9"/>
      <x:c r="H320" s="9"/>
      <x:c r="I320" s="9"/>
      <x:c r="J320" s="9"/>
      <x:c r="K320" s="9"/>
      <x:c r="L320" s="9"/>
      <x:c r="M320" s="9"/>
      <x:c r="N320" s="9"/>
      <x:c r="O320" s="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  <x:c r="AA320" s="9"/>
      <x:c r="AB320" s="9"/>
      <x:c r="AC320" s="9"/>
      <x:c r="AD320" s="9"/>
      <x:c r="AE320" s="2"/>
      <x:c r="AF320" s="9"/>
      <x:c r="AG320" s="9"/>
      <x:c r="AH320" s="2"/>
    </x:row>
    <x:row r="321" ht="14.25" customHeight="1">
      <x:c r="A321" s="2"/>
      <x:c r="B321" s="9"/>
      <x:c r="C321" s="9"/>
      <x:c r="D321" s="9"/>
      <x:c r="E321" s="9"/>
      <x:c r="F321" s="9"/>
      <x:c r="G321" s="9"/>
      <x:c r="H321" s="9"/>
      <x:c r="I321" s="9"/>
      <x:c r="J321" s="9"/>
      <x:c r="K321" s="9"/>
      <x:c r="L321" s="9"/>
      <x:c r="M321" s="9"/>
      <x:c r="N321" s="9"/>
      <x:c r="O321" s="9"/>
      <x:c r="P321" s="9"/>
      <x:c r="Q321" s="9"/>
      <x:c r="R321" s="9"/>
      <x:c r="S321" s="9"/>
      <x:c r="T321" s="9"/>
      <x:c r="U321" s="9"/>
      <x:c r="V321" s="9"/>
      <x:c r="W321" s="9"/>
      <x:c r="X321" s="9"/>
      <x:c r="Y321" s="9"/>
      <x:c r="Z321" s="9"/>
      <x:c r="AA321" s="9"/>
      <x:c r="AB321" s="9"/>
      <x:c r="AC321" s="9"/>
      <x:c r="AD321" s="9"/>
      <x:c r="AE321" s="2"/>
      <x:c r="AF321" s="9"/>
      <x:c r="AG321" s="9"/>
      <x:c r="AH321" s="2"/>
    </x:row>
    <x:row r="322" ht="14.25" customHeight="1">
      <x:c r="A322" s="2"/>
      <x:c r="B322" s="9"/>
      <x:c r="C322" s="9"/>
      <x:c r="D322" s="9"/>
      <x:c r="E322" s="9"/>
      <x:c r="F322" s="9"/>
      <x:c r="G322" s="9"/>
      <x:c r="H322" s="9"/>
      <x:c r="I322" s="9"/>
      <x:c r="J322" s="9"/>
      <x:c r="K322" s="9"/>
      <x:c r="L322" s="9"/>
      <x:c r="M322" s="9"/>
      <x:c r="N322" s="9"/>
      <x:c r="O322" s="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  <x:c r="AA322" s="9"/>
      <x:c r="AB322" s="9"/>
      <x:c r="AC322" s="9"/>
      <x:c r="AD322" s="9"/>
      <x:c r="AE322" s="2"/>
      <x:c r="AF322" s="9"/>
      <x:c r="AG322" s="9"/>
      <x:c r="AH322" s="2"/>
    </x:row>
    <x:row r="323" ht="14.25" customHeight="1">
      <x:c r="A323" s="2"/>
      <x:c r="B323" s="9"/>
      <x:c r="C323" s="9"/>
      <x:c r="D323" s="9"/>
      <x:c r="E323" s="9"/>
      <x:c r="F323" s="9"/>
      <x:c r="G323" s="9"/>
      <x:c r="H323" s="9"/>
      <x:c r="I323" s="9"/>
      <x:c r="J323" s="9"/>
      <x:c r="K323" s="9"/>
      <x:c r="L323" s="9"/>
      <x:c r="M323" s="9"/>
      <x:c r="N323" s="9"/>
      <x:c r="O323" s="9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  <x:c r="AA323" s="9"/>
      <x:c r="AB323" s="9"/>
      <x:c r="AC323" s="9"/>
      <x:c r="AD323" s="9"/>
      <x:c r="AE323" s="2"/>
      <x:c r="AF323" s="9"/>
      <x:c r="AG323" s="9"/>
      <x:c r="AH323" s="2"/>
    </x:row>
    <x:row r="324" ht="14.25" customHeight="1">
      <x:c r="A324" s="2"/>
      <x:c r="B324" s="9"/>
      <x:c r="C324" s="9"/>
      <x:c r="D324" s="9"/>
      <x:c r="E324" s="9"/>
      <x:c r="F324" s="9"/>
      <x:c r="G324" s="9"/>
      <x:c r="H324" s="9"/>
      <x:c r="I324" s="9"/>
      <x:c r="J324" s="9"/>
      <x:c r="K324" s="9"/>
      <x:c r="L324" s="9"/>
      <x:c r="M324" s="9"/>
      <x:c r="N324" s="9"/>
      <x:c r="O324" s="9"/>
      <x:c r="P324" s="9"/>
      <x:c r="Q324" s="9"/>
      <x:c r="R324" s="9"/>
      <x:c r="S324" s="9"/>
      <x:c r="T324" s="9"/>
      <x:c r="U324" s="9"/>
      <x:c r="V324" s="9"/>
      <x:c r="W324" s="9"/>
      <x:c r="X324" s="9"/>
      <x:c r="Y324" s="9"/>
      <x:c r="Z324" s="9"/>
      <x:c r="AA324" s="9"/>
      <x:c r="AB324" s="9"/>
      <x:c r="AC324" s="9"/>
      <x:c r="AD324" s="9"/>
      <x:c r="AE324" s="2"/>
      <x:c r="AF324" s="9"/>
      <x:c r="AG324" s="9"/>
      <x:c r="AH324" s="2"/>
    </x:row>
    <x:row r="325" ht="14.25" customHeight="1">
      <x:c r="A325" s="2"/>
      <x:c r="B325" s="9"/>
      <x:c r="C325" s="9"/>
      <x:c r="D325" s="9"/>
      <x:c r="E325" s="9"/>
      <x:c r="F325" s="9"/>
      <x:c r="G325" s="9"/>
      <x:c r="H325" s="9"/>
      <x:c r="I325" s="9"/>
      <x:c r="J325" s="9"/>
      <x:c r="K325" s="9"/>
      <x:c r="L325" s="9"/>
      <x:c r="M325" s="9"/>
      <x:c r="N325" s="9"/>
      <x:c r="O325" s="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  <x:c r="AA325" s="9"/>
      <x:c r="AB325" s="9"/>
      <x:c r="AC325" s="9"/>
      <x:c r="AD325" s="9"/>
      <x:c r="AE325" s="2"/>
      <x:c r="AF325" s="9"/>
      <x:c r="AG325" s="9"/>
      <x:c r="AH325" s="2"/>
    </x:row>
    <x:row r="326" ht="14.25" customHeight="1">
      <x:c r="A326" s="2"/>
      <x:c r="B326" s="9"/>
      <x:c r="C326" s="9"/>
      <x:c r="D326" s="9"/>
      <x:c r="E326" s="9"/>
      <x:c r="F326" s="9"/>
      <x:c r="G326" s="9"/>
      <x:c r="H326" s="9"/>
      <x:c r="I326" s="9"/>
      <x:c r="J326" s="9"/>
      <x:c r="K326" s="9"/>
      <x:c r="L326" s="9"/>
      <x:c r="M326" s="9"/>
      <x:c r="N326" s="9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  <x:c r="AA326" s="9"/>
      <x:c r="AB326" s="9"/>
      <x:c r="AC326" s="9"/>
      <x:c r="AD326" s="9"/>
      <x:c r="AE326" s="2"/>
      <x:c r="AF326" s="9"/>
      <x:c r="AG326" s="9"/>
      <x:c r="AH326" s="2"/>
    </x:row>
    <x:row r="327" ht="14.25" customHeight="1">
      <x:c r="A327" s="2"/>
      <x:c r="B327" s="9"/>
      <x:c r="C327" s="9"/>
      <x:c r="D327" s="9"/>
      <x:c r="E327" s="9"/>
      <x:c r="F327" s="9"/>
      <x:c r="G327" s="9"/>
      <x:c r="H327" s="9"/>
      <x:c r="I327" s="9"/>
      <x:c r="J327" s="9"/>
      <x:c r="K327" s="9"/>
      <x:c r="L327" s="9"/>
      <x:c r="M327" s="9"/>
      <x:c r="N327" s="9"/>
      <x:c r="O327" s="9"/>
      <x:c r="P327" s="9"/>
      <x:c r="Q327" s="9"/>
      <x:c r="R327" s="9"/>
      <x:c r="S327" s="9"/>
      <x:c r="T327" s="9"/>
      <x:c r="U327" s="9"/>
      <x:c r="V327" s="9"/>
      <x:c r="W327" s="9"/>
      <x:c r="X327" s="9"/>
      <x:c r="Y327" s="9"/>
      <x:c r="Z327" s="9"/>
      <x:c r="AA327" s="9"/>
      <x:c r="AB327" s="9"/>
      <x:c r="AC327" s="9"/>
      <x:c r="AD327" s="9"/>
      <x:c r="AE327" s="2"/>
      <x:c r="AF327" s="9"/>
      <x:c r="AG327" s="9"/>
      <x:c r="AH327" s="2"/>
    </x:row>
    <x:row r="328" ht="14.25" customHeight="1">
      <x:c r="A328" s="2"/>
      <x:c r="B328" s="9"/>
      <x:c r="C328" s="9"/>
      <x:c r="D328" s="9"/>
      <x:c r="E328" s="9"/>
      <x:c r="F328" s="9"/>
      <x:c r="G328" s="9"/>
      <x:c r="H328" s="9"/>
      <x:c r="I328" s="9"/>
      <x:c r="J328" s="9"/>
      <x:c r="K328" s="9"/>
      <x:c r="L328" s="9"/>
      <x:c r="M328" s="9"/>
      <x:c r="N328" s="9"/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  <x:c r="AA328" s="9"/>
      <x:c r="AB328" s="9"/>
      <x:c r="AC328" s="9"/>
      <x:c r="AD328" s="9"/>
      <x:c r="AE328" s="2"/>
      <x:c r="AF328" s="9"/>
      <x:c r="AG328" s="9"/>
      <x:c r="AH328" s="2"/>
    </x:row>
    <x:row r="329" ht="14.25" customHeight="1">
      <x:c r="A329" s="2"/>
      <x:c r="B329" s="9"/>
      <x:c r="C329" s="9"/>
      <x:c r="D329" s="9"/>
      <x:c r="E329" s="9"/>
      <x:c r="F329" s="9"/>
      <x:c r="G329" s="9"/>
      <x:c r="H329" s="9"/>
      <x:c r="I329" s="9"/>
      <x:c r="J329" s="9"/>
      <x:c r="K329" s="9"/>
      <x:c r="L329" s="9"/>
      <x:c r="M329" s="9"/>
      <x:c r="N329" s="9"/>
      <x:c r="O329" s="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  <x:c r="AA329" s="9"/>
      <x:c r="AB329" s="9"/>
      <x:c r="AC329" s="9"/>
      <x:c r="AD329" s="9"/>
      <x:c r="AE329" s="2"/>
      <x:c r="AF329" s="9"/>
      <x:c r="AG329" s="9"/>
      <x:c r="AH329" s="2"/>
    </x:row>
    <x:row r="330" ht="14.25" customHeight="1">
      <x:c r="A330" s="2"/>
      <x:c r="B330" s="9"/>
      <x:c r="C330" s="9"/>
      <x:c r="D330" s="9"/>
      <x:c r="E330" s="9"/>
      <x:c r="F330" s="9"/>
      <x:c r="G330" s="9"/>
      <x:c r="H330" s="9"/>
      <x:c r="I330" s="9"/>
      <x:c r="J330" s="9"/>
      <x:c r="K330" s="9"/>
      <x:c r="L330" s="9"/>
      <x:c r="M330" s="9"/>
      <x:c r="N330" s="9"/>
      <x:c r="O330" s="9"/>
      <x:c r="P330" s="9"/>
      <x:c r="Q330" s="9"/>
      <x:c r="R330" s="9"/>
      <x:c r="S330" s="9"/>
      <x:c r="T330" s="9"/>
      <x:c r="U330" s="9"/>
      <x:c r="V330" s="9"/>
      <x:c r="W330" s="9"/>
      <x:c r="X330" s="9"/>
      <x:c r="Y330" s="9"/>
      <x:c r="Z330" s="9"/>
      <x:c r="AA330" s="9"/>
      <x:c r="AB330" s="9"/>
      <x:c r="AC330" s="9"/>
      <x:c r="AD330" s="9"/>
      <x:c r="AE330" s="2"/>
      <x:c r="AF330" s="9"/>
      <x:c r="AG330" s="9"/>
      <x:c r="AH330" s="2"/>
    </x:row>
    <x:row r="331" ht="14.25" customHeight="1">
      <x:c r="A331" s="2"/>
      <x:c r="B331" s="9"/>
      <x:c r="C331" s="9"/>
      <x:c r="D331" s="9"/>
      <x:c r="E331" s="9"/>
      <x:c r="F331" s="9"/>
      <x:c r="G331" s="9"/>
      <x:c r="H331" s="9"/>
      <x:c r="I331" s="9"/>
      <x:c r="J331" s="9"/>
      <x:c r="K331" s="9"/>
      <x:c r="L331" s="9"/>
      <x:c r="M331" s="9"/>
      <x:c r="N331" s="9"/>
      <x:c r="O331" s="9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  <x:c r="Z331" s="9"/>
      <x:c r="AA331" s="9"/>
      <x:c r="AB331" s="9"/>
      <x:c r="AC331" s="9"/>
      <x:c r="AD331" s="9"/>
      <x:c r="AE331" s="2"/>
      <x:c r="AF331" s="9"/>
      <x:c r="AG331" s="9"/>
      <x:c r="AH331" s="2"/>
    </x:row>
    <x:row r="332" ht="14.25" customHeight="1">
      <x:c r="A332" s="2"/>
      <x:c r="B332" s="9"/>
      <x:c r="C332" s="9"/>
      <x:c r="D332" s="9"/>
      <x:c r="E332" s="9"/>
      <x:c r="F332" s="9"/>
      <x:c r="G332" s="9"/>
      <x:c r="H332" s="9"/>
      <x:c r="I332" s="9"/>
      <x:c r="J332" s="9"/>
      <x:c r="K332" s="9"/>
      <x:c r="L332" s="9"/>
      <x:c r="M332" s="9"/>
      <x:c r="N332" s="9"/>
      <x:c r="O332" s="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  <x:c r="AA332" s="9"/>
      <x:c r="AB332" s="9"/>
      <x:c r="AC332" s="9"/>
      <x:c r="AD332" s="9"/>
      <x:c r="AE332" s="2"/>
      <x:c r="AF332" s="9"/>
      <x:c r="AG332" s="9"/>
      <x:c r="AH332" s="2"/>
    </x:row>
    <x:row r="333" ht="14.25" customHeight="1">
      <x:c r="A333" s="2"/>
      <x:c r="B333" s="9"/>
      <x:c r="C333" s="9"/>
      <x:c r="D333" s="9"/>
      <x:c r="E333" s="9"/>
      <x:c r="F333" s="9"/>
      <x:c r="G333" s="9"/>
      <x:c r="H333" s="9"/>
      <x:c r="I333" s="9"/>
      <x:c r="J333" s="9"/>
      <x:c r="K333" s="9"/>
      <x:c r="L333" s="9"/>
      <x:c r="M333" s="9"/>
      <x:c r="N333" s="9"/>
      <x:c r="O333" s="9"/>
      <x:c r="P333" s="9"/>
      <x:c r="Q333" s="9"/>
      <x:c r="R333" s="9"/>
      <x:c r="S333" s="9"/>
      <x:c r="T333" s="9"/>
      <x:c r="U333" s="9"/>
      <x:c r="V333" s="9"/>
      <x:c r="W333" s="9"/>
      <x:c r="X333" s="9"/>
      <x:c r="Y333" s="9"/>
      <x:c r="Z333" s="9"/>
      <x:c r="AA333" s="9"/>
      <x:c r="AB333" s="9"/>
      <x:c r="AC333" s="9"/>
      <x:c r="AD333" s="9"/>
      <x:c r="AE333" s="2"/>
      <x:c r="AF333" s="9"/>
      <x:c r="AG333" s="9"/>
      <x:c r="AH333" s="2"/>
    </x:row>
    <x:row r="334" ht="14.25" customHeight="1">
      <x:c r="A334" s="2"/>
      <x:c r="B334" s="9"/>
      <x:c r="C334" s="9"/>
      <x:c r="D334" s="9"/>
      <x:c r="E334" s="9"/>
      <x:c r="F334" s="9"/>
      <x:c r="G334" s="9"/>
      <x:c r="H334" s="9"/>
      <x:c r="I334" s="9"/>
      <x:c r="J334" s="9"/>
      <x:c r="K334" s="9"/>
      <x:c r="L334" s="9"/>
      <x:c r="M334" s="9"/>
      <x:c r="N334" s="9"/>
      <x:c r="O334" s="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  <x:c r="AA334" s="9"/>
      <x:c r="AB334" s="9"/>
      <x:c r="AC334" s="9"/>
      <x:c r="AD334" s="9"/>
      <x:c r="AE334" s="2"/>
      <x:c r="AF334" s="9"/>
      <x:c r="AG334" s="9"/>
      <x:c r="AH334" s="2"/>
    </x:row>
    <x:row r="335" ht="14.25" customHeight="1">
      <x:c r="A335" s="2"/>
      <x:c r="B335" s="9"/>
      <x:c r="C335" s="9"/>
      <x:c r="D335" s="9"/>
      <x:c r="E335" s="9"/>
      <x:c r="F335" s="9"/>
      <x:c r="G335" s="9"/>
      <x:c r="H335" s="9"/>
      <x:c r="I335" s="9"/>
      <x:c r="J335" s="9"/>
      <x:c r="K335" s="9"/>
      <x:c r="L335" s="9"/>
      <x:c r="M335" s="9"/>
      <x:c r="N335" s="9"/>
      <x:c r="O335" s="9"/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  <x:c r="Z335" s="9"/>
      <x:c r="AA335" s="9"/>
      <x:c r="AB335" s="9"/>
      <x:c r="AC335" s="9"/>
      <x:c r="AD335" s="9"/>
      <x:c r="AE335" s="2"/>
      <x:c r="AF335" s="9"/>
      <x:c r="AG335" s="9"/>
      <x:c r="AH335" s="2"/>
    </x:row>
    <x:row r="336" ht="14.25" customHeight="1">
      <x:c r="A336" s="2"/>
      <x:c r="B336" s="9"/>
      <x:c r="C336" s="9"/>
      <x:c r="D336" s="9"/>
      <x:c r="E336" s="9"/>
      <x:c r="F336" s="9"/>
      <x:c r="G336" s="9"/>
      <x:c r="H336" s="9"/>
      <x:c r="I336" s="9"/>
      <x:c r="J336" s="9"/>
      <x:c r="K336" s="9"/>
      <x:c r="L336" s="9"/>
      <x:c r="M336" s="9"/>
      <x:c r="N336" s="9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  <x:c r="Z336" s="9"/>
      <x:c r="AA336" s="9"/>
      <x:c r="AB336" s="9"/>
      <x:c r="AC336" s="9"/>
      <x:c r="AD336" s="9"/>
      <x:c r="AE336" s="2"/>
      <x:c r="AF336" s="9"/>
      <x:c r="AG336" s="9"/>
      <x:c r="AH336" s="2"/>
    </x:row>
    <x:row r="337" ht="14.25" customHeight="1">
      <x:c r="A337" s="2"/>
      <x:c r="B337" s="9"/>
      <x:c r="C337" s="9"/>
      <x:c r="D337" s="9"/>
      <x:c r="E337" s="9"/>
      <x:c r="F337" s="9"/>
      <x:c r="G337" s="9"/>
      <x:c r="H337" s="9"/>
      <x:c r="I337" s="9"/>
      <x:c r="J337" s="9"/>
      <x:c r="K337" s="9"/>
      <x:c r="L337" s="9"/>
      <x:c r="M337" s="9"/>
      <x:c r="N337" s="9"/>
      <x:c r="O337" s="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  <x:c r="AA337" s="9"/>
      <x:c r="AB337" s="9"/>
      <x:c r="AC337" s="9"/>
      <x:c r="AD337" s="9"/>
      <x:c r="AE337" s="2"/>
      <x:c r="AF337" s="9"/>
      <x:c r="AG337" s="9"/>
      <x:c r="AH337" s="2"/>
    </x:row>
    <x:row r="338" ht="14.25" customHeight="1">
      <x:c r="A338" s="2"/>
      <x:c r="B338" s="9"/>
      <x:c r="C338" s="9"/>
      <x:c r="D338" s="9"/>
      <x:c r="E338" s="9"/>
      <x:c r="F338" s="9"/>
      <x:c r="G338" s="9"/>
      <x:c r="H338" s="9"/>
      <x:c r="I338" s="9"/>
      <x:c r="J338" s="9"/>
      <x:c r="K338" s="9"/>
      <x:c r="L338" s="9"/>
      <x:c r="M338" s="9"/>
      <x:c r="N338" s="9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  <x:c r="AA338" s="9"/>
      <x:c r="AB338" s="9"/>
      <x:c r="AC338" s="9"/>
      <x:c r="AD338" s="9"/>
      <x:c r="AE338" s="2"/>
      <x:c r="AF338" s="9"/>
      <x:c r="AG338" s="9"/>
      <x:c r="AH338" s="2"/>
    </x:row>
    <x:row r="339" ht="14.25" customHeight="1">
      <x:c r="A339" s="2"/>
      <x:c r="B339" s="9"/>
      <x:c r="C339" s="9"/>
      <x:c r="D339" s="9"/>
      <x:c r="E339" s="9"/>
      <x:c r="F339" s="9"/>
      <x:c r="G339" s="9"/>
      <x:c r="H339" s="9"/>
      <x:c r="I339" s="9"/>
      <x:c r="J339" s="9"/>
      <x:c r="K339" s="9"/>
      <x:c r="L339" s="9"/>
      <x:c r="M339" s="9"/>
      <x:c r="N339" s="9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  <x:c r="Z339" s="9"/>
      <x:c r="AA339" s="9"/>
      <x:c r="AB339" s="9"/>
      <x:c r="AC339" s="9"/>
      <x:c r="AD339" s="9"/>
      <x:c r="AE339" s="2"/>
      <x:c r="AF339" s="9"/>
      <x:c r="AG339" s="9"/>
      <x:c r="AH339" s="2"/>
    </x:row>
    <x:row r="340" ht="14.25" customHeight="1">
      <x:c r="A340" s="2"/>
      <x:c r="B340" s="9"/>
      <x:c r="C340" s="9"/>
      <x:c r="D340" s="9"/>
      <x:c r="E340" s="9"/>
      <x:c r="F340" s="9"/>
      <x:c r="G340" s="9"/>
      <x:c r="H340" s="9"/>
      <x:c r="I340" s="9"/>
      <x:c r="J340" s="9"/>
      <x:c r="K340" s="9"/>
      <x:c r="L340" s="9"/>
      <x:c r="M340" s="9"/>
      <x:c r="N340" s="9"/>
      <x:c r="O340" s="9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  <x:c r="AA340" s="9"/>
      <x:c r="AB340" s="9"/>
      <x:c r="AC340" s="9"/>
      <x:c r="AD340" s="9"/>
      <x:c r="AE340" s="2"/>
      <x:c r="AF340" s="9"/>
      <x:c r="AG340" s="9"/>
      <x:c r="AH340" s="2"/>
    </x:row>
    <x:row r="341" ht="14.25" customHeight="1">
      <x:c r="A341" s="2"/>
      <x:c r="B341" s="9"/>
      <x:c r="C341" s="9"/>
      <x:c r="D341" s="9"/>
      <x:c r="E341" s="9"/>
      <x:c r="F341" s="9"/>
      <x:c r="G341" s="9"/>
      <x:c r="H341" s="9"/>
      <x:c r="I341" s="9"/>
      <x:c r="J341" s="9"/>
      <x:c r="K341" s="9"/>
      <x:c r="L341" s="9"/>
      <x:c r="M341" s="9"/>
      <x:c r="N341" s="9"/>
      <x:c r="O341" s="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  <x:c r="AA341" s="9"/>
      <x:c r="AB341" s="9"/>
      <x:c r="AC341" s="9"/>
      <x:c r="AD341" s="9"/>
      <x:c r="AE341" s="2"/>
      <x:c r="AF341" s="9"/>
      <x:c r="AG341" s="9"/>
      <x:c r="AH341" s="2"/>
    </x:row>
    <x:row r="342" ht="14.25" customHeight="1">
      <x:c r="A342" s="2"/>
      <x:c r="B342" s="9"/>
      <x:c r="C342" s="9"/>
      <x:c r="D342" s="9"/>
      <x:c r="E342" s="9"/>
      <x:c r="F342" s="9"/>
      <x:c r="G342" s="9"/>
      <x:c r="H342" s="9"/>
      <x:c r="I342" s="9"/>
      <x:c r="J342" s="9"/>
      <x:c r="K342" s="9"/>
      <x:c r="L342" s="9"/>
      <x:c r="M342" s="9"/>
      <x:c r="N342" s="9"/>
      <x:c r="O342" s="9"/>
      <x:c r="P342" s="9"/>
      <x:c r="Q342" s="9"/>
      <x:c r="R342" s="9"/>
      <x:c r="S342" s="9"/>
      <x:c r="T342" s="9"/>
      <x:c r="U342" s="9"/>
      <x:c r="V342" s="9"/>
      <x:c r="W342" s="9"/>
      <x:c r="X342" s="9"/>
      <x:c r="Y342" s="9"/>
      <x:c r="Z342" s="9"/>
      <x:c r="AA342" s="9"/>
      <x:c r="AB342" s="9"/>
      <x:c r="AC342" s="9"/>
      <x:c r="AD342" s="9"/>
      <x:c r="AE342" s="2"/>
      <x:c r="AF342" s="9"/>
      <x:c r="AG342" s="9"/>
      <x:c r="AH342" s="2"/>
    </x:row>
    <x:row r="343" ht="14.25" customHeight="1">
      <x:c r="A343" s="2"/>
      <x:c r="B343" s="9"/>
      <x:c r="C343" s="9"/>
      <x:c r="D343" s="9"/>
      <x:c r="E343" s="9"/>
      <x:c r="F343" s="9"/>
      <x:c r="G343" s="9"/>
      <x:c r="H343" s="9"/>
      <x:c r="I343" s="9"/>
      <x:c r="J343" s="9"/>
      <x:c r="K343" s="9"/>
      <x:c r="L343" s="9"/>
      <x:c r="M343" s="9"/>
      <x:c r="N343" s="9"/>
      <x:c r="O343" s="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  <x:c r="AA343" s="9"/>
      <x:c r="AB343" s="9"/>
      <x:c r="AC343" s="9"/>
      <x:c r="AD343" s="9"/>
      <x:c r="AE343" s="2"/>
      <x:c r="AF343" s="9"/>
      <x:c r="AG343" s="9"/>
      <x:c r="AH343" s="2"/>
    </x:row>
    <x:row r="344" ht="14.25" customHeight="1">
      <x:c r="A344" s="2"/>
      <x:c r="B344" s="9"/>
      <x:c r="C344" s="9"/>
      <x:c r="D344" s="9"/>
      <x:c r="E344" s="9"/>
      <x:c r="F344" s="9"/>
      <x:c r="G344" s="9"/>
      <x:c r="H344" s="9"/>
      <x:c r="I344" s="9"/>
      <x:c r="J344" s="9"/>
      <x:c r="K344" s="9"/>
      <x:c r="L344" s="9"/>
      <x:c r="M344" s="9"/>
      <x:c r="N344" s="9"/>
      <x:c r="O344" s="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  <x:c r="AA344" s="9"/>
      <x:c r="AB344" s="9"/>
      <x:c r="AC344" s="9"/>
      <x:c r="AD344" s="9"/>
      <x:c r="AE344" s="2"/>
      <x:c r="AF344" s="9"/>
      <x:c r="AG344" s="9"/>
      <x:c r="AH344" s="2"/>
    </x:row>
    <x:row r="345" ht="14.25" customHeight="1">
      <x:c r="A345" s="2"/>
      <x:c r="B345" s="9"/>
      <x:c r="C345" s="9"/>
      <x:c r="D345" s="9"/>
      <x:c r="E345" s="9"/>
      <x:c r="F345" s="9"/>
      <x:c r="G345" s="9"/>
      <x:c r="H345" s="9"/>
      <x:c r="I345" s="9"/>
      <x:c r="J345" s="9"/>
      <x:c r="K345" s="9"/>
      <x:c r="L345" s="9"/>
      <x:c r="M345" s="9"/>
      <x:c r="N345" s="9"/>
      <x:c r="O345" s="9"/>
      <x:c r="P345" s="9"/>
      <x:c r="Q345" s="9"/>
      <x:c r="R345" s="9"/>
      <x:c r="S345" s="9"/>
      <x:c r="T345" s="9"/>
      <x:c r="U345" s="9"/>
      <x:c r="V345" s="9"/>
      <x:c r="W345" s="9"/>
      <x:c r="X345" s="9"/>
      <x:c r="Y345" s="9"/>
      <x:c r="Z345" s="9"/>
      <x:c r="AA345" s="9"/>
      <x:c r="AB345" s="9"/>
      <x:c r="AC345" s="9"/>
      <x:c r="AD345" s="9"/>
      <x:c r="AE345" s="2"/>
      <x:c r="AF345" s="9"/>
      <x:c r="AG345" s="9"/>
      <x:c r="AH345" s="2"/>
    </x:row>
    <x:row r="346" ht="14.25" customHeight="1">
      <x:c r="A346" s="2"/>
      <x:c r="B346" s="9"/>
      <x:c r="C346" s="9"/>
      <x:c r="D346" s="9"/>
      <x:c r="E346" s="9"/>
      <x:c r="F346" s="9"/>
      <x:c r="G346" s="9"/>
      <x:c r="H346" s="9"/>
      <x:c r="I346" s="9"/>
      <x:c r="J346" s="9"/>
      <x:c r="K346" s="9"/>
      <x:c r="L346" s="9"/>
      <x:c r="M346" s="9"/>
      <x:c r="N346" s="9"/>
      <x:c r="O346" s="9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  <x:c r="Z346" s="9"/>
      <x:c r="AA346" s="9"/>
      <x:c r="AB346" s="9"/>
      <x:c r="AC346" s="9"/>
      <x:c r="AD346" s="9"/>
      <x:c r="AE346" s="2"/>
      <x:c r="AF346" s="9"/>
      <x:c r="AG346" s="9"/>
      <x:c r="AH346" s="2"/>
    </x:row>
    <x:row r="347" ht="14.25" customHeight="1">
      <x:c r="A347" s="2"/>
      <x:c r="B347" s="9"/>
      <x:c r="C347" s="9"/>
      <x:c r="D347" s="9"/>
      <x:c r="E347" s="9"/>
      <x:c r="F347" s="9"/>
      <x:c r="G347" s="9"/>
      <x:c r="H347" s="9"/>
      <x:c r="I347" s="9"/>
      <x:c r="J347" s="9"/>
      <x:c r="K347" s="9"/>
      <x:c r="L347" s="9"/>
      <x:c r="M347" s="9"/>
      <x:c r="N347" s="9"/>
      <x:c r="O347" s="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  <x:c r="AA347" s="9"/>
      <x:c r="AB347" s="9"/>
      <x:c r="AC347" s="9"/>
      <x:c r="AD347" s="9"/>
      <x:c r="AE347" s="2"/>
      <x:c r="AF347" s="9"/>
      <x:c r="AG347" s="9"/>
      <x:c r="AH347" s="2"/>
    </x:row>
    <x:row r="348" ht="14.25" customHeight="1">
      <x:c r="A348" s="2"/>
      <x:c r="B348" s="9"/>
      <x:c r="C348" s="9"/>
      <x:c r="D348" s="9"/>
      <x:c r="E348" s="9"/>
      <x:c r="F348" s="9"/>
      <x:c r="G348" s="9"/>
      <x:c r="H348" s="9"/>
      <x:c r="I348" s="9"/>
      <x:c r="J348" s="9"/>
      <x:c r="K348" s="9"/>
      <x:c r="L348" s="9"/>
      <x:c r="M348" s="9"/>
      <x:c r="N348" s="9"/>
      <x:c r="O348" s="9"/>
      <x:c r="P348" s="9"/>
      <x:c r="Q348" s="9"/>
      <x:c r="R348" s="9"/>
      <x:c r="S348" s="9"/>
      <x:c r="T348" s="9"/>
      <x:c r="U348" s="9"/>
      <x:c r="V348" s="9"/>
      <x:c r="W348" s="9"/>
      <x:c r="X348" s="9"/>
      <x:c r="Y348" s="9"/>
      <x:c r="Z348" s="9"/>
      <x:c r="AA348" s="9"/>
      <x:c r="AB348" s="9"/>
      <x:c r="AC348" s="9"/>
      <x:c r="AD348" s="9"/>
      <x:c r="AE348" s="2"/>
      <x:c r="AF348" s="9"/>
      <x:c r="AG348" s="9"/>
      <x:c r="AH348" s="2"/>
    </x:row>
    <x:row r="349" ht="14.25" customHeight="1">
      <x:c r="A349" s="2"/>
      <x:c r="B349" s="9"/>
      <x:c r="C349" s="9"/>
      <x:c r="D349" s="9"/>
      <x:c r="E349" s="9"/>
      <x:c r="F349" s="9"/>
      <x:c r="G349" s="9"/>
      <x:c r="H349" s="9"/>
      <x:c r="I349" s="9"/>
      <x:c r="J349" s="9"/>
      <x:c r="K349" s="9"/>
      <x:c r="L349" s="9"/>
      <x:c r="M349" s="9"/>
      <x:c r="N349" s="9"/>
      <x:c r="O349" s="9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  <x:c r="Z349" s="9"/>
      <x:c r="AA349" s="9"/>
      <x:c r="AB349" s="9"/>
      <x:c r="AC349" s="9"/>
      <x:c r="AD349" s="9"/>
      <x:c r="AE349" s="2"/>
      <x:c r="AF349" s="9"/>
      <x:c r="AG349" s="9"/>
      <x:c r="AH349" s="2"/>
    </x:row>
    <x:row r="350" ht="14.25" customHeight="1">
      <x:c r="A350" s="2"/>
      <x:c r="B350" s="9"/>
      <x:c r="C350" s="9"/>
      <x:c r="D350" s="9"/>
      <x:c r="E350" s="9"/>
      <x:c r="F350" s="9"/>
      <x:c r="G350" s="9"/>
      <x:c r="H350" s="9"/>
      <x:c r="I350" s="9"/>
      <x:c r="J350" s="9"/>
      <x:c r="K350" s="9"/>
      <x:c r="L350" s="9"/>
      <x:c r="M350" s="9"/>
      <x:c r="N350" s="9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  <x:c r="AA350" s="9"/>
      <x:c r="AB350" s="9"/>
      <x:c r="AC350" s="9"/>
      <x:c r="AD350" s="9"/>
      <x:c r="AE350" s="2"/>
      <x:c r="AF350" s="9"/>
      <x:c r="AG350" s="9"/>
      <x:c r="AH350" s="2"/>
    </x:row>
    <x:row r="351" ht="14.25" customHeight="1">
      <x:c r="A351" s="2"/>
      <x:c r="B351" s="9"/>
      <x:c r="C351" s="9"/>
      <x:c r="D351" s="9"/>
      <x:c r="E351" s="9"/>
      <x:c r="F351" s="9"/>
      <x:c r="G351" s="9"/>
      <x:c r="H351" s="9"/>
      <x:c r="I351" s="9"/>
      <x:c r="J351" s="9"/>
      <x:c r="K351" s="9"/>
      <x:c r="L351" s="9"/>
      <x:c r="M351" s="9"/>
      <x:c r="N351" s="9"/>
      <x:c r="O351" s="9"/>
      <x:c r="P351" s="9"/>
      <x:c r="Q351" s="9"/>
      <x:c r="R351" s="9"/>
      <x:c r="S351" s="9"/>
      <x:c r="T351" s="9"/>
      <x:c r="U351" s="9"/>
      <x:c r="V351" s="9"/>
      <x:c r="W351" s="9"/>
      <x:c r="X351" s="9"/>
      <x:c r="Y351" s="9"/>
      <x:c r="Z351" s="9"/>
      <x:c r="AA351" s="9"/>
      <x:c r="AB351" s="9"/>
      <x:c r="AC351" s="9"/>
      <x:c r="AD351" s="9"/>
      <x:c r="AE351" s="2"/>
      <x:c r="AF351" s="9"/>
      <x:c r="AG351" s="9"/>
      <x:c r="AH351" s="2"/>
    </x:row>
    <x:row r="352" ht="14.25" customHeight="1">
      <x:c r="A352" s="2"/>
      <x:c r="B352" s="9"/>
      <x:c r="C352" s="9"/>
      <x:c r="D352" s="9"/>
      <x:c r="E352" s="9"/>
      <x:c r="F352" s="9"/>
      <x:c r="G352" s="9"/>
      <x:c r="H352" s="9"/>
      <x:c r="I352" s="9"/>
      <x:c r="J352" s="9"/>
      <x:c r="K352" s="9"/>
      <x:c r="L352" s="9"/>
      <x:c r="M352" s="9"/>
      <x:c r="N352" s="9"/>
      <x:c r="O352" s="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  <x:c r="AA352" s="9"/>
      <x:c r="AB352" s="9"/>
      <x:c r="AC352" s="9"/>
      <x:c r="AD352" s="9"/>
      <x:c r="AE352" s="2"/>
      <x:c r="AF352" s="9"/>
      <x:c r="AG352" s="9"/>
      <x:c r="AH352" s="2"/>
    </x:row>
    <x:row r="353" ht="14.25" customHeight="1">
      <x:c r="A353" s="2"/>
      <x:c r="B353" s="9"/>
      <x:c r="C353" s="9"/>
      <x:c r="D353" s="9"/>
      <x:c r="E353" s="9"/>
      <x:c r="F353" s="9"/>
      <x:c r="G353" s="9"/>
      <x:c r="H353" s="9"/>
      <x:c r="I353" s="9"/>
      <x:c r="J353" s="9"/>
      <x:c r="K353" s="9"/>
      <x:c r="L353" s="9"/>
      <x:c r="M353" s="9"/>
      <x:c r="N353" s="9"/>
      <x:c r="O353" s="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  <x:c r="AA353" s="9"/>
      <x:c r="AB353" s="9"/>
      <x:c r="AC353" s="9"/>
      <x:c r="AD353" s="9"/>
      <x:c r="AE353" s="2"/>
      <x:c r="AF353" s="9"/>
      <x:c r="AG353" s="9"/>
      <x:c r="AH353" s="2"/>
    </x:row>
    <x:row r="354" ht="14.25" customHeight="1">
      <x:c r="A354" s="2"/>
      <x:c r="B354" s="9"/>
      <x:c r="C354" s="9"/>
      <x:c r="D354" s="9"/>
      <x:c r="E354" s="9"/>
      <x:c r="F354" s="9"/>
      <x:c r="G354" s="9"/>
      <x:c r="H354" s="9"/>
      <x:c r="I354" s="9"/>
      <x:c r="J354" s="9"/>
      <x:c r="K354" s="9"/>
      <x:c r="L354" s="9"/>
      <x:c r="M354" s="9"/>
      <x:c r="N354" s="9"/>
      <x:c r="O354" s="9"/>
      <x:c r="P354" s="9"/>
      <x:c r="Q354" s="9"/>
      <x:c r="R354" s="9"/>
      <x:c r="S354" s="9"/>
      <x:c r="T354" s="9"/>
      <x:c r="U354" s="9"/>
      <x:c r="V354" s="9"/>
      <x:c r="W354" s="9"/>
      <x:c r="X354" s="9"/>
      <x:c r="Y354" s="9"/>
      <x:c r="Z354" s="9"/>
      <x:c r="AA354" s="9"/>
      <x:c r="AB354" s="9"/>
      <x:c r="AC354" s="9"/>
      <x:c r="AD354" s="9"/>
      <x:c r="AE354" s="2"/>
      <x:c r="AF354" s="9"/>
      <x:c r="AG354" s="9"/>
      <x:c r="AH354" s="2"/>
    </x:row>
    <x:row r="355" ht="14.25" customHeight="1">
      <x:c r="A355" s="2"/>
      <x:c r="B355" s="9"/>
      <x:c r="C355" s="9"/>
      <x:c r="D355" s="9"/>
      <x:c r="E355" s="9"/>
      <x:c r="F355" s="9"/>
      <x:c r="G355" s="9"/>
      <x:c r="H355" s="9"/>
      <x:c r="I355" s="9"/>
      <x:c r="J355" s="9"/>
      <x:c r="K355" s="9"/>
      <x:c r="L355" s="9"/>
      <x:c r="M355" s="9"/>
      <x:c r="N355" s="9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  <x:c r="AA355" s="9"/>
      <x:c r="AB355" s="9"/>
      <x:c r="AC355" s="9"/>
      <x:c r="AD355" s="9"/>
      <x:c r="AE355" s="2"/>
      <x:c r="AF355" s="9"/>
      <x:c r="AG355" s="9"/>
      <x:c r="AH355" s="2"/>
    </x:row>
    <x:row r="356" ht="14.25" customHeight="1">
      <x:c r="A356" s="2"/>
      <x:c r="B356" s="9"/>
      <x:c r="C356" s="9"/>
      <x:c r="D356" s="9"/>
      <x:c r="E356" s="9"/>
      <x:c r="F356" s="9"/>
      <x:c r="G356" s="9"/>
      <x:c r="H356" s="9"/>
      <x:c r="I356" s="9"/>
      <x:c r="J356" s="9"/>
      <x:c r="K356" s="9"/>
      <x:c r="L356" s="9"/>
      <x:c r="M356" s="9"/>
      <x:c r="N356" s="9"/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  <x:c r="AA356" s="9"/>
      <x:c r="AB356" s="9"/>
      <x:c r="AC356" s="9"/>
      <x:c r="AD356" s="9"/>
      <x:c r="AE356" s="2"/>
      <x:c r="AF356" s="9"/>
      <x:c r="AG356" s="9"/>
      <x:c r="AH356" s="2"/>
    </x:row>
    <x:row r="357" ht="14.25" customHeight="1">
      <x:c r="A357" s="2"/>
      <x:c r="B357" s="9"/>
      <x:c r="C357" s="9"/>
      <x:c r="D357" s="9"/>
      <x:c r="E357" s="9"/>
      <x:c r="F357" s="9"/>
      <x:c r="G357" s="9"/>
      <x:c r="H357" s="9"/>
      <x:c r="I357" s="9"/>
      <x:c r="J357" s="9"/>
      <x:c r="K357" s="9"/>
      <x:c r="L357" s="9"/>
      <x:c r="M357" s="9"/>
      <x:c r="N357" s="9"/>
      <x:c r="O357" s="9"/>
      <x:c r="P357" s="9"/>
      <x:c r="Q357" s="9"/>
      <x:c r="R357" s="9"/>
      <x:c r="S357" s="9"/>
      <x:c r="T357" s="9"/>
      <x:c r="U357" s="9"/>
      <x:c r="V357" s="9"/>
      <x:c r="W357" s="9"/>
      <x:c r="X357" s="9"/>
      <x:c r="Y357" s="9"/>
      <x:c r="Z357" s="9"/>
      <x:c r="AA357" s="9"/>
      <x:c r="AB357" s="9"/>
      <x:c r="AC357" s="9"/>
      <x:c r="AD357" s="9"/>
      <x:c r="AE357" s="2"/>
      <x:c r="AF357" s="9"/>
      <x:c r="AG357" s="9"/>
      <x:c r="AH357" s="2"/>
    </x:row>
    <x:row r="358" ht="14.25" customHeight="1">
      <x:c r="A358" s="2"/>
      <x:c r="B358" s="9"/>
      <x:c r="C358" s="9"/>
      <x:c r="D358" s="9"/>
      <x:c r="E358" s="9"/>
      <x:c r="F358" s="9"/>
      <x:c r="G358" s="9"/>
      <x:c r="H358" s="9"/>
      <x:c r="I358" s="9"/>
      <x:c r="J358" s="9"/>
      <x:c r="K358" s="9"/>
      <x:c r="L358" s="9"/>
      <x:c r="M358" s="9"/>
      <x:c r="N358" s="9"/>
      <x:c r="O358" s="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  <x:c r="AA358" s="9"/>
      <x:c r="AB358" s="9"/>
      <x:c r="AC358" s="9"/>
      <x:c r="AD358" s="9"/>
      <x:c r="AE358" s="2"/>
      <x:c r="AF358" s="9"/>
      <x:c r="AG358" s="9"/>
      <x:c r="AH358" s="2"/>
    </x:row>
    <x:row r="359" ht="14.25" customHeight="1">
      <x:c r="A359" s="2"/>
      <x:c r="B359" s="9"/>
      <x:c r="C359" s="9"/>
      <x:c r="D359" s="9"/>
      <x:c r="E359" s="9"/>
      <x:c r="F359" s="9"/>
      <x:c r="G359" s="9"/>
      <x:c r="H359" s="9"/>
      <x:c r="I359" s="9"/>
      <x:c r="J359" s="9"/>
      <x:c r="K359" s="9"/>
      <x:c r="L359" s="9"/>
      <x:c r="M359" s="9"/>
      <x:c r="N359" s="9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  <x:c r="AA359" s="9"/>
      <x:c r="AB359" s="9"/>
      <x:c r="AC359" s="9"/>
      <x:c r="AD359" s="9"/>
      <x:c r="AE359" s="2"/>
      <x:c r="AF359" s="9"/>
      <x:c r="AG359" s="9"/>
      <x:c r="AH359" s="2"/>
    </x:row>
    <x:row r="360" ht="14.25" customHeight="1">
      <x:c r="A360" s="2"/>
      <x:c r="B360" s="9"/>
      <x:c r="C360" s="9"/>
      <x:c r="D360" s="9"/>
      <x:c r="E360" s="9"/>
      <x:c r="F360" s="9"/>
      <x:c r="G360" s="9"/>
      <x:c r="H360" s="9"/>
      <x:c r="I360" s="9"/>
      <x:c r="J360" s="9"/>
      <x:c r="K360" s="9"/>
      <x:c r="L360" s="9"/>
      <x:c r="M360" s="9"/>
      <x:c r="N360" s="9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  <x:c r="Z360" s="9"/>
      <x:c r="AA360" s="9"/>
      <x:c r="AB360" s="9"/>
      <x:c r="AC360" s="9"/>
      <x:c r="AD360" s="9"/>
      <x:c r="AE360" s="2"/>
      <x:c r="AF360" s="9"/>
      <x:c r="AG360" s="9"/>
      <x:c r="AH360" s="2"/>
    </x:row>
    <x:row r="361" ht="14.25" customHeight="1">
      <x:c r="A361" s="2"/>
      <x:c r="B361" s="9"/>
      <x:c r="C361" s="9"/>
      <x:c r="D361" s="9"/>
      <x:c r="E361" s="9"/>
      <x:c r="F361" s="9"/>
      <x:c r="G361" s="9"/>
      <x:c r="H361" s="9"/>
      <x:c r="I361" s="9"/>
      <x:c r="J361" s="9"/>
      <x:c r="K361" s="9"/>
      <x:c r="L361" s="9"/>
      <x:c r="M361" s="9"/>
      <x:c r="N361" s="9"/>
      <x:c r="O361" s="9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  <x:c r="Z361" s="9"/>
      <x:c r="AA361" s="9"/>
      <x:c r="AB361" s="9"/>
      <x:c r="AC361" s="9"/>
      <x:c r="AD361" s="9"/>
      <x:c r="AE361" s="2"/>
      <x:c r="AF361" s="9"/>
      <x:c r="AG361" s="9"/>
      <x:c r="AH361" s="2"/>
    </x:row>
    <x:row r="362" ht="14.25" customHeight="1">
      <x:c r="A362" s="2"/>
      <x:c r="B362" s="9"/>
      <x:c r="C362" s="9"/>
      <x:c r="D362" s="9"/>
      <x:c r="E362" s="9"/>
      <x:c r="F362" s="9"/>
      <x:c r="G362" s="9"/>
      <x:c r="H362" s="9"/>
      <x:c r="I362" s="9"/>
      <x:c r="J362" s="9"/>
      <x:c r="K362" s="9"/>
      <x:c r="L362" s="9"/>
      <x:c r="M362" s="9"/>
      <x:c r="N362" s="9"/>
      <x:c r="O362" s="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  <x:c r="AA362" s="9"/>
      <x:c r="AB362" s="9"/>
      <x:c r="AC362" s="9"/>
      <x:c r="AD362" s="9"/>
      <x:c r="AE362" s="2"/>
      <x:c r="AF362" s="9"/>
      <x:c r="AG362" s="9"/>
      <x:c r="AH362" s="2"/>
    </x:row>
    <x:row r="363" ht="14.25" customHeight="1">
      <x:c r="A363" s="2"/>
      <x:c r="B363" s="9"/>
      <x:c r="C363" s="9"/>
      <x:c r="D363" s="9"/>
      <x:c r="E363" s="9"/>
      <x:c r="F363" s="9"/>
      <x:c r="G363" s="9"/>
      <x:c r="H363" s="9"/>
      <x:c r="I363" s="9"/>
      <x:c r="J363" s="9"/>
      <x:c r="K363" s="9"/>
      <x:c r="L363" s="9"/>
      <x:c r="M363" s="9"/>
      <x:c r="N363" s="9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  <x:c r="Z363" s="9"/>
      <x:c r="AA363" s="9"/>
      <x:c r="AB363" s="9"/>
      <x:c r="AC363" s="9"/>
      <x:c r="AD363" s="9"/>
      <x:c r="AE363" s="2"/>
      <x:c r="AF363" s="9"/>
      <x:c r="AG363" s="9"/>
      <x:c r="AH363" s="2"/>
    </x:row>
    <x:row r="364" ht="14.25" customHeight="1">
      <x:c r="A364" s="2"/>
      <x:c r="B364" s="9"/>
      <x:c r="C364" s="9"/>
      <x:c r="D364" s="9"/>
      <x:c r="E364" s="9"/>
      <x:c r="F364" s="9"/>
      <x:c r="G364" s="9"/>
      <x:c r="H364" s="9"/>
      <x:c r="I364" s="9"/>
      <x:c r="J364" s="9"/>
      <x:c r="K364" s="9"/>
      <x:c r="L364" s="9"/>
      <x:c r="M364" s="9"/>
      <x:c r="N364" s="9"/>
      <x:c r="O364" s="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  <x:c r="AA364" s="9"/>
      <x:c r="AB364" s="9"/>
      <x:c r="AC364" s="9"/>
      <x:c r="AD364" s="9"/>
      <x:c r="AE364" s="2"/>
      <x:c r="AF364" s="9"/>
      <x:c r="AG364" s="9"/>
      <x:c r="AH364" s="2"/>
    </x:row>
    <x:row r="365" ht="14.25" customHeight="1">
      <x:c r="A365" s="2"/>
      <x:c r="B365" s="9"/>
      <x:c r="C365" s="9"/>
      <x:c r="D365" s="9"/>
      <x:c r="E365" s="9"/>
      <x:c r="F365" s="9"/>
      <x:c r="G365" s="9"/>
      <x:c r="H365" s="9"/>
      <x:c r="I365" s="9"/>
      <x:c r="J365" s="9"/>
      <x:c r="K365" s="9"/>
      <x:c r="L365" s="9"/>
      <x:c r="M365" s="9"/>
      <x:c r="N365" s="9"/>
      <x:c r="O365" s="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  <x:c r="AA365" s="9"/>
      <x:c r="AB365" s="9"/>
      <x:c r="AC365" s="9"/>
      <x:c r="AD365" s="9"/>
      <x:c r="AE365" s="2"/>
      <x:c r="AF365" s="9"/>
      <x:c r="AG365" s="9"/>
      <x:c r="AH365" s="2"/>
    </x:row>
    <x:row r="366" ht="14.25" customHeight="1">
      <x:c r="A366" s="2"/>
      <x:c r="B366" s="9"/>
      <x:c r="C366" s="9"/>
      <x:c r="D366" s="9"/>
      <x:c r="E366" s="9"/>
      <x:c r="F366" s="9"/>
      <x:c r="G366" s="9"/>
      <x:c r="H366" s="9"/>
      <x:c r="I366" s="9"/>
      <x:c r="J366" s="9"/>
      <x:c r="K366" s="9"/>
      <x:c r="L366" s="9"/>
      <x:c r="M366" s="9"/>
      <x:c r="N366" s="9"/>
      <x:c r="O366" s="9"/>
      <x:c r="P366" s="9"/>
      <x:c r="Q366" s="9"/>
      <x:c r="R366" s="9"/>
      <x:c r="S366" s="9"/>
      <x:c r="T366" s="9"/>
      <x:c r="U366" s="9"/>
      <x:c r="V366" s="9"/>
      <x:c r="W366" s="9"/>
      <x:c r="X366" s="9"/>
      <x:c r="Y366" s="9"/>
      <x:c r="Z366" s="9"/>
      <x:c r="AA366" s="9"/>
      <x:c r="AB366" s="9"/>
      <x:c r="AC366" s="9"/>
      <x:c r="AD366" s="9"/>
      <x:c r="AE366" s="2"/>
      <x:c r="AF366" s="9"/>
      <x:c r="AG366" s="9"/>
      <x:c r="AH366" s="2"/>
    </x:row>
    <x:row r="367" ht="14.25" customHeight="1">
      <x:c r="A367" s="2"/>
      <x:c r="B367" s="9"/>
      <x:c r="C367" s="9"/>
      <x:c r="D367" s="9"/>
      <x:c r="E367" s="9"/>
      <x:c r="F367" s="9"/>
      <x:c r="G367" s="9"/>
      <x:c r="H367" s="9"/>
      <x:c r="I367" s="9"/>
      <x:c r="J367" s="9"/>
      <x:c r="K367" s="9"/>
      <x:c r="L367" s="9"/>
      <x:c r="M367" s="9"/>
      <x:c r="N367" s="9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  <x:c r="AA367" s="9"/>
      <x:c r="AB367" s="9"/>
      <x:c r="AC367" s="9"/>
      <x:c r="AD367" s="9"/>
      <x:c r="AE367" s="2"/>
      <x:c r="AF367" s="9"/>
      <x:c r="AG367" s="9"/>
      <x:c r="AH367" s="2"/>
    </x:row>
    <x:row r="368" ht="14.25" customHeight="1">
      <x:c r="A368" s="2"/>
      <x:c r="B368" s="9"/>
      <x:c r="C368" s="9"/>
      <x:c r="D368" s="9"/>
      <x:c r="E368" s="9"/>
      <x:c r="F368" s="9"/>
      <x:c r="G368" s="9"/>
      <x:c r="H368" s="9"/>
      <x:c r="I368" s="9"/>
      <x:c r="J368" s="9"/>
      <x:c r="K368" s="9"/>
      <x:c r="L368" s="9"/>
      <x:c r="M368" s="9"/>
      <x:c r="N368" s="9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  <x:c r="AA368" s="9"/>
      <x:c r="AB368" s="9"/>
      <x:c r="AC368" s="9"/>
      <x:c r="AD368" s="9"/>
      <x:c r="AE368" s="2"/>
      <x:c r="AF368" s="9"/>
      <x:c r="AG368" s="9"/>
      <x:c r="AH368" s="2"/>
    </x:row>
    <x:row r="369" ht="14.25" customHeight="1">
      <x:c r="A369" s="2"/>
      <x:c r="B369" s="9"/>
      <x:c r="C369" s="9"/>
      <x:c r="D369" s="9"/>
      <x:c r="E369" s="9"/>
      <x:c r="F369" s="9"/>
      <x:c r="G369" s="9"/>
      <x:c r="H369" s="9"/>
      <x:c r="I369" s="9"/>
      <x:c r="J369" s="9"/>
      <x:c r="K369" s="9"/>
      <x:c r="L369" s="9"/>
      <x:c r="M369" s="9"/>
      <x:c r="N369" s="9"/>
      <x:c r="O369" s="9"/>
      <x:c r="P369" s="9"/>
      <x:c r="Q369" s="9"/>
      <x:c r="R369" s="9"/>
      <x:c r="S369" s="9"/>
      <x:c r="T369" s="9"/>
      <x:c r="U369" s="9"/>
      <x:c r="V369" s="9"/>
      <x:c r="W369" s="9"/>
      <x:c r="X369" s="9"/>
      <x:c r="Y369" s="9"/>
      <x:c r="Z369" s="9"/>
      <x:c r="AA369" s="9"/>
      <x:c r="AB369" s="9"/>
      <x:c r="AC369" s="9"/>
      <x:c r="AD369" s="9"/>
      <x:c r="AE369" s="2"/>
      <x:c r="AF369" s="9"/>
      <x:c r="AG369" s="9"/>
      <x:c r="AH369" s="2"/>
    </x:row>
    <x:row r="370" ht="14.25" customHeight="1">
      <x:c r="A370" s="2"/>
      <x:c r="B370" s="9"/>
      <x:c r="C370" s="9"/>
      <x:c r="D370" s="9"/>
      <x:c r="E370" s="9"/>
      <x:c r="F370" s="9"/>
      <x:c r="G370" s="9"/>
      <x:c r="H370" s="9"/>
      <x:c r="I370" s="9"/>
      <x:c r="J370" s="9"/>
      <x:c r="K370" s="9"/>
      <x:c r="L370" s="9"/>
      <x:c r="M370" s="9"/>
      <x:c r="N370" s="9"/>
      <x:c r="O370" s="9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  <x:c r="Z370" s="9"/>
      <x:c r="AA370" s="9"/>
      <x:c r="AB370" s="9"/>
      <x:c r="AC370" s="9"/>
      <x:c r="AD370" s="9"/>
      <x:c r="AE370" s="2"/>
      <x:c r="AF370" s="9"/>
      <x:c r="AG370" s="9"/>
      <x:c r="AH370" s="2"/>
    </x:row>
    <x:row r="371" ht="14.25" customHeight="1">
      <x:c r="A371" s="2"/>
      <x:c r="B371" s="9"/>
      <x:c r="C371" s="9"/>
      <x:c r="D371" s="9"/>
      <x:c r="E371" s="9"/>
      <x:c r="F371" s="9"/>
      <x:c r="G371" s="9"/>
      <x:c r="H371" s="9"/>
      <x:c r="I371" s="9"/>
      <x:c r="J371" s="9"/>
      <x:c r="K371" s="9"/>
      <x:c r="L371" s="9"/>
      <x:c r="M371" s="9"/>
      <x:c r="N371" s="9"/>
      <x:c r="O371" s="9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  <x:c r="Z371" s="9"/>
      <x:c r="AA371" s="9"/>
      <x:c r="AB371" s="9"/>
      <x:c r="AC371" s="9"/>
      <x:c r="AD371" s="9"/>
      <x:c r="AE371" s="2"/>
      <x:c r="AF371" s="9"/>
      <x:c r="AG371" s="9"/>
      <x:c r="AH371" s="2"/>
    </x:row>
    <x:row r="372" ht="14.25" customHeight="1">
      <x:c r="A372" s="2"/>
      <x:c r="B372" s="9"/>
      <x:c r="C372" s="9"/>
      <x:c r="D372" s="9"/>
      <x:c r="E372" s="9"/>
      <x:c r="F372" s="9"/>
      <x:c r="G372" s="9"/>
      <x:c r="H372" s="9"/>
      <x:c r="I372" s="9"/>
      <x:c r="J372" s="9"/>
      <x:c r="K372" s="9"/>
      <x:c r="L372" s="9"/>
      <x:c r="M372" s="9"/>
      <x:c r="N372" s="9"/>
      <x:c r="O372" s="9"/>
      <x:c r="P372" s="9"/>
      <x:c r="Q372" s="9"/>
      <x:c r="R372" s="9"/>
      <x:c r="S372" s="9"/>
      <x:c r="T372" s="9"/>
      <x:c r="U372" s="9"/>
      <x:c r="V372" s="9"/>
      <x:c r="W372" s="9"/>
      <x:c r="X372" s="9"/>
      <x:c r="Y372" s="9"/>
      <x:c r="Z372" s="9"/>
      <x:c r="AA372" s="9"/>
      <x:c r="AB372" s="9"/>
      <x:c r="AC372" s="9"/>
      <x:c r="AD372" s="9"/>
      <x:c r="AE372" s="2"/>
      <x:c r="AF372" s="9"/>
      <x:c r="AG372" s="9"/>
      <x:c r="AH372" s="2"/>
    </x:row>
    <x:row r="373" ht="14.25" customHeight="1">
      <x:c r="A373" s="2"/>
      <x:c r="B373" s="9"/>
      <x:c r="C373" s="9"/>
      <x:c r="D373" s="9"/>
      <x:c r="E373" s="9"/>
      <x:c r="F373" s="9"/>
      <x:c r="G373" s="9"/>
      <x:c r="H373" s="9"/>
      <x:c r="I373" s="9"/>
      <x:c r="J373" s="9"/>
      <x:c r="K373" s="9"/>
      <x:c r="L373" s="9"/>
      <x:c r="M373" s="9"/>
      <x:c r="N373" s="9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  <x:c r="AA373" s="9"/>
      <x:c r="AB373" s="9"/>
      <x:c r="AC373" s="9"/>
      <x:c r="AD373" s="9"/>
      <x:c r="AE373" s="2"/>
      <x:c r="AF373" s="9"/>
      <x:c r="AG373" s="9"/>
      <x:c r="AH373" s="2"/>
    </x:row>
    <x:row r="374" ht="14.25" customHeight="1">
      <x:c r="A374" s="2"/>
      <x:c r="B374" s="9"/>
      <x:c r="C374" s="9"/>
      <x:c r="D374" s="9"/>
      <x:c r="E374" s="9"/>
      <x:c r="F374" s="9"/>
      <x:c r="G374" s="9"/>
      <x:c r="H374" s="9"/>
      <x:c r="I374" s="9"/>
      <x:c r="J374" s="9"/>
      <x:c r="K374" s="9"/>
      <x:c r="L374" s="9"/>
      <x:c r="M374" s="9"/>
      <x:c r="N374" s="9"/>
      <x:c r="O374" s="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  <x:c r="AA374" s="9"/>
      <x:c r="AB374" s="9"/>
      <x:c r="AC374" s="9"/>
      <x:c r="AD374" s="9"/>
      <x:c r="AE374" s="2"/>
      <x:c r="AF374" s="9"/>
      <x:c r="AG374" s="9"/>
      <x:c r="AH374" s="2"/>
    </x:row>
    <x:row r="375" ht="14.25" customHeight="1">
      <x:c r="A375" s="2"/>
      <x:c r="B375" s="9"/>
      <x:c r="C375" s="9"/>
      <x:c r="D375" s="9"/>
      <x:c r="E375" s="9"/>
      <x:c r="F375" s="9"/>
      <x:c r="G375" s="9"/>
      <x:c r="H375" s="9"/>
      <x:c r="I375" s="9"/>
      <x:c r="J375" s="9"/>
      <x:c r="K375" s="9"/>
      <x:c r="L375" s="9"/>
      <x:c r="M375" s="9"/>
      <x:c r="N375" s="9"/>
      <x:c r="O375" s="9"/>
      <x:c r="P375" s="9"/>
      <x:c r="Q375" s="9"/>
      <x:c r="R375" s="9"/>
      <x:c r="S375" s="9"/>
      <x:c r="T375" s="9"/>
      <x:c r="U375" s="9"/>
      <x:c r="V375" s="9"/>
      <x:c r="W375" s="9"/>
      <x:c r="X375" s="9"/>
      <x:c r="Y375" s="9"/>
      <x:c r="Z375" s="9"/>
      <x:c r="AA375" s="9"/>
      <x:c r="AB375" s="9"/>
      <x:c r="AC375" s="9"/>
      <x:c r="AD375" s="9"/>
      <x:c r="AE375" s="2"/>
      <x:c r="AF375" s="9"/>
      <x:c r="AG375" s="9"/>
      <x:c r="AH375" s="2"/>
    </x:row>
    <x:row r="376" ht="14.25" customHeight="1">
      <x:c r="A376" s="2"/>
      <x:c r="B376" s="9"/>
      <x:c r="C376" s="9"/>
      <x:c r="D376" s="9"/>
      <x:c r="E376" s="9"/>
      <x:c r="F376" s="9"/>
      <x:c r="G376" s="9"/>
      <x:c r="H376" s="9"/>
      <x:c r="I376" s="9"/>
      <x:c r="J376" s="9"/>
      <x:c r="K376" s="9"/>
      <x:c r="L376" s="9"/>
      <x:c r="M376" s="9"/>
      <x:c r="N376" s="9"/>
      <x:c r="O376" s="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  <x:c r="AA376" s="9"/>
      <x:c r="AB376" s="9"/>
      <x:c r="AC376" s="9"/>
      <x:c r="AD376" s="9"/>
      <x:c r="AE376" s="2"/>
      <x:c r="AF376" s="9"/>
      <x:c r="AG376" s="9"/>
      <x:c r="AH376" s="2"/>
    </x:row>
    <x:row r="377" ht="14.25" customHeight="1">
      <x:c r="A377" s="2"/>
      <x:c r="B377" s="9"/>
      <x:c r="C377" s="9"/>
      <x:c r="D377" s="9"/>
      <x:c r="E377" s="9"/>
      <x:c r="F377" s="9"/>
      <x:c r="G377" s="9"/>
      <x:c r="H377" s="9"/>
      <x:c r="I377" s="9"/>
      <x:c r="J377" s="9"/>
      <x:c r="K377" s="9"/>
      <x:c r="L377" s="9"/>
      <x:c r="M377" s="9"/>
      <x:c r="N377" s="9"/>
      <x:c r="O377" s="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  <x:c r="AA377" s="9"/>
      <x:c r="AB377" s="9"/>
      <x:c r="AC377" s="9"/>
      <x:c r="AD377" s="9"/>
      <x:c r="AE377" s="2"/>
      <x:c r="AF377" s="9"/>
      <x:c r="AG377" s="9"/>
      <x:c r="AH377" s="2"/>
    </x:row>
    <x:row r="378" ht="14.25" customHeight="1">
      <x:c r="A378" s="2"/>
      <x:c r="B378" s="9"/>
      <x:c r="C378" s="9"/>
      <x:c r="D378" s="9"/>
      <x:c r="E378" s="9"/>
      <x:c r="F378" s="9"/>
      <x:c r="G378" s="9"/>
      <x:c r="H378" s="9"/>
      <x:c r="I378" s="9"/>
      <x:c r="J378" s="9"/>
      <x:c r="K378" s="9"/>
      <x:c r="L378" s="9"/>
      <x:c r="M378" s="9"/>
      <x:c r="N378" s="9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  <x:c r="Z378" s="9"/>
      <x:c r="AA378" s="9"/>
      <x:c r="AB378" s="9"/>
      <x:c r="AC378" s="9"/>
      <x:c r="AD378" s="9"/>
      <x:c r="AE378" s="2"/>
      <x:c r="AF378" s="9"/>
      <x:c r="AG378" s="9"/>
      <x:c r="AH378" s="2"/>
    </x:row>
    <x:row r="379" ht="14.25" customHeight="1">
      <x:c r="A379" s="2"/>
      <x:c r="B379" s="9"/>
      <x:c r="C379" s="9"/>
      <x:c r="D379" s="9"/>
      <x:c r="E379" s="9"/>
      <x:c r="F379" s="9"/>
      <x:c r="G379" s="9"/>
      <x:c r="H379" s="9"/>
      <x:c r="I379" s="9"/>
      <x:c r="J379" s="9"/>
      <x:c r="K379" s="9"/>
      <x:c r="L379" s="9"/>
      <x:c r="M379" s="9"/>
      <x:c r="N379" s="9"/>
      <x:c r="O379" s="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  <x:c r="AA379" s="9"/>
      <x:c r="AB379" s="9"/>
      <x:c r="AC379" s="9"/>
      <x:c r="AD379" s="9"/>
      <x:c r="AE379" s="2"/>
      <x:c r="AF379" s="9"/>
      <x:c r="AG379" s="9"/>
      <x:c r="AH379" s="2"/>
    </x:row>
    <x:row r="380" ht="14.25" customHeight="1">
      <x:c r="A380" s="2"/>
      <x:c r="B380" s="9"/>
      <x:c r="C380" s="9"/>
      <x:c r="D380" s="9"/>
      <x:c r="E380" s="9"/>
      <x:c r="F380" s="9"/>
      <x:c r="G380" s="9"/>
      <x:c r="H380" s="9"/>
      <x:c r="I380" s="9"/>
      <x:c r="J380" s="9"/>
      <x:c r="K380" s="9"/>
      <x:c r="L380" s="9"/>
      <x:c r="M380" s="9"/>
      <x:c r="N380" s="9"/>
      <x:c r="O380" s="9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/>
      <x:c r="Z380" s="9"/>
      <x:c r="AA380" s="9"/>
      <x:c r="AB380" s="9"/>
      <x:c r="AC380" s="9"/>
      <x:c r="AD380" s="9"/>
      <x:c r="AE380" s="2"/>
      <x:c r="AF380" s="9"/>
      <x:c r="AG380" s="9"/>
      <x:c r="AH380" s="2"/>
    </x:row>
    <x:row r="381" ht="14.25" customHeight="1">
      <x:c r="A381" s="2"/>
      <x:c r="B381" s="9"/>
      <x:c r="C381" s="9"/>
      <x:c r="D381" s="9"/>
      <x:c r="E381" s="9"/>
      <x:c r="F381" s="9"/>
      <x:c r="G381" s="9"/>
      <x:c r="H381" s="9"/>
      <x:c r="I381" s="9"/>
      <x:c r="J381" s="9"/>
      <x:c r="K381" s="9"/>
      <x:c r="L381" s="9"/>
      <x:c r="M381" s="9"/>
      <x:c r="N381" s="9"/>
      <x:c r="O381" s="9"/>
      <x:c r="P381" s="9"/>
      <x:c r="Q381" s="9"/>
      <x:c r="R381" s="9"/>
      <x:c r="S381" s="9"/>
      <x:c r="T381" s="9"/>
      <x:c r="U381" s="9"/>
      <x:c r="V381" s="9"/>
      <x:c r="W381" s="9"/>
      <x:c r="X381" s="9"/>
      <x:c r="Y381" s="9"/>
      <x:c r="Z381" s="9"/>
      <x:c r="AA381" s="9"/>
      <x:c r="AB381" s="9"/>
      <x:c r="AC381" s="9"/>
      <x:c r="AD381" s="9"/>
      <x:c r="AE381" s="2"/>
      <x:c r="AF381" s="9"/>
      <x:c r="AG381" s="9"/>
      <x:c r="AH381" s="2"/>
    </x:row>
    <x:row r="382" ht="14.25" customHeight="1">
      <x:c r="A382" s="2"/>
      <x:c r="B382" s="9"/>
      <x:c r="C382" s="9"/>
      <x:c r="D382" s="9"/>
      <x:c r="E382" s="9"/>
      <x:c r="F382" s="9"/>
      <x:c r="G382" s="9"/>
      <x:c r="H382" s="9"/>
      <x:c r="I382" s="9"/>
      <x:c r="J382" s="9"/>
      <x:c r="K382" s="9"/>
      <x:c r="L382" s="9"/>
      <x:c r="M382" s="9"/>
      <x:c r="N382" s="9"/>
      <x:c r="O382" s="9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  <x:c r="Z382" s="9"/>
      <x:c r="AA382" s="9"/>
      <x:c r="AB382" s="9"/>
      <x:c r="AC382" s="9"/>
      <x:c r="AD382" s="9"/>
      <x:c r="AE382" s="2"/>
      <x:c r="AF382" s="9"/>
      <x:c r="AG382" s="9"/>
      <x:c r="AH382" s="2"/>
    </x:row>
    <x:row r="383" ht="14.25" customHeight="1">
      <x:c r="A383" s="2"/>
      <x:c r="B383" s="9"/>
      <x:c r="C383" s="9"/>
      <x:c r="D383" s="9"/>
      <x:c r="E383" s="9"/>
      <x:c r="F383" s="9"/>
      <x:c r="G383" s="9"/>
      <x:c r="H383" s="9"/>
      <x:c r="I383" s="9"/>
      <x:c r="J383" s="9"/>
      <x:c r="K383" s="9"/>
      <x:c r="L383" s="9"/>
      <x:c r="M383" s="9"/>
      <x:c r="N383" s="9"/>
      <x:c r="O383" s="9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  <x:c r="Z383" s="9"/>
      <x:c r="AA383" s="9"/>
      <x:c r="AB383" s="9"/>
      <x:c r="AC383" s="9"/>
      <x:c r="AD383" s="9"/>
      <x:c r="AE383" s="2"/>
      <x:c r="AF383" s="9"/>
      <x:c r="AG383" s="9"/>
      <x:c r="AH383" s="2"/>
    </x:row>
    <x:row r="384" ht="14.25" customHeight="1">
      <x:c r="A384" s="2"/>
      <x:c r="B384" s="9"/>
      <x:c r="C384" s="9"/>
      <x:c r="D384" s="9"/>
      <x:c r="E384" s="9"/>
      <x:c r="F384" s="9"/>
      <x:c r="G384" s="9"/>
      <x:c r="H384" s="9"/>
      <x:c r="I384" s="9"/>
      <x:c r="J384" s="9"/>
      <x:c r="K384" s="9"/>
      <x:c r="L384" s="9"/>
      <x:c r="M384" s="9"/>
      <x:c r="N384" s="9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  <x:c r="Z384" s="9"/>
      <x:c r="AA384" s="9"/>
      <x:c r="AB384" s="9"/>
      <x:c r="AC384" s="9"/>
      <x:c r="AD384" s="9"/>
      <x:c r="AE384" s="2"/>
      <x:c r="AF384" s="9"/>
      <x:c r="AG384" s="9"/>
      <x:c r="AH384" s="2"/>
    </x:row>
    <x:row r="385" ht="14.25" customHeight="1">
      <x:c r="A385" s="2"/>
      <x:c r="B385" s="9"/>
      <x:c r="C385" s="9"/>
      <x:c r="D385" s="9"/>
      <x:c r="E385" s="9"/>
      <x:c r="F385" s="9"/>
      <x:c r="G385" s="9"/>
      <x:c r="H385" s="9"/>
      <x:c r="I385" s="9"/>
      <x:c r="J385" s="9"/>
      <x:c r="K385" s="9"/>
      <x:c r="L385" s="9"/>
      <x:c r="M385" s="9"/>
      <x:c r="N385" s="9"/>
      <x:c r="O385" s="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  <x:c r="AA385" s="9"/>
      <x:c r="AB385" s="9"/>
      <x:c r="AC385" s="9"/>
      <x:c r="AD385" s="9"/>
      <x:c r="AE385" s="2"/>
      <x:c r="AF385" s="9"/>
      <x:c r="AG385" s="9"/>
      <x:c r="AH385" s="2"/>
    </x:row>
    <x:row r="386" ht="14.25" customHeight="1">
      <x:c r="A386" s="2"/>
      <x:c r="B386" s="9"/>
      <x:c r="C386" s="9"/>
      <x:c r="D386" s="9"/>
      <x:c r="E386" s="9"/>
      <x:c r="F386" s="9"/>
      <x:c r="G386" s="9"/>
      <x:c r="H386" s="9"/>
      <x:c r="I386" s="9"/>
      <x:c r="J386" s="9"/>
      <x:c r="K386" s="9"/>
      <x:c r="L386" s="9"/>
      <x:c r="M386" s="9"/>
      <x:c r="N386" s="9"/>
      <x:c r="O386" s="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  <x:c r="AA386" s="9"/>
      <x:c r="AB386" s="9"/>
      <x:c r="AC386" s="9"/>
      <x:c r="AD386" s="9"/>
      <x:c r="AE386" s="2"/>
      <x:c r="AF386" s="9"/>
      <x:c r="AG386" s="9"/>
      <x:c r="AH386" s="2"/>
    </x:row>
    <x:row r="387" ht="14.25" customHeight="1">
      <x:c r="A387" s="2"/>
      <x:c r="B387" s="9"/>
      <x:c r="C387" s="9"/>
      <x:c r="D387" s="9"/>
      <x:c r="E387" s="9"/>
      <x:c r="F387" s="9"/>
      <x:c r="G387" s="9"/>
      <x:c r="H387" s="9"/>
      <x:c r="I387" s="9"/>
      <x:c r="J387" s="9"/>
      <x:c r="K387" s="9"/>
      <x:c r="L387" s="9"/>
      <x:c r="M387" s="9"/>
      <x:c r="N387" s="9"/>
      <x:c r="O387" s="9"/>
      <x:c r="P387" s="9"/>
      <x:c r="Q387" s="9"/>
      <x:c r="R387" s="9"/>
      <x:c r="S387" s="9"/>
      <x:c r="T387" s="9"/>
      <x:c r="U387" s="9"/>
      <x:c r="V387" s="9"/>
      <x:c r="W387" s="9"/>
      <x:c r="X387" s="9"/>
      <x:c r="Y387" s="9"/>
      <x:c r="Z387" s="9"/>
      <x:c r="AA387" s="9"/>
      <x:c r="AB387" s="9"/>
      <x:c r="AC387" s="9"/>
      <x:c r="AD387" s="9"/>
      <x:c r="AE387" s="2"/>
      <x:c r="AF387" s="9"/>
      <x:c r="AG387" s="9"/>
      <x:c r="AH387" s="2"/>
    </x:row>
    <x:row r="388" ht="14.25" customHeight="1">
      <x:c r="A388" s="2"/>
      <x:c r="B388" s="9"/>
      <x:c r="C388" s="9"/>
      <x:c r="D388" s="9"/>
      <x:c r="E388" s="9"/>
      <x:c r="F388" s="9"/>
      <x:c r="G388" s="9"/>
      <x:c r="H388" s="9"/>
      <x:c r="I388" s="9"/>
      <x:c r="J388" s="9"/>
      <x:c r="K388" s="9"/>
      <x:c r="L388" s="9"/>
      <x:c r="M388" s="9"/>
      <x:c r="N388" s="9"/>
      <x:c r="O388" s="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  <x:c r="AA388" s="9"/>
      <x:c r="AB388" s="9"/>
      <x:c r="AC388" s="9"/>
      <x:c r="AD388" s="9"/>
      <x:c r="AE388" s="2"/>
      <x:c r="AF388" s="9"/>
      <x:c r="AG388" s="9"/>
      <x:c r="AH388" s="2"/>
    </x:row>
    <x:row r="389" ht="14.25" customHeight="1">
      <x:c r="A389" s="2"/>
      <x:c r="B389" s="9"/>
      <x:c r="C389" s="9"/>
      <x:c r="D389" s="9"/>
      <x:c r="E389" s="9"/>
      <x:c r="F389" s="9"/>
      <x:c r="G389" s="9"/>
      <x:c r="H389" s="9"/>
      <x:c r="I389" s="9"/>
      <x:c r="J389" s="9"/>
      <x:c r="K389" s="9"/>
      <x:c r="L389" s="9"/>
      <x:c r="M389" s="9"/>
      <x:c r="N389" s="9"/>
      <x:c r="O389" s="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  <x:c r="AA389" s="9"/>
      <x:c r="AB389" s="9"/>
      <x:c r="AC389" s="9"/>
      <x:c r="AD389" s="9"/>
      <x:c r="AE389" s="2"/>
      <x:c r="AF389" s="9"/>
      <x:c r="AG389" s="9"/>
      <x:c r="AH389" s="2"/>
    </x:row>
    <x:row r="390" ht="14.25" customHeight="1">
      <x:c r="A390" s="2"/>
      <x:c r="B390" s="9"/>
      <x:c r="C390" s="9"/>
      <x:c r="D390" s="9"/>
      <x:c r="E390" s="9"/>
      <x:c r="F390" s="9"/>
      <x:c r="G390" s="9"/>
      <x:c r="H390" s="9"/>
      <x:c r="I390" s="9"/>
      <x:c r="J390" s="9"/>
      <x:c r="K390" s="9"/>
      <x:c r="L390" s="9"/>
      <x:c r="M390" s="9"/>
      <x:c r="N390" s="9"/>
      <x:c r="O390" s="9"/>
      <x:c r="P390" s="9"/>
      <x:c r="Q390" s="9"/>
      <x:c r="R390" s="9"/>
      <x:c r="S390" s="9"/>
      <x:c r="T390" s="9"/>
      <x:c r="U390" s="9"/>
      <x:c r="V390" s="9"/>
      <x:c r="W390" s="9"/>
      <x:c r="X390" s="9"/>
      <x:c r="Y390" s="9"/>
      <x:c r="Z390" s="9"/>
      <x:c r="AA390" s="9"/>
      <x:c r="AB390" s="9"/>
      <x:c r="AC390" s="9"/>
      <x:c r="AD390" s="9"/>
      <x:c r="AE390" s="2"/>
      <x:c r="AF390" s="9"/>
      <x:c r="AG390" s="9"/>
      <x:c r="AH390" s="2"/>
    </x:row>
    <x:row r="391" ht="14.25" customHeight="1">
      <x:c r="A391" s="2"/>
      <x:c r="B391" s="9"/>
      <x:c r="C391" s="9"/>
      <x:c r="D391" s="9"/>
      <x:c r="E391" s="9"/>
      <x:c r="F391" s="9"/>
      <x:c r="G391" s="9"/>
      <x:c r="H391" s="9"/>
      <x:c r="I391" s="9"/>
      <x:c r="J391" s="9"/>
      <x:c r="K391" s="9"/>
      <x:c r="L391" s="9"/>
      <x:c r="M391" s="9"/>
      <x:c r="N391" s="9"/>
      <x:c r="O391" s="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  <x:c r="AA391" s="9"/>
      <x:c r="AB391" s="9"/>
      <x:c r="AC391" s="9"/>
      <x:c r="AD391" s="9"/>
      <x:c r="AE391" s="2"/>
      <x:c r="AF391" s="9"/>
      <x:c r="AG391" s="9"/>
      <x:c r="AH391" s="2"/>
    </x:row>
    <x:row r="392" ht="14.25" customHeight="1">
      <x:c r="A392" s="2"/>
      <x:c r="B392" s="9"/>
      <x:c r="C392" s="9"/>
      <x:c r="D392" s="9"/>
      <x:c r="E392" s="9"/>
      <x:c r="F392" s="9"/>
      <x:c r="G392" s="9"/>
      <x:c r="H392" s="9"/>
      <x:c r="I392" s="9"/>
      <x:c r="J392" s="9"/>
      <x:c r="K392" s="9"/>
      <x:c r="L392" s="9"/>
      <x:c r="M392" s="9"/>
      <x:c r="N392" s="9"/>
      <x:c r="O392" s="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  <x:c r="AA392" s="9"/>
      <x:c r="AB392" s="9"/>
      <x:c r="AC392" s="9"/>
      <x:c r="AD392" s="9"/>
      <x:c r="AE392" s="2"/>
      <x:c r="AF392" s="9"/>
      <x:c r="AG392" s="9"/>
      <x:c r="AH392" s="2"/>
    </x:row>
    <x:row r="393" ht="14.25" customHeight="1">
      <x:c r="A393" s="2"/>
      <x:c r="B393" s="9"/>
      <x:c r="C393" s="9"/>
      <x:c r="D393" s="9"/>
      <x:c r="E393" s="9"/>
      <x:c r="F393" s="9"/>
      <x:c r="G393" s="9"/>
      <x:c r="H393" s="9"/>
      <x:c r="I393" s="9"/>
      <x:c r="J393" s="9"/>
      <x:c r="K393" s="9"/>
      <x:c r="L393" s="9"/>
      <x:c r="M393" s="9"/>
      <x:c r="N393" s="9"/>
      <x:c r="O393" s="9"/>
      <x:c r="P393" s="9"/>
      <x:c r="Q393" s="9"/>
      <x:c r="R393" s="9"/>
      <x:c r="S393" s="9"/>
      <x:c r="T393" s="9"/>
      <x:c r="U393" s="9"/>
      <x:c r="V393" s="9"/>
      <x:c r="W393" s="9"/>
      <x:c r="X393" s="9"/>
      <x:c r="Y393" s="9"/>
      <x:c r="Z393" s="9"/>
      <x:c r="AA393" s="9"/>
      <x:c r="AB393" s="9"/>
      <x:c r="AC393" s="9"/>
      <x:c r="AD393" s="9"/>
      <x:c r="AE393" s="2"/>
      <x:c r="AF393" s="9"/>
      <x:c r="AG393" s="9"/>
      <x:c r="AH393" s="2"/>
    </x:row>
    <x:row r="394" ht="14.25" customHeight="1">
      <x:c r="A394" s="2"/>
      <x:c r="B394" s="9"/>
      <x:c r="C394" s="9"/>
      <x:c r="D394" s="9"/>
      <x:c r="E394" s="9"/>
      <x:c r="F394" s="9"/>
      <x:c r="G394" s="9"/>
      <x:c r="H394" s="9"/>
      <x:c r="I394" s="9"/>
      <x:c r="J394" s="9"/>
      <x:c r="K394" s="9"/>
      <x:c r="L394" s="9"/>
      <x:c r="M394" s="9"/>
      <x:c r="N394" s="9"/>
      <x:c r="O394" s="9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  <x:c r="Z394" s="9"/>
      <x:c r="AA394" s="9"/>
      <x:c r="AB394" s="9"/>
      <x:c r="AC394" s="9"/>
      <x:c r="AD394" s="9"/>
      <x:c r="AE394" s="2"/>
      <x:c r="AF394" s="9"/>
      <x:c r="AG394" s="9"/>
      <x:c r="AH394" s="2"/>
    </x:row>
    <x:row r="395" ht="14.25" customHeight="1">
      <x:c r="A395" s="2"/>
      <x:c r="B395" s="9"/>
      <x:c r="C395" s="9"/>
      <x:c r="D395" s="9"/>
      <x:c r="E395" s="9"/>
      <x:c r="F395" s="9"/>
      <x:c r="G395" s="9"/>
      <x:c r="H395" s="9"/>
      <x:c r="I395" s="9"/>
      <x:c r="J395" s="9"/>
      <x:c r="K395" s="9"/>
      <x:c r="L395" s="9"/>
      <x:c r="M395" s="9"/>
      <x:c r="N395" s="9"/>
      <x:c r="O395" s="9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  <x:c r="Z395" s="9"/>
      <x:c r="AA395" s="9"/>
      <x:c r="AB395" s="9"/>
      <x:c r="AC395" s="9"/>
      <x:c r="AD395" s="9"/>
      <x:c r="AE395" s="2"/>
      <x:c r="AF395" s="9"/>
      <x:c r="AG395" s="9"/>
      <x:c r="AH395" s="2"/>
    </x:row>
    <x:row r="396" ht="14.25" customHeight="1">
      <x:c r="A396" s="2"/>
      <x:c r="B396" s="9"/>
      <x:c r="C396" s="9"/>
      <x:c r="D396" s="9"/>
      <x:c r="E396" s="9"/>
      <x:c r="F396" s="9"/>
      <x:c r="G396" s="9"/>
      <x:c r="H396" s="9"/>
      <x:c r="I396" s="9"/>
      <x:c r="J396" s="9"/>
      <x:c r="K396" s="9"/>
      <x:c r="L396" s="9"/>
      <x:c r="M396" s="9"/>
      <x:c r="N396" s="9"/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  <x:c r="Z396" s="9"/>
      <x:c r="AA396" s="9"/>
      <x:c r="AB396" s="9"/>
      <x:c r="AC396" s="9"/>
      <x:c r="AD396" s="9"/>
      <x:c r="AE396" s="2"/>
      <x:c r="AF396" s="9"/>
      <x:c r="AG396" s="9"/>
      <x:c r="AH396" s="2"/>
    </x:row>
    <x:row r="397" ht="14.25" customHeight="1">
      <x:c r="A397" s="2"/>
      <x:c r="B397" s="9"/>
      <x:c r="C397" s="9"/>
      <x:c r="D397" s="9"/>
      <x:c r="E397" s="9"/>
      <x:c r="F397" s="9"/>
      <x:c r="G397" s="9"/>
      <x:c r="H397" s="9"/>
      <x:c r="I397" s="9"/>
      <x:c r="J397" s="9"/>
      <x:c r="K397" s="9"/>
      <x:c r="L397" s="9"/>
      <x:c r="M397" s="9"/>
      <x:c r="N397" s="9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  <x:c r="AA397" s="9"/>
      <x:c r="AB397" s="9"/>
      <x:c r="AC397" s="9"/>
      <x:c r="AD397" s="9"/>
      <x:c r="AE397" s="2"/>
      <x:c r="AF397" s="9"/>
      <x:c r="AG397" s="9"/>
      <x:c r="AH397" s="2"/>
    </x:row>
    <x:row r="398" ht="14.25" customHeight="1">
      <x:c r="A398" s="2"/>
      <x:c r="B398" s="9"/>
      <x:c r="C398" s="9"/>
      <x:c r="D398" s="9"/>
      <x:c r="E398" s="9"/>
      <x:c r="F398" s="9"/>
      <x:c r="G398" s="9"/>
      <x:c r="H398" s="9"/>
      <x:c r="I398" s="9"/>
      <x:c r="J398" s="9"/>
      <x:c r="K398" s="9"/>
      <x:c r="L398" s="9"/>
      <x:c r="M398" s="9"/>
      <x:c r="N398" s="9"/>
      <x:c r="O398" s="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  <x:c r="AA398" s="9"/>
      <x:c r="AB398" s="9"/>
      <x:c r="AC398" s="9"/>
      <x:c r="AD398" s="9"/>
      <x:c r="AE398" s="2"/>
      <x:c r="AF398" s="9"/>
      <x:c r="AG398" s="9"/>
      <x:c r="AH398" s="2"/>
    </x:row>
    <x:row r="399" ht="14.25" customHeight="1">
      <x:c r="A399" s="2"/>
      <x:c r="B399" s="9"/>
      <x:c r="C399" s="9"/>
      <x:c r="D399" s="9"/>
      <x:c r="E399" s="9"/>
      <x:c r="F399" s="9"/>
      <x:c r="G399" s="9"/>
      <x:c r="H399" s="9"/>
      <x:c r="I399" s="9"/>
      <x:c r="J399" s="9"/>
      <x:c r="K399" s="9"/>
      <x:c r="L399" s="9"/>
      <x:c r="M399" s="9"/>
      <x:c r="N399" s="9"/>
      <x:c r="O399" s="9"/>
      <x:c r="P399" s="9"/>
      <x:c r="Q399" s="9"/>
      <x:c r="R399" s="9"/>
      <x:c r="S399" s="9"/>
      <x:c r="T399" s="9"/>
      <x:c r="U399" s="9"/>
      <x:c r="V399" s="9"/>
      <x:c r="W399" s="9"/>
      <x:c r="X399" s="9"/>
      <x:c r="Y399" s="9"/>
      <x:c r="Z399" s="9"/>
      <x:c r="AA399" s="9"/>
      <x:c r="AB399" s="9"/>
      <x:c r="AC399" s="9"/>
      <x:c r="AD399" s="9"/>
      <x:c r="AE399" s="2"/>
      <x:c r="AF399" s="9"/>
      <x:c r="AG399" s="9"/>
      <x:c r="AH399" s="2"/>
    </x:row>
    <x:row r="400" ht="14.25" customHeight="1">
      <x:c r="A400" s="2"/>
      <x:c r="B400" s="9"/>
      <x:c r="C400" s="9"/>
      <x:c r="D400" s="9"/>
      <x:c r="E400" s="9"/>
      <x:c r="F400" s="9"/>
      <x:c r="G400" s="9"/>
      <x:c r="H400" s="9"/>
      <x:c r="I400" s="9"/>
      <x:c r="J400" s="9"/>
      <x:c r="K400" s="9"/>
      <x:c r="L400" s="9"/>
      <x:c r="M400" s="9"/>
      <x:c r="N400" s="9"/>
      <x:c r="O400" s="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  <x:c r="AA400" s="9"/>
      <x:c r="AB400" s="9"/>
      <x:c r="AC400" s="9"/>
      <x:c r="AD400" s="9"/>
      <x:c r="AE400" s="2"/>
      <x:c r="AF400" s="9"/>
      <x:c r="AG400" s="9"/>
      <x:c r="AH400" s="2"/>
    </x:row>
    <x:row r="401" ht="14.25" customHeight="1">
      <x:c r="A401" s="2"/>
      <x:c r="B401" s="9"/>
      <x:c r="C401" s="9"/>
      <x:c r="D401" s="9"/>
      <x:c r="E401" s="9"/>
      <x:c r="F401" s="9"/>
      <x:c r="G401" s="9"/>
      <x:c r="H401" s="9"/>
      <x:c r="I401" s="9"/>
      <x:c r="J401" s="9"/>
      <x:c r="K401" s="9"/>
      <x:c r="L401" s="9"/>
      <x:c r="M401" s="9"/>
      <x:c r="N401" s="9"/>
      <x:c r="O401" s="9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  <x:c r="Z401" s="9"/>
      <x:c r="AA401" s="9"/>
      <x:c r="AB401" s="9"/>
      <x:c r="AC401" s="9"/>
      <x:c r="AD401" s="9"/>
      <x:c r="AE401" s="2"/>
      <x:c r="AF401" s="9"/>
      <x:c r="AG401" s="9"/>
      <x:c r="AH401" s="2"/>
    </x:row>
    <x:row r="402" ht="14.25" customHeight="1">
      <x:c r="A402" s="2"/>
      <x:c r="B402" s="9"/>
      <x:c r="C402" s="9"/>
      <x:c r="D402" s="9"/>
      <x:c r="E402" s="9"/>
      <x:c r="F402" s="9"/>
      <x:c r="G402" s="9"/>
      <x:c r="H402" s="9"/>
      <x:c r="I402" s="9"/>
      <x:c r="J402" s="9"/>
      <x:c r="K402" s="9"/>
      <x:c r="L402" s="9"/>
      <x:c r="M402" s="9"/>
      <x:c r="N402" s="9"/>
      <x:c r="O402" s="9"/>
      <x:c r="P402" s="9"/>
      <x:c r="Q402" s="9"/>
      <x:c r="R402" s="9"/>
      <x:c r="S402" s="9"/>
      <x:c r="T402" s="9"/>
      <x:c r="U402" s="9"/>
      <x:c r="V402" s="9"/>
      <x:c r="W402" s="9"/>
      <x:c r="X402" s="9"/>
      <x:c r="Y402" s="9"/>
      <x:c r="Z402" s="9"/>
      <x:c r="AA402" s="9"/>
      <x:c r="AB402" s="9"/>
      <x:c r="AC402" s="9"/>
      <x:c r="AD402" s="9"/>
      <x:c r="AE402" s="2"/>
      <x:c r="AF402" s="9"/>
      <x:c r="AG402" s="9"/>
      <x:c r="AH402" s="2"/>
    </x:row>
    <x:row r="403" ht="14.25" customHeight="1">
      <x:c r="A403" s="2"/>
      <x:c r="B403" s="9"/>
      <x:c r="C403" s="9"/>
      <x:c r="D403" s="9"/>
      <x:c r="E403" s="9"/>
      <x:c r="F403" s="9"/>
      <x:c r="G403" s="9"/>
      <x:c r="H403" s="9"/>
      <x:c r="I403" s="9"/>
      <x:c r="J403" s="9"/>
      <x:c r="K403" s="9"/>
      <x:c r="L403" s="9"/>
      <x:c r="M403" s="9"/>
      <x:c r="N403" s="9"/>
      <x:c r="O403" s="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  <x:c r="AA403" s="9"/>
      <x:c r="AB403" s="9"/>
      <x:c r="AC403" s="9"/>
      <x:c r="AD403" s="9"/>
      <x:c r="AE403" s="2"/>
      <x:c r="AF403" s="9"/>
      <x:c r="AG403" s="9"/>
      <x:c r="AH403" s="2"/>
    </x:row>
    <x:row r="404" ht="14.25" customHeight="1">
      <x:c r="A404" s="2"/>
      <x:c r="B404" s="9"/>
      <x:c r="C404" s="9"/>
      <x:c r="D404" s="9"/>
      <x:c r="E404" s="9"/>
      <x:c r="F404" s="9"/>
      <x:c r="G404" s="9"/>
      <x:c r="H404" s="9"/>
      <x:c r="I404" s="9"/>
      <x:c r="J404" s="9"/>
      <x:c r="K404" s="9"/>
      <x:c r="L404" s="9"/>
      <x:c r="M404" s="9"/>
      <x:c r="N404" s="9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  <x:c r="AA404" s="9"/>
      <x:c r="AB404" s="9"/>
      <x:c r="AC404" s="9"/>
      <x:c r="AD404" s="9"/>
      <x:c r="AE404" s="2"/>
      <x:c r="AF404" s="9"/>
      <x:c r="AG404" s="9"/>
      <x:c r="AH404" s="2"/>
    </x:row>
    <x:row r="405" ht="14.25" customHeight="1">
      <x:c r="A405" s="2"/>
      <x:c r="B405" s="9"/>
      <x:c r="C405" s="9"/>
      <x:c r="D405" s="9"/>
      <x:c r="E405" s="9"/>
      <x:c r="F405" s="9"/>
      <x:c r="G405" s="9"/>
      <x:c r="H405" s="9"/>
      <x:c r="I405" s="9"/>
      <x:c r="J405" s="9"/>
      <x:c r="K405" s="9"/>
      <x:c r="L405" s="9"/>
      <x:c r="M405" s="9"/>
      <x:c r="N405" s="9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  <x:c r="AA405" s="9"/>
      <x:c r="AB405" s="9"/>
      <x:c r="AC405" s="9"/>
      <x:c r="AD405" s="9"/>
      <x:c r="AE405" s="2"/>
      <x:c r="AF405" s="9"/>
      <x:c r="AG405" s="9"/>
      <x:c r="AH405" s="2"/>
    </x:row>
    <x:row r="406" ht="14.25" customHeight="1">
      <x:c r="A406" s="2"/>
      <x:c r="B406" s="9"/>
      <x:c r="C406" s="9"/>
      <x:c r="D406" s="9"/>
      <x:c r="E406" s="9"/>
      <x:c r="F406" s="9"/>
      <x:c r="G406" s="9"/>
      <x:c r="H406" s="9"/>
      <x:c r="I406" s="9"/>
      <x:c r="J406" s="9"/>
      <x:c r="K406" s="9"/>
      <x:c r="L406" s="9"/>
      <x:c r="M406" s="9"/>
      <x:c r="N406" s="9"/>
      <x:c r="O406" s="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  <x:c r="AA406" s="9"/>
      <x:c r="AB406" s="9"/>
      <x:c r="AC406" s="9"/>
      <x:c r="AD406" s="9"/>
      <x:c r="AE406" s="2"/>
      <x:c r="AF406" s="9"/>
      <x:c r="AG406" s="9"/>
      <x:c r="AH406" s="2"/>
    </x:row>
    <x:row r="407" ht="14.25" customHeight="1">
      <x:c r="A407" s="2"/>
      <x:c r="B407" s="9"/>
      <x:c r="C407" s="9"/>
      <x:c r="D407" s="9"/>
      <x:c r="E407" s="9"/>
      <x:c r="F407" s="9"/>
      <x:c r="G407" s="9"/>
      <x:c r="H407" s="9"/>
      <x:c r="I407" s="9"/>
      <x:c r="J407" s="9"/>
      <x:c r="K407" s="9"/>
      <x:c r="L407" s="9"/>
      <x:c r="M407" s="9"/>
      <x:c r="N407" s="9"/>
      <x:c r="O407" s="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  <x:c r="AA407" s="9"/>
      <x:c r="AB407" s="9"/>
      <x:c r="AC407" s="9"/>
      <x:c r="AD407" s="9"/>
      <x:c r="AE407" s="2"/>
      <x:c r="AF407" s="9"/>
      <x:c r="AG407" s="9"/>
      <x:c r="AH407" s="2"/>
    </x:row>
    <x:row r="408" ht="14.25" customHeight="1">
      <x:c r="A408" s="2"/>
      <x:c r="B408" s="9"/>
      <x:c r="C408" s="9"/>
      <x:c r="D408" s="9"/>
      <x:c r="E408" s="9"/>
      <x:c r="F408" s="9"/>
      <x:c r="G408" s="9"/>
      <x:c r="H408" s="9"/>
      <x:c r="I408" s="9"/>
      <x:c r="J408" s="9"/>
      <x:c r="K408" s="9"/>
      <x:c r="L408" s="9"/>
      <x:c r="M408" s="9"/>
      <x:c r="N408" s="9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  <x:c r="AA408" s="9"/>
      <x:c r="AB408" s="9"/>
      <x:c r="AC408" s="9"/>
      <x:c r="AD408" s="9"/>
      <x:c r="AE408" s="2"/>
      <x:c r="AF408" s="9"/>
      <x:c r="AG408" s="9"/>
      <x:c r="AH408" s="2"/>
    </x:row>
    <x:row r="409" ht="14.25" customHeight="1">
      <x:c r="A409" s="2"/>
      <x:c r="B409" s="9"/>
      <x:c r="C409" s="9"/>
      <x:c r="D409" s="9"/>
      <x:c r="E409" s="9"/>
      <x:c r="F409" s="9"/>
      <x:c r="G409" s="9"/>
      <x:c r="H409" s="9"/>
      <x:c r="I409" s="9"/>
      <x:c r="J409" s="9"/>
      <x:c r="K409" s="9"/>
      <x:c r="L409" s="9"/>
      <x:c r="M409" s="9"/>
      <x:c r="N409" s="9"/>
      <x:c r="O409" s="9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  <x:c r="AA409" s="9"/>
      <x:c r="AB409" s="9"/>
      <x:c r="AC409" s="9"/>
      <x:c r="AD409" s="9"/>
      <x:c r="AE409" s="2"/>
      <x:c r="AF409" s="9"/>
      <x:c r="AG409" s="9"/>
      <x:c r="AH409" s="2"/>
    </x:row>
    <x:row r="410" ht="14.25" customHeight="1">
      <x:c r="A410" s="2"/>
      <x:c r="B410" s="9"/>
      <x:c r="C410" s="9"/>
      <x:c r="D410" s="9"/>
      <x:c r="E410" s="9"/>
      <x:c r="F410" s="9"/>
      <x:c r="G410" s="9"/>
      <x:c r="H410" s="9"/>
      <x:c r="I410" s="9"/>
      <x:c r="J410" s="9"/>
      <x:c r="K410" s="9"/>
      <x:c r="L410" s="9"/>
      <x:c r="M410" s="9"/>
      <x:c r="N410" s="9"/>
      <x:c r="O410" s="9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  <x:c r="AA410" s="9"/>
      <x:c r="AB410" s="9"/>
      <x:c r="AC410" s="9"/>
      <x:c r="AD410" s="9"/>
      <x:c r="AE410" s="2"/>
      <x:c r="AF410" s="9"/>
      <x:c r="AG410" s="9"/>
      <x:c r="AH410" s="2"/>
    </x:row>
    <x:row r="411" ht="14.25" customHeight="1">
      <x:c r="A411" s="2"/>
      <x:c r="B411" s="9"/>
      <x:c r="C411" s="9"/>
      <x:c r="D411" s="9"/>
      <x:c r="E411" s="9"/>
      <x:c r="F411" s="9"/>
      <x:c r="G411" s="9"/>
      <x:c r="H411" s="9"/>
      <x:c r="I411" s="9"/>
      <x:c r="J411" s="9"/>
      <x:c r="K411" s="9"/>
      <x:c r="L411" s="9"/>
      <x:c r="M411" s="9"/>
      <x:c r="N411" s="9"/>
      <x:c r="O411" s="9"/>
      <x:c r="P411" s="9"/>
      <x:c r="Q411" s="9"/>
      <x:c r="R411" s="9"/>
      <x:c r="S411" s="9"/>
      <x:c r="T411" s="9"/>
      <x:c r="U411" s="9"/>
      <x:c r="V411" s="9"/>
      <x:c r="W411" s="9"/>
      <x:c r="X411" s="9"/>
      <x:c r="Y411" s="9"/>
      <x:c r="Z411" s="9"/>
      <x:c r="AA411" s="9"/>
      <x:c r="AB411" s="9"/>
      <x:c r="AC411" s="9"/>
      <x:c r="AD411" s="9"/>
      <x:c r="AE411" s="2"/>
      <x:c r="AF411" s="9"/>
      <x:c r="AG411" s="9"/>
      <x:c r="AH411" s="2"/>
    </x:row>
    <x:row r="412" ht="14.25" customHeight="1">
      <x:c r="A412" s="2"/>
      <x:c r="B412" s="9"/>
      <x:c r="C412" s="9"/>
      <x:c r="D412" s="9"/>
      <x:c r="E412" s="9"/>
      <x:c r="F412" s="9"/>
      <x:c r="G412" s="9"/>
      <x:c r="H412" s="9"/>
      <x:c r="I412" s="9"/>
      <x:c r="J412" s="9"/>
      <x:c r="K412" s="9"/>
      <x:c r="L412" s="9"/>
      <x:c r="M412" s="9"/>
      <x:c r="N412" s="9"/>
      <x:c r="O412" s="9"/>
      <x:c r="P412" s="9"/>
      <x:c r="Q412" s="9"/>
      <x:c r="R412" s="9"/>
      <x:c r="S412" s="9"/>
      <x:c r="T412" s="9"/>
      <x:c r="U412" s="9"/>
      <x:c r="V412" s="9"/>
      <x:c r="W412" s="9"/>
      <x:c r="X412" s="9"/>
      <x:c r="Y412" s="9"/>
      <x:c r="Z412" s="9"/>
      <x:c r="AA412" s="9"/>
      <x:c r="AB412" s="9"/>
      <x:c r="AC412" s="9"/>
      <x:c r="AD412" s="9"/>
      <x:c r="AE412" s="2"/>
      <x:c r="AF412" s="9"/>
      <x:c r="AG412" s="9"/>
      <x:c r="AH412" s="2"/>
    </x:row>
    <x:row r="413" ht="14.25" customHeight="1">
      <x:c r="A413" s="2"/>
      <x:c r="B413" s="9"/>
      <x:c r="C413" s="9"/>
      <x:c r="D413" s="9"/>
      <x:c r="E413" s="9"/>
      <x:c r="F413" s="9"/>
      <x:c r="G413" s="9"/>
      <x:c r="H413" s="9"/>
      <x:c r="I413" s="9"/>
      <x:c r="J413" s="9"/>
      <x:c r="K413" s="9"/>
      <x:c r="L413" s="9"/>
      <x:c r="M413" s="9"/>
      <x:c r="N413" s="9"/>
      <x:c r="O413" s="9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  <x:c r="Z413" s="9"/>
      <x:c r="AA413" s="9"/>
      <x:c r="AB413" s="9"/>
      <x:c r="AC413" s="9"/>
      <x:c r="AD413" s="9"/>
      <x:c r="AE413" s="2"/>
      <x:c r="AF413" s="9"/>
      <x:c r="AG413" s="9"/>
      <x:c r="AH413" s="2"/>
    </x:row>
    <x:row r="414" ht="14.25" customHeight="1">
      <x:c r="A414" s="2"/>
      <x:c r="B414" s="9"/>
      <x:c r="C414" s="9"/>
      <x:c r="D414" s="9"/>
      <x:c r="E414" s="9"/>
      <x:c r="F414" s="9"/>
      <x:c r="G414" s="9"/>
      <x:c r="H414" s="9"/>
      <x:c r="I414" s="9"/>
      <x:c r="J414" s="9"/>
      <x:c r="K414" s="9"/>
      <x:c r="L414" s="9"/>
      <x:c r="M414" s="9"/>
      <x:c r="N414" s="9"/>
      <x:c r="O414" s="9"/>
      <x:c r="P414" s="9"/>
      <x:c r="Q414" s="9"/>
      <x:c r="R414" s="9"/>
      <x:c r="S414" s="9"/>
      <x:c r="T414" s="9"/>
      <x:c r="U414" s="9"/>
      <x:c r="V414" s="9"/>
      <x:c r="W414" s="9"/>
      <x:c r="X414" s="9"/>
      <x:c r="Y414" s="9"/>
      <x:c r="Z414" s="9"/>
      <x:c r="AA414" s="9"/>
      <x:c r="AB414" s="9"/>
      <x:c r="AC414" s="9"/>
      <x:c r="AD414" s="9"/>
      <x:c r="AE414" s="2"/>
      <x:c r="AF414" s="9"/>
      <x:c r="AG414" s="9"/>
      <x:c r="AH414" s="2"/>
    </x:row>
    <x:row r="415" ht="14.25" customHeight="1">
      <x:c r="A415" s="2"/>
      <x:c r="B415" s="9"/>
      <x:c r="C415" s="9"/>
      <x:c r="D415" s="9"/>
      <x:c r="E415" s="9"/>
      <x:c r="F415" s="9"/>
      <x:c r="G415" s="9"/>
      <x:c r="H415" s="9"/>
      <x:c r="I415" s="9"/>
      <x:c r="J415" s="9"/>
      <x:c r="K415" s="9"/>
      <x:c r="L415" s="9"/>
      <x:c r="M415" s="9"/>
      <x:c r="N415" s="9"/>
      <x:c r="O415" s="9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  <x:c r="Z415" s="9"/>
      <x:c r="AA415" s="9"/>
      <x:c r="AB415" s="9"/>
      <x:c r="AC415" s="9"/>
      <x:c r="AD415" s="9"/>
      <x:c r="AE415" s="2"/>
      <x:c r="AF415" s="9"/>
      <x:c r="AG415" s="9"/>
      <x:c r="AH415" s="2"/>
    </x:row>
    <x:row r="416" ht="14.25" customHeight="1">
      <x:c r="A416" s="2"/>
      <x:c r="B416" s="9"/>
      <x:c r="C416" s="9"/>
      <x:c r="D416" s="9"/>
      <x:c r="E416" s="9"/>
      <x:c r="F416" s="9"/>
      <x:c r="G416" s="9"/>
      <x:c r="H416" s="9"/>
      <x:c r="I416" s="9"/>
      <x:c r="J416" s="9"/>
      <x:c r="K416" s="9"/>
      <x:c r="L416" s="9"/>
      <x:c r="M416" s="9"/>
      <x:c r="N416" s="9"/>
      <x:c r="O416" s="9"/>
      <x:c r="P416" s="9"/>
      <x:c r="Q416" s="9"/>
      <x:c r="R416" s="9"/>
      <x:c r="S416" s="9"/>
      <x:c r="T416" s="9"/>
      <x:c r="U416" s="9"/>
      <x:c r="V416" s="9"/>
      <x:c r="W416" s="9"/>
      <x:c r="X416" s="9"/>
      <x:c r="Y416" s="9"/>
      <x:c r="Z416" s="9"/>
      <x:c r="AA416" s="9"/>
      <x:c r="AB416" s="9"/>
      <x:c r="AC416" s="9"/>
      <x:c r="AD416" s="9"/>
      <x:c r="AE416" s="2"/>
      <x:c r="AF416" s="9"/>
      <x:c r="AG416" s="9"/>
      <x:c r="AH416" s="2"/>
    </x:row>
    <x:row r="417" ht="14.25" customHeight="1">
      <x:c r="A417" s="2"/>
      <x:c r="B417" s="9"/>
      <x:c r="C417" s="9"/>
      <x:c r="D417" s="9"/>
      <x:c r="E417" s="9"/>
      <x:c r="F417" s="9"/>
      <x:c r="G417" s="9"/>
      <x:c r="H417" s="9"/>
      <x:c r="I417" s="9"/>
      <x:c r="J417" s="9"/>
      <x:c r="K417" s="9"/>
      <x:c r="L417" s="9"/>
      <x:c r="M417" s="9"/>
      <x:c r="N417" s="9"/>
      <x:c r="O417" s="9"/>
      <x:c r="P417" s="9"/>
      <x:c r="Q417" s="9"/>
      <x:c r="R417" s="9"/>
      <x:c r="S417" s="9"/>
      <x:c r="T417" s="9"/>
      <x:c r="U417" s="9"/>
      <x:c r="V417" s="9"/>
      <x:c r="W417" s="9"/>
      <x:c r="X417" s="9"/>
      <x:c r="Y417" s="9"/>
      <x:c r="Z417" s="9"/>
      <x:c r="AA417" s="9"/>
      <x:c r="AB417" s="9"/>
      <x:c r="AC417" s="9"/>
      <x:c r="AD417" s="9"/>
      <x:c r="AE417" s="2"/>
      <x:c r="AF417" s="9"/>
      <x:c r="AG417" s="9"/>
      <x:c r="AH417" s="2"/>
    </x:row>
    <x:row r="418" ht="14.25" customHeight="1">
      <x:c r="A418" s="2"/>
      <x:c r="B418" s="9"/>
      <x:c r="C418" s="9"/>
      <x:c r="D418" s="9"/>
      <x:c r="E418" s="9"/>
      <x:c r="F418" s="9"/>
      <x:c r="G418" s="9"/>
      <x:c r="H418" s="9"/>
      <x:c r="I418" s="9"/>
      <x:c r="J418" s="9"/>
      <x:c r="K418" s="9"/>
      <x:c r="L418" s="9"/>
      <x:c r="M418" s="9"/>
      <x:c r="N418" s="9"/>
      <x:c r="O418" s="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  <x:c r="AA418" s="9"/>
      <x:c r="AB418" s="9"/>
      <x:c r="AC418" s="9"/>
      <x:c r="AD418" s="9"/>
      <x:c r="AE418" s="2"/>
      <x:c r="AF418" s="9"/>
      <x:c r="AG418" s="9"/>
      <x:c r="AH418" s="2"/>
    </x:row>
    <x:row r="419" ht="14.25" customHeight="1">
      <x:c r="A419" s="2"/>
      <x:c r="B419" s="9"/>
      <x:c r="C419" s="9"/>
      <x:c r="D419" s="9"/>
      <x:c r="E419" s="9"/>
      <x:c r="F419" s="9"/>
      <x:c r="G419" s="9"/>
      <x:c r="H419" s="9"/>
      <x:c r="I419" s="9"/>
      <x:c r="J419" s="9"/>
      <x:c r="K419" s="9"/>
      <x:c r="L419" s="9"/>
      <x:c r="M419" s="9"/>
      <x:c r="N419" s="9"/>
      <x:c r="O419" s="9"/>
      <x:c r="P419" s="9"/>
      <x:c r="Q419" s="9"/>
      <x:c r="R419" s="9"/>
      <x:c r="S419" s="9"/>
      <x:c r="T419" s="9"/>
      <x:c r="U419" s="9"/>
      <x:c r="V419" s="9"/>
      <x:c r="W419" s="9"/>
      <x:c r="X419" s="9"/>
      <x:c r="Y419" s="9"/>
      <x:c r="Z419" s="9"/>
      <x:c r="AA419" s="9"/>
      <x:c r="AB419" s="9"/>
      <x:c r="AC419" s="9"/>
      <x:c r="AD419" s="9"/>
      <x:c r="AE419" s="2"/>
      <x:c r="AF419" s="9"/>
      <x:c r="AG419" s="9"/>
      <x:c r="AH419" s="2"/>
    </x:row>
    <x:row r="420" ht="14.25" customHeight="1">
      <x:c r="A420" s="2"/>
      <x:c r="B420" s="9"/>
      <x:c r="C420" s="9"/>
      <x:c r="D420" s="9"/>
      <x:c r="E420" s="9"/>
      <x:c r="F420" s="9"/>
      <x:c r="G420" s="9"/>
      <x:c r="H420" s="9"/>
      <x:c r="I420" s="9"/>
      <x:c r="J420" s="9"/>
      <x:c r="K420" s="9"/>
      <x:c r="L420" s="9"/>
      <x:c r="M420" s="9"/>
      <x:c r="N420" s="9"/>
      <x:c r="O420" s="9"/>
      <x:c r="P420" s="9"/>
      <x:c r="Q420" s="9"/>
      <x:c r="R420" s="9"/>
      <x:c r="S420" s="9"/>
      <x:c r="T420" s="9"/>
      <x:c r="U420" s="9"/>
      <x:c r="V420" s="9"/>
      <x:c r="W420" s="9"/>
      <x:c r="X420" s="9"/>
      <x:c r="Y420" s="9"/>
      <x:c r="Z420" s="9"/>
      <x:c r="AA420" s="9"/>
      <x:c r="AB420" s="9"/>
      <x:c r="AC420" s="9"/>
      <x:c r="AD420" s="9"/>
      <x:c r="AE420" s="2"/>
      <x:c r="AF420" s="9"/>
      <x:c r="AG420" s="9"/>
      <x:c r="AH420" s="2"/>
    </x:row>
    <x:row r="421" ht="14.25" customHeight="1">
      <x:c r="A421" s="2"/>
      <x:c r="B421" s="9"/>
      <x:c r="C421" s="9"/>
      <x:c r="D421" s="9"/>
      <x:c r="E421" s="9"/>
      <x:c r="F421" s="9"/>
      <x:c r="G421" s="9"/>
      <x:c r="H421" s="9"/>
      <x:c r="I421" s="9"/>
      <x:c r="J421" s="9"/>
      <x:c r="K421" s="9"/>
      <x:c r="L421" s="9"/>
      <x:c r="M421" s="9"/>
      <x:c r="N421" s="9"/>
      <x:c r="O421" s="9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  <x:c r="Z421" s="9"/>
      <x:c r="AA421" s="9"/>
      <x:c r="AB421" s="9"/>
      <x:c r="AC421" s="9"/>
      <x:c r="AD421" s="9"/>
      <x:c r="AE421" s="2"/>
      <x:c r="AF421" s="9"/>
      <x:c r="AG421" s="9"/>
      <x:c r="AH421" s="2"/>
    </x:row>
    <x:row r="422" ht="14.25" customHeight="1">
      <x:c r="A422" s="2"/>
      <x:c r="B422" s="9"/>
      <x:c r="C422" s="9"/>
      <x:c r="D422" s="9"/>
      <x:c r="E422" s="9"/>
      <x:c r="F422" s="9"/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  <x:c r="Z422" s="9"/>
      <x:c r="AA422" s="9"/>
      <x:c r="AB422" s="9"/>
      <x:c r="AC422" s="9"/>
      <x:c r="AD422" s="9"/>
      <x:c r="AE422" s="2"/>
      <x:c r="AF422" s="9"/>
      <x:c r="AG422" s="9"/>
      <x:c r="AH422" s="2"/>
    </x:row>
    <x:row r="423" ht="14.25" customHeight="1">
      <x:c r="A423" s="2"/>
      <x:c r="B423" s="9"/>
      <x:c r="C423" s="9"/>
      <x:c r="D423" s="9"/>
      <x:c r="E423" s="9"/>
      <x:c r="F423" s="9"/>
      <x:c r="G423" s="9"/>
      <x:c r="H423" s="9"/>
      <x:c r="I423" s="9"/>
      <x:c r="J423" s="9"/>
      <x:c r="K423" s="9"/>
      <x:c r="L423" s="9"/>
      <x:c r="M423" s="9"/>
      <x:c r="N423" s="9"/>
      <x:c r="O423" s="9"/>
      <x:c r="P423" s="9"/>
      <x:c r="Q423" s="9"/>
      <x:c r="R423" s="9"/>
      <x:c r="S423" s="9"/>
      <x:c r="T423" s="9"/>
      <x:c r="U423" s="9"/>
      <x:c r="V423" s="9"/>
      <x:c r="W423" s="9"/>
      <x:c r="X423" s="9"/>
      <x:c r="Y423" s="9"/>
      <x:c r="Z423" s="9"/>
      <x:c r="AA423" s="9"/>
      <x:c r="AB423" s="9"/>
      <x:c r="AC423" s="9"/>
      <x:c r="AD423" s="9"/>
      <x:c r="AE423" s="2"/>
      <x:c r="AF423" s="9"/>
      <x:c r="AG423" s="9"/>
      <x:c r="AH423" s="2"/>
    </x:row>
    <x:row r="424" ht="14.25" customHeight="1">
      <x:c r="A424" s="2"/>
      <x:c r="B424" s="9"/>
      <x:c r="C424" s="9"/>
      <x:c r="D424" s="9"/>
      <x:c r="E424" s="9"/>
      <x:c r="F424" s="9"/>
      <x:c r="G424" s="9"/>
      <x:c r="H424" s="9"/>
      <x:c r="I424" s="9"/>
      <x:c r="J424" s="9"/>
      <x:c r="K424" s="9"/>
      <x:c r="L424" s="9"/>
      <x:c r="M424" s="9"/>
      <x:c r="N424" s="9"/>
      <x:c r="O424" s="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  <x:c r="AA424" s="9"/>
      <x:c r="AB424" s="9"/>
      <x:c r="AC424" s="9"/>
      <x:c r="AD424" s="9"/>
      <x:c r="AE424" s="2"/>
      <x:c r="AF424" s="9"/>
      <x:c r="AG424" s="9"/>
      <x:c r="AH424" s="2"/>
    </x:row>
    <x:row r="425" ht="14.25" customHeight="1">
      <x:c r="A425" s="2"/>
      <x:c r="B425" s="9"/>
      <x:c r="C425" s="9"/>
      <x:c r="D425" s="9"/>
      <x:c r="E425" s="9"/>
      <x:c r="F425" s="9"/>
      <x:c r="G425" s="9"/>
      <x:c r="H425" s="9"/>
      <x:c r="I425" s="9"/>
      <x:c r="J425" s="9"/>
      <x:c r="K425" s="9"/>
      <x:c r="L425" s="9"/>
      <x:c r="M425" s="9"/>
      <x:c r="N425" s="9"/>
      <x:c r="O425" s="9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  <x:c r="Z425" s="9"/>
      <x:c r="AA425" s="9"/>
      <x:c r="AB425" s="9"/>
      <x:c r="AC425" s="9"/>
      <x:c r="AD425" s="9"/>
      <x:c r="AE425" s="2"/>
      <x:c r="AF425" s="9"/>
      <x:c r="AG425" s="9"/>
      <x:c r="AH425" s="2"/>
    </x:row>
    <x:row r="426" ht="14.25" customHeight="1">
      <x:c r="A426" s="2"/>
      <x:c r="B426" s="9"/>
      <x:c r="C426" s="9"/>
      <x:c r="D426" s="9"/>
      <x:c r="E426" s="9"/>
      <x:c r="F426" s="9"/>
      <x:c r="G426" s="9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9"/>
      <x:c r="T426" s="9"/>
      <x:c r="U426" s="9"/>
      <x:c r="V426" s="9"/>
      <x:c r="W426" s="9"/>
      <x:c r="X426" s="9"/>
      <x:c r="Y426" s="9"/>
      <x:c r="Z426" s="9"/>
      <x:c r="AA426" s="9"/>
      <x:c r="AB426" s="9"/>
      <x:c r="AC426" s="9"/>
      <x:c r="AD426" s="9"/>
      <x:c r="AE426" s="2"/>
      <x:c r="AF426" s="9"/>
      <x:c r="AG426" s="9"/>
      <x:c r="AH426" s="2"/>
    </x:row>
    <x:row r="427" ht="14.25" customHeight="1">
      <x:c r="A427" s="2"/>
      <x:c r="B427" s="9"/>
      <x:c r="C427" s="9"/>
      <x:c r="D427" s="9"/>
      <x:c r="E427" s="9"/>
      <x:c r="F427" s="9"/>
      <x:c r="G427" s="9"/>
      <x:c r="H427" s="9"/>
      <x:c r="I427" s="9"/>
      <x:c r="J427" s="9"/>
      <x:c r="K427" s="9"/>
      <x:c r="L427" s="9"/>
      <x:c r="M427" s="9"/>
      <x:c r="N427" s="9"/>
      <x:c r="O427" s="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  <x:c r="AA427" s="9"/>
      <x:c r="AB427" s="9"/>
      <x:c r="AC427" s="9"/>
      <x:c r="AD427" s="9"/>
      <x:c r="AE427" s="2"/>
      <x:c r="AF427" s="9"/>
      <x:c r="AG427" s="9"/>
      <x:c r="AH427" s="2"/>
    </x:row>
    <x:row r="428" ht="14.25" customHeight="1">
      <x:c r="A428" s="2"/>
      <x:c r="B428" s="9"/>
      <x:c r="C428" s="9"/>
      <x:c r="D428" s="9"/>
      <x:c r="E428" s="9"/>
      <x:c r="F428" s="9"/>
      <x:c r="G428" s="9"/>
      <x:c r="H428" s="9"/>
      <x:c r="I428" s="9"/>
      <x:c r="J428" s="9"/>
      <x:c r="K428" s="9"/>
      <x:c r="L428" s="9"/>
      <x:c r="M428" s="9"/>
      <x:c r="N428" s="9"/>
      <x:c r="O428" s="9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  <x:c r="Z428" s="9"/>
      <x:c r="AA428" s="9"/>
      <x:c r="AB428" s="9"/>
      <x:c r="AC428" s="9"/>
      <x:c r="AD428" s="9"/>
      <x:c r="AE428" s="2"/>
      <x:c r="AF428" s="9"/>
      <x:c r="AG428" s="9"/>
      <x:c r="AH428" s="2"/>
    </x:row>
    <x:row r="429" ht="14.25" customHeight="1">
      <x:c r="A429" s="2"/>
      <x:c r="B429" s="9"/>
      <x:c r="C429" s="9"/>
      <x:c r="D429" s="9"/>
      <x:c r="E429" s="9"/>
      <x:c r="F429" s="9"/>
      <x:c r="G429" s="9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9"/>
      <x:c r="T429" s="9"/>
      <x:c r="U429" s="9"/>
      <x:c r="V429" s="9"/>
      <x:c r="W429" s="9"/>
      <x:c r="X429" s="9"/>
      <x:c r="Y429" s="9"/>
      <x:c r="Z429" s="9"/>
      <x:c r="AA429" s="9"/>
      <x:c r="AB429" s="9"/>
      <x:c r="AC429" s="9"/>
      <x:c r="AD429" s="9"/>
      <x:c r="AE429" s="2"/>
      <x:c r="AF429" s="9"/>
      <x:c r="AG429" s="9"/>
      <x:c r="AH429" s="2"/>
    </x:row>
    <x:row r="430" ht="14.25" customHeight="1">
      <x:c r="A430" s="2"/>
      <x:c r="B430" s="9"/>
      <x:c r="C430" s="9"/>
      <x:c r="D430" s="9"/>
      <x:c r="E430" s="9"/>
      <x:c r="F430" s="9"/>
      <x:c r="G430" s="9"/>
      <x:c r="H430" s="9"/>
      <x:c r="I430" s="9"/>
      <x:c r="J430" s="9"/>
      <x:c r="K430" s="9"/>
      <x:c r="L430" s="9"/>
      <x:c r="M430" s="9"/>
      <x:c r="N430" s="9"/>
      <x:c r="O430" s="9"/>
      <x:c r="P430" s="9"/>
      <x:c r="Q430" s="9"/>
      <x:c r="R430" s="9"/>
      <x:c r="S430" s="9"/>
      <x:c r="T430" s="9"/>
      <x:c r="U430" s="9"/>
      <x:c r="V430" s="9"/>
      <x:c r="W430" s="9"/>
      <x:c r="X430" s="9"/>
      <x:c r="Y430" s="9"/>
      <x:c r="Z430" s="9"/>
      <x:c r="AA430" s="9"/>
      <x:c r="AB430" s="9"/>
      <x:c r="AC430" s="9"/>
      <x:c r="AD430" s="9"/>
      <x:c r="AE430" s="2"/>
      <x:c r="AF430" s="9"/>
      <x:c r="AG430" s="9"/>
      <x:c r="AH430" s="2"/>
    </x:row>
    <x:row r="431" ht="14.25" customHeight="1">
      <x:c r="A431" s="2"/>
      <x:c r="B431" s="9"/>
      <x:c r="C431" s="9"/>
      <x:c r="D431" s="9"/>
      <x:c r="E431" s="9"/>
      <x:c r="F431" s="9"/>
      <x:c r="G431" s="9"/>
      <x:c r="H431" s="9"/>
      <x:c r="I431" s="9"/>
      <x:c r="J431" s="9"/>
      <x:c r="K431" s="9"/>
      <x:c r="L431" s="9"/>
      <x:c r="M431" s="9"/>
      <x:c r="N431" s="9"/>
      <x:c r="O431" s="9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  <x:c r="AA431" s="9"/>
      <x:c r="AB431" s="9"/>
      <x:c r="AC431" s="9"/>
      <x:c r="AD431" s="9"/>
      <x:c r="AE431" s="2"/>
      <x:c r="AF431" s="9"/>
      <x:c r="AG431" s="9"/>
      <x:c r="AH431" s="2"/>
    </x:row>
    <x:row r="432" ht="14.25" customHeight="1">
      <x:c r="A432" s="2"/>
      <x:c r="B432" s="9"/>
      <x:c r="C432" s="9"/>
      <x:c r="D432" s="9"/>
      <x:c r="E432" s="9"/>
      <x:c r="F432" s="9"/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9"/>
      <x:c r="T432" s="9"/>
      <x:c r="U432" s="9"/>
      <x:c r="V432" s="9"/>
      <x:c r="W432" s="9"/>
      <x:c r="X432" s="9"/>
      <x:c r="Y432" s="9"/>
      <x:c r="Z432" s="9"/>
      <x:c r="AA432" s="9"/>
      <x:c r="AB432" s="9"/>
      <x:c r="AC432" s="9"/>
      <x:c r="AD432" s="9"/>
      <x:c r="AE432" s="2"/>
      <x:c r="AF432" s="9"/>
      <x:c r="AG432" s="9"/>
      <x:c r="AH432" s="2"/>
    </x:row>
    <x:row r="433" ht="14.25" customHeight="1">
      <x:c r="A433" s="2"/>
      <x:c r="B433" s="9"/>
      <x:c r="C433" s="9"/>
      <x:c r="D433" s="9"/>
      <x:c r="E433" s="9"/>
      <x:c r="F433" s="9"/>
      <x:c r="G433" s="9"/>
      <x:c r="H433" s="9"/>
      <x:c r="I433" s="9"/>
      <x:c r="J433" s="9"/>
      <x:c r="K433" s="9"/>
      <x:c r="L433" s="9"/>
      <x:c r="M433" s="9"/>
      <x:c r="N433" s="9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  <x:c r="AA433" s="9"/>
      <x:c r="AB433" s="9"/>
      <x:c r="AC433" s="9"/>
      <x:c r="AD433" s="9"/>
      <x:c r="AE433" s="2"/>
      <x:c r="AF433" s="9"/>
      <x:c r="AG433" s="9"/>
      <x:c r="AH433" s="2"/>
    </x:row>
    <x:row r="434" ht="14.25" customHeight="1">
      <x:c r="A434" s="2"/>
      <x:c r="B434" s="9"/>
      <x:c r="C434" s="9"/>
      <x:c r="D434" s="9"/>
      <x:c r="E434" s="9"/>
      <x:c r="F434" s="9"/>
      <x:c r="G434" s="9"/>
      <x:c r="H434" s="9"/>
      <x:c r="I434" s="9"/>
      <x:c r="J434" s="9"/>
      <x:c r="K434" s="9"/>
      <x:c r="L434" s="9"/>
      <x:c r="M434" s="9"/>
      <x:c r="N434" s="9"/>
      <x:c r="O434" s="9"/>
      <x:c r="P434" s="9"/>
      <x:c r="Q434" s="9"/>
      <x:c r="R434" s="9"/>
      <x:c r="S434" s="9"/>
      <x:c r="T434" s="9"/>
      <x:c r="U434" s="9"/>
      <x:c r="V434" s="9"/>
      <x:c r="W434" s="9"/>
      <x:c r="X434" s="9"/>
      <x:c r="Y434" s="9"/>
      <x:c r="Z434" s="9"/>
      <x:c r="AA434" s="9"/>
      <x:c r="AB434" s="9"/>
      <x:c r="AC434" s="9"/>
      <x:c r="AD434" s="9"/>
      <x:c r="AE434" s="2"/>
      <x:c r="AF434" s="9"/>
      <x:c r="AG434" s="9"/>
      <x:c r="AH434" s="2"/>
    </x:row>
    <x:row r="435" ht="14.25" customHeight="1">
      <x:c r="A435" s="2"/>
      <x:c r="B435" s="9"/>
      <x:c r="C435" s="9"/>
      <x:c r="D435" s="9"/>
      <x:c r="E435" s="9"/>
      <x:c r="F435" s="9"/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9"/>
      <x:c r="T435" s="9"/>
      <x:c r="U435" s="9"/>
      <x:c r="V435" s="9"/>
      <x:c r="W435" s="9"/>
      <x:c r="X435" s="9"/>
      <x:c r="Y435" s="9"/>
      <x:c r="Z435" s="9"/>
      <x:c r="AA435" s="9"/>
      <x:c r="AB435" s="9"/>
      <x:c r="AC435" s="9"/>
      <x:c r="AD435" s="9"/>
      <x:c r="AE435" s="2"/>
      <x:c r="AF435" s="9"/>
      <x:c r="AG435" s="9"/>
      <x:c r="AH435" s="2"/>
    </x:row>
    <x:row r="436" ht="14.25" customHeight="1">
      <x:c r="A436" s="2"/>
      <x:c r="B436" s="9"/>
      <x:c r="C436" s="9"/>
      <x:c r="D436" s="9"/>
      <x:c r="E436" s="9"/>
      <x:c r="F436" s="9"/>
      <x:c r="G436" s="9"/>
      <x:c r="H436" s="9"/>
      <x:c r="I436" s="9"/>
      <x:c r="J436" s="9"/>
      <x:c r="K436" s="9"/>
      <x:c r="L436" s="9"/>
      <x:c r="M436" s="9"/>
      <x:c r="N436" s="9"/>
      <x:c r="O436" s="9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  <x:c r="Z436" s="9"/>
      <x:c r="AA436" s="9"/>
      <x:c r="AB436" s="9"/>
      <x:c r="AC436" s="9"/>
      <x:c r="AD436" s="9"/>
      <x:c r="AE436" s="2"/>
      <x:c r="AF436" s="9"/>
      <x:c r="AG436" s="9"/>
      <x:c r="AH436" s="2"/>
    </x:row>
    <x:row r="437" ht="14.25" customHeight="1">
      <x:c r="A437" s="2"/>
      <x:c r="B437" s="9"/>
      <x:c r="C437" s="9"/>
      <x:c r="D437" s="9"/>
      <x:c r="E437" s="9"/>
      <x:c r="F437" s="9"/>
      <x:c r="G437" s="9"/>
      <x:c r="H437" s="9"/>
      <x:c r="I437" s="9"/>
      <x:c r="J437" s="9"/>
      <x:c r="K437" s="9"/>
      <x:c r="L437" s="9"/>
      <x:c r="M437" s="9"/>
      <x:c r="N437" s="9"/>
      <x:c r="O437" s="9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  <x:c r="Z437" s="9"/>
      <x:c r="AA437" s="9"/>
      <x:c r="AB437" s="9"/>
      <x:c r="AC437" s="9"/>
      <x:c r="AD437" s="9"/>
      <x:c r="AE437" s="2"/>
      <x:c r="AF437" s="9"/>
      <x:c r="AG437" s="9"/>
      <x:c r="AH437" s="2"/>
    </x:row>
    <x:row r="438" ht="14.25" customHeight="1">
      <x:c r="A438" s="2"/>
      <x:c r="B438" s="9"/>
      <x:c r="C438" s="9"/>
      <x:c r="D438" s="9"/>
      <x:c r="E438" s="9"/>
      <x:c r="F438" s="9"/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9"/>
      <x:c r="T438" s="9"/>
      <x:c r="U438" s="9"/>
      <x:c r="V438" s="9"/>
      <x:c r="W438" s="9"/>
      <x:c r="X438" s="9"/>
      <x:c r="Y438" s="9"/>
      <x:c r="Z438" s="9"/>
      <x:c r="AA438" s="9"/>
      <x:c r="AB438" s="9"/>
      <x:c r="AC438" s="9"/>
      <x:c r="AD438" s="9"/>
      <x:c r="AE438" s="2"/>
      <x:c r="AF438" s="9"/>
      <x:c r="AG438" s="9"/>
      <x:c r="AH438" s="2"/>
    </x:row>
    <x:row r="439" ht="14.25" customHeight="1">
      <x:c r="A439" s="2"/>
      <x:c r="B439" s="9"/>
      <x:c r="C439" s="9"/>
      <x:c r="D439" s="9"/>
      <x:c r="E439" s="9"/>
      <x:c r="F439" s="9"/>
      <x:c r="G439" s="9"/>
      <x:c r="H439" s="9"/>
      <x:c r="I439" s="9"/>
      <x:c r="J439" s="9"/>
      <x:c r="K439" s="9"/>
      <x:c r="L439" s="9"/>
      <x:c r="M439" s="9"/>
      <x:c r="N439" s="9"/>
      <x:c r="O439" s="9"/>
      <x:c r="P439" s="9"/>
      <x:c r="Q439" s="9"/>
      <x:c r="R439" s="9"/>
      <x:c r="S439" s="9"/>
      <x:c r="T439" s="9"/>
      <x:c r="U439" s="9"/>
      <x:c r="V439" s="9"/>
      <x:c r="W439" s="9"/>
      <x:c r="X439" s="9"/>
      <x:c r="Y439" s="9"/>
      <x:c r="Z439" s="9"/>
      <x:c r="AA439" s="9"/>
      <x:c r="AB439" s="9"/>
      <x:c r="AC439" s="9"/>
      <x:c r="AD439" s="9"/>
      <x:c r="AE439" s="2"/>
      <x:c r="AF439" s="9"/>
      <x:c r="AG439" s="9"/>
      <x:c r="AH439" s="2"/>
    </x:row>
    <x:row r="440" ht="14.25" customHeight="1">
      <x:c r="A440" s="2"/>
      <x:c r="B440" s="9"/>
      <x:c r="C440" s="9"/>
      <x:c r="D440" s="9"/>
      <x:c r="E440" s="9"/>
      <x:c r="F440" s="9"/>
      <x:c r="G440" s="9"/>
      <x:c r="H440" s="9"/>
      <x:c r="I440" s="9"/>
      <x:c r="J440" s="9"/>
      <x:c r="K440" s="9"/>
      <x:c r="L440" s="9"/>
      <x:c r="M440" s="9"/>
      <x:c r="N440" s="9"/>
      <x:c r="O440" s="9"/>
      <x:c r="P440" s="9"/>
      <x:c r="Q440" s="9"/>
      <x:c r="R440" s="9"/>
      <x:c r="S440" s="9"/>
      <x:c r="T440" s="9"/>
      <x:c r="U440" s="9"/>
      <x:c r="V440" s="9"/>
      <x:c r="W440" s="9"/>
      <x:c r="X440" s="9"/>
      <x:c r="Y440" s="9"/>
      <x:c r="Z440" s="9"/>
      <x:c r="AA440" s="9"/>
      <x:c r="AB440" s="9"/>
      <x:c r="AC440" s="9"/>
      <x:c r="AD440" s="9"/>
      <x:c r="AE440" s="2"/>
      <x:c r="AF440" s="9"/>
      <x:c r="AG440" s="9"/>
      <x:c r="AH440" s="2"/>
    </x:row>
    <x:row r="441" ht="14.25" customHeight="1">
      <x:c r="A441" s="2"/>
      <x:c r="B441" s="9"/>
      <x:c r="C441" s="9"/>
      <x:c r="D441" s="9"/>
      <x:c r="E441" s="9"/>
      <x:c r="F441" s="9"/>
      <x:c r="G441" s="9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9"/>
      <x:c r="T441" s="9"/>
      <x:c r="U441" s="9"/>
      <x:c r="V441" s="9"/>
      <x:c r="W441" s="9"/>
      <x:c r="X441" s="9"/>
      <x:c r="Y441" s="9"/>
      <x:c r="Z441" s="9"/>
      <x:c r="AA441" s="9"/>
      <x:c r="AB441" s="9"/>
      <x:c r="AC441" s="9"/>
      <x:c r="AD441" s="9"/>
      <x:c r="AE441" s="2"/>
      <x:c r="AF441" s="9"/>
      <x:c r="AG441" s="9"/>
      <x:c r="AH441" s="2"/>
    </x:row>
    <x:row r="442" ht="14.25" customHeight="1">
      <x:c r="A442" s="2"/>
      <x:c r="B442" s="9"/>
      <x:c r="C442" s="9"/>
      <x:c r="D442" s="9"/>
      <x:c r="E442" s="9"/>
      <x:c r="F442" s="9"/>
      <x:c r="G442" s="9"/>
      <x:c r="H442" s="9"/>
      <x:c r="I442" s="9"/>
      <x:c r="J442" s="9"/>
      <x:c r="K442" s="9"/>
      <x:c r="L442" s="9"/>
      <x:c r="M442" s="9"/>
      <x:c r="N442" s="9"/>
      <x:c r="O442" s="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  <x:c r="AA442" s="9"/>
      <x:c r="AB442" s="9"/>
      <x:c r="AC442" s="9"/>
      <x:c r="AD442" s="9"/>
      <x:c r="AE442" s="2"/>
      <x:c r="AF442" s="9"/>
      <x:c r="AG442" s="9"/>
      <x:c r="AH442" s="2"/>
    </x:row>
    <x:row r="443" ht="14.25" customHeight="1">
      <x:c r="A443" s="2"/>
      <x:c r="B443" s="9"/>
      <x:c r="C443" s="9"/>
      <x:c r="D443" s="9"/>
      <x:c r="E443" s="9"/>
      <x:c r="F443" s="9"/>
      <x:c r="G443" s="9"/>
      <x:c r="H443" s="9"/>
      <x:c r="I443" s="9"/>
      <x:c r="J443" s="9"/>
      <x:c r="K443" s="9"/>
      <x:c r="L443" s="9"/>
      <x:c r="M443" s="9"/>
      <x:c r="N443" s="9"/>
      <x:c r="O443" s="9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  <x:c r="Z443" s="9"/>
      <x:c r="AA443" s="9"/>
      <x:c r="AB443" s="9"/>
      <x:c r="AC443" s="9"/>
      <x:c r="AD443" s="9"/>
      <x:c r="AE443" s="2"/>
      <x:c r="AF443" s="9"/>
      <x:c r="AG443" s="9"/>
      <x:c r="AH443" s="2"/>
    </x:row>
    <x:row r="444" ht="14.25" customHeight="1">
      <x:c r="A444" s="2"/>
      <x:c r="B444" s="9"/>
      <x:c r="C444" s="9"/>
      <x:c r="D444" s="9"/>
      <x:c r="E444" s="9"/>
      <x:c r="F444" s="9"/>
      <x:c r="G444" s="9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9"/>
      <x:c r="T444" s="9"/>
      <x:c r="U444" s="9"/>
      <x:c r="V444" s="9"/>
      <x:c r="W444" s="9"/>
      <x:c r="X444" s="9"/>
      <x:c r="Y444" s="9"/>
      <x:c r="Z444" s="9"/>
      <x:c r="AA444" s="9"/>
      <x:c r="AB444" s="9"/>
      <x:c r="AC444" s="9"/>
      <x:c r="AD444" s="9"/>
      <x:c r="AE444" s="2"/>
      <x:c r="AF444" s="9"/>
      <x:c r="AG444" s="9"/>
      <x:c r="AH444" s="2"/>
    </x:row>
    <x:row r="445" ht="14.25" customHeight="1">
      <x:c r="A445" s="2"/>
      <x:c r="B445" s="9"/>
      <x:c r="C445" s="9"/>
      <x:c r="D445" s="9"/>
      <x:c r="E445" s="9"/>
      <x:c r="F445" s="9"/>
      <x:c r="G445" s="9"/>
      <x:c r="H445" s="9"/>
      <x:c r="I445" s="9"/>
      <x:c r="J445" s="9"/>
      <x:c r="K445" s="9"/>
      <x:c r="L445" s="9"/>
      <x:c r="M445" s="9"/>
      <x:c r="N445" s="9"/>
      <x:c r="O445" s="9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  <x:c r="Z445" s="9"/>
      <x:c r="AA445" s="9"/>
      <x:c r="AB445" s="9"/>
      <x:c r="AC445" s="9"/>
      <x:c r="AD445" s="9"/>
      <x:c r="AE445" s="2"/>
      <x:c r="AF445" s="9"/>
      <x:c r="AG445" s="9"/>
      <x:c r="AH445" s="2"/>
    </x:row>
    <x:row r="446" ht="14.25" customHeight="1">
      <x:c r="A446" s="2"/>
      <x:c r="B446" s="9"/>
      <x:c r="C446" s="9"/>
      <x:c r="D446" s="9"/>
      <x:c r="E446" s="9"/>
      <x:c r="F446" s="9"/>
      <x:c r="G446" s="9"/>
      <x:c r="H446" s="9"/>
      <x:c r="I446" s="9"/>
      <x:c r="J446" s="9"/>
      <x:c r="K446" s="9"/>
      <x:c r="L446" s="9"/>
      <x:c r="M446" s="9"/>
      <x:c r="N446" s="9"/>
      <x:c r="O446" s="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  <x:c r="AA446" s="9"/>
      <x:c r="AB446" s="9"/>
      <x:c r="AC446" s="9"/>
      <x:c r="AD446" s="9"/>
      <x:c r="AE446" s="2"/>
      <x:c r="AF446" s="9"/>
      <x:c r="AG446" s="9"/>
      <x:c r="AH446" s="2"/>
    </x:row>
    <x:row r="447" ht="14.25" customHeight="1">
      <x:c r="A447" s="2"/>
      <x:c r="B447" s="9"/>
      <x:c r="C447" s="9"/>
      <x:c r="D447" s="9"/>
      <x:c r="E447" s="9"/>
      <x:c r="F447" s="9"/>
      <x:c r="G447" s="9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9"/>
      <x:c r="T447" s="9"/>
      <x:c r="U447" s="9"/>
      <x:c r="V447" s="9"/>
      <x:c r="W447" s="9"/>
      <x:c r="X447" s="9"/>
      <x:c r="Y447" s="9"/>
      <x:c r="Z447" s="9"/>
      <x:c r="AA447" s="9"/>
      <x:c r="AB447" s="9"/>
      <x:c r="AC447" s="9"/>
      <x:c r="AD447" s="9"/>
      <x:c r="AE447" s="2"/>
      <x:c r="AF447" s="9"/>
      <x:c r="AG447" s="9"/>
      <x:c r="AH447" s="2"/>
    </x:row>
    <x:row r="448" ht="14.25" customHeight="1">
      <x:c r="A448" s="2"/>
      <x:c r="B448" s="9"/>
      <x:c r="C448" s="9"/>
      <x:c r="D448" s="9"/>
      <x:c r="E448" s="9"/>
      <x:c r="F448" s="9"/>
      <x:c r="G448" s="9"/>
      <x:c r="H448" s="9"/>
      <x:c r="I448" s="9"/>
      <x:c r="J448" s="9"/>
      <x:c r="K448" s="9"/>
      <x:c r="L448" s="9"/>
      <x:c r="M448" s="9"/>
      <x:c r="N448" s="9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  <x:c r="AA448" s="9"/>
      <x:c r="AB448" s="9"/>
      <x:c r="AC448" s="9"/>
      <x:c r="AD448" s="9"/>
      <x:c r="AE448" s="2"/>
      <x:c r="AF448" s="9"/>
      <x:c r="AG448" s="9"/>
      <x:c r="AH448" s="2"/>
    </x:row>
    <x:row r="449" ht="14.25" customHeight="1">
      <x:c r="A449" s="2"/>
      <x:c r="B449" s="9"/>
      <x:c r="C449" s="9"/>
      <x:c r="D449" s="9"/>
      <x:c r="E449" s="9"/>
      <x:c r="F449" s="9"/>
      <x:c r="G449" s="9"/>
      <x:c r="H449" s="9"/>
      <x:c r="I449" s="9"/>
      <x:c r="J449" s="9"/>
      <x:c r="K449" s="9"/>
      <x:c r="L449" s="9"/>
      <x:c r="M449" s="9"/>
      <x:c r="N449" s="9"/>
      <x:c r="O449" s="9"/>
      <x:c r="P449" s="9"/>
      <x:c r="Q449" s="9"/>
      <x:c r="R449" s="9"/>
      <x:c r="S449" s="9"/>
      <x:c r="T449" s="9"/>
      <x:c r="U449" s="9"/>
      <x:c r="V449" s="9"/>
      <x:c r="W449" s="9"/>
      <x:c r="X449" s="9"/>
      <x:c r="Y449" s="9"/>
      <x:c r="Z449" s="9"/>
      <x:c r="AA449" s="9"/>
      <x:c r="AB449" s="9"/>
      <x:c r="AC449" s="9"/>
      <x:c r="AD449" s="9"/>
      <x:c r="AE449" s="2"/>
      <x:c r="AF449" s="9"/>
      <x:c r="AG449" s="9"/>
      <x:c r="AH449" s="2"/>
    </x:row>
    <x:row r="450" ht="14.25" customHeight="1">
      <x:c r="A450" s="2"/>
      <x:c r="B450" s="9"/>
      <x:c r="C450" s="9"/>
      <x:c r="D450" s="9"/>
      <x:c r="E450" s="9"/>
      <x:c r="F450" s="9"/>
      <x:c r="G450" s="9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9"/>
      <x:c r="T450" s="9"/>
      <x:c r="U450" s="9"/>
      <x:c r="V450" s="9"/>
      <x:c r="W450" s="9"/>
      <x:c r="X450" s="9"/>
      <x:c r="Y450" s="9"/>
      <x:c r="Z450" s="9"/>
      <x:c r="AA450" s="9"/>
      <x:c r="AB450" s="9"/>
      <x:c r="AC450" s="9"/>
      <x:c r="AD450" s="9"/>
      <x:c r="AE450" s="2"/>
      <x:c r="AF450" s="9"/>
      <x:c r="AG450" s="9"/>
      <x:c r="AH450" s="2"/>
    </x:row>
    <x:row r="451" ht="14.25" customHeight="1">
      <x:c r="A451" s="2"/>
      <x:c r="B451" s="9"/>
      <x:c r="C451" s="9"/>
      <x:c r="D451" s="9"/>
      <x:c r="E451" s="9"/>
      <x:c r="F451" s="9"/>
      <x:c r="G451" s="9"/>
      <x:c r="H451" s="9"/>
      <x:c r="I451" s="9"/>
      <x:c r="J451" s="9"/>
      <x:c r="K451" s="9"/>
      <x:c r="L451" s="9"/>
      <x:c r="M451" s="9"/>
      <x:c r="N451" s="9"/>
      <x:c r="O451" s="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  <x:c r="AA451" s="9"/>
      <x:c r="AB451" s="9"/>
      <x:c r="AC451" s="9"/>
      <x:c r="AD451" s="9"/>
      <x:c r="AE451" s="2"/>
      <x:c r="AF451" s="9"/>
      <x:c r="AG451" s="9"/>
      <x:c r="AH451" s="2"/>
    </x:row>
    <x:row r="452" ht="14.25" customHeight="1">
      <x:c r="A452" s="2"/>
      <x:c r="B452" s="9"/>
      <x:c r="C452" s="9"/>
      <x:c r="D452" s="9"/>
      <x:c r="E452" s="9"/>
      <x:c r="F452" s="9"/>
      <x:c r="G452" s="9"/>
      <x:c r="H452" s="9"/>
      <x:c r="I452" s="9"/>
      <x:c r="J452" s="9"/>
      <x:c r="K452" s="9"/>
      <x:c r="L452" s="9"/>
      <x:c r="M452" s="9"/>
      <x:c r="N452" s="9"/>
      <x:c r="O452" s="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  <x:c r="AA452" s="9"/>
      <x:c r="AB452" s="9"/>
      <x:c r="AC452" s="9"/>
      <x:c r="AD452" s="9"/>
      <x:c r="AE452" s="2"/>
      <x:c r="AF452" s="9"/>
      <x:c r="AG452" s="9"/>
      <x:c r="AH452" s="2"/>
    </x:row>
    <x:row r="453" ht="14.25" customHeight="1">
      <x:c r="A453" s="2"/>
      <x:c r="B453" s="9"/>
      <x:c r="C453" s="9"/>
      <x:c r="D453" s="9"/>
      <x:c r="E453" s="9"/>
      <x:c r="F453" s="9"/>
      <x:c r="G453" s="9"/>
      <x:c r="H453" s="9"/>
      <x:c r="I453" s="9"/>
      <x:c r="J453" s="9"/>
      <x:c r="K453" s="9"/>
      <x:c r="L453" s="9"/>
      <x:c r="M453" s="9"/>
      <x:c r="N453" s="9"/>
      <x:c r="O453" s="9"/>
      <x:c r="P453" s="9"/>
      <x:c r="Q453" s="9"/>
      <x:c r="R453" s="9"/>
      <x:c r="S453" s="9"/>
      <x:c r="T453" s="9"/>
      <x:c r="U453" s="9"/>
      <x:c r="V453" s="9"/>
      <x:c r="W453" s="9"/>
      <x:c r="X453" s="9"/>
      <x:c r="Y453" s="9"/>
      <x:c r="Z453" s="9"/>
      <x:c r="AA453" s="9"/>
      <x:c r="AB453" s="9"/>
      <x:c r="AC453" s="9"/>
      <x:c r="AD453" s="9"/>
      <x:c r="AE453" s="2"/>
      <x:c r="AF453" s="9"/>
      <x:c r="AG453" s="9"/>
      <x:c r="AH453" s="2"/>
    </x:row>
    <x:row r="454" ht="14.25" customHeight="1">
      <x:c r="A454" s="2"/>
      <x:c r="B454" s="9"/>
      <x:c r="C454" s="9"/>
      <x:c r="D454" s="9"/>
      <x:c r="E454" s="9"/>
      <x:c r="F454" s="9"/>
      <x:c r="G454" s="9"/>
      <x:c r="H454" s="9"/>
      <x:c r="I454" s="9"/>
      <x:c r="J454" s="9"/>
      <x:c r="K454" s="9"/>
      <x:c r="L454" s="9"/>
      <x:c r="M454" s="9"/>
      <x:c r="N454" s="9"/>
      <x:c r="O454" s="9"/>
      <x:c r="P454" s="9"/>
      <x:c r="Q454" s="9"/>
      <x:c r="R454" s="9"/>
      <x:c r="S454" s="9"/>
      <x:c r="T454" s="9"/>
      <x:c r="U454" s="9"/>
      <x:c r="V454" s="9"/>
      <x:c r="W454" s="9"/>
      <x:c r="X454" s="9"/>
      <x:c r="Y454" s="9"/>
      <x:c r="Z454" s="9"/>
      <x:c r="AA454" s="9"/>
      <x:c r="AB454" s="9"/>
      <x:c r="AC454" s="9"/>
      <x:c r="AD454" s="9"/>
      <x:c r="AE454" s="2"/>
      <x:c r="AF454" s="9"/>
      <x:c r="AG454" s="9"/>
      <x:c r="AH454" s="2"/>
    </x:row>
    <x:row r="455" ht="14.25" customHeight="1">
      <x:c r="A455" s="2"/>
      <x:c r="B455" s="9"/>
      <x:c r="C455" s="9"/>
      <x:c r="D455" s="9"/>
      <x:c r="E455" s="9"/>
      <x:c r="F455" s="9"/>
      <x:c r="G455" s="9"/>
      <x:c r="H455" s="9"/>
      <x:c r="I455" s="9"/>
      <x:c r="J455" s="9"/>
      <x:c r="K455" s="9"/>
      <x:c r="L455" s="9"/>
      <x:c r="M455" s="9"/>
      <x:c r="N455" s="9"/>
      <x:c r="O455" s="9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  <x:c r="Z455" s="9"/>
      <x:c r="AA455" s="9"/>
      <x:c r="AB455" s="9"/>
      <x:c r="AC455" s="9"/>
      <x:c r="AD455" s="9"/>
      <x:c r="AE455" s="2"/>
      <x:c r="AF455" s="9"/>
      <x:c r="AG455" s="9"/>
      <x:c r="AH455" s="2"/>
    </x:row>
    <x:row r="456" ht="14.25" customHeight="1">
      <x:c r="A456" s="2"/>
      <x:c r="B456" s="9"/>
      <x:c r="C456" s="9"/>
      <x:c r="D456" s="9"/>
      <x:c r="E456" s="9"/>
      <x:c r="F456" s="9"/>
      <x:c r="G456" s="9"/>
      <x:c r="H456" s="9"/>
      <x:c r="I456" s="9"/>
      <x:c r="J456" s="9"/>
      <x:c r="K456" s="9"/>
      <x:c r="L456" s="9"/>
      <x:c r="M456" s="9"/>
      <x:c r="N456" s="9"/>
      <x:c r="O456" s="9"/>
      <x:c r="P456" s="9"/>
      <x:c r="Q456" s="9"/>
      <x:c r="R456" s="9"/>
      <x:c r="S456" s="9"/>
      <x:c r="T456" s="9"/>
      <x:c r="U456" s="9"/>
      <x:c r="V456" s="9"/>
      <x:c r="W456" s="9"/>
      <x:c r="X456" s="9"/>
      <x:c r="Y456" s="9"/>
      <x:c r="Z456" s="9"/>
      <x:c r="AA456" s="9"/>
      <x:c r="AB456" s="9"/>
      <x:c r="AC456" s="9"/>
      <x:c r="AD456" s="9"/>
      <x:c r="AE456" s="2"/>
      <x:c r="AF456" s="9"/>
      <x:c r="AG456" s="9"/>
      <x:c r="AH456" s="2"/>
    </x:row>
    <x:row r="457" ht="14.25" customHeight="1">
      <x:c r="A457" s="2"/>
      <x:c r="B457" s="9"/>
      <x:c r="C457" s="9"/>
      <x:c r="D457" s="9"/>
      <x:c r="E457" s="9"/>
      <x:c r="F457" s="9"/>
      <x:c r="G457" s="9"/>
      <x:c r="H457" s="9"/>
      <x:c r="I457" s="9"/>
      <x:c r="J457" s="9"/>
      <x:c r="K457" s="9"/>
      <x:c r="L457" s="9"/>
      <x:c r="M457" s="9"/>
      <x:c r="N457" s="9"/>
      <x:c r="O457" s="9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  <x:c r="Z457" s="9"/>
      <x:c r="AA457" s="9"/>
      <x:c r="AB457" s="9"/>
      <x:c r="AC457" s="9"/>
      <x:c r="AD457" s="9"/>
      <x:c r="AE457" s="2"/>
      <x:c r="AF457" s="9"/>
      <x:c r="AG457" s="9"/>
      <x:c r="AH457" s="2"/>
    </x:row>
    <x:row r="458" ht="14.25" customHeight="1">
      <x:c r="A458" s="2"/>
      <x:c r="B458" s="9"/>
      <x:c r="C458" s="9"/>
      <x:c r="D458" s="9"/>
      <x:c r="E458" s="9"/>
      <x:c r="F458" s="9"/>
      <x:c r="G458" s="9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  <x:c r="Z458" s="9"/>
      <x:c r="AA458" s="9"/>
      <x:c r="AB458" s="9"/>
      <x:c r="AC458" s="9"/>
      <x:c r="AD458" s="9"/>
      <x:c r="AE458" s="2"/>
      <x:c r="AF458" s="9"/>
      <x:c r="AG458" s="9"/>
      <x:c r="AH458" s="2"/>
    </x:row>
    <x:row r="459" ht="14.25" customHeight="1">
      <x:c r="A459" s="2"/>
      <x:c r="B459" s="9"/>
      <x:c r="C459" s="9"/>
      <x:c r="D459" s="9"/>
      <x:c r="E459" s="9"/>
      <x:c r="F459" s="9"/>
      <x:c r="G459" s="9"/>
      <x:c r="H459" s="9"/>
      <x:c r="I459" s="9"/>
      <x:c r="J459" s="9"/>
      <x:c r="K459" s="9"/>
      <x:c r="L459" s="9"/>
      <x:c r="M459" s="9"/>
      <x:c r="N459" s="9"/>
      <x:c r="O459" s="9"/>
      <x:c r="P459" s="9"/>
      <x:c r="Q459" s="9"/>
      <x:c r="R459" s="9"/>
      <x:c r="S459" s="9"/>
      <x:c r="T459" s="9"/>
      <x:c r="U459" s="9"/>
      <x:c r="V459" s="9"/>
      <x:c r="W459" s="9"/>
      <x:c r="X459" s="9"/>
      <x:c r="Y459" s="9"/>
      <x:c r="Z459" s="9"/>
      <x:c r="AA459" s="9"/>
      <x:c r="AB459" s="9"/>
      <x:c r="AC459" s="9"/>
      <x:c r="AD459" s="9"/>
      <x:c r="AE459" s="2"/>
      <x:c r="AF459" s="9"/>
      <x:c r="AG459" s="9"/>
      <x:c r="AH459" s="2"/>
    </x:row>
    <x:row r="460" ht="14.25" customHeight="1">
      <x:c r="A460" s="2"/>
      <x:c r="B460" s="9"/>
      <x:c r="C460" s="9"/>
      <x:c r="D460" s="9"/>
      <x:c r="E460" s="9"/>
      <x:c r="F460" s="9"/>
      <x:c r="G460" s="9"/>
      <x:c r="H460" s="9"/>
      <x:c r="I460" s="9"/>
      <x:c r="J460" s="9"/>
      <x:c r="K460" s="9"/>
      <x:c r="L460" s="9"/>
      <x:c r="M460" s="9"/>
      <x:c r="N460" s="9"/>
      <x:c r="O460" s="9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  <x:c r="Z460" s="9"/>
      <x:c r="AA460" s="9"/>
      <x:c r="AB460" s="9"/>
      <x:c r="AC460" s="9"/>
      <x:c r="AD460" s="9"/>
      <x:c r="AE460" s="2"/>
      <x:c r="AF460" s="9"/>
      <x:c r="AG460" s="9"/>
      <x:c r="AH460" s="2"/>
    </x:row>
    <x:row r="461" ht="14.25" customHeight="1">
      <x:c r="A461" s="2"/>
      <x:c r="B461" s="9"/>
      <x:c r="C461" s="9"/>
      <x:c r="D461" s="9"/>
      <x:c r="E461" s="9"/>
      <x:c r="F461" s="9"/>
      <x:c r="G461" s="9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  <x:c r="Z461" s="9"/>
      <x:c r="AA461" s="9"/>
      <x:c r="AB461" s="9"/>
      <x:c r="AC461" s="9"/>
      <x:c r="AD461" s="9"/>
      <x:c r="AE461" s="2"/>
      <x:c r="AF461" s="9"/>
      <x:c r="AG461" s="9"/>
      <x:c r="AH461" s="2"/>
    </x:row>
    <x:row r="462" ht="14.25" customHeight="1">
      <x:c r="A462" s="2"/>
      <x:c r="B462" s="9"/>
      <x:c r="C462" s="9"/>
      <x:c r="D462" s="9"/>
      <x:c r="E462" s="9"/>
      <x:c r="F462" s="9"/>
      <x:c r="G462" s="9"/>
      <x:c r="H462" s="9"/>
      <x:c r="I462" s="9"/>
      <x:c r="J462" s="9"/>
      <x:c r="K462" s="9"/>
      <x:c r="L462" s="9"/>
      <x:c r="M462" s="9"/>
      <x:c r="N462" s="9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  <x:c r="Z462" s="9"/>
      <x:c r="AA462" s="9"/>
      <x:c r="AB462" s="9"/>
      <x:c r="AC462" s="9"/>
      <x:c r="AD462" s="9"/>
      <x:c r="AE462" s="2"/>
      <x:c r="AF462" s="9"/>
      <x:c r="AG462" s="9"/>
      <x:c r="AH462" s="2"/>
    </x:row>
    <x:row r="463" ht="14.25" customHeight="1">
      <x:c r="A463" s="2"/>
      <x:c r="B463" s="9"/>
      <x:c r="C463" s="9"/>
      <x:c r="D463" s="9"/>
      <x:c r="E463" s="9"/>
      <x:c r="F463" s="9"/>
      <x:c r="G463" s="9"/>
      <x:c r="H463" s="9"/>
      <x:c r="I463" s="9"/>
      <x:c r="J463" s="9"/>
      <x:c r="K463" s="9"/>
      <x:c r="L463" s="9"/>
      <x:c r="M463" s="9"/>
      <x:c r="N463" s="9"/>
      <x:c r="O463" s="9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  <x:c r="Z463" s="9"/>
      <x:c r="AA463" s="9"/>
      <x:c r="AB463" s="9"/>
      <x:c r="AC463" s="9"/>
      <x:c r="AD463" s="9"/>
      <x:c r="AE463" s="2"/>
      <x:c r="AF463" s="9"/>
      <x:c r="AG463" s="9"/>
      <x:c r="AH463" s="2"/>
    </x:row>
    <x:row r="464" ht="14.25" customHeight="1">
      <x:c r="A464" s="2"/>
      <x:c r="B464" s="9"/>
      <x:c r="C464" s="9"/>
      <x:c r="D464" s="9"/>
      <x:c r="E464" s="9"/>
      <x:c r="F464" s="9"/>
      <x:c r="G464" s="9"/>
      <x:c r="H464" s="9"/>
      <x:c r="I464" s="9"/>
      <x:c r="J464" s="9"/>
      <x:c r="K464" s="9"/>
      <x:c r="L464" s="9"/>
      <x:c r="M464" s="9"/>
      <x:c r="N464" s="9"/>
      <x:c r="O464" s="9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  <x:c r="Z464" s="9"/>
      <x:c r="AA464" s="9"/>
      <x:c r="AB464" s="9"/>
      <x:c r="AC464" s="9"/>
      <x:c r="AD464" s="9"/>
      <x:c r="AE464" s="2"/>
      <x:c r="AF464" s="9"/>
      <x:c r="AG464" s="9"/>
      <x:c r="AH464" s="2"/>
    </x:row>
    <x:row r="465" ht="14.25" customHeight="1">
      <x:c r="A465" s="2"/>
      <x:c r="B465" s="9"/>
      <x:c r="C465" s="9"/>
      <x:c r="D465" s="9"/>
      <x:c r="E465" s="9"/>
      <x:c r="F465" s="9"/>
      <x:c r="G465" s="9"/>
      <x:c r="H465" s="9"/>
      <x:c r="I465" s="9"/>
      <x:c r="J465" s="9"/>
      <x:c r="K465" s="9"/>
      <x:c r="L465" s="9"/>
      <x:c r="M465" s="9"/>
      <x:c r="N465" s="9"/>
      <x:c r="O465" s="9"/>
      <x:c r="P465" s="9"/>
      <x:c r="Q465" s="9"/>
      <x:c r="R465" s="9"/>
      <x:c r="S465" s="9"/>
      <x:c r="T465" s="9"/>
      <x:c r="U465" s="9"/>
      <x:c r="V465" s="9"/>
      <x:c r="W465" s="9"/>
      <x:c r="X465" s="9"/>
      <x:c r="Y465" s="9"/>
      <x:c r="Z465" s="9"/>
      <x:c r="AA465" s="9"/>
      <x:c r="AB465" s="9"/>
      <x:c r="AC465" s="9"/>
      <x:c r="AD465" s="9"/>
      <x:c r="AE465" s="2"/>
      <x:c r="AF465" s="9"/>
      <x:c r="AG465" s="9"/>
      <x:c r="AH465" s="2"/>
    </x:row>
    <x:row r="466" ht="14.25" customHeight="1">
      <x:c r="A466" s="2"/>
      <x:c r="B466" s="9"/>
      <x:c r="C466" s="9"/>
      <x:c r="D466" s="9"/>
      <x:c r="E466" s="9"/>
      <x:c r="F466" s="9"/>
      <x:c r="G466" s="9"/>
      <x:c r="H466" s="9"/>
      <x:c r="I466" s="9"/>
      <x:c r="J466" s="9"/>
      <x:c r="K466" s="9"/>
      <x:c r="L466" s="9"/>
      <x:c r="M466" s="9"/>
      <x:c r="N466" s="9"/>
      <x:c r="O466" s="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  <x:c r="AA466" s="9"/>
      <x:c r="AB466" s="9"/>
      <x:c r="AC466" s="9"/>
      <x:c r="AD466" s="9"/>
      <x:c r="AE466" s="2"/>
      <x:c r="AF466" s="9"/>
      <x:c r="AG466" s="9"/>
      <x:c r="AH466" s="2"/>
    </x:row>
    <x:row r="467" ht="14.25" customHeight="1">
      <x:c r="A467" s="2"/>
      <x:c r="B467" s="9"/>
      <x:c r="C467" s="9"/>
      <x:c r="D467" s="9"/>
      <x:c r="E467" s="9"/>
      <x:c r="F467" s="9"/>
      <x:c r="G467" s="9"/>
      <x:c r="H467" s="9"/>
      <x:c r="I467" s="9"/>
      <x:c r="J467" s="9"/>
      <x:c r="K467" s="9"/>
      <x:c r="L467" s="9"/>
      <x:c r="M467" s="9"/>
      <x:c r="N467" s="9"/>
      <x:c r="O467" s="9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  <x:c r="Z467" s="9"/>
      <x:c r="AA467" s="9"/>
      <x:c r="AB467" s="9"/>
      <x:c r="AC467" s="9"/>
      <x:c r="AD467" s="9"/>
      <x:c r="AE467" s="2"/>
      <x:c r="AF467" s="9"/>
      <x:c r="AG467" s="9"/>
      <x:c r="AH467" s="2"/>
    </x:row>
    <x:row r="468" ht="14.25" customHeight="1">
      <x:c r="A468" s="2"/>
      <x:c r="B468" s="9"/>
      <x:c r="C468" s="9"/>
      <x:c r="D468" s="9"/>
      <x:c r="E468" s="9"/>
      <x:c r="F468" s="9"/>
      <x:c r="G468" s="9"/>
      <x:c r="H468" s="9"/>
      <x:c r="I468" s="9"/>
      <x:c r="J468" s="9"/>
      <x:c r="K468" s="9"/>
      <x:c r="L468" s="9"/>
      <x:c r="M468" s="9"/>
      <x:c r="N468" s="9"/>
      <x:c r="O468" s="9"/>
      <x:c r="P468" s="9"/>
      <x:c r="Q468" s="9"/>
      <x:c r="R468" s="9"/>
      <x:c r="S468" s="9"/>
      <x:c r="T468" s="9"/>
      <x:c r="U468" s="9"/>
      <x:c r="V468" s="9"/>
      <x:c r="W468" s="9"/>
      <x:c r="X468" s="9"/>
      <x:c r="Y468" s="9"/>
      <x:c r="Z468" s="9"/>
      <x:c r="AA468" s="9"/>
      <x:c r="AB468" s="9"/>
      <x:c r="AC468" s="9"/>
      <x:c r="AD468" s="9"/>
      <x:c r="AE468" s="2"/>
      <x:c r="AF468" s="9"/>
      <x:c r="AG468" s="9"/>
      <x:c r="AH468" s="2"/>
    </x:row>
    <x:row r="469" ht="14.25" customHeight="1">
      <x:c r="A469" s="2"/>
      <x:c r="B469" s="9"/>
      <x:c r="C469" s="9"/>
      <x:c r="D469" s="9"/>
      <x:c r="E469" s="9"/>
      <x:c r="F469" s="9"/>
      <x:c r="G469" s="9"/>
      <x:c r="H469" s="9"/>
      <x:c r="I469" s="9"/>
      <x:c r="J469" s="9"/>
      <x:c r="K469" s="9"/>
      <x:c r="L469" s="9"/>
      <x:c r="M469" s="9"/>
      <x:c r="N469" s="9"/>
      <x:c r="O469" s="9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  <x:c r="Z469" s="9"/>
      <x:c r="AA469" s="9"/>
      <x:c r="AB469" s="9"/>
      <x:c r="AC469" s="9"/>
      <x:c r="AD469" s="9"/>
      <x:c r="AE469" s="2"/>
      <x:c r="AF469" s="9"/>
      <x:c r="AG469" s="9"/>
      <x:c r="AH469" s="2"/>
    </x:row>
    <x:row r="470" ht="14.25" customHeight="1">
      <x:c r="A470" s="2"/>
      <x:c r="B470" s="9"/>
      <x:c r="C470" s="9"/>
      <x:c r="D470" s="9"/>
      <x:c r="E470" s="9"/>
      <x:c r="F470" s="9"/>
      <x:c r="G470" s="9"/>
      <x:c r="H470" s="9"/>
      <x:c r="I470" s="9"/>
      <x:c r="J470" s="9"/>
      <x:c r="K470" s="9"/>
      <x:c r="L470" s="9"/>
      <x:c r="M470" s="9"/>
      <x:c r="N470" s="9"/>
      <x:c r="O470" s="9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  <x:c r="Z470" s="9"/>
      <x:c r="AA470" s="9"/>
      <x:c r="AB470" s="9"/>
      <x:c r="AC470" s="9"/>
      <x:c r="AD470" s="9"/>
      <x:c r="AE470" s="2"/>
      <x:c r="AF470" s="9"/>
      <x:c r="AG470" s="9"/>
      <x:c r="AH470" s="2"/>
    </x:row>
    <x:row r="471" ht="14.25" customHeight="1">
      <x:c r="A471" s="2"/>
      <x:c r="B471" s="9"/>
      <x:c r="C471" s="9"/>
      <x:c r="D471" s="9"/>
      <x:c r="E471" s="9"/>
      <x:c r="F471" s="9"/>
      <x:c r="G471" s="9"/>
      <x:c r="H471" s="9"/>
      <x:c r="I471" s="9"/>
      <x:c r="J471" s="9"/>
      <x:c r="K471" s="9"/>
      <x:c r="L471" s="9"/>
      <x:c r="M471" s="9"/>
      <x:c r="N471" s="9"/>
      <x:c r="O471" s="9"/>
      <x:c r="P471" s="9"/>
      <x:c r="Q471" s="9"/>
      <x:c r="R471" s="9"/>
      <x:c r="S471" s="9"/>
      <x:c r="T471" s="9"/>
      <x:c r="U471" s="9"/>
      <x:c r="V471" s="9"/>
      <x:c r="W471" s="9"/>
      <x:c r="X471" s="9"/>
      <x:c r="Y471" s="9"/>
      <x:c r="Z471" s="9"/>
      <x:c r="AA471" s="9"/>
      <x:c r="AB471" s="9"/>
      <x:c r="AC471" s="9"/>
      <x:c r="AD471" s="9"/>
      <x:c r="AE471" s="2"/>
      <x:c r="AF471" s="9"/>
      <x:c r="AG471" s="9"/>
      <x:c r="AH471" s="2"/>
    </x:row>
    <x:row r="472" ht="14.25" customHeight="1">
      <x:c r="A472" s="2"/>
      <x:c r="B472" s="9"/>
      <x:c r="C472" s="9"/>
      <x:c r="D472" s="9"/>
      <x:c r="E472" s="9"/>
      <x:c r="F472" s="9"/>
      <x:c r="G472" s="9"/>
      <x:c r="H472" s="9"/>
      <x:c r="I472" s="9"/>
      <x:c r="J472" s="9"/>
      <x:c r="K472" s="9"/>
      <x:c r="L472" s="9"/>
      <x:c r="M472" s="9"/>
      <x:c r="N472" s="9"/>
      <x:c r="O472" s="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  <x:c r="AA472" s="9"/>
      <x:c r="AB472" s="9"/>
      <x:c r="AC472" s="9"/>
      <x:c r="AD472" s="9"/>
      <x:c r="AE472" s="2"/>
      <x:c r="AF472" s="9"/>
      <x:c r="AG472" s="9"/>
      <x:c r="AH472" s="2"/>
    </x:row>
    <x:row r="473" ht="14.25" customHeight="1">
      <x:c r="A473" s="2"/>
      <x:c r="B473" s="9"/>
      <x:c r="C473" s="9"/>
      <x:c r="D473" s="9"/>
      <x:c r="E473" s="9"/>
      <x:c r="F473" s="9"/>
      <x:c r="G473" s="9"/>
      <x:c r="H473" s="9"/>
      <x:c r="I473" s="9"/>
      <x:c r="J473" s="9"/>
      <x:c r="K473" s="9"/>
      <x:c r="L473" s="9"/>
      <x:c r="M473" s="9"/>
      <x:c r="N473" s="9"/>
      <x:c r="O473" s="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  <x:c r="AA473" s="9"/>
      <x:c r="AB473" s="9"/>
      <x:c r="AC473" s="9"/>
      <x:c r="AD473" s="9"/>
      <x:c r="AE473" s="2"/>
      <x:c r="AF473" s="9"/>
      <x:c r="AG473" s="9"/>
      <x:c r="AH473" s="2"/>
    </x:row>
    <x:row r="474" ht="14.25" customHeight="1">
      <x:c r="A474" s="2"/>
      <x:c r="B474" s="9"/>
      <x:c r="C474" s="9"/>
      <x:c r="D474" s="9"/>
      <x:c r="E474" s="9"/>
      <x:c r="F474" s="9"/>
      <x:c r="G474" s="9"/>
      <x:c r="H474" s="9"/>
      <x:c r="I474" s="9"/>
      <x:c r="J474" s="9"/>
      <x:c r="K474" s="9"/>
      <x:c r="L474" s="9"/>
      <x:c r="M474" s="9"/>
      <x:c r="N474" s="9"/>
      <x:c r="O474" s="9"/>
      <x:c r="P474" s="9"/>
      <x:c r="Q474" s="9"/>
      <x:c r="R474" s="9"/>
      <x:c r="S474" s="9"/>
      <x:c r="T474" s="9"/>
      <x:c r="U474" s="9"/>
      <x:c r="V474" s="9"/>
      <x:c r="W474" s="9"/>
      <x:c r="X474" s="9"/>
      <x:c r="Y474" s="9"/>
      <x:c r="Z474" s="9"/>
      <x:c r="AA474" s="9"/>
      <x:c r="AB474" s="9"/>
      <x:c r="AC474" s="9"/>
      <x:c r="AD474" s="9"/>
      <x:c r="AE474" s="2"/>
      <x:c r="AF474" s="9"/>
      <x:c r="AG474" s="9"/>
      <x:c r="AH474" s="2"/>
    </x:row>
    <x:row r="475" ht="14.25" customHeight="1">
      <x:c r="A475" s="2"/>
      <x:c r="B475" s="9"/>
      <x:c r="C475" s="9"/>
      <x:c r="D475" s="9"/>
      <x:c r="E475" s="9"/>
      <x:c r="F475" s="9"/>
      <x:c r="G475" s="9"/>
      <x:c r="H475" s="9"/>
      <x:c r="I475" s="9"/>
      <x:c r="J475" s="9"/>
      <x:c r="K475" s="9"/>
      <x:c r="L475" s="9"/>
      <x:c r="M475" s="9"/>
      <x:c r="N475" s="9"/>
      <x:c r="O475" s="9"/>
      <x:c r="P475" s="9"/>
      <x:c r="Q475" s="9"/>
      <x:c r="R475" s="9"/>
      <x:c r="S475" s="9"/>
      <x:c r="T475" s="9"/>
      <x:c r="U475" s="9"/>
      <x:c r="V475" s="9"/>
      <x:c r="W475" s="9"/>
      <x:c r="X475" s="9"/>
      <x:c r="Y475" s="9"/>
      <x:c r="Z475" s="9"/>
      <x:c r="AA475" s="9"/>
      <x:c r="AB475" s="9"/>
      <x:c r="AC475" s="9"/>
      <x:c r="AD475" s="9"/>
      <x:c r="AE475" s="2"/>
      <x:c r="AF475" s="9"/>
      <x:c r="AG475" s="9"/>
      <x:c r="AH475" s="2"/>
    </x:row>
    <x:row r="476" ht="14.25" customHeight="1">
      <x:c r="A476" s="2"/>
      <x:c r="B476" s="9"/>
      <x:c r="C476" s="9"/>
      <x:c r="D476" s="9"/>
      <x:c r="E476" s="9"/>
      <x:c r="F476" s="9"/>
      <x:c r="G476" s="9"/>
      <x:c r="H476" s="9"/>
      <x:c r="I476" s="9"/>
      <x:c r="J476" s="9"/>
      <x:c r="K476" s="9"/>
      <x:c r="L476" s="9"/>
      <x:c r="M476" s="9"/>
      <x:c r="N476" s="9"/>
      <x:c r="O476" s="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  <x:c r="AA476" s="9"/>
      <x:c r="AB476" s="9"/>
      <x:c r="AC476" s="9"/>
      <x:c r="AD476" s="9"/>
      <x:c r="AE476" s="2"/>
      <x:c r="AF476" s="9"/>
      <x:c r="AG476" s="9"/>
      <x:c r="AH476" s="2"/>
    </x:row>
    <x:row r="477" ht="14.25" customHeight="1">
      <x:c r="A477" s="2"/>
      <x:c r="B477" s="9"/>
      <x:c r="C477" s="9"/>
      <x:c r="D477" s="9"/>
      <x:c r="E477" s="9"/>
      <x:c r="F477" s="9"/>
      <x:c r="G477" s="9"/>
      <x:c r="H477" s="9"/>
      <x:c r="I477" s="9"/>
      <x:c r="J477" s="9"/>
      <x:c r="K477" s="9"/>
      <x:c r="L477" s="9"/>
      <x:c r="M477" s="9"/>
      <x:c r="N477" s="9"/>
      <x:c r="O477" s="9"/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  <x:c r="Z477" s="9"/>
      <x:c r="AA477" s="9"/>
      <x:c r="AB477" s="9"/>
      <x:c r="AC477" s="9"/>
      <x:c r="AD477" s="9"/>
      <x:c r="AE477" s="2"/>
      <x:c r="AF477" s="9"/>
      <x:c r="AG477" s="9"/>
      <x:c r="AH477" s="2"/>
    </x:row>
    <x:row r="478" ht="14.25" customHeight="1">
      <x:c r="A478" s="2"/>
      <x:c r="B478" s="9"/>
      <x:c r="C478" s="9"/>
      <x:c r="D478" s="9"/>
      <x:c r="E478" s="9"/>
      <x:c r="F478" s="9"/>
      <x:c r="G478" s="9"/>
      <x:c r="H478" s="9"/>
      <x:c r="I478" s="9"/>
      <x:c r="J478" s="9"/>
      <x:c r="K478" s="9"/>
      <x:c r="L478" s="9"/>
      <x:c r="M478" s="9"/>
      <x:c r="N478" s="9"/>
      <x:c r="O478" s="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  <x:c r="AA478" s="9"/>
      <x:c r="AB478" s="9"/>
      <x:c r="AC478" s="9"/>
      <x:c r="AD478" s="9"/>
      <x:c r="AE478" s="2"/>
      <x:c r="AF478" s="9"/>
      <x:c r="AG478" s="9"/>
      <x:c r="AH478" s="2"/>
    </x:row>
    <x:row r="479" ht="14.25" customHeight="1">
      <x:c r="A479" s="2"/>
      <x:c r="B479" s="9"/>
      <x:c r="C479" s="9"/>
      <x:c r="D479" s="9"/>
      <x:c r="E479" s="9"/>
      <x:c r="F479" s="9"/>
      <x:c r="G479" s="9"/>
      <x:c r="H479" s="9"/>
      <x:c r="I479" s="9"/>
      <x:c r="J479" s="9"/>
      <x:c r="K479" s="9"/>
      <x:c r="L479" s="9"/>
      <x:c r="M479" s="9"/>
      <x:c r="N479" s="9"/>
      <x:c r="O479" s="9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  <x:c r="Z479" s="9"/>
      <x:c r="AA479" s="9"/>
      <x:c r="AB479" s="9"/>
      <x:c r="AC479" s="9"/>
      <x:c r="AD479" s="9"/>
      <x:c r="AE479" s="2"/>
      <x:c r="AF479" s="9"/>
      <x:c r="AG479" s="9"/>
      <x:c r="AH479" s="2"/>
    </x:row>
    <x:row r="480" ht="14.25" customHeight="1">
      <x:c r="A480" s="2"/>
      <x:c r="B480" s="9"/>
      <x:c r="C480" s="9"/>
      <x:c r="D480" s="9"/>
      <x:c r="E480" s="9"/>
      <x:c r="F480" s="9"/>
      <x:c r="G480" s="9"/>
      <x:c r="H480" s="9"/>
      <x:c r="I480" s="9"/>
      <x:c r="J480" s="9"/>
      <x:c r="K480" s="9"/>
      <x:c r="L480" s="9"/>
      <x:c r="M480" s="9"/>
      <x:c r="N480" s="9"/>
      <x:c r="O480" s="9"/>
      <x:c r="P480" s="9"/>
      <x:c r="Q480" s="9"/>
      <x:c r="R480" s="9"/>
      <x:c r="S480" s="9"/>
      <x:c r="T480" s="9"/>
      <x:c r="U480" s="9"/>
      <x:c r="V480" s="9"/>
      <x:c r="W480" s="9"/>
      <x:c r="X480" s="9"/>
      <x:c r="Y480" s="9"/>
      <x:c r="Z480" s="9"/>
      <x:c r="AA480" s="9"/>
      <x:c r="AB480" s="9"/>
      <x:c r="AC480" s="9"/>
      <x:c r="AD480" s="9"/>
      <x:c r="AE480" s="2"/>
      <x:c r="AF480" s="9"/>
      <x:c r="AG480" s="9"/>
      <x:c r="AH480" s="2"/>
    </x:row>
    <x:row r="481" ht="14.25" customHeight="1">
      <x:c r="A481" s="2"/>
      <x:c r="B481" s="9"/>
      <x:c r="C481" s="9"/>
      <x:c r="D481" s="9"/>
      <x:c r="E481" s="9"/>
      <x:c r="F481" s="9"/>
      <x:c r="G481" s="9"/>
      <x:c r="H481" s="9"/>
      <x:c r="I481" s="9"/>
      <x:c r="J481" s="9"/>
      <x:c r="K481" s="9"/>
      <x:c r="L481" s="9"/>
      <x:c r="M481" s="9"/>
      <x:c r="N481" s="9"/>
      <x:c r="O481" s="9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/>
      <x:c r="Z481" s="9"/>
      <x:c r="AA481" s="9"/>
      <x:c r="AB481" s="9"/>
      <x:c r="AC481" s="9"/>
      <x:c r="AD481" s="9"/>
      <x:c r="AE481" s="2"/>
      <x:c r="AF481" s="9"/>
      <x:c r="AG481" s="9"/>
      <x:c r="AH481" s="2"/>
    </x:row>
    <x:row r="482" ht="14.25" customHeight="1">
      <x:c r="A482" s="2"/>
      <x:c r="B482" s="9"/>
      <x:c r="C482" s="9"/>
      <x:c r="D482" s="9"/>
      <x:c r="E482" s="9"/>
      <x:c r="F482" s="9"/>
      <x:c r="G482" s="9"/>
      <x:c r="H482" s="9"/>
      <x:c r="I482" s="9"/>
      <x:c r="J482" s="9"/>
      <x:c r="K482" s="9"/>
      <x:c r="L482" s="9"/>
      <x:c r="M482" s="9"/>
      <x:c r="N482" s="9"/>
      <x:c r="O482" s="9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  <x:c r="Z482" s="9"/>
      <x:c r="AA482" s="9"/>
      <x:c r="AB482" s="9"/>
      <x:c r="AC482" s="9"/>
      <x:c r="AD482" s="9"/>
      <x:c r="AE482" s="2"/>
      <x:c r="AF482" s="9"/>
      <x:c r="AG482" s="9"/>
      <x:c r="AH482" s="2"/>
    </x:row>
    <x:row r="483" ht="14.25" customHeight="1">
      <x:c r="A483" s="2"/>
      <x:c r="B483" s="9"/>
      <x:c r="C483" s="9"/>
      <x:c r="D483" s="9"/>
      <x:c r="E483" s="9"/>
      <x:c r="F483" s="9"/>
      <x:c r="G483" s="9"/>
      <x:c r="H483" s="9"/>
      <x:c r="I483" s="9"/>
      <x:c r="J483" s="9"/>
      <x:c r="K483" s="9"/>
      <x:c r="L483" s="9"/>
      <x:c r="M483" s="9"/>
      <x:c r="N483" s="9"/>
      <x:c r="O483" s="9"/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  <x:c r="Z483" s="9"/>
      <x:c r="AA483" s="9"/>
      <x:c r="AB483" s="9"/>
      <x:c r="AC483" s="9"/>
      <x:c r="AD483" s="9"/>
      <x:c r="AE483" s="2"/>
      <x:c r="AF483" s="9"/>
      <x:c r="AG483" s="9"/>
      <x:c r="AH483" s="2"/>
    </x:row>
    <x:row r="484" ht="14.25" customHeight="1">
      <x:c r="A484" s="2"/>
      <x:c r="B484" s="9"/>
      <x:c r="C484" s="9"/>
      <x:c r="D484" s="9"/>
      <x:c r="E484" s="9"/>
      <x:c r="F484" s="9"/>
      <x:c r="G484" s="9"/>
      <x:c r="H484" s="9"/>
      <x:c r="I484" s="9"/>
      <x:c r="J484" s="9"/>
      <x:c r="K484" s="9"/>
      <x:c r="L484" s="9"/>
      <x:c r="M484" s="9"/>
      <x:c r="N484" s="9"/>
      <x:c r="O484" s="9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  <x:c r="Z484" s="9"/>
      <x:c r="AA484" s="9"/>
      <x:c r="AB484" s="9"/>
      <x:c r="AC484" s="9"/>
      <x:c r="AD484" s="9"/>
      <x:c r="AE484" s="2"/>
      <x:c r="AF484" s="9"/>
      <x:c r="AG484" s="9"/>
      <x:c r="AH484" s="2"/>
    </x:row>
    <x:row r="485" ht="14.25" customHeight="1">
      <x:c r="A485" s="2"/>
      <x:c r="B485" s="9"/>
      <x:c r="C485" s="9"/>
      <x:c r="D485" s="9"/>
      <x:c r="E485" s="9"/>
      <x:c r="F485" s="9"/>
      <x:c r="G485" s="9"/>
      <x:c r="H485" s="9"/>
      <x:c r="I485" s="9"/>
      <x:c r="J485" s="9"/>
      <x:c r="K485" s="9"/>
      <x:c r="L485" s="9"/>
      <x:c r="M485" s="9"/>
      <x:c r="N485" s="9"/>
      <x:c r="O485" s="9"/>
      <x:c r="P485" s="9"/>
      <x:c r="Q485" s="9"/>
      <x:c r="R485" s="9"/>
      <x:c r="S485" s="9"/>
      <x:c r="T485" s="9"/>
      <x:c r="U485" s="9"/>
      <x:c r="V485" s="9"/>
      <x:c r="W485" s="9"/>
      <x:c r="X485" s="9"/>
      <x:c r="Y485" s="9"/>
      <x:c r="Z485" s="9"/>
      <x:c r="AA485" s="9"/>
      <x:c r="AB485" s="9"/>
      <x:c r="AC485" s="9"/>
      <x:c r="AD485" s="9"/>
      <x:c r="AE485" s="2"/>
      <x:c r="AF485" s="9"/>
      <x:c r="AG485" s="9"/>
      <x:c r="AH485" s="2"/>
    </x:row>
    <x:row r="486" ht="14.25" customHeight="1">
      <x:c r="A486" s="2"/>
      <x:c r="B486" s="9"/>
      <x:c r="C486" s="9"/>
      <x:c r="D486" s="9"/>
      <x:c r="E486" s="9"/>
      <x:c r="F486" s="9"/>
      <x:c r="G486" s="9"/>
      <x:c r="H486" s="9"/>
      <x:c r="I486" s="9"/>
      <x:c r="J486" s="9"/>
      <x:c r="K486" s="9"/>
      <x:c r="L486" s="9"/>
      <x:c r="M486" s="9"/>
      <x:c r="N486" s="9"/>
      <x:c r="O486" s="9"/>
      <x:c r="P486" s="9"/>
      <x:c r="Q486" s="9"/>
      <x:c r="R486" s="9"/>
      <x:c r="S486" s="9"/>
      <x:c r="T486" s="9"/>
      <x:c r="U486" s="9"/>
      <x:c r="V486" s="9"/>
      <x:c r="W486" s="9"/>
      <x:c r="X486" s="9"/>
      <x:c r="Y486" s="9"/>
      <x:c r="Z486" s="9"/>
      <x:c r="AA486" s="9"/>
      <x:c r="AB486" s="9"/>
      <x:c r="AC486" s="9"/>
      <x:c r="AD486" s="9"/>
      <x:c r="AE486" s="2"/>
      <x:c r="AF486" s="9"/>
      <x:c r="AG486" s="9"/>
      <x:c r="AH486" s="2"/>
    </x:row>
    <x:row r="487" ht="14.25" customHeight="1">
      <x:c r="A487" s="2"/>
      <x:c r="B487" s="9"/>
      <x:c r="C487" s="9"/>
      <x:c r="D487" s="9"/>
      <x:c r="E487" s="9"/>
      <x:c r="F487" s="9"/>
      <x:c r="G487" s="9"/>
      <x:c r="H487" s="9"/>
      <x:c r="I487" s="9"/>
      <x:c r="J487" s="9"/>
      <x:c r="K487" s="9"/>
      <x:c r="L487" s="9"/>
      <x:c r="M487" s="9"/>
      <x:c r="N487" s="9"/>
      <x:c r="O487" s="9"/>
      <x:c r="P487" s="9"/>
      <x:c r="Q487" s="9"/>
      <x:c r="R487" s="9"/>
      <x:c r="S487" s="9"/>
      <x:c r="T487" s="9"/>
      <x:c r="U487" s="9"/>
      <x:c r="V487" s="9"/>
      <x:c r="W487" s="9"/>
      <x:c r="X487" s="9"/>
      <x:c r="Y487" s="9"/>
      <x:c r="Z487" s="9"/>
      <x:c r="AA487" s="9"/>
      <x:c r="AB487" s="9"/>
      <x:c r="AC487" s="9"/>
      <x:c r="AD487" s="9"/>
      <x:c r="AE487" s="2"/>
      <x:c r="AF487" s="9"/>
      <x:c r="AG487" s="9"/>
      <x:c r="AH487" s="2"/>
    </x:row>
    <x:row r="488" ht="14.25" customHeight="1">
      <x:c r="A488" s="2"/>
      <x:c r="B488" s="9"/>
      <x:c r="C488" s="9"/>
      <x:c r="D488" s="9"/>
      <x:c r="E488" s="9"/>
      <x:c r="F488" s="9"/>
      <x:c r="G488" s="9"/>
      <x:c r="H488" s="9"/>
      <x:c r="I488" s="9"/>
      <x:c r="J488" s="9"/>
      <x:c r="K488" s="9"/>
      <x:c r="L488" s="9"/>
      <x:c r="M488" s="9"/>
      <x:c r="N488" s="9"/>
      <x:c r="O488" s="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  <x:c r="AA488" s="9"/>
      <x:c r="AB488" s="9"/>
      <x:c r="AC488" s="9"/>
      <x:c r="AD488" s="9"/>
      <x:c r="AE488" s="2"/>
      <x:c r="AF488" s="9"/>
      <x:c r="AG488" s="9"/>
      <x:c r="AH488" s="2"/>
    </x:row>
    <x:row r="489" ht="14.25" customHeight="1">
      <x:c r="A489" s="2"/>
      <x:c r="B489" s="9"/>
      <x:c r="C489" s="9"/>
      <x:c r="D489" s="9"/>
      <x:c r="E489" s="9"/>
      <x:c r="F489" s="9"/>
      <x:c r="G489" s="9"/>
      <x:c r="H489" s="9"/>
      <x:c r="I489" s="9"/>
      <x:c r="J489" s="9"/>
      <x:c r="K489" s="9"/>
      <x:c r="L489" s="9"/>
      <x:c r="M489" s="9"/>
      <x:c r="N489" s="9"/>
      <x:c r="O489" s="9"/>
      <x:c r="P489" s="9"/>
      <x:c r="Q489" s="9"/>
      <x:c r="R489" s="9"/>
      <x:c r="S489" s="9"/>
      <x:c r="T489" s="9"/>
      <x:c r="U489" s="9"/>
      <x:c r="V489" s="9"/>
      <x:c r="W489" s="9"/>
      <x:c r="X489" s="9"/>
      <x:c r="Y489" s="9"/>
      <x:c r="Z489" s="9"/>
      <x:c r="AA489" s="9"/>
      <x:c r="AB489" s="9"/>
      <x:c r="AC489" s="9"/>
      <x:c r="AD489" s="9"/>
      <x:c r="AE489" s="2"/>
      <x:c r="AF489" s="9"/>
      <x:c r="AG489" s="9"/>
      <x:c r="AH489" s="2"/>
    </x:row>
    <x:row r="490" ht="14.25" customHeight="1">
      <x:c r="A490" s="2"/>
      <x:c r="B490" s="9"/>
      <x:c r="C490" s="9"/>
      <x:c r="D490" s="9"/>
      <x:c r="E490" s="9"/>
      <x:c r="F490" s="9"/>
      <x:c r="G490" s="9"/>
      <x:c r="H490" s="9"/>
      <x:c r="I490" s="9"/>
      <x:c r="J490" s="9"/>
      <x:c r="K490" s="9"/>
      <x:c r="L490" s="9"/>
      <x:c r="M490" s="9"/>
      <x:c r="N490" s="9"/>
      <x:c r="O490" s="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  <x:c r="AA490" s="9"/>
      <x:c r="AB490" s="9"/>
      <x:c r="AC490" s="9"/>
      <x:c r="AD490" s="9"/>
      <x:c r="AE490" s="2"/>
      <x:c r="AF490" s="9"/>
      <x:c r="AG490" s="9"/>
      <x:c r="AH490" s="2"/>
    </x:row>
    <x:row r="491" ht="14.25" customHeight="1">
      <x:c r="A491" s="2"/>
      <x:c r="B491" s="9"/>
      <x:c r="C491" s="9"/>
      <x:c r="D491" s="9"/>
      <x:c r="E491" s="9"/>
      <x:c r="F491" s="9"/>
      <x:c r="G491" s="9"/>
      <x:c r="H491" s="9"/>
      <x:c r="I491" s="9"/>
      <x:c r="J491" s="9"/>
      <x:c r="K491" s="9"/>
      <x:c r="L491" s="9"/>
      <x:c r="M491" s="9"/>
      <x:c r="N491" s="9"/>
      <x:c r="O491" s="9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  <x:c r="Z491" s="9"/>
      <x:c r="AA491" s="9"/>
      <x:c r="AB491" s="9"/>
      <x:c r="AC491" s="9"/>
      <x:c r="AD491" s="9"/>
      <x:c r="AE491" s="2"/>
      <x:c r="AF491" s="9"/>
      <x:c r="AG491" s="9"/>
      <x:c r="AH491" s="2"/>
    </x:row>
    <x:row r="492" ht="14.25" customHeight="1">
      <x:c r="A492" s="2"/>
      <x:c r="B492" s="9"/>
      <x:c r="C492" s="9"/>
      <x:c r="D492" s="9"/>
      <x:c r="E492" s="9"/>
      <x:c r="F492" s="9"/>
      <x:c r="G492" s="9"/>
      <x:c r="H492" s="9"/>
      <x:c r="I492" s="9"/>
      <x:c r="J492" s="9"/>
      <x:c r="K492" s="9"/>
      <x:c r="L492" s="9"/>
      <x:c r="M492" s="9"/>
      <x:c r="N492" s="9"/>
      <x:c r="O492" s="9"/>
      <x:c r="P492" s="9"/>
      <x:c r="Q492" s="9"/>
      <x:c r="R492" s="9"/>
      <x:c r="S492" s="9"/>
      <x:c r="T492" s="9"/>
      <x:c r="U492" s="9"/>
      <x:c r="V492" s="9"/>
      <x:c r="W492" s="9"/>
      <x:c r="X492" s="9"/>
      <x:c r="Y492" s="9"/>
      <x:c r="Z492" s="9"/>
      <x:c r="AA492" s="9"/>
      <x:c r="AB492" s="9"/>
      <x:c r="AC492" s="9"/>
      <x:c r="AD492" s="9"/>
      <x:c r="AE492" s="2"/>
      <x:c r="AF492" s="9"/>
      <x:c r="AG492" s="9"/>
      <x:c r="AH492" s="2"/>
    </x:row>
    <x:row r="493" ht="14.25" customHeight="1">
      <x:c r="A493" s="2"/>
      <x:c r="B493" s="9"/>
      <x:c r="C493" s="9"/>
      <x:c r="D493" s="9"/>
      <x:c r="E493" s="9"/>
      <x:c r="F493" s="9"/>
      <x:c r="G493" s="9"/>
      <x:c r="H493" s="9"/>
      <x:c r="I493" s="9"/>
      <x:c r="J493" s="9"/>
      <x:c r="K493" s="9"/>
      <x:c r="L493" s="9"/>
      <x:c r="M493" s="9"/>
      <x:c r="N493" s="9"/>
      <x:c r="O493" s="9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  <x:c r="Z493" s="9"/>
      <x:c r="AA493" s="9"/>
      <x:c r="AB493" s="9"/>
      <x:c r="AC493" s="9"/>
      <x:c r="AD493" s="9"/>
      <x:c r="AE493" s="2"/>
      <x:c r="AF493" s="9"/>
      <x:c r="AG493" s="9"/>
      <x:c r="AH493" s="2"/>
    </x:row>
    <x:row r="494" ht="14.25" customHeight="1">
      <x:c r="A494" s="2"/>
      <x:c r="B494" s="9"/>
      <x:c r="C494" s="9"/>
      <x:c r="D494" s="9"/>
      <x:c r="E494" s="9"/>
      <x:c r="F494" s="9"/>
      <x:c r="G494" s="9"/>
      <x:c r="H494" s="9"/>
      <x:c r="I494" s="9"/>
      <x:c r="J494" s="9"/>
      <x:c r="K494" s="9"/>
      <x:c r="L494" s="9"/>
      <x:c r="M494" s="9"/>
      <x:c r="N494" s="9"/>
      <x:c r="O494" s="9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  <x:c r="Z494" s="9"/>
      <x:c r="AA494" s="9"/>
      <x:c r="AB494" s="9"/>
      <x:c r="AC494" s="9"/>
      <x:c r="AD494" s="9"/>
      <x:c r="AE494" s="2"/>
      <x:c r="AF494" s="9"/>
      <x:c r="AG494" s="9"/>
      <x:c r="AH494" s="2"/>
    </x:row>
    <x:row r="495" ht="14.25" customHeight="1">
      <x:c r="A495" s="2"/>
      <x:c r="B495" s="9"/>
      <x:c r="C495" s="9"/>
      <x:c r="D495" s="9"/>
      <x:c r="E495" s="9"/>
      <x:c r="F495" s="9"/>
      <x:c r="G495" s="9"/>
      <x:c r="H495" s="9"/>
      <x:c r="I495" s="9"/>
      <x:c r="J495" s="9"/>
      <x:c r="K495" s="9"/>
      <x:c r="L495" s="9"/>
      <x:c r="M495" s="9"/>
      <x:c r="N495" s="9"/>
      <x:c r="O495" s="9"/>
      <x:c r="P495" s="9"/>
      <x:c r="Q495" s="9"/>
      <x:c r="R495" s="9"/>
      <x:c r="S495" s="9"/>
      <x:c r="T495" s="9"/>
      <x:c r="U495" s="9"/>
      <x:c r="V495" s="9"/>
      <x:c r="W495" s="9"/>
      <x:c r="X495" s="9"/>
      <x:c r="Y495" s="9"/>
      <x:c r="Z495" s="9"/>
      <x:c r="AA495" s="9"/>
      <x:c r="AB495" s="9"/>
      <x:c r="AC495" s="9"/>
      <x:c r="AD495" s="9"/>
      <x:c r="AE495" s="2"/>
      <x:c r="AF495" s="9"/>
      <x:c r="AG495" s="9"/>
      <x:c r="AH495" s="2"/>
    </x:row>
    <x:row r="496" ht="14.25" customHeight="1">
      <x:c r="A496" s="2"/>
      <x:c r="B496" s="9"/>
      <x:c r="C496" s="9"/>
      <x:c r="D496" s="9"/>
      <x:c r="E496" s="9"/>
      <x:c r="F496" s="9"/>
      <x:c r="G496" s="9"/>
      <x:c r="H496" s="9"/>
      <x:c r="I496" s="9"/>
      <x:c r="J496" s="9"/>
      <x:c r="K496" s="9"/>
      <x:c r="L496" s="9"/>
      <x:c r="M496" s="9"/>
      <x:c r="N496" s="9"/>
      <x:c r="O496" s="9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  <x:c r="Z496" s="9"/>
      <x:c r="AA496" s="9"/>
      <x:c r="AB496" s="9"/>
      <x:c r="AC496" s="9"/>
      <x:c r="AD496" s="9"/>
      <x:c r="AE496" s="2"/>
      <x:c r="AF496" s="9"/>
      <x:c r="AG496" s="9"/>
      <x:c r="AH496" s="2"/>
    </x:row>
    <x:row r="497" ht="14.25" customHeight="1">
      <x:c r="A497" s="2"/>
      <x:c r="B497" s="9"/>
      <x:c r="C497" s="9"/>
      <x:c r="D497" s="9"/>
      <x:c r="E497" s="9"/>
      <x:c r="F497" s="9"/>
      <x:c r="G497" s="9"/>
      <x:c r="H497" s="9"/>
      <x:c r="I497" s="9"/>
      <x:c r="J497" s="9"/>
      <x:c r="K497" s="9"/>
      <x:c r="L497" s="9"/>
      <x:c r="M497" s="9"/>
      <x:c r="N497" s="9"/>
      <x:c r="O497" s="9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  <x:c r="Z497" s="9"/>
      <x:c r="AA497" s="9"/>
      <x:c r="AB497" s="9"/>
      <x:c r="AC497" s="9"/>
      <x:c r="AD497" s="9"/>
      <x:c r="AE497" s="2"/>
      <x:c r="AF497" s="9"/>
      <x:c r="AG497" s="9"/>
      <x:c r="AH497" s="2"/>
    </x:row>
    <x:row r="498" ht="14.25" customHeight="1">
      <x:c r="A498" s="2"/>
      <x:c r="B498" s="9"/>
      <x:c r="C498" s="9"/>
      <x:c r="D498" s="9"/>
      <x:c r="E498" s="9"/>
      <x:c r="F498" s="9"/>
      <x:c r="G498" s="9"/>
      <x:c r="H498" s="9"/>
      <x:c r="I498" s="9"/>
      <x:c r="J498" s="9"/>
      <x:c r="K498" s="9"/>
      <x:c r="L498" s="9"/>
      <x:c r="M498" s="9"/>
      <x:c r="N498" s="9"/>
      <x:c r="O498" s="9"/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  <x:c r="Z498" s="9"/>
      <x:c r="AA498" s="9"/>
      <x:c r="AB498" s="9"/>
      <x:c r="AC498" s="9"/>
      <x:c r="AD498" s="9"/>
      <x:c r="AE498" s="2"/>
      <x:c r="AF498" s="9"/>
      <x:c r="AG498" s="9"/>
      <x:c r="AH498" s="2"/>
    </x:row>
    <x:row r="499" ht="14.25" customHeight="1">
      <x:c r="A499" s="2"/>
      <x:c r="B499" s="9"/>
      <x:c r="C499" s="9"/>
      <x:c r="D499" s="9"/>
      <x:c r="E499" s="9"/>
      <x:c r="F499" s="9"/>
      <x:c r="G499" s="9"/>
      <x:c r="H499" s="9"/>
      <x:c r="I499" s="9"/>
      <x:c r="J499" s="9"/>
      <x:c r="K499" s="9"/>
      <x:c r="L499" s="9"/>
      <x:c r="M499" s="9"/>
      <x:c r="N499" s="9"/>
      <x:c r="O499" s="9"/>
      <x:c r="P499" s="9"/>
      <x:c r="Q499" s="9"/>
      <x:c r="R499" s="9"/>
      <x:c r="S499" s="9"/>
      <x:c r="T499" s="9"/>
      <x:c r="U499" s="9"/>
      <x:c r="V499" s="9"/>
      <x:c r="W499" s="9"/>
      <x:c r="X499" s="9"/>
      <x:c r="Y499" s="9"/>
      <x:c r="Z499" s="9"/>
      <x:c r="AA499" s="9"/>
      <x:c r="AB499" s="9"/>
      <x:c r="AC499" s="9"/>
      <x:c r="AD499" s="9"/>
      <x:c r="AE499" s="2"/>
      <x:c r="AF499" s="9"/>
      <x:c r="AG499" s="9"/>
      <x:c r="AH499" s="2"/>
    </x:row>
    <x:row r="500" ht="14.25" customHeight="1">
      <x:c r="A500" s="2"/>
      <x:c r="B500" s="9"/>
      <x:c r="C500" s="9"/>
      <x:c r="D500" s="9"/>
      <x:c r="E500" s="9"/>
      <x:c r="F500" s="9"/>
      <x:c r="G500" s="9"/>
      <x:c r="H500" s="9"/>
      <x:c r="I500" s="9"/>
      <x:c r="J500" s="9"/>
      <x:c r="K500" s="9"/>
      <x:c r="L500" s="9"/>
      <x:c r="M500" s="9"/>
      <x:c r="N500" s="9"/>
      <x:c r="O500" s="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  <x:c r="AA500" s="9"/>
      <x:c r="AB500" s="9"/>
      <x:c r="AC500" s="9"/>
      <x:c r="AD500" s="9"/>
      <x:c r="AE500" s="2"/>
      <x:c r="AF500" s="9"/>
      <x:c r="AG500" s="9"/>
      <x:c r="AH500" s="2"/>
    </x:row>
    <x:row r="501" ht="14.25" customHeight="1">
      <x:c r="A501" s="2"/>
      <x:c r="B501" s="9"/>
      <x:c r="C501" s="9"/>
      <x:c r="D501" s="9"/>
      <x:c r="E501" s="9"/>
      <x:c r="F501" s="9"/>
      <x:c r="G501" s="9"/>
      <x:c r="H501" s="9"/>
      <x:c r="I501" s="9"/>
      <x:c r="J501" s="9"/>
      <x:c r="K501" s="9"/>
      <x:c r="L501" s="9"/>
      <x:c r="M501" s="9"/>
      <x:c r="N501" s="9"/>
      <x:c r="O501" s="9"/>
      <x:c r="P501" s="9"/>
      <x:c r="Q501" s="9"/>
      <x:c r="R501" s="9"/>
      <x:c r="S501" s="9"/>
      <x:c r="T501" s="9"/>
      <x:c r="U501" s="9"/>
      <x:c r="V501" s="9"/>
      <x:c r="W501" s="9"/>
      <x:c r="X501" s="9"/>
      <x:c r="Y501" s="9"/>
      <x:c r="Z501" s="9"/>
      <x:c r="AA501" s="9"/>
      <x:c r="AB501" s="9"/>
      <x:c r="AC501" s="9"/>
      <x:c r="AD501" s="9"/>
      <x:c r="AE501" s="2"/>
      <x:c r="AF501" s="9"/>
      <x:c r="AG501" s="9"/>
      <x:c r="AH501" s="2"/>
    </x:row>
    <x:row r="502" ht="14.25" customHeight="1">
      <x:c r="A502" s="2"/>
      <x:c r="B502" s="9"/>
      <x:c r="C502" s="9"/>
      <x:c r="D502" s="9"/>
      <x:c r="E502" s="9"/>
      <x:c r="F502" s="9"/>
      <x:c r="G502" s="9"/>
      <x:c r="H502" s="9"/>
      <x:c r="I502" s="9"/>
      <x:c r="J502" s="9"/>
      <x:c r="K502" s="9"/>
      <x:c r="L502" s="9"/>
      <x:c r="M502" s="9"/>
      <x:c r="N502" s="9"/>
      <x:c r="O502" s="9"/>
      <x:c r="P502" s="9"/>
      <x:c r="Q502" s="9"/>
      <x:c r="R502" s="9"/>
      <x:c r="S502" s="9"/>
      <x:c r="T502" s="9"/>
      <x:c r="U502" s="9"/>
      <x:c r="V502" s="9"/>
      <x:c r="W502" s="9"/>
      <x:c r="X502" s="9"/>
      <x:c r="Y502" s="9"/>
      <x:c r="Z502" s="9"/>
      <x:c r="AA502" s="9"/>
      <x:c r="AB502" s="9"/>
      <x:c r="AC502" s="9"/>
      <x:c r="AD502" s="9"/>
      <x:c r="AE502" s="2"/>
      <x:c r="AF502" s="9"/>
      <x:c r="AG502" s="9"/>
      <x:c r="AH502" s="2"/>
    </x:row>
    <x:row r="503" ht="14.25" customHeight="1">
      <x:c r="A503" s="2"/>
      <x:c r="B503" s="9"/>
      <x:c r="C503" s="9"/>
      <x:c r="D503" s="9"/>
      <x:c r="E503" s="9"/>
      <x:c r="F503" s="9"/>
      <x:c r="G503" s="9"/>
      <x:c r="H503" s="9"/>
      <x:c r="I503" s="9"/>
      <x:c r="J503" s="9"/>
      <x:c r="K503" s="9"/>
      <x:c r="L503" s="9"/>
      <x:c r="M503" s="9"/>
      <x:c r="N503" s="9"/>
      <x:c r="O503" s="9"/>
      <x:c r="P503" s="9"/>
      <x:c r="Q503" s="9"/>
      <x:c r="R503" s="9"/>
      <x:c r="S503" s="9"/>
      <x:c r="T503" s="9"/>
      <x:c r="U503" s="9"/>
      <x:c r="V503" s="9"/>
      <x:c r="W503" s="9"/>
      <x:c r="X503" s="9"/>
      <x:c r="Y503" s="9"/>
      <x:c r="Z503" s="9"/>
      <x:c r="AA503" s="9"/>
      <x:c r="AB503" s="9"/>
      <x:c r="AC503" s="9"/>
      <x:c r="AD503" s="9"/>
      <x:c r="AE503" s="2"/>
      <x:c r="AF503" s="9"/>
      <x:c r="AG503" s="9"/>
      <x:c r="AH503" s="2"/>
    </x:row>
    <x:row r="504" ht="14.25" customHeight="1">
      <x:c r="A504" s="2"/>
      <x:c r="B504" s="9"/>
      <x:c r="C504" s="9"/>
      <x:c r="D504" s="9"/>
      <x:c r="E504" s="9"/>
      <x:c r="F504" s="9"/>
      <x:c r="G504" s="9"/>
      <x:c r="H504" s="9"/>
      <x:c r="I504" s="9"/>
      <x:c r="J504" s="9"/>
      <x:c r="K504" s="9"/>
      <x:c r="L504" s="9"/>
      <x:c r="M504" s="9"/>
      <x:c r="N504" s="9"/>
      <x:c r="O504" s="9"/>
      <x:c r="P504" s="9"/>
      <x:c r="Q504" s="9"/>
      <x:c r="R504" s="9"/>
      <x:c r="S504" s="9"/>
      <x:c r="T504" s="9"/>
      <x:c r="U504" s="9"/>
      <x:c r="V504" s="9"/>
      <x:c r="W504" s="9"/>
      <x:c r="X504" s="9"/>
      <x:c r="Y504" s="9"/>
      <x:c r="Z504" s="9"/>
      <x:c r="AA504" s="9"/>
      <x:c r="AB504" s="9"/>
      <x:c r="AC504" s="9"/>
      <x:c r="AD504" s="9"/>
      <x:c r="AE504" s="2"/>
      <x:c r="AF504" s="9"/>
      <x:c r="AG504" s="9"/>
      <x:c r="AH504" s="2"/>
    </x:row>
    <x:row r="505" ht="14.25" customHeight="1">
      <x:c r="A505" s="2"/>
      <x:c r="B505" s="9"/>
      <x:c r="C505" s="9"/>
      <x:c r="D505" s="9"/>
      <x:c r="E505" s="9"/>
      <x:c r="F505" s="9"/>
      <x:c r="G505" s="9"/>
      <x:c r="H505" s="9"/>
      <x:c r="I505" s="9"/>
      <x:c r="J505" s="9"/>
      <x:c r="K505" s="9"/>
      <x:c r="L505" s="9"/>
      <x:c r="M505" s="9"/>
      <x:c r="N505" s="9"/>
      <x:c r="O505" s="9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  <x:c r="AA505" s="9"/>
      <x:c r="AB505" s="9"/>
      <x:c r="AC505" s="9"/>
      <x:c r="AD505" s="9"/>
      <x:c r="AE505" s="2"/>
      <x:c r="AF505" s="9"/>
      <x:c r="AG505" s="9"/>
      <x:c r="AH505" s="2"/>
    </x:row>
    <x:row r="506" ht="14.25" customHeight="1">
      <x:c r="A506" s="2"/>
      <x:c r="B506" s="9"/>
      <x:c r="C506" s="9"/>
      <x:c r="D506" s="9"/>
      <x:c r="E506" s="9"/>
      <x:c r="F506" s="9"/>
      <x:c r="G506" s="9"/>
      <x:c r="H506" s="9"/>
      <x:c r="I506" s="9"/>
      <x:c r="J506" s="9"/>
      <x:c r="K506" s="9"/>
      <x:c r="L506" s="9"/>
      <x:c r="M506" s="9"/>
      <x:c r="N506" s="9"/>
      <x:c r="O506" s="9"/>
      <x:c r="P506" s="9"/>
      <x:c r="Q506" s="9"/>
      <x:c r="R506" s="9"/>
      <x:c r="S506" s="9"/>
      <x:c r="T506" s="9"/>
      <x:c r="U506" s="9"/>
      <x:c r="V506" s="9"/>
      <x:c r="W506" s="9"/>
      <x:c r="X506" s="9"/>
      <x:c r="Y506" s="9"/>
      <x:c r="Z506" s="9"/>
      <x:c r="AA506" s="9"/>
      <x:c r="AB506" s="9"/>
      <x:c r="AC506" s="9"/>
      <x:c r="AD506" s="9"/>
      <x:c r="AE506" s="2"/>
      <x:c r="AF506" s="9"/>
      <x:c r="AG506" s="9"/>
      <x:c r="AH506" s="2"/>
    </x:row>
    <x:row r="507" ht="14.25" customHeight="1">
      <x:c r="A507" s="2"/>
      <x:c r="B507" s="9"/>
      <x:c r="C507" s="9"/>
      <x:c r="D507" s="9"/>
      <x:c r="E507" s="9"/>
      <x:c r="F507" s="9"/>
      <x:c r="G507" s="9"/>
      <x:c r="H507" s="9"/>
      <x:c r="I507" s="9"/>
      <x:c r="J507" s="9"/>
      <x:c r="K507" s="9"/>
      <x:c r="L507" s="9"/>
      <x:c r="M507" s="9"/>
      <x:c r="N507" s="9"/>
      <x:c r="O507" s="9"/>
      <x:c r="P507" s="9"/>
      <x:c r="Q507" s="9"/>
      <x:c r="R507" s="9"/>
      <x:c r="S507" s="9"/>
      <x:c r="T507" s="9"/>
      <x:c r="U507" s="9"/>
      <x:c r="V507" s="9"/>
      <x:c r="W507" s="9"/>
      <x:c r="X507" s="9"/>
      <x:c r="Y507" s="9"/>
      <x:c r="Z507" s="9"/>
      <x:c r="AA507" s="9"/>
      <x:c r="AB507" s="9"/>
      <x:c r="AC507" s="9"/>
      <x:c r="AD507" s="9"/>
      <x:c r="AE507" s="2"/>
      <x:c r="AF507" s="9"/>
      <x:c r="AG507" s="9"/>
      <x:c r="AH507" s="2"/>
    </x:row>
    <x:row r="508" ht="14.25" customHeight="1">
      <x:c r="A508" s="2"/>
      <x:c r="B508" s="9"/>
      <x:c r="C508" s="9"/>
      <x:c r="D508" s="9"/>
      <x:c r="E508" s="9"/>
      <x:c r="F508" s="9"/>
      <x:c r="G508" s="9"/>
      <x:c r="H508" s="9"/>
      <x:c r="I508" s="9"/>
      <x:c r="J508" s="9"/>
      <x:c r="K508" s="9"/>
      <x:c r="L508" s="9"/>
      <x:c r="M508" s="9"/>
      <x:c r="N508" s="9"/>
      <x:c r="O508" s="9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  <x:c r="AA508" s="9"/>
      <x:c r="AB508" s="9"/>
      <x:c r="AC508" s="9"/>
      <x:c r="AD508" s="9"/>
      <x:c r="AE508" s="2"/>
      <x:c r="AF508" s="9"/>
      <x:c r="AG508" s="9"/>
      <x:c r="AH508" s="2"/>
    </x:row>
    <x:row r="509" ht="14.25" customHeight="1">
      <x:c r="A509" s="2"/>
      <x:c r="B509" s="9"/>
      <x:c r="C509" s="9"/>
      <x:c r="D509" s="9"/>
      <x:c r="E509" s="9"/>
      <x:c r="F509" s="9"/>
      <x:c r="G509" s="9"/>
      <x:c r="H509" s="9"/>
      <x:c r="I509" s="9"/>
      <x:c r="J509" s="9"/>
      <x:c r="K509" s="9"/>
      <x:c r="L509" s="9"/>
      <x:c r="M509" s="9"/>
      <x:c r="N509" s="9"/>
      <x:c r="O509" s="9"/>
      <x:c r="P509" s="9"/>
      <x:c r="Q509" s="9"/>
      <x:c r="R509" s="9"/>
      <x:c r="S509" s="9"/>
      <x:c r="T509" s="9"/>
      <x:c r="U509" s="9"/>
      <x:c r="V509" s="9"/>
      <x:c r="W509" s="9"/>
      <x:c r="X509" s="9"/>
      <x:c r="Y509" s="9"/>
      <x:c r="Z509" s="9"/>
      <x:c r="AA509" s="9"/>
      <x:c r="AB509" s="9"/>
      <x:c r="AC509" s="9"/>
      <x:c r="AD509" s="9"/>
      <x:c r="AE509" s="2"/>
      <x:c r="AF509" s="9"/>
      <x:c r="AG509" s="9"/>
      <x:c r="AH509" s="2"/>
    </x:row>
    <x:row r="510" ht="14.25" customHeight="1">
      <x:c r="A510" s="2"/>
      <x:c r="B510" s="9"/>
      <x:c r="C510" s="9"/>
      <x:c r="D510" s="9"/>
      <x:c r="E510" s="9"/>
      <x:c r="F510" s="9"/>
      <x:c r="G510" s="9"/>
      <x:c r="H510" s="9"/>
      <x:c r="I510" s="9"/>
      <x:c r="J510" s="9"/>
      <x:c r="K510" s="9"/>
      <x:c r="L510" s="9"/>
      <x:c r="M510" s="9"/>
      <x:c r="N510" s="9"/>
      <x:c r="O510" s="9"/>
      <x:c r="P510" s="9"/>
      <x:c r="Q510" s="9"/>
      <x:c r="R510" s="9"/>
      <x:c r="S510" s="9"/>
      <x:c r="T510" s="9"/>
      <x:c r="U510" s="9"/>
      <x:c r="V510" s="9"/>
      <x:c r="W510" s="9"/>
      <x:c r="X510" s="9"/>
      <x:c r="Y510" s="9"/>
      <x:c r="Z510" s="9"/>
      <x:c r="AA510" s="9"/>
      <x:c r="AB510" s="9"/>
      <x:c r="AC510" s="9"/>
      <x:c r="AD510" s="9"/>
      <x:c r="AE510" s="2"/>
      <x:c r="AF510" s="9"/>
      <x:c r="AG510" s="9"/>
      <x:c r="AH510" s="2"/>
    </x:row>
    <x:row r="511" ht="14.25" customHeight="1">
      <x:c r="A511" s="2"/>
      <x:c r="B511" s="9"/>
      <x:c r="C511" s="9"/>
      <x:c r="D511" s="9"/>
      <x:c r="E511" s="9"/>
      <x:c r="F511" s="9"/>
      <x:c r="G511" s="9"/>
      <x:c r="H511" s="9"/>
      <x:c r="I511" s="9"/>
      <x:c r="J511" s="9"/>
      <x:c r="K511" s="9"/>
      <x:c r="L511" s="9"/>
      <x:c r="M511" s="9"/>
      <x:c r="N511" s="9"/>
      <x:c r="O511" s="9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  <x:c r="AA511" s="9"/>
      <x:c r="AB511" s="9"/>
      <x:c r="AC511" s="9"/>
      <x:c r="AD511" s="9"/>
      <x:c r="AE511" s="2"/>
      <x:c r="AF511" s="9"/>
      <x:c r="AG511" s="9"/>
      <x:c r="AH511" s="2"/>
    </x:row>
    <x:row r="512" ht="14.25" customHeight="1">
      <x:c r="A512" s="2"/>
      <x:c r="B512" s="9"/>
      <x:c r="C512" s="9"/>
      <x:c r="D512" s="9"/>
      <x:c r="E512" s="9"/>
      <x:c r="F512" s="9"/>
      <x:c r="G512" s="9"/>
      <x:c r="H512" s="9"/>
      <x:c r="I512" s="9"/>
      <x:c r="J512" s="9"/>
      <x:c r="K512" s="9"/>
      <x:c r="L512" s="9"/>
      <x:c r="M512" s="9"/>
      <x:c r="N512" s="9"/>
      <x:c r="O512" s="9"/>
      <x:c r="P512" s="9"/>
      <x:c r="Q512" s="9"/>
      <x:c r="R512" s="9"/>
      <x:c r="S512" s="9"/>
      <x:c r="T512" s="9"/>
      <x:c r="U512" s="9"/>
      <x:c r="V512" s="9"/>
      <x:c r="W512" s="9"/>
      <x:c r="X512" s="9"/>
      <x:c r="Y512" s="9"/>
      <x:c r="Z512" s="9"/>
      <x:c r="AA512" s="9"/>
      <x:c r="AB512" s="9"/>
      <x:c r="AC512" s="9"/>
      <x:c r="AD512" s="9"/>
      <x:c r="AE512" s="2"/>
      <x:c r="AF512" s="9"/>
      <x:c r="AG512" s="9"/>
      <x:c r="AH512" s="2"/>
    </x:row>
    <x:row r="513" ht="14.25" customHeight="1">
      <x:c r="A513" s="2"/>
      <x:c r="B513" s="9"/>
      <x:c r="C513" s="9"/>
      <x:c r="D513" s="9"/>
      <x:c r="E513" s="9"/>
      <x:c r="F513" s="9"/>
      <x:c r="G513" s="9"/>
      <x:c r="H513" s="9"/>
      <x:c r="I513" s="9"/>
      <x:c r="J513" s="9"/>
      <x:c r="K513" s="9"/>
      <x:c r="L513" s="9"/>
      <x:c r="M513" s="9"/>
      <x:c r="N513" s="9"/>
      <x:c r="O513" s="9"/>
      <x:c r="P513" s="9"/>
      <x:c r="Q513" s="9"/>
      <x:c r="R513" s="9"/>
      <x:c r="S513" s="9"/>
      <x:c r="T513" s="9"/>
      <x:c r="U513" s="9"/>
      <x:c r="V513" s="9"/>
      <x:c r="W513" s="9"/>
      <x:c r="X513" s="9"/>
      <x:c r="Y513" s="9"/>
      <x:c r="Z513" s="9"/>
      <x:c r="AA513" s="9"/>
      <x:c r="AB513" s="9"/>
      <x:c r="AC513" s="9"/>
      <x:c r="AD513" s="9"/>
      <x:c r="AE513" s="2"/>
      <x:c r="AF513" s="9"/>
      <x:c r="AG513" s="9"/>
      <x:c r="AH513" s="2"/>
    </x:row>
    <x:row r="514" ht="14.25" customHeight="1">
      <x:c r="A514" s="2"/>
      <x:c r="B514" s="9"/>
      <x:c r="C514" s="9"/>
      <x:c r="D514" s="9"/>
      <x:c r="E514" s="9"/>
      <x:c r="F514" s="9"/>
      <x:c r="G514" s="9"/>
      <x:c r="H514" s="9"/>
      <x:c r="I514" s="9"/>
      <x:c r="J514" s="9"/>
      <x:c r="K514" s="9"/>
      <x:c r="L514" s="9"/>
      <x:c r="M514" s="9"/>
      <x:c r="N514" s="9"/>
      <x:c r="O514" s="9"/>
      <x:c r="P514" s="9"/>
      <x:c r="Q514" s="9"/>
      <x:c r="R514" s="9"/>
      <x:c r="S514" s="9"/>
      <x:c r="T514" s="9"/>
      <x:c r="U514" s="9"/>
      <x:c r="V514" s="9"/>
      <x:c r="W514" s="9"/>
      <x:c r="X514" s="9"/>
      <x:c r="Y514" s="9"/>
      <x:c r="Z514" s="9"/>
      <x:c r="AA514" s="9"/>
      <x:c r="AB514" s="9"/>
      <x:c r="AC514" s="9"/>
      <x:c r="AD514" s="9"/>
      <x:c r="AE514" s="2"/>
      <x:c r="AF514" s="9"/>
      <x:c r="AG514" s="9"/>
      <x:c r="AH514" s="2"/>
    </x:row>
    <x:row r="515" ht="14.25" customHeight="1">
      <x:c r="A515" s="2"/>
      <x:c r="B515" s="9"/>
      <x:c r="C515" s="9"/>
      <x:c r="D515" s="9"/>
      <x:c r="E515" s="9"/>
      <x:c r="F515" s="9"/>
      <x:c r="G515" s="9"/>
      <x:c r="H515" s="9"/>
      <x:c r="I515" s="9"/>
      <x:c r="J515" s="9"/>
      <x:c r="K515" s="9"/>
      <x:c r="L515" s="9"/>
      <x:c r="M515" s="9"/>
      <x:c r="N515" s="9"/>
      <x:c r="O515" s="9"/>
      <x:c r="P515" s="9"/>
      <x:c r="Q515" s="9"/>
      <x:c r="R515" s="9"/>
      <x:c r="S515" s="9"/>
      <x:c r="T515" s="9"/>
      <x:c r="U515" s="9"/>
      <x:c r="V515" s="9"/>
      <x:c r="W515" s="9"/>
      <x:c r="X515" s="9"/>
      <x:c r="Y515" s="9"/>
      <x:c r="Z515" s="9"/>
      <x:c r="AA515" s="9"/>
      <x:c r="AB515" s="9"/>
      <x:c r="AC515" s="9"/>
      <x:c r="AD515" s="9"/>
      <x:c r="AE515" s="2"/>
      <x:c r="AF515" s="9"/>
      <x:c r="AG515" s="9"/>
      <x:c r="AH515" s="2"/>
    </x:row>
    <x:row r="516" ht="14.25" customHeight="1">
      <x:c r="A516" s="2"/>
      <x:c r="B516" s="9"/>
      <x:c r="C516" s="9"/>
      <x:c r="D516" s="9"/>
      <x:c r="E516" s="9"/>
      <x:c r="F516" s="9"/>
      <x:c r="G516" s="9"/>
      <x:c r="H516" s="9"/>
      <x:c r="I516" s="9"/>
      <x:c r="J516" s="9"/>
      <x:c r="K516" s="9"/>
      <x:c r="L516" s="9"/>
      <x:c r="M516" s="9"/>
      <x:c r="N516" s="9"/>
      <x:c r="O516" s="9"/>
      <x:c r="P516" s="9"/>
      <x:c r="Q516" s="9"/>
      <x:c r="R516" s="9"/>
      <x:c r="S516" s="9"/>
      <x:c r="T516" s="9"/>
      <x:c r="U516" s="9"/>
      <x:c r="V516" s="9"/>
      <x:c r="W516" s="9"/>
      <x:c r="X516" s="9"/>
      <x:c r="Y516" s="9"/>
      <x:c r="Z516" s="9"/>
      <x:c r="AA516" s="9"/>
      <x:c r="AB516" s="9"/>
      <x:c r="AC516" s="9"/>
      <x:c r="AD516" s="9"/>
      <x:c r="AE516" s="2"/>
      <x:c r="AF516" s="9"/>
      <x:c r="AG516" s="9"/>
      <x:c r="AH516" s="2"/>
    </x:row>
    <x:row r="517" ht="14.25" customHeight="1">
      <x:c r="A517" s="2"/>
      <x:c r="B517" s="9"/>
      <x:c r="C517" s="9"/>
      <x:c r="D517" s="9"/>
      <x:c r="E517" s="9"/>
      <x:c r="F517" s="9"/>
      <x:c r="G517" s="9"/>
      <x:c r="H517" s="9"/>
      <x:c r="I517" s="9"/>
      <x:c r="J517" s="9"/>
      <x:c r="K517" s="9"/>
      <x:c r="L517" s="9"/>
      <x:c r="M517" s="9"/>
      <x:c r="N517" s="9"/>
      <x:c r="O517" s="9"/>
      <x:c r="P517" s="9"/>
      <x:c r="Q517" s="9"/>
      <x:c r="R517" s="9"/>
      <x:c r="S517" s="9"/>
      <x:c r="T517" s="9"/>
      <x:c r="U517" s="9"/>
      <x:c r="V517" s="9"/>
      <x:c r="W517" s="9"/>
      <x:c r="X517" s="9"/>
      <x:c r="Y517" s="9"/>
      <x:c r="Z517" s="9"/>
      <x:c r="AA517" s="9"/>
      <x:c r="AB517" s="9"/>
      <x:c r="AC517" s="9"/>
      <x:c r="AD517" s="9"/>
      <x:c r="AE517" s="2"/>
      <x:c r="AF517" s="9"/>
      <x:c r="AG517" s="9"/>
      <x:c r="AH517" s="2"/>
    </x:row>
    <x:row r="518" ht="14.25" customHeight="1">
      <x:c r="A518" s="2"/>
      <x:c r="B518" s="9"/>
      <x:c r="C518" s="9"/>
      <x:c r="D518" s="9"/>
      <x:c r="E518" s="9"/>
      <x:c r="F518" s="9"/>
      <x:c r="G518" s="9"/>
      <x:c r="H518" s="9"/>
      <x:c r="I518" s="9"/>
      <x:c r="J518" s="9"/>
      <x:c r="K518" s="9"/>
      <x:c r="L518" s="9"/>
      <x:c r="M518" s="9"/>
      <x:c r="N518" s="9"/>
      <x:c r="O518" s="9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  <x:c r="AA518" s="9"/>
      <x:c r="AB518" s="9"/>
      <x:c r="AC518" s="9"/>
      <x:c r="AD518" s="9"/>
      <x:c r="AE518" s="2"/>
      <x:c r="AF518" s="9"/>
      <x:c r="AG518" s="9"/>
      <x:c r="AH518" s="2"/>
    </x:row>
    <x:row r="519" ht="14.25" customHeight="1">
      <x:c r="A519" s="2"/>
      <x:c r="B519" s="9"/>
      <x:c r="C519" s="9"/>
      <x:c r="D519" s="9"/>
      <x:c r="E519" s="9"/>
      <x:c r="F519" s="9"/>
      <x:c r="G519" s="9"/>
      <x:c r="H519" s="9"/>
      <x:c r="I519" s="9"/>
      <x:c r="J519" s="9"/>
      <x:c r="K519" s="9"/>
      <x:c r="L519" s="9"/>
      <x:c r="M519" s="9"/>
      <x:c r="N519" s="9"/>
      <x:c r="O519" s="9"/>
      <x:c r="P519" s="9"/>
      <x:c r="Q519" s="9"/>
      <x:c r="R519" s="9"/>
      <x:c r="S519" s="9"/>
      <x:c r="T519" s="9"/>
      <x:c r="U519" s="9"/>
      <x:c r="V519" s="9"/>
      <x:c r="W519" s="9"/>
      <x:c r="X519" s="9"/>
      <x:c r="Y519" s="9"/>
      <x:c r="Z519" s="9"/>
      <x:c r="AA519" s="9"/>
      <x:c r="AB519" s="9"/>
      <x:c r="AC519" s="9"/>
      <x:c r="AD519" s="9"/>
      <x:c r="AE519" s="2"/>
      <x:c r="AF519" s="9"/>
      <x:c r="AG519" s="9"/>
      <x:c r="AH519" s="2"/>
    </x:row>
    <x:row r="520" ht="14.25" customHeight="1">
      <x:c r="A520" s="2"/>
      <x:c r="B520" s="9"/>
      <x:c r="C520" s="9"/>
      <x:c r="D520" s="9"/>
      <x:c r="E520" s="9"/>
      <x:c r="F520" s="9"/>
      <x:c r="G520" s="9"/>
      <x:c r="H520" s="9"/>
      <x:c r="I520" s="9"/>
      <x:c r="J520" s="9"/>
      <x:c r="K520" s="9"/>
      <x:c r="L520" s="9"/>
      <x:c r="M520" s="9"/>
      <x:c r="N520" s="9"/>
      <x:c r="O520" s="9"/>
      <x:c r="P520" s="9"/>
      <x:c r="Q520" s="9"/>
      <x:c r="R520" s="9"/>
      <x:c r="S520" s="9"/>
      <x:c r="T520" s="9"/>
      <x:c r="U520" s="9"/>
      <x:c r="V520" s="9"/>
      <x:c r="W520" s="9"/>
      <x:c r="X520" s="9"/>
      <x:c r="Y520" s="9"/>
      <x:c r="Z520" s="9"/>
      <x:c r="AA520" s="9"/>
      <x:c r="AB520" s="9"/>
      <x:c r="AC520" s="9"/>
      <x:c r="AD520" s="9"/>
      <x:c r="AE520" s="2"/>
      <x:c r="AF520" s="9"/>
      <x:c r="AG520" s="9"/>
      <x:c r="AH520" s="2"/>
    </x:row>
    <x:row r="521" ht="14.25" customHeight="1">
      <x:c r="A521" s="2"/>
      <x:c r="B521" s="9"/>
      <x:c r="C521" s="9"/>
      <x:c r="D521" s="9"/>
      <x:c r="E521" s="9"/>
      <x:c r="F521" s="9"/>
      <x:c r="G521" s="9"/>
      <x:c r="H521" s="9"/>
      <x:c r="I521" s="9"/>
      <x:c r="J521" s="9"/>
      <x:c r="K521" s="9"/>
      <x:c r="L521" s="9"/>
      <x:c r="M521" s="9"/>
      <x:c r="N521" s="9"/>
      <x:c r="O521" s="9"/>
      <x:c r="P521" s="9"/>
      <x:c r="Q521" s="9"/>
      <x:c r="R521" s="9"/>
      <x:c r="S521" s="9"/>
      <x:c r="T521" s="9"/>
      <x:c r="U521" s="9"/>
      <x:c r="V521" s="9"/>
      <x:c r="W521" s="9"/>
      <x:c r="X521" s="9"/>
      <x:c r="Y521" s="9"/>
      <x:c r="Z521" s="9"/>
      <x:c r="AA521" s="9"/>
      <x:c r="AB521" s="9"/>
      <x:c r="AC521" s="9"/>
      <x:c r="AD521" s="9"/>
      <x:c r="AE521" s="2"/>
      <x:c r="AF521" s="9"/>
      <x:c r="AG521" s="9"/>
      <x:c r="AH521" s="2"/>
    </x:row>
    <x:row r="522" ht="14.25" customHeight="1">
      <x:c r="A522" s="2"/>
      <x:c r="B522" s="9"/>
      <x:c r="C522" s="9"/>
      <x:c r="D522" s="9"/>
      <x:c r="E522" s="9"/>
      <x:c r="F522" s="9"/>
      <x:c r="G522" s="9"/>
      <x:c r="H522" s="9"/>
      <x:c r="I522" s="9"/>
      <x:c r="J522" s="9"/>
      <x:c r="K522" s="9"/>
      <x:c r="L522" s="9"/>
      <x:c r="M522" s="9"/>
      <x:c r="N522" s="9"/>
      <x:c r="O522" s="9"/>
      <x:c r="P522" s="9"/>
      <x:c r="Q522" s="9"/>
      <x:c r="R522" s="9"/>
      <x:c r="S522" s="9"/>
      <x:c r="T522" s="9"/>
      <x:c r="U522" s="9"/>
      <x:c r="V522" s="9"/>
      <x:c r="W522" s="9"/>
      <x:c r="X522" s="9"/>
      <x:c r="Y522" s="9"/>
      <x:c r="Z522" s="9"/>
      <x:c r="AA522" s="9"/>
      <x:c r="AB522" s="9"/>
      <x:c r="AC522" s="9"/>
      <x:c r="AD522" s="9"/>
      <x:c r="AE522" s="2"/>
      <x:c r="AF522" s="9"/>
      <x:c r="AG522" s="9"/>
      <x:c r="AH522" s="2"/>
    </x:row>
    <x:row r="523" ht="14.25" customHeight="1">
      <x:c r="A523" s="2"/>
      <x:c r="B523" s="9"/>
      <x:c r="C523" s="9"/>
      <x:c r="D523" s="9"/>
      <x:c r="E523" s="9"/>
      <x:c r="F523" s="9"/>
      <x:c r="G523" s="9"/>
      <x:c r="H523" s="9"/>
      <x:c r="I523" s="9"/>
      <x:c r="J523" s="9"/>
      <x:c r="K523" s="9"/>
      <x:c r="L523" s="9"/>
      <x:c r="M523" s="9"/>
      <x:c r="N523" s="9"/>
      <x:c r="O523" s="9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  <x:c r="AA523" s="9"/>
      <x:c r="AB523" s="9"/>
      <x:c r="AC523" s="9"/>
      <x:c r="AD523" s="9"/>
      <x:c r="AE523" s="2"/>
      <x:c r="AF523" s="9"/>
      <x:c r="AG523" s="9"/>
      <x:c r="AH523" s="2"/>
    </x:row>
    <x:row r="524" ht="14.25" customHeight="1">
      <x:c r="A524" s="2"/>
      <x:c r="B524" s="9"/>
      <x:c r="C524" s="9"/>
      <x:c r="D524" s="9"/>
      <x:c r="E524" s="9"/>
      <x:c r="F524" s="9"/>
      <x:c r="G524" s="9"/>
      <x:c r="H524" s="9"/>
      <x:c r="I524" s="9"/>
      <x:c r="J524" s="9"/>
      <x:c r="K524" s="9"/>
      <x:c r="L524" s="9"/>
      <x:c r="M524" s="9"/>
      <x:c r="N524" s="9"/>
      <x:c r="O524" s="9"/>
      <x:c r="P524" s="9"/>
      <x:c r="Q524" s="9"/>
      <x:c r="R524" s="9"/>
      <x:c r="S524" s="9"/>
      <x:c r="T524" s="9"/>
      <x:c r="U524" s="9"/>
      <x:c r="V524" s="9"/>
      <x:c r="W524" s="9"/>
      <x:c r="X524" s="9"/>
      <x:c r="Y524" s="9"/>
      <x:c r="Z524" s="9"/>
      <x:c r="AA524" s="9"/>
      <x:c r="AB524" s="9"/>
      <x:c r="AC524" s="9"/>
      <x:c r="AD524" s="9"/>
      <x:c r="AE524" s="2"/>
      <x:c r="AF524" s="9"/>
      <x:c r="AG524" s="9"/>
      <x:c r="AH524" s="2"/>
    </x:row>
    <x:row r="525" ht="14.25" customHeight="1">
      <x:c r="A525" s="2"/>
      <x:c r="B525" s="9"/>
      <x:c r="C525" s="9"/>
      <x:c r="D525" s="9"/>
      <x:c r="E525" s="9"/>
      <x:c r="F525" s="9"/>
      <x:c r="G525" s="9"/>
      <x:c r="H525" s="9"/>
      <x:c r="I525" s="9"/>
      <x:c r="J525" s="9"/>
      <x:c r="K525" s="9"/>
      <x:c r="L525" s="9"/>
      <x:c r="M525" s="9"/>
      <x:c r="N525" s="9"/>
      <x:c r="O525" s="9"/>
      <x:c r="P525" s="9"/>
      <x:c r="Q525" s="9"/>
      <x:c r="R525" s="9"/>
      <x:c r="S525" s="9"/>
      <x:c r="T525" s="9"/>
      <x:c r="U525" s="9"/>
      <x:c r="V525" s="9"/>
      <x:c r="W525" s="9"/>
      <x:c r="X525" s="9"/>
      <x:c r="Y525" s="9"/>
      <x:c r="Z525" s="9"/>
      <x:c r="AA525" s="9"/>
      <x:c r="AB525" s="9"/>
      <x:c r="AC525" s="9"/>
      <x:c r="AD525" s="9"/>
      <x:c r="AE525" s="2"/>
      <x:c r="AF525" s="9"/>
      <x:c r="AG525" s="9"/>
      <x:c r="AH525" s="2"/>
    </x:row>
    <x:row r="526" ht="14.25" customHeight="1">
      <x:c r="A526" s="2"/>
      <x:c r="B526" s="9"/>
      <x:c r="C526" s="9"/>
      <x:c r="D526" s="9"/>
      <x:c r="E526" s="9"/>
      <x:c r="F526" s="9"/>
      <x:c r="G526" s="9"/>
      <x:c r="H526" s="9"/>
      <x:c r="I526" s="9"/>
      <x:c r="J526" s="9"/>
      <x:c r="K526" s="9"/>
      <x:c r="L526" s="9"/>
      <x:c r="M526" s="9"/>
      <x:c r="N526" s="9"/>
      <x:c r="O526" s="9"/>
      <x:c r="P526" s="9"/>
      <x:c r="Q526" s="9"/>
      <x:c r="R526" s="9"/>
      <x:c r="S526" s="9"/>
      <x:c r="T526" s="9"/>
      <x:c r="U526" s="9"/>
      <x:c r="V526" s="9"/>
      <x:c r="W526" s="9"/>
      <x:c r="X526" s="9"/>
      <x:c r="Y526" s="9"/>
      <x:c r="Z526" s="9"/>
      <x:c r="AA526" s="9"/>
      <x:c r="AB526" s="9"/>
      <x:c r="AC526" s="9"/>
      <x:c r="AD526" s="9"/>
      <x:c r="AE526" s="2"/>
      <x:c r="AF526" s="9"/>
      <x:c r="AG526" s="9"/>
      <x:c r="AH526" s="2"/>
    </x:row>
    <x:row r="527" ht="14.25" customHeight="1">
      <x:c r="A527" s="2"/>
      <x:c r="B527" s="9"/>
      <x:c r="C527" s="9"/>
      <x:c r="D527" s="9"/>
      <x:c r="E527" s="9"/>
      <x:c r="F527" s="9"/>
      <x:c r="G527" s="9"/>
      <x:c r="H527" s="9"/>
      <x:c r="I527" s="9"/>
      <x:c r="J527" s="9"/>
      <x:c r="K527" s="9"/>
      <x:c r="L527" s="9"/>
      <x:c r="M527" s="9"/>
      <x:c r="N527" s="9"/>
      <x:c r="O527" s="9"/>
      <x:c r="P527" s="9"/>
      <x:c r="Q527" s="9"/>
      <x:c r="R527" s="9"/>
      <x:c r="S527" s="9"/>
      <x:c r="T527" s="9"/>
      <x:c r="U527" s="9"/>
      <x:c r="V527" s="9"/>
      <x:c r="W527" s="9"/>
      <x:c r="X527" s="9"/>
      <x:c r="Y527" s="9"/>
      <x:c r="Z527" s="9"/>
      <x:c r="AA527" s="9"/>
      <x:c r="AB527" s="9"/>
      <x:c r="AC527" s="9"/>
      <x:c r="AD527" s="9"/>
      <x:c r="AE527" s="2"/>
      <x:c r="AF527" s="9"/>
      <x:c r="AG527" s="9"/>
      <x:c r="AH527" s="2"/>
    </x:row>
    <x:row r="528" ht="14.25" customHeight="1">
      <x:c r="A528" s="2"/>
      <x:c r="B528" s="9"/>
      <x:c r="C528" s="9"/>
      <x:c r="D528" s="9"/>
      <x:c r="E528" s="9"/>
      <x:c r="F528" s="9"/>
      <x:c r="G528" s="9"/>
      <x:c r="H528" s="9"/>
      <x:c r="I528" s="9"/>
      <x:c r="J528" s="9"/>
      <x:c r="K528" s="9"/>
      <x:c r="L528" s="9"/>
      <x:c r="M528" s="9"/>
      <x:c r="N528" s="9"/>
      <x:c r="O528" s="9"/>
      <x:c r="P528" s="9"/>
      <x:c r="Q528" s="9"/>
      <x:c r="R528" s="9"/>
      <x:c r="S528" s="9"/>
      <x:c r="T528" s="9"/>
      <x:c r="U528" s="9"/>
      <x:c r="V528" s="9"/>
      <x:c r="W528" s="9"/>
      <x:c r="X528" s="9"/>
      <x:c r="Y528" s="9"/>
      <x:c r="Z528" s="9"/>
      <x:c r="AA528" s="9"/>
      <x:c r="AB528" s="9"/>
      <x:c r="AC528" s="9"/>
      <x:c r="AD528" s="9"/>
      <x:c r="AE528" s="2"/>
      <x:c r="AF528" s="9"/>
      <x:c r="AG528" s="9"/>
      <x:c r="AH528" s="2"/>
    </x:row>
    <x:row r="529" ht="14.25" customHeight="1">
      <x:c r="A529" s="2"/>
      <x:c r="B529" s="9"/>
      <x:c r="C529" s="9"/>
      <x:c r="D529" s="9"/>
      <x:c r="E529" s="9"/>
      <x:c r="F529" s="9"/>
      <x:c r="G529" s="9"/>
      <x:c r="H529" s="9"/>
      <x:c r="I529" s="9"/>
      <x:c r="J529" s="9"/>
      <x:c r="K529" s="9"/>
      <x:c r="L529" s="9"/>
      <x:c r="M529" s="9"/>
      <x:c r="N529" s="9"/>
      <x:c r="O529" s="9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  <x:c r="AA529" s="9"/>
      <x:c r="AB529" s="9"/>
      <x:c r="AC529" s="9"/>
      <x:c r="AD529" s="9"/>
      <x:c r="AE529" s="2"/>
      <x:c r="AF529" s="9"/>
      <x:c r="AG529" s="9"/>
      <x:c r="AH529" s="2"/>
    </x:row>
    <x:row r="530" ht="14.25" customHeight="1">
      <x:c r="A530" s="2"/>
      <x:c r="B530" s="9"/>
      <x:c r="C530" s="9"/>
      <x:c r="D530" s="9"/>
      <x:c r="E530" s="9"/>
      <x:c r="F530" s="9"/>
      <x:c r="G530" s="9"/>
      <x:c r="H530" s="9"/>
      <x:c r="I530" s="9"/>
      <x:c r="J530" s="9"/>
      <x:c r="K530" s="9"/>
      <x:c r="L530" s="9"/>
      <x:c r="M530" s="9"/>
      <x:c r="N530" s="9"/>
      <x:c r="O530" s="9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  <x:c r="AA530" s="9"/>
      <x:c r="AB530" s="9"/>
      <x:c r="AC530" s="9"/>
      <x:c r="AD530" s="9"/>
      <x:c r="AE530" s="2"/>
      <x:c r="AF530" s="9"/>
      <x:c r="AG530" s="9"/>
      <x:c r="AH530" s="2"/>
    </x:row>
    <x:row r="531" ht="14.25" customHeight="1">
      <x:c r="A531" s="2"/>
      <x:c r="B531" s="9"/>
      <x:c r="C531" s="9"/>
      <x:c r="D531" s="9"/>
      <x:c r="E531" s="9"/>
      <x:c r="F531" s="9"/>
      <x:c r="G531" s="9"/>
      <x:c r="H531" s="9"/>
      <x:c r="I531" s="9"/>
      <x:c r="J531" s="9"/>
      <x:c r="K531" s="9"/>
      <x:c r="L531" s="9"/>
      <x:c r="M531" s="9"/>
      <x:c r="N531" s="9"/>
      <x:c r="O531" s="9"/>
      <x:c r="P531" s="9"/>
      <x:c r="Q531" s="9"/>
      <x:c r="R531" s="9"/>
      <x:c r="S531" s="9"/>
      <x:c r="T531" s="9"/>
      <x:c r="U531" s="9"/>
      <x:c r="V531" s="9"/>
      <x:c r="W531" s="9"/>
      <x:c r="X531" s="9"/>
      <x:c r="Y531" s="9"/>
      <x:c r="Z531" s="9"/>
      <x:c r="AA531" s="9"/>
      <x:c r="AB531" s="9"/>
      <x:c r="AC531" s="9"/>
      <x:c r="AD531" s="9"/>
      <x:c r="AE531" s="2"/>
      <x:c r="AF531" s="9"/>
      <x:c r="AG531" s="9"/>
      <x:c r="AH531" s="2"/>
    </x:row>
    <x:row r="532" ht="14.25" customHeight="1">
      <x:c r="A532" s="2"/>
      <x:c r="B532" s="9"/>
      <x:c r="C532" s="9"/>
      <x:c r="D532" s="9"/>
      <x:c r="E532" s="9"/>
      <x:c r="F532" s="9"/>
      <x:c r="G532" s="9"/>
      <x:c r="H532" s="9"/>
      <x:c r="I532" s="9"/>
      <x:c r="J532" s="9"/>
      <x:c r="K532" s="9"/>
      <x:c r="L532" s="9"/>
      <x:c r="M532" s="9"/>
      <x:c r="N532" s="9"/>
      <x:c r="O532" s="9"/>
      <x:c r="P532" s="9"/>
      <x:c r="Q532" s="9"/>
      <x:c r="R532" s="9"/>
      <x:c r="S532" s="9"/>
      <x:c r="T532" s="9"/>
      <x:c r="U532" s="9"/>
      <x:c r="V532" s="9"/>
      <x:c r="W532" s="9"/>
      <x:c r="X532" s="9"/>
      <x:c r="Y532" s="9"/>
      <x:c r="Z532" s="9"/>
      <x:c r="AA532" s="9"/>
      <x:c r="AB532" s="9"/>
      <x:c r="AC532" s="9"/>
      <x:c r="AD532" s="9"/>
      <x:c r="AE532" s="2"/>
      <x:c r="AF532" s="9"/>
      <x:c r="AG532" s="9"/>
      <x:c r="AH532" s="2"/>
    </x:row>
    <x:row r="533" ht="14.25" customHeight="1">
      <x:c r="A533" s="2"/>
      <x:c r="B533" s="9"/>
      <x:c r="C533" s="9"/>
      <x:c r="D533" s="9"/>
      <x:c r="E533" s="9"/>
      <x:c r="F533" s="9"/>
      <x:c r="G533" s="9"/>
      <x:c r="H533" s="9"/>
      <x:c r="I533" s="9"/>
      <x:c r="J533" s="9"/>
      <x:c r="K533" s="9"/>
      <x:c r="L533" s="9"/>
      <x:c r="M533" s="9"/>
      <x:c r="N533" s="9"/>
      <x:c r="O533" s="9"/>
      <x:c r="P533" s="9"/>
      <x:c r="Q533" s="9"/>
      <x:c r="R533" s="9"/>
      <x:c r="S533" s="9"/>
      <x:c r="T533" s="9"/>
      <x:c r="U533" s="9"/>
      <x:c r="V533" s="9"/>
      <x:c r="W533" s="9"/>
      <x:c r="X533" s="9"/>
      <x:c r="Y533" s="9"/>
      <x:c r="Z533" s="9"/>
      <x:c r="AA533" s="9"/>
      <x:c r="AB533" s="9"/>
      <x:c r="AC533" s="9"/>
      <x:c r="AD533" s="9"/>
      <x:c r="AE533" s="2"/>
      <x:c r="AF533" s="9"/>
      <x:c r="AG533" s="9"/>
      <x:c r="AH533" s="2"/>
    </x:row>
    <x:row r="534" ht="14.25" customHeight="1">
      <x:c r="A534" s="2"/>
      <x:c r="B534" s="9"/>
      <x:c r="C534" s="9"/>
      <x:c r="D534" s="9"/>
      <x:c r="E534" s="9"/>
      <x:c r="F534" s="9"/>
      <x:c r="G534" s="9"/>
      <x:c r="H534" s="9"/>
      <x:c r="I534" s="9"/>
      <x:c r="J534" s="9"/>
      <x:c r="K534" s="9"/>
      <x:c r="L534" s="9"/>
      <x:c r="M534" s="9"/>
      <x:c r="N534" s="9"/>
      <x:c r="O534" s="9"/>
      <x:c r="P534" s="9"/>
      <x:c r="Q534" s="9"/>
      <x:c r="R534" s="9"/>
      <x:c r="S534" s="9"/>
      <x:c r="T534" s="9"/>
      <x:c r="U534" s="9"/>
      <x:c r="V534" s="9"/>
      <x:c r="W534" s="9"/>
      <x:c r="X534" s="9"/>
      <x:c r="Y534" s="9"/>
      <x:c r="Z534" s="9"/>
      <x:c r="AA534" s="9"/>
      <x:c r="AB534" s="9"/>
      <x:c r="AC534" s="9"/>
      <x:c r="AD534" s="9"/>
      <x:c r="AE534" s="2"/>
      <x:c r="AF534" s="9"/>
      <x:c r="AG534" s="9"/>
      <x:c r="AH534" s="2"/>
    </x:row>
    <x:row r="535" ht="14.25" customHeight="1">
      <x:c r="A535" s="2"/>
      <x:c r="B535" s="9"/>
      <x:c r="C535" s="9"/>
      <x:c r="D535" s="9"/>
      <x:c r="E535" s="9"/>
      <x:c r="F535" s="9"/>
      <x:c r="G535" s="9"/>
      <x:c r="H535" s="9"/>
      <x:c r="I535" s="9"/>
      <x:c r="J535" s="9"/>
      <x:c r="K535" s="9"/>
      <x:c r="L535" s="9"/>
      <x:c r="M535" s="9"/>
      <x:c r="N535" s="9"/>
      <x:c r="O535" s="9"/>
      <x:c r="P535" s="9"/>
      <x:c r="Q535" s="9"/>
      <x:c r="R535" s="9"/>
      <x:c r="S535" s="9"/>
      <x:c r="T535" s="9"/>
      <x:c r="U535" s="9"/>
      <x:c r="V535" s="9"/>
      <x:c r="W535" s="9"/>
      <x:c r="X535" s="9"/>
      <x:c r="Y535" s="9"/>
      <x:c r="Z535" s="9"/>
      <x:c r="AA535" s="9"/>
      <x:c r="AB535" s="9"/>
      <x:c r="AC535" s="9"/>
      <x:c r="AD535" s="9"/>
      <x:c r="AE535" s="2"/>
      <x:c r="AF535" s="9"/>
      <x:c r="AG535" s="9"/>
      <x:c r="AH535" s="2"/>
    </x:row>
    <x:row r="536" ht="14.25" customHeight="1">
      <x:c r="A536" s="2"/>
      <x:c r="B536" s="9"/>
      <x:c r="C536" s="9"/>
      <x:c r="D536" s="9"/>
      <x:c r="E536" s="9"/>
      <x:c r="F536" s="9"/>
      <x:c r="G536" s="9"/>
      <x:c r="H536" s="9"/>
      <x:c r="I536" s="9"/>
      <x:c r="J536" s="9"/>
      <x:c r="K536" s="9"/>
      <x:c r="L536" s="9"/>
      <x:c r="M536" s="9"/>
      <x:c r="N536" s="9"/>
      <x:c r="O536" s="9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  <x:c r="AA536" s="9"/>
      <x:c r="AB536" s="9"/>
      <x:c r="AC536" s="9"/>
      <x:c r="AD536" s="9"/>
      <x:c r="AE536" s="2"/>
      <x:c r="AF536" s="9"/>
      <x:c r="AG536" s="9"/>
      <x:c r="AH536" s="2"/>
    </x:row>
    <x:row r="537" ht="14.25" customHeight="1">
      <x:c r="A537" s="2"/>
      <x:c r="B537" s="9"/>
      <x:c r="C537" s="9"/>
      <x:c r="D537" s="9"/>
      <x:c r="E537" s="9"/>
      <x:c r="F537" s="9"/>
      <x:c r="G537" s="9"/>
      <x:c r="H537" s="9"/>
      <x:c r="I537" s="9"/>
      <x:c r="J537" s="9"/>
      <x:c r="K537" s="9"/>
      <x:c r="L537" s="9"/>
      <x:c r="M537" s="9"/>
      <x:c r="N537" s="9"/>
      <x:c r="O537" s="9"/>
      <x:c r="P537" s="9"/>
      <x:c r="Q537" s="9"/>
      <x:c r="R537" s="9"/>
      <x:c r="S537" s="9"/>
      <x:c r="T537" s="9"/>
      <x:c r="U537" s="9"/>
      <x:c r="V537" s="9"/>
      <x:c r="W537" s="9"/>
      <x:c r="X537" s="9"/>
      <x:c r="Y537" s="9"/>
      <x:c r="Z537" s="9"/>
      <x:c r="AA537" s="9"/>
      <x:c r="AB537" s="9"/>
      <x:c r="AC537" s="9"/>
      <x:c r="AD537" s="9"/>
      <x:c r="AE537" s="2"/>
      <x:c r="AF537" s="9"/>
      <x:c r="AG537" s="9"/>
      <x:c r="AH537" s="2"/>
    </x:row>
    <x:row r="538" ht="14.25" customHeight="1">
      <x:c r="A538" s="2"/>
      <x:c r="B538" s="9"/>
      <x:c r="C538" s="9"/>
      <x:c r="D538" s="9"/>
      <x:c r="E538" s="9"/>
      <x:c r="F538" s="9"/>
      <x:c r="G538" s="9"/>
      <x:c r="H538" s="9"/>
      <x:c r="I538" s="9"/>
      <x:c r="J538" s="9"/>
      <x:c r="K538" s="9"/>
      <x:c r="L538" s="9"/>
      <x:c r="M538" s="9"/>
      <x:c r="N538" s="9"/>
      <x:c r="O538" s="9"/>
      <x:c r="P538" s="9"/>
      <x:c r="Q538" s="9"/>
      <x:c r="R538" s="9"/>
      <x:c r="S538" s="9"/>
      <x:c r="T538" s="9"/>
      <x:c r="U538" s="9"/>
      <x:c r="V538" s="9"/>
      <x:c r="W538" s="9"/>
      <x:c r="X538" s="9"/>
      <x:c r="Y538" s="9"/>
      <x:c r="Z538" s="9"/>
      <x:c r="AA538" s="9"/>
      <x:c r="AB538" s="9"/>
      <x:c r="AC538" s="9"/>
      <x:c r="AD538" s="9"/>
      <x:c r="AE538" s="2"/>
      <x:c r="AF538" s="9"/>
      <x:c r="AG538" s="9"/>
      <x:c r="AH538" s="2"/>
    </x:row>
    <x:row r="539" ht="14.25" customHeight="1">
      <x:c r="A539" s="2"/>
      <x:c r="B539" s="9"/>
      <x:c r="C539" s="9"/>
      <x:c r="D539" s="9"/>
      <x:c r="E539" s="9"/>
      <x:c r="F539" s="9"/>
      <x:c r="G539" s="9"/>
      <x:c r="H539" s="9"/>
      <x:c r="I539" s="9"/>
      <x:c r="J539" s="9"/>
      <x:c r="K539" s="9"/>
      <x:c r="L539" s="9"/>
      <x:c r="M539" s="9"/>
      <x:c r="N539" s="9"/>
      <x:c r="O539" s="9"/>
      <x:c r="P539" s="9"/>
      <x:c r="Q539" s="9"/>
      <x:c r="R539" s="9"/>
      <x:c r="S539" s="9"/>
      <x:c r="T539" s="9"/>
      <x:c r="U539" s="9"/>
      <x:c r="V539" s="9"/>
      <x:c r="W539" s="9"/>
      <x:c r="X539" s="9"/>
      <x:c r="Y539" s="9"/>
      <x:c r="Z539" s="9"/>
      <x:c r="AA539" s="9"/>
      <x:c r="AB539" s="9"/>
      <x:c r="AC539" s="9"/>
      <x:c r="AD539" s="9"/>
      <x:c r="AE539" s="2"/>
      <x:c r="AF539" s="9"/>
      <x:c r="AG539" s="9"/>
      <x:c r="AH539" s="2"/>
    </x:row>
    <x:row r="540" ht="14.25" customHeight="1">
      <x:c r="A540" s="2"/>
      <x:c r="B540" s="9"/>
      <x:c r="C540" s="9"/>
      <x:c r="D540" s="9"/>
      <x:c r="E540" s="9"/>
      <x:c r="F540" s="9"/>
      <x:c r="G540" s="9"/>
      <x:c r="H540" s="9"/>
      <x:c r="I540" s="9"/>
      <x:c r="J540" s="9"/>
      <x:c r="K540" s="9"/>
      <x:c r="L540" s="9"/>
      <x:c r="M540" s="9"/>
      <x:c r="N540" s="9"/>
      <x:c r="O540" s="9"/>
      <x:c r="P540" s="9"/>
      <x:c r="Q540" s="9"/>
      <x:c r="R540" s="9"/>
      <x:c r="S540" s="9"/>
      <x:c r="T540" s="9"/>
      <x:c r="U540" s="9"/>
      <x:c r="V540" s="9"/>
      <x:c r="W540" s="9"/>
      <x:c r="X540" s="9"/>
      <x:c r="Y540" s="9"/>
      <x:c r="Z540" s="9"/>
      <x:c r="AA540" s="9"/>
      <x:c r="AB540" s="9"/>
      <x:c r="AC540" s="9"/>
      <x:c r="AD540" s="9"/>
      <x:c r="AE540" s="2"/>
      <x:c r="AF540" s="9"/>
      <x:c r="AG540" s="9"/>
      <x:c r="AH540" s="2"/>
    </x:row>
    <x:row r="541" ht="14.25" customHeight="1">
      <x:c r="A541" s="2"/>
      <x:c r="B541" s="9"/>
      <x:c r="C541" s="9"/>
      <x:c r="D541" s="9"/>
      <x:c r="E541" s="9"/>
      <x:c r="F541" s="9"/>
      <x:c r="G541" s="9"/>
      <x:c r="H541" s="9"/>
      <x:c r="I541" s="9"/>
      <x:c r="J541" s="9"/>
      <x:c r="K541" s="9"/>
      <x:c r="L541" s="9"/>
      <x:c r="M541" s="9"/>
      <x:c r="N541" s="9"/>
      <x:c r="O541" s="9"/>
      <x:c r="P541" s="9"/>
      <x:c r="Q541" s="9"/>
      <x:c r="R541" s="9"/>
      <x:c r="S541" s="9"/>
      <x:c r="T541" s="9"/>
      <x:c r="U541" s="9"/>
      <x:c r="V541" s="9"/>
      <x:c r="W541" s="9"/>
      <x:c r="X541" s="9"/>
      <x:c r="Y541" s="9"/>
      <x:c r="Z541" s="9"/>
      <x:c r="AA541" s="9"/>
      <x:c r="AB541" s="9"/>
      <x:c r="AC541" s="9"/>
      <x:c r="AD541" s="9"/>
      <x:c r="AE541" s="2"/>
      <x:c r="AF541" s="9"/>
      <x:c r="AG541" s="9"/>
      <x:c r="AH541" s="2"/>
    </x:row>
    <x:row r="542" ht="14.25" customHeight="1">
      <x:c r="A542" s="2"/>
      <x:c r="B542" s="9"/>
      <x:c r="C542" s="9"/>
      <x:c r="D542" s="9"/>
      <x:c r="E542" s="9"/>
      <x:c r="F542" s="9"/>
      <x:c r="G542" s="9"/>
      <x:c r="H542" s="9"/>
      <x:c r="I542" s="9"/>
      <x:c r="J542" s="9"/>
      <x:c r="K542" s="9"/>
      <x:c r="L542" s="9"/>
      <x:c r="M542" s="9"/>
      <x:c r="N542" s="9"/>
      <x:c r="O542" s="9"/>
      <x:c r="P542" s="9"/>
      <x:c r="Q542" s="9"/>
      <x:c r="R542" s="9"/>
      <x:c r="S542" s="9"/>
      <x:c r="T542" s="9"/>
      <x:c r="U542" s="9"/>
      <x:c r="V542" s="9"/>
      <x:c r="W542" s="9"/>
      <x:c r="X542" s="9"/>
      <x:c r="Y542" s="9"/>
      <x:c r="Z542" s="9"/>
      <x:c r="AA542" s="9"/>
      <x:c r="AB542" s="9"/>
      <x:c r="AC542" s="9"/>
      <x:c r="AD542" s="9"/>
      <x:c r="AE542" s="2"/>
      <x:c r="AF542" s="9"/>
      <x:c r="AG542" s="9"/>
      <x:c r="AH542" s="2"/>
    </x:row>
    <x:row r="543" ht="14.25" customHeight="1">
      <x:c r="A543" s="2"/>
      <x:c r="B543" s="9"/>
      <x:c r="C543" s="9"/>
      <x:c r="D543" s="9"/>
      <x:c r="E543" s="9"/>
      <x:c r="F543" s="9"/>
      <x:c r="G543" s="9"/>
      <x:c r="H543" s="9"/>
      <x:c r="I543" s="9"/>
      <x:c r="J543" s="9"/>
      <x:c r="K543" s="9"/>
      <x:c r="L543" s="9"/>
      <x:c r="M543" s="9"/>
      <x:c r="N543" s="9"/>
      <x:c r="O543" s="9"/>
      <x:c r="P543" s="9"/>
      <x:c r="Q543" s="9"/>
      <x:c r="R543" s="9"/>
      <x:c r="S543" s="9"/>
      <x:c r="T543" s="9"/>
      <x:c r="U543" s="9"/>
      <x:c r="V543" s="9"/>
      <x:c r="W543" s="9"/>
      <x:c r="X543" s="9"/>
      <x:c r="Y543" s="9"/>
      <x:c r="Z543" s="9"/>
      <x:c r="AA543" s="9"/>
      <x:c r="AB543" s="9"/>
      <x:c r="AC543" s="9"/>
      <x:c r="AD543" s="9"/>
      <x:c r="AE543" s="2"/>
      <x:c r="AF543" s="9"/>
      <x:c r="AG543" s="9"/>
      <x:c r="AH543" s="2"/>
    </x:row>
    <x:row r="544" ht="14.25" customHeight="1">
      <x:c r="A544" s="2"/>
      <x:c r="B544" s="9"/>
      <x:c r="C544" s="9"/>
      <x:c r="D544" s="9"/>
      <x:c r="E544" s="9"/>
      <x:c r="F544" s="9"/>
      <x:c r="G544" s="9"/>
      <x:c r="H544" s="9"/>
      <x:c r="I544" s="9"/>
      <x:c r="J544" s="9"/>
      <x:c r="K544" s="9"/>
      <x:c r="L544" s="9"/>
      <x:c r="M544" s="9"/>
      <x:c r="N544" s="9"/>
      <x:c r="O544" s="9"/>
      <x:c r="P544" s="9"/>
      <x:c r="Q544" s="9"/>
      <x:c r="R544" s="9"/>
      <x:c r="S544" s="9"/>
      <x:c r="T544" s="9"/>
      <x:c r="U544" s="9"/>
      <x:c r="V544" s="9"/>
      <x:c r="W544" s="9"/>
      <x:c r="X544" s="9"/>
      <x:c r="Y544" s="9"/>
      <x:c r="Z544" s="9"/>
      <x:c r="AA544" s="9"/>
      <x:c r="AB544" s="9"/>
      <x:c r="AC544" s="9"/>
      <x:c r="AD544" s="9"/>
      <x:c r="AE544" s="2"/>
      <x:c r="AF544" s="9"/>
      <x:c r="AG544" s="9"/>
      <x:c r="AH544" s="2"/>
    </x:row>
    <x:row r="545" ht="14.25" customHeight="1">
      <x:c r="A545" s="2"/>
      <x:c r="B545" s="9"/>
      <x:c r="C545" s="9"/>
      <x:c r="D545" s="9"/>
      <x:c r="E545" s="9"/>
      <x:c r="F545" s="9"/>
      <x:c r="G545" s="9"/>
      <x:c r="H545" s="9"/>
      <x:c r="I545" s="9"/>
      <x:c r="J545" s="9"/>
      <x:c r="K545" s="9"/>
      <x:c r="L545" s="9"/>
      <x:c r="M545" s="9"/>
      <x:c r="N545" s="9"/>
      <x:c r="O545" s="9"/>
      <x:c r="P545" s="9"/>
      <x:c r="Q545" s="9"/>
      <x:c r="R545" s="9"/>
      <x:c r="S545" s="9"/>
      <x:c r="T545" s="9"/>
      <x:c r="U545" s="9"/>
      <x:c r="V545" s="9"/>
      <x:c r="W545" s="9"/>
      <x:c r="X545" s="9"/>
      <x:c r="Y545" s="9"/>
      <x:c r="Z545" s="9"/>
      <x:c r="AA545" s="9"/>
      <x:c r="AB545" s="9"/>
      <x:c r="AC545" s="9"/>
      <x:c r="AD545" s="9"/>
      <x:c r="AE545" s="2"/>
      <x:c r="AF545" s="9"/>
      <x:c r="AG545" s="9"/>
      <x:c r="AH545" s="2"/>
    </x:row>
    <x:row r="546" ht="14.25" customHeight="1">
      <x:c r="A546" s="2"/>
      <x:c r="B546" s="9"/>
      <x:c r="C546" s="9"/>
      <x:c r="D546" s="9"/>
      <x:c r="E546" s="9"/>
      <x:c r="F546" s="9"/>
      <x:c r="G546" s="9"/>
      <x:c r="H546" s="9"/>
      <x:c r="I546" s="9"/>
      <x:c r="J546" s="9"/>
      <x:c r="K546" s="9"/>
      <x:c r="L546" s="9"/>
      <x:c r="M546" s="9"/>
      <x:c r="N546" s="9"/>
      <x:c r="O546" s="9"/>
      <x:c r="P546" s="9"/>
      <x:c r="Q546" s="9"/>
      <x:c r="R546" s="9"/>
      <x:c r="S546" s="9"/>
      <x:c r="T546" s="9"/>
      <x:c r="U546" s="9"/>
      <x:c r="V546" s="9"/>
      <x:c r="W546" s="9"/>
      <x:c r="X546" s="9"/>
      <x:c r="Y546" s="9"/>
      <x:c r="Z546" s="9"/>
      <x:c r="AA546" s="9"/>
      <x:c r="AB546" s="9"/>
      <x:c r="AC546" s="9"/>
      <x:c r="AD546" s="9"/>
      <x:c r="AE546" s="2"/>
      <x:c r="AF546" s="9"/>
      <x:c r="AG546" s="9"/>
      <x:c r="AH546" s="2"/>
    </x:row>
    <x:row r="547" ht="14.25" customHeight="1">
      <x:c r="A547" s="2"/>
      <x:c r="B547" s="9"/>
      <x:c r="C547" s="9"/>
      <x:c r="D547" s="9"/>
      <x:c r="E547" s="9"/>
      <x:c r="F547" s="9"/>
      <x:c r="G547" s="9"/>
      <x:c r="H547" s="9"/>
      <x:c r="I547" s="9"/>
      <x:c r="J547" s="9"/>
      <x:c r="K547" s="9"/>
      <x:c r="L547" s="9"/>
      <x:c r="M547" s="9"/>
      <x:c r="N547" s="9"/>
      <x:c r="O547" s="9"/>
      <x:c r="P547" s="9"/>
      <x:c r="Q547" s="9"/>
      <x:c r="R547" s="9"/>
      <x:c r="S547" s="9"/>
      <x:c r="T547" s="9"/>
      <x:c r="U547" s="9"/>
      <x:c r="V547" s="9"/>
      <x:c r="W547" s="9"/>
      <x:c r="X547" s="9"/>
      <x:c r="Y547" s="9"/>
      <x:c r="Z547" s="9"/>
      <x:c r="AA547" s="9"/>
      <x:c r="AB547" s="9"/>
      <x:c r="AC547" s="9"/>
      <x:c r="AD547" s="9"/>
      <x:c r="AE547" s="2"/>
      <x:c r="AF547" s="9"/>
      <x:c r="AG547" s="9"/>
      <x:c r="AH547" s="2"/>
    </x:row>
    <x:row r="548" ht="14.25" customHeight="1">
      <x:c r="A548" s="2"/>
      <x:c r="B548" s="9"/>
      <x:c r="C548" s="9"/>
      <x:c r="D548" s="9"/>
      <x:c r="E548" s="9"/>
      <x:c r="F548" s="9"/>
      <x:c r="G548" s="9"/>
      <x:c r="H548" s="9"/>
      <x:c r="I548" s="9"/>
      <x:c r="J548" s="9"/>
      <x:c r="K548" s="9"/>
      <x:c r="L548" s="9"/>
      <x:c r="M548" s="9"/>
      <x:c r="N548" s="9"/>
      <x:c r="O548" s="9"/>
      <x:c r="P548" s="9"/>
      <x:c r="Q548" s="9"/>
      <x:c r="R548" s="9"/>
      <x:c r="S548" s="9"/>
      <x:c r="T548" s="9"/>
      <x:c r="U548" s="9"/>
      <x:c r="V548" s="9"/>
      <x:c r="W548" s="9"/>
      <x:c r="X548" s="9"/>
      <x:c r="Y548" s="9"/>
      <x:c r="Z548" s="9"/>
      <x:c r="AA548" s="9"/>
      <x:c r="AB548" s="9"/>
      <x:c r="AC548" s="9"/>
      <x:c r="AD548" s="9"/>
      <x:c r="AE548" s="2"/>
      <x:c r="AF548" s="9"/>
      <x:c r="AG548" s="9"/>
      <x:c r="AH548" s="2"/>
    </x:row>
    <x:row r="549" ht="14.25" customHeight="1">
      <x:c r="A549" s="2"/>
      <x:c r="B549" s="9"/>
      <x:c r="C549" s="9"/>
      <x:c r="D549" s="9"/>
      <x:c r="E549" s="9"/>
      <x:c r="F549" s="9"/>
      <x:c r="G549" s="9"/>
      <x:c r="H549" s="9"/>
      <x:c r="I549" s="9"/>
      <x:c r="J549" s="9"/>
      <x:c r="K549" s="9"/>
      <x:c r="L549" s="9"/>
      <x:c r="M549" s="9"/>
      <x:c r="N549" s="9"/>
      <x:c r="O549" s="9"/>
      <x:c r="P549" s="9"/>
      <x:c r="Q549" s="9"/>
      <x:c r="R549" s="9"/>
      <x:c r="S549" s="9"/>
      <x:c r="T549" s="9"/>
      <x:c r="U549" s="9"/>
      <x:c r="V549" s="9"/>
      <x:c r="W549" s="9"/>
      <x:c r="X549" s="9"/>
      <x:c r="Y549" s="9"/>
      <x:c r="Z549" s="9"/>
      <x:c r="AA549" s="9"/>
      <x:c r="AB549" s="9"/>
      <x:c r="AC549" s="9"/>
      <x:c r="AD549" s="9"/>
      <x:c r="AE549" s="2"/>
      <x:c r="AF549" s="9"/>
      <x:c r="AG549" s="9"/>
      <x:c r="AH549" s="2"/>
    </x:row>
    <x:row r="550" ht="14.25" customHeight="1">
      <x:c r="A550" s="2"/>
      <x:c r="B550" s="9"/>
      <x:c r="C550" s="9"/>
      <x:c r="D550" s="9"/>
      <x:c r="E550" s="9"/>
      <x:c r="F550" s="9"/>
      <x:c r="G550" s="9"/>
      <x:c r="H550" s="9"/>
      <x:c r="I550" s="9"/>
      <x:c r="J550" s="9"/>
      <x:c r="K550" s="9"/>
      <x:c r="L550" s="9"/>
      <x:c r="M550" s="9"/>
      <x:c r="N550" s="9"/>
      <x:c r="O550" s="9"/>
      <x:c r="P550" s="9"/>
      <x:c r="Q550" s="9"/>
      <x:c r="R550" s="9"/>
      <x:c r="S550" s="9"/>
      <x:c r="T550" s="9"/>
      <x:c r="U550" s="9"/>
      <x:c r="V550" s="9"/>
      <x:c r="W550" s="9"/>
      <x:c r="X550" s="9"/>
      <x:c r="Y550" s="9"/>
      <x:c r="Z550" s="9"/>
      <x:c r="AA550" s="9"/>
      <x:c r="AB550" s="9"/>
      <x:c r="AC550" s="9"/>
      <x:c r="AD550" s="9"/>
      <x:c r="AE550" s="2"/>
      <x:c r="AF550" s="9"/>
      <x:c r="AG550" s="9"/>
      <x:c r="AH550" s="2"/>
    </x:row>
    <x:row r="551" ht="14.25" customHeight="1">
      <x:c r="A551" s="2"/>
      <x:c r="B551" s="9"/>
      <x:c r="C551" s="9"/>
      <x:c r="D551" s="9"/>
      <x:c r="E551" s="9"/>
      <x:c r="F551" s="9"/>
      <x:c r="G551" s="9"/>
      <x:c r="H551" s="9"/>
      <x:c r="I551" s="9"/>
      <x:c r="J551" s="9"/>
      <x:c r="K551" s="9"/>
      <x:c r="L551" s="9"/>
      <x:c r="M551" s="9"/>
      <x:c r="N551" s="9"/>
      <x:c r="O551" s="9"/>
      <x:c r="P551" s="9"/>
      <x:c r="Q551" s="9"/>
      <x:c r="R551" s="9"/>
      <x:c r="S551" s="9"/>
      <x:c r="T551" s="9"/>
      <x:c r="U551" s="9"/>
      <x:c r="V551" s="9"/>
      <x:c r="W551" s="9"/>
      <x:c r="X551" s="9"/>
      <x:c r="Y551" s="9"/>
      <x:c r="Z551" s="9"/>
      <x:c r="AA551" s="9"/>
      <x:c r="AB551" s="9"/>
      <x:c r="AC551" s="9"/>
      <x:c r="AD551" s="9"/>
      <x:c r="AE551" s="2"/>
      <x:c r="AF551" s="9"/>
      <x:c r="AG551" s="9"/>
      <x:c r="AH551" s="2"/>
    </x:row>
    <x:row r="552" ht="14.25" customHeight="1">
      <x:c r="A552" s="2"/>
      <x:c r="B552" s="9"/>
      <x:c r="C552" s="9"/>
      <x:c r="D552" s="9"/>
      <x:c r="E552" s="9"/>
      <x:c r="F552" s="9"/>
      <x:c r="G552" s="9"/>
      <x:c r="H552" s="9"/>
      <x:c r="I552" s="9"/>
      <x:c r="J552" s="9"/>
      <x:c r="K552" s="9"/>
      <x:c r="L552" s="9"/>
      <x:c r="M552" s="9"/>
      <x:c r="N552" s="9"/>
      <x:c r="O552" s="9"/>
      <x:c r="P552" s="9"/>
      <x:c r="Q552" s="9"/>
      <x:c r="R552" s="9"/>
      <x:c r="S552" s="9"/>
      <x:c r="T552" s="9"/>
      <x:c r="U552" s="9"/>
      <x:c r="V552" s="9"/>
      <x:c r="W552" s="9"/>
      <x:c r="X552" s="9"/>
      <x:c r="Y552" s="9"/>
      <x:c r="Z552" s="9"/>
      <x:c r="AA552" s="9"/>
      <x:c r="AB552" s="9"/>
      <x:c r="AC552" s="9"/>
      <x:c r="AD552" s="9"/>
      <x:c r="AE552" s="2"/>
      <x:c r="AF552" s="9"/>
      <x:c r="AG552" s="9"/>
      <x:c r="AH552" s="2"/>
    </x:row>
    <x:row r="553" ht="14.25" customHeight="1">
      <x:c r="A553" s="2"/>
      <x:c r="B553" s="9"/>
      <x:c r="C553" s="9"/>
      <x:c r="D553" s="9"/>
      <x:c r="E553" s="9"/>
      <x:c r="F553" s="9"/>
      <x:c r="G553" s="9"/>
      <x:c r="H553" s="9"/>
      <x:c r="I553" s="9"/>
      <x:c r="J553" s="9"/>
      <x:c r="K553" s="9"/>
      <x:c r="L553" s="9"/>
      <x:c r="M553" s="9"/>
      <x:c r="N553" s="9"/>
      <x:c r="O553" s="9"/>
      <x:c r="P553" s="9"/>
      <x:c r="Q553" s="9"/>
      <x:c r="R553" s="9"/>
      <x:c r="S553" s="9"/>
      <x:c r="T553" s="9"/>
      <x:c r="U553" s="9"/>
      <x:c r="V553" s="9"/>
      <x:c r="W553" s="9"/>
      <x:c r="X553" s="9"/>
      <x:c r="Y553" s="9"/>
      <x:c r="Z553" s="9"/>
      <x:c r="AA553" s="9"/>
      <x:c r="AB553" s="9"/>
      <x:c r="AC553" s="9"/>
      <x:c r="AD553" s="9"/>
      <x:c r="AE553" s="2"/>
      <x:c r="AF553" s="9"/>
      <x:c r="AG553" s="9"/>
      <x:c r="AH553" s="2"/>
    </x:row>
    <x:row r="554" ht="14.25" customHeight="1">
      <x:c r="A554" s="2"/>
      <x:c r="B554" s="9"/>
      <x:c r="C554" s="9"/>
      <x:c r="D554" s="9"/>
      <x:c r="E554" s="9"/>
      <x:c r="F554" s="9"/>
      <x:c r="G554" s="9"/>
      <x:c r="H554" s="9"/>
      <x:c r="I554" s="9"/>
      <x:c r="J554" s="9"/>
      <x:c r="K554" s="9"/>
      <x:c r="L554" s="9"/>
      <x:c r="M554" s="9"/>
      <x:c r="N554" s="9"/>
      <x:c r="O554" s="9"/>
      <x:c r="P554" s="9"/>
      <x:c r="Q554" s="9"/>
      <x:c r="R554" s="9"/>
      <x:c r="S554" s="9"/>
      <x:c r="T554" s="9"/>
      <x:c r="U554" s="9"/>
      <x:c r="V554" s="9"/>
      <x:c r="W554" s="9"/>
      <x:c r="X554" s="9"/>
      <x:c r="Y554" s="9"/>
      <x:c r="Z554" s="9"/>
      <x:c r="AA554" s="9"/>
      <x:c r="AB554" s="9"/>
      <x:c r="AC554" s="9"/>
      <x:c r="AD554" s="9"/>
      <x:c r="AE554" s="2"/>
      <x:c r="AF554" s="9"/>
      <x:c r="AG554" s="9"/>
      <x:c r="AH554" s="2"/>
    </x:row>
    <x:row r="555" ht="14.25" customHeight="1">
      <x:c r="A555" s="2"/>
      <x:c r="B555" s="9"/>
      <x:c r="C555" s="9"/>
      <x:c r="D555" s="9"/>
      <x:c r="E555" s="9"/>
      <x:c r="F555" s="9"/>
      <x:c r="G555" s="9"/>
      <x:c r="H555" s="9"/>
      <x:c r="I555" s="9"/>
      <x:c r="J555" s="9"/>
      <x:c r="K555" s="9"/>
      <x:c r="L555" s="9"/>
      <x:c r="M555" s="9"/>
      <x:c r="N555" s="9"/>
      <x:c r="O555" s="9"/>
      <x:c r="P555" s="9"/>
      <x:c r="Q555" s="9"/>
      <x:c r="R555" s="9"/>
      <x:c r="S555" s="9"/>
      <x:c r="T555" s="9"/>
      <x:c r="U555" s="9"/>
      <x:c r="V555" s="9"/>
      <x:c r="W555" s="9"/>
      <x:c r="X555" s="9"/>
      <x:c r="Y555" s="9"/>
      <x:c r="Z555" s="9"/>
      <x:c r="AA555" s="9"/>
      <x:c r="AB555" s="9"/>
      <x:c r="AC555" s="9"/>
      <x:c r="AD555" s="9"/>
      <x:c r="AE555" s="2"/>
      <x:c r="AF555" s="9"/>
      <x:c r="AG555" s="9"/>
      <x:c r="AH555" s="2"/>
    </x:row>
    <x:row r="556" ht="14.25" customHeight="1">
      <x:c r="A556" s="2"/>
      <x:c r="B556" s="9"/>
      <x:c r="C556" s="9"/>
      <x:c r="D556" s="9"/>
      <x:c r="E556" s="9"/>
      <x:c r="F556" s="9"/>
      <x:c r="G556" s="9"/>
      <x:c r="H556" s="9"/>
      <x:c r="I556" s="9"/>
      <x:c r="J556" s="9"/>
      <x:c r="K556" s="9"/>
      <x:c r="L556" s="9"/>
      <x:c r="M556" s="9"/>
      <x:c r="N556" s="9"/>
      <x:c r="O556" s="9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  <x:c r="AA556" s="9"/>
      <x:c r="AB556" s="9"/>
      <x:c r="AC556" s="9"/>
      <x:c r="AD556" s="9"/>
      <x:c r="AE556" s="2"/>
      <x:c r="AF556" s="9"/>
      <x:c r="AG556" s="9"/>
      <x:c r="AH556" s="2"/>
    </x:row>
    <x:row r="557" ht="14.25" customHeight="1">
      <x:c r="A557" s="2"/>
      <x:c r="B557" s="9"/>
      <x:c r="C557" s="9"/>
      <x:c r="D557" s="9"/>
      <x:c r="E557" s="9"/>
      <x:c r="F557" s="9"/>
      <x:c r="G557" s="9"/>
      <x:c r="H557" s="9"/>
      <x:c r="I557" s="9"/>
      <x:c r="J557" s="9"/>
      <x:c r="K557" s="9"/>
      <x:c r="L557" s="9"/>
      <x:c r="M557" s="9"/>
      <x:c r="N557" s="9"/>
      <x:c r="O557" s="9"/>
      <x:c r="P557" s="9"/>
      <x:c r="Q557" s="9"/>
      <x:c r="R557" s="9"/>
      <x:c r="S557" s="9"/>
      <x:c r="T557" s="9"/>
      <x:c r="U557" s="9"/>
      <x:c r="V557" s="9"/>
      <x:c r="W557" s="9"/>
      <x:c r="X557" s="9"/>
      <x:c r="Y557" s="9"/>
      <x:c r="Z557" s="9"/>
      <x:c r="AA557" s="9"/>
      <x:c r="AB557" s="9"/>
      <x:c r="AC557" s="9"/>
      <x:c r="AD557" s="9"/>
      <x:c r="AE557" s="2"/>
      <x:c r="AF557" s="9"/>
      <x:c r="AG557" s="9"/>
      <x:c r="AH557" s="2"/>
    </x:row>
    <x:row r="558" ht="14.25" customHeight="1">
      <x:c r="A558" s="2"/>
      <x:c r="B558" s="9"/>
      <x:c r="C558" s="9"/>
      <x:c r="D558" s="9"/>
      <x:c r="E558" s="9"/>
      <x:c r="F558" s="9"/>
      <x:c r="G558" s="9"/>
      <x:c r="H558" s="9"/>
      <x:c r="I558" s="9"/>
      <x:c r="J558" s="9"/>
      <x:c r="K558" s="9"/>
      <x:c r="L558" s="9"/>
      <x:c r="M558" s="9"/>
      <x:c r="N558" s="9"/>
      <x:c r="O558" s="9"/>
      <x:c r="P558" s="9"/>
      <x:c r="Q558" s="9"/>
      <x:c r="R558" s="9"/>
      <x:c r="S558" s="9"/>
      <x:c r="T558" s="9"/>
      <x:c r="U558" s="9"/>
      <x:c r="V558" s="9"/>
      <x:c r="W558" s="9"/>
      <x:c r="X558" s="9"/>
      <x:c r="Y558" s="9"/>
      <x:c r="Z558" s="9"/>
      <x:c r="AA558" s="9"/>
      <x:c r="AB558" s="9"/>
      <x:c r="AC558" s="9"/>
      <x:c r="AD558" s="9"/>
      <x:c r="AE558" s="2"/>
      <x:c r="AF558" s="9"/>
      <x:c r="AG558" s="9"/>
      <x:c r="AH558" s="2"/>
    </x:row>
    <x:row r="559" ht="14.25" customHeight="1">
      <x:c r="A559" s="2"/>
      <x:c r="B559" s="9"/>
      <x:c r="C559" s="9"/>
      <x:c r="D559" s="9"/>
      <x:c r="E559" s="9"/>
      <x:c r="F559" s="9"/>
      <x:c r="G559" s="9"/>
      <x:c r="H559" s="9"/>
      <x:c r="I559" s="9"/>
      <x:c r="J559" s="9"/>
      <x:c r="K559" s="9"/>
      <x:c r="L559" s="9"/>
      <x:c r="M559" s="9"/>
      <x:c r="N559" s="9"/>
      <x:c r="O559" s="9"/>
      <x:c r="P559" s="9"/>
      <x:c r="Q559" s="9"/>
      <x:c r="R559" s="9"/>
      <x:c r="S559" s="9"/>
      <x:c r="T559" s="9"/>
      <x:c r="U559" s="9"/>
      <x:c r="V559" s="9"/>
      <x:c r="W559" s="9"/>
      <x:c r="X559" s="9"/>
      <x:c r="Y559" s="9"/>
      <x:c r="Z559" s="9"/>
      <x:c r="AA559" s="9"/>
      <x:c r="AB559" s="9"/>
      <x:c r="AC559" s="9"/>
      <x:c r="AD559" s="9"/>
      <x:c r="AE559" s="2"/>
      <x:c r="AF559" s="9"/>
      <x:c r="AG559" s="9"/>
      <x:c r="AH559" s="2"/>
    </x:row>
    <x:row r="560" ht="14.25" customHeight="1">
      <x:c r="A560" s="2"/>
      <x:c r="B560" s="9"/>
      <x:c r="C560" s="9"/>
      <x:c r="D560" s="9"/>
      <x:c r="E560" s="9"/>
      <x:c r="F560" s="9"/>
      <x:c r="G560" s="9"/>
      <x:c r="H560" s="9"/>
      <x:c r="I560" s="9"/>
      <x:c r="J560" s="9"/>
      <x:c r="K560" s="9"/>
      <x:c r="L560" s="9"/>
      <x:c r="M560" s="9"/>
      <x:c r="N560" s="9"/>
      <x:c r="O560" s="9"/>
      <x:c r="P560" s="9"/>
      <x:c r="Q560" s="9"/>
      <x:c r="R560" s="9"/>
      <x:c r="S560" s="9"/>
      <x:c r="T560" s="9"/>
      <x:c r="U560" s="9"/>
      <x:c r="V560" s="9"/>
      <x:c r="W560" s="9"/>
      <x:c r="X560" s="9"/>
      <x:c r="Y560" s="9"/>
      <x:c r="Z560" s="9"/>
      <x:c r="AA560" s="9"/>
      <x:c r="AB560" s="9"/>
      <x:c r="AC560" s="9"/>
      <x:c r="AD560" s="9"/>
      <x:c r="AE560" s="2"/>
      <x:c r="AF560" s="9"/>
      <x:c r="AG560" s="9"/>
      <x:c r="AH560" s="2"/>
    </x:row>
    <x:row r="561" ht="14.25" customHeight="1">
      <x:c r="A561" s="2"/>
      <x:c r="B561" s="9"/>
      <x:c r="C561" s="9"/>
      <x:c r="D561" s="9"/>
      <x:c r="E561" s="9"/>
      <x:c r="F561" s="9"/>
      <x:c r="G561" s="9"/>
      <x:c r="H561" s="9"/>
      <x:c r="I561" s="9"/>
      <x:c r="J561" s="9"/>
      <x:c r="K561" s="9"/>
      <x:c r="L561" s="9"/>
      <x:c r="M561" s="9"/>
      <x:c r="N561" s="9"/>
      <x:c r="O561" s="9"/>
      <x:c r="P561" s="9"/>
      <x:c r="Q561" s="9"/>
      <x:c r="R561" s="9"/>
      <x:c r="S561" s="9"/>
      <x:c r="T561" s="9"/>
      <x:c r="U561" s="9"/>
      <x:c r="V561" s="9"/>
      <x:c r="W561" s="9"/>
      <x:c r="X561" s="9"/>
      <x:c r="Y561" s="9"/>
      <x:c r="Z561" s="9"/>
      <x:c r="AA561" s="9"/>
      <x:c r="AB561" s="9"/>
      <x:c r="AC561" s="9"/>
      <x:c r="AD561" s="9"/>
      <x:c r="AE561" s="2"/>
      <x:c r="AF561" s="9"/>
      <x:c r="AG561" s="9"/>
      <x:c r="AH561" s="2"/>
    </x:row>
    <x:row r="562" ht="14.25" customHeight="1">
      <x:c r="A562" s="2"/>
      <x:c r="B562" s="9"/>
      <x:c r="C562" s="9"/>
      <x:c r="D562" s="9"/>
      <x:c r="E562" s="9"/>
      <x:c r="F562" s="9"/>
      <x:c r="G562" s="9"/>
      <x:c r="H562" s="9"/>
      <x:c r="I562" s="9"/>
      <x:c r="J562" s="9"/>
      <x:c r="K562" s="9"/>
      <x:c r="L562" s="9"/>
      <x:c r="M562" s="9"/>
      <x:c r="N562" s="9"/>
      <x:c r="O562" s="9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  <x:c r="AA562" s="9"/>
      <x:c r="AB562" s="9"/>
      <x:c r="AC562" s="9"/>
      <x:c r="AD562" s="9"/>
      <x:c r="AE562" s="2"/>
      <x:c r="AF562" s="9"/>
      <x:c r="AG562" s="9"/>
      <x:c r="AH562" s="2"/>
    </x:row>
    <x:row r="563" ht="14.25" customHeight="1">
      <x:c r="A563" s="2"/>
      <x:c r="B563" s="9"/>
      <x:c r="C563" s="9"/>
      <x:c r="D563" s="9"/>
      <x:c r="E563" s="9"/>
      <x:c r="F563" s="9"/>
      <x:c r="G563" s="9"/>
      <x:c r="H563" s="9"/>
      <x:c r="I563" s="9"/>
      <x:c r="J563" s="9"/>
      <x:c r="K563" s="9"/>
      <x:c r="L563" s="9"/>
      <x:c r="M563" s="9"/>
      <x:c r="N563" s="9"/>
      <x:c r="O563" s="9"/>
      <x:c r="P563" s="9"/>
      <x:c r="Q563" s="9"/>
      <x:c r="R563" s="9"/>
      <x:c r="S563" s="9"/>
      <x:c r="T563" s="9"/>
      <x:c r="U563" s="9"/>
      <x:c r="V563" s="9"/>
      <x:c r="W563" s="9"/>
      <x:c r="X563" s="9"/>
      <x:c r="Y563" s="9"/>
      <x:c r="Z563" s="9"/>
      <x:c r="AA563" s="9"/>
      <x:c r="AB563" s="9"/>
      <x:c r="AC563" s="9"/>
      <x:c r="AD563" s="9"/>
      <x:c r="AE563" s="2"/>
      <x:c r="AF563" s="9"/>
      <x:c r="AG563" s="9"/>
      <x:c r="AH563" s="2"/>
    </x:row>
    <x:row r="564" ht="14.25" customHeight="1">
      <x:c r="A564" s="2"/>
      <x:c r="B564" s="9"/>
      <x:c r="C564" s="9"/>
      <x:c r="D564" s="9"/>
      <x:c r="E564" s="9"/>
      <x:c r="F564" s="9"/>
      <x:c r="G564" s="9"/>
      <x:c r="H564" s="9"/>
      <x:c r="I564" s="9"/>
      <x:c r="J564" s="9"/>
      <x:c r="K564" s="9"/>
      <x:c r="L564" s="9"/>
      <x:c r="M564" s="9"/>
      <x:c r="N564" s="9"/>
      <x:c r="O564" s="9"/>
      <x:c r="P564" s="9"/>
      <x:c r="Q564" s="9"/>
      <x:c r="R564" s="9"/>
      <x:c r="S564" s="9"/>
      <x:c r="T564" s="9"/>
      <x:c r="U564" s="9"/>
      <x:c r="V564" s="9"/>
      <x:c r="W564" s="9"/>
      <x:c r="X564" s="9"/>
      <x:c r="Y564" s="9"/>
      <x:c r="Z564" s="9"/>
      <x:c r="AA564" s="9"/>
      <x:c r="AB564" s="9"/>
      <x:c r="AC564" s="9"/>
      <x:c r="AD564" s="9"/>
      <x:c r="AE564" s="2"/>
      <x:c r="AF564" s="9"/>
      <x:c r="AG564" s="9"/>
      <x:c r="AH564" s="2"/>
    </x:row>
    <x:row r="565" ht="14.25" customHeight="1">
      <x:c r="A565" s="2"/>
      <x:c r="B565" s="9"/>
      <x:c r="C565" s="9"/>
      <x:c r="D565" s="9"/>
      <x:c r="E565" s="9"/>
      <x:c r="F565" s="9"/>
      <x:c r="G565" s="9"/>
      <x:c r="H565" s="9"/>
      <x:c r="I565" s="9"/>
      <x:c r="J565" s="9"/>
      <x:c r="K565" s="9"/>
      <x:c r="L565" s="9"/>
      <x:c r="M565" s="9"/>
      <x:c r="N565" s="9"/>
      <x:c r="O565" s="9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  <x:c r="AA565" s="9"/>
      <x:c r="AB565" s="9"/>
      <x:c r="AC565" s="9"/>
      <x:c r="AD565" s="9"/>
      <x:c r="AE565" s="2"/>
      <x:c r="AF565" s="9"/>
      <x:c r="AG565" s="9"/>
      <x:c r="AH565" s="2"/>
    </x:row>
    <x:row r="566" ht="14.25" customHeight="1">
      <x:c r="A566" s="2"/>
      <x:c r="B566" s="9"/>
      <x:c r="C566" s="9"/>
      <x:c r="D566" s="9"/>
      <x:c r="E566" s="9"/>
      <x:c r="F566" s="9"/>
      <x:c r="G566" s="9"/>
      <x:c r="H566" s="9"/>
      <x:c r="I566" s="9"/>
      <x:c r="J566" s="9"/>
      <x:c r="K566" s="9"/>
      <x:c r="L566" s="9"/>
      <x:c r="M566" s="9"/>
      <x:c r="N566" s="9"/>
      <x:c r="O566" s="9"/>
      <x:c r="P566" s="9"/>
      <x:c r="Q566" s="9"/>
      <x:c r="R566" s="9"/>
      <x:c r="S566" s="9"/>
      <x:c r="T566" s="9"/>
      <x:c r="U566" s="9"/>
      <x:c r="V566" s="9"/>
      <x:c r="W566" s="9"/>
      <x:c r="X566" s="9"/>
      <x:c r="Y566" s="9"/>
      <x:c r="Z566" s="9"/>
      <x:c r="AA566" s="9"/>
      <x:c r="AB566" s="9"/>
      <x:c r="AC566" s="9"/>
      <x:c r="AD566" s="9"/>
      <x:c r="AE566" s="2"/>
      <x:c r="AF566" s="9"/>
      <x:c r="AG566" s="9"/>
      <x:c r="AH566" s="2"/>
    </x:row>
    <x:row r="567" ht="14.25" customHeight="1">
      <x:c r="A567" s="2"/>
      <x:c r="B567" s="9"/>
      <x:c r="C567" s="9"/>
      <x:c r="D567" s="9"/>
      <x:c r="E567" s="9"/>
      <x:c r="F567" s="9"/>
      <x:c r="G567" s="9"/>
      <x:c r="H567" s="9"/>
      <x:c r="I567" s="9"/>
      <x:c r="J567" s="9"/>
      <x:c r="K567" s="9"/>
      <x:c r="L567" s="9"/>
      <x:c r="M567" s="9"/>
      <x:c r="N567" s="9"/>
      <x:c r="O567" s="9"/>
      <x:c r="P567" s="9"/>
      <x:c r="Q567" s="9"/>
      <x:c r="R567" s="9"/>
      <x:c r="S567" s="9"/>
      <x:c r="T567" s="9"/>
      <x:c r="U567" s="9"/>
      <x:c r="V567" s="9"/>
      <x:c r="W567" s="9"/>
      <x:c r="X567" s="9"/>
      <x:c r="Y567" s="9"/>
      <x:c r="Z567" s="9"/>
      <x:c r="AA567" s="9"/>
      <x:c r="AB567" s="9"/>
      <x:c r="AC567" s="9"/>
      <x:c r="AD567" s="9"/>
      <x:c r="AE567" s="2"/>
      <x:c r="AF567" s="9"/>
      <x:c r="AG567" s="9"/>
      <x:c r="AH567" s="2"/>
    </x:row>
    <x:row r="568" ht="14.25" customHeight="1">
      <x:c r="A568" s="2"/>
      <x:c r="B568" s="9"/>
      <x:c r="C568" s="9"/>
      <x:c r="D568" s="9"/>
      <x:c r="E568" s="9"/>
      <x:c r="F568" s="9"/>
      <x:c r="G568" s="9"/>
      <x:c r="H568" s="9"/>
      <x:c r="I568" s="9"/>
      <x:c r="J568" s="9"/>
      <x:c r="K568" s="9"/>
      <x:c r="L568" s="9"/>
      <x:c r="M568" s="9"/>
      <x:c r="N568" s="9"/>
      <x:c r="O568" s="9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  <x:c r="AA568" s="9"/>
      <x:c r="AB568" s="9"/>
      <x:c r="AC568" s="9"/>
      <x:c r="AD568" s="9"/>
      <x:c r="AE568" s="2"/>
      <x:c r="AF568" s="9"/>
      <x:c r="AG568" s="9"/>
      <x:c r="AH568" s="2"/>
    </x:row>
    <x:row r="569" ht="14.25" customHeight="1">
      <x:c r="A569" s="2"/>
      <x:c r="B569" s="9"/>
      <x:c r="C569" s="9"/>
      <x:c r="D569" s="9"/>
      <x:c r="E569" s="9"/>
      <x:c r="F569" s="9"/>
      <x:c r="G569" s="9"/>
      <x:c r="H569" s="9"/>
      <x:c r="I569" s="9"/>
      <x:c r="J569" s="9"/>
      <x:c r="K569" s="9"/>
      <x:c r="L569" s="9"/>
      <x:c r="M569" s="9"/>
      <x:c r="N569" s="9"/>
      <x:c r="O569" s="9"/>
      <x:c r="P569" s="9"/>
      <x:c r="Q569" s="9"/>
      <x:c r="R569" s="9"/>
      <x:c r="S569" s="9"/>
      <x:c r="T569" s="9"/>
      <x:c r="U569" s="9"/>
      <x:c r="V569" s="9"/>
      <x:c r="W569" s="9"/>
      <x:c r="X569" s="9"/>
      <x:c r="Y569" s="9"/>
      <x:c r="Z569" s="9"/>
      <x:c r="AA569" s="9"/>
      <x:c r="AB569" s="9"/>
      <x:c r="AC569" s="9"/>
      <x:c r="AD569" s="9"/>
      <x:c r="AE569" s="2"/>
      <x:c r="AF569" s="9"/>
      <x:c r="AG569" s="9"/>
      <x:c r="AH569" s="2"/>
    </x:row>
    <x:row r="570" ht="14.25" customHeight="1">
      <x:c r="A570" s="2"/>
      <x:c r="B570" s="9"/>
      <x:c r="C570" s="9"/>
      <x:c r="D570" s="9"/>
      <x:c r="E570" s="9"/>
      <x:c r="F570" s="9"/>
      <x:c r="G570" s="9"/>
      <x:c r="H570" s="9"/>
      <x:c r="I570" s="9"/>
      <x:c r="J570" s="9"/>
      <x:c r="K570" s="9"/>
      <x:c r="L570" s="9"/>
      <x:c r="M570" s="9"/>
      <x:c r="N570" s="9"/>
      <x:c r="O570" s="9"/>
      <x:c r="P570" s="9"/>
      <x:c r="Q570" s="9"/>
      <x:c r="R570" s="9"/>
      <x:c r="S570" s="9"/>
      <x:c r="T570" s="9"/>
      <x:c r="U570" s="9"/>
      <x:c r="V570" s="9"/>
      <x:c r="W570" s="9"/>
      <x:c r="X570" s="9"/>
      <x:c r="Y570" s="9"/>
      <x:c r="Z570" s="9"/>
      <x:c r="AA570" s="9"/>
      <x:c r="AB570" s="9"/>
      <x:c r="AC570" s="9"/>
      <x:c r="AD570" s="9"/>
      <x:c r="AE570" s="2"/>
      <x:c r="AF570" s="9"/>
      <x:c r="AG570" s="9"/>
      <x:c r="AH570" s="2"/>
    </x:row>
    <x:row r="571" ht="14.25" customHeight="1">
      <x:c r="A571" s="2"/>
      <x:c r="B571" s="9"/>
      <x:c r="C571" s="9"/>
      <x:c r="D571" s="9"/>
      <x:c r="E571" s="9"/>
      <x:c r="F571" s="9"/>
      <x:c r="G571" s="9"/>
      <x:c r="H571" s="9"/>
      <x:c r="I571" s="9"/>
      <x:c r="J571" s="9"/>
      <x:c r="K571" s="9"/>
      <x:c r="L571" s="9"/>
      <x:c r="M571" s="9"/>
      <x:c r="N571" s="9"/>
      <x:c r="O571" s="9"/>
      <x:c r="P571" s="9"/>
      <x:c r="Q571" s="9"/>
      <x:c r="R571" s="9"/>
      <x:c r="S571" s="9"/>
      <x:c r="T571" s="9"/>
      <x:c r="U571" s="9"/>
      <x:c r="V571" s="9"/>
      <x:c r="W571" s="9"/>
      <x:c r="X571" s="9"/>
      <x:c r="Y571" s="9"/>
      <x:c r="Z571" s="9"/>
      <x:c r="AA571" s="9"/>
      <x:c r="AB571" s="9"/>
      <x:c r="AC571" s="9"/>
      <x:c r="AD571" s="9"/>
      <x:c r="AE571" s="2"/>
      <x:c r="AF571" s="9"/>
      <x:c r="AG571" s="9"/>
      <x:c r="AH571" s="2"/>
    </x:row>
    <x:row r="572" ht="14.25" customHeight="1">
      <x:c r="A572" s="2"/>
      <x:c r="B572" s="9"/>
      <x:c r="C572" s="9"/>
      <x:c r="D572" s="9"/>
      <x:c r="E572" s="9"/>
      <x:c r="F572" s="9"/>
      <x:c r="G572" s="9"/>
      <x:c r="H572" s="9"/>
      <x:c r="I572" s="9"/>
      <x:c r="J572" s="9"/>
      <x:c r="K572" s="9"/>
      <x:c r="L572" s="9"/>
      <x:c r="M572" s="9"/>
      <x:c r="N572" s="9"/>
      <x:c r="O572" s="9"/>
      <x:c r="P572" s="9"/>
      <x:c r="Q572" s="9"/>
      <x:c r="R572" s="9"/>
      <x:c r="S572" s="9"/>
      <x:c r="T572" s="9"/>
      <x:c r="U572" s="9"/>
      <x:c r="V572" s="9"/>
      <x:c r="W572" s="9"/>
      <x:c r="X572" s="9"/>
      <x:c r="Y572" s="9"/>
      <x:c r="Z572" s="9"/>
      <x:c r="AA572" s="9"/>
      <x:c r="AB572" s="9"/>
      <x:c r="AC572" s="9"/>
      <x:c r="AD572" s="9"/>
      <x:c r="AE572" s="2"/>
      <x:c r="AF572" s="9"/>
      <x:c r="AG572" s="9"/>
      <x:c r="AH572" s="2"/>
    </x:row>
    <x:row r="573" ht="14.25" customHeight="1">
      <x:c r="A573" s="2"/>
      <x:c r="B573" s="9"/>
      <x:c r="C573" s="9"/>
      <x:c r="D573" s="9"/>
      <x:c r="E573" s="9"/>
      <x:c r="F573" s="9"/>
      <x:c r="G573" s="9"/>
      <x:c r="H573" s="9"/>
      <x:c r="I573" s="9"/>
      <x:c r="J573" s="9"/>
      <x:c r="K573" s="9"/>
      <x:c r="L573" s="9"/>
      <x:c r="M573" s="9"/>
      <x:c r="N573" s="9"/>
      <x:c r="O573" s="9"/>
      <x:c r="P573" s="9"/>
      <x:c r="Q573" s="9"/>
      <x:c r="R573" s="9"/>
      <x:c r="S573" s="9"/>
      <x:c r="T573" s="9"/>
      <x:c r="U573" s="9"/>
      <x:c r="V573" s="9"/>
      <x:c r="W573" s="9"/>
      <x:c r="X573" s="9"/>
      <x:c r="Y573" s="9"/>
      <x:c r="Z573" s="9"/>
      <x:c r="AA573" s="9"/>
      <x:c r="AB573" s="9"/>
      <x:c r="AC573" s="9"/>
      <x:c r="AD573" s="9"/>
      <x:c r="AE573" s="2"/>
      <x:c r="AF573" s="9"/>
      <x:c r="AG573" s="9"/>
      <x:c r="AH573" s="2"/>
    </x:row>
    <x:row r="574" ht="14.25" customHeight="1">
      <x:c r="A574" s="2"/>
      <x:c r="B574" s="9"/>
      <x:c r="C574" s="9"/>
      <x:c r="D574" s="9"/>
      <x:c r="E574" s="9"/>
      <x:c r="F574" s="9"/>
      <x:c r="G574" s="9"/>
      <x:c r="H574" s="9"/>
      <x:c r="I574" s="9"/>
      <x:c r="J574" s="9"/>
      <x:c r="K574" s="9"/>
      <x:c r="L574" s="9"/>
      <x:c r="M574" s="9"/>
      <x:c r="N574" s="9"/>
      <x:c r="O574" s="9"/>
      <x:c r="P574" s="9"/>
      <x:c r="Q574" s="9"/>
      <x:c r="R574" s="9"/>
      <x:c r="S574" s="9"/>
      <x:c r="T574" s="9"/>
      <x:c r="U574" s="9"/>
      <x:c r="V574" s="9"/>
      <x:c r="W574" s="9"/>
      <x:c r="X574" s="9"/>
      <x:c r="Y574" s="9"/>
      <x:c r="Z574" s="9"/>
      <x:c r="AA574" s="9"/>
      <x:c r="AB574" s="9"/>
      <x:c r="AC574" s="9"/>
      <x:c r="AD574" s="9"/>
      <x:c r="AE574" s="2"/>
      <x:c r="AF574" s="9"/>
      <x:c r="AG574" s="9"/>
      <x:c r="AH574" s="2"/>
    </x:row>
    <x:row r="575" ht="14.25" customHeight="1">
      <x:c r="A575" s="2"/>
      <x:c r="B575" s="9"/>
      <x:c r="C575" s="9"/>
      <x:c r="D575" s="9"/>
      <x:c r="E575" s="9"/>
      <x:c r="F575" s="9"/>
      <x:c r="G575" s="9"/>
      <x:c r="H575" s="9"/>
      <x:c r="I575" s="9"/>
      <x:c r="J575" s="9"/>
      <x:c r="K575" s="9"/>
      <x:c r="L575" s="9"/>
      <x:c r="M575" s="9"/>
      <x:c r="N575" s="9"/>
      <x:c r="O575" s="9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  <x:c r="AA575" s="9"/>
      <x:c r="AB575" s="9"/>
      <x:c r="AC575" s="9"/>
      <x:c r="AD575" s="9"/>
      <x:c r="AE575" s="2"/>
      <x:c r="AF575" s="9"/>
      <x:c r="AG575" s="9"/>
      <x:c r="AH575" s="2"/>
    </x:row>
    <x:row r="576" ht="14.25" customHeight="1">
      <x:c r="A576" s="2"/>
      <x:c r="B576" s="9"/>
      <x:c r="C576" s="9"/>
      <x:c r="D576" s="9"/>
      <x:c r="E576" s="9"/>
      <x:c r="F576" s="9"/>
      <x:c r="G576" s="9"/>
      <x:c r="H576" s="9"/>
      <x:c r="I576" s="9"/>
      <x:c r="J576" s="9"/>
      <x:c r="K576" s="9"/>
      <x:c r="L576" s="9"/>
      <x:c r="M576" s="9"/>
      <x:c r="N576" s="9"/>
      <x:c r="O576" s="9"/>
      <x:c r="P576" s="9"/>
      <x:c r="Q576" s="9"/>
      <x:c r="R576" s="9"/>
      <x:c r="S576" s="9"/>
      <x:c r="T576" s="9"/>
      <x:c r="U576" s="9"/>
      <x:c r="V576" s="9"/>
      <x:c r="W576" s="9"/>
      <x:c r="X576" s="9"/>
      <x:c r="Y576" s="9"/>
      <x:c r="Z576" s="9"/>
      <x:c r="AA576" s="9"/>
      <x:c r="AB576" s="9"/>
      <x:c r="AC576" s="9"/>
      <x:c r="AD576" s="9"/>
      <x:c r="AE576" s="2"/>
      <x:c r="AF576" s="9"/>
      <x:c r="AG576" s="9"/>
      <x:c r="AH576" s="2"/>
    </x:row>
    <x:row r="577" ht="14.25" customHeight="1">
      <x:c r="A577" s="2"/>
      <x:c r="B577" s="9"/>
      <x:c r="C577" s="9"/>
      <x:c r="D577" s="9"/>
      <x:c r="E577" s="9"/>
      <x:c r="F577" s="9"/>
      <x:c r="G577" s="9"/>
      <x:c r="H577" s="9"/>
      <x:c r="I577" s="9"/>
      <x:c r="J577" s="9"/>
      <x:c r="K577" s="9"/>
      <x:c r="L577" s="9"/>
      <x:c r="M577" s="9"/>
      <x:c r="N577" s="9"/>
      <x:c r="O577" s="9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  <x:c r="AA577" s="9"/>
      <x:c r="AB577" s="9"/>
      <x:c r="AC577" s="9"/>
      <x:c r="AD577" s="9"/>
      <x:c r="AE577" s="2"/>
      <x:c r="AF577" s="9"/>
      <x:c r="AG577" s="9"/>
      <x:c r="AH577" s="2"/>
    </x:row>
    <x:row r="578" ht="14.25" customHeight="1">
      <x:c r="A578" s="2"/>
      <x:c r="B578" s="9"/>
      <x:c r="C578" s="9"/>
      <x:c r="D578" s="9"/>
      <x:c r="E578" s="9"/>
      <x:c r="F578" s="9"/>
      <x:c r="G578" s="9"/>
      <x:c r="H578" s="9"/>
      <x:c r="I578" s="9"/>
      <x:c r="J578" s="9"/>
      <x:c r="K578" s="9"/>
      <x:c r="L578" s="9"/>
      <x:c r="M578" s="9"/>
      <x:c r="N578" s="9"/>
      <x:c r="O578" s="9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  <x:c r="AA578" s="9"/>
      <x:c r="AB578" s="9"/>
      <x:c r="AC578" s="9"/>
      <x:c r="AD578" s="9"/>
      <x:c r="AE578" s="2"/>
      <x:c r="AF578" s="9"/>
      <x:c r="AG578" s="9"/>
      <x:c r="AH578" s="2"/>
    </x:row>
    <x:row r="579" ht="14.25" customHeight="1">
      <x:c r="A579" s="2"/>
      <x:c r="B579" s="9"/>
      <x:c r="C579" s="9"/>
      <x:c r="D579" s="9"/>
      <x:c r="E579" s="9"/>
      <x:c r="F579" s="9"/>
      <x:c r="G579" s="9"/>
      <x:c r="H579" s="9"/>
      <x:c r="I579" s="9"/>
      <x:c r="J579" s="9"/>
      <x:c r="K579" s="9"/>
      <x:c r="L579" s="9"/>
      <x:c r="M579" s="9"/>
      <x:c r="N579" s="9"/>
      <x:c r="O579" s="9"/>
      <x:c r="P579" s="9"/>
      <x:c r="Q579" s="9"/>
      <x:c r="R579" s="9"/>
      <x:c r="S579" s="9"/>
      <x:c r="T579" s="9"/>
      <x:c r="U579" s="9"/>
      <x:c r="V579" s="9"/>
      <x:c r="W579" s="9"/>
      <x:c r="X579" s="9"/>
      <x:c r="Y579" s="9"/>
      <x:c r="Z579" s="9"/>
      <x:c r="AA579" s="9"/>
      <x:c r="AB579" s="9"/>
      <x:c r="AC579" s="9"/>
      <x:c r="AD579" s="9"/>
      <x:c r="AE579" s="2"/>
      <x:c r="AF579" s="9"/>
      <x:c r="AG579" s="9"/>
      <x:c r="AH579" s="2"/>
    </x:row>
    <x:row r="580" ht="14.25" customHeight="1">
      <x:c r="A580" s="2"/>
      <x:c r="B580" s="9"/>
      <x:c r="C580" s="9"/>
      <x:c r="D580" s="9"/>
      <x:c r="E580" s="9"/>
      <x:c r="F580" s="9"/>
      <x:c r="G580" s="9"/>
      <x:c r="H580" s="9"/>
      <x:c r="I580" s="9"/>
      <x:c r="J580" s="9"/>
      <x:c r="K580" s="9"/>
      <x:c r="L580" s="9"/>
      <x:c r="M580" s="9"/>
      <x:c r="N580" s="9"/>
      <x:c r="O580" s="9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  <x:c r="AA580" s="9"/>
      <x:c r="AB580" s="9"/>
      <x:c r="AC580" s="9"/>
      <x:c r="AD580" s="9"/>
      <x:c r="AE580" s="2"/>
      <x:c r="AF580" s="9"/>
      <x:c r="AG580" s="9"/>
      <x:c r="AH580" s="2"/>
    </x:row>
    <x:row r="581" ht="14.25" customHeight="1">
      <x:c r="A581" s="2"/>
      <x:c r="B581" s="9"/>
      <x:c r="C581" s="9"/>
      <x:c r="D581" s="9"/>
      <x:c r="E581" s="9"/>
      <x:c r="F581" s="9"/>
      <x:c r="G581" s="9"/>
      <x:c r="H581" s="9"/>
      <x:c r="I581" s="9"/>
      <x:c r="J581" s="9"/>
      <x:c r="K581" s="9"/>
      <x:c r="L581" s="9"/>
      <x:c r="M581" s="9"/>
      <x:c r="N581" s="9"/>
      <x:c r="O581" s="9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  <x:c r="AA581" s="9"/>
      <x:c r="AB581" s="9"/>
      <x:c r="AC581" s="9"/>
      <x:c r="AD581" s="9"/>
      <x:c r="AE581" s="2"/>
      <x:c r="AF581" s="9"/>
      <x:c r="AG581" s="9"/>
      <x:c r="AH581" s="2"/>
    </x:row>
    <x:row r="582" ht="14.25" customHeight="1">
      <x:c r="A582" s="2"/>
      <x:c r="B582" s="9"/>
      <x:c r="C582" s="9"/>
      <x:c r="D582" s="9"/>
      <x:c r="E582" s="9"/>
      <x:c r="F582" s="9"/>
      <x:c r="G582" s="9"/>
      <x:c r="H582" s="9"/>
      <x:c r="I582" s="9"/>
      <x:c r="J582" s="9"/>
      <x:c r="K582" s="9"/>
      <x:c r="L582" s="9"/>
      <x:c r="M582" s="9"/>
      <x:c r="N582" s="9"/>
      <x:c r="O582" s="9"/>
      <x:c r="P582" s="9"/>
      <x:c r="Q582" s="9"/>
      <x:c r="R582" s="9"/>
      <x:c r="S582" s="9"/>
      <x:c r="T582" s="9"/>
      <x:c r="U582" s="9"/>
      <x:c r="V582" s="9"/>
      <x:c r="W582" s="9"/>
      <x:c r="X582" s="9"/>
      <x:c r="Y582" s="9"/>
      <x:c r="Z582" s="9"/>
      <x:c r="AA582" s="9"/>
      <x:c r="AB582" s="9"/>
      <x:c r="AC582" s="9"/>
      <x:c r="AD582" s="9"/>
      <x:c r="AE582" s="2"/>
      <x:c r="AF582" s="9"/>
      <x:c r="AG582" s="9"/>
      <x:c r="AH582" s="2"/>
    </x:row>
    <x:row r="583" ht="14.25" customHeight="1">
      <x:c r="A583" s="2"/>
      <x:c r="B583" s="9"/>
      <x:c r="C583" s="9"/>
      <x:c r="D583" s="9"/>
      <x:c r="E583" s="9"/>
      <x:c r="F583" s="9"/>
      <x:c r="G583" s="9"/>
      <x:c r="H583" s="9"/>
      <x:c r="I583" s="9"/>
      <x:c r="J583" s="9"/>
      <x:c r="K583" s="9"/>
      <x:c r="L583" s="9"/>
      <x:c r="M583" s="9"/>
      <x:c r="N583" s="9"/>
      <x:c r="O583" s="9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  <x:c r="AA583" s="9"/>
      <x:c r="AB583" s="9"/>
      <x:c r="AC583" s="9"/>
      <x:c r="AD583" s="9"/>
      <x:c r="AE583" s="2"/>
      <x:c r="AF583" s="9"/>
      <x:c r="AG583" s="9"/>
      <x:c r="AH583" s="2"/>
    </x:row>
    <x:row r="584" ht="14.25" customHeight="1">
      <x:c r="A584" s="2"/>
      <x:c r="B584" s="9"/>
      <x:c r="C584" s="9"/>
      <x:c r="D584" s="9"/>
      <x:c r="E584" s="9"/>
      <x:c r="F584" s="9"/>
      <x:c r="G584" s="9"/>
      <x:c r="H584" s="9"/>
      <x:c r="I584" s="9"/>
      <x:c r="J584" s="9"/>
      <x:c r="K584" s="9"/>
      <x:c r="L584" s="9"/>
      <x:c r="M584" s="9"/>
      <x:c r="N584" s="9"/>
      <x:c r="O584" s="9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  <x:c r="AA584" s="9"/>
      <x:c r="AB584" s="9"/>
      <x:c r="AC584" s="9"/>
      <x:c r="AD584" s="9"/>
      <x:c r="AE584" s="2"/>
      <x:c r="AF584" s="9"/>
      <x:c r="AG584" s="9"/>
      <x:c r="AH584" s="2"/>
    </x:row>
    <x:row r="585" ht="14.25" customHeight="1">
      <x:c r="A585" s="2"/>
      <x:c r="B585" s="9"/>
      <x:c r="C585" s="9"/>
      <x:c r="D585" s="9"/>
      <x:c r="E585" s="9"/>
      <x:c r="F585" s="9"/>
      <x:c r="G585" s="9"/>
      <x:c r="H585" s="9"/>
      <x:c r="I585" s="9"/>
      <x:c r="J585" s="9"/>
      <x:c r="K585" s="9"/>
      <x:c r="L585" s="9"/>
      <x:c r="M585" s="9"/>
      <x:c r="N585" s="9"/>
      <x:c r="O585" s="9"/>
      <x:c r="P585" s="9"/>
      <x:c r="Q585" s="9"/>
      <x:c r="R585" s="9"/>
      <x:c r="S585" s="9"/>
      <x:c r="T585" s="9"/>
      <x:c r="U585" s="9"/>
      <x:c r="V585" s="9"/>
      <x:c r="W585" s="9"/>
      <x:c r="X585" s="9"/>
      <x:c r="Y585" s="9"/>
      <x:c r="Z585" s="9"/>
      <x:c r="AA585" s="9"/>
      <x:c r="AB585" s="9"/>
      <x:c r="AC585" s="9"/>
      <x:c r="AD585" s="9"/>
      <x:c r="AE585" s="2"/>
      <x:c r="AF585" s="9"/>
      <x:c r="AG585" s="9"/>
      <x:c r="AH585" s="2"/>
    </x:row>
    <x:row r="586" ht="14.25" customHeight="1">
      <x:c r="A586" s="2"/>
      <x:c r="B586" s="9"/>
      <x:c r="C586" s="9"/>
      <x:c r="D586" s="9"/>
      <x:c r="E586" s="9"/>
      <x:c r="F586" s="9"/>
      <x:c r="G586" s="9"/>
      <x:c r="H586" s="9"/>
      <x:c r="I586" s="9"/>
      <x:c r="J586" s="9"/>
      <x:c r="K586" s="9"/>
      <x:c r="L586" s="9"/>
      <x:c r="M586" s="9"/>
      <x:c r="N586" s="9"/>
      <x:c r="O586" s="9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  <x:c r="AA586" s="9"/>
      <x:c r="AB586" s="9"/>
      <x:c r="AC586" s="9"/>
      <x:c r="AD586" s="9"/>
      <x:c r="AE586" s="2"/>
      <x:c r="AF586" s="9"/>
      <x:c r="AG586" s="9"/>
      <x:c r="AH586" s="2"/>
    </x:row>
    <x:row r="587" ht="14.25" customHeight="1">
      <x:c r="A587" s="2"/>
      <x:c r="B587" s="9"/>
      <x:c r="C587" s="9"/>
      <x:c r="D587" s="9"/>
      <x:c r="E587" s="9"/>
      <x:c r="F587" s="9"/>
      <x:c r="G587" s="9"/>
      <x:c r="H587" s="9"/>
      <x:c r="I587" s="9"/>
      <x:c r="J587" s="9"/>
      <x:c r="K587" s="9"/>
      <x:c r="L587" s="9"/>
      <x:c r="M587" s="9"/>
      <x:c r="N587" s="9"/>
      <x:c r="O587" s="9"/>
      <x:c r="P587" s="9"/>
      <x:c r="Q587" s="9"/>
      <x:c r="R587" s="9"/>
      <x:c r="S587" s="9"/>
      <x:c r="T587" s="9"/>
      <x:c r="U587" s="9"/>
      <x:c r="V587" s="9"/>
      <x:c r="W587" s="9"/>
      <x:c r="X587" s="9"/>
      <x:c r="Y587" s="9"/>
      <x:c r="Z587" s="9"/>
      <x:c r="AA587" s="9"/>
      <x:c r="AB587" s="9"/>
      <x:c r="AC587" s="9"/>
      <x:c r="AD587" s="9"/>
      <x:c r="AE587" s="2"/>
      <x:c r="AF587" s="9"/>
      <x:c r="AG587" s="9"/>
      <x:c r="AH587" s="2"/>
    </x:row>
    <x:row r="588" ht="14.25" customHeight="1">
      <x:c r="A588" s="2"/>
      <x:c r="B588" s="9"/>
      <x:c r="C588" s="9"/>
      <x:c r="D588" s="9"/>
      <x:c r="E588" s="9"/>
      <x:c r="F588" s="9"/>
      <x:c r="G588" s="9"/>
      <x:c r="H588" s="9"/>
      <x:c r="I588" s="9"/>
      <x:c r="J588" s="9"/>
      <x:c r="K588" s="9"/>
      <x:c r="L588" s="9"/>
      <x:c r="M588" s="9"/>
      <x:c r="N588" s="9"/>
      <x:c r="O588" s="9"/>
      <x:c r="P588" s="9"/>
      <x:c r="Q588" s="9"/>
      <x:c r="R588" s="9"/>
      <x:c r="S588" s="9"/>
      <x:c r="T588" s="9"/>
      <x:c r="U588" s="9"/>
      <x:c r="V588" s="9"/>
      <x:c r="W588" s="9"/>
      <x:c r="X588" s="9"/>
      <x:c r="Y588" s="9"/>
      <x:c r="Z588" s="9"/>
      <x:c r="AA588" s="9"/>
      <x:c r="AB588" s="9"/>
      <x:c r="AC588" s="9"/>
      <x:c r="AD588" s="9"/>
      <x:c r="AE588" s="2"/>
      <x:c r="AF588" s="9"/>
      <x:c r="AG588" s="9"/>
      <x:c r="AH588" s="2"/>
    </x:row>
    <x:row r="589" ht="14.25" customHeight="1">
      <x:c r="A589" s="2"/>
      <x:c r="B589" s="9"/>
      <x:c r="C589" s="9"/>
      <x:c r="D589" s="9"/>
      <x:c r="E589" s="9"/>
      <x:c r="F589" s="9"/>
      <x:c r="G589" s="9"/>
      <x:c r="H589" s="9"/>
      <x:c r="I589" s="9"/>
      <x:c r="J589" s="9"/>
      <x:c r="K589" s="9"/>
      <x:c r="L589" s="9"/>
      <x:c r="M589" s="9"/>
      <x:c r="N589" s="9"/>
      <x:c r="O589" s="9"/>
      <x:c r="P589" s="9"/>
      <x:c r="Q589" s="9"/>
      <x:c r="R589" s="9"/>
      <x:c r="S589" s="9"/>
      <x:c r="T589" s="9"/>
      <x:c r="U589" s="9"/>
      <x:c r="V589" s="9"/>
      <x:c r="W589" s="9"/>
      <x:c r="X589" s="9"/>
      <x:c r="Y589" s="9"/>
      <x:c r="Z589" s="9"/>
      <x:c r="AA589" s="9"/>
      <x:c r="AB589" s="9"/>
      <x:c r="AC589" s="9"/>
      <x:c r="AD589" s="9"/>
      <x:c r="AE589" s="2"/>
      <x:c r="AF589" s="9"/>
      <x:c r="AG589" s="9"/>
      <x:c r="AH589" s="2"/>
    </x:row>
    <x:row r="590" ht="14.25" customHeight="1">
      <x:c r="A590" s="2"/>
      <x:c r="B590" s="9"/>
      <x:c r="C590" s="9"/>
      <x:c r="D590" s="9"/>
      <x:c r="E590" s="9"/>
      <x:c r="F590" s="9"/>
      <x:c r="G590" s="9"/>
      <x:c r="H590" s="9"/>
      <x:c r="I590" s="9"/>
      <x:c r="J590" s="9"/>
      <x:c r="K590" s="9"/>
      <x:c r="L590" s="9"/>
      <x:c r="M590" s="9"/>
      <x:c r="N590" s="9"/>
      <x:c r="O590" s="9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  <x:c r="AA590" s="9"/>
      <x:c r="AB590" s="9"/>
      <x:c r="AC590" s="9"/>
      <x:c r="AD590" s="9"/>
      <x:c r="AE590" s="2"/>
      <x:c r="AF590" s="9"/>
      <x:c r="AG590" s="9"/>
      <x:c r="AH590" s="2"/>
    </x:row>
    <x:row r="591" ht="14.25" customHeight="1">
      <x:c r="A591" s="2"/>
      <x:c r="B591" s="9"/>
      <x:c r="C591" s="9"/>
      <x:c r="D591" s="9"/>
      <x:c r="E591" s="9"/>
      <x:c r="F591" s="9"/>
      <x:c r="G591" s="9"/>
      <x:c r="H591" s="9"/>
      <x:c r="I591" s="9"/>
      <x:c r="J591" s="9"/>
      <x:c r="K591" s="9"/>
      <x:c r="L591" s="9"/>
      <x:c r="M591" s="9"/>
      <x:c r="N591" s="9"/>
      <x:c r="O591" s="9"/>
      <x:c r="P591" s="9"/>
      <x:c r="Q591" s="9"/>
      <x:c r="R591" s="9"/>
      <x:c r="S591" s="9"/>
      <x:c r="T591" s="9"/>
      <x:c r="U591" s="9"/>
      <x:c r="V591" s="9"/>
      <x:c r="W591" s="9"/>
      <x:c r="X591" s="9"/>
      <x:c r="Y591" s="9"/>
      <x:c r="Z591" s="9"/>
      <x:c r="AA591" s="9"/>
      <x:c r="AB591" s="9"/>
      <x:c r="AC591" s="9"/>
      <x:c r="AD591" s="9"/>
      <x:c r="AE591" s="2"/>
      <x:c r="AF591" s="9"/>
      <x:c r="AG591" s="9"/>
      <x:c r="AH591" s="2"/>
    </x:row>
    <x:row r="592" ht="14.25" customHeight="1">
      <x:c r="A592" s="2"/>
      <x:c r="B592" s="9"/>
      <x:c r="C592" s="9"/>
      <x:c r="D592" s="9"/>
      <x:c r="E592" s="9"/>
      <x:c r="F592" s="9"/>
      <x:c r="G592" s="9"/>
      <x:c r="H592" s="9"/>
      <x:c r="I592" s="9"/>
      <x:c r="J592" s="9"/>
      <x:c r="K592" s="9"/>
      <x:c r="L592" s="9"/>
      <x:c r="M592" s="9"/>
      <x:c r="N592" s="9"/>
      <x:c r="O592" s="9"/>
      <x:c r="P592" s="9"/>
      <x:c r="Q592" s="9"/>
      <x:c r="R592" s="9"/>
      <x:c r="S592" s="9"/>
      <x:c r="T592" s="9"/>
      <x:c r="U592" s="9"/>
      <x:c r="V592" s="9"/>
      <x:c r="W592" s="9"/>
      <x:c r="X592" s="9"/>
      <x:c r="Y592" s="9"/>
      <x:c r="Z592" s="9"/>
      <x:c r="AA592" s="9"/>
      <x:c r="AB592" s="9"/>
      <x:c r="AC592" s="9"/>
      <x:c r="AD592" s="9"/>
      <x:c r="AE592" s="2"/>
      <x:c r="AF592" s="9"/>
      <x:c r="AG592" s="9"/>
      <x:c r="AH592" s="2"/>
    </x:row>
    <x:row r="593" ht="14.25" customHeight="1">
      <x:c r="A593" s="2"/>
      <x:c r="B593" s="9"/>
      <x:c r="C593" s="9"/>
      <x:c r="D593" s="9"/>
      <x:c r="E593" s="9"/>
      <x:c r="F593" s="9"/>
      <x:c r="G593" s="9"/>
      <x:c r="H593" s="9"/>
      <x:c r="I593" s="9"/>
      <x:c r="J593" s="9"/>
      <x:c r="K593" s="9"/>
      <x:c r="L593" s="9"/>
      <x:c r="M593" s="9"/>
      <x:c r="N593" s="9"/>
      <x:c r="O593" s="9"/>
      <x:c r="P593" s="9"/>
      <x:c r="Q593" s="9"/>
      <x:c r="R593" s="9"/>
      <x:c r="S593" s="9"/>
      <x:c r="T593" s="9"/>
      <x:c r="U593" s="9"/>
      <x:c r="V593" s="9"/>
      <x:c r="W593" s="9"/>
      <x:c r="X593" s="9"/>
      <x:c r="Y593" s="9"/>
      <x:c r="Z593" s="9"/>
      <x:c r="AA593" s="9"/>
      <x:c r="AB593" s="9"/>
      <x:c r="AC593" s="9"/>
      <x:c r="AD593" s="9"/>
      <x:c r="AE593" s="2"/>
      <x:c r="AF593" s="9"/>
      <x:c r="AG593" s="9"/>
      <x:c r="AH593" s="2"/>
    </x:row>
    <x:row r="594" ht="14.25" customHeight="1">
      <x:c r="A594" s="2"/>
      <x:c r="B594" s="9"/>
      <x:c r="C594" s="9"/>
      <x:c r="D594" s="9"/>
      <x:c r="E594" s="9"/>
      <x:c r="F594" s="9"/>
      <x:c r="G594" s="9"/>
      <x:c r="H594" s="9"/>
      <x:c r="I594" s="9"/>
      <x:c r="J594" s="9"/>
      <x:c r="K594" s="9"/>
      <x:c r="L594" s="9"/>
      <x:c r="M594" s="9"/>
      <x:c r="N594" s="9"/>
      <x:c r="O594" s="9"/>
      <x:c r="P594" s="9"/>
      <x:c r="Q594" s="9"/>
      <x:c r="R594" s="9"/>
      <x:c r="S594" s="9"/>
      <x:c r="T594" s="9"/>
      <x:c r="U594" s="9"/>
      <x:c r="V594" s="9"/>
      <x:c r="W594" s="9"/>
      <x:c r="X594" s="9"/>
      <x:c r="Y594" s="9"/>
      <x:c r="Z594" s="9"/>
      <x:c r="AA594" s="9"/>
      <x:c r="AB594" s="9"/>
      <x:c r="AC594" s="9"/>
      <x:c r="AD594" s="9"/>
      <x:c r="AE594" s="2"/>
      <x:c r="AF594" s="9"/>
      <x:c r="AG594" s="9"/>
      <x:c r="AH594" s="2"/>
    </x:row>
    <x:row r="595" ht="14.25" customHeight="1">
      <x:c r="A595" s="2"/>
      <x:c r="B595" s="9"/>
      <x:c r="C595" s="9"/>
      <x:c r="D595" s="9"/>
      <x:c r="E595" s="9"/>
      <x:c r="F595" s="9"/>
      <x:c r="G595" s="9"/>
      <x:c r="H595" s="9"/>
      <x:c r="I595" s="9"/>
      <x:c r="J595" s="9"/>
      <x:c r="K595" s="9"/>
      <x:c r="L595" s="9"/>
      <x:c r="M595" s="9"/>
      <x:c r="N595" s="9"/>
      <x:c r="O595" s="9"/>
      <x:c r="P595" s="9"/>
      <x:c r="Q595" s="9"/>
      <x:c r="R595" s="9"/>
      <x:c r="S595" s="9"/>
      <x:c r="T595" s="9"/>
      <x:c r="U595" s="9"/>
      <x:c r="V595" s="9"/>
      <x:c r="W595" s="9"/>
      <x:c r="X595" s="9"/>
      <x:c r="Y595" s="9"/>
      <x:c r="Z595" s="9"/>
      <x:c r="AA595" s="9"/>
      <x:c r="AB595" s="9"/>
      <x:c r="AC595" s="9"/>
      <x:c r="AD595" s="9"/>
      <x:c r="AE595" s="2"/>
      <x:c r="AF595" s="9"/>
      <x:c r="AG595" s="9"/>
      <x:c r="AH595" s="2"/>
    </x:row>
    <x:row r="596" ht="14.25" customHeight="1">
      <x:c r="A596" s="2"/>
      <x:c r="B596" s="9"/>
      <x:c r="C596" s="9"/>
      <x:c r="D596" s="9"/>
      <x:c r="E596" s="9"/>
      <x:c r="F596" s="9"/>
      <x:c r="G596" s="9"/>
      <x:c r="H596" s="9"/>
      <x:c r="I596" s="9"/>
      <x:c r="J596" s="9"/>
      <x:c r="K596" s="9"/>
      <x:c r="L596" s="9"/>
      <x:c r="M596" s="9"/>
      <x:c r="N596" s="9"/>
      <x:c r="O596" s="9"/>
      <x:c r="P596" s="9"/>
      <x:c r="Q596" s="9"/>
      <x:c r="R596" s="9"/>
      <x:c r="S596" s="9"/>
      <x:c r="T596" s="9"/>
      <x:c r="U596" s="9"/>
      <x:c r="V596" s="9"/>
      <x:c r="W596" s="9"/>
      <x:c r="X596" s="9"/>
      <x:c r="Y596" s="9"/>
      <x:c r="Z596" s="9"/>
      <x:c r="AA596" s="9"/>
      <x:c r="AB596" s="9"/>
      <x:c r="AC596" s="9"/>
      <x:c r="AD596" s="9"/>
      <x:c r="AE596" s="2"/>
      <x:c r="AF596" s="9"/>
      <x:c r="AG596" s="9"/>
      <x:c r="AH596" s="2"/>
    </x:row>
    <x:row r="597" ht="14.25" customHeight="1">
      <x:c r="A597" s="2"/>
      <x:c r="B597" s="9"/>
      <x:c r="C597" s="9"/>
      <x:c r="D597" s="9"/>
      <x:c r="E597" s="9"/>
      <x:c r="F597" s="9"/>
      <x:c r="G597" s="9"/>
      <x:c r="H597" s="9"/>
      <x:c r="I597" s="9"/>
      <x:c r="J597" s="9"/>
      <x:c r="K597" s="9"/>
      <x:c r="L597" s="9"/>
      <x:c r="M597" s="9"/>
      <x:c r="N597" s="9"/>
      <x:c r="O597" s="9"/>
      <x:c r="P597" s="9"/>
      <x:c r="Q597" s="9"/>
      <x:c r="R597" s="9"/>
      <x:c r="S597" s="9"/>
      <x:c r="T597" s="9"/>
      <x:c r="U597" s="9"/>
      <x:c r="V597" s="9"/>
      <x:c r="W597" s="9"/>
      <x:c r="X597" s="9"/>
      <x:c r="Y597" s="9"/>
      <x:c r="Z597" s="9"/>
      <x:c r="AA597" s="9"/>
      <x:c r="AB597" s="9"/>
      <x:c r="AC597" s="9"/>
      <x:c r="AD597" s="9"/>
      <x:c r="AE597" s="2"/>
      <x:c r="AF597" s="9"/>
      <x:c r="AG597" s="9"/>
      <x:c r="AH597" s="2"/>
    </x:row>
    <x:row r="598" ht="14.25" customHeight="1">
      <x:c r="A598" s="2"/>
      <x:c r="B598" s="9"/>
      <x:c r="C598" s="9"/>
      <x:c r="D598" s="9"/>
      <x:c r="E598" s="9"/>
      <x:c r="F598" s="9"/>
      <x:c r="G598" s="9"/>
      <x:c r="H598" s="9"/>
      <x:c r="I598" s="9"/>
      <x:c r="J598" s="9"/>
      <x:c r="K598" s="9"/>
      <x:c r="L598" s="9"/>
      <x:c r="M598" s="9"/>
      <x:c r="N598" s="9"/>
      <x:c r="O598" s="9"/>
      <x:c r="P598" s="9"/>
      <x:c r="Q598" s="9"/>
      <x:c r="R598" s="9"/>
      <x:c r="S598" s="9"/>
      <x:c r="T598" s="9"/>
      <x:c r="U598" s="9"/>
      <x:c r="V598" s="9"/>
      <x:c r="W598" s="9"/>
      <x:c r="X598" s="9"/>
      <x:c r="Y598" s="9"/>
      <x:c r="Z598" s="9"/>
      <x:c r="AA598" s="9"/>
      <x:c r="AB598" s="9"/>
      <x:c r="AC598" s="9"/>
      <x:c r="AD598" s="9"/>
      <x:c r="AE598" s="2"/>
      <x:c r="AF598" s="9"/>
      <x:c r="AG598" s="9"/>
      <x:c r="AH598" s="2"/>
    </x:row>
    <x:row r="599" ht="14.25" customHeight="1">
      <x:c r="A599" s="2"/>
      <x:c r="B599" s="9"/>
      <x:c r="C599" s="9"/>
      <x:c r="D599" s="9"/>
      <x:c r="E599" s="9"/>
      <x:c r="F599" s="9"/>
      <x:c r="G599" s="9"/>
      <x:c r="H599" s="9"/>
      <x:c r="I599" s="9"/>
      <x:c r="J599" s="9"/>
      <x:c r="K599" s="9"/>
      <x:c r="L599" s="9"/>
      <x:c r="M599" s="9"/>
      <x:c r="N599" s="9"/>
      <x:c r="O599" s="9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  <x:c r="AA599" s="9"/>
      <x:c r="AB599" s="9"/>
      <x:c r="AC599" s="9"/>
      <x:c r="AD599" s="9"/>
      <x:c r="AE599" s="2"/>
      <x:c r="AF599" s="9"/>
      <x:c r="AG599" s="9"/>
      <x:c r="AH599" s="2"/>
    </x:row>
    <x:row r="600" ht="14.25" customHeight="1">
      <x:c r="A600" s="2"/>
      <x:c r="B600" s="9"/>
      <x:c r="C600" s="9"/>
      <x:c r="D600" s="9"/>
      <x:c r="E600" s="9"/>
      <x:c r="F600" s="9"/>
      <x:c r="G600" s="9"/>
      <x:c r="H600" s="9"/>
      <x:c r="I600" s="9"/>
      <x:c r="J600" s="9"/>
      <x:c r="K600" s="9"/>
      <x:c r="L600" s="9"/>
      <x:c r="M600" s="9"/>
      <x:c r="N600" s="9"/>
      <x:c r="O600" s="9"/>
      <x:c r="P600" s="9"/>
      <x:c r="Q600" s="9"/>
      <x:c r="R600" s="9"/>
      <x:c r="S600" s="9"/>
      <x:c r="T600" s="9"/>
      <x:c r="U600" s="9"/>
      <x:c r="V600" s="9"/>
      <x:c r="W600" s="9"/>
      <x:c r="X600" s="9"/>
      <x:c r="Y600" s="9"/>
      <x:c r="Z600" s="9"/>
      <x:c r="AA600" s="9"/>
      <x:c r="AB600" s="9"/>
      <x:c r="AC600" s="9"/>
      <x:c r="AD600" s="9"/>
      <x:c r="AE600" s="2"/>
      <x:c r="AF600" s="9"/>
      <x:c r="AG600" s="9"/>
      <x:c r="AH600" s="2"/>
    </x:row>
    <x:row r="601" ht="14.25" customHeight="1">
      <x:c r="A601" s="2"/>
      <x:c r="B601" s="9"/>
      <x:c r="C601" s="9"/>
      <x:c r="D601" s="9"/>
      <x:c r="E601" s="9"/>
      <x:c r="F601" s="9"/>
      <x:c r="G601" s="9"/>
      <x:c r="H601" s="9"/>
      <x:c r="I601" s="9"/>
      <x:c r="J601" s="9"/>
      <x:c r="K601" s="9"/>
      <x:c r="L601" s="9"/>
      <x:c r="M601" s="9"/>
      <x:c r="N601" s="9"/>
      <x:c r="O601" s="9"/>
      <x:c r="P601" s="9"/>
      <x:c r="Q601" s="9"/>
      <x:c r="R601" s="9"/>
      <x:c r="S601" s="9"/>
      <x:c r="T601" s="9"/>
      <x:c r="U601" s="9"/>
      <x:c r="V601" s="9"/>
      <x:c r="W601" s="9"/>
      <x:c r="X601" s="9"/>
      <x:c r="Y601" s="9"/>
      <x:c r="Z601" s="9"/>
      <x:c r="AA601" s="9"/>
      <x:c r="AB601" s="9"/>
      <x:c r="AC601" s="9"/>
      <x:c r="AD601" s="9"/>
      <x:c r="AE601" s="2"/>
      <x:c r="AF601" s="9"/>
      <x:c r="AG601" s="9"/>
      <x:c r="AH601" s="2"/>
    </x:row>
    <x:row r="602" ht="14.25" customHeight="1">
      <x:c r="A602" s="2"/>
      <x:c r="B602" s="9"/>
      <x:c r="C602" s="9"/>
      <x:c r="D602" s="9"/>
      <x:c r="E602" s="9"/>
      <x:c r="F602" s="9"/>
      <x:c r="G602" s="9"/>
      <x:c r="H602" s="9"/>
      <x:c r="I602" s="9"/>
      <x:c r="J602" s="9"/>
      <x:c r="K602" s="9"/>
      <x:c r="L602" s="9"/>
      <x:c r="M602" s="9"/>
      <x:c r="N602" s="9"/>
      <x:c r="O602" s="9"/>
      <x:c r="P602" s="9"/>
      <x:c r="Q602" s="9"/>
      <x:c r="R602" s="9"/>
      <x:c r="S602" s="9"/>
      <x:c r="T602" s="9"/>
      <x:c r="U602" s="9"/>
      <x:c r="V602" s="9"/>
      <x:c r="W602" s="9"/>
      <x:c r="X602" s="9"/>
      <x:c r="Y602" s="9"/>
      <x:c r="Z602" s="9"/>
      <x:c r="AA602" s="9"/>
      <x:c r="AB602" s="9"/>
      <x:c r="AC602" s="9"/>
      <x:c r="AD602" s="9"/>
      <x:c r="AE602" s="2"/>
      <x:c r="AF602" s="9"/>
      <x:c r="AG602" s="9"/>
      <x:c r="AH602" s="2"/>
    </x:row>
    <x:row r="603" ht="14.25" customHeight="1">
      <x:c r="A603" s="2"/>
      <x:c r="B603" s="9"/>
      <x:c r="C603" s="9"/>
      <x:c r="D603" s="9"/>
      <x:c r="E603" s="9"/>
      <x:c r="F603" s="9"/>
      <x:c r="G603" s="9"/>
      <x:c r="H603" s="9"/>
      <x:c r="I603" s="9"/>
      <x:c r="J603" s="9"/>
      <x:c r="K603" s="9"/>
      <x:c r="L603" s="9"/>
      <x:c r="M603" s="9"/>
      <x:c r="N603" s="9"/>
      <x:c r="O603" s="9"/>
      <x:c r="P603" s="9"/>
      <x:c r="Q603" s="9"/>
      <x:c r="R603" s="9"/>
      <x:c r="S603" s="9"/>
      <x:c r="T603" s="9"/>
      <x:c r="U603" s="9"/>
      <x:c r="V603" s="9"/>
      <x:c r="W603" s="9"/>
      <x:c r="X603" s="9"/>
      <x:c r="Y603" s="9"/>
      <x:c r="Z603" s="9"/>
      <x:c r="AA603" s="9"/>
      <x:c r="AB603" s="9"/>
      <x:c r="AC603" s="9"/>
      <x:c r="AD603" s="9"/>
      <x:c r="AE603" s="2"/>
      <x:c r="AF603" s="9"/>
      <x:c r="AG603" s="9"/>
      <x:c r="AH603" s="2"/>
    </x:row>
    <x:row r="604" ht="14.25" customHeight="1">
      <x:c r="A604" s="2"/>
      <x:c r="B604" s="9"/>
      <x:c r="C604" s="9"/>
      <x:c r="D604" s="9"/>
      <x:c r="E604" s="9"/>
      <x:c r="F604" s="9"/>
      <x:c r="G604" s="9"/>
      <x:c r="H604" s="9"/>
      <x:c r="I604" s="9"/>
      <x:c r="J604" s="9"/>
      <x:c r="K604" s="9"/>
      <x:c r="L604" s="9"/>
      <x:c r="M604" s="9"/>
      <x:c r="N604" s="9"/>
      <x:c r="O604" s="9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  <x:c r="AA604" s="9"/>
      <x:c r="AB604" s="9"/>
      <x:c r="AC604" s="9"/>
      <x:c r="AD604" s="9"/>
      <x:c r="AE604" s="2"/>
      <x:c r="AF604" s="9"/>
      <x:c r="AG604" s="9"/>
      <x:c r="AH604" s="2"/>
    </x:row>
    <x:row r="605" ht="14.25" customHeight="1">
      <x:c r="A605" s="2"/>
      <x:c r="B605" s="9"/>
      <x:c r="C605" s="9"/>
      <x:c r="D605" s="9"/>
      <x:c r="E605" s="9"/>
      <x:c r="F605" s="9"/>
      <x:c r="G605" s="9"/>
      <x:c r="H605" s="9"/>
      <x:c r="I605" s="9"/>
      <x:c r="J605" s="9"/>
      <x:c r="K605" s="9"/>
      <x:c r="L605" s="9"/>
      <x:c r="M605" s="9"/>
      <x:c r="N605" s="9"/>
      <x:c r="O605" s="9"/>
      <x:c r="P605" s="9"/>
      <x:c r="Q605" s="9"/>
      <x:c r="R605" s="9"/>
      <x:c r="S605" s="9"/>
      <x:c r="T605" s="9"/>
      <x:c r="U605" s="9"/>
      <x:c r="V605" s="9"/>
      <x:c r="W605" s="9"/>
      <x:c r="X605" s="9"/>
      <x:c r="Y605" s="9"/>
      <x:c r="Z605" s="9"/>
      <x:c r="AA605" s="9"/>
      <x:c r="AB605" s="9"/>
      <x:c r="AC605" s="9"/>
      <x:c r="AD605" s="9"/>
      <x:c r="AE605" s="2"/>
      <x:c r="AF605" s="9"/>
      <x:c r="AG605" s="9"/>
      <x:c r="AH605" s="2"/>
    </x:row>
    <x:row r="606" ht="14.25" customHeight="1">
      <x:c r="A606" s="2"/>
      <x:c r="B606" s="9"/>
      <x:c r="C606" s="9"/>
      <x:c r="D606" s="9"/>
      <x:c r="E606" s="9"/>
      <x:c r="F606" s="9"/>
      <x:c r="G606" s="9"/>
      <x:c r="H606" s="9"/>
      <x:c r="I606" s="9"/>
      <x:c r="J606" s="9"/>
      <x:c r="K606" s="9"/>
      <x:c r="L606" s="9"/>
      <x:c r="M606" s="9"/>
      <x:c r="N606" s="9"/>
      <x:c r="O606" s="9"/>
      <x:c r="P606" s="9"/>
      <x:c r="Q606" s="9"/>
      <x:c r="R606" s="9"/>
      <x:c r="S606" s="9"/>
      <x:c r="T606" s="9"/>
      <x:c r="U606" s="9"/>
      <x:c r="V606" s="9"/>
      <x:c r="W606" s="9"/>
      <x:c r="X606" s="9"/>
      <x:c r="Y606" s="9"/>
      <x:c r="Z606" s="9"/>
      <x:c r="AA606" s="9"/>
      <x:c r="AB606" s="9"/>
      <x:c r="AC606" s="9"/>
      <x:c r="AD606" s="9"/>
      <x:c r="AE606" s="2"/>
      <x:c r="AF606" s="9"/>
      <x:c r="AG606" s="9"/>
      <x:c r="AH606" s="2"/>
    </x:row>
    <x:row r="607" ht="14.25" customHeight="1">
      <x:c r="A607" s="2"/>
      <x:c r="B607" s="9"/>
      <x:c r="C607" s="9"/>
      <x:c r="D607" s="9"/>
      <x:c r="E607" s="9"/>
      <x:c r="F607" s="9"/>
      <x:c r="G607" s="9"/>
      <x:c r="H607" s="9"/>
      <x:c r="I607" s="9"/>
      <x:c r="J607" s="9"/>
      <x:c r="K607" s="9"/>
      <x:c r="L607" s="9"/>
      <x:c r="M607" s="9"/>
      <x:c r="N607" s="9"/>
      <x:c r="O607" s="9"/>
      <x:c r="P607" s="9"/>
      <x:c r="Q607" s="9"/>
      <x:c r="R607" s="9"/>
      <x:c r="S607" s="9"/>
      <x:c r="T607" s="9"/>
      <x:c r="U607" s="9"/>
      <x:c r="V607" s="9"/>
      <x:c r="W607" s="9"/>
      <x:c r="X607" s="9"/>
      <x:c r="Y607" s="9"/>
      <x:c r="Z607" s="9"/>
      <x:c r="AA607" s="9"/>
      <x:c r="AB607" s="9"/>
      <x:c r="AC607" s="9"/>
      <x:c r="AD607" s="9"/>
      <x:c r="AE607" s="2"/>
      <x:c r="AF607" s="9"/>
      <x:c r="AG607" s="9"/>
      <x:c r="AH607" s="2"/>
    </x:row>
    <x:row r="608" ht="14.25" customHeight="1">
      <x:c r="A608" s="2"/>
      <x:c r="B608" s="9"/>
      <x:c r="C608" s="9"/>
      <x:c r="D608" s="9"/>
      <x:c r="E608" s="9"/>
      <x:c r="F608" s="9"/>
      <x:c r="G608" s="9"/>
      <x:c r="H608" s="9"/>
      <x:c r="I608" s="9"/>
      <x:c r="J608" s="9"/>
      <x:c r="K608" s="9"/>
      <x:c r="L608" s="9"/>
      <x:c r="M608" s="9"/>
      <x:c r="N608" s="9"/>
      <x:c r="O608" s="9"/>
      <x:c r="P608" s="9"/>
      <x:c r="Q608" s="9"/>
      <x:c r="R608" s="9"/>
      <x:c r="S608" s="9"/>
      <x:c r="T608" s="9"/>
      <x:c r="U608" s="9"/>
      <x:c r="V608" s="9"/>
      <x:c r="W608" s="9"/>
      <x:c r="X608" s="9"/>
      <x:c r="Y608" s="9"/>
      <x:c r="Z608" s="9"/>
      <x:c r="AA608" s="9"/>
      <x:c r="AB608" s="9"/>
      <x:c r="AC608" s="9"/>
      <x:c r="AD608" s="9"/>
      <x:c r="AE608" s="2"/>
      <x:c r="AF608" s="9"/>
      <x:c r="AG608" s="9"/>
      <x:c r="AH608" s="2"/>
    </x:row>
    <x:row r="609" ht="14.25" customHeight="1">
      <x:c r="A609" s="2"/>
      <x:c r="B609" s="9"/>
      <x:c r="C609" s="9"/>
      <x:c r="D609" s="9"/>
      <x:c r="E609" s="9"/>
      <x:c r="F609" s="9"/>
      <x:c r="G609" s="9"/>
      <x:c r="H609" s="9"/>
      <x:c r="I609" s="9"/>
      <x:c r="J609" s="9"/>
      <x:c r="K609" s="9"/>
      <x:c r="L609" s="9"/>
      <x:c r="M609" s="9"/>
      <x:c r="N609" s="9"/>
      <x:c r="O609" s="9"/>
      <x:c r="P609" s="9"/>
      <x:c r="Q609" s="9"/>
      <x:c r="R609" s="9"/>
      <x:c r="S609" s="9"/>
      <x:c r="T609" s="9"/>
      <x:c r="U609" s="9"/>
      <x:c r="V609" s="9"/>
      <x:c r="W609" s="9"/>
      <x:c r="X609" s="9"/>
      <x:c r="Y609" s="9"/>
      <x:c r="Z609" s="9"/>
      <x:c r="AA609" s="9"/>
      <x:c r="AB609" s="9"/>
      <x:c r="AC609" s="9"/>
      <x:c r="AD609" s="9"/>
      <x:c r="AE609" s="2"/>
      <x:c r="AF609" s="9"/>
      <x:c r="AG609" s="9"/>
      <x:c r="AH609" s="2"/>
    </x:row>
    <x:row r="610" ht="14.25" customHeight="1">
      <x:c r="A610" s="2"/>
      <x:c r="B610" s="9"/>
      <x:c r="C610" s="9"/>
      <x:c r="D610" s="9"/>
      <x:c r="E610" s="9"/>
      <x:c r="F610" s="9"/>
      <x:c r="G610" s="9"/>
      <x:c r="H610" s="9"/>
      <x:c r="I610" s="9"/>
      <x:c r="J610" s="9"/>
      <x:c r="K610" s="9"/>
      <x:c r="L610" s="9"/>
      <x:c r="M610" s="9"/>
      <x:c r="N610" s="9"/>
      <x:c r="O610" s="9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  <x:c r="AA610" s="9"/>
      <x:c r="AB610" s="9"/>
      <x:c r="AC610" s="9"/>
      <x:c r="AD610" s="9"/>
      <x:c r="AE610" s="2"/>
      <x:c r="AF610" s="9"/>
      <x:c r="AG610" s="9"/>
      <x:c r="AH610" s="2"/>
    </x:row>
    <x:row r="611" ht="14.25" customHeight="1">
      <x:c r="A611" s="2"/>
      <x:c r="B611" s="9"/>
      <x:c r="C611" s="9"/>
      <x:c r="D611" s="9"/>
      <x:c r="E611" s="9"/>
      <x:c r="F611" s="9"/>
      <x:c r="G611" s="9"/>
      <x:c r="H611" s="9"/>
      <x:c r="I611" s="9"/>
      <x:c r="J611" s="9"/>
      <x:c r="K611" s="9"/>
      <x:c r="L611" s="9"/>
      <x:c r="M611" s="9"/>
      <x:c r="N611" s="9"/>
      <x:c r="O611" s="9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  <x:c r="AA611" s="9"/>
      <x:c r="AB611" s="9"/>
      <x:c r="AC611" s="9"/>
      <x:c r="AD611" s="9"/>
      <x:c r="AE611" s="2"/>
      <x:c r="AF611" s="9"/>
      <x:c r="AG611" s="9"/>
      <x:c r="AH611" s="2"/>
    </x:row>
    <x:row r="612" ht="14.25" customHeight="1">
      <x:c r="A612" s="2"/>
      <x:c r="B612" s="9"/>
      <x:c r="C612" s="9"/>
      <x:c r="D612" s="9"/>
      <x:c r="E612" s="9"/>
      <x:c r="F612" s="9"/>
      <x:c r="G612" s="9"/>
      <x:c r="H612" s="9"/>
      <x:c r="I612" s="9"/>
      <x:c r="J612" s="9"/>
      <x:c r="K612" s="9"/>
      <x:c r="L612" s="9"/>
      <x:c r="M612" s="9"/>
      <x:c r="N612" s="9"/>
      <x:c r="O612" s="9"/>
      <x:c r="P612" s="9"/>
      <x:c r="Q612" s="9"/>
      <x:c r="R612" s="9"/>
      <x:c r="S612" s="9"/>
      <x:c r="T612" s="9"/>
      <x:c r="U612" s="9"/>
      <x:c r="V612" s="9"/>
      <x:c r="W612" s="9"/>
      <x:c r="X612" s="9"/>
      <x:c r="Y612" s="9"/>
      <x:c r="Z612" s="9"/>
      <x:c r="AA612" s="9"/>
      <x:c r="AB612" s="9"/>
      <x:c r="AC612" s="9"/>
      <x:c r="AD612" s="9"/>
      <x:c r="AE612" s="2"/>
      <x:c r="AF612" s="9"/>
      <x:c r="AG612" s="9"/>
      <x:c r="AH612" s="2"/>
    </x:row>
    <x:row r="613" ht="14.25" customHeight="1">
      <x:c r="A613" s="2"/>
      <x:c r="B613" s="9"/>
      <x:c r="C613" s="9"/>
      <x:c r="D613" s="9"/>
      <x:c r="E613" s="9"/>
      <x:c r="F613" s="9"/>
      <x:c r="G613" s="9"/>
      <x:c r="H613" s="9"/>
      <x:c r="I613" s="9"/>
      <x:c r="J613" s="9"/>
      <x:c r="K613" s="9"/>
      <x:c r="L613" s="9"/>
      <x:c r="M613" s="9"/>
      <x:c r="N613" s="9"/>
      <x:c r="O613" s="9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  <x:c r="AA613" s="9"/>
      <x:c r="AB613" s="9"/>
      <x:c r="AC613" s="9"/>
      <x:c r="AD613" s="9"/>
      <x:c r="AE613" s="2"/>
      <x:c r="AF613" s="9"/>
      <x:c r="AG613" s="9"/>
      <x:c r="AH613" s="2"/>
    </x:row>
    <x:row r="614" ht="14.25" customHeight="1">
      <x:c r="A614" s="2"/>
      <x:c r="B614" s="9"/>
      <x:c r="C614" s="9"/>
      <x:c r="D614" s="9"/>
      <x:c r="E614" s="9"/>
      <x:c r="F614" s="9"/>
      <x:c r="G614" s="9"/>
      <x:c r="H614" s="9"/>
      <x:c r="I614" s="9"/>
      <x:c r="J614" s="9"/>
      <x:c r="K614" s="9"/>
      <x:c r="L614" s="9"/>
      <x:c r="M614" s="9"/>
      <x:c r="N614" s="9"/>
      <x:c r="O614" s="9"/>
      <x:c r="P614" s="9"/>
      <x:c r="Q614" s="9"/>
      <x:c r="R614" s="9"/>
      <x:c r="S614" s="9"/>
      <x:c r="T614" s="9"/>
      <x:c r="U614" s="9"/>
      <x:c r="V614" s="9"/>
      <x:c r="W614" s="9"/>
      <x:c r="X614" s="9"/>
      <x:c r="Y614" s="9"/>
      <x:c r="Z614" s="9"/>
      <x:c r="AA614" s="9"/>
      <x:c r="AB614" s="9"/>
      <x:c r="AC614" s="9"/>
      <x:c r="AD614" s="9"/>
      <x:c r="AE614" s="2"/>
      <x:c r="AF614" s="9"/>
      <x:c r="AG614" s="9"/>
      <x:c r="AH614" s="2"/>
    </x:row>
    <x:row r="615" ht="14.25" customHeight="1">
      <x:c r="A615" s="2"/>
      <x:c r="B615" s="9"/>
      <x:c r="C615" s="9"/>
      <x:c r="D615" s="9"/>
      <x:c r="E615" s="9"/>
      <x:c r="F615" s="9"/>
      <x:c r="G615" s="9"/>
      <x:c r="H615" s="9"/>
      <x:c r="I615" s="9"/>
      <x:c r="J615" s="9"/>
      <x:c r="K615" s="9"/>
      <x:c r="L615" s="9"/>
      <x:c r="M615" s="9"/>
      <x:c r="N615" s="9"/>
      <x:c r="O615" s="9"/>
      <x:c r="P615" s="9"/>
      <x:c r="Q615" s="9"/>
      <x:c r="R615" s="9"/>
      <x:c r="S615" s="9"/>
      <x:c r="T615" s="9"/>
      <x:c r="U615" s="9"/>
      <x:c r="V615" s="9"/>
      <x:c r="W615" s="9"/>
      <x:c r="X615" s="9"/>
      <x:c r="Y615" s="9"/>
      <x:c r="Z615" s="9"/>
      <x:c r="AA615" s="9"/>
      <x:c r="AB615" s="9"/>
      <x:c r="AC615" s="9"/>
      <x:c r="AD615" s="9"/>
      <x:c r="AE615" s="2"/>
      <x:c r="AF615" s="9"/>
      <x:c r="AG615" s="9"/>
      <x:c r="AH615" s="2"/>
    </x:row>
    <x:row r="616" ht="14.25" customHeight="1">
      <x:c r="A616" s="2"/>
      <x:c r="B616" s="9"/>
      <x:c r="C616" s="9"/>
      <x:c r="D616" s="9"/>
      <x:c r="E616" s="9"/>
      <x:c r="F616" s="9"/>
      <x:c r="G616" s="9"/>
      <x:c r="H616" s="9"/>
      <x:c r="I616" s="9"/>
      <x:c r="J616" s="9"/>
      <x:c r="K616" s="9"/>
      <x:c r="L616" s="9"/>
      <x:c r="M616" s="9"/>
      <x:c r="N616" s="9"/>
      <x:c r="O616" s="9"/>
      <x:c r="P616" s="9"/>
      <x:c r="Q616" s="9"/>
      <x:c r="R616" s="9"/>
      <x:c r="S616" s="9"/>
      <x:c r="T616" s="9"/>
      <x:c r="U616" s="9"/>
      <x:c r="V616" s="9"/>
      <x:c r="W616" s="9"/>
      <x:c r="X616" s="9"/>
      <x:c r="Y616" s="9"/>
      <x:c r="Z616" s="9"/>
      <x:c r="AA616" s="9"/>
      <x:c r="AB616" s="9"/>
      <x:c r="AC616" s="9"/>
      <x:c r="AD616" s="9"/>
      <x:c r="AE616" s="2"/>
      <x:c r="AF616" s="9"/>
      <x:c r="AG616" s="9"/>
      <x:c r="AH616" s="2"/>
    </x:row>
    <x:row r="617" ht="14.25" customHeight="1">
      <x:c r="A617" s="2"/>
      <x:c r="B617" s="9"/>
      <x:c r="C617" s="9"/>
      <x:c r="D617" s="9"/>
      <x:c r="E617" s="9"/>
      <x:c r="F617" s="9"/>
      <x:c r="G617" s="9"/>
      <x:c r="H617" s="9"/>
      <x:c r="I617" s="9"/>
      <x:c r="J617" s="9"/>
      <x:c r="K617" s="9"/>
      <x:c r="L617" s="9"/>
      <x:c r="M617" s="9"/>
      <x:c r="N617" s="9"/>
      <x:c r="O617" s="9"/>
      <x:c r="P617" s="9"/>
      <x:c r="Q617" s="9"/>
      <x:c r="R617" s="9"/>
      <x:c r="S617" s="9"/>
      <x:c r="T617" s="9"/>
      <x:c r="U617" s="9"/>
      <x:c r="V617" s="9"/>
      <x:c r="W617" s="9"/>
      <x:c r="X617" s="9"/>
      <x:c r="Y617" s="9"/>
      <x:c r="Z617" s="9"/>
      <x:c r="AA617" s="9"/>
      <x:c r="AB617" s="9"/>
      <x:c r="AC617" s="9"/>
      <x:c r="AD617" s="9"/>
      <x:c r="AE617" s="2"/>
      <x:c r="AF617" s="9"/>
      <x:c r="AG617" s="9"/>
      <x:c r="AH617" s="2"/>
    </x:row>
    <x:row r="618" ht="14.25" customHeight="1">
      <x:c r="A618" s="2"/>
      <x:c r="B618" s="9"/>
      <x:c r="C618" s="9"/>
      <x:c r="D618" s="9"/>
      <x:c r="E618" s="9"/>
      <x:c r="F618" s="9"/>
      <x:c r="G618" s="9"/>
      <x:c r="H618" s="9"/>
      <x:c r="I618" s="9"/>
      <x:c r="J618" s="9"/>
      <x:c r="K618" s="9"/>
      <x:c r="L618" s="9"/>
      <x:c r="M618" s="9"/>
      <x:c r="N618" s="9"/>
      <x:c r="O618" s="9"/>
      <x:c r="P618" s="9"/>
      <x:c r="Q618" s="9"/>
      <x:c r="R618" s="9"/>
      <x:c r="S618" s="9"/>
      <x:c r="T618" s="9"/>
      <x:c r="U618" s="9"/>
      <x:c r="V618" s="9"/>
      <x:c r="W618" s="9"/>
      <x:c r="X618" s="9"/>
      <x:c r="Y618" s="9"/>
      <x:c r="Z618" s="9"/>
      <x:c r="AA618" s="9"/>
      <x:c r="AB618" s="9"/>
      <x:c r="AC618" s="9"/>
      <x:c r="AD618" s="9"/>
      <x:c r="AE618" s="2"/>
      <x:c r="AF618" s="9"/>
      <x:c r="AG618" s="9"/>
      <x:c r="AH618" s="2"/>
    </x:row>
    <x:row r="619" ht="14.25" customHeight="1">
      <x:c r="A619" s="2"/>
      <x:c r="B619" s="9"/>
      <x:c r="C619" s="9"/>
      <x:c r="D619" s="9"/>
      <x:c r="E619" s="9"/>
      <x:c r="F619" s="9"/>
      <x:c r="G619" s="9"/>
      <x:c r="H619" s="9"/>
      <x:c r="I619" s="9"/>
      <x:c r="J619" s="9"/>
      <x:c r="K619" s="9"/>
      <x:c r="L619" s="9"/>
      <x:c r="M619" s="9"/>
      <x:c r="N619" s="9"/>
      <x:c r="O619" s="9"/>
      <x:c r="P619" s="9"/>
      <x:c r="Q619" s="9"/>
      <x:c r="R619" s="9"/>
      <x:c r="S619" s="9"/>
      <x:c r="T619" s="9"/>
      <x:c r="U619" s="9"/>
      <x:c r="V619" s="9"/>
      <x:c r="W619" s="9"/>
      <x:c r="X619" s="9"/>
      <x:c r="Y619" s="9"/>
      <x:c r="Z619" s="9"/>
      <x:c r="AA619" s="9"/>
      <x:c r="AB619" s="9"/>
      <x:c r="AC619" s="9"/>
      <x:c r="AD619" s="9"/>
      <x:c r="AE619" s="2"/>
      <x:c r="AF619" s="9"/>
      <x:c r="AG619" s="9"/>
      <x:c r="AH619" s="2"/>
    </x:row>
    <x:row r="620" ht="14.25" customHeight="1">
      <x:c r="A620" s="2"/>
      <x:c r="B620" s="9"/>
      <x:c r="C620" s="9"/>
      <x:c r="D620" s="9"/>
      <x:c r="E620" s="9"/>
      <x:c r="F620" s="9"/>
      <x:c r="G620" s="9"/>
      <x:c r="H620" s="9"/>
      <x:c r="I620" s="9"/>
      <x:c r="J620" s="9"/>
      <x:c r="K620" s="9"/>
      <x:c r="L620" s="9"/>
      <x:c r="M620" s="9"/>
      <x:c r="N620" s="9"/>
      <x:c r="O620" s="9"/>
      <x:c r="P620" s="9"/>
      <x:c r="Q620" s="9"/>
      <x:c r="R620" s="9"/>
      <x:c r="S620" s="9"/>
      <x:c r="T620" s="9"/>
      <x:c r="U620" s="9"/>
      <x:c r="V620" s="9"/>
      <x:c r="W620" s="9"/>
      <x:c r="X620" s="9"/>
      <x:c r="Y620" s="9"/>
      <x:c r="Z620" s="9"/>
      <x:c r="AA620" s="9"/>
      <x:c r="AB620" s="9"/>
      <x:c r="AC620" s="9"/>
      <x:c r="AD620" s="9"/>
      <x:c r="AE620" s="2"/>
      <x:c r="AF620" s="9"/>
      <x:c r="AG620" s="9"/>
      <x:c r="AH620" s="2"/>
    </x:row>
    <x:row r="621" ht="14.25" customHeight="1">
      <x:c r="A621" s="2"/>
      <x:c r="B621" s="9"/>
      <x:c r="C621" s="9"/>
      <x:c r="D621" s="9"/>
      <x:c r="E621" s="9"/>
      <x:c r="F621" s="9"/>
      <x:c r="G621" s="9"/>
      <x:c r="H621" s="9"/>
      <x:c r="I621" s="9"/>
      <x:c r="J621" s="9"/>
      <x:c r="K621" s="9"/>
      <x:c r="L621" s="9"/>
      <x:c r="M621" s="9"/>
      <x:c r="N621" s="9"/>
      <x:c r="O621" s="9"/>
      <x:c r="P621" s="9"/>
      <x:c r="Q621" s="9"/>
      <x:c r="R621" s="9"/>
      <x:c r="S621" s="9"/>
      <x:c r="T621" s="9"/>
      <x:c r="U621" s="9"/>
      <x:c r="V621" s="9"/>
      <x:c r="W621" s="9"/>
      <x:c r="X621" s="9"/>
      <x:c r="Y621" s="9"/>
      <x:c r="Z621" s="9"/>
      <x:c r="AA621" s="9"/>
      <x:c r="AB621" s="9"/>
      <x:c r="AC621" s="9"/>
      <x:c r="AD621" s="9"/>
      <x:c r="AE621" s="2"/>
      <x:c r="AF621" s="9"/>
      <x:c r="AG621" s="9"/>
      <x:c r="AH621" s="2"/>
    </x:row>
    <x:row r="622" ht="14.25" customHeight="1">
      <x:c r="A622" s="2"/>
      <x:c r="B622" s="9"/>
      <x:c r="C622" s="9"/>
      <x:c r="D622" s="9"/>
      <x:c r="E622" s="9"/>
      <x:c r="F622" s="9"/>
      <x:c r="G622" s="9"/>
      <x:c r="H622" s="9"/>
      <x:c r="I622" s="9"/>
      <x:c r="J622" s="9"/>
      <x:c r="K622" s="9"/>
      <x:c r="L622" s="9"/>
      <x:c r="M622" s="9"/>
      <x:c r="N622" s="9"/>
      <x:c r="O622" s="9"/>
      <x:c r="P622" s="9"/>
      <x:c r="Q622" s="9"/>
      <x:c r="R622" s="9"/>
      <x:c r="S622" s="9"/>
      <x:c r="T622" s="9"/>
      <x:c r="U622" s="9"/>
      <x:c r="V622" s="9"/>
      <x:c r="W622" s="9"/>
      <x:c r="X622" s="9"/>
      <x:c r="Y622" s="9"/>
      <x:c r="Z622" s="9"/>
      <x:c r="AA622" s="9"/>
      <x:c r="AB622" s="9"/>
      <x:c r="AC622" s="9"/>
      <x:c r="AD622" s="9"/>
      <x:c r="AE622" s="2"/>
      <x:c r="AF622" s="9"/>
      <x:c r="AG622" s="9"/>
      <x:c r="AH622" s="2"/>
    </x:row>
    <x:row r="623" ht="14.25" customHeight="1">
      <x:c r="A623" s="2"/>
      <x:c r="B623" s="9"/>
      <x:c r="C623" s="9"/>
      <x:c r="D623" s="9"/>
      <x:c r="E623" s="9"/>
      <x:c r="F623" s="9"/>
      <x:c r="G623" s="9"/>
      <x:c r="H623" s="9"/>
      <x:c r="I623" s="9"/>
      <x:c r="J623" s="9"/>
      <x:c r="K623" s="9"/>
      <x:c r="L623" s="9"/>
      <x:c r="M623" s="9"/>
      <x:c r="N623" s="9"/>
      <x:c r="O623" s="9"/>
      <x:c r="P623" s="9"/>
      <x:c r="Q623" s="9"/>
      <x:c r="R623" s="9"/>
      <x:c r="S623" s="9"/>
      <x:c r="T623" s="9"/>
      <x:c r="U623" s="9"/>
      <x:c r="V623" s="9"/>
      <x:c r="W623" s="9"/>
      <x:c r="X623" s="9"/>
      <x:c r="Y623" s="9"/>
      <x:c r="Z623" s="9"/>
      <x:c r="AA623" s="9"/>
      <x:c r="AB623" s="9"/>
      <x:c r="AC623" s="9"/>
      <x:c r="AD623" s="9"/>
      <x:c r="AE623" s="2"/>
      <x:c r="AF623" s="9"/>
      <x:c r="AG623" s="9"/>
      <x:c r="AH623" s="2"/>
    </x:row>
    <x:row r="624" ht="14.25" customHeight="1">
      <x:c r="A624" s="2"/>
      <x:c r="B624" s="9"/>
      <x:c r="C624" s="9"/>
      <x:c r="D624" s="9"/>
      <x:c r="E624" s="9"/>
      <x:c r="F624" s="9"/>
      <x:c r="G624" s="9"/>
      <x:c r="H624" s="9"/>
      <x:c r="I624" s="9"/>
      <x:c r="J624" s="9"/>
      <x:c r="K624" s="9"/>
      <x:c r="L624" s="9"/>
      <x:c r="M624" s="9"/>
      <x:c r="N624" s="9"/>
      <x:c r="O624" s="9"/>
      <x:c r="P624" s="9"/>
      <x:c r="Q624" s="9"/>
      <x:c r="R624" s="9"/>
      <x:c r="S624" s="9"/>
      <x:c r="T624" s="9"/>
      <x:c r="U624" s="9"/>
      <x:c r="V624" s="9"/>
      <x:c r="W624" s="9"/>
      <x:c r="X624" s="9"/>
      <x:c r="Y624" s="9"/>
      <x:c r="Z624" s="9"/>
      <x:c r="AA624" s="9"/>
      <x:c r="AB624" s="9"/>
      <x:c r="AC624" s="9"/>
      <x:c r="AD624" s="9"/>
      <x:c r="AE624" s="2"/>
      <x:c r="AF624" s="9"/>
      <x:c r="AG624" s="9"/>
      <x:c r="AH624" s="2"/>
    </x:row>
    <x:row r="625" ht="14.25" customHeight="1">
      <x:c r="A625" s="2"/>
      <x:c r="B625" s="9"/>
      <x:c r="C625" s="9"/>
      <x:c r="D625" s="9"/>
      <x:c r="E625" s="9"/>
      <x:c r="F625" s="9"/>
      <x:c r="G625" s="9"/>
      <x:c r="H625" s="9"/>
      <x:c r="I625" s="9"/>
      <x:c r="J625" s="9"/>
      <x:c r="K625" s="9"/>
      <x:c r="L625" s="9"/>
      <x:c r="M625" s="9"/>
      <x:c r="N625" s="9"/>
      <x:c r="O625" s="9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  <x:c r="AA625" s="9"/>
      <x:c r="AB625" s="9"/>
      <x:c r="AC625" s="9"/>
      <x:c r="AD625" s="9"/>
      <x:c r="AE625" s="2"/>
      <x:c r="AF625" s="9"/>
      <x:c r="AG625" s="9"/>
      <x:c r="AH625" s="2"/>
    </x:row>
    <x:row r="626" ht="14.25" customHeight="1">
      <x:c r="A626" s="2"/>
      <x:c r="B626" s="9"/>
      <x:c r="C626" s="9"/>
      <x:c r="D626" s="9"/>
      <x:c r="E626" s="9"/>
      <x:c r="F626" s="9"/>
      <x:c r="G626" s="9"/>
      <x:c r="H626" s="9"/>
      <x:c r="I626" s="9"/>
      <x:c r="J626" s="9"/>
      <x:c r="K626" s="9"/>
      <x:c r="L626" s="9"/>
      <x:c r="M626" s="9"/>
      <x:c r="N626" s="9"/>
      <x:c r="O626" s="9"/>
      <x:c r="P626" s="9"/>
      <x:c r="Q626" s="9"/>
      <x:c r="R626" s="9"/>
      <x:c r="S626" s="9"/>
      <x:c r="T626" s="9"/>
      <x:c r="U626" s="9"/>
      <x:c r="V626" s="9"/>
      <x:c r="W626" s="9"/>
      <x:c r="X626" s="9"/>
      <x:c r="Y626" s="9"/>
      <x:c r="Z626" s="9"/>
      <x:c r="AA626" s="9"/>
      <x:c r="AB626" s="9"/>
      <x:c r="AC626" s="9"/>
      <x:c r="AD626" s="9"/>
      <x:c r="AE626" s="2"/>
      <x:c r="AF626" s="9"/>
      <x:c r="AG626" s="9"/>
      <x:c r="AH626" s="2"/>
    </x:row>
    <x:row r="627" ht="14.25" customHeight="1">
      <x:c r="A627" s="2"/>
      <x:c r="B627" s="9"/>
      <x:c r="C627" s="9"/>
      <x:c r="D627" s="9"/>
      <x:c r="E627" s="9"/>
      <x:c r="F627" s="9"/>
      <x:c r="G627" s="9"/>
      <x:c r="H627" s="9"/>
      <x:c r="I627" s="9"/>
      <x:c r="J627" s="9"/>
      <x:c r="K627" s="9"/>
      <x:c r="L627" s="9"/>
      <x:c r="M627" s="9"/>
      <x:c r="N627" s="9"/>
      <x:c r="O627" s="9"/>
      <x:c r="P627" s="9"/>
      <x:c r="Q627" s="9"/>
      <x:c r="R627" s="9"/>
      <x:c r="S627" s="9"/>
      <x:c r="T627" s="9"/>
      <x:c r="U627" s="9"/>
      <x:c r="V627" s="9"/>
      <x:c r="W627" s="9"/>
      <x:c r="X627" s="9"/>
      <x:c r="Y627" s="9"/>
      <x:c r="Z627" s="9"/>
      <x:c r="AA627" s="9"/>
      <x:c r="AB627" s="9"/>
      <x:c r="AC627" s="9"/>
      <x:c r="AD627" s="9"/>
      <x:c r="AE627" s="2"/>
      <x:c r="AF627" s="9"/>
      <x:c r="AG627" s="9"/>
      <x:c r="AH627" s="2"/>
    </x:row>
    <x:row r="628" ht="14.25" customHeight="1">
      <x:c r="A628" s="2"/>
      <x:c r="B628" s="9"/>
      <x:c r="C628" s="9"/>
      <x:c r="D628" s="9"/>
      <x:c r="E628" s="9"/>
      <x:c r="F628" s="9"/>
      <x:c r="G628" s="9"/>
      <x:c r="H628" s="9"/>
      <x:c r="I628" s="9"/>
      <x:c r="J628" s="9"/>
      <x:c r="K628" s="9"/>
      <x:c r="L628" s="9"/>
      <x:c r="M628" s="9"/>
      <x:c r="N628" s="9"/>
      <x:c r="O628" s="9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  <x:c r="AA628" s="9"/>
      <x:c r="AB628" s="9"/>
      <x:c r="AC628" s="9"/>
      <x:c r="AD628" s="9"/>
      <x:c r="AE628" s="2"/>
      <x:c r="AF628" s="9"/>
      <x:c r="AG628" s="9"/>
      <x:c r="AH628" s="2"/>
    </x:row>
    <x:row r="629" ht="14.25" customHeight="1">
      <x:c r="A629" s="2"/>
      <x:c r="B629" s="9"/>
      <x:c r="C629" s="9"/>
      <x:c r="D629" s="9"/>
      <x:c r="E629" s="9"/>
      <x:c r="F629" s="9"/>
      <x:c r="G629" s="9"/>
      <x:c r="H629" s="9"/>
      <x:c r="I629" s="9"/>
      <x:c r="J629" s="9"/>
      <x:c r="K629" s="9"/>
      <x:c r="L629" s="9"/>
      <x:c r="M629" s="9"/>
      <x:c r="N629" s="9"/>
      <x:c r="O629" s="9"/>
      <x:c r="P629" s="9"/>
      <x:c r="Q629" s="9"/>
      <x:c r="R629" s="9"/>
      <x:c r="S629" s="9"/>
      <x:c r="T629" s="9"/>
      <x:c r="U629" s="9"/>
      <x:c r="V629" s="9"/>
      <x:c r="W629" s="9"/>
      <x:c r="X629" s="9"/>
      <x:c r="Y629" s="9"/>
      <x:c r="Z629" s="9"/>
      <x:c r="AA629" s="9"/>
      <x:c r="AB629" s="9"/>
      <x:c r="AC629" s="9"/>
      <x:c r="AD629" s="9"/>
      <x:c r="AE629" s="2"/>
      <x:c r="AF629" s="9"/>
      <x:c r="AG629" s="9"/>
      <x:c r="AH629" s="2"/>
    </x:row>
    <x:row r="630" ht="14.25" customHeight="1">
      <x:c r="A630" s="2"/>
      <x:c r="B630" s="9"/>
      <x:c r="C630" s="9"/>
      <x:c r="D630" s="9"/>
      <x:c r="E630" s="9"/>
      <x:c r="F630" s="9"/>
      <x:c r="G630" s="9"/>
      <x:c r="H630" s="9"/>
      <x:c r="I630" s="9"/>
      <x:c r="J630" s="9"/>
      <x:c r="K630" s="9"/>
      <x:c r="L630" s="9"/>
      <x:c r="M630" s="9"/>
      <x:c r="N630" s="9"/>
      <x:c r="O630" s="9"/>
      <x:c r="P630" s="9"/>
      <x:c r="Q630" s="9"/>
      <x:c r="R630" s="9"/>
      <x:c r="S630" s="9"/>
      <x:c r="T630" s="9"/>
      <x:c r="U630" s="9"/>
      <x:c r="V630" s="9"/>
      <x:c r="W630" s="9"/>
      <x:c r="X630" s="9"/>
      <x:c r="Y630" s="9"/>
      <x:c r="Z630" s="9"/>
      <x:c r="AA630" s="9"/>
      <x:c r="AB630" s="9"/>
      <x:c r="AC630" s="9"/>
      <x:c r="AD630" s="9"/>
      <x:c r="AE630" s="2"/>
      <x:c r="AF630" s="9"/>
      <x:c r="AG630" s="9"/>
      <x:c r="AH630" s="2"/>
    </x:row>
    <x:row r="631" ht="14.25" customHeight="1">
      <x:c r="A631" s="2"/>
      <x:c r="B631" s="9"/>
      <x:c r="C631" s="9"/>
      <x:c r="D631" s="9"/>
      <x:c r="E631" s="9"/>
      <x:c r="F631" s="9"/>
      <x:c r="G631" s="9"/>
      <x:c r="H631" s="9"/>
      <x:c r="I631" s="9"/>
      <x:c r="J631" s="9"/>
      <x:c r="K631" s="9"/>
      <x:c r="L631" s="9"/>
      <x:c r="M631" s="9"/>
      <x:c r="N631" s="9"/>
      <x:c r="O631" s="9"/>
      <x:c r="P631" s="9"/>
      <x:c r="Q631" s="9"/>
      <x:c r="R631" s="9"/>
      <x:c r="S631" s="9"/>
      <x:c r="T631" s="9"/>
      <x:c r="U631" s="9"/>
      <x:c r="V631" s="9"/>
      <x:c r="W631" s="9"/>
      <x:c r="X631" s="9"/>
      <x:c r="Y631" s="9"/>
      <x:c r="Z631" s="9"/>
      <x:c r="AA631" s="9"/>
      <x:c r="AB631" s="9"/>
      <x:c r="AC631" s="9"/>
      <x:c r="AD631" s="9"/>
      <x:c r="AE631" s="2"/>
      <x:c r="AF631" s="9"/>
      <x:c r="AG631" s="9"/>
      <x:c r="AH631" s="2"/>
    </x:row>
    <x:row r="632" ht="14.25" customHeight="1">
      <x:c r="A632" s="2"/>
      <x:c r="B632" s="9"/>
      <x:c r="C632" s="9"/>
      <x:c r="D632" s="9"/>
      <x:c r="E632" s="9"/>
      <x:c r="F632" s="9"/>
      <x:c r="G632" s="9"/>
      <x:c r="H632" s="9"/>
      <x:c r="I632" s="9"/>
      <x:c r="J632" s="9"/>
      <x:c r="K632" s="9"/>
      <x:c r="L632" s="9"/>
      <x:c r="M632" s="9"/>
      <x:c r="N632" s="9"/>
      <x:c r="O632" s="9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  <x:c r="AA632" s="9"/>
      <x:c r="AB632" s="9"/>
      <x:c r="AC632" s="9"/>
      <x:c r="AD632" s="9"/>
      <x:c r="AE632" s="2"/>
      <x:c r="AF632" s="9"/>
      <x:c r="AG632" s="9"/>
      <x:c r="AH632" s="2"/>
    </x:row>
    <x:row r="633" ht="14.25" customHeight="1">
      <x:c r="A633" s="2"/>
      <x:c r="B633" s="9"/>
      <x:c r="C633" s="9"/>
      <x:c r="D633" s="9"/>
      <x:c r="E633" s="9"/>
      <x:c r="F633" s="9"/>
      <x:c r="G633" s="9"/>
      <x:c r="H633" s="9"/>
      <x:c r="I633" s="9"/>
      <x:c r="J633" s="9"/>
      <x:c r="K633" s="9"/>
      <x:c r="L633" s="9"/>
      <x:c r="M633" s="9"/>
      <x:c r="N633" s="9"/>
      <x:c r="O633" s="9"/>
      <x:c r="P633" s="9"/>
      <x:c r="Q633" s="9"/>
      <x:c r="R633" s="9"/>
      <x:c r="S633" s="9"/>
      <x:c r="T633" s="9"/>
      <x:c r="U633" s="9"/>
      <x:c r="V633" s="9"/>
      <x:c r="W633" s="9"/>
      <x:c r="X633" s="9"/>
      <x:c r="Y633" s="9"/>
      <x:c r="Z633" s="9"/>
      <x:c r="AA633" s="9"/>
      <x:c r="AB633" s="9"/>
      <x:c r="AC633" s="9"/>
      <x:c r="AD633" s="9"/>
      <x:c r="AE633" s="2"/>
      <x:c r="AF633" s="9"/>
      <x:c r="AG633" s="9"/>
      <x:c r="AH633" s="2"/>
    </x:row>
    <x:row r="634" ht="14.25" customHeight="1">
      <x:c r="A634" s="2"/>
      <x:c r="B634" s="9"/>
      <x:c r="C634" s="9"/>
      <x:c r="D634" s="9"/>
      <x:c r="E634" s="9"/>
      <x:c r="F634" s="9"/>
      <x:c r="G634" s="9"/>
      <x:c r="H634" s="9"/>
      <x:c r="I634" s="9"/>
      <x:c r="J634" s="9"/>
      <x:c r="K634" s="9"/>
      <x:c r="L634" s="9"/>
      <x:c r="M634" s="9"/>
      <x:c r="N634" s="9"/>
      <x:c r="O634" s="9"/>
      <x:c r="P634" s="9"/>
      <x:c r="Q634" s="9"/>
      <x:c r="R634" s="9"/>
      <x:c r="S634" s="9"/>
      <x:c r="T634" s="9"/>
      <x:c r="U634" s="9"/>
      <x:c r="V634" s="9"/>
      <x:c r="W634" s="9"/>
      <x:c r="X634" s="9"/>
      <x:c r="Y634" s="9"/>
      <x:c r="Z634" s="9"/>
      <x:c r="AA634" s="9"/>
      <x:c r="AB634" s="9"/>
      <x:c r="AC634" s="9"/>
      <x:c r="AD634" s="9"/>
      <x:c r="AE634" s="2"/>
      <x:c r="AF634" s="9"/>
      <x:c r="AG634" s="9"/>
      <x:c r="AH634" s="2"/>
    </x:row>
    <x:row r="635" ht="14.25" customHeight="1">
      <x:c r="A635" s="2"/>
      <x:c r="B635" s="9"/>
      <x:c r="C635" s="9"/>
      <x:c r="D635" s="9"/>
      <x:c r="E635" s="9"/>
      <x:c r="F635" s="9"/>
      <x:c r="G635" s="9"/>
      <x:c r="H635" s="9"/>
      <x:c r="I635" s="9"/>
      <x:c r="J635" s="9"/>
      <x:c r="K635" s="9"/>
      <x:c r="L635" s="9"/>
      <x:c r="M635" s="9"/>
      <x:c r="N635" s="9"/>
      <x:c r="O635" s="9"/>
      <x:c r="P635" s="9"/>
      <x:c r="Q635" s="9"/>
      <x:c r="R635" s="9"/>
      <x:c r="S635" s="9"/>
      <x:c r="T635" s="9"/>
      <x:c r="U635" s="9"/>
      <x:c r="V635" s="9"/>
      <x:c r="W635" s="9"/>
      <x:c r="X635" s="9"/>
      <x:c r="Y635" s="9"/>
      <x:c r="Z635" s="9"/>
      <x:c r="AA635" s="9"/>
      <x:c r="AB635" s="9"/>
      <x:c r="AC635" s="9"/>
      <x:c r="AD635" s="9"/>
      <x:c r="AE635" s="2"/>
      <x:c r="AF635" s="9"/>
      <x:c r="AG635" s="9"/>
      <x:c r="AH635" s="2"/>
    </x:row>
    <x:row r="636" ht="14.25" customHeight="1">
      <x:c r="A636" s="2"/>
      <x:c r="B636" s="9"/>
      <x:c r="C636" s="9"/>
      <x:c r="D636" s="9"/>
      <x:c r="E636" s="9"/>
      <x:c r="F636" s="9"/>
      <x:c r="G636" s="9"/>
      <x:c r="H636" s="9"/>
      <x:c r="I636" s="9"/>
      <x:c r="J636" s="9"/>
      <x:c r="K636" s="9"/>
      <x:c r="L636" s="9"/>
      <x:c r="M636" s="9"/>
      <x:c r="N636" s="9"/>
      <x:c r="O636" s="9"/>
      <x:c r="P636" s="9"/>
      <x:c r="Q636" s="9"/>
      <x:c r="R636" s="9"/>
      <x:c r="S636" s="9"/>
      <x:c r="T636" s="9"/>
      <x:c r="U636" s="9"/>
      <x:c r="V636" s="9"/>
      <x:c r="W636" s="9"/>
      <x:c r="X636" s="9"/>
      <x:c r="Y636" s="9"/>
      <x:c r="Z636" s="9"/>
      <x:c r="AA636" s="9"/>
      <x:c r="AB636" s="9"/>
      <x:c r="AC636" s="9"/>
      <x:c r="AD636" s="9"/>
      <x:c r="AE636" s="2"/>
      <x:c r="AF636" s="9"/>
      <x:c r="AG636" s="9"/>
      <x:c r="AH636" s="2"/>
    </x:row>
    <x:row r="637" ht="14.25" customHeight="1">
      <x:c r="A637" s="2"/>
      <x:c r="B637" s="9"/>
      <x:c r="C637" s="9"/>
      <x:c r="D637" s="9"/>
      <x:c r="E637" s="9"/>
      <x:c r="F637" s="9"/>
      <x:c r="G637" s="9"/>
      <x:c r="H637" s="9"/>
      <x:c r="I637" s="9"/>
      <x:c r="J637" s="9"/>
      <x:c r="K637" s="9"/>
      <x:c r="L637" s="9"/>
      <x:c r="M637" s="9"/>
      <x:c r="N637" s="9"/>
      <x:c r="O637" s="9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  <x:c r="AA637" s="9"/>
      <x:c r="AB637" s="9"/>
      <x:c r="AC637" s="9"/>
      <x:c r="AD637" s="9"/>
      <x:c r="AE637" s="2"/>
      <x:c r="AF637" s="9"/>
      <x:c r="AG637" s="9"/>
      <x:c r="AH637" s="2"/>
    </x:row>
    <x:row r="638" ht="14.25" customHeight="1">
      <x:c r="A638" s="2"/>
      <x:c r="B638" s="9"/>
      <x:c r="C638" s="9"/>
      <x:c r="D638" s="9"/>
      <x:c r="E638" s="9"/>
      <x:c r="F638" s="9"/>
      <x:c r="G638" s="9"/>
      <x:c r="H638" s="9"/>
      <x:c r="I638" s="9"/>
      <x:c r="J638" s="9"/>
      <x:c r="K638" s="9"/>
      <x:c r="L638" s="9"/>
      <x:c r="M638" s="9"/>
      <x:c r="N638" s="9"/>
      <x:c r="O638" s="9"/>
      <x:c r="P638" s="9"/>
      <x:c r="Q638" s="9"/>
      <x:c r="R638" s="9"/>
      <x:c r="S638" s="9"/>
      <x:c r="T638" s="9"/>
      <x:c r="U638" s="9"/>
      <x:c r="V638" s="9"/>
      <x:c r="W638" s="9"/>
      <x:c r="X638" s="9"/>
      <x:c r="Y638" s="9"/>
      <x:c r="Z638" s="9"/>
      <x:c r="AA638" s="9"/>
      <x:c r="AB638" s="9"/>
      <x:c r="AC638" s="9"/>
      <x:c r="AD638" s="9"/>
      <x:c r="AE638" s="2"/>
      <x:c r="AF638" s="9"/>
      <x:c r="AG638" s="9"/>
      <x:c r="AH638" s="2"/>
    </x:row>
    <x:row r="639" ht="14.25" customHeight="1">
      <x:c r="A639" s="2"/>
      <x:c r="B639" s="9"/>
      <x:c r="C639" s="9"/>
      <x:c r="D639" s="9"/>
      <x:c r="E639" s="9"/>
      <x:c r="F639" s="9"/>
      <x:c r="G639" s="9"/>
      <x:c r="H639" s="9"/>
      <x:c r="I639" s="9"/>
      <x:c r="J639" s="9"/>
      <x:c r="K639" s="9"/>
      <x:c r="L639" s="9"/>
      <x:c r="M639" s="9"/>
      <x:c r="N639" s="9"/>
      <x:c r="O639" s="9"/>
      <x:c r="P639" s="9"/>
      <x:c r="Q639" s="9"/>
      <x:c r="R639" s="9"/>
      <x:c r="S639" s="9"/>
      <x:c r="T639" s="9"/>
      <x:c r="U639" s="9"/>
      <x:c r="V639" s="9"/>
      <x:c r="W639" s="9"/>
      <x:c r="X639" s="9"/>
      <x:c r="Y639" s="9"/>
      <x:c r="Z639" s="9"/>
      <x:c r="AA639" s="9"/>
      <x:c r="AB639" s="9"/>
      <x:c r="AC639" s="9"/>
      <x:c r="AD639" s="9"/>
      <x:c r="AE639" s="2"/>
      <x:c r="AF639" s="9"/>
      <x:c r="AG639" s="9"/>
      <x:c r="AH639" s="2"/>
    </x:row>
    <x:row r="640" ht="14.25" customHeight="1">
      <x:c r="A640" s="2"/>
      <x:c r="B640" s="9"/>
      <x:c r="C640" s="9"/>
      <x:c r="D640" s="9"/>
      <x:c r="E640" s="9"/>
      <x:c r="F640" s="9"/>
      <x:c r="G640" s="9"/>
      <x:c r="H640" s="9"/>
      <x:c r="I640" s="9"/>
      <x:c r="J640" s="9"/>
      <x:c r="K640" s="9"/>
      <x:c r="L640" s="9"/>
      <x:c r="M640" s="9"/>
      <x:c r="N640" s="9"/>
      <x:c r="O640" s="9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  <x:c r="AA640" s="9"/>
      <x:c r="AB640" s="9"/>
      <x:c r="AC640" s="9"/>
      <x:c r="AD640" s="9"/>
      <x:c r="AE640" s="2"/>
      <x:c r="AF640" s="9"/>
      <x:c r="AG640" s="9"/>
      <x:c r="AH640" s="2"/>
    </x:row>
    <x:row r="641" ht="14.25" customHeight="1">
      <x:c r="A641" s="2"/>
      <x:c r="B641" s="9"/>
      <x:c r="C641" s="9"/>
      <x:c r="D641" s="9"/>
      <x:c r="E641" s="9"/>
      <x:c r="F641" s="9"/>
      <x:c r="G641" s="9"/>
      <x:c r="H641" s="9"/>
      <x:c r="I641" s="9"/>
      <x:c r="J641" s="9"/>
      <x:c r="K641" s="9"/>
      <x:c r="L641" s="9"/>
      <x:c r="M641" s="9"/>
      <x:c r="N641" s="9"/>
      <x:c r="O641" s="9"/>
      <x:c r="P641" s="9"/>
      <x:c r="Q641" s="9"/>
      <x:c r="R641" s="9"/>
      <x:c r="S641" s="9"/>
      <x:c r="T641" s="9"/>
      <x:c r="U641" s="9"/>
      <x:c r="V641" s="9"/>
      <x:c r="W641" s="9"/>
      <x:c r="X641" s="9"/>
      <x:c r="Y641" s="9"/>
      <x:c r="Z641" s="9"/>
      <x:c r="AA641" s="9"/>
      <x:c r="AB641" s="9"/>
      <x:c r="AC641" s="9"/>
      <x:c r="AD641" s="9"/>
      <x:c r="AE641" s="2"/>
      <x:c r="AF641" s="9"/>
      <x:c r="AG641" s="9"/>
      <x:c r="AH641" s="2"/>
    </x:row>
    <x:row r="642" ht="14.25" customHeight="1">
      <x:c r="A642" s="2"/>
      <x:c r="B642" s="9"/>
      <x:c r="C642" s="9"/>
      <x:c r="D642" s="9"/>
      <x:c r="E642" s="9"/>
      <x:c r="F642" s="9"/>
      <x:c r="G642" s="9"/>
      <x:c r="H642" s="9"/>
      <x:c r="I642" s="9"/>
      <x:c r="J642" s="9"/>
      <x:c r="K642" s="9"/>
      <x:c r="L642" s="9"/>
      <x:c r="M642" s="9"/>
      <x:c r="N642" s="9"/>
      <x:c r="O642" s="9"/>
      <x:c r="P642" s="9"/>
      <x:c r="Q642" s="9"/>
      <x:c r="R642" s="9"/>
      <x:c r="S642" s="9"/>
      <x:c r="T642" s="9"/>
      <x:c r="U642" s="9"/>
      <x:c r="V642" s="9"/>
      <x:c r="W642" s="9"/>
      <x:c r="X642" s="9"/>
      <x:c r="Y642" s="9"/>
      <x:c r="Z642" s="9"/>
      <x:c r="AA642" s="9"/>
      <x:c r="AB642" s="9"/>
      <x:c r="AC642" s="9"/>
      <x:c r="AD642" s="9"/>
      <x:c r="AE642" s="2"/>
      <x:c r="AF642" s="9"/>
      <x:c r="AG642" s="9"/>
      <x:c r="AH642" s="2"/>
    </x:row>
    <x:row r="643" ht="14.25" customHeight="1">
      <x:c r="A643" s="2"/>
      <x:c r="B643" s="9"/>
      <x:c r="C643" s="9"/>
      <x:c r="D643" s="9"/>
      <x:c r="E643" s="9"/>
      <x:c r="F643" s="9"/>
      <x:c r="G643" s="9"/>
      <x:c r="H643" s="9"/>
      <x:c r="I643" s="9"/>
      <x:c r="J643" s="9"/>
      <x:c r="K643" s="9"/>
      <x:c r="L643" s="9"/>
      <x:c r="M643" s="9"/>
      <x:c r="N643" s="9"/>
      <x:c r="O643" s="9"/>
      <x:c r="P643" s="9"/>
      <x:c r="Q643" s="9"/>
      <x:c r="R643" s="9"/>
      <x:c r="S643" s="9"/>
      <x:c r="T643" s="9"/>
      <x:c r="U643" s="9"/>
      <x:c r="V643" s="9"/>
      <x:c r="W643" s="9"/>
      <x:c r="X643" s="9"/>
      <x:c r="Y643" s="9"/>
      <x:c r="Z643" s="9"/>
      <x:c r="AA643" s="9"/>
      <x:c r="AB643" s="9"/>
      <x:c r="AC643" s="9"/>
      <x:c r="AD643" s="9"/>
      <x:c r="AE643" s="2"/>
      <x:c r="AF643" s="9"/>
      <x:c r="AG643" s="9"/>
      <x:c r="AH643" s="2"/>
    </x:row>
    <x:row r="644" ht="14.25" customHeight="1">
      <x:c r="A644" s="2"/>
      <x:c r="B644" s="9"/>
      <x:c r="C644" s="9"/>
      <x:c r="D644" s="9"/>
      <x:c r="E644" s="9"/>
      <x:c r="F644" s="9"/>
      <x:c r="G644" s="9"/>
      <x:c r="H644" s="9"/>
      <x:c r="I644" s="9"/>
      <x:c r="J644" s="9"/>
      <x:c r="K644" s="9"/>
      <x:c r="L644" s="9"/>
      <x:c r="M644" s="9"/>
      <x:c r="N644" s="9"/>
      <x:c r="O644" s="9"/>
      <x:c r="P644" s="9"/>
      <x:c r="Q644" s="9"/>
      <x:c r="R644" s="9"/>
      <x:c r="S644" s="9"/>
      <x:c r="T644" s="9"/>
      <x:c r="U644" s="9"/>
      <x:c r="V644" s="9"/>
      <x:c r="W644" s="9"/>
      <x:c r="X644" s="9"/>
      <x:c r="Y644" s="9"/>
      <x:c r="Z644" s="9"/>
      <x:c r="AA644" s="9"/>
      <x:c r="AB644" s="9"/>
      <x:c r="AC644" s="9"/>
      <x:c r="AD644" s="9"/>
      <x:c r="AE644" s="2"/>
      <x:c r="AF644" s="9"/>
      <x:c r="AG644" s="9"/>
      <x:c r="AH644" s="2"/>
    </x:row>
    <x:row r="645" ht="14.25" customHeight="1">
      <x:c r="A645" s="2"/>
      <x:c r="B645" s="9"/>
      <x:c r="C645" s="9"/>
      <x:c r="D645" s="9"/>
      <x:c r="E645" s="9"/>
      <x:c r="F645" s="9"/>
      <x:c r="G645" s="9"/>
      <x:c r="H645" s="9"/>
      <x:c r="I645" s="9"/>
      <x:c r="J645" s="9"/>
      <x:c r="K645" s="9"/>
      <x:c r="L645" s="9"/>
      <x:c r="M645" s="9"/>
      <x:c r="N645" s="9"/>
      <x:c r="O645" s="9"/>
      <x:c r="P645" s="9"/>
      <x:c r="Q645" s="9"/>
      <x:c r="R645" s="9"/>
      <x:c r="S645" s="9"/>
      <x:c r="T645" s="9"/>
      <x:c r="U645" s="9"/>
      <x:c r="V645" s="9"/>
      <x:c r="W645" s="9"/>
      <x:c r="X645" s="9"/>
      <x:c r="Y645" s="9"/>
      <x:c r="Z645" s="9"/>
      <x:c r="AA645" s="9"/>
      <x:c r="AB645" s="9"/>
      <x:c r="AC645" s="9"/>
      <x:c r="AD645" s="9"/>
      <x:c r="AE645" s="2"/>
      <x:c r="AF645" s="9"/>
      <x:c r="AG645" s="9"/>
      <x:c r="AH645" s="2"/>
    </x:row>
    <x:row r="646" ht="14.25" customHeight="1">
      <x:c r="A646" s="2"/>
      <x:c r="B646" s="9"/>
      <x:c r="C646" s="9"/>
      <x:c r="D646" s="9"/>
      <x:c r="E646" s="9"/>
      <x:c r="F646" s="9"/>
      <x:c r="G646" s="9"/>
      <x:c r="H646" s="9"/>
      <x:c r="I646" s="9"/>
      <x:c r="J646" s="9"/>
      <x:c r="K646" s="9"/>
      <x:c r="L646" s="9"/>
      <x:c r="M646" s="9"/>
      <x:c r="N646" s="9"/>
      <x:c r="O646" s="9"/>
      <x:c r="P646" s="9"/>
      <x:c r="Q646" s="9"/>
      <x:c r="R646" s="9"/>
      <x:c r="S646" s="9"/>
      <x:c r="T646" s="9"/>
      <x:c r="U646" s="9"/>
      <x:c r="V646" s="9"/>
      <x:c r="W646" s="9"/>
      <x:c r="X646" s="9"/>
      <x:c r="Y646" s="9"/>
      <x:c r="Z646" s="9"/>
      <x:c r="AA646" s="9"/>
      <x:c r="AB646" s="9"/>
      <x:c r="AC646" s="9"/>
      <x:c r="AD646" s="9"/>
      <x:c r="AE646" s="2"/>
      <x:c r="AF646" s="9"/>
      <x:c r="AG646" s="9"/>
      <x:c r="AH646" s="2"/>
    </x:row>
    <x:row r="647" ht="14.25" customHeight="1">
      <x:c r="A647" s="2"/>
      <x:c r="B647" s="9"/>
      <x:c r="C647" s="9"/>
      <x:c r="D647" s="9"/>
      <x:c r="E647" s="9"/>
      <x:c r="F647" s="9"/>
      <x:c r="G647" s="9"/>
      <x:c r="H647" s="9"/>
      <x:c r="I647" s="9"/>
      <x:c r="J647" s="9"/>
      <x:c r="K647" s="9"/>
      <x:c r="L647" s="9"/>
      <x:c r="M647" s="9"/>
      <x:c r="N647" s="9"/>
      <x:c r="O647" s="9"/>
      <x:c r="P647" s="9"/>
      <x:c r="Q647" s="9"/>
      <x:c r="R647" s="9"/>
      <x:c r="S647" s="9"/>
      <x:c r="T647" s="9"/>
      <x:c r="U647" s="9"/>
      <x:c r="V647" s="9"/>
      <x:c r="W647" s="9"/>
      <x:c r="X647" s="9"/>
      <x:c r="Y647" s="9"/>
      <x:c r="Z647" s="9"/>
      <x:c r="AA647" s="9"/>
      <x:c r="AB647" s="9"/>
      <x:c r="AC647" s="9"/>
      <x:c r="AD647" s="9"/>
      <x:c r="AE647" s="2"/>
      <x:c r="AF647" s="9"/>
      <x:c r="AG647" s="9"/>
      <x:c r="AH647" s="2"/>
    </x:row>
    <x:row r="648" ht="14.25" customHeight="1">
      <x:c r="A648" s="2"/>
      <x:c r="B648" s="9"/>
      <x:c r="C648" s="9"/>
      <x:c r="D648" s="9"/>
      <x:c r="E648" s="9"/>
      <x:c r="F648" s="9"/>
      <x:c r="G648" s="9"/>
      <x:c r="H648" s="9"/>
      <x:c r="I648" s="9"/>
      <x:c r="J648" s="9"/>
      <x:c r="K648" s="9"/>
      <x:c r="L648" s="9"/>
      <x:c r="M648" s="9"/>
      <x:c r="N648" s="9"/>
      <x:c r="O648" s="9"/>
      <x:c r="P648" s="9"/>
      <x:c r="Q648" s="9"/>
      <x:c r="R648" s="9"/>
      <x:c r="S648" s="9"/>
      <x:c r="T648" s="9"/>
      <x:c r="U648" s="9"/>
      <x:c r="V648" s="9"/>
      <x:c r="W648" s="9"/>
      <x:c r="X648" s="9"/>
      <x:c r="Y648" s="9"/>
      <x:c r="Z648" s="9"/>
      <x:c r="AA648" s="9"/>
      <x:c r="AB648" s="9"/>
      <x:c r="AC648" s="9"/>
      <x:c r="AD648" s="9"/>
      <x:c r="AE648" s="2"/>
      <x:c r="AF648" s="9"/>
      <x:c r="AG648" s="9"/>
      <x:c r="AH648" s="2"/>
    </x:row>
    <x:row r="649" ht="14.25" customHeight="1">
      <x:c r="A649" s="2"/>
      <x:c r="B649" s="9"/>
      <x:c r="C649" s="9"/>
      <x:c r="D649" s="9"/>
      <x:c r="E649" s="9"/>
      <x:c r="F649" s="9"/>
      <x:c r="G649" s="9"/>
      <x:c r="H649" s="9"/>
      <x:c r="I649" s="9"/>
      <x:c r="J649" s="9"/>
      <x:c r="K649" s="9"/>
      <x:c r="L649" s="9"/>
      <x:c r="M649" s="9"/>
      <x:c r="N649" s="9"/>
      <x:c r="O649" s="9"/>
      <x:c r="P649" s="9"/>
      <x:c r="Q649" s="9"/>
      <x:c r="R649" s="9"/>
      <x:c r="S649" s="9"/>
      <x:c r="T649" s="9"/>
      <x:c r="U649" s="9"/>
      <x:c r="V649" s="9"/>
      <x:c r="W649" s="9"/>
      <x:c r="X649" s="9"/>
      <x:c r="Y649" s="9"/>
      <x:c r="Z649" s="9"/>
      <x:c r="AA649" s="9"/>
      <x:c r="AB649" s="9"/>
      <x:c r="AC649" s="9"/>
      <x:c r="AD649" s="9"/>
      <x:c r="AE649" s="2"/>
      <x:c r="AF649" s="9"/>
      <x:c r="AG649" s="9"/>
      <x:c r="AH649" s="2"/>
    </x:row>
    <x:row r="650" ht="14.25" customHeight="1">
      <x:c r="A650" s="2"/>
      <x:c r="B650" s="9"/>
      <x:c r="C650" s="9"/>
      <x:c r="D650" s="9"/>
      <x:c r="E650" s="9"/>
      <x:c r="F650" s="9"/>
      <x:c r="G650" s="9"/>
      <x:c r="H650" s="9"/>
      <x:c r="I650" s="9"/>
      <x:c r="J650" s="9"/>
      <x:c r="K650" s="9"/>
      <x:c r="L650" s="9"/>
      <x:c r="M650" s="9"/>
      <x:c r="N650" s="9"/>
      <x:c r="O650" s="9"/>
      <x:c r="P650" s="9"/>
      <x:c r="Q650" s="9"/>
      <x:c r="R650" s="9"/>
      <x:c r="S650" s="9"/>
      <x:c r="T650" s="9"/>
      <x:c r="U650" s="9"/>
      <x:c r="V650" s="9"/>
      <x:c r="W650" s="9"/>
      <x:c r="X650" s="9"/>
      <x:c r="Y650" s="9"/>
      <x:c r="Z650" s="9"/>
      <x:c r="AA650" s="9"/>
      <x:c r="AB650" s="9"/>
      <x:c r="AC650" s="9"/>
      <x:c r="AD650" s="9"/>
      <x:c r="AE650" s="2"/>
      <x:c r="AF650" s="9"/>
      <x:c r="AG650" s="9"/>
      <x:c r="AH650" s="2"/>
    </x:row>
    <x:row r="651" ht="14.25" customHeight="1">
      <x:c r="A651" s="2"/>
      <x:c r="B651" s="9"/>
      <x:c r="C651" s="9"/>
      <x:c r="D651" s="9"/>
      <x:c r="E651" s="9"/>
      <x:c r="F651" s="9"/>
      <x:c r="G651" s="9"/>
      <x:c r="H651" s="9"/>
      <x:c r="I651" s="9"/>
      <x:c r="J651" s="9"/>
      <x:c r="K651" s="9"/>
      <x:c r="L651" s="9"/>
      <x:c r="M651" s="9"/>
      <x:c r="N651" s="9"/>
      <x:c r="O651" s="9"/>
      <x:c r="P651" s="9"/>
      <x:c r="Q651" s="9"/>
      <x:c r="R651" s="9"/>
      <x:c r="S651" s="9"/>
      <x:c r="T651" s="9"/>
      <x:c r="U651" s="9"/>
      <x:c r="V651" s="9"/>
      <x:c r="W651" s="9"/>
      <x:c r="X651" s="9"/>
      <x:c r="Y651" s="9"/>
      <x:c r="Z651" s="9"/>
      <x:c r="AA651" s="9"/>
      <x:c r="AB651" s="9"/>
      <x:c r="AC651" s="9"/>
      <x:c r="AD651" s="9"/>
      <x:c r="AE651" s="2"/>
      <x:c r="AF651" s="9"/>
      <x:c r="AG651" s="9"/>
      <x:c r="AH651" s="2"/>
    </x:row>
    <x:row r="652" ht="14.25" customHeight="1">
      <x:c r="A652" s="2"/>
      <x:c r="B652" s="9"/>
      <x:c r="C652" s="9"/>
      <x:c r="D652" s="9"/>
      <x:c r="E652" s="9"/>
      <x:c r="F652" s="9"/>
      <x:c r="G652" s="9"/>
      <x:c r="H652" s="9"/>
      <x:c r="I652" s="9"/>
      <x:c r="J652" s="9"/>
      <x:c r="K652" s="9"/>
      <x:c r="L652" s="9"/>
      <x:c r="M652" s="9"/>
      <x:c r="N652" s="9"/>
      <x:c r="O652" s="9"/>
      <x:c r="P652" s="9"/>
      <x:c r="Q652" s="9"/>
      <x:c r="R652" s="9"/>
      <x:c r="S652" s="9"/>
      <x:c r="T652" s="9"/>
      <x:c r="U652" s="9"/>
      <x:c r="V652" s="9"/>
      <x:c r="W652" s="9"/>
      <x:c r="X652" s="9"/>
      <x:c r="Y652" s="9"/>
      <x:c r="Z652" s="9"/>
      <x:c r="AA652" s="9"/>
      <x:c r="AB652" s="9"/>
      <x:c r="AC652" s="9"/>
      <x:c r="AD652" s="9"/>
      <x:c r="AE652" s="2"/>
      <x:c r="AF652" s="9"/>
      <x:c r="AG652" s="9"/>
      <x:c r="AH652" s="2"/>
    </x:row>
    <x:row r="653" ht="14.25" customHeight="1">
      <x:c r="A653" s="2"/>
      <x:c r="B653" s="9"/>
      <x:c r="C653" s="9"/>
      <x:c r="D653" s="9"/>
      <x:c r="E653" s="9"/>
      <x:c r="F653" s="9"/>
      <x:c r="G653" s="9"/>
      <x:c r="H653" s="9"/>
      <x:c r="I653" s="9"/>
      <x:c r="J653" s="9"/>
      <x:c r="K653" s="9"/>
      <x:c r="L653" s="9"/>
      <x:c r="M653" s="9"/>
      <x:c r="N653" s="9"/>
      <x:c r="O653" s="9"/>
      <x:c r="P653" s="9"/>
      <x:c r="Q653" s="9"/>
      <x:c r="R653" s="9"/>
      <x:c r="S653" s="9"/>
      <x:c r="T653" s="9"/>
      <x:c r="U653" s="9"/>
      <x:c r="V653" s="9"/>
      <x:c r="W653" s="9"/>
      <x:c r="X653" s="9"/>
      <x:c r="Y653" s="9"/>
      <x:c r="Z653" s="9"/>
      <x:c r="AA653" s="9"/>
      <x:c r="AB653" s="9"/>
      <x:c r="AC653" s="9"/>
      <x:c r="AD653" s="9"/>
      <x:c r="AE653" s="2"/>
      <x:c r="AF653" s="9"/>
      <x:c r="AG653" s="9"/>
      <x:c r="AH653" s="2"/>
    </x:row>
    <x:row r="654" ht="14.25" customHeight="1">
      <x:c r="A654" s="2"/>
      <x:c r="B654" s="9"/>
      <x:c r="C654" s="9"/>
      <x:c r="D654" s="9"/>
      <x:c r="E654" s="9"/>
      <x:c r="F654" s="9"/>
      <x:c r="G654" s="9"/>
      <x:c r="H654" s="9"/>
      <x:c r="I654" s="9"/>
      <x:c r="J654" s="9"/>
      <x:c r="K654" s="9"/>
      <x:c r="L654" s="9"/>
      <x:c r="M654" s="9"/>
      <x:c r="N654" s="9"/>
      <x:c r="O654" s="9"/>
      <x:c r="P654" s="9"/>
      <x:c r="Q654" s="9"/>
      <x:c r="R654" s="9"/>
      <x:c r="S654" s="9"/>
      <x:c r="T654" s="9"/>
      <x:c r="U654" s="9"/>
      <x:c r="V654" s="9"/>
      <x:c r="W654" s="9"/>
      <x:c r="X654" s="9"/>
      <x:c r="Y654" s="9"/>
      <x:c r="Z654" s="9"/>
      <x:c r="AA654" s="9"/>
      <x:c r="AB654" s="9"/>
      <x:c r="AC654" s="9"/>
      <x:c r="AD654" s="9"/>
      <x:c r="AE654" s="2"/>
      <x:c r="AF654" s="9"/>
      <x:c r="AG654" s="9"/>
      <x:c r="AH654" s="2"/>
    </x:row>
    <x:row r="655" ht="14.25" customHeight="1">
      <x:c r="A655" s="2"/>
      <x:c r="B655" s="9"/>
      <x:c r="C655" s="9"/>
      <x:c r="D655" s="9"/>
      <x:c r="E655" s="9"/>
      <x:c r="F655" s="9"/>
      <x:c r="G655" s="9"/>
      <x:c r="H655" s="9"/>
      <x:c r="I655" s="9"/>
      <x:c r="J655" s="9"/>
      <x:c r="K655" s="9"/>
      <x:c r="L655" s="9"/>
      <x:c r="M655" s="9"/>
      <x:c r="N655" s="9"/>
      <x:c r="O655" s="9"/>
      <x:c r="P655" s="9"/>
      <x:c r="Q655" s="9"/>
      <x:c r="R655" s="9"/>
      <x:c r="S655" s="9"/>
      <x:c r="T655" s="9"/>
      <x:c r="U655" s="9"/>
      <x:c r="V655" s="9"/>
      <x:c r="W655" s="9"/>
      <x:c r="X655" s="9"/>
      <x:c r="Y655" s="9"/>
      <x:c r="Z655" s="9"/>
      <x:c r="AA655" s="9"/>
      <x:c r="AB655" s="9"/>
      <x:c r="AC655" s="9"/>
      <x:c r="AD655" s="9"/>
      <x:c r="AE655" s="2"/>
      <x:c r="AF655" s="9"/>
      <x:c r="AG655" s="9"/>
      <x:c r="AH655" s="2"/>
    </x:row>
    <x:row r="656" ht="14.25" customHeight="1">
      <x:c r="A656" s="2"/>
      <x:c r="B656" s="9"/>
      <x:c r="C656" s="9"/>
      <x:c r="D656" s="9"/>
      <x:c r="E656" s="9"/>
      <x:c r="F656" s="9"/>
      <x:c r="G656" s="9"/>
      <x:c r="H656" s="9"/>
      <x:c r="I656" s="9"/>
      <x:c r="J656" s="9"/>
      <x:c r="K656" s="9"/>
      <x:c r="L656" s="9"/>
      <x:c r="M656" s="9"/>
      <x:c r="N656" s="9"/>
      <x:c r="O656" s="9"/>
      <x:c r="P656" s="9"/>
      <x:c r="Q656" s="9"/>
      <x:c r="R656" s="9"/>
      <x:c r="S656" s="9"/>
      <x:c r="T656" s="9"/>
      <x:c r="U656" s="9"/>
      <x:c r="V656" s="9"/>
      <x:c r="W656" s="9"/>
      <x:c r="X656" s="9"/>
      <x:c r="Y656" s="9"/>
      <x:c r="Z656" s="9"/>
      <x:c r="AA656" s="9"/>
      <x:c r="AB656" s="9"/>
      <x:c r="AC656" s="9"/>
      <x:c r="AD656" s="9"/>
      <x:c r="AE656" s="2"/>
      <x:c r="AF656" s="9"/>
      <x:c r="AG656" s="9"/>
      <x:c r="AH656" s="2"/>
    </x:row>
    <x:row r="657" ht="14.25" customHeight="1">
      <x:c r="A657" s="2"/>
      <x:c r="B657" s="9"/>
      <x:c r="C657" s="9"/>
      <x:c r="D657" s="9"/>
      <x:c r="E657" s="9"/>
      <x:c r="F657" s="9"/>
      <x:c r="G657" s="9"/>
      <x:c r="H657" s="9"/>
      <x:c r="I657" s="9"/>
      <x:c r="J657" s="9"/>
      <x:c r="K657" s="9"/>
      <x:c r="L657" s="9"/>
      <x:c r="M657" s="9"/>
      <x:c r="N657" s="9"/>
      <x:c r="O657" s="9"/>
      <x:c r="P657" s="9"/>
      <x:c r="Q657" s="9"/>
      <x:c r="R657" s="9"/>
      <x:c r="S657" s="9"/>
      <x:c r="T657" s="9"/>
      <x:c r="U657" s="9"/>
      <x:c r="V657" s="9"/>
      <x:c r="W657" s="9"/>
      <x:c r="X657" s="9"/>
      <x:c r="Y657" s="9"/>
      <x:c r="Z657" s="9"/>
      <x:c r="AA657" s="9"/>
      <x:c r="AB657" s="9"/>
      <x:c r="AC657" s="9"/>
      <x:c r="AD657" s="9"/>
      <x:c r="AE657" s="2"/>
      <x:c r="AF657" s="9"/>
      <x:c r="AG657" s="9"/>
      <x:c r="AH657" s="2"/>
    </x:row>
    <x:row r="658" ht="14.25" customHeight="1">
      <x:c r="A658" s="2"/>
      <x:c r="B658" s="9"/>
      <x:c r="C658" s="9"/>
      <x:c r="D658" s="9"/>
      <x:c r="E658" s="9"/>
      <x:c r="F658" s="9"/>
      <x:c r="G658" s="9"/>
      <x:c r="H658" s="9"/>
      <x:c r="I658" s="9"/>
      <x:c r="J658" s="9"/>
      <x:c r="K658" s="9"/>
      <x:c r="L658" s="9"/>
      <x:c r="M658" s="9"/>
      <x:c r="N658" s="9"/>
      <x:c r="O658" s="9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  <x:c r="AA658" s="9"/>
      <x:c r="AB658" s="9"/>
      <x:c r="AC658" s="9"/>
      <x:c r="AD658" s="9"/>
      <x:c r="AE658" s="2"/>
      <x:c r="AF658" s="9"/>
      <x:c r="AG658" s="9"/>
      <x:c r="AH658" s="2"/>
    </x:row>
    <x:row r="659" ht="14.25" customHeight="1">
      <x:c r="A659" s="2"/>
      <x:c r="B659" s="9"/>
      <x:c r="C659" s="9"/>
      <x:c r="D659" s="9"/>
      <x:c r="E659" s="9"/>
      <x:c r="F659" s="9"/>
      <x:c r="G659" s="9"/>
      <x:c r="H659" s="9"/>
      <x:c r="I659" s="9"/>
      <x:c r="J659" s="9"/>
      <x:c r="K659" s="9"/>
      <x:c r="L659" s="9"/>
      <x:c r="M659" s="9"/>
      <x:c r="N659" s="9"/>
      <x:c r="O659" s="9"/>
      <x:c r="P659" s="9"/>
      <x:c r="Q659" s="9"/>
      <x:c r="R659" s="9"/>
      <x:c r="S659" s="9"/>
      <x:c r="T659" s="9"/>
      <x:c r="U659" s="9"/>
      <x:c r="V659" s="9"/>
      <x:c r="W659" s="9"/>
      <x:c r="X659" s="9"/>
      <x:c r="Y659" s="9"/>
      <x:c r="Z659" s="9"/>
      <x:c r="AA659" s="9"/>
      <x:c r="AB659" s="9"/>
      <x:c r="AC659" s="9"/>
      <x:c r="AD659" s="9"/>
      <x:c r="AE659" s="2"/>
      <x:c r="AF659" s="9"/>
      <x:c r="AG659" s="9"/>
      <x:c r="AH659" s="2"/>
    </x:row>
    <x:row r="660" ht="14.25" customHeight="1">
      <x:c r="A660" s="2"/>
      <x:c r="B660" s="9"/>
      <x:c r="C660" s="9"/>
      <x:c r="D660" s="9"/>
      <x:c r="E660" s="9"/>
      <x:c r="F660" s="9"/>
      <x:c r="G660" s="9"/>
      <x:c r="H660" s="9"/>
      <x:c r="I660" s="9"/>
      <x:c r="J660" s="9"/>
      <x:c r="K660" s="9"/>
      <x:c r="L660" s="9"/>
      <x:c r="M660" s="9"/>
      <x:c r="N660" s="9"/>
      <x:c r="O660" s="9"/>
      <x:c r="P660" s="9"/>
      <x:c r="Q660" s="9"/>
      <x:c r="R660" s="9"/>
      <x:c r="S660" s="9"/>
      <x:c r="T660" s="9"/>
      <x:c r="U660" s="9"/>
      <x:c r="V660" s="9"/>
      <x:c r="W660" s="9"/>
      <x:c r="X660" s="9"/>
      <x:c r="Y660" s="9"/>
      <x:c r="Z660" s="9"/>
      <x:c r="AA660" s="9"/>
      <x:c r="AB660" s="9"/>
      <x:c r="AC660" s="9"/>
      <x:c r="AD660" s="9"/>
      <x:c r="AE660" s="2"/>
      <x:c r="AF660" s="9"/>
      <x:c r="AG660" s="9"/>
      <x:c r="AH660" s="2"/>
    </x:row>
    <x:row r="661" ht="14.25" customHeight="1">
      <x:c r="A661" s="2"/>
      <x:c r="B661" s="9"/>
      <x:c r="C661" s="9"/>
      <x:c r="D661" s="9"/>
      <x:c r="E661" s="9"/>
      <x:c r="F661" s="9"/>
      <x:c r="G661" s="9"/>
      <x:c r="H661" s="9"/>
      <x:c r="I661" s="9"/>
      <x:c r="J661" s="9"/>
      <x:c r="K661" s="9"/>
      <x:c r="L661" s="9"/>
      <x:c r="M661" s="9"/>
      <x:c r="N661" s="9"/>
      <x:c r="O661" s="9"/>
      <x:c r="P661" s="9"/>
      <x:c r="Q661" s="9"/>
      <x:c r="R661" s="9"/>
      <x:c r="S661" s="9"/>
      <x:c r="T661" s="9"/>
      <x:c r="U661" s="9"/>
      <x:c r="V661" s="9"/>
      <x:c r="W661" s="9"/>
      <x:c r="X661" s="9"/>
      <x:c r="Y661" s="9"/>
      <x:c r="Z661" s="9"/>
      <x:c r="AA661" s="9"/>
      <x:c r="AB661" s="9"/>
      <x:c r="AC661" s="9"/>
      <x:c r="AD661" s="9"/>
      <x:c r="AE661" s="2"/>
      <x:c r="AF661" s="9"/>
      <x:c r="AG661" s="9"/>
      <x:c r="AH661" s="2"/>
    </x:row>
    <x:row r="662" ht="14.25" customHeight="1">
      <x:c r="A662" s="2"/>
      <x:c r="B662" s="9"/>
      <x:c r="C662" s="9"/>
      <x:c r="D662" s="9"/>
      <x:c r="E662" s="9"/>
      <x:c r="F662" s="9"/>
      <x:c r="G662" s="9"/>
      <x:c r="H662" s="9"/>
      <x:c r="I662" s="9"/>
      <x:c r="J662" s="9"/>
      <x:c r="K662" s="9"/>
      <x:c r="L662" s="9"/>
      <x:c r="M662" s="9"/>
      <x:c r="N662" s="9"/>
      <x:c r="O662" s="9"/>
      <x:c r="P662" s="9"/>
      <x:c r="Q662" s="9"/>
      <x:c r="R662" s="9"/>
      <x:c r="S662" s="9"/>
      <x:c r="T662" s="9"/>
      <x:c r="U662" s="9"/>
      <x:c r="V662" s="9"/>
      <x:c r="W662" s="9"/>
      <x:c r="X662" s="9"/>
      <x:c r="Y662" s="9"/>
      <x:c r="Z662" s="9"/>
      <x:c r="AA662" s="9"/>
      <x:c r="AB662" s="9"/>
      <x:c r="AC662" s="9"/>
      <x:c r="AD662" s="9"/>
      <x:c r="AE662" s="2"/>
      <x:c r="AF662" s="9"/>
      <x:c r="AG662" s="9"/>
      <x:c r="AH662" s="2"/>
    </x:row>
    <x:row r="663" ht="14.25" customHeight="1">
      <x:c r="A663" s="2"/>
      <x:c r="B663" s="9"/>
      <x:c r="C663" s="9"/>
      <x:c r="D663" s="9"/>
      <x:c r="E663" s="9"/>
      <x:c r="F663" s="9"/>
      <x:c r="G663" s="9"/>
      <x:c r="H663" s="9"/>
      <x:c r="I663" s="9"/>
      <x:c r="J663" s="9"/>
      <x:c r="K663" s="9"/>
      <x:c r="L663" s="9"/>
      <x:c r="M663" s="9"/>
      <x:c r="N663" s="9"/>
      <x:c r="O663" s="9"/>
      <x:c r="P663" s="9"/>
      <x:c r="Q663" s="9"/>
      <x:c r="R663" s="9"/>
      <x:c r="S663" s="9"/>
      <x:c r="T663" s="9"/>
      <x:c r="U663" s="9"/>
      <x:c r="V663" s="9"/>
      <x:c r="W663" s="9"/>
      <x:c r="X663" s="9"/>
      <x:c r="Y663" s="9"/>
      <x:c r="Z663" s="9"/>
      <x:c r="AA663" s="9"/>
      <x:c r="AB663" s="9"/>
      <x:c r="AC663" s="9"/>
      <x:c r="AD663" s="9"/>
      <x:c r="AE663" s="2"/>
      <x:c r="AF663" s="9"/>
      <x:c r="AG663" s="9"/>
      <x:c r="AH663" s="2"/>
    </x:row>
    <x:row r="664" ht="14.25" customHeight="1">
      <x:c r="A664" s="2"/>
      <x:c r="B664" s="9"/>
      <x:c r="C664" s="9"/>
      <x:c r="D664" s="9"/>
      <x:c r="E664" s="9"/>
      <x:c r="F664" s="9"/>
      <x:c r="G664" s="9"/>
      <x:c r="H664" s="9"/>
      <x:c r="I664" s="9"/>
      <x:c r="J664" s="9"/>
      <x:c r="K664" s="9"/>
      <x:c r="L664" s="9"/>
      <x:c r="M664" s="9"/>
      <x:c r="N664" s="9"/>
      <x:c r="O664" s="9"/>
      <x:c r="P664" s="9"/>
      <x:c r="Q664" s="9"/>
      <x:c r="R664" s="9"/>
      <x:c r="S664" s="9"/>
      <x:c r="T664" s="9"/>
      <x:c r="U664" s="9"/>
      <x:c r="V664" s="9"/>
      <x:c r="W664" s="9"/>
      <x:c r="X664" s="9"/>
      <x:c r="Y664" s="9"/>
      <x:c r="Z664" s="9"/>
      <x:c r="AA664" s="9"/>
      <x:c r="AB664" s="9"/>
      <x:c r="AC664" s="9"/>
      <x:c r="AD664" s="9"/>
      <x:c r="AE664" s="2"/>
      <x:c r="AF664" s="9"/>
      <x:c r="AG664" s="9"/>
      <x:c r="AH664" s="2"/>
    </x:row>
    <x:row r="665" ht="14.25" customHeight="1">
      <x:c r="A665" s="2"/>
      <x:c r="B665" s="9"/>
      <x:c r="C665" s="9"/>
      <x:c r="D665" s="9"/>
      <x:c r="E665" s="9"/>
      <x:c r="F665" s="9"/>
      <x:c r="G665" s="9"/>
      <x:c r="H665" s="9"/>
      <x:c r="I665" s="9"/>
      <x:c r="J665" s="9"/>
      <x:c r="K665" s="9"/>
      <x:c r="L665" s="9"/>
      <x:c r="M665" s="9"/>
      <x:c r="N665" s="9"/>
      <x:c r="O665" s="9"/>
      <x:c r="P665" s="9"/>
      <x:c r="Q665" s="9"/>
      <x:c r="R665" s="9"/>
      <x:c r="S665" s="9"/>
      <x:c r="T665" s="9"/>
      <x:c r="U665" s="9"/>
      <x:c r="V665" s="9"/>
      <x:c r="W665" s="9"/>
      <x:c r="X665" s="9"/>
      <x:c r="Y665" s="9"/>
      <x:c r="Z665" s="9"/>
      <x:c r="AA665" s="9"/>
      <x:c r="AB665" s="9"/>
      <x:c r="AC665" s="9"/>
      <x:c r="AD665" s="9"/>
      <x:c r="AE665" s="2"/>
      <x:c r="AF665" s="9"/>
      <x:c r="AG665" s="9"/>
      <x:c r="AH665" s="2"/>
    </x:row>
    <x:row r="666" ht="14.25" customHeight="1">
      <x:c r="A666" s="2"/>
      <x:c r="B666" s="9"/>
      <x:c r="C666" s="9"/>
      <x:c r="D666" s="9"/>
      <x:c r="E666" s="9"/>
      <x:c r="F666" s="9"/>
      <x:c r="G666" s="9"/>
      <x:c r="H666" s="9"/>
      <x:c r="I666" s="9"/>
      <x:c r="J666" s="9"/>
      <x:c r="K666" s="9"/>
      <x:c r="L666" s="9"/>
      <x:c r="M666" s="9"/>
      <x:c r="N666" s="9"/>
      <x:c r="O666" s="9"/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  <x:c r="AA666" s="9"/>
      <x:c r="AB666" s="9"/>
      <x:c r="AC666" s="9"/>
      <x:c r="AD666" s="9"/>
      <x:c r="AE666" s="2"/>
      <x:c r="AF666" s="9"/>
      <x:c r="AG666" s="9"/>
      <x:c r="AH666" s="2"/>
    </x:row>
    <x:row r="667" ht="14.25" customHeight="1">
      <x:c r="A667" s="2"/>
      <x:c r="B667" s="9"/>
      <x:c r="C667" s="9"/>
      <x:c r="D667" s="9"/>
      <x:c r="E667" s="9"/>
      <x:c r="F667" s="9"/>
      <x:c r="G667" s="9"/>
      <x:c r="H667" s="9"/>
      <x:c r="I667" s="9"/>
      <x:c r="J667" s="9"/>
      <x:c r="K667" s="9"/>
      <x:c r="L667" s="9"/>
      <x:c r="M667" s="9"/>
      <x:c r="N667" s="9"/>
      <x:c r="O667" s="9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  <x:c r="AA667" s="9"/>
      <x:c r="AB667" s="9"/>
      <x:c r="AC667" s="9"/>
      <x:c r="AD667" s="9"/>
      <x:c r="AE667" s="2"/>
      <x:c r="AF667" s="9"/>
      <x:c r="AG667" s="9"/>
      <x:c r="AH667" s="2"/>
    </x:row>
    <x:row r="668" ht="14.25" customHeight="1">
      <x:c r="A668" s="2"/>
      <x:c r="B668" s="9"/>
      <x:c r="C668" s="9"/>
      <x:c r="D668" s="9"/>
      <x:c r="E668" s="9"/>
      <x:c r="F668" s="9"/>
      <x:c r="G668" s="9"/>
      <x:c r="H668" s="9"/>
      <x:c r="I668" s="9"/>
      <x:c r="J668" s="9"/>
      <x:c r="K668" s="9"/>
      <x:c r="L668" s="9"/>
      <x:c r="M668" s="9"/>
      <x:c r="N668" s="9"/>
      <x:c r="O668" s="9"/>
      <x:c r="P668" s="9"/>
      <x:c r="Q668" s="9"/>
      <x:c r="R668" s="9"/>
      <x:c r="S668" s="9"/>
      <x:c r="T668" s="9"/>
      <x:c r="U668" s="9"/>
      <x:c r="V668" s="9"/>
      <x:c r="W668" s="9"/>
      <x:c r="X668" s="9"/>
      <x:c r="Y668" s="9"/>
      <x:c r="Z668" s="9"/>
      <x:c r="AA668" s="9"/>
      <x:c r="AB668" s="9"/>
      <x:c r="AC668" s="9"/>
      <x:c r="AD668" s="9"/>
      <x:c r="AE668" s="2"/>
      <x:c r="AF668" s="9"/>
      <x:c r="AG668" s="9"/>
      <x:c r="AH668" s="2"/>
    </x:row>
    <x:row r="669" ht="14.25" customHeight="1">
      <x:c r="A669" s="2"/>
      <x:c r="B669" s="9"/>
      <x:c r="C669" s="9"/>
      <x:c r="D669" s="9"/>
      <x:c r="E669" s="9"/>
      <x:c r="F669" s="9"/>
      <x:c r="G669" s="9"/>
      <x:c r="H669" s="9"/>
      <x:c r="I669" s="9"/>
      <x:c r="J669" s="9"/>
      <x:c r="K669" s="9"/>
      <x:c r="L669" s="9"/>
      <x:c r="M669" s="9"/>
      <x:c r="N669" s="9"/>
      <x:c r="O669" s="9"/>
      <x:c r="P669" s="9"/>
      <x:c r="Q669" s="9"/>
      <x:c r="R669" s="9"/>
      <x:c r="S669" s="9"/>
      <x:c r="T669" s="9"/>
      <x:c r="U669" s="9"/>
      <x:c r="V669" s="9"/>
      <x:c r="W669" s="9"/>
      <x:c r="X669" s="9"/>
      <x:c r="Y669" s="9"/>
      <x:c r="Z669" s="9"/>
      <x:c r="AA669" s="9"/>
      <x:c r="AB669" s="9"/>
      <x:c r="AC669" s="9"/>
      <x:c r="AD669" s="9"/>
      <x:c r="AE669" s="2"/>
      <x:c r="AF669" s="9"/>
      <x:c r="AG669" s="9"/>
      <x:c r="AH669" s="2"/>
    </x:row>
    <x:row r="670" ht="14.25" customHeight="1">
      <x:c r="A670" s="2"/>
      <x:c r="B670" s="9"/>
      <x:c r="C670" s="9"/>
      <x:c r="D670" s="9"/>
      <x:c r="E670" s="9"/>
      <x:c r="F670" s="9"/>
      <x:c r="G670" s="9"/>
      <x:c r="H670" s="9"/>
      <x:c r="I670" s="9"/>
      <x:c r="J670" s="9"/>
      <x:c r="K670" s="9"/>
      <x:c r="L670" s="9"/>
      <x:c r="M670" s="9"/>
      <x:c r="N670" s="9"/>
      <x:c r="O670" s="9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  <x:c r="AA670" s="9"/>
      <x:c r="AB670" s="9"/>
      <x:c r="AC670" s="9"/>
      <x:c r="AD670" s="9"/>
      <x:c r="AE670" s="2"/>
      <x:c r="AF670" s="9"/>
      <x:c r="AG670" s="9"/>
      <x:c r="AH670" s="2"/>
    </x:row>
    <x:row r="671" ht="14.25" customHeight="1">
      <x:c r="A671" s="2"/>
      <x:c r="B671" s="9"/>
      <x:c r="C671" s="9"/>
      <x:c r="D671" s="9"/>
      <x:c r="E671" s="9"/>
      <x:c r="F671" s="9"/>
      <x:c r="G671" s="9"/>
      <x:c r="H671" s="9"/>
      <x:c r="I671" s="9"/>
      <x:c r="J671" s="9"/>
      <x:c r="K671" s="9"/>
      <x:c r="L671" s="9"/>
      <x:c r="M671" s="9"/>
      <x:c r="N671" s="9"/>
      <x:c r="O671" s="9"/>
      <x:c r="P671" s="9"/>
      <x:c r="Q671" s="9"/>
      <x:c r="R671" s="9"/>
      <x:c r="S671" s="9"/>
      <x:c r="T671" s="9"/>
      <x:c r="U671" s="9"/>
      <x:c r="V671" s="9"/>
      <x:c r="W671" s="9"/>
      <x:c r="X671" s="9"/>
      <x:c r="Y671" s="9"/>
      <x:c r="Z671" s="9"/>
      <x:c r="AA671" s="9"/>
      <x:c r="AB671" s="9"/>
      <x:c r="AC671" s="9"/>
      <x:c r="AD671" s="9"/>
      <x:c r="AE671" s="2"/>
      <x:c r="AF671" s="9"/>
      <x:c r="AG671" s="9"/>
      <x:c r="AH671" s="2"/>
    </x:row>
    <x:row r="672" ht="14.25" customHeight="1">
      <x:c r="A672" s="2"/>
      <x:c r="B672" s="9"/>
      <x:c r="C672" s="9"/>
      <x:c r="D672" s="9"/>
      <x:c r="E672" s="9"/>
      <x:c r="F672" s="9"/>
      <x:c r="G672" s="9"/>
      <x:c r="H672" s="9"/>
      <x:c r="I672" s="9"/>
      <x:c r="J672" s="9"/>
      <x:c r="K672" s="9"/>
      <x:c r="L672" s="9"/>
      <x:c r="M672" s="9"/>
      <x:c r="N672" s="9"/>
      <x:c r="O672" s="9"/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  <x:c r="AA672" s="9"/>
      <x:c r="AB672" s="9"/>
      <x:c r="AC672" s="9"/>
      <x:c r="AD672" s="9"/>
      <x:c r="AE672" s="2"/>
      <x:c r="AF672" s="9"/>
      <x:c r="AG672" s="9"/>
      <x:c r="AH672" s="2"/>
    </x:row>
    <x:row r="673" ht="14.25" customHeight="1">
      <x:c r="A673" s="2"/>
      <x:c r="B673" s="9"/>
      <x:c r="C673" s="9"/>
      <x:c r="D673" s="9"/>
      <x:c r="E673" s="9"/>
      <x:c r="F673" s="9"/>
      <x:c r="G673" s="9"/>
      <x:c r="H673" s="9"/>
      <x:c r="I673" s="9"/>
      <x:c r="J673" s="9"/>
      <x:c r="K673" s="9"/>
      <x:c r="L673" s="9"/>
      <x:c r="M673" s="9"/>
      <x:c r="N673" s="9"/>
      <x:c r="O673" s="9"/>
      <x:c r="P673" s="9"/>
      <x:c r="Q673" s="9"/>
      <x:c r="R673" s="9"/>
      <x:c r="S673" s="9"/>
      <x:c r="T673" s="9"/>
      <x:c r="U673" s="9"/>
      <x:c r="V673" s="9"/>
      <x:c r="W673" s="9"/>
      <x:c r="X673" s="9"/>
      <x:c r="Y673" s="9"/>
      <x:c r="Z673" s="9"/>
      <x:c r="AA673" s="9"/>
      <x:c r="AB673" s="9"/>
      <x:c r="AC673" s="9"/>
      <x:c r="AD673" s="9"/>
      <x:c r="AE673" s="2"/>
      <x:c r="AF673" s="9"/>
      <x:c r="AG673" s="9"/>
      <x:c r="AH673" s="2"/>
    </x:row>
    <x:row r="674" ht="14.25" customHeight="1">
      <x:c r="A674" s="2"/>
      <x:c r="B674" s="9"/>
      <x:c r="C674" s="9"/>
      <x:c r="D674" s="9"/>
      <x:c r="E674" s="9"/>
      <x:c r="F674" s="9"/>
      <x:c r="G674" s="9"/>
      <x:c r="H674" s="9"/>
      <x:c r="I674" s="9"/>
      <x:c r="J674" s="9"/>
      <x:c r="K674" s="9"/>
      <x:c r="L674" s="9"/>
      <x:c r="M674" s="9"/>
      <x:c r="N674" s="9"/>
      <x:c r="O674" s="9"/>
      <x:c r="P674" s="9"/>
      <x:c r="Q674" s="9"/>
      <x:c r="R674" s="9"/>
      <x:c r="S674" s="9"/>
      <x:c r="T674" s="9"/>
      <x:c r="U674" s="9"/>
      <x:c r="V674" s="9"/>
      <x:c r="W674" s="9"/>
      <x:c r="X674" s="9"/>
      <x:c r="Y674" s="9"/>
      <x:c r="Z674" s="9"/>
      <x:c r="AA674" s="9"/>
      <x:c r="AB674" s="9"/>
      <x:c r="AC674" s="9"/>
      <x:c r="AD674" s="9"/>
      <x:c r="AE674" s="2"/>
      <x:c r="AF674" s="9"/>
      <x:c r="AG674" s="9"/>
      <x:c r="AH674" s="2"/>
    </x:row>
    <x:row r="675" ht="14.25" customHeight="1">
      <x:c r="A675" s="2"/>
      <x:c r="B675" s="9"/>
      <x:c r="C675" s="9"/>
      <x:c r="D675" s="9"/>
      <x:c r="E675" s="9"/>
      <x:c r="F675" s="9"/>
      <x:c r="G675" s="9"/>
      <x:c r="H675" s="9"/>
      <x:c r="I675" s="9"/>
      <x:c r="J675" s="9"/>
      <x:c r="K675" s="9"/>
      <x:c r="L675" s="9"/>
      <x:c r="M675" s="9"/>
      <x:c r="N675" s="9"/>
      <x:c r="O675" s="9"/>
      <x:c r="P675" s="9"/>
      <x:c r="Q675" s="9"/>
      <x:c r="R675" s="9"/>
      <x:c r="S675" s="9"/>
      <x:c r="T675" s="9"/>
      <x:c r="U675" s="9"/>
      <x:c r="V675" s="9"/>
      <x:c r="W675" s="9"/>
      <x:c r="X675" s="9"/>
      <x:c r="Y675" s="9"/>
      <x:c r="Z675" s="9"/>
      <x:c r="AA675" s="9"/>
      <x:c r="AB675" s="9"/>
      <x:c r="AC675" s="9"/>
      <x:c r="AD675" s="9"/>
      <x:c r="AE675" s="2"/>
      <x:c r="AF675" s="9"/>
      <x:c r="AG675" s="9"/>
      <x:c r="AH675" s="2"/>
    </x:row>
    <x:row r="676" ht="14.25" customHeight="1">
      <x:c r="A676" s="2"/>
      <x:c r="B676" s="9"/>
      <x:c r="C676" s="9"/>
      <x:c r="D676" s="9"/>
      <x:c r="E676" s="9"/>
      <x:c r="F676" s="9"/>
      <x:c r="G676" s="9"/>
      <x:c r="H676" s="9"/>
      <x:c r="I676" s="9"/>
      <x:c r="J676" s="9"/>
      <x:c r="K676" s="9"/>
      <x:c r="L676" s="9"/>
      <x:c r="M676" s="9"/>
      <x:c r="N676" s="9"/>
      <x:c r="O676" s="9"/>
      <x:c r="P676" s="9"/>
      <x:c r="Q676" s="9"/>
      <x:c r="R676" s="9"/>
      <x:c r="S676" s="9"/>
      <x:c r="T676" s="9"/>
      <x:c r="U676" s="9"/>
      <x:c r="V676" s="9"/>
      <x:c r="W676" s="9"/>
      <x:c r="X676" s="9"/>
      <x:c r="Y676" s="9"/>
      <x:c r="Z676" s="9"/>
      <x:c r="AA676" s="9"/>
      <x:c r="AB676" s="9"/>
      <x:c r="AC676" s="9"/>
      <x:c r="AD676" s="9"/>
      <x:c r="AE676" s="2"/>
      <x:c r="AF676" s="9"/>
      <x:c r="AG676" s="9"/>
      <x:c r="AH676" s="2"/>
    </x:row>
    <x:row r="677" ht="14.25" customHeight="1">
      <x:c r="A677" s="2"/>
      <x:c r="B677" s="9"/>
      <x:c r="C677" s="9"/>
      <x:c r="D677" s="9"/>
      <x:c r="E677" s="9"/>
      <x:c r="F677" s="9"/>
      <x:c r="G677" s="9"/>
      <x:c r="H677" s="9"/>
      <x:c r="I677" s="9"/>
      <x:c r="J677" s="9"/>
      <x:c r="K677" s="9"/>
      <x:c r="L677" s="9"/>
      <x:c r="M677" s="9"/>
      <x:c r="N677" s="9"/>
      <x:c r="O677" s="9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  <x:c r="AA677" s="9"/>
      <x:c r="AB677" s="9"/>
      <x:c r="AC677" s="9"/>
      <x:c r="AD677" s="9"/>
      <x:c r="AE677" s="2"/>
      <x:c r="AF677" s="9"/>
      <x:c r="AG677" s="9"/>
      <x:c r="AH677" s="2"/>
    </x:row>
    <x:row r="678" ht="14.25" customHeight="1">
      <x:c r="A678" s="2"/>
      <x:c r="B678" s="9"/>
      <x:c r="C678" s="9"/>
      <x:c r="D678" s="9"/>
      <x:c r="E678" s="9"/>
      <x:c r="F678" s="9"/>
      <x:c r="G678" s="9"/>
      <x:c r="H678" s="9"/>
      <x:c r="I678" s="9"/>
      <x:c r="J678" s="9"/>
      <x:c r="K678" s="9"/>
      <x:c r="L678" s="9"/>
      <x:c r="M678" s="9"/>
      <x:c r="N678" s="9"/>
      <x:c r="O678" s="9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  <x:c r="AA678" s="9"/>
      <x:c r="AB678" s="9"/>
      <x:c r="AC678" s="9"/>
      <x:c r="AD678" s="9"/>
      <x:c r="AE678" s="2"/>
      <x:c r="AF678" s="9"/>
      <x:c r="AG678" s="9"/>
      <x:c r="AH678" s="2"/>
    </x:row>
    <x:row r="679" ht="14.25" customHeight="1">
      <x:c r="A679" s="2"/>
      <x:c r="B679" s="9"/>
      <x:c r="C679" s="9"/>
      <x:c r="D679" s="9"/>
      <x:c r="E679" s="9"/>
      <x:c r="F679" s="9"/>
      <x:c r="G679" s="9"/>
      <x:c r="H679" s="9"/>
      <x:c r="I679" s="9"/>
      <x:c r="J679" s="9"/>
      <x:c r="K679" s="9"/>
      <x:c r="L679" s="9"/>
      <x:c r="M679" s="9"/>
      <x:c r="N679" s="9"/>
      <x:c r="O679" s="9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  <x:c r="AA679" s="9"/>
      <x:c r="AB679" s="9"/>
      <x:c r="AC679" s="9"/>
      <x:c r="AD679" s="9"/>
      <x:c r="AE679" s="2"/>
      <x:c r="AF679" s="9"/>
      <x:c r="AG679" s="9"/>
      <x:c r="AH679" s="2"/>
    </x:row>
    <x:row r="680" ht="14.25" customHeight="1">
      <x:c r="A680" s="2"/>
      <x:c r="B680" s="9"/>
      <x:c r="C680" s="9"/>
      <x:c r="D680" s="9"/>
      <x:c r="E680" s="9"/>
      <x:c r="F680" s="9"/>
      <x:c r="G680" s="9"/>
      <x:c r="H680" s="9"/>
      <x:c r="I680" s="9"/>
      <x:c r="J680" s="9"/>
      <x:c r="K680" s="9"/>
      <x:c r="L680" s="9"/>
      <x:c r="M680" s="9"/>
      <x:c r="N680" s="9"/>
      <x:c r="O680" s="9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  <x:c r="AA680" s="9"/>
      <x:c r="AB680" s="9"/>
      <x:c r="AC680" s="9"/>
      <x:c r="AD680" s="9"/>
      <x:c r="AE680" s="2"/>
      <x:c r="AF680" s="9"/>
      <x:c r="AG680" s="9"/>
      <x:c r="AH680" s="2"/>
    </x:row>
    <x:row r="681" ht="14.25" customHeight="1">
      <x:c r="A681" s="2"/>
      <x:c r="B681" s="9"/>
      <x:c r="C681" s="9"/>
      <x:c r="D681" s="9"/>
      <x:c r="E681" s="9"/>
      <x:c r="F681" s="9"/>
      <x:c r="G681" s="9"/>
      <x:c r="H681" s="9"/>
      <x:c r="I681" s="9"/>
      <x:c r="J681" s="9"/>
      <x:c r="K681" s="9"/>
      <x:c r="L681" s="9"/>
      <x:c r="M681" s="9"/>
      <x:c r="N681" s="9"/>
      <x:c r="O681" s="9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  <x:c r="AA681" s="9"/>
      <x:c r="AB681" s="9"/>
      <x:c r="AC681" s="9"/>
      <x:c r="AD681" s="9"/>
      <x:c r="AE681" s="2"/>
      <x:c r="AF681" s="9"/>
      <x:c r="AG681" s="9"/>
      <x:c r="AH681" s="2"/>
    </x:row>
    <x:row r="682" ht="14.25" customHeight="1">
      <x:c r="A682" s="2"/>
      <x:c r="B682" s="9"/>
      <x:c r="C682" s="9"/>
      <x:c r="D682" s="9"/>
      <x:c r="E682" s="9"/>
      <x:c r="F682" s="9"/>
      <x:c r="G682" s="9"/>
      <x:c r="H682" s="9"/>
      <x:c r="I682" s="9"/>
      <x:c r="J682" s="9"/>
      <x:c r="K682" s="9"/>
      <x:c r="L682" s="9"/>
      <x:c r="M682" s="9"/>
      <x:c r="N682" s="9"/>
      <x:c r="O682" s="9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  <x:c r="AA682" s="9"/>
      <x:c r="AB682" s="9"/>
      <x:c r="AC682" s="9"/>
      <x:c r="AD682" s="9"/>
      <x:c r="AE682" s="2"/>
      <x:c r="AF682" s="9"/>
      <x:c r="AG682" s="9"/>
      <x:c r="AH682" s="2"/>
    </x:row>
    <x:row r="683" ht="14.25" customHeight="1">
      <x:c r="A683" s="2"/>
      <x:c r="B683" s="9"/>
      <x:c r="C683" s="9"/>
      <x:c r="D683" s="9"/>
      <x:c r="E683" s="9"/>
      <x:c r="F683" s="9"/>
      <x:c r="G683" s="9"/>
      <x:c r="H683" s="9"/>
      <x:c r="I683" s="9"/>
      <x:c r="J683" s="9"/>
      <x:c r="K683" s="9"/>
      <x:c r="L683" s="9"/>
      <x:c r="M683" s="9"/>
      <x:c r="N683" s="9"/>
      <x:c r="O683" s="9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  <x:c r="AA683" s="9"/>
      <x:c r="AB683" s="9"/>
      <x:c r="AC683" s="9"/>
      <x:c r="AD683" s="9"/>
      <x:c r="AE683" s="2"/>
      <x:c r="AF683" s="9"/>
      <x:c r="AG683" s="9"/>
      <x:c r="AH683" s="2"/>
    </x:row>
    <x:row r="684" ht="14.25" customHeight="1">
      <x:c r="A684" s="2"/>
      <x:c r="B684" s="9"/>
      <x:c r="C684" s="9"/>
      <x:c r="D684" s="9"/>
      <x:c r="E684" s="9"/>
      <x:c r="F684" s="9"/>
      <x:c r="G684" s="9"/>
      <x:c r="H684" s="9"/>
      <x:c r="I684" s="9"/>
      <x:c r="J684" s="9"/>
      <x:c r="K684" s="9"/>
      <x:c r="L684" s="9"/>
      <x:c r="M684" s="9"/>
      <x:c r="N684" s="9"/>
      <x:c r="O684" s="9"/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  <x:c r="AA684" s="9"/>
      <x:c r="AB684" s="9"/>
      <x:c r="AC684" s="9"/>
      <x:c r="AD684" s="9"/>
      <x:c r="AE684" s="2"/>
      <x:c r="AF684" s="9"/>
      <x:c r="AG684" s="9"/>
      <x:c r="AH684" s="2"/>
    </x:row>
    <x:row r="685" ht="14.25" customHeight="1">
      <x:c r="A685" s="2"/>
      <x:c r="B685" s="9"/>
      <x:c r="C685" s="9"/>
      <x:c r="D685" s="9"/>
      <x:c r="E685" s="9"/>
      <x:c r="F685" s="9"/>
      <x:c r="G685" s="9"/>
      <x:c r="H685" s="9"/>
      <x:c r="I685" s="9"/>
      <x:c r="J685" s="9"/>
      <x:c r="K685" s="9"/>
      <x:c r="L685" s="9"/>
      <x:c r="M685" s="9"/>
      <x:c r="N685" s="9"/>
      <x:c r="O685" s="9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  <x:c r="AA685" s="9"/>
      <x:c r="AB685" s="9"/>
      <x:c r="AC685" s="9"/>
      <x:c r="AD685" s="9"/>
      <x:c r="AE685" s="2"/>
      <x:c r="AF685" s="9"/>
      <x:c r="AG685" s="9"/>
      <x:c r="AH685" s="2"/>
    </x:row>
    <x:row r="686" ht="14.25" customHeight="1">
      <x:c r="A686" s="2"/>
      <x:c r="B686" s="9"/>
      <x:c r="C686" s="9"/>
      <x:c r="D686" s="9"/>
      <x:c r="E686" s="9"/>
      <x:c r="F686" s="9"/>
      <x:c r="G686" s="9"/>
      <x:c r="H686" s="9"/>
      <x:c r="I686" s="9"/>
      <x:c r="J686" s="9"/>
      <x:c r="K686" s="9"/>
      <x:c r="L686" s="9"/>
      <x:c r="M686" s="9"/>
      <x:c r="N686" s="9"/>
      <x:c r="O686" s="9"/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  <x:c r="AA686" s="9"/>
      <x:c r="AB686" s="9"/>
      <x:c r="AC686" s="9"/>
      <x:c r="AD686" s="9"/>
      <x:c r="AE686" s="2"/>
      <x:c r="AF686" s="9"/>
      <x:c r="AG686" s="9"/>
      <x:c r="AH686" s="2"/>
    </x:row>
    <x:row r="687" ht="14.25" customHeight="1">
      <x:c r="A687" s="2"/>
      <x:c r="B687" s="9"/>
      <x:c r="C687" s="9"/>
      <x:c r="D687" s="9"/>
      <x:c r="E687" s="9"/>
      <x:c r="F687" s="9"/>
      <x:c r="G687" s="9"/>
      <x:c r="H687" s="9"/>
      <x:c r="I687" s="9"/>
      <x:c r="J687" s="9"/>
      <x:c r="K687" s="9"/>
      <x:c r="L687" s="9"/>
      <x:c r="M687" s="9"/>
      <x:c r="N687" s="9"/>
      <x:c r="O687" s="9"/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  <x:c r="AA687" s="9"/>
      <x:c r="AB687" s="9"/>
      <x:c r="AC687" s="9"/>
      <x:c r="AD687" s="9"/>
      <x:c r="AE687" s="2"/>
      <x:c r="AF687" s="9"/>
      <x:c r="AG687" s="9"/>
      <x:c r="AH687" s="2"/>
    </x:row>
    <x:row r="688" ht="14.25" customHeight="1">
      <x:c r="A688" s="2"/>
      <x:c r="B688" s="9"/>
      <x:c r="C688" s="9"/>
      <x:c r="D688" s="9"/>
      <x:c r="E688" s="9"/>
      <x:c r="F688" s="9"/>
      <x:c r="G688" s="9"/>
      <x:c r="H688" s="9"/>
      <x:c r="I688" s="9"/>
      <x:c r="J688" s="9"/>
      <x:c r="K688" s="9"/>
      <x:c r="L688" s="9"/>
      <x:c r="M688" s="9"/>
      <x:c r="N688" s="9"/>
      <x:c r="O688" s="9"/>
      <x:c r="P688" s="9"/>
      <x:c r="Q688" s="9"/>
      <x:c r="R688" s="9"/>
      <x:c r="S688" s="9"/>
      <x:c r="T688" s="9"/>
      <x:c r="U688" s="9"/>
      <x:c r="V688" s="9"/>
      <x:c r="W688" s="9"/>
      <x:c r="X688" s="9"/>
      <x:c r="Y688" s="9"/>
      <x:c r="Z688" s="9"/>
      <x:c r="AA688" s="9"/>
      <x:c r="AB688" s="9"/>
      <x:c r="AC688" s="9"/>
      <x:c r="AD688" s="9"/>
      <x:c r="AE688" s="2"/>
      <x:c r="AF688" s="9"/>
      <x:c r="AG688" s="9"/>
      <x:c r="AH688" s="2"/>
    </x:row>
    <x:row r="689" ht="14.25" customHeight="1">
      <x:c r="A689" s="2"/>
      <x:c r="B689" s="9"/>
      <x:c r="C689" s="9"/>
      <x:c r="D689" s="9"/>
      <x:c r="E689" s="9"/>
      <x:c r="F689" s="9"/>
      <x:c r="G689" s="9"/>
      <x:c r="H689" s="9"/>
      <x:c r="I689" s="9"/>
      <x:c r="J689" s="9"/>
      <x:c r="K689" s="9"/>
      <x:c r="L689" s="9"/>
      <x:c r="M689" s="9"/>
      <x:c r="N689" s="9"/>
      <x:c r="O689" s="9"/>
      <x:c r="P689" s="9"/>
      <x:c r="Q689" s="9"/>
      <x:c r="R689" s="9"/>
      <x:c r="S689" s="9"/>
      <x:c r="T689" s="9"/>
      <x:c r="U689" s="9"/>
      <x:c r="V689" s="9"/>
      <x:c r="W689" s="9"/>
      <x:c r="X689" s="9"/>
      <x:c r="Y689" s="9"/>
      <x:c r="Z689" s="9"/>
      <x:c r="AA689" s="9"/>
      <x:c r="AB689" s="9"/>
      <x:c r="AC689" s="9"/>
      <x:c r="AD689" s="9"/>
      <x:c r="AE689" s="2"/>
      <x:c r="AF689" s="9"/>
      <x:c r="AG689" s="9"/>
      <x:c r="AH689" s="2"/>
    </x:row>
    <x:row r="690" ht="14.25" customHeight="1">
      <x:c r="A690" s="2"/>
      <x:c r="B690" s="9"/>
      <x:c r="C690" s="9"/>
      <x:c r="D690" s="9"/>
      <x:c r="E690" s="9"/>
      <x:c r="F690" s="9"/>
      <x:c r="G690" s="9"/>
      <x:c r="H690" s="9"/>
      <x:c r="I690" s="9"/>
      <x:c r="J690" s="9"/>
      <x:c r="K690" s="9"/>
      <x:c r="L690" s="9"/>
      <x:c r="M690" s="9"/>
      <x:c r="N690" s="9"/>
      <x:c r="O690" s="9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  <x:c r="AA690" s="9"/>
      <x:c r="AB690" s="9"/>
      <x:c r="AC690" s="9"/>
      <x:c r="AD690" s="9"/>
      <x:c r="AE690" s="2"/>
      <x:c r="AF690" s="9"/>
      <x:c r="AG690" s="9"/>
      <x:c r="AH690" s="2"/>
    </x:row>
    <x:row r="691" ht="14.25" customHeight="1">
      <x:c r="A691" s="2"/>
      <x:c r="B691" s="9"/>
      <x:c r="C691" s="9"/>
      <x:c r="D691" s="9"/>
      <x:c r="E691" s="9"/>
      <x:c r="F691" s="9"/>
      <x:c r="G691" s="9"/>
      <x:c r="H691" s="9"/>
      <x:c r="I691" s="9"/>
      <x:c r="J691" s="9"/>
      <x:c r="K691" s="9"/>
      <x:c r="L691" s="9"/>
      <x:c r="M691" s="9"/>
      <x:c r="N691" s="9"/>
      <x:c r="O691" s="9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  <x:c r="AA691" s="9"/>
      <x:c r="AB691" s="9"/>
      <x:c r="AC691" s="9"/>
      <x:c r="AD691" s="9"/>
      <x:c r="AE691" s="2"/>
      <x:c r="AF691" s="9"/>
      <x:c r="AG691" s="9"/>
      <x:c r="AH691" s="2"/>
    </x:row>
    <x:row r="692" ht="14.25" customHeight="1">
      <x:c r="A692" s="2"/>
      <x:c r="B692" s="9"/>
      <x:c r="C692" s="9"/>
      <x:c r="D692" s="9"/>
      <x:c r="E692" s="9"/>
      <x:c r="F692" s="9"/>
      <x:c r="G692" s="9"/>
      <x:c r="H692" s="9"/>
      <x:c r="I692" s="9"/>
      <x:c r="J692" s="9"/>
      <x:c r="K692" s="9"/>
      <x:c r="L692" s="9"/>
      <x:c r="M692" s="9"/>
      <x:c r="N692" s="9"/>
      <x:c r="O692" s="9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  <x:c r="AA692" s="9"/>
      <x:c r="AB692" s="9"/>
      <x:c r="AC692" s="9"/>
      <x:c r="AD692" s="9"/>
      <x:c r="AE692" s="2"/>
      <x:c r="AF692" s="9"/>
      <x:c r="AG692" s="9"/>
      <x:c r="AH692" s="2"/>
    </x:row>
    <x:row r="693" ht="14.25" customHeight="1">
      <x:c r="A693" s="2"/>
      <x:c r="B693" s="9"/>
      <x:c r="C693" s="9"/>
      <x:c r="D693" s="9"/>
      <x:c r="E693" s="9"/>
      <x:c r="F693" s="9"/>
      <x:c r="G693" s="9"/>
      <x:c r="H693" s="9"/>
      <x:c r="I693" s="9"/>
      <x:c r="J693" s="9"/>
      <x:c r="K693" s="9"/>
      <x:c r="L693" s="9"/>
      <x:c r="M693" s="9"/>
      <x:c r="N693" s="9"/>
      <x:c r="O693" s="9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  <x:c r="AA693" s="9"/>
      <x:c r="AB693" s="9"/>
      <x:c r="AC693" s="9"/>
      <x:c r="AD693" s="9"/>
      <x:c r="AE693" s="2"/>
      <x:c r="AF693" s="9"/>
      <x:c r="AG693" s="9"/>
      <x:c r="AH693" s="2"/>
    </x:row>
    <x:row r="694" ht="14.25" customHeight="1">
      <x:c r="A694" s="2"/>
      <x:c r="B694" s="9"/>
      <x:c r="C694" s="9"/>
      <x:c r="D694" s="9"/>
      <x:c r="E694" s="9"/>
      <x:c r="F694" s="9"/>
      <x:c r="G694" s="9"/>
      <x:c r="H694" s="9"/>
      <x:c r="I694" s="9"/>
      <x:c r="J694" s="9"/>
      <x:c r="K694" s="9"/>
      <x:c r="L694" s="9"/>
      <x:c r="M694" s="9"/>
      <x:c r="N694" s="9"/>
      <x:c r="O694" s="9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  <x:c r="AA694" s="9"/>
      <x:c r="AB694" s="9"/>
      <x:c r="AC694" s="9"/>
      <x:c r="AD694" s="9"/>
      <x:c r="AE694" s="2"/>
      <x:c r="AF694" s="9"/>
      <x:c r="AG694" s="9"/>
      <x:c r="AH694" s="2"/>
    </x:row>
    <x:row r="695" ht="14.25" customHeight="1">
      <x:c r="A695" s="2"/>
      <x:c r="B695" s="9"/>
      <x:c r="C695" s="9"/>
      <x:c r="D695" s="9"/>
      <x:c r="E695" s="9"/>
      <x:c r="F695" s="9"/>
      <x:c r="G695" s="9"/>
      <x:c r="H695" s="9"/>
      <x:c r="I695" s="9"/>
      <x:c r="J695" s="9"/>
      <x:c r="K695" s="9"/>
      <x:c r="L695" s="9"/>
      <x:c r="M695" s="9"/>
      <x:c r="N695" s="9"/>
      <x:c r="O695" s="9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  <x:c r="AA695" s="9"/>
      <x:c r="AB695" s="9"/>
      <x:c r="AC695" s="9"/>
      <x:c r="AD695" s="9"/>
      <x:c r="AE695" s="2"/>
      <x:c r="AF695" s="9"/>
      <x:c r="AG695" s="9"/>
      <x:c r="AH695" s="2"/>
    </x:row>
    <x:row r="696" ht="14.25" customHeight="1">
      <x:c r="A696" s="2"/>
      <x:c r="B696" s="9"/>
      <x:c r="C696" s="9"/>
      <x:c r="D696" s="9"/>
      <x:c r="E696" s="9"/>
      <x:c r="F696" s="9"/>
      <x:c r="G696" s="9"/>
      <x:c r="H696" s="9"/>
      <x:c r="I696" s="9"/>
      <x:c r="J696" s="9"/>
      <x:c r="K696" s="9"/>
      <x:c r="L696" s="9"/>
      <x:c r="M696" s="9"/>
      <x:c r="N696" s="9"/>
      <x:c r="O696" s="9"/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  <x:c r="AA696" s="9"/>
      <x:c r="AB696" s="9"/>
      <x:c r="AC696" s="9"/>
      <x:c r="AD696" s="9"/>
      <x:c r="AE696" s="2"/>
      <x:c r="AF696" s="9"/>
      <x:c r="AG696" s="9"/>
      <x:c r="AH696" s="2"/>
    </x:row>
    <x:row r="697" ht="14.25" customHeight="1">
      <x:c r="A697" s="2"/>
      <x:c r="B697" s="9"/>
      <x:c r="C697" s="9"/>
      <x:c r="D697" s="9"/>
      <x:c r="E697" s="9"/>
      <x:c r="F697" s="9"/>
      <x:c r="G697" s="9"/>
      <x:c r="H697" s="9"/>
      <x:c r="I697" s="9"/>
      <x:c r="J697" s="9"/>
      <x:c r="K697" s="9"/>
      <x:c r="L697" s="9"/>
      <x:c r="M697" s="9"/>
      <x:c r="N697" s="9"/>
      <x:c r="O697" s="9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  <x:c r="AA697" s="9"/>
      <x:c r="AB697" s="9"/>
      <x:c r="AC697" s="9"/>
      <x:c r="AD697" s="9"/>
      <x:c r="AE697" s="2"/>
      <x:c r="AF697" s="9"/>
      <x:c r="AG697" s="9"/>
      <x:c r="AH697" s="2"/>
    </x:row>
    <x:row r="698" ht="14.25" customHeight="1">
      <x:c r="A698" s="2"/>
      <x:c r="B698" s="9"/>
      <x:c r="C698" s="9"/>
      <x:c r="D698" s="9"/>
      <x:c r="E698" s="9"/>
      <x:c r="F698" s="9"/>
      <x:c r="G698" s="9"/>
      <x:c r="H698" s="9"/>
      <x:c r="I698" s="9"/>
      <x:c r="J698" s="9"/>
      <x:c r="K698" s="9"/>
      <x:c r="L698" s="9"/>
      <x:c r="M698" s="9"/>
      <x:c r="N698" s="9"/>
      <x:c r="O698" s="9"/>
      <x:c r="P698" s="9"/>
      <x:c r="Q698" s="9"/>
      <x:c r="R698" s="9"/>
      <x:c r="S698" s="9"/>
      <x:c r="T698" s="9"/>
      <x:c r="U698" s="9"/>
      <x:c r="V698" s="9"/>
      <x:c r="W698" s="9"/>
      <x:c r="X698" s="9"/>
      <x:c r="Y698" s="9"/>
      <x:c r="Z698" s="9"/>
      <x:c r="AA698" s="9"/>
      <x:c r="AB698" s="9"/>
      <x:c r="AC698" s="9"/>
      <x:c r="AD698" s="9"/>
      <x:c r="AE698" s="2"/>
      <x:c r="AF698" s="9"/>
      <x:c r="AG698" s="9"/>
      <x:c r="AH698" s="2"/>
    </x:row>
    <x:row r="699" ht="14.25" customHeight="1">
      <x:c r="A699" s="2"/>
      <x:c r="B699" s="9"/>
      <x:c r="C699" s="9"/>
      <x:c r="D699" s="9"/>
      <x:c r="E699" s="9"/>
      <x:c r="F699" s="9"/>
      <x:c r="G699" s="9"/>
      <x:c r="H699" s="9"/>
      <x:c r="I699" s="9"/>
      <x:c r="J699" s="9"/>
      <x:c r="K699" s="9"/>
      <x:c r="L699" s="9"/>
      <x:c r="M699" s="9"/>
      <x:c r="N699" s="9"/>
      <x:c r="O699" s="9"/>
      <x:c r="P699" s="9"/>
      <x:c r="Q699" s="9"/>
      <x:c r="R699" s="9"/>
      <x:c r="S699" s="9"/>
      <x:c r="T699" s="9"/>
      <x:c r="U699" s="9"/>
      <x:c r="V699" s="9"/>
      <x:c r="W699" s="9"/>
      <x:c r="X699" s="9"/>
      <x:c r="Y699" s="9"/>
      <x:c r="Z699" s="9"/>
      <x:c r="AA699" s="9"/>
      <x:c r="AB699" s="9"/>
      <x:c r="AC699" s="9"/>
      <x:c r="AD699" s="9"/>
      <x:c r="AE699" s="2"/>
      <x:c r="AF699" s="9"/>
      <x:c r="AG699" s="9"/>
      <x:c r="AH699" s="2"/>
    </x:row>
    <x:row r="700" ht="14.25" customHeight="1">
      <x:c r="A700" s="2"/>
      <x:c r="B700" s="9"/>
      <x:c r="C700" s="9"/>
      <x:c r="D700" s="9"/>
      <x:c r="E700" s="9"/>
      <x:c r="F700" s="9"/>
      <x:c r="G700" s="9"/>
      <x:c r="H700" s="9"/>
      <x:c r="I700" s="9"/>
      <x:c r="J700" s="9"/>
      <x:c r="K700" s="9"/>
      <x:c r="L700" s="9"/>
      <x:c r="M700" s="9"/>
      <x:c r="N700" s="9"/>
      <x:c r="O700" s="9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  <x:c r="AA700" s="9"/>
      <x:c r="AB700" s="9"/>
      <x:c r="AC700" s="9"/>
      <x:c r="AD700" s="9"/>
      <x:c r="AE700" s="2"/>
      <x:c r="AF700" s="9"/>
      <x:c r="AG700" s="9"/>
      <x:c r="AH700" s="2"/>
    </x:row>
    <x:row r="701" ht="14.25" customHeight="1">
      <x:c r="A701" s="2"/>
      <x:c r="B701" s="9"/>
      <x:c r="C701" s="9"/>
      <x:c r="D701" s="9"/>
      <x:c r="E701" s="9"/>
      <x:c r="F701" s="9"/>
      <x:c r="G701" s="9"/>
      <x:c r="H701" s="9"/>
      <x:c r="I701" s="9"/>
      <x:c r="J701" s="9"/>
      <x:c r="K701" s="9"/>
      <x:c r="L701" s="9"/>
      <x:c r="M701" s="9"/>
      <x:c r="N701" s="9"/>
      <x:c r="O701" s="9"/>
      <x:c r="P701" s="9"/>
      <x:c r="Q701" s="9"/>
      <x:c r="R701" s="9"/>
      <x:c r="S701" s="9"/>
      <x:c r="T701" s="9"/>
      <x:c r="U701" s="9"/>
      <x:c r="V701" s="9"/>
      <x:c r="W701" s="9"/>
      <x:c r="X701" s="9"/>
      <x:c r="Y701" s="9"/>
      <x:c r="Z701" s="9"/>
      <x:c r="AA701" s="9"/>
      <x:c r="AB701" s="9"/>
      <x:c r="AC701" s="9"/>
      <x:c r="AD701" s="9"/>
      <x:c r="AE701" s="2"/>
      <x:c r="AF701" s="9"/>
      <x:c r="AG701" s="9"/>
      <x:c r="AH701" s="2"/>
    </x:row>
    <x:row r="702" ht="14.25" customHeight="1">
      <x:c r="A702" s="2"/>
      <x:c r="B702" s="9"/>
      <x:c r="C702" s="9"/>
      <x:c r="D702" s="9"/>
      <x:c r="E702" s="9"/>
      <x:c r="F702" s="9"/>
      <x:c r="G702" s="9"/>
      <x:c r="H702" s="9"/>
      <x:c r="I702" s="9"/>
      <x:c r="J702" s="9"/>
      <x:c r="K702" s="9"/>
      <x:c r="L702" s="9"/>
      <x:c r="M702" s="9"/>
      <x:c r="N702" s="9"/>
      <x:c r="O702" s="9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  <x:c r="AA702" s="9"/>
      <x:c r="AB702" s="9"/>
      <x:c r="AC702" s="9"/>
      <x:c r="AD702" s="9"/>
      <x:c r="AE702" s="2"/>
      <x:c r="AF702" s="9"/>
      <x:c r="AG702" s="9"/>
      <x:c r="AH702" s="2"/>
    </x:row>
    <x:row r="703" ht="14.25" customHeight="1">
      <x:c r="A703" s="2"/>
      <x:c r="B703" s="9"/>
      <x:c r="C703" s="9"/>
      <x:c r="D703" s="9"/>
      <x:c r="E703" s="9"/>
      <x:c r="F703" s="9"/>
      <x:c r="G703" s="9"/>
      <x:c r="H703" s="9"/>
      <x:c r="I703" s="9"/>
      <x:c r="J703" s="9"/>
      <x:c r="K703" s="9"/>
      <x:c r="L703" s="9"/>
      <x:c r="M703" s="9"/>
      <x:c r="N703" s="9"/>
      <x:c r="O703" s="9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  <x:c r="AA703" s="9"/>
      <x:c r="AB703" s="9"/>
      <x:c r="AC703" s="9"/>
      <x:c r="AD703" s="9"/>
      <x:c r="AE703" s="2"/>
      <x:c r="AF703" s="9"/>
      <x:c r="AG703" s="9"/>
      <x:c r="AH703" s="2"/>
    </x:row>
    <x:row r="704" ht="14.25" customHeight="1">
      <x:c r="A704" s="2"/>
      <x:c r="B704" s="9"/>
      <x:c r="C704" s="9"/>
      <x:c r="D704" s="9"/>
      <x:c r="E704" s="9"/>
      <x:c r="F704" s="9"/>
      <x:c r="G704" s="9"/>
      <x:c r="H704" s="9"/>
      <x:c r="I704" s="9"/>
      <x:c r="J704" s="9"/>
      <x:c r="K704" s="9"/>
      <x:c r="L704" s="9"/>
      <x:c r="M704" s="9"/>
      <x:c r="N704" s="9"/>
      <x:c r="O704" s="9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  <x:c r="AA704" s="9"/>
      <x:c r="AB704" s="9"/>
      <x:c r="AC704" s="9"/>
      <x:c r="AD704" s="9"/>
      <x:c r="AE704" s="2"/>
      <x:c r="AF704" s="9"/>
      <x:c r="AG704" s="9"/>
      <x:c r="AH704" s="2"/>
    </x:row>
    <x:row r="705" ht="14.25" customHeight="1">
      <x:c r="A705" s="2"/>
      <x:c r="B705" s="9"/>
      <x:c r="C705" s="9"/>
      <x:c r="D705" s="9"/>
      <x:c r="E705" s="9"/>
      <x:c r="F705" s="9"/>
      <x:c r="G705" s="9"/>
      <x:c r="H705" s="9"/>
      <x:c r="I705" s="9"/>
      <x:c r="J705" s="9"/>
      <x:c r="K705" s="9"/>
      <x:c r="L705" s="9"/>
      <x:c r="M705" s="9"/>
      <x:c r="N705" s="9"/>
      <x:c r="O705" s="9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  <x:c r="AA705" s="9"/>
      <x:c r="AB705" s="9"/>
      <x:c r="AC705" s="9"/>
      <x:c r="AD705" s="9"/>
      <x:c r="AE705" s="2"/>
      <x:c r="AF705" s="9"/>
      <x:c r="AG705" s="9"/>
      <x:c r="AH705" s="2"/>
    </x:row>
    <x:row r="706" ht="14.25" customHeight="1">
      <x:c r="A706" s="2"/>
      <x:c r="B706" s="9"/>
      <x:c r="C706" s="9"/>
      <x:c r="D706" s="9"/>
      <x:c r="E706" s="9"/>
      <x:c r="F706" s="9"/>
      <x:c r="G706" s="9"/>
      <x:c r="H706" s="9"/>
      <x:c r="I706" s="9"/>
      <x:c r="J706" s="9"/>
      <x:c r="K706" s="9"/>
      <x:c r="L706" s="9"/>
      <x:c r="M706" s="9"/>
      <x:c r="N706" s="9"/>
      <x:c r="O706" s="9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  <x:c r="AA706" s="9"/>
      <x:c r="AB706" s="9"/>
      <x:c r="AC706" s="9"/>
      <x:c r="AD706" s="9"/>
      <x:c r="AE706" s="2"/>
      <x:c r="AF706" s="9"/>
      <x:c r="AG706" s="9"/>
      <x:c r="AH706" s="2"/>
    </x:row>
    <x:row r="707" ht="14.25" customHeight="1">
      <x:c r="A707" s="2"/>
      <x:c r="B707" s="9"/>
      <x:c r="C707" s="9"/>
      <x:c r="D707" s="9"/>
      <x:c r="E707" s="9"/>
      <x:c r="F707" s="9"/>
      <x:c r="G707" s="9"/>
      <x:c r="H707" s="9"/>
      <x:c r="I707" s="9"/>
      <x:c r="J707" s="9"/>
      <x:c r="K707" s="9"/>
      <x:c r="L707" s="9"/>
      <x:c r="M707" s="9"/>
      <x:c r="N707" s="9"/>
      <x:c r="O707" s="9"/>
      <x:c r="P707" s="9"/>
      <x:c r="Q707" s="9"/>
      <x:c r="R707" s="9"/>
      <x:c r="S707" s="9"/>
      <x:c r="T707" s="9"/>
      <x:c r="U707" s="9"/>
      <x:c r="V707" s="9"/>
      <x:c r="W707" s="9"/>
      <x:c r="X707" s="9"/>
      <x:c r="Y707" s="9"/>
      <x:c r="Z707" s="9"/>
      <x:c r="AA707" s="9"/>
      <x:c r="AB707" s="9"/>
      <x:c r="AC707" s="9"/>
      <x:c r="AD707" s="9"/>
      <x:c r="AE707" s="2"/>
      <x:c r="AF707" s="9"/>
      <x:c r="AG707" s="9"/>
      <x:c r="AH707" s="2"/>
    </x:row>
    <x:row r="708" ht="14.25" customHeight="1">
      <x:c r="A708" s="2"/>
      <x:c r="B708" s="9"/>
      <x:c r="C708" s="9"/>
      <x:c r="D708" s="9"/>
      <x:c r="E708" s="9"/>
      <x:c r="F708" s="9"/>
      <x:c r="G708" s="9"/>
      <x:c r="H708" s="9"/>
      <x:c r="I708" s="9"/>
      <x:c r="J708" s="9"/>
      <x:c r="K708" s="9"/>
      <x:c r="L708" s="9"/>
      <x:c r="M708" s="9"/>
      <x:c r="N708" s="9"/>
      <x:c r="O708" s="9"/>
      <x:c r="P708" s="9"/>
      <x:c r="Q708" s="9"/>
      <x:c r="R708" s="9"/>
      <x:c r="S708" s="9"/>
      <x:c r="T708" s="9"/>
      <x:c r="U708" s="9"/>
      <x:c r="V708" s="9"/>
      <x:c r="W708" s="9"/>
      <x:c r="X708" s="9"/>
      <x:c r="Y708" s="9"/>
      <x:c r="Z708" s="9"/>
      <x:c r="AA708" s="9"/>
      <x:c r="AB708" s="9"/>
      <x:c r="AC708" s="9"/>
      <x:c r="AD708" s="9"/>
      <x:c r="AE708" s="2"/>
      <x:c r="AF708" s="9"/>
      <x:c r="AG708" s="9"/>
      <x:c r="AH708" s="2"/>
    </x:row>
    <x:row r="709" ht="14.25" customHeight="1">
      <x:c r="A709" s="2"/>
      <x:c r="B709" s="9"/>
      <x:c r="C709" s="9"/>
      <x:c r="D709" s="9"/>
      <x:c r="E709" s="9"/>
      <x:c r="F709" s="9"/>
      <x:c r="G709" s="9"/>
      <x:c r="H709" s="9"/>
      <x:c r="I709" s="9"/>
      <x:c r="J709" s="9"/>
      <x:c r="K709" s="9"/>
      <x:c r="L709" s="9"/>
      <x:c r="M709" s="9"/>
      <x:c r="N709" s="9"/>
      <x:c r="O709" s="9"/>
      <x:c r="P709" s="9"/>
      <x:c r="Q709" s="9"/>
      <x:c r="R709" s="9"/>
      <x:c r="S709" s="9"/>
      <x:c r="T709" s="9"/>
      <x:c r="U709" s="9"/>
      <x:c r="V709" s="9"/>
      <x:c r="W709" s="9"/>
      <x:c r="X709" s="9"/>
      <x:c r="Y709" s="9"/>
      <x:c r="Z709" s="9"/>
      <x:c r="AA709" s="9"/>
      <x:c r="AB709" s="9"/>
      <x:c r="AC709" s="9"/>
      <x:c r="AD709" s="9"/>
      <x:c r="AE709" s="2"/>
      <x:c r="AF709" s="9"/>
      <x:c r="AG709" s="9"/>
      <x:c r="AH709" s="2"/>
    </x:row>
    <x:row r="710" ht="14.25" customHeight="1">
      <x:c r="A710" s="2"/>
      <x:c r="B710" s="9"/>
      <x:c r="C710" s="9"/>
      <x:c r="D710" s="9"/>
      <x:c r="E710" s="9"/>
      <x:c r="F710" s="9"/>
      <x:c r="G710" s="9"/>
      <x:c r="H710" s="9"/>
      <x:c r="I710" s="9"/>
      <x:c r="J710" s="9"/>
      <x:c r="K710" s="9"/>
      <x:c r="L710" s="9"/>
      <x:c r="M710" s="9"/>
      <x:c r="N710" s="9"/>
      <x:c r="O710" s="9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  <x:c r="AA710" s="9"/>
      <x:c r="AB710" s="9"/>
      <x:c r="AC710" s="9"/>
      <x:c r="AD710" s="9"/>
      <x:c r="AE710" s="2"/>
      <x:c r="AF710" s="9"/>
      <x:c r="AG710" s="9"/>
      <x:c r="AH710" s="2"/>
    </x:row>
    <x:row r="711" ht="14.25" customHeight="1">
      <x:c r="A711" s="2"/>
      <x:c r="B711" s="9"/>
      <x:c r="C711" s="9"/>
      <x:c r="D711" s="9"/>
      <x:c r="E711" s="9"/>
      <x:c r="F711" s="9"/>
      <x:c r="G711" s="9"/>
      <x:c r="H711" s="9"/>
      <x:c r="I711" s="9"/>
      <x:c r="J711" s="9"/>
      <x:c r="K711" s="9"/>
      <x:c r="L711" s="9"/>
      <x:c r="M711" s="9"/>
      <x:c r="N711" s="9"/>
      <x:c r="O711" s="9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  <x:c r="AA711" s="9"/>
      <x:c r="AB711" s="9"/>
      <x:c r="AC711" s="9"/>
      <x:c r="AD711" s="9"/>
      <x:c r="AE711" s="2"/>
      <x:c r="AF711" s="9"/>
      <x:c r="AG711" s="9"/>
      <x:c r="AH711" s="2"/>
    </x:row>
    <x:row r="712" ht="14.25" customHeight="1">
      <x:c r="A712" s="2"/>
      <x:c r="B712" s="9"/>
      <x:c r="C712" s="9"/>
      <x:c r="D712" s="9"/>
      <x:c r="E712" s="9"/>
      <x:c r="F712" s="9"/>
      <x:c r="G712" s="9"/>
      <x:c r="H712" s="9"/>
      <x:c r="I712" s="9"/>
      <x:c r="J712" s="9"/>
      <x:c r="K712" s="9"/>
      <x:c r="L712" s="9"/>
      <x:c r="M712" s="9"/>
      <x:c r="N712" s="9"/>
      <x:c r="O712" s="9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  <x:c r="AA712" s="9"/>
      <x:c r="AB712" s="9"/>
      <x:c r="AC712" s="9"/>
      <x:c r="AD712" s="9"/>
      <x:c r="AE712" s="2"/>
      <x:c r="AF712" s="9"/>
      <x:c r="AG712" s="9"/>
      <x:c r="AH712" s="2"/>
    </x:row>
    <x:row r="713" ht="14.25" customHeight="1">
      <x:c r="A713" s="2"/>
      <x:c r="B713" s="9"/>
      <x:c r="C713" s="9"/>
      <x:c r="D713" s="9"/>
      <x:c r="E713" s="9"/>
      <x:c r="F713" s="9"/>
      <x:c r="G713" s="9"/>
      <x:c r="H713" s="9"/>
      <x:c r="I713" s="9"/>
      <x:c r="J713" s="9"/>
      <x:c r="K713" s="9"/>
      <x:c r="L713" s="9"/>
      <x:c r="M713" s="9"/>
      <x:c r="N713" s="9"/>
      <x:c r="O713" s="9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  <x:c r="AA713" s="9"/>
      <x:c r="AB713" s="9"/>
      <x:c r="AC713" s="9"/>
      <x:c r="AD713" s="9"/>
      <x:c r="AE713" s="2"/>
      <x:c r="AF713" s="9"/>
      <x:c r="AG713" s="9"/>
      <x:c r="AH713" s="2"/>
    </x:row>
    <x:row r="714" ht="14.25" customHeight="1">
      <x:c r="A714" s="2"/>
      <x:c r="B714" s="9"/>
      <x:c r="C714" s="9"/>
      <x:c r="D714" s="9"/>
      <x:c r="E714" s="9"/>
      <x:c r="F714" s="9"/>
      <x:c r="G714" s="9"/>
      <x:c r="H714" s="9"/>
      <x:c r="I714" s="9"/>
      <x:c r="J714" s="9"/>
      <x:c r="K714" s="9"/>
      <x:c r="L714" s="9"/>
      <x:c r="M714" s="9"/>
      <x:c r="N714" s="9"/>
      <x:c r="O714" s="9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  <x:c r="AA714" s="9"/>
      <x:c r="AB714" s="9"/>
      <x:c r="AC714" s="9"/>
      <x:c r="AD714" s="9"/>
      <x:c r="AE714" s="2"/>
      <x:c r="AF714" s="9"/>
      <x:c r="AG714" s="9"/>
      <x:c r="AH714" s="2"/>
    </x:row>
    <x:row r="715" ht="14.25" customHeight="1">
      <x:c r="A715" s="2"/>
      <x:c r="B715" s="9"/>
      <x:c r="C715" s="9"/>
      <x:c r="D715" s="9"/>
      <x:c r="E715" s="9"/>
      <x:c r="F715" s="9"/>
      <x:c r="G715" s="9"/>
      <x:c r="H715" s="9"/>
      <x:c r="I715" s="9"/>
      <x:c r="J715" s="9"/>
      <x:c r="K715" s="9"/>
      <x:c r="L715" s="9"/>
      <x:c r="M715" s="9"/>
      <x:c r="N715" s="9"/>
      <x:c r="O715" s="9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  <x:c r="AA715" s="9"/>
      <x:c r="AB715" s="9"/>
      <x:c r="AC715" s="9"/>
      <x:c r="AD715" s="9"/>
      <x:c r="AE715" s="2"/>
      <x:c r="AF715" s="9"/>
      <x:c r="AG715" s="9"/>
      <x:c r="AH715" s="2"/>
    </x:row>
    <x:row r="716" ht="14.25" customHeight="1">
      <x:c r="A716" s="2"/>
      <x:c r="B716" s="9"/>
      <x:c r="C716" s="9"/>
      <x:c r="D716" s="9"/>
      <x:c r="E716" s="9"/>
      <x:c r="F716" s="9"/>
      <x:c r="G716" s="9"/>
      <x:c r="H716" s="9"/>
      <x:c r="I716" s="9"/>
      <x:c r="J716" s="9"/>
      <x:c r="K716" s="9"/>
      <x:c r="L716" s="9"/>
      <x:c r="M716" s="9"/>
      <x:c r="N716" s="9"/>
      <x:c r="O716" s="9"/>
      <x:c r="P716" s="9"/>
      <x:c r="Q716" s="9"/>
      <x:c r="R716" s="9"/>
      <x:c r="S716" s="9"/>
      <x:c r="T716" s="9"/>
      <x:c r="U716" s="9"/>
      <x:c r="V716" s="9"/>
      <x:c r="W716" s="9"/>
      <x:c r="X716" s="9"/>
      <x:c r="Y716" s="9"/>
      <x:c r="Z716" s="9"/>
      <x:c r="AA716" s="9"/>
      <x:c r="AB716" s="9"/>
      <x:c r="AC716" s="9"/>
      <x:c r="AD716" s="9"/>
      <x:c r="AE716" s="2"/>
      <x:c r="AF716" s="9"/>
      <x:c r="AG716" s="9"/>
      <x:c r="AH716" s="2"/>
    </x:row>
    <x:row r="717" ht="14.25" customHeight="1">
      <x:c r="A717" s="2"/>
      <x:c r="B717" s="9"/>
      <x:c r="C717" s="9"/>
      <x:c r="D717" s="9"/>
      <x:c r="E717" s="9"/>
      <x:c r="F717" s="9"/>
      <x:c r="G717" s="9"/>
      <x:c r="H717" s="9"/>
      <x:c r="I717" s="9"/>
      <x:c r="J717" s="9"/>
      <x:c r="K717" s="9"/>
      <x:c r="L717" s="9"/>
      <x:c r="M717" s="9"/>
      <x:c r="N717" s="9"/>
      <x:c r="O717" s="9"/>
      <x:c r="P717" s="9"/>
      <x:c r="Q717" s="9"/>
      <x:c r="R717" s="9"/>
      <x:c r="S717" s="9"/>
      <x:c r="T717" s="9"/>
      <x:c r="U717" s="9"/>
      <x:c r="V717" s="9"/>
      <x:c r="W717" s="9"/>
      <x:c r="X717" s="9"/>
      <x:c r="Y717" s="9"/>
      <x:c r="Z717" s="9"/>
      <x:c r="AA717" s="9"/>
      <x:c r="AB717" s="9"/>
      <x:c r="AC717" s="9"/>
      <x:c r="AD717" s="9"/>
      <x:c r="AE717" s="2"/>
      <x:c r="AF717" s="9"/>
      <x:c r="AG717" s="9"/>
      <x:c r="AH717" s="2"/>
    </x:row>
    <x:row r="718" ht="14.25" customHeight="1">
      <x:c r="A718" s="2"/>
      <x:c r="B718" s="9"/>
      <x:c r="C718" s="9"/>
      <x:c r="D718" s="9"/>
      <x:c r="E718" s="9"/>
      <x:c r="F718" s="9"/>
      <x:c r="G718" s="9"/>
      <x:c r="H718" s="9"/>
      <x:c r="I718" s="9"/>
      <x:c r="J718" s="9"/>
      <x:c r="K718" s="9"/>
      <x:c r="L718" s="9"/>
      <x:c r="M718" s="9"/>
      <x:c r="N718" s="9"/>
      <x:c r="O718" s="9"/>
      <x:c r="P718" s="9"/>
      <x:c r="Q718" s="9"/>
      <x:c r="R718" s="9"/>
      <x:c r="S718" s="9"/>
      <x:c r="T718" s="9"/>
      <x:c r="U718" s="9"/>
      <x:c r="V718" s="9"/>
      <x:c r="W718" s="9"/>
      <x:c r="X718" s="9"/>
      <x:c r="Y718" s="9"/>
      <x:c r="Z718" s="9"/>
      <x:c r="AA718" s="9"/>
      <x:c r="AB718" s="9"/>
      <x:c r="AC718" s="9"/>
      <x:c r="AD718" s="9"/>
      <x:c r="AE718" s="2"/>
      <x:c r="AF718" s="9"/>
      <x:c r="AG718" s="9"/>
      <x:c r="AH718" s="2"/>
    </x:row>
    <x:row r="719" ht="14.25" customHeight="1">
      <x:c r="A719" s="2"/>
      <x:c r="B719" s="9"/>
      <x:c r="C719" s="9"/>
      <x:c r="D719" s="9"/>
      <x:c r="E719" s="9"/>
      <x:c r="F719" s="9"/>
      <x:c r="G719" s="9"/>
      <x:c r="H719" s="9"/>
      <x:c r="I719" s="9"/>
      <x:c r="J719" s="9"/>
      <x:c r="K719" s="9"/>
      <x:c r="L719" s="9"/>
      <x:c r="M719" s="9"/>
      <x:c r="N719" s="9"/>
      <x:c r="O719" s="9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  <x:c r="AA719" s="9"/>
      <x:c r="AB719" s="9"/>
      <x:c r="AC719" s="9"/>
      <x:c r="AD719" s="9"/>
      <x:c r="AE719" s="2"/>
      <x:c r="AF719" s="9"/>
      <x:c r="AG719" s="9"/>
      <x:c r="AH719" s="2"/>
    </x:row>
    <x:row r="720" ht="14.25" customHeight="1">
      <x:c r="A720" s="2"/>
      <x:c r="B720" s="9"/>
      <x:c r="C720" s="9"/>
      <x:c r="D720" s="9"/>
      <x:c r="E720" s="9"/>
      <x:c r="F720" s="9"/>
      <x:c r="G720" s="9"/>
      <x:c r="H720" s="9"/>
      <x:c r="I720" s="9"/>
      <x:c r="J720" s="9"/>
      <x:c r="K720" s="9"/>
      <x:c r="L720" s="9"/>
      <x:c r="M720" s="9"/>
      <x:c r="N720" s="9"/>
      <x:c r="O720" s="9"/>
      <x:c r="P720" s="9"/>
      <x:c r="Q720" s="9"/>
      <x:c r="R720" s="9"/>
      <x:c r="S720" s="9"/>
      <x:c r="T720" s="9"/>
      <x:c r="U720" s="9"/>
      <x:c r="V720" s="9"/>
      <x:c r="W720" s="9"/>
      <x:c r="X720" s="9"/>
      <x:c r="Y720" s="9"/>
      <x:c r="Z720" s="9"/>
      <x:c r="AA720" s="9"/>
      <x:c r="AB720" s="9"/>
      <x:c r="AC720" s="9"/>
      <x:c r="AD720" s="9"/>
      <x:c r="AE720" s="2"/>
      <x:c r="AF720" s="9"/>
      <x:c r="AG720" s="9"/>
      <x:c r="AH720" s="2"/>
    </x:row>
    <x:row r="721" ht="14.25" customHeight="1">
      <x:c r="A721" s="2"/>
      <x:c r="B721" s="9"/>
      <x:c r="C721" s="9"/>
      <x:c r="D721" s="9"/>
      <x:c r="E721" s="9"/>
      <x:c r="F721" s="9"/>
      <x:c r="G721" s="9"/>
      <x:c r="H721" s="9"/>
      <x:c r="I721" s="9"/>
      <x:c r="J721" s="9"/>
      <x:c r="K721" s="9"/>
      <x:c r="L721" s="9"/>
      <x:c r="M721" s="9"/>
      <x:c r="N721" s="9"/>
      <x:c r="O721" s="9"/>
      <x:c r="P721" s="9"/>
      <x:c r="Q721" s="9"/>
      <x:c r="R721" s="9"/>
      <x:c r="S721" s="9"/>
      <x:c r="T721" s="9"/>
      <x:c r="U721" s="9"/>
      <x:c r="V721" s="9"/>
      <x:c r="W721" s="9"/>
      <x:c r="X721" s="9"/>
      <x:c r="Y721" s="9"/>
      <x:c r="Z721" s="9"/>
      <x:c r="AA721" s="9"/>
      <x:c r="AB721" s="9"/>
      <x:c r="AC721" s="9"/>
      <x:c r="AD721" s="9"/>
      <x:c r="AE721" s="2"/>
      <x:c r="AF721" s="9"/>
      <x:c r="AG721" s="9"/>
      <x:c r="AH721" s="2"/>
    </x:row>
    <x:row r="722" ht="14.25" customHeight="1">
      <x:c r="A722" s="2"/>
      <x:c r="B722" s="9"/>
      <x:c r="C722" s="9"/>
      <x:c r="D722" s="9"/>
      <x:c r="E722" s="9"/>
      <x:c r="F722" s="9"/>
      <x:c r="G722" s="9"/>
      <x:c r="H722" s="9"/>
      <x:c r="I722" s="9"/>
      <x:c r="J722" s="9"/>
      <x:c r="K722" s="9"/>
      <x:c r="L722" s="9"/>
      <x:c r="M722" s="9"/>
      <x:c r="N722" s="9"/>
      <x:c r="O722" s="9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  <x:c r="AA722" s="9"/>
      <x:c r="AB722" s="9"/>
      <x:c r="AC722" s="9"/>
      <x:c r="AD722" s="9"/>
      <x:c r="AE722" s="2"/>
      <x:c r="AF722" s="9"/>
      <x:c r="AG722" s="9"/>
      <x:c r="AH722" s="2"/>
    </x:row>
    <x:row r="723" ht="14.25" customHeight="1">
      <x:c r="A723" s="2"/>
      <x:c r="B723" s="9"/>
      <x:c r="C723" s="9"/>
      <x:c r="D723" s="9"/>
      <x:c r="E723" s="9"/>
      <x:c r="F723" s="9"/>
      <x:c r="G723" s="9"/>
      <x:c r="H723" s="9"/>
      <x:c r="I723" s="9"/>
      <x:c r="J723" s="9"/>
      <x:c r="K723" s="9"/>
      <x:c r="L723" s="9"/>
      <x:c r="M723" s="9"/>
      <x:c r="N723" s="9"/>
      <x:c r="O723" s="9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  <x:c r="AA723" s="9"/>
      <x:c r="AB723" s="9"/>
      <x:c r="AC723" s="9"/>
      <x:c r="AD723" s="9"/>
      <x:c r="AE723" s="2"/>
      <x:c r="AF723" s="9"/>
      <x:c r="AG723" s="9"/>
      <x:c r="AH723" s="2"/>
    </x:row>
    <x:row r="724" ht="14.25" customHeight="1">
      <x:c r="A724" s="2"/>
      <x:c r="B724" s="9"/>
      <x:c r="C724" s="9"/>
      <x:c r="D724" s="9"/>
      <x:c r="E724" s="9"/>
      <x:c r="F724" s="9"/>
      <x:c r="G724" s="9"/>
      <x:c r="H724" s="9"/>
      <x:c r="I724" s="9"/>
      <x:c r="J724" s="9"/>
      <x:c r="K724" s="9"/>
      <x:c r="L724" s="9"/>
      <x:c r="M724" s="9"/>
      <x:c r="N724" s="9"/>
      <x:c r="O724" s="9"/>
      <x:c r="P724" s="9"/>
      <x:c r="Q724" s="9"/>
      <x:c r="R724" s="9"/>
      <x:c r="S724" s="9"/>
      <x:c r="T724" s="9"/>
      <x:c r="U724" s="9"/>
      <x:c r="V724" s="9"/>
      <x:c r="W724" s="9"/>
      <x:c r="X724" s="9"/>
      <x:c r="Y724" s="9"/>
      <x:c r="Z724" s="9"/>
      <x:c r="AA724" s="9"/>
      <x:c r="AB724" s="9"/>
      <x:c r="AC724" s="9"/>
      <x:c r="AD724" s="9"/>
      <x:c r="AE724" s="2"/>
      <x:c r="AF724" s="9"/>
      <x:c r="AG724" s="9"/>
      <x:c r="AH724" s="2"/>
    </x:row>
    <x:row r="725" ht="14.25" customHeight="1">
      <x:c r="A725" s="2"/>
      <x:c r="B725" s="9"/>
      <x:c r="C725" s="9"/>
      <x:c r="D725" s="9"/>
      <x:c r="E725" s="9"/>
      <x:c r="F725" s="9"/>
      <x:c r="G725" s="9"/>
      <x:c r="H725" s="9"/>
      <x:c r="I725" s="9"/>
      <x:c r="J725" s="9"/>
      <x:c r="K725" s="9"/>
      <x:c r="L725" s="9"/>
      <x:c r="M725" s="9"/>
      <x:c r="N725" s="9"/>
      <x:c r="O725" s="9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  <x:c r="AA725" s="9"/>
      <x:c r="AB725" s="9"/>
      <x:c r="AC725" s="9"/>
      <x:c r="AD725" s="9"/>
      <x:c r="AE725" s="2"/>
      <x:c r="AF725" s="9"/>
      <x:c r="AG725" s="9"/>
      <x:c r="AH725" s="2"/>
    </x:row>
    <x:row r="726" ht="14.25" customHeight="1">
      <x:c r="A726" s="2"/>
      <x:c r="B726" s="9"/>
      <x:c r="C726" s="9"/>
      <x:c r="D726" s="9"/>
      <x:c r="E726" s="9"/>
      <x:c r="F726" s="9"/>
      <x:c r="G726" s="9"/>
      <x:c r="H726" s="9"/>
      <x:c r="I726" s="9"/>
      <x:c r="J726" s="9"/>
      <x:c r="K726" s="9"/>
      <x:c r="L726" s="9"/>
      <x:c r="M726" s="9"/>
      <x:c r="N726" s="9"/>
      <x:c r="O726" s="9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  <x:c r="AA726" s="9"/>
      <x:c r="AB726" s="9"/>
      <x:c r="AC726" s="9"/>
      <x:c r="AD726" s="9"/>
      <x:c r="AE726" s="2"/>
      <x:c r="AF726" s="9"/>
      <x:c r="AG726" s="9"/>
      <x:c r="AH726" s="2"/>
    </x:row>
    <x:row r="727" ht="14.25" customHeight="1">
      <x:c r="A727" s="2"/>
      <x:c r="B727" s="9"/>
      <x:c r="C727" s="9"/>
      <x:c r="D727" s="9"/>
      <x:c r="E727" s="9"/>
      <x:c r="F727" s="9"/>
      <x:c r="G727" s="9"/>
      <x:c r="H727" s="9"/>
      <x:c r="I727" s="9"/>
      <x:c r="J727" s="9"/>
      <x:c r="K727" s="9"/>
      <x:c r="L727" s="9"/>
      <x:c r="M727" s="9"/>
      <x:c r="N727" s="9"/>
      <x:c r="O727" s="9"/>
      <x:c r="P727" s="9"/>
      <x:c r="Q727" s="9"/>
      <x:c r="R727" s="9"/>
      <x:c r="S727" s="9"/>
      <x:c r="T727" s="9"/>
      <x:c r="U727" s="9"/>
      <x:c r="V727" s="9"/>
      <x:c r="W727" s="9"/>
      <x:c r="X727" s="9"/>
      <x:c r="Y727" s="9"/>
      <x:c r="Z727" s="9"/>
      <x:c r="AA727" s="9"/>
      <x:c r="AB727" s="9"/>
      <x:c r="AC727" s="9"/>
      <x:c r="AD727" s="9"/>
      <x:c r="AE727" s="2"/>
      <x:c r="AF727" s="9"/>
      <x:c r="AG727" s="9"/>
      <x:c r="AH727" s="2"/>
    </x:row>
    <x:row r="728" ht="14.25" customHeight="1">
      <x:c r="A728" s="2"/>
      <x:c r="B728" s="9"/>
      <x:c r="C728" s="9"/>
      <x:c r="D728" s="9"/>
      <x:c r="E728" s="9"/>
      <x:c r="F728" s="9"/>
      <x:c r="G728" s="9"/>
      <x:c r="H728" s="9"/>
      <x:c r="I728" s="9"/>
      <x:c r="J728" s="9"/>
      <x:c r="K728" s="9"/>
      <x:c r="L728" s="9"/>
      <x:c r="M728" s="9"/>
      <x:c r="N728" s="9"/>
      <x:c r="O728" s="9"/>
      <x:c r="P728" s="9"/>
      <x:c r="Q728" s="9"/>
      <x:c r="R728" s="9"/>
      <x:c r="S728" s="9"/>
      <x:c r="T728" s="9"/>
      <x:c r="U728" s="9"/>
      <x:c r="V728" s="9"/>
      <x:c r="W728" s="9"/>
      <x:c r="X728" s="9"/>
      <x:c r="Y728" s="9"/>
      <x:c r="Z728" s="9"/>
      <x:c r="AA728" s="9"/>
      <x:c r="AB728" s="9"/>
      <x:c r="AC728" s="9"/>
      <x:c r="AD728" s="9"/>
      <x:c r="AE728" s="2"/>
      <x:c r="AF728" s="9"/>
      <x:c r="AG728" s="9"/>
      <x:c r="AH728" s="2"/>
    </x:row>
    <x:row r="729" ht="14.25" customHeight="1">
      <x:c r="A729" s="2"/>
      <x:c r="B729" s="9"/>
      <x:c r="C729" s="9"/>
      <x:c r="D729" s="9"/>
      <x:c r="E729" s="9"/>
      <x:c r="F729" s="9"/>
      <x:c r="G729" s="9"/>
      <x:c r="H729" s="9"/>
      <x:c r="I729" s="9"/>
      <x:c r="J729" s="9"/>
      <x:c r="K729" s="9"/>
      <x:c r="L729" s="9"/>
      <x:c r="M729" s="9"/>
      <x:c r="N729" s="9"/>
      <x:c r="O729" s="9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  <x:c r="AA729" s="9"/>
      <x:c r="AB729" s="9"/>
      <x:c r="AC729" s="9"/>
      <x:c r="AD729" s="9"/>
      <x:c r="AE729" s="2"/>
      <x:c r="AF729" s="9"/>
      <x:c r="AG729" s="9"/>
      <x:c r="AH729" s="2"/>
    </x:row>
    <x:row r="730" ht="14.25" customHeight="1">
      <x:c r="A730" s="2"/>
      <x:c r="B730" s="9"/>
      <x:c r="C730" s="9"/>
      <x:c r="D730" s="9"/>
      <x:c r="E730" s="9"/>
      <x:c r="F730" s="9"/>
      <x:c r="G730" s="9"/>
      <x:c r="H730" s="9"/>
      <x:c r="I730" s="9"/>
      <x:c r="J730" s="9"/>
      <x:c r="K730" s="9"/>
      <x:c r="L730" s="9"/>
      <x:c r="M730" s="9"/>
      <x:c r="N730" s="9"/>
      <x:c r="O730" s="9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  <x:c r="AA730" s="9"/>
      <x:c r="AB730" s="9"/>
      <x:c r="AC730" s="9"/>
      <x:c r="AD730" s="9"/>
      <x:c r="AE730" s="2"/>
      <x:c r="AF730" s="9"/>
      <x:c r="AG730" s="9"/>
      <x:c r="AH730" s="2"/>
    </x:row>
    <x:row r="731" ht="14.25" customHeight="1">
      <x:c r="A731" s="2"/>
      <x:c r="B731" s="9"/>
      <x:c r="C731" s="9"/>
      <x:c r="D731" s="9"/>
      <x:c r="E731" s="9"/>
      <x:c r="F731" s="9"/>
      <x:c r="G731" s="9"/>
      <x:c r="H731" s="9"/>
      <x:c r="I731" s="9"/>
      <x:c r="J731" s="9"/>
      <x:c r="K731" s="9"/>
      <x:c r="L731" s="9"/>
      <x:c r="M731" s="9"/>
      <x:c r="N731" s="9"/>
      <x:c r="O731" s="9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  <x:c r="AA731" s="9"/>
      <x:c r="AB731" s="9"/>
      <x:c r="AC731" s="9"/>
      <x:c r="AD731" s="9"/>
      <x:c r="AE731" s="2"/>
      <x:c r="AF731" s="9"/>
      <x:c r="AG731" s="9"/>
      <x:c r="AH731" s="2"/>
    </x:row>
    <x:row r="732" ht="14.25" customHeight="1">
      <x:c r="A732" s="2"/>
      <x:c r="B732" s="9"/>
      <x:c r="C732" s="9"/>
      <x:c r="D732" s="9"/>
      <x:c r="E732" s="9"/>
      <x:c r="F732" s="9"/>
      <x:c r="G732" s="9"/>
      <x:c r="H732" s="9"/>
      <x:c r="I732" s="9"/>
      <x:c r="J732" s="9"/>
      <x:c r="K732" s="9"/>
      <x:c r="L732" s="9"/>
      <x:c r="M732" s="9"/>
      <x:c r="N732" s="9"/>
      <x:c r="O732" s="9"/>
      <x:c r="P732" s="9"/>
      <x:c r="Q732" s="9"/>
      <x:c r="R732" s="9"/>
      <x:c r="S732" s="9"/>
      <x:c r="T732" s="9"/>
      <x:c r="U732" s="9"/>
      <x:c r="V732" s="9"/>
      <x:c r="W732" s="9"/>
      <x:c r="X732" s="9"/>
      <x:c r="Y732" s="9"/>
      <x:c r="Z732" s="9"/>
      <x:c r="AA732" s="9"/>
      <x:c r="AB732" s="9"/>
      <x:c r="AC732" s="9"/>
      <x:c r="AD732" s="9"/>
      <x:c r="AE732" s="2"/>
      <x:c r="AF732" s="9"/>
      <x:c r="AG732" s="9"/>
      <x:c r="AH732" s="2"/>
    </x:row>
    <x:row r="733" ht="14.25" customHeight="1">
      <x:c r="A733" s="2"/>
      <x:c r="B733" s="9"/>
      <x:c r="C733" s="9"/>
      <x:c r="D733" s="9"/>
      <x:c r="E733" s="9"/>
      <x:c r="F733" s="9"/>
      <x:c r="G733" s="9"/>
      <x:c r="H733" s="9"/>
      <x:c r="I733" s="9"/>
      <x:c r="J733" s="9"/>
      <x:c r="K733" s="9"/>
      <x:c r="L733" s="9"/>
      <x:c r="M733" s="9"/>
      <x:c r="N733" s="9"/>
      <x:c r="O733" s="9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  <x:c r="AA733" s="9"/>
      <x:c r="AB733" s="9"/>
      <x:c r="AC733" s="9"/>
      <x:c r="AD733" s="9"/>
      <x:c r="AE733" s="2"/>
      <x:c r="AF733" s="9"/>
      <x:c r="AG733" s="9"/>
      <x:c r="AH733" s="2"/>
    </x:row>
    <x:row r="734" ht="14.25" customHeight="1">
      <x:c r="A734" s="2"/>
      <x:c r="B734" s="9"/>
      <x:c r="C734" s="9"/>
      <x:c r="D734" s="9"/>
      <x:c r="E734" s="9"/>
      <x:c r="F734" s="9"/>
      <x:c r="G734" s="9"/>
      <x:c r="H734" s="9"/>
      <x:c r="I734" s="9"/>
      <x:c r="J734" s="9"/>
      <x:c r="K734" s="9"/>
      <x:c r="L734" s="9"/>
      <x:c r="M734" s="9"/>
      <x:c r="N734" s="9"/>
      <x:c r="O734" s="9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  <x:c r="AA734" s="9"/>
      <x:c r="AB734" s="9"/>
      <x:c r="AC734" s="9"/>
      <x:c r="AD734" s="9"/>
      <x:c r="AE734" s="2"/>
      <x:c r="AF734" s="9"/>
      <x:c r="AG734" s="9"/>
      <x:c r="AH734" s="2"/>
    </x:row>
    <x:row r="735" ht="14.25" customHeight="1">
      <x:c r="A735" s="2"/>
      <x:c r="B735" s="9"/>
      <x:c r="C735" s="9"/>
      <x:c r="D735" s="9"/>
      <x:c r="E735" s="9"/>
      <x:c r="F735" s="9"/>
      <x:c r="G735" s="9"/>
      <x:c r="H735" s="9"/>
      <x:c r="I735" s="9"/>
      <x:c r="J735" s="9"/>
      <x:c r="K735" s="9"/>
      <x:c r="L735" s="9"/>
      <x:c r="M735" s="9"/>
      <x:c r="N735" s="9"/>
      <x:c r="O735" s="9"/>
      <x:c r="P735" s="9"/>
      <x:c r="Q735" s="9"/>
      <x:c r="R735" s="9"/>
      <x:c r="S735" s="9"/>
      <x:c r="T735" s="9"/>
      <x:c r="U735" s="9"/>
      <x:c r="V735" s="9"/>
      <x:c r="W735" s="9"/>
      <x:c r="X735" s="9"/>
      <x:c r="Y735" s="9"/>
      <x:c r="Z735" s="9"/>
      <x:c r="AA735" s="9"/>
      <x:c r="AB735" s="9"/>
      <x:c r="AC735" s="9"/>
      <x:c r="AD735" s="9"/>
      <x:c r="AE735" s="2"/>
      <x:c r="AF735" s="9"/>
      <x:c r="AG735" s="9"/>
      <x:c r="AH735" s="2"/>
    </x:row>
    <x:row r="736" ht="14.25" customHeight="1">
      <x:c r="A736" s="2"/>
      <x:c r="B736" s="9"/>
      <x:c r="C736" s="9"/>
      <x:c r="D736" s="9"/>
      <x:c r="E736" s="9"/>
      <x:c r="F736" s="9"/>
      <x:c r="G736" s="9"/>
      <x:c r="H736" s="9"/>
      <x:c r="I736" s="9"/>
      <x:c r="J736" s="9"/>
      <x:c r="K736" s="9"/>
      <x:c r="L736" s="9"/>
      <x:c r="M736" s="9"/>
      <x:c r="N736" s="9"/>
      <x:c r="O736" s="9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  <x:c r="AA736" s="9"/>
      <x:c r="AB736" s="9"/>
      <x:c r="AC736" s="9"/>
      <x:c r="AD736" s="9"/>
      <x:c r="AE736" s="2"/>
      <x:c r="AF736" s="9"/>
      <x:c r="AG736" s="9"/>
      <x:c r="AH736" s="2"/>
    </x:row>
    <x:row r="737" ht="14.25" customHeight="1">
      <x:c r="A737" s="2"/>
      <x:c r="B737" s="9"/>
      <x:c r="C737" s="9"/>
      <x:c r="D737" s="9"/>
      <x:c r="E737" s="9"/>
      <x:c r="F737" s="9"/>
      <x:c r="G737" s="9"/>
      <x:c r="H737" s="9"/>
      <x:c r="I737" s="9"/>
      <x:c r="J737" s="9"/>
      <x:c r="K737" s="9"/>
      <x:c r="L737" s="9"/>
      <x:c r="M737" s="9"/>
      <x:c r="N737" s="9"/>
      <x:c r="O737" s="9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  <x:c r="AA737" s="9"/>
      <x:c r="AB737" s="9"/>
      <x:c r="AC737" s="9"/>
      <x:c r="AD737" s="9"/>
      <x:c r="AE737" s="2"/>
      <x:c r="AF737" s="9"/>
      <x:c r="AG737" s="9"/>
      <x:c r="AH737" s="2"/>
    </x:row>
    <x:row r="738" ht="14.25" customHeight="1">
      <x:c r="A738" s="2"/>
      <x:c r="B738" s="9"/>
      <x:c r="C738" s="9"/>
      <x:c r="D738" s="9"/>
      <x:c r="E738" s="9"/>
      <x:c r="F738" s="9"/>
      <x:c r="G738" s="9"/>
      <x:c r="H738" s="9"/>
      <x:c r="I738" s="9"/>
      <x:c r="J738" s="9"/>
      <x:c r="K738" s="9"/>
      <x:c r="L738" s="9"/>
      <x:c r="M738" s="9"/>
      <x:c r="N738" s="9"/>
      <x:c r="O738" s="9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/>
      <x:c r="AA738" s="9"/>
      <x:c r="AB738" s="9"/>
      <x:c r="AC738" s="9"/>
      <x:c r="AD738" s="9"/>
      <x:c r="AE738" s="2"/>
      <x:c r="AF738" s="9"/>
      <x:c r="AG738" s="9"/>
      <x:c r="AH738" s="2"/>
    </x:row>
    <x:row r="739" ht="14.25" customHeight="1">
      <x:c r="A739" s="2"/>
      <x:c r="B739" s="9"/>
      <x:c r="C739" s="9"/>
      <x:c r="D739" s="9"/>
      <x:c r="E739" s="9"/>
      <x:c r="F739" s="9"/>
      <x:c r="G739" s="9"/>
      <x:c r="H739" s="9"/>
      <x:c r="I739" s="9"/>
      <x:c r="J739" s="9"/>
      <x:c r="K739" s="9"/>
      <x:c r="L739" s="9"/>
      <x:c r="M739" s="9"/>
      <x:c r="N739" s="9"/>
      <x:c r="O739" s="9"/>
      <x:c r="P739" s="9"/>
      <x:c r="Q739" s="9"/>
      <x:c r="R739" s="9"/>
      <x:c r="S739" s="9"/>
      <x:c r="T739" s="9"/>
      <x:c r="U739" s="9"/>
      <x:c r="V739" s="9"/>
      <x:c r="W739" s="9"/>
      <x:c r="X739" s="9"/>
      <x:c r="Y739" s="9"/>
      <x:c r="Z739" s="9"/>
      <x:c r="AA739" s="9"/>
      <x:c r="AB739" s="9"/>
      <x:c r="AC739" s="9"/>
      <x:c r="AD739" s="9"/>
      <x:c r="AE739" s="2"/>
      <x:c r="AF739" s="9"/>
      <x:c r="AG739" s="9"/>
      <x:c r="AH739" s="2"/>
    </x:row>
    <x:row r="740" ht="14.25" customHeight="1">
      <x:c r="A740" s="2"/>
      <x:c r="B740" s="9"/>
      <x:c r="C740" s="9"/>
      <x:c r="D740" s="9"/>
      <x:c r="E740" s="9"/>
      <x:c r="F740" s="9"/>
      <x:c r="G740" s="9"/>
      <x:c r="H740" s="9"/>
      <x:c r="I740" s="9"/>
      <x:c r="J740" s="9"/>
      <x:c r="K740" s="9"/>
      <x:c r="L740" s="9"/>
      <x:c r="M740" s="9"/>
      <x:c r="N740" s="9"/>
      <x:c r="O740" s="9"/>
      <x:c r="P740" s="9"/>
      <x:c r="Q740" s="9"/>
      <x:c r="R740" s="9"/>
      <x:c r="S740" s="9"/>
      <x:c r="T740" s="9"/>
      <x:c r="U740" s="9"/>
      <x:c r="V740" s="9"/>
      <x:c r="W740" s="9"/>
      <x:c r="X740" s="9"/>
      <x:c r="Y740" s="9"/>
      <x:c r="Z740" s="9"/>
      <x:c r="AA740" s="9"/>
      <x:c r="AB740" s="9"/>
      <x:c r="AC740" s="9"/>
      <x:c r="AD740" s="9"/>
      <x:c r="AE740" s="2"/>
      <x:c r="AF740" s="9"/>
      <x:c r="AG740" s="9"/>
      <x:c r="AH740" s="2"/>
    </x:row>
    <x:row r="741" ht="14.25" customHeight="1">
      <x:c r="A741" s="2"/>
      <x:c r="B741" s="9"/>
      <x:c r="C741" s="9"/>
      <x:c r="D741" s="9"/>
      <x:c r="E741" s="9"/>
      <x:c r="F741" s="9"/>
      <x:c r="G741" s="9"/>
      <x:c r="H741" s="9"/>
      <x:c r="I741" s="9"/>
      <x:c r="J741" s="9"/>
      <x:c r="K741" s="9"/>
      <x:c r="L741" s="9"/>
      <x:c r="M741" s="9"/>
      <x:c r="N741" s="9"/>
      <x:c r="O741" s="9"/>
      <x:c r="P741" s="9"/>
      <x:c r="Q741" s="9"/>
      <x:c r="R741" s="9"/>
      <x:c r="S741" s="9"/>
      <x:c r="T741" s="9"/>
      <x:c r="U741" s="9"/>
      <x:c r="V741" s="9"/>
      <x:c r="W741" s="9"/>
      <x:c r="X741" s="9"/>
      <x:c r="Y741" s="9"/>
      <x:c r="Z741" s="9"/>
      <x:c r="AA741" s="9"/>
      <x:c r="AB741" s="9"/>
      <x:c r="AC741" s="9"/>
      <x:c r="AD741" s="9"/>
      <x:c r="AE741" s="2"/>
      <x:c r="AF741" s="9"/>
      <x:c r="AG741" s="9"/>
      <x:c r="AH741" s="2"/>
    </x:row>
    <x:row r="742" ht="14.25" customHeight="1">
      <x:c r="A742" s="2"/>
      <x:c r="B742" s="9"/>
      <x:c r="C742" s="9"/>
      <x:c r="D742" s="9"/>
      <x:c r="E742" s="9"/>
      <x:c r="F742" s="9"/>
      <x:c r="G742" s="9"/>
      <x:c r="H742" s="9"/>
      <x:c r="I742" s="9"/>
      <x:c r="J742" s="9"/>
      <x:c r="K742" s="9"/>
      <x:c r="L742" s="9"/>
      <x:c r="M742" s="9"/>
      <x:c r="N742" s="9"/>
      <x:c r="O742" s="9"/>
      <x:c r="P742" s="9"/>
      <x:c r="Q742" s="9"/>
      <x:c r="R742" s="9"/>
      <x:c r="S742" s="9"/>
      <x:c r="T742" s="9"/>
      <x:c r="U742" s="9"/>
      <x:c r="V742" s="9"/>
      <x:c r="W742" s="9"/>
      <x:c r="X742" s="9"/>
      <x:c r="Y742" s="9"/>
      <x:c r="Z742" s="9"/>
      <x:c r="AA742" s="9"/>
      <x:c r="AB742" s="9"/>
      <x:c r="AC742" s="9"/>
      <x:c r="AD742" s="9"/>
      <x:c r="AE742" s="2"/>
      <x:c r="AF742" s="9"/>
      <x:c r="AG742" s="9"/>
      <x:c r="AH742" s="2"/>
    </x:row>
    <x:row r="743" ht="14.25" customHeight="1">
      <x:c r="A743" s="2"/>
      <x:c r="B743" s="9"/>
      <x:c r="C743" s="9"/>
      <x:c r="D743" s="9"/>
      <x:c r="E743" s="9"/>
      <x:c r="F743" s="9"/>
      <x:c r="G743" s="9"/>
      <x:c r="H743" s="9"/>
      <x:c r="I743" s="9"/>
      <x:c r="J743" s="9"/>
      <x:c r="K743" s="9"/>
      <x:c r="L743" s="9"/>
      <x:c r="M743" s="9"/>
      <x:c r="N743" s="9"/>
      <x:c r="O743" s="9"/>
      <x:c r="P743" s="9"/>
      <x:c r="Q743" s="9"/>
      <x:c r="R743" s="9"/>
      <x:c r="S743" s="9"/>
      <x:c r="T743" s="9"/>
      <x:c r="U743" s="9"/>
      <x:c r="V743" s="9"/>
      <x:c r="W743" s="9"/>
      <x:c r="X743" s="9"/>
      <x:c r="Y743" s="9"/>
      <x:c r="Z743" s="9"/>
      <x:c r="AA743" s="9"/>
      <x:c r="AB743" s="9"/>
      <x:c r="AC743" s="9"/>
      <x:c r="AD743" s="9"/>
      <x:c r="AE743" s="2"/>
      <x:c r="AF743" s="9"/>
      <x:c r="AG743" s="9"/>
      <x:c r="AH743" s="2"/>
    </x:row>
    <x:row r="744" ht="14.25" customHeight="1">
      <x:c r="A744" s="2"/>
      <x:c r="B744" s="9"/>
      <x:c r="C744" s="9"/>
      <x:c r="D744" s="9"/>
      <x:c r="E744" s="9"/>
      <x:c r="F744" s="9"/>
      <x:c r="G744" s="9"/>
      <x:c r="H744" s="9"/>
      <x:c r="I744" s="9"/>
      <x:c r="J744" s="9"/>
      <x:c r="K744" s="9"/>
      <x:c r="L744" s="9"/>
      <x:c r="M744" s="9"/>
      <x:c r="N744" s="9"/>
      <x:c r="O744" s="9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  <x:c r="AA744" s="9"/>
      <x:c r="AB744" s="9"/>
      <x:c r="AC744" s="9"/>
      <x:c r="AD744" s="9"/>
      <x:c r="AE744" s="2"/>
      <x:c r="AF744" s="9"/>
      <x:c r="AG744" s="9"/>
      <x:c r="AH744" s="2"/>
    </x:row>
    <x:row r="745" ht="14.25" customHeight="1">
      <x:c r="A745" s="2"/>
      <x:c r="B745" s="9"/>
      <x:c r="C745" s="9"/>
      <x:c r="D745" s="9"/>
      <x:c r="E745" s="9"/>
      <x:c r="F745" s="9"/>
      <x:c r="G745" s="9"/>
      <x:c r="H745" s="9"/>
      <x:c r="I745" s="9"/>
      <x:c r="J745" s="9"/>
      <x:c r="K745" s="9"/>
      <x:c r="L745" s="9"/>
      <x:c r="M745" s="9"/>
      <x:c r="N745" s="9"/>
      <x:c r="O745" s="9"/>
      <x:c r="P745" s="9"/>
      <x:c r="Q745" s="9"/>
      <x:c r="R745" s="9"/>
      <x:c r="S745" s="9"/>
      <x:c r="T745" s="9"/>
      <x:c r="U745" s="9"/>
      <x:c r="V745" s="9"/>
      <x:c r="W745" s="9"/>
      <x:c r="X745" s="9"/>
      <x:c r="Y745" s="9"/>
      <x:c r="Z745" s="9"/>
      <x:c r="AA745" s="9"/>
      <x:c r="AB745" s="9"/>
      <x:c r="AC745" s="9"/>
      <x:c r="AD745" s="9"/>
      <x:c r="AE745" s="2"/>
      <x:c r="AF745" s="9"/>
      <x:c r="AG745" s="9"/>
      <x:c r="AH745" s="2"/>
    </x:row>
    <x:row r="746" ht="14.25" customHeight="1">
      <x:c r="A746" s="2"/>
      <x:c r="B746" s="9"/>
      <x:c r="C746" s="9"/>
      <x:c r="D746" s="9"/>
      <x:c r="E746" s="9"/>
      <x:c r="F746" s="9"/>
      <x:c r="G746" s="9"/>
      <x:c r="H746" s="9"/>
      <x:c r="I746" s="9"/>
      <x:c r="J746" s="9"/>
      <x:c r="K746" s="9"/>
      <x:c r="L746" s="9"/>
      <x:c r="M746" s="9"/>
      <x:c r="N746" s="9"/>
      <x:c r="O746" s="9"/>
      <x:c r="P746" s="9"/>
      <x:c r="Q746" s="9"/>
      <x:c r="R746" s="9"/>
      <x:c r="S746" s="9"/>
      <x:c r="T746" s="9"/>
      <x:c r="U746" s="9"/>
      <x:c r="V746" s="9"/>
      <x:c r="W746" s="9"/>
      <x:c r="X746" s="9"/>
      <x:c r="Y746" s="9"/>
      <x:c r="Z746" s="9"/>
      <x:c r="AA746" s="9"/>
      <x:c r="AB746" s="9"/>
      <x:c r="AC746" s="9"/>
      <x:c r="AD746" s="9"/>
      <x:c r="AE746" s="2"/>
      <x:c r="AF746" s="9"/>
      <x:c r="AG746" s="9"/>
      <x:c r="AH746" s="2"/>
    </x:row>
    <x:row r="747" ht="14.25" customHeight="1">
      <x:c r="A747" s="2"/>
      <x:c r="B747" s="9"/>
      <x:c r="C747" s="9"/>
      <x:c r="D747" s="9"/>
      <x:c r="E747" s="9"/>
      <x:c r="F747" s="9"/>
      <x:c r="G747" s="9"/>
      <x:c r="H747" s="9"/>
      <x:c r="I747" s="9"/>
      <x:c r="J747" s="9"/>
      <x:c r="K747" s="9"/>
      <x:c r="L747" s="9"/>
      <x:c r="M747" s="9"/>
      <x:c r="N747" s="9"/>
      <x:c r="O747" s="9"/>
      <x:c r="P747" s="9"/>
      <x:c r="Q747" s="9"/>
      <x:c r="R747" s="9"/>
      <x:c r="S747" s="9"/>
      <x:c r="T747" s="9"/>
      <x:c r="U747" s="9"/>
      <x:c r="V747" s="9"/>
      <x:c r="W747" s="9"/>
      <x:c r="X747" s="9"/>
      <x:c r="Y747" s="9"/>
      <x:c r="Z747" s="9"/>
      <x:c r="AA747" s="9"/>
      <x:c r="AB747" s="9"/>
      <x:c r="AC747" s="9"/>
      <x:c r="AD747" s="9"/>
      <x:c r="AE747" s="2"/>
      <x:c r="AF747" s="9"/>
      <x:c r="AG747" s="9"/>
      <x:c r="AH747" s="2"/>
    </x:row>
    <x:row r="748" ht="14.25" customHeight="1">
      <x:c r="A748" s="2"/>
      <x:c r="B748" s="9"/>
      <x:c r="C748" s="9"/>
      <x:c r="D748" s="9"/>
      <x:c r="E748" s="9"/>
      <x:c r="F748" s="9"/>
      <x:c r="G748" s="9"/>
      <x:c r="H748" s="9"/>
      <x:c r="I748" s="9"/>
      <x:c r="J748" s="9"/>
      <x:c r="K748" s="9"/>
      <x:c r="L748" s="9"/>
      <x:c r="M748" s="9"/>
      <x:c r="N748" s="9"/>
      <x:c r="O748" s="9"/>
      <x:c r="P748" s="9"/>
      <x:c r="Q748" s="9"/>
      <x:c r="R748" s="9"/>
      <x:c r="S748" s="9"/>
      <x:c r="T748" s="9"/>
      <x:c r="U748" s="9"/>
      <x:c r="V748" s="9"/>
      <x:c r="W748" s="9"/>
      <x:c r="X748" s="9"/>
      <x:c r="Y748" s="9"/>
      <x:c r="Z748" s="9"/>
      <x:c r="AA748" s="9"/>
      <x:c r="AB748" s="9"/>
      <x:c r="AC748" s="9"/>
      <x:c r="AD748" s="9"/>
      <x:c r="AE748" s="2"/>
      <x:c r="AF748" s="9"/>
      <x:c r="AG748" s="9"/>
      <x:c r="AH748" s="2"/>
    </x:row>
    <x:row r="749" ht="14.25" customHeight="1">
      <x:c r="A749" s="2"/>
      <x:c r="B749" s="9"/>
      <x:c r="C749" s="9"/>
      <x:c r="D749" s="9"/>
      <x:c r="E749" s="9"/>
      <x:c r="F749" s="9"/>
      <x:c r="G749" s="9"/>
      <x:c r="H749" s="9"/>
      <x:c r="I749" s="9"/>
      <x:c r="J749" s="9"/>
      <x:c r="K749" s="9"/>
      <x:c r="L749" s="9"/>
      <x:c r="M749" s="9"/>
      <x:c r="N749" s="9"/>
      <x:c r="O749" s="9"/>
      <x:c r="P749" s="9"/>
      <x:c r="Q749" s="9"/>
      <x:c r="R749" s="9"/>
      <x:c r="S749" s="9"/>
      <x:c r="T749" s="9"/>
      <x:c r="U749" s="9"/>
      <x:c r="V749" s="9"/>
      <x:c r="W749" s="9"/>
      <x:c r="X749" s="9"/>
      <x:c r="Y749" s="9"/>
      <x:c r="Z749" s="9"/>
      <x:c r="AA749" s="9"/>
      <x:c r="AB749" s="9"/>
      <x:c r="AC749" s="9"/>
      <x:c r="AD749" s="9"/>
      <x:c r="AE749" s="2"/>
      <x:c r="AF749" s="9"/>
      <x:c r="AG749" s="9"/>
      <x:c r="AH749" s="2"/>
    </x:row>
    <x:row r="750" ht="14.25" customHeight="1">
      <x:c r="A750" s="2"/>
      <x:c r="B750" s="9"/>
      <x:c r="C750" s="9"/>
      <x:c r="D750" s="9"/>
      <x:c r="E750" s="9"/>
      <x:c r="F750" s="9"/>
      <x:c r="G750" s="9"/>
      <x:c r="H750" s="9"/>
      <x:c r="I750" s="9"/>
      <x:c r="J750" s="9"/>
      <x:c r="K750" s="9"/>
      <x:c r="L750" s="9"/>
      <x:c r="M750" s="9"/>
      <x:c r="N750" s="9"/>
      <x:c r="O750" s="9"/>
      <x:c r="P750" s="9"/>
      <x:c r="Q750" s="9"/>
      <x:c r="R750" s="9"/>
      <x:c r="S750" s="9"/>
      <x:c r="T750" s="9"/>
      <x:c r="U750" s="9"/>
      <x:c r="V750" s="9"/>
      <x:c r="W750" s="9"/>
      <x:c r="X750" s="9"/>
      <x:c r="Y750" s="9"/>
      <x:c r="Z750" s="9"/>
      <x:c r="AA750" s="9"/>
      <x:c r="AB750" s="9"/>
      <x:c r="AC750" s="9"/>
      <x:c r="AD750" s="9"/>
      <x:c r="AE750" s="2"/>
      <x:c r="AF750" s="9"/>
      <x:c r="AG750" s="9"/>
      <x:c r="AH750" s="2"/>
    </x:row>
    <x:row r="751" ht="14.25" customHeight="1">
      <x:c r="A751" s="2"/>
      <x:c r="B751" s="9"/>
      <x:c r="C751" s="9"/>
      <x:c r="D751" s="9"/>
      <x:c r="E751" s="9"/>
      <x:c r="F751" s="9"/>
      <x:c r="G751" s="9"/>
      <x:c r="H751" s="9"/>
      <x:c r="I751" s="9"/>
      <x:c r="J751" s="9"/>
      <x:c r="K751" s="9"/>
      <x:c r="L751" s="9"/>
      <x:c r="M751" s="9"/>
      <x:c r="N751" s="9"/>
      <x:c r="O751" s="9"/>
      <x:c r="P751" s="9"/>
      <x:c r="Q751" s="9"/>
      <x:c r="R751" s="9"/>
      <x:c r="S751" s="9"/>
      <x:c r="T751" s="9"/>
      <x:c r="U751" s="9"/>
      <x:c r="V751" s="9"/>
      <x:c r="W751" s="9"/>
      <x:c r="X751" s="9"/>
      <x:c r="Y751" s="9"/>
      <x:c r="Z751" s="9"/>
      <x:c r="AA751" s="9"/>
      <x:c r="AB751" s="9"/>
      <x:c r="AC751" s="9"/>
      <x:c r="AD751" s="9"/>
      <x:c r="AE751" s="2"/>
      <x:c r="AF751" s="9"/>
      <x:c r="AG751" s="9"/>
      <x:c r="AH751" s="2"/>
    </x:row>
    <x:row r="752" ht="14.25" customHeight="1">
      <x:c r="A752" s="2"/>
      <x:c r="B752" s="9"/>
      <x:c r="C752" s="9"/>
      <x:c r="D752" s="9"/>
      <x:c r="E752" s="9"/>
      <x:c r="F752" s="9"/>
      <x:c r="G752" s="9"/>
      <x:c r="H752" s="9"/>
      <x:c r="I752" s="9"/>
      <x:c r="J752" s="9"/>
      <x:c r="K752" s="9"/>
      <x:c r="L752" s="9"/>
      <x:c r="M752" s="9"/>
      <x:c r="N752" s="9"/>
      <x:c r="O752" s="9"/>
      <x:c r="P752" s="9"/>
      <x:c r="Q752" s="9"/>
      <x:c r="R752" s="9"/>
      <x:c r="S752" s="9"/>
      <x:c r="T752" s="9"/>
      <x:c r="U752" s="9"/>
      <x:c r="V752" s="9"/>
      <x:c r="W752" s="9"/>
      <x:c r="X752" s="9"/>
      <x:c r="Y752" s="9"/>
      <x:c r="Z752" s="9"/>
      <x:c r="AA752" s="9"/>
      <x:c r="AB752" s="9"/>
      <x:c r="AC752" s="9"/>
      <x:c r="AD752" s="9"/>
      <x:c r="AE752" s="2"/>
      <x:c r="AF752" s="9"/>
      <x:c r="AG752" s="9"/>
      <x:c r="AH752" s="2"/>
    </x:row>
    <x:row r="753" ht="14.25" customHeight="1">
      <x:c r="A753" s="2"/>
      <x:c r="B753" s="9"/>
      <x:c r="C753" s="9"/>
      <x:c r="D753" s="9"/>
      <x:c r="E753" s="9"/>
      <x:c r="F753" s="9"/>
      <x:c r="G753" s="9"/>
      <x:c r="H753" s="9"/>
      <x:c r="I753" s="9"/>
      <x:c r="J753" s="9"/>
      <x:c r="K753" s="9"/>
      <x:c r="L753" s="9"/>
      <x:c r="M753" s="9"/>
      <x:c r="N753" s="9"/>
      <x:c r="O753" s="9"/>
      <x:c r="P753" s="9"/>
      <x:c r="Q753" s="9"/>
      <x:c r="R753" s="9"/>
      <x:c r="S753" s="9"/>
      <x:c r="T753" s="9"/>
      <x:c r="U753" s="9"/>
      <x:c r="V753" s="9"/>
      <x:c r="W753" s="9"/>
      <x:c r="X753" s="9"/>
      <x:c r="Y753" s="9"/>
      <x:c r="Z753" s="9"/>
      <x:c r="AA753" s="9"/>
      <x:c r="AB753" s="9"/>
      <x:c r="AC753" s="9"/>
      <x:c r="AD753" s="9"/>
      <x:c r="AE753" s="2"/>
      <x:c r="AF753" s="9"/>
      <x:c r="AG753" s="9"/>
      <x:c r="AH753" s="2"/>
    </x:row>
    <x:row r="754" ht="14.25" customHeight="1">
      <x:c r="A754" s="2"/>
      <x:c r="B754" s="9"/>
      <x:c r="C754" s="9"/>
      <x:c r="D754" s="9"/>
      <x:c r="E754" s="9"/>
      <x:c r="F754" s="9"/>
      <x:c r="G754" s="9"/>
      <x:c r="H754" s="9"/>
      <x:c r="I754" s="9"/>
      <x:c r="J754" s="9"/>
      <x:c r="K754" s="9"/>
      <x:c r="L754" s="9"/>
      <x:c r="M754" s="9"/>
      <x:c r="N754" s="9"/>
      <x:c r="O754" s="9"/>
      <x:c r="P754" s="9"/>
      <x:c r="Q754" s="9"/>
      <x:c r="R754" s="9"/>
      <x:c r="S754" s="9"/>
      <x:c r="T754" s="9"/>
      <x:c r="U754" s="9"/>
      <x:c r="V754" s="9"/>
      <x:c r="W754" s="9"/>
      <x:c r="X754" s="9"/>
      <x:c r="Y754" s="9"/>
      <x:c r="Z754" s="9"/>
      <x:c r="AA754" s="9"/>
      <x:c r="AB754" s="9"/>
      <x:c r="AC754" s="9"/>
      <x:c r="AD754" s="9"/>
      <x:c r="AE754" s="2"/>
      <x:c r="AF754" s="9"/>
      <x:c r="AG754" s="9"/>
      <x:c r="AH754" s="2"/>
    </x:row>
    <x:row r="755" ht="14.25" customHeight="1">
      <x:c r="A755" s="2"/>
      <x:c r="B755" s="9"/>
      <x:c r="C755" s="9"/>
      <x:c r="D755" s="9"/>
      <x:c r="E755" s="9"/>
      <x:c r="F755" s="9"/>
      <x:c r="G755" s="9"/>
      <x:c r="H755" s="9"/>
      <x:c r="I755" s="9"/>
      <x:c r="J755" s="9"/>
      <x:c r="K755" s="9"/>
      <x:c r="L755" s="9"/>
      <x:c r="M755" s="9"/>
      <x:c r="N755" s="9"/>
      <x:c r="O755" s="9"/>
      <x:c r="P755" s="9"/>
      <x:c r="Q755" s="9"/>
      <x:c r="R755" s="9"/>
      <x:c r="S755" s="9"/>
      <x:c r="T755" s="9"/>
      <x:c r="U755" s="9"/>
      <x:c r="V755" s="9"/>
      <x:c r="W755" s="9"/>
      <x:c r="X755" s="9"/>
      <x:c r="Y755" s="9"/>
      <x:c r="Z755" s="9"/>
      <x:c r="AA755" s="9"/>
      <x:c r="AB755" s="9"/>
      <x:c r="AC755" s="9"/>
      <x:c r="AD755" s="9"/>
      <x:c r="AE755" s="2"/>
      <x:c r="AF755" s="9"/>
      <x:c r="AG755" s="9"/>
      <x:c r="AH755" s="2"/>
    </x:row>
    <x:row r="756" ht="14.25" customHeight="1">
      <x:c r="A756" s="2"/>
      <x:c r="B756" s="9"/>
      <x:c r="C756" s="9"/>
      <x:c r="D756" s="9"/>
      <x:c r="E756" s="9"/>
      <x:c r="F756" s="9"/>
      <x:c r="G756" s="9"/>
      <x:c r="H756" s="9"/>
      <x:c r="I756" s="9"/>
      <x:c r="J756" s="9"/>
      <x:c r="K756" s="9"/>
      <x:c r="L756" s="9"/>
      <x:c r="M756" s="9"/>
      <x:c r="N756" s="9"/>
      <x:c r="O756" s="9"/>
      <x:c r="P756" s="9"/>
      <x:c r="Q756" s="9"/>
      <x:c r="R756" s="9"/>
      <x:c r="S756" s="9"/>
      <x:c r="T756" s="9"/>
      <x:c r="U756" s="9"/>
      <x:c r="V756" s="9"/>
      <x:c r="W756" s="9"/>
      <x:c r="X756" s="9"/>
      <x:c r="Y756" s="9"/>
      <x:c r="Z756" s="9"/>
      <x:c r="AA756" s="9"/>
      <x:c r="AB756" s="9"/>
      <x:c r="AC756" s="9"/>
      <x:c r="AD756" s="9"/>
      <x:c r="AE756" s="2"/>
      <x:c r="AF756" s="9"/>
      <x:c r="AG756" s="9"/>
      <x:c r="AH756" s="2"/>
    </x:row>
    <x:row r="757" ht="14.25" customHeight="1">
      <x:c r="A757" s="2"/>
      <x:c r="B757" s="9"/>
      <x:c r="C757" s="9"/>
      <x:c r="D757" s="9"/>
      <x:c r="E757" s="9"/>
      <x:c r="F757" s="9"/>
      <x:c r="G757" s="9"/>
      <x:c r="H757" s="9"/>
      <x:c r="I757" s="9"/>
      <x:c r="J757" s="9"/>
      <x:c r="K757" s="9"/>
      <x:c r="L757" s="9"/>
      <x:c r="M757" s="9"/>
      <x:c r="N757" s="9"/>
      <x:c r="O757" s="9"/>
      <x:c r="P757" s="9"/>
      <x:c r="Q757" s="9"/>
      <x:c r="R757" s="9"/>
      <x:c r="S757" s="9"/>
      <x:c r="T757" s="9"/>
      <x:c r="U757" s="9"/>
      <x:c r="V757" s="9"/>
      <x:c r="W757" s="9"/>
      <x:c r="X757" s="9"/>
      <x:c r="Y757" s="9"/>
      <x:c r="Z757" s="9"/>
      <x:c r="AA757" s="9"/>
      <x:c r="AB757" s="9"/>
      <x:c r="AC757" s="9"/>
      <x:c r="AD757" s="9"/>
      <x:c r="AE757" s="2"/>
      <x:c r="AF757" s="9"/>
      <x:c r="AG757" s="9"/>
      <x:c r="AH757" s="2"/>
    </x:row>
    <x:row r="758" ht="14.25" customHeight="1">
      <x:c r="A758" s="2"/>
      <x:c r="B758" s="9"/>
      <x:c r="C758" s="9"/>
      <x:c r="D758" s="9"/>
      <x:c r="E758" s="9"/>
      <x:c r="F758" s="9"/>
      <x:c r="G758" s="9"/>
      <x:c r="H758" s="9"/>
      <x:c r="I758" s="9"/>
      <x:c r="J758" s="9"/>
      <x:c r="K758" s="9"/>
      <x:c r="L758" s="9"/>
      <x:c r="M758" s="9"/>
      <x:c r="N758" s="9"/>
      <x:c r="O758" s="9"/>
      <x:c r="P758" s="9"/>
      <x:c r="Q758" s="9"/>
      <x:c r="R758" s="9"/>
      <x:c r="S758" s="9"/>
      <x:c r="T758" s="9"/>
      <x:c r="U758" s="9"/>
      <x:c r="V758" s="9"/>
      <x:c r="W758" s="9"/>
      <x:c r="X758" s="9"/>
      <x:c r="Y758" s="9"/>
      <x:c r="Z758" s="9"/>
      <x:c r="AA758" s="9"/>
      <x:c r="AB758" s="9"/>
      <x:c r="AC758" s="9"/>
      <x:c r="AD758" s="9"/>
      <x:c r="AE758" s="2"/>
      <x:c r="AF758" s="9"/>
      <x:c r="AG758" s="9"/>
      <x:c r="AH758" s="2"/>
    </x:row>
    <x:row r="759" ht="14.25" customHeight="1">
      <x:c r="A759" s="2"/>
      <x:c r="B759" s="9"/>
      <x:c r="C759" s="9"/>
      <x:c r="D759" s="9"/>
      <x:c r="E759" s="9"/>
      <x:c r="F759" s="9"/>
      <x:c r="G759" s="9"/>
      <x:c r="H759" s="9"/>
      <x:c r="I759" s="9"/>
      <x:c r="J759" s="9"/>
      <x:c r="K759" s="9"/>
      <x:c r="L759" s="9"/>
      <x:c r="M759" s="9"/>
      <x:c r="N759" s="9"/>
      <x:c r="O759" s="9"/>
      <x:c r="P759" s="9"/>
      <x:c r="Q759" s="9"/>
      <x:c r="R759" s="9"/>
      <x:c r="S759" s="9"/>
      <x:c r="T759" s="9"/>
      <x:c r="U759" s="9"/>
      <x:c r="V759" s="9"/>
      <x:c r="W759" s="9"/>
      <x:c r="X759" s="9"/>
      <x:c r="Y759" s="9"/>
      <x:c r="Z759" s="9"/>
      <x:c r="AA759" s="9"/>
      <x:c r="AB759" s="9"/>
      <x:c r="AC759" s="9"/>
      <x:c r="AD759" s="9"/>
      <x:c r="AE759" s="2"/>
      <x:c r="AF759" s="9"/>
      <x:c r="AG759" s="9"/>
      <x:c r="AH759" s="2"/>
    </x:row>
    <x:row r="760" ht="14.25" customHeight="1">
      <x:c r="A760" s="2"/>
      <x:c r="B760" s="9"/>
      <x:c r="C760" s="9"/>
      <x:c r="D760" s="9"/>
      <x:c r="E760" s="9"/>
      <x:c r="F760" s="9"/>
      <x:c r="G760" s="9"/>
      <x:c r="H760" s="9"/>
      <x:c r="I760" s="9"/>
      <x:c r="J760" s="9"/>
      <x:c r="K760" s="9"/>
      <x:c r="L760" s="9"/>
      <x:c r="M760" s="9"/>
      <x:c r="N760" s="9"/>
      <x:c r="O760" s="9"/>
      <x:c r="P760" s="9"/>
      <x:c r="Q760" s="9"/>
      <x:c r="R760" s="9"/>
      <x:c r="S760" s="9"/>
      <x:c r="T760" s="9"/>
      <x:c r="U760" s="9"/>
      <x:c r="V760" s="9"/>
      <x:c r="W760" s="9"/>
      <x:c r="X760" s="9"/>
      <x:c r="Y760" s="9"/>
      <x:c r="Z760" s="9"/>
      <x:c r="AA760" s="9"/>
      <x:c r="AB760" s="9"/>
      <x:c r="AC760" s="9"/>
      <x:c r="AD760" s="9"/>
      <x:c r="AE760" s="2"/>
      <x:c r="AF760" s="9"/>
      <x:c r="AG760" s="9"/>
      <x:c r="AH760" s="2"/>
    </x:row>
    <x:row r="761" ht="14.25" customHeight="1">
      <x:c r="A761" s="2"/>
      <x:c r="B761" s="9"/>
      <x:c r="C761" s="9"/>
      <x:c r="D761" s="9"/>
      <x:c r="E761" s="9"/>
      <x:c r="F761" s="9"/>
      <x:c r="G761" s="9"/>
      <x:c r="H761" s="9"/>
      <x:c r="I761" s="9"/>
      <x:c r="J761" s="9"/>
      <x:c r="K761" s="9"/>
      <x:c r="L761" s="9"/>
      <x:c r="M761" s="9"/>
      <x:c r="N761" s="9"/>
      <x:c r="O761" s="9"/>
      <x:c r="P761" s="9"/>
      <x:c r="Q761" s="9"/>
      <x:c r="R761" s="9"/>
      <x:c r="S761" s="9"/>
      <x:c r="T761" s="9"/>
      <x:c r="U761" s="9"/>
      <x:c r="V761" s="9"/>
      <x:c r="W761" s="9"/>
      <x:c r="X761" s="9"/>
      <x:c r="Y761" s="9"/>
      <x:c r="Z761" s="9"/>
      <x:c r="AA761" s="9"/>
      <x:c r="AB761" s="9"/>
      <x:c r="AC761" s="9"/>
      <x:c r="AD761" s="9"/>
      <x:c r="AE761" s="2"/>
      <x:c r="AF761" s="9"/>
      <x:c r="AG761" s="9"/>
      <x:c r="AH761" s="2"/>
    </x:row>
    <x:row r="762" ht="14.25" customHeight="1">
      <x:c r="A762" s="2"/>
      <x:c r="B762" s="9"/>
      <x:c r="C762" s="9"/>
      <x:c r="D762" s="9"/>
      <x:c r="E762" s="9"/>
      <x:c r="F762" s="9"/>
      <x:c r="G762" s="9"/>
      <x:c r="H762" s="9"/>
      <x:c r="I762" s="9"/>
      <x:c r="J762" s="9"/>
      <x:c r="K762" s="9"/>
      <x:c r="L762" s="9"/>
      <x:c r="M762" s="9"/>
      <x:c r="N762" s="9"/>
      <x:c r="O762" s="9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  <x:c r="AA762" s="9"/>
      <x:c r="AB762" s="9"/>
      <x:c r="AC762" s="9"/>
      <x:c r="AD762" s="9"/>
      <x:c r="AE762" s="2"/>
      <x:c r="AF762" s="9"/>
      <x:c r="AG762" s="9"/>
      <x:c r="AH762" s="2"/>
    </x:row>
    <x:row r="763" ht="14.25" customHeight="1">
      <x:c r="A763" s="2"/>
      <x:c r="B763" s="9"/>
      <x:c r="C763" s="9"/>
      <x:c r="D763" s="9"/>
      <x:c r="E763" s="9"/>
      <x:c r="F763" s="9"/>
      <x:c r="G763" s="9"/>
      <x:c r="H763" s="9"/>
      <x:c r="I763" s="9"/>
      <x:c r="J763" s="9"/>
      <x:c r="K763" s="9"/>
      <x:c r="L763" s="9"/>
      <x:c r="M763" s="9"/>
      <x:c r="N763" s="9"/>
      <x:c r="O763" s="9"/>
      <x:c r="P763" s="9"/>
      <x:c r="Q763" s="9"/>
      <x:c r="R763" s="9"/>
      <x:c r="S763" s="9"/>
      <x:c r="T763" s="9"/>
      <x:c r="U763" s="9"/>
      <x:c r="V763" s="9"/>
      <x:c r="W763" s="9"/>
      <x:c r="X763" s="9"/>
      <x:c r="Y763" s="9"/>
      <x:c r="Z763" s="9"/>
      <x:c r="AA763" s="9"/>
      <x:c r="AB763" s="9"/>
      <x:c r="AC763" s="9"/>
      <x:c r="AD763" s="9"/>
      <x:c r="AE763" s="2"/>
      <x:c r="AF763" s="9"/>
      <x:c r="AG763" s="9"/>
      <x:c r="AH763" s="2"/>
    </x:row>
    <x:row r="764" ht="14.25" customHeight="1">
      <x:c r="A764" s="2"/>
      <x:c r="B764" s="9"/>
      <x:c r="C764" s="9"/>
      <x:c r="D764" s="9"/>
      <x:c r="E764" s="9"/>
      <x:c r="F764" s="9"/>
      <x:c r="G764" s="9"/>
      <x:c r="H764" s="9"/>
      <x:c r="I764" s="9"/>
      <x:c r="J764" s="9"/>
      <x:c r="K764" s="9"/>
      <x:c r="L764" s="9"/>
      <x:c r="M764" s="9"/>
      <x:c r="N764" s="9"/>
      <x:c r="O764" s="9"/>
      <x:c r="P764" s="9"/>
      <x:c r="Q764" s="9"/>
      <x:c r="R764" s="9"/>
      <x:c r="S764" s="9"/>
      <x:c r="T764" s="9"/>
      <x:c r="U764" s="9"/>
      <x:c r="V764" s="9"/>
      <x:c r="W764" s="9"/>
      <x:c r="X764" s="9"/>
      <x:c r="Y764" s="9"/>
      <x:c r="Z764" s="9"/>
      <x:c r="AA764" s="9"/>
      <x:c r="AB764" s="9"/>
      <x:c r="AC764" s="9"/>
      <x:c r="AD764" s="9"/>
      <x:c r="AE764" s="2"/>
      <x:c r="AF764" s="9"/>
      <x:c r="AG764" s="9"/>
      <x:c r="AH764" s="2"/>
    </x:row>
    <x:row r="765" ht="14.25" customHeight="1">
      <x:c r="A765" s="2"/>
      <x:c r="B765" s="9"/>
      <x:c r="C765" s="9"/>
      <x:c r="D765" s="9"/>
      <x:c r="E765" s="9"/>
      <x:c r="F765" s="9"/>
      <x:c r="G765" s="9"/>
      <x:c r="H765" s="9"/>
      <x:c r="I765" s="9"/>
      <x:c r="J765" s="9"/>
      <x:c r="K765" s="9"/>
      <x:c r="L765" s="9"/>
      <x:c r="M765" s="9"/>
      <x:c r="N765" s="9"/>
      <x:c r="O765" s="9"/>
      <x:c r="P765" s="9"/>
      <x:c r="Q765" s="9"/>
      <x:c r="R765" s="9"/>
      <x:c r="S765" s="9"/>
      <x:c r="T765" s="9"/>
      <x:c r="U765" s="9"/>
      <x:c r="V765" s="9"/>
      <x:c r="W765" s="9"/>
      <x:c r="X765" s="9"/>
      <x:c r="Y765" s="9"/>
      <x:c r="Z765" s="9"/>
      <x:c r="AA765" s="9"/>
      <x:c r="AB765" s="9"/>
      <x:c r="AC765" s="9"/>
      <x:c r="AD765" s="9"/>
      <x:c r="AE765" s="2"/>
      <x:c r="AF765" s="9"/>
      <x:c r="AG765" s="9"/>
      <x:c r="AH765" s="2"/>
    </x:row>
    <x:row r="766" ht="14.25" customHeight="1">
      <x:c r="A766" s="2"/>
      <x:c r="B766" s="9"/>
      <x:c r="C766" s="9"/>
      <x:c r="D766" s="9"/>
      <x:c r="E766" s="9"/>
      <x:c r="F766" s="9"/>
      <x:c r="G766" s="9"/>
      <x:c r="H766" s="9"/>
      <x:c r="I766" s="9"/>
      <x:c r="J766" s="9"/>
      <x:c r="K766" s="9"/>
      <x:c r="L766" s="9"/>
      <x:c r="M766" s="9"/>
      <x:c r="N766" s="9"/>
      <x:c r="O766" s="9"/>
      <x:c r="P766" s="9"/>
      <x:c r="Q766" s="9"/>
      <x:c r="R766" s="9"/>
      <x:c r="S766" s="9"/>
      <x:c r="T766" s="9"/>
      <x:c r="U766" s="9"/>
      <x:c r="V766" s="9"/>
      <x:c r="W766" s="9"/>
      <x:c r="X766" s="9"/>
      <x:c r="Y766" s="9"/>
      <x:c r="Z766" s="9"/>
      <x:c r="AA766" s="9"/>
      <x:c r="AB766" s="9"/>
      <x:c r="AC766" s="9"/>
      <x:c r="AD766" s="9"/>
      <x:c r="AE766" s="2"/>
      <x:c r="AF766" s="9"/>
      <x:c r="AG766" s="9"/>
      <x:c r="AH766" s="2"/>
    </x:row>
    <x:row r="767" ht="14.25" customHeight="1">
      <x:c r="A767" s="2"/>
      <x:c r="B767" s="9"/>
      <x:c r="C767" s="9"/>
      <x:c r="D767" s="9"/>
      <x:c r="E767" s="9"/>
      <x:c r="F767" s="9"/>
      <x:c r="G767" s="9"/>
      <x:c r="H767" s="9"/>
      <x:c r="I767" s="9"/>
      <x:c r="J767" s="9"/>
      <x:c r="K767" s="9"/>
      <x:c r="L767" s="9"/>
      <x:c r="M767" s="9"/>
      <x:c r="N767" s="9"/>
      <x:c r="O767" s="9"/>
      <x:c r="P767" s="9"/>
      <x:c r="Q767" s="9"/>
      <x:c r="R767" s="9"/>
      <x:c r="S767" s="9"/>
      <x:c r="T767" s="9"/>
      <x:c r="U767" s="9"/>
      <x:c r="V767" s="9"/>
      <x:c r="W767" s="9"/>
      <x:c r="X767" s="9"/>
      <x:c r="Y767" s="9"/>
      <x:c r="Z767" s="9"/>
      <x:c r="AA767" s="9"/>
      <x:c r="AB767" s="9"/>
      <x:c r="AC767" s="9"/>
      <x:c r="AD767" s="9"/>
      <x:c r="AE767" s="2"/>
      <x:c r="AF767" s="9"/>
      <x:c r="AG767" s="9"/>
      <x:c r="AH767" s="2"/>
    </x:row>
    <x:row r="768" ht="14.25" customHeight="1">
      <x:c r="A768" s="2"/>
      <x:c r="B768" s="9"/>
      <x:c r="C768" s="9"/>
      <x:c r="D768" s="9"/>
      <x:c r="E768" s="9"/>
      <x:c r="F768" s="9"/>
      <x:c r="G768" s="9"/>
      <x:c r="H768" s="9"/>
      <x:c r="I768" s="9"/>
      <x:c r="J768" s="9"/>
      <x:c r="K768" s="9"/>
      <x:c r="L768" s="9"/>
      <x:c r="M768" s="9"/>
      <x:c r="N768" s="9"/>
      <x:c r="O768" s="9"/>
      <x:c r="P768" s="9"/>
      <x:c r="Q768" s="9"/>
      <x:c r="R768" s="9"/>
      <x:c r="S768" s="9"/>
      <x:c r="T768" s="9"/>
      <x:c r="U768" s="9"/>
      <x:c r="V768" s="9"/>
      <x:c r="W768" s="9"/>
      <x:c r="X768" s="9"/>
      <x:c r="Y768" s="9"/>
      <x:c r="Z768" s="9"/>
      <x:c r="AA768" s="9"/>
      <x:c r="AB768" s="9"/>
      <x:c r="AC768" s="9"/>
      <x:c r="AD768" s="9"/>
      <x:c r="AE768" s="2"/>
      <x:c r="AF768" s="9"/>
      <x:c r="AG768" s="9"/>
      <x:c r="AH768" s="2"/>
    </x:row>
    <x:row r="769" ht="14.25" customHeight="1">
      <x:c r="A769" s="2"/>
      <x:c r="B769" s="9"/>
      <x:c r="C769" s="9"/>
      <x:c r="D769" s="9"/>
      <x:c r="E769" s="9"/>
      <x:c r="F769" s="9"/>
      <x:c r="G769" s="9"/>
      <x:c r="H769" s="9"/>
      <x:c r="I769" s="9"/>
      <x:c r="J769" s="9"/>
      <x:c r="K769" s="9"/>
      <x:c r="L769" s="9"/>
      <x:c r="M769" s="9"/>
      <x:c r="N769" s="9"/>
      <x:c r="O769" s="9"/>
      <x:c r="P769" s="9"/>
      <x:c r="Q769" s="9"/>
      <x:c r="R769" s="9"/>
      <x:c r="S769" s="9"/>
      <x:c r="T769" s="9"/>
      <x:c r="U769" s="9"/>
      <x:c r="V769" s="9"/>
      <x:c r="W769" s="9"/>
      <x:c r="X769" s="9"/>
      <x:c r="Y769" s="9"/>
      <x:c r="Z769" s="9"/>
      <x:c r="AA769" s="9"/>
      <x:c r="AB769" s="9"/>
      <x:c r="AC769" s="9"/>
      <x:c r="AD769" s="9"/>
      <x:c r="AE769" s="2"/>
      <x:c r="AF769" s="9"/>
      <x:c r="AG769" s="9"/>
      <x:c r="AH769" s="2"/>
    </x:row>
    <x:row r="770" ht="14.25" customHeight="1">
      <x:c r="A770" s="2"/>
      <x:c r="B770" s="9"/>
      <x:c r="C770" s="9"/>
      <x:c r="D770" s="9"/>
      <x:c r="E770" s="9"/>
      <x:c r="F770" s="9"/>
      <x:c r="G770" s="9"/>
      <x:c r="H770" s="9"/>
      <x:c r="I770" s="9"/>
      <x:c r="J770" s="9"/>
      <x:c r="K770" s="9"/>
      <x:c r="L770" s="9"/>
      <x:c r="M770" s="9"/>
      <x:c r="N770" s="9"/>
      <x:c r="O770" s="9"/>
      <x:c r="P770" s="9"/>
      <x:c r="Q770" s="9"/>
      <x:c r="R770" s="9"/>
      <x:c r="S770" s="9"/>
      <x:c r="T770" s="9"/>
      <x:c r="U770" s="9"/>
      <x:c r="V770" s="9"/>
      <x:c r="W770" s="9"/>
      <x:c r="X770" s="9"/>
      <x:c r="Y770" s="9"/>
      <x:c r="Z770" s="9"/>
      <x:c r="AA770" s="9"/>
      <x:c r="AB770" s="9"/>
      <x:c r="AC770" s="9"/>
      <x:c r="AD770" s="9"/>
      <x:c r="AE770" s="2"/>
      <x:c r="AF770" s="9"/>
      <x:c r="AG770" s="9"/>
      <x:c r="AH770" s="2"/>
    </x:row>
    <x:row r="771" ht="14.25" customHeight="1">
      <x:c r="A771" s="2"/>
      <x:c r="B771" s="9"/>
      <x:c r="C771" s="9"/>
      <x:c r="D771" s="9"/>
      <x:c r="E771" s="9"/>
      <x:c r="F771" s="9"/>
      <x:c r="G771" s="9"/>
      <x:c r="H771" s="9"/>
      <x:c r="I771" s="9"/>
      <x:c r="J771" s="9"/>
      <x:c r="K771" s="9"/>
      <x:c r="L771" s="9"/>
      <x:c r="M771" s="9"/>
      <x:c r="N771" s="9"/>
      <x:c r="O771" s="9"/>
      <x:c r="P771" s="9"/>
      <x:c r="Q771" s="9"/>
      <x:c r="R771" s="9"/>
      <x:c r="S771" s="9"/>
      <x:c r="T771" s="9"/>
      <x:c r="U771" s="9"/>
      <x:c r="V771" s="9"/>
      <x:c r="W771" s="9"/>
      <x:c r="X771" s="9"/>
      <x:c r="Y771" s="9"/>
      <x:c r="Z771" s="9"/>
      <x:c r="AA771" s="9"/>
      <x:c r="AB771" s="9"/>
      <x:c r="AC771" s="9"/>
      <x:c r="AD771" s="9"/>
      <x:c r="AE771" s="2"/>
      <x:c r="AF771" s="9"/>
      <x:c r="AG771" s="9"/>
      <x:c r="AH771" s="2"/>
    </x:row>
    <x:row r="772" ht="14.25" customHeight="1">
      <x:c r="A772" s="2"/>
      <x:c r="B772" s="9"/>
      <x:c r="C772" s="9"/>
      <x:c r="D772" s="9"/>
      <x:c r="E772" s="9"/>
      <x:c r="F772" s="9"/>
      <x:c r="G772" s="9"/>
      <x:c r="H772" s="9"/>
      <x:c r="I772" s="9"/>
      <x:c r="J772" s="9"/>
      <x:c r="K772" s="9"/>
      <x:c r="L772" s="9"/>
      <x:c r="M772" s="9"/>
      <x:c r="N772" s="9"/>
      <x:c r="O772" s="9"/>
      <x:c r="P772" s="9"/>
      <x:c r="Q772" s="9"/>
      <x:c r="R772" s="9"/>
      <x:c r="S772" s="9"/>
      <x:c r="T772" s="9"/>
      <x:c r="U772" s="9"/>
      <x:c r="V772" s="9"/>
      <x:c r="W772" s="9"/>
      <x:c r="X772" s="9"/>
      <x:c r="Y772" s="9"/>
      <x:c r="Z772" s="9"/>
      <x:c r="AA772" s="9"/>
      <x:c r="AB772" s="9"/>
      <x:c r="AC772" s="9"/>
      <x:c r="AD772" s="9"/>
      <x:c r="AE772" s="2"/>
      <x:c r="AF772" s="9"/>
      <x:c r="AG772" s="9"/>
      <x:c r="AH772" s="2"/>
    </x:row>
    <x:row r="773" ht="14.25" customHeight="1">
      <x:c r="A773" s="2"/>
      <x:c r="B773" s="9"/>
      <x:c r="C773" s="9"/>
      <x:c r="D773" s="9"/>
      <x:c r="E773" s="9"/>
      <x:c r="F773" s="9"/>
      <x:c r="G773" s="9"/>
      <x:c r="H773" s="9"/>
      <x:c r="I773" s="9"/>
      <x:c r="J773" s="9"/>
      <x:c r="K773" s="9"/>
      <x:c r="L773" s="9"/>
      <x:c r="M773" s="9"/>
      <x:c r="N773" s="9"/>
      <x:c r="O773" s="9"/>
      <x:c r="P773" s="9"/>
      <x:c r="Q773" s="9"/>
      <x:c r="R773" s="9"/>
      <x:c r="S773" s="9"/>
      <x:c r="T773" s="9"/>
      <x:c r="U773" s="9"/>
      <x:c r="V773" s="9"/>
      <x:c r="W773" s="9"/>
      <x:c r="X773" s="9"/>
      <x:c r="Y773" s="9"/>
      <x:c r="Z773" s="9"/>
      <x:c r="AA773" s="9"/>
      <x:c r="AB773" s="9"/>
      <x:c r="AC773" s="9"/>
      <x:c r="AD773" s="9"/>
      <x:c r="AE773" s="2"/>
      <x:c r="AF773" s="9"/>
      <x:c r="AG773" s="9"/>
      <x:c r="AH773" s="2"/>
    </x:row>
    <x:row r="774" ht="14.25" customHeight="1">
      <x:c r="A774" s="2"/>
      <x:c r="B774" s="9"/>
      <x:c r="C774" s="9"/>
      <x:c r="D774" s="9"/>
      <x:c r="E774" s="9"/>
      <x:c r="F774" s="9"/>
      <x:c r="G774" s="9"/>
      <x:c r="H774" s="9"/>
      <x:c r="I774" s="9"/>
      <x:c r="J774" s="9"/>
      <x:c r="K774" s="9"/>
      <x:c r="L774" s="9"/>
      <x:c r="M774" s="9"/>
      <x:c r="N774" s="9"/>
      <x:c r="O774" s="9"/>
      <x:c r="P774" s="9"/>
      <x:c r="Q774" s="9"/>
      <x:c r="R774" s="9"/>
      <x:c r="S774" s="9"/>
      <x:c r="T774" s="9"/>
      <x:c r="U774" s="9"/>
      <x:c r="V774" s="9"/>
      <x:c r="W774" s="9"/>
      <x:c r="X774" s="9"/>
      <x:c r="Y774" s="9"/>
      <x:c r="Z774" s="9"/>
      <x:c r="AA774" s="9"/>
      <x:c r="AB774" s="9"/>
      <x:c r="AC774" s="9"/>
      <x:c r="AD774" s="9"/>
      <x:c r="AE774" s="2"/>
      <x:c r="AF774" s="9"/>
      <x:c r="AG774" s="9"/>
      <x:c r="AH774" s="2"/>
    </x:row>
    <x:row r="775" ht="14.25" customHeight="1">
      <x:c r="A775" s="2"/>
      <x:c r="B775" s="9"/>
      <x:c r="C775" s="9"/>
      <x:c r="D775" s="9"/>
      <x:c r="E775" s="9"/>
      <x:c r="F775" s="9"/>
      <x:c r="G775" s="9"/>
      <x:c r="H775" s="9"/>
      <x:c r="I775" s="9"/>
      <x:c r="J775" s="9"/>
      <x:c r="K775" s="9"/>
      <x:c r="L775" s="9"/>
      <x:c r="M775" s="9"/>
      <x:c r="N775" s="9"/>
      <x:c r="O775" s="9"/>
      <x:c r="P775" s="9"/>
      <x:c r="Q775" s="9"/>
      <x:c r="R775" s="9"/>
      <x:c r="S775" s="9"/>
      <x:c r="T775" s="9"/>
      <x:c r="U775" s="9"/>
      <x:c r="V775" s="9"/>
      <x:c r="W775" s="9"/>
      <x:c r="X775" s="9"/>
      <x:c r="Y775" s="9"/>
      <x:c r="Z775" s="9"/>
      <x:c r="AA775" s="9"/>
      <x:c r="AB775" s="9"/>
      <x:c r="AC775" s="9"/>
      <x:c r="AD775" s="9"/>
      <x:c r="AE775" s="2"/>
      <x:c r="AF775" s="9"/>
      <x:c r="AG775" s="9"/>
      <x:c r="AH775" s="2"/>
    </x:row>
    <x:row r="776" ht="14.25" customHeight="1">
      <x:c r="A776" s="2"/>
      <x:c r="B776" s="9"/>
      <x:c r="C776" s="9"/>
      <x:c r="D776" s="9"/>
      <x:c r="E776" s="9"/>
      <x:c r="F776" s="9"/>
      <x:c r="G776" s="9"/>
      <x:c r="H776" s="9"/>
      <x:c r="I776" s="9"/>
      <x:c r="J776" s="9"/>
      <x:c r="K776" s="9"/>
      <x:c r="L776" s="9"/>
      <x:c r="M776" s="9"/>
      <x:c r="N776" s="9"/>
      <x:c r="O776" s="9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  <x:c r="AA776" s="9"/>
      <x:c r="AB776" s="9"/>
      <x:c r="AC776" s="9"/>
      <x:c r="AD776" s="9"/>
      <x:c r="AE776" s="2"/>
      <x:c r="AF776" s="9"/>
      <x:c r="AG776" s="9"/>
      <x:c r="AH776" s="2"/>
    </x:row>
    <x:row r="777" ht="14.25" customHeight="1">
      <x:c r="A777" s="2"/>
      <x:c r="B777" s="9"/>
      <x:c r="C777" s="9"/>
      <x:c r="D777" s="9"/>
      <x:c r="E777" s="9"/>
      <x:c r="F777" s="9"/>
      <x:c r="G777" s="9"/>
      <x:c r="H777" s="9"/>
      <x:c r="I777" s="9"/>
      <x:c r="J777" s="9"/>
      <x:c r="K777" s="9"/>
      <x:c r="L777" s="9"/>
      <x:c r="M777" s="9"/>
      <x:c r="N777" s="9"/>
      <x:c r="O777" s="9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  <x:c r="AA777" s="9"/>
      <x:c r="AB777" s="9"/>
      <x:c r="AC777" s="9"/>
      <x:c r="AD777" s="9"/>
      <x:c r="AE777" s="2"/>
      <x:c r="AF777" s="9"/>
      <x:c r="AG777" s="9"/>
      <x:c r="AH777" s="2"/>
    </x:row>
    <x:row r="778" ht="14.25" customHeight="1">
      <x:c r="A778" s="2"/>
      <x:c r="B778" s="9"/>
      <x:c r="C778" s="9"/>
      <x:c r="D778" s="9"/>
      <x:c r="E778" s="9"/>
      <x:c r="F778" s="9"/>
      <x:c r="G778" s="9"/>
      <x:c r="H778" s="9"/>
      <x:c r="I778" s="9"/>
      <x:c r="J778" s="9"/>
      <x:c r="K778" s="9"/>
      <x:c r="L778" s="9"/>
      <x:c r="M778" s="9"/>
      <x:c r="N778" s="9"/>
      <x:c r="O778" s="9"/>
      <x:c r="P778" s="9"/>
      <x:c r="Q778" s="9"/>
      <x:c r="R778" s="9"/>
      <x:c r="S778" s="9"/>
      <x:c r="T778" s="9"/>
      <x:c r="U778" s="9"/>
      <x:c r="V778" s="9"/>
      <x:c r="W778" s="9"/>
      <x:c r="X778" s="9"/>
      <x:c r="Y778" s="9"/>
      <x:c r="Z778" s="9"/>
      <x:c r="AA778" s="9"/>
      <x:c r="AB778" s="9"/>
      <x:c r="AC778" s="9"/>
      <x:c r="AD778" s="9"/>
      <x:c r="AE778" s="2"/>
      <x:c r="AF778" s="9"/>
      <x:c r="AG778" s="9"/>
      <x:c r="AH778" s="2"/>
    </x:row>
    <x:row r="779" ht="14.25" customHeight="1">
      <x:c r="A779" s="2"/>
      <x:c r="B779" s="9"/>
      <x:c r="C779" s="9"/>
      <x:c r="D779" s="9"/>
      <x:c r="E779" s="9"/>
      <x:c r="F779" s="9"/>
      <x:c r="G779" s="9"/>
      <x:c r="H779" s="9"/>
      <x:c r="I779" s="9"/>
      <x:c r="J779" s="9"/>
      <x:c r="K779" s="9"/>
      <x:c r="L779" s="9"/>
      <x:c r="M779" s="9"/>
      <x:c r="N779" s="9"/>
      <x:c r="O779" s="9"/>
      <x:c r="P779" s="9"/>
      <x:c r="Q779" s="9"/>
      <x:c r="R779" s="9"/>
      <x:c r="S779" s="9"/>
      <x:c r="T779" s="9"/>
      <x:c r="U779" s="9"/>
      <x:c r="V779" s="9"/>
      <x:c r="W779" s="9"/>
      <x:c r="X779" s="9"/>
      <x:c r="Y779" s="9"/>
      <x:c r="Z779" s="9"/>
      <x:c r="AA779" s="9"/>
      <x:c r="AB779" s="9"/>
      <x:c r="AC779" s="9"/>
      <x:c r="AD779" s="9"/>
      <x:c r="AE779" s="2"/>
      <x:c r="AF779" s="9"/>
      <x:c r="AG779" s="9"/>
      <x:c r="AH779" s="2"/>
    </x:row>
    <x:row r="780" ht="14.25" customHeight="1">
      <x:c r="A780" s="2"/>
      <x:c r="B780" s="9"/>
      <x:c r="C780" s="9"/>
      <x:c r="D780" s="9"/>
      <x:c r="E780" s="9"/>
      <x:c r="F780" s="9"/>
      <x:c r="G780" s="9"/>
      <x:c r="H780" s="9"/>
      <x:c r="I780" s="9"/>
      <x:c r="J780" s="9"/>
      <x:c r="K780" s="9"/>
      <x:c r="L780" s="9"/>
      <x:c r="M780" s="9"/>
      <x:c r="N780" s="9"/>
      <x:c r="O780" s="9"/>
      <x:c r="P780" s="9"/>
      <x:c r="Q780" s="9"/>
      <x:c r="R780" s="9"/>
      <x:c r="S780" s="9"/>
      <x:c r="T780" s="9"/>
      <x:c r="U780" s="9"/>
      <x:c r="V780" s="9"/>
      <x:c r="W780" s="9"/>
      <x:c r="X780" s="9"/>
      <x:c r="Y780" s="9"/>
      <x:c r="Z780" s="9"/>
      <x:c r="AA780" s="9"/>
      <x:c r="AB780" s="9"/>
      <x:c r="AC780" s="9"/>
      <x:c r="AD780" s="9"/>
      <x:c r="AE780" s="2"/>
      <x:c r="AF780" s="9"/>
      <x:c r="AG780" s="9"/>
      <x:c r="AH780" s="2"/>
    </x:row>
    <x:row r="781" ht="14.25" customHeight="1">
      <x:c r="A781" s="2"/>
      <x:c r="B781" s="9"/>
      <x:c r="C781" s="9"/>
      <x:c r="D781" s="9"/>
      <x:c r="E781" s="9"/>
      <x:c r="F781" s="9"/>
      <x:c r="G781" s="9"/>
      <x:c r="H781" s="9"/>
      <x:c r="I781" s="9"/>
      <x:c r="J781" s="9"/>
      <x:c r="K781" s="9"/>
      <x:c r="L781" s="9"/>
      <x:c r="M781" s="9"/>
      <x:c r="N781" s="9"/>
      <x:c r="O781" s="9"/>
      <x:c r="P781" s="9"/>
      <x:c r="Q781" s="9"/>
      <x:c r="R781" s="9"/>
      <x:c r="S781" s="9"/>
      <x:c r="T781" s="9"/>
      <x:c r="U781" s="9"/>
      <x:c r="V781" s="9"/>
      <x:c r="W781" s="9"/>
      <x:c r="X781" s="9"/>
      <x:c r="Y781" s="9"/>
      <x:c r="Z781" s="9"/>
      <x:c r="AA781" s="9"/>
      <x:c r="AB781" s="9"/>
      <x:c r="AC781" s="9"/>
      <x:c r="AD781" s="9"/>
      <x:c r="AE781" s="2"/>
      <x:c r="AF781" s="9"/>
      <x:c r="AG781" s="9"/>
      <x:c r="AH781" s="2"/>
    </x:row>
    <x:row r="782" ht="14.25" customHeight="1">
      <x:c r="A782" s="2"/>
      <x:c r="B782" s="9"/>
      <x:c r="C782" s="9"/>
      <x:c r="D782" s="9"/>
      <x:c r="E782" s="9"/>
      <x:c r="F782" s="9"/>
      <x:c r="G782" s="9"/>
      <x:c r="H782" s="9"/>
      <x:c r="I782" s="9"/>
      <x:c r="J782" s="9"/>
      <x:c r="K782" s="9"/>
      <x:c r="L782" s="9"/>
      <x:c r="M782" s="9"/>
      <x:c r="N782" s="9"/>
      <x:c r="O782" s="9"/>
      <x:c r="P782" s="9"/>
      <x:c r="Q782" s="9"/>
      <x:c r="R782" s="9"/>
      <x:c r="S782" s="9"/>
      <x:c r="T782" s="9"/>
      <x:c r="U782" s="9"/>
      <x:c r="V782" s="9"/>
      <x:c r="W782" s="9"/>
      <x:c r="X782" s="9"/>
      <x:c r="Y782" s="9"/>
      <x:c r="Z782" s="9"/>
      <x:c r="AA782" s="9"/>
      <x:c r="AB782" s="9"/>
      <x:c r="AC782" s="9"/>
      <x:c r="AD782" s="9"/>
      <x:c r="AE782" s="2"/>
      <x:c r="AF782" s="9"/>
      <x:c r="AG782" s="9"/>
      <x:c r="AH782" s="2"/>
    </x:row>
    <x:row r="783" ht="14.25" customHeight="1">
      <x:c r="A783" s="2"/>
      <x:c r="B783" s="9"/>
      <x:c r="C783" s="9"/>
      <x:c r="D783" s="9"/>
      <x:c r="E783" s="9"/>
      <x:c r="F783" s="9"/>
      <x:c r="G783" s="9"/>
      <x:c r="H783" s="9"/>
      <x:c r="I783" s="9"/>
      <x:c r="J783" s="9"/>
      <x:c r="K783" s="9"/>
      <x:c r="L783" s="9"/>
      <x:c r="M783" s="9"/>
      <x:c r="N783" s="9"/>
      <x:c r="O783" s="9"/>
      <x:c r="P783" s="9"/>
      <x:c r="Q783" s="9"/>
      <x:c r="R783" s="9"/>
      <x:c r="S783" s="9"/>
      <x:c r="T783" s="9"/>
      <x:c r="U783" s="9"/>
      <x:c r="V783" s="9"/>
      <x:c r="W783" s="9"/>
      <x:c r="X783" s="9"/>
      <x:c r="Y783" s="9"/>
      <x:c r="Z783" s="9"/>
      <x:c r="AA783" s="9"/>
      <x:c r="AB783" s="9"/>
      <x:c r="AC783" s="9"/>
      <x:c r="AD783" s="9"/>
      <x:c r="AE783" s="2"/>
      <x:c r="AF783" s="9"/>
      <x:c r="AG783" s="9"/>
      <x:c r="AH783" s="2"/>
    </x:row>
    <x:row r="784" ht="14.25" customHeight="1">
      <x:c r="A784" s="2"/>
      <x:c r="B784" s="9"/>
      <x:c r="C784" s="9"/>
      <x:c r="D784" s="9"/>
      <x:c r="E784" s="9"/>
      <x:c r="F784" s="9"/>
      <x:c r="G784" s="9"/>
      <x:c r="H784" s="9"/>
      <x:c r="I784" s="9"/>
      <x:c r="J784" s="9"/>
      <x:c r="K784" s="9"/>
      <x:c r="L784" s="9"/>
      <x:c r="M784" s="9"/>
      <x:c r="N784" s="9"/>
      <x:c r="O784" s="9"/>
      <x:c r="P784" s="9"/>
      <x:c r="Q784" s="9"/>
      <x:c r="R784" s="9"/>
      <x:c r="S784" s="9"/>
      <x:c r="T784" s="9"/>
      <x:c r="U784" s="9"/>
      <x:c r="V784" s="9"/>
      <x:c r="W784" s="9"/>
      <x:c r="X784" s="9"/>
      <x:c r="Y784" s="9"/>
      <x:c r="Z784" s="9"/>
      <x:c r="AA784" s="9"/>
      <x:c r="AB784" s="9"/>
      <x:c r="AC784" s="9"/>
      <x:c r="AD784" s="9"/>
      <x:c r="AE784" s="2"/>
      <x:c r="AF784" s="9"/>
      <x:c r="AG784" s="9"/>
      <x:c r="AH784" s="2"/>
    </x:row>
    <x:row r="785" ht="14.25" customHeight="1">
      <x:c r="A785" s="2"/>
      <x:c r="B785" s="9"/>
      <x:c r="C785" s="9"/>
      <x:c r="D785" s="9"/>
      <x:c r="E785" s="9"/>
      <x:c r="F785" s="9"/>
      <x:c r="G785" s="9"/>
      <x:c r="H785" s="9"/>
      <x:c r="I785" s="9"/>
      <x:c r="J785" s="9"/>
      <x:c r="K785" s="9"/>
      <x:c r="L785" s="9"/>
      <x:c r="M785" s="9"/>
      <x:c r="N785" s="9"/>
      <x:c r="O785" s="9"/>
      <x:c r="P785" s="9"/>
      <x:c r="Q785" s="9"/>
      <x:c r="R785" s="9"/>
      <x:c r="S785" s="9"/>
      <x:c r="T785" s="9"/>
      <x:c r="U785" s="9"/>
      <x:c r="V785" s="9"/>
      <x:c r="W785" s="9"/>
      <x:c r="X785" s="9"/>
      <x:c r="Y785" s="9"/>
      <x:c r="Z785" s="9"/>
      <x:c r="AA785" s="9"/>
      <x:c r="AB785" s="9"/>
      <x:c r="AC785" s="9"/>
      <x:c r="AD785" s="9"/>
      <x:c r="AE785" s="2"/>
      <x:c r="AF785" s="9"/>
      <x:c r="AG785" s="9"/>
      <x:c r="AH785" s="2"/>
    </x:row>
    <x:row r="786" ht="14.25" customHeight="1">
      <x:c r="A786" s="2"/>
      <x:c r="B786" s="9"/>
      <x:c r="C786" s="9"/>
      <x:c r="D786" s="9"/>
      <x:c r="E786" s="9"/>
      <x:c r="F786" s="9"/>
      <x:c r="G786" s="9"/>
      <x:c r="H786" s="9"/>
      <x:c r="I786" s="9"/>
      <x:c r="J786" s="9"/>
      <x:c r="K786" s="9"/>
      <x:c r="L786" s="9"/>
      <x:c r="M786" s="9"/>
      <x:c r="N786" s="9"/>
      <x:c r="O786" s="9"/>
      <x:c r="P786" s="9"/>
      <x:c r="Q786" s="9"/>
      <x:c r="R786" s="9"/>
      <x:c r="S786" s="9"/>
      <x:c r="T786" s="9"/>
      <x:c r="U786" s="9"/>
      <x:c r="V786" s="9"/>
      <x:c r="W786" s="9"/>
      <x:c r="X786" s="9"/>
      <x:c r="Y786" s="9"/>
      <x:c r="Z786" s="9"/>
      <x:c r="AA786" s="9"/>
      <x:c r="AB786" s="9"/>
      <x:c r="AC786" s="9"/>
      <x:c r="AD786" s="9"/>
      <x:c r="AE786" s="2"/>
      <x:c r="AF786" s="9"/>
      <x:c r="AG786" s="9"/>
      <x:c r="AH786" s="2"/>
    </x:row>
    <x:row r="787" ht="14.25" customHeight="1">
      <x:c r="A787" s="2"/>
      <x:c r="B787" s="9"/>
      <x:c r="C787" s="9"/>
      <x:c r="D787" s="9"/>
      <x:c r="E787" s="9"/>
      <x:c r="F787" s="9"/>
      <x:c r="G787" s="9"/>
      <x:c r="H787" s="9"/>
      <x:c r="I787" s="9"/>
      <x:c r="J787" s="9"/>
      <x:c r="K787" s="9"/>
      <x:c r="L787" s="9"/>
      <x:c r="M787" s="9"/>
      <x:c r="N787" s="9"/>
      <x:c r="O787" s="9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  <x:c r="AA787" s="9"/>
      <x:c r="AB787" s="9"/>
      <x:c r="AC787" s="9"/>
      <x:c r="AD787" s="9"/>
      <x:c r="AE787" s="2"/>
      <x:c r="AF787" s="9"/>
      <x:c r="AG787" s="9"/>
      <x:c r="AH787" s="2"/>
    </x:row>
    <x:row r="788" ht="14.25" customHeight="1">
      <x:c r="A788" s="2"/>
      <x:c r="B788" s="9"/>
      <x:c r="C788" s="9"/>
      <x:c r="D788" s="9"/>
      <x:c r="E788" s="9"/>
      <x:c r="F788" s="9"/>
      <x:c r="G788" s="9"/>
      <x:c r="H788" s="9"/>
      <x:c r="I788" s="9"/>
      <x:c r="J788" s="9"/>
      <x:c r="K788" s="9"/>
      <x:c r="L788" s="9"/>
      <x:c r="M788" s="9"/>
      <x:c r="N788" s="9"/>
      <x:c r="O788" s="9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  <x:c r="AA788" s="9"/>
      <x:c r="AB788" s="9"/>
      <x:c r="AC788" s="9"/>
      <x:c r="AD788" s="9"/>
      <x:c r="AE788" s="2"/>
      <x:c r="AF788" s="9"/>
      <x:c r="AG788" s="9"/>
      <x:c r="AH788" s="2"/>
    </x:row>
    <x:row r="789" ht="14.25" customHeight="1">
      <x:c r="A789" s="2"/>
      <x:c r="B789" s="9"/>
      <x:c r="C789" s="9"/>
      <x:c r="D789" s="9"/>
      <x:c r="E789" s="9"/>
      <x:c r="F789" s="9"/>
      <x:c r="G789" s="9"/>
      <x:c r="H789" s="9"/>
      <x:c r="I789" s="9"/>
      <x:c r="J789" s="9"/>
      <x:c r="K789" s="9"/>
      <x:c r="L789" s="9"/>
      <x:c r="M789" s="9"/>
      <x:c r="N789" s="9"/>
      <x:c r="O789" s="9"/>
      <x:c r="P789" s="9"/>
      <x:c r="Q789" s="9"/>
      <x:c r="R789" s="9"/>
      <x:c r="S789" s="9"/>
      <x:c r="T789" s="9"/>
      <x:c r="U789" s="9"/>
      <x:c r="V789" s="9"/>
      <x:c r="W789" s="9"/>
      <x:c r="X789" s="9"/>
      <x:c r="Y789" s="9"/>
      <x:c r="Z789" s="9"/>
      <x:c r="AA789" s="9"/>
      <x:c r="AB789" s="9"/>
      <x:c r="AC789" s="9"/>
      <x:c r="AD789" s="9"/>
      <x:c r="AE789" s="2"/>
      <x:c r="AF789" s="9"/>
      <x:c r="AG789" s="9"/>
      <x:c r="AH789" s="2"/>
    </x:row>
    <x:row r="790" ht="14.25" customHeight="1">
      <x:c r="A790" s="2"/>
      <x:c r="B790" s="9"/>
      <x:c r="C790" s="9"/>
      <x:c r="D790" s="9"/>
      <x:c r="E790" s="9"/>
      <x:c r="F790" s="9"/>
      <x:c r="G790" s="9"/>
      <x:c r="H790" s="9"/>
      <x:c r="I790" s="9"/>
      <x:c r="J790" s="9"/>
      <x:c r="K790" s="9"/>
      <x:c r="L790" s="9"/>
      <x:c r="M790" s="9"/>
      <x:c r="N790" s="9"/>
      <x:c r="O790" s="9"/>
      <x:c r="P790" s="9"/>
      <x:c r="Q790" s="9"/>
      <x:c r="R790" s="9"/>
      <x:c r="S790" s="9"/>
      <x:c r="T790" s="9"/>
      <x:c r="U790" s="9"/>
      <x:c r="V790" s="9"/>
      <x:c r="W790" s="9"/>
      <x:c r="X790" s="9"/>
      <x:c r="Y790" s="9"/>
      <x:c r="Z790" s="9"/>
      <x:c r="AA790" s="9"/>
      <x:c r="AB790" s="9"/>
      <x:c r="AC790" s="9"/>
      <x:c r="AD790" s="9"/>
      <x:c r="AE790" s="2"/>
      <x:c r="AF790" s="9"/>
      <x:c r="AG790" s="9"/>
      <x:c r="AH790" s="2"/>
    </x:row>
    <x:row r="791" ht="14.25" customHeight="1">
      <x:c r="A791" s="2"/>
      <x:c r="B791" s="9"/>
      <x:c r="C791" s="9"/>
      <x:c r="D791" s="9"/>
      <x:c r="E791" s="9"/>
      <x:c r="F791" s="9"/>
      <x:c r="G791" s="9"/>
      <x:c r="H791" s="9"/>
      <x:c r="I791" s="9"/>
      <x:c r="J791" s="9"/>
      <x:c r="K791" s="9"/>
      <x:c r="L791" s="9"/>
      <x:c r="M791" s="9"/>
      <x:c r="N791" s="9"/>
      <x:c r="O791" s="9"/>
      <x:c r="P791" s="9"/>
      <x:c r="Q791" s="9"/>
      <x:c r="R791" s="9"/>
      <x:c r="S791" s="9"/>
      <x:c r="T791" s="9"/>
      <x:c r="U791" s="9"/>
      <x:c r="V791" s="9"/>
      <x:c r="W791" s="9"/>
      <x:c r="X791" s="9"/>
      <x:c r="Y791" s="9"/>
      <x:c r="Z791" s="9"/>
      <x:c r="AA791" s="9"/>
      <x:c r="AB791" s="9"/>
      <x:c r="AC791" s="9"/>
      <x:c r="AD791" s="9"/>
      <x:c r="AE791" s="2"/>
      <x:c r="AF791" s="9"/>
      <x:c r="AG791" s="9"/>
      <x:c r="AH791" s="2"/>
    </x:row>
    <x:row r="792" ht="14.25" customHeight="1">
      <x:c r="A792" s="2"/>
      <x:c r="B792" s="9"/>
      <x:c r="C792" s="9"/>
      <x:c r="D792" s="9"/>
      <x:c r="E792" s="9"/>
      <x:c r="F792" s="9"/>
      <x:c r="G792" s="9"/>
      <x:c r="H792" s="9"/>
      <x:c r="I792" s="9"/>
      <x:c r="J792" s="9"/>
      <x:c r="K792" s="9"/>
      <x:c r="L792" s="9"/>
      <x:c r="M792" s="9"/>
      <x:c r="N792" s="9"/>
      <x:c r="O792" s="9"/>
      <x:c r="P792" s="9"/>
      <x:c r="Q792" s="9"/>
      <x:c r="R792" s="9"/>
      <x:c r="S792" s="9"/>
      <x:c r="T792" s="9"/>
      <x:c r="U792" s="9"/>
      <x:c r="V792" s="9"/>
      <x:c r="W792" s="9"/>
      <x:c r="X792" s="9"/>
      <x:c r="Y792" s="9"/>
      <x:c r="Z792" s="9"/>
      <x:c r="AA792" s="9"/>
      <x:c r="AB792" s="9"/>
      <x:c r="AC792" s="9"/>
      <x:c r="AD792" s="9"/>
      <x:c r="AE792" s="2"/>
      <x:c r="AF792" s="9"/>
      <x:c r="AG792" s="9"/>
      <x:c r="AH792" s="2"/>
    </x:row>
    <x:row r="793" ht="14.25" customHeight="1">
      <x:c r="A793" s="2"/>
      <x:c r="B793" s="9"/>
      <x:c r="C793" s="9"/>
      <x:c r="D793" s="9"/>
      <x:c r="E793" s="9"/>
      <x:c r="F793" s="9"/>
      <x:c r="G793" s="9"/>
      <x:c r="H793" s="9"/>
      <x:c r="I793" s="9"/>
      <x:c r="J793" s="9"/>
      <x:c r="K793" s="9"/>
      <x:c r="L793" s="9"/>
      <x:c r="M793" s="9"/>
      <x:c r="N793" s="9"/>
      <x:c r="O793" s="9"/>
      <x:c r="P793" s="9"/>
      <x:c r="Q793" s="9"/>
      <x:c r="R793" s="9"/>
      <x:c r="S793" s="9"/>
      <x:c r="T793" s="9"/>
      <x:c r="U793" s="9"/>
      <x:c r="V793" s="9"/>
      <x:c r="W793" s="9"/>
      <x:c r="X793" s="9"/>
      <x:c r="Y793" s="9"/>
      <x:c r="Z793" s="9"/>
      <x:c r="AA793" s="9"/>
      <x:c r="AB793" s="9"/>
      <x:c r="AC793" s="9"/>
      <x:c r="AD793" s="9"/>
      <x:c r="AE793" s="2"/>
      <x:c r="AF793" s="9"/>
      <x:c r="AG793" s="9"/>
      <x:c r="AH793" s="2"/>
    </x:row>
    <x:row r="794" ht="14.25" customHeight="1">
      <x:c r="A794" s="2"/>
      <x:c r="B794" s="9"/>
      <x:c r="C794" s="9"/>
      <x:c r="D794" s="9"/>
      <x:c r="E794" s="9"/>
      <x:c r="F794" s="9"/>
      <x:c r="G794" s="9"/>
      <x:c r="H794" s="9"/>
      <x:c r="I794" s="9"/>
      <x:c r="J794" s="9"/>
      <x:c r="K794" s="9"/>
      <x:c r="L794" s="9"/>
      <x:c r="M794" s="9"/>
      <x:c r="N794" s="9"/>
      <x:c r="O794" s="9"/>
      <x:c r="P794" s="9"/>
      <x:c r="Q794" s="9"/>
      <x:c r="R794" s="9"/>
      <x:c r="S794" s="9"/>
      <x:c r="T794" s="9"/>
      <x:c r="U794" s="9"/>
      <x:c r="V794" s="9"/>
      <x:c r="W794" s="9"/>
      <x:c r="X794" s="9"/>
      <x:c r="Y794" s="9"/>
      <x:c r="Z794" s="9"/>
      <x:c r="AA794" s="9"/>
      <x:c r="AB794" s="9"/>
      <x:c r="AC794" s="9"/>
      <x:c r="AD794" s="9"/>
      <x:c r="AE794" s="2"/>
      <x:c r="AF794" s="9"/>
      <x:c r="AG794" s="9"/>
      <x:c r="AH794" s="2"/>
    </x:row>
    <x:row r="795" ht="14.25" customHeight="1">
      <x:c r="A795" s="2"/>
      <x:c r="B795" s="9"/>
      <x:c r="C795" s="9"/>
      <x:c r="D795" s="9"/>
      <x:c r="E795" s="9"/>
      <x:c r="F795" s="9"/>
      <x:c r="G795" s="9"/>
      <x:c r="H795" s="9"/>
      <x:c r="I795" s="9"/>
      <x:c r="J795" s="9"/>
      <x:c r="K795" s="9"/>
      <x:c r="L795" s="9"/>
      <x:c r="M795" s="9"/>
      <x:c r="N795" s="9"/>
      <x:c r="O795" s="9"/>
      <x:c r="P795" s="9"/>
      <x:c r="Q795" s="9"/>
      <x:c r="R795" s="9"/>
      <x:c r="S795" s="9"/>
      <x:c r="T795" s="9"/>
      <x:c r="U795" s="9"/>
      <x:c r="V795" s="9"/>
      <x:c r="W795" s="9"/>
      <x:c r="X795" s="9"/>
      <x:c r="Y795" s="9"/>
      <x:c r="Z795" s="9"/>
      <x:c r="AA795" s="9"/>
      <x:c r="AB795" s="9"/>
      <x:c r="AC795" s="9"/>
      <x:c r="AD795" s="9"/>
      <x:c r="AE795" s="2"/>
      <x:c r="AF795" s="9"/>
      <x:c r="AG795" s="9"/>
      <x:c r="AH795" s="2"/>
    </x:row>
    <x:row r="796" ht="14.25" customHeight="1">
      <x:c r="A796" s="2"/>
      <x:c r="B796" s="9"/>
      <x:c r="C796" s="9"/>
      <x:c r="D796" s="9"/>
      <x:c r="E796" s="9"/>
      <x:c r="F796" s="9"/>
      <x:c r="G796" s="9"/>
      <x:c r="H796" s="9"/>
      <x:c r="I796" s="9"/>
      <x:c r="J796" s="9"/>
      <x:c r="K796" s="9"/>
      <x:c r="L796" s="9"/>
      <x:c r="M796" s="9"/>
      <x:c r="N796" s="9"/>
      <x:c r="O796" s="9"/>
      <x:c r="P796" s="9"/>
      <x:c r="Q796" s="9"/>
      <x:c r="R796" s="9"/>
      <x:c r="S796" s="9"/>
      <x:c r="T796" s="9"/>
      <x:c r="U796" s="9"/>
      <x:c r="V796" s="9"/>
      <x:c r="W796" s="9"/>
      <x:c r="X796" s="9"/>
      <x:c r="Y796" s="9"/>
      <x:c r="Z796" s="9"/>
      <x:c r="AA796" s="9"/>
      <x:c r="AB796" s="9"/>
      <x:c r="AC796" s="9"/>
      <x:c r="AD796" s="9"/>
      <x:c r="AE796" s="2"/>
      <x:c r="AF796" s="9"/>
      <x:c r="AG796" s="9"/>
      <x:c r="AH796" s="2"/>
    </x:row>
    <x:row r="797" ht="14.25" customHeight="1">
      <x:c r="A797" s="2"/>
      <x:c r="B797" s="9"/>
      <x:c r="C797" s="9"/>
      <x:c r="D797" s="9"/>
      <x:c r="E797" s="9"/>
      <x:c r="F797" s="9"/>
      <x:c r="G797" s="9"/>
      <x:c r="H797" s="9"/>
      <x:c r="I797" s="9"/>
      <x:c r="J797" s="9"/>
      <x:c r="K797" s="9"/>
      <x:c r="L797" s="9"/>
      <x:c r="M797" s="9"/>
      <x:c r="N797" s="9"/>
      <x:c r="O797" s="9"/>
      <x:c r="P797" s="9"/>
      <x:c r="Q797" s="9"/>
      <x:c r="R797" s="9"/>
      <x:c r="S797" s="9"/>
      <x:c r="T797" s="9"/>
      <x:c r="U797" s="9"/>
      <x:c r="V797" s="9"/>
      <x:c r="W797" s="9"/>
      <x:c r="X797" s="9"/>
      <x:c r="Y797" s="9"/>
      <x:c r="Z797" s="9"/>
      <x:c r="AA797" s="9"/>
      <x:c r="AB797" s="9"/>
      <x:c r="AC797" s="9"/>
      <x:c r="AD797" s="9"/>
      <x:c r="AE797" s="2"/>
      <x:c r="AF797" s="9"/>
      <x:c r="AG797" s="9"/>
      <x:c r="AH797" s="2"/>
    </x:row>
    <x:row r="798" ht="14.25" customHeight="1">
      <x:c r="A798" s="2"/>
      <x:c r="B798" s="9"/>
      <x:c r="C798" s="9"/>
      <x:c r="D798" s="9"/>
      <x:c r="E798" s="9"/>
      <x:c r="F798" s="9"/>
      <x:c r="G798" s="9"/>
      <x:c r="H798" s="9"/>
      <x:c r="I798" s="9"/>
      <x:c r="J798" s="9"/>
      <x:c r="K798" s="9"/>
      <x:c r="L798" s="9"/>
      <x:c r="M798" s="9"/>
      <x:c r="N798" s="9"/>
      <x:c r="O798" s="9"/>
      <x:c r="P798" s="9"/>
      <x:c r="Q798" s="9"/>
      <x:c r="R798" s="9"/>
      <x:c r="S798" s="9"/>
      <x:c r="T798" s="9"/>
      <x:c r="U798" s="9"/>
      <x:c r="V798" s="9"/>
      <x:c r="W798" s="9"/>
      <x:c r="X798" s="9"/>
      <x:c r="Y798" s="9"/>
      <x:c r="Z798" s="9"/>
      <x:c r="AA798" s="9"/>
      <x:c r="AB798" s="9"/>
      <x:c r="AC798" s="9"/>
      <x:c r="AD798" s="9"/>
      <x:c r="AE798" s="2"/>
      <x:c r="AF798" s="9"/>
      <x:c r="AG798" s="9"/>
      <x:c r="AH798" s="2"/>
    </x:row>
    <x:row r="799" ht="14.25" customHeight="1">
      <x:c r="A799" s="2"/>
      <x:c r="B799" s="9"/>
      <x:c r="C799" s="9"/>
      <x:c r="D799" s="9"/>
      <x:c r="E799" s="9"/>
      <x:c r="F799" s="9"/>
      <x:c r="G799" s="9"/>
      <x:c r="H799" s="9"/>
      <x:c r="I799" s="9"/>
      <x:c r="J799" s="9"/>
      <x:c r="K799" s="9"/>
      <x:c r="L799" s="9"/>
      <x:c r="M799" s="9"/>
      <x:c r="N799" s="9"/>
      <x:c r="O799" s="9"/>
      <x:c r="P799" s="9"/>
      <x:c r="Q799" s="9"/>
      <x:c r="R799" s="9"/>
      <x:c r="S799" s="9"/>
      <x:c r="T799" s="9"/>
      <x:c r="U799" s="9"/>
      <x:c r="V799" s="9"/>
      <x:c r="W799" s="9"/>
      <x:c r="X799" s="9"/>
      <x:c r="Y799" s="9"/>
      <x:c r="Z799" s="9"/>
      <x:c r="AA799" s="9"/>
      <x:c r="AB799" s="9"/>
      <x:c r="AC799" s="9"/>
      <x:c r="AD799" s="9"/>
      <x:c r="AE799" s="2"/>
      <x:c r="AF799" s="9"/>
      <x:c r="AG799" s="9"/>
      <x:c r="AH799" s="2"/>
    </x:row>
    <x:row r="800" ht="14.25" customHeight="1">
      <x:c r="A800" s="2"/>
      <x:c r="B800" s="9"/>
      <x:c r="C800" s="9"/>
      <x:c r="D800" s="9"/>
      <x:c r="E800" s="9"/>
      <x:c r="F800" s="9"/>
      <x:c r="G800" s="9"/>
      <x:c r="H800" s="9"/>
      <x:c r="I800" s="9"/>
      <x:c r="J800" s="9"/>
      <x:c r="K800" s="9"/>
      <x:c r="L800" s="9"/>
      <x:c r="M800" s="9"/>
      <x:c r="N800" s="9"/>
      <x:c r="O800" s="9"/>
      <x:c r="P800" s="9"/>
      <x:c r="Q800" s="9"/>
      <x:c r="R800" s="9"/>
      <x:c r="S800" s="9"/>
      <x:c r="T800" s="9"/>
      <x:c r="U800" s="9"/>
      <x:c r="V800" s="9"/>
      <x:c r="W800" s="9"/>
      <x:c r="X800" s="9"/>
      <x:c r="Y800" s="9"/>
      <x:c r="Z800" s="9"/>
      <x:c r="AA800" s="9"/>
      <x:c r="AB800" s="9"/>
      <x:c r="AC800" s="9"/>
      <x:c r="AD800" s="9"/>
      <x:c r="AE800" s="2"/>
      <x:c r="AF800" s="9"/>
      <x:c r="AG800" s="9"/>
      <x:c r="AH800" s="2"/>
    </x:row>
    <x:row r="801" ht="14.25" customHeight="1">
      <x:c r="A801" s="2"/>
      <x:c r="B801" s="9"/>
      <x:c r="C801" s="9"/>
      <x:c r="D801" s="9"/>
      <x:c r="E801" s="9"/>
      <x:c r="F801" s="9"/>
      <x:c r="G801" s="9"/>
      <x:c r="H801" s="9"/>
      <x:c r="I801" s="9"/>
      <x:c r="J801" s="9"/>
      <x:c r="K801" s="9"/>
      <x:c r="L801" s="9"/>
      <x:c r="M801" s="9"/>
      <x:c r="N801" s="9"/>
      <x:c r="O801" s="9"/>
      <x:c r="P801" s="9"/>
      <x:c r="Q801" s="9"/>
      <x:c r="R801" s="9"/>
      <x:c r="S801" s="9"/>
      <x:c r="T801" s="9"/>
      <x:c r="U801" s="9"/>
      <x:c r="V801" s="9"/>
      <x:c r="W801" s="9"/>
      <x:c r="X801" s="9"/>
      <x:c r="Y801" s="9"/>
      <x:c r="Z801" s="9"/>
      <x:c r="AA801" s="9"/>
      <x:c r="AB801" s="9"/>
      <x:c r="AC801" s="9"/>
      <x:c r="AD801" s="9"/>
      <x:c r="AE801" s="2"/>
      <x:c r="AF801" s="9"/>
      <x:c r="AG801" s="9"/>
      <x:c r="AH801" s="2"/>
    </x:row>
    <x:row r="802" ht="14.25" customHeight="1">
      <x:c r="A802" s="2"/>
      <x:c r="B802" s="9"/>
      <x:c r="C802" s="9"/>
      <x:c r="D802" s="9"/>
      <x:c r="E802" s="9"/>
      <x:c r="F802" s="9"/>
      <x:c r="G802" s="9"/>
      <x:c r="H802" s="9"/>
      <x:c r="I802" s="9"/>
      <x:c r="J802" s="9"/>
      <x:c r="K802" s="9"/>
      <x:c r="L802" s="9"/>
      <x:c r="M802" s="9"/>
      <x:c r="N802" s="9"/>
      <x:c r="O802" s="9"/>
      <x:c r="P802" s="9"/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  <x:c r="AA802" s="9"/>
      <x:c r="AB802" s="9"/>
      <x:c r="AC802" s="9"/>
      <x:c r="AD802" s="9"/>
      <x:c r="AE802" s="2"/>
      <x:c r="AF802" s="9"/>
      <x:c r="AG802" s="9"/>
      <x:c r="AH802" s="2"/>
    </x:row>
    <x:row r="803" ht="14.25" customHeight="1">
      <x:c r="A803" s="2"/>
      <x:c r="B803" s="9"/>
      <x:c r="C803" s="9"/>
      <x:c r="D803" s="9"/>
      <x:c r="E803" s="9"/>
      <x:c r="F803" s="9"/>
      <x:c r="G803" s="9"/>
      <x:c r="H803" s="9"/>
      <x:c r="I803" s="9"/>
      <x:c r="J803" s="9"/>
      <x:c r="K803" s="9"/>
      <x:c r="L803" s="9"/>
      <x:c r="M803" s="9"/>
      <x:c r="N803" s="9"/>
      <x:c r="O803" s="9"/>
      <x:c r="P803" s="9"/>
      <x:c r="Q803" s="9"/>
      <x:c r="R803" s="9"/>
      <x:c r="S803" s="9"/>
      <x:c r="T803" s="9"/>
      <x:c r="U803" s="9"/>
      <x:c r="V803" s="9"/>
      <x:c r="W803" s="9"/>
      <x:c r="X803" s="9"/>
      <x:c r="Y803" s="9"/>
      <x:c r="Z803" s="9"/>
      <x:c r="AA803" s="9"/>
      <x:c r="AB803" s="9"/>
      <x:c r="AC803" s="9"/>
      <x:c r="AD803" s="9"/>
      <x:c r="AE803" s="2"/>
      <x:c r="AF803" s="9"/>
      <x:c r="AG803" s="9"/>
      <x:c r="AH803" s="2"/>
    </x:row>
    <x:row r="804" ht="14.25" customHeight="1">
      <x:c r="A804" s="2"/>
      <x:c r="B804" s="9"/>
      <x:c r="C804" s="9"/>
      <x:c r="D804" s="9"/>
      <x:c r="E804" s="9"/>
      <x:c r="F804" s="9"/>
      <x:c r="G804" s="9"/>
      <x:c r="H804" s="9"/>
      <x:c r="I804" s="9"/>
      <x:c r="J804" s="9"/>
      <x:c r="K804" s="9"/>
      <x:c r="L804" s="9"/>
      <x:c r="M804" s="9"/>
      <x:c r="N804" s="9"/>
      <x:c r="O804" s="9"/>
      <x:c r="P804" s="9"/>
      <x:c r="Q804" s="9"/>
      <x:c r="R804" s="9"/>
      <x:c r="S804" s="9"/>
      <x:c r="T804" s="9"/>
      <x:c r="U804" s="9"/>
      <x:c r="V804" s="9"/>
      <x:c r="W804" s="9"/>
      <x:c r="X804" s="9"/>
      <x:c r="Y804" s="9"/>
      <x:c r="Z804" s="9"/>
      <x:c r="AA804" s="9"/>
      <x:c r="AB804" s="9"/>
      <x:c r="AC804" s="9"/>
      <x:c r="AD804" s="9"/>
      <x:c r="AE804" s="2"/>
      <x:c r="AF804" s="9"/>
      <x:c r="AG804" s="9"/>
      <x:c r="AH804" s="2"/>
    </x:row>
    <x:row r="805" ht="14.25" customHeight="1">
      <x:c r="A805" s="2"/>
      <x:c r="B805" s="9"/>
      <x:c r="C805" s="9"/>
      <x:c r="D805" s="9"/>
      <x:c r="E805" s="9"/>
      <x:c r="F805" s="9"/>
      <x:c r="G805" s="9"/>
      <x:c r="H805" s="9"/>
      <x:c r="I805" s="9"/>
      <x:c r="J805" s="9"/>
      <x:c r="K805" s="9"/>
      <x:c r="L805" s="9"/>
      <x:c r="M805" s="9"/>
      <x:c r="N805" s="9"/>
      <x:c r="O805" s="9"/>
      <x:c r="P805" s="9"/>
      <x:c r="Q805" s="9"/>
      <x:c r="R805" s="9"/>
      <x:c r="S805" s="9"/>
      <x:c r="T805" s="9"/>
      <x:c r="U805" s="9"/>
      <x:c r="V805" s="9"/>
      <x:c r="W805" s="9"/>
      <x:c r="X805" s="9"/>
      <x:c r="Y805" s="9"/>
      <x:c r="Z805" s="9"/>
      <x:c r="AA805" s="9"/>
      <x:c r="AB805" s="9"/>
      <x:c r="AC805" s="9"/>
      <x:c r="AD805" s="9"/>
      <x:c r="AE805" s="2"/>
      <x:c r="AF805" s="9"/>
      <x:c r="AG805" s="9"/>
      <x:c r="AH805" s="2"/>
    </x:row>
    <x:row r="806" ht="14.25" customHeight="1">
      <x:c r="A806" s="2"/>
      <x:c r="B806" s="9"/>
      <x:c r="C806" s="9"/>
      <x:c r="D806" s="9"/>
      <x:c r="E806" s="9"/>
      <x:c r="F806" s="9"/>
      <x:c r="G806" s="9"/>
      <x:c r="H806" s="9"/>
      <x:c r="I806" s="9"/>
      <x:c r="J806" s="9"/>
      <x:c r="K806" s="9"/>
      <x:c r="L806" s="9"/>
      <x:c r="M806" s="9"/>
      <x:c r="N806" s="9"/>
      <x:c r="O806" s="9"/>
      <x:c r="P806" s="9"/>
      <x:c r="Q806" s="9"/>
      <x:c r="R806" s="9"/>
      <x:c r="S806" s="9"/>
      <x:c r="T806" s="9"/>
      <x:c r="U806" s="9"/>
      <x:c r="V806" s="9"/>
      <x:c r="W806" s="9"/>
      <x:c r="X806" s="9"/>
      <x:c r="Y806" s="9"/>
      <x:c r="Z806" s="9"/>
      <x:c r="AA806" s="9"/>
      <x:c r="AB806" s="9"/>
      <x:c r="AC806" s="9"/>
      <x:c r="AD806" s="9"/>
      <x:c r="AE806" s="2"/>
      <x:c r="AF806" s="9"/>
      <x:c r="AG806" s="9"/>
      <x:c r="AH806" s="2"/>
    </x:row>
    <x:row r="807" ht="14.25" customHeight="1">
      <x:c r="A807" s="2"/>
      <x:c r="B807" s="9"/>
      <x:c r="C807" s="9"/>
      <x:c r="D807" s="9"/>
      <x:c r="E807" s="9"/>
      <x:c r="F807" s="9"/>
      <x:c r="G807" s="9"/>
      <x:c r="H807" s="9"/>
      <x:c r="I807" s="9"/>
      <x:c r="J807" s="9"/>
      <x:c r="K807" s="9"/>
      <x:c r="L807" s="9"/>
      <x:c r="M807" s="9"/>
      <x:c r="N807" s="9"/>
      <x:c r="O807" s="9"/>
      <x:c r="P807" s="9"/>
      <x:c r="Q807" s="9"/>
      <x:c r="R807" s="9"/>
      <x:c r="S807" s="9"/>
      <x:c r="T807" s="9"/>
      <x:c r="U807" s="9"/>
      <x:c r="V807" s="9"/>
      <x:c r="W807" s="9"/>
      <x:c r="X807" s="9"/>
      <x:c r="Y807" s="9"/>
      <x:c r="Z807" s="9"/>
      <x:c r="AA807" s="9"/>
      <x:c r="AB807" s="9"/>
      <x:c r="AC807" s="9"/>
      <x:c r="AD807" s="9"/>
      <x:c r="AE807" s="2"/>
      <x:c r="AF807" s="9"/>
      <x:c r="AG807" s="9"/>
      <x:c r="AH807" s="2"/>
    </x:row>
    <x:row r="808" ht="14.25" customHeight="1">
      <x:c r="A808" s="2"/>
      <x:c r="B808" s="9"/>
      <x:c r="C808" s="9"/>
      <x:c r="D808" s="9"/>
      <x:c r="E808" s="9"/>
      <x:c r="F808" s="9"/>
      <x:c r="G808" s="9"/>
      <x:c r="H808" s="9"/>
      <x:c r="I808" s="9"/>
      <x:c r="J808" s="9"/>
      <x:c r="K808" s="9"/>
      <x:c r="L808" s="9"/>
      <x:c r="M808" s="9"/>
      <x:c r="N808" s="9"/>
      <x:c r="O808" s="9"/>
      <x:c r="P808" s="9"/>
      <x:c r="Q808" s="9"/>
      <x:c r="R808" s="9"/>
      <x:c r="S808" s="9"/>
      <x:c r="T808" s="9"/>
      <x:c r="U808" s="9"/>
      <x:c r="V808" s="9"/>
      <x:c r="W808" s="9"/>
      <x:c r="X808" s="9"/>
      <x:c r="Y808" s="9"/>
      <x:c r="Z808" s="9"/>
      <x:c r="AA808" s="9"/>
      <x:c r="AB808" s="9"/>
      <x:c r="AC808" s="9"/>
      <x:c r="AD808" s="9"/>
      <x:c r="AE808" s="2"/>
      <x:c r="AF808" s="9"/>
      <x:c r="AG808" s="9"/>
      <x:c r="AH808" s="2"/>
    </x:row>
    <x:row r="809" ht="14.25" customHeight="1">
      <x:c r="A809" s="2"/>
      <x:c r="B809" s="9"/>
      <x:c r="C809" s="9"/>
      <x:c r="D809" s="9"/>
      <x:c r="E809" s="9"/>
      <x:c r="F809" s="9"/>
      <x:c r="G809" s="9"/>
      <x:c r="H809" s="9"/>
      <x:c r="I809" s="9"/>
      <x:c r="J809" s="9"/>
      <x:c r="K809" s="9"/>
      <x:c r="L809" s="9"/>
      <x:c r="M809" s="9"/>
      <x:c r="N809" s="9"/>
      <x:c r="O809" s="9"/>
      <x:c r="P809" s="9"/>
      <x:c r="Q809" s="9"/>
      <x:c r="R809" s="9"/>
      <x:c r="S809" s="9"/>
      <x:c r="T809" s="9"/>
      <x:c r="U809" s="9"/>
      <x:c r="V809" s="9"/>
      <x:c r="W809" s="9"/>
      <x:c r="X809" s="9"/>
      <x:c r="Y809" s="9"/>
      <x:c r="Z809" s="9"/>
      <x:c r="AA809" s="9"/>
      <x:c r="AB809" s="9"/>
      <x:c r="AC809" s="9"/>
      <x:c r="AD809" s="9"/>
      <x:c r="AE809" s="2"/>
      <x:c r="AF809" s="9"/>
      <x:c r="AG809" s="9"/>
      <x:c r="AH809" s="2"/>
    </x:row>
    <x:row r="810" ht="14.25" customHeight="1">
      <x:c r="A810" s="2"/>
      <x:c r="B810" s="9"/>
      <x:c r="C810" s="9"/>
      <x:c r="D810" s="9"/>
      <x:c r="E810" s="9"/>
      <x:c r="F810" s="9"/>
      <x:c r="G810" s="9"/>
      <x:c r="H810" s="9"/>
      <x:c r="I810" s="9"/>
      <x:c r="J810" s="9"/>
      <x:c r="K810" s="9"/>
      <x:c r="L810" s="9"/>
      <x:c r="M810" s="9"/>
      <x:c r="N810" s="9"/>
      <x:c r="O810" s="9"/>
      <x:c r="P810" s="9"/>
      <x:c r="Q810" s="9"/>
      <x:c r="R810" s="9"/>
      <x:c r="S810" s="9"/>
      <x:c r="T810" s="9"/>
      <x:c r="U810" s="9"/>
      <x:c r="V810" s="9"/>
      <x:c r="W810" s="9"/>
      <x:c r="X810" s="9"/>
      <x:c r="Y810" s="9"/>
      <x:c r="Z810" s="9"/>
      <x:c r="AA810" s="9"/>
      <x:c r="AB810" s="9"/>
      <x:c r="AC810" s="9"/>
      <x:c r="AD810" s="9"/>
      <x:c r="AE810" s="2"/>
      <x:c r="AF810" s="9"/>
      <x:c r="AG810" s="9"/>
      <x:c r="AH810" s="2"/>
    </x:row>
    <x:row r="811" ht="14.25" customHeight="1">
      <x:c r="A811" s="2"/>
      <x:c r="B811" s="9"/>
      <x:c r="C811" s="9"/>
      <x:c r="D811" s="9"/>
      <x:c r="E811" s="9"/>
      <x:c r="F811" s="9"/>
      <x:c r="G811" s="9"/>
      <x:c r="H811" s="9"/>
      <x:c r="I811" s="9"/>
      <x:c r="J811" s="9"/>
      <x:c r="K811" s="9"/>
      <x:c r="L811" s="9"/>
      <x:c r="M811" s="9"/>
      <x:c r="N811" s="9"/>
      <x:c r="O811" s="9"/>
      <x:c r="P811" s="9"/>
      <x:c r="Q811" s="9"/>
      <x:c r="R811" s="9"/>
      <x:c r="S811" s="9"/>
      <x:c r="T811" s="9"/>
      <x:c r="U811" s="9"/>
      <x:c r="V811" s="9"/>
      <x:c r="W811" s="9"/>
      <x:c r="X811" s="9"/>
      <x:c r="Y811" s="9"/>
      <x:c r="Z811" s="9"/>
      <x:c r="AA811" s="9"/>
      <x:c r="AB811" s="9"/>
      <x:c r="AC811" s="9"/>
      <x:c r="AD811" s="9"/>
      <x:c r="AE811" s="2"/>
      <x:c r="AF811" s="9"/>
      <x:c r="AG811" s="9"/>
      <x:c r="AH811" s="2"/>
    </x:row>
    <x:row r="812" ht="14.25" customHeight="1">
      <x:c r="A812" s="2"/>
      <x:c r="B812" s="9"/>
      <x:c r="C812" s="9"/>
      <x:c r="D812" s="9"/>
      <x:c r="E812" s="9"/>
      <x:c r="F812" s="9"/>
      <x:c r="G812" s="9"/>
      <x:c r="H812" s="9"/>
      <x:c r="I812" s="9"/>
      <x:c r="J812" s="9"/>
      <x:c r="K812" s="9"/>
      <x:c r="L812" s="9"/>
      <x:c r="M812" s="9"/>
      <x:c r="N812" s="9"/>
      <x:c r="O812" s="9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  <x:c r="AA812" s="9"/>
      <x:c r="AB812" s="9"/>
      <x:c r="AC812" s="9"/>
      <x:c r="AD812" s="9"/>
      <x:c r="AE812" s="2"/>
      <x:c r="AF812" s="9"/>
      <x:c r="AG812" s="9"/>
      <x:c r="AH812" s="2"/>
    </x:row>
    <x:row r="813" ht="14.25" customHeight="1">
      <x:c r="A813" s="2"/>
      <x:c r="B813" s="9"/>
      <x:c r="C813" s="9"/>
      <x:c r="D813" s="9"/>
      <x:c r="E813" s="9"/>
      <x:c r="F813" s="9"/>
      <x:c r="G813" s="9"/>
      <x:c r="H813" s="9"/>
      <x:c r="I813" s="9"/>
      <x:c r="J813" s="9"/>
      <x:c r="K813" s="9"/>
      <x:c r="L813" s="9"/>
      <x:c r="M813" s="9"/>
      <x:c r="N813" s="9"/>
      <x:c r="O813" s="9"/>
      <x:c r="P813" s="9"/>
      <x:c r="Q813" s="9"/>
      <x:c r="R813" s="9"/>
      <x:c r="S813" s="9"/>
      <x:c r="T813" s="9"/>
      <x:c r="U813" s="9"/>
      <x:c r="V813" s="9"/>
      <x:c r="W813" s="9"/>
      <x:c r="X813" s="9"/>
      <x:c r="Y813" s="9"/>
      <x:c r="Z813" s="9"/>
      <x:c r="AA813" s="9"/>
      <x:c r="AB813" s="9"/>
      <x:c r="AC813" s="9"/>
      <x:c r="AD813" s="9"/>
      <x:c r="AE813" s="2"/>
      <x:c r="AF813" s="9"/>
      <x:c r="AG813" s="9"/>
      <x:c r="AH813" s="2"/>
    </x:row>
    <x:row r="814" ht="14.25" customHeight="1">
      <x:c r="A814" s="2"/>
      <x:c r="B814" s="9"/>
      <x:c r="C814" s="9"/>
      <x:c r="D814" s="9"/>
      <x:c r="E814" s="9"/>
      <x:c r="F814" s="9"/>
      <x:c r="G814" s="9"/>
      <x:c r="H814" s="9"/>
      <x:c r="I814" s="9"/>
      <x:c r="J814" s="9"/>
      <x:c r="K814" s="9"/>
      <x:c r="L814" s="9"/>
      <x:c r="M814" s="9"/>
      <x:c r="N814" s="9"/>
      <x:c r="O814" s="9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  <x:c r="AA814" s="9"/>
      <x:c r="AB814" s="9"/>
      <x:c r="AC814" s="9"/>
      <x:c r="AD814" s="9"/>
      <x:c r="AE814" s="2"/>
      <x:c r="AF814" s="9"/>
      <x:c r="AG814" s="9"/>
      <x:c r="AH814" s="2"/>
    </x:row>
    <x:row r="815" ht="14.25" customHeight="1">
      <x:c r="A815" s="2"/>
      <x:c r="B815" s="9"/>
      <x:c r="C815" s="9"/>
      <x:c r="D815" s="9"/>
      <x:c r="E815" s="9"/>
      <x:c r="F815" s="9"/>
      <x:c r="G815" s="9"/>
      <x:c r="H815" s="9"/>
      <x:c r="I815" s="9"/>
      <x:c r="J815" s="9"/>
      <x:c r="K815" s="9"/>
      <x:c r="L815" s="9"/>
      <x:c r="M815" s="9"/>
      <x:c r="N815" s="9"/>
      <x:c r="O815" s="9"/>
      <x:c r="P815" s="9"/>
      <x:c r="Q815" s="9"/>
      <x:c r="R815" s="9"/>
      <x:c r="S815" s="9"/>
      <x:c r="T815" s="9"/>
      <x:c r="U815" s="9"/>
      <x:c r="V815" s="9"/>
      <x:c r="W815" s="9"/>
      <x:c r="X815" s="9"/>
      <x:c r="Y815" s="9"/>
      <x:c r="Z815" s="9"/>
      <x:c r="AA815" s="9"/>
      <x:c r="AB815" s="9"/>
      <x:c r="AC815" s="9"/>
      <x:c r="AD815" s="9"/>
      <x:c r="AE815" s="2"/>
      <x:c r="AF815" s="9"/>
      <x:c r="AG815" s="9"/>
      <x:c r="AH815" s="2"/>
    </x:row>
    <x:row r="816" ht="14.25" customHeight="1">
      <x:c r="A816" s="2"/>
      <x:c r="B816" s="9"/>
      <x:c r="C816" s="9"/>
      <x:c r="D816" s="9"/>
      <x:c r="E816" s="9"/>
      <x:c r="F816" s="9"/>
      <x:c r="G816" s="9"/>
      <x:c r="H816" s="9"/>
      <x:c r="I816" s="9"/>
      <x:c r="J816" s="9"/>
      <x:c r="K816" s="9"/>
      <x:c r="L816" s="9"/>
      <x:c r="M816" s="9"/>
      <x:c r="N816" s="9"/>
      <x:c r="O816" s="9"/>
      <x:c r="P816" s="9"/>
      <x:c r="Q816" s="9"/>
      <x:c r="R816" s="9"/>
      <x:c r="S816" s="9"/>
      <x:c r="T816" s="9"/>
      <x:c r="U816" s="9"/>
      <x:c r="V816" s="9"/>
      <x:c r="W816" s="9"/>
      <x:c r="X816" s="9"/>
      <x:c r="Y816" s="9"/>
      <x:c r="Z816" s="9"/>
      <x:c r="AA816" s="9"/>
      <x:c r="AB816" s="9"/>
      <x:c r="AC816" s="9"/>
      <x:c r="AD816" s="9"/>
      <x:c r="AE816" s="2"/>
      <x:c r="AF816" s="9"/>
      <x:c r="AG816" s="9"/>
      <x:c r="AH816" s="2"/>
    </x:row>
    <x:row r="817" ht="14.25" customHeight="1">
      <x:c r="A817" s="2"/>
      <x:c r="B817" s="9"/>
      <x:c r="C817" s="9"/>
      <x:c r="D817" s="9"/>
      <x:c r="E817" s="9"/>
      <x:c r="F817" s="9"/>
      <x:c r="G817" s="9"/>
      <x:c r="H817" s="9"/>
      <x:c r="I817" s="9"/>
      <x:c r="J817" s="9"/>
      <x:c r="K817" s="9"/>
      <x:c r="L817" s="9"/>
      <x:c r="M817" s="9"/>
      <x:c r="N817" s="9"/>
      <x:c r="O817" s="9"/>
      <x:c r="P817" s="9"/>
      <x:c r="Q817" s="9"/>
      <x:c r="R817" s="9"/>
      <x:c r="S817" s="9"/>
      <x:c r="T817" s="9"/>
      <x:c r="U817" s="9"/>
      <x:c r="V817" s="9"/>
      <x:c r="W817" s="9"/>
      <x:c r="X817" s="9"/>
      <x:c r="Y817" s="9"/>
      <x:c r="Z817" s="9"/>
      <x:c r="AA817" s="9"/>
      <x:c r="AB817" s="9"/>
      <x:c r="AC817" s="9"/>
      <x:c r="AD817" s="9"/>
      <x:c r="AE817" s="2"/>
      <x:c r="AF817" s="9"/>
      <x:c r="AG817" s="9"/>
      <x:c r="AH817" s="2"/>
    </x:row>
    <x:row r="818" ht="14.25" customHeight="1">
      <x:c r="A818" s="2"/>
      <x:c r="B818" s="9"/>
      <x:c r="C818" s="9"/>
      <x:c r="D818" s="9"/>
      <x:c r="E818" s="9"/>
      <x:c r="F818" s="9"/>
      <x:c r="G818" s="9"/>
      <x:c r="H818" s="9"/>
      <x:c r="I818" s="9"/>
      <x:c r="J818" s="9"/>
      <x:c r="K818" s="9"/>
      <x:c r="L818" s="9"/>
      <x:c r="M818" s="9"/>
      <x:c r="N818" s="9"/>
      <x:c r="O818" s="9"/>
      <x:c r="P818" s="9"/>
      <x:c r="Q818" s="9"/>
      <x:c r="R818" s="9"/>
      <x:c r="S818" s="9"/>
      <x:c r="T818" s="9"/>
      <x:c r="U818" s="9"/>
      <x:c r="V818" s="9"/>
      <x:c r="W818" s="9"/>
      <x:c r="X818" s="9"/>
      <x:c r="Y818" s="9"/>
      <x:c r="Z818" s="9"/>
      <x:c r="AA818" s="9"/>
      <x:c r="AB818" s="9"/>
      <x:c r="AC818" s="9"/>
      <x:c r="AD818" s="9"/>
      <x:c r="AE818" s="2"/>
      <x:c r="AF818" s="9"/>
      <x:c r="AG818" s="9"/>
      <x:c r="AH818" s="2"/>
    </x:row>
    <x:row r="819" ht="14.25" customHeight="1">
      <x:c r="A819" s="2"/>
      <x:c r="B819" s="9"/>
      <x:c r="C819" s="9"/>
      <x:c r="D819" s="9"/>
      <x:c r="E819" s="9"/>
      <x:c r="F819" s="9"/>
      <x:c r="G819" s="9"/>
      <x:c r="H819" s="9"/>
      <x:c r="I819" s="9"/>
      <x:c r="J819" s="9"/>
      <x:c r="K819" s="9"/>
      <x:c r="L819" s="9"/>
      <x:c r="M819" s="9"/>
      <x:c r="N819" s="9"/>
      <x:c r="O819" s="9"/>
      <x:c r="P819" s="9"/>
      <x:c r="Q819" s="9"/>
      <x:c r="R819" s="9"/>
      <x:c r="S819" s="9"/>
      <x:c r="T819" s="9"/>
      <x:c r="U819" s="9"/>
      <x:c r="V819" s="9"/>
      <x:c r="W819" s="9"/>
      <x:c r="X819" s="9"/>
      <x:c r="Y819" s="9"/>
      <x:c r="Z819" s="9"/>
      <x:c r="AA819" s="9"/>
      <x:c r="AB819" s="9"/>
      <x:c r="AC819" s="9"/>
      <x:c r="AD819" s="9"/>
      <x:c r="AE819" s="2"/>
      <x:c r="AF819" s="9"/>
      <x:c r="AG819" s="9"/>
      <x:c r="AH819" s="2"/>
    </x:row>
    <x:row r="820" ht="14.25" customHeight="1">
      <x:c r="A820" s="2"/>
      <x:c r="B820" s="9"/>
      <x:c r="C820" s="9"/>
      <x:c r="D820" s="9"/>
      <x:c r="E820" s="9"/>
      <x:c r="F820" s="9"/>
      <x:c r="G820" s="9"/>
      <x:c r="H820" s="9"/>
      <x:c r="I820" s="9"/>
      <x:c r="J820" s="9"/>
      <x:c r="K820" s="9"/>
      <x:c r="L820" s="9"/>
      <x:c r="M820" s="9"/>
      <x:c r="N820" s="9"/>
      <x:c r="O820" s="9"/>
      <x:c r="P820" s="9"/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  <x:c r="AA820" s="9"/>
      <x:c r="AB820" s="9"/>
      <x:c r="AC820" s="9"/>
      <x:c r="AD820" s="9"/>
      <x:c r="AE820" s="2"/>
      <x:c r="AF820" s="9"/>
      <x:c r="AG820" s="9"/>
      <x:c r="AH820" s="2"/>
    </x:row>
    <x:row r="821" ht="14.25" customHeight="1">
      <x:c r="A821" s="2"/>
      <x:c r="B821" s="9"/>
      <x:c r="C821" s="9"/>
      <x:c r="D821" s="9"/>
      <x:c r="E821" s="9"/>
      <x:c r="F821" s="9"/>
      <x:c r="G821" s="9"/>
      <x:c r="H821" s="9"/>
      <x:c r="I821" s="9"/>
      <x:c r="J821" s="9"/>
      <x:c r="K821" s="9"/>
      <x:c r="L821" s="9"/>
      <x:c r="M821" s="9"/>
      <x:c r="N821" s="9"/>
      <x:c r="O821" s="9"/>
      <x:c r="P821" s="9"/>
      <x:c r="Q821" s="9"/>
      <x:c r="R821" s="9"/>
      <x:c r="S821" s="9"/>
      <x:c r="T821" s="9"/>
      <x:c r="U821" s="9"/>
      <x:c r="V821" s="9"/>
      <x:c r="W821" s="9"/>
      <x:c r="X821" s="9"/>
      <x:c r="Y821" s="9"/>
      <x:c r="Z821" s="9"/>
      <x:c r="AA821" s="9"/>
      <x:c r="AB821" s="9"/>
      <x:c r="AC821" s="9"/>
      <x:c r="AD821" s="9"/>
      <x:c r="AE821" s="2"/>
      <x:c r="AF821" s="9"/>
      <x:c r="AG821" s="9"/>
      <x:c r="AH821" s="2"/>
    </x:row>
    <x:row r="822" ht="14.25" customHeight="1">
      <x:c r="A822" s="2"/>
      <x:c r="B822" s="9"/>
      <x:c r="C822" s="9"/>
      <x:c r="D822" s="9"/>
      <x:c r="E822" s="9"/>
      <x:c r="F822" s="9"/>
      <x:c r="G822" s="9"/>
      <x:c r="H822" s="9"/>
      <x:c r="I822" s="9"/>
      <x:c r="J822" s="9"/>
      <x:c r="K822" s="9"/>
      <x:c r="L822" s="9"/>
      <x:c r="M822" s="9"/>
      <x:c r="N822" s="9"/>
      <x:c r="O822" s="9"/>
      <x:c r="P822" s="9"/>
      <x:c r="Q822" s="9"/>
      <x:c r="R822" s="9"/>
      <x:c r="S822" s="9"/>
      <x:c r="T822" s="9"/>
      <x:c r="U822" s="9"/>
      <x:c r="V822" s="9"/>
      <x:c r="W822" s="9"/>
      <x:c r="X822" s="9"/>
      <x:c r="Y822" s="9"/>
      <x:c r="Z822" s="9"/>
      <x:c r="AA822" s="9"/>
      <x:c r="AB822" s="9"/>
      <x:c r="AC822" s="9"/>
      <x:c r="AD822" s="9"/>
      <x:c r="AE822" s="2"/>
      <x:c r="AF822" s="9"/>
      <x:c r="AG822" s="9"/>
      <x:c r="AH822" s="2"/>
    </x:row>
    <x:row r="823" ht="14.25" customHeight="1">
      <x:c r="A823" s="2"/>
      <x:c r="B823" s="9"/>
      <x:c r="C823" s="9"/>
      <x:c r="D823" s="9"/>
      <x:c r="E823" s="9"/>
      <x:c r="F823" s="9"/>
      <x:c r="G823" s="9"/>
      <x:c r="H823" s="9"/>
      <x:c r="I823" s="9"/>
      <x:c r="J823" s="9"/>
      <x:c r="K823" s="9"/>
      <x:c r="L823" s="9"/>
      <x:c r="M823" s="9"/>
      <x:c r="N823" s="9"/>
      <x:c r="O823" s="9"/>
      <x:c r="P823" s="9"/>
      <x:c r="Q823" s="9"/>
      <x:c r="R823" s="9"/>
      <x:c r="S823" s="9"/>
      <x:c r="T823" s="9"/>
      <x:c r="U823" s="9"/>
      <x:c r="V823" s="9"/>
      <x:c r="W823" s="9"/>
      <x:c r="X823" s="9"/>
      <x:c r="Y823" s="9"/>
      <x:c r="Z823" s="9"/>
      <x:c r="AA823" s="9"/>
      <x:c r="AB823" s="9"/>
      <x:c r="AC823" s="9"/>
      <x:c r="AD823" s="9"/>
      <x:c r="AE823" s="2"/>
      <x:c r="AF823" s="9"/>
      <x:c r="AG823" s="9"/>
      <x:c r="AH823" s="2"/>
    </x:row>
    <x:row r="824" ht="14.25" customHeight="1">
      <x:c r="A824" s="2"/>
      <x:c r="B824" s="9"/>
      <x:c r="C824" s="9"/>
      <x:c r="D824" s="9"/>
      <x:c r="E824" s="9"/>
      <x:c r="F824" s="9"/>
      <x:c r="G824" s="9"/>
      <x:c r="H824" s="9"/>
      <x:c r="I824" s="9"/>
      <x:c r="J824" s="9"/>
      <x:c r="K824" s="9"/>
      <x:c r="L824" s="9"/>
      <x:c r="M824" s="9"/>
      <x:c r="N824" s="9"/>
      <x:c r="O824" s="9"/>
      <x:c r="P824" s="9"/>
      <x:c r="Q824" s="9"/>
      <x:c r="R824" s="9"/>
      <x:c r="S824" s="9"/>
      <x:c r="T824" s="9"/>
      <x:c r="U824" s="9"/>
      <x:c r="V824" s="9"/>
      <x:c r="W824" s="9"/>
      <x:c r="X824" s="9"/>
      <x:c r="Y824" s="9"/>
      <x:c r="Z824" s="9"/>
      <x:c r="AA824" s="9"/>
      <x:c r="AB824" s="9"/>
      <x:c r="AC824" s="9"/>
      <x:c r="AD824" s="9"/>
      <x:c r="AE824" s="2"/>
      <x:c r="AF824" s="9"/>
      <x:c r="AG824" s="9"/>
      <x:c r="AH824" s="2"/>
    </x:row>
    <x:row r="825" ht="14.25" customHeight="1">
      <x:c r="A825" s="2"/>
      <x:c r="B825" s="9"/>
      <x:c r="C825" s="9"/>
      <x:c r="D825" s="9"/>
      <x:c r="E825" s="9"/>
      <x:c r="F825" s="9"/>
      <x:c r="G825" s="9"/>
      <x:c r="H825" s="9"/>
      <x:c r="I825" s="9"/>
      <x:c r="J825" s="9"/>
      <x:c r="K825" s="9"/>
      <x:c r="L825" s="9"/>
      <x:c r="M825" s="9"/>
      <x:c r="N825" s="9"/>
      <x:c r="O825" s="9"/>
      <x:c r="P825" s="9"/>
      <x:c r="Q825" s="9"/>
      <x:c r="R825" s="9"/>
      <x:c r="S825" s="9"/>
      <x:c r="T825" s="9"/>
      <x:c r="U825" s="9"/>
      <x:c r="V825" s="9"/>
      <x:c r="W825" s="9"/>
      <x:c r="X825" s="9"/>
      <x:c r="Y825" s="9"/>
      <x:c r="Z825" s="9"/>
      <x:c r="AA825" s="9"/>
      <x:c r="AB825" s="9"/>
      <x:c r="AC825" s="9"/>
      <x:c r="AD825" s="9"/>
      <x:c r="AE825" s="2"/>
      <x:c r="AF825" s="9"/>
      <x:c r="AG825" s="9"/>
      <x:c r="AH825" s="2"/>
    </x:row>
    <x:row r="826" ht="14.25" customHeight="1">
      <x:c r="A826" s="2"/>
      <x:c r="B826" s="9"/>
      <x:c r="C826" s="9"/>
      <x:c r="D826" s="9"/>
      <x:c r="E826" s="9"/>
      <x:c r="F826" s="9"/>
      <x:c r="G826" s="9"/>
      <x:c r="H826" s="9"/>
      <x:c r="I826" s="9"/>
      <x:c r="J826" s="9"/>
      <x:c r="K826" s="9"/>
      <x:c r="L826" s="9"/>
      <x:c r="M826" s="9"/>
      <x:c r="N826" s="9"/>
      <x:c r="O826" s="9"/>
      <x:c r="P826" s="9"/>
      <x:c r="Q826" s="9"/>
      <x:c r="R826" s="9"/>
      <x:c r="S826" s="9"/>
      <x:c r="T826" s="9"/>
      <x:c r="U826" s="9"/>
      <x:c r="V826" s="9"/>
      <x:c r="W826" s="9"/>
      <x:c r="X826" s="9"/>
      <x:c r="Y826" s="9"/>
      <x:c r="Z826" s="9"/>
      <x:c r="AA826" s="9"/>
      <x:c r="AB826" s="9"/>
      <x:c r="AC826" s="9"/>
      <x:c r="AD826" s="9"/>
      <x:c r="AE826" s="2"/>
      <x:c r="AF826" s="9"/>
      <x:c r="AG826" s="9"/>
      <x:c r="AH826" s="2"/>
    </x:row>
    <x:row r="827" ht="14.25" customHeight="1">
      <x:c r="A827" s="2"/>
      <x:c r="B827" s="9"/>
      <x:c r="C827" s="9"/>
      <x:c r="D827" s="9"/>
      <x:c r="E827" s="9"/>
      <x:c r="F827" s="9"/>
      <x:c r="G827" s="9"/>
      <x:c r="H827" s="9"/>
      <x:c r="I827" s="9"/>
      <x:c r="J827" s="9"/>
      <x:c r="K827" s="9"/>
      <x:c r="L827" s="9"/>
      <x:c r="M827" s="9"/>
      <x:c r="N827" s="9"/>
      <x:c r="O827" s="9"/>
      <x:c r="P827" s="9"/>
      <x:c r="Q827" s="9"/>
      <x:c r="R827" s="9"/>
      <x:c r="S827" s="9"/>
      <x:c r="T827" s="9"/>
      <x:c r="U827" s="9"/>
      <x:c r="V827" s="9"/>
      <x:c r="W827" s="9"/>
      <x:c r="X827" s="9"/>
      <x:c r="Y827" s="9"/>
      <x:c r="Z827" s="9"/>
      <x:c r="AA827" s="9"/>
      <x:c r="AB827" s="9"/>
      <x:c r="AC827" s="9"/>
      <x:c r="AD827" s="9"/>
      <x:c r="AE827" s="2"/>
      <x:c r="AF827" s="9"/>
      <x:c r="AG827" s="9"/>
      <x:c r="AH827" s="2"/>
    </x:row>
    <x:row r="828" ht="14.25" customHeight="1">
      <x:c r="A828" s="2"/>
      <x:c r="B828" s="9"/>
      <x:c r="C828" s="9"/>
      <x:c r="D828" s="9"/>
      <x:c r="E828" s="9"/>
      <x:c r="F828" s="9"/>
      <x:c r="G828" s="9"/>
      <x:c r="H828" s="9"/>
      <x:c r="I828" s="9"/>
      <x:c r="J828" s="9"/>
      <x:c r="K828" s="9"/>
      <x:c r="L828" s="9"/>
      <x:c r="M828" s="9"/>
      <x:c r="N828" s="9"/>
      <x:c r="O828" s="9"/>
      <x:c r="P828" s="9"/>
      <x:c r="Q828" s="9"/>
      <x:c r="R828" s="9"/>
      <x:c r="S828" s="9"/>
      <x:c r="T828" s="9"/>
      <x:c r="U828" s="9"/>
      <x:c r="V828" s="9"/>
      <x:c r="W828" s="9"/>
      <x:c r="X828" s="9"/>
      <x:c r="Y828" s="9"/>
      <x:c r="Z828" s="9"/>
      <x:c r="AA828" s="9"/>
      <x:c r="AB828" s="9"/>
      <x:c r="AC828" s="9"/>
      <x:c r="AD828" s="9"/>
      <x:c r="AE828" s="2"/>
      <x:c r="AF828" s="9"/>
      <x:c r="AG828" s="9"/>
      <x:c r="AH828" s="2"/>
    </x:row>
    <x:row r="829" ht="14.25" customHeight="1">
      <x:c r="A829" s="2"/>
      <x:c r="B829" s="9"/>
      <x:c r="C829" s="9"/>
      <x:c r="D829" s="9"/>
      <x:c r="E829" s="9"/>
      <x:c r="F829" s="9"/>
      <x:c r="G829" s="9"/>
      <x:c r="H829" s="9"/>
      <x:c r="I829" s="9"/>
      <x:c r="J829" s="9"/>
      <x:c r="K829" s="9"/>
      <x:c r="L829" s="9"/>
      <x:c r="M829" s="9"/>
      <x:c r="N829" s="9"/>
      <x:c r="O829" s="9"/>
      <x:c r="P829" s="9"/>
      <x:c r="Q829" s="9"/>
      <x:c r="R829" s="9"/>
      <x:c r="S829" s="9"/>
      <x:c r="T829" s="9"/>
      <x:c r="U829" s="9"/>
      <x:c r="V829" s="9"/>
      <x:c r="W829" s="9"/>
      <x:c r="X829" s="9"/>
      <x:c r="Y829" s="9"/>
      <x:c r="Z829" s="9"/>
      <x:c r="AA829" s="9"/>
      <x:c r="AB829" s="9"/>
      <x:c r="AC829" s="9"/>
      <x:c r="AD829" s="9"/>
      <x:c r="AE829" s="2"/>
      <x:c r="AF829" s="9"/>
      <x:c r="AG829" s="9"/>
      <x:c r="AH829" s="2"/>
    </x:row>
    <x:row r="830" ht="14.25" customHeight="1">
      <x:c r="A830" s="2"/>
      <x:c r="B830" s="9"/>
      <x:c r="C830" s="9"/>
      <x:c r="D830" s="9"/>
      <x:c r="E830" s="9"/>
      <x:c r="F830" s="9"/>
      <x:c r="G830" s="9"/>
      <x:c r="H830" s="9"/>
      <x:c r="I830" s="9"/>
      <x:c r="J830" s="9"/>
      <x:c r="K830" s="9"/>
      <x:c r="L830" s="9"/>
      <x:c r="M830" s="9"/>
      <x:c r="N830" s="9"/>
      <x:c r="O830" s="9"/>
      <x:c r="P830" s="9"/>
      <x:c r="Q830" s="9"/>
      <x:c r="R830" s="9"/>
      <x:c r="S830" s="9"/>
      <x:c r="T830" s="9"/>
      <x:c r="U830" s="9"/>
      <x:c r="V830" s="9"/>
      <x:c r="W830" s="9"/>
      <x:c r="X830" s="9"/>
      <x:c r="Y830" s="9"/>
      <x:c r="Z830" s="9"/>
      <x:c r="AA830" s="9"/>
      <x:c r="AB830" s="9"/>
      <x:c r="AC830" s="9"/>
      <x:c r="AD830" s="9"/>
      <x:c r="AE830" s="2"/>
      <x:c r="AF830" s="9"/>
      <x:c r="AG830" s="9"/>
      <x:c r="AH830" s="2"/>
    </x:row>
    <x:row r="831" ht="14.25" customHeight="1">
      <x:c r="A831" s="2"/>
      <x:c r="B831" s="9"/>
      <x:c r="C831" s="9"/>
      <x:c r="D831" s="9"/>
      <x:c r="E831" s="9"/>
      <x:c r="F831" s="9"/>
      <x:c r="G831" s="9"/>
      <x:c r="H831" s="9"/>
      <x:c r="I831" s="9"/>
      <x:c r="J831" s="9"/>
      <x:c r="K831" s="9"/>
      <x:c r="L831" s="9"/>
      <x:c r="M831" s="9"/>
      <x:c r="N831" s="9"/>
      <x:c r="O831" s="9"/>
      <x:c r="P831" s="9"/>
      <x:c r="Q831" s="9"/>
      <x:c r="R831" s="9"/>
      <x:c r="S831" s="9"/>
      <x:c r="T831" s="9"/>
      <x:c r="U831" s="9"/>
      <x:c r="V831" s="9"/>
      <x:c r="W831" s="9"/>
      <x:c r="X831" s="9"/>
      <x:c r="Y831" s="9"/>
      <x:c r="Z831" s="9"/>
      <x:c r="AA831" s="9"/>
      <x:c r="AB831" s="9"/>
      <x:c r="AC831" s="9"/>
      <x:c r="AD831" s="9"/>
      <x:c r="AE831" s="2"/>
      <x:c r="AF831" s="9"/>
      <x:c r="AG831" s="9"/>
      <x:c r="AH831" s="2"/>
    </x:row>
    <x:row r="832" ht="14.25" customHeight="1">
      <x:c r="A832" s="2"/>
      <x:c r="B832" s="9"/>
      <x:c r="C832" s="9"/>
      <x:c r="D832" s="9"/>
      <x:c r="E832" s="9"/>
      <x:c r="F832" s="9"/>
      <x:c r="G832" s="9"/>
      <x:c r="H832" s="9"/>
      <x:c r="I832" s="9"/>
      <x:c r="J832" s="9"/>
      <x:c r="K832" s="9"/>
      <x:c r="L832" s="9"/>
      <x:c r="M832" s="9"/>
      <x:c r="N832" s="9"/>
      <x:c r="O832" s="9"/>
      <x:c r="P832" s="9"/>
      <x:c r="Q832" s="9"/>
      <x:c r="R832" s="9"/>
      <x:c r="S832" s="9"/>
      <x:c r="T832" s="9"/>
      <x:c r="U832" s="9"/>
      <x:c r="V832" s="9"/>
      <x:c r="W832" s="9"/>
      <x:c r="X832" s="9"/>
      <x:c r="Y832" s="9"/>
      <x:c r="Z832" s="9"/>
      <x:c r="AA832" s="9"/>
      <x:c r="AB832" s="9"/>
      <x:c r="AC832" s="9"/>
      <x:c r="AD832" s="9"/>
      <x:c r="AE832" s="2"/>
      <x:c r="AF832" s="9"/>
      <x:c r="AG832" s="9"/>
      <x:c r="AH832" s="2"/>
    </x:row>
    <x:row r="833" ht="14.25" customHeight="1">
      <x:c r="A833" s="2"/>
      <x:c r="B833" s="9"/>
      <x:c r="C833" s="9"/>
      <x:c r="D833" s="9"/>
      <x:c r="E833" s="9"/>
      <x:c r="F833" s="9"/>
      <x:c r="G833" s="9"/>
      <x:c r="H833" s="9"/>
      <x:c r="I833" s="9"/>
      <x:c r="J833" s="9"/>
      <x:c r="K833" s="9"/>
      <x:c r="L833" s="9"/>
      <x:c r="M833" s="9"/>
      <x:c r="N833" s="9"/>
      <x:c r="O833" s="9"/>
      <x:c r="P833" s="9"/>
      <x:c r="Q833" s="9"/>
      <x:c r="R833" s="9"/>
      <x:c r="S833" s="9"/>
      <x:c r="T833" s="9"/>
      <x:c r="U833" s="9"/>
      <x:c r="V833" s="9"/>
      <x:c r="W833" s="9"/>
      <x:c r="X833" s="9"/>
      <x:c r="Y833" s="9"/>
      <x:c r="Z833" s="9"/>
      <x:c r="AA833" s="9"/>
      <x:c r="AB833" s="9"/>
      <x:c r="AC833" s="9"/>
      <x:c r="AD833" s="9"/>
      <x:c r="AE833" s="2"/>
      <x:c r="AF833" s="9"/>
      <x:c r="AG833" s="9"/>
      <x:c r="AH833" s="2"/>
    </x:row>
    <x:row r="834" ht="14.25" customHeight="1">
      <x:c r="A834" s="2"/>
      <x:c r="B834" s="9"/>
      <x:c r="C834" s="9"/>
      <x:c r="D834" s="9"/>
      <x:c r="E834" s="9"/>
      <x:c r="F834" s="9"/>
      <x:c r="G834" s="9"/>
      <x:c r="H834" s="9"/>
      <x:c r="I834" s="9"/>
      <x:c r="J834" s="9"/>
      <x:c r="K834" s="9"/>
      <x:c r="L834" s="9"/>
      <x:c r="M834" s="9"/>
      <x:c r="N834" s="9"/>
      <x:c r="O834" s="9"/>
      <x:c r="P834" s="9"/>
      <x:c r="Q834" s="9"/>
      <x:c r="R834" s="9"/>
      <x:c r="S834" s="9"/>
      <x:c r="T834" s="9"/>
      <x:c r="U834" s="9"/>
      <x:c r="V834" s="9"/>
      <x:c r="W834" s="9"/>
      <x:c r="X834" s="9"/>
      <x:c r="Y834" s="9"/>
      <x:c r="Z834" s="9"/>
      <x:c r="AA834" s="9"/>
      <x:c r="AB834" s="9"/>
      <x:c r="AC834" s="9"/>
      <x:c r="AD834" s="9"/>
      <x:c r="AE834" s="2"/>
      <x:c r="AF834" s="9"/>
      <x:c r="AG834" s="9"/>
      <x:c r="AH834" s="2"/>
    </x:row>
    <x:row r="835" ht="14.25" customHeight="1">
      <x:c r="A835" s="2"/>
      <x:c r="B835" s="9"/>
      <x:c r="C835" s="9"/>
      <x:c r="D835" s="9"/>
      <x:c r="E835" s="9"/>
      <x:c r="F835" s="9"/>
      <x:c r="G835" s="9"/>
      <x:c r="H835" s="9"/>
      <x:c r="I835" s="9"/>
      <x:c r="J835" s="9"/>
      <x:c r="K835" s="9"/>
      <x:c r="L835" s="9"/>
      <x:c r="M835" s="9"/>
      <x:c r="N835" s="9"/>
      <x:c r="O835" s="9"/>
      <x:c r="P835" s="9"/>
      <x:c r="Q835" s="9"/>
      <x:c r="R835" s="9"/>
      <x:c r="S835" s="9"/>
      <x:c r="T835" s="9"/>
      <x:c r="U835" s="9"/>
      <x:c r="V835" s="9"/>
      <x:c r="W835" s="9"/>
      <x:c r="X835" s="9"/>
      <x:c r="Y835" s="9"/>
      <x:c r="Z835" s="9"/>
      <x:c r="AA835" s="9"/>
      <x:c r="AB835" s="9"/>
      <x:c r="AC835" s="9"/>
      <x:c r="AD835" s="9"/>
      <x:c r="AE835" s="2"/>
      <x:c r="AF835" s="9"/>
      <x:c r="AG835" s="9"/>
      <x:c r="AH835" s="2"/>
    </x:row>
    <x:row r="836" ht="14.25" customHeight="1">
      <x:c r="A836" s="2"/>
      <x:c r="B836" s="9"/>
      <x:c r="C836" s="9"/>
      <x:c r="D836" s="9"/>
      <x:c r="E836" s="9"/>
      <x:c r="F836" s="9"/>
      <x:c r="G836" s="9"/>
      <x:c r="H836" s="9"/>
      <x:c r="I836" s="9"/>
      <x:c r="J836" s="9"/>
      <x:c r="K836" s="9"/>
      <x:c r="L836" s="9"/>
      <x:c r="M836" s="9"/>
      <x:c r="N836" s="9"/>
      <x:c r="O836" s="9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  <x:c r="AA836" s="9"/>
      <x:c r="AB836" s="9"/>
      <x:c r="AC836" s="9"/>
      <x:c r="AD836" s="9"/>
      <x:c r="AE836" s="2"/>
      <x:c r="AF836" s="9"/>
      <x:c r="AG836" s="9"/>
      <x:c r="AH836" s="2"/>
    </x:row>
    <x:row r="837" ht="14.25" customHeight="1">
      <x:c r="A837" s="2"/>
      <x:c r="B837" s="9"/>
      <x:c r="C837" s="9"/>
      <x:c r="D837" s="9"/>
      <x:c r="E837" s="9"/>
      <x:c r="F837" s="9"/>
      <x:c r="G837" s="9"/>
      <x:c r="H837" s="9"/>
      <x:c r="I837" s="9"/>
      <x:c r="J837" s="9"/>
      <x:c r="K837" s="9"/>
      <x:c r="L837" s="9"/>
      <x:c r="M837" s="9"/>
      <x:c r="N837" s="9"/>
      <x:c r="O837" s="9"/>
      <x:c r="P837" s="9"/>
      <x:c r="Q837" s="9"/>
      <x:c r="R837" s="9"/>
      <x:c r="S837" s="9"/>
      <x:c r="T837" s="9"/>
      <x:c r="U837" s="9"/>
      <x:c r="V837" s="9"/>
      <x:c r="W837" s="9"/>
      <x:c r="X837" s="9"/>
      <x:c r="Y837" s="9"/>
      <x:c r="Z837" s="9"/>
      <x:c r="AA837" s="9"/>
      <x:c r="AB837" s="9"/>
      <x:c r="AC837" s="9"/>
      <x:c r="AD837" s="9"/>
      <x:c r="AE837" s="2"/>
      <x:c r="AF837" s="9"/>
      <x:c r="AG837" s="9"/>
      <x:c r="AH837" s="2"/>
    </x:row>
    <x:row r="838" ht="14.25" customHeight="1">
      <x:c r="A838" s="2"/>
      <x:c r="B838" s="9"/>
      <x:c r="C838" s="9"/>
      <x:c r="D838" s="9"/>
      <x:c r="E838" s="9"/>
      <x:c r="F838" s="9"/>
      <x:c r="G838" s="9"/>
      <x:c r="H838" s="9"/>
      <x:c r="I838" s="9"/>
      <x:c r="J838" s="9"/>
      <x:c r="K838" s="9"/>
      <x:c r="L838" s="9"/>
      <x:c r="M838" s="9"/>
      <x:c r="N838" s="9"/>
      <x:c r="O838" s="9"/>
      <x:c r="P838" s="9"/>
      <x:c r="Q838" s="9"/>
      <x:c r="R838" s="9"/>
      <x:c r="S838" s="9"/>
      <x:c r="T838" s="9"/>
      <x:c r="U838" s="9"/>
      <x:c r="V838" s="9"/>
      <x:c r="W838" s="9"/>
      <x:c r="X838" s="9"/>
      <x:c r="Y838" s="9"/>
      <x:c r="Z838" s="9"/>
      <x:c r="AA838" s="9"/>
      <x:c r="AB838" s="9"/>
      <x:c r="AC838" s="9"/>
      <x:c r="AD838" s="9"/>
      <x:c r="AE838" s="2"/>
      <x:c r="AF838" s="9"/>
      <x:c r="AG838" s="9"/>
      <x:c r="AH838" s="2"/>
    </x:row>
    <x:row r="839" ht="14.25" customHeight="1">
      <x:c r="A839" s="2"/>
      <x:c r="B839" s="9"/>
      <x:c r="C839" s="9"/>
      <x:c r="D839" s="9"/>
      <x:c r="E839" s="9"/>
      <x:c r="F839" s="9"/>
      <x:c r="G839" s="9"/>
      <x:c r="H839" s="9"/>
      <x:c r="I839" s="9"/>
      <x:c r="J839" s="9"/>
      <x:c r="K839" s="9"/>
      <x:c r="L839" s="9"/>
      <x:c r="M839" s="9"/>
      <x:c r="N839" s="9"/>
      <x:c r="O839" s="9"/>
      <x:c r="P839" s="9"/>
      <x:c r="Q839" s="9"/>
      <x:c r="R839" s="9"/>
      <x:c r="S839" s="9"/>
      <x:c r="T839" s="9"/>
      <x:c r="U839" s="9"/>
      <x:c r="V839" s="9"/>
      <x:c r="W839" s="9"/>
      <x:c r="X839" s="9"/>
      <x:c r="Y839" s="9"/>
      <x:c r="Z839" s="9"/>
      <x:c r="AA839" s="9"/>
      <x:c r="AB839" s="9"/>
      <x:c r="AC839" s="9"/>
      <x:c r="AD839" s="9"/>
      <x:c r="AE839" s="2"/>
      <x:c r="AF839" s="9"/>
      <x:c r="AG839" s="9"/>
      <x:c r="AH839" s="2"/>
    </x:row>
    <x:row r="840" ht="14.25" customHeight="1">
      <x:c r="A840" s="2"/>
      <x:c r="B840" s="9"/>
      <x:c r="C840" s="9"/>
      <x:c r="D840" s="9"/>
      <x:c r="E840" s="9"/>
      <x:c r="F840" s="9"/>
      <x:c r="G840" s="9"/>
      <x:c r="H840" s="9"/>
      <x:c r="I840" s="9"/>
      <x:c r="J840" s="9"/>
      <x:c r="K840" s="9"/>
      <x:c r="L840" s="9"/>
      <x:c r="M840" s="9"/>
      <x:c r="N840" s="9"/>
      <x:c r="O840" s="9"/>
      <x:c r="P840" s="9"/>
      <x:c r="Q840" s="9"/>
      <x:c r="R840" s="9"/>
      <x:c r="S840" s="9"/>
      <x:c r="T840" s="9"/>
      <x:c r="U840" s="9"/>
      <x:c r="V840" s="9"/>
      <x:c r="W840" s="9"/>
      <x:c r="X840" s="9"/>
      <x:c r="Y840" s="9"/>
      <x:c r="Z840" s="9"/>
      <x:c r="AA840" s="9"/>
      <x:c r="AB840" s="9"/>
      <x:c r="AC840" s="9"/>
      <x:c r="AD840" s="9"/>
      <x:c r="AE840" s="2"/>
      <x:c r="AF840" s="9"/>
      <x:c r="AG840" s="9"/>
      <x:c r="AH840" s="2"/>
    </x:row>
    <x:row r="841" ht="14.25" customHeight="1">
      <x:c r="A841" s="2"/>
      <x:c r="B841" s="9"/>
      <x:c r="C841" s="9"/>
      <x:c r="D841" s="9"/>
      <x:c r="E841" s="9"/>
      <x:c r="F841" s="9"/>
      <x:c r="G841" s="9"/>
      <x:c r="H841" s="9"/>
      <x:c r="I841" s="9"/>
      <x:c r="J841" s="9"/>
      <x:c r="K841" s="9"/>
      <x:c r="L841" s="9"/>
      <x:c r="M841" s="9"/>
      <x:c r="N841" s="9"/>
      <x:c r="O841" s="9"/>
      <x:c r="P841" s="9"/>
      <x:c r="Q841" s="9"/>
      <x:c r="R841" s="9"/>
      <x:c r="S841" s="9"/>
      <x:c r="T841" s="9"/>
      <x:c r="U841" s="9"/>
      <x:c r="V841" s="9"/>
      <x:c r="W841" s="9"/>
      <x:c r="X841" s="9"/>
      <x:c r="Y841" s="9"/>
      <x:c r="Z841" s="9"/>
      <x:c r="AA841" s="9"/>
      <x:c r="AB841" s="9"/>
      <x:c r="AC841" s="9"/>
      <x:c r="AD841" s="9"/>
      <x:c r="AE841" s="2"/>
      <x:c r="AF841" s="9"/>
      <x:c r="AG841" s="9"/>
      <x:c r="AH841" s="2"/>
    </x:row>
    <x:row r="842" ht="14.25" customHeight="1">
      <x:c r="A842" s="2"/>
      <x:c r="B842" s="9"/>
      <x:c r="C842" s="9"/>
      <x:c r="D842" s="9"/>
      <x:c r="E842" s="9"/>
      <x:c r="F842" s="9"/>
      <x:c r="G842" s="9"/>
      <x:c r="H842" s="9"/>
      <x:c r="I842" s="9"/>
      <x:c r="J842" s="9"/>
      <x:c r="K842" s="9"/>
      <x:c r="L842" s="9"/>
      <x:c r="M842" s="9"/>
      <x:c r="N842" s="9"/>
      <x:c r="O842" s="9"/>
      <x:c r="P842" s="9"/>
      <x:c r="Q842" s="9"/>
      <x:c r="R842" s="9"/>
      <x:c r="S842" s="9"/>
      <x:c r="T842" s="9"/>
      <x:c r="U842" s="9"/>
      <x:c r="V842" s="9"/>
      <x:c r="W842" s="9"/>
      <x:c r="X842" s="9"/>
      <x:c r="Y842" s="9"/>
      <x:c r="Z842" s="9"/>
      <x:c r="AA842" s="9"/>
      <x:c r="AB842" s="9"/>
      <x:c r="AC842" s="9"/>
      <x:c r="AD842" s="9"/>
      <x:c r="AE842" s="2"/>
      <x:c r="AF842" s="9"/>
      <x:c r="AG842" s="9"/>
      <x:c r="AH842" s="2"/>
    </x:row>
    <x:row r="843" ht="14.25" customHeight="1">
      <x:c r="A843" s="2"/>
      <x:c r="B843" s="9"/>
      <x:c r="C843" s="9"/>
      <x:c r="D843" s="9"/>
      <x:c r="E843" s="9"/>
      <x:c r="F843" s="9"/>
      <x:c r="G843" s="9"/>
      <x:c r="H843" s="9"/>
      <x:c r="I843" s="9"/>
      <x:c r="J843" s="9"/>
      <x:c r="K843" s="9"/>
      <x:c r="L843" s="9"/>
      <x:c r="M843" s="9"/>
      <x:c r="N843" s="9"/>
      <x:c r="O843" s="9"/>
      <x:c r="P843" s="9"/>
      <x:c r="Q843" s="9"/>
      <x:c r="R843" s="9"/>
      <x:c r="S843" s="9"/>
      <x:c r="T843" s="9"/>
      <x:c r="U843" s="9"/>
      <x:c r="V843" s="9"/>
      <x:c r="W843" s="9"/>
      <x:c r="X843" s="9"/>
      <x:c r="Y843" s="9"/>
      <x:c r="Z843" s="9"/>
      <x:c r="AA843" s="9"/>
      <x:c r="AB843" s="9"/>
      <x:c r="AC843" s="9"/>
      <x:c r="AD843" s="9"/>
      <x:c r="AE843" s="2"/>
      <x:c r="AF843" s="9"/>
      <x:c r="AG843" s="9"/>
      <x:c r="AH843" s="2"/>
    </x:row>
    <x:row r="844" ht="14.25" customHeight="1">
      <x:c r="A844" s="2"/>
      <x:c r="B844" s="9"/>
      <x:c r="C844" s="9"/>
      <x:c r="D844" s="9"/>
      <x:c r="E844" s="9"/>
      <x:c r="F844" s="9"/>
      <x:c r="G844" s="9"/>
      <x:c r="H844" s="9"/>
      <x:c r="I844" s="9"/>
      <x:c r="J844" s="9"/>
      <x:c r="K844" s="9"/>
      <x:c r="L844" s="9"/>
      <x:c r="M844" s="9"/>
      <x:c r="N844" s="9"/>
      <x:c r="O844" s="9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  <x:c r="AA844" s="9"/>
      <x:c r="AB844" s="9"/>
      <x:c r="AC844" s="9"/>
      <x:c r="AD844" s="9"/>
      <x:c r="AE844" s="2"/>
      <x:c r="AF844" s="9"/>
      <x:c r="AG844" s="9"/>
      <x:c r="AH844" s="2"/>
    </x:row>
    <x:row r="845" ht="14.25" customHeight="1">
      <x:c r="A845" s="2"/>
      <x:c r="B845" s="9"/>
      <x:c r="C845" s="9"/>
      <x:c r="D845" s="9"/>
      <x:c r="E845" s="9"/>
      <x:c r="F845" s="9"/>
      <x:c r="G845" s="9"/>
      <x:c r="H845" s="9"/>
      <x:c r="I845" s="9"/>
      <x:c r="J845" s="9"/>
      <x:c r="K845" s="9"/>
      <x:c r="L845" s="9"/>
      <x:c r="M845" s="9"/>
      <x:c r="N845" s="9"/>
      <x:c r="O845" s="9"/>
      <x:c r="P845" s="9"/>
      <x:c r="Q845" s="9"/>
      <x:c r="R845" s="9"/>
      <x:c r="S845" s="9"/>
      <x:c r="T845" s="9"/>
      <x:c r="U845" s="9"/>
      <x:c r="V845" s="9"/>
      <x:c r="W845" s="9"/>
      <x:c r="X845" s="9"/>
      <x:c r="Y845" s="9"/>
      <x:c r="Z845" s="9"/>
      <x:c r="AA845" s="9"/>
      <x:c r="AB845" s="9"/>
      <x:c r="AC845" s="9"/>
      <x:c r="AD845" s="9"/>
      <x:c r="AE845" s="2"/>
      <x:c r="AF845" s="9"/>
      <x:c r="AG845" s="9"/>
      <x:c r="AH845" s="2"/>
    </x:row>
    <x:row r="846" ht="14.25" customHeight="1">
      <x:c r="A846" s="2"/>
      <x:c r="B846" s="9"/>
      <x:c r="C846" s="9"/>
      <x:c r="D846" s="9"/>
      <x:c r="E846" s="9"/>
      <x:c r="F846" s="9"/>
      <x:c r="G846" s="9"/>
      <x:c r="H846" s="9"/>
      <x:c r="I846" s="9"/>
      <x:c r="J846" s="9"/>
      <x:c r="K846" s="9"/>
      <x:c r="L846" s="9"/>
      <x:c r="M846" s="9"/>
      <x:c r="N846" s="9"/>
      <x:c r="O846" s="9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  <x:c r="AA846" s="9"/>
      <x:c r="AB846" s="9"/>
      <x:c r="AC846" s="9"/>
      <x:c r="AD846" s="9"/>
      <x:c r="AE846" s="2"/>
      <x:c r="AF846" s="9"/>
      <x:c r="AG846" s="9"/>
      <x:c r="AH846" s="2"/>
    </x:row>
    <x:row r="847" ht="14.25" customHeight="1">
      <x:c r="A847" s="2"/>
      <x:c r="B847" s="9"/>
      <x:c r="C847" s="9"/>
      <x:c r="D847" s="9"/>
      <x:c r="E847" s="9"/>
      <x:c r="F847" s="9"/>
      <x:c r="G847" s="9"/>
      <x:c r="H847" s="9"/>
      <x:c r="I847" s="9"/>
      <x:c r="J847" s="9"/>
      <x:c r="K847" s="9"/>
      <x:c r="L847" s="9"/>
      <x:c r="M847" s="9"/>
      <x:c r="N847" s="9"/>
      <x:c r="O847" s="9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  <x:c r="AA847" s="9"/>
      <x:c r="AB847" s="9"/>
      <x:c r="AC847" s="9"/>
      <x:c r="AD847" s="9"/>
      <x:c r="AE847" s="2"/>
      <x:c r="AF847" s="9"/>
      <x:c r="AG847" s="9"/>
      <x:c r="AH847" s="2"/>
    </x:row>
    <x:row r="848" ht="14.25" customHeight="1">
      <x:c r="A848" s="2"/>
      <x:c r="B848" s="9"/>
      <x:c r="C848" s="9"/>
      <x:c r="D848" s="9"/>
      <x:c r="E848" s="9"/>
      <x:c r="F848" s="9"/>
      <x:c r="G848" s="9"/>
      <x:c r="H848" s="9"/>
      <x:c r="I848" s="9"/>
      <x:c r="J848" s="9"/>
      <x:c r="K848" s="9"/>
      <x:c r="L848" s="9"/>
      <x:c r="M848" s="9"/>
      <x:c r="N848" s="9"/>
      <x:c r="O848" s="9"/>
      <x:c r="P848" s="9"/>
      <x:c r="Q848" s="9"/>
      <x:c r="R848" s="9"/>
      <x:c r="S848" s="9"/>
      <x:c r="T848" s="9"/>
      <x:c r="U848" s="9"/>
      <x:c r="V848" s="9"/>
      <x:c r="W848" s="9"/>
      <x:c r="X848" s="9"/>
      <x:c r="Y848" s="9"/>
      <x:c r="Z848" s="9"/>
      <x:c r="AA848" s="9"/>
      <x:c r="AB848" s="9"/>
      <x:c r="AC848" s="9"/>
      <x:c r="AD848" s="9"/>
      <x:c r="AE848" s="2"/>
      <x:c r="AF848" s="9"/>
      <x:c r="AG848" s="9"/>
      <x:c r="AH848" s="2"/>
    </x:row>
    <x:row r="849" ht="14.25" customHeight="1">
      <x:c r="A849" s="2"/>
      <x:c r="B849" s="9"/>
      <x:c r="C849" s="9"/>
      <x:c r="D849" s="9"/>
      <x:c r="E849" s="9"/>
      <x:c r="F849" s="9"/>
      <x:c r="G849" s="9"/>
      <x:c r="H849" s="9"/>
      <x:c r="I849" s="9"/>
      <x:c r="J849" s="9"/>
      <x:c r="K849" s="9"/>
      <x:c r="L849" s="9"/>
      <x:c r="M849" s="9"/>
      <x:c r="N849" s="9"/>
      <x:c r="O849" s="9"/>
      <x:c r="P849" s="9"/>
      <x:c r="Q849" s="9"/>
      <x:c r="R849" s="9"/>
      <x:c r="S849" s="9"/>
      <x:c r="T849" s="9"/>
      <x:c r="U849" s="9"/>
      <x:c r="V849" s="9"/>
      <x:c r="W849" s="9"/>
      <x:c r="X849" s="9"/>
      <x:c r="Y849" s="9"/>
      <x:c r="Z849" s="9"/>
      <x:c r="AA849" s="9"/>
      <x:c r="AB849" s="9"/>
      <x:c r="AC849" s="9"/>
      <x:c r="AD849" s="9"/>
      <x:c r="AE849" s="2"/>
      <x:c r="AF849" s="9"/>
      <x:c r="AG849" s="9"/>
      <x:c r="AH849" s="2"/>
    </x:row>
    <x:row r="850" ht="14.25" customHeight="1">
      <x:c r="A850" s="2"/>
      <x:c r="B850" s="9"/>
      <x:c r="C850" s="9"/>
      <x:c r="D850" s="9"/>
      <x:c r="E850" s="9"/>
      <x:c r="F850" s="9"/>
      <x:c r="G850" s="9"/>
      <x:c r="H850" s="9"/>
      <x:c r="I850" s="9"/>
      <x:c r="J850" s="9"/>
      <x:c r="K850" s="9"/>
      <x:c r="L850" s="9"/>
      <x:c r="M850" s="9"/>
      <x:c r="N850" s="9"/>
      <x:c r="O850" s="9"/>
      <x:c r="P850" s="9"/>
      <x:c r="Q850" s="9"/>
      <x:c r="R850" s="9"/>
      <x:c r="S850" s="9"/>
      <x:c r="T850" s="9"/>
      <x:c r="U850" s="9"/>
      <x:c r="V850" s="9"/>
      <x:c r="W850" s="9"/>
      <x:c r="X850" s="9"/>
      <x:c r="Y850" s="9"/>
      <x:c r="Z850" s="9"/>
      <x:c r="AA850" s="9"/>
      <x:c r="AB850" s="9"/>
      <x:c r="AC850" s="9"/>
      <x:c r="AD850" s="9"/>
      <x:c r="AE850" s="2"/>
      <x:c r="AF850" s="9"/>
      <x:c r="AG850" s="9"/>
      <x:c r="AH850" s="2"/>
    </x:row>
    <x:row r="851" ht="14.25" customHeight="1">
      <x:c r="A851" s="2"/>
      <x:c r="B851" s="9"/>
      <x:c r="C851" s="9"/>
      <x:c r="D851" s="9"/>
      <x:c r="E851" s="9"/>
      <x:c r="F851" s="9"/>
      <x:c r="G851" s="9"/>
      <x:c r="H851" s="9"/>
      <x:c r="I851" s="9"/>
      <x:c r="J851" s="9"/>
      <x:c r="K851" s="9"/>
      <x:c r="L851" s="9"/>
      <x:c r="M851" s="9"/>
      <x:c r="N851" s="9"/>
      <x:c r="O851" s="9"/>
      <x:c r="P851" s="9"/>
      <x:c r="Q851" s="9"/>
      <x:c r="R851" s="9"/>
      <x:c r="S851" s="9"/>
      <x:c r="T851" s="9"/>
      <x:c r="U851" s="9"/>
      <x:c r="V851" s="9"/>
      <x:c r="W851" s="9"/>
      <x:c r="X851" s="9"/>
      <x:c r="Y851" s="9"/>
      <x:c r="Z851" s="9"/>
      <x:c r="AA851" s="9"/>
      <x:c r="AB851" s="9"/>
      <x:c r="AC851" s="9"/>
      <x:c r="AD851" s="9"/>
      <x:c r="AE851" s="2"/>
      <x:c r="AF851" s="9"/>
      <x:c r="AG851" s="9"/>
      <x:c r="AH851" s="2"/>
    </x:row>
    <x:row r="852" ht="14.25" customHeight="1">
      <x:c r="A852" s="2"/>
      <x:c r="B852" s="9"/>
      <x:c r="C852" s="9"/>
      <x:c r="D852" s="9"/>
      <x:c r="E852" s="9"/>
      <x:c r="F852" s="9"/>
      <x:c r="G852" s="9"/>
      <x:c r="H852" s="9"/>
      <x:c r="I852" s="9"/>
      <x:c r="J852" s="9"/>
      <x:c r="K852" s="9"/>
      <x:c r="L852" s="9"/>
      <x:c r="M852" s="9"/>
      <x:c r="N852" s="9"/>
      <x:c r="O852" s="9"/>
      <x:c r="P852" s="9"/>
      <x:c r="Q852" s="9"/>
      <x:c r="R852" s="9"/>
      <x:c r="S852" s="9"/>
      <x:c r="T852" s="9"/>
      <x:c r="U852" s="9"/>
      <x:c r="V852" s="9"/>
      <x:c r="W852" s="9"/>
      <x:c r="X852" s="9"/>
      <x:c r="Y852" s="9"/>
      <x:c r="Z852" s="9"/>
      <x:c r="AA852" s="9"/>
      <x:c r="AB852" s="9"/>
      <x:c r="AC852" s="9"/>
      <x:c r="AD852" s="9"/>
      <x:c r="AE852" s="2"/>
      <x:c r="AF852" s="9"/>
      <x:c r="AG852" s="9"/>
      <x:c r="AH852" s="2"/>
    </x:row>
    <x:row r="853" ht="14.25" customHeight="1">
      <x:c r="A853" s="2"/>
      <x:c r="B853" s="9"/>
      <x:c r="C853" s="9"/>
      <x:c r="D853" s="9"/>
      <x:c r="E853" s="9"/>
      <x:c r="F853" s="9"/>
      <x:c r="G853" s="9"/>
      <x:c r="H853" s="9"/>
      <x:c r="I853" s="9"/>
      <x:c r="J853" s="9"/>
      <x:c r="K853" s="9"/>
      <x:c r="L853" s="9"/>
      <x:c r="M853" s="9"/>
      <x:c r="N853" s="9"/>
      <x:c r="O853" s="9"/>
      <x:c r="P853" s="9"/>
      <x:c r="Q853" s="9"/>
      <x:c r="R853" s="9"/>
      <x:c r="S853" s="9"/>
      <x:c r="T853" s="9"/>
      <x:c r="U853" s="9"/>
      <x:c r="V853" s="9"/>
      <x:c r="W853" s="9"/>
      <x:c r="X853" s="9"/>
      <x:c r="Y853" s="9"/>
      <x:c r="Z853" s="9"/>
      <x:c r="AA853" s="9"/>
      <x:c r="AB853" s="9"/>
      <x:c r="AC853" s="9"/>
      <x:c r="AD853" s="9"/>
      <x:c r="AE853" s="2"/>
      <x:c r="AF853" s="9"/>
      <x:c r="AG853" s="9"/>
      <x:c r="AH853" s="2"/>
    </x:row>
    <x:row r="854" ht="14.25" customHeight="1">
      <x:c r="A854" s="2"/>
      <x:c r="B854" s="9"/>
      <x:c r="C854" s="9"/>
      <x:c r="D854" s="9"/>
      <x:c r="E854" s="9"/>
      <x:c r="F854" s="9"/>
      <x:c r="G854" s="9"/>
      <x:c r="H854" s="9"/>
      <x:c r="I854" s="9"/>
      <x:c r="J854" s="9"/>
      <x:c r="K854" s="9"/>
      <x:c r="L854" s="9"/>
      <x:c r="M854" s="9"/>
      <x:c r="N854" s="9"/>
      <x:c r="O854" s="9"/>
      <x:c r="P854" s="9"/>
      <x:c r="Q854" s="9"/>
      <x:c r="R854" s="9"/>
      <x:c r="S854" s="9"/>
      <x:c r="T854" s="9"/>
      <x:c r="U854" s="9"/>
      <x:c r="V854" s="9"/>
      <x:c r="W854" s="9"/>
      <x:c r="X854" s="9"/>
      <x:c r="Y854" s="9"/>
      <x:c r="Z854" s="9"/>
      <x:c r="AA854" s="9"/>
      <x:c r="AB854" s="9"/>
      <x:c r="AC854" s="9"/>
      <x:c r="AD854" s="9"/>
      <x:c r="AE854" s="2"/>
      <x:c r="AF854" s="9"/>
      <x:c r="AG854" s="9"/>
      <x:c r="AH854" s="2"/>
    </x:row>
    <x:row r="855" ht="14.25" customHeight="1">
      <x:c r="A855" s="2"/>
      <x:c r="B855" s="9"/>
      <x:c r="C855" s="9"/>
      <x:c r="D855" s="9"/>
      <x:c r="E855" s="9"/>
      <x:c r="F855" s="9"/>
      <x:c r="G855" s="9"/>
      <x:c r="H855" s="9"/>
      <x:c r="I855" s="9"/>
      <x:c r="J855" s="9"/>
      <x:c r="K855" s="9"/>
      <x:c r="L855" s="9"/>
      <x:c r="M855" s="9"/>
      <x:c r="N855" s="9"/>
      <x:c r="O855" s="9"/>
      <x:c r="P855" s="9"/>
      <x:c r="Q855" s="9"/>
      <x:c r="R855" s="9"/>
      <x:c r="S855" s="9"/>
      <x:c r="T855" s="9"/>
      <x:c r="U855" s="9"/>
      <x:c r="V855" s="9"/>
      <x:c r="W855" s="9"/>
      <x:c r="X855" s="9"/>
      <x:c r="Y855" s="9"/>
      <x:c r="Z855" s="9"/>
      <x:c r="AA855" s="9"/>
      <x:c r="AB855" s="9"/>
      <x:c r="AC855" s="9"/>
      <x:c r="AD855" s="9"/>
      <x:c r="AE855" s="2"/>
      <x:c r="AF855" s="9"/>
      <x:c r="AG855" s="9"/>
      <x:c r="AH855" s="2"/>
    </x:row>
    <x:row r="856" ht="14.25" customHeight="1">
      <x:c r="A856" s="2"/>
      <x:c r="B856" s="9"/>
      <x:c r="C856" s="9"/>
      <x:c r="D856" s="9"/>
      <x:c r="E856" s="9"/>
      <x:c r="F856" s="9"/>
      <x:c r="G856" s="9"/>
      <x:c r="H856" s="9"/>
      <x:c r="I856" s="9"/>
      <x:c r="J856" s="9"/>
      <x:c r="K856" s="9"/>
      <x:c r="L856" s="9"/>
      <x:c r="M856" s="9"/>
      <x:c r="N856" s="9"/>
      <x:c r="O856" s="9"/>
      <x:c r="P856" s="9"/>
      <x:c r="Q856" s="9"/>
      <x:c r="R856" s="9"/>
      <x:c r="S856" s="9"/>
      <x:c r="T856" s="9"/>
      <x:c r="U856" s="9"/>
      <x:c r="V856" s="9"/>
      <x:c r="W856" s="9"/>
      <x:c r="X856" s="9"/>
      <x:c r="Y856" s="9"/>
      <x:c r="Z856" s="9"/>
      <x:c r="AA856" s="9"/>
      <x:c r="AB856" s="9"/>
      <x:c r="AC856" s="9"/>
      <x:c r="AD856" s="9"/>
      <x:c r="AE856" s="2"/>
      <x:c r="AF856" s="9"/>
      <x:c r="AG856" s="9"/>
      <x:c r="AH856" s="2"/>
    </x:row>
    <x:row r="857" ht="14.25" customHeight="1">
      <x:c r="A857" s="2"/>
      <x:c r="B857" s="9"/>
      <x:c r="C857" s="9"/>
      <x:c r="D857" s="9"/>
      <x:c r="E857" s="9"/>
      <x:c r="F857" s="9"/>
      <x:c r="G857" s="9"/>
      <x:c r="H857" s="9"/>
      <x:c r="I857" s="9"/>
      <x:c r="J857" s="9"/>
      <x:c r="K857" s="9"/>
      <x:c r="L857" s="9"/>
      <x:c r="M857" s="9"/>
      <x:c r="N857" s="9"/>
      <x:c r="O857" s="9"/>
      <x:c r="P857" s="9"/>
      <x:c r="Q857" s="9"/>
      <x:c r="R857" s="9"/>
      <x:c r="S857" s="9"/>
      <x:c r="T857" s="9"/>
      <x:c r="U857" s="9"/>
      <x:c r="V857" s="9"/>
      <x:c r="W857" s="9"/>
      <x:c r="X857" s="9"/>
      <x:c r="Y857" s="9"/>
      <x:c r="Z857" s="9"/>
      <x:c r="AA857" s="9"/>
      <x:c r="AB857" s="9"/>
      <x:c r="AC857" s="9"/>
      <x:c r="AD857" s="9"/>
      <x:c r="AE857" s="2"/>
      <x:c r="AF857" s="9"/>
      <x:c r="AG857" s="9"/>
      <x:c r="AH857" s="2"/>
    </x:row>
    <x:row r="858" ht="14.25" customHeight="1">
      <x:c r="A858" s="2"/>
      <x:c r="B858" s="9"/>
      <x:c r="C858" s="9"/>
      <x:c r="D858" s="9"/>
      <x:c r="E858" s="9"/>
      <x:c r="F858" s="9"/>
      <x:c r="G858" s="9"/>
      <x:c r="H858" s="9"/>
      <x:c r="I858" s="9"/>
      <x:c r="J858" s="9"/>
      <x:c r="K858" s="9"/>
      <x:c r="L858" s="9"/>
      <x:c r="M858" s="9"/>
      <x:c r="N858" s="9"/>
      <x:c r="O858" s="9"/>
      <x:c r="P858" s="9"/>
      <x:c r="Q858" s="9"/>
      <x:c r="R858" s="9"/>
      <x:c r="S858" s="9"/>
      <x:c r="T858" s="9"/>
      <x:c r="U858" s="9"/>
      <x:c r="V858" s="9"/>
      <x:c r="W858" s="9"/>
      <x:c r="X858" s="9"/>
      <x:c r="Y858" s="9"/>
      <x:c r="Z858" s="9"/>
      <x:c r="AA858" s="9"/>
      <x:c r="AB858" s="9"/>
      <x:c r="AC858" s="9"/>
      <x:c r="AD858" s="9"/>
      <x:c r="AE858" s="2"/>
      <x:c r="AF858" s="9"/>
      <x:c r="AG858" s="9"/>
      <x:c r="AH858" s="2"/>
    </x:row>
    <x:row r="859" ht="14.25" customHeight="1">
      <x:c r="A859" s="2"/>
      <x:c r="B859" s="9"/>
      <x:c r="C859" s="9"/>
      <x:c r="D859" s="9"/>
      <x:c r="E859" s="9"/>
      <x:c r="F859" s="9"/>
      <x:c r="G859" s="9"/>
      <x:c r="H859" s="9"/>
      <x:c r="I859" s="9"/>
      <x:c r="J859" s="9"/>
      <x:c r="K859" s="9"/>
      <x:c r="L859" s="9"/>
      <x:c r="M859" s="9"/>
      <x:c r="N859" s="9"/>
      <x:c r="O859" s="9"/>
      <x:c r="P859" s="9"/>
      <x:c r="Q859" s="9"/>
      <x:c r="R859" s="9"/>
      <x:c r="S859" s="9"/>
      <x:c r="T859" s="9"/>
      <x:c r="U859" s="9"/>
      <x:c r="V859" s="9"/>
      <x:c r="W859" s="9"/>
      <x:c r="X859" s="9"/>
      <x:c r="Y859" s="9"/>
      <x:c r="Z859" s="9"/>
      <x:c r="AA859" s="9"/>
      <x:c r="AB859" s="9"/>
      <x:c r="AC859" s="9"/>
      <x:c r="AD859" s="9"/>
      <x:c r="AE859" s="2"/>
      <x:c r="AF859" s="9"/>
      <x:c r="AG859" s="9"/>
      <x:c r="AH859" s="2"/>
    </x:row>
    <x:row r="860" ht="14.25" customHeight="1">
      <x:c r="A860" s="2"/>
      <x:c r="B860" s="9"/>
      <x:c r="C860" s="9"/>
      <x:c r="D860" s="9"/>
      <x:c r="E860" s="9"/>
      <x:c r="F860" s="9"/>
      <x:c r="G860" s="9"/>
      <x:c r="H860" s="9"/>
      <x:c r="I860" s="9"/>
      <x:c r="J860" s="9"/>
      <x:c r="K860" s="9"/>
      <x:c r="L860" s="9"/>
      <x:c r="M860" s="9"/>
      <x:c r="N860" s="9"/>
      <x:c r="O860" s="9"/>
      <x:c r="P860" s="9"/>
      <x:c r="Q860" s="9"/>
      <x:c r="R860" s="9"/>
      <x:c r="S860" s="9"/>
      <x:c r="T860" s="9"/>
      <x:c r="U860" s="9"/>
      <x:c r="V860" s="9"/>
      <x:c r="W860" s="9"/>
      <x:c r="X860" s="9"/>
      <x:c r="Y860" s="9"/>
      <x:c r="Z860" s="9"/>
      <x:c r="AA860" s="9"/>
      <x:c r="AB860" s="9"/>
      <x:c r="AC860" s="9"/>
      <x:c r="AD860" s="9"/>
      <x:c r="AE860" s="2"/>
      <x:c r="AF860" s="9"/>
      <x:c r="AG860" s="9"/>
      <x:c r="AH860" s="2"/>
    </x:row>
    <x:row r="861" ht="14.25" customHeight="1">
      <x:c r="A861" s="2"/>
      <x:c r="B861" s="9"/>
      <x:c r="C861" s="9"/>
      <x:c r="D861" s="9"/>
      <x:c r="E861" s="9"/>
      <x:c r="F861" s="9"/>
      <x:c r="G861" s="9"/>
      <x:c r="H861" s="9"/>
      <x:c r="I861" s="9"/>
      <x:c r="J861" s="9"/>
      <x:c r="K861" s="9"/>
      <x:c r="L861" s="9"/>
      <x:c r="M861" s="9"/>
      <x:c r="N861" s="9"/>
      <x:c r="O861" s="9"/>
      <x:c r="P861" s="9"/>
      <x:c r="Q861" s="9"/>
      <x:c r="R861" s="9"/>
      <x:c r="S861" s="9"/>
      <x:c r="T861" s="9"/>
      <x:c r="U861" s="9"/>
      <x:c r="V861" s="9"/>
      <x:c r="W861" s="9"/>
      <x:c r="X861" s="9"/>
      <x:c r="Y861" s="9"/>
      <x:c r="Z861" s="9"/>
      <x:c r="AA861" s="9"/>
      <x:c r="AB861" s="9"/>
      <x:c r="AC861" s="9"/>
      <x:c r="AD861" s="9"/>
      <x:c r="AE861" s="2"/>
      <x:c r="AF861" s="9"/>
      <x:c r="AG861" s="9"/>
      <x:c r="AH861" s="2"/>
    </x:row>
    <x:row r="862" ht="14.25" customHeight="1">
      <x:c r="A862" s="2"/>
      <x:c r="B862" s="9"/>
      <x:c r="C862" s="9"/>
      <x:c r="D862" s="9"/>
      <x:c r="E862" s="9"/>
      <x:c r="F862" s="9"/>
      <x:c r="G862" s="9"/>
      <x:c r="H862" s="9"/>
      <x:c r="I862" s="9"/>
      <x:c r="J862" s="9"/>
      <x:c r="K862" s="9"/>
      <x:c r="L862" s="9"/>
      <x:c r="M862" s="9"/>
      <x:c r="N862" s="9"/>
      <x:c r="O862" s="9"/>
      <x:c r="P862" s="9"/>
      <x:c r="Q862" s="9"/>
      <x:c r="R862" s="9"/>
      <x:c r="S862" s="9"/>
      <x:c r="T862" s="9"/>
      <x:c r="U862" s="9"/>
      <x:c r="V862" s="9"/>
      <x:c r="W862" s="9"/>
      <x:c r="X862" s="9"/>
      <x:c r="Y862" s="9"/>
      <x:c r="Z862" s="9"/>
      <x:c r="AA862" s="9"/>
      <x:c r="AB862" s="9"/>
      <x:c r="AC862" s="9"/>
      <x:c r="AD862" s="9"/>
      <x:c r="AE862" s="2"/>
      <x:c r="AF862" s="9"/>
      <x:c r="AG862" s="9"/>
      <x:c r="AH862" s="2"/>
    </x:row>
    <x:row r="863" ht="14.25" customHeight="1">
      <x:c r="A863" s="2"/>
      <x:c r="B863" s="9"/>
      <x:c r="C863" s="9"/>
      <x:c r="D863" s="9"/>
      <x:c r="E863" s="9"/>
      <x:c r="F863" s="9"/>
      <x:c r="G863" s="9"/>
      <x:c r="H863" s="9"/>
      <x:c r="I863" s="9"/>
      <x:c r="J863" s="9"/>
      <x:c r="K863" s="9"/>
      <x:c r="L863" s="9"/>
      <x:c r="M863" s="9"/>
      <x:c r="N863" s="9"/>
      <x:c r="O863" s="9"/>
      <x:c r="P863" s="9"/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  <x:c r="AA863" s="9"/>
      <x:c r="AB863" s="9"/>
      <x:c r="AC863" s="9"/>
      <x:c r="AD863" s="9"/>
      <x:c r="AE863" s="2"/>
      <x:c r="AF863" s="9"/>
      <x:c r="AG863" s="9"/>
      <x:c r="AH863" s="2"/>
    </x:row>
    <x:row r="864" ht="14.25" customHeight="1">
      <x:c r="A864" s="2"/>
      <x:c r="B864" s="9"/>
      <x:c r="C864" s="9"/>
      <x:c r="D864" s="9"/>
      <x:c r="E864" s="9"/>
      <x:c r="F864" s="9"/>
      <x:c r="G864" s="9"/>
      <x:c r="H864" s="9"/>
      <x:c r="I864" s="9"/>
      <x:c r="J864" s="9"/>
      <x:c r="K864" s="9"/>
      <x:c r="L864" s="9"/>
      <x:c r="M864" s="9"/>
      <x:c r="N864" s="9"/>
      <x:c r="O864" s="9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  <x:c r="AA864" s="9"/>
      <x:c r="AB864" s="9"/>
      <x:c r="AC864" s="9"/>
      <x:c r="AD864" s="9"/>
      <x:c r="AE864" s="2"/>
      <x:c r="AF864" s="9"/>
      <x:c r="AG864" s="9"/>
      <x:c r="AH864" s="2"/>
    </x:row>
    <x:row r="865" ht="14.25" customHeight="1">
      <x:c r="A865" s="2"/>
      <x:c r="B865" s="9"/>
      <x:c r="C865" s="9"/>
      <x:c r="D865" s="9"/>
      <x:c r="E865" s="9"/>
      <x:c r="F865" s="9"/>
      <x:c r="G865" s="9"/>
      <x:c r="H865" s="9"/>
      <x:c r="I865" s="9"/>
      <x:c r="J865" s="9"/>
      <x:c r="K865" s="9"/>
      <x:c r="L865" s="9"/>
      <x:c r="M865" s="9"/>
      <x:c r="N865" s="9"/>
      <x:c r="O865" s="9"/>
      <x:c r="P865" s="9"/>
      <x:c r="Q865" s="9"/>
      <x:c r="R865" s="9"/>
      <x:c r="S865" s="9"/>
      <x:c r="T865" s="9"/>
      <x:c r="U865" s="9"/>
      <x:c r="V865" s="9"/>
      <x:c r="W865" s="9"/>
      <x:c r="X865" s="9"/>
      <x:c r="Y865" s="9"/>
      <x:c r="Z865" s="9"/>
      <x:c r="AA865" s="9"/>
      <x:c r="AB865" s="9"/>
      <x:c r="AC865" s="9"/>
      <x:c r="AD865" s="9"/>
      <x:c r="AE865" s="2"/>
      <x:c r="AF865" s="9"/>
      <x:c r="AG865" s="9"/>
      <x:c r="AH865" s="2"/>
    </x:row>
    <x:row r="866" ht="14.25" customHeight="1">
      <x:c r="A866" s="2"/>
      <x:c r="B866" s="9"/>
      <x:c r="C866" s="9"/>
      <x:c r="D866" s="9"/>
      <x:c r="E866" s="9"/>
      <x:c r="F866" s="9"/>
      <x:c r="G866" s="9"/>
      <x:c r="H866" s="9"/>
      <x:c r="I866" s="9"/>
      <x:c r="J866" s="9"/>
      <x:c r="K866" s="9"/>
      <x:c r="L866" s="9"/>
      <x:c r="M866" s="9"/>
      <x:c r="N866" s="9"/>
      <x:c r="O866" s="9"/>
      <x:c r="P866" s="9"/>
      <x:c r="Q866" s="9"/>
      <x:c r="R866" s="9"/>
      <x:c r="S866" s="9"/>
      <x:c r="T866" s="9"/>
      <x:c r="U866" s="9"/>
      <x:c r="V866" s="9"/>
      <x:c r="W866" s="9"/>
      <x:c r="X866" s="9"/>
      <x:c r="Y866" s="9"/>
      <x:c r="Z866" s="9"/>
      <x:c r="AA866" s="9"/>
      <x:c r="AB866" s="9"/>
      <x:c r="AC866" s="9"/>
      <x:c r="AD866" s="9"/>
      <x:c r="AE866" s="2"/>
      <x:c r="AF866" s="9"/>
      <x:c r="AG866" s="9"/>
      <x:c r="AH866" s="2"/>
    </x:row>
    <x:row r="867" ht="14.25" customHeight="1">
      <x:c r="A867" s="2"/>
      <x:c r="B867" s="9"/>
      <x:c r="C867" s="9"/>
      <x:c r="D867" s="9"/>
      <x:c r="E867" s="9"/>
      <x:c r="F867" s="9"/>
      <x:c r="G867" s="9"/>
      <x:c r="H867" s="9"/>
      <x:c r="I867" s="9"/>
      <x:c r="J867" s="9"/>
      <x:c r="K867" s="9"/>
      <x:c r="L867" s="9"/>
      <x:c r="M867" s="9"/>
      <x:c r="N867" s="9"/>
      <x:c r="O867" s="9"/>
      <x:c r="P867" s="9"/>
      <x:c r="Q867" s="9"/>
      <x:c r="R867" s="9"/>
      <x:c r="S867" s="9"/>
      <x:c r="T867" s="9"/>
      <x:c r="U867" s="9"/>
      <x:c r="V867" s="9"/>
      <x:c r="W867" s="9"/>
      <x:c r="X867" s="9"/>
      <x:c r="Y867" s="9"/>
      <x:c r="Z867" s="9"/>
      <x:c r="AA867" s="9"/>
      <x:c r="AB867" s="9"/>
      <x:c r="AC867" s="9"/>
      <x:c r="AD867" s="9"/>
      <x:c r="AE867" s="2"/>
      <x:c r="AF867" s="9"/>
      <x:c r="AG867" s="9"/>
      <x:c r="AH867" s="2"/>
    </x:row>
    <x:row r="868" ht="14.25" customHeight="1">
      <x:c r="A868" s="2"/>
      <x:c r="B868" s="9"/>
      <x:c r="C868" s="9"/>
      <x:c r="D868" s="9"/>
      <x:c r="E868" s="9"/>
      <x:c r="F868" s="9"/>
      <x:c r="G868" s="9"/>
      <x:c r="H868" s="9"/>
      <x:c r="I868" s="9"/>
      <x:c r="J868" s="9"/>
      <x:c r="K868" s="9"/>
      <x:c r="L868" s="9"/>
      <x:c r="M868" s="9"/>
      <x:c r="N868" s="9"/>
      <x:c r="O868" s="9"/>
      <x:c r="P868" s="9"/>
      <x:c r="Q868" s="9"/>
      <x:c r="R868" s="9"/>
      <x:c r="S868" s="9"/>
      <x:c r="T868" s="9"/>
      <x:c r="U868" s="9"/>
      <x:c r="V868" s="9"/>
      <x:c r="W868" s="9"/>
      <x:c r="X868" s="9"/>
      <x:c r="Y868" s="9"/>
      <x:c r="Z868" s="9"/>
      <x:c r="AA868" s="9"/>
      <x:c r="AB868" s="9"/>
      <x:c r="AC868" s="9"/>
      <x:c r="AD868" s="9"/>
      <x:c r="AE868" s="2"/>
      <x:c r="AF868" s="9"/>
      <x:c r="AG868" s="9"/>
      <x:c r="AH868" s="2"/>
    </x:row>
    <x:row r="869" ht="14.25" customHeight="1">
      <x:c r="A869" s="2"/>
      <x:c r="B869" s="9"/>
      <x:c r="C869" s="9"/>
      <x:c r="D869" s="9"/>
      <x:c r="E869" s="9"/>
      <x:c r="F869" s="9"/>
      <x:c r="G869" s="9"/>
      <x:c r="H869" s="9"/>
      <x:c r="I869" s="9"/>
      <x:c r="J869" s="9"/>
      <x:c r="K869" s="9"/>
      <x:c r="L869" s="9"/>
      <x:c r="M869" s="9"/>
      <x:c r="N869" s="9"/>
      <x:c r="O869" s="9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  <x:c r="AA869" s="9"/>
      <x:c r="AB869" s="9"/>
      <x:c r="AC869" s="9"/>
      <x:c r="AD869" s="9"/>
      <x:c r="AE869" s="2"/>
      <x:c r="AF869" s="9"/>
      <x:c r="AG869" s="9"/>
      <x:c r="AH869" s="2"/>
    </x:row>
    <x:row r="870" ht="14.25" customHeight="1">
      <x:c r="A870" s="2"/>
      <x:c r="B870" s="9"/>
      <x:c r="C870" s="9"/>
      <x:c r="D870" s="9"/>
      <x:c r="E870" s="9"/>
      <x:c r="F870" s="9"/>
      <x:c r="G870" s="9"/>
      <x:c r="H870" s="9"/>
      <x:c r="I870" s="9"/>
      <x:c r="J870" s="9"/>
      <x:c r="K870" s="9"/>
      <x:c r="L870" s="9"/>
      <x:c r="M870" s="9"/>
      <x:c r="N870" s="9"/>
      <x:c r="O870" s="9"/>
      <x:c r="P870" s="9"/>
      <x:c r="Q870" s="9"/>
      <x:c r="R870" s="9"/>
      <x:c r="S870" s="9"/>
      <x:c r="T870" s="9"/>
      <x:c r="U870" s="9"/>
      <x:c r="V870" s="9"/>
      <x:c r="W870" s="9"/>
      <x:c r="X870" s="9"/>
      <x:c r="Y870" s="9"/>
      <x:c r="Z870" s="9"/>
      <x:c r="AA870" s="9"/>
      <x:c r="AB870" s="9"/>
      <x:c r="AC870" s="9"/>
      <x:c r="AD870" s="9"/>
      <x:c r="AE870" s="2"/>
      <x:c r="AF870" s="9"/>
      <x:c r="AG870" s="9"/>
      <x:c r="AH870" s="2"/>
    </x:row>
    <x:row r="871" ht="14.25" customHeight="1">
      <x:c r="A871" s="2"/>
      <x:c r="B871" s="9"/>
      <x:c r="C871" s="9"/>
      <x:c r="D871" s="9"/>
      <x:c r="E871" s="9"/>
      <x:c r="F871" s="9"/>
      <x:c r="G871" s="9"/>
      <x:c r="H871" s="9"/>
      <x:c r="I871" s="9"/>
      <x:c r="J871" s="9"/>
      <x:c r="K871" s="9"/>
      <x:c r="L871" s="9"/>
      <x:c r="M871" s="9"/>
      <x:c r="N871" s="9"/>
      <x:c r="O871" s="9"/>
      <x:c r="P871" s="9"/>
      <x:c r="Q871" s="9"/>
      <x:c r="R871" s="9"/>
      <x:c r="S871" s="9"/>
      <x:c r="T871" s="9"/>
      <x:c r="U871" s="9"/>
      <x:c r="V871" s="9"/>
      <x:c r="W871" s="9"/>
      <x:c r="X871" s="9"/>
      <x:c r="Y871" s="9"/>
      <x:c r="Z871" s="9"/>
      <x:c r="AA871" s="9"/>
      <x:c r="AB871" s="9"/>
      <x:c r="AC871" s="9"/>
      <x:c r="AD871" s="9"/>
      <x:c r="AE871" s="2"/>
      <x:c r="AF871" s="9"/>
      <x:c r="AG871" s="9"/>
      <x:c r="AH871" s="2"/>
    </x:row>
    <x:row r="872" ht="14.25" customHeight="1">
      <x:c r="A872" s="2"/>
      <x:c r="B872" s="9"/>
      <x:c r="C872" s="9"/>
      <x:c r="D872" s="9"/>
      <x:c r="E872" s="9"/>
      <x:c r="F872" s="9"/>
      <x:c r="G872" s="9"/>
      <x:c r="H872" s="9"/>
      <x:c r="I872" s="9"/>
      <x:c r="J872" s="9"/>
      <x:c r="K872" s="9"/>
      <x:c r="L872" s="9"/>
      <x:c r="M872" s="9"/>
      <x:c r="N872" s="9"/>
      <x:c r="O872" s="9"/>
      <x:c r="P872" s="9"/>
      <x:c r="Q872" s="9"/>
      <x:c r="R872" s="9"/>
      <x:c r="S872" s="9"/>
      <x:c r="T872" s="9"/>
      <x:c r="U872" s="9"/>
      <x:c r="V872" s="9"/>
      <x:c r="W872" s="9"/>
      <x:c r="X872" s="9"/>
      <x:c r="Y872" s="9"/>
      <x:c r="Z872" s="9"/>
      <x:c r="AA872" s="9"/>
      <x:c r="AB872" s="9"/>
      <x:c r="AC872" s="9"/>
      <x:c r="AD872" s="9"/>
      <x:c r="AE872" s="2"/>
      <x:c r="AF872" s="9"/>
      <x:c r="AG872" s="9"/>
      <x:c r="AH872" s="2"/>
    </x:row>
    <x:row r="873" ht="14.25" customHeight="1">
      <x:c r="A873" s="2"/>
      <x:c r="B873" s="9"/>
      <x:c r="C873" s="9"/>
      <x:c r="D873" s="9"/>
      <x:c r="E873" s="9"/>
      <x:c r="F873" s="9"/>
      <x:c r="G873" s="9"/>
      <x:c r="H873" s="9"/>
      <x:c r="I873" s="9"/>
      <x:c r="J873" s="9"/>
      <x:c r="K873" s="9"/>
      <x:c r="L873" s="9"/>
      <x:c r="M873" s="9"/>
      <x:c r="N873" s="9"/>
      <x:c r="O873" s="9"/>
      <x:c r="P873" s="9"/>
      <x:c r="Q873" s="9"/>
      <x:c r="R873" s="9"/>
      <x:c r="S873" s="9"/>
      <x:c r="T873" s="9"/>
      <x:c r="U873" s="9"/>
      <x:c r="V873" s="9"/>
      <x:c r="W873" s="9"/>
      <x:c r="X873" s="9"/>
      <x:c r="Y873" s="9"/>
      <x:c r="Z873" s="9"/>
      <x:c r="AA873" s="9"/>
      <x:c r="AB873" s="9"/>
      <x:c r="AC873" s="9"/>
      <x:c r="AD873" s="9"/>
      <x:c r="AE873" s="2"/>
      <x:c r="AF873" s="9"/>
      <x:c r="AG873" s="9"/>
      <x:c r="AH873" s="2"/>
    </x:row>
    <x:row r="874" ht="14.25" customHeight="1">
      <x:c r="A874" s="2"/>
      <x:c r="B874" s="9"/>
      <x:c r="C874" s="9"/>
      <x:c r="D874" s="9"/>
      <x:c r="E874" s="9"/>
      <x:c r="F874" s="9"/>
      <x:c r="G874" s="9"/>
      <x:c r="H874" s="9"/>
      <x:c r="I874" s="9"/>
      <x:c r="J874" s="9"/>
      <x:c r="K874" s="9"/>
      <x:c r="L874" s="9"/>
      <x:c r="M874" s="9"/>
      <x:c r="N874" s="9"/>
      <x:c r="O874" s="9"/>
      <x:c r="P874" s="9"/>
      <x:c r="Q874" s="9"/>
      <x:c r="R874" s="9"/>
      <x:c r="S874" s="9"/>
      <x:c r="T874" s="9"/>
      <x:c r="U874" s="9"/>
      <x:c r="V874" s="9"/>
      <x:c r="W874" s="9"/>
      <x:c r="X874" s="9"/>
      <x:c r="Y874" s="9"/>
      <x:c r="Z874" s="9"/>
      <x:c r="AA874" s="9"/>
      <x:c r="AB874" s="9"/>
      <x:c r="AC874" s="9"/>
      <x:c r="AD874" s="9"/>
      <x:c r="AE874" s="2"/>
      <x:c r="AF874" s="9"/>
      <x:c r="AG874" s="9"/>
      <x:c r="AH874" s="2"/>
    </x:row>
    <x:row r="875" ht="14.25" customHeight="1">
      <x:c r="A875" s="2"/>
      <x:c r="B875" s="9"/>
      <x:c r="C875" s="9"/>
      <x:c r="D875" s="9"/>
      <x:c r="E875" s="9"/>
      <x:c r="F875" s="9"/>
      <x:c r="G875" s="9"/>
      <x:c r="H875" s="9"/>
      <x:c r="I875" s="9"/>
      <x:c r="J875" s="9"/>
      <x:c r="K875" s="9"/>
      <x:c r="L875" s="9"/>
      <x:c r="M875" s="9"/>
      <x:c r="N875" s="9"/>
      <x:c r="O875" s="9"/>
      <x:c r="P875" s="9"/>
      <x:c r="Q875" s="9"/>
      <x:c r="R875" s="9"/>
      <x:c r="S875" s="9"/>
      <x:c r="T875" s="9"/>
      <x:c r="U875" s="9"/>
      <x:c r="V875" s="9"/>
      <x:c r="W875" s="9"/>
      <x:c r="X875" s="9"/>
      <x:c r="Y875" s="9"/>
      <x:c r="Z875" s="9"/>
      <x:c r="AA875" s="9"/>
      <x:c r="AB875" s="9"/>
      <x:c r="AC875" s="9"/>
      <x:c r="AD875" s="9"/>
      <x:c r="AE875" s="2"/>
      <x:c r="AF875" s="9"/>
      <x:c r="AG875" s="9"/>
      <x:c r="AH875" s="2"/>
    </x:row>
    <x:row r="876" ht="14.25" customHeight="1">
      <x:c r="A876" s="2"/>
      <x:c r="B876" s="9"/>
      <x:c r="C876" s="9"/>
      <x:c r="D876" s="9"/>
      <x:c r="E876" s="9"/>
      <x:c r="F876" s="9"/>
      <x:c r="G876" s="9"/>
      <x:c r="H876" s="9"/>
      <x:c r="I876" s="9"/>
      <x:c r="J876" s="9"/>
      <x:c r="K876" s="9"/>
      <x:c r="L876" s="9"/>
      <x:c r="M876" s="9"/>
      <x:c r="N876" s="9"/>
      <x:c r="O876" s="9"/>
      <x:c r="P876" s="9"/>
      <x:c r="Q876" s="9"/>
      <x:c r="R876" s="9"/>
      <x:c r="S876" s="9"/>
      <x:c r="T876" s="9"/>
      <x:c r="U876" s="9"/>
      <x:c r="V876" s="9"/>
      <x:c r="W876" s="9"/>
      <x:c r="X876" s="9"/>
      <x:c r="Y876" s="9"/>
      <x:c r="Z876" s="9"/>
      <x:c r="AA876" s="9"/>
      <x:c r="AB876" s="9"/>
      <x:c r="AC876" s="9"/>
      <x:c r="AD876" s="9"/>
      <x:c r="AE876" s="2"/>
      <x:c r="AF876" s="9"/>
      <x:c r="AG876" s="9"/>
      <x:c r="AH876" s="2"/>
    </x:row>
    <x:row r="877" ht="14.25" customHeight="1">
      <x:c r="A877" s="2"/>
      <x:c r="B877" s="9"/>
      <x:c r="C877" s="9"/>
      <x:c r="D877" s="9"/>
      <x:c r="E877" s="9"/>
      <x:c r="F877" s="9"/>
      <x:c r="G877" s="9"/>
      <x:c r="H877" s="9"/>
      <x:c r="I877" s="9"/>
      <x:c r="J877" s="9"/>
      <x:c r="K877" s="9"/>
      <x:c r="L877" s="9"/>
      <x:c r="M877" s="9"/>
      <x:c r="N877" s="9"/>
      <x:c r="O877" s="9"/>
      <x:c r="P877" s="9"/>
      <x:c r="Q877" s="9"/>
      <x:c r="R877" s="9"/>
      <x:c r="S877" s="9"/>
      <x:c r="T877" s="9"/>
      <x:c r="U877" s="9"/>
      <x:c r="V877" s="9"/>
      <x:c r="W877" s="9"/>
      <x:c r="X877" s="9"/>
      <x:c r="Y877" s="9"/>
      <x:c r="Z877" s="9"/>
      <x:c r="AA877" s="9"/>
      <x:c r="AB877" s="9"/>
      <x:c r="AC877" s="9"/>
      <x:c r="AD877" s="9"/>
      <x:c r="AE877" s="2"/>
      <x:c r="AF877" s="9"/>
      <x:c r="AG877" s="9"/>
      <x:c r="AH877" s="2"/>
    </x:row>
    <x:row r="878" ht="14.25" customHeight="1">
      <x:c r="A878" s="2"/>
      <x:c r="B878" s="9"/>
      <x:c r="C878" s="9"/>
      <x:c r="D878" s="9"/>
      <x:c r="E878" s="9"/>
      <x:c r="F878" s="9"/>
      <x:c r="G878" s="9"/>
      <x:c r="H878" s="9"/>
      <x:c r="I878" s="9"/>
      <x:c r="J878" s="9"/>
      <x:c r="K878" s="9"/>
      <x:c r="L878" s="9"/>
      <x:c r="M878" s="9"/>
      <x:c r="N878" s="9"/>
      <x:c r="O878" s="9"/>
      <x:c r="P878" s="9"/>
      <x:c r="Q878" s="9"/>
      <x:c r="R878" s="9"/>
      <x:c r="S878" s="9"/>
      <x:c r="T878" s="9"/>
      <x:c r="U878" s="9"/>
      <x:c r="V878" s="9"/>
      <x:c r="W878" s="9"/>
      <x:c r="X878" s="9"/>
      <x:c r="Y878" s="9"/>
      <x:c r="Z878" s="9"/>
      <x:c r="AA878" s="9"/>
      <x:c r="AB878" s="9"/>
      <x:c r="AC878" s="9"/>
      <x:c r="AD878" s="9"/>
      <x:c r="AE878" s="2"/>
      <x:c r="AF878" s="9"/>
      <x:c r="AG878" s="9"/>
      <x:c r="AH878" s="2"/>
    </x:row>
    <x:row r="879" ht="14.25" customHeight="1">
      <x:c r="A879" s="2"/>
      <x:c r="B879" s="9"/>
      <x:c r="C879" s="9"/>
      <x:c r="D879" s="9"/>
      <x:c r="E879" s="9"/>
      <x:c r="F879" s="9"/>
      <x:c r="G879" s="9"/>
      <x:c r="H879" s="9"/>
      <x:c r="I879" s="9"/>
      <x:c r="J879" s="9"/>
      <x:c r="K879" s="9"/>
      <x:c r="L879" s="9"/>
      <x:c r="M879" s="9"/>
      <x:c r="N879" s="9"/>
      <x:c r="O879" s="9"/>
      <x:c r="P879" s="9"/>
      <x:c r="Q879" s="9"/>
      <x:c r="R879" s="9"/>
      <x:c r="S879" s="9"/>
      <x:c r="T879" s="9"/>
      <x:c r="U879" s="9"/>
      <x:c r="V879" s="9"/>
      <x:c r="W879" s="9"/>
      <x:c r="X879" s="9"/>
      <x:c r="Y879" s="9"/>
      <x:c r="Z879" s="9"/>
      <x:c r="AA879" s="9"/>
      <x:c r="AB879" s="9"/>
      <x:c r="AC879" s="9"/>
      <x:c r="AD879" s="9"/>
      <x:c r="AE879" s="2"/>
      <x:c r="AF879" s="9"/>
      <x:c r="AG879" s="9"/>
      <x:c r="AH879" s="2"/>
    </x:row>
    <x:row r="880" ht="14.25" customHeight="1">
      <x:c r="A880" s="2"/>
      <x:c r="B880" s="9"/>
      <x:c r="C880" s="9"/>
      <x:c r="D880" s="9"/>
      <x:c r="E880" s="9"/>
      <x:c r="F880" s="9"/>
      <x:c r="G880" s="9"/>
      <x:c r="H880" s="9"/>
      <x:c r="I880" s="9"/>
      <x:c r="J880" s="9"/>
      <x:c r="K880" s="9"/>
      <x:c r="L880" s="9"/>
      <x:c r="M880" s="9"/>
      <x:c r="N880" s="9"/>
      <x:c r="O880" s="9"/>
      <x:c r="P880" s="9"/>
      <x:c r="Q880" s="9"/>
      <x:c r="R880" s="9"/>
      <x:c r="S880" s="9"/>
      <x:c r="T880" s="9"/>
      <x:c r="U880" s="9"/>
      <x:c r="V880" s="9"/>
      <x:c r="W880" s="9"/>
      <x:c r="X880" s="9"/>
      <x:c r="Y880" s="9"/>
      <x:c r="Z880" s="9"/>
      <x:c r="AA880" s="9"/>
      <x:c r="AB880" s="9"/>
      <x:c r="AC880" s="9"/>
      <x:c r="AD880" s="9"/>
      <x:c r="AE880" s="2"/>
      <x:c r="AF880" s="9"/>
      <x:c r="AG880" s="9"/>
      <x:c r="AH880" s="2"/>
    </x:row>
    <x:row r="881" ht="14.25" customHeight="1">
      <x:c r="A881" s="2"/>
      <x:c r="B881" s="9"/>
      <x:c r="C881" s="9"/>
      <x:c r="D881" s="9"/>
      <x:c r="E881" s="9"/>
      <x:c r="F881" s="9"/>
      <x:c r="G881" s="9"/>
      <x:c r="H881" s="9"/>
      <x:c r="I881" s="9"/>
      <x:c r="J881" s="9"/>
      <x:c r="K881" s="9"/>
      <x:c r="L881" s="9"/>
      <x:c r="M881" s="9"/>
      <x:c r="N881" s="9"/>
      <x:c r="O881" s="9"/>
      <x:c r="P881" s="9"/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  <x:c r="AA881" s="9"/>
      <x:c r="AB881" s="9"/>
      <x:c r="AC881" s="9"/>
      <x:c r="AD881" s="9"/>
      <x:c r="AE881" s="2"/>
      <x:c r="AF881" s="9"/>
      <x:c r="AG881" s="9"/>
      <x:c r="AH881" s="2"/>
    </x:row>
    <x:row r="882" ht="14.25" customHeight="1">
      <x:c r="A882" s="2"/>
      <x:c r="B882" s="9"/>
      <x:c r="C882" s="9"/>
      <x:c r="D882" s="9"/>
      <x:c r="E882" s="9"/>
      <x:c r="F882" s="9"/>
      <x:c r="G882" s="9"/>
      <x:c r="H882" s="9"/>
      <x:c r="I882" s="9"/>
      <x:c r="J882" s="9"/>
      <x:c r="K882" s="9"/>
      <x:c r="L882" s="9"/>
      <x:c r="M882" s="9"/>
      <x:c r="N882" s="9"/>
      <x:c r="O882" s="9"/>
      <x:c r="P882" s="9"/>
      <x:c r="Q882" s="9"/>
      <x:c r="R882" s="9"/>
      <x:c r="S882" s="9"/>
      <x:c r="T882" s="9"/>
      <x:c r="U882" s="9"/>
      <x:c r="V882" s="9"/>
      <x:c r="W882" s="9"/>
      <x:c r="X882" s="9"/>
      <x:c r="Y882" s="9"/>
      <x:c r="Z882" s="9"/>
      <x:c r="AA882" s="9"/>
      <x:c r="AB882" s="9"/>
      <x:c r="AC882" s="9"/>
      <x:c r="AD882" s="9"/>
      <x:c r="AE882" s="2"/>
      <x:c r="AF882" s="9"/>
      <x:c r="AG882" s="9"/>
      <x:c r="AH882" s="2"/>
    </x:row>
    <x:row r="883" ht="14.25" customHeight="1">
      <x:c r="A883" s="2"/>
      <x:c r="B883" s="9"/>
      <x:c r="C883" s="9"/>
      <x:c r="D883" s="9"/>
      <x:c r="E883" s="9"/>
      <x:c r="F883" s="9"/>
      <x:c r="G883" s="9"/>
      <x:c r="H883" s="9"/>
      <x:c r="I883" s="9"/>
      <x:c r="J883" s="9"/>
      <x:c r="K883" s="9"/>
      <x:c r="L883" s="9"/>
      <x:c r="M883" s="9"/>
      <x:c r="N883" s="9"/>
      <x:c r="O883" s="9"/>
      <x:c r="P883" s="9"/>
      <x:c r="Q883" s="9"/>
      <x:c r="R883" s="9"/>
      <x:c r="S883" s="9"/>
      <x:c r="T883" s="9"/>
      <x:c r="U883" s="9"/>
      <x:c r="V883" s="9"/>
      <x:c r="W883" s="9"/>
      <x:c r="X883" s="9"/>
      <x:c r="Y883" s="9"/>
      <x:c r="Z883" s="9"/>
      <x:c r="AA883" s="9"/>
      <x:c r="AB883" s="9"/>
      <x:c r="AC883" s="9"/>
      <x:c r="AD883" s="9"/>
      <x:c r="AE883" s="2"/>
      <x:c r="AF883" s="9"/>
      <x:c r="AG883" s="9"/>
      <x:c r="AH883" s="2"/>
    </x:row>
    <x:row r="884" ht="14.25" customHeight="1">
      <x:c r="A884" s="2"/>
      <x:c r="B884" s="9"/>
      <x:c r="C884" s="9"/>
      <x:c r="D884" s="9"/>
      <x:c r="E884" s="9"/>
      <x:c r="F884" s="9"/>
      <x:c r="G884" s="9"/>
      <x:c r="H884" s="9"/>
      <x:c r="I884" s="9"/>
      <x:c r="J884" s="9"/>
      <x:c r="K884" s="9"/>
      <x:c r="L884" s="9"/>
      <x:c r="M884" s="9"/>
      <x:c r="N884" s="9"/>
      <x:c r="O884" s="9"/>
      <x:c r="P884" s="9"/>
      <x:c r="Q884" s="9"/>
      <x:c r="R884" s="9"/>
      <x:c r="S884" s="9"/>
      <x:c r="T884" s="9"/>
      <x:c r="U884" s="9"/>
      <x:c r="V884" s="9"/>
      <x:c r="W884" s="9"/>
      <x:c r="X884" s="9"/>
      <x:c r="Y884" s="9"/>
      <x:c r="Z884" s="9"/>
      <x:c r="AA884" s="9"/>
      <x:c r="AB884" s="9"/>
      <x:c r="AC884" s="9"/>
      <x:c r="AD884" s="9"/>
      <x:c r="AE884" s="2"/>
      <x:c r="AF884" s="9"/>
      <x:c r="AG884" s="9"/>
      <x:c r="AH884" s="2"/>
    </x:row>
    <x:row r="885" ht="14.25" customHeight="1">
      <x:c r="A885" s="2"/>
      <x:c r="B885" s="9"/>
      <x:c r="C885" s="9"/>
      <x:c r="D885" s="9"/>
      <x:c r="E885" s="9"/>
      <x:c r="F885" s="9"/>
      <x:c r="G885" s="9"/>
      <x:c r="H885" s="9"/>
      <x:c r="I885" s="9"/>
      <x:c r="J885" s="9"/>
      <x:c r="K885" s="9"/>
      <x:c r="L885" s="9"/>
      <x:c r="M885" s="9"/>
      <x:c r="N885" s="9"/>
      <x:c r="O885" s="9"/>
      <x:c r="P885" s="9"/>
      <x:c r="Q885" s="9"/>
      <x:c r="R885" s="9"/>
      <x:c r="S885" s="9"/>
      <x:c r="T885" s="9"/>
      <x:c r="U885" s="9"/>
      <x:c r="V885" s="9"/>
      <x:c r="W885" s="9"/>
      <x:c r="X885" s="9"/>
      <x:c r="Y885" s="9"/>
      <x:c r="Z885" s="9"/>
      <x:c r="AA885" s="9"/>
      <x:c r="AB885" s="9"/>
      <x:c r="AC885" s="9"/>
      <x:c r="AD885" s="9"/>
      <x:c r="AE885" s="2"/>
      <x:c r="AF885" s="9"/>
      <x:c r="AG885" s="9"/>
      <x:c r="AH885" s="2"/>
    </x:row>
    <x:row r="886" ht="14.25" customHeight="1">
      <x:c r="A886" s="2"/>
      <x:c r="B886" s="9"/>
      <x:c r="C886" s="9"/>
      <x:c r="D886" s="9"/>
      <x:c r="E886" s="9"/>
      <x:c r="F886" s="9"/>
      <x:c r="G886" s="9"/>
      <x:c r="H886" s="9"/>
      <x:c r="I886" s="9"/>
      <x:c r="J886" s="9"/>
      <x:c r="K886" s="9"/>
      <x:c r="L886" s="9"/>
      <x:c r="M886" s="9"/>
      <x:c r="N886" s="9"/>
      <x:c r="O886" s="9"/>
      <x:c r="P886" s="9"/>
      <x:c r="Q886" s="9"/>
      <x:c r="R886" s="9"/>
      <x:c r="S886" s="9"/>
      <x:c r="T886" s="9"/>
      <x:c r="U886" s="9"/>
      <x:c r="V886" s="9"/>
      <x:c r="W886" s="9"/>
      <x:c r="X886" s="9"/>
      <x:c r="Y886" s="9"/>
      <x:c r="Z886" s="9"/>
      <x:c r="AA886" s="9"/>
      <x:c r="AB886" s="9"/>
      <x:c r="AC886" s="9"/>
      <x:c r="AD886" s="9"/>
      <x:c r="AE886" s="2"/>
      <x:c r="AF886" s="9"/>
      <x:c r="AG886" s="9"/>
      <x:c r="AH886" s="2"/>
    </x:row>
    <x:row r="887" ht="14.25" customHeight="1">
      <x:c r="A887" s="2"/>
      <x:c r="B887" s="9"/>
      <x:c r="C887" s="9"/>
      <x:c r="D887" s="9"/>
      <x:c r="E887" s="9"/>
      <x:c r="F887" s="9"/>
      <x:c r="G887" s="9"/>
      <x:c r="H887" s="9"/>
      <x:c r="I887" s="9"/>
      <x:c r="J887" s="9"/>
      <x:c r="K887" s="9"/>
      <x:c r="L887" s="9"/>
      <x:c r="M887" s="9"/>
      <x:c r="N887" s="9"/>
      <x:c r="O887" s="9"/>
      <x:c r="P887" s="9"/>
      <x:c r="Q887" s="9"/>
      <x:c r="R887" s="9"/>
      <x:c r="S887" s="9"/>
      <x:c r="T887" s="9"/>
      <x:c r="U887" s="9"/>
      <x:c r="V887" s="9"/>
      <x:c r="W887" s="9"/>
      <x:c r="X887" s="9"/>
      <x:c r="Y887" s="9"/>
      <x:c r="Z887" s="9"/>
      <x:c r="AA887" s="9"/>
      <x:c r="AB887" s="9"/>
      <x:c r="AC887" s="9"/>
      <x:c r="AD887" s="9"/>
      <x:c r="AE887" s="2"/>
      <x:c r="AF887" s="9"/>
      <x:c r="AG887" s="9"/>
      <x:c r="AH887" s="2"/>
    </x:row>
    <x:row r="888" ht="14.25" customHeight="1">
      <x:c r="A888" s="2"/>
      <x:c r="B888" s="9"/>
      <x:c r="C888" s="9"/>
      <x:c r="D888" s="9"/>
      <x:c r="E888" s="9"/>
      <x:c r="F888" s="9"/>
      <x:c r="G888" s="9"/>
      <x:c r="H888" s="9"/>
      <x:c r="I888" s="9"/>
      <x:c r="J888" s="9"/>
      <x:c r="K888" s="9"/>
      <x:c r="L888" s="9"/>
      <x:c r="M888" s="9"/>
      <x:c r="N888" s="9"/>
      <x:c r="O888" s="9"/>
      <x:c r="P888" s="9"/>
      <x:c r="Q888" s="9"/>
      <x:c r="R888" s="9"/>
      <x:c r="S888" s="9"/>
      <x:c r="T888" s="9"/>
      <x:c r="U888" s="9"/>
      <x:c r="V888" s="9"/>
      <x:c r="W888" s="9"/>
      <x:c r="X888" s="9"/>
      <x:c r="Y888" s="9"/>
      <x:c r="Z888" s="9"/>
      <x:c r="AA888" s="9"/>
      <x:c r="AB888" s="9"/>
      <x:c r="AC888" s="9"/>
      <x:c r="AD888" s="9"/>
      <x:c r="AE888" s="2"/>
      <x:c r="AF888" s="9"/>
      <x:c r="AG888" s="9"/>
      <x:c r="AH888" s="2"/>
    </x:row>
    <x:row r="889" ht="14.25" customHeight="1">
      <x:c r="A889" s="2"/>
      <x:c r="B889" s="9"/>
      <x:c r="C889" s="9"/>
      <x:c r="D889" s="9"/>
      <x:c r="E889" s="9"/>
      <x:c r="F889" s="9"/>
      <x:c r="G889" s="9"/>
      <x:c r="H889" s="9"/>
      <x:c r="I889" s="9"/>
      <x:c r="J889" s="9"/>
      <x:c r="K889" s="9"/>
      <x:c r="L889" s="9"/>
      <x:c r="M889" s="9"/>
      <x:c r="N889" s="9"/>
      <x:c r="O889" s="9"/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  <x:c r="AA889" s="9"/>
      <x:c r="AB889" s="9"/>
      <x:c r="AC889" s="9"/>
      <x:c r="AD889" s="9"/>
      <x:c r="AE889" s="2"/>
      <x:c r="AF889" s="9"/>
      <x:c r="AG889" s="9"/>
      <x:c r="AH889" s="2"/>
    </x:row>
    <x:row r="890" ht="14.25" customHeight="1">
      <x:c r="A890" s="2"/>
      <x:c r="B890" s="9"/>
      <x:c r="C890" s="9"/>
      <x:c r="D890" s="9"/>
      <x:c r="E890" s="9"/>
      <x:c r="F890" s="9"/>
      <x:c r="G890" s="9"/>
      <x:c r="H890" s="9"/>
      <x:c r="I890" s="9"/>
      <x:c r="J890" s="9"/>
      <x:c r="K890" s="9"/>
      <x:c r="L890" s="9"/>
      <x:c r="M890" s="9"/>
      <x:c r="N890" s="9"/>
      <x:c r="O890" s="9"/>
      <x:c r="P890" s="9"/>
      <x:c r="Q890" s="9"/>
      <x:c r="R890" s="9"/>
      <x:c r="S890" s="9"/>
      <x:c r="T890" s="9"/>
      <x:c r="U890" s="9"/>
      <x:c r="V890" s="9"/>
      <x:c r="W890" s="9"/>
      <x:c r="X890" s="9"/>
      <x:c r="Y890" s="9"/>
      <x:c r="Z890" s="9"/>
      <x:c r="AA890" s="9"/>
      <x:c r="AB890" s="9"/>
      <x:c r="AC890" s="9"/>
      <x:c r="AD890" s="9"/>
      <x:c r="AE890" s="2"/>
      <x:c r="AF890" s="9"/>
      <x:c r="AG890" s="9"/>
      <x:c r="AH890" s="2"/>
    </x:row>
    <x:row r="891" ht="14.25" customHeight="1">
      <x:c r="A891" s="2"/>
      <x:c r="B891" s="9"/>
      <x:c r="C891" s="9"/>
      <x:c r="D891" s="9"/>
      <x:c r="E891" s="9"/>
      <x:c r="F891" s="9"/>
      <x:c r="G891" s="9"/>
      <x:c r="H891" s="9"/>
      <x:c r="I891" s="9"/>
      <x:c r="J891" s="9"/>
      <x:c r="K891" s="9"/>
      <x:c r="L891" s="9"/>
      <x:c r="M891" s="9"/>
      <x:c r="N891" s="9"/>
      <x:c r="O891" s="9"/>
      <x:c r="P891" s="9"/>
      <x:c r="Q891" s="9"/>
      <x:c r="R891" s="9"/>
      <x:c r="S891" s="9"/>
      <x:c r="T891" s="9"/>
      <x:c r="U891" s="9"/>
      <x:c r="V891" s="9"/>
      <x:c r="W891" s="9"/>
      <x:c r="X891" s="9"/>
      <x:c r="Y891" s="9"/>
      <x:c r="Z891" s="9"/>
      <x:c r="AA891" s="9"/>
      <x:c r="AB891" s="9"/>
      <x:c r="AC891" s="9"/>
      <x:c r="AD891" s="9"/>
      <x:c r="AE891" s="2"/>
      <x:c r="AF891" s="9"/>
      <x:c r="AG891" s="9"/>
      <x:c r="AH891" s="2"/>
    </x:row>
    <x:row r="892" ht="14.25" customHeight="1">
      <x:c r="A892" s="2"/>
      <x:c r="B892" s="9"/>
      <x:c r="C892" s="9"/>
      <x:c r="D892" s="9"/>
      <x:c r="E892" s="9"/>
      <x:c r="F892" s="9"/>
      <x:c r="G892" s="9"/>
      <x:c r="H892" s="9"/>
      <x:c r="I892" s="9"/>
      <x:c r="J892" s="9"/>
      <x:c r="K892" s="9"/>
      <x:c r="L892" s="9"/>
      <x:c r="M892" s="9"/>
      <x:c r="N892" s="9"/>
      <x:c r="O892" s="9"/>
      <x:c r="P892" s="9"/>
      <x:c r="Q892" s="9"/>
      <x:c r="R892" s="9"/>
      <x:c r="S892" s="9"/>
      <x:c r="T892" s="9"/>
      <x:c r="U892" s="9"/>
      <x:c r="V892" s="9"/>
      <x:c r="W892" s="9"/>
      <x:c r="X892" s="9"/>
      <x:c r="Y892" s="9"/>
      <x:c r="Z892" s="9"/>
      <x:c r="AA892" s="9"/>
      <x:c r="AB892" s="9"/>
      <x:c r="AC892" s="9"/>
      <x:c r="AD892" s="9"/>
      <x:c r="AE892" s="2"/>
      <x:c r="AF892" s="9"/>
      <x:c r="AG892" s="9"/>
      <x:c r="AH892" s="2"/>
    </x:row>
    <x:row r="893" ht="14.25" customHeight="1">
      <x:c r="A893" s="2"/>
      <x:c r="B893" s="9"/>
      <x:c r="C893" s="9"/>
      <x:c r="D893" s="9"/>
      <x:c r="E893" s="9"/>
      <x:c r="F893" s="9"/>
      <x:c r="G893" s="9"/>
      <x:c r="H893" s="9"/>
      <x:c r="I893" s="9"/>
      <x:c r="J893" s="9"/>
      <x:c r="K893" s="9"/>
      <x:c r="L893" s="9"/>
      <x:c r="M893" s="9"/>
      <x:c r="N893" s="9"/>
      <x:c r="O893" s="9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  <x:c r="AA893" s="9"/>
      <x:c r="AB893" s="9"/>
      <x:c r="AC893" s="9"/>
      <x:c r="AD893" s="9"/>
      <x:c r="AE893" s="2"/>
      <x:c r="AF893" s="9"/>
      <x:c r="AG893" s="9"/>
      <x:c r="AH893" s="2"/>
    </x:row>
    <x:row r="894" ht="14.25" customHeight="1">
      <x:c r="A894" s="2"/>
      <x:c r="B894" s="9"/>
      <x:c r="C894" s="9"/>
      <x:c r="D894" s="9"/>
      <x:c r="E894" s="9"/>
      <x:c r="F894" s="9"/>
      <x:c r="G894" s="9"/>
      <x:c r="H894" s="9"/>
      <x:c r="I894" s="9"/>
      <x:c r="J894" s="9"/>
      <x:c r="K894" s="9"/>
      <x:c r="L894" s="9"/>
      <x:c r="M894" s="9"/>
      <x:c r="N894" s="9"/>
      <x:c r="O894" s="9"/>
      <x:c r="P894" s="9"/>
      <x:c r="Q894" s="9"/>
      <x:c r="R894" s="9"/>
      <x:c r="S894" s="9"/>
      <x:c r="T894" s="9"/>
      <x:c r="U894" s="9"/>
      <x:c r="V894" s="9"/>
      <x:c r="W894" s="9"/>
      <x:c r="X894" s="9"/>
      <x:c r="Y894" s="9"/>
      <x:c r="Z894" s="9"/>
      <x:c r="AA894" s="9"/>
      <x:c r="AB894" s="9"/>
      <x:c r="AC894" s="9"/>
      <x:c r="AD894" s="9"/>
      <x:c r="AE894" s="2"/>
      <x:c r="AF894" s="9"/>
      <x:c r="AG894" s="9"/>
      <x:c r="AH894" s="2"/>
    </x:row>
    <x:row r="895" ht="14.25" customHeight="1">
      <x:c r="A895" s="2"/>
      <x:c r="B895" s="9"/>
      <x:c r="C895" s="9"/>
      <x:c r="D895" s="9"/>
      <x:c r="E895" s="9"/>
      <x:c r="F895" s="9"/>
      <x:c r="G895" s="9"/>
      <x:c r="H895" s="9"/>
      <x:c r="I895" s="9"/>
      <x:c r="J895" s="9"/>
      <x:c r="K895" s="9"/>
      <x:c r="L895" s="9"/>
      <x:c r="M895" s="9"/>
      <x:c r="N895" s="9"/>
      <x:c r="O895" s="9"/>
      <x:c r="P895" s="9"/>
      <x:c r="Q895" s="9"/>
      <x:c r="R895" s="9"/>
      <x:c r="S895" s="9"/>
      <x:c r="T895" s="9"/>
      <x:c r="U895" s="9"/>
      <x:c r="V895" s="9"/>
      <x:c r="W895" s="9"/>
      <x:c r="X895" s="9"/>
      <x:c r="Y895" s="9"/>
      <x:c r="Z895" s="9"/>
      <x:c r="AA895" s="9"/>
      <x:c r="AB895" s="9"/>
      <x:c r="AC895" s="9"/>
      <x:c r="AD895" s="9"/>
      <x:c r="AE895" s="2"/>
      <x:c r="AF895" s="9"/>
      <x:c r="AG895" s="9"/>
      <x:c r="AH895" s="2"/>
    </x:row>
    <x:row r="896" ht="14.25" customHeight="1">
      <x:c r="A896" s="2"/>
      <x:c r="B896" s="9"/>
      <x:c r="C896" s="9"/>
      <x:c r="D896" s="9"/>
      <x:c r="E896" s="9"/>
      <x:c r="F896" s="9"/>
      <x:c r="G896" s="9"/>
      <x:c r="H896" s="9"/>
      <x:c r="I896" s="9"/>
      <x:c r="J896" s="9"/>
      <x:c r="K896" s="9"/>
      <x:c r="L896" s="9"/>
      <x:c r="M896" s="9"/>
      <x:c r="N896" s="9"/>
      <x:c r="O896" s="9"/>
      <x:c r="P896" s="9"/>
      <x:c r="Q896" s="9"/>
      <x:c r="R896" s="9"/>
      <x:c r="S896" s="9"/>
      <x:c r="T896" s="9"/>
      <x:c r="U896" s="9"/>
      <x:c r="V896" s="9"/>
      <x:c r="W896" s="9"/>
      <x:c r="X896" s="9"/>
      <x:c r="Y896" s="9"/>
      <x:c r="Z896" s="9"/>
      <x:c r="AA896" s="9"/>
      <x:c r="AB896" s="9"/>
      <x:c r="AC896" s="9"/>
      <x:c r="AD896" s="9"/>
      <x:c r="AE896" s="2"/>
      <x:c r="AF896" s="9"/>
      <x:c r="AG896" s="9"/>
      <x:c r="AH896" s="2"/>
    </x:row>
    <x:row r="897" ht="14.25" customHeight="1">
      <x:c r="A897" s="2"/>
      <x:c r="B897" s="9"/>
      <x:c r="C897" s="9"/>
      <x:c r="D897" s="9"/>
      <x:c r="E897" s="9"/>
      <x:c r="F897" s="9"/>
      <x:c r="G897" s="9"/>
      <x:c r="H897" s="9"/>
      <x:c r="I897" s="9"/>
      <x:c r="J897" s="9"/>
      <x:c r="K897" s="9"/>
      <x:c r="L897" s="9"/>
      <x:c r="M897" s="9"/>
      <x:c r="N897" s="9"/>
      <x:c r="O897" s="9"/>
      <x:c r="P897" s="9"/>
      <x:c r="Q897" s="9"/>
      <x:c r="R897" s="9"/>
      <x:c r="S897" s="9"/>
      <x:c r="T897" s="9"/>
      <x:c r="U897" s="9"/>
      <x:c r="V897" s="9"/>
      <x:c r="W897" s="9"/>
      <x:c r="X897" s="9"/>
      <x:c r="Y897" s="9"/>
      <x:c r="Z897" s="9"/>
      <x:c r="AA897" s="9"/>
      <x:c r="AB897" s="9"/>
      <x:c r="AC897" s="9"/>
      <x:c r="AD897" s="9"/>
      <x:c r="AE897" s="2"/>
      <x:c r="AF897" s="9"/>
      <x:c r="AG897" s="9"/>
      <x:c r="AH897" s="2"/>
    </x:row>
    <x:row r="898" ht="14.25" customHeight="1">
      <x:c r="A898" s="2"/>
      <x:c r="B898" s="9"/>
      <x:c r="C898" s="9"/>
      <x:c r="D898" s="9"/>
      <x:c r="E898" s="9"/>
      <x:c r="F898" s="9"/>
      <x:c r="G898" s="9"/>
      <x:c r="H898" s="9"/>
      <x:c r="I898" s="9"/>
      <x:c r="J898" s="9"/>
      <x:c r="K898" s="9"/>
      <x:c r="L898" s="9"/>
      <x:c r="M898" s="9"/>
      <x:c r="N898" s="9"/>
      <x:c r="O898" s="9"/>
      <x:c r="P898" s="9"/>
      <x:c r="Q898" s="9"/>
      <x:c r="R898" s="9"/>
      <x:c r="S898" s="9"/>
      <x:c r="T898" s="9"/>
      <x:c r="U898" s="9"/>
      <x:c r="V898" s="9"/>
      <x:c r="W898" s="9"/>
      <x:c r="X898" s="9"/>
      <x:c r="Y898" s="9"/>
      <x:c r="Z898" s="9"/>
      <x:c r="AA898" s="9"/>
      <x:c r="AB898" s="9"/>
      <x:c r="AC898" s="9"/>
      <x:c r="AD898" s="9"/>
      <x:c r="AE898" s="2"/>
      <x:c r="AF898" s="9"/>
      <x:c r="AG898" s="9"/>
      <x:c r="AH898" s="2"/>
    </x:row>
    <x:row r="899" ht="14.25" customHeight="1">
      <x:c r="A899" s="2"/>
      <x:c r="B899" s="9"/>
      <x:c r="C899" s="9"/>
      <x:c r="D899" s="9"/>
      <x:c r="E899" s="9"/>
      <x:c r="F899" s="9"/>
      <x:c r="G899" s="9"/>
      <x:c r="H899" s="9"/>
      <x:c r="I899" s="9"/>
      <x:c r="J899" s="9"/>
      <x:c r="K899" s="9"/>
      <x:c r="L899" s="9"/>
      <x:c r="M899" s="9"/>
      <x:c r="N899" s="9"/>
      <x:c r="O899" s="9"/>
      <x:c r="P899" s="9"/>
      <x:c r="Q899" s="9"/>
      <x:c r="R899" s="9"/>
      <x:c r="S899" s="9"/>
      <x:c r="T899" s="9"/>
      <x:c r="U899" s="9"/>
      <x:c r="V899" s="9"/>
      <x:c r="W899" s="9"/>
      <x:c r="X899" s="9"/>
      <x:c r="Y899" s="9"/>
      <x:c r="Z899" s="9"/>
      <x:c r="AA899" s="9"/>
      <x:c r="AB899" s="9"/>
      <x:c r="AC899" s="9"/>
      <x:c r="AD899" s="9"/>
      <x:c r="AE899" s="2"/>
      <x:c r="AF899" s="9"/>
      <x:c r="AG899" s="9"/>
      <x:c r="AH899" s="2"/>
    </x:row>
    <x:row r="900" ht="14.25" customHeight="1">
      <x:c r="A900" s="2"/>
      <x:c r="B900" s="9"/>
      <x:c r="C900" s="9"/>
      <x:c r="D900" s="9"/>
      <x:c r="E900" s="9"/>
      <x:c r="F900" s="9"/>
      <x:c r="G900" s="9"/>
      <x:c r="H900" s="9"/>
      <x:c r="I900" s="9"/>
      <x:c r="J900" s="9"/>
      <x:c r="K900" s="9"/>
      <x:c r="L900" s="9"/>
      <x:c r="M900" s="9"/>
      <x:c r="N900" s="9"/>
      <x:c r="O900" s="9"/>
      <x:c r="P900" s="9"/>
      <x:c r="Q900" s="9"/>
      <x:c r="R900" s="9"/>
      <x:c r="S900" s="9"/>
      <x:c r="T900" s="9"/>
      <x:c r="U900" s="9"/>
      <x:c r="V900" s="9"/>
      <x:c r="W900" s="9"/>
      <x:c r="X900" s="9"/>
      <x:c r="Y900" s="9"/>
      <x:c r="Z900" s="9"/>
      <x:c r="AA900" s="9"/>
      <x:c r="AB900" s="9"/>
      <x:c r="AC900" s="9"/>
      <x:c r="AD900" s="9"/>
      <x:c r="AE900" s="2"/>
      <x:c r="AF900" s="9"/>
      <x:c r="AG900" s="9"/>
      <x:c r="AH900" s="2"/>
    </x:row>
    <x:row r="901" ht="14.25" customHeight="1">
      <x:c r="A901" s="2"/>
      <x:c r="B901" s="9"/>
      <x:c r="C901" s="9"/>
      <x:c r="D901" s="9"/>
      <x:c r="E901" s="9"/>
      <x:c r="F901" s="9"/>
      <x:c r="G901" s="9"/>
      <x:c r="H901" s="9"/>
      <x:c r="I901" s="9"/>
      <x:c r="J901" s="9"/>
      <x:c r="K901" s="9"/>
      <x:c r="L901" s="9"/>
      <x:c r="M901" s="9"/>
      <x:c r="N901" s="9"/>
      <x:c r="O901" s="9"/>
      <x:c r="P901" s="9"/>
      <x:c r="Q901" s="9"/>
      <x:c r="R901" s="9"/>
      <x:c r="S901" s="9"/>
      <x:c r="T901" s="9"/>
      <x:c r="U901" s="9"/>
      <x:c r="V901" s="9"/>
      <x:c r="W901" s="9"/>
      <x:c r="X901" s="9"/>
      <x:c r="Y901" s="9"/>
      <x:c r="Z901" s="9"/>
      <x:c r="AA901" s="9"/>
      <x:c r="AB901" s="9"/>
      <x:c r="AC901" s="9"/>
      <x:c r="AD901" s="9"/>
      <x:c r="AE901" s="2"/>
      <x:c r="AF901" s="9"/>
      <x:c r="AG901" s="9"/>
      <x:c r="AH901" s="2"/>
    </x:row>
    <x:row r="902" ht="14.25" customHeight="1">
      <x:c r="A902" s="2"/>
      <x:c r="B902" s="9"/>
      <x:c r="C902" s="9"/>
      <x:c r="D902" s="9"/>
      <x:c r="E902" s="9"/>
      <x:c r="F902" s="9"/>
      <x:c r="G902" s="9"/>
      <x:c r="H902" s="9"/>
      <x:c r="I902" s="9"/>
      <x:c r="J902" s="9"/>
      <x:c r="K902" s="9"/>
      <x:c r="L902" s="9"/>
      <x:c r="M902" s="9"/>
      <x:c r="N902" s="9"/>
      <x:c r="O902" s="9"/>
      <x:c r="P902" s="9"/>
      <x:c r="Q902" s="9"/>
      <x:c r="R902" s="9"/>
      <x:c r="S902" s="9"/>
      <x:c r="T902" s="9"/>
      <x:c r="U902" s="9"/>
      <x:c r="V902" s="9"/>
      <x:c r="W902" s="9"/>
      <x:c r="X902" s="9"/>
      <x:c r="Y902" s="9"/>
      <x:c r="Z902" s="9"/>
      <x:c r="AA902" s="9"/>
      <x:c r="AB902" s="9"/>
      <x:c r="AC902" s="9"/>
      <x:c r="AD902" s="9"/>
      <x:c r="AE902" s="2"/>
      <x:c r="AF902" s="9"/>
      <x:c r="AG902" s="9"/>
      <x:c r="AH902" s="2"/>
    </x:row>
    <x:row r="903" ht="14.25" customHeight="1">
      <x:c r="A903" s="2"/>
      <x:c r="B903" s="9"/>
      <x:c r="C903" s="9"/>
      <x:c r="D903" s="9"/>
      <x:c r="E903" s="9"/>
      <x:c r="F903" s="9"/>
      <x:c r="G903" s="9"/>
      <x:c r="H903" s="9"/>
      <x:c r="I903" s="9"/>
      <x:c r="J903" s="9"/>
      <x:c r="K903" s="9"/>
      <x:c r="L903" s="9"/>
      <x:c r="M903" s="9"/>
      <x:c r="N903" s="9"/>
      <x:c r="O903" s="9"/>
      <x:c r="P903" s="9"/>
      <x:c r="Q903" s="9"/>
      <x:c r="R903" s="9"/>
      <x:c r="S903" s="9"/>
      <x:c r="T903" s="9"/>
      <x:c r="U903" s="9"/>
      <x:c r="V903" s="9"/>
      <x:c r="W903" s="9"/>
      <x:c r="X903" s="9"/>
      <x:c r="Y903" s="9"/>
      <x:c r="Z903" s="9"/>
      <x:c r="AA903" s="9"/>
      <x:c r="AB903" s="9"/>
      <x:c r="AC903" s="9"/>
      <x:c r="AD903" s="9"/>
      <x:c r="AE903" s="2"/>
      <x:c r="AF903" s="9"/>
      <x:c r="AG903" s="9"/>
      <x:c r="AH903" s="2"/>
    </x:row>
    <x:row r="904" ht="14.25" customHeight="1">
      <x:c r="A904" s="2"/>
      <x:c r="B904" s="9"/>
      <x:c r="C904" s="9"/>
      <x:c r="D904" s="9"/>
      <x:c r="E904" s="9"/>
      <x:c r="F904" s="9"/>
      <x:c r="G904" s="9"/>
      <x:c r="H904" s="9"/>
      <x:c r="I904" s="9"/>
      <x:c r="J904" s="9"/>
      <x:c r="K904" s="9"/>
      <x:c r="L904" s="9"/>
      <x:c r="M904" s="9"/>
      <x:c r="N904" s="9"/>
      <x:c r="O904" s="9"/>
      <x:c r="P904" s="9"/>
      <x:c r="Q904" s="9"/>
      <x:c r="R904" s="9"/>
      <x:c r="S904" s="9"/>
      <x:c r="T904" s="9"/>
      <x:c r="U904" s="9"/>
      <x:c r="V904" s="9"/>
      <x:c r="W904" s="9"/>
      <x:c r="X904" s="9"/>
      <x:c r="Y904" s="9"/>
      <x:c r="Z904" s="9"/>
      <x:c r="AA904" s="9"/>
      <x:c r="AB904" s="9"/>
      <x:c r="AC904" s="9"/>
      <x:c r="AD904" s="9"/>
      <x:c r="AE904" s="2"/>
      <x:c r="AF904" s="9"/>
      <x:c r="AG904" s="9"/>
      <x:c r="AH904" s="2"/>
    </x:row>
    <x:row r="905" ht="14.25" customHeight="1">
      <x:c r="A905" s="2"/>
      <x:c r="B905" s="9"/>
      <x:c r="C905" s="9"/>
      <x:c r="D905" s="9"/>
      <x:c r="E905" s="9"/>
      <x:c r="F905" s="9"/>
      <x:c r="G905" s="9"/>
      <x:c r="H905" s="9"/>
      <x:c r="I905" s="9"/>
      <x:c r="J905" s="9"/>
      <x:c r="K905" s="9"/>
      <x:c r="L905" s="9"/>
      <x:c r="M905" s="9"/>
      <x:c r="N905" s="9"/>
      <x:c r="O905" s="9"/>
      <x:c r="P905" s="9"/>
      <x:c r="Q905" s="9"/>
      <x:c r="R905" s="9"/>
      <x:c r="S905" s="9"/>
      <x:c r="T905" s="9"/>
      <x:c r="U905" s="9"/>
      <x:c r="V905" s="9"/>
      <x:c r="W905" s="9"/>
      <x:c r="X905" s="9"/>
      <x:c r="Y905" s="9"/>
      <x:c r="Z905" s="9"/>
      <x:c r="AA905" s="9"/>
      <x:c r="AB905" s="9"/>
      <x:c r="AC905" s="9"/>
      <x:c r="AD905" s="9"/>
      <x:c r="AE905" s="2"/>
      <x:c r="AF905" s="9"/>
      <x:c r="AG905" s="9"/>
      <x:c r="AH905" s="2"/>
    </x:row>
    <x:row r="906" ht="14.25" customHeight="1">
      <x:c r="A906" s="2"/>
      <x:c r="B906" s="9"/>
      <x:c r="C906" s="9"/>
      <x:c r="D906" s="9"/>
      <x:c r="E906" s="9"/>
      <x:c r="F906" s="9"/>
      <x:c r="G906" s="9"/>
      <x:c r="H906" s="9"/>
      <x:c r="I906" s="9"/>
      <x:c r="J906" s="9"/>
      <x:c r="K906" s="9"/>
      <x:c r="L906" s="9"/>
      <x:c r="M906" s="9"/>
      <x:c r="N906" s="9"/>
      <x:c r="O906" s="9"/>
      <x:c r="P906" s="9"/>
      <x:c r="Q906" s="9"/>
      <x:c r="R906" s="9"/>
      <x:c r="S906" s="9"/>
      <x:c r="T906" s="9"/>
      <x:c r="U906" s="9"/>
      <x:c r="V906" s="9"/>
      <x:c r="W906" s="9"/>
      <x:c r="X906" s="9"/>
      <x:c r="Y906" s="9"/>
      <x:c r="Z906" s="9"/>
      <x:c r="AA906" s="9"/>
      <x:c r="AB906" s="9"/>
      <x:c r="AC906" s="9"/>
      <x:c r="AD906" s="9"/>
      <x:c r="AE906" s="2"/>
      <x:c r="AF906" s="9"/>
      <x:c r="AG906" s="9"/>
      <x:c r="AH906" s="2"/>
    </x:row>
    <x:row r="907" ht="14.25" customHeight="1">
      <x:c r="A907" s="2"/>
      <x:c r="B907" s="9"/>
      <x:c r="C907" s="9"/>
      <x:c r="D907" s="9"/>
      <x:c r="E907" s="9"/>
      <x:c r="F907" s="9"/>
      <x:c r="G907" s="9"/>
      <x:c r="H907" s="9"/>
      <x:c r="I907" s="9"/>
      <x:c r="J907" s="9"/>
      <x:c r="K907" s="9"/>
      <x:c r="L907" s="9"/>
      <x:c r="M907" s="9"/>
      <x:c r="N907" s="9"/>
      <x:c r="O907" s="9"/>
      <x:c r="P907" s="9"/>
      <x:c r="Q907" s="9"/>
      <x:c r="R907" s="9"/>
      <x:c r="S907" s="9"/>
      <x:c r="T907" s="9"/>
      <x:c r="U907" s="9"/>
      <x:c r="V907" s="9"/>
      <x:c r="W907" s="9"/>
      <x:c r="X907" s="9"/>
      <x:c r="Y907" s="9"/>
      <x:c r="Z907" s="9"/>
      <x:c r="AA907" s="9"/>
      <x:c r="AB907" s="9"/>
      <x:c r="AC907" s="9"/>
      <x:c r="AD907" s="9"/>
      <x:c r="AE907" s="2"/>
      <x:c r="AF907" s="9"/>
      <x:c r="AG907" s="9"/>
      <x:c r="AH907" s="2"/>
    </x:row>
    <x:row r="908" ht="14.25" customHeight="1">
      <x:c r="A908" s="2"/>
      <x:c r="B908" s="9"/>
      <x:c r="C908" s="9"/>
      <x:c r="D908" s="9"/>
      <x:c r="E908" s="9"/>
      <x:c r="F908" s="9"/>
      <x:c r="G908" s="9"/>
      <x:c r="H908" s="9"/>
      <x:c r="I908" s="9"/>
      <x:c r="J908" s="9"/>
      <x:c r="K908" s="9"/>
      <x:c r="L908" s="9"/>
      <x:c r="M908" s="9"/>
      <x:c r="N908" s="9"/>
      <x:c r="O908" s="9"/>
      <x:c r="P908" s="9"/>
      <x:c r="Q908" s="9"/>
      <x:c r="R908" s="9"/>
      <x:c r="S908" s="9"/>
      <x:c r="T908" s="9"/>
      <x:c r="U908" s="9"/>
      <x:c r="V908" s="9"/>
      <x:c r="W908" s="9"/>
      <x:c r="X908" s="9"/>
      <x:c r="Y908" s="9"/>
      <x:c r="Z908" s="9"/>
      <x:c r="AA908" s="9"/>
      <x:c r="AB908" s="9"/>
      <x:c r="AC908" s="9"/>
      <x:c r="AD908" s="9"/>
      <x:c r="AE908" s="2"/>
      <x:c r="AF908" s="9"/>
      <x:c r="AG908" s="9"/>
      <x:c r="AH908" s="2"/>
    </x:row>
    <x:row r="909" ht="14.25" customHeight="1">
      <x:c r="A909" s="2"/>
      <x:c r="B909" s="9"/>
      <x:c r="C909" s="9"/>
      <x:c r="D909" s="9"/>
      <x:c r="E909" s="9"/>
      <x:c r="F909" s="9"/>
      <x:c r="G909" s="9"/>
      <x:c r="H909" s="9"/>
      <x:c r="I909" s="9"/>
      <x:c r="J909" s="9"/>
      <x:c r="K909" s="9"/>
      <x:c r="L909" s="9"/>
      <x:c r="M909" s="9"/>
      <x:c r="N909" s="9"/>
      <x:c r="O909" s="9"/>
      <x:c r="P909" s="9"/>
      <x:c r="Q909" s="9"/>
      <x:c r="R909" s="9"/>
      <x:c r="S909" s="9"/>
      <x:c r="T909" s="9"/>
      <x:c r="U909" s="9"/>
      <x:c r="V909" s="9"/>
      <x:c r="W909" s="9"/>
      <x:c r="X909" s="9"/>
      <x:c r="Y909" s="9"/>
      <x:c r="Z909" s="9"/>
      <x:c r="AA909" s="9"/>
      <x:c r="AB909" s="9"/>
      <x:c r="AC909" s="9"/>
      <x:c r="AD909" s="9"/>
      <x:c r="AE909" s="2"/>
      <x:c r="AF909" s="9"/>
      <x:c r="AG909" s="9"/>
      <x:c r="AH909" s="2"/>
    </x:row>
    <x:row r="910" ht="14.25" customHeight="1">
      <x:c r="A910" s="2"/>
      <x:c r="B910" s="9"/>
      <x:c r="C910" s="9"/>
      <x:c r="D910" s="9"/>
      <x:c r="E910" s="9"/>
      <x:c r="F910" s="9"/>
      <x:c r="G910" s="9"/>
      <x:c r="H910" s="9"/>
      <x:c r="I910" s="9"/>
      <x:c r="J910" s="9"/>
      <x:c r="K910" s="9"/>
      <x:c r="L910" s="9"/>
      <x:c r="M910" s="9"/>
      <x:c r="N910" s="9"/>
      <x:c r="O910" s="9"/>
      <x:c r="P910" s="9"/>
      <x:c r="Q910" s="9"/>
      <x:c r="R910" s="9"/>
      <x:c r="S910" s="9"/>
      <x:c r="T910" s="9"/>
      <x:c r="U910" s="9"/>
      <x:c r="V910" s="9"/>
      <x:c r="W910" s="9"/>
      <x:c r="X910" s="9"/>
      <x:c r="Y910" s="9"/>
      <x:c r="Z910" s="9"/>
      <x:c r="AA910" s="9"/>
      <x:c r="AB910" s="9"/>
      <x:c r="AC910" s="9"/>
      <x:c r="AD910" s="9"/>
      <x:c r="AE910" s="2"/>
      <x:c r="AF910" s="9"/>
      <x:c r="AG910" s="9"/>
      <x:c r="AH910" s="2"/>
    </x:row>
    <x:row r="911" ht="14.25" customHeight="1">
      <x:c r="A911" s="2"/>
      <x:c r="B911" s="9"/>
      <x:c r="C911" s="9"/>
      <x:c r="D911" s="9"/>
      <x:c r="E911" s="9"/>
      <x:c r="F911" s="9"/>
      <x:c r="G911" s="9"/>
      <x:c r="H911" s="9"/>
      <x:c r="I911" s="9"/>
      <x:c r="J911" s="9"/>
      <x:c r="K911" s="9"/>
      <x:c r="L911" s="9"/>
      <x:c r="M911" s="9"/>
      <x:c r="N911" s="9"/>
      <x:c r="O911" s="9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  <x:c r="AA911" s="9"/>
      <x:c r="AB911" s="9"/>
      <x:c r="AC911" s="9"/>
      <x:c r="AD911" s="9"/>
      <x:c r="AE911" s="2"/>
      <x:c r="AF911" s="9"/>
      <x:c r="AG911" s="9"/>
      <x:c r="AH911" s="2"/>
    </x:row>
    <x:row r="912" ht="14.25" customHeight="1">
      <x:c r="A912" s="2"/>
      <x:c r="B912" s="9"/>
      <x:c r="C912" s="9"/>
      <x:c r="D912" s="9"/>
      <x:c r="E912" s="9"/>
      <x:c r="F912" s="9"/>
      <x:c r="G912" s="9"/>
      <x:c r="H912" s="9"/>
      <x:c r="I912" s="9"/>
      <x:c r="J912" s="9"/>
      <x:c r="K912" s="9"/>
      <x:c r="L912" s="9"/>
      <x:c r="M912" s="9"/>
      <x:c r="N912" s="9"/>
      <x:c r="O912" s="9"/>
      <x:c r="P912" s="9"/>
      <x:c r="Q912" s="9"/>
      <x:c r="R912" s="9"/>
      <x:c r="S912" s="9"/>
      <x:c r="T912" s="9"/>
      <x:c r="U912" s="9"/>
      <x:c r="V912" s="9"/>
      <x:c r="W912" s="9"/>
      <x:c r="X912" s="9"/>
      <x:c r="Y912" s="9"/>
      <x:c r="Z912" s="9"/>
      <x:c r="AA912" s="9"/>
      <x:c r="AB912" s="9"/>
      <x:c r="AC912" s="9"/>
      <x:c r="AD912" s="9"/>
      <x:c r="AE912" s="2"/>
      <x:c r="AF912" s="9"/>
      <x:c r="AG912" s="9"/>
      <x:c r="AH912" s="2"/>
    </x:row>
    <x:row r="913" ht="14.25" customHeight="1">
      <x:c r="A913" s="2"/>
      <x:c r="B913" s="9"/>
      <x:c r="C913" s="9"/>
      <x:c r="D913" s="9"/>
      <x:c r="E913" s="9"/>
      <x:c r="F913" s="9"/>
      <x:c r="G913" s="9"/>
      <x:c r="H913" s="9"/>
      <x:c r="I913" s="9"/>
      <x:c r="J913" s="9"/>
      <x:c r="K913" s="9"/>
      <x:c r="L913" s="9"/>
      <x:c r="M913" s="9"/>
      <x:c r="N913" s="9"/>
      <x:c r="O913" s="9"/>
      <x:c r="P913" s="9"/>
      <x:c r="Q913" s="9"/>
      <x:c r="R913" s="9"/>
      <x:c r="S913" s="9"/>
      <x:c r="T913" s="9"/>
      <x:c r="U913" s="9"/>
      <x:c r="V913" s="9"/>
      <x:c r="W913" s="9"/>
      <x:c r="X913" s="9"/>
      <x:c r="Y913" s="9"/>
      <x:c r="Z913" s="9"/>
      <x:c r="AA913" s="9"/>
      <x:c r="AB913" s="9"/>
      <x:c r="AC913" s="9"/>
      <x:c r="AD913" s="9"/>
      <x:c r="AE913" s="2"/>
      <x:c r="AF913" s="9"/>
      <x:c r="AG913" s="9"/>
      <x:c r="AH913" s="2"/>
    </x:row>
    <x:row r="914" ht="14.25" customHeight="1">
      <x:c r="A914" s="2"/>
      <x:c r="B914" s="9"/>
      <x:c r="C914" s="9"/>
      <x:c r="D914" s="9"/>
      <x:c r="E914" s="9"/>
      <x:c r="F914" s="9"/>
      <x:c r="G914" s="9"/>
      <x:c r="H914" s="9"/>
      <x:c r="I914" s="9"/>
      <x:c r="J914" s="9"/>
      <x:c r="K914" s="9"/>
      <x:c r="L914" s="9"/>
      <x:c r="M914" s="9"/>
      <x:c r="N914" s="9"/>
      <x:c r="O914" s="9"/>
      <x:c r="P914" s="9"/>
      <x:c r="Q914" s="9"/>
      <x:c r="R914" s="9"/>
      <x:c r="S914" s="9"/>
      <x:c r="T914" s="9"/>
      <x:c r="U914" s="9"/>
      <x:c r="V914" s="9"/>
      <x:c r="W914" s="9"/>
      <x:c r="X914" s="9"/>
      <x:c r="Y914" s="9"/>
      <x:c r="Z914" s="9"/>
      <x:c r="AA914" s="9"/>
      <x:c r="AB914" s="9"/>
      <x:c r="AC914" s="9"/>
      <x:c r="AD914" s="9"/>
      <x:c r="AE914" s="2"/>
      <x:c r="AF914" s="9"/>
      <x:c r="AG914" s="9"/>
      <x:c r="AH914" s="2"/>
    </x:row>
    <x:row r="915" ht="14.25" customHeight="1">
      <x:c r="A915" s="2"/>
      <x:c r="B915" s="9"/>
      <x:c r="C915" s="9"/>
      <x:c r="D915" s="9"/>
      <x:c r="E915" s="9"/>
      <x:c r="F915" s="9"/>
      <x:c r="G915" s="9"/>
      <x:c r="H915" s="9"/>
      <x:c r="I915" s="9"/>
      <x:c r="J915" s="9"/>
      <x:c r="K915" s="9"/>
      <x:c r="L915" s="9"/>
      <x:c r="M915" s="9"/>
      <x:c r="N915" s="9"/>
      <x:c r="O915" s="9"/>
      <x:c r="P915" s="9"/>
      <x:c r="Q915" s="9"/>
      <x:c r="R915" s="9"/>
      <x:c r="S915" s="9"/>
      <x:c r="T915" s="9"/>
      <x:c r="U915" s="9"/>
      <x:c r="V915" s="9"/>
      <x:c r="W915" s="9"/>
      <x:c r="X915" s="9"/>
      <x:c r="Y915" s="9"/>
      <x:c r="Z915" s="9"/>
      <x:c r="AA915" s="9"/>
      <x:c r="AB915" s="9"/>
      <x:c r="AC915" s="9"/>
      <x:c r="AD915" s="9"/>
      <x:c r="AE915" s="2"/>
      <x:c r="AF915" s="9"/>
      <x:c r="AG915" s="9"/>
      <x:c r="AH915" s="2"/>
    </x:row>
    <x:row r="916" ht="14.25" customHeight="1">
      <x:c r="A916" s="2"/>
      <x:c r="B916" s="9"/>
      <x:c r="C916" s="9"/>
      <x:c r="D916" s="9"/>
      <x:c r="E916" s="9"/>
      <x:c r="F916" s="9"/>
      <x:c r="G916" s="9"/>
      <x:c r="H916" s="9"/>
      <x:c r="I916" s="9"/>
      <x:c r="J916" s="9"/>
      <x:c r="K916" s="9"/>
      <x:c r="L916" s="9"/>
      <x:c r="M916" s="9"/>
      <x:c r="N916" s="9"/>
      <x:c r="O916" s="9"/>
      <x:c r="P916" s="9"/>
      <x:c r="Q916" s="9"/>
      <x:c r="R916" s="9"/>
      <x:c r="S916" s="9"/>
      <x:c r="T916" s="9"/>
      <x:c r="U916" s="9"/>
      <x:c r="V916" s="9"/>
      <x:c r="W916" s="9"/>
      <x:c r="X916" s="9"/>
      <x:c r="Y916" s="9"/>
      <x:c r="Z916" s="9"/>
      <x:c r="AA916" s="9"/>
      <x:c r="AB916" s="9"/>
      <x:c r="AC916" s="9"/>
      <x:c r="AD916" s="9"/>
      <x:c r="AE916" s="2"/>
      <x:c r="AF916" s="9"/>
      <x:c r="AG916" s="9"/>
      <x:c r="AH916" s="2"/>
    </x:row>
    <x:row r="917" ht="14.25" customHeight="1">
      <x:c r="A917" s="2"/>
      <x:c r="B917" s="9"/>
      <x:c r="C917" s="9"/>
      <x:c r="D917" s="9"/>
      <x:c r="E917" s="9"/>
      <x:c r="F917" s="9"/>
      <x:c r="G917" s="9"/>
      <x:c r="H917" s="9"/>
      <x:c r="I917" s="9"/>
      <x:c r="J917" s="9"/>
      <x:c r="K917" s="9"/>
      <x:c r="L917" s="9"/>
      <x:c r="M917" s="9"/>
      <x:c r="N917" s="9"/>
      <x:c r="O917" s="9"/>
      <x:c r="P917" s="9"/>
      <x:c r="Q917" s="9"/>
      <x:c r="R917" s="9"/>
      <x:c r="S917" s="9"/>
      <x:c r="T917" s="9"/>
      <x:c r="U917" s="9"/>
      <x:c r="V917" s="9"/>
      <x:c r="W917" s="9"/>
      <x:c r="X917" s="9"/>
      <x:c r="Y917" s="9"/>
      <x:c r="Z917" s="9"/>
      <x:c r="AA917" s="9"/>
      <x:c r="AB917" s="9"/>
      <x:c r="AC917" s="9"/>
      <x:c r="AD917" s="9"/>
      <x:c r="AE917" s="2"/>
      <x:c r="AF917" s="9"/>
      <x:c r="AG917" s="9"/>
      <x:c r="AH917" s="2"/>
    </x:row>
    <x:row r="918" ht="14.25" customHeight="1">
      <x:c r="A918" s="2"/>
      <x:c r="B918" s="9"/>
      <x:c r="C918" s="9"/>
      <x:c r="D918" s="9"/>
      <x:c r="E918" s="9"/>
      <x:c r="F918" s="9"/>
      <x:c r="G918" s="9"/>
      <x:c r="H918" s="9"/>
      <x:c r="I918" s="9"/>
      <x:c r="J918" s="9"/>
      <x:c r="K918" s="9"/>
      <x:c r="L918" s="9"/>
      <x:c r="M918" s="9"/>
      <x:c r="N918" s="9"/>
      <x:c r="O918" s="9"/>
      <x:c r="P918" s="9"/>
      <x:c r="Q918" s="9"/>
      <x:c r="R918" s="9"/>
      <x:c r="S918" s="9"/>
      <x:c r="T918" s="9"/>
      <x:c r="U918" s="9"/>
      <x:c r="V918" s="9"/>
      <x:c r="W918" s="9"/>
      <x:c r="X918" s="9"/>
      <x:c r="Y918" s="9"/>
      <x:c r="Z918" s="9"/>
      <x:c r="AA918" s="9"/>
      <x:c r="AB918" s="9"/>
      <x:c r="AC918" s="9"/>
      <x:c r="AD918" s="9"/>
      <x:c r="AE918" s="2"/>
      <x:c r="AF918" s="9"/>
      <x:c r="AG918" s="9"/>
      <x:c r="AH918" s="2"/>
    </x:row>
    <x:row r="919" ht="14.25" customHeight="1">
      <x:c r="A919" s="2"/>
      <x:c r="B919" s="9"/>
      <x:c r="C919" s="9"/>
      <x:c r="D919" s="9"/>
      <x:c r="E919" s="9"/>
      <x:c r="F919" s="9"/>
      <x:c r="G919" s="9"/>
      <x:c r="H919" s="9"/>
      <x:c r="I919" s="9"/>
      <x:c r="J919" s="9"/>
      <x:c r="K919" s="9"/>
      <x:c r="L919" s="9"/>
      <x:c r="M919" s="9"/>
      <x:c r="N919" s="9"/>
      <x:c r="O919" s="9"/>
      <x:c r="P919" s="9"/>
      <x:c r="Q919" s="9"/>
      <x:c r="R919" s="9"/>
      <x:c r="S919" s="9"/>
      <x:c r="T919" s="9"/>
      <x:c r="U919" s="9"/>
      <x:c r="V919" s="9"/>
      <x:c r="W919" s="9"/>
      <x:c r="X919" s="9"/>
      <x:c r="Y919" s="9"/>
      <x:c r="Z919" s="9"/>
      <x:c r="AA919" s="9"/>
      <x:c r="AB919" s="9"/>
      <x:c r="AC919" s="9"/>
      <x:c r="AD919" s="9"/>
      <x:c r="AE919" s="2"/>
      <x:c r="AF919" s="9"/>
      <x:c r="AG919" s="9"/>
      <x:c r="AH919" s="2"/>
    </x:row>
    <x:row r="920" ht="14.25" customHeight="1">
      <x:c r="A920" s="2"/>
      <x:c r="B920" s="9"/>
      <x:c r="C920" s="9"/>
      <x:c r="D920" s="9"/>
      <x:c r="E920" s="9"/>
      <x:c r="F920" s="9"/>
      <x:c r="G920" s="9"/>
      <x:c r="H920" s="9"/>
      <x:c r="I920" s="9"/>
      <x:c r="J920" s="9"/>
      <x:c r="K920" s="9"/>
      <x:c r="L920" s="9"/>
      <x:c r="M920" s="9"/>
      <x:c r="N920" s="9"/>
      <x:c r="O920" s="9"/>
      <x:c r="P920" s="9"/>
      <x:c r="Q920" s="9"/>
      <x:c r="R920" s="9"/>
      <x:c r="S920" s="9"/>
      <x:c r="T920" s="9"/>
      <x:c r="U920" s="9"/>
      <x:c r="V920" s="9"/>
      <x:c r="W920" s="9"/>
      <x:c r="X920" s="9"/>
      <x:c r="Y920" s="9"/>
      <x:c r="Z920" s="9"/>
      <x:c r="AA920" s="9"/>
      <x:c r="AB920" s="9"/>
      <x:c r="AC920" s="9"/>
      <x:c r="AD920" s="9"/>
      <x:c r="AE920" s="2"/>
      <x:c r="AF920" s="9"/>
      <x:c r="AG920" s="9"/>
      <x:c r="AH920" s="2"/>
    </x:row>
    <x:row r="921" ht="14.25" customHeight="1">
      <x:c r="A921" s="2"/>
      <x:c r="B921" s="9"/>
      <x:c r="C921" s="9"/>
      <x:c r="D921" s="9"/>
      <x:c r="E921" s="9"/>
      <x:c r="F921" s="9"/>
      <x:c r="G921" s="9"/>
      <x:c r="H921" s="9"/>
      <x:c r="I921" s="9"/>
      <x:c r="J921" s="9"/>
      <x:c r="K921" s="9"/>
      <x:c r="L921" s="9"/>
      <x:c r="M921" s="9"/>
      <x:c r="N921" s="9"/>
      <x:c r="O921" s="9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  <x:c r="AA921" s="9"/>
      <x:c r="AB921" s="9"/>
      <x:c r="AC921" s="9"/>
      <x:c r="AD921" s="9"/>
      <x:c r="AE921" s="2"/>
      <x:c r="AF921" s="9"/>
      <x:c r="AG921" s="9"/>
      <x:c r="AH921" s="2"/>
    </x:row>
    <x:row r="922" ht="14.25" customHeight="1">
      <x:c r="A922" s="2"/>
      <x:c r="B922" s="9"/>
      <x:c r="C922" s="9"/>
      <x:c r="D922" s="9"/>
      <x:c r="E922" s="9"/>
      <x:c r="F922" s="9"/>
      <x:c r="G922" s="9"/>
      <x:c r="H922" s="9"/>
      <x:c r="I922" s="9"/>
      <x:c r="J922" s="9"/>
      <x:c r="K922" s="9"/>
      <x:c r="L922" s="9"/>
      <x:c r="M922" s="9"/>
      <x:c r="N922" s="9"/>
      <x:c r="O922" s="9"/>
      <x:c r="P922" s="9"/>
      <x:c r="Q922" s="9"/>
      <x:c r="R922" s="9"/>
      <x:c r="S922" s="9"/>
      <x:c r="T922" s="9"/>
      <x:c r="U922" s="9"/>
      <x:c r="V922" s="9"/>
      <x:c r="W922" s="9"/>
      <x:c r="X922" s="9"/>
      <x:c r="Y922" s="9"/>
      <x:c r="Z922" s="9"/>
      <x:c r="AA922" s="9"/>
      <x:c r="AB922" s="9"/>
      <x:c r="AC922" s="9"/>
      <x:c r="AD922" s="9"/>
      <x:c r="AE922" s="2"/>
      <x:c r="AF922" s="9"/>
      <x:c r="AG922" s="9"/>
      <x:c r="AH922" s="2"/>
    </x:row>
    <x:row r="923" ht="14.25" customHeight="1">
      <x:c r="A923" s="2"/>
      <x:c r="B923" s="9"/>
      <x:c r="C923" s="9"/>
      <x:c r="D923" s="9"/>
      <x:c r="E923" s="9"/>
      <x:c r="F923" s="9"/>
      <x:c r="G923" s="9"/>
      <x:c r="H923" s="9"/>
      <x:c r="I923" s="9"/>
      <x:c r="J923" s="9"/>
      <x:c r="K923" s="9"/>
      <x:c r="L923" s="9"/>
      <x:c r="M923" s="9"/>
      <x:c r="N923" s="9"/>
      <x:c r="O923" s="9"/>
      <x:c r="P923" s="9"/>
      <x:c r="Q923" s="9"/>
      <x:c r="R923" s="9"/>
      <x:c r="S923" s="9"/>
      <x:c r="T923" s="9"/>
      <x:c r="U923" s="9"/>
      <x:c r="V923" s="9"/>
      <x:c r="W923" s="9"/>
      <x:c r="X923" s="9"/>
      <x:c r="Y923" s="9"/>
      <x:c r="Z923" s="9"/>
      <x:c r="AA923" s="9"/>
      <x:c r="AB923" s="9"/>
      <x:c r="AC923" s="9"/>
      <x:c r="AD923" s="9"/>
      <x:c r="AE923" s="2"/>
      <x:c r="AF923" s="9"/>
      <x:c r="AG923" s="9"/>
      <x:c r="AH923" s="2"/>
    </x:row>
    <x:row r="924" ht="14.25" customHeight="1">
      <x:c r="A924" s="2"/>
      <x:c r="B924" s="9"/>
      <x:c r="C924" s="9"/>
      <x:c r="D924" s="9"/>
      <x:c r="E924" s="9"/>
      <x:c r="F924" s="9"/>
      <x:c r="G924" s="9"/>
      <x:c r="H924" s="9"/>
      <x:c r="I924" s="9"/>
      <x:c r="J924" s="9"/>
      <x:c r="K924" s="9"/>
      <x:c r="L924" s="9"/>
      <x:c r="M924" s="9"/>
      <x:c r="N924" s="9"/>
      <x:c r="O924" s="9"/>
      <x:c r="P924" s="9"/>
      <x:c r="Q924" s="9"/>
      <x:c r="R924" s="9"/>
      <x:c r="S924" s="9"/>
      <x:c r="T924" s="9"/>
      <x:c r="U924" s="9"/>
      <x:c r="V924" s="9"/>
      <x:c r="W924" s="9"/>
      <x:c r="X924" s="9"/>
      <x:c r="Y924" s="9"/>
      <x:c r="Z924" s="9"/>
      <x:c r="AA924" s="9"/>
      <x:c r="AB924" s="9"/>
      <x:c r="AC924" s="9"/>
      <x:c r="AD924" s="9"/>
      <x:c r="AE924" s="2"/>
      <x:c r="AF924" s="9"/>
      <x:c r="AG924" s="9"/>
      <x:c r="AH924" s="2"/>
    </x:row>
    <x:row r="925" ht="14.25" customHeight="1">
      <x:c r="A925" s="2"/>
      <x:c r="B925" s="9"/>
      <x:c r="C925" s="9"/>
      <x:c r="D925" s="9"/>
      <x:c r="E925" s="9"/>
      <x:c r="F925" s="9"/>
      <x:c r="G925" s="9"/>
      <x:c r="H925" s="9"/>
      <x:c r="I925" s="9"/>
      <x:c r="J925" s="9"/>
      <x:c r="K925" s="9"/>
      <x:c r="L925" s="9"/>
      <x:c r="M925" s="9"/>
      <x:c r="N925" s="9"/>
      <x:c r="O925" s="9"/>
      <x:c r="P925" s="9"/>
      <x:c r="Q925" s="9"/>
      <x:c r="R925" s="9"/>
      <x:c r="S925" s="9"/>
      <x:c r="T925" s="9"/>
      <x:c r="U925" s="9"/>
      <x:c r="V925" s="9"/>
      <x:c r="W925" s="9"/>
      <x:c r="X925" s="9"/>
      <x:c r="Y925" s="9"/>
      <x:c r="Z925" s="9"/>
      <x:c r="AA925" s="9"/>
      <x:c r="AB925" s="9"/>
      <x:c r="AC925" s="9"/>
      <x:c r="AD925" s="9"/>
      <x:c r="AE925" s="2"/>
      <x:c r="AF925" s="9"/>
      <x:c r="AG925" s="9"/>
      <x:c r="AH925" s="2"/>
    </x:row>
    <x:row r="926" ht="14.25" customHeight="1">
      <x:c r="A926" s="2"/>
      <x:c r="B926" s="9"/>
      <x:c r="C926" s="9"/>
      <x:c r="D926" s="9"/>
      <x:c r="E926" s="9"/>
      <x:c r="F926" s="9"/>
      <x:c r="G926" s="9"/>
      <x:c r="H926" s="9"/>
      <x:c r="I926" s="9"/>
      <x:c r="J926" s="9"/>
      <x:c r="K926" s="9"/>
      <x:c r="L926" s="9"/>
      <x:c r="M926" s="9"/>
      <x:c r="N926" s="9"/>
      <x:c r="O926" s="9"/>
      <x:c r="P926" s="9"/>
      <x:c r="Q926" s="9"/>
      <x:c r="R926" s="9"/>
      <x:c r="S926" s="9"/>
      <x:c r="T926" s="9"/>
      <x:c r="U926" s="9"/>
      <x:c r="V926" s="9"/>
      <x:c r="W926" s="9"/>
      <x:c r="X926" s="9"/>
      <x:c r="Y926" s="9"/>
      <x:c r="Z926" s="9"/>
      <x:c r="AA926" s="9"/>
      <x:c r="AB926" s="9"/>
      <x:c r="AC926" s="9"/>
      <x:c r="AD926" s="9"/>
      <x:c r="AE926" s="2"/>
      <x:c r="AF926" s="9"/>
      <x:c r="AG926" s="9"/>
      <x:c r="AH926" s="2"/>
    </x:row>
    <x:row r="927" ht="14.25" customHeight="1">
      <x:c r="A927" s="2"/>
      <x:c r="B927" s="9"/>
      <x:c r="C927" s="9"/>
      <x:c r="D927" s="9"/>
      <x:c r="E927" s="9"/>
      <x:c r="F927" s="9"/>
      <x:c r="G927" s="9"/>
      <x:c r="H927" s="9"/>
      <x:c r="I927" s="9"/>
      <x:c r="J927" s="9"/>
      <x:c r="K927" s="9"/>
      <x:c r="L927" s="9"/>
      <x:c r="M927" s="9"/>
      <x:c r="N927" s="9"/>
      <x:c r="O927" s="9"/>
      <x:c r="P927" s="9"/>
      <x:c r="Q927" s="9"/>
      <x:c r="R927" s="9"/>
      <x:c r="S927" s="9"/>
      <x:c r="T927" s="9"/>
      <x:c r="U927" s="9"/>
      <x:c r="V927" s="9"/>
      <x:c r="W927" s="9"/>
      <x:c r="X927" s="9"/>
      <x:c r="Y927" s="9"/>
      <x:c r="Z927" s="9"/>
      <x:c r="AA927" s="9"/>
      <x:c r="AB927" s="9"/>
      <x:c r="AC927" s="9"/>
      <x:c r="AD927" s="9"/>
      <x:c r="AE927" s="2"/>
      <x:c r="AF927" s="9"/>
      <x:c r="AG927" s="9"/>
      <x:c r="AH927" s="2"/>
    </x:row>
    <x:row r="928" ht="14.25" customHeight="1">
      <x:c r="A928" s="2"/>
      <x:c r="B928" s="9"/>
      <x:c r="C928" s="9"/>
      <x:c r="D928" s="9"/>
      <x:c r="E928" s="9"/>
      <x:c r="F928" s="9"/>
      <x:c r="G928" s="9"/>
      <x:c r="H928" s="9"/>
      <x:c r="I928" s="9"/>
      <x:c r="J928" s="9"/>
      <x:c r="K928" s="9"/>
      <x:c r="L928" s="9"/>
      <x:c r="M928" s="9"/>
      <x:c r="N928" s="9"/>
      <x:c r="O928" s="9"/>
      <x:c r="P928" s="9"/>
      <x:c r="Q928" s="9"/>
      <x:c r="R928" s="9"/>
      <x:c r="S928" s="9"/>
      <x:c r="T928" s="9"/>
      <x:c r="U928" s="9"/>
      <x:c r="V928" s="9"/>
      <x:c r="W928" s="9"/>
      <x:c r="X928" s="9"/>
      <x:c r="Y928" s="9"/>
      <x:c r="Z928" s="9"/>
      <x:c r="AA928" s="9"/>
      <x:c r="AB928" s="9"/>
      <x:c r="AC928" s="9"/>
      <x:c r="AD928" s="9"/>
      <x:c r="AE928" s="2"/>
      <x:c r="AF928" s="9"/>
      <x:c r="AG928" s="9"/>
      <x:c r="AH928" s="2"/>
    </x:row>
    <x:row r="929" ht="14.25" customHeight="1">
      <x:c r="A929" s="2"/>
      <x:c r="B929" s="9"/>
      <x:c r="C929" s="9"/>
      <x:c r="D929" s="9"/>
      <x:c r="E929" s="9"/>
      <x:c r="F929" s="9"/>
      <x:c r="G929" s="9"/>
      <x:c r="H929" s="9"/>
      <x:c r="I929" s="9"/>
      <x:c r="J929" s="9"/>
      <x:c r="K929" s="9"/>
      <x:c r="L929" s="9"/>
      <x:c r="M929" s="9"/>
      <x:c r="N929" s="9"/>
      <x:c r="O929" s="9"/>
      <x:c r="P929" s="9"/>
      <x:c r="Q929" s="9"/>
      <x:c r="R929" s="9"/>
      <x:c r="S929" s="9"/>
      <x:c r="T929" s="9"/>
      <x:c r="U929" s="9"/>
      <x:c r="V929" s="9"/>
      <x:c r="W929" s="9"/>
      <x:c r="X929" s="9"/>
      <x:c r="Y929" s="9"/>
      <x:c r="Z929" s="9"/>
      <x:c r="AA929" s="9"/>
      <x:c r="AB929" s="9"/>
      <x:c r="AC929" s="9"/>
      <x:c r="AD929" s="9"/>
      <x:c r="AE929" s="2"/>
      <x:c r="AF929" s="9"/>
      <x:c r="AG929" s="9"/>
      <x:c r="AH929" s="2"/>
    </x:row>
    <x:row r="930" ht="14.25" customHeight="1">
      <x:c r="A930" s="2"/>
      <x:c r="B930" s="9"/>
      <x:c r="C930" s="9"/>
      <x:c r="D930" s="9"/>
      <x:c r="E930" s="9"/>
      <x:c r="F930" s="9"/>
      <x:c r="G930" s="9"/>
      <x:c r="H930" s="9"/>
      <x:c r="I930" s="9"/>
      <x:c r="J930" s="9"/>
      <x:c r="K930" s="9"/>
      <x:c r="L930" s="9"/>
      <x:c r="M930" s="9"/>
      <x:c r="N930" s="9"/>
      <x:c r="O930" s="9"/>
      <x:c r="P930" s="9"/>
      <x:c r="Q930" s="9"/>
      <x:c r="R930" s="9"/>
      <x:c r="S930" s="9"/>
      <x:c r="T930" s="9"/>
      <x:c r="U930" s="9"/>
      <x:c r="V930" s="9"/>
      <x:c r="W930" s="9"/>
      <x:c r="X930" s="9"/>
      <x:c r="Y930" s="9"/>
      <x:c r="Z930" s="9"/>
      <x:c r="AA930" s="9"/>
      <x:c r="AB930" s="9"/>
      <x:c r="AC930" s="9"/>
      <x:c r="AD930" s="9"/>
      <x:c r="AE930" s="2"/>
      <x:c r="AF930" s="9"/>
      <x:c r="AG930" s="9"/>
      <x:c r="AH930" s="2"/>
    </x:row>
    <x:row r="931" ht="14.25" customHeight="1">
      <x:c r="A931" s="2"/>
      <x:c r="B931" s="9"/>
      <x:c r="C931" s="9"/>
      <x:c r="D931" s="9"/>
      <x:c r="E931" s="9"/>
      <x:c r="F931" s="9"/>
      <x:c r="G931" s="9"/>
      <x:c r="H931" s="9"/>
      <x:c r="I931" s="9"/>
      <x:c r="J931" s="9"/>
      <x:c r="K931" s="9"/>
      <x:c r="L931" s="9"/>
      <x:c r="M931" s="9"/>
      <x:c r="N931" s="9"/>
      <x:c r="O931" s="9"/>
      <x:c r="P931" s="9"/>
      <x:c r="Q931" s="9"/>
      <x:c r="R931" s="9"/>
      <x:c r="S931" s="9"/>
      <x:c r="T931" s="9"/>
      <x:c r="U931" s="9"/>
      <x:c r="V931" s="9"/>
      <x:c r="W931" s="9"/>
      <x:c r="X931" s="9"/>
      <x:c r="Y931" s="9"/>
      <x:c r="Z931" s="9"/>
      <x:c r="AA931" s="9"/>
      <x:c r="AB931" s="9"/>
      <x:c r="AC931" s="9"/>
      <x:c r="AD931" s="9"/>
      <x:c r="AE931" s="2"/>
      <x:c r="AF931" s="9"/>
      <x:c r="AG931" s="9"/>
      <x:c r="AH931" s="2"/>
    </x:row>
    <x:row r="932" ht="14.25" customHeight="1">
      <x:c r="A932" s="2"/>
      <x:c r="B932" s="9"/>
      <x:c r="C932" s="9"/>
      <x:c r="D932" s="9"/>
      <x:c r="E932" s="9"/>
      <x:c r="F932" s="9"/>
      <x:c r="G932" s="9"/>
      <x:c r="H932" s="9"/>
      <x:c r="I932" s="9"/>
      <x:c r="J932" s="9"/>
      <x:c r="K932" s="9"/>
      <x:c r="L932" s="9"/>
      <x:c r="M932" s="9"/>
      <x:c r="N932" s="9"/>
      <x:c r="O932" s="9"/>
      <x:c r="P932" s="9"/>
      <x:c r="Q932" s="9"/>
      <x:c r="R932" s="9"/>
      <x:c r="S932" s="9"/>
      <x:c r="T932" s="9"/>
      <x:c r="U932" s="9"/>
      <x:c r="V932" s="9"/>
      <x:c r="W932" s="9"/>
      <x:c r="X932" s="9"/>
      <x:c r="Y932" s="9"/>
      <x:c r="Z932" s="9"/>
      <x:c r="AA932" s="9"/>
      <x:c r="AB932" s="9"/>
      <x:c r="AC932" s="9"/>
      <x:c r="AD932" s="9"/>
      <x:c r="AE932" s="2"/>
      <x:c r="AF932" s="9"/>
      <x:c r="AG932" s="9"/>
      <x:c r="AH932" s="2"/>
    </x:row>
    <x:row r="933" ht="14.25" customHeight="1">
      <x:c r="A933" s="2"/>
      <x:c r="B933" s="9"/>
      <x:c r="C933" s="9"/>
      <x:c r="D933" s="9"/>
      <x:c r="E933" s="9"/>
      <x:c r="F933" s="9"/>
      <x:c r="G933" s="9"/>
      <x:c r="H933" s="9"/>
      <x:c r="I933" s="9"/>
      <x:c r="J933" s="9"/>
      <x:c r="K933" s="9"/>
      <x:c r="L933" s="9"/>
      <x:c r="M933" s="9"/>
      <x:c r="N933" s="9"/>
      <x:c r="O933" s="9"/>
      <x:c r="P933" s="9"/>
      <x:c r="Q933" s="9"/>
      <x:c r="R933" s="9"/>
      <x:c r="S933" s="9"/>
      <x:c r="T933" s="9"/>
      <x:c r="U933" s="9"/>
      <x:c r="V933" s="9"/>
      <x:c r="W933" s="9"/>
      <x:c r="X933" s="9"/>
      <x:c r="Y933" s="9"/>
      <x:c r="Z933" s="9"/>
      <x:c r="AA933" s="9"/>
      <x:c r="AB933" s="9"/>
      <x:c r="AC933" s="9"/>
      <x:c r="AD933" s="9"/>
      <x:c r="AE933" s="2"/>
      <x:c r="AF933" s="9"/>
      <x:c r="AG933" s="9"/>
      <x:c r="AH933" s="2"/>
    </x:row>
    <x:row r="934" ht="14.25" customHeight="1">
      <x:c r="A934" s="2"/>
      <x:c r="B934" s="9"/>
      <x:c r="C934" s="9"/>
      <x:c r="D934" s="9"/>
      <x:c r="E934" s="9"/>
      <x:c r="F934" s="9"/>
      <x:c r="G934" s="9"/>
      <x:c r="H934" s="9"/>
      <x:c r="I934" s="9"/>
      <x:c r="J934" s="9"/>
      <x:c r="K934" s="9"/>
      <x:c r="L934" s="9"/>
      <x:c r="M934" s="9"/>
      <x:c r="N934" s="9"/>
      <x:c r="O934" s="9"/>
      <x:c r="P934" s="9"/>
      <x:c r="Q934" s="9"/>
      <x:c r="R934" s="9"/>
      <x:c r="S934" s="9"/>
      <x:c r="T934" s="9"/>
      <x:c r="U934" s="9"/>
      <x:c r="V934" s="9"/>
      <x:c r="W934" s="9"/>
      <x:c r="X934" s="9"/>
      <x:c r="Y934" s="9"/>
      <x:c r="Z934" s="9"/>
      <x:c r="AA934" s="9"/>
      <x:c r="AB934" s="9"/>
      <x:c r="AC934" s="9"/>
      <x:c r="AD934" s="9"/>
      <x:c r="AE934" s="2"/>
      <x:c r="AF934" s="9"/>
      <x:c r="AG934" s="9"/>
      <x:c r="AH934" s="2"/>
    </x:row>
    <x:row r="935" ht="14.25" customHeight="1">
      <x:c r="A935" s="2"/>
      <x:c r="B935" s="9"/>
      <x:c r="C935" s="9"/>
      <x:c r="D935" s="9"/>
      <x:c r="E935" s="9"/>
      <x:c r="F935" s="9"/>
      <x:c r="G935" s="9"/>
      <x:c r="H935" s="9"/>
      <x:c r="I935" s="9"/>
      <x:c r="J935" s="9"/>
      <x:c r="K935" s="9"/>
      <x:c r="L935" s="9"/>
      <x:c r="M935" s="9"/>
      <x:c r="N935" s="9"/>
      <x:c r="O935" s="9"/>
      <x:c r="P935" s="9"/>
      <x:c r="Q935" s="9"/>
      <x:c r="R935" s="9"/>
      <x:c r="S935" s="9"/>
      <x:c r="T935" s="9"/>
      <x:c r="U935" s="9"/>
      <x:c r="V935" s="9"/>
      <x:c r="W935" s="9"/>
      <x:c r="X935" s="9"/>
      <x:c r="Y935" s="9"/>
      <x:c r="Z935" s="9"/>
      <x:c r="AA935" s="9"/>
      <x:c r="AB935" s="9"/>
      <x:c r="AC935" s="9"/>
      <x:c r="AD935" s="9"/>
      <x:c r="AE935" s="2"/>
      <x:c r="AF935" s="9"/>
      <x:c r="AG935" s="9"/>
      <x:c r="AH935" s="2"/>
    </x:row>
    <x:row r="936" ht="14.25" customHeight="1">
      <x:c r="A936" s="2"/>
      <x:c r="B936" s="9"/>
      <x:c r="C936" s="9"/>
      <x:c r="D936" s="9"/>
      <x:c r="E936" s="9"/>
      <x:c r="F936" s="9"/>
      <x:c r="G936" s="9"/>
      <x:c r="H936" s="9"/>
      <x:c r="I936" s="9"/>
      <x:c r="J936" s="9"/>
      <x:c r="K936" s="9"/>
      <x:c r="L936" s="9"/>
      <x:c r="M936" s="9"/>
      <x:c r="N936" s="9"/>
      <x:c r="O936" s="9"/>
      <x:c r="P936" s="9"/>
      <x:c r="Q936" s="9"/>
      <x:c r="R936" s="9"/>
      <x:c r="S936" s="9"/>
      <x:c r="T936" s="9"/>
      <x:c r="U936" s="9"/>
      <x:c r="V936" s="9"/>
      <x:c r="W936" s="9"/>
      <x:c r="X936" s="9"/>
      <x:c r="Y936" s="9"/>
      <x:c r="Z936" s="9"/>
      <x:c r="AA936" s="9"/>
      <x:c r="AB936" s="9"/>
      <x:c r="AC936" s="9"/>
      <x:c r="AD936" s="9"/>
      <x:c r="AE936" s="2"/>
      <x:c r="AF936" s="9"/>
      <x:c r="AG936" s="9"/>
      <x:c r="AH936" s="2"/>
    </x:row>
    <x:row r="937" ht="14.25" customHeight="1">
      <x:c r="A937" s="2"/>
      <x:c r="B937" s="9"/>
      <x:c r="C937" s="9"/>
      <x:c r="D937" s="9"/>
      <x:c r="E937" s="9"/>
      <x:c r="F937" s="9"/>
      <x:c r="G937" s="9"/>
      <x:c r="H937" s="9"/>
      <x:c r="I937" s="9"/>
      <x:c r="J937" s="9"/>
      <x:c r="K937" s="9"/>
      <x:c r="L937" s="9"/>
      <x:c r="M937" s="9"/>
      <x:c r="N937" s="9"/>
      <x:c r="O937" s="9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  <x:c r="AA937" s="9"/>
      <x:c r="AB937" s="9"/>
      <x:c r="AC937" s="9"/>
      <x:c r="AD937" s="9"/>
      <x:c r="AE937" s="2"/>
      <x:c r="AF937" s="9"/>
      <x:c r="AG937" s="9"/>
      <x:c r="AH937" s="2"/>
    </x:row>
    <x:row r="938" ht="14.25" customHeight="1">
      <x:c r="A938" s="2"/>
      <x:c r="B938" s="9"/>
      <x:c r="C938" s="9"/>
      <x:c r="D938" s="9"/>
      <x:c r="E938" s="9"/>
      <x:c r="F938" s="9"/>
      <x:c r="G938" s="9"/>
      <x:c r="H938" s="9"/>
      <x:c r="I938" s="9"/>
      <x:c r="J938" s="9"/>
      <x:c r="K938" s="9"/>
      <x:c r="L938" s="9"/>
      <x:c r="M938" s="9"/>
      <x:c r="N938" s="9"/>
      <x:c r="O938" s="9"/>
      <x:c r="P938" s="9"/>
      <x:c r="Q938" s="9"/>
      <x:c r="R938" s="9"/>
      <x:c r="S938" s="9"/>
      <x:c r="T938" s="9"/>
      <x:c r="U938" s="9"/>
      <x:c r="V938" s="9"/>
      <x:c r="W938" s="9"/>
      <x:c r="X938" s="9"/>
      <x:c r="Y938" s="9"/>
      <x:c r="Z938" s="9"/>
      <x:c r="AA938" s="9"/>
      <x:c r="AB938" s="9"/>
      <x:c r="AC938" s="9"/>
      <x:c r="AD938" s="9"/>
      <x:c r="AE938" s="2"/>
      <x:c r="AF938" s="9"/>
      <x:c r="AG938" s="9"/>
      <x:c r="AH938" s="2"/>
    </x:row>
    <x:row r="939" ht="14.25" customHeight="1">
      <x:c r="A939" s="2"/>
      <x:c r="B939" s="9"/>
      <x:c r="C939" s="9"/>
      <x:c r="D939" s="9"/>
      <x:c r="E939" s="9"/>
      <x:c r="F939" s="9"/>
      <x:c r="G939" s="9"/>
      <x:c r="H939" s="9"/>
      <x:c r="I939" s="9"/>
      <x:c r="J939" s="9"/>
      <x:c r="K939" s="9"/>
      <x:c r="L939" s="9"/>
      <x:c r="M939" s="9"/>
      <x:c r="N939" s="9"/>
      <x:c r="O939" s="9"/>
      <x:c r="P939" s="9"/>
      <x:c r="Q939" s="9"/>
      <x:c r="R939" s="9"/>
      <x:c r="S939" s="9"/>
      <x:c r="T939" s="9"/>
      <x:c r="U939" s="9"/>
      <x:c r="V939" s="9"/>
      <x:c r="W939" s="9"/>
      <x:c r="X939" s="9"/>
      <x:c r="Y939" s="9"/>
      <x:c r="Z939" s="9"/>
      <x:c r="AA939" s="9"/>
      <x:c r="AB939" s="9"/>
      <x:c r="AC939" s="9"/>
      <x:c r="AD939" s="9"/>
      <x:c r="AE939" s="2"/>
      <x:c r="AF939" s="9"/>
      <x:c r="AG939" s="9"/>
      <x:c r="AH939" s="2"/>
    </x:row>
    <x:row r="940" ht="14.25" customHeight="1">
      <x:c r="A940" s="2"/>
      <x:c r="B940" s="9"/>
      <x:c r="C940" s="9"/>
      <x:c r="D940" s="9"/>
      <x:c r="E940" s="9"/>
      <x:c r="F940" s="9"/>
      <x:c r="G940" s="9"/>
      <x:c r="H940" s="9"/>
      <x:c r="I940" s="9"/>
      <x:c r="J940" s="9"/>
      <x:c r="K940" s="9"/>
      <x:c r="L940" s="9"/>
      <x:c r="M940" s="9"/>
      <x:c r="N940" s="9"/>
      <x:c r="O940" s="9"/>
      <x:c r="P940" s="9"/>
      <x:c r="Q940" s="9"/>
      <x:c r="R940" s="9"/>
      <x:c r="S940" s="9"/>
      <x:c r="T940" s="9"/>
      <x:c r="U940" s="9"/>
      <x:c r="V940" s="9"/>
      <x:c r="W940" s="9"/>
      <x:c r="X940" s="9"/>
      <x:c r="Y940" s="9"/>
      <x:c r="Z940" s="9"/>
      <x:c r="AA940" s="9"/>
      <x:c r="AB940" s="9"/>
      <x:c r="AC940" s="9"/>
      <x:c r="AD940" s="9"/>
      <x:c r="AE940" s="2"/>
      <x:c r="AF940" s="9"/>
      <x:c r="AG940" s="9"/>
      <x:c r="AH940" s="2"/>
    </x:row>
    <x:row r="941" ht="14.25" customHeight="1">
      <x:c r="A941" s="2"/>
      <x:c r="B941" s="9"/>
      <x:c r="C941" s="9"/>
      <x:c r="D941" s="9"/>
      <x:c r="E941" s="9"/>
      <x:c r="F941" s="9"/>
      <x:c r="G941" s="9"/>
      <x:c r="H941" s="9"/>
      <x:c r="I941" s="9"/>
      <x:c r="J941" s="9"/>
      <x:c r="K941" s="9"/>
      <x:c r="L941" s="9"/>
      <x:c r="M941" s="9"/>
      <x:c r="N941" s="9"/>
      <x:c r="O941" s="9"/>
      <x:c r="P941" s="9"/>
      <x:c r="Q941" s="9"/>
      <x:c r="R941" s="9"/>
      <x:c r="S941" s="9"/>
      <x:c r="T941" s="9"/>
      <x:c r="U941" s="9"/>
      <x:c r="V941" s="9"/>
      <x:c r="W941" s="9"/>
      <x:c r="X941" s="9"/>
      <x:c r="Y941" s="9"/>
      <x:c r="Z941" s="9"/>
      <x:c r="AA941" s="9"/>
      <x:c r="AB941" s="9"/>
      <x:c r="AC941" s="9"/>
      <x:c r="AD941" s="9"/>
      <x:c r="AE941" s="2"/>
      <x:c r="AF941" s="9"/>
      <x:c r="AG941" s="9"/>
      <x:c r="AH941" s="2"/>
    </x:row>
    <x:row r="942" ht="14.25" customHeight="1">
      <x:c r="A942" s="2"/>
      <x:c r="B942" s="9"/>
      <x:c r="C942" s="9"/>
      <x:c r="D942" s="9"/>
      <x:c r="E942" s="9"/>
      <x:c r="F942" s="9"/>
      <x:c r="G942" s="9"/>
      <x:c r="H942" s="9"/>
      <x:c r="I942" s="9"/>
      <x:c r="J942" s="9"/>
      <x:c r="K942" s="9"/>
      <x:c r="L942" s="9"/>
      <x:c r="M942" s="9"/>
      <x:c r="N942" s="9"/>
      <x:c r="O942" s="9"/>
      <x:c r="P942" s="9"/>
      <x:c r="Q942" s="9"/>
      <x:c r="R942" s="9"/>
      <x:c r="S942" s="9"/>
      <x:c r="T942" s="9"/>
      <x:c r="U942" s="9"/>
      <x:c r="V942" s="9"/>
      <x:c r="W942" s="9"/>
      <x:c r="X942" s="9"/>
      <x:c r="Y942" s="9"/>
      <x:c r="Z942" s="9"/>
      <x:c r="AA942" s="9"/>
      <x:c r="AB942" s="9"/>
      <x:c r="AC942" s="9"/>
      <x:c r="AD942" s="9"/>
      <x:c r="AE942" s="2"/>
      <x:c r="AF942" s="9"/>
      <x:c r="AG942" s="9"/>
      <x:c r="AH942" s="2"/>
    </x:row>
    <x:row r="943" ht="14.25" customHeight="1">
      <x:c r="A943" s="2"/>
      <x:c r="B943" s="9"/>
      <x:c r="C943" s="9"/>
      <x:c r="D943" s="9"/>
      <x:c r="E943" s="9"/>
      <x:c r="F943" s="9"/>
      <x:c r="G943" s="9"/>
      <x:c r="H943" s="9"/>
      <x:c r="I943" s="9"/>
      <x:c r="J943" s="9"/>
      <x:c r="K943" s="9"/>
      <x:c r="L943" s="9"/>
      <x:c r="M943" s="9"/>
      <x:c r="N943" s="9"/>
      <x:c r="O943" s="9"/>
      <x:c r="P943" s="9"/>
      <x:c r="Q943" s="9"/>
      <x:c r="R943" s="9"/>
      <x:c r="S943" s="9"/>
      <x:c r="T943" s="9"/>
      <x:c r="U943" s="9"/>
      <x:c r="V943" s="9"/>
      <x:c r="W943" s="9"/>
      <x:c r="X943" s="9"/>
      <x:c r="Y943" s="9"/>
      <x:c r="Z943" s="9"/>
      <x:c r="AA943" s="9"/>
      <x:c r="AB943" s="9"/>
      <x:c r="AC943" s="9"/>
      <x:c r="AD943" s="9"/>
      <x:c r="AE943" s="2"/>
      <x:c r="AF943" s="9"/>
      <x:c r="AG943" s="9"/>
      <x:c r="AH943" s="2"/>
    </x:row>
    <x:row r="944" ht="14.25" customHeight="1">
      <x:c r="A944" s="2"/>
      <x:c r="B944" s="9"/>
      <x:c r="C944" s="9"/>
      <x:c r="D944" s="9"/>
      <x:c r="E944" s="9"/>
      <x:c r="F944" s="9"/>
      <x:c r="G944" s="9"/>
      <x:c r="H944" s="9"/>
      <x:c r="I944" s="9"/>
      <x:c r="J944" s="9"/>
      <x:c r="K944" s="9"/>
      <x:c r="L944" s="9"/>
      <x:c r="M944" s="9"/>
      <x:c r="N944" s="9"/>
      <x:c r="O944" s="9"/>
      <x:c r="P944" s="9"/>
      <x:c r="Q944" s="9"/>
      <x:c r="R944" s="9"/>
      <x:c r="S944" s="9"/>
      <x:c r="T944" s="9"/>
      <x:c r="U944" s="9"/>
      <x:c r="V944" s="9"/>
      <x:c r="W944" s="9"/>
      <x:c r="X944" s="9"/>
      <x:c r="Y944" s="9"/>
      <x:c r="Z944" s="9"/>
      <x:c r="AA944" s="9"/>
      <x:c r="AB944" s="9"/>
      <x:c r="AC944" s="9"/>
      <x:c r="AD944" s="9"/>
      <x:c r="AE944" s="2"/>
      <x:c r="AF944" s="9"/>
      <x:c r="AG944" s="9"/>
      <x:c r="AH944" s="2"/>
    </x:row>
    <x:row r="945" ht="14.25" customHeight="1">
      <x:c r="A945" s="2"/>
      <x:c r="B945" s="9"/>
      <x:c r="C945" s="9"/>
      <x:c r="D945" s="9"/>
      <x:c r="E945" s="9"/>
      <x:c r="F945" s="9"/>
      <x:c r="G945" s="9"/>
      <x:c r="H945" s="9"/>
      <x:c r="I945" s="9"/>
      <x:c r="J945" s="9"/>
      <x:c r="K945" s="9"/>
      <x:c r="L945" s="9"/>
      <x:c r="M945" s="9"/>
      <x:c r="N945" s="9"/>
      <x:c r="O945" s="9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  <x:c r="AA945" s="9"/>
      <x:c r="AB945" s="9"/>
      <x:c r="AC945" s="9"/>
      <x:c r="AD945" s="9"/>
      <x:c r="AE945" s="2"/>
      <x:c r="AF945" s="9"/>
      <x:c r="AG945" s="9"/>
      <x:c r="AH945" s="2"/>
    </x:row>
    <x:row r="946" ht="14.25" customHeight="1">
      <x:c r="A946" s="2"/>
      <x:c r="B946" s="9"/>
      <x:c r="C946" s="9"/>
      <x:c r="D946" s="9"/>
      <x:c r="E946" s="9"/>
      <x:c r="F946" s="9"/>
      <x:c r="G946" s="9"/>
      <x:c r="H946" s="9"/>
      <x:c r="I946" s="9"/>
      <x:c r="J946" s="9"/>
      <x:c r="K946" s="9"/>
      <x:c r="L946" s="9"/>
      <x:c r="M946" s="9"/>
      <x:c r="N946" s="9"/>
      <x:c r="O946" s="9"/>
      <x:c r="P946" s="9"/>
      <x:c r="Q946" s="9"/>
      <x:c r="R946" s="9"/>
      <x:c r="S946" s="9"/>
      <x:c r="T946" s="9"/>
      <x:c r="U946" s="9"/>
      <x:c r="V946" s="9"/>
      <x:c r="W946" s="9"/>
      <x:c r="X946" s="9"/>
      <x:c r="Y946" s="9"/>
      <x:c r="Z946" s="9"/>
      <x:c r="AA946" s="9"/>
      <x:c r="AB946" s="9"/>
      <x:c r="AC946" s="9"/>
      <x:c r="AD946" s="9"/>
      <x:c r="AE946" s="2"/>
      <x:c r="AF946" s="9"/>
      <x:c r="AG946" s="9"/>
      <x:c r="AH946" s="2"/>
    </x:row>
    <x:row r="947" ht="14.25" customHeight="1">
      <x:c r="A947" s="2"/>
      <x:c r="B947" s="9"/>
      <x:c r="C947" s="9"/>
      <x:c r="D947" s="9"/>
      <x:c r="E947" s="9"/>
      <x:c r="F947" s="9"/>
      <x:c r="G947" s="9"/>
      <x:c r="H947" s="9"/>
      <x:c r="I947" s="9"/>
      <x:c r="J947" s="9"/>
      <x:c r="K947" s="9"/>
      <x:c r="L947" s="9"/>
      <x:c r="M947" s="9"/>
      <x:c r="N947" s="9"/>
      <x:c r="O947" s="9"/>
      <x:c r="P947" s="9"/>
      <x:c r="Q947" s="9"/>
      <x:c r="R947" s="9"/>
      <x:c r="S947" s="9"/>
      <x:c r="T947" s="9"/>
      <x:c r="U947" s="9"/>
      <x:c r="V947" s="9"/>
      <x:c r="W947" s="9"/>
      <x:c r="X947" s="9"/>
      <x:c r="Y947" s="9"/>
      <x:c r="Z947" s="9"/>
      <x:c r="AA947" s="9"/>
      <x:c r="AB947" s="9"/>
      <x:c r="AC947" s="9"/>
      <x:c r="AD947" s="9"/>
      <x:c r="AE947" s="2"/>
      <x:c r="AF947" s="9"/>
      <x:c r="AG947" s="9"/>
      <x:c r="AH947" s="2"/>
    </x:row>
    <x:row r="948" ht="14.25" customHeight="1">
      <x:c r="A948" s="2"/>
      <x:c r="B948" s="9"/>
      <x:c r="C948" s="9"/>
      <x:c r="D948" s="9"/>
      <x:c r="E948" s="9"/>
      <x:c r="F948" s="9"/>
      <x:c r="G948" s="9"/>
      <x:c r="H948" s="9"/>
      <x:c r="I948" s="9"/>
      <x:c r="J948" s="9"/>
      <x:c r="K948" s="9"/>
      <x:c r="L948" s="9"/>
      <x:c r="M948" s="9"/>
      <x:c r="N948" s="9"/>
      <x:c r="O948" s="9"/>
      <x:c r="P948" s="9"/>
      <x:c r="Q948" s="9"/>
      <x:c r="R948" s="9"/>
      <x:c r="S948" s="9"/>
      <x:c r="T948" s="9"/>
      <x:c r="U948" s="9"/>
      <x:c r="V948" s="9"/>
      <x:c r="W948" s="9"/>
      <x:c r="X948" s="9"/>
      <x:c r="Y948" s="9"/>
      <x:c r="Z948" s="9"/>
      <x:c r="AA948" s="9"/>
      <x:c r="AB948" s="9"/>
      <x:c r="AC948" s="9"/>
      <x:c r="AD948" s="9"/>
      <x:c r="AE948" s="2"/>
      <x:c r="AF948" s="9"/>
      <x:c r="AG948" s="9"/>
      <x:c r="AH948" s="2"/>
    </x:row>
    <x:row r="949" ht="14.25" customHeight="1">
      <x:c r="A949" s="2"/>
      <x:c r="B949" s="9"/>
      <x:c r="C949" s="9"/>
      <x:c r="D949" s="9"/>
      <x:c r="E949" s="9"/>
      <x:c r="F949" s="9"/>
      <x:c r="G949" s="9"/>
      <x:c r="H949" s="9"/>
      <x:c r="I949" s="9"/>
      <x:c r="J949" s="9"/>
      <x:c r="K949" s="9"/>
      <x:c r="L949" s="9"/>
      <x:c r="M949" s="9"/>
      <x:c r="N949" s="9"/>
      <x:c r="O949" s="9"/>
      <x:c r="P949" s="9"/>
      <x:c r="Q949" s="9"/>
      <x:c r="R949" s="9"/>
      <x:c r="S949" s="9"/>
      <x:c r="T949" s="9"/>
      <x:c r="U949" s="9"/>
      <x:c r="V949" s="9"/>
      <x:c r="W949" s="9"/>
      <x:c r="X949" s="9"/>
      <x:c r="Y949" s="9"/>
      <x:c r="Z949" s="9"/>
      <x:c r="AA949" s="9"/>
      <x:c r="AB949" s="9"/>
      <x:c r="AC949" s="9"/>
      <x:c r="AD949" s="9"/>
      <x:c r="AE949" s="2"/>
      <x:c r="AF949" s="9"/>
      <x:c r="AG949" s="9"/>
      <x:c r="AH949" s="2"/>
    </x:row>
    <x:row r="950" ht="14.25" customHeight="1">
      <x:c r="A950" s="2"/>
      <x:c r="B950" s="9"/>
      <x:c r="C950" s="9"/>
      <x:c r="D950" s="9"/>
      <x:c r="E950" s="9"/>
      <x:c r="F950" s="9"/>
      <x:c r="G950" s="9"/>
      <x:c r="H950" s="9"/>
      <x:c r="I950" s="9"/>
      <x:c r="J950" s="9"/>
      <x:c r="K950" s="9"/>
      <x:c r="L950" s="9"/>
      <x:c r="M950" s="9"/>
      <x:c r="N950" s="9"/>
      <x:c r="O950" s="9"/>
      <x:c r="P950" s="9"/>
      <x:c r="Q950" s="9"/>
      <x:c r="R950" s="9"/>
      <x:c r="S950" s="9"/>
      <x:c r="T950" s="9"/>
      <x:c r="U950" s="9"/>
      <x:c r="V950" s="9"/>
      <x:c r="W950" s="9"/>
      <x:c r="X950" s="9"/>
      <x:c r="Y950" s="9"/>
      <x:c r="Z950" s="9"/>
      <x:c r="AA950" s="9"/>
      <x:c r="AB950" s="9"/>
      <x:c r="AC950" s="9"/>
      <x:c r="AD950" s="9"/>
      <x:c r="AE950" s="2"/>
      <x:c r="AF950" s="9"/>
      <x:c r="AG950" s="9"/>
      <x:c r="AH950" s="2"/>
    </x:row>
    <x:row r="951" ht="14.25" customHeight="1">
      <x:c r="A951" s="2"/>
      <x:c r="B951" s="9"/>
      <x:c r="C951" s="9"/>
      <x:c r="D951" s="9"/>
      <x:c r="E951" s="9"/>
      <x:c r="F951" s="9"/>
      <x:c r="G951" s="9"/>
      <x:c r="H951" s="9"/>
      <x:c r="I951" s="9"/>
      <x:c r="J951" s="9"/>
      <x:c r="K951" s="9"/>
      <x:c r="L951" s="9"/>
      <x:c r="M951" s="9"/>
      <x:c r="N951" s="9"/>
      <x:c r="O951" s="9"/>
      <x:c r="P951" s="9"/>
      <x:c r="Q951" s="9"/>
      <x:c r="R951" s="9"/>
      <x:c r="S951" s="9"/>
      <x:c r="T951" s="9"/>
      <x:c r="U951" s="9"/>
      <x:c r="V951" s="9"/>
      <x:c r="W951" s="9"/>
      <x:c r="X951" s="9"/>
      <x:c r="Y951" s="9"/>
      <x:c r="Z951" s="9"/>
      <x:c r="AA951" s="9"/>
      <x:c r="AB951" s="9"/>
      <x:c r="AC951" s="9"/>
      <x:c r="AD951" s="9"/>
      <x:c r="AE951" s="2"/>
      <x:c r="AF951" s="9"/>
      <x:c r="AG951" s="9"/>
      <x:c r="AH951" s="2"/>
    </x:row>
    <x:row r="952" ht="14.25" customHeight="1">
      <x:c r="A952" s="2"/>
      <x:c r="B952" s="9"/>
      <x:c r="C952" s="9"/>
      <x:c r="D952" s="9"/>
      <x:c r="E952" s="9"/>
      <x:c r="F952" s="9"/>
      <x:c r="G952" s="9"/>
      <x:c r="H952" s="9"/>
      <x:c r="I952" s="9"/>
      <x:c r="J952" s="9"/>
      <x:c r="K952" s="9"/>
      <x:c r="L952" s="9"/>
      <x:c r="M952" s="9"/>
      <x:c r="N952" s="9"/>
      <x:c r="O952" s="9"/>
      <x:c r="P952" s="9"/>
      <x:c r="Q952" s="9"/>
      <x:c r="R952" s="9"/>
      <x:c r="S952" s="9"/>
      <x:c r="T952" s="9"/>
      <x:c r="U952" s="9"/>
      <x:c r="V952" s="9"/>
      <x:c r="W952" s="9"/>
      <x:c r="X952" s="9"/>
      <x:c r="Y952" s="9"/>
      <x:c r="Z952" s="9"/>
      <x:c r="AA952" s="9"/>
      <x:c r="AB952" s="9"/>
      <x:c r="AC952" s="9"/>
      <x:c r="AD952" s="9"/>
      <x:c r="AE952" s="2"/>
      <x:c r="AF952" s="9"/>
      <x:c r="AG952" s="9"/>
      <x:c r="AH952" s="2"/>
    </x:row>
    <x:row r="953" ht="14.25" customHeight="1">
      <x:c r="A953" s="2"/>
      <x:c r="B953" s="9"/>
      <x:c r="C953" s="9"/>
      <x:c r="D953" s="9"/>
      <x:c r="E953" s="9"/>
      <x:c r="F953" s="9"/>
      <x:c r="G953" s="9"/>
      <x:c r="H953" s="9"/>
      <x:c r="I953" s="9"/>
      <x:c r="J953" s="9"/>
      <x:c r="K953" s="9"/>
      <x:c r="L953" s="9"/>
      <x:c r="M953" s="9"/>
      <x:c r="N953" s="9"/>
      <x:c r="O953" s="9"/>
      <x:c r="P953" s="9"/>
      <x:c r="Q953" s="9"/>
      <x:c r="R953" s="9"/>
      <x:c r="S953" s="9"/>
      <x:c r="T953" s="9"/>
      <x:c r="U953" s="9"/>
      <x:c r="V953" s="9"/>
      <x:c r="W953" s="9"/>
      <x:c r="X953" s="9"/>
      <x:c r="Y953" s="9"/>
      <x:c r="Z953" s="9"/>
      <x:c r="AA953" s="9"/>
      <x:c r="AB953" s="9"/>
      <x:c r="AC953" s="9"/>
      <x:c r="AD953" s="9"/>
      <x:c r="AE953" s="2"/>
      <x:c r="AF953" s="9"/>
      <x:c r="AG953" s="9"/>
      <x:c r="AH953" s="2"/>
    </x:row>
    <x:row r="954" ht="14.25" customHeight="1">
      <x:c r="A954" s="2"/>
      <x:c r="B954" s="9"/>
      <x:c r="C954" s="9"/>
      <x:c r="D954" s="9"/>
      <x:c r="E954" s="9"/>
      <x:c r="F954" s="9"/>
      <x:c r="G954" s="9"/>
      <x:c r="H954" s="9"/>
      <x:c r="I954" s="9"/>
      <x:c r="J954" s="9"/>
      <x:c r="K954" s="9"/>
      <x:c r="L954" s="9"/>
      <x:c r="M954" s="9"/>
      <x:c r="N954" s="9"/>
      <x:c r="O954" s="9"/>
      <x:c r="P954" s="9"/>
      <x:c r="Q954" s="9"/>
      <x:c r="R954" s="9"/>
      <x:c r="S954" s="9"/>
      <x:c r="T954" s="9"/>
      <x:c r="U954" s="9"/>
      <x:c r="V954" s="9"/>
      <x:c r="W954" s="9"/>
      <x:c r="X954" s="9"/>
      <x:c r="Y954" s="9"/>
      <x:c r="Z954" s="9"/>
      <x:c r="AA954" s="9"/>
      <x:c r="AB954" s="9"/>
      <x:c r="AC954" s="9"/>
      <x:c r="AD954" s="9"/>
      <x:c r="AE954" s="2"/>
      <x:c r="AF954" s="9"/>
      <x:c r="AG954" s="9"/>
      <x:c r="AH954" s="2"/>
    </x:row>
    <x:row r="955" ht="14.25" customHeight="1">
      <x:c r="A955" s="2"/>
      <x:c r="B955" s="9"/>
      <x:c r="C955" s="9"/>
      <x:c r="D955" s="9"/>
      <x:c r="E955" s="9"/>
      <x:c r="F955" s="9"/>
      <x:c r="G955" s="9"/>
      <x:c r="H955" s="9"/>
      <x:c r="I955" s="9"/>
      <x:c r="J955" s="9"/>
      <x:c r="K955" s="9"/>
      <x:c r="L955" s="9"/>
      <x:c r="M955" s="9"/>
      <x:c r="N955" s="9"/>
      <x:c r="O955" s="9"/>
      <x:c r="P955" s="9"/>
      <x:c r="Q955" s="9"/>
      <x:c r="R955" s="9"/>
      <x:c r="S955" s="9"/>
      <x:c r="T955" s="9"/>
      <x:c r="U955" s="9"/>
      <x:c r="V955" s="9"/>
      <x:c r="W955" s="9"/>
      <x:c r="X955" s="9"/>
      <x:c r="Y955" s="9"/>
      <x:c r="Z955" s="9"/>
      <x:c r="AA955" s="9"/>
      <x:c r="AB955" s="9"/>
      <x:c r="AC955" s="9"/>
      <x:c r="AD955" s="9"/>
      <x:c r="AE955" s="2"/>
      <x:c r="AF955" s="9"/>
      <x:c r="AG955" s="9"/>
      <x:c r="AH955" s="2"/>
    </x:row>
    <x:row r="956" ht="14.25" customHeight="1">
      <x:c r="A956" s="2"/>
      <x:c r="B956" s="9"/>
      <x:c r="C956" s="9"/>
      <x:c r="D956" s="9"/>
      <x:c r="E956" s="9"/>
      <x:c r="F956" s="9"/>
      <x:c r="G956" s="9"/>
      <x:c r="H956" s="9"/>
      <x:c r="I956" s="9"/>
      <x:c r="J956" s="9"/>
      <x:c r="K956" s="9"/>
      <x:c r="L956" s="9"/>
      <x:c r="M956" s="9"/>
      <x:c r="N956" s="9"/>
      <x:c r="O956" s="9"/>
      <x:c r="P956" s="9"/>
      <x:c r="Q956" s="9"/>
      <x:c r="R956" s="9"/>
      <x:c r="S956" s="9"/>
      <x:c r="T956" s="9"/>
      <x:c r="U956" s="9"/>
      <x:c r="V956" s="9"/>
      <x:c r="W956" s="9"/>
      <x:c r="X956" s="9"/>
      <x:c r="Y956" s="9"/>
      <x:c r="Z956" s="9"/>
      <x:c r="AA956" s="9"/>
      <x:c r="AB956" s="9"/>
      <x:c r="AC956" s="9"/>
      <x:c r="AD956" s="9"/>
      <x:c r="AE956" s="2"/>
      <x:c r="AF956" s="9"/>
      <x:c r="AG956" s="9"/>
      <x:c r="AH956" s="2"/>
    </x:row>
    <x:row r="957" ht="14.25" customHeight="1">
      <x:c r="A957" s="2"/>
      <x:c r="B957" s="9"/>
      <x:c r="C957" s="9"/>
      <x:c r="D957" s="9"/>
      <x:c r="E957" s="9"/>
      <x:c r="F957" s="9"/>
      <x:c r="G957" s="9"/>
      <x:c r="H957" s="9"/>
      <x:c r="I957" s="9"/>
      <x:c r="J957" s="9"/>
      <x:c r="K957" s="9"/>
      <x:c r="L957" s="9"/>
      <x:c r="M957" s="9"/>
      <x:c r="N957" s="9"/>
      <x:c r="O957" s="9"/>
      <x:c r="P957" s="9"/>
      <x:c r="Q957" s="9"/>
      <x:c r="R957" s="9"/>
      <x:c r="S957" s="9"/>
      <x:c r="T957" s="9"/>
      <x:c r="U957" s="9"/>
      <x:c r="V957" s="9"/>
      <x:c r="W957" s="9"/>
      <x:c r="X957" s="9"/>
      <x:c r="Y957" s="9"/>
      <x:c r="Z957" s="9"/>
      <x:c r="AA957" s="9"/>
      <x:c r="AB957" s="9"/>
      <x:c r="AC957" s="9"/>
      <x:c r="AD957" s="9"/>
      <x:c r="AE957" s="2"/>
      <x:c r="AF957" s="9"/>
      <x:c r="AG957" s="9"/>
      <x:c r="AH957" s="2"/>
    </x:row>
    <x:row r="958" ht="14.25" customHeight="1">
      <x:c r="A958" s="2"/>
      <x:c r="B958" s="9"/>
      <x:c r="C958" s="9"/>
      <x:c r="D958" s="9"/>
      <x:c r="E958" s="9"/>
      <x:c r="F958" s="9"/>
      <x:c r="G958" s="9"/>
      <x:c r="H958" s="9"/>
      <x:c r="I958" s="9"/>
      <x:c r="J958" s="9"/>
      <x:c r="K958" s="9"/>
      <x:c r="L958" s="9"/>
      <x:c r="M958" s="9"/>
      <x:c r="N958" s="9"/>
      <x:c r="O958" s="9"/>
      <x:c r="P958" s="9"/>
      <x:c r="Q958" s="9"/>
      <x:c r="R958" s="9"/>
      <x:c r="S958" s="9"/>
      <x:c r="T958" s="9"/>
      <x:c r="U958" s="9"/>
      <x:c r="V958" s="9"/>
      <x:c r="W958" s="9"/>
      <x:c r="X958" s="9"/>
      <x:c r="Y958" s="9"/>
      <x:c r="Z958" s="9"/>
      <x:c r="AA958" s="9"/>
      <x:c r="AB958" s="9"/>
      <x:c r="AC958" s="9"/>
      <x:c r="AD958" s="9"/>
      <x:c r="AE958" s="2"/>
      <x:c r="AF958" s="9"/>
      <x:c r="AG958" s="9"/>
      <x:c r="AH958" s="2"/>
    </x:row>
    <x:row r="959" ht="14.25" customHeight="1">
      <x:c r="A959" s="2"/>
      <x:c r="B959" s="9"/>
      <x:c r="C959" s="9"/>
      <x:c r="D959" s="9"/>
      <x:c r="E959" s="9"/>
      <x:c r="F959" s="9"/>
      <x:c r="G959" s="9"/>
      <x:c r="H959" s="9"/>
      <x:c r="I959" s="9"/>
      <x:c r="J959" s="9"/>
      <x:c r="K959" s="9"/>
      <x:c r="L959" s="9"/>
      <x:c r="M959" s="9"/>
      <x:c r="N959" s="9"/>
      <x:c r="O959" s="9"/>
      <x:c r="P959" s="9"/>
      <x:c r="Q959" s="9"/>
      <x:c r="R959" s="9"/>
      <x:c r="S959" s="9"/>
      <x:c r="T959" s="9"/>
      <x:c r="U959" s="9"/>
      <x:c r="V959" s="9"/>
      <x:c r="W959" s="9"/>
      <x:c r="X959" s="9"/>
      <x:c r="Y959" s="9"/>
      <x:c r="Z959" s="9"/>
      <x:c r="AA959" s="9"/>
      <x:c r="AB959" s="9"/>
      <x:c r="AC959" s="9"/>
      <x:c r="AD959" s="9"/>
      <x:c r="AE959" s="2"/>
      <x:c r="AF959" s="9"/>
      <x:c r="AG959" s="9"/>
      <x:c r="AH959" s="2"/>
    </x:row>
    <x:row r="960" ht="14.25" customHeight="1">
      <x:c r="A960" s="2"/>
      <x:c r="B960" s="9"/>
      <x:c r="C960" s="9"/>
      <x:c r="D960" s="9"/>
      <x:c r="E960" s="9"/>
      <x:c r="F960" s="9"/>
      <x:c r="G960" s="9"/>
      <x:c r="H960" s="9"/>
      <x:c r="I960" s="9"/>
      <x:c r="J960" s="9"/>
      <x:c r="K960" s="9"/>
      <x:c r="L960" s="9"/>
      <x:c r="M960" s="9"/>
      <x:c r="N960" s="9"/>
      <x:c r="O960" s="9"/>
      <x:c r="P960" s="9"/>
      <x:c r="Q960" s="9"/>
      <x:c r="R960" s="9"/>
      <x:c r="S960" s="9"/>
      <x:c r="T960" s="9"/>
      <x:c r="U960" s="9"/>
      <x:c r="V960" s="9"/>
      <x:c r="W960" s="9"/>
      <x:c r="X960" s="9"/>
      <x:c r="Y960" s="9"/>
      <x:c r="Z960" s="9"/>
      <x:c r="AA960" s="9"/>
      <x:c r="AB960" s="9"/>
      <x:c r="AC960" s="9"/>
      <x:c r="AD960" s="9"/>
      <x:c r="AE960" s="2"/>
      <x:c r="AF960" s="9"/>
      <x:c r="AG960" s="9"/>
      <x:c r="AH960" s="2"/>
    </x:row>
    <x:row r="961" ht="14.25" customHeight="1">
      <x:c r="A961" s="2"/>
      <x:c r="B961" s="9"/>
      <x:c r="C961" s="9"/>
      <x:c r="D961" s="9"/>
      <x:c r="E961" s="9"/>
      <x:c r="F961" s="9"/>
      <x:c r="G961" s="9"/>
      <x:c r="H961" s="9"/>
      <x:c r="I961" s="9"/>
      <x:c r="J961" s="9"/>
      <x:c r="K961" s="9"/>
      <x:c r="L961" s="9"/>
      <x:c r="M961" s="9"/>
      <x:c r="N961" s="9"/>
      <x:c r="O961" s="9"/>
      <x:c r="P961" s="9"/>
      <x:c r="Q961" s="9"/>
      <x:c r="R961" s="9"/>
      <x:c r="S961" s="9"/>
      <x:c r="T961" s="9"/>
      <x:c r="U961" s="9"/>
      <x:c r="V961" s="9"/>
      <x:c r="W961" s="9"/>
      <x:c r="X961" s="9"/>
      <x:c r="Y961" s="9"/>
      <x:c r="Z961" s="9"/>
      <x:c r="AA961" s="9"/>
      <x:c r="AB961" s="9"/>
      <x:c r="AC961" s="9"/>
      <x:c r="AD961" s="9"/>
      <x:c r="AE961" s="2"/>
      <x:c r="AF961" s="9"/>
      <x:c r="AG961" s="9"/>
      <x:c r="AH961" s="2"/>
    </x:row>
    <x:row r="962" ht="14.25" customHeight="1">
      <x:c r="A962" s="2"/>
      <x:c r="B962" s="9"/>
      <x:c r="C962" s="9"/>
      <x:c r="D962" s="9"/>
      <x:c r="E962" s="9"/>
      <x:c r="F962" s="9"/>
      <x:c r="G962" s="9"/>
      <x:c r="H962" s="9"/>
      <x:c r="I962" s="9"/>
      <x:c r="J962" s="9"/>
      <x:c r="K962" s="9"/>
      <x:c r="L962" s="9"/>
      <x:c r="M962" s="9"/>
      <x:c r="N962" s="9"/>
      <x:c r="O962" s="9"/>
      <x:c r="P962" s="9"/>
      <x:c r="Q962" s="9"/>
      <x:c r="R962" s="9"/>
      <x:c r="S962" s="9"/>
      <x:c r="T962" s="9"/>
      <x:c r="U962" s="9"/>
      <x:c r="V962" s="9"/>
      <x:c r="W962" s="9"/>
      <x:c r="X962" s="9"/>
      <x:c r="Y962" s="9"/>
      <x:c r="Z962" s="9"/>
      <x:c r="AA962" s="9"/>
      <x:c r="AB962" s="9"/>
      <x:c r="AC962" s="9"/>
      <x:c r="AD962" s="9"/>
      <x:c r="AE962" s="2"/>
      <x:c r="AF962" s="9"/>
      <x:c r="AG962" s="9"/>
      <x:c r="AH962" s="2"/>
    </x:row>
    <x:row r="963" ht="14.25" customHeight="1">
      <x:c r="A963" s="2"/>
      <x:c r="B963" s="9"/>
      <x:c r="C963" s="9"/>
      <x:c r="D963" s="9"/>
      <x:c r="E963" s="9"/>
      <x:c r="F963" s="9"/>
      <x:c r="G963" s="9"/>
      <x:c r="H963" s="9"/>
      <x:c r="I963" s="9"/>
      <x:c r="J963" s="9"/>
      <x:c r="K963" s="9"/>
      <x:c r="L963" s="9"/>
      <x:c r="M963" s="9"/>
      <x:c r="N963" s="9"/>
      <x:c r="O963" s="9"/>
      <x:c r="P963" s="9"/>
      <x:c r="Q963" s="9"/>
      <x:c r="R963" s="9"/>
      <x:c r="S963" s="9"/>
      <x:c r="T963" s="9"/>
      <x:c r="U963" s="9"/>
      <x:c r="V963" s="9"/>
      <x:c r="W963" s="9"/>
      <x:c r="X963" s="9"/>
      <x:c r="Y963" s="9"/>
      <x:c r="Z963" s="9"/>
      <x:c r="AA963" s="9"/>
      <x:c r="AB963" s="9"/>
      <x:c r="AC963" s="9"/>
      <x:c r="AD963" s="9"/>
      <x:c r="AE963" s="2"/>
      <x:c r="AF963" s="9"/>
      <x:c r="AG963" s="9"/>
      <x:c r="AH963" s="2"/>
    </x:row>
    <x:row r="964" ht="14.25" customHeight="1">
      <x:c r="A964" s="2"/>
      <x:c r="B964" s="9"/>
      <x:c r="C964" s="9"/>
      <x:c r="D964" s="9"/>
      <x:c r="E964" s="9"/>
      <x:c r="F964" s="9"/>
      <x:c r="G964" s="9"/>
      <x:c r="H964" s="9"/>
      <x:c r="I964" s="9"/>
      <x:c r="J964" s="9"/>
      <x:c r="K964" s="9"/>
      <x:c r="L964" s="9"/>
      <x:c r="M964" s="9"/>
      <x:c r="N964" s="9"/>
      <x:c r="O964" s="9"/>
      <x:c r="P964" s="9"/>
      <x:c r="Q964" s="9"/>
      <x:c r="R964" s="9"/>
      <x:c r="S964" s="9"/>
      <x:c r="T964" s="9"/>
      <x:c r="U964" s="9"/>
      <x:c r="V964" s="9"/>
      <x:c r="W964" s="9"/>
      <x:c r="X964" s="9"/>
      <x:c r="Y964" s="9"/>
      <x:c r="Z964" s="9"/>
      <x:c r="AA964" s="9"/>
      <x:c r="AB964" s="9"/>
      <x:c r="AC964" s="9"/>
      <x:c r="AD964" s="9"/>
      <x:c r="AE964" s="2"/>
      <x:c r="AF964" s="9"/>
      <x:c r="AG964" s="9"/>
      <x:c r="AH964" s="2"/>
    </x:row>
    <x:row r="965" ht="14.25" customHeight="1">
      <x:c r="A965" s="2"/>
      <x:c r="B965" s="9"/>
      <x:c r="C965" s="9"/>
      <x:c r="D965" s="9"/>
      <x:c r="E965" s="9"/>
      <x:c r="F965" s="9"/>
      <x:c r="G965" s="9"/>
      <x:c r="H965" s="9"/>
      <x:c r="I965" s="9"/>
      <x:c r="J965" s="9"/>
      <x:c r="K965" s="9"/>
      <x:c r="L965" s="9"/>
      <x:c r="M965" s="9"/>
      <x:c r="N965" s="9"/>
      <x:c r="O965" s="9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  <x:c r="AA965" s="9"/>
      <x:c r="AB965" s="9"/>
      <x:c r="AC965" s="9"/>
      <x:c r="AD965" s="9"/>
      <x:c r="AE965" s="2"/>
      <x:c r="AF965" s="9"/>
      <x:c r="AG965" s="9"/>
      <x:c r="AH965" s="2"/>
    </x:row>
    <x:row r="966" ht="14.25" customHeight="1">
      <x:c r="A966" s="2"/>
      <x:c r="B966" s="9"/>
      <x:c r="C966" s="9"/>
      <x:c r="D966" s="9"/>
      <x:c r="E966" s="9"/>
      <x:c r="F966" s="9"/>
      <x:c r="G966" s="9"/>
      <x:c r="H966" s="9"/>
      <x:c r="I966" s="9"/>
      <x:c r="J966" s="9"/>
      <x:c r="K966" s="9"/>
      <x:c r="L966" s="9"/>
      <x:c r="M966" s="9"/>
      <x:c r="N966" s="9"/>
      <x:c r="O966" s="9"/>
      <x:c r="P966" s="9"/>
      <x:c r="Q966" s="9"/>
      <x:c r="R966" s="9"/>
      <x:c r="S966" s="9"/>
      <x:c r="T966" s="9"/>
      <x:c r="U966" s="9"/>
      <x:c r="V966" s="9"/>
      <x:c r="W966" s="9"/>
      <x:c r="X966" s="9"/>
      <x:c r="Y966" s="9"/>
      <x:c r="Z966" s="9"/>
      <x:c r="AA966" s="9"/>
      <x:c r="AB966" s="9"/>
      <x:c r="AC966" s="9"/>
      <x:c r="AD966" s="9"/>
      <x:c r="AE966" s="2"/>
      <x:c r="AF966" s="9"/>
      <x:c r="AG966" s="9"/>
      <x:c r="AH966" s="2"/>
    </x:row>
    <x:row r="967" ht="14.25" customHeight="1">
      <x:c r="A967" s="2"/>
      <x:c r="B967" s="9"/>
      <x:c r="C967" s="9"/>
      <x:c r="D967" s="9"/>
      <x:c r="E967" s="9"/>
      <x:c r="F967" s="9"/>
      <x:c r="G967" s="9"/>
      <x:c r="H967" s="9"/>
      <x:c r="I967" s="9"/>
      <x:c r="J967" s="9"/>
      <x:c r="K967" s="9"/>
      <x:c r="L967" s="9"/>
      <x:c r="M967" s="9"/>
      <x:c r="N967" s="9"/>
      <x:c r="O967" s="9"/>
      <x:c r="P967" s="9"/>
      <x:c r="Q967" s="9"/>
      <x:c r="R967" s="9"/>
      <x:c r="S967" s="9"/>
      <x:c r="T967" s="9"/>
      <x:c r="U967" s="9"/>
      <x:c r="V967" s="9"/>
      <x:c r="W967" s="9"/>
      <x:c r="X967" s="9"/>
      <x:c r="Y967" s="9"/>
      <x:c r="Z967" s="9"/>
      <x:c r="AA967" s="9"/>
      <x:c r="AB967" s="9"/>
      <x:c r="AC967" s="9"/>
      <x:c r="AD967" s="9"/>
      <x:c r="AE967" s="2"/>
      <x:c r="AF967" s="9"/>
      <x:c r="AG967" s="9"/>
      <x:c r="AH967" s="2"/>
    </x:row>
    <x:row r="968" ht="14.25" customHeight="1">
      <x:c r="A968" s="2"/>
      <x:c r="B968" s="9"/>
      <x:c r="C968" s="9"/>
      <x:c r="D968" s="9"/>
      <x:c r="E968" s="9"/>
      <x:c r="F968" s="9"/>
      <x:c r="G968" s="9"/>
      <x:c r="H968" s="9"/>
      <x:c r="I968" s="9"/>
      <x:c r="J968" s="9"/>
      <x:c r="K968" s="9"/>
      <x:c r="L968" s="9"/>
      <x:c r="M968" s="9"/>
      <x:c r="N968" s="9"/>
      <x:c r="O968" s="9"/>
      <x:c r="P968" s="9"/>
      <x:c r="Q968" s="9"/>
      <x:c r="R968" s="9"/>
      <x:c r="S968" s="9"/>
      <x:c r="T968" s="9"/>
      <x:c r="U968" s="9"/>
      <x:c r="V968" s="9"/>
      <x:c r="W968" s="9"/>
      <x:c r="X968" s="9"/>
      <x:c r="Y968" s="9"/>
      <x:c r="Z968" s="9"/>
      <x:c r="AA968" s="9"/>
      <x:c r="AB968" s="9"/>
      <x:c r="AC968" s="9"/>
      <x:c r="AD968" s="9"/>
      <x:c r="AE968" s="2"/>
      <x:c r="AF968" s="9"/>
      <x:c r="AG968" s="9"/>
      <x:c r="AH968" s="2"/>
    </x:row>
    <x:row r="969" ht="14.25" customHeight="1">
      <x:c r="A969" s="2"/>
      <x:c r="B969" s="9"/>
      <x:c r="C969" s="9"/>
      <x:c r="D969" s="9"/>
      <x:c r="E969" s="9"/>
      <x:c r="F969" s="9"/>
      <x:c r="G969" s="9"/>
      <x:c r="H969" s="9"/>
      <x:c r="I969" s="9"/>
      <x:c r="J969" s="9"/>
      <x:c r="K969" s="9"/>
      <x:c r="L969" s="9"/>
      <x:c r="M969" s="9"/>
      <x:c r="N969" s="9"/>
      <x:c r="O969" s="9"/>
      <x:c r="P969" s="9"/>
      <x:c r="Q969" s="9"/>
      <x:c r="R969" s="9"/>
      <x:c r="S969" s="9"/>
      <x:c r="T969" s="9"/>
      <x:c r="U969" s="9"/>
      <x:c r="V969" s="9"/>
      <x:c r="W969" s="9"/>
      <x:c r="X969" s="9"/>
      <x:c r="Y969" s="9"/>
      <x:c r="Z969" s="9"/>
      <x:c r="AA969" s="9"/>
      <x:c r="AB969" s="9"/>
      <x:c r="AC969" s="9"/>
      <x:c r="AD969" s="9"/>
      <x:c r="AE969" s="2"/>
      <x:c r="AF969" s="9"/>
      <x:c r="AG969" s="9"/>
      <x:c r="AH969" s="2"/>
    </x:row>
    <x:row r="970" ht="14.25" customHeight="1">
      <x:c r="A970" s="2"/>
      <x:c r="B970" s="9"/>
      <x:c r="C970" s="9"/>
      <x:c r="D970" s="9"/>
      <x:c r="E970" s="9"/>
      <x:c r="F970" s="9"/>
      <x:c r="G970" s="9"/>
      <x:c r="H970" s="9"/>
      <x:c r="I970" s="9"/>
      <x:c r="J970" s="9"/>
      <x:c r="K970" s="9"/>
      <x:c r="L970" s="9"/>
      <x:c r="M970" s="9"/>
      <x:c r="N970" s="9"/>
      <x:c r="O970" s="9"/>
      <x:c r="P970" s="9"/>
      <x:c r="Q970" s="9"/>
      <x:c r="R970" s="9"/>
      <x:c r="S970" s="9"/>
      <x:c r="T970" s="9"/>
      <x:c r="U970" s="9"/>
      <x:c r="V970" s="9"/>
      <x:c r="W970" s="9"/>
      <x:c r="X970" s="9"/>
      <x:c r="Y970" s="9"/>
      <x:c r="Z970" s="9"/>
      <x:c r="AA970" s="9"/>
      <x:c r="AB970" s="9"/>
      <x:c r="AC970" s="9"/>
      <x:c r="AD970" s="9"/>
      <x:c r="AE970" s="2"/>
      <x:c r="AF970" s="9"/>
      <x:c r="AG970" s="9"/>
      <x:c r="AH970" s="2"/>
    </x:row>
    <x:row r="971" ht="14.25" customHeight="1">
      <x:c r="A971" s="2"/>
      <x:c r="B971" s="9"/>
      <x:c r="C971" s="9"/>
      <x:c r="D971" s="9"/>
      <x:c r="E971" s="9"/>
      <x:c r="F971" s="9"/>
      <x:c r="G971" s="9"/>
      <x:c r="H971" s="9"/>
      <x:c r="I971" s="9"/>
      <x:c r="J971" s="9"/>
      <x:c r="K971" s="9"/>
      <x:c r="L971" s="9"/>
      <x:c r="M971" s="9"/>
      <x:c r="N971" s="9"/>
      <x:c r="O971" s="9"/>
      <x:c r="P971" s="9"/>
      <x:c r="Q971" s="9"/>
      <x:c r="R971" s="9"/>
      <x:c r="S971" s="9"/>
      <x:c r="T971" s="9"/>
      <x:c r="U971" s="9"/>
      <x:c r="V971" s="9"/>
      <x:c r="W971" s="9"/>
      <x:c r="X971" s="9"/>
      <x:c r="Y971" s="9"/>
      <x:c r="Z971" s="9"/>
      <x:c r="AA971" s="9"/>
      <x:c r="AB971" s="9"/>
      <x:c r="AC971" s="9"/>
      <x:c r="AD971" s="9"/>
      <x:c r="AE971" s="2"/>
      <x:c r="AF971" s="9"/>
      <x:c r="AG971" s="9"/>
      <x:c r="AH971" s="2"/>
    </x:row>
    <x:row r="972" ht="14.25" customHeight="1">
      <x:c r="A972" s="2"/>
      <x:c r="B972" s="9"/>
      <x:c r="C972" s="9"/>
      <x:c r="D972" s="9"/>
      <x:c r="E972" s="9"/>
      <x:c r="F972" s="9"/>
      <x:c r="G972" s="9"/>
      <x:c r="H972" s="9"/>
      <x:c r="I972" s="9"/>
      <x:c r="J972" s="9"/>
      <x:c r="K972" s="9"/>
      <x:c r="L972" s="9"/>
      <x:c r="M972" s="9"/>
      <x:c r="N972" s="9"/>
      <x:c r="O972" s="9"/>
      <x:c r="P972" s="9"/>
      <x:c r="Q972" s="9"/>
      <x:c r="R972" s="9"/>
      <x:c r="S972" s="9"/>
      <x:c r="T972" s="9"/>
      <x:c r="U972" s="9"/>
      <x:c r="V972" s="9"/>
      <x:c r="W972" s="9"/>
      <x:c r="X972" s="9"/>
      <x:c r="Y972" s="9"/>
      <x:c r="Z972" s="9"/>
      <x:c r="AA972" s="9"/>
      <x:c r="AB972" s="9"/>
      <x:c r="AC972" s="9"/>
      <x:c r="AD972" s="9"/>
      <x:c r="AE972" s="2"/>
      <x:c r="AF972" s="9"/>
      <x:c r="AG972" s="9"/>
      <x:c r="AH972" s="2"/>
    </x:row>
    <x:row r="973" ht="14.25" customHeight="1">
      <x:c r="A973" s="2"/>
      <x:c r="B973" s="9"/>
      <x:c r="C973" s="9"/>
      <x:c r="D973" s="9"/>
      <x:c r="E973" s="9"/>
      <x:c r="F973" s="9"/>
      <x:c r="G973" s="9"/>
      <x:c r="H973" s="9"/>
      <x:c r="I973" s="9"/>
      <x:c r="J973" s="9"/>
      <x:c r="K973" s="9"/>
      <x:c r="L973" s="9"/>
      <x:c r="M973" s="9"/>
      <x:c r="N973" s="9"/>
      <x:c r="O973" s="9"/>
      <x:c r="P973" s="9"/>
      <x:c r="Q973" s="9"/>
      <x:c r="R973" s="9"/>
      <x:c r="S973" s="9"/>
      <x:c r="T973" s="9"/>
      <x:c r="U973" s="9"/>
      <x:c r="V973" s="9"/>
      <x:c r="W973" s="9"/>
      <x:c r="X973" s="9"/>
      <x:c r="Y973" s="9"/>
      <x:c r="Z973" s="9"/>
      <x:c r="AA973" s="9"/>
      <x:c r="AB973" s="9"/>
      <x:c r="AC973" s="9"/>
      <x:c r="AD973" s="9"/>
      <x:c r="AE973" s="2"/>
      <x:c r="AF973" s="9"/>
      <x:c r="AG973" s="9"/>
      <x:c r="AH973" s="2"/>
    </x:row>
    <x:row r="974" ht="14.25" customHeight="1">
      <x:c r="A974" s="2"/>
      <x:c r="B974" s="9"/>
      <x:c r="C974" s="9"/>
      <x:c r="D974" s="9"/>
      <x:c r="E974" s="9"/>
      <x:c r="F974" s="9"/>
      <x:c r="G974" s="9"/>
      <x:c r="H974" s="9"/>
      <x:c r="I974" s="9"/>
      <x:c r="J974" s="9"/>
      <x:c r="K974" s="9"/>
      <x:c r="L974" s="9"/>
      <x:c r="M974" s="9"/>
      <x:c r="N974" s="9"/>
      <x:c r="O974" s="9"/>
      <x:c r="P974" s="9"/>
      <x:c r="Q974" s="9"/>
      <x:c r="R974" s="9"/>
      <x:c r="S974" s="9"/>
      <x:c r="T974" s="9"/>
      <x:c r="U974" s="9"/>
      <x:c r="V974" s="9"/>
      <x:c r="W974" s="9"/>
      <x:c r="X974" s="9"/>
      <x:c r="Y974" s="9"/>
      <x:c r="Z974" s="9"/>
      <x:c r="AA974" s="9"/>
      <x:c r="AB974" s="9"/>
      <x:c r="AC974" s="9"/>
      <x:c r="AD974" s="9"/>
      <x:c r="AE974" s="2"/>
      <x:c r="AF974" s="9"/>
      <x:c r="AG974" s="9"/>
      <x:c r="AH974" s="2"/>
    </x:row>
    <x:row r="975" ht="14.25" customHeight="1">
      <x:c r="A975" s="2"/>
      <x:c r="B975" s="9"/>
      <x:c r="C975" s="9"/>
      <x:c r="D975" s="9"/>
      <x:c r="E975" s="9"/>
      <x:c r="F975" s="9"/>
      <x:c r="G975" s="9"/>
      <x:c r="H975" s="9"/>
      <x:c r="I975" s="9"/>
      <x:c r="J975" s="9"/>
      <x:c r="K975" s="9"/>
      <x:c r="L975" s="9"/>
      <x:c r="M975" s="9"/>
      <x:c r="N975" s="9"/>
      <x:c r="O975" s="9"/>
      <x:c r="P975" s="9"/>
      <x:c r="Q975" s="9"/>
      <x:c r="R975" s="9"/>
      <x:c r="S975" s="9"/>
      <x:c r="T975" s="9"/>
      <x:c r="U975" s="9"/>
      <x:c r="V975" s="9"/>
      <x:c r="W975" s="9"/>
      <x:c r="X975" s="9"/>
      <x:c r="Y975" s="9"/>
      <x:c r="Z975" s="9"/>
      <x:c r="AA975" s="9"/>
      <x:c r="AB975" s="9"/>
      <x:c r="AC975" s="9"/>
      <x:c r="AD975" s="9"/>
      <x:c r="AE975" s="2"/>
      <x:c r="AF975" s="9"/>
      <x:c r="AG975" s="9"/>
      <x:c r="AH975" s="2"/>
    </x:row>
    <x:row r="976" ht="14.25" customHeight="1">
      <x:c r="A976" s="2"/>
      <x:c r="B976" s="9"/>
      <x:c r="C976" s="9"/>
      <x:c r="D976" s="9"/>
      <x:c r="E976" s="9"/>
      <x:c r="F976" s="9"/>
      <x:c r="G976" s="9"/>
      <x:c r="H976" s="9"/>
      <x:c r="I976" s="9"/>
      <x:c r="J976" s="9"/>
      <x:c r="K976" s="9"/>
      <x:c r="L976" s="9"/>
      <x:c r="M976" s="9"/>
      <x:c r="N976" s="9"/>
      <x:c r="O976" s="9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  <x:c r="AA976" s="9"/>
      <x:c r="AB976" s="9"/>
      <x:c r="AC976" s="9"/>
      <x:c r="AD976" s="9"/>
      <x:c r="AE976" s="2"/>
      <x:c r="AF976" s="9"/>
      <x:c r="AG976" s="9"/>
      <x:c r="AH976" s="2"/>
    </x:row>
    <x:row r="977" ht="14.25" customHeight="1">
      <x:c r="A977" s="2"/>
      <x:c r="B977" s="9"/>
      <x:c r="C977" s="9"/>
      <x:c r="D977" s="9"/>
      <x:c r="E977" s="9"/>
      <x:c r="F977" s="9"/>
      <x:c r="G977" s="9"/>
      <x:c r="H977" s="9"/>
      <x:c r="I977" s="9"/>
      <x:c r="J977" s="9"/>
      <x:c r="K977" s="9"/>
      <x:c r="L977" s="9"/>
      <x:c r="M977" s="9"/>
      <x:c r="N977" s="9"/>
      <x:c r="O977" s="9"/>
      <x:c r="P977" s="9"/>
      <x:c r="Q977" s="9"/>
      <x:c r="R977" s="9"/>
      <x:c r="S977" s="9"/>
      <x:c r="T977" s="9"/>
      <x:c r="U977" s="9"/>
      <x:c r="V977" s="9"/>
      <x:c r="W977" s="9"/>
      <x:c r="X977" s="9"/>
      <x:c r="Y977" s="9"/>
      <x:c r="Z977" s="9"/>
      <x:c r="AA977" s="9"/>
      <x:c r="AB977" s="9"/>
      <x:c r="AC977" s="9"/>
      <x:c r="AD977" s="9"/>
      <x:c r="AE977" s="2"/>
      <x:c r="AF977" s="9"/>
      <x:c r="AG977" s="9"/>
      <x:c r="AH977" s="2"/>
    </x:row>
    <x:row r="978" ht="14.25" customHeight="1">
      <x:c r="A978" s="2"/>
      <x:c r="B978" s="9"/>
      <x:c r="C978" s="9"/>
      <x:c r="D978" s="9"/>
      <x:c r="E978" s="9"/>
      <x:c r="F978" s="9"/>
      <x:c r="G978" s="9"/>
      <x:c r="H978" s="9"/>
      <x:c r="I978" s="9"/>
      <x:c r="J978" s="9"/>
      <x:c r="K978" s="9"/>
      <x:c r="L978" s="9"/>
      <x:c r="M978" s="9"/>
      <x:c r="N978" s="9"/>
      <x:c r="O978" s="9"/>
      <x:c r="P978" s="9"/>
      <x:c r="Q978" s="9"/>
      <x:c r="R978" s="9"/>
      <x:c r="S978" s="9"/>
      <x:c r="T978" s="9"/>
      <x:c r="U978" s="9"/>
      <x:c r="V978" s="9"/>
      <x:c r="W978" s="9"/>
      <x:c r="X978" s="9"/>
      <x:c r="Y978" s="9"/>
      <x:c r="Z978" s="9"/>
      <x:c r="AA978" s="9"/>
      <x:c r="AB978" s="9"/>
      <x:c r="AC978" s="9"/>
      <x:c r="AD978" s="9"/>
      <x:c r="AE978" s="2"/>
      <x:c r="AF978" s="9"/>
      <x:c r="AG978" s="9"/>
      <x:c r="AH978" s="2"/>
    </x:row>
    <x:row r="979" ht="14.25" customHeight="1">
      <x:c r="A979" s="2"/>
      <x:c r="B979" s="9"/>
      <x:c r="C979" s="9"/>
      <x:c r="D979" s="9"/>
      <x:c r="E979" s="9"/>
      <x:c r="F979" s="9"/>
      <x:c r="G979" s="9"/>
      <x:c r="H979" s="9"/>
      <x:c r="I979" s="9"/>
      <x:c r="J979" s="9"/>
      <x:c r="K979" s="9"/>
      <x:c r="L979" s="9"/>
      <x:c r="M979" s="9"/>
      <x:c r="N979" s="9"/>
      <x:c r="O979" s="9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  <x:c r="AA979" s="9"/>
      <x:c r="AB979" s="9"/>
      <x:c r="AC979" s="9"/>
      <x:c r="AD979" s="9"/>
      <x:c r="AE979" s="2"/>
      <x:c r="AF979" s="9"/>
      <x:c r="AG979" s="9"/>
      <x:c r="AH979" s="2"/>
    </x:row>
    <x:row r="980" ht="14.25" customHeight="1">
      <x:c r="A980" s="2"/>
      <x:c r="B980" s="9"/>
      <x:c r="C980" s="9"/>
      <x:c r="D980" s="9"/>
      <x:c r="E980" s="9"/>
      <x:c r="F980" s="9"/>
      <x:c r="G980" s="9"/>
      <x:c r="H980" s="9"/>
      <x:c r="I980" s="9"/>
      <x:c r="J980" s="9"/>
      <x:c r="K980" s="9"/>
      <x:c r="L980" s="9"/>
      <x:c r="M980" s="9"/>
      <x:c r="N980" s="9"/>
      <x:c r="O980" s="9"/>
      <x:c r="P980" s="9"/>
      <x:c r="Q980" s="9"/>
      <x:c r="R980" s="9"/>
      <x:c r="S980" s="9"/>
      <x:c r="T980" s="9"/>
      <x:c r="U980" s="9"/>
      <x:c r="V980" s="9"/>
      <x:c r="W980" s="9"/>
      <x:c r="X980" s="9"/>
      <x:c r="Y980" s="9"/>
      <x:c r="Z980" s="9"/>
      <x:c r="AA980" s="9"/>
      <x:c r="AB980" s="9"/>
      <x:c r="AC980" s="9"/>
      <x:c r="AD980" s="9"/>
      <x:c r="AE980" s="2"/>
      <x:c r="AF980" s="9"/>
      <x:c r="AG980" s="9"/>
      <x:c r="AH980" s="2"/>
    </x:row>
    <x:row r="981" ht="14.25" customHeight="1">
      <x:c r="A981" s="2"/>
      <x:c r="B981" s="9"/>
      <x:c r="C981" s="9"/>
      <x:c r="D981" s="9"/>
      <x:c r="E981" s="9"/>
      <x:c r="F981" s="9"/>
      <x:c r="G981" s="9"/>
      <x:c r="H981" s="9"/>
      <x:c r="I981" s="9"/>
      <x:c r="J981" s="9"/>
      <x:c r="K981" s="9"/>
      <x:c r="L981" s="9"/>
      <x:c r="M981" s="9"/>
      <x:c r="N981" s="9"/>
      <x:c r="O981" s="9"/>
      <x:c r="P981" s="9"/>
      <x:c r="Q981" s="9"/>
      <x:c r="R981" s="9"/>
      <x:c r="S981" s="9"/>
      <x:c r="T981" s="9"/>
      <x:c r="U981" s="9"/>
      <x:c r="V981" s="9"/>
      <x:c r="W981" s="9"/>
      <x:c r="X981" s="9"/>
      <x:c r="Y981" s="9"/>
      <x:c r="Z981" s="9"/>
      <x:c r="AA981" s="9"/>
      <x:c r="AB981" s="9"/>
      <x:c r="AC981" s="9"/>
      <x:c r="AD981" s="9"/>
      <x:c r="AE981" s="2"/>
      <x:c r="AF981" s="9"/>
      <x:c r="AG981" s="9"/>
      <x:c r="AH981" s="2"/>
    </x:row>
    <x:row r="982" ht="14.25" customHeight="1">
      <x:c r="A982" s="2"/>
      <x:c r="B982" s="9"/>
      <x:c r="C982" s="9"/>
      <x:c r="D982" s="9"/>
      <x:c r="E982" s="9"/>
      <x:c r="F982" s="9"/>
      <x:c r="G982" s="9"/>
      <x:c r="H982" s="9"/>
      <x:c r="I982" s="9"/>
      <x:c r="J982" s="9"/>
      <x:c r="K982" s="9"/>
      <x:c r="L982" s="9"/>
      <x:c r="M982" s="9"/>
      <x:c r="N982" s="9"/>
      <x:c r="O982" s="9"/>
      <x:c r="P982" s="9"/>
      <x:c r="Q982" s="9"/>
      <x:c r="R982" s="9"/>
      <x:c r="S982" s="9"/>
      <x:c r="T982" s="9"/>
      <x:c r="U982" s="9"/>
      <x:c r="V982" s="9"/>
      <x:c r="W982" s="9"/>
      <x:c r="X982" s="9"/>
      <x:c r="Y982" s="9"/>
      <x:c r="Z982" s="9"/>
      <x:c r="AA982" s="9"/>
      <x:c r="AB982" s="9"/>
      <x:c r="AC982" s="9"/>
      <x:c r="AD982" s="9"/>
      <x:c r="AE982" s="2"/>
      <x:c r="AF982" s="9"/>
      <x:c r="AG982" s="9"/>
      <x:c r="AH982" s="2"/>
    </x:row>
    <x:row r="983" ht="14.25" customHeight="1">
      <x:c r="A983" s="2"/>
      <x:c r="B983" s="9"/>
      <x:c r="C983" s="9"/>
      <x:c r="D983" s="9"/>
      <x:c r="E983" s="9"/>
      <x:c r="F983" s="9"/>
      <x:c r="G983" s="9"/>
      <x:c r="H983" s="9"/>
      <x:c r="I983" s="9"/>
      <x:c r="J983" s="9"/>
      <x:c r="K983" s="9"/>
      <x:c r="L983" s="9"/>
      <x:c r="M983" s="9"/>
      <x:c r="N983" s="9"/>
      <x:c r="O983" s="9"/>
      <x:c r="P983" s="9"/>
      <x:c r="Q983" s="9"/>
      <x:c r="R983" s="9"/>
      <x:c r="S983" s="9"/>
      <x:c r="T983" s="9"/>
      <x:c r="U983" s="9"/>
      <x:c r="V983" s="9"/>
      <x:c r="W983" s="9"/>
      <x:c r="X983" s="9"/>
      <x:c r="Y983" s="9"/>
      <x:c r="Z983" s="9"/>
      <x:c r="AA983" s="9"/>
      <x:c r="AB983" s="9"/>
      <x:c r="AC983" s="9"/>
      <x:c r="AD983" s="9"/>
      <x:c r="AE983" s="2"/>
      <x:c r="AF983" s="9"/>
      <x:c r="AG983" s="9"/>
      <x:c r="AH983" s="2"/>
    </x:row>
    <x:row r="984" ht="14.25" customHeight="1">
      <x:c r="A984" s="2"/>
      <x:c r="B984" s="9"/>
      <x:c r="C984" s="9"/>
      <x:c r="D984" s="9"/>
      <x:c r="E984" s="9"/>
      <x:c r="F984" s="9"/>
      <x:c r="G984" s="9"/>
      <x:c r="H984" s="9"/>
      <x:c r="I984" s="9"/>
      <x:c r="J984" s="9"/>
      <x:c r="K984" s="9"/>
      <x:c r="L984" s="9"/>
      <x:c r="M984" s="9"/>
      <x:c r="N984" s="9"/>
      <x:c r="O984" s="9"/>
      <x:c r="P984" s="9"/>
      <x:c r="Q984" s="9"/>
      <x:c r="R984" s="9"/>
      <x:c r="S984" s="9"/>
      <x:c r="T984" s="9"/>
      <x:c r="U984" s="9"/>
      <x:c r="V984" s="9"/>
      <x:c r="W984" s="9"/>
      <x:c r="X984" s="9"/>
      <x:c r="Y984" s="9"/>
      <x:c r="Z984" s="9"/>
      <x:c r="AA984" s="9"/>
      <x:c r="AB984" s="9"/>
      <x:c r="AC984" s="9"/>
      <x:c r="AD984" s="9"/>
      <x:c r="AE984" s="2"/>
      <x:c r="AF984" s="9"/>
      <x:c r="AG984" s="9"/>
      <x:c r="AH984" s="2"/>
    </x:row>
    <x:row r="985" ht="14.25" customHeight="1">
      <x:c r="A985" s="2"/>
      <x:c r="B985" s="9"/>
      <x:c r="C985" s="9"/>
      <x:c r="D985" s="9"/>
      <x:c r="E985" s="9"/>
      <x:c r="F985" s="9"/>
      <x:c r="G985" s="9"/>
      <x:c r="H985" s="9"/>
      <x:c r="I985" s="9"/>
      <x:c r="J985" s="9"/>
      <x:c r="K985" s="9"/>
      <x:c r="L985" s="9"/>
      <x:c r="M985" s="9"/>
      <x:c r="N985" s="9"/>
      <x:c r="O985" s="9"/>
      <x:c r="P985" s="9"/>
      <x:c r="Q985" s="9"/>
      <x:c r="R985" s="9"/>
      <x:c r="S985" s="9"/>
      <x:c r="T985" s="9"/>
      <x:c r="U985" s="9"/>
      <x:c r="V985" s="9"/>
      <x:c r="W985" s="9"/>
      <x:c r="X985" s="9"/>
      <x:c r="Y985" s="9"/>
      <x:c r="Z985" s="9"/>
      <x:c r="AA985" s="9"/>
      <x:c r="AB985" s="9"/>
      <x:c r="AC985" s="9"/>
      <x:c r="AD985" s="9"/>
      <x:c r="AE985" s="2"/>
      <x:c r="AF985" s="9"/>
      <x:c r="AG985" s="9"/>
      <x:c r="AH985" s="2"/>
    </x:row>
    <x:row r="986" ht="14.25" customHeight="1">
      <x:c r="A986" s="2"/>
      <x:c r="B986" s="9"/>
      <x:c r="C986" s="9"/>
      <x:c r="D986" s="9"/>
      <x:c r="E986" s="9"/>
      <x:c r="F986" s="9"/>
      <x:c r="G986" s="9"/>
      <x:c r="H986" s="9"/>
      <x:c r="I986" s="9"/>
      <x:c r="J986" s="9"/>
      <x:c r="K986" s="9"/>
      <x:c r="L986" s="9"/>
      <x:c r="M986" s="9"/>
      <x:c r="N986" s="9"/>
      <x:c r="O986" s="9"/>
      <x:c r="P986" s="9"/>
      <x:c r="Q986" s="9"/>
      <x:c r="R986" s="9"/>
      <x:c r="S986" s="9"/>
      <x:c r="T986" s="9"/>
      <x:c r="U986" s="9"/>
      <x:c r="V986" s="9"/>
      <x:c r="W986" s="9"/>
      <x:c r="X986" s="9"/>
      <x:c r="Y986" s="9"/>
      <x:c r="Z986" s="9"/>
      <x:c r="AA986" s="9"/>
      <x:c r="AB986" s="9"/>
      <x:c r="AC986" s="9"/>
      <x:c r="AD986" s="9"/>
      <x:c r="AE986" s="2"/>
      <x:c r="AF986" s="9"/>
      <x:c r="AG986" s="9"/>
      <x:c r="AH986" s="2"/>
    </x:row>
    <x:row r="987" ht="14.25" customHeight="1">
      <x:c r="A987" s="2"/>
      <x:c r="B987" s="9"/>
      <x:c r="C987" s="9"/>
      <x:c r="D987" s="9"/>
      <x:c r="E987" s="9"/>
      <x:c r="F987" s="9"/>
      <x:c r="G987" s="9"/>
      <x:c r="H987" s="9"/>
      <x:c r="I987" s="9"/>
      <x:c r="J987" s="9"/>
      <x:c r="K987" s="9"/>
      <x:c r="L987" s="9"/>
      <x:c r="M987" s="9"/>
      <x:c r="N987" s="9"/>
      <x:c r="O987" s="9"/>
      <x:c r="P987" s="9"/>
      <x:c r="Q987" s="9"/>
      <x:c r="R987" s="9"/>
      <x:c r="S987" s="9"/>
      <x:c r="T987" s="9"/>
      <x:c r="U987" s="9"/>
      <x:c r="V987" s="9"/>
      <x:c r="W987" s="9"/>
      <x:c r="X987" s="9"/>
      <x:c r="Y987" s="9"/>
      <x:c r="Z987" s="9"/>
      <x:c r="AA987" s="9"/>
      <x:c r="AB987" s="9"/>
      <x:c r="AC987" s="9"/>
      <x:c r="AD987" s="9"/>
      <x:c r="AE987" s="2"/>
      <x:c r="AF987" s="9"/>
      <x:c r="AG987" s="9"/>
      <x:c r="AH987" s="2"/>
    </x:row>
    <x:row r="988" ht="14.25" customHeight="1">
      <x:c r="A988" s="2"/>
      <x:c r="B988" s="9"/>
      <x:c r="C988" s="9"/>
      <x:c r="D988" s="9"/>
      <x:c r="E988" s="9"/>
      <x:c r="F988" s="9"/>
      <x:c r="G988" s="9"/>
      <x:c r="H988" s="9"/>
      <x:c r="I988" s="9"/>
      <x:c r="J988" s="9"/>
      <x:c r="K988" s="9"/>
      <x:c r="L988" s="9"/>
      <x:c r="M988" s="9"/>
      <x:c r="N988" s="9"/>
      <x:c r="O988" s="9"/>
      <x:c r="P988" s="9"/>
      <x:c r="Q988" s="9"/>
      <x:c r="R988" s="9"/>
      <x:c r="S988" s="9"/>
      <x:c r="T988" s="9"/>
      <x:c r="U988" s="9"/>
      <x:c r="V988" s="9"/>
      <x:c r="W988" s="9"/>
      <x:c r="X988" s="9"/>
      <x:c r="Y988" s="9"/>
      <x:c r="Z988" s="9"/>
      <x:c r="AA988" s="9"/>
      <x:c r="AB988" s="9"/>
      <x:c r="AC988" s="9"/>
      <x:c r="AD988" s="9"/>
      <x:c r="AE988" s="2"/>
      <x:c r="AF988" s="9"/>
      <x:c r="AG988" s="9"/>
      <x:c r="AH988" s="2"/>
    </x:row>
    <x:row r="989" ht="14.25" customHeight="1">
      <x:c r="A989" s="2"/>
      <x:c r="B989" s="9"/>
      <x:c r="C989" s="9"/>
      <x:c r="D989" s="9"/>
      <x:c r="E989" s="9"/>
      <x:c r="F989" s="9"/>
      <x:c r="G989" s="9"/>
      <x:c r="H989" s="9"/>
      <x:c r="I989" s="9"/>
      <x:c r="J989" s="9"/>
      <x:c r="K989" s="9"/>
      <x:c r="L989" s="9"/>
      <x:c r="M989" s="9"/>
      <x:c r="N989" s="9"/>
      <x:c r="O989" s="9"/>
      <x:c r="P989" s="9"/>
      <x:c r="Q989" s="9"/>
      <x:c r="R989" s="9"/>
      <x:c r="S989" s="9"/>
      <x:c r="T989" s="9"/>
      <x:c r="U989" s="9"/>
      <x:c r="V989" s="9"/>
      <x:c r="W989" s="9"/>
      <x:c r="X989" s="9"/>
      <x:c r="Y989" s="9"/>
      <x:c r="Z989" s="9"/>
      <x:c r="AA989" s="9"/>
      <x:c r="AB989" s="9"/>
      <x:c r="AC989" s="9"/>
      <x:c r="AD989" s="9"/>
      <x:c r="AE989" s="2"/>
      <x:c r="AF989" s="9"/>
      <x:c r="AG989" s="9"/>
      <x:c r="AH989" s="2"/>
    </x:row>
    <x:row r="990" ht="14.25" customHeight="1">
      <x:c r="A990" s="2"/>
      <x:c r="B990" s="9"/>
      <x:c r="C990" s="9"/>
      <x:c r="D990" s="9"/>
      <x:c r="E990" s="9"/>
      <x:c r="F990" s="9"/>
      <x:c r="G990" s="9"/>
      <x:c r="H990" s="9"/>
      <x:c r="I990" s="9"/>
      <x:c r="J990" s="9"/>
      <x:c r="K990" s="9"/>
      <x:c r="L990" s="9"/>
      <x:c r="M990" s="9"/>
      <x:c r="N990" s="9"/>
      <x:c r="O990" s="9"/>
      <x:c r="P990" s="9"/>
      <x:c r="Q990" s="9"/>
      <x:c r="R990" s="9"/>
      <x:c r="S990" s="9"/>
      <x:c r="T990" s="9"/>
      <x:c r="U990" s="9"/>
      <x:c r="V990" s="9"/>
      <x:c r="W990" s="9"/>
      <x:c r="X990" s="9"/>
      <x:c r="Y990" s="9"/>
      <x:c r="Z990" s="9"/>
      <x:c r="AA990" s="9"/>
      <x:c r="AB990" s="9"/>
      <x:c r="AC990" s="9"/>
      <x:c r="AD990" s="9"/>
      <x:c r="AE990" s="2"/>
      <x:c r="AF990" s="9"/>
      <x:c r="AG990" s="9"/>
      <x:c r="AH990" s="2"/>
    </x:row>
    <x:row r="991" ht="14.25" customHeight="1">
      <x:c r="A991" s="2"/>
      <x:c r="B991" s="9"/>
      <x:c r="C991" s="9"/>
      <x:c r="D991" s="9"/>
      <x:c r="E991" s="9"/>
      <x:c r="F991" s="9"/>
      <x:c r="G991" s="9"/>
      <x:c r="H991" s="9"/>
      <x:c r="I991" s="9"/>
      <x:c r="J991" s="9"/>
      <x:c r="K991" s="9"/>
      <x:c r="L991" s="9"/>
      <x:c r="M991" s="9"/>
      <x:c r="N991" s="9"/>
      <x:c r="O991" s="9"/>
      <x:c r="P991" s="9"/>
      <x:c r="Q991" s="9"/>
      <x:c r="R991" s="9"/>
      <x:c r="S991" s="9"/>
      <x:c r="T991" s="9"/>
      <x:c r="U991" s="9"/>
      <x:c r="V991" s="9"/>
      <x:c r="W991" s="9"/>
      <x:c r="X991" s="9"/>
      <x:c r="Y991" s="9"/>
      <x:c r="Z991" s="9"/>
      <x:c r="AA991" s="9"/>
      <x:c r="AB991" s="9"/>
      <x:c r="AC991" s="9"/>
      <x:c r="AD991" s="9"/>
      <x:c r="AE991" s="2"/>
      <x:c r="AF991" s="9"/>
      <x:c r="AG991" s="9"/>
      <x:c r="AH991" s="2"/>
    </x:row>
    <x:row r="992" ht="14.25" customHeight="1">
      <x:c r="A992" s="2"/>
      <x:c r="B992" s="9"/>
      <x:c r="C992" s="9"/>
      <x:c r="D992" s="9"/>
      <x:c r="E992" s="9"/>
      <x:c r="F992" s="9"/>
      <x:c r="G992" s="9"/>
      <x:c r="H992" s="9"/>
      <x:c r="I992" s="9"/>
      <x:c r="J992" s="9"/>
      <x:c r="K992" s="9"/>
      <x:c r="L992" s="9"/>
      <x:c r="M992" s="9"/>
      <x:c r="N992" s="9"/>
      <x:c r="O992" s="9"/>
      <x:c r="P992" s="9"/>
      <x:c r="Q992" s="9"/>
      <x:c r="R992" s="9"/>
      <x:c r="S992" s="9"/>
      <x:c r="T992" s="9"/>
      <x:c r="U992" s="9"/>
      <x:c r="V992" s="9"/>
      <x:c r="W992" s="9"/>
      <x:c r="X992" s="9"/>
      <x:c r="Y992" s="9"/>
      <x:c r="Z992" s="9"/>
      <x:c r="AA992" s="9"/>
      <x:c r="AB992" s="9"/>
      <x:c r="AC992" s="9"/>
      <x:c r="AD992" s="9"/>
      <x:c r="AE992" s="2"/>
      <x:c r="AF992" s="9"/>
      <x:c r="AG992" s="9"/>
      <x:c r="AH992" s="2"/>
    </x:row>
    <x:row r="993" ht="14.25" customHeight="1">
      <x:c r="A993" s="2"/>
      <x:c r="B993" s="9"/>
      <x:c r="C993" s="9"/>
      <x:c r="D993" s="9"/>
      <x:c r="E993" s="9"/>
      <x:c r="F993" s="9"/>
      <x:c r="G993" s="9"/>
      <x:c r="H993" s="9"/>
      <x:c r="I993" s="9"/>
      <x:c r="J993" s="9"/>
      <x:c r="K993" s="9"/>
      <x:c r="L993" s="9"/>
      <x:c r="M993" s="9"/>
      <x:c r="N993" s="9"/>
      <x:c r="O993" s="9"/>
      <x:c r="P993" s="9"/>
      <x:c r="Q993" s="9"/>
      <x:c r="R993" s="9"/>
      <x:c r="S993" s="9"/>
      <x:c r="T993" s="9"/>
      <x:c r="U993" s="9"/>
      <x:c r="V993" s="9"/>
      <x:c r="W993" s="9"/>
      <x:c r="X993" s="9"/>
      <x:c r="Y993" s="9"/>
      <x:c r="Z993" s="9"/>
      <x:c r="AA993" s="9"/>
      <x:c r="AB993" s="9"/>
      <x:c r="AC993" s="9"/>
      <x:c r="AD993" s="9"/>
      <x:c r="AE993" s="2"/>
      <x:c r="AF993" s="9"/>
      <x:c r="AG993" s="9"/>
      <x:c r="AH993" s="2"/>
    </x:row>
    <x:row r="994" ht="14.25" customHeight="1">
      <x:c r="A994" s="2"/>
      <x:c r="B994" s="9"/>
      <x:c r="C994" s="9"/>
      <x:c r="D994" s="9"/>
      <x:c r="E994" s="9"/>
      <x:c r="F994" s="9"/>
      <x:c r="G994" s="9"/>
      <x:c r="H994" s="9"/>
      <x:c r="I994" s="9"/>
      <x:c r="J994" s="9"/>
      <x:c r="K994" s="9"/>
      <x:c r="L994" s="9"/>
      <x:c r="M994" s="9"/>
      <x:c r="N994" s="9"/>
      <x:c r="O994" s="9"/>
      <x:c r="P994" s="9"/>
      <x:c r="Q994" s="9"/>
      <x:c r="R994" s="9"/>
      <x:c r="S994" s="9"/>
      <x:c r="T994" s="9"/>
      <x:c r="U994" s="9"/>
      <x:c r="V994" s="9"/>
      <x:c r="W994" s="9"/>
      <x:c r="X994" s="9"/>
      <x:c r="Y994" s="9"/>
      <x:c r="Z994" s="9"/>
      <x:c r="AA994" s="9"/>
      <x:c r="AB994" s="9"/>
      <x:c r="AC994" s="9"/>
      <x:c r="AD994" s="9"/>
      <x:c r="AE994" s="2"/>
      <x:c r="AF994" s="9"/>
      <x:c r="AG994" s="9"/>
      <x:c r="AH994" s="2"/>
    </x:row>
    <x:row r="995" ht="14.25" customHeight="1">
      <x:c r="A995" s="2"/>
      <x:c r="B995" s="9"/>
      <x:c r="C995" s="9"/>
      <x:c r="D995" s="9"/>
      <x:c r="E995" s="9"/>
      <x:c r="F995" s="9"/>
      <x:c r="G995" s="9"/>
      <x:c r="H995" s="9"/>
      <x:c r="I995" s="9"/>
      <x:c r="J995" s="9"/>
      <x:c r="K995" s="9"/>
      <x:c r="L995" s="9"/>
      <x:c r="M995" s="9"/>
      <x:c r="N995" s="9"/>
      <x:c r="O995" s="9"/>
      <x:c r="P995" s="9"/>
      <x:c r="Q995" s="9"/>
      <x:c r="R995" s="9"/>
      <x:c r="S995" s="9"/>
      <x:c r="T995" s="9"/>
      <x:c r="U995" s="9"/>
      <x:c r="V995" s="9"/>
      <x:c r="W995" s="9"/>
      <x:c r="X995" s="9"/>
      <x:c r="Y995" s="9"/>
      <x:c r="Z995" s="9"/>
      <x:c r="AA995" s="9"/>
      <x:c r="AB995" s="9"/>
      <x:c r="AC995" s="9"/>
      <x:c r="AD995" s="9"/>
      <x:c r="AE995" s="2"/>
      <x:c r="AF995" s="9"/>
      <x:c r="AG995" s="9"/>
      <x:c r="AH995" s="2"/>
    </x:row>
    <x:row r="996" ht="14.25" customHeight="1">
      <x:c r="A996" s="2"/>
      <x:c r="B996" s="9"/>
      <x:c r="C996" s="9"/>
      <x:c r="D996" s="9"/>
      <x:c r="E996" s="9"/>
      <x:c r="F996" s="9"/>
      <x:c r="G996" s="9"/>
      <x:c r="H996" s="9"/>
      <x:c r="I996" s="9"/>
      <x:c r="J996" s="9"/>
      <x:c r="K996" s="9"/>
      <x:c r="L996" s="9"/>
      <x:c r="M996" s="9"/>
      <x:c r="N996" s="9"/>
      <x:c r="O996" s="9"/>
      <x:c r="P996" s="9"/>
      <x:c r="Q996" s="9"/>
      <x:c r="R996" s="9"/>
      <x:c r="S996" s="9"/>
      <x:c r="T996" s="9"/>
      <x:c r="U996" s="9"/>
      <x:c r="V996" s="9"/>
      <x:c r="W996" s="9"/>
      <x:c r="X996" s="9"/>
      <x:c r="Y996" s="9"/>
      <x:c r="Z996" s="9"/>
      <x:c r="AA996" s="9"/>
      <x:c r="AB996" s="9"/>
      <x:c r="AC996" s="9"/>
      <x:c r="AD996" s="9"/>
      <x:c r="AE996" s="2"/>
      <x:c r="AF996" s="9"/>
      <x:c r="AG996" s="9"/>
      <x:c r="AH996" s="2"/>
    </x:row>
    <x:row r="997" ht="14.25" customHeight="1">
      <x:c r="A997" s="2"/>
      <x:c r="B997" s="9"/>
      <x:c r="C997" s="9"/>
      <x:c r="D997" s="9"/>
      <x:c r="E997" s="9"/>
      <x:c r="F997" s="9"/>
      <x:c r="G997" s="9"/>
      <x:c r="H997" s="9"/>
      <x:c r="I997" s="9"/>
      <x:c r="J997" s="9"/>
      <x:c r="K997" s="9"/>
      <x:c r="L997" s="9"/>
      <x:c r="M997" s="9"/>
      <x:c r="N997" s="9"/>
      <x:c r="O997" s="9"/>
      <x:c r="P997" s="9"/>
      <x:c r="Q997" s="9"/>
      <x:c r="R997" s="9"/>
      <x:c r="S997" s="9"/>
      <x:c r="T997" s="9"/>
      <x:c r="U997" s="9"/>
      <x:c r="V997" s="9"/>
      <x:c r="W997" s="9"/>
      <x:c r="X997" s="9"/>
      <x:c r="Y997" s="9"/>
      <x:c r="Z997" s="9"/>
      <x:c r="AA997" s="9"/>
      <x:c r="AB997" s="9"/>
      <x:c r="AC997" s="9"/>
      <x:c r="AD997" s="9"/>
      <x:c r="AE997" s="2"/>
      <x:c r="AF997" s="9"/>
      <x:c r="AG997" s="9"/>
      <x:c r="AH997" s="2"/>
    </x:row>
    <x:row r="998" ht="14.25" customHeight="1">
      <x:c r="A998" s="2"/>
      <x:c r="B998" s="9"/>
      <x:c r="C998" s="9"/>
      <x:c r="D998" s="9"/>
      <x:c r="E998" s="9"/>
      <x:c r="F998" s="9"/>
      <x:c r="G998" s="9"/>
      <x:c r="H998" s="9"/>
      <x:c r="I998" s="9"/>
      <x:c r="J998" s="9"/>
      <x:c r="K998" s="9"/>
      <x:c r="L998" s="9"/>
      <x:c r="M998" s="9"/>
      <x:c r="N998" s="9"/>
      <x:c r="O998" s="9"/>
      <x:c r="P998" s="9"/>
      <x:c r="Q998" s="9"/>
      <x:c r="R998" s="9"/>
      <x:c r="S998" s="9"/>
      <x:c r="T998" s="9"/>
      <x:c r="U998" s="9"/>
      <x:c r="V998" s="9"/>
      <x:c r="W998" s="9"/>
      <x:c r="X998" s="9"/>
      <x:c r="Y998" s="9"/>
      <x:c r="Z998" s="9"/>
      <x:c r="AA998" s="9"/>
      <x:c r="AB998" s="9"/>
      <x:c r="AC998" s="9"/>
      <x:c r="AD998" s="9"/>
      <x:c r="AE998" s="2"/>
      <x:c r="AF998" s="9"/>
      <x:c r="AG998" s="9"/>
      <x:c r="AH998" s="2"/>
    </x:row>
    <x:row r="999" ht="14.25" customHeight="1">
      <x:c r="A999" s="2"/>
      <x:c r="B999" s="9"/>
      <x:c r="C999" s="9"/>
      <x:c r="D999" s="9"/>
      <x:c r="E999" s="9"/>
      <x:c r="F999" s="9"/>
      <x:c r="G999" s="9"/>
      <x:c r="H999" s="9"/>
      <x:c r="I999" s="9"/>
      <x:c r="J999" s="9"/>
      <x:c r="K999" s="9"/>
      <x:c r="L999" s="9"/>
      <x:c r="M999" s="9"/>
      <x:c r="N999" s="9"/>
      <x:c r="O999" s="9"/>
      <x:c r="P999" s="9"/>
      <x:c r="Q999" s="9"/>
      <x:c r="R999" s="9"/>
      <x:c r="S999" s="9"/>
      <x:c r="T999" s="9"/>
      <x:c r="U999" s="9"/>
      <x:c r="V999" s="9"/>
      <x:c r="W999" s="9"/>
      <x:c r="X999" s="9"/>
      <x:c r="Y999" s="9"/>
      <x:c r="Z999" s="9"/>
      <x:c r="AA999" s="9"/>
      <x:c r="AB999" s="9"/>
      <x:c r="AC999" s="9"/>
      <x:c r="AD999" s="9"/>
      <x:c r="AE999" s="2"/>
      <x:c r="AF999" s="9"/>
      <x:c r="AG999" s="9"/>
      <x:c r="AH999" s="2"/>
    </x:row>
    <x:row r="1000" ht="14.25" customHeight="1">
      <x:c r="A1000" s="2"/>
      <x:c r="B1000" s="9"/>
      <x:c r="C1000" s="9"/>
      <x:c r="D1000" s="9"/>
      <x:c r="E1000" s="9"/>
      <x:c r="F1000" s="9"/>
      <x:c r="G1000" s="9"/>
      <x:c r="H1000" s="9"/>
      <x:c r="I1000" s="9"/>
      <x:c r="J1000" s="9"/>
      <x:c r="K1000" s="9"/>
      <x:c r="L1000" s="9"/>
      <x:c r="M1000" s="9"/>
      <x:c r="N1000" s="9"/>
      <x:c r="O1000" s="9"/>
      <x:c r="P1000" s="9"/>
      <x:c r="Q1000" s="9"/>
      <x:c r="R1000" s="9"/>
      <x:c r="S1000" s="9"/>
      <x:c r="T1000" s="9"/>
      <x:c r="U1000" s="9"/>
      <x:c r="V1000" s="9"/>
      <x:c r="W1000" s="9"/>
      <x:c r="X1000" s="9"/>
      <x:c r="Y1000" s="9"/>
      <x:c r="Z1000" s="9"/>
      <x:c r="AA1000" s="9"/>
      <x:c r="AB1000" s="9"/>
      <x:c r="AC1000" s="9"/>
      <x:c r="AD1000" s="9"/>
      <x:c r="AE1000" s="2"/>
      <x:c r="AF1000" s="9"/>
      <x:c r="AG1000" s="9"/>
      <x:c r="AH1000" s="2"/>
    </x:row>
  </x:sheetData>
  <x:mergeCells>
    <x:mergeCell ref="B1:AD1"/>
    <x:mergeCell ref="AF1:AG1"/>
    <x:mergeCell ref="B2:AD2"/>
    <x:mergeCell ref="B3:I3"/>
    <x:mergeCell ref="L3:S3"/>
    <x:mergeCell ref="V3:AC3"/>
    <x:mergeCell ref="B46:I46"/>
  </x:mergeCells>
  <x:conditionalFormatting sqref="B5:E44">
    <x:cfRule type="expression" dxfId="0" priority="1">
      <x:formula>ISEVEN($B5)</x:formula>
    </x:cfRule>
  </x:conditionalFormatting>
  <x:conditionalFormatting sqref="B48:E84">
    <x:cfRule type="expression" dxfId="0" priority="2">
      <x:formula>ISEVEN($B48)</x:formula>
    </x:cfRule>
  </x:conditionalFormatting>
  <x:conditionalFormatting sqref="B5:I44">
    <x:cfRule type="expression" dxfId="1" priority="3">
      <x:formula>$I5="x"</x:formula>
    </x:cfRule>
  </x:conditionalFormatting>
  <x:conditionalFormatting sqref="B5:I44">
    <x:cfRule type="expression" dxfId="2" priority="4">
      <x:formula>$I5="o"</x:formula>
    </x:cfRule>
  </x:conditionalFormatting>
  <x:conditionalFormatting sqref="B48:I84">
    <x:cfRule type="expression" dxfId="1" priority="5">
      <x:formula>$I48="x"</x:formula>
    </x:cfRule>
  </x:conditionalFormatting>
  <x:conditionalFormatting sqref="B48:I84">
    <x:cfRule type="expression" dxfId="2" priority="6">
      <x:formula>$I48="o"</x:formula>
    </x:cfRule>
  </x:conditionalFormatting>
  <x:conditionalFormatting sqref="C5:C44">
    <x:cfRule type="expression" dxfId="3" priority="7">
      <x:formula>$C5=$AG$5</x:formula>
    </x:cfRule>
  </x:conditionalFormatting>
  <x:conditionalFormatting sqref="C48:C84">
    <x:cfRule type="expression" dxfId="3" priority="8">
      <x:formula>$C48=$AG$5</x:formula>
    </x:cfRule>
  </x:conditionalFormatting>
  <x:conditionalFormatting sqref="F5:F44">
    <x:cfRule type="colorScale" priority="9">
      <x:colorScale>
        <x:cfvo type="percentile" val="10"/>
        <x:cfvo type="formula" val="0"/>
        <x:cfvo type="percentile" val="90"/>
        <x:color rgb="FFF8696B"/>
        <x:color rgb="FFFFEB84"/>
        <x:color rgb="FF63BE7B"/>
      </x:colorScale>
    </x:cfRule>
  </x:conditionalFormatting>
  <x:conditionalFormatting sqref="F48:F84">
    <x:cfRule type="colorScale" priority="10">
      <x:colorScale>
        <x:cfvo type="percentile" val="10"/>
        <x:cfvo type="formula" val="0"/>
        <x:cfvo type="percentile" val="90"/>
        <x:color rgb="FFF8696B"/>
        <x:color rgb="FFFFEB84"/>
        <x:color rgb="FF63BE7B"/>
      </x:colorScale>
    </x:cfRule>
  </x:conditionalFormatting>
  <x:conditionalFormatting sqref="G5:G44">
    <x:cfRule type="expression" dxfId="4" priority="11">
      <x:formula>OR($I5="x",$I5="o")</x:formula>
    </x:cfRule>
  </x:conditionalFormatting>
  <x:conditionalFormatting sqref="G5:G44">
    <x:cfRule type="colorScale" priority="12">
      <x:colorScale>
        <x:cfvo type="percentile" val="10"/>
        <x:cfvo type="percentile" val="50"/>
        <x:cfvo type="percentile" val="90"/>
        <x:color rgb="FFF8696B"/>
        <x:color rgb="FFFFFFFF"/>
        <x:color rgb="FF00B0F0"/>
      </x:colorScale>
    </x:cfRule>
  </x:conditionalFormatting>
  <x:conditionalFormatting sqref="G48:G84">
    <x:cfRule type="expression" dxfId="4" priority="13">
      <x:formula>OR($I48="x",$I48="o")</x:formula>
    </x:cfRule>
  </x:conditionalFormatting>
  <x:conditionalFormatting sqref="G48:G84">
    <x:cfRule type="colorScale" priority="14">
      <x:colorScale>
        <x:cfvo type="percentile" val="10"/>
        <x:cfvo type="percentile" val="50"/>
        <x:cfvo type="percentile" val="90"/>
        <x:color rgb="FFF8696B"/>
        <x:color rgb="FFFFFFFF"/>
        <x:color rgb="FF00B0F0"/>
      </x:colorScale>
    </x:cfRule>
  </x:conditionalFormatting>
  <x:conditionalFormatting sqref="H5:H44">
    <x:cfRule type="expression" dxfId="0" priority="15">
      <x:formula>ISEVEN($B5)</x:formula>
    </x:cfRule>
  </x:conditionalFormatting>
  <x:conditionalFormatting sqref="H48:H84">
    <x:cfRule type="expression" dxfId="0" priority="16">
      <x:formula>ISEVEN($B48)</x:formula>
    </x:cfRule>
  </x:conditionalFormatting>
  <x:conditionalFormatting sqref="L5:O84">
    <x:cfRule type="expression" dxfId="0" priority="17">
      <x:formula>ISEVEN($L5)</x:formula>
    </x:cfRule>
  </x:conditionalFormatting>
  <x:conditionalFormatting sqref="L5:S84">
    <x:cfRule type="expression" dxfId="1" priority="18">
      <x:formula>$S5="x"</x:formula>
    </x:cfRule>
  </x:conditionalFormatting>
  <x:conditionalFormatting sqref="L5:S84">
    <x:cfRule type="expression" dxfId="2" priority="19">
      <x:formula>$S5="o"</x:formula>
    </x:cfRule>
  </x:conditionalFormatting>
  <x:conditionalFormatting sqref="M5:M84">
    <x:cfRule type="expression" dxfId="3" priority="20">
      <x:formula>$M5=$AG$5</x:formula>
    </x:cfRule>
  </x:conditionalFormatting>
  <x:conditionalFormatting sqref="P5:P84">
    <x:cfRule type="colorScale" priority="21">
      <x:colorScale>
        <x:cfvo type="percentile" val="10"/>
        <x:cfvo type="formula" val="0"/>
        <x:cfvo type="percentile" val="90"/>
        <x:color rgb="FFF8696B"/>
        <x:color rgb="FFFFEB84"/>
        <x:color rgb="FF63BE7B"/>
      </x:colorScale>
    </x:cfRule>
  </x:conditionalFormatting>
  <x:conditionalFormatting sqref="Q5:Q84">
    <x:cfRule type="expression" dxfId="4" priority="22">
      <x:formula>OR($S5="x",$S5="o")</x:formula>
    </x:cfRule>
  </x:conditionalFormatting>
  <x:conditionalFormatting sqref="Q5:Q84">
    <x:cfRule type="colorScale" priority="23">
      <x:colorScale>
        <x:cfvo type="percentile" val="10"/>
        <x:cfvo type="percentile" val="50"/>
        <x:cfvo type="percentile" val="90"/>
        <x:color rgb="FFF8696B"/>
        <x:color rgb="FFFFFFFF"/>
        <x:color rgb="FF00B0F0"/>
      </x:colorScale>
    </x:cfRule>
  </x:conditionalFormatting>
  <x:conditionalFormatting sqref="R5:R84">
    <x:cfRule type="expression" dxfId="0" priority="24">
      <x:formula>ISEVEN($L5)</x:formula>
    </x:cfRule>
  </x:conditionalFormatting>
  <x:conditionalFormatting sqref="V5:Y84">
    <x:cfRule type="expression" dxfId="0" priority="25">
      <x:formula>ISEVEN($V5)</x:formula>
    </x:cfRule>
  </x:conditionalFormatting>
  <x:conditionalFormatting sqref="V5:AC84">
    <x:cfRule type="expression" dxfId="1" priority="26">
      <x:formula>$AC5="x"</x:formula>
    </x:cfRule>
  </x:conditionalFormatting>
  <x:conditionalFormatting sqref="V5:AC84">
    <x:cfRule type="expression" dxfId="2" priority="27">
      <x:formula>$AC5="o"</x:formula>
    </x:cfRule>
  </x:conditionalFormatting>
  <x:conditionalFormatting sqref="W5:W84">
    <x:cfRule type="expression" dxfId="3" priority="28">
      <x:formula>$W5=$AG$5</x:formula>
    </x:cfRule>
  </x:conditionalFormatting>
  <x:conditionalFormatting sqref="Z5:Z84">
    <x:cfRule type="colorScale" priority="29">
      <x:colorScale>
        <x:cfvo type="percentile" val="10"/>
        <x:cfvo type="formula" val="0"/>
        <x:cfvo type="percentile" val="90"/>
        <x:color rgb="FFF8696B"/>
        <x:color rgb="FFFFEB84"/>
        <x:color rgb="FF63BE7B"/>
      </x:colorScale>
    </x:cfRule>
  </x:conditionalFormatting>
  <x:conditionalFormatting sqref="AA5:AA84">
    <x:cfRule type="expression" dxfId="4" priority="30">
      <x:formula>OR($AC5="x",$AC5="o")</x:formula>
    </x:cfRule>
  </x:conditionalFormatting>
  <x:conditionalFormatting sqref="AA5:AA84">
    <x:cfRule type="colorScale" priority="31">
      <x:colorScale>
        <x:cfvo type="percentile" val="10"/>
        <x:cfvo type="percentile" val="50"/>
        <x:cfvo type="percentile" val="90"/>
        <x:color rgb="FFF8696B"/>
        <x:color rgb="FFFFFFFF"/>
        <x:color rgb="FF00B0F0"/>
      </x:colorScale>
    </x:cfRule>
  </x:conditionalFormatting>
  <x:conditionalFormatting sqref="AB5:AB84">
    <x:cfRule type="expression" dxfId="0" priority="32">
      <x:formula>ISEVEN($V5)</x:formula>
    </x:cfRule>
  </x:conditionalFormatting>
  <x:dataValidations count="1">
    <x:dataValidation type="list" allowBlank="1" showInputMessage="1" showErrorMessage="1" prompt="Invalid entry - Only &quot;x&quot; (drafted by someone else) or &quot;o&quot; (drafted by you) allowed." sqref="J5:J44 J48:J84 T5:T84 AD5:AD84">
      <x:formula1>"x,o"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8.5" customWidth="1"/>
    <x:col min="2" max="2" width="20.75" customWidth="1"/>
    <x:col min="3" max="3" width="12" customWidth="1"/>
    <x:col min="4" max="4" width="10.5" customWidth="1"/>
    <x:col min="5" max="5" width="16" customWidth="1"/>
    <x:col min="6" max="6" width="11.5" customWidth="1"/>
    <x:col min="7" max="7" width="10.880000114440918" customWidth="1"/>
    <x:col min="8" max="8" width="11.880000114440918" customWidth="1"/>
    <x:col min="9" max="9" width="22.3799991607666" customWidth="1"/>
    <x:col min="10" max="10" width="10.880000114440918" customWidth="1"/>
    <x:col min="11" max="12" width="10.5" customWidth="1"/>
    <x:col min="13" max="13" width="19.75" customWidth="1"/>
    <x:col min="14" max="14" width="5" customWidth="1"/>
    <x:col min="15" max="15" width="8.5" customWidth="1"/>
    <x:col min="16" max="16" width="20.1299991607666" customWidth="1"/>
    <x:col min="17" max="17" width="12" customWidth="1"/>
    <x:col min="18" max="18" width="10.5" customWidth="1"/>
    <x:col min="19" max="19" width="16" customWidth="1"/>
    <x:col min="20" max="20" width="11.5" customWidth="1"/>
    <x:col min="21" max="21" width="10.880000114440918" customWidth="1"/>
    <x:col min="22" max="22" width="11.880000114440918" customWidth="1"/>
    <x:col min="23" max="23" width="22.3799991607666" customWidth="1"/>
    <x:col min="24" max="24" width="10.880000114440918" customWidth="1"/>
    <x:col min="25" max="25" width="13.880000114440918" customWidth="1"/>
    <x:col min="26" max="26" width="10.5" customWidth="1"/>
    <x:col min="27" max="27" width="19.75" customWidth="1"/>
    <x:col min="28" max="28" width="4.5" customWidth="1"/>
    <x:col min="29" max="29" width="8.5" customWidth="1"/>
    <x:col min="30" max="30" width="20.25" customWidth="1"/>
    <x:col min="31" max="31" width="12" customWidth="1"/>
    <x:col min="32" max="32" width="10.5" customWidth="1"/>
    <x:col min="33" max="33" width="16" customWidth="1"/>
    <x:col min="34" max="34" width="11.5" customWidth="1"/>
    <x:col min="35" max="35" width="10.880000114440918" customWidth="1"/>
    <x:col min="36" max="36" width="11.880000114440918" customWidth="1"/>
    <x:col min="37" max="37" width="22.3799991607666" customWidth="1"/>
    <x:col min="38" max="38" width="10.880000114440918" customWidth="1"/>
    <x:col min="39" max="39" width="13.880000114440918" customWidth="1"/>
    <x:col min="40" max="40" width="10.5" customWidth="1"/>
    <x:col min="41" max="41" width="19.75" customWidth="1"/>
    <x:col min="42" max="42" width="7.630000114440918" customWidth="1"/>
    <x:col min="43" max="43" width="8.5" customWidth="1"/>
    <x:col min="44" max="44" width="16.6299991607666" customWidth="1"/>
    <x:col min="45" max="45" width="12" customWidth="1"/>
    <x:col min="46" max="46" width="10.5" customWidth="1"/>
    <x:col min="47" max="47" width="16" customWidth="1"/>
    <x:col min="48" max="48" width="11.5" customWidth="1"/>
    <x:col min="49" max="49" width="10.880000114440918" customWidth="1"/>
    <x:col min="50" max="50" width="11.880000114440918" customWidth="1"/>
    <x:col min="51" max="51" width="22.3799991607666" customWidth="1"/>
    <x:col min="52" max="52" width="10.880000114440918" customWidth="1"/>
    <x:col min="53" max="53" width="13.880000114440918" customWidth="1"/>
    <x:col min="54" max="54" width="10.5" customWidth="1"/>
    <x:col min="55" max="55" width="19.75" customWidth="1"/>
    <x:col min="56" max="56" width="10.5" customWidth="1"/>
    <x:col min="57" max="57" width="3.880000114440918" customWidth="1"/>
    <x:col min="58" max="58" width="7.75" customWidth="1"/>
    <x:col min="59" max="59" width="6.380000114440918" customWidth="1"/>
    <x:col min="60" max="60" width="5" customWidth="1"/>
    <x:col min="61" max="61" width="6.630000114440918" customWidth="1"/>
    <x:col min="62" max="62" width="4.130000114440918" customWidth="1"/>
    <x:col min="63" max="63" width="7.5" customWidth="1"/>
    <x:col min="64" max="64" width="6" customWidth="1"/>
    <x:col min="65" max="66" width="6.630000114440918" customWidth="1"/>
    <x:col min="67" max="67" width="4.130000114440918" customWidth="1"/>
    <x:col min="68" max="68" width="8" customWidth="1"/>
    <x:col min="69" max="69" width="6.630000114440918" customWidth="1"/>
    <x:col min="70" max="70" width="6" customWidth="1"/>
    <x:col min="71" max="71" width="6.880000114440918" customWidth="1"/>
    <x:col min="72" max="72" width="4.880000114440918" customWidth="1"/>
    <x:col min="73" max="73" width="7.25" customWidth="1"/>
    <x:col min="74" max="74" width="5.75" customWidth="1"/>
    <x:col min="75" max="75" width="6.630000114440918" customWidth="1"/>
    <x:col min="76" max="76" width="6.130000114440918" customWidth="1"/>
    <x:col min="77" max="77" width="6" customWidth="1"/>
    <x:col min="78" max="78" width="13.380000114440918" customWidth="1"/>
    <x:col min="79" max="79" width="4.5" customWidth="1"/>
    <x:col min="80" max="80" width="13.380000114440918" customWidth="1"/>
    <x:col min="81" max="81" width="6" customWidth="1"/>
    <x:col min="82" max="82" width="13.380000114440918" customWidth="1"/>
    <x:col min="83" max="85" width="11" customWidth="1"/>
  </x:cols>
  <x:sheetData>
    <x:row r="1" ht="14.25" customHeight="1">
      <x:c r="A1" s="3" t="s">
        <x:v>98</x:v>
      </x:c>
      <x:c r="B1" s="3" t="n">
        <x:f>Scoring!B43</x:f>
        <x:v>14</x:v>
      </x:c>
      <x:c r="C1" s="13" t="n">
        <x:f>LARGE(I3:I50, $B$1)</x:f>
        <x:v>238.47428532205882</x:v>
      </x:c>
      <x:c r="D1" s="3"/>
      <x:c r="E1" s="3"/>
      <x:c r="F1" s="3"/>
      <x:c r="G1" s="3"/>
      <x:c r="H1" s="3"/>
      <x:c r="I1" s="16"/>
      <x:c r="J1" s="16" t="n">
        <x:f>SUMIF(Aggregate!$J$3:$J$52,"&gt;0")</x:f>
        <x:v>275.703207367647</x:v>
      </x:c>
      <x:c r="K1" s="16"/>
      <x:c r="L1" s="16"/>
      <x:c r="M1" s="16"/>
      <x:c r="N1" s="16"/>
      <x:c r="O1" s="3" t="s">
        <x:v>98</x:v>
      </x:c>
      <x:c r="P1" s="3" t="n">
        <x:f>Scoring!C43</x:f>
        <x:v>29</x:v>
      </x:c>
      <x:c r="Q1" s="16" t="n">
        <x:f>LARGE($W$3:$W$102,P1)</x:f>
        <x:v>130.000329125</x:v>
      </x:c>
      <x:c r="R1" s="3"/>
      <x:c r="S1" s="3"/>
      <x:c r="T1" s="3"/>
      <x:c r="U1" s="3"/>
      <x:c r="V1" s="3"/>
      <x:c r="W1" s="16"/>
      <x:c r="X1" s="16" t="n">
        <x:f>SUMIF(Aggregate!$X$3:$X$102,"&gt;0")</x:f>
        <x:v>1298.4093837387645</x:v>
      </x:c>
      <x:c r="Y1" s="16"/>
      <x:c r="Z1" s="16"/>
      <x:c r="AA1" s="16"/>
      <x:c r="AB1" s="3"/>
      <x:c r="AC1" s="3" t="s">
        <x:v>98</x:v>
      </x:c>
      <x:c r="AD1" s="3" t="n">
        <x:f>Scoring!D43</x:f>
        <x:v>47</x:v>
      </x:c>
      <x:c r="AE1" s="16" t="n">
        <x:f>LARGE(Aggregate!$AK$3:$AK$102,AD1)</x:f>
        <x:v>102.19491175735294</x:v>
      </x:c>
      <x:c r="AF1" s="3"/>
      <x:c r="AG1" s="3"/>
      <x:c r="AH1" s="3"/>
      <x:c r="AI1" s="16"/>
      <x:c r="AJ1" s="3"/>
      <x:c r="AK1" s="16"/>
      <x:c r="AL1" s="16" t="n">
        <x:f>SUMIF(Aggregate!$AL$3:$AL$102,"&gt;0")</x:f>
        <x:v>1902.30068649103</x:v>
      </x:c>
      <x:c r="AM1" s="16"/>
      <x:c r="AN1" s="16"/>
      <x:c r="AO1" s="16"/>
      <x:c r="AP1" s="3"/>
      <x:c r="AQ1" s="3" t="s">
        <x:v>98</x:v>
      </x:c>
      <x:c r="AR1" s="3" t="n">
        <x:f>Scoring!E43</x:f>
        <x:v>14</x:v>
      </x:c>
      <x:c r="AS1" s="16" t="n">
        <x:f>IF(AR1=0,AE1,LARGE($AY$3:$AY$202,AR1))</x:f>
        <x:v>105.4615386117647</x:v>
      </x:c>
      <x:c r="AT1" s="3"/>
      <x:c r="AU1" s="3"/>
      <x:c r="AV1" s="3"/>
      <x:c r="AW1" s="3"/>
      <x:c r="AX1" s="3"/>
      <x:c r="AY1" s="3"/>
      <x:c r="AZ1" s="16" t="n">
        <x:f>SUMIF(Aggregate!$AZ$3:$AZ$52,"&gt;0")</x:f>
        <x:v>250.57301310882366</x:v>
      </x:c>
      <x:c r="BA1" s="16"/>
      <x:c r="BB1" s="16"/>
      <x:c r="BC1" s="16"/>
      <x:c r="BD1" s="16"/>
      <x:c r="BE1" s="3"/>
      <x:c r="BF1" s="3"/>
      <x:c r="BG1" s="3"/>
      <x:c r="BH1" s="13"/>
      <x:c r="BI1" s="13"/>
      <x:c r="BJ1" s="13"/>
      <x:c r="BK1" s="13"/>
      <x:c r="BL1" s="13"/>
      <x:c r="BM1" s="13"/>
      <x:c r="BN1" s="13"/>
      <x:c r="BO1" s="13"/>
      <x:c r="BP1" s="13"/>
      <x:c r="BQ1" s="13"/>
      <x:c r="BR1" s="13"/>
      <x:c r="BS1" s="13"/>
      <x:c r="BT1" s="13"/>
      <x:c r="BU1" s="13"/>
      <x:c r="BV1" s="13"/>
      <x:c r="BW1" s="13"/>
      <x:c r="BX1" s="13"/>
      <x:c r="BY1" s="13"/>
      <x:c r="BZ1" s="13"/>
      <x:c r="CA1" s="13"/>
      <x:c r="CB1" s="13"/>
      <x:c r="CC1" s="13"/>
      <x:c r="CD1" s="13"/>
      <x:c r="CE1" s="13"/>
      <x:c r="CF1" s="13"/>
      <x:c r="CG1" s="13"/>
    </x:row>
    <x:row r="2" ht="14.25" customHeight="1">
      <x:c r="A2" s="43"/>
      <x:c r="B2" s="45" t="s">
        <x:v>99</x:v>
      </x:c>
      <x:c r="C2" s="43" t="s">
        <x:v>100</x:v>
      </x:c>
      <x:c r="D2" s="43" t="s">
        <x:v>101</x:v>
      </x:c>
      <x:c r="E2" s="43" t="s">
        <x:v>102</x:v>
      </x:c>
      <x:c r="F2" s="43" t="s">
        <x:v>103</x:v>
      </x:c>
      <x:c r="G2" s="43" t="s">
        <x:v>104</x:v>
      </x:c>
      <x:c r="H2" s="43" t="s">
        <x:v>105</x:v>
      </x:c>
      <x:c r="I2" s="43" t="s">
        <x:v>106</x:v>
      </x:c>
      <x:c r="J2" s="43" t="s">
        <x:v>107</x:v>
      </x:c>
      <x:c r="K2" s="43" t="s">
        <x:v>108</x:v>
      </x:c>
      <x:c r="L2" s="43" t="s">
        <x:v>109</x:v>
      </x:c>
      <x:c r="M2" s="43" t="s">
        <x:v>110</x:v>
      </x:c>
      <x:c r="N2" s="3"/>
      <x:c r="O2" s="43"/>
      <x:c r="P2" s="45" t="s">
        <x:v>99</x:v>
      </x:c>
      <x:c r="Q2" s="43" t="s">
        <x:v>100</x:v>
      </x:c>
      <x:c r="R2" s="43" t="s">
        <x:v>101</x:v>
      </x:c>
      <x:c r="S2" s="43" t="s">
        <x:v>102</x:v>
      </x:c>
      <x:c r="T2" s="43" t="s">
        <x:v>103</x:v>
      </x:c>
      <x:c r="U2" s="43" t="s">
        <x:v>104</x:v>
      </x:c>
      <x:c r="V2" s="43" t="s">
        <x:v>105</x:v>
      </x:c>
      <x:c r="W2" s="43" t="s">
        <x:v>106</x:v>
      </x:c>
      <x:c r="X2" s="43" t="s">
        <x:v>107</x:v>
      </x:c>
      <x:c r="Y2" s="43" t="s">
        <x:v>111</x:v>
      </x:c>
      <x:c r="Z2" s="43" t="s">
        <x:v>109</x:v>
      </x:c>
      <x:c r="AA2" s="43" t="s">
        <x:v>110</x:v>
      </x:c>
      <x:c r="AB2" s="3"/>
      <x:c r="AC2" s="48"/>
      <x:c r="AD2" s="48" t="s">
        <x:v>99</x:v>
      </x:c>
      <x:c r="AE2" s="48" t="s">
        <x:v>100</x:v>
      </x:c>
      <x:c r="AF2" s="48" t="s">
        <x:v>101</x:v>
      </x:c>
      <x:c r="AG2" s="48" t="s">
        <x:v>102</x:v>
      </x:c>
      <x:c r="AH2" s="48" t="s">
        <x:v>103</x:v>
      </x:c>
      <x:c r="AI2" s="48" t="s">
        <x:v>104</x:v>
      </x:c>
      <x:c r="AJ2" s="50" t="s">
        <x:v>105</x:v>
      </x:c>
      <x:c r="AK2" s="43" t="s">
        <x:v>106</x:v>
      </x:c>
      <x:c r="AL2" s="43" t="s">
        <x:v>107</x:v>
      </x:c>
      <x:c r="AM2" s="43" t="s">
        <x:v>111</x:v>
      </x:c>
      <x:c r="AN2" s="52" t="s">
        <x:v>109</x:v>
      </x:c>
      <x:c r="AO2" s="52" t="s">
        <x:v>110</x:v>
      </x:c>
      <x:c r="AP2" s="3"/>
      <x:c r="AQ2" s="48"/>
      <x:c r="AR2" s="48" t="s">
        <x:v>99</x:v>
      </x:c>
      <x:c r="AS2" s="48" t="s">
        <x:v>100</x:v>
      </x:c>
      <x:c r="AT2" s="48" t="s">
        <x:v>101</x:v>
      </x:c>
      <x:c r="AU2" s="48" t="s">
        <x:v>102</x:v>
      </x:c>
      <x:c r="AV2" s="48" t="s">
        <x:v>103</x:v>
      </x:c>
      <x:c r="AW2" s="48" t="s">
        <x:v>104</x:v>
      </x:c>
      <x:c r="AX2" s="50" t="s">
        <x:v>105</x:v>
      </x:c>
      <x:c r="AY2" s="43" t="s">
        <x:v>106</x:v>
      </x:c>
      <x:c r="AZ2" s="43" t="s">
        <x:v>107</x:v>
      </x:c>
      <x:c r="BA2" s="43" t="s">
        <x:v>111</x:v>
      </x:c>
      <x:c r="BB2" s="52" t="s">
        <x:v>109</x:v>
      </x:c>
      <x:c r="BC2" s="52" t="s">
        <x:v>110</x:v>
      </x:c>
      <x:c r="BD2" s="52" t="s">
        <x:v>112</x:v>
      </x:c>
      <x:c r="BE2" s="3"/>
      <x:c r="BF2" s="3" t="s">
        <x:v>113</x:v>
      </x:c>
      <x:c r="BG2" s="3" t="s">
        <x:v>114</x:v>
      </x:c>
      <x:c r="BH2" s="13" t="s">
        <x:v>115</x:v>
      </x:c>
      <x:c r="BI2" s="13" t="s">
        <x:v>116</x:v>
      </x:c>
      <x:c r="BJ2" s="13" t="s">
        <x:v>109</x:v>
      </x:c>
      <x:c r="BK2" s="56" t="s">
        <x:v>117</x:v>
      </x:c>
      <x:c r="BL2" s="57" t="s">
        <x:v>118</x:v>
      </x:c>
      <x:c r="BM2" s="57" t="s">
        <x:v>119</x:v>
      </x:c>
      <x:c r="BN2" s="57" t="s">
        <x:v>120</x:v>
      </x:c>
      <x:c r="BO2" s="58" t="s">
        <x:v>109</x:v>
      </x:c>
      <x:c r="BP2" s="13" t="s">
        <x:v>121</x:v>
      </x:c>
      <x:c r="BQ2" s="13" t="s">
        <x:v>122</x:v>
      </x:c>
      <x:c r="BR2" s="13" t="s">
        <x:v>123</x:v>
      </x:c>
      <x:c r="BS2" s="13" t="s">
        <x:v>124</x:v>
      </x:c>
      <x:c r="BT2" s="13" t="s">
        <x:v>109</x:v>
      </x:c>
      <x:c r="BU2" s="13" t="s">
        <x:v>125</x:v>
      </x:c>
      <x:c r="BV2" s="13" t="s">
        <x:v>126</x:v>
      </x:c>
      <x:c r="BW2" s="13" t="s">
        <x:v>127</x:v>
      </x:c>
      <x:c r="BX2" s="13" t="s">
        <x:v>128</x:v>
      </x:c>
      <x:c r="BY2" s="13" t="s">
        <x:v>109</x:v>
      </x:c>
      <x:c r="BZ2" s="13"/>
      <x:c r="CA2" s="13"/>
      <x:c r="CB2" s="13"/>
      <x:c r="CC2" s="13"/>
      <x:c r="CD2" s="13"/>
      <x:c r="CE2" s="13"/>
      <x:c r="CF2" s="13"/>
      <x:c r="CG2" s="13"/>
    </x:row>
    <x:row r="3" ht="14.25" customHeight="1">
      <x:c r="A3" s="60" t="s">
        <x:v>129</x:v>
      </x:c>
      <x:c r="B3" s="60" t="str">
        <x:f>VLOOKUP(A3,ECR!E:L,8,FALSE())</x:f>
        <x:v>Josh Allen</x:v>
      </x:c>
      <x:c r="C3" s="63" t="str">
        <x:f>IFERROR(VLOOKUP(Aggregate!$B3,ECR!C:F,2,FALSE()),"-")</x:f>
        <x:v>BUF</x:v>
      </x:c>
      <x:c r="D3" s="63" t="n">
        <x:f>IFERROR(VLOOKUP(Aggregate!$B3,ECR!C:F,4,FALSE()),"-")</x:f>
        <x:v>7</x:v>
      </x:c>
      <x:c r="E3" s="63" t="str">
        <x:f>Aggregate!$C3 &amp; "/" &amp; Aggregate!$D3</x:f>
        <x:v>BUF/7</x:v>
      </x:c>
      <x:c r="F3" s="67" t="n">
        <x:f>IFERROR(VLOOKUP(Aggregate!$B3,QB!A:Q,15,FALSE())/17*(16-Aggregate!$M3),0)</x:f>
        <x:v>288.35728058823526</x:v>
      </x:c>
      <x:c r="G3" s="67" t="n">
        <x:f>IFERROR(VLOOKUP(Aggregate!$B3,QB!A:Q,16,FALSE())/17*(16-Aggregate!$M3),0)</x:f>
        <x:v>305.05824458823525</x:v>
      </x:c>
      <x:c r="H3" s="67" t="n">
        <x:f>IFERROR(VLOOKUP(Aggregate!$B3,QB!A:Q,17,FALSE())/17*(16-Aggregate!$M3),0)</x:f>
        <x:v>327.43312552941177</x:v>
      </x:c>
      <x:c r="I3" s="70" t="n">
        <x:f>AVERAGE(Aggregate!$F3,Aggregate!$G3,Aggregate!$H3,VLOOKUP(Aggregate!$B3,ECR!L:N,3,FALSE))</x:f>
        <x:v>307.9595275014706</x:v>
      </x:c>
      <x:c r="J3" s="70" t="n">
        <x:f>Aggregate!$I3-$C$1</x:f>
        <x:v>69.48524217941176</x:v>
      </x:c>
      <x:c r="K3" s="74" t="n">
        <x:f>MAX(Aggregate!$J3*Scoring!$B$48+1,1)</x:f>
        <x:v>42.83672041923507</x:v>
      </x:c>
      <x:c r="L3" s="75" t="n">
        <x:f>VLOOKUP(Aggregate!$J3,BH:BJ,3,FALSE)</x:f>
        <x:v>1</x:v>
      </x:c>
      <x:c r="M3" s="77" t="n">
        <x:f t="array" ref="M3">VLOOKUP(INDEX(ECR!$E:$E,MATCH(B3,ECR!$C:$C,0)),RISK!A:B,2,FALSE())</x:f>
        <x:v>1.7985000000000007</x:v>
      </x:c>
      <x:c r="N3" s="78"/>
      <x:c r="O3" s="75" t="s">
        <x:v>130</x:v>
      </x:c>
      <x:c r="P3" s="60" t="str">
        <x:f>VLOOKUP(O3,ECR!E:L,8,FALSE())</x:f>
        <x:v>Jahmyr Gibbs</x:v>
      </x:c>
      <x:c r="Q3" s="63" t="str">
        <x:f>IFERROR(VLOOKUP(Aggregate!$P3,ECR!C:F,2,FALSE()),"-")</x:f>
        <x:v>DET</x:v>
      </x:c>
      <x:c r="R3" s="63" t="n">
        <x:f>IFERROR(VLOOKUP(Aggregate!$P3,ECR!C:F,4,FALSE()),"-")</x:f>
        <x:v>6</x:v>
      </x:c>
      <x:c r="S3" s="63" t="str">
        <x:f>Aggregate!$Q3 &amp; "/" &amp; Aggregate!$R3</x:f>
        <x:v>DET/6</x:v>
      </x:c>
      <x:c r="T3" s="67" t="n">
        <x:f>IFERROR(VLOOKUP(Aggregate!$P3,RB!A:Q,13,FALSE())/17*(16-Aggregate!$AA3),0)</x:f>
        <x:v>239.8041176470588</x:v>
      </x:c>
      <x:c r="U3" s="67" t="n">
        <x:f>IFERROR(VLOOKUP(Aggregate!$P3,RB!A:Q,14,FALSE())/17*(16-Aggregate!$AA3),0)</x:f>
        <x:v>257.8588235294118</x:v>
      </x:c>
      <x:c r="V3" s="67" t="n">
        <x:f>IFERROR(VLOOKUP(Aggregate!$P3,RB!A:Q,15,FALSE())/17*(16-Aggregate!$AA3),0)</x:f>
        <x:v>275.0647058823529</x:v>
      </x:c>
      <x:c r="W3" s="70" t="n">
        <x:f>AVERAGE(Aggregate!$T3,Aggregate!$U3,Aggregate!$V3,VLOOKUP(Aggregate!$P3,ECR!L:N,3,FALSE))</x:f>
        <x:v>257.6466176397059</x:v>
      </x:c>
      <x:c r="X3" s="70" t="n">
        <x:f>Aggregate!$W3-$Q$1</x:f>
        <x:v>127.64628851470587</x:v>
      </x:c>
      <x:c r="Y3" s="74" t="n">
        <x:f>MAX(Aggregate!$X3*Scoring!$B$48+1,1)</x:f>
        <x:v>77.85519856653936</x:v>
      </x:c>
      <x:c r="Z3" s="75" t="n">
        <x:f>VLOOKUP(Aggregate!$X3,BM:BO,3,FALSE)</x:f>
        <x:v>1</x:v>
      </x:c>
      <x:c r="AA3" s="77" t="n">
        <x:f t="array" ref="AA3">VLOOKUP(INDEX(ECR!$E:$E,MATCH(P3,ECR!$C:$C,0)),RISK!A:B,2,FALSE())</x:f>
        <x:v>3</x:v>
      </x:c>
      <x:c r="AB3" s="78"/>
      <x:c r="AC3" s="63" t="s">
        <x:v>131</x:v>
      </x:c>
      <x:c r="AD3" s="63" t="str">
        <x:f>VLOOKUP(AC3,ECR!E:L,8,FALSE())</x:f>
        <x:v>Ja'Marr Chase</x:v>
      </x:c>
      <x:c r="AE3" s="63" t="str">
        <x:f>IFERROR(VLOOKUP(Aggregate!$AD3,ECR!C:F,2,FALSE()),"-")</x:f>
        <x:v>CIN</x:v>
      </x:c>
      <x:c r="AF3" s="63" t="n">
        <x:f>IFERROR(VLOOKUP(Aggregate!$AD3,ECR!C:F,4,FALSE()),"-")</x:f>
        <x:v>6</x:v>
      </x:c>
      <x:c r="AG3" s="63" t="str">
        <x:f>Aggregate!$AE3 &amp; "/" &amp; Aggregate!$AF3</x:f>
        <x:v>CIN/6</x:v>
      </x:c>
      <x:c r="AH3" s="67" t="n">
        <x:f>IFERROR(VLOOKUP(Aggregate!$AD3,WR!A:Q,13,FALSE())/17*(16-Aggregate!$AO3),0)</x:f>
        <x:v>224.11707352941178</x:v>
      </x:c>
      <x:c r="AI3" s="67" t="n">
        <x:f>IFERROR(VLOOKUP(Aggregate!$AD3,WR!A:Q,14,FALSE())/17*(16-Aggregate!$AO3),0)</x:f>
        <x:v>233.03939029411762</x:v>
      </x:c>
      <x:c r="AJ3" s="67" t="n">
        <x:f>IFERROR(VLOOKUP(Aggregate!$AD3,WR!A:Q,15,FALSE())/17*(16-Aggregate!$AO3),0)</x:f>
        <x:v>242.32605617647062</x:v>
      </x:c>
      <x:c r="AK3" s="70" t="n">
        <x:f>AVERAGE(Aggregate!$AH3,Aggregate!$AI3,Aggregate!$AJ3,VLOOKUP(Aggregate!$AD3,ECR!L:N,3,FALSE))</x:f>
        <x:v>234.1372306</x:v>
      </x:c>
      <x:c r="AL3" s="70" t="n">
        <x:f>Aggregate!$AK3-$AE$1</x:f>
        <x:v>131.94231884264707</x:v>
      </x:c>
      <x:c r="AM3" s="74" t="n">
        <x:f>MAX(Aggregate!$AL3*Scoring!$B$48+1,1)</x:f>
        <x:v>80.44181716504062</x:v>
      </x:c>
      <x:c r="AN3" s="75" t="n">
        <x:f>VLOOKUP(Aggregate!$AL3,BR:BT,3,FALSE)</x:f>
        <x:v>1</x:v>
      </x:c>
      <x:c r="AO3" s="77" t="n">
        <x:f t="array" ref="AO3">VLOOKUP(INDEX(ECR!$E:$E,MATCH(AD3,ECR!$C:$C,0)),RISK!A:B,2,FALSE())</x:f>
        <x:v>1.5954999999999995</x:v>
      </x:c>
      <x:c r="AP3" s="78"/>
      <x:c r="AQ3" s="87" t="s">
        <x:v>132</x:v>
      </x:c>
      <x:c r="AR3" s="87" t="str">
        <x:f>VLOOKUP(AQ3,ECR!E:L,8,FALSE())</x:f>
        <x:v>Brock Bowers</x:v>
      </x:c>
      <x:c r="AS3" s="87" t="str">
        <x:f>IFERROR(VLOOKUP(Aggregate!$AR3,ECR!C:F,2,FALSE()),"-")</x:f>
        <x:v>LV</x:v>
      </x:c>
      <x:c r="AT3" s="87" t="n">
        <x:f>IFERROR(VLOOKUP(Aggregate!$AR3,ECR!C:F,4,FALSE()),"-")</x:f>
        <x:v>13</x:v>
      </x:c>
      <x:c r="AU3" s="87" t="str">
        <x:f>Aggregate!$AS3 &amp; "/" &amp; Aggregate!$AT3</x:f>
        <x:v>LV/13</x:v>
      </x:c>
      <x:c r="AV3" s="67" t="n">
        <x:f>IFERROR(VLOOKUP(Aggregate!$AR3,TE!A:K,9,FALSE())/17*(16-Aggregate!$BC3),0)</x:f>
        <x:v>146.42714705882352</x:v>
      </x:c>
      <x:c r="AW3" s="67" t="n">
        <x:f>IFERROR(VLOOKUP(Aggregate!$AR3,TE!A:K,10,FALSE())/17*(16-Aggregate!$BC3),0)</x:f>
        <x:v>165.55792647058826</x:v>
      </x:c>
      <x:c r="AX3" s="67" t="n">
        <x:f>IFERROR(VLOOKUP(Aggregate!$AR3,TE!A:K,11,FALSE())/17*(16-Aggregate!$BC3),0)</x:f>
        <x:v>178.15033823529413</x:v>
      </x:c>
      <x:c r="AY3" s="70" t="n">
        <x:f>AVERAGE(Aggregate!$AV3,Aggregate!$AW3,Aggregate!$AX3,VLOOKUP(Aggregate!$AR3,ECR!L:N,3,FALSE))</x:f>
        <x:v>163.8829742661765</x:v>
      </x:c>
      <x:c r="AZ3" s="70" t="n">
        <x:f>Aggregate!$AY3-$AS$1</x:f>
        <x:v>58.421435654411795</x:v>
      </x:c>
      <x:c r="BA3" s="74" t="n">
        <x:f>MAX(Aggregate!$AZ3*Scoring!$B$48+1,1)</x:f>
        <x:v>36.17525726762387</x:v>
      </x:c>
      <x:c r="BB3" s="67" t="n">
        <x:f>VLOOKUP(Aggregate!$AZ3,BW:BY,3,FALSE)</x:f>
        <x:v>1</x:v>
      </x:c>
      <x:c r="BC3" s="77" t="n">
        <x:f t="array" ref="BC3">VLOOKUP(INDEX(ECR!$E:$E,MATCH(AR3,ECR!$C:$C,0)),RISK!A:B,2,FALSE())</x:f>
        <x:v>2.2775</x:v>
      </x:c>
      <x:c r="BD3" s="67"/>
      <x:c r="BE3" s="78"/>
      <x:c r="BF3" s="78">
        <x:v>1.0</x:v>
      </x:c>
      <x:c r="BG3" s="78" t="n">
        <x:f t="shared" ref="BG3:BG102" si="1">IFERROR(LARGE($G$3:$G$52,BF3),"")</x:f>
        <x:v>305.05824458823525</x:v>
      </x:c>
      <x:c r="BH3" s="78" t="n">
        <x:f>IFERROR(LARGE($J$3:$J$52,1),"")</x:f>
        <x:v>69.48524217941176</x:v>
      </x:c>
      <x:c r="BI3" s="78" t="n">
        <x:f>BH3</x:f>
        <x:v>69.48524217941176</x:v>
      </x:c>
      <x:c r="BJ3" s="78">
        <x:v>1.0</x:v>
      </x:c>
      <x:c r="BK3" s="89">
        <x:v>1.0</x:v>
      </x:c>
      <x:c r="BL3" s="78" t="n">
        <x:f t="shared" ref="BL3:BL102" si="2">IFERROR(LARGE($U$3:$U$102,BK3),"")</x:f>
        <x:v>257.8588235294118</x:v>
      </x:c>
      <x:c r="BM3" s="90" t="n">
        <x:f>IFERROR(LARGE($X$3:$X$102,1),"")</x:f>
        <x:v>127.64628851470587</x:v>
      </x:c>
      <x:c r="BN3" s="90" t="n">
        <x:f>BM3</x:f>
        <x:v>127.64628851470587</x:v>
      </x:c>
      <x:c r="BO3" s="91">
        <x:v>1.0</x:v>
      </x:c>
      <x:c r="BP3" s="90">
        <x:v>1.0</x:v>
      </x:c>
      <x:c r="BQ3" s="78" t="n">
        <x:f t="shared" ref="BQ3:BQ102" si="3">IFERROR(LARGE($AI$3:$AI$102,BP3),"")</x:f>
        <x:v>237.06640235294117</x:v>
      </x:c>
      <x:c r="BR3" s="90" t="n">
        <x:f>IFERROR(LARGE($AL$3:$AL$102,1),"")</x:f>
        <x:v>134.1175634647059</x:v>
      </x:c>
      <x:c r="BS3" s="90" t="n">
        <x:f>BR3</x:f>
        <x:v>134.1175634647059</x:v>
      </x:c>
      <x:c r="BT3" s="90">
        <x:v>1.0</x:v>
      </x:c>
      <x:c r="BU3" s="78">
        <x:v>1.0</x:v>
      </x:c>
      <x:c r="BV3" s="78" t="n">
        <x:f t="shared" ref="BV3:BV102" si="4">IFERROR(LARGE($AW$3:$AW$52,BU3),"")</x:f>
        <x:v>165.55792647058826</x:v>
      </x:c>
      <x:c r="BW3" s="90" t="n">
        <x:f>IFERROR(LARGE($AZ$3:$AZ$52,1),"")</x:f>
        <x:v>58.421435654411795</x:v>
      </x:c>
      <x:c r="BX3" s="90" t="n">
        <x:f>BW3</x:f>
        <x:v>58.421435654411795</x:v>
      </x:c>
      <x:c r="BY3" s="90">
        <x:v>1.0</x:v>
      </x:c>
      <x:c r="BZ3" s="90"/>
      <x:c r="CA3" s="90"/>
      <x:c r="CB3" s="90"/>
      <x:c r="CC3" s="90"/>
      <x:c r="CD3" s="90"/>
      <x:c r="CE3" s="90"/>
      <x:c r="CF3" s="90"/>
      <x:c r="CG3" s="90"/>
    </x:row>
    <x:row r="4" ht="14.25" customHeight="1">
      <x:c r="A4" s="60" t="s">
        <x:v>133</x:v>
      </x:c>
      <x:c r="B4" s="60" t="str">
        <x:f>VLOOKUP(A4,ECR!E:L,8,FALSE())</x:f>
        <x:v>Lamar Jackson</x:v>
      </x:c>
      <x:c r="C4" s="63" t="str">
        <x:f>IFERROR(VLOOKUP(Aggregate!$B4,ECR!C:F,2,FALSE()),"-")</x:f>
        <x:v>BAL</x:v>
      </x:c>
      <x:c r="D4" s="63" t="n">
        <x:f>IFERROR(VLOOKUP(Aggregate!$B4,ECR!C:F,4,FALSE()),"-")</x:f>
        <x:v>13</x:v>
      </x:c>
      <x:c r="E4" s="63" t="str">
        <x:f>Aggregate!$C4 &amp; "/" &amp; Aggregate!$D4</x:f>
        <x:v>BAL/13</x:v>
      </x:c>
      <x:c r="F4" s="67" t="n">
        <x:f>IFERROR(VLOOKUP(Aggregate!$B4,QB!A:Q,15,FALSE())/17*(16-Aggregate!$M4),0)</x:f>
        <x:v>243.42533999999998</x:v>
      </x:c>
      <x:c r="G4" s="67" t="n">
        <x:f>IFERROR(VLOOKUP(Aggregate!$B4,QB!A:Q,16,FALSE())/17*(16-Aggregate!$M4),0)</x:f>
        <x:v>267.2302783058824</x:v>
      </x:c>
      <x:c r="H4" s="67" t="n">
        <x:f>IFERROR(VLOOKUP(Aggregate!$B4,QB!A:Q,17,FALSE())/17*(16-Aggregate!$M4),0)</x:f>
        <x:v>298.7926722352941</x:v>
      </x:c>
      <x:c r="I4" s="70" t="n">
        <x:f>AVERAGE(Aggregate!$F4,Aggregate!$G4,Aggregate!$H4,VLOOKUP(Aggregate!$B4,ECR!L:N,3,FALSE))</x:f>
        <x:v>270.3001004352941</x:v>
      </x:c>
      <x:c r="J4" s="70" t="n">
        <x:f>Aggregate!$I4-$C$1</x:f>
        <x:v>31.82581511323528</x:v>
      </x:c>
      <x:c r="K4" s="74" t="n">
        <x:f>MAX(Aggregate!$J4*Scoring!$B$48+1,1)</x:f>
        <x:v>20.162165767067094</x:v>
      </x:c>
      <x:c r="L4" s="75" t="n">
        <x:f>VLOOKUP(Aggregate!$J4,BH:BJ,3,FALSE)</x:f>
        <x:v>2</x:v>
      </x:c>
      <x:c r="M4" s="77" t="n">
        <x:f t="array" ref="M4">VLOOKUP(INDEX(ECR!$E:$E,MATCH(B4,ECR!$C:$C,0)),RISK!A:B,2,FALSE())</x:f>
        <x:v>1.7645999999999997</x:v>
      </x:c>
      <x:c r="N4" s="78"/>
      <x:c r="O4" s="75" t="s">
        <x:v>134</x:v>
      </x:c>
      <x:c r="P4" s="60" t="str">
        <x:f>VLOOKUP(O4,ECR!E:L,8,FALSE())</x:f>
        <x:v>Bijan Robinson</x:v>
      </x:c>
      <x:c r="Q4" s="63" t="str">
        <x:f>IFERROR(VLOOKUP(Aggregate!$P4,ECR!C:F,2,FALSE()),"-")</x:f>
        <x:v>ATL</x:v>
      </x:c>
      <x:c r="R4" s="63" t="n">
        <x:f>IFERROR(VLOOKUP(Aggregate!$P4,ECR!C:F,4,FALSE()),"-")</x:f>
        <x:v>11</x:v>
      </x:c>
      <x:c r="S4" s="63" t="str">
        <x:f>Aggregate!$Q4 &amp; "/" &amp; Aggregate!$R4</x:f>
        <x:v>ATL/11</x:v>
      </x:c>
      <x:c r="T4" s="67" t="n">
        <x:f>IFERROR(VLOOKUP(Aggregate!$P4,RB!A:Q,13,FALSE())/17*(16-Aggregate!$AA4),0)</x:f>
        <x:v>235.3305882352941</x:v>
      </x:c>
      <x:c r="U4" s="67" t="n">
        <x:f>IFERROR(VLOOKUP(Aggregate!$P4,RB!A:Q,14,FALSE())/17*(16-Aggregate!$AA4),0)</x:f>
        <x:v>243.61999999999998</x:v>
      </x:c>
      <x:c r="V4" s="67" t="n">
        <x:f>IFERROR(VLOOKUP(Aggregate!$P4,RB!A:Q,15,FALSE())/17*(16-Aggregate!$AA4),0)</x:f>
        <x:v>250.64764705882354</x:v>
      </x:c>
      <x:c r="W4" s="70" t="n">
        <x:f>AVERAGE(Aggregate!$T4,Aggregate!$U4,Aggregate!$V4,VLOOKUP(Aggregate!$P4,ECR!L:N,3,FALSE))</x:f>
        <x:v>243.3045588235294</x:v>
      </x:c>
      <x:c r="X4" s="70" t="n">
        <x:f>Aggregate!$W4-$Q$1</x:f>
        <x:v>113.30422969852938</x:v>
      </x:c>
      <x:c r="Y4" s="74" t="n">
        <x:f>MAX(Aggregate!$X4*Scoring!$B$48+1,1)</x:f>
        <x:v>69.21991593516664</x:v>
      </x:c>
      <x:c r="Z4" s="75" t="n">
        <x:f>VLOOKUP(Aggregate!$X4,BM:BO,3,FALSE)</x:f>
        <x:v>1</x:v>
      </x:c>
      <x:c r="AA4" s="77" t="n">
        <x:f t="array" ref="AA4">VLOOKUP(INDEX(ECR!$E:$E,MATCH(P4,ECR!$C:$C,0)),RISK!A:B,2,FALSE())</x:f>
        <x:v>3</x:v>
      </x:c>
      <x:c r="AB4" s="78"/>
      <x:c r="AC4" s="63" t="s">
        <x:v>135</x:v>
      </x:c>
      <x:c r="AD4" s="63" t="str">
        <x:f>VLOOKUP(AC4,ECR!E:L,8,FALSE())</x:f>
        <x:v>Puka Nacua</x:v>
      </x:c>
      <x:c r="AE4" s="63" t="str">
        <x:f>IFERROR(VLOOKUP(Aggregate!$AD4,ECR!C:F,2,FALSE()),"-")</x:f>
        <x:v>LAR</x:v>
      </x:c>
      <x:c r="AF4" s="63" t="n">
        <x:f>IFERROR(VLOOKUP(Aggregate!$AD4,ECR!C:F,4,FALSE()),"-")</x:f>
        <x:v>11</x:v>
      </x:c>
      <x:c r="AG4" s="63" t="str">
        <x:f>Aggregate!$AE4 &amp; "/" &amp; Aggregate!$AF4</x:f>
        <x:v>LAR/11</x:v>
      </x:c>
      <x:c r="AH4" s="67" t="n">
        <x:f>IFERROR(VLOOKUP(Aggregate!$AD4,WR!A:Q,13,FALSE())/17*(16-Aggregate!$AO4),0)</x:f>
        <x:v>235.04379529411767</x:v>
      </x:c>
      <x:c r="AI4" s="67" t="n">
        <x:f>IFERROR(VLOOKUP(Aggregate!$AD4,WR!A:Q,14,FALSE())/17*(16-Aggregate!$AO4),0)</x:f>
        <x:v>237.06640235294117</x:v>
      </x:c>
      <x:c r="AJ4" s="67" t="n">
        <x:f>IFERROR(VLOOKUP(Aggregate!$AD4,WR!A:Q,15,FALSE())/17*(16-Aggregate!$AO4),0)</x:f>
        <x:v>240.10031294117647</x:v>
      </x:c>
      <x:c r="AK4" s="70" t="n">
        <x:f>AVERAGE(Aggregate!$AH4,Aggregate!$AI4,Aggregate!$AJ4,VLOOKUP(Aggregate!$AD4,ECR!L:N,3,FALSE))</x:f>
        <x:v>236.31247522205885</x:v>
      </x:c>
      <x:c r="AL4" s="70" t="n">
        <x:f>Aggregate!$AK4-$AE$1</x:f>
        <x:v>134.1175634647059</x:v>
      </x:c>
      <x:c r="AM4" s="74" t="n">
        <x:f>MAX(Aggregate!$AL4*Scoring!$B$48+1,1)</x:f>
        <x:v>81.7515211862419</x:v>
      </x:c>
      <x:c r="AN4" s="75" t="n">
        <x:f>VLOOKUP(Aggregate!$AL4,BR:BT,3,FALSE)</x:f>
        <x:v>1</x:v>
      </x:c>
      <x:c r="AO4" s="77" t="n">
        <x:f t="array" ref="AO4">VLOOKUP(INDEX(ECR!$E:$E,MATCH(AD4,ECR!$C:$C,0)),RISK!A:B,2,FALSE())</x:f>
        <x:v>1.6731999999999996</x:v>
      </x:c>
      <x:c r="AP4" s="78"/>
      <x:c r="AQ4" s="87" t="s">
        <x:v>136</x:v>
      </x:c>
      <x:c r="AR4" s="87" t="str">
        <x:f>VLOOKUP(AQ4,ECR!E:L,8,FALSE())</x:f>
        <x:v>Trey McBride</x:v>
      </x:c>
      <x:c r="AS4" s="87" t="str">
        <x:f>IFERROR(VLOOKUP(Aggregate!$AR4,ECR!C:F,2,FALSE()),"-")</x:f>
        <x:v>ARI</x:v>
      </x:c>
      <x:c r="AT4" s="87" t="n">
        <x:f>IFERROR(VLOOKUP(Aggregate!$AR4,ECR!C:F,4,FALSE()),"-")</x:f>
        <x:v>14</x:v>
      </x:c>
      <x:c r="AU4" s="87" t="str">
        <x:f>Aggregate!$AS4 &amp; "/" &amp; Aggregate!$AT4</x:f>
        <x:v>ARI/14</x:v>
      </x:c>
      <x:c r="AV4" s="67" t="n">
        <x:f>IFERROR(VLOOKUP(Aggregate!$AR4,TE!A:K,9,FALSE())/17*(16-Aggregate!$BC4),0)</x:f>
        <x:v>149.44847952941174</x:v>
      </x:c>
      <x:c r="AW4" s="67" t="n">
        <x:f>IFERROR(VLOOKUP(Aggregate!$AR4,TE!A:K,10,FALSE())/17*(16-Aggregate!$BC4),0)</x:f>
        <x:v>162.07171200000002</x:v>
      </x:c>
      <x:c r="AX4" s="67" t="n">
        <x:f>IFERROR(VLOOKUP(Aggregate!$AR4,TE!A:K,11,FALSE())/17*(16-Aggregate!$BC4),0)</x:f>
        <x:v>175.74621176470586</x:v>
      </x:c>
      <x:c r="AY4" s="70" t="n">
        <x:f>AVERAGE(Aggregate!$AV4,Aggregate!$AW4,Aggregate!$AX4,VLOOKUP(Aggregate!$AR4,ECR!L:N,3,FALSE))</x:f>
        <x:v>162.2944041235294</x:v>
      </x:c>
      <x:c r="AZ4" s="70" t="n">
        <x:f>Aggregate!$AY4-$AS$1</x:f>
        <x:v>56.83286551176471</x:v>
      </x:c>
      <x:c r="BA4" s="74" t="n">
        <x:f>MAX(Aggregate!$AZ4*Scoring!$B$48+1,1)</x:f>
        <x:v>35.21878704690177</x:v>
      </x:c>
      <x:c r="BB4" s="67" t="n">
        <x:f>VLOOKUP(Aggregate!$AZ4,BW:BY,3,FALSE)</x:f>
        <x:v>1</x:v>
      </x:c>
      <x:c r="BC4" s="77" t="n">
        <x:f t="array" ref="BC4">VLOOKUP(INDEX(ECR!$E:$E,MATCH(AR4,ECR!$C:$C,0)),RISK!A:B,2,FALSE())</x:f>
        <x:v>2.3576000000000015</x:v>
      </x:c>
      <x:c r="BD4" s="67"/>
      <x:c r="BE4" s="78"/>
      <x:c r="BF4" s="78">
        <x:v>2.0</x:v>
      </x:c>
      <x:c r="BG4" s="78">
        <x:f t="shared" si="1"/>
        <x:v>271.7521112</x:v>
      </x:c>
      <x:c r="BH4" s="78" t="n">
        <x:f>IFERROR(LARGE($J$3:$J$52,2),"")</x:f>
        <x:v>31.82581511323528</x:v>
      </x:c>
      <x:c r="BI4" s="78" t="n">
        <x:f t="shared" ref="BI4:BI52" si="5">IF(BH4="",BI3,IF((BI3-BH4)&gt;0.4*LARGE($J$3:$J$52,2),BH4,BI3))</x:f>
        <x:v>31.82581511323528</x:v>
      </x:c>
      <x:c r="BJ4" s="78" t="n">
        <x:f t="shared" ref="BJ4:BJ52" si="6">MIN(IF(BH4="",BJ3,IF((BI3-BH4)&gt;0.4*LARGE($J$3:$J$52,2),BJ3+1,BJ3)),15)</x:f>
        <x:v>2</x:v>
      </x:c>
      <x:c r="BK4" s="89">
        <x:v>2.0</x:v>
      </x:c>
      <x:c r="BL4" s="78">
        <x:f t="shared" si="2"/>
        <x:v>243.62</x:v>
      </x:c>
      <x:c r="BM4" s="90" t="n">
        <x:f>IFERROR(LARGE($X$3:$X$102,2),"")</x:f>
        <x:v>113.30422969852938</x:v>
      </x:c>
      <x:c r="BN4" s="90" t="n">
        <x:f t="shared" ref="BN4:BN102" si="7">IF(BM4="",BN3,IF((BN3-BM4)&gt;0.15*LARGE($X$3:$X$102,2),BM4,BN3))</x:f>
        <x:v>127.64628851470587</x:v>
      </x:c>
      <x:c r="BO4" s="91" t="n">
        <x:f t="shared" ref="BO4:BO102" si="8">IF(BM4="",BO3,IF((BN3-BM4)&gt;0.15*LARGE($X$3:$X$102,2),BO3+1,BO3))</x:f>
        <x:v>1</x:v>
      </x:c>
      <x:c r="BP4" s="90">
        <x:v>2.0</x:v>
      </x:c>
      <x:c r="BQ4" s="78">
        <x:f t="shared" si="3"/>
        <x:v>233.0393903</x:v>
      </x:c>
      <x:c r="BR4" s="90" t="n">
        <x:f>IFERROR(LARGE($AL$3:$AL$102,2),"")</x:f>
        <x:v>131.94231884264707</x:v>
      </x:c>
      <x:c r="BS4" s="90" t="n">
        <x:f t="shared" ref="BS4:BS102" si="9">IF(BR4="",BS3,IF((BS3-BR4)&gt;0.15*LARGE($AL$3:$AL$102,2),BR4,BS3))</x:f>
        <x:v>134.1175634647059</x:v>
      </x:c>
      <x:c r="BT4" s="90" t="n">
        <x:f t="shared" ref="BT4:BT102" si="10">IF(BR4="",BT3,IF((BS3-BR4)&gt;0.15*LARGE($AL$3:$AL$102,2),BT3+1,BT3))</x:f>
        <x:v>1</x:v>
      </x:c>
      <x:c r="BU4" s="78">
        <x:v>2.0</x:v>
      </x:c>
      <x:c r="BV4" s="78">
        <x:f t="shared" si="4"/>
        <x:v>161.9112132</x:v>
      </x:c>
      <x:c r="BW4" s="90" t="n">
        <x:f>IFERROR(LARGE($AZ$3:$AZ$52,2),"")</x:f>
        <x:v>56.83286551176471</x:v>
      </x:c>
      <x:c r="BX4" s="90" t="n">
        <x:f t="shared" ref="BX4:BX52" si="11">IF(BW4="",BX3,IF((BX3-BW4)&gt;0.2*LARGE($AZ$3:$AZ$52,2),BW4,BX3))</x:f>
        <x:v>58.421435654411795</x:v>
      </x:c>
      <x:c r="BY4" s="90" t="n">
        <x:f t="shared" ref="BY4:BY52" si="12">IF(BW4="",BY3,IF((BX3-BW4)&gt;0.2*LARGE($AZ$3:$AZ$52,2),BY3+1,BY3))</x:f>
        <x:v>1</x:v>
      </x:c>
      <x:c r="BZ4" s="90"/>
      <x:c r="CA4" s="90"/>
      <x:c r="CB4" s="90"/>
      <x:c r="CC4" s="90"/>
      <x:c r="CD4" s="90"/>
      <x:c r="CE4" s="90"/>
      <x:c r="CF4" s="90"/>
      <x:c r="CG4" s="90"/>
    </x:row>
    <x:row r="5" ht="14.25" customHeight="1">
      <x:c r="A5" s="60" t="s">
        <x:v>137</x:v>
      </x:c>
      <x:c r="B5" s="60" t="str">
        <x:f>VLOOKUP(A5,ECR!E:L,8,FALSE())</x:f>
        <x:v>Drake Maye</x:v>
      </x:c>
      <x:c r="C5" s="63" t="str">
        <x:f>IFERROR(VLOOKUP(Aggregate!$B5,ECR!C:F,2,FALSE()),"-")</x:f>
        <x:v>NE</x:v>
      </x:c>
      <x:c r="D5" s="63" t="n">
        <x:f>IFERROR(VLOOKUP(Aggregate!$B5,ECR!C:F,4,FALSE()),"-")</x:f>
        <x:v>11</x:v>
      </x:c>
      <x:c r="E5" s="63" t="str">
        <x:f>Aggregate!$C5 &amp; "/" &amp; Aggregate!$D5</x:f>
        <x:v>NE/11</x:v>
      </x:c>
      <x:c r="F5" s="67" t="n">
        <x:f>IFERROR(VLOOKUP(Aggregate!$B5,QB!A:Q,15,FALSE())/17*(16-Aggregate!$M5),0)</x:f>
        <x:v>247.1625412941176</x:v>
      </x:c>
      <x:c r="G5" s="67" t="n">
        <x:f>IFERROR(VLOOKUP(Aggregate!$B5,QB!A:Q,16,FALSE())/17*(16-Aggregate!$M5),0)</x:f>
        <x:v>266.8811899764705</x:v>
      </x:c>
      <x:c r="H5" s="67" t="n">
        <x:f>IFERROR(VLOOKUP(Aggregate!$B5,QB!A:Q,17,FALSE())/17*(16-Aggregate!$M5),0)</x:f>
        <x:v>282.08203017647054</x:v>
      </x:c>
      <x:c r="I5" s="70" t="n">
        <x:f>AVERAGE(Aggregate!$F5,Aggregate!$G5,Aggregate!$H5,VLOOKUP(Aggregate!$B5,ECR!L:N,3,FALSE))</x:f>
        <x:v>266.75830491176464</x:v>
      </x:c>
      <x:c r="J5" s="70" t="n">
        <x:f>Aggregate!$I5-$C$1</x:f>
        <x:v>28.28401958970582</x:v>
      </x:c>
      <x:c r="K5" s="74" t="n">
        <x:f>MAX(Aggregate!$J5*Scoring!$B$48+1,1)</x:f>
        <x:v>18.02966821143643</x:v>
      </x:c>
      <x:c r="L5" s="75" t="n">
        <x:f>VLOOKUP(Aggregate!$J5,BH:BJ,3,FALSE)</x:f>
        <x:v>2</x:v>
      </x:c>
      <x:c r="M5" s="77" t="n">
        <x:f t="array" ref="M5">VLOOKUP(INDEX(ECR!$E:$E,MATCH(B5,ECR!$C:$C,0)),RISK!A:B,2,FALSE())</x:f>
        <x:v>1.7403000000000013</x:v>
      </x:c>
      <x:c r="N5" s="78"/>
      <x:c r="O5" s="75" t="s">
        <x:v>138</x:v>
      </x:c>
      <x:c r="P5" s="60" t="str">
        <x:f>VLOOKUP(O5,ECR!E:L,8,FALSE())</x:f>
        <x:v>Christian McCaffrey</x:v>
      </x:c>
      <x:c r="Q5" s="63" t="str">
        <x:f>IFERROR(VLOOKUP(Aggregate!$P5,ECR!C:F,2,FALSE()),"-")</x:f>
        <x:v>SF</x:v>
      </x:c>
      <x:c r="R5" s="63" t="n">
        <x:f>IFERROR(VLOOKUP(Aggregate!$P5,ECR!C:F,4,FALSE()),"-")</x:f>
        <x:v>8</x:v>
      </x:c>
      <x:c r="S5" s="63" t="str">
        <x:f>Aggregate!$Q5 &amp; "/" &amp; Aggregate!$R5</x:f>
        <x:v>SF/8</x:v>
      </x:c>
      <x:c r="T5" s="67" t="n">
        <x:f>IFERROR(VLOOKUP(Aggregate!$P5,RB!A:Q,13,FALSE())/17*(16-Aggregate!$AA5),0)</x:f>
        <x:v>210.6</x:v>
      </x:c>
      <x:c r="U5" s="67" t="n">
        <x:f>IFERROR(VLOOKUP(Aggregate!$P5,RB!A:Q,14,FALSE())/17*(16-Aggregate!$AA5),0)</x:f>
        <x:v>225.98588235294116</x:v>
      </x:c>
      <x:c r="V5" s="67" t="n">
        <x:f>IFERROR(VLOOKUP(Aggregate!$P5,RB!A:Q,15,FALSE())/17*(16-Aggregate!$AA5),0)</x:f>
        <x:v>237.13529411764708</x:v>
      </x:c>
      <x:c r="W5" s="70" t="n">
        <x:f>AVERAGE(Aggregate!$T5,Aggregate!$U5,Aggregate!$V5,VLOOKUP(Aggregate!$P5,ECR!L:N,3,FALSE))</x:f>
        <x:v>224.92676471764707</x:v>
      </x:c>
      <x:c r="X5" s="70" t="n">
        <x:f>Aggregate!$W5-$Q$1</x:f>
        <x:v>94.92643559264707</x:v>
      </x:c>
      <x:c r="Y5" s="74" t="n">
        <x:f>MAX(Aggregate!$X5*Scoring!$B$48+1,1)</x:f>
        <x:v>58.15473705955962</x:v>
      </x:c>
      <x:c r="Z5" s="75" t="n">
        <x:f>VLOOKUP(Aggregate!$X5,BM:BO,3,FALSE)</x:f>
        <x:v>2</x:v>
      </x:c>
      <x:c r="AA5" s="77" t="n">
        <x:f t="array" ref="AA5">VLOOKUP(INDEX(ECR!$E:$E,MATCH(P5,ECR!$C:$C,0)),RISK!A:B,2,FALSE())</x:f>
        <x:v>3</x:v>
      </x:c>
      <x:c r="AB5" s="78"/>
      <x:c r="AC5" s="63" t="s">
        <x:v>139</x:v>
      </x:c>
      <x:c r="AD5" s="63" t="str">
        <x:f>VLOOKUP(AC5,ECR!E:L,8,FALSE())</x:f>
        <x:v>Jaxon Smith-Njigba</x:v>
      </x:c>
      <x:c r="AE5" s="63" t="str">
        <x:f>IFERROR(VLOOKUP(Aggregate!$AD5,ECR!C:F,2,FALSE()),"-")</x:f>
        <x:v>SEA</x:v>
      </x:c>
      <x:c r="AF5" s="63" t="n">
        <x:f>IFERROR(VLOOKUP(Aggregate!$AD5,ECR!C:F,4,FALSE()),"-")</x:f>
        <x:v>11</x:v>
      </x:c>
      <x:c r="AG5" s="63" t="str">
        <x:f>Aggregate!$AE5 &amp; "/" &amp; Aggregate!$AF5</x:f>
        <x:v>SEA/11</x:v>
      </x:c>
      <x:c r="AH5" s="67" t="n">
        <x:f>IFERROR(VLOOKUP(Aggregate!$AD5,WR!A:Q,13,FALSE())/17*(16-Aggregate!$AO5),0)</x:f>
        <x:v>211.83733694117646</x:v>
      </x:c>
      <x:c r="AI5" s="67" t="n">
        <x:f>IFERROR(VLOOKUP(Aggregate!$AD5,WR!A:Q,14,FALSE())/17*(16-Aggregate!$AO5),0)</x:f>
        <x:v>227.06796535294117</x:v>
      </x:c>
      <x:c r="AJ5" s="67" t="n">
        <x:f>IFERROR(VLOOKUP(Aggregate!$AD5,WR!A:Q,15,FALSE())/17*(16-Aggregate!$AO5),0)</x:f>
        <x:v>247.40341088235292</x:v>
      </x:c>
      <x:c r="AK5" s="70" t="n">
        <x:f>AVERAGE(Aggregate!$AH5,Aggregate!$AI5,Aggregate!$AJ5,VLOOKUP(Aggregate!$AD5,ECR!L:N,3,FALSE))</x:f>
        <x:v>228.34416964411764</x:v>
      </x:c>
      <x:c r="AL5" s="70" t="n">
        <x:f>Aggregate!$AK5-$AE$1</x:f>
        <x:v>126.1492578867647</x:v>
      </x:c>
      <x:c r="AM5" s="74" t="n">
        <x:f>MAX(Aggregate!$AL5*Scoring!$B$48+1,1)</x:f>
        <x:v>76.95384383457349</x:v>
      </x:c>
      <x:c r="AN5" s="75" t="n">
        <x:f>VLOOKUP(Aggregate!$AL5,BR:BT,3,FALSE)</x:f>
        <x:v>1</x:v>
      </x:c>
      <x:c r="AO5" s="77" t="n">
        <x:f t="array" ref="AO5">VLOOKUP(INDEX(ECR!$E:$E,MATCH(AD5,ECR!$C:$C,0)),RISK!A:B,2,FALSE())</x:f>
        <x:v>1.7500999999999998</x:v>
      </x:c>
      <x:c r="AP5" s="78"/>
      <x:c r="AQ5" s="87" t="s">
        <x:v>140</x:v>
      </x:c>
      <x:c r="AR5" s="87" t="str">
        <x:f>VLOOKUP(AQ5,ECR!E:L,8,FALSE())</x:f>
        <x:v>Colston Loveland</x:v>
      </x:c>
      <x:c r="AS5" s="87" t="str">
        <x:f>IFERROR(VLOOKUP(Aggregate!$AR5,ECR!C:F,2,FALSE()),"-")</x:f>
        <x:v>CHI</x:v>
      </x:c>
      <x:c r="AT5" s="87" t="n">
        <x:f>IFERROR(VLOOKUP(Aggregate!$AR5,ECR!C:F,4,FALSE()),"-")</x:f>
        <x:v>10</x:v>
      </x:c>
      <x:c r="AU5" s="87" t="str">
        <x:f>Aggregate!$AS5 &amp; "/" &amp; Aggregate!$AT5</x:f>
        <x:v>CHI/10</x:v>
      </x:c>
      <x:c r="AV5" s="67" t="n">
        <x:f>IFERROR(VLOOKUP(Aggregate!$AR5,TE!A:K,9,FALSE())/17*(16-Aggregate!$BC5),0)</x:f>
        <x:v>125.23111941176472</x:v>
      </x:c>
      <x:c r="AW5" s="67" t="n">
        <x:f>IFERROR(VLOOKUP(Aggregate!$AR5,TE!A:K,10,FALSE())/17*(16-Aggregate!$BC5),0)</x:f>
        <x:v>137.49083894117646</x:v>
      </x:c>
      <x:c r="AX5" s="67" t="n">
        <x:f>IFERROR(VLOOKUP(Aggregate!$AR5,TE!A:K,11,FALSE())/17*(16-Aggregate!$BC5),0)</x:f>
        <x:v>154.52354823529413</x:v>
      </x:c>
      <x:c r="AY5" s="70" t="n">
        <x:f>AVERAGE(Aggregate!$AV5,Aggregate!$AW5,Aggregate!$AX5,VLOOKUP(Aggregate!$AR5,ECR!L:N,3,FALSE))</x:f>
        <x:v>138.64417844705883</x:v>
      </x:c>
      <x:c r="AZ5" s="70" t="n">
        <x:f>Aggregate!$AY5-$AS$1</x:f>
        <x:v>33.18263983529414</x:v>
      </x:c>
      <x:c r="BA5" s="74" t="n">
        <x:f>MAX(Aggregate!$AZ5*Scoring!$B$48+1,1)</x:f>
        <x:v>20.979103217009555</x:v>
      </x:c>
      <x:c r="BB5" s="67" t="n">
        <x:f>VLOOKUP(Aggregate!$AZ5,BW:BY,3,FALSE)</x:f>
        <x:v>2</x:v>
      </x:c>
      <x:c r="BC5" s="77" t="n">
        <x:f t="array" ref="BC5">VLOOKUP(INDEX(ECR!$E:$E,MATCH(AR5,ECR!$C:$C,0)),RISK!A:B,2,FALSE())</x:f>
        <x:v>2.4313000000000002</x:v>
      </x:c>
      <x:c r="BD5" s="67"/>
      <x:c r="BE5" s="78"/>
      <x:c r="BF5" s="78">
        <x:v>3.0</x:v>
      </x:c>
      <x:c r="BG5" s="78">
        <x:f t="shared" si="1"/>
        <x:v>270.9074582</x:v>
      </x:c>
      <x:c r="BH5" s="78" t="n">
        <x:f>IFERROR(LARGE($J$3:$J$52,3),"")</x:f>
        <x:v>28.28401958970582</x:v>
      </x:c>
      <x:c r="BI5" s="78">
        <x:f t="shared" si="5"/>
        <x:v>29.66802852</x:v>
      </x:c>
      <x:c r="BJ5" s="78">
        <x:f t="shared" si="6"/>
        <x:v>2</x:v>
      </x:c>
      <x:c r="BK5" s="89">
        <x:v>3.0</x:v>
      </x:c>
      <x:c r="BL5" s="78">
        <x:f t="shared" si="2"/>
        <x:v>225.9858824</x:v>
      </x:c>
      <x:c r="BM5" s="90" t="n">
        <x:f>IFERROR(LARGE($X$3:$X$102,3),"")</x:f>
        <x:v>94.92643559264707</x:v>
      </x:c>
      <x:c r="BN5" s="90">
        <x:f t="shared" si="7"/>
        <x:v>123.426725</x:v>
      </x:c>
      <x:c r="BO5" s="91">
        <x:f t="shared" si="8"/>
        <x:v>2</x:v>
      </x:c>
      <x:c r="BP5" s="90">
        <x:v>3.0</x:v>
      </x:c>
      <x:c r="BQ5" s="78">
        <x:f t="shared" si="3"/>
        <x:v>227.0679654</x:v>
      </x:c>
      <x:c r="BR5" s="90" t="n">
        <x:f>IFERROR(LARGE($AL$3:$AL$102,3),"")</x:f>
        <x:v>126.1492578867647</x:v>
      </x:c>
      <x:c r="BS5" s="90">
        <x:f t="shared" si="9"/>
        <x:v>134.9980988</x:v>
      </x:c>
      <x:c r="BT5" s="90">
        <x:f t="shared" si="10"/>
        <x:v>1</x:v>
      </x:c>
      <x:c r="BU5" s="78">
        <x:v>3.0</x:v>
      </x:c>
      <x:c r="BV5" s="78">
        <x:f t="shared" si="4"/>
        <x:v>137.3312072</x:v>
      </x:c>
      <x:c r="BW5" s="90" t="n">
        <x:f>IFERROR(LARGE($AZ$3:$AZ$52,3),"")</x:f>
        <x:v>33.18263983529414</x:v>
      </x:c>
      <x:c r="BX5" s="90">
        <x:f t="shared" si="11"/>
        <x:v>33.19889616</x:v>
      </x:c>
      <x:c r="BY5" s="90">
        <x:f t="shared" si="12"/>
        <x:v>2</x:v>
      </x:c>
      <x:c r="BZ5" s="90"/>
      <x:c r="CA5" s="90"/>
      <x:c r="CB5" s="90"/>
      <x:c r="CC5" s="90"/>
      <x:c r="CD5" s="90"/>
      <x:c r="CE5" s="90"/>
      <x:c r="CF5" s="90"/>
      <x:c r="CG5" s="90"/>
    </x:row>
    <x:row r="6" ht="14.25" customHeight="1">
      <x:c r="A6" s="60" t="s">
        <x:v>141</x:v>
      </x:c>
      <x:c r="B6" s="60" t="str">
        <x:f>VLOOKUP(A6,ECR!E:L,8,FALSE())</x:f>
        <x:v>Joe Burrow</x:v>
      </x:c>
      <x:c r="C6" s="63" t="str">
        <x:f>IFERROR(VLOOKUP(Aggregate!$B6,ECR!C:F,2,FALSE()),"-")</x:f>
        <x:v>CIN</x:v>
      </x:c>
      <x:c r="D6" s="63" t="n">
        <x:f>IFERROR(VLOOKUP(Aggregate!$B6,ECR!C:F,4,FALSE()),"-")</x:f>
        <x:v>6</x:v>
      </x:c>
      <x:c r="E6" s="63" t="str">
        <x:f>Aggregate!$C6 &amp; "/" &amp; Aggregate!$D6</x:f>
        <x:v>CIN/6</x:v>
      </x:c>
      <x:c r="F6" s="67" t="n">
        <x:f>IFERROR(VLOOKUP(Aggregate!$B6,QB!A:Q,15,FALSE())/17*(16-Aggregate!$M6),0)</x:f>
        <x:v>242.42969223529414</x:v>
      </x:c>
      <x:c r="G6" s="67" t="n">
        <x:f>IFERROR(VLOOKUP(Aggregate!$B6,QB!A:Q,16,FALSE())/17*(16-Aggregate!$M6),0)</x:f>
        <x:v>253.0296937411765</x:v>
      </x:c>
      <x:c r="H6" s="67" t="n">
        <x:f>IFERROR(VLOOKUP(Aggregate!$B6,QB!A:Q,17,FALSE())/17*(16-Aggregate!$M6),0)</x:f>
        <x:v>269.56784564705885</x:v>
      </x:c>
      <x:c r="I6" s="70" t="n">
        <x:f>AVERAGE(Aggregate!$F6,Aggregate!$G6,Aggregate!$H6,VLOOKUP(Aggregate!$B6,ECR!L:N,3,FALSE))</x:f>
        <x:v>258.5915630558824</x:v>
      </x:c>
      <x:c r="J6" s="70" t="n">
        <x:f>Aggregate!$I6-$C$1</x:f>
        <x:v>20.117277733823556</x:v>
      </x:c>
      <x:c r="K6" s="74" t="n">
        <x:f>MAX(Aggregate!$J6*Scoring!$B$48+1,1)</x:f>
        <x:v>13.11251335892234</x:v>
      </x:c>
      <x:c r="L6" s="75" t="n">
        <x:f>VLOOKUP(Aggregate!$J6,BH:BJ,3,FALSE)</x:f>
        <x:v>2</x:v>
      </x:c>
      <x:c r="M6" s="77" t="n">
        <x:f t="array" ref="M6">VLOOKUP(INDEX(ECR!$E:$E,MATCH(B6,ECR!$C:$C,0)),RISK!A:B,2,FALSE())</x:f>
        <x:v>1.7256</x:v>
      </x:c>
      <x:c r="N6" s="78"/>
      <x:c r="O6" s="75" t="s">
        <x:v>142</x:v>
      </x:c>
      <x:c r="P6" s="60" t="str">
        <x:f>VLOOKUP(O6,ECR!E:L,8,FALSE())</x:f>
        <x:v>Jonathan Taylor</x:v>
      </x:c>
      <x:c r="Q6" s="63" t="str">
        <x:f>IFERROR(VLOOKUP(Aggregate!$P6,ECR!C:F,2,FALSE()),"-")</x:f>
        <x:v>IND</x:v>
      </x:c>
      <x:c r="R6" s="63" t="n">
        <x:f>IFERROR(VLOOKUP(Aggregate!$P6,ECR!C:F,4,FALSE()),"-")</x:f>
        <x:v>13</x:v>
      </x:c>
      <x:c r="S6" s="63" t="str">
        <x:f>Aggregate!$Q6 &amp; "/" &amp; Aggregate!$R6</x:f>
        <x:v>IND/13</x:v>
      </x:c>
      <x:c r="T6" s="67" t="n">
        <x:f>IFERROR(VLOOKUP(Aggregate!$P6,RB!A:Q,13,FALSE())/17*(16-Aggregate!$AA6),0)</x:f>
        <x:v>200.42941176470592</x:v>
      </x:c>
      <x:c r="U6" s="67" t="n">
        <x:f>IFERROR(VLOOKUP(Aggregate!$P6,RB!A:Q,14,FALSE())/17*(16-Aggregate!$AA6),0)</x:f>
        <x:v>221.0458823529412</x:v>
      </x:c>
      <x:c r="V6" s="67" t="n">
        <x:f>IFERROR(VLOOKUP(Aggregate!$P6,RB!A:Q,15,FALSE())/17*(16-Aggregate!$AA6),0)</x:f>
        <x:v>245.61588235294118</x:v>
      </x:c>
      <x:c r="W6" s="70" t="n">
        <x:f>AVERAGE(Aggregate!$T6,Aggregate!$U6,Aggregate!$V6,VLOOKUP(Aggregate!$P6,ECR!L:N,3,FALSE))</x:f>
        <x:v>222.03426471764706</x:v>
      </x:c>
      <x:c r="X6" s="70" t="n">
        <x:f>Aggregate!$W6-$Q$1</x:f>
        <x:v>92.03393559264705</x:v>
      </x:c>
      <x:c r="Y6" s="74" t="n">
        <x:f>MAX(Aggregate!$X6*Scoring!$B$48+1,1)</x:f>
        <x:v>56.41317712514676</x:v>
      </x:c>
      <x:c r="Z6" s="75" t="n">
        <x:f>VLOOKUP(Aggregate!$X6,BM:BO,3,FALSE)</x:f>
        <x:v>2</x:v>
      </x:c>
      <x:c r="AA6" s="77" t="n">
        <x:f t="array" ref="AA6">VLOOKUP(INDEX(ECR!$E:$E,MATCH(P6,ECR!$C:$C,0)),RISK!A:B,2,FALSE())</x:f>
        <x:v>3</x:v>
      </x:c>
      <x:c r="AB6" s="78"/>
      <x:c r="AC6" s="63" t="s">
        <x:v>143</x:v>
      </x:c>
      <x:c r="AD6" s="63" t="str">
        <x:f>VLOOKUP(AC6,ECR!E:L,8,FALSE())</x:f>
        <x:v>Amon-Ra St. Brown</x:v>
      </x:c>
      <x:c r="AE6" s="63" t="str">
        <x:f>IFERROR(VLOOKUP(Aggregate!$AD6,ECR!C:F,2,FALSE()),"-")</x:f>
        <x:v>DET</x:v>
      </x:c>
      <x:c r="AF6" s="63" t="n">
        <x:f>IFERROR(VLOOKUP(Aggregate!$AD6,ECR!C:F,4,FALSE()),"-")</x:f>
        <x:v>6</x:v>
      </x:c>
      <x:c r="AG6" s="63" t="str">
        <x:f>Aggregate!$AE6 &amp; "/" &amp; Aggregate!$AF6</x:f>
        <x:v>DET/6</x:v>
      </x:c>
      <x:c r="AH6" s="67" t="n">
        <x:f>IFERROR(VLOOKUP(Aggregate!$AD6,WR!A:Q,13,FALSE())/17*(16-Aggregate!$AO6),0)</x:f>
        <x:v>211.52312117647057</x:v>
      </x:c>
      <x:c r="AI6" s="67" t="n">
        <x:f>IFERROR(VLOOKUP(Aggregate!$AD6,WR!A:Q,14,FALSE())/17*(16-Aggregate!$AO6),0)</x:f>
        <x:v>217.75125564705883</x:v>
      </x:c>
      <x:c r="AJ6" s="67" t="n">
        <x:f>IFERROR(VLOOKUP(Aggregate!$AD6,WR!A:Q,15,FALSE())/17*(16-Aggregate!$AO6),0)</x:f>
        <x:v>225.16331929411766</x:v>
      </x:c>
      <x:c r="AK6" s="70" t="n">
        <x:f>AVERAGE(Aggregate!$AH6,Aggregate!$AI6,Aggregate!$AJ6,VLOOKUP(Aggregate!$AD6,ECR!L:N,3,FALSE))</x:f>
        <x:v>218.04723792941178</x:v>
      </x:c>
      <x:c r="AL6" s="70" t="n">
        <x:f>Aggregate!$AK6-$AE$1</x:f>
        <x:v>115.85232617205884</x:v>
      </x:c>
      <x:c r="AM6" s="74" t="n">
        <x:f>MAX(Aggregate!$AL6*Scoring!$B$48+1,1)</x:f>
        <x:v>70.75411221081663</x:v>
      </x:c>
      <x:c r="AN6" s="75" t="n">
        <x:f>VLOOKUP(Aggregate!$AL6,BR:BT,3,FALSE)</x:f>
        <x:v>1</x:v>
      </x:c>
      <x:c r="AO6" s="77" t="n">
        <x:f t="array" ref="AO6">VLOOKUP(INDEX(ECR!$E:$E,MATCH(AD6,ECR!$C:$C,0)),RISK!A:B,2,FALSE())</x:f>
        <x:v>1.8262</x:v>
      </x:c>
      <x:c r="AP6" s="78"/>
      <x:c r="AQ6" s="87" t="s">
        <x:v>144</x:v>
      </x:c>
      <x:c r="AR6" s="87" t="str">
        <x:f>VLOOKUP(AQ6,ECR!E:L,8,FALSE())</x:f>
        <x:v>Tyler Warren</x:v>
      </x:c>
      <x:c r="AS6" s="87" t="str">
        <x:f>IFERROR(VLOOKUP(Aggregate!$AR6,ECR!C:F,2,FALSE()),"-")</x:f>
        <x:v>IND</x:v>
      </x:c>
      <x:c r="AT6" s="87" t="n">
        <x:f>IFERROR(VLOOKUP(Aggregate!$AR6,ECR!C:F,4,FALSE()),"-")</x:f>
        <x:v>13</x:v>
      </x:c>
      <x:c r="AU6" s="87" t="str">
        <x:f>Aggregate!$AS6 &amp; "/" &amp; Aggregate!$AT6</x:f>
        <x:v>IND/13</x:v>
      </x:c>
      <x:c r="AV6" s="67" t="n">
        <x:f>IFERROR(VLOOKUP(Aggregate!$AR6,TE!A:K,9,FALSE())/17*(16-Aggregate!$BC6),0)</x:f>
        <x:v>119.13</x:v>
      </x:c>
      <x:c r="AW6" s="67" t="n">
        <x:f>IFERROR(VLOOKUP(Aggregate!$AR6,TE!A:K,10,FALSE())/17*(16-Aggregate!$BC6),0)</x:f>
        <x:v>127.11170999999997</x:v>
      </x:c>
      <x:c r="AX6" s="67" t="n">
        <x:f>IFERROR(VLOOKUP(Aggregate!$AR6,TE!A:K,11,FALSE())/17*(16-Aggregate!$BC6),0)</x:f>
        <x:v>134.2198</x:v>
      </x:c>
      <x:c r="AY6" s="70" t="n">
        <x:f>AVERAGE(Aggregate!$AV6,Aggregate!$AW6,Aggregate!$AX6,VLOOKUP(Aggregate!$AR6,ECR!L:N,3,FALSE))</x:f>
        <x:v>126.83373999999999</x:v>
      </x:c>
      <x:c r="AZ6" s="70" t="n">
        <x:f>Aggregate!$AY6-$AS$1</x:f>
        <x:v>21.372201388235297</x:v>
      </x:c>
      <x:c r="BA6" s="74" t="n">
        <x:f>MAX(Aggregate!$AZ6*Scoring!$B$48+1,1)</x:f>
        <x:v>13.868096680364156</x:v>
      </x:c>
      <x:c r="BB6" s="67" t="n">
        <x:f>VLOOKUP(Aggregate!$AZ6,BW:BY,3,FALSE)</x:f>
        <x:v>3</x:v>
      </x:c>
      <x:c r="BC6" s="77" t="n">
        <x:f t="array" ref="BC6">VLOOKUP(INDEX(ECR!$E:$E,MATCH(AR6,ECR!$C:$C,0)),RISK!A:B,2,FALSE())</x:f>
        <x:v>2.4986000000000015</x:v>
      </x:c>
      <x:c r="BD6" s="67"/>
      <x:c r="BE6" s="78"/>
      <x:c r="BF6" s="78">
        <x:v>4.0</x:v>
      </x:c>
      <x:c r="BG6" s="78">
        <x:f t="shared" si="1"/>
        <x:v>269.3390206</x:v>
      </x:c>
      <x:c r="BH6" s="78" t="n">
        <x:f>IFERROR(LARGE($J$3:$J$52,4),"")</x:f>
        <x:v>27.731987072058786</x:v>
      </x:c>
      <x:c r="BI6" s="78">
        <x:f t="shared" si="5"/>
        <x:v>29.66802852</x:v>
      </x:c>
      <x:c r="BJ6" s="78">
        <x:f t="shared" si="6"/>
        <x:v>2</x:v>
      </x:c>
      <x:c r="BK6" s="89">
        <x:v>4.0</x:v>
      </x:c>
      <x:c r="BL6" s="78">
        <x:f t="shared" si="2"/>
        <x:v>221.0458824</x:v>
      </x:c>
      <x:c r="BM6" s="90" t="n">
        <x:f>IFERROR(LARGE($X$3:$X$102,4),"")</x:f>
        <x:v>92.03393559264705</x:v>
      </x:c>
      <x:c r="BN6" s="90">
        <x:f t="shared" si="7"/>
        <x:v>123.426725</x:v>
      </x:c>
      <x:c r="BO6" s="91">
        <x:f t="shared" si="8"/>
        <x:v>2</x:v>
      </x:c>
      <x:c r="BP6" s="90">
        <x:v>4.0</x:v>
      </x:c>
      <x:c r="BQ6" s="78">
        <x:f t="shared" si="3"/>
        <x:v>217.7512556</x:v>
      </x:c>
      <x:c r="BR6" s="90" t="n">
        <x:f>IFERROR(LARGE($AL$3:$AL$102,4),"")</x:f>
        <x:v>115.85232617205884</x:v>
      </x:c>
      <x:c r="BS6" s="90">
        <x:f t="shared" si="9"/>
        <x:v>134.9980988</x:v>
      </x:c>
      <x:c r="BT6" s="90">
        <x:f t="shared" si="10"/>
        <x:v>1</x:v>
      </x:c>
      <x:c r="BU6" s="78">
        <x:v>4.0</x:v>
      </x:c>
      <x:c r="BV6" s="78">
        <x:f t="shared" si="4"/>
        <x:v>126.87345</x:v>
      </x:c>
      <x:c r="BW6" s="90" t="n">
        <x:f>IFERROR(LARGE($AZ$3:$AZ$52,4),"")</x:f>
        <x:v>21.372201388235297</x:v>
      </x:c>
      <x:c r="BX6" s="90">
        <x:f t="shared" si="11"/>
        <x:v>21.32948654</x:v>
      </x:c>
      <x:c r="BY6" s="90">
        <x:f t="shared" si="12"/>
        <x:v>3</x:v>
      </x:c>
      <x:c r="BZ6" s="90"/>
      <x:c r="CA6" s="90"/>
      <x:c r="CB6" s="90"/>
      <x:c r="CC6" s="90"/>
      <x:c r="CD6" s="90"/>
      <x:c r="CE6" s="90"/>
      <x:c r="CF6" s="90"/>
      <x:c r="CG6" s="90"/>
    </x:row>
    <x:row r="7" ht="14.25" customHeight="1">
      <x:c r="A7" s="60" t="s">
        <x:v>145</x:v>
      </x:c>
      <x:c r="B7" s="60" t="str">
        <x:f>VLOOKUP(A7,ECR!E:L,8,FALSE())</x:f>
        <x:v>Jayden Daniels</x:v>
      </x:c>
      <x:c r="C7" s="63" t="str">
        <x:f>IFERROR(VLOOKUP(Aggregate!$B7,ECR!C:F,2,FALSE()),"-")</x:f>
        <x:v>WAS</x:v>
      </x:c>
      <x:c r="D7" s="63" t="n">
        <x:f>IFERROR(VLOOKUP(Aggregate!$B7,ECR!C:F,4,FALSE()),"-")</x:f>
        <x:v>7</x:v>
      </x:c>
      <x:c r="E7" s="63" t="str">
        <x:f>Aggregate!$C7 &amp; "/" &amp; Aggregate!$D7</x:f>
        <x:v>WAS/7</x:v>
      </x:c>
      <x:c r="F7" s="67" t="n">
        <x:f>IFERROR(VLOOKUP(Aggregate!$B7,QB!A:Q,15,FALSE())/17*(16-Aggregate!$M7),0)</x:f>
        <x:v>240.92036411764704</x:v>
      </x:c>
      <x:c r="G7" s="67" t="n">
        <x:f>IFERROR(VLOOKUP(Aggregate!$B7,QB!A:Q,16,FALSE())/17*(16-Aggregate!$M7),0)</x:f>
        <x:v>262.3933722352941</x:v>
      </x:c>
      <x:c r="H7" s="67" t="n">
        <x:f>IFERROR(VLOOKUP(Aggregate!$B7,QB!A:Q,17,FALSE())/17*(16-Aggregate!$M7),0)</x:f>
        <x:v>285.10953682352937</x:v>
      </x:c>
      <x:c r="I7" s="70" t="n">
        <x:f>AVERAGE(Aggregate!$F7,Aggregate!$G7,Aggregate!$H7,VLOOKUP(Aggregate!$B7,ECR!L:N,3,FALSE))</x:f>
        <x:v>264.42610106911764</x:v>
      </x:c>
      <x:c r="J7" s="70" t="n">
        <x:f>Aggregate!$I7-$C$1</x:f>
        <x:v>25.951815747058816</x:v>
      </x:c>
      <x:c r="K7" s="74" t="n">
        <x:f>MAX(Aggregate!$J7*Scoring!$B$48+1,1)</x:f>
        <x:v>16.62545982034301</x:v>
      </x:c>
      <x:c r="L7" s="75" t="n">
        <x:f>VLOOKUP(Aggregate!$J7,BH:BJ,3,FALSE)</x:f>
        <x:v>2</x:v>
      </x:c>
      <x:c r="M7" s="77" t="n">
        <x:f t="array" ref="M7">VLOOKUP(INDEX(ECR!$E:$E,MATCH(B7,ECR!$C:$C,0)),RISK!A:B,2,FALSE())</x:f>
        <x:v>1.7205000000000013</x:v>
      </x:c>
      <x:c r="N7" s="78"/>
      <x:c r="O7" s="75" t="s">
        <x:v>146</x:v>
      </x:c>
      <x:c r="P7" s="60" t="str">
        <x:f>VLOOKUP(O7,ECR!E:L,8,FALSE())</x:f>
        <x:v>James Cook III</x:v>
      </x:c>
      <x:c r="Q7" s="63" t="str">
        <x:f>IFERROR(VLOOKUP(Aggregate!$P7,ECR!C:F,2,FALSE()),"-")</x:f>
        <x:v>BUF</x:v>
      </x:c>
      <x:c r="R7" s="63" t="n">
        <x:f>IFERROR(VLOOKUP(Aggregate!$P7,ECR!C:F,4,FALSE()),"-")</x:f>
        <x:v>7</x:v>
      </x:c>
      <x:c r="S7" s="63" t="str">
        <x:f>Aggregate!$Q7 &amp; "/" &amp; Aggregate!$R7</x:f>
        <x:v>BUF/7</x:v>
      </x:c>
      <x:c r="T7" s="67" t="n">
        <x:f>IFERROR(VLOOKUP(Aggregate!$P7,RB!A:Q,13,FALSE())/17*(16-Aggregate!$AA7),0)</x:f>
        <x:v>182.53529411764706</x:v>
      </x:c>
      <x:c r="U7" s="67" t="n">
        <x:f>IFERROR(VLOOKUP(Aggregate!$P7,RB!A:Q,14,FALSE())/17*(16-Aggregate!$AA7),0)</x:f>
        <x:v>194.18176470588236</x:v>
      </x:c>
      <x:c r="V7" s="67" t="n">
        <x:f>IFERROR(VLOOKUP(Aggregate!$P7,RB!A:Q,15,FALSE())/17*(16-Aggregate!$AA7),0)</x:f>
        <x:v>203.6105882352941</x:v>
      </x:c>
      <x:c r="W7" s="70" t="n">
        <x:f>AVERAGE(Aggregate!$T7,Aggregate!$U7,Aggregate!$V7,VLOOKUP(Aggregate!$P7,ECR!L:N,3,FALSE))</x:f>
        <x:v>195.69397058970588</x:v>
      </x:c>
      <x:c r="X7" s="70" t="n">
        <x:f>Aggregate!$W7-$Q$1</x:f>
        <x:v>65.69364146470588</x:v>
      </x:c>
      <x:c r="Y7" s="74" t="n">
        <x:f>MAX(Aggregate!$X7*Scoring!$B$48+1,1)</x:f>
        <x:v>40.55381639433519</x:v>
      </x:c>
      <x:c r="Z7" s="75" t="n">
        <x:f>VLOOKUP(Aggregate!$X7,BM:BO,3,FALSE)</x:f>
        <x:v>3</x:v>
      </x:c>
      <x:c r="AA7" s="77" t="n">
        <x:f t="array" ref="AA7">VLOOKUP(INDEX(ECR!$E:$E,MATCH(P7,ECR!$C:$C,0)),RISK!A:B,2,FALSE())</x:f>
        <x:v>3</x:v>
      </x:c>
      <x:c r="AB7" s="78"/>
      <x:c r="AC7" s="63" t="s">
        <x:v>147</x:v>
      </x:c>
      <x:c r="AD7" s="63" t="str">
        <x:f>VLOOKUP(AC7,ECR!E:L,8,FALSE())</x:f>
        <x:v>CeeDee Lamb</x:v>
      </x:c>
      <x:c r="AE7" s="63" t="str">
        <x:f>IFERROR(VLOOKUP(Aggregate!$AD7,ECR!C:F,2,FALSE()),"-")</x:f>
        <x:v>DAL</x:v>
      </x:c>
      <x:c r="AF7" s="63" t="n">
        <x:f>IFERROR(VLOOKUP(Aggregate!$AD7,ECR!C:F,4,FALSE()),"-")</x:f>
        <x:v>14</x:v>
      </x:c>
      <x:c r="AG7" s="63" t="str">
        <x:f>Aggregate!$AE7 &amp; "/" &amp; Aggregate!$AF7</x:f>
        <x:v>DAL/14</x:v>
      </x:c>
      <x:c r="AH7" s="67" t="n">
        <x:f>IFERROR(VLOOKUP(Aggregate!$AD7,WR!A:Q,13,FALSE())/17*(16-Aggregate!$AO7),0)</x:f>
        <x:v>162.38154705882354</x:v>
      </x:c>
      <x:c r="AI7" s="67" t="n">
        <x:f>IFERROR(VLOOKUP(Aggregate!$AD7,WR!A:Q,14,FALSE())/17*(16-Aggregate!$AO7),0)</x:f>
        <x:v>185.73529764705884</x:v>
      </x:c>
      <x:c r="AJ7" s="67" t="n">
        <x:f>IFERROR(VLOOKUP(Aggregate!$AD7,WR!A:Q,15,FALSE())/17*(16-Aggregate!$AO7),0)</x:f>
        <x:v>202.313475</x:v>
      </x:c>
      <x:c r="AK7" s="70" t="n">
        <x:f>AVERAGE(Aggregate!$AH7,Aggregate!$AI7,Aggregate!$AJ7,VLOOKUP(Aggregate!$AD7,ECR!L:N,3,FALSE))</x:f>
        <x:v>184.0414043264706</x:v>
      </x:c>
      <x:c r="AL7" s="70" t="n">
        <x:f>Aggregate!$AK7-$AE$1</x:f>
        <x:v>81.84649256911766</x:v>
      </x:c>
      <x:c r="AM7" s="74" t="n">
        <x:f>MAX(Aggregate!$AL7*Scoring!$B$48+1,1)</x:f>
        <x:v>50.27936810046482</x:v>
      </x:c>
      <x:c r="AN7" s="75" t="n">
        <x:f>VLOOKUP(Aggregate!$AL7,BR:BT,3,FALSE)</x:f>
        <x:v>2</x:v>
      </x:c>
      <x:c r="AO7" s="77" t="n">
        <x:f t="array" ref="AO7">VLOOKUP(INDEX(ECR!$E:$E,MATCH(AD7,ECR!$C:$C,0)),RISK!A:B,2,FALSE())</x:f>
        <x:v>1.9014999999999986</x:v>
      </x:c>
      <x:c r="AP7" s="78"/>
      <x:c r="AQ7" s="87" t="s">
        <x:v>148</x:v>
      </x:c>
      <x:c r="AR7" s="87" t="str">
        <x:f>VLOOKUP(AQ7,ECR!E:L,8,FALSE())</x:f>
        <x:v>Tucker Kraft</x:v>
      </x:c>
      <x:c r="AS7" s="87" t="str">
        <x:f>IFERROR(VLOOKUP(Aggregate!$AR7,ECR!C:F,2,FALSE()),"-")</x:f>
        <x:v>GB</x:v>
      </x:c>
      <x:c r="AT7" s="87" t="n">
        <x:f>IFERROR(VLOOKUP(Aggregate!$AR7,ECR!C:F,4,FALSE()),"-")</x:f>
        <x:v>11</x:v>
      </x:c>
      <x:c r="AU7" s="87" t="str">
        <x:f>Aggregate!$AS7 &amp; "/" &amp; Aggregate!$AT7</x:f>
        <x:v>GB/11</x:v>
      </x:c>
      <x:c r="AV7" s="67" t="n">
        <x:f>IFERROR(VLOOKUP(Aggregate!$AR7,TE!A:K,9,FALSE())/17*(16-Aggregate!$BC7),0)</x:f>
        <x:v>99.85500882352942</x:v>
      </x:c>
      <x:c r="AW7" s="67" t="n">
        <x:f>IFERROR(VLOOKUP(Aggregate!$AR7,TE!A:K,10,FALSE())/17*(16-Aggregate!$BC7),0)</x:f>
        <x:v>117.11419205882352</x:v>
      </x:c>
      <x:c r="AX7" s="67" t="n">
        <x:f>IFERROR(VLOOKUP(Aggregate!$AR7,TE!A:K,11,FALSE())/17*(16-Aggregate!$BC7),0)</x:f>
        <x:v>140.36625705882355</x:v>
      </x:c>
      <x:c r="AY7" s="70" t="n">
        <x:f>AVERAGE(Aggregate!$AV7,Aggregate!$AW7,Aggregate!$AX7,VLOOKUP(Aggregate!$AR7,ECR!L:N,3,FALSE))</x:f>
        <x:v>119.31063036029413</x:v>
      </x:c>
      <x:c r="AZ7" s="70" t="n">
        <x:f>Aggregate!$AY7-$AS$1</x:f>
        <x:v>13.849091748529432</x:v>
      </x:c>
      <x:c r="BA7" s="74" t="n">
        <x:f>MAX(Aggregate!$AZ7*Scoring!$B$48+1,1)</x:f>
        <x:v>9.338469599739492</x:v>
      </x:c>
      <x:c r="BB7" s="67" t="n">
        <x:f>VLOOKUP(Aggregate!$AZ7,BW:BY,3,FALSE)</x:f>
        <x:v>3</x:v>
      </x:c>
      <x:c r="BC7" s="77" t="n">
        <x:f t="array" ref="BC7">VLOOKUP(INDEX(ECR!$E:$E,MATCH(AR7,ECR!$C:$C,0)),RISK!A:B,2,FALSE())</x:f>
        <x:v>2.5595</x:v>
      </x:c>
      <x:c r="BD7" s="67"/>
      <x:c r="BE7" s="78"/>
      <x:c r="BF7" s="78">
        <x:v>5.0</x:v>
      </x:c>
      <x:c r="BG7" s="78">
        <x:f t="shared" si="1"/>
        <x:v>269.2811311</x:v>
      </x:c>
      <x:c r="BH7" s="78" t="n">
        <x:f>IFERROR(LARGE($J$3:$J$52,5),"")</x:f>
        <x:v>25.951815747058816</x:v>
      </x:c>
      <x:c r="BI7" s="78">
        <x:f t="shared" si="5"/>
        <x:v>29.66802852</x:v>
      </x:c>
      <x:c r="BJ7" s="78">
        <x:f t="shared" si="6"/>
        <x:v>2</x:v>
      </x:c>
      <x:c r="BK7" s="89">
        <x:v>5.0</x:v>
      </x:c>
      <x:c r="BL7" s="78">
        <x:f t="shared" si="2"/>
        <x:v>202.4482353</x:v>
      </x:c>
      <x:c r="BM7" s="90" t="n">
        <x:f>IFERROR(LARGE($X$3:$X$102,5),"")</x:f>
        <x:v>67.73349440441174</x:v>
      </x:c>
      <x:c r="BN7" s="90">
        <x:f t="shared" si="7"/>
        <x:v>96.23378382</x:v>
      </x:c>
      <x:c r="BO7" s="91">
        <x:f t="shared" si="8"/>
        <x:v>3</x:v>
      </x:c>
      <x:c r="BP7" s="90">
        <x:v>5.0</x:v>
      </x:c>
      <x:c r="BQ7" s="78">
        <x:f t="shared" si="3"/>
        <x:v>185.7352976</x:v>
      </x:c>
      <x:c r="BR7" s="90" t="n">
        <x:f>IFERROR(LARGE($AL$3:$AL$102,5),"")</x:f>
        <x:v>83.03738001764708</x:v>
      </x:c>
      <x:c r="BS7" s="90">
        <x:f t="shared" si="9"/>
        <x:v>83.91791529</x:v>
      </x:c>
      <x:c r="BT7" s="90">
        <x:f t="shared" si="10"/>
        <x:v>2</x:v>
      </x:c>
      <x:c r="BU7" s="78">
        <x:v>5.0</x:v>
      </x:c>
      <x:c r="BV7" s="78">
        <x:f t="shared" si="4"/>
        <x:v>119.9070635</x:v>
      </x:c>
      <x:c r="BW7" s="90" t="n">
        <x:f>IFERROR(LARGE($AZ$3:$AZ$52,5),"")</x:f>
        <x:v>14.684487570588246</x:v>
      </x:c>
      <x:c r="BX7" s="90">
        <x:f t="shared" si="11"/>
        <x:v>21.32948654</x:v>
      </x:c>
      <x:c r="BY7" s="90">
        <x:f t="shared" si="12"/>
        <x:v>3</x:v>
      </x:c>
      <x:c r="BZ7" s="90"/>
      <x:c r="CA7" s="90"/>
      <x:c r="CB7" s="90"/>
      <x:c r="CC7" s="90"/>
      <x:c r="CD7" s="90"/>
      <x:c r="CE7" s="90"/>
      <x:c r="CF7" s="90"/>
      <x:c r="CG7" s="90"/>
    </x:row>
    <x:row r="8" ht="14.25" customHeight="1">
      <x:c r="A8" s="60" t="s">
        <x:v>149</x:v>
      </x:c>
      <x:c r="B8" s="60" t="str">
        <x:f>VLOOKUP(A8,ECR!E:L,8,FALSE())</x:f>
        <x:v>Jalen Hurts</x:v>
      </x:c>
      <x:c r="C8" s="63" t="str">
        <x:f>IFERROR(VLOOKUP(Aggregate!$B8,ECR!C:F,2,FALSE()),"-")</x:f>
        <x:v>PHI</x:v>
      </x:c>
      <x:c r="D8" s="63" t="n">
        <x:f>IFERROR(VLOOKUP(Aggregate!$B8,ECR!C:F,4,FALSE()),"-")</x:f>
        <x:v>10</x:v>
      </x:c>
      <x:c r="E8" s="63" t="str">
        <x:f>Aggregate!$C8 &amp; "/" &amp; Aggregate!$D8</x:f>
        <x:v>PHI/10</x:v>
      </x:c>
      <x:c r="F8" s="67" t="n">
        <x:f>IFERROR(VLOOKUP(Aggregate!$B8,QB!A:Q,15,FALSE())/17*(16-Aggregate!$M8),0)</x:f>
        <x:v>248.85523529411765</x:v>
      </x:c>
      <x:c r="G8" s="67" t="n">
        <x:f>IFERROR(VLOOKUP(Aggregate!$B8,QB!A:Q,16,FALSE())/17*(16-Aggregate!$M8),0)</x:f>
        <x:v>266.48402058823524</x:v>
      </x:c>
      <x:c r="H8" s="67" t="n">
        <x:f>IFERROR(VLOOKUP(Aggregate!$B8,QB!A:Q,17,FALSE())/17*(16-Aggregate!$M8),0)</x:f>
        <x:v>288.31133529411767</x:v>
      </x:c>
      <x:c r="I8" s="70" t="n">
        <x:f>AVERAGE(Aggregate!$F8,Aggregate!$G8,Aggregate!$H8,VLOOKUP(Aggregate!$B8,ECR!L:N,3,FALSE))</x:f>
        <x:v>266.2062723941176</x:v>
      </x:c>
      <x:c r="J8" s="70" t="n">
        <x:f>Aggregate!$I8-$C$1</x:f>
        <x:v>27.731987072058786</x:v>
      </x:c>
      <x:c r="K8" s="74" t="n">
        <x:f>MAX(Aggregate!$J8*Scoring!$B$48+1,1)</x:f>
        <x:v>17.69729216468548</x:v>
      </x:c>
      <x:c r="L8" s="75" t="n">
        <x:f>VLOOKUP(Aggregate!$J8,BH:BJ,3,FALSE)</x:f>
        <x:v>2</x:v>
      </x:c>
      <x:c r="M8" s="77" t="n">
        <x:f t="array" ref="M8">VLOOKUP(INDEX(ECR!$E:$E,MATCH(B8,ECR!$C:$C,0)),RISK!A:B,2,FALSE())</x:f>
        <x:v>1.7249999999999996</x:v>
      </x:c>
      <x:c r="N8" s="78"/>
      <x:c r="O8" s="75" t="s">
        <x:v>150</x:v>
      </x:c>
      <x:c r="P8" s="60" t="str">
        <x:f>VLOOKUP(O8,ECR!E:L,8,FALSE())</x:f>
        <x:v>Chase Brown</x:v>
      </x:c>
      <x:c r="Q8" s="63" t="str">
        <x:f>IFERROR(VLOOKUP(Aggregate!$P8,ECR!C:F,2,FALSE()),"-")</x:f>
        <x:v>CIN</x:v>
      </x:c>
      <x:c r="R8" s="63" t="n">
        <x:f>IFERROR(VLOOKUP(Aggregate!$P8,ECR!C:F,4,FALSE()),"-")</x:f>
        <x:v>6</x:v>
      </x:c>
      <x:c r="S8" s="63" t="str">
        <x:f>Aggregate!$Q8 &amp; "/" &amp; Aggregate!$R8</x:f>
        <x:v>CIN/6</x:v>
      </x:c>
      <x:c r="T8" s="67" t="n">
        <x:f>IFERROR(VLOOKUP(Aggregate!$P8,RB!A:Q,13,FALSE())/17*(16-Aggregate!$AA8),0)</x:f>
        <x:v>170.52941176470588</x:v>
      </x:c>
      <x:c r="U8" s="67" t="n">
        <x:f>IFERROR(VLOOKUP(Aggregate!$P8,RB!A:Q,14,FALSE())/17*(16-Aggregate!$AA8),0)</x:f>
        <x:v>188.89</x:v>
      </x:c>
      <x:c r="V8" s="67" t="n">
        <x:f>IFERROR(VLOOKUP(Aggregate!$P8,RB!A:Q,15,FALSE())/17*(16-Aggregate!$AA8),0)</x:f>
        <x:v>207.77058823529413</x:v>
      </x:c>
      <x:c r="W8" s="70" t="n">
        <x:f>AVERAGE(Aggregate!$T8,Aggregate!$U8,Aggregate!$V8,VLOOKUP(Aggregate!$P8,ECR!L:N,3,FALSE))</x:f>
        <x:v>191.45367647499998</x:v>
      </x:c>
      <x:c r="X8" s="70" t="n">
        <x:f>Aggregate!$W8-$Q$1</x:f>
        <x:v>61.45334734999997</x:v>
      </x:c>
      <x:c r="Y8" s="74" t="n">
        <x:f>MAX(Aggregate!$X8*Scoring!$B$48+1,1)</x:f>
        <x:v>38.000756293972735</x:v>
      </x:c>
      <x:c r="Z8" s="75" t="n">
        <x:f>VLOOKUP(Aggregate!$X8,BM:BO,3,FALSE)</x:f>
        <x:v>3</x:v>
      </x:c>
      <x:c r="AA8" s="77" t="n">
        <x:f t="array" ref="AA8">VLOOKUP(INDEX(ECR!$E:$E,MATCH(P8,ECR!$C:$C,0)),RISK!A:B,2,FALSE())</x:f>
        <x:v>3</x:v>
      </x:c>
      <x:c r="AB8" s="78"/>
      <x:c r="AC8" s="63" t="s">
        <x:v>151</x:v>
      </x:c>
      <x:c r="AD8" s="63" t="str">
        <x:f>VLOOKUP(AC8,ECR!E:L,8,FALSE())</x:f>
        <x:v>Justin Jefferson</x:v>
      </x:c>
      <x:c r="AE8" s="63" t="str">
        <x:f>IFERROR(VLOOKUP(Aggregate!$AD8,ECR!C:F,2,FALSE()),"-")</x:f>
        <x:v>MIN</x:v>
      </x:c>
      <x:c r="AF8" s="63" t="n">
        <x:f>IFERROR(VLOOKUP(Aggregate!$AD8,ECR!C:F,4,FALSE()),"-")</x:f>
        <x:v>6</x:v>
      </x:c>
      <x:c r="AG8" s="63" t="str">
        <x:f>Aggregate!$AE8 &amp; "/" &amp; Aggregate!$AF8</x:f>
        <x:v>MIN/6</x:v>
      </x:c>
      <x:c r="AH8" s="67" t="n">
        <x:f>IFERROR(VLOOKUP(Aggregate!$AD8,WR!A:Q,13,FALSE())/17*(16-Aggregate!$AO8),0)</x:f>
        <x:v>175.7124705882353</x:v>
      </x:c>
      <x:c r="AI8" s="67" t="n">
        <x:f>IFERROR(VLOOKUP(Aggregate!$AD8,WR!A:Q,14,FALSE())/17*(16-Aggregate!$AO8),0)</x:f>
        <x:v>184.03612705882355</x:v>
      </x:c>
      <x:c r="AJ8" s="67" t="n">
        <x:f>IFERROR(VLOOKUP(Aggregate!$AD8,WR!A:Q,15,FALSE())/17*(16-Aggregate!$AO8),0)</x:f>
        <x:v>197.14444235294118</x:v>
      </x:c>
      <x:c r="AK8" s="70" t="n">
        <x:f>AVERAGE(Aggregate!$AH8,Aggregate!$AI8,Aggregate!$AJ8,VLOOKUP(Aggregate!$AD8,ECR!L:N,3,FALSE))</x:f>
        <x:v>185.23229177500002</x:v>
      </x:c>
      <x:c r="AL8" s="70" t="n">
        <x:f>Aggregate!$AK8-$AE$1</x:f>
        <x:v>83.03738001764708</x:v>
      </x:c>
      <x:c r="AM8" s="74" t="n">
        <x:f>MAX(Aggregate!$AL8*Scoring!$B$48+1,1)</x:f>
        <x:v>50.99639553927346</x:v>
      </x:c>
      <x:c r="AN8" s="75" t="n">
        <x:f>VLOOKUP(Aggregate!$AL8,BR:BT,3,FALSE)</x:f>
        <x:v>2</x:v>
      </x:c>
      <x:c r="AO8" s="77" t="n">
        <x:f t="array" ref="AO8">VLOOKUP(INDEX(ECR!$E:$E,MATCH(AD8,ECR!$C:$C,0)),RISK!A:B,2,FALSE())</x:f>
        <x:v>1.975999999999999</x:v>
      </x:c>
      <x:c r="AP8" s="78"/>
      <x:c r="AQ8" s="87" t="s">
        <x:v>152</x:v>
      </x:c>
      <x:c r="AR8" s="87" t="str">
        <x:f>VLOOKUP(AQ8,ECR!E:L,8,FALSE())</x:f>
        <x:v>Harold Fannin Jr.</x:v>
      </x:c>
      <x:c r="AS8" s="87" t="str">
        <x:f>IFERROR(VLOOKUP(Aggregate!$AR8,ECR!C:F,2,FALSE()),"-")</x:f>
        <x:v>CLE</x:v>
      </x:c>
      <x:c r="AT8" s="87" t="n">
        <x:f>IFERROR(VLOOKUP(Aggregate!$AR8,ECR!C:F,4,FALSE()),"-")</x:f>
        <x:v>11</x:v>
      </x:c>
      <x:c r="AU8" s="87" t="str">
        <x:f>Aggregate!$AS8 &amp; "/" &amp; Aggregate!$AT8</x:f>
        <x:v>CLE/11</x:v>
      </x:c>
      <x:c r="AV8" s="67" t="n">
        <x:f>IFERROR(VLOOKUP(Aggregate!$AR8,TE!A:K,9,FALSE())/17*(16-Aggregate!$BC8),0)</x:f>
        <x:v>107.7179294117647</x:v>
      </x:c>
      <x:c r="AW8" s="67" t="n">
        <x:f>IFERROR(VLOOKUP(Aggregate!$AR8,TE!A:K,10,FALSE())/17*(16-Aggregate!$BC8),0)</x:f>
        <x:v>120.53699294117645</x:v>
      </x:c>
      <x:c r="AX8" s="67" t="n">
        <x:f>IFERROR(VLOOKUP(Aggregate!$AR8,TE!A:K,11,FALSE())/17*(16-Aggregate!$BC8),0)</x:f>
        <x:v>135.2773411764706</x:v>
      </x:c>
      <x:c r="AY8" s="70" t="n">
        <x:f>AVERAGE(Aggregate!$AV8,Aggregate!$AW8,Aggregate!$AX8,VLOOKUP(Aggregate!$AR8,ECR!L:N,3,FALSE))</x:f>
        <x:v>120.14602618235294</x:v>
      </x:c>
      <x:c r="AZ8" s="70" t="n">
        <x:f>Aggregate!$AY8-$AS$1</x:f>
        <x:v>14.684487570588246</x:v>
      </x:c>
      <x:c r="BA8" s="74" t="n">
        <x:f>MAX(Aggregate!$AZ8*Scoring!$B$48+1,1)</x:f>
        <x:v>9.84145728965255</x:v>
      </x:c>
      <x:c r="BB8" s="67" t="n">
        <x:f>VLOOKUP(Aggregate!$AZ8,BW:BY,3,FALSE)</x:f>
        <x:v>3</x:v>
      </x:c>
      <x:c r="BC8" s="77" t="n">
        <x:f t="array" ref="BC8">VLOOKUP(INDEX(ECR!$E:$E,MATCH(AR8,ECR!$C:$C,0)),RISK!A:B,2,FALSE())</x:f>
        <x:v>2.6140000000000008</x:v>
      </x:c>
      <x:c r="BD8" s="67"/>
      <x:c r="BE8" s="78"/>
      <x:c r="BF8" s="78">
        <x:v>6.0</x:v>
      </x:c>
      <x:c r="BG8" s="78">
        <x:f t="shared" si="1"/>
        <x:v>261.1744984</x:v>
      </x:c>
      <x:c r="BH8" s="78" t="n">
        <x:f>IFERROR(LARGE($J$3:$J$52,6),"")</x:f>
        <x:v>20.117277733823556</x:v>
      </x:c>
      <x:c r="BI8" s="78">
        <x:f t="shared" si="5"/>
        <x:v>29.66802852</x:v>
      </x:c>
      <x:c r="BJ8" s="78">
        <x:f t="shared" si="6"/>
        <x:v>2</x:v>
      </x:c>
      <x:c r="BK8" s="89">
        <x:v>6.0</x:v>
      </x:c>
      <x:c r="BL8" s="78">
        <x:f t="shared" si="2"/>
        <x:v>198.6247059</x:v>
      </x:c>
      <x:c r="BM8" s="90" t="n">
        <x:f>IFERROR(LARGE($X$3:$X$102,6),"")</x:f>
        <x:v>66.8808473529412</x:v>
      </x:c>
      <x:c r="BN8" s="90">
        <x:f t="shared" si="7"/>
        <x:v>96.23378382</x:v>
      </x:c>
      <x:c r="BO8" s="91">
        <x:f t="shared" si="8"/>
        <x:v>3</x:v>
      </x:c>
      <x:c r="BP8" s="90">
        <x:v>6.0</x:v>
      </x:c>
      <x:c r="BQ8" s="78">
        <x:f t="shared" si="3"/>
        <x:v>184.0361271</x:v>
      </x:c>
      <x:c r="BR8" s="90" t="n">
        <x:f>IFERROR(LARGE($AL$3:$AL$102,6),"")</x:f>
        <x:v>81.84649256911766</x:v>
      </x:c>
      <x:c r="BS8" s="90">
        <x:f t="shared" si="9"/>
        <x:v>83.91791529</x:v>
      </x:c>
      <x:c r="BT8" s="90">
        <x:f t="shared" si="10"/>
        <x:v>2</x:v>
      </x:c>
      <x:c r="BU8" s="78">
        <x:v>6.0</x:v>
      </x:c>
      <x:c r="BV8" s="78">
        <x:f t="shared" si="4"/>
        <x:v>117.0518412</x:v>
      </x:c>
      <x:c r="BW8" s="90" t="n">
        <x:f>IFERROR(LARGE($AZ$3:$AZ$52,6),"")</x:f>
        <x:v>13.849091748529432</x:v>
      </x:c>
      <x:c r="BX8" s="90">
        <x:f t="shared" si="11"/>
        <x:v>21.32948654</x:v>
      </x:c>
      <x:c r="BY8" s="90">
        <x:f t="shared" si="12"/>
        <x:v>3</x:v>
      </x:c>
      <x:c r="BZ8" s="90"/>
      <x:c r="CA8" s="90"/>
      <x:c r="CB8" s="90"/>
      <x:c r="CC8" s="90"/>
      <x:c r="CD8" s="90"/>
      <x:c r="CE8" s="90"/>
      <x:c r="CF8" s="90"/>
      <x:c r="CG8" s="90"/>
    </x:row>
    <x:row r="9" ht="14.25" customHeight="1">
      <x:c r="A9" s="60" t="s">
        <x:v>153</x:v>
      </x:c>
      <x:c r="B9" s="60" t="str">
        <x:f>VLOOKUP(A9,ECR!E:L,8,FALSE())</x:f>
        <x:v>Caleb Williams</x:v>
      </x:c>
      <x:c r="C9" s="63" t="str">
        <x:f>IFERROR(VLOOKUP(Aggregate!$B9,ECR!C:F,2,FALSE()),"-")</x:f>
        <x:v>CHI</x:v>
      </x:c>
      <x:c r="D9" s="63" t="n">
        <x:f>IFERROR(VLOOKUP(Aggregate!$B9,ECR!C:F,4,FALSE()),"-")</x:f>
        <x:v>10</x:v>
      </x:c>
      <x:c r="E9" s="63" t="str">
        <x:f>Aggregate!$C9 &amp; "/" &amp; Aggregate!$D9</x:f>
        <x:v>CHI/10</x:v>
      </x:c>
      <x:c r="F9" s="67" t="n">
        <x:f>IFERROR(VLOOKUP(Aggregate!$B9,QB!A:Q,15,FALSE())/17*(16-Aggregate!$M9),0)</x:f>
        <x:v>235.06660908235293</x:v>
      </x:c>
      <x:c r="G9" s="67" t="n">
        <x:f>IFERROR(VLOOKUP(Aggregate!$B9,QB!A:Q,16,FALSE())/17*(16-Aggregate!$M9),0)</x:f>
        <x:v>247.5625129882353</x:v>
      </x:c>
      <x:c r="H9" s="67" t="n">
        <x:f>IFERROR(VLOOKUP(Aggregate!$B9,QB!A:Q,17,FALSE())/17*(16-Aggregate!$M9),0)</x:f>
        <x:v>262.8032207058823</x:v>
      </x:c>
      <x:c r="I9" s="70" t="n">
        <x:f>AVERAGE(Aggregate!$F9,Aggregate!$G9,Aggregate!$H9,VLOOKUP(Aggregate!$B9,ECR!L:N,3,FALSE))</x:f>
        <x:v>250.36629109411763</x:v>
      </x:c>
      <x:c r="J9" s="70" t="n">
        <x:f>Aggregate!$I9-$C$1</x:f>
        <x:v>11.892005772058809</x:v>
      </x:c>
      <x:c r="K9" s="74" t="n">
        <x:f>MAX(Aggregate!$J9*Scoring!$B$48+1,1)</x:f>
        <x:v>8.160117819334136</x:v>
      </x:c>
      <x:c r="L9" s="75" t="n">
        <x:f>VLOOKUP(Aggregate!$J9,BH:BJ,3,FALSE)</x:f>
        <x:v>3</x:v>
      </x:c>
      <x:c r="M9" s="77" t="n">
        <x:f t="array" ref="M9">VLOOKUP(INDEX(ECR!$E:$E,MATCH(B9,ECR!$C:$C,0)),RISK!A:B,2,FALSE())</x:f>
        <x:v>1.7391000000000005</x:v>
      </x:c>
      <x:c r="N9" s="78"/>
      <x:c r="O9" s="75" t="s">
        <x:v>154</x:v>
      </x:c>
      <x:c r="P9" s="60" t="str">
        <x:f>VLOOKUP(O9,ECR!E:L,8,FALSE())</x:f>
        <x:v>Saquon Barkley</x:v>
      </x:c>
      <x:c r="Q9" s="63" t="str">
        <x:f>IFERROR(VLOOKUP(Aggregate!$P9,ECR!C:F,2,FALSE()),"-")</x:f>
        <x:v>PHI</x:v>
      </x:c>
      <x:c r="R9" s="63" t="n">
        <x:f>IFERROR(VLOOKUP(Aggregate!$P9,ECR!C:F,4,FALSE()),"-")</x:f>
        <x:v>10</x:v>
      </x:c>
      <x:c r="S9" s="63" t="str">
        <x:f>Aggregate!$Q9 &amp; "/" &amp; Aggregate!$R9</x:f>
        <x:v>PHI/10</x:v>
      </x:c>
      <x:c r="T9" s="67" t="n">
        <x:f>IFERROR(VLOOKUP(Aggregate!$P9,RB!A:Q,13,FALSE())/17*(16-Aggregate!$AA9),0)</x:f>
        <x:v>173.0529411764706</x:v>
      </x:c>
      <x:c r="U9" s="67" t="n">
        <x:f>IFERROR(VLOOKUP(Aggregate!$P9,RB!A:Q,14,FALSE())/17*(16-Aggregate!$AA9),0)</x:f>
        <x:v>186.28235294117644</x:v>
      </x:c>
      <x:c r="V9" s="67" t="n">
        <x:f>IFERROR(VLOOKUP(Aggregate!$P9,RB!A:Q,15,FALSE())/17*(16-Aggregate!$AA9),0)</x:f>
        <x:v>200.43705882352944</x:v>
      </x:c>
      <x:c r="W9" s="70" t="n">
        <x:f>AVERAGE(Aggregate!$T9,Aggregate!$U9,Aggregate!$V9,VLOOKUP(Aggregate!$P9,ECR!L:N,3,FALSE))</x:f>
        <x:v>188.48852941029412</x:v>
      </x:c>
      <x:c r="X9" s="70" t="n">
        <x:f>Aggregate!$W9-$Q$1</x:f>
        <x:v>58.48820028529411</x:v>
      </x:c>
      <x:c r="Y9" s="74" t="n">
        <x:f>MAX(Aggregate!$X9*Scoring!$B$48+1,1)</x:f>
        <x:v>36.215455921445994</x:v>
      </x:c>
      <x:c r="Z9" s="75" t="n">
        <x:f>VLOOKUP(Aggregate!$X9,BM:BO,3,FALSE)</x:f>
        <x:v>3</x:v>
      </x:c>
      <x:c r="AA9" s="77" t="n">
        <x:f t="array" ref="AA9">VLOOKUP(INDEX(ECR!$E:$E,MATCH(P9,ECR!$C:$C,0)),RISK!A:B,2,FALSE())</x:f>
        <x:v>3</x:v>
      </x:c>
      <x:c r="AB9" s="78"/>
      <x:c r="AC9" s="63" t="s">
        <x:v>155</x:v>
      </x:c>
      <x:c r="AD9" s="63" t="str">
        <x:f>VLOOKUP(AC9,ECR!E:L,8,FALSE())</x:f>
        <x:v>Drake London</x:v>
      </x:c>
      <x:c r="AE9" s="63" t="str">
        <x:f>IFERROR(VLOOKUP(Aggregate!$AD9,ECR!C:F,2,FALSE()),"-")</x:f>
        <x:v>ATL</x:v>
      </x:c>
      <x:c r="AF9" s="63" t="n">
        <x:f>IFERROR(VLOOKUP(Aggregate!$AD9,ECR!C:F,4,FALSE()),"-")</x:f>
        <x:v>11</x:v>
      </x:c>
      <x:c r="AG9" s="63" t="str">
        <x:f>Aggregate!$AE9 &amp; "/" &amp; Aggregate!$AF9</x:f>
        <x:v>ATL/11</x:v>
      </x:c>
      <x:c r="AH9" s="67" t="n">
        <x:f>IFERROR(VLOOKUP(Aggregate!$AD9,WR!A:Q,13,FALSE())/17*(16-Aggregate!$AO9),0)</x:f>
        <x:v>173.94382888235293</x:v>
      </x:c>
      <x:c r="AI9" s="67" t="n">
        <x:f>IFERROR(VLOOKUP(Aggregate!$AD9,WR!A:Q,14,FALSE())/17*(16-Aggregate!$AO9),0)</x:f>
        <x:v>182.57660276470588</x:v>
      </x:c>
      <x:c r="AJ9" s="67" t="n">
        <x:f>IFERROR(VLOOKUP(Aggregate!$AD9,WR!A:Q,15,FALSE())/17*(16-Aggregate!$AO9),0)</x:f>
        <x:v>185.94929294117645</x:v>
      </x:c>
      <x:c r="AK9" s="70" t="n">
        <x:f>AVERAGE(Aggregate!$AH9,Aggregate!$AI9,Aggregate!$AJ9,VLOOKUP(Aggregate!$AD9,ECR!L:N,3,FALSE))</x:f>
        <x:v>181.26158184705884</x:v>
      </x:c>
      <x:c r="AL9" s="70" t="n">
        <x:f>Aggregate!$AK9-$AE$1</x:f>
        <x:v>79.0666700897059</x:v>
      </x:c>
      <x:c r="AM9" s="74" t="n">
        <x:f>MAX(Aggregate!$AL9*Scoring!$B$48+1,1)</x:f>
        <x:v>48.605650743533545</x:v>
      </x:c>
      <x:c r="AN9" s="75" t="n">
        <x:f>VLOOKUP(Aggregate!$AL9,BR:BT,3,FALSE)</x:f>
        <x:v>2</x:v>
      </x:c>
      <x:c r="AO9" s="77" t="n">
        <x:f t="array" ref="AO9">VLOOKUP(INDEX(ECR!$E:$E,MATCH(AD9,ECR!$C:$C,0)),RISK!A:B,2,FALSE())</x:f>
        <x:v>2.0496999999999996</x:v>
      </x:c>
      <x:c r="AP9" s="78"/>
      <x:c r="AQ9" s="87" t="s">
        <x:v>156</x:v>
      </x:c>
      <x:c r="AR9" s="87" t="str">
        <x:f>VLOOKUP(AQ9,ECR!E:L,8,FALSE())</x:f>
        <x:v>Sam LaPorta</x:v>
      </x:c>
      <x:c r="AS9" s="87" t="str">
        <x:f>IFERROR(VLOOKUP(Aggregate!$AR9,ECR!C:F,2,FALSE()),"-")</x:f>
        <x:v>DET</x:v>
      </x:c>
      <x:c r="AT9" s="87" t="n">
        <x:f>IFERROR(VLOOKUP(Aggregate!$AR9,ECR!C:F,4,FALSE()),"-")</x:f>
        <x:v>6</x:v>
      </x:c>
      <x:c r="AU9" s="87" t="str">
        <x:f>Aggregate!$AS9 &amp; "/" &amp; Aggregate!$AT9</x:f>
        <x:v>DET/6</x:v>
      </x:c>
      <x:c r="AV9" s="67" t="n">
        <x:f>IFERROR(VLOOKUP(Aggregate!$AR9,TE!A:K,9,FALSE())/17*(16-Aggregate!$BC9),0)</x:f>
        <x:v>105.60478470588234</x:v>
      </x:c>
      <x:c r="AW9" s="67" t="n">
        <x:f>IFERROR(VLOOKUP(Aggregate!$AR9,TE!A:K,10,FALSE())/17*(16-Aggregate!$BC9),0)</x:f>
        <x:v>117.20875770588236</x:v>
      </x:c>
      <x:c r="AX9" s="67" t="n">
        <x:f>IFERROR(VLOOKUP(Aggregate!$AR9,TE!A:K,11,FALSE())/17*(16-Aggregate!$BC9),0)</x:f>
        <x:v>130.35835794117645</x:v>
      </x:c>
      <x:c r="AY9" s="70" t="n">
        <x:f>AVERAGE(Aggregate!$AV9,Aggregate!$AW9,Aggregate!$AX9,VLOOKUP(Aggregate!$AR9,ECR!L:N,3,FALSE))</x:f>
        <x:v>117.5319922132353</x:v>
      </x:c>
      <x:c r="AZ9" s="70" t="n">
        <x:f>Aggregate!$AY9-$AS$1</x:f>
        <x:v>12.070453601470604</x:v>
      </x:c>
      <x:c r="BA9" s="74" t="n">
        <x:f>MAX(Aggregate!$AZ9*Scoring!$B$48+1,1)</x:f>
        <x:v>8.267560374247369</x:v>
      </x:c>
      <x:c r="BB9" s="67" t="n">
        <x:f>VLOOKUP(Aggregate!$AZ9,BW:BY,3,FALSE)</x:f>
        <x:v>3</x:v>
      </x:c>
      <x:c r="BC9" s="77" t="n">
        <x:f t="array" ref="BC9">VLOOKUP(INDEX(ECR!$E:$E,MATCH(AR9,ECR!$C:$C,0)),RISK!A:B,2,FALSE())</x:f>
        <x:v>2.6621000000000006</x:v>
      </x:c>
      <x:c r="BD9" s="67"/>
      <x:c r="BE9" s="78"/>
      <x:c r="BF9" s="78">
        <x:v>7.0</x:v>
      </x:c>
      <x:c r="BG9" s="78">
        <x:f t="shared" si="1"/>
        <x:v>256.0328216</x:v>
      </x:c>
      <x:c r="BH9" s="78" t="n">
        <x:f>IFERROR(LARGE($J$3:$J$52,7),"")</x:f>
        <x:v>12.593299347058831</x:v>
      </x:c>
      <x:c r="BI9" s="78">
        <x:f t="shared" si="5"/>
        <x:v>13.08084185</x:v>
      </x:c>
      <x:c r="BJ9" s="78">
        <x:f t="shared" si="6"/>
        <x:v>3</x:v>
      </x:c>
      <x:c r="BK9" s="89">
        <x:v>7.0</x:v>
      </x:c>
      <x:c r="BL9" s="78">
        <x:f t="shared" si="2"/>
        <x:v>194.1817647</x:v>
      </x:c>
      <x:c r="BM9" s="90" t="n">
        <x:f>IFERROR(LARGE($X$3:$X$102,7),"")</x:f>
        <x:v>65.69364146470588</x:v>
      </x:c>
      <x:c r="BN9" s="90">
        <x:f t="shared" si="7"/>
        <x:v>96.23378382</x:v>
      </x:c>
      <x:c r="BO9" s="91">
        <x:f t="shared" si="8"/>
        <x:v>3</x:v>
      </x:c>
      <x:c r="BP9" s="90">
        <x:v>7.0</x:v>
      </x:c>
      <x:c r="BQ9" s="78">
        <x:f t="shared" si="3"/>
        <x:v>182.5766028</x:v>
      </x:c>
      <x:c r="BR9" s="90" t="n">
        <x:f>IFERROR(LARGE($AL$3:$AL$102,7),"")</x:f>
        <x:v>79.0666700897059</x:v>
      </x:c>
      <x:c r="BS9" s="90">
        <x:f t="shared" si="9"/>
        <x:v>83.91791529</x:v>
      </x:c>
      <x:c r="BT9" s="90">
        <x:f t="shared" si="10"/>
        <x:v>2</x:v>
      </x:c>
      <x:c r="BU9" s="78">
        <x:v>7.0</x:v>
      </x:c>
      <x:c r="BV9" s="78">
        <x:f t="shared" si="4"/>
        <x:v>116.9560685</x:v>
      </x:c>
      <x:c r="BW9" s="90" t="n">
        <x:f>IFERROR(LARGE($AZ$3:$AZ$52,7),"")</x:f>
        <x:v>12.070453601470604</x:v>
      </x:c>
      <x:c r="BX9" s="90">
        <x:f t="shared" si="11"/>
        <x:v>21.32948654</x:v>
      </x:c>
      <x:c r="BY9" s="90">
        <x:f t="shared" si="12"/>
        <x:v>3</x:v>
      </x:c>
      <x:c r="BZ9" s="90"/>
      <x:c r="CA9" s="90"/>
      <x:c r="CB9" s="90"/>
      <x:c r="CC9" s="90"/>
      <x:c r="CD9" s="90"/>
      <x:c r="CE9" s="90"/>
      <x:c r="CF9" s="90"/>
      <x:c r="CG9" s="90"/>
    </x:row>
    <x:row r="10" ht="14.25" customHeight="1">
      <x:c r="A10" s="60" t="s">
        <x:v>157</x:v>
      </x:c>
      <x:c r="B10" s="60" t="str">
        <x:f>VLOOKUP(A10,ECR!E:L,8,FALSE())</x:f>
        <x:v>Justin Herbert</x:v>
      </x:c>
      <x:c r="C10" s="63" t="str">
        <x:f>IFERROR(VLOOKUP(Aggregate!$B10,ECR!C:F,2,FALSE()),"-")</x:f>
        <x:v>LAC</x:v>
      </x:c>
      <x:c r="D10" s="63" t="n">
        <x:f>IFERROR(VLOOKUP(Aggregate!$B10,ECR!C:F,4,FALSE()),"-")</x:f>
        <x:v>7</x:v>
      </x:c>
      <x:c r="E10" s="63" t="str">
        <x:f>Aggregate!$C10 &amp; "/" &amp; Aggregate!$D10</x:f>
        <x:v>LAC/7</x:v>
      </x:c>
      <x:c r="F10" s="67" t="n">
        <x:f>IFERROR(VLOOKUP(Aggregate!$B10,QB!A:Q,15,FALSE())/17*(16-Aggregate!$M10),0)</x:f>
        <x:v>229.4115409411764</x:v>
      </x:c>
      <x:c r="G10" s="67" t="n">
        <x:f>IFERROR(VLOOKUP(Aggregate!$B10,QB!A:Q,16,FALSE())/17*(16-Aggregate!$M10),0)</x:f>
        <x:v>243.32212282352944</x:v>
      </x:c>
      <x:c r="H10" s="67" t="n">
        <x:f>IFERROR(VLOOKUP(Aggregate!$B10,QB!A:Q,17,FALSE())/17*(16-Aggregate!$M10),0)</x:f>
        <x:v>261.44524094117645</x:v>
      </x:c>
      <x:c r="I10" s="70" t="n">
        <x:f>AVERAGE(Aggregate!$F10,Aggregate!$G10,Aggregate!$H10,VLOOKUP(Aggregate!$B10,ECR!L:N,3,FALSE))</x:f>
        <x:v>247.48943070147058</x:v>
      </x:c>
      <x:c r="J10" s="70" t="n">
        <x:f>Aggregate!$I10-$C$1</x:f>
        <x:v>9.015145379411763</x:v>
      </x:c>
      <x:c r="K10" s="74" t="n">
        <x:f>MAX(Aggregate!$J10*Scoring!$B$48+1,1)</x:f>
        <x:v>6.4279744151048135</x:v>
      </x:c>
      <x:c r="L10" s="75" t="n">
        <x:f>VLOOKUP(Aggregate!$J10,BH:BJ,3,FALSE)</x:f>
        <x:v>3</x:v>
      </x:c>
      <x:c r="M10" s="77" t="n">
        <x:f t="array" ref="M10">VLOOKUP(INDEX(ECR!$E:$E,MATCH(B10,ECR!$C:$C,0)),RISK!A:B,2,FALSE())</x:f>
        <x:v>1.7628000000000004</x:v>
      </x:c>
      <x:c r="N10" s="78"/>
      <x:c r="O10" s="75" t="s">
        <x:v>158</x:v>
      </x:c>
      <x:c r="P10" s="60" t="str">
        <x:f>VLOOKUP(O10,ECR!E:L,8,FALSE())</x:f>
        <x:v>De'Von Achane</x:v>
      </x:c>
      <x:c r="Q10" s="63" t="str">
        <x:f>IFERROR(VLOOKUP(Aggregate!$P10,ECR!C:F,2,FALSE()),"-")</x:f>
        <x:v>MIA</x:v>
      </x:c>
      <x:c r="R10" s="63" t="n">
        <x:f>IFERROR(VLOOKUP(Aggregate!$P10,ECR!C:F,4,FALSE()),"-")</x:f>
        <x:v>6</x:v>
      </x:c>
      <x:c r="S10" s="63" t="str">
        <x:f>Aggregate!$Q10 &amp; "/" &amp; Aggregate!$R10</x:f>
        <x:v>MIA/6</x:v>
      </x:c>
      <x:c r="T10" s="67" t="n">
        <x:f>IFERROR(VLOOKUP(Aggregate!$P10,RB!A:Q,13,FALSE())/17*(16-Aggregate!$AA10),0)</x:f>
        <x:v>174.50588235294117</x:v>
      </x:c>
      <x:c r="U10" s="67" t="n">
        <x:f>IFERROR(VLOOKUP(Aggregate!$P10,RB!A:Q,14,FALSE())/17*(16-Aggregate!$AA10),0)</x:f>
        <x:v>198.62470588235294</x:v>
      </x:c>
      <x:c r="V10" s="67" t="n">
        <x:f>IFERROR(VLOOKUP(Aggregate!$P10,RB!A:Q,15,FALSE())/17*(16-Aggregate!$AA10),0)</x:f>
        <x:v>228.91470588235296</x:v>
      </x:c>
      <x:c r="W10" s="70" t="n">
        <x:f>AVERAGE(Aggregate!$T10,Aggregate!$U10,Aggregate!$V10,VLOOKUP(Aggregate!$P10,ECR!L:N,3,FALSE))</x:f>
        <x:v>197.73382352941175</x:v>
      </x:c>
      <x:c r="X10" s="70" t="n">
        <x:f>Aggregate!$W10-$Q$1</x:f>
        <x:v>67.73349440441174</x:v>
      </x:c>
      <x:c r="Y10" s="74" t="n">
        <x:f>MAX(Aggregate!$X10*Scoring!$B$48+1,1)</x:f>
        <x:v>41.78200175367349</x:v>
      </x:c>
      <x:c r="Z10" s="75" t="n">
        <x:f>VLOOKUP(Aggregate!$X10,BM:BO,3,FALSE)</x:f>
        <x:v>3</x:v>
      </x:c>
      <x:c r="AA10" s="77" t="n">
        <x:f t="array" ref="AA10">VLOOKUP(INDEX(ECR!$E:$E,MATCH(P10,ECR!$C:$C,0)),RISK!A:B,2,FALSE())</x:f>
        <x:v>3</x:v>
      </x:c>
      <x:c r="AB10" s="78"/>
      <x:c r="AC10" s="63" t="s">
        <x:v>159</x:v>
      </x:c>
      <x:c r="AD10" s="63" t="str">
        <x:f>VLOOKUP(AC10,ECR!E:L,8,FALSE())</x:f>
        <x:v>A.J. Brown</x:v>
      </x:c>
      <x:c r="AE10" s="63" t="str">
        <x:f>IFERROR(VLOOKUP(Aggregate!$AD10,ECR!C:F,2,FALSE()),"-")</x:f>
        <x:v>NE</x:v>
      </x:c>
      <x:c r="AF10" s="63" t="n">
        <x:f>IFERROR(VLOOKUP(Aggregate!$AD10,ECR!C:F,4,FALSE()),"-")</x:f>
        <x:v>11</x:v>
      </x:c>
      <x:c r="AG10" s="63" t="str">
        <x:f>Aggregate!$AE10 &amp; "/" &amp; Aggregate!$AF10</x:f>
        <x:v>NE/11</x:v>
      </x:c>
      <x:c r="AH10" s="67" t="n">
        <x:f>IFERROR(VLOOKUP(Aggregate!$AD10,WR!A:Q,13,FALSE())/17*(16-Aggregate!$AO10),0)</x:f>
        <x:v>162.69210705882355</x:v>
      </x:c>
      <x:c r="AI10" s="67" t="n">
        <x:f>IFERROR(VLOOKUP(Aggregate!$AD10,WR!A:Q,14,FALSE())/17*(16-Aggregate!$AO10),0)</x:f>
        <x:v>173.5409685882353</x:v>
      </x:c>
      <x:c r="AJ10" s="67" t="n">
        <x:f>IFERROR(VLOOKUP(Aggregate!$AD10,WR!A:Q,15,FALSE())/17*(16-Aggregate!$AO10),0)</x:f>
        <x:v>189.38569411764703</x:v>
      </x:c>
      <x:c r="AK10" s="70" t="n">
        <x:f>AVERAGE(Aggregate!$AH10,Aggregate!$AI10,Aggregate!$AJ10,VLOOKUP(Aggregate!$AD10,ECR!L:N,3,FALSE))</x:f>
        <x:v>176.07863051617647</x:v>
      </x:c>
      <x:c r="AL10" s="70" t="n">
        <x:f>Aggregate!$AK10-$AE$1</x:f>
        <x:v>73.88371875882353</x:v>
      </x:c>
      <x:c r="AM10" s="74" t="n">
        <x:f>MAX(Aggregate!$AL10*Scoring!$B$48+1,1)</x:f>
        <x:v>45.48502139871886</x:v>
      </x:c>
      <x:c r="AN10" s="75" t="n">
        <x:f>VLOOKUP(Aggregate!$AL10,BR:BT,3,FALSE)</x:f>
        <x:v>2</x:v>
      </x:c>
      <x:c r="AO10" s="77" t="n">
        <x:f t="array" ref="AO10">VLOOKUP(INDEX(ECR!$E:$E,MATCH(AD10,ECR!$C:$C,0)),RISK!A:B,2,FALSE())</x:f>
        <x:v>2.1226000000000003</x:v>
      </x:c>
      <x:c r="AP10" s="78"/>
      <x:c r="AQ10" s="87" t="s">
        <x:v>160</x:v>
      </x:c>
      <x:c r="AR10" s="87" t="str">
        <x:f>VLOOKUP(AQ10,ECR!E:L,8,FALSE())</x:f>
        <x:v>Kyle Pitts Sr.</x:v>
      </x:c>
      <x:c r="AS10" s="87" t="str">
        <x:f>IFERROR(VLOOKUP(Aggregate!$AR10,ECR!C:F,2,FALSE()),"-")</x:f>
        <x:v>ATL</x:v>
      </x:c>
      <x:c r="AT10" s="87" t="n">
        <x:f>IFERROR(VLOOKUP(Aggregate!$AR10,ECR!C:F,4,FALSE()),"-")</x:f>
        <x:v>11</x:v>
      </x:c>
      <x:c r="AU10" s="87" t="str">
        <x:f>Aggregate!$AS10 &amp; "/" &amp; Aggregate!$AT10</x:f>
        <x:v>ATL/11</x:v>
      </x:c>
      <x:c r="AV10" s="67" t="n">
        <x:f>IFERROR(VLOOKUP(Aggregate!$AR10,TE!A:K,9,FALSE())/17*(16-Aggregate!$BC10),0)</x:f>
        <x:v>108.40313647058822</x:v>
      </x:c>
      <x:c r="AW10" s="67" t="n">
        <x:f>IFERROR(VLOOKUP(Aggregate!$AR10,TE!A:K,10,FALSE())/17*(16-Aggregate!$BC10),0)</x:f>
        <x:v>116.86577670588237</x:v>
      </x:c>
      <x:c r="AX10" s="67" t="n">
        <x:f>IFERROR(VLOOKUP(Aggregate!$AR10,TE!A:K,11,FALSE())/17*(16-Aggregate!$BC10),0)</x:f>
        <x:v>126.71278599999998</x:v>
      </x:c>
      <x:c r="AY10" s="70" t="n">
        <x:f>AVERAGE(Aggregate!$AV10,Aggregate!$AW10,Aggregate!$AX10,VLOOKUP(Aggregate!$AR10,ECR!L:N,3,FALSE))</x:f>
        <x:v>117.19231574411764</x:v>
      </x:c>
      <x:c r="AZ10" s="70" t="n">
        <x:f>Aggregate!$AY10-$AS$1</x:f>
        <x:v>11.73077713235294</x:v>
      </x:c>
      <x:c r="BA10" s="74" t="n">
        <x:f>MAX(Aggregate!$AZ10*Scoring!$B$48+1,1)</x:f>
        <x:v>8.063042853321475</x:v>
      </x:c>
      <x:c r="BB10" s="67" t="n">
        <x:f>VLOOKUP(Aggregate!$AZ10,BW:BY,3,FALSE)</x:f>
        <x:v>3</x:v>
      </x:c>
      <x:c r="BC10" s="77" t="n">
        <x:f t="array" ref="BC10">VLOOKUP(INDEX(ECR!$E:$E,MATCH(AR10,ECR!$C:$C,0)),RISK!A:B,2,FALSE())</x:f>
        <x:v>2.703800000000001</x:v>
      </x:c>
      <x:c r="BD10" s="67"/>
      <x:c r="BE10" s="78"/>
      <x:c r="BF10" s="78">
        <x:v>8.0</x:v>
      </x:c>
      <x:c r="BG10" s="78">
        <x:f t="shared" si="1"/>
        <x:v>255.7788181</x:v>
      </x:c>
      <x:c r="BH10" s="78" t="n">
        <x:f>IFERROR(LARGE($J$3:$J$52,8),"")</x:f>
        <x:v>12.120402074999987</x:v>
      </x:c>
      <x:c r="BI10" s="78">
        <x:f t="shared" si="5"/>
        <x:v>13.08084185</x:v>
      </x:c>
      <x:c r="BJ10" s="78">
        <x:f t="shared" si="6"/>
        <x:v>3</x:v>
      </x:c>
      <x:c r="BK10" s="89">
        <x:v>8.0</x:v>
      </x:c>
      <x:c r="BL10" s="78">
        <x:f t="shared" si="2"/>
        <x:v>188.89</x:v>
      </x:c>
      <x:c r="BM10" s="90" t="n">
        <x:f>IFERROR(LARGE($X$3:$X$102,8),"")</x:f>
        <x:v>61.45334734999997</x:v>
      </x:c>
      <x:c r="BN10" s="90">
        <x:f t="shared" si="7"/>
        <x:v>96.23378382</x:v>
      </x:c>
      <x:c r="BO10" s="91">
        <x:f t="shared" si="8"/>
        <x:v>3</x:v>
      </x:c>
      <x:c r="BP10" s="90">
        <x:v>8.0</x:v>
      </x:c>
      <x:c r="BQ10" s="78">
        <x:f t="shared" si="3"/>
        <x:v>178.6957523</x:v>
      </x:c>
      <x:c r="BR10" s="90" t="n">
        <x:f>IFERROR(LARGE($AL$3:$AL$102,8),"")</x:f>
        <x:v>73.88371875882353</x:v>
      </x:c>
      <x:c r="BS10" s="90">
        <x:f t="shared" si="9"/>
        <x:v>83.91791529</x:v>
      </x:c>
      <x:c r="BT10" s="90">
        <x:f t="shared" si="10"/>
        <x:v>2</x:v>
      </x:c>
      <x:c r="BU10" s="78">
        <x:v>8.0</x:v>
      </x:c>
      <x:c r="BV10" s="78">
        <x:f t="shared" si="4"/>
        <x:v>116.7875638</x:v>
      </x:c>
      <x:c r="BW10" s="90" t="n">
        <x:f>IFERROR(LARGE($AZ$3:$AZ$52,8),"")</x:f>
        <x:v>11.73077713235294</x:v>
      </x:c>
      <x:c r="BX10" s="90">
        <x:f t="shared" si="11"/>
        <x:v>21.32948654</x:v>
      </x:c>
      <x:c r="BY10" s="90">
        <x:f t="shared" si="12"/>
        <x:v>3</x:v>
      </x:c>
      <x:c r="BZ10" s="90"/>
      <x:c r="CA10" s="90"/>
      <x:c r="CB10" s="90"/>
      <x:c r="CC10" s="90"/>
      <x:c r="CD10" s="90"/>
      <x:c r="CE10" s="90"/>
      <x:c r="CF10" s="90"/>
      <x:c r="CG10" s="90"/>
    </x:row>
    <x:row r="11" ht="14.25" customHeight="1">
      <x:c r="A11" s="60" t="s">
        <x:v>161</x:v>
      </x:c>
      <x:c r="B11" s="60" t="str">
        <x:f>VLOOKUP(A11,ECR!E:L,8,FALSE())</x:f>
        <x:v>Trevor Lawrence</x:v>
      </x:c>
      <x:c r="C11" s="63" t="str">
        <x:f>IFERROR(VLOOKUP(Aggregate!$B11,ECR!C:F,2,FALSE()),"-")</x:f>
        <x:v>JAC</x:v>
      </x:c>
      <x:c r="D11" s="63" t="n">
        <x:f>IFERROR(VLOOKUP(Aggregate!$B11,ECR!C:F,4,FALSE()),"-")</x:f>
        <x:v>7</x:v>
      </x:c>
      <x:c r="E11" s="63" t="str">
        <x:f>Aggregate!$C11 &amp; "/" &amp; Aggregate!$D11</x:f>
        <x:v>JAC/7</x:v>
      </x:c>
      <x:c r="F11" s="67" t="n">
        <x:f>IFERROR(VLOOKUP(Aggregate!$B11,QB!A:Q,15,FALSE())/17*(16-Aggregate!$M11),0)</x:f>
        <x:v>228.68278999999995</x:v>
      </x:c>
      <x:c r="G11" s="67" t="n">
        <x:f>IFERROR(VLOOKUP(Aggregate!$B11,QB!A:Q,16,FALSE())/17*(16-Aggregate!$M11),0)</x:f>
        <x:v>247.75779217647062</x:v>
      </x:c>
      <x:c r="H11" s="67" t="n">
        <x:f>IFERROR(VLOOKUP(Aggregate!$B11,QB!A:Q,17,FALSE())/17*(16-Aggregate!$M11),0)</x:f>
        <x:v>272.71488</x:v>
      </x:c>
      <x:c r="I11" s="70" t="n">
        <x:f>AVERAGE(Aggregate!$F11,Aggregate!$G11,Aggregate!$H11,VLOOKUP(Aggregate!$B11,ECR!L:N,3,FALSE))</x:f>
        <x:v>251.06758466911765</x:v>
      </x:c>
      <x:c r="J11" s="70" t="n">
        <x:f>Aggregate!$I11-$C$1</x:f>
        <x:v>12.593299347058831</x:v>
      </x:c>
      <x:c r="K11" s="74" t="n">
        <x:f>MAX(Aggregate!$J11*Scoring!$B$48+1,1)</x:f>
        <x:v>8.58236320999315</x:v>
      </x:c>
      <x:c r="L11" s="75" t="n">
        <x:f>VLOOKUP(Aggregate!$J11,BH:BJ,3,FALSE)</x:f>
        <x:v>3</x:v>
      </x:c>
      <x:c r="M11" s="77" t="n">
        <x:f t="array" ref="M11">VLOOKUP(INDEX(ECR!$E:$E,MATCH(B11,ECR!$C:$C,0)),RISK!A:B,2,FALSE())</x:f>
        <x:v>1.796100000000001</x:v>
      </x:c>
      <x:c r="N11" s="78"/>
      <x:c r="O11" s="75" t="s">
        <x:v>162</x:v>
      </x:c>
      <x:c r="P11" s="60" t="str">
        <x:f>VLOOKUP(O11,ECR!E:L,8,FALSE())</x:f>
        <x:v>Omarion Hampton</x:v>
      </x:c>
      <x:c r="Q11" s="63" t="str">
        <x:f>IFERROR(VLOOKUP(Aggregate!$P11,ECR!C:F,2,FALSE()),"-")</x:f>
        <x:v>LAC</x:v>
      </x:c>
      <x:c r="R11" s="63" t="n">
        <x:f>IFERROR(VLOOKUP(Aggregate!$P11,ECR!C:F,4,FALSE()),"-")</x:f>
        <x:v>7</x:v>
      </x:c>
      <x:c r="S11" s="63" t="str">
        <x:f>Aggregate!$Q11 &amp; "/" &amp; Aggregate!$R11</x:f>
        <x:v>LAC/7</x:v>
      </x:c>
      <x:c r="T11" s="67" t="n">
        <x:f>IFERROR(VLOOKUP(Aggregate!$P11,RB!A:Q,13,FALSE())/17*(16-Aggregate!$AA11),0)</x:f>
        <x:v>156.84117647058824</x:v>
      </x:c>
      <x:c r="U11" s="67" t="n">
        <x:f>IFERROR(VLOOKUP(Aggregate!$P11,RB!A:Q,14,FALSE())/17*(16-Aggregate!$AA11),0)</x:f>
        <x:v>175.3164705882353</x:v>
      </x:c>
      <x:c r="V11" s="67" t="n">
        <x:f>IFERROR(VLOOKUP(Aggregate!$P11,RB!A:Q,15,FALSE())/17*(16-Aggregate!$AA11),0)</x:f>
        <x:v>187.73529411764707</x:v>
      </x:c>
      <x:c r="W11" s="70" t="n">
        <x:f>AVERAGE(Aggregate!$T11,Aggregate!$U11,Aggregate!$V11,VLOOKUP(Aggregate!$P11,ECR!L:N,3,FALSE))</x:f>
        <x:v>176.54382351911764</x:v>
      </x:c>
      <x:c r="X11" s="70" t="n">
        <x:f>Aggregate!$W11-$Q$1</x:f>
        <x:v>46.54349439411763</x:v>
      </x:c>
      <x:c r="Y11" s="74" t="n">
        <x:f>MAX(Aggregate!$X11*Scoring!$B$48+1,1)</x:f>
        <x:v>29.023607621215014</x:v>
      </x:c>
      <x:c r="Z11" s="75" t="n">
        <x:f>VLOOKUP(Aggregate!$X11,BM:BO,3,FALSE)</x:f>
        <x:v>3</x:v>
      </x:c>
      <x:c r="AA11" s="77" t="n">
        <x:f t="array" ref="AA11">VLOOKUP(INDEX(ECR!$E:$E,MATCH(P11,ECR!$C:$C,0)),RISK!A:B,2,FALSE())</x:f>
        <x:v>3</x:v>
      </x:c>
      <x:c r="AB11" s="78"/>
      <x:c r="AC11" s="63" t="s">
        <x:v>163</x:v>
      </x:c>
      <x:c r="AD11" s="63" t="str">
        <x:f>VLOOKUP(AC11,ECR!E:L,8,FALSE())</x:f>
        <x:v>Nico Collins</x:v>
      </x:c>
      <x:c r="AE11" s="63" t="str">
        <x:f>IFERROR(VLOOKUP(Aggregate!$AD11,ECR!C:F,2,FALSE()),"-")</x:f>
        <x:v>HOU</x:v>
      </x:c>
      <x:c r="AF11" s="63" t="n">
        <x:f>IFERROR(VLOOKUP(Aggregate!$AD11,ECR!C:F,4,FALSE()),"-")</x:f>
        <x:v>8</x:v>
      </x:c>
      <x:c r="AG11" s="63" t="str">
        <x:f>Aggregate!$AE11 &amp; "/" &amp; Aggregate!$AF11</x:f>
        <x:v>HOU/8</x:v>
      </x:c>
      <x:c r="AH11" s="67" t="n">
        <x:f>IFERROR(VLOOKUP(Aggregate!$AD11,WR!A:Q,13,FALSE())/17*(16-Aggregate!$AO11),0)</x:f>
        <x:v>159.89785705882355</x:v>
      </x:c>
      <x:c r="AI11" s="67" t="n">
        <x:f>IFERROR(VLOOKUP(Aggregate!$AD11,WR!A:Q,14,FALSE())/17*(16-Aggregate!$AO11),0)</x:f>
        <x:v>168.5221091764706</x:v>
      </x:c>
      <x:c r="AJ11" s="67" t="n">
        <x:f>IFERROR(VLOOKUP(Aggregate!$AD11,WR!A:Q,15,FALSE())/17*(16-Aggregate!$AO11),0)</x:f>
        <x:v>179.02225794117646</x:v>
      </x:c>
      <x:c r="AK11" s="70" t="n">
        <x:f>AVERAGE(Aggregate!$AH11,Aggregate!$AI11,Aggregate!$AJ11,VLOOKUP(Aggregate!$AD11,ECR!L:N,3,FALSE))</x:f>
        <x:v>170.24579819411767</x:v>
      </x:c>
      <x:c r="AL11" s="70" t="n">
        <x:f>Aggregate!$AK11-$AE$1</x:f>
        <x:v>68.05088643676473</x:v>
      </x:c>
      <x:c r="AM11" s="74" t="n">
        <x:f>MAX(Aggregate!$AL11*Scoring!$B$48+1,1)</x:f>
        <x:v>41.9731019255137</x:v>
      </x:c>
      <x:c r="AN11" s="75" t="n">
        <x:f>VLOOKUP(Aggregate!$AL11,BR:BT,3,FALSE)</x:f>
        <x:v>2</x:v>
      </x:c>
      <x:c r="AO11" s="77" t="n">
        <x:f t="array" ref="AO11">VLOOKUP(INDEX(ECR!$E:$E,MATCH(AD11,ECR!$C:$C,0)),RISK!A:B,2,FALSE())</x:f>
        <x:v>2.194699999999999</x:v>
      </x:c>
      <x:c r="AP11" s="78"/>
      <x:c r="AQ11" s="87" t="s">
        <x:v>164</x:v>
      </x:c>
      <x:c r="AR11" s="87" t="str">
        <x:f>VLOOKUP(AQ11,ECR!E:L,8,FALSE())</x:f>
        <x:v>George Kittle</x:v>
      </x:c>
      <x:c r="AS11" s="87" t="str">
        <x:f>IFERROR(VLOOKUP(Aggregate!$AR11,ECR!C:F,2,FALSE()),"-")</x:f>
        <x:v>SF</x:v>
      </x:c>
      <x:c r="AT11" s="87" t="n">
        <x:f>IFERROR(VLOOKUP(Aggregate!$AR11,ECR!C:F,4,FALSE()),"-")</x:f>
        <x:v>8</x:v>
      </x:c>
      <x:c r="AU11" s="87" t="str">
        <x:f>Aggregate!$AS11 &amp; "/" &amp; Aggregate!$AT11</x:f>
        <x:v>SF/8</x:v>
      </x:c>
      <x:c r="AV11" s="67" t="n">
        <x:f>IFERROR(VLOOKUP(Aggregate!$AR11,TE!A:K,9,FALSE())/17*(16-Aggregate!$BC11),0)</x:f>
        <x:v>96.4925488235294</x:v>
      </x:c>
      <x:c r="AW11" s="67" t="n">
        <x:f>IFERROR(VLOOKUP(Aggregate!$AR11,TE!A:K,10,FALSE())/17*(16-Aggregate!$BC11),0)</x:f>
        <x:v>115.02660670588234</x:v>
      </x:c>
      <x:c r="AX11" s="67" t="n">
        <x:f>IFERROR(VLOOKUP(Aggregate!$AR11,TE!A:K,11,FALSE())/17*(16-Aggregate!$BC11),0)</x:f>
        <x:v>137.52333352941176</x:v>
      </x:c>
      <x:c r="AY11" s="70" t="n">
        <x:f>AVERAGE(Aggregate!$AV11,Aggregate!$AW11,Aggregate!$AX11,VLOOKUP(Aggregate!$AR11,ECR!L:N,3,FALSE))</x:f>
        <x:v>115.97827128970589</x:v>
      </x:c>
      <x:c r="AZ11" s="70" t="n">
        <x:f>Aggregate!$AY11-$AS$1</x:f>
        <x:v>10.516732677941192</x:v>
      </x:c>
      <x:c r="BA11" s="74" t="n">
        <x:f>MAX(Aggregate!$AZ11*Scoring!$B$48+1,1)</x:f>
        <x:v>7.33207269587995</x:v>
      </x:c>
      <x:c r="BB11" s="67" t="n">
        <x:f>VLOOKUP(Aggregate!$AZ11,BW:BY,3,FALSE)</x:f>
        <x:v>3</x:v>
      </x:c>
      <x:c r="BC11" s="77" t="n">
        <x:f t="array" ref="BC11">VLOOKUP(INDEX(ECR!$E:$E,MATCH(AR11,ECR!$C:$C,0)),RISK!A:B,2,FALSE())</x:f>
        <x:v>2.7391000000000005</x:v>
      </x:c>
      <x:c r="BD11" s="67"/>
      <x:c r="BE11" s="78"/>
      <x:c r="BF11" s="78">
        <x:v>9.0</x:v>
      </x:c>
      <x:c r="BG11" s="78">
        <x:f t="shared" si="1"/>
        <x:v>255.1148765</x:v>
      </x:c>
      <x:c r="BH11" s="78" t="n">
        <x:f>IFERROR(LARGE($J$3:$J$52,9),"")</x:f>
        <x:v>11.892005772058809</x:v>
      </x:c>
      <x:c r="BI11" s="78">
        <x:f t="shared" si="5"/>
        <x:v>13.08084185</x:v>
      </x:c>
      <x:c r="BJ11" s="78">
        <x:f t="shared" si="6"/>
        <x:v>3</x:v>
      </x:c>
      <x:c r="BK11" s="89">
        <x:v>9.0</x:v>
      </x:c>
      <x:c r="BL11" s="78">
        <x:f t="shared" si="2"/>
        <x:v>186.2823529</x:v>
      </x:c>
      <x:c r="BM11" s="90" t="n">
        <x:f>IFERROR(LARGE($X$3:$X$102,9),"")</x:f>
        <x:v>58.48820028529411</x:v>
      </x:c>
      <x:c r="BN11" s="90">
        <x:f t="shared" si="7"/>
        <x:v>96.23378382</x:v>
      </x:c>
      <x:c r="BO11" s="91">
        <x:f t="shared" si="8"/>
        <x:v>3</x:v>
      </x:c>
      <x:c r="BP11" s="90">
        <x:v>9.0</x:v>
      </x:c>
      <x:c r="BQ11" s="78">
        <x:f t="shared" si="3"/>
        <x:v>173.5409686</x:v>
      </x:c>
      <x:c r="BR11" s="90" t="n">
        <x:f>IFERROR(LARGE($AL$3:$AL$102,9),"")</x:f>
        <x:v>72.53053656911766</x:v>
      </x:c>
      <x:c r="BS11" s="90">
        <x:f t="shared" si="9"/>
        <x:v>83.91791529</x:v>
      </x:c>
      <x:c r="BT11" s="90">
        <x:f t="shared" si="10"/>
        <x:v>2</x:v>
      </x:c>
      <x:c r="BU11" s="78">
        <x:v>9.0</x:v>
      </x:c>
      <x:c r="BV11" s="78">
        <x:f t="shared" si="4"/>
        <x:v>114.8705961</x:v>
      </x:c>
      <x:c r="BW11" s="90" t="n">
        <x:f>IFERROR(LARGE($AZ$3:$AZ$52,9),"")</x:f>
        <x:v>10.516732677941192</x:v>
      </x:c>
      <x:c r="BX11" s="90">
        <x:f t="shared" si="11"/>
        <x:v>21.32948654</x:v>
      </x:c>
      <x:c r="BY11" s="90">
        <x:f t="shared" si="12"/>
        <x:v>3</x:v>
      </x:c>
      <x:c r="BZ11" s="90"/>
      <x:c r="CA11" s="90"/>
      <x:c r="CB11" s="90"/>
      <x:c r="CC11" s="90"/>
      <x:c r="CD11" s="90"/>
      <x:c r="CE11" s="90"/>
      <x:c r="CF11" s="90"/>
      <x:c r="CG11" s="90"/>
    </x:row>
    <x:row r="12" ht="14.25" customHeight="1">
      <x:c r="A12" s="60" t="s">
        <x:v>165</x:v>
      </x:c>
      <x:c r="B12" s="60" t="str">
        <x:f>VLOOKUP(A12,ECR!E:L,8,FALSE())</x:f>
        <x:v>Dak Prescott</x:v>
      </x:c>
      <x:c r="C12" s="63" t="str">
        <x:f>IFERROR(VLOOKUP(Aggregate!$B12,ECR!C:F,2,FALSE()),"-")</x:f>
        <x:v>DAL</x:v>
      </x:c>
      <x:c r="D12" s="63" t="n">
        <x:f>IFERROR(VLOOKUP(Aggregate!$B12,ECR!C:F,4,FALSE()),"-")</x:f>
        <x:v>14</x:v>
      </x:c>
      <x:c r="E12" s="63" t="str">
        <x:f>Aggregate!$C12 &amp; "/" &amp; Aggregate!$D12</x:f>
        <x:v>DAL/14</x:v>
      </x:c>
      <x:c r="F12" s="67" t="n">
        <x:f>IFERROR(VLOOKUP(Aggregate!$B12,QB!A:Q,15,FALSE())/17*(16-Aggregate!$M12),0)</x:f>
        <x:v>231.74393199999997</x:v>
      </x:c>
      <x:c r="G12" s="67" t="n">
        <x:f>IFERROR(VLOOKUP(Aggregate!$B12,QB!A:Q,16,FALSE())/17*(16-Aggregate!$M12),0)</x:f>
        <x:v>247.72420399999996</x:v>
      </x:c>
      <x:c r="H12" s="67" t="n">
        <x:f>IFERROR(VLOOKUP(Aggregate!$B12,QB!A:Q,17,FALSE())/17*(16-Aggregate!$M12),0)</x:f>
        <x:v>265.31883</x:v>
      </x:c>
      <x:c r="I12" s="70" t="n">
        <x:f>AVERAGE(Aggregate!$F12,Aggregate!$G12,Aggregate!$H12,VLOOKUP(Aggregate!$B12,ECR!L:N,3,FALSE))</x:f>
        <x:v>249.89791749999998</x:v>
      </x:c>
      <x:c r="J12" s="70" t="n">
        <x:f>Aggregate!$I12-$C$1</x:f>
        <x:v>11.423632177941158</x:v>
      </x:c>
      <x:c r="K12" s="74" t="n">
        <x:f>MAX(Aggregate!$J12*Scoring!$B$48+1,1)</x:f>
        <x:v>7.878112396394726</x:v>
      </x:c>
      <x:c r="L12" s="75" t="n">
        <x:f>VLOOKUP(Aggregate!$J12,BH:BJ,3,FALSE)</x:f>
        <x:v>3</x:v>
      </x:c>
      <x:c r="M12" s="77" t="n">
        <x:f t="array" ref="M12">VLOOKUP(INDEX(ECR!$E:$E,MATCH(B12,ECR!$C:$C,0)),RISK!A:B,2,FALSE())</x:f>
        <x:v>1.8390000000000004</x:v>
      </x:c>
      <x:c r="N12" s="78"/>
      <x:c r="O12" s="75" t="s">
        <x:v>166</x:v>
      </x:c>
      <x:c r="P12" s="60" t="str">
        <x:f>VLOOKUP(O12,ECR!E:L,8,FALSE())</x:f>
        <x:v>Derrick Henry</x:v>
      </x:c>
      <x:c r="Q12" s="63" t="str">
        <x:f>IFERROR(VLOOKUP(Aggregate!$P12,ECR!C:F,2,FALSE()),"-")</x:f>
        <x:v>BAL</x:v>
      </x:c>
      <x:c r="R12" s="63" t="n">
        <x:f>IFERROR(VLOOKUP(Aggregate!$P12,ECR!C:F,4,FALSE()),"-")</x:f>
        <x:v>13</x:v>
      </x:c>
      <x:c r="S12" s="63" t="str">
        <x:f>Aggregate!$Q12 &amp; "/" &amp; Aggregate!$R12</x:f>
        <x:v>BAL/13</x:v>
      </x:c>
      <x:c r="T12" s="67" t="n">
        <x:f>IFERROR(VLOOKUP(Aggregate!$P12,RB!A:Q,13,FALSE())/17*(16-Aggregate!$AA12),0)</x:f>
        <x:v>182.57352941176472</x:v>
      </x:c>
      <x:c r="U12" s="67" t="n">
        <x:f>IFERROR(VLOOKUP(Aggregate!$P12,RB!A:Q,14,FALSE())/17*(16-Aggregate!$AA12),0)</x:f>
        <x:v>202.44823529411767</x:v>
      </x:c>
      <x:c r="V12" s="67" t="n">
        <x:f>IFERROR(VLOOKUP(Aggregate!$P12,RB!A:Q,15,FALSE())/17*(16-Aggregate!$AA12),0)</x:f>
        <x:v>222.78176470588235</x:v>
      </x:c>
      <x:c r="W12" s="70" t="n">
        <x:f>AVERAGE(Aggregate!$T12,Aggregate!$U12,Aggregate!$V12,VLOOKUP(Aggregate!$P12,ECR!L:N,3,FALSE))</x:f>
        <x:v>196.8811764779412</x:v>
      </x:c>
      <x:c r="X12" s="70" t="n">
        <x:f>Aggregate!$W12-$Q$1</x:f>
        <x:v>66.8808473529412</x:v>
      </x:c>
      <x:c r="Y12" s="74" t="n">
        <x:f>MAX(Aggregate!$X12*Scoring!$B$48+1,1)</x:f>
        <x:v>41.26862718391157</x:v>
      </x:c>
      <x:c r="Z12" s="75" t="n">
        <x:f>VLOOKUP(Aggregate!$X12,BM:BO,3,FALSE)</x:f>
        <x:v>3</x:v>
      </x:c>
      <x:c r="AA12" s="77" t="n">
        <x:f t="array" ref="AA12">VLOOKUP(INDEX(ECR!$E:$E,MATCH(P12,ECR!$C:$C,0)),RISK!A:B,2,FALSE())</x:f>
        <x:v>3</x:v>
      </x:c>
      <x:c r="AB12" s="78"/>
      <x:c r="AC12" s="63" t="s">
        <x:v>167</x:v>
      </x:c>
      <x:c r="AD12" s="63" t="str">
        <x:f>VLOOKUP(AC12,ECR!E:L,8,FALSE())</x:f>
        <x:v>George Pickens</x:v>
      </x:c>
      <x:c r="AE12" s="63" t="str">
        <x:f>IFERROR(VLOOKUP(Aggregate!$AD12,ECR!C:F,2,FALSE()),"-")</x:f>
        <x:v>DAL</x:v>
      </x:c>
      <x:c r="AF12" s="63" t="n">
        <x:f>IFERROR(VLOOKUP(Aggregate!$AD12,ECR!C:F,4,FALSE()),"-")</x:f>
        <x:v>14</x:v>
      </x:c>
      <x:c r="AG12" s="63" t="str">
        <x:f>Aggregate!$AE12 &amp; "/" &amp; Aggregate!$AF12</x:f>
        <x:v>DAL/14</x:v>
      </x:c>
      <x:c r="AH12" s="67" t="n">
        <x:f>IFERROR(VLOOKUP(Aggregate!$AD12,WR!A:Q,13,FALSE())/17*(16-Aggregate!$AO12),0)</x:f>
        <x:v>151.39715294117647</x:v>
      </x:c>
      <x:c r="AI12" s="67" t="n">
        <x:f>IFERROR(VLOOKUP(Aggregate!$AD12,WR!A:Q,14,FALSE())/17*(16-Aggregate!$AO12),0)</x:f>
        <x:v>170.38238823529412</x:v>
      </x:c>
      <x:c r="AJ12" s="67" t="n">
        <x:f>IFERROR(VLOOKUP(Aggregate!$AD12,WR!A:Q,15,FALSE())/17*(16-Aggregate!$AO12),0)</x:f>
        <x:v>198.5774823529412</x:v>
      </x:c>
      <x:c r="AK12" s="70" t="n">
        <x:f>AVERAGE(Aggregate!$AH12,Aggregate!$AI12,Aggregate!$AJ12,VLOOKUP(Aggregate!$AD12,ECR!L:N,3,FALSE))</x:f>
        <x:v>173.13932758235293</x:v>
      </x:c>
      <x:c r="AL12" s="70" t="n">
        <x:f>Aggregate!$AK12-$AE$1</x:f>
        <x:v>70.944415825</x:v>
      </x:c>
      <x:c r="AM12" s="74" t="n">
        <x:f>MAX(Aggregate!$AL12*Scoring!$B$48+1,1)</x:f>
        <x:v>43.715281649488354</x:v>
      </x:c>
      <x:c r="AN12" s="75" t="n">
        <x:f>VLOOKUP(Aggregate!$AL12,BR:BT,3,FALSE)</x:f>
        <x:v>2</x:v>
      </x:c>
      <x:c r="AO12" s="77" t="n">
        <x:f t="array" ref="AO12">VLOOKUP(INDEX(ECR!$E:$E,MATCH(AD12,ECR!$C:$C,0)),RISK!A:B,2,FALSE())</x:f>
        <x:v>2.266</x:v>
      </x:c>
      <x:c r="AP12" s="78"/>
      <x:c r="AQ12" s="87" t="s">
        <x:v>168</x:v>
      </x:c>
      <x:c r="AR12" s="87" t="str">
        <x:f>VLOOKUP(AQ12,ECR!E:L,8,FALSE())</x:f>
        <x:v>Travis Kelce</x:v>
      </x:c>
      <x:c r="AS12" s="87" t="str">
        <x:f>IFERROR(VLOOKUP(Aggregate!$AR12,ECR!C:F,2,FALSE()),"-")</x:f>
        <x:v>KC</x:v>
      </x:c>
      <x:c r="AT12" s="87" t="n">
        <x:f>IFERROR(VLOOKUP(Aggregate!$AR12,ECR!C:F,4,FALSE()),"-")</x:f>
        <x:v>5</x:v>
      </x:c>
      <x:c r="AU12" s="87" t="str">
        <x:f>Aggregate!$AS12 &amp; "/" &amp; Aggregate!$AT12</x:f>
        <x:v>KC/5</x:v>
      </x:c>
      <x:c r="AV12" s="67" t="n">
        <x:f>IFERROR(VLOOKUP(Aggregate!$AR12,TE!A:K,9,FALSE())/17*(16-Aggregate!$BC12),0)</x:f>
        <x:v>106.71218823529411</x:v>
      </x:c>
      <x:c r="AW12" s="67" t="n">
        <x:f>IFERROR(VLOOKUP(Aggregate!$AR12,TE!A:K,10,FALSE())/17*(16-Aggregate!$BC12),0)</x:f>
        <x:v>112.6432376470588</x:v>
      </x:c>
      <x:c r="AX12" s="67" t="n">
        <x:f>IFERROR(VLOOKUP(Aggregate!$AR12,TE!A:K,11,FALSE())/17*(16-Aggregate!$BC12),0)</x:f>
        <x:v>122.20141176470587</x:v>
      </x:c>
      <x:c r="AY12" s="70" t="n">
        <x:f>AVERAGE(Aggregate!$AV12,Aggregate!$AW12,Aggregate!$AX12,VLOOKUP(Aggregate!$AR12,ECR!L:N,3,FALSE))</x:f>
        <x:v>113.8850132117647</x:v>
      </x:c>
      <x:c r="AZ12" s="70" t="n">
        <x:f>Aggregate!$AY12-$AS$1</x:f>
        <x:v>8.423474600000006</x:v>
      </x:c>
      <x:c r="BA12" s="74" t="n">
        <x:f>MAX(Aggregate!$AZ12*Scoring!$B$48+1,1)</x:f>
        <x:v>6.0717323671233645</x:v>
      </x:c>
      <x:c r="BB12" s="67" t="n">
        <x:f>VLOOKUP(Aggregate!$AZ12,BW:BY,3,FALSE)</x:f>
        <x:v>4</x:v>
      </x:c>
      <x:c r="BC12" s="77" t="n">
        <x:f t="array" ref="BC12">VLOOKUP(INDEX(ECR!$E:$E,MATCH(AR12,ECR!$C:$C,0)),RISK!A:B,2,FALSE())</x:f>
        <x:v>2.7680000000000007</x:v>
      </x:c>
      <x:c r="BD12" s="67"/>
      <x:c r="BE12" s="78"/>
      <x:c r="BF12" s="78">
        <x:v>10.0</x:v>
      </x:c>
      <x:c r="BG12" s="78">
        <x:f t="shared" si="1"/>
        <x:v>254.804704</x:v>
      </x:c>
      <x:c r="BH12" s="78" t="n">
        <x:f>IFERROR(LARGE($J$3:$J$52,10),"")</x:f>
        <x:v>11.423632177941158</x:v>
      </x:c>
      <x:c r="BI12" s="78">
        <x:f t="shared" si="5"/>
        <x:v>13.08084185</x:v>
      </x:c>
      <x:c r="BJ12" s="78">
        <x:f t="shared" si="6"/>
        <x:v>3</x:v>
      </x:c>
      <x:c r="BK12" s="89">
        <x:v>10.0</x:v>
      </x:c>
      <x:c r="BL12" s="78">
        <x:f t="shared" si="2"/>
        <x:v>179.7211765</x:v>
      </x:c>
      <x:c r="BM12" s="90" t="n">
        <x:f>IFERROR(LARGE($X$3:$X$102,10),"")</x:f>
        <x:v>48.87689881029411</x:v>
      </x:c>
      <x:c r="BN12" s="90">
        <x:f t="shared" si="7"/>
        <x:v>96.23378382</x:v>
      </x:c>
      <x:c r="BO12" s="91">
        <x:f t="shared" si="8"/>
        <x:v>3</x:v>
      </x:c>
      <x:c r="BP12" s="90">
        <x:v>10.0</x:v>
      </x:c>
      <x:c r="BQ12" s="78">
        <x:f t="shared" si="3"/>
        <x:v>172.2002868</x:v>
      </x:c>
      <x:c r="BR12" s="90" t="n">
        <x:f>IFERROR(LARGE($AL$3:$AL$102,10),"")</x:f>
        <x:v>70.944415825</x:v>
      </x:c>
      <x:c r="BS12" s="90">
        <x:f t="shared" si="9"/>
        <x:v>83.91791529</x:v>
      </x:c>
      <x:c r="BT12" s="90">
        <x:f t="shared" si="10"/>
        <x:v>2</x:v>
      </x:c>
      <x:c r="BU12" s="78">
        <x:v>10.0</x:v>
      </x:c>
      <x:c r="BV12" s="78">
        <x:f t="shared" si="4"/>
        <x:v>113.9832152</x:v>
      </x:c>
      <x:c r="BW12" s="90" t="n">
        <x:f>IFERROR(LARGE($AZ$3:$AZ$52,10),"")</x:f>
        <x:v>8.423474600000006</x:v>
      </x:c>
      <x:c r="BX12" s="90">
        <x:f t="shared" si="11"/>
        <x:v>8.403784162</x:v>
      </x:c>
      <x:c r="BY12" s="90">
        <x:f t="shared" si="12"/>
        <x:v>4</x:v>
      </x:c>
      <x:c r="BZ12" s="90"/>
      <x:c r="CA12" s="90"/>
      <x:c r="CB12" s="90"/>
      <x:c r="CC12" s="90"/>
      <x:c r="CD12" s="90"/>
      <x:c r="CE12" s="90"/>
      <x:c r="CF12" s="90"/>
      <x:c r="CG12" s="90"/>
    </x:row>
    <x:row r="13" ht="14.25" customHeight="1">
      <x:c r="A13" s="60" t="s">
        <x:v>169</x:v>
      </x:c>
      <x:c r="B13" s="60" t="str">
        <x:f>VLOOKUP(A13,ECR!E:L,8,FALSE())</x:f>
        <x:v>Brock Purdy</x:v>
      </x:c>
      <x:c r="C13" s="63" t="str">
        <x:f>IFERROR(VLOOKUP(Aggregate!$B13,ECR!C:F,2,FALSE()),"-")</x:f>
        <x:v>SF</x:v>
      </x:c>
      <x:c r="D13" s="63" t="n">
        <x:f>IFERROR(VLOOKUP(Aggregate!$B13,ECR!C:F,4,FALSE()),"-")</x:f>
        <x:v>8</x:v>
      </x:c>
      <x:c r="E13" s="63" t="str">
        <x:f>Aggregate!$C13 &amp; "/" &amp; Aggregate!$D13</x:f>
        <x:v>SF/8</x:v>
      </x:c>
      <x:c r="F13" s="67" t="n">
        <x:f>IFERROR(VLOOKUP(Aggregate!$B13,QB!A:Q,15,FALSE())/17*(16-Aggregate!$M13),0)</x:f>
        <x:v>230.65737676470584</x:v>
      </x:c>
      <x:c r="G13" s="67" t="n">
        <x:f>IFERROR(VLOOKUP(Aggregate!$B13,QB!A:Q,16,FALSE())/17*(16-Aggregate!$M13),0)</x:f>
        <x:v>246.81575882352936</x:v>
      </x:c>
      <x:c r="H13" s="67" t="n">
        <x:f>IFERROR(VLOOKUP(Aggregate!$B13,QB!A:Q,17,FALSE())/17*(16-Aggregate!$M13),0)</x:f>
        <x:v>267.6664620000001</x:v>
      </x:c>
      <x:c r="I13" s="70" t="n">
        <x:f>AVERAGE(Aggregate!$F13,Aggregate!$G13,Aggregate!$H13,VLOOKUP(Aggregate!$B13,ECR!L:N,3,FALSE))</x:f>
        <x:v>249.49675809705883</x:v>
      </x:c>
      <x:c r="J13" s="70" t="n">
        <x:f>Aggregate!$I13-$C$1</x:f>
        <x:v>11.022472775000011</x:v>
      </x:c>
      <x:c r="K13" s="74" t="n">
        <x:f>MAX(Aggregate!$J13*Scoring!$B$48+1,1)</x:f>
        <x:v>7.636576305305605</x:v>
      </x:c>
      <x:c r="L13" s="75" t="n">
        <x:f>VLOOKUP(Aggregate!$J13,BH:BJ,3,FALSE)</x:f>
        <x:v>3</x:v>
      </x:c>
      <x:c r="M13" s="77" t="n">
        <x:f t="array" ref="M13">VLOOKUP(INDEX(ECR!$E:$E,MATCH(B13,ECR!$C:$C,0)),RISK!A:B,2,FALSE())</x:f>
        <x:v>1.8915000000000006</x:v>
      </x:c>
      <x:c r="N13" s="78"/>
      <x:c r="O13" s="75" t="s">
        <x:v>170</x:v>
      </x:c>
      <x:c r="P13" s="60" t="str">
        <x:f>VLOOKUP(O13,ECR!E:L,8,FALSE())</x:f>
        <x:v>Kenneth Walker III</x:v>
      </x:c>
      <x:c r="Q13" s="63" t="str">
        <x:f>IFERROR(VLOOKUP(Aggregate!$P13,ECR!C:F,2,FALSE()),"-")</x:f>
        <x:v>KC</x:v>
      </x:c>
      <x:c r="R13" s="63" t="n">
        <x:f>IFERROR(VLOOKUP(Aggregate!$P13,ECR!C:F,4,FALSE()),"-")</x:f>
        <x:v>5</x:v>
      </x:c>
      <x:c r="S13" s="63" t="str">
        <x:f>Aggregate!$Q13 &amp; "/" &amp; Aggregate!$R13</x:f>
        <x:v>KC/5</x:v>
      </x:c>
      <x:c r="T13" s="67" t="n">
        <x:f>IFERROR(VLOOKUP(Aggregate!$P13,RB!A:Q,13,FALSE())/17*(16-Aggregate!$AA13),0)</x:f>
        <x:v>164.56470588235294</x:v>
      </x:c>
      <x:c r="U13" s="67" t="n">
        <x:f>IFERROR(VLOOKUP(Aggregate!$P13,RB!A:Q,14,FALSE())/17*(16-Aggregate!$AA13),0)</x:f>
        <x:v>179.72117647058826</x:v>
      </x:c>
      <x:c r="V13" s="67" t="n">
        <x:f>IFERROR(VLOOKUP(Aggregate!$P13,RB!A:Q,15,FALSE())/17*(16-Aggregate!$AA13),0)</x:f>
        <x:v>191.5664705882353</x:v>
      </x:c>
      <x:c r="W13" s="70" t="n">
        <x:f>AVERAGE(Aggregate!$T13,Aggregate!$U13,Aggregate!$V13,VLOOKUP(Aggregate!$P13,ECR!L:N,3,FALSE))</x:f>
        <x:v>178.87722793529412</x:v>
      </x:c>
      <x:c r="X13" s="70" t="n">
        <x:f>Aggregate!$W13-$Q$1</x:f>
        <x:v>48.87689881029411</x:v>
      </x:c>
      <x:c r="Y13" s="74" t="n">
        <x:f>MAX(Aggregate!$X13*Scoring!$B$48+1,1)</x:f>
        <x:v>30.42853887168864</x:v>
      </x:c>
      <x:c r="Z13" s="75" t="n">
        <x:f>VLOOKUP(Aggregate!$X13,BM:BO,3,FALSE)</x:f>
        <x:v>3</x:v>
      </x:c>
      <x:c r="AA13" s="77" t="n">
        <x:f t="array" ref="AA13">VLOOKUP(INDEX(ECR!$E:$E,MATCH(P13,ECR!$C:$C,0)),RISK!A:B,2,FALSE())</x:f>
        <x:v>3</x:v>
      </x:c>
      <x:c r="AB13" s="78"/>
      <x:c r="AC13" s="63" t="s">
        <x:v>171</x:v>
      </x:c>
      <x:c r="AD13" s="63" t="str">
        <x:f>VLOOKUP(AC13,ECR!E:L,8,FALSE())</x:f>
        <x:v>Chris Olave</x:v>
      </x:c>
      <x:c r="AE13" s="63" t="str">
        <x:f>IFERROR(VLOOKUP(Aggregate!$AD13,ECR!C:F,2,FALSE()),"-")</x:f>
        <x:v>NO</x:v>
      </x:c>
      <x:c r="AF13" s="63" t="n">
        <x:f>IFERROR(VLOOKUP(Aggregate!$AD13,ECR!C:F,4,FALSE()),"-")</x:f>
        <x:v>8</x:v>
      </x:c>
      <x:c r="AG13" s="63" t="str">
        <x:f>Aggregate!$AE13 &amp; "/" &amp; Aggregate!$AF13</x:f>
        <x:v>NO/8</x:v>
      </x:c>
      <x:c r="AH13" s="67" t="n">
        <x:f>IFERROR(VLOOKUP(Aggregate!$AD13,WR!A:Q,13,FALSE())/17*(16-Aggregate!$AO13),0)</x:f>
        <x:v>160.22463088235295</x:v>
      </x:c>
      <x:c r="AI13" s="67" t="n">
        <x:f>IFERROR(VLOOKUP(Aggregate!$AD13,WR!A:Q,14,FALSE())/17*(16-Aggregate!$AO13),0)</x:f>
        <x:v>172.2002867647059</x:v>
      </x:c>
      <x:c r="AJ13" s="67" t="n">
        <x:f>IFERROR(VLOOKUP(Aggregate!$AD13,WR!A:Q,15,FALSE())/17*(16-Aggregate!$AO13),0)</x:f>
        <x:v>187.8329382352941</x:v>
      </x:c>
      <x:c r="AK13" s="70" t="n">
        <x:f>AVERAGE(Aggregate!$AH13,Aggregate!$AI13,Aggregate!$AJ13,VLOOKUP(Aggregate!$AD13,ECR!L:N,3,FALSE))</x:f>
        <x:v>172.66006102058824</x:v>
      </x:c>
      <x:c r="AL13" s="70" t="n">
        <x:f>Aggregate!$AK13-$AE$1</x:f>
        <x:v>70.4651492632353</x:v>
      </x:c>
      <x:c r="AM13" s="74" t="n">
        <x:f>MAX(Aggregate!$AL13*Scoring!$B$48+1,1)</x:f>
        <x:v>43.42671762464023</x:v>
      </x:c>
      <x:c r="AN13" s="75" t="n">
        <x:f>VLOOKUP(Aggregate!$AL13,BR:BT,3,FALSE)</x:f>
        <x:v>2</x:v>
      </x:c>
      <x:c r="AO13" s="77" t="n">
        <x:f t="array" ref="AO13">VLOOKUP(INDEX(ECR!$E:$E,MATCH(AD13,ECR!$C:$C,0)),RISK!A:B,2,FALSE())</x:f>
        <x:v>2.336499999999999</x:v>
      </x:c>
      <x:c r="AP13" s="78"/>
      <x:c r="AQ13" s="87" t="s">
        <x:v>172</x:v>
      </x:c>
      <x:c r="AR13" s="87" t="str">
        <x:f>VLOOKUP(AQ13,ECR!E:L,8,FALSE())</x:f>
        <x:v>Dalton Kincaid</x:v>
      </x:c>
      <x:c r="AS13" s="87" t="str">
        <x:f>IFERROR(VLOOKUP(Aggregate!$AR13,ECR!C:F,2,FALSE()),"-")</x:f>
        <x:v>BUF</x:v>
      </x:c>
      <x:c r="AT13" s="87" t="n">
        <x:f>IFERROR(VLOOKUP(Aggregate!$AR13,ECR!C:F,4,FALSE()),"-")</x:f>
        <x:v>7</x:v>
      </x:c>
      <x:c r="AU13" s="87" t="str">
        <x:f>Aggregate!$AS13 &amp; "/" &amp; Aggregate!$AT13</x:f>
        <x:v>BUF/7</x:v>
      </x:c>
      <x:c r="AV13" s="67" t="n">
        <x:f>IFERROR(VLOOKUP(Aggregate!$AR13,TE!A:K,9,FALSE())/17*(16-Aggregate!$BC13),0)</x:f>
        <x:v>90.44622352941177</x:v>
      </x:c>
      <x:c r="AW13" s="67" t="n">
        <x:f>IFERROR(VLOOKUP(Aggregate!$AR13,TE!A:K,10,FALSE())/17*(16-Aggregate!$BC13),0)</x:f>
        <x:v>102.59119323529411</x:v>
      </x:c>
      <x:c r="AX13" s="67" t="n">
        <x:f>IFERROR(VLOOKUP(Aggregate!$AR13,TE!A:K,11,FALSE())/17*(16-Aggregate!$BC13),0)</x:f>
        <x:v>116.39900588235294</x:v>
      </x:c>
      <x:c r="AY13" s="70" t="n">
        <x:f>AVERAGE(Aggregate!$AV13,Aggregate!$AW13,Aggregate!$AX13,VLOOKUP(Aggregate!$AR13,ECR!L:N,3,FALSE))</x:f>
        <x:v>105.4615386117647</x:v>
      </x:c>
      <x:c r="AZ13" s="70" t="n">
        <x:f>Aggregate!$AY13-$AS$1</x:f>
        <x:v>0</x:v>
      </x:c>
      <x:c r="BA13" s="74" t="n">
        <x:f>MAX(Aggregate!$AZ13*Scoring!$B$48+1,1)</x:f>
        <x:v>1</x:v>
      </x:c>
      <x:c r="BB13" s="67" t="n">
        <x:f>VLOOKUP(Aggregate!$AZ13,BW:BY,3,FALSE)</x:f>
        <x:v>4</x:v>
      </x:c>
      <x:c r="BC13" s="77" t="n">
        <x:f t="array" ref="BC13">VLOOKUP(INDEX(ECR!$E:$E,MATCH(AR13,ECR!$C:$C,0)),RISK!A:B,2,FALSE())</x:f>
        <x:v>2.7905000000000015</x:v>
      </x:c>
      <x:c r="BD13" s="67"/>
      <x:c r="BE13" s="78"/>
      <x:c r="BF13" s="78">
        <x:v>11.0</x:v>
      </x:c>
      <x:c r="BG13" s="78">
        <x:f t="shared" si="1"/>
        <x:v>252.8474348</x:v>
      </x:c>
      <x:c r="BH13" s="78" t="n">
        <x:f>IFERROR(LARGE($J$3:$J$52,11),"")</x:f>
        <x:v>11.022472775000011</x:v>
      </x:c>
      <x:c r="BI13" s="78">
        <x:f t="shared" si="5"/>
        <x:v>13.08084185</x:v>
      </x:c>
      <x:c r="BJ13" s="78">
        <x:f t="shared" si="6"/>
        <x:v>3</x:v>
      </x:c>
      <x:c r="BK13" s="89">
        <x:v>11.0</x:v>
      </x:c>
      <x:c r="BL13" s="78">
        <x:f t="shared" si="2"/>
        <x:v>179.6565588</x:v>
      </x:c>
      <x:c r="BM13" s="90" t="n">
        <x:f>IFERROR(LARGE($X$3:$X$102,11),"")</x:f>
        <x:v>48.21055323970586</x:v>
      </x:c>
      <x:c r="BN13" s="90">
        <x:f t="shared" si="7"/>
        <x:v>96.23378382</x:v>
      </x:c>
      <x:c r="BO13" s="91">
        <x:f t="shared" si="8"/>
        <x:v>3</x:v>
      </x:c>
      <x:c r="BP13" s="90">
        <x:v>11.0</x:v>
      </x:c>
      <x:c r="BQ13" s="78">
        <x:f t="shared" si="3"/>
        <x:v>170.3823882</x:v>
      </x:c>
      <x:c r="BR13" s="90" t="n">
        <x:f>IFERROR(LARGE($AL$3:$AL$102,11),"")</x:f>
        <x:v>70.4651492632353</x:v>
      </x:c>
      <x:c r="BS13" s="90">
        <x:f t="shared" si="9"/>
        <x:v>83.91791529</x:v>
      </x:c>
      <x:c r="BT13" s="90">
        <x:f t="shared" si="10"/>
        <x:v>2</x:v>
      </x:c>
      <x:c r="BU13" s="78">
        <x:v>11.0</x:v>
      </x:c>
      <x:c r="BV13" s="78">
        <x:f t="shared" si="4"/>
        <x:v>112.4097318</x:v>
      </x:c>
      <x:c r="BW13" s="90" t="n">
        <x:f>IFERROR(LARGE($AZ$3:$AZ$52,11),"")</x:f>
        <x:v>7.7387400823529475</x:v>
      </x:c>
      <x:c r="BX13" s="90">
        <x:f t="shared" si="11"/>
        <x:v>8.403784162</x:v>
      </x:c>
      <x:c r="BY13" s="90">
        <x:f t="shared" si="12"/>
        <x:v>4</x:v>
      </x:c>
      <x:c r="BZ13" s="90"/>
      <x:c r="CA13" s="90"/>
      <x:c r="CB13" s="90"/>
      <x:c r="CC13" s="90"/>
      <x:c r="CD13" s="90"/>
      <x:c r="CE13" s="90"/>
      <x:c r="CF13" s="90"/>
      <x:c r="CG13" s="90"/>
    </x:row>
    <x:row r="14" ht="14.25" customHeight="1">
      <x:c r="A14" s="60" t="s">
        <x:v>173</x:v>
      </x:c>
      <x:c r="B14" s="60" t="str">
        <x:f>VLOOKUP(A14,ECR!E:L,8,FALSE())</x:f>
        <x:v>Jaxson Dart</x:v>
      </x:c>
      <x:c r="C14" s="63" t="str">
        <x:f>IFERROR(VLOOKUP(Aggregate!$B14,ECR!C:F,2,FALSE()),"-")</x:f>
        <x:v>NYG</x:v>
      </x:c>
      <x:c r="D14" s="63" t="n">
        <x:f>IFERROR(VLOOKUP(Aggregate!$B14,ECR!C:F,4,FALSE()),"-")</x:f>
        <x:v>8</x:v>
      </x:c>
      <x:c r="E14" s="63" t="str">
        <x:f>Aggregate!$C14 &amp; "/" &amp; Aggregate!$D14</x:f>
        <x:v>NYG/8</x:v>
      </x:c>
      <x:c r="F14" s="67" t="n">
        <x:f>IFERROR(VLOOKUP(Aggregate!$B14,QB!A:Q,15,FALSE())/17*(16-Aggregate!$M14),0)</x:f>
        <x:v>229.8321543529412</x:v>
      </x:c>
      <x:c r="G14" s="67" t="n">
        <x:f>IFERROR(VLOOKUP(Aggregate!$B14,QB!A:Q,16,FALSE())/17*(16-Aggregate!$M14),0)</x:f>
        <x:v>249.2574992941177</x:v>
      </x:c>
      <x:c r="H14" s="67" t="n">
        <x:f>IFERROR(VLOOKUP(Aggregate!$B14,QB!A:Q,17,FALSE())/17*(16-Aggregate!$M14),0)</x:f>
        <x:v>272.5133801411764</x:v>
      </x:c>
      <x:c r="I14" s="70" t="n">
        <x:f>AVERAGE(Aggregate!$F14,Aggregate!$G14,Aggregate!$H14,VLOOKUP(Aggregate!$B14,ECR!L:N,3,FALSE))</x:f>
        <x:v>250.5946873970588</x:v>
      </x:c>
      <x:c r="J14" s="70" t="n">
        <x:f>Aggregate!$I14-$C$1</x:f>
        <x:v>12.120402074999987</x:v>
      </x:c>
      <x:c r="K14" s="74" t="n">
        <x:f>MAX(Aggregate!$J14*Scoring!$B$48+1,1)</x:f>
        <x:v>8.297634102953973</x:v>
      </x:c>
      <x:c r="L14" s="75" t="n">
        <x:f>VLOOKUP(Aggregate!$J14,BH:BJ,3,FALSE)</x:f>
        <x:v>3</x:v>
      </x:c>
      <x:c r="M14" s="77" t="n">
        <x:f t="array" ref="M14">VLOOKUP(INDEX(ECR!$E:$E,MATCH(B14,ECR!$C:$C,0)),RISK!A:B,2,FALSE())</x:f>
        <x:v>1.9535999999999998</x:v>
      </x:c>
      <x:c r="N14" s="78"/>
      <x:c r="O14" s="75" t="s">
        <x:v>174</x:v>
      </x:c>
      <x:c r="P14" s="60" t="str">
        <x:f>VLOOKUP(O14,ECR!E:L,8,FALSE())</x:f>
        <x:v>Ashton Jeanty</x:v>
      </x:c>
      <x:c r="Q14" s="63" t="str">
        <x:f>IFERROR(VLOOKUP(Aggregate!$P14,ECR!C:F,2,FALSE()),"-")</x:f>
        <x:v>LV</x:v>
      </x:c>
      <x:c r="R14" s="63" t="n">
        <x:f>IFERROR(VLOOKUP(Aggregate!$P14,ECR!C:F,4,FALSE()),"-")</x:f>
        <x:v>13</x:v>
      </x:c>
      <x:c r="S14" s="63" t="str">
        <x:f>Aggregate!$Q14 &amp; "/" &amp; Aggregate!$R14</x:f>
        <x:v>LV/13</x:v>
      </x:c>
      <x:c r="T14" s="67" t="n">
        <x:f>IFERROR(VLOOKUP(Aggregate!$P14,RB!A:Q,13,FALSE())/17*(16-Aggregate!$AA14),0)</x:f>
        <x:v>148.12352941176468</x:v>
      </x:c>
      <x:c r="U14" s="67" t="n">
        <x:f>IFERROR(VLOOKUP(Aggregate!$P14,RB!A:Q,14,FALSE())/17*(16-Aggregate!$AA14),0)</x:f>
        <x:v>178.40588235294118</x:v>
      </x:c>
      <x:c r="V14" s="67" t="n">
        <x:f>IFERROR(VLOOKUP(Aggregate!$P14,RB!A:Q,15,FALSE())/17*(16-Aggregate!$AA14),0)</x:f>
        <x:v>207.90823529411765</x:v>
      </x:c>
      <x:c r="W14" s="70" t="n">
        <x:f>AVERAGE(Aggregate!$T14,Aggregate!$U14,Aggregate!$V14,VLOOKUP(Aggregate!$P14,ECR!L:N,3,FALSE))</x:f>
        <x:v>178.21088236470587</x:v>
      </x:c>
      <x:c r="X14" s="70" t="n">
        <x:f>Aggregate!$W14-$Q$1</x:f>
        <x:v>48.21055323970586</x:v>
      </x:c>
      <x:c r="Y14" s="74" t="n">
        <x:f>MAX(Aggregate!$X14*Scoring!$B$48+1,1)</x:f>
        <x:v>30.027335501520977</x:v>
      </x:c>
      <x:c r="Z14" s="75" t="n">
        <x:f>VLOOKUP(Aggregate!$X14,BM:BO,3,FALSE)</x:f>
        <x:v>3</x:v>
      </x:c>
      <x:c r="AA14" s="77" t="n">
        <x:f t="array" ref="AA14">VLOOKUP(INDEX(ECR!$E:$E,MATCH(P14,ECR!$C:$C,0)),RISK!A:B,2,FALSE())</x:f>
        <x:v>3</x:v>
      </x:c>
      <x:c r="AB14" s="78"/>
      <x:c r="AC14" s="63" t="s">
        <x:v>175</x:v>
      </x:c>
      <x:c r="AD14" s="63" t="str">
        <x:f>VLOOKUP(AC14,ECR!E:L,8,FALSE())</x:f>
        <x:v>Malik Nabers</x:v>
      </x:c>
      <x:c r="AE14" s="63" t="str">
        <x:f>IFERROR(VLOOKUP(Aggregate!$AD14,ECR!C:F,2,FALSE()),"-")</x:f>
        <x:v>NYG</x:v>
      </x:c>
      <x:c r="AF14" s="63" t="n">
        <x:f>IFERROR(VLOOKUP(Aggregate!$AD14,ECR!C:F,4,FALSE()),"-")</x:f>
        <x:v>8</x:v>
      </x:c>
      <x:c r="AG14" s="63" t="str">
        <x:f>Aggregate!$AE14 &amp; "/" &amp; Aggregate!$AF14</x:f>
        <x:v>NYG/8</x:v>
      </x:c>
      <x:c r="AH14" s="67" t="n">
        <x:f>IFERROR(VLOOKUP(Aggregate!$AD14,WR!A:Q,13,FALSE())/17*(16-Aggregate!$AO14),0)</x:f>
        <x:v>145.61358705882353</x:v>
      </x:c>
      <x:c r="AI14" s="67" t="n">
        <x:f>IFERROR(VLOOKUP(Aggregate!$AD14,WR!A:Q,14,FALSE())/17*(16-Aggregate!$AO14),0)</x:f>
        <x:v>159.8311025882353</x:v>
      </x:c>
      <x:c r="AJ14" s="67" t="n">
        <x:f>IFERROR(VLOOKUP(Aggregate!$AD14,WR!A:Q,15,FALSE())/17*(16-Aggregate!$AO14),0)</x:f>
        <x:v>180.86151082352941</x:v>
      </x:c>
      <x:c r="AK14" s="70" t="n">
        <x:f>AVERAGE(Aggregate!$AH14,Aggregate!$AI14,Aggregate!$AJ14,VLOOKUP(Aggregate!$AD14,ECR!L:N,3,FALSE))</x:f>
        <x:v>163.70707741764704</x:v>
      </x:c>
      <x:c r="AL14" s="70" t="n">
        <x:f>Aggregate!$AK14-$AE$1</x:f>
        <x:v>61.5121656602941</x:v>
      </x:c>
      <x:c r="AM14" s="74" t="n">
        <x:f>MAX(Aggregate!$AL14*Scoring!$B$48+1,1)</x:f>
        <x:v>38.03617050749672</x:v>
      </x:c>
      <x:c r="AN14" s="75" t="n">
        <x:f>VLOOKUP(Aggregate!$AL14,BR:BT,3,FALSE)</x:f>
        <x:v>3</x:v>
      </x:c>
      <x:c r="AO14" s="77" t="n">
        <x:f t="array" ref="AO14">VLOOKUP(INDEX(ECR!$E:$E,MATCH(AD14,ECR!$C:$C,0)),RISK!A:B,2,FALSE())</x:f>
        <x:v>2.4062</x:v>
      </x:c>
      <x:c r="AP14" s="78"/>
      <x:c r="AQ14" s="87" t="s">
        <x:v>176</x:v>
      </x:c>
      <x:c r="AR14" s="87" t="str">
        <x:f>VLOOKUP(AQ14,ECR!E:L,8,FALSE())</x:f>
        <x:v>Dallas Goedert</x:v>
      </x:c>
      <x:c r="AS14" s="87" t="str">
        <x:f>IFERROR(VLOOKUP(Aggregate!$AR14,ECR!C:F,2,FALSE()),"-")</x:f>
        <x:v>PHI</x:v>
      </x:c>
      <x:c r="AT14" s="87" t="n">
        <x:f>IFERROR(VLOOKUP(Aggregate!$AR14,ECR!C:F,4,FALSE()),"-")</x:f>
        <x:v>10</x:v>
      </x:c>
      <x:c r="AU14" s="87" t="str">
        <x:f>Aggregate!$AS14 &amp; "/" &amp; Aggregate!$AT14</x:f>
        <x:v>PHI/10</x:v>
      </x:c>
      <x:c r="AV14" s="67" t="n">
        <x:f>IFERROR(VLOOKUP(Aggregate!$AR14,TE!A:K,9,FALSE())/17*(16-Aggregate!$BC14),0)</x:f>
        <x:v>97.2431188235294</x:v>
      </x:c>
      <x:c r="AW14" s="67" t="n">
        <x:f>IFERROR(VLOOKUP(Aggregate!$AR14,TE!A:K,10,FALSE())/17*(16-Aggregate!$BC14),0)</x:f>
        <x:v>114.13843164705881</x:v>
      </x:c>
      <x:c r="AX14" s="67" t="n">
        <x:f>IFERROR(VLOOKUP(Aggregate!$AR14,TE!A:K,11,FALSE())/17*(16-Aggregate!$BC14),0)</x:f>
        <x:v>134.93743870588236</x:v>
      </x:c>
      <x:c r="AY14" s="70" t="n">
        <x:f>AVERAGE(Aggregate!$AV14,Aggregate!$AW14,Aggregate!$AX14,VLOOKUP(Aggregate!$AR14,ECR!L:N,3,FALSE))</x:f>
        <x:v>113.20027869411764</x:v>
      </x:c>
      <x:c r="AZ14" s="70" t="n">
        <x:f>Aggregate!$AY14-$AS$1</x:f>
        <x:v>7.7387400823529475</x:v>
      </x:c>
      <x:c r="BA14" s="74" t="n">
        <x:f>MAX(Aggregate!$AZ14*Scoring!$B$48+1,1)</x:f>
        <x:v>5.659457102942335</x:v>
      </x:c>
      <x:c r="BB14" s="67" t="n">
        <x:f>VLOOKUP(Aggregate!$AZ14,BW:BY,3,FALSE)</x:f>
        <x:v>4</x:v>
      </x:c>
      <x:c r="BC14" s="77" t="n">
        <x:f t="array" ref="BC14">VLOOKUP(INDEX(ECR!$E:$E,MATCH(AR14,ECR!$C:$C,0)),RISK!A:B,2,FALSE())</x:f>
        <x:v>2.8066000000000013</x:v>
      </x:c>
      <x:c r="BD14" s="67"/>
      <x:c r="BE14" s="78"/>
      <x:c r="BF14" s="78">
        <x:v>12.0</x:v>
      </x:c>
      <x:c r="BG14" s="78">
        <x:f t="shared" si="1"/>
        <x:v>250.7757158</x:v>
      </x:c>
      <x:c r="BH14" s="78" t="n">
        <x:f>IFERROR(LARGE($J$3:$J$52,12),"")</x:f>
        <x:v>9.015145379411763</x:v>
      </x:c>
      <x:c r="BI14" s="78">
        <x:f t="shared" si="5"/>
        <x:v>13.08084185</x:v>
      </x:c>
      <x:c r="BJ14" s="78">
        <x:f t="shared" si="6"/>
        <x:v>3</x:v>
      </x:c>
      <x:c r="BK14" s="89">
        <x:v>12.0</x:v>
      </x:c>
      <x:c r="BL14" s="78">
        <x:f t="shared" si="2"/>
        <x:v>178.4058824</x:v>
      </x:c>
      <x:c r="BM14" s="90" t="n">
        <x:f>IFERROR(LARGE($X$3:$X$102,12),"")</x:f>
        <x:v>46.697678233823524</x:v>
      </x:c>
      <x:c r="BN14" s="90">
        <x:f t="shared" si="7"/>
        <x:v>96.23378382</x:v>
      </x:c>
      <x:c r="BO14" s="91">
        <x:f t="shared" si="8"/>
        <x:v>3</x:v>
      </x:c>
      <x:c r="BP14" s="90">
        <x:v>12.0</x:v>
      </x:c>
      <x:c r="BQ14" s="78">
        <x:f t="shared" si="3"/>
        <x:v>168.5221092</x:v>
      </x:c>
      <x:c r="BR14" s="90" t="n">
        <x:f>IFERROR(LARGE($AL$3:$AL$102,12),"")</x:f>
        <x:v>68.05088643676473</x:v>
      </x:c>
      <x:c r="BS14" s="90">
        <x:f t="shared" si="9"/>
        <x:v>83.91791529</x:v>
      </x:c>
      <x:c r="BT14" s="90">
        <x:f t="shared" si="10"/>
        <x:v>2</x:v>
      </x:c>
      <x:c r="BU14" s="78">
        <x:v>12.0</x:v>
      </x:c>
      <x:c r="BV14" s="78">
        <x:f t="shared" si="4"/>
        <x:v>106.4821256</x:v>
      </x:c>
      <x:c r="BW14" s="90" t="n">
        <x:f>IFERROR(LARGE($AZ$3:$AZ$52,12),"")</x:f>
        <x:v>0.8851114147058752</x:v>
      </x:c>
      <x:c r="BX14" s="90">
        <x:f t="shared" si="11"/>
        <x:v>8.403784162</x:v>
      </x:c>
      <x:c r="BY14" s="90">
        <x:f t="shared" si="12"/>
        <x:v>4</x:v>
      </x:c>
      <x:c r="BZ14" s="90"/>
      <x:c r="CA14" s="90"/>
      <x:c r="CB14" s="90"/>
      <x:c r="CC14" s="90"/>
      <x:c r="CD14" s="90"/>
      <x:c r="CE14" s="90"/>
      <x:c r="CF14" s="90"/>
      <x:c r="CG14" s="90"/>
    </x:row>
    <x:row r="15" ht="14.25" customHeight="1">
      <x:c r="A15" s="60" t="s">
        <x:v>177</x:v>
      </x:c>
      <x:c r="B15" s="60" t="str">
        <x:f>VLOOKUP(A15,ECR!E:L,8,FALSE())</x:f>
        <x:v>Bo Nix</x:v>
      </x:c>
      <x:c r="C15" s="63" t="str">
        <x:f>IFERROR(VLOOKUP(Aggregate!$B15,ECR!C:F,2,FALSE()),"-")</x:f>
        <x:v>DEN</x:v>
      </x:c>
      <x:c r="D15" s="63" t="n">
        <x:f>IFERROR(VLOOKUP(Aggregate!$B15,ECR!C:F,4,FALSE()),"-")</x:f>
        <x:v>10</x:v>
      </x:c>
      <x:c r="E15" s="63" t="str">
        <x:f>Aggregate!$C15 &amp; "/" &amp; Aggregate!$D15</x:f>
        <x:v>DEN/10</x:v>
      </x:c>
      <x:c r="F15" s="67" t="n">
        <x:f>IFERROR(VLOOKUP(Aggregate!$B15,QB!A:Q,15,FALSE())/17*(16-Aggregate!$M15),0)</x:f>
        <x:v>220.1261862352941</x:v>
      </x:c>
      <x:c r="G15" s="67" t="n">
        <x:f>IFERROR(VLOOKUP(Aggregate!$B15,QB!A:Q,16,FALSE())/17*(16-Aggregate!$M15),0)</x:f>
        <x:v>237.84281767058823</x:v>
      </x:c>
      <x:c r="H15" s="67" t="n">
        <x:f>IFERROR(VLOOKUP(Aggregate!$B15,QB!A:Q,17,FALSE())/17*(16-Aggregate!$M15),0)</x:f>
        <x:v>248.4997594823529</x:v>
      </x:c>
      <x:c r="I15" s="70" t="n">
        <x:f>AVERAGE(Aggregate!$F15,Aggregate!$G15,Aggregate!$H15,VLOOKUP(Aggregate!$B15,ECR!L:N,3,FALSE))</x:f>
        <x:v>238.47428532205882</x:v>
      </x:c>
      <x:c r="J15" s="70" t="n">
        <x:f>Aggregate!$I15-$C$1</x:f>
        <x:v>0</x:v>
      </x:c>
      <x:c r="K15" s="74" t="n">
        <x:f>MAX(Aggregate!$J15*Scoring!$B$48+1,1)</x:f>
        <x:v>1</x:v>
      </x:c>
      <x:c r="L15" s="75" t="n">
        <x:f>VLOOKUP(Aggregate!$J15,BH:BJ,3,FALSE)</x:f>
        <x:v>4</x:v>
      </x:c>
      <x:c r="M15" s="77" t="n">
        <x:f t="array" ref="M15">VLOOKUP(INDEX(ECR!$E:$E,MATCH(B15,ECR!$C:$C,0)),RISK!A:B,2,FALSE())</x:f>
        <x:v>2.0252999999999997</x:v>
      </x:c>
      <x:c r="N15" s="78"/>
      <x:c r="O15" s="75" t="s">
        <x:v>178</x:v>
      </x:c>
      <x:c r="P15" s="60" t="str">
        <x:f>VLOOKUP(O15,ECR!E:L,8,FALSE())</x:f>
        <x:v>Kyren Williams</x:v>
      </x:c>
      <x:c r="Q15" s="63" t="str">
        <x:f>IFERROR(VLOOKUP(Aggregate!$P15,ECR!C:F,2,FALSE()),"-")</x:f>
        <x:v>LAR</x:v>
      </x:c>
      <x:c r="R15" s="63" t="n">
        <x:f>IFERROR(VLOOKUP(Aggregate!$P15,ECR!C:F,4,FALSE()),"-")</x:f>
        <x:v>11</x:v>
      </x:c>
      <x:c r="S15" s="63" t="str">
        <x:f>Aggregate!$Q15 &amp; "/" &amp; Aggregate!$R15</x:f>
        <x:v>LAR/11</x:v>
      </x:c>
      <x:c r="T15" s="67" t="n">
        <x:f>IFERROR(VLOOKUP(Aggregate!$P15,RB!A:Q,13,FALSE())/17*(16-Aggregate!$AA15),0)</x:f>
        <x:v>161.97235294117647</x:v>
      </x:c>
      <x:c r="U15" s="67" t="n">
        <x:f>IFERROR(VLOOKUP(Aggregate!$P15,RB!A:Q,14,FALSE())/17*(16-Aggregate!$AA15),0)</x:f>
        <x:v>170.91176470588235</x:v>
      </x:c>
      <x:c r="V15" s="67" t="n">
        <x:f>IFERROR(VLOOKUP(Aggregate!$P15,RB!A:Q,15,FALSE())/17*(16-Aggregate!$AA15),0)</x:f>
        <x:v>180.54705882352943</x:v>
      </x:c>
      <x:c r="W15" s="70" t="n">
        <x:f>AVERAGE(Aggregate!$T15,Aggregate!$U15,Aggregate!$V15,VLOOKUP(Aggregate!$P15,ECR!L:N,3,FALSE))</x:f>
        <x:v>172.45647059264707</x:v>
      </x:c>
      <x:c r="X15" s="70" t="n">
        <x:f>Aggregate!$W15-$Q$1</x:f>
        <x:v>42.45614146764706</x:v>
      </x:c>
      <x:c r="Y15" s="74" t="n">
        <x:f>MAX(Aggregate!$X15*Scoring!$B$48+1,1)</x:f>
        <x:v>26.562632653351134</x:v>
      </x:c>
      <x:c r="Z15" s="75" t="n">
        <x:f>VLOOKUP(Aggregate!$X15,BM:BO,3,FALSE)</x:f>
        <x:v>4</x:v>
      </x:c>
      <x:c r="AA15" s="77" t="n">
        <x:f t="array" ref="AA15">VLOOKUP(INDEX(ECR!$E:$E,MATCH(P15,ECR!$C:$C,0)),RISK!A:B,2,FALSE())</x:f>
        <x:v>3</x:v>
      </x:c>
      <x:c r="AB15" s="78"/>
      <x:c r="AC15" s="63" t="s">
        <x:v>179</x:v>
      </x:c>
      <x:c r="AD15" s="63" t="str">
        <x:f>VLOOKUP(AC15,ECR!E:L,8,FALSE())</x:f>
        <x:v>Rashee Rice</x:v>
      </x:c>
      <x:c r="AE15" s="63" t="str">
        <x:f>IFERROR(VLOOKUP(Aggregate!$AD15,ECR!C:F,2,FALSE()),"-")</x:f>
        <x:v>KC</x:v>
      </x:c>
      <x:c r="AF15" s="63" t="n">
        <x:f>IFERROR(VLOOKUP(Aggregate!$AD15,ECR!C:F,4,FALSE()),"-")</x:f>
        <x:v>5</x:v>
      </x:c>
      <x:c r="AG15" s="63" t="str">
        <x:f>Aggregate!$AE15 &amp; "/" &amp; Aggregate!$AF15</x:f>
        <x:v>KC/5</x:v>
      </x:c>
      <x:c r="AH15" s="67" t="n">
        <x:f>IFERROR(VLOOKUP(Aggregate!$AD15,WR!A:Q,13,FALSE())/17*(16-Aggregate!$AO15),0)</x:f>
        <x:v>153.38827764705883</x:v>
      </x:c>
      <x:c r="AI15" s="67" t="n">
        <x:f>IFERROR(VLOOKUP(Aggregate!$AD15,WR!A:Q,14,FALSE())/17*(16-Aggregate!$AO15),0)</x:f>
        <x:v>178.69575229411765</x:v>
      </x:c>
      <x:c r="AJ15" s="67" t="n">
        <x:f>IFERROR(VLOOKUP(Aggregate!$AD15,WR!A:Q,15,FALSE())/17*(16-Aggregate!$AO15),0)</x:f>
        <x:v>206.9866607647059</x:v>
      </x:c>
      <x:c r="AK15" s="70" t="n">
        <x:f>AVERAGE(Aggregate!$AH15,Aggregate!$AI15,Aggregate!$AJ15,VLOOKUP(Aggregate!$AD15,ECR!L:N,3,FALSE))</x:f>
        <x:v>174.7254483264706</x:v>
      </x:c>
      <x:c r="AL15" s="70" t="n">
        <x:f>Aggregate!$AK15-$AE$1</x:f>
        <x:v>72.53053656911766</x:v>
      </x:c>
      <x:c r="AM15" s="74" t="n">
        <x:f>MAX(Aggregate!$AL15*Scoring!$B$48+1,1)</x:f>
        <x:v>44.670277099478476</x:v>
      </x:c>
      <x:c r="AN15" s="75" t="n">
        <x:f>VLOOKUP(Aggregate!$AL15,BR:BT,3,FALSE)</x:f>
        <x:v>2</x:v>
      </x:c>
      <x:c r="AO15" s="77" t="n">
        <x:f t="array" ref="AO15">VLOOKUP(INDEX(ECR!$E:$E,MATCH(AD15,ECR!$C:$C,0)),RISK!A:B,2,FALSE())</x:f>
        <x:v>2.4750999999999994</x:v>
      </x:c>
      <x:c r="AP15" s="78"/>
      <x:c r="AQ15" s="87" t="s">
        <x:v>180</x:v>
      </x:c>
      <x:c r="AR15" s="87" t="str">
        <x:f>VLOOKUP(AQ15,ECR!E:L,8,FALSE())</x:f>
        <x:v>Isaiah Likely</x:v>
      </x:c>
      <x:c r="AS15" s="87" t="str">
        <x:f>IFERROR(VLOOKUP(Aggregate!$AR15,ECR!C:F,2,FALSE()),"-")</x:f>
        <x:v>NYG</x:v>
      </x:c>
      <x:c r="AT15" s="87" t="n">
        <x:f>IFERROR(VLOOKUP(Aggregate!$AR15,ECR!C:F,4,FALSE()),"-")</x:f>
        <x:v>8</x:v>
      </x:c>
      <x:c r="AU15" s="87" t="str">
        <x:f>Aggregate!$AS15 &amp; "/" &amp; Aggregate!$AT15</x:f>
        <x:v>NYG/8</x:v>
      </x:c>
      <x:c r="AV15" s="67" t="n">
        <x:f>IFERROR(VLOOKUP(Aggregate!$AR15,TE!A:K,9,FALSE())/17*(16-Aggregate!$BC15),0)</x:f>
        <x:v>89.64916</x:v>
      </x:c>
      <x:c r="AW15" s="67" t="n">
        <x:f>IFERROR(VLOOKUP(Aggregate!$AR15,TE!A:K,10,FALSE())/17*(16-Aggregate!$BC15),0)</x:f>
        <x:v>104.27531188235292</x:v>
      </x:c>
      <x:c r="AX15" s="67" t="n">
        <x:f>IFERROR(VLOOKUP(Aggregate!$AR15,TE!A:K,11,FALSE())/17*(16-Aggregate!$BC15),0)</x:f>
        <x:v>128.11454352941175</x:v>
      </x:c>
      <x:c r="AY15" s="70" t="n">
        <x:f>AVERAGE(Aggregate!$AV15,Aggregate!$AW15,Aggregate!$AX15,VLOOKUP(Aggregate!$AR15,ECR!L:N,3,FALSE))</x:f>
        <x:v>106.32654050294117</x:v>
      </x:c>
      <x:c r="AZ15" s="70" t="n">
        <x:f>Aggregate!$AY15-$AS$1</x:f>
        <x:v>0.8650018911764761</x:v>
      </x:c>
      <x:c r="BA15" s="74" t="n">
        <x:f>MAX(Aggregate!$AZ15*Scoring!$B$48+1,1)</x:f>
        <x:v>1.5208133576021767</x:v>
      </x:c>
      <x:c r="BB15" s="67" t="n">
        <x:f>VLOOKUP(Aggregate!$AZ15,BW:BY,3,FALSE)</x:f>
        <x:v>4</x:v>
      </x:c>
      <x:c r="BC15" s="77" t="n">
        <x:f t="array" ref="BC15">VLOOKUP(INDEX(ECR!$E:$E,MATCH(AR15,ECR!$C:$C,0)),RISK!A:B,2,FALSE())</x:f>
        <x:v>2.8163</x:v>
      </x:c>
      <x:c r="BD15" s="67"/>
      <x:c r="BE15" s="78"/>
      <x:c r="BF15" s="78">
        <x:v>13.0</x:v>
      </x:c>
      <x:c r="BG15" s="78">
        <x:f t="shared" si="1"/>
        <x:v>247.4283779</x:v>
      </x:c>
      <x:c r="BH15" s="78" t="n">
        <x:f>IFERROR(LARGE($J$3:$J$52,13),"")</x:f>
        <x:v>4.240092405882336</x:v>
      </x:c>
      <x:c r="BI15" s="78">
        <x:f t="shared" si="5"/>
        <x:v>13.08084185</x:v>
      </x:c>
      <x:c r="BJ15" s="78">
        <x:f t="shared" si="6"/>
        <x:v>3</x:v>
      </x:c>
      <x:c r="BK15" s="89">
        <x:v>13.0</x:v>
      </x:c>
      <x:c r="BL15" s="78">
        <x:f t="shared" si="2"/>
        <x:v>176.3947059</x:v>
      </x:c>
      <x:c r="BM15" s="90" t="n">
        <x:f>IFERROR(LARGE($X$3:$X$102,13),"")</x:f>
        <x:v>46.54349439411763</x:v>
      </x:c>
      <x:c r="BN15" s="90">
        <x:f t="shared" si="7"/>
        <x:v>96.23378382</x:v>
      </x:c>
      <x:c r="BO15" s="91">
        <x:f t="shared" si="8"/>
        <x:v>3</x:v>
      </x:c>
      <x:c r="BP15" s="90">
        <x:v>13.0</x:v>
      </x:c>
      <x:c r="BQ15" s="78">
        <x:f t="shared" si="3"/>
        <x:v>159.8311026</x:v>
      </x:c>
      <x:c r="BR15" s="90" t="n">
        <x:f>IFERROR(LARGE($AL$3:$AL$102,13),"")</x:f>
        <x:v>61.5121656602941</x:v>
      </x:c>
      <x:c r="BS15" s="90">
        <x:f t="shared" si="9"/>
        <x:v>62.39270094</x:v>
      </x:c>
      <x:c r="BT15" s="90">
        <x:f t="shared" si="10"/>
        <x:v>3</x:v>
      </x:c>
      <x:c r="BU15" s="78">
        <x:v>13.0</x:v>
      </x:c>
      <x:c r="BV15" s="78">
        <x:f t="shared" si="4"/>
        <x:v>103.2671466</x:v>
      </x:c>
      <x:c r="BW15" s="90" t="n">
        <x:f>IFERROR(LARGE($AZ$3:$AZ$52,13),"")</x:f>
        <x:v>0.8650018911764761</x:v>
      </x:c>
      <x:c r="BX15" s="90">
        <x:f t="shared" si="11"/>
        <x:v>8.403784162</x:v>
      </x:c>
      <x:c r="BY15" s="90">
        <x:f t="shared" si="12"/>
        <x:v>4</x:v>
      </x:c>
      <x:c r="BZ15" s="90"/>
      <x:c r="CA15" s="90"/>
      <x:c r="CB15" s="90"/>
      <x:c r="CC15" s="90"/>
      <x:c r="CD15" s="90"/>
      <x:c r="CE15" s="90"/>
      <x:c r="CF15" s="90"/>
      <x:c r="CG15" s="90"/>
    </x:row>
    <x:row r="16" ht="14.25" customHeight="1">
      <x:c r="A16" s="60" t="s">
        <x:v>181</x:v>
      </x:c>
      <x:c r="B16" s="60" t="str">
        <x:f>VLOOKUP(A16,ECR!E:L,8,FALSE())</x:f>
        <x:v>Patrick Mahomes II</x:v>
      </x:c>
      <x:c r="C16" s="63" t="str">
        <x:f>IFERROR(VLOOKUP(Aggregate!$B16,ECR!C:F,2,FALSE()),"-")</x:f>
        <x:v>KC</x:v>
      </x:c>
      <x:c r="D16" s="63" t="n">
        <x:f>IFERROR(VLOOKUP(Aggregate!$B16,ECR!C:F,4,FALSE()),"-")</x:f>
        <x:v>5</x:v>
      </x:c>
      <x:c r="E16" s="63" t="str">
        <x:f>Aggregate!$C16 &amp; "/" &amp; Aggregate!$D16</x:f>
        <x:v>KC/5</x:v>
      </x:c>
      <x:c r="F16" s="67" t="n">
        <x:f>IFERROR(VLOOKUP(Aggregate!$B16,QB!A:Q,15,FALSE())/17*(16-Aggregate!$M16),0)</x:f>
        <x:v>223.91257247058823</x:v>
      </x:c>
      <x:c r="G16" s="67" t="n">
        <x:f>IFERROR(VLOOKUP(Aggregate!$B16,QB!A:Q,16,FALSE())/17*(16-Aggregate!$M16),0)</x:f>
        <x:v>239.58269315294115</x:v>
      </x:c>
      <x:c r="H16" s="67" t="n">
        <x:f>IFERROR(VLOOKUP(Aggregate!$B16,QB!A:Q,17,FALSE())/17*(16-Aggregate!$M16),0)</x:f>
        <x:v>262.12105698823535</x:v>
      </x:c>
      <x:c r="I16" s="70" t="n">
        <x:f>AVERAGE(Aggregate!$F16,Aggregate!$G16,Aggregate!$H16,VLOOKUP(Aggregate!$B16,ECR!L:N,3,FALSE))</x:f>
        <x:v>242.71437772794116</x:v>
      </x:c>
      <x:c r="J16" s="70" t="n">
        <x:f>Aggregate!$I16-$C$1</x:f>
        <x:v>4.240092405882336</x:v>
      </x:c>
      <x:c r="K16" s="74" t="n">
        <x:f>MAX(Aggregate!$J16*Scoring!$B$48+1,1)</x:f>
        <x:v>3.5529386524780886</x:v>
      </x:c>
      <x:c r="L16" s="75" t="n">
        <x:f>VLOOKUP(Aggregate!$J16,BH:BJ,3,FALSE)</x:f>
        <x:v>3</x:v>
      </x:c>
      <x:c r="M16" s="77" t="n">
        <x:f t="array" ref="M16">VLOOKUP(INDEX(ECR!$E:$E,MATCH(B16,ECR!$C:$C,0)),RISK!A:B,2,FALSE())</x:f>
        <x:v>2.1066000000000003</x:v>
      </x:c>
      <x:c r="N16" s="78"/>
      <x:c r="O16" s="75" t="s">
        <x:v>182</x:v>
      </x:c>
      <x:c r="P16" s="60" t="str">
        <x:f>VLOOKUP(O16,ECR!E:L,8,FALSE())</x:f>
        <x:v>Javonte Williams</x:v>
      </x:c>
      <x:c r="Q16" s="63" t="str">
        <x:f>IFERROR(VLOOKUP(Aggregate!$P16,ECR!C:F,2,FALSE()),"-")</x:f>
        <x:v>DAL</x:v>
      </x:c>
      <x:c r="R16" s="63" t="n">
        <x:f>IFERROR(VLOOKUP(Aggregate!$P16,ECR!C:F,4,FALSE()),"-")</x:f>
        <x:v>14</x:v>
      </x:c>
      <x:c r="S16" s="63" t="str">
        <x:f>Aggregate!$Q16 &amp; "/" &amp; Aggregate!$R16</x:f>
        <x:v>DAL/14</x:v>
      </x:c>
      <x:c r="T16" s="67" t="n">
        <x:f>IFERROR(VLOOKUP(Aggregate!$P16,RB!A:Q,13,FALSE())/17*(16-Aggregate!$AA16),0)</x:f>
        <x:v>152.55882352941177</x:v>
      </x:c>
      <x:c r="U16" s="67" t="n">
        <x:f>IFERROR(VLOOKUP(Aggregate!$P16,RB!A:Q,14,FALSE())/17*(16-Aggregate!$AA16),0)</x:f>
        <x:v>166.81294117647056</x:v>
      </x:c>
      <x:c r="V16" s="67" t="n">
        <x:f>IFERROR(VLOOKUP(Aggregate!$P16,RB!A:Q,15,FALSE())/17*(16-Aggregate!$AA16),0)</x:f>
        <x:v>183.58294117647057</x:v>
      </x:c>
      <x:c r="W16" s="70" t="n">
        <x:f>AVERAGE(Aggregate!$T16,Aggregate!$U16,Aggregate!$V16,VLOOKUP(Aggregate!$P16,ECR!L:N,3,FALSE))</x:f>
        <x:v>169.56779412058825</x:v>
      </x:c>
      <x:c r="X16" s="70" t="n">
        <x:f>Aggregate!$W16-$Q$1</x:f>
        <x:v>39.56746499558824</x:v>
      </x:c>
      <x:c r="Y16" s="74" t="n">
        <x:f>MAX(Aggregate!$X16*Scoring!$B$48+1,1)</x:f>
        <x:v>24.82337484618823</x:v>
      </x:c>
      <x:c r="Z16" s="75" t="n">
        <x:f>VLOOKUP(Aggregate!$X16,BM:BO,3,FALSE)</x:f>
        <x:v>4</x:v>
      </x:c>
      <x:c r="AA16" s="77" t="n">
        <x:f t="array" ref="AA16">VLOOKUP(INDEX(ECR!$E:$E,MATCH(P16,ECR!$C:$C,0)),RISK!A:B,2,FALSE())</x:f>
        <x:v>3</x:v>
      </x:c>
      <x:c r="AB16" s="78"/>
      <x:c r="AC16" s="63" t="s">
        <x:v>183</x:v>
      </x:c>
      <x:c r="AD16" s="63" t="str">
        <x:f>VLOOKUP(AC16,ECR!E:L,8,FALSE())</x:f>
        <x:v>DeVonta Smith</x:v>
      </x:c>
      <x:c r="AE16" s="63" t="str">
        <x:f>IFERROR(VLOOKUP(Aggregate!$AD16,ECR!C:F,2,FALSE()),"-")</x:f>
        <x:v>PHI</x:v>
      </x:c>
      <x:c r="AF16" s="63" t="n">
        <x:f>IFERROR(VLOOKUP(Aggregate!$AD16,ECR!C:F,4,FALSE()),"-")</x:f>
        <x:v>10</x:v>
      </x:c>
      <x:c r="AG16" s="63" t="str">
        <x:f>Aggregate!$AE16 &amp; "/" &amp; Aggregate!$AF16</x:f>
        <x:v>PHI/10</x:v>
      </x:c>
      <x:c r="AH16" s="67" t="n">
        <x:f>IFERROR(VLOOKUP(Aggregate!$AD16,WR!A:Q,13,FALSE())/17*(16-Aggregate!$AO16),0)</x:f>
        <x:v>149.21216470588237</x:v>
      </x:c>
      <x:c r="AI16" s="67" t="n">
        <x:f>IFERROR(VLOOKUP(Aggregate!$AD16,WR!A:Q,14,FALSE())/17*(16-Aggregate!$AO16),0)</x:f>
        <x:v>152.6159435294118</x:v>
      </x:c>
      <x:c r="AJ16" s="67" t="n">
        <x:f>IFERROR(VLOOKUP(Aggregate!$AD16,WR!A:Q,15,FALSE())/17*(16-Aggregate!$AO16),0)</x:f>
        <x:v>156.0593011764706</x:v>
      </x:c>
      <x:c r="AK16" s="70" t="n">
        <x:f>AVERAGE(Aggregate!$AH16,Aggregate!$AI16,Aggregate!$AJ16,VLOOKUP(Aggregate!$AD16,ECR!L:N,3,FALSE))</x:f>
        <x:v>154.0949271279412</x:v>
      </x:c>
      <x:c r="AL16" s="70" t="n">
        <x:f>Aggregate!$AK16-$AE$1</x:f>
        <x:v>51.90001537058825</x:v>
      </x:c>
      <x:c r="AM16" s="74" t="n">
        <x:f>MAX(Aggregate!$AL16*Scoring!$B$48+1,1)</x:f>
        <x:v>32.24874239060593</x:v>
      </x:c>
      <x:c r="AN16" s="75" t="n">
        <x:f>VLOOKUP(Aggregate!$AL16,BR:BT,3,FALSE)</x:f>
        <x:v>3</x:v>
      </x:c>
      <x:c r="AO16" s="77" t="n">
        <x:f t="array" ref="AO16">VLOOKUP(INDEX(ECR!$E:$E,MATCH(AD16,ECR!$C:$C,0)),RISK!A:B,2,FALSE())</x:f>
        <x:v>2.543199999999999</x:v>
      </x:c>
      <x:c r="AP16" s="78"/>
      <x:c r="AQ16" s="87" t="s">
        <x:v>184</x:v>
      </x:c>
      <x:c r="AR16" s="87" t="str">
        <x:f>VLOOKUP(AQ16,ECR!E:L,8,FALSE())</x:f>
        <x:v>Mark Andrews</x:v>
      </x:c>
      <x:c r="AS16" s="87" t="str">
        <x:f>IFERROR(VLOOKUP(Aggregate!$AR16,ECR!C:F,2,FALSE()),"-")</x:f>
        <x:v>BAL</x:v>
      </x:c>
      <x:c r="AT16" s="87" t="n">
        <x:f>IFERROR(VLOOKUP(Aggregate!$AR16,ECR!C:F,4,FALSE()),"-")</x:f>
        <x:v>13</x:v>
      </x:c>
      <x:c r="AU16" s="87" t="str">
        <x:f>Aggregate!$AS16 &amp; "/" &amp; Aggregate!$AT16</x:f>
        <x:v>BAL/13</x:v>
      </x:c>
      <x:c r="AV16" s="67" t="n">
        <x:f>IFERROR(VLOOKUP(Aggregate!$AR16,TE!A:K,9,FALSE())/17*(16-Aggregate!$BC16),0)</x:f>
        <x:v>96.06185647058824</x:v>
      </x:c>
      <x:c r="AW16" s="67" t="n">
        <x:f>IFERROR(VLOOKUP(Aggregate!$AR16,TE!A:K,10,FALSE())/17*(16-Aggregate!$BC16),0)</x:f>
        <x:v>106.71472094117645</x:v>
      </x:c>
      <x:c r="AX16" s="67" t="n">
        <x:f>IFERROR(VLOOKUP(Aggregate!$AR16,TE!A:K,11,FALSE())/17*(16-Aggregate!$BC16),0)</x:f>
        <x:v>120.17423529411764</x:v>
      </x:c>
      <x:c r="AY16" s="70" t="n">
        <x:f>AVERAGE(Aggregate!$AV16,Aggregate!$AW16,Aggregate!$AX16,VLOOKUP(Aggregate!$AR16,ECR!L:N,3,FALSE))</x:f>
        <x:v>106.34665002647057</x:v>
      </x:c>
      <x:c r="AZ16" s="70" t="n">
        <x:f>Aggregate!$AY16-$AS$1</x:f>
        <x:v>0.8851114147058752</x:v>
      </x:c>
      <x:c r="BA16" s="74" t="n">
        <x:f>MAX(Aggregate!$AZ16*Scoring!$B$48+1,1)</x:f>
        <x:v>1.5329212021929923</x:v>
      </x:c>
      <x:c r="BB16" s="67" t="n">
        <x:f>VLOOKUP(Aggregate!$AZ16,BW:BY,3,FALSE)</x:f>
        <x:v>4</x:v>
      </x:c>
      <x:c r="BC16" s="77" t="n">
        <x:f t="array" ref="BC16">VLOOKUP(INDEX(ECR!$E:$E,MATCH(AR16,ECR!$C:$C,0)),RISK!A:B,2,FALSE())</x:f>
        <x:v>2.819600000000001</x:v>
      </x:c>
      <x:c r="BD16" s="67"/>
      <x:c r="BE16" s="78"/>
      <x:c r="BF16" s="78">
        <x:v>14.0</x:v>
      </x:c>
      <x:c r="BG16" s="78">
        <x:f t="shared" si="1"/>
        <x:v>245.2411883</x:v>
      </x:c>
      <x:c r="BH16" s="78" t="n">
        <x:f>IFERROR(LARGE($J$3:$J$52,14),"")</x:f>
        <x:v>0</x:v>
      </x:c>
      <x:c r="BI16" s="78">
        <x:f t="shared" si="5"/>
        <x:v>0</x:v>
      </x:c>
      <x:c r="BJ16" s="78">
        <x:f t="shared" si="6"/>
        <x:v>4</x:v>
      </x:c>
      <x:c r="BK16" s="89">
        <x:v>14.0</x:v>
      </x:c>
      <x:c r="BL16" s="78">
        <x:f t="shared" si="2"/>
        <x:v>175.3164706</x:v>
      </x:c>
      <x:c r="BM16" s="90" t="n">
        <x:f>IFERROR(LARGE($X$3:$X$102,14),"")</x:f>
        <x:v>43.909082647058824</x:v>
      </x:c>
      <x:c r="BN16" s="90">
        <x:f t="shared" si="7"/>
        <x:v>72.40937206</x:v>
      </x:c>
      <x:c r="BO16" s="91">
        <x:f t="shared" si="8"/>
        <x:v>4</x:v>
      </x:c>
      <x:c r="BP16" s="90">
        <x:v>14.0</x:v>
      </x:c>
      <x:c r="BQ16" s="78">
        <x:f t="shared" si="3"/>
        <x:v>158.4922991</x:v>
      </x:c>
      <x:c r="BR16" s="90" t="n">
        <x:f>IFERROR(LARGE($AL$3:$AL$102,14),"")</x:f>
        <x:v>55.10002654411764</x:v>
      </x:c>
      <x:c r="BS16" s="90">
        <x:f t="shared" si="9"/>
        <x:v>62.39270094</x:v>
      </x:c>
      <x:c r="BT16" s="90">
        <x:f t="shared" si="10"/>
        <x:v>3</x:v>
      </x:c>
      <x:c r="BU16" s="78">
        <x:v>14.0</x:v>
      </x:c>
      <x:c r="BV16" s="78">
        <x:f t="shared" si="4"/>
        <x:v>102.4357874</x:v>
      </x:c>
      <x:c r="BW16" s="90" t="n">
        <x:f>IFERROR(LARGE($AZ$3:$AZ$52,14),"")</x:f>
        <x:v>0</x:v>
      </x:c>
      <x:c r="BX16" s="90">
        <x:f t="shared" si="11"/>
        <x:v>8.403784162</x:v>
      </x:c>
      <x:c r="BY16" s="90">
        <x:f t="shared" si="12"/>
        <x:v>4</x:v>
      </x:c>
      <x:c r="BZ16" s="90"/>
      <x:c r="CA16" s="90"/>
      <x:c r="CB16" s="90"/>
      <x:c r="CC16" s="90"/>
      <x:c r="CD16" s="90"/>
      <x:c r="CE16" s="90"/>
      <x:c r="CF16" s="90"/>
      <x:c r="CG16" s="90"/>
    </x:row>
    <x:row r="17" ht="14.25" customHeight="1">
      <x:c r="A17" s="60" t="s">
        <x:v>185</x:v>
      </x:c>
      <x:c r="B17" s="60" t="str">
        <x:f>VLOOKUP(A17,ECR!E:L,8,FALSE())</x:f>
        <x:v>Matthew Stafford</x:v>
      </x:c>
      <x:c r="C17" s="63" t="str">
        <x:f>IFERROR(VLOOKUP(Aggregate!$B17,ECR!C:F,2,FALSE()),"-")</x:f>
        <x:v>LAR</x:v>
      </x:c>
      <x:c r="D17" s="63" t="n">
        <x:f>IFERROR(VLOOKUP(Aggregate!$B17,ECR!C:F,4,FALSE()),"-")</x:f>
        <x:v>11</x:v>
      </x:c>
      <x:c r="E17" s="63" t="str">
        <x:f>Aggregate!$C17 &amp; "/" &amp; Aggregate!$D17</x:f>
        <x:v>LAR/11</x:v>
      </x:c>
      <x:c r="F17" s="67" t="n">
        <x:f>IFERROR(VLOOKUP(Aggregate!$B17,QB!A:Q,15,FALSE())/17*(16-Aggregate!$M17),0)</x:f>
        <x:v>221.83053235294116</x:v>
      </x:c>
      <x:c r="G17" s="67" t="n">
        <x:f>IFERROR(VLOOKUP(Aggregate!$B17,QB!A:Q,16,FALSE())/17*(16-Aggregate!$M17),0)</x:f>
        <x:v>233.93938441176473</x:v>
      </x:c>
      <x:c r="H17" s="67" t="n">
        <x:f>IFERROR(VLOOKUP(Aggregate!$B17,QB!A:Q,17,FALSE())/17*(16-Aggregate!$M17),0)</x:f>
        <x:v>245.5286129411765</x:v>
      </x:c>
      <x:c r="I17" s="70" t="n">
        <x:f>AVERAGE(Aggregate!$F17,Aggregate!$G17,Aggregate!$H17,VLOOKUP(Aggregate!$B17,ECR!L:N,3,FALSE))</x:f>
        <x:v>234.9867505764706</x:v>
      </x:c>
      <x:c r="J17" s="70" t="n">
        <x:f>Aggregate!$I17-$C$1</x:f>
        <x:v>-3.4875347455882206</x:v>
      </x:c>
      <x:c r="K17" s="74" t="n">
        <x:f>MAX(Aggregate!$J17*Scoring!$B$48+1,1)</x:f>
        <x:v>1</x:v>
      </x:c>
      <x:c r="L17" s="75" t="n">
        <x:f>VLOOKUP(Aggregate!$J17,BH:BJ,3,FALSE)</x:f>
        <x:v>4</x:v>
      </x:c>
      <x:c r="M17" s="77" t="n">
        <x:f t="array" ref="M17">VLOOKUP(INDEX(ECR!$E:$E,MATCH(B17,ECR!$C:$C,0)),RISK!A:B,2,FALSE())</x:f>
        <x:v>2.1975</x:v>
      </x:c>
      <x:c r="N17" s="78"/>
      <x:c r="O17" s="75" t="s">
        <x:v>186</x:v>
      </x:c>
      <x:c r="P17" s="60" t="str">
        <x:f>VLOOKUP(O17,ECR!E:L,8,FALSE())</x:f>
        <x:v>Breece Hall</x:v>
      </x:c>
      <x:c r="Q17" s="63" t="str">
        <x:f>IFERROR(VLOOKUP(Aggregate!$P17,ECR!C:F,2,FALSE()),"-")</x:f>
        <x:v>NYJ</x:v>
      </x:c>
      <x:c r="R17" s="63" t="n">
        <x:f>IFERROR(VLOOKUP(Aggregate!$P17,ECR!C:F,4,FALSE()),"-")</x:f>
        <x:v>13</x:v>
      </x:c>
      <x:c r="S17" s="63" t="str">
        <x:f>Aggregate!$Q17 &amp; "/" &amp; Aggregate!$R17</x:f>
        <x:v>NYJ/13</x:v>
      </x:c>
      <x:c r="T17" s="67" t="n">
        <x:f>IFERROR(VLOOKUP(Aggregate!$P17,RB!A:Q,13,FALSE())/17*(16-Aggregate!$AA17),0)</x:f>
        <x:v>150.18823529411765</x:v>
      </x:c>
      <x:c r="U17" s="67" t="n">
        <x:f>IFERROR(VLOOKUP(Aggregate!$P17,RB!A:Q,14,FALSE())/17*(16-Aggregate!$AA17),0)</x:f>
        <x:v>170.23117647058825</x:v>
      </x:c>
      <x:c r="V17" s="67" t="n">
        <x:f>IFERROR(VLOOKUP(Aggregate!$P17,RB!A:Q,15,FALSE())/17*(16-Aggregate!$AA17),0)</x:f>
        <x:v>188.24764705882353</x:v>
      </x:c>
      <x:c r="W17" s="70" t="n">
        <x:f>AVERAGE(Aggregate!$T17,Aggregate!$U17,Aggregate!$V17,VLOOKUP(Aggregate!$P17,ECR!L:N,3,FALSE))</x:f>
        <x:v>169.89470588088236</x:v>
      </x:c>
      <x:c r="X17" s="70" t="n">
        <x:f>Aggregate!$W17-$Q$1</x:f>
        <x:v>39.89437675588235</x:v>
      </x:c>
      <x:c r="Y17" s="74" t="n">
        <x:f>MAX(Aggregate!$X17*Scoring!$B$48+1,1)</x:f>
        <x:v>25.020206799106674</x:v>
      </x:c>
      <x:c r="Z17" s="75" t="n">
        <x:f>VLOOKUP(Aggregate!$X17,BM:BO,3,FALSE)</x:f>
        <x:v>4</x:v>
      </x:c>
      <x:c r="AA17" s="77" t="n">
        <x:f t="array" ref="AA17">VLOOKUP(INDEX(ECR!$E:$E,MATCH(P17,ECR!$C:$C,0)),RISK!A:B,2,FALSE())</x:f>
        <x:v>3</x:v>
      </x:c>
      <x:c r="AB17" s="78"/>
      <x:c r="AC17" s="63" t="s">
        <x:v>187</x:v>
      </x:c>
      <x:c r="AD17" s="63" t="str">
        <x:f>VLOOKUP(AC17,ECR!E:L,8,FALSE())</x:f>
        <x:v>Zay Flowers</x:v>
      </x:c>
      <x:c r="AE17" s="63" t="str">
        <x:f>IFERROR(VLOOKUP(Aggregate!$AD17,ECR!C:F,2,FALSE()),"-")</x:f>
        <x:v>BAL</x:v>
      </x:c>
      <x:c r="AF17" s="63" t="n">
        <x:f>IFERROR(VLOOKUP(Aggregate!$AD17,ECR!C:F,4,FALSE()),"-")</x:f>
        <x:v>13</x:v>
      </x:c>
      <x:c r="AG17" s="63" t="str">
        <x:f>Aggregate!$AE17 &amp; "/" &amp; Aggregate!$AF17</x:f>
        <x:v>BAL/13</x:v>
      </x:c>
      <x:c r="AH17" s="67" t="n">
        <x:f>IFERROR(VLOOKUP(Aggregate!$AD17,WR!A:Q,13,FALSE())/17*(16-Aggregate!$AO17),0)</x:f>
        <x:v>146.44962529411765</x:v>
      </x:c>
      <x:c r="AI17" s="67" t="n">
        <x:f>IFERROR(VLOOKUP(Aggregate!$AD17,WR!A:Q,14,FALSE())/17*(16-Aggregate!$AO17),0)</x:f>
        <x:v>158.49229911764704</x:v>
      </x:c>
      <x:c r="AJ17" s="67" t="n">
        <x:f>IFERROR(VLOOKUP(Aggregate!$AD17,WR!A:Q,15,FALSE())/17*(16-Aggregate!$AO17),0)</x:f>
        <x:v>171.62188529411765</x:v>
      </x:c>
      <x:c r="AK17" s="70" t="n">
        <x:f>AVERAGE(Aggregate!$AH17,Aggregate!$AI17,Aggregate!$AJ17,VLOOKUP(Aggregate!$AD17,ECR!L:N,3,FALSE))</x:f>
        <x:v>157.29493830147058</x:v>
      </x:c>
      <x:c r="AL17" s="70" t="n">
        <x:f>Aggregate!$AK17-$AE$1</x:f>
        <x:v>55.10002654411764</x:v>
      </x:c>
      <x:c r="AM17" s="74" t="n">
        <x:f>MAX(Aggregate!$AL17*Scoring!$B$48+1,1)</x:f>
        <x:v>34.17545328066375</x:v>
      </x:c>
      <x:c r="AN17" s="75" t="n">
        <x:f>VLOOKUP(Aggregate!$AL17,BR:BT,3,FALSE)</x:f>
        <x:v>3</x:v>
      </x:c>
      <x:c r="AO17" s="77" t="n">
        <x:f t="array" ref="AO17">VLOOKUP(INDEX(ECR!$E:$E,MATCH(AD17,ECR!$C:$C,0)),RISK!A:B,2,FALSE())</x:f>
        <x:v>2.6105</x:v>
      </x:c>
      <x:c r="AP17" s="78"/>
      <x:c r="AQ17" s="87" t="s">
        <x:v>188</x:v>
      </x:c>
      <x:c r="AR17" s="87" t="str">
        <x:f>VLOOKUP(AQ17,ECR!E:L,8,FALSE())</x:f>
        <x:v>Jake Ferguson</x:v>
      </x:c>
      <x:c r="AS17" s="87" t="str">
        <x:f>IFERROR(VLOOKUP(Aggregate!$AR17,ECR!C:F,2,FALSE()),"-")</x:f>
        <x:v>DAL</x:v>
      </x:c>
      <x:c r="AT17" s="87" t="n">
        <x:f>IFERROR(VLOOKUP(Aggregate!$AR17,ECR!C:F,4,FALSE()),"-")</x:f>
        <x:v>14</x:v>
      </x:c>
      <x:c r="AU17" s="87" t="str">
        <x:f>Aggregate!$AS17 &amp; "/" &amp; Aggregate!$AT17</x:f>
        <x:v>DAL/14</x:v>
      </x:c>
      <x:c r="AV17" s="67" t="n">
        <x:f>IFERROR(VLOOKUP(Aggregate!$AR17,TE!A:K,9,FALSE())/17*(16-Aggregate!$BC17),0)</x:f>
        <x:v>94.61099999999999</x:v>
      </x:c>
      <x:c r="AW17" s="67" t="n">
        <x:f>IFERROR(VLOOKUP(Aggregate!$AR17,TE!A:K,10,FALSE())/17*(16-Aggregate!$BC17),0)</x:f>
        <x:v>102.048045</x:v>
      </x:c>
      <x:c r="AX17" s="67" t="n">
        <x:f>IFERROR(VLOOKUP(Aggregate!$AR17,TE!A:K,11,FALSE())/17*(16-Aggregate!$BC17),0)</x:f>
        <x:v>111.51689999999996</x:v>
      </x:c>
      <x:c r="AY17" s="70" t="n">
        <x:f>AVERAGE(Aggregate!$AV17,Aggregate!$AW17,Aggregate!$AX17,VLOOKUP(Aggregate!$AR17,ECR!L:N,3,FALSE))</x:f>
        <x:v>102.2845725</x:v>
      </x:c>
      <x:c r="AZ17" s="70" t="n">
        <x:f>Aggregate!$AY17-$AS$1</x:f>
        <x:v>-3.176966111764699</x:v>
      </x:c>
      <x:c r="BA17" s="74" t="n">
        <x:f>MAX(Aggregate!$AZ17*Scoring!$B$48+1,1)</x:f>
        <x:v>1</x:v>
      </x:c>
      <x:c r="BB17" s="67" t="n">
        <x:f>VLOOKUP(Aggregate!$AZ17,BW:BY,3,FALSE)</x:f>
        <x:v>5</x:v>
      </x:c>
      <x:c r="BC17" s="77" t="n">
        <x:f t="array" ref="BC17">VLOOKUP(INDEX(ECR!$E:$E,MATCH(AR17,ECR!$C:$C,0)),RISK!A:B,2,FALSE())</x:f>
        <x:v>2.8165000000000013</x:v>
      </x:c>
      <x:c r="BD17" s="67"/>
      <x:c r="BE17" s="78"/>
      <x:c r="BF17" s="78">
        <x:v>15.0</x:v>
      </x:c>
      <x:c r="BG17" s="78">
        <x:f t="shared" si="1"/>
        <x:v>238.6484726</x:v>
      </x:c>
      <x:c r="BH17" s="78" t="n">
        <x:f>IFERROR(LARGE($J$3:$J$52,15),"")</x:f>
        <x:v>-3.4875347455882206</x:v>
      </x:c>
      <x:c r="BI17" s="78">
        <x:f t="shared" si="5"/>
        <x:v>0</x:v>
      </x:c>
      <x:c r="BJ17" s="78">
        <x:f t="shared" si="6"/>
        <x:v>4</x:v>
      </x:c>
      <x:c r="BK17" s="89">
        <x:v>15.0</x:v>
      </x:c>
      <x:c r="BL17" s="78">
        <x:f t="shared" si="2"/>
        <x:v>170.9117647</x:v>
      </x:c>
      <x:c r="BM17" s="90" t="n">
        <x:f>IFERROR(LARGE($X$3:$X$102,15),"")</x:f>
        <x:v>42.45614146764706</x:v>
      </x:c>
      <x:c r="BN17" s="90">
        <x:f t="shared" si="7"/>
        <x:v>72.40937206</x:v>
      </x:c>
      <x:c r="BO17" s="91">
        <x:f t="shared" si="8"/>
        <x:v>4</x:v>
      </x:c>
      <x:c r="BP17" s="90">
        <x:v>15.0</x:v>
      </x:c>
      <x:c r="BQ17" s="78">
        <x:f t="shared" si="3"/>
        <x:v>152.6159435</x:v>
      </x:c>
      <x:c r="BR17" s="90" t="n">
        <x:f>IFERROR(LARGE($AL$3:$AL$102,15),"")</x:f>
        <x:v>51.90001537058825</x:v>
      </x:c>
      <x:c r="BS17" s="90">
        <x:f t="shared" si="9"/>
        <x:v>62.39270094</x:v>
      </x:c>
      <x:c r="BT17" s="90">
        <x:f t="shared" si="10"/>
        <x:v>3</x:v>
      </x:c>
      <x:c r="BU17" s="78">
        <x:v>15.0</x:v>
      </x:c>
      <x:c r="BV17" s="78">
        <x:f t="shared" si="4"/>
        <x:v>100.962345</x:v>
      </x:c>
      <x:c r="BW17" s="90" t="n">
        <x:f>IFERROR(LARGE($AZ$3:$AZ$52,15),"")</x:f>
        <x:v>-3.176966111764699</x:v>
      </x:c>
      <x:c r="BX17" s="90">
        <x:f t="shared" si="11"/>
        <x:v>-3.855260956</x:v>
      </x:c>
      <x:c r="BY17" s="90">
        <x:f t="shared" si="12"/>
        <x:v>5</x:v>
      </x:c>
      <x:c r="BZ17" s="90"/>
      <x:c r="CA17" s="90"/>
      <x:c r="CB17" s="90"/>
      <x:c r="CC17" s="90"/>
      <x:c r="CD17" s="90"/>
      <x:c r="CE17" s="90"/>
      <x:c r="CF17" s="90"/>
      <x:c r="CG17" s="90"/>
    </x:row>
    <x:row r="18" ht="14.25" customHeight="1">
      <x:c r="A18" s="60" t="s">
        <x:v>189</x:v>
      </x:c>
      <x:c r="B18" s="60" t="str">
        <x:f>VLOOKUP(A18,ECR!E:L,8,FALSE())</x:f>
        <x:v>Jared Goff</x:v>
      </x:c>
      <x:c r="C18" s="63" t="str">
        <x:f>IFERROR(VLOOKUP(Aggregate!$B18,ECR!C:F,2,FALSE()),"-")</x:f>
        <x:v>DET</x:v>
      </x:c>
      <x:c r="D18" s="63" t="n">
        <x:f>IFERROR(VLOOKUP(Aggregate!$B18,ECR!C:F,4,FALSE()),"-")</x:f>
        <x:v>6</x:v>
      </x:c>
      <x:c r="E18" s="63" t="str">
        <x:f>Aggregate!$C18 &amp; "/" &amp; Aggregate!$D18</x:f>
        <x:v>DET/6</x:v>
      </x:c>
      <x:c r="F18" s="67" t="n">
        <x:f>IFERROR(VLOOKUP(Aggregate!$B18,QB!A:Q,15,FALSE())/17*(16-Aggregate!$M18),0)</x:f>
        <x:v>214.02846399999999</x:v>
      </x:c>
      <x:c r="G18" s="67" t="n">
        <x:f>IFERROR(VLOOKUP(Aggregate!$B18,QB!A:Q,16,FALSE())/17*(16-Aggregate!$M18),0)</x:f>
        <x:v>226.84063999999998</x:v>
      </x:c>
      <x:c r="H18" s="67" t="n">
        <x:f>IFERROR(VLOOKUP(Aggregate!$B18,QB!A:Q,17,FALSE())/17*(16-Aggregate!$M18),0)</x:f>
        <x:v>241.84836</x:v>
      </x:c>
      <x:c r="I18" s="70" t="n">
        <x:f>AVERAGE(Aggregate!$F18,Aggregate!$G18,Aggregate!$H18,VLOOKUP(Aggregate!$B18,ECR!L:N,3,FALSE))</x:f>
        <x:v>228.65897600000002</x:v>
      </x:c>
      <x:c r="J18" s="70" t="n">
        <x:f>Aggregate!$I18-$C$1</x:f>
        <x:v>-9.815309322058795</x:v>
      </x:c>
      <x:c r="K18" s="74" t="n">
        <x:f>MAX(Aggregate!$J18*Scoring!$B$48+1,1)</x:f>
        <x:v>1</x:v>
      </x:c>
      <x:c r="L18" s="75" t="n">
        <x:f>VLOOKUP(Aggregate!$J18,BH:BJ,3,FALSE)</x:f>
        <x:v>4</x:v>
      </x:c>
      <x:c r="M18" s="77" t="n">
        <x:f t="array" ref="M18">VLOOKUP(INDEX(ECR!$E:$E,MATCH(B18,ECR!$C:$C,0)),RISK!A:B,2,FALSE())</x:f>
        <x:v>2.298</x:v>
      </x:c>
      <x:c r="N18" s="78"/>
      <x:c r="O18" s="75" t="s">
        <x:v>190</x:v>
      </x:c>
      <x:c r="P18" s="60" t="str">
        <x:f>VLOOKUP(O18,ECR!E:L,8,FALSE())</x:f>
        <x:v>Josh Jacobs</x:v>
      </x:c>
      <x:c r="Q18" s="63" t="str">
        <x:f>IFERROR(VLOOKUP(Aggregate!$P18,ECR!C:F,2,FALSE()),"-")</x:f>
        <x:v>GB</x:v>
      </x:c>
      <x:c r="R18" s="63" t="n">
        <x:f>IFERROR(VLOOKUP(Aggregate!$P18,ECR!C:F,4,FALSE()),"-")</x:f>
        <x:v>11</x:v>
      </x:c>
      <x:c r="S18" s="63" t="str">
        <x:f>Aggregate!$Q18 &amp; "/" &amp; Aggregate!$R18</x:f>
        <x:v>GB/11</x:v>
      </x:c>
      <x:c r="T18" s="67" t="n">
        <x:f>IFERROR(VLOOKUP(Aggregate!$P18,RB!A:Q,13,FALSE())/17*(16-Aggregate!$AA18),0)</x:f>
        <x:v>159.82352941176472</x:v>
      </x:c>
      <x:c r="U18" s="67" t="n">
        <x:f>IFERROR(VLOOKUP(Aggregate!$P18,RB!A:Q,14,FALSE())/17*(16-Aggregate!$AA18),0)</x:f>
        <x:v>176.39470588235292</x:v>
      </x:c>
      <x:c r="V18" s="67" t="n">
        <x:f>IFERROR(VLOOKUP(Aggregate!$P18,RB!A:Q,15,FALSE())/17*(16-Aggregate!$AA18),0)</x:f>
        <x:v>189.18823529411765</x:v>
      </x:c>
      <x:c r="W18" s="70" t="n">
        <x:f>AVERAGE(Aggregate!$T18,Aggregate!$U18,Aggregate!$V18,VLOOKUP(Aggregate!$P18,ECR!L:N,3,FALSE))</x:f>
        <x:v>173.90941177205883</x:v>
      </x:c>
      <x:c r="X18" s="70" t="n">
        <x:f>Aggregate!$W18-$Q$1</x:f>
        <x:v>43.909082647058824</x:v>
      </x:c>
      <x:c r="Y18" s="74" t="n">
        <x:f>MAX(Aggregate!$X18*Scoring!$B$48+1,1)</x:f>
        <x:v>27.43744134656534</x:v>
      </x:c>
      <x:c r="Z18" s="75" t="n">
        <x:f>VLOOKUP(Aggregate!$X18,BM:BO,3,FALSE)</x:f>
        <x:v>4</x:v>
      </x:c>
      <x:c r="AA18" s="77" t="n">
        <x:f t="array" ref="AA18">VLOOKUP(INDEX(ECR!$E:$E,MATCH(P18,ECR!$C:$C,0)),RISK!A:B,2,FALSE())</x:f>
        <x:v>3</x:v>
      </x:c>
      <x:c r="AB18" s="78"/>
      <x:c r="AC18" s="63" t="s">
        <x:v>191</x:v>
      </x:c>
      <x:c r="AD18" s="63" t="str">
        <x:f>VLOOKUP(AC18,ECR!E:L,8,FALSE())</x:f>
        <x:v>Tee Higgins</x:v>
      </x:c>
      <x:c r="AE18" s="63" t="str">
        <x:f>IFERROR(VLOOKUP(Aggregate!$AD18,ECR!C:F,2,FALSE()),"-")</x:f>
        <x:v>CIN</x:v>
      </x:c>
      <x:c r="AF18" s="63" t="n">
        <x:f>IFERROR(VLOOKUP(Aggregate!$AD18,ECR!C:F,4,FALSE()),"-")</x:f>
        <x:v>6</x:v>
      </x:c>
      <x:c r="AG18" s="63" t="str">
        <x:f>Aggregate!$AE18 &amp; "/" &amp; Aggregate!$AF18</x:f>
        <x:v>CIN/6</x:v>
      </x:c>
      <x:c r="AH18" s="67" t="n">
        <x:f>IFERROR(VLOOKUP(Aggregate!$AD18,WR!A:Q,13,FALSE())/17*(16-Aggregate!$AO18),0)</x:f>
        <x:v>133.46511176470588</x:v>
      </x:c>
      <x:c r="AI18" s="67" t="n">
        <x:f>IFERROR(VLOOKUP(Aggregate!$AD18,WR!A:Q,14,FALSE())/17*(16-Aggregate!$AO18),0)</x:f>
        <x:v>145.87901294117648</x:v>
      </x:c>
      <x:c r="AJ18" s="67" t="n">
        <x:f>IFERROR(VLOOKUP(Aggregate!$AD18,WR!A:Q,15,FALSE())/17*(16-Aggregate!$AO18),0)</x:f>
        <x:v>161.75689411764705</x:v>
      </x:c>
      <x:c r="AK18" s="70" t="n">
        <x:f>AVERAGE(Aggregate!$AH18,Aggregate!$AI18,Aggregate!$AJ18,VLOOKUP(Aggregate!$AD18,ECR!L:N,3,FALSE))</x:f>
        <x:v>148.02103918088235</x:v>
      </x:c>
      <x:c r="AL18" s="70" t="n">
        <x:f>Aggregate!$AK18-$AE$1</x:f>
        <x:v>45.826127423529414</x:v>
      </x:c>
      <x:c r="AM18" s="74" t="n">
        <x:f>MAX(Aggregate!$AL18*Scoring!$B$48+1,1)</x:f>
        <x:v>28.591684518622944</x:v>
      </x:c>
      <x:c r="AN18" s="75" t="n">
        <x:f>VLOOKUP(Aggregate!$AL18,BR:BT,3,FALSE)</x:f>
        <x:v>3</x:v>
      </x:c>
      <x:c r="AO18" s="77" t="n">
        <x:f t="array" ref="AO18">VLOOKUP(INDEX(ECR!$E:$E,MATCH(AD18,ECR!$C:$C,0)),RISK!A:B,2,FALSE())</x:f>
        <x:v>2.6769999999999996</x:v>
      </x:c>
      <x:c r="AP18" s="78"/>
      <x:c r="AQ18" s="87" t="s">
        <x:v>192</x:v>
      </x:c>
      <x:c r="AR18" s="87" t="str">
        <x:f>VLOOKUP(AQ18,ECR!E:L,8,FALSE())</x:f>
        <x:v>Juwan Johnson</x:v>
      </x:c>
      <x:c r="AS18" s="87" t="str">
        <x:f>IFERROR(VLOOKUP(Aggregate!$AR18,ECR!C:F,2,FALSE()),"-")</x:f>
        <x:v>NO</x:v>
      </x:c>
      <x:c r="AT18" s="87" t="n">
        <x:f>IFERROR(VLOOKUP(Aggregate!$AR18,ECR!C:F,4,FALSE()),"-")</x:f>
        <x:v>8</x:v>
      </x:c>
      <x:c r="AU18" s="87" t="str">
        <x:f>Aggregate!$AS18 &amp; "/" &amp; Aggregate!$AT18</x:f>
        <x:v>NO/8</x:v>
      </x:c>
      <x:c r="AV18" s="67" t="n">
        <x:f>IFERROR(VLOOKUP(Aggregate!$AR18,TE!A:K,9,FALSE())/17*(16-Aggregate!$BC18),0)</x:f>
        <x:v>84.80770823529411</x:v>
      </x:c>
      <x:c r="AW18" s="67" t="n">
        <x:f>IFERROR(VLOOKUP(Aggregate!$AR18,TE!A:K,10,FALSE())/17*(16-Aggregate!$BC18),0)</x:f>
        <x:v>96.13816705882353</x:v>
      </x:c>
      <x:c r="AX18" s="67" t="n">
        <x:f>IFERROR(VLOOKUP(Aggregate!$AR18,TE!A:K,11,FALSE())/17*(16-Aggregate!$BC18),0)</x:f>
        <x:v>113.22698235294116</x:v>
      </x:c>
      <x:c r="AY18" s="70" t="n">
        <x:f>AVERAGE(Aggregate!$AV18,Aggregate!$AW18,Aggregate!$AX18,VLOOKUP(Aggregate!$AR18,ECR!L:N,3,FALSE))</x:f>
        <x:v>97.82816555926469</x:v>
      </x:c>
      <x:c r="AZ18" s="70" t="n">
        <x:f>Aggregate!$AY18-$AS$1</x:f>
        <x:v>-7.633373052500005</x:v>
      </x:c>
      <x:c r="BA18" s="74" t="n">
        <x:f>MAX(Aggregate!$AZ18*Scoring!$B$48+1,1)</x:f>
        <x:v>1</x:v>
      </x:c>
      <x:c r="BB18" s="67" t="n">
        <x:f>VLOOKUP(Aggregate!$AZ18,BW:BY,3,FALSE)</x:f>
        <x:v>5</x:v>
      </x:c>
      <x:c r="BC18" s="77" t="n">
        <x:f t="array" ref="BC18">VLOOKUP(INDEX(ECR!$E:$E,MATCH(AR18,ECR!$C:$C,0)),RISK!A:B,2,FALSE())</x:f>
        <x:v>2.8070000000000004</x:v>
      </x:c>
      <x:c r="BD18" s="67"/>
      <x:c r="BE18" s="78"/>
      <x:c r="BF18" s="78">
        <x:v>16.0</x:v>
      </x:c>
      <x:c r="BG18" s="78">
        <x:f t="shared" si="1"/>
        <x:v>231.91844</x:v>
      </x:c>
      <x:c r="BH18" s="78" t="n">
        <x:f>IFERROR(LARGE($J$3:$J$52,16),"")</x:f>
        <x:v>-9.815309322058795</x:v>
      </x:c>
      <x:c r="BI18" s="78">
        <x:f t="shared" si="5"/>
        <x:v>0</x:v>
      </x:c>
      <x:c r="BJ18" s="78">
        <x:f t="shared" si="6"/>
        <x:v>4</x:v>
      </x:c>
      <x:c r="BK18" s="89">
        <x:v>16.0</x:v>
      </x:c>
      <x:c r="BL18" s="78">
        <x:f t="shared" si="2"/>
        <x:v>170.2311765</x:v>
      </x:c>
      <x:c r="BM18" s="90" t="n">
        <x:f>IFERROR(LARGE($X$3:$X$102,16),"")</x:f>
        <x:v>39.89437675588235</x:v>
      </x:c>
      <x:c r="BN18" s="90">
        <x:f t="shared" si="7"/>
        <x:v>72.40937206</x:v>
      </x:c>
      <x:c r="BO18" s="91">
        <x:f t="shared" si="8"/>
        <x:v>4</x:v>
      </x:c>
      <x:c r="BP18" s="90">
        <x:v>16.0</x:v>
      </x:c>
      <x:c r="BQ18" s="78">
        <x:f t="shared" si="3"/>
        <x:v>150.9831379</x:v>
      </x:c>
      <x:c r="BR18" s="90" t="n">
        <x:f>IFERROR(LARGE($AL$3:$AL$102,16),"")</x:f>
        <x:v>48.57568208529415</x:v>
      </x:c>
      <x:c r="BS18" s="90">
        <x:f t="shared" si="9"/>
        <x:v>62.39270094</x:v>
      </x:c>
      <x:c r="BT18" s="90">
        <x:f t="shared" si="10"/>
        <x:v>3</x:v>
      </x:c>
      <x:c r="BU18" s="78">
        <x:v>16.0</x:v>
      </x:c>
      <x:c r="BV18" s="78">
        <x:f t="shared" si="4"/>
        <x:v>97.13980459</x:v>
      </x:c>
      <x:c r="BW18" s="90" t="n">
        <x:f>IFERROR(LARGE($AZ$3:$AZ$52,16),"")</x:f>
        <x:v>-7.633373052500005</x:v>
      </x:c>
      <x:c r="BX18" s="90">
        <x:f t="shared" si="11"/>
        <x:v>-3.855260956</x:v>
      </x:c>
      <x:c r="BY18" s="90">
        <x:f t="shared" si="12"/>
        <x:v>5</x:v>
      </x:c>
      <x:c r="BZ18" s="90"/>
      <x:c r="CA18" s="90"/>
      <x:c r="CB18" s="90"/>
      <x:c r="CC18" s="90"/>
      <x:c r="CD18" s="90"/>
      <x:c r="CE18" s="90"/>
      <x:c r="CF18" s="90"/>
      <x:c r="CG18" s="90"/>
    </x:row>
    <x:row r="19" ht="14.25" customHeight="1">
      <x:c r="A19" s="60" t="s">
        <x:v>193</x:v>
      </x:c>
      <x:c r="B19" s="60" t="str">
        <x:f>VLOOKUP(A19,ECR!E:L,8,FALSE())</x:f>
        <x:v>Baker Mayfield</x:v>
      </x:c>
      <x:c r="C19" s="63" t="str">
        <x:f>IFERROR(VLOOKUP(Aggregate!$B19,ECR!C:F,2,FALSE()),"-")</x:f>
        <x:v>TB</x:v>
      </x:c>
      <x:c r="D19" s="63" t="n">
        <x:f>IFERROR(VLOOKUP(Aggregate!$B19,ECR!C:F,4,FALSE()),"-")</x:f>
        <x:v>10</x:v>
      </x:c>
      <x:c r="E19" s="63" t="str">
        <x:f>Aggregate!$C19 &amp; "/" &amp; Aggregate!$D19</x:f>
        <x:v>TB/10</x:v>
      </x:c>
      <x:c r="F19" s="67" t="n">
        <x:f>IFERROR(VLOOKUP(Aggregate!$B19,QB!A:Q,15,FALSE())/17*(16-Aggregate!$M19),0)</x:f>
        <x:v>199.81692047058823</x:v>
      </x:c>
      <x:c r="G19" s="67" t="n">
        <x:f>IFERROR(VLOOKUP(Aggregate!$B19,QB!A:Q,16,FALSE())/17*(16-Aggregate!$M19),0)</x:f>
        <x:v>218.24753687058822</x:v>
      </x:c>
      <x:c r="H19" s="67" t="n">
        <x:f>IFERROR(VLOOKUP(Aggregate!$B19,QB!A:Q,17,FALSE())/17*(16-Aggregate!$M19),0)</x:f>
        <x:v>239.50526847058828</x:v>
      </x:c>
      <x:c r="I19" s="70" t="n">
        <x:f>AVERAGE(Aggregate!$F19,Aggregate!$G19,Aggregate!$H19,VLOOKUP(Aggregate!$B19,ECR!L:N,3,FALSE))</x:f>
        <x:v>220.79321977794118</x:v>
      </x:c>
      <x:c r="J19" s="70" t="n">
        <x:f>Aggregate!$I19-$C$1</x:f>
        <x:v>-17.681065544117644</x:v>
      </x:c>
      <x:c r="K19" s="74" t="n">
        <x:f>MAX(Aggregate!$J19*Scoring!$B$48+1,1)</x:f>
        <x:v>1</x:v>
      </x:c>
      <x:c r="L19" s="75" t="n">
        <x:f>VLOOKUP(Aggregate!$J19,BH:BJ,3,FALSE)</x:f>
        <x:v>5</x:v>
      </x:c>
      <x:c r="M19" s="77" t="n">
        <x:f t="array" ref="M19">VLOOKUP(INDEX(ECR!$E:$E,MATCH(B19,ECR!$C:$C,0)),RISK!A:B,2,FALSE())</x:f>
        <x:v>2.408100000000001</x:v>
      </x:c>
      <x:c r="N19" s="78"/>
      <x:c r="O19" s="75" t="s">
        <x:v>194</x:v>
      </x:c>
      <x:c r="P19" s="60" t="str">
        <x:f>VLOOKUP(O19,ECR!E:L,8,FALSE())</x:f>
        <x:v>Jeremiyah Love</x:v>
      </x:c>
      <x:c r="Q19" s="63" t="str">
        <x:f>IFERROR(VLOOKUP(Aggregate!$P19,ECR!C:F,2,FALSE()),"-")</x:f>
        <x:v>ARI</x:v>
      </x:c>
      <x:c r="R19" s="63" t="n">
        <x:f>IFERROR(VLOOKUP(Aggregate!$P19,ECR!C:F,4,FALSE()),"-")</x:f>
        <x:v>14</x:v>
      </x:c>
      <x:c r="S19" s="63" t="str">
        <x:f>Aggregate!$Q19 &amp; "/" &amp; Aggregate!$R19</x:f>
        <x:v>ARI/14</x:v>
      </x:c>
      <x:c r="T19" s="67" t="n">
        <x:f>IFERROR(VLOOKUP(Aggregate!$P19,RB!A:Q,13,FALSE())/17*(16-Aggregate!$AA19),0)</x:f>
        <x:v>162.1065588235294</x:v>
      </x:c>
      <x:c r="U19" s="67" t="n">
        <x:f>IFERROR(VLOOKUP(Aggregate!$P19,RB!A:Q,14,FALSE())/17*(16-Aggregate!$AA19),0)</x:f>
        <x:v>179.65655882352942</x:v>
      </x:c>
      <x:c r="V19" s="67" t="n">
        <x:f>IFERROR(VLOOKUP(Aggregate!$P19,RB!A:Q,15,FALSE())/17*(16-Aggregate!$AA19),0)</x:f>
        <x:v>198.21597058823528</x:v>
      </x:c>
      <x:c r="W19" s="70" t="n">
        <x:f>AVERAGE(Aggregate!$T19,Aggregate!$U19,Aggregate!$V19,VLOOKUP(Aggregate!$P19,ECR!L:N,3,FALSE))</x:f>
        <x:v>176.69800735882353</x:v>
      </x:c>
      <x:c r="X19" s="70" t="n">
        <x:f>Aggregate!$W19-$Q$1</x:f>
        <x:v>46.697678233823524</x:v>
      </x:c>
      <x:c r="Y19" s="74" t="n">
        <x:f>MAX(Aggregate!$X19*Scoring!$B$48+1,1)</x:f>
        <x:v>29.116440948013878</x:v>
      </x:c>
      <x:c r="Z19" s="75" t="n">
        <x:f>VLOOKUP(Aggregate!$X19,BM:BO,3,FALSE)</x:f>
        <x:v>3</x:v>
      </x:c>
      <x:c r="AA19" s="77" t="n">
        <x:f t="array" ref="AA19">VLOOKUP(INDEX(ECR!$E:$E,MATCH(P19,ECR!$C:$C,0)),RISK!A:B,2,FALSE())</x:f>
        <x:v>3</x:v>
      </x:c>
      <x:c r="AB19" s="78"/>
      <x:c r="AC19" s="63" t="s">
        <x:v>195</x:v>
      </x:c>
      <x:c r="AD19" s="63" t="str">
        <x:f>VLOOKUP(AC19,ECR!E:L,8,FALSE())</x:f>
        <x:v>Tetairoa McMillan</x:v>
      </x:c>
      <x:c r="AE19" s="63" t="str">
        <x:f>IFERROR(VLOOKUP(Aggregate!$AD19,ECR!C:F,2,FALSE()),"-")</x:f>
        <x:v>CAR</x:v>
      </x:c>
      <x:c r="AF19" s="63" t="n">
        <x:f>IFERROR(VLOOKUP(Aggregate!$AD19,ECR!C:F,4,FALSE()),"-")</x:f>
        <x:v>5</x:v>
      </x:c>
      <x:c r="AG19" s="63" t="str">
        <x:f>Aggregate!$AE19 &amp; "/" &amp; Aggregate!$AF19</x:f>
        <x:v>CAR/5</x:v>
      </x:c>
      <x:c r="AH19" s="67" t="n">
        <x:f>IFERROR(VLOOKUP(Aggregate!$AD19,WR!A:Q,13,FALSE())/17*(16-Aggregate!$AO19),0)</x:f>
        <x:v>140.76133235294117</x:v>
      </x:c>
      <x:c r="AI19" s="67" t="n">
        <x:f>IFERROR(VLOOKUP(Aggregate!$AD19,WR!A:Q,14,FALSE())/17*(16-Aggregate!$AO19),0)</x:f>
        <x:v>150.56393594117648</x:v>
      </x:c>
      <x:c r="AJ19" s="67" t="n">
        <x:f>IFERROR(VLOOKUP(Aggregate!$AD19,WR!A:Q,15,FALSE())/17*(16-Aggregate!$AO19),0)</x:f>
        <x:v>161.1931711764706</x:v>
      </x:c>
      <x:c r="AK19" s="70" t="n">
        <x:f>AVERAGE(Aggregate!$AH19,Aggregate!$AI19,Aggregate!$AJ19,VLOOKUP(Aggregate!$AD19,ECR!L:N,3,FALSE))</x:f>
        <x:v>150.7705938426471</x:v>
      </x:c>
      <x:c r="AL19" s="70" t="n">
        <x:f>Aggregate!$AK19-$AE$1</x:f>
        <x:v>48.57568208529415</x:v>
      </x:c>
      <x:c r="AM19" s="74" t="n">
        <x:f>MAX(Aggregate!$AL19*Scoring!$B$48+1,1)</x:f>
        <x:v>30.247177772350703</x:v>
      </x:c>
      <x:c r="AN19" s="75" t="n">
        <x:f>VLOOKUP(Aggregate!$AL19,BR:BT,3,FALSE)</x:f>
        <x:v>3</x:v>
      </x:c>
      <x:c r="AO19" s="77" t="n">
        <x:f t="array" ref="AO19">VLOOKUP(INDEX(ECR!$E:$E,MATCH(AD19,ECR!$C:$C,0)),RISK!A:B,2,FALSE())</x:f>
        <x:v>2.7426999999999992</x:v>
      </x:c>
      <x:c r="AP19" s="78"/>
      <x:c r="AQ19" s="87" t="s">
        <x:v>196</x:v>
      </x:c>
      <x:c r="AR19" s="87" t="str">
        <x:f>VLOOKUP(AQ19,ECR!E:L,8,FALSE())</x:f>
        <x:v>Hunter Henry</x:v>
      </x:c>
      <x:c r="AS19" s="87" t="str">
        <x:f>IFERROR(VLOOKUP(Aggregate!$AR19,ECR!C:F,2,FALSE()),"-")</x:f>
        <x:v>NE</x:v>
      </x:c>
      <x:c r="AT19" s="87" t="n">
        <x:f>IFERROR(VLOOKUP(Aggregate!$AR19,ECR!C:F,4,FALSE()),"-")</x:f>
        <x:v>11</x:v>
      </x:c>
      <x:c r="AU19" s="87" t="str">
        <x:f>Aggregate!$AS19 &amp; "/" &amp; Aggregate!$AT19</x:f>
        <x:v>NE/11</x:v>
      </x:c>
      <x:c r="AV19" s="67" t="n">
        <x:f>IFERROR(VLOOKUP(Aggregate!$AR19,TE!A:K,9,FALSE())/17*(16-Aggregate!$BC19),0)</x:f>
        <x:v>93.00619588235294</x:v>
      </x:c>
      <x:c r="AW19" s="67" t="n">
        <x:f>IFERROR(VLOOKUP(Aggregate!$AR19,TE!A:K,10,FALSE())/17*(16-Aggregate!$BC19),0)</x:f>
        <x:v>97.21750400000002</x:v>
      </x:c>
      <x:c r="AX19" s="67" t="n">
        <x:f>IFERROR(VLOOKUP(Aggregate!$AR19,TE!A:K,11,FALSE())/17*(16-Aggregate!$BC19),0)</x:f>
        <x:v>104.03951235294119</x:v>
      </x:c>
      <x:c r="AY19" s="70" t="n">
        <x:f>AVERAGE(Aggregate!$AV19,Aggregate!$AW19,Aggregate!$AX19,VLOOKUP(Aggregate!$AR19,ECR!L:N,3,FALSE))</x:f>
        <x:v>97.34812570632353</x:v>
      </x:c>
      <x:c r="AZ19" s="70" t="n">
        <x:f>Aggregate!$AY19-$AS$1</x:f>
        <x:v>-8.113412905441166</x:v>
      </x:c>
      <x:c r="BA19" s="74" t="n">
        <x:f>MAX(Aggregate!$AZ19*Scoring!$B$48+1,1)</x:f>
        <x:v>1</x:v>
      </x:c>
      <x:c r="BB19" s="67" t="n">
        <x:f>VLOOKUP(Aggregate!$AZ19,BW:BY,3,FALSE)</x:f>
        <x:v>5</x:v>
      </x:c>
      <x:c r="BC19" s="77" t="n">
        <x:f t="array" ref="BC19">VLOOKUP(INDEX(ECR!$E:$E,MATCH(AR19,ECR!$C:$C,0)),RISK!A:B,2,FALSE())</x:f>
        <x:v>2.7911</x:v>
      </x:c>
      <x:c r="BD19" s="67"/>
      <x:c r="BE19" s="78"/>
      <x:c r="BF19" s="78">
        <x:v>17.0</x:v>
      </x:c>
      <x:c r="BG19" s="78">
        <x:f t="shared" si="1"/>
        <x:v>225.6031533</x:v>
      </x:c>
      <x:c r="BH19" s="78" t="n">
        <x:f>IFERROR(LARGE($J$3:$J$52,17),"")</x:f>
        <x:v>-17.681065544117644</x:v>
      </x:c>
      <x:c r="BI19" s="78">
        <x:f t="shared" si="5"/>
        <x:v>-17.53267538</x:v>
      </x:c>
      <x:c r="BJ19" s="78">
        <x:f t="shared" si="6"/>
        <x:v>5</x:v>
      </x:c>
      <x:c r="BK19" s="89">
        <x:v>17.0</x:v>
      </x:c>
      <x:c r="BL19" s="78">
        <x:f t="shared" si="2"/>
        <x:v>166.8129412</x:v>
      </x:c>
      <x:c r="BM19" s="90" t="n">
        <x:f>IFERROR(LARGE($X$3:$X$102,17),"")</x:f>
        <x:v>39.56746499558824</x:v>
      </x:c>
      <x:c r="BN19" s="90">
        <x:f t="shared" si="7"/>
        <x:v>72.40937206</x:v>
      </x:c>
      <x:c r="BO19" s="91">
        <x:f t="shared" si="8"/>
        <x:v>4</x:v>
      </x:c>
      <x:c r="BP19" s="90">
        <x:v>17.0</x:v>
      </x:c>
      <x:c r="BQ19" s="78">
        <x:f t="shared" si="3"/>
        <x:v>150.5639359</x:v>
      </x:c>
      <x:c r="BR19" s="90" t="n">
        <x:f>IFERROR(LARGE($AL$3:$AL$102,17),"")</x:f>
        <x:v>47.67914888382356</x:v>
      </x:c>
      <x:c r="BS19" s="90">
        <x:f t="shared" si="9"/>
        <x:v>62.39270094</x:v>
      </x:c>
      <x:c r="BT19" s="90">
        <x:f t="shared" si="10"/>
        <x:v>3</x:v>
      </x:c>
      <x:c r="BU19" s="78">
        <x:v>17.0</x:v>
      </x:c>
      <x:c r="BV19" s="78">
        <x:f t="shared" si="4"/>
        <x:v>95.12929059</x:v>
      </x:c>
      <x:c r="BW19" s="90" t="n">
        <x:f>IFERROR(LARGE($AZ$3:$AZ$52,17),"")</x:f>
        <x:v>-8.113412905441166</x:v>
      </x:c>
      <x:c r="BX19" s="90">
        <x:f t="shared" si="11"/>
        <x:v>-3.855260956</x:v>
      </x:c>
      <x:c r="BY19" s="90">
        <x:f t="shared" si="12"/>
        <x:v>5</x:v>
      </x:c>
      <x:c r="BZ19" s="90"/>
      <x:c r="CA19" s="90"/>
      <x:c r="CB19" s="90"/>
      <x:c r="CC19" s="90"/>
      <x:c r="CD19" s="90"/>
      <x:c r="CE19" s="90"/>
      <x:c r="CF19" s="90"/>
      <x:c r="CG19" s="90"/>
    </x:row>
    <x:row r="20" ht="14.25" customHeight="1">
      <x:c r="A20" s="60" t="s">
        <x:v>197</x:v>
      </x:c>
      <x:c r="B20" s="60" t="str">
        <x:f>VLOOKUP(A20,ECR!E:L,8,FALSE())</x:f>
        <x:v>Kyler Murray</x:v>
      </x:c>
      <x:c r="C20" s="63" t="str">
        <x:f>IFERROR(VLOOKUP(Aggregate!$B20,ECR!C:F,2,FALSE()),"-")</x:f>
        <x:v>MIN</x:v>
      </x:c>
      <x:c r="D20" s="63" t="n">
        <x:f>IFERROR(VLOOKUP(Aggregate!$B20,ECR!C:F,4,FALSE()),"-")</x:f>
        <x:v>6</x:v>
      </x:c>
      <x:c r="E20" s="63" t="str">
        <x:f>Aggregate!$C20 &amp; "/" &amp; Aggregate!$D20</x:f>
        <x:v>MIN/6</x:v>
      </x:c>
      <x:c r="F20" s="67" t="n">
        <x:f>IFERROR(VLOOKUP(Aggregate!$B20,QB!A:Q,15,FALSE())/17*(16-Aggregate!$M20),0)</x:f>
        <x:v>182.48649637647057</x:v>
      </x:c>
      <x:c r="G20" s="67" t="n">
        <x:f>IFERROR(VLOOKUP(Aggregate!$B20,QB!A:Q,16,FALSE())/17*(16-Aggregate!$M20),0)</x:f>
        <x:v>214.14775134117644</x:v>
      </x:c>
      <x:c r="H20" s="67" t="n">
        <x:f>IFERROR(VLOOKUP(Aggregate!$B20,QB!A:Q,17,FALSE())/17*(16-Aggregate!$M20),0)</x:f>
        <x:v>244.7027009411764</x:v>
      </x:c>
      <x:c r="I20" s="70" t="n">
        <x:f>AVERAGE(Aggregate!$F20,Aggregate!$G20,Aggregate!$H20,VLOOKUP(Aggregate!$B20,ECR!L:N,3,FALSE))</x:f>
        <x:v>215.89200498970587</x:v>
      </x:c>
      <x:c r="J20" s="70" t="n">
        <x:f>Aggregate!$I20-$C$1</x:f>
        <x:v>-22.58228033235295</x:v>
      </x:c>
      <x:c r="K20" s="74" t="n">
        <x:f>MAX(Aggregate!$J20*Scoring!$B$48+1,1)</x:f>
        <x:v>1</x:v>
      </x:c>
      <x:c r="L20" s="75" t="n">
        <x:f>VLOOKUP(Aggregate!$J20,BH:BJ,3,FALSE)</x:f>
        <x:v>5</x:v>
      </x:c>
      <x:c r="M20" s="77" t="n">
        <x:f t="array" ref="M20">VLOOKUP(INDEX(ECR!$E:$E,MATCH(B20,ECR!$C:$C,0)),RISK!A:B,2,FALSE())</x:f>
        <x:v>2.527800000000001</x:v>
      </x:c>
      <x:c r="N20" s="78"/>
      <x:c r="O20" s="75" t="s">
        <x:v>198</x:v>
      </x:c>
      <x:c r="P20" s="60" t="str">
        <x:f>VLOOKUP(O20,ECR!E:L,8,FALSE())</x:f>
        <x:v>Travis Etienne Jr.</x:v>
      </x:c>
      <x:c r="Q20" s="63" t="str">
        <x:f>IFERROR(VLOOKUP(Aggregate!$P20,ECR!C:F,2,FALSE()),"-")</x:f>
        <x:v>NO</x:v>
      </x:c>
      <x:c r="R20" s="63" t="n">
        <x:f>IFERROR(VLOOKUP(Aggregate!$P20,ECR!C:F,4,FALSE()),"-")</x:f>
        <x:v>8</x:v>
      </x:c>
      <x:c r="S20" s="63" t="str">
        <x:f>Aggregate!$Q20 &amp; "/" &amp; Aggregate!$R20</x:f>
        <x:v>NO/8</x:v>
      </x:c>
      <x:c r="T20" s="67" t="n">
        <x:f>IFERROR(VLOOKUP(Aggregate!$P20,RB!A:Q,13,FALSE())/17*(16-Aggregate!$AA20),0)</x:f>
        <x:v>144.45294117647057</x:v>
      </x:c>
      <x:c r="U20" s="67" t="n">
        <x:f>IFERROR(VLOOKUP(Aggregate!$P20,RB!A:Q,14,FALSE())/17*(16-Aggregate!$AA20),0)</x:f>
        <x:v>162.3164705882353</x:v>
      </x:c>
      <x:c r="V20" s="67" t="n">
        <x:f>IFERROR(VLOOKUP(Aggregate!$P20,RB!A:Q,15,FALSE())/17*(16-Aggregate!$AA20),0)</x:f>
        <x:v>184.63823529411764</x:v>
      </x:c>
      <x:c r="W20" s="70" t="n">
        <x:f>AVERAGE(Aggregate!$T20,Aggregate!$U20,Aggregate!$V20,VLOOKUP(Aggregate!$P20,ECR!L:N,3,FALSE))</x:f>
        <x:v>163.64132353970587</x:v>
      </x:c>
      <x:c r="X20" s="70" t="n">
        <x:f>Aggregate!$W20-$Q$1</x:f>
        <x:v>33.64099441470586</x:v>
      </x:c>
      <x:c r="Y20" s="74" t="n">
        <x:f>MAX(Aggregate!$X20*Scoring!$B$48+1,1)</x:f>
        <x:v>21.255076240780724</x:v>
      </x:c>
      <x:c r="Z20" s="75" t="n">
        <x:f>VLOOKUP(Aggregate!$X20,BM:BO,3,FALSE)</x:f>
        <x:v>4</x:v>
      </x:c>
      <x:c r="AA20" s="77" t="n">
        <x:f t="array" ref="AA20">VLOOKUP(INDEX(ECR!$E:$E,MATCH(P20,ECR!$C:$C,0)),RISK!A:B,2,FALSE())</x:f>
        <x:v>3</x:v>
      </x:c>
      <x:c r="AB20" s="78"/>
      <x:c r="AC20" s="63" t="s">
        <x:v>199</x:v>
      </x:c>
      <x:c r="AD20" s="63" t="str">
        <x:f>VLOOKUP(AC20,ECR!E:L,8,FALSE())</x:f>
        <x:v>Garrett Wilson</x:v>
      </x:c>
      <x:c r="AE20" s="63" t="str">
        <x:f>IFERROR(VLOOKUP(Aggregate!$AD20,ECR!C:F,2,FALSE()),"-")</x:f>
        <x:v>NYJ</x:v>
      </x:c>
      <x:c r="AF20" s="63" t="n">
        <x:f>IFERROR(VLOOKUP(Aggregate!$AD20,ECR!C:F,4,FALSE()),"-")</x:f>
        <x:v>13</x:v>
      </x:c>
      <x:c r="AG20" s="63" t="str">
        <x:f>Aggregate!$AE20 &amp; "/" &amp; Aggregate!$AF20</x:f>
        <x:v>NYJ/13</x:v>
      </x:c>
      <x:c r="AH20" s="67" t="n">
        <x:f>IFERROR(VLOOKUP(Aggregate!$AD20,WR!A:Q,13,FALSE())/17*(16-Aggregate!$AO20),0)</x:f>
        <x:v>130.29435058823532</x:v>
      </x:c>
      <x:c r="AI20" s="67" t="n">
        <x:f>IFERROR(VLOOKUP(Aggregate!$AD20,WR!A:Q,14,FALSE())/17*(16-Aggregate!$AO20),0)</x:f>
        <x:v>150.98313788235296</x:v>
      </x:c>
      <x:c r="AJ20" s="67" t="n">
        <x:f>IFERROR(VLOOKUP(Aggregate!$AD20,WR!A:Q,15,FALSE())/17*(16-Aggregate!$AO20),0)</x:f>
        <x:v>171.74176729411766</x:v>
      </x:c>
      <x:c r="AK20" s="70" t="n">
        <x:f>AVERAGE(Aggregate!$AH20,Aggregate!$AI20,Aggregate!$AJ20,VLOOKUP(Aggregate!$AD20,ECR!L:N,3,FALSE))</x:f>
        <x:v>149.8740606411765</x:v>
      </x:c>
      <x:c r="AL20" s="70" t="n">
        <x:f>Aggregate!$AK20-$AE$1</x:f>
        <x:v>47.67914888382356</x:v>
      </x:c>
      <x:c r="AM20" s="74" t="n">
        <x:f>MAX(Aggregate!$AL20*Scoring!$B$48+1,1)</x:f>
        <x:v>29.707379568875485</x:v>
      </x:c>
      <x:c r="AN20" s="75" t="n">
        <x:f>VLOOKUP(Aggregate!$AL20,BR:BT,3,FALSE)</x:f>
        <x:v>3</x:v>
      </x:c>
      <x:c r="AO20" s="77" t="n">
        <x:f t="array" ref="AO20">VLOOKUP(INDEX(ECR!$E:$E,MATCH(AD20,ECR!$C:$C,0)),RISK!A:B,2,FALSE())</x:f>
        <x:v>2.807599999999999</x:v>
      </x:c>
      <x:c r="AP20" s="78"/>
      <x:c r="AQ20" s="87" t="s">
        <x:v>200</x:v>
      </x:c>
      <x:c r="AR20" s="87" t="str">
        <x:f>VLOOKUP(AQ20,ECR!E:L,8,FALSE())</x:f>
        <x:v>Brenton Strange</x:v>
      </x:c>
      <x:c r="AS20" s="87" t="str">
        <x:f>IFERROR(VLOOKUP(Aggregate!$AR20,ECR!C:F,2,FALSE()),"-")</x:f>
        <x:v>JAC</x:v>
      </x:c>
      <x:c r="AT20" s="87" t="n">
        <x:f>IFERROR(VLOOKUP(Aggregate!$AR20,ECR!C:F,4,FALSE()),"-")</x:f>
        <x:v>7</x:v>
      </x:c>
      <x:c r="AU20" s="87" t="str">
        <x:f>Aggregate!$AS20 &amp; "/" &amp; Aggregate!$AT20</x:f>
        <x:v>JAC/7</x:v>
      </x:c>
      <x:c r="AV20" s="67" t="n">
        <x:f>IFERROR(VLOOKUP(Aggregate!$AR20,TE!A:K,9,FALSE())/17*(16-Aggregate!$BC20),0)</x:f>
        <x:v>82.65608470588234</x:v>
      </x:c>
      <x:c r="AW20" s="67" t="n">
        <x:f>IFERROR(VLOOKUP(Aggregate!$AR20,TE!A:K,10,FALSE())/17*(16-Aggregate!$BC20),0)</x:f>
        <x:v>94.735392</x:v>
      </x:c>
      <x:c r="AX20" s="67" t="n">
        <x:f>IFERROR(VLOOKUP(Aggregate!$AR20,TE!A:K,11,FALSE())/17*(16-Aggregate!$BC20),0)</x:f>
        <x:v>113.94398117647057</x:v>
      </x:c>
      <x:c r="AY20" s="70" t="n">
        <x:f>AVERAGE(Aggregate!$AV20,Aggregate!$AW20,Aggregate!$AX20,VLOOKUP(Aggregate!$AR20,ECR!L:N,3,FALSE))</x:f>
        <x:v>96.47879717558823</x:v>
      </x:c>
      <x:c r="AZ20" s="70" t="n">
        <x:f>Aggregate!$AY20-$AS$1</x:f>
        <x:v>-8.982741436176468</x:v>
      </x:c>
      <x:c r="BA20" s="74" t="n">
        <x:f>MAX(Aggregate!$AZ20*Scoring!$B$48+1,1)</x:f>
        <x:v>1</x:v>
      </x:c>
      <x:c r="BB20" s="67" t="n">
        <x:f>VLOOKUP(Aggregate!$AZ20,BW:BY,3,FALSE)</x:f>
        <x:v>5</x:v>
      </x:c>
      <x:c r="BC20" s="77" t="n">
        <x:f t="array" ref="BC20">VLOOKUP(INDEX(ECR!$E:$E,MATCH(AR20,ECR!$C:$C,0)),RISK!A:B,2,FALSE())</x:f>
        <x:v>2.7688000000000006</x:v>
      </x:c>
      <x:c r="BD20" s="67"/>
      <x:c r="BE20" s="78"/>
      <x:c r="BF20" s="78">
        <x:v>18.0</x:v>
      </x:c>
      <x:c r="BG20" s="78">
        <x:f t="shared" si="1"/>
        <x:v>222.2310713</x:v>
      </x:c>
      <x:c r="BH20" s="78" t="n">
        <x:f>IFERROR(LARGE($J$3:$J$52,18),"")</x:f>
        <x:v>-22.58228033235295</x:v>
      </x:c>
      <x:c r="BI20" s="78">
        <x:f t="shared" si="5"/>
        <x:v>-17.53267538</x:v>
      </x:c>
      <x:c r="BJ20" s="78">
        <x:f t="shared" si="6"/>
        <x:v>5</x:v>
      </x:c>
      <x:c r="BK20" s="89">
        <x:v>18.0</x:v>
      </x:c>
      <x:c r="BL20" s="78">
        <x:f t="shared" si="2"/>
        <x:v>163.1576471</x:v>
      </x:c>
      <x:c r="BM20" s="90" t="n">
        <x:f>IFERROR(LARGE($X$3:$X$102,18),"")</x:f>
        <x:v>33.64099441470586</x:v>
      </x:c>
      <x:c r="BN20" s="90">
        <x:f t="shared" si="7"/>
        <x:v>72.40937206</x:v>
      </x:c>
      <x:c r="BO20" s="91">
        <x:f t="shared" si="8"/>
        <x:v>4</x:v>
      </x:c>
      <x:c r="BP20" s="90">
        <x:v>18.0</x:v>
      </x:c>
      <x:c r="BQ20" s="78">
        <x:f t="shared" si="3"/>
        <x:v>146.4769868</x:v>
      </x:c>
      <x:c r="BR20" s="90" t="n">
        <x:f>IFERROR(LARGE($AL$3:$AL$102,18),"")</x:f>
        <x:v>45.826127423529414</x:v>
      </x:c>
      <x:c r="BS20" s="90">
        <x:f t="shared" si="9"/>
        <x:v>62.39270094</x:v>
      </x:c>
      <x:c r="BT20" s="90">
        <x:f t="shared" si="10"/>
        <x:v>3</x:v>
      </x:c>
      <x:c r="BU20" s="78">
        <x:v>18.0</x:v>
      </x:c>
      <x:c r="BV20" s="78">
        <x:f t="shared" si="4"/>
        <x:v>94.57973082</x:v>
      </x:c>
      <x:c r="BW20" s="90" t="n">
        <x:f>IFERROR(LARGE($AZ$3:$AZ$52,18),"")</x:f>
        <x:v>-8.982741436176468</x:v>
      </x:c>
      <x:c r="BX20" s="90">
        <x:f t="shared" si="11"/>
        <x:v>-3.855260956</x:v>
      </x:c>
      <x:c r="BY20" s="90">
        <x:f t="shared" si="12"/>
        <x:v>5</x:v>
      </x:c>
      <x:c r="BZ20" s="90"/>
      <x:c r="CA20" s="90"/>
      <x:c r="CB20" s="90"/>
      <x:c r="CC20" s="90"/>
      <x:c r="CD20" s="90"/>
      <x:c r="CE20" s="90"/>
      <x:c r="CF20" s="90"/>
      <x:c r="CG20" s="90"/>
    </x:row>
    <x:row r="21" ht="14.25" customHeight="1">
      <x:c r="A21" s="60" t="s">
        <x:v>201</x:v>
      </x:c>
      <x:c r="B21" s="60" t="str">
        <x:f>VLOOKUP(A21,ECR!E:L,8,FALSE())</x:f>
        <x:v>Jordan Love</x:v>
      </x:c>
      <x:c r="C21" s="63" t="str">
        <x:f>IFERROR(VLOOKUP(Aggregate!$B21,ECR!C:F,2,FALSE()),"-")</x:f>
        <x:v>GB</x:v>
      </x:c>
      <x:c r="D21" s="63" t="n">
        <x:f>IFERROR(VLOOKUP(Aggregate!$B21,ECR!C:F,4,FALSE()),"-")</x:f>
        <x:v>11</x:v>
      </x:c>
      <x:c r="E21" s="63" t="str">
        <x:f>Aggregate!$C21 &amp; "/" &amp; Aggregate!$D21</x:f>
        <x:v>GB/11</x:v>
      </x:c>
      <x:c r="F21" s="67" t="n">
        <x:f>IFERROR(VLOOKUP(Aggregate!$B21,QB!A:Q,15,FALSE())/17*(16-Aggregate!$M21),0)</x:f>
        <x:v>188.9825565882353</x:v>
      </x:c>
      <x:c r="G21" s="67" t="n">
        <x:f>IFERROR(VLOOKUP(Aggregate!$B21,QB!A:Q,16,FALSE())/17*(16-Aggregate!$M21),0)</x:f>
        <x:v>204.3331706</x:v>
      </x:c>
      <x:c r="H21" s="67" t="n">
        <x:f>IFERROR(VLOOKUP(Aggregate!$B21,QB!A:Q,17,FALSE())/17*(16-Aggregate!$M21),0)</x:f>
        <x:v>220.4592425647059</x:v>
      </x:c>
      <x:c r="I21" s="70" t="n">
        <x:f>AVERAGE(Aggregate!$F21,Aggregate!$G21,Aggregate!$H21,VLOOKUP(Aggregate!$B21,ECR!L:N,3,FALSE))</x:f>
        <x:v>208.8850083132353</x:v>
      </x:c>
      <x:c r="J21" s="70" t="n">
        <x:f>Aggregate!$I21-$C$1</x:f>
        <x:v>-29.58927700882353</x:v>
      </x:c>
      <x:c r="K21" s="74" t="n">
        <x:f>MAX(Aggregate!$J21*Scoring!$B$48+1,1)</x:f>
        <x:v>1</x:v>
      </x:c>
      <x:c r="L21" s="75" t="n">
        <x:f>VLOOKUP(Aggregate!$J21,BH:BJ,3,FALSE)</x:f>
        <x:v>6</x:v>
      </x:c>
      <x:c r="M21" s="77" t="n">
        <x:f t="array" ref="M21">VLOOKUP(INDEX(ECR!$E:$E,MATCH(B21,ECR!$C:$C,0)),RISK!A:B,2,FALSE())</x:f>
        <x:v>2.6571</x:v>
      </x:c>
      <x:c r="N21" s="78"/>
      <x:c r="O21" s="75" t="s">
        <x:v>202</x:v>
      </x:c>
      <x:c r="P21" s="60" t="str">
        <x:f>VLOOKUP(O21,ECR!E:L,8,FALSE())</x:f>
        <x:v>D'Andre Swift</x:v>
      </x:c>
      <x:c r="Q21" s="63" t="str">
        <x:f>IFERROR(VLOOKUP(Aggregate!$P21,ECR!C:F,2,FALSE()),"-")</x:f>
        <x:v>CHI</x:v>
      </x:c>
      <x:c r="R21" s="63" t="n">
        <x:f>IFERROR(VLOOKUP(Aggregate!$P21,ECR!C:F,4,FALSE()),"-")</x:f>
        <x:v>10</x:v>
      </x:c>
      <x:c r="S21" s="63" t="str">
        <x:f>Aggregate!$Q21 &amp; "/" &amp; Aggregate!$R21</x:f>
        <x:v>CHI/10</x:v>
      </x:c>
      <x:c r="T21" s="67" t="n">
        <x:f>IFERROR(VLOOKUP(Aggregate!$P21,RB!A:Q,13,FALSE())/17*(16-Aggregate!$AA21),0)</x:f>
        <x:v>143.43588235294118</x:v>
      </x:c>
      <x:c r="U21" s="67" t="n">
        <x:f>IFERROR(VLOOKUP(Aggregate!$P21,RB!A:Q,14,FALSE())/17*(16-Aggregate!$AA21),0)</x:f>
        <x:v>157.02470588235292</x:v>
      </x:c>
      <x:c r="V21" s="67" t="n">
        <x:f>IFERROR(VLOOKUP(Aggregate!$P21,RB!A:Q,15,FALSE())/17*(16-Aggregate!$AA21),0)</x:f>
        <x:v>170.2235294117647</x:v>
      </x:c>
      <x:c r="W21" s="70" t="n">
        <x:f>AVERAGE(Aggregate!$T21,Aggregate!$U21,Aggregate!$V21,VLOOKUP(Aggregate!$P21,ECR!L:N,3,FALSE))</x:f>
        <x:v>158.2501470617647</x:v>
      </x:c>
      <x:c r="X21" s="70" t="n">
        <x:f>Aggregate!$W21-$Q$1</x:f>
        <x:v>28.249817936764686</x:v>
      </x:c>
      <x:c r="Y21" s="74" t="n">
        <x:f>MAX(Aggregate!$X21*Scoring!$B$48+1,1)</x:f>
        <x:v>18.009075565471704</x:v>
      </x:c>
      <x:c r="Z21" s="75" t="n">
        <x:f>VLOOKUP(Aggregate!$X21,BM:BO,3,FALSE)</x:f>
        <x:v>4</x:v>
      </x:c>
      <x:c r="AA21" s="77" t="n">
        <x:f t="array" ref="AA21">VLOOKUP(INDEX(ECR!$E:$E,MATCH(P21,ECR!$C:$C,0)),RISK!A:B,2,FALSE())</x:f>
        <x:v>3</x:v>
      </x:c>
      <x:c r="AB21" s="78"/>
      <x:c r="AC21" s="63" t="s">
        <x:v>203</x:v>
      </x:c>
      <x:c r="AD21" s="63" t="str">
        <x:f>VLOOKUP(AC21,ECR!E:L,8,FALSE())</x:f>
        <x:v>Jaylen Waddle</x:v>
      </x:c>
      <x:c r="AE21" s="63" t="str">
        <x:f>IFERROR(VLOOKUP(Aggregate!$AD21,ECR!C:F,2,FALSE()),"-")</x:f>
        <x:v>DEN</x:v>
      </x:c>
      <x:c r="AF21" s="63" t="n">
        <x:f>IFERROR(VLOOKUP(Aggregate!$AD21,ECR!C:F,4,FALSE()),"-")</x:f>
        <x:v>10</x:v>
      </x:c>
      <x:c r="AG21" s="63" t="str">
        <x:f>Aggregate!$AE21 &amp; "/" &amp; Aggregate!$AF21</x:f>
        <x:v>DEN/10</x:v>
      </x:c>
      <x:c r="AH21" s="67" t="n">
        <x:f>IFERROR(VLOOKUP(Aggregate!$AD21,WR!A:Q,13,FALSE())/17*(16-Aggregate!$AO21),0)</x:f>
        <x:v>130.74242294117647</x:v>
      </x:c>
      <x:c r="AI21" s="67" t="n">
        <x:f>IFERROR(VLOOKUP(Aggregate!$AD21,WR!A:Q,14,FALSE())/17*(16-Aggregate!$AO21),0)</x:f>
        <x:v>133.54570111764707</x:v>
      </x:c>
      <x:c r="AJ21" s="67" t="n">
        <x:f>IFERROR(VLOOKUP(Aggregate!$AD21,WR!A:Q,15,FALSE())/17*(16-Aggregate!$AO21),0)</x:f>
        <x:v>136.61154529411766</x:v>
      </x:c>
      <x:c r="AK21" s="70" t="n">
        <x:f>AVERAGE(Aggregate!$AH21,Aggregate!$AI21,Aggregate!$AJ21,VLOOKUP(Aggregate!$AD21,ECR!L:N,3,FALSE))</x:f>
        <x:v>136.6946705632353</x:v>
      </x:c>
      <x:c r="AL21" s="70" t="n">
        <x:f>Aggregate!$AK21-$AE$1</x:f>
        <x:v>34.49975880588235</x:v>
      </x:c>
      <x:c r="AM21" s="74" t="n">
        <x:f>MAX(Aggregate!$AL21*Scoring!$B$48+1,1)</x:f>
        <x:v>21.7721340305036</x:v>
      </x:c>
      <x:c r="AN21" s="75" t="n">
        <x:f>VLOOKUP(Aggregate!$AL21,BR:BT,3,FALSE)</x:f>
        <x:v>4</x:v>
      </x:c>
      <x:c r="AO21" s="77" t="n">
        <x:f t="array" ref="AO21">VLOOKUP(INDEX(ECR!$E:$E,MATCH(AD21,ECR!$C:$C,0)),RISK!A:B,2,FALSE())</x:f>
        <x:v>2.871699999999999</x:v>
      </x:c>
      <x:c r="AP21" s="78"/>
      <x:c r="AQ21" s="87" t="s">
        <x:v>204</x:v>
      </x:c>
      <x:c r="AR21" s="87" t="str">
        <x:f>VLOOKUP(AQ21,ECR!E:L,8,FALSE())</x:f>
        <x:v>Chig Okonkwo</x:v>
      </x:c>
      <x:c r="AS21" s="87" t="str">
        <x:f>IFERROR(VLOOKUP(Aggregate!$AR21,ECR!C:F,2,FALSE()),"-")</x:f>
        <x:v>WAS</x:v>
      </x:c>
      <x:c r="AT21" s="87" t="n">
        <x:f>IFERROR(VLOOKUP(Aggregate!$AR21,ECR!C:F,4,FALSE()),"-")</x:f>
        <x:v>7</x:v>
      </x:c>
      <x:c r="AU21" s="87" t="str">
        <x:f>Aggregate!$AS21 &amp; "/" &amp; Aggregate!$AT21</x:f>
        <x:v>WAS/7</x:v>
      </x:c>
      <x:c r="AV21" s="67" t="n">
        <x:f>IFERROR(VLOOKUP(Aggregate!$AR21,TE!A:K,9,FALSE())/17*(16-Aggregate!$BC21),0)</x:f>
        <x:v>71.48646088235293</x:v>
      </x:c>
      <x:c r="AW21" s="67" t="n">
        <x:f>IFERROR(VLOOKUP(Aggregate!$AR21,TE!A:K,10,FALSE())/17*(16-Aggregate!$BC21),0)</x:f>
        <x:v>78.03841147058823</x:v>
      </x:c>
      <x:c r="AX21" s="67" t="n">
        <x:f>IFERROR(VLOOKUP(Aggregate!$AR21,TE!A:K,11,FALSE())/17*(16-Aggregate!$BC21),0)</x:f>
        <x:v>84.16136529411766</x:v>
      </x:c>
      <x:c r="AY21" s="70" t="n">
        <x:f>AVERAGE(Aggregate!$AV21,Aggregate!$AW21,Aggregate!$AX21,VLOOKUP(Aggregate!$AR21,ECR!L:N,3,FALSE))</x:f>
        <x:v>81.0426108817647</x:v>
      </x:c>
      <x:c r="AZ21" s="70" t="n">
        <x:f>Aggregate!$AY21-$AS$1</x:f>
        <x:v>-24.418927729999993</x:v>
      </x:c>
      <x:c r="BA21" s="74" t="n">
        <x:f>MAX(Aggregate!$AZ21*Scoring!$B$48+1,1)</x:f>
        <x:v>1</x:v>
      </x:c>
      <x:c r="BB21" s="67" t="n">
        <x:f>VLOOKUP(Aggregate!$AZ21,BW:BY,3,FALSE)</x:f>
        <x:v>6</x:v>
      </x:c>
      <x:c r="BC21" s="77" t="n">
        <x:f t="array" ref="BC21">VLOOKUP(INDEX(ECR!$E:$E,MATCH(AR21,ECR!$C:$C,0)),RISK!A:B,2,FALSE())</x:f>
        <x:v>2.7401</x:v>
      </x:c>
      <x:c r="BD21" s="67"/>
      <x:c r="BE21" s="78"/>
      <x:c r="BF21" s="78">
        <x:v>19.0</x:v>
      </x:c>
      <x:c r="BG21" s="78">
        <x:f t="shared" si="1"/>
        <x:v>221.7650635</x:v>
      </x:c>
      <x:c r="BH21" s="78" t="n">
        <x:f>IFERROR(LARGE($J$3:$J$52,19),"")</x:f>
        <x:v>-24.376012433823547</x:v>
      </x:c>
      <x:c r="BI21" s="78">
        <x:f t="shared" si="5"/>
        <x:v>-17.53267538</x:v>
      </x:c>
      <x:c r="BJ21" s="78">
        <x:f t="shared" si="6"/>
        <x:v>5</x:v>
      </x:c>
      <x:c r="BK21" s="89">
        <x:v>19.0</x:v>
      </x:c>
      <x:c r="BL21" s="78">
        <x:f t="shared" si="2"/>
        <x:v>162.3164706</x:v>
      </x:c>
      <x:c r="BM21" s="90" t="n">
        <x:f>IFERROR(LARGE($X$3:$X$102,19),"")</x:f>
        <x:v>31.733053232352944</x:v>
      </x:c>
      <x:c r="BN21" s="90">
        <x:f t="shared" si="7"/>
        <x:v>72.40937206</x:v>
      </x:c>
      <x:c r="BO21" s="91">
        <x:f t="shared" si="8"/>
        <x:v>4</x:v>
      </x:c>
      <x:c r="BP21" s="90">
        <x:v>19.0</x:v>
      </x:c>
      <x:c r="BQ21" s="78">
        <x:f t="shared" si="3"/>
        <x:v>145.8790129</x:v>
      </x:c>
      <x:c r="BR21" s="90" t="n">
        <x:f>IFERROR(LARGE($AL$3:$AL$102,19),"")</x:f>
        <x:v>42.15658891029415</x:v>
      </x:c>
      <x:c r="BS21" s="90">
        <x:f t="shared" si="9"/>
        <x:v>62.39270094</x:v>
      </x:c>
      <x:c r="BT21" s="90">
        <x:f t="shared" si="10"/>
        <x:v>3</x:v>
      </x:c>
      <x:c r="BU21" s="78">
        <x:v>19.0</x:v>
      </x:c>
      <x:c r="BV21" s="78">
        <x:f t="shared" si="4"/>
        <x:v>90.48420588</x:v>
      </x:c>
      <x:c r="BW21" s="90" t="n">
        <x:f>IFERROR(LARGE($AZ$3:$AZ$52,19),"")</x:f>
        <x:v>-15.81827787632352</x:v>
      </x:c>
      <x:c r="BX21" s="90">
        <x:f t="shared" si="11"/>
        <x:v>-15.79960654</x:v>
      </x:c>
      <x:c r="BY21" s="90">
        <x:f t="shared" si="12"/>
        <x:v>6</x:v>
      </x:c>
      <x:c r="BZ21" s="90"/>
      <x:c r="CA21" s="90"/>
      <x:c r="CB21" s="90"/>
      <x:c r="CC21" s="90"/>
      <x:c r="CD21" s="90"/>
      <x:c r="CE21" s="90"/>
      <x:c r="CF21" s="90"/>
      <x:c r="CG21" s="90"/>
    </x:row>
    <x:row r="22" ht="14.25" customHeight="1">
      <x:c r="A22" s="60" t="s">
        <x:v>205</x:v>
      </x:c>
      <x:c r="B22" s="60" t="str">
        <x:f>VLOOKUP(A22,ECR!E:L,8,FALSE())</x:f>
        <x:v>Tyler Shough</x:v>
      </x:c>
      <x:c r="C22" s="63" t="str">
        <x:f>IFERROR(VLOOKUP(Aggregate!$B22,ECR!C:F,2,FALSE()),"-")</x:f>
        <x:v>NO</x:v>
      </x:c>
      <x:c r="D22" s="63" t="n">
        <x:f>IFERROR(VLOOKUP(Aggregate!$B22,ECR!C:F,4,FALSE()),"-")</x:f>
        <x:v>8</x:v>
      </x:c>
      <x:c r="E22" s="63" t="str">
        <x:f>Aggregate!$C22 &amp; "/" &amp; Aggregate!$D22</x:f>
        <x:v>NO/8</x:v>
      </x:c>
      <x:c r="F22" s="67" t="n">
        <x:f>IFERROR(VLOOKUP(Aggregate!$B22,QB!A:Q,15,FALSE())/17*(16-Aggregate!$M22),0)</x:f>
        <x:v>200.39322447058825</x:v>
      </x:c>
      <x:c r="G22" s="67" t="n">
        <x:f>IFERROR(VLOOKUP(Aggregate!$B22,QB!A:Q,16,FALSE())/17*(16-Aggregate!$M22),0)</x:f>
        <x:v>215.47374588235294</x:v>
      </x:c>
      <x:c r="H22" s="67" t="n">
        <x:f>IFERROR(VLOOKUP(Aggregate!$B22,QB!A:Q,17,FALSE())/17*(16-Aggregate!$M22),0)</x:f>
        <x:v>230.54183999999998</x:v>
      </x:c>
      <x:c r="I22" s="70" t="n">
        <x:f>AVERAGE(Aggregate!$F22,Aggregate!$G22,Aggregate!$H22,VLOOKUP(Aggregate!$B22,ECR!L:N,3,FALSE))</x:f>
        <x:v>214.09827288823527</x:v>
      </x:c>
      <x:c r="J22" s="70" t="n">
        <x:f>Aggregate!$I22-$C$1</x:f>
        <x:v>-24.376012433823547</x:v>
      </x:c>
      <x:c r="K22" s="74" t="n">
        <x:f>MAX(Aggregate!$J22*Scoring!$B$48+1,1)</x:f>
        <x:v>1</x:v>
      </x:c>
      <x:c r="L22" s="75" t="n">
        <x:f>VLOOKUP(Aggregate!$J22,BH:BJ,3,FALSE)</x:f>
        <x:v>5</x:v>
      </x:c>
      <x:c r="M22" s="77" t="n">
        <x:f t="array" ref="M22">VLOOKUP(INDEX(ECR!$E:$E,MATCH(B22,ECR!$C:$C,0)),RISK!A:B,2,FALSE())</x:f>
        <x:v>2.796000000000001</x:v>
      </x:c>
      <x:c r="N22" s="78"/>
      <x:c r="O22" s="75" t="s">
        <x:v>206</x:v>
      </x:c>
      <x:c r="P22" s="60" t="str">
        <x:f>VLOOKUP(O22,ECR!E:L,8,FALSE())</x:f>
        <x:v>Cam Skattebo</x:v>
      </x:c>
      <x:c r="Q22" s="63" t="str">
        <x:f>IFERROR(VLOOKUP(Aggregate!$P22,ECR!C:F,2,FALSE()),"-")</x:f>
        <x:v>NYG</x:v>
      </x:c>
      <x:c r="R22" s="63" t="n">
        <x:f>IFERROR(VLOOKUP(Aggregate!$P22,ECR!C:F,4,FALSE()),"-")</x:f>
        <x:v>8</x:v>
      </x:c>
      <x:c r="S22" s="63" t="str">
        <x:f>Aggregate!$Q22 &amp; "/" &amp; Aggregate!$R22</x:f>
        <x:v>NYG/8</x:v>
      </x:c>
      <x:c r="T22" s="67" t="n">
        <x:f>IFERROR(VLOOKUP(Aggregate!$P22,RB!A:Q,13,FALSE())/17*(16-Aggregate!$AA22),0)</x:f>
        <x:v>144.56</x:v>
      </x:c>
      <x:c r="U22" s="67" t="n">
        <x:f>IFERROR(VLOOKUP(Aggregate!$P22,RB!A:Q,14,FALSE())/17*(16-Aggregate!$AA22),0)</x:f>
        <x:v>163.15764705882353</x:v>
      </x:c>
      <x:c r="V22" s="67" t="n">
        <x:f>IFERROR(VLOOKUP(Aggregate!$P22,RB!A:Q,15,FALSE())/17*(16-Aggregate!$AA22),0)</x:f>
        <x:v>182.19117647058823</x:v>
      </x:c>
      <x:c r="W22" s="70" t="n">
        <x:f>AVERAGE(Aggregate!$T22,Aggregate!$U22,Aggregate!$V22,VLOOKUP(Aggregate!$P22,ECR!L:N,3,FALSE))</x:f>
        <x:v>161.73338235735295</x:v>
      </x:c>
      <x:c r="X22" s="70" t="n">
        <x:f>Aggregate!$W22-$Q$1</x:f>
        <x:v>31.733053232352944</x:v>
      </x:c>
      <x:c r="Y22" s="74" t="n">
        <x:f>MAX(Aggregate!$X22*Scoring!$B$48+1,1)</x:f>
        <x:v>20.10631429768578</x:v>
      </x:c>
      <x:c r="Z22" s="75" t="n">
        <x:f>VLOOKUP(Aggregate!$X22,BM:BO,3,FALSE)</x:f>
        <x:v>4</x:v>
      </x:c>
      <x:c r="AA22" s="77" t="n">
        <x:f t="array" ref="AA22">VLOOKUP(INDEX(ECR!$E:$E,MATCH(P22,ECR!$C:$C,0)),RISK!A:B,2,FALSE())</x:f>
        <x:v>3</x:v>
      </x:c>
      <x:c r="AB22" s="78"/>
      <x:c r="AC22" s="63" t="s">
        <x:v>207</x:v>
      </x:c>
      <x:c r="AD22" s="63" t="str">
        <x:f>VLOOKUP(AC22,ECR!E:L,8,FALSE())</x:f>
        <x:v>Ladd McConkey</x:v>
      </x:c>
      <x:c r="AE22" s="63" t="str">
        <x:f>IFERROR(VLOOKUP(Aggregate!$AD22,ECR!C:F,2,FALSE()),"-")</x:f>
        <x:v>LAC</x:v>
      </x:c>
      <x:c r="AF22" s="63" t="n">
        <x:f>IFERROR(VLOOKUP(Aggregate!$AD22,ECR!C:F,4,FALSE()),"-")</x:f>
        <x:v>7</x:v>
      </x:c>
      <x:c r="AG22" s="63" t="str">
        <x:f>Aggregate!$AE22 &amp; "/" &amp; Aggregate!$AF22</x:f>
        <x:v>LAC/7</x:v>
      </x:c>
      <x:c r="AH22" s="67" t="n">
        <x:f>IFERROR(VLOOKUP(Aggregate!$AD22,WR!A:Q,13,FALSE())/17*(16-Aggregate!$AO22),0)</x:f>
        <x:v>129.42035294117647</x:v>
      </x:c>
      <x:c r="AI22" s="67" t="n">
        <x:f>IFERROR(VLOOKUP(Aggregate!$AD22,WR!A:Q,14,FALSE())/17*(16-Aggregate!$AO22),0)</x:f>
        <x:v>138.95780294117648</x:v>
      </x:c>
      <x:c r="AJ22" s="67" t="n">
        <x:f>IFERROR(VLOOKUP(Aggregate!$AD22,WR!A:Q,15,FALSE())/17*(16-Aggregate!$AO22),0)</x:f>
        <x:v>148.28006470588238</x:v>
      </x:c>
      <x:c r="AK22" s="70" t="n">
        <x:f>AVERAGE(Aggregate!$AH22,Aggregate!$AI22,Aggregate!$AJ22,VLOOKUP(Aggregate!$AD22,ECR!L:N,3,FALSE))</x:f>
        <x:v>139.71118504705885</x:v>
      </x:c>
      <x:c r="AL22" s="70" t="n">
        <x:f>Aggregate!$AK22-$AE$1</x:f>
        <x:v>37.51627328970591</x:v>
      </x:c>
      <x:c r="AM22" s="74" t="n">
        <x:f>MAX(Aggregate!$AL22*Scoring!$B$48+1,1)</x:f>
        <x:v>23.58836247185301</x:v>
      </x:c>
      <x:c r="AN22" s="75" t="n">
        <x:f>VLOOKUP(Aggregate!$AL22,BR:BT,3,FALSE)</x:f>
        <x:v>4</x:v>
      </x:c>
      <x:c r="AO22" s="77" t="n">
        <x:f t="array" ref="AO22">VLOOKUP(INDEX(ECR!$E:$E,MATCH(AD22,ECR!$C:$C,0)),RISK!A:B,2,FALSE())</x:f>
        <x:v>2.9349999999999987</x:v>
      </x:c>
      <x:c r="AP22" s="78"/>
      <x:c r="AQ22" s="87" t="s">
        <x:v>208</x:v>
      </x:c>
      <x:c r="AR22" s="87" t="str">
        <x:f>VLOOKUP(AQ22,ECR!E:L,8,FALSE())</x:f>
        <x:v>Dalton Schultz</x:v>
      </x:c>
      <x:c r="AS22" s="87" t="str">
        <x:f>IFERROR(VLOOKUP(Aggregate!$AR22,ECR!C:F,2,FALSE()),"-")</x:f>
        <x:v>HOU</x:v>
      </x:c>
      <x:c r="AT22" s="87" t="n">
        <x:f>IFERROR(VLOOKUP(Aggregate!$AR22,ECR!C:F,4,FALSE()),"-")</x:f>
        <x:v>8</x:v>
      </x:c>
      <x:c r="AU22" s="87" t="str">
        <x:f>Aggregate!$AS22 &amp; "/" &amp; Aggregate!$AT22</x:f>
        <x:v>HOU/8</x:v>
      </x:c>
      <x:c r="AV22" s="67" t="n">
        <x:f>IFERROR(VLOOKUP(Aggregate!$AR22,TE!A:K,9,FALSE())/17*(16-Aggregate!$BC22),0)</x:f>
        <x:v>80.35654411764706</x:v>
      </x:c>
      <x:c r="AW22" s="67" t="n">
        <x:f>IFERROR(VLOOKUP(Aggregate!$AR22,TE!A:K,10,FALSE())/17*(16-Aggregate!$BC22),0)</x:f>
        <x:v>90.64061764705882</x:v>
      </x:c>
      <x:c r="AX22" s="67" t="n">
        <x:f>IFERROR(VLOOKUP(Aggregate!$AR22,TE!A:K,11,FALSE())/17*(16-Aggregate!$BC22),0)</x:f>
        <x:v>99.94711764705882</x:v>
      </x:c>
      <x:c r="AY22" s="70" t="n">
        <x:f>AVERAGE(Aggregate!$AV22,Aggregate!$AW22,Aggregate!$AX22,VLOOKUP(Aggregate!$AR22,ECR!L:N,3,FALSE))</x:f>
        <x:v>89.64326073544117</x:v>
      </x:c>
      <x:c r="AZ22" s="70" t="n">
        <x:f>Aggregate!$AY22-$AS$1</x:f>
        <x:v>-15.81827787632352</x:v>
      </x:c>
      <x:c r="BA22" s="74" t="n">
        <x:f>MAX(Aggregate!$AZ22*Scoring!$B$48+1,1)</x:f>
        <x:v>1</x:v>
      </x:c>
      <x:c r="BB22" s="67" t="n">
        <x:f>VLOOKUP(Aggregate!$AZ22,BW:BY,3,FALSE)</x:f>
        <x:v>6</x:v>
      </x:c>
      <x:c r="BC22" s="77" t="n">
        <x:f t="array" ref="BC22">VLOOKUP(INDEX(ECR!$E:$E,MATCH(AR22,ECR!$C:$C,0)),RISK!A:B,2,FALSE())</x:f>
        <x:v>2.705</x:v>
      </x:c>
      <x:c r="BD22" s="67"/>
      <x:c r="BE22" s="78"/>
      <x:c r="BF22" s="78">
        <x:v>20.0</x:v>
      </x:c>
      <x:c r="BG22" s="78">
        <x:f t="shared" si="1"/>
        <x:v>209.9842812</x:v>
      </x:c>
      <x:c r="BH22" s="78" t="n">
        <x:f>IFERROR(LARGE($J$3:$J$52,20),"")</x:f>
        <x:v>-29.58927700882353</x:v>
      </x:c>
      <x:c r="BI22" s="78">
        <x:f t="shared" si="5"/>
        <x:v>-30.82030523</x:v>
      </x:c>
      <x:c r="BJ22" s="78">
        <x:f t="shared" si="6"/>
        <x:v>6</x:v>
      </x:c>
      <x:c r="BK22" s="89">
        <x:v>20.0</x:v>
      </x:c>
      <x:c r="BL22" s="78">
        <x:f t="shared" si="2"/>
        <x:v>157.0247059</x:v>
      </x:c>
      <x:c r="BM22" s="90" t="n">
        <x:f>IFERROR(LARGE($X$3:$X$102,20),"")</x:f>
        <x:v>28.249817936764686</x:v>
      </x:c>
      <x:c r="BN22" s="90">
        <x:f t="shared" si="7"/>
        <x:v>72.40937206</x:v>
      </x:c>
      <x:c r="BO22" s="91">
        <x:f t="shared" si="8"/>
        <x:v>4</x:v>
      </x:c>
      <x:c r="BP22" s="90">
        <x:v>20.0</x:v>
      </x:c>
      <x:c r="BQ22" s="78">
        <x:f t="shared" si="3"/>
        <x:v>142.1865196</x:v>
      </x:c>
      <x:c r="BR22" s="90" t="n">
        <x:f>IFERROR(LARGE($AL$3:$AL$102,20),"")</x:f>
        <x:v>38.41192700441178</x:v>
      </x:c>
      <x:c r="BS22" s="90">
        <x:f t="shared" si="9"/>
        <x:v>39.29246228</x:v>
      </x:c>
      <x:c r="BT22" s="90">
        <x:f t="shared" si="10"/>
        <x:v>4</x:v>
      </x:c>
      <x:c r="BU22" s="78">
        <x:v>20.0</x:v>
      </x:c>
      <x:c r="BV22" s="78">
        <x:f t="shared" si="4"/>
        <x:v>87.62876353</x:v>
      </x:c>
      <x:c r="BW22" s="90" t="n">
        <x:f>IFERROR(LARGE($AZ$3:$AZ$52,20),"")</x:f>
        <x:v>-18.819199847058826</x:v>
      </x:c>
      <x:c r="BX22" s="90">
        <x:f t="shared" si="11"/>
        <x:v>-15.79960654</x:v>
      </x:c>
      <x:c r="BY22" s="90">
        <x:f t="shared" si="12"/>
        <x:v>6</x:v>
      </x:c>
      <x:c r="BZ22" s="90"/>
      <x:c r="CA22" s="90"/>
      <x:c r="CB22" s="90"/>
      <x:c r="CC22" s="90"/>
      <x:c r="CD22" s="90"/>
      <x:c r="CE22" s="90"/>
      <x:c r="CF22" s="90"/>
      <x:c r="CG22" s="90"/>
    </x:row>
    <x:row r="23" ht="14.25" customHeight="1">
      <x:c r="A23" s="60" t="s">
        <x:v>209</x:v>
      </x:c>
      <x:c r="B23" s="60" t="str">
        <x:f>VLOOKUP(A23,ECR!E:L,8,FALSE())</x:f>
        <x:v>Malik Willis</x:v>
      </x:c>
      <x:c r="C23" s="63" t="str">
        <x:f>IFERROR(VLOOKUP(Aggregate!$B23,ECR!C:F,2,FALSE()),"-")</x:f>
        <x:v>MIA</x:v>
      </x:c>
      <x:c r="D23" s="63" t="n">
        <x:f>IFERROR(VLOOKUP(Aggregate!$B23,ECR!C:F,4,FALSE()),"-")</x:f>
        <x:v>6</x:v>
      </x:c>
      <x:c r="E23" s="63" t="str">
        <x:f>Aggregate!$C23 &amp; "/" &amp; Aggregate!$D23</x:f>
        <x:v>MIA/6</x:v>
      </x:c>
      <x:c r="F23" s="67" t="n">
        <x:f>IFERROR(VLOOKUP(Aggregate!$B23,QB!A:Q,15,FALSE())/17*(16-Aggregate!$M23),0)</x:f>
        <x:v>162.5563344117647</x:v>
      </x:c>
      <x:c r="G23" s="67" t="n">
        <x:f>IFERROR(VLOOKUP(Aggregate!$B23,QB!A:Q,16,FALSE())/17*(16-Aggregate!$M23),0)</x:f>
        <x:v>202.28038105882348</x:v>
      </x:c>
      <x:c r="H23" s="67" t="n">
        <x:f>IFERROR(VLOOKUP(Aggregate!$B23,QB!A:Q,17,FALSE())/17*(16-Aggregate!$M23),0)</x:f>
        <x:v>244.91196435294114</x:v>
      </x:c>
      <x:c r="I23" s="70" t="n">
        <x:f>AVERAGE(Aggregate!$F23,Aggregate!$G23,Aggregate!$H23,VLOOKUP(Aggregate!$B23,ECR!L:N,3,FALSE))</x:f>
        <x:v>204.23601815588233</x:v>
      </x:c>
      <x:c r="J23" s="70" t="n">
        <x:f>Aggregate!$I23-$C$1</x:f>
        <x:v>-34.238267166176485</x:v>
      </x:c>
      <x:c r="K23" s="74" t="n">
        <x:f>MAX(Aggregate!$J23*Scoring!$B$48+1,1)</x:f>
        <x:v>1</x:v>
      </x:c>
      <x:c r="L23" s="75" t="n">
        <x:f>VLOOKUP(Aggregate!$J23,BH:BJ,3,FALSE)</x:f>
        <x:v>6</x:v>
      </x:c>
      <x:c r="M23" s="77" t="n">
        <x:f t="array" ref="M23">VLOOKUP(INDEX(ECR!$E:$E,MATCH(B23,ECR!$C:$C,0)),RISK!A:B,2,FALSE())</x:f>
        <x:v>2.9445000000000014</x:v>
      </x:c>
      <x:c r="N23" s="78"/>
      <x:c r="O23" s="75" t="s">
        <x:v>210</x:v>
      </x:c>
      <x:c r="P23" s="60" t="str">
        <x:f>VLOOKUP(O23,ECR!E:L,8,FALSE())</x:f>
        <x:v>Bucky Irving</x:v>
      </x:c>
      <x:c r="Q23" s="63" t="str">
        <x:f>IFERROR(VLOOKUP(Aggregate!$P23,ECR!C:F,2,FALSE()),"-")</x:f>
        <x:v>TB</x:v>
      </x:c>
      <x:c r="R23" s="63" t="n">
        <x:f>IFERROR(VLOOKUP(Aggregate!$P23,ECR!C:F,4,FALSE()),"-")</x:f>
        <x:v>10</x:v>
      </x:c>
      <x:c r="S23" s="63" t="str">
        <x:f>Aggregate!$Q23 &amp; "/" &amp; Aggregate!$R23</x:f>
        <x:v>TB/10</x:v>
      </x:c>
      <x:c r="T23" s="67" t="n">
        <x:f>IFERROR(VLOOKUP(Aggregate!$P23,RB!A:Q,13,FALSE())/17*(16-Aggregate!$AA23),0)</x:f>
        <x:v>142.93882352941176</x:v>
      </x:c>
      <x:c r="U23" s="67" t="n">
        <x:f>IFERROR(VLOOKUP(Aggregate!$P23,RB!A:Q,14,FALSE())/17*(16-Aggregate!$AA23),0)</x:f>
        <x:v>155.6635294117647</x:v>
      </x:c>
      <x:c r="V23" s="67" t="n">
        <x:f>IFERROR(VLOOKUP(Aggregate!$P23,RB!A:Q,15,FALSE())/17*(16-Aggregate!$AA23),0)</x:f>
        <x:v>171.75294117647059</x:v>
      </x:c>
      <x:c r="W23" s="70" t="n">
        <x:f>AVERAGE(Aggregate!$T23,Aggregate!$U23,Aggregate!$V23,VLOOKUP(Aggregate!$P23,ECR!L:N,3,FALSE))</x:f>
        <x:v>156.50470587941177</x:v>
      </x:c>
      <x:c r="X23" s="70" t="n">
        <x:f>Aggregate!$W23-$Q$1</x:f>
        <x:v>26.504376754411766</x:v>
      </x:c>
      <x:c r="Y23" s="74" t="n">
        <x:f>MAX(Aggregate!$X23*Scoring!$B$48+1,1)</x:f>
        <x:v>16.95815406813029</x:v>
      </x:c>
      <x:c r="Z23" s="75" t="n">
        <x:f>VLOOKUP(Aggregate!$X23,BM:BO,3,FALSE)</x:f>
        <x:v>4</x:v>
      </x:c>
      <x:c r="AA23" s="77" t="n">
        <x:f t="array" ref="AA23">VLOOKUP(INDEX(ECR!$E:$E,MATCH(P23,ECR!$C:$C,0)),RISK!A:B,2,FALSE())</x:f>
        <x:v>3</x:v>
      </x:c>
      <x:c r="AB23" s="78"/>
      <x:c r="AC23" s="63" t="s">
        <x:v>211</x:v>
      </x:c>
      <x:c r="AD23" s="63" t="str">
        <x:f>VLOOKUP(AC23,ECR!E:L,8,FALSE())</x:f>
        <x:v>Emeka Egbuka</x:v>
      </x:c>
      <x:c r="AE23" s="63" t="str">
        <x:f>IFERROR(VLOOKUP(Aggregate!$AD23,ECR!C:F,2,FALSE()),"-")</x:f>
        <x:v>TB</x:v>
      </x:c>
      <x:c r="AF23" s="63" t="n">
        <x:f>IFERROR(VLOOKUP(Aggregate!$AD23,ECR!C:F,4,FALSE()),"-")</x:f>
        <x:v>10</x:v>
      </x:c>
      <x:c r="AG23" s="63" t="str">
        <x:f>Aggregate!$AE23 &amp; "/" &amp; Aggregate!$AF23</x:f>
        <x:v>TB/10</x:v>
      </x:c>
      <x:c r="AH23" s="67" t="n">
        <x:f>IFERROR(VLOOKUP(Aggregate!$AD23,WR!A:Q,13,FALSE())/17*(16-Aggregate!$AO23),0)</x:f>
        <x:v>137.8265</x:v>
      </x:c>
      <x:c r="AI23" s="67" t="n">
        <x:f>IFERROR(VLOOKUP(Aggregate!$AD23,WR!A:Q,14,FALSE())/17*(16-Aggregate!$AO23),0)</x:f>
        <x:v>146.4769867647059</x:v>
      </x:c>
      <x:c r="AJ23" s="67" t="n">
        <x:f>IFERROR(VLOOKUP(Aggregate!$AD23,WR!A:Q,15,FALSE())/17*(16-Aggregate!$AO23),0)</x:f>
        <x:v>154.1331647058824</x:v>
      </x:c>
      <x:c r="AK23" s="70" t="n">
        <x:f>AVERAGE(Aggregate!$AH23,Aggregate!$AI23,Aggregate!$AJ23,VLOOKUP(Aggregate!$AD23,ECR!L:N,3,FALSE))</x:f>
        <x:v>144.3515006676471</x:v>
      </x:c>
      <x:c r="AL23" s="70" t="n">
        <x:f>Aggregate!$AK23-$AE$1</x:f>
        <x:v>42.15658891029415</x:v>
      </x:c>
      <x:c r="AM23" s="74" t="n">
        <x:f>MAX(Aggregate!$AL23*Scoring!$B$48+1,1)</x:f>
        <x:v>26.382273541117172</x:v>
      </x:c>
      <x:c r="AN23" s="75" t="n">
        <x:f>VLOOKUP(Aggregate!$AL23,BR:BT,3,FALSE)</x:f>
        <x:v>3</x:v>
      </x:c>
      <x:c r="AO23" s="77" t="n">
        <x:f t="array" ref="AO23">VLOOKUP(INDEX(ECR!$E:$E,MATCH(AD23,ECR!$C:$C,0)),RISK!A:B,2,FALSE())</x:f>
        <x:v>2.9974999999999987</x:v>
      </x:c>
      <x:c r="AP23" s="78"/>
      <x:c r="AQ23" s="87" t="s">
        <x:v>212</x:v>
      </x:c>
      <x:c r="AR23" s="87" t="str">
        <x:f>VLOOKUP(AQ23,ECR!E:L,8,FALSE())</x:f>
        <x:v>AJ Barner</x:v>
      </x:c>
      <x:c r="AS23" s="87" t="str">
        <x:f>IFERROR(VLOOKUP(Aggregate!$AR23,ECR!C:F,2,FALSE()),"-")</x:f>
        <x:v>SEA</x:v>
      </x:c>
      <x:c r="AT23" s="87" t="n">
        <x:f>IFERROR(VLOOKUP(Aggregate!$AR23,ECR!C:F,4,FALSE()),"-")</x:f>
        <x:v>11</x:v>
      </x:c>
      <x:c r="AU23" s="87" t="str">
        <x:f>Aggregate!$AS23 &amp; "/" &amp; Aggregate!$AT23</x:f>
        <x:v>SEA/11</x:v>
      </x:c>
      <x:c r="AV23" s="67" t="n">
        <x:f>IFERROR(VLOOKUP(Aggregate!$AR23,TE!A:K,9,FALSE())/17*(16-Aggregate!$BC23),0)</x:f>
        <x:v>68.03184</x:v>
      </x:c>
      <x:c r="AW23" s="67" t="n">
        <x:f>IFERROR(VLOOKUP(Aggregate!$AR23,TE!A:K,10,FALSE())/17*(16-Aggregate!$BC23),0)</x:f>
        <x:v>78.83440499999999</x:v>
      </x:c>
      <x:c r="AX23" s="67" t="n">
        <x:f>IFERROR(VLOOKUP(Aggregate!$AR23,TE!A:K,11,FALSE())/17*(16-Aggregate!$BC23),0)</x:f>
        <x:v>93.66929999999999</x:v>
      </x:c>
      <x:c r="AY23" s="70" t="n">
        <x:f>AVERAGE(Aggregate!$AV23,Aggregate!$AW23,Aggregate!$AX23,VLOOKUP(Aggregate!$AR23,ECR!L:N,3,FALSE))</x:f>
        <x:v>81.6756188975</x:v>
      </x:c>
      <x:c r="AZ23" s="70" t="n">
        <x:f>Aggregate!$AY23-$AS$1</x:f>
        <x:v>-23.785919714264693</x:v>
      </x:c>
      <x:c r="BA23" s="74" t="n">
        <x:f>MAX(Aggregate!$AZ23*Scoring!$B$48+1,1)</x:f>
        <x:v>1</x:v>
      </x:c>
      <x:c r="BB23" s="67" t="n">
        <x:f>VLOOKUP(Aggregate!$AZ23,BW:BY,3,FALSE)</x:f>
        <x:v>6</x:v>
      </x:c>
      <x:c r="BC23" s="77" t="n">
        <x:f t="array" ref="BC23">VLOOKUP(INDEX(ECR!$E:$E,MATCH(AR23,ECR!$C:$C,0)),RISK!A:B,2,FALSE())</x:f>
        <x:v>2.663500000000001</x:v>
      </x:c>
      <x:c r="BD23" s="67"/>
      <x:c r="BE23" s="78"/>
      <x:c r="BF23" s="78">
        <x:v>21.0</x:v>
      </x:c>
      <x:c r="BG23" s="78">
        <x:f t="shared" si="1"/>
        <x:v>207.1953928</x:v>
      </x:c>
      <x:c r="BH23" s="78" t="n">
        <x:f>IFERROR(LARGE($J$3:$J$52,21),"")</x:f>
        <x:v>-34.238267166176485</x:v>
      </x:c>
      <x:c r="BI23" s="78">
        <x:f t="shared" si="5"/>
        <x:v>-30.82030523</x:v>
      </x:c>
      <x:c r="BJ23" s="78">
        <x:f t="shared" si="6"/>
        <x:v>6</x:v>
      </x:c>
      <x:c r="BK23" s="89">
        <x:v>21.0</x:v>
      </x:c>
      <x:c r="BL23" s="78">
        <x:f t="shared" si="2"/>
        <x:v>155.6635294</x:v>
      </x:c>
      <x:c r="BM23" s="90" t="n">
        <x:f>IFERROR(LARGE($X$3:$X$102,21),"")</x:f>
        <x:v>26.504376754411766</x:v>
      </x:c>
      <x:c r="BN23" s="90">
        <x:f t="shared" si="7"/>
        <x:v>72.40937206</x:v>
      </x:c>
      <x:c r="BO23" s="91">
        <x:f t="shared" si="8"/>
        <x:v>4</x:v>
      </x:c>
      <x:c r="BP23" s="90">
        <x:v>21.0</x:v>
      </x:c>
      <x:c r="BQ23" s="78">
        <x:f t="shared" si="3"/>
        <x:v>138.9693512</x:v>
      </x:c>
      <x:c r="BR23" s="90" t="n">
        <x:f>IFERROR(LARGE($AL$3:$AL$102,21),"")</x:f>
        <x:v>37.51627328970591</x:v>
      </x:c>
      <x:c r="BS23" s="90">
        <x:f t="shared" si="9"/>
        <x:v>39.29246228</x:v>
      </x:c>
      <x:c r="BT23" s="90">
        <x:f t="shared" si="10"/>
        <x:v>4</x:v>
      </x:c>
      <x:c r="BU23" s="78">
        <x:v>21.0</x:v>
      </x:c>
      <x:c r="BV23" s="78">
        <x:f t="shared" si="4"/>
        <x:v>86.16693059</x:v>
      </x:c>
      <x:c r="BW23" s="90" t="n">
        <x:f>IFERROR(LARGE($AZ$3:$AZ$52,21),"")</x:f>
        <x:v>-22.197970671764722</x:v>
      </x:c>
      <x:c r="BX23" s="90">
        <x:f t="shared" si="11"/>
        <x:v>-15.79960654</x:v>
      </x:c>
      <x:c r="BY23" s="90">
        <x:f t="shared" si="12"/>
        <x:v>6</x:v>
      </x:c>
      <x:c r="BZ23" s="90"/>
      <x:c r="CA23" s="90"/>
      <x:c r="CB23" s="90"/>
      <x:c r="CC23" s="90"/>
      <x:c r="CD23" s="90"/>
      <x:c r="CE23" s="90"/>
      <x:c r="CF23" s="90"/>
      <x:c r="CG23" s="90"/>
    </x:row>
    <x:row r="24" ht="14.25" customHeight="1">
      <x:c r="A24" s="60" t="s">
        <x:v>213</x:v>
      </x:c>
      <x:c r="B24" s="60" t="str">
        <x:f>VLOOKUP(A24,ECR!E:L,8,FALSE())</x:f>
        <x:v>Sam Darnold</x:v>
      </x:c>
      <x:c r="C24" s="63" t="str">
        <x:f>IFERROR(VLOOKUP(Aggregate!$B24,ECR!C:F,2,FALSE()),"-")</x:f>
        <x:v>SEA</x:v>
      </x:c>
      <x:c r="D24" s="63" t="n">
        <x:f>IFERROR(VLOOKUP(Aggregate!$B24,ECR!C:F,4,FALSE()),"-")</x:f>
        <x:v>11</x:v>
      </x:c>
      <x:c r="E24" s="63" t="str">
        <x:f>Aggregate!$C24 &amp; "/" &amp; Aggregate!$D24</x:f>
        <x:v>SEA/11</x:v>
      </x:c>
      <x:c r="F24" s="67" t="n">
        <x:f>IFERROR(VLOOKUP(Aggregate!$B24,QB!A:Q,15,FALSE())/17*(16-Aggregate!$M24),0)</x:f>
        <x:v>179.82617218823532</x:v>
      </x:c>
      <x:c r="G24" s="67" t="n">
        <x:f>IFERROR(VLOOKUP(Aggregate!$B24,QB!A:Q,16,FALSE())/17*(16-Aggregate!$M24),0)</x:f>
        <x:v>196.30298002352941</x:v>
      </x:c>
      <x:c r="H24" s="67" t="n">
        <x:f>IFERROR(VLOOKUP(Aggregate!$B24,QB!A:Q,17,FALSE())/17*(16-Aggregate!$M24),0)</x:f>
        <x:v>215.72039505882347</x:v>
      </x:c>
      <x:c r="I24" s="70" t="n">
        <x:f>AVERAGE(Aggregate!$F24,Aggregate!$G24,Aggregate!$H24,VLOOKUP(Aggregate!$B24,ECR!L:N,3,FALSE))</x:f>
        <x:v>199.63862211764706</x:v>
      </x:c>
      <x:c r="J24" s="70" t="n">
        <x:f>Aggregate!$I24-$C$1</x:f>
        <x:v>-38.83566320441176</x:v>
      </x:c>
      <x:c r="K24" s="74" t="n">
        <x:f>MAX(Aggregate!$J24*Scoring!$B$48+1,1)</x:f>
        <x:v>1</x:v>
      </x:c>
      <x:c r="L24" s="75" t="n">
        <x:f>VLOOKUP(Aggregate!$J24,BH:BJ,3,FALSE)</x:f>
        <x:v>6</x:v>
      </x:c>
      <x:c r="M24" s="77" t="n">
        <x:f t="array" ref="M24">VLOOKUP(INDEX(ECR!$E:$E,MATCH(B24,ECR!$C:$C,0)),RISK!A:B,2,FALSE())</x:f>
        <x:v>3.1026000000000007</x:v>
      </x:c>
      <x:c r="N24" s="78"/>
      <x:c r="O24" s="75" t="s">
        <x:v>214</x:v>
      </x:c>
      <x:c r="P24" s="60" t="str">
        <x:f>VLOOKUP(O24,ECR!E:L,8,FALSE())</x:f>
        <x:v>Quinshon Judkins</x:v>
      </x:c>
      <x:c r="Q24" s="63" t="str">
        <x:f>IFERROR(VLOOKUP(Aggregate!$P24,ECR!C:F,2,FALSE()),"-")</x:f>
        <x:v>CLE</x:v>
      </x:c>
      <x:c r="R24" s="63" t="n">
        <x:f>IFERROR(VLOOKUP(Aggregate!$P24,ECR!C:F,4,FALSE()),"-")</x:f>
        <x:v>11</x:v>
      </x:c>
      <x:c r="S24" s="63" t="str">
        <x:f>Aggregate!$Q24 &amp; "/" &amp; Aggregate!$R24</x:f>
        <x:v>CLE/11</x:v>
      </x:c>
      <x:c r="T24" s="67" t="n">
        <x:f>IFERROR(VLOOKUP(Aggregate!$P24,RB!A:Q,13,FALSE())/17*(16-Aggregate!$AA24),0)</x:f>
        <x:v>132.2941176470588</x:v>
      </x:c>
      <x:c r="U24" s="67" t="n">
        <x:f>IFERROR(VLOOKUP(Aggregate!$P24,RB!A:Q,14,FALSE())/17*(16-Aggregate!$AA24),0)</x:f>
        <x:v>152.0464705882353</x:v>
      </x:c>
      <x:c r="V24" s="67" t="n">
        <x:f>IFERROR(VLOOKUP(Aggregate!$P24,RB!A:Q,15,FALSE())/17*(16-Aggregate!$AA24),0)</x:f>
        <x:v>175.19411764705882</x:v>
      </x:c>
      <x:c r="W24" s="70" t="n">
        <x:f>AVERAGE(Aggregate!$T24,Aggregate!$U24,Aggregate!$V24,VLOOKUP(Aggregate!$P24,ECR!L:N,3,FALSE))</x:f>
        <x:v>152.89529412058823</x:v>
      </x:c>
      <x:c r="X24" s="70" t="n">
        <x:f>Aggregate!$W24-$Q$1</x:f>
        <x:v>22.894964995588225</x:v>
      </x:c>
      <x:c r="Y24" s="74" t="n">
        <x:f>MAX(Aggregate!$X24*Scoring!$B$48+1,1)</x:f>
        <x:v>14.784945111875942</x:v>
      </x:c>
      <x:c r="Z24" s="75" t="n">
        <x:f>VLOOKUP(Aggregate!$X24,BM:BO,3,FALSE)</x:f>
        <x:v>4</x:v>
      </x:c>
      <x:c r="AA24" s="77" t="n">
        <x:f t="array" ref="AA24">VLOOKUP(INDEX(ECR!$E:$E,MATCH(P24,ECR!$C:$C,0)),RISK!A:B,2,FALSE())</x:f>
        <x:v>3</x:v>
      </x:c>
      <x:c r="AB24" s="78"/>
      <x:c r="AC24" s="63" t="s">
        <x:v>215</x:v>
      </x:c>
      <x:c r="AD24" s="63" t="str">
        <x:f>VLOOKUP(AC24,ECR!E:L,8,FALSE())</x:f>
        <x:v>Terry McLaurin</x:v>
      </x:c>
      <x:c r="AE24" s="63" t="str">
        <x:f>IFERROR(VLOOKUP(Aggregate!$AD24,ECR!C:F,2,FALSE()),"-")</x:f>
        <x:v>WAS</x:v>
      </x:c>
      <x:c r="AF24" s="63" t="n">
        <x:f>IFERROR(VLOOKUP(Aggregate!$AD24,ECR!C:F,4,FALSE()),"-")</x:f>
        <x:v>7</x:v>
      </x:c>
      <x:c r="AG24" s="63" t="str">
        <x:f>Aggregate!$AE24 &amp; "/" &amp; Aggregate!$AF24</x:f>
        <x:v>WAS/7</x:v>
      </x:c>
      <x:c r="AH24" s="67" t="n">
        <x:f>IFERROR(VLOOKUP(Aggregate!$AD24,WR!A:Q,13,FALSE())/17*(16-Aggregate!$AO24),0)</x:f>
        <x:v>121.7196423529412</x:v>
      </x:c>
      <x:c r="AI24" s="67" t="n">
        <x:f>IFERROR(VLOOKUP(Aggregate!$AD24,WR!A:Q,14,FALSE())/17*(16-Aggregate!$AO24),0)</x:f>
        <x:v>133.6251783529412</x:v>
      </x:c>
      <x:c r="AJ24" s="67" t="n">
        <x:f>IFERROR(VLOOKUP(Aggregate!$AD24,WR!A:Q,15,FALSE())/17*(16-Aggregate!$AO24),0)</x:f>
        <x:v>155.2439265882353</x:v>
      </x:c>
      <x:c r="AK24" s="70" t="n">
        <x:f>AVERAGE(Aggregate!$AH24,Aggregate!$AI24,Aggregate!$AJ24,VLOOKUP(Aggregate!$AD24,ECR!L:N,3,FALSE))</x:f>
        <x:v>137.38663754852942</x:v>
      </x:c>
      <x:c r="AL24" s="70" t="n">
        <x:f>Aggregate!$AK24-$AE$1</x:f>
        <x:v>35.19172579117648</x:v>
      </x:c>
      <x:c r="AM24" s="74" t="n">
        <x:f>MAX(Aggregate!$AL24*Scoring!$B$48+1,1)</x:f>
        <x:v>22.188763927659938</x:v>
      </x:c>
      <x:c r="AN24" s="75" t="n">
        <x:f>VLOOKUP(Aggregate!$AL24,BR:BT,3,FALSE)</x:f>
        <x:v>4</x:v>
      </x:c>
      <x:c r="AO24" s="77" t="n">
        <x:f t="array" ref="AO24">VLOOKUP(INDEX(ECR!$E:$E,MATCH(AD24,ECR!$C:$C,0)),RISK!A:B,2,FALSE())</x:f>
        <x:v>3.059199999999999</x:v>
      </x:c>
      <x:c r="AP24" s="78"/>
      <x:c r="AQ24" s="87" t="s">
        <x:v>216</x:v>
      </x:c>
      <x:c r="AR24" s="87" t="str">
        <x:f>VLOOKUP(AQ24,ECR!E:L,8,FALSE())</x:f>
        <x:v>T.J. Hockenson</x:v>
      </x:c>
      <x:c r="AS24" s="87" t="str">
        <x:f>IFERROR(VLOOKUP(Aggregate!$AR24,ECR!C:F,2,FALSE()),"-")</x:f>
        <x:v>MIN</x:v>
      </x:c>
      <x:c r="AT24" s="87" t="n">
        <x:f>IFERROR(VLOOKUP(Aggregate!$AR24,ECR!C:F,4,FALSE()),"-")</x:f>
        <x:v>6</x:v>
      </x:c>
      <x:c r="AU24" s="87" t="str">
        <x:f>Aggregate!$AS24 &amp; "/" &amp; Aggregate!$AT24</x:f>
        <x:v>MIN/6</x:v>
      </x:c>
      <x:c r="AV24" s="67" t="n">
        <x:f>IFERROR(VLOOKUP(Aggregate!$AR24,TE!A:K,9,FALSE())/17*(16-Aggregate!$BC24),0)</x:f>
        <x:v>75.26756705882352</x:v>
      </x:c>
      <x:c r="AW24" s="67" t="n">
        <x:f>IFERROR(VLOOKUP(Aggregate!$AR24,TE!A:K,10,FALSE())/17*(16-Aggregate!$BC24),0)</x:f>
        <x:v>85.81762352941176</x:v>
      </x:c>
      <x:c r="AX24" s="67" t="n">
        <x:f>IFERROR(VLOOKUP(Aggregate!$AR24,TE!A:K,11,FALSE())/17*(16-Aggregate!$BC24),0)</x:f>
        <x:v>99.82400447058822</x:v>
      </x:c>
      <x:c r="AY24" s="70" t="n">
        <x:f>AVERAGE(Aggregate!$AV24,Aggregate!$AW24,Aggregate!$AX24,VLOOKUP(Aggregate!$AR24,ECR!L:N,3,FALSE))</x:f>
        <x:v>86.64233876470587</x:v>
      </x:c>
      <x:c r="AZ24" s="70" t="n">
        <x:f>Aggregate!$AY24-$AS$1</x:f>
        <x:v>-18.819199847058826</x:v>
      </x:c>
      <x:c r="BA24" s="74" t="n">
        <x:f>MAX(Aggregate!$AZ24*Scoring!$B$48+1,1)</x:f>
        <x:v>1</x:v>
      </x:c>
      <x:c r="BB24" s="67" t="n">
        <x:f>VLOOKUP(Aggregate!$AZ24,BW:BY,3,FALSE)</x:f>
        <x:v>6</x:v>
      </x:c>
      <x:c r="BC24" s="77" t="n">
        <x:f t="array" ref="BC24">VLOOKUP(INDEX(ECR!$E:$E,MATCH(AR24,ECR!$C:$C,0)),RISK!A:B,2,FALSE())</x:f>
        <x:v>2.6156000000000006</x:v>
      </x:c>
      <x:c r="BD24" s="67"/>
      <x:c r="BE24" s="78"/>
      <x:c r="BF24" s="78">
        <x:v>22.0</x:v>
      </x:c>
      <x:c r="BG24" s="78">
        <x:f t="shared" si="1"/>
        <x:v>206.7049412</x:v>
      </x:c>
      <x:c r="BH24" s="78" t="n">
        <x:f>IFERROR(LARGE($J$3:$J$52,22),"")</x:f>
        <x:v>-37.114850032352905</x:v>
      </x:c>
      <x:c r="BI24" s="78">
        <x:f t="shared" si="5"/>
        <x:v>-30.82030523</x:v>
      </x:c>
      <x:c r="BJ24" s="78">
        <x:f t="shared" si="6"/>
        <x:v>6</x:v>
      </x:c>
      <x:c r="BK24" s="89">
        <x:v>22.0</x:v>
      </x:c>
      <x:c r="BL24" s="78">
        <x:f t="shared" si="2"/>
        <x:v>152.0464706</x:v>
      </x:c>
      <x:c r="BM24" s="90" t="n">
        <x:f>IFERROR(LARGE($X$3:$X$102,22),"")</x:f>
        <x:v>22.894964995588225</x:v>
      </x:c>
      <x:c r="BN24" s="90">
        <x:f t="shared" si="7"/>
        <x:v>72.40937206</x:v>
      </x:c>
      <x:c r="BO24" s="91">
        <x:f t="shared" si="8"/>
        <x:v>4</x:v>
      </x:c>
      <x:c r="BP24" s="90">
        <x:v>22.0</x:v>
      </x:c>
      <x:c r="BQ24" s="78">
        <x:f t="shared" si="3"/>
        <x:v>138.9578029</x:v>
      </x:c>
      <x:c r="BR24" s="90" t="n">
        <x:f>IFERROR(LARGE($AL$3:$AL$102,22),"")</x:f>
        <x:v>35.19172579117648</x:v>
      </x:c>
      <x:c r="BS24" s="90">
        <x:f t="shared" si="9"/>
        <x:v>39.29246228</x:v>
      </x:c>
      <x:c r="BT24" s="90">
        <x:f t="shared" si="10"/>
        <x:v>4</x:v>
      </x:c>
      <x:c r="BU24" s="78">
        <x:v>22.0</x:v>
      </x:c>
      <x:c r="BV24" s="78">
        <x:f t="shared" si="4"/>
        <x:v>85.66016</x:v>
      </x:c>
      <x:c r="BW24" s="90" t="n">
        <x:f>IFERROR(LARGE($AZ$3:$AZ$52,22),"")</x:f>
        <x:v>-22.993408524264694</x:v>
      </x:c>
      <x:c r="BX24" s="90">
        <x:f t="shared" si="11"/>
        <x:v>-15.79960654</x:v>
      </x:c>
      <x:c r="BY24" s="90">
        <x:f t="shared" si="12"/>
        <x:v>6</x:v>
      </x:c>
      <x:c r="BZ24" s="90"/>
      <x:c r="CA24" s="90"/>
      <x:c r="CB24" s="90"/>
      <x:c r="CC24" s="90"/>
      <x:c r="CD24" s="90"/>
      <x:c r="CE24" s="90"/>
      <x:c r="CF24" s="90"/>
      <x:c r="CG24" s="90"/>
    </x:row>
    <x:row r="25" ht="14.25" customHeight="1">
      <x:c r="A25" s="60" t="s">
        <x:v>217</x:v>
      </x:c>
      <x:c r="B25" s="60" t="str">
        <x:f>VLOOKUP(A25,ECR!E:L,8,FALSE())</x:f>
        <x:v>C.J. Stroud</x:v>
      </x:c>
      <x:c r="C25" s="63" t="str">
        <x:f>IFERROR(VLOOKUP(Aggregate!$B25,ECR!C:F,2,FALSE()),"-")</x:f>
        <x:v>HOU</x:v>
      </x:c>
      <x:c r="D25" s="63" t="n">
        <x:f>IFERROR(VLOOKUP(Aggregate!$B25,ECR!C:F,4,FALSE()),"-")</x:f>
        <x:v>8</x:v>
      </x:c>
      <x:c r="E25" s="63" t="str">
        <x:f>Aggregate!$C25 &amp; "/" &amp; Aggregate!$D25</x:f>
        <x:v>HOU/8</x:v>
      </x:c>
      <x:c r="F25" s="67" t="n">
        <x:f>IFERROR(VLOOKUP(Aggregate!$B25,QB!A:Q,15,FALSE())/17*(16-Aggregate!$M25),0)</x:f>
        <x:v>176.23341176470592</x:v>
      </x:c>
      <x:c r="G25" s="67" t="n">
        <x:f>IFERROR(VLOOKUP(Aggregate!$B25,QB!A:Q,16,FALSE())/17*(16-Aggregate!$M25),0)</x:f>
        <x:v>190.2592</x:v>
      </x:c>
      <x:c r="H25" s="67" t="n">
        <x:f>IFERROR(VLOOKUP(Aggregate!$B25,QB!A:Q,17,FALSE())/17*(16-Aggregate!$M25),0)</x:f>
        <x:v>209.71971764705887</x:v>
      </x:c>
      <x:c r="I25" s="70" t="n">
        <x:f>AVERAGE(Aggregate!$F25,Aggregate!$G25,Aggregate!$H25,VLOOKUP(Aggregate!$B25,ECR!L:N,3,FALSE))</x:f>
        <x:v>194.5513347029412</x:v>
      </x:c>
      <x:c r="J25" s="70" t="n">
        <x:f>Aggregate!$I25-$C$1</x:f>
        <x:v>-43.922950619117614</x:v>
      </x:c>
      <x:c r="K25" s="74" t="n">
        <x:f>MAX(Aggregate!$J25*Scoring!$B$48+1,1)</x:f>
        <x:v>1</x:v>
      </x:c>
      <x:c r="L25" s="75" t="n">
        <x:f>VLOOKUP(Aggregate!$J25,BH:BJ,3,FALSE)</x:f>
        <x:v>7</x:v>
      </x:c>
      <x:c r="M25" s="77" t="n">
        <x:f t="array" ref="M25">VLOOKUP(INDEX(ECR!$E:$E,MATCH(B25,ECR!$C:$C,0)),RISK!A:B,2,FALSE())</x:f>
        <x:v>3.2</x:v>
      </x:c>
      <x:c r="N25" s="78"/>
      <x:c r="O25" s="75" t="s">
        <x:v>218</x:v>
      </x:c>
      <x:c r="P25" s="60" t="str">
        <x:f>VLOOKUP(O25,ECR!E:L,8,FALSE())</x:f>
        <x:v>David Montgomery</x:v>
      </x:c>
      <x:c r="Q25" s="63" t="str">
        <x:f>IFERROR(VLOOKUP(Aggregate!$P25,ECR!C:F,2,FALSE()),"-")</x:f>
        <x:v>HOU</x:v>
      </x:c>
      <x:c r="R25" s="63" t="n">
        <x:f>IFERROR(VLOOKUP(Aggregate!$P25,ECR!C:F,4,FALSE()),"-")</x:f>
        <x:v>8</x:v>
      </x:c>
      <x:c r="S25" s="63" t="str">
        <x:f>Aggregate!$Q25 &amp; "/" &amp; Aggregate!$R25</x:f>
        <x:v>HOU/8</x:v>
      </x:c>
      <x:c r="T25" s="67" t="n">
        <x:f>IFERROR(VLOOKUP(Aggregate!$P25,RB!A:Q,13,FALSE())/17*(16-Aggregate!$AA25),0)</x:f>
        <x:v>127.19590823529413</x:v>
      </x:c>
      <x:c r="U25" s="67" t="n">
        <x:f>IFERROR(VLOOKUP(Aggregate!$P25,RB!A:Q,14,FALSE())/17*(16-Aggregate!$AA25),0)</x:f>
        <x:v>138.43487117647058</x:v>
      </x:c>
      <x:c r="V25" s="67" t="n">
        <x:f>IFERROR(VLOOKUP(Aggregate!$P25,RB!A:Q,15,FALSE())/17*(16-Aggregate!$AA25),0)</x:f>
        <x:v>153.89324</x:v>
      </x:c>
      <x:c r="W25" s="70" t="n">
        <x:f>AVERAGE(Aggregate!$T25,Aggregate!$U25,Aggregate!$V25,VLOOKUP(Aggregate!$P25,ECR!L:N,3,FALSE))</x:f>
        <x:v>142.41193572794117</x:v>
      </x:c>
      <x:c r="X25" s="70" t="n">
        <x:f>Aggregate!$W25-$Q$1</x:f>
        <x:v>12.411606602941163</x:v>
      </x:c>
      <x:c r="Y25" s="74" t="n">
        <x:f>MAX(Aggregate!$X25*Scoring!$B$48+1,1)</x:f>
        <x:v>8.472966907995273</x:v>
      </x:c>
      <x:c r="Z25" s="75" t="n">
        <x:f>VLOOKUP(Aggregate!$X25,BM:BO,3,FALSE)</x:f>
        <x:v>5</x:v>
      </x:c>
      <x:c r="AA25" s="77" t="n">
        <x:f t="array" ref="AA25">VLOOKUP(INDEX(ECR!$E:$E,MATCH(P25,ECR!$C:$C,0)),RISK!A:B,2,FALSE())</x:f>
        <x:v>2.9581999999999997</x:v>
      </x:c>
      <x:c r="AB25" s="78"/>
      <x:c r="AC25" s="63" t="s">
        <x:v>219</x:v>
      </x:c>
      <x:c r="AD25" s="63" t="str">
        <x:f>VLOOKUP(AC25,ECR!E:L,8,FALSE())</x:f>
        <x:v>Davante Adams</x:v>
      </x:c>
      <x:c r="AE25" s="63" t="str">
        <x:f>IFERROR(VLOOKUP(Aggregate!$AD25,ECR!C:F,2,FALSE()),"-")</x:f>
        <x:v>LAR</x:v>
      </x:c>
      <x:c r="AF25" s="63" t="n">
        <x:f>IFERROR(VLOOKUP(Aggregate!$AD25,ECR!C:F,4,FALSE()),"-")</x:f>
        <x:v>11</x:v>
      </x:c>
      <x:c r="AG25" s="63" t="str">
        <x:f>Aggregate!$AE25 &amp; "/" &amp; Aggregate!$AF25</x:f>
        <x:v>LAR/11</x:v>
      </x:c>
      <x:c r="AH25" s="67" t="n">
        <x:f>IFERROR(VLOOKUP(Aggregate!$AD25,WR!A:Q,13,FALSE())/17*(16-Aggregate!$AO25),0)</x:f>
        <x:v>134.89801147058827</x:v>
      </x:c>
      <x:c r="AI25" s="67" t="n">
        <x:f>IFERROR(VLOOKUP(Aggregate!$AD25,WR!A:Q,14,FALSE())/17*(16-Aggregate!$AO25),0)</x:f>
        <x:v>142.1865195882353</x:v>
      </x:c>
      <x:c r="AJ25" s="67" t="n">
        <x:f>IFERROR(VLOOKUP(Aggregate!$AD25,WR!A:Q,15,FALSE())/17*(16-Aggregate!$AO25),0)</x:f>
        <x:v>151.7176455882353</x:v>
      </x:c>
      <x:c r="AK25" s="70" t="n">
        <x:f>AVERAGE(Aggregate!$AH25,Aggregate!$AI25,Aggregate!$AJ25,VLOOKUP(Aggregate!$AD25,ECR!L:N,3,FALSE))</x:f>
        <x:v>140.60683876176472</x:v>
      </x:c>
      <x:c r="AL25" s="70" t="n">
        <x:f>Aggregate!$AK25-$AE$1</x:f>
        <x:v>38.41192700441178</x:v>
      </x:c>
      <x:c r="AM25" s="74" t="n">
        <x:f>MAX(Aggregate!$AL25*Scoring!$B$48+1,1)</x:f>
        <x:v>24.127631140699958</x:v>
      </x:c>
      <x:c r="AN25" s="75" t="n">
        <x:f>VLOOKUP(Aggregate!$AL25,BR:BT,3,FALSE)</x:f>
        <x:v>4</x:v>
      </x:c>
      <x:c r="AO25" s="77" t="n">
        <x:f t="array" ref="AO25">VLOOKUP(INDEX(ECR!$E:$E,MATCH(AD25,ECR!$C:$C,0)),RISK!A:B,2,FALSE())</x:f>
        <x:v>3.120099999999999</x:v>
      </x:c>
      <x:c r="AP25" s="78"/>
      <x:c r="AQ25" s="87" t="s">
        <x:v>220</x:v>
      </x:c>
      <x:c r="AR25" s="87" t="str">
        <x:f>VLOOKUP(AQ25,ECR!E:L,8,FALSE())</x:f>
        <x:v>Terrance Ferguson</x:v>
      </x:c>
      <x:c r="AS25" s="87" t="str">
        <x:f>IFERROR(VLOOKUP(Aggregate!$AR25,ECR!C:F,2,FALSE()),"-")</x:f>
        <x:v>LAR</x:v>
      </x:c>
      <x:c r="AT25" s="87" t="n">
        <x:f>IFERROR(VLOOKUP(Aggregate!$AR25,ECR!C:F,4,FALSE()),"-")</x:f>
        <x:v>11</x:v>
      </x:c>
      <x:c r="AU25" s="87" t="str">
        <x:f>Aggregate!$AS25 &amp; "/" &amp; Aggregate!$AT25</x:f>
        <x:v>LAR/11</x:v>
      </x:c>
      <x:c r="AV25" s="67" t="n">
        <x:f>IFERROR(VLOOKUP(Aggregate!$AR25,TE!A:K,9,FALSE())/17*(16-Aggregate!$BC25),0)</x:f>
        <x:v>72.09467294117647</x:v>
      </x:c>
      <x:c r="AW25" s="67" t="n">
        <x:f>IFERROR(VLOOKUP(Aggregate!$AR25,TE!A:K,10,FALSE())/17*(16-Aggregate!$BC25),0)</x:f>
        <x:v>80.81401770588232</x:v>
      </x:c>
      <x:c r="AX25" s="67" t="n">
        <x:f>IFERROR(VLOOKUP(Aggregate!$AR25,TE!A:K,11,FALSE())/17*(16-Aggregate!$BC25),0)</x:f>
        <x:v>89.62822388235293</x:v>
      </x:c>
      <x:c r="AY25" s="70" t="n">
        <x:f>AVERAGE(Aggregate!$AV25,Aggregate!$AW25,Aggregate!$AX25,VLOOKUP(Aggregate!$AR25,ECR!L:N,3,FALSE))</x:f>
        <x:v>81.12562885235293</x:v>
      </x:c>
      <x:c r="AZ25" s="70" t="n">
        <x:f>Aggregate!$AY25-$AS$1</x:f>
        <x:v>-24.335909759411763</x:v>
      </x:c>
      <x:c r="BA25" s="74" t="n">
        <x:f>MAX(Aggregate!$AZ25*Scoring!$B$48+1,1)</x:f>
        <x:v>1</x:v>
      </x:c>
      <x:c r="BB25" s="67" t="n">
        <x:f>VLOOKUP(Aggregate!$AZ25,BW:BY,3,FALSE)</x:f>
        <x:v>6</x:v>
      </x:c>
      <x:c r="BC25" s="77" t="n">
        <x:f t="array" ref="BC25">VLOOKUP(INDEX(ECR!$E:$E,MATCH(AR25,ECR!$C:$C,0)),RISK!A:B,2,FALSE())</x:f>
        <x:v>2.561300000000001</x:v>
      </x:c>
      <x:c r="BD25" s="67"/>
      <x:c r="BE25" s="78"/>
      <x:c r="BF25" s="78">
        <x:v>23.0</x:v>
      </x:c>
      <x:c r="BG25" s="78">
        <x:f t="shared" si="1"/>
        <x:v>201.9930094</x:v>
      </x:c>
      <x:c r="BH25" s="78" t="n">
        <x:f>IFERROR(LARGE($J$3:$J$52,23),"")</x:f>
        <x:v>-38.83566320441176</x:v>
      </x:c>
      <x:c r="BI25" s="78">
        <x:f t="shared" si="5"/>
        <x:v>-30.82030523</x:v>
      </x:c>
      <x:c r="BJ25" s="78">
        <x:f t="shared" si="6"/>
        <x:v>6</x:v>
      </x:c>
      <x:c r="BK25" s="89">
        <x:v>23.0</x:v>
      </x:c>
      <x:c r="BL25" s="78">
        <x:f t="shared" si="2"/>
        <x:v>150.1237235</x:v>
      </x:c>
      <x:c r="BM25" s="90" t="n">
        <x:f>IFERROR(LARGE($X$3:$X$102,23),"")</x:f>
        <x:v>17.64903218088233</x:v>
      </x:c>
      <x:c r="BN25" s="90">
        <x:f t="shared" si="7"/>
        <x:v>46.14932159</x:v>
      </x:c>
      <x:c r="BO25" s="91">
        <x:f t="shared" si="8"/>
        <x:v>5</x:v>
      </x:c>
      <x:c r="BP25" s="90">
        <x:v>23.0</x:v>
      </x:c>
      <x:c r="BQ25" s="78">
        <x:f t="shared" si="3"/>
        <x:v>133.6251784</x:v>
      </x:c>
      <x:c r="BR25" s="90" t="n">
        <x:f>IFERROR(LARGE($AL$3:$AL$102,23),"")</x:f>
        <x:v>34.49975880588235</x:v>
      </x:c>
      <x:c r="BS25" s="90">
        <x:f t="shared" si="9"/>
        <x:v>39.29246228</x:v>
      </x:c>
      <x:c r="BT25" s="90">
        <x:f t="shared" si="10"/>
        <x:v>4</x:v>
      </x:c>
      <x:c r="BU25" s="78">
        <x:v>23.0</x:v>
      </x:c>
      <x:c r="BV25" s="78">
        <x:f t="shared" si="4"/>
        <x:v>81.96560088</x:v>
      </x:c>
      <x:c r="BW25" s="90" t="n">
        <x:f>IFERROR(LARGE($AZ$3:$AZ$52,23),"")</x:f>
        <x:v>-23.25779955249999</x:v>
      </x:c>
      <x:c r="BX25" s="90">
        <x:f t="shared" si="11"/>
        <x:v>-15.79960654</x:v>
      </x:c>
      <x:c r="BY25" s="90">
        <x:f t="shared" si="12"/>
        <x:v>6</x:v>
      </x:c>
      <x:c r="BZ25" s="90"/>
      <x:c r="CA25" s="90"/>
      <x:c r="CB25" s="90"/>
      <x:c r="CC25" s="90"/>
      <x:c r="CD25" s="90"/>
      <x:c r="CE25" s="90"/>
      <x:c r="CF25" s="90"/>
      <x:c r="CG25" s="90"/>
    </x:row>
    <x:row r="26" ht="14.25" customHeight="1">
      <x:c r="A26" s="60" t="s">
        <x:v>221</x:v>
      </x:c>
      <x:c r="B26" s="60" t="str">
        <x:f>VLOOKUP(A26,ECR!E:L,8,FALSE())</x:f>
        <x:v>Cam Ward</x:v>
      </x:c>
      <x:c r="C26" s="63" t="str">
        <x:f>IFERROR(VLOOKUP(Aggregate!$B26,ECR!C:F,2,FALSE()),"-")</x:f>
        <x:v>TEN</x:v>
      </x:c>
      <x:c r="D26" s="63" t="n">
        <x:f>IFERROR(VLOOKUP(Aggregate!$B26,ECR!C:F,4,FALSE()),"-")</x:f>
        <x:v>9</x:v>
      </x:c>
      <x:c r="E26" s="63" t="str">
        <x:f>Aggregate!$C26 &amp; "/" &amp; Aggregate!$D26</x:f>
        <x:v>TEN/9</x:v>
      </x:c>
      <x:c r="F26" s="67" t="n">
        <x:f>IFERROR(VLOOKUP(Aggregate!$B26,QB!A:Q,15,FALSE())/17*(16-Aggregate!$M26),0)</x:f>
        <x:v>145.19717647058823</x:v>
      </x:c>
      <x:c r="G26" s="67" t="n">
        <x:f>IFERROR(VLOOKUP(Aggregate!$B26,QB!A:Q,16,FALSE())/17*(16-Aggregate!$M26),0)</x:f>
        <x:v>171.24442352941173</x:v>
      </x:c>
      <x:c r="H26" s="67" t="n">
        <x:f>IFERROR(VLOOKUP(Aggregate!$B26,QB!A:Q,17,FALSE())/17*(16-Aggregate!$M26),0)</x:f>
        <x:v>195.98757647058824</x:v>
      </x:c>
      <x:c r="I26" s="70" t="n">
        <x:f>AVERAGE(Aggregate!$F26,Aggregate!$G26,Aggregate!$H26,VLOOKUP(Aggregate!$B26,ECR!L:N,3,FALSE))</x:f>
        <x:v>177.15915294264704</x:v>
      </x:c>
      <x:c r="J26" s="70" t="n">
        <x:f>Aggregate!$I26-$C$1</x:f>
        <x:v>-61.31513237941178</x:v>
      </x:c>
      <x:c r="K26" s="74" t="n">
        <x:f>MAX(Aggregate!$J26*Scoring!$B$48+1,1)</x:f>
        <x:v>1</x:v>
      </x:c>
      <x:c r="L26" s="75" t="n">
        <x:f>VLOOKUP(Aggregate!$J26,BH:BJ,3,FALSE)</x:f>
        <x:v>8</x:v>
      </x:c>
      <x:c r="M26" s="77" t="n">
        <x:f t="array" ref="M26">VLOOKUP(INDEX(ECR!$E:$E,MATCH(B26,ECR!$C:$C,0)),RISK!A:B,2,FALSE())</x:f>
        <x:v>3.2</x:v>
      </x:c>
      <x:c r="N26" s="78"/>
      <x:c r="O26" s="75" t="s">
        <x:v>222</x:v>
      </x:c>
      <x:c r="P26" s="60" t="str">
        <x:f>VLOOKUP(O26,ECR!E:L,8,FALSE())</x:f>
        <x:v>Bhayshul Tuten</x:v>
      </x:c>
      <x:c r="Q26" s="63" t="str">
        <x:f>IFERROR(VLOOKUP(Aggregate!$P26,ECR!C:F,2,FALSE()),"-")</x:f>
        <x:v>JAC</x:v>
      </x:c>
      <x:c r="R26" s="63" t="n">
        <x:f>IFERROR(VLOOKUP(Aggregate!$P26,ECR!C:F,4,FALSE()),"-")</x:f>
        <x:v>7</x:v>
      </x:c>
      <x:c r="S26" s="63" t="str">
        <x:f>Aggregate!$Q26 &amp; "/" &amp; Aggregate!$R26</x:f>
        <x:v>JAC/7</x:v>
      </x:c>
      <x:c r="T26" s="67" t="n">
        <x:f>IFERROR(VLOOKUP(Aggregate!$P26,RB!A:Q,13,FALSE())/17*(16-Aggregate!$AA26),0)</x:f>
        <x:v>116.70433411764706</x:v>
      </x:c>
      <x:c r="U26" s="67" t="n">
        <x:f>IFERROR(VLOOKUP(Aggregate!$P26,RB!A:Q,14,FALSE())/17*(16-Aggregate!$AA26),0)</x:f>
        <x:v>147.15926435294116</x:v>
      </x:c>
      <x:c r="V26" s="67" t="n">
        <x:f>IFERROR(VLOOKUP(Aggregate!$P26,RB!A:Q,15,FALSE())/17*(16-Aggregate!$AA26),0)</x:f>
        <x:v>179.57458235294118</x:v>
      </x:c>
      <x:c r="W26" s="70" t="n">
        <x:f>AVERAGE(Aggregate!$T26,Aggregate!$U26,Aggregate!$V26,VLOOKUP(Aggregate!$P26,ECR!L:N,3,FALSE))</x:f>
        <x:v>147.64936130588234</x:v>
      </x:c>
      <x:c r="X26" s="70" t="n">
        <x:f>Aggregate!$W26-$Q$1</x:f>
        <x:v>17.64903218088233</x:v>
      </x:c>
      <x:c r="Y26" s="74" t="n">
        <x:f>MAX(Aggregate!$X26*Scoring!$B$48+1,1)</x:f>
        <x:v>11.626394927359632</x:v>
      </x:c>
      <x:c r="Z26" s="75" t="n">
        <x:f>VLOOKUP(Aggregate!$X26,BM:BO,3,FALSE)</x:f>
        <x:v>5</x:v>
      </x:c>
      <x:c r="AA26" s="77" t="n">
        <x:f t="array" ref="AA26">VLOOKUP(INDEX(ECR!$E:$E,MATCH(P26,ECR!$C:$C,0)),RISK!A:B,2,FALSE())</x:f>
        <x:v>2.9818</x:v>
      </x:c>
      <x:c r="AB26" s="78"/>
      <x:c r="AC26" s="63" t="s">
        <x:v>223</x:v>
      </x:c>
      <x:c r="AD26" s="63" t="str">
        <x:f>VLOOKUP(AC26,ECR!E:L,8,FALSE())</x:f>
        <x:v>Luther Burden III</x:v>
      </x:c>
      <x:c r="AE26" s="63" t="str">
        <x:f>IFERROR(VLOOKUP(Aggregate!$AD26,ECR!C:F,2,FALSE()),"-")</x:f>
        <x:v>CHI</x:v>
      </x:c>
      <x:c r="AF26" s="63" t="n">
        <x:f>IFERROR(VLOOKUP(Aggregate!$AD26,ECR!C:F,4,FALSE()),"-")</x:f>
        <x:v>10</x:v>
      </x:c>
      <x:c r="AG26" s="63" t="str">
        <x:f>Aggregate!$AE26 &amp; "/" &amp; Aggregate!$AF26</x:f>
        <x:v>CHI/10</x:v>
      </x:c>
      <x:c r="AH26" s="67" t="n">
        <x:f>IFERROR(VLOOKUP(Aggregate!$AD26,WR!A:Q,13,FALSE())/17*(16-Aggregate!$AO26),0)</x:f>
        <x:v>120.6569411764706</x:v>
      </x:c>
      <x:c r="AI26" s="67" t="n">
        <x:f>IFERROR(VLOOKUP(Aggregate!$AD26,WR!A:Q,14,FALSE())/17*(16-Aggregate!$AO26),0)</x:f>
        <x:v>129.43473364705883</x:v>
      </x:c>
      <x:c r="AJ26" s="67" t="n">
        <x:f>IFERROR(VLOOKUP(Aggregate!$AD26,WR!A:Q,15,FALSE())/17*(16-Aggregate!$AO26),0)</x:f>
        <x:v>140.56533647058825</x:v>
      </x:c>
      <x:c r="AK26" s="70" t="n">
        <x:f>AVERAGE(Aggregate!$AH26,Aggregate!$AI26,Aggregate!$AJ26,VLOOKUP(Aggregate!$AD26,ECR!L:N,3,FALSE))</x:f>
        <x:v>131.05067809852943</x:v>
      </x:c>
      <x:c r="AL26" s="70" t="n">
        <x:f>Aggregate!$AK26-$AE$1</x:f>
        <x:v>28.85576634117649</x:v>
      </x:c>
      <x:c r="AM26" s="74" t="n">
        <x:f>MAX(Aggregate!$AL26*Scoring!$B$48+1,1)</x:f>
        <x:v>18.373914100802732</x:v>
      </x:c>
      <x:c r="AN26" s="75" t="n">
        <x:f>VLOOKUP(Aggregate!$AL26,BR:BT,3,FALSE)</x:f>
        <x:v>4</x:v>
      </x:c>
      <x:c r="AO26" s="77" t="n">
        <x:f t="array" ref="AO26">VLOOKUP(INDEX(ECR!$E:$E,MATCH(AD26,ECR!$C:$C,0)),RISK!A:B,2,FALSE())</x:f>
        <x:v>3.1801999999999992</x:v>
      </x:c>
      <x:c r="AP26" s="78"/>
      <x:c r="AQ26" s="87" t="s">
        <x:v>224</x:v>
      </x:c>
      <x:c r="AR26" s="87" t="str">
        <x:f>VLOOKUP(AQ26,ECR!E:L,8,FALSE())</x:f>
        <x:v>Oronde Gadsden II</x:v>
      </x:c>
      <x:c r="AS26" s="87" t="str">
        <x:f>IFERROR(VLOOKUP(Aggregate!$AR26,ECR!C:F,2,FALSE()),"-")</x:f>
        <x:v>LAC</x:v>
      </x:c>
      <x:c r="AT26" s="87" t="n">
        <x:f>IFERROR(VLOOKUP(Aggregate!$AR26,ECR!C:F,4,FALSE()),"-")</x:f>
        <x:v>7</x:v>
      </x:c>
      <x:c r="AU26" s="87" t="str">
        <x:f>Aggregate!$AS26 &amp; "/" &amp; Aggregate!$AT26</x:f>
        <x:v>LAC/7</x:v>
      </x:c>
      <x:c r="AV26" s="67" t="n">
        <x:f>IFERROR(VLOOKUP(Aggregate!$AR26,TE!A:K,9,FALSE())/17*(16-Aggregate!$BC26),0)</x:f>
        <x:v>48.69312988235294</x:v>
      </x:c>
      <x:c r="AW26" s="67" t="n">
        <x:f>IFERROR(VLOOKUP(Aggregate!$AR26,TE!A:K,10,FALSE())/17*(16-Aggregate!$BC26),0)</x:f>
        <x:v>65.58326152941176</x:v>
      </x:c>
      <x:c r="AX26" s="67" t="n">
        <x:f>IFERROR(VLOOKUP(Aggregate!$AR26,TE!A:K,11,FALSE())/17*(16-Aggregate!$BC26),0)</x:f>
        <x:v>88.30195764705881</x:v>
      </x:c>
      <x:c r="AY26" s="70" t="n">
        <x:f>AVERAGE(Aggregate!$AV26,Aggregate!$AW26,Aggregate!$AX26,VLOOKUP(Aggregate!$AR26,ECR!L:N,3,FALSE))</x:f>
        <x:v>71.13162617720587</x:v>
      </x:c>
      <x:c r="AZ26" s="70" t="n">
        <x:f>Aggregate!$AY26-$AS$1</x:f>
        <x:v>-34.32991243455882</x:v>
      </x:c>
      <x:c r="BA26" s="74" t="n">
        <x:f>MAX(Aggregate!$AZ26*Scoring!$B$48+1,1)</x:f>
        <x:v>1</x:v>
      </x:c>
      <x:c r="BB26" s="67" t="n">
        <x:f>VLOOKUP(Aggregate!$AZ26,BW:BY,3,FALSE)</x:f>
        <x:v>7</x:v>
      </x:c>
      <x:c r="BC26" s="77" t="n">
        <x:f t="array" ref="BC26">VLOOKUP(INDEX(ECR!$E:$E,MATCH(AR26,ECR!$C:$C,0)),RISK!A:B,2,FALSE())</x:f>
        <x:v>2.5006000000000004</x:v>
      </x:c>
      <x:c r="BD26" s="67"/>
      <x:c r="BE26" s="78"/>
      <x:c r="BF26" s="78">
        <x:v>24.0</x:v>
      </x:c>
      <x:c r="BG26" s="78">
        <x:f t="shared" si="1"/>
        <x:v>196.2074353</x:v>
      </x:c>
      <x:c r="BH26" s="78" t="n">
        <x:f>IFERROR(LARGE($J$3:$J$52,24),"")</x:f>
        <x:v>-43.922950619117614</x:v>
      </x:c>
      <x:c r="BI26" s="78">
        <x:f t="shared" si="5"/>
        <x:v>-45.10294222</x:v>
      </x:c>
      <x:c r="BJ26" s="78">
        <x:f t="shared" si="6"/>
        <x:v>7</x:v>
      </x:c>
      <x:c r="BK26" s="89">
        <x:v>24.0</x:v>
      </x:c>
      <x:c r="BL26" s="78">
        <x:f t="shared" si="2"/>
        <x:v>147.1592644</x:v>
      </x:c>
      <x:c r="BM26" s="90" t="n">
        <x:f>IFERROR(LARGE($X$3:$X$102,24),"")</x:f>
        <x:v>15.733231643176453</x:v>
      </x:c>
      <x:c r="BN26" s="90">
        <x:f t="shared" si="7"/>
        <x:v>46.14932159</x:v>
      </x:c>
      <x:c r="BO26" s="91">
        <x:f t="shared" si="8"/>
        <x:v>5</x:v>
      </x:c>
      <x:c r="BP26" s="90">
        <x:v>24.0</x:v>
      </x:c>
      <x:c r="BQ26" s="78">
        <x:f t="shared" si="3"/>
        <x:v>133.5457011</x:v>
      </x:c>
      <x:c r="BR26" s="90" t="n">
        <x:f>IFERROR(LARGE($AL$3:$AL$102,24),"")</x:f>
        <x:v>33.68231845147059</x:v>
      </x:c>
      <x:c r="BS26" s="90">
        <x:f t="shared" si="9"/>
        <x:v>39.29246228</x:v>
      </x:c>
      <x:c r="BT26" s="90">
        <x:f t="shared" si="10"/>
        <x:v>4</x:v>
      </x:c>
      <x:c r="BU26" s="78">
        <x:v>24.0</x:v>
      </x:c>
      <x:c r="BV26" s="78">
        <x:f t="shared" si="4"/>
        <x:v>81.94815565</x:v>
      </x:c>
      <x:c r="BW26" s="90" t="n">
        <x:f>IFERROR(LARGE($AZ$3:$AZ$52,24),"")</x:f>
        <x:v>-23.50352031735295</x:v>
      </x:c>
      <x:c r="BX26" s="90">
        <x:f t="shared" si="11"/>
        <x:v>-15.79960654</x:v>
      </x:c>
      <x:c r="BY26" s="90">
        <x:f t="shared" si="12"/>
        <x:v>6</x:v>
      </x:c>
      <x:c r="BZ26" s="90"/>
      <x:c r="CA26" s="90"/>
      <x:c r="CB26" s="90"/>
      <x:c r="CC26" s="90"/>
      <x:c r="CD26" s="90"/>
      <x:c r="CE26" s="90"/>
      <x:c r="CF26" s="90"/>
      <x:c r="CG26" s="90"/>
    </x:row>
    <x:row r="27" ht="14.25" customHeight="1">
      <x:c r="A27" s="60" t="s">
        <x:v>225</x:v>
      </x:c>
      <x:c r="B27" s="60" t="str">
        <x:f>VLOOKUP(A27,ECR!E:L,8,FALSE())</x:f>
        <x:v>Daniel Jones</x:v>
      </x:c>
      <x:c r="C27" s="63" t="str">
        <x:f>IFERROR(VLOOKUP(Aggregate!$B27,ECR!C:F,2,FALSE()),"-")</x:f>
        <x:v>IND</x:v>
      </x:c>
      <x:c r="D27" s="63" t="n">
        <x:f>IFERROR(VLOOKUP(Aggregate!$B27,ECR!C:F,4,FALSE()),"-")</x:f>
        <x:v>13</x:v>
      </x:c>
      <x:c r="E27" s="63" t="str">
        <x:f>Aggregate!$C27 &amp; "/" &amp; Aggregate!$D27</x:f>
        <x:v>IND/13</x:v>
      </x:c>
      <x:c r="F27" s="67" t="n">
        <x:f>IFERROR(VLOOKUP(Aggregate!$B27,QB!A:Q,15,FALSE())/17*(16-Aggregate!$M27),0)</x:f>
        <x:v>174.77270588235297</x:v>
      </x:c>
      <x:c r="G27" s="67" t="n">
        <x:f>IFERROR(VLOOKUP(Aggregate!$B27,QB!A:Q,16,FALSE())/17*(16-Aggregate!$M27),0)</x:f>
        <x:v>200.98258823529414</x:v>
      </x:c>
      <x:c r="H27" s="67" t="n">
        <x:f>IFERROR(VLOOKUP(Aggregate!$B27,QB!A:Q,17,FALSE())/17*(16-Aggregate!$M27),0)</x:f>
        <x:v>237.14635294117653</x:v>
      </x:c>
      <x:c r="I27" s="70" t="n">
        <x:f>AVERAGE(Aggregate!$F27,Aggregate!$G27,Aggregate!$H27,VLOOKUP(Aggregate!$B27,ECR!L:N,3,FALSE))</x:f>
        <x:v>201.3594352897059</x:v>
      </x:c>
      <x:c r="J27" s="70" t="n">
        <x:f>Aggregate!$I27-$C$1</x:f>
        <x:v>-37.114850032352905</x:v>
      </x:c>
      <x:c r="K27" s="74" t="n">
        <x:f>MAX(Aggregate!$J27*Scoring!$B$48+1,1)</x:f>
        <x:v>1</x:v>
      </x:c>
      <x:c r="L27" s="75" t="n">
        <x:f>VLOOKUP(Aggregate!$J27,BH:BJ,3,FALSE)</x:f>
        <x:v>6</x:v>
      </x:c>
      <x:c r="M27" s="77" t="n">
        <x:f t="array" ref="M27">VLOOKUP(INDEX(ECR!$E:$E,MATCH(B27,ECR!$C:$C,0)),RISK!A:B,2,FALSE())</x:f>
        <x:v>3.2</x:v>
      </x:c>
      <x:c r="N27" s="78"/>
      <x:c r="O27" s="75" t="s">
        <x:v>226</x:v>
      </x:c>
      <x:c r="P27" s="60" t="str">
        <x:f>VLOOKUP(O27,ECR!E:L,8,FALSE())</x:f>
        <x:v>TreVeyon Henderson</x:v>
      </x:c>
      <x:c r="Q27" s="63" t="str">
        <x:f>IFERROR(VLOOKUP(Aggregate!$P27,ECR!C:F,2,FALSE()),"-")</x:f>
        <x:v>NE</x:v>
      </x:c>
      <x:c r="R27" s="63" t="n">
        <x:f>IFERROR(VLOOKUP(Aggregate!$P27,ECR!C:F,4,FALSE()),"-")</x:f>
        <x:v>11</x:v>
      </x:c>
      <x:c r="S27" s="63" t="str">
        <x:f>Aggregate!$Q27 &amp; "/" &amp; Aggregate!$R27</x:f>
        <x:v>NE/11</x:v>
      </x:c>
      <x:c r="T27" s="67" t="n">
        <x:f>IFERROR(VLOOKUP(Aggregate!$P27,RB!A:Q,13,FALSE())/17*(16-Aggregate!$AA27),0)</x:f>
        <x:v>126.17173999999999</x:v>
      </x:c>
      <x:c r="U27" s="67" t="n">
        <x:f>IFERROR(VLOOKUP(Aggregate!$P27,RB!A:Q,14,FALSE())/17*(16-Aggregate!$AA27),0)</x:f>
        <x:v>133.26493529411763</x:v>
      </x:c>
      <x:c r="V27" s="67" t="n">
        <x:f>IFERROR(VLOOKUP(Aggregate!$P27,RB!A:Q,15,FALSE())/17*(16-Aggregate!$AA27),0)</x:f>
        <x:v>140.38870470588233</x:v>
      </x:c>
      <x:c r="W27" s="70" t="n">
        <x:f>AVERAGE(Aggregate!$T27,Aggregate!$U27,Aggregate!$V27,VLOOKUP(Aggregate!$P27,ECR!L:N,3,FALSE))</x:f>
        <x:v>134.5650628</x:v>
      </x:c>
      <x:c r="X27" s="70" t="n">
        <x:f>Aggregate!$W27-$Q$1</x:f>
        <x:v>4.564733674999985</x:v>
      </x:c>
      <x:c r="Y27" s="74" t="n">
        <x:f>MAX(Aggregate!$X27*Scoring!$B$48+1,1)</x:f>
        <x:v>3.7484035538963214</x:v>
      </x:c>
      <x:c r="Z27" s="75" t="n">
        <x:f>VLOOKUP(Aggregate!$X27,BM:BO,3,FALSE)</x:f>
        <x:v>5</x:v>
      </x:c>
      <x:c r="AA27" s="77" t="n">
        <x:f t="array" ref="AA27">VLOOKUP(INDEX(ECR!$E:$E,MATCH(P27,ECR!$C:$C,0)),RISK!A:B,2,FALSE())</x:f>
        <x:v>3.0060000000000002</x:v>
      </x:c>
      <x:c r="AB27" s="78"/>
      <x:c r="AC27" s="63" t="s">
        <x:v>227</x:v>
      </x:c>
      <x:c r="AD27" s="63" t="str">
        <x:f>VLOOKUP(AC27,ECR!E:L,8,FALSE())</x:f>
        <x:v>Jameson Williams</x:v>
      </x:c>
      <x:c r="AE27" s="63" t="str">
        <x:f>IFERROR(VLOOKUP(Aggregate!$AD27,ECR!C:F,2,FALSE()),"-")</x:f>
        <x:v>DET</x:v>
      </x:c>
      <x:c r="AF27" s="63" t="n">
        <x:f>IFERROR(VLOOKUP(Aggregate!$AD27,ECR!C:F,4,FALSE()),"-")</x:f>
        <x:v>6</x:v>
      </x:c>
      <x:c r="AG27" s="63" t="str">
        <x:f>Aggregate!$AE27 &amp; "/" &amp; Aggregate!$AF27</x:f>
        <x:v>DET/6</x:v>
      </x:c>
      <x:c r="AH27" s="67" t="n">
        <x:f>IFERROR(VLOOKUP(Aggregate!$AD27,WR!A:Q,13,FALSE())/17*(16-Aggregate!$AO27),0)</x:f>
        <x:v>128.67087705882352</x:v>
      </x:c>
      <x:c r="AI27" s="67" t="n">
        <x:f>IFERROR(VLOOKUP(Aggregate!$AD27,WR!A:Q,14,FALSE())/17*(16-Aggregate!$AO27),0)</x:f>
        <x:v>138.96935117647058</x:v>
      </x:c>
      <x:c r="AJ27" s="67" t="n">
        <x:f>IFERROR(VLOOKUP(Aggregate!$AD27,WR!A:Q,15,FALSE())/17*(16-Aggregate!$AO27),0)</x:f>
        <x:v>145.852515</x:v>
      </x:c>
      <x:c r="AK27" s="70" t="n">
        <x:f>AVERAGE(Aggregate!$AH27,Aggregate!$AI27,Aggregate!$AJ27,VLOOKUP(Aggregate!$AD27,ECR!L:N,3,FALSE))</x:f>
        <x:v>135.87723020882353</x:v>
      </x:c>
      <x:c r="AL27" s="70" t="n">
        <x:f>Aggregate!$AK27-$AE$1</x:f>
        <x:v>33.68231845147059</x:v>
      </x:c>
      <x:c r="AM27" s="74" t="n">
        <x:f>MAX(Aggregate!$AL27*Scoring!$B$48+1,1)</x:f>
        <x:v>21.279957238795472</x:v>
      </x:c>
      <x:c r="AN27" s="75" t="n">
        <x:f>VLOOKUP(Aggregate!$AL27,BR:BT,3,FALSE)</x:f>
        <x:v>4</x:v>
      </x:c>
      <x:c r="AO27" s="77" t="n">
        <x:f t="array" ref="AO27">VLOOKUP(INDEX(ECR!$E:$E,MATCH(AD27,ECR!$C:$C,0)),RISK!A:B,2,FALSE())</x:f>
        <x:v>3.2394999999999996</x:v>
      </x:c>
      <x:c r="AP27" s="78"/>
      <x:c r="AQ27" s="87" t="s">
        <x:v>228</x:v>
      </x:c>
      <x:c r="AR27" s="87" t="str">
        <x:f>VLOOKUP(AQ27,ECR!E:L,8,FALSE())</x:f>
        <x:v>Kenyon Sadiq</x:v>
      </x:c>
      <x:c r="AS27" s="87" t="str">
        <x:f>IFERROR(VLOOKUP(Aggregate!$AR27,ECR!C:F,2,FALSE()),"-")</x:f>
        <x:v>NYJ</x:v>
      </x:c>
      <x:c r="AT27" s="87" t="n">
        <x:f>IFERROR(VLOOKUP(Aggregate!$AR27,ECR!C:F,4,FALSE()),"-")</x:f>
        <x:v>13</x:v>
      </x:c>
      <x:c r="AU27" s="87" t="str">
        <x:f>Aggregate!$AS27 &amp; "/" &amp; Aggregate!$AT27</x:f>
        <x:v>NYJ/13</x:v>
      </x:c>
      <x:c r="AV27" s="67" t="n">
        <x:f>IFERROR(VLOOKUP(Aggregate!$AR27,TE!A:K,9,FALSE())/17*(16-Aggregate!$BC27),0)</x:f>
        <x:v>60.65023529411765</x:v>
      </x:c>
      <x:c r="AW27" s="67" t="n">
        <x:f>IFERROR(VLOOKUP(Aggregate!$AR27,TE!A:K,10,FALSE())/17*(16-Aggregate!$BC27),0)</x:f>
        <x:v>82.52422147058823</x:v>
      </x:c>
      <x:c r="AX27" s="67" t="n">
        <x:f>IFERROR(VLOOKUP(Aggregate!$AR27,TE!A:K,11,FALSE())/17*(16-Aggregate!$BC27),0)</x:f>
        <x:v>106.0421482352941</x:v>
      </x:c>
      <x:c r="AY27" s="70" t="n">
        <x:f>AVERAGE(Aggregate!$AV27,Aggregate!$AW27,Aggregate!$AX27,VLOOKUP(Aggregate!$AR27,ECR!L:N,3,FALSE))</x:f>
        <x:v>82.4681300875</x:v>
      </x:c>
      <x:c r="AZ27" s="70" t="n">
        <x:f>Aggregate!$AY27-$AS$1</x:f>
        <x:v>-22.993408524264694</x:v>
      </x:c>
      <x:c r="BA27" s="74" t="n">
        <x:f>MAX(Aggregate!$AZ27*Scoring!$B$48+1,1)</x:f>
        <x:v>1</x:v>
      </x:c>
      <x:c r="BB27" s="67" t="n">
        <x:f>VLOOKUP(Aggregate!$AZ27,BW:BY,3,FALSE)</x:f>
        <x:v>6</x:v>
      </x:c>
      <x:c r="BC27" s="77" t="n">
        <x:f t="array" ref="BC27">VLOOKUP(INDEX(ECR!$E:$E,MATCH(AR27,ECR!$C:$C,0)),RISK!A:B,2,FALSE())</x:f>
        <x:v>2.4335000000000004</x:v>
      </x:c>
      <x:c r="BD27" s="67"/>
      <x:c r="BE27" s="78"/>
      <x:c r="BF27" s="78">
        <x:v>25.0</x:v>
      </x:c>
      <x:c r="BG27" s="78">
        <x:f t="shared" si="1"/>
        <x:v>192.5360941</x:v>
      </x:c>
      <x:c r="BH27" s="78" t="n">
        <x:f>IFERROR(LARGE($J$3:$J$52,25),"")</x:f>
        <x:v>-53.975461791176485</x:v>
      </x:c>
      <x:c r="BI27" s="78">
        <x:f t="shared" si="5"/>
        <x:v>-45.10294222</x:v>
      </x:c>
      <x:c r="BJ27" s="78">
        <x:f t="shared" si="6"/>
        <x:v>7</x:v>
      </x:c>
      <x:c r="BK27" s="89">
        <x:v>25.0</x:v>
      </x:c>
      <x:c r="BL27" s="78">
        <x:f t="shared" si="2"/>
        <x:v>138.4348712</x:v>
      </x:c>
      <x:c r="BM27" s="90" t="n">
        <x:f>IFERROR(LARGE($X$3:$X$102,25),"")</x:f>
        <x:v>12.411606602941163</x:v>
      </x:c>
      <x:c r="BN27" s="90">
        <x:f t="shared" si="7"/>
        <x:v>46.14932159</x:v>
      </x:c>
      <x:c r="BO27" s="91">
        <x:f t="shared" si="8"/>
        <x:v>5</x:v>
      </x:c>
      <x:c r="BP27" s="90">
        <x:v>25.0</x:v>
      </x:c>
      <x:c r="BQ27" s="78">
        <x:f t="shared" si="3"/>
        <x:v>130.0161776</x:v>
      </x:c>
      <x:c r="BR27" s="90" t="n">
        <x:f>IFERROR(LARGE($AL$3:$AL$102,25),"")</x:f>
        <x:v>28.85576634117649</x:v>
      </x:c>
      <x:c r="BS27" s="90">
        <x:f t="shared" si="9"/>
        <x:v>39.29246228</x:v>
      </x:c>
      <x:c r="BT27" s="90">
        <x:f t="shared" si="10"/>
        <x:v>4</x:v>
      </x:c>
      <x:c r="BU27" s="78">
        <x:v>25.0</x:v>
      </x:c>
      <x:c r="BV27" s="78">
        <x:f t="shared" si="4"/>
        <x:v>80.65591535</x:v>
      </x:c>
      <x:c r="BW27" s="90" t="n">
        <x:f>IFERROR(LARGE($AZ$3:$AZ$52,25),"")</x:f>
        <x:v>-23.785919714264693</x:v>
      </x:c>
      <x:c r="BX27" s="90">
        <x:f t="shared" si="11"/>
        <x:v>-15.79960654</x:v>
      </x:c>
      <x:c r="BY27" s="90">
        <x:f t="shared" si="12"/>
        <x:v>6</x:v>
      </x:c>
      <x:c r="BZ27" s="90"/>
      <x:c r="CA27" s="90"/>
      <x:c r="CB27" s="90"/>
      <x:c r="CC27" s="90"/>
      <x:c r="CD27" s="90"/>
      <x:c r="CE27" s="90"/>
      <x:c r="CF27" s="90"/>
      <x:c r="CG27" s="90"/>
    </x:row>
    <x:row r="28" ht="14.25" customHeight="1">
      <x:c r="A28" s="60" t="s">
        <x:v>229</x:v>
      </x:c>
      <x:c r="B28" s="60" t="str">
        <x:f>VLOOKUP(A28,ECR!E:L,8,FALSE())</x:f>
        <x:v>Bryce Young</x:v>
      </x:c>
      <x:c r="C28" s="63" t="str">
        <x:f>IFERROR(VLOOKUP(Aggregate!$B28,ECR!C:F,2,FALSE()),"-")</x:f>
        <x:v>CAR</x:v>
      </x:c>
      <x:c r="D28" s="63" t="n">
        <x:f>IFERROR(VLOOKUP(Aggregate!$B28,ECR!C:F,4,FALSE()),"-")</x:f>
        <x:v>5</x:v>
      </x:c>
      <x:c r="E28" s="63" t="str">
        <x:f>Aggregate!$C28 &amp; "/" &amp; Aggregate!$D28</x:f>
        <x:v>CAR/5</x:v>
      </x:c>
      <x:c r="F28" s="67" t="n">
        <x:f>IFERROR(VLOOKUP(Aggregate!$B28,QB!A:Q,15,FALSE())/17*(16-Aggregate!$M28),0)</x:f>
        <x:v>164.81882352941176</x:v>
      </x:c>
      <x:c r="G28" s="67" t="n">
        <x:f>IFERROR(VLOOKUP(Aggregate!$B28,QB!A:Q,16,FALSE())/17*(16-Aggregate!$M28),0)</x:f>
        <x:v>185.75962352941178</x:v>
      </x:c>
      <x:c r="H28" s="67" t="n">
        <x:f>IFERROR(VLOOKUP(Aggregate!$B28,QB!A:Q,17,FALSE())/17*(16-Aggregate!$M28),0)</x:f>
        <x:v>210.74221176470587</x:v>
      </x:c>
      <x:c r="I28" s="70" t="n">
        <x:f>AVERAGE(Aggregate!$F28,Aggregate!$G28,Aggregate!$H28,VLOOKUP(Aggregate!$B28,ECR!L:N,3,FALSE))</x:f>
        <x:v>184.49882353088233</x:v>
      </x:c>
      <x:c r="J28" s="70" t="n">
        <x:f>Aggregate!$I28-$C$1</x:f>
        <x:v>-53.975461791176485</x:v>
      </x:c>
      <x:c r="K28" s="74" t="n">
        <x:f>MAX(Aggregate!$J28*Scoring!$B$48+1,1)</x:f>
        <x:v>1</x:v>
      </x:c>
      <x:c r="L28" s="75" t="n">
        <x:f>VLOOKUP(Aggregate!$J28,BH:BJ,3,FALSE)</x:f>
        <x:v>7</x:v>
      </x:c>
      <x:c r="M28" s="77" t="n">
        <x:f t="array" ref="M28">VLOOKUP(INDEX(ECR!$E:$E,MATCH(B28,ECR!$C:$C,0)),RISK!A:B,2,FALSE())</x:f>
        <x:v>3.2</x:v>
      </x:c>
      <x:c r="N28" s="78"/>
      <x:c r="O28" s="75" t="s">
        <x:v>230</x:v>
      </x:c>
      <x:c r="P28" s="60" t="str">
        <x:f>VLOOKUP(O28,ECR!E:L,8,FALSE())</x:f>
        <x:v>Jadarian Price</x:v>
      </x:c>
      <x:c r="Q28" s="63" t="str">
        <x:f>IFERROR(VLOOKUP(Aggregate!$P28,ECR!C:F,2,FALSE()),"-")</x:f>
        <x:v>SEA</x:v>
      </x:c>
      <x:c r="R28" s="63" t="n">
        <x:f>IFERROR(VLOOKUP(Aggregate!$P28,ECR!C:F,4,FALSE()),"-")</x:f>
        <x:v>11</x:v>
      </x:c>
      <x:c r="S28" s="63" t="str">
        <x:f>Aggregate!$Q28 &amp; "/" &amp; Aggregate!$R28</x:f>
        <x:v>SEA/11</x:v>
      </x:c>
      <x:c r="T28" s="67" t="n">
        <x:f>IFERROR(VLOOKUP(Aggregate!$P28,RB!A:Q,13,FALSE())/17*(16-Aggregate!$AA28),0)</x:f>
        <x:v>135.10233827717647</x:v>
      </x:c>
      <x:c r="U28" s="67" t="n">
        <x:f>IFERROR(VLOOKUP(Aggregate!$P28,RB!A:Q,14,FALSE())/17*(16-Aggregate!$AA28),0)</x:f>
        <x:v>150.12372345364705</x:v>
      </x:c>
      <x:c r="V28" s="67" t="n">
        <x:f>IFERROR(VLOOKUP(Aggregate!$P28,RB!A:Q,15,FALSE())/17*(16-Aggregate!$AA28),0)</x:f>
        <x:v>164.44324604188236</x:v>
      </x:c>
      <x:c r="W28" s="70" t="n">
        <x:f>AVERAGE(Aggregate!$T28,Aggregate!$U28,Aggregate!$V28,VLOOKUP(Aggregate!$P28,ECR!L:N,3,FALSE))</x:f>
        <x:v>145.73356076817646</x:v>
      </x:c>
      <x:c r="X28" s="70" t="n">
        <x:f>Aggregate!$W28-$Q$1</x:f>
        <x:v>15.733231643176453</x:v>
      </x:c>
      <x:c r="Y28" s="74" t="n">
        <x:f>MAX(Aggregate!$X28*Scoring!$B$48+1,1)</x:f>
        <x:v>10.472900905304265</x:v>
      </x:c>
      <x:c r="Z28" s="75" t="n">
        <x:f>VLOOKUP(Aggregate!$X28,BM:BO,3,FALSE)</x:f>
        <x:v>5</x:v>
      </x:c>
      <x:c r="AA28" s="77" t="n">
        <x:f t="array" ref="AA28">VLOOKUP(INDEX(ECR!$E:$E,MATCH(P28,ECR!$C:$C,0)),RISK!A:B,2,FALSE())</x:f>
        <x:v>3.0307999999999993</x:v>
      </x:c>
      <x:c r="AB28" s="78"/>
      <x:c r="AC28" s="63" t="s">
        <x:v>231</x:v>
      </x:c>
      <x:c r="AD28" s="63" t="str">
        <x:f>VLOOKUP(AC28,ECR!E:L,8,FALSE())</x:f>
        <x:v>DJ Moore</x:v>
      </x:c>
      <x:c r="AE28" s="63" t="str">
        <x:f>IFERROR(VLOOKUP(Aggregate!$AD28,ECR!C:F,2,FALSE()),"-")</x:f>
        <x:v>BUF</x:v>
      </x:c>
      <x:c r="AF28" s="63" t="n">
        <x:f>IFERROR(VLOOKUP(Aggregate!$AD28,ECR!C:F,4,FALSE()),"-")</x:f>
        <x:v>7</x:v>
      </x:c>
      <x:c r="AG28" s="63" t="str">
        <x:f>Aggregate!$AE28 &amp; "/" &amp; Aggregate!$AF28</x:f>
        <x:v>BUF/7</x:v>
      </x:c>
      <x:c r="AH28" s="67" t="n">
        <x:f>IFERROR(VLOOKUP(Aggregate!$AD28,WR!A:Q,13,FALSE())/17*(16-Aggregate!$AO28),0)</x:f>
        <x:v>114.09384705882353</x:v>
      </x:c>
      <x:c r="AI28" s="67" t="n">
        <x:f>IFERROR(VLOOKUP(Aggregate!$AD28,WR!A:Q,14,FALSE())/17*(16-Aggregate!$AO28),0)</x:f>
        <x:v>130.0161776470588</x:v>
      </x:c>
      <x:c r="AJ28" s="67" t="n">
        <x:f>IFERROR(VLOOKUP(Aggregate!$AD28,WR!A:Q,15,FALSE())/17*(16-Aggregate!$AO28),0)</x:f>
        <x:v>143.38316470588236</x:v>
      </x:c>
      <x:c r="AK28" s="70" t="n">
        <x:f>AVERAGE(Aggregate!$AH28,Aggregate!$AI28,Aggregate!$AJ28,VLOOKUP(Aggregate!$AD28,ECR!L:N,3,FALSE))</x:f>
        <x:v>129.23198075294115</x:v>
      </x:c>
      <x:c r="AL28" s="70" t="n">
        <x:f>Aggregate!$AK28-$AE$1</x:f>
        <x:v>27.037068995588214</x:v>
      </x:c>
      <x:c r="AM28" s="74" t="n">
        <x:f>MAX(Aggregate!$AL28*Scoring!$B$48+1,1)</x:f>
        <x:v>17.278885430137375</x:v>
      </x:c>
      <x:c r="AN28" s="75" t="n">
        <x:f>VLOOKUP(Aggregate!$AL28,BR:BT,3,FALSE)</x:f>
        <x:v>4</x:v>
      </x:c>
      <x:c r="AO28" s="77" t="n">
        <x:f t="array" ref="AO28">VLOOKUP(INDEX(ECR!$E:$E,MATCH(AD28,ECR!$C:$C,0)),RISK!A:B,2,FALSE())</x:f>
        <x:v>3.298</x:v>
      </x:c>
      <x:c r="AP28" s="78"/>
      <x:c r="AQ28" s="87" t="s">
        <x:v>232</x:v>
      </x:c>
      <x:c r="AR28" s="87" t="str">
        <x:f>VLOOKUP(AQ28,ECR!E:L,8,FALSE())</x:f>
        <x:v>Gunnar Helm</x:v>
      </x:c>
      <x:c r="AS28" s="87" t="str">
        <x:f>IFERROR(VLOOKUP(Aggregate!$AR28,ECR!C:F,2,FALSE()),"-")</x:f>
        <x:v>TEN</x:v>
      </x:c>
      <x:c r="AT28" s="87" t="n">
        <x:f>IFERROR(VLOOKUP(Aggregate!$AR28,ECR!C:F,4,FALSE()),"-")</x:f>
        <x:v>9</x:v>
      </x:c>
      <x:c r="AU28" s="87" t="str">
        <x:f>Aggregate!$AS28 &amp; "/" &amp; Aggregate!$AT28</x:f>
        <x:v>TEN/9</x:v>
      </x:c>
      <x:c r="AV28" s="67" t="n">
        <x:f>IFERROR(VLOOKUP(Aggregate!$AR28,TE!A:K,9,FALSE())/17*(16-Aggregate!$BC28),0)</x:f>
        <x:v>62.10211764705882</x:v>
      </x:c>
      <x:c r="AW28" s="67" t="n">
        <x:f>IFERROR(VLOOKUP(Aggregate!$AR28,TE!A:K,10,FALSE())/17*(16-Aggregate!$BC28),0)</x:f>
        <x:v>70.01331764705881</x:v>
      </x:c>
      <x:c r="AX28" s="67" t="n">
        <x:f>IFERROR(VLOOKUP(Aggregate!$AR28,TE!A:K,11,FALSE())/17*(16-Aggregate!$BC28),0)</x:f>
        <x:v>79.0879294117647</x:v>
      </x:c>
      <x:c r="AY28" s="70" t="n">
        <x:f>AVERAGE(Aggregate!$AV28,Aggregate!$AW28,Aggregate!$AX28,VLOOKUP(Aggregate!$AR28,ECR!L:N,3,FALSE))</x:f>
        <x:v>72.47021742647058</x:v>
      </x:c>
      <x:c r="AZ28" s="70" t="n">
        <x:f>Aggregate!$AY28-$AS$1</x:f>
        <x:v>-32.99132118529411</x:v>
      </x:c>
      <x:c r="BA28" s="74" t="n">
        <x:f>MAX(Aggregate!$AZ28*Scoring!$B$48+1,1)</x:f>
        <x:v>1</x:v>
      </x:c>
      <x:c r="BB28" s="67" t="n">
        <x:f>VLOOKUP(Aggregate!$AZ28,BW:BY,3,FALSE)</x:f>
        <x:v>7</x:v>
      </x:c>
      <x:c r="BC28" s="77" t="n">
        <x:f t="array" ref="BC28">VLOOKUP(INDEX(ECR!$E:$E,MATCH(AR28,ECR!$C:$C,0)),RISK!A:B,2,FALSE())</x:f>
        <x:v>2.360000000000001</x:v>
      </x:c>
      <x:c r="BD28" s="67"/>
      <x:c r="BE28" s="78"/>
      <x:c r="BF28" s="78">
        <x:v>26.0</x:v>
      </x:c>
      <x:c r="BG28" s="78">
        <x:f t="shared" si="1"/>
        <x:v>176.6746353</x:v>
      </x:c>
      <x:c r="BH28" s="78" t="n">
        <x:f>IFERROR(LARGE($J$3:$J$52,26),"")</x:f>
        <x:v>-61.31513237941178</x:v>
      </x:c>
      <x:c r="BI28" s="78">
        <x:f t="shared" si="5"/>
        <x:v>-63.98218281</x:v>
      </x:c>
      <x:c r="BJ28" s="78">
        <x:f t="shared" si="6"/>
        <x:v>8</x:v>
      </x:c>
      <x:c r="BK28" s="89">
        <x:v>26.0</x:v>
      </x:c>
      <x:c r="BL28" s="78">
        <x:f t="shared" si="2"/>
        <x:v>133.2649353</x:v>
      </x:c>
      <x:c r="BM28" s="90" t="n">
        <x:f>IFERROR(LARGE($X$3:$X$102,26),"")</x:f>
        <x:v>4.564733674999985</x:v>
      </x:c>
      <x:c r="BN28" s="90">
        <x:f t="shared" si="7"/>
        <x:v>46.14932159</x:v>
      </x:c>
      <x:c r="BO28" s="91">
        <x:f t="shared" si="8"/>
        <x:v>5</x:v>
      </x:c>
      <x:c r="BP28" s="90">
        <x:v>26.0</x:v>
      </x:c>
      <x:c r="BQ28" s="78">
        <x:f t="shared" si="3"/>
        <x:v>129.4347336</x:v>
      </x:c>
      <x:c r="BR28" s="90" t="n">
        <x:f>IFERROR(LARGE($AL$3:$AL$102,26),"")</x:f>
        <x:v>27.037068995588214</x:v>
      </x:c>
      <x:c r="BS28" s="90">
        <x:f t="shared" si="9"/>
        <x:v>39.29246228</x:v>
      </x:c>
      <x:c r="BT28" s="90">
        <x:f t="shared" si="10"/>
        <x:v>4</x:v>
      </x:c>
      <x:c r="BU28" s="78">
        <x:v>26.0</x:v>
      </x:c>
      <x:c r="BV28" s="78">
        <x:f t="shared" si="4"/>
        <x:v>78.677505</x:v>
      </x:c>
      <x:c r="BW28" s="90" t="n">
        <x:f>IFERROR(LARGE($AZ$3:$AZ$52,26),"")</x:f>
        <x:v>-24.335909759411763</x:v>
      </x:c>
      <x:c r="BX28" s="90">
        <x:f t="shared" si="11"/>
        <x:v>-15.79960654</x:v>
      </x:c>
      <x:c r="BY28" s="90">
        <x:f t="shared" si="12"/>
        <x:v>6</x:v>
      </x:c>
      <x:c r="BZ28" s="90"/>
      <x:c r="CA28" s="90"/>
      <x:c r="CB28" s="90"/>
      <x:c r="CC28" s="90"/>
      <x:c r="CD28" s="90"/>
      <x:c r="CE28" s="90"/>
      <x:c r="CF28" s="90"/>
      <x:c r="CG28" s="90"/>
    </x:row>
    <x:row r="29" ht="14.25" customHeight="1">
      <x:c r="A29" s="60" t="s">
        <x:v>233</x:v>
      </x:c>
      <x:c r="B29" s="60" t="str">
        <x:f>VLOOKUP(A29,ECR!E:L,8,FALSE())</x:f>
        <x:v>Jacoby Brissett</x:v>
      </x:c>
      <x:c r="C29" s="63" t="str">
        <x:f>IFERROR(VLOOKUP(Aggregate!$B29,ECR!C:F,2,FALSE()),"-")</x:f>
        <x:v>ARI</x:v>
      </x:c>
      <x:c r="D29" s="63" t="n">
        <x:f>IFERROR(VLOOKUP(Aggregate!$B29,ECR!C:F,4,FALSE()),"-")</x:f>
        <x:v>14</x:v>
      </x:c>
      <x:c r="E29" s="63" t="str">
        <x:f>Aggregate!$C29 &amp; "/" &amp; Aggregate!$D29</x:f>
        <x:v>ARI/14</x:v>
      </x:c>
      <x:c r="F29" s="67" t="n">
        <x:f>IFERROR(VLOOKUP(Aggregate!$B29,QB!A:Q,15,FALSE())/17*(16-Aggregate!$M29),0)</x:f>
        <x:v>141.23670588235296</x:v>
      </x:c>
      <x:c r="G29" s="67" t="n">
        <x:f>IFERROR(VLOOKUP(Aggregate!$B29,QB!A:Q,16,FALSE())/17*(16-Aggregate!$M29),0)</x:f>
        <x:v>169.45844705882354</x:v>
      </x:c>
      <x:c r="H29" s="67" t="n">
        <x:f>IFERROR(VLOOKUP(Aggregate!$B29,QB!A:Q,17,FALSE())/17*(16-Aggregate!$M29),0)</x:f>
        <x:v>197.5115294117647</x:v>
      </x:c>
      <x:c r="I29" s="70" t="n">
        <x:f>AVERAGE(Aggregate!$F29,Aggregate!$G29,Aggregate!$H29,VLOOKUP(Aggregate!$B29,ECR!L:N,3,FALSE))</x:f>
        <x:v>170.8039529382353</x:v>
      </x:c>
      <x:c r="J29" s="70" t="n">
        <x:f>Aggregate!$I29-$C$1</x:f>
        <x:v>-67.6703323838235</x:v>
      </x:c>
      <x:c r="K29" s="74" t="n">
        <x:f>MAX(Aggregate!$J29*Scoring!$B$48+1,1)</x:f>
        <x:v>1</x:v>
      </x:c>
      <x:c r="L29" s="75" t="n">
        <x:f>VLOOKUP(Aggregate!$J29,BH:BJ,3,FALSE)</x:f>
        <x:v>8</x:v>
      </x:c>
      <x:c r="M29" s="77" t="n">
        <x:f t="array" ref="M29">VLOOKUP(INDEX(ECR!$E:$E,MATCH(B29,ECR!$C:$C,0)),RISK!A:B,2,FALSE())</x:f>
        <x:v>3.2</x:v>
      </x:c>
      <x:c r="N29" s="78"/>
      <x:c r="O29" s="75" t="s">
        <x:v>234</x:v>
      </x:c>
      <x:c r="P29" s="60" t="str">
        <x:f>VLOOKUP(O29,ECR!E:L,8,FALSE())</x:f>
        <x:v>Rhamondre Stevenson</x:v>
      </x:c>
      <x:c r="Q29" s="63" t="str">
        <x:f>IFERROR(VLOOKUP(Aggregate!$P29,ECR!C:F,2,FALSE()),"-")</x:f>
        <x:v>NE</x:v>
      </x:c>
      <x:c r="R29" s="63" t="n">
        <x:f>IFERROR(VLOOKUP(Aggregate!$P29,ECR!C:F,4,FALSE()),"-")</x:f>
        <x:v>11</x:v>
      </x:c>
      <x:c r="S29" s="63" t="str">
        <x:f>Aggregate!$Q29 &amp; "/" &amp; Aggregate!$R29</x:f>
        <x:v>NE/11</x:v>
      </x:c>
      <x:c r="T29" s="67" t="n">
        <x:f>IFERROR(VLOOKUP(Aggregate!$P29,RB!A:Q,13,FALSE())/17*(16-Aggregate!$AA29),0)</x:f>
        <x:v>119.46366000000002</x:v>
      </x:c>
      <x:c r="U29" s="67" t="n">
        <x:f>IFERROR(VLOOKUP(Aggregate!$P29,RB!A:Q,14,FALSE())/17*(16-Aggregate!$AA29),0)</x:f>
        <x:v>130.77045</x:v>
      </x:c>
      <x:c r="V29" s="67" t="n">
        <x:f>IFERROR(VLOOKUP(Aggregate!$P29,RB!A:Q,15,FALSE())/17*(16-Aggregate!$AA29),0)</x:f>
        <x:v>138.947886</x:v>
      </x:c>
      <x:c r="W29" s="70" t="n">
        <x:f>AVERAGE(Aggregate!$T29,Aggregate!$U29,Aggregate!$V29,VLOOKUP(Aggregate!$P29,ECR!L:N,3,FALSE))</x:f>
        <x:v>130.000329125</x:v>
      </x:c>
      <x:c r="X29" s="70" t="n">
        <x:f>Aggregate!$W29-$Q$1</x:f>
        <x:v>0</x:v>
      </x:c>
      <x:c r="Y29" s="74" t="n">
        <x:f>MAX(Aggregate!$X29*Scoring!$B$48+1,1)</x:f>
        <x:v>1</x:v>
      </x:c>
      <x:c r="Z29" s="75" t="n">
        <x:f>VLOOKUP(Aggregate!$X29,BM:BO,3,FALSE)</x:f>
        <x:v>5</x:v>
      </x:c>
      <x:c r="AA29" s="77" t="n">
        <x:f t="array" ref="AA29">VLOOKUP(INDEX(ECR!$E:$E,MATCH(P29,ECR!$C:$C,0)),RISK!A:B,2,FALSE())</x:f>
        <x:v>3.0561999999999987</x:v>
      </x:c>
      <x:c r="AB29" s="78"/>
      <x:c r="AC29" s="63" t="s">
        <x:v>235</x:v>
      </x:c>
      <x:c r="AD29" s="63" t="str">
        <x:f>VLOOKUP(AC29,ECR!E:L,8,FALSE())</x:f>
        <x:v>Christian Watson</x:v>
      </x:c>
      <x:c r="AE29" s="63" t="str">
        <x:f>IFERROR(VLOOKUP(Aggregate!$AD29,ECR!C:F,2,FALSE()),"-")</x:f>
        <x:v>GB</x:v>
      </x:c>
      <x:c r="AF29" s="63" t="n">
        <x:f>IFERROR(VLOOKUP(Aggregate!$AD29,ECR!C:F,4,FALSE()),"-")</x:f>
        <x:v>11</x:v>
      </x:c>
      <x:c r="AG29" s="63" t="str">
        <x:f>Aggregate!$AE29 &amp; "/" &amp; Aggregate!$AF29</x:f>
        <x:v>GB/11</x:v>
      </x:c>
      <x:c r="AH29" s="67" t="n">
        <x:f>IFERROR(VLOOKUP(Aggregate!$AD29,WR!A:Q,13,FALSE())/17*(16-Aggregate!$AO29),0)</x:f>
        <x:v>114.99618958823531</x:v>
      </x:c>
      <x:c r="AI29" s="67" t="n">
        <x:f>IFERROR(VLOOKUP(Aggregate!$AD29,WR!A:Q,14,FALSE())/17*(16-Aggregate!$AO29),0)</x:f>
        <x:v>123.43068147058824</x:v>
      </x:c>
      <x:c r="AJ29" s="67" t="n">
        <x:f>IFERROR(VLOOKUP(Aggregate!$AD29,WR!A:Q,15,FALSE())/17*(16-Aggregate!$AO29),0)</x:f>
        <x:v>134.3345307647059</x:v>
      </x:c>
      <x:c r="AK29" s="70" t="n">
        <x:f>AVERAGE(Aggregate!$AH29,Aggregate!$AI29,Aggregate!$AJ29,VLOOKUP(Aggregate!$AD29,ECR!L:N,3,FALSE))</x:f>
        <x:v>125.22993600588237</x:v>
      </x:c>
      <x:c r="AL29" s="70" t="n">
        <x:f>Aggregate!$AK29-$AE$1</x:f>
        <x:v>23.035024248529425</x:v>
      </x:c>
      <x:c r="AM29" s="74" t="n">
        <x:f>MAX(Aggregate!$AL29*Scoring!$B$48+1,1)</x:f>
        <x:v>14.869274094889317</x:v>
      </x:c>
      <x:c r="AN29" s="75" t="n">
        <x:f>VLOOKUP(Aggregate!$AL29,BR:BT,3,FALSE)</x:f>
        <x:v>4</x:v>
      </x:c>
      <x:c r="AO29" s="77" t="n">
        <x:f t="array" ref="AO29">VLOOKUP(INDEX(ECR!$E:$E,MATCH(AD29,ECR!$C:$C,0)),RISK!A:B,2,FALSE())</x:f>
        <x:v>3.355699999999999</x:v>
      </x:c>
      <x:c r="AP29" s="78"/>
      <x:c r="AQ29" s="87" t="s">
        <x:v>236</x:v>
      </x:c>
      <x:c r="AR29" s="87" t="str">
        <x:f>VLOOKUP(AQ29,ECR!E:L,8,FALSE())</x:f>
        <x:v>Cade Otton</x:v>
      </x:c>
      <x:c r="AS29" s="87" t="str">
        <x:f>IFERROR(VLOOKUP(Aggregate!$AR29,ECR!C:F,2,FALSE()),"-")</x:f>
        <x:v>TB</x:v>
      </x:c>
      <x:c r="AT29" s="87" t="n">
        <x:f>IFERROR(VLOOKUP(Aggregate!$AR29,ECR!C:F,4,FALSE()),"-")</x:f>
        <x:v>10</x:v>
      </x:c>
      <x:c r="AU29" s="87" t="str">
        <x:f>Aggregate!$AS29 &amp; "/" &amp; Aggregate!$AT29</x:f>
        <x:v>TB/10</x:v>
      </x:c>
      <x:c r="AV29" s="67" t="n">
        <x:f>IFERROR(VLOOKUP(Aggregate!$AR29,TE!A:K,9,FALSE())/17*(16-Aggregate!$BC29),0)</x:f>
        <x:v>64.37861311764705</x:v>
      </x:c>
      <x:c r="AW29" s="67" t="n">
        <x:f>IFERROR(VLOOKUP(Aggregate!$AR29,TE!A:K,10,FALSE())/17*(16-Aggregate!$BC29),0)</x:f>
        <x:v>82.02886094117645</x:v>
      </x:c>
      <x:c r="AX29" s="67" t="n">
        <x:f>IFERROR(VLOOKUP(Aggregate!$AR29,TE!A:K,11,FALSE())/17*(16-Aggregate!$BC29),0)</x:f>
        <x:v>103.46418705882351</x:v>
      </x:c>
      <x:c r="AY29" s="70" t="n">
        <x:f>AVERAGE(Aggregate!$AV29,Aggregate!$AW29,Aggregate!$AX29,VLOOKUP(Aggregate!$AR29,ECR!L:N,3,FALSE))</x:f>
        <x:v>81.95801829441174</x:v>
      </x:c>
      <x:c r="AZ29" s="70" t="n">
        <x:f>Aggregate!$AY29-$AS$1</x:f>
        <x:v>-23.50352031735295</x:v>
      </x:c>
      <x:c r="BA29" s="74" t="n">
        <x:f>MAX(Aggregate!$AZ29*Scoring!$B$48+1,1)</x:f>
        <x:v>1</x:v>
      </x:c>
      <x:c r="BB29" s="67" t="n">
        <x:f>VLOOKUP(Aggregate!$AZ29,BW:BY,3,FALSE)</x:f>
        <x:v>6</x:v>
      </x:c>
      <x:c r="BC29" s="77" t="n">
        <x:f t="array" ref="BC29">VLOOKUP(INDEX(ECR!$E:$E,MATCH(AR29,ECR!$C:$C,0)),RISK!A:B,2,FALSE())</x:f>
        <x:v>2.280100000000001</x:v>
      </x:c>
      <x:c r="BD29" s="67"/>
      <x:c r="BE29" s="78"/>
      <x:c r="BF29" s="78">
        <x:v>27.0</x:v>
      </x:c>
      <x:c r="BG29" s="78">
        <x:f t="shared" si="1"/>
        <x:v>175.0091294</x:v>
      </x:c>
      <x:c r="BH29" s="78" t="n">
        <x:f>IFERROR(LARGE($J$3:$J$52,27),"")</x:f>
        <x:v>-67.6703323838235</x:v>
      </x:c>
      <x:c r="BI29" s="78">
        <x:f t="shared" si="5"/>
        <x:v>-63.98218281</x:v>
      </x:c>
      <x:c r="BJ29" s="78">
        <x:f t="shared" si="6"/>
        <x:v>8</x:v>
      </x:c>
      <x:c r="BK29" s="89">
        <x:v>27.0</x:v>
      </x:c>
      <x:c r="BL29" s="78">
        <x:f t="shared" si="2"/>
        <x:v>130.8193205</x:v>
      </x:c>
      <x:c r="BM29" s="90" t="n">
        <x:f>IFERROR(LARGE($X$3:$X$102,27),"")</x:f>
        <x:v>0.6301038161764438</x:v>
      </x:c>
      <x:c r="BN29" s="90">
        <x:f t="shared" si="7"/>
        <x:v>46.14932159</x:v>
      </x:c>
      <x:c r="BO29" s="91">
        <x:f t="shared" si="8"/>
        <x:v>5</x:v>
      </x:c>
      <x:c r="BP29" s="90">
        <x:v>27.0</x:v>
      </x:c>
      <x:c r="BQ29" s="78">
        <x:f t="shared" si="3"/>
        <x:v>128.1583422</x:v>
      </x:c>
      <x:c r="BR29" s="90" t="n">
        <x:f>IFERROR(LARGE($AL$3:$AL$102,27),"")</x:f>
        <x:v>24.87918572058824</x:v>
      </x:c>
      <x:c r="BS29" s="90">
        <x:f t="shared" si="9"/>
        <x:v>39.29246228</x:v>
      </x:c>
      <x:c r="BT29" s="90">
        <x:f t="shared" si="10"/>
        <x:v>4</x:v>
      </x:c>
      <x:c r="BU29" s="78">
        <x:v>27.0</x:v>
      </x:c>
      <x:c r="BV29" s="78">
        <x:f t="shared" si="4"/>
        <x:v>77.96041206</x:v>
      </x:c>
      <x:c r="BW29" s="90" t="n">
        <x:f>IFERROR(LARGE($AZ$3:$AZ$52,27),"")</x:f>
        <x:v>-24.418927729999993</x:v>
      </x:c>
      <x:c r="BX29" s="90">
        <x:f t="shared" si="11"/>
        <x:v>-15.79960654</x:v>
      </x:c>
      <x:c r="BY29" s="90">
        <x:f t="shared" si="12"/>
        <x:v>6</x:v>
      </x:c>
      <x:c r="BZ29" s="90"/>
      <x:c r="CA29" s="90"/>
      <x:c r="CB29" s="90"/>
      <x:c r="CC29" s="90"/>
      <x:c r="CD29" s="90"/>
      <x:c r="CE29" s="90"/>
      <x:c r="CF29" s="90"/>
      <x:c r="CG29" s="90"/>
    </x:row>
    <x:row r="30" ht="14.25" customHeight="1">
      <x:c r="A30" s="60" t="s">
        <x:v>237</x:v>
      </x:c>
      <x:c r="B30" s="60" t="str">
        <x:f>VLOOKUP(A30,ECR!E:L,8,FALSE())</x:f>
        <x:v>Geno Smith</x:v>
      </x:c>
      <x:c r="C30" s="63" t="str">
        <x:f>IFERROR(VLOOKUP(Aggregate!$B30,ECR!C:F,2,FALSE()),"-")</x:f>
        <x:v>NYJ</x:v>
      </x:c>
      <x:c r="D30" s="63" t="n">
        <x:f>IFERROR(VLOOKUP(Aggregate!$B30,ECR!C:F,4,FALSE()),"-")</x:f>
        <x:v>13</x:v>
      </x:c>
      <x:c r="E30" s="63" t="str">
        <x:f>Aggregate!$C30 &amp; "/" &amp; Aggregate!$D30</x:f>
        <x:v>NYJ/13</x:v>
      </x:c>
      <x:c r="F30" s="67" t="n">
        <x:f>IFERROR(VLOOKUP(Aggregate!$B30,QB!A:Q,15,FALSE())/17*(16-Aggregate!$M30),0)</x:f>
        <x:v>139.79105882352943</x:v>
      </x:c>
      <x:c r="G30" s="67" t="n">
        <x:f>IFERROR(VLOOKUP(Aggregate!$B30,QB!A:Q,16,FALSE())/17*(16-Aggregate!$M30),0)</x:f>
        <x:v>167.18757647058828</x:v>
      </x:c>
      <x:c r="H30" s="67" t="n">
        <x:f>IFERROR(VLOOKUP(Aggregate!$B30,QB!A:Q,17,FALSE())/17*(16-Aggregate!$M30),0)</x:f>
        <x:v>192.08432941176468</x:v>
      </x:c>
      <x:c r="I30" s="70" t="n">
        <x:f>AVERAGE(Aggregate!$F30,Aggregate!$G30,Aggregate!$H30,VLOOKUP(Aggregate!$B30,ECR!L:N,3,FALSE))</x:f>
        <x:v>168.18447057647057</x:v>
      </x:c>
      <x:c r="J30" s="70" t="n">
        <x:f>Aggregate!$I30-$C$1</x:f>
        <x:v>-70.28981474558825</x:v>
      </x:c>
      <x:c r="K30" s="74" t="n">
        <x:f>MAX(Aggregate!$J30*Scoring!$B$48+1,1)</x:f>
        <x:v>1</x:v>
      </x:c>
      <x:c r="L30" s="75" t="n">
        <x:f>VLOOKUP(Aggregate!$J30,BH:BJ,3,FALSE)</x:f>
        <x:v>8</x:v>
      </x:c>
      <x:c r="M30" s="77" t="n">
        <x:f t="array" ref="M30">VLOOKUP(INDEX(ECR!$E:$E,MATCH(B30,ECR!$C:$C,0)),RISK!A:B,2,FALSE())</x:f>
        <x:v>3.2</x:v>
      </x:c>
      <x:c r="N30" s="78"/>
      <x:c r="O30" s="75" t="s">
        <x:v>238</x:v>
      </x:c>
      <x:c r="P30" s="60" t="str">
        <x:f>VLOOKUP(O30,ECR!E:L,8,FALSE())</x:f>
        <x:v>Jaylen Warren</x:v>
      </x:c>
      <x:c r="Q30" s="63" t="str">
        <x:f>IFERROR(VLOOKUP(Aggregate!$P30,ECR!C:F,2,FALSE()),"-")</x:f>
        <x:v>PIT</x:v>
      </x:c>
      <x:c r="R30" s="63" t="n">
        <x:f>IFERROR(VLOOKUP(Aggregate!$P30,ECR!C:F,4,FALSE()),"-")</x:f>
        <x:v>9</x:v>
      </x:c>
      <x:c r="S30" s="63" t="str">
        <x:f>Aggregate!$Q30 &amp; "/" &amp; Aggregate!$R30</x:f>
        <x:v>PIT/9</x:v>
      </x:c>
      <x:c r="T30" s="67" t="n">
        <x:f>IFERROR(VLOOKUP(Aggregate!$P30,RB!A:Q,13,FALSE())/17*(16-Aggregate!$AA30),0)</x:f>
        <x:v>122.97745599999999</x:v>
      </x:c>
      <x:c r="U30" s="67" t="n">
        <x:f>IFERROR(VLOOKUP(Aggregate!$P30,RB!A:Q,14,FALSE())/17*(16-Aggregate!$AA30),0)</x:f>
        <x:v>130.81932047058822</x:v>
      </x:c>
      <x:c r="V30" s="67" t="n">
        <x:f>IFERROR(VLOOKUP(Aggregate!$P30,RB!A:Q,15,FALSE())/17*(16-Aggregate!$AA30),0)</x:f>
        <x:v>137.95450529411764</x:v>
      </x:c>
      <x:c r="W30" s="70" t="n">
        <x:f>AVERAGE(Aggregate!$T30,Aggregate!$U30,Aggregate!$V30,VLOOKUP(Aggregate!$P30,ECR!L:N,3,FALSE))</x:f>
        <x:v>130.63043294117645</x:v>
      </x:c>
      <x:c r="X30" s="70" t="n">
        <x:f>Aggregate!$W30-$Q$1</x:f>
        <x:v>0.6301038161764438</x:v>
      </x:c>
      <x:c r="Y30" s="74" t="n">
        <x:f>MAX(Aggregate!$X30*Scoring!$B$48+1,1)</x:f>
        <x:v>1.3793823892043338</x:v>
      </x:c>
      <x:c r="Z30" s="75" t="n">
        <x:f>VLOOKUP(Aggregate!$X30,BM:BO,3,FALSE)</x:f>
        <x:v>5</x:v>
      </x:c>
      <x:c r="AA30" s="77" t="n">
        <x:f t="array" ref="AA30">VLOOKUP(INDEX(ECR!$E:$E,MATCH(P30,ECR!$C:$C,0)),RISK!A:B,2,FALSE())</x:f>
        <x:v>3.0822000000000003</x:v>
      </x:c>
      <x:c r="AB30" s="78"/>
      <x:c r="AC30" s="63" t="s">
        <x:v>239</x:v>
      </x:c>
      <x:c r="AD30" s="63" t="str">
        <x:f>VLOOKUP(AC30,ECR!E:L,8,FALSE())</x:f>
        <x:v>Mike Evans</x:v>
      </x:c>
      <x:c r="AE30" s="63" t="str">
        <x:f>IFERROR(VLOOKUP(Aggregate!$AD30,ECR!C:F,2,FALSE()),"-")</x:f>
        <x:v>SF</x:v>
      </x:c>
      <x:c r="AF30" s="63" t="n">
        <x:f>IFERROR(VLOOKUP(Aggregate!$AD30,ECR!C:F,4,FALSE()),"-")</x:f>
        <x:v>8</x:v>
      </x:c>
      <x:c r="AG30" s="63" t="str">
        <x:f>Aggregate!$AE30 &amp; "/" &amp; Aggregate!$AF30</x:f>
        <x:v>SF/8</x:v>
      </x:c>
      <x:c r="AH30" s="67" t="n">
        <x:f>IFERROR(VLOOKUP(Aggregate!$AD30,WR!A:Q,13,FALSE())/17*(16-Aggregate!$AO30),0)</x:f>
        <x:v>113.63460458823529</x:v>
      </x:c>
      <x:c r="AI30" s="67" t="n">
        <x:f>IFERROR(VLOOKUP(Aggregate!$AD30,WR!A:Q,14,FALSE())/17*(16-Aggregate!$AO30),0)</x:f>
        <x:v>125.999874</x:v>
      </x:c>
      <x:c r="AJ30" s="67" t="n">
        <x:f>IFERROR(VLOOKUP(Aggregate!$AD30,WR!A:Q,15,FALSE())/17*(16-Aggregate!$AO30),0)</x:f>
        <x:v>136.8324423529412</x:v>
      </x:c>
      <x:c r="AK30" s="70" t="n">
        <x:f>AVERAGE(Aggregate!$AH30,Aggregate!$AI30,Aggregate!$AJ30,VLOOKUP(Aggregate!$AD30,ECR!L:N,3,FALSE))</x:f>
        <x:v>125.61669873529414</x:v>
      </x:c>
      <x:c r="AL30" s="70" t="n">
        <x:f>Aggregate!$AK30-$AE$1</x:f>
        <x:v>23.421786977941196</x:v>
      </x:c>
      <x:c r="AM30" s="74" t="n">
        <x:f>MAX(Aggregate!$AL30*Scoring!$B$48+1,1)</x:f>
        <x:v>15.102142020098547</x:v>
      </x:c>
      <x:c r="AN30" s="75" t="n">
        <x:f>VLOOKUP(Aggregate!$AL30,BR:BT,3,FALSE)</x:f>
        <x:v>4</x:v>
      </x:c>
      <x:c r="AO30" s="77" t="n">
        <x:f t="array" ref="AO30">VLOOKUP(INDEX(ECR!$E:$E,MATCH(AD30,ECR!$C:$C,0)),RISK!A:B,2,FALSE())</x:f>
        <x:v>3.4125999999999994</x:v>
      </x:c>
      <x:c r="AP30" s="78"/>
      <x:c r="AQ30" s="87" t="s">
        <x:v>240</x:v>
      </x:c>
      <x:c r="AR30" s="87" t="str">
        <x:f>VLOOKUP(AQ30,ECR!E:L,8,FALSE())</x:f>
        <x:v>Pat Freiermuth</x:v>
      </x:c>
      <x:c r="AS30" s="87" t="str">
        <x:f>IFERROR(VLOOKUP(Aggregate!$AR30,ECR!C:F,2,FALSE()),"-")</x:f>
        <x:v>PIT</x:v>
      </x:c>
      <x:c r="AT30" s="87" t="n">
        <x:f>IFERROR(VLOOKUP(Aggregate!$AR30,ECR!C:F,4,FALSE()),"-")</x:f>
        <x:v>9</x:v>
      </x:c>
      <x:c r="AU30" s="87" t="str">
        <x:f>Aggregate!$AS30 &amp; "/" &amp; Aggregate!$AT30</x:f>
        <x:v>PIT/9</x:v>
      </x:c>
      <x:c r="AV30" s="67" t="n">
        <x:f>IFERROR(VLOOKUP(Aggregate!$AR30,TE!A:K,9,FALSE())/17*(16-Aggregate!$BC30),0)</x:f>
        <x:v>73.4164988235294</x:v>
      </x:c>
      <x:c r="AW30" s="67" t="n">
        <x:f>IFERROR(VLOOKUP(Aggregate!$AR30,TE!A:K,10,FALSE())/17*(16-Aggregate!$BC30),0)</x:f>
        <x:v>87.79118941176469</x:v>
      </x:c>
      <x:c r="AX30" s="67" t="n">
        <x:f>IFERROR(VLOOKUP(Aggregate!$AR30,TE!A:K,11,FALSE())/17*(16-Aggregate!$BC30),0)</x:f>
        <x:v>97.65856176470587</x:v>
      </x:c>
      <x:c r="AY30" s="70" t="n">
        <x:f>AVERAGE(Aggregate!$AV30,Aggregate!$AW30,Aggregate!$AX30,VLOOKUP(Aggregate!$AR30,ECR!L:N,3,FALSE))</x:f>
        <x:v>83.26356793999997</x:v>
      </x:c>
      <x:c r="AZ30" s="70" t="n">
        <x:f>Aggregate!$AY30-$AS$1</x:f>
        <x:v>-22.197970671764722</x:v>
      </x:c>
      <x:c r="BA30" s="74" t="n">
        <x:f>MAX(Aggregate!$AZ30*Scoring!$B$48+1,1)</x:f>
        <x:v>1</x:v>
      </x:c>
      <x:c r="BB30" s="67" t="n">
        <x:f>VLOOKUP(Aggregate!$AZ30,BW:BY,3,FALSE)</x:f>
        <x:v>6</x:v>
      </x:c>
      <x:c r="BC30" s="77" t="n">
        <x:f t="array" ref="BC30">VLOOKUP(INDEX(ECR!$E:$E,MATCH(AR30,ECR!$C:$C,0)),RISK!A:B,2,FALSE())</x:f>
        <x:v>2.1938000000000013</x:v>
      </x:c>
      <x:c r="BD30" s="67"/>
      <x:c r="BE30" s="78"/>
      <x:c r="BF30" s="78">
        <x:v>28.0</x:v>
      </x:c>
      <x:c r="BG30" s="78">
        <x:f t="shared" si="1"/>
        <x:v>173.6749176</x:v>
      </x:c>
      <x:c r="BH30" s="78" t="n">
        <x:f>IFERROR(LARGE($J$3:$J$52,28),"")</x:f>
        <x:v>-70.28981474558825</x:v>
      </x:c>
      <x:c r="BI30" s="78">
        <x:f t="shared" si="5"/>
        <x:v>-63.98218281</x:v>
      </x:c>
      <x:c r="BJ30" s="78">
        <x:f t="shared" si="6"/>
        <x:v>8</x:v>
      </x:c>
      <x:c r="BK30" s="89">
        <x:v>28.0</x:v>
      </x:c>
      <x:c r="BL30" s="78">
        <x:f t="shared" si="2"/>
        <x:v>130.77045</x:v>
      </x:c>
      <x:c r="BM30" s="90" t="n">
        <x:f>IFERROR(LARGE($X$3:$X$102,28),"")</x:f>
        <x:v>0.08135768676470434</x:v>
      </x:c>
      <x:c r="BN30" s="90">
        <x:f t="shared" si="7"/>
        <x:v>46.14932159</x:v>
      </x:c>
      <x:c r="BO30" s="91">
        <x:f t="shared" si="8"/>
        <x:v>5</x:v>
      </x:c>
      <x:c r="BP30" s="90">
        <x:v>28.0</x:v>
      </x:c>
      <x:c r="BQ30" s="78">
        <x:f t="shared" si="3"/>
        <x:v>125.999874</x:v>
      </x:c>
      <x:c r="BR30" s="90" t="n">
        <x:f>IFERROR(LARGE($AL$3:$AL$102,28),"")</x:f>
        <x:v>23.421786977941196</x:v>
      </x:c>
      <x:c r="BS30" s="90">
        <x:f t="shared" si="9"/>
        <x:v>39.29246228</x:v>
      </x:c>
      <x:c r="BT30" s="90">
        <x:f t="shared" si="10"/>
        <x:v>4</x:v>
      </x:c>
      <x:c r="BU30" s="78">
        <x:v>28.0</x:v>
      </x:c>
      <x:c r="BV30" s="78">
        <x:f t="shared" si="4"/>
        <x:v>74.18802176</x:v>
      </x:c>
      <x:c r="BW30" s="90" t="n">
        <x:f>IFERROR(LARGE($AZ$3:$AZ$52,28),"")</x:f>
        <x:v>-32.99132118529411</x:v>
      </x:c>
      <x:c r="BX30" s="90">
        <x:f t="shared" si="11"/>
        <x:v>-32.97569397</x:v>
      </x:c>
      <x:c r="BY30" s="90">
        <x:f t="shared" si="12"/>
        <x:v>7</x:v>
      </x:c>
      <x:c r="BZ30" s="90"/>
      <x:c r="CA30" s="90"/>
      <x:c r="CB30" s="90"/>
      <x:c r="CC30" s="90"/>
      <x:c r="CD30" s="90"/>
      <x:c r="CE30" s="90"/>
      <x:c r="CF30" s="90"/>
      <x:c r="CG30" s="90"/>
    </x:row>
    <x:row r="31" ht="14.25" customHeight="1">
      <x:c r="A31" s="60" t="s">
        <x:v>241</x:v>
      </x:c>
      <x:c r="B31" s="60" t="str">
        <x:f>VLOOKUP(A31,ECR!E:L,8,FALSE())</x:f>
        <x:v>Aaron Rodgers</x:v>
      </x:c>
      <x:c r="C31" s="63" t="str">
        <x:f>IFERROR(VLOOKUP(Aggregate!$B31,ECR!C:F,2,FALSE()),"-")</x:f>
        <x:v>PIT</x:v>
      </x:c>
      <x:c r="D31" s="63" t="n">
        <x:f>IFERROR(VLOOKUP(Aggregate!$B31,ECR!C:F,4,FALSE()),"-")</x:f>
        <x:v>9</x:v>
      </x:c>
      <x:c r="E31" s="63" t="str">
        <x:f>Aggregate!$C31 &amp; "/" &amp; Aggregate!$D31</x:f>
        <x:v>PIT/9</x:v>
      </x:c>
      <x:c r="F31" s="67" t="n">
        <x:f>IFERROR(VLOOKUP(Aggregate!$B31,QB!A:Q,15,FALSE())/17*(16-Aggregate!$M31),0)</x:f>
        <x:v>138.01411764705884</x:v>
      </x:c>
      <x:c r="G31" s="67" t="n">
        <x:f>IFERROR(VLOOKUP(Aggregate!$B31,QB!A:Q,16,FALSE())/17*(16-Aggregate!$M31),0)</x:f>
        <x:v>163.07199999999997</x:v>
      </x:c>
      <x:c r="H31" s="67" t="n">
        <x:f>IFERROR(VLOOKUP(Aggregate!$B31,QB!A:Q,17,FALSE())/17*(16-Aggregate!$M31),0)</x:f>
        <x:v>181.35792941176473</x:v>
      </x:c>
      <x:c r="I31" s="70" t="n">
        <x:f>AVERAGE(Aggregate!$F31,Aggregate!$G31,Aggregate!$H31,VLOOKUP(Aggregate!$B31,ECR!L:N,3,FALSE))</x:f>
        <x:v>162.64018823970588</x:v>
      </x:c>
      <x:c r="J31" s="70" t="n">
        <x:f>Aggregate!$I31-$C$1</x:f>
        <x:v>-75.83409708235294</x:v>
      </x:c>
      <x:c r="K31" s="74" t="n">
        <x:f>MAX(Aggregate!$J31*Scoring!$B$48+1,1)</x:f>
        <x:v>1</x:v>
      </x:c>
      <x:c r="L31" s="75" t="n">
        <x:f>VLOOKUP(Aggregate!$J31,BH:BJ,3,FALSE)</x:f>
        <x:v>9</x:v>
      </x:c>
      <x:c r="M31" s="77" t="n">
        <x:f t="array" ref="M31">VLOOKUP(INDEX(ECR!$E:$E,MATCH(B31,ECR!$C:$C,0)),RISK!A:B,2,FALSE())</x:f>
        <x:v>3.2</x:v>
      </x:c>
      <x:c r="N31" s="78"/>
      <x:c r="O31" s="75" t="s">
        <x:v>242</x:v>
      </x:c>
      <x:c r="P31" s="60" t="str">
        <x:f>VLOOKUP(O31,ECR!E:L,8,FALSE())</x:f>
        <x:v>Tony Pollard</x:v>
      </x:c>
      <x:c r="Q31" s="63" t="str">
        <x:f>IFERROR(VLOOKUP(Aggregate!$P31,ECR!C:F,2,FALSE()),"-")</x:f>
        <x:v>TEN</x:v>
      </x:c>
      <x:c r="R31" s="63" t="n">
        <x:f>IFERROR(VLOOKUP(Aggregate!$P31,ECR!C:F,4,FALSE()),"-")</x:f>
        <x:v>9</x:v>
      </x:c>
      <x:c r="S31" s="63" t="str">
        <x:f>Aggregate!$Q31 &amp; "/" &amp; Aggregate!$R31</x:f>
        <x:v>TEN/9</x:v>
      </x:c>
      <x:c r="T31" s="67" t="n">
        <x:f>IFERROR(VLOOKUP(Aggregate!$P31,RB!A:Q,13,FALSE())/17*(16-Aggregate!$AA31),0)</x:f>
        <x:v>118.60662305882354</x:v>
      </x:c>
      <x:c r="U31" s="67" t="n">
        <x:f>IFERROR(VLOOKUP(Aggregate!$P31,RB!A:Q,14,FALSE())/17*(16-Aggregate!$AA31),0)</x:f>
        <x:v>130.41344564705884</x:v>
      </x:c>
      <x:c r="V31" s="67" t="n">
        <x:f>IFERROR(VLOOKUP(Aggregate!$P31,RB!A:Q,15,FALSE())/17*(16-Aggregate!$AA31),0)</x:f>
        <x:v>140.89323294117648</x:v>
      </x:c>
      <x:c r="W31" s="70" t="n">
        <x:f>AVERAGE(Aggregate!$T31,Aggregate!$U31,Aggregate!$V31,VLOOKUP(Aggregate!$P31,ECR!L:N,3,FALSE))</x:f>
        <x:v>130.0816868117647</x:v>
      </x:c>
      <x:c r="X31" s="70" t="n">
        <x:f>Aggregate!$W31-$Q$1</x:f>
        <x:v>0.08135768676470434</x:v>
      </x:c>
      <x:c r="Y31" s="74" t="n">
        <x:f>MAX(Aggregate!$X31*Scoring!$B$48+1,1)</x:f>
        <x:v>1.0489850605448297</x:v>
      </x:c>
      <x:c r="Z31" s="75" t="n">
        <x:f>VLOOKUP(Aggregate!$X31,BM:BO,3,FALSE)</x:f>
        <x:v>5</x:v>
      </x:c>
      <x:c r="AA31" s="77" t="n">
        <x:f t="array" ref="AA31">VLOOKUP(INDEX(ECR!$E:$E,MATCH(P31,ECR!$C:$C,0)),RISK!A:B,2,FALSE())</x:f>
        <x:v>3.1087999999999987</x:v>
      </x:c>
      <x:c r="AB31" s="78"/>
      <x:c r="AC31" s="63" t="s">
        <x:v>243</x:v>
      </x:c>
      <x:c r="AD31" s="63" t="str">
        <x:f>VLOOKUP(AC31,ECR!E:L,8,FALSE())</x:f>
        <x:v>Rome Odunze</x:v>
      </x:c>
      <x:c r="AE31" s="63" t="str">
        <x:f>IFERROR(VLOOKUP(Aggregate!$AD31,ECR!C:F,2,FALSE()),"-")</x:f>
        <x:v>CHI</x:v>
      </x:c>
      <x:c r="AF31" s="63" t="n">
        <x:f>IFERROR(VLOOKUP(Aggregate!$AD31,ECR!C:F,4,FALSE()),"-")</x:f>
        <x:v>10</x:v>
      </x:c>
      <x:c r="AG31" s="63" t="str">
        <x:f>Aggregate!$AE31 &amp; "/" &amp; Aggregate!$AF31</x:f>
        <x:v>CHI/10</x:v>
      </x:c>
      <x:c r="AH31" s="67" t="n">
        <x:f>IFERROR(VLOOKUP(Aggregate!$AD31,WR!A:Q,13,FALSE())/17*(16-Aggregate!$AO31),0)</x:f>
        <x:v>119.45277441176471</x:v>
      </x:c>
      <x:c r="AI31" s="67" t="n">
        <x:f>IFERROR(VLOOKUP(Aggregate!$AD31,WR!A:Q,14,FALSE())/17*(16-Aggregate!$AO31),0)</x:f>
        <x:v>128.15834223529413</x:v>
      </x:c>
      <x:c r="AJ31" s="67" t="n">
        <x:f>IFERROR(VLOOKUP(Aggregate!$AD31,WR!A:Q,15,FALSE())/17*(16-Aggregate!$AO31),0)</x:f>
        <x:v>137.25459176470588</x:v>
      </x:c>
      <x:c r="AK31" s="70" t="n">
        <x:f>AVERAGE(Aggregate!$AH31,Aggregate!$AI31,Aggregate!$AJ31,VLOOKUP(Aggregate!$AD31,ECR!L:N,3,FALSE))</x:f>
        <x:v>127.07409747794118</x:v>
      </x:c>
      <x:c r="AL31" s="70" t="n">
        <x:f>Aggregate!$AK31-$AE$1</x:f>
        <x:v>24.87918572058824</x:v>
      </x:c>
      <x:c r="AM31" s="74" t="n">
        <x:f>MAX(Aggregate!$AL31*Scoring!$B$48+1,1)</x:f>
        <x:v>15.979634590075301</x:v>
      </x:c>
      <x:c r="AN31" s="75" t="n">
        <x:f>VLOOKUP(Aggregate!$AL31,BR:BT,3,FALSE)</x:f>
        <x:v>4</x:v>
      </x:c>
      <x:c r="AO31" s="77" t="n">
        <x:f t="array" ref="AO31">VLOOKUP(INDEX(ECR!$E:$E,MATCH(AD31,ECR!$C:$C,0)),RISK!A:B,2,FALSE())</x:f>
        <x:v>3.4687</x:v>
      </x:c>
      <x:c r="AP31" s="78"/>
      <x:c r="AQ31" s="87" t="s">
        <x:v>244</x:v>
      </x:c>
      <x:c r="AR31" s="87" t="str">
        <x:f>VLOOKUP(AQ31,ECR!E:L,8,FALSE())</x:f>
        <x:v>David Njoku</x:v>
      </x:c>
      <x:c r="AS31" s="87" t="str">
        <x:f>IFERROR(VLOOKUP(Aggregate!$AR31,ECR!C:F,2,FALSE()),"-")</x:f>
        <x:v>LAC</x:v>
      </x:c>
      <x:c r="AT31" s="87" t="n">
        <x:f>IFERROR(VLOOKUP(Aggregate!$AR31,ECR!C:F,4,FALSE()),"-")</x:f>
        <x:v>7</x:v>
      </x:c>
      <x:c r="AU31" s="87" t="str">
        <x:f>Aggregate!$AS31 &amp; "/" &amp; Aggregate!$AT31</x:f>
        <x:v>LAC/7</x:v>
      </x:c>
      <x:c r="AV31" s="67" t="n">
        <x:f>IFERROR(VLOOKUP(Aggregate!$AR31,TE!A:K,9,FALSE())/17*(16-Aggregate!$BC31),0)</x:f>
        <x:v>60.54424764705881</x:v>
      </x:c>
      <x:c r="AW31" s="67" t="n">
        <x:f>IFERROR(VLOOKUP(Aggregate!$AR31,TE!A:K,10,FALSE())/17*(16-Aggregate!$BC31),0)</x:f>
        <x:v>70.2573154117647</x:v>
      </x:c>
      <x:c r="AX31" s="67" t="n">
        <x:f>IFERROR(VLOOKUP(Aggregate!$AR31,TE!A:K,11,FALSE())/17*(16-Aggregate!$BC31),0)</x:f>
        <x:v>81.35100317647058</x:v>
      </x:c>
      <x:c r="AY31" s="70" t="n">
        <x:f>AVERAGE(Aggregate!$AV31,Aggregate!$AW31,Aggregate!$AX31,VLOOKUP(Aggregate!$AR31,ECR!L:N,3,FALSE))</x:f>
        <x:v>71.36993270632351</x:v>
      </x:c>
      <x:c r="AZ31" s="70" t="n">
        <x:f>Aggregate!$AY31-$AS$1</x:f>
        <x:v>-34.091605905441185</x:v>
      </x:c>
      <x:c r="BA31" s="74" t="n">
        <x:f>MAX(Aggregate!$AZ31*Scoring!$B$48+1,1)</x:f>
        <x:v>1</x:v>
      </x:c>
      <x:c r="BB31" s="67" t="n">
        <x:f>VLOOKUP(Aggregate!$AZ31,BW:BY,3,FALSE)</x:f>
        <x:v>7</x:v>
      </x:c>
      <x:c r="BC31" s="77" t="n">
        <x:f t="array" ref="BC31">VLOOKUP(INDEX(ECR!$E:$E,MATCH(AR31,ECR!$C:$C,0)),RISK!A:B,2,FALSE())</x:f>
        <x:v>2.1938000000000013</x:v>
      </x:c>
      <x:c r="BD31" s="67"/>
      <x:c r="BE31" s="78"/>
      <x:c r="BF31" s="78">
        <x:v>29.0</x:v>
      </x:c>
      <x:c r="BG31" s="78">
        <x:f t="shared" si="1"/>
        <x:v>168.1167059</x:v>
      </x:c>
      <x:c r="BH31" s="78" t="n">
        <x:f>IFERROR(LARGE($J$3:$J$52,29),"")</x:f>
        <x:v>-75.83409708235294</x:v>
      </x:c>
      <x:c r="BI31" s="78">
        <x:f t="shared" si="5"/>
        <x:v>-77.54114752</x:v>
      </x:c>
      <x:c r="BJ31" s="78">
        <x:f t="shared" si="6"/>
        <x:v>9</x:v>
      </x:c>
      <x:c r="BK31" s="89">
        <x:v>29.0</x:v>
      </x:c>
      <x:c r="BL31" s="78">
        <x:f t="shared" si="2"/>
        <x:v>130.4134456</x:v>
      </x:c>
      <x:c r="BM31" s="90" t="n">
        <x:f>IFERROR(LARGE($X$3:$X$102,29),"")</x:f>
        <x:v>0</x:v>
      </x:c>
      <x:c r="BN31" s="90">
        <x:f t="shared" si="7"/>
        <x:v>46.14932159</x:v>
      </x:c>
      <x:c r="BO31" s="91">
        <x:f t="shared" si="8"/>
        <x:v>5</x:v>
      </x:c>
      <x:c r="BP31" s="90">
        <x:v>29.0</x:v>
      </x:c>
      <x:c r="BQ31" s="78">
        <x:f t="shared" si="3"/>
        <x:v>123.4306815</x:v>
      </x:c>
      <x:c r="BR31" s="90" t="n">
        <x:f>IFERROR(LARGE($AL$3:$AL$102,29),"")</x:f>
        <x:v>23.035024248529425</x:v>
      </x:c>
      <x:c r="BS31" s="90">
        <x:f t="shared" si="9"/>
        <x:v>39.29246228</x:v>
      </x:c>
      <x:c r="BT31" s="90">
        <x:f t="shared" si="10"/>
        <x:v>4</x:v>
      </x:c>
      <x:c r="BU31" s="78">
        <x:v>29.0</x:v>
      </x:c>
      <x:c r="BV31" s="78">
        <x:f t="shared" si="4"/>
        <x:v>73.32716459</x:v>
      </x:c>
      <x:c r="BW31" s="90" t="n">
        <x:f>IFERROR(LARGE($AZ$3:$AZ$52,29),"")</x:f>
        <x:v>-33.43987205308822</x:v>
      </x:c>
      <x:c r="BX31" s="90">
        <x:f t="shared" si="11"/>
        <x:v>-32.97569397</x:v>
      </x:c>
      <x:c r="BY31" s="90">
        <x:f t="shared" si="12"/>
        <x:v>7</x:v>
      </x:c>
      <x:c r="BZ31" s="90"/>
      <x:c r="CA31" s="90"/>
      <x:c r="CB31" s="90"/>
      <x:c r="CC31" s="90"/>
      <x:c r="CD31" s="90"/>
      <x:c r="CE31" s="90"/>
      <x:c r="CF31" s="90"/>
      <x:c r="CG31" s="90"/>
    </x:row>
    <x:row r="32" ht="14.25" customHeight="1">
      <x:c r="A32" s="60" t="s">
        <x:v>245</x:v>
      </x:c>
      <x:c r="B32" s="60" t="str">
        <x:f>VLOOKUP(A32,ECR!E:L,8,FALSE())</x:f>
        <x:v>Fernando Mendoza</x:v>
      </x:c>
      <x:c r="C32" s="63" t="str">
        <x:f>IFERROR(VLOOKUP(Aggregate!$B32,ECR!C:F,2,FALSE()),"-")</x:f>
        <x:v>LV</x:v>
      </x:c>
      <x:c r="D32" s="63" t="n">
        <x:f>IFERROR(VLOOKUP(Aggregate!$B32,ECR!C:F,4,FALSE()),"-")</x:f>
        <x:v>13</x:v>
      </x:c>
      <x:c r="E32" s="63" t="str">
        <x:f>Aggregate!$C32 &amp; "/" &amp; Aggregate!$D32</x:f>
        <x:v>LV/13</x:v>
      </x:c>
      <x:c r="F32" s="67" t="n">
        <x:f>IFERROR(VLOOKUP(Aggregate!$B32,QB!A:Q,15,FALSE())/17*(16-Aggregate!$M32),0)</x:f>
        <x:v>115.51623529411764</x:v>
      </x:c>
      <x:c r="G32" s="67" t="n">
        <x:f>IFERROR(VLOOKUP(Aggregate!$B32,QB!A:Q,16,FALSE())/17*(16-Aggregate!$M32),0)</x:f>
        <x:v>137.12564705882355</x:v>
      </x:c>
      <x:c r="H32" s="67" t="n">
        <x:f>IFERROR(VLOOKUP(Aggregate!$B32,QB!A:Q,17,FALSE())/17*(16-Aggregate!$M32),0)</x:f>
        <x:v>157.70804705882352</x:v>
      </x:c>
      <x:c r="I32" s="70" t="n">
        <x:f>AVERAGE(Aggregate!$F32,Aggregate!$G32,Aggregate!$H32,VLOOKUP(Aggregate!$B32,ECR!L:N,3,FALSE))</x:f>
        <x:v>138.65712940294117</x:v>
      </x:c>
      <x:c r="J32" s="70" t="n">
        <x:f>Aggregate!$I32-$C$1</x:f>
        <x:v>-99.81715591911765</x:v>
      </x:c>
      <x:c r="K32" s="74" t="n">
        <x:f>MAX(Aggregate!$J32*Scoring!$B$48+1,1)</x:f>
        <x:v>1</x:v>
      </x:c>
      <x:c r="L32" s="75" t="n">
        <x:f>VLOOKUP(Aggregate!$J32,BH:BJ,3,FALSE)</x:f>
        <x:v>10</x:v>
      </x:c>
      <x:c r="M32" s="77" t="n">
        <x:f t="array" ref="M32">VLOOKUP(INDEX(ECR!$E:$E,MATCH(B32,ECR!$C:$C,0)),RISK!A:B,2,FALSE())</x:f>
        <x:v>3.2</x:v>
      </x:c>
      <x:c r="N32" s="78"/>
      <x:c r="O32" s="75" t="s">
        <x:v>246</x:v>
      </x:c>
      <x:c r="P32" s="60" t="str">
        <x:f>VLOOKUP(O32,ECR!E:L,8,FALSE())</x:f>
        <x:v>Rico Dowdle</x:v>
      </x:c>
      <x:c r="Q32" s="63" t="str">
        <x:f>IFERROR(VLOOKUP(Aggregate!$P32,ECR!C:F,2,FALSE()),"-")</x:f>
        <x:v>PIT</x:v>
      </x:c>
      <x:c r="R32" s="63" t="n">
        <x:f>IFERROR(VLOOKUP(Aggregate!$P32,ECR!C:F,4,FALSE()),"-")</x:f>
        <x:v>9</x:v>
      </x:c>
      <x:c r="S32" s="63" t="str">
        <x:f>Aggregate!$Q32 &amp; "/" &amp; Aggregate!$R32</x:f>
        <x:v>PIT/9</x:v>
      </x:c>
      <x:c r="T32" s="67" t="n">
        <x:f>IFERROR(VLOOKUP(Aggregate!$P32,RB!A:Q,13,FALSE())/17*(16-Aggregate!$AA32),0)</x:f>
        <x:v>112.74917647058825</x:v>
      </x:c>
      <x:c r="U32" s="67" t="n">
        <x:f>IFERROR(VLOOKUP(Aggregate!$P32,RB!A:Q,14,FALSE())/17*(16-Aggregate!$AA32),0)</x:f>
        <x:v>124.01652705882354</x:v>
      </x:c>
      <x:c r="V32" s="67" t="n">
        <x:f>IFERROR(VLOOKUP(Aggregate!$P32,RB!A:Q,15,FALSE())/17*(16-Aggregate!$AA32),0)</x:f>
        <x:v>141.8369505882353</x:v>
      </x:c>
      <x:c r="W32" s="70" t="n">
        <x:f>AVERAGE(Aggregate!$T32,Aggregate!$U32,Aggregate!$V32,VLOOKUP(Aggregate!$P32,ECR!L:N,3,FALSE))</x:f>
        <x:v>126.02600652941177</x:v>
      </x:c>
      <x:c r="X32" s="70" t="n">
        <x:f>Aggregate!$W32-$Q$1</x:f>
        <x:v>-3.9743225955882338</x:v>
      </x:c>
      <x:c r="Y32" s="74" t="n">
        <x:f>MAX(Aggregate!$X32*Scoring!$B$48+1,1)</x:f>
        <x:v>1</x:v>
      </x:c>
      <x:c r="Z32" s="75" t="n">
        <x:f>VLOOKUP(Aggregate!$X32,BM:BO,3,FALSE)</x:f>
        <x:v>6</x:v>
      </x:c>
      <x:c r="AA32" s="77" t="n">
        <x:f t="array" ref="AA32">VLOOKUP(INDEX(ECR!$E:$E,MATCH(P32,ECR!$C:$C,0)),RISK!A:B,2,FALSE())</x:f>
        <x:v>3.1359999999999992</x:v>
      </x:c>
      <x:c r="AB32" s="78"/>
      <x:c r="AC32" s="63" t="s">
        <x:v>247</x:v>
      </x:c>
      <x:c r="AD32" s="63" t="str">
        <x:f>VLOOKUP(AC32,ECR!E:L,8,FALSE())</x:f>
        <x:v>Parker Washington</x:v>
      </x:c>
      <x:c r="AE32" s="63" t="str">
        <x:f>IFERROR(VLOOKUP(Aggregate!$AD32,ECR!C:F,2,FALSE()),"-")</x:f>
        <x:v>JAC</x:v>
      </x:c>
      <x:c r="AF32" s="63" t="n">
        <x:f>IFERROR(VLOOKUP(Aggregate!$AD32,ECR!C:F,4,FALSE()),"-")</x:f>
        <x:v>7</x:v>
      </x:c>
      <x:c r="AG32" s="63" t="str">
        <x:f>Aggregate!$AE32 &amp; "/" &amp; Aggregate!$AF32</x:f>
        <x:v>JAC/7</x:v>
      </x:c>
      <x:c r="AH32" s="67" t="n">
        <x:f>IFERROR(VLOOKUP(Aggregate!$AD32,WR!A:Q,13,FALSE())/17*(16-Aggregate!$AO32),0)</x:f>
        <x:v>103.33063529411767</x:v>
      </x:c>
      <x:c r="AI32" s="67" t="n">
        <x:f>IFERROR(VLOOKUP(Aggregate!$AD32,WR!A:Q,14,FALSE())/17*(16-Aggregate!$AO32),0)</x:f>
        <x:v>112.26932235294117</x:v>
      </x:c>
      <x:c r="AJ32" s="67" t="n">
        <x:f>IFERROR(VLOOKUP(Aggregate!$AD32,WR!A:Q,15,FALSE())/17*(16-Aggregate!$AO32),0)</x:f>
        <x:v>126.29381411764707</x:v>
      </x:c>
      <x:c r="AK32" s="70" t="n">
        <x:f>AVERAGE(Aggregate!$AH32,Aggregate!$AI32,Aggregate!$AJ32,VLOOKUP(Aggregate!$AD32,ECR!L:N,3,FALSE))</x:f>
        <x:v>115.64855449117647</x:v>
      </x:c>
      <x:c r="AL32" s="70" t="n">
        <x:f>Aggregate!$AK32-$AE$1</x:f>
        <x:v>13.453642733823528</x:v>
      </x:c>
      <x:c r="AM32" s="74" t="n">
        <x:f>MAX(Aggregate!$AL32*Scoring!$B$48+1,1)</x:f>
        <x:v>9.100371705144907</x:v>
      </x:c>
      <x:c r="AN32" s="75" t="n">
        <x:f>VLOOKUP(Aggregate!$AL32,BR:BT,3,FALSE)</x:f>
        <x:v>5</x:v>
      </x:c>
      <x:c r="AO32" s="77" t="n">
        <x:f t="array" ref="AO32">VLOOKUP(INDEX(ECR!$E:$E,MATCH(AD32,ECR!$C:$C,0)),RISK!A:B,2,FALSE())</x:f>
        <x:v>3.523999999999999</x:v>
      </x:c>
      <x:c r="AP32" s="78"/>
      <x:c r="AQ32" s="87" t="s">
        <x:v>248</x:v>
      </x:c>
      <x:c r="AR32" s="87" t="str">
        <x:f>VLOOKUP(AQ32,ECR!E:L,8,FALSE())</x:f>
        <x:v>Evan Engram</x:v>
      </x:c>
      <x:c r="AS32" s="87" t="str">
        <x:f>IFERROR(VLOOKUP(Aggregate!$AR32,ECR!C:F,2,FALSE()),"-")</x:f>
        <x:v>DEN</x:v>
      </x:c>
      <x:c r="AT32" s="87" t="n">
        <x:f>IFERROR(VLOOKUP(Aggregate!$AR32,ECR!C:F,4,FALSE()),"-")</x:f>
        <x:v>10</x:v>
      </x:c>
      <x:c r="AU32" s="87" t="str">
        <x:f>Aggregate!$AS32 &amp; "/" &amp; Aggregate!$AT32</x:f>
        <x:v>DEN/10</x:v>
      </x:c>
      <x:c r="AV32" s="67" t="n">
        <x:f>IFERROR(VLOOKUP(Aggregate!$AR32,TE!A:K,9,FALSE())/17*(16-Aggregate!$BC32),0)</x:f>
        <x:v>67.43110505882353</x:v>
      </x:c>
      <x:c r="AW32" s="67" t="n">
        <x:f>IFERROR(VLOOKUP(Aggregate!$AR32,TE!A:K,10,FALSE())/17*(16-Aggregate!$BC32),0)</x:f>
        <x:v>73.40837752941177</x:v>
      </x:c>
      <x:c r="AX32" s="67" t="n">
        <x:f>IFERROR(VLOOKUP(Aggregate!$AR32,TE!A:K,11,FALSE())/17*(16-Aggregate!$BC32),0)</x:f>
        <x:v>77.0710811764706</x:v>
      </x:c>
      <x:c r="AY32" s="70" t="n">
        <x:f>AVERAGE(Aggregate!$AV32,Aggregate!$AW32,Aggregate!$AX32,VLOOKUP(Aggregate!$AR32,ECR!L:N,3,FALSE))</x:f>
        <x:v>72.02166655867647</x:v>
      </x:c>
      <x:c r="AZ32" s="70" t="n">
        <x:f>Aggregate!$AY32-$AS$1</x:f>
        <x:v>-33.43987205308822</x:v>
      </x:c>
      <x:c r="BA32" s="74" t="n">
        <x:f>MAX(Aggregate!$AZ32*Scoring!$B$48+1,1)</x:f>
        <x:v>1</x:v>
      </x:c>
      <x:c r="BB32" s="67" t="n">
        <x:f>VLOOKUP(Aggregate!$AZ32,BW:BY,3,FALSE)</x:f>
        <x:v>7</x:v>
      </x:c>
      <x:c r="BC32" s="77" t="n">
        <x:f t="array" ref="BC32">VLOOKUP(INDEX(ECR!$E:$E,MATCH(AR32,ECR!$C:$C,0)),RISK!A:B,2,FALSE())</x:f>
        <x:v>2.1938</x:v>
      </x:c>
      <x:c r="BD32" s="67"/>
      <x:c r="BE32" s="78"/>
      <x:c r="BF32" s="78">
        <x:v>30.0</x:v>
      </x:c>
      <x:c r="BG32" s="78">
        <x:f t="shared" si="1"/>
        <x:v>144.2785882</x:v>
      </x:c>
      <x:c r="BH32" s="78" t="n">
        <x:f>IFERROR(LARGE($J$3:$J$52,30),"")</x:f>
        <x:v>-99.81715591911765</x:v>
      </x:c>
      <x:c r="BI32" s="78">
        <x:f t="shared" si="5"/>
        <x:v>-99.67950046</x:v>
      </x:c>
      <x:c r="BJ32" s="78">
        <x:f t="shared" si="6"/>
        <x:v>10</x:v>
      </x:c>
      <x:c r="BK32" s="89">
        <x:v>30.0</x:v>
      </x:c>
      <x:c r="BL32" s="78">
        <x:f t="shared" si="2"/>
        <x:v>125.501372</x:v>
      </x:c>
      <x:c r="BM32" s="90" t="n">
        <x:f>IFERROR(LARGE($X$3:$X$102,30),"")</x:f>
        <x:v>-3.9743225955882338</x:v>
      </x:c>
      <x:c r="BN32" s="90">
        <x:f t="shared" si="7"/>
        <x:v>24.52596682</x:v>
      </x:c>
      <x:c r="BO32" s="91">
        <x:f t="shared" si="8"/>
        <x:v>6</x:v>
      </x:c>
      <x:c r="BP32" s="90">
        <x:v>30.0</x:v>
      </x:c>
      <x:c r="BQ32" s="78">
        <x:f t="shared" si="3"/>
        <x:v>120.7004462</x:v>
      </x:c>
      <x:c r="BR32" s="90" t="n">
        <x:f>IFERROR(LARGE($AL$3:$AL$102,30),"")</x:f>
        <x:v>18.14873582058823</x:v>
      </x:c>
      <x:c r="BS32" s="90">
        <x:f t="shared" si="9"/>
        <x:v>19.0292711</x:v>
      </x:c>
      <x:c r="BT32" s="90">
        <x:f t="shared" si="10"/>
        <x:v>5</x:v>
      </x:c>
      <x:c r="BU32" s="78">
        <x:v>30.0</x:v>
      </x:c>
      <x:c r="BV32" s="78">
        <x:f t="shared" si="4"/>
        <x:v>70.17610247</x:v>
      </x:c>
      <x:c r="BW32" s="90" t="n">
        <x:f>IFERROR(LARGE($AZ$3:$AZ$52,30),"")</x:f>
        <x:v>-34.091605905441185</x:v>
      </x:c>
      <x:c r="BX32" s="90">
        <x:f t="shared" si="11"/>
        <x:v>-32.97569397</x:v>
      </x:c>
      <x:c r="BY32" s="90">
        <x:f t="shared" si="12"/>
        <x:v>7</x:v>
      </x:c>
      <x:c r="BZ32" s="90"/>
      <x:c r="CA32" s="90"/>
      <x:c r="CB32" s="90"/>
      <x:c r="CC32" s="90"/>
      <x:c r="CD32" s="90"/>
      <x:c r="CE32" s="90"/>
      <x:c r="CF32" s="90"/>
      <x:c r="CG32" s="90"/>
    </x:row>
    <x:row r="33" ht="14.25" customHeight="1">
      <x:c r="A33" s="60" t="s">
        <x:v>249</x:v>
      </x:c>
      <x:c r="B33" s="60" t="str">
        <x:f>VLOOKUP(A33,ECR!E:L,8,FALSE())</x:f>
        <x:v>Tua Tagovailoa</x:v>
      </x:c>
      <x:c r="C33" s="63" t="str">
        <x:f>IFERROR(VLOOKUP(Aggregate!$B33,ECR!C:F,2,FALSE()),"-")</x:f>
        <x:v>ATL</x:v>
      </x:c>
      <x:c r="D33" s="63" t="n">
        <x:f>IFERROR(VLOOKUP(Aggregate!$B33,ECR!C:F,4,FALSE()),"-")</x:f>
        <x:v>11</x:v>
      </x:c>
      <x:c r="E33" s="63" t="str">
        <x:f>Aggregate!$C33 &amp; "/" &amp; Aggregate!$D33</x:f>
        <x:v>ATL/11</x:v>
      </x:c>
      <x:c r="F33" s="67" t="n">
        <x:f>IFERROR(VLOOKUP(Aggregate!$B33,QB!A:Q,15,FALSE())/17*(16-Aggregate!$M33),0)</x:f>
        <x:v>61.24423529411766</x:v>
      </x:c>
      <x:c r="G33" s="67" t="n">
        <x:f>IFERROR(VLOOKUP(Aggregate!$B33,QB!A:Q,16,FALSE())/17*(16-Aggregate!$M33),0)</x:f>
        <x:v>87.54296470588235</x:v>
      </x:c>
      <x:c r="H33" s="67" t="n">
        <x:f>IFERROR(VLOOKUP(Aggregate!$B33,QB!A:Q,17,FALSE())/17*(16-Aggregate!$M33),0)</x:f>
        <x:v>113.6564705882353</x:v>
      </x:c>
      <x:c r="I33" s="70" t="n">
        <x:f>AVERAGE(Aggregate!$F33,Aggregate!$G33,Aggregate!$H33,VLOOKUP(Aggregate!$B33,ECR!L:N,3,FALSE))</x:f>
        <x:v>93.99529412205882</x:v>
      </x:c>
      <x:c r="J33" s="70" t="n">
        <x:f>Aggregate!$I33-$C$1</x:f>
        <x:v>-144.4789912</x:v>
      </x:c>
      <x:c r="K33" s="74" t="n">
        <x:f>MAX(Aggregate!$J33*Scoring!$B$48+1,1)</x:f>
        <x:v>1</x:v>
      </x:c>
      <x:c r="L33" s="75" t="n">
        <x:f>VLOOKUP(Aggregate!$J33,BH:BJ,3,FALSE)</x:f>
        <x:v>11</x:v>
      </x:c>
      <x:c r="M33" s="77" t="n">
        <x:f t="array" ref="M33">VLOOKUP(INDEX(ECR!$E:$E,MATCH(B33,ECR!$C:$C,0)),RISK!A:B,2,FALSE())</x:f>
        <x:v>3.2</x:v>
      </x:c>
      <x:c r="N33" s="78"/>
      <x:c r="O33" s="75" t="s">
        <x:v>250</x:v>
      </x:c>
      <x:c r="P33" s="60" t="str">
        <x:f>VLOOKUP(O33,ECR!E:L,8,FALSE())</x:f>
        <x:v>Jonathon Brooks</x:v>
      </x:c>
      <x:c r="Q33" s="63" t="str">
        <x:f>IFERROR(VLOOKUP(Aggregate!$P33,ECR!C:F,2,FALSE()),"-")</x:f>
        <x:v>CAR</x:v>
      </x:c>
      <x:c r="R33" s="63" t="n">
        <x:f>IFERROR(VLOOKUP(Aggregate!$P33,ECR!C:F,4,FALSE()),"-")</x:f>
        <x:v>5</x:v>
      </x:c>
      <x:c r="S33" s="63" t="str">
        <x:f>Aggregate!$Q33 &amp; "/" &amp; Aggregate!$R33</x:f>
        <x:v>CAR/5</x:v>
      </x:c>
      <x:c r="T33" s="67" t="n">
        <x:f>IFERROR(VLOOKUP(Aggregate!$P33,RB!A:Q,13,FALSE())/17*(16-Aggregate!$AA33),0)</x:f>
        <x:v>92.57165411764704</x:v>
      </x:c>
      <x:c r="U33" s="67" t="n">
        <x:f>IFERROR(VLOOKUP(Aggregate!$P33,RB!A:Q,14,FALSE())/17*(16-Aggregate!$AA33),0)</x:f>
        <x:v>112.73958952941176</x:v>
      </x:c>
      <x:c r="V33" s="67" t="n">
        <x:f>IFERROR(VLOOKUP(Aggregate!$P33,RB!A:Q,15,FALSE())/17*(16-Aggregate!$AA33),0)</x:f>
        <x:v>133.05098835294118</x:v>
      </x:c>
      <x:c r="W33" s="70" t="n">
        <x:f>AVERAGE(Aggregate!$T33,Aggregate!$U33,Aggregate!$V33,VLOOKUP(Aggregate!$P33,ECR!L:N,3,FALSE))</x:f>
        <x:v>115.59468977499999</x:v>
      </x:c>
      <x:c r="X33" s="70" t="n">
        <x:f>Aggregate!$W33-$Q$1</x:f>
        <x:v>-14.405639350000015</x:v>
      </x:c>
      <x:c r="Y33" s="74" t="n">
        <x:f>MAX(Aggregate!$X33*Scoring!$B$48+1,1)</x:f>
        <x:v>1</x:v>
      </x:c>
      <x:c r="Z33" s="75" t="n">
        <x:f>VLOOKUP(Aggregate!$X33,BM:BO,3,FALSE)</x:f>
        <x:v>6</x:v>
      </x:c>
      <x:c r="AA33" s="77" t="n">
        <x:f t="array" ref="AA33">VLOOKUP(INDEX(ECR!$E:$E,MATCH(P33,ECR!$C:$C,0)),RISK!A:B,2,FALSE())</x:f>
        <x:v>3.1638</x:v>
      </x:c>
      <x:c r="AB33" s="78"/>
      <x:c r="AC33" s="63" t="s">
        <x:v>251</x:v>
      </x:c>
      <x:c r="AD33" s="63" t="str">
        <x:f>VLOOKUP(AC33,ECR!E:L,8,FALSE())</x:f>
        <x:v>Marvin Harrison Jr.</x:v>
      </x:c>
      <x:c r="AE33" s="63" t="str">
        <x:f>IFERROR(VLOOKUP(Aggregate!$AD33,ECR!C:F,2,FALSE()),"-")</x:f>
        <x:v>ARI</x:v>
      </x:c>
      <x:c r="AF33" s="63" t="n">
        <x:f>IFERROR(VLOOKUP(Aggregate!$AD33,ECR!C:F,4,FALSE()),"-")</x:f>
        <x:v>14</x:v>
      </x:c>
      <x:c r="AG33" s="63" t="str">
        <x:f>Aggregate!$AE33 &amp; "/" &amp; Aggregate!$AF33</x:f>
        <x:v>ARI/14</x:v>
      </x:c>
      <x:c r="AH33" s="67" t="n">
        <x:f>IFERROR(VLOOKUP(Aggregate!$AD33,WR!A:Q,13,FALSE())/17*(16-Aggregate!$AO33),0)</x:f>
        <x:v>112.59724411764705</x:v>
      </x:c>
      <x:c r="AI33" s="67" t="n">
        <x:f>IFERROR(VLOOKUP(Aggregate!$AD33,WR!A:Q,14,FALSE())/17*(16-Aggregate!$AO33),0)</x:f>
        <x:v>120.70044617647058</x:v>
      </x:c>
      <x:c r="AJ33" s="67" t="n">
        <x:f>IFERROR(VLOOKUP(Aggregate!$AD33,WR!A:Q,15,FALSE())/17*(16-Aggregate!$AO33),0)</x:f>
        <x:v>128.74519411764703</x:v>
      </x:c>
      <x:c r="AK33" s="70" t="n">
        <x:f>AVERAGE(Aggregate!$AH33,Aggregate!$AI33,Aggregate!$AJ33,VLOOKUP(Aggregate!$AD33,ECR!L:N,3,FALSE))</x:f>
        <x:v>120.34364757794117</x:v>
      </x:c>
      <x:c r="AL33" s="70" t="n">
        <x:f>Aggregate!$AK33-$AE$1</x:f>
        <x:v>18.14873582058823</x:v>
      </x:c>
      <x:c r="AM33" s="74" t="n">
        <x:f>MAX(Aggregate!$AL33*Scoring!$B$48+1,1)</x:f>
        <x:v>11.927264015688783</x:v>
      </x:c>
      <x:c r="AN33" s="75" t="n">
        <x:f>VLOOKUP(Aggregate!$AL33,BR:BT,3,FALSE)</x:f>
        <x:v>5</x:v>
      </x:c>
      <x:c r="AO33" s="77" t="n">
        <x:f t="array" ref="AO33">VLOOKUP(INDEX(ECR!$E:$E,MATCH(AD33,ECR!$C:$C,0)),RISK!A:B,2,FALSE())</x:f>
        <x:v>3.5785</x:v>
      </x:c>
      <x:c r="AP33" s="78"/>
      <x:c r="AQ33" s="87" t="s">
        <x:v>252</x:v>
      </x:c>
      <x:c r="AR33" s="87" t="str">
        <x:f>VLOOKUP(AQ33,ECR!E:L,8,FALSE())</x:f>
        <x:v>Colby Parkinson</x:v>
      </x:c>
      <x:c r="AS33" s="87" t="str">
        <x:f>IFERROR(VLOOKUP(Aggregate!$AR33,ECR!C:F,2,FALSE()),"-")</x:f>
        <x:v>LAR</x:v>
      </x:c>
      <x:c r="AT33" s="87" t="n">
        <x:f>IFERROR(VLOOKUP(Aggregate!$AR33,ECR!C:F,4,FALSE()),"-")</x:f>
        <x:v>11</x:v>
      </x:c>
      <x:c r="AU33" s="87" t="str">
        <x:f>Aggregate!$AS33 &amp; "/" &amp; Aggregate!$AT33</x:f>
        <x:v>LAR/11</x:v>
      </x:c>
      <x:c r="AV33" s="67" t="n">
        <x:f>IFERROR(VLOOKUP(Aggregate!$AR33,TE!A:K,9,FALSE())/17*(16-Aggregate!$BC33),0)</x:f>
        <x:v>48.84958411764706</x:v>
      </x:c>
      <x:c r="AW33" s="67" t="n">
        <x:f>IFERROR(VLOOKUP(Aggregate!$AR33,TE!A:K,10,FALSE())/17*(16-Aggregate!$BC33),0)</x:f>
        <x:v>61.16958729411765</x:v>
      </x:c>
      <x:c r="AX33" s="67" t="n">
        <x:f>IFERROR(VLOOKUP(Aggregate!$AR33,TE!A:K,11,FALSE())/17*(16-Aggregate!$BC33),0)</x:f>
        <x:v>80.96930235294118</x:v>
      </x:c>
      <x:c r="AY33" s="70" t="n">
        <x:f>AVERAGE(Aggregate!$AV33,Aggregate!$AW33,Aggregate!$AX33,VLOOKUP(Aggregate!$AR33,ECR!L:N,3,FALSE))</x:f>
        <x:v>65.21033020617648</x:v>
      </x:c>
      <x:c r="AZ33" s="70" t="n">
        <x:f>Aggregate!$AY33-$AS$1</x:f>
        <x:v>-40.251208405588216</x:v>
      </x:c>
      <x:c r="BA33" s="74" t="n">
        <x:f>MAX(Aggregate!$AZ33*Scoring!$B$48+1,1)</x:f>
        <x:v>1</x:v>
      </x:c>
      <x:c r="BB33" s="67" t="n">
        <x:f>VLOOKUP(Aggregate!$AZ33,BW:BY,3,FALSE)</x:f>
        <x:v>7</x:v>
      </x:c>
      <x:c r="BC33" s="77" t="n">
        <x:f t="array" ref="BC33">VLOOKUP(INDEX(ECR!$E:$E,MATCH(AR33,ECR!$C:$C,0)),RISK!A:B,2,FALSE())</x:f>
        <x:v>2.1938</x:v>
      </x:c>
      <x:c r="BD33" s="67"/>
      <x:c r="BE33" s="78"/>
      <x:c r="BF33" s="78">
        <x:v>31.0</x:v>
      </x:c>
      <x:c r="BG33" s="78">
        <x:f t="shared" si="1"/>
        <x:v>113.5375059</x:v>
      </x:c>
      <x:c r="BH33" s="78" t="n">
        <x:f>IFERROR(LARGE($J$3:$J$52,31),"")</x:f>
        <x:v>-136.02120296867645</x:v>
      </x:c>
      <x:c r="BI33" s="78">
        <x:f t="shared" si="5"/>
        <x:v>-138.7635475</x:v>
      </x:c>
      <x:c r="BJ33" s="78">
        <x:f t="shared" si="6"/>
        <x:v>11</x:v>
      </x:c>
      <x:c r="BK33" s="89">
        <x:v>31.0</x:v>
      </x:c>
      <x:c r="BL33" s="78">
        <x:f t="shared" si="2"/>
        <x:v>124.0165271</x:v>
      </x:c>
      <x:c r="BM33" s="90" t="n">
        <x:f>IFERROR(LARGE($X$3:$X$102,31),"")</x:f>
        <x:v>-6.492191900000009</x:v>
      </x:c>
      <x:c r="BN33" s="90">
        <x:f t="shared" si="7"/>
        <x:v>24.52596682</x:v>
      </x:c>
      <x:c r="BO33" s="91">
        <x:f t="shared" si="8"/>
        <x:v>6</x:v>
      </x:c>
      <x:c r="BP33" s="90">
        <x:v>31.0</x:v>
      </x:c>
      <x:c r="BQ33" s="78">
        <x:f t="shared" si="3"/>
        <x:v>119.3317059</x:v>
      </x:c>
      <x:c r="BR33" s="90" t="n">
        <x:f>IFERROR(LARGE($AL$3:$AL$102,31),"")</x:f>
        <x:v>16.335857565882364</x:v>
      </x:c>
      <x:c r="BS33" s="90">
        <x:f t="shared" si="9"/>
        <x:v>19.0292711</x:v>
      </x:c>
      <x:c r="BT33" s="90">
        <x:f t="shared" si="10"/>
        <x:v>5</x:v>
      </x:c>
      <x:c r="BU33" s="78">
        <x:v>31.0</x:v>
      </x:c>
      <x:c r="BV33" s="78">
        <x:f t="shared" si="4"/>
        <x:v>69.85284706</x:v>
      </x:c>
      <x:c r="BW33" s="90" t="n">
        <x:f>IFERROR(LARGE($AZ$3:$AZ$52,31),"")</x:f>
        <x:v>-34.32991243455882</x:v>
      </x:c>
      <x:c r="BX33" s="90">
        <x:f t="shared" si="11"/>
        <x:v>-32.97569397</x:v>
      </x:c>
      <x:c r="BY33" s="90">
        <x:f t="shared" si="12"/>
        <x:v>7</x:v>
      </x:c>
      <x:c r="BZ33" s="90"/>
      <x:c r="CA33" s="90"/>
      <x:c r="CB33" s="90"/>
      <x:c r="CC33" s="90"/>
      <x:c r="CD33" s="90"/>
      <x:c r="CE33" s="90"/>
      <x:c r="CF33" s="90"/>
      <x:c r="CG33" s="90"/>
    </x:row>
    <x:row r="34" ht="14.25" customHeight="1">
      <x:c r="A34" s="60" t="s">
        <x:v>253</x:v>
      </x:c>
      <x:c r="B34" s="60" t="str">
        <x:f>VLOOKUP(A34,ECR!E:L,8,FALSE())</x:f>
        <x:v>Michael Penix Jr.</x:v>
      </x:c>
      <x:c r="C34" s="63" t="str">
        <x:f>IFERROR(VLOOKUP(Aggregate!$B34,ECR!C:F,2,FALSE()),"-")</x:f>
        <x:v>ATL</x:v>
      </x:c>
      <x:c r="D34" s="63" t="n">
        <x:f>IFERROR(VLOOKUP(Aggregate!$B34,ECR!C:F,4,FALSE()),"-")</x:f>
        <x:v>11</x:v>
      </x:c>
      <x:c r="E34" s="63" t="str">
        <x:f>Aggregate!$C34 &amp; "/" &amp; Aggregate!$D34</x:f>
        <x:v>ATL/11</x:v>
      </x:c>
      <x:c r="F34" s="67" t="n">
        <x:f>IFERROR(VLOOKUP(Aggregate!$B34,QB!A:Q,15,FALSE())/17*(16-Aggregate!$M34),0)</x:f>
        <x:v>63.849411764705884</x:v>
      </x:c>
      <x:c r="G34" s="67" t="n">
        <x:f>IFERROR(VLOOKUP(Aggregate!$B34,QB!A:Q,16,FALSE())/17*(16-Aggregate!$M34),0)</x:f>
        <x:v>87.1017411764706</x:v>
      </x:c>
      <x:c r="H34" s="67" t="n">
        <x:f>IFERROR(VLOOKUP(Aggregate!$B34,QB!A:Q,17,FALSE())/17*(16-Aggregate!$M34),0)</x:f>
        <x:v>112.92611764705883</x:v>
      </x:c>
      <x:c r="I34" s="70" t="n">
        <x:f>AVERAGE(Aggregate!$F34,Aggregate!$G34,Aggregate!$H34,VLOOKUP(Aggregate!$B34,ECR!L:N,3,FALSE))</x:f>
        <x:v>88.70211764705883</x:v>
      </x:c>
      <x:c r="J34" s="70" t="n">
        <x:f>Aggregate!$I34-$C$1</x:f>
        <x:v>-149.772167675</x:v>
      </x:c>
      <x:c r="K34" s="74" t="n">
        <x:f>MAX(Aggregate!$J34*Scoring!$B$48+1,1)</x:f>
        <x:v>1</x:v>
      </x:c>
      <x:c r="L34" s="75" t="n">
        <x:f>VLOOKUP(Aggregate!$J34,BH:BJ,3,FALSE)</x:f>
        <x:v>12</x:v>
      </x:c>
      <x:c r="M34" s="77" t="n">
        <x:f t="array" ref="M34">VLOOKUP(INDEX(ECR!$E:$E,MATCH(B34,ECR!$C:$C,0)),RISK!A:B,2,FALSE())</x:f>
        <x:v>3.2</x:v>
      </x:c>
      <x:c r="N34" s="78"/>
      <x:c r="O34" s="75" t="s">
        <x:v>254</x:v>
      </x:c>
      <x:c r="P34" s="60" t="str">
        <x:f>VLOOKUP(O34,ECR!E:L,8,FALSE())</x:f>
        <x:v>J.K. Dobbins</x:v>
      </x:c>
      <x:c r="Q34" s="63" t="str">
        <x:f>IFERROR(VLOOKUP(Aggregate!$P34,ECR!C:F,2,FALSE()),"-")</x:f>
        <x:v>DEN</x:v>
      </x:c>
      <x:c r="R34" s="63" t="n">
        <x:f>IFERROR(VLOOKUP(Aggregate!$P34,ECR!C:F,4,FALSE()),"-")</x:f>
        <x:v>10</x:v>
      </x:c>
      <x:c r="S34" s="63" t="str">
        <x:f>Aggregate!$Q34 &amp; "/" &amp; Aggregate!$R34</x:f>
        <x:v>DEN/10</x:v>
      </x:c>
      <x:c r="T34" s="67" t="n">
        <x:f>IFERROR(VLOOKUP(Aggregate!$P34,RB!A:Q,13,FALSE())/17*(16-Aggregate!$AA34),0)</x:f>
        <x:v>112.36207599999999</x:v>
      </x:c>
      <x:c r="U34" s="67" t="n">
        <x:f>IFERROR(VLOOKUP(Aggregate!$P34,RB!A:Q,14,FALSE())/17*(16-Aggregate!$AA34),0)</x:f>
        <x:v>125.501372</x:v>
      </x:c>
      <x:c r="V34" s="67" t="n">
        <x:f>IFERROR(VLOOKUP(Aggregate!$P34,RB!A:Q,15,FALSE())/17*(16-Aggregate!$AA34),0)</x:f>
        <x:v>139.10777599999997</x:v>
      </x:c>
      <x:c r="W34" s="70" t="n">
        <x:f>AVERAGE(Aggregate!$T34,Aggregate!$U34,Aggregate!$V34,VLOOKUP(Aggregate!$P34,ECR!L:N,3,FALSE))</x:f>
        <x:v>123.508137225</x:v>
      </x:c>
      <x:c r="X34" s="70" t="n">
        <x:f>Aggregate!$W34-$Q$1</x:f>
        <x:v>-6.492191900000009</x:v>
      </x:c>
      <x:c r="Y34" s="74" t="n">
        <x:f>MAX(Aggregate!$X34*Scoring!$B$48+1,1)</x:f>
        <x:v>1</x:v>
      </x:c>
      <x:c r="Z34" s="75" t="n">
        <x:f>VLOOKUP(Aggregate!$X34,BM:BO,3,FALSE)</x:f>
        <x:v>6</x:v>
      </x:c>
      <x:c r="AA34" s="77" t="n">
        <x:f t="array" ref="AA34">VLOOKUP(INDEX(ECR!$E:$E,MATCH(P34,ECR!$C:$C,0)),RISK!A:B,2,FALSE())</x:f>
        <x:v>3.1921999999999997</x:v>
      </x:c>
      <x:c r="AB34" s="78"/>
      <x:c r="AC34" s="63" t="s">
        <x:v>255</x:v>
      </x:c>
      <x:c r="AD34" s="63" t="str">
        <x:f>VLOOKUP(AC34,ECR!E:L,8,FALSE())</x:f>
        <x:v>Carnell Tate</x:v>
      </x:c>
      <x:c r="AE34" s="63" t="str">
        <x:f>IFERROR(VLOOKUP(Aggregate!$AD34,ECR!C:F,2,FALSE()),"-")</x:f>
        <x:v>TEN</x:v>
      </x:c>
      <x:c r="AF34" s="63" t="n">
        <x:f>IFERROR(VLOOKUP(Aggregate!$AD34,ECR!C:F,4,FALSE()),"-")</x:f>
        <x:v>9</x:v>
      </x:c>
      <x:c r="AG34" s="63" t="str">
        <x:f>Aggregate!$AE34 &amp; "/" &amp; Aggregate!$AF34</x:f>
        <x:v>TEN/9</x:v>
      </x:c>
      <x:c r="AH34" s="67" t="n">
        <x:f>IFERROR(VLOOKUP(Aggregate!$AD34,WR!A:Q,13,FALSE())/17*(16-Aggregate!$AO34),0)</x:f>
        <x:v>102.92861469176471</x:v>
      </x:c>
      <x:c r="AI34" s="67" t="n">
        <x:f>IFERROR(VLOOKUP(Aggregate!$AD34,WR!A:Q,14,FALSE())/17*(16-Aggregate!$AO34),0)</x:f>
        <x:v>117.95912928</x:v>
      </x:c>
      <x:c r="AJ34" s="67" t="n">
        <x:f>IFERROR(VLOOKUP(Aggregate!$AD34,WR!A:Q,15,FALSE())/17*(16-Aggregate!$AO34),0)</x:f>
        <x:v>134.73568622117648</x:v>
      </x:c>
      <x:c r="AK34" s="70" t="n">
        <x:f>AVERAGE(Aggregate!$AH34,Aggregate!$AI34,Aggregate!$AJ34,VLOOKUP(Aggregate!$AD34,ECR!L:N,3,FALSE))</x:f>
        <x:v>118.5307693232353</x:v>
      </x:c>
      <x:c r="AL34" s="70" t="n">
        <x:f>Aggregate!$AK34-$AE$1</x:f>
        <x:v>16.335857565882364</x:v>
      </x:c>
      <x:c r="AM34" s="74" t="n">
        <x:f>MAX(Aggregate!$AL34*Scoring!$B$48+1,1)</x:f>
        <x:v>10.83573899084383</x:v>
      </x:c>
      <x:c r="AN34" s="75" t="n">
        <x:f>VLOOKUP(Aggregate!$AL34,BR:BT,3,FALSE)</x:f>
        <x:v>5</x:v>
      </x:c>
      <x:c r="AO34" s="77" t="n">
        <x:f t="array" ref="AO34">VLOOKUP(INDEX(ECR!$E:$E,MATCH(AD34,ECR!$C:$C,0)),RISK!A:B,2,FALSE())</x:f>
        <x:v>3.632199999999999</x:v>
      </x:c>
      <x:c r="AP34" s="78"/>
      <x:c r="AQ34" s="87" t="s">
        <x:v>256</x:v>
      </x:c>
      <x:c r="AR34" s="87" t="str">
        <x:f>VLOOKUP(AQ34,ECR!E:L,8,FALSE())</x:f>
        <x:v>Greg Dulcich</x:v>
      </x:c>
      <x:c r="AS34" s="87" t="str">
        <x:f>IFERROR(VLOOKUP(Aggregate!$AR34,ECR!C:F,2,FALSE()),"-")</x:f>
        <x:v>MIA</x:v>
      </x:c>
      <x:c r="AT34" s="87" t="n">
        <x:f>IFERROR(VLOOKUP(Aggregate!$AR34,ECR!C:F,4,FALSE()),"-")</x:f>
        <x:v>6</x:v>
      </x:c>
      <x:c r="AU34" s="87" t="str">
        <x:f>Aggregate!$AS34 &amp; "/" &amp; Aggregate!$AT34</x:f>
        <x:v>MIA/6</x:v>
      </x:c>
      <x:c r="AV34" s="67" t="n">
        <x:f>IFERROR(VLOOKUP(Aggregate!$AR34,TE!A:K,9,FALSE())/17*(16-Aggregate!$BC34),0)</x:f>
        <x:v>74.75651235294117</x:v>
      </x:c>
      <x:c r="AW34" s="67" t="n">
        <x:f>IFERROR(VLOOKUP(Aggregate!$AR34,TE!A:K,10,FALSE())/17*(16-Aggregate!$BC34),0)</x:f>
        <x:v>87.14148588235294</x:v>
      </x:c>
      <x:c r="AX34" s="67" t="n">
        <x:f>IFERROR(VLOOKUP(Aggregate!$AR34,TE!A:K,11,FALSE())/17*(16-Aggregate!$BC34),0)</x:f>
        <x:v>97.4555294117647</x:v>
      </x:c>
      <x:c r="AY34" s="70" t="n">
        <x:f>AVERAGE(Aggregate!$AV34,Aggregate!$AW34,Aggregate!$AX34,VLOOKUP(Aggregate!$AR34,ECR!L:N,3,FALSE))</x:f>
        <x:v>82.2037390592647</x:v>
      </x:c>
      <x:c r="AZ34" s="70" t="n">
        <x:f>Aggregate!$AY34-$AS$1</x:f>
        <x:v>-23.25779955249999</x:v>
      </x:c>
      <x:c r="BA34" s="74" t="n">
        <x:f>MAX(Aggregate!$AZ34*Scoring!$B$48+1,1)</x:f>
        <x:v>1</x:v>
      </x:c>
      <x:c r="BB34" s="67" t="n">
        <x:f>VLOOKUP(Aggregate!$AZ34,BW:BY,3,FALSE)</x:f>
        <x:v>6</x:v>
      </x:c>
      <x:c r="BC34" s="77" t="n">
        <x:f t="array" ref="BC34">VLOOKUP(INDEX(ECR!$E:$E,MATCH(AR34,ECR!$C:$C,0)),RISK!A:B,2,FALSE())</x:f>
        <x:v>2.1938</x:v>
      </x:c>
      <x:c r="BD34" s="67"/>
      <x:c r="BE34" s="78"/>
      <x:c r="BF34" s="78">
        <x:v>32.0</x:v>
      </x:c>
      <x:c r="BG34" s="78">
        <x:f t="shared" si="1"/>
        <x:v>90.9312</x:v>
      </x:c>
      <x:c r="BH34" s="78" t="n">
        <x:f>IFERROR(LARGE($J$3:$J$52,32),"")</x:f>
        <x:v>-144.4789912</x:v>
      </x:c>
      <x:c r="BI34" s="78">
        <x:f t="shared" si="5"/>
        <x:v>-138.7635475</x:v>
      </x:c>
      <x:c r="BJ34" s="78">
        <x:f t="shared" si="6"/>
        <x:v>11</x:v>
      </x:c>
      <x:c r="BK34" s="89">
        <x:v>32.0</x:v>
      </x:c>
      <x:c r="BL34" s="78">
        <x:f t="shared" si="2"/>
        <x:v>117.0613249</x:v>
      </x:c>
      <x:c r="BM34" s="90" t="n">
        <x:f>IFERROR(LARGE($X$3:$X$102,32),"")</x:f>
        <x:v>-13.141835161764732</x:v>
      </x:c>
      <x:c r="BN34" s="90">
        <x:f t="shared" si="7"/>
        <x:v>24.52596682</x:v>
      </x:c>
      <x:c r="BO34" s="91">
        <x:f t="shared" si="8"/>
        <x:v>6</x:v>
      </x:c>
      <x:c r="BP34" s="90">
        <x:v>32.0</x:v>
      </x:c>
      <x:c r="BQ34" s="78">
        <x:f t="shared" si="3"/>
        <x:v>118.4996471</x:v>
      </x:c>
      <x:c r="BR34" s="90" t="n">
        <x:f>IFERROR(LARGE($AL$3:$AL$102,32),"")</x:f>
        <x:v>15.954355861764725</x:v>
      </x:c>
      <x:c r="BS34" s="90">
        <x:f t="shared" si="9"/>
        <x:v>19.0292711</x:v>
      </x:c>
      <x:c r="BT34" s="90">
        <x:f t="shared" si="10"/>
        <x:v>5</x:v>
      </x:c>
      <x:c r="BU34" s="78">
        <x:v>32.0</x:v>
      </x:c>
      <x:c r="BV34" s="78">
        <x:f t="shared" si="4"/>
        <x:v>69.46142859</x:v>
      </x:c>
      <x:c r="BW34" s="90" t="n">
        <x:f>IFERROR(LARGE($AZ$3:$AZ$52,32),"")</x:f>
        <x:v>-38.08525228794116</x:v>
      </x:c>
      <x:c r="BX34" s="90">
        <x:f t="shared" si="11"/>
        <x:v>-32.97569397</x:v>
      </x:c>
      <x:c r="BY34" s="90">
        <x:f t="shared" si="12"/>
        <x:v>7</x:v>
      </x:c>
      <x:c r="BZ34" s="90"/>
      <x:c r="CA34" s="90"/>
      <x:c r="CB34" s="90"/>
      <x:c r="CC34" s="90"/>
      <x:c r="CD34" s="90"/>
      <x:c r="CE34" s="90"/>
      <x:c r="CF34" s="90"/>
      <x:c r="CG34" s="90"/>
    </x:row>
    <x:row r="35" ht="14.25" customHeight="1">
      <x:c r="A35" s="60" t="s">
        <x:v>257</x:v>
      </x:c>
      <x:c r="B35" s="60" t="str">
        <x:f>VLOOKUP(A35,ECR!E:L,8,FALSE())</x:f>
        <x:v>Kirk Cousins</x:v>
      </x:c>
      <x:c r="C35" s="63" t="str">
        <x:f>IFERROR(VLOOKUP(Aggregate!$B35,ECR!C:F,2,FALSE()),"-")</x:f>
        <x:v>LV</x:v>
      </x:c>
      <x:c r="D35" s="63" t="n">
        <x:f>IFERROR(VLOOKUP(Aggregate!$B35,ECR!C:F,4,FALSE()),"-")</x:f>
        <x:v>13</x:v>
      </x:c>
      <x:c r="E35" s="63" t="str">
        <x:f>Aggregate!$C35 &amp; "/" &amp; Aggregate!$D35</x:f>
        <x:v>LV/13</x:v>
      </x:c>
      <x:c r="F35" s="67" t="n">
        <x:f>IFERROR(VLOOKUP(Aggregate!$B35,QB!A:Q,15,FALSE())/17*(16-Aggregate!$M35),0)</x:f>
        <x:v>24.651294117647062</x:v>
      </x:c>
      <x:c r="G35" s="67" t="n">
        <x:f>IFERROR(VLOOKUP(Aggregate!$B35,QB!A:Q,16,FALSE())/17*(16-Aggregate!$M35),0)</x:f>
        <x:v>33.153505882352945</x:v>
      </x:c>
      <x:c r="H35" s="67" t="n">
        <x:f>IFERROR(VLOOKUP(Aggregate!$B35,QB!A:Q,17,FALSE())/17*(16-Aggregate!$M35),0)</x:f>
        <x:v>40.92988235294118</x:v>
      </x:c>
      <x:c r="I35" s="70" t="n">
        <x:f>AVERAGE(Aggregate!$F35,Aggregate!$G35,Aggregate!$H35,VLOOKUP(Aggregate!$B35,ECR!L:N,3,FALSE))</x:f>
        <x:v>47.023811765735296</x:v>
      </x:c>
      <x:c r="J35" s="70" t="n">
        <x:f>Aggregate!$I35-$C$1</x:f>
        <x:v>-191.45047355632352</x:v>
      </x:c>
      <x:c r="K35" s="74" t="n">
        <x:f>MAX(Aggregate!$J35*Scoring!$B$48+1,1)</x:f>
        <x:v>1</x:v>
      </x:c>
      <x:c r="L35" s="75" t="n">
        <x:f>VLOOKUP(Aggregate!$J35,BH:BJ,3,FALSE)</x:f>
        <x:v>13</x:v>
      </x:c>
      <x:c r="M35" s="77" t="n">
        <x:f t="array" ref="M35">VLOOKUP(INDEX(ECR!$E:$E,MATCH(B35,ECR!$C:$C,0)),RISK!A:B,2,FALSE())</x:f>
        <x:v>3.2</x:v>
      </x:c>
      <x:c r="N35" s="78"/>
      <x:c r="O35" s="75" t="s">
        <x:v>258</x:v>
      </x:c>
      <x:c r="P35" s="60" t="str">
        <x:f>VLOOKUP(O35,ECR!E:L,8,FALSE())</x:f>
        <x:v>Chuba Hubbard</x:v>
      </x:c>
      <x:c r="Q35" s="63" t="str">
        <x:f>IFERROR(VLOOKUP(Aggregate!$P35,ECR!C:F,2,FALSE()),"-")</x:f>
        <x:v>CAR</x:v>
      </x:c>
      <x:c r="R35" s="63" t="n">
        <x:f>IFERROR(VLOOKUP(Aggregate!$P35,ECR!C:F,4,FALSE()),"-")</x:f>
        <x:v>5</x:v>
      </x:c>
      <x:c r="S35" s="63" t="str">
        <x:f>Aggregate!$Q35 &amp; "/" &amp; Aggregate!$R35</x:f>
        <x:v>CAR/5</x:v>
      </x:c>
      <x:c r="T35" s="67" t="n">
        <x:f>IFERROR(VLOOKUP(Aggregate!$P35,RB!A:Q,13,FALSE())/17*(16-Aggregate!$AA35),0)</x:f>
        <x:v>102.50852682352941</x:v>
      </x:c>
      <x:c r="U35" s="67" t="n">
        <x:f>IFERROR(VLOOKUP(Aggregate!$P35,RB!A:Q,14,FALSE())/17*(16-Aggregate!$AA35),0)</x:f>
        <x:v>117.06132494117647</x:v>
      </x:c>
      <x:c r="V35" s="67" t="n">
        <x:f>IFERROR(VLOOKUP(Aggregate!$P35,RB!A:Q,15,FALSE())/17*(16-Aggregate!$AA35),0)</x:f>
        <x:v>135.1245345882353</x:v>
      </x:c>
      <x:c r="W35" s="70" t="n">
        <x:f>AVERAGE(Aggregate!$T35,Aggregate!$U35,Aggregate!$V35,VLOOKUP(Aggregate!$P35,ECR!L:N,3,FALSE))</x:f>
        <x:v>116.85849396323528</x:v>
      </x:c>
      <x:c r="X35" s="70" t="n">
        <x:f>Aggregate!$W35-$Q$1</x:f>
        <x:v>-13.141835161764732</x:v>
      </x:c>
      <x:c r="Y35" s="74" t="n">
        <x:f>MAX(Aggregate!$X35*Scoring!$B$48+1,1)</x:f>
        <x:v>1</x:v>
      </x:c>
      <x:c r="Z35" s="75" t="n">
        <x:f>VLOOKUP(Aggregate!$X35,BM:BO,3,FALSE)</x:f>
        <x:v>6</x:v>
      </x:c>
      <x:c r="AA35" s="77" t="n">
        <x:f t="array" ref="AA35">VLOOKUP(INDEX(ECR!$E:$E,MATCH(P35,ECR!$C:$C,0)),RISK!A:B,2,FALSE())</x:f>
        <x:v>3.2211999999999996</x:v>
      </x:c>
      <x:c r="AB35" s="78"/>
      <x:c r="AC35" s="63" t="s">
        <x:v>259</x:v>
      </x:c>
      <x:c r="AD35" s="63" t="str">
        <x:f>VLOOKUP(AC35,ECR!E:L,8,FALSE())</x:f>
        <x:v>Brian Thomas Jr.</x:v>
      </x:c>
      <x:c r="AE35" s="63" t="str">
        <x:f>IFERROR(VLOOKUP(Aggregate!$AD35,ECR!C:F,2,FALSE()),"-")</x:f>
        <x:v>JAC</x:v>
      </x:c>
      <x:c r="AF35" s="63" t="n">
        <x:f>IFERROR(VLOOKUP(Aggregate!$AD35,ECR!C:F,4,FALSE()),"-")</x:f>
        <x:v>7</x:v>
      </x:c>
      <x:c r="AG35" s="63" t="str">
        <x:f>Aggregate!$AE35 &amp; "/" &amp; Aggregate!$AF35</x:f>
        <x:v>JAC/7</x:v>
      </x:c>
      <x:c r="AH35" s="67" t="n">
        <x:f>IFERROR(VLOOKUP(Aggregate!$AD35,WR!A:Q,13,FALSE())/17*(16-Aggregate!$AO35),0)</x:f>
        <x:v>100.40265529411765</x:v>
      </x:c>
      <x:c r="AI35" s="67" t="n">
        <x:f>IFERROR(VLOOKUP(Aggregate!$AD35,WR!A:Q,14,FALSE())/17*(16-Aggregate!$AO35),0)</x:f>
        <x:v>110.34874805882355</x:v>
      </x:c>
      <x:c r="AJ35" s="67" t="n">
        <x:f>IFERROR(VLOOKUP(Aggregate!$AD35,WR!A:Q,15,FALSE())/17*(16-Aggregate!$AO35),0)</x:f>
        <x:v>122.93167823529413</x:v>
      </x:c>
      <x:c r="AK35" s="70" t="n">
        <x:f>AVERAGE(Aggregate!$AH35,Aggregate!$AI35,Aggregate!$AJ35,VLOOKUP(Aggregate!$AD35,ECR!L:N,3,FALSE))</x:f>
        <x:v>112.94077039705883</x:v>
      </x:c>
      <x:c r="AL35" s="70" t="n">
        <x:f>Aggregate!$AK35-$AE$1</x:f>
        <x:v>10.745858639705887</x:v>
      </x:c>
      <x:c r="AM35" s="74" t="n">
        <x:f>MAX(Aggregate!$AL35*Scoring!$B$48+1,1)</x:f>
        <x:v>7.470028303466191</x:v>
      </x:c>
      <x:c r="AN35" s="75" t="n">
        <x:f>VLOOKUP(Aggregate!$AL35,BR:BT,3,FALSE)</x:f>
        <x:v>5</x:v>
      </x:c>
      <x:c r="AO35" s="77" t="n">
        <x:f t="array" ref="AO35">VLOOKUP(INDEX(ECR!$E:$E,MATCH(AD35,ECR!$C:$C,0)),RISK!A:B,2,FALSE())</x:f>
        <x:v>3.6850999999999985</x:v>
      </x:c>
      <x:c r="AP35" s="78"/>
      <x:c r="AQ35" s="87" t="s">
        <x:v>260</x:v>
      </x:c>
      <x:c r="AR35" s="87" t="str">
        <x:f>VLOOKUP(AQ35,ECR!E:L,8,FALSE())</x:f>
        <x:v>Mason Taylor</x:v>
      </x:c>
      <x:c r="AS35" s="87" t="str">
        <x:f>IFERROR(VLOOKUP(Aggregate!$AR35,ECR!C:F,2,FALSE()),"-")</x:f>
        <x:v>NYJ</x:v>
      </x:c>
      <x:c r="AT35" s="87" t="n">
        <x:f>IFERROR(VLOOKUP(Aggregate!$AR35,ECR!C:F,4,FALSE()),"-")</x:f>
        <x:v>13</x:v>
      </x:c>
      <x:c r="AU35" s="87" t="str">
        <x:f>Aggregate!$AS35 &amp; "/" &amp; Aggregate!$AT35</x:f>
        <x:v>NYJ/13</x:v>
      </x:c>
      <x:c r="AV35" s="67" t="n">
        <x:f>IFERROR(VLOOKUP(Aggregate!$AR35,TE!A:K,9,FALSE())/17*(16-Aggregate!$BC35),0)</x:f>
        <x:v>40.76889647058824</x:v>
      </x:c>
      <x:c r="AW35" s="67" t="n">
        <x:f>IFERROR(VLOOKUP(Aggregate!$AR35,TE!A:K,10,FALSE())/17*(16-Aggregate!$BC35),0)</x:f>
        <x:v>62.98063588235295</x:v>
      </x:c>
      <x:c r="AX35" s="67" t="n">
        <x:f>IFERROR(VLOOKUP(Aggregate!$AR35,TE!A:K,11,FALSE())/17*(16-Aggregate!$BC35),0)</x:f>
        <x:v>81.29415411764705</x:v>
      </x:c>
      <x:c r="AY35" s="70" t="n">
        <x:f>AVERAGE(Aggregate!$AV35,Aggregate!$AW35,Aggregate!$AX35,VLOOKUP(Aggregate!$AR35,ECR!L:N,3,FALSE))</x:f>
        <x:v>62.53762464764706</x:v>
      </x:c>
      <x:c r="AZ35" s="70" t="n">
        <x:f>Aggregate!$AY35-$AS$1</x:f>
        <x:v>-42.92391396411764</x:v>
      </x:c>
      <x:c r="BA35" s="74" t="n">
        <x:f>MAX(Aggregate!$AZ35*Scoring!$B$48+1,1)</x:f>
        <x:v>1</x:v>
      </x:c>
      <x:c r="BB35" s="67" t="n">
        <x:f>VLOOKUP(Aggregate!$AZ35,BW:BY,3,FALSE)</x:f>
        <x:v>7</x:v>
      </x:c>
      <x:c r="BC35" s="77" t="n">
        <x:f t="array" ref="BC35">VLOOKUP(INDEX(ECR!$E:$E,MATCH(AR35,ECR!$C:$C,0)),RISK!A:B,2,FALSE())</x:f>
        <x:v>2.1938</x:v>
      </x:c>
      <x:c r="BD35" s="67"/>
      <x:c r="BE35" s="78"/>
      <x:c r="BF35" s="78">
        <x:v>33.0</x:v>
      </x:c>
      <x:c r="BG35" s="78">
        <x:f t="shared" si="1"/>
        <x:v>89.36056471</x:v>
      </x:c>
      <x:c r="BH35" s="78" t="n">
        <x:f>IFERROR(LARGE($J$3:$J$52,33),"")</x:f>
        <x:v>-149.772167675</x:v>
      </x:c>
      <x:c r="BI35" s="78">
        <x:f t="shared" si="5"/>
        <x:v>-153.5874534</x:v>
      </x:c>
      <x:c r="BJ35" s="78">
        <x:f t="shared" si="6"/>
        <x:v>12</x:v>
      </x:c>
      <x:c r="BK35" s="89">
        <x:v>33.0</x:v>
      </x:c>
      <x:c r="BL35" s="78">
        <x:f t="shared" si="2"/>
        <x:v>112.7395895</x:v>
      </x:c>
      <x:c r="BM35" s="90" t="n">
        <x:f>IFERROR(LARGE($X$3:$X$102,33),"")</x:f>
        <x:v>-14.405639350000015</x:v>
      </x:c>
      <x:c r="BN35" s="90">
        <x:f t="shared" si="7"/>
        <x:v>24.52596682</x:v>
      </x:c>
      <x:c r="BO35" s="91">
        <x:f t="shared" si="8"/>
        <x:v>6</x:v>
      </x:c>
      <x:c r="BP35" s="90">
        <x:v>33.0</x:v>
      </x:c>
      <x:c r="BQ35" s="78">
        <x:f t="shared" si="3"/>
        <x:v>118.08</x:v>
      </x:c>
      <x:c r="BR35" s="90" t="n">
        <x:f>IFERROR(LARGE($AL$3:$AL$102,33),"")</x:f>
        <x:v>14.717407620588233</x:v>
      </x:c>
      <x:c r="BS35" s="90">
        <x:f t="shared" si="9"/>
        <x:v>19.0292711</x:v>
      </x:c>
      <x:c r="BT35" s="90">
        <x:f t="shared" si="10"/>
        <x:v>5</x:v>
      </x:c>
      <x:c r="BU35" s="78">
        <x:v>33.0</x:v>
      </x:c>
      <x:c r="BV35" s="78">
        <x:f t="shared" si="4"/>
        <x:v>65.10681212</x:v>
      </x:c>
      <x:c r="BW35" s="90" t="n">
        <x:f>IFERROR(LARGE($AZ$3:$AZ$52,33),"")</x:f>
        <x:v>-39.811027287205874</x:v>
      </x:c>
      <x:c r="BX35" s="90">
        <x:f t="shared" si="11"/>
        <x:v>-32.97569397</x:v>
      </x:c>
      <x:c r="BY35" s="90">
        <x:f t="shared" si="12"/>
        <x:v>7</x:v>
      </x:c>
      <x:c r="BZ35" s="90"/>
      <x:c r="CA35" s="90"/>
      <x:c r="CB35" s="90"/>
      <x:c r="CC35" s="90"/>
      <x:c r="CD35" s="90"/>
      <x:c r="CE35" s="90"/>
      <x:c r="CF35" s="90"/>
      <x:c r="CG35" s="90"/>
    </x:row>
    <x:row r="36" ht="14.25" customHeight="1">
      <x:c r="A36" s="60" t="s">
        <x:v>261</x:v>
      </x:c>
      <x:c r="B36" s="60" t="str">
        <x:f>VLOOKUP(A36,ECR!E:L,8,FALSE())</x:f>
        <x:v>Deshaun Watson</x:v>
      </x:c>
      <x:c r="C36" s="63" t="str">
        <x:f>IFERROR(VLOOKUP(Aggregate!$B36,ECR!C:F,2,FALSE()),"-")</x:f>
        <x:v>CLE</x:v>
      </x:c>
      <x:c r="D36" s="63" t="n">
        <x:f>IFERROR(VLOOKUP(Aggregate!$B36,ECR!C:F,4,FALSE()),"-")</x:f>
        <x:v>11</x:v>
      </x:c>
      <x:c r="E36" s="63" t="str">
        <x:f>Aggregate!$C36 &amp; "/" &amp; Aggregate!$D36</x:f>
        <x:v>CLE/11</x:v>
      </x:c>
      <x:c r="F36" s="67" t="n">
        <x:f>IFERROR(VLOOKUP(Aggregate!$B36,QB!A:Q,15,FALSE())/17*(16-Aggregate!$M36),0)</x:f>
        <x:v>84.86851764705884</x:v>
      </x:c>
      <x:c r="G36" s="67" t="n">
        <x:f>IFERROR(VLOOKUP(Aggregate!$B36,QB!A:Q,16,FALSE())/17*(16-Aggregate!$M36),0)</x:f>
        <x:v>110.14927058823532</x:v>
      </x:c>
      <x:c r="H36" s="67" t="n">
        <x:f>IFERROR(VLOOKUP(Aggregate!$B36,QB!A:Q,17,FALSE())/17*(16-Aggregate!$M36),0)</x:f>
        <x:v>146.80847058823528</x:v>
      </x:c>
      <x:c r="I36" s="70" t="n">
        <x:f>AVERAGE(Aggregate!$F36,Aggregate!$G36,Aggregate!$H36,VLOOKUP(Aggregate!$B36,ECR!L:N,3,FALSE))</x:f>
        <x:v>102.45308235338236</x:v>
      </x:c>
      <x:c r="J36" s="70" t="n">
        <x:f>Aggregate!$I36-$C$1</x:f>
        <x:v>-136.02120296867645</x:v>
      </x:c>
      <x:c r="K36" s="74" t="n">
        <x:f>MAX(Aggregate!$J36*Scoring!$B$48+1,1)</x:f>
        <x:v>1</x:v>
      </x:c>
      <x:c r="L36" s="75" t="n">
        <x:f>VLOOKUP(Aggregate!$J36,BH:BJ,3,FALSE)</x:f>
        <x:v>11</x:v>
      </x:c>
      <x:c r="M36" s="77" t="n">
        <x:f t="array" ref="M36">VLOOKUP(INDEX(ECR!$E:$E,MATCH(B36,ECR!$C:$C,0)),RISK!A:B,2,FALSE())</x:f>
        <x:v>3.2</x:v>
      </x:c>
      <x:c r="N36" s="78"/>
      <x:c r="O36" s="75" t="s">
        <x:v>262</x:v>
      </x:c>
      <x:c r="P36" s="60" t="str">
        <x:f>VLOOKUP(O36,ECR!E:L,8,FALSE())</x:f>
        <x:v>Blake Corum</x:v>
      </x:c>
      <x:c r="Q36" s="63" t="str">
        <x:f>IFERROR(VLOOKUP(Aggregate!$P36,ECR!C:F,2,FALSE()),"-")</x:f>
        <x:v>LAR</x:v>
      </x:c>
      <x:c r="R36" s="63" t="n">
        <x:f>IFERROR(VLOOKUP(Aggregate!$P36,ECR!C:F,4,FALSE()),"-")</x:f>
        <x:v>11</x:v>
      </x:c>
      <x:c r="S36" s="63" t="str">
        <x:f>Aggregate!$Q36 &amp; "/" &amp; Aggregate!$R36</x:f>
        <x:v>LAR/11</x:v>
      </x:c>
      <x:c r="T36" s="67" t="n">
        <x:f>IFERROR(VLOOKUP(Aggregate!$P36,RB!A:Q,13,FALSE())/17*(16-Aggregate!$AA36),0)</x:f>
        <x:v>86.24458823529412</x:v>
      </x:c>
      <x:c r="U36" s="67" t="n">
        <x:f>IFERROR(VLOOKUP(Aggregate!$P36,RB!A:Q,14,FALSE())/17*(16-Aggregate!$AA36),0)</x:f>
        <x:v>99.24877223529413</x:v>
      </x:c>
      <x:c r="V36" s="67" t="n">
        <x:f>IFERROR(VLOOKUP(Aggregate!$P36,RB!A:Q,15,FALSE())/17*(16-Aggregate!$AA36),0)</x:f>
        <x:v>112.80042188235294</x:v>
      </x:c>
      <x:c r="W36" s="70" t="n">
        <x:f>AVERAGE(Aggregate!$T36,Aggregate!$U36,Aggregate!$V36,VLOOKUP(Aggregate!$P36,ECR!L:N,3,FALSE))</x:f>
        <x:v>101.50003971323531</x:v>
      </x:c>
      <x:c r="X36" s="70" t="n">
        <x:f>Aggregate!$W36-$Q$1</x:f>
        <x:v>-28.500289411764697</x:v>
      </x:c>
      <x:c r="Y36" s="74" t="n">
        <x:f>MAX(Aggregate!$X36*Scoring!$B$48+1,1)</x:f>
        <x:v>1</x:v>
      </x:c>
      <x:c r="Z36" s="75" t="n">
        <x:f>VLOOKUP(Aggregate!$X36,BM:BO,3,FALSE)</x:f>
        <x:v>7</x:v>
      </x:c>
      <x:c r="AA36" s="77" t="n">
        <x:f t="array" ref="AA36">VLOOKUP(INDEX(ECR!$E:$E,MATCH(P36,ECR!$C:$C,0)),RISK!A:B,2,FALSE())</x:f>
        <x:v>3.2508</x:v>
      </x:c>
      <x:c r="AB36" s="78"/>
      <x:c r="AC36" s="63" t="s">
        <x:v>263</x:v>
      </x:c>
      <x:c r="AD36" s="63" t="str">
        <x:f>VLOOKUP(AC36,ECR!E:L,8,FALSE())</x:f>
        <x:v>DK Metcalf</x:v>
      </x:c>
      <x:c r="AE36" s="63" t="str">
        <x:f>IFERROR(VLOOKUP(Aggregate!$AD36,ECR!C:F,2,FALSE()),"-")</x:f>
        <x:v>PIT</x:v>
      </x:c>
      <x:c r="AF36" s="63" t="n">
        <x:f>IFERROR(VLOOKUP(Aggregate!$AD36,ECR!C:F,4,FALSE()),"-")</x:f>
        <x:v>9</x:v>
      </x:c>
      <x:c r="AG36" s="63" t="str">
        <x:f>Aggregate!$AE36 &amp; "/" &amp; Aggregate!$AF36</x:f>
        <x:v>PIT/9</x:v>
      </x:c>
      <x:c r="AH36" s="67" t="n">
        <x:f>IFERROR(VLOOKUP(Aggregate!$AD36,WR!A:Q,13,FALSE())/17*(16-Aggregate!$AO36),0)</x:f>
        <x:v>112.0023529411765</x:v>
      </x:c>
      <x:c r="AI36" s="67" t="n">
        <x:f>IFERROR(VLOOKUP(Aggregate!$AD36,WR!A:Q,14,FALSE())/17*(16-Aggregate!$AO36),0)</x:f>
        <x:v>118.08</x:v>
      </x:c>
      <x:c r="AJ36" s="67" t="n">
        <x:f>IFERROR(VLOOKUP(Aggregate!$AD36,WR!A:Q,15,FALSE())/17*(16-Aggregate!$AO36),0)</x:f>
        <x:v>124.55558823529412</x:v>
      </x:c>
      <x:c r="AK36" s="70" t="n">
        <x:f>AVERAGE(Aggregate!$AH36,Aggregate!$AI36,Aggregate!$AJ36,VLOOKUP(Aggregate!$AD36,ECR!L:N,3,FALSE))</x:f>
        <x:v>118.14926761911767</x:v>
      </x:c>
      <x:c r="AL36" s="70" t="n">
        <x:f>Aggregate!$AK36-$AE$1</x:f>
        <x:v>15.954355861764725</x:v>
      </x:c>
      <x:c r="AM36" s="74" t="n">
        <x:f>MAX(Aggregate!$AL36*Scoring!$B$48+1,1)</x:f>
        <x:v>10.60603870292628</x:v>
      </x:c>
      <x:c r="AN36" s="75" t="n">
        <x:f>VLOOKUP(Aggregate!$AL36,BR:BT,3,FALSE)</x:f>
        <x:v>5</x:v>
      </x:c>
      <x:c r="AO36" s="77" t="n">
        <x:f t="array" ref="AO36">VLOOKUP(INDEX(ECR!$E:$E,MATCH(AD36,ECR!$C:$C,0)),RISK!A:B,2,FALSE())</x:f>
        <x:v>3.7</x:v>
      </x:c>
      <x:c r="AP36" s="78"/>
      <x:c r="AQ36" s="87" t="s">
        <x:v>264</x:v>
      </x:c>
      <x:c r="AR36" s="87" t="str">
        <x:f>VLOOKUP(AQ36,ECR!E:L,8,FALSE())</x:f>
        <x:v>Theo Johnson</x:v>
      </x:c>
      <x:c r="AS36" s="87" t="str">
        <x:f>IFERROR(VLOOKUP(Aggregate!$AR36,ECR!C:F,2,FALSE()),"-")</x:f>
        <x:v>NYG</x:v>
      </x:c>
      <x:c r="AT36" s="87" t="n">
        <x:f>IFERROR(VLOOKUP(Aggregate!$AR36,ECR!C:F,4,FALSE()),"-")</x:f>
        <x:v>8</x:v>
      </x:c>
      <x:c r="AU36" s="87" t="str">
        <x:f>Aggregate!$AS36 &amp; "/" &amp; Aggregate!$AT36</x:f>
        <x:v>NYG/8</x:v>
      </x:c>
      <x:c r="AV36" s="67" t="n">
        <x:f>IFERROR(VLOOKUP(Aggregate!$AR36,TE!A:K,9,FALSE())/17*(16-Aggregate!$BC36),0)</x:f>
        <x:v>39.33954870588235</x:v>
      </x:c>
      <x:c r="AW36" s="67" t="n">
        <x:f>IFERROR(VLOOKUP(Aggregate!$AR36,TE!A:K,10,FALSE())/17*(16-Aggregate!$BC36),0)</x:f>
        <x:v>50.70123917647059</x:v>
      </x:c>
      <x:c r="AX36" s="67" t="n">
        <x:f>IFERROR(VLOOKUP(Aggregate!$AR36,TE!A:K,11,FALSE())/17*(16-Aggregate!$BC36),0)</x:f>
        <x:v>69.43706470588235</x:v>
      </x:c>
      <x:c r="AY36" s="70" t="n">
        <x:f>AVERAGE(Aggregate!$AV36,Aggregate!$AW36,Aggregate!$AX36,VLOOKUP(Aggregate!$AR36,ECR!L:N,3,FALSE))</x:f>
        <x:v>55.59431888205882</x:v>
      </x:c>
      <x:c r="AZ36" s="70" t="n">
        <x:f>Aggregate!$AY36-$AS$1</x:f>
        <x:v>-49.86721972970587</x:v>
      </x:c>
      <x:c r="BA36" s="74" t="n">
        <x:f>MAX(Aggregate!$AZ36*Scoring!$B$48+1,1)</x:f>
        <x:v>1</x:v>
      </x:c>
      <x:c r="BB36" s="67" t="n">
        <x:f>VLOOKUP(Aggregate!$AZ36,BW:BY,3,FALSE)</x:f>
        <x:v>8</x:v>
      </x:c>
      <x:c r="BC36" s="77" t="n">
        <x:f t="array" ref="BC36">VLOOKUP(INDEX(ECR!$E:$E,MATCH(AR36,ECR!$C:$C,0)),RISK!A:B,2,FALSE())</x:f>
        <x:v>2.1938</x:v>
      </x:c>
      <x:c r="BD36" s="67"/>
      <x:c r="BE36" s="78"/>
      <x:c r="BF36" s="78">
        <x:v>34.0</x:v>
      </x:c>
      <x:c r="BG36" s="78">
        <x:f t="shared" si="1"/>
        <x:v>67.98607059</x:v>
      </x:c>
      <x:c r="BH36" s="78" t="n">
        <x:f>IFERROR(LARGE($J$3:$J$52,34),"")</x:f>
        <x:v>-183.17715591073528</x:v>
      </x:c>
      <x:c r="BI36" s="78">
        <x:f t="shared" si="5"/>
        <x:v>-186.2771475</x:v>
      </x:c>
      <x:c r="BJ36" s="78">
        <x:f t="shared" si="6"/>
        <x:v>13</x:v>
      </x:c>
      <x:c r="BK36" s="89">
        <x:v>34.0</x:v>
      </x:c>
      <x:c r="BL36" s="78">
        <x:f t="shared" si="2"/>
        <x:v>107.7063765</x:v>
      </x:c>
      <x:c r="BM36" s="90" t="n">
        <x:f>IFERROR(LARGE($X$3:$X$102,34),"")</x:f>
        <x:v>-22.895678702941197</x:v>
      </x:c>
      <x:c r="BN36" s="90">
        <x:f t="shared" si="7"/>
        <x:v>24.52596682</x:v>
      </x:c>
      <x:c r="BO36" s="91">
        <x:f t="shared" si="8"/>
        <x:v>6</x:v>
      </x:c>
      <x:c r="BP36" s="90">
        <x:v>34.0</x:v>
      </x:c>
      <x:c r="BQ36" s="78">
        <x:f t="shared" si="3"/>
        <x:v>117.9591293</x:v>
      </x:c>
      <x:c r="BR36" s="90" t="n">
        <x:f>IFERROR(LARGE($AL$3:$AL$102,34),"")</x:f>
        <x:v>14.489400016176475</x:v>
      </x:c>
      <x:c r="BS36" s="90">
        <x:f t="shared" si="9"/>
        <x:v>19.0292711</x:v>
      </x:c>
      <x:c r="BT36" s="90">
        <x:f t="shared" si="10"/>
        <x:v>5</x:v>
      </x:c>
      <x:c r="BU36" s="78">
        <x:v>34.0</x:v>
      </x:c>
      <x:c r="BV36" s="78">
        <x:f t="shared" si="4"/>
        <x:v>62.89942294</x:v>
      </x:c>
      <x:c r="BW36" s="90" t="n">
        <x:f>IFERROR(LARGE($AZ$3:$AZ$52,34),"")</x:f>
        <x:v>-40.251208405588216</x:v>
      </x:c>
      <x:c r="BX36" s="90">
        <x:f t="shared" si="11"/>
        <x:v>-32.97569397</x:v>
      </x:c>
      <x:c r="BY36" s="90">
        <x:f t="shared" si="12"/>
        <x:v>7</x:v>
      </x:c>
      <x:c r="BZ36" s="90"/>
      <x:c r="CA36" s="90"/>
      <x:c r="CB36" s="90"/>
      <x:c r="CC36" s="90"/>
      <x:c r="CD36" s="90"/>
      <x:c r="CE36" s="90"/>
      <x:c r="CF36" s="90"/>
      <x:c r="CG36" s="90"/>
    </x:row>
    <x:row r="37" ht="14.25" customHeight="1">
      <x:c r="A37" s="60" t="s">
        <x:v>265</x:v>
      </x:c>
      <x:c r="B37" s="60" t="str">
        <x:f>VLOOKUP(A37,ECR!E:L,8,FALSE())</x:f>
        <x:v>Shedeur Sanders</x:v>
      </x:c>
      <x:c r="C37" s="63" t="str">
        <x:f>IFERROR(VLOOKUP(Aggregate!$B37,ECR!C:F,2,FALSE()),"-")</x:f>
        <x:v>CLE</x:v>
      </x:c>
      <x:c r="D37" s="63" t="n">
        <x:f>IFERROR(VLOOKUP(Aggregate!$B37,ECR!C:F,4,FALSE()),"-")</x:f>
        <x:v>11</x:v>
      </x:c>
      <x:c r="E37" s="63" t="str">
        <x:f>Aggregate!$C37 &amp; "/" &amp; Aggregate!$D37</x:f>
        <x:v>CLE/11</x:v>
      </x:c>
      <x:c r="F37" s="67" t="n">
        <x:f>IFERROR(VLOOKUP(Aggregate!$B37,QB!A:Q,15,FALSE())/17*(16-Aggregate!$M37),0)</x:f>
        <x:v>23.808</x:v>
      </x:c>
      <x:c r="G37" s="67" t="n">
        <x:f>IFERROR(VLOOKUP(Aggregate!$B37,QB!A:Q,16,FALSE())/17*(16-Aggregate!$M37),0)</x:f>
        <x:v>64.74842352941177</x:v>
      </x:c>
      <x:c r="H37" s="67" t="n">
        <x:f>IFERROR(VLOOKUP(Aggregate!$B37,QB!A:Q,17,FALSE())/17*(16-Aggregate!$M37),0)</x:f>
        <x:v>97.21976470588237</x:v>
      </x:c>
      <x:c r="I37" s="70" t="n">
        <x:f>AVERAGE(Aggregate!$F37,Aggregate!$G37,Aggregate!$H37,VLOOKUP(Aggregate!$B37,ECR!L:N,3,FALSE))</x:f>
        <x:v>55.29712941132354</x:v>
      </x:c>
      <x:c r="J37" s="70" t="n">
        <x:f>Aggregate!$I37-$C$1</x:f>
        <x:v>-183.17715591073528</x:v>
      </x:c>
      <x:c r="K37" s="74" t="n">
        <x:f>MAX(Aggregate!$J37*Scoring!$B$48+1,1)</x:f>
        <x:v>1</x:v>
      </x:c>
      <x:c r="L37" s="75" t="n">
        <x:f>VLOOKUP(Aggregate!$J37,BH:BJ,3,FALSE)</x:f>
        <x:v>13</x:v>
      </x:c>
      <x:c r="M37" s="77" t="n">
        <x:f t="array" ref="M37">VLOOKUP(INDEX(ECR!$E:$E,MATCH(B37,ECR!$C:$C,0)),RISK!A:B,2,FALSE())</x:f>
        <x:v>3.2</x:v>
      </x:c>
      <x:c r="N37" s="78"/>
      <x:c r="O37" s="75" t="s">
        <x:v>266</x:v>
      </x:c>
      <x:c r="P37" s="60" t="str">
        <x:f>VLOOKUP(O37,ECR!E:L,8,FALSE())</x:f>
        <x:v>Jacory Croskey-Merritt</x:v>
      </x:c>
      <x:c r="Q37" s="63" t="str">
        <x:f>IFERROR(VLOOKUP(Aggregate!$P37,ECR!C:F,2,FALSE()),"-")</x:f>
        <x:v>WAS</x:v>
      </x:c>
      <x:c r="R37" s="63" t="n">
        <x:f>IFERROR(VLOOKUP(Aggregate!$P37,ECR!C:F,4,FALSE()),"-")</x:f>
        <x:v>7</x:v>
      </x:c>
      <x:c r="S37" s="63" t="str">
        <x:f>Aggregate!$Q37 &amp; "/" &amp; Aggregate!$R37</x:f>
        <x:v>WAS/7</x:v>
      </x:c>
      <x:c r="T37" s="67" t="n">
        <x:f>IFERROR(VLOOKUP(Aggregate!$P37,RB!A:Q,13,FALSE())/17*(16-Aggregate!$AA37),0)</x:f>
        <x:v>96.06585882352942</x:v>
      </x:c>
      <x:c r="U37" s="67" t="n">
        <x:f>IFERROR(VLOOKUP(Aggregate!$P37,RB!A:Q,14,FALSE())/17*(16-Aggregate!$AA37),0)</x:f>
        <x:v>105.5677</x:v>
      </x:c>
      <x:c r="V37" s="67" t="n">
        <x:f>IFERROR(VLOOKUP(Aggregate!$P37,RB!A:Q,15,FALSE())/17*(16-Aggregate!$AA37),0)</x:f>
        <x:v>116.0047617647059</x:v>
      </x:c>
      <x:c r="W37" s="70" t="n">
        <x:f>AVERAGE(Aggregate!$T37,Aggregate!$U37,Aggregate!$V37,VLOOKUP(Aggregate!$P37,ECR!L:N,3,FALSE))</x:f>
        <x:v>106.09468014705882</x:v>
      </x:c>
      <x:c r="X37" s="70" t="n">
        <x:f>Aggregate!$W37-$Q$1</x:f>
        <x:v>-23.905648977941183</x:v>
      </x:c>
      <x:c r="Y37" s="74" t="n">
        <x:f>MAX(Aggregate!$X37*Scoring!$B$48+1,1)</x:f>
        <x:v>1</x:v>
      </x:c>
      <x:c r="Z37" s="75" t="n">
        <x:f>VLOOKUP(Aggregate!$X37,BM:BO,3,FALSE)</x:f>
        <x:v>6</x:v>
      </x:c>
      <x:c r="AA37" s="77" t="n">
        <x:f t="array" ref="AA37">VLOOKUP(INDEX(ECR!$E:$E,MATCH(P37,ECR!$C:$C,0)),RISK!A:B,2,FALSE())</x:f>
        <x:v>3.280999999999999</x:v>
      </x:c>
      <x:c r="AB37" s="78"/>
      <x:c r="AC37" s="63" t="s">
        <x:v>267</x:v>
      </x:c>
      <x:c r="AD37" s="63" t="str">
        <x:f>VLOOKUP(AC37,ECR!E:L,8,FALSE())</x:f>
        <x:v>Chris Godwin Jr.</x:v>
      </x:c>
      <x:c r="AE37" s="63" t="str">
        <x:f>IFERROR(VLOOKUP(Aggregate!$AD37,ECR!C:F,2,FALSE()),"-")</x:f>
        <x:v>TB</x:v>
      </x:c>
      <x:c r="AF37" s="63" t="n">
        <x:f>IFERROR(VLOOKUP(Aggregate!$AD37,ECR!C:F,4,FALSE()),"-")</x:f>
        <x:v>10</x:v>
      </x:c>
      <x:c r="AG37" s="63" t="str">
        <x:f>Aggregate!$AE37 &amp; "/" &amp; Aggregate!$AF37</x:f>
        <x:v>TB/10</x:v>
      </x:c>
      <x:c r="AH37" s="67" t="n">
        <x:f>IFERROR(VLOOKUP(Aggregate!$AD37,WR!A:Q,13,FALSE())/17*(16-Aggregate!$AO37),0)</x:f>
        <x:v>91.21535294117646</x:v>
      </x:c>
      <x:c r="AI37" s="67" t="n">
        <x:f>IFERROR(VLOOKUP(Aggregate!$AD37,WR!A:Q,14,FALSE())/17*(16-Aggregate!$AO37),0)</x:f>
        <x:v>102.68329411764705</x:v>
      </x:c>
      <x:c r="AJ37" s="67" t="n">
        <x:f>IFERROR(VLOOKUP(Aggregate!$AD37,WR!A:Q,15,FALSE())/17*(16-Aggregate!$AO37),0)</x:f>
        <x:v>114.1729411764706</x:v>
      </x:c>
      <x:c r="AK37" s="70" t="n">
        <x:f>AVERAGE(Aggregate!$AH37,Aggregate!$AI37,Aggregate!$AJ37,VLOOKUP(Aggregate!$AD37,ECR!L:N,3,FALSE))</x:f>
        <x:v>105.08522765882353</x:v>
      </x:c>
      <x:c r="AL37" s="70" t="n">
        <x:f>Aggregate!$AK37-$AE$1</x:f>
        <x:v>2.8903159014705864</x:v>
      </x:c>
      <x:c r="AM37" s="74" t="n">
        <x:f>MAX(Aggregate!$AL37*Scoring!$B$48+1,1)</x:f>
        <x:v>2.740244899497852</x:v>
      </x:c>
      <x:c r="AN37" s="75" t="n">
        <x:f>VLOOKUP(Aggregate!$AL37,BR:BT,3,FALSE)</x:f>
        <x:v>5</x:v>
      </x:c>
      <x:c r="AO37" s="77" t="n">
        <x:f t="array" ref="AO37">VLOOKUP(INDEX(ECR!$E:$E,MATCH(AD37,ECR!$C:$C,0)),RISK!A:B,2,FALSE())</x:f>
        <x:v>3.7</x:v>
      </x:c>
      <x:c r="AP37" s="78"/>
      <x:c r="AQ37" s="87" t="s">
        <x:v>268</x:v>
      </x:c>
      <x:c r="AR37" s="87" t="str">
        <x:f>VLOOKUP(AQ37,ECR!E:L,8,FALSE())</x:f>
        <x:v>Eli Stowers</x:v>
      </x:c>
      <x:c r="AS37" s="87" t="str">
        <x:f>IFERROR(VLOOKUP(Aggregate!$AR37,ECR!C:F,2,FALSE()),"-")</x:f>
        <x:v>PHI</x:v>
      </x:c>
      <x:c r="AT37" s="87" t="n">
        <x:f>IFERROR(VLOOKUP(Aggregate!$AR37,ECR!C:F,4,FALSE()),"-")</x:f>
        <x:v>10</x:v>
      </x:c>
      <x:c r="AU37" s="87" t="str">
        <x:f>Aggregate!$AS37 &amp; "/" &amp; Aggregate!$AT37</x:f>
        <x:v>PHI/10</x:v>
      </x:c>
      <x:c r="AV37" s="67" t="n">
        <x:f>IFERROR(VLOOKUP(Aggregate!$AR37,TE!A:K,9,FALSE())/17*(16-Aggregate!$BC37),0)</x:f>
        <x:v>16.153254000000004</x:v>
      </x:c>
      <x:c r="AW37" s="67" t="n">
        <x:f>IFERROR(VLOOKUP(Aggregate!$AR37,TE!A:K,10,FALSE())/17*(16-Aggregate!$BC37),0)</x:f>
        <x:v>32.24153764705882</x:v>
      </x:c>
      <x:c r="AX37" s="67" t="n">
        <x:f>IFERROR(VLOOKUP(Aggregate!$AR37,TE!A:K,11,FALSE())/17*(16-Aggregate!$BC37),0)</x:f>
        <x:v>48.402912941176474</x:v>
      </x:c>
      <x:c r="AY37" s="70" t="n">
        <x:f>AVERAGE(Aggregate!$AV37,Aggregate!$AW37,Aggregate!$AX37,VLOOKUP(Aggregate!$AR37,ECR!L:N,3,FALSE))</x:f>
        <x:v>39.370003559558825</x:v>
      </x:c>
      <x:c r="AZ37" s="70" t="n">
        <x:f>Aggregate!$AY37-$AS$1</x:f>
        <x:v>-66.09153505220587</x:v>
      </x:c>
      <x:c r="BA37" s="74" t="n">
        <x:f>MAX(Aggregate!$AZ37*Scoring!$B$48+1,1)</x:f>
        <x:v>1</x:v>
      </x:c>
      <x:c r="BB37" s="67" t="n">
        <x:f>VLOOKUP(Aggregate!$AZ37,BW:BY,3,FALSE)</x:f>
        <x:v>9</x:v>
      </x:c>
      <x:c r="BC37" s="77" t="n">
        <x:f t="array" ref="BC37">VLOOKUP(INDEX(ECR!$E:$E,MATCH(AR37,ECR!$C:$C,0)),RISK!A:B,2,FALSE())</x:f>
        <x:v>2.1938</x:v>
      </x:c>
      <x:c r="BD37" s="67"/>
      <x:c r="BE37" s="78"/>
      <x:c r="BF37" s="78">
        <x:v>35.0</x:v>
      </x:c>
      <x:c r="BG37" s="78">
        <x:f t="shared" si="1"/>
        <x:v>35.41232941</x:v>
      </x:c>
      <x:c r="BH37" s="78" t="n">
        <x:f>IFERROR(LARGE($J$3:$J$52,35),"")</x:f>
        <x:v>-191.45047355632352</x:v>
      </x:c>
      <x:c r="BI37" s="78">
        <x:f t="shared" si="5"/>
        <x:v>-186.2771475</x:v>
      </x:c>
      <x:c r="BJ37" s="78">
        <x:f t="shared" si="6"/>
        <x:v>13</x:v>
      </x:c>
      <x:c r="BK37" s="89">
        <x:v>35.0</x:v>
      </x:c>
      <x:c r="BL37" s="78">
        <x:f t="shared" si="2"/>
        <x:v>106.7404</x:v>
      </x:c>
      <x:c r="BM37" s="90" t="n">
        <x:f>IFERROR(LARGE($X$3:$X$102,35),"")</x:f>
        <x:v>-23.108912752941194</x:v>
      </x:c>
      <x:c r="BN37" s="90">
        <x:f t="shared" si="7"/>
        <x:v>24.52596682</x:v>
      </x:c>
      <x:c r="BO37" s="91">
        <x:f t="shared" si="8"/>
        <x:v>6</x:v>
      </x:c>
      <x:c r="BP37" s="90">
        <x:v>35.0</x:v>
      </x:c>
      <x:c r="BQ37" s="78">
        <x:f t="shared" si="3"/>
        <x:v>112.2693224</x:v>
      </x:c>
      <x:c r="BR37" s="90" t="n">
        <x:f>IFERROR(LARGE($AL$3:$AL$102,35),"")</x:f>
        <x:v>13.453642733823528</x:v>
      </x:c>
      <x:c r="BS37" s="90">
        <x:f t="shared" si="9"/>
        <x:v>19.0292711</x:v>
      </x:c>
      <x:c r="BT37" s="90">
        <x:f t="shared" si="10"/>
        <x:v>5</x:v>
      </x:c>
      <x:c r="BU37" s="78">
        <x:v>35.0</x:v>
      </x:c>
      <x:c r="BV37" s="78">
        <x:f t="shared" si="4"/>
        <x:v>60.68230965</x:v>
      </x:c>
      <x:c r="BW37" s="90" t="n">
        <x:f>IFERROR(LARGE($AZ$3:$AZ$52,35),"")</x:f>
        <x:v>-42.92391396411764</x:v>
      </x:c>
      <x:c r="BX37" s="90">
        <x:f t="shared" si="11"/>
        <x:v>-32.97569397</x:v>
      </x:c>
      <x:c r="BY37" s="90">
        <x:f t="shared" si="12"/>
        <x:v>7</x:v>
      </x:c>
      <x:c r="BZ37" s="90"/>
      <x:c r="CA37" s="90"/>
      <x:c r="CB37" s="90"/>
      <x:c r="CC37" s="90"/>
      <x:c r="CD37" s="90"/>
      <x:c r="CE37" s="90"/>
      <x:c r="CF37" s="90"/>
      <x:c r="CG37" s="90"/>
    </x:row>
    <x:row r="38" ht="14.25" customHeight="1">
      <x:c r="A38" s="60" t="s">
        <x:v>269</x:v>
      </x:c>
      <x:c r="B38" s="60" t="str">
        <x:f>VLOOKUP(A38,ECR!E:L,8,FALSE())</x:f>
        <x:v>Carson Beck</x:v>
      </x:c>
      <x:c r="C38" s="63" t="str">
        <x:f>IFERROR(VLOOKUP(Aggregate!$B38,ECR!C:F,2,FALSE()),"-")</x:f>
        <x:v>ARI</x:v>
      </x:c>
      <x:c r="D38" s="63" t="n">
        <x:f>IFERROR(VLOOKUP(Aggregate!$B38,ECR!C:F,4,FALSE()),"-")</x:f>
        <x:v>14</x:v>
      </x:c>
      <x:c r="E38" s="63" t="str">
        <x:f>Aggregate!$C38 &amp; "/" &amp; Aggregate!$D38</x:f>
        <x:v>ARI/14</x:v>
      </x:c>
      <x:c r="F38" s="67" t="n">
        <x:f>IFERROR(VLOOKUP(Aggregate!$B38,QB!A:Q,15,FALSE())/17*(16-Aggregate!$M38),0)</x:f>
        <x:v>3.6141176470588237</x:v>
      </x:c>
      <x:c r="G38" s="67" t="n">
        <x:f>IFERROR(VLOOKUP(Aggregate!$B38,QB!A:Q,16,FALSE())/17*(16-Aggregate!$M38),0)</x:f>
        <x:v>16.819200000000006</x:v>
      </x:c>
      <x:c r="H38" s="67" t="n">
        <x:f>IFERROR(VLOOKUP(Aggregate!$B38,QB!A:Q,17,FALSE())/17*(16-Aggregate!$M38),0)</x:f>
        <x:v>26.172235294117645</x:v>
      </x:c>
      <x:c r="I38" s="70" t="n">
        <x:f>AVERAGE(Aggregate!$F38,Aggregate!$G38,Aggregate!$H38,VLOOKUP(Aggregate!$B38,ECR!L:N,3,FALSE))</x:f>
        <x:v>16.044423530294118</x:v>
      </x:c>
      <x:c r="J38" s="70" t="n">
        <x:f>Aggregate!$I38-$C$1</x:f>
        <x:v>-222.4298617917647</x:v>
      </x:c>
      <x:c r="K38" s="74" t="n">
        <x:f>MAX(Aggregate!$J38*Scoring!$B$48+1,1)</x:f>
        <x:v>1</x:v>
      </x:c>
      <x:c r="L38" s="75" t="n">
        <x:f>VLOOKUP(Aggregate!$J38,BH:BJ,3,FALSE)</x:f>
        <x:v>14</x:v>
      </x:c>
      <x:c r="M38" s="77" t="n">
        <x:f t="array" ref="M38">VLOOKUP(INDEX(ECR!$E:$E,MATCH(B38,ECR!$C:$C,0)),RISK!A:B,2,FALSE())</x:f>
        <x:v>3.2</x:v>
      </x:c>
      <x:c r="N38" s="78"/>
      <x:c r="O38" s="75" t="s">
        <x:v>270</x:v>
      </x:c>
      <x:c r="P38" s="60" t="str">
        <x:f>VLOOKUP(O38,ECR!E:L,8,FALSE())</x:f>
        <x:v>RJ Harvey</x:v>
      </x:c>
      <x:c r="Q38" s="63" t="str">
        <x:f>IFERROR(VLOOKUP(Aggregate!$P38,ECR!C:F,2,FALSE()),"-")</x:f>
        <x:v>DEN</x:v>
      </x:c>
      <x:c r="R38" s="63" t="n">
        <x:f>IFERROR(VLOOKUP(Aggregate!$P38,ECR!C:F,4,FALSE()),"-")</x:f>
        <x:v>10</x:v>
      </x:c>
      <x:c r="S38" s="63" t="str">
        <x:f>Aggregate!$Q38 &amp; "/" &amp; Aggregate!$R38</x:f>
        <x:v>DEN/10</x:v>
      </x:c>
      <x:c r="T38" s="67" t="n">
        <x:f>IFERROR(VLOOKUP(Aggregate!$P38,RB!A:Q,13,FALSE())/17*(16-Aggregate!$AA38),0)</x:f>
        <x:v>87.46647988235294</x:v>
      </x:c>
      <x:c r="U38" s="67" t="n">
        <x:f>IFERROR(VLOOKUP(Aggregate!$P38,RB!A:Q,14,FALSE())/17*(16-Aggregate!$AA38),0)</x:f>
        <x:v>104.14773105882351</x:v>
      </x:c>
      <x:c r="V38" s="67" t="n">
        <x:f>IFERROR(VLOOKUP(Aggregate!$P38,RB!A:Q,15,FALSE())/17*(16-Aggregate!$AA38),0)</x:f>
        <x:v>129.30022164705883</x:v>
      </x:c>
      <x:c r="W38" s="70" t="n">
        <x:f>AVERAGE(Aggregate!$T38,Aggregate!$U38,Aggregate!$V38,VLOOKUP(Aggregate!$P38,ECR!L:N,3,FALSE))</x:f>
        <x:v>106.89141637205881</x:v>
      </x:c>
      <x:c r="X38" s="70" t="n">
        <x:f>Aggregate!$W38-$Q$1</x:f>
        <x:v>-23.108912752941194</x:v>
      </x:c>
      <x:c r="Y38" s="74" t="n">
        <x:f>MAX(Aggregate!$X38*Scoring!$B$48+1,1)</x:f>
        <x:v>1</x:v>
      </x:c>
      <x:c r="Z38" s="75" t="n">
        <x:f>VLOOKUP(Aggregate!$X38,BM:BO,3,FALSE)</x:f>
        <x:v>6</x:v>
      </x:c>
      <x:c r="AA38" s="77" t="n">
        <x:f t="array" ref="AA38">VLOOKUP(INDEX(ECR!$E:$E,MATCH(P38,ECR!$C:$C,0)),RISK!A:B,2,FALSE())</x:f>
        <x:v>3.3118</x:v>
      </x:c>
      <x:c r="AB38" s="78"/>
      <x:c r="AC38" s="63" t="s">
        <x:v>271</x:v>
      </x:c>
      <x:c r="AD38" s="63" t="str">
        <x:f>VLOOKUP(AC38,ECR!E:L,8,FALSE())</x:f>
        <x:v>Courtland Sutton</x:v>
      </x:c>
      <x:c r="AE38" s="63" t="str">
        <x:f>IFERROR(VLOOKUP(Aggregate!$AD38,ECR!C:F,2,FALSE()),"-")</x:f>
        <x:v>DEN</x:v>
      </x:c>
      <x:c r="AF38" s="63" t="n">
        <x:f>IFERROR(VLOOKUP(Aggregate!$AD38,ECR!C:F,4,FALSE()),"-")</x:f>
        <x:v>10</x:v>
      </x:c>
      <x:c r="AG38" s="63" t="str">
        <x:f>Aggregate!$AE38 &amp; "/" &amp; Aggregate!$AF38</x:f>
        <x:v>DEN/10</x:v>
      </x:c>
      <x:c r="AH38" s="67" t="n">
        <x:f>IFERROR(VLOOKUP(Aggregate!$AD38,WR!A:Q,13,FALSE())/17*(16-Aggregate!$AO38),0)</x:f>
        <x:v>113.81117647058825</x:v>
      </x:c>
      <x:c r="AI38" s="67" t="n">
        <x:f>IFERROR(VLOOKUP(Aggregate!$AD38,WR!A:Q,14,FALSE())/17*(16-Aggregate!$AO38),0)</x:f>
        <x:v>119.33170588235296</x:v>
      </x:c>
      <x:c r="AJ38" s="67" t="n">
        <x:f>IFERROR(VLOOKUP(Aggregate!$AD38,WR!A:Q,15,FALSE())/17*(16-Aggregate!$AO38),0)</x:f>
        <x:v>124.15764705882353</x:v>
      </x:c>
      <x:c r="AK38" s="70" t="n">
        <x:f>AVERAGE(Aggregate!$AH38,Aggregate!$AI38,Aggregate!$AJ38,VLOOKUP(Aggregate!$AD38,ECR!L:N,3,FALSE))</x:f>
        <x:v>116.91231937794117</x:v>
      </x:c>
      <x:c r="AL38" s="70" t="n">
        <x:f>Aggregate!$AK38-$AE$1</x:f>
        <x:v>14.717407620588233</x:v>
      </x:c>
      <x:c r="AM38" s="74" t="n">
        <x:f>MAX(Aggregate!$AL38*Scoring!$B$48+1,1)</x:f>
        <x:v>9.861278288829332</x:v>
      </x:c>
      <x:c r="AN38" s="75" t="n">
        <x:f>VLOOKUP(Aggregate!$AL38,BR:BT,3,FALSE)</x:f>
        <x:v>5</x:v>
      </x:c>
      <x:c r="AO38" s="77" t="n">
        <x:f t="array" ref="AO38">VLOOKUP(INDEX(ECR!$E:$E,MATCH(AD38,ECR!$C:$C,0)),RISK!A:B,2,FALSE())</x:f>
        <x:v>3.7</x:v>
      </x:c>
      <x:c r="AP38" s="78"/>
      <x:c r="AQ38" s="87" t="s">
        <x:v>272</x:v>
      </x:c>
      <x:c r="AR38" s="87" t="str">
        <x:f>VLOOKUP(AQ38,ECR!E:L,8,FALSE())</x:f>
        <x:v>Mike Gesicki</x:v>
      </x:c>
      <x:c r="AS38" s="87" t="str">
        <x:f>IFERROR(VLOOKUP(Aggregate!$AR38,ECR!C:F,2,FALSE()),"-")</x:f>
        <x:v>CIN</x:v>
      </x:c>
      <x:c r="AT38" s="87" t="n">
        <x:f>IFERROR(VLOOKUP(Aggregate!$AR38,ECR!C:F,4,FALSE()),"-")</x:f>
        <x:v>6</x:v>
      </x:c>
      <x:c r="AU38" s="87" t="str">
        <x:f>Aggregate!$AS38 &amp; "/" &amp; Aggregate!$AT38</x:f>
        <x:v>CIN/6</x:v>
      </x:c>
      <x:c r="AV38" s="67" t="n">
        <x:f>IFERROR(VLOOKUP(Aggregate!$AR38,TE!A:K,9,FALSE())/17*(16-Aggregate!$BC38),0)</x:f>
        <x:v>52.942716352941176</x:v>
      </x:c>
      <x:c r="AW38" s="67" t="n">
        <x:f>IFERROR(VLOOKUP(Aggregate!$AR38,TE!A:K,10,FALSE())/17*(16-Aggregate!$BC38),0)</x:f>
        <x:v>69.54264152941177</x:v>
      </x:c>
      <x:c r="AX38" s="67" t="n">
        <x:f>IFERROR(VLOOKUP(Aggregate!$AR38,TE!A:K,11,FALSE())/17*(16-Aggregate!$BC38),0)</x:f>
        <x:v>83.24326470588235</x:v>
      </x:c>
      <x:c r="AY38" s="70" t="n">
        <x:f>AVERAGE(Aggregate!$AV38,Aggregate!$AW38,Aggregate!$AX38,VLOOKUP(Aggregate!$AR38,ECR!L:N,3,FALSE))</x:f>
        <x:v>65.65051132455882</x:v>
      </x:c>
      <x:c r="AZ38" s="70" t="n">
        <x:f>Aggregate!$AY38-$AS$1</x:f>
        <x:v>-39.811027287205874</x:v>
      </x:c>
      <x:c r="BA38" s="74" t="n">
        <x:f>MAX(Aggregate!$AZ38*Scoring!$B$48+1,1)</x:f>
        <x:v>1</x:v>
      </x:c>
      <x:c r="BB38" s="67" t="n">
        <x:f>VLOOKUP(Aggregate!$AZ38,BW:BY,3,FALSE)</x:f>
        <x:v>7</x:v>
      </x:c>
      <x:c r="BC38" s="77" t="n">
        <x:f t="array" ref="BC38">VLOOKUP(INDEX(ECR!$E:$E,MATCH(AR38,ECR!$C:$C,0)),RISK!A:B,2,FALSE())</x:f>
        <x:v>2.1938</x:v>
      </x:c>
      <x:c r="BD38" s="67"/>
      <x:c r="BE38" s="78"/>
      <x:c r="BF38" s="78">
        <x:v>36.0</x:v>
      </x:c>
      <x:c r="BG38" s="78">
        <x:f t="shared" si="1"/>
        <x:v>17.57214118</x:v>
      </x:c>
      <x:c r="BH38" s="78" t="n">
        <x:f>IFERROR(LARGE($J$3:$J$52,36),"")</x:f>
        <x:v>-220.75870885058822</x:v>
      </x:c>
      <x:c r="BI38" s="78">
        <x:f t="shared" si="5"/>
        <x:v>-225.6281122</x:v>
      </x:c>
      <x:c r="BJ38" s="78">
        <x:f t="shared" si="6"/>
        <x:v>14</x:v>
      </x:c>
      <x:c r="BK38" s="89">
        <x:v>36.0</x:v>
      </x:c>
      <x:c r="BL38" s="78">
        <x:f t="shared" si="2"/>
        <x:v>106.6512329</x:v>
      </x:c>
      <x:c r="BM38" s="90" t="n">
        <x:f>IFERROR(LARGE($X$3:$X$102,36),"")</x:f>
        <x:v>-23.905648977941183</x:v>
      </x:c>
      <x:c r="BN38" s="90">
        <x:f t="shared" si="7"/>
        <x:v>24.52596682</x:v>
      </x:c>
      <x:c r="BO38" s="91">
        <x:f t="shared" si="8"/>
        <x:v>6</x:v>
      </x:c>
      <x:c r="BP38" s="90">
        <x:v>36.0</x:v>
      </x:c>
      <x:c r="BQ38" s="78">
        <x:f t="shared" si="3"/>
        <x:v>110.3487481</x:v>
      </x:c>
      <x:c r="BR38" s="90" t="n">
        <x:f>IFERROR(LARGE($AL$3:$AL$102,36),"")</x:f>
        <x:v>10.745858639705887</x:v>
      </x:c>
      <x:c r="BS38" s="90">
        <x:f t="shared" si="9"/>
        <x:v>19.0292711</x:v>
      </x:c>
      <x:c r="BT38" s="90">
        <x:f t="shared" si="10"/>
        <x:v>5</x:v>
      </x:c>
      <x:c r="BU38" s="78">
        <x:v>36.0</x:v>
      </x:c>
      <x:c r="BV38" s="78">
        <x:f t="shared" si="4"/>
        <x:v>56.87342271</x:v>
      </x:c>
      <x:c r="BW38" s="90" t="n">
        <x:f>IFERROR(LARGE($AZ$3:$AZ$52,36),"")</x:f>
        <x:v>-49.86721972970587</x:v>
      </x:c>
      <x:c r="BX38" s="90">
        <x:f t="shared" si="11"/>
        <x:v>-49.77184604</x:v>
      </x:c>
      <x:c r="BY38" s="90">
        <x:f t="shared" si="12"/>
        <x:v>8</x:v>
      </x:c>
      <x:c r="BZ38" s="90"/>
      <x:c r="CA38" s="90"/>
      <x:c r="CB38" s="90"/>
      <x:c r="CC38" s="90"/>
      <x:c r="CD38" s="90"/>
      <x:c r="CE38" s="90"/>
      <x:c r="CF38" s="90"/>
      <x:c r="CG38" s="90"/>
    </x:row>
    <x:row r="39" ht="14.25" customHeight="1">
      <x:c r="A39" s="60" t="s">
        <x:v>273</x:v>
      </x:c>
      <x:c r="B39" s="60" t="str">
        <x:f>VLOOKUP(A39,ECR!E:L,8,FALSE())</x:f>
        <x:v>J.J. McCarthy</x:v>
      </x:c>
      <x:c r="C39" s="63" t="str">
        <x:f>IFERROR(VLOOKUP(Aggregate!$B39,ECR!C:F,2,FALSE()),"-")</x:f>
        <x:v>MIN</x:v>
      </x:c>
      <x:c r="D39" s="63" t="n">
        <x:f>IFERROR(VLOOKUP(Aggregate!$B39,ECR!C:F,4,FALSE()),"-")</x:f>
        <x:v>6</x:v>
      </x:c>
      <x:c r="E39" s="63" t="str">
        <x:f>Aggregate!$C39 &amp; "/" &amp; Aggregate!$D39</x:f>
        <x:v>MIN/6</x:v>
      </x:c>
      <x:c r="F39" s="67" t="n">
        <x:f>IFERROR(VLOOKUP(Aggregate!$B39,QB!A:Q,15,FALSE())/17*(16-Aggregate!$M39),0)</x:f>
        <x:v>4.42729411764706</x:v>
      </x:c>
      <x:c r="G39" s="67" t="n">
        <x:f>IFERROR(VLOOKUP(Aggregate!$B39,QB!A:Q,16,FALSE())/17*(16-Aggregate!$M39),0)</x:f>
        <x:v>16.206305882352943</x:v>
      </x:c>
      <x:c r="H39" s="67" t="n">
        <x:f>IFERROR(VLOOKUP(Aggregate!$B39,QB!A:Q,17,FALSE())/17*(16-Aggregate!$M39),0)</x:f>
        <x:v>32.78456470588235</x:v>
      </x:c>
      <x:c r="I39" s="70" t="n">
        <x:f>AVERAGE(Aggregate!$F39,Aggregate!$G39,Aggregate!$H39,VLOOKUP(Aggregate!$B39,ECR!L:N,3,FALSE))</x:f>
        <x:v>17.715576471470587</x:v>
      </x:c>
      <x:c r="J39" s="70" t="n">
        <x:f>Aggregate!$I39-$C$1</x:f>
        <x:v>-220.75870885058822</x:v>
      </x:c>
      <x:c r="K39" s="74" t="n">
        <x:f>MAX(Aggregate!$J39*Scoring!$B$48+1,1)</x:f>
        <x:v>1</x:v>
      </x:c>
      <x:c r="L39" s="75" t="n">
        <x:f>VLOOKUP(Aggregate!$J39,BH:BJ,3,FALSE)</x:f>
        <x:v>14</x:v>
      </x:c>
      <x:c r="M39" s="77" t="n">
        <x:f t="array" ref="M39">VLOOKUP(INDEX(ECR!$E:$E,MATCH(B39,ECR!$C:$C,0)),RISK!A:B,2,FALSE())</x:f>
        <x:v>3.2</x:v>
      </x:c>
      <x:c r="N39" s="78"/>
      <x:c r="O39" s="75" t="s">
        <x:v>274</x:v>
      </x:c>
      <x:c r="P39" s="60" t="str">
        <x:f>VLOOKUP(O39,ECR!E:L,8,FALSE())</x:f>
        <x:v>Jordan Mason</x:v>
      </x:c>
      <x:c r="Q39" s="63" t="str">
        <x:f>IFERROR(VLOOKUP(Aggregate!$P39,ECR!C:F,2,FALSE()),"-")</x:f>
        <x:v>MIN</x:v>
      </x:c>
      <x:c r="R39" s="63" t="n">
        <x:f>IFERROR(VLOOKUP(Aggregate!$P39,ECR!C:F,4,FALSE()),"-")</x:f>
        <x:v>6</x:v>
      </x:c>
      <x:c r="S39" s="63" t="str">
        <x:f>Aggregate!$Q39 &amp; "/" &amp; Aggregate!$R39</x:f>
        <x:v>MIN/6</x:v>
      </x:c>
      <x:c r="T39" s="67" t="n">
        <x:f>IFERROR(VLOOKUP(Aggregate!$P39,RB!A:Q,13,FALSE())/17*(16-Aggregate!$AA39),0)</x:f>
        <x:v>91.50121882352941</x:v>
      </x:c>
      <x:c r="U39" s="67" t="n">
        <x:f>IFERROR(VLOOKUP(Aggregate!$P39,RB!A:Q,14,FALSE())/17*(16-Aggregate!$AA39),0)</x:f>
        <x:v>102.52008</x:v>
      </x:c>
      <x:c r="V39" s="67" t="n">
        <x:f>IFERROR(VLOOKUP(Aggregate!$P39,RB!A:Q,15,FALSE())/17*(16-Aggregate!$AA39),0)</x:f>
        <x:v>111.48407247058825</x:v>
      </x:c>
      <x:c r="W39" s="70" t="n">
        <x:f>AVERAGE(Aggregate!$T39,Aggregate!$U39,Aggregate!$V39,VLOOKUP(Aggregate!$P39,ECR!L:N,3,FALSE))</x:f>
        <x:v>102.76826782352941</x:v>
      </x:c>
      <x:c r="X39" s="70" t="n">
        <x:f>Aggregate!$W39-$Q$1</x:f>
        <x:v>-27.232061301470594</x:v>
      </x:c>
      <x:c r="Y39" s="74" t="n">
        <x:f>MAX(Aggregate!$X39*Scoring!$B$48+1,1)</x:f>
        <x:v>1</x:v>
      </x:c>
      <x:c r="Z39" s="75" t="n">
        <x:f>VLOOKUP(Aggregate!$X39,BM:BO,3,FALSE)</x:f>
        <x:v>7</x:v>
      </x:c>
      <x:c r="AA39" s="77" t="n">
        <x:f t="array" ref="AA39">VLOOKUP(INDEX(ECR!$E:$E,MATCH(P39,ECR!$C:$C,0)),RISK!A:B,2,FALSE())</x:f>
        <x:v>3.3431999999999995</x:v>
      </x:c>
      <x:c r="AB39" s="78"/>
      <x:c r="AC39" s="63" t="s">
        <x:v>275</x:v>
      </x:c>
      <x:c r="AD39" s="63" t="str">
        <x:f>VLOOKUP(AC39,ECR!E:L,8,FALSE())</x:f>
        <x:v>Michael Pittman Jr.</x:v>
      </x:c>
      <x:c r="AE39" s="63" t="str">
        <x:f>IFERROR(VLOOKUP(Aggregate!$AD39,ECR!C:F,2,FALSE()),"-")</x:f>
        <x:v>PIT</x:v>
      </x:c>
      <x:c r="AF39" s="63" t="n">
        <x:f>IFERROR(VLOOKUP(Aggregate!$AD39,ECR!C:F,4,FALSE()),"-")</x:f>
        <x:v>9</x:v>
      </x:c>
      <x:c r="AG39" s="63" t="str">
        <x:f>Aggregate!$AE39 &amp; "/" &amp; Aggregate!$AF39</x:f>
        <x:v>PIT/9</x:v>
      </x:c>
      <x:c r="AH39" s="67" t="n">
        <x:f>IFERROR(VLOOKUP(Aggregate!$AD39,WR!A:Q,13,FALSE())/17*(16-Aggregate!$AO39),0)</x:f>
        <x:v>92.46705882352941</x:v>
      </x:c>
      <x:c r="AI39" s="67" t="n">
        <x:f>IFERROR(VLOOKUP(Aggregate!$AD39,WR!A:Q,14,FALSE())/17*(16-Aggregate!$AO39),0)</x:f>
        <x:v>108.7175294117647</x:v>
      </x:c>
      <x:c r="AJ39" s="67" t="n">
        <x:f>IFERROR(VLOOKUP(Aggregate!$AD39,WR!A:Q,15,FALSE())/17*(16-Aggregate!$AO39),0)</x:f>
        <x:v>121.48058823529414</x:v>
      </x:c>
      <x:c r="AK39" s="70" t="n">
        <x:f>AVERAGE(Aggregate!$AH39,Aggregate!$AI39,Aggregate!$AJ39,VLOOKUP(Aggregate!$AD39,ECR!L:N,3,FALSE))</x:f>
        <x:v>107.95623176764705</x:v>
      </x:c>
      <x:c r="AL39" s="70" t="n">
        <x:f>Aggregate!$AK39-$AE$1</x:f>
        <x:v>5.761320010294114</x:v>
      </x:c>
      <x:c r="AM39" s="74" t="n">
        <x:f>MAX(Aggregate!$AL39*Scoring!$B$48+1,1)</x:f>
        <x:v>4.468862264221008</x:v>
      </x:c>
      <x:c r="AN39" s="75" t="n">
        <x:f>VLOOKUP(Aggregate!$AL39,BR:BT,3,FALSE)</x:f>
        <x:v>5</x:v>
      </x:c>
      <x:c r="AO39" s="77" t="n">
        <x:f t="array" ref="AO39">VLOOKUP(INDEX(ECR!$E:$E,MATCH(AD39,ECR!$C:$C,0)),RISK!A:B,2,FALSE())</x:f>
        <x:v>3.7</x:v>
      </x:c>
      <x:c r="AP39" s="78"/>
      <x:c r="AQ39" s="87" t="s">
        <x:v>276</x:v>
      </x:c>
      <x:c r="AR39" s="87" t="str">
        <x:f>VLOOKUP(AQ39,ECR!E:L,8,FALSE())</x:f>
        <x:v>Jake Tonges</x:v>
      </x:c>
      <x:c r="AS39" s="87" t="str">
        <x:f>IFERROR(VLOOKUP(Aggregate!$AR39,ECR!C:F,2,FALSE()),"-")</x:f>
        <x:v>SF</x:v>
      </x:c>
      <x:c r="AT39" s="87" t="n">
        <x:f>IFERROR(VLOOKUP(Aggregate!$AR39,ECR!C:F,4,FALSE()),"-")</x:f>
        <x:v>8</x:v>
      </x:c>
      <x:c r="AU39" s="87" t="str">
        <x:f>Aggregate!$AS39 &amp; "/" &amp; Aggregate!$AT39</x:f>
        <x:v>SF/8</x:v>
      </x:c>
      <x:c r="AV39" s="67" t="n">
        <x:f>IFERROR(VLOOKUP(Aggregate!$AR39,TE!A:K,9,FALSE())/17*(16-Aggregate!$BC39),0)</x:f>
        <x:v>21.091000823529413</x:v>
      </x:c>
      <x:c r="AW39" s="67" t="n">
        <x:f>IFERROR(VLOOKUP(Aggregate!$AR39,TE!A:K,10,FALSE())/17*(16-Aggregate!$BC39),0)</x:f>
        <x:v>31.2182545882353</x:v>
      </x:c>
      <x:c r="AX39" s="67" t="n">
        <x:f>IFERROR(VLOOKUP(Aggregate!$AR39,TE!A:K,11,FALSE())/17*(16-Aggregate!$BC39),0)</x:f>
        <x:v>41.33738705882353</x:v>
      </x:c>
      <x:c r="AY39" s="70" t="n">
        <x:f>AVERAGE(Aggregate!$AV39,Aggregate!$AW39,Aggregate!$AX39,VLOOKUP(Aggregate!$AR39,ECR!L:N,3,FALSE))</x:f>
        <x:v>36.541762882647056</x:v>
      </x:c>
      <x:c r="AZ39" s="70" t="n">
        <x:f>Aggregate!$AY39-$AS$1</x:f>
        <x:v>-68.91977572911765</x:v>
      </x:c>
      <x:c r="BA39" s="74" t="n">
        <x:f>MAX(Aggregate!$AZ39*Scoring!$B$48+1,1)</x:f>
        <x:v>1</x:v>
      </x:c>
      <x:c r="BB39" s="67" t="n">
        <x:f>VLOOKUP(Aggregate!$AZ39,BW:BY,3,FALSE)</x:f>
        <x:v>9</x:v>
      </x:c>
      <x:c r="BC39" s="77" t="n">
        <x:f t="array" ref="BC39">VLOOKUP(INDEX(ECR!$E:$E,MATCH(AR39,ECR!$C:$C,0)),RISK!A:B,2,FALSE())</x:f>
        <x:v>2.1938</x:v>
      </x:c>
      <x:c r="BD39" s="67"/>
      <x:c r="BE39" s="78"/>
      <x:c r="BF39" s="78">
        <x:v>37.0</x:v>
      </x:c>
      <x:c r="BG39" s="78">
        <x:f t="shared" si="1"/>
        <x:v>17.44414118</x:v>
      </x:c>
      <x:c r="BH39" s="78" t="n">
        <x:f>IFERROR(LARGE($J$3:$J$52,37),"")</x:f>
        <x:v>-222.4298617917647</x:v>
      </x:c>
      <x:c r="BI39" s="78">
        <x:f t="shared" si="5"/>
        <x:v>-225.6281122</x:v>
      </x:c>
      <x:c r="BJ39" s="78">
        <x:f t="shared" si="6"/>
        <x:v>14</x:v>
      </x:c>
      <x:c r="BK39" s="89">
        <x:v>37.0</x:v>
      </x:c>
      <x:c r="BL39" s="78">
        <x:f t="shared" si="2"/>
        <x:v>105.5677</x:v>
      </x:c>
      <x:c r="BM39" s="90" t="n">
        <x:f>IFERROR(LARGE($X$3:$X$102,37),"")</x:f>
        <x:v>-24.38931500735295</x:v>
      </x:c>
      <x:c r="BN39" s="90">
        <x:f t="shared" si="7"/>
        <x:v>24.52596682</x:v>
      </x:c>
      <x:c r="BO39" s="91">
        <x:f t="shared" si="8"/>
        <x:v>6</x:v>
      </x:c>
      <x:c r="BP39" s="90">
        <x:v>37.0</x:v>
      </x:c>
      <x:c r="BQ39" s="78">
        <x:f t="shared" si="3"/>
        <x:v>109.1597506</x:v>
      </x:c>
      <x:c r="BR39" s="90" t="n">
        <x:f>IFERROR(LARGE($AL$3:$AL$102,37),"")</x:f>
        <x:v>5.761320010294114</x:v>
      </x:c>
      <x:c r="BS39" s="90">
        <x:f t="shared" si="9"/>
        <x:v>19.0292711</x:v>
      </x:c>
      <x:c r="BT39" s="90">
        <x:f t="shared" si="10"/>
        <x:v>5</x:v>
      </x:c>
      <x:c r="BU39" s="78">
        <x:v>37.0</x:v>
      </x:c>
      <x:c r="BV39" s="78">
        <x:f t="shared" si="4"/>
        <x:v>52.52040906</x:v>
      </x:c>
      <x:c r="BW39" s="90" t="n">
        <x:f>IFERROR(LARGE($AZ$3:$AZ$52,37),"")</x:f>
        <x:v>-51.52802437735293</x:v>
      </x:c>
      <x:c r="BX39" s="90">
        <x:f t="shared" si="11"/>
        <x:v>-49.77184604</x:v>
      </x:c>
      <x:c r="BY39" s="90">
        <x:f t="shared" si="12"/>
        <x:v>8</x:v>
      </x:c>
      <x:c r="BZ39" s="90"/>
      <x:c r="CA39" s="90"/>
      <x:c r="CB39" s="90"/>
      <x:c r="CC39" s="90"/>
      <x:c r="CD39" s="90"/>
      <x:c r="CE39" s="90"/>
      <x:c r="CF39" s="90"/>
      <x:c r="CG39" s="90"/>
    </x:row>
    <x:row r="40" ht="14.25" customHeight="1">
      <x:c r="A40" s="60" t="s">
        <x:v>277</x:v>
      </x:c>
      <x:c r="B40" s="60" t="str">
        <x:f>VLOOKUP(A40,ECR!E:L,8,FALSE())</x:f>
        <x:v>Mac Jones</x:v>
      </x:c>
      <x:c r="C40" s="63" t="str">
        <x:f>IFERROR(VLOOKUP(Aggregate!$B40,ECR!C:F,2,FALSE()),"-")</x:f>
        <x:v>SF</x:v>
      </x:c>
      <x:c r="D40" s="63" t="n">
        <x:f>IFERROR(VLOOKUP(Aggregate!$B40,ECR!C:F,4,FALSE()),"-")</x:f>
        <x:v>8</x:v>
      </x:c>
      <x:c r="E40" s="63" t="str">
        <x:f>Aggregate!$C40 &amp; "/" &amp; Aggregate!$D40</x:f>
        <x:v>SF/8</x:v>
      </x:c>
      <x:c r="F40" s="67" t="n">
        <x:f>IFERROR(VLOOKUP(Aggregate!$B40,QB!A:Q,15,FALSE())/17*(16-Aggregate!$M40),0)</x:f>
        <x:v>5.984376470588236</x:v>
      </x:c>
      <x:c r="G40" s="67" t="n">
        <x:f>IFERROR(VLOOKUP(Aggregate!$B40,QB!A:Q,16,FALSE())/17*(16-Aggregate!$M40),0)</x:f>
        <x:v>7.640847058823529</x:v>
      </x:c>
      <x:c r="H40" s="67" t="n">
        <x:f>IFERROR(VLOOKUP(Aggregate!$B40,QB!A:Q,17,FALSE())/17*(16-Aggregate!$M40),0)</x:f>
        <x:v>9.426823529411765</x:v>
      </x:c>
      <x:c r="I40" s="70" t="n">
        <x:f>AVERAGE(Aggregate!$F40,Aggregate!$G40,Aggregate!$H40,VLOOKUP(Aggregate!$B40,ECR!L:N,3,FALSE))</x:f>
        <x:v>10.002823529705882</x:v>
      </x:c>
      <x:c r="J40" s="70" t="n">
        <x:f>Aggregate!$I40-$C$1</x:f>
        <x:v>-228.47146179235293</x:v>
      </x:c>
      <x:c r="K40" s="74" t="n">
        <x:f>MAX(Aggregate!$J40*Scoring!$B$48+1,1)</x:f>
        <x:v>1</x:v>
      </x:c>
      <x:c r="L40" s="75" t="n">
        <x:f>VLOOKUP(Aggregate!$J40,BH:BJ,3,FALSE)</x:f>
        <x:v>14</x:v>
      </x:c>
      <x:c r="M40" s="77" t="n">
        <x:f t="array" ref="M40">VLOOKUP(INDEX(ECR!$E:$E,MATCH(B40,ECR!$C:$C,0)),RISK!A:B,2,FALSE())</x:f>
        <x:v>3.2</x:v>
      </x:c>
      <x:c r="N40" s="78"/>
      <x:c r="O40" s="75" t="s">
        <x:v>278</x:v>
      </x:c>
      <x:c r="P40" s="60" t="str">
        <x:f>VLOOKUP(O40,ECR!E:L,8,FALSE())</x:f>
        <x:v>Kenny Gainwell</x:v>
      </x:c>
      <x:c r="Q40" s="63" t="str">
        <x:f>IFERROR(VLOOKUP(Aggregate!$P40,ECR!C:F,2,FALSE()),"-")</x:f>
        <x:v>TB</x:v>
      </x:c>
      <x:c r="R40" s="63" t="n">
        <x:f>IFERROR(VLOOKUP(Aggregate!$P40,ECR!C:F,4,FALSE()),"-")</x:f>
        <x:v>10</x:v>
      </x:c>
      <x:c r="S40" s="63" t="str">
        <x:f>Aggregate!$Q40 &amp; "/" &amp; Aggregate!$R40</x:f>
        <x:v>TB/10</x:v>
      </x:c>
      <x:c r="T40" s="67" t="n">
        <x:f>IFERROR(VLOOKUP(Aggregate!$P40,RB!A:Q,13,FALSE())/17*(16-Aggregate!$AA40),0)</x:f>
        <x:v>87.60663529411765</x:v>
      </x:c>
      <x:c r="U40" s="67" t="n">
        <x:f>IFERROR(VLOOKUP(Aggregate!$P40,RB!A:Q,14,FALSE())/17*(16-Aggregate!$AA40),0)</x:f>
        <x:v>106.65123294117647</x:v>
      </x:c>
      <x:c r="V40" s="67" t="n">
        <x:f>IFERROR(VLOOKUP(Aggregate!$P40,RB!A:Q,15,FALSE())/17*(16-Aggregate!$AA40),0)</x:f>
        <x:v>122.97623529411763</x:v>
      </x:c>
      <x:c r="W40" s="70" t="n">
        <x:f>AVERAGE(Aggregate!$T40,Aggregate!$U40,Aggregate!$V40,VLOOKUP(Aggregate!$P40,ECR!L:N,3,FALSE))</x:f>
        <x:v>105.51992588235294</x:v>
      </x:c>
      <x:c r="X40" s="70" t="n">
        <x:f>Aggregate!$W40-$Q$1</x:f>
        <x:v>-24.48040324264707</x:v>
      </x:c>
      <x:c r="Y40" s="74" t="n">
        <x:f>MAX(Aggregate!$X40*Scoring!$B$48+1,1)</x:f>
        <x:v>1</x:v>
      </x:c>
      <x:c r="Z40" s="75" t="n">
        <x:f>VLOOKUP(Aggregate!$X40,BM:BO,3,FALSE)</x:f>
        <x:v>6</x:v>
      </x:c>
      <x:c r="AA40" s="77" t="n">
        <x:f t="array" ref="AA40">VLOOKUP(INDEX(ECR!$E:$E,MATCH(P40,ECR!$C:$C,0)),RISK!A:B,2,FALSE())</x:f>
        <x:v>3.368</x:v>
      </x:c>
      <x:c r="AB40" s="78"/>
      <x:c r="AC40" s="63" t="s">
        <x:v>279</x:v>
      </x:c>
      <x:c r="AD40" s="63" t="str">
        <x:f>VLOOKUP(AC40,ECR!E:L,8,FALSE())</x:f>
        <x:v>Michael Wilson</x:v>
      </x:c>
      <x:c r="AE40" s="63" t="str">
        <x:f>IFERROR(VLOOKUP(Aggregate!$AD40,ECR!C:F,2,FALSE()),"-")</x:f>
        <x:v>ARI</x:v>
      </x:c>
      <x:c r="AF40" s="63" t="n">
        <x:f>IFERROR(VLOOKUP(Aggregate!$AD40,ECR!C:F,4,FALSE()),"-")</x:f>
        <x:v>14</x:v>
      </x:c>
      <x:c r="AG40" s="63" t="str">
        <x:f>Aggregate!$AE40 &amp; "/" &amp; Aggregate!$AF40</x:f>
        <x:v>ARI/14</x:v>
      </x:c>
      <x:c r="AH40" s="67" t="n">
        <x:f>IFERROR(VLOOKUP(Aggregate!$AD40,WR!A:Q,13,FALSE())/17*(16-Aggregate!$AO40),0)</x:f>
        <x:v>97.53176470588237</x:v>
      </x:c>
      <x:c r="AI40" s="67" t="n">
        <x:f>IFERROR(VLOOKUP(Aggregate!$AD40,WR!A:Q,14,FALSE())/17*(16-Aggregate!$AO40),0)</x:f>
        <x:v>104.47764705882354</x:v>
      </x:c>
      <x:c r="AJ40" s="67" t="n">
        <x:f>IFERROR(VLOOKUP(Aggregate!$AD40,WR!A:Q,15,FALSE())/17*(16-Aggregate!$AO40),0)</x:f>
        <x:v>113.97758823529412</x:v>
      </x:c>
      <x:c r="AK40" s="70" t="n">
        <x:f>AVERAGE(Aggregate!$AH40,Aggregate!$AI40,Aggregate!$AJ40,VLOOKUP(Aggregate!$AD40,ECR!L:N,3,FALSE))</x:f>
        <x:v>106.17613235</x:v>
      </x:c>
      <x:c r="AL40" s="70" t="n">
        <x:f>Aggregate!$AK40-$AE$1</x:f>
        <x:v>3.9812205926470625</x:v>
      </x:c>
      <x:c r="AM40" s="74" t="n">
        <x:f>MAX(Aggregate!$AL40*Scoring!$B$48+1,1)</x:f>
        <x:v>3.397073214939849</x:v>
      </x:c>
      <x:c r="AN40" s="75" t="n">
        <x:f>VLOOKUP(Aggregate!$AL40,BR:BT,3,FALSE)</x:f>
        <x:v>5</x:v>
      </x:c>
      <x:c r="AO40" s="77" t="n">
        <x:f t="array" ref="AO40">VLOOKUP(INDEX(ECR!$E:$E,MATCH(AD40,ECR!$C:$C,0)),RISK!A:B,2,FALSE())</x:f>
        <x:v>3.7</x:v>
      </x:c>
      <x:c r="AP40" s="78"/>
      <x:c r="AQ40" s="87" t="s">
        <x:v>280</x:v>
      </x:c>
      <x:c r="AR40" s="87" t="str">
        <x:f>VLOOKUP(AQ40,ECR!E:L,8,FALSE())</x:f>
        <x:v>Darnell Washington</x:v>
      </x:c>
      <x:c r="AS40" s="87" t="str">
        <x:f>IFERROR(VLOOKUP(Aggregate!$AR40,ECR!C:F,2,FALSE()),"-")</x:f>
        <x:v>PIT</x:v>
      </x:c>
      <x:c r="AT40" s="87" t="n">
        <x:f>IFERROR(VLOOKUP(Aggregate!$AR40,ECR!C:F,4,FALSE()),"-")</x:f>
        <x:v>9</x:v>
      </x:c>
      <x:c r="AU40" s="87" t="str">
        <x:f>Aggregate!$AS40 &amp; "/" &amp; Aggregate!$AT40</x:f>
        <x:v>PIT/9</x:v>
      </x:c>
      <x:c r="AV40" s="67" t="n">
        <x:f>IFERROR(VLOOKUP(Aggregate!$AR40,TE!A:K,9,FALSE())/17*(16-Aggregate!$BC40),0)</x:f>
        <x:v>43.28649764705882</x:v>
      </x:c>
      <x:c r="AW40" s="67" t="n">
        <x:f>IFERROR(VLOOKUP(Aggregate!$AR40,TE!A:K,10,FALSE())/17*(16-Aggregate!$BC40),0)</x:f>
        <x:v>48.45164070588236</x:v>
      </x:c>
      <x:c r="AX40" s="67" t="n">
        <x:f>IFERROR(VLOOKUP(Aggregate!$AR40,TE!A:K,11,FALSE())/17*(16-Aggregate!$BC40),0)</x:f>
        <x:v>54.81873529411765</x:v>
      </x:c>
      <x:c r="AY40" s="70" t="n">
        <x:f>AVERAGE(Aggregate!$AV40,Aggregate!$AW40,Aggregate!$AX40,VLOOKUP(Aggregate!$AR40,ECR!L:N,3,FALSE))</x:f>
        <x:v>49.294224971764706</x:v>
      </x:c>
      <x:c r="AZ40" s="70" t="n">
        <x:f>Aggregate!$AY40-$AS$1</x:f>
        <x:v>-56.16731363999999</x:v>
      </x:c>
      <x:c r="BA40" s="74" t="n">
        <x:f>MAX(Aggregate!$AZ40*Scoring!$B$48+1,1)</x:f>
        <x:v>1</x:v>
      </x:c>
      <x:c r="BB40" s="67" t="n">
        <x:f>VLOOKUP(Aggregate!$AZ40,BW:BY,3,FALSE)</x:f>
        <x:v>8</x:v>
      </x:c>
      <x:c r="BC40" s="77" t="n">
        <x:f t="array" ref="BC40">VLOOKUP(INDEX(ECR!$E:$E,MATCH(AR40,ECR!$C:$C,0)),RISK!A:B,2,FALSE())</x:f>
        <x:v>2.1938</x:v>
      </x:c>
      <x:c r="BD40" s="67"/>
      <x:c r="BE40" s="78"/>
      <x:c r="BF40" s="78">
        <x:v>38.0</x:v>
      </x:c>
      <x:c r="BG40" s="78">
        <x:f t="shared" si="1"/>
        <x:v>16.95924706</x:v>
      </x:c>
      <x:c r="BH40" s="78" t="n">
        <x:f>IFERROR(LARGE($J$3:$J$52,38),"")</x:f>
        <x:v>-223.33037943963234</x:v>
      </x:c>
      <x:c r="BI40" s="78">
        <x:f t="shared" si="5"/>
        <x:v>-225.6281122</x:v>
      </x:c>
      <x:c r="BJ40" s="78">
        <x:f t="shared" si="6"/>
        <x:v>14</x:v>
      </x:c>
      <x:c r="BK40" s="89">
        <x:v>38.0</x:v>
      </x:c>
      <x:c r="BL40" s="78">
        <x:f t="shared" si="2"/>
        <x:v>104.8456</x:v>
      </x:c>
      <x:c r="BM40" s="90" t="n">
        <x:f>IFERROR(LARGE($X$3:$X$102,38),"")</x:f>
        <x:v>-24.48040324264707</x:v>
      </x:c>
      <x:c r="BN40" s="90">
        <x:f t="shared" si="7"/>
        <x:v>24.52596682</x:v>
      </x:c>
      <x:c r="BO40" s="91">
        <x:f t="shared" si="8"/>
        <x:v>6</x:v>
      </x:c>
      <x:c r="BP40" s="90">
        <x:v>38.0</x:v>
      </x:c>
      <x:c r="BQ40" s="78">
        <x:f t="shared" si="3"/>
        <x:v>108.7175294</x:v>
      </x:c>
      <x:c r="BR40" s="90" t="n">
        <x:f>IFERROR(LARGE($AL$3:$AL$102,38),"")</x:f>
        <x:v>4.973107055882352</x:v>
      </x:c>
      <x:c r="BS40" s="90">
        <x:f t="shared" si="9"/>
        <x:v>19.0292711</x:v>
      </x:c>
      <x:c r="BT40" s="90">
        <x:f t="shared" si="10"/>
        <x:v>5</x:v>
      </x:c>
      <x:c r="BU40" s="78">
        <x:v>38.0</x:v>
      </x:c>
      <x:c r="BV40" s="78">
        <x:f t="shared" si="4"/>
        <x:v>50.62002624</x:v>
      </x:c>
      <x:c r="BW40" s="90" t="n">
        <x:f>IFERROR(LARGE($AZ$3:$AZ$52,38),"")</x:f>
        <x:v>-56.16731363999999</x:v>
      </x:c>
      <x:c r="BX40" s="90">
        <x:f t="shared" si="11"/>
        <x:v>-49.77184604</x:v>
      </x:c>
      <x:c r="BY40" s="90">
        <x:f t="shared" si="12"/>
        <x:v>8</x:v>
      </x:c>
      <x:c r="BZ40" s="90"/>
      <x:c r="CA40" s="90"/>
      <x:c r="CB40" s="90"/>
      <x:c r="CC40" s="90"/>
      <x:c r="CD40" s="90"/>
      <x:c r="CE40" s="90"/>
      <x:c r="CF40" s="90"/>
      <x:c r="CG40" s="90"/>
    </x:row>
    <x:row r="41" ht="14.25" customHeight="1">
      <x:c r="A41" s="60" t="s">
        <x:v>281</x:v>
      </x:c>
      <x:c r="B41" s="60" t="str">
        <x:f>VLOOKUP(A41,ECR!E:L,8,FALSE())</x:f>
        <x:v>Justin Fields</x:v>
      </x:c>
      <x:c r="C41" s="63" t="str">
        <x:f>IFERROR(VLOOKUP(Aggregate!$B41,ECR!C:F,2,FALSE()),"-")</x:f>
        <x:v>KC</x:v>
      </x:c>
      <x:c r="D41" s="63" t="n">
        <x:f>IFERROR(VLOOKUP(Aggregate!$B41,ECR!C:F,4,FALSE()),"-")</x:f>
        <x:v>5</x:v>
      </x:c>
      <x:c r="E41" s="63" t="str">
        <x:f>Aggregate!$C41 &amp; "/" &amp; Aggregate!$D41</x:f>
        <x:v>KC/5</x:v>
      </x:c>
      <x:c r="F41" s="67" t="n">
        <x:f>IFERROR(VLOOKUP(Aggregate!$B41,QB!A:Q,15,FALSE())/17*(16-Aggregate!$M41),0)</x:f>
        <x:v>6.437647058823529</x:v>
      </x:c>
      <x:c r="G41" s="67" t="n">
        <x:f>IFERROR(VLOOKUP(Aggregate!$B41,QB!A:Q,16,FALSE())/17*(16-Aggregate!$M41),0)</x:f>
        <x:v>8.84555294117647</x:v>
      </x:c>
      <x:c r="H41" s="67" t="n">
        <x:f>IFERROR(VLOOKUP(Aggregate!$B41,QB!A:Q,17,FALSE())/17*(16-Aggregate!$M41),0)</x:f>
        <x:v>12.032000000000002</x:v>
      </x:c>
      <x:c r="I41" s="70" t="n">
        <x:f>AVERAGE(Aggregate!$F41,Aggregate!$G41,Aggregate!$H41,VLOOKUP(Aggregate!$B41,ECR!L:N,3,FALSE))</x:f>
        <x:v>10.20762353</x:v>
      </x:c>
      <x:c r="J41" s="70" t="n">
        <x:f>Aggregate!$I41-$C$1</x:f>
        <x:v>-228.2666617920588</x:v>
      </x:c>
      <x:c r="K41" s="74" t="n">
        <x:f>MAX(Aggregate!$J41*Scoring!$B$48+1,1)</x:f>
        <x:v>1</x:v>
      </x:c>
      <x:c r="L41" s="75" t="n">
        <x:f>VLOOKUP(Aggregate!$J41,BH:BJ,3,FALSE)</x:f>
        <x:v>14</x:v>
      </x:c>
      <x:c r="M41" s="77" t="n">
        <x:f t="array" ref="M41">VLOOKUP(INDEX(ECR!$E:$E,MATCH(B41,ECR!$C:$C,0)),RISK!A:B,2,FALSE())</x:f>
        <x:v>3.2</x:v>
      </x:c>
      <x:c r="N41" s="78"/>
      <x:c r="O41" s="75" t="s">
        <x:v>282</x:v>
      </x:c>
      <x:c r="P41" s="60" t="str">
        <x:f>VLOOKUP(O41,ECR!E:L,8,FALSE())</x:f>
        <x:v>Kyle Monangai</x:v>
      </x:c>
      <x:c r="Q41" s="63" t="str">
        <x:f>IFERROR(VLOOKUP(Aggregate!$P41,ECR!C:F,2,FALSE()),"-")</x:f>
        <x:v>CHI</x:v>
      </x:c>
      <x:c r="R41" s="63" t="n">
        <x:f>IFERROR(VLOOKUP(Aggregate!$P41,ECR!C:F,4,FALSE()),"-")</x:f>
        <x:v>10</x:v>
      </x:c>
      <x:c r="S41" s="63" t="str">
        <x:f>Aggregate!$Q41 &amp; "/" &amp; Aggregate!$R41</x:f>
        <x:v>CHI/10</x:v>
      </x:c>
      <x:c r="T41" s="67" t="n">
        <x:f>IFERROR(VLOOKUP(Aggregate!$P41,RB!A:Q,13,FALSE())/17*(16-Aggregate!$AA41),0)</x:f>
        <x:v>93.40249411764707</x:v>
      </x:c>
      <x:c r="U41" s="67" t="n">
        <x:f>IFERROR(VLOOKUP(Aggregate!$P41,RB!A:Q,14,FALSE())/17*(16-Aggregate!$AA41),0)</x:f>
        <x:v>107.70637647058822</x:v>
      </x:c>
      <x:c r="V41" s="67" t="n">
        <x:f>IFERROR(VLOOKUP(Aggregate!$P41,RB!A:Q,15,FALSE())/17*(16-Aggregate!$AA41),0)</x:f>
        <x:v>123.16199999999999</x:v>
      </x:c>
      <x:c r="W41" s="70" t="n">
        <x:f>AVERAGE(Aggregate!$T41,Aggregate!$U41,Aggregate!$V41,VLOOKUP(Aggregate!$P41,ECR!L:N,3,FALSE))</x:f>
        <x:v>107.10465042205881</x:v>
      </x:c>
      <x:c r="X41" s="70" t="n">
        <x:f>Aggregate!$W41-$Q$1</x:f>
        <x:v>-22.895678702941197</x:v>
      </x:c>
      <x:c r="Y41" s="74" t="n">
        <x:f>MAX(Aggregate!$X41*Scoring!$B$48+1,1)</x:f>
        <x:v>1</x:v>
      </x:c>
      <x:c r="Z41" s="75" t="n">
        <x:f>VLOOKUP(Aggregate!$X41,BM:BO,3,FALSE)</x:f>
        <x:v>6</x:v>
      </x:c>
      <x:c r="AA41" s="77" t="n">
        <x:f t="array" ref="AA41">VLOOKUP(INDEX(ECR!$E:$E,MATCH(P41,ECR!$C:$C,0)),RISK!A:B,2,FALSE())</x:f>
        <x:v>3.368</x:v>
      </x:c>
      <x:c r="AB41" s="78"/>
      <x:c r="AC41" s="63" t="s">
        <x:v>283</x:v>
      </x:c>
      <x:c r="AD41" s="63" t="str">
        <x:f>VLOOKUP(AC41,ECR!E:L,8,FALSE())</x:f>
        <x:v>Quentin Johnston</x:v>
      </x:c>
      <x:c r="AE41" s="63" t="str">
        <x:f>IFERROR(VLOOKUP(Aggregate!$AD41,ECR!C:F,2,FALSE()),"-")</x:f>
        <x:v>LAC</x:v>
      </x:c>
      <x:c r="AF41" s="63" t="n">
        <x:f>IFERROR(VLOOKUP(Aggregate!$AD41,ECR!C:F,4,FALSE()),"-")</x:f>
        <x:v>7</x:v>
      </x:c>
      <x:c r="AG41" s="63" t="str">
        <x:f>Aggregate!$AE41 &amp; "/" &amp; Aggregate!$AF41</x:f>
        <x:v>LAC/7</x:v>
      </x:c>
      <x:c r="AH41" s="67" t="n">
        <x:f>IFERROR(VLOOKUP(Aggregate!$AD41,WR!A:Q,13,FALSE())/17*(16-Aggregate!$AO41),0)</x:f>
        <x:v>92.10529411764706</x:v>
      </x:c>
      <x:c r="AI41" s="67" t="n">
        <x:f>IFERROR(VLOOKUP(Aggregate!$AD41,WR!A:Q,14,FALSE())/17*(16-Aggregate!$AO41),0)</x:f>
        <x:v>103.55152941176472</x:v>
      </x:c>
      <x:c r="AJ41" s="67" t="n">
        <x:f>IFERROR(VLOOKUP(Aggregate!$AD41,WR!A:Q,15,FALSE())/17*(16-Aggregate!$AO41),0)</x:f>
        <x:v>117.48670588235294</x:v>
      </x:c>
      <x:c r="AK41" s="70" t="n">
        <x:f>AVERAGE(Aggregate!$AH41,Aggregate!$AI41,Aggregate!$AJ41,VLOOKUP(Aggregate!$AD41,ECR!L:N,3,FALSE))</x:f>
        <x:v>104.96892352794117</x:v>
      </x:c>
      <x:c r="AL41" s="70" t="n">
        <x:f>Aggregate!$AK41-$AE$1</x:f>
        <x:v>2.7740117705882312</x:v>
      </x:c>
      <x:c r="AM41" s="74" t="n">
        <x:f>MAX(Aggregate!$AL41*Scoring!$B$48+1,1)</x:f>
        <x:v>2.6702187579070418</x:v>
      </x:c>
      <x:c r="AN41" s="75" t="n">
        <x:f>VLOOKUP(Aggregate!$AL41,BR:BT,3,FALSE)</x:f>
        <x:v>5</x:v>
      </x:c>
      <x:c r="AO41" s="77" t="n">
        <x:f t="array" ref="AO41">VLOOKUP(INDEX(ECR!$E:$E,MATCH(AD41,ECR!$C:$C,0)),RISK!A:B,2,FALSE())</x:f>
        <x:v>3.7</x:v>
      </x:c>
      <x:c r="AP41" s="78"/>
      <x:c r="AQ41" s="87" t="s">
        <x:v>284</x:v>
      </x:c>
      <x:c r="AR41" s="87" t="str">
        <x:f>VLOOKUP(AQ41,ECR!E:L,8,FALSE())</x:f>
        <x:v>Darren Waller</x:v>
      </x:c>
      <x:c r="AS41" s="87" t="str">
        <x:f>IFERROR(VLOOKUP(Aggregate!$AR41,ECR!C:F,2,FALSE()),"-")</x:f>
        <x:v>CAR</x:v>
      </x:c>
      <x:c r="AT41" s="87" t="n">
        <x:f>IFERROR(VLOOKUP(Aggregate!$AR41,ECR!C:F,4,FALSE()),"-")</x:f>
        <x:v>5</x:v>
      </x:c>
      <x:c r="AU41" s="87" t="str">
        <x:f>Aggregate!$AS41 &amp; "/" &amp; Aggregate!$AT41</x:f>
        <x:v>CAR/5</x:v>
      </x:c>
      <x:c r="AV41" s="67" t="n">
        <x:f>IFERROR(VLOOKUP(Aggregate!$AR41,TE!A:K,9,FALSE())/17*(16-Aggregate!$BC41),0)</x:f>
        <x:v>60.909705882352945</x:v>
      </x:c>
      <x:c r="AW41" s="67" t="n">
        <x:f>IFERROR(VLOOKUP(Aggregate!$AR41,TE!A:K,10,FALSE())/17*(16-Aggregate!$BC41),0)</x:f>
        <x:v>74.26923470588235</x:v>
      </x:c>
      <x:c r="AX41" s="67" t="n">
        <x:f>IFERROR(VLOOKUP(Aggregate!$AR41,TE!A:K,11,FALSE())/17*(16-Aggregate!$BC41),0)</x:f>
        <x:v>86.36184164705884</x:v>
      </x:c>
      <x:c r="AY41" s="70" t="n">
        <x:f>AVERAGE(Aggregate!$AV41,Aggregate!$AW41,Aggregate!$AX41,VLOOKUP(Aggregate!$AR41,ECR!L:N,3,FALSE))</x:f>
        <x:v>67.37628632382354</x:v>
      </x:c>
      <x:c r="AZ41" s="70" t="n">
        <x:f>Aggregate!$AY41-$AS$1</x:f>
        <x:v>-38.08525228794116</x:v>
      </x:c>
      <x:c r="BA41" s="74" t="n">
        <x:f>MAX(Aggregate!$AZ41*Scoring!$B$48+1,1)</x:f>
        <x:v>1</x:v>
      </x:c>
      <x:c r="BB41" s="67" t="n">
        <x:f>VLOOKUP(Aggregate!$AZ41,BW:BY,3,FALSE)</x:f>
        <x:v>7</x:v>
      </x:c>
      <x:c r="BC41" s="77" t="n">
        <x:f t="array" ref="BC41">VLOOKUP(INDEX(ECR!$E:$E,MATCH(AR41,ECR!$C:$C,0)),RISK!A:B,2,FALSE())</x:f>
        <x:v>2.1938</x:v>
      </x:c>
      <x:c r="BD41" s="67"/>
      <x:c r="BE41" s="78"/>
      <x:c r="BF41" s="78">
        <x:v>39.0</x:v>
      </x:c>
      <x:c r="BG41" s="78">
        <x:f t="shared" si="1"/>
        <x:v>13.51529412</x:v>
      </x:c>
      <x:c r="BH41" s="78" t="n">
        <x:f>IFERROR(LARGE($J$3:$J$52,39),"")</x:f>
        <x:v>-226.67155591039705</x:v>
      </x:c>
      <x:c r="BI41" s="78">
        <x:f t="shared" si="5"/>
        <x:v>-225.6281122</x:v>
      </x:c>
      <x:c r="BJ41" s="78">
        <x:f t="shared" si="6"/>
        <x:v>14</x:v>
      </x:c>
      <x:c r="BK41" s="89">
        <x:v>39.0</x:v>
      </x:c>
      <x:c r="BL41" s="78">
        <x:f t="shared" si="2"/>
        <x:v>104.1477311</x:v>
      </x:c>
      <x:c r="BM41" s="90" t="n">
        <x:f>IFERROR(LARGE($X$3:$X$102,39),"")</x:f>
        <x:v>-26.698832535588252</x:v>
      </x:c>
      <x:c r="BN41" s="90">
        <x:f t="shared" si="7"/>
        <x:v>1.801456882</x:v>
      </x:c>
      <x:c r="BO41" s="91">
        <x:f t="shared" si="8"/>
        <x:v>7</x:v>
      </x:c>
      <x:c r="BP41" s="90">
        <x:v>39.0</x:v>
      </x:c>
      <x:c r="BQ41" s="78">
        <x:f t="shared" si="3"/>
        <x:v>106.7321647</x:v>
      </x:c>
      <x:c r="BR41" s="90" t="n">
        <x:f>IFERROR(LARGE($AL$3:$AL$102,39),"")</x:f>
        <x:v>3.9812205926470625</x:v>
      </x:c>
      <x:c r="BS41" s="90">
        <x:f t="shared" si="9"/>
        <x:v>19.0292711</x:v>
      </x:c>
      <x:c r="BT41" s="90">
        <x:f t="shared" si="10"/>
        <x:v>5</x:v>
      </x:c>
      <x:c r="BU41" s="78">
        <x:v>39.0</x:v>
      </x:c>
      <x:c r="BV41" s="78">
        <x:f t="shared" si="4"/>
        <x:v>47.96436306</x:v>
      </x:c>
      <x:c r="BW41" s="90" t="n">
        <x:f>IFERROR(LARGE($AZ$3:$AZ$52,39),"")</x:f>
        <x:v>-57.87887637573529</x:v>
      </x:c>
      <x:c r="BX41" s="90">
        <x:f t="shared" si="11"/>
        <x:v>-49.77184604</x:v>
      </x:c>
      <x:c r="BY41" s="90">
        <x:f t="shared" si="12"/>
        <x:v>8</x:v>
      </x:c>
      <x:c r="BZ41" s="90"/>
      <x:c r="CA41" s="90"/>
      <x:c r="CB41" s="90"/>
      <x:c r="CC41" s="90"/>
      <x:c r="CD41" s="90"/>
      <x:c r="CE41" s="90"/>
      <x:c r="CF41" s="90"/>
      <x:c r="CG41" s="90"/>
    </x:row>
    <x:row r="42" ht="14.25" customHeight="1">
      <x:c r="A42" s="60" t="s">
        <x:v>285</x:v>
      </x:c>
      <x:c r="B42" s="60" t="str">
        <x:f>VLOOKUP(A42,ECR!E:L,8,FALSE())</x:f>
        <x:v>Ty Simpson</x:v>
      </x:c>
      <x:c r="C42" s="63" t="str">
        <x:f>IFERROR(VLOOKUP(Aggregate!$B42,ECR!C:F,2,FALSE()),"-")</x:f>
        <x:v>LAR</x:v>
      </x:c>
      <x:c r="D42" s="63" t="n">
        <x:f>IFERROR(VLOOKUP(Aggregate!$B42,ECR!C:F,4,FALSE()),"-")</x:f>
        <x:v>11</x:v>
      </x:c>
      <x:c r="E42" s="63" t="str">
        <x:f>Aggregate!$C42 &amp; "/" &amp; Aggregate!$D42</x:f>
        <x:v>LAR/11</x:v>
      </x:c>
      <x:c r="F42" s="67" t="n">
        <x:f>IFERROR(VLOOKUP(Aggregate!$B42,QB!A:Q,15,FALSE())/17*(16-Aggregate!$M42),0)</x:f>
        <x:v>6.728282352941176</x:v>
      </x:c>
      <x:c r="G42" s="67" t="n">
        <x:f>IFERROR(VLOOKUP(Aggregate!$B42,QB!A:Q,16,FALSE())/17*(16-Aggregate!$M42),0)</x:f>
        <x:v>16.917082352941176</x:v>
      </x:c>
      <x:c r="H42" s="67" t="n">
        <x:f>IFERROR(VLOOKUP(Aggregate!$B42,QB!A:Q,17,FALSE())/17*(16-Aggregate!$M42),0)</x:f>
        <x:v>27.55764705882353</x:v>
      </x:c>
      <x:c r="I42" s="70" t="n">
        <x:f>AVERAGE(Aggregate!$F42,Aggregate!$G42,Aggregate!$H42,VLOOKUP(Aggregate!$B42,ECR!L:N,3,FALSE))</x:f>
        <x:v>15.14390588242647</x:v>
      </x:c>
      <x:c r="J42" s="70" t="n">
        <x:f>Aggregate!$I42-$C$1</x:f>
        <x:v>-223.33037943963234</x:v>
      </x:c>
      <x:c r="K42" s="74" t="n">
        <x:f>MAX(Aggregate!$J42*Scoring!$B$48+1,1)</x:f>
        <x:v>1</x:v>
      </x:c>
      <x:c r="L42" s="75" t="n">
        <x:f>VLOOKUP(Aggregate!$J42,BH:BJ,3,FALSE)</x:f>
        <x:v>14</x:v>
      </x:c>
      <x:c r="M42" s="77" t="n">
        <x:f t="array" ref="M42">VLOOKUP(INDEX(ECR!$E:$E,MATCH(B42,ECR!$C:$C,0)),RISK!A:B,2,FALSE())</x:f>
        <x:v>3.2</x:v>
      </x:c>
      <x:c r="N42" s="78"/>
      <x:c r="O42" s="75" t="s">
        <x:v>286</x:v>
      </x:c>
      <x:c r="P42" s="60" t="str">
        <x:f>VLOOKUP(O42,ECR!E:L,8,FALSE())</x:f>
        <x:v>Rachaad White</x:v>
      </x:c>
      <x:c r="Q42" s="63" t="str">
        <x:f>IFERROR(VLOOKUP(Aggregate!$P42,ECR!C:F,2,FALSE()),"-")</x:f>
        <x:v>WAS</x:v>
      </x:c>
      <x:c r="R42" s="63" t="n">
        <x:f>IFERROR(VLOOKUP(Aggregate!$P42,ECR!C:F,4,FALSE()),"-")</x:f>
        <x:v>7</x:v>
      </x:c>
      <x:c r="S42" s="63" t="str">
        <x:f>Aggregate!$Q42 &amp; "/" &amp; Aggregate!$R42</x:f>
        <x:v>WAS/7</x:v>
      </x:c>
      <x:c r="T42" s="67" t="n">
        <x:f>IFERROR(VLOOKUP(Aggregate!$P42,RB!A:Q,13,FALSE())/17*(16-Aggregate!$AA42),0)</x:f>
        <x:v>87.0121882352941</x:v>
      </x:c>
      <x:c r="U42" s="67" t="n">
        <x:f>IFERROR(VLOOKUP(Aggregate!$P42,RB!A:Q,14,FALSE())/17*(16-Aggregate!$AA42),0)</x:f>
        <x:v>106.74040000000001</x:v>
      </x:c>
      <x:c r="V42" s="67" t="n">
        <x:f>IFERROR(VLOOKUP(Aggregate!$P42,RB!A:Q,15,FALSE())/17*(16-Aggregate!$AA42),0)</x:f>
        <x:v>126.17138823529412</x:v>
      </x:c>
      <x:c r="W42" s="70" t="n">
        <x:f>AVERAGE(Aggregate!$T42,Aggregate!$U42,Aggregate!$V42,VLOOKUP(Aggregate!$P42,ECR!L:N,3,FALSE))</x:f>
        <x:v>105.61101411764706</x:v>
      </x:c>
      <x:c r="X42" s="70" t="n">
        <x:f>Aggregate!$W42-$Q$1</x:f>
        <x:v>-24.38931500735295</x:v>
      </x:c>
      <x:c r="Y42" s="74" t="n">
        <x:f>MAX(Aggregate!$X42*Scoring!$B$48+1,1)</x:f>
        <x:v>1</x:v>
      </x:c>
      <x:c r="Z42" s="75" t="n">
        <x:f>VLOOKUP(Aggregate!$X42,BM:BO,3,FALSE)</x:f>
        <x:v>6</x:v>
      </x:c>
      <x:c r="AA42" s="77" t="n">
        <x:f t="array" ref="AA42">VLOOKUP(INDEX(ECR!$E:$E,MATCH(P42,ECR!$C:$C,0)),RISK!A:B,2,FALSE())</x:f>
        <x:v>3.368</x:v>
      </x:c>
      <x:c r="AB42" s="78"/>
      <x:c r="AC42" s="63" t="s">
        <x:v>287</x:v>
      </x:c>
      <x:c r="AD42" s="63" t="str">
        <x:f>VLOOKUP(AC42,ECR!E:L,8,FALSE())</x:f>
        <x:v>Josh Downs</x:v>
      </x:c>
      <x:c r="AE42" s="63" t="str">
        <x:f>IFERROR(VLOOKUP(Aggregate!$AD42,ECR!C:F,2,FALSE()),"-")</x:f>
        <x:v>IND</x:v>
      </x:c>
      <x:c r="AF42" s="63" t="n">
        <x:f>IFERROR(VLOOKUP(Aggregate!$AD42,ECR!C:F,4,FALSE()),"-")</x:f>
        <x:v>13</x:v>
      </x:c>
      <x:c r="AG42" s="63" t="str">
        <x:f>Aggregate!$AE42 &amp; "/" &amp; Aggregate!$AF42</x:f>
        <x:v>IND/13</x:v>
      </x:c>
      <x:c r="AH42" s="67" t="n">
        <x:f>IFERROR(VLOOKUP(Aggregate!$AD42,WR!A:Q,13,FALSE())/17*(16-Aggregate!$AO42),0)</x:f>
        <x:v>85.28964705882353</x:v>
      </x:c>
      <x:c r="AI42" s="67" t="n">
        <x:f>IFERROR(VLOOKUP(Aggregate!$AD42,WR!A:Q,14,FALSE())/17*(16-Aggregate!$AO42),0)</x:f>
        <x:v>93.27017647058824</x:v>
      </x:c>
      <x:c r="AJ42" s="67" t="n">
        <x:f>IFERROR(VLOOKUP(Aggregate!$AD42,WR!A:Q,15,FALSE())/17*(16-Aggregate!$AO42),0)</x:f>
        <x:v>103.33447058823529</x:v>
      </x:c>
      <x:c r="AK42" s="70" t="n">
        <x:f>AVERAGE(Aggregate!$AH42,Aggregate!$AI42,Aggregate!$AJ42,VLOOKUP(Aggregate!$AD42,ECR!L:N,3,FALSE))</x:f>
        <x:v>97.04200765441176</x:v>
      </x:c>
      <x:c r="AL42" s="70" t="n">
        <x:f>Aggregate!$AK42-$AE$1</x:f>
        <x:v>-5.152904102941179</x:v>
      </x:c>
      <x:c r="AM42" s="74" t="n">
        <x:f>MAX(Aggregate!$AL42*Scoring!$B$48+1,1)</x:f>
        <x:v>1</x:v>
      </x:c>
      <x:c r="AN42" s="75" t="n">
        <x:f>VLOOKUP(Aggregate!$AL42,BR:BT,3,FALSE)</x:f>
        <x:v>6</x:v>
      </x:c>
      <x:c r="AO42" s="77" t="n">
        <x:f t="array" ref="AO42">VLOOKUP(INDEX(ECR!$E:$E,MATCH(AD42,ECR!$C:$C,0)),RISK!A:B,2,FALSE())</x:f>
        <x:v>3.7</x:v>
      </x:c>
      <x:c r="AP42" s="78"/>
      <x:c r="AQ42" s="87" t="s">
        <x:v>288</x:v>
      </x:c>
      <x:c r="AR42" s="87" t="str">
        <x:f>VLOOKUP(AQ42,ECR!E:L,8,FALSE())</x:f>
        <x:v>Oscar Delp</x:v>
      </x:c>
      <x:c r="AS42" s="87" t="str">
        <x:f>IFERROR(VLOOKUP(Aggregate!$AR42,ECR!C:F,2,FALSE()),"-")</x:f>
        <x:v>NO</x:v>
      </x:c>
      <x:c r="AT42" s="87" t="n">
        <x:f>IFERROR(VLOOKUP(Aggregate!$AR42,ECR!C:F,4,FALSE()),"-")</x:f>
        <x:v>8</x:v>
      </x:c>
      <x:c r="AU42" s="87" t="str">
        <x:f>Aggregate!$AS42 &amp; "/" &amp; Aggregate!$AT42</x:f>
        <x:v>NO/8</x:v>
      </x:c>
      <x:c r="AV42" s="67" t="n">
        <x:f>IFERROR(VLOOKUP(Aggregate!$AR42,TE!A:K,9,FALSE())/17*(16-Aggregate!$BC42),0)</x:f>
        <x:v>11.54035894117647</x:v>
      </x:c>
      <x:c r="AW42" s="67" t="n">
        <x:f>IFERROR(VLOOKUP(Aggregate!$AR42,TE!A:K,10,FALSE())/17*(16-Aggregate!$BC42),0)</x:f>
        <x:v>14.951302470588237</x:v>
      </x:c>
      <x:c r="AX42" s="67" t="n">
        <x:f>IFERROR(VLOOKUP(Aggregate!$AR42,TE!A:K,11,FALSE())/17*(16-Aggregate!$BC42),0)</x:f>
        <x:v>18.760189411764706</x:v>
      </x:c>
      <x:c r="AY42" s="70" t="n">
        <x:f>AVERAGE(Aggregate!$AV42,Aggregate!$AW42,Aggregate!$AX42,VLOOKUP(Aggregate!$AR42,ECR!L:N,3,FALSE))</x:f>
        <x:v>22.804593883382353</x:v>
      </x:c>
      <x:c r="AZ42" s="70" t="n">
        <x:f>Aggregate!$AY42-$AS$1</x:f>
        <x:v>-82.65694472838234</x:v>
      </x:c>
      <x:c r="BA42" s="74" t="n">
        <x:f>MAX(Aggregate!$AZ42*Scoring!$B$48+1,1)</x:f>
        <x:v>1</x:v>
      </x:c>
      <x:c r="BB42" s="67" t="n">
        <x:f>VLOOKUP(Aggregate!$AZ42,BW:BY,3,FALSE)</x:f>
        <x:v>10</x:v>
      </x:c>
      <x:c r="BC42" s="77" t="n">
        <x:f t="array" ref="BC42">VLOOKUP(INDEX(ECR!$E:$E,MATCH(AR42,ECR!$C:$C,0)),RISK!A:B,2,FALSE())</x:f>
        <x:v>2.1938</x:v>
      </x:c>
      <x:c r="BD42" s="67"/>
      <x:c r="BE42" s="78"/>
      <x:c r="BF42" s="78">
        <x:v>40.0</x:v>
      </x:c>
      <x:c r="BG42" s="78">
        <x:f t="shared" si="1"/>
        <x:v>9.372611765</x:v>
      </x:c>
      <x:c r="BH42" s="78" t="n">
        <x:f>IFERROR(LARGE($J$3:$J$52,40),"")</x:f>
        <x:v>-228.2666617920588</x:v>
      </x:c>
      <x:c r="BI42" s="78">
        <x:f t="shared" si="5"/>
        <x:v>-225.6281122</x:v>
      </x:c>
      <x:c r="BJ42" s="78">
        <x:f t="shared" si="6"/>
        <x:v>14</x:v>
      </x:c>
      <x:c r="BK42" s="89">
        <x:v>40.0</x:v>
      </x:c>
      <x:c r="BL42" s="78">
        <x:f t="shared" si="2"/>
        <x:v>102.52008</x:v>
      </x:c>
      <x:c r="BM42" s="90" t="n">
        <x:f>IFERROR(LARGE($X$3:$X$102,40),"")</x:f>
        <x:v>-27.232061301470594</x:v>
      </x:c>
      <x:c r="BN42" s="90">
        <x:f t="shared" si="7"/>
        <x:v>1.801456882</x:v>
      </x:c>
      <x:c r="BO42" s="91">
        <x:f t="shared" si="8"/>
        <x:v>7</x:v>
      </x:c>
      <x:c r="BP42" s="90">
        <x:v>40.0</x:v>
      </x:c>
      <x:c r="BQ42" s="78">
        <x:f t="shared" si="3"/>
        <x:v>106.2737365</x:v>
      </x:c>
      <x:c r="BR42" s="90" t="n">
        <x:f>IFERROR(LARGE($AL$3:$AL$102,40),"")</x:f>
        <x:v>3.032890586764708</x:v>
      </x:c>
      <x:c r="BS42" s="90">
        <x:f t="shared" si="9"/>
        <x:v>19.0292711</x:v>
      </x:c>
      <x:c r="BT42" s="90">
        <x:f t="shared" si="10"/>
        <x:v>5</x:v>
      </x:c>
      <x:c r="BU42" s="78">
        <x:v>40.0</x:v>
      </x:c>
      <x:c r="BV42" s="78">
        <x:f t="shared" si="4"/>
        <x:v>45.96652471</x:v>
      </x:c>
      <x:c r="BW42" s="90" t="n">
        <x:f>IFERROR(LARGE($AZ$3:$AZ$52,40),"")</x:f>
        <x:v>-61.19642502455881</x:v>
      </x:c>
      <x:c r="BX42" s="90">
        <x:f t="shared" si="11"/>
        <x:v>-49.77184604</x:v>
      </x:c>
      <x:c r="BY42" s="90">
        <x:f t="shared" si="12"/>
        <x:v>8</x:v>
      </x:c>
      <x:c r="BZ42" s="90"/>
      <x:c r="CA42" s="90"/>
      <x:c r="CB42" s="90"/>
      <x:c r="CC42" s="90"/>
      <x:c r="CD42" s="90"/>
      <x:c r="CE42" s="90"/>
      <x:c r="CF42" s="90"/>
      <x:c r="CG42" s="90"/>
    </x:row>
    <x:row r="43" ht="14.25" customHeight="1">
      <x:c r="A43" s="60" t="s">
        <x:v>289</x:v>
      </x:c>
      <x:c r="B43" s="60" t="str">
        <x:f>VLOOKUP(A43,ECR!E:L,8,FALSE())</x:f>
        <x:v>Anthony Richardson Sr.</x:v>
      </x:c>
      <x:c r="C43" s="63" t="str">
        <x:f>IFERROR(VLOOKUP(Aggregate!$B43,ECR!C:F,2,FALSE()),"-")</x:f>
        <x:v>IND</x:v>
      </x:c>
      <x:c r="D43" s="63" t="n">
        <x:f>IFERROR(VLOOKUP(Aggregate!$B43,ECR!C:F,4,FALSE()),"-")</x:f>
        <x:v>13</x:v>
      </x:c>
      <x:c r="E43" s="63" t="str">
        <x:f>Aggregate!$C43 &amp; "/" &amp; Aggregate!$D43</x:f>
        <x:v>IND/13</x:v>
      </x:c>
      <x:c r="F43" s="67" t="n">
        <x:f>IFERROR(VLOOKUP(Aggregate!$B43,QB!A:Q,15,FALSE())/17*(16-Aggregate!$M43),0)</x:f>
        <x:v>7.800470588235294</x:v>
      </x:c>
      <x:c r="G43" s="67" t="n">
        <x:f>IFERROR(VLOOKUP(Aggregate!$B43,QB!A:Q,16,FALSE())/17*(16-Aggregate!$M43),0)</x:f>
        <x:v>7.800470588235294</x:v>
      </x:c>
      <x:c r="H43" s="67" t="n">
        <x:f>IFERROR(VLOOKUP(Aggregate!$B43,QB!A:Q,17,FALSE())/17*(16-Aggregate!$M43),0)</x:f>
        <x:v>7.800470588235294</x:v>
      </x:c>
      <x:c r="I43" s="70" t="n">
        <x:f>AVERAGE(Aggregate!$F43,Aggregate!$G43,Aggregate!$H43,VLOOKUP(Aggregate!$B43,ECR!L:N,3,FALSE))</x:f>
        <x:v>8.177317647176471</x:v>
      </x:c>
      <x:c r="J43" s="70" t="n">
        <x:f>Aggregate!$I43-$C$1</x:f>
        <x:v>-230.29696767488235</x:v>
      </x:c>
      <x:c r="K43" s="74" t="n">
        <x:f>MAX(Aggregate!$J43*Scoring!$B$48+1,1)</x:f>
        <x:v>1</x:v>
      </x:c>
      <x:c r="L43" s="75" t="n">
        <x:f>VLOOKUP(Aggregate!$J43,BH:BJ,3,FALSE)</x:f>
        <x:v>14</x:v>
      </x:c>
      <x:c r="M43" s="77" t="n">
        <x:f t="array" ref="M43">VLOOKUP(INDEX(ECR!$E:$E,MATCH(B43,ECR!$C:$C,0)),RISK!A:B,2,FALSE())</x:f>
        <x:v>3.2</x:v>
      </x:c>
      <x:c r="N43" s="78"/>
      <x:c r="O43" s="75" t="s">
        <x:v>290</x:v>
      </x:c>
      <x:c r="P43" s="60" t="str">
        <x:f>VLOOKUP(O43,ECR!E:L,8,FALSE())</x:f>
        <x:v>Aaron Jones Sr.</x:v>
      </x:c>
      <x:c r="Q43" s="63" t="str">
        <x:f>IFERROR(VLOOKUP(Aggregate!$P43,ECR!C:F,2,FALSE()),"-")</x:f>
        <x:v>MIN</x:v>
      </x:c>
      <x:c r="R43" s="63" t="n">
        <x:f>IFERROR(VLOOKUP(Aggregate!$P43,ECR!C:F,4,FALSE()),"-")</x:f>
        <x:v>6</x:v>
      </x:c>
      <x:c r="S43" s="63" t="str">
        <x:f>Aggregate!$Q43 &amp; "/" &amp; Aggregate!$R43</x:f>
        <x:v>MIN/6</x:v>
      </x:c>
      <x:c r="T43" s="67" t="n">
        <x:f>IFERROR(VLOOKUP(Aggregate!$P43,RB!A:Q,13,FALSE())/17*(16-Aggregate!$AA43),0)</x:f>
        <x:v>94.74</x:v>
      </x:c>
      <x:c r="U43" s="67" t="n">
        <x:f>IFERROR(VLOOKUP(Aggregate!$P43,RB!A:Q,14,FALSE())/17*(16-Aggregate!$AA43),0)</x:f>
        <x:v>104.84559999999999</x:v>
      </x:c>
      <x:c r="V43" s="67" t="n">
        <x:f>IFERROR(VLOOKUP(Aggregate!$P43,RB!A:Q,15,FALSE())/17*(16-Aggregate!$AA43),0)</x:f>
        <x:v>114.37161411764704</x:v>
      </x:c>
      <x:c r="W43" s="70" t="n">
        <x:f>AVERAGE(Aggregate!$T43,Aggregate!$U43,Aggregate!$V43,VLOOKUP(Aggregate!$P43,ECR!L:N,3,FALSE))</x:f>
        <x:v>103.30149658941176</x:v>
      </x:c>
      <x:c r="X43" s="70" t="n">
        <x:f>Aggregate!$W43-$Q$1</x:f>
        <x:v>-26.698832535588252</x:v>
      </x:c>
      <x:c r="Y43" s="74" t="n">
        <x:f>MAX(Aggregate!$X43*Scoring!$B$48+1,1)</x:f>
        <x:v>1</x:v>
      </x:c>
      <x:c r="Z43" s="75" t="n">
        <x:f>VLOOKUP(Aggregate!$X43,BM:BO,3,FALSE)</x:f>
        <x:v>7</x:v>
      </x:c>
      <x:c r="AA43" s="77" t="n">
        <x:f t="array" ref="AA43">VLOOKUP(INDEX(ECR!$E:$E,MATCH(P43,ECR!$C:$C,0)),RISK!A:B,2,FALSE())</x:f>
        <x:v>3.368</x:v>
      </x:c>
      <x:c r="AB43" s="78"/>
      <x:c r="AC43" s="63" t="s">
        <x:v>291</x:v>
      </x:c>
      <x:c r="AD43" s="63" t="str">
        <x:f>VLOOKUP(AC43,ECR!E:L,8,FALSE())</x:f>
        <x:v>Alec Pierce</x:v>
      </x:c>
      <x:c r="AE43" s="63" t="str">
        <x:f>IFERROR(VLOOKUP(Aggregate!$AD43,ECR!C:F,2,FALSE()),"-")</x:f>
        <x:v>IND</x:v>
      </x:c>
      <x:c r="AF43" s="63" t="n">
        <x:f>IFERROR(VLOOKUP(Aggregate!$AD43,ECR!C:F,4,FALSE()),"-")</x:f>
        <x:v>13</x:v>
      </x:c>
      <x:c r="AG43" s="63" t="str">
        <x:f>Aggregate!$AE43 &amp; "/" &amp; Aggregate!$AF43</x:f>
        <x:v>IND/13</x:v>
      </x:c>
      <x:c r="AH43" s="67" t="n">
        <x:f>IFERROR(VLOOKUP(Aggregate!$AD43,WR!A:Q,13,FALSE())/17*(16-Aggregate!$AO43),0)</x:f>
        <x:v>105.0564705882353</x:v>
      </x:c>
      <x:c r="AI43" s="67" t="n">
        <x:f>IFERROR(VLOOKUP(Aggregate!$AD43,WR!A:Q,14,FALSE())/17*(16-Aggregate!$AO43),0)</x:f>
        <x:v>118.49964705882354</x:v>
      </x:c>
      <x:c r="AJ43" s="67" t="n">
        <x:f>IFERROR(VLOOKUP(Aggregate!$AD43,WR!A:Q,15,FALSE())/17*(16-Aggregate!$AO43),0)</x:f>
        <x:v>138.19411764705882</x:v>
      </x:c>
      <x:c r="AK43" s="70" t="n">
        <x:f>AVERAGE(Aggregate!$AH43,Aggregate!$AI43,Aggregate!$AJ43,VLOOKUP(Aggregate!$AD43,ECR!L:N,3,FALSE))</x:f>
        <x:v>116.68431177352942</x:v>
      </x:c>
      <x:c r="AL43" s="70" t="n">
        <x:f>Aggregate!$AK43-$AE$1</x:f>
        <x:v>14.489400016176475</x:v>
      </x:c>
      <x:c r="AM43" s="74" t="n">
        <x:f>MAX(Aggregate!$AL43*Scoring!$B$48+1,1)</x:f>
        <x:v>9.723996038670311</x:v>
      </x:c>
      <x:c r="AN43" s="75" t="n">
        <x:f>VLOOKUP(Aggregate!$AL43,BR:BT,3,FALSE)</x:f>
        <x:v>5</x:v>
      </x:c>
      <x:c r="AO43" s="77" t="n">
        <x:f t="array" ref="AO43">VLOOKUP(INDEX(ECR!$E:$E,MATCH(AD43,ECR!$C:$C,0)),RISK!A:B,2,FALSE())</x:f>
        <x:v>3.7</x:v>
      </x:c>
      <x:c r="AP43" s="78"/>
      <x:c r="AQ43" s="87" t="s">
        <x:v>292</x:v>
      </x:c>
      <x:c r="AR43" s="87" t="str">
        <x:f>VLOOKUP(AQ43,ECR!E:L,8,FALSE())</x:f>
        <x:v>Michael Mayer</x:v>
      </x:c>
      <x:c r="AS43" s="87" t="str">
        <x:f>IFERROR(VLOOKUP(Aggregate!$AR43,ECR!C:F,2,FALSE()),"-")</x:f>
        <x:v>LV</x:v>
      </x:c>
      <x:c r="AT43" s="87" t="n">
        <x:f>IFERROR(VLOOKUP(Aggregate!$AR43,ECR!C:F,4,FALSE()),"-")</x:f>
        <x:v>13</x:v>
      </x:c>
      <x:c r="AU43" s="87" t="str">
        <x:f>Aggregate!$AS43 &amp; "/" &amp; Aggregate!$AT43</x:f>
        <x:v>LV/13</x:v>
      </x:c>
      <x:c r="AV43" s="67" t="n">
        <x:f>IFERROR(VLOOKUP(Aggregate!$AR43,TE!A:K,9,FALSE())/17*(16-Aggregate!$BC43),0)</x:f>
        <x:v>49.13382941176471</x:v>
      </x:c>
      <x:c r="AW43" s="67" t="n">
        <x:f>IFERROR(VLOOKUP(Aggregate!$AR43,TE!A:K,10,FALSE())/17*(16-Aggregate!$BC43),0)</x:f>
        <x:v>56.954635647058836</x:v>
      </x:c>
      <x:c r="AX43" s="67" t="n">
        <x:f>IFERROR(VLOOKUP(Aggregate!$AR43,TE!A:K,11,FALSE())/17*(16-Aggregate!$BC43),0)</x:f>
        <x:v>66.18854705882353</x:v>
      </x:c>
      <x:c r="AY43" s="70" t="n">
        <x:f>AVERAGE(Aggregate!$AV43,Aggregate!$AW43,Aggregate!$AX43,VLOOKUP(Aggregate!$AR43,ECR!L:N,3,FALSE))</x:f>
        <x:v>53.93351423441177</x:v>
      </x:c>
      <x:c r="AZ43" s="70" t="n">
        <x:f>Aggregate!$AY43-$AS$1</x:f>
        <x:v>-51.52802437735293</x:v>
      </x:c>
      <x:c r="BA43" s="74" t="n">
        <x:f>MAX(Aggregate!$AZ43*Scoring!$B$48+1,1)</x:f>
        <x:v>1</x:v>
      </x:c>
      <x:c r="BB43" s="67" t="n">
        <x:f>VLOOKUP(Aggregate!$AZ43,BW:BY,3,FALSE)</x:f>
        <x:v>8</x:v>
      </x:c>
      <x:c r="BC43" s="77" t="n">
        <x:f t="array" ref="BC43">VLOOKUP(INDEX(ECR!$E:$E,MATCH(AR43,ECR!$C:$C,0)),RISK!A:B,2,FALSE())</x:f>
        <x:v>2.1938</x:v>
      </x:c>
      <x:c r="BD43" s="67"/>
      <x:c r="BE43" s="78"/>
      <x:c r="BF43" s="78">
        <x:v>41.0</x:v>
      </x:c>
      <x:c r="BG43" s="78">
        <x:f t="shared" si="1"/>
        <x:v>9.307858824</x:v>
      </x:c>
      <x:c r="BH43" s="78" t="n">
        <x:f>IFERROR(LARGE($J$3:$J$52,41),"")</x:f>
        <x:v>-228.47146179235293</x:v>
      </x:c>
      <x:c r="BI43" s="78">
        <x:f t="shared" si="5"/>
        <x:v>-225.6281122</x:v>
      </x:c>
      <x:c r="BJ43" s="78">
        <x:f t="shared" si="6"/>
        <x:v>14</x:v>
      </x:c>
      <x:c r="BK43" s="89">
        <x:v>41.0</x:v>
      </x:c>
      <x:c r="BL43" s="78">
        <x:f t="shared" si="2"/>
        <x:v>99.24877224</x:v>
      </x:c>
      <x:c r="BM43" s="90" t="n">
        <x:f>IFERROR(LARGE($X$3:$X$102,41),"")</x:f>
        <x:v>-28.500289411764697</x:v>
      </x:c>
      <x:c r="BN43" s="90">
        <x:f t="shared" si="7"/>
        <x:v>1.801456882</x:v>
      </x:c>
      <x:c r="BO43" s="91">
        <x:f t="shared" si="8"/>
        <x:v>7</x:v>
      </x:c>
      <x:c r="BP43" s="90">
        <x:v>41.0</x:v>
      </x:c>
      <x:c r="BQ43" s="78">
        <x:f t="shared" si="3"/>
        <x:v>104.9870118</x:v>
      </x:c>
      <x:c r="BR43" s="90" t="n">
        <x:f>IFERROR(LARGE($AL$3:$AL$102,41),"")</x:f>
        <x:v>2.975514710294121</x:v>
      </x:c>
      <x:c r="BS43" s="90">
        <x:f t="shared" si="9"/>
        <x:v>19.0292711</x:v>
      </x:c>
      <x:c r="BT43" s="90">
        <x:f t="shared" si="10"/>
        <x:v>5</x:v>
      </x:c>
      <x:c r="BU43" s="78">
        <x:v>41.0</x:v>
      </x:c>
      <x:c r="BV43" s="78">
        <x:f t="shared" si="4"/>
        <x:v>43.45704482</x:v>
      </x:c>
      <x:c r="BW43" s="90" t="n">
        <x:f>IFERROR(LARGE($AZ$3:$AZ$52,41),"")</x:f>
        <x:v>-63.13335367058822</x:v>
      </x:c>
      <x:c r="BX43" s="90">
        <x:f t="shared" si="11"/>
        <x:v>-63.03797999</x:v>
      </x:c>
      <x:c r="BY43" s="90">
        <x:f t="shared" si="12"/>
        <x:v>9</x:v>
      </x:c>
      <x:c r="BZ43" s="90"/>
      <x:c r="CA43" s="90"/>
      <x:c r="CB43" s="90"/>
      <x:c r="CC43" s="90"/>
      <x:c r="CD43" s="90"/>
      <x:c r="CE43" s="90"/>
      <x:c r="CF43" s="90"/>
      <x:c r="CG43" s="90"/>
    </x:row>
    <x:row r="44" ht="14.25" customHeight="1">
      <x:c r="A44" s="60" t="s">
        <x:v>293</x:v>
      </x:c>
      <x:c r="B44" s="60" t="str">
        <x:f>VLOOKUP(A44,ECR!E:L,8,FALSE())</x:f>
        <x:v>Joe Flacco</x:v>
      </x:c>
      <x:c r="C44" s="63" t="str">
        <x:f>IFERROR(VLOOKUP(Aggregate!$B44,ECR!C:F,2,FALSE()),"-")</x:f>
        <x:v>CIN</x:v>
      </x:c>
      <x:c r="D44" s="63" t="n">
        <x:f>IFERROR(VLOOKUP(Aggregate!$B44,ECR!C:F,4,FALSE()),"-")</x:f>
        <x:v>6</x:v>
      </x:c>
      <x:c r="E44" s="63" t="str">
        <x:f>Aggregate!$C44 &amp; "/" &amp; Aggregate!$D44</x:f>
        <x:v>CIN/6</x:v>
      </x:c>
      <x:c r="F44" s="67" t="n">
        <x:f>IFERROR(VLOOKUP(Aggregate!$B44,QB!A:Q,15,FALSE())/17*(16-Aggregate!$M44),0)</x:f>
        <x:v>5.806682352941177</x:v>
      </x:c>
      <x:c r="G44" s="67" t="n">
        <x:f>IFERROR(VLOOKUP(Aggregate!$B44,QB!A:Q,16,FALSE())/17*(16-Aggregate!$M44),0)</x:f>
        <x:v>7.707105882352941</x:v>
      </x:c>
      <x:c r="H44" s="67" t="n">
        <x:f>IFERROR(VLOOKUP(Aggregate!$B44,QB!A:Q,17,FALSE())/17*(16-Aggregate!$M44),0)</x:f>
        <x:v>9.155764705882353</x:v>
      </x:c>
      <x:c r="I44" s="70" t="n">
        <x:f>AVERAGE(Aggregate!$F44,Aggregate!$G44,Aggregate!$H44,VLOOKUP(Aggregate!$B44,ECR!L:N,3,FALSE))</x:f>
        <x:v>7.846776470544118</x:v>
      </x:c>
      <x:c r="J44" s="70" t="n">
        <x:f>Aggregate!$I44-$C$1</x:f>
        <x:v>-230.6275088515147</x:v>
      </x:c>
      <x:c r="K44" s="74" t="n">
        <x:f>MAX(Aggregate!$J44*Scoring!$B$48+1,1)</x:f>
        <x:v>1</x:v>
      </x:c>
      <x:c r="L44" s="75" t="n">
        <x:f>VLOOKUP(Aggregate!$J44,BH:BJ,3,FALSE)</x:f>
        <x:v>14</x:v>
      </x:c>
      <x:c r="M44" s="77" t="n">
        <x:f t="array" ref="M44">VLOOKUP(INDEX(ECR!$E:$E,MATCH(B44,ECR!$C:$C,0)),RISK!A:B,2,FALSE())</x:f>
        <x:v>3.2</x:v>
      </x:c>
      <x:c r="N44" s="78"/>
      <x:c r="O44" s="75" t="s">
        <x:v>294</x:v>
      </x:c>
      <x:c r="P44" s="60" t="str">
        <x:f>VLOOKUP(O44,ECR!E:L,8,FALSE())</x:f>
        <x:v>Chris Rodriguez Jr.</x:v>
      </x:c>
      <x:c r="Q44" s="63" t="str">
        <x:f>IFERROR(VLOOKUP(Aggregate!$P44,ECR!C:F,2,FALSE()),"-")</x:f>
        <x:v>JAC</x:v>
      </x:c>
      <x:c r="R44" s="63" t="n">
        <x:f>IFERROR(VLOOKUP(Aggregate!$P44,ECR!C:F,4,FALSE()),"-")</x:f>
        <x:v>7</x:v>
      </x:c>
      <x:c r="S44" s="63" t="str">
        <x:f>Aggregate!$Q44 &amp; "/" &amp; Aggregate!$R44</x:f>
        <x:v>JAC/7</x:v>
      </x:c>
      <x:c r="T44" s="67" t="n">
        <x:f>IFERROR(VLOOKUP(Aggregate!$P44,RB!A:Q,13,FALSE())/17*(16-Aggregate!$AA44),0)</x:f>
        <x:v>48.24680941176471</x:v>
      </x:c>
      <x:c r="U44" s="67" t="n">
        <x:f>IFERROR(VLOOKUP(Aggregate!$P44,RB!A:Q,14,FALSE())/17*(16-Aggregate!$AA44),0)</x:f>
        <x:v>69.14905411764707</x:v>
      </x:c>
      <x:c r="V44" s="67" t="n">
        <x:f>IFERROR(VLOOKUP(Aggregate!$P44,RB!A:Q,15,FALSE())/17*(16-Aggregate!$AA44),0)</x:f>
        <x:v>97.04348235294117</x:v>
      </x:c>
      <x:c r="W44" s="70" t="n">
        <x:f>AVERAGE(Aggregate!$T44,Aggregate!$U44,Aggregate!$V44,VLOOKUP(Aggregate!$P44,ECR!L:N,3,FALSE))</x:f>
        <x:v>78.39088910308823</x:v>
      </x:c>
      <x:c r="X44" s="70" t="n">
        <x:f>Aggregate!$W44-$Q$1</x:f>
        <x:v>-51.60944002191178</x:v>
      </x:c>
      <x:c r="Y44" s="74" t="n">
        <x:f>MAX(Aggregate!$X44*Scoring!$B$48+1,1)</x:f>
        <x:v>1</x:v>
      </x:c>
      <x:c r="Z44" s="75" t="n">
        <x:f>VLOOKUP(Aggregate!$X44,BM:BO,3,FALSE)</x:f>
        <x:v>8</x:v>
      </x:c>
      <x:c r="AA44" s="77" t="n">
        <x:f t="array" ref="AA44">VLOOKUP(INDEX(ECR!$E:$E,MATCH(P44,ECR!$C:$C,0)),RISK!A:B,2,FALSE())</x:f>
        <x:v>3.368</x:v>
      </x:c>
      <x:c r="AB44" s="78"/>
      <x:c r="AC44" s="63" t="s">
        <x:v>295</x:v>
      </x:c>
      <x:c r="AD44" s="63" t="str">
        <x:f>VLOOKUP(AC44,ECR!E:L,8,FALSE())</x:f>
        <x:v>Wan'Dale Robinson</x:v>
      </x:c>
      <x:c r="AE44" s="63" t="str">
        <x:f>IFERROR(VLOOKUP(Aggregate!$AD44,ECR!C:F,2,FALSE()),"-")</x:f>
        <x:v>TEN</x:v>
      </x:c>
      <x:c r="AF44" s="63" t="n">
        <x:f>IFERROR(VLOOKUP(Aggregate!$AD44,ECR!C:F,4,FALSE()),"-")</x:f>
        <x:v>9</x:v>
      </x:c>
      <x:c r="AG44" s="63" t="str">
        <x:f>Aggregate!$AE44 &amp; "/" &amp; Aggregate!$AF44</x:f>
        <x:v>TEN/9</x:v>
      </x:c>
      <x:c r="AH44" s="67" t="n">
        <x:f>IFERROR(VLOOKUP(Aggregate!$AD44,WR!A:Q,13,FALSE())/17*(16-Aggregate!$AO44),0)</x:f>
        <x:v>93.2629411764706</x:v>
      </x:c>
      <x:c r="AI44" s="67" t="n">
        <x:f>IFERROR(VLOOKUP(Aggregate!$AD44,WR!A:Q,14,FALSE())/17*(16-Aggregate!$AO44),0)</x:f>
        <x:v>100.90341176470588</x:v>
      </x:c>
      <x:c r="AJ44" s="67" t="n">
        <x:f>IFERROR(VLOOKUP(Aggregate!$AD44,WR!A:Q,15,FALSE())/17*(16-Aggregate!$AO44),0)</x:f>
        <x:v>109.85347058823531</x:v>
      </x:c>
      <x:c r="AK44" s="70" t="n">
        <x:f>AVERAGE(Aggregate!$AH44,Aggregate!$AI44,Aggregate!$AJ44,VLOOKUP(Aggregate!$AD44,ECR!L:N,3,FALSE))</x:f>
        <x:v>102.19491175735294</x:v>
      </x:c>
      <x:c r="AL44" s="70" t="n">
        <x:f>Aggregate!$AK44-$AE$1</x:f>
        <x:v>0</x:v>
      </x:c>
      <x:c r="AM44" s="74" t="n">
        <x:f>MAX(Aggregate!$AL44*Scoring!$B$48+1,1)</x:f>
        <x:v>1</x:v>
      </x:c>
      <x:c r="AN44" s="75" t="n">
        <x:f>VLOOKUP(Aggregate!$AL44,BR:BT,3,FALSE)</x:f>
        <x:v>5</x:v>
      </x:c>
      <x:c r="AO44" s="77" t="n">
        <x:f t="array" ref="AO44">VLOOKUP(INDEX(ECR!$E:$E,MATCH(AD44,ECR!$C:$C,0)),RISK!A:B,2,FALSE())</x:f>
        <x:v>3.7</x:v>
      </x:c>
      <x:c r="AP44" s="78"/>
      <x:c r="AQ44" s="87" t="s">
        <x:v>296</x:v>
      </x:c>
      <x:c r="AR44" s="87" t="str">
        <x:f>VLOOKUP(AQ44,ECR!E:L,8,FALSE())</x:f>
        <x:v>Elijah Arroyo</x:v>
      </x:c>
      <x:c r="AS44" s="87" t="str">
        <x:f>IFERROR(VLOOKUP(Aggregate!$AR44,ECR!C:F,2,FALSE()),"-")</x:f>
        <x:v>SEA</x:v>
      </x:c>
      <x:c r="AT44" s="87" t="n">
        <x:f>IFERROR(VLOOKUP(Aggregate!$AR44,ECR!C:F,4,FALSE()),"-")</x:f>
        <x:v>11</x:v>
      </x:c>
      <x:c r="AU44" s="87" t="str">
        <x:f>Aggregate!$AS44 &amp; "/" &amp; Aggregate!$AT44</x:f>
        <x:v>SEA/11</x:v>
      </x:c>
      <x:c r="AV44" s="67" t="n">
        <x:f>IFERROR(VLOOKUP(Aggregate!$AR44,TE!A:K,9,FALSE())/17*(16-Aggregate!$BC44),0)</x:f>
        <x:v>35.00277764705882</x:v>
      </x:c>
      <x:c r="AW44" s="67" t="n">
        <x:f>IFERROR(VLOOKUP(Aggregate!$AR44,TE!A:K,10,FALSE())/17*(16-Aggregate!$BC44),0)</x:f>
        <x:v>38.17820364705882</x:v>
      </x:c>
      <x:c r="AX44" s="67" t="n">
        <x:f>IFERROR(VLOOKUP(Aggregate!$AR44,TE!A:K,11,FALSE())/17*(16-Aggregate!$BC44),0)</x:f>
        <x:v>40.82574552941177</x:v>
      </x:c>
      <x:c r="AY44" s="70" t="n">
        <x:f>AVERAGE(Aggregate!$AV44,Aggregate!$AW44,Aggregate!$AX44,VLOOKUP(Aggregate!$AR44,ECR!L:N,3,FALSE))</x:f>
        <x:v>39.31518482338235</x:v>
      </x:c>
      <x:c r="AZ44" s="70" t="n">
        <x:f>Aggregate!$AY44-$AS$1</x:f>
        <x:v>-66.14635378838234</x:v>
      </x:c>
      <x:c r="BA44" s="74" t="n">
        <x:f>MAX(Aggregate!$AZ44*Scoring!$B$48+1,1)</x:f>
        <x:v>1</x:v>
      </x:c>
      <x:c r="BB44" s="67" t="n">
        <x:f>VLOOKUP(Aggregate!$AZ44,BW:BY,3,FALSE)</x:f>
        <x:v>9</x:v>
      </x:c>
      <x:c r="BC44" s="77" t="n">
        <x:f t="array" ref="BC44">VLOOKUP(INDEX(ECR!$E:$E,MATCH(AR44,ECR!$C:$C,0)),RISK!A:B,2,FALSE())</x:f>
        <x:v>2.1938</x:v>
      </x:c>
      <x:c r="BD44" s="67"/>
      <x:c r="BE44" s="78"/>
      <x:c r="BF44" s="78">
        <x:v>42.0</x:v>
      </x:c>
      <x:c r="BG44" s="78">
        <x:f t="shared" si="1"/>
        <x:v>8.717552941</x:v>
      </x:c>
      <x:c r="BH44" s="78" t="n">
        <x:f>IFERROR(LARGE($J$3:$J$52,42),"")</x:f>
        <x:v>-229.17470885158824</x:v>
      </x:c>
      <x:c r="BI44" s="78">
        <x:f t="shared" si="5"/>
        <x:v>-225.6281122</x:v>
      </x:c>
      <x:c r="BJ44" s="78">
        <x:f t="shared" si="6"/>
        <x:v>14</x:v>
      </x:c>
      <x:c r="BK44" s="89">
        <x:v>42.0</x:v>
      </x:c>
      <x:c r="BL44" s="78">
        <x:f t="shared" si="2"/>
        <x:v>99.12421053</x:v>
      </x:c>
      <x:c r="BM44" s="90" t="n">
        <x:f>IFERROR(LARGE($X$3:$X$102,42),"")</x:f>
        <x:v>-38.94117503514707</x:v>
      </x:c>
      <x:c r="BN44" s="90">
        <x:f t="shared" si="7"/>
        <x:v>1.801456882</x:v>
      </x:c>
      <x:c r="BO44" s="91">
        <x:f t="shared" si="8"/>
        <x:v>7</x:v>
      </x:c>
      <x:c r="BP44" s="90">
        <x:v>42.0</x:v>
      </x:c>
      <x:c r="BQ44" s="78">
        <x:f t="shared" si="3"/>
        <x:v>104.7598235</x:v>
      </x:c>
      <x:c r="BR44" s="90" t="n">
        <x:f>IFERROR(LARGE($AL$3:$AL$102,42),"")</x:f>
        <x:v>2.8903159014705864</x:v>
      </x:c>
      <x:c r="BS44" s="90">
        <x:f t="shared" si="9"/>
        <x:v>19.0292711</x:v>
      </x:c>
      <x:c r="BT44" s="90">
        <x:f t="shared" si="10"/>
        <x:v>5</x:v>
      </x:c>
      <x:c r="BU44" s="78">
        <x:v>42.0</x:v>
      </x:c>
      <x:c r="BV44" s="78">
        <x:f t="shared" si="4"/>
        <x:v>43.25401247</x:v>
      </x:c>
      <x:c r="BW44" s="90" t="n">
        <x:f>IFERROR(LARGE($AZ$3:$AZ$52,42),"")</x:f>
        <x:v>-63.34450731882352</x:v>
      </x:c>
      <x:c r="BX44" s="90">
        <x:f t="shared" si="11"/>
        <x:v>-63.03797999</x:v>
      </x:c>
      <x:c r="BY44" s="90">
        <x:f t="shared" si="12"/>
        <x:v>9</x:v>
      </x:c>
      <x:c r="BZ44" s="90"/>
      <x:c r="CA44" s="90"/>
      <x:c r="CB44" s="90"/>
      <x:c r="CC44" s="90"/>
      <x:c r="CD44" s="90"/>
      <x:c r="CE44" s="90"/>
      <x:c r="CF44" s="90"/>
      <x:c r="CG44" s="90"/>
    </x:row>
    <x:row r="45" ht="14.25" customHeight="1">
      <x:c r="A45" s="60" t="s">
        <x:v>297</x:v>
      </x:c>
      <x:c r="B45" s="60" t="str">
        <x:f>VLOOKUP(A45,ECR!E:L,8,FALSE())</x:f>
        <x:v>Joe Milton III</x:v>
      </x:c>
      <x:c r="C45" s="63" t="str">
        <x:f>IFERROR(VLOOKUP(Aggregate!$B45,ECR!C:F,2,FALSE()),"-")</x:f>
        <x:v>DAL</x:v>
      </x:c>
      <x:c r="D45" s="63" t="n">
        <x:f>IFERROR(VLOOKUP(Aggregate!$B45,ECR!C:F,4,FALSE()),"-")</x:f>
        <x:v>14</x:v>
      </x:c>
      <x:c r="E45" s="63" t="str">
        <x:f>Aggregate!$C45 &amp; "/" &amp; Aggregate!$D45</x:f>
        <x:v>DAL/14</x:v>
      </x:c>
      <x:c r="F45" s="67" t="n">
        <x:f>IFERROR(VLOOKUP(Aggregate!$B45,QB!A:Q,15,FALSE())/17*(16-Aggregate!$M45),0)</x:f>
        <x:v>0</x:v>
      </x:c>
      <x:c r="G45" s="67" t="n">
        <x:f>IFERROR(VLOOKUP(Aggregate!$B45,QB!A:Q,16,FALSE())/17*(16-Aggregate!$M45),0)</x:f>
        <x:v>6.326211764705883</x:v>
      </x:c>
      <x:c r="H45" s="67" t="n">
        <x:f>IFERROR(VLOOKUP(Aggregate!$B45,QB!A:Q,17,FALSE())/17*(16-Aggregate!$M45),0)</x:f>
        <x:v>10.119529411764708</x:v>
      </x:c>
      <x:c r="I45" s="70" t="n">
        <x:f>AVERAGE(Aggregate!$F45,Aggregate!$G45,Aggregate!$H45,VLOOKUP(Aggregate!$B45,ECR!L:N,3,FALSE))</x:f>
        <x:v>6.290823529367648</x:v>
      </x:c>
      <x:c r="J45" s="70" t="n">
        <x:f>Aggregate!$I45-$C$1</x:f>
        <x:v>-232.18346179269116</x:v>
      </x:c>
      <x:c r="K45" s="74" t="n">
        <x:f>MAX(Aggregate!$J45*Scoring!$B$48+1,1)</x:f>
        <x:v>1</x:v>
      </x:c>
      <x:c r="L45" s="75" t="n">
        <x:f>VLOOKUP(Aggregate!$J45,BH:BJ,3,FALSE)</x:f>
        <x:v>15</x:v>
      </x:c>
      <x:c r="M45" s="77" t="n">
        <x:f t="array" ref="M45">VLOOKUP(INDEX(ECR!$E:$E,MATCH(B45,ECR!$C:$C,0)),RISK!A:B,2,FALSE())</x:f>
        <x:v>3.2</x:v>
      </x:c>
      <x:c r="N45" s="78"/>
      <x:c r="O45" s="75" t="s">
        <x:v>298</x:v>
      </x:c>
      <x:c r="P45" s="60" t="str">
        <x:f>VLOOKUP(O45,ECR!E:L,8,FALSE())</x:f>
        <x:v>Woody Marks</x:v>
      </x:c>
      <x:c r="Q45" s="63" t="str">
        <x:f>IFERROR(VLOOKUP(Aggregate!$P45,ECR!C:F,2,FALSE()),"-")</x:f>
        <x:v>HOU</x:v>
      </x:c>
      <x:c r="R45" s="63" t="n">
        <x:f>IFERROR(VLOOKUP(Aggregate!$P45,ECR!C:F,4,FALSE()),"-")</x:f>
        <x:v>8</x:v>
      </x:c>
      <x:c r="S45" s="63" t="str">
        <x:f>Aggregate!$Q45 &amp; "/" &amp; Aggregate!$R45</x:f>
        <x:v>HOU/8</x:v>
      </x:c>
      <x:c r="T45" s="67" t="n">
        <x:f>IFERROR(VLOOKUP(Aggregate!$P45,RB!A:Q,13,FALSE())/17*(16-Aggregate!$AA45),0)</x:f>
        <x:v>72.0024</x:v>
      </x:c>
      <x:c r="U45" s="67" t="n">
        <x:f>IFERROR(VLOOKUP(Aggregate!$P45,RB!A:Q,14,FALSE())/17*(16-Aggregate!$AA45),0)</x:f>
        <x:v>83.77245176470588</x:v>
      </x:c>
      <x:c r="V45" s="67" t="n">
        <x:f>IFERROR(VLOOKUP(Aggregate!$P45,RB!A:Q,15,FALSE())/17*(16-Aggregate!$AA45),0)</x:f>
        <x:v>94.77715294117647</x:v>
      </x:c>
      <x:c r="W45" s="70" t="n">
        <x:f>AVERAGE(Aggregate!$T45,Aggregate!$U45,Aggregate!$V45,VLOOKUP(Aggregate!$P45,ECR!L:N,3,FALSE))</x:f>
        <x:v>86.28327353647059</x:v>
      </x:c>
      <x:c r="X45" s="70" t="n">
        <x:f>Aggregate!$W45-$Q$1</x:f>
        <x:v>-43.71705558852942</x:v>
      </x:c>
      <x:c r="Y45" s="74" t="n">
        <x:f>MAX(Aggregate!$X45*Scoring!$B$48+1,1)</x:f>
        <x:v>1</x:v>
      </x:c>
      <x:c r="Z45" s="75" t="n">
        <x:f>VLOOKUP(Aggregate!$X45,BM:BO,3,FALSE)</x:f>
        <x:v>7</x:v>
      </x:c>
      <x:c r="AA45" s="77" t="n">
        <x:f t="array" ref="AA45">VLOOKUP(INDEX(ECR!$E:$E,MATCH(P45,ECR!$C:$C,0)),RISK!A:B,2,FALSE())</x:f>
        <x:v>3.368</x:v>
      </x:c>
      <x:c r="AB45" s="78"/>
      <x:c r="AC45" s="63" t="s">
        <x:v>299</x:v>
      </x:c>
      <x:c r="AD45" s="63" t="str">
        <x:f>VLOOKUP(AC45,ECR!E:L,8,FALSE())</x:f>
        <x:v>Stefon Diggs</x:v>
      </x:c>
      <x:c r="AE45" s="63" t="str">
        <x:f>IFERROR(VLOOKUP(Aggregate!$AD45,ECR!C:F,2,FALSE()),"-")</x:f>
        <x:v>WAS</x:v>
      </x:c>
      <x:c r="AF45" s="63" t="n">
        <x:f>IFERROR(VLOOKUP(Aggregate!$AD45,ECR!C:F,4,FALSE()),"-")</x:f>
        <x:v>7</x:v>
      </x:c>
      <x:c r="AG45" s="63" t="str">
        <x:f>Aggregate!$AE45 &amp; "/" &amp; Aggregate!$AF45</x:f>
        <x:v>WAS/7</x:v>
      </x:c>
      <x:c r="AH45" s="67" t="n">
        <x:f>IFERROR(VLOOKUP(Aggregate!$AD45,WR!A:Q,13,FALSE())/17*(16-Aggregate!$AO45),0)</x:f>
        <x:v>89.45717647058825</x:v>
      </x:c>
      <x:c r="AI45" s="67" t="n">
        <x:f>IFERROR(VLOOKUP(Aggregate!$AD45,WR!A:Q,14,FALSE())/17*(16-Aggregate!$AO45),0)</x:f>
        <x:v>96.28729411764708</x:v>
      </x:c>
      <x:c r="AJ45" s="67" t="n">
        <x:f>IFERROR(VLOOKUP(Aggregate!$AD45,WR!A:Q,15,FALSE())/17*(16-Aggregate!$AO45),0)</x:f>
        <x:v>102.99441176470589</x:v>
      </x:c>
      <x:c r="AK45" s="70" t="n">
        <x:f>AVERAGE(Aggregate!$AH45,Aggregate!$AI45,Aggregate!$AJ45,VLOOKUP(Aggregate!$AD45,ECR!L:N,3,FALSE))</x:f>
        <x:v>98.34211763823531</x:v>
      </x:c>
      <x:c r="AL45" s="70" t="n">
        <x:f>Aggregate!$AK45-$AE$1</x:f>
        <x:v>-3.8527941191176325</x:v>
      </x:c>
      <x:c r="AM45" s="74" t="n">
        <x:f>MAX(Aggregate!$AL45*Scoring!$B$48+1,1)</x:f>
        <x:v>1</x:v>
      </x:c>
      <x:c r="AN45" s="75" t="n">
        <x:f>VLOOKUP(Aggregate!$AL45,BR:BT,3,FALSE)</x:f>
        <x:v>6</x:v>
      </x:c>
      <x:c r="AO45" s="77" t="n">
        <x:f t="array" ref="AO45">VLOOKUP(INDEX(ECR!$E:$E,MATCH(AD45,ECR!$C:$C,0)),RISK!A:B,2,FALSE())</x:f>
        <x:v>3.7</x:v>
      </x:c>
      <x:c r="AP45" s="78"/>
      <x:c r="AQ45" s="87" t="s">
        <x:v>300</x:v>
      </x:c>
      <x:c r="AR45" s="87" t="str">
        <x:f>VLOOKUP(AQ45,ECR!E:L,8,FALSE())</x:f>
        <x:v>Erick All Jr.</x:v>
      </x:c>
      <x:c r="AS45" s="87" t="str">
        <x:f>IFERROR(VLOOKUP(Aggregate!$AR45,ECR!C:F,2,FALSE()),"-")</x:f>
        <x:v>CIN</x:v>
      </x:c>
      <x:c r="AT45" s="87" t="n">
        <x:f>IFERROR(VLOOKUP(Aggregate!$AR45,ECR!C:F,4,FALSE()),"-")</x:f>
        <x:v>6</x:v>
      </x:c>
      <x:c r="AU45" s="87" t="str">
        <x:f>Aggregate!$AS45 &amp; "/" &amp; Aggregate!$AT45</x:f>
        <x:v>CIN/6</x:v>
      </x:c>
      <x:c r="AV45" s="67" t="n">
        <x:f>IFERROR(VLOOKUP(Aggregate!$AR45,TE!A:K,9,FALSE())/17*(16-Aggregate!$BC45),0)</x:f>
        <x:v>38.71420905882353</x:v>
      </x:c>
      <x:c r="AW45" s="67" t="n">
        <x:f>IFERROR(VLOOKUP(Aggregate!$AR45,TE!A:K,10,FALSE())/17*(16-Aggregate!$BC45),0)</x:f>
        <x:v>43.3352254117647</x:v>
      </x:c>
      <x:c r="AX45" s="67" t="n">
        <x:f>IFERROR(VLOOKUP(Aggregate!$AR45,TE!A:K,11,FALSE())/17*(16-Aggregate!$BC45),0)</x:f>
        <x:v>48.402912941176474</x:v>
      </x:c>
      <x:c r="AY45" s="70" t="n">
        <x:f>AVERAGE(Aggregate!$AV45,Aggregate!$AW45,Aggregate!$AX45,VLOOKUP(Aggregate!$AR45,ECR!L:N,3,FALSE))</x:f>
        <x:v>42.11703129294118</x:v>
      </x:c>
      <x:c r="AZ45" s="70" t="n">
        <x:f>Aggregate!$AY45-$AS$1</x:f>
        <x:v>-63.34450731882352</x:v>
      </x:c>
      <x:c r="BA45" s="74" t="n">
        <x:f>MAX(Aggregate!$AZ45*Scoring!$B$48+1,1)</x:f>
        <x:v>1</x:v>
      </x:c>
      <x:c r="BB45" s="67" t="n">
        <x:f>VLOOKUP(Aggregate!$AZ45,BW:BY,3,FALSE)</x:f>
        <x:v>9</x:v>
      </x:c>
      <x:c r="BC45" s="77" t="n">
        <x:f t="array" ref="BC45">VLOOKUP(INDEX(ECR!$E:$E,MATCH(AR45,ECR!$C:$C,0)),RISK!A:B,2,FALSE())</x:f>
        <x:v>2.1938</x:v>
      </x:c>
      <x:c r="BD45" s="67"/>
      <x:c r="BE45" s="78"/>
      <x:c r="BF45" s="78">
        <x:v>43.0</x:v>
      </x:c>
      <x:c r="BG45" s="78">
        <x:f t="shared" si="1"/>
        <x:v>8.717552941</x:v>
      </x:c>
      <x:c r="BH45" s="78" t="n">
        <x:f>IFERROR(LARGE($J$3:$J$52,43),"")</x:f>
        <x:v>-229.97583826329412</x:v>
      </x:c>
      <x:c r="BI45" s="78">
        <x:f t="shared" si="5"/>
        <x:v>-225.6281122</x:v>
      </x:c>
      <x:c r="BJ45" s="78">
        <x:f t="shared" si="6"/>
        <x:v>14</x:v>
      </x:c>
      <x:c r="BK45" s="89">
        <x:v>43.0</x:v>
      </x:c>
      <x:c r="BL45" s="78">
        <x:f t="shared" si="2"/>
        <x:v>94.58108944</x:v>
      </x:c>
      <x:c r="BM45" s="90" t="n">
        <x:f>IFERROR(LARGE($X$3:$X$102,43),"")</x:f>
        <x:v>-43.71705558852942</x:v>
      </x:c>
      <x:c r="BN45" s="90">
        <x:f t="shared" si="7"/>
        <x:v>1.801456882</x:v>
      </x:c>
      <x:c r="BO45" s="91">
        <x:f t="shared" si="8"/>
        <x:v>7</x:v>
      </x:c>
      <x:c r="BP45" s="90">
        <x:v>43.0</x:v>
      </x:c>
      <x:c r="BQ45" s="78">
        <x:f t="shared" si="3"/>
        <x:v>104.6295882</x:v>
      </x:c>
      <x:c r="BR45" s="90" t="n">
        <x:f>IFERROR(LARGE($AL$3:$AL$102,43),"")</x:f>
        <x:v>2.7740117705882312</x:v>
      </x:c>
      <x:c r="BS45" s="90">
        <x:f t="shared" si="9"/>
        <x:v>19.0292711</x:v>
      </x:c>
      <x:c r="BT45" s="90">
        <x:f t="shared" si="10"/>
        <x:v>5</x:v>
      </x:c>
      <x:c r="BU45" s="78">
        <x:v>43.0</x:v>
      </x:c>
      <x:c r="BV45" s="78">
        <x:f t="shared" si="4"/>
        <x:v>38.01577776</x:v>
      </x:c>
      <x:c r="BW45" s="90" t="n">
        <x:f>IFERROR(LARGE($AZ$3:$AZ$52,43),"")</x:f>
        <x:v>-66.09153505220587</x:v>
      </x:c>
      <x:c r="BX45" s="90">
        <x:f t="shared" si="11"/>
        <x:v>-63.03797999</x:v>
      </x:c>
      <x:c r="BY45" s="90">
        <x:f t="shared" si="12"/>
        <x:v>9</x:v>
      </x:c>
      <x:c r="BZ45" s="90"/>
      <x:c r="CA45" s="90"/>
      <x:c r="CB45" s="90"/>
      <x:c r="CC45" s="90"/>
      <x:c r="CD45" s="90"/>
      <x:c r="CE45" s="90"/>
      <x:c r="CF45" s="90"/>
      <x:c r="CG45" s="90"/>
    </x:row>
    <x:row r="46" ht="14.25" customHeight="1">
      <x:c r="A46" s="60" t="s">
        <x:v>301</x:v>
      </x:c>
      <x:c r="B46" s="60" t="str">
        <x:f>VLOOKUP(A46,ECR!E:L,8,FALSE())</x:f>
        <x:v>Marcus Mariota</x:v>
      </x:c>
      <x:c r="C46" s="63" t="str">
        <x:f>IFERROR(VLOOKUP(Aggregate!$B46,ECR!C:F,2,FALSE()),"-")</x:f>
        <x:v>WAS</x:v>
      </x:c>
      <x:c r="D46" s="63" t="n">
        <x:f>IFERROR(VLOOKUP(Aggregate!$B46,ECR!C:F,4,FALSE()),"-")</x:f>
        <x:v>7</x:v>
      </x:c>
      <x:c r="E46" s="63" t="str">
        <x:f>Aggregate!$C46 &amp; "/" &amp; Aggregate!$D46</x:f>
        <x:v>WAS/7</x:v>
      </x:c>
      <x:c r="F46" s="67" t="n">
        <x:f>IFERROR(VLOOKUP(Aggregate!$B46,QB!A:Q,15,FALSE())/17*(16-Aggregate!$M46),0)</x:f>
        <x:v>6.8096000000000005</x:v>
      </x:c>
      <x:c r="G46" s="67" t="n">
        <x:f>IFERROR(VLOOKUP(Aggregate!$B46,QB!A:Q,16,FALSE())/17*(16-Aggregate!$M46),0)</x:f>
        <x:v>12.988235294117644</x:v>
      </x:c>
      <x:c r="H46" s="67" t="n">
        <x:f>IFERROR(VLOOKUP(Aggregate!$B46,QB!A:Q,17,FALSE())/17*(16-Aggregate!$M46),0)</x:f>
        <x:v>19.471058823529418</x:v>
      </x:c>
      <x:c r="I46" s="70" t="n">
        <x:f>AVERAGE(Aggregate!$F46,Aggregate!$G46,Aggregate!$H46,VLOOKUP(Aggregate!$B46,ECR!L:N,3,FALSE))</x:f>
        <x:v>11.802729411661765</x:v>
      </x:c>
      <x:c r="J46" s="70" t="n">
        <x:f>Aggregate!$I46-$C$1</x:f>
        <x:v>-226.67155591039705</x:v>
      </x:c>
      <x:c r="K46" s="74" t="n">
        <x:f>MAX(Aggregate!$J46*Scoring!$B$48+1,1)</x:f>
        <x:v>1</x:v>
      </x:c>
      <x:c r="L46" s="75" t="n">
        <x:f>VLOOKUP(Aggregate!$J46,BH:BJ,3,FALSE)</x:f>
        <x:v>14</x:v>
      </x:c>
      <x:c r="M46" s="77" t="n">
        <x:f t="array" ref="M46">VLOOKUP(INDEX(ECR!$E:$E,MATCH(B46,ECR!$C:$C,0)),RISK!A:B,2,FALSE())</x:f>
        <x:v>3.2</x:v>
      </x:c>
      <x:c r="N46" s="78"/>
      <x:c r="O46" s="75" t="s">
        <x:v>302</x:v>
      </x:c>
      <x:c r="P46" s="60" t="str">
        <x:f>VLOOKUP(O46,ECR!E:L,8,FALSE())</x:f>
        <x:v>Tyler Allgeier</x:v>
      </x:c>
      <x:c r="Q46" s="63" t="str">
        <x:f>IFERROR(VLOOKUP(Aggregate!$P46,ECR!C:F,2,FALSE()),"-")</x:f>
        <x:v>ARI</x:v>
      </x:c>
      <x:c r="R46" s="63" t="n">
        <x:f>IFERROR(VLOOKUP(Aggregate!$P46,ECR!C:F,4,FALSE()),"-")</x:f>
        <x:v>14</x:v>
      </x:c>
      <x:c r="S46" s="63" t="str">
        <x:f>Aggregate!$Q46 &amp; "/" &amp; Aggregate!$R46</x:f>
        <x:v>ARI/14</x:v>
      </x:c>
      <x:c r="T46" s="67" t="n">
        <x:f>IFERROR(VLOOKUP(Aggregate!$P46,RB!A:Q,13,FALSE())/17*(16-Aggregate!$AA46),0)</x:f>
        <x:v>54.88975529411765</x:v>
      </x:c>
      <x:c r="U46" s="67" t="n">
        <x:f>IFERROR(VLOOKUP(Aggregate!$P46,RB!A:Q,14,FALSE())/17*(16-Aggregate!$AA46),0)</x:f>
        <x:v>67.15022588235294</x:v>
      </x:c>
      <x:c r="V46" s="67" t="n">
        <x:f>IFERROR(VLOOKUP(Aggregate!$P46,RB!A:Q,15,FALSE())/17*(16-Aggregate!$AA46),0)</x:f>
        <x:v>78.93513882352941</x:v>
      </x:c>
      <x:c r="W46" s="70" t="n">
        <x:f>AVERAGE(Aggregate!$T46,Aggregate!$U46,Aggregate!$V46,VLOOKUP(Aggregate!$P46,ECR!L:N,3,FALSE))</x:f>
        <x:v>71.6661658825</x:v>
      </x:c>
      <x:c r="X46" s="70" t="n">
        <x:f>Aggregate!$W46-$Q$1</x:f>
        <x:v>-58.33416324250001</x:v>
      </x:c>
      <x:c r="Y46" s="74" t="n">
        <x:f>MAX(Aggregate!$X46*Scoring!$B$48+1,1)</x:f>
        <x:v>1</x:v>
      </x:c>
      <x:c r="Z46" s="75" t="n">
        <x:f>VLOOKUP(Aggregate!$X46,BM:BO,3,FALSE)</x:f>
        <x:v>8</x:v>
      </x:c>
      <x:c r="AA46" s="77" t="n">
        <x:f t="array" ref="AA46">VLOOKUP(INDEX(ECR!$E:$E,MATCH(P46,ECR!$C:$C,0)),RISK!A:B,2,FALSE())</x:f>
        <x:v>3.368</x:v>
      </x:c>
      <x:c r="AB46" s="78"/>
      <x:c r="AC46" s="63" t="s">
        <x:v>303</x:v>
      </x:c>
      <x:c r="AD46" s="63" t="str">
        <x:f>VLOOKUP(AC46,ECR!E:L,8,FALSE())</x:f>
        <x:v>Jordan Addison</x:v>
      </x:c>
      <x:c r="AE46" s="63" t="str">
        <x:f>IFERROR(VLOOKUP(Aggregate!$AD46,ECR!C:F,2,FALSE()),"-")</x:f>
        <x:v>MIN</x:v>
      </x:c>
      <x:c r="AF46" s="63" t="n">
        <x:f>IFERROR(VLOOKUP(Aggregate!$AD46,ECR!C:F,4,FALSE()),"-")</x:f>
        <x:v>6</x:v>
      </x:c>
      <x:c r="AG46" s="63" t="str">
        <x:f>Aggregate!$AE46 &amp; "/" &amp; Aggregate!$AF46</x:f>
        <x:v>MIN/6</x:v>
      </x:c>
      <x:c r="AH46" s="67" t="n">
        <x:f>IFERROR(VLOOKUP(Aggregate!$AD46,WR!A:Q,13,FALSE())/17*(16-Aggregate!$AO46),0)</x:f>
        <x:v>93.5089411764706</x:v>
      </x:c>
      <x:c r="AI46" s="67" t="n">
        <x:f>IFERROR(VLOOKUP(Aggregate!$AD46,WR!A:Q,14,FALSE())/17*(16-Aggregate!$AO46),0)</x:f>
        <x:v>102.41558823529414</x:v>
      </x:c>
      <x:c r="AJ46" s="67" t="n">
        <x:f>IFERROR(VLOOKUP(Aggregate!$AD46,WR!A:Q,15,FALSE())/17*(16-Aggregate!$AO46),0)</x:f>
        <x:v>113.65200000000002</x:v>
      </x:c>
      <x:c r="AK46" s="70" t="n">
        <x:f>AVERAGE(Aggregate!$AH46,Aggregate!$AI46,Aggregate!$AJ46,VLOOKUP(Aggregate!$AD46,ECR!L:N,3,FALSE))</x:f>
        <x:v>103.5135441279412</x:v>
      </x:c>
      <x:c r="AL46" s="70" t="n">
        <x:f>Aggregate!$AK46-$AE$1</x:f>
        <x:v>1.3186323705882614</x:v>
      </x:c>
      <x:c r="AM46" s="74" t="n">
        <x:f>MAX(Aggregate!$AL46*Scoring!$B$48+1,1)</x:f>
        <x:v>1.7939420241439432</x:v>
      </x:c>
      <x:c r="AN46" s="75" t="n">
        <x:f>VLOOKUP(Aggregate!$AL46,BR:BT,3,FALSE)</x:f>
        <x:v>5</x:v>
      </x:c>
      <x:c r="AO46" s="77" t="n">
        <x:f t="array" ref="AO46">VLOOKUP(INDEX(ECR!$E:$E,MATCH(AD46,ECR!$C:$C,0)),RISK!A:B,2,FALSE())</x:f>
        <x:v>3.7</x:v>
      </x:c>
      <x:c r="AP46" s="78"/>
      <x:c r="AQ46" s="87" t="s">
        <x:v>304</x:v>
      </x:c>
      <x:c r="AR46" s="87" t="str">
        <x:f>VLOOKUP(AQ46,ECR!E:L,8,FALSE())</x:f>
        <x:v>Charlie Kolar</x:v>
      </x:c>
      <x:c r="AS46" s="87" t="str">
        <x:f>IFERROR(VLOOKUP(Aggregate!$AR46,ECR!C:F,2,FALSE()),"-")</x:f>
        <x:v>LAC</x:v>
      </x:c>
      <x:c r="AT46" s="87" t="n">
        <x:f>IFERROR(VLOOKUP(Aggregate!$AR46,ECR!C:F,4,FALSE()),"-")</x:f>
        <x:v>7</x:v>
      </x:c>
      <x:c r="AU46" s="87" t="str">
        <x:f>Aggregate!$AS46 &amp; "/" &amp; Aggregate!$AT46</x:f>
        <x:v>LAC/7</x:v>
      </x:c>
      <x:c r="AV46" s="67" t="n">
        <x:f>IFERROR(VLOOKUP(Aggregate!$AR46,TE!A:K,9,FALSE())/17*(16-Aggregate!$BC46),0)</x:f>
        <x:v>22.845200352941177</x:v>
      </x:c>
      <x:c r="AW46" s="67" t="n">
        <x:f>IFERROR(VLOOKUP(Aggregate!$AR46,TE!A:K,10,FALSE())/17*(16-Aggregate!$BC46),0)</x:f>
        <x:v>36.57018741176471</x:v>
      </x:c>
      <x:c r="AX46" s="67" t="n">
        <x:f>IFERROR(VLOOKUP(Aggregate!$AR46,TE!A:K,11,FALSE())/17*(16-Aggregate!$BC46),0)</x:f>
        <x:v>56.68663294117647</x:v>
      </x:c>
      <x:c r="AY46" s="70" t="n">
        <x:f>AVERAGE(Aggregate!$AV46,Aggregate!$AW46,Aggregate!$AX46,VLOOKUP(Aggregate!$AR46,ECR!L:N,3,FALSE))</x:f>
        <x:v>38.14774879397059</x:v>
      </x:c>
      <x:c r="AZ46" s="70" t="n">
        <x:f>Aggregate!$AY46-$AS$1</x:f>
        <x:v>-67.3137898177941</x:v>
      </x:c>
      <x:c r="BA46" s="74" t="n">
        <x:f>MAX(Aggregate!$AZ46*Scoring!$B$48+1,1)</x:f>
        <x:v>1</x:v>
      </x:c>
      <x:c r="BB46" s="67" t="n">
        <x:f>VLOOKUP(Aggregate!$AZ46,BW:BY,3,FALSE)</x:f>
        <x:v>9</x:v>
      </x:c>
      <x:c r="BC46" s="77" t="n">
        <x:f t="array" ref="BC46">VLOOKUP(INDEX(ECR!$E:$E,MATCH(AR46,ECR!$C:$C,0)),RISK!A:B,2,FALSE())</x:f>
        <x:v>2.1938</x:v>
      </x:c>
      <x:c r="BD46" s="67"/>
      <x:c r="BE46" s="78"/>
      <x:c r="BF46" s="78">
        <x:v>44.0</x:v>
      </x:c>
      <x:c r="BG46" s="78">
        <x:f t="shared" si="1"/>
        <x:v>7.942023529</x:v>
      </x:c>
      <x:c r="BH46" s="78" t="n">
        <x:f>IFERROR(LARGE($J$3:$J$52,44),"")</x:f>
        <x:v>-230.29696767488235</x:v>
      </x:c>
      <x:c r="BI46" s="78">
        <x:f t="shared" si="5"/>
        <x:v>-225.6281122</x:v>
      </x:c>
      <x:c r="BJ46" s="78">
        <x:f t="shared" si="6"/>
        <x:v>14</x:v>
      </x:c>
      <x:c r="BK46" s="89">
        <x:v>44.0</x:v>
      </x:c>
      <x:c r="BL46" s="78">
        <x:f t="shared" si="2"/>
        <x:v>85.68954353</x:v>
      </x:c>
      <x:c r="BM46" s="90" t="n">
        <x:f>IFERROR(LARGE($X$3:$X$102,44),"")</x:f>
        <x:v>-44.54704114794117</x:v>
      </x:c>
      <x:c r="BN46" s="90">
        <x:f t="shared" si="7"/>
        <x:v>1.801456882</x:v>
      </x:c>
      <x:c r="BO46" s="91">
        <x:f t="shared" si="8"/>
        <x:v>7</x:v>
      </x:c>
      <x:c r="BP46" s="90">
        <x:v>44.0</x:v>
      </x:c>
      <x:c r="BQ46" s="78">
        <x:f t="shared" si="3"/>
        <x:v>104.4776471</x:v>
      </x:c>
      <x:c r="BR46" s="90" t="n">
        <x:f>IFERROR(LARGE($AL$3:$AL$102,44),"")</x:f>
        <x:v>2.340617650000013</x:v>
      </x:c>
      <x:c r="BS46" s="90">
        <x:f t="shared" si="9"/>
        <x:v>19.0292711</x:v>
      </x:c>
      <x:c r="BT46" s="90">
        <x:f t="shared" si="10"/>
        <x:v>5</x:v>
      </x:c>
      <x:c r="BU46" s="78">
        <x:v>44.0</x:v>
      </x:c>
      <x:c r="BV46" s="78">
        <x:f t="shared" si="4"/>
        <x:v>36.48897447</x:v>
      </x:c>
      <x:c r="BW46" s="90" t="n">
        <x:f>IFERROR(LARGE($AZ$3:$AZ$52,44),"")</x:f>
        <x:v>-66.14635378838234</x:v>
      </x:c>
      <x:c r="BX46" s="90">
        <x:f t="shared" si="11"/>
        <x:v>-63.03797999</x:v>
      </x:c>
      <x:c r="BY46" s="90">
        <x:f t="shared" si="12"/>
        <x:v>9</x:v>
      </x:c>
      <x:c r="BZ46" s="90"/>
      <x:c r="CA46" s="90"/>
      <x:c r="CB46" s="90"/>
      <x:c r="CC46" s="90"/>
      <x:c r="CD46" s="90"/>
      <x:c r="CE46" s="90"/>
      <x:c r="CF46" s="90"/>
      <x:c r="CG46" s="90"/>
    </x:row>
    <x:row r="47" ht="14.25" customHeight="1">
      <x:c r="A47" s="60" t="s">
        <x:v>305</x:v>
      </x:c>
      <x:c r="B47" s="60" t="str">
        <x:f>VLOOKUP(A47,ECR!E:L,8,FALSE())</x:f>
        <x:v>Cade Klubnik</x:v>
      </x:c>
      <x:c r="C47" s="63" t="str">
        <x:f>IFERROR(VLOOKUP(Aggregate!$B47,ECR!C:F,2,FALSE()),"-")</x:f>
        <x:v>NYJ</x:v>
      </x:c>
      <x:c r="D47" s="63" t="n">
        <x:f>IFERROR(VLOOKUP(Aggregate!$B47,ECR!C:F,4,FALSE()),"-")</x:f>
        <x:v>13</x:v>
      </x:c>
      <x:c r="E47" s="63" t="str">
        <x:f>Aggregate!$C47 &amp; "/" &amp; Aggregate!$D47</x:f>
        <x:v>NYJ/13</x:v>
      </x:c>
      <x:c r="F47" s="67" t="n">
        <x:f>IFERROR(VLOOKUP(Aggregate!$B47,QB!A:Q,15,FALSE())/17*(16-Aggregate!$M47),0)</x:f>
        <x:v>3.968000000000001</x:v>
      </x:c>
      <x:c r="G47" s="67" t="n">
        <x:f>IFERROR(VLOOKUP(Aggregate!$B47,QB!A:Q,16,FALSE())/17*(16-Aggregate!$M47),0)</x:f>
        <x:v>6.469270588235294</x:v>
      </x:c>
      <x:c r="H47" s="67" t="n">
        <x:f>IFERROR(VLOOKUP(Aggregate!$B47,QB!A:Q,17,FALSE())/17*(16-Aggregate!$M47),0)</x:f>
        <x:v>9.472</x:v>
      </x:c>
      <x:c r="I47" s="70" t="n">
        <x:f>AVERAGE(Aggregate!$F47,Aggregate!$G47,Aggregate!$H47,VLOOKUP(Aggregate!$B47,ECR!L:N,3,FALSE))</x:f>
        <x:v>6.941741176558824</x:v>
      </x:c>
      <x:c r="J47" s="70" t="n">
        <x:f>Aggregate!$I47-$C$1</x:f>
        <x:v>-231.5325441455</x:v>
      </x:c>
      <x:c r="K47" s="74" t="n">
        <x:f>MAX(Aggregate!$J47*Scoring!$B$48+1,1)</x:f>
        <x:v>1</x:v>
      </x:c>
      <x:c r="L47" s="75" t="n">
        <x:f>VLOOKUP(Aggregate!$J47,BH:BJ,3,FALSE)</x:f>
        <x:v>14</x:v>
      </x:c>
      <x:c r="M47" s="77" t="n">
        <x:f t="array" ref="M47">VLOOKUP(INDEX(ECR!$E:$E,MATCH(B47,ECR!$C:$C,0)),RISK!A:B,2,FALSE())</x:f>
        <x:v>3.2</x:v>
      </x:c>
      <x:c r="N47" s="78"/>
      <x:c r="O47" s="75" t="s">
        <x:v>306</x:v>
      </x:c>
      <x:c r="P47" s="60" t="str">
        <x:f>VLOOKUP(O47,ECR!E:L,8,FALSE())</x:f>
        <x:v>Tyjae Spears</x:v>
      </x:c>
      <x:c r="Q47" s="63" t="str">
        <x:f>IFERROR(VLOOKUP(Aggregate!$P47,ECR!C:F,2,FALSE()),"-")</x:f>
        <x:v>TEN</x:v>
      </x:c>
      <x:c r="R47" s="63" t="n">
        <x:f>IFERROR(VLOOKUP(Aggregate!$P47,ECR!C:F,4,FALSE()),"-")</x:f>
        <x:v>9</x:v>
      </x:c>
      <x:c r="S47" s="63" t="str">
        <x:f>Aggregate!$Q47 &amp; "/" &amp; Aggregate!$R47</x:f>
        <x:v>TEN/9</x:v>
      </x:c>
      <x:c r="T47" s="67" t="n">
        <x:f>IFERROR(VLOOKUP(Aggregate!$P47,RB!A:Q,13,FALSE())/17*(16-Aggregate!$AA47),0)</x:f>
        <x:v>70.51628235294118</x:v>
      </x:c>
      <x:c r="U47" s="67" t="n">
        <x:f>IFERROR(VLOOKUP(Aggregate!$P47,RB!A:Q,14,FALSE())/17*(16-Aggregate!$AA47),0)</x:f>
        <x:v>85.68954352941176</x:v>
      </x:c>
      <x:c r="V47" s="67" t="n">
        <x:f>IFERROR(VLOOKUP(Aggregate!$P47,RB!A:Q,15,FALSE())/17*(16-Aggregate!$AA47),0)</x:f>
        <x:v>100.98912470588235</x:v>
      </x:c>
      <x:c r="W47" s="70" t="n">
        <x:f>AVERAGE(Aggregate!$T47,Aggregate!$U47,Aggregate!$V47,VLOOKUP(Aggregate!$P47,ECR!L:N,3,FALSE))</x:f>
        <x:v>85.45328797705884</x:v>
      </x:c>
      <x:c r="X47" s="70" t="n">
        <x:f>Aggregate!$W47-$Q$1</x:f>
        <x:v>-44.54704114794117</x:v>
      </x:c>
      <x:c r="Y47" s="74" t="n">
        <x:f>MAX(Aggregate!$X47*Scoring!$B$48+1,1)</x:f>
        <x:v>1</x:v>
      </x:c>
      <x:c r="Z47" s="75" t="n">
        <x:f>VLOOKUP(Aggregate!$X47,BM:BO,3,FALSE)</x:f>
        <x:v>7</x:v>
      </x:c>
      <x:c r="AA47" s="77" t="n">
        <x:f t="array" ref="AA47">VLOOKUP(INDEX(ECR!$E:$E,MATCH(P47,ECR!$C:$C,0)),RISK!A:B,2,FALSE())</x:f>
        <x:v>3.368</x:v>
      </x:c>
      <x:c r="AB47" s="78"/>
      <x:c r="AC47" s="63" t="s">
        <x:v>307</x:v>
      </x:c>
      <x:c r="AD47" s="63" t="str">
        <x:f>VLOOKUP(AC47,ECR!E:L,8,FALSE())</x:f>
        <x:v>Jayden Reed</x:v>
      </x:c>
      <x:c r="AE47" s="63" t="str">
        <x:f>IFERROR(VLOOKUP(Aggregate!$AD47,ECR!C:F,2,FALSE()),"-")</x:f>
        <x:v>GB</x:v>
      </x:c>
      <x:c r="AF47" s="63" t="n">
        <x:f>IFERROR(VLOOKUP(Aggregate!$AD47,ECR!C:F,4,FALSE()),"-")</x:f>
        <x:v>11</x:v>
      </x:c>
      <x:c r="AG47" s="63" t="str">
        <x:f>Aggregate!$AE47 &amp; "/" &amp; Aggregate!$AF47</x:f>
        <x:v>GB/11</x:v>
      </x:c>
      <x:c r="AH47" s="67" t="n">
        <x:f>IFERROR(VLOOKUP(Aggregate!$AD47,WR!A:Q,13,FALSE())/17*(16-Aggregate!$AO47),0)</x:f>
        <x:v>96.9529411764706</x:v>
      </x:c>
      <x:c r="AI47" s="67" t="n">
        <x:f>IFERROR(VLOOKUP(Aggregate!$AD47,WR!A:Q,14,FALSE())/17*(16-Aggregate!$AO47),0)</x:f>
        <x:v>104.62958823529414</x:v>
      </x:c>
      <x:c r="AJ47" s="67" t="n">
        <x:f>IFERROR(VLOOKUP(Aggregate!$AD47,WR!A:Q,15,FALSE())/17*(16-Aggregate!$AO47),0)</x:f>
        <x:v>115.54764705882351</x:v>
      </x:c>
      <x:c r="AK47" s="70" t="n">
        <x:f>AVERAGE(Aggregate!$AH47,Aggregate!$AI47,Aggregate!$AJ47,VLOOKUP(Aggregate!$AD47,ECR!L:N,3,FALSE))</x:f>
        <x:v>105.17042646764706</x:v>
      </x:c>
      <x:c r="AL47" s="70" t="n">
        <x:f>Aggregate!$AK47-$AE$1</x:f>
        <x:v>2.975514710294121</x:v>
      </x:c>
      <x:c r="AM47" s="74" t="n">
        <x:f>MAX(Aggregate!$AL47*Scoring!$B$48+1,1)</x:f>
        <x:v>2.7915426806237873</x:v>
      </x:c>
      <x:c r="AN47" s="75" t="n">
        <x:f>VLOOKUP(Aggregate!$AL47,BR:BT,3,FALSE)</x:f>
        <x:v>5</x:v>
      </x:c>
      <x:c r="AO47" s="77" t="n">
        <x:f t="array" ref="AO47">VLOOKUP(INDEX(ECR!$E:$E,MATCH(AD47,ECR!$C:$C,0)),RISK!A:B,2,FALSE())</x:f>
        <x:v>3.7</x:v>
      </x:c>
      <x:c r="AP47" s="78"/>
      <x:c r="AQ47" s="87" t="s">
        <x:v>308</x:v>
      </x:c>
      <x:c r="AR47" s="87" t="str">
        <x:f>VLOOKUP(AQ47,ECR!E:L,8,FALSE())</x:f>
        <x:v>Eli Raridon</x:v>
      </x:c>
      <x:c r="AS47" s="87" t="str">
        <x:f>IFERROR(VLOOKUP(Aggregate!$AR47,ECR!C:F,2,FALSE()),"-")</x:f>
        <x:v>NE</x:v>
      </x:c>
      <x:c r="AT47" s="87" t="n">
        <x:f>IFERROR(VLOOKUP(Aggregate!$AR47,ECR!C:F,4,FALSE()),"-")</x:f>
        <x:v>11</x:v>
      </x:c>
      <x:c r="AU47" s="87" t="str">
        <x:f>Aggregate!$AS47 &amp; "/" &amp; Aggregate!$AT47</x:f>
        <x:v>NE/11</x:v>
      </x:c>
      <x:c r="AV47" s="67" t="n">
        <x:f>IFERROR(VLOOKUP(Aggregate!$AR47,TE!A:K,9,FALSE())/17*(16-Aggregate!$BC47),0)</x:f>
        <x:v>23.105081764705886</x:v>
      </x:c>
      <x:c r="AW47" s="67" t="n">
        <x:f>IFERROR(VLOOKUP(Aggregate!$AR47,TE!A:K,10,FALSE())/17*(16-Aggregate!$BC47),0)</x:f>
        <x:v>30.31679094117647</x:v>
      </x:c>
      <x:c r="AX47" s="67" t="n">
        <x:f>IFERROR(VLOOKUP(Aggregate!$AR47,TE!A:K,11,FALSE())/17*(16-Aggregate!$BC47),0)</x:f>
        <x:v>38.088869411764705</x:v>
      </x:c>
      <x:c r="AY47" s="70" t="n">
        <x:f>AVERAGE(Aggregate!$AV47,Aggregate!$AW47,Aggregate!$AX47,VLOOKUP(Aggregate!$AR47,ECR!L:N,3,FALSE))</x:f>
        <x:v>31.09643517691176</x:v>
      </x:c>
      <x:c r="AZ47" s="70" t="n">
        <x:f>Aggregate!$AY47-$AS$1</x:f>
        <x:v>-74.36510343485293</x:v>
      </x:c>
      <x:c r="BA47" s="74" t="n">
        <x:f>MAX(Aggregate!$AZ47*Scoring!$B$48+1,1)</x:f>
        <x:v>1</x:v>
      </x:c>
      <x:c r="BB47" s="67" t="n">
        <x:f>VLOOKUP(Aggregate!$AZ47,BW:BY,3,FALSE)</x:f>
        <x:v>10</x:v>
      </x:c>
      <x:c r="BC47" s="77" t="n">
        <x:f t="array" ref="BC47">VLOOKUP(INDEX(ECR!$E:$E,MATCH(AR47,ECR!$C:$C,0)),RISK!A:B,2,FALSE())</x:f>
        <x:v>2.1938</x:v>
      </x:c>
      <x:c r="BD47" s="67"/>
      <x:c r="BE47" s="78"/>
      <x:c r="BF47" s="78">
        <x:v>45.0</x:v>
      </x:c>
      <x:c r="BG47" s="78">
        <x:f t="shared" si="1"/>
        <x:v>7.857694118</x:v>
      </x:c>
      <x:c r="BH47" s="78" t="n">
        <x:f>IFERROR(LARGE($J$3:$J$52,45),"")</x:f>
        <x:v>-230.42157943961763</x:v>
      </x:c>
      <x:c r="BI47" s="78">
        <x:f t="shared" si="5"/>
        <x:v>-225.6281122</x:v>
      </x:c>
      <x:c r="BJ47" s="78">
        <x:f t="shared" si="6"/>
        <x:v>14</x:v>
      </x:c>
      <x:c r="BK47" s="89">
        <x:v>45.0</x:v>
      </x:c>
      <x:c r="BL47" s="78">
        <x:f t="shared" si="2"/>
        <x:v>84.61820132</x:v>
      </x:c>
      <x:c r="BM47" s="90" t="n">
        <x:f>IFERROR(LARGE($X$3:$X$102,45),"")</x:f>
        <x:v>-45.870072244264705</x:v>
      </x:c>
      <x:c r="BN47" s="90">
        <x:f t="shared" si="7"/>
        <x:v>1.801456882</x:v>
      </x:c>
      <x:c r="BO47" s="91">
        <x:f t="shared" si="8"/>
        <x:v>7</x:v>
      </x:c>
      <x:c r="BP47" s="90">
        <x:v>45.0</x:v>
      </x:c>
      <x:c r="BQ47" s="78">
        <x:f t="shared" si="3"/>
        <x:v>103.5515294</x:v>
      </x:c>
      <x:c r="BR47" s="90" t="n">
        <x:f>IFERROR(LARGE($AL$3:$AL$102,45),"")</x:f>
        <x:v>1.3186323705882614</x:v>
      </x:c>
      <x:c r="BS47" s="90">
        <x:f t="shared" si="9"/>
        <x:v>19.0292711</x:v>
      </x:c>
      <x:c r="BT47" s="90">
        <x:f t="shared" si="10"/>
        <x:v>5</x:v>
      </x:c>
      <x:c r="BU47" s="78">
        <x:v>45.0</x:v>
      </x:c>
      <x:c r="BV47" s="78">
        <x:f t="shared" si="4"/>
        <x:v>32.87499859</x:v>
      </x:c>
      <x:c r="BW47" s="90" t="n">
        <x:f>IFERROR(LARGE($AZ$3:$AZ$52,45),"")</x:f>
        <x:v>-67.3137898177941</x:v>
      </x:c>
      <x:c r="BX47" s="90">
        <x:f t="shared" si="11"/>
        <x:v>-63.03797999</x:v>
      </x:c>
      <x:c r="BY47" s="90">
        <x:f t="shared" si="12"/>
        <x:v>9</x:v>
      </x:c>
      <x:c r="BZ47" s="90"/>
      <x:c r="CA47" s="90"/>
      <x:c r="CB47" s="90"/>
      <x:c r="CC47" s="90"/>
      <x:c r="CD47" s="90"/>
      <x:c r="CE47" s="90"/>
      <x:c r="CF47" s="90"/>
      <x:c r="CG47" s="90"/>
    </x:row>
    <x:row r="48" ht="14.25" customHeight="1">
      <x:c r="A48" s="60" t="s">
        <x:v>309</x:v>
      </x:c>
      <x:c r="B48" s="60" t="str">
        <x:f>VLOOKUP(A48,ECR!E:L,8,FALSE())</x:f>
        <x:v>Jameis Winston</x:v>
      </x:c>
      <x:c r="C48" s="63" t="str">
        <x:f>IFERROR(VLOOKUP(Aggregate!$B48,ECR!C:F,2,FALSE()),"-")</x:f>
        <x:v>NYG</x:v>
      </x:c>
      <x:c r="D48" s="63" t="n">
        <x:f>IFERROR(VLOOKUP(Aggregate!$B48,ECR!C:F,4,FALSE()),"-")</x:f>
        <x:v>8</x:v>
      </x:c>
      <x:c r="E48" s="63" t="str">
        <x:f>Aggregate!$C48 &amp; "/" &amp; Aggregate!$D48</x:f>
        <x:v>NYG/8</x:v>
      </x:c>
      <x:c r="F48" s="67" t="n">
        <x:f>IFERROR(VLOOKUP(Aggregate!$B48,QB!A:Q,15,FALSE())/17*(16-Aggregate!$M48),0)</x:f>
        <x:v>3.4861176470588227</x:v>
      </x:c>
      <x:c r="G48" s="67" t="n">
        <x:f>IFERROR(VLOOKUP(Aggregate!$B48,QB!A:Q,16,FALSE())/17*(16-Aggregate!$M48),0)</x:f>
        <x:v>8.19049411764706</x:v>
      </x:c>
      <x:c r="H48" s="67" t="n">
        <x:f>IFERROR(VLOOKUP(Aggregate!$B48,QB!A:Q,17,FALSE())/17*(16-Aggregate!$M48),0)</x:f>
        <x:v>14.516705882352941</x:v>
      </x:c>
      <x:c r="I48" s="70" t="n">
        <x:f>AVERAGE(Aggregate!$F48,Aggregate!$G48,Aggregate!$H48,VLOOKUP(Aggregate!$B48,ECR!L:N,3,FALSE))</x:f>
        <x:v>8.498447058764706</x:v>
      </x:c>
      <x:c r="J48" s="70" t="n">
        <x:f>Aggregate!$I48-$C$1</x:f>
        <x:v>-229.97583826329412</x:v>
      </x:c>
      <x:c r="K48" s="74" t="n">
        <x:f>MAX(Aggregate!$J48*Scoring!$B$48+1,1)</x:f>
        <x:v>1</x:v>
      </x:c>
      <x:c r="L48" s="75" t="n">
        <x:f>VLOOKUP(Aggregate!$J48,BH:BJ,3,FALSE)</x:f>
        <x:v>14</x:v>
      </x:c>
      <x:c r="M48" s="77" t="n">
        <x:f t="array" ref="M48">VLOOKUP(INDEX(ECR!$E:$E,MATCH(B48,ECR!$C:$C,0)),RISK!A:B,2,FALSE())</x:f>
        <x:v>3.2</x:v>
      </x:c>
      <x:c r="N48" s="78"/>
      <x:c r="O48" s="75" t="s">
        <x:v>310</x:v>
      </x:c>
      <x:c r="P48" s="60" t="str">
        <x:f>VLOOKUP(O48,ECR!E:L,8,FALSE())</x:f>
        <x:v>Keaton Mitchell</x:v>
      </x:c>
      <x:c r="Q48" s="63" t="str">
        <x:f>IFERROR(VLOOKUP(Aggregate!$P48,ECR!C:F,2,FALSE()),"-")</x:f>
        <x:v>LAC</x:v>
      </x:c>
      <x:c r="R48" s="63" t="n">
        <x:f>IFERROR(VLOOKUP(Aggregate!$P48,ECR!C:F,4,FALSE()),"-")</x:f>
        <x:v>7</x:v>
      </x:c>
      <x:c r="S48" s="63" t="str">
        <x:f>Aggregate!$Q48 &amp; "/" &amp; Aggregate!$R48</x:f>
        <x:v>LAC/7</x:v>
      </x:c>
      <x:c r="T48" s="67" t="n">
        <x:f>IFERROR(VLOOKUP(Aggregate!$P48,RB!A:Q,13,FALSE())/17*(16-Aggregate!$AA48),0)</x:f>
        <x:v>46.03992470588235</x:v>
      </x:c>
      <x:c r="U48" s="67" t="n">
        <x:f>IFERROR(VLOOKUP(Aggregate!$P48,RB!A:Q,14,FALSE())/17*(16-Aggregate!$AA48),0)</x:f>
        <x:v>56.977750588235295</x:v>
      </x:c>
      <x:c r="V48" s="67" t="n">
        <x:f>IFERROR(VLOOKUP(Aggregate!$P48,RB!A:Q,15,FALSE())/17*(16-Aggregate!$AA48),0)</x:f>
        <x:v>67.80411764705882</x:v>
      </x:c>
      <x:c r="W48" s="70" t="n">
        <x:f>AVERAGE(Aggregate!$T48,Aggregate!$U48,Aggregate!$V48,VLOOKUP(Aggregate!$P48,ECR!L:N,3,FALSE))</x:f>
        <x:v>63.715436470294115</x:v>
      </x:c>
      <x:c r="X48" s="70" t="n">
        <x:f>Aggregate!$W48-$Q$1</x:f>
        <x:v>-66.28489265470589</x:v>
      </x:c>
      <x:c r="Y48" s="74" t="n">
        <x:f>MAX(Aggregate!$X48*Scoring!$B$48+1,1)</x:f>
        <x:v>1</x:v>
      </x:c>
      <x:c r="Z48" s="75" t="n">
        <x:f>VLOOKUP(Aggregate!$X48,BM:BO,3,FALSE)</x:f>
        <x:v>8</x:v>
      </x:c>
      <x:c r="AA48" s="77" t="n">
        <x:f t="array" ref="AA48">VLOOKUP(INDEX(ECR!$E:$E,MATCH(P48,ECR!$C:$C,0)),RISK!A:B,2,FALSE())</x:f>
        <x:v>3.368</x:v>
      </x:c>
      <x:c r="AB48" s="78"/>
      <x:c r="AC48" s="63" t="s">
        <x:v>311</x:v>
      </x:c>
      <x:c r="AD48" s="63" t="str">
        <x:f>VLOOKUP(AC48,ECR!E:L,8,FALSE())</x:f>
        <x:v>Jakobi Meyers</x:v>
      </x:c>
      <x:c r="AE48" s="63" t="str">
        <x:f>IFERROR(VLOOKUP(Aggregate!$AD48,ECR!C:F,2,FALSE()),"-")</x:f>
        <x:v>JAC</x:v>
      </x:c>
      <x:c r="AF48" s="63" t="n">
        <x:f>IFERROR(VLOOKUP(Aggregate!$AD48,ECR!C:F,4,FALSE()),"-")</x:f>
        <x:v>7</x:v>
      </x:c>
      <x:c r="AG48" s="63" t="str">
        <x:f>Aggregate!$AE48 &amp; "/" &amp; Aggregate!$AF48</x:f>
        <x:v>JAC/7</x:v>
      </x:c>
      <x:c r="AH48" s="67" t="n">
        <x:f>IFERROR(VLOOKUP(Aggregate!$AD48,WR!A:Q,13,FALSE())/17*(16-Aggregate!$AO48),0)</x:f>
        <x:v>101.22900000000001</x:v>
      </x:c>
      <x:c r="AI48" s="67" t="n">
        <x:f>IFERROR(VLOOKUP(Aggregate!$AD48,WR!A:Q,14,FALSE())/17*(16-Aggregate!$AO48),0)</x:f>
        <x:v>104.75982352941176</x:v>
      </x:c>
      <x:c r="AJ48" s="67" t="n">
        <x:f>IFERROR(VLOOKUP(Aggregate!$AD48,WR!A:Q,15,FALSE())/17*(16-Aggregate!$AO48),0)</x:f>
        <x:v>109.47000000000001</x:v>
      </x:c>
      <x:c r="AK48" s="70" t="n">
        <x:f>AVERAGE(Aggregate!$AH48,Aggregate!$AI48,Aggregate!$AJ48,VLOOKUP(Aggregate!$AD48,ECR!L:N,3,FALSE))</x:f>
        <x:v>104.53552940735295</x:v>
      </x:c>
      <x:c r="AL48" s="70" t="n">
        <x:f>Aggregate!$AK48-$AE$1</x:f>
        <x:v>2.340617650000013</x:v>
      </x:c>
      <x:c r="AM48" s="74" t="n">
        <x:f>MAX(Aggregate!$AL48*Scoring!$B$48+1,1)</x:f>
        <x:v>2.409274302858975</x:v>
      </x:c>
      <x:c r="AN48" s="75" t="n">
        <x:f>VLOOKUP(Aggregate!$AL48,BR:BT,3,FALSE)</x:f>
        <x:v>5</x:v>
      </x:c>
      <x:c r="AO48" s="77" t="n">
        <x:f t="array" ref="AO48">VLOOKUP(INDEX(ECR!$E:$E,MATCH(AD48,ECR!$C:$C,0)),RISK!A:B,2,FALSE())</x:f>
        <x:v>3.7</x:v>
      </x:c>
      <x:c r="AP48" s="78"/>
      <x:c r="AQ48" s="87" t="s">
        <x:v>312</x:v>
      </x:c>
      <x:c r="AR48" s="87" t="str">
        <x:f>VLOOKUP(AQ48,ECR!E:L,8,FALSE())</x:f>
        <x:v>Cole Kmet</x:v>
      </x:c>
      <x:c r="AS48" s="87" t="str">
        <x:f>IFERROR(VLOOKUP(Aggregate!$AR48,ECR!C:F,2,FALSE()),"-")</x:f>
        <x:v>CHI</x:v>
      </x:c>
      <x:c r="AT48" s="87" t="n">
        <x:f>IFERROR(VLOOKUP(Aggregate!$AR48,ECR!C:F,4,FALSE()),"-")</x:f>
        <x:v>10</x:v>
      </x:c>
      <x:c r="AU48" s="87" t="str">
        <x:f>Aggregate!$AS48 &amp; "/" &amp; Aggregate!$AT48</x:f>
        <x:v>CHI/10</x:v>
      </x:c>
      <x:c r="AV48" s="67" t="n">
        <x:f>IFERROR(VLOOKUP(Aggregate!$AR48,TE!A:K,9,FALSE())/17*(16-Aggregate!$BC48),0)</x:f>
        <x:v>34.815987882352935</x:v>
      </x:c>
      <x:c r="AW48" s="67" t="n">
        <x:f>IFERROR(VLOOKUP(Aggregate!$AR48,TE!A:K,10,FALSE())/17*(16-Aggregate!$BC48),0)</x:f>
        <x:v>43.53825776470589</x:v>
      </x:c>
      <x:c r="AX48" s="67" t="n">
        <x:f>IFERROR(VLOOKUP(Aggregate!$AR48,TE!A:K,11,FALSE())/17*(16-Aggregate!$BC48),0)</x:f>
        <x:v>59.20423411764707</x:v>
      </x:c>
      <x:c r="AY48" s="70" t="n">
        <x:f>AVERAGE(Aggregate!$AV48,Aggregate!$AW48,Aggregate!$AX48,VLOOKUP(Aggregate!$AR48,ECR!L:N,3,FALSE))</x:f>
        <x:v>42.328184941176474</x:v>
      </x:c>
      <x:c r="AZ48" s="70" t="n">
        <x:f>Aggregate!$AY48-$AS$1</x:f>
        <x:v>-63.13335367058822</x:v>
      </x:c>
      <x:c r="BA48" s="74" t="n">
        <x:f>MAX(Aggregate!$AZ48*Scoring!$B$48+1,1)</x:f>
        <x:v>1</x:v>
      </x:c>
      <x:c r="BB48" s="67" t="n">
        <x:f>VLOOKUP(Aggregate!$AZ48,BW:BY,3,FALSE)</x:f>
        <x:v>9</x:v>
      </x:c>
      <x:c r="BC48" s="77" t="n">
        <x:f t="array" ref="BC48">VLOOKUP(INDEX(ECR!$E:$E,MATCH(AR48,ECR!$C:$C,0)),RISK!A:B,2,FALSE())</x:f>
        <x:v>2.1938</x:v>
      </x:c>
      <x:c r="BD48" s="67"/>
      <x:c r="BE48" s="78"/>
      <x:c r="BF48" s="78">
        <x:v>46.0</x:v>
      </x:c>
      <x:c r="BG48" s="78">
        <x:f t="shared" si="1"/>
        <x:v>7.800470588</x:v>
      </x:c>
      <x:c r="BH48" s="78" t="n">
        <x:f>IFERROR(LARGE($J$3:$J$52,46),"")</x:f>
        <x:v>-230.6275088515147</x:v>
      </x:c>
      <x:c r="BI48" s="78">
        <x:f t="shared" si="5"/>
        <x:v>-225.6281122</x:v>
      </x:c>
      <x:c r="BJ48" s="78">
        <x:f t="shared" si="6"/>
        <x:v>14</x:v>
      </x:c>
      <x:c r="BK48" s="89">
        <x:v>46.0</x:v>
      </x:c>
      <x:c r="BL48" s="78">
        <x:f t="shared" si="2"/>
        <x:v>84.03995294</x:v>
      </x:c>
      <x:c r="BM48" s="90" t="n">
        <x:f>IFERROR(LARGE($X$3:$X$102,46),"")</x:f>
        <x:v>-48.754277360294125</x:v>
      </x:c>
      <x:c r="BN48" s="90">
        <x:f t="shared" si="7"/>
        <x:v>-20.25398794</x:v>
      </x:c>
      <x:c r="BO48" s="91">
        <x:f t="shared" si="8"/>
        <x:v>8</x:v>
      </x:c>
      <x:c r="BP48" s="90">
        <x:v>46.0</x:v>
      </x:c>
      <x:c r="BQ48" s="78">
        <x:f t="shared" si="3"/>
        <x:v>102.6832941</x:v>
      </x:c>
      <x:c r="BR48" s="90" t="n">
        <x:f>IFERROR(LARGE($AL$3:$AL$102,46),"")</x:f>
        <x:v>1.2404911839705903</x:v>
      </x:c>
      <x:c r="BS48" s="90">
        <x:f t="shared" si="9"/>
        <x:v>19.0292711</x:v>
      </x:c>
      <x:c r="BT48" s="90">
        <x:f t="shared" si="10"/>
        <x:v>5</x:v>
      </x:c>
      <x:c r="BU48" s="78">
        <x:v>46.0</x:v>
      </x:c>
      <x:c r="BV48" s="78">
        <x:f t="shared" si="4"/>
        <x:v>31.75426</x:v>
      </x:c>
      <x:c r="BW48" s="90" t="n">
        <x:f>IFERROR(LARGE($AZ$3:$AZ$52,46),"")</x:f>
        <x:v>-68.91977572911765</x:v>
      </x:c>
      <x:c r="BX48" s="90">
        <x:f t="shared" si="11"/>
        <x:v>-63.03797999</x:v>
      </x:c>
      <x:c r="BY48" s="90">
        <x:f t="shared" si="12"/>
        <x:v>9</x:v>
      </x:c>
      <x:c r="BZ48" s="90"/>
      <x:c r="CA48" s="90"/>
      <x:c r="CB48" s="90"/>
      <x:c r="CC48" s="90"/>
      <x:c r="CD48" s="90"/>
      <x:c r="CE48" s="90"/>
      <x:c r="CF48" s="90"/>
      <x:c r="CG48" s="90"/>
    </x:row>
    <x:row r="49" ht="14.25" customHeight="1">
      <x:c r="A49" s="60" t="s">
        <x:v>313</x:v>
      </x:c>
      <x:c r="B49" s="60" t="str">
        <x:f>VLOOKUP(A49,ECR!E:L,8,FALSE())</x:f>
        <x:v>Riley Leonard</x:v>
      </x:c>
      <x:c r="C49" s="63" t="str">
        <x:f>IFERROR(VLOOKUP(Aggregate!$B49,ECR!C:F,2,FALSE()),"-")</x:f>
        <x:v>IND</x:v>
      </x:c>
      <x:c r="D49" s="63" t="n">
        <x:f>IFERROR(VLOOKUP(Aggregate!$B49,ECR!C:F,4,FALSE()),"-")</x:f>
        <x:v>13</x:v>
      </x:c>
      <x:c r="E49" s="63" t="str">
        <x:f>Aggregate!$C49 &amp; "/" &amp; Aggregate!$D49</x:f>
        <x:v>IND/13</x:v>
      </x:c>
      <x:c r="F49" s="67" t="n">
        <x:f>IFERROR(VLOOKUP(Aggregate!$B49,QB!A:Q,15,FALSE())/17*(16-Aggregate!$M49),0)</x:f>
        <x:v>5.3383529411764705</x:v>
      </x:c>
      <x:c r="G49" s="67" t="n">
        <x:f>IFERROR(VLOOKUP(Aggregate!$B49,QB!A:Q,16,FALSE())/17*(16-Aggregate!$M49),0)</x:f>
        <x:v>9.383152941176473</x:v>
      </x:c>
      <x:c r="H49" s="67" t="n">
        <x:f>IFERROR(VLOOKUP(Aggregate!$B49,QB!A:Q,17,FALSE())/17*(16-Aggregate!$M49),0)</x:f>
        <x:v>15.631058823529413</x:v>
      </x:c>
      <x:c r="I49" s="70" t="n">
        <x:f>AVERAGE(Aggregate!$F49,Aggregate!$G49,Aggregate!$H49,VLOOKUP(Aggregate!$B49,ECR!L:N,3,FALSE))</x:f>
        <x:v>9.299576470470589</x:v>
      </x:c>
      <x:c r="J49" s="70" t="n">
        <x:f>Aggregate!$I49-$C$1</x:f>
        <x:v>-229.17470885158824</x:v>
      </x:c>
      <x:c r="K49" s="74" t="n">
        <x:f>MAX(Aggregate!$J49*Scoring!$B$48+1,1)</x:f>
        <x:v>1</x:v>
      </x:c>
      <x:c r="L49" s="75" t="n">
        <x:f>VLOOKUP(Aggregate!$J49,BH:BJ,3,FALSE)</x:f>
        <x:v>14</x:v>
      </x:c>
      <x:c r="M49" s="77" t="n">
        <x:f t="array" ref="M49">VLOOKUP(INDEX(ECR!$E:$E,MATCH(B49,ECR!$C:$C,0)),RISK!A:B,2,FALSE())</x:f>
        <x:v>3.2</x:v>
      </x:c>
      <x:c r="N49" s="78"/>
      <x:c r="O49" s="75" t="s">
        <x:v>314</x:v>
      </x:c>
      <x:c r="P49" s="60" t="str">
        <x:f>VLOOKUP(O49,ECR!E:L,8,FALSE())</x:f>
        <x:v>Tank Bigsby</x:v>
      </x:c>
      <x:c r="Q49" s="63" t="str">
        <x:f>IFERROR(VLOOKUP(Aggregate!$P49,ECR!C:F,2,FALSE()),"-")</x:f>
        <x:v>PHI</x:v>
      </x:c>
      <x:c r="R49" s="63" t="n">
        <x:f>IFERROR(VLOOKUP(Aggregate!$P49,ECR!C:F,4,FALSE()),"-")</x:f>
        <x:v>10</x:v>
      </x:c>
      <x:c r="S49" s="63" t="str">
        <x:f>Aggregate!$Q49 &amp; "/" &amp; Aggregate!$R49</x:f>
        <x:v>PHI/10</x:v>
      </x:c>
      <x:c r="T49" s="67" t="n">
        <x:f>IFERROR(VLOOKUP(Aggregate!$P49,RB!A:Q,13,FALSE())/17*(16-Aggregate!$AA49),0)</x:f>
        <x:v>44.8436</x:v>
      </x:c>
      <x:c r="U49" s="67" t="n">
        <x:f>IFERROR(VLOOKUP(Aggregate!$P49,RB!A:Q,14,FALSE())/17*(16-Aggregate!$AA49),0)</x:f>
        <x:v>59.8682494117647</x:v>
      </x:c>
      <x:c r="V49" s="67" t="n">
        <x:f>IFERROR(VLOOKUP(Aggregate!$P49,RB!A:Q,15,FALSE())/17*(16-Aggregate!$AA49),0)</x:f>
        <x:v>74.45449411764706</x:v>
      </x:c>
      <x:c r="W49" s="70" t="n">
        <x:f>AVERAGE(Aggregate!$T49,Aggregate!$U49,Aggregate!$V49,VLOOKUP(Aggregate!$P49,ECR!L:N,3,FALSE))</x:f>
        <x:v>65.73469882235294</x:v>
      </x:c>
      <x:c r="X49" s="70" t="n">
        <x:f>Aggregate!$W49-$Q$1</x:f>
        <x:v>-64.26563030264707</x:v>
      </x:c>
      <x:c r="Y49" s="74" t="n">
        <x:f>MAX(Aggregate!$X49*Scoring!$B$48+1,1)</x:f>
        <x:v>1</x:v>
      </x:c>
      <x:c r="Z49" s="75" t="n">
        <x:f>VLOOKUP(Aggregate!$X49,BM:BO,3,FALSE)</x:f>
        <x:v>8</x:v>
      </x:c>
      <x:c r="AA49" s="77" t="n">
        <x:f t="array" ref="AA49">VLOOKUP(INDEX(ECR!$E:$E,MATCH(P49,ECR!$C:$C,0)),RISK!A:B,2,FALSE())</x:f>
        <x:v>3.368</x:v>
      </x:c>
      <x:c r="AB49" s="78"/>
      <x:c r="AC49" s="63" t="s">
        <x:v>315</x:v>
      </x:c>
      <x:c r="AD49" s="63" t="str">
        <x:f>VLOOKUP(AC49,ECR!E:L,8,FALSE())</x:f>
        <x:v>Makai Lemon</x:v>
      </x:c>
      <x:c r="AE49" s="63" t="str">
        <x:f>IFERROR(VLOOKUP(Aggregate!$AD49,ECR!C:F,2,FALSE()),"-")</x:f>
        <x:v>PHI</x:v>
      </x:c>
      <x:c r="AF49" s="63" t="n">
        <x:f>IFERROR(VLOOKUP(Aggregate!$AD49,ECR!C:F,4,FALSE()),"-")</x:f>
        <x:v>10</x:v>
      </x:c>
      <x:c r="AG49" s="63" t="str">
        <x:f>Aggregate!$AE49 &amp; "/" &amp; Aggregate!$AF49</x:f>
        <x:v>PHI/10</x:v>
      </x:c>
      <x:c r="AH49" s="67" t="n">
        <x:f>IFERROR(VLOOKUP(Aggregate!$AD49,WR!A:Q,13,FALSE())/17*(16-Aggregate!$AO49),0)</x:f>
        <x:v>102.71397176470587</x:v>
      </x:c>
      <x:c r="AI49" s="67" t="n">
        <x:f>IFERROR(VLOOKUP(Aggregate!$AD49,WR!A:Q,14,FALSE())/17*(16-Aggregate!$AO49),0)</x:f>
        <x:v>106.27373647058823</x:v>
      </x:c>
      <x:c r="AJ49" s="67" t="n">
        <x:f>IFERROR(VLOOKUP(Aggregate!$AD49,WR!A:Q,15,FALSE())/17*(16-Aggregate!$AO49),0)</x:f>
        <x:v>109.50791294117647</x:v>
      </x:c>
      <x:c r="AK49" s="70" t="n">
        <x:f>AVERAGE(Aggregate!$AH49,Aggregate!$AI49,Aggregate!$AJ49,VLOOKUP(Aggregate!$AD49,ECR!L:N,3,FALSE))</x:f>
        <x:v>105.22780234411765</x:v>
      </x:c>
      <x:c r="AL49" s="70" t="n">
        <x:f>Aggregate!$AK49-$AE$1</x:f>
        <x:v>3.032890586764708</x:v>
      </x:c>
      <x:c r="AM49" s="74" t="n">
        <x:f>MAX(Aggregate!$AL49*Scoring!$B$48+1,1)</x:f>
        <x:v>2.8260884118815213</x:v>
      </x:c>
      <x:c r="AN49" s="75" t="n">
        <x:f>VLOOKUP(Aggregate!$AL49,BR:BT,3,FALSE)</x:f>
        <x:v>5</x:v>
      </x:c>
      <x:c r="AO49" s="77" t="n">
        <x:f t="array" ref="AO49">VLOOKUP(INDEX(ECR!$E:$E,MATCH(AD49,ECR!$C:$C,0)),RISK!A:B,2,FALSE())</x:f>
        <x:v>3.7</x:v>
      </x:c>
      <x:c r="AP49" s="78"/>
      <x:c r="AQ49" s="87" t="s">
        <x:v>316</x:v>
      </x:c>
      <x:c r="AR49" s="87" t="str">
        <x:f>VLOOKUP(AQ49,ECR!E:L,8,FALSE())</x:f>
        <x:v>Dawson Knox</x:v>
      </x:c>
      <x:c r="AS49" s="87" t="str">
        <x:f>IFERROR(VLOOKUP(Aggregate!$AR49,ECR!C:F,2,FALSE()),"-")</x:f>
        <x:v>BUF</x:v>
      </x:c>
      <x:c r="AT49" s="87" t="n">
        <x:f>IFERROR(VLOOKUP(Aggregate!$AR49,ECR!C:F,4,FALSE()),"-")</x:f>
        <x:v>7</x:v>
      </x:c>
      <x:c r="AU49" s="87" t="str">
        <x:f>Aggregate!$AS49 &amp; "/" &amp; Aggregate!$AT49</x:f>
        <x:v>BUF/7</x:v>
      </x:c>
      <x:c r="AV49" s="67" t="n">
        <x:f>IFERROR(VLOOKUP(Aggregate!$AR49,TE!A:K,9,FALSE())/17*(16-Aggregate!$BC49),0)</x:f>
        <x:v>45.195001764705886</x:v>
      </x:c>
      <x:c r="AW49" s="67" t="n">
        <x:f>IFERROR(VLOOKUP(Aggregate!$AR49,TE!A:K,10,FALSE())/17*(16-Aggregate!$BC49),0)</x:f>
        <x:v>52.601622000000006</x:v>
      </x:c>
      <x:c r="AX49" s="67" t="n">
        <x:f>IFERROR(VLOOKUP(Aggregate!$AR49,TE!A:K,11,FALSE())/17*(16-Aggregate!$BC49),0)</x:f>
        <x:v>61.396983529411756</x:v>
      </x:c>
      <x:c r="AY49" s="70" t="n">
        <x:f>AVERAGE(Aggregate!$AV49,Aggregate!$AW49,Aggregate!$AX49,VLOOKUP(Aggregate!$AR49,ECR!L:N,3,FALSE))</x:f>
        <x:v>47.58266223602941</x:v>
      </x:c>
      <x:c r="AZ49" s="70" t="n">
        <x:f>Aggregate!$AY49-$AS$1</x:f>
        <x:v>-57.87887637573529</x:v>
      </x:c>
      <x:c r="BA49" s="74" t="n">
        <x:f>MAX(Aggregate!$AZ49*Scoring!$B$48+1,1)</x:f>
        <x:v>1</x:v>
      </x:c>
      <x:c r="BB49" s="67" t="n">
        <x:f>VLOOKUP(Aggregate!$AZ49,BW:BY,3,FALSE)</x:f>
        <x:v>8</x:v>
      </x:c>
      <x:c r="BC49" s="77" t="n">
        <x:f t="array" ref="BC49">VLOOKUP(INDEX(ECR!$E:$E,MATCH(AR49,ECR!$C:$C,0)),RISK!A:B,2,FALSE())</x:f>
        <x:v>2.1938</x:v>
      </x:c>
      <x:c r="BD49" s="67"/>
      <x:c r="BE49" s="78"/>
      <x:c r="BF49" s="78">
        <x:v>47.0</x:v>
      </x:c>
      <x:c r="BG49" s="78">
        <x:f t="shared" si="1"/>
        <x:v>6.845741176</x:v>
      </x:c>
      <x:c r="BH49" s="78" t="n">
        <x:f>IFERROR(LARGE($J$3:$J$52,47),"")</x:f>
        <x:v>-231.5325441455</x:v>
      </x:c>
      <x:c r="BI49" s="78">
        <x:f t="shared" si="5"/>
        <x:v>-225.6281122</x:v>
      </x:c>
      <x:c r="BJ49" s="78">
        <x:f t="shared" si="6"/>
        <x:v>14</x:v>
      </x:c>
      <x:c r="BK49" s="89">
        <x:v>47.0</x:v>
      </x:c>
      <x:c r="BL49" s="78">
        <x:f t="shared" si="2"/>
        <x:v>83.77245176</x:v>
      </x:c>
      <x:c r="BM49" s="90" t="n">
        <x:f>IFERROR(LARGE($X$3:$X$102,47),"")</x:f>
        <x:v>-48.76943204426472</x:v>
      </x:c>
      <x:c r="BN49" s="90">
        <x:f t="shared" si="7"/>
        <x:v>-20.25398794</x:v>
      </x:c>
      <x:c r="BO49" s="91">
        <x:f t="shared" si="8"/>
        <x:v>8</x:v>
      </x:c>
      <x:c r="BP49" s="90">
        <x:v>47.0</x:v>
      </x:c>
      <x:c r="BQ49" s="78">
        <x:f t="shared" si="3"/>
        <x:v>102.4155882</x:v>
      </x:c>
      <x:c r="BR49" s="90" t="n">
        <x:f>IFERROR(LARGE($AL$3:$AL$102,47),"")</x:f>
        <x:v>0</x:v>
      </x:c>
      <x:c r="BS49" s="90">
        <x:f t="shared" si="9"/>
        <x:v>19.0292711</x:v>
      </x:c>
      <x:c r="BT49" s="90">
        <x:f t="shared" si="10"/>
        <x:v>5</x:v>
      </x:c>
      <x:c r="BU49" s="78">
        <x:v>47.0</x:v>
      </x:c>
      <x:c r="BV49" s="78">
        <x:f t="shared" si="4"/>
        <x:v>31.13704165</x:v>
      </x:c>
      <x:c r="BW49" s="90" t="n">
        <x:f>IFERROR(LARGE($AZ$3:$AZ$52,47),"")</x:f>
        <x:v>-74.36510343485293</x:v>
      </x:c>
      <x:c r="BX49" s="90">
        <x:f t="shared" si="11"/>
        <x:v>-74.57427828</x:v>
      </x:c>
      <x:c r="BY49" s="90">
        <x:f t="shared" si="12"/>
        <x:v>10</x:v>
      </x:c>
      <x:c r="BZ49" s="90"/>
      <x:c r="CA49" s="90"/>
      <x:c r="CB49" s="90"/>
      <x:c r="CC49" s="90"/>
      <x:c r="CD49" s="90"/>
      <x:c r="CE49" s="90"/>
      <x:c r="CF49" s="90"/>
      <x:c r="CG49" s="90"/>
    </x:row>
    <x:row r="50" ht="14.25" customHeight="1">
      <x:c r="A50" s="60" t="s">
        <x:v>317</x:v>
      </x:c>
      <x:c r="B50" s="60" t="str">
        <x:f>VLOOKUP(A50,ECR!E:L,8,FALSE())</x:f>
        <x:v>Quinn Ewers</x:v>
      </x:c>
      <x:c r="C50" s="63" t="str">
        <x:f>IFERROR(VLOOKUP(Aggregate!$B50,ECR!C:F,2,FALSE()),"-")</x:f>
        <x:v>MIA</x:v>
      </x:c>
      <x:c r="D50" s="63" t="n">
        <x:f>IFERROR(VLOOKUP(Aggregate!$B50,ECR!C:F,4,FALSE()),"-")</x:f>
        <x:v>6</x:v>
      </x:c>
      <x:c r="E50" s="63" t="str">
        <x:f>Aggregate!$C50 &amp; "/" &amp; Aggregate!$D50</x:f>
        <x:v>MIA/6</x:v>
      </x:c>
      <x:c r="F50" s="67" t="n">
        <x:f>IFERROR(VLOOKUP(Aggregate!$B50,QB!A:Q,15,FALSE())/17*(16-Aggregate!$M50),0)</x:f>
        <x:v>4.18635294117647</x:v>
      </x:c>
      <x:c r="G50" s="67" t="n">
        <x:f>IFERROR(VLOOKUP(Aggregate!$B50,QB!A:Q,16,FALSE())/17*(16-Aggregate!$M50),0)</x:f>
        <x:v>8.1152</x:v>
      </x:c>
      <x:c r="H50" s="67" t="n">
        <x:f>IFERROR(VLOOKUP(Aggregate!$B50,QB!A:Q,17,FALSE())/17*(16-Aggregate!$M50),0)</x:f>
        <x:v>13.357176470588236</x:v>
      </x:c>
      <x:c r="I50" s="70" t="n">
        <x:f>AVERAGE(Aggregate!$F50,Aggregate!$G50,Aggregate!$H50,VLOOKUP(Aggregate!$B50,ECR!L:N,3,FALSE))</x:f>
        <x:v>8.052705882441177</x:v>
      </x:c>
      <x:c r="J50" s="70" t="n">
        <x:f>Aggregate!$I50-$C$1</x:f>
        <x:v>-230.42157943961763</x:v>
      </x:c>
      <x:c r="K50" s="74" t="n">
        <x:f>MAX(Aggregate!$J50*Scoring!$B$48+1,1)</x:f>
        <x:v>1</x:v>
      </x:c>
      <x:c r="L50" s="75" t="n">
        <x:f>VLOOKUP(Aggregate!$J50,BH:BJ,3,FALSE)</x:f>
        <x:v>14</x:v>
      </x:c>
      <x:c r="M50" s="77" t="n">
        <x:f t="array" ref="M50">VLOOKUP(INDEX(ECR!$E:$E,MATCH(B50,ECR!$C:$C,0)),RISK!A:B,2,FALSE())</x:f>
        <x:v>3.2</x:v>
      </x:c>
      <x:c r="N50" s="78"/>
      <x:c r="O50" s="75" t="s">
        <x:v>318</x:v>
      </x:c>
      <x:c r="P50" s="60" t="str">
        <x:f>VLOOKUP(O50,ECR!E:L,8,FALSE())</x:f>
        <x:v>Jonah Coleman</x:v>
      </x:c>
      <x:c r="Q50" s="63" t="str">
        <x:f>IFERROR(VLOOKUP(Aggregate!$P50,ECR!C:F,2,FALSE()),"-")</x:f>
        <x:v>DEN</x:v>
      </x:c>
      <x:c r="R50" s="63" t="n">
        <x:f>IFERROR(VLOOKUP(Aggregate!$P50,ECR!C:F,4,FALSE()),"-")</x:f>
        <x:v>10</x:v>
      </x:c>
      <x:c r="S50" s="63" t="str">
        <x:f>Aggregate!$Q50 &amp; "/" &amp; Aggregate!$R50</x:f>
        <x:v>DEN/10</x:v>
      </x:c>
      <x:c r="T50" s="67" t="n">
        <x:f>IFERROR(VLOOKUP(Aggregate!$P50,RB!A:Q,13,FALSE())/17*(16-Aggregate!$AA50),0)</x:f>
        <x:v>84.61820131764706</x:v>
      </x:c>
      <x:c r="U50" s="67" t="n">
        <x:f>IFERROR(VLOOKUP(Aggregate!$P50,RB!A:Q,14,FALSE())/17*(16-Aggregate!$AA50),0)</x:f>
        <x:v>84.61820131764706</x:v>
      </x:c>
      <x:c r="V50" s="67" t="n">
        <x:f>IFERROR(VLOOKUP(Aggregate!$P50,RB!A:Q,15,FALSE())/17*(16-Aggregate!$AA50),0)</x:f>
        <x:v>84.61820131764706</x:v>
      </x:c>
      <x:c r="W50" s="70" t="n">
        <x:f>AVERAGE(Aggregate!$T50,Aggregate!$U50,Aggregate!$V50,VLOOKUP(Aggregate!$P50,ECR!L:N,3,FALSE))</x:f>
        <x:v>84.1302568807353</x:v>
      </x:c>
      <x:c r="X50" s="70" t="n">
        <x:f>Aggregate!$W50-$Q$1</x:f>
        <x:v>-45.870072244264705</x:v>
      </x:c>
      <x:c r="Y50" s="74" t="n">
        <x:f>MAX(Aggregate!$X50*Scoring!$B$48+1,1)</x:f>
        <x:v>1</x:v>
      </x:c>
      <x:c r="Z50" s="75" t="n">
        <x:f>VLOOKUP(Aggregate!$X50,BM:BO,3,FALSE)</x:f>
        <x:v>7</x:v>
      </x:c>
      <x:c r="AA50" s="77" t="n">
        <x:f t="array" ref="AA50">VLOOKUP(INDEX(ECR!$E:$E,MATCH(P50,ECR!$C:$C,0)),RISK!A:B,2,FALSE())</x:f>
        <x:v>3.368</x:v>
      </x:c>
      <x:c r="AB50" s="78"/>
      <x:c r="AC50" s="63" t="s">
        <x:v>319</x:v>
      </x:c>
      <x:c r="AD50" s="63" t="str">
        <x:f>VLOOKUP(AC50,ECR!E:L,8,FALSE())</x:f>
        <x:v>KC Concepcion</x:v>
      </x:c>
      <x:c r="AE50" s="63" t="str">
        <x:f>IFERROR(VLOOKUP(Aggregate!$AD50,ECR!C:F,2,FALSE()),"-")</x:f>
        <x:v>CLE</x:v>
      </x:c>
      <x:c r="AF50" s="63" t="n">
        <x:f>IFERROR(VLOOKUP(Aggregate!$AD50,ECR!C:F,4,FALSE()),"-")</x:f>
        <x:v>11</x:v>
      </x:c>
      <x:c r="AG50" s="63" t="str">
        <x:f>Aggregate!$AE50 &amp; "/" &amp; Aggregate!$AF50</x:f>
        <x:v>CLE/11</x:v>
      </x:c>
      <x:c r="AH50" s="67" t="n">
        <x:f>IFERROR(VLOOKUP(Aggregate!$AD50,WR!A:Q,13,FALSE())/17*(16-Aggregate!$AO50),0)</x:f>
        <x:v>100.3037505882353</x:v>
      </x:c>
      <x:c r="AI50" s="67" t="n">
        <x:f>IFERROR(VLOOKUP(Aggregate!$AD50,WR!A:Q,14,FALSE())/17*(16-Aggregate!$AO50),0)</x:f>
        <x:v>109.15975058823528</x:v>
      </x:c>
      <x:c r="AJ50" s="67" t="n">
        <x:f>IFERROR(VLOOKUP(Aggregate!$AD50,WR!A:Q,15,FALSE())/17*(16-Aggregate!$AO50),0)</x:f>
        <x:v>117.9072211764706</x:v>
      </x:c>
      <x:c r="AK50" s="70" t="n">
        <x:f>AVERAGE(Aggregate!$AH50,Aggregate!$AI50,Aggregate!$AJ50,VLOOKUP(Aggregate!$AD50,ECR!L:N,3,FALSE))</x:f>
        <x:v>107.16801881323529</x:v>
      </x:c>
      <x:c r="AL50" s="70" t="n">
        <x:f>Aggregate!$AK50-$AE$1</x:f>
        <x:v>4.973107055882352</x:v>
      </x:c>
      <x:c r="AM50" s="74" t="n">
        <x:f>MAX(Aggregate!$AL50*Scoring!$B$48+1,1)</x:f>
        <x:v>3.9942831454003658</x:v>
      </x:c>
      <x:c r="AN50" s="75" t="n">
        <x:f>VLOOKUP(Aggregate!$AL50,BR:BT,3,FALSE)</x:f>
        <x:v>5</x:v>
      </x:c>
      <x:c r="AO50" s="77" t="n">
        <x:f t="array" ref="AO50">VLOOKUP(INDEX(ECR!$E:$E,MATCH(AD50,ECR!$C:$C,0)),RISK!A:B,2,FALSE())</x:f>
        <x:v>3.7</x:v>
      </x:c>
      <x:c r="AP50" s="78"/>
      <x:c r="AQ50" s="87" t="s">
        <x:v>320</x:v>
      </x:c>
      <x:c r="AR50" s="87" t="str">
        <x:f>VLOOKUP(AQ50,ECR!E:L,8,FALSE())</x:f>
        <x:v>Tyler Higbee</x:v>
      </x:c>
      <x:c r="AS50" s="87" t="str">
        <x:f>IFERROR(VLOOKUP(Aggregate!$AR50,ECR!C:F,2,FALSE()),"-")</x:f>
        <x:v>LAR</x:v>
      </x:c>
      <x:c r="AT50" s="87" t="n">
        <x:f>IFERROR(VLOOKUP(Aggregate!$AR50,ECR!C:F,4,FALSE()),"-")</x:f>
        <x:v>11</x:v>
      </x:c>
      <x:c r="AU50" s="87" t="str">
        <x:f>Aggregate!$AS50 &amp; "/" &amp; Aggregate!$AT50</x:f>
        <x:v>LAR/11</x:v>
      </x:c>
      <x:c r="AV50" s="67" t="n">
        <x:f>IFERROR(VLOOKUP(Aggregate!$AR50,TE!A:K,9,FALSE())/17*(16-Aggregate!$BC50),0)</x:f>
        <x:v>25.005464588235295</x:v>
      </x:c>
      <x:c r="AW50" s="67" t="n">
        <x:f>IFERROR(VLOOKUP(Aggregate!$AR50,TE!A:K,10,FALSE())/17*(16-Aggregate!$BC50),0)</x:f>
        <x:v>45.96652470588236</x:v>
      </x:c>
      <x:c r="AX50" s="67" t="n">
        <x:f>IFERROR(VLOOKUP(Aggregate!$AR50,TE!A:K,11,FALSE())/17*(16-Aggregate!$BC50),0)</x:f>
        <x:v>76.25895176470588</x:v>
      </x:c>
      <x:c r="AY50" s="70" t="n">
        <x:f>AVERAGE(Aggregate!$AV50,Aggregate!$AW50,Aggregate!$AX50,VLOOKUP(Aggregate!$AR50,ECR!L:N,3,FALSE))</x:f>
        <x:v>44.26511358720588</x:v>
      </x:c>
      <x:c r="AZ50" s="70" t="n">
        <x:f>Aggregate!$AY50-$AS$1</x:f>
        <x:v>-61.19642502455881</x:v>
      </x:c>
      <x:c r="BA50" s="74" t="n">
        <x:f>MAX(Aggregate!$AZ50*Scoring!$B$48+1,1)</x:f>
        <x:v>1</x:v>
      </x:c>
      <x:c r="BB50" s="67" t="n">
        <x:f>VLOOKUP(Aggregate!$AZ50,BW:BY,3,FALSE)</x:f>
        <x:v>8</x:v>
      </x:c>
      <x:c r="BC50" s="77" t="n">
        <x:f t="array" ref="BC50">VLOOKUP(INDEX(ECR!$E:$E,MATCH(AR50,ECR!$C:$C,0)),RISK!A:B,2,FALSE())</x:f>
        <x:v>2.1938</x:v>
      </x:c>
      <x:c r="BD50" s="67"/>
      <x:c r="BE50" s="78"/>
      <x:c r="BF50" s="78">
        <x:v>48.0</x:v>
      </x:c>
      <x:c r="BG50" s="78">
        <x:f t="shared" si="1"/>
        <x:v>6.552094118</x:v>
      </x:c>
      <x:c r="BH50" s="78" t="n">
        <x:f>IFERROR(LARGE($J$3:$J$52,48),"")</x:f>
        <x:v>-232.18346179269116</x:v>
      </x:c>
      <x:c r="BI50" s="78">
        <x:f t="shared" si="5"/>
        <x:v>-237.6552181</x:v>
      </x:c>
      <x:c r="BJ50" s="78">
        <x:f t="shared" si="6"/>
        <x:v>15</x:v>
      </x:c>
      <x:c r="BK50" s="89">
        <x:v>48.0</x:v>
      </x:c>
      <x:c r="BL50" s="78">
        <x:f t="shared" si="2"/>
        <x:v>82.66642357</x:v>
      </x:c>
      <x:c r="BM50" s="90" t="n">
        <x:f>IFERROR(LARGE($X$3:$X$102,48),"")</x:f>
        <x:v>-51.60944002191178</x:v>
      </x:c>
      <x:c r="BN50" s="90">
        <x:f t="shared" si="7"/>
        <x:v>-20.25398794</x:v>
      </x:c>
      <x:c r="BO50" s="91">
        <x:f t="shared" si="8"/>
        <x:v>8</x:v>
      </x:c>
      <x:c r="BP50" s="90">
        <x:v>48.0</x:v>
      </x:c>
      <x:c r="BQ50" s="78">
        <x:f t="shared" si="3"/>
        <x:v>101.3013529</x:v>
      </x:c>
      <x:c r="BR50" s="90" t="n">
        <x:f>IFERROR(LARGE($AL$3:$AL$102,48),"")</x:f>
        <x:v>-0.7705588132352972</x:v>
      </x:c>
      <x:c r="BS50" s="90">
        <x:f t="shared" si="9"/>
        <x:v>19.0292711</x:v>
      </x:c>
      <x:c r="BT50" s="90">
        <x:f t="shared" si="10"/>
        <x:v>5</x:v>
      </x:c>
      <x:c r="BU50" s="78">
        <x:v>48.0</x:v>
      </x:c>
      <x:c r="BV50" s="78">
        <x:f t="shared" si="4"/>
        <x:v>29.82951329</x:v>
      </x:c>
      <x:c r="BW50" s="90" t="n">
        <x:f>IFERROR(LARGE($AZ$3:$AZ$52,48),"")</x:f>
        <x:v>-77.5303778177941</x:v>
      </x:c>
      <x:c r="BX50" s="90">
        <x:f t="shared" si="11"/>
        <x:v>-74.57427828</x:v>
      </x:c>
      <x:c r="BY50" s="90">
        <x:f t="shared" si="12"/>
        <x:v>10</x:v>
      </x:c>
      <x:c r="BZ50" s="90"/>
      <x:c r="CA50" s="90"/>
      <x:c r="CB50" s="90"/>
      <x:c r="CC50" s="90"/>
      <x:c r="CD50" s="90"/>
      <x:c r="CE50" s="90"/>
      <x:c r="CF50" s="90"/>
      <x:c r="CG50" s="90"/>
    </x:row>
    <x:row r="51" ht="14.25" customHeight="1">
      <x:c r="A51" s="60"/>
      <x:c r="B51" s="60"/>
      <x:c r="C51" s="63"/>
      <x:c r="D51" s="63"/>
      <x:c r="E51" s="63"/>
      <x:c r="F51" s="67"/>
      <x:c r="G51" s="67"/>
      <x:c r="H51" s="67"/>
      <x:c r="I51" s="70"/>
      <x:c r="J51" s="70"/>
      <x:c r="K51" s="74"/>
      <x:c r="L51" s="75"/>
      <x:c r="M51" s="77"/>
      <x:c r="N51" s="78"/>
      <x:c r="O51" s="75" t="s">
        <x:v>321</x:v>
      </x:c>
      <x:c r="P51" s="60" t="str">
        <x:f>VLOOKUP(O51,ECR!E:L,8,FALSE())</x:f>
        <x:v>Zach Charbonnet</x:v>
      </x:c>
      <x:c r="Q51" s="63" t="str">
        <x:f>IFERROR(VLOOKUP(Aggregate!$P51,ECR!C:F,2,FALSE()),"-")</x:f>
        <x:v>SEA</x:v>
      </x:c>
      <x:c r="R51" s="63" t="n">
        <x:f>IFERROR(VLOOKUP(Aggregate!$P51,ECR!C:F,4,FALSE()),"-")</x:f>
        <x:v>11</x:v>
      </x:c>
      <x:c r="S51" s="63" t="str">
        <x:f>Aggregate!$Q51 &amp; "/" &amp; Aggregate!$R51</x:f>
        <x:v>SEA/11</x:v>
      </x:c>
      <x:c r="T51" s="67" t="n">
        <x:f>IFERROR(VLOOKUP(Aggregate!$P51,RB!A:Q,13,FALSE())/17*(16-Aggregate!$AA51),0)</x:f>
        <x:v>66.65237647058824</x:v>
      </x:c>
      <x:c r="U51" s="67" t="n">
        <x:f>IFERROR(VLOOKUP(Aggregate!$P51,RB!A:Q,14,FALSE())/17*(16-Aggregate!$AA51),0)</x:f>
        <x:v>84.03995294117647</x:v>
      </x:c>
      <x:c r="V51" s="67" t="n">
        <x:f>IFERROR(VLOOKUP(Aggregate!$P51,RB!A:Q,15,FALSE())/17*(16-Aggregate!$AA51),0)</x:f>
        <x:v>95.97347764705881</x:v>
      </x:c>
      <x:c r="W51" s="70" t="n">
        <x:f>AVERAGE(Aggregate!$T51,Aggregate!$U51,Aggregate!$V51,VLOOKUP(Aggregate!$P51,ECR!L:N,3,FALSE))</x:f>
        <x:v>81.24605176470588</x:v>
      </x:c>
      <x:c r="X51" s="70" t="n">
        <x:f>Aggregate!$W51-$Q$1</x:f>
        <x:v>-48.754277360294125</x:v>
      </x:c>
      <x:c r="Y51" s="74" t="n">
        <x:f>MAX(Aggregate!$X51*Scoring!$B$48+1,1)</x:f>
        <x:v>1</x:v>
      </x:c>
      <x:c r="Z51" s="75" t="n">
        <x:f>VLOOKUP(Aggregate!$X51,BM:BO,3,FALSE)</x:f>
        <x:v>8</x:v>
      </x:c>
      <x:c r="AA51" s="77" t="n">
        <x:f t="array" ref="AA51">VLOOKUP(INDEX(ECR!$E:$E,MATCH(P51,ECR!$C:$C,0)),RISK!A:B,2,FALSE())</x:f>
        <x:v>3.368</x:v>
      </x:c>
      <x:c r="AB51" s="78"/>
      <x:c r="AC51" s="63" t="s">
        <x:v>322</x:v>
      </x:c>
      <x:c r="AD51" s="63" t="str">
        <x:f>VLOOKUP(AC51,ECR!E:L,8,FALSE())</x:f>
        <x:v>Xavier Worthy</x:v>
      </x:c>
      <x:c r="AE51" s="63" t="str">
        <x:f>IFERROR(VLOOKUP(Aggregate!$AD51,ECR!C:F,2,FALSE()),"-")</x:f>
        <x:v>KC</x:v>
      </x:c>
      <x:c r="AF51" s="63" t="n">
        <x:f>IFERROR(VLOOKUP(Aggregate!$AD51,ECR!C:F,4,FALSE()),"-")</x:f>
        <x:v>5</x:v>
      </x:c>
      <x:c r="AG51" s="63" t="str">
        <x:f>Aggregate!$AE51 &amp; "/" &amp; Aggregate!$AF51</x:f>
        <x:v>KC/5</x:v>
      </x:c>
      <x:c r="AH51" s="67" t="n">
        <x:f>IFERROR(VLOOKUP(Aggregate!$AD51,WR!A:Q,13,FALSE())/17*(16-Aggregate!$AO51),0)</x:f>
        <x:v>90.8029411764706</x:v>
      </x:c>
      <x:c r="AI51" s="67" t="n">
        <x:f>IFERROR(VLOOKUP(Aggregate!$AD51,WR!A:Q,14,FALSE())/17*(16-Aggregate!$AO51),0)</x:f>
        <x:v>101.30135294117646</x:v>
      </x:c>
      <x:c r="AJ51" s="67" t="n">
        <x:f>IFERROR(VLOOKUP(Aggregate!$AD51,WR!A:Q,15,FALSE())/17*(16-Aggregate!$AO51),0)</x:f>
        <x:v>112.59564705882354</x:v>
      </x:c>
      <x:c r="AK51" s="70" t="n">
        <x:f>AVERAGE(Aggregate!$AH51,Aggregate!$AI51,Aggregate!$AJ51,VLOOKUP(Aggregate!$AD51,ECR!L:N,3,FALSE))</x:f>
        <x:v>101.42435294411764</x:v>
      </x:c>
      <x:c r="AL51" s="70" t="n">
        <x:f>Aggregate!$AK51-$AE$1</x:f>
        <x:v>-0.7705588132352972</x:v>
      </x:c>
      <x:c r="AM51" s="74" t="n">
        <x:f>MAX(Aggregate!$AL51*Scoring!$B$48+1,1)</x:f>
        <x:v>1</x:v>
      </x:c>
      <x:c r="AN51" s="75" t="n">
        <x:f>VLOOKUP(Aggregate!$AL51,BR:BT,3,FALSE)</x:f>
        <x:v>5</x:v>
      </x:c>
      <x:c r="AO51" s="77" t="n">
        <x:f t="array" ref="AO51">VLOOKUP(INDEX(ECR!$E:$E,MATCH(AD51,ECR!$C:$C,0)),RISK!A:B,2,FALSE())</x:f>
        <x:v>3.7</x:v>
      </x:c>
      <x:c r="AP51" s="78"/>
      <x:c r="AQ51" s="87" t="s">
        <x:v>323</x:v>
      </x:c>
      <x:c r="AR51" s="87" t="str">
        <x:f>VLOOKUP(AQ51,ECR!E:L,8,FALSE())</x:f>
        <x:v>Noah Gray</x:v>
      </x:c>
      <x:c r="AS51" s="87" t="str">
        <x:f>IFERROR(VLOOKUP(Aggregate!$AR51,ECR!C:F,2,FALSE()),"-")</x:f>
        <x:v>KC</x:v>
      </x:c>
      <x:c r="AT51" s="87" t="n">
        <x:f>IFERROR(VLOOKUP(Aggregate!$AR51,ECR!C:F,4,FALSE()),"-")</x:f>
        <x:v>5</x:v>
      </x:c>
      <x:c r="AU51" s="87" t="str">
        <x:f>Aggregate!$AS51 &amp; "/" &amp; Aggregate!$AT51</x:f>
        <x:v>KC/5</x:v>
      </x:c>
      <x:c r="AV51" s="67" t="n">
        <x:f>IFERROR(VLOOKUP(Aggregate!$AR51,TE!A:K,9,FALSE())/17*(16-Aggregate!$BC51),0)</x:f>
        <x:v>22.17113294117647</x:v>
      </x:c>
      <x:c r="AW51" s="67" t="n">
        <x:f>IFERROR(VLOOKUP(Aggregate!$AR51,TE!A:K,10,FALSE())/17*(16-Aggregate!$BC51),0)</x:f>
        <x:v>32.95621152941176</x:v>
      </x:c>
      <x:c r="AX51" s="67" t="n">
        <x:f>IFERROR(VLOOKUP(Aggregate!$AR51,TE!A:K,11,FALSE())/17*(16-Aggregate!$BC51),0)</x:f>
        <x:v>41.64599623529412</x:v>
      </x:c>
      <x:c r="AY51" s="70" t="n">
        <x:f>AVERAGE(Aggregate!$AV51,Aggregate!$AW51,Aggregate!$AX51,VLOOKUP(Aggregate!$AR51,ECR!L:N,3,FALSE))</x:f>
        <x:v>27.931160793970587</x:v>
      </x:c>
      <x:c r="AZ51" s="70" t="n">
        <x:f>Aggregate!$AY51-$AS$1</x:f>
        <x:v>-77.5303778177941</x:v>
      </x:c>
      <x:c r="BA51" s="74" t="n">
        <x:f>MAX(Aggregate!$AZ51*Scoring!$B$48+1,1)</x:f>
        <x:v>1</x:v>
      </x:c>
      <x:c r="BB51" s="67" t="n">
        <x:f>VLOOKUP(Aggregate!$AZ51,BW:BY,3,FALSE)</x:f>
        <x:v>10</x:v>
      </x:c>
      <x:c r="BC51" s="77" t="n">
        <x:f t="array" ref="BC51">VLOOKUP(INDEX(ECR!$E:$E,MATCH(AR51,ECR!$C:$C,0)),RISK!A:B,2,FALSE())</x:f>
        <x:v>2.1938</x:v>
      </x:c>
      <x:c r="BD51" s="67"/>
      <x:c r="BE51" s="78"/>
      <x:c r="BF51" s="78">
        <x:v>49.0</x:v>
      </x:c>
      <x:c r="BG51" s="78" t="str">
        <x:f t="shared" si="1"/>
      </x:c>
      <x:c r="BH51" s="78" t="str">
        <x:f>IFERROR(LARGE($J$3:$J$52,49),"")</x:f>
      </x:c>
      <x:c r="BI51" s="78">
        <x:f t="shared" si="5"/>
        <x:v>-237.6552181</x:v>
      </x:c>
      <x:c r="BJ51" s="78">
        <x:f t="shared" si="6"/>
        <x:v>15</x:v>
      </x:c>
      <x:c r="BK51" s="89">
        <x:v>49.0</x:v>
      </x:c>
      <x:c r="BL51" s="78">
        <x:f t="shared" si="2"/>
        <x:v>78.3184</x:v>
      </x:c>
      <x:c r="BM51" s="90" t="n">
        <x:f>IFERROR(LARGE($X$3:$X$102,49),"")</x:f>
        <x:v>-53.907390300882355</x:v>
      </x:c>
      <x:c r="BN51" s="90">
        <x:f t="shared" si="7"/>
        <x:v>-20.25398794</x:v>
      </x:c>
      <x:c r="BO51" s="91">
        <x:f t="shared" si="8"/>
        <x:v>8</x:v>
      </x:c>
      <x:c r="BP51" s="90">
        <x:v>49.0</x:v>
      </x:c>
      <x:c r="BQ51" s="78">
        <x:f t="shared" si="3"/>
        <x:v>100.9974706</x:v>
      </x:c>
      <x:c r="BR51" s="90" t="n">
        <x:f>IFERROR(LARGE($AL$3:$AL$102,49),"")</x:f>
        <x:v>-0.8805352861764675</x:v>
      </x:c>
      <x:c r="BS51" s="90">
        <x:f t="shared" si="9"/>
        <x:v>19.0292711</x:v>
      </x:c>
      <x:c r="BT51" s="90">
        <x:f t="shared" si="10"/>
        <x:v>5</x:v>
      </x:c>
      <x:c r="BU51" s="78">
        <x:v>49.0</x:v>
      </x:c>
      <x:c r="BV51" s="78">
        <x:f t="shared" si="4"/>
        <x:v>14.95130247</x:v>
      </x:c>
      <x:c r="BW51" s="90" t="n">
        <x:f>IFERROR(LARGE($AZ$3:$AZ$52,49),"")</x:f>
        <x:v>-82.65694472838234</x:v>
      </x:c>
      <x:c r="BX51" s="90">
        <x:f t="shared" si="11"/>
        <x:v>-74.57427828</x:v>
      </x:c>
      <x:c r="BY51" s="90">
        <x:f t="shared" si="12"/>
        <x:v>10</x:v>
      </x:c>
      <x:c r="BZ51" s="90"/>
      <x:c r="CA51" s="90"/>
      <x:c r="CB51" s="90"/>
      <x:c r="CC51" s="90"/>
      <x:c r="CD51" s="90"/>
      <x:c r="CE51" s="90"/>
      <x:c r="CF51" s="90"/>
      <x:c r="CG51" s="90"/>
    </x:row>
    <x:row r="52" ht="14.25" customHeight="1">
      <x:c r="A52" s="60"/>
      <x:c r="B52" s="60"/>
      <x:c r="C52" s="63"/>
      <x:c r="D52" s="63"/>
      <x:c r="E52" s="63"/>
      <x:c r="F52" s="67"/>
      <x:c r="G52" s="67"/>
      <x:c r="H52" s="67"/>
      <x:c r="I52" s="70"/>
      <x:c r="J52" s="70"/>
      <x:c r="K52" s="74"/>
      <x:c r="L52" s="75"/>
      <x:c r="M52" s="77"/>
      <x:c r="N52" s="78"/>
      <x:c r="O52" s="75" t="s">
        <x:v>324</x:v>
      </x:c>
      <x:c r="P52" s="60" t="str">
        <x:f>VLOOKUP(O52,ECR!E:L,8,FALSE())</x:f>
        <x:v>Dylan Sampson</x:v>
      </x:c>
      <x:c r="Q52" s="63" t="str">
        <x:f>IFERROR(VLOOKUP(Aggregate!$P52,ECR!C:F,2,FALSE()),"-")</x:f>
        <x:v>CLE</x:v>
      </x:c>
      <x:c r="R52" s="63" t="n">
        <x:f>IFERROR(VLOOKUP(Aggregate!$P52,ECR!C:F,4,FALSE()),"-")</x:f>
        <x:v>11</x:v>
      </x:c>
      <x:c r="S52" s="63" t="str">
        <x:f>Aggregate!$Q52 &amp; "/" &amp; Aggregate!$R52</x:f>
        <x:v>CLE/11</x:v>
      </x:c>
      <x:c r="T52" s="67" t="n">
        <x:f>IFERROR(VLOOKUP(Aggregate!$P52,RB!A:Q,13,FALSE())/17*(16-Aggregate!$AA52),0)</x:f>
        <x:v>50.20105411764706</x:v>
      </x:c>
      <x:c r="U52" s="67" t="n">
        <x:f>IFERROR(VLOOKUP(Aggregate!$P52,RB!A:Q,14,FALSE())/17*(16-Aggregate!$AA52),0)</x:f>
        <x:v>67.3359905882353</x:v>
      </x:c>
      <x:c r="V52" s="67" t="n">
        <x:f>IFERROR(VLOOKUP(Aggregate!$P52,RB!A:Q,15,FALSE())/17*(16-Aggregate!$AA52),0)</x:f>
        <x:v>82.70244705882352</x:v>
      </x:c>
      <x:c r="W52" s="70" t="n">
        <x:f>AVERAGE(Aggregate!$T52,Aggregate!$U52,Aggregate!$V52,VLOOKUP(Aggregate!$P52,ECR!L:N,3,FALSE))</x:f>
        <x:v>69.55216352867647</x:v>
      </x:c>
      <x:c r="X52" s="70" t="n">
        <x:f>Aggregate!$W52-$Q$1</x:f>
        <x:v>-60.448165596323534</x:v>
      </x:c>
      <x:c r="Y52" s="74" t="n">
        <x:f>MAX(Aggregate!$X52*Scoring!$B$48+1,1)</x:f>
        <x:v>1</x:v>
      </x:c>
      <x:c r="Z52" s="75" t="n">
        <x:f>VLOOKUP(Aggregate!$X52,BM:BO,3,FALSE)</x:f>
        <x:v>8</x:v>
      </x:c>
      <x:c r="AA52" s="77" t="n">
        <x:f t="array" ref="AA52">VLOOKUP(INDEX(ECR!$E:$E,MATCH(P52,ECR!$C:$C,0)),RISK!A:B,2,FALSE())</x:f>
        <x:v>3.368</x:v>
      </x:c>
      <x:c r="AB52" s="78"/>
      <x:c r="AC52" s="63" t="s">
        <x:v>325</x:v>
      </x:c>
      <x:c r="AD52" s="63" t="str">
        <x:f>VLOOKUP(AC52,ECR!E:L,8,FALSE())</x:f>
        <x:v>Jalen Coker</x:v>
      </x:c>
      <x:c r="AE52" s="63" t="str">
        <x:f>IFERROR(VLOOKUP(Aggregate!$AD52,ECR!C:F,2,FALSE()),"-")</x:f>
        <x:v>CAR</x:v>
      </x:c>
      <x:c r="AF52" s="63" t="n">
        <x:f>IFERROR(VLOOKUP(Aggregate!$AD52,ECR!C:F,4,FALSE()),"-")</x:f>
        <x:v>5</x:v>
      </x:c>
      <x:c r="AG52" s="63" t="str">
        <x:f>Aggregate!$AE52 &amp; "/" &amp; Aggregate!$AF52</x:f>
        <x:v>CAR/5</x:v>
      </x:c>
      <x:c r="AH52" s="67" t="n">
        <x:f>IFERROR(VLOOKUP(Aggregate!$AD52,WR!A:Q,13,FALSE())/17*(16-Aggregate!$AO52),0)</x:f>
        <x:v>83.13352941176471</x:v>
      </x:c>
      <x:c r="AI52" s="67" t="n">
        <x:f>IFERROR(VLOOKUP(Aggregate!$AD52,WR!A:Q,14,FALSE())/17*(16-Aggregate!$AO52),0)</x:f>
        <x:v>92.28617647058825</x:v>
      </x:c>
      <x:c r="AJ52" s="67" t="n">
        <x:f>IFERROR(VLOOKUP(Aggregate!$AD52,WR!A:Q,15,FALSE())/17*(16-Aggregate!$AO52),0)</x:f>
        <x:v>101.43882352941176</x:v>
      </x:c>
      <x:c r="AK52" s="70" t="n">
        <x:f>AVERAGE(Aggregate!$AH52,Aggregate!$AI52,Aggregate!$AJ52,VLOOKUP(Aggregate!$AD52,ECR!L:N,3,FALSE))</x:f>
        <x:v>94.44048530294118</x:v>
      </x:c>
      <x:c r="AL52" s="70" t="n">
        <x:f>Aggregate!$AK52-$AE$1</x:f>
        <x:v>-7.754426454411757</x:v>
      </x:c>
      <x:c r="AM52" s="74" t="n">
        <x:f>MAX(Aggregate!$AL52*Scoring!$B$48+1,1)</x:f>
        <x:v>1</x:v>
      </x:c>
      <x:c r="AN52" s="75" t="n">
        <x:f>VLOOKUP(Aggregate!$AL52,BR:BT,3,FALSE)</x:f>
        <x:v>6</x:v>
      </x:c>
      <x:c r="AO52" s="77" t="n">
        <x:f t="array" ref="AO52">VLOOKUP(INDEX(ECR!$E:$E,MATCH(AD52,ECR!$C:$C,0)),RISK!A:B,2,FALSE())</x:f>
        <x:v>3.7</x:v>
      </x:c>
      <x:c r="AP52" s="78"/>
      <x:c r="AQ52" s="87" t="s">
        <x:v>326</x:v>
      </x:c>
      <x:c r="AR52" s="87" t="str">
        <x:f>VLOOKUP(AQ52,ECR!E:L,8,FALSE())</x:f>
        <x:v>Max Klare</x:v>
      </x:c>
      <x:c r="AS52" s="87" t="str">
        <x:f>IFERROR(VLOOKUP(Aggregate!$AR52,ECR!C:F,2,FALSE()),"-")</x:f>
        <x:v>LAR</x:v>
      </x:c>
      <x:c r="AT52" s="87" t="n">
        <x:f>IFERROR(VLOOKUP(Aggregate!$AR52,ECR!C:F,4,FALSE()),"-")</x:f>
        <x:v>11</x:v>
      </x:c>
      <x:c r="AU52" s="87" t="str">
        <x:f>Aggregate!$AS52 &amp; "/" &amp; Aggregate!$AT52</x:f>
        <x:v>LAR/11</x:v>
      </x:c>
      <x:c r="AV52" s="67" t="n">
        <x:f>IFERROR(VLOOKUP(Aggregate!$AR52,TE!A:K,9,FALSE())/17*(16-Aggregate!$BC52),0)</x:f>
        <x:v>6.675703764705883</x:v>
      </x:c>
      <x:c r="AW52" s="67" t="n">
        <x:f>IFERROR(VLOOKUP(Aggregate!$AR52,TE!A:K,10,FALSE())/17*(16-Aggregate!$BC52),0)</x:f>
        <x:v>13.36765011764706</x:v>
      </x:c>
      <x:c r="AX52" s="67" t="n">
        <x:f>IFERROR(VLOOKUP(Aggregate!$AR52,TE!A:K,11,FALSE())/17*(16-Aggregate!$BC52),0)</x:f>
        <x:v>20.059596470588236</x:v>
      </x:c>
      <x:c r="AY52" s="70" t="n">
        <x:f>AVERAGE(Aggregate!$AV52,Aggregate!$AW52,Aggregate!$AX52,VLOOKUP(Aggregate!$AR52,ECR!L:N,3,FALSE))</x:f>
        <x:v>13.367650118235295</x:v>
      </x:c>
      <x:c r="AZ52" s="70" t="n">
        <x:f>Aggregate!$AY52-$AS$1</x:f>
        <x:v>-92.0938884935294</x:v>
      </x:c>
      <x:c r="BA52" s="74" t="n">
        <x:f>MAX(Aggregate!$AZ52*Scoring!$B$48+1,1)</x:f>
        <x:v>1</x:v>
      </x:c>
      <x:c r="BB52" s="67" t="n">
        <x:f>VLOOKUP(Aggregate!$AZ52,BW:BY,3,FALSE)</x:f>
        <x:v>11</x:v>
      </x:c>
      <x:c r="BC52" s="77" t="n">
        <x:f t="array" ref="BC52">VLOOKUP(INDEX(ECR!$E:$E,MATCH(AR52,ECR!$C:$C,0)),RISK!A:B,2,FALSE())</x:f>
        <x:v>2.1938</x:v>
      </x:c>
      <x:c r="BD52" s="67"/>
      <x:c r="BE52" s="78"/>
      <x:c r="BF52" s="78">
        <x:v>50.0</x:v>
      </x:c>
      <x:c r="BG52" s="78" t="str">
        <x:f t="shared" si="1"/>
      </x:c>
      <x:c r="BH52" s="78" t="str">
        <x:f>IFERROR(LARGE($J$3:$J$52,50),"")</x:f>
      </x:c>
      <x:c r="BI52" s="78">
        <x:f t="shared" si="5"/>
        <x:v>-237.6552181</x:v>
      </x:c>
      <x:c r="BJ52" s="78">
        <x:f t="shared" si="6"/>
        <x:v>15</x:v>
      </x:c>
      <x:c r="BK52" s="89">
        <x:v>50.0</x:v>
      </x:c>
      <x:c r="BL52" s="78">
        <x:f t="shared" si="2"/>
        <x:v>77.96916235</x:v>
      </x:c>
      <x:c r="BM52" s="90" t="n">
        <x:f>IFERROR(LARGE($X$3:$X$102,50),"")</x:f>
        <x:v>-54.63930324294118</x:v>
      </x:c>
      <x:c r="BN52" s="90">
        <x:f t="shared" si="7"/>
        <x:v>-20.25398794</x:v>
      </x:c>
      <x:c r="BO52" s="91">
        <x:f t="shared" si="8"/>
        <x:v>8</x:v>
      </x:c>
      <x:c r="BP52" s="90">
        <x:v>50.0</x:v>
      </x:c>
      <x:c r="BQ52" s="78">
        <x:f t="shared" si="3"/>
        <x:v>100.9034118</x:v>
      </x:c>
      <x:c r="BR52" s="90" t="n">
        <x:f>IFERROR(LARGE($AL$3:$AL$102,50),"")</x:f>
        <x:v>-2.6119411680882365</x:v>
      </x:c>
      <x:c r="BS52" s="90">
        <x:f t="shared" si="9"/>
        <x:v>-1.731405882</x:v>
      </x:c>
      <x:c r="BT52" s="90">
        <x:f t="shared" si="10"/>
        <x:v>6</x:v>
      </x:c>
      <x:c r="BU52" s="78">
        <x:v>50.0</x:v>
      </x:c>
      <x:c r="BV52" s="78">
        <x:f t="shared" si="4"/>
        <x:v>13.36765012</x:v>
      </x:c>
      <x:c r="BW52" s="90" t="n">
        <x:f>IFERROR(LARGE($AZ$3:$AZ$52,50),"")</x:f>
        <x:v>-92.0938884935294</x:v>
      </x:c>
      <x:c r="BX52" s="90">
        <x:f t="shared" si="11"/>
        <x:v>-91.95790834</x:v>
      </x:c>
      <x:c r="BY52" s="90">
        <x:f t="shared" si="12"/>
        <x:v>11</x:v>
      </x:c>
      <x:c r="BZ52" s="90"/>
      <x:c r="CA52" s="90"/>
      <x:c r="CB52" s="90"/>
      <x:c r="CC52" s="90"/>
      <x:c r="CD52" s="90"/>
      <x:c r="CE52" s="90"/>
      <x:c r="CF52" s="90"/>
      <x:c r="CG52" s="90"/>
    </x:row>
    <x:row r="53" ht="14.25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120"/>
      <x:c r="M53" s="3"/>
      <x:c r="N53" s="120"/>
      <x:c r="O53" s="75" t="s">
        <x:v>327</x:v>
      </x:c>
      <x:c r="P53" s="60" t="str">
        <x:f>VLOOKUP(O53,ECR!E:L,8,FALSE())</x:f>
        <x:v>Tyrone Tracy Jr.</x:v>
      </x:c>
      <x:c r="Q53" s="63" t="str">
        <x:f>IFERROR(VLOOKUP(Aggregate!$P53,ECR!C:F,2,FALSE()),"-")</x:f>
        <x:v>NYG</x:v>
      </x:c>
      <x:c r="R53" s="63" t="n">
        <x:f>IFERROR(VLOOKUP(Aggregate!$P53,ECR!C:F,4,FALSE()),"-")</x:f>
        <x:v>8</x:v>
      </x:c>
      <x:c r="S53" s="63" t="str">
        <x:f>Aggregate!$Q53 &amp; "/" &amp; Aggregate!$R53</x:f>
        <x:v>NYG/8</x:v>
      </x:c>
      <x:c r="T53" s="67" t="n">
        <x:f>IFERROR(VLOOKUP(Aggregate!$P53,RB!A:Q,13,FALSE())/17*(16-Aggregate!$AA53),0)</x:f>
        <x:v>42.68129882352941</x:v>
      </x:c>
      <x:c r="U53" s="67" t="n">
        <x:f>IFERROR(VLOOKUP(Aggregate!$P53,RB!A:Q,14,FALSE())/17*(16-Aggregate!$AA53),0)</x:f>
        <x:v>67.49203294117646</x:v>
      </x:c>
      <x:c r="V53" s="67" t="n">
        <x:f>IFERROR(VLOOKUP(Aggregate!$P53,RB!A:Q,15,FALSE())/17*(16-Aggregate!$AA53),0)</x:f>
        <x:v>92.88235294117646</x:v>
      </x:c>
      <x:c r="W53" s="70" t="n">
        <x:f>AVERAGE(Aggregate!$T53,Aggregate!$U53,Aggregate!$V53,VLOOKUP(Aggregate!$P53,ECR!L:N,3,FALSE))</x:f>
        <x:v>68.53417294147059</x:v>
      </x:c>
      <x:c r="X53" s="70" t="n">
        <x:f>Aggregate!$W53-$Q$1</x:f>
        <x:v>-61.46615618352942</x:v>
      </x:c>
      <x:c r="Y53" s="74" t="n">
        <x:f>MAX(Aggregate!$X53*Scoring!$B$48+1,1)</x:f>
        <x:v>1</x:v>
      </x:c>
      <x:c r="Z53" s="75" t="n">
        <x:f>VLOOKUP(Aggregate!$X53,BM:BO,3,FALSE)</x:f>
        <x:v>8</x:v>
      </x:c>
      <x:c r="AA53" s="77" t="n">
        <x:f t="array" ref="AA53">VLOOKUP(INDEX(ECR!$E:$E,MATCH(P53,ECR!$C:$C,0)),RISK!A:B,2,FALSE())</x:f>
        <x:v>3.368</x:v>
      </x:c>
      <x:c r="AB53" s="78"/>
      <x:c r="AC53" s="63" t="s">
        <x:v>328</x:v>
      </x:c>
      <x:c r="AD53" s="63" t="str">
        <x:f>VLOOKUP(AC53,ECR!E:L,8,FALSE())</x:f>
        <x:v>Matthew Golden</x:v>
      </x:c>
      <x:c r="AE53" s="63" t="str">
        <x:f>IFERROR(VLOOKUP(Aggregate!$AD53,ECR!C:F,2,FALSE()),"-")</x:f>
        <x:v>GB</x:v>
      </x:c>
      <x:c r="AF53" s="63" t="n">
        <x:f>IFERROR(VLOOKUP(Aggregate!$AD53,ECR!C:F,4,FALSE()),"-")</x:f>
        <x:v>11</x:v>
      </x:c>
      <x:c r="AG53" s="63" t="str">
        <x:f>Aggregate!$AE53 &amp; "/" &amp; Aggregate!$AF53</x:f>
        <x:v>GB/11</x:v>
      </x:c>
      <x:c r="AH53" s="67" t="n">
        <x:f>IFERROR(VLOOKUP(Aggregate!$AD53,WR!A:Q,13,FALSE())/17*(16-Aggregate!$AO53),0)</x:f>
        <x:v>84.14647058823529</x:v>
      </x:c>
      <x:c r="AI53" s="67" t="n">
        <x:f>IFERROR(VLOOKUP(Aggregate!$AD53,WR!A:Q,14,FALSE())/17*(16-Aggregate!$AO53),0)</x:f>
        <x:v>96.91676470588236</x:v>
      </x:c>
      <x:c r="AJ53" s="67" t="n">
        <x:f>IFERROR(VLOOKUP(Aggregate!$AD53,WR!A:Q,15,FALSE())/17*(16-Aggregate!$AO53),0)</x:f>
        <x:v>113.78223529411764</x:v>
      </x:c>
      <x:c r="AK53" s="70" t="n">
        <x:f>AVERAGE(Aggregate!$AH53,Aggregate!$AI53,Aggregate!$AJ53,VLOOKUP(Aggregate!$AD53,ECR!L:N,3,FALSE))</x:f>
        <x:v>98.09973529455883</x:v>
      </x:c>
      <x:c r="AL53" s="70" t="n">
        <x:f>Aggregate!$AK53-$AE$1</x:f>
        <x:v>-4.0951764627941145</x:v>
      </x:c>
      <x:c r="AM53" s="74" t="n">
        <x:f>MAX(Aggregate!$AL53*Scoring!$B$48+1,1)</x:f>
        <x:v>1</x:v>
      </x:c>
      <x:c r="AN53" s="75" t="n">
        <x:f>VLOOKUP(Aggregate!$AL53,BR:BT,3,FALSE)</x:f>
        <x:v>6</x:v>
      </x:c>
      <x:c r="AO53" s="77" t="n">
        <x:f t="array" ref="AO53">VLOOKUP(INDEX(ECR!$E:$E,MATCH(AD53,ECR!$C:$C,0)),RISK!A:B,2,FALSE())</x:f>
        <x:v>3.7</x:v>
      </x:c>
      <x:c r="AP53" s="78"/>
      <x:c r="AQ53" s="87" t="s">
        <x:v>329</x:v>
      </x:c>
      <x:c r="AR53" s="3"/>
      <x:c r="AS53" s="120"/>
      <x:c r="AT53" s="3"/>
      <x:c r="AU53" s="3"/>
      <x:c r="AV53" s="3"/>
      <x:c r="AW53" s="3"/>
      <x:c r="AX53" s="3"/>
      <x:c r="AY53" s="3"/>
      <x:c r="AZ53" s="3"/>
      <x:c r="BA53" s="3"/>
      <x:c r="BB53" s="120"/>
      <x:c r="BC53" s="3"/>
      <x:c r="BD53" s="3"/>
      <x:c r="BE53" s="120"/>
      <x:c r="BF53" s="78">
        <x:v>51.0</x:v>
      </x:c>
      <x:c r="BG53" s="78" t="str">
        <x:f t="shared" si="1"/>
      </x:c>
      <x:c r="BH53" s="78"/>
      <x:c r="BI53" s="78"/>
      <x:c r="BJ53" s="78"/>
      <x:c r="BK53" s="89">
        <x:v>51.0</x:v>
      </x:c>
      <x:c r="BL53" s="78">
        <x:f t="shared" si="2"/>
        <x:v>71.08100706</x:v>
      </x:c>
      <x:c r="BM53" s="90" t="n">
        <x:f>IFERROR(LARGE($X$3:$X$102,51),"")</x:f>
        <x:v>-58.33416324250001</x:v>
      </x:c>
      <x:c r="BN53" s="90">
        <x:f t="shared" si="7"/>
        <x:v>-20.25398794</x:v>
      </x:c>
      <x:c r="BO53" s="91">
        <x:f t="shared" si="8"/>
        <x:v>8</x:v>
      </x:c>
      <x:c r="BP53" s="90">
        <x:v>51.0</x:v>
      </x:c>
      <x:c r="BQ53" s="78">
        <x:f t="shared" si="3"/>
        <x:v>97.55347059</x:v>
      </x:c>
      <x:c r="BR53" s="90" t="n">
        <x:f>IFERROR(LARGE($AL$3:$AL$102,51),"")</x:f>
        <x:v>-3.8527941191176325</x:v>
      </x:c>
      <x:c r="BS53" s="90">
        <x:f t="shared" si="9"/>
        <x:v>-1.731405882</x:v>
      </x:c>
      <x:c r="BT53" s="90">
        <x:f t="shared" si="10"/>
        <x:v>6</x:v>
      </x:c>
      <x:c r="BU53" s="78">
        <x:v>51.0</x:v>
      </x:c>
      <x:c r="BV53" s="78" t="str">
        <x:f t="shared" si="4"/>
      </x:c>
      <x:c r="BW53" s="90"/>
      <x:c r="BX53" s="90"/>
      <x:c r="BY53" s="90" t="n">
        <x:f t="array" ref="BY53">IFERROR(VALUE(RIGHT(INDEX(ECR!$E:$E,MATCH(P53,ECR!$C:$C,0)),LEN(INDEX(ECR!$E:$E,MATCH(P53,ECR!$C:$C,0)))-2)),"")</x:f>
        <x:v>51</x:v>
      </x:c>
      <x:c r="BZ53" s="90"/>
      <x:c r="CA53" s="90"/>
      <x:c r="CB53" s="90"/>
      <x:c r="CC53" s="90"/>
      <x:c r="CD53" s="90"/>
      <x:c r="CE53" s="90"/>
      <x:c r="CF53" s="90"/>
      <x:c r="CG53" s="90"/>
    </x:row>
    <x:row r="54" ht="14.25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120"/>
      <x:c r="M54" s="3"/>
      <x:c r="N54" s="120"/>
      <x:c r="O54" s="75" t="s">
        <x:v>330</x:v>
      </x:c>
      <x:c r="P54" s="60" t="str">
        <x:f>VLOOKUP(O54,ECR!E:L,8,FALSE())</x:f>
        <x:v>Alvin Kamara</x:v>
      </x:c>
      <x:c r="Q54" s="63" t="str">
        <x:f>IFERROR(VLOOKUP(Aggregate!$P54,ECR!C:F,2,FALSE()),"-")</x:f>
        <x:v>NO</x:v>
      </x:c>
      <x:c r="R54" s="63" t="n">
        <x:f>IFERROR(VLOOKUP(Aggregate!$P54,ECR!C:F,4,FALSE()),"-")</x:f>
        <x:v>8</x:v>
      </x:c>
      <x:c r="S54" s="63" t="str">
        <x:f>Aggregate!$Q54 &amp; "/" &amp; Aggregate!$R54</x:f>
        <x:v>NO/8</x:v>
      </x:c>
      <x:c r="T54" s="67" t="n">
        <x:f>IFERROR(VLOOKUP(Aggregate!$P54,RB!A:Q,13,FALSE())/17*(16-Aggregate!$AA54),0)</x:f>
        <x:v>67.93786823529412</x:v>
      </x:c>
      <x:c r="U54" s="67" t="n">
        <x:f>IFERROR(VLOOKUP(Aggregate!$P54,RB!A:Q,14,FALSE())/17*(16-Aggregate!$AA54),0)</x:f>
        <x:v>77.96916235294118</x:v>
      </x:c>
      <x:c r="V54" s="67" t="n">
        <x:f>IFERROR(VLOOKUP(Aggregate!$P54,RB!A:Q,15,FALSE())/17*(16-Aggregate!$AA54),0)</x:f>
        <x:v>89.31567058823529</x:v>
      </x:c>
      <x:c r="W54" s="70" t="n">
        <x:f>AVERAGE(Aggregate!$T54,Aggregate!$U54,Aggregate!$V54,VLOOKUP(Aggregate!$P54,ECR!L:N,3,FALSE))</x:f>
        <x:v>76.09293882411765</x:v>
      </x:c>
      <x:c r="X54" s="70" t="n">
        <x:f>Aggregate!$W54-$Q$1</x:f>
        <x:v>-53.907390300882355</x:v>
      </x:c>
      <x:c r="Y54" s="74" t="n">
        <x:f>MAX(Aggregate!$X54*Scoring!$B$48+1,1)</x:f>
        <x:v>1</x:v>
      </x:c>
      <x:c r="Z54" s="75" t="n">
        <x:f>VLOOKUP(Aggregate!$X54,BM:BO,3,FALSE)</x:f>
        <x:v>8</x:v>
      </x:c>
      <x:c r="AA54" s="77" t="n">
        <x:f t="array" ref="AA54">VLOOKUP(INDEX(ECR!$E:$E,MATCH(P54,ECR!$C:$C,0)),RISK!A:B,2,FALSE())</x:f>
        <x:v>3.368</x:v>
      </x:c>
      <x:c r="AB54" s="78"/>
      <x:c r="AC54" s="63" t="s">
        <x:v>331</x:v>
      </x:c>
      <x:c r="AD54" s="63" t="str">
        <x:f>VLOOKUP(AC54,ECR!E:L,8,FALSE())</x:f>
        <x:v>Khalil Shakir</x:v>
      </x:c>
      <x:c r="AE54" s="63" t="str">
        <x:f>IFERROR(VLOOKUP(Aggregate!$AD54,ECR!C:F,2,FALSE()),"-")</x:f>
        <x:v>BUF</x:v>
      </x:c>
      <x:c r="AF54" s="63" t="n">
        <x:f>IFERROR(VLOOKUP(Aggregate!$AD54,ECR!C:F,4,FALSE()),"-")</x:f>
        <x:v>7</x:v>
      </x:c>
      <x:c r="AG54" s="63" t="str">
        <x:f>Aggregate!$AE54 &amp; "/" &amp; Aggregate!$AF54</x:f>
        <x:v>BUF/7</x:v>
      </x:c>
      <x:c r="AH54" s="67" t="n">
        <x:f>IFERROR(VLOOKUP(Aggregate!$AD54,WR!A:Q,13,FALSE())/17*(16-Aggregate!$AO54),0)</x:f>
        <x:v>85.73823529411766</x:v>
      </x:c>
      <x:c r="AI54" s="67" t="n">
        <x:f>IFERROR(VLOOKUP(Aggregate!$AD54,WR!A:Q,14,FALSE())/17*(16-Aggregate!$AO54),0)</x:f>
        <x:v>93.93582352941178</x:v>
      </x:c>
      <x:c r="AJ54" s="67" t="n">
        <x:f>IFERROR(VLOOKUP(Aggregate!$AD54,WR!A:Q,15,FALSE())/17*(16-Aggregate!$AO54),0)</x:f>
        <x:v>99.30441176470589</x:v>
      </x:c>
      <x:c r="AK54" s="70" t="n">
        <x:f>AVERAGE(Aggregate!$AH54,Aggregate!$AI54,Aggregate!$AJ54,VLOOKUP(Aggregate!$AD54,ECR!L:N,3,FALSE))</x:f>
        <x:v>93.97380882455883</x:v>
      </x:c>
      <x:c r="AL54" s="70" t="n">
        <x:f>Aggregate!$AK54-$AE$1</x:f>
        <x:v>-8.22110293279411</x:v>
      </x:c>
      <x:c r="AM54" s="74" t="n">
        <x:f>MAX(Aggregate!$AL54*Scoring!$B$48+1,1)</x:f>
        <x:v>1</x:v>
      </x:c>
      <x:c r="AN54" s="75" t="n">
        <x:f>VLOOKUP(Aggregate!$AL54,BR:BT,3,FALSE)</x:f>
        <x:v>6</x:v>
      </x:c>
      <x:c r="AO54" s="77" t="n">
        <x:f t="array" ref="AO54">VLOOKUP(INDEX(ECR!$E:$E,MATCH(AD54,ECR!$C:$C,0)),RISK!A:B,2,FALSE())</x:f>
        <x:v>3.7</x:v>
      </x:c>
      <x:c r="AP54" s="78"/>
      <x:c r="AQ54" s="87" t="s">
        <x:v>332</x:v>
      </x:c>
      <x:c r="AR54" s="3"/>
      <x:c r="AS54" s="120"/>
      <x:c r="AT54" s="3"/>
      <x:c r="AU54" s="3"/>
      <x:c r="AV54" s="3"/>
      <x:c r="AW54" s="3"/>
      <x:c r="AX54" s="3"/>
      <x:c r="AY54" s="3"/>
      <x:c r="AZ54" s="3"/>
      <x:c r="BA54" s="3"/>
      <x:c r="BB54" s="120"/>
      <x:c r="BC54" s="3"/>
      <x:c r="BD54" s="3"/>
      <x:c r="BE54" s="120"/>
      <x:c r="BF54" s="78">
        <x:v>52.0</x:v>
      </x:c>
      <x:c r="BG54" s="78" t="str">
        <x:f t="shared" si="1"/>
      </x:c>
      <x:c r="BH54" s="78"/>
      <x:c r="BI54" s="78"/>
      <x:c r="BJ54" s="78"/>
      <x:c r="BK54" s="89">
        <x:v>52.0</x:v>
      </x:c>
      <x:c r="BL54" s="78">
        <x:f t="shared" si="2"/>
        <x:v>69.14905412</x:v>
      </x:c>
      <x:c r="BM54" s="90" t="n">
        <x:f>IFERROR(LARGE($X$3:$X$102,52),"")</x:f>
        <x:v>-60.448165596323534</x:v>
      </x:c>
      <x:c r="BN54" s="90">
        <x:f t="shared" si="7"/>
        <x:v>-20.25398794</x:v>
      </x:c>
      <x:c r="BO54" s="91">
        <x:f t="shared" si="8"/>
        <x:v>8</x:v>
      </x:c>
      <x:c r="BP54" s="90">
        <x:v>52.0</x:v>
      </x:c>
      <x:c r="BQ54" s="78">
        <x:f t="shared" si="3"/>
        <x:v>96.91676471</x:v>
      </x:c>
      <x:c r="BR54" s="90" t="n">
        <x:f>IFERROR(LARGE($AL$3:$AL$102,52),"")</x:f>
        <x:v>-4.0951764627941145</x:v>
      </x:c>
      <x:c r="BS54" s="90">
        <x:f t="shared" si="9"/>
        <x:v>-1.731405882</x:v>
      </x:c>
      <x:c r="BT54" s="90">
        <x:f t="shared" si="10"/>
        <x:v>6</x:v>
      </x:c>
      <x:c r="BU54" s="78">
        <x:v>52.0</x:v>
      </x:c>
      <x:c r="BV54" s="78" t="str">
        <x:f t="shared" si="4"/>
      </x:c>
      <x:c r="BW54" s="90"/>
      <x:c r="BX54" s="90"/>
      <x:c r="BY54" s="90" t="n">
        <x:f t="array" ref="BY54">IFERROR(VALUE(RIGHT(INDEX(ECR!$E:$E,MATCH(P54,ECR!$C:$C,0)),LEN(INDEX(ECR!$E:$E,MATCH(P54,ECR!$C:$C,0)))-2)),"")</x:f>
        <x:v>52</x:v>
      </x:c>
      <x:c r="BZ54" s="90"/>
      <x:c r="CA54" s="90"/>
      <x:c r="CB54" s="90"/>
      <x:c r="CC54" s="90"/>
      <x:c r="CD54" s="90"/>
      <x:c r="CE54" s="90"/>
      <x:c r="CF54" s="90"/>
      <x:c r="CG54" s="90"/>
    </x:row>
    <x:row r="55" ht="14.25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120"/>
      <x:c r="M55" s="3"/>
      <x:c r="N55" s="120"/>
      <x:c r="O55" s="75" t="s">
        <x:v>333</x:v>
      </x:c>
      <x:c r="P55" s="60" t="str">
        <x:f>VLOOKUP(O55,ECR!E:L,8,FALSE())</x:f>
        <x:v>Isiah Pacheco</x:v>
      </x:c>
      <x:c r="Q55" s="63" t="str">
        <x:f>IFERROR(VLOOKUP(Aggregate!$P55,ECR!C:F,2,FALSE()),"-")</x:f>
        <x:v>DET</x:v>
      </x:c>
      <x:c r="R55" s="63" t="n">
        <x:f>IFERROR(VLOOKUP(Aggregate!$P55,ECR!C:F,4,FALSE()),"-")</x:f>
        <x:v>6</x:v>
      </x:c>
      <x:c r="S55" s="63" t="str">
        <x:f>Aggregate!$Q55 &amp; "/" &amp; Aggregate!$R55</x:f>
        <x:v>DET/6</x:v>
      </x:c>
      <x:c r="T55" s="67" t="n">
        <x:f>IFERROR(VLOOKUP(Aggregate!$P55,RB!A:Q,13,FALSE())/17*(16-Aggregate!$AA55),0)</x:f>
        <x:v>63.10055529411764</x:v>
      </x:c>
      <x:c r="U55" s="67" t="n">
        <x:f>IFERROR(VLOOKUP(Aggregate!$P55,RB!A:Q,14,FALSE())/17*(16-Aggregate!$AA55),0)</x:f>
        <x:v>78.3184</x:v>
      </x:c>
      <x:c r="V55" s="67" t="n">
        <x:f>IFERROR(VLOOKUP(Aggregate!$P55,RB!A:Q,15,FALSE())/17*(16-Aggregate!$AA55),0)</x:f>
        <x:v>92.53311529411765</x:v>
      </x:c>
      <x:c r="W55" s="70" t="n">
        <x:f>AVERAGE(Aggregate!$T55,Aggregate!$U55,Aggregate!$V55,VLOOKUP(Aggregate!$P55,ECR!L:N,3,FALSE))</x:f>
        <x:v>75.36102588205883</x:v>
      </x:c>
      <x:c r="X55" s="70" t="n">
        <x:f>Aggregate!$W55-$Q$1</x:f>
        <x:v>-54.63930324294118</x:v>
      </x:c>
      <x:c r="Y55" s="74" t="n">
        <x:f>MAX(Aggregate!$X55*Scoring!$B$48+1,1)</x:f>
        <x:v>1</x:v>
      </x:c>
      <x:c r="Z55" s="75" t="n">
        <x:f>VLOOKUP(Aggregate!$X55,BM:BO,3,FALSE)</x:f>
        <x:v>8</x:v>
      </x:c>
      <x:c r="AA55" s="77" t="n">
        <x:f t="array" ref="AA55">VLOOKUP(INDEX(ECR!$E:$E,MATCH(P55,ECR!$C:$C,0)),RISK!A:B,2,FALSE())</x:f>
        <x:v>3.368</x:v>
      </x:c>
      <x:c r="AB55" s="78"/>
      <x:c r="AC55" s="63" t="s">
        <x:v>334</x:v>
      </x:c>
      <x:c r="AD55" s="63" t="str">
        <x:f>VLOOKUP(AC55,ECR!E:L,8,FALSE())</x:f>
        <x:v>Jordyn Tyson</x:v>
      </x:c>
      <x:c r="AE55" s="63" t="str">
        <x:f>IFERROR(VLOOKUP(Aggregate!$AD55,ECR!C:F,2,FALSE()),"-")</x:f>
        <x:v>NO</x:v>
      </x:c>
      <x:c r="AF55" s="63" t="n">
        <x:f>IFERROR(VLOOKUP(Aggregate!$AD55,ECR!C:F,4,FALSE()),"-")</x:f>
        <x:v>8</x:v>
      </x:c>
      <x:c r="AG55" s="63" t="str">
        <x:f>Aggregate!$AE55 &amp; "/" &amp; Aggregate!$AF55</x:f>
        <x:v>NO/8</x:v>
      </x:c>
      <x:c r="AH55" s="67" t="n">
        <x:f>IFERROR(VLOOKUP(Aggregate!$AD55,WR!A:Q,13,FALSE())/17*(16-Aggregate!$AO55),0)</x:f>
        <x:v>81.65405647058824</x:v>
      </x:c>
      <x:c r="AI55" s="67" t="n">
        <x:f>IFERROR(VLOOKUP(Aggregate!$AD55,WR!A:Q,14,FALSE())/17*(16-Aggregate!$AO55),0)</x:f>
        <x:v>87.25417411764707</x:v>
      </x:c>
      <x:c r="AJ55" s="67" t="n">
        <x:f>IFERROR(VLOOKUP(Aggregate!$AD55,WR!A:Q,15,FALSE())/17*(16-Aggregate!$AO55),0)</x:f>
        <x:v>92.42017411764708</x:v>
      </x:c>
      <x:c r="AK55" s="70" t="n">
        <x:f>AVERAGE(Aggregate!$AH55,Aggregate!$AI55,Aggregate!$AJ55,VLOOKUP(Aggregate!$AD55,ECR!L:N,3,FALSE))</x:f>
        <x:v>89.5315552939706</x:v>
      </x:c>
      <x:c r="AL55" s="70" t="n">
        <x:f>Aggregate!$AK55-$AE$1</x:f>
        <x:v>-12.663356463382343</x:v>
      </x:c>
      <x:c r="AM55" s="74" t="n">
        <x:f>MAX(Aggregate!$AL55*Scoring!$B$48+1,1)</x:f>
        <x:v>1</x:v>
      </x:c>
      <x:c r="AN55" s="75" t="n">
        <x:f>VLOOKUP(Aggregate!$AL55,BR:BT,3,FALSE)</x:f>
        <x:v>6</x:v>
      </x:c>
      <x:c r="AO55" s="77" t="n">
        <x:f t="array" ref="AO55">VLOOKUP(INDEX(ECR!$E:$E,MATCH(AD55,ECR!$C:$C,0)),RISK!A:B,2,FALSE())</x:f>
        <x:v>3.7</x:v>
      </x:c>
      <x:c r="AP55" s="78"/>
      <x:c r="AQ55" s="87" t="s">
        <x:v>335</x:v>
      </x:c>
      <x:c r="AR55" s="3"/>
      <x:c r="AS55" s="120"/>
      <x:c r="AT55" s="3"/>
      <x:c r="AU55" s="3"/>
      <x:c r="AV55" s="3"/>
      <x:c r="AW55" s="3"/>
      <x:c r="AX55" s="3"/>
      <x:c r="AY55" s="3"/>
      <x:c r="AZ55" s="3"/>
      <x:c r="BA55" s="3"/>
      <x:c r="BB55" s="120"/>
      <x:c r="BC55" s="3"/>
      <x:c r="BD55" s="3"/>
      <x:c r="BE55" s="120"/>
      <x:c r="BF55" s="78">
        <x:v>53.0</x:v>
      </x:c>
      <x:c r="BG55" s="78" t="str">
        <x:f t="shared" si="1"/>
      </x:c>
      <x:c r="BH55" s="78"/>
      <x:c r="BI55" s="78"/>
      <x:c r="BJ55" s="78"/>
      <x:c r="BK55" s="89">
        <x:v>53.0</x:v>
      </x:c>
      <x:c r="BL55" s="78">
        <x:f t="shared" si="2"/>
        <x:v>67.49203294</x:v>
      </x:c>
      <x:c r="BM55" s="90" t="n">
        <x:f>IFERROR(LARGE($X$3:$X$102,53),"")</x:f>
        <x:v>-61.46615618352942</x:v>
      </x:c>
      <x:c r="BN55" s="90">
        <x:f t="shared" si="7"/>
        <x:v>-20.25398794</x:v>
      </x:c>
      <x:c r="BO55" s="91">
        <x:f t="shared" si="8"/>
        <x:v>8</x:v>
      </x:c>
      <x:c r="BP55" s="90">
        <x:v>53.0</x:v>
      </x:c>
      <x:c r="BQ55" s="78">
        <x:f t="shared" si="3"/>
        <x:v>96.79781647</x:v>
      </x:c>
      <x:c r="BR55" s="90" t="n">
        <x:f>IFERROR(LARGE($AL$3:$AL$102,53),"")</x:f>
        <x:v>-5.042999992058824</x:v>
      </x:c>
      <x:c r="BS55" s="90">
        <x:f t="shared" si="9"/>
        <x:v>-1.731405882</x:v>
      </x:c>
      <x:c r="BT55" s="90">
        <x:f t="shared" si="10"/>
        <x:v>6</x:v>
      </x:c>
      <x:c r="BU55" s="78">
        <x:v>53.0</x:v>
      </x:c>
      <x:c r="BV55" s="78" t="str">
        <x:f t="shared" si="4"/>
      </x:c>
      <x:c r="BW55" s="90"/>
      <x:c r="BX55" s="90"/>
      <x:c r="BY55" s="90" t="n">
        <x:f t="array" ref="BY55">IFERROR(VALUE(RIGHT(INDEX(ECR!$E:$E,MATCH(P55,ECR!$C:$C,0)),LEN(INDEX(ECR!$E:$E,MATCH(P55,ECR!$C:$C,0)))-2)),"")</x:f>
        <x:v>53</x:v>
      </x:c>
      <x:c r="BZ55" s="90"/>
      <x:c r="CA55" s="90"/>
      <x:c r="CB55" s="90"/>
      <x:c r="CC55" s="90"/>
      <x:c r="CD55" s="90"/>
      <x:c r="CE55" s="90"/>
      <x:c r="CF55" s="90"/>
      <x:c r="CG55" s="90"/>
    </x:row>
    <x:row r="56" ht="14.2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120"/>
      <x:c r="M56" s="3"/>
      <x:c r="N56" s="120"/>
      <x:c r="O56" s="75" t="s">
        <x:v>336</x:v>
      </x:c>
      <x:c r="P56" s="60" t="str">
        <x:f>VLOOKUP(O56,ECR!E:L,8,FALSE())</x:f>
        <x:v>Brian Robinson Jr.</x:v>
      </x:c>
      <x:c r="Q56" s="63" t="str">
        <x:f>IFERROR(VLOOKUP(Aggregate!$P56,ECR!C:F,2,FALSE()),"-")</x:f>
        <x:v>ATL</x:v>
      </x:c>
      <x:c r="R56" s="63" t="n">
        <x:f>IFERROR(VLOOKUP(Aggregate!$P56,ECR!C:F,4,FALSE()),"-")</x:f>
        <x:v>11</x:v>
      </x:c>
      <x:c r="S56" s="63" t="str">
        <x:f>Aggregate!$Q56 &amp; "/" &amp; Aggregate!$R56</x:f>
        <x:v>ATL/11</x:v>
      </x:c>
      <x:c r="T56" s="67" t="n">
        <x:f>IFERROR(VLOOKUP(Aggregate!$P56,RB!A:Q,13,FALSE())/17*(16-Aggregate!$AA56),0)</x:f>
        <x:v>57.51275294117648</x:v>
      </x:c>
      <x:c r="U56" s="67" t="n">
        <x:f>IFERROR(VLOOKUP(Aggregate!$P56,RB!A:Q,14,FALSE())/17*(16-Aggregate!$AA56),0)</x:f>
        <x:v>62.25346823529412</x:v>
      </x:c>
      <x:c r="V56" s="67" t="n">
        <x:f>IFERROR(VLOOKUP(Aggregate!$P56,RB!A:Q,15,FALSE())/17*(16-Aggregate!$AA56),0)</x:f>
        <x:v>67.72981176470589</x:v>
      </x:c>
      <x:c r="W56" s="70" t="n">
        <x:f>AVERAGE(Aggregate!$T56,Aggregate!$U56,Aggregate!$V56,VLOOKUP(Aggregate!$P56,ECR!L:N,3,FALSE))</x:f>
        <x:v>63.70800588279412</x:v>
      </x:c>
      <x:c r="X56" s="70" t="n">
        <x:f>Aggregate!$W56-$Q$1</x:f>
        <x:v>-66.2923232422059</x:v>
      </x:c>
      <x:c r="Y56" s="74" t="n">
        <x:f>MAX(Aggregate!$X56*Scoring!$B$48+1,1)</x:f>
        <x:v>1</x:v>
      </x:c>
      <x:c r="Z56" s="75" t="n">
        <x:f>VLOOKUP(Aggregate!$X56,BM:BO,3,FALSE)</x:f>
        <x:v>8</x:v>
      </x:c>
      <x:c r="AA56" s="77" t="n">
        <x:f t="array" ref="AA56">VLOOKUP(INDEX(ECR!$E:$E,MATCH(P56,ECR!$C:$C,0)),RISK!A:B,2,FALSE())</x:f>
        <x:v>3.368</x:v>
      </x:c>
      <x:c r="AB56" s="78"/>
      <x:c r="AC56" s="63" t="s">
        <x:v>337</x:v>
      </x:c>
      <x:c r="AD56" s="63" t="str">
        <x:f>VLOOKUP(AC56,ECR!E:L,8,FALSE())</x:f>
        <x:v>Romeo Doubs</x:v>
      </x:c>
      <x:c r="AE56" s="63" t="str">
        <x:f>IFERROR(VLOOKUP(Aggregate!$AD56,ECR!C:F,2,FALSE()),"-")</x:f>
        <x:v>NE</x:v>
      </x:c>
      <x:c r="AF56" s="63" t="n">
        <x:f>IFERROR(VLOOKUP(Aggregate!$AD56,ECR!C:F,4,FALSE()),"-")</x:f>
        <x:v>11</x:v>
      </x:c>
      <x:c r="AG56" s="63" t="str">
        <x:f>Aggregate!$AE56 &amp; "/" &amp; Aggregate!$AF56</x:f>
        <x:v>NE/11</x:v>
      </x:c>
      <x:c r="AH56" s="67" t="n">
        <x:f>IFERROR(VLOOKUP(Aggregate!$AD56,WR!A:Q,13,FALSE())/17*(16-Aggregate!$AO56),0)</x:f>
        <x:v>88.191</x:v>
      </x:c>
      <x:c r="AI56" s="67" t="n">
        <x:f>IFERROR(VLOOKUP(Aggregate!$AD56,WR!A:Q,14,FALSE())/17*(16-Aggregate!$AO56),0)</x:f>
        <x:v>97.5534705882353</x:v>
      </x:c>
      <x:c r="AJ56" s="67" t="n">
        <x:f>IFERROR(VLOOKUP(Aggregate!$AD56,WR!A:Q,15,FALSE())/17*(16-Aggregate!$AO56),0)</x:f>
        <x:v>106.57588235294119</x:v>
      </x:c>
      <x:c r="AK56" s="70" t="n">
        <x:f>AVERAGE(Aggregate!$AH56,Aggregate!$AI56,Aggregate!$AJ56,VLOOKUP(Aggregate!$AD56,ECR!L:N,3,FALSE))</x:f>
        <x:v>97.15191176529412</x:v>
      </x:c>
      <x:c r="AL56" s="70" t="n">
        <x:f>Aggregate!$AK56-$AE$1</x:f>
        <x:v>-5.042999992058824</x:v>
      </x:c>
      <x:c r="AM56" s="74" t="n">
        <x:f>MAX(Aggregate!$AL56*Scoring!$B$48+1,1)</x:f>
        <x:v>1</x:v>
      </x:c>
      <x:c r="AN56" s="75" t="n">
        <x:f>VLOOKUP(Aggregate!$AL56,BR:BT,3,FALSE)</x:f>
        <x:v>6</x:v>
      </x:c>
      <x:c r="AO56" s="77" t="n">
        <x:f t="array" ref="AO56">VLOOKUP(INDEX(ECR!$E:$E,MATCH(AD56,ECR!$C:$C,0)),RISK!A:B,2,FALSE())</x:f>
        <x:v>3.7</x:v>
      </x:c>
      <x:c r="AP56" s="78"/>
      <x:c r="AQ56" s="87" t="s">
        <x:v>338</x:v>
      </x:c>
      <x:c r="AR56" s="3"/>
      <x:c r="AS56" s="120"/>
      <x:c r="AT56" s="3"/>
      <x:c r="AU56" s="3"/>
      <x:c r="AV56" s="3"/>
      <x:c r="AW56" s="3"/>
      <x:c r="AX56" s="3"/>
      <x:c r="AY56" s="3"/>
      <x:c r="AZ56" s="3"/>
      <x:c r="BA56" s="3"/>
      <x:c r="BB56" s="120"/>
      <x:c r="BC56" s="3"/>
      <x:c r="BD56" s="3"/>
      <x:c r="BE56" s="120"/>
      <x:c r="BF56" s="78">
        <x:v>54.0</x:v>
      </x:c>
      <x:c r="BG56" s="78" t="str">
        <x:f t="shared" si="1"/>
      </x:c>
      <x:c r="BH56" s="78"/>
      <x:c r="BI56" s="78"/>
      <x:c r="BJ56" s="78"/>
      <x:c r="BK56" s="89">
        <x:v>54.0</x:v>
      </x:c>
      <x:c r="BL56" s="78">
        <x:f t="shared" si="2"/>
        <x:v>67.33599059</x:v>
      </x:c>
      <x:c r="BM56" s="90" t="n">
        <x:f>IFERROR(LARGE($X$3:$X$102,54),"")</x:f>
        <x:v>-63.00529850911765</x:v>
      </x:c>
      <x:c r="BN56" s="90">
        <x:f t="shared" si="7"/>
        <x:v>-20.25398794</x:v>
      </x:c>
      <x:c r="BO56" s="91">
        <x:f t="shared" si="8"/>
        <x:v>8</x:v>
      </x:c>
      <x:c r="BP56" s="90">
        <x:v>54.0</x:v>
      </x:c>
      <x:c r="BQ56" s="78">
        <x:f t="shared" si="3"/>
        <x:v>96.28729412</x:v>
      </x:c>
      <x:c r="BR56" s="90" t="n">
        <x:f>IFERROR(LARGE($AL$3:$AL$102,54),"")</x:f>
        <x:v>-5.152904102941179</x:v>
      </x:c>
      <x:c r="BS56" s="90">
        <x:f t="shared" si="9"/>
        <x:v>-1.731405882</x:v>
      </x:c>
      <x:c r="BT56" s="90">
        <x:f t="shared" si="10"/>
        <x:v>6</x:v>
      </x:c>
      <x:c r="BU56" s="78">
        <x:v>54.0</x:v>
      </x:c>
      <x:c r="BV56" s="78" t="str">
        <x:f t="shared" si="4"/>
      </x:c>
      <x:c r="BW56" s="90"/>
      <x:c r="BX56" s="90"/>
      <x:c r="BY56" s="90" t="n">
        <x:f t="array" ref="BY56">IFERROR(VALUE(RIGHT(INDEX(ECR!$E:$E,MATCH(P56,ECR!$C:$C,0)),LEN(INDEX(ECR!$E:$E,MATCH(P56,ECR!$C:$C,0)))-2)),"")</x:f>
        <x:v>54</x:v>
      </x:c>
      <x:c r="BZ56" s="90"/>
      <x:c r="CA56" s="90"/>
      <x:c r="CB56" s="90"/>
      <x:c r="CC56" s="90"/>
      <x:c r="CD56" s="90"/>
      <x:c r="CE56" s="90"/>
      <x:c r="CF56" s="90"/>
      <x:c r="CG56" s="90"/>
    </x:row>
    <x:row r="57" ht="14.25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120"/>
      <x:c r="M57" s="3"/>
      <x:c r="N57" s="120"/>
      <x:c r="O57" s="75" t="s">
        <x:v>339</x:v>
      </x:c>
      <x:c r="P57" s="60" t="str">
        <x:f>VLOOKUP(O57,ECR!E:L,8,FALSE())</x:f>
        <x:v>Braelon Allen</x:v>
      </x:c>
      <x:c r="Q57" s="63" t="str">
        <x:f>IFERROR(VLOOKUP(Aggregate!$P57,ECR!C:F,2,FALSE()),"-")</x:f>
        <x:v>NYJ</x:v>
      </x:c>
      <x:c r="R57" s="63" t="n">
        <x:f>IFERROR(VLOOKUP(Aggregate!$P57,ECR!C:F,4,FALSE()),"-")</x:f>
        <x:v>13</x:v>
      </x:c>
      <x:c r="S57" s="63" t="str">
        <x:f>Aggregate!$Q57 &amp; "/" &amp; Aggregate!$R57</x:f>
        <x:v>NYJ/13</x:v>
      </x:c>
      <x:c r="T57" s="67" t="n">
        <x:f>IFERROR(VLOOKUP(Aggregate!$P57,RB!A:Q,13,FALSE())/17*(16-Aggregate!$AA57),0)</x:f>
        <x:v>47.56319529411765</x:v>
      </x:c>
      <x:c r="U57" s="67" t="n">
        <x:f>IFERROR(VLOOKUP(Aggregate!$P57,RB!A:Q,14,FALSE())/17*(16-Aggregate!$AA57),0)</x:f>
        <x:v>66.67466823529412</x:v>
      </x:c>
      <x:c r="V57" s="67" t="n">
        <x:f>IFERROR(VLOOKUP(Aggregate!$P57,RB!A:Q,15,FALSE())/17*(16-Aggregate!$AA57),0)</x:f>
        <x:v>85.30315294117646</x:v>
      </x:c>
      <x:c r="W57" s="70" t="n">
        <x:f>AVERAGE(Aggregate!$T57,Aggregate!$U57,Aggregate!$V57,VLOOKUP(Aggregate!$P57,ECR!L:N,3,FALSE))</x:f>
        <x:v>66.67281058764706</x:v>
      </x:c>
      <x:c r="X57" s="70" t="n">
        <x:f>Aggregate!$W57-$Q$1</x:f>
        <x:v>-63.327518537352944</x:v>
      </x:c>
      <x:c r="Y57" s="74" t="n">
        <x:f>MAX(Aggregate!$X57*Scoring!$B$48+1,1)</x:f>
        <x:v>1</x:v>
      </x:c>
      <x:c r="Z57" s="75" t="n">
        <x:f>VLOOKUP(Aggregate!$X57,BM:BO,3,FALSE)</x:f>
        <x:v>8</x:v>
      </x:c>
      <x:c r="AA57" s="77" t="n">
        <x:f t="array" ref="AA57">VLOOKUP(INDEX(ECR!$E:$E,MATCH(P57,ECR!$C:$C,0)),RISK!A:B,2,FALSE())</x:f>
        <x:v>3.368</x:v>
      </x:c>
      <x:c r="AB57" s="78"/>
      <x:c r="AC57" s="63" t="s">
        <x:v>340</x:v>
      </x:c>
      <x:c r="AD57" s="63" t="str">
        <x:f>VLOOKUP(AC57,ECR!E:L,8,FALSE())</x:f>
        <x:v>Deebo Samuel Sr.</x:v>
      </x:c>
      <x:c r="AE57" s="63" t="str">
        <x:f>IFERROR(VLOOKUP(Aggregate!$AD57,ECR!C:F,2,FALSE()),"-")</x:f>
        <x:v>SF</x:v>
      </x:c>
      <x:c r="AF57" s="63" t="n">
        <x:f>IFERROR(VLOOKUP(Aggregate!$AD57,ECR!C:F,4,FALSE()),"-")</x:f>
        <x:v>8</x:v>
      </x:c>
      <x:c r="AG57" s="63" t="str">
        <x:f>Aggregate!$AE57 &amp; "/" &amp; Aggregate!$AF57</x:f>
        <x:v>SF/8</x:v>
      </x:c>
      <x:c r="AH57" s="67" t="n">
        <x:f>IFERROR(VLOOKUP(Aggregate!$AD57,WR!A:Q,13,FALSE())/17*(16-Aggregate!$AO57),0)</x:f>
        <x:v>93.90688235294117</x:v>
      </x:c>
      <x:c r="AI57" s="67" t="n">
        <x:f>IFERROR(VLOOKUP(Aggregate!$AD57,WR!A:Q,14,FALSE())/17*(16-Aggregate!$AO57),0)</x:f>
        <x:v>100.9974705882353</x:v>
      </x:c>
      <x:c r="AJ57" s="67" t="n">
        <x:f>IFERROR(VLOOKUP(Aggregate!$AD57,WR!A:Q,15,FALSE())/17*(16-Aggregate!$AO57),0)</x:f>
        <x:v>107.61776470588237</x:v>
      </x:c>
      <x:c r="AK57" s="70" t="n">
        <x:f>AVERAGE(Aggregate!$AH57,Aggregate!$AI57,Aggregate!$AJ57,VLOOKUP(Aggregate!$AD57,ECR!L:N,3,FALSE))</x:f>
        <x:v>99.5829705892647</x:v>
      </x:c>
      <x:c r="AL57" s="70" t="n">
        <x:f>Aggregate!$AK57-$AE$1</x:f>
        <x:v>-2.6119411680882365</x:v>
      </x:c>
      <x:c r="AM57" s="74" t="n">
        <x:f>MAX(Aggregate!$AL57*Scoring!$B$48+1,1)</x:f>
        <x:v>1</x:v>
      </x:c>
      <x:c r="AN57" s="75" t="n">
        <x:f>VLOOKUP(Aggregate!$AL57,BR:BT,3,FALSE)</x:f>
        <x:v>6</x:v>
      </x:c>
      <x:c r="AO57" s="77" t="n">
        <x:f t="array" ref="AO57">VLOOKUP(INDEX(ECR!$E:$E,MATCH(AD57,ECR!$C:$C,0)),RISK!A:B,2,FALSE())</x:f>
        <x:v>3.7</x:v>
      </x:c>
      <x:c r="AP57" s="78"/>
      <x:c r="AQ57" s="87" t="s">
        <x:v>341</x:v>
      </x:c>
      <x:c r="AR57" s="3"/>
      <x:c r="AS57" s="120"/>
      <x:c r="AT57" s="3"/>
      <x:c r="AU57" s="3"/>
      <x:c r="AV57" s="3"/>
      <x:c r="AW57" s="3"/>
      <x:c r="AX57" s="3"/>
      <x:c r="AY57" s="3"/>
      <x:c r="AZ57" s="3"/>
      <x:c r="BA57" s="3"/>
      <x:c r="BB57" s="120"/>
      <x:c r="BC57" s="3"/>
      <x:c r="BD57" s="3"/>
      <x:c r="BE57" s="120"/>
      <x:c r="BF57" s="78">
        <x:v>55.0</x:v>
      </x:c>
      <x:c r="BG57" s="78" t="str">
        <x:f t="shared" si="1"/>
      </x:c>
      <x:c r="BH57" s="78"/>
      <x:c r="BI57" s="78"/>
      <x:c r="BJ57" s="78"/>
      <x:c r="BK57" s="89">
        <x:v>55.0</x:v>
      </x:c>
      <x:c r="BL57" s="78">
        <x:f t="shared" si="2"/>
        <x:v>67.15022588</x:v>
      </x:c>
      <x:c r="BM57" s="90" t="n">
        <x:f>IFERROR(LARGE($X$3:$X$102,55),"")</x:f>
        <x:v>-63.327518537352944</x:v>
      </x:c>
      <x:c r="BN57" s="90">
        <x:f t="shared" si="7"/>
        <x:v>-20.25398794</x:v>
      </x:c>
      <x:c r="BO57" s="91">
        <x:f t="shared" si="8"/>
        <x:v>8</x:v>
      </x:c>
      <x:c r="BP57" s="90">
        <x:v>55.0</x:v>
      </x:c>
      <x:c r="BQ57" s="78">
        <x:f t="shared" si="3"/>
        <x:v>95.80976471</x:v>
      </x:c>
      <x:c r="BR57" s="90" t="n">
        <x:f>IFERROR(LARGE($AL$3:$AL$102,55),"")</x:f>
        <x:v>-7.240720581029393</x:v>
      </x:c>
      <x:c r="BS57" s="90">
        <x:f t="shared" si="9"/>
        <x:v>-1.731405882</x:v>
      </x:c>
      <x:c r="BT57" s="90">
        <x:f t="shared" si="10"/>
        <x:v>6</x:v>
      </x:c>
      <x:c r="BU57" s="78">
        <x:v>55.0</x:v>
      </x:c>
      <x:c r="BV57" s="78" t="str">
        <x:f t="shared" si="4"/>
      </x:c>
      <x:c r="BW57" s="90"/>
      <x:c r="BX57" s="90"/>
      <x:c r="BY57" s="90" t="n">
        <x:f t="array" ref="BY57">IFERROR(VALUE(RIGHT(INDEX(ECR!$E:$E,MATCH(P57,ECR!$C:$C,0)),LEN(INDEX(ECR!$E:$E,MATCH(P57,ECR!$C:$C,0)))-2)),"")</x:f>
        <x:v>55</x:v>
      </x:c>
      <x:c r="BZ57" s="90"/>
      <x:c r="CA57" s="90"/>
      <x:c r="CB57" s="90"/>
      <x:c r="CC57" s="90"/>
      <x:c r="CD57" s="90"/>
      <x:c r="CE57" s="90"/>
      <x:c r="CF57" s="90"/>
      <x:c r="CG57" s="90"/>
    </x:row>
    <x:row r="58" ht="14.25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120"/>
      <x:c r="M58" s="3"/>
      <x:c r="N58" s="120"/>
      <x:c r="O58" s="75" t="s">
        <x:v>342</x:v>
      </x:c>
      <x:c r="P58" s="60" t="str">
        <x:f>VLOOKUP(O58,ECR!E:L,8,FALSE())</x:f>
        <x:v>MarShawn Lloyd</x:v>
      </x:c>
      <x:c r="Q58" s="63" t="str">
        <x:f>IFERROR(VLOOKUP(Aggregate!$P58,ECR!C:F,2,FALSE()),"-")</x:f>
        <x:v>GB</x:v>
      </x:c>
      <x:c r="R58" s="63" t="n">
        <x:f>IFERROR(VLOOKUP(Aggregate!$P58,ECR!C:F,4,FALSE()),"-")</x:f>
        <x:v>11</x:v>
      </x:c>
      <x:c r="S58" s="63" t="str">
        <x:f>Aggregate!$Q58 &amp; "/" &amp; Aggregate!$R58</x:f>
        <x:v>GB/11</x:v>
      </x:c>
      <x:c r="T58" s="67" t="n">
        <x:f>IFERROR(VLOOKUP(Aggregate!$P58,RB!A:Q,13,FALSE())/17*(16-Aggregate!$AA58),0)</x:f>
        <x:v>15.307011764705884</x:v>
      </x:c>
      <x:c r="U58" s="67" t="n">
        <x:f>IFERROR(VLOOKUP(Aggregate!$P58,RB!A:Q,14,FALSE())/17*(16-Aggregate!$AA58),0)</x:f>
        <x:v>37.034051764705886</x:v>
      </x:c>
      <x:c r="V58" s="67" t="n">
        <x:f>IFERROR(VLOOKUP(Aggregate!$P58,RB!A:Q,15,FALSE())/17*(16-Aggregate!$AA58),0)</x:f>
        <x:v>58.3449788235294</x:v>
      </x:c>
      <x:c r="W58" s="70" t="n">
        <x:f>AVERAGE(Aggregate!$T58,Aggregate!$U58,Aggregate!$V58,VLOOKUP(Aggregate!$P58,ECR!L:N,3,FALSE))</x:f>
        <x:v>44.3401776482353</x:v>
      </x:c>
      <x:c r="X58" s="70" t="n">
        <x:f>Aggregate!$W58-$Q$1</x:f>
        <x:v>-85.66015147676471</x:v>
      </x:c>
      <x:c r="Y58" s="74" t="n">
        <x:f>MAX(Aggregate!$X58*Scoring!$B$48+1,1)</x:f>
        <x:v>1</x:v>
      </x:c>
      <x:c r="Z58" s="75" t="n">
        <x:f>VLOOKUP(Aggregate!$X58,BM:BO,3,FALSE)</x:f>
        <x:v>9</x:v>
      </x:c>
      <x:c r="AA58" s="77" t="n">
        <x:f t="array" ref="AA58">VLOOKUP(INDEX(ECR!$E:$E,MATCH(P58,ECR!$C:$C,0)),RISK!A:B,2,FALSE())</x:f>
        <x:v>3.368</x:v>
      </x:c>
      <x:c r="AB58" s="78"/>
      <x:c r="AC58" s="63" t="s">
        <x:v>343</x:v>
      </x:c>
      <x:c r="AD58" s="63" t="str">
        <x:f>VLOOKUP(AC58,ECR!E:L,8,FALSE())</x:f>
        <x:v>De'Zhaun Stribling</x:v>
      </x:c>
      <x:c r="AE58" s="63" t="str">
        <x:f>IFERROR(VLOOKUP(Aggregate!$AD58,ECR!C:F,2,FALSE()),"-")</x:f>
        <x:v>SF</x:v>
      </x:c>
      <x:c r="AF58" s="63" t="n">
        <x:f>IFERROR(VLOOKUP(Aggregate!$AD58,ECR!C:F,4,FALSE()),"-")</x:f>
        <x:v>8</x:v>
      </x:c>
      <x:c r="AG58" s="63" t="str">
        <x:f>Aggregate!$AE58 &amp; "/" &amp; Aggregate!$AF58</x:f>
        <x:v>SF/8</x:v>
      </x:c>
      <x:c r="AH58" s="67" t="n">
        <x:f>IFERROR(VLOOKUP(Aggregate!$AD58,WR!A:Q,13,FALSE())/17*(16-Aggregate!$AO58),0)</x:f>
        <x:v>92.12410588235295</x:v>
      </x:c>
      <x:c r="AI58" s="67" t="n">
        <x:f>IFERROR(VLOOKUP(Aggregate!$AD58,WR!A:Q,14,FALSE())/17*(16-Aggregate!$AO58),0)</x:f>
        <x:v>106.73216470588235</x:v>
      </x:c>
      <x:c r="AJ58" s="67" t="n">
        <x:f>IFERROR(VLOOKUP(Aggregate!$AD58,WR!A:Q,15,FALSE())/17*(16-Aggregate!$AO58),0)</x:f>
        <x:v>120.94951764705883</x:v>
      </x:c>
      <x:c r="AK58" s="70" t="n">
        <x:f>AVERAGE(Aggregate!$AH58,Aggregate!$AI58,Aggregate!$AJ58,VLOOKUP(Aggregate!$AD58,ECR!L:N,3,FALSE))</x:f>
        <x:v>103.43540294132353</x:v>
      </x:c>
      <x:c r="AL58" s="70" t="n">
        <x:f>Aggregate!$AK58-$AE$1</x:f>
        <x:v>1.2404911839705903</x:v>
      </x:c>
      <x:c r="AM58" s="74" t="n">
        <x:f>MAX(Aggregate!$AL58*Scoring!$B$48+1,1)</x:f>
        <x:v>1.7468936024185107</x:v>
      </x:c>
      <x:c r="AN58" s="75" t="n">
        <x:f>VLOOKUP(Aggregate!$AL58,BR:BT,3,FALSE)</x:f>
        <x:v>5</x:v>
      </x:c>
      <x:c r="AO58" s="77" t="n">
        <x:f t="array" ref="AO58">VLOOKUP(INDEX(ECR!$E:$E,MATCH(AD58,ECR!$C:$C,0)),RISK!A:B,2,FALSE())</x:f>
        <x:v>3.7</x:v>
      </x:c>
      <x:c r="AP58" s="78"/>
      <x:c r="AQ58" s="87" t="s">
        <x:v>344</x:v>
      </x:c>
      <x:c r="AR58" s="3"/>
      <x:c r="AS58" s="120"/>
      <x:c r="AT58" s="3"/>
      <x:c r="AU58" s="3"/>
      <x:c r="AV58" s="3"/>
      <x:c r="AW58" s="3"/>
      <x:c r="AX58" s="3"/>
      <x:c r="AY58" s="3"/>
      <x:c r="AZ58" s="3"/>
      <x:c r="BA58" s="3"/>
      <x:c r="BB58" s="120"/>
      <x:c r="BC58" s="3"/>
      <x:c r="BD58" s="3"/>
      <x:c r="BE58" s="120"/>
      <x:c r="BF58" s="78">
        <x:v>56.0</x:v>
      </x:c>
      <x:c r="BG58" s="78" t="str">
        <x:f t="shared" si="1"/>
      </x:c>
      <x:c r="BH58" s="78"/>
      <x:c r="BI58" s="78"/>
      <x:c r="BJ58" s="78"/>
      <x:c r="BK58" s="89">
        <x:v>56.0</x:v>
      </x:c>
      <x:c r="BL58" s="78">
        <x:f t="shared" si="2"/>
        <x:v>66.67466824</x:v>
      </x:c>
      <x:c r="BM58" s="90" t="n">
        <x:f>IFERROR(LARGE($X$3:$X$102,56),"")</x:f>
        <x:v>-64.26563030264707</x:v>
      </x:c>
      <x:c r="BN58" s="90">
        <x:f t="shared" si="7"/>
        <x:v>-20.25398794</x:v>
      </x:c>
      <x:c r="BO58" s="91">
        <x:f t="shared" si="8"/>
        <x:v>8</x:v>
      </x:c>
      <x:c r="BP58" s="90">
        <x:v>56.0</x:v>
      </x:c>
      <x:c r="BQ58" s="78">
        <x:f t="shared" si="3"/>
        <x:v>93.93582353</x:v>
      </x:c>
      <x:c r="BR58" s="90" t="n">
        <x:f>IFERROR(LARGE($AL$3:$AL$102,56),"")</x:f>
        <x:v>-7.754426454411757</x:v>
      </x:c>
      <x:c r="BS58" s="90">
        <x:f t="shared" si="9"/>
        <x:v>-1.731405882</x:v>
      </x:c>
      <x:c r="BT58" s="90">
        <x:f t="shared" si="10"/>
        <x:v>6</x:v>
      </x:c>
      <x:c r="BU58" s="78">
        <x:v>56.0</x:v>
      </x:c>
      <x:c r="BV58" s="78" t="str">
        <x:f t="shared" si="4"/>
      </x:c>
      <x:c r="BW58" s="90"/>
      <x:c r="BX58" s="90"/>
      <x:c r="BY58" s="90" t="n">
        <x:f t="array" ref="BY58">IFERROR(VALUE(RIGHT(INDEX(ECR!$E:$E,MATCH(P58,ECR!$C:$C,0)),LEN(INDEX(ECR!$E:$E,MATCH(P58,ECR!$C:$C,0)))-2)),"")</x:f>
        <x:v>56</x:v>
      </x:c>
      <x:c r="BZ58" s="90"/>
      <x:c r="CA58" s="90"/>
      <x:c r="CB58" s="90"/>
      <x:c r="CC58" s="90"/>
      <x:c r="CD58" s="90"/>
      <x:c r="CE58" s="90"/>
      <x:c r="CF58" s="90"/>
      <x:c r="CG58" s="90"/>
    </x:row>
    <x:row r="59" ht="14.25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120"/>
      <x:c r="M59" s="3"/>
      <x:c r="N59" s="120"/>
      <x:c r="O59" s="75" t="s">
        <x:v>345</x:v>
      </x:c>
      <x:c r="P59" s="60" t="str">
        <x:f>VLOOKUP(O59,ECR!E:L,8,FALSE())</x:f>
        <x:v>Mike Washington Jr.</x:v>
      </x:c>
      <x:c r="Q59" s="63" t="str">
        <x:f>IFERROR(VLOOKUP(Aggregate!$P59,ECR!C:F,2,FALSE()),"-")</x:f>
        <x:v>LV</x:v>
      </x:c>
      <x:c r="R59" s="63" t="n">
        <x:f>IFERROR(VLOOKUP(Aggregate!$P59,ECR!C:F,4,FALSE()),"-")</x:f>
        <x:v>13</x:v>
      </x:c>
      <x:c r="S59" s="63" t="str">
        <x:f>Aggregate!$Q59 &amp; "/" &amp; Aggregate!$R59</x:f>
        <x:v>LV/13</x:v>
      </x:c>
      <x:c r="T59" s="67" t="n">
        <x:f>IFERROR(VLOOKUP(Aggregate!$P59,RB!A:Q,13,FALSE())/17*(16-Aggregate!$AA59),0)</x:f>
        <x:v>73.64472347294117</x:v>
      </x:c>
      <x:c r="U59" s="67" t="n">
        <x:f>IFERROR(VLOOKUP(Aggregate!$P59,RB!A:Q,14,FALSE())/17*(16-Aggregate!$AA59),0)</x:f>
        <x:v>99.12421053176469</x:v>
      </x:c>
      <x:c r="V59" s="67" t="n">
        <x:f>IFERROR(VLOOKUP(Aggregate!$P59,RB!A:Q,15,FALSE())/17*(16-Aggregate!$AA59),0)</x:f>
        <x:v>125.04953288470588</x:v>
      </x:c>
      <x:c r="W59" s="70" t="n">
        <x:f>AVERAGE(Aggregate!$T59,Aggregate!$U59,Aggregate!$V59,VLOOKUP(Aggregate!$P59,ECR!L:N,3,FALSE))</x:f>
        <x:v>91.05915408985294</x:v>
      </x:c>
      <x:c r="X59" s="70" t="n">
        <x:f>Aggregate!$W59-$Q$1</x:f>
        <x:v>-38.94117503514707</x:v>
      </x:c>
      <x:c r="Y59" s="74" t="n">
        <x:f>MAX(Aggregate!$X59*Scoring!$B$48+1,1)</x:f>
        <x:v>1</x:v>
      </x:c>
      <x:c r="Z59" s="75" t="n">
        <x:f>VLOOKUP(Aggregate!$X59,BM:BO,3,FALSE)</x:f>
        <x:v>7</x:v>
      </x:c>
      <x:c r="AA59" s="77" t="n">
        <x:f t="array" ref="AA59">VLOOKUP(INDEX(ECR!$E:$E,MATCH(P59,ECR!$C:$C,0)),RISK!A:B,2,FALSE())</x:f>
        <x:v>3.368</x:v>
      </x:c>
      <x:c r="AB59" s="78"/>
      <x:c r="AC59" s="63" t="s">
        <x:v>346</x:v>
      </x:c>
      <x:c r="AD59" s="63" t="str">
        <x:f>VLOOKUP(AC59,ECR!E:L,8,FALSE())</x:f>
        <x:v>Rashid Shaheed</x:v>
      </x:c>
      <x:c r="AE59" s="63" t="str">
        <x:f>IFERROR(VLOOKUP(Aggregate!$AD59,ECR!C:F,2,FALSE()),"-")</x:f>
        <x:v>SEA</x:v>
      </x:c>
      <x:c r="AF59" s="63" t="n">
        <x:f>IFERROR(VLOOKUP(Aggregate!$AD59,ECR!C:F,4,FALSE()),"-")</x:f>
        <x:v>11</x:v>
      </x:c>
      <x:c r="AG59" s="63" t="str">
        <x:f>Aggregate!$AE59 &amp; "/" &amp; Aggregate!$AF59</x:f>
        <x:v>SEA/11</x:v>
      </x:c>
      <x:c r="AH59" s="67" t="n">
        <x:f>IFERROR(VLOOKUP(Aggregate!$AD59,WR!A:Q,13,FALSE())/17*(16-Aggregate!$AO59),0)</x:f>
        <x:v>82.27976470588236</x:v>
      </x:c>
      <x:c r="AI59" s="67" t="n">
        <x:f>IFERROR(VLOOKUP(Aggregate!$AD59,WR!A:Q,14,FALSE())/17*(16-Aggregate!$AO59),0)</x:f>
        <x:v>95.80976470588236</x:v>
      </x:c>
      <x:c r="AJ59" s="67" t="n">
        <x:f>IFERROR(VLOOKUP(Aggregate!$AD59,WR!A:Q,15,FALSE())/17*(16-Aggregate!$AO59),0)</x:f>
        <x:v>108.45705882352942</x:v>
      </x:c>
      <x:c r="AK59" s="70" t="n">
        <x:f>AVERAGE(Aggregate!$AH59,Aggregate!$AI59,Aggregate!$AJ59,VLOOKUP(Aggregate!$AD59,ECR!L:N,3,FALSE))</x:f>
        <x:v>94.95419117632355</x:v>
      </x:c>
      <x:c r="AL59" s="70" t="n">
        <x:f>Aggregate!$AK59-$AE$1</x:f>
        <x:v>-7.240720581029393</x:v>
      </x:c>
      <x:c r="AM59" s="74" t="n">
        <x:f>MAX(Aggregate!$AL59*Scoring!$B$48+1,1)</x:f>
        <x:v>1</x:v>
      </x:c>
      <x:c r="AN59" s="75" t="n">
        <x:f>VLOOKUP(Aggregate!$AL59,BR:BT,3,FALSE)</x:f>
        <x:v>6</x:v>
      </x:c>
      <x:c r="AO59" s="77" t="n">
        <x:f t="array" ref="AO59">VLOOKUP(INDEX(ECR!$E:$E,MATCH(AD59,ECR!$C:$C,0)),RISK!A:B,2,FALSE())</x:f>
        <x:v>3.7</x:v>
      </x:c>
      <x:c r="AP59" s="78"/>
      <x:c r="AQ59" s="87" t="s">
        <x:v>347</x:v>
      </x:c>
      <x:c r="AR59" s="3"/>
      <x:c r="AS59" s="120"/>
      <x:c r="AT59" s="3"/>
      <x:c r="AU59" s="3"/>
      <x:c r="AV59" s="3"/>
      <x:c r="AW59" s="3"/>
      <x:c r="AX59" s="3"/>
      <x:c r="AY59" s="3"/>
      <x:c r="AZ59" s="3"/>
      <x:c r="BA59" s="3"/>
      <x:c r="BB59" s="120"/>
      <x:c r="BC59" s="3"/>
      <x:c r="BD59" s="3"/>
      <x:c r="BE59" s="120"/>
      <x:c r="BF59" s="78">
        <x:v>57.0</x:v>
      </x:c>
      <x:c r="BG59" s="78" t="str">
        <x:f t="shared" si="1"/>
      </x:c>
      <x:c r="BH59" s="90"/>
      <x:c r="BI59" s="90"/>
      <x:c r="BJ59" s="90"/>
      <x:c r="BK59" s="89">
        <x:v>57.0</x:v>
      </x:c>
      <x:c r="BL59" s="78">
        <x:f t="shared" si="2"/>
        <x:v>66.41814947</x:v>
      </x:c>
      <x:c r="BM59" s="90" t="n">
        <x:f>IFERROR(LARGE($X$3:$X$102,57),"")</x:f>
        <x:v>-64.62520761088236</x:v>
      </x:c>
      <x:c r="BN59" s="90">
        <x:f t="shared" si="7"/>
        <x:v>-20.25398794</x:v>
      </x:c>
      <x:c r="BO59" s="91">
        <x:f t="shared" si="8"/>
        <x:v>8</x:v>
      </x:c>
      <x:c r="BP59" s="90">
        <x:v>57.0</x:v>
      </x:c>
      <x:c r="BQ59" s="78">
        <x:f t="shared" si="3"/>
        <x:v>93.27017647</x:v>
      </x:c>
      <x:c r="BR59" s="90" t="n">
        <x:f>IFERROR(LARGE($AL$3:$AL$102,57),"")</x:f>
        <x:v>-8.22110293279411</x:v>
      </x:c>
      <x:c r="BS59" s="90">
        <x:f t="shared" si="9"/>
        <x:v>-1.731405882</x:v>
      </x:c>
      <x:c r="BT59" s="90">
        <x:f t="shared" si="10"/>
        <x:v>6</x:v>
      </x:c>
      <x:c r="BU59" s="78">
        <x:v>57.0</x:v>
      </x:c>
      <x:c r="BV59" s="78" t="str">
        <x:f t="shared" si="4"/>
      </x:c>
      <x:c r="BW59" s="90"/>
      <x:c r="BX59" s="90"/>
      <x:c r="BY59" s="90" t="n">
        <x:f t="array" ref="BY59">IFERROR(VALUE(RIGHT(INDEX(ECR!$E:$E,MATCH(P59,ECR!$C:$C,0)),LEN(INDEX(ECR!$E:$E,MATCH(P59,ECR!$C:$C,0)))-2)),"")</x:f>
        <x:v>57</x:v>
      </x:c>
      <x:c r="BZ59" s="90"/>
      <x:c r="CA59" s="90"/>
      <x:c r="CB59" s="90"/>
      <x:c r="CC59" s="90"/>
      <x:c r="CD59" s="90"/>
      <x:c r="CE59" s="90"/>
      <x:c r="CF59" s="90"/>
      <x:c r="CG59" s="90"/>
    </x:row>
    <x:row r="60" ht="14.2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120"/>
      <x:c r="M60" s="3"/>
      <x:c r="N60" s="120"/>
      <x:c r="O60" s="75" t="s">
        <x:v>348</x:v>
      </x:c>
      <x:c r="P60" s="60" t="str">
        <x:f>VLOOKUP(O60,ECR!E:L,8,FALSE())</x:f>
        <x:v>Ray Davis</x:v>
      </x:c>
      <x:c r="Q60" s="63" t="str">
        <x:f>IFERROR(VLOOKUP(Aggregate!$P60,ECR!C:F,2,FALSE()),"-")</x:f>
        <x:v>BUF</x:v>
      </x:c>
      <x:c r="R60" s="63" t="n">
        <x:f>IFERROR(VLOOKUP(Aggregate!$P60,ECR!C:F,4,FALSE()),"-")</x:f>
        <x:v>7</x:v>
      </x:c>
      <x:c r="S60" s="63" t="str">
        <x:f>Aggregate!$Q60 &amp; "/" &amp; Aggregate!$R60</x:f>
        <x:v>BUF/7</x:v>
      </x:c>
      <x:c r="T60" s="67" t="n">
        <x:f>IFERROR(VLOOKUP(Aggregate!$P60,RB!A:Q,13,FALSE())/17*(16-Aggregate!$AA60),0)</x:f>
        <x:v>23.993369411764704</x:v>
      </x:c>
      <x:c r="U60" s="67" t="n">
        <x:f>IFERROR(VLOOKUP(Aggregate!$P60,RB!A:Q,14,FALSE())/17*(16-Aggregate!$AA60),0)</x:f>
        <x:v>23.993369411764704</x:v>
      </x:c>
      <x:c r="V60" s="67" t="n">
        <x:f>IFERROR(VLOOKUP(Aggregate!$P60,RB!A:Q,15,FALSE())/17*(16-Aggregate!$AA60),0)</x:f>
        <x:v>23.993369411764704</x:v>
      </x:c>
      <x:c r="W60" s="70" t="n">
        <x:f>AVERAGE(Aggregate!$T60,Aggregate!$U60,Aggregate!$V60,VLOOKUP(Aggregate!$P60,ECR!L:N,3,FALSE))</x:f>
        <x:v>34.249438823823525</x:v>
      </x:c>
      <x:c r="X60" s="70" t="n">
        <x:f>Aggregate!$W60-$Q$1</x:f>
        <x:v>-95.75089030117648</x:v>
      </x:c>
      <x:c r="Y60" s="74" t="n">
        <x:f>MAX(Aggregate!$X60*Scoring!$B$48+1,1)</x:f>
        <x:v>1</x:v>
      </x:c>
      <x:c r="Z60" s="75" t="n">
        <x:f>VLOOKUP(Aggregate!$X60,BM:BO,3,FALSE)</x:f>
        <x:v>10</x:v>
      </x:c>
      <x:c r="AA60" s="77" t="n">
        <x:f t="array" ref="AA60">VLOOKUP(INDEX(ECR!$E:$E,MATCH(P60,ECR!$C:$C,0)),RISK!A:B,2,FALSE())</x:f>
        <x:v>3.368</x:v>
      </x:c>
      <x:c r="AB60" s="78"/>
      <x:c r="AC60" s="63" t="s">
        <x:v>349</x:v>
      </x:c>
      <x:c r="AD60" s="63" t="str">
        <x:f>VLOOKUP(AC60,ECR!E:L,8,FALSE())</x:f>
        <x:v>Adonai Mitchell</x:v>
      </x:c>
      <x:c r="AE60" s="63" t="str">
        <x:f>IFERROR(VLOOKUP(Aggregate!$AD60,ECR!C:F,2,FALSE()),"-")</x:f>
        <x:v>NYJ</x:v>
      </x:c>
      <x:c r="AF60" s="63" t="n">
        <x:f>IFERROR(VLOOKUP(Aggregate!$AD60,ECR!C:F,4,FALSE()),"-")</x:f>
        <x:v>13</x:v>
      </x:c>
      <x:c r="AG60" s="63" t="str">
        <x:f>Aggregate!$AE60 &amp; "/" &amp; Aggregate!$AF60</x:f>
        <x:v>NYJ/13</x:v>
      </x:c>
      <x:c r="AH60" s="67" t="n">
        <x:f>IFERROR(VLOOKUP(Aggregate!$AD60,WR!A:Q,13,FALSE())/17*(16-Aggregate!$AO60),0)</x:f>
        <x:v>59.98058823529413</x:v>
      </x:c>
      <x:c r="AI60" s="67" t="n">
        <x:f>IFERROR(VLOOKUP(Aggregate!$AD60,WR!A:Q,14,FALSE())/17*(16-Aggregate!$AO60),0)</x:f>
        <x:v>68.18541176470588</x:v>
      </x:c>
      <x:c r="AJ60" s="67" t="n">
        <x:f>IFERROR(VLOOKUP(Aggregate!$AD60,WR!A:Q,15,FALSE())/17*(16-Aggregate!$AO60),0)</x:f>
        <x:v>75.84035294117646</x:v>
      </x:c>
      <x:c r="AK60" s="70" t="n">
        <x:f>AVERAGE(Aggregate!$AH60,Aggregate!$AI60,Aggregate!$AJ60,VLOOKUP(Aggregate!$AD60,ECR!L:N,3,FALSE))</x:f>
        <x:v>74.07313235279412</x:v>
      </x:c>
      <x:c r="AL60" s="70" t="n">
        <x:f>Aggregate!$AK60-$AE$1</x:f>
        <x:v>-28.121779404558822</x:v>
      </x:c>
      <x:c r="AM60" s="74" t="n">
        <x:f>MAX(Aggregate!$AL60*Scoring!$B$48+1,1)</x:f>
        <x:v>1</x:v>
      </x:c>
      <x:c r="AN60" s="75" t="n">
        <x:f>VLOOKUP(Aggregate!$AL60,BR:BT,3,FALSE)</x:f>
        <x:v>7</x:v>
      </x:c>
      <x:c r="AO60" s="77" t="n">
        <x:f t="array" ref="AO60">VLOOKUP(INDEX(ECR!$E:$E,MATCH(AD60,ECR!$C:$C,0)),RISK!A:B,2,FALSE())</x:f>
        <x:v>3.7</x:v>
      </x:c>
      <x:c r="AP60" s="78"/>
      <x:c r="AQ60" s="87" t="s">
        <x:v>350</x:v>
      </x:c>
      <x:c r="AR60" s="3"/>
      <x:c r="AS60" s="120"/>
      <x:c r="AT60" s="3"/>
      <x:c r="AU60" s="3"/>
      <x:c r="AV60" s="3"/>
      <x:c r="AW60" s="3"/>
      <x:c r="AX60" s="3"/>
      <x:c r="AY60" s="3"/>
      <x:c r="AZ60" s="3"/>
      <x:c r="BA60" s="3"/>
      <x:c r="BB60" s="120"/>
      <x:c r="BC60" s="3"/>
      <x:c r="BD60" s="3"/>
      <x:c r="BE60" s="120"/>
      <x:c r="BF60" s="78">
        <x:v>58.0</x:v>
      </x:c>
      <x:c r="BG60" s="78" t="str">
        <x:f t="shared" si="1"/>
      </x:c>
      <x:c r="BH60" s="90"/>
      <x:c r="BI60" s="90"/>
      <x:c r="BJ60" s="90"/>
      <x:c r="BK60" s="89">
        <x:v>58.0</x:v>
      </x:c>
      <x:c r="BL60" s="78">
        <x:f t="shared" si="2"/>
        <x:v>65.01764706</x:v>
      </x:c>
      <x:c r="BM60" s="90" t="n">
        <x:f>IFERROR(LARGE($X$3:$X$102,58),"")</x:f>
        <x:v>-66.28489265470589</x:v>
      </x:c>
      <x:c r="BN60" s="90">
        <x:f t="shared" si="7"/>
        <x:v>-20.25398794</x:v>
      </x:c>
      <x:c r="BO60" s="91">
        <x:f t="shared" si="8"/>
        <x:v>8</x:v>
      </x:c>
      <x:c r="BP60" s="90">
        <x:v>58.0</x:v>
      </x:c>
      <x:c r="BQ60" s="78">
        <x:f t="shared" si="3"/>
        <x:v>92.28617647</x:v>
      </x:c>
      <x:c r="BR60" s="90" t="n">
        <x:f>IFERROR(LARGE($AL$3:$AL$102,58),"")</x:f>
        <x:v>-12.663356463382343</x:v>
      </x:c>
      <x:c r="BS60" s="90">
        <x:f t="shared" si="9"/>
        <x:v>-1.731405882</x:v>
      </x:c>
      <x:c r="BT60" s="90">
        <x:f t="shared" si="10"/>
        <x:v>6</x:v>
      </x:c>
      <x:c r="BU60" s="78">
        <x:v>58.0</x:v>
      </x:c>
      <x:c r="BV60" s="78" t="str">
        <x:f t="shared" si="4"/>
      </x:c>
      <x:c r="BW60" s="90"/>
      <x:c r="BX60" s="90"/>
      <x:c r="BY60" s="90" t="n">
        <x:f t="array" ref="BY60">IFERROR(VALUE(RIGHT(INDEX(ECR!$E:$E,MATCH(P60,ECR!$C:$C,0)),LEN(INDEX(ECR!$E:$E,MATCH(P60,ECR!$C:$C,0)))-2)),"")</x:f>
        <x:v>58</x:v>
      </x:c>
      <x:c r="BZ60" s="90"/>
      <x:c r="CA60" s="90"/>
      <x:c r="CB60" s="90"/>
      <x:c r="CC60" s="90"/>
      <x:c r="CD60" s="90"/>
      <x:c r="CE60" s="90"/>
      <x:c r="CF60" s="90"/>
      <x:c r="CG60" s="90"/>
    </x:row>
    <x:row r="61" ht="14.2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120"/>
      <x:c r="M61" s="3"/>
      <x:c r="N61" s="120"/>
      <x:c r="O61" s="75" t="s">
        <x:v>351</x:v>
      </x:c>
      <x:c r="P61" s="60" t="str">
        <x:f>VLOOKUP(O61,ECR!E:L,8,FALSE())</x:f>
        <x:v>Emmett Johnson</x:v>
      </x:c>
      <x:c r="Q61" s="63" t="str">
        <x:f>IFERROR(VLOOKUP(Aggregate!$P61,ECR!C:F,2,FALSE()),"-")</x:f>
        <x:v>KC</x:v>
      </x:c>
      <x:c r="R61" s="63" t="n">
        <x:f>IFERROR(VLOOKUP(Aggregate!$P61,ECR!C:F,4,FALSE()),"-")</x:f>
        <x:v>5</x:v>
      </x:c>
      <x:c r="S61" s="63" t="str">
        <x:f>Aggregate!$Q61 &amp; "/" &amp; Aggregate!$R61</x:f>
        <x:v>KC/5</x:v>
      </x:c>
      <x:c r="T61" s="67" t="n">
        <x:f>IFERROR(VLOOKUP(Aggregate!$P61,RB!A:Q,13,FALSE())/17*(16-Aggregate!$AA61),0)</x:f>
        <x:v>58.69776829176471</x:v>
      </x:c>
      <x:c r="U61" s="67" t="n">
        <x:f>IFERROR(VLOOKUP(Aggregate!$P61,RB!A:Q,14,FALSE())/17*(16-Aggregate!$AA61),0)</x:f>
        <x:v>66.4181494682353</x:v>
      </x:c>
      <x:c r="V61" s="67" t="n">
        <x:f>IFERROR(VLOOKUP(Aggregate!$P61,RB!A:Q,15,FALSE())/17*(16-Aggregate!$AA61),0)</x:f>
        <x:v>74.13110005647059</x:v>
      </x:c>
      <x:c r="W61" s="70" t="n">
        <x:f>AVERAGE(Aggregate!$T61,Aggregate!$U61,Aggregate!$V61,VLOOKUP(Aggregate!$P61,ECR!L:N,3,FALSE))</x:f>
        <x:v>65.37512151411765</x:v>
      </x:c>
      <x:c r="X61" s="70" t="n">
        <x:f>Aggregate!$W61-$Q$1</x:f>
        <x:v>-64.62520761088236</x:v>
      </x:c>
      <x:c r="Y61" s="74" t="n">
        <x:f>MAX(Aggregate!$X61*Scoring!$B$48+1,1)</x:f>
        <x:v>1</x:v>
      </x:c>
      <x:c r="Z61" s="75" t="n">
        <x:f>VLOOKUP(Aggregate!$X61,BM:BO,3,FALSE)</x:f>
        <x:v>8</x:v>
      </x:c>
      <x:c r="AA61" s="77" t="n">
        <x:f t="array" ref="AA61">VLOOKUP(INDEX(ECR!$E:$E,MATCH(P61,ECR!$C:$C,0)),RISK!A:B,2,FALSE())</x:f>
        <x:v>3.368</x:v>
      </x:c>
      <x:c r="AB61" s="78"/>
      <x:c r="AC61" s="63" t="s">
        <x:v>352</x:v>
      </x:c>
      <x:c r="AD61" s="63" t="str">
        <x:f>VLOOKUP(AC61,ECR!E:L,8,FALSE())</x:f>
        <x:v>Denzel Boston</x:v>
      </x:c>
      <x:c r="AE61" s="63" t="str">
        <x:f>IFERROR(VLOOKUP(Aggregate!$AD61,ECR!C:F,2,FALSE()),"-")</x:f>
        <x:v>CLE</x:v>
      </x:c>
      <x:c r="AF61" s="63" t="n">
        <x:f>IFERROR(VLOOKUP(Aggregate!$AD61,ECR!C:F,4,FALSE()),"-")</x:f>
        <x:v>11</x:v>
      </x:c>
      <x:c r="AG61" s="63" t="str">
        <x:f>Aggregate!$AE61 &amp; "/" &amp; Aggregate!$AF61</x:f>
        <x:v>CLE/11</x:v>
      </x:c>
      <x:c r="AH61" s="67" t="n">
        <x:f>IFERROR(VLOOKUP(Aggregate!$AD61,WR!A:Q,13,FALSE())/17*(16-Aggregate!$AO61),0)</x:f>
        <x:v>95.97907058823529</x:v>
      </x:c>
      <x:c r="AI61" s="67" t="n">
        <x:f>IFERROR(VLOOKUP(Aggregate!$AD61,WR!A:Q,14,FALSE())/17*(16-Aggregate!$AO61),0)</x:f>
        <x:v>104.9870117647059</x:v>
      </x:c>
      <x:c r="AJ61" s="67" t="n">
        <x:f>IFERROR(VLOOKUP(Aggregate!$AD61,WR!A:Q,15,FALSE())/17*(16-Aggregate!$AO61),0)</x:f>
        <x:v>114.03112941176472</x:v>
      </x:c>
      <x:c r="AK61" s="70" t="n">
        <x:f>AVERAGE(Aggregate!$AH61,Aggregate!$AI61,Aggregate!$AJ61,VLOOKUP(Aggregate!$AD61,ECR!L:N,3,FALSE))</x:f>
        <x:v>101.31437647117647</x:v>
      </x:c>
      <x:c r="AL61" s="70" t="n">
        <x:f>Aggregate!$AK61-$AE$1</x:f>
        <x:v>-0.8805352861764675</x:v>
      </x:c>
      <x:c r="AM61" s="74" t="n">
        <x:f>MAX(Aggregate!$AL61*Scoring!$B$48+1,1)</x:f>
        <x:v>1</x:v>
      </x:c>
      <x:c r="AN61" s="75" t="n">
        <x:f>VLOOKUP(Aggregate!$AL61,BR:BT,3,FALSE)</x:f>
        <x:v>5</x:v>
      </x:c>
      <x:c r="AO61" s="77" t="n">
        <x:f t="array" ref="AO61">VLOOKUP(INDEX(ECR!$E:$E,MATCH(AD61,ECR!$C:$C,0)),RISK!A:B,2,FALSE())</x:f>
        <x:v>3.7</x:v>
      </x:c>
      <x:c r="AP61" s="78"/>
      <x:c r="AQ61" s="87" t="s">
        <x:v>353</x:v>
      </x:c>
      <x:c r="AR61" s="3"/>
      <x:c r="AS61" s="120"/>
      <x:c r="AT61" s="3"/>
      <x:c r="AU61" s="3"/>
      <x:c r="AV61" s="3"/>
      <x:c r="AW61" s="3"/>
      <x:c r="AX61" s="3"/>
      <x:c r="AY61" s="3"/>
      <x:c r="AZ61" s="3"/>
      <x:c r="BA61" s="3"/>
      <x:c r="BB61" s="120"/>
      <x:c r="BC61" s="3"/>
      <x:c r="BD61" s="3"/>
      <x:c r="BE61" s="120"/>
      <x:c r="BF61" s="78">
        <x:v>59.0</x:v>
      </x:c>
      <x:c r="BG61" s="78" t="str">
        <x:f t="shared" si="1"/>
      </x:c>
      <x:c r="BH61" s="90"/>
      <x:c r="BI61" s="90"/>
      <x:c r="BJ61" s="90"/>
      <x:c r="BK61" s="89">
        <x:v>59.0</x:v>
      </x:c>
      <x:c r="BL61" s="78">
        <x:f t="shared" si="2"/>
        <x:v>62.25346824</x:v>
      </x:c>
      <x:c r="BM61" s="90" t="n">
        <x:f>IFERROR(LARGE($X$3:$X$102,59),"")</x:f>
        <x:v>-66.2923232422059</x:v>
      </x:c>
      <x:c r="BN61" s="90">
        <x:f t="shared" si="7"/>
        <x:v>-20.25398794</x:v>
      </x:c>
      <x:c r="BO61" s="91">
        <x:f t="shared" si="8"/>
        <x:v>8</x:v>
      </x:c>
      <x:c r="BP61" s="90">
        <x:v>59.0</x:v>
      </x:c>
      <x:c r="BQ61" s="78">
        <x:f t="shared" si="3"/>
        <x:v>90.26029412</x:v>
      </x:c>
      <x:c r="BR61" s="90" t="n">
        <x:f>IFERROR(LARGE($AL$3:$AL$102,59),"")</x:f>
        <x:v>-14.510382345882348</x:v>
      </x:c>
      <x:c r="BS61" s="90">
        <x:f t="shared" si="9"/>
        <x:v>-1.731405882</x:v>
      </x:c>
      <x:c r="BT61" s="90">
        <x:f t="shared" si="10"/>
        <x:v>6</x:v>
      </x:c>
      <x:c r="BU61" s="78">
        <x:v>59.0</x:v>
      </x:c>
      <x:c r="BV61" s="78" t="str">
        <x:f t="shared" si="4"/>
      </x:c>
      <x:c r="BW61" s="90"/>
      <x:c r="BX61" s="90"/>
      <x:c r="BY61" s="90" t="n">
        <x:f t="array" ref="BY61">IFERROR(VALUE(RIGHT(INDEX(ECR!$E:$E,MATCH(P61,ECR!$C:$C,0)),LEN(INDEX(ECR!$E:$E,MATCH(P61,ECR!$C:$C,0)))-2)),"")</x:f>
        <x:v>59</x:v>
      </x:c>
      <x:c r="BZ61" s="90"/>
      <x:c r="CA61" s="90"/>
      <x:c r="CB61" s="90"/>
      <x:c r="CC61" s="90"/>
      <x:c r="CD61" s="90"/>
      <x:c r="CE61" s="90"/>
      <x:c r="CF61" s="90"/>
      <x:c r="CG61" s="90"/>
    </x:row>
    <x:row r="62" ht="14.2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120"/>
      <x:c r="M62" s="3"/>
      <x:c r="N62" s="120"/>
      <x:c r="O62" s="75" t="s">
        <x:v>354</x:v>
      </x:c>
      <x:c r="P62" s="60" t="str">
        <x:f>VLOOKUP(O62,ECR!E:L,8,FALSE())</x:f>
        <x:v>Sean Tucker</x:v>
      </x:c>
      <x:c r="Q62" s="63" t="str">
        <x:f>IFERROR(VLOOKUP(Aggregate!$P62,ECR!C:F,2,FALSE()),"-")</x:f>
        <x:v>TB</x:v>
      </x:c>
      <x:c r="R62" s="63" t="n">
        <x:f>IFERROR(VLOOKUP(Aggregate!$P62,ECR!C:F,4,FALSE()),"-")</x:f>
        <x:v>10</x:v>
      </x:c>
      <x:c r="S62" s="63" t="str">
        <x:f>Aggregate!$Q62 &amp; "/" &amp; Aggregate!$R62</x:f>
        <x:v>TB/10</x:v>
      </x:c>
      <x:c r="T62" s="67" t="n">
        <x:f>IFERROR(VLOOKUP(Aggregate!$P62,RB!A:Q,13,FALSE())/17*(16-Aggregate!$AA62),0)</x:f>
        <x:v>20.062588235294115</x:v>
      </x:c>
      <x:c r="U62" s="67" t="n">
        <x:f>IFERROR(VLOOKUP(Aggregate!$P62,RB!A:Q,14,FALSE())/17*(16-Aggregate!$AA62),0)</x:f>
        <x:v>23.131421176470585</x:v>
      </x:c>
      <x:c r="V62" s="67" t="n">
        <x:f>IFERROR(VLOOKUP(Aggregate!$P62,RB!A:Q,15,FALSE())/17*(16-Aggregate!$AA62),0)</x:f>
        <x:v>26.497477647058822</x:v>
      </x:c>
      <x:c r="W62" s="70" t="n">
        <x:f>AVERAGE(Aggregate!$T62,Aggregate!$U62,Aggregate!$V62,VLOOKUP(Aggregate!$P62,ECR!L:N,3,FALSE))</x:f>
        <x:v>32.65557764720588</x:v>
      </x:c>
      <x:c r="X62" s="70" t="n">
        <x:f>Aggregate!$W62-$Q$1</x:f>
        <x:v>-97.34475147779412</x:v>
      </x:c>
      <x:c r="Y62" s="74" t="n">
        <x:f>MAX(Aggregate!$X62*Scoring!$B$48+1,1)</x:f>
        <x:v>1</x:v>
      </x:c>
      <x:c r="Z62" s="75" t="n">
        <x:f>VLOOKUP(Aggregate!$X62,BM:BO,3,FALSE)</x:f>
        <x:v>10</x:v>
      </x:c>
      <x:c r="AA62" s="77" t="n">
        <x:f t="array" ref="AA62">VLOOKUP(INDEX(ECR!$E:$E,MATCH(P62,ECR!$C:$C,0)),RISK!A:B,2,FALSE())</x:f>
        <x:v>3.368</x:v>
      </x:c>
      <x:c r="AB62" s="78"/>
      <x:c r="AC62" s="63" t="s">
        <x:v>355</x:v>
      </x:c>
      <x:c r="AD62" s="63" t="str">
        <x:f>VLOOKUP(AC62,ECR!E:L,8,FALSE())</x:f>
        <x:v>Tre Tucker</x:v>
      </x:c>
      <x:c r="AE62" s="63" t="str">
        <x:f>IFERROR(VLOOKUP(Aggregate!$AD62,ECR!C:F,2,FALSE()),"-")</x:f>
        <x:v>LV</x:v>
      </x:c>
      <x:c r="AF62" s="63" t="n">
        <x:f>IFERROR(VLOOKUP(Aggregate!$AD62,ECR!C:F,4,FALSE()),"-")</x:f>
        <x:v>13</x:v>
      </x:c>
      <x:c r="AG62" s="63" t="str">
        <x:f>Aggregate!$AE62 &amp; "/" &amp; Aggregate!$AF62</x:f>
        <x:v>LV/13</x:v>
      </x:c>
      <x:c r="AH62" s="67" t="n">
        <x:f>IFERROR(VLOOKUP(Aggregate!$AD62,WR!A:Q,13,FALSE())/17*(16-Aggregate!$AO62),0)</x:f>
        <x:v>75.46411764705883</x:v>
      </x:c>
      <x:c r="AI62" s="67" t="n">
        <x:f>IFERROR(VLOOKUP(Aggregate!$AD62,WR!A:Q,14,FALSE())/17*(16-Aggregate!$AO62),0)</x:f>
        <x:v>85.02917647058824</x:v>
      </x:c>
      <x:c r="AJ62" s="67" t="n">
        <x:f>IFERROR(VLOOKUP(Aggregate!$AD62,WR!A:Q,15,FALSE())/17*(16-Aggregate!$AO62),0)</x:f>
        <x:v>93.59576470588237</x:v>
      </x:c>
      <x:c r="AK62" s="70" t="n">
        <x:f>AVERAGE(Aggregate!$AH62,Aggregate!$AI62,Aggregate!$AJ62,VLOOKUP(Aggregate!$AD62,ECR!L:N,3,FALSE))</x:f>
        <x:v>85.41083823588235</x:v>
      </x:c>
      <x:c r="AL62" s="70" t="n">
        <x:f>Aggregate!$AK62-$AE$1</x:f>
        <x:v>-16.78407352147059</x:v>
      </x:c>
      <x:c r="AM62" s="74" t="n">
        <x:f>MAX(Aggregate!$AL62*Scoring!$B$48+1,1)</x:f>
        <x:v>1</x:v>
      </x:c>
      <x:c r="AN62" s="75" t="n">
        <x:f>VLOOKUP(Aggregate!$AL62,BR:BT,3,FALSE)</x:f>
        <x:v>6</x:v>
      </x:c>
      <x:c r="AO62" s="77" t="n">
        <x:f t="array" ref="AO62">VLOOKUP(INDEX(ECR!$E:$E,MATCH(AD62,ECR!$C:$C,0)),RISK!A:B,2,FALSE())</x:f>
        <x:v>3.7</x:v>
      </x:c>
      <x:c r="AP62" s="78"/>
      <x:c r="AQ62" s="87" t="s">
        <x:v>356</x:v>
      </x:c>
      <x:c r="AR62" s="3"/>
      <x:c r="AS62" s="120"/>
      <x:c r="AT62" s="3"/>
      <x:c r="AU62" s="3"/>
      <x:c r="AV62" s="3"/>
      <x:c r="AW62" s="3"/>
      <x:c r="AX62" s="3"/>
      <x:c r="AY62" s="3"/>
      <x:c r="AZ62" s="3"/>
      <x:c r="BA62" s="3"/>
      <x:c r="BB62" s="120"/>
      <x:c r="BC62" s="3"/>
      <x:c r="BD62" s="3"/>
      <x:c r="BE62" s="120"/>
      <x:c r="BF62" s="78">
        <x:v>60.0</x:v>
      </x:c>
      <x:c r="BG62" s="78" t="str">
        <x:f t="shared" si="1"/>
      </x:c>
      <x:c r="BH62" s="90"/>
      <x:c r="BI62" s="90"/>
      <x:c r="BJ62" s="90"/>
      <x:c r="BK62" s="89">
        <x:v>60.0</x:v>
      </x:c>
      <x:c r="BL62" s="78">
        <x:f t="shared" si="2"/>
        <x:v>60.93082353</x:v>
      </x:c>
      <x:c r="BM62" s="90" t="n">
        <x:f>IFERROR(LARGE($X$3:$X$102,60),"")</x:f>
        <x:v>-66.66199500779413</x:v>
      </x:c>
      <x:c r="BN62" s="90">
        <x:f t="shared" si="7"/>
        <x:v>-20.25398794</x:v>
      </x:c>
      <x:c r="BO62" s="91">
        <x:f t="shared" si="8"/>
        <x:v>8</x:v>
      </x:c>
      <x:c r="BP62" s="90">
        <x:v>60.0</x:v>
      </x:c>
      <x:c r="BQ62" s="78">
        <x:f t="shared" si="3"/>
        <x:v>87.55429412</x:v>
      </x:c>
      <x:c r="BR62" s="90" t="n">
        <x:f>IFERROR(LARGE($AL$3:$AL$102,60),"")</x:f>
        <x:v>-15.939352933235284</x:v>
      </x:c>
      <x:c r="BS62" s="90">
        <x:f t="shared" si="9"/>
        <x:v>-1.731405882</x:v>
      </x:c>
      <x:c r="BT62" s="90">
        <x:f t="shared" si="10"/>
        <x:v>6</x:v>
      </x:c>
      <x:c r="BU62" s="78">
        <x:v>60.0</x:v>
      </x:c>
      <x:c r="BV62" s="78" t="str">
        <x:f t="shared" si="4"/>
      </x:c>
      <x:c r="BW62" s="90"/>
      <x:c r="BX62" s="90"/>
      <x:c r="BY62" s="90" t="n">
        <x:f t="array" ref="BY62">IFERROR(VALUE(RIGHT(INDEX(ECR!$E:$E,MATCH(P62,ECR!$C:$C,0)),LEN(INDEX(ECR!$E:$E,MATCH(P62,ECR!$C:$C,0)))-2)),"")</x:f>
        <x:v>60</x:v>
      </x:c>
      <x:c r="BZ62" s="90"/>
      <x:c r="CA62" s="90"/>
      <x:c r="CB62" s="90"/>
      <x:c r="CC62" s="90"/>
      <x:c r="CD62" s="90"/>
      <x:c r="CE62" s="90"/>
      <x:c r="CF62" s="90"/>
      <x:c r="CG62" s="90"/>
    </x:row>
    <x:row r="63" ht="14.2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120"/>
      <x:c r="M63" s="3"/>
      <x:c r="N63" s="120"/>
      <x:c r="O63" s="75" t="s">
        <x:v>357</x:v>
      </x:c>
      <x:c r="P63" s="60" t="str">
        <x:f>VLOOKUP(O63,ECR!E:L,8,FALSE())</x:f>
        <x:v>Kimani Vidal</x:v>
      </x:c>
      <x:c r="Q63" s="63" t="str">
        <x:f>IFERROR(VLOOKUP(Aggregate!$P63,ECR!C:F,2,FALSE()),"-")</x:f>
        <x:v>LAC</x:v>
      </x:c>
      <x:c r="R63" s="63" t="n">
        <x:f>IFERROR(VLOOKUP(Aggregate!$P63,ECR!C:F,4,FALSE()),"-")</x:f>
        <x:v>7</x:v>
      </x:c>
      <x:c r="S63" s="63" t="str">
        <x:f>Aggregate!$Q63 &amp; "/" &amp; Aggregate!$R63</x:f>
        <x:v>LAC/7</x:v>
      </x:c>
      <x:c r="T63" s="67" t="n">
        <x:f>IFERROR(VLOOKUP(Aggregate!$P63,RB!A:Q,13,FALSE())/17*(16-Aggregate!$AA63),0)</x:f>
        <x:v>24.104828235294118</x:v>
      </x:c>
      <x:c r="U63" s="67" t="n">
        <x:f>IFERROR(VLOOKUP(Aggregate!$P63,RB!A:Q,14,FALSE())/17*(16-Aggregate!$AA63),0)</x:f>
        <x:v>39.6570494117647</x:v>
      </x:c>
      <x:c r="V63" s="67" t="n">
        <x:f>IFERROR(VLOOKUP(Aggregate!$P63,RB!A:Q,15,FALSE())/17*(16-Aggregate!$AA63),0)</x:f>
        <x:v>54.763435294117656</x:v>
      </x:c>
      <x:c r="W63" s="70" t="n">
        <x:f>AVERAGE(Aggregate!$T63,Aggregate!$U63,Aggregate!$V63,VLOOKUP(Aggregate!$P63,ECR!L:N,3,FALSE))</x:f>
        <x:v>44.77203229029412</x:v>
      </x:c>
      <x:c r="X63" s="70" t="n">
        <x:f>Aggregate!$W63-$Q$1</x:f>
        <x:v>-85.22829683470589</x:v>
      </x:c>
      <x:c r="Y63" s="74" t="n">
        <x:f>MAX(Aggregate!$X63*Scoring!$B$48+1,1)</x:f>
        <x:v>1</x:v>
      </x:c>
      <x:c r="Z63" s="75" t="n">
        <x:f>VLOOKUP(Aggregate!$X63,BM:BO,3,FALSE)</x:f>
        <x:v>9</x:v>
      </x:c>
      <x:c r="AA63" s="77" t="n">
        <x:f t="array" ref="AA63">VLOOKUP(INDEX(ECR!$E:$E,MATCH(P63,ECR!$C:$C,0)),RISK!A:B,2,FALSE())</x:f>
        <x:v>3.368</x:v>
      </x:c>
      <x:c r="AB63" s="78"/>
      <x:c r="AC63" s="63" t="s">
        <x:v>358</x:v>
      </x:c>
      <x:c r="AD63" s="63" t="str">
        <x:f>VLOOKUP(AC63,ECR!E:L,8,FALSE())</x:f>
        <x:v>Jerry Jeudy</x:v>
      </x:c>
      <x:c r="AE63" s="63" t="str">
        <x:f>IFERROR(VLOOKUP(Aggregate!$AD63,ECR!C:F,2,FALSE()),"-")</x:f>
        <x:v>CLE</x:v>
      </x:c>
      <x:c r="AF63" s="63" t="n">
        <x:f>IFERROR(VLOOKUP(Aggregate!$AD63,ECR!C:F,4,FALSE()),"-")</x:f>
        <x:v>11</x:v>
      </x:c>
      <x:c r="AG63" s="63" t="str">
        <x:f>Aggregate!$AE63 &amp; "/" &amp; Aggregate!$AF63</x:f>
        <x:v>CLE/11</x:v>
      </x:c>
      <x:c r="AH63" s="67" t="n">
        <x:f>IFERROR(VLOOKUP(Aggregate!$AD63,WR!A:Q,13,FALSE())/17*(16-Aggregate!$AO63),0)</x:f>
        <x:v>80.65905882352942</x:v>
      </x:c>
      <x:c r="AI63" s="67" t="n">
        <x:f>IFERROR(VLOOKUP(Aggregate!$AD63,WR!A:Q,14,FALSE())/17*(16-Aggregate!$AO63),0)</x:f>
        <x:v>85.91188235294118</x:v>
      </x:c>
      <x:c r="AJ63" s="67" t="n">
        <x:f>IFERROR(VLOOKUP(Aggregate!$AD63,WR!A:Q,15,FALSE())/17*(16-Aggregate!$AO63),0)</x:f>
        <x:v>91.02</x:v>
      </x:c>
      <x:c r="AK63" s="70" t="n">
        <x:f>AVERAGE(Aggregate!$AH63,Aggregate!$AI63,Aggregate!$AJ63,VLOOKUP(Aggregate!$AD63,ECR!L:N,3,FALSE))</x:f>
        <x:v>86.25555882411766</x:v>
      </x:c>
      <x:c r="AL63" s="70" t="n">
        <x:f>Aggregate!$AK63-$AE$1</x:f>
        <x:v>-15.939352933235284</x:v>
      </x:c>
      <x:c r="AM63" s="74" t="n">
        <x:f>MAX(Aggregate!$AL63*Scoring!$B$48+1,1)</x:f>
        <x:v>1</x:v>
      </x:c>
      <x:c r="AN63" s="75" t="n">
        <x:f>VLOOKUP(Aggregate!$AL63,BR:BT,3,FALSE)</x:f>
        <x:v>6</x:v>
      </x:c>
      <x:c r="AO63" s="77" t="n">
        <x:f t="array" ref="AO63">VLOOKUP(INDEX(ECR!$E:$E,MATCH(AD63,ECR!$C:$C,0)),RISK!A:B,2,FALSE())</x:f>
        <x:v>3.7</x:v>
      </x:c>
      <x:c r="AP63" s="78"/>
      <x:c r="AQ63" s="87" t="s">
        <x:v>359</x:v>
      </x:c>
      <x:c r="AR63" s="3"/>
      <x:c r="AS63" s="120"/>
      <x:c r="AT63" s="3"/>
      <x:c r="AU63" s="3"/>
      <x:c r="AV63" s="3"/>
      <x:c r="AW63" s="3"/>
      <x:c r="AX63" s="3"/>
      <x:c r="AY63" s="3"/>
      <x:c r="AZ63" s="3"/>
      <x:c r="BA63" s="3"/>
      <x:c r="BB63" s="120"/>
      <x:c r="BC63" s="3"/>
      <x:c r="BD63" s="3"/>
      <x:c r="BE63" s="120"/>
      <x:c r="BF63" s="78">
        <x:v>61.0</x:v>
      </x:c>
      <x:c r="BG63" s="78" t="str">
        <x:f t="shared" si="1"/>
      </x:c>
      <x:c r="BH63" s="90"/>
      <x:c r="BI63" s="90"/>
      <x:c r="BJ63" s="90"/>
      <x:c r="BK63" s="89">
        <x:v>61.0</x:v>
      </x:c>
      <x:c r="BL63" s="78">
        <x:f t="shared" si="2"/>
        <x:v>60.56281622</x:v>
      </x:c>
      <x:c r="BM63" s="90" t="n">
        <x:f>IFERROR(LARGE($X$3:$X$102,61),"")</x:f>
        <x:v>-70.65353610441178</x:v>
      </x:c>
      <x:c r="BN63" s="90">
        <x:f t="shared" si="7"/>
        <x:v>-42.15324668</x:v>
      </x:c>
      <x:c r="BO63" s="91">
        <x:f t="shared" si="8"/>
        <x:v>9</x:v>
      </x:c>
      <x:c r="BP63" s="90">
        <x:v>61.0</x:v>
      </x:c>
      <x:c r="BQ63" s="78">
        <x:f t="shared" si="3"/>
        <x:v>87.43129412</x:v>
      </x:c>
      <x:c r="BR63" s="90" t="n">
        <x:f>IFERROR(LARGE($AL$3:$AL$102,61),"")</x:f>
        <x:v>-16.285417052205872</x:v>
      </x:c>
      <x:c r="BS63" s="90">
        <x:f t="shared" si="9"/>
        <x:v>-1.731405882</x:v>
      </x:c>
      <x:c r="BT63" s="90">
        <x:f t="shared" si="10"/>
        <x:v>6</x:v>
      </x:c>
      <x:c r="BU63" s="78">
        <x:v>61.0</x:v>
      </x:c>
      <x:c r="BV63" s="78" t="str">
        <x:f t="shared" si="4"/>
      </x:c>
      <x:c r="BW63" s="90"/>
      <x:c r="BX63" s="90"/>
      <x:c r="BY63" s="90" t="n">
        <x:f t="array" ref="BY63">IFERROR(VALUE(RIGHT(INDEX(ECR!$E:$E,MATCH(P63,ECR!$C:$C,0)),LEN(INDEX(ECR!$E:$E,MATCH(P63,ECR!$C:$C,0)))-2)),"")</x:f>
        <x:v>61</x:v>
      </x:c>
      <x:c r="BZ63" s="90"/>
      <x:c r="CA63" s="90"/>
      <x:c r="CB63" s="90"/>
      <x:c r="CC63" s="90"/>
      <x:c r="CD63" s="90"/>
      <x:c r="CE63" s="90"/>
      <x:c r="CF63" s="90"/>
      <x:c r="CG63" s="90"/>
    </x:row>
    <x:row r="64" ht="14.2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120"/>
      <x:c r="M64" s="3"/>
      <x:c r="N64" s="120"/>
      <x:c r="O64" s="75" t="s">
        <x:v>360</x:v>
      </x:c>
      <x:c r="P64" s="60" t="str">
        <x:f>VLOOKUP(O64,ECR!E:L,8,FALSE())</x:f>
        <x:v>Nicholas Singleton</x:v>
      </x:c>
      <x:c r="Q64" s="63" t="str">
        <x:f>IFERROR(VLOOKUP(Aggregate!$P64,ECR!C:F,2,FALSE()),"-")</x:f>
        <x:v>TEN</x:v>
      </x:c>
      <x:c r="R64" s="63" t="n">
        <x:f>IFERROR(VLOOKUP(Aggregate!$P64,ECR!C:F,4,FALSE()),"-")</x:f>
        <x:v>9</x:v>
      </x:c>
      <x:c r="S64" s="63" t="str">
        <x:f>Aggregate!$Q64 &amp; "/" &amp; Aggregate!$R64</x:f>
        <x:v>TEN/9</x:v>
      </x:c>
      <x:c r="T64" s="67" t="n">
        <x:f>IFERROR(VLOOKUP(Aggregate!$P64,RB!A:Q,13,FALSE())/17*(16-Aggregate!$AA64),0)</x:f>
        <x:v>58.56141699764706</x:v>
      </x:c>
      <x:c r="U64" s="67" t="n">
        <x:f>IFERROR(VLOOKUP(Aggregate!$P64,RB!A:Q,14,FALSE())/17*(16-Aggregate!$AA64),0)</x:f>
        <x:v>58.56141699764706</x:v>
      </x:c>
      <x:c r="V64" s="67" t="n">
        <x:f>IFERROR(VLOOKUP(Aggregate!$P64,RB!A:Q,15,FALSE())/17*(16-Aggregate!$AA64),0)</x:f>
        <x:v>58.56141699764706</x:v>
      </x:c>
      <x:c r="W64" s="70" t="n">
        <x:f>AVERAGE(Aggregate!$T64,Aggregate!$U64,Aggregate!$V64,VLOOKUP(Aggregate!$P64,ECR!L:N,3,FALSE))</x:f>
        <x:v>58.888125100735294</x:v>
      </x:c>
      <x:c r="X64" s="70" t="n">
        <x:f>Aggregate!$W64-$Q$1</x:f>
        <x:v>-71.11220402426471</x:v>
      </x:c>
      <x:c r="Y64" s="74" t="n">
        <x:f>MAX(Aggregate!$X64*Scoring!$B$48+1,1)</x:f>
        <x:v>1</x:v>
      </x:c>
      <x:c r="Z64" s="75" t="n">
        <x:f>VLOOKUP(Aggregate!$X64,BM:BO,3,FALSE)</x:f>
        <x:v>9</x:v>
      </x:c>
      <x:c r="AA64" s="77" t="n">
        <x:f t="array" ref="AA64">VLOOKUP(INDEX(ECR!$E:$E,MATCH(P64,ECR!$C:$C,0)),RISK!A:B,2,FALSE())</x:f>
        <x:v>3.368</x:v>
      </x:c>
      <x:c r="AB64" s="78"/>
      <x:c r="AC64" s="63" t="s">
        <x:v>361</x:v>
      </x:c>
      <x:c r="AD64" s="63" t="str">
        <x:f>VLOOKUP(AC64,ECR!E:L,8,FALSE())</x:f>
        <x:v>Jauan Jennings</x:v>
      </x:c>
      <x:c r="AE64" s="63" t="str">
        <x:f>IFERROR(VLOOKUP(Aggregate!$AD64,ECR!C:F,2,FALSE()),"-")</x:f>
        <x:v>MIN</x:v>
      </x:c>
      <x:c r="AF64" s="63" t="n">
        <x:f>IFERROR(VLOOKUP(Aggregate!$AD64,ECR!C:F,4,FALSE()),"-")</x:f>
        <x:v>6</x:v>
      </x:c>
      <x:c r="AG64" s="63" t="str">
        <x:f>Aggregate!$AE64 &amp; "/" &amp; Aggregate!$AF64</x:f>
        <x:v>MIN/6</x:v>
      </x:c>
      <x:c r="AH64" s="67" t="n">
        <x:f>IFERROR(VLOOKUP(Aggregate!$AD64,WR!A:Q,13,FALSE())/17*(16-Aggregate!$AO64),0)</x:f>
        <x:v>64.88611764705882</x:v>
      </x:c>
      <x:c r="AI64" s="67" t="n">
        <x:f>IFERROR(VLOOKUP(Aggregate!$AD64,WR!A:Q,14,FALSE())/17*(16-Aggregate!$AO64),0)</x:f>
        <x:v>79.53035294117647</x:v>
      </x:c>
      <x:c r="AJ64" s="67" t="n">
        <x:f>IFERROR(VLOOKUP(Aggregate!$AD64,WR!A:Q,15,FALSE())/17*(16-Aggregate!$AO64),0)</x:f>
        <x:v>93.62470588235296</x:v>
      </x:c>
      <x:c r="AK64" s="70" t="n">
        <x:f>AVERAGE(Aggregate!$AH64,Aggregate!$AI64,Aggregate!$AJ64,VLOOKUP(Aggregate!$AD64,ECR!L:N,3,FALSE))</x:f>
        <x:v>81.32383764764707</x:v>
      </x:c>
      <x:c r="AL64" s="70" t="n">
        <x:f>Aggregate!$AK64-$AE$1</x:f>
        <x:v>-20.871074109705873</x:v>
      </x:c>
      <x:c r="AM64" s="74" t="n">
        <x:f>MAX(Aggregate!$AL64*Scoring!$B$48+1,1)</x:f>
        <x:v>1</x:v>
      </x:c>
      <x:c r="AN64" s="75" t="n">
        <x:f>VLOOKUP(Aggregate!$AL64,BR:BT,3,FALSE)</x:f>
        <x:v>6</x:v>
      </x:c>
      <x:c r="AO64" s="77" t="n">
        <x:f t="array" ref="AO64">VLOOKUP(INDEX(ECR!$E:$E,MATCH(AD64,ECR!$C:$C,0)),RISK!A:B,2,FALSE())</x:f>
        <x:v>3.7</x:v>
      </x:c>
      <x:c r="AP64" s="78"/>
      <x:c r="AQ64" s="87" t="s">
        <x:v>362</x:v>
      </x:c>
      <x:c r="AR64" s="3"/>
      <x:c r="AS64" s="120"/>
      <x:c r="AT64" s="3"/>
      <x:c r="AU64" s="3"/>
      <x:c r="AV64" s="3"/>
      <x:c r="AW64" s="3"/>
      <x:c r="AX64" s="3"/>
      <x:c r="AY64" s="3"/>
      <x:c r="AZ64" s="3"/>
      <x:c r="BA64" s="3"/>
      <x:c r="BB64" s="120"/>
      <x:c r="BC64" s="3"/>
      <x:c r="BD64" s="3"/>
      <x:c r="BE64" s="120"/>
      <x:c r="BF64" s="78">
        <x:v>62.0</x:v>
      </x:c>
      <x:c r="BG64" s="78" t="str">
        <x:f t="shared" si="1"/>
      </x:c>
      <x:c r="BH64" s="90"/>
      <x:c r="BI64" s="90"/>
      <x:c r="BJ64" s="90"/>
      <x:c r="BK64" s="89">
        <x:v>62.0</x:v>
      </x:c>
      <x:c r="BL64" s="78">
        <x:f t="shared" si="2"/>
        <x:v>59.86824941</x:v>
      </x:c>
      <x:c r="BM64" s="90" t="n">
        <x:f>IFERROR(LARGE($X$3:$X$102,62),"")</x:f>
        <x:v>-71.11220402426471</x:v>
      </x:c>
      <x:c r="BN64" s="90">
        <x:f t="shared" si="7"/>
        <x:v>-42.15324668</x:v>
      </x:c>
      <x:c r="BO64" s="91">
        <x:f t="shared" si="8"/>
        <x:v>9</x:v>
      </x:c>
      <x:c r="BP64" s="90">
        <x:v>62.0</x:v>
      </x:c>
      <x:c r="BQ64" s="78">
        <x:f t="shared" si="3"/>
        <x:v>87.25417412</x:v>
      </x:c>
      <x:c r="BR64" s="90" t="n">
        <x:f>IFERROR(LARGE($AL$3:$AL$102,62),"")</x:f>
        <x:v>-16.78407352147059</x:v>
      </x:c>
      <x:c r="BS64" s="90">
        <x:f t="shared" si="9"/>
        <x:v>-1.731405882</x:v>
      </x:c>
      <x:c r="BT64" s="90">
        <x:f t="shared" si="10"/>
        <x:v>6</x:v>
      </x:c>
      <x:c r="BU64" s="78">
        <x:v>62.0</x:v>
      </x:c>
      <x:c r="BV64" s="78" t="str">
        <x:f t="shared" si="4"/>
      </x:c>
      <x:c r="BW64" s="90"/>
      <x:c r="BX64" s="90"/>
      <x:c r="BY64" s="90" t="n">
        <x:f t="array" ref="BY64">IFERROR(VALUE(RIGHT(INDEX(ECR!$E:$E,MATCH(P64,ECR!$C:$C,0)),LEN(INDEX(ECR!$E:$E,MATCH(P64,ECR!$C:$C,0)))-2)),"")</x:f>
        <x:v>62</x:v>
      </x:c>
      <x:c r="BZ64" s="90"/>
      <x:c r="CA64" s="90"/>
      <x:c r="CB64" s="90"/>
      <x:c r="CC64" s="90"/>
      <x:c r="CD64" s="90"/>
      <x:c r="CE64" s="90"/>
      <x:c r="CF64" s="90"/>
      <x:c r="CG64" s="90"/>
    </x:row>
    <x:row r="65" ht="14.2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120"/>
      <x:c r="M65" s="3"/>
      <x:c r="N65" s="120"/>
      <x:c r="O65" s="75" t="s">
        <x:v>363</x:v>
      </x:c>
      <x:c r="P65" s="60" t="str">
        <x:f>VLOOKUP(O65,ECR!E:L,8,FALSE())</x:f>
        <x:v>Jaydon Blue</x:v>
      </x:c>
      <x:c r="Q65" s="63" t="str">
        <x:f>IFERROR(VLOOKUP(Aggregate!$P65,ECR!C:F,2,FALSE()),"-")</x:f>
        <x:v>DAL</x:v>
      </x:c>
      <x:c r="R65" s="63" t="n">
        <x:f>IFERROR(VLOOKUP(Aggregate!$P65,ECR!C:F,4,FALSE()),"-")</x:f>
        <x:v>14</x:v>
      </x:c>
      <x:c r="S65" s="63" t="str">
        <x:f>Aggregate!$Q65 &amp; "/" &amp; Aggregate!$R65</x:f>
        <x:v>DAL/14</x:v>
      </x:c>
      <x:c r="T65" s="67" t="n">
        <x:f>IFERROR(VLOOKUP(Aggregate!$P65,RB!A:Q,13,FALSE())/17*(16-Aggregate!$AA65),0)</x:f>
        <x:v>37.16780235294117</x:v>
      </x:c>
      <x:c r="U65" s="67" t="n">
        <x:f>IFERROR(VLOOKUP(Aggregate!$P65,RB!A:Q,14,FALSE())/17*(16-Aggregate!$AA65),0)</x:f>
        <x:v>37.16780235294117</x:v>
      </x:c>
      <x:c r="V65" s="67" t="n">
        <x:f>IFERROR(VLOOKUP(Aggregate!$P65,RB!A:Q,15,FALSE())/17*(16-Aggregate!$AA65),0)</x:f>
        <x:v>37.16780235294117</x:v>
      </x:c>
      <x:c r="W65" s="70" t="n">
        <x:f>AVERAGE(Aggregate!$T65,Aggregate!$U65,Aggregate!$V65,VLOOKUP(Aggregate!$P65,ECR!L:N,3,FALSE))</x:f>
        <x:v>42.76707010470588</x:v>
      </x:c>
      <x:c r="X65" s="70" t="n">
        <x:f>Aggregate!$W65-$Q$1</x:f>
        <x:v>-87.23325902029413</x:v>
      </x:c>
      <x:c r="Y65" s="74" t="n">
        <x:f>MAX(Aggregate!$X65*Scoring!$B$48+1,1)</x:f>
        <x:v>1</x:v>
      </x:c>
      <x:c r="Z65" s="75" t="n">
        <x:f>VLOOKUP(Aggregate!$X65,BM:BO,3,FALSE)</x:f>
        <x:v>9</x:v>
      </x:c>
      <x:c r="AA65" s="77" t="n">
        <x:f t="array" ref="AA65">VLOOKUP(INDEX(ECR!$E:$E,MATCH(P65,ECR!$C:$C,0)),RISK!A:B,2,FALSE())</x:f>
        <x:v>3.368</x:v>
      </x:c>
      <x:c r="AB65" s="78"/>
      <x:c r="AC65" s="63" t="s">
        <x:v>364</x:v>
      </x:c>
      <x:c r="AD65" s="63" t="str">
        <x:f>VLOOKUP(AC65,ECR!E:L,8,FALSE())</x:f>
        <x:v>Jalen McMillan</x:v>
      </x:c>
      <x:c r="AE65" s="63" t="str">
        <x:f>IFERROR(VLOOKUP(Aggregate!$AD65,ECR!C:F,2,FALSE()),"-")</x:f>
        <x:v>TB</x:v>
      </x:c>
      <x:c r="AF65" s="63" t="n">
        <x:f>IFERROR(VLOOKUP(Aggregate!$AD65,ECR!C:F,4,FALSE()),"-")</x:f>
        <x:v>10</x:v>
      </x:c>
      <x:c r="AG65" s="63" t="str">
        <x:f>Aggregate!$AE65 &amp; "/" &amp; Aggregate!$AF65</x:f>
        <x:v>TB/10</x:v>
      </x:c>
      <x:c r="AH65" s="67" t="n">
        <x:f>IFERROR(VLOOKUP(Aggregate!$AD65,WR!A:Q,13,FALSE())/17*(16-Aggregate!$AO65),0)</x:f>
        <x:v>77.35976470588236</x:v>
      </x:c>
      <x:c r="AI65" s="67" t="n">
        <x:f>IFERROR(VLOOKUP(Aggregate!$AD65,WR!A:Q,14,FALSE())/17*(16-Aggregate!$AO65),0)</x:f>
        <x:v>79.81252941176471</x:v>
      </x:c>
      <x:c r="AJ65" s="67" t="n">
        <x:f>IFERROR(VLOOKUP(Aggregate!$AD65,WR!A:Q,15,FALSE())/17*(16-Aggregate!$AO65),0)</x:f>
        <x:v>82.73558823529412</x:v>
      </x:c>
      <x:c r="AK65" s="70" t="n">
        <x:f>AVERAGE(Aggregate!$AH65,Aggregate!$AI65,Aggregate!$AJ65,VLOOKUP(Aggregate!$AD65,ECR!L:N,3,FALSE))</x:f>
        <x:v>81.5209270582353</x:v>
      </x:c>
      <x:c r="AL65" s="70" t="n">
        <x:f>Aggregate!$AK65-$AE$1</x:f>
        <x:v>-20.67398469911764</x:v>
      </x:c>
      <x:c r="AM65" s="74" t="n">
        <x:f>MAX(Aggregate!$AL65*Scoring!$B$48+1,1)</x:f>
        <x:v>1</x:v>
      </x:c>
      <x:c r="AN65" s="75" t="n">
        <x:f>VLOOKUP(Aggregate!$AL65,BR:BT,3,FALSE)</x:f>
        <x:v>6</x:v>
      </x:c>
      <x:c r="AO65" s="77" t="n">
        <x:f t="array" ref="AO65">VLOOKUP(INDEX(ECR!$E:$E,MATCH(AD65,ECR!$C:$C,0)),RISK!A:B,2,FALSE())</x:f>
        <x:v>3.7</x:v>
      </x:c>
      <x:c r="AP65" s="78"/>
      <x:c r="AQ65" s="87" t="s">
        <x:v>365</x:v>
      </x:c>
      <x:c r="AR65" s="3"/>
      <x:c r="AS65" s="120"/>
      <x:c r="AT65" s="3"/>
      <x:c r="AU65" s="3"/>
      <x:c r="AV65" s="3"/>
      <x:c r="AW65" s="3"/>
      <x:c r="AX65" s="3"/>
      <x:c r="AY65" s="3"/>
      <x:c r="AZ65" s="3"/>
      <x:c r="BA65" s="3"/>
      <x:c r="BB65" s="120"/>
      <x:c r="BC65" s="3"/>
      <x:c r="BD65" s="3"/>
      <x:c r="BE65" s="120"/>
      <x:c r="BF65" s="78">
        <x:v>63.0</x:v>
      </x:c>
      <x:c r="BG65" s="78" t="str">
        <x:f t="shared" si="1"/>
      </x:c>
      <x:c r="BH65" s="90"/>
      <x:c r="BI65" s="90"/>
      <x:c r="BJ65" s="90"/>
      <x:c r="BK65" s="89">
        <x:v>63.0</x:v>
      </x:c>
      <x:c r="BL65" s="78">
        <x:f t="shared" si="2"/>
        <x:v>59.56487336</x:v>
      </x:c>
      <x:c r="BM65" s="90" t="n">
        <x:f>IFERROR(LARGE($X$3:$X$102,63),"")</x:f>
        <x:v>-73.04487030191177</x:v>
      </x:c>
      <x:c r="BN65" s="90">
        <x:f t="shared" si="7"/>
        <x:v>-42.15324668</x:v>
      </x:c>
      <x:c r="BO65" s="91">
        <x:f t="shared" si="8"/>
        <x:v>9</x:v>
      </x:c>
      <x:c r="BP65" s="90">
        <x:v>63.0</x:v>
      </x:c>
      <x:c r="BQ65" s="78">
        <x:f t="shared" si="3"/>
        <x:v>86.17582588</x:v>
      </x:c>
      <x:c r="BR65" s="90" t="n">
        <x:f>IFERROR(LARGE($AL$3:$AL$102,63),"")</x:f>
        <x:v>-17.36651469970589</x:v>
      </x:c>
      <x:c r="BS65" s="90">
        <x:f t="shared" si="9"/>
        <x:v>-1.731405882</x:v>
      </x:c>
      <x:c r="BT65" s="90">
        <x:f t="shared" si="10"/>
        <x:v>6</x:v>
      </x:c>
      <x:c r="BU65" s="78">
        <x:v>63.0</x:v>
      </x:c>
      <x:c r="BV65" s="78" t="str">
        <x:f t="shared" si="4"/>
      </x:c>
      <x:c r="BW65" s="90"/>
      <x:c r="BX65" s="90"/>
      <x:c r="BY65" s="90" t="n">
        <x:f t="array" ref="BY65">IFERROR(VALUE(RIGHT(INDEX(ECR!$E:$E,MATCH(P65,ECR!$C:$C,0)),LEN(INDEX(ECR!$E:$E,MATCH(P65,ECR!$C:$C,0)))-2)),"")</x:f>
        <x:v>63</x:v>
      </x:c>
      <x:c r="BZ65" s="90"/>
      <x:c r="CA65" s="90"/>
      <x:c r="CB65" s="90"/>
      <x:c r="CC65" s="90"/>
      <x:c r="CD65" s="90"/>
      <x:c r="CE65" s="90"/>
      <x:c r="CF65" s="90"/>
      <x:c r="CG65" s="90"/>
    </x:row>
    <x:row r="66" ht="14.25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120"/>
      <x:c r="M66" s="3"/>
      <x:c r="N66" s="120"/>
      <x:c r="O66" s="75" t="s">
        <x:v>366</x:v>
      </x:c>
      <x:c r="P66" s="60" t="str">
        <x:f>VLOOKUP(O66,ECR!E:L,8,FALSE())</x:f>
        <x:v>Kaytron Allen</x:v>
      </x:c>
      <x:c r="Q66" s="63" t="str">
        <x:f>IFERROR(VLOOKUP(Aggregate!$P66,ECR!C:F,2,FALSE()),"-")</x:f>
        <x:v>WAS</x:v>
      </x:c>
      <x:c r="R66" s="63" t="n">
        <x:f>IFERROR(VLOOKUP(Aggregate!$P66,ECR!C:F,4,FALSE()),"-")</x:f>
        <x:v>7</x:v>
      </x:c>
      <x:c r="S66" s="63" t="str">
        <x:f>Aggregate!$Q66 &amp; "/" &amp; Aggregate!$R66</x:f>
        <x:v>WAS/7</x:v>
      </x:c>
      <x:c r="T66" s="67" t="n">
        <x:f>IFERROR(VLOOKUP(Aggregate!$P66,RB!A:Q,13,FALSE())/17*(16-Aggregate!$AA66),0)</x:f>
        <x:v>52.52067570823529</x:v>
      </x:c>
      <x:c r="U66" s="67" t="n">
        <x:f>IFERROR(VLOOKUP(Aggregate!$P66,RB!A:Q,14,FALSE())/17*(16-Aggregate!$AA66),0)</x:f>
        <x:v>59.564873355294125</x:v>
      </x:c>
      <x:c r="V66" s="67" t="n">
        <x:f>IFERROR(VLOOKUP(Aggregate!$P66,RB!A:Q,15,FALSE())/17*(16-Aggregate!$AA66),0)</x:f>
        <x:v>66.49761217882352</x:v>
      </x:c>
      <x:c r="W66" s="70" t="n">
        <x:f>AVERAGE(Aggregate!$T66,Aggregate!$U66,Aggregate!$V66,VLOOKUP(Aggregate!$P66,ECR!L:N,3,FALSE))</x:f>
        <x:v>59.34679302058823</x:v>
      </x:c>
      <x:c r="X66" s="70" t="n">
        <x:f>Aggregate!$W66-$Q$1</x:f>
        <x:v>-70.65353610441178</x:v>
      </x:c>
      <x:c r="Y66" s="74" t="n">
        <x:f>MAX(Aggregate!$X66*Scoring!$B$48+1,1)</x:f>
        <x:v>1</x:v>
      </x:c>
      <x:c r="Z66" s="75" t="n">
        <x:f>VLOOKUP(Aggregate!$X66,BM:BO,3,FALSE)</x:f>
        <x:v>9</x:v>
      </x:c>
      <x:c r="AA66" s="77" t="n">
        <x:f t="array" ref="AA66">VLOOKUP(INDEX(ECR!$E:$E,MATCH(P66,ECR!$C:$C,0)),RISK!A:B,2,FALSE())</x:f>
        <x:v>3.368</x:v>
      </x:c>
      <x:c r="AB66" s="78"/>
      <x:c r="AC66" s="63" t="s">
        <x:v>367</x:v>
      </x:c>
      <x:c r="AD66" s="63" t="str">
        <x:f>VLOOKUP(AC66,ECR!E:L,8,FALSE())</x:f>
        <x:v>Tre' Harris</x:v>
      </x:c>
      <x:c r="AE66" s="63" t="str">
        <x:f>IFERROR(VLOOKUP(Aggregate!$AD66,ECR!C:F,2,FALSE()),"-")</x:f>
        <x:v>LAC</x:v>
      </x:c>
      <x:c r="AF66" s="63" t="n">
        <x:f>IFERROR(VLOOKUP(Aggregate!$AD66,ECR!C:F,4,FALSE()),"-")</x:f>
        <x:v>7</x:v>
      </x:c>
      <x:c r="AG66" s="63" t="str">
        <x:f>Aggregate!$AE66 &amp; "/" &amp; Aggregate!$AF66</x:f>
        <x:v>LAC/7</x:v>
      </x:c>
      <x:c r="AH66" s="67" t="n">
        <x:f>IFERROR(VLOOKUP(Aggregate!$AD66,WR!A:Q,13,FALSE())/17*(16-Aggregate!$AO66),0)</x:f>
        <x:v>52.45588235294118</x:v>
      </x:c>
      <x:c r="AI66" s="67" t="n">
        <x:f>IFERROR(VLOOKUP(Aggregate!$AD66,WR!A:Q,14,FALSE())/17*(16-Aggregate!$AO66),0)</x:f>
        <x:v>52.45588235294118</x:v>
      </x:c>
      <x:c r="AJ66" s="67" t="n">
        <x:f>IFERROR(VLOOKUP(Aggregate!$AD66,WR!A:Q,15,FALSE())/17*(16-Aggregate!$AO66),0)</x:f>
        <x:v>52.45588235294118</x:v>
      </x:c>
      <x:c r="AK66" s="70" t="n">
        <x:f>AVERAGE(Aggregate!$AH66,Aggregate!$AI66,Aggregate!$AJ66,VLOOKUP(Aggregate!$AD66,ECR!L:N,3,FALSE))</x:f>
        <x:v>60.833774117205884</x:v>
      </x:c>
      <x:c r="AL66" s="70" t="n">
        <x:f>Aggregate!$AK66-$AE$1</x:f>
        <x:v>-41.36113764014706</x:v>
      </x:c>
      <x:c r="AM66" s="74" t="n">
        <x:f>MAX(Aggregate!$AL66*Scoring!$B$48+1,1)</x:f>
        <x:v>1</x:v>
      </x:c>
      <x:c r="AN66" s="75" t="n">
        <x:f>VLOOKUP(Aggregate!$AL66,BR:BT,3,FALSE)</x:f>
        <x:v>7</x:v>
      </x:c>
      <x:c r="AO66" s="77" t="n">
        <x:f t="array" ref="AO66">VLOOKUP(INDEX(ECR!$E:$E,MATCH(AD66,ECR!$C:$C,0)),RISK!A:B,2,FALSE())</x:f>
        <x:v>3.7</x:v>
      </x:c>
      <x:c r="AP66" s="78"/>
      <x:c r="AQ66" s="87" t="s">
        <x:v>368</x:v>
      </x:c>
      <x:c r="AR66" s="3"/>
      <x:c r="AS66" s="120"/>
      <x:c r="AT66" s="3"/>
      <x:c r="AU66" s="3"/>
      <x:c r="AV66" s="3"/>
      <x:c r="AW66" s="3"/>
      <x:c r="AX66" s="3"/>
      <x:c r="AY66" s="3"/>
      <x:c r="AZ66" s="3"/>
      <x:c r="BA66" s="3"/>
      <x:c r="BB66" s="120"/>
      <x:c r="BC66" s="3"/>
      <x:c r="BD66" s="3"/>
      <x:c r="BE66" s="120"/>
      <x:c r="BF66" s="78">
        <x:v>64.0</x:v>
      </x:c>
      <x:c r="BG66" s="78" t="str">
        <x:f t="shared" si="1"/>
      </x:c>
      <x:c r="BH66" s="90"/>
      <x:c r="BI66" s="90"/>
      <x:c r="BJ66" s="90"/>
      <x:c r="BK66" s="89">
        <x:v>64.0</x:v>
      </x:c>
      <x:c r="BL66" s="78">
        <x:f t="shared" si="2"/>
        <x:v>58.80401084</x:v>
      </x:c>
      <x:c r="BM66" s="90" t="n">
        <x:f>IFERROR(LARGE($X$3:$X$102,64),"")</x:f>
        <x:v>-76.06851040514707</x:v>
      </x:c>
      <x:c r="BN66" s="90">
        <x:f t="shared" si="7"/>
        <x:v>-42.15324668</x:v>
      </x:c>
      <x:c r="BO66" s="91">
        <x:f t="shared" si="8"/>
        <x:v>9</x:v>
      </x:c>
      <x:c r="BP66" s="90">
        <x:v>64.0</x:v>
      </x:c>
      <x:c r="BQ66" s="78">
        <x:f t="shared" si="3"/>
        <x:v>85.96744941</x:v>
      </x:c>
      <x:c r="BR66" s="90" t="n">
        <x:f>IFERROR(LARGE($AL$3:$AL$102,64),"")</x:f>
        <x:v>-20.161147051323525</x:v>
      </x:c>
      <x:c r="BS66" s="90">
        <x:f t="shared" si="9"/>
        <x:v>-1.731405882</x:v>
      </x:c>
      <x:c r="BT66" s="90">
        <x:f t="shared" si="10"/>
        <x:v>6</x:v>
      </x:c>
      <x:c r="BU66" s="78">
        <x:v>64.0</x:v>
      </x:c>
      <x:c r="BV66" s="78" t="str">
        <x:f t="shared" si="4"/>
      </x:c>
      <x:c r="BW66" s="90"/>
      <x:c r="BX66" s="90"/>
      <x:c r="BY66" s="90" t="n">
        <x:f t="array" ref="BY66">IFERROR(VALUE(RIGHT(INDEX(ECR!$E:$E,MATCH(P66,ECR!$C:$C,0)),LEN(INDEX(ECR!$E:$E,MATCH(P66,ECR!$C:$C,0)))-2)),"")</x:f>
        <x:v>64</x:v>
      </x:c>
      <x:c r="BZ66" s="90"/>
      <x:c r="CA66" s="90"/>
      <x:c r="CB66" s="90"/>
      <x:c r="CC66" s="90"/>
      <x:c r="CD66" s="90"/>
      <x:c r="CE66" s="90"/>
      <x:c r="CF66" s="90"/>
      <x:c r="CG66" s="90"/>
    </x:row>
    <x:row r="67" ht="14.25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120"/>
      <x:c r="M67" s="3"/>
      <x:c r="N67" s="120"/>
      <x:c r="O67" s="75" t="s">
        <x:v>369</x:v>
      </x:c>
      <x:c r="P67" s="60" t="str">
        <x:f>VLOOKUP(O67,ECR!E:L,8,FALSE())</x:f>
        <x:v>Emanuel Wilson</x:v>
      </x:c>
      <x:c r="Q67" s="63" t="str">
        <x:f>IFERROR(VLOOKUP(Aggregate!$P67,ECR!C:F,2,FALSE()),"-")</x:f>
        <x:v>SEA</x:v>
      </x:c>
      <x:c r="R67" s="63" t="n">
        <x:f>IFERROR(VLOOKUP(Aggregate!$P67,ECR!C:F,4,FALSE()),"-")</x:f>
        <x:v>11</x:v>
      </x:c>
      <x:c r="S67" s="63" t="str">
        <x:f>Aggregate!$Q67 &amp; "/" &amp; Aggregate!$R67</x:f>
        <x:v>SEA/11</x:v>
      </x:c>
      <x:c r="T67" s="67" t="n">
        <x:f>IFERROR(VLOOKUP(Aggregate!$P67,RB!A:Q,13,FALSE())/17*(16-Aggregate!$AA67),0)</x:f>
        <x:v>5.149397647058824</x:v>
      </x:c>
      <x:c r="U67" s="67" t="n">
        <x:f>IFERROR(VLOOKUP(Aggregate!$P67,RB!A:Q,14,FALSE())/17*(16-Aggregate!$AA67),0)</x:f>
        <x:v>35.15411294117647</x:v>
      </x:c>
      <x:c r="V67" s="67" t="n">
        <x:f>IFERROR(VLOOKUP(Aggregate!$P67,RB!A:Q,15,FALSE())/17*(16-Aggregate!$AA67),0)</x:f>
        <x:v>65.46348235294117</x:v>
      </x:c>
      <x:c r="W67" s="70" t="n">
        <x:f>AVERAGE(Aggregate!$T67,Aggregate!$U67,Aggregate!$V67,VLOOKUP(Aggregate!$P67,ECR!L:N,3,FALSE))</x:f>
        <x:v>41.082102485294115</x:v>
      </x:c>
      <x:c r="X67" s="70" t="n">
        <x:f>Aggregate!$W67-$Q$1</x:f>
        <x:v>-88.91822663970589</x:v>
      </x:c>
      <x:c r="Y67" s="74" t="n">
        <x:f>MAX(Aggregate!$X67*Scoring!$B$48+1,1)</x:f>
        <x:v>1</x:v>
      </x:c>
      <x:c r="Z67" s="75" t="n">
        <x:f>VLOOKUP(Aggregate!$X67,BM:BO,3,FALSE)</x:f>
        <x:v>9</x:v>
      </x:c>
      <x:c r="AA67" s="77" t="n">
        <x:f t="array" ref="AA67">VLOOKUP(INDEX(ECR!$E:$E,MATCH(P67,ECR!$C:$C,0)),RISK!A:B,2,FALSE())</x:f>
        <x:v>3.368</x:v>
      </x:c>
      <x:c r="AB67" s="78"/>
      <x:c r="AC67" s="63" t="s">
        <x:v>370</x:v>
      </x:c>
      <x:c r="AD67" s="63" t="str">
        <x:f>VLOOKUP(AC67,ECR!E:L,8,FALSE())</x:f>
        <x:v>Dontayvion Wicks</x:v>
      </x:c>
      <x:c r="AE67" s="63" t="str">
        <x:f>IFERROR(VLOOKUP(Aggregate!$AD67,ECR!C:F,2,FALSE()),"-")</x:f>
        <x:v>PHI</x:v>
      </x:c>
      <x:c r="AF67" s="63" t="n">
        <x:f>IFERROR(VLOOKUP(Aggregate!$AD67,ECR!C:F,4,FALSE()),"-")</x:f>
        <x:v>10</x:v>
      </x:c>
      <x:c r="AG67" s="63" t="str">
        <x:f>Aggregate!$AE67 &amp; "/" &amp; Aggregate!$AF67</x:f>
        <x:v>PHI/10</x:v>
      </x:c>
      <x:c r="AH67" s="67" t="n">
        <x:f>IFERROR(VLOOKUP(Aggregate!$AD67,WR!A:Q,13,FALSE())/17*(16-Aggregate!$AO67),0)</x:f>
        <x:v>63.76464705882353</x:v>
      </x:c>
      <x:c r="AI67" s="67" t="n">
        <x:f>IFERROR(VLOOKUP(Aggregate!$AD67,WR!A:Q,14,FALSE())/17*(16-Aggregate!$AO67),0)</x:f>
        <x:v>63.76464705882353</x:v>
      </x:c>
      <x:c r="AJ67" s="67" t="n">
        <x:f>IFERROR(VLOOKUP(Aggregate!$AD67,WR!A:Q,15,FALSE())/17*(16-Aggregate!$AO67),0)</x:f>
        <x:v>63.76464705882353</x:v>
      </x:c>
      <x:c r="AK67" s="70" t="n">
        <x:f>AVERAGE(Aggregate!$AH67,Aggregate!$AI67,Aggregate!$AJ67,VLOOKUP(Aggregate!$AD67,ECR!L:N,3,FALSE))</x:f>
        <x:v>69.30145588161764</x:v>
      </x:c>
      <x:c r="AL67" s="70" t="n">
        <x:f>Aggregate!$AK67-$AE$1</x:f>
        <x:v>-32.8934558757353</x:v>
      </x:c>
      <x:c r="AM67" s="74" t="n">
        <x:f>MAX(Aggregate!$AL67*Scoring!$B$48+1,1)</x:f>
        <x:v>1</x:v>
      </x:c>
      <x:c r="AN67" s="75" t="n">
        <x:f>VLOOKUP(Aggregate!$AL67,BR:BT,3,FALSE)</x:f>
        <x:v>7</x:v>
      </x:c>
      <x:c r="AO67" s="77" t="n">
        <x:f t="array" ref="AO67">VLOOKUP(INDEX(ECR!$E:$E,MATCH(AD67,ECR!$C:$C,0)),RISK!A:B,2,FALSE())</x:f>
        <x:v>3.7</x:v>
      </x:c>
      <x:c r="AP67" s="78"/>
      <x:c r="AQ67" s="87" t="s">
        <x:v>371</x:v>
      </x:c>
      <x:c r="AR67" s="3"/>
      <x:c r="AS67" s="120"/>
      <x:c r="AT67" s="3"/>
      <x:c r="AU67" s="3"/>
      <x:c r="AV67" s="3"/>
      <x:c r="AW67" s="3"/>
      <x:c r="AX67" s="3"/>
      <x:c r="AY67" s="3"/>
      <x:c r="AZ67" s="3"/>
      <x:c r="BA67" s="3"/>
      <x:c r="BB67" s="120"/>
      <x:c r="BC67" s="3"/>
      <x:c r="BD67" s="3"/>
      <x:c r="BE67" s="120"/>
      <x:c r="BF67" s="78">
        <x:v>65.0</x:v>
      </x:c>
      <x:c r="BG67" s="78" t="str">
        <x:f t="shared" si="1"/>
      </x:c>
      <x:c r="BH67" s="90"/>
      <x:c r="BI67" s="90"/>
      <x:c r="BJ67" s="90"/>
      <x:c r="BK67" s="89">
        <x:v>65.0</x:v>
      </x:c>
      <x:c r="BL67" s="78">
        <x:f t="shared" si="2"/>
        <x:v>58.561417</x:v>
      </x:c>
      <x:c r="BM67" s="90" t="n">
        <x:f>IFERROR(LARGE($X$3:$X$102,65),"")</x:f>
        <x:v>-77.6351161832353</x:v>
      </x:c>
      <x:c r="BN67" s="90">
        <x:f t="shared" si="7"/>
        <x:v>-42.15324668</x:v>
      </x:c>
      <x:c r="BO67" s="91">
        <x:f t="shared" si="8"/>
        <x:v>9</x:v>
      </x:c>
      <x:c r="BP67" s="90">
        <x:v>65.0</x:v>
      </x:c>
      <x:c r="BQ67" s="78">
        <x:f t="shared" si="3"/>
        <x:v>85.91188235</x:v>
      </x:c>
      <x:c r="BR67" s="90" t="n">
        <x:f>IFERROR(LARGE($AL$3:$AL$102,65),"")</x:f>
        <x:v>-20.67398469911764</x:v>
      </x:c>
      <x:c r="BS67" s="90">
        <x:f t="shared" si="9"/>
        <x:v>-1.731405882</x:v>
      </x:c>
      <x:c r="BT67" s="90">
        <x:f t="shared" si="10"/>
        <x:v>6</x:v>
      </x:c>
      <x:c r="BU67" s="78">
        <x:v>65.0</x:v>
      </x:c>
      <x:c r="BV67" s="78" t="str">
        <x:f t="shared" si="4"/>
      </x:c>
      <x:c r="BW67" s="90"/>
      <x:c r="BX67" s="90"/>
      <x:c r="BY67" s="90" t="n">
        <x:f t="array" ref="BY67">IFERROR(VALUE(RIGHT(INDEX(ECR!$E:$E,MATCH(P67,ECR!$C:$C,0)),LEN(INDEX(ECR!$E:$E,MATCH(P67,ECR!$C:$C,0)))-2)),"")</x:f>
        <x:v>65</x:v>
      </x:c>
      <x:c r="BZ67" s="90"/>
      <x:c r="CA67" s="90"/>
      <x:c r="CB67" s="90"/>
      <x:c r="CC67" s="90"/>
      <x:c r="CD67" s="90"/>
      <x:c r="CE67" s="90"/>
      <x:c r="CF67" s="90"/>
      <x:c r="CG67" s="90"/>
    </x:row>
    <x:row r="68" ht="14.25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120"/>
      <x:c r="M68" s="3"/>
      <x:c r="N68" s="120"/>
      <x:c r="O68" s="75" t="s">
        <x:v>372</x:v>
      </x:c>
      <x:c r="P68" s="60" t="str">
        <x:f>VLOOKUP(O68,ECR!E:L,8,FALSE())</x:f>
        <x:v>James Conner</x:v>
      </x:c>
      <x:c r="Q68" s="63" t="str">
        <x:f>IFERROR(VLOOKUP(Aggregate!$P68,ECR!C:F,2,FALSE()),"-")</x:f>
        <x:v>ARI</x:v>
      </x:c>
      <x:c r="R68" s="63" t="n">
        <x:f>IFERROR(VLOOKUP(Aggregate!$P68,ECR!C:F,4,FALSE()),"-")</x:f>
        <x:v>14</x:v>
      </x:c>
      <x:c r="S68" s="63" t="str">
        <x:f>Aggregate!$Q68 &amp; "/" &amp; Aggregate!$R68</x:f>
        <x:v>ARI/14</x:v>
      </x:c>
      <x:c r="T68" s="67" t="n">
        <x:f>IFERROR(VLOOKUP(Aggregate!$P68,RB!A:Q,13,FALSE())/17*(16-Aggregate!$AA68),0)</x:f>
        <x:v>0</x:v>
      </x:c>
      <x:c r="U68" s="67" t="n">
        <x:f>IFERROR(VLOOKUP(Aggregate!$P68,RB!A:Q,14,FALSE())/17*(16-Aggregate!$AA68),0)</x:f>
        <x:v>39.49357647058824</x:v>
      </x:c>
      <x:c r="V68" s="67" t="n">
        <x:f>IFERROR(VLOOKUP(Aggregate!$P68,RB!A:Q,15,FALSE())/17*(16-Aggregate!$AA68),0)</x:f>
        <x:v>78.98715294117648</x:v>
      </x:c>
      <x:c r="W68" s="70" t="n">
        <x:f>AVERAGE(Aggregate!$T68,Aggregate!$U68,Aggregate!$V68,VLOOKUP(Aggregate!$P68,ECR!L:N,3,FALSE))</x:f>
        <x:v>43.86462000044118</x:v>
      </x:c>
      <x:c r="X68" s="70" t="n">
        <x:f>Aggregate!$W68-$Q$1</x:f>
        <x:v>-86.13570912455883</x:v>
      </x:c>
      <x:c r="Y68" s="74" t="n">
        <x:f>MAX(Aggregate!$X68*Scoring!$B$48+1,1)</x:f>
        <x:v>1</x:v>
      </x:c>
      <x:c r="Z68" s="75" t="n">
        <x:f>VLOOKUP(Aggregate!$X68,BM:BO,3,FALSE)</x:f>
        <x:v>9</x:v>
      </x:c>
      <x:c r="AA68" s="77" t="n">
        <x:f t="array" ref="AA68">VLOOKUP(INDEX(ECR!$E:$E,MATCH(P68,ECR!$C:$C,0)),RISK!A:B,2,FALSE())</x:f>
        <x:v>3.368</x:v>
      </x:c>
      <x:c r="AB68" s="78"/>
      <x:c r="AC68" s="63" t="s">
        <x:v>373</x:v>
      </x:c>
      <x:c r="AD68" s="63" t="str">
        <x:f>VLOOKUP(AC68,ECR!E:L,8,FALSE())</x:f>
        <x:v>Kayshon Boutte</x:v>
      </x:c>
      <x:c r="AE68" s="63" t="str">
        <x:f>IFERROR(VLOOKUP(Aggregate!$AD68,ECR!C:F,2,FALSE()),"-")</x:f>
        <x:v>HOU</x:v>
      </x:c>
      <x:c r="AF68" s="63" t="n">
        <x:f>IFERROR(VLOOKUP(Aggregate!$AD68,ECR!C:F,4,FALSE()),"-")</x:f>
        <x:v>8</x:v>
      </x:c>
      <x:c r="AG68" s="63" t="str">
        <x:f>Aggregate!$AE68 &amp; "/" &amp; Aggregate!$AF68</x:f>
        <x:v>HOU/8</x:v>
      </x:c>
      <x:c r="AH68" s="67" t="n">
        <x:f>IFERROR(VLOOKUP(Aggregate!$AD68,WR!A:Q,13,FALSE())/17*(16-Aggregate!$AO68),0)</x:f>
        <x:v>52.20264705882353</x:v>
      </x:c>
      <x:c r="AI68" s="67" t="n">
        <x:f>IFERROR(VLOOKUP(Aggregate!$AD68,WR!A:Q,14,FALSE())/17*(16-Aggregate!$AO68),0)</x:f>
        <x:v>67.17970588235293</x:v>
      </x:c>
      <x:c r="AJ68" s="67" t="n">
        <x:f>IFERROR(VLOOKUP(Aggregate!$AD68,WR!A:Q,15,FALSE())/17*(16-Aggregate!$AO68),0)</x:f>
        <x:v>82.41000000000001</x:v>
      </x:c>
      <x:c r="AK68" s="70" t="n">
        <x:f>AVERAGE(Aggregate!$AH68,Aggregate!$AI68,Aggregate!$AJ68,VLOOKUP(Aggregate!$AD68,ECR!L:N,3,FALSE))</x:f>
        <x:v>71.70538235279412</x:v>
      </x:c>
      <x:c r="AL68" s="70" t="n">
        <x:f>Aggregate!$AK68-$AE$1</x:f>
        <x:v>-30.489529404558823</x:v>
      </x:c>
      <x:c r="AM68" s="74" t="n">
        <x:f>MAX(Aggregate!$AL68*Scoring!$B$48+1,1)</x:f>
        <x:v>1</x:v>
      </x:c>
      <x:c r="AN68" s="75" t="n">
        <x:f>VLOOKUP(Aggregate!$AL68,BR:BT,3,FALSE)</x:f>
        <x:v>7</x:v>
      </x:c>
      <x:c r="AO68" s="77" t="n">
        <x:f t="array" ref="AO68">VLOOKUP(INDEX(ECR!$E:$E,MATCH(AD68,ECR!$C:$C,0)),RISK!A:B,2,FALSE())</x:f>
        <x:v>3.7</x:v>
      </x:c>
      <x:c r="AP68" s="78"/>
      <x:c r="AQ68" s="87" t="s">
        <x:v>374</x:v>
      </x:c>
      <x:c r="AR68" s="3"/>
      <x:c r="AS68" s="120"/>
      <x:c r="AT68" s="3"/>
      <x:c r="AU68" s="3"/>
      <x:c r="AV68" s="3"/>
      <x:c r="AW68" s="3"/>
      <x:c r="AX68" s="3"/>
      <x:c r="AY68" s="3"/>
      <x:c r="AZ68" s="3"/>
      <x:c r="BA68" s="3"/>
      <x:c r="BB68" s="120"/>
      <x:c r="BC68" s="3"/>
      <x:c r="BD68" s="3"/>
      <x:c r="BE68" s="120"/>
      <x:c r="BF68" s="78">
        <x:v>66.0</x:v>
      </x:c>
      <x:c r="BG68" s="78" t="str">
        <x:f t="shared" si="1"/>
      </x:c>
      <x:c r="BH68" s="90"/>
      <x:c r="BI68" s="90"/>
      <x:c r="BJ68" s="90"/>
      <x:c r="BK68" s="89">
        <x:v>66.0</x:v>
      </x:c>
      <x:c r="BL68" s="78">
        <x:f t="shared" si="2"/>
        <x:v>56.97775059</x:v>
      </x:c>
      <x:c r="BM68" s="90" t="n">
        <x:f>IFERROR(LARGE($X$3:$X$102,66),"")</x:f>
        <x:v>-78.62817343367648</x:v>
      </x:c>
      <x:c r="BN68" s="90">
        <x:f t="shared" si="7"/>
        <x:v>-42.15324668</x:v>
      </x:c>
      <x:c r="BO68" s="91">
        <x:f t="shared" si="8"/>
        <x:v>9</x:v>
      </x:c>
      <x:c r="BP68" s="90">
        <x:v>66.0</x:v>
      </x:c>
      <x:c r="BQ68" s="78">
        <x:f t="shared" si="3"/>
        <x:v>85.02917647</x:v>
      </x:c>
      <x:c r="BR68" s="90" t="n">
        <x:f>IFERROR(LARGE($AL$3:$AL$102,66),"")</x:f>
        <x:v>-20.871074109705873</x:v>
      </x:c>
      <x:c r="BS68" s="90">
        <x:f t="shared" si="9"/>
        <x:v>-1.731405882</x:v>
      </x:c>
      <x:c r="BT68" s="90">
        <x:f t="shared" si="10"/>
        <x:v>6</x:v>
      </x:c>
      <x:c r="BU68" s="78">
        <x:v>66.0</x:v>
      </x:c>
      <x:c r="BV68" s="78" t="str">
        <x:f t="shared" si="4"/>
      </x:c>
      <x:c r="BW68" s="90"/>
      <x:c r="BX68" s="90"/>
      <x:c r="BY68" s="90" t="n">
        <x:f t="array" ref="BY68">IFERROR(VALUE(RIGHT(INDEX(ECR!$E:$E,MATCH(P68,ECR!$C:$C,0)),LEN(INDEX(ECR!$E:$E,MATCH(P68,ECR!$C:$C,0)))-2)),"")</x:f>
        <x:v>66</x:v>
      </x:c>
      <x:c r="BZ68" s="90"/>
      <x:c r="CA68" s="90"/>
      <x:c r="CB68" s="90"/>
      <x:c r="CC68" s="90"/>
      <x:c r="CD68" s="90"/>
      <x:c r="CE68" s="90"/>
      <x:c r="CF68" s="90"/>
      <x:c r="CG68" s="90"/>
    </x:row>
    <x:row r="69" ht="14.25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120"/>
      <x:c r="M69" s="3"/>
      <x:c r="N69" s="120"/>
      <x:c r="O69" s="75" t="s">
        <x:v>375</x:v>
      </x:c>
      <x:c r="P69" s="60" t="str">
        <x:f>VLOOKUP(O69,ECR!E:L,8,FALSE())</x:f>
        <x:v>George Holani</x:v>
      </x:c>
      <x:c r="Q69" s="63" t="str">
        <x:f>IFERROR(VLOOKUP(Aggregate!$P69,ECR!C:F,2,FALSE()),"-")</x:f>
        <x:v>SEA</x:v>
      </x:c>
      <x:c r="R69" s="63" t="n">
        <x:f>IFERROR(VLOOKUP(Aggregate!$P69,ECR!C:F,4,FALSE()),"-")</x:f>
        <x:v>11</x:v>
      </x:c>
      <x:c r="S69" s="63" t="str">
        <x:f>Aggregate!$Q69 &amp; "/" &amp; Aggregate!$R69</x:f>
        <x:v>SEA/11</x:v>
      </x:c>
      <x:c r="T69" s="67" t="n">
        <x:f>IFERROR(VLOOKUP(Aggregate!$P69,RB!A:Q,13,FALSE())/17*(16-Aggregate!$AA69),0)</x:f>
        <x:v>27.515468235294115</x:v>
      </x:c>
      <x:c r="U69" s="67" t="n">
        <x:f>IFERROR(VLOOKUP(Aggregate!$P69,RB!A:Q,14,FALSE())/17*(16-Aggregate!$AA69),0)</x:f>
        <x:v>27.515468235294115</x:v>
      </x:c>
      <x:c r="V69" s="67" t="n">
        <x:f>IFERROR(VLOOKUP(Aggregate!$P69,RB!A:Q,15,FALSE())/17*(16-Aggregate!$AA69),0)</x:f>
        <x:v>27.515468235294115</x:v>
      </x:c>
      <x:c r="W69" s="70" t="n">
        <x:f>AVERAGE(Aggregate!$T69,Aggregate!$U69,Aggregate!$V69,VLOOKUP(Aggregate!$P69,ECR!L:N,3,FALSE))</x:f>
        <x:v>34.47978705897059</x:v>
      </x:c>
      <x:c r="X69" s="70" t="n">
        <x:f>Aggregate!$W69-$Q$1</x:f>
        <x:v>-95.52054206602942</x:v>
      </x:c>
      <x:c r="Y69" s="74" t="n">
        <x:f>MAX(Aggregate!$X69*Scoring!$B$48+1,1)</x:f>
        <x:v>1</x:v>
      </x:c>
      <x:c r="Z69" s="75" t="n">
        <x:f>VLOOKUP(Aggregate!$X69,BM:BO,3,FALSE)</x:f>
        <x:v>10</x:v>
      </x:c>
      <x:c r="AA69" s="77" t="n">
        <x:f t="array" ref="AA69">VLOOKUP(INDEX(ECR!$E:$E,MATCH(P69,ECR!$C:$C,0)),RISK!A:B,2,FALSE())</x:f>
        <x:v>3.368</x:v>
      </x:c>
      <x:c r="AB69" s="78"/>
      <x:c r="AC69" s="63" t="s">
        <x:v>376</x:v>
      </x:c>
      <x:c r="AD69" s="63" t="str">
        <x:f>VLOOKUP(AC69,ECR!E:L,8,FALSE())</x:f>
        <x:v>Jalen Nailor</x:v>
      </x:c>
      <x:c r="AE69" s="63" t="str">
        <x:f>IFERROR(VLOOKUP(Aggregate!$AD69,ECR!C:F,2,FALSE()),"-")</x:f>
        <x:v>LV</x:v>
      </x:c>
      <x:c r="AF69" s="63" t="n">
        <x:f>IFERROR(VLOOKUP(Aggregate!$AD69,ECR!C:F,4,FALSE()),"-")</x:f>
        <x:v>13</x:v>
      </x:c>
      <x:c r="AG69" s="63" t="str">
        <x:f>Aggregate!$AE69 &amp; "/" &amp; Aggregate!$AF69</x:f>
        <x:v>LV/13</x:v>
      </x:c>
      <x:c r="AH69" s="67" t="n">
        <x:f>IFERROR(VLOOKUP(Aggregate!$AD69,WR!A:Q,13,FALSE())/17*(16-Aggregate!$AO69),0)</x:f>
        <x:v>69.60352941176471</x:v>
      </x:c>
      <x:c r="AI69" s="67" t="n">
        <x:f>IFERROR(VLOOKUP(Aggregate!$AD69,WR!A:Q,14,FALSE())/17*(16-Aggregate!$AO69),0)</x:f>
        <x:v>76.05741176470589</x:v>
      </x:c>
      <x:c r="AJ69" s="67" t="n">
        <x:f>IFERROR(VLOOKUP(Aggregate!$AD69,WR!A:Q,15,FALSE())/17*(16-Aggregate!$AO69),0)</x:f>
        <x:v>82.90923529411766</x:v>
      </x:c>
      <x:c r="AK69" s="70" t="n">
        <x:f>AVERAGE(Aggregate!$AH69,Aggregate!$AI69,Aggregate!$AJ69,VLOOKUP(Aggregate!$AD69,ECR!L:N,3,FALSE))</x:f>
        <x:v>77.91869117764706</x:v>
      </x:c>
      <x:c r="AL69" s="70" t="n">
        <x:f>Aggregate!$AK69-$AE$1</x:f>
        <x:v>-24.27622057970588</x:v>
      </x:c>
      <x:c r="AM69" s="74" t="n">
        <x:f>MAX(Aggregate!$AL69*Scoring!$B$48+1,1)</x:f>
        <x:v>1</x:v>
      </x:c>
      <x:c r="AN69" s="75" t="n">
        <x:f>VLOOKUP(Aggregate!$AL69,BR:BT,3,FALSE)</x:f>
        <x:v>7</x:v>
      </x:c>
      <x:c r="AO69" s="77" t="n">
        <x:f t="array" ref="AO69">VLOOKUP(INDEX(ECR!$E:$E,MATCH(AD69,ECR!$C:$C,0)),RISK!A:B,2,FALSE())</x:f>
        <x:v>3.7</x:v>
      </x:c>
      <x:c r="AP69" s="78"/>
      <x:c r="AQ69" s="87" t="s">
        <x:v>377</x:v>
      </x:c>
      <x:c r="AR69" s="3"/>
      <x:c r="AS69" s="120"/>
      <x:c r="AT69" s="3"/>
      <x:c r="AU69" s="3"/>
      <x:c r="AV69" s="3"/>
      <x:c r="AW69" s="3"/>
      <x:c r="AX69" s="3"/>
      <x:c r="AY69" s="3"/>
      <x:c r="AZ69" s="3"/>
      <x:c r="BA69" s="3"/>
      <x:c r="BB69" s="120"/>
      <x:c r="BC69" s="3"/>
      <x:c r="BD69" s="3"/>
      <x:c r="BE69" s="120"/>
      <x:c r="BF69" s="78">
        <x:v>67.0</x:v>
      </x:c>
      <x:c r="BG69" s="78" t="str">
        <x:f t="shared" si="1"/>
      </x:c>
      <x:c r="BH69" s="90"/>
      <x:c r="BI69" s="90"/>
      <x:c r="BJ69" s="90"/>
      <x:c r="BK69" s="89">
        <x:v>67.0</x:v>
      </x:c>
      <x:c r="BL69" s="78">
        <x:f t="shared" si="2"/>
        <x:v>55.37274353</x:v>
      </x:c>
      <x:c r="BM69" s="90" t="n">
        <x:f>IFERROR(LARGE($X$3:$X$102,67),"")</x:f>
        <x:v>-82.91640677117648</x:v>
      </x:c>
      <x:c r="BN69" s="90">
        <x:f t="shared" si="7"/>
        <x:v>-42.15324668</x:v>
      </x:c>
      <x:c r="BO69" s="91">
        <x:f t="shared" si="8"/>
        <x:v>9</x:v>
      </x:c>
      <x:c r="BP69" s="90">
        <x:v>67.0</x:v>
      </x:c>
      <x:c r="BQ69" s="78">
        <x:f t="shared" si="3"/>
        <x:v>83.10458824</x:v>
      </x:c>
      <x:c r="BR69" s="90" t="n">
        <x:f>IFERROR(LARGE($AL$3:$AL$102,67),"")</x:f>
        <x:v>-21.302804109705875</x:v>
      </x:c>
      <x:c r="BS69" s="90">
        <x:f t="shared" si="9"/>
        <x:v>-1.731405882</x:v>
      </x:c>
      <x:c r="BT69" s="90">
        <x:f t="shared" si="10"/>
        <x:v>6</x:v>
      </x:c>
      <x:c r="BU69" s="78">
        <x:v>67.0</x:v>
      </x:c>
      <x:c r="BV69" s="78" t="str">
        <x:f t="shared" si="4"/>
      </x:c>
      <x:c r="BW69" s="90"/>
      <x:c r="BX69" s="90"/>
      <x:c r="BY69" s="90" t="n">
        <x:f t="array" ref="BY69">IFERROR(VALUE(RIGHT(INDEX(ECR!$E:$E,MATCH(P69,ECR!$C:$C,0)),LEN(INDEX(ECR!$E:$E,MATCH(P69,ECR!$C:$C,0)))-2)),"")</x:f>
        <x:v>67</x:v>
      </x:c>
      <x:c r="BZ69" s="90"/>
      <x:c r="CA69" s="90"/>
      <x:c r="CB69" s="90"/>
      <x:c r="CC69" s="90"/>
      <x:c r="CD69" s="90"/>
      <x:c r="CE69" s="90"/>
      <x:c r="CF69" s="90"/>
      <x:c r="CG69" s="90"/>
    </x:row>
    <x:row r="70" ht="14.25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120"/>
      <x:c r="M70" s="3"/>
      <x:c r="N70" s="120"/>
      <x:c r="O70" s="75" t="s">
        <x:v>378</x:v>
      </x:c>
      <x:c r="P70" s="60" t="str">
        <x:f>VLOOKUP(O70,ECR!E:L,8,FALSE())</x:f>
        <x:v>Jaylen Wright</x:v>
      </x:c>
      <x:c r="Q70" s="63" t="str">
        <x:f>IFERROR(VLOOKUP(Aggregate!$P70,ECR!C:F,2,FALSE()),"-")</x:f>
        <x:v>MIA</x:v>
      </x:c>
      <x:c r="R70" s="63" t="n">
        <x:f>IFERROR(VLOOKUP(Aggregate!$P70,ECR!C:F,4,FALSE()),"-")</x:f>
        <x:v>6</x:v>
      </x:c>
      <x:c r="S70" s="63" t="str">
        <x:f>Aggregate!$Q70 &amp; "/" &amp; Aggregate!$R70</x:f>
        <x:v>MIA/6</x:v>
      </x:c>
      <x:c r="T70" s="67" t="n">
        <x:f>IFERROR(VLOOKUP(Aggregate!$P70,RB!A:Q,13,FALSE())/17*(16-Aggregate!$AA70),0)</x:f>
        <x:v>25.546362352941177</x:v>
      </x:c>
      <x:c r="U70" s="67" t="n">
        <x:f>IFERROR(VLOOKUP(Aggregate!$P70,RB!A:Q,14,FALSE())/17*(16-Aggregate!$AA70),0)</x:f>
        <x:v>34.87918117647059</x:v>
      </x:c>
      <x:c r="V70" s="67" t="n">
        <x:f>IFERROR(VLOOKUP(Aggregate!$P70,RB!A:Q,15,FALSE())/17*(16-Aggregate!$AA70),0)</x:f>
        <x:v>44.53894588235294</x:v>
      </x:c>
      <x:c r="W70" s="70" t="n">
        <x:f>AVERAGE(Aggregate!$T70,Aggregate!$U70,Aggregate!$V70,VLOOKUP(Aggregate!$P70,ECR!L:N,3,FALSE))</x:f>
        <x:v>39.02544941294118</x:v>
      </x:c>
      <x:c r="X70" s="70" t="n">
        <x:f>Aggregate!$W70-$Q$1</x:f>
        <x:v>-90.97487971205882</x:v>
      </x:c>
      <x:c r="Y70" s="74" t="n">
        <x:f>MAX(Aggregate!$X70*Scoring!$B$48+1,1)</x:f>
        <x:v>1</x:v>
      </x:c>
      <x:c r="Z70" s="75" t="n">
        <x:f>VLOOKUP(Aggregate!$X70,BM:BO,3,FALSE)</x:f>
        <x:v>9</x:v>
      </x:c>
      <x:c r="AA70" s="77" t="n">
        <x:f t="array" ref="AA70">VLOOKUP(INDEX(ECR!$E:$E,MATCH(P70,ECR!$C:$C,0)),RISK!A:B,2,FALSE())</x:f>
        <x:v>3.368</x:v>
      </x:c>
      <x:c r="AB70" s="78"/>
      <x:c r="AC70" s="63" t="s">
        <x:v>379</x:v>
      </x:c>
      <x:c r="AD70" s="63" t="str">
        <x:f>VLOOKUP(AC70,ECR!E:L,8,FALSE())</x:f>
        <x:v>Pat Bryant</x:v>
      </x:c>
      <x:c r="AE70" s="63" t="str">
        <x:f>IFERROR(VLOOKUP(Aggregate!$AD70,ECR!C:F,2,FALSE()),"-")</x:f>
        <x:v>DEN</x:v>
      </x:c>
      <x:c r="AF70" s="63" t="n">
        <x:f>IFERROR(VLOOKUP(Aggregate!$AD70,ECR!C:F,4,FALSE()),"-")</x:f>
        <x:v>10</x:v>
      </x:c>
      <x:c r="AG70" s="63" t="str">
        <x:f>Aggregate!$AE70 &amp; "/" &amp; Aggregate!$AF70</x:f>
        <x:v>DEN/10</x:v>
      </x:c>
      <x:c r="AH70" s="67" t="n">
        <x:f>IFERROR(VLOOKUP(Aggregate!$AD70,WR!A:Q,13,FALSE())/17*(16-Aggregate!$AO70),0)</x:f>
        <x:v>42.14558823529412</x:v>
      </x:c>
      <x:c r="AI70" s="67" t="n">
        <x:f>IFERROR(VLOOKUP(Aggregate!$AD70,WR!A:Q,14,FALSE())/17*(16-Aggregate!$AO70),0)</x:f>
        <x:v>42.14558823529412</x:v>
      </x:c>
      <x:c r="AJ70" s="67" t="n">
        <x:f>IFERROR(VLOOKUP(Aggregate!$AD70,WR!A:Q,15,FALSE())/17*(16-Aggregate!$AO70),0)</x:f>
        <x:v>42.14558823529412</x:v>
      </x:c>
      <x:c r="AK70" s="70" t="n">
        <x:f>AVERAGE(Aggregate!$AH70,Aggregate!$AI70,Aggregate!$AJ70,VLOOKUP(Aggregate!$AD70,ECR!L:N,3,FALSE))</x:f>
        <x:v>52.00056529397059</x:v>
      </x:c>
      <x:c r="AL70" s="70" t="n">
        <x:f>Aggregate!$AK70-$AE$1</x:f>
        <x:v>-50.19434646338235</x:v>
      </x:c>
      <x:c r="AM70" s="74" t="n">
        <x:f>MAX(Aggregate!$AL70*Scoring!$B$48+1,1)</x:f>
        <x:v>1</x:v>
      </x:c>
      <x:c r="AN70" s="75" t="n">
        <x:f>VLOOKUP(Aggregate!$AL70,BR:BT,3,FALSE)</x:f>
        <x:v>8</x:v>
      </x:c>
      <x:c r="AO70" s="77" t="n">
        <x:f t="array" ref="AO70">VLOOKUP(INDEX(ECR!$E:$E,MATCH(AD70,ECR!$C:$C,0)),RISK!A:B,2,FALSE())</x:f>
        <x:v>3.7</x:v>
      </x:c>
      <x:c r="AP70" s="78"/>
      <x:c r="AQ70" s="87" t="s">
        <x:v>380</x:v>
      </x:c>
      <x:c r="AR70" s="3"/>
      <x:c r="AS70" s="120"/>
      <x:c r="AT70" s="3"/>
      <x:c r="AU70" s="3"/>
      <x:c r="AV70" s="3"/>
      <x:c r="AW70" s="3"/>
      <x:c r="AX70" s="3"/>
      <x:c r="AY70" s="3"/>
      <x:c r="AZ70" s="3"/>
      <x:c r="BA70" s="3"/>
      <x:c r="BB70" s="120"/>
      <x:c r="BC70" s="3"/>
      <x:c r="BD70" s="3"/>
      <x:c r="BE70" s="120"/>
      <x:c r="BF70" s="78">
        <x:v>68.0</x:v>
      </x:c>
      <x:c r="BG70" s="78" t="str">
        <x:f t="shared" si="1"/>
      </x:c>
      <x:c r="BH70" s="90"/>
      <x:c r="BI70" s="90"/>
      <x:c r="BJ70" s="90"/>
      <x:c r="BK70" s="89">
        <x:v>68.0</x:v>
      </x:c>
      <x:c r="BL70" s="78">
        <x:f t="shared" si="2"/>
        <x:v>51.13730824</x:v>
      </x:c>
      <x:c r="BM70" s="90" t="n">
        <x:f>IFERROR(LARGE($X$3:$X$102,68),"")</x:f>
        <x:v>-84.40066677117647</x:v>
      </x:c>
      <x:c r="BN70" s="90">
        <x:f t="shared" si="7"/>
        <x:v>-42.15324668</x:v>
      </x:c>
      <x:c r="BO70" s="91">
        <x:f t="shared" si="8"/>
        <x:v>9</x:v>
      </x:c>
      <x:c r="BP70" s="90">
        <x:v>68.0</x:v>
      </x:c>
      <x:c r="BQ70" s="78">
        <x:f t="shared" si="3"/>
        <x:v>81.56549647</x:v>
      </x:c>
      <x:c r="BR70" s="90" t="n">
        <x:f>IFERROR(LARGE($AL$3:$AL$102,68),"")</x:f>
        <x:v>-21.490632346617645</x:v>
      </x:c>
      <x:c r="BS70" s="90">
        <x:f t="shared" si="9"/>
        <x:v>-1.731405882</x:v>
      </x:c>
      <x:c r="BT70" s="90">
        <x:f t="shared" si="10"/>
        <x:v>6</x:v>
      </x:c>
      <x:c r="BU70" s="78">
        <x:v>68.0</x:v>
      </x:c>
      <x:c r="BV70" s="78" t="str">
        <x:f t="shared" si="4"/>
      </x:c>
      <x:c r="BW70" s="90"/>
      <x:c r="BX70" s="90"/>
      <x:c r="BY70" s="90" t="n">
        <x:f t="array" ref="BY70">IFERROR(VALUE(RIGHT(INDEX(ECR!$E:$E,MATCH(P70,ECR!$C:$C,0)),LEN(INDEX(ECR!$E:$E,MATCH(P70,ECR!$C:$C,0)))-2)),"")</x:f>
        <x:v>68</x:v>
      </x:c>
      <x:c r="BZ70" s="90"/>
      <x:c r="CA70" s="90"/>
      <x:c r="CB70" s="90"/>
      <x:c r="CC70" s="90"/>
      <x:c r="CD70" s="90"/>
      <x:c r="CE70" s="90"/>
      <x:c r="CF70" s="90"/>
      <x:c r="CG70" s="90"/>
    </x:row>
    <x:row r="71" ht="14.25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120"/>
      <x:c r="M71" s="3"/>
      <x:c r="N71" s="120"/>
      <x:c r="O71" s="75" t="s">
        <x:v>381</x:v>
      </x:c>
      <x:c r="P71" s="60" t="str">
        <x:f>VLOOKUP(O71,ECR!E:L,8,FALSE())</x:f>
        <x:v>Ollie Gordon II</x:v>
      </x:c>
      <x:c r="Q71" s="63" t="str">
        <x:f>IFERROR(VLOOKUP(Aggregate!$P71,ECR!C:F,2,FALSE()),"-")</x:f>
        <x:v>MIA</x:v>
      </x:c>
      <x:c r="R71" s="63" t="n">
        <x:f>IFERROR(VLOOKUP(Aggregate!$P71,ECR!C:F,4,FALSE()),"-")</x:f>
        <x:v>6</x:v>
      </x:c>
      <x:c r="S71" s="63" t="str">
        <x:f>Aggregate!$Q71 &amp; "/" &amp; Aggregate!$R71</x:f>
        <x:v>MIA/6</x:v>
      </x:c>
      <x:c r="T71" s="67" t="n">
        <x:f>IFERROR(VLOOKUP(Aggregate!$P71,RB!A:Q,13,FALSE())/17*(16-Aggregate!$AA71),0)</x:f>
        <x:v>24.127119999999998</x:v>
      </x:c>
      <x:c r="U71" s="67" t="n">
        <x:f>IFERROR(VLOOKUP(Aggregate!$P71,RB!A:Q,14,FALSE())/17*(16-Aggregate!$AA71),0)</x:f>
        <x:v>24.127119999999998</x:v>
      </x:c>
      <x:c r="V71" s="67" t="n">
        <x:f>IFERROR(VLOOKUP(Aggregate!$P71,RB!A:Q,15,FALSE())/17*(16-Aggregate!$AA71),0)</x:f>
        <x:v>24.127119999999998</x:v>
      </x:c>
      <x:c r="W71" s="70" t="n">
        <x:f>AVERAGE(Aggregate!$T71,Aggregate!$U71,Aggregate!$V71,VLOOKUP(Aggregate!$P71,ECR!L:N,3,FALSE))</x:f>
        <x:v>28.552035295</x:v>
      </x:c>
      <x:c r="X71" s="70" t="n">
        <x:f>Aggregate!$W71-$Q$1</x:f>
        <x:v>-101.44829383000001</x:v>
      </x:c>
      <x:c r="Y71" s="74" t="n">
        <x:f>MAX(Aggregate!$X71*Scoring!$B$48+1,1)</x:f>
        <x:v>1</x:v>
      </x:c>
      <x:c r="Z71" s="75" t="n">
        <x:f>VLOOKUP(Aggregate!$X71,BM:BO,3,FALSE)</x:f>
        <x:v>10</x:v>
      </x:c>
      <x:c r="AA71" s="77" t="n">
        <x:f t="array" ref="AA71">VLOOKUP(INDEX(ECR!$E:$E,MATCH(P71,ECR!$C:$C,0)),RISK!A:B,2,FALSE())</x:f>
        <x:v>3.368</x:v>
      </x:c>
      <x:c r="AB71" s="78"/>
      <x:c r="AC71" s="63" t="s">
        <x:v>382</x:v>
      </x:c>
      <x:c r="AD71" s="63" t="str">
        <x:f>VLOOKUP(AC71,ECR!E:L,8,FALSE())</x:f>
        <x:v>Ryan Flournoy</x:v>
      </x:c>
      <x:c r="AE71" s="63" t="str">
        <x:f>IFERROR(VLOOKUP(Aggregate!$AD71,ECR!C:F,2,FALSE()),"-")</x:f>
        <x:v>DAL</x:v>
      </x:c>
      <x:c r="AF71" s="63" t="n">
        <x:f>IFERROR(VLOOKUP(Aggregate!$AD71,ECR!C:F,4,FALSE()),"-")</x:f>
        <x:v>14</x:v>
      </x:c>
      <x:c r="AG71" s="63" t="str">
        <x:f>Aggregate!$AE71 &amp; "/" &amp; Aggregate!$AF71</x:f>
        <x:v>DAL/14</x:v>
      </x:c>
      <x:c r="AH71" s="67" t="n">
        <x:f>IFERROR(VLOOKUP(Aggregate!$AD71,WR!A:Q,13,FALSE())/17*(16-Aggregate!$AO71),0)</x:f>
        <x:v>52.412470588235294</x:v>
      </x:c>
      <x:c r="AI71" s="67" t="n">
        <x:f>IFERROR(VLOOKUP(Aggregate!$AD71,WR!A:Q,14,FALSE())/17*(16-Aggregate!$AO71),0)</x:f>
        <x:v>52.412470588235294</x:v>
      </x:c>
      <x:c r="AJ71" s="67" t="n">
        <x:f>IFERROR(VLOOKUP(Aggregate!$AD71,WR!A:Q,15,FALSE())/17*(16-Aggregate!$AO71),0)</x:f>
        <x:v>52.412470588235294</x:v>
      </x:c>
      <x:c r="AK71" s="70" t="n">
        <x:f>AVERAGE(Aggregate!$AH71,Aggregate!$AI71,Aggregate!$AJ71,VLOOKUP(Aggregate!$AD71,ECR!L:N,3,FALSE))</x:f>
        <x:v>59.609779411176476</x:v>
      </x:c>
      <x:c r="AL71" s="70" t="n">
        <x:f>Aggregate!$AK71-$AE$1</x:f>
        <x:v>-42.585132346176465</x:v>
      </x:c>
      <x:c r="AM71" s="74" t="n">
        <x:f>MAX(Aggregate!$AL71*Scoring!$B$48+1,1)</x:f>
        <x:v>1</x:v>
      </x:c>
      <x:c r="AN71" s="75" t="n">
        <x:f>VLOOKUP(Aggregate!$AL71,BR:BT,3,FALSE)</x:f>
        <x:v>8</x:v>
      </x:c>
      <x:c r="AO71" s="77" t="n">
        <x:f t="array" ref="AO71">VLOOKUP(INDEX(ECR!$E:$E,MATCH(AD71,ECR!$C:$C,0)),RISK!A:B,2,FALSE())</x:f>
        <x:v>3.7</x:v>
      </x:c>
      <x:c r="AP71" s="78"/>
      <x:c r="AQ71" s="87" t="s">
        <x:v>383</x:v>
      </x:c>
      <x:c r="AR71" s="3"/>
      <x:c r="AS71" s="120"/>
      <x:c r="AT71" s="3"/>
      <x:c r="AU71" s="3"/>
      <x:c r="AV71" s="3"/>
      <x:c r="AW71" s="3"/>
      <x:c r="AX71" s="3"/>
      <x:c r="AY71" s="3"/>
      <x:c r="AZ71" s="3"/>
      <x:c r="BA71" s="3"/>
      <x:c r="BB71" s="120"/>
      <x:c r="BC71" s="3"/>
      <x:c r="BD71" s="3"/>
      <x:c r="BE71" s="120"/>
      <x:c r="BF71" s="78">
        <x:v>69.0</x:v>
      </x:c>
      <x:c r="BG71" s="78" t="str">
        <x:f t="shared" si="1"/>
      </x:c>
      <x:c r="BH71" s="90"/>
      <x:c r="BI71" s="90"/>
      <x:c r="BJ71" s="90"/>
      <x:c r="BK71" s="89">
        <x:v>69.0</x:v>
      </x:c>
      <x:c r="BL71" s="78">
        <x:f t="shared" si="2"/>
        <x:v>41.82678118</x:v>
      </x:c>
      <x:c r="BM71" s="90" t="n">
        <x:f>IFERROR(LARGE($X$3:$X$102,69),"")</x:f>
        <x:v>-85.22829683470589</x:v>
      </x:c>
      <x:c r="BN71" s="90">
        <x:f t="shared" si="7"/>
        <x:v>-42.15324668</x:v>
      </x:c>
      <x:c r="BO71" s="91">
        <x:f t="shared" si="8"/>
        <x:v>9</x:v>
      </x:c>
      <x:c r="BP71" s="90">
        <x:v>69.0</x:v>
      </x:c>
      <x:c r="BQ71" s="78">
        <x:f t="shared" si="3"/>
        <x:v>81.20170588</x:v>
      </x:c>
      <x:c r="BR71" s="90" t="n">
        <x:f>IFERROR(LARGE($AL$3:$AL$102,69),"")</x:f>
        <x:v>-21.944140579999996</x:v>
      </x:c>
      <x:c r="BS71" s="90">
        <x:f t="shared" si="9"/>
        <x:v>-1.731405882</x:v>
      </x:c>
      <x:c r="BT71" s="90">
        <x:f t="shared" si="10"/>
        <x:v>6</x:v>
      </x:c>
      <x:c r="BU71" s="78">
        <x:v>69.0</x:v>
      </x:c>
      <x:c r="BV71" s="78" t="str">
        <x:f t="shared" si="4"/>
      </x:c>
      <x:c r="BW71" s="90"/>
      <x:c r="BX71" s="90"/>
      <x:c r="BY71" s="90" t="n">
        <x:f t="array" ref="BY71">IFERROR(VALUE(RIGHT(INDEX(ECR!$E:$E,MATCH(P71,ECR!$C:$C,0)),LEN(INDEX(ECR!$E:$E,MATCH(P71,ECR!$C:$C,0)))-2)),"")</x:f>
        <x:v>69</x:v>
      </x:c>
      <x:c r="BZ71" s="90"/>
      <x:c r="CA71" s="90"/>
      <x:c r="CB71" s="90"/>
      <x:c r="CC71" s="90"/>
      <x:c r="CD71" s="90"/>
      <x:c r="CE71" s="90"/>
      <x:c r="CF71" s="90"/>
      <x:c r="CG71" s="90"/>
    </x:row>
    <x:row r="72" ht="14.25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120"/>
      <x:c r="M72" s="3"/>
      <x:c r="N72" s="120"/>
      <x:c r="O72" s="75" t="s">
        <x:v>384</x:v>
      </x:c>
      <x:c r="P72" s="60" t="str">
        <x:f>VLOOKUP(O72,ECR!E:L,8,FALSE())</x:f>
        <x:v>Kaelon Black</x:v>
      </x:c>
      <x:c r="Q72" s="63" t="str">
        <x:f>IFERROR(VLOOKUP(Aggregate!$P72,ECR!C:F,2,FALSE()),"-")</x:f>
        <x:v>SF</x:v>
      </x:c>
      <x:c r="R72" s="63" t="n">
        <x:f>IFERROR(VLOOKUP(Aggregate!$P72,ECR!C:F,4,FALSE()),"-")</x:f>
        <x:v>8</x:v>
      </x:c>
      <x:c r="S72" s="63" t="str">
        <x:f>Aggregate!$Q72 &amp; "/" &amp; Aggregate!$R72</x:f>
        <x:v>SF/8</x:v>
      </x:c>
      <x:c r="T72" s="67" t="n">
        <x:f>IFERROR(VLOOKUP(Aggregate!$P72,RB!A:Q,13,FALSE())/17*(16-Aggregate!$AA72),0)</x:f>
        <x:v>72.05154591058823</x:v>
      </x:c>
      <x:c r="U72" s="67" t="n">
        <x:f>IFERROR(VLOOKUP(Aggregate!$P72,RB!A:Q,14,FALSE())/17*(16-Aggregate!$AA72),0)</x:f>
        <x:v>94.58108944</x:v>
      </x:c>
      <x:c r="V72" s="67" t="n">
        <x:f>IFERROR(VLOOKUP(Aggregate!$P72,RB!A:Q,15,FALSE())/17*(16-Aggregate!$AA72),0)</x:f>
        <x:v>117.26667532235292</x:v>
      </x:c>
      <x:c r="W72" s="70" t="n">
        <x:f>AVERAGE(Aggregate!$T72,Aggregate!$U72,Aggregate!$V72,VLOOKUP(Aggregate!$P72,ECR!L:N,3,FALSE))</x:f>
        <x:v>81.23089708073529</x:v>
      </x:c>
      <x:c r="X72" s="70" t="n">
        <x:f>Aggregate!$W72-$Q$1</x:f>
        <x:v>-48.76943204426472</x:v>
      </x:c>
      <x:c r="Y72" s="74" t="n">
        <x:f>MAX(Aggregate!$X72*Scoring!$B$48+1,1)</x:f>
        <x:v>1</x:v>
      </x:c>
      <x:c r="Z72" s="75" t="n">
        <x:f>VLOOKUP(Aggregate!$X72,BM:BO,3,FALSE)</x:f>
        <x:v>8</x:v>
      </x:c>
      <x:c r="AA72" s="77" t="n">
        <x:f t="array" ref="AA72">VLOOKUP(INDEX(ECR!$E:$E,MATCH(P72,ECR!$C:$C,0)),RISK!A:B,2,FALSE())</x:f>
        <x:v>3.368</x:v>
      </x:c>
      <x:c r="AB72" s="78"/>
      <x:c r="AC72" s="63" t="s">
        <x:v>385</x:v>
      </x:c>
      <x:c r="AD72" s="63" t="str">
        <x:f>VLOOKUP(AC72,ECR!E:L,8,FALSE())</x:f>
        <x:v>Omar Cooper Jr.</x:v>
      </x:c>
      <x:c r="AE72" s="63" t="str">
        <x:f>IFERROR(VLOOKUP(Aggregate!$AD72,ECR!C:F,2,FALSE()),"-")</x:f>
        <x:v>NYJ</x:v>
      </x:c>
      <x:c r="AF72" s="63" t="n">
        <x:f>IFERROR(VLOOKUP(Aggregate!$AD72,ECR!C:F,4,FALSE()),"-")</x:f>
        <x:v>13</x:v>
      </x:c>
      <x:c r="AG72" s="63" t="str">
        <x:f>Aggregate!$AE72 &amp; "/" &amp; Aggregate!$AF72</x:f>
        <x:v>NYJ/13</x:v>
      </x:c>
      <x:c r="AH72" s="67" t="n">
        <x:f>IFERROR(VLOOKUP(Aggregate!$AD72,WR!A:Q,13,FALSE())/17*(16-Aggregate!$AO72),0)</x:f>
        <x:v>63.51835764705883</x:v>
      </x:c>
      <x:c r="AI72" s="67" t="n">
        <x:f>IFERROR(VLOOKUP(Aggregate!$AD72,WR!A:Q,14,FALSE())/17*(16-Aggregate!$AO72),0)</x:f>
        <x:v>81.14353411764706</x:v>
      </x:c>
      <x:c r="AJ72" s="67" t="n">
        <x:f>IFERROR(VLOOKUP(Aggregate!$AD72,WR!A:Q,15,FALSE())/17*(16-Aggregate!$AO72),0)</x:f>
        <x:v>97.76300470588235</x:v>
      </x:c>
      <x:c r="AK72" s="70" t="n">
        <x:f>AVERAGE(Aggregate!$AH72,Aggregate!$AI72,Aggregate!$AJ72,VLOOKUP(Aggregate!$AD72,ECR!L:N,3,FALSE))</x:f>
        <x:v>80.89210764764707</x:v>
      </x:c>
      <x:c r="AL72" s="70" t="n">
        <x:f>Aggregate!$AK72-$AE$1</x:f>
        <x:v>-21.302804109705875</x:v>
      </x:c>
      <x:c r="AM72" s="74" t="n">
        <x:f>MAX(Aggregate!$AL72*Scoring!$B$48+1,1)</x:f>
        <x:v>1</x:v>
      </x:c>
      <x:c r="AN72" s="75" t="n">
        <x:f>VLOOKUP(Aggregate!$AL72,BR:BT,3,FALSE)</x:f>
        <x:v>6</x:v>
      </x:c>
      <x:c r="AO72" s="77" t="n">
        <x:f t="array" ref="AO72">VLOOKUP(INDEX(ECR!$E:$E,MATCH(AD72,ECR!$C:$C,0)),RISK!A:B,2,FALSE())</x:f>
        <x:v>3.7</x:v>
      </x:c>
      <x:c r="AP72" s="78"/>
      <x:c r="AQ72" s="87" t="s">
        <x:v>386</x:v>
      </x:c>
      <x:c r="AR72" s="3"/>
      <x:c r="AS72" s="120"/>
      <x:c r="AT72" s="3"/>
      <x:c r="AU72" s="3"/>
      <x:c r="AV72" s="3"/>
      <x:c r="AW72" s="3"/>
      <x:c r="AX72" s="3"/>
      <x:c r="AY72" s="3"/>
      <x:c r="AZ72" s="3"/>
      <x:c r="BA72" s="3"/>
      <x:c r="BB72" s="120"/>
      <x:c r="BC72" s="3"/>
      <x:c r="BD72" s="3"/>
      <x:c r="BE72" s="120"/>
      <x:c r="BF72" s="78">
        <x:v>70.0</x:v>
      </x:c>
      <x:c r="BG72" s="78" t="str">
        <x:f t="shared" si="1"/>
      </x:c>
      <x:c r="BH72" s="90"/>
      <x:c r="BI72" s="90"/>
      <x:c r="BJ72" s="90"/>
      <x:c r="BK72" s="89">
        <x:v>70.0</x:v>
      </x:c>
      <x:c r="BL72" s="78">
        <x:f t="shared" si="2"/>
        <x:v>41.02427765</x:v>
      </x:c>
      <x:c r="BM72" s="90" t="n">
        <x:f>IFERROR(LARGE($X$3:$X$102,70),"")</x:f>
        <x:v>-85.66015147676471</x:v>
      </x:c>
      <x:c r="BN72" s="90">
        <x:f t="shared" si="7"/>
        <x:v>-42.15324668</x:v>
      </x:c>
      <x:c r="BO72" s="91">
        <x:f t="shared" si="8"/>
        <x:v>9</x:v>
      </x:c>
      <x:c r="BP72" s="90">
        <x:v>70.0</x:v>
      </x:c>
      <x:c r="BQ72" s="78">
        <x:f t="shared" si="3"/>
        <x:v>81.14353412</x:v>
      </x:c>
      <x:c r="BR72" s="90" t="n">
        <x:f>IFERROR(LARGE($AL$3:$AL$102,70),"")</x:f>
        <x:v>-22.629395287352935</x:v>
      </x:c>
      <x:c r="BS72" s="90">
        <x:f t="shared" si="9"/>
        <x:v>-21.74886</x:v>
      </x:c>
      <x:c r="BT72" s="90">
        <x:f t="shared" si="10"/>
        <x:v>7</x:v>
      </x:c>
      <x:c r="BU72" s="78">
        <x:v>70.0</x:v>
      </x:c>
      <x:c r="BV72" s="78" t="str">
        <x:f t="shared" si="4"/>
      </x:c>
      <x:c r="BW72" s="90"/>
      <x:c r="BX72" s="90"/>
      <x:c r="BY72" s="90" t="n">
        <x:f t="array" ref="BY72">IFERROR(VALUE(RIGHT(INDEX(ECR!$E:$E,MATCH(P72,ECR!$C:$C,0)),LEN(INDEX(ECR!$E:$E,MATCH(P72,ECR!$C:$C,0)))-2)),"")</x:f>
        <x:v>70</x:v>
      </x:c>
      <x:c r="BZ72" s="90"/>
      <x:c r="CA72" s="90"/>
      <x:c r="CB72" s="90"/>
      <x:c r="CC72" s="90"/>
      <x:c r="CD72" s="90"/>
      <x:c r="CE72" s="90"/>
      <x:c r="CF72" s="90"/>
      <x:c r="CG72" s="90"/>
    </x:row>
    <x:row r="73" ht="14.25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120"/>
      <x:c r="M73" s="3"/>
      <x:c r="N73" s="120"/>
      <x:c r="O73" s="75" t="s">
        <x:v>387</x:v>
      </x:c>
      <x:c r="P73" s="60" t="str">
        <x:f>VLOOKUP(O73,ECR!E:L,8,FALSE())</x:f>
        <x:v>Justice Hill</x:v>
      </x:c>
      <x:c r="Q73" s="63" t="str">
        <x:f>IFERROR(VLOOKUP(Aggregate!$P73,ECR!C:F,2,FALSE()),"-")</x:f>
        <x:v>BAL</x:v>
      </x:c>
      <x:c r="R73" s="63" t="n">
        <x:f>IFERROR(VLOOKUP(Aggregate!$P73,ECR!C:F,4,FALSE()),"-")</x:f>
        <x:v>13</x:v>
      </x:c>
      <x:c r="S73" s="63" t="str">
        <x:f>Aggregate!$Q73 &amp; "/" &amp; Aggregate!$R73</x:f>
        <x:v>BAL/13</x:v>
      </x:c>
      <x:c r="T73" s="67" t="n">
        <x:f>IFERROR(VLOOKUP(Aggregate!$P73,RB!A:Q,13,FALSE())/17*(16-Aggregate!$AA73),0)</x:f>
        <x:v>55.68482823529411</x:v>
      </x:c>
      <x:c r="U73" s="67" t="n">
        <x:f>IFERROR(VLOOKUP(Aggregate!$P73,RB!A:Q,14,FALSE())/17*(16-Aggregate!$AA73),0)</x:f>
        <x:v>71.08100705882353</x:v>
      </x:c>
      <x:c r="V73" s="67" t="n">
        <x:f>IFERROR(VLOOKUP(Aggregate!$P73,RB!A:Q,15,FALSE())/17*(16-Aggregate!$AA73),0)</x:f>
        <x:v>86.93045176470588</x:v>
      </x:c>
      <x:c r="W73" s="70" t="n">
        <x:f>AVERAGE(Aggregate!$T73,Aggregate!$U73,Aggregate!$V73,VLOOKUP(Aggregate!$P73,ECR!L:N,3,FALSE))</x:f>
        <x:v>63.338334117205875</x:v>
      </x:c>
      <x:c r="X73" s="70" t="n">
        <x:f>Aggregate!$W73-$Q$1</x:f>
        <x:v>-66.66199500779413</x:v>
      </x:c>
      <x:c r="Y73" s="74" t="n">
        <x:f>MAX(Aggregate!$X73*Scoring!$B$48+1,1)</x:f>
        <x:v>1</x:v>
      </x:c>
      <x:c r="Z73" s="75" t="n">
        <x:f>VLOOKUP(Aggregate!$X73,BM:BO,3,FALSE)</x:f>
        <x:v>8</x:v>
      </x:c>
      <x:c r="AA73" s="77" t="n">
        <x:f t="array" ref="AA73">VLOOKUP(INDEX(ECR!$E:$E,MATCH(P73,ECR!$C:$C,0)),RISK!A:B,2,FALSE())</x:f>
        <x:v>3.368</x:v>
      </x:c>
      <x:c r="AB73" s="78"/>
      <x:c r="AC73" s="63" t="s">
        <x:v>388</x:v>
      </x:c>
      <x:c r="AD73" s="63" t="str">
        <x:f>VLOOKUP(AC73,ECR!E:L,8,FALSE())</x:f>
        <x:v>Malik Washington</x:v>
      </x:c>
      <x:c r="AE73" s="63" t="str">
        <x:f>IFERROR(VLOOKUP(Aggregate!$AD73,ECR!C:F,2,FALSE()),"-")</x:f>
        <x:v>MIA</x:v>
      </x:c>
      <x:c r="AF73" s="63" t="n">
        <x:f>IFERROR(VLOOKUP(Aggregate!$AD73,ECR!C:F,4,FALSE()),"-")</x:f>
        <x:v>6</x:v>
      </x:c>
      <x:c r="AG73" s="63" t="str">
        <x:f>Aggregate!$AE73 &amp; "/" &amp; Aggregate!$AF73</x:f>
        <x:v>MIA/6</x:v>
      </x:c>
      <x:c r="AH73" s="67" t="n">
        <x:f>IFERROR(VLOOKUP(Aggregate!$AD73,WR!A:Q,13,FALSE())/17*(16-Aggregate!$AO73),0)</x:f>
        <x:v>55.32829411764706</x:v>
      </x:c>
      <x:c r="AI73" s="67" t="n">
        <x:f>IFERROR(VLOOKUP(Aggregate!$AD73,WR!A:Q,14,FALSE())/17*(16-Aggregate!$AO73),0)</x:f>
        <x:v>64.61117647058823</x:v>
      </x:c>
      <x:c r="AJ73" s="67" t="n">
        <x:f>IFERROR(VLOOKUP(Aggregate!$AD73,WR!A:Q,15,FALSE())/17*(16-Aggregate!$AO73),0)</x:f>
        <x:v>73.90129411764705</x:v>
      </x:c>
      <x:c r="AK73" s="70" t="n">
        <x:f>AVERAGE(Aggregate!$AH73,Aggregate!$AI73,Aggregate!$AJ73,VLOOKUP(Aggregate!$AD73,ECR!L:N,3,FALSE))</x:f>
        <x:v>68.41332352897058</x:v>
      </x:c>
      <x:c r="AL73" s="70" t="n">
        <x:f>Aggregate!$AK73-$AE$1</x:f>
        <x:v>-33.78158822838236</x:v>
      </x:c>
      <x:c r="AM73" s="74" t="n">
        <x:f>MAX(Aggregate!$AL73*Scoring!$B$48+1,1)</x:f>
        <x:v>1</x:v>
      </x:c>
      <x:c r="AN73" s="75" t="n">
        <x:f>VLOOKUP(Aggregate!$AL73,BR:BT,3,FALSE)</x:f>
        <x:v>7</x:v>
      </x:c>
      <x:c r="AO73" s="77" t="n">
        <x:f t="array" ref="AO73">VLOOKUP(INDEX(ECR!$E:$E,MATCH(AD73,ECR!$C:$C,0)),RISK!A:B,2,FALSE())</x:f>
        <x:v>3.7</x:v>
      </x:c>
      <x:c r="AP73" s="78"/>
      <x:c r="AQ73" s="87" t="s">
        <x:v>389</x:v>
      </x:c>
      <x:c r="AR73" s="3"/>
      <x:c r="AS73" s="120"/>
      <x:c r="AT73" s="3"/>
      <x:c r="AU73" s="3"/>
      <x:c r="AV73" s="3"/>
      <x:c r="AW73" s="3"/>
      <x:c r="AX73" s="3"/>
      <x:c r="AY73" s="3"/>
      <x:c r="AZ73" s="3"/>
      <x:c r="BA73" s="3"/>
      <x:c r="BB73" s="120"/>
      <x:c r="BC73" s="3"/>
      <x:c r="BD73" s="3"/>
      <x:c r="BE73" s="120"/>
      <x:c r="BF73" s="78">
        <x:v>71.0</x:v>
      </x:c>
      <x:c r="BG73" s="78" t="str">
        <x:f t="shared" si="1"/>
      </x:c>
      <x:c r="BH73" s="90"/>
      <x:c r="BI73" s="90"/>
      <x:c r="BJ73" s="90"/>
      <x:c r="BK73" s="89">
        <x:v>71.0</x:v>
      </x:c>
      <x:c r="BL73" s="78">
        <x:f t="shared" si="2"/>
        <x:v>39.65704941</x:v>
      </x:c>
      <x:c r="BM73" s="90" t="n">
        <x:f>IFERROR(LARGE($X$3:$X$102,71),"")</x:f>
        <x:v>-86.13570912455883</x:v>
      </x:c>
      <x:c r="BN73" s="90">
        <x:f t="shared" si="7"/>
        <x:v>-42.15324668</x:v>
      </x:c>
      <x:c r="BO73" s="91">
        <x:f t="shared" si="8"/>
        <x:v>9</x:v>
      </x:c>
      <x:c r="BP73" s="90">
        <x:v>71.0</x:v>
      </x:c>
      <x:c r="BQ73" s="78">
        <x:f t="shared" si="3"/>
        <x:v>79.81252941</x:v>
      </x:c>
      <x:c r="BR73" s="90" t="n">
        <x:f>IFERROR(LARGE($AL$3:$AL$102,71),"")</x:f>
        <x:v>-24.27622057970588</x:v>
      </x:c>
      <x:c r="BS73" s="90">
        <x:f t="shared" si="9"/>
        <x:v>-21.74886</x:v>
      </x:c>
      <x:c r="BT73" s="90">
        <x:f t="shared" si="10"/>
        <x:v>7</x:v>
      </x:c>
      <x:c r="BU73" s="78">
        <x:v>71.0</x:v>
      </x:c>
      <x:c r="BV73" s="78" t="str">
        <x:f t="shared" si="4"/>
      </x:c>
      <x:c r="BW73" s="90"/>
      <x:c r="BX73" s="90"/>
      <x:c r="BY73" s="90" t="n">
        <x:f t="array" ref="BY73">IFERROR(VALUE(RIGHT(INDEX(ECR!$E:$E,MATCH(P73,ECR!$C:$C,0)),LEN(INDEX(ECR!$E:$E,MATCH(P73,ECR!$C:$C,0)))-2)),"")</x:f>
        <x:v>71</x:v>
      </x:c>
      <x:c r="BZ73" s="90"/>
      <x:c r="CA73" s="90"/>
      <x:c r="CB73" s="90"/>
      <x:c r="CC73" s="90"/>
      <x:c r="CD73" s="90"/>
      <x:c r="CE73" s="90"/>
      <x:c r="CF73" s="90"/>
      <x:c r="CG73" s="90"/>
    </x:row>
    <x:row r="74" ht="14.25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120"/>
      <x:c r="M74" s="3"/>
      <x:c r="N74" s="120"/>
      <x:c r="O74" s="75" t="s">
        <x:v>390</x:v>
      </x:c>
      <x:c r="P74" s="60" t="str">
        <x:f>VLOOKUP(O74,ECR!E:L,8,FALSE())</x:f>
        <x:v>Demond Claiborne</x:v>
      </x:c>
      <x:c r="Q74" s="63" t="str">
        <x:f>IFERROR(VLOOKUP(Aggregate!$P74,ECR!C:F,2,FALSE()),"-")</x:f>
        <x:v>MIN</x:v>
      </x:c>
      <x:c r="R74" s="63" t="n">
        <x:f>IFERROR(VLOOKUP(Aggregate!$P74,ECR!C:F,4,FALSE()),"-")</x:f>
        <x:v>6</x:v>
      </x:c>
      <x:c r="S74" s="63" t="str">
        <x:f>Aggregate!$Q74 &amp; "/" &amp; Aggregate!$R74</x:f>
        <x:v>MIN/6</x:v>
      </x:c>
      <x:c r="T74" s="67" t="n">
        <x:f>IFERROR(VLOOKUP(Aggregate!$P74,RB!A:Q,13,FALSE())/17*(16-Aggregate!$AA74),0)</x:f>
        <x:v>53.34252848941177</x:v>
      </x:c>
      <x:c r="U74" s="67" t="n">
        <x:f>IFERROR(VLOOKUP(Aggregate!$P74,RB!A:Q,14,FALSE())/17*(16-Aggregate!$AA74),0)</x:f>
        <x:v>58.80401084235294</x:v>
      </x:c>
      <x:c r="V74" s="67" t="n">
        <x:f>IFERROR(VLOOKUP(Aggregate!$P74,RB!A:Q,15,FALSE())/17*(16-Aggregate!$AA74),0)</x:f>
        <x:v>64.08715907764706</x:v>
      </x:c>
      <x:c r="W74" s="70" t="n">
        <x:f>AVERAGE(Aggregate!$T74,Aggregate!$U74,Aggregate!$V74,VLOOKUP(Aggregate!$P74,ECR!L:N,3,FALSE))</x:f>
        <x:v>53.93181871985294</x:v>
      </x:c>
      <x:c r="X74" s="70" t="n">
        <x:f>Aggregate!$W74-$Q$1</x:f>
        <x:v>-76.06851040514707</x:v>
      </x:c>
      <x:c r="Y74" s="74" t="n">
        <x:f>MAX(Aggregate!$X74*Scoring!$B$48+1,1)</x:f>
        <x:v>1</x:v>
      </x:c>
      <x:c r="Z74" s="75" t="n">
        <x:f>VLOOKUP(Aggregate!$X74,BM:BO,3,FALSE)</x:f>
        <x:v>9</x:v>
      </x:c>
      <x:c r="AA74" s="77" t="n">
        <x:f t="array" ref="AA74">VLOOKUP(INDEX(ECR!$E:$E,MATCH(P74,ECR!$C:$C,0)),RISK!A:B,2,FALSE())</x:f>
        <x:v>3.368</x:v>
      </x:c>
      <x:c r="AB74" s="78"/>
      <x:c r="AC74" s="63" t="s">
        <x:v>391</x:v>
      </x:c>
      <x:c r="AD74" s="63" t="str">
        <x:f>VLOOKUP(AC74,ECR!E:L,8,FALSE())</x:f>
        <x:v>Calvin Ridley</x:v>
      </x:c>
      <x:c r="AE74" s="63" t="str">
        <x:f>IFERROR(VLOOKUP(Aggregate!$AD74,ECR!C:F,2,FALSE()),"-")</x:f>
        <x:v>TEN</x:v>
      </x:c>
      <x:c r="AF74" s="63" t="n">
        <x:f>IFERROR(VLOOKUP(Aggregate!$AD74,ECR!C:F,4,FALSE()),"-")</x:f>
        <x:v>9</x:v>
      </x:c>
      <x:c r="AG74" s="63" t="str">
        <x:f>Aggregate!$AE74 &amp; "/" &amp; Aggregate!$AF74</x:f>
        <x:v>TEN/9</x:v>
      </x:c>
      <x:c r="AH74" s="67" t="n">
        <x:f>IFERROR(VLOOKUP(Aggregate!$AD74,WR!A:Q,13,FALSE())/17*(16-Aggregate!$AO74),0)</x:f>
        <x:v>80.15258823529412</x:v>
      </x:c>
      <x:c r="AI74" s="67" t="n">
        <x:f>IFERROR(VLOOKUP(Aggregate!$AD74,WR!A:Q,14,FALSE())/17*(16-Aggregate!$AO74),0)</x:f>
        <x:v>90.26029411764706</x:v>
      </x:c>
      <x:c r="AJ74" s="67" t="n">
        <x:f>IFERROR(VLOOKUP(Aggregate!$AD74,WR!A:Q,15,FALSE())/17*(16-Aggregate!$AO74),0)</x:f>
        <x:v>100.79488235294119</x:v>
      </x:c>
      <x:c r="AK74" s="70" t="n">
        <x:f>AVERAGE(Aggregate!$AH74,Aggregate!$AI74,Aggregate!$AJ74,VLOOKUP(Aggregate!$AD74,ECR!L:N,3,FALSE))</x:f>
        <x:v>87.68452941147059</x:v>
      </x:c>
      <x:c r="AL74" s="70" t="n">
        <x:f>Aggregate!$AK74-$AE$1</x:f>
        <x:v>-14.510382345882348</x:v>
      </x:c>
      <x:c r="AM74" s="74" t="n">
        <x:f>MAX(Aggregate!$AL74*Scoring!$B$48+1,1)</x:f>
        <x:v>1</x:v>
      </x:c>
      <x:c r="AN74" s="75" t="n">
        <x:f>VLOOKUP(Aggregate!$AL74,BR:BT,3,FALSE)</x:f>
        <x:v>6</x:v>
      </x:c>
      <x:c r="AO74" s="77" t="n">
        <x:f t="array" ref="AO74">VLOOKUP(INDEX(ECR!$E:$E,MATCH(AD74,ECR!$C:$C,0)),RISK!A:B,2,FALSE())</x:f>
        <x:v>3.7</x:v>
      </x:c>
      <x:c r="AP74" s="78"/>
      <x:c r="AQ74" s="87" t="s">
        <x:v>392</x:v>
      </x:c>
      <x:c r="AR74" s="3"/>
      <x:c r="AS74" s="120"/>
      <x:c r="AT74" s="3"/>
      <x:c r="AU74" s="3"/>
      <x:c r="AV74" s="3"/>
      <x:c r="AW74" s="3"/>
      <x:c r="AX74" s="3"/>
      <x:c r="AY74" s="3"/>
      <x:c r="AZ74" s="3"/>
      <x:c r="BA74" s="3"/>
      <x:c r="BB74" s="120"/>
      <x:c r="BC74" s="3"/>
      <x:c r="BD74" s="3"/>
      <x:c r="BE74" s="120"/>
      <x:c r="BF74" s="78">
        <x:v>72.0</x:v>
      </x:c>
      <x:c r="BG74" s="78" t="str">
        <x:f t="shared" si="1"/>
      </x:c>
      <x:c r="BH74" s="90"/>
      <x:c r="BI74" s="90"/>
      <x:c r="BJ74" s="90"/>
      <x:c r="BK74" s="89">
        <x:v>72.0</x:v>
      </x:c>
      <x:c r="BL74" s="78">
        <x:f t="shared" si="2"/>
        <x:v>39.49357647</x:v>
      </x:c>
      <x:c r="BM74" s="90" t="n">
        <x:f>IFERROR(LARGE($X$3:$X$102,72),"")</x:f>
        <x:v>-87.23325902029413</x:v>
      </x:c>
      <x:c r="BN74" s="90">
        <x:f t="shared" si="7"/>
        <x:v>-42.15324668</x:v>
      </x:c>
      <x:c r="BO74" s="91">
        <x:f t="shared" si="8"/>
        <x:v>9</x:v>
      </x:c>
      <x:c r="BP74" s="90">
        <x:v>72.0</x:v>
      </x:c>
      <x:c r="BQ74" s="78">
        <x:f t="shared" si="3"/>
        <x:v>79.53035294</x:v>
      </x:c>
      <x:c r="BR74" s="90" t="n">
        <x:f>IFERROR(LARGE($AL$3:$AL$102,72),"")</x:f>
        <x:v>-28.121779404558822</x:v>
      </x:c>
      <x:c r="BS74" s="90">
        <x:f t="shared" si="9"/>
        <x:v>-21.74886</x:v>
      </x:c>
      <x:c r="BT74" s="90">
        <x:f t="shared" si="10"/>
        <x:v>7</x:v>
      </x:c>
      <x:c r="BU74" s="78">
        <x:v>72.0</x:v>
      </x:c>
      <x:c r="BV74" s="78" t="str">
        <x:f t="shared" si="4"/>
      </x:c>
      <x:c r="BW74" s="90"/>
      <x:c r="BX74" s="90"/>
      <x:c r="BY74" s="90" t="n">
        <x:f t="array" ref="BY74">IFERROR(VALUE(RIGHT(INDEX(ECR!$E:$E,MATCH(P74,ECR!$C:$C,0)),LEN(INDEX(ECR!$E:$E,MATCH(P74,ECR!$C:$C,0)))-2)),"")</x:f>
        <x:v>72</x:v>
      </x:c>
      <x:c r="BZ74" s="90"/>
      <x:c r="CA74" s="90"/>
      <x:c r="CB74" s="90"/>
      <x:c r="CC74" s="90"/>
      <x:c r="CD74" s="90"/>
      <x:c r="CE74" s="90"/>
      <x:c r="CF74" s="90"/>
      <x:c r="CG74" s="90"/>
    </x:row>
    <x:row r="75" ht="14.25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120"/>
      <x:c r="M75" s="3"/>
      <x:c r="N75" s="120"/>
      <x:c r="O75" s="75" t="s">
        <x:v>393</x:v>
      </x:c>
      <x:c r="P75" s="60" t="str">
        <x:f>VLOOKUP(O75,ECR!E:L,8,FALSE())</x:f>
        <x:v>Isaiah Davis</x:v>
      </x:c>
      <x:c r="Q75" s="63" t="str">
        <x:f>IFERROR(VLOOKUP(Aggregate!$P75,ECR!C:F,2,FALSE()),"-")</x:f>
        <x:v>NYJ</x:v>
      </x:c>
      <x:c r="R75" s="63" t="n">
        <x:f>IFERROR(VLOOKUP(Aggregate!$P75,ECR!C:F,4,FALSE()),"-")</x:f>
        <x:v>13</x:v>
      </x:c>
      <x:c r="S75" s="63" t="str">
        <x:f>Aggregate!$Q75 &amp; "/" &amp; Aggregate!$R75</x:f>
        <x:v>NYJ/13</x:v>
      </x:c>
      <x:c r="T75" s="67" t="n">
        <x:f>IFERROR(VLOOKUP(Aggregate!$P75,RB!A:Q,13,FALSE())/17*(16-Aggregate!$AA75),0)</x:f>
        <x:v>24.14941176470588</x:v>
      </x:c>
      <x:c r="U75" s="67" t="n">
        <x:f>IFERROR(VLOOKUP(Aggregate!$P75,RB!A:Q,14,FALSE())/17*(16-Aggregate!$AA75),0)</x:f>
        <x:v>28.60033411764706</x:v>
      </x:c>
      <x:c r="V75" s="67" t="n">
        <x:f>IFERROR(VLOOKUP(Aggregate!$P75,RB!A:Q,15,FALSE())/17*(16-Aggregate!$AA75),0)</x:f>
        <x:v>32.798616470588236</x:v>
      </x:c>
      <x:c r="W75" s="70" t="n">
        <x:f>AVERAGE(Aggregate!$T75,Aggregate!$U75,Aggregate!$V75,VLOOKUP(Aggregate!$P75,ECR!L:N,3,FALSE))</x:f>
        <x:v>30.679041175735296</x:v>
      </x:c>
      <x:c r="X75" s="70" t="n">
        <x:f>Aggregate!$W75-$Q$1</x:f>
        <x:v>-99.32128794926471</x:v>
      </x:c>
      <x:c r="Y75" s="74" t="n">
        <x:f>MAX(Aggregate!$X75*Scoring!$B$48+1,1)</x:f>
        <x:v>1</x:v>
      </x:c>
      <x:c r="Z75" s="75" t="n">
        <x:f>VLOOKUP(Aggregate!$X75,BM:BO,3,FALSE)</x:f>
        <x:v>10</x:v>
      </x:c>
      <x:c r="AA75" s="77" t="n">
        <x:f t="array" ref="AA75">VLOOKUP(INDEX(ECR!$E:$E,MATCH(P75,ECR!$C:$C,0)),RISK!A:B,2,FALSE())</x:f>
        <x:v>3.368</x:v>
      </x:c>
      <x:c r="AB75" s="78"/>
      <x:c r="AC75" s="63" t="s">
        <x:v>394</x:v>
      </x:c>
      <x:c r="AD75" s="63" t="str">
        <x:f>VLOOKUP(AC75,ECR!E:L,8,FALSE())</x:f>
        <x:v>Keenan Allen</x:v>
      </x:c>
      <x:c r="AE75" s="63" t="str">
        <x:f>IFERROR(VLOOKUP(Aggregate!$AD75,ECR!C:F,2,FALSE()),"-")</x:f>
        <x:v>IND</x:v>
      </x:c>
      <x:c r="AF75" s="63" t="n">
        <x:f>IFERROR(VLOOKUP(Aggregate!$AD75,ECR!C:F,4,FALSE()),"-")</x:f>
        <x:v>13</x:v>
      </x:c>
      <x:c r="AG75" s="63" t="str">
        <x:f>Aggregate!$AE75 &amp; "/" &amp; Aggregate!$AF75</x:f>
        <x:v>IND/13</x:v>
      </x:c>
      <x:c r="AH75" s="67" t="n">
        <x:f>IFERROR(VLOOKUP(Aggregate!$AD75,WR!A:Q,13,FALSE())/17*(16-Aggregate!$AO75),0)</x:f>
        <x:v>69.82058823529412</x:v>
      </x:c>
      <x:c r="AI75" s="67" t="n">
        <x:f>IFERROR(VLOOKUP(Aggregate!$AD75,WR!A:Q,14,FALSE())/17*(16-Aggregate!$AO75),0)</x:f>
        <x:v>81.20170588235294</x:v>
      </x:c>
      <x:c r="AJ75" s="67" t="n">
        <x:f>IFERROR(VLOOKUP(Aggregate!$AD75,WR!A:Q,15,FALSE())/17*(16-Aggregate!$AO75),0)</x:f>
        <x:v>92.97352941176472</x:v>
      </x:c>
      <x:c r="AK75" s="70" t="n">
        <x:f>AVERAGE(Aggregate!$AH75,Aggregate!$AI75,Aggregate!$AJ75,VLOOKUP(Aggregate!$AD75,ECR!L:N,3,FALSE))</x:f>
        <x:v>80.25077117735295</x:v>
      </x:c>
      <x:c r="AL75" s="70" t="n">
        <x:f>Aggregate!$AK75-$AE$1</x:f>
        <x:v>-21.944140579999996</x:v>
      </x:c>
      <x:c r="AM75" s="74" t="n">
        <x:f>MAX(Aggregate!$AL75*Scoring!$B$48+1,1)</x:f>
        <x:v>1</x:v>
      </x:c>
      <x:c r="AN75" s="75" t="n">
        <x:f>VLOOKUP(Aggregate!$AL75,BR:BT,3,FALSE)</x:f>
        <x:v>6</x:v>
      </x:c>
      <x:c r="AO75" s="77" t="n">
        <x:f t="array" ref="AO75">VLOOKUP(INDEX(ECR!$E:$E,MATCH(AD75,ECR!$C:$C,0)),RISK!A:B,2,FALSE())</x:f>
        <x:v>3.7</x:v>
      </x:c>
      <x:c r="AP75" s="78"/>
      <x:c r="AQ75" s="87" t="s">
        <x:v>395</x:v>
      </x:c>
      <x:c r="AR75" s="3"/>
      <x:c r="AS75" s="120"/>
      <x:c r="AT75" s="3"/>
      <x:c r="AU75" s="3"/>
      <x:c r="AV75" s="3"/>
      <x:c r="AW75" s="3"/>
      <x:c r="AX75" s="3"/>
      <x:c r="AY75" s="3"/>
      <x:c r="AZ75" s="3"/>
      <x:c r="BA75" s="3"/>
      <x:c r="BB75" s="120"/>
      <x:c r="BC75" s="3"/>
      <x:c r="BD75" s="3"/>
      <x:c r="BE75" s="120"/>
      <x:c r="BF75" s="78">
        <x:v>73.0</x:v>
      </x:c>
      <x:c r="BG75" s="78" t="str">
        <x:f t="shared" si="1"/>
      </x:c>
      <x:c r="BH75" s="90"/>
      <x:c r="BI75" s="90"/>
      <x:c r="BJ75" s="90"/>
      <x:c r="BK75" s="89">
        <x:v>73.0</x:v>
      </x:c>
      <x:c r="BL75" s="78">
        <x:f t="shared" si="2"/>
        <x:v>37.16780235</x:v>
      </x:c>
      <x:c r="BM75" s="90" t="n">
        <x:f>IFERROR(LARGE($X$3:$X$102,73),"")</x:f>
        <x:v>-88.91822663970589</x:v>
      </x:c>
      <x:c r="BN75" s="90">
        <x:f t="shared" si="7"/>
        <x:v>-42.15324668</x:v>
      </x:c>
      <x:c r="BO75" s="91">
        <x:f t="shared" si="8"/>
        <x:v>9</x:v>
      </x:c>
      <x:c r="BP75" s="90">
        <x:v>73.0</x:v>
      </x:c>
      <x:c r="BQ75" s="78">
        <x:f t="shared" si="3"/>
        <x:v>77.00726118</x:v>
      </x:c>
      <x:c r="BR75" s="90" t="n">
        <x:f>IFERROR(LARGE($AL$3:$AL$102,73),"")</x:f>
        <x:v>-28.34961881647058</x:v>
      </x:c>
      <x:c r="BS75" s="90">
        <x:f t="shared" si="9"/>
        <x:v>-21.74886</x:v>
      </x:c>
      <x:c r="BT75" s="90">
        <x:f t="shared" si="10"/>
        <x:v>7</x:v>
      </x:c>
      <x:c r="BU75" s="78">
        <x:v>73.0</x:v>
      </x:c>
      <x:c r="BV75" s="78" t="str">
        <x:f t="shared" si="4"/>
      </x:c>
      <x:c r="BW75" s="90"/>
      <x:c r="BX75" s="90"/>
      <x:c r="BY75" s="90" t="n">
        <x:f t="array" ref="BY75">IFERROR(VALUE(RIGHT(INDEX(ECR!$E:$E,MATCH(P75,ECR!$C:$C,0)),LEN(INDEX(ECR!$E:$E,MATCH(P75,ECR!$C:$C,0)))-2)),"")</x:f>
        <x:v>73</x:v>
      </x:c>
      <x:c r="BZ75" s="90"/>
      <x:c r="CA75" s="90"/>
      <x:c r="CB75" s="90"/>
      <x:c r="CC75" s="90"/>
      <x:c r="CD75" s="90"/>
      <x:c r="CE75" s="90"/>
      <x:c r="CF75" s="90"/>
      <x:c r="CG75" s="90"/>
    </x:row>
    <x:row r="76" ht="14.25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120"/>
      <x:c r="M76" s="3"/>
      <x:c r="N76" s="120"/>
      <x:c r="O76" s="75" t="s">
        <x:v>396</x:v>
      </x:c>
      <x:c r="P76" s="60" t="str">
        <x:f>VLOOKUP(O76,ECR!E:L,8,FALSE())</x:f>
        <x:v>Chris Brooks</x:v>
      </x:c>
      <x:c r="Q76" s="63" t="str">
        <x:f>IFERROR(VLOOKUP(Aggregate!$P76,ECR!C:F,2,FALSE()),"-")</x:f>
        <x:v>GB</x:v>
      </x:c>
      <x:c r="R76" s="63" t="n">
        <x:f>IFERROR(VLOOKUP(Aggregate!$P76,ECR!C:F,4,FALSE()),"-")</x:f>
        <x:v>11</x:v>
      </x:c>
      <x:c r="S76" s="63" t="str">
        <x:f>Aggregate!$Q76 &amp; "/" &amp; Aggregate!$R76</x:f>
        <x:v>GB/11</x:v>
      </x:c>
      <x:c r="T76" s="67" t="n">
        <x:f>IFERROR(VLOOKUP(Aggregate!$P76,RB!A:Q,13,FALSE())/17*(16-Aggregate!$AA76),0)</x:f>
        <x:v>19.007444705882353</x:v>
      </x:c>
      <x:c r="U76" s="67" t="n">
        <x:f>IFERROR(VLOOKUP(Aggregate!$P76,RB!A:Q,14,FALSE())/17*(16-Aggregate!$AA76),0)</x:f>
        <x:v>41.82678117647058</x:v>
      </x:c>
      <x:c r="V76" s="67" t="n">
        <x:f>IFERROR(VLOOKUP(Aggregate!$P76,RB!A:Q,15,FALSE())/17*(16-Aggregate!$AA76),0)</x:f>
        <x:v>64.7947294117647</x:v>
      </x:c>
      <x:c r="W76" s="70" t="n">
        <x:f>AVERAGE(Aggregate!$T76,Aggregate!$U76,Aggregate!$V76,VLOOKUP(Aggregate!$P76,ECR!L:N,3,FALSE))</x:f>
        <x:v>40.665751763529414</x:v>
      </x:c>
      <x:c r="X76" s="70" t="n">
        <x:f>Aggregate!$W76-$Q$1</x:f>
        <x:v>-89.3345773614706</x:v>
      </x:c>
      <x:c r="Y76" s="74" t="n">
        <x:f>MAX(Aggregate!$X76*Scoring!$B$48+1,1)</x:f>
        <x:v>1</x:v>
      </x:c>
      <x:c r="Z76" s="75" t="n">
        <x:f>VLOOKUP(Aggregate!$X76,BM:BO,3,FALSE)</x:f>
        <x:v>9</x:v>
      </x:c>
      <x:c r="AA76" s="77" t="n">
        <x:f t="array" ref="AA76">VLOOKUP(INDEX(ECR!$E:$E,MATCH(P76,ECR!$C:$C,0)),RISK!A:B,2,FALSE())</x:f>
        <x:v>3.368</x:v>
      </x:c>
      <x:c r="AB76" s="78"/>
      <x:c r="AC76" s="63" t="s">
        <x:v>397</x:v>
      </x:c>
      <x:c r="AD76" s="63" t="str">
        <x:f>VLOOKUP(AC76,ECR!E:L,8,FALSE())</x:f>
        <x:v>Tank Dell</x:v>
      </x:c>
      <x:c r="AE76" s="63" t="str">
        <x:f>IFERROR(VLOOKUP(Aggregate!$AD76,ECR!C:F,2,FALSE()),"-")</x:f>
        <x:v>HOU</x:v>
      </x:c>
      <x:c r="AF76" s="63" t="n">
        <x:f>IFERROR(VLOOKUP(Aggregate!$AD76,ECR!C:F,4,FALSE()),"-")</x:f>
        <x:v>8</x:v>
      </x:c>
      <x:c r="AG76" s="63" t="str">
        <x:f>Aggregate!$AE76 &amp; "/" &amp; Aggregate!$AF76</x:f>
        <x:v>HOU/8</x:v>
      </x:c>
      <x:c r="AH76" s="67" t="n">
        <x:f>IFERROR(VLOOKUP(Aggregate!$AD76,WR!A:Q,13,FALSE())/17*(16-Aggregate!$AO76),0)</x:f>
        <x:v>83.763</x:v>
      </x:c>
      <x:c r="AI76" s="67" t="n">
        <x:f>IFERROR(VLOOKUP(Aggregate!$AD76,WR!A:Q,14,FALSE())/17*(16-Aggregate!$AO76),0)</x:f>
        <x:v>87.55429411764706</x:v>
      </x:c>
      <x:c r="AJ76" s="67" t="n">
        <x:f>IFERROR(VLOOKUP(Aggregate!$AD76,WR!A:Q,15,FALSE())/17*(16-Aggregate!$AO76),0)</x:f>
        <x:v>91.93888235294118</x:v>
      </x:c>
      <x:c r="AK76" s="70" t="n">
        <x:f>AVERAGE(Aggregate!$AH76,Aggregate!$AI76,Aggregate!$AJ76,VLOOKUP(Aggregate!$AD76,ECR!L:N,3,FALSE))</x:f>
        <x:v>84.82839705764705</x:v>
      </x:c>
      <x:c r="AL76" s="70" t="n">
        <x:f>Aggregate!$AK76-$AE$1</x:f>
        <x:v>-17.36651469970589</x:v>
      </x:c>
      <x:c r="AM76" s="74" t="n">
        <x:f>MAX(Aggregate!$AL76*Scoring!$B$48+1,1)</x:f>
        <x:v>1</x:v>
      </x:c>
      <x:c r="AN76" s="75" t="n">
        <x:f>VLOOKUP(Aggregate!$AL76,BR:BT,3,FALSE)</x:f>
        <x:v>6</x:v>
      </x:c>
      <x:c r="AO76" s="77" t="n">
        <x:f t="array" ref="AO76">VLOOKUP(INDEX(ECR!$E:$E,MATCH(AD76,ECR!$C:$C,0)),RISK!A:B,2,FALSE())</x:f>
        <x:v>3.7</x:v>
      </x:c>
      <x:c r="AP76" s="78"/>
      <x:c r="AQ76" s="87" t="s">
        <x:v>398</x:v>
      </x:c>
      <x:c r="AR76" s="3"/>
      <x:c r="AS76" s="120"/>
      <x:c r="AT76" s="3"/>
      <x:c r="AU76" s="3"/>
      <x:c r="AV76" s="3"/>
      <x:c r="AW76" s="3"/>
      <x:c r="AX76" s="3"/>
      <x:c r="AY76" s="3"/>
      <x:c r="AZ76" s="3"/>
      <x:c r="BA76" s="3"/>
      <x:c r="BB76" s="120"/>
      <x:c r="BC76" s="3"/>
      <x:c r="BD76" s="3"/>
      <x:c r="BE76" s="120"/>
      <x:c r="BF76" s="78">
        <x:v>74.0</x:v>
      </x:c>
      <x:c r="BG76" s="78" t="str">
        <x:f t="shared" si="1"/>
      </x:c>
      <x:c r="BH76" s="90"/>
      <x:c r="BI76" s="90"/>
      <x:c r="BJ76" s="90"/>
      <x:c r="BK76" s="89">
        <x:v>74.0</x:v>
      </x:c>
      <x:c r="BL76" s="78">
        <x:f t="shared" si="2"/>
        <x:v>37.03405176</x:v>
      </x:c>
      <x:c r="BM76" s="90" t="n">
        <x:f>IFERROR(LARGE($X$3:$X$102,74),"")</x:f>
        <x:v>-89.3345773614706</x:v>
      </x:c>
      <x:c r="BN76" s="90">
        <x:f t="shared" si="7"/>
        <x:v>-42.15324668</x:v>
      </x:c>
      <x:c r="BO76" s="91">
        <x:f t="shared" si="8"/>
        <x:v>9</x:v>
      </x:c>
      <x:c r="BP76" s="90">
        <x:v>74.0</x:v>
      </x:c>
      <x:c r="BQ76" s="78">
        <x:f t="shared" si="3"/>
        <x:v>76.05741176</x:v>
      </x:c>
      <x:c r="BR76" s="90" t="n">
        <x:f>IFERROR(LARGE($AL$3:$AL$102,74),"")</x:f>
        <x:v>-28.94146587441176</x:v>
      </x:c>
      <x:c r="BS76" s="90">
        <x:f t="shared" si="9"/>
        <x:v>-21.74886</x:v>
      </x:c>
      <x:c r="BT76" s="90">
        <x:f t="shared" si="10"/>
        <x:v>7</x:v>
      </x:c>
      <x:c r="BU76" s="78">
        <x:v>74.0</x:v>
      </x:c>
      <x:c r="BV76" s="78" t="str">
        <x:f t="shared" si="4"/>
      </x:c>
      <x:c r="BW76" s="90"/>
      <x:c r="BX76" s="90"/>
      <x:c r="BY76" s="90" t="n">
        <x:f t="array" ref="BY76">IFERROR(VALUE(RIGHT(INDEX(ECR!$E:$E,MATCH(P76,ECR!$C:$C,0)),LEN(INDEX(ECR!$E:$E,MATCH(P76,ECR!$C:$C,0)))-2)),"")</x:f>
        <x:v>74</x:v>
      </x:c>
      <x:c r="BZ76" s="90"/>
      <x:c r="CA76" s="90"/>
      <x:c r="CB76" s="90"/>
      <x:c r="CC76" s="90"/>
      <x:c r="CD76" s="90"/>
      <x:c r="CE76" s="90"/>
      <x:c r="CF76" s="90"/>
      <x:c r="CG76" s="90"/>
    </x:row>
    <x:row r="77" ht="14.25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120"/>
      <x:c r="M77" s="3"/>
      <x:c r="N77" s="120"/>
      <x:c r="O77" s="75" t="s">
        <x:v>399</x:v>
      </x:c>
      <x:c r="P77" s="60" t="str">
        <x:f>VLOOKUP(O77,ECR!E:L,8,FALSE())</x:f>
        <x:v>Najee Harris</x:v>
      </x:c>
      <x:c r="Q77" s="63" t="str">
        <x:f>IFERROR(VLOOKUP(Aggregate!$P77,ECR!C:F,2,FALSE()),"-")</x:f>
        <x:v>NYG</x:v>
      </x:c>
      <x:c r="R77" s="63" t="n">
        <x:f>IFERROR(VLOOKUP(Aggregate!$P77,ECR!C:F,4,FALSE()),"-")</x:f>
        <x:v>8</x:v>
      </x:c>
      <x:c r="S77" s="63" t="str">
        <x:f>Aggregate!$Q77 &amp; "/" &amp; Aggregate!$R77</x:f>
        <x:v>NYG/8</x:v>
      </x:c>
      <x:c r="T77" s="67" t="n">
        <x:f>IFERROR(VLOOKUP(Aggregate!$P77,RB!A:Q,13,FALSE())/17*(16-Aggregate!$AA77),0)</x:f>
        <x:v>32.65743529411765</x:v>
      </x:c>
      <x:c r="U77" s="67" t="n">
        <x:f>IFERROR(VLOOKUP(Aggregate!$P77,RB!A:Q,14,FALSE())/17*(16-Aggregate!$AA77),0)</x:f>
        <x:v>41.024277647058824</x:v>
      </x:c>
      <x:c r="V77" s="67" t="n">
        <x:f>IFERROR(VLOOKUP(Aggregate!$P77,RB!A:Q,15,FALSE())/17*(16-Aggregate!$AA77),0)</x:f>
        <x:v>49.78494117647059</x:v>
      </x:c>
      <x:c r="W77" s="70" t="n">
        <x:f>AVERAGE(Aggregate!$T77,Aggregate!$U77,Aggregate!$V77,VLOOKUP(Aggregate!$P77,ECR!L:N,3,FALSE))</x:f>
        <x:v>39.65519176441177</x:v>
      </x:c>
      <x:c r="X77" s="70" t="n">
        <x:f>Aggregate!$W77-$Q$1</x:f>
        <x:v>-90.34513736058824</x:v>
      </x:c>
      <x:c r="Y77" s="74" t="n">
        <x:f>MAX(Aggregate!$X77*Scoring!$B$48+1,1)</x:f>
        <x:v>1</x:v>
      </x:c>
      <x:c r="Z77" s="75" t="n">
        <x:f>VLOOKUP(Aggregate!$X77,BM:BO,3,FALSE)</x:f>
        <x:v>9</x:v>
      </x:c>
      <x:c r="AA77" s="77" t="n">
        <x:f t="array" ref="AA77">VLOOKUP(INDEX(ECR!$E:$E,MATCH(P77,ECR!$C:$C,0)),RISK!A:B,2,FALSE())</x:f>
        <x:v>3.368</x:v>
      </x:c>
      <x:c r="AB77" s="78"/>
      <x:c r="AC77" s="63" t="s">
        <x:v>400</x:v>
      </x:c>
      <x:c r="AD77" s="63" t="str">
        <x:f>VLOOKUP(AC77,ECR!E:L,8,FALSE())</x:f>
        <x:v>Jaylin Noel</x:v>
      </x:c>
      <x:c r="AE77" s="63" t="str">
        <x:f>IFERROR(VLOOKUP(Aggregate!$AD77,ECR!C:F,2,FALSE()),"-")</x:f>
        <x:v>HOU</x:v>
      </x:c>
      <x:c r="AF77" s="63" t="n">
        <x:f>IFERROR(VLOOKUP(Aggregate!$AD77,ECR!C:F,4,FALSE()),"-")</x:f>
        <x:v>8</x:v>
      </x:c>
      <x:c r="AG77" s="63" t="str">
        <x:f>Aggregate!$AE77 &amp; "/" &amp; Aggregate!$AF77</x:f>
        <x:v>HOU/8</x:v>
      </x:c>
      <x:c r="AH77" s="67" t="n">
        <x:f>IFERROR(VLOOKUP(Aggregate!$AD77,WR!A:Q,13,FALSE())/17*(16-Aggregate!$AO77),0)</x:f>
        <x:v>59.04</x:v>
      </x:c>
      <x:c r="AI77" s="67" t="n">
        <x:f>IFERROR(VLOOKUP(Aggregate!$AD77,WR!A:Q,14,FALSE())/17*(16-Aggregate!$AO77),0)</x:f>
        <x:v>65.39982352941178</x:v>
      </x:c>
      <x:c r="AJ77" s="67" t="n">
        <x:f>IFERROR(VLOOKUP(Aggregate!$AD77,WR!A:Q,15,FALSE())/17*(16-Aggregate!$AO77),0)</x:f>
        <x:v>70.79011764705884</x:v>
      </x:c>
      <x:c r="AK77" s="70" t="n">
        <x:f>AVERAGE(Aggregate!$AH77,Aggregate!$AI77,Aggregate!$AJ77,VLOOKUP(Aggregate!$AD77,ECR!L:N,3,FALSE))</x:f>
        <x:v>67.56180176411766</x:v>
      </x:c>
      <x:c r="AL77" s="70" t="n">
        <x:f>Aggregate!$AK77-$AE$1</x:f>
        <x:v>-34.63310999323528</x:v>
      </x:c>
      <x:c r="AM77" s="74" t="n">
        <x:f>MAX(Aggregate!$AL77*Scoring!$B$48+1,1)</x:f>
        <x:v>1</x:v>
      </x:c>
      <x:c r="AN77" s="75" t="n">
        <x:f>VLOOKUP(Aggregate!$AL77,BR:BT,3,FALSE)</x:f>
        <x:v>7</x:v>
      </x:c>
      <x:c r="AO77" s="77" t="n">
        <x:f t="array" ref="AO77">VLOOKUP(INDEX(ECR!$E:$E,MATCH(AD77,ECR!$C:$C,0)),RISK!A:B,2,FALSE())</x:f>
        <x:v>3.7</x:v>
      </x:c>
      <x:c r="AP77" s="78"/>
      <x:c r="AQ77" s="87" t="s">
        <x:v>401</x:v>
      </x:c>
      <x:c r="AR77" s="3"/>
      <x:c r="AS77" s="120"/>
      <x:c r="AT77" s="3"/>
      <x:c r="AU77" s="3"/>
      <x:c r="AV77" s="3"/>
      <x:c r="AW77" s="3"/>
      <x:c r="AX77" s="3"/>
      <x:c r="AY77" s="3"/>
      <x:c r="AZ77" s="3"/>
      <x:c r="BA77" s="3"/>
      <x:c r="BB77" s="120"/>
      <x:c r="BC77" s="3"/>
      <x:c r="BD77" s="3"/>
      <x:c r="BE77" s="120"/>
      <x:c r="BF77" s="78">
        <x:v>75.0</x:v>
      </x:c>
      <x:c r="BG77" s="78" t="str">
        <x:f t="shared" si="1"/>
      </x:c>
      <x:c r="BH77" s="90"/>
      <x:c r="BI77" s="90"/>
      <x:c r="BJ77" s="90"/>
      <x:c r="BK77" s="89">
        <x:v>75.0</x:v>
      </x:c>
      <x:c r="BL77" s="78">
        <x:f t="shared" si="2"/>
        <x:v>35.15411294</x:v>
      </x:c>
      <x:c r="BM77" s="90" t="n">
        <x:f>IFERROR(LARGE($X$3:$X$102,75),"")</x:f>
        <x:v>-90.34513736058824</x:v>
      </x:c>
      <x:c r="BN77" s="90">
        <x:f t="shared" si="7"/>
        <x:v>-42.15324668</x:v>
      </x:c>
      <x:c r="BO77" s="91">
        <x:f t="shared" si="8"/>
        <x:v>9</x:v>
      </x:c>
      <x:c r="BP77" s="90">
        <x:v>75.0</x:v>
      </x:c>
      <x:c r="BQ77" s="78">
        <x:f t="shared" si="3"/>
        <x:v>75.01726588</x:v>
      </x:c>
      <x:c r="BR77" s="90" t="n">
        <x:f>IFERROR(LARGE($AL$3:$AL$102,75),"")</x:f>
        <x:v>-29.779168228088224</x:v>
      </x:c>
      <x:c r="BS77" s="90">
        <x:f t="shared" si="9"/>
        <x:v>-21.74886</x:v>
      </x:c>
      <x:c r="BT77" s="90">
        <x:f t="shared" si="10"/>
        <x:v>7</x:v>
      </x:c>
      <x:c r="BU77" s="78">
        <x:v>75.0</x:v>
      </x:c>
      <x:c r="BV77" s="78" t="str">
        <x:f t="shared" si="4"/>
      </x:c>
      <x:c r="BW77" s="90"/>
      <x:c r="BX77" s="90"/>
      <x:c r="BY77" s="90" t="n">
        <x:f t="array" ref="BY77">IFERROR(VALUE(RIGHT(INDEX(ECR!$E:$E,MATCH(P77,ECR!$C:$C,0)),LEN(INDEX(ECR!$E:$E,MATCH(P77,ECR!$C:$C,0)))-2)),"")</x:f>
        <x:v>75</x:v>
      </x:c>
      <x:c r="BZ77" s="90"/>
      <x:c r="CA77" s="90"/>
      <x:c r="CB77" s="90"/>
      <x:c r="CC77" s="90"/>
      <x:c r="CD77" s="90"/>
      <x:c r="CE77" s="90"/>
      <x:c r="CF77" s="90"/>
      <x:c r="CG77" s="90"/>
    </x:row>
    <x:row r="78" ht="14.25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120"/>
      <x:c r="M78" s="3"/>
      <x:c r="N78" s="120"/>
      <x:c r="O78" s="75" t="s">
        <x:v>402</x:v>
      </x:c>
      <x:c r="P78" s="60" t="str">
        <x:f>VLOOKUP(O78,ECR!E:L,8,FALSE())</x:f>
        <x:v>Jordan James</x:v>
      </x:c>
      <x:c r="Q78" s="63" t="str">
        <x:f>IFERROR(VLOOKUP(Aggregate!$P78,ECR!C:F,2,FALSE()),"-")</x:f>
        <x:v>SF</x:v>
      </x:c>
      <x:c r="R78" s="63" t="n">
        <x:f>IFERROR(VLOOKUP(Aggregate!$P78,ECR!C:F,4,FALSE()),"-")</x:f>
        <x:v>8</x:v>
      </x:c>
      <x:c r="S78" s="63" t="str">
        <x:f>Aggregate!$Q78 &amp; "/" &amp; Aggregate!$R78</x:f>
        <x:v>SF/8</x:v>
      </x:c>
      <x:c r="T78" s="67" t="n">
        <x:f>IFERROR(VLOOKUP(Aggregate!$P78,RB!A:Q,13,FALSE())/17*(16-Aggregate!$AA78),0)</x:f>
        <x:v>17.461882352941174</x:v>
      </x:c>
      <x:c r="U78" s="67" t="n">
        <x:f>IFERROR(VLOOKUP(Aggregate!$P78,RB!A:Q,14,FALSE())/17*(16-Aggregate!$AA78),0)</x:f>
        <x:v>51.137308235294114</x:v>
      </x:c>
      <x:c r="V78" s="67" t="n">
        <x:f>IFERROR(VLOOKUP(Aggregate!$P78,RB!A:Q,15,FALSE())/17*(16-Aggregate!$AA78),0)</x:f>
        <x:v>84.85731764705882</x:v>
      </x:c>
      <x:c r="W78" s="70" t="n">
        <x:f>AVERAGE(Aggregate!$T78,Aggregate!$U78,Aggregate!$V78,VLOOKUP(Aggregate!$P78,ECR!L:N,3,FALSE))</x:f>
        <x:v>47.083922353823525</x:v>
      </x:c>
      <x:c r="X78" s="70" t="n">
        <x:f>Aggregate!$W78-$Q$1</x:f>
        <x:v>-82.91640677117648</x:v>
      </x:c>
      <x:c r="Y78" s="74" t="n">
        <x:f>MAX(Aggregate!$X78*Scoring!$B$48+1,1)</x:f>
        <x:v>1</x:v>
      </x:c>
      <x:c r="Z78" s="75" t="n">
        <x:f>VLOOKUP(Aggregate!$X78,BM:BO,3,FALSE)</x:f>
        <x:v>9</x:v>
      </x:c>
      <x:c r="AA78" s="77" t="n">
        <x:f t="array" ref="AA78">VLOOKUP(INDEX(ECR!$E:$E,MATCH(P78,ECR!$C:$C,0)),RISK!A:B,2,FALSE())</x:f>
        <x:v>3.368</x:v>
      </x:c>
      <x:c r="AB78" s="78"/>
      <x:c r="AC78" s="63" t="s">
        <x:v>403</x:v>
      </x:c>
      <x:c r="AD78" s="63" t="str">
        <x:f>VLOOKUP(AC78,ECR!E:L,8,FALSE())</x:f>
        <x:v>Travis Hunter</x:v>
      </x:c>
      <x:c r="AE78" s="63" t="str">
        <x:f>IFERROR(VLOOKUP(Aggregate!$AD78,ECR!C:F,2,FALSE()),"-")</x:f>
        <x:v>JAC</x:v>
      </x:c>
      <x:c r="AF78" s="63" t="n">
        <x:f>IFERROR(VLOOKUP(Aggregate!$AD78,ECR!C:F,4,FALSE()),"-")</x:f>
        <x:v>7</x:v>
      </x:c>
      <x:c r="AG78" s="63" t="str">
        <x:f>Aggregate!$AE78 &amp; "/" &amp; Aggregate!$AF78</x:f>
        <x:v>JAC/7</x:v>
      </x:c>
      <x:c r="AH78" s="67" t="n">
        <x:f>IFERROR(VLOOKUP(Aggregate!$AD78,WR!A:Q,13,FALSE())/17*(16-Aggregate!$AO78),0)</x:f>
        <x:v>65.9424705882353</x:v>
      </x:c>
      <x:c r="AI78" s="67" t="n">
        <x:f>IFERROR(VLOOKUP(Aggregate!$AD78,WR!A:Q,14,FALSE())/17*(16-Aggregate!$AO78),0)</x:f>
        <x:v>65.9424705882353</x:v>
      </x:c>
      <x:c r="AJ78" s="67" t="n">
        <x:f>IFERROR(VLOOKUP(Aggregate!$AD78,WR!A:Q,15,FALSE())/17*(16-Aggregate!$AO78),0)</x:f>
        <x:v>65.9424705882353</x:v>
      </x:c>
      <x:c r="AK78" s="70" t="n">
        <x:f>AVERAGE(Aggregate!$AH78,Aggregate!$AI78,Aggregate!$AJ78,VLOOKUP(Aggregate!$AD78,ECR!L:N,3,FALSE))</x:f>
        <x:v>67.94664705867648</x:v>
      </x:c>
      <x:c r="AL78" s="70" t="n">
        <x:f>Aggregate!$AK78-$AE$1</x:f>
        <x:v>-34.248264698676465</x:v>
      </x:c>
      <x:c r="AM78" s="74" t="n">
        <x:f>MAX(Aggregate!$AL78*Scoring!$B$48+1,1)</x:f>
        <x:v>1</x:v>
      </x:c>
      <x:c r="AN78" s="75" t="n">
        <x:f>VLOOKUP(Aggregate!$AL78,BR:BT,3,FALSE)</x:f>
        <x:v>7</x:v>
      </x:c>
      <x:c r="AO78" s="77" t="n">
        <x:f t="array" ref="AO78">VLOOKUP(INDEX(ECR!$E:$E,MATCH(AD78,ECR!$C:$C,0)),RISK!A:B,2,FALSE())</x:f>
        <x:v>3.7</x:v>
      </x:c>
      <x:c r="AP78" s="78"/>
      <x:c r="AQ78" s="87" t="s">
        <x:v>404</x:v>
      </x:c>
      <x:c r="AR78" s="3"/>
      <x:c r="AS78" s="120"/>
      <x:c r="AT78" s="3"/>
      <x:c r="AU78" s="3"/>
      <x:c r="AV78" s="3"/>
      <x:c r="AW78" s="3"/>
      <x:c r="AX78" s="3"/>
      <x:c r="AY78" s="3"/>
      <x:c r="AZ78" s="3"/>
      <x:c r="BA78" s="3"/>
      <x:c r="BB78" s="120"/>
      <x:c r="BC78" s="3"/>
      <x:c r="BD78" s="3"/>
      <x:c r="BE78" s="120"/>
      <x:c r="BF78" s="78">
        <x:v>76.0</x:v>
      </x:c>
      <x:c r="BG78" s="78" t="str">
        <x:f t="shared" si="1"/>
      </x:c>
      <x:c r="BH78" s="90"/>
      <x:c r="BI78" s="90"/>
      <x:c r="BJ78" s="90"/>
      <x:c r="BK78" s="89">
        <x:v>76.0</x:v>
      </x:c>
      <x:c r="BL78" s="78">
        <x:f t="shared" si="2"/>
        <x:v>34.87918118</x:v>
      </x:c>
      <x:c r="BM78" s="90" t="n">
        <x:f>IFERROR(LARGE($X$3:$X$102,76),"")</x:f>
        <x:v>-90.97487971205882</x:v>
      </x:c>
      <x:c r="BN78" s="90">
        <x:f t="shared" si="7"/>
        <x:v>-42.15324668</x:v>
      </x:c>
      <x:c r="BO78" s="91">
        <x:f t="shared" si="8"/>
        <x:v>9</x:v>
      </x:c>
      <x:c r="BP78" s="90">
        <x:v>76.0</x:v>
      </x:c>
      <x:c r="BQ78" s="78">
        <x:f t="shared" si="3"/>
        <x:v>73.95917647</x:v>
      </x:c>
      <x:c r="BR78" s="90" t="n">
        <x:f>IFERROR(LARGE($AL$3:$AL$102,76),"")</x:f>
        <x:v>-30.489529404558823</x:v>
      </x:c>
      <x:c r="BS78" s="90">
        <x:f t="shared" si="9"/>
        <x:v>-21.74886</x:v>
      </x:c>
      <x:c r="BT78" s="90">
        <x:f t="shared" si="10"/>
        <x:v>7</x:v>
      </x:c>
      <x:c r="BU78" s="78">
        <x:v>76.0</x:v>
      </x:c>
      <x:c r="BV78" s="78" t="str">
        <x:f t="shared" si="4"/>
      </x:c>
      <x:c r="BW78" s="90"/>
      <x:c r="BX78" s="90"/>
      <x:c r="BY78" s="90" t="n">
        <x:f t="array" ref="BY78">IFERROR(VALUE(RIGHT(INDEX(ECR!$E:$E,MATCH(P78,ECR!$C:$C,0)),LEN(INDEX(ECR!$E:$E,MATCH(P78,ECR!$C:$C,0)))-2)),"")</x:f>
        <x:v>76</x:v>
      </x:c>
      <x:c r="BZ78" s="90"/>
      <x:c r="CA78" s="90"/>
      <x:c r="CB78" s="90"/>
      <x:c r="CC78" s="90"/>
      <x:c r="CD78" s="90"/>
      <x:c r="CE78" s="90"/>
      <x:c r="CF78" s="90"/>
      <x:c r="CG78" s="90"/>
    </x:row>
    <x:row r="79" ht="14.25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120"/>
      <x:c r="M79" s="3"/>
      <x:c r="N79" s="120"/>
      <x:c r="O79" s="75" t="s">
        <x:v>405</x:v>
      </x:c>
      <x:c r="P79" s="60" t="str">
        <x:f>VLOOKUP(O79,ECR!E:L,8,FALSE())</x:f>
        <x:v>Samaje Perine</x:v>
      </x:c>
      <x:c r="Q79" s="63" t="str">
        <x:f>IFERROR(VLOOKUP(Aggregate!$P79,ECR!C:F,2,FALSE()),"-")</x:f>
        <x:v>CIN</x:v>
      </x:c>
      <x:c r="R79" s="63" t="n">
        <x:f>IFERROR(VLOOKUP(Aggregate!$P79,ECR!C:F,4,FALSE()),"-")</x:f>
        <x:v>6</x:v>
      </x:c>
      <x:c r="S79" s="63" t="str">
        <x:f>Aggregate!$Q79 &amp; "/" &amp; Aggregate!$R79</x:f>
        <x:v>CIN/6</x:v>
      </x:c>
      <x:c r="T79" s="67" t="n">
        <x:f>IFERROR(VLOOKUP(Aggregate!$P79,RB!A:Q,13,FALSE())/17*(16-Aggregate!$AA79),0)</x:f>
        <x:v>59.56359529411764</x:v>
      </x:c>
      <x:c r="U79" s="67" t="n">
        <x:f>IFERROR(VLOOKUP(Aggregate!$P79,RB!A:Q,14,FALSE())/17*(16-Aggregate!$AA79),0)</x:f>
        <x:v>65.01764705882353</x:v>
      </x:c>
      <x:c r="V79" s="67" t="n">
        <x:f>IFERROR(VLOOKUP(Aggregate!$P79,RB!A:Q,15,FALSE())/17*(16-Aggregate!$AA79),0)</x:f>
        <x:v>70.02586352941175</x:v>
      </x:c>
      <x:c r="W79" s="70" t="n">
        <x:f>AVERAGE(Aggregate!$T79,Aggregate!$U79,Aggregate!$V79,VLOOKUP(Aggregate!$P79,ECR!L:N,3,FALSE))</x:f>
        <x:v>56.95545882308823</x:v>
      </x:c>
      <x:c r="X79" s="70" t="n">
        <x:f>Aggregate!$W79-$Q$1</x:f>
        <x:v>-73.04487030191177</x:v>
      </x:c>
      <x:c r="Y79" s="74" t="n">
        <x:f>MAX(Aggregate!$X79*Scoring!$B$48+1,1)</x:f>
        <x:v>1</x:v>
      </x:c>
      <x:c r="Z79" s="75" t="n">
        <x:f>VLOOKUP(Aggregate!$X79,BM:BO,3,FALSE)</x:f>
        <x:v>9</x:v>
      </x:c>
      <x:c r="AA79" s="77" t="n">
        <x:f t="array" ref="AA79">VLOOKUP(INDEX(ECR!$E:$E,MATCH(P79,ECR!$C:$C,0)),RISK!A:B,2,FALSE())</x:f>
        <x:v>3.368</x:v>
      </x:c>
      <x:c r="AB79" s="78"/>
      <x:c r="AC79" s="63" t="s">
        <x:v>406</x:v>
      </x:c>
      <x:c r="AD79" s="63" t="str">
        <x:f>VLOOKUP(AC79,ECR!E:L,8,FALSE())</x:f>
        <x:v>Rashod Bateman</x:v>
      </x:c>
      <x:c r="AE79" s="63" t="str">
        <x:f>IFERROR(VLOOKUP(Aggregate!$AD79,ECR!C:F,2,FALSE()),"-")</x:f>
        <x:v>BAL</x:v>
      </x:c>
      <x:c r="AF79" s="63" t="n">
        <x:f>IFERROR(VLOOKUP(Aggregate!$AD79,ECR!C:F,4,FALSE()),"-")</x:f>
        <x:v>13</x:v>
      </x:c>
      <x:c r="AG79" s="63" t="str">
        <x:f>Aggregate!$AE79 &amp; "/" &amp; Aggregate!$AF79</x:f>
        <x:v>BAL/13</x:v>
      </x:c>
      <x:c r="AH79" s="67" t="n">
        <x:f>IFERROR(VLOOKUP(Aggregate!$AD79,WR!A:Q,13,FALSE())/17*(16-Aggregate!$AO79),0)</x:f>
        <x:v>72.75088235294118</x:v>
      </x:c>
      <x:c r="AI79" s="67" t="n">
        <x:f>IFERROR(VLOOKUP(Aggregate!$AD79,WR!A:Q,14,FALSE())/17*(16-Aggregate!$AO79),0)</x:f>
        <x:v>83.10458823529413</x:v>
      </x:c>
      <x:c r="AJ79" s="67" t="n">
        <x:f>IFERROR(VLOOKUP(Aggregate!$AD79,WR!A:Q,15,FALSE())/17*(16-Aggregate!$AO79),0)</x:f>
        <x:v>93.6464117647059</x:v>
      </x:c>
      <x:c r="AK79" s="70" t="n">
        <x:f>AVERAGE(Aggregate!$AH79,Aggregate!$AI79,Aggregate!$AJ79,VLOOKUP(Aggregate!$AD79,ECR!L:N,3,FALSE))</x:f>
        <x:v>80.7042794107353</x:v>
      </x:c>
      <x:c r="AL79" s="70" t="n">
        <x:f>Aggregate!$AK79-$AE$1</x:f>
        <x:v>-21.490632346617645</x:v>
      </x:c>
      <x:c r="AM79" s="74" t="n">
        <x:f>MAX(Aggregate!$AL79*Scoring!$B$48+1,1)</x:f>
        <x:v>1</x:v>
      </x:c>
      <x:c r="AN79" s="75" t="n">
        <x:f>VLOOKUP(Aggregate!$AL79,BR:BT,3,FALSE)</x:f>
        <x:v>6</x:v>
      </x:c>
      <x:c r="AO79" s="77" t="n">
        <x:f t="array" ref="AO79">VLOOKUP(INDEX(ECR!$E:$E,MATCH(AD79,ECR!$C:$C,0)),RISK!A:B,2,FALSE())</x:f>
        <x:v>3.7</x:v>
      </x:c>
      <x:c r="AP79" s="78"/>
      <x:c r="AQ79" s="87" t="s">
        <x:v>407</x:v>
      </x:c>
      <x:c r="AR79" s="3"/>
      <x:c r="AS79" s="120"/>
      <x:c r="AT79" s="3"/>
      <x:c r="AU79" s="3"/>
      <x:c r="AV79" s="3"/>
      <x:c r="AW79" s="3"/>
      <x:c r="AX79" s="3"/>
      <x:c r="AY79" s="3"/>
      <x:c r="AZ79" s="3"/>
      <x:c r="BA79" s="3"/>
      <x:c r="BB79" s="120"/>
      <x:c r="BC79" s="3"/>
      <x:c r="BD79" s="3"/>
      <x:c r="BE79" s="120"/>
      <x:c r="BF79" s="78">
        <x:v>77.0</x:v>
      </x:c>
      <x:c r="BG79" s="78" t="str">
        <x:f t="shared" si="1"/>
      </x:c>
      <x:c r="BH79" s="90"/>
      <x:c r="BI79" s="90"/>
      <x:c r="BJ79" s="90"/>
      <x:c r="BK79" s="89">
        <x:v>77.0</x:v>
      </x:c>
      <x:c r="BL79" s="78">
        <x:f t="shared" si="2"/>
        <x:v>33.21472941</x:v>
      </x:c>
      <x:c r="BM79" s="90" t="n">
        <x:f>IFERROR(LARGE($X$3:$X$102,77),"")</x:f>
        <x:v>-95.52054206602942</x:v>
      </x:c>
      <x:c r="BN79" s="90">
        <x:f t="shared" si="7"/>
        <x:v>-67.02025265</x:v>
      </x:c>
      <x:c r="BO79" s="91">
        <x:f t="shared" si="8"/>
        <x:v>10</x:v>
      </x:c>
      <x:c r="BP79" s="90">
        <x:v>77.0</x:v>
      </x:c>
      <x:c r="BQ79" s="78">
        <x:f t="shared" si="3"/>
        <x:v>73.31523529</x:v>
      </x:c>
      <x:c r="BR79" s="90" t="n">
        <x:f>IFERROR(LARGE($AL$3:$AL$102,77),"")</x:f>
        <x:v>-30.56644057999999</x:v>
      </x:c>
      <x:c r="BS79" s="90">
        <x:f t="shared" si="9"/>
        <x:v>-21.74886</x:v>
      </x:c>
      <x:c r="BT79" s="90">
        <x:f t="shared" si="10"/>
        <x:v>7</x:v>
      </x:c>
      <x:c r="BU79" s="78">
        <x:v>77.0</x:v>
      </x:c>
      <x:c r="BV79" s="78" t="str">
        <x:f t="shared" si="4"/>
      </x:c>
      <x:c r="BW79" s="90"/>
      <x:c r="BX79" s="90"/>
      <x:c r="BY79" s="90" t="n">
        <x:f t="array" ref="BY79">IFERROR(VALUE(RIGHT(INDEX(ECR!$E:$E,MATCH(P79,ECR!$C:$C,0)),LEN(INDEX(ECR!$E:$E,MATCH(P79,ECR!$C:$C,0)))-2)),"")</x:f>
        <x:v>77</x:v>
      </x:c>
      <x:c r="BZ79" s="90"/>
      <x:c r="CA79" s="90"/>
      <x:c r="CB79" s="90"/>
      <x:c r="CC79" s="90"/>
      <x:c r="CD79" s="90"/>
      <x:c r="CE79" s="90"/>
      <x:c r="CF79" s="90"/>
      <x:c r="CG79" s="90"/>
    </x:row>
    <x:row r="80" ht="14.25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120"/>
      <x:c r="M80" s="3"/>
      <x:c r="N80" s="120"/>
      <x:c r="O80" s="75" t="s">
        <x:v>408</x:v>
      </x:c>
      <x:c r="P80" s="60" t="str">
        <x:f>VLOOKUP(O80,ECR!E:L,8,FALSE())</x:f>
        <x:v>Ty Johnson</x:v>
      </x:c>
      <x:c r="Q80" s="63" t="str">
        <x:f>IFERROR(VLOOKUP(Aggregate!$P80,ECR!C:F,2,FALSE()),"-")</x:f>
        <x:v>BUF</x:v>
      </x:c>
      <x:c r="R80" s="63" t="n">
        <x:f>IFERROR(VLOOKUP(Aggregate!$P80,ECR!C:F,4,FALSE()),"-")</x:f>
        <x:v>7</x:v>
      </x:c>
      <x:c r="S80" s="63" t="str">
        <x:f>Aggregate!$Q80 &amp; "/" &amp; Aggregate!$R80</x:f>
        <x:v>BUF/7</x:v>
      </x:c>
      <x:c r="T80" s="67" t="n">
        <x:f>IFERROR(VLOOKUP(Aggregate!$P80,RB!A:Q,13,FALSE())/17*(16-Aggregate!$AA80),0)</x:f>
        <x:v>48.893270588235296</x:v>
      </x:c>
      <x:c r="U80" s="67" t="n">
        <x:f>IFERROR(VLOOKUP(Aggregate!$P80,RB!A:Q,14,FALSE())/17*(16-Aggregate!$AA80),0)</x:f>
        <x:v>60.93082352941176</x:v>
      </x:c>
      <x:c r="V80" s="67" t="n">
        <x:f>IFERROR(VLOOKUP(Aggregate!$P80,RB!A:Q,15,FALSE())/17*(16-Aggregate!$AA80),0)</x:f>
        <x:v>71.03642352941176</x:v>
      </x:c>
      <x:c r="W80" s="70" t="n">
        <x:f>AVERAGE(Aggregate!$T80,Aggregate!$U80,Aggregate!$V80,VLOOKUP(Aggregate!$P80,ECR!L:N,3,FALSE))</x:f>
        <x:v>52.36521294176471</x:v>
      </x:c>
      <x:c r="X80" s="70" t="n">
        <x:f>Aggregate!$W80-$Q$1</x:f>
        <x:v>-77.6351161832353</x:v>
      </x:c>
      <x:c r="Y80" s="74" t="n">
        <x:f>MAX(Aggregate!$X80*Scoring!$B$48+1,1)</x:f>
        <x:v>1</x:v>
      </x:c>
      <x:c r="Z80" s="75" t="n">
        <x:f>VLOOKUP(Aggregate!$X80,BM:BO,3,FALSE)</x:f>
        <x:v>9</x:v>
      </x:c>
      <x:c r="AA80" s="77" t="n">
        <x:f t="array" ref="AA80">VLOOKUP(INDEX(ECR!$E:$E,MATCH(P80,ECR!$C:$C,0)),RISK!A:B,2,FALSE())</x:f>
        <x:v>3.368</x:v>
      </x:c>
      <x:c r="AB80" s="78"/>
      <x:c r="AC80" s="63" t="s">
        <x:v>409</x:v>
      </x:c>
      <x:c r="AD80" s="63" t="str">
        <x:f>VLOOKUP(AC80,ECR!E:L,8,FALSE())</x:f>
        <x:v>Isaac TeSlaa</x:v>
      </x:c>
      <x:c r="AE80" s="63" t="str">
        <x:f>IFERROR(VLOOKUP(Aggregate!$AD80,ECR!C:F,2,FALSE()),"-")</x:f>
        <x:v>DET</x:v>
      </x:c>
      <x:c r="AF80" s="63" t="n">
        <x:f>IFERROR(VLOOKUP(Aggregate!$AD80,ECR!C:F,4,FALSE()),"-")</x:f>
        <x:v>6</x:v>
      </x:c>
      <x:c r="AG80" s="63" t="str">
        <x:f>Aggregate!$AE80 &amp; "/" &amp; Aggregate!$AF80</x:f>
        <x:v>DET/6</x:v>
      </x:c>
      <x:c r="AH80" s="67" t="n">
        <x:f>IFERROR(VLOOKUP(Aggregate!$AD80,WR!A:Q,13,FALSE())/17*(16-Aggregate!$AO80),0)</x:f>
        <x:v>43.96888235294118</x:v>
      </x:c>
      <x:c r="AI80" s="67" t="n">
        <x:f>IFERROR(VLOOKUP(Aggregate!$AD80,WR!A:Q,14,FALSE())/17*(16-Aggregate!$AO80),0)</x:f>
        <x:v>52.34011764705883</x:v>
      </x:c>
      <x:c r="AJ80" s="67" t="n">
        <x:f>IFERROR(VLOOKUP(Aggregate!$AD80,WR!A:Q,15,FALSE())/17*(16-Aggregate!$AO80),0)</x:f>
        <x:v>60.70411764705883</x:v>
      </x:c>
      <x:c r="AK80" s="70" t="n">
        <x:f>AVERAGE(Aggregate!$AH80,Aggregate!$AI80,Aggregate!$AJ80,VLOOKUP(Aggregate!$AD80,ECR!L:N,3,FALSE))</x:f>
        <x:v>56.29963235176471</x:v>
      </x:c>
      <x:c r="AL80" s="70" t="n">
        <x:f>Aggregate!$AK80-$AE$1</x:f>
        <x:v>-45.895279405588234</x:v>
      </x:c>
      <x:c r="AM80" s="74" t="n">
        <x:f>MAX(Aggregate!$AL80*Scoring!$B$48+1,1)</x:f>
        <x:v>1</x:v>
      </x:c>
      <x:c r="AN80" s="75" t="n">
        <x:f>VLOOKUP(Aggregate!$AL80,BR:BT,3,FALSE)</x:f>
        <x:v>8</x:v>
      </x:c>
      <x:c r="AO80" s="77" t="n">
        <x:f t="array" ref="AO80">VLOOKUP(INDEX(ECR!$E:$E,MATCH(AD80,ECR!$C:$C,0)),RISK!A:B,2,FALSE())</x:f>
        <x:v>3.7</x:v>
      </x:c>
      <x:c r="AP80" s="78"/>
      <x:c r="AQ80" s="87" t="s">
        <x:v>410</x:v>
      </x:c>
      <x:c r="AR80" s="3"/>
      <x:c r="AS80" s="120"/>
      <x:c r="AT80" s="3"/>
      <x:c r="AU80" s="3"/>
      <x:c r="AV80" s="3"/>
      <x:c r="AW80" s="3"/>
      <x:c r="AX80" s="3"/>
      <x:c r="AY80" s="3"/>
      <x:c r="AZ80" s="3"/>
      <x:c r="BA80" s="3"/>
      <x:c r="BB80" s="120"/>
      <x:c r="BC80" s="3"/>
      <x:c r="BD80" s="3"/>
      <x:c r="BE80" s="120"/>
      <x:c r="BF80" s="78">
        <x:v>78.0</x:v>
      </x:c>
      <x:c r="BG80" s="78" t="str">
        <x:f t="shared" si="1"/>
      </x:c>
      <x:c r="BH80" s="90"/>
      <x:c r="BI80" s="90"/>
      <x:c r="BJ80" s="90"/>
      <x:c r="BK80" s="89">
        <x:v>78.0</x:v>
      </x:c>
      <x:c r="BL80" s="78">
        <x:f t="shared" si="2"/>
        <x:v>28.60033412</x:v>
      </x:c>
      <x:c r="BM80" s="90" t="n">
        <x:f>IFERROR(LARGE($X$3:$X$102,78),"")</x:f>
        <x:v>-95.75089030117648</x:v>
      </x:c>
      <x:c r="BN80" s="90">
        <x:f t="shared" si="7"/>
        <x:v>-67.02025265</x:v>
      </x:c>
      <x:c r="BO80" s="91">
        <x:f t="shared" si="8"/>
        <x:v>10</x:v>
      </x:c>
      <x:c r="BP80" s="90">
        <x:v>78.0</x:v>
      </x:c>
      <x:c r="BQ80" s="78">
        <x:f t="shared" si="3"/>
        <x:v>68.18541176</x:v>
      </x:c>
      <x:c r="BR80" s="90" t="n">
        <x:f>IFERROR(LARGE($AL$3:$AL$102,78),"")</x:f>
        <x:v>-31.435833522794113</x:v>
      </x:c>
      <x:c r="BS80" s="90">
        <x:f t="shared" si="9"/>
        <x:v>-21.74886</x:v>
      </x:c>
      <x:c r="BT80" s="90">
        <x:f t="shared" si="10"/>
        <x:v>7</x:v>
      </x:c>
      <x:c r="BU80" s="78">
        <x:v>78.0</x:v>
      </x:c>
      <x:c r="BV80" s="78" t="str">
        <x:f t="shared" si="4"/>
      </x:c>
      <x:c r="BW80" s="90"/>
      <x:c r="BX80" s="90"/>
      <x:c r="BY80" s="90" t="n">
        <x:f t="array" ref="BY80">IFERROR(VALUE(RIGHT(INDEX(ECR!$E:$E,MATCH(P80,ECR!$C:$C,0)),LEN(INDEX(ECR!$E:$E,MATCH(P80,ECR!$C:$C,0)))-2)),"")</x:f>
        <x:v>78</x:v>
      </x:c>
      <x:c r="BZ80" s="90"/>
      <x:c r="CA80" s="90"/>
      <x:c r="CB80" s="90"/>
      <x:c r="CC80" s="90"/>
      <x:c r="CD80" s="90"/>
      <x:c r="CE80" s="90"/>
      <x:c r="CF80" s="90"/>
      <x:c r="CG80" s="90"/>
    </x:row>
    <x:row r="81" ht="14.25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120"/>
      <x:c r="M81" s="3"/>
      <x:c r="N81" s="120"/>
      <x:c r="O81" s="75" t="s">
        <x:v>411</x:v>
      </x:c>
      <x:c r="P81" s="60" t="str">
        <x:f>VLOOKUP(O81,ECR!E:L,8,FALSE())</x:f>
        <x:v>LeQuint Allen Jr.</x:v>
      </x:c>
      <x:c r="Q81" s="63" t="str">
        <x:f>IFERROR(VLOOKUP(Aggregate!$P81,ECR!C:F,2,FALSE()),"-")</x:f>
        <x:v>JAC</x:v>
      </x:c>
      <x:c r="R81" s="63" t="n">
        <x:f>IFERROR(VLOOKUP(Aggregate!$P81,ECR!C:F,4,FALSE()),"-")</x:f>
        <x:v>7</x:v>
      </x:c>
      <x:c r="S81" s="63" t="str">
        <x:f>Aggregate!$Q81 &amp; "/" &amp; Aggregate!$R81</x:f>
        <x:v>JAC/7</x:v>
      </x:c>
      <x:c r="T81" s="67" t="n">
        <x:f>IFERROR(VLOOKUP(Aggregate!$P81,RB!A:Q,13,FALSE())/17*(16-Aggregate!$AA81),0)</x:f>
        <x:v>10.328517647058822</x:v>
      </x:c>
      <x:c r="U81" s="67" t="n">
        <x:f>IFERROR(VLOOKUP(Aggregate!$P81,RB!A:Q,14,FALSE())/17*(16-Aggregate!$AA81),0)</x:f>
        <x:v>26.720395294117644</x:v>
      </x:c>
      <x:c r="V81" s="67" t="n">
        <x:f>IFERROR(VLOOKUP(Aggregate!$P81,RB!A:Q,15,FALSE())/17*(16-Aggregate!$AA81),0)</x:f>
        <x:v>43.751303529411764</x:v>
      </x:c>
      <x:c r="W81" s="70" t="n">
        <x:f>AVERAGE(Aggregate!$T81,Aggregate!$U81,Aggregate!$V81,VLOOKUP(Aggregate!$P81,ECR!L:N,3,FALSE))</x:f>
        <x:v>27.078921177647057</x:v>
      </x:c>
      <x:c r="X81" s="70" t="n">
        <x:f>Aggregate!$W81-$Q$1</x:f>
        <x:v>-102.92140794735295</x:v>
      </x:c>
      <x:c r="Y81" s="74" t="n">
        <x:f>MAX(Aggregate!$X81*Scoring!$B$48+1,1)</x:f>
        <x:v>1</x:v>
      </x:c>
      <x:c r="Z81" s="75" t="n">
        <x:f>VLOOKUP(Aggregate!$X81,BM:BO,3,FALSE)</x:f>
        <x:v>10</x:v>
      </x:c>
      <x:c r="AA81" s="77" t="n">
        <x:f t="array" ref="AA81">VLOOKUP(INDEX(ECR!$E:$E,MATCH(P81,ECR!$C:$C,0)),RISK!A:B,2,FALSE())</x:f>
        <x:v>3.368</x:v>
      </x:c>
      <x:c r="AB81" s="78"/>
      <x:c r="AC81" s="63" t="s">
        <x:v>412</x:v>
      </x:c>
      <x:c r="AD81" s="63" t="str">
        <x:f>VLOOKUP(AC81,ECR!E:L,8,FALSE())</x:f>
        <x:v>Darnell Mooney</x:v>
      </x:c>
      <x:c r="AE81" s="63" t="str">
        <x:f>IFERROR(VLOOKUP(Aggregate!$AD81,ECR!C:F,2,FALSE()),"-")</x:f>
        <x:v>NYG</x:v>
      </x:c>
      <x:c r="AF81" s="63" t="n">
        <x:f>IFERROR(VLOOKUP(Aggregate!$AD81,ECR!C:F,4,FALSE()),"-")</x:f>
        <x:v>8</x:v>
      </x:c>
      <x:c r="AG81" s="63" t="str">
        <x:f>Aggregate!$AE81 &amp; "/" &amp; Aggregate!$AF81</x:f>
        <x:v>NYG/8</x:v>
      </x:c>
      <x:c r="AH81" s="67" t="n">
        <x:f>IFERROR(VLOOKUP(Aggregate!$AD81,WR!A:Q,13,FALSE())/17*(16-Aggregate!$AO81),0)</x:f>
        <x:v>38.48452941176471</x:v>
      </x:c>
      <x:c r="AI81" s="67" t="n">
        <x:f>IFERROR(VLOOKUP(Aggregate!$AD81,WR!A:Q,14,FALSE())/17*(16-Aggregate!$AO81),0)</x:f>
        <x:v>38.48452941176471</x:v>
      </x:c>
      <x:c r="AJ81" s="67" t="n">
        <x:f>IFERROR(VLOOKUP(Aggregate!$AD81,WR!A:Q,15,FALSE())/17*(16-Aggregate!$AO81),0)</x:f>
        <x:v>38.48452941176471</x:v>
      </x:c>
      <x:c r="AK81" s="70" t="n">
        <x:f>AVERAGE(Aggregate!$AH81,Aggregate!$AI81,Aggregate!$AJ81,VLOOKUP(Aggregate!$AD81,ECR!L:N,3,FALSE))</x:f>
        <x:v>45.65832352882353</x:v>
      </x:c>
      <x:c r="AL81" s="70" t="n">
        <x:f>Aggregate!$AK81-$AE$1</x:f>
        <x:v>-56.53658822852941</x:v>
      </x:c>
      <x:c r="AM81" s="74" t="n">
        <x:f>MAX(Aggregate!$AL81*Scoring!$B$48+1,1)</x:f>
        <x:v>1</x:v>
      </x:c>
      <x:c r="AN81" s="75" t="n">
        <x:f>VLOOKUP(Aggregate!$AL81,BR:BT,3,FALSE)</x:f>
        <x:v>8</x:v>
      </x:c>
      <x:c r="AO81" s="77" t="n">
        <x:f t="array" ref="AO81">VLOOKUP(INDEX(ECR!$E:$E,MATCH(AD81,ECR!$C:$C,0)),RISK!A:B,2,FALSE())</x:f>
        <x:v>3.7</x:v>
      </x:c>
      <x:c r="AP81" s="78"/>
      <x:c r="AQ81" s="87" t="s">
        <x:v>413</x:v>
      </x:c>
      <x:c r="AR81" s="3"/>
      <x:c r="AS81" s="120"/>
      <x:c r="AT81" s="3"/>
      <x:c r="AU81" s="3"/>
      <x:c r="AV81" s="3"/>
      <x:c r="AW81" s="3"/>
      <x:c r="AX81" s="3"/>
      <x:c r="AY81" s="3"/>
      <x:c r="AZ81" s="3"/>
      <x:c r="BA81" s="3"/>
      <x:c r="BB81" s="120"/>
      <x:c r="BC81" s="3"/>
      <x:c r="BD81" s="3"/>
      <x:c r="BE81" s="120"/>
      <x:c r="BF81" s="78">
        <x:v>79.0</x:v>
      </x:c>
      <x:c r="BG81" s="78" t="str">
        <x:f t="shared" si="1"/>
      </x:c>
      <x:c r="BH81" s="90"/>
      <x:c r="BI81" s="90"/>
      <x:c r="BJ81" s="90"/>
      <x:c r="BK81" s="89">
        <x:v>79.0</x:v>
      </x:c>
      <x:c r="BL81" s="78">
        <x:f t="shared" si="2"/>
        <x:v>27.51546824</x:v>
      </x:c>
      <x:c r="BM81" s="90" t="n">
        <x:f>IFERROR(LARGE($X$3:$X$102,79),"")</x:f>
        <x:v>-97.34475147779412</x:v>
      </x:c>
      <x:c r="BN81" s="90">
        <x:f t="shared" si="7"/>
        <x:v>-67.02025265</x:v>
      </x:c>
      <x:c r="BO81" s="91">
        <x:f t="shared" si="8"/>
        <x:v>10</x:v>
      </x:c>
      <x:c r="BP81" s="90">
        <x:v>79.0</x:v>
      </x:c>
      <x:c r="BQ81" s="78">
        <x:f t="shared" si="3"/>
        <x:v>67.17970588</x:v>
      </x:c>
      <x:c r="BR81" s="90" t="n">
        <x:f>IFERROR(LARGE($AL$3:$AL$102,79),"")</x:f>
        <x:v>-31.793691169558812</x:v>
      </x:c>
      <x:c r="BS81" s="90">
        <x:f t="shared" si="9"/>
        <x:v>-21.74886</x:v>
      </x:c>
      <x:c r="BT81" s="90">
        <x:f t="shared" si="10"/>
        <x:v>7</x:v>
      </x:c>
      <x:c r="BU81" s="78">
        <x:v>79.0</x:v>
      </x:c>
      <x:c r="BV81" s="78" t="str">
        <x:f t="shared" si="4"/>
      </x:c>
      <x:c r="BW81" s="90"/>
      <x:c r="BX81" s="90"/>
      <x:c r="BY81" s="90" t="n">
        <x:f t="array" ref="BY81">IFERROR(VALUE(RIGHT(INDEX(ECR!$E:$E,MATCH(P81,ECR!$C:$C,0)),LEN(INDEX(ECR!$E:$E,MATCH(P81,ECR!$C:$C,0)))-2)),"")</x:f>
        <x:v>79</x:v>
      </x:c>
      <x:c r="BZ81" s="90"/>
      <x:c r="CA81" s="90"/>
      <x:c r="CB81" s="90"/>
      <x:c r="CC81" s="90"/>
      <x:c r="CD81" s="90"/>
      <x:c r="CE81" s="90"/>
      <x:c r="CF81" s="90"/>
      <x:c r="CG81" s="90"/>
    </x:row>
    <x:row r="82" ht="14.25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120"/>
      <x:c r="M82" s="3"/>
      <x:c r="N82" s="120"/>
      <x:c r="O82" s="75" t="s">
        <x:v>414</x:v>
      </x:c>
      <x:c r="P82" s="60" t="str">
        <x:f>VLOOKUP(O82,ECR!E:L,8,FALSE())</x:f>
        <x:v>Malik Davis</x:v>
      </x:c>
      <x:c r="Q82" s="63" t="str">
        <x:f>IFERROR(VLOOKUP(Aggregate!$P82,ECR!C:F,2,FALSE()),"-")</x:f>
        <x:v>DAL</x:v>
      </x:c>
      <x:c r="R82" s="63" t="n">
        <x:f>IFERROR(VLOOKUP(Aggregate!$P82,ECR!C:F,4,FALSE()),"-")</x:f>
        <x:v>14</x:v>
      </x:c>
      <x:c r="S82" s="63" t="str">
        <x:f>Aggregate!$Q82 &amp; "/" &amp; Aggregate!$R82</x:f>
        <x:v>DAL/14</x:v>
      </x:c>
      <x:c r="T82" s="67" t="n">
        <x:f>IFERROR(VLOOKUP(Aggregate!$P82,RB!A:Q,13,FALSE())/17*(16-Aggregate!$AA82),0)</x:f>
        <x:v>-1.4861176470588235</x:v>
      </x:c>
      <x:c r="U82" s="67" t="n">
        <x:f>IFERROR(VLOOKUP(Aggregate!$P82,RB!A:Q,14,FALSE())/17*(16-Aggregate!$AA82),0)</x:f>
        <x:v>33.21472941176471</x:v>
      </x:c>
      <x:c r="V82" s="67" t="n">
        <x:f>IFERROR(VLOOKUP(Aggregate!$P82,RB!A:Q,15,FALSE())/17*(16-Aggregate!$AA82),0)</x:f>
        <x:v>67.91557647058823</x:v>
      </x:c>
      <x:c r="W82" s="70" t="n">
        <x:f>AVERAGE(Aggregate!$T82,Aggregate!$U82,Aggregate!$V82,VLOOKUP(Aggregate!$P82,ECR!L:N,3,FALSE))</x:f>
        <x:v>31.59114588132353</x:v>
      </x:c>
      <x:c r="X82" s="70" t="n">
        <x:f>Aggregate!$W82-$Q$1</x:f>
        <x:v>-98.40918324367648</x:v>
      </x:c>
      <x:c r="Y82" s="74" t="n">
        <x:f>MAX(Aggregate!$X82*Scoring!$B$48+1,1)</x:f>
        <x:v>1</x:v>
      </x:c>
      <x:c r="Z82" s="75" t="n">
        <x:f>VLOOKUP(Aggregate!$X82,BM:BO,3,FALSE)</x:f>
        <x:v>10</x:v>
      </x:c>
      <x:c r="AA82" s="77" t="n">
        <x:f t="array" ref="AA82">VLOOKUP(INDEX(ECR!$E:$E,MATCH(P82,ECR!$C:$C,0)),RISK!A:B,2,FALSE())</x:f>
        <x:v>3.368</x:v>
      </x:c>
      <x:c r="AB82" s="78"/>
      <x:c r="AC82" s="63" t="s">
        <x:v>415</x:v>
      </x:c>
      <x:c r="AD82" s="63" t="str">
        <x:f>VLOOKUP(AC82,ECR!E:L,8,FALSE())</x:f>
        <x:v>Cooper Kupp</x:v>
      </x:c>
      <x:c r="AE82" s="63" t="str">
        <x:f>IFERROR(VLOOKUP(Aggregate!$AD82,ECR!C:F,2,FALSE()),"-")</x:f>
        <x:v>SEA</x:v>
      </x:c>
      <x:c r="AF82" s="63" t="n">
        <x:f>IFERROR(VLOOKUP(Aggregate!$AD82,ECR!C:F,4,FALSE()),"-")</x:f>
        <x:v>11</x:v>
      </x:c>
      <x:c r="AG82" s="63" t="str">
        <x:f>Aggregate!$AE82 &amp; "/" &amp; Aggregate!$AF82</x:f>
        <x:v>SEA/11</x:v>
      </x:c>
      <x:c r="AH82" s="67" t="n">
        <x:f>IFERROR(VLOOKUP(Aggregate!$AD82,WR!A:Q,13,FALSE())/17*(16-Aggregate!$AO82),0)</x:f>
        <x:v>58.548</x:v>
      </x:c>
      <x:c r="AI82" s="67" t="n">
        <x:f>IFERROR(VLOOKUP(Aggregate!$AD82,WR!A:Q,14,FALSE())/17*(16-Aggregate!$AO82),0)</x:f>
        <x:v>73.31523529411766</x:v>
      </x:c>
      <x:c r="AJ82" s="67" t="n">
        <x:f>IFERROR(VLOOKUP(Aggregate!$AD82,WR!A:Q,15,FALSE())/17*(16-Aggregate!$AO82),0)</x:f>
        <x:v>88.27058823529413</x:v>
      </x:c>
      <x:c r="AK82" s="70" t="n">
        <x:f>AVERAGE(Aggregate!$AH82,Aggregate!$AI82,Aggregate!$AJ82,VLOOKUP(Aggregate!$AD82,ECR!L:N,3,FALSE))</x:f>
        <x:v>71.62847117735295</x:v>
      </x:c>
      <x:c r="AL82" s="70" t="n">
        <x:f>Aggregate!$AK82-$AE$1</x:f>
        <x:v>-30.56644057999999</x:v>
      </x:c>
      <x:c r="AM82" s="74" t="n">
        <x:f>MAX(Aggregate!$AL82*Scoring!$B$48+1,1)</x:f>
        <x:v>1</x:v>
      </x:c>
      <x:c r="AN82" s="75" t="n">
        <x:f>VLOOKUP(Aggregate!$AL82,BR:BT,3,FALSE)</x:f>
        <x:v>7</x:v>
      </x:c>
      <x:c r="AO82" s="77" t="n">
        <x:f t="array" ref="AO82">VLOOKUP(INDEX(ECR!$E:$E,MATCH(AD82,ECR!$C:$C,0)),RISK!A:B,2,FALSE())</x:f>
        <x:v>3.7</x:v>
      </x:c>
      <x:c r="AP82" s="78"/>
      <x:c r="AQ82" s="87" t="s">
        <x:v>416</x:v>
      </x:c>
      <x:c r="AR82" s="3"/>
      <x:c r="AS82" s="120"/>
      <x:c r="AT82" s="3"/>
      <x:c r="AU82" s="3"/>
      <x:c r="AV82" s="3"/>
      <x:c r="AW82" s="3"/>
      <x:c r="AX82" s="3"/>
      <x:c r="AY82" s="3"/>
      <x:c r="AZ82" s="3"/>
      <x:c r="BA82" s="3"/>
      <x:c r="BB82" s="120"/>
      <x:c r="BC82" s="3"/>
      <x:c r="BD82" s="3"/>
      <x:c r="BE82" s="120"/>
      <x:c r="BF82" s="78">
        <x:v>80.0</x:v>
      </x:c>
      <x:c r="BG82" s="78" t="str">
        <x:f t="shared" si="1"/>
      </x:c>
      <x:c r="BH82" s="90"/>
      <x:c r="BI82" s="90"/>
      <x:c r="BJ82" s="90"/>
      <x:c r="BK82" s="89">
        <x:v>80.0</x:v>
      </x:c>
      <x:c r="BL82" s="78">
        <x:f t="shared" si="2"/>
        <x:v>26.72039529</x:v>
      </x:c>
      <x:c r="BM82" s="90" t="n">
        <x:f>IFERROR(LARGE($X$3:$X$102,80),"")</x:f>
        <x:v>-98.40918324367648</x:v>
      </x:c>
      <x:c r="BN82" s="90">
        <x:f t="shared" si="7"/>
        <x:v>-67.02025265</x:v>
      </x:c>
      <x:c r="BO82" s="91">
        <x:f t="shared" si="8"/>
        <x:v>10</x:v>
      </x:c>
      <x:c r="BP82" s="90">
        <x:v>80.0</x:v>
      </x:c>
      <x:c r="BQ82" s="78">
        <x:f t="shared" si="3"/>
        <x:v>66.38006118</x:v>
      </x:c>
      <x:c r="BR82" s="90" t="n">
        <x:f>IFERROR(LARGE($AL$3:$AL$102,80),"")</x:f>
        <x:v>-32.8934558757353</x:v>
      </x:c>
      <x:c r="BS82" s="90">
        <x:f t="shared" si="9"/>
        <x:v>-21.74886</x:v>
      </x:c>
      <x:c r="BT82" s="90">
        <x:f t="shared" si="10"/>
        <x:v>7</x:v>
      </x:c>
      <x:c r="BU82" s="78">
        <x:v>80.0</x:v>
      </x:c>
      <x:c r="BV82" s="78" t="str">
        <x:f t="shared" si="4"/>
      </x:c>
      <x:c r="BW82" s="90"/>
      <x:c r="BX82" s="90"/>
      <x:c r="BY82" s="90" t="n">
        <x:f t="array" ref="BY82">IFERROR(VALUE(RIGHT(INDEX(ECR!$E:$E,MATCH(P82,ECR!$C:$C,0)),LEN(INDEX(ECR!$E:$E,MATCH(P82,ECR!$C:$C,0)))-2)),"")</x:f>
        <x:v>80</x:v>
      </x:c>
      <x:c r="BZ82" s="90"/>
      <x:c r="CA82" s="90"/>
      <x:c r="CB82" s="90"/>
      <x:c r="CC82" s="90"/>
      <x:c r="CD82" s="90"/>
      <x:c r="CE82" s="90"/>
      <x:c r="CF82" s="90"/>
      <x:c r="CG82" s="90"/>
    </x:row>
    <x:row r="83" ht="14.25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120"/>
      <x:c r="M83" s="3"/>
      <x:c r="N83" s="120"/>
      <x:c r="O83" s="75" t="s">
        <x:v>417</x:v>
      </x:c>
      <x:c r="P83" s="60" t="str">
        <x:f>VLOOKUP(O83,ECR!E:L,8,FALSE())</x:f>
        <x:v>DJ Giddens</x:v>
      </x:c>
      <x:c r="Q83" s="63" t="str">
        <x:f>IFERROR(VLOOKUP(Aggregate!$P83,ECR!C:F,2,FALSE()),"-")</x:f>
        <x:v>IND</x:v>
      </x:c>
      <x:c r="R83" s="63" t="n">
        <x:f>IFERROR(VLOOKUP(Aggregate!$P83,ECR!C:F,4,FALSE()),"-")</x:f>
        <x:v>13</x:v>
      </x:c>
      <x:c r="S83" s="63" t="str">
        <x:f>Aggregate!$Q83 &amp; "/" &amp; Aggregate!$R83</x:f>
        <x:v>IND/13</x:v>
      </x:c>
      <x:c r="T83" s="67" t="n">
        <x:f>IFERROR(VLOOKUP(Aggregate!$P83,RB!A:Q,13,FALSE())/17*(16-Aggregate!$AA83),0)</x:f>
        <x:v>23.391491764705883</x:v>
      </x:c>
      <x:c r="U83" s="67" t="n">
        <x:f>IFERROR(VLOOKUP(Aggregate!$P83,RB!A:Q,14,FALSE())/17*(16-Aggregate!$AA83),0)</x:f>
        <x:v>23.391491764705883</x:v>
      </x:c>
      <x:c r="V83" s="67" t="n">
        <x:f>IFERROR(VLOOKUP(Aggregate!$P83,RB!A:Q,15,FALSE())/17*(16-Aggregate!$AA83),0)</x:f>
        <x:v>23.391491764705883</x:v>
      </x:c>
      <x:c r="W83" s="70" t="n">
        <x:f>AVERAGE(Aggregate!$T83,Aggregate!$U83,Aggregate!$V83,VLOOKUP(Aggregate!$P83,ECR!L:N,3,FALSE))</x:f>
        <x:v>23.575398823529415</x:v>
      </x:c>
      <x:c r="X83" s="70" t="n">
        <x:f>Aggregate!$W83-$Q$1</x:f>
        <x:v>-106.4249303014706</x:v>
      </x:c>
      <x:c r="Y83" s="74" t="n">
        <x:f>MAX(Aggregate!$X83*Scoring!$B$48+1,1)</x:f>
        <x:v>1</x:v>
      </x:c>
      <x:c r="Z83" s="75" t="n">
        <x:f>VLOOKUP(Aggregate!$X83,BM:BO,3,FALSE)</x:f>
        <x:v>10</x:v>
      </x:c>
      <x:c r="AA83" s="77" t="n">
        <x:f t="array" ref="AA83">VLOOKUP(INDEX(ECR!$E:$E,MATCH(P83,ECR!$C:$C,0)),RISK!A:B,2,FALSE())</x:f>
        <x:v>3.368</x:v>
      </x:c>
      <x:c r="AB83" s="78"/>
      <x:c r="AC83" s="63" t="s">
        <x:v>418</x:v>
      </x:c>
      <x:c r="AD83" s="63" t="str">
        <x:f>VLOOKUP(AC83,ECR!E:L,8,FALSE())</x:f>
        <x:v>Troy Franklin</x:v>
      </x:c>
      <x:c r="AE83" s="63" t="str">
        <x:f>IFERROR(VLOOKUP(Aggregate!$AD83,ECR!C:F,2,FALSE()),"-")</x:f>
        <x:v>DEN</x:v>
      </x:c>
      <x:c r="AF83" s="63" t="n">
        <x:f>IFERROR(VLOOKUP(Aggregate!$AD83,ECR!C:F,4,FALSE()),"-")</x:f>
        <x:v>10</x:v>
      </x:c>
      <x:c r="AG83" s="63" t="str">
        <x:f>Aggregate!$AE83 &amp; "/" &amp; Aggregate!$AF83</x:f>
        <x:v>DEN/10</x:v>
      </x:c>
      <x:c r="AH83" s="67" t="n">
        <x:f>IFERROR(VLOOKUP(Aggregate!$AD83,WR!A:Q,13,FALSE())/17*(16-Aggregate!$AO83),0)</x:f>
        <x:v>28.94117647058824</x:v>
      </x:c>
      <x:c r="AI83" s="67" t="n">
        <x:f>IFERROR(VLOOKUP(Aggregate!$AD83,WR!A:Q,14,FALSE())/17*(16-Aggregate!$AO83),0)</x:f>
        <x:v>59.184705882352944</x:v>
      </x:c>
      <x:c r="AJ83" s="67" t="n">
        <x:f>IFERROR(VLOOKUP(Aggregate!$AD83,WR!A:Q,15,FALSE())/17*(16-Aggregate!$AO83),0)</x:f>
        <x:v>89.86235294117647</x:v>
      </x:c>
      <x:c r="AK83" s="70" t="n">
        <x:f>AVERAGE(Aggregate!$AH83,Aggregate!$AI83,Aggregate!$AJ83,VLOOKUP(Aggregate!$AD83,ECR!L:N,3,FALSE))</x:f>
        <x:v>60.982676471029414</x:v>
      </x:c>
      <x:c r="AL83" s="70" t="n">
        <x:f>Aggregate!$AK83-$AE$1</x:f>
        <x:v>-41.212235286323526</x:v>
      </x:c>
      <x:c r="AM83" s="74" t="n">
        <x:f>MAX(Aggregate!$AL83*Scoring!$B$48+1,1)</x:f>
        <x:v>1</x:v>
      </x:c>
      <x:c r="AN83" s="75" t="n">
        <x:f>VLOOKUP(Aggregate!$AL83,BR:BT,3,FALSE)</x:f>
        <x:v>7</x:v>
      </x:c>
      <x:c r="AO83" s="77" t="n">
        <x:f t="array" ref="AO83">VLOOKUP(INDEX(ECR!$E:$E,MATCH(AD83,ECR!$C:$C,0)),RISK!A:B,2,FALSE())</x:f>
        <x:v>3.7</x:v>
      </x:c>
      <x:c r="AP83" s="78"/>
      <x:c r="AQ83" s="87" t="s">
        <x:v>419</x:v>
      </x:c>
      <x:c r="AR83" s="3"/>
      <x:c r="AS83" s="120"/>
      <x:c r="AT83" s="3"/>
      <x:c r="AU83" s="3"/>
      <x:c r="AV83" s="3"/>
      <x:c r="AW83" s="3"/>
      <x:c r="AX83" s="3"/>
      <x:c r="AY83" s="3"/>
      <x:c r="AZ83" s="3"/>
      <x:c r="BA83" s="3"/>
      <x:c r="BB83" s="120"/>
      <x:c r="BC83" s="3"/>
      <x:c r="BD83" s="3"/>
      <x:c r="BE83" s="120"/>
      <x:c r="BF83" s="78">
        <x:v>81.0</x:v>
      </x:c>
      <x:c r="BG83" s="78" t="str">
        <x:f t="shared" si="1"/>
      </x:c>
      <x:c r="BH83" s="90"/>
      <x:c r="BI83" s="90"/>
      <x:c r="BJ83" s="90"/>
      <x:c r="BK83" s="89">
        <x:v>81.0</x:v>
      </x:c>
      <x:c r="BL83" s="78">
        <x:f t="shared" si="2"/>
        <x:v>24.12712</x:v>
      </x:c>
      <x:c r="BM83" s="90" t="n">
        <x:f>IFERROR(LARGE($X$3:$X$102,81),"")</x:f>
        <x:v>-99.32128794926471</x:v>
      </x:c>
      <x:c r="BN83" s="90">
        <x:f t="shared" si="7"/>
        <x:v>-67.02025265</x:v>
      </x:c>
      <x:c r="BO83" s="91">
        <x:f t="shared" si="8"/>
        <x:v>10</x:v>
      </x:c>
      <x:c r="BP83" s="90">
        <x:v>81.0</x:v>
      </x:c>
      <x:c r="BQ83" s="78">
        <x:f t="shared" si="3"/>
        <x:v>65.94247059</x:v>
      </x:c>
      <x:c r="BR83" s="90" t="n">
        <x:f>IFERROR(LARGE($AL$3:$AL$102,81),"")</x:f>
        <x:v>-33.78158822838236</x:v>
      </x:c>
      <x:c r="BS83" s="90">
        <x:f t="shared" si="9"/>
        <x:v>-21.74886</x:v>
      </x:c>
      <x:c r="BT83" s="90">
        <x:f t="shared" si="10"/>
        <x:v>7</x:v>
      </x:c>
      <x:c r="BU83" s="78">
        <x:v>81.0</x:v>
      </x:c>
      <x:c r="BV83" s="78" t="str">
        <x:f t="shared" si="4"/>
      </x:c>
      <x:c r="BW83" s="90"/>
      <x:c r="BX83" s="90"/>
      <x:c r="BY83" s="90" t="n">
        <x:f t="array" ref="BY83">IFERROR(VALUE(RIGHT(INDEX(ECR!$E:$E,MATCH(P83,ECR!$C:$C,0)),LEN(INDEX(ECR!$E:$E,MATCH(P83,ECR!$C:$C,0)))-2)),"")</x:f>
        <x:v>81</x:v>
      </x:c>
      <x:c r="BZ83" s="90"/>
      <x:c r="CA83" s="90"/>
      <x:c r="CB83" s="90"/>
      <x:c r="CC83" s="90"/>
      <x:c r="CD83" s="90"/>
      <x:c r="CE83" s="90"/>
      <x:c r="CF83" s="90"/>
      <x:c r="CG83" s="90"/>
    </x:row>
    <x:row r="84" ht="14.25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120"/>
      <x:c r="M84" s="3"/>
      <x:c r="N84" s="120"/>
      <x:c r="O84" s="75" t="s">
        <x:v>420</x:v>
      </x:c>
      <x:c r="P84" s="60" t="str">
        <x:f>VLOOKUP(O84,ECR!E:L,8,FALSE())</x:f>
        <x:v>Seth McGowan</x:v>
      </x:c>
      <x:c r="Q84" s="63" t="str">
        <x:f>IFERROR(VLOOKUP(Aggregate!$P84,ECR!C:F,2,FALSE()),"-")</x:f>
        <x:v>IND</x:v>
      </x:c>
      <x:c r="R84" s="63" t="n">
        <x:f>IFERROR(VLOOKUP(Aggregate!$P84,ECR!C:F,4,FALSE()),"-")</x:f>
        <x:v>13</x:v>
      </x:c>
      <x:c r="S84" s="63" t="str">
        <x:f>Aggregate!$Q84 &amp; "/" &amp; Aggregate!$R84</x:f>
        <x:v>IND/13</x:v>
      </x:c>
      <x:c r="T84" s="67" t="n">
        <x:f>IFERROR(VLOOKUP(Aggregate!$P84,RB!A:Q,13,FALSE())/17*(16-Aggregate!$AA84),0)</x:f>
        <x:v>52.46347504</x:v>
      </x:c>
      <x:c r="U84" s="67" t="n">
        <x:f>IFERROR(VLOOKUP(Aggregate!$P84,RB!A:Q,14,FALSE())/17*(16-Aggregate!$AA84),0)</x:f>
        <x:v>60.56281621647058</x:v>
      </x:c>
      <x:c r="V84" s="67" t="n">
        <x:f>IFERROR(VLOOKUP(Aggregate!$P84,RB!A:Q,15,FALSE())/17*(16-Aggregate!$AA84),0)</x:f>
        <x:v>68.46896209882352</x:v>
      </x:c>
      <x:c r="W84" s="70" t="n">
        <x:f>AVERAGE(Aggregate!$T84,Aggregate!$U84,Aggregate!$V84,VLOOKUP(Aggregate!$P84,ECR!L:N,3,FALSE))</x:f>
        <x:v>51.37215569132353</x:v>
      </x:c>
      <x:c r="X84" s="70" t="n">
        <x:f>Aggregate!$W84-$Q$1</x:f>
        <x:v>-78.62817343367648</x:v>
      </x:c>
      <x:c r="Y84" s="74" t="n">
        <x:f>MAX(Aggregate!$X84*Scoring!$B$48+1,1)</x:f>
        <x:v>1</x:v>
      </x:c>
      <x:c r="Z84" s="75" t="n">
        <x:f>VLOOKUP(Aggregate!$X84,BM:BO,3,FALSE)</x:f>
        <x:v>9</x:v>
      </x:c>
      <x:c r="AA84" s="77" t="n">
        <x:f t="array" ref="AA84">VLOOKUP(INDEX(ECR!$E:$E,MATCH(P84,ECR!$C:$C,0)),RISK!A:B,2,FALSE())</x:f>
        <x:v>3.368</x:v>
      </x:c>
      <x:c r="AB84" s="78"/>
      <x:c r="AC84" s="63" t="s">
        <x:v>421</x:v>
      </x:c>
      <x:c r="AD84" s="63" t="str">
        <x:f>VLOOKUP(AC84,ECR!E:L,8,FALSE())</x:f>
        <x:v>Germie Bernard</x:v>
      </x:c>
      <x:c r="AE84" s="63" t="str">
        <x:f>IFERROR(VLOOKUP(Aggregate!$AD84,ECR!C:F,2,FALSE()),"-")</x:f>
        <x:v>PIT</x:v>
      </x:c>
      <x:c r="AF84" s="63" t="n">
        <x:f>IFERROR(VLOOKUP(Aggregate!$AD84,ECR!C:F,4,FALSE()),"-")</x:f>
        <x:v>9</x:v>
      </x:c>
      <x:c r="AG84" s="63" t="str">
        <x:f>Aggregate!$AE84 &amp; "/" &amp; Aggregate!$AF84</x:f>
        <x:v>PIT/9</x:v>
      </x:c>
      <x:c r="AH84" s="67" t="n">
        <x:f>IFERROR(VLOOKUP(Aggregate!$AD84,WR!A:Q,13,FALSE())/17*(16-Aggregate!$AO84),0)</x:f>
        <x:v>85.94082352941177</x:v>
      </x:c>
      <x:c r="AI84" s="67" t="n">
        <x:f>IFERROR(VLOOKUP(Aggregate!$AD84,WR!A:Q,14,FALSE())/17*(16-Aggregate!$AO84),0)</x:f>
        <x:v>87.43129411764707</x:v>
      </x:c>
      <x:c r="AJ84" s="67" t="n">
        <x:f>IFERROR(VLOOKUP(Aggregate!$AD84,WR!A:Q,15,FALSE())/17*(16-Aggregate!$AO84),0)</x:f>
        <x:v>89.36311764705883</x:v>
      </x:c>
      <x:c r="AK84" s="70" t="n">
        <x:f>AVERAGE(Aggregate!$AH84,Aggregate!$AI84,Aggregate!$AJ84,VLOOKUP(Aggregate!$AD84,ECR!L:N,3,FALSE))</x:f>
        <x:v>82.03376470602942</x:v>
      </x:c>
      <x:c r="AL84" s="70" t="n">
        <x:f>Aggregate!$AK84-$AE$1</x:f>
        <x:v>-20.161147051323525</x:v>
      </x:c>
      <x:c r="AM84" s="74" t="n">
        <x:f>MAX(Aggregate!$AL84*Scoring!$B$48+1,1)</x:f>
        <x:v>1</x:v>
      </x:c>
      <x:c r="AN84" s="75" t="n">
        <x:f>VLOOKUP(Aggregate!$AL84,BR:BT,3,FALSE)</x:f>
        <x:v>6</x:v>
      </x:c>
      <x:c r="AO84" s="77" t="n">
        <x:f t="array" ref="AO84">VLOOKUP(INDEX(ECR!$E:$E,MATCH(AD84,ECR!$C:$C,0)),RISK!A:B,2,FALSE())</x:f>
        <x:v>3.7</x:v>
      </x:c>
      <x:c r="AP84" s="78"/>
      <x:c r="AQ84" s="87" t="s">
        <x:v>422</x:v>
      </x:c>
      <x:c r="AR84" s="3"/>
      <x:c r="AS84" s="120"/>
      <x:c r="AT84" s="3"/>
      <x:c r="AU84" s="3"/>
      <x:c r="AV84" s="3"/>
      <x:c r="AW84" s="3"/>
      <x:c r="AX84" s="3"/>
      <x:c r="AY84" s="3"/>
      <x:c r="AZ84" s="3"/>
      <x:c r="BA84" s="3"/>
      <x:c r="BB84" s="120"/>
      <x:c r="BC84" s="3"/>
      <x:c r="BD84" s="3"/>
      <x:c r="BE84" s="120"/>
      <x:c r="BF84" s="78">
        <x:v>82.0</x:v>
      </x:c>
      <x:c r="BG84" s="78" t="str">
        <x:f t="shared" si="1"/>
      </x:c>
      <x:c r="BH84" s="90"/>
      <x:c r="BI84" s="90"/>
      <x:c r="BJ84" s="90"/>
      <x:c r="BK84" s="89">
        <x:v>82.0</x:v>
      </x:c>
      <x:c r="BL84" s="78">
        <x:f t="shared" si="2"/>
        <x:v>23.99336941</x:v>
      </x:c>
      <x:c r="BM84" s="90" t="n">
        <x:f>IFERROR(LARGE($X$3:$X$102,82),"")</x:f>
        <x:v>-101.44829383000001</x:v>
      </x:c>
      <x:c r="BN84" s="90">
        <x:f t="shared" si="7"/>
        <x:v>-67.02025265</x:v>
      </x:c>
      <x:c r="BO84" s="91">
        <x:f t="shared" si="8"/>
        <x:v>10</x:v>
      </x:c>
      <x:c r="BP84" s="90">
        <x:v>82.0</x:v>
      </x:c>
      <x:c r="BQ84" s="78">
        <x:f t="shared" si="3"/>
        <x:v>65.39982353</x:v>
      </x:c>
      <x:c r="BR84" s="90" t="n">
        <x:f>IFERROR(LARGE($AL$3:$AL$102,82),"")</x:f>
        <x:v>-34.248264698676465</x:v>
      </x:c>
      <x:c r="BS84" s="90">
        <x:f t="shared" si="9"/>
        <x:v>-21.74886</x:v>
      </x:c>
      <x:c r="BT84" s="90">
        <x:f t="shared" si="10"/>
        <x:v>7</x:v>
      </x:c>
      <x:c r="BU84" s="78">
        <x:v>82.0</x:v>
      </x:c>
      <x:c r="BV84" s="78" t="str">
        <x:f t="shared" si="4"/>
      </x:c>
      <x:c r="BW84" s="90"/>
      <x:c r="BX84" s="90"/>
      <x:c r="BY84" s="90" t="n">
        <x:f t="array" ref="BY84">IFERROR(VALUE(RIGHT(INDEX(ECR!$E:$E,MATCH(P84,ECR!$C:$C,0)),LEN(INDEX(ECR!$E:$E,MATCH(P84,ECR!$C:$C,0)))-2)),"")</x:f>
        <x:v>82</x:v>
      </x:c>
      <x:c r="BZ84" s="90"/>
      <x:c r="CA84" s="90"/>
      <x:c r="CB84" s="90"/>
      <x:c r="CC84" s="90"/>
      <x:c r="CD84" s="90"/>
      <x:c r="CE84" s="90"/>
      <x:c r="CF84" s="90"/>
      <x:c r="CG84" s="90"/>
    </x:row>
    <x:row r="85" ht="14.25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120"/>
      <x:c r="M85" s="3"/>
      <x:c r="N85" s="120"/>
      <x:c r="O85" s="75" t="s">
        <x:v>423</x:v>
      </x:c>
      <x:c r="P85" s="60" t="str">
        <x:f>VLOOKUP(O85,ECR!E:L,8,FALSE())</x:f>
        <x:v>Devin Neal</x:v>
      </x:c>
      <x:c r="Q85" s="63" t="str">
        <x:f>IFERROR(VLOOKUP(Aggregate!$P85,ECR!C:F,2,FALSE()),"-")</x:f>
        <x:v>NO</x:v>
      </x:c>
      <x:c r="R85" s="63" t="n">
        <x:f>IFERROR(VLOOKUP(Aggregate!$P85,ECR!C:F,4,FALSE()),"-")</x:f>
        <x:v>8</x:v>
      </x:c>
      <x:c r="S85" s="63" t="str">
        <x:f>Aggregate!$Q85 &amp; "/" &amp; Aggregate!$R85</x:f>
        <x:v>NO/8</x:v>
      </x:c>
      <x:c r="T85" s="67" t="n">
        <x:f>IFERROR(VLOOKUP(Aggregate!$P85,RB!A:Q,13,FALSE())/17*(16-Aggregate!$AA85),0)</x:f>
        <x:v>0</x:v>
      </x:c>
      <x:c r="U85" s="67" t="n">
        <x:f>IFERROR(VLOOKUP(Aggregate!$P85,RB!A:Q,14,FALSE())/17*(16-Aggregate!$AA85),0)</x:f>
        <x:v>13.375058823529411</x:v>
      </x:c>
      <x:c r="V85" s="67" t="n">
        <x:f>IFERROR(VLOOKUP(Aggregate!$P85,RB!A:Q,15,FALSE())/17*(16-Aggregate!$AA85),0)</x:f>
        <x:v>26.750117647058822</x:v>
      </x:c>
      <x:c r="W85" s="70" t="n">
        <x:f>AVERAGE(Aggregate!$T85,Aggregate!$U85,Aggregate!$V85,VLOOKUP(Aggregate!$P85,ECR!L:N,3,FALSE))</x:f>
        <x:v>15.879167057647058</x:v>
      </x:c>
      <x:c r="X85" s="70" t="n">
        <x:f>Aggregate!$W85-$Q$1</x:f>
        <x:v>-114.12116206735296</x:v>
      </x:c>
      <x:c r="Y85" s="74" t="n">
        <x:f>MAX(Aggregate!$X85*Scoring!$B$48+1,1)</x:f>
        <x:v>1</x:v>
      </x:c>
      <x:c r="Z85" s="75" t="n">
        <x:f>VLOOKUP(Aggregate!$X85,BM:BO,3,FALSE)</x:f>
        <x:v>10</x:v>
      </x:c>
      <x:c r="AA85" s="77" t="n">
        <x:f t="array" ref="AA85">VLOOKUP(INDEX(ECR!$E:$E,MATCH(P85,ECR!$C:$C,0)),RISK!A:B,2,FALSE())</x:f>
        <x:v>3.368</x:v>
      </x:c>
      <x:c r="AB85" s="78"/>
      <x:c r="AC85" s="63" t="s">
        <x:v>424</x:v>
      </x:c>
      <x:c r="AD85" s="63" t="str">
        <x:f>VLOOKUP(AC85,ECR!E:L,8,FALSE())</x:f>
        <x:v>Zachariah Branch</x:v>
      </x:c>
      <x:c r="AE85" s="63" t="str">
        <x:f>IFERROR(VLOOKUP(Aggregate!$AD85,ECR!C:F,2,FALSE()),"-")</x:f>
        <x:v>ATL</x:v>
      </x:c>
      <x:c r="AF85" s="63" t="n">
        <x:f>IFERROR(VLOOKUP(Aggregate!$AD85,ECR!C:F,4,FALSE()),"-")</x:f>
        <x:v>11</x:v>
      </x:c>
      <x:c r="AG85" s="63" t="str">
        <x:f>Aggregate!$AE85 &amp; "/" &amp; Aggregate!$AF85</x:f>
        <x:v>ATL/11</x:v>
      </x:c>
      <x:c r="AH85" s="67" t="n">
        <x:f>IFERROR(VLOOKUP(Aggregate!$AD85,WR!A:Q,13,FALSE())/17*(16-Aggregate!$AO85),0)</x:f>
        <x:v>75.01726588235294</x:v>
      </x:c>
      <x:c r="AI85" s="67" t="n">
        <x:f>IFERROR(VLOOKUP(Aggregate!$AD85,WR!A:Q,14,FALSE())/17*(16-Aggregate!$AO85),0)</x:f>
        <x:v>75.01726588235294</x:v>
      </x:c>
      <x:c r="AJ85" s="67" t="n">
        <x:f>IFERROR(VLOOKUP(Aggregate!$AD85,WR!A:Q,15,FALSE())/17*(16-Aggregate!$AO85),0)</x:f>
        <x:v>75.01726588235294</x:v>
      </x:c>
      <x:c r="AK85" s="70" t="n">
        <x:f>AVERAGE(Aggregate!$AH85,Aggregate!$AI85,Aggregate!$AJ85,VLOOKUP(Aggregate!$AD85,ECR!L:N,3,FALSE))</x:f>
        <x:v>72.41574352926472</x:v>
      </x:c>
      <x:c r="AL85" s="70" t="n">
        <x:f>Aggregate!$AK85-$AE$1</x:f>
        <x:v>-29.779168228088224</x:v>
      </x:c>
      <x:c r="AM85" s="74" t="n">
        <x:f>MAX(Aggregate!$AL85*Scoring!$B$48+1,1)</x:f>
        <x:v>1</x:v>
      </x:c>
      <x:c r="AN85" s="75" t="n">
        <x:f>VLOOKUP(Aggregate!$AL85,BR:BT,3,FALSE)</x:f>
        <x:v>7</x:v>
      </x:c>
      <x:c r="AO85" s="77" t="n">
        <x:f t="array" ref="AO85">VLOOKUP(INDEX(ECR!$E:$E,MATCH(AD85,ECR!$C:$C,0)),RISK!A:B,2,FALSE())</x:f>
        <x:v>3.7</x:v>
      </x:c>
      <x:c r="AP85" s="78"/>
      <x:c r="AQ85" s="87" t="s">
        <x:v>425</x:v>
      </x:c>
      <x:c r="AR85" s="3"/>
      <x:c r="AS85" s="120"/>
      <x:c r="AT85" s="3"/>
      <x:c r="AU85" s="3"/>
      <x:c r="AV85" s="3"/>
      <x:c r="AW85" s="3"/>
      <x:c r="AX85" s="3"/>
      <x:c r="AY85" s="3"/>
      <x:c r="AZ85" s="3"/>
      <x:c r="BA85" s="3"/>
      <x:c r="BB85" s="120"/>
      <x:c r="BC85" s="3"/>
      <x:c r="BD85" s="3"/>
      <x:c r="BE85" s="120"/>
      <x:c r="BF85" s="78">
        <x:v>83.0</x:v>
      </x:c>
      <x:c r="BG85" s="78" t="str">
        <x:f t="shared" si="1"/>
      </x:c>
      <x:c r="BH85" s="90"/>
      <x:c r="BI85" s="90"/>
      <x:c r="BJ85" s="90"/>
      <x:c r="BK85" s="89">
        <x:v>83.0</x:v>
      </x:c>
      <x:c r="BL85" s="78">
        <x:f t="shared" si="2"/>
        <x:v>23.39149176</x:v>
      </x:c>
      <x:c r="BM85" s="90" t="n">
        <x:f>IFERROR(LARGE($X$3:$X$102,83),"")</x:f>
        <x:v>-102.92140794735295</x:v>
      </x:c>
      <x:c r="BN85" s="90">
        <x:f t="shared" si="7"/>
        <x:v>-67.02025265</x:v>
      </x:c>
      <x:c r="BO85" s="91">
        <x:f t="shared" si="8"/>
        <x:v>10</x:v>
      </x:c>
      <x:c r="BP85" s="90">
        <x:v>83.0</x:v>
      </x:c>
      <x:c r="BQ85" s="78">
        <x:f t="shared" si="3"/>
        <x:v>64.61117647</x:v>
      </x:c>
      <x:c r="BR85" s="90" t="n">
        <x:f>IFERROR(LARGE($AL$3:$AL$102,83),"")</x:f>
        <x:v>-34.63310999323528</x:v>
      </x:c>
      <x:c r="BS85" s="90">
        <x:f t="shared" si="9"/>
        <x:v>-21.74886</x:v>
      </x:c>
      <x:c r="BT85" s="90">
        <x:f t="shared" si="10"/>
        <x:v>7</x:v>
      </x:c>
      <x:c r="BU85" s="78">
        <x:v>83.0</x:v>
      </x:c>
      <x:c r="BV85" s="78" t="str">
        <x:f t="shared" si="4"/>
      </x:c>
      <x:c r="BW85" s="90"/>
      <x:c r="BX85" s="90"/>
      <x:c r="BY85" s="90" t="n">
        <x:f t="array" ref="BY85">IFERROR(VALUE(RIGHT(INDEX(ECR!$E:$E,MATCH(P85,ECR!$C:$C,0)),LEN(INDEX(ECR!$E:$E,MATCH(P85,ECR!$C:$C,0)))-2)),"")</x:f>
        <x:v>83</x:v>
      </x:c>
      <x:c r="BZ85" s="90"/>
      <x:c r="CA85" s="90"/>
      <x:c r="CB85" s="90"/>
      <x:c r="CC85" s="90"/>
      <x:c r="CD85" s="90"/>
      <x:c r="CE85" s="90"/>
      <x:c r="CF85" s="90"/>
      <x:c r="CG85" s="90"/>
    </x:row>
    <x:row r="86" ht="14.25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120"/>
      <x:c r="M86" s="3"/>
      <x:c r="N86" s="120"/>
      <x:c r="O86" s="75" t="s">
        <x:v>426</x:v>
      </x:c>
      <x:c r="P86" s="60" t="str">
        <x:f>VLOOKUP(O86,ECR!E:L,8,FALSE())</x:f>
        <x:v>Kendre Miller</x:v>
      </x:c>
      <x:c r="Q86" s="63" t="str">
        <x:f>IFERROR(VLOOKUP(Aggregate!$P86,ECR!C:F,2,FALSE()),"-")</x:f>
        <x:v>NO</x:v>
      </x:c>
      <x:c r="R86" s="63" t="n">
        <x:f>IFERROR(VLOOKUP(Aggregate!$P86,ECR!C:F,4,FALSE()),"-")</x:f>
        <x:v>8</x:v>
      </x:c>
      <x:c r="S86" s="63" t="str">
        <x:f>Aggregate!$Q86 &amp; "/" &amp; Aggregate!$R86</x:f>
        <x:v>NO/8</x:v>
      </x:c>
      <x:c r="T86" s="67" t="n">
        <x:f>IFERROR(VLOOKUP(Aggregate!$P86,RB!A:Q,13,FALSE())/17*(16-Aggregate!$AA86),0)</x:f>
        <x:v>10.870950588235294</x:v>
      </x:c>
      <x:c r="U86" s="67" t="n">
        <x:f>IFERROR(VLOOKUP(Aggregate!$P86,RB!A:Q,14,FALSE())/17*(16-Aggregate!$AA86),0)</x:f>
        <x:v>16.183821176470587</x:v>
      </x:c>
      <x:c r="V86" s="67" t="n">
        <x:f>IFERROR(VLOOKUP(Aggregate!$P86,RB!A:Q,15,FALSE())/17*(16-Aggregate!$AA86),0)</x:f>
        <x:v>20.879952941176473</x:v>
      </x:c>
      <x:c r="W86" s="70" t="n">
        <x:f>AVERAGE(Aggregate!$T86,Aggregate!$U86,Aggregate!$V86,VLOOKUP(Aggregate!$P86,ECR!L:N,3,FALSE))</x:f>
        <x:v>17.76653647147059</x:v>
      </x:c>
      <x:c r="X86" s="70" t="n">
        <x:f>Aggregate!$W86-$Q$1</x:f>
        <x:v>-112.23379265352942</x:v>
      </x:c>
      <x:c r="Y86" s="74" t="n">
        <x:f>MAX(Aggregate!$X86*Scoring!$B$48+1,1)</x:f>
        <x:v>1</x:v>
      </x:c>
      <x:c r="Z86" s="75" t="n">
        <x:f>VLOOKUP(Aggregate!$X86,BM:BO,3,FALSE)</x:f>
        <x:v>10</x:v>
      </x:c>
      <x:c r="AA86" s="77" t="n">
        <x:f t="array" ref="AA86">VLOOKUP(INDEX(ECR!$E:$E,MATCH(P86,ECR!$C:$C,0)),RISK!A:B,2,FALSE())</x:f>
        <x:v>3.368</x:v>
      </x:c>
      <x:c r="AB86" s="78"/>
      <x:c r="AC86" s="63" t="s">
        <x:v>427</x:v>
      </x:c>
      <x:c r="AD86" s="63" t="str">
        <x:f>VLOOKUP(AC86,ECR!E:L,8,FALSE())</x:f>
        <x:v>Malachi Fields</x:v>
      </x:c>
      <x:c r="AE86" s="63" t="str">
        <x:f>IFERROR(VLOOKUP(Aggregate!$AD86,ECR!C:F,2,FALSE()),"-")</x:f>
        <x:v>NYG</x:v>
      </x:c>
      <x:c r="AF86" s="63" t="n">
        <x:f>IFERROR(VLOOKUP(Aggregate!$AD86,ECR!C:F,4,FALSE()),"-")</x:f>
        <x:v>8</x:v>
      </x:c>
      <x:c r="AG86" s="63" t="str">
        <x:f>Aggregate!$AE86 &amp; "/" &amp; Aggregate!$AF86</x:f>
        <x:v>NYG/8</x:v>
      </x:c>
      <x:c r="AH86" s="67" t="n">
        <x:f>IFERROR(VLOOKUP(Aggregate!$AD86,WR!A:Q,13,FALSE())/17*(16-Aggregate!$AO86),0)</x:f>
        <x:v>66.38006117647059</x:v>
      </x:c>
      <x:c r="AI86" s="67" t="n">
        <x:f>IFERROR(VLOOKUP(Aggregate!$AD86,WR!A:Q,14,FALSE())/17*(16-Aggregate!$AO86),0)</x:f>
        <x:v>66.38006117647059</x:v>
      </x:c>
      <x:c r="AJ86" s="67" t="n">
        <x:f>IFERROR(VLOOKUP(Aggregate!$AD86,WR!A:Q,15,FALSE())/17*(16-Aggregate!$AO86),0)</x:f>
        <x:v>66.38006117647059</x:v>
      </x:c>
      <x:c r="AK86" s="70" t="n">
        <x:f>AVERAGE(Aggregate!$AH86,Aggregate!$AI86,Aggregate!$AJ86,VLOOKUP(Aggregate!$AD86,ECR!L:N,3,FALSE))</x:f>
        <x:v>65.72620764735295</x:v>
      </x:c>
      <x:c r="AL86" s="70" t="n">
        <x:f>Aggregate!$AK86-$AE$1</x:f>
        <x:v>-36.46870410999999</x:v>
      </x:c>
      <x:c r="AM86" s="74" t="n">
        <x:f>MAX(Aggregate!$AL86*Scoring!$B$48+1,1)</x:f>
        <x:v>1</x:v>
      </x:c>
      <x:c r="AN86" s="75" t="n">
        <x:f>VLOOKUP(Aggregate!$AL86,BR:BT,3,FALSE)</x:f>
        <x:v>7</x:v>
      </x:c>
      <x:c r="AO86" s="77" t="n">
        <x:f t="array" ref="AO86">VLOOKUP(INDEX(ECR!$E:$E,MATCH(AD86,ECR!$C:$C,0)),RISK!A:B,2,FALSE())</x:f>
        <x:v>3.7</x:v>
      </x:c>
      <x:c r="AP86" s="78"/>
      <x:c r="AQ86" s="87" t="s">
        <x:v>428</x:v>
      </x:c>
      <x:c r="AR86" s="3"/>
      <x:c r="AS86" s="120"/>
      <x:c r="AT86" s="3"/>
      <x:c r="AU86" s="3"/>
      <x:c r="AV86" s="3"/>
      <x:c r="AW86" s="3"/>
      <x:c r="AX86" s="3"/>
      <x:c r="AY86" s="3"/>
      <x:c r="AZ86" s="3"/>
      <x:c r="BA86" s="3"/>
      <x:c r="BB86" s="120"/>
      <x:c r="BC86" s="3"/>
      <x:c r="BD86" s="3"/>
      <x:c r="BE86" s="120"/>
      <x:c r="BF86" s="78">
        <x:v>84.0</x:v>
      </x:c>
      <x:c r="BG86" s="78" t="str">
        <x:f t="shared" si="1"/>
      </x:c>
      <x:c r="BH86" s="90"/>
      <x:c r="BI86" s="90"/>
      <x:c r="BJ86" s="90"/>
      <x:c r="BK86" s="89">
        <x:v>84.0</x:v>
      </x:c>
      <x:c r="BL86" s="78">
        <x:f t="shared" si="2"/>
        <x:v>23.13142118</x:v>
      </x:c>
      <x:c r="BM86" s="90" t="n">
        <x:f>IFERROR(LARGE($X$3:$X$102,84),"")</x:f>
        <x:v>-106.4249303014706</x:v>
      </x:c>
      <x:c r="BN86" s="90">
        <x:f t="shared" si="7"/>
        <x:v>-67.02025265</x:v>
      </x:c>
      <x:c r="BO86" s="91">
        <x:f t="shared" si="8"/>
        <x:v>10</x:v>
      </x:c>
      <x:c r="BP86" s="90">
        <x:v>84.0</x:v>
      </x:c>
      <x:c r="BQ86" s="78">
        <x:f t="shared" si="3"/>
        <x:v>63.76464706</x:v>
      </x:c>
      <x:c r="BR86" s="90" t="n">
        <x:f>IFERROR(LARGE($AL$3:$AL$102,84),"")</x:f>
        <x:v>-36.46870410999999</x:v>
      </x:c>
      <x:c r="BS86" s="90">
        <x:f t="shared" si="9"/>
        <x:v>-21.74886</x:v>
      </x:c>
      <x:c r="BT86" s="90">
        <x:f t="shared" si="10"/>
        <x:v>7</x:v>
      </x:c>
      <x:c r="BU86" s="78">
        <x:v>84.0</x:v>
      </x:c>
      <x:c r="BV86" s="78" t="str">
        <x:f t="shared" si="4"/>
      </x:c>
      <x:c r="BW86" s="90"/>
      <x:c r="BX86" s="90"/>
      <x:c r="BY86" s="90" t="n">
        <x:f t="array" ref="BY86">IFERROR(VALUE(RIGHT(INDEX(ECR!$E:$E,MATCH(P86,ECR!$C:$C,0)),LEN(INDEX(ECR!$E:$E,MATCH(P86,ECR!$C:$C,0)))-2)),"")</x:f>
        <x:v>84</x:v>
      </x:c>
      <x:c r="BZ86" s="90"/>
      <x:c r="CA86" s="90"/>
      <x:c r="CB86" s="90"/>
      <x:c r="CC86" s="90"/>
      <x:c r="CD86" s="90"/>
      <x:c r="CE86" s="90"/>
      <x:c r="CF86" s="90"/>
      <x:c r="CG86" s="90"/>
    </x:row>
    <x:row r="87" ht="14.25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120"/>
      <x:c r="M87" s="3"/>
      <x:c r="N87" s="120"/>
      <x:c r="O87" s="75" t="s">
        <x:v>429</x:v>
      </x:c>
      <x:c r="P87" s="60" t="str">
        <x:f>VLOOKUP(O87,ECR!E:L,8,FALSE())</x:f>
        <x:v>Adam Randall</x:v>
      </x:c>
      <x:c r="Q87" s="63" t="str">
        <x:f>IFERROR(VLOOKUP(Aggregate!$P87,ECR!C:F,2,FALSE()),"-")</x:f>
        <x:v>BAL</x:v>
      </x:c>
      <x:c r="R87" s="63" t="n">
        <x:f>IFERROR(VLOOKUP(Aggregate!$P87,ECR!C:F,4,FALSE()),"-")</x:f>
        <x:v>13</x:v>
      </x:c>
      <x:c r="S87" s="63" t="str">
        <x:f>Aggregate!$Q87 &amp; "/" &amp; Aggregate!$R87</x:f>
        <x:v>BAL/13</x:v>
      </x:c>
      <x:c r="T87" s="67" t="n">
        <x:f>IFERROR(VLOOKUP(Aggregate!$P87,RB!A:Q,13,FALSE())/17*(16-Aggregate!$AA87),0)</x:f>
        <x:v>52.60969415529411</x:v>
      </x:c>
      <x:c r="U87" s="67" t="n">
        <x:f>IFERROR(VLOOKUP(Aggregate!$P87,RB!A:Q,14,FALSE())/17*(16-Aggregate!$AA87),0)</x:f>
        <x:v>82.66642356705881</x:v>
      </x:c>
      <x:c r="V87" s="67" t="n">
        <x:f>IFERROR(VLOOKUP(Aggregate!$P87,RB!A:Q,15,FALSE())/17*(16-Aggregate!$AA87),0)</x:f>
        <x:v>112.41849886117647</x:v>
      </x:c>
      <x:c r="W87" s="70" t="n">
        <x:f>AVERAGE(Aggregate!$T87,Aggregate!$U87,Aggregate!$V87,VLOOKUP(Aggregate!$P87,ECR!L:N,3,FALSE))</x:f>
        <x:v>66.99503061588236</x:v>
      </x:c>
      <x:c r="X87" s="70" t="n">
        <x:f>Aggregate!$W87-$Q$1</x:f>
        <x:v>-63.00529850911765</x:v>
      </x:c>
      <x:c r="Y87" s="74" t="n">
        <x:f>MAX(Aggregate!$X87*Scoring!$B$48+1,1)</x:f>
        <x:v>1</x:v>
      </x:c>
      <x:c r="Z87" s="75" t="n">
        <x:f>VLOOKUP(Aggregate!$X87,BM:BO,3,FALSE)</x:f>
        <x:v>8</x:v>
      </x:c>
      <x:c r="AA87" s="77" t="n">
        <x:f t="array" ref="AA87">VLOOKUP(INDEX(ECR!$E:$E,MATCH(P87,ECR!$C:$C,0)),RISK!A:B,2,FALSE())</x:f>
        <x:v>3.368</x:v>
      </x:c>
      <x:c r="AB87" s="78"/>
      <x:c r="AC87" s="63" t="s">
        <x:v>430</x:v>
      </x:c>
      <x:c r="AD87" s="63" t="str">
        <x:f>VLOOKUP(AC87,ECR!E:L,8,FALSE())</x:f>
        <x:v>Devaughn Vele</x:v>
      </x:c>
      <x:c r="AE87" s="63" t="str">
        <x:f>IFERROR(VLOOKUP(Aggregate!$AD87,ECR!C:F,2,FALSE()),"-")</x:f>
        <x:v>NO</x:v>
      </x:c>
      <x:c r="AF87" s="63" t="n">
        <x:f>IFERROR(VLOOKUP(Aggregate!$AD87,ECR!C:F,4,FALSE()),"-")</x:f>
        <x:v>8</x:v>
      </x:c>
      <x:c r="AG87" s="63" t="str">
        <x:f>Aggregate!$AE87 &amp; "/" &amp; Aggregate!$AF87</x:f>
        <x:v>NO/8</x:v>
      </x:c>
      <x:c r="AH87" s="67" t="n">
        <x:f>IFERROR(VLOOKUP(Aggregate!$AD87,WR!A:Q,13,FALSE())/17*(16-Aggregate!$AO87),0)</x:f>
        <x:v>69.84952941176472</x:v>
      </x:c>
      <x:c r="AI87" s="67" t="n">
        <x:f>IFERROR(VLOOKUP(Aggregate!$AD87,WR!A:Q,14,FALSE())/17*(16-Aggregate!$AO87),0)</x:f>
        <x:v>73.95917647058823</x:v>
      </x:c>
      <x:c r="AJ87" s="67" t="n">
        <x:f>IFERROR(VLOOKUP(Aggregate!$AD87,WR!A:Q,15,FALSE())/17*(16-Aggregate!$AO87),0)</x:f>
        <x:v>78.03264705882353</x:v>
      </x:c>
      <x:c r="AK87" s="70" t="n">
        <x:f>AVERAGE(Aggregate!$AH87,Aggregate!$AI87,Aggregate!$AJ87,VLOOKUP(Aggregate!$AD87,ECR!L:N,3,FALSE))</x:f>
        <x:v>70.40122058779413</x:v>
      </x:c>
      <x:c r="AL87" s="70" t="n">
        <x:f>Aggregate!$AK87-$AE$1</x:f>
        <x:v>-31.793691169558812</x:v>
      </x:c>
      <x:c r="AM87" s="74" t="n">
        <x:f>MAX(Aggregate!$AL87*Scoring!$B$48+1,1)</x:f>
        <x:v>1</x:v>
      </x:c>
      <x:c r="AN87" s="75" t="n">
        <x:f>VLOOKUP(Aggregate!$AL87,BR:BT,3,FALSE)</x:f>
        <x:v>7</x:v>
      </x:c>
      <x:c r="AO87" s="77" t="n">
        <x:f t="array" ref="AO87">VLOOKUP(INDEX(ECR!$E:$E,MATCH(AD87,ECR!$C:$C,0)),RISK!A:B,2,FALSE())</x:f>
        <x:v>3.7</x:v>
      </x:c>
      <x:c r="AP87" s="78"/>
      <x:c r="AQ87" s="87" t="s">
        <x:v>431</x:v>
      </x:c>
      <x:c r="AR87" s="3"/>
      <x:c r="AS87" s="120"/>
      <x:c r="AT87" s="3"/>
      <x:c r="AU87" s="3"/>
      <x:c r="AV87" s="3"/>
      <x:c r="AW87" s="3"/>
      <x:c r="AX87" s="3"/>
      <x:c r="AY87" s="3"/>
      <x:c r="AZ87" s="3"/>
      <x:c r="BA87" s="3"/>
      <x:c r="BB87" s="120"/>
      <x:c r="BC87" s="3"/>
      <x:c r="BD87" s="3"/>
      <x:c r="BE87" s="120"/>
      <x:c r="BF87" s="78">
        <x:v>85.0</x:v>
      </x:c>
      <x:c r="BG87" s="78" t="str">
        <x:f t="shared" si="1"/>
      </x:c>
      <x:c r="BH87" s="90"/>
      <x:c r="BI87" s="90"/>
      <x:c r="BJ87" s="90"/>
      <x:c r="BK87" s="89">
        <x:v>85.0</x:v>
      </x:c>
      <x:c r="BL87" s="78">
        <x:f t="shared" si="2"/>
        <x:v>20.28550588</x:v>
      </x:c>
      <x:c r="BM87" s="90" t="n">
        <x:f>IFERROR(LARGE($X$3:$X$102,85),"")</x:f>
        <x:v>-110.7068067732353</x:v>
      </x:c>
      <x:c r="BN87" s="90">
        <x:f t="shared" si="7"/>
        <x:v>-67.02025265</x:v>
      </x:c>
      <x:c r="BO87" s="91">
        <x:f t="shared" si="8"/>
        <x:v>10</x:v>
      </x:c>
      <x:c r="BP87" s="90">
        <x:v>85.0</x:v>
      </x:c>
      <x:c r="BQ87" s="78">
        <x:f t="shared" si="3"/>
        <x:v>59.76352941</x:v>
      </x:c>
      <x:c r="BR87" s="90" t="n">
        <x:f>IFERROR(LARGE($AL$3:$AL$102,85),"")</x:f>
        <x:v>-41.212235286323526</x:v>
      </x:c>
      <x:c r="BS87" s="90">
        <x:f t="shared" si="9"/>
        <x:v>-21.74886</x:v>
      </x:c>
      <x:c r="BT87" s="90">
        <x:f t="shared" si="10"/>
        <x:v>7</x:v>
      </x:c>
      <x:c r="BU87" s="78">
        <x:v>85.0</x:v>
      </x:c>
      <x:c r="BV87" s="78" t="str">
        <x:f t="shared" si="4"/>
      </x:c>
      <x:c r="BW87" s="90"/>
      <x:c r="BX87" s="90"/>
      <x:c r="BY87" s="90" t="n">
        <x:f t="array" ref="BY87">IFERROR(VALUE(RIGHT(INDEX(ECR!$E:$E,MATCH(P87,ECR!$C:$C,0)),LEN(INDEX(ECR!$E:$E,MATCH(P87,ECR!$C:$C,0)))-2)),"")</x:f>
        <x:v>85</x:v>
      </x:c>
      <x:c r="BZ87" s="90"/>
      <x:c r="CA87" s="90"/>
      <x:c r="CB87" s="90"/>
      <x:c r="CC87" s="90"/>
      <x:c r="CD87" s="90"/>
      <x:c r="CE87" s="90"/>
      <x:c r="CF87" s="90"/>
      <x:c r="CG87" s="90"/>
    </x:row>
    <x:row r="88" ht="14.25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120"/>
      <x:c r="M88" s="3"/>
      <x:c r="N88" s="120"/>
      <x:c r="O88" s="75" t="s">
        <x:v>432</x:v>
      </x:c>
      <x:c r="P88" s="60" t="str">
        <x:f>VLOOKUP(O88,ECR!E:L,8,FALSE())</x:f>
        <x:v>Brashard Smith</x:v>
      </x:c>
      <x:c r="Q88" s="63" t="str">
        <x:f>IFERROR(VLOOKUP(Aggregate!$P88,ECR!C:F,2,FALSE()),"-")</x:f>
        <x:v>KC</x:v>
      </x:c>
      <x:c r="R88" s="63" t="n">
        <x:f>IFERROR(VLOOKUP(Aggregate!$P88,ECR!C:F,4,FALSE()),"-")</x:f>
        <x:v>5</x:v>
      </x:c>
      <x:c r="S88" s="63" t="str">
        <x:f>Aggregate!$Q88 &amp; "/" &amp; Aggregate!$R88</x:f>
        <x:v>KC/5</x:v>
      </x:c>
      <x:c r="T88" s="67" t="n">
        <x:f>IFERROR(VLOOKUP(Aggregate!$P88,RB!A:Q,13,FALSE())/17*(16-Aggregate!$AA88),0)</x:f>
        <x:v>0</x:v>
      </x:c>
      <x:c r="U88" s="67" t="n">
        <x:f>IFERROR(VLOOKUP(Aggregate!$P88,RB!A:Q,14,FALSE())/17*(16-Aggregate!$AA88),0)</x:f>
        <x:v>20.285505882352943</x:v>
      </x:c>
      <x:c r="V88" s="67" t="n">
        <x:f>IFERROR(VLOOKUP(Aggregate!$P88,RB!A:Q,15,FALSE())/17*(16-Aggregate!$AA88),0)</x:f>
        <x:v>40.57101176470589</x:v>
      </x:c>
      <x:c r="W88" s="70" t="n">
        <x:f>AVERAGE(Aggregate!$T88,Aggregate!$U88,Aggregate!$V88,VLOOKUP(Aggregate!$P88,ECR!L:N,3,FALSE))</x:f>
        <x:v>19.293522351764707</x:v>
      </x:c>
      <x:c r="X88" s="70" t="n">
        <x:f>Aggregate!$W88-$Q$1</x:f>
        <x:v>-110.7068067732353</x:v>
      </x:c>
      <x:c r="Y88" s="74" t="n">
        <x:f>MAX(Aggregate!$X88*Scoring!$B$48+1,1)</x:f>
        <x:v>1</x:v>
      </x:c>
      <x:c r="Z88" s="75" t="n">
        <x:f>VLOOKUP(Aggregate!$X88,BM:BO,3,FALSE)</x:f>
        <x:v>10</x:v>
      </x:c>
      <x:c r="AA88" s="77" t="n">
        <x:f t="array" ref="AA88">VLOOKUP(INDEX(ECR!$E:$E,MATCH(P88,ECR!$C:$C,0)),RISK!A:B,2,FALSE())</x:f>
        <x:v>3.368</x:v>
      </x:c>
      <x:c r="AB88" s="78"/>
      <x:c r="AC88" s="63" t="s">
        <x:v>433</x:v>
      </x:c>
      <x:c r="AD88" s="63" t="str">
        <x:f>VLOOKUP(AC88,ECR!E:L,8,FALSE())</x:f>
        <x:v>Jack Bech</x:v>
      </x:c>
      <x:c r="AE88" s="63" t="str">
        <x:f>IFERROR(VLOOKUP(Aggregate!$AD88,ECR!C:F,2,FALSE()),"-")</x:f>
        <x:v>LV</x:v>
      </x:c>
      <x:c r="AF88" s="63" t="n">
        <x:f>IFERROR(VLOOKUP(Aggregate!$AD88,ECR!C:F,4,FALSE()),"-")</x:f>
        <x:v>13</x:v>
      </x:c>
      <x:c r="AG88" s="63" t="str">
        <x:f>Aggregate!$AE88 &amp; "/" &amp; Aggregate!$AF88</x:f>
        <x:v>LV/13</x:v>
      </x:c>
      <x:c r="AH88" s="67" t="n">
        <x:f>IFERROR(VLOOKUP(Aggregate!$AD88,WR!A:Q,13,FALSE())/17*(16-Aggregate!$AO88),0)</x:f>
        <x:v>37.587352941176476</x:v>
      </x:c>
      <x:c r="AI88" s="67" t="n">
        <x:f>IFERROR(VLOOKUP(Aggregate!$AD88,WR!A:Q,14,FALSE())/17*(16-Aggregate!$AO88),0)</x:f>
        <x:v>37.587352941176476</x:v>
      </x:c>
      <x:c r="AJ88" s="67" t="n">
        <x:f>IFERROR(VLOOKUP(Aggregate!$AD88,WR!A:Q,15,FALSE())/17*(16-Aggregate!$AO88),0)</x:f>
        <x:v>37.587352941176476</x:v>
      </x:c>
      <x:c r="AK88" s="70" t="n">
        <x:f>AVERAGE(Aggregate!$AH88,Aggregate!$AI88,Aggregate!$AJ88,VLOOKUP(Aggregate!$AD88,ECR!L:N,3,FALSE))</x:f>
        <x:v>43.02286764588236</x:v>
      </x:c>
      <x:c r="AL88" s="70" t="n">
        <x:f>Aggregate!$AK88-$AE$1</x:f>
        <x:v>-59.17204411147058</x:v>
      </x:c>
      <x:c r="AM88" s="74" t="n">
        <x:f>MAX(Aggregate!$AL88*Scoring!$B$48+1,1)</x:f>
        <x:v>1</x:v>
      </x:c>
      <x:c r="AN88" s="75" t="n">
        <x:f>VLOOKUP(Aggregate!$AL88,BR:BT,3,FALSE)</x:f>
        <x:v>8</x:v>
      </x:c>
      <x:c r="AO88" s="77" t="n">
        <x:f t="array" ref="AO88">VLOOKUP(INDEX(ECR!$E:$E,MATCH(AD88,ECR!$C:$C,0)),RISK!A:B,2,FALSE())</x:f>
        <x:v>3.7</x:v>
      </x:c>
      <x:c r="AP88" s="78"/>
      <x:c r="AQ88" s="87" t="s">
        <x:v>434</x:v>
      </x:c>
      <x:c r="AR88" s="3"/>
      <x:c r="AS88" s="120"/>
      <x:c r="AT88" s="3"/>
      <x:c r="AU88" s="3"/>
      <x:c r="AV88" s="3"/>
      <x:c r="AW88" s="3"/>
      <x:c r="AX88" s="3"/>
      <x:c r="AY88" s="3"/>
      <x:c r="AZ88" s="3"/>
      <x:c r="BA88" s="3"/>
      <x:c r="BB88" s="120"/>
      <x:c r="BC88" s="3"/>
      <x:c r="BD88" s="3"/>
      <x:c r="BE88" s="120"/>
      <x:c r="BF88" s="78">
        <x:v>86.0</x:v>
      </x:c>
      <x:c r="BG88" s="78" t="str">
        <x:f t="shared" si="1"/>
      </x:c>
      <x:c r="BH88" s="90"/>
      <x:c r="BI88" s="90"/>
      <x:c r="BJ88" s="90"/>
      <x:c r="BK88" s="89">
        <x:v>86.0</x:v>
      </x:c>
      <x:c r="BL88" s="78">
        <x:f t="shared" si="2"/>
        <x:v>16.31757176</x:v>
      </x:c>
      <x:c r="BM88" s="90" t="n">
        <x:f>IFERROR(LARGE($X$3:$X$102,86),"")</x:f>
        <x:v>-112.23379265352942</x:v>
      </x:c>
      <x:c r="BN88" s="90">
        <x:f t="shared" si="7"/>
        <x:v>-67.02025265</x:v>
      </x:c>
      <x:c r="BO88" s="91">
        <x:f t="shared" si="8"/>
        <x:v>10</x:v>
      </x:c>
      <x:c r="BP88" s="90">
        <x:v>86.0</x:v>
      </x:c>
      <x:c r="BQ88" s="78">
        <x:f t="shared" si="3"/>
        <x:v>59.32941176</x:v>
      </x:c>
      <x:c r="BR88" s="90" t="n">
        <x:f>IFERROR(LARGE($AL$3:$AL$102,86),"")</x:f>
        <x:v>-41.36113764014706</x:v>
      </x:c>
      <x:c r="BS88" s="90">
        <x:f t="shared" si="9"/>
        <x:v>-21.74886</x:v>
      </x:c>
      <x:c r="BT88" s="90">
        <x:f t="shared" si="10"/>
        <x:v>7</x:v>
      </x:c>
      <x:c r="BU88" s="78">
        <x:v>86.0</x:v>
      </x:c>
      <x:c r="BV88" s="78" t="str">
        <x:f t="shared" si="4"/>
      </x:c>
      <x:c r="BW88" s="90"/>
      <x:c r="BX88" s="90"/>
      <x:c r="BY88" s="90" t="n">
        <x:f t="array" ref="BY88">IFERROR(VALUE(RIGHT(INDEX(ECR!$E:$E,MATCH(P88,ECR!$C:$C,0)),LEN(INDEX(ECR!$E:$E,MATCH(P88,ECR!$C:$C,0)))-2)),"")</x:f>
        <x:v>86</x:v>
      </x:c>
      <x:c r="BZ88" s="90"/>
      <x:c r="CA88" s="90"/>
      <x:c r="CB88" s="90"/>
      <x:c r="CC88" s="90"/>
      <x:c r="CD88" s="90"/>
      <x:c r="CE88" s="90"/>
      <x:c r="CF88" s="90"/>
      <x:c r="CG88" s="90"/>
    </x:row>
    <x:row r="89" ht="14.25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120"/>
      <x:c r="M89" s="3"/>
      <x:c r="N89" s="120"/>
      <x:c r="O89" s="75" t="s">
        <x:v>435</x:v>
      </x:c>
      <x:c r="P89" s="60" t="str">
        <x:f>VLOOKUP(O89,ECR!E:L,8,FALSE())</x:f>
        <x:v>Emari Demercado</x:v>
      </x:c>
      <x:c r="Q89" s="63" t="str">
        <x:f>IFERROR(VLOOKUP(Aggregate!$P89,ECR!C:F,2,FALSE()),"-")</x:f>
        <x:v>KC</x:v>
      </x:c>
      <x:c r="R89" s="63" t="n">
        <x:f>IFERROR(VLOOKUP(Aggregate!$P89,ECR!C:F,4,FALSE()),"-")</x:f>
        <x:v>5</x:v>
      </x:c>
      <x:c r="S89" s="63" t="str">
        <x:f>Aggregate!$Q89 &amp; "/" &amp; Aggregate!$R89</x:f>
        <x:v>KC/5</x:v>
      </x:c>
      <x:c r="T89" s="67" t="n">
        <x:f>IFERROR(VLOOKUP(Aggregate!$P89,RB!A:Q,13,FALSE())/17*(16-Aggregate!$AA89),0)</x:f>
        <x:v>37.35356705882353</x:v>
      </x:c>
      <x:c r="U89" s="67" t="n">
        <x:f>IFERROR(VLOOKUP(Aggregate!$P89,RB!A:Q,14,FALSE())/17*(16-Aggregate!$AA89),0)</x:f>
        <x:v>55.37274352941176</x:v>
      </x:c>
      <x:c r="V89" s="67" t="n">
        <x:f>IFERROR(VLOOKUP(Aggregate!$P89,RB!A:Q,15,FALSE())/17*(16-Aggregate!$AA89),0)</x:f>
        <x:v>73.48851764705883</x:v>
      </x:c>
      <x:c r="W89" s="70" t="n">
        <x:f>AVERAGE(Aggregate!$T89,Aggregate!$U89,Aggregate!$V89,VLOOKUP(Aggregate!$P89,ECR!L:N,3,FALSE))</x:f>
        <x:v>45.59966235382353</x:v>
      </x:c>
      <x:c r="X89" s="70" t="n">
        <x:f>Aggregate!$W89-$Q$1</x:f>
        <x:v>-84.40066677117647</x:v>
      </x:c>
      <x:c r="Y89" s="74" t="n">
        <x:f>MAX(Aggregate!$X89*Scoring!$B$48+1,1)</x:f>
        <x:v>1</x:v>
      </x:c>
      <x:c r="Z89" s="75" t="n">
        <x:f>VLOOKUP(Aggregate!$X89,BM:BO,3,FALSE)</x:f>
        <x:v>9</x:v>
      </x:c>
      <x:c r="AA89" s="77" t="n">
        <x:f t="array" ref="AA89">VLOOKUP(INDEX(ECR!$E:$E,MATCH(P89,ECR!$C:$C,0)),RISK!A:B,2,FALSE())</x:f>
        <x:v>3.368</x:v>
      </x:c>
      <x:c r="AB89" s="78"/>
      <x:c r="AC89" s="63" t="s">
        <x:v>436</x:v>
      </x:c>
      <x:c r="AD89" s="63" t="str">
        <x:f>VLOOKUP(AC89,ECR!E:L,8,FALSE())</x:f>
        <x:v>Antonio Williams</x:v>
      </x:c>
      <x:c r="AE89" s="63" t="str">
        <x:f>IFERROR(VLOOKUP(Aggregate!$AD89,ECR!C:F,2,FALSE()),"-")</x:f>
        <x:v>WAS</x:v>
      </x:c>
      <x:c r="AF89" s="63" t="n">
        <x:f>IFERROR(VLOOKUP(Aggregate!$AD89,ECR!C:F,4,FALSE()),"-")</x:f>
        <x:v>7</x:v>
      </x:c>
      <x:c r="AG89" s="63" t="str">
        <x:f>Aggregate!$AE89 &amp; "/" &amp; Aggregate!$AF89</x:f>
        <x:v>WAS/7</x:v>
      </x:c>
      <x:c r="AH89" s="67" t="n">
        <x:f>IFERROR(VLOOKUP(Aggregate!$AD89,WR!A:Q,13,FALSE())/17*(16-Aggregate!$AO89),0)</x:f>
        <x:v>66.35835529411764</x:v>
      </x:c>
      <x:c r="AI89" s="67" t="n">
        <x:f>IFERROR(VLOOKUP(Aggregate!$AD89,WR!A:Q,14,FALSE())/17*(16-Aggregate!$AO89),0)</x:f>
        <x:v>86.17582588235294</x:v>
      </x:c>
      <x:c r="AJ89" s="67" t="n">
        <x:f>IFERROR(VLOOKUP(Aggregate!$AD89,WR!A:Q,15,FALSE())/17*(16-Aggregate!$AO89),0)</x:f>
        <x:v>106.5431788235294</x:v>
      </x:c>
      <x:c r="AK89" s="70" t="n">
        <x:f>AVERAGE(Aggregate!$AH89,Aggregate!$AI89,Aggregate!$AJ89,VLOOKUP(Aggregate!$AD89,ECR!L:N,3,FALSE))</x:f>
        <x:v>79.56551647</x:v>
      </x:c>
      <x:c r="AL89" s="70" t="n">
        <x:f>Aggregate!$AK89-$AE$1</x:f>
        <x:v>-22.629395287352935</x:v>
      </x:c>
      <x:c r="AM89" s="74" t="n">
        <x:f>MAX(Aggregate!$AL89*Scoring!$B$48+1,1)</x:f>
        <x:v>1</x:v>
      </x:c>
      <x:c r="AN89" s="75" t="n">
        <x:f>VLOOKUP(Aggregate!$AL89,BR:BT,3,FALSE)</x:f>
        <x:v>7</x:v>
      </x:c>
      <x:c r="AO89" s="77" t="n">
        <x:f t="array" ref="AO89">VLOOKUP(INDEX(ECR!$E:$E,MATCH(AD89,ECR!$C:$C,0)),RISK!A:B,2,FALSE())</x:f>
        <x:v>3.7</x:v>
      </x:c>
      <x:c r="AP89" s="78"/>
      <x:c r="AQ89" s="87" t="s">
        <x:v>437</x:v>
      </x:c>
      <x:c r="AR89" s="3"/>
      <x:c r="AS89" s="120"/>
      <x:c r="AT89" s="3"/>
      <x:c r="AU89" s="3"/>
      <x:c r="AV89" s="3"/>
      <x:c r="AW89" s="3"/>
      <x:c r="AX89" s="3"/>
      <x:c r="AY89" s="3"/>
      <x:c r="AZ89" s="3"/>
      <x:c r="BA89" s="3"/>
      <x:c r="BB89" s="120"/>
      <x:c r="BC89" s="3"/>
      <x:c r="BD89" s="3"/>
      <x:c r="BE89" s="120"/>
      <x:c r="BF89" s="78">
        <x:v>87.0</x:v>
      </x:c>
      <x:c r="BG89" s="78" t="str">
        <x:f t="shared" si="1"/>
      </x:c>
      <x:c r="BH89" s="90"/>
      <x:c r="BI89" s="90"/>
      <x:c r="BJ89" s="90"/>
      <x:c r="BK89" s="89">
        <x:v>87.0</x:v>
      </x:c>
      <x:c r="BL89" s="78">
        <x:f t="shared" si="2"/>
        <x:v>16.18382118</x:v>
      </x:c>
      <x:c r="BM89" s="90" t="n">
        <x:f>IFERROR(LARGE($X$3:$X$102,87),"")</x:f>
        <x:v>-114.12116206735296</x:v>
      </x:c>
      <x:c r="BN89" s="90">
        <x:f t="shared" si="7"/>
        <x:v>-67.02025265</x:v>
      </x:c>
      <x:c r="BO89" s="91">
        <x:f t="shared" si="8"/>
        <x:v>10</x:v>
      </x:c>
      <x:c r="BP89" s="90">
        <x:v>87.0</x:v>
      </x:c>
      <x:c r="BQ89" s="78">
        <x:f t="shared" si="3"/>
        <x:v>59.18470588</x:v>
      </x:c>
      <x:c r="BR89" s="90" t="n">
        <x:f>IFERROR(LARGE($AL$3:$AL$102,87),"")</x:f>
        <x:v>-42.585132346176465</x:v>
      </x:c>
      <x:c r="BS89" s="90">
        <x:f t="shared" si="9"/>
        <x:v>-41.70459706</x:v>
      </x:c>
      <x:c r="BT89" s="90">
        <x:f t="shared" si="10"/>
        <x:v>8</x:v>
      </x:c>
      <x:c r="BU89" s="78">
        <x:v>87.0</x:v>
      </x:c>
      <x:c r="BV89" s="78" t="str">
        <x:f t="shared" si="4"/>
      </x:c>
      <x:c r="BW89" s="90"/>
      <x:c r="BX89" s="90"/>
      <x:c r="BY89" s="90" t="n">
        <x:f t="array" ref="BY89">IFERROR(VALUE(RIGHT(INDEX(ECR!$E:$E,MATCH(P89,ECR!$C:$C,0)),LEN(INDEX(ECR!$E:$E,MATCH(P89,ECR!$C:$C,0)))-2)),"")</x:f>
        <x:v>87</x:v>
      </x:c>
      <x:c r="BZ89" s="90"/>
      <x:c r="CA89" s="90"/>
      <x:c r="CB89" s="90"/>
      <x:c r="CC89" s="90"/>
      <x:c r="CD89" s="90"/>
      <x:c r="CE89" s="90"/>
      <x:c r="CF89" s="90"/>
      <x:c r="CG89" s="90"/>
    </x:row>
    <x:row r="90" ht="14.25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120"/>
      <x:c r="M90" s="3"/>
      <x:c r="N90" s="120"/>
      <x:c r="O90" s="75" t="s">
        <x:v>438</x:v>
      </x:c>
      <x:c r="P90" s="60" t="str">
        <x:f>VLOOKUP(O90,ECR!E:L,8,FALSE())</x:f>
        <x:v>Trey Benson</x:v>
      </x:c>
      <x:c r="Q90" s="63" t="str">
        <x:f>IFERROR(VLOOKUP(Aggregate!$P90,ECR!C:F,2,FALSE()),"-")</x:f>
        <x:v>FA</x:v>
      </x:c>
      <x:c r="R90" s="63" t="str">
        <x:f>IFERROR(VLOOKUP(Aggregate!$P90,ECR!C:F,4,FALSE()),"-")</x:f>
        <x:v>-</x:v>
      </x:c>
      <x:c r="S90" s="63" t="str">
        <x:f>Aggregate!$Q90 &amp; "/" &amp; Aggregate!$R90</x:f>
        <x:v>FA/-</x:v>
      </x:c>
      <x:c r="T90" s="67" t="n">
        <x:f>IFERROR(VLOOKUP(Aggregate!$P90,RB!A:Q,13,FALSE())/17*(16-Aggregate!$AA90),0)</x:f>
        <x:v>0</x:v>
      </x:c>
      <x:c r="U90" s="67" t="n">
        <x:f>IFERROR(VLOOKUP(Aggregate!$P90,RB!A:Q,14,FALSE())/17*(16-Aggregate!$AA90),0)</x:f>
        <x:v>0</x:v>
      </x:c>
      <x:c r="V90" s="67" t="n">
        <x:f>IFERROR(VLOOKUP(Aggregate!$P90,RB!A:Q,15,FALSE())/17*(16-Aggregate!$AA90),0)</x:f>
        <x:v>0</x:v>
      </x:c>
      <x:c r="W90" s="70" t="n">
        <x:f>AVERAGE(Aggregate!$T90,Aggregate!$U90,Aggregate!$V90,VLOOKUP(Aggregate!$P90,ECR!L:N,3,FALSE))</x:f>
        <x:v>3.351195295</x:v>
      </x:c>
      <x:c r="X90" s="70" t="n">
        <x:f>Aggregate!$W90-$Q$1</x:f>
        <x:v>-126.64913383000001</x:v>
      </x:c>
      <x:c r="Y90" s="74" t="n">
        <x:f>MAX(Aggregate!$X90*Scoring!$B$48+1,1)</x:f>
        <x:v>1</x:v>
      </x:c>
      <x:c r="Z90" s="75" t="n">
        <x:f>VLOOKUP(Aggregate!$X90,BM:BO,3,FALSE)</x:f>
        <x:v>11</x:v>
      </x:c>
      <x:c r="AA90" s="77" t="n">
        <x:f t="array" ref="AA90">VLOOKUP(INDEX(ECR!$E:$E,MATCH(P90,ECR!$C:$C,0)),RISK!A:B,2,FALSE())</x:f>
        <x:v>3.368</x:v>
      </x:c>
      <x:c r="AB90" s="78"/>
      <x:c r="AC90" s="63" t="s">
        <x:v>439</x:v>
      </x:c>
      <x:c r="AD90" s="63" t="str">
        <x:f>VLOOKUP(AC90,ECR!E:L,8,FALSE())</x:f>
        <x:v>Keon Coleman</x:v>
      </x:c>
      <x:c r="AE90" s="63" t="str">
        <x:f>IFERROR(VLOOKUP(Aggregate!$AD90,ECR!C:F,2,FALSE()),"-")</x:f>
        <x:v>BUF</x:v>
      </x:c>
      <x:c r="AF90" s="63" t="n">
        <x:f>IFERROR(VLOOKUP(Aggregate!$AD90,ECR!C:F,4,FALSE()),"-")</x:f>
        <x:v>7</x:v>
      </x:c>
      <x:c r="AG90" s="63" t="str">
        <x:f>Aggregate!$AE90 &amp; "/" &amp; Aggregate!$AF90</x:f>
        <x:v>BUF/7</x:v>
      </x:c>
      <x:c r="AH90" s="67" t="n">
        <x:f>IFERROR(VLOOKUP(Aggregate!$AD90,WR!A:Q,13,FALSE())/17*(16-Aggregate!$AO90),0)</x:f>
        <x:v>45.12652941176471</x:v>
      </x:c>
      <x:c r="AI90" s="67" t="n">
        <x:f>IFERROR(VLOOKUP(Aggregate!$AD90,WR!A:Q,14,FALSE())/17*(16-Aggregate!$AO90),0)</x:f>
        <x:v>45.12652941176471</x:v>
      </x:c>
      <x:c r="AJ90" s="67" t="n">
        <x:f>IFERROR(VLOOKUP(Aggregate!$AD90,WR!A:Q,15,FALSE())/17*(16-Aggregate!$AO90),0)</x:f>
        <x:v>45.12652941176471</x:v>
      </x:c>
      <x:c r="AK90" s="70" t="n">
        <x:f>AVERAGE(Aggregate!$AH90,Aggregate!$AI90,Aggregate!$AJ90,VLOOKUP(Aggregate!$AD90,ECR!L:N,3,FALSE))</x:f>
        <x:v>48.353470588823534</x:v>
      </x:c>
      <x:c r="AL90" s="70" t="n">
        <x:f>Aggregate!$AK90-$AE$1</x:f>
        <x:v>-53.84144116852941</x:v>
      </x:c>
      <x:c r="AM90" s="74" t="n">
        <x:f>MAX(Aggregate!$AL90*Scoring!$B$48+1,1)</x:f>
        <x:v>1</x:v>
      </x:c>
      <x:c r="AN90" s="75" t="n">
        <x:f>VLOOKUP(Aggregate!$AL90,BR:BT,3,FALSE)</x:f>
        <x:v>8</x:v>
      </x:c>
      <x:c r="AO90" s="77" t="n">
        <x:f t="array" ref="AO90">VLOOKUP(INDEX(ECR!$E:$E,MATCH(AD90,ECR!$C:$C,0)),RISK!A:B,2,FALSE())</x:f>
        <x:v>3.7</x:v>
      </x:c>
      <x:c r="AP90" s="78"/>
      <x:c r="AQ90" s="87" t="s">
        <x:v>440</x:v>
      </x:c>
      <x:c r="AR90" s="3"/>
      <x:c r="AS90" s="120"/>
      <x:c r="AT90" s="3"/>
      <x:c r="AU90" s="3"/>
      <x:c r="AV90" s="3"/>
      <x:c r="AW90" s="3"/>
      <x:c r="AX90" s="3"/>
      <x:c r="AY90" s="3"/>
      <x:c r="AZ90" s="3"/>
      <x:c r="BA90" s="3"/>
      <x:c r="BB90" s="120"/>
      <x:c r="BC90" s="3"/>
      <x:c r="BD90" s="3"/>
      <x:c r="BE90" s="120"/>
      <x:c r="BF90" s="78">
        <x:v>88.0</x:v>
      </x:c>
      <x:c r="BG90" s="78" t="str">
        <x:f t="shared" si="1"/>
      </x:c>
      <x:c r="BH90" s="90"/>
      <x:c r="BI90" s="90"/>
      <x:c r="BJ90" s="90"/>
      <x:c r="BK90" s="89">
        <x:v>88.0</x:v>
      </x:c>
      <x:c r="BL90" s="78">
        <x:f t="shared" si="2"/>
        <x:v>13.40478118</x:v>
      </x:c>
      <x:c r="BM90" s="90" t="n">
        <x:f>IFERROR(LARGE($X$3:$X$102,88),"")</x:f>
        <x:v>-117.37390206514706</x:v>
      </x:c>
      <x:c r="BN90" s="90">
        <x:f t="shared" si="7"/>
        <x:v>-88.87361265</x:v>
      </x:c>
      <x:c r="BO90" s="91">
        <x:f t="shared" si="8"/>
        <x:v>11</x:v>
      </x:c>
      <x:c r="BP90" s="90">
        <x:v>88.0</x:v>
      </x:c>
      <x:c r="BQ90" s="78">
        <x:f t="shared" si="3"/>
        <x:v>58.03429412</x:v>
      </x:c>
      <x:c r="BR90" s="90" t="n">
        <x:f>IFERROR(LARGE($AL$3:$AL$102,88),"")</x:f>
        <x:v>-43.51132234529411</x:v>
      </x:c>
      <x:c r="BS90" s="90">
        <x:f t="shared" si="9"/>
        <x:v>-41.70459706</x:v>
      </x:c>
      <x:c r="BT90" s="90">
        <x:f t="shared" si="10"/>
        <x:v>8</x:v>
      </x:c>
      <x:c r="BU90" s="78">
        <x:v>88.0</x:v>
      </x:c>
      <x:c r="BV90" s="78" t="str">
        <x:f t="shared" si="4"/>
      </x:c>
      <x:c r="BW90" s="90"/>
      <x:c r="BX90" s="90"/>
      <x:c r="BY90" s="90" t="n">
        <x:f t="array" ref="BY90">IFERROR(VALUE(RIGHT(INDEX(ECR!$E:$E,MATCH(P90,ECR!$C:$C,0)),LEN(INDEX(ECR!$E:$E,MATCH(P90,ECR!$C:$C,0)))-2)),"")</x:f>
        <x:v>88</x:v>
      </x:c>
      <x:c r="BZ90" s="90"/>
      <x:c r="CA90" s="90"/>
      <x:c r="CB90" s="90"/>
      <x:c r="CC90" s="90"/>
      <x:c r="CD90" s="90"/>
      <x:c r="CE90" s="90"/>
      <x:c r="CF90" s="90"/>
      <x:c r="CG90" s="90"/>
    </x:row>
    <x:row r="91" ht="14.25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120"/>
      <x:c r="M91" s="3"/>
      <x:c r="N91" s="120"/>
      <x:c r="O91" s="75" t="s">
        <x:v>441</x:v>
      </x:c>
      <x:c r="P91" s="60" t="str">
        <x:f>VLOOKUP(O91,ECR!E:L,8,FALSE())</x:f>
        <x:v>Devin Singletary</x:v>
      </x:c>
      <x:c r="Q91" s="63" t="str">
        <x:f>IFERROR(VLOOKUP(Aggregate!$P91,ECR!C:F,2,FALSE()),"-")</x:f>
        <x:v>NYG</x:v>
      </x:c>
      <x:c r="R91" s="63" t="n">
        <x:f>IFERROR(VLOOKUP(Aggregate!$P91,ECR!C:F,4,FALSE()),"-")</x:f>
        <x:v>8</x:v>
      </x:c>
      <x:c r="S91" s="63" t="str">
        <x:f>Aggregate!$Q91 &amp; "/" &amp; Aggregate!$R91</x:f>
        <x:v>NYG/8</x:v>
      </x:c>
      <x:c r="T91" s="67" t="n">
        <x:f>IFERROR(VLOOKUP(Aggregate!$P91,RB!A:Q,13,FALSE())/17*(16-Aggregate!$AA91),0)</x:f>
        <x:v>0</x:v>
      </x:c>
      <x:c r="U91" s="67" t="n">
        <x:f>IFERROR(VLOOKUP(Aggregate!$P91,RB!A:Q,14,FALSE())/17*(16-Aggregate!$AA91),0)</x:f>
        <x:v>0</x:v>
      </x:c>
      <x:c r="V91" s="67" t="n">
        <x:f>IFERROR(VLOOKUP(Aggregate!$P91,RB!A:Q,15,FALSE())/17*(16-Aggregate!$AA91),0)</x:f>
        <x:v>0</x:v>
      </x:c>
      <x:c r="W91" s="70" t="n">
        <x:f>AVERAGE(Aggregate!$T91,Aggregate!$U91,Aggregate!$V91,VLOOKUP(Aggregate!$P91,ECR!L:N,3,FALSE))</x:f>
        <x:v>3.343764705</x:v>
      </x:c>
      <x:c r="X91" s="70" t="n">
        <x:f>Aggregate!$W91-$Q$1</x:f>
        <x:v>-126.65656442000001</x:v>
      </x:c>
      <x:c r="Y91" s="74" t="n">
        <x:f>MAX(Aggregate!$X91*Scoring!$B$48+1,1)</x:f>
        <x:v>1</x:v>
      </x:c>
      <x:c r="Z91" s="75" t="n">
        <x:f>VLOOKUP(Aggregate!$X91,BM:BO,3,FALSE)</x:f>
        <x:v>11</x:v>
      </x:c>
      <x:c r="AA91" s="77" t="n">
        <x:f t="array" ref="AA91">VLOOKUP(INDEX(ECR!$E:$E,MATCH(P91,ECR!$C:$C,0)),RISK!A:B,2,FALSE())</x:f>
        <x:v>3.368</x:v>
      </x:c>
      <x:c r="AB91" s="78"/>
      <x:c r="AC91" s="63" t="s">
        <x:v>442</x:v>
      </x:c>
      <x:c r="AD91" s="63" t="str">
        <x:f>VLOOKUP(AC91,ECR!E:L,8,FALSE())</x:f>
        <x:v>Tory Horton</x:v>
      </x:c>
      <x:c r="AE91" s="63" t="str">
        <x:f>IFERROR(VLOOKUP(Aggregate!$AD91,ECR!C:F,2,FALSE()),"-")</x:f>
        <x:v>SEA</x:v>
      </x:c>
      <x:c r="AF91" s="63" t="n">
        <x:f>IFERROR(VLOOKUP(Aggregate!$AD91,ECR!C:F,4,FALSE()),"-")</x:f>
        <x:v>11</x:v>
      </x:c>
      <x:c r="AG91" s="63" t="str">
        <x:f>Aggregate!$AE91 &amp; "/" &amp; Aggregate!$AF91</x:f>
        <x:v>SEA/11</x:v>
      </x:c>
      <x:c r="AH91" s="67" t="n">
        <x:f>IFERROR(VLOOKUP(Aggregate!$AD91,WR!A:Q,13,FALSE())/17*(16-Aggregate!$AO91),0)</x:f>
        <x:v>37.985294117647065</x:v>
      </x:c>
      <x:c r="AI91" s="67" t="n">
        <x:f>IFERROR(VLOOKUP(Aggregate!$AD91,WR!A:Q,14,FALSE())/17*(16-Aggregate!$AO91),0)</x:f>
        <x:v>59.76352941176471</x:v>
      </x:c>
      <x:c r="AJ91" s="67" t="n">
        <x:f>IFERROR(VLOOKUP(Aggregate!$AD91,WR!A:Q,15,FALSE())/17*(16-Aggregate!$AO91),0)</x:f>
        <x:v>81.10764705882353</x:v>
      </x:c>
      <x:c r="AK91" s="70" t="n">
        <x:f>AVERAGE(Aggregate!$AH91,Aggregate!$AI91,Aggregate!$AJ91,VLOOKUP(Aggregate!$AD91,ECR!L:N,3,FALSE))</x:f>
        <x:v>58.68358941205883</x:v>
      </x:c>
      <x:c r="AL91" s="70" t="n">
        <x:f>Aggregate!$AK91-$AE$1</x:f>
        <x:v>-43.51132234529411</x:v>
      </x:c>
      <x:c r="AM91" s="74" t="n">
        <x:f>MAX(Aggregate!$AL91*Scoring!$B$48+1,1)</x:f>
        <x:v>1</x:v>
      </x:c>
      <x:c r="AN91" s="75" t="n">
        <x:f>VLOOKUP(Aggregate!$AL91,BR:BT,3,FALSE)</x:f>
        <x:v>8</x:v>
      </x:c>
      <x:c r="AO91" s="77" t="n">
        <x:f t="array" ref="AO91">VLOOKUP(INDEX(ECR!$E:$E,MATCH(AD91,ECR!$C:$C,0)),RISK!A:B,2,FALSE())</x:f>
        <x:v>3.7</x:v>
      </x:c>
      <x:c r="AP91" s="78"/>
      <x:c r="AQ91" s="87" t="s">
        <x:v>443</x:v>
      </x:c>
      <x:c r="AR91" s="3"/>
      <x:c r="AS91" s="120"/>
      <x:c r="AT91" s="3"/>
      <x:c r="AU91" s="3"/>
      <x:c r="AV91" s="3"/>
      <x:c r="AW91" s="3"/>
      <x:c r="AX91" s="3"/>
      <x:c r="AY91" s="3"/>
      <x:c r="AZ91" s="3"/>
      <x:c r="BA91" s="3"/>
      <x:c r="BB91" s="120"/>
      <x:c r="BC91" s="3"/>
      <x:c r="BD91" s="3"/>
      <x:c r="BE91" s="120"/>
      <x:c r="BF91" s="78">
        <x:v>89.0</x:v>
      </x:c>
      <x:c r="BG91" s="78" t="str">
        <x:f t="shared" si="1"/>
      </x:c>
      <x:c r="BH91" s="90"/>
      <x:c r="BI91" s="90"/>
      <x:c r="BJ91" s="90"/>
      <x:c r="BK91" s="89">
        <x:v>89.0</x:v>
      </x:c>
      <x:c r="BL91" s="78">
        <x:f t="shared" si="2"/>
        <x:v>13.37505882</x:v>
      </x:c>
      <x:c r="BM91" s="90" t="n">
        <x:f>IFERROR(LARGE($X$3:$X$102,89),"")</x:f>
        <x:v>-117.7621503014706</x:v>
      </x:c>
      <x:c r="BN91" s="90">
        <x:f t="shared" si="7"/>
        <x:v>-88.87361265</x:v>
      </x:c>
      <x:c r="BO91" s="91">
        <x:f t="shared" si="8"/>
        <x:v>11</x:v>
      </x:c>
      <x:c r="BP91" s="90">
        <x:v>89.0</x:v>
      </x:c>
      <x:c r="BQ91" s="78">
        <x:f t="shared" si="3"/>
        <x:v>55.87788706</x:v>
      </x:c>
      <x:c r="BR91" s="90" t="n">
        <x:f>IFERROR(LARGE($AL$3:$AL$102,89),"")</x:f>
        <x:v>-45.58235293308824</x:v>
      </x:c>
      <x:c r="BS91" s="90">
        <x:f t="shared" si="9"/>
        <x:v>-41.70459706</x:v>
      </x:c>
      <x:c r="BT91" s="90">
        <x:f t="shared" si="10"/>
        <x:v>8</x:v>
      </x:c>
      <x:c r="BU91" s="78">
        <x:v>89.0</x:v>
      </x:c>
      <x:c r="BV91" s="78" t="str">
        <x:f t="shared" si="4"/>
      </x:c>
      <x:c r="BW91" s="90"/>
      <x:c r="BX91" s="90"/>
      <x:c r="BY91" s="90" t="n">
        <x:f t="array" ref="BY91">IFERROR(VALUE(RIGHT(INDEX(ECR!$E:$E,MATCH(P91,ECR!$C:$C,0)),LEN(INDEX(ECR!$E:$E,MATCH(P91,ECR!$C:$C,0)))-2)),"")</x:f>
        <x:v>89</x:v>
      </x:c>
      <x:c r="BZ91" s="90"/>
      <x:c r="CA91" s="90"/>
      <x:c r="CB91" s="90"/>
      <x:c r="CC91" s="90"/>
      <x:c r="CD91" s="90"/>
      <x:c r="CE91" s="90"/>
      <x:c r="CF91" s="90"/>
      <x:c r="CG91" s="90"/>
    </x:row>
    <x:row r="92" ht="14.25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120"/>
      <x:c r="M92" s="3"/>
      <x:c r="N92" s="120"/>
      <x:c r="O92" s="75" t="s">
        <x:v>444</x:v>
      </x:c>
      <x:c r="P92" s="60" t="str">
        <x:f>VLOOKUP(O92,ECR!E:L,8,FALSE())</x:f>
        <x:v>Trevor Etienne</x:v>
      </x:c>
      <x:c r="Q92" s="63" t="str">
        <x:f>IFERROR(VLOOKUP(Aggregate!$P92,ECR!C:F,2,FALSE()),"-")</x:f>
        <x:v>CAR</x:v>
      </x:c>
      <x:c r="R92" s="63" t="n">
        <x:f>IFERROR(VLOOKUP(Aggregate!$P92,ECR!C:F,4,FALSE()),"-")</x:f>
        <x:v>5</x:v>
      </x:c>
      <x:c r="S92" s="63" t="str">
        <x:f>Aggregate!$Q92 &amp; "/" &amp; Aggregate!$R92</x:f>
        <x:v>CAR/5</x:v>
      </x:c>
      <x:c r="T92" s="67" t="n">
        <x:f>IFERROR(VLOOKUP(Aggregate!$P92,RB!A:Q,13,FALSE())/17*(16-Aggregate!$AA92),0)</x:f>
        <x:v>9.228790588235293</x:v>
      </x:c>
      <x:c r="U92" s="67" t="n">
        <x:f>IFERROR(VLOOKUP(Aggregate!$P92,RB!A:Q,14,FALSE())/17*(16-Aggregate!$AA92),0)</x:f>
        <x:v>9.228790588235293</x:v>
      </x:c>
      <x:c r="V92" s="67" t="n">
        <x:f>IFERROR(VLOOKUP(Aggregate!$P92,RB!A:Q,15,FALSE())/17*(16-Aggregate!$AA92),0)</x:f>
        <x:v>9.228790588235293</x:v>
      </x:c>
      <x:c r="W92" s="70" t="n">
        <x:f>AVERAGE(Aggregate!$T92,Aggregate!$U92,Aggregate!$V92,VLOOKUP(Aggregate!$P92,ECR!L:N,3,FALSE))</x:f>
        <x:v>10.07959294117647</x:v>
      </x:c>
      <x:c r="X92" s="70" t="n">
        <x:f>Aggregate!$W92-$Q$1</x:f>
        <x:v>-119.92073618382354</x:v>
      </x:c>
      <x:c r="Y92" s="74" t="n">
        <x:f>MAX(Aggregate!$X92*Scoring!$B$48+1,1)</x:f>
        <x:v>1</x:v>
      </x:c>
      <x:c r="Z92" s="75" t="n">
        <x:f>VLOOKUP(Aggregate!$X92,BM:BO,3,FALSE)</x:f>
        <x:v>11</x:v>
      </x:c>
      <x:c r="AA92" s="77" t="n">
        <x:f t="array" ref="AA92">VLOOKUP(INDEX(ECR!$E:$E,MATCH(P92,ECR!$C:$C,0)),RISK!A:B,2,FALSE())</x:f>
        <x:v>3.368</x:v>
      </x:c>
      <x:c r="AB92" s="78"/>
      <x:c r="AC92" s="63" t="s">
        <x:v>445</x:v>
      </x:c>
      <x:c r="AD92" s="63" t="str">
        <x:f>VLOOKUP(AC92,ECR!E:L,8,FALSE())</x:f>
        <x:v>Elic Ayomanor</x:v>
      </x:c>
      <x:c r="AE92" s="63" t="str">
        <x:f>IFERROR(VLOOKUP(Aggregate!$AD92,ECR!C:F,2,FALSE()),"-")</x:f>
        <x:v>TEN</x:v>
      </x:c>
      <x:c r="AF92" s="63" t="n">
        <x:f>IFERROR(VLOOKUP(Aggregate!$AD92,ECR!C:F,4,FALSE()),"-")</x:f>
        <x:v>9</x:v>
      </x:c>
      <x:c r="AG92" s="63" t="str">
        <x:f>Aggregate!$AE92 &amp; "/" &amp; Aggregate!$AF92</x:f>
        <x:v>TEN/9</x:v>
      </x:c>
      <x:c r="AH92" s="67" t="n">
        <x:f>IFERROR(VLOOKUP(Aggregate!$AD92,WR!A:Q,13,FALSE())/17*(16-Aggregate!$AO92),0)</x:f>
        <x:v>14.007529411764706</x:v>
      </x:c>
      <x:c r="AI92" s="67" t="n">
        <x:f>IFERROR(VLOOKUP(Aggregate!$AD92,WR!A:Q,14,FALSE())/17*(16-Aggregate!$AO92),0)</x:f>
        <x:v>48.31729411764706</x:v>
      </x:c>
      <x:c r="AJ92" s="67" t="n">
        <x:f>IFERROR(VLOOKUP(Aggregate!$AD92,WR!A:Q,15,FALSE())/17*(16-Aggregate!$AO92),0)</x:f>
        <x:v>82.48235294117647</x:v>
      </x:c>
      <x:c r="AK92" s="70" t="n">
        <x:f>AVERAGE(Aggregate!$AH92,Aggregate!$AI92,Aggregate!$AJ92,VLOOKUP(Aggregate!$AD92,ECR!L:N,3,FALSE))</x:f>
        <x:v>49.98141176514706</x:v>
      </x:c>
      <x:c r="AL92" s="70" t="n">
        <x:f>Aggregate!$AK92-$AE$1</x:f>
        <x:v>-52.21349999220588</x:v>
      </x:c>
      <x:c r="AM92" s="74" t="n">
        <x:f>MAX(Aggregate!$AL92*Scoring!$B$48+1,1)</x:f>
        <x:v>1</x:v>
      </x:c>
      <x:c r="AN92" s="75" t="n">
        <x:f>VLOOKUP(Aggregate!$AL92,BR:BT,3,FALSE)</x:f>
        <x:v>8</x:v>
      </x:c>
      <x:c r="AO92" s="77" t="n">
        <x:f t="array" ref="AO92">VLOOKUP(INDEX(ECR!$E:$E,MATCH(AD92,ECR!$C:$C,0)),RISK!A:B,2,FALSE())</x:f>
        <x:v>3.7</x:v>
      </x:c>
      <x:c r="AP92" s="78"/>
      <x:c r="AQ92" s="87" t="s">
        <x:v>446</x:v>
      </x:c>
      <x:c r="AR92" s="3"/>
      <x:c r="AS92" s="120"/>
      <x:c r="AT92" s="3"/>
      <x:c r="AU92" s="3"/>
      <x:c r="AV92" s="3"/>
      <x:c r="AW92" s="3"/>
      <x:c r="AX92" s="3"/>
      <x:c r="AY92" s="3"/>
      <x:c r="AZ92" s="3"/>
      <x:c r="BA92" s="3"/>
      <x:c r="BB92" s="120"/>
      <x:c r="BC92" s="3"/>
      <x:c r="BD92" s="3"/>
      <x:c r="BE92" s="120"/>
      <x:c r="BF92" s="78">
        <x:v>90.0</x:v>
      </x:c>
      <x:c r="BG92" s="78" t="str">
        <x:f t="shared" si="1"/>
      </x:c>
      <x:c r="BH92" s="90"/>
      <x:c r="BI92" s="90"/>
      <x:c r="BJ92" s="90"/>
      <x:c r="BK92" s="89">
        <x:v>90.0</x:v>
      </x:c>
      <x:c r="BL92" s="78">
        <x:f t="shared" si="2"/>
        <x:v>12.632</x:v>
      </x:c>
      <x:c r="BM92" s="90" t="n">
        <x:f>IFERROR(LARGE($X$3:$X$102,90),"")</x:f>
        <x:v>-119.92073618382354</x:v>
      </x:c>
      <x:c r="BN92" s="90">
        <x:f t="shared" si="7"/>
        <x:v>-88.87361265</x:v>
      </x:c>
      <x:c r="BO92" s="91">
        <x:f t="shared" si="8"/>
        <x:v>11</x:v>
      </x:c>
      <x:c r="BP92" s="90">
        <x:v>90.0</x:v>
      </x:c>
      <x:c r="BQ92" s="78">
        <x:f t="shared" si="3"/>
        <x:v>55.11847059</x:v>
      </x:c>
      <x:c r="BR92" s="90" t="n">
        <x:f>IFERROR(LARGE($AL$3:$AL$102,90),"")</x:f>
        <x:v>-45.76142646367647</x:v>
      </x:c>
      <x:c r="BS92" s="90">
        <x:f t="shared" si="9"/>
        <x:v>-41.70459706</x:v>
      </x:c>
      <x:c r="BT92" s="90">
        <x:f t="shared" si="10"/>
        <x:v>8</x:v>
      </x:c>
      <x:c r="BU92" s="78">
        <x:v>90.0</x:v>
      </x:c>
      <x:c r="BV92" s="78" t="str">
        <x:f t="shared" si="4"/>
      </x:c>
      <x:c r="BW92" s="90"/>
      <x:c r="BX92" s="90"/>
      <x:c r="BY92" s="90" t="n">
        <x:f t="array" ref="BY92">IFERROR(VALUE(RIGHT(INDEX(ECR!$E:$E,MATCH(P92,ECR!$C:$C,0)),LEN(INDEX(ECR!$E:$E,MATCH(P92,ECR!$C:$C,0)))-2)),"")</x:f>
        <x:v>90</x:v>
      </x:c>
      <x:c r="BZ92" s="90"/>
      <x:c r="CA92" s="90"/>
      <x:c r="CB92" s="90"/>
      <x:c r="CC92" s="90"/>
      <x:c r="CD92" s="90"/>
      <x:c r="CE92" s="90"/>
      <x:c r="CF92" s="90"/>
      <x:c r="CG92" s="90"/>
    </x:row>
    <x:row r="93" ht="14.25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120"/>
      <x:c r="M93" s="3"/>
      <x:c r="N93" s="120"/>
      <x:c r="O93" s="75" t="s">
        <x:v>447</x:v>
      </x:c>
      <x:c r="P93" s="60" t="str">
        <x:f>VLOOKUP(O93,ECR!E:L,8,FALSE())</x:f>
        <x:v>Tahj Brooks</x:v>
      </x:c>
      <x:c r="Q93" s="63" t="str">
        <x:f>IFERROR(VLOOKUP(Aggregate!$P93,ECR!C:F,2,FALSE()),"-")</x:f>
        <x:v>CIN</x:v>
      </x:c>
      <x:c r="R93" s="63" t="n">
        <x:f>IFERROR(VLOOKUP(Aggregate!$P93,ECR!C:F,4,FALSE()),"-")</x:f>
        <x:v>6</x:v>
      </x:c>
      <x:c r="S93" s="63" t="str">
        <x:f>Aggregate!$Q93 &amp; "/" &amp; Aggregate!$R93</x:f>
        <x:v>CIN/6</x:v>
      </x:c>
      <x:c r="T93" s="67" t="n">
        <x:f>IFERROR(VLOOKUP(Aggregate!$P93,RB!A:Q,13,FALSE())/17*(16-Aggregate!$AA93),0)</x:f>
        <x:v>13.404781176470586</x:v>
      </x:c>
      <x:c r="U93" s="67" t="n">
        <x:f>IFERROR(VLOOKUP(Aggregate!$P93,RB!A:Q,14,FALSE())/17*(16-Aggregate!$AA93),0)</x:f>
        <x:v>13.404781176470586</x:v>
      </x:c>
      <x:c r="V93" s="67" t="n">
        <x:f>IFERROR(VLOOKUP(Aggregate!$P93,RB!A:Q,15,FALSE())/17*(16-Aggregate!$AA93),0)</x:f>
        <x:v>13.404781176470586</x:v>
      </x:c>
      <x:c r="W93" s="70" t="n">
        <x:f>AVERAGE(Aggregate!$T93,Aggregate!$U93,Aggregate!$V93,VLOOKUP(Aggregate!$P93,ECR!L:N,3,FALSE))</x:f>
        <x:v>12.62642705985294</x:v>
      </x:c>
      <x:c r="X93" s="70" t="n">
        <x:f>Aggregate!$W93-$Q$1</x:f>
        <x:v>-117.37390206514706</x:v>
      </x:c>
      <x:c r="Y93" s="74" t="n">
        <x:f>MAX(Aggregate!$X93*Scoring!$B$48+1,1)</x:f>
        <x:v>1</x:v>
      </x:c>
      <x:c r="Z93" s="75" t="n">
        <x:f>VLOOKUP(Aggregate!$X93,BM:BO,3,FALSE)</x:f>
        <x:v>11</x:v>
      </x:c>
      <x:c r="AA93" s="77" t="n">
        <x:f t="array" ref="AA93">VLOOKUP(INDEX(ECR!$E:$E,MATCH(P93,ECR!$C:$C,0)),RISK!A:B,2,FALSE())</x:f>
        <x:v>3.368</x:v>
      </x:c>
      <x:c r="AB93" s="78"/>
      <x:c r="AC93" s="63" t="s">
        <x:v>448</x:v>
      </x:c>
      <x:c r="AD93" s="63" t="str">
        <x:f>VLOOKUP(AC93,ECR!E:L,8,FALSE())</x:f>
        <x:v>Ja'Kobi Lane</x:v>
      </x:c>
      <x:c r="AE93" s="63" t="str">
        <x:f>IFERROR(VLOOKUP(Aggregate!$AD93,ECR!C:F,2,FALSE()),"-")</x:f>
        <x:v>BAL</x:v>
      </x:c>
      <x:c r="AF93" s="63" t="n">
        <x:f>IFERROR(VLOOKUP(Aggregate!$AD93,ECR!C:F,4,FALSE()),"-")</x:f>
        <x:v>13</x:v>
      </x:c>
      <x:c r="AG93" s="63" t="str">
        <x:f>Aggregate!$AE93 &amp; "/" &amp; Aggregate!$AF93</x:f>
        <x:v>BAL/13</x:v>
      </x:c>
      <x:c r="AH93" s="67" t="n">
        <x:f>IFERROR(VLOOKUP(Aggregate!$AD93,WR!A:Q,13,FALSE())/17*(16-Aggregate!$AO93),0)</x:f>
        <x:v>79.96128705882353</x:v>
      </x:c>
      <x:c r="AI93" s="67" t="n">
        <x:f>IFERROR(VLOOKUP(Aggregate!$AD93,WR!A:Q,14,FALSE())/17*(16-Aggregate!$AO93),0)</x:f>
        <x:v>96.79781647058823</x:v>
      </x:c>
      <x:c r="AJ93" s="67" t="n">
        <x:f>IFERROR(VLOOKUP(Aggregate!$AD93,WR!A:Q,15,FALSE())/17*(16-Aggregate!$AO93),0)</x:f>
        <x:v>114.17699294117648</x:v>
      </x:c>
      <x:c r="AK93" s="70" t="n">
        <x:f>AVERAGE(Aggregate!$AH93,Aggregate!$AI93,Aggregate!$AJ93,VLOOKUP(Aggregate!$AD93,ECR!L:N,3,FALSE))</x:f>
        <x:v>85.90949470514707</x:v>
      </x:c>
      <x:c r="AL93" s="70" t="n">
        <x:f>Aggregate!$AK93-$AE$1</x:f>
        <x:v>-16.285417052205872</x:v>
      </x:c>
      <x:c r="AM93" s="74" t="n">
        <x:f>MAX(Aggregate!$AL93*Scoring!$B$48+1,1)</x:f>
        <x:v>1</x:v>
      </x:c>
      <x:c r="AN93" s="75" t="n">
        <x:f>VLOOKUP(Aggregate!$AL93,BR:BT,3,FALSE)</x:f>
        <x:v>6</x:v>
      </x:c>
      <x:c r="AO93" s="77" t="n">
        <x:f t="array" ref="AO93">VLOOKUP(INDEX(ECR!$E:$E,MATCH(AD93,ECR!$C:$C,0)),RISK!A:B,2,FALSE())</x:f>
        <x:v>3.7</x:v>
      </x:c>
      <x:c r="AP93" s="78"/>
      <x:c r="AQ93" s="87" t="s">
        <x:v>449</x:v>
      </x:c>
      <x:c r="AR93" s="3"/>
      <x:c r="AS93" s="120"/>
      <x:c r="AT93" s="3"/>
      <x:c r="AU93" s="3"/>
      <x:c r="AV93" s="3"/>
      <x:c r="AW93" s="3"/>
      <x:c r="AX93" s="3"/>
      <x:c r="AY93" s="3"/>
      <x:c r="AZ93" s="3"/>
      <x:c r="BA93" s="3"/>
      <x:c r="BB93" s="120"/>
      <x:c r="BC93" s="3"/>
      <x:c r="BD93" s="3"/>
      <x:c r="BE93" s="120"/>
      <x:c r="BF93" s="78">
        <x:v>91.0</x:v>
      </x:c>
      <x:c r="BG93" s="78" t="str">
        <x:f t="shared" si="1"/>
      </x:c>
      <x:c r="BH93" s="90"/>
      <x:c r="BI93" s="90"/>
      <x:c r="BJ93" s="90"/>
      <x:c r="BK93" s="89">
        <x:v>91.0</x:v>
      </x:c>
      <x:c r="BL93" s="78">
        <x:f t="shared" si="2"/>
        <x:v>10.29136471</x:v>
      </x:c>
      <x:c r="BM93" s="90" t="n">
        <x:f>IFERROR(LARGE($X$3:$X$102,91),"")</x:f>
        <x:v>-120.526329125</x:v>
      </x:c>
      <x:c r="BN93" s="90">
        <x:f t="shared" si="7"/>
        <x:v>-88.87361265</x:v>
      </x:c>
      <x:c r="BO93" s="91">
        <x:f t="shared" si="8"/>
        <x:v>11</x:v>
      </x:c>
      <x:c r="BP93" s="90">
        <x:v>91.0</x:v>
      </x:c>
      <x:c r="BQ93" s="78">
        <x:f t="shared" si="3"/>
        <x:v>52.70188235</x:v>
      </x:c>
      <x:c r="BR93" s="90" t="n">
        <x:f>IFERROR(LARGE($AL$3:$AL$102,91),"")</x:f>
        <x:v>-45.895279405588234</x:v>
      </x:c>
      <x:c r="BS93" s="90">
        <x:f t="shared" si="9"/>
        <x:v>-41.70459706</x:v>
      </x:c>
      <x:c r="BT93" s="90">
        <x:f t="shared" si="10"/>
        <x:v>8</x:v>
      </x:c>
      <x:c r="BU93" s="78">
        <x:v>91.0</x:v>
      </x:c>
      <x:c r="BV93" s="78" t="str">
        <x:f t="shared" si="4"/>
      </x:c>
      <x:c r="BW93" s="90"/>
      <x:c r="BX93" s="90"/>
      <x:c r="BY93" s="90" t="n">
        <x:f t="array" ref="BY93">IFERROR(VALUE(RIGHT(INDEX(ECR!$E:$E,MATCH(P93,ECR!$C:$C,0)),LEN(INDEX(ECR!$E:$E,MATCH(P93,ECR!$C:$C,0)))-2)),"")</x:f>
        <x:v>91</x:v>
      </x:c>
      <x:c r="BZ93" s="90"/>
      <x:c r="CA93" s="90"/>
      <x:c r="CB93" s="90"/>
      <x:c r="CC93" s="90"/>
      <x:c r="CD93" s="90"/>
      <x:c r="CE93" s="90"/>
      <x:c r="CF93" s="90"/>
      <x:c r="CG93" s="90"/>
    </x:row>
    <x:row r="94" ht="14.25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120"/>
      <x:c r="M94" s="3"/>
      <x:c r="N94" s="120"/>
      <x:c r="O94" s="75" t="s">
        <x:v>450</x:v>
      </x:c>
      <x:c r="P94" s="60" t="str">
        <x:f>VLOOKUP(O94,ECR!E:L,8,FALSE())</x:f>
        <x:v>Kaleb Johnson</x:v>
      </x:c>
      <x:c r="Q94" s="63" t="str">
        <x:f>IFERROR(VLOOKUP(Aggregate!$P94,ECR!C:F,2,FALSE()),"-")</x:f>
        <x:v>PIT</x:v>
      </x:c>
      <x:c r="R94" s="63" t="n">
        <x:f>IFERROR(VLOOKUP(Aggregate!$P94,ECR!C:F,4,FALSE()),"-")</x:f>
        <x:v>9</x:v>
      </x:c>
      <x:c r="S94" s="63" t="str">
        <x:f>Aggregate!$Q94 &amp; "/" &amp; Aggregate!$R94</x:f>
        <x:v>PIT/9</x:v>
      </x:c>
      <x:c r="T94" s="67" t="n">
        <x:f>IFERROR(VLOOKUP(Aggregate!$P94,RB!A:Q,13,FALSE())/17*(16-Aggregate!$AA94),0)</x:f>
        <x:v>3.559251764705882</x:v>
      </x:c>
      <x:c r="U94" s="67" t="n">
        <x:f>IFERROR(VLOOKUP(Aggregate!$P94,RB!A:Q,14,FALSE())/17*(16-Aggregate!$AA94),0)</x:f>
        <x:v>3.559251764705882</x:v>
      </x:c>
      <x:c r="V94" s="67" t="n">
        <x:f>IFERROR(VLOOKUP(Aggregate!$P94,RB!A:Q,15,FALSE())/17*(16-Aggregate!$AA94),0)</x:f>
        <x:v>3.559251764705882</x:v>
      </x:c>
      <x:c r="W94" s="70" t="n">
        <x:f>AVERAGE(Aggregate!$T94,Aggregate!$U94,Aggregate!$V94,VLOOKUP(Aggregate!$P94,ECR!L:N,3,FALSE))</x:f>
        <x:v>4.976636470529412</x:v>
      </x:c>
      <x:c r="X94" s="70" t="n">
        <x:f>Aggregate!$W94-$Q$1</x:f>
        <x:v>-125.0236926544706</x:v>
      </x:c>
      <x:c r="Y94" s="74" t="n">
        <x:f>MAX(Aggregate!$X94*Scoring!$B$48+1,1)</x:f>
        <x:v>1</x:v>
      </x:c>
      <x:c r="Z94" s="75" t="n">
        <x:f>VLOOKUP(Aggregate!$X94,BM:BO,3,FALSE)</x:f>
        <x:v>11</x:v>
      </x:c>
      <x:c r="AA94" s="77" t="n">
        <x:f t="array" ref="AA94">VLOOKUP(INDEX(ECR!$E:$E,MATCH(P94,ECR!$C:$C,0)),RISK!A:B,2,FALSE())</x:f>
        <x:v>3.368</x:v>
      </x:c>
      <x:c r="AB94" s="78"/>
      <x:c r="AC94" s="63" t="s">
        <x:v>451</x:v>
      </x:c>
      <x:c r="AD94" s="63" t="str">
        <x:f>VLOOKUP(AC94,ECR!E:L,8,FALSE())</x:f>
        <x:v>Ted Hurst III</x:v>
      </x:c>
      <x:c r="AE94" s="63" t="str">
        <x:f>IFERROR(VLOOKUP(Aggregate!$AD94,ECR!C:F,2,FALSE()),"-")</x:f>
        <x:v>TB</x:v>
      </x:c>
      <x:c r="AF94" s="63" t="n">
        <x:f>IFERROR(VLOOKUP(Aggregate!$AD94,ECR!C:F,4,FALSE()),"-")</x:f>
        <x:v>10</x:v>
      </x:c>
      <x:c r="AG94" s="63" t="str">
        <x:f>Aggregate!$AE94 &amp; "/" &amp; Aggregate!$AF94</x:f>
        <x:v>TB/10</x:v>
      </x:c>
      <x:c r="AH94" s="67" t="n">
        <x:f>IFERROR(VLOOKUP(Aggregate!$AD94,WR!A:Q,13,FALSE())/17*(16-Aggregate!$AO94),0)</x:f>
        <x:v>64.69279058823531</x:v>
      </x:c>
      <x:c r="AI94" s="67" t="n">
        <x:f>IFERROR(VLOOKUP(Aggregate!$AD94,WR!A:Q,14,FALSE())/17*(16-Aggregate!$AO94),0)</x:f>
        <x:v>77.00726117647059</x:v>
      </x:c>
      <x:c r="AJ94" s="67" t="n">
        <x:f>IFERROR(VLOOKUP(Aggregate!$AD94,WR!A:Q,15,FALSE())/17*(16-Aggregate!$AO94),0)</x:f>
        <x:v>88.88037882352941</x:v>
      </x:c>
      <x:c r="AK94" s="70" t="n">
        <x:f>AVERAGE(Aggregate!$AH94,Aggregate!$AI94,Aggregate!$AJ94,VLOOKUP(Aggregate!$AD94,ECR!L:N,3,FALSE))</x:f>
        <x:v>70.75907823455883</x:v>
      </x:c>
      <x:c r="AL94" s="70" t="n">
        <x:f>Aggregate!$AK94-$AE$1</x:f>
        <x:v>-31.435833522794113</x:v>
      </x:c>
      <x:c r="AM94" s="74" t="n">
        <x:f>MAX(Aggregate!$AL94*Scoring!$B$48+1,1)</x:f>
        <x:v>1</x:v>
      </x:c>
      <x:c r="AN94" s="75" t="n">
        <x:f>VLOOKUP(Aggregate!$AL94,BR:BT,3,FALSE)</x:f>
        <x:v>7</x:v>
      </x:c>
      <x:c r="AO94" s="77" t="n">
        <x:f t="array" ref="AO94">VLOOKUP(INDEX(ECR!$E:$E,MATCH(AD94,ECR!$C:$C,0)),RISK!A:B,2,FALSE())</x:f>
        <x:v>3.7</x:v>
      </x:c>
      <x:c r="AP94" s="78"/>
      <x:c r="AQ94" s="87" t="s">
        <x:v>452</x:v>
      </x:c>
      <x:c r="AR94" s="3"/>
      <x:c r="AS94" s="120"/>
      <x:c r="AT94" s="3"/>
      <x:c r="AU94" s="3"/>
      <x:c r="AV94" s="3"/>
      <x:c r="AW94" s="3"/>
      <x:c r="AX94" s="3"/>
      <x:c r="AY94" s="3"/>
      <x:c r="AZ94" s="3"/>
      <x:c r="BA94" s="3"/>
      <x:c r="BB94" s="120"/>
      <x:c r="BC94" s="3"/>
      <x:c r="BD94" s="3"/>
      <x:c r="BE94" s="120"/>
      <x:c r="BF94" s="78">
        <x:v>92.0</x:v>
      </x:c>
      <x:c r="BG94" s="78" t="str">
        <x:f t="shared" si="1"/>
      </x:c>
      <x:c r="BH94" s="90"/>
      <x:c r="BI94" s="90"/>
      <x:c r="BJ94" s="90"/>
      <x:c r="BK94" s="89">
        <x:v>92.0</x:v>
      </x:c>
      <x:c r="BL94" s="78">
        <x:f t="shared" si="2"/>
        <x:v>9.228790588</x:v>
      </x:c>
      <x:c r="BM94" s="90" t="n">
        <x:f>IFERROR(LARGE($X$3:$X$102,92),"")</x:f>
        <x:v>-121.39199265433824</x:v>
      </x:c>
      <x:c r="BN94" s="90">
        <x:f t="shared" si="7"/>
        <x:v>-88.87361265</x:v>
      </x:c>
      <x:c r="BO94" s="91">
        <x:f t="shared" si="8"/>
        <x:v>11</x:v>
      </x:c>
      <x:c r="BP94" s="90">
        <x:v>92.0</x:v>
      </x:c>
      <x:c r="BQ94" s="78">
        <x:f t="shared" si="3"/>
        <x:v>52.45588235</x:v>
      </x:c>
      <x:c r="BR94" s="90" t="n">
        <x:f>IFERROR(LARGE($AL$3:$AL$102,92),"")</x:f>
        <x:v>-50.19434646338235</x:v>
      </x:c>
      <x:c r="BS94" s="90">
        <x:f t="shared" si="9"/>
        <x:v>-41.70459706</x:v>
      </x:c>
      <x:c r="BT94" s="90">
        <x:f t="shared" si="10"/>
        <x:v>8</x:v>
      </x:c>
      <x:c r="BU94" s="78">
        <x:v>92.0</x:v>
      </x:c>
      <x:c r="BV94" s="78" t="str">
        <x:f t="shared" si="4"/>
      </x:c>
      <x:c r="BW94" s="90"/>
      <x:c r="BX94" s="90"/>
      <x:c r="BY94" s="90" t="n">
        <x:f t="array" ref="BY94">IFERROR(VALUE(RIGHT(INDEX(ECR!$E:$E,MATCH(P94,ECR!$C:$C,0)),LEN(INDEX(ECR!$E:$E,MATCH(P94,ECR!$C:$C,0)))-2)),"")</x:f>
        <x:v>92</x:v>
      </x:c>
      <x:c r="BZ94" s="90"/>
      <x:c r="CA94" s="90"/>
      <x:c r="CB94" s="90"/>
      <x:c r="CC94" s="90"/>
      <x:c r="CD94" s="90"/>
      <x:c r="CE94" s="90"/>
      <x:c r="CF94" s="90"/>
      <x:c r="CG94" s="90"/>
    </x:row>
    <x:row r="95" ht="14.25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120"/>
      <x:c r="M95" s="3"/>
      <x:c r="N95" s="120"/>
      <x:c r="O95" s="75" t="s">
        <x:v>453</x:v>
      </x:c>
      <x:c r="P95" s="60" t="str">
        <x:f>VLOOKUP(O95,ECR!E:L,8,FALSE())</x:f>
        <x:v>Isaac Guerendo</x:v>
      </x:c>
      <x:c r="Q95" s="63" t="str">
        <x:f>IFERROR(VLOOKUP(Aggregate!$P95,ECR!C:F,2,FALSE()),"-")</x:f>
        <x:v>SF</x:v>
      </x:c>
      <x:c r="R95" s="63" t="n">
        <x:f>IFERROR(VLOOKUP(Aggregate!$P95,ECR!C:F,4,FALSE()),"-")</x:f>
        <x:v>8</x:v>
      </x:c>
      <x:c r="S95" s="63" t="str">
        <x:f>Aggregate!$Q95 &amp; "/" &amp; Aggregate!$R95</x:f>
        <x:v>SF/8</x:v>
      </x:c>
      <x:c r="T95" s="67" t="n">
        <x:f>IFERROR(VLOOKUP(Aggregate!$P95,RB!A:Q,13,FALSE())/17*(16-Aggregate!$AA95),0)</x:f>
        <x:v>0</x:v>
      </x:c>
      <x:c r="U95" s="67" t="n">
        <x:f>IFERROR(VLOOKUP(Aggregate!$P95,RB!A:Q,14,FALSE())/17*(16-Aggregate!$AA95),0)</x:f>
        <x:v>10.291364705882353</x:v>
      </x:c>
      <x:c r="V95" s="67" t="n">
        <x:f>IFERROR(VLOOKUP(Aggregate!$P95,RB!A:Q,15,FALSE())/17*(16-Aggregate!$AA95),0)</x:f>
        <x:v>20.582729411764706</x:v>
      </x:c>
      <x:c r="W95" s="70" t="n">
        <x:f>AVERAGE(Aggregate!$T95,Aggregate!$U95,Aggregate!$V95,VLOOKUP(Aggregate!$P95,ECR!L:N,3,FALSE))</x:f>
        <x:v>8.608336470661765</x:v>
      </x:c>
      <x:c r="X95" s="70" t="n">
        <x:f>Aggregate!$W95-$Q$1</x:f>
        <x:v>-121.39199265433824</x:v>
      </x:c>
      <x:c r="Y95" s="74" t="n">
        <x:f>MAX(Aggregate!$X95*Scoring!$B$48+1,1)</x:f>
        <x:v>1</x:v>
      </x:c>
      <x:c r="Z95" s="75" t="n">
        <x:f>VLOOKUP(Aggregate!$X95,BM:BO,3,FALSE)</x:f>
        <x:v>11</x:v>
      </x:c>
      <x:c r="AA95" s="77" t="n">
        <x:f t="array" ref="AA95">VLOOKUP(INDEX(ECR!$E:$E,MATCH(P95,ECR!$C:$C,0)),RISK!A:B,2,FALSE())</x:f>
        <x:v>3.368</x:v>
      </x:c>
      <x:c r="AB95" s="78"/>
      <x:c r="AC95" s="63" t="s">
        <x:v>454</x:v>
      </x:c>
      <x:c r="AD95" s="63" t="str">
        <x:f>VLOOKUP(AC95,ECR!E:L,8,FALSE())</x:f>
        <x:v>Chimere Dike</x:v>
      </x:c>
      <x:c r="AE95" s="63" t="str">
        <x:f>IFERROR(VLOOKUP(Aggregate!$AD95,ECR!C:F,2,FALSE()),"-")</x:f>
        <x:v>TEN</x:v>
      </x:c>
      <x:c r="AF95" s="63" t="n">
        <x:f>IFERROR(VLOOKUP(Aggregate!$AD95,ECR!C:F,4,FALSE()),"-")</x:f>
        <x:v>9</x:v>
      </x:c>
      <x:c r="AG95" s="63" t="str">
        <x:f>Aggregate!$AE95 &amp; "/" &amp; Aggregate!$AF95</x:f>
        <x:v>TEN/9</x:v>
      </x:c>
      <x:c r="AH95" s="67" t="n">
        <x:f>IFERROR(VLOOKUP(Aggregate!$AD95,WR!A:Q,13,FALSE())/17*(16-Aggregate!$AO95),0)</x:f>
        <x:v>15.208588235294117</x:v>
      </x:c>
      <x:c r="AI95" s="67" t="n">
        <x:f>IFERROR(VLOOKUP(Aggregate!$AD95,WR!A:Q,14,FALSE())/17*(16-Aggregate!$AO95),0)</x:f>
        <x:v>47.34052941176471</x:v>
      </x:c>
      <x:c r="AJ95" s="67" t="n">
        <x:f>IFERROR(VLOOKUP(Aggregate!$AD95,WR!A:Q,15,FALSE())/17*(16-Aggregate!$AO95),0)</x:f>
        <x:v>79.46523529411766</x:v>
      </x:c>
      <x:c r="AK95" s="70" t="n">
        <x:f>AVERAGE(Aggregate!$AH95,Aggregate!$AI95,Aggregate!$AJ95,VLOOKUP(Aggregate!$AD95,ECR!L:N,3,FALSE))</x:f>
        <x:v>48.606705882794124</x:v>
      </x:c>
      <x:c r="AL95" s="70" t="n">
        <x:f>Aggregate!$AK95-$AE$1</x:f>
        <x:v>-53.58820587455882</x:v>
      </x:c>
      <x:c r="AM95" s="74" t="n">
        <x:f>MAX(Aggregate!$AL95*Scoring!$B$48+1,1)</x:f>
        <x:v>1</x:v>
      </x:c>
      <x:c r="AN95" s="75" t="n">
        <x:f>VLOOKUP(Aggregate!$AL95,BR:BT,3,FALSE)</x:f>
        <x:v>8</x:v>
      </x:c>
      <x:c r="AO95" s="77" t="n">
        <x:f t="array" ref="AO95">VLOOKUP(INDEX(ECR!$E:$E,MATCH(AD95,ECR!$C:$C,0)),RISK!A:B,2,FALSE())</x:f>
        <x:v>3.7</x:v>
      </x:c>
      <x:c r="AP95" s="78"/>
      <x:c r="AQ95" s="87" t="s">
        <x:v>455</x:v>
      </x:c>
      <x:c r="AR95" s="3"/>
      <x:c r="AS95" s="120"/>
      <x:c r="AT95" s="3"/>
      <x:c r="AU95" s="3"/>
      <x:c r="AV95" s="3"/>
      <x:c r="AW95" s="3"/>
      <x:c r="AX95" s="3"/>
      <x:c r="AY95" s="3"/>
      <x:c r="AZ95" s="3"/>
      <x:c r="BA95" s="3"/>
      <x:c r="BB95" s="120"/>
      <x:c r="BC95" s="3"/>
      <x:c r="BD95" s="3"/>
      <x:c r="BE95" s="120"/>
      <x:c r="BF95" s="78">
        <x:v>93.0</x:v>
      </x:c>
      <x:c r="BG95" s="78" t="str">
        <x:f t="shared" si="1"/>
      </x:c>
      <x:c r="BH95" s="90"/>
      <x:c r="BI95" s="90"/>
      <x:c r="BJ95" s="90"/>
      <x:c r="BK95" s="89">
        <x:v>93.0</x:v>
      </x:c>
      <x:c r="BL95" s="78">
        <x:f t="shared" si="2"/>
        <x:v>3.559251765</x:v>
      </x:c>
      <x:c r="BM95" s="90" t="n">
        <x:f>IFERROR(LARGE($X$3:$X$102,93),"")</x:f>
        <x:v>-125.0236926544706</x:v>
      </x:c>
      <x:c r="BN95" s="90">
        <x:f t="shared" si="7"/>
        <x:v>-88.87361265</x:v>
      </x:c>
      <x:c r="BO95" s="91">
        <x:f t="shared" si="8"/>
        <x:v>11</x:v>
      </x:c>
      <x:c r="BP95" s="90">
        <x:v>93.0</x:v>
      </x:c>
      <x:c r="BQ95" s="78">
        <x:f t="shared" si="3"/>
        <x:v>52.41247059</x:v>
      </x:c>
      <x:c r="BR95" s="90" t="n">
        <x:f>IFERROR(LARGE($AL$3:$AL$102,93),"")</x:f>
        <x:v>-50.31966175617647</x:v>
      </x:c>
      <x:c r="BS95" s="90">
        <x:f t="shared" si="9"/>
        <x:v>-41.70459706</x:v>
      </x:c>
      <x:c r="BT95" s="90">
        <x:f t="shared" si="10"/>
        <x:v>8</x:v>
      </x:c>
      <x:c r="BU95" s="78">
        <x:v>93.0</x:v>
      </x:c>
      <x:c r="BV95" s="78" t="str">
        <x:f t="shared" si="4"/>
      </x:c>
      <x:c r="BW95" s="90"/>
      <x:c r="BX95" s="90"/>
      <x:c r="BY95" s="90" t="n">
        <x:f t="array" ref="BY95">IFERROR(VALUE(RIGHT(INDEX(ECR!$E:$E,MATCH(P95,ECR!$C:$C,0)),LEN(INDEX(ECR!$E:$E,MATCH(P95,ECR!$C:$C,0)))-2)),"")</x:f>
        <x:v>93</x:v>
      </x:c>
      <x:c r="BZ95" s="90"/>
      <x:c r="CA95" s="90"/>
      <x:c r="CB95" s="90"/>
      <x:c r="CC95" s="90"/>
      <x:c r="CD95" s="90"/>
      <x:c r="CE95" s="90"/>
      <x:c r="CF95" s="90"/>
      <x:c r="CG95" s="90"/>
    </x:row>
    <x:row r="96" ht="14.25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120"/>
      <x:c r="M96" s="3"/>
      <x:c r="N96" s="120"/>
      <x:c r="O96" s="75" t="s">
        <x:v>456</x:v>
      </x:c>
      <x:c r="P96" s="60" t="str">
        <x:f>VLOOKUP(O96,ECR!E:L,8,FALSE())</x:f>
        <x:v>Jerome Ford</x:v>
      </x:c>
      <x:c r="Q96" s="63" t="str">
        <x:f>IFERROR(VLOOKUP(Aggregate!$P96,ECR!C:F,2,FALSE()),"-")</x:f>
        <x:v>WAS</x:v>
      </x:c>
      <x:c r="R96" s="63" t="n">
        <x:f>IFERROR(VLOOKUP(Aggregate!$P96,ECR!C:F,4,FALSE()),"-")</x:f>
        <x:v>7</x:v>
      </x:c>
      <x:c r="S96" s="63" t="str">
        <x:f>Aggregate!$Q96 &amp; "/" &amp; Aggregate!$R96</x:f>
        <x:v>WAS/7</x:v>
      </x:c>
      <x:c r="T96" s="67" t="n">
        <x:f>IFERROR(VLOOKUP(Aggregate!$P96,RB!A:Q,13,FALSE())/17*(16-Aggregate!$AA96),0)</x:f>
        <x:v>0</x:v>
      </x:c>
      <x:c r="U96" s="67" t="n">
        <x:f>IFERROR(VLOOKUP(Aggregate!$P96,RB!A:Q,14,FALSE())/17*(16-Aggregate!$AA96),0)</x:f>
        <x:v>12.632</x:v>
      </x:c>
      <x:c r="V96" s="67" t="n">
        <x:f>IFERROR(VLOOKUP(Aggregate!$P96,RB!A:Q,15,FALSE())/17*(16-Aggregate!$AA96),0)</x:f>
        <x:v>25.264</x:v>
      </x:c>
      <x:c r="W96" s="70" t="n">
        <x:f>AVERAGE(Aggregate!$T96,Aggregate!$U96,Aggregate!$V96,VLOOKUP(Aggregate!$P96,ECR!L:N,3,FALSE))</x:f>
        <x:v>9.474</x:v>
      </x:c>
      <x:c r="X96" s="70" t="n">
        <x:f>Aggregate!$W96-$Q$1</x:f>
        <x:v>-120.526329125</x:v>
      </x:c>
      <x:c r="Y96" s="74" t="n">
        <x:f>MAX(Aggregate!$X96*Scoring!$B$48+1,1)</x:f>
        <x:v>1</x:v>
      </x:c>
      <x:c r="Z96" s="75" t="n">
        <x:f>VLOOKUP(Aggregate!$X96,BM:BO,3,FALSE)</x:f>
        <x:v>11</x:v>
      </x:c>
      <x:c r="AA96" s="77" t="n">
        <x:f t="array" ref="AA96">VLOOKUP(INDEX(ECR!$E:$E,MATCH(P96,ECR!$C:$C,0)),RISK!A:B,2,FALSE())</x:f>
        <x:v>3.368</x:v>
      </x:c>
      <x:c r="AB96" s="78"/>
      <x:c r="AC96" s="63" t="s">
        <x:v>457</x:v>
      </x:c>
      <x:c r="AD96" s="63" t="str">
        <x:f>VLOOKUP(AC96,ECR!E:L,8,FALSE())</x:f>
        <x:v>Tyquan Thornton</x:v>
      </x:c>
      <x:c r="AE96" s="63" t="str">
        <x:f>IFERROR(VLOOKUP(Aggregate!$AD96,ECR!C:F,2,FALSE()),"-")</x:f>
        <x:v>KC</x:v>
      </x:c>
      <x:c r="AF96" s="63" t="n">
        <x:f>IFERROR(VLOOKUP(Aggregate!$AD96,ECR!C:F,4,FALSE()),"-")</x:f>
        <x:v>5</x:v>
      </x:c>
      <x:c r="AG96" s="63" t="str">
        <x:f>Aggregate!$AE96 &amp; "/" &amp; Aggregate!$AF96</x:f>
        <x:v>KC/5</x:v>
      </x:c>
      <x:c r="AH96" s="67" t="n">
        <x:f>IFERROR(VLOOKUP(Aggregate!$AD96,WR!A:Q,13,FALSE())/17*(16-Aggregate!$AO96),0)</x:f>
        <x:v>47.34052941176471</x:v>
      </x:c>
      <x:c r="AI96" s="67" t="n">
        <x:f>IFERROR(VLOOKUP(Aggregate!$AD96,WR!A:Q,14,FALSE())/17*(16-Aggregate!$AO96),0)</x:f>
        <x:v>58.03429411764706</x:v>
      </x:c>
      <x:c r="AJ96" s="67" t="n">
        <x:f>IFERROR(VLOOKUP(Aggregate!$AD96,WR!A:Q,15,FALSE())/17*(16-Aggregate!$AO96),0)</x:f>
        <x:v>68.73529411764706</x:v>
      </x:c>
      <x:c r="AK96" s="70" t="n">
        <x:f>AVERAGE(Aggregate!$AH96,Aggregate!$AI96,Aggregate!$AJ96,VLOOKUP(Aggregate!$AD96,ECR!L:N,3,FALSE))</x:f>
        <x:v>56.6125588242647</x:v>
      </x:c>
      <x:c r="AL96" s="70" t="n">
        <x:f>Aggregate!$AK96-$AE$1</x:f>
        <x:v>-45.58235293308824</x:v>
      </x:c>
      <x:c r="AM96" s="74" t="n">
        <x:f>MAX(Aggregate!$AL96*Scoring!$B$48+1,1)</x:f>
        <x:v>1</x:v>
      </x:c>
      <x:c r="AN96" s="75" t="n">
        <x:f>VLOOKUP(Aggregate!$AL96,BR:BT,3,FALSE)</x:f>
        <x:v>8</x:v>
      </x:c>
      <x:c r="AO96" s="77" t="n">
        <x:f t="array" ref="AO96">VLOOKUP(INDEX(ECR!$E:$E,MATCH(AD96,ECR!$C:$C,0)),RISK!A:B,2,FALSE())</x:f>
        <x:v>3.7</x:v>
      </x:c>
      <x:c r="AP96" s="78"/>
      <x:c r="AQ96" s="87" t="s">
        <x:v>458</x:v>
      </x:c>
      <x:c r="AR96" s="3"/>
      <x:c r="AS96" s="120"/>
      <x:c r="AT96" s="3"/>
      <x:c r="AU96" s="3"/>
      <x:c r="AV96" s="3"/>
      <x:c r="AW96" s="3"/>
      <x:c r="AX96" s="3"/>
      <x:c r="AY96" s="3"/>
      <x:c r="AZ96" s="3"/>
      <x:c r="BA96" s="3"/>
      <x:c r="BB96" s="120"/>
      <x:c r="BC96" s="3"/>
      <x:c r="BD96" s="3"/>
      <x:c r="BE96" s="120"/>
      <x:c r="BF96" s="78">
        <x:v>94.0</x:v>
      </x:c>
      <x:c r="BG96" s="78" t="str">
        <x:f t="shared" si="1"/>
      </x:c>
      <x:c r="BH96" s="90"/>
      <x:c r="BI96" s="90"/>
      <x:c r="BJ96" s="90"/>
      <x:c r="BK96" s="89">
        <x:v>94.0</x:v>
      </x:c>
      <x:c r="BL96" s="78">
        <x:f t="shared" si="2"/>
        <x:v>0</x:v>
      </x:c>
      <x:c r="BM96" s="90" t="n">
        <x:f>IFERROR(LARGE($X$3:$X$102,94),"")</x:f>
        <x:v>-126.64913383000001</x:v>
      </x:c>
      <x:c r="BN96" s="90">
        <x:f t="shared" si="7"/>
        <x:v>-88.87361265</x:v>
      </x:c>
      <x:c r="BO96" s="91">
        <x:f t="shared" si="8"/>
        <x:v>11</x:v>
      </x:c>
      <x:c r="BP96" s="90">
        <x:v>94.0</x:v>
      </x:c>
      <x:c r="BQ96" s="78">
        <x:f t="shared" si="3"/>
        <x:v>52.34011765</x:v>
      </x:c>
      <x:c r="BR96" s="90" t="n">
        <x:f>IFERROR(LARGE($AL$3:$AL$102,94),"")</x:f>
        <x:v>-50.6653641107353</x:v>
      </x:c>
      <x:c r="BS96" s="90">
        <x:f t="shared" si="9"/>
        <x:v>-41.70459706</x:v>
      </x:c>
      <x:c r="BT96" s="90">
        <x:f t="shared" si="10"/>
        <x:v>8</x:v>
      </x:c>
      <x:c r="BU96" s="78">
        <x:v>94.0</x:v>
      </x:c>
      <x:c r="BV96" s="78" t="str">
        <x:f t="shared" si="4"/>
      </x:c>
      <x:c r="BW96" s="90"/>
      <x:c r="BX96" s="90"/>
      <x:c r="BY96" s="90" t="n">
        <x:f t="array" ref="BY96">IFERROR(VALUE(RIGHT(INDEX(ECR!$E:$E,MATCH(P96,ECR!$C:$C,0)),LEN(INDEX(ECR!$E:$E,MATCH(P96,ECR!$C:$C,0)))-2)),"")</x:f>
        <x:v>94</x:v>
      </x:c>
      <x:c r="BZ96" s="90"/>
      <x:c r="CA96" s="90"/>
      <x:c r="CB96" s="90"/>
      <x:c r="CC96" s="90"/>
      <x:c r="CD96" s="90"/>
      <x:c r="CE96" s="90"/>
      <x:c r="CF96" s="90"/>
      <x:c r="CG96" s="90"/>
    </x:row>
    <x:row r="97" ht="14.25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120"/>
      <x:c r="M97" s="3"/>
      <x:c r="N97" s="120"/>
      <x:c r="O97" s="75" t="s">
        <x:v>459</x:v>
      </x:c>
      <x:c r="P97" s="60" t="str">
        <x:f>VLOOKUP(O97,ECR!E:L,8,FALSE())</x:f>
        <x:v>Jarquez Hunter</x:v>
      </x:c>
      <x:c r="Q97" s="63" t="str">
        <x:f>IFERROR(VLOOKUP(Aggregate!$P97,ECR!C:F,2,FALSE()),"-")</x:f>
        <x:v>LAR</x:v>
      </x:c>
      <x:c r="R97" s="63" t="n">
        <x:f>IFERROR(VLOOKUP(Aggregate!$P97,ECR!C:F,4,FALSE()),"-")</x:f>
        <x:v>11</x:v>
      </x:c>
      <x:c r="S97" s="63" t="str">
        <x:f>Aggregate!$Q97 &amp; "/" &amp; Aggregate!$R97</x:f>
        <x:v>LAR/11</x:v>
      </x:c>
      <x:c r="T97" s="67" t="n">
        <x:f>IFERROR(VLOOKUP(Aggregate!$P97,RB!A:Q,13,FALSE())/17*(16-Aggregate!$AA97),0)</x:f>
        <x:v>0</x:v>
      </x:c>
      <x:c r="U97" s="67" t="n">
        <x:f>IFERROR(VLOOKUP(Aggregate!$P97,RB!A:Q,14,FALSE())/17*(16-Aggregate!$AA97),0)</x:f>
        <x:v>0</x:v>
      </x:c>
      <x:c r="V97" s="67" t="n">
        <x:f>IFERROR(VLOOKUP(Aggregate!$P97,RB!A:Q,15,FALSE())/17*(16-Aggregate!$AA97),0)</x:f>
        <x:v>0</x:v>
      </x:c>
      <x:c r="W97" s="70" t="n">
        <x:f>AVERAGE(Aggregate!$T97,Aggregate!$U97,Aggregate!$V97,VLOOKUP(Aggregate!$P97,ECR!L:N,3,FALSE))</x:f>
        <x:v>0</x:v>
      </x:c>
      <x:c r="X97" s="70" t="n">
        <x:f>Aggregate!$W97-$Q$1</x:f>
        <x:v>-130.000329125</x:v>
      </x:c>
      <x:c r="Y97" s="74" t="n">
        <x:f>MAX(Aggregate!$X97*Scoring!$B$48+1,1)</x:f>
        <x:v>1</x:v>
      </x:c>
      <x:c r="Z97" s="75" t="n">
        <x:f>VLOOKUP(Aggregate!$X97,BM:BO,3,FALSE)</x:f>
        <x:v>11</x:v>
      </x:c>
      <x:c r="AA97" s="77" t="n">
        <x:f t="array" ref="AA97">VLOOKUP(INDEX(ECR!$E:$E,MATCH(P97,ECR!$C:$C,0)),RISK!A:B,2,FALSE())</x:f>
        <x:v>3.368</x:v>
      </x:c>
      <x:c r="AB97" s="78"/>
      <x:c r="AC97" s="63" t="s">
        <x:v>460</x:v>
      </x:c>
      <x:c r="AD97" s="63" t="str">
        <x:f>VLOOKUP(AC97,ECR!E:L,8,FALSE())</x:f>
        <x:v>Chris Bell</x:v>
      </x:c>
      <x:c r="AE97" s="63" t="str">
        <x:f>IFERROR(VLOOKUP(Aggregate!$AD97,ECR!C:F,2,FALSE()),"-")</x:f>
        <x:v>MIA</x:v>
      </x:c>
      <x:c r="AF97" s="63" t="n">
        <x:f>IFERROR(VLOOKUP(Aggregate!$AD97,ECR!C:F,4,FALSE()),"-")</x:f>
        <x:v>6</x:v>
      </x:c>
      <x:c r="AG97" s="63" t="str">
        <x:f>Aggregate!$AE97 &amp; "/" &amp; Aggregate!$AF97</x:f>
        <x:v>MIA/6</x:v>
      </x:c>
      <x:c r="AH97" s="67" t="n">
        <x:f>IFERROR(VLOOKUP(Aggregate!$AD97,WR!A:Q,13,FALSE())/17*(16-Aggregate!$AO97),0)</x:f>
        <x:v>60.46737882352942</x:v>
      </x:c>
      <x:c r="AI97" s="67" t="n">
        <x:f>IFERROR(VLOOKUP(Aggregate!$AD97,WR!A:Q,14,FALSE())/17*(16-Aggregate!$AO97),0)</x:f>
        <x:v>81.56549647058824</x:v>
      </x:c>
      <x:c r="AJ97" s="67" t="n">
        <x:f>IFERROR(VLOOKUP(Aggregate!$AD97,WR!A:Q,15,FALSE())/17*(16-Aggregate!$AO97),0)</x:f>
        <x:v>102.66361411764706</x:v>
      </x:c>
      <x:c r="AK97" s="70" t="n">
        <x:f>AVERAGE(Aggregate!$AH97,Aggregate!$AI97,Aggregate!$AJ97,VLOOKUP(Aggregate!$AD97,ECR!L:N,3,FALSE))</x:f>
        <x:v>73.25344588294118</x:v>
      </x:c>
      <x:c r="AL97" s="70" t="n">
        <x:f>Aggregate!$AK97-$AE$1</x:f>
        <x:v>-28.94146587441176</x:v>
      </x:c>
      <x:c r="AM97" s="74" t="n">
        <x:f>MAX(Aggregate!$AL97*Scoring!$B$48+1,1)</x:f>
        <x:v>1</x:v>
      </x:c>
      <x:c r="AN97" s="75" t="n">
        <x:f>VLOOKUP(Aggregate!$AL97,BR:BT,3,FALSE)</x:f>
        <x:v>7</x:v>
      </x:c>
      <x:c r="AO97" s="77" t="n">
        <x:f t="array" ref="AO97">VLOOKUP(INDEX(ECR!$E:$E,MATCH(AD97,ECR!$C:$C,0)),RISK!A:B,2,FALSE())</x:f>
        <x:v>3.7</x:v>
      </x:c>
      <x:c r="AP97" s="78"/>
      <x:c r="AQ97" s="87" t="s">
        <x:v>461</x:v>
      </x:c>
      <x:c r="AR97" s="3"/>
      <x:c r="AS97" s="120"/>
      <x:c r="AT97" s="3"/>
      <x:c r="AU97" s="3"/>
      <x:c r="AV97" s="3"/>
      <x:c r="AW97" s="3"/>
      <x:c r="AX97" s="3"/>
      <x:c r="AY97" s="3"/>
      <x:c r="AZ97" s="3"/>
      <x:c r="BA97" s="3"/>
      <x:c r="BB97" s="120"/>
      <x:c r="BC97" s="3"/>
      <x:c r="BD97" s="3"/>
      <x:c r="BE97" s="120"/>
      <x:c r="BF97" s="78">
        <x:v>95.0</x:v>
      </x:c>
      <x:c r="BG97" s="78" t="str">
        <x:f t="shared" si="1"/>
      </x:c>
      <x:c r="BH97" s="90"/>
      <x:c r="BI97" s="90"/>
      <x:c r="BJ97" s="90"/>
      <x:c r="BK97" s="89">
        <x:v>95.0</x:v>
      </x:c>
      <x:c r="BL97" s="78">
        <x:f t="shared" si="2"/>
        <x:v>0</x:v>
      </x:c>
      <x:c r="BM97" s="90" t="n">
        <x:f>IFERROR(LARGE($X$3:$X$102,95),"")</x:f>
        <x:v>-126.65656442000001</x:v>
      </x:c>
      <x:c r="BN97" s="90">
        <x:f t="shared" si="7"/>
        <x:v>-88.87361265</x:v>
      </x:c>
      <x:c r="BO97" s="91">
        <x:f t="shared" si="8"/>
        <x:v>11</x:v>
      </x:c>
      <x:c r="BP97" s="90">
        <x:v>95.0</x:v>
      </x:c>
      <x:c r="BQ97" s="78">
        <x:f t="shared" si="3"/>
        <x:v>48.31729412</x:v>
      </x:c>
      <x:c r="BR97" s="90" t="n">
        <x:f>IFERROR(LARGE($AL$3:$AL$102,95),"")</x:f>
        <x:v>-51.451985287205886</x:v>
      </x:c>
      <x:c r="BS97" s="90">
        <x:f t="shared" si="9"/>
        <x:v>-41.70459706</x:v>
      </x:c>
      <x:c r="BT97" s="90">
        <x:f t="shared" si="10"/>
        <x:v>8</x:v>
      </x:c>
      <x:c r="BU97" s="78">
        <x:v>95.0</x:v>
      </x:c>
      <x:c r="BV97" s="78" t="str">
        <x:f t="shared" si="4"/>
      </x:c>
      <x:c r="BW97" s="90"/>
      <x:c r="BX97" s="90"/>
      <x:c r="BY97" s="90" t="n">
        <x:f t="array" ref="BY97">IFERROR(VALUE(RIGHT(INDEX(ECR!$E:$E,MATCH(P97,ECR!$C:$C,0)),LEN(INDEX(ECR!$E:$E,MATCH(P97,ECR!$C:$C,0)))-2)),"")</x:f>
        <x:v>95</x:v>
      </x:c>
      <x:c r="BZ97" s="90"/>
      <x:c r="CA97" s="90"/>
      <x:c r="CB97" s="90"/>
      <x:c r="CC97" s="90"/>
      <x:c r="CD97" s="90"/>
      <x:c r="CE97" s="90"/>
      <x:c r="CF97" s="90"/>
      <x:c r="CG97" s="90"/>
    </x:row>
    <x:row r="98" ht="14.25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120"/>
      <x:c r="M98" s="3"/>
      <x:c r="N98" s="120"/>
      <x:c r="O98" s="75" t="s">
        <x:v>462</x:v>
      </x:c>
      <x:c r="P98" s="60" t="str">
        <x:f>VLOOKUP(O98,ECR!E:L,8,FALSE())</x:f>
        <x:v>Audric Estime</x:v>
      </x:c>
      <x:c r="Q98" s="63" t="str">
        <x:f>IFERROR(VLOOKUP(Aggregate!$P98,ECR!C:F,2,FALSE()),"-")</x:f>
        <x:v>NO</x:v>
      </x:c>
      <x:c r="R98" s="63" t="n">
        <x:f>IFERROR(VLOOKUP(Aggregate!$P98,ECR!C:F,4,FALSE()),"-")</x:f>
        <x:v>8</x:v>
      </x:c>
      <x:c r="S98" s="63" t="str">
        <x:f>Aggregate!$Q98 &amp; "/" &amp; Aggregate!$R98</x:f>
        <x:v>NO/8</x:v>
      </x:c>
      <x:c r="T98" s="67" t="n">
        <x:f>IFERROR(VLOOKUP(Aggregate!$P98,RB!A:Q,13,FALSE())/17*(16-Aggregate!$AA98),0)</x:f>
        <x:v>0</x:v>
      </x:c>
      <x:c r="U98" s="67" t="n">
        <x:f>IFERROR(VLOOKUP(Aggregate!$P98,RB!A:Q,14,FALSE())/17*(16-Aggregate!$AA98),0)</x:f>
        <x:v>0</x:v>
      </x:c>
      <x:c r="V98" s="67" t="n">
        <x:f>IFERROR(VLOOKUP(Aggregate!$P98,RB!A:Q,15,FALSE())/17*(16-Aggregate!$AA98),0)</x:f>
        <x:v>0</x:v>
      </x:c>
      <x:c r="W98" s="70" t="n">
        <x:f>AVERAGE(Aggregate!$T98,Aggregate!$U98,Aggregate!$V98,VLOOKUP(Aggregate!$P98,ECR!L:N,3,FALSE))</x:f>
        <x:v>0</x:v>
      </x:c>
      <x:c r="X98" s="70" t="n">
        <x:f>Aggregate!$W98-$Q$1</x:f>
        <x:v>-130.000329125</x:v>
      </x:c>
      <x:c r="Y98" s="74" t="n">
        <x:f>MAX(Aggregate!$X98*Scoring!$B$48+1,1)</x:f>
        <x:v>1</x:v>
      </x:c>
      <x:c r="Z98" s="75" t="n">
        <x:f>VLOOKUP(Aggregate!$X98,BM:BO,3,FALSE)</x:f>
        <x:v>11</x:v>
      </x:c>
      <x:c r="AA98" s="77" t="n">
        <x:f t="array" ref="AA98">VLOOKUP(INDEX(ECR!$E:$E,MATCH(P98,ECR!$C:$C,0)),RISK!A:B,2,FALSE())</x:f>
        <x:v>3.368</x:v>
      </x:c>
      <x:c r="AB98" s="78"/>
      <x:c r="AC98" s="63" t="s">
        <x:v>463</x:v>
      </x:c>
      <x:c r="AD98" s="63" t="str">
        <x:f>VLOOKUP(AC98,ECR!E:L,8,FALSE())</x:f>
        <x:v>Darius Slayton</x:v>
      </x:c>
      <x:c r="AE98" s="63" t="str">
        <x:f>IFERROR(VLOOKUP(Aggregate!$AD98,ECR!C:F,2,FALSE()),"-")</x:f>
        <x:v>NYG</x:v>
      </x:c>
      <x:c r="AF98" s="63" t="n">
        <x:f>IFERROR(VLOOKUP(Aggregate!$AD98,ECR!C:F,4,FALSE()),"-")</x:f>
        <x:v>8</x:v>
      </x:c>
      <x:c r="AG98" s="63" t="str">
        <x:f>Aggregate!$AE98 &amp; "/" &amp; Aggregate!$AF98</x:f>
        <x:v>NYG/8</x:v>
      </x:c>
      <x:c r="AH98" s="67" t="n">
        <x:f>IFERROR(VLOOKUP(Aggregate!$AD98,WR!A:Q,13,FALSE())/17*(16-Aggregate!$AO98),0)</x:f>
        <x:v>50.82070588235295</x:v>
      </x:c>
      <x:c r="AI98" s="67" t="n">
        <x:f>IFERROR(VLOOKUP(Aggregate!$AD98,WR!A:Q,14,FALSE())/17*(16-Aggregate!$AO98),0)</x:f>
        <x:v>59.32941176470588</x:v>
      </x:c>
      <x:c r="AJ98" s="67" t="n">
        <x:f>IFERROR(VLOOKUP(Aggregate!$AD98,WR!A:Q,15,FALSE())/17*(16-Aggregate!$AO98),0)</x:f>
        <x:v>68.24329411764705</x:v>
      </x:c>
      <x:c r="AK98" s="70" t="n">
        <x:f>AVERAGE(Aggregate!$AH98,Aggregate!$AI98,Aggregate!$AJ98,VLOOKUP(Aggregate!$AD98,ECR!L:N,3,FALSE))</x:f>
        <x:v>56.43348529367647</x:v>
      </x:c>
      <x:c r="AL98" s="70" t="n">
        <x:f>Aggregate!$AK98-$AE$1</x:f>
        <x:v>-45.76142646367647</x:v>
      </x:c>
      <x:c r="AM98" s="74" t="n">
        <x:f>MAX(Aggregate!$AL98*Scoring!$B$48+1,1)</x:f>
        <x:v>1</x:v>
      </x:c>
      <x:c r="AN98" s="75" t="n">
        <x:f>VLOOKUP(Aggregate!$AL98,BR:BT,3,FALSE)</x:f>
        <x:v>8</x:v>
      </x:c>
      <x:c r="AO98" s="77" t="n">
        <x:f t="array" ref="AO98">VLOOKUP(INDEX(ECR!$E:$E,MATCH(AD98,ECR!$C:$C,0)),RISK!A:B,2,FALSE())</x:f>
        <x:v>3.7</x:v>
      </x:c>
      <x:c r="AP98" s="78"/>
      <x:c r="AQ98" s="87" t="s">
        <x:v>464</x:v>
      </x:c>
      <x:c r="AR98" s="3"/>
      <x:c r="AS98" s="120"/>
      <x:c r="AT98" s="3"/>
      <x:c r="AU98" s="3"/>
      <x:c r="AV98" s="3"/>
      <x:c r="AW98" s="3"/>
      <x:c r="AX98" s="3"/>
      <x:c r="AY98" s="3"/>
      <x:c r="AZ98" s="3"/>
      <x:c r="BA98" s="3"/>
      <x:c r="BB98" s="120"/>
      <x:c r="BC98" s="3"/>
      <x:c r="BD98" s="3"/>
      <x:c r="BE98" s="120"/>
      <x:c r="BF98" s="78">
        <x:v>96.0</x:v>
      </x:c>
      <x:c r="BG98" s="78" t="str">
        <x:f t="shared" si="1"/>
      </x:c>
      <x:c r="BH98" s="90"/>
      <x:c r="BI98" s="90"/>
      <x:c r="BJ98" s="90"/>
      <x:c r="BK98" s="89">
        <x:v>96.0</x:v>
      </x:c>
      <x:c r="BL98" s="78">
        <x:f t="shared" si="2"/>
        <x:v>0</x:v>
      </x:c>
      <x:c r="BM98" s="90" t="n">
        <x:f>IFERROR(LARGE($X$3:$X$102,96),"")</x:f>
        <x:v>-130.000329125</x:v>
      </x:c>
      <x:c r="BN98" s="90">
        <x:f t="shared" si="7"/>
        <x:v>-88.87361265</x:v>
      </x:c>
      <x:c r="BO98" s="91">
        <x:f t="shared" si="8"/>
        <x:v>11</x:v>
      </x:c>
      <x:c r="BP98" s="90">
        <x:v>96.0</x:v>
      </x:c>
      <x:c r="BQ98" s="78">
        <x:f t="shared" si="3"/>
        <x:v>47.34052941</x:v>
      </x:c>
      <x:c r="BR98" s="90" t="n">
        <x:f>IFERROR(LARGE($AL$3:$AL$102,96),"")</x:f>
        <x:v>-52.21349999220588</x:v>
      </x:c>
      <x:c r="BS98" s="90">
        <x:f t="shared" si="9"/>
        <x:v>-41.70459706</x:v>
      </x:c>
      <x:c r="BT98" s="90">
        <x:f t="shared" si="10"/>
        <x:v>8</x:v>
      </x:c>
      <x:c r="BU98" s="78">
        <x:v>96.0</x:v>
      </x:c>
      <x:c r="BV98" s="78" t="str">
        <x:f t="shared" si="4"/>
      </x:c>
      <x:c r="BW98" s="90"/>
      <x:c r="BX98" s="90"/>
      <x:c r="BY98" s="90" t="n">
        <x:f t="array" ref="BY98">IFERROR(VALUE(RIGHT(INDEX(ECR!$E:$E,MATCH(P98,ECR!$C:$C,0)),LEN(INDEX(ECR!$E:$E,MATCH(P98,ECR!$C:$C,0)))-2)),"")</x:f>
        <x:v>96</x:v>
      </x:c>
      <x:c r="BZ98" s="90"/>
      <x:c r="CA98" s="90"/>
      <x:c r="CB98" s="90"/>
      <x:c r="CC98" s="90"/>
      <x:c r="CD98" s="90"/>
      <x:c r="CE98" s="90"/>
      <x:c r="CF98" s="90"/>
      <x:c r="CG98" s="90"/>
    </x:row>
    <x:row r="99" ht="14.25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120"/>
      <x:c r="M99" s="3"/>
      <x:c r="N99" s="120"/>
      <x:c r="O99" s="75" t="s">
        <x:v>465</x:v>
      </x:c>
      <x:c r="P99" s="60" t="str">
        <x:f>VLOOKUP(O99,ECR!E:L,8,FALSE())</x:f>
        <x:v>Jaleel McLaughlin</x:v>
      </x:c>
      <x:c r="Q99" s="63" t="str">
        <x:f>IFERROR(VLOOKUP(Aggregate!$P99,ECR!C:F,2,FALSE()),"-")</x:f>
        <x:v>DEN</x:v>
      </x:c>
      <x:c r="R99" s="63" t="n">
        <x:f>IFERROR(VLOOKUP(Aggregate!$P99,ECR!C:F,4,FALSE()),"-")</x:f>
        <x:v>10</x:v>
      </x:c>
      <x:c r="S99" s="63" t="str">
        <x:f>Aggregate!$Q99 &amp; "/" &amp; Aggregate!$R99</x:f>
        <x:v>DEN/10</x:v>
      </x:c>
      <x:c r="T99" s="67" t="n">
        <x:f>IFERROR(VLOOKUP(Aggregate!$P99,RB!A:Q,13,FALSE())/17*(16-Aggregate!$AA99),0)</x:f>
        <x:v>0</x:v>
      </x:c>
      <x:c r="U99" s="67" t="n">
        <x:f>IFERROR(VLOOKUP(Aggregate!$P99,RB!A:Q,14,FALSE())/17*(16-Aggregate!$AA99),0)</x:f>
        <x:v>0</x:v>
      </x:c>
      <x:c r="V99" s="67" t="n">
        <x:f>IFERROR(VLOOKUP(Aggregate!$P99,RB!A:Q,15,FALSE())/17*(16-Aggregate!$AA99),0)</x:f>
        <x:v>0</x:v>
      </x:c>
      <x:c r="W99" s="70" t="n">
        <x:f>AVERAGE(Aggregate!$T99,Aggregate!$U99,Aggregate!$V99,VLOOKUP(Aggregate!$P99,ECR!L:N,3,FALSE))</x:f>
        <x:v>0</x:v>
      </x:c>
      <x:c r="X99" s="70" t="n">
        <x:f>Aggregate!$W99-$Q$1</x:f>
        <x:v>-130.000329125</x:v>
      </x:c>
      <x:c r="Y99" s="74" t="n">
        <x:f>MAX(Aggregate!$X99*Scoring!$B$48+1,1)</x:f>
        <x:v>1</x:v>
      </x:c>
      <x:c r="Z99" s="75" t="n">
        <x:f>VLOOKUP(Aggregate!$X99,BM:BO,3,FALSE)</x:f>
        <x:v>11</x:v>
      </x:c>
      <x:c r="AA99" s="77" t="n">
        <x:f t="array" ref="AA99">VLOOKUP(INDEX(ECR!$E:$E,MATCH(P99,ECR!$C:$C,0)),RISK!A:B,2,FALSE())</x:f>
        <x:v>3.368</x:v>
      </x:c>
      <x:c r="AB99" s="78"/>
      <x:c r="AC99" s="63" t="s">
        <x:v>466</x:v>
      </x:c>
      <x:c r="AD99" s="63" t="str">
        <x:f>VLOOKUP(AC99,ECR!E:L,8,FALSE())</x:f>
        <x:v>Christian Kirk</x:v>
      </x:c>
      <x:c r="AE99" s="63" t="str">
        <x:f>IFERROR(VLOOKUP(Aggregate!$AD99,ECR!C:F,2,FALSE()),"-")</x:f>
        <x:v>SF</x:v>
      </x:c>
      <x:c r="AF99" s="63" t="n">
        <x:f>IFERROR(VLOOKUP(Aggregate!$AD99,ECR!C:F,4,FALSE()),"-")</x:f>
        <x:v>8</x:v>
      </x:c>
      <x:c r="AG99" s="63" t="str">
        <x:f>Aggregate!$AE99 &amp; "/" &amp; Aggregate!$AF99</x:f>
        <x:v>SF/8</x:v>
      </x:c>
      <x:c r="AH99" s="67" t="n">
        <x:f>IFERROR(VLOOKUP(Aggregate!$AD99,WR!A:Q,13,FALSE())/17*(16-Aggregate!$AO99),0)</x:f>
        <x:v>22.082117647058823</x:v>
      </x:c>
      <x:c r="AI99" s="67" t="n">
        <x:f>IFERROR(VLOOKUP(Aggregate!$AD99,WR!A:Q,14,FALSE())/17*(16-Aggregate!$AO99),0)</x:f>
        <x:v>52.70188235294118</x:v>
      </x:c>
      <x:c r="AJ99" s="67" t="n">
        <x:f>IFERROR(VLOOKUP(Aggregate!$AD99,WR!A:Q,15,FALSE())/17*(16-Aggregate!$AO99),0)</x:f>
        <x:v>83.06117647058824</x:v>
      </x:c>
      <x:c r="AK99" s="70" t="n">
        <x:f>AVERAGE(Aggregate!$AH99,Aggregate!$AI99,Aggregate!$AJ99,VLOOKUP(Aggregate!$AD99,ECR!L:N,3,FALSE))</x:f>
        <x:v>50.742926470147054</x:v>
      </x:c>
      <x:c r="AL99" s="70" t="n">
        <x:f>Aggregate!$AK99-$AE$1</x:f>
        <x:v>-51.451985287205886</x:v>
      </x:c>
      <x:c r="AM99" s="74" t="n">
        <x:f>MAX(Aggregate!$AL99*Scoring!$B$48+1,1)</x:f>
        <x:v>1</x:v>
      </x:c>
      <x:c r="AN99" s="75" t="n">
        <x:f>VLOOKUP(Aggregate!$AL99,BR:BT,3,FALSE)</x:f>
        <x:v>8</x:v>
      </x:c>
      <x:c r="AO99" s="77" t="n">
        <x:f t="array" ref="AO99">VLOOKUP(INDEX(ECR!$E:$E,MATCH(AD99,ECR!$C:$C,0)),RISK!A:B,2,FALSE())</x:f>
        <x:v>3.7</x:v>
      </x:c>
      <x:c r="AP99" s="78"/>
      <x:c r="AQ99" s="87" t="s">
        <x:v>467</x:v>
      </x:c>
      <x:c r="AR99" s="3"/>
      <x:c r="AS99" s="120"/>
      <x:c r="AT99" s="3"/>
      <x:c r="AU99" s="3"/>
      <x:c r="AV99" s="3"/>
      <x:c r="AW99" s="3"/>
      <x:c r="AX99" s="3"/>
      <x:c r="AY99" s="3"/>
      <x:c r="AZ99" s="3"/>
      <x:c r="BA99" s="3"/>
      <x:c r="BB99" s="120"/>
      <x:c r="BC99" s="3"/>
      <x:c r="BD99" s="3"/>
      <x:c r="BE99" s="120"/>
      <x:c r="BF99" s="78">
        <x:v>97.0</x:v>
      </x:c>
      <x:c r="BG99" s="78" t="str">
        <x:f t="shared" si="1"/>
      </x:c>
      <x:c r="BH99" s="90"/>
      <x:c r="BI99" s="90"/>
      <x:c r="BJ99" s="90"/>
      <x:c r="BK99" s="89">
        <x:v>97.0</x:v>
      </x:c>
      <x:c r="BL99" s="78">
        <x:f t="shared" si="2"/>
        <x:v>0</x:v>
      </x:c>
      <x:c r="BM99" s="90" t="n">
        <x:f>IFERROR(LARGE($X$3:$X$102,97),"")</x:f>
        <x:v>-130.000329125</x:v>
      </x:c>
      <x:c r="BN99" s="90">
        <x:f t="shared" si="7"/>
        <x:v>-88.87361265</x:v>
      </x:c>
      <x:c r="BO99" s="91">
        <x:f t="shared" si="8"/>
        <x:v>11</x:v>
      </x:c>
      <x:c r="BP99" s="90">
        <x:v>97.0</x:v>
      </x:c>
      <x:c r="BQ99" s="78">
        <x:f t="shared" si="3"/>
        <x:v>45.12652941</x:v>
      </x:c>
      <x:c r="BR99" s="90" t="n">
        <x:f>IFERROR(LARGE($AL$3:$AL$102,97),"")</x:f>
        <x:v>-53.58820587455882</x:v>
      </x:c>
      <x:c r="BS99" s="90">
        <x:f t="shared" si="9"/>
        <x:v>-41.70459706</x:v>
      </x:c>
      <x:c r="BT99" s="90">
        <x:f t="shared" si="10"/>
        <x:v>8</x:v>
      </x:c>
      <x:c r="BU99" s="78">
        <x:v>97.0</x:v>
      </x:c>
      <x:c r="BV99" s="78" t="str">
        <x:f t="shared" si="4"/>
      </x:c>
      <x:c r="BW99" s="90"/>
      <x:c r="BX99" s="90"/>
      <x:c r="BY99" s="90" t="n">
        <x:f t="array" ref="BY99">IFERROR(VALUE(RIGHT(INDEX(ECR!$E:$E,MATCH(P99,ECR!$C:$C,0)),LEN(INDEX(ECR!$E:$E,MATCH(P99,ECR!$C:$C,0)))-2)),"")</x:f>
        <x:v>97</x:v>
      </x:c>
      <x:c r="BZ99" s="90"/>
      <x:c r="CA99" s="90"/>
      <x:c r="CB99" s="90"/>
      <x:c r="CC99" s="90"/>
      <x:c r="CD99" s="90"/>
      <x:c r="CE99" s="90"/>
      <x:c r="CF99" s="90"/>
      <x:c r="CG99" s="90"/>
    </x:row>
    <x:row r="100" ht="14.25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120"/>
      <x:c r="M100" s="3"/>
      <x:c r="N100" s="120"/>
      <x:c r="O100" s="75" t="s">
        <x:v>468</x:v>
      </x:c>
      <x:c r="P100" s="60" t="str">
        <x:f>VLOOKUP(O100,ECR!E:L,8,FALSE())</x:f>
        <x:v>Will Shipley</x:v>
      </x:c>
      <x:c r="Q100" s="63" t="str">
        <x:f>IFERROR(VLOOKUP(Aggregate!$P100,ECR!C:F,2,FALSE()),"-")</x:f>
        <x:v>PHI</x:v>
      </x:c>
      <x:c r="R100" s="63" t="n">
        <x:f>IFERROR(VLOOKUP(Aggregate!$P100,ECR!C:F,4,FALSE()),"-")</x:f>
        <x:v>10</x:v>
      </x:c>
      <x:c r="S100" s="63" t="str">
        <x:f>Aggregate!$Q100 &amp; "/" &amp; Aggregate!$R100</x:f>
        <x:v>PHI/10</x:v>
      </x:c>
      <x:c r="T100" s="67" t="n">
        <x:f>IFERROR(VLOOKUP(Aggregate!$P100,RB!A:Q,13,FALSE())/17*(16-Aggregate!$AA100),0)</x:f>
        <x:v>16.31757176470588</x:v>
      </x:c>
      <x:c r="U100" s="67" t="n">
        <x:f>IFERROR(VLOOKUP(Aggregate!$P100,RB!A:Q,14,FALSE())/17*(16-Aggregate!$AA100),0)</x:f>
        <x:v>16.31757176470588</x:v>
      </x:c>
      <x:c r="V100" s="67" t="n">
        <x:f>IFERROR(VLOOKUP(Aggregate!$P100,RB!A:Q,15,FALSE())/17*(16-Aggregate!$AA100),0)</x:f>
        <x:v>16.31757176470588</x:v>
      </x:c>
      <x:c r="W100" s="70" t="n">
        <x:f>AVERAGE(Aggregate!$T100,Aggregate!$U100,Aggregate!$V100,VLOOKUP(Aggregate!$P100,ECR!L:N,3,FALSE))</x:f>
        <x:v>12.238178823529411</x:v>
      </x:c>
      <x:c r="X100" s="70" t="n">
        <x:f>Aggregate!$W100-$Q$1</x:f>
        <x:v>-117.7621503014706</x:v>
      </x:c>
      <x:c r="Y100" s="74" t="n">
        <x:f>MAX(Aggregate!$X100*Scoring!$B$48+1,1)</x:f>
        <x:v>1</x:v>
      </x:c>
      <x:c r="Z100" s="75" t="n">
        <x:f>VLOOKUP(Aggregate!$X100,BM:BO,3,FALSE)</x:f>
        <x:v>11</x:v>
      </x:c>
      <x:c r="AA100" s="77" t="n">
        <x:f t="array" ref="AA100">VLOOKUP(INDEX(ECR!$E:$E,MATCH(P100,ECR!$C:$C,0)),RISK!A:B,2,FALSE())</x:f>
        <x:v>3.368</x:v>
      </x:c>
      <x:c r="AB100" s="78"/>
      <x:c r="AC100" s="63" t="s">
        <x:v>469</x:v>
      </x:c>
      <x:c r="AD100" s="63" t="str">
        <x:f>VLOOKUP(AC100,ECR!E:L,8,FALSE())</x:f>
        <x:v>Xavier Legette</x:v>
      </x:c>
      <x:c r="AE100" s="63" t="str">
        <x:f>IFERROR(VLOOKUP(Aggregate!$AD100,ECR!C:F,2,FALSE()),"-")</x:f>
        <x:v>CAR</x:v>
      </x:c>
      <x:c r="AF100" s="63" t="n">
        <x:f>IFERROR(VLOOKUP(Aggregate!$AD100,ECR!C:F,4,FALSE()),"-")</x:f>
        <x:v>5</x:v>
      </x:c>
      <x:c r="AG100" s="63" t="str">
        <x:f>Aggregate!$AE100 &amp; "/" &amp; Aggregate!$AF100</x:f>
        <x:v>CAR/5</x:v>
      </x:c>
      <x:c r="AH100" s="67" t="n">
        <x:f>IFERROR(VLOOKUP(Aggregate!$AD100,WR!A:Q,13,FALSE())/17*(16-Aggregate!$AO100),0)</x:f>
        <x:v>55.1184705882353</x:v>
      </x:c>
      <x:c r="AI100" s="67" t="n">
        <x:f>IFERROR(VLOOKUP(Aggregate!$AD100,WR!A:Q,14,FALSE())/17*(16-Aggregate!$AO100),0)</x:f>
        <x:v>55.1184705882353</x:v>
      </x:c>
      <x:c r="AJ100" s="67" t="n">
        <x:f>IFERROR(VLOOKUP(Aggregate!$AD100,WR!A:Q,15,FALSE())/17*(16-Aggregate!$AO100),0)</x:f>
        <x:v>55.1184705882353</x:v>
      </x:c>
      <x:c r="AK100" s="70" t="n">
        <x:f>AVERAGE(Aggregate!$AH100,Aggregate!$AI100,Aggregate!$AJ100,VLOOKUP(Aggregate!$AD100,ECR!L:N,3,FALSE))</x:f>
        <x:v>51.87525000117647</x:v>
      </x:c>
      <x:c r="AL100" s="70" t="n">
        <x:f>Aggregate!$AK100-$AE$1</x:f>
        <x:v>-50.31966175617647</x:v>
      </x:c>
      <x:c r="AM100" s="74" t="n">
        <x:f>MAX(Aggregate!$AL100*Scoring!$B$48+1,1)</x:f>
        <x:v>1</x:v>
      </x:c>
      <x:c r="AN100" s="75" t="n">
        <x:f>VLOOKUP(Aggregate!$AL100,BR:BT,3,FALSE)</x:f>
        <x:v>8</x:v>
      </x:c>
      <x:c r="AO100" s="77" t="n">
        <x:f t="array" ref="AO100">VLOOKUP(INDEX(ECR!$E:$E,MATCH(AD100,ECR!$C:$C,0)),RISK!A:B,2,FALSE())</x:f>
        <x:v>3.7</x:v>
      </x:c>
      <x:c r="AP100" s="78"/>
      <x:c r="AQ100" s="87" t="s">
        <x:v>470</x:v>
      </x:c>
      <x:c r="AR100" s="3"/>
      <x:c r="AS100" s="120"/>
      <x:c r="AT100" s="3"/>
      <x:c r="AU100" s="3"/>
      <x:c r="AV100" s="3"/>
      <x:c r="AW100" s="3"/>
      <x:c r="AX100" s="3"/>
      <x:c r="AY100" s="3"/>
      <x:c r="AZ100" s="3"/>
      <x:c r="BA100" s="3"/>
      <x:c r="BB100" s="120"/>
      <x:c r="BC100" s="3"/>
      <x:c r="BD100" s="3"/>
      <x:c r="BE100" s="120"/>
      <x:c r="BF100" s="78">
        <x:v>98.0</x:v>
      </x:c>
      <x:c r="BG100" s="78" t="str">
        <x:f t="shared" si="1"/>
      </x:c>
      <x:c r="BH100" s="90"/>
      <x:c r="BI100" s="90"/>
      <x:c r="BJ100" s="90"/>
      <x:c r="BK100" s="89">
        <x:v>98.0</x:v>
      </x:c>
      <x:c r="BL100" s="78">
        <x:f t="shared" si="2"/>
        <x:v>0</x:v>
      </x:c>
      <x:c r="BM100" s="90" t="n">
        <x:f>IFERROR(LARGE($X$3:$X$102,98),"")</x:f>
        <x:v>-130.000329125</x:v>
      </x:c>
      <x:c r="BN100" s="90">
        <x:f t="shared" si="7"/>
        <x:v>-88.87361265</x:v>
      </x:c>
      <x:c r="BO100" s="91">
        <x:f t="shared" si="8"/>
        <x:v>11</x:v>
      </x:c>
      <x:c r="BP100" s="90">
        <x:v>98.0</x:v>
      </x:c>
      <x:c r="BQ100" s="78">
        <x:f t="shared" si="3"/>
        <x:v>42.14558824</x:v>
      </x:c>
      <x:c r="BR100" s="90" t="n">
        <x:f>IFERROR(LARGE($AL$3:$AL$102,98),"")</x:f>
        <x:v>-53.84144116852941</x:v>
      </x:c>
      <x:c r="BS100" s="90">
        <x:f t="shared" si="9"/>
        <x:v>-41.70459706</x:v>
      </x:c>
      <x:c r="BT100" s="90">
        <x:f t="shared" si="10"/>
        <x:v>8</x:v>
      </x:c>
      <x:c r="BU100" s="78">
        <x:v>98.0</x:v>
      </x:c>
      <x:c r="BV100" s="78" t="str">
        <x:f t="shared" si="4"/>
      </x:c>
      <x:c r="BW100" s="90"/>
      <x:c r="BX100" s="90"/>
      <x:c r="BY100" s="90" t="n">
        <x:f t="array" ref="BY100">IFERROR(VALUE(RIGHT(INDEX(ECR!$E:$E,MATCH(P100,ECR!$C:$C,0)),LEN(INDEX(ECR!$E:$E,MATCH(P100,ECR!$C:$C,0)))-2)),"")</x:f>
        <x:v>98</x:v>
      </x:c>
      <x:c r="BZ100" s="90"/>
      <x:c r="CA100" s="90"/>
      <x:c r="CB100" s="90"/>
      <x:c r="CC100" s="90"/>
      <x:c r="CD100" s="90"/>
      <x:c r="CE100" s="90"/>
      <x:c r="CF100" s="90"/>
      <x:c r="CG100" s="90"/>
    </x:row>
    <x:row r="101" ht="14.25" customHeight="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120"/>
      <x:c r="M101" s="3"/>
      <x:c r="N101" s="120"/>
      <x:c r="O101" s="75" t="s">
        <x:v>471</x:v>
      </x:c>
      <x:c r="P101" s="60" t="str">
        <x:f>VLOOKUP(O101,ECR!E:L,8,FALSE())</x:f>
        <x:v>Kareem Hunt</x:v>
      </x:c>
      <x:c r="Q101" s="63" t="str">
        <x:f>IFERROR(VLOOKUP(Aggregate!$P101,ECR!C:F,2,FALSE()),"-")</x:f>
        <x:v>FA</x:v>
      </x:c>
      <x:c r="R101" s="63" t="str">
        <x:f>IFERROR(VLOOKUP(Aggregate!$P101,ECR!C:F,4,FALSE()),"-")</x:f>
        <x:v>-</x:v>
      </x:c>
      <x:c r="S101" s="63" t="str">
        <x:f>Aggregate!$Q101 &amp; "/" &amp; Aggregate!$R101</x:f>
        <x:v>FA/-</x:v>
      </x:c>
      <x:c r="T101" s="67" t="n">
        <x:f>IFERROR(VLOOKUP(Aggregate!$P101,RB!A:Q,13,FALSE())/17*(16-Aggregate!$AA101),0)</x:f>
        <x:v>0</x:v>
      </x:c>
      <x:c r="U101" s="67" t="n">
        <x:f>IFERROR(VLOOKUP(Aggregate!$P101,RB!A:Q,14,FALSE())/17*(16-Aggregate!$AA101),0)</x:f>
        <x:v>0</x:v>
      </x:c>
      <x:c r="V101" s="67" t="n">
        <x:f>IFERROR(VLOOKUP(Aggregate!$P101,RB!A:Q,15,FALSE())/17*(16-Aggregate!$AA101),0)</x:f>
        <x:v>0</x:v>
      </x:c>
      <x:c r="W101" s="70" t="n">
        <x:f>AVERAGE(Aggregate!$T101,Aggregate!$U101,Aggregate!$V101,VLOOKUP(Aggregate!$P101,ECR!L:N,3,FALSE))</x:f>
        <x:v>0</x:v>
      </x:c>
      <x:c r="X101" s="70" t="n">
        <x:f>Aggregate!$W101-$Q$1</x:f>
        <x:v>-130.000329125</x:v>
      </x:c>
      <x:c r="Y101" s="74" t="n">
        <x:f>MAX(Aggregate!$X101*Scoring!$B$48+1,1)</x:f>
        <x:v>1</x:v>
      </x:c>
      <x:c r="Z101" s="75" t="n">
        <x:f>VLOOKUP(Aggregate!$X101,BM:BO,3,FALSE)</x:f>
        <x:v>11</x:v>
      </x:c>
      <x:c r="AA101" s="77" t="n">
        <x:f t="array" ref="AA101">VLOOKUP(INDEX(ECR!$E:$E,MATCH(P101,ECR!$C:$C,0)),RISK!A:B,2,FALSE())</x:f>
        <x:v>3.368</x:v>
      </x:c>
      <x:c r="AB101" s="78"/>
      <x:c r="AC101" s="63" t="s">
        <x:v>472</x:v>
      </x:c>
      <x:c r="AD101" s="63" t="str">
        <x:f>VLOOKUP(AC101,ECR!E:L,8,FALSE())</x:f>
        <x:v>Elijah Sarratt</x:v>
      </x:c>
      <x:c r="AE101" s="63" t="str">
        <x:f>IFERROR(VLOOKUP(Aggregate!$AD101,ECR!C:F,2,FALSE()),"-")</x:f>
        <x:v>BAL</x:v>
      </x:c>
      <x:c r="AF101" s="63" t="n">
        <x:f>IFERROR(VLOOKUP(Aggregate!$AD101,ECR!C:F,4,FALSE()),"-")</x:f>
        <x:v>13</x:v>
      </x:c>
      <x:c r="AG101" s="63" t="str">
        <x:f>Aggregate!$AE101 &amp; "/" &amp; Aggregate!$AF101</x:f>
        <x:v>BAL/13</x:v>
      </x:c>
      <x:c r="AH101" s="67" t="n">
        <x:f>IFERROR(VLOOKUP(Aggregate!$AD101,WR!A:Q,13,FALSE())/17*(16-Aggregate!$AO101),0)</x:f>
        <x:v>55.87788705882353</x:v>
      </x:c>
      <x:c r="AI101" s="67" t="n">
        <x:f>IFERROR(VLOOKUP(Aggregate!$AD101,WR!A:Q,14,FALSE())/17*(16-Aggregate!$AO101),0)</x:f>
        <x:v>55.87788705882353</x:v>
      </x:c>
      <x:c r="AJ101" s="67" t="n">
        <x:f>IFERROR(VLOOKUP(Aggregate!$AD101,WR!A:Q,15,FALSE())/17*(16-Aggregate!$AO101),0)</x:f>
        <x:v>55.87788705882353</x:v>
      </x:c>
      <x:c r="AK101" s="70" t="n">
        <x:f>AVERAGE(Aggregate!$AH101,Aggregate!$AI101,Aggregate!$AJ101,VLOOKUP(Aggregate!$AD101,ECR!L:N,3,FALSE))</x:f>
        <x:v>51.529547646617644</x:v>
      </x:c>
      <x:c r="AL101" s="70" t="n">
        <x:f>Aggregate!$AK101-$AE$1</x:f>
        <x:v>-50.6653641107353</x:v>
      </x:c>
      <x:c r="AM101" s="74" t="n">
        <x:f>MAX(Aggregate!$AL101*Scoring!$B$48+1,1)</x:f>
        <x:v>1</x:v>
      </x:c>
      <x:c r="AN101" s="75" t="n">
        <x:f>VLOOKUP(Aggregate!$AL101,BR:BT,3,FALSE)</x:f>
        <x:v>8</x:v>
      </x:c>
      <x:c r="AO101" s="77" t="n">
        <x:f t="array" ref="AO101">VLOOKUP(INDEX(ECR!$E:$E,MATCH(AD101,ECR!$C:$C,0)),RISK!A:B,2,FALSE())</x:f>
        <x:v>3.7</x:v>
      </x:c>
      <x:c r="AP101" s="78"/>
      <x:c r="AQ101" s="87" t="s">
        <x:v>473</x:v>
      </x:c>
      <x:c r="AR101" s="3"/>
      <x:c r="AS101" s="120"/>
      <x:c r="AT101" s="3"/>
      <x:c r="AU101" s="3"/>
      <x:c r="AV101" s="3"/>
      <x:c r="AW101" s="3"/>
      <x:c r="AX101" s="3"/>
      <x:c r="AY101" s="3"/>
      <x:c r="AZ101" s="3"/>
      <x:c r="BA101" s="3"/>
      <x:c r="BB101" s="120"/>
      <x:c r="BC101" s="3"/>
      <x:c r="BD101" s="3"/>
      <x:c r="BE101" s="120"/>
      <x:c r="BF101" s="78">
        <x:v>99.0</x:v>
      </x:c>
      <x:c r="BG101" s="78" t="str">
        <x:f t="shared" si="1"/>
      </x:c>
      <x:c r="BH101" s="90"/>
      <x:c r="BI101" s="90"/>
      <x:c r="BJ101" s="90"/>
      <x:c r="BK101" s="89">
        <x:v>99.0</x:v>
      </x:c>
      <x:c r="BL101" s="78">
        <x:f t="shared" si="2"/>
        <x:v>0</x:v>
      </x:c>
      <x:c r="BM101" s="90" t="n">
        <x:f>IFERROR(LARGE($X$3:$X$102,99),"")</x:f>
        <x:v>-130.000329125</x:v>
      </x:c>
      <x:c r="BN101" s="90">
        <x:f t="shared" si="7"/>
        <x:v>-88.87361265</x:v>
      </x:c>
      <x:c r="BO101" s="91">
        <x:f t="shared" si="8"/>
        <x:v>11</x:v>
      </x:c>
      <x:c r="BP101" s="90">
        <x:v>99.0</x:v>
      </x:c>
      <x:c r="BQ101" s="78">
        <x:f t="shared" si="3"/>
        <x:v>38.48452941</x:v>
      </x:c>
      <x:c r="BR101" s="90" t="n">
        <x:f>IFERROR(LARGE($AL$3:$AL$102,99),"")</x:f>
        <x:v>-56.53658822852941</x:v>
      </x:c>
      <x:c r="BS101" s="90">
        <x:f t="shared" si="9"/>
        <x:v>-41.70459706</x:v>
      </x:c>
      <x:c r="BT101" s="90">
        <x:f t="shared" si="10"/>
        <x:v>8</x:v>
      </x:c>
      <x:c r="BU101" s="78">
        <x:v>99.0</x:v>
      </x:c>
      <x:c r="BV101" s="78" t="str">
        <x:f t="shared" si="4"/>
      </x:c>
      <x:c r="BW101" s="90"/>
      <x:c r="BX101" s="90"/>
      <x:c r="BY101" s="90" t="n">
        <x:f t="array" ref="BY101">IFERROR(VALUE(RIGHT(INDEX(ECR!$E:$E,MATCH(P101,ECR!$C:$C,0)),LEN(INDEX(ECR!$E:$E,MATCH(P101,ECR!$C:$C,0)))-2)),"")</x:f>
        <x:v>99</x:v>
      </x:c>
      <x:c r="BZ101" s="90"/>
      <x:c r="CA101" s="90"/>
      <x:c r="CB101" s="90"/>
      <x:c r="CC101" s="90"/>
      <x:c r="CD101" s="90"/>
      <x:c r="CE101" s="90"/>
      <x:c r="CF101" s="90"/>
      <x:c r="CG101" s="90"/>
    </x:row>
    <x:row r="102" ht="14.25" customHeight="1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120"/>
      <x:c r="M102" s="3"/>
      <x:c r="N102" s="120"/>
      <x:c r="O102" s="75" t="s">
        <x:v>474</x:v>
      </x:c>
      <x:c r="P102" s="60" t="str">
        <x:f>VLOOKUP(O102,ECR!E:L,8,FALSE())</x:f>
        <x:v>Joe Mixon</x:v>
      </x:c>
      <x:c r="Q102" s="63" t="str">
        <x:f>IFERROR(VLOOKUP(Aggregate!$P102,ECR!C:F,2,FALSE()),"-")</x:f>
        <x:v>FA</x:v>
      </x:c>
      <x:c r="R102" s="63" t="str">
        <x:f>IFERROR(VLOOKUP(Aggregate!$P102,ECR!C:F,4,FALSE()),"-")</x:f>
        <x:v>-</x:v>
      </x:c>
      <x:c r="S102" s="63" t="str">
        <x:f>Aggregate!$Q102 &amp; "/" &amp; Aggregate!$R102</x:f>
        <x:v>FA/-</x:v>
      </x:c>
      <x:c r="T102" s="67" t="n">
        <x:f>IFERROR(VLOOKUP(Aggregate!$P102,RB!A:Q,13,FALSE())/17*(16-Aggregate!$AA102),0)</x:f>
        <x:v>0</x:v>
      </x:c>
      <x:c r="U102" s="67" t="n">
        <x:f>IFERROR(VLOOKUP(Aggregate!$P102,RB!A:Q,14,FALSE())/17*(16-Aggregate!$AA102),0)</x:f>
        <x:v>0</x:v>
      </x:c>
      <x:c r="V102" s="67" t="n">
        <x:f>IFERROR(VLOOKUP(Aggregate!$P102,RB!A:Q,15,FALSE())/17*(16-Aggregate!$AA102),0)</x:f>
        <x:v>0</x:v>
      </x:c>
      <x:c r="W102" s="70" t="n">
        <x:f>AVERAGE(Aggregate!$T102,Aggregate!$U102,Aggregate!$V102,VLOOKUP(Aggregate!$P102,ECR!L:N,3,FALSE))</x:f>
        <x:v>0</x:v>
      </x:c>
      <x:c r="X102" s="70" t="n">
        <x:f>Aggregate!$W102-$Q$1</x:f>
        <x:v>-130.000329125</x:v>
      </x:c>
      <x:c r="Y102" s="74" t="n">
        <x:f>MAX(Aggregate!$X102*Scoring!$B$48+1,1)</x:f>
        <x:v>1</x:v>
      </x:c>
      <x:c r="Z102" s="75" t="n">
        <x:f>VLOOKUP(Aggregate!$X102,BM:BO,3,FALSE)</x:f>
        <x:v>11</x:v>
      </x:c>
      <x:c r="AA102" s="77" t="n">
        <x:f t="array" ref="AA102">VLOOKUP(INDEX(ECR!$E:$E,MATCH(P102,ECR!$C:$C,0)),RISK!A:B,2,FALSE())</x:f>
        <x:v>3.368</x:v>
      </x:c>
      <x:c r="AB102" s="78"/>
      <x:c r="AC102" s="63" t="s">
        <x:v>475</x:v>
      </x:c>
      <x:c r="AD102" s="63" t="str">
        <x:f>VLOOKUP(AC102,ECR!E:L,8,FALSE())</x:f>
        <x:v>Caleb Douglas</x:v>
      </x:c>
      <x:c r="AE102" s="63" t="str">
        <x:f>IFERROR(VLOOKUP(Aggregate!$AD102,ECR!C:F,2,FALSE()),"-")</x:f>
        <x:v>MIA</x:v>
      </x:c>
      <x:c r="AF102" s="63" t="n">
        <x:f>IFERROR(VLOOKUP(Aggregate!$AD102,ECR!C:F,4,FALSE()),"-")</x:f>
        <x:v>6</x:v>
      </x:c>
      <x:c r="AG102" s="63" t="str">
        <x:f>Aggregate!$AE102 &amp; "/" &amp; Aggregate!$AF102</x:f>
        <x:v>MIA/6</x:v>
      </x:c>
      <x:c r="AH102" s="67" t="n">
        <x:f>IFERROR(VLOOKUP(Aggregate!$AD102,WR!A:Q,13,FALSE())/17*(16-Aggregate!$AO102),0)</x:f>
        <x:v>76.06233176470589</x:v>
      </x:c>
      <x:c r="AI102" s="67" t="n">
        <x:f>IFERROR(VLOOKUP(Aggregate!$AD102,WR!A:Q,14,FALSE())/17*(16-Aggregate!$AO102),0)</x:f>
        <x:v>85.96744941176472</x:v>
      </x:c>
      <x:c r="AJ102" s="67" t="n">
        <x:f>IFERROR(VLOOKUP(Aggregate!$AD102,WR!A:Q,15,FALSE())/17*(16-Aggregate!$AO102),0)</x:f>
        <x:v>95.76403764705883</x:v>
      </x:c>
      <x:c r="AK102" s="70" t="n">
        <x:f>AVERAGE(Aggregate!$AH102,Aggregate!$AI102,Aggregate!$AJ102,VLOOKUP(Aggregate!$AD102,ECR!L:N,3,FALSE))</x:f>
        <x:v>73.84529294088236</x:v>
      </x:c>
      <x:c r="AL102" s="70" t="n">
        <x:f>Aggregate!$AK102-$AE$1</x:f>
        <x:v>-28.34961881647058</x:v>
      </x:c>
      <x:c r="AM102" s="74" t="n">
        <x:f>MAX(Aggregate!$AL102*Scoring!$B$48+1,1)</x:f>
        <x:v>1</x:v>
      </x:c>
      <x:c r="AN102" s="75" t="n">
        <x:f>VLOOKUP(Aggregate!$AL102,BR:BT,3,FALSE)</x:f>
        <x:v>7</x:v>
      </x:c>
      <x:c r="AO102" s="77" t="n">
        <x:f t="array" ref="AO102">VLOOKUP(INDEX(ECR!$E:$E,MATCH(AD102,ECR!$C:$C,0)),RISK!A:B,2,FALSE())</x:f>
        <x:v>3.7</x:v>
      </x:c>
      <x:c r="AP102" s="78"/>
      <x:c r="AQ102" s="87" t="s">
        <x:v>476</x:v>
      </x:c>
      <x:c r="AR102" s="3"/>
      <x:c r="AS102" s="120"/>
      <x:c r="AT102" s="3"/>
      <x:c r="AU102" s="3"/>
      <x:c r="AV102" s="3"/>
      <x:c r="AW102" s="3"/>
      <x:c r="AX102" s="3"/>
      <x:c r="AY102" s="3"/>
      <x:c r="AZ102" s="3"/>
      <x:c r="BA102" s="3"/>
      <x:c r="BB102" s="120"/>
      <x:c r="BC102" s="3"/>
      <x:c r="BD102" s="3"/>
      <x:c r="BE102" s="120"/>
      <x:c r="BF102" s="78">
        <x:v>100.0</x:v>
      </x:c>
      <x:c r="BG102" s="78" t="str">
        <x:f t="shared" si="1"/>
      </x:c>
      <x:c r="BH102" s="90"/>
      <x:c r="BI102" s="90"/>
      <x:c r="BJ102" s="90"/>
      <x:c r="BK102" s="123">
        <x:v>100.0</x:v>
      </x:c>
      <x:c r="BL102" s="124">
        <x:f t="shared" si="2"/>
        <x:v>0</x:v>
      </x:c>
      <x:c r="BM102" s="125" t="n">
        <x:f>IFERROR(LARGE($X$3:$X$102,100),"")</x:f>
        <x:v>-130.000329125</x:v>
      </x:c>
      <x:c r="BN102" s="125">
        <x:f t="shared" si="7"/>
        <x:v>-88.87361265</x:v>
      </x:c>
      <x:c r="BO102" s="126">
        <x:f t="shared" si="8"/>
        <x:v>11</x:v>
      </x:c>
      <x:c r="BP102" s="90">
        <x:v>100.0</x:v>
      </x:c>
      <x:c r="BQ102" s="78">
        <x:f t="shared" si="3"/>
        <x:v>37.58735294</x:v>
      </x:c>
      <x:c r="BR102" s="90" t="n">
        <x:f>IFERROR(LARGE($AL$3:$AL$102,100),"")</x:f>
        <x:v>-59.17204411147058</x:v>
      </x:c>
      <x:c r="BS102" s="90">
        <x:f t="shared" si="9"/>
        <x:v>-41.70459706</x:v>
      </x:c>
      <x:c r="BT102" s="90">
        <x:f t="shared" si="10"/>
        <x:v>8</x:v>
      </x:c>
      <x:c r="BU102" s="78">
        <x:v>100.0</x:v>
      </x:c>
      <x:c r="BV102" s="78" t="str">
        <x:f t="shared" si="4"/>
      </x:c>
      <x:c r="BW102" s="90"/>
      <x:c r="BX102" s="90"/>
      <x:c r="BY102" s="90" t="n">
        <x:f t="array" ref="BY102">IFERROR(VALUE(RIGHT(INDEX(ECR!$E:$E,MATCH(P102,ECR!$C:$C,0)),LEN(INDEX(ECR!$E:$E,MATCH(P102,ECR!$C:$C,0)))-2)),"")</x:f>
        <x:v>100</x:v>
      </x:c>
      <x:c r="BZ102" s="90"/>
      <x:c r="CA102" s="90"/>
      <x:c r="CB102" s="90"/>
      <x:c r="CC102" s="90"/>
      <x:c r="CD102" s="90"/>
      <x:c r="CE102" s="90"/>
      <x:c r="CF102" s="90"/>
      <x:c r="CG102" s="90"/>
    </x:row>
    <x:row r="103" ht="14.25" customHeight="1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120"/>
      <x:c r="M103" s="3"/>
      <x:c r="N103" s="120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120"/>
      <x:c r="AA103" s="3"/>
      <x:c r="AB103" s="120"/>
      <x:c r="AC103" s="3"/>
      <x:c r="AD103" s="3"/>
      <x:c r="AE103" s="120"/>
      <x:c r="AF103" s="3"/>
      <x:c r="AG103" s="3"/>
      <x:c r="AH103" s="3"/>
      <x:c r="AI103" s="3"/>
      <x:c r="AJ103" s="3"/>
      <x:c r="AK103" s="3"/>
      <x:c r="AL103" s="3"/>
      <x:c r="AM103" s="3"/>
      <x:c r="AN103" s="120"/>
      <x:c r="AO103" s="3"/>
      <x:c r="AP103" s="120"/>
      <x:c r="AQ103" s="3"/>
      <x:c r="AR103" s="3"/>
      <x:c r="AS103" s="120"/>
      <x:c r="AT103" s="3"/>
      <x:c r="AU103" s="3"/>
      <x:c r="AV103" s="3"/>
      <x:c r="AW103" s="3"/>
      <x:c r="AX103" s="3"/>
      <x:c r="AY103" s="3"/>
      <x:c r="AZ103" s="3"/>
      <x:c r="BA103" s="3"/>
      <x:c r="BB103" s="120"/>
      <x:c r="BC103" s="3"/>
      <x:c r="BD103" s="3"/>
      <x:c r="BE103" s="120"/>
      <x:c r="BF103" s="120"/>
      <x:c r="BG103" s="120"/>
      <x:c r="BH103" s="90"/>
      <x:c r="BI103" s="90"/>
      <x:c r="BJ103" s="90"/>
      <x:c r="BK103" s="90"/>
      <x:c r="BL103" s="90"/>
      <x:c r="BM103" s="90"/>
      <x:c r="BN103" s="90"/>
      <x:c r="BO103" s="78"/>
      <x:c r="BP103" s="90"/>
      <x:c r="BQ103" s="78"/>
      <x:c r="BR103" s="90"/>
      <x:c r="BS103" s="90"/>
      <x:c r="BT103" s="90"/>
      <x:c r="BU103" s="90"/>
      <x:c r="BV103" s="90"/>
      <x:c r="BW103" s="90"/>
      <x:c r="BX103" s="90"/>
      <x:c r="BY103" s="90"/>
      <x:c r="BZ103" s="90"/>
      <x:c r="CA103" s="90"/>
      <x:c r="CB103" s="90"/>
      <x:c r="CC103" s="90"/>
      <x:c r="CD103" s="90"/>
      <x:c r="CE103" s="90"/>
      <x:c r="CF103" s="90"/>
      <x:c r="CG103" s="90"/>
    </x:row>
    <x:row r="104" ht="14.25" customHeight="1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120"/>
      <x:c r="M104" s="3"/>
      <x:c r="N104" s="120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120"/>
      <x:c r="AA104" s="3"/>
      <x:c r="AB104" s="120"/>
      <x:c r="AC104" s="3"/>
      <x:c r="AD104" s="3"/>
      <x:c r="AE104" s="120"/>
      <x:c r="AF104" s="3"/>
      <x:c r="AG104" s="3"/>
      <x:c r="AH104" s="3"/>
      <x:c r="AI104" s="3"/>
      <x:c r="AJ104" s="3"/>
      <x:c r="AK104" s="3"/>
      <x:c r="AL104" s="3"/>
      <x:c r="AM104" s="3"/>
      <x:c r="AN104" s="120"/>
      <x:c r="AO104" s="3"/>
      <x:c r="AP104" s="120"/>
      <x:c r="AQ104" s="3"/>
      <x:c r="AR104" s="3"/>
      <x:c r="AS104" s="120"/>
      <x:c r="AT104" s="3"/>
      <x:c r="AU104" s="3"/>
      <x:c r="AV104" s="3"/>
      <x:c r="AW104" s="3"/>
      <x:c r="AX104" s="3"/>
      <x:c r="AY104" s="3"/>
      <x:c r="AZ104" s="3"/>
      <x:c r="BA104" s="3"/>
      <x:c r="BB104" s="120"/>
      <x:c r="BC104" s="3"/>
      <x:c r="BD104" s="3"/>
      <x:c r="BE104" s="120"/>
      <x:c r="BF104" s="120"/>
      <x:c r="BG104" s="120"/>
      <x:c r="BH104" s="90"/>
      <x:c r="BI104" s="90"/>
      <x:c r="BJ104" s="90"/>
      <x:c r="BK104" s="90"/>
      <x:c r="BL104" s="90"/>
      <x:c r="BM104" s="90"/>
      <x:c r="BN104" s="90"/>
      <x:c r="BO104" s="90"/>
      <x:c r="BP104" s="90"/>
      <x:c r="BQ104" s="90"/>
      <x:c r="BR104" s="90"/>
      <x:c r="BS104" s="90"/>
      <x:c r="BT104" s="90"/>
      <x:c r="BU104" s="90"/>
      <x:c r="BV104" s="90"/>
      <x:c r="BW104" s="90"/>
      <x:c r="BX104" s="90"/>
      <x:c r="BY104" s="90"/>
      <x:c r="BZ104" s="90"/>
      <x:c r="CA104" s="90"/>
      <x:c r="CB104" s="90"/>
      <x:c r="CC104" s="90"/>
      <x:c r="CD104" s="90"/>
      <x:c r="CE104" s="90"/>
      <x:c r="CF104" s="90"/>
      <x:c r="CG104" s="90"/>
    </x:row>
    <x:row r="105" ht="14.25" customHeight="1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120"/>
      <x:c r="M105" s="3"/>
      <x:c r="N105" s="120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120"/>
      <x:c r="AA105" s="3"/>
      <x:c r="AB105" s="120"/>
      <x:c r="AC105" s="3"/>
      <x:c r="AD105" s="3"/>
      <x:c r="AE105" s="120"/>
      <x:c r="AF105" s="3"/>
      <x:c r="AG105" s="3"/>
      <x:c r="AH105" s="3"/>
      <x:c r="AI105" s="3"/>
      <x:c r="AJ105" s="3"/>
      <x:c r="AK105" s="3"/>
      <x:c r="AL105" s="3"/>
      <x:c r="AM105" s="3"/>
      <x:c r="AN105" s="120"/>
      <x:c r="AO105" s="3"/>
      <x:c r="AP105" s="120"/>
      <x:c r="AQ105" s="3"/>
      <x:c r="AR105" s="3"/>
      <x:c r="AS105" s="120"/>
      <x:c r="AT105" s="3"/>
      <x:c r="AU105" s="3"/>
      <x:c r="AV105" s="3"/>
      <x:c r="AW105" s="3"/>
      <x:c r="AX105" s="3"/>
      <x:c r="AY105" s="3"/>
      <x:c r="AZ105" s="3"/>
      <x:c r="BA105" s="3"/>
      <x:c r="BB105" s="120"/>
      <x:c r="BC105" s="3"/>
      <x:c r="BD105" s="3"/>
      <x:c r="BE105" s="120"/>
      <x:c r="BF105" s="120"/>
      <x:c r="BG105" s="120"/>
      <x:c r="BH105" s="90"/>
      <x:c r="BI105" s="90"/>
      <x:c r="BJ105" s="90"/>
      <x:c r="BK105" s="90"/>
      <x:c r="BL105" s="90"/>
      <x:c r="BM105" s="90"/>
      <x:c r="BN105" s="90"/>
      <x:c r="BO105" s="90"/>
      <x:c r="BP105" s="90"/>
      <x:c r="BQ105" s="90"/>
      <x:c r="BR105" s="90"/>
      <x:c r="BS105" s="90"/>
      <x:c r="BT105" s="90"/>
      <x:c r="BU105" s="90"/>
      <x:c r="BV105" s="90"/>
      <x:c r="BW105" s="90"/>
      <x:c r="BX105" s="90"/>
      <x:c r="BY105" s="90"/>
      <x:c r="BZ105" s="90"/>
      <x:c r="CA105" s="90"/>
      <x:c r="CB105" s="90"/>
      <x:c r="CC105" s="90"/>
      <x:c r="CD105" s="90"/>
      <x:c r="CE105" s="90"/>
      <x:c r="CF105" s="90"/>
      <x:c r="CG105" s="90"/>
    </x:row>
    <x:row r="106" ht="14.25" customHeight="1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120"/>
      <x:c r="M106" s="3"/>
      <x:c r="N106" s="120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120"/>
      <x:c r="AA106" s="3"/>
      <x:c r="AB106" s="120"/>
      <x:c r="AC106" s="3"/>
      <x:c r="AD106" s="3"/>
      <x:c r="AE106" s="120"/>
      <x:c r="AF106" s="3"/>
      <x:c r="AG106" s="3"/>
      <x:c r="AH106" s="3"/>
      <x:c r="AI106" s="3"/>
      <x:c r="AJ106" s="3"/>
      <x:c r="AK106" s="3"/>
      <x:c r="AL106" s="3"/>
      <x:c r="AM106" s="3"/>
      <x:c r="AN106" s="120"/>
      <x:c r="AO106" s="3"/>
      <x:c r="AP106" s="120"/>
      <x:c r="AQ106" s="3"/>
      <x:c r="AR106" s="3"/>
      <x:c r="AS106" s="120"/>
      <x:c r="AT106" s="3"/>
      <x:c r="AU106" s="3"/>
      <x:c r="AV106" s="3"/>
      <x:c r="AW106" s="3"/>
      <x:c r="AX106" s="3"/>
      <x:c r="AY106" s="3"/>
      <x:c r="AZ106" s="3"/>
      <x:c r="BA106" s="3"/>
      <x:c r="BB106" s="120"/>
      <x:c r="BC106" s="3"/>
      <x:c r="BD106" s="3"/>
      <x:c r="BE106" s="120"/>
      <x:c r="BF106" s="120"/>
      <x:c r="BG106" s="120"/>
      <x:c r="BH106" s="90"/>
      <x:c r="BI106" s="90"/>
      <x:c r="BJ106" s="90"/>
      <x:c r="BK106" s="90"/>
      <x:c r="BL106" s="90"/>
      <x:c r="BM106" s="90"/>
      <x:c r="BN106" s="90"/>
      <x:c r="BO106" s="90"/>
      <x:c r="BP106" s="90"/>
      <x:c r="BQ106" s="90"/>
      <x:c r="BR106" s="90"/>
      <x:c r="BS106" s="90"/>
      <x:c r="BT106" s="90"/>
      <x:c r="BU106" s="90"/>
      <x:c r="BV106" s="90"/>
      <x:c r="BW106" s="90"/>
      <x:c r="BX106" s="90"/>
      <x:c r="BY106" s="90"/>
      <x:c r="BZ106" s="90"/>
      <x:c r="CA106" s="90"/>
      <x:c r="CB106" s="90"/>
      <x:c r="CC106" s="90"/>
      <x:c r="CD106" s="90"/>
      <x:c r="CE106" s="90"/>
      <x:c r="CF106" s="90"/>
      <x:c r="CG106" s="90"/>
    </x:row>
    <x:row r="107" ht="14.25" customHeight="1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120"/>
      <x:c r="M107" s="3"/>
      <x:c r="N107" s="120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120"/>
      <x:c r="AA107" s="3"/>
      <x:c r="AB107" s="120"/>
      <x:c r="AC107" s="3"/>
      <x:c r="AD107" s="3"/>
      <x:c r="AE107" s="120"/>
      <x:c r="AF107" s="3"/>
      <x:c r="AG107" s="3"/>
      <x:c r="AH107" s="3"/>
      <x:c r="AI107" s="3"/>
      <x:c r="AJ107" s="3"/>
      <x:c r="AK107" s="3"/>
      <x:c r="AL107" s="3"/>
      <x:c r="AM107" s="3"/>
      <x:c r="AN107" s="120"/>
      <x:c r="AO107" s="3"/>
      <x:c r="AP107" s="120"/>
      <x:c r="AQ107" s="3"/>
      <x:c r="AR107" s="3"/>
      <x:c r="AS107" s="120"/>
      <x:c r="AT107" s="3"/>
      <x:c r="AU107" s="3"/>
      <x:c r="AV107" s="3"/>
      <x:c r="AW107" s="3"/>
      <x:c r="AX107" s="3"/>
      <x:c r="AY107" s="3"/>
      <x:c r="AZ107" s="3"/>
      <x:c r="BA107" s="3"/>
      <x:c r="BB107" s="120"/>
      <x:c r="BC107" s="3"/>
      <x:c r="BD107" s="3"/>
      <x:c r="BE107" s="120"/>
      <x:c r="BF107" s="120"/>
      <x:c r="BG107" s="120"/>
      <x:c r="BH107" s="90"/>
      <x:c r="BI107" s="90"/>
      <x:c r="BJ107" s="90"/>
      <x:c r="BK107" s="90"/>
      <x:c r="BL107" s="90"/>
      <x:c r="BM107" s="90"/>
      <x:c r="BN107" s="90"/>
      <x:c r="BO107" s="90"/>
      <x:c r="BP107" s="90"/>
      <x:c r="BQ107" s="90"/>
      <x:c r="BR107" s="90"/>
      <x:c r="BS107" s="90"/>
      <x:c r="BT107" s="90"/>
      <x:c r="BU107" s="90"/>
      <x:c r="BV107" s="90"/>
      <x:c r="BW107" s="90"/>
      <x:c r="BX107" s="90"/>
      <x:c r="BY107" s="90"/>
      <x:c r="BZ107" s="90"/>
      <x:c r="CA107" s="90"/>
      <x:c r="CB107" s="90"/>
      <x:c r="CC107" s="90"/>
      <x:c r="CD107" s="90"/>
      <x:c r="CE107" s="90"/>
      <x:c r="CF107" s="90"/>
      <x:c r="CG107" s="90"/>
    </x:row>
    <x:row r="108" ht="14.25" customHeight="1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120"/>
      <x:c r="M108" s="3"/>
      <x:c r="N108" s="120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120"/>
      <x:c r="AA108" s="3"/>
      <x:c r="AB108" s="120"/>
      <x:c r="AC108" s="3"/>
      <x:c r="AD108" s="3"/>
      <x:c r="AE108" s="120"/>
      <x:c r="AF108" s="3"/>
      <x:c r="AG108" s="3"/>
      <x:c r="AH108" s="3"/>
      <x:c r="AI108" s="3"/>
      <x:c r="AJ108" s="3"/>
      <x:c r="AK108" s="3"/>
      <x:c r="AL108" s="3"/>
      <x:c r="AM108" s="3"/>
      <x:c r="AN108" s="120"/>
      <x:c r="AO108" s="3"/>
      <x:c r="AP108" s="120"/>
      <x:c r="AQ108" s="3"/>
      <x:c r="AR108" s="3"/>
      <x:c r="AS108" s="120"/>
      <x:c r="AT108" s="3"/>
      <x:c r="AU108" s="3"/>
      <x:c r="AV108" s="3"/>
      <x:c r="AW108" s="3"/>
      <x:c r="AX108" s="3"/>
      <x:c r="AY108" s="3"/>
      <x:c r="AZ108" s="3"/>
      <x:c r="BA108" s="3"/>
      <x:c r="BB108" s="120"/>
      <x:c r="BC108" s="3"/>
      <x:c r="BD108" s="3"/>
      <x:c r="BE108" s="120"/>
      <x:c r="BF108" s="120"/>
      <x:c r="BG108" s="120"/>
      <x:c r="BH108" s="90"/>
      <x:c r="BI108" s="90"/>
      <x:c r="BJ108" s="90"/>
      <x:c r="BK108" s="90"/>
      <x:c r="BL108" s="90"/>
      <x:c r="BM108" s="90"/>
      <x:c r="BN108" s="90"/>
      <x:c r="BO108" s="90"/>
      <x:c r="BP108" s="90"/>
      <x:c r="BQ108" s="90"/>
      <x:c r="BR108" s="90"/>
      <x:c r="BS108" s="90"/>
      <x:c r="BT108" s="90"/>
      <x:c r="BU108" s="90"/>
      <x:c r="BV108" s="90"/>
      <x:c r="BW108" s="90"/>
      <x:c r="BX108" s="90"/>
      <x:c r="BY108" s="90"/>
      <x:c r="BZ108" s="90"/>
      <x:c r="CA108" s="90"/>
      <x:c r="CB108" s="90"/>
      <x:c r="CC108" s="90"/>
      <x:c r="CD108" s="90"/>
      <x:c r="CE108" s="90"/>
      <x:c r="CF108" s="90"/>
      <x:c r="CG108" s="90"/>
    </x:row>
    <x:row r="109" ht="14.25" customHeight="1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120"/>
      <x:c r="M109" s="3"/>
      <x:c r="N109" s="120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120"/>
      <x:c r="AA109" s="3"/>
      <x:c r="AB109" s="120"/>
      <x:c r="AC109" s="3"/>
      <x:c r="AD109" s="3"/>
      <x:c r="AE109" s="120"/>
      <x:c r="AF109" s="3"/>
      <x:c r="AG109" s="3"/>
      <x:c r="AH109" s="3"/>
      <x:c r="AI109" s="3"/>
      <x:c r="AJ109" s="3"/>
      <x:c r="AK109" s="3"/>
      <x:c r="AL109" s="3"/>
      <x:c r="AM109" s="3"/>
      <x:c r="AN109" s="120"/>
      <x:c r="AO109" s="3"/>
      <x:c r="AP109" s="120"/>
      <x:c r="AQ109" s="3"/>
      <x:c r="AR109" s="3"/>
      <x:c r="AS109" s="120"/>
      <x:c r="AT109" s="3"/>
      <x:c r="AU109" s="3"/>
      <x:c r="AV109" s="3"/>
      <x:c r="AW109" s="3"/>
      <x:c r="AX109" s="3"/>
      <x:c r="AY109" s="3"/>
      <x:c r="AZ109" s="3"/>
      <x:c r="BA109" s="3"/>
      <x:c r="BB109" s="120"/>
      <x:c r="BC109" s="3"/>
      <x:c r="BD109" s="3"/>
      <x:c r="BE109" s="120"/>
      <x:c r="BF109" s="120"/>
      <x:c r="BG109" s="120"/>
      <x:c r="BH109" s="90"/>
      <x:c r="BI109" s="90"/>
      <x:c r="BJ109" s="90"/>
      <x:c r="BK109" s="90"/>
      <x:c r="BL109" s="90"/>
      <x:c r="BM109" s="90"/>
      <x:c r="BN109" s="90"/>
      <x:c r="BO109" s="90"/>
      <x:c r="BP109" s="90"/>
      <x:c r="BQ109" s="90"/>
      <x:c r="BR109" s="90"/>
      <x:c r="BS109" s="90"/>
      <x:c r="BT109" s="90"/>
      <x:c r="BU109" s="90"/>
      <x:c r="BV109" s="90"/>
      <x:c r="BW109" s="90"/>
      <x:c r="BX109" s="90"/>
      <x:c r="BY109" s="90"/>
      <x:c r="BZ109" s="90"/>
      <x:c r="CA109" s="90"/>
      <x:c r="CB109" s="90"/>
      <x:c r="CC109" s="90"/>
      <x:c r="CD109" s="90"/>
      <x:c r="CE109" s="90"/>
      <x:c r="CF109" s="90"/>
      <x:c r="CG109" s="90"/>
    </x:row>
    <x:row r="110" ht="14.25" customHeight="1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120"/>
      <x:c r="M110" s="3"/>
      <x:c r="N110" s="120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120"/>
      <x:c r="AA110" s="3"/>
      <x:c r="AB110" s="120"/>
      <x:c r="AC110" s="3"/>
      <x:c r="AD110" s="3"/>
      <x:c r="AE110" s="120"/>
      <x:c r="AF110" s="3"/>
      <x:c r="AG110" s="3"/>
      <x:c r="AH110" s="3"/>
      <x:c r="AI110" s="3"/>
      <x:c r="AJ110" s="3"/>
      <x:c r="AK110" s="3"/>
      <x:c r="AL110" s="3"/>
      <x:c r="AM110" s="3"/>
      <x:c r="AN110" s="120"/>
      <x:c r="AO110" s="3"/>
      <x:c r="AP110" s="120"/>
      <x:c r="AQ110" s="3"/>
      <x:c r="AR110" s="3"/>
      <x:c r="AS110" s="120"/>
      <x:c r="AT110" s="3"/>
      <x:c r="AU110" s="3"/>
      <x:c r="AV110" s="3"/>
      <x:c r="AW110" s="3"/>
      <x:c r="AX110" s="3"/>
      <x:c r="AY110" s="3"/>
      <x:c r="AZ110" s="3"/>
      <x:c r="BA110" s="3"/>
      <x:c r="BB110" s="120"/>
      <x:c r="BC110" s="3"/>
      <x:c r="BD110" s="3"/>
      <x:c r="BE110" s="120"/>
      <x:c r="BF110" s="120"/>
      <x:c r="BG110" s="120"/>
      <x:c r="BH110" s="90"/>
      <x:c r="BI110" s="90"/>
      <x:c r="BJ110" s="90"/>
      <x:c r="BK110" s="90"/>
      <x:c r="BL110" s="90"/>
      <x:c r="BM110" s="90"/>
      <x:c r="BN110" s="90"/>
      <x:c r="BO110" s="90"/>
      <x:c r="BP110" s="90"/>
      <x:c r="BQ110" s="90"/>
      <x:c r="BR110" s="90"/>
      <x:c r="BS110" s="90"/>
      <x:c r="BT110" s="90"/>
      <x:c r="BU110" s="90"/>
      <x:c r="BV110" s="90"/>
      <x:c r="BW110" s="90"/>
      <x:c r="BX110" s="90"/>
      <x:c r="BY110" s="90"/>
      <x:c r="BZ110" s="90"/>
      <x:c r="CA110" s="90"/>
      <x:c r="CB110" s="90"/>
      <x:c r="CC110" s="90"/>
      <x:c r="CD110" s="90"/>
      <x:c r="CE110" s="90"/>
      <x:c r="CF110" s="90"/>
      <x:c r="CG110" s="90"/>
    </x:row>
    <x:row r="111" ht="14.25" customHeight="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120"/>
      <x:c r="M111" s="3"/>
      <x:c r="N111" s="120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120"/>
      <x:c r="AA111" s="3"/>
      <x:c r="AB111" s="120"/>
      <x:c r="AC111" s="3"/>
      <x:c r="AD111" s="3"/>
      <x:c r="AE111" s="120"/>
      <x:c r="AF111" s="3"/>
      <x:c r="AG111" s="3"/>
      <x:c r="AH111" s="3"/>
      <x:c r="AI111" s="3"/>
      <x:c r="AJ111" s="3"/>
      <x:c r="AK111" s="3"/>
      <x:c r="AL111" s="3"/>
      <x:c r="AM111" s="3"/>
      <x:c r="AN111" s="120"/>
      <x:c r="AO111" s="3"/>
      <x:c r="AP111" s="120"/>
      <x:c r="AQ111" s="3"/>
      <x:c r="AR111" s="3"/>
      <x:c r="AS111" s="120"/>
      <x:c r="AT111" s="3"/>
      <x:c r="AU111" s="3"/>
      <x:c r="AV111" s="3"/>
      <x:c r="AW111" s="3"/>
      <x:c r="AX111" s="3"/>
      <x:c r="AY111" s="3"/>
      <x:c r="AZ111" s="3"/>
      <x:c r="BA111" s="3"/>
      <x:c r="BB111" s="120"/>
      <x:c r="BC111" s="3"/>
      <x:c r="BD111" s="3"/>
      <x:c r="BE111" s="120"/>
      <x:c r="BF111" s="120"/>
      <x:c r="BG111" s="120"/>
      <x:c r="BH111" s="90"/>
      <x:c r="BI111" s="90"/>
      <x:c r="BJ111" s="90"/>
      <x:c r="BK111" s="90"/>
      <x:c r="BL111" s="90"/>
      <x:c r="BM111" s="90"/>
      <x:c r="BN111" s="90"/>
      <x:c r="BO111" s="90"/>
      <x:c r="BP111" s="90"/>
      <x:c r="BQ111" s="90"/>
      <x:c r="BR111" s="90"/>
      <x:c r="BS111" s="90"/>
      <x:c r="BT111" s="90"/>
      <x:c r="BU111" s="90"/>
      <x:c r="BV111" s="90"/>
      <x:c r="BW111" s="90"/>
      <x:c r="BX111" s="90"/>
      <x:c r="BY111" s="90"/>
      <x:c r="BZ111" s="90"/>
      <x:c r="CA111" s="90"/>
      <x:c r="CB111" s="90"/>
      <x:c r="CC111" s="90"/>
      <x:c r="CD111" s="90"/>
      <x:c r="CE111" s="90"/>
      <x:c r="CF111" s="90"/>
      <x:c r="CG111" s="90"/>
    </x:row>
    <x:row r="112" ht="14.25" customHeight="1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120"/>
      <x:c r="M112" s="3"/>
      <x:c r="N112" s="120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120"/>
      <x:c r="AA112" s="3"/>
      <x:c r="AB112" s="120"/>
      <x:c r="AC112" s="3"/>
      <x:c r="AD112" s="3"/>
      <x:c r="AE112" s="120"/>
      <x:c r="AF112" s="3"/>
      <x:c r="AG112" s="3"/>
      <x:c r="AH112" s="3"/>
      <x:c r="AI112" s="3"/>
      <x:c r="AJ112" s="3"/>
      <x:c r="AK112" s="3"/>
      <x:c r="AL112" s="3"/>
      <x:c r="AM112" s="3"/>
      <x:c r="AN112" s="120"/>
      <x:c r="AO112" s="3"/>
      <x:c r="AP112" s="120"/>
      <x:c r="AQ112" s="3"/>
      <x:c r="AR112" s="3"/>
      <x:c r="AS112" s="120"/>
      <x:c r="AT112" s="3"/>
      <x:c r="AU112" s="3"/>
      <x:c r="AV112" s="3"/>
      <x:c r="AW112" s="3"/>
      <x:c r="AX112" s="3"/>
      <x:c r="AY112" s="3"/>
      <x:c r="AZ112" s="3"/>
      <x:c r="BA112" s="3"/>
      <x:c r="BB112" s="120"/>
      <x:c r="BC112" s="3"/>
      <x:c r="BD112" s="3"/>
      <x:c r="BE112" s="120"/>
      <x:c r="BF112" s="120"/>
      <x:c r="BG112" s="120"/>
      <x:c r="BH112" s="90"/>
      <x:c r="BI112" s="90"/>
      <x:c r="BJ112" s="90"/>
      <x:c r="BK112" s="90"/>
      <x:c r="BL112" s="90"/>
      <x:c r="BM112" s="90"/>
      <x:c r="BN112" s="90"/>
      <x:c r="BO112" s="90"/>
      <x:c r="BP112" s="90"/>
      <x:c r="BQ112" s="90"/>
      <x:c r="BR112" s="90"/>
      <x:c r="BS112" s="90"/>
      <x:c r="BT112" s="90"/>
      <x:c r="BU112" s="90"/>
      <x:c r="BV112" s="90"/>
      <x:c r="BW112" s="90"/>
      <x:c r="BX112" s="90"/>
      <x:c r="BY112" s="90"/>
      <x:c r="BZ112" s="90"/>
      <x:c r="CA112" s="90"/>
      <x:c r="CB112" s="90"/>
      <x:c r="CC112" s="90"/>
      <x:c r="CD112" s="90"/>
      <x:c r="CE112" s="90"/>
      <x:c r="CF112" s="90"/>
      <x:c r="CG112" s="90"/>
    </x:row>
    <x:row r="113" ht="14.25" customHeight="1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120"/>
      <x:c r="M113" s="3"/>
      <x:c r="N113" s="120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120"/>
      <x:c r="AA113" s="3"/>
      <x:c r="AB113" s="120"/>
      <x:c r="AC113" s="3"/>
      <x:c r="AD113" s="3"/>
      <x:c r="AE113" s="120"/>
      <x:c r="AF113" s="3"/>
      <x:c r="AG113" s="3"/>
      <x:c r="AH113" s="3"/>
      <x:c r="AI113" s="3"/>
      <x:c r="AJ113" s="3"/>
      <x:c r="AK113" s="3"/>
      <x:c r="AL113" s="3"/>
      <x:c r="AM113" s="3"/>
      <x:c r="AN113" s="120"/>
      <x:c r="AO113" s="3"/>
      <x:c r="AP113" s="120"/>
      <x:c r="AQ113" s="3"/>
      <x:c r="AR113" s="3"/>
      <x:c r="AS113" s="120"/>
      <x:c r="AT113" s="3"/>
      <x:c r="AU113" s="3"/>
      <x:c r="AV113" s="3"/>
      <x:c r="AW113" s="3"/>
      <x:c r="AX113" s="3"/>
      <x:c r="AY113" s="3"/>
      <x:c r="AZ113" s="3"/>
      <x:c r="BA113" s="3"/>
      <x:c r="BB113" s="120"/>
      <x:c r="BC113" s="3"/>
      <x:c r="BD113" s="3"/>
      <x:c r="BE113" s="120"/>
      <x:c r="BF113" s="120"/>
      <x:c r="BG113" s="120"/>
      <x:c r="BH113" s="90"/>
      <x:c r="BI113" s="90"/>
      <x:c r="BJ113" s="90"/>
      <x:c r="BK113" s="90"/>
      <x:c r="BL113" s="90"/>
      <x:c r="BM113" s="90"/>
      <x:c r="BN113" s="90"/>
      <x:c r="BO113" s="90"/>
      <x:c r="BP113" s="90"/>
      <x:c r="BQ113" s="90"/>
      <x:c r="BR113" s="90"/>
      <x:c r="BS113" s="90"/>
      <x:c r="BT113" s="90"/>
      <x:c r="BU113" s="90"/>
      <x:c r="BV113" s="90"/>
      <x:c r="BW113" s="90"/>
      <x:c r="BX113" s="90"/>
      <x:c r="BY113" s="90"/>
      <x:c r="BZ113" s="90"/>
      <x:c r="CA113" s="90"/>
      <x:c r="CB113" s="90"/>
      <x:c r="CC113" s="90"/>
      <x:c r="CD113" s="90"/>
      <x:c r="CE113" s="90"/>
      <x:c r="CF113" s="90"/>
      <x:c r="CG113" s="90"/>
    </x:row>
    <x:row r="114" ht="14.25" customHeight="1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120"/>
      <x:c r="M114" s="3"/>
      <x:c r="N114" s="120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120"/>
      <x:c r="AA114" s="3"/>
      <x:c r="AB114" s="120"/>
      <x:c r="AC114" s="3"/>
      <x:c r="AD114" s="3"/>
      <x:c r="AE114" s="120"/>
      <x:c r="AF114" s="3"/>
      <x:c r="AG114" s="3"/>
      <x:c r="AH114" s="3"/>
      <x:c r="AI114" s="3"/>
      <x:c r="AJ114" s="3"/>
      <x:c r="AK114" s="3"/>
      <x:c r="AL114" s="3"/>
      <x:c r="AM114" s="3"/>
      <x:c r="AN114" s="120"/>
      <x:c r="AO114" s="3"/>
      <x:c r="AP114" s="120"/>
      <x:c r="AQ114" s="3"/>
      <x:c r="AR114" s="3"/>
      <x:c r="AS114" s="120"/>
      <x:c r="AT114" s="3"/>
      <x:c r="AU114" s="3"/>
      <x:c r="AV114" s="3"/>
      <x:c r="AW114" s="3"/>
      <x:c r="AX114" s="3"/>
      <x:c r="AY114" s="3"/>
      <x:c r="AZ114" s="3"/>
      <x:c r="BA114" s="3"/>
      <x:c r="BB114" s="120"/>
      <x:c r="BC114" s="3"/>
      <x:c r="BD114" s="3"/>
      <x:c r="BE114" s="120"/>
      <x:c r="BF114" s="120"/>
      <x:c r="BG114" s="120"/>
      <x:c r="BH114" s="90"/>
      <x:c r="BI114" s="90"/>
      <x:c r="BJ114" s="90"/>
      <x:c r="BK114" s="90"/>
      <x:c r="BL114" s="90"/>
      <x:c r="BM114" s="90"/>
      <x:c r="BN114" s="90"/>
      <x:c r="BO114" s="90"/>
      <x:c r="BP114" s="90"/>
      <x:c r="BQ114" s="90"/>
      <x:c r="BR114" s="90"/>
      <x:c r="BS114" s="90"/>
      <x:c r="BT114" s="90"/>
      <x:c r="BU114" s="90"/>
      <x:c r="BV114" s="90"/>
      <x:c r="BW114" s="90"/>
      <x:c r="BX114" s="90"/>
      <x:c r="BY114" s="90"/>
      <x:c r="BZ114" s="90"/>
      <x:c r="CA114" s="90"/>
      <x:c r="CB114" s="90"/>
      <x:c r="CC114" s="90"/>
      <x:c r="CD114" s="90"/>
      <x:c r="CE114" s="90"/>
      <x:c r="CF114" s="90"/>
      <x:c r="CG114" s="90"/>
    </x:row>
    <x:row r="115" ht="14.25" customHeight="1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120"/>
      <x:c r="M115" s="3"/>
      <x:c r="N115" s="120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120"/>
      <x:c r="AA115" s="3"/>
      <x:c r="AB115" s="120"/>
      <x:c r="AC115" s="3"/>
      <x:c r="AD115" s="3"/>
      <x:c r="AE115" s="120"/>
      <x:c r="AF115" s="3"/>
      <x:c r="AG115" s="3"/>
      <x:c r="AH115" s="3"/>
      <x:c r="AI115" s="3"/>
      <x:c r="AJ115" s="3"/>
      <x:c r="AK115" s="3"/>
      <x:c r="AL115" s="3"/>
      <x:c r="AM115" s="3"/>
      <x:c r="AN115" s="120"/>
      <x:c r="AO115" s="3"/>
      <x:c r="AP115" s="120"/>
      <x:c r="AQ115" s="3"/>
      <x:c r="AR115" s="3"/>
      <x:c r="AS115" s="120"/>
      <x:c r="AT115" s="3"/>
      <x:c r="AU115" s="3"/>
      <x:c r="AV115" s="3"/>
      <x:c r="AW115" s="3"/>
      <x:c r="AX115" s="3"/>
      <x:c r="AY115" s="3"/>
      <x:c r="AZ115" s="3"/>
      <x:c r="BA115" s="3"/>
      <x:c r="BB115" s="120"/>
      <x:c r="BC115" s="3"/>
      <x:c r="BD115" s="3"/>
      <x:c r="BE115" s="120"/>
      <x:c r="BF115" s="120"/>
      <x:c r="BG115" s="120"/>
      <x:c r="BH115" s="90"/>
      <x:c r="BI115" s="90"/>
      <x:c r="BJ115" s="90"/>
      <x:c r="BK115" s="90"/>
      <x:c r="BL115" s="90"/>
      <x:c r="BM115" s="90"/>
      <x:c r="BN115" s="90"/>
      <x:c r="BO115" s="90"/>
      <x:c r="BP115" s="90"/>
      <x:c r="BQ115" s="90"/>
      <x:c r="BR115" s="90"/>
      <x:c r="BS115" s="90"/>
      <x:c r="BT115" s="90"/>
      <x:c r="BU115" s="90"/>
      <x:c r="BV115" s="90"/>
      <x:c r="BW115" s="90"/>
      <x:c r="BX115" s="90"/>
      <x:c r="BY115" s="90"/>
      <x:c r="BZ115" s="90"/>
      <x:c r="CA115" s="90"/>
      <x:c r="CB115" s="90"/>
      <x:c r="CC115" s="90"/>
      <x:c r="CD115" s="90"/>
      <x:c r="CE115" s="90"/>
      <x:c r="CF115" s="90"/>
      <x:c r="CG115" s="90"/>
    </x:row>
    <x:row r="116" ht="14.25" customHeight="1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120"/>
      <x:c r="M116" s="3"/>
      <x:c r="N116" s="120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120"/>
      <x:c r="AA116" s="3"/>
      <x:c r="AB116" s="120"/>
      <x:c r="AC116" s="3"/>
      <x:c r="AD116" s="3"/>
      <x:c r="AE116" s="120"/>
      <x:c r="AF116" s="3"/>
      <x:c r="AG116" s="3"/>
      <x:c r="AH116" s="3"/>
      <x:c r="AI116" s="3"/>
      <x:c r="AJ116" s="3"/>
      <x:c r="AK116" s="3"/>
      <x:c r="AL116" s="3"/>
      <x:c r="AM116" s="3"/>
      <x:c r="AN116" s="120"/>
      <x:c r="AO116" s="3"/>
      <x:c r="AP116" s="120"/>
      <x:c r="AQ116" s="3"/>
      <x:c r="AR116" s="3"/>
      <x:c r="AS116" s="120"/>
      <x:c r="AT116" s="3"/>
      <x:c r="AU116" s="3"/>
      <x:c r="AV116" s="3"/>
      <x:c r="AW116" s="3"/>
      <x:c r="AX116" s="3"/>
      <x:c r="AY116" s="3"/>
      <x:c r="AZ116" s="3"/>
      <x:c r="BA116" s="3"/>
      <x:c r="BB116" s="120"/>
      <x:c r="BC116" s="3"/>
      <x:c r="BD116" s="3"/>
      <x:c r="BE116" s="120"/>
      <x:c r="BF116" s="120"/>
      <x:c r="BG116" s="120"/>
      <x:c r="BH116" s="90"/>
      <x:c r="BI116" s="90"/>
      <x:c r="BJ116" s="90"/>
      <x:c r="BK116" s="90"/>
      <x:c r="BL116" s="90"/>
      <x:c r="BM116" s="90"/>
      <x:c r="BN116" s="90"/>
      <x:c r="BO116" s="90"/>
      <x:c r="BP116" s="90"/>
      <x:c r="BQ116" s="90"/>
      <x:c r="BR116" s="90"/>
      <x:c r="BS116" s="90"/>
      <x:c r="BT116" s="90"/>
      <x:c r="BU116" s="90"/>
      <x:c r="BV116" s="90"/>
      <x:c r="BW116" s="90"/>
      <x:c r="BX116" s="90"/>
      <x:c r="BY116" s="90"/>
      <x:c r="BZ116" s="90"/>
      <x:c r="CA116" s="90"/>
      <x:c r="CB116" s="90"/>
      <x:c r="CC116" s="90"/>
      <x:c r="CD116" s="90"/>
      <x:c r="CE116" s="90"/>
      <x:c r="CF116" s="90"/>
      <x:c r="CG116" s="90"/>
    </x:row>
    <x:row r="117" ht="14.25" customHeight="1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120"/>
      <x:c r="M117" s="3"/>
      <x:c r="N117" s="120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120"/>
      <x:c r="AA117" s="3"/>
      <x:c r="AB117" s="120"/>
      <x:c r="AC117" s="3"/>
      <x:c r="AD117" s="3"/>
      <x:c r="AE117" s="120"/>
      <x:c r="AF117" s="3"/>
      <x:c r="AG117" s="3"/>
      <x:c r="AH117" s="3"/>
      <x:c r="AI117" s="3"/>
      <x:c r="AJ117" s="3"/>
      <x:c r="AK117" s="3"/>
      <x:c r="AL117" s="3"/>
      <x:c r="AM117" s="3"/>
      <x:c r="AN117" s="120"/>
      <x:c r="AO117" s="3"/>
      <x:c r="AP117" s="120"/>
      <x:c r="AQ117" s="3"/>
      <x:c r="AR117" s="3"/>
      <x:c r="AS117" s="120"/>
      <x:c r="AT117" s="3"/>
      <x:c r="AU117" s="3"/>
      <x:c r="AV117" s="3"/>
      <x:c r="AW117" s="3"/>
      <x:c r="AX117" s="3"/>
      <x:c r="AY117" s="3"/>
      <x:c r="AZ117" s="3"/>
      <x:c r="BA117" s="3"/>
      <x:c r="BB117" s="120"/>
      <x:c r="BC117" s="3"/>
      <x:c r="BD117" s="3"/>
      <x:c r="BE117" s="120"/>
      <x:c r="BF117" s="120"/>
      <x:c r="BG117" s="120"/>
      <x:c r="BH117" s="90"/>
      <x:c r="BI117" s="90"/>
      <x:c r="BJ117" s="90"/>
      <x:c r="BK117" s="90"/>
      <x:c r="BL117" s="90"/>
      <x:c r="BM117" s="90"/>
      <x:c r="BN117" s="90"/>
      <x:c r="BO117" s="90"/>
      <x:c r="BP117" s="90"/>
      <x:c r="BQ117" s="90"/>
      <x:c r="BR117" s="90"/>
      <x:c r="BS117" s="90"/>
      <x:c r="BT117" s="90"/>
      <x:c r="BU117" s="90"/>
      <x:c r="BV117" s="90"/>
      <x:c r="BW117" s="90"/>
      <x:c r="BX117" s="90"/>
      <x:c r="BY117" s="90"/>
      <x:c r="BZ117" s="90"/>
      <x:c r="CA117" s="90"/>
      <x:c r="CB117" s="90"/>
      <x:c r="CC117" s="90"/>
      <x:c r="CD117" s="90"/>
      <x:c r="CE117" s="90"/>
      <x:c r="CF117" s="90"/>
      <x:c r="CG117" s="90"/>
    </x:row>
    <x:row r="118" ht="14.25" customHeight="1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120"/>
      <x:c r="M118" s="3"/>
      <x:c r="N118" s="120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120"/>
      <x:c r="AA118" s="3"/>
      <x:c r="AB118" s="120"/>
      <x:c r="AC118" s="3"/>
      <x:c r="AD118" s="3"/>
      <x:c r="AE118" s="120"/>
      <x:c r="AF118" s="3"/>
      <x:c r="AG118" s="3"/>
      <x:c r="AH118" s="3"/>
      <x:c r="AI118" s="3"/>
      <x:c r="AJ118" s="3"/>
      <x:c r="AK118" s="3"/>
      <x:c r="AL118" s="3"/>
      <x:c r="AM118" s="3"/>
      <x:c r="AN118" s="120"/>
      <x:c r="AO118" s="3"/>
      <x:c r="AP118" s="120"/>
      <x:c r="AQ118" s="3"/>
      <x:c r="AR118" s="3"/>
      <x:c r="AS118" s="120"/>
      <x:c r="AT118" s="3"/>
      <x:c r="AU118" s="3"/>
      <x:c r="AV118" s="3"/>
      <x:c r="AW118" s="3"/>
      <x:c r="AX118" s="3"/>
      <x:c r="AY118" s="3"/>
      <x:c r="AZ118" s="3"/>
      <x:c r="BA118" s="3"/>
      <x:c r="BB118" s="120"/>
      <x:c r="BC118" s="3"/>
      <x:c r="BD118" s="3"/>
      <x:c r="BE118" s="120"/>
      <x:c r="BF118" s="120"/>
      <x:c r="BG118" s="120"/>
      <x:c r="BH118" s="90"/>
      <x:c r="BI118" s="90"/>
      <x:c r="BJ118" s="90"/>
      <x:c r="BK118" s="90"/>
      <x:c r="BL118" s="90"/>
      <x:c r="BM118" s="90"/>
      <x:c r="BN118" s="90"/>
      <x:c r="BO118" s="90"/>
      <x:c r="BP118" s="90"/>
      <x:c r="BQ118" s="90"/>
      <x:c r="BR118" s="90"/>
      <x:c r="BS118" s="90"/>
      <x:c r="BT118" s="90"/>
      <x:c r="BU118" s="90"/>
      <x:c r="BV118" s="90"/>
      <x:c r="BW118" s="90"/>
      <x:c r="BX118" s="90"/>
      <x:c r="BY118" s="90"/>
      <x:c r="BZ118" s="90"/>
      <x:c r="CA118" s="90"/>
      <x:c r="CB118" s="90"/>
      <x:c r="CC118" s="90"/>
      <x:c r="CD118" s="90"/>
      <x:c r="CE118" s="90"/>
      <x:c r="CF118" s="90"/>
      <x:c r="CG118" s="90"/>
    </x:row>
    <x:row r="119" ht="14.25" customHeight="1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120"/>
      <x:c r="M119" s="3"/>
      <x:c r="N119" s="120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120"/>
      <x:c r="AA119" s="3"/>
      <x:c r="AB119" s="120"/>
      <x:c r="AC119" s="3"/>
      <x:c r="AD119" s="3"/>
      <x:c r="AE119" s="120"/>
      <x:c r="AF119" s="3"/>
      <x:c r="AG119" s="3"/>
      <x:c r="AH119" s="3"/>
      <x:c r="AI119" s="3"/>
      <x:c r="AJ119" s="3"/>
      <x:c r="AK119" s="3"/>
      <x:c r="AL119" s="3"/>
      <x:c r="AM119" s="3"/>
      <x:c r="AN119" s="120"/>
      <x:c r="AO119" s="3"/>
      <x:c r="AP119" s="120"/>
      <x:c r="AQ119" s="3"/>
      <x:c r="AR119" s="3"/>
      <x:c r="AS119" s="120"/>
      <x:c r="AT119" s="3"/>
      <x:c r="AU119" s="3"/>
      <x:c r="AV119" s="3"/>
      <x:c r="AW119" s="3"/>
      <x:c r="AX119" s="3"/>
      <x:c r="AY119" s="3"/>
      <x:c r="AZ119" s="3"/>
      <x:c r="BA119" s="3"/>
      <x:c r="BB119" s="120"/>
      <x:c r="BC119" s="3"/>
      <x:c r="BD119" s="3"/>
      <x:c r="BE119" s="120"/>
      <x:c r="BF119" s="120"/>
      <x:c r="BG119" s="120"/>
      <x:c r="BH119" s="90"/>
      <x:c r="BI119" s="90"/>
      <x:c r="BJ119" s="90"/>
      <x:c r="BK119" s="90"/>
      <x:c r="BL119" s="90"/>
      <x:c r="BM119" s="90"/>
      <x:c r="BN119" s="90"/>
      <x:c r="BO119" s="90"/>
      <x:c r="BP119" s="90"/>
      <x:c r="BQ119" s="90"/>
      <x:c r="BR119" s="90"/>
      <x:c r="BS119" s="90"/>
      <x:c r="BT119" s="90"/>
      <x:c r="BU119" s="90"/>
      <x:c r="BV119" s="90"/>
      <x:c r="BW119" s="90"/>
      <x:c r="BX119" s="90"/>
      <x:c r="BY119" s="90"/>
      <x:c r="BZ119" s="90"/>
      <x:c r="CA119" s="90"/>
      <x:c r="CB119" s="90"/>
      <x:c r="CC119" s="90"/>
      <x:c r="CD119" s="90"/>
      <x:c r="CE119" s="90"/>
      <x:c r="CF119" s="90"/>
      <x:c r="CG119" s="90"/>
    </x:row>
    <x:row r="120" ht="14.25" customHeight="1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120"/>
      <x:c r="M120" s="3"/>
      <x:c r="N120" s="120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120"/>
      <x:c r="AA120" s="3"/>
      <x:c r="AB120" s="120"/>
      <x:c r="AC120" s="3"/>
      <x:c r="AD120" s="3"/>
      <x:c r="AE120" s="120"/>
      <x:c r="AF120" s="3"/>
      <x:c r="AG120" s="3"/>
      <x:c r="AH120" s="3"/>
      <x:c r="AI120" s="3"/>
      <x:c r="AJ120" s="3"/>
      <x:c r="AK120" s="3"/>
      <x:c r="AL120" s="3"/>
      <x:c r="AM120" s="3"/>
      <x:c r="AN120" s="120"/>
      <x:c r="AO120" s="3"/>
      <x:c r="AP120" s="120"/>
      <x:c r="AQ120" s="3"/>
      <x:c r="AR120" s="3"/>
      <x:c r="AS120" s="120"/>
      <x:c r="AT120" s="3"/>
      <x:c r="AU120" s="3"/>
      <x:c r="AV120" s="3"/>
      <x:c r="AW120" s="3"/>
      <x:c r="AX120" s="3"/>
      <x:c r="AY120" s="3"/>
      <x:c r="AZ120" s="3"/>
      <x:c r="BA120" s="3"/>
      <x:c r="BB120" s="120"/>
      <x:c r="BC120" s="3"/>
      <x:c r="BD120" s="3"/>
      <x:c r="BE120" s="120"/>
      <x:c r="BF120" s="120"/>
      <x:c r="BG120" s="120"/>
      <x:c r="BH120" s="90"/>
      <x:c r="BI120" s="90"/>
      <x:c r="BJ120" s="90"/>
      <x:c r="BK120" s="90"/>
      <x:c r="BL120" s="90"/>
      <x:c r="BM120" s="90"/>
      <x:c r="BN120" s="90"/>
      <x:c r="BO120" s="90"/>
      <x:c r="BP120" s="90"/>
      <x:c r="BQ120" s="90"/>
      <x:c r="BR120" s="90"/>
      <x:c r="BS120" s="90"/>
      <x:c r="BT120" s="90"/>
      <x:c r="BU120" s="90"/>
      <x:c r="BV120" s="90"/>
      <x:c r="BW120" s="90"/>
      <x:c r="BX120" s="90"/>
      <x:c r="BY120" s="90"/>
      <x:c r="BZ120" s="90"/>
      <x:c r="CA120" s="90"/>
      <x:c r="CB120" s="90"/>
      <x:c r="CC120" s="90"/>
      <x:c r="CD120" s="90"/>
      <x:c r="CE120" s="90"/>
      <x:c r="CF120" s="90"/>
      <x:c r="CG120" s="90"/>
    </x:row>
    <x:row r="121" ht="14.25" customHeight="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120"/>
      <x:c r="M121" s="3"/>
      <x:c r="N121" s="120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120"/>
      <x:c r="AA121" s="3"/>
      <x:c r="AB121" s="120"/>
      <x:c r="AC121" s="3"/>
      <x:c r="AD121" s="3"/>
      <x:c r="AE121" s="120"/>
      <x:c r="AF121" s="3"/>
      <x:c r="AG121" s="3"/>
      <x:c r="AH121" s="3"/>
      <x:c r="AI121" s="3"/>
      <x:c r="AJ121" s="3"/>
      <x:c r="AK121" s="3"/>
      <x:c r="AL121" s="3"/>
      <x:c r="AM121" s="3"/>
      <x:c r="AN121" s="120"/>
      <x:c r="AO121" s="3"/>
      <x:c r="AP121" s="120"/>
      <x:c r="AQ121" s="3"/>
      <x:c r="AR121" s="3"/>
      <x:c r="AS121" s="120"/>
      <x:c r="AT121" s="3"/>
      <x:c r="AU121" s="3"/>
      <x:c r="AV121" s="3"/>
      <x:c r="AW121" s="3"/>
      <x:c r="AX121" s="3"/>
      <x:c r="AY121" s="3"/>
      <x:c r="AZ121" s="3"/>
      <x:c r="BA121" s="3"/>
      <x:c r="BB121" s="120"/>
      <x:c r="BC121" s="3"/>
      <x:c r="BD121" s="3"/>
      <x:c r="BE121" s="120"/>
      <x:c r="BF121" s="120"/>
      <x:c r="BG121" s="120"/>
      <x:c r="BH121" s="90"/>
      <x:c r="BI121" s="90"/>
      <x:c r="BJ121" s="90"/>
      <x:c r="BK121" s="90"/>
      <x:c r="BL121" s="90"/>
      <x:c r="BM121" s="90"/>
      <x:c r="BN121" s="90"/>
      <x:c r="BO121" s="90"/>
      <x:c r="BP121" s="90"/>
      <x:c r="BQ121" s="90"/>
      <x:c r="BR121" s="90"/>
      <x:c r="BS121" s="90"/>
      <x:c r="BT121" s="90"/>
      <x:c r="BU121" s="90"/>
      <x:c r="BV121" s="90"/>
      <x:c r="BW121" s="90"/>
      <x:c r="BX121" s="90"/>
      <x:c r="BY121" s="90"/>
      <x:c r="BZ121" s="90"/>
      <x:c r="CA121" s="90"/>
      <x:c r="CB121" s="90"/>
      <x:c r="CC121" s="90"/>
      <x:c r="CD121" s="90"/>
      <x:c r="CE121" s="90"/>
      <x:c r="CF121" s="90"/>
      <x:c r="CG121" s="90"/>
    </x:row>
    <x:row r="122" ht="14.25" customHeight="1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120"/>
      <x:c r="M122" s="3"/>
      <x:c r="N122" s="120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120"/>
      <x:c r="AA122" s="3"/>
      <x:c r="AB122" s="120"/>
      <x:c r="AC122" s="3"/>
      <x:c r="AD122" s="3"/>
      <x:c r="AE122" s="120"/>
      <x:c r="AF122" s="3"/>
      <x:c r="AG122" s="3"/>
      <x:c r="AH122" s="3"/>
      <x:c r="AI122" s="3"/>
      <x:c r="AJ122" s="3"/>
      <x:c r="AK122" s="3"/>
      <x:c r="AL122" s="3"/>
      <x:c r="AM122" s="3"/>
      <x:c r="AN122" s="120"/>
      <x:c r="AO122" s="3"/>
      <x:c r="AP122" s="120"/>
      <x:c r="AQ122" s="3"/>
      <x:c r="AR122" s="3"/>
      <x:c r="AS122" s="120"/>
      <x:c r="AT122" s="3"/>
      <x:c r="AU122" s="3"/>
      <x:c r="AV122" s="3"/>
      <x:c r="AW122" s="3"/>
      <x:c r="AX122" s="3"/>
      <x:c r="AY122" s="3"/>
      <x:c r="AZ122" s="3"/>
      <x:c r="BA122" s="3"/>
      <x:c r="BB122" s="120"/>
      <x:c r="BC122" s="3"/>
      <x:c r="BD122" s="3"/>
      <x:c r="BE122" s="120"/>
      <x:c r="BF122" s="120"/>
      <x:c r="BG122" s="120"/>
      <x:c r="BH122" s="90"/>
      <x:c r="BI122" s="90"/>
      <x:c r="BJ122" s="90"/>
      <x:c r="BK122" s="90"/>
      <x:c r="BL122" s="90"/>
      <x:c r="BM122" s="90"/>
      <x:c r="BN122" s="90"/>
      <x:c r="BO122" s="90"/>
      <x:c r="BP122" s="90"/>
      <x:c r="BQ122" s="90"/>
      <x:c r="BR122" s="90"/>
      <x:c r="BS122" s="90"/>
      <x:c r="BT122" s="90"/>
      <x:c r="BU122" s="90"/>
      <x:c r="BV122" s="90"/>
      <x:c r="BW122" s="90"/>
      <x:c r="BX122" s="90"/>
      <x:c r="BY122" s="90"/>
      <x:c r="BZ122" s="90"/>
      <x:c r="CA122" s="90"/>
      <x:c r="CB122" s="90"/>
      <x:c r="CC122" s="90"/>
      <x:c r="CD122" s="90"/>
      <x:c r="CE122" s="90"/>
      <x:c r="CF122" s="90"/>
      <x:c r="CG122" s="90"/>
    </x:row>
    <x:row r="123" ht="14.25" customHeight="1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120"/>
      <x:c r="M123" s="3"/>
      <x:c r="N123" s="120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120"/>
      <x:c r="AA123" s="3"/>
      <x:c r="AB123" s="120"/>
      <x:c r="AC123" s="3"/>
      <x:c r="AD123" s="3"/>
      <x:c r="AE123" s="120"/>
      <x:c r="AF123" s="3"/>
      <x:c r="AG123" s="3"/>
      <x:c r="AH123" s="3"/>
      <x:c r="AI123" s="3"/>
      <x:c r="AJ123" s="3"/>
      <x:c r="AK123" s="3"/>
      <x:c r="AL123" s="3"/>
      <x:c r="AM123" s="3"/>
      <x:c r="AN123" s="120"/>
      <x:c r="AO123" s="3"/>
      <x:c r="AP123" s="120"/>
      <x:c r="AQ123" s="3"/>
      <x:c r="AR123" s="3"/>
      <x:c r="AS123" s="120"/>
      <x:c r="AT123" s="3"/>
      <x:c r="AU123" s="3"/>
      <x:c r="AV123" s="3"/>
      <x:c r="AW123" s="3"/>
      <x:c r="AX123" s="3"/>
      <x:c r="AY123" s="3"/>
      <x:c r="AZ123" s="3"/>
      <x:c r="BA123" s="3"/>
      <x:c r="BB123" s="120"/>
      <x:c r="BC123" s="3"/>
      <x:c r="BD123" s="3"/>
      <x:c r="BE123" s="120"/>
      <x:c r="BF123" s="120"/>
      <x:c r="BG123" s="120"/>
      <x:c r="BH123" s="90"/>
      <x:c r="BI123" s="90"/>
      <x:c r="BJ123" s="90"/>
      <x:c r="BK123" s="90"/>
      <x:c r="BL123" s="90"/>
      <x:c r="BM123" s="90"/>
      <x:c r="BN123" s="90"/>
      <x:c r="BO123" s="90"/>
      <x:c r="BP123" s="90"/>
      <x:c r="BQ123" s="90"/>
      <x:c r="BR123" s="90"/>
      <x:c r="BS123" s="90"/>
      <x:c r="BT123" s="90"/>
      <x:c r="BU123" s="90"/>
      <x:c r="BV123" s="90"/>
      <x:c r="BW123" s="90"/>
      <x:c r="BX123" s="90"/>
      <x:c r="BY123" s="90"/>
      <x:c r="BZ123" s="90"/>
      <x:c r="CA123" s="90"/>
      <x:c r="CB123" s="90"/>
      <x:c r="CC123" s="90"/>
      <x:c r="CD123" s="90"/>
      <x:c r="CE123" s="90"/>
      <x:c r="CF123" s="90"/>
      <x:c r="CG123" s="90"/>
    </x:row>
    <x:row r="124" ht="14.25" customHeight="1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120"/>
      <x:c r="M124" s="3"/>
      <x:c r="N124" s="120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120"/>
      <x:c r="AA124" s="3"/>
      <x:c r="AB124" s="120"/>
      <x:c r="AC124" s="3"/>
      <x:c r="AD124" s="3"/>
      <x:c r="AE124" s="120"/>
      <x:c r="AF124" s="3"/>
      <x:c r="AG124" s="3"/>
      <x:c r="AH124" s="3"/>
      <x:c r="AI124" s="3"/>
      <x:c r="AJ124" s="3"/>
      <x:c r="AK124" s="3"/>
      <x:c r="AL124" s="3"/>
      <x:c r="AM124" s="3"/>
      <x:c r="AN124" s="120"/>
      <x:c r="AO124" s="3"/>
      <x:c r="AP124" s="120"/>
      <x:c r="AQ124" s="3"/>
      <x:c r="AR124" s="3"/>
      <x:c r="AS124" s="120"/>
      <x:c r="AT124" s="3"/>
      <x:c r="AU124" s="3"/>
      <x:c r="AV124" s="3"/>
      <x:c r="AW124" s="3"/>
      <x:c r="AX124" s="3"/>
      <x:c r="AY124" s="3"/>
      <x:c r="AZ124" s="3"/>
      <x:c r="BA124" s="3"/>
      <x:c r="BB124" s="120"/>
      <x:c r="BC124" s="3"/>
      <x:c r="BD124" s="3"/>
      <x:c r="BE124" s="120"/>
      <x:c r="BF124" s="120"/>
      <x:c r="BG124" s="120"/>
      <x:c r="BH124" s="90"/>
      <x:c r="BI124" s="90"/>
      <x:c r="BJ124" s="90"/>
      <x:c r="BK124" s="90"/>
      <x:c r="BL124" s="90"/>
      <x:c r="BM124" s="90"/>
      <x:c r="BN124" s="90"/>
      <x:c r="BO124" s="90"/>
      <x:c r="BP124" s="90"/>
      <x:c r="BQ124" s="90"/>
      <x:c r="BR124" s="90"/>
      <x:c r="BS124" s="90"/>
      <x:c r="BT124" s="90"/>
      <x:c r="BU124" s="90"/>
      <x:c r="BV124" s="90"/>
      <x:c r="BW124" s="90"/>
      <x:c r="BX124" s="90"/>
      <x:c r="BY124" s="90"/>
      <x:c r="BZ124" s="90"/>
      <x:c r="CA124" s="90"/>
      <x:c r="CB124" s="90"/>
      <x:c r="CC124" s="90"/>
      <x:c r="CD124" s="90"/>
      <x:c r="CE124" s="90"/>
      <x:c r="CF124" s="90"/>
      <x:c r="CG124" s="90"/>
    </x:row>
    <x:row r="125" ht="14.25" customHeight="1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120"/>
      <x:c r="M125" s="3"/>
      <x:c r="N125" s="120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120"/>
      <x:c r="AA125" s="3"/>
      <x:c r="AB125" s="120"/>
      <x:c r="AC125" s="3"/>
      <x:c r="AD125" s="3"/>
      <x:c r="AE125" s="120"/>
      <x:c r="AF125" s="3"/>
      <x:c r="AG125" s="3"/>
      <x:c r="AH125" s="3"/>
      <x:c r="AI125" s="3"/>
      <x:c r="AJ125" s="3"/>
      <x:c r="AK125" s="3"/>
      <x:c r="AL125" s="3"/>
      <x:c r="AM125" s="3"/>
      <x:c r="AN125" s="120"/>
      <x:c r="AO125" s="3"/>
      <x:c r="AP125" s="120"/>
      <x:c r="AQ125" s="3"/>
      <x:c r="AR125" s="3"/>
      <x:c r="AS125" s="120"/>
      <x:c r="AT125" s="3"/>
      <x:c r="AU125" s="3"/>
      <x:c r="AV125" s="3"/>
      <x:c r="AW125" s="3"/>
      <x:c r="AX125" s="3"/>
      <x:c r="AY125" s="3"/>
      <x:c r="AZ125" s="3"/>
      <x:c r="BA125" s="3"/>
      <x:c r="BB125" s="120"/>
      <x:c r="BC125" s="3"/>
      <x:c r="BD125" s="3"/>
      <x:c r="BE125" s="120"/>
      <x:c r="BF125" s="120"/>
      <x:c r="BG125" s="120"/>
      <x:c r="BH125" s="90"/>
      <x:c r="BI125" s="90"/>
      <x:c r="BJ125" s="90"/>
      <x:c r="BK125" s="90"/>
      <x:c r="BL125" s="90"/>
      <x:c r="BM125" s="90"/>
      <x:c r="BN125" s="90"/>
      <x:c r="BO125" s="90"/>
      <x:c r="BP125" s="90"/>
      <x:c r="BQ125" s="90"/>
      <x:c r="BR125" s="90"/>
      <x:c r="BS125" s="90"/>
      <x:c r="BT125" s="90"/>
      <x:c r="BU125" s="90"/>
      <x:c r="BV125" s="90"/>
      <x:c r="BW125" s="90"/>
      <x:c r="BX125" s="90"/>
      <x:c r="BY125" s="90"/>
      <x:c r="BZ125" s="90"/>
      <x:c r="CA125" s="90"/>
      <x:c r="CB125" s="90"/>
      <x:c r="CC125" s="90"/>
      <x:c r="CD125" s="90"/>
      <x:c r="CE125" s="90"/>
      <x:c r="CF125" s="90"/>
      <x:c r="CG125" s="90"/>
    </x:row>
    <x:row r="126" ht="14.25" customHeight="1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120"/>
      <x:c r="M126" s="3"/>
      <x:c r="N126" s="120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120"/>
      <x:c r="AA126" s="3"/>
      <x:c r="AB126" s="120"/>
      <x:c r="AC126" s="3"/>
      <x:c r="AD126" s="3"/>
      <x:c r="AE126" s="120"/>
      <x:c r="AF126" s="3"/>
      <x:c r="AG126" s="3"/>
      <x:c r="AH126" s="3"/>
      <x:c r="AI126" s="3"/>
      <x:c r="AJ126" s="3"/>
      <x:c r="AK126" s="3"/>
      <x:c r="AL126" s="3"/>
      <x:c r="AM126" s="3"/>
      <x:c r="AN126" s="120"/>
      <x:c r="AO126" s="3"/>
      <x:c r="AP126" s="120"/>
      <x:c r="AQ126" s="3"/>
      <x:c r="AR126" s="3"/>
      <x:c r="AS126" s="120"/>
      <x:c r="AT126" s="3"/>
      <x:c r="AU126" s="3"/>
      <x:c r="AV126" s="3"/>
      <x:c r="AW126" s="3"/>
      <x:c r="AX126" s="3"/>
      <x:c r="AY126" s="3"/>
      <x:c r="AZ126" s="3"/>
      <x:c r="BA126" s="3"/>
      <x:c r="BB126" s="120"/>
      <x:c r="BC126" s="3"/>
      <x:c r="BD126" s="3"/>
      <x:c r="BE126" s="120"/>
      <x:c r="BF126" s="120"/>
      <x:c r="BG126" s="120"/>
      <x:c r="BH126" s="90"/>
      <x:c r="BI126" s="90"/>
      <x:c r="BJ126" s="90"/>
      <x:c r="BK126" s="90"/>
      <x:c r="BL126" s="90"/>
      <x:c r="BM126" s="90"/>
      <x:c r="BN126" s="90"/>
      <x:c r="BO126" s="90"/>
      <x:c r="BP126" s="90"/>
      <x:c r="BQ126" s="90"/>
      <x:c r="BR126" s="90"/>
      <x:c r="BS126" s="90"/>
      <x:c r="BT126" s="90"/>
      <x:c r="BU126" s="90"/>
      <x:c r="BV126" s="90"/>
      <x:c r="BW126" s="90"/>
      <x:c r="BX126" s="90"/>
      <x:c r="BY126" s="90"/>
      <x:c r="BZ126" s="90"/>
      <x:c r="CA126" s="90"/>
      <x:c r="CB126" s="90"/>
      <x:c r="CC126" s="90"/>
      <x:c r="CD126" s="90"/>
      <x:c r="CE126" s="90"/>
      <x:c r="CF126" s="90"/>
      <x:c r="CG126" s="90"/>
    </x:row>
    <x:row r="127" ht="14.25" customHeight="1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120"/>
      <x:c r="M127" s="3"/>
      <x:c r="N127" s="120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120"/>
      <x:c r="AA127" s="3"/>
      <x:c r="AB127" s="120"/>
      <x:c r="AC127" s="3"/>
      <x:c r="AD127" s="3"/>
      <x:c r="AE127" s="120"/>
      <x:c r="AF127" s="3"/>
      <x:c r="AG127" s="3"/>
      <x:c r="AH127" s="3"/>
      <x:c r="AI127" s="3"/>
      <x:c r="AJ127" s="3"/>
      <x:c r="AK127" s="3"/>
      <x:c r="AL127" s="3"/>
      <x:c r="AM127" s="3"/>
      <x:c r="AN127" s="120"/>
      <x:c r="AO127" s="3"/>
      <x:c r="AP127" s="120"/>
      <x:c r="AQ127" s="3"/>
      <x:c r="AR127" s="3"/>
      <x:c r="AS127" s="120"/>
      <x:c r="AT127" s="3"/>
      <x:c r="AU127" s="3"/>
      <x:c r="AV127" s="3"/>
      <x:c r="AW127" s="3"/>
      <x:c r="AX127" s="3"/>
      <x:c r="AY127" s="3"/>
      <x:c r="AZ127" s="3"/>
      <x:c r="BA127" s="3"/>
      <x:c r="BB127" s="120"/>
      <x:c r="BC127" s="3"/>
      <x:c r="BD127" s="3"/>
      <x:c r="BE127" s="120"/>
      <x:c r="BF127" s="120"/>
      <x:c r="BG127" s="120"/>
      <x:c r="BH127" s="90"/>
      <x:c r="BI127" s="90"/>
      <x:c r="BJ127" s="90"/>
      <x:c r="BK127" s="90"/>
      <x:c r="BL127" s="90"/>
      <x:c r="BM127" s="90"/>
      <x:c r="BN127" s="90"/>
      <x:c r="BO127" s="90"/>
      <x:c r="BP127" s="90"/>
      <x:c r="BQ127" s="90"/>
      <x:c r="BR127" s="90"/>
      <x:c r="BS127" s="90"/>
      <x:c r="BT127" s="90"/>
      <x:c r="BU127" s="90"/>
      <x:c r="BV127" s="90"/>
      <x:c r="BW127" s="90"/>
      <x:c r="BX127" s="90"/>
      <x:c r="BY127" s="90"/>
      <x:c r="BZ127" s="90"/>
      <x:c r="CA127" s="90"/>
      <x:c r="CB127" s="90"/>
      <x:c r="CC127" s="90"/>
      <x:c r="CD127" s="90"/>
      <x:c r="CE127" s="90"/>
      <x:c r="CF127" s="90"/>
      <x:c r="CG127" s="90"/>
    </x:row>
    <x:row r="128" ht="14.25" customHeight="1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120"/>
      <x:c r="M128" s="3"/>
      <x:c r="N128" s="120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120"/>
      <x:c r="AA128" s="3"/>
      <x:c r="AB128" s="120"/>
      <x:c r="AC128" s="3"/>
      <x:c r="AD128" s="3"/>
      <x:c r="AE128" s="120"/>
      <x:c r="AF128" s="3"/>
      <x:c r="AG128" s="3"/>
      <x:c r="AH128" s="3"/>
      <x:c r="AI128" s="3"/>
      <x:c r="AJ128" s="3"/>
      <x:c r="AK128" s="3"/>
      <x:c r="AL128" s="3"/>
      <x:c r="AM128" s="3"/>
      <x:c r="AN128" s="120"/>
      <x:c r="AO128" s="3"/>
      <x:c r="AP128" s="120"/>
      <x:c r="AQ128" s="3"/>
      <x:c r="AR128" s="3"/>
      <x:c r="AS128" s="120"/>
      <x:c r="AT128" s="3"/>
      <x:c r="AU128" s="3"/>
      <x:c r="AV128" s="3"/>
      <x:c r="AW128" s="3"/>
      <x:c r="AX128" s="3"/>
      <x:c r="AY128" s="3"/>
      <x:c r="AZ128" s="3"/>
      <x:c r="BA128" s="3"/>
      <x:c r="BB128" s="120"/>
      <x:c r="BC128" s="3"/>
      <x:c r="BD128" s="3"/>
      <x:c r="BE128" s="120"/>
      <x:c r="BF128" s="120"/>
      <x:c r="BG128" s="120"/>
      <x:c r="BH128" s="90"/>
      <x:c r="BI128" s="90"/>
      <x:c r="BJ128" s="90"/>
      <x:c r="BK128" s="90"/>
      <x:c r="BL128" s="90"/>
      <x:c r="BM128" s="90"/>
      <x:c r="BN128" s="90"/>
      <x:c r="BO128" s="90"/>
      <x:c r="BP128" s="90"/>
      <x:c r="BQ128" s="90"/>
      <x:c r="BR128" s="90"/>
      <x:c r="BS128" s="90"/>
      <x:c r="BT128" s="90"/>
      <x:c r="BU128" s="90"/>
      <x:c r="BV128" s="90"/>
      <x:c r="BW128" s="90"/>
      <x:c r="BX128" s="90"/>
      <x:c r="BY128" s="90"/>
      <x:c r="BZ128" s="90"/>
      <x:c r="CA128" s="90"/>
      <x:c r="CB128" s="90"/>
      <x:c r="CC128" s="90"/>
      <x:c r="CD128" s="90"/>
      <x:c r="CE128" s="90"/>
      <x:c r="CF128" s="90"/>
      <x:c r="CG128" s="90"/>
    </x:row>
    <x:row r="129" ht="14.25" customHeight="1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120"/>
      <x:c r="M129" s="3"/>
      <x:c r="N129" s="120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120"/>
      <x:c r="AA129" s="3"/>
      <x:c r="AB129" s="120"/>
      <x:c r="AC129" s="3"/>
      <x:c r="AD129" s="3"/>
      <x:c r="AE129" s="120"/>
      <x:c r="AF129" s="3"/>
      <x:c r="AG129" s="3"/>
      <x:c r="AH129" s="3"/>
      <x:c r="AI129" s="3"/>
      <x:c r="AJ129" s="3"/>
      <x:c r="AK129" s="3"/>
      <x:c r="AL129" s="3"/>
      <x:c r="AM129" s="3"/>
      <x:c r="AN129" s="120"/>
      <x:c r="AO129" s="3"/>
      <x:c r="AP129" s="120"/>
      <x:c r="AQ129" s="3"/>
      <x:c r="AR129" s="3"/>
      <x:c r="AS129" s="120"/>
      <x:c r="AT129" s="3"/>
      <x:c r="AU129" s="3"/>
      <x:c r="AV129" s="3"/>
      <x:c r="AW129" s="3"/>
      <x:c r="AX129" s="3"/>
      <x:c r="AY129" s="3"/>
      <x:c r="AZ129" s="3"/>
      <x:c r="BA129" s="3"/>
      <x:c r="BB129" s="120"/>
      <x:c r="BC129" s="3"/>
      <x:c r="BD129" s="3"/>
      <x:c r="BE129" s="120"/>
      <x:c r="BF129" s="120"/>
      <x:c r="BG129" s="120"/>
      <x:c r="BH129" s="90"/>
      <x:c r="BI129" s="90"/>
      <x:c r="BJ129" s="90"/>
      <x:c r="BK129" s="90"/>
      <x:c r="BL129" s="90"/>
      <x:c r="BM129" s="90"/>
      <x:c r="BN129" s="90"/>
      <x:c r="BO129" s="90"/>
      <x:c r="BP129" s="90"/>
      <x:c r="BQ129" s="90"/>
      <x:c r="BR129" s="90"/>
      <x:c r="BS129" s="90"/>
      <x:c r="BT129" s="90"/>
      <x:c r="BU129" s="90"/>
      <x:c r="BV129" s="90"/>
      <x:c r="BW129" s="90"/>
      <x:c r="BX129" s="90"/>
      <x:c r="BY129" s="90"/>
      <x:c r="BZ129" s="90"/>
      <x:c r="CA129" s="90"/>
      <x:c r="CB129" s="90"/>
      <x:c r="CC129" s="90"/>
      <x:c r="CD129" s="90"/>
      <x:c r="CE129" s="90"/>
      <x:c r="CF129" s="90"/>
      <x:c r="CG129" s="90"/>
    </x:row>
    <x:row r="130" ht="14.25" customHeight="1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120"/>
      <x:c r="M130" s="3"/>
      <x:c r="N130" s="120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120"/>
      <x:c r="AA130" s="3"/>
      <x:c r="AB130" s="120"/>
      <x:c r="AC130" s="3"/>
      <x:c r="AD130" s="3"/>
      <x:c r="AE130" s="120"/>
      <x:c r="AF130" s="3"/>
      <x:c r="AG130" s="3"/>
      <x:c r="AH130" s="3"/>
      <x:c r="AI130" s="3"/>
      <x:c r="AJ130" s="3"/>
      <x:c r="AK130" s="3"/>
      <x:c r="AL130" s="3"/>
      <x:c r="AM130" s="3"/>
      <x:c r="AN130" s="120"/>
      <x:c r="AO130" s="3"/>
      <x:c r="AP130" s="120"/>
      <x:c r="AQ130" s="3"/>
      <x:c r="AR130" s="3"/>
      <x:c r="AS130" s="120"/>
      <x:c r="AT130" s="3"/>
      <x:c r="AU130" s="3"/>
      <x:c r="AV130" s="3"/>
      <x:c r="AW130" s="3"/>
      <x:c r="AX130" s="3"/>
      <x:c r="AY130" s="3"/>
      <x:c r="AZ130" s="3"/>
      <x:c r="BA130" s="3"/>
      <x:c r="BB130" s="120"/>
      <x:c r="BC130" s="3"/>
      <x:c r="BD130" s="3"/>
      <x:c r="BE130" s="120"/>
      <x:c r="BF130" s="120"/>
      <x:c r="BG130" s="120"/>
      <x:c r="BH130" s="90"/>
      <x:c r="BI130" s="90"/>
      <x:c r="BJ130" s="90"/>
      <x:c r="BK130" s="90"/>
      <x:c r="BL130" s="90"/>
      <x:c r="BM130" s="90"/>
      <x:c r="BN130" s="90"/>
      <x:c r="BO130" s="90"/>
      <x:c r="BP130" s="90"/>
      <x:c r="BQ130" s="90"/>
      <x:c r="BR130" s="90"/>
      <x:c r="BS130" s="90"/>
      <x:c r="BT130" s="90"/>
      <x:c r="BU130" s="90"/>
      <x:c r="BV130" s="90"/>
      <x:c r="BW130" s="90"/>
      <x:c r="BX130" s="90"/>
      <x:c r="BY130" s="90"/>
      <x:c r="BZ130" s="90"/>
      <x:c r="CA130" s="90"/>
      <x:c r="CB130" s="90"/>
      <x:c r="CC130" s="90"/>
      <x:c r="CD130" s="90"/>
      <x:c r="CE130" s="90"/>
      <x:c r="CF130" s="90"/>
      <x:c r="CG130" s="90"/>
    </x:row>
    <x:row r="131" ht="14.25" customHeight="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120"/>
      <x:c r="M131" s="3"/>
      <x:c r="N131" s="120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120"/>
      <x:c r="AA131" s="3"/>
      <x:c r="AB131" s="120"/>
      <x:c r="AC131" s="3"/>
      <x:c r="AD131" s="3"/>
      <x:c r="AE131" s="120"/>
      <x:c r="AF131" s="3"/>
      <x:c r="AG131" s="3"/>
      <x:c r="AH131" s="3"/>
      <x:c r="AI131" s="3"/>
      <x:c r="AJ131" s="3"/>
      <x:c r="AK131" s="3"/>
      <x:c r="AL131" s="3"/>
      <x:c r="AM131" s="3"/>
      <x:c r="AN131" s="120"/>
      <x:c r="AO131" s="3"/>
      <x:c r="AP131" s="120"/>
      <x:c r="AQ131" s="3"/>
      <x:c r="AR131" s="3"/>
      <x:c r="AS131" s="120"/>
      <x:c r="AT131" s="3"/>
      <x:c r="AU131" s="3"/>
      <x:c r="AV131" s="3"/>
      <x:c r="AW131" s="3"/>
      <x:c r="AX131" s="3"/>
      <x:c r="AY131" s="3"/>
      <x:c r="AZ131" s="3"/>
      <x:c r="BA131" s="3"/>
      <x:c r="BB131" s="120"/>
      <x:c r="BC131" s="3"/>
      <x:c r="BD131" s="3"/>
      <x:c r="BE131" s="120"/>
      <x:c r="BF131" s="120"/>
      <x:c r="BG131" s="120"/>
      <x:c r="BH131" s="90"/>
      <x:c r="BI131" s="90"/>
      <x:c r="BJ131" s="90"/>
      <x:c r="BK131" s="90"/>
      <x:c r="BL131" s="90"/>
      <x:c r="BM131" s="90"/>
      <x:c r="BN131" s="90"/>
      <x:c r="BO131" s="90"/>
      <x:c r="BP131" s="90"/>
      <x:c r="BQ131" s="90"/>
      <x:c r="BR131" s="90"/>
      <x:c r="BS131" s="90"/>
      <x:c r="BT131" s="90"/>
      <x:c r="BU131" s="90"/>
      <x:c r="BV131" s="90"/>
      <x:c r="BW131" s="90"/>
      <x:c r="BX131" s="90"/>
      <x:c r="BY131" s="90"/>
      <x:c r="BZ131" s="90"/>
      <x:c r="CA131" s="90"/>
      <x:c r="CB131" s="90"/>
      <x:c r="CC131" s="90"/>
      <x:c r="CD131" s="90"/>
      <x:c r="CE131" s="90"/>
      <x:c r="CF131" s="90"/>
      <x:c r="CG131" s="90"/>
    </x:row>
    <x:row r="132" ht="14.25" customHeight="1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120"/>
      <x:c r="M132" s="3"/>
      <x:c r="N132" s="120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120"/>
      <x:c r="AA132" s="3"/>
      <x:c r="AB132" s="120"/>
      <x:c r="AC132" s="3"/>
      <x:c r="AD132" s="3"/>
      <x:c r="AE132" s="120"/>
      <x:c r="AF132" s="3"/>
      <x:c r="AG132" s="3"/>
      <x:c r="AH132" s="3"/>
      <x:c r="AI132" s="3"/>
      <x:c r="AJ132" s="3"/>
      <x:c r="AK132" s="3"/>
      <x:c r="AL132" s="3"/>
      <x:c r="AM132" s="3"/>
      <x:c r="AN132" s="120"/>
      <x:c r="AO132" s="3"/>
      <x:c r="AP132" s="120"/>
      <x:c r="AQ132" s="3"/>
      <x:c r="AR132" s="3"/>
      <x:c r="AS132" s="120"/>
      <x:c r="AT132" s="3"/>
      <x:c r="AU132" s="3"/>
      <x:c r="AV132" s="3"/>
      <x:c r="AW132" s="3"/>
      <x:c r="AX132" s="3"/>
      <x:c r="AY132" s="3"/>
      <x:c r="AZ132" s="3"/>
      <x:c r="BA132" s="3"/>
      <x:c r="BB132" s="120"/>
      <x:c r="BC132" s="3"/>
      <x:c r="BD132" s="3"/>
      <x:c r="BE132" s="120"/>
      <x:c r="BF132" s="120"/>
      <x:c r="BG132" s="120"/>
      <x:c r="BH132" s="90"/>
      <x:c r="BI132" s="90"/>
      <x:c r="BJ132" s="90"/>
      <x:c r="BK132" s="90"/>
      <x:c r="BL132" s="90"/>
      <x:c r="BM132" s="90"/>
      <x:c r="BN132" s="90"/>
      <x:c r="BO132" s="90"/>
      <x:c r="BP132" s="90"/>
      <x:c r="BQ132" s="90"/>
      <x:c r="BR132" s="90"/>
      <x:c r="BS132" s="90"/>
      <x:c r="BT132" s="90"/>
      <x:c r="BU132" s="90"/>
      <x:c r="BV132" s="90"/>
      <x:c r="BW132" s="90"/>
      <x:c r="BX132" s="90"/>
      <x:c r="BY132" s="90"/>
      <x:c r="BZ132" s="90"/>
      <x:c r="CA132" s="90"/>
      <x:c r="CB132" s="90"/>
      <x:c r="CC132" s="90"/>
      <x:c r="CD132" s="90"/>
      <x:c r="CE132" s="90"/>
      <x:c r="CF132" s="90"/>
      <x:c r="CG132" s="90"/>
    </x:row>
    <x:row r="133" ht="14.25" customHeight="1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120"/>
      <x:c r="M133" s="3"/>
      <x:c r="N133" s="120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120"/>
      <x:c r="AA133" s="3"/>
      <x:c r="AB133" s="120"/>
      <x:c r="AC133" s="3"/>
      <x:c r="AD133" s="3"/>
      <x:c r="AE133" s="120"/>
      <x:c r="AF133" s="3"/>
      <x:c r="AG133" s="3"/>
      <x:c r="AH133" s="3"/>
      <x:c r="AI133" s="3"/>
      <x:c r="AJ133" s="3"/>
      <x:c r="AK133" s="3"/>
      <x:c r="AL133" s="3"/>
      <x:c r="AM133" s="3"/>
      <x:c r="AN133" s="120"/>
      <x:c r="AO133" s="3"/>
      <x:c r="AP133" s="120"/>
      <x:c r="AQ133" s="3"/>
      <x:c r="AR133" s="3"/>
      <x:c r="AS133" s="120"/>
      <x:c r="AT133" s="3"/>
      <x:c r="AU133" s="3"/>
      <x:c r="AV133" s="3"/>
      <x:c r="AW133" s="3"/>
      <x:c r="AX133" s="3"/>
      <x:c r="AY133" s="3"/>
      <x:c r="AZ133" s="3"/>
      <x:c r="BA133" s="3"/>
      <x:c r="BB133" s="120"/>
      <x:c r="BC133" s="3"/>
      <x:c r="BD133" s="3"/>
      <x:c r="BE133" s="120"/>
      <x:c r="BF133" s="120"/>
      <x:c r="BG133" s="120"/>
      <x:c r="BH133" s="90"/>
      <x:c r="BI133" s="90"/>
      <x:c r="BJ133" s="90"/>
      <x:c r="BK133" s="90"/>
      <x:c r="BL133" s="90"/>
      <x:c r="BM133" s="90"/>
      <x:c r="BN133" s="90"/>
      <x:c r="BO133" s="90"/>
      <x:c r="BP133" s="90"/>
      <x:c r="BQ133" s="90"/>
      <x:c r="BR133" s="90"/>
      <x:c r="BS133" s="90"/>
      <x:c r="BT133" s="90"/>
      <x:c r="BU133" s="90"/>
      <x:c r="BV133" s="90"/>
      <x:c r="BW133" s="90"/>
      <x:c r="BX133" s="90"/>
      <x:c r="BY133" s="90"/>
      <x:c r="BZ133" s="90"/>
      <x:c r="CA133" s="90"/>
      <x:c r="CB133" s="90"/>
      <x:c r="CC133" s="90"/>
      <x:c r="CD133" s="90"/>
      <x:c r="CE133" s="90"/>
      <x:c r="CF133" s="90"/>
      <x:c r="CG133" s="90"/>
    </x:row>
    <x:row r="134" ht="14.25" customHeight="1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120"/>
      <x:c r="M134" s="3"/>
      <x:c r="N134" s="120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120"/>
      <x:c r="AA134" s="3"/>
      <x:c r="AB134" s="120"/>
      <x:c r="AC134" s="3"/>
      <x:c r="AD134" s="3"/>
      <x:c r="AE134" s="120"/>
      <x:c r="AF134" s="3"/>
      <x:c r="AG134" s="3"/>
      <x:c r="AH134" s="3"/>
      <x:c r="AI134" s="3"/>
      <x:c r="AJ134" s="3"/>
      <x:c r="AK134" s="3"/>
      <x:c r="AL134" s="3"/>
      <x:c r="AM134" s="3"/>
      <x:c r="AN134" s="120"/>
      <x:c r="AO134" s="3"/>
      <x:c r="AP134" s="120"/>
      <x:c r="AQ134" s="3"/>
      <x:c r="AR134" s="3"/>
      <x:c r="AS134" s="120"/>
      <x:c r="AT134" s="3"/>
      <x:c r="AU134" s="3"/>
      <x:c r="AV134" s="3"/>
      <x:c r="AW134" s="3"/>
      <x:c r="AX134" s="3"/>
      <x:c r="AY134" s="3"/>
      <x:c r="AZ134" s="3"/>
      <x:c r="BA134" s="3"/>
      <x:c r="BB134" s="120"/>
      <x:c r="BC134" s="3"/>
      <x:c r="BD134" s="3"/>
      <x:c r="BE134" s="120"/>
      <x:c r="BF134" s="120"/>
      <x:c r="BG134" s="120"/>
      <x:c r="BH134" s="90"/>
      <x:c r="BI134" s="90"/>
      <x:c r="BJ134" s="90"/>
      <x:c r="BK134" s="90"/>
      <x:c r="BL134" s="90"/>
      <x:c r="BM134" s="90"/>
      <x:c r="BN134" s="90"/>
      <x:c r="BO134" s="90"/>
      <x:c r="BP134" s="90"/>
      <x:c r="BQ134" s="90"/>
      <x:c r="BR134" s="90"/>
      <x:c r="BS134" s="90"/>
      <x:c r="BT134" s="90"/>
      <x:c r="BU134" s="90"/>
      <x:c r="BV134" s="90"/>
      <x:c r="BW134" s="90"/>
      <x:c r="BX134" s="90"/>
      <x:c r="BY134" s="90"/>
      <x:c r="BZ134" s="90"/>
      <x:c r="CA134" s="90"/>
      <x:c r="CB134" s="90"/>
      <x:c r="CC134" s="90"/>
      <x:c r="CD134" s="90"/>
      <x:c r="CE134" s="90"/>
      <x:c r="CF134" s="90"/>
      <x:c r="CG134" s="90"/>
    </x:row>
    <x:row r="135" ht="14.25" customHeight="1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120"/>
      <x:c r="M135" s="3"/>
      <x:c r="N135" s="120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120"/>
      <x:c r="AA135" s="3"/>
      <x:c r="AB135" s="120"/>
      <x:c r="AC135" s="3"/>
      <x:c r="AD135" s="3"/>
      <x:c r="AE135" s="120"/>
      <x:c r="AF135" s="3"/>
      <x:c r="AG135" s="3"/>
      <x:c r="AH135" s="3"/>
      <x:c r="AI135" s="3"/>
      <x:c r="AJ135" s="3"/>
      <x:c r="AK135" s="3"/>
      <x:c r="AL135" s="3"/>
      <x:c r="AM135" s="3"/>
      <x:c r="AN135" s="120"/>
      <x:c r="AO135" s="3"/>
      <x:c r="AP135" s="120"/>
      <x:c r="AQ135" s="3"/>
      <x:c r="AR135" s="3"/>
      <x:c r="AS135" s="120"/>
      <x:c r="AT135" s="3"/>
      <x:c r="AU135" s="3"/>
      <x:c r="AV135" s="3"/>
      <x:c r="AW135" s="3"/>
      <x:c r="AX135" s="3"/>
      <x:c r="AY135" s="3"/>
      <x:c r="AZ135" s="3"/>
      <x:c r="BA135" s="3"/>
      <x:c r="BB135" s="120"/>
      <x:c r="BC135" s="3"/>
      <x:c r="BD135" s="3"/>
      <x:c r="BE135" s="120"/>
      <x:c r="BF135" s="120"/>
      <x:c r="BG135" s="120"/>
      <x:c r="BH135" s="90"/>
      <x:c r="BI135" s="90"/>
      <x:c r="BJ135" s="90"/>
      <x:c r="BK135" s="90"/>
      <x:c r="BL135" s="90"/>
      <x:c r="BM135" s="90"/>
      <x:c r="BN135" s="90"/>
      <x:c r="BO135" s="90"/>
      <x:c r="BP135" s="90"/>
      <x:c r="BQ135" s="90"/>
      <x:c r="BR135" s="90"/>
      <x:c r="BS135" s="90"/>
      <x:c r="BT135" s="90"/>
      <x:c r="BU135" s="90"/>
      <x:c r="BV135" s="90"/>
      <x:c r="BW135" s="90"/>
      <x:c r="BX135" s="90"/>
      <x:c r="BY135" s="90"/>
      <x:c r="BZ135" s="90"/>
      <x:c r="CA135" s="90"/>
      <x:c r="CB135" s="90"/>
      <x:c r="CC135" s="90"/>
      <x:c r="CD135" s="90"/>
      <x:c r="CE135" s="90"/>
      <x:c r="CF135" s="90"/>
      <x:c r="CG135" s="90"/>
    </x:row>
    <x:row r="136" ht="14.25" customHeight="1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120"/>
      <x:c r="M136" s="3"/>
      <x:c r="N136" s="120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120"/>
      <x:c r="AA136" s="3"/>
      <x:c r="AB136" s="120"/>
      <x:c r="AC136" s="3"/>
      <x:c r="AD136" s="3"/>
      <x:c r="AE136" s="120"/>
      <x:c r="AF136" s="3"/>
      <x:c r="AG136" s="3"/>
      <x:c r="AH136" s="3"/>
      <x:c r="AI136" s="3"/>
      <x:c r="AJ136" s="3"/>
      <x:c r="AK136" s="3"/>
      <x:c r="AL136" s="3"/>
      <x:c r="AM136" s="3"/>
      <x:c r="AN136" s="120"/>
      <x:c r="AO136" s="3"/>
      <x:c r="AP136" s="120"/>
      <x:c r="AQ136" s="3"/>
      <x:c r="AR136" s="3"/>
      <x:c r="AS136" s="120"/>
      <x:c r="AT136" s="3"/>
      <x:c r="AU136" s="3"/>
      <x:c r="AV136" s="3"/>
      <x:c r="AW136" s="3"/>
      <x:c r="AX136" s="3"/>
      <x:c r="AY136" s="3"/>
      <x:c r="AZ136" s="3"/>
      <x:c r="BA136" s="3"/>
      <x:c r="BB136" s="120"/>
      <x:c r="BC136" s="3"/>
      <x:c r="BD136" s="3"/>
      <x:c r="BE136" s="120"/>
      <x:c r="BF136" s="120"/>
      <x:c r="BG136" s="120"/>
      <x:c r="BH136" s="90"/>
      <x:c r="BI136" s="90"/>
      <x:c r="BJ136" s="90"/>
      <x:c r="BK136" s="90"/>
      <x:c r="BL136" s="90"/>
      <x:c r="BM136" s="90"/>
      <x:c r="BN136" s="90"/>
      <x:c r="BO136" s="90"/>
      <x:c r="BP136" s="90"/>
      <x:c r="BQ136" s="90"/>
      <x:c r="BR136" s="90"/>
      <x:c r="BS136" s="90"/>
      <x:c r="BT136" s="90"/>
      <x:c r="BU136" s="90"/>
      <x:c r="BV136" s="90"/>
      <x:c r="BW136" s="90"/>
      <x:c r="BX136" s="90"/>
      <x:c r="BY136" s="90"/>
      <x:c r="BZ136" s="90"/>
      <x:c r="CA136" s="90"/>
      <x:c r="CB136" s="90"/>
      <x:c r="CC136" s="90"/>
      <x:c r="CD136" s="90"/>
      <x:c r="CE136" s="90"/>
      <x:c r="CF136" s="90"/>
      <x:c r="CG136" s="90"/>
    </x:row>
    <x:row r="137" ht="14.25" customHeight="1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120"/>
      <x:c r="M137" s="3"/>
      <x:c r="N137" s="120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120"/>
      <x:c r="AA137" s="3"/>
      <x:c r="AB137" s="120"/>
      <x:c r="AC137" s="3"/>
      <x:c r="AD137" s="3"/>
      <x:c r="AE137" s="120"/>
      <x:c r="AF137" s="3"/>
      <x:c r="AG137" s="3"/>
      <x:c r="AH137" s="3"/>
      <x:c r="AI137" s="3"/>
      <x:c r="AJ137" s="3"/>
      <x:c r="AK137" s="3"/>
      <x:c r="AL137" s="3"/>
      <x:c r="AM137" s="3"/>
      <x:c r="AN137" s="120"/>
      <x:c r="AO137" s="3"/>
      <x:c r="AP137" s="120"/>
      <x:c r="AQ137" s="3"/>
      <x:c r="AR137" s="3"/>
      <x:c r="AS137" s="120"/>
      <x:c r="AT137" s="3"/>
      <x:c r="AU137" s="3"/>
      <x:c r="AV137" s="3"/>
      <x:c r="AW137" s="3"/>
      <x:c r="AX137" s="3"/>
      <x:c r="AY137" s="3"/>
      <x:c r="AZ137" s="3"/>
      <x:c r="BA137" s="3"/>
      <x:c r="BB137" s="120"/>
      <x:c r="BC137" s="3"/>
      <x:c r="BD137" s="3"/>
      <x:c r="BE137" s="120"/>
      <x:c r="BF137" s="120"/>
      <x:c r="BG137" s="120"/>
      <x:c r="BH137" s="90"/>
      <x:c r="BI137" s="90"/>
      <x:c r="BJ137" s="90"/>
      <x:c r="BK137" s="90"/>
      <x:c r="BL137" s="90"/>
      <x:c r="BM137" s="90"/>
      <x:c r="BN137" s="90"/>
      <x:c r="BO137" s="90"/>
      <x:c r="BP137" s="90"/>
      <x:c r="BQ137" s="90"/>
      <x:c r="BR137" s="90"/>
      <x:c r="BS137" s="90"/>
      <x:c r="BT137" s="90"/>
      <x:c r="BU137" s="90"/>
      <x:c r="BV137" s="90"/>
      <x:c r="BW137" s="90"/>
      <x:c r="BX137" s="90"/>
      <x:c r="BY137" s="90"/>
      <x:c r="BZ137" s="90"/>
      <x:c r="CA137" s="90"/>
      <x:c r="CB137" s="90"/>
      <x:c r="CC137" s="90"/>
      <x:c r="CD137" s="90"/>
      <x:c r="CE137" s="90"/>
      <x:c r="CF137" s="90"/>
      <x:c r="CG137" s="90"/>
    </x:row>
    <x:row r="138" ht="14.25" customHeight="1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120"/>
      <x:c r="M138" s="3"/>
      <x:c r="N138" s="120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120"/>
      <x:c r="AA138" s="3"/>
      <x:c r="AB138" s="120"/>
      <x:c r="AC138" s="3"/>
      <x:c r="AD138" s="3"/>
      <x:c r="AE138" s="120"/>
      <x:c r="AF138" s="3"/>
      <x:c r="AG138" s="3"/>
      <x:c r="AH138" s="3"/>
      <x:c r="AI138" s="3"/>
      <x:c r="AJ138" s="3"/>
      <x:c r="AK138" s="3"/>
      <x:c r="AL138" s="3"/>
      <x:c r="AM138" s="3"/>
      <x:c r="AN138" s="120"/>
      <x:c r="AO138" s="3"/>
      <x:c r="AP138" s="120"/>
      <x:c r="AQ138" s="3"/>
      <x:c r="AR138" s="3"/>
      <x:c r="AS138" s="120"/>
      <x:c r="AT138" s="3"/>
      <x:c r="AU138" s="3"/>
      <x:c r="AV138" s="3"/>
      <x:c r="AW138" s="3"/>
      <x:c r="AX138" s="3"/>
      <x:c r="AY138" s="3"/>
      <x:c r="AZ138" s="3"/>
      <x:c r="BA138" s="3"/>
      <x:c r="BB138" s="120"/>
      <x:c r="BC138" s="3"/>
      <x:c r="BD138" s="3"/>
      <x:c r="BE138" s="120"/>
      <x:c r="BF138" s="120"/>
      <x:c r="BG138" s="120"/>
      <x:c r="BH138" s="90"/>
      <x:c r="BI138" s="90"/>
      <x:c r="BJ138" s="90"/>
      <x:c r="BK138" s="90"/>
      <x:c r="BL138" s="90"/>
      <x:c r="BM138" s="90"/>
      <x:c r="BN138" s="90"/>
      <x:c r="BO138" s="90"/>
      <x:c r="BP138" s="90"/>
      <x:c r="BQ138" s="90"/>
      <x:c r="BR138" s="90"/>
      <x:c r="BS138" s="90"/>
      <x:c r="BT138" s="90"/>
      <x:c r="BU138" s="90"/>
      <x:c r="BV138" s="90"/>
      <x:c r="BW138" s="90"/>
      <x:c r="BX138" s="90"/>
      <x:c r="BY138" s="90"/>
      <x:c r="BZ138" s="90"/>
      <x:c r="CA138" s="90"/>
      <x:c r="CB138" s="90"/>
      <x:c r="CC138" s="90"/>
      <x:c r="CD138" s="90"/>
      <x:c r="CE138" s="90"/>
      <x:c r="CF138" s="90"/>
      <x:c r="CG138" s="90"/>
    </x:row>
    <x:row r="139" ht="14.25" customHeight="1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120"/>
      <x:c r="M139" s="3"/>
      <x:c r="N139" s="120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120"/>
      <x:c r="AA139" s="3"/>
      <x:c r="AB139" s="120"/>
      <x:c r="AC139" s="3"/>
      <x:c r="AD139" s="3"/>
      <x:c r="AE139" s="120"/>
      <x:c r="AF139" s="3"/>
      <x:c r="AG139" s="3"/>
      <x:c r="AH139" s="3"/>
      <x:c r="AI139" s="3"/>
      <x:c r="AJ139" s="3"/>
      <x:c r="AK139" s="3"/>
      <x:c r="AL139" s="3"/>
      <x:c r="AM139" s="3"/>
      <x:c r="AN139" s="120"/>
      <x:c r="AO139" s="3"/>
      <x:c r="AP139" s="120"/>
      <x:c r="AQ139" s="3"/>
      <x:c r="AR139" s="3"/>
      <x:c r="AS139" s="120"/>
      <x:c r="AT139" s="3"/>
      <x:c r="AU139" s="3"/>
      <x:c r="AV139" s="3"/>
      <x:c r="AW139" s="3"/>
      <x:c r="AX139" s="3"/>
      <x:c r="AY139" s="3"/>
      <x:c r="AZ139" s="3"/>
      <x:c r="BA139" s="3"/>
      <x:c r="BB139" s="120"/>
      <x:c r="BC139" s="3"/>
      <x:c r="BD139" s="3"/>
      <x:c r="BE139" s="120"/>
      <x:c r="BF139" s="120"/>
      <x:c r="BG139" s="120"/>
      <x:c r="BH139" s="90"/>
      <x:c r="BI139" s="90"/>
      <x:c r="BJ139" s="90"/>
      <x:c r="BK139" s="90"/>
      <x:c r="BL139" s="90"/>
      <x:c r="BM139" s="90"/>
      <x:c r="BN139" s="90"/>
      <x:c r="BO139" s="90"/>
      <x:c r="BP139" s="90"/>
      <x:c r="BQ139" s="90"/>
      <x:c r="BR139" s="90"/>
      <x:c r="BS139" s="90"/>
      <x:c r="BT139" s="90"/>
      <x:c r="BU139" s="90"/>
      <x:c r="BV139" s="90"/>
      <x:c r="BW139" s="90"/>
      <x:c r="BX139" s="90"/>
      <x:c r="BY139" s="90"/>
      <x:c r="BZ139" s="90"/>
      <x:c r="CA139" s="90"/>
      <x:c r="CB139" s="90"/>
      <x:c r="CC139" s="90"/>
      <x:c r="CD139" s="90"/>
      <x:c r="CE139" s="90"/>
      <x:c r="CF139" s="90"/>
      <x:c r="CG139" s="90"/>
    </x:row>
    <x:row r="140" ht="14.25" customHeight="1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120"/>
      <x:c r="M140" s="3"/>
      <x:c r="N140" s="120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120"/>
      <x:c r="AA140" s="3"/>
      <x:c r="AB140" s="120"/>
      <x:c r="AC140" s="3"/>
      <x:c r="AD140" s="3"/>
      <x:c r="AE140" s="120"/>
      <x:c r="AF140" s="3"/>
      <x:c r="AG140" s="3"/>
      <x:c r="AH140" s="3"/>
      <x:c r="AI140" s="3"/>
      <x:c r="AJ140" s="3"/>
      <x:c r="AK140" s="3"/>
      <x:c r="AL140" s="3"/>
      <x:c r="AM140" s="3"/>
      <x:c r="AN140" s="120"/>
      <x:c r="AO140" s="3"/>
      <x:c r="AP140" s="120"/>
      <x:c r="AQ140" s="3"/>
      <x:c r="AR140" s="3"/>
      <x:c r="AS140" s="120"/>
      <x:c r="AT140" s="3"/>
      <x:c r="AU140" s="3"/>
      <x:c r="AV140" s="3"/>
      <x:c r="AW140" s="3"/>
      <x:c r="AX140" s="3"/>
      <x:c r="AY140" s="3"/>
      <x:c r="AZ140" s="3"/>
      <x:c r="BA140" s="3"/>
      <x:c r="BB140" s="120"/>
      <x:c r="BC140" s="3"/>
      <x:c r="BD140" s="3"/>
      <x:c r="BE140" s="120"/>
      <x:c r="BF140" s="120"/>
      <x:c r="BG140" s="120"/>
      <x:c r="BH140" s="90"/>
      <x:c r="BI140" s="90"/>
      <x:c r="BJ140" s="90"/>
      <x:c r="BK140" s="90"/>
      <x:c r="BL140" s="90"/>
      <x:c r="BM140" s="90"/>
      <x:c r="BN140" s="90"/>
      <x:c r="BO140" s="90"/>
      <x:c r="BP140" s="90"/>
      <x:c r="BQ140" s="90"/>
      <x:c r="BR140" s="90"/>
      <x:c r="BS140" s="90"/>
      <x:c r="BT140" s="90"/>
      <x:c r="BU140" s="90"/>
      <x:c r="BV140" s="90"/>
      <x:c r="BW140" s="90"/>
      <x:c r="BX140" s="90"/>
      <x:c r="BY140" s="90"/>
      <x:c r="BZ140" s="90"/>
      <x:c r="CA140" s="90"/>
      <x:c r="CB140" s="90"/>
      <x:c r="CC140" s="90"/>
      <x:c r="CD140" s="90"/>
      <x:c r="CE140" s="90"/>
      <x:c r="CF140" s="90"/>
      <x:c r="CG140" s="90"/>
    </x:row>
    <x:row r="141" ht="14.25" customHeight="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120"/>
      <x:c r="M141" s="3"/>
      <x:c r="N141" s="120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120"/>
      <x:c r="AA141" s="3"/>
      <x:c r="AB141" s="120"/>
      <x:c r="AC141" s="3"/>
      <x:c r="AD141" s="3"/>
      <x:c r="AE141" s="120"/>
      <x:c r="AF141" s="3"/>
      <x:c r="AG141" s="3"/>
      <x:c r="AH141" s="3"/>
      <x:c r="AI141" s="3"/>
      <x:c r="AJ141" s="3"/>
      <x:c r="AK141" s="3"/>
      <x:c r="AL141" s="3"/>
      <x:c r="AM141" s="3"/>
      <x:c r="AN141" s="120"/>
      <x:c r="AO141" s="3"/>
      <x:c r="AP141" s="120"/>
      <x:c r="AQ141" s="3"/>
      <x:c r="AR141" s="3"/>
      <x:c r="AS141" s="120"/>
      <x:c r="AT141" s="3"/>
      <x:c r="AU141" s="3"/>
      <x:c r="AV141" s="3"/>
      <x:c r="AW141" s="3"/>
      <x:c r="AX141" s="3"/>
      <x:c r="AY141" s="3"/>
      <x:c r="AZ141" s="3"/>
      <x:c r="BA141" s="3"/>
      <x:c r="BB141" s="120"/>
      <x:c r="BC141" s="3"/>
      <x:c r="BD141" s="3"/>
      <x:c r="BE141" s="120"/>
      <x:c r="BF141" s="120"/>
      <x:c r="BG141" s="120"/>
      <x:c r="BH141" s="90"/>
      <x:c r="BI141" s="90"/>
      <x:c r="BJ141" s="90"/>
      <x:c r="BK141" s="90"/>
      <x:c r="BL141" s="90"/>
      <x:c r="BM141" s="90"/>
      <x:c r="BN141" s="90"/>
      <x:c r="BO141" s="90"/>
      <x:c r="BP141" s="90"/>
      <x:c r="BQ141" s="90"/>
      <x:c r="BR141" s="90"/>
      <x:c r="BS141" s="90"/>
      <x:c r="BT141" s="90"/>
      <x:c r="BU141" s="90"/>
      <x:c r="BV141" s="90"/>
      <x:c r="BW141" s="90"/>
      <x:c r="BX141" s="90"/>
      <x:c r="BY141" s="90"/>
      <x:c r="BZ141" s="90"/>
      <x:c r="CA141" s="90"/>
      <x:c r="CB141" s="90"/>
      <x:c r="CC141" s="90"/>
      <x:c r="CD141" s="90"/>
      <x:c r="CE141" s="90"/>
      <x:c r="CF141" s="90"/>
      <x:c r="CG141" s="90"/>
    </x:row>
    <x:row r="142" ht="14.25" customHeight="1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120"/>
      <x:c r="M142" s="3"/>
      <x:c r="N142" s="120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120"/>
      <x:c r="AA142" s="3"/>
      <x:c r="AB142" s="120"/>
      <x:c r="AC142" s="3"/>
      <x:c r="AD142" s="3"/>
      <x:c r="AE142" s="120"/>
      <x:c r="AF142" s="3"/>
      <x:c r="AG142" s="3"/>
      <x:c r="AH142" s="3"/>
      <x:c r="AI142" s="3"/>
      <x:c r="AJ142" s="3"/>
      <x:c r="AK142" s="3"/>
      <x:c r="AL142" s="3"/>
      <x:c r="AM142" s="3"/>
      <x:c r="AN142" s="120"/>
      <x:c r="AO142" s="3"/>
      <x:c r="AP142" s="120"/>
      <x:c r="AQ142" s="3"/>
      <x:c r="AR142" s="3"/>
      <x:c r="AS142" s="120"/>
      <x:c r="AT142" s="3"/>
      <x:c r="AU142" s="3"/>
      <x:c r="AV142" s="3"/>
      <x:c r="AW142" s="3"/>
      <x:c r="AX142" s="3"/>
      <x:c r="AY142" s="3"/>
      <x:c r="AZ142" s="3"/>
      <x:c r="BA142" s="3"/>
      <x:c r="BB142" s="120"/>
      <x:c r="BC142" s="3"/>
      <x:c r="BD142" s="3"/>
      <x:c r="BE142" s="120"/>
      <x:c r="BF142" s="120"/>
      <x:c r="BG142" s="120"/>
      <x:c r="BH142" s="90"/>
      <x:c r="BI142" s="90"/>
      <x:c r="BJ142" s="90"/>
      <x:c r="BK142" s="90"/>
      <x:c r="BL142" s="90"/>
      <x:c r="BM142" s="90"/>
      <x:c r="BN142" s="90"/>
      <x:c r="BO142" s="90"/>
      <x:c r="BP142" s="90"/>
      <x:c r="BQ142" s="90"/>
      <x:c r="BR142" s="90"/>
      <x:c r="BS142" s="90"/>
      <x:c r="BT142" s="90"/>
      <x:c r="BU142" s="90"/>
      <x:c r="BV142" s="90"/>
      <x:c r="BW142" s="90"/>
      <x:c r="BX142" s="90"/>
      <x:c r="BY142" s="90"/>
      <x:c r="BZ142" s="90"/>
      <x:c r="CA142" s="90"/>
      <x:c r="CB142" s="90"/>
      <x:c r="CC142" s="90"/>
      <x:c r="CD142" s="90"/>
      <x:c r="CE142" s="90"/>
      <x:c r="CF142" s="90"/>
      <x:c r="CG142" s="90"/>
    </x:row>
    <x:row r="143" ht="14.25" customHeight="1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120"/>
      <x:c r="M143" s="3"/>
      <x:c r="N143" s="120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120"/>
      <x:c r="AA143" s="3"/>
      <x:c r="AB143" s="120"/>
      <x:c r="AC143" s="3"/>
      <x:c r="AD143" s="3"/>
      <x:c r="AE143" s="120"/>
      <x:c r="AF143" s="3"/>
      <x:c r="AG143" s="3"/>
      <x:c r="AH143" s="3"/>
      <x:c r="AI143" s="3"/>
      <x:c r="AJ143" s="3"/>
      <x:c r="AK143" s="3"/>
      <x:c r="AL143" s="3"/>
      <x:c r="AM143" s="3"/>
      <x:c r="AN143" s="120"/>
      <x:c r="AO143" s="3"/>
      <x:c r="AP143" s="120"/>
      <x:c r="AQ143" s="3"/>
      <x:c r="AR143" s="3"/>
      <x:c r="AS143" s="120"/>
      <x:c r="AT143" s="3"/>
      <x:c r="AU143" s="3"/>
      <x:c r="AV143" s="3"/>
      <x:c r="AW143" s="3"/>
      <x:c r="AX143" s="3"/>
      <x:c r="AY143" s="3"/>
      <x:c r="AZ143" s="3"/>
      <x:c r="BA143" s="3"/>
      <x:c r="BB143" s="120"/>
      <x:c r="BC143" s="3"/>
      <x:c r="BD143" s="3"/>
      <x:c r="BE143" s="120"/>
      <x:c r="BF143" s="120"/>
      <x:c r="BG143" s="120"/>
      <x:c r="BH143" s="90"/>
      <x:c r="BI143" s="90"/>
      <x:c r="BJ143" s="90"/>
      <x:c r="BK143" s="90"/>
      <x:c r="BL143" s="90"/>
      <x:c r="BM143" s="90"/>
      <x:c r="BN143" s="90"/>
      <x:c r="BO143" s="90"/>
      <x:c r="BP143" s="90"/>
      <x:c r="BQ143" s="90"/>
      <x:c r="BR143" s="90"/>
      <x:c r="BS143" s="90"/>
      <x:c r="BT143" s="90"/>
      <x:c r="BU143" s="90"/>
      <x:c r="BV143" s="90"/>
      <x:c r="BW143" s="90"/>
      <x:c r="BX143" s="90"/>
      <x:c r="BY143" s="90"/>
      <x:c r="BZ143" s="90"/>
      <x:c r="CA143" s="90"/>
      <x:c r="CB143" s="90"/>
      <x:c r="CC143" s="90"/>
      <x:c r="CD143" s="90"/>
      <x:c r="CE143" s="90"/>
      <x:c r="CF143" s="90"/>
      <x:c r="CG143" s="90"/>
    </x:row>
    <x:row r="144" ht="14.25" customHeight="1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120"/>
      <x:c r="M144" s="3"/>
      <x:c r="N144" s="120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120"/>
      <x:c r="AA144" s="3"/>
      <x:c r="AB144" s="120"/>
      <x:c r="AC144" s="3"/>
      <x:c r="AD144" s="3"/>
      <x:c r="AE144" s="120"/>
      <x:c r="AF144" s="3"/>
      <x:c r="AG144" s="3"/>
      <x:c r="AH144" s="3"/>
      <x:c r="AI144" s="3"/>
      <x:c r="AJ144" s="3"/>
      <x:c r="AK144" s="3"/>
      <x:c r="AL144" s="3"/>
      <x:c r="AM144" s="3"/>
      <x:c r="AN144" s="120"/>
      <x:c r="AO144" s="3"/>
      <x:c r="AP144" s="120"/>
      <x:c r="AQ144" s="3"/>
      <x:c r="AR144" s="3"/>
      <x:c r="AS144" s="120"/>
      <x:c r="AT144" s="3"/>
      <x:c r="AU144" s="3"/>
      <x:c r="AV144" s="3"/>
      <x:c r="AW144" s="3"/>
      <x:c r="AX144" s="3"/>
      <x:c r="AY144" s="3"/>
      <x:c r="AZ144" s="3"/>
      <x:c r="BA144" s="3"/>
      <x:c r="BB144" s="120"/>
      <x:c r="BC144" s="3"/>
      <x:c r="BD144" s="3"/>
      <x:c r="BE144" s="120"/>
      <x:c r="BF144" s="120"/>
      <x:c r="BG144" s="120"/>
      <x:c r="BH144" s="90"/>
      <x:c r="BI144" s="90"/>
      <x:c r="BJ144" s="90"/>
      <x:c r="BK144" s="90"/>
      <x:c r="BL144" s="90"/>
      <x:c r="BM144" s="90"/>
      <x:c r="BN144" s="90"/>
      <x:c r="BO144" s="90"/>
      <x:c r="BP144" s="90"/>
      <x:c r="BQ144" s="90"/>
      <x:c r="BR144" s="90"/>
      <x:c r="BS144" s="90"/>
      <x:c r="BT144" s="90"/>
      <x:c r="BU144" s="90"/>
      <x:c r="BV144" s="90"/>
      <x:c r="BW144" s="90"/>
      <x:c r="BX144" s="90"/>
      <x:c r="BY144" s="90"/>
      <x:c r="BZ144" s="90"/>
      <x:c r="CA144" s="90"/>
      <x:c r="CB144" s="90"/>
      <x:c r="CC144" s="90"/>
      <x:c r="CD144" s="90"/>
      <x:c r="CE144" s="90"/>
      <x:c r="CF144" s="90"/>
      <x:c r="CG144" s="90"/>
    </x:row>
    <x:row r="145" ht="14.25" customHeight="1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120"/>
      <x:c r="M145" s="3"/>
      <x:c r="N145" s="120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120"/>
      <x:c r="AA145" s="3"/>
      <x:c r="AB145" s="120"/>
      <x:c r="AC145" s="3"/>
      <x:c r="AD145" s="3"/>
      <x:c r="AE145" s="120"/>
      <x:c r="AF145" s="3"/>
      <x:c r="AG145" s="3"/>
      <x:c r="AH145" s="3"/>
      <x:c r="AI145" s="3"/>
      <x:c r="AJ145" s="3"/>
      <x:c r="AK145" s="3"/>
      <x:c r="AL145" s="3"/>
      <x:c r="AM145" s="3"/>
      <x:c r="AN145" s="120"/>
      <x:c r="AO145" s="3"/>
      <x:c r="AP145" s="120"/>
      <x:c r="AQ145" s="3"/>
      <x:c r="AR145" s="3"/>
      <x:c r="AS145" s="120"/>
      <x:c r="AT145" s="3"/>
      <x:c r="AU145" s="3"/>
      <x:c r="AV145" s="3"/>
      <x:c r="AW145" s="3"/>
      <x:c r="AX145" s="3"/>
      <x:c r="AY145" s="3"/>
      <x:c r="AZ145" s="3"/>
      <x:c r="BA145" s="3"/>
      <x:c r="BB145" s="120"/>
      <x:c r="BC145" s="3"/>
      <x:c r="BD145" s="3"/>
      <x:c r="BE145" s="120"/>
      <x:c r="BF145" s="120"/>
      <x:c r="BG145" s="120"/>
      <x:c r="BH145" s="90"/>
      <x:c r="BI145" s="90"/>
      <x:c r="BJ145" s="90"/>
      <x:c r="BK145" s="90"/>
      <x:c r="BL145" s="90"/>
      <x:c r="BM145" s="90"/>
      <x:c r="BN145" s="90"/>
      <x:c r="BO145" s="90"/>
      <x:c r="BP145" s="90"/>
      <x:c r="BQ145" s="90"/>
      <x:c r="BR145" s="90"/>
      <x:c r="BS145" s="90"/>
      <x:c r="BT145" s="90"/>
      <x:c r="BU145" s="90"/>
      <x:c r="BV145" s="90"/>
      <x:c r="BW145" s="90"/>
      <x:c r="BX145" s="90"/>
      <x:c r="BY145" s="90"/>
      <x:c r="BZ145" s="90"/>
      <x:c r="CA145" s="90"/>
      <x:c r="CB145" s="90"/>
      <x:c r="CC145" s="90"/>
      <x:c r="CD145" s="90"/>
      <x:c r="CE145" s="90"/>
      <x:c r="CF145" s="90"/>
      <x:c r="CG145" s="90"/>
    </x:row>
    <x:row r="146" ht="14.25" customHeight="1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120"/>
      <x:c r="M146" s="3"/>
      <x:c r="N146" s="120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120"/>
      <x:c r="AA146" s="3"/>
      <x:c r="AB146" s="120"/>
      <x:c r="AC146" s="3"/>
      <x:c r="AD146" s="3"/>
      <x:c r="AE146" s="120"/>
      <x:c r="AF146" s="3"/>
      <x:c r="AG146" s="3"/>
      <x:c r="AH146" s="3"/>
      <x:c r="AI146" s="3"/>
      <x:c r="AJ146" s="3"/>
      <x:c r="AK146" s="3"/>
      <x:c r="AL146" s="3"/>
      <x:c r="AM146" s="3"/>
      <x:c r="AN146" s="120"/>
      <x:c r="AO146" s="3"/>
      <x:c r="AP146" s="120"/>
      <x:c r="AQ146" s="3"/>
      <x:c r="AR146" s="3"/>
      <x:c r="AS146" s="120"/>
      <x:c r="AT146" s="3"/>
      <x:c r="AU146" s="3"/>
      <x:c r="AV146" s="3"/>
      <x:c r="AW146" s="3"/>
      <x:c r="AX146" s="3"/>
      <x:c r="AY146" s="3"/>
      <x:c r="AZ146" s="3"/>
      <x:c r="BA146" s="3"/>
      <x:c r="BB146" s="120"/>
      <x:c r="BC146" s="3"/>
      <x:c r="BD146" s="3"/>
      <x:c r="BE146" s="120"/>
      <x:c r="BF146" s="120"/>
      <x:c r="BG146" s="120"/>
      <x:c r="BH146" s="90"/>
      <x:c r="BI146" s="90"/>
      <x:c r="BJ146" s="90"/>
      <x:c r="BK146" s="90"/>
      <x:c r="BL146" s="90"/>
      <x:c r="BM146" s="90"/>
      <x:c r="BN146" s="90"/>
      <x:c r="BO146" s="90"/>
      <x:c r="BP146" s="90"/>
      <x:c r="BQ146" s="90"/>
      <x:c r="BR146" s="90"/>
      <x:c r="BS146" s="90"/>
      <x:c r="BT146" s="90"/>
      <x:c r="BU146" s="90"/>
      <x:c r="BV146" s="90"/>
      <x:c r="BW146" s="90"/>
      <x:c r="BX146" s="90"/>
      <x:c r="BY146" s="90"/>
      <x:c r="BZ146" s="90"/>
      <x:c r="CA146" s="90"/>
      <x:c r="CB146" s="90"/>
      <x:c r="CC146" s="90"/>
      <x:c r="CD146" s="90"/>
      <x:c r="CE146" s="90"/>
      <x:c r="CF146" s="90"/>
      <x:c r="CG146" s="90"/>
    </x:row>
    <x:row r="147" ht="14.25" customHeight="1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120"/>
      <x:c r="M147" s="3"/>
      <x:c r="N147" s="120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120"/>
      <x:c r="AA147" s="3"/>
      <x:c r="AB147" s="120"/>
      <x:c r="AC147" s="3"/>
      <x:c r="AD147" s="3"/>
      <x:c r="AE147" s="120"/>
      <x:c r="AF147" s="3"/>
      <x:c r="AG147" s="3"/>
      <x:c r="AH147" s="3"/>
      <x:c r="AI147" s="3"/>
      <x:c r="AJ147" s="3"/>
      <x:c r="AK147" s="3"/>
      <x:c r="AL147" s="3"/>
      <x:c r="AM147" s="3"/>
      <x:c r="AN147" s="120"/>
      <x:c r="AO147" s="3"/>
      <x:c r="AP147" s="120"/>
      <x:c r="AQ147" s="3"/>
      <x:c r="AR147" s="3"/>
      <x:c r="AS147" s="120"/>
      <x:c r="AT147" s="3"/>
      <x:c r="AU147" s="3"/>
      <x:c r="AV147" s="3"/>
      <x:c r="AW147" s="3"/>
      <x:c r="AX147" s="3"/>
      <x:c r="AY147" s="3"/>
      <x:c r="AZ147" s="3"/>
      <x:c r="BA147" s="3"/>
      <x:c r="BB147" s="120"/>
      <x:c r="BC147" s="3"/>
      <x:c r="BD147" s="3"/>
      <x:c r="BE147" s="120"/>
      <x:c r="BF147" s="120"/>
      <x:c r="BG147" s="120"/>
      <x:c r="BH147" s="90"/>
      <x:c r="BI147" s="90"/>
      <x:c r="BJ147" s="90"/>
      <x:c r="BK147" s="90"/>
      <x:c r="BL147" s="90"/>
      <x:c r="BM147" s="90"/>
      <x:c r="BN147" s="90"/>
      <x:c r="BO147" s="90"/>
      <x:c r="BP147" s="90"/>
      <x:c r="BQ147" s="90"/>
      <x:c r="BR147" s="90"/>
      <x:c r="BS147" s="90"/>
      <x:c r="BT147" s="90"/>
      <x:c r="BU147" s="90"/>
      <x:c r="BV147" s="90"/>
      <x:c r="BW147" s="90"/>
      <x:c r="BX147" s="90"/>
      <x:c r="BY147" s="90"/>
      <x:c r="BZ147" s="90"/>
      <x:c r="CA147" s="90"/>
      <x:c r="CB147" s="90"/>
      <x:c r="CC147" s="90"/>
      <x:c r="CD147" s="90"/>
      <x:c r="CE147" s="90"/>
      <x:c r="CF147" s="90"/>
      <x:c r="CG147" s="90"/>
    </x:row>
    <x:row r="148" ht="14.25" customHeight="1">
      <x:c r="AA148" s="3"/>
      <x:c r="AB148" s="3"/>
      <x:c r="AF148" s="3"/>
      <x:c r="AG148" s="3"/>
      <x:c r="AH148" s="3"/>
      <x:c r="AI148" s="3"/>
      <x:c r="AJ148" s="3"/>
      <x:c r="AK148" s="3"/>
      <x:c r="AL148" s="3"/>
      <x:c r="AM148" s="3"/>
      <x:c r="AT148" s="3"/>
      <x:c r="AU148" s="3"/>
      <x:c r="AV148" s="3"/>
      <x:c r="AW148" s="3"/>
      <x:c r="AX148" s="3"/>
      <x:c r="AY148" s="3"/>
      <x:c r="AZ148" s="3"/>
      <x:c r="BA148" s="3"/>
      <x:c r="BC148" s="3"/>
      <x:c r="BD148" s="3"/>
      <x:c r="BE148" s="3"/>
      <x:c r="BF148" s="3"/>
      <x:c r="BG148" s="3"/>
      <x:c r="BH148" s="13"/>
      <x:c r="BI148" s="13"/>
      <x:c r="BJ148" s="13"/>
      <x:c r="BK148" s="13"/>
      <x:c r="BL148" s="13"/>
      <x:c r="BM148" s="13"/>
      <x:c r="BN148" s="13"/>
      <x:c r="BO148" s="13"/>
      <x:c r="BP148" s="13"/>
      <x:c r="BQ148" s="13"/>
      <x:c r="BR148" s="13"/>
      <x:c r="BS148" s="13"/>
      <x:c r="BT148" s="13"/>
      <x:c r="BU148" s="13"/>
      <x:c r="BV148" s="13"/>
      <x:c r="BW148" s="13"/>
      <x:c r="BX148" s="13"/>
      <x:c r="BY148" s="13"/>
      <x:c r="BZ148" s="13"/>
      <x:c r="CA148" s="13"/>
      <x:c r="CB148" s="13"/>
      <x:c r="CC148" s="13"/>
      <x:c r="CD148" s="13"/>
      <x:c r="CE148" s="13"/>
      <x:c r="CF148" s="13"/>
      <x:c r="CG148" s="13"/>
    </x:row>
    <x:row r="149" ht="14.25" customHeight="1">
      <x:c r="AA149" s="3"/>
      <x:c r="AB149" s="3"/>
      <x:c r="AF149" s="3"/>
      <x:c r="AG149" s="3"/>
      <x:c r="AH149" s="3"/>
      <x:c r="AI149" s="3"/>
      <x:c r="AJ149" s="3"/>
      <x:c r="AK149" s="3"/>
      <x:c r="AL149" s="3"/>
      <x:c r="AM149" s="3"/>
      <x:c r="AT149" s="3"/>
      <x:c r="AU149" s="3"/>
      <x:c r="AV149" s="3"/>
      <x:c r="AW149" s="3"/>
      <x:c r="AX149" s="3"/>
      <x:c r="AY149" s="3"/>
      <x:c r="AZ149" s="3"/>
      <x:c r="BA149" s="3"/>
      <x:c r="BC149" s="3"/>
      <x:c r="BD149" s="3"/>
      <x:c r="BE149" s="3"/>
      <x:c r="BF149" s="3"/>
      <x:c r="BG149" s="3"/>
      <x:c r="BH149" s="13"/>
      <x:c r="BI149" s="13"/>
      <x:c r="BJ149" s="13"/>
      <x:c r="BK149" s="13"/>
      <x:c r="BL149" s="13"/>
      <x:c r="BM149" s="13"/>
      <x:c r="BN149" s="13"/>
      <x:c r="BO149" s="13"/>
      <x:c r="BP149" s="13"/>
      <x:c r="BQ149" s="13"/>
      <x:c r="BR149" s="13"/>
      <x:c r="BS149" s="13"/>
      <x:c r="BT149" s="13"/>
      <x:c r="BU149" s="13"/>
      <x:c r="BV149" s="13"/>
      <x:c r="BW149" s="13"/>
      <x:c r="BX149" s="13"/>
      <x:c r="BY149" s="13"/>
      <x:c r="BZ149" s="13"/>
      <x:c r="CA149" s="13"/>
      <x:c r="CB149" s="13"/>
      <x:c r="CC149" s="13"/>
      <x:c r="CD149" s="13"/>
      <x:c r="CE149" s="13"/>
      <x:c r="CF149" s="13"/>
      <x:c r="CG149" s="13"/>
    </x:row>
    <x:row r="150" ht="14.25" customHeight="1">
      <x:c r="AA150" s="3"/>
      <x:c r="AB150" s="3"/>
      <x:c r="AF150" s="3"/>
      <x:c r="AG150" s="3"/>
      <x:c r="AH150" s="3"/>
      <x:c r="AI150" s="3"/>
      <x:c r="AJ150" s="3"/>
      <x:c r="AK150" s="3"/>
      <x:c r="AL150" s="3"/>
      <x:c r="AM150" s="3"/>
      <x:c r="AT150" s="3"/>
      <x:c r="AU150" s="3"/>
      <x:c r="AV150" s="3"/>
      <x:c r="AW150" s="3"/>
      <x:c r="AX150" s="3"/>
      <x:c r="AY150" s="3"/>
      <x:c r="AZ150" s="3"/>
      <x:c r="BA150" s="3"/>
      <x:c r="BC150" s="3"/>
      <x:c r="BD150" s="3"/>
      <x:c r="BE150" s="3"/>
      <x:c r="BF150" s="3"/>
      <x:c r="BG150" s="3"/>
      <x:c r="BH150" s="13"/>
      <x:c r="BI150" s="13"/>
      <x:c r="BJ150" s="13"/>
      <x:c r="BK150" s="13"/>
      <x:c r="BL150" s="13"/>
      <x:c r="BM150" s="13"/>
      <x:c r="BN150" s="13"/>
      <x:c r="BO150" s="13"/>
      <x:c r="BP150" s="13"/>
      <x:c r="BQ150" s="13"/>
      <x:c r="BR150" s="13"/>
      <x:c r="BS150" s="13"/>
      <x:c r="BT150" s="13"/>
      <x:c r="BU150" s="13"/>
      <x:c r="BV150" s="13"/>
      <x:c r="BW150" s="13"/>
      <x:c r="BX150" s="13"/>
      <x:c r="BY150" s="13"/>
      <x:c r="BZ150" s="13"/>
      <x:c r="CA150" s="13"/>
      <x:c r="CB150" s="13"/>
      <x:c r="CC150" s="13"/>
      <x:c r="CD150" s="13"/>
      <x:c r="CE150" s="13"/>
      <x:c r="CF150" s="13"/>
      <x:c r="CG150" s="13"/>
    </x:row>
    <x:row r="151" ht="14.25" customHeight="1">
      <x:c r="AA151" s="3"/>
      <x:c r="AB151" s="3"/>
      <x:c r="AF151" s="3"/>
      <x:c r="AG151" s="3"/>
      <x:c r="AH151" s="3"/>
      <x:c r="AI151" s="3"/>
      <x:c r="AJ151" s="3"/>
      <x:c r="AK151" s="3"/>
      <x:c r="AL151" s="3"/>
      <x:c r="AM151" s="3"/>
      <x:c r="AT151" s="3"/>
      <x:c r="AU151" s="3"/>
      <x:c r="AV151" s="3"/>
      <x:c r="AW151" s="3"/>
      <x:c r="AX151" s="3"/>
      <x:c r="AY151" s="3"/>
      <x:c r="AZ151" s="3"/>
      <x:c r="BA151" s="3"/>
      <x:c r="BC151" s="3"/>
      <x:c r="BD151" s="3"/>
      <x:c r="BE151" s="3"/>
      <x:c r="BF151" s="3"/>
      <x:c r="BG151" s="3"/>
      <x:c r="BH151" s="13"/>
      <x:c r="BI151" s="13"/>
      <x:c r="BJ151" s="13"/>
      <x:c r="BK151" s="13"/>
      <x:c r="BL151" s="13"/>
      <x:c r="BM151" s="13"/>
      <x:c r="BN151" s="13"/>
      <x:c r="BO151" s="13"/>
      <x:c r="BP151" s="13"/>
      <x:c r="BQ151" s="13"/>
      <x:c r="BR151" s="13"/>
      <x:c r="BS151" s="13"/>
      <x:c r="BT151" s="13"/>
      <x:c r="BU151" s="13"/>
      <x:c r="BV151" s="13"/>
      <x:c r="BW151" s="13"/>
      <x:c r="BX151" s="13"/>
      <x:c r="BY151" s="13"/>
      <x:c r="BZ151" s="13"/>
      <x:c r="CA151" s="13"/>
      <x:c r="CB151" s="13"/>
      <x:c r="CC151" s="13"/>
      <x:c r="CD151" s="13"/>
      <x:c r="CE151" s="13"/>
      <x:c r="CF151" s="13"/>
      <x:c r="CG151" s="13"/>
    </x:row>
    <x:row r="152" ht="14.25" customHeight="1">
      <x:c r="AA152" s="3"/>
      <x:c r="AB152" s="3"/>
      <x:c r="AF152" s="3"/>
      <x:c r="AG152" s="3"/>
      <x:c r="AH152" s="3"/>
      <x:c r="AI152" s="3"/>
      <x:c r="AJ152" s="3"/>
      <x:c r="AK152" s="3"/>
      <x:c r="AL152" s="3"/>
      <x:c r="AM152" s="3"/>
      <x:c r="AT152" s="3"/>
      <x:c r="AU152" s="3"/>
      <x:c r="AV152" s="3"/>
      <x:c r="AW152" s="3"/>
      <x:c r="AX152" s="3"/>
      <x:c r="AY152" s="3"/>
      <x:c r="AZ152" s="3"/>
      <x:c r="BA152" s="3"/>
      <x:c r="BC152" s="3"/>
      <x:c r="BD152" s="3"/>
      <x:c r="BE152" s="3"/>
      <x:c r="BF152" s="3"/>
      <x:c r="BG152" s="3"/>
      <x:c r="BH152" s="13"/>
      <x:c r="BI152" s="13"/>
      <x:c r="BJ152" s="13"/>
      <x:c r="BK152" s="13"/>
      <x:c r="BL152" s="13"/>
      <x:c r="BM152" s="13"/>
      <x:c r="BN152" s="13"/>
      <x:c r="BO152" s="13"/>
      <x:c r="BP152" s="13"/>
      <x:c r="BQ152" s="13"/>
      <x:c r="BR152" s="13"/>
      <x:c r="BS152" s="13"/>
      <x:c r="BT152" s="13"/>
      <x:c r="BU152" s="13"/>
      <x:c r="BV152" s="13"/>
      <x:c r="BW152" s="13"/>
      <x:c r="BX152" s="13"/>
      <x:c r="BY152" s="13"/>
      <x:c r="BZ152" s="13"/>
      <x:c r="CA152" s="13"/>
      <x:c r="CB152" s="13"/>
      <x:c r="CC152" s="13"/>
      <x:c r="CD152" s="13"/>
      <x:c r="CE152" s="13"/>
      <x:c r="CF152" s="13"/>
      <x:c r="CG152" s="13"/>
    </x:row>
    <x:row r="153" ht="14.25" customHeight="1">
      <x:c r="AA153" s="3"/>
      <x:c r="AB153" s="3"/>
      <x:c r="AF153" s="3"/>
      <x:c r="AG153" s="3"/>
      <x:c r="AH153" s="3"/>
      <x:c r="AI153" s="3"/>
      <x:c r="AJ153" s="3"/>
      <x:c r="AK153" s="3"/>
      <x:c r="AL153" s="3"/>
      <x:c r="AM153" s="3"/>
      <x:c r="AT153" s="3"/>
      <x:c r="AU153" s="3"/>
      <x:c r="AV153" s="3"/>
      <x:c r="AW153" s="3"/>
      <x:c r="AX153" s="3"/>
      <x:c r="AY153" s="3"/>
      <x:c r="AZ153" s="3"/>
      <x:c r="BA153" s="3"/>
      <x:c r="BC153" s="3"/>
      <x:c r="BD153" s="3"/>
      <x:c r="BE153" s="3"/>
      <x:c r="BF153" s="3"/>
      <x:c r="BG153" s="3"/>
      <x:c r="BH153" s="13"/>
      <x:c r="BI153" s="13"/>
      <x:c r="BJ153" s="13"/>
      <x:c r="BK153" s="13"/>
      <x:c r="BL153" s="13"/>
      <x:c r="BM153" s="13"/>
      <x:c r="BN153" s="13"/>
      <x:c r="BO153" s="13"/>
      <x:c r="BP153" s="13"/>
      <x:c r="BQ153" s="13"/>
      <x:c r="BR153" s="13"/>
      <x:c r="BS153" s="13"/>
      <x:c r="BT153" s="13"/>
      <x:c r="BU153" s="13"/>
      <x:c r="BV153" s="13"/>
      <x:c r="BW153" s="13"/>
      <x:c r="BX153" s="13"/>
      <x:c r="BY153" s="13"/>
      <x:c r="BZ153" s="13"/>
      <x:c r="CA153" s="13"/>
      <x:c r="CB153" s="13"/>
      <x:c r="CC153" s="13"/>
      <x:c r="CD153" s="13"/>
      <x:c r="CE153" s="13"/>
      <x:c r="CF153" s="13"/>
      <x:c r="CG153" s="13"/>
    </x:row>
    <x:row r="154" ht="14.25" customHeight="1">
      <x:c r="AA154" s="3"/>
      <x:c r="AB154" s="3"/>
      <x:c r="AF154" s="3"/>
      <x:c r="AG154" s="3"/>
      <x:c r="AH154" s="3"/>
      <x:c r="AI154" s="3"/>
      <x:c r="AJ154" s="3"/>
      <x:c r="AK154" s="3"/>
      <x:c r="AL154" s="3"/>
      <x:c r="AM154" s="3"/>
      <x:c r="AT154" s="3"/>
      <x:c r="AU154" s="3"/>
      <x:c r="AV154" s="3"/>
      <x:c r="AW154" s="3"/>
      <x:c r="AX154" s="3"/>
      <x:c r="AY154" s="3"/>
      <x:c r="AZ154" s="3"/>
      <x:c r="BA154" s="3"/>
      <x:c r="BC154" s="3"/>
      <x:c r="BD154" s="3"/>
      <x:c r="BE154" s="3"/>
      <x:c r="BF154" s="3"/>
      <x:c r="BG154" s="3"/>
      <x:c r="BH154" s="13"/>
      <x:c r="BI154" s="13"/>
      <x:c r="BJ154" s="13"/>
      <x:c r="BK154" s="13"/>
      <x:c r="BL154" s="13"/>
      <x:c r="BM154" s="13"/>
      <x:c r="BN154" s="13"/>
      <x:c r="BO154" s="13"/>
      <x:c r="BP154" s="13"/>
      <x:c r="BQ154" s="13"/>
      <x:c r="BR154" s="13"/>
      <x:c r="BS154" s="13"/>
      <x:c r="BT154" s="13"/>
      <x:c r="BU154" s="13"/>
      <x:c r="BV154" s="13"/>
      <x:c r="BW154" s="13"/>
      <x:c r="BX154" s="13"/>
      <x:c r="BY154" s="13"/>
      <x:c r="BZ154" s="13"/>
      <x:c r="CA154" s="13"/>
      <x:c r="CB154" s="13"/>
      <x:c r="CC154" s="13"/>
      <x:c r="CD154" s="13"/>
      <x:c r="CE154" s="13"/>
      <x:c r="CF154" s="13"/>
      <x:c r="CG154" s="13"/>
    </x:row>
    <x:row r="155" ht="14.25" customHeight="1">
      <x:c r="AA155" s="3"/>
      <x:c r="AB155" s="3"/>
      <x:c r="AF155" s="3"/>
      <x:c r="AG155" s="3"/>
      <x:c r="AH155" s="3"/>
      <x:c r="AI155" s="3"/>
      <x:c r="AJ155" s="3"/>
      <x:c r="AK155" s="3"/>
      <x:c r="AL155" s="3"/>
      <x:c r="AM155" s="3"/>
      <x:c r="AT155" s="3"/>
      <x:c r="AU155" s="3"/>
      <x:c r="AV155" s="3"/>
      <x:c r="AW155" s="3"/>
      <x:c r="AX155" s="3"/>
      <x:c r="AY155" s="3"/>
      <x:c r="AZ155" s="3"/>
      <x:c r="BA155" s="3"/>
      <x:c r="BC155" s="3"/>
      <x:c r="BD155" s="3"/>
      <x:c r="BE155" s="3"/>
      <x:c r="BF155" s="3"/>
      <x:c r="BG155" s="3"/>
      <x:c r="BH155" s="13"/>
      <x:c r="BI155" s="13"/>
      <x:c r="BJ155" s="13"/>
      <x:c r="BK155" s="13"/>
      <x:c r="BL155" s="13"/>
      <x:c r="BM155" s="13"/>
      <x:c r="BN155" s="13"/>
      <x:c r="BO155" s="13"/>
      <x:c r="BP155" s="13"/>
      <x:c r="BQ155" s="13"/>
      <x:c r="BR155" s="13"/>
      <x:c r="BS155" s="13"/>
      <x:c r="BT155" s="13"/>
      <x:c r="BU155" s="13"/>
      <x:c r="BV155" s="13"/>
      <x:c r="BW155" s="13"/>
      <x:c r="BX155" s="13"/>
      <x:c r="BY155" s="13"/>
      <x:c r="BZ155" s="13"/>
      <x:c r="CA155" s="13"/>
      <x:c r="CB155" s="13"/>
      <x:c r="CC155" s="13"/>
      <x:c r="CD155" s="13"/>
      <x:c r="CE155" s="13"/>
      <x:c r="CF155" s="13"/>
      <x:c r="CG155" s="13"/>
    </x:row>
    <x:row r="156" ht="14.25" customHeight="1">
      <x:c r="AA156" s="3"/>
      <x:c r="AB156" s="3"/>
      <x:c r="AF156" s="3"/>
      <x:c r="AG156" s="3"/>
      <x:c r="AH156" s="3"/>
      <x:c r="AI156" s="3"/>
      <x:c r="AJ156" s="3"/>
      <x:c r="AK156" s="3"/>
      <x:c r="AL156" s="3"/>
      <x:c r="AM156" s="3"/>
      <x:c r="AT156" s="3"/>
      <x:c r="AU156" s="3"/>
      <x:c r="AV156" s="3"/>
      <x:c r="AW156" s="3"/>
      <x:c r="AX156" s="3"/>
      <x:c r="AY156" s="3"/>
      <x:c r="AZ156" s="3"/>
      <x:c r="BA156" s="3"/>
      <x:c r="BC156" s="3"/>
      <x:c r="BD156" s="3"/>
      <x:c r="BE156" s="3"/>
      <x:c r="BF156" s="3"/>
      <x:c r="BG156" s="3"/>
      <x:c r="BH156" s="13"/>
      <x:c r="BI156" s="13"/>
      <x:c r="BJ156" s="13"/>
      <x:c r="BK156" s="13"/>
      <x:c r="BL156" s="13"/>
      <x:c r="BM156" s="13"/>
      <x:c r="BN156" s="13"/>
      <x:c r="BO156" s="13"/>
      <x:c r="BP156" s="13"/>
      <x:c r="BQ156" s="13"/>
      <x:c r="BR156" s="13"/>
      <x:c r="BS156" s="13"/>
      <x:c r="BT156" s="13"/>
      <x:c r="BU156" s="13"/>
      <x:c r="BV156" s="13"/>
      <x:c r="BW156" s="13"/>
      <x:c r="BX156" s="13"/>
      <x:c r="BY156" s="13"/>
      <x:c r="BZ156" s="13"/>
      <x:c r="CA156" s="13"/>
      <x:c r="CB156" s="13"/>
      <x:c r="CC156" s="13"/>
      <x:c r="CD156" s="13"/>
      <x:c r="CE156" s="13"/>
      <x:c r="CF156" s="13"/>
      <x:c r="CG156" s="13"/>
    </x:row>
    <x:row r="157" ht="14.25" customHeight="1">
      <x:c r="AA157" s="3"/>
      <x:c r="AB157" s="3"/>
      <x:c r="AF157" s="3"/>
      <x:c r="AG157" s="3"/>
      <x:c r="AH157" s="3"/>
      <x:c r="AI157" s="3"/>
      <x:c r="AJ157" s="3"/>
      <x:c r="AK157" s="3"/>
      <x:c r="AL157" s="3"/>
      <x:c r="AM157" s="3"/>
      <x:c r="AT157" s="3"/>
      <x:c r="AU157" s="3"/>
      <x:c r="AV157" s="3"/>
      <x:c r="AW157" s="3"/>
      <x:c r="AX157" s="3"/>
      <x:c r="AY157" s="3"/>
      <x:c r="AZ157" s="3"/>
      <x:c r="BA157" s="3"/>
      <x:c r="BC157" s="3"/>
      <x:c r="BD157" s="3"/>
      <x:c r="BE157" s="3"/>
      <x:c r="BF157" s="3"/>
      <x:c r="BG157" s="3"/>
      <x:c r="BH157" s="13"/>
      <x:c r="BI157" s="13"/>
      <x:c r="BJ157" s="13"/>
      <x:c r="BK157" s="13"/>
      <x:c r="BL157" s="13"/>
      <x:c r="BM157" s="13"/>
      <x:c r="BN157" s="13"/>
      <x:c r="BO157" s="13"/>
      <x:c r="BP157" s="13"/>
      <x:c r="BQ157" s="13"/>
      <x:c r="BR157" s="13"/>
      <x:c r="BS157" s="13"/>
      <x:c r="BT157" s="13"/>
      <x:c r="BU157" s="13"/>
      <x:c r="BV157" s="13"/>
      <x:c r="BW157" s="13"/>
      <x:c r="BX157" s="13"/>
      <x:c r="BY157" s="13"/>
      <x:c r="BZ157" s="13"/>
      <x:c r="CA157" s="13"/>
      <x:c r="CB157" s="13"/>
      <x:c r="CC157" s="13"/>
      <x:c r="CD157" s="13"/>
      <x:c r="CE157" s="13"/>
      <x:c r="CF157" s="13"/>
      <x:c r="CG157" s="13"/>
    </x:row>
    <x:row r="158" ht="14.25" customHeight="1">
      <x:c r="AA158" s="3"/>
      <x:c r="AB158" s="3"/>
      <x:c r="AF158" s="3"/>
      <x:c r="AG158" s="3"/>
      <x:c r="AH158" s="3"/>
      <x:c r="AI158" s="3"/>
      <x:c r="AJ158" s="3"/>
      <x:c r="AK158" s="3"/>
      <x:c r="AL158" s="3"/>
      <x:c r="AM158" s="3"/>
      <x:c r="AT158" s="3"/>
      <x:c r="AU158" s="3"/>
      <x:c r="AV158" s="3"/>
      <x:c r="AW158" s="3"/>
      <x:c r="AX158" s="3"/>
      <x:c r="AY158" s="3"/>
      <x:c r="AZ158" s="3"/>
      <x:c r="BA158" s="3"/>
      <x:c r="BC158" s="3"/>
      <x:c r="BD158" s="3"/>
      <x:c r="BE158" s="3"/>
      <x:c r="BF158" s="3"/>
      <x:c r="BG158" s="3"/>
      <x:c r="BH158" s="13"/>
      <x:c r="BI158" s="13"/>
      <x:c r="BJ158" s="13"/>
      <x:c r="BK158" s="13"/>
      <x:c r="BL158" s="13"/>
      <x:c r="BM158" s="13"/>
      <x:c r="BN158" s="13"/>
      <x:c r="BO158" s="13"/>
      <x:c r="BP158" s="13"/>
      <x:c r="BQ158" s="13"/>
      <x:c r="BR158" s="13"/>
      <x:c r="BS158" s="13"/>
      <x:c r="BT158" s="13"/>
      <x:c r="BU158" s="13"/>
      <x:c r="BV158" s="13"/>
      <x:c r="BW158" s="13"/>
      <x:c r="BX158" s="13"/>
      <x:c r="BY158" s="13"/>
      <x:c r="BZ158" s="13"/>
      <x:c r="CA158" s="13"/>
      <x:c r="CB158" s="13"/>
      <x:c r="CC158" s="13"/>
      <x:c r="CD158" s="13"/>
      <x:c r="CE158" s="13"/>
      <x:c r="CF158" s="13"/>
      <x:c r="CG158" s="13"/>
    </x:row>
    <x:row r="159" ht="14.25" customHeight="1">
      <x:c r="AA159" s="3"/>
      <x:c r="AB159" s="3"/>
      <x:c r="AF159" s="3"/>
      <x:c r="AG159" s="3"/>
      <x:c r="AH159" s="3"/>
      <x:c r="AI159" s="3"/>
      <x:c r="AJ159" s="3"/>
      <x:c r="AK159" s="3"/>
      <x:c r="AL159" s="3"/>
      <x:c r="AM159" s="3"/>
      <x:c r="AT159" s="3"/>
      <x:c r="AU159" s="3"/>
      <x:c r="AV159" s="3"/>
      <x:c r="AW159" s="3"/>
      <x:c r="AX159" s="3"/>
      <x:c r="AY159" s="3"/>
      <x:c r="AZ159" s="3"/>
      <x:c r="BA159" s="3"/>
      <x:c r="BC159" s="3"/>
      <x:c r="BD159" s="3"/>
      <x:c r="BE159" s="3"/>
      <x:c r="BF159" s="3"/>
      <x:c r="BG159" s="3"/>
      <x:c r="BH159" s="13"/>
      <x:c r="BI159" s="13"/>
      <x:c r="BJ159" s="13"/>
      <x:c r="BK159" s="13"/>
      <x:c r="BL159" s="13"/>
      <x:c r="BM159" s="13"/>
      <x:c r="BN159" s="13"/>
      <x:c r="BO159" s="13"/>
      <x:c r="BP159" s="13"/>
      <x:c r="BQ159" s="13"/>
      <x:c r="BR159" s="13"/>
      <x:c r="BS159" s="13"/>
      <x:c r="BT159" s="13"/>
      <x:c r="BU159" s="13"/>
      <x:c r="BV159" s="13"/>
      <x:c r="BW159" s="13"/>
      <x:c r="BX159" s="13"/>
      <x:c r="BY159" s="13"/>
      <x:c r="BZ159" s="13"/>
      <x:c r="CA159" s="13"/>
      <x:c r="CB159" s="13"/>
      <x:c r="CC159" s="13"/>
      <x:c r="CD159" s="13"/>
      <x:c r="CE159" s="13"/>
      <x:c r="CF159" s="13"/>
      <x:c r="CG159" s="13"/>
    </x:row>
    <x:row r="160" ht="14.25" customHeight="1">
      <x:c r="AA160" s="3"/>
      <x:c r="AB160" s="3"/>
      <x:c r="AF160" s="3"/>
      <x:c r="AG160" s="3"/>
      <x:c r="AH160" s="3"/>
      <x:c r="AI160" s="3"/>
      <x:c r="AJ160" s="3"/>
      <x:c r="AK160" s="3"/>
      <x:c r="AL160" s="3"/>
      <x:c r="AM160" s="3"/>
      <x:c r="AT160" s="3"/>
      <x:c r="AU160" s="3"/>
      <x:c r="AV160" s="3"/>
      <x:c r="AW160" s="3"/>
      <x:c r="AX160" s="3"/>
      <x:c r="AY160" s="3"/>
      <x:c r="AZ160" s="3"/>
      <x:c r="BA160" s="3"/>
      <x:c r="BC160" s="3"/>
      <x:c r="BD160" s="3"/>
      <x:c r="BE160" s="3"/>
      <x:c r="BF160" s="3"/>
      <x:c r="BG160" s="3"/>
      <x:c r="BH160" s="13"/>
      <x:c r="BI160" s="13"/>
      <x:c r="BJ160" s="13"/>
      <x:c r="BK160" s="13"/>
      <x:c r="BL160" s="13"/>
      <x:c r="BM160" s="13"/>
      <x:c r="BN160" s="13"/>
      <x:c r="BO160" s="13"/>
      <x:c r="BP160" s="13"/>
      <x:c r="BQ160" s="13"/>
      <x:c r="BR160" s="13"/>
      <x:c r="BS160" s="13"/>
      <x:c r="BT160" s="13"/>
      <x:c r="BU160" s="13"/>
      <x:c r="BV160" s="13"/>
      <x:c r="BW160" s="13"/>
      <x:c r="BX160" s="13"/>
      <x:c r="BY160" s="13"/>
      <x:c r="BZ160" s="13"/>
      <x:c r="CA160" s="13"/>
      <x:c r="CB160" s="13"/>
      <x:c r="CC160" s="13"/>
      <x:c r="CD160" s="13"/>
      <x:c r="CE160" s="13"/>
      <x:c r="CF160" s="13"/>
      <x:c r="CG160" s="13"/>
    </x:row>
    <x:row r="161" ht="14.25" customHeight="1">
      <x:c r="AA161" s="3"/>
      <x:c r="AB161" s="3"/>
      <x:c r="AF161" s="3"/>
      <x:c r="AG161" s="3"/>
      <x:c r="AH161" s="3"/>
      <x:c r="AI161" s="3"/>
      <x:c r="AJ161" s="3"/>
      <x:c r="AK161" s="3"/>
      <x:c r="AL161" s="3"/>
      <x:c r="AM161" s="3"/>
      <x:c r="AT161" s="3"/>
      <x:c r="AU161" s="3"/>
      <x:c r="AV161" s="3"/>
      <x:c r="AW161" s="3"/>
      <x:c r="AX161" s="3"/>
      <x:c r="AY161" s="3"/>
      <x:c r="AZ161" s="3"/>
      <x:c r="BA161" s="3"/>
      <x:c r="BC161" s="3"/>
      <x:c r="BD161" s="3"/>
      <x:c r="BE161" s="3"/>
      <x:c r="BF161" s="3"/>
      <x:c r="BG161" s="3"/>
      <x:c r="BH161" s="13"/>
      <x:c r="BI161" s="13"/>
      <x:c r="BJ161" s="13"/>
      <x:c r="BK161" s="13"/>
      <x:c r="BL161" s="13"/>
      <x:c r="BM161" s="13"/>
      <x:c r="BN161" s="13"/>
      <x:c r="BO161" s="13"/>
      <x:c r="BP161" s="13"/>
      <x:c r="BQ161" s="13"/>
      <x:c r="BR161" s="13"/>
      <x:c r="BS161" s="13"/>
      <x:c r="BT161" s="13"/>
      <x:c r="BU161" s="13"/>
      <x:c r="BV161" s="13"/>
      <x:c r="BW161" s="13"/>
      <x:c r="BX161" s="13"/>
      <x:c r="BY161" s="13"/>
      <x:c r="BZ161" s="13"/>
      <x:c r="CA161" s="13"/>
      <x:c r="CB161" s="13"/>
      <x:c r="CC161" s="13"/>
      <x:c r="CD161" s="13"/>
      <x:c r="CE161" s="13"/>
      <x:c r="CF161" s="13"/>
      <x:c r="CG161" s="13"/>
    </x:row>
    <x:row r="162" ht="14.25" customHeight="1">
      <x:c r="AA162" s="3"/>
      <x:c r="AB162" s="3"/>
      <x:c r="AF162" s="3"/>
      <x:c r="AG162" s="3"/>
      <x:c r="AH162" s="3"/>
      <x:c r="AI162" s="3"/>
      <x:c r="AJ162" s="3"/>
      <x:c r="AK162" s="3"/>
      <x:c r="AL162" s="3"/>
      <x:c r="AM162" s="3"/>
      <x:c r="AT162" s="3"/>
      <x:c r="AU162" s="3"/>
      <x:c r="AV162" s="3"/>
      <x:c r="AW162" s="3"/>
      <x:c r="AX162" s="3"/>
      <x:c r="AY162" s="3"/>
      <x:c r="AZ162" s="3"/>
      <x:c r="BA162" s="3"/>
      <x:c r="BC162" s="3"/>
      <x:c r="BD162" s="3"/>
      <x:c r="BE162" s="3"/>
      <x:c r="BF162" s="3"/>
      <x:c r="BG162" s="3"/>
      <x:c r="BH162" s="13"/>
      <x:c r="BI162" s="13"/>
      <x:c r="BJ162" s="13"/>
      <x:c r="BK162" s="13"/>
      <x:c r="BL162" s="13"/>
      <x:c r="BM162" s="13"/>
      <x:c r="BN162" s="13"/>
      <x:c r="BO162" s="13"/>
      <x:c r="BP162" s="13"/>
      <x:c r="BQ162" s="13"/>
      <x:c r="BR162" s="13"/>
      <x:c r="BS162" s="13"/>
      <x:c r="BT162" s="13"/>
      <x:c r="BU162" s="13"/>
      <x:c r="BV162" s="13"/>
      <x:c r="BW162" s="13"/>
      <x:c r="BX162" s="13"/>
      <x:c r="BY162" s="13"/>
      <x:c r="BZ162" s="13"/>
      <x:c r="CA162" s="13"/>
      <x:c r="CB162" s="13"/>
      <x:c r="CC162" s="13"/>
      <x:c r="CD162" s="13"/>
      <x:c r="CE162" s="13"/>
      <x:c r="CF162" s="13"/>
      <x:c r="CG162" s="13"/>
    </x:row>
    <x:row r="163" ht="14.25" customHeight="1">
      <x:c r="AA163" s="3"/>
      <x:c r="AB163" s="3"/>
      <x:c r="AF163" s="3"/>
      <x:c r="AG163" s="3"/>
      <x:c r="AH163" s="3"/>
      <x:c r="AI163" s="3"/>
      <x:c r="AJ163" s="3"/>
      <x:c r="AK163" s="3"/>
      <x:c r="AL163" s="3"/>
      <x:c r="AM163" s="3"/>
      <x:c r="AT163" s="3"/>
      <x:c r="AU163" s="3"/>
      <x:c r="AV163" s="3"/>
      <x:c r="AW163" s="3"/>
      <x:c r="AX163" s="3"/>
      <x:c r="AY163" s="3"/>
      <x:c r="AZ163" s="3"/>
      <x:c r="BA163" s="3"/>
      <x:c r="BC163" s="3"/>
      <x:c r="BD163" s="3"/>
      <x:c r="BE163" s="3"/>
      <x:c r="BF163" s="3"/>
      <x:c r="BG163" s="3"/>
      <x:c r="BH163" s="13"/>
      <x:c r="BI163" s="13"/>
      <x:c r="BJ163" s="13"/>
      <x:c r="BK163" s="13"/>
      <x:c r="BL163" s="13"/>
      <x:c r="BM163" s="13"/>
      <x:c r="BN163" s="13"/>
      <x:c r="BO163" s="13"/>
      <x:c r="BP163" s="13"/>
      <x:c r="BQ163" s="13"/>
      <x:c r="BR163" s="13"/>
      <x:c r="BS163" s="13"/>
      <x:c r="BT163" s="13"/>
      <x:c r="BU163" s="13"/>
      <x:c r="BV163" s="13"/>
      <x:c r="BW163" s="13"/>
      <x:c r="BX163" s="13"/>
      <x:c r="BY163" s="13"/>
      <x:c r="BZ163" s="13"/>
      <x:c r="CA163" s="13"/>
      <x:c r="CB163" s="13"/>
      <x:c r="CC163" s="13"/>
      <x:c r="CD163" s="13"/>
      <x:c r="CE163" s="13"/>
      <x:c r="CF163" s="13"/>
      <x:c r="CG163" s="13"/>
    </x:row>
    <x:row r="164" ht="14.25" customHeight="1">
      <x:c r="AA164" s="3"/>
      <x:c r="AB164" s="3"/>
      <x:c r="AF164" s="3"/>
      <x:c r="AG164" s="3"/>
      <x:c r="AH164" s="3"/>
      <x:c r="AI164" s="3"/>
      <x:c r="AJ164" s="3"/>
      <x:c r="AK164" s="3"/>
      <x:c r="AL164" s="3"/>
      <x:c r="AM164" s="3"/>
      <x:c r="AT164" s="3"/>
      <x:c r="AU164" s="3"/>
      <x:c r="AV164" s="3"/>
      <x:c r="AW164" s="3"/>
      <x:c r="AX164" s="3"/>
      <x:c r="AY164" s="3"/>
      <x:c r="AZ164" s="3"/>
      <x:c r="BA164" s="3"/>
      <x:c r="BC164" s="3"/>
      <x:c r="BD164" s="3"/>
      <x:c r="BE164" s="3"/>
      <x:c r="BF164" s="3"/>
      <x:c r="BG164" s="3"/>
      <x:c r="BH164" s="13"/>
      <x:c r="BI164" s="13"/>
      <x:c r="BJ164" s="13"/>
      <x:c r="BK164" s="13"/>
      <x:c r="BL164" s="13"/>
      <x:c r="BM164" s="13"/>
      <x:c r="BN164" s="13"/>
      <x:c r="BO164" s="13"/>
      <x:c r="BP164" s="13"/>
      <x:c r="BQ164" s="13"/>
      <x:c r="BR164" s="13"/>
      <x:c r="BS164" s="13"/>
      <x:c r="BT164" s="13"/>
      <x:c r="BU164" s="13"/>
      <x:c r="BV164" s="13"/>
      <x:c r="BW164" s="13"/>
      <x:c r="BX164" s="13"/>
      <x:c r="BY164" s="13"/>
      <x:c r="BZ164" s="13"/>
      <x:c r="CA164" s="13"/>
      <x:c r="CB164" s="13"/>
      <x:c r="CC164" s="13"/>
      <x:c r="CD164" s="13"/>
      <x:c r="CE164" s="13"/>
      <x:c r="CF164" s="13"/>
      <x:c r="CG164" s="13"/>
    </x:row>
    <x:row r="165" ht="14.25" customHeight="1">
      <x:c r="AA165" s="3"/>
      <x:c r="AB165" s="3"/>
      <x:c r="AF165" s="3"/>
      <x:c r="AG165" s="3"/>
      <x:c r="AH165" s="3"/>
      <x:c r="AI165" s="3"/>
      <x:c r="AJ165" s="3"/>
      <x:c r="AK165" s="3"/>
      <x:c r="AL165" s="3"/>
      <x:c r="AM165" s="3"/>
      <x:c r="AT165" s="3"/>
      <x:c r="AU165" s="3"/>
      <x:c r="AV165" s="3"/>
      <x:c r="AW165" s="3"/>
      <x:c r="AX165" s="3"/>
      <x:c r="AY165" s="3"/>
      <x:c r="AZ165" s="3"/>
      <x:c r="BA165" s="3"/>
      <x:c r="BC165" s="3"/>
      <x:c r="BD165" s="3"/>
      <x:c r="BE165" s="3"/>
      <x:c r="BF165" s="3"/>
      <x:c r="BG165" s="3"/>
      <x:c r="BH165" s="13"/>
      <x:c r="BI165" s="13"/>
      <x:c r="BJ165" s="13"/>
      <x:c r="BK165" s="13"/>
      <x:c r="BL165" s="13"/>
      <x:c r="BM165" s="13"/>
      <x:c r="BN165" s="13"/>
      <x:c r="BO165" s="13"/>
      <x:c r="BP165" s="13"/>
      <x:c r="BQ165" s="13"/>
      <x:c r="BR165" s="13"/>
      <x:c r="BS165" s="13"/>
      <x:c r="BT165" s="13"/>
      <x:c r="BU165" s="13"/>
      <x:c r="BV165" s="13"/>
      <x:c r="BW165" s="13"/>
      <x:c r="BX165" s="13"/>
      <x:c r="BY165" s="13"/>
      <x:c r="BZ165" s="13"/>
      <x:c r="CA165" s="13"/>
      <x:c r="CB165" s="13"/>
      <x:c r="CC165" s="13"/>
      <x:c r="CD165" s="13"/>
      <x:c r="CE165" s="13"/>
      <x:c r="CF165" s="13"/>
      <x:c r="CG165" s="13"/>
    </x:row>
    <x:row r="166" ht="14.25" customHeight="1">
      <x:c r="AA166" s="3"/>
      <x:c r="AB166" s="3"/>
      <x:c r="AF166" s="3"/>
      <x:c r="AG166" s="3"/>
      <x:c r="AH166" s="3"/>
      <x:c r="AI166" s="3"/>
      <x:c r="AJ166" s="3"/>
      <x:c r="AK166" s="3"/>
      <x:c r="AL166" s="3"/>
      <x:c r="AM166" s="3"/>
      <x:c r="AT166" s="3"/>
      <x:c r="AU166" s="3"/>
      <x:c r="AV166" s="3"/>
      <x:c r="AW166" s="3"/>
      <x:c r="AX166" s="3"/>
      <x:c r="AY166" s="3"/>
      <x:c r="AZ166" s="3"/>
      <x:c r="BA166" s="3"/>
      <x:c r="BC166" s="3"/>
      <x:c r="BD166" s="3"/>
      <x:c r="BE166" s="3"/>
      <x:c r="BF166" s="3"/>
      <x:c r="BG166" s="3"/>
      <x:c r="BH166" s="13"/>
      <x:c r="BI166" s="13"/>
      <x:c r="BJ166" s="13"/>
      <x:c r="BK166" s="13"/>
      <x:c r="BL166" s="13"/>
      <x:c r="BM166" s="13"/>
      <x:c r="BN166" s="13"/>
      <x:c r="BO166" s="13"/>
      <x:c r="BP166" s="13"/>
      <x:c r="BQ166" s="13"/>
      <x:c r="BR166" s="13"/>
      <x:c r="BS166" s="13"/>
      <x:c r="BT166" s="13"/>
      <x:c r="BU166" s="13"/>
      <x:c r="BV166" s="13"/>
      <x:c r="BW166" s="13"/>
      <x:c r="BX166" s="13"/>
      <x:c r="BY166" s="13"/>
      <x:c r="BZ166" s="13"/>
      <x:c r="CA166" s="13"/>
      <x:c r="CB166" s="13"/>
      <x:c r="CC166" s="13"/>
      <x:c r="CD166" s="13"/>
      <x:c r="CE166" s="13"/>
      <x:c r="CF166" s="13"/>
      <x:c r="CG166" s="13"/>
    </x:row>
    <x:row r="167" ht="14.25" customHeight="1">
      <x:c r="AA167" s="3"/>
      <x:c r="AB167" s="3"/>
      <x:c r="AF167" s="3"/>
      <x:c r="AG167" s="3"/>
      <x:c r="AH167" s="3"/>
      <x:c r="AI167" s="3"/>
      <x:c r="AJ167" s="3"/>
      <x:c r="AK167" s="3"/>
      <x:c r="AL167" s="3"/>
      <x:c r="AM167" s="3"/>
      <x:c r="AT167" s="3"/>
      <x:c r="AU167" s="3"/>
      <x:c r="AV167" s="3"/>
      <x:c r="AW167" s="3"/>
      <x:c r="AX167" s="3"/>
      <x:c r="AY167" s="3"/>
      <x:c r="AZ167" s="3"/>
      <x:c r="BA167" s="3"/>
      <x:c r="BC167" s="3"/>
      <x:c r="BD167" s="3"/>
      <x:c r="BE167" s="3"/>
      <x:c r="BF167" s="3"/>
      <x:c r="BG167" s="3"/>
      <x:c r="BH167" s="13"/>
      <x:c r="BI167" s="13"/>
      <x:c r="BJ167" s="13"/>
      <x:c r="BK167" s="13"/>
      <x:c r="BL167" s="13"/>
      <x:c r="BM167" s="13"/>
      <x:c r="BN167" s="13"/>
      <x:c r="BO167" s="13"/>
      <x:c r="BP167" s="13"/>
      <x:c r="BQ167" s="13"/>
      <x:c r="BR167" s="13"/>
      <x:c r="BS167" s="13"/>
      <x:c r="BT167" s="13"/>
      <x:c r="BU167" s="13"/>
      <x:c r="BV167" s="13"/>
      <x:c r="BW167" s="13"/>
      <x:c r="BX167" s="13"/>
      <x:c r="BY167" s="13"/>
      <x:c r="BZ167" s="13"/>
      <x:c r="CA167" s="13"/>
      <x:c r="CB167" s="13"/>
      <x:c r="CC167" s="13"/>
      <x:c r="CD167" s="13"/>
      <x:c r="CE167" s="13"/>
      <x:c r="CF167" s="13"/>
      <x:c r="CG167" s="13"/>
    </x:row>
    <x:row r="168" ht="14.25" customHeight="1">
      <x:c r="AA168" s="3"/>
      <x:c r="AB168" s="3"/>
      <x:c r="AF168" s="3"/>
      <x:c r="AG168" s="3"/>
      <x:c r="AH168" s="3"/>
      <x:c r="AI168" s="3"/>
      <x:c r="AJ168" s="3"/>
      <x:c r="AK168" s="3"/>
      <x:c r="AL168" s="3"/>
      <x:c r="AM168" s="3"/>
      <x:c r="AT168" s="3"/>
      <x:c r="AU168" s="3"/>
      <x:c r="AV168" s="3"/>
      <x:c r="AW168" s="3"/>
      <x:c r="AX168" s="3"/>
      <x:c r="AY168" s="3"/>
      <x:c r="AZ168" s="3"/>
      <x:c r="BA168" s="3"/>
      <x:c r="BC168" s="3"/>
      <x:c r="BD168" s="3"/>
      <x:c r="BE168" s="3"/>
      <x:c r="BF168" s="3"/>
      <x:c r="BG168" s="3"/>
      <x:c r="BH168" s="13"/>
      <x:c r="BI168" s="13"/>
      <x:c r="BJ168" s="13"/>
      <x:c r="BK168" s="13"/>
      <x:c r="BL168" s="13"/>
      <x:c r="BM168" s="13"/>
      <x:c r="BN168" s="13"/>
      <x:c r="BO168" s="13"/>
      <x:c r="BP168" s="13"/>
      <x:c r="BQ168" s="13"/>
      <x:c r="BR168" s="13"/>
      <x:c r="BS168" s="13"/>
      <x:c r="BT168" s="13"/>
      <x:c r="BU168" s="13"/>
      <x:c r="BV168" s="13"/>
      <x:c r="BW168" s="13"/>
      <x:c r="BX168" s="13"/>
      <x:c r="BY168" s="13"/>
      <x:c r="BZ168" s="13"/>
      <x:c r="CA168" s="13"/>
      <x:c r="CB168" s="13"/>
      <x:c r="CC168" s="13"/>
      <x:c r="CD168" s="13"/>
      <x:c r="CE168" s="13"/>
      <x:c r="CF168" s="13"/>
      <x:c r="CG168" s="13"/>
    </x:row>
    <x:row r="169" ht="14.25" customHeight="1">
      <x:c r="AA169" s="3"/>
      <x:c r="AB169" s="3"/>
      <x:c r="AF169" s="3"/>
      <x:c r="AG169" s="3"/>
      <x:c r="AH169" s="3"/>
      <x:c r="AI169" s="3"/>
      <x:c r="AJ169" s="3"/>
      <x:c r="AK169" s="3"/>
      <x:c r="AL169" s="3"/>
      <x:c r="AM169" s="3"/>
      <x:c r="AT169" s="3"/>
      <x:c r="AU169" s="3"/>
      <x:c r="AV169" s="3"/>
      <x:c r="AW169" s="3"/>
      <x:c r="AX169" s="3"/>
      <x:c r="AY169" s="3"/>
      <x:c r="AZ169" s="3"/>
      <x:c r="BA169" s="3"/>
      <x:c r="BC169" s="3"/>
      <x:c r="BD169" s="3"/>
      <x:c r="BE169" s="3"/>
      <x:c r="BF169" s="3"/>
      <x:c r="BG169" s="3"/>
      <x:c r="BH169" s="13"/>
      <x:c r="BI169" s="13"/>
      <x:c r="BJ169" s="13"/>
      <x:c r="BK169" s="13"/>
      <x:c r="BL169" s="13"/>
      <x:c r="BM169" s="13"/>
      <x:c r="BN169" s="13"/>
      <x:c r="BO169" s="13"/>
      <x:c r="BP169" s="13"/>
      <x:c r="BQ169" s="13"/>
      <x:c r="BR169" s="13"/>
      <x:c r="BS169" s="13"/>
      <x:c r="BT169" s="13"/>
      <x:c r="BU169" s="13"/>
      <x:c r="BV169" s="13"/>
      <x:c r="BW169" s="13"/>
      <x:c r="BX169" s="13"/>
      <x:c r="BY169" s="13"/>
      <x:c r="BZ169" s="13"/>
      <x:c r="CA169" s="13"/>
      <x:c r="CB169" s="13"/>
      <x:c r="CC169" s="13"/>
      <x:c r="CD169" s="13"/>
      <x:c r="CE169" s="13"/>
      <x:c r="CF169" s="13"/>
      <x:c r="CG169" s="13"/>
    </x:row>
    <x:row r="170" ht="14.25" customHeight="1">
      <x:c r="AA170" s="3"/>
      <x:c r="AB170" s="3"/>
      <x:c r="AF170" s="3"/>
      <x:c r="AG170" s="3"/>
      <x:c r="AH170" s="3"/>
      <x:c r="AI170" s="3"/>
      <x:c r="AJ170" s="3"/>
      <x:c r="AK170" s="3"/>
      <x:c r="AL170" s="3"/>
      <x:c r="AM170" s="3"/>
      <x:c r="AT170" s="3"/>
      <x:c r="AU170" s="3"/>
      <x:c r="AV170" s="3"/>
      <x:c r="AW170" s="3"/>
      <x:c r="AX170" s="3"/>
      <x:c r="AY170" s="3"/>
      <x:c r="AZ170" s="3"/>
      <x:c r="BA170" s="3"/>
      <x:c r="BC170" s="3"/>
      <x:c r="BD170" s="3"/>
      <x:c r="BE170" s="3"/>
      <x:c r="BF170" s="3"/>
      <x:c r="BG170" s="3"/>
      <x:c r="BH170" s="13"/>
      <x:c r="BI170" s="13"/>
      <x:c r="BJ170" s="13"/>
      <x:c r="BK170" s="13"/>
      <x:c r="BL170" s="13"/>
      <x:c r="BM170" s="13"/>
      <x:c r="BN170" s="13"/>
      <x:c r="BO170" s="13"/>
      <x:c r="BP170" s="13"/>
      <x:c r="BQ170" s="13"/>
      <x:c r="BR170" s="13"/>
      <x:c r="BS170" s="13"/>
      <x:c r="BT170" s="13"/>
      <x:c r="BU170" s="13"/>
      <x:c r="BV170" s="13"/>
      <x:c r="BW170" s="13"/>
      <x:c r="BX170" s="13"/>
      <x:c r="BY170" s="13"/>
      <x:c r="BZ170" s="13"/>
      <x:c r="CA170" s="13"/>
      <x:c r="CB170" s="13"/>
      <x:c r="CC170" s="13"/>
      <x:c r="CD170" s="13"/>
      <x:c r="CE170" s="13"/>
      <x:c r="CF170" s="13"/>
      <x:c r="CG170" s="13"/>
    </x:row>
    <x:row r="171" ht="14.25" customHeight="1">
      <x:c r="AA171" s="3"/>
      <x:c r="AB171" s="3"/>
      <x:c r="AF171" s="3"/>
      <x:c r="AG171" s="3"/>
      <x:c r="AH171" s="3"/>
      <x:c r="AI171" s="3"/>
      <x:c r="AJ171" s="3"/>
      <x:c r="AK171" s="3"/>
      <x:c r="AL171" s="3"/>
      <x:c r="AM171" s="3"/>
      <x:c r="AT171" s="3"/>
      <x:c r="AU171" s="3"/>
      <x:c r="AV171" s="3"/>
      <x:c r="AW171" s="3"/>
      <x:c r="AX171" s="3"/>
      <x:c r="AY171" s="3"/>
      <x:c r="AZ171" s="3"/>
      <x:c r="BA171" s="3"/>
      <x:c r="BC171" s="3"/>
      <x:c r="BD171" s="3"/>
      <x:c r="BE171" s="3"/>
      <x:c r="BF171" s="3"/>
      <x:c r="BG171" s="3"/>
      <x:c r="BH171" s="13"/>
      <x:c r="BI171" s="13"/>
      <x:c r="BJ171" s="13"/>
      <x:c r="BK171" s="13"/>
      <x:c r="BL171" s="13"/>
      <x:c r="BM171" s="13"/>
      <x:c r="BN171" s="13"/>
      <x:c r="BO171" s="13"/>
      <x:c r="BP171" s="13"/>
      <x:c r="BQ171" s="13"/>
      <x:c r="BR171" s="13"/>
      <x:c r="BS171" s="13"/>
      <x:c r="BT171" s="13"/>
      <x:c r="BU171" s="13"/>
      <x:c r="BV171" s="13"/>
      <x:c r="BW171" s="13"/>
      <x:c r="BX171" s="13"/>
      <x:c r="BY171" s="13"/>
      <x:c r="BZ171" s="13"/>
      <x:c r="CA171" s="13"/>
      <x:c r="CB171" s="13"/>
      <x:c r="CC171" s="13"/>
      <x:c r="CD171" s="13"/>
      <x:c r="CE171" s="13"/>
      <x:c r="CF171" s="13"/>
      <x:c r="CG171" s="13"/>
    </x:row>
    <x:row r="172" ht="14.25" customHeight="1">
      <x:c r="AA172" s="3"/>
      <x:c r="AB172" s="3"/>
      <x:c r="AF172" s="3"/>
      <x:c r="AG172" s="3"/>
      <x:c r="AH172" s="3"/>
      <x:c r="AI172" s="3"/>
      <x:c r="AJ172" s="3"/>
      <x:c r="AK172" s="3"/>
      <x:c r="AL172" s="3"/>
      <x:c r="AM172" s="3"/>
      <x:c r="AT172" s="3"/>
      <x:c r="AU172" s="3"/>
      <x:c r="AV172" s="3"/>
      <x:c r="AW172" s="3"/>
      <x:c r="AX172" s="3"/>
      <x:c r="AY172" s="3"/>
      <x:c r="AZ172" s="3"/>
      <x:c r="BA172" s="3"/>
      <x:c r="BC172" s="3"/>
      <x:c r="BD172" s="3"/>
      <x:c r="BE172" s="3"/>
      <x:c r="BF172" s="3"/>
      <x:c r="BG172" s="3"/>
      <x:c r="BH172" s="13"/>
      <x:c r="BI172" s="13"/>
      <x:c r="BJ172" s="13"/>
      <x:c r="BK172" s="13"/>
      <x:c r="BL172" s="13"/>
      <x:c r="BM172" s="13"/>
      <x:c r="BN172" s="13"/>
      <x:c r="BO172" s="13"/>
      <x:c r="BP172" s="13"/>
      <x:c r="BQ172" s="13"/>
      <x:c r="BR172" s="13"/>
      <x:c r="BS172" s="13"/>
      <x:c r="BT172" s="13"/>
      <x:c r="BU172" s="13"/>
      <x:c r="BV172" s="13"/>
      <x:c r="BW172" s="13"/>
      <x:c r="BX172" s="13"/>
      <x:c r="BY172" s="13"/>
      <x:c r="BZ172" s="13"/>
      <x:c r="CA172" s="13"/>
      <x:c r="CB172" s="13"/>
      <x:c r="CC172" s="13"/>
      <x:c r="CD172" s="13"/>
      <x:c r="CE172" s="13"/>
      <x:c r="CF172" s="13"/>
      <x:c r="CG172" s="13"/>
    </x:row>
    <x:row r="173" ht="14.25" customHeight="1">
      <x:c r="AA173" s="3"/>
      <x:c r="AB173" s="3"/>
      <x:c r="AF173" s="3"/>
      <x:c r="AG173" s="3"/>
      <x:c r="AH173" s="3"/>
      <x:c r="AI173" s="3"/>
      <x:c r="AJ173" s="3"/>
      <x:c r="AK173" s="3"/>
      <x:c r="AL173" s="3"/>
      <x:c r="AM173" s="3"/>
      <x:c r="AT173" s="3"/>
      <x:c r="AU173" s="3"/>
      <x:c r="AV173" s="3"/>
      <x:c r="AW173" s="3"/>
      <x:c r="AX173" s="3"/>
      <x:c r="AY173" s="3"/>
      <x:c r="AZ173" s="3"/>
      <x:c r="BA173" s="3"/>
      <x:c r="BC173" s="3"/>
      <x:c r="BD173" s="3"/>
      <x:c r="BE173" s="3"/>
      <x:c r="BF173" s="3"/>
      <x:c r="BG173" s="3"/>
      <x:c r="BH173" s="13"/>
      <x:c r="BI173" s="13"/>
      <x:c r="BJ173" s="13"/>
      <x:c r="BK173" s="13"/>
      <x:c r="BL173" s="13"/>
      <x:c r="BM173" s="13"/>
      <x:c r="BN173" s="13"/>
      <x:c r="BO173" s="13"/>
      <x:c r="BP173" s="13"/>
      <x:c r="BQ173" s="13"/>
      <x:c r="BR173" s="13"/>
      <x:c r="BS173" s="13"/>
      <x:c r="BT173" s="13"/>
      <x:c r="BU173" s="13"/>
      <x:c r="BV173" s="13"/>
      <x:c r="BW173" s="13"/>
      <x:c r="BX173" s="13"/>
      <x:c r="BY173" s="13"/>
      <x:c r="BZ173" s="13"/>
      <x:c r="CA173" s="13"/>
      <x:c r="CB173" s="13"/>
      <x:c r="CC173" s="13"/>
      <x:c r="CD173" s="13"/>
      <x:c r="CE173" s="13"/>
      <x:c r="CF173" s="13"/>
      <x:c r="CG173" s="13"/>
    </x:row>
    <x:row r="174" ht="14.25" customHeight="1">
      <x:c r="AA174" s="3"/>
      <x:c r="AB174" s="3"/>
      <x:c r="AF174" s="3"/>
      <x:c r="AG174" s="3"/>
      <x:c r="AH174" s="3"/>
      <x:c r="AI174" s="3"/>
      <x:c r="AJ174" s="3"/>
      <x:c r="AK174" s="3"/>
      <x:c r="AL174" s="3"/>
      <x:c r="AM174" s="3"/>
      <x:c r="AT174" s="3"/>
      <x:c r="AU174" s="3"/>
      <x:c r="AV174" s="3"/>
      <x:c r="AW174" s="3"/>
      <x:c r="AX174" s="3"/>
      <x:c r="AY174" s="3"/>
      <x:c r="AZ174" s="3"/>
      <x:c r="BA174" s="3"/>
      <x:c r="BC174" s="3"/>
      <x:c r="BD174" s="3"/>
      <x:c r="BE174" s="3"/>
      <x:c r="BF174" s="3"/>
      <x:c r="BG174" s="3"/>
      <x:c r="BH174" s="13"/>
      <x:c r="BI174" s="13"/>
      <x:c r="BJ174" s="13"/>
      <x:c r="BK174" s="13"/>
      <x:c r="BL174" s="13"/>
      <x:c r="BM174" s="13"/>
      <x:c r="BN174" s="13"/>
      <x:c r="BO174" s="13"/>
      <x:c r="BP174" s="13"/>
      <x:c r="BQ174" s="13"/>
      <x:c r="BR174" s="13"/>
      <x:c r="BS174" s="13"/>
      <x:c r="BT174" s="13"/>
      <x:c r="BU174" s="13"/>
      <x:c r="BV174" s="13"/>
      <x:c r="BW174" s="13"/>
      <x:c r="BX174" s="13"/>
      <x:c r="BY174" s="13"/>
      <x:c r="BZ174" s="13"/>
      <x:c r="CA174" s="13"/>
      <x:c r="CB174" s="13"/>
      <x:c r="CC174" s="13"/>
      <x:c r="CD174" s="13"/>
      <x:c r="CE174" s="13"/>
      <x:c r="CF174" s="13"/>
      <x:c r="CG174" s="13"/>
    </x:row>
    <x:row r="175" ht="14.25" customHeight="1">
      <x:c r="AA175" s="3"/>
      <x:c r="AB175" s="3"/>
      <x:c r="AF175" s="3"/>
      <x:c r="AG175" s="3"/>
      <x:c r="AH175" s="3"/>
      <x:c r="AI175" s="3"/>
      <x:c r="AJ175" s="3"/>
      <x:c r="AK175" s="3"/>
      <x:c r="AL175" s="3"/>
      <x:c r="AM175" s="3"/>
      <x:c r="AT175" s="3"/>
      <x:c r="AU175" s="3"/>
      <x:c r="AV175" s="3"/>
      <x:c r="AW175" s="3"/>
      <x:c r="AX175" s="3"/>
      <x:c r="AY175" s="3"/>
      <x:c r="AZ175" s="3"/>
      <x:c r="BA175" s="3"/>
      <x:c r="BC175" s="3"/>
      <x:c r="BD175" s="3"/>
      <x:c r="BE175" s="3"/>
      <x:c r="BF175" s="3"/>
      <x:c r="BG175" s="3"/>
      <x:c r="BH175" s="13"/>
      <x:c r="BI175" s="13"/>
      <x:c r="BJ175" s="13"/>
      <x:c r="BK175" s="13"/>
      <x:c r="BL175" s="13"/>
      <x:c r="BM175" s="13"/>
      <x:c r="BN175" s="13"/>
      <x:c r="BO175" s="13"/>
      <x:c r="BP175" s="13"/>
      <x:c r="BQ175" s="13"/>
      <x:c r="BR175" s="13"/>
      <x:c r="BS175" s="13"/>
      <x:c r="BT175" s="13"/>
      <x:c r="BU175" s="13"/>
      <x:c r="BV175" s="13"/>
      <x:c r="BW175" s="13"/>
      <x:c r="BX175" s="13"/>
      <x:c r="BY175" s="13"/>
      <x:c r="BZ175" s="13"/>
      <x:c r="CA175" s="13"/>
      <x:c r="CB175" s="13"/>
      <x:c r="CC175" s="13"/>
      <x:c r="CD175" s="13"/>
      <x:c r="CE175" s="13"/>
      <x:c r="CF175" s="13"/>
      <x:c r="CG175" s="13"/>
    </x:row>
    <x:row r="176" ht="14.25" customHeight="1">
      <x:c r="AA176" s="3"/>
      <x:c r="AB176" s="3"/>
      <x:c r="AF176" s="3"/>
      <x:c r="AG176" s="3"/>
      <x:c r="AH176" s="3"/>
      <x:c r="AI176" s="3"/>
      <x:c r="AJ176" s="3"/>
      <x:c r="AK176" s="3"/>
      <x:c r="AL176" s="3"/>
      <x:c r="AM176" s="3"/>
      <x:c r="AT176" s="3"/>
      <x:c r="AU176" s="3"/>
      <x:c r="AV176" s="3"/>
      <x:c r="AW176" s="3"/>
      <x:c r="AX176" s="3"/>
      <x:c r="AY176" s="3"/>
      <x:c r="AZ176" s="3"/>
      <x:c r="BA176" s="3"/>
      <x:c r="BC176" s="3"/>
      <x:c r="BD176" s="3"/>
      <x:c r="BE176" s="3"/>
      <x:c r="BF176" s="3"/>
      <x:c r="BG176" s="3"/>
      <x:c r="BH176" s="13"/>
      <x:c r="BI176" s="13"/>
      <x:c r="BJ176" s="13"/>
      <x:c r="BK176" s="13"/>
      <x:c r="BL176" s="13"/>
      <x:c r="BM176" s="13"/>
      <x:c r="BN176" s="13"/>
      <x:c r="BO176" s="13"/>
      <x:c r="BP176" s="13"/>
      <x:c r="BQ176" s="13"/>
      <x:c r="BR176" s="13"/>
      <x:c r="BS176" s="13"/>
      <x:c r="BT176" s="13"/>
      <x:c r="BU176" s="13"/>
      <x:c r="BV176" s="13"/>
      <x:c r="BW176" s="13"/>
      <x:c r="BX176" s="13"/>
      <x:c r="BY176" s="13"/>
      <x:c r="BZ176" s="13"/>
      <x:c r="CA176" s="13"/>
      <x:c r="CB176" s="13"/>
      <x:c r="CC176" s="13"/>
      <x:c r="CD176" s="13"/>
      <x:c r="CE176" s="13"/>
      <x:c r="CF176" s="13"/>
      <x:c r="CG176" s="13"/>
    </x:row>
    <x:row r="177" ht="14.25" customHeight="1">
      <x:c r="AA177" s="3"/>
      <x:c r="AB177" s="3"/>
      <x:c r="AF177" s="3"/>
      <x:c r="AG177" s="3"/>
      <x:c r="AH177" s="3"/>
      <x:c r="AI177" s="3"/>
      <x:c r="AJ177" s="3"/>
      <x:c r="AK177" s="3"/>
      <x:c r="AL177" s="3"/>
      <x:c r="AM177" s="3"/>
      <x:c r="AT177" s="3"/>
      <x:c r="AU177" s="3"/>
      <x:c r="AV177" s="3"/>
      <x:c r="AW177" s="3"/>
      <x:c r="AX177" s="3"/>
      <x:c r="AY177" s="3"/>
      <x:c r="AZ177" s="3"/>
      <x:c r="BA177" s="3"/>
      <x:c r="BC177" s="3"/>
      <x:c r="BD177" s="3"/>
      <x:c r="BE177" s="3"/>
      <x:c r="BF177" s="3"/>
      <x:c r="BG177" s="3"/>
      <x:c r="BH177" s="13"/>
      <x:c r="BI177" s="13"/>
      <x:c r="BJ177" s="13"/>
      <x:c r="BK177" s="13"/>
      <x:c r="BL177" s="13"/>
      <x:c r="BM177" s="13"/>
      <x:c r="BN177" s="13"/>
      <x:c r="BO177" s="13"/>
      <x:c r="BP177" s="13"/>
      <x:c r="BQ177" s="13"/>
      <x:c r="BR177" s="13"/>
      <x:c r="BS177" s="13"/>
      <x:c r="BT177" s="13"/>
      <x:c r="BU177" s="13"/>
      <x:c r="BV177" s="13"/>
      <x:c r="BW177" s="13"/>
      <x:c r="BX177" s="13"/>
      <x:c r="BY177" s="13"/>
      <x:c r="BZ177" s="13"/>
      <x:c r="CA177" s="13"/>
      <x:c r="CB177" s="13"/>
      <x:c r="CC177" s="13"/>
      <x:c r="CD177" s="13"/>
      <x:c r="CE177" s="13"/>
      <x:c r="CF177" s="13"/>
      <x:c r="CG177" s="13"/>
    </x:row>
    <x:row r="178" ht="14.25" customHeight="1">
      <x:c r="AA178" s="3"/>
      <x:c r="AB178" s="3"/>
      <x:c r="AF178" s="3"/>
      <x:c r="AG178" s="3"/>
      <x:c r="AH178" s="3"/>
      <x:c r="AI178" s="3"/>
      <x:c r="AJ178" s="3"/>
      <x:c r="AK178" s="3"/>
      <x:c r="AL178" s="3"/>
      <x:c r="AM178" s="3"/>
      <x:c r="AT178" s="3"/>
      <x:c r="AU178" s="3"/>
      <x:c r="AV178" s="3"/>
      <x:c r="AW178" s="3"/>
      <x:c r="AX178" s="3"/>
      <x:c r="AY178" s="3"/>
      <x:c r="AZ178" s="3"/>
      <x:c r="BA178" s="3"/>
      <x:c r="BC178" s="3"/>
      <x:c r="BD178" s="3"/>
      <x:c r="BE178" s="3"/>
      <x:c r="BF178" s="3"/>
      <x:c r="BG178" s="3"/>
      <x:c r="BH178" s="13"/>
      <x:c r="BI178" s="13"/>
      <x:c r="BJ178" s="13"/>
      <x:c r="BK178" s="13"/>
      <x:c r="BL178" s="13"/>
      <x:c r="BM178" s="13"/>
      <x:c r="BN178" s="13"/>
      <x:c r="BO178" s="13"/>
      <x:c r="BP178" s="13"/>
      <x:c r="BQ178" s="13"/>
      <x:c r="BR178" s="13"/>
      <x:c r="BS178" s="13"/>
      <x:c r="BT178" s="13"/>
      <x:c r="BU178" s="13"/>
      <x:c r="BV178" s="13"/>
      <x:c r="BW178" s="13"/>
      <x:c r="BX178" s="13"/>
      <x:c r="BY178" s="13"/>
      <x:c r="BZ178" s="13"/>
      <x:c r="CA178" s="13"/>
      <x:c r="CB178" s="13"/>
      <x:c r="CC178" s="13"/>
      <x:c r="CD178" s="13"/>
      <x:c r="CE178" s="13"/>
      <x:c r="CF178" s="13"/>
      <x:c r="CG178" s="13"/>
    </x:row>
    <x:row r="179" ht="14.25" customHeight="1">
      <x:c r="AA179" s="3"/>
      <x:c r="AB179" s="3"/>
      <x:c r="AF179" s="3"/>
      <x:c r="AG179" s="3"/>
      <x:c r="AH179" s="3"/>
      <x:c r="AI179" s="3"/>
      <x:c r="AJ179" s="3"/>
      <x:c r="AK179" s="3"/>
      <x:c r="AL179" s="3"/>
      <x:c r="AM179" s="3"/>
      <x:c r="AT179" s="3"/>
      <x:c r="AU179" s="3"/>
      <x:c r="AV179" s="3"/>
      <x:c r="AW179" s="3"/>
      <x:c r="AX179" s="3"/>
      <x:c r="AY179" s="3"/>
      <x:c r="AZ179" s="3"/>
      <x:c r="BA179" s="3"/>
      <x:c r="BC179" s="3"/>
      <x:c r="BD179" s="3"/>
      <x:c r="BE179" s="3"/>
      <x:c r="BF179" s="3"/>
      <x:c r="BG179" s="3"/>
      <x:c r="BH179" s="13"/>
      <x:c r="BI179" s="13"/>
      <x:c r="BJ179" s="13"/>
      <x:c r="BK179" s="13"/>
      <x:c r="BL179" s="13"/>
      <x:c r="BM179" s="13"/>
      <x:c r="BN179" s="13"/>
      <x:c r="BO179" s="13"/>
      <x:c r="BP179" s="13"/>
      <x:c r="BQ179" s="13"/>
      <x:c r="BR179" s="13"/>
      <x:c r="BS179" s="13"/>
      <x:c r="BT179" s="13"/>
      <x:c r="BU179" s="13"/>
      <x:c r="BV179" s="13"/>
      <x:c r="BW179" s="13"/>
      <x:c r="BX179" s="13"/>
      <x:c r="BY179" s="13"/>
      <x:c r="BZ179" s="13"/>
      <x:c r="CA179" s="13"/>
      <x:c r="CB179" s="13"/>
      <x:c r="CC179" s="13"/>
      <x:c r="CD179" s="13"/>
      <x:c r="CE179" s="13"/>
      <x:c r="CF179" s="13"/>
      <x:c r="CG179" s="13"/>
    </x:row>
    <x:row r="180" ht="14.25" customHeight="1">
      <x:c r="AA180" s="3"/>
      <x:c r="AB180" s="3"/>
      <x:c r="AF180" s="3"/>
      <x:c r="AG180" s="3"/>
      <x:c r="AH180" s="3"/>
      <x:c r="AI180" s="3"/>
      <x:c r="AJ180" s="3"/>
      <x:c r="AK180" s="3"/>
      <x:c r="AL180" s="3"/>
      <x:c r="AM180" s="3"/>
      <x:c r="AT180" s="3"/>
      <x:c r="AU180" s="3"/>
      <x:c r="AV180" s="3"/>
      <x:c r="AW180" s="3"/>
      <x:c r="AX180" s="3"/>
      <x:c r="AY180" s="3"/>
      <x:c r="AZ180" s="3"/>
      <x:c r="BA180" s="3"/>
      <x:c r="BC180" s="3"/>
      <x:c r="BD180" s="3"/>
      <x:c r="BE180" s="3"/>
      <x:c r="BF180" s="3"/>
      <x:c r="BG180" s="3"/>
      <x:c r="BH180" s="13"/>
      <x:c r="BI180" s="13"/>
      <x:c r="BJ180" s="13"/>
      <x:c r="BK180" s="13"/>
      <x:c r="BL180" s="13"/>
      <x:c r="BM180" s="13"/>
      <x:c r="BN180" s="13"/>
      <x:c r="BO180" s="13"/>
      <x:c r="BP180" s="13"/>
      <x:c r="BQ180" s="13"/>
      <x:c r="BR180" s="13"/>
      <x:c r="BS180" s="13"/>
      <x:c r="BT180" s="13"/>
      <x:c r="BU180" s="13"/>
      <x:c r="BV180" s="13"/>
      <x:c r="BW180" s="13"/>
      <x:c r="BX180" s="13"/>
      <x:c r="BY180" s="13"/>
      <x:c r="BZ180" s="13"/>
      <x:c r="CA180" s="13"/>
      <x:c r="CB180" s="13"/>
      <x:c r="CC180" s="13"/>
      <x:c r="CD180" s="13"/>
      <x:c r="CE180" s="13"/>
      <x:c r="CF180" s="13"/>
      <x:c r="CG180" s="13"/>
    </x:row>
    <x:row r="181" ht="14.25" customHeight="1">
      <x:c r="AA181" s="3"/>
      <x:c r="AB181" s="3"/>
      <x:c r="AF181" s="3"/>
      <x:c r="AG181" s="3"/>
      <x:c r="AH181" s="3"/>
      <x:c r="AI181" s="3"/>
      <x:c r="AJ181" s="3"/>
      <x:c r="AK181" s="3"/>
      <x:c r="AL181" s="3"/>
      <x:c r="AM181" s="3"/>
      <x:c r="AT181" s="3"/>
      <x:c r="AU181" s="3"/>
      <x:c r="AV181" s="3"/>
      <x:c r="AW181" s="3"/>
      <x:c r="AX181" s="3"/>
      <x:c r="AY181" s="3"/>
      <x:c r="AZ181" s="3"/>
      <x:c r="BA181" s="3"/>
      <x:c r="BC181" s="3"/>
      <x:c r="BD181" s="3"/>
      <x:c r="BE181" s="3"/>
      <x:c r="BF181" s="3"/>
      <x:c r="BG181" s="3"/>
      <x:c r="BH181" s="13"/>
      <x:c r="BI181" s="13"/>
      <x:c r="BJ181" s="13"/>
      <x:c r="BK181" s="13"/>
      <x:c r="BL181" s="13"/>
      <x:c r="BM181" s="13"/>
      <x:c r="BN181" s="13"/>
      <x:c r="BO181" s="13"/>
      <x:c r="BP181" s="13"/>
      <x:c r="BQ181" s="13"/>
      <x:c r="BR181" s="13"/>
      <x:c r="BS181" s="13"/>
      <x:c r="BT181" s="13"/>
      <x:c r="BU181" s="13"/>
      <x:c r="BV181" s="13"/>
      <x:c r="BW181" s="13"/>
      <x:c r="BX181" s="13"/>
      <x:c r="BY181" s="13"/>
      <x:c r="BZ181" s="13"/>
      <x:c r="CA181" s="13"/>
      <x:c r="CB181" s="13"/>
      <x:c r="CC181" s="13"/>
      <x:c r="CD181" s="13"/>
      <x:c r="CE181" s="13"/>
      <x:c r="CF181" s="13"/>
      <x:c r="CG181" s="13"/>
    </x:row>
    <x:row r="182" ht="14.25" customHeight="1">
      <x:c r="AA182" s="3"/>
      <x:c r="AB182" s="3"/>
      <x:c r="AF182" s="3"/>
      <x:c r="AG182" s="3"/>
      <x:c r="AH182" s="3"/>
      <x:c r="AI182" s="3"/>
      <x:c r="AJ182" s="3"/>
      <x:c r="AK182" s="3"/>
      <x:c r="AL182" s="3"/>
      <x:c r="AM182" s="3"/>
      <x:c r="AT182" s="3"/>
      <x:c r="AU182" s="3"/>
      <x:c r="AV182" s="3"/>
      <x:c r="AW182" s="3"/>
      <x:c r="AX182" s="3"/>
      <x:c r="AY182" s="3"/>
      <x:c r="AZ182" s="3"/>
      <x:c r="BA182" s="3"/>
      <x:c r="BC182" s="3"/>
      <x:c r="BD182" s="3"/>
      <x:c r="BE182" s="3"/>
      <x:c r="BF182" s="3"/>
      <x:c r="BG182" s="3"/>
      <x:c r="BH182" s="13"/>
      <x:c r="BI182" s="13"/>
      <x:c r="BJ182" s="13"/>
      <x:c r="BK182" s="13"/>
      <x:c r="BL182" s="13"/>
      <x:c r="BM182" s="13"/>
      <x:c r="BN182" s="13"/>
      <x:c r="BO182" s="13"/>
      <x:c r="BP182" s="13"/>
      <x:c r="BQ182" s="13"/>
      <x:c r="BR182" s="13"/>
      <x:c r="BS182" s="13"/>
      <x:c r="BT182" s="13"/>
      <x:c r="BU182" s="13"/>
      <x:c r="BV182" s="13"/>
      <x:c r="BW182" s="13"/>
      <x:c r="BX182" s="13"/>
      <x:c r="BY182" s="13"/>
      <x:c r="BZ182" s="13"/>
      <x:c r="CA182" s="13"/>
      <x:c r="CB182" s="13"/>
      <x:c r="CC182" s="13"/>
      <x:c r="CD182" s="13"/>
      <x:c r="CE182" s="13"/>
      <x:c r="CF182" s="13"/>
      <x:c r="CG182" s="13"/>
    </x:row>
    <x:row r="183" ht="14.25" customHeight="1">
      <x:c r="AA183" s="3"/>
      <x:c r="AB183" s="3"/>
      <x:c r="AF183" s="3"/>
      <x:c r="AG183" s="3"/>
      <x:c r="AH183" s="3"/>
      <x:c r="AI183" s="3"/>
      <x:c r="AJ183" s="3"/>
      <x:c r="AK183" s="3"/>
      <x:c r="AL183" s="3"/>
      <x:c r="AM183" s="3"/>
      <x:c r="AT183" s="3"/>
      <x:c r="AU183" s="3"/>
      <x:c r="AV183" s="3"/>
      <x:c r="AW183" s="3"/>
      <x:c r="AX183" s="3"/>
      <x:c r="AY183" s="3"/>
      <x:c r="AZ183" s="3"/>
      <x:c r="BA183" s="3"/>
      <x:c r="BC183" s="3"/>
      <x:c r="BD183" s="3"/>
      <x:c r="BE183" s="3"/>
      <x:c r="BF183" s="3"/>
      <x:c r="BG183" s="3"/>
      <x:c r="BH183" s="13"/>
      <x:c r="BI183" s="13"/>
      <x:c r="BJ183" s="13"/>
      <x:c r="BK183" s="13"/>
      <x:c r="BL183" s="13"/>
      <x:c r="BM183" s="13"/>
      <x:c r="BN183" s="13"/>
      <x:c r="BO183" s="13"/>
      <x:c r="BP183" s="13"/>
      <x:c r="BQ183" s="13"/>
      <x:c r="BR183" s="13"/>
      <x:c r="BS183" s="13"/>
      <x:c r="BT183" s="13"/>
      <x:c r="BU183" s="13"/>
      <x:c r="BV183" s="13"/>
      <x:c r="BW183" s="13"/>
      <x:c r="BX183" s="13"/>
      <x:c r="BY183" s="13"/>
      <x:c r="BZ183" s="13"/>
      <x:c r="CA183" s="13"/>
      <x:c r="CB183" s="13"/>
      <x:c r="CC183" s="13"/>
      <x:c r="CD183" s="13"/>
      <x:c r="CE183" s="13"/>
      <x:c r="CF183" s="13"/>
      <x:c r="CG183" s="13"/>
    </x:row>
    <x:row r="184" ht="14.25" customHeight="1">
      <x:c r="AA184" s="3"/>
      <x:c r="AB184" s="3"/>
      <x:c r="AF184" s="3"/>
      <x:c r="AG184" s="3"/>
      <x:c r="AH184" s="3"/>
      <x:c r="AI184" s="3"/>
      <x:c r="AJ184" s="3"/>
      <x:c r="AK184" s="3"/>
      <x:c r="AL184" s="3"/>
      <x:c r="AM184" s="3"/>
      <x:c r="AT184" s="3"/>
      <x:c r="AU184" s="3"/>
      <x:c r="AV184" s="3"/>
      <x:c r="AW184" s="3"/>
      <x:c r="AX184" s="3"/>
      <x:c r="AY184" s="3"/>
      <x:c r="AZ184" s="3"/>
      <x:c r="BA184" s="3"/>
      <x:c r="BC184" s="3"/>
      <x:c r="BD184" s="3"/>
      <x:c r="BE184" s="3"/>
      <x:c r="BF184" s="3"/>
      <x:c r="BG184" s="3"/>
      <x:c r="BH184" s="13"/>
      <x:c r="BI184" s="13"/>
      <x:c r="BJ184" s="13"/>
      <x:c r="BK184" s="13"/>
      <x:c r="BL184" s="13"/>
      <x:c r="BM184" s="13"/>
      <x:c r="BN184" s="13"/>
      <x:c r="BO184" s="13"/>
      <x:c r="BP184" s="13"/>
      <x:c r="BQ184" s="13"/>
      <x:c r="BR184" s="13"/>
      <x:c r="BS184" s="13"/>
      <x:c r="BT184" s="13"/>
      <x:c r="BU184" s="13"/>
      <x:c r="BV184" s="13"/>
      <x:c r="BW184" s="13"/>
      <x:c r="BX184" s="13"/>
      <x:c r="BY184" s="13"/>
      <x:c r="BZ184" s="13"/>
      <x:c r="CA184" s="13"/>
      <x:c r="CB184" s="13"/>
      <x:c r="CC184" s="13"/>
      <x:c r="CD184" s="13"/>
      <x:c r="CE184" s="13"/>
      <x:c r="CF184" s="13"/>
      <x:c r="CG184" s="13"/>
    </x:row>
    <x:row r="185" ht="14.25" customHeight="1">
      <x:c r="AA185" s="3"/>
      <x:c r="AB185" s="3"/>
      <x:c r="AF185" s="3"/>
      <x:c r="AG185" s="3"/>
      <x:c r="AH185" s="3"/>
      <x:c r="AI185" s="3"/>
      <x:c r="AJ185" s="3"/>
      <x:c r="AK185" s="3"/>
      <x:c r="AL185" s="3"/>
      <x:c r="AM185" s="3"/>
      <x:c r="AT185" s="3"/>
      <x:c r="AU185" s="3"/>
      <x:c r="AV185" s="3"/>
      <x:c r="AW185" s="3"/>
      <x:c r="AX185" s="3"/>
      <x:c r="AY185" s="3"/>
      <x:c r="AZ185" s="3"/>
      <x:c r="BA185" s="3"/>
      <x:c r="BC185" s="3"/>
      <x:c r="BD185" s="3"/>
      <x:c r="BE185" s="3"/>
      <x:c r="BF185" s="3"/>
      <x:c r="BG185" s="3"/>
      <x:c r="BH185" s="13"/>
      <x:c r="BI185" s="13"/>
      <x:c r="BJ185" s="13"/>
      <x:c r="BK185" s="13"/>
      <x:c r="BL185" s="13"/>
      <x:c r="BM185" s="13"/>
      <x:c r="BN185" s="13"/>
      <x:c r="BO185" s="13"/>
      <x:c r="BP185" s="13"/>
      <x:c r="BQ185" s="13"/>
      <x:c r="BR185" s="13"/>
      <x:c r="BS185" s="13"/>
      <x:c r="BT185" s="13"/>
      <x:c r="BU185" s="13"/>
      <x:c r="BV185" s="13"/>
      <x:c r="BW185" s="13"/>
      <x:c r="BX185" s="13"/>
      <x:c r="BY185" s="13"/>
      <x:c r="BZ185" s="13"/>
      <x:c r="CA185" s="13"/>
      <x:c r="CB185" s="13"/>
      <x:c r="CC185" s="13"/>
      <x:c r="CD185" s="13"/>
      <x:c r="CE185" s="13"/>
      <x:c r="CF185" s="13"/>
      <x:c r="CG185" s="13"/>
    </x:row>
    <x:row r="186" ht="14.25" customHeight="1">
      <x:c r="AA186" s="3"/>
      <x:c r="AB186" s="3"/>
      <x:c r="AF186" s="3"/>
      <x:c r="AG186" s="3"/>
      <x:c r="AH186" s="3"/>
      <x:c r="AI186" s="3"/>
      <x:c r="AJ186" s="3"/>
      <x:c r="AK186" s="3"/>
      <x:c r="AL186" s="3"/>
      <x:c r="AM186" s="3"/>
      <x:c r="AT186" s="3"/>
      <x:c r="AU186" s="3"/>
      <x:c r="AV186" s="3"/>
      <x:c r="AW186" s="3"/>
      <x:c r="AX186" s="3"/>
      <x:c r="AY186" s="3"/>
      <x:c r="AZ186" s="3"/>
      <x:c r="BA186" s="3"/>
      <x:c r="BC186" s="3"/>
      <x:c r="BD186" s="3"/>
      <x:c r="BE186" s="3"/>
      <x:c r="BF186" s="3"/>
      <x:c r="BG186" s="3"/>
      <x:c r="BH186" s="13"/>
      <x:c r="BI186" s="13"/>
      <x:c r="BJ186" s="13"/>
      <x:c r="BK186" s="13"/>
      <x:c r="BL186" s="13"/>
      <x:c r="BM186" s="13"/>
      <x:c r="BN186" s="13"/>
      <x:c r="BO186" s="13"/>
      <x:c r="BP186" s="13"/>
      <x:c r="BQ186" s="13"/>
      <x:c r="BR186" s="13"/>
      <x:c r="BS186" s="13"/>
      <x:c r="BT186" s="13"/>
      <x:c r="BU186" s="13"/>
      <x:c r="BV186" s="13"/>
      <x:c r="BW186" s="13"/>
      <x:c r="BX186" s="13"/>
      <x:c r="BY186" s="13"/>
      <x:c r="BZ186" s="13"/>
      <x:c r="CA186" s="13"/>
      <x:c r="CB186" s="13"/>
      <x:c r="CC186" s="13"/>
      <x:c r="CD186" s="13"/>
      <x:c r="CE186" s="13"/>
      <x:c r="CF186" s="13"/>
      <x:c r="CG186" s="13"/>
    </x:row>
    <x:row r="187" ht="14.25" customHeight="1">
      <x:c r="AA187" s="3"/>
      <x:c r="AB187" s="3"/>
      <x:c r="AF187" s="3"/>
      <x:c r="AG187" s="3"/>
      <x:c r="AH187" s="3"/>
      <x:c r="AI187" s="3"/>
      <x:c r="AJ187" s="3"/>
      <x:c r="AK187" s="3"/>
      <x:c r="AL187" s="3"/>
      <x:c r="AM187" s="3"/>
      <x:c r="AT187" s="3"/>
      <x:c r="AU187" s="3"/>
      <x:c r="AV187" s="3"/>
      <x:c r="AW187" s="3"/>
      <x:c r="AX187" s="3"/>
      <x:c r="AY187" s="3"/>
      <x:c r="AZ187" s="3"/>
      <x:c r="BA187" s="3"/>
      <x:c r="BC187" s="3"/>
      <x:c r="BD187" s="3"/>
      <x:c r="BE187" s="3"/>
      <x:c r="BF187" s="3"/>
      <x:c r="BG187" s="3"/>
      <x:c r="BH187" s="13"/>
      <x:c r="BI187" s="13"/>
      <x:c r="BJ187" s="13"/>
      <x:c r="BK187" s="13"/>
      <x:c r="BL187" s="13"/>
      <x:c r="BM187" s="13"/>
      <x:c r="BN187" s="13"/>
      <x:c r="BO187" s="13"/>
      <x:c r="BP187" s="13"/>
      <x:c r="BQ187" s="13"/>
      <x:c r="BR187" s="13"/>
      <x:c r="BS187" s="13"/>
      <x:c r="BT187" s="13"/>
      <x:c r="BU187" s="13"/>
      <x:c r="BV187" s="13"/>
      <x:c r="BW187" s="13"/>
      <x:c r="BX187" s="13"/>
      <x:c r="BY187" s="13"/>
      <x:c r="BZ187" s="13"/>
      <x:c r="CA187" s="13"/>
      <x:c r="CB187" s="13"/>
      <x:c r="CC187" s="13"/>
      <x:c r="CD187" s="13"/>
      <x:c r="CE187" s="13"/>
      <x:c r="CF187" s="13"/>
      <x:c r="CG187" s="13"/>
    </x:row>
    <x:row r="188" ht="14.25" customHeight="1">
      <x:c r="AA188" s="3"/>
      <x:c r="AB188" s="3"/>
      <x:c r="AF188" s="3"/>
      <x:c r="AG188" s="3"/>
      <x:c r="AH188" s="3"/>
      <x:c r="AI188" s="3"/>
      <x:c r="AJ188" s="3"/>
      <x:c r="AK188" s="3"/>
      <x:c r="AL188" s="3"/>
      <x:c r="AM188" s="3"/>
      <x:c r="AT188" s="3"/>
      <x:c r="AU188" s="3"/>
      <x:c r="AV188" s="3"/>
      <x:c r="AW188" s="3"/>
      <x:c r="AX188" s="3"/>
      <x:c r="AY188" s="3"/>
      <x:c r="AZ188" s="3"/>
      <x:c r="BA188" s="3"/>
      <x:c r="BC188" s="3"/>
      <x:c r="BD188" s="3"/>
      <x:c r="BE188" s="3"/>
      <x:c r="BF188" s="3"/>
      <x:c r="BG188" s="3"/>
      <x:c r="BH188" s="13"/>
      <x:c r="BI188" s="13"/>
      <x:c r="BJ188" s="13"/>
      <x:c r="BK188" s="13"/>
      <x:c r="BL188" s="13"/>
      <x:c r="BM188" s="13"/>
      <x:c r="BN188" s="13"/>
      <x:c r="BO188" s="13"/>
      <x:c r="BP188" s="13"/>
      <x:c r="BQ188" s="13"/>
      <x:c r="BR188" s="13"/>
      <x:c r="BS188" s="13"/>
      <x:c r="BT188" s="13"/>
      <x:c r="BU188" s="13"/>
      <x:c r="BV188" s="13"/>
      <x:c r="BW188" s="13"/>
      <x:c r="BX188" s="13"/>
      <x:c r="BY188" s="13"/>
      <x:c r="BZ188" s="13"/>
      <x:c r="CA188" s="13"/>
      <x:c r="CB188" s="13"/>
      <x:c r="CC188" s="13"/>
      <x:c r="CD188" s="13"/>
      <x:c r="CE188" s="13"/>
      <x:c r="CF188" s="13"/>
      <x:c r="CG188" s="13"/>
    </x:row>
    <x:row r="189" ht="14.25" customHeight="1">
      <x:c r="AA189" s="3"/>
      <x:c r="AB189" s="3"/>
      <x:c r="AF189" s="3"/>
      <x:c r="AG189" s="3"/>
      <x:c r="AH189" s="3"/>
      <x:c r="AI189" s="3"/>
      <x:c r="AJ189" s="3"/>
      <x:c r="AK189" s="3"/>
      <x:c r="AL189" s="3"/>
      <x:c r="AM189" s="3"/>
      <x:c r="AT189" s="3"/>
      <x:c r="AU189" s="3"/>
      <x:c r="AV189" s="3"/>
      <x:c r="AW189" s="3"/>
      <x:c r="AX189" s="3"/>
      <x:c r="AY189" s="3"/>
      <x:c r="AZ189" s="3"/>
      <x:c r="BA189" s="3"/>
      <x:c r="BC189" s="3"/>
      <x:c r="BD189" s="3"/>
      <x:c r="BE189" s="3"/>
      <x:c r="BF189" s="3"/>
      <x:c r="BG189" s="3"/>
      <x:c r="BH189" s="13"/>
      <x:c r="BI189" s="13"/>
      <x:c r="BJ189" s="13"/>
      <x:c r="BK189" s="13"/>
      <x:c r="BL189" s="13"/>
      <x:c r="BM189" s="13"/>
      <x:c r="BN189" s="13"/>
      <x:c r="BO189" s="13"/>
      <x:c r="BP189" s="13"/>
      <x:c r="BQ189" s="13"/>
      <x:c r="BR189" s="13"/>
      <x:c r="BS189" s="13"/>
      <x:c r="BT189" s="13"/>
      <x:c r="BU189" s="13"/>
      <x:c r="BV189" s="13"/>
      <x:c r="BW189" s="13"/>
      <x:c r="BX189" s="13"/>
      <x:c r="BY189" s="13"/>
      <x:c r="BZ189" s="13"/>
      <x:c r="CA189" s="13"/>
      <x:c r="CB189" s="13"/>
      <x:c r="CC189" s="13"/>
      <x:c r="CD189" s="13"/>
      <x:c r="CE189" s="13"/>
      <x:c r="CF189" s="13"/>
      <x:c r="CG189" s="13"/>
    </x:row>
    <x:row r="190" ht="14.25" customHeight="1">
      <x:c r="AA190" s="3"/>
      <x:c r="AB190" s="3"/>
      <x:c r="AF190" s="3"/>
      <x:c r="AG190" s="3"/>
      <x:c r="AH190" s="3"/>
      <x:c r="AI190" s="3"/>
      <x:c r="AJ190" s="3"/>
      <x:c r="AK190" s="3"/>
      <x:c r="AL190" s="3"/>
      <x:c r="AM190" s="3"/>
      <x:c r="AT190" s="3"/>
      <x:c r="AU190" s="3"/>
      <x:c r="AV190" s="3"/>
      <x:c r="AW190" s="3"/>
      <x:c r="AX190" s="3"/>
      <x:c r="AY190" s="3"/>
      <x:c r="AZ190" s="3"/>
      <x:c r="BA190" s="3"/>
      <x:c r="BC190" s="3"/>
      <x:c r="BD190" s="3"/>
      <x:c r="BE190" s="3"/>
      <x:c r="BF190" s="3"/>
      <x:c r="BG190" s="3"/>
      <x:c r="BH190" s="13"/>
      <x:c r="BI190" s="13"/>
      <x:c r="BJ190" s="13"/>
      <x:c r="BK190" s="13"/>
      <x:c r="BL190" s="13"/>
      <x:c r="BM190" s="13"/>
      <x:c r="BN190" s="13"/>
      <x:c r="BO190" s="13"/>
      <x:c r="BP190" s="13"/>
      <x:c r="BQ190" s="13"/>
      <x:c r="BR190" s="13"/>
      <x:c r="BS190" s="13"/>
      <x:c r="BT190" s="13"/>
      <x:c r="BU190" s="13"/>
      <x:c r="BV190" s="13"/>
      <x:c r="BW190" s="13"/>
      <x:c r="BX190" s="13"/>
      <x:c r="BY190" s="13"/>
      <x:c r="BZ190" s="13"/>
      <x:c r="CA190" s="13"/>
      <x:c r="CB190" s="13"/>
      <x:c r="CC190" s="13"/>
      <x:c r="CD190" s="13"/>
      <x:c r="CE190" s="13"/>
      <x:c r="CF190" s="13"/>
      <x:c r="CG190" s="13"/>
    </x:row>
    <x:row r="191" ht="14.25" customHeight="1">
      <x:c r="AA191" s="3"/>
      <x:c r="AB191" s="3"/>
      <x:c r="AF191" s="3"/>
      <x:c r="AG191" s="3"/>
      <x:c r="AH191" s="3"/>
      <x:c r="AI191" s="3"/>
      <x:c r="AJ191" s="3"/>
      <x:c r="AK191" s="3"/>
      <x:c r="AL191" s="3"/>
      <x:c r="AM191" s="3"/>
      <x:c r="AT191" s="3"/>
      <x:c r="AU191" s="3"/>
      <x:c r="AV191" s="3"/>
      <x:c r="AW191" s="3"/>
      <x:c r="AX191" s="3"/>
      <x:c r="AY191" s="3"/>
      <x:c r="AZ191" s="3"/>
      <x:c r="BA191" s="3"/>
      <x:c r="BC191" s="3"/>
      <x:c r="BD191" s="3"/>
      <x:c r="BE191" s="3"/>
      <x:c r="BF191" s="3"/>
      <x:c r="BG191" s="3"/>
      <x:c r="BH191" s="13"/>
      <x:c r="BI191" s="13"/>
      <x:c r="BJ191" s="13"/>
      <x:c r="BK191" s="13"/>
      <x:c r="BL191" s="13"/>
      <x:c r="BM191" s="13"/>
      <x:c r="BN191" s="13"/>
      <x:c r="BO191" s="13"/>
      <x:c r="BP191" s="13"/>
      <x:c r="BQ191" s="13"/>
      <x:c r="BR191" s="13"/>
      <x:c r="BS191" s="13"/>
      <x:c r="BT191" s="13"/>
      <x:c r="BU191" s="13"/>
      <x:c r="BV191" s="13"/>
      <x:c r="BW191" s="13"/>
      <x:c r="BX191" s="13"/>
      <x:c r="BY191" s="13"/>
      <x:c r="BZ191" s="13"/>
      <x:c r="CA191" s="13"/>
      <x:c r="CB191" s="13"/>
      <x:c r="CC191" s="13"/>
      <x:c r="CD191" s="13"/>
      <x:c r="CE191" s="13"/>
      <x:c r="CF191" s="13"/>
      <x:c r="CG191" s="13"/>
    </x:row>
    <x:row r="192" ht="14.25" customHeight="1">
      <x:c r="AA192" s="3"/>
      <x:c r="AB192" s="3"/>
      <x:c r="AF192" s="3"/>
      <x:c r="AG192" s="3"/>
      <x:c r="AH192" s="3"/>
      <x:c r="AI192" s="3"/>
      <x:c r="AJ192" s="3"/>
      <x:c r="AK192" s="3"/>
      <x:c r="AL192" s="3"/>
      <x:c r="AM192" s="3"/>
      <x:c r="AT192" s="3"/>
      <x:c r="AU192" s="3"/>
      <x:c r="AV192" s="3"/>
      <x:c r="AW192" s="3"/>
      <x:c r="AX192" s="3"/>
      <x:c r="AY192" s="3"/>
      <x:c r="AZ192" s="3"/>
      <x:c r="BA192" s="3"/>
      <x:c r="BC192" s="3"/>
      <x:c r="BD192" s="3"/>
      <x:c r="BE192" s="3"/>
      <x:c r="BF192" s="3"/>
      <x:c r="BG192" s="3"/>
      <x:c r="BH192" s="13"/>
      <x:c r="BI192" s="13"/>
      <x:c r="BJ192" s="13"/>
      <x:c r="BK192" s="13"/>
      <x:c r="BL192" s="13"/>
      <x:c r="BM192" s="13"/>
      <x:c r="BN192" s="13"/>
      <x:c r="BO192" s="13"/>
      <x:c r="BP192" s="13"/>
      <x:c r="BQ192" s="13"/>
      <x:c r="BR192" s="13"/>
      <x:c r="BS192" s="13"/>
      <x:c r="BT192" s="13"/>
      <x:c r="BU192" s="13"/>
      <x:c r="BV192" s="13"/>
      <x:c r="BW192" s="13"/>
      <x:c r="BX192" s="13"/>
      <x:c r="BY192" s="13"/>
      <x:c r="BZ192" s="13"/>
      <x:c r="CA192" s="13"/>
      <x:c r="CB192" s="13"/>
      <x:c r="CC192" s="13"/>
      <x:c r="CD192" s="13"/>
      <x:c r="CE192" s="13"/>
      <x:c r="CF192" s="13"/>
      <x:c r="CG192" s="13"/>
    </x:row>
    <x:row r="193" ht="14.25" customHeight="1">
      <x:c r="AA193" s="3"/>
      <x:c r="AB193" s="3"/>
      <x:c r="AF193" s="3"/>
      <x:c r="AG193" s="3"/>
      <x:c r="AH193" s="3"/>
      <x:c r="AI193" s="3"/>
      <x:c r="AJ193" s="3"/>
      <x:c r="AK193" s="3"/>
      <x:c r="AL193" s="3"/>
      <x:c r="AM193" s="3"/>
      <x:c r="AT193" s="3"/>
      <x:c r="AU193" s="3"/>
      <x:c r="AV193" s="3"/>
      <x:c r="AW193" s="3"/>
      <x:c r="AX193" s="3"/>
      <x:c r="AY193" s="3"/>
      <x:c r="AZ193" s="3"/>
      <x:c r="BA193" s="3"/>
      <x:c r="BC193" s="3"/>
      <x:c r="BD193" s="3"/>
      <x:c r="BE193" s="3"/>
      <x:c r="BF193" s="3"/>
      <x:c r="BG193" s="3"/>
      <x:c r="BH193" s="13"/>
      <x:c r="BI193" s="13"/>
      <x:c r="BJ193" s="13"/>
      <x:c r="BK193" s="13"/>
      <x:c r="BL193" s="13"/>
      <x:c r="BM193" s="13"/>
      <x:c r="BN193" s="13"/>
      <x:c r="BO193" s="13"/>
      <x:c r="BP193" s="13"/>
      <x:c r="BQ193" s="13"/>
      <x:c r="BR193" s="13"/>
      <x:c r="BS193" s="13"/>
      <x:c r="BT193" s="13"/>
      <x:c r="BU193" s="13"/>
      <x:c r="BV193" s="13"/>
      <x:c r="BW193" s="13"/>
      <x:c r="BX193" s="13"/>
      <x:c r="BY193" s="13"/>
      <x:c r="BZ193" s="13"/>
      <x:c r="CA193" s="13"/>
      <x:c r="CB193" s="13"/>
      <x:c r="CC193" s="13"/>
      <x:c r="CD193" s="13"/>
      <x:c r="CE193" s="13"/>
      <x:c r="CF193" s="13"/>
      <x:c r="CG193" s="13"/>
    </x:row>
    <x:row r="194" ht="14.25" customHeight="1">
      <x:c r="AA194" s="3"/>
      <x:c r="AB194" s="3"/>
      <x:c r="AF194" s="3"/>
      <x:c r="AG194" s="3"/>
      <x:c r="AH194" s="3"/>
      <x:c r="AI194" s="3"/>
      <x:c r="AJ194" s="3"/>
      <x:c r="AK194" s="3"/>
      <x:c r="AL194" s="3"/>
      <x:c r="AM194" s="3"/>
      <x:c r="AT194" s="3"/>
      <x:c r="AU194" s="3"/>
      <x:c r="AV194" s="3"/>
      <x:c r="AW194" s="3"/>
      <x:c r="AX194" s="3"/>
      <x:c r="AY194" s="3"/>
      <x:c r="AZ194" s="3"/>
      <x:c r="BA194" s="3"/>
      <x:c r="BC194" s="3"/>
      <x:c r="BD194" s="3"/>
      <x:c r="BE194" s="3"/>
      <x:c r="BF194" s="3"/>
      <x:c r="BG194" s="3"/>
      <x:c r="BH194" s="13"/>
      <x:c r="BI194" s="13"/>
      <x:c r="BJ194" s="13"/>
      <x:c r="BK194" s="13"/>
      <x:c r="BL194" s="13"/>
      <x:c r="BM194" s="13"/>
      <x:c r="BN194" s="13"/>
      <x:c r="BO194" s="13"/>
      <x:c r="BP194" s="13"/>
      <x:c r="BQ194" s="13"/>
      <x:c r="BR194" s="13"/>
      <x:c r="BS194" s="13"/>
      <x:c r="BT194" s="13"/>
      <x:c r="BU194" s="13"/>
      <x:c r="BV194" s="13"/>
      <x:c r="BW194" s="13"/>
      <x:c r="BX194" s="13"/>
      <x:c r="BY194" s="13"/>
      <x:c r="BZ194" s="13"/>
      <x:c r="CA194" s="13"/>
      <x:c r="CB194" s="13"/>
      <x:c r="CC194" s="13"/>
      <x:c r="CD194" s="13"/>
      <x:c r="CE194" s="13"/>
      <x:c r="CF194" s="13"/>
      <x:c r="CG194" s="13"/>
    </x:row>
    <x:row r="195" ht="14.25" customHeight="1">
      <x:c r="AA195" s="3"/>
      <x:c r="AB195" s="3"/>
      <x:c r="AF195" s="3"/>
      <x:c r="AG195" s="3"/>
      <x:c r="AH195" s="3"/>
      <x:c r="AI195" s="3"/>
      <x:c r="AJ195" s="3"/>
      <x:c r="AK195" s="3"/>
      <x:c r="AL195" s="3"/>
      <x:c r="AM195" s="3"/>
      <x:c r="AT195" s="3"/>
      <x:c r="AU195" s="3"/>
      <x:c r="AV195" s="3"/>
      <x:c r="AW195" s="3"/>
      <x:c r="AX195" s="3"/>
      <x:c r="AY195" s="3"/>
      <x:c r="AZ195" s="3"/>
      <x:c r="BA195" s="3"/>
      <x:c r="BC195" s="3"/>
      <x:c r="BD195" s="3"/>
      <x:c r="BE195" s="3"/>
      <x:c r="BF195" s="3"/>
      <x:c r="BG195" s="3"/>
      <x:c r="BH195" s="13"/>
      <x:c r="BI195" s="13"/>
      <x:c r="BJ195" s="13"/>
      <x:c r="BK195" s="13"/>
      <x:c r="BL195" s="13"/>
      <x:c r="BM195" s="13"/>
      <x:c r="BN195" s="13"/>
      <x:c r="BO195" s="13"/>
      <x:c r="BP195" s="13"/>
      <x:c r="BQ195" s="13"/>
      <x:c r="BR195" s="13"/>
      <x:c r="BS195" s="13"/>
      <x:c r="BT195" s="13"/>
      <x:c r="BU195" s="13"/>
      <x:c r="BV195" s="13"/>
      <x:c r="BW195" s="13"/>
      <x:c r="BX195" s="13"/>
      <x:c r="BY195" s="13"/>
      <x:c r="BZ195" s="13"/>
      <x:c r="CA195" s="13"/>
      <x:c r="CB195" s="13"/>
      <x:c r="CC195" s="13"/>
      <x:c r="CD195" s="13"/>
      <x:c r="CE195" s="13"/>
      <x:c r="CF195" s="13"/>
      <x:c r="CG195" s="13"/>
    </x:row>
    <x:row r="196" ht="14.25" customHeight="1">
      <x:c r="AA196" s="3"/>
      <x:c r="AB196" s="3"/>
      <x:c r="AF196" s="3"/>
      <x:c r="AG196" s="3"/>
      <x:c r="AH196" s="3"/>
      <x:c r="AI196" s="3"/>
      <x:c r="AJ196" s="3"/>
      <x:c r="AK196" s="3"/>
      <x:c r="AL196" s="3"/>
      <x:c r="AM196" s="3"/>
      <x:c r="AT196" s="3"/>
      <x:c r="AU196" s="3"/>
      <x:c r="AV196" s="3"/>
      <x:c r="AW196" s="3"/>
      <x:c r="AX196" s="3"/>
      <x:c r="AY196" s="3"/>
      <x:c r="AZ196" s="3"/>
      <x:c r="BA196" s="3"/>
      <x:c r="BC196" s="3"/>
      <x:c r="BD196" s="3"/>
      <x:c r="BE196" s="3"/>
      <x:c r="BF196" s="3"/>
      <x:c r="BG196" s="3"/>
      <x:c r="BH196" s="13"/>
      <x:c r="BI196" s="13"/>
      <x:c r="BJ196" s="13"/>
      <x:c r="BK196" s="13"/>
      <x:c r="BL196" s="13"/>
      <x:c r="BM196" s="13"/>
      <x:c r="BN196" s="13"/>
      <x:c r="BO196" s="13"/>
      <x:c r="BP196" s="13"/>
      <x:c r="BQ196" s="13"/>
      <x:c r="BR196" s="13"/>
      <x:c r="BS196" s="13"/>
      <x:c r="BT196" s="13"/>
      <x:c r="BU196" s="13"/>
      <x:c r="BV196" s="13"/>
      <x:c r="BW196" s="13"/>
      <x:c r="BX196" s="13"/>
      <x:c r="BY196" s="13"/>
      <x:c r="BZ196" s="13"/>
      <x:c r="CA196" s="13"/>
      <x:c r="CB196" s="13"/>
      <x:c r="CC196" s="13"/>
      <x:c r="CD196" s="13"/>
      <x:c r="CE196" s="13"/>
      <x:c r="CF196" s="13"/>
      <x:c r="CG196" s="13"/>
    </x:row>
    <x:row r="197" ht="14.25" customHeight="1">
      <x:c r="AA197" s="3"/>
      <x:c r="AB197" s="3"/>
      <x:c r="AF197" s="3"/>
      <x:c r="AG197" s="3"/>
      <x:c r="AH197" s="3"/>
      <x:c r="AI197" s="3"/>
      <x:c r="AJ197" s="3"/>
      <x:c r="AK197" s="3"/>
      <x:c r="AL197" s="3"/>
      <x:c r="AM197" s="3"/>
      <x:c r="AT197" s="3"/>
      <x:c r="AU197" s="3"/>
      <x:c r="AV197" s="3"/>
      <x:c r="AW197" s="3"/>
      <x:c r="AX197" s="3"/>
      <x:c r="AY197" s="3"/>
      <x:c r="AZ197" s="3"/>
      <x:c r="BA197" s="3"/>
      <x:c r="BC197" s="3"/>
      <x:c r="BD197" s="3"/>
      <x:c r="BE197" s="3"/>
      <x:c r="BF197" s="3"/>
      <x:c r="BG197" s="3"/>
      <x:c r="BH197" s="13"/>
      <x:c r="BI197" s="13"/>
      <x:c r="BJ197" s="13"/>
      <x:c r="BK197" s="13"/>
      <x:c r="BL197" s="13"/>
      <x:c r="BM197" s="13"/>
      <x:c r="BN197" s="13"/>
      <x:c r="BO197" s="13"/>
      <x:c r="BP197" s="13"/>
      <x:c r="BQ197" s="13"/>
      <x:c r="BR197" s="13"/>
      <x:c r="BS197" s="13"/>
      <x:c r="BT197" s="13"/>
      <x:c r="BU197" s="13"/>
      <x:c r="BV197" s="13"/>
      <x:c r="BW197" s="13"/>
      <x:c r="BX197" s="13"/>
      <x:c r="BY197" s="13"/>
      <x:c r="BZ197" s="13"/>
      <x:c r="CA197" s="13"/>
      <x:c r="CB197" s="13"/>
      <x:c r="CC197" s="13"/>
      <x:c r="CD197" s="13"/>
      <x:c r="CE197" s="13"/>
      <x:c r="CF197" s="13"/>
      <x:c r="CG197" s="13"/>
    </x:row>
    <x:row r="198" ht="14.25" customHeight="1">
      <x:c r="AA198" s="3"/>
      <x:c r="AB198" s="3"/>
      <x:c r="AF198" s="3"/>
      <x:c r="AG198" s="3"/>
      <x:c r="AH198" s="3"/>
      <x:c r="AI198" s="3"/>
      <x:c r="AJ198" s="3"/>
      <x:c r="AK198" s="3"/>
      <x:c r="AL198" s="3"/>
      <x:c r="AM198" s="3"/>
      <x:c r="AT198" s="3"/>
      <x:c r="AU198" s="3"/>
      <x:c r="AV198" s="3"/>
      <x:c r="AW198" s="3"/>
      <x:c r="AX198" s="3"/>
      <x:c r="AY198" s="3"/>
      <x:c r="AZ198" s="3"/>
      <x:c r="BA198" s="3"/>
      <x:c r="BC198" s="3"/>
      <x:c r="BD198" s="3"/>
      <x:c r="BE198" s="3"/>
      <x:c r="BF198" s="3"/>
      <x:c r="BG198" s="3"/>
      <x:c r="BH198" s="13"/>
      <x:c r="BI198" s="13"/>
      <x:c r="BJ198" s="13"/>
      <x:c r="BK198" s="13"/>
      <x:c r="BL198" s="13"/>
      <x:c r="BM198" s="13"/>
      <x:c r="BN198" s="13"/>
      <x:c r="BO198" s="13"/>
      <x:c r="BP198" s="13"/>
      <x:c r="BQ198" s="13"/>
      <x:c r="BR198" s="13"/>
      <x:c r="BS198" s="13"/>
      <x:c r="BT198" s="13"/>
      <x:c r="BU198" s="13"/>
      <x:c r="BV198" s="13"/>
      <x:c r="BW198" s="13"/>
      <x:c r="BX198" s="13"/>
      <x:c r="BY198" s="13"/>
      <x:c r="BZ198" s="13"/>
      <x:c r="CA198" s="13"/>
      <x:c r="CB198" s="13"/>
      <x:c r="CC198" s="13"/>
      <x:c r="CD198" s="13"/>
      <x:c r="CE198" s="13"/>
      <x:c r="CF198" s="13"/>
      <x:c r="CG198" s="13"/>
    </x:row>
    <x:row r="199" ht="14.25" customHeight="1">
      <x:c r="AA199" s="3"/>
      <x:c r="AB199" s="3"/>
      <x:c r="AF199" s="3"/>
      <x:c r="AG199" s="3"/>
      <x:c r="AH199" s="3"/>
      <x:c r="AI199" s="3"/>
      <x:c r="AJ199" s="3"/>
      <x:c r="AK199" s="3"/>
      <x:c r="AL199" s="3"/>
      <x:c r="AM199" s="3"/>
      <x:c r="AT199" s="3"/>
      <x:c r="AU199" s="3"/>
      <x:c r="AV199" s="3"/>
      <x:c r="AW199" s="3"/>
      <x:c r="AX199" s="3"/>
      <x:c r="AY199" s="3"/>
      <x:c r="AZ199" s="3"/>
      <x:c r="BA199" s="3"/>
      <x:c r="BC199" s="3"/>
      <x:c r="BD199" s="3"/>
      <x:c r="BE199" s="3"/>
      <x:c r="BF199" s="3"/>
      <x:c r="BG199" s="3"/>
      <x:c r="BH199" s="13"/>
      <x:c r="BI199" s="13"/>
      <x:c r="BJ199" s="13"/>
      <x:c r="BK199" s="13"/>
      <x:c r="BL199" s="13"/>
      <x:c r="BM199" s="13"/>
      <x:c r="BN199" s="13"/>
      <x:c r="BO199" s="13"/>
      <x:c r="BP199" s="13"/>
      <x:c r="BQ199" s="13"/>
      <x:c r="BR199" s="13"/>
      <x:c r="BS199" s="13"/>
      <x:c r="BT199" s="13"/>
      <x:c r="BU199" s="13"/>
      <x:c r="BV199" s="13"/>
      <x:c r="BW199" s="13"/>
      <x:c r="BX199" s="13"/>
      <x:c r="BY199" s="13"/>
      <x:c r="BZ199" s="13"/>
      <x:c r="CA199" s="13"/>
      <x:c r="CB199" s="13"/>
      <x:c r="CC199" s="13"/>
      <x:c r="CD199" s="13"/>
      <x:c r="CE199" s="13"/>
      <x:c r="CF199" s="13"/>
      <x:c r="CG199" s="13"/>
    </x:row>
    <x:row r="200" ht="14.25" customHeight="1">
      <x:c r="AA200" s="3"/>
      <x:c r="AB200" s="3"/>
      <x:c r="AF200" s="3"/>
      <x:c r="AG200" s="3"/>
      <x:c r="AH200" s="3"/>
      <x:c r="AI200" s="3"/>
      <x:c r="AJ200" s="3"/>
      <x:c r="AK200" s="3"/>
      <x:c r="AL200" s="3"/>
      <x:c r="AM200" s="3"/>
      <x:c r="AT200" s="3"/>
      <x:c r="AU200" s="3"/>
      <x:c r="AV200" s="3"/>
      <x:c r="AW200" s="3"/>
      <x:c r="AX200" s="3"/>
      <x:c r="AY200" s="3"/>
      <x:c r="AZ200" s="3"/>
      <x:c r="BA200" s="3"/>
      <x:c r="BC200" s="3"/>
      <x:c r="BD200" s="3"/>
      <x:c r="BE200" s="3"/>
      <x:c r="BF200" s="3"/>
      <x:c r="BG200" s="3"/>
      <x:c r="BH200" s="13"/>
      <x:c r="BI200" s="13"/>
      <x:c r="BJ200" s="13"/>
      <x:c r="BK200" s="13"/>
      <x:c r="BL200" s="13"/>
      <x:c r="BM200" s="13"/>
      <x:c r="BN200" s="13"/>
      <x:c r="BO200" s="13"/>
      <x:c r="BP200" s="13"/>
      <x:c r="BQ200" s="13"/>
      <x:c r="BR200" s="13"/>
      <x:c r="BS200" s="13"/>
      <x:c r="BT200" s="13"/>
      <x:c r="BU200" s="13"/>
      <x:c r="BV200" s="13"/>
      <x:c r="BW200" s="13"/>
      <x:c r="BX200" s="13"/>
      <x:c r="BY200" s="13"/>
      <x:c r="BZ200" s="13"/>
      <x:c r="CA200" s="13"/>
      <x:c r="CB200" s="13"/>
      <x:c r="CC200" s="13"/>
      <x:c r="CD200" s="13"/>
      <x:c r="CE200" s="13"/>
      <x:c r="CF200" s="13"/>
      <x:c r="CG200" s="13"/>
    </x:row>
    <x:row r="201" ht="14.25" customHeight="1">
      <x:c r="AA201" s="3"/>
      <x:c r="AB201" s="3"/>
      <x:c r="AF201" s="3"/>
      <x:c r="AG201" s="3"/>
      <x:c r="AH201" s="3"/>
      <x:c r="AI201" s="3"/>
      <x:c r="AJ201" s="3"/>
      <x:c r="AK201" s="3"/>
      <x:c r="AL201" s="3"/>
      <x:c r="AM201" s="3"/>
      <x:c r="AT201" s="3"/>
      <x:c r="AU201" s="3"/>
      <x:c r="AV201" s="3"/>
      <x:c r="AW201" s="3"/>
      <x:c r="AX201" s="3"/>
      <x:c r="AY201" s="3"/>
      <x:c r="AZ201" s="3"/>
      <x:c r="BA201" s="3"/>
      <x:c r="BC201" s="3"/>
      <x:c r="BD201" s="3"/>
      <x:c r="BE201" s="3"/>
      <x:c r="BF201" s="3"/>
      <x:c r="BG201" s="3"/>
      <x:c r="BH201" s="13"/>
      <x:c r="BI201" s="13"/>
      <x:c r="BJ201" s="13"/>
      <x:c r="BK201" s="13"/>
      <x:c r="BL201" s="13"/>
      <x:c r="BM201" s="13"/>
      <x:c r="BN201" s="13"/>
      <x:c r="BO201" s="13"/>
      <x:c r="BP201" s="13"/>
      <x:c r="BQ201" s="13"/>
      <x:c r="BR201" s="13"/>
      <x:c r="BS201" s="13"/>
      <x:c r="BT201" s="13"/>
      <x:c r="BU201" s="13"/>
      <x:c r="BV201" s="13"/>
      <x:c r="BW201" s="13"/>
      <x:c r="BX201" s="13"/>
      <x:c r="BY201" s="13"/>
      <x:c r="BZ201" s="13"/>
      <x:c r="CA201" s="13"/>
      <x:c r="CB201" s="13"/>
      <x:c r="CC201" s="13"/>
      <x:c r="CD201" s="13"/>
      <x:c r="CE201" s="13"/>
      <x:c r="CF201" s="13"/>
      <x:c r="CG201" s="13"/>
    </x:row>
    <x:row r="202" ht="14.25" customHeight="1">
      <x:c r="AA202" s="3"/>
      <x:c r="AB202" s="3"/>
      <x:c r="AF202" s="3"/>
      <x:c r="AG202" s="3"/>
      <x:c r="AH202" s="3"/>
      <x:c r="AI202" s="3"/>
      <x:c r="AJ202" s="3"/>
      <x:c r="AK202" s="3"/>
      <x:c r="AL202" s="3"/>
      <x:c r="AM202" s="3"/>
      <x:c r="AT202" s="3"/>
      <x:c r="AU202" s="3"/>
      <x:c r="AV202" s="3"/>
      <x:c r="AW202" s="3"/>
      <x:c r="AX202" s="3"/>
      <x:c r="AY202" s="3"/>
      <x:c r="AZ202" s="3"/>
      <x:c r="BA202" s="3"/>
      <x:c r="BC202" s="3"/>
      <x:c r="BD202" s="3"/>
      <x:c r="BE202" s="3"/>
      <x:c r="BF202" s="3"/>
      <x:c r="BG202" s="3"/>
      <x:c r="BH202" s="13"/>
      <x:c r="BI202" s="13"/>
      <x:c r="BJ202" s="13"/>
      <x:c r="BK202" s="13"/>
      <x:c r="BL202" s="13"/>
      <x:c r="BM202" s="13"/>
      <x:c r="BN202" s="13"/>
      <x:c r="BO202" s="13"/>
      <x:c r="BP202" s="13"/>
      <x:c r="BQ202" s="13"/>
      <x:c r="BR202" s="13"/>
      <x:c r="BS202" s="13"/>
      <x:c r="BT202" s="13"/>
      <x:c r="BU202" s="13"/>
      <x:c r="BV202" s="13"/>
      <x:c r="BW202" s="13"/>
      <x:c r="BX202" s="13"/>
      <x:c r="BY202" s="13"/>
      <x:c r="BZ202" s="13"/>
      <x:c r="CA202" s="13"/>
      <x:c r="CB202" s="13"/>
      <x:c r="CC202" s="13"/>
      <x:c r="CD202" s="13"/>
      <x:c r="CE202" s="13"/>
      <x:c r="CF202" s="13"/>
      <x:c r="CG202" s="13"/>
    </x:row>
    <x:row r="203" ht="14.25" customHeight="1">
      <x:c r="AA203" s="3"/>
      <x:c r="AB203" s="3"/>
      <x:c r="AF203" s="3"/>
      <x:c r="AG203" s="3"/>
      <x:c r="AH203" s="3"/>
      <x:c r="AI203" s="3"/>
      <x:c r="AJ203" s="3"/>
      <x:c r="AK203" s="3"/>
      <x:c r="AL203" s="3"/>
      <x:c r="AM203" s="3"/>
      <x:c r="AT203" s="3"/>
      <x:c r="AU203" s="3"/>
      <x:c r="AV203" s="3"/>
      <x:c r="AW203" s="3"/>
      <x:c r="AX203" s="3"/>
      <x:c r="AY203" s="3"/>
      <x:c r="AZ203" s="3"/>
      <x:c r="BA203" s="3"/>
      <x:c r="BC203" s="3"/>
      <x:c r="BD203" s="3"/>
      <x:c r="BE203" s="3"/>
      <x:c r="BF203" s="3"/>
      <x:c r="BG203" s="3"/>
      <x:c r="BH203" s="13"/>
      <x:c r="BI203" s="13"/>
      <x:c r="BJ203" s="13"/>
      <x:c r="BK203" s="13"/>
      <x:c r="BL203" s="13"/>
      <x:c r="BM203" s="13"/>
      <x:c r="BN203" s="13"/>
      <x:c r="BO203" s="13"/>
      <x:c r="BP203" s="13"/>
      <x:c r="BQ203" s="13"/>
      <x:c r="BR203" s="13"/>
      <x:c r="BS203" s="13"/>
      <x:c r="BT203" s="13"/>
      <x:c r="BU203" s="13"/>
      <x:c r="BV203" s="13"/>
      <x:c r="BW203" s="13"/>
      <x:c r="BX203" s="13"/>
      <x:c r="BY203" s="13"/>
      <x:c r="BZ203" s="13"/>
      <x:c r="CA203" s="13"/>
      <x:c r="CB203" s="13"/>
      <x:c r="CC203" s="13"/>
      <x:c r="CD203" s="13"/>
      <x:c r="CE203" s="13"/>
      <x:c r="CF203" s="13"/>
      <x:c r="CG203" s="13"/>
    </x:row>
    <x:row r="204" ht="14.25" customHeight="1">
      <x:c r="AA204" s="3"/>
      <x:c r="AB204" s="3"/>
      <x:c r="AF204" s="3"/>
      <x:c r="AG204" s="3"/>
      <x:c r="AH204" s="3"/>
      <x:c r="AI204" s="3"/>
      <x:c r="AJ204" s="3"/>
      <x:c r="AK204" s="3"/>
      <x:c r="AL204" s="3"/>
      <x:c r="AM204" s="3"/>
      <x:c r="AT204" s="3"/>
      <x:c r="AU204" s="3"/>
      <x:c r="AV204" s="3"/>
      <x:c r="AW204" s="3"/>
      <x:c r="AX204" s="3"/>
      <x:c r="AY204" s="3"/>
      <x:c r="AZ204" s="3"/>
      <x:c r="BA204" s="3"/>
      <x:c r="BC204" s="3"/>
      <x:c r="BD204" s="3"/>
      <x:c r="BE204" s="3"/>
      <x:c r="BF204" s="3"/>
      <x:c r="BG204" s="3"/>
      <x:c r="BH204" s="13"/>
      <x:c r="BI204" s="13"/>
      <x:c r="BJ204" s="13"/>
      <x:c r="BK204" s="13"/>
      <x:c r="BL204" s="13"/>
      <x:c r="BM204" s="13"/>
      <x:c r="BN204" s="13"/>
      <x:c r="BO204" s="13"/>
      <x:c r="BP204" s="13"/>
      <x:c r="BQ204" s="13"/>
      <x:c r="BR204" s="13"/>
      <x:c r="BS204" s="13"/>
      <x:c r="BT204" s="13"/>
      <x:c r="BU204" s="13"/>
      <x:c r="BV204" s="13"/>
      <x:c r="BW204" s="13"/>
      <x:c r="BX204" s="13"/>
      <x:c r="BY204" s="13"/>
      <x:c r="BZ204" s="13"/>
      <x:c r="CA204" s="13"/>
      <x:c r="CB204" s="13"/>
      <x:c r="CC204" s="13"/>
      <x:c r="CD204" s="13"/>
      <x:c r="CE204" s="13"/>
      <x:c r="CF204" s="13"/>
      <x:c r="CG204" s="13"/>
    </x:row>
    <x:row r="205" ht="14.25" customHeight="1">
      <x:c r="AA205" s="3"/>
      <x:c r="AB205" s="3"/>
      <x:c r="AF205" s="3"/>
      <x:c r="AG205" s="3"/>
      <x:c r="AH205" s="3"/>
      <x:c r="AI205" s="3"/>
      <x:c r="AJ205" s="3"/>
      <x:c r="AK205" s="3"/>
      <x:c r="AL205" s="3"/>
      <x:c r="AM205" s="3"/>
      <x:c r="AT205" s="3"/>
      <x:c r="AU205" s="3"/>
      <x:c r="AV205" s="3"/>
      <x:c r="AW205" s="3"/>
      <x:c r="AX205" s="3"/>
      <x:c r="AY205" s="3"/>
      <x:c r="AZ205" s="3"/>
      <x:c r="BA205" s="3"/>
      <x:c r="BC205" s="3"/>
      <x:c r="BD205" s="3"/>
      <x:c r="BE205" s="3"/>
      <x:c r="BF205" s="3"/>
      <x:c r="BG205" s="3"/>
      <x:c r="BH205" s="13"/>
      <x:c r="BI205" s="13"/>
      <x:c r="BJ205" s="13"/>
      <x:c r="BK205" s="13"/>
      <x:c r="BL205" s="13"/>
      <x:c r="BM205" s="13"/>
      <x:c r="BN205" s="13"/>
      <x:c r="BO205" s="13"/>
      <x:c r="BP205" s="13"/>
      <x:c r="BQ205" s="13"/>
      <x:c r="BR205" s="13"/>
      <x:c r="BS205" s="13"/>
      <x:c r="BT205" s="13"/>
      <x:c r="BU205" s="13"/>
      <x:c r="BV205" s="13"/>
      <x:c r="BW205" s="13"/>
      <x:c r="BX205" s="13"/>
      <x:c r="BY205" s="13"/>
      <x:c r="BZ205" s="13"/>
      <x:c r="CA205" s="13"/>
      <x:c r="CB205" s="13"/>
      <x:c r="CC205" s="13"/>
      <x:c r="CD205" s="13"/>
      <x:c r="CE205" s="13"/>
      <x:c r="CF205" s="13"/>
      <x:c r="CG205" s="13"/>
    </x:row>
    <x:row r="206" ht="14.25" customHeight="1">
      <x:c r="AA206" s="3"/>
      <x:c r="AB206" s="3"/>
      <x:c r="AF206" s="3"/>
      <x:c r="AG206" s="3"/>
      <x:c r="AH206" s="3"/>
      <x:c r="AI206" s="3"/>
      <x:c r="AJ206" s="3"/>
      <x:c r="AK206" s="3"/>
      <x:c r="AL206" s="3"/>
      <x:c r="AM206" s="3"/>
      <x:c r="AT206" s="3"/>
      <x:c r="AU206" s="3"/>
      <x:c r="AV206" s="3"/>
      <x:c r="AW206" s="3"/>
      <x:c r="AX206" s="3"/>
      <x:c r="AY206" s="3"/>
      <x:c r="AZ206" s="3"/>
      <x:c r="BA206" s="3"/>
      <x:c r="BC206" s="3"/>
      <x:c r="BD206" s="3"/>
      <x:c r="BE206" s="3"/>
      <x:c r="BF206" s="3"/>
      <x:c r="BG206" s="3"/>
      <x:c r="BH206" s="13"/>
      <x:c r="BI206" s="13"/>
      <x:c r="BJ206" s="13"/>
      <x:c r="BK206" s="13"/>
      <x:c r="BL206" s="13"/>
      <x:c r="BM206" s="13"/>
      <x:c r="BN206" s="13"/>
      <x:c r="BO206" s="13"/>
      <x:c r="BP206" s="13"/>
      <x:c r="BQ206" s="13"/>
      <x:c r="BR206" s="13"/>
      <x:c r="BS206" s="13"/>
      <x:c r="BT206" s="13"/>
      <x:c r="BU206" s="13"/>
      <x:c r="BV206" s="13"/>
      <x:c r="BW206" s="13"/>
      <x:c r="BX206" s="13"/>
      <x:c r="BY206" s="13"/>
      <x:c r="BZ206" s="13"/>
      <x:c r="CA206" s="13"/>
      <x:c r="CB206" s="13"/>
      <x:c r="CC206" s="13"/>
      <x:c r="CD206" s="13"/>
      <x:c r="CE206" s="13"/>
      <x:c r="CF206" s="13"/>
      <x:c r="CG206" s="13"/>
    </x:row>
    <x:row r="207" ht="14.25" customHeight="1">
      <x:c r="AA207" s="3"/>
      <x:c r="AB207" s="3"/>
      <x:c r="AF207" s="3"/>
      <x:c r="AG207" s="3"/>
      <x:c r="AH207" s="3"/>
      <x:c r="AI207" s="3"/>
      <x:c r="AJ207" s="3"/>
      <x:c r="AK207" s="3"/>
      <x:c r="AL207" s="3"/>
      <x:c r="AM207" s="3"/>
      <x:c r="AT207" s="3"/>
      <x:c r="AU207" s="3"/>
      <x:c r="AV207" s="3"/>
      <x:c r="AW207" s="3"/>
      <x:c r="AX207" s="3"/>
      <x:c r="AY207" s="3"/>
      <x:c r="AZ207" s="3"/>
      <x:c r="BA207" s="3"/>
      <x:c r="BC207" s="3"/>
      <x:c r="BD207" s="3"/>
      <x:c r="BE207" s="3"/>
      <x:c r="BF207" s="3"/>
      <x:c r="BG207" s="3"/>
      <x:c r="BH207" s="13"/>
      <x:c r="BI207" s="13"/>
      <x:c r="BJ207" s="13"/>
      <x:c r="BK207" s="13"/>
      <x:c r="BL207" s="13"/>
      <x:c r="BM207" s="13"/>
      <x:c r="BN207" s="13"/>
      <x:c r="BO207" s="13"/>
      <x:c r="BP207" s="13"/>
      <x:c r="BQ207" s="13"/>
      <x:c r="BR207" s="13"/>
      <x:c r="BS207" s="13"/>
      <x:c r="BT207" s="13"/>
      <x:c r="BU207" s="13"/>
      <x:c r="BV207" s="13"/>
      <x:c r="BW207" s="13"/>
      <x:c r="BX207" s="13"/>
      <x:c r="BY207" s="13"/>
      <x:c r="BZ207" s="13"/>
      <x:c r="CA207" s="13"/>
      <x:c r="CB207" s="13"/>
      <x:c r="CC207" s="13"/>
      <x:c r="CD207" s="13"/>
      <x:c r="CE207" s="13"/>
      <x:c r="CF207" s="13"/>
      <x:c r="CG207" s="13"/>
    </x:row>
    <x:row r="208" ht="14.25" customHeight="1">
      <x:c r="AA208" s="3"/>
      <x:c r="AB208" s="3"/>
      <x:c r="AF208" s="3"/>
      <x:c r="AG208" s="3"/>
      <x:c r="AH208" s="3"/>
      <x:c r="AI208" s="3"/>
      <x:c r="AJ208" s="3"/>
      <x:c r="AK208" s="3"/>
      <x:c r="AL208" s="3"/>
      <x:c r="AM208" s="3"/>
      <x:c r="AT208" s="3"/>
      <x:c r="AU208" s="3"/>
      <x:c r="AV208" s="3"/>
      <x:c r="AW208" s="3"/>
      <x:c r="AX208" s="3"/>
      <x:c r="AY208" s="3"/>
      <x:c r="AZ208" s="3"/>
      <x:c r="BA208" s="3"/>
      <x:c r="BC208" s="3"/>
      <x:c r="BD208" s="3"/>
      <x:c r="BE208" s="3"/>
      <x:c r="BF208" s="3"/>
      <x:c r="BG208" s="3"/>
      <x:c r="BH208" s="13"/>
      <x:c r="BI208" s="13"/>
      <x:c r="BJ208" s="13"/>
      <x:c r="BK208" s="13"/>
      <x:c r="BL208" s="13"/>
      <x:c r="BM208" s="13"/>
      <x:c r="BN208" s="13"/>
      <x:c r="BO208" s="13"/>
      <x:c r="BP208" s="13"/>
      <x:c r="BQ208" s="13"/>
      <x:c r="BR208" s="13"/>
      <x:c r="BS208" s="13"/>
      <x:c r="BT208" s="13"/>
      <x:c r="BU208" s="13"/>
      <x:c r="BV208" s="13"/>
      <x:c r="BW208" s="13"/>
      <x:c r="BX208" s="13"/>
      <x:c r="BY208" s="13"/>
      <x:c r="BZ208" s="13"/>
      <x:c r="CA208" s="13"/>
      <x:c r="CB208" s="13"/>
      <x:c r="CC208" s="13"/>
      <x:c r="CD208" s="13"/>
      <x:c r="CE208" s="13"/>
      <x:c r="CF208" s="13"/>
      <x:c r="CG208" s="13"/>
    </x:row>
    <x:row r="209" ht="14.25" customHeight="1">
      <x:c r="AA209" s="3"/>
      <x:c r="AB209" s="3"/>
      <x:c r="AF209" s="3"/>
      <x:c r="AG209" s="3"/>
      <x:c r="AH209" s="3"/>
      <x:c r="AI209" s="3"/>
      <x:c r="AJ209" s="3"/>
      <x:c r="AK209" s="3"/>
      <x:c r="AL209" s="3"/>
      <x:c r="AM209" s="3"/>
      <x:c r="AT209" s="3"/>
      <x:c r="AU209" s="3"/>
      <x:c r="AV209" s="3"/>
      <x:c r="AW209" s="3"/>
      <x:c r="AX209" s="3"/>
      <x:c r="AY209" s="3"/>
      <x:c r="AZ209" s="3"/>
      <x:c r="BA209" s="3"/>
      <x:c r="BC209" s="3"/>
      <x:c r="BD209" s="3"/>
      <x:c r="BE209" s="3"/>
      <x:c r="BF209" s="3"/>
      <x:c r="BG209" s="3"/>
      <x:c r="BH209" s="13"/>
      <x:c r="BI209" s="13"/>
      <x:c r="BJ209" s="13"/>
      <x:c r="BK209" s="13"/>
      <x:c r="BL209" s="13"/>
      <x:c r="BM209" s="13"/>
      <x:c r="BN209" s="13"/>
      <x:c r="BO209" s="13"/>
      <x:c r="BP209" s="13"/>
      <x:c r="BQ209" s="13"/>
      <x:c r="BR209" s="13"/>
      <x:c r="BS209" s="13"/>
      <x:c r="BT209" s="13"/>
      <x:c r="BU209" s="13"/>
      <x:c r="BV209" s="13"/>
      <x:c r="BW209" s="13"/>
      <x:c r="BX209" s="13"/>
      <x:c r="BY209" s="13"/>
      <x:c r="BZ209" s="13"/>
      <x:c r="CA209" s="13"/>
      <x:c r="CB209" s="13"/>
      <x:c r="CC209" s="13"/>
      <x:c r="CD209" s="13"/>
      <x:c r="CE209" s="13"/>
      <x:c r="CF209" s="13"/>
      <x:c r="CG209" s="13"/>
    </x:row>
    <x:row r="210" ht="14.25" customHeight="1">
      <x:c r="AA210" s="3"/>
      <x:c r="AB210" s="3"/>
      <x:c r="AF210" s="3"/>
      <x:c r="AG210" s="3"/>
      <x:c r="AH210" s="3"/>
      <x:c r="AI210" s="3"/>
      <x:c r="AJ210" s="3"/>
      <x:c r="AK210" s="3"/>
      <x:c r="AL210" s="3"/>
      <x:c r="AM210" s="3"/>
      <x:c r="AT210" s="3"/>
      <x:c r="AU210" s="3"/>
      <x:c r="AV210" s="3"/>
      <x:c r="AW210" s="3"/>
      <x:c r="AX210" s="3"/>
      <x:c r="AY210" s="3"/>
      <x:c r="AZ210" s="3"/>
      <x:c r="BA210" s="3"/>
      <x:c r="BC210" s="3"/>
      <x:c r="BD210" s="3"/>
      <x:c r="BE210" s="3"/>
      <x:c r="BF210" s="3"/>
      <x:c r="BG210" s="3"/>
      <x:c r="BH210" s="13"/>
      <x:c r="BI210" s="13"/>
      <x:c r="BJ210" s="13"/>
      <x:c r="BK210" s="13"/>
      <x:c r="BL210" s="13"/>
      <x:c r="BM210" s="13"/>
      <x:c r="BN210" s="13"/>
      <x:c r="BO210" s="13"/>
      <x:c r="BP210" s="13"/>
      <x:c r="BQ210" s="13"/>
      <x:c r="BR210" s="13"/>
      <x:c r="BS210" s="13"/>
      <x:c r="BT210" s="13"/>
      <x:c r="BU210" s="13"/>
      <x:c r="BV210" s="13"/>
      <x:c r="BW210" s="13"/>
      <x:c r="BX210" s="13"/>
      <x:c r="BY210" s="13"/>
      <x:c r="BZ210" s="13"/>
      <x:c r="CA210" s="13"/>
      <x:c r="CB210" s="13"/>
      <x:c r="CC210" s="13"/>
      <x:c r="CD210" s="13"/>
      <x:c r="CE210" s="13"/>
      <x:c r="CF210" s="13"/>
      <x:c r="CG210" s="13"/>
    </x:row>
    <x:row r="211" ht="14.25" customHeight="1">
      <x:c r="AA211" s="3"/>
      <x:c r="AB211" s="3"/>
      <x:c r="AF211" s="3"/>
      <x:c r="AG211" s="3"/>
      <x:c r="AH211" s="3"/>
      <x:c r="AI211" s="3"/>
      <x:c r="AJ211" s="3"/>
      <x:c r="AK211" s="3"/>
      <x:c r="AL211" s="3"/>
      <x:c r="AM211" s="3"/>
      <x:c r="AT211" s="3"/>
      <x:c r="AU211" s="3"/>
      <x:c r="AV211" s="3"/>
      <x:c r="AW211" s="3"/>
      <x:c r="AX211" s="3"/>
      <x:c r="AY211" s="3"/>
      <x:c r="AZ211" s="3"/>
      <x:c r="BA211" s="3"/>
      <x:c r="BC211" s="3"/>
      <x:c r="BD211" s="3"/>
      <x:c r="BE211" s="3"/>
      <x:c r="BF211" s="3"/>
      <x:c r="BG211" s="3"/>
      <x:c r="BH211" s="13"/>
      <x:c r="BI211" s="13"/>
      <x:c r="BJ211" s="13"/>
      <x:c r="BK211" s="13"/>
      <x:c r="BL211" s="13"/>
      <x:c r="BM211" s="13"/>
      <x:c r="BN211" s="13"/>
      <x:c r="BO211" s="13"/>
      <x:c r="BP211" s="13"/>
      <x:c r="BQ211" s="13"/>
      <x:c r="BR211" s="13"/>
      <x:c r="BS211" s="13"/>
      <x:c r="BT211" s="13"/>
      <x:c r="BU211" s="13"/>
      <x:c r="BV211" s="13"/>
      <x:c r="BW211" s="13"/>
      <x:c r="BX211" s="13"/>
      <x:c r="BY211" s="13"/>
      <x:c r="BZ211" s="13"/>
      <x:c r="CA211" s="13"/>
      <x:c r="CB211" s="13"/>
      <x:c r="CC211" s="13"/>
      <x:c r="CD211" s="13"/>
      <x:c r="CE211" s="13"/>
      <x:c r="CF211" s="13"/>
      <x:c r="CG211" s="13"/>
    </x:row>
    <x:row r="212" ht="14.25" customHeight="1">
      <x:c r="AA212" s="3"/>
      <x:c r="AB212" s="3"/>
      <x:c r="AF212" s="3"/>
      <x:c r="AG212" s="3"/>
      <x:c r="AH212" s="3"/>
      <x:c r="AI212" s="3"/>
      <x:c r="AJ212" s="3"/>
      <x:c r="AK212" s="3"/>
      <x:c r="AL212" s="3"/>
      <x:c r="AM212" s="3"/>
      <x:c r="AT212" s="3"/>
      <x:c r="AU212" s="3"/>
      <x:c r="AV212" s="3"/>
      <x:c r="AW212" s="3"/>
      <x:c r="AX212" s="3"/>
      <x:c r="AY212" s="3"/>
      <x:c r="AZ212" s="3"/>
      <x:c r="BA212" s="3"/>
      <x:c r="BC212" s="3"/>
      <x:c r="BD212" s="3"/>
      <x:c r="BE212" s="3"/>
      <x:c r="BF212" s="3"/>
      <x:c r="BG212" s="3"/>
      <x:c r="BH212" s="13"/>
      <x:c r="BI212" s="13"/>
      <x:c r="BJ212" s="13"/>
      <x:c r="BK212" s="13"/>
      <x:c r="BL212" s="13"/>
      <x:c r="BM212" s="13"/>
      <x:c r="BN212" s="13"/>
      <x:c r="BO212" s="13"/>
      <x:c r="BP212" s="13"/>
      <x:c r="BQ212" s="13"/>
      <x:c r="BR212" s="13"/>
      <x:c r="BS212" s="13"/>
      <x:c r="BT212" s="13"/>
      <x:c r="BU212" s="13"/>
      <x:c r="BV212" s="13"/>
      <x:c r="BW212" s="13"/>
      <x:c r="BX212" s="13"/>
      <x:c r="BY212" s="13"/>
      <x:c r="BZ212" s="13"/>
      <x:c r="CA212" s="13"/>
      <x:c r="CB212" s="13"/>
      <x:c r="CC212" s="13"/>
      <x:c r="CD212" s="13"/>
      <x:c r="CE212" s="13"/>
      <x:c r="CF212" s="13"/>
      <x:c r="CG212" s="13"/>
    </x:row>
    <x:row r="213" ht="14.25" customHeight="1">
      <x:c r="AA213" s="3"/>
      <x:c r="AB213" s="3"/>
      <x:c r="AF213" s="3"/>
      <x:c r="AG213" s="3"/>
      <x:c r="AH213" s="3"/>
      <x:c r="AI213" s="3"/>
      <x:c r="AJ213" s="3"/>
      <x:c r="AK213" s="3"/>
      <x:c r="AL213" s="3"/>
      <x:c r="AM213" s="3"/>
      <x:c r="AT213" s="3"/>
      <x:c r="AU213" s="3"/>
      <x:c r="AV213" s="3"/>
      <x:c r="AW213" s="3"/>
      <x:c r="AX213" s="3"/>
      <x:c r="AY213" s="3"/>
      <x:c r="AZ213" s="3"/>
      <x:c r="BA213" s="3"/>
      <x:c r="BC213" s="3"/>
      <x:c r="BD213" s="3"/>
      <x:c r="BE213" s="3"/>
      <x:c r="BF213" s="3"/>
      <x:c r="BG213" s="3"/>
      <x:c r="BH213" s="13"/>
      <x:c r="BI213" s="13"/>
      <x:c r="BJ213" s="13"/>
      <x:c r="BK213" s="13"/>
      <x:c r="BL213" s="13"/>
      <x:c r="BM213" s="13"/>
      <x:c r="BN213" s="13"/>
      <x:c r="BO213" s="13"/>
      <x:c r="BP213" s="13"/>
      <x:c r="BQ213" s="13"/>
      <x:c r="BR213" s="13"/>
      <x:c r="BS213" s="13"/>
      <x:c r="BT213" s="13"/>
      <x:c r="BU213" s="13"/>
      <x:c r="BV213" s="13"/>
      <x:c r="BW213" s="13"/>
      <x:c r="BX213" s="13"/>
      <x:c r="BY213" s="13"/>
      <x:c r="BZ213" s="13"/>
      <x:c r="CA213" s="13"/>
      <x:c r="CB213" s="13"/>
      <x:c r="CC213" s="13"/>
      <x:c r="CD213" s="13"/>
      <x:c r="CE213" s="13"/>
      <x:c r="CF213" s="13"/>
      <x:c r="CG213" s="13"/>
    </x:row>
    <x:row r="214" ht="14.25" customHeight="1">
      <x:c r="AA214" s="3"/>
      <x:c r="AB214" s="3"/>
      <x:c r="AF214" s="3"/>
      <x:c r="AG214" s="3"/>
      <x:c r="AH214" s="3"/>
      <x:c r="AI214" s="3"/>
      <x:c r="AJ214" s="3"/>
      <x:c r="AK214" s="3"/>
      <x:c r="AL214" s="3"/>
      <x:c r="AM214" s="3"/>
      <x:c r="AT214" s="3"/>
      <x:c r="AU214" s="3"/>
      <x:c r="AV214" s="3"/>
      <x:c r="AW214" s="3"/>
      <x:c r="AX214" s="3"/>
      <x:c r="AY214" s="3"/>
      <x:c r="AZ214" s="3"/>
      <x:c r="BA214" s="3"/>
      <x:c r="BC214" s="3"/>
      <x:c r="BD214" s="3"/>
      <x:c r="BE214" s="3"/>
      <x:c r="BF214" s="3"/>
      <x:c r="BG214" s="3"/>
      <x:c r="BH214" s="13"/>
      <x:c r="BI214" s="13"/>
      <x:c r="BJ214" s="13"/>
      <x:c r="BK214" s="13"/>
      <x:c r="BL214" s="13"/>
      <x:c r="BM214" s="13"/>
      <x:c r="BN214" s="13"/>
      <x:c r="BO214" s="13"/>
      <x:c r="BP214" s="13"/>
      <x:c r="BQ214" s="13"/>
      <x:c r="BR214" s="13"/>
      <x:c r="BS214" s="13"/>
      <x:c r="BT214" s="13"/>
      <x:c r="BU214" s="13"/>
      <x:c r="BV214" s="13"/>
      <x:c r="BW214" s="13"/>
      <x:c r="BX214" s="13"/>
      <x:c r="BY214" s="13"/>
      <x:c r="BZ214" s="13"/>
      <x:c r="CA214" s="13"/>
      <x:c r="CB214" s="13"/>
      <x:c r="CC214" s="13"/>
      <x:c r="CD214" s="13"/>
      <x:c r="CE214" s="13"/>
      <x:c r="CF214" s="13"/>
      <x:c r="CG214" s="13"/>
    </x:row>
    <x:row r="215" ht="14.25" customHeight="1">
      <x:c r="AA215" s="3"/>
      <x:c r="AB215" s="3"/>
      <x:c r="AF215" s="3"/>
      <x:c r="AG215" s="3"/>
      <x:c r="AH215" s="3"/>
      <x:c r="AI215" s="3"/>
      <x:c r="AJ215" s="3"/>
      <x:c r="AK215" s="3"/>
      <x:c r="AL215" s="3"/>
      <x:c r="AM215" s="3"/>
      <x:c r="AT215" s="3"/>
      <x:c r="AU215" s="3"/>
      <x:c r="AV215" s="3"/>
      <x:c r="AW215" s="3"/>
      <x:c r="AX215" s="3"/>
      <x:c r="AY215" s="3"/>
      <x:c r="AZ215" s="3"/>
      <x:c r="BA215" s="3"/>
      <x:c r="BC215" s="3"/>
      <x:c r="BD215" s="3"/>
      <x:c r="BE215" s="3"/>
      <x:c r="BF215" s="3"/>
      <x:c r="BG215" s="3"/>
      <x:c r="BH215" s="13"/>
      <x:c r="BI215" s="13"/>
      <x:c r="BJ215" s="13"/>
      <x:c r="BK215" s="13"/>
      <x:c r="BL215" s="13"/>
      <x:c r="BM215" s="13"/>
      <x:c r="BN215" s="13"/>
      <x:c r="BO215" s="13"/>
      <x:c r="BP215" s="13"/>
      <x:c r="BQ215" s="13"/>
      <x:c r="BR215" s="13"/>
      <x:c r="BS215" s="13"/>
      <x:c r="BT215" s="13"/>
      <x:c r="BU215" s="13"/>
      <x:c r="BV215" s="13"/>
      <x:c r="BW215" s="13"/>
      <x:c r="BX215" s="13"/>
      <x:c r="BY215" s="13"/>
      <x:c r="BZ215" s="13"/>
      <x:c r="CA215" s="13"/>
      <x:c r="CB215" s="13"/>
      <x:c r="CC215" s="13"/>
      <x:c r="CD215" s="13"/>
      <x:c r="CE215" s="13"/>
      <x:c r="CF215" s="13"/>
      <x:c r="CG215" s="13"/>
    </x:row>
    <x:row r="216" ht="14.25" customHeight="1">
      <x:c r="AA216" s="3"/>
      <x:c r="AB216" s="3"/>
      <x:c r="AF216" s="3"/>
      <x:c r="AG216" s="3"/>
      <x:c r="AH216" s="3"/>
      <x:c r="AI216" s="3"/>
      <x:c r="AJ216" s="3"/>
      <x:c r="AK216" s="3"/>
      <x:c r="AL216" s="3"/>
      <x:c r="AM216" s="3"/>
      <x:c r="AT216" s="3"/>
      <x:c r="AU216" s="3"/>
      <x:c r="AV216" s="3"/>
      <x:c r="AW216" s="3"/>
      <x:c r="AX216" s="3"/>
      <x:c r="AY216" s="3"/>
      <x:c r="AZ216" s="3"/>
      <x:c r="BA216" s="3"/>
      <x:c r="BC216" s="3"/>
      <x:c r="BD216" s="3"/>
      <x:c r="BE216" s="3"/>
      <x:c r="BF216" s="3"/>
      <x:c r="BG216" s="3"/>
      <x:c r="BH216" s="13"/>
      <x:c r="BI216" s="13"/>
      <x:c r="BJ216" s="13"/>
      <x:c r="BK216" s="13"/>
      <x:c r="BL216" s="13"/>
      <x:c r="BM216" s="13"/>
      <x:c r="BN216" s="13"/>
      <x:c r="BO216" s="13"/>
      <x:c r="BP216" s="13"/>
      <x:c r="BQ216" s="13"/>
      <x:c r="BR216" s="13"/>
      <x:c r="BS216" s="13"/>
      <x:c r="BT216" s="13"/>
      <x:c r="BU216" s="13"/>
      <x:c r="BV216" s="13"/>
      <x:c r="BW216" s="13"/>
      <x:c r="BX216" s="13"/>
      <x:c r="BY216" s="13"/>
      <x:c r="BZ216" s="13"/>
      <x:c r="CA216" s="13"/>
      <x:c r="CB216" s="13"/>
      <x:c r="CC216" s="13"/>
      <x:c r="CD216" s="13"/>
      <x:c r="CE216" s="13"/>
      <x:c r="CF216" s="13"/>
      <x:c r="CG216" s="13"/>
    </x:row>
    <x:row r="217" ht="14.25" customHeight="1">
      <x:c r="AA217" s="3"/>
      <x:c r="AB217" s="3"/>
      <x:c r="AF217" s="3"/>
      <x:c r="AG217" s="3"/>
      <x:c r="AH217" s="3"/>
      <x:c r="AI217" s="3"/>
      <x:c r="AJ217" s="3"/>
      <x:c r="AK217" s="3"/>
      <x:c r="AL217" s="3"/>
      <x:c r="AM217" s="3"/>
      <x:c r="AT217" s="3"/>
      <x:c r="AU217" s="3"/>
      <x:c r="AV217" s="3"/>
      <x:c r="AW217" s="3"/>
      <x:c r="AX217" s="3"/>
      <x:c r="AY217" s="3"/>
      <x:c r="AZ217" s="3"/>
      <x:c r="BA217" s="3"/>
      <x:c r="BC217" s="3"/>
      <x:c r="BD217" s="3"/>
      <x:c r="BE217" s="3"/>
      <x:c r="BF217" s="3"/>
      <x:c r="BG217" s="3"/>
      <x:c r="BH217" s="13"/>
      <x:c r="BI217" s="13"/>
      <x:c r="BJ217" s="13"/>
      <x:c r="BK217" s="13"/>
      <x:c r="BL217" s="13"/>
      <x:c r="BM217" s="13"/>
      <x:c r="BN217" s="13"/>
      <x:c r="BO217" s="13"/>
      <x:c r="BP217" s="13"/>
      <x:c r="BQ217" s="13"/>
      <x:c r="BR217" s="13"/>
      <x:c r="BS217" s="13"/>
      <x:c r="BT217" s="13"/>
      <x:c r="BU217" s="13"/>
      <x:c r="BV217" s="13"/>
      <x:c r="BW217" s="13"/>
      <x:c r="BX217" s="13"/>
      <x:c r="BY217" s="13"/>
      <x:c r="BZ217" s="13"/>
      <x:c r="CA217" s="13"/>
      <x:c r="CB217" s="13"/>
      <x:c r="CC217" s="13"/>
      <x:c r="CD217" s="13"/>
      <x:c r="CE217" s="13"/>
      <x:c r="CF217" s="13"/>
      <x:c r="CG217" s="13"/>
    </x:row>
    <x:row r="218" ht="14.25" customHeight="1">
      <x:c r="AA218" s="3"/>
      <x:c r="AB218" s="3"/>
      <x:c r="AF218" s="3"/>
      <x:c r="AG218" s="3"/>
      <x:c r="AH218" s="3"/>
      <x:c r="AI218" s="3"/>
      <x:c r="AJ218" s="3"/>
      <x:c r="AK218" s="3"/>
      <x:c r="AL218" s="3"/>
      <x:c r="AM218" s="3"/>
      <x:c r="AT218" s="3"/>
      <x:c r="AU218" s="3"/>
      <x:c r="AV218" s="3"/>
      <x:c r="AW218" s="3"/>
      <x:c r="AX218" s="3"/>
      <x:c r="AY218" s="3"/>
      <x:c r="AZ218" s="3"/>
      <x:c r="BA218" s="3"/>
      <x:c r="BC218" s="3"/>
      <x:c r="BD218" s="3"/>
      <x:c r="BE218" s="3"/>
      <x:c r="BF218" s="3"/>
      <x:c r="BG218" s="3"/>
      <x:c r="BH218" s="13"/>
      <x:c r="BI218" s="13"/>
      <x:c r="BJ218" s="13"/>
      <x:c r="BK218" s="13"/>
      <x:c r="BL218" s="13"/>
      <x:c r="BM218" s="13"/>
      <x:c r="BN218" s="13"/>
      <x:c r="BO218" s="13"/>
      <x:c r="BP218" s="13"/>
      <x:c r="BQ218" s="13"/>
      <x:c r="BR218" s="13"/>
      <x:c r="BS218" s="13"/>
      <x:c r="BT218" s="13"/>
      <x:c r="BU218" s="13"/>
      <x:c r="BV218" s="13"/>
      <x:c r="BW218" s="13"/>
      <x:c r="BX218" s="13"/>
      <x:c r="BY218" s="13"/>
      <x:c r="BZ218" s="13"/>
      <x:c r="CA218" s="13"/>
      <x:c r="CB218" s="13"/>
      <x:c r="CC218" s="13"/>
      <x:c r="CD218" s="13"/>
      <x:c r="CE218" s="13"/>
      <x:c r="CF218" s="13"/>
      <x:c r="CG218" s="13"/>
    </x:row>
    <x:row r="219" ht="14.25" customHeight="1">
      <x:c r="AA219" s="3"/>
      <x:c r="AB219" s="3"/>
      <x:c r="AF219" s="3"/>
      <x:c r="AG219" s="3"/>
      <x:c r="AH219" s="3"/>
      <x:c r="AI219" s="3"/>
      <x:c r="AJ219" s="3"/>
      <x:c r="AK219" s="3"/>
      <x:c r="AL219" s="3"/>
      <x:c r="AM219" s="3"/>
      <x:c r="AT219" s="3"/>
      <x:c r="AU219" s="3"/>
      <x:c r="AV219" s="3"/>
      <x:c r="AW219" s="3"/>
      <x:c r="AX219" s="3"/>
      <x:c r="AY219" s="3"/>
      <x:c r="AZ219" s="3"/>
      <x:c r="BA219" s="3"/>
      <x:c r="BC219" s="3"/>
      <x:c r="BD219" s="3"/>
      <x:c r="BE219" s="3"/>
      <x:c r="BF219" s="3"/>
      <x:c r="BG219" s="3"/>
      <x:c r="BH219" s="13"/>
      <x:c r="BI219" s="13"/>
      <x:c r="BJ219" s="13"/>
      <x:c r="BK219" s="13"/>
      <x:c r="BL219" s="13"/>
      <x:c r="BM219" s="13"/>
      <x:c r="BN219" s="13"/>
      <x:c r="BO219" s="13"/>
      <x:c r="BP219" s="13"/>
      <x:c r="BQ219" s="13"/>
      <x:c r="BR219" s="13"/>
      <x:c r="BS219" s="13"/>
      <x:c r="BT219" s="13"/>
      <x:c r="BU219" s="13"/>
      <x:c r="BV219" s="13"/>
      <x:c r="BW219" s="13"/>
      <x:c r="BX219" s="13"/>
      <x:c r="BY219" s="13"/>
      <x:c r="BZ219" s="13"/>
      <x:c r="CA219" s="13"/>
      <x:c r="CB219" s="13"/>
      <x:c r="CC219" s="13"/>
      <x:c r="CD219" s="13"/>
      <x:c r="CE219" s="13"/>
      <x:c r="CF219" s="13"/>
      <x:c r="CG219" s="13"/>
    </x:row>
    <x:row r="220" ht="14.25" customHeight="1">
      <x:c r="AA220" s="3"/>
      <x:c r="AB220" s="3"/>
      <x:c r="AF220" s="3"/>
      <x:c r="AG220" s="3"/>
      <x:c r="AH220" s="3"/>
      <x:c r="AI220" s="3"/>
      <x:c r="AJ220" s="3"/>
      <x:c r="AK220" s="3"/>
      <x:c r="AL220" s="3"/>
      <x:c r="AM220" s="3"/>
      <x:c r="AT220" s="3"/>
      <x:c r="AU220" s="3"/>
      <x:c r="AV220" s="3"/>
      <x:c r="AW220" s="3"/>
      <x:c r="AX220" s="3"/>
      <x:c r="AY220" s="3"/>
      <x:c r="AZ220" s="3"/>
      <x:c r="BA220" s="3"/>
      <x:c r="BC220" s="3"/>
      <x:c r="BD220" s="3"/>
      <x:c r="BE220" s="3"/>
      <x:c r="BF220" s="3"/>
      <x:c r="BG220" s="3"/>
      <x:c r="BH220" s="13"/>
      <x:c r="BI220" s="13"/>
      <x:c r="BJ220" s="13"/>
      <x:c r="BK220" s="13"/>
      <x:c r="BL220" s="13"/>
      <x:c r="BM220" s="13"/>
      <x:c r="BN220" s="13"/>
      <x:c r="BO220" s="13"/>
      <x:c r="BP220" s="13"/>
      <x:c r="BQ220" s="13"/>
      <x:c r="BR220" s="13"/>
      <x:c r="BS220" s="13"/>
      <x:c r="BT220" s="13"/>
      <x:c r="BU220" s="13"/>
      <x:c r="BV220" s="13"/>
      <x:c r="BW220" s="13"/>
      <x:c r="BX220" s="13"/>
      <x:c r="BY220" s="13"/>
      <x:c r="BZ220" s="13"/>
      <x:c r="CA220" s="13"/>
      <x:c r="CB220" s="13"/>
      <x:c r="CC220" s="13"/>
      <x:c r="CD220" s="13"/>
      <x:c r="CE220" s="13"/>
      <x:c r="CF220" s="13"/>
      <x:c r="CG220" s="13"/>
    </x:row>
    <x:row r="221" ht="14.25" customHeight="1">
      <x:c r="AA221" s="3"/>
      <x:c r="AB221" s="3"/>
      <x:c r="AF221" s="3"/>
      <x:c r="AG221" s="3"/>
      <x:c r="AH221" s="3"/>
      <x:c r="AI221" s="3"/>
      <x:c r="AJ221" s="3"/>
      <x:c r="AK221" s="3"/>
      <x:c r="AL221" s="3"/>
      <x:c r="AM221" s="3"/>
      <x:c r="AT221" s="3"/>
      <x:c r="AU221" s="3"/>
      <x:c r="AV221" s="3"/>
      <x:c r="AW221" s="3"/>
      <x:c r="AX221" s="3"/>
      <x:c r="AY221" s="3"/>
      <x:c r="AZ221" s="3"/>
      <x:c r="BA221" s="3"/>
      <x:c r="BC221" s="3"/>
      <x:c r="BD221" s="3"/>
      <x:c r="BE221" s="3"/>
      <x:c r="BF221" s="3"/>
      <x:c r="BG221" s="3"/>
      <x:c r="BH221" s="13"/>
      <x:c r="BI221" s="13"/>
      <x:c r="BJ221" s="13"/>
      <x:c r="BK221" s="13"/>
      <x:c r="BL221" s="13"/>
      <x:c r="BM221" s="13"/>
      <x:c r="BN221" s="13"/>
      <x:c r="BO221" s="13"/>
      <x:c r="BP221" s="13"/>
      <x:c r="BQ221" s="13"/>
      <x:c r="BR221" s="13"/>
      <x:c r="BS221" s="13"/>
      <x:c r="BT221" s="13"/>
      <x:c r="BU221" s="13"/>
      <x:c r="BV221" s="13"/>
      <x:c r="BW221" s="13"/>
      <x:c r="BX221" s="13"/>
      <x:c r="BY221" s="13"/>
      <x:c r="BZ221" s="13"/>
      <x:c r="CA221" s="13"/>
      <x:c r="CB221" s="13"/>
      <x:c r="CC221" s="13"/>
      <x:c r="CD221" s="13"/>
      <x:c r="CE221" s="13"/>
      <x:c r="CF221" s="13"/>
      <x:c r="CG221" s="13"/>
    </x:row>
    <x:row r="222" ht="14.25" customHeight="1">
      <x:c r="AA222" s="3"/>
      <x:c r="AB222" s="3"/>
      <x:c r="AF222" s="3"/>
      <x:c r="AG222" s="3"/>
      <x:c r="AH222" s="3"/>
      <x:c r="AI222" s="3"/>
      <x:c r="AJ222" s="3"/>
      <x:c r="AK222" s="3"/>
      <x:c r="AL222" s="3"/>
      <x:c r="AM222" s="3"/>
      <x:c r="AT222" s="3"/>
      <x:c r="AU222" s="3"/>
      <x:c r="AV222" s="3"/>
      <x:c r="AW222" s="3"/>
      <x:c r="AX222" s="3"/>
      <x:c r="AY222" s="3"/>
      <x:c r="AZ222" s="3"/>
      <x:c r="BA222" s="3"/>
      <x:c r="BC222" s="3"/>
      <x:c r="BD222" s="3"/>
      <x:c r="BE222" s="3"/>
      <x:c r="BF222" s="3"/>
      <x:c r="BG222" s="3"/>
      <x:c r="BH222" s="13"/>
      <x:c r="BI222" s="13"/>
      <x:c r="BJ222" s="13"/>
      <x:c r="BK222" s="13"/>
      <x:c r="BL222" s="13"/>
      <x:c r="BM222" s="13"/>
      <x:c r="BN222" s="13"/>
      <x:c r="BO222" s="13"/>
      <x:c r="BP222" s="13"/>
      <x:c r="BQ222" s="13"/>
      <x:c r="BR222" s="13"/>
      <x:c r="BS222" s="13"/>
      <x:c r="BT222" s="13"/>
      <x:c r="BU222" s="13"/>
      <x:c r="BV222" s="13"/>
      <x:c r="BW222" s="13"/>
      <x:c r="BX222" s="13"/>
      <x:c r="BY222" s="13"/>
      <x:c r="BZ222" s="13"/>
      <x:c r="CA222" s="13"/>
      <x:c r="CB222" s="13"/>
      <x:c r="CC222" s="13"/>
      <x:c r="CD222" s="13"/>
      <x:c r="CE222" s="13"/>
      <x:c r="CF222" s="13"/>
      <x:c r="CG222" s="13"/>
    </x:row>
    <x:row r="223" ht="14.25" customHeight="1">
      <x:c r="AA223" s="3"/>
      <x:c r="AB223" s="3"/>
      <x:c r="AF223" s="3"/>
      <x:c r="AG223" s="3"/>
      <x:c r="AH223" s="3"/>
      <x:c r="AI223" s="3"/>
      <x:c r="AJ223" s="3"/>
      <x:c r="AK223" s="3"/>
      <x:c r="AL223" s="3"/>
      <x:c r="AM223" s="3"/>
      <x:c r="AT223" s="3"/>
      <x:c r="AU223" s="3"/>
      <x:c r="AV223" s="3"/>
      <x:c r="AW223" s="3"/>
      <x:c r="AX223" s="3"/>
      <x:c r="AY223" s="3"/>
      <x:c r="AZ223" s="3"/>
      <x:c r="BA223" s="3"/>
      <x:c r="BC223" s="3"/>
      <x:c r="BD223" s="3"/>
      <x:c r="BE223" s="3"/>
      <x:c r="BF223" s="3"/>
      <x:c r="BG223" s="3"/>
      <x:c r="BH223" s="13"/>
      <x:c r="BI223" s="13"/>
      <x:c r="BJ223" s="13"/>
      <x:c r="BK223" s="13"/>
      <x:c r="BL223" s="13"/>
      <x:c r="BM223" s="13"/>
      <x:c r="BN223" s="13"/>
      <x:c r="BO223" s="13"/>
      <x:c r="BP223" s="13"/>
      <x:c r="BQ223" s="13"/>
      <x:c r="BR223" s="13"/>
      <x:c r="BS223" s="13"/>
      <x:c r="BT223" s="13"/>
      <x:c r="BU223" s="13"/>
      <x:c r="BV223" s="13"/>
      <x:c r="BW223" s="13"/>
      <x:c r="BX223" s="13"/>
      <x:c r="BY223" s="13"/>
      <x:c r="BZ223" s="13"/>
      <x:c r="CA223" s="13"/>
      <x:c r="CB223" s="13"/>
      <x:c r="CC223" s="13"/>
      <x:c r="CD223" s="13"/>
      <x:c r="CE223" s="13"/>
      <x:c r="CF223" s="13"/>
      <x:c r="CG223" s="13"/>
    </x:row>
    <x:row r="224" ht="14.25" customHeight="1">
      <x:c r="AA224" s="3"/>
      <x:c r="AB224" s="3"/>
      <x:c r="AF224" s="3"/>
      <x:c r="AG224" s="3"/>
      <x:c r="AH224" s="3"/>
      <x:c r="AI224" s="3"/>
      <x:c r="AJ224" s="3"/>
      <x:c r="AK224" s="3"/>
      <x:c r="AL224" s="3"/>
      <x:c r="AM224" s="3"/>
      <x:c r="AT224" s="3"/>
      <x:c r="AU224" s="3"/>
      <x:c r="AV224" s="3"/>
      <x:c r="AW224" s="3"/>
      <x:c r="AX224" s="3"/>
      <x:c r="AY224" s="3"/>
      <x:c r="AZ224" s="3"/>
      <x:c r="BA224" s="3"/>
      <x:c r="BC224" s="3"/>
      <x:c r="BD224" s="3"/>
      <x:c r="BE224" s="3"/>
      <x:c r="BF224" s="3"/>
      <x:c r="BG224" s="3"/>
      <x:c r="BH224" s="13"/>
      <x:c r="BI224" s="13"/>
      <x:c r="BJ224" s="13"/>
      <x:c r="BK224" s="13"/>
      <x:c r="BL224" s="13"/>
      <x:c r="BM224" s="13"/>
      <x:c r="BN224" s="13"/>
      <x:c r="BO224" s="13"/>
      <x:c r="BP224" s="13"/>
      <x:c r="BQ224" s="13"/>
      <x:c r="BR224" s="13"/>
      <x:c r="BS224" s="13"/>
      <x:c r="BT224" s="13"/>
      <x:c r="BU224" s="13"/>
      <x:c r="BV224" s="13"/>
      <x:c r="BW224" s="13"/>
      <x:c r="BX224" s="13"/>
      <x:c r="BY224" s="13"/>
      <x:c r="BZ224" s="13"/>
      <x:c r="CA224" s="13"/>
      <x:c r="CB224" s="13"/>
      <x:c r="CC224" s="13"/>
      <x:c r="CD224" s="13"/>
      <x:c r="CE224" s="13"/>
      <x:c r="CF224" s="13"/>
      <x:c r="CG224" s="13"/>
    </x:row>
    <x:row r="225" ht="14.25" customHeight="1">
      <x:c r="AA225" s="3"/>
      <x:c r="AB225" s="3"/>
      <x:c r="AF225" s="3"/>
      <x:c r="AG225" s="3"/>
      <x:c r="AH225" s="3"/>
      <x:c r="AI225" s="3"/>
      <x:c r="AJ225" s="3"/>
      <x:c r="AK225" s="3"/>
      <x:c r="AL225" s="3"/>
      <x:c r="AM225" s="3"/>
      <x:c r="AT225" s="3"/>
      <x:c r="AU225" s="3"/>
      <x:c r="AV225" s="3"/>
      <x:c r="AW225" s="3"/>
      <x:c r="AX225" s="3"/>
      <x:c r="AY225" s="3"/>
      <x:c r="AZ225" s="3"/>
      <x:c r="BA225" s="3"/>
      <x:c r="BC225" s="3"/>
      <x:c r="BD225" s="3"/>
      <x:c r="BE225" s="3"/>
      <x:c r="BF225" s="3"/>
      <x:c r="BG225" s="3"/>
      <x:c r="BH225" s="13"/>
      <x:c r="BI225" s="13"/>
      <x:c r="BJ225" s="13"/>
      <x:c r="BK225" s="13"/>
      <x:c r="BL225" s="13"/>
      <x:c r="BM225" s="13"/>
      <x:c r="BN225" s="13"/>
      <x:c r="BO225" s="13"/>
      <x:c r="BP225" s="13"/>
      <x:c r="BQ225" s="13"/>
      <x:c r="BR225" s="13"/>
      <x:c r="BS225" s="13"/>
      <x:c r="BT225" s="13"/>
      <x:c r="BU225" s="13"/>
      <x:c r="BV225" s="13"/>
      <x:c r="BW225" s="13"/>
      <x:c r="BX225" s="13"/>
      <x:c r="BY225" s="13"/>
      <x:c r="BZ225" s="13"/>
      <x:c r="CA225" s="13"/>
      <x:c r="CB225" s="13"/>
      <x:c r="CC225" s="13"/>
      <x:c r="CD225" s="13"/>
      <x:c r="CE225" s="13"/>
      <x:c r="CF225" s="13"/>
      <x:c r="CG225" s="13"/>
    </x:row>
    <x:row r="226" ht="14.25" customHeight="1">
      <x:c r="AA226" s="3"/>
      <x:c r="AB226" s="3"/>
      <x:c r="AF226" s="3"/>
      <x:c r="AG226" s="3"/>
      <x:c r="AH226" s="3"/>
      <x:c r="AI226" s="3"/>
      <x:c r="AJ226" s="3"/>
      <x:c r="AK226" s="3"/>
      <x:c r="AL226" s="3"/>
      <x:c r="AM226" s="3"/>
      <x:c r="AT226" s="3"/>
      <x:c r="AU226" s="3"/>
      <x:c r="AV226" s="3"/>
      <x:c r="AW226" s="3"/>
      <x:c r="AX226" s="3"/>
      <x:c r="AY226" s="3"/>
      <x:c r="AZ226" s="3"/>
      <x:c r="BA226" s="3"/>
      <x:c r="BC226" s="3"/>
      <x:c r="BD226" s="3"/>
      <x:c r="BE226" s="3"/>
      <x:c r="BF226" s="3"/>
      <x:c r="BG226" s="3"/>
      <x:c r="BH226" s="13"/>
      <x:c r="BI226" s="13"/>
      <x:c r="BJ226" s="13"/>
      <x:c r="BK226" s="13"/>
      <x:c r="BL226" s="13"/>
      <x:c r="BM226" s="13"/>
      <x:c r="BN226" s="13"/>
      <x:c r="BO226" s="13"/>
      <x:c r="BP226" s="13"/>
      <x:c r="BQ226" s="13"/>
      <x:c r="BR226" s="13"/>
      <x:c r="BS226" s="13"/>
      <x:c r="BT226" s="13"/>
      <x:c r="BU226" s="13"/>
      <x:c r="BV226" s="13"/>
      <x:c r="BW226" s="13"/>
      <x:c r="BX226" s="13"/>
      <x:c r="BY226" s="13"/>
      <x:c r="BZ226" s="13"/>
      <x:c r="CA226" s="13"/>
      <x:c r="CB226" s="13"/>
      <x:c r="CC226" s="13"/>
      <x:c r="CD226" s="13"/>
      <x:c r="CE226" s="13"/>
      <x:c r="CF226" s="13"/>
      <x:c r="CG226" s="13"/>
    </x:row>
    <x:row r="227" ht="14.25" customHeight="1">
      <x:c r="AA227" s="3"/>
      <x:c r="AB227" s="3"/>
      <x:c r="AF227" s="3"/>
      <x:c r="AG227" s="3"/>
      <x:c r="AH227" s="3"/>
      <x:c r="AI227" s="3"/>
      <x:c r="AJ227" s="3"/>
      <x:c r="AK227" s="3"/>
      <x:c r="AL227" s="3"/>
      <x:c r="AM227" s="3"/>
      <x:c r="AT227" s="3"/>
      <x:c r="AU227" s="3"/>
      <x:c r="AV227" s="3"/>
      <x:c r="AW227" s="3"/>
      <x:c r="AX227" s="3"/>
      <x:c r="AY227" s="3"/>
      <x:c r="AZ227" s="3"/>
      <x:c r="BA227" s="3"/>
      <x:c r="BC227" s="3"/>
      <x:c r="BD227" s="3"/>
      <x:c r="BE227" s="3"/>
      <x:c r="BF227" s="3"/>
      <x:c r="BG227" s="3"/>
      <x:c r="BH227" s="13"/>
      <x:c r="BI227" s="13"/>
      <x:c r="BJ227" s="13"/>
      <x:c r="BK227" s="13"/>
      <x:c r="BL227" s="13"/>
      <x:c r="BM227" s="13"/>
      <x:c r="BN227" s="13"/>
      <x:c r="BO227" s="13"/>
      <x:c r="BP227" s="13"/>
      <x:c r="BQ227" s="13"/>
      <x:c r="BR227" s="13"/>
      <x:c r="BS227" s="13"/>
      <x:c r="BT227" s="13"/>
      <x:c r="BU227" s="13"/>
      <x:c r="BV227" s="13"/>
      <x:c r="BW227" s="13"/>
      <x:c r="BX227" s="13"/>
      <x:c r="BY227" s="13"/>
      <x:c r="BZ227" s="13"/>
      <x:c r="CA227" s="13"/>
      <x:c r="CB227" s="13"/>
      <x:c r="CC227" s="13"/>
      <x:c r="CD227" s="13"/>
      <x:c r="CE227" s="13"/>
      <x:c r="CF227" s="13"/>
      <x:c r="CG227" s="13"/>
    </x:row>
    <x:row r="228" ht="14.25" customHeight="1">
      <x:c r="AA228" s="3"/>
      <x:c r="AB228" s="3"/>
      <x:c r="AF228" s="3"/>
      <x:c r="AG228" s="3"/>
      <x:c r="AH228" s="3"/>
      <x:c r="AI228" s="3"/>
      <x:c r="AJ228" s="3"/>
      <x:c r="AK228" s="3"/>
      <x:c r="AL228" s="3"/>
      <x:c r="AM228" s="3"/>
      <x:c r="AT228" s="3"/>
      <x:c r="AU228" s="3"/>
      <x:c r="AV228" s="3"/>
      <x:c r="AW228" s="3"/>
      <x:c r="AX228" s="3"/>
      <x:c r="AY228" s="3"/>
      <x:c r="AZ228" s="3"/>
      <x:c r="BA228" s="3"/>
      <x:c r="BC228" s="3"/>
      <x:c r="BD228" s="3"/>
      <x:c r="BE228" s="3"/>
      <x:c r="BF228" s="3"/>
      <x:c r="BG228" s="3"/>
      <x:c r="BH228" s="13"/>
      <x:c r="BI228" s="13"/>
      <x:c r="BJ228" s="13"/>
      <x:c r="BK228" s="13"/>
      <x:c r="BL228" s="13"/>
      <x:c r="BM228" s="13"/>
      <x:c r="BN228" s="13"/>
      <x:c r="BO228" s="13"/>
      <x:c r="BP228" s="13"/>
      <x:c r="BQ228" s="13"/>
      <x:c r="BR228" s="13"/>
      <x:c r="BS228" s="13"/>
      <x:c r="BT228" s="13"/>
      <x:c r="BU228" s="13"/>
      <x:c r="BV228" s="13"/>
      <x:c r="BW228" s="13"/>
      <x:c r="BX228" s="13"/>
      <x:c r="BY228" s="13"/>
      <x:c r="BZ228" s="13"/>
      <x:c r="CA228" s="13"/>
      <x:c r="CB228" s="13"/>
      <x:c r="CC228" s="13"/>
      <x:c r="CD228" s="13"/>
      <x:c r="CE228" s="13"/>
      <x:c r="CF228" s="13"/>
      <x:c r="CG228" s="13"/>
    </x:row>
    <x:row r="229" ht="14.25" customHeight="1">
      <x:c r="AA229" s="3"/>
      <x:c r="AB229" s="3"/>
      <x:c r="AF229" s="3"/>
      <x:c r="AG229" s="3"/>
      <x:c r="AH229" s="3"/>
      <x:c r="AI229" s="3"/>
      <x:c r="AJ229" s="3"/>
      <x:c r="AK229" s="3"/>
      <x:c r="AL229" s="3"/>
      <x:c r="AM229" s="3"/>
      <x:c r="AT229" s="3"/>
      <x:c r="AU229" s="3"/>
      <x:c r="AV229" s="3"/>
      <x:c r="AW229" s="3"/>
      <x:c r="AX229" s="3"/>
      <x:c r="AY229" s="3"/>
      <x:c r="AZ229" s="3"/>
      <x:c r="BA229" s="3"/>
      <x:c r="BC229" s="3"/>
      <x:c r="BD229" s="3"/>
      <x:c r="BE229" s="3"/>
      <x:c r="BF229" s="3"/>
      <x:c r="BG229" s="3"/>
      <x:c r="BH229" s="13"/>
      <x:c r="BI229" s="13"/>
      <x:c r="BJ229" s="13"/>
      <x:c r="BK229" s="13"/>
      <x:c r="BL229" s="13"/>
      <x:c r="BM229" s="13"/>
      <x:c r="BN229" s="13"/>
      <x:c r="BO229" s="13"/>
      <x:c r="BP229" s="13"/>
      <x:c r="BQ229" s="13"/>
      <x:c r="BR229" s="13"/>
      <x:c r="BS229" s="13"/>
      <x:c r="BT229" s="13"/>
      <x:c r="BU229" s="13"/>
      <x:c r="BV229" s="13"/>
      <x:c r="BW229" s="13"/>
      <x:c r="BX229" s="13"/>
      <x:c r="BY229" s="13"/>
      <x:c r="BZ229" s="13"/>
      <x:c r="CA229" s="13"/>
      <x:c r="CB229" s="13"/>
      <x:c r="CC229" s="13"/>
      <x:c r="CD229" s="13"/>
      <x:c r="CE229" s="13"/>
      <x:c r="CF229" s="13"/>
      <x:c r="CG229" s="13"/>
    </x:row>
    <x:row r="230" ht="14.25" customHeight="1">
      <x:c r="AA230" s="3"/>
      <x:c r="AB230" s="3"/>
      <x:c r="AF230" s="3"/>
      <x:c r="AG230" s="3"/>
      <x:c r="AH230" s="3"/>
      <x:c r="AI230" s="3"/>
      <x:c r="AJ230" s="3"/>
      <x:c r="AK230" s="3"/>
      <x:c r="AL230" s="3"/>
      <x:c r="AM230" s="3"/>
      <x:c r="AT230" s="3"/>
      <x:c r="AU230" s="3"/>
      <x:c r="AV230" s="3"/>
      <x:c r="AW230" s="3"/>
      <x:c r="AX230" s="3"/>
      <x:c r="AY230" s="3"/>
      <x:c r="AZ230" s="3"/>
      <x:c r="BA230" s="3"/>
      <x:c r="BC230" s="3"/>
      <x:c r="BD230" s="3"/>
      <x:c r="BE230" s="3"/>
      <x:c r="BF230" s="3"/>
      <x:c r="BG230" s="3"/>
      <x:c r="BH230" s="13"/>
      <x:c r="BI230" s="13"/>
      <x:c r="BJ230" s="13"/>
      <x:c r="BK230" s="13"/>
      <x:c r="BL230" s="13"/>
      <x:c r="BM230" s="13"/>
      <x:c r="BN230" s="13"/>
      <x:c r="BO230" s="13"/>
      <x:c r="BP230" s="13"/>
      <x:c r="BQ230" s="13"/>
      <x:c r="BR230" s="13"/>
      <x:c r="BS230" s="13"/>
      <x:c r="BT230" s="13"/>
      <x:c r="BU230" s="13"/>
      <x:c r="BV230" s="13"/>
      <x:c r="BW230" s="13"/>
      <x:c r="BX230" s="13"/>
      <x:c r="BY230" s="13"/>
      <x:c r="BZ230" s="13"/>
      <x:c r="CA230" s="13"/>
      <x:c r="CB230" s="13"/>
      <x:c r="CC230" s="13"/>
      <x:c r="CD230" s="13"/>
      <x:c r="CE230" s="13"/>
      <x:c r="CF230" s="13"/>
      <x:c r="CG230" s="13"/>
    </x:row>
    <x:row r="231" ht="14.25" customHeight="1">
      <x:c r="AA231" s="3"/>
      <x:c r="AB231" s="3"/>
      <x:c r="AF231" s="3"/>
      <x:c r="AG231" s="3"/>
      <x:c r="AH231" s="3"/>
      <x:c r="AI231" s="3"/>
      <x:c r="AJ231" s="3"/>
      <x:c r="AK231" s="3"/>
      <x:c r="AL231" s="3"/>
      <x:c r="AM231" s="3"/>
      <x:c r="AT231" s="3"/>
      <x:c r="AU231" s="3"/>
      <x:c r="AV231" s="3"/>
      <x:c r="AW231" s="3"/>
      <x:c r="AX231" s="3"/>
      <x:c r="AY231" s="3"/>
      <x:c r="AZ231" s="3"/>
      <x:c r="BA231" s="3"/>
      <x:c r="BC231" s="3"/>
      <x:c r="BD231" s="3"/>
      <x:c r="BE231" s="3"/>
      <x:c r="BF231" s="3"/>
      <x:c r="BG231" s="3"/>
      <x:c r="BH231" s="13"/>
      <x:c r="BI231" s="13"/>
      <x:c r="BJ231" s="13"/>
      <x:c r="BK231" s="13"/>
      <x:c r="BL231" s="13"/>
      <x:c r="BM231" s="13"/>
      <x:c r="BN231" s="13"/>
      <x:c r="BO231" s="13"/>
      <x:c r="BP231" s="13"/>
      <x:c r="BQ231" s="13"/>
      <x:c r="BR231" s="13"/>
      <x:c r="BS231" s="13"/>
      <x:c r="BT231" s="13"/>
      <x:c r="BU231" s="13"/>
      <x:c r="BV231" s="13"/>
      <x:c r="BW231" s="13"/>
      <x:c r="BX231" s="13"/>
      <x:c r="BY231" s="13"/>
      <x:c r="BZ231" s="13"/>
      <x:c r="CA231" s="13"/>
      <x:c r="CB231" s="13"/>
      <x:c r="CC231" s="13"/>
      <x:c r="CD231" s="13"/>
      <x:c r="CE231" s="13"/>
      <x:c r="CF231" s="13"/>
      <x:c r="CG231" s="13"/>
    </x:row>
    <x:row r="232" ht="14.25" customHeight="1">
      <x:c r="AA232" s="3"/>
      <x:c r="AB232" s="3"/>
      <x:c r="AF232" s="3"/>
      <x:c r="AG232" s="3"/>
      <x:c r="AH232" s="3"/>
      <x:c r="AI232" s="3"/>
      <x:c r="AJ232" s="3"/>
      <x:c r="AK232" s="3"/>
      <x:c r="AL232" s="3"/>
      <x:c r="AM232" s="3"/>
      <x:c r="AT232" s="3"/>
      <x:c r="AU232" s="3"/>
      <x:c r="AV232" s="3"/>
      <x:c r="AW232" s="3"/>
      <x:c r="AX232" s="3"/>
      <x:c r="AY232" s="3"/>
      <x:c r="AZ232" s="3"/>
      <x:c r="BA232" s="3"/>
      <x:c r="BC232" s="3"/>
      <x:c r="BD232" s="3"/>
      <x:c r="BE232" s="3"/>
      <x:c r="BF232" s="3"/>
      <x:c r="BG232" s="3"/>
      <x:c r="BH232" s="13"/>
      <x:c r="BI232" s="13"/>
      <x:c r="BJ232" s="13"/>
      <x:c r="BK232" s="13"/>
      <x:c r="BL232" s="13"/>
      <x:c r="BM232" s="13"/>
      <x:c r="BN232" s="13"/>
      <x:c r="BO232" s="13"/>
      <x:c r="BP232" s="13"/>
      <x:c r="BQ232" s="13"/>
      <x:c r="BR232" s="13"/>
      <x:c r="BS232" s="13"/>
      <x:c r="BT232" s="13"/>
      <x:c r="BU232" s="13"/>
      <x:c r="BV232" s="13"/>
      <x:c r="BW232" s="13"/>
      <x:c r="BX232" s="13"/>
      <x:c r="BY232" s="13"/>
      <x:c r="BZ232" s="13"/>
      <x:c r="CA232" s="13"/>
      <x:c r="CB232" s="13"/>
      <x:c r="CC232" s="13"/>
      <x:c r="CD232" s="13"/>
      <x:c r="CE232" s="13"/>
      <x:c r="CF232" s="13"/>
      <x:c r="CG232" s="13"/>
    </x:row>
    <x:row r="233" ht="14.25" customHeight="1">
      <x:c r="AA233" s="3"/>
      <x:c r="AB233" s="3"/>
      <x:c r="AF233" s="3"/>
      <x:c r="AG233" s="3"/>
      <x:c r="AH233" s="3"/>
      <x:c r="AI233" s="3"/>
      <x:c r="AJ233" s="3"/>
      <x:c r="AK233" s="3"/>
      <x:c r="AL233" s="3"/>
      <x:c r="AM233" s="3"/>
      <x:c r="AT233" s="3"/>
      <x:c r="AU233" s="3"/>
      <x:c r="AV233" s="3"/>
      <x:c r="AW233" s="3"/>
      <x:c r="AX233" s="3"/>
      <x:c r="AY233" s="3"/>
      <x:c r="AZ233" s="3"/>
      <x:c r="BA233" s="3"/>
      <x:c r="BC233" s="3"/>
      <x:c r="BD233" s="3"/>
      <x:c r="BE233" s="3"/>
      <x:c r="BF233" s="3"/>
      <x:c r="BG233" s="3"/>
      <x:c r="BH233" s="13"/>
      <x:c r="BI233" s="13"/>
      <x:c r="BJ233" s="13"/>
      <x:c r="BK233" s="13"/>
      <x:c r="BL233" s="13"/>
      <x:c r="BM233" s="13"/>
      <x:c r="BN233" s="13"/>
      <x:c r="BO233" s="13"/>
      <x:c r="BP233" s="13"/>
      <x:c r="BQ233" s="13"/>
      <x:c r="BR233" s="13"/>
      <x:c r="BS233" s="13"/>
      <x:c r="BT233" s="13"/>
      <x:c r="BU233" s="13"/>
      <x:c r="BV233" s="13"/>
      <x:c r="BW233" s="13"/>
      <x:c r="BX233" s="13"/>
      <x:c r="BY233" s="13"/>
      <x:c r="BZ233" s="13"/>
      <x:c r="CA233" s="13"/>
      <x:c r="CB233" s="13"/>
      <x:c r="CC233" s="13"/>
      <x:c r="CD233" s="13"/>
      <x:c r="CE233" s="13"/>
      <x:c r="CF233" s="13"/>
      <x:c r="CG233" s="13"/>
    </x:row>
    <x:row r="234" ht="14.25" customHeight="1">
      <x:c r="AA234" s="3"/>
      <x:c r="AB234" s="3"/>
      <x:c r="AF234" s="3"/>
      <x:c r="AG234" s="3"/>
      <x:c r="AH234" s="3"/>
      <x:c r="AI234" s="3"/>
      <x:c r="AJ234" s="3"/>
      <x:c r="AK234" s="3"/>
      <x:c r="AL234" s="3"/>
      <x:c r="AM234" s="3"/>
      <x:c r="AT234" s="3"/>
      <x:c r="AU234" s="3"/>
      <x:c r="AV234" s="3"/>
      <x:c r="AW234" s="3"/>
      <x:c r="AX234" s="3"/>
      <x:c r="AY234" s="3"/>
      <x:c r="AZ234" s="3"/>
      <x:c r="BA234" s="3"/>
      <x:c r="BC234" s="3"/>
      <x:c r="BD234" s="3"/>
      <x:c r="BE234" s="3"/>
      <x:c r="BF234" s="3"/>
      <x:c r="BG234" s="3"/>
      <x:c r="BH234" s="13"/>
      <x:c r="BI234" s="13"/>
      <x:c r="BJ234" s="13"/>
      <x:c r="BK234" s="13"/>
      <x:c r="BL234" s="13"/>
      <x:c r="BM234" s="13"/>
      <x:c r="BN234" s="13"/>
      <x:c r="BO234" s="13"/>
      <x:c r="BP234" s="13"/>
      <x:c r="BQ234" s="13"/>
      <x:c r="BR234" s="13"/>
      <x:c r="BS234" s="13"/>
      <x:c r="BT234" s="13"/>
      <x:c r="BU234" s="13"/>
      <x:c r="BV234" s="13"/>
      <x:c r="BW234" s="13"/>
      <x:c r="BX234" s="13"/>
      <x:c r="BY234" s="13"/>
      <x:c r="BZ234" s="13"/>
      <x:c r="CA234" s="13"/>
      <x:c r="CB234" s="13"/>
      <x:c r="CC234" s="13"/>
      <x:c r="CD234" s="13"/>
      <x:c r="CE234" s="13"/>
      <x:c r="CF234" s="13"/>
      <x:c r="CG234" s="13"/>
    </x:row>
    <x:row r="235" ht="14.25" customHeight="1">
      <x:c r="AA235" s="3"/>
      <x:c r="AB235" s="3"/>
      <x:c r="AF235" s="3"/>
      <x:c r="AG235" s="3"/>
      <x:c r="AH235" s="3"/>
      <x:c r="AI235" s="3"/>
      <x:c r="AJ235" s="3"/>
      <x:c r="AK235" s="3"/>
      <x:c r="AL235" s="3"/>
      <x:c r="AM235" s="3"/>
      <x:c r="AT235" s="3"/>
      <x:c r="AU235" s="3"/>
      <x:c r="AV235" s="3"/>
      <x:c r="AW235" s="3"/>
      <x:c r="AX235" s="3"/>
      <x:c r="AY235" s="3"/>
      <x:c r="AZ235" s="3"/>
      <x:c r="BA235" s="3"/>
      <x:c r="BC235" s="3"/>
      <x:c r="BD235" s="3"/>
      <x:c r="BE235" s="3"/>
      <x:c r="BF235" s="3"/>
      <x:c r="BG235" s="3"/>
      <x:c r="BH235" s="13"/>
      <x:c r="BI235" s="13"/>
      <x:c r="BJ235" s="13"/>
      <x:c r="BK235" s="13"/>
      <x:c r="BL235" s="13"/>
      <x:c r="BM235" s="13"/>
      <x:c r="BN235" s="13"/>
      <x:c r="BO235" s="13"/>
      <x:c r="BP235" s="13"/>
      <x:c r="BQ235" s="13"/>
      <x:c r="BR235" s="13"/>
      <x:c r="BS235" s="13"/>
      <x:c r="BT235" s="13"/>
      <x:c r="BU235" s="13"/>
      <x:c r="BV235" s="13"/>
      <x:c r="BW235" s="13"/>
      <x:c r="BX235" s="13"/>
      <x:c r="BY235" s="13"/>
      <x:c r="BZ235" s="13"/>
      <x:c r="CA235" s="13"/>
      <x:c r="CB235" s="13"/>
      <x:c r="CC235" s="13"/>
      <x:c r="CD235" s="13"/>
      <x:c r="CE235" s="13"/>
      <x:c r="CF235" s="13"/>
      <x:c r="CG235" s="13"/>
    </x:row>
    <x:row r="236" ht="14.25" customHeight="1">
      <x:c r="AA236" s="3"/>
      <x:c r="AB236" s="3"/>
      <x:c r="AF236" s="3"/>
      <x:c r="AG236" s="3"/>
      <x:c r="AH236" s="3"/>
      <x:c r="AI236" s="3"/>
      <x:c r="AJ236" s="3"/>
      <x:c r="AK236" s="3"/>
      <x:c r="AL236" s="3"/>
      <x:c r="AM236" s="3"/>
      <x:c r="AT236" s="3"/>
      <x:c r="AU236" s="3"/>
      <x:c r="AV236" s="3"/>
      <x:c r="AW236" s="3"/>
      <x:c r="AX236" s="3"/>
      <x:c r="AY236" s="3"/>
      <x:c r="AZ236" s="3"/>
      <x:c r="BA236" s="3"/>
      <x:c r="BC236" s="3"/>
      <x:c r="BD236" s="3"/>
      <x:c r="BE236" s="3"/>
      <x:c r="BF236" s="3"/>
      <x:c r="BG236" s="3"/>
      <x:c r="BH236" s="13"/>
      <x:c r="BI236" s="13"/>
      <x:c r="BJ236" s="13"/>
      <x:c r="BK236" s="13"/>
      <x:c r="BL236" s="13"/>
      <x:c r="BM236" s="13"/>
      <x:c r="BN236" s="13"/>
      <x:c r="BO236" s="13"/>
      <x:c r="BP236" s="13"/>
      <x:c r="BQ236" s="13"/>
      <x:c r="BR236" s="13"/>
      <x:c r="BS236" s="13"/>
      <x:c r="BT236" s="13"/>
      <x:c r="BU236" s="13"/>
      <x:c r="BV236" s="13"/>
      <x:c r="BW236" s="13"/>
      <x:c r="BX236" s="13"/>
      <x:c r="BY236" s="13"/>
      <x:c r="BZ236" s="13"/>
      <x:c r="CA236" s="13"/>
      <x:c r="CB236" s="13"/>
      <x:c r="CC236" s="13"/>
      <x:c r="CD236" s="13"/>
      <x:c r="CE236" s="13"/>
      <x:c r="CF236" s="13"/>
      <x:c r="CG236" s="13"/>
    </x:row>
    <x:row r="237" ht="14.25" customHeight="1">
      <x:c r="AA237" s="3"/>
      <x:c r="AB237" s="3"/>
      <x:c r="AF237" s="3"/>
      <x:c r="AG237" s="3"/>
      <x:c r="AH237" s="3"/>
      <x:c r="AI237" s="3"/>
      <x:c r="AJ237" s="3"/>
      <x:c r="AK237" s="3"/>
      <x:c r="AL237" s="3"/>
      <x:c r="AM237" s="3"/>
      <x:c r="AT237" s="3"/>
      <x:c r="AU237" s="3"/>
      <x:c r="AV237" s="3"/>
      <x:c r="AW237" s="3"/>
      <x:c r="AX237" s="3"/>
      <x:c r="AY237" s="3"/>
      <x:c r="AZ237" s="3"/>
      <x:c r="BA237" s="3"/>
      <x:c r="BC237" s="3"/>
      <x:c r="BD237" s="3"/>
      <x:c r="BE237" s="3"/>
      <x:c r="BF237" s="3"/>
      <x:c r="BG237" s="3"/>
      <x:c r="BH237" s="13"/>
      <x:c r="BI237" s="13"/>
      <x:c r="BJ237" s="13"/>
      <x:c r="BK237" s="13"/>
      <x:c r="BL237" s="13"/>
      <x:c r="BM237" s="13"/>
      <x:c r="BN237" s="13"/>
      <x:c r="BO237" s="13"/>
      <x:c r="BP237" s="13"/>
      <x:c r="BQ237" s="13"/>
      <x:c r="BR237" s="13"/>
      <x:c r="BS237" s="13"/>
      <x:c r="BT237" s="13"/>
      <x:c r="BU237" s="13"/>
      <x:c r="BV237" s="13"/>
      <x:c r="BW237" s="13"/>
      <x:c r="BX237" s="13"/>
      <x:c r="BY237" s="13"/>
      <x:c r="BZ237" s="13"/>
      <x:c r="CA237" s="13"/>
      <x:c r="CB237" s="13"/>
      <x:c r="CC237" s="13"/>
      <x:c r="CD237" s="13"/>
      <x:c r="CE237" s="13"/>
      <x:c r="CF237" s="13"/>
      <x:c r="CG237" s="13"/>
    </x:row>
    <x:row r="238" ht="14.25" customHeight="1">
      <x:c r="AA238" s="3"/>
      <x:c r="AB238" s="3"/>
      <x:c r="AF238" s="3"/>
      <x:c r="AG238" s="3"/>
      <x:c r="AH238" s="3"/>
      <x:c r="AI238" s="3"/>
      <x:c r="AJ238" s="3"/>
      <x:c r="AK238" s="3"/>
      <x:c r="AL238" s="3"/>
      <x:c r="AM238" s="3"/>
      <x:c r="AT238" s="3"/>
      <x:c r="AU238" s="3"/>
      <x:c r="AV238" s="3"/>
      <x:c r="AW238" s="3"/>
      <x:c r="AX238" s="3"/>
      <x:c r="AY238" s="3"/>
      <x:c r="AZ238" s="3"/>
      <x:c r="BA238" s="3"/>
      <x:c r="BC238" s="3"/>
      <x:c r="BD238" s="3"/>
      <x:c r="BE238" s="3"/>
      <x:c r="BF238" s="3"/>
      <x:c r="BG238" s="3"/>
      <x:c r="BH238" s="13"/>
      <x:c r="BI238" s="13"/>
      <x:c r="BJ238" s="13"/>
      <x:c r="BK238" s="13"/>
      <x:c r="BL238" s="13"/>
      <x:c r="BM238" s="13"/>
      <x:c r="BN238" s="13"/>
      <x:c r="BO238" s="13"/>
      <x:c r="BP238" s="13"/>
      <x:c r="BQ238" s="13"/>
      <x:c r="BR238" s="13"/>
      <x:c r="BS238" s="13"/>
      <x:c r="BT238" s="13"/>
      <x:c r="BU238" s="13"/>
      <x:c r="BV238" s="13"/>
      <x:c r="BW238" s="13"/>
      <x:c r="BX238" s="13"/>
      <x:c r="BY238" s="13"/>
      <x:c r="BZ238" s="13"/>
      <x:c r="CA238" s="13"/>
      <x:c r="CB238" s="13"/>
      <x:c r="CC238" s="13"/>
      <x:c r="CD238" s="13"/>
      <x:c r="CE238" s="13"/>
      <x:c r="CF238" s="13"/>
      <x:c r="CG238" s="13"/>
    </x:row>
    <x:row r="239" ht="14.25" customHeight="1">
      <x:c r="AA239" s="3"/>
      <x:c r="AB239" s="3"/>
      <x:c r="AF239" s="3"/>
      <x:c r="AG239" s="3"/>
      <x:c r="AH239" s="3"/>
      <x:c r="AI239" s="3"/>
      <x:c r="AJ239" s="3"/>
      <x:c r="AK239" s="3"/>
      <x:c r="AL239" s="3"/>
      <x:c r="AM239" s="3"/>
      <x:c r="AT239" s="3"/>
      <x:c r="AU239" s="3"/>
      <x:c r="AV239" s="3"/>
      <x:c r="AW239" s="3"/>
      <x:c r="AX239" s="3"/>
      <x:c r="AY239" s="3"/>
      <x:c r="AZ239" s="3"/>
      <x:c r="BA239" s="3"/>
      <x:c r="BC239" s="3"/>
      <x:c r="BD239" s="3"/>
      <x:c r="BE239" s="3"/>
      <x:c r="BF239" s="3"/>
      <x:c r="BG239" s="3"/>
      <x:c r="BH239" s="13"/>
      <x:c r="BI239" s="13"/>
      <x:c r="BJ239" s="13"/>
      <x:c r="BK239" s="13"/>
      <x:c r="BL239" s="13"/>
      <x:c r="BM239" s="13"/>
      <x:c r="BN239" s="13"/>
      <x:c r="BO239" s="13"/>
      <x:c r="BP239" s="13"/>
      <x:c r="BQ239" s="13"/>
      <x:c r="BR239" s="13"/>
      <x:c r="BS239" s="13"/>
      <x:c r="BT239" s="13"/>
      <x:c r="BU239" s="13"/>
      <x:c r="BV239" s="13"/>
      <x:c r="BW239" s="13"/>
      <x:c r="BX239" s="13"/>
      <x:c r="BY239" s="13"/>
      <x:c r="BZ239" s="13"/>
      <x:c r="CA239" s="13"/>
      <x:c r="CB239" s="13"/>
      <x:c r="CC239" s="13"/>
      <x:c r="CD239" s="13"/>
      <x:c r="CE239" s="13"/>
      <x:c r="CF239" s="13"/>
      <x:c r="CG239" s="13"/>
    </x:row>
    <x:row r="240" ht="14.25" customHeight="1">
      <x:c r="AA240" s="3"/>
      <x:c r="AB240" s="3"/>
      <x:c r="AF240" s="3"/>
      <x:c r="AG240" s="3"/>
      <x:c r="AH240" s="3"/>
      <x:c r="AI240" s="3"/>
      <x:c r="AJ240" s="3"/>
      <x:c r="AK240" s="3"/>
      <x:c r="AL240" s="3"/>
      <x:c r="AM240" s="3"/>
      <x:c r="AT240" s="3"/>
      <x:c r="AU240" s="3"/>
      <x:c r="AV240" s="3"/>
      <x:c r="AW240" s="3"/>
      <x:c r="AX240" s="3"/>
      <x:c r="AY240" s="3"/>
      <x:c r="AZ240" s="3"/>
      <x:c r="BA240" s="3"/>
      <x:c r="BC240" s="3"/>
      <x:c r="BD240" s="3"/>
      <x:c r="BE240" s="3"/>
      <x:c r="BF240" s="3"/>
      <x:c r="BG240" s="3"/>
      <x:c r="BH240" s="13"/>
      <x:c r="BI240" s="13"/>
      <x:c r="BJ240" s="13"/>
      <x:c r="BK240" s="13"/>
      <x:c r="BL240" s="13"/>
      <x:c r="BM240" s="13"/>
      <x:c r="BN240" s="13"/>
      <x:c r="BO240" s="13"/>
      <x:c r="BP240" s="13"/>
      <x:c r="BQ240" s="13"/>
      <x:c r="BR240" s="13"/>
      <x:c r="BS240" s="13"/>
      <x:c r="BT240" s="13"/>
      <x:c r="BU240" s="13"/>
      <x:c r="BV240" s="13"/>
      <x:c r="BW240" s="13"/>
      <x:c r="BX240" s="13"/>
      <x:c r="BY240" s="13"/>
      <x:c r="BZ240" s="13"/>
      <x:c r="CA240" s="13"/>
      <x:c r="CB240" s="13"/>
      <x:c r="CC240" s="13"/>
      <x:c r="CD240" s="13"/>
      <x:c r="CE240" s="13"/>
      <x:c r="CF240" s="13"/>
      <x:c r="CG240" s="13"/>
    </x:row>
    <x:row r="241" ht="14.25" customHeight="1">
      <x:c r="AA241" s="3"/>
      <x:c r="AB241" s="3"/>
      <x:c r="AF241" s="3"/>
      <x:c r="AG241" s="3"/>
      <x:c r="AH241" s="3"/>
      <x:c r="AI241" s="3"/>
      <x:c r="AJ241" s="3"/>
      <x:c r="AK241" s="3"/>
      <x:c r="AL241" s="3"/>
      <x:c r="AM241" s="3"/>
      <x:c r="AT241" s="3"/>
      <x:c r="AU241" s="3"/>
      <x:c r="AV241" s="3"/>
      <x:c r="AW241" s="3"/>
      <x:c r="AX241" s="3"/>
      <x:c r="AY241" s="3"/>
      <x:c r="AZ241" s="3"/>
      <x:c r="BA241" s="3"/>
      <x:c r="BC241" s="3"/>
      <x:c r="BD241" s="3"/>
      <x:c r="BE241" s="3"/>
      <x:c r="BF241" s="3"/>
      <x:c r="BG241" s="3"/>
      <x:c r="BH241" s="13"/>
      <x:c r="BI241" s="13"/>
      <x:c r="BJ241" s="13"/>
      <x:c r="BK241" s="13"/>
      <x:c r="BL241" s="13"/>
      <x:c r="BM241" s="13"/>
      <x:c r="BN241" s="13"/>
      <x:c r="BO241" s="13"/>
      <x:c r="BP241" s="13"/>
      <x:c r="BQ241" s="13"/>
      <x:c r="BR241" s="13"/>
      <x:c r="BS241" s="13"/>
      <x:c r="BT241" s="13"/>
      <x:c r="BU241" s="13"/>
      <x:c r="BV241" s="13"/>
      <x:c r="BW241" s="13"/>
      <x:c r="BX241" s="13"/>
      <x:c r="BY241" s="13"/>
      <x:c r="BZ241" s="13"/>
      <x:c r="CA241" s="13"/>
      <x:c r="CB241" s="13"/>
      <x:c r="CC241" s="13"/>
      <x:c r="CD241" s="13"/>
      <x:c r="CE241" s="13"/>
      <x:c r="CF241" s="13"/>
      <x:c r="CG241" s="13"/>
    </x:row>
    <x:row r="242" ht="14.25" customHeight="1">
      <x:c r="AA242" s="3"/>
      <x:c r="AB242" s="3"/>
      <x:c r="AF242" s="3"/>
      <x:c r="AG242" s="3"/>
      <x:c r="AH242" s="3"/>
      <x:c r="AI242" s="3"/>
      <x:c r="AJ242" s="3"/>
      <x:c r="AK242" s="3"/>
      <x:c r="AL242" s="3"/>
      <x:c r="AM242" s="3"/>
      <x:c r="AT242" s="3"/>
      <x:c r="AU242" s="3"/>
      <x:c r="AV242" s="3"/>
      <x:c r="AW242" s="3"/>
      <x:c r="AX242" s="3"/>
      <x:c r="AY242" s="3"/>
      <x:c r="AZ242" s="3"/>
      <x:c r="BA242" s="3"/>
      <x:c r="BC242" s="3"/>
      <x:c r="BD242" s="3"/>
      <x:c r="BE242" s="3"/>
      <x:c r="BF242" s="3"/>
      <x:c r="BG242" s="3"/>
      <x:c r="BH242" s="13"/>
      <x:c r="BI242" s="13"/>
      <x:c r="BJ242" s="13"/>
      <x:c r="BK242" s="13"/>
      <x:c r="BL242" s="13"/>
      <x:c r="BM242" s="13"/>
      <x:c r="BN242" s="13"/>
      <x:c r="BO242" s="13"/>
      <x:c r="BP242" s="13"/>
      <x:c r="BQ242" s="13"/>
      <x:c r="BR242" s="13"/>
      <x:c r="BS242" s="13"/>
      <x:c r="BT242" s="13"/>
      <x:c r="BU242" s="13"/>
      <x:c r="BV242" s="13"/>
      <x:c r="BW242" s="13"/>
      <x:c r="BX242" s="13"/>
      <x:c r="BY242" s="13"/>
      <x:c r="BZ242" s="13"/>
      <x:c r="CA242" s="13"/>
      <x:c r="CB242" s="13"/>
      <x:c r="CC242" s="13"/>
      <x:c r="CD242" s="13"/>
      <x:c r="CE242" s="13"/>
      <x:c r="CF242" s="13"/>
      <x:c r="CG242" s="13"/>
    </x:row>
    <x:row r="243" ht="14.25" customHeight="1">
      <x:c r="AA243" s="3"/>
      <x:c r="AB243" s="3"/>
      <x:c r="AF243" s="3"/>
      <x:c r="AG243" s="3"/>
      <x:c r="AH243" s="3"/>
      <x:c r="AI243" s="3"/>
      <x:c r="AJ243" s="3"/>
      <x:c r="AK243" s="3"/>
      <x:c r="AL243" s="3"/>
      <x:c r="AM243" s="3"/>
      <x:c r="AT243" s="3"/>
      <x:c r="AU243" s="3"/>
      <x:c r="AV243" s="3"/>
      <x:c r="AW243" s="3"/>
      <x:c r="AX243" s="3"/>
      <x:c r="AY243" s="3"/>
      <x:c r="AZ243" s="3"/>
      <x:c r="BA243" s="3"/>
      <x:c r="BC243" s="3"/>
      <x:c r="BD243" s="3"/>
      <x:c r="BE243" s="3"/>
      <x:c r="BF243" s="3"/>
      <x:c r="BG243" s="3"/>
      <x:c r="BH243" s="13"/>
      <x:c r="BI243" s="13"/>
      <x:c r="BJ243" s="13"/>
      <x:c r="BK243" s="13"/>
      <x:c r="BL243" s="13"/>
      <x:c r="BM243" s="13"/>
      <x:c r="BN243" s="13"/>
      <x:c r="BO243" s="13"/>
      <x:c r="BP243" s="13"/>
      <x:c r="BQ243" s="13"/>
      <x:c r="BR243" s="13"/>
      <x:c r="BS243" s="13"/>
      <x:c r="BT243" s="13"/>
      <x:c r="BU243" s="13"/>
      <x:c r="BV243" s="13"/>
      <x:c r="BW243" s="13"/>
      <x:c r="BX243" s="13"/>
      <x:c r="BY243" s="13"/>
      <x:c r="BZ243" s="13"/>
      <x:c r="CA243" s="13"/>
      <x:c r="CB243" s="13"/>
      <x:c r="CC243" s="13"/>
      <x:c r="CD243" s="13"/>
      <x:c r="CE243" s="13"/>
      <x:c r="CF243" s="13"/>
      <x:c r="CG243" s="13"/>
    </x:row>
    <x:row r="244" ht="14.25" customHeight="1">
      <x:c r="AA244" s="3"/>
      <x:c r="AB244" s="3"/>
      <x:c r="AF244" s="3"/>
      <x:c r="AG244" s="3"/>
      <x:c r="AH244" s="3"/>
      <x:c r="AI244" s="3"/>
      <x:c r="AJ244" s="3"/>
      <x:c r="AK244" s="3"/>
      <x:c r="AL244" s="3"/>
      <x:c r="AM244" s="3"/>
      <x:c r="AT244" s="3"/>
      <x:c r="AU244" s="3"/>
      <x:c r="AV244" s="3"/>
      <x:c r="AW244" s="3"/>
      <x:c r="AX244" s="3"/>
      <x:c r="AY244" s="3"/>
      <x:c r="AZ244" s="3"/>
      <x:c r="BA244" s="3"/>
      <x:c r="BC244" s="3"/>
      <x:c r="BD244" s="3"/>
      <x:c r="BE244" s="3"/>
      <x:c r="BF244" s="3"/>
      <x:c r="BG244" s="3"/>
      <x:c r="BH244" s="13"/>
      <x:c r="BI244" s="13"/>
      <x:c r="BJ244" s="13"/>
      <x:c r="BK244" s="13"/>
      <x:c r="BL244" s="13"/>
      <x:c r="BM244" s="13"/>
      <x:c r="BN244" s="13"/>
      <x:c r="BO244" s="13"/>
      <x:c r="BP244" s="13"/>
      <x:c r="BQ244" s="13"/>
      <x:c r="BR244" s="13"/>
      <x:c r="BS244" s="13"/>
      <x:c r="BT244" s="13"/>
      <x:c r="BU244" s="13"/>
      <x:c r="BV244" s="13"/>
      <x:c r="BW244" s="13"/>
      <x:c r="BX244" s="13"/>
      <x:c r="BY244" s="13"/>
      <x:c r="BZ244" s="13"/>
      <x:c r="CA244" s="13"/>
      <x:c r="CB244" s="13"/>
      <x:c r="CC244" s="13"/>
      <x:c r="CD244" s="13"/>
      <x:c r="CE244" s="13"/>
      <x:c r="CF244" s="13"/>
      <x:c r="CG244" s="13"/>
    </x:row>
    <x:row r="245" ht="14.25" customHeight="1">
      <x:c r="AA245" s="3"/>
      <x:c r="AB245" s="3"/>
      <x:c r="AF245" s="3"/>
      <x:c r="AG245" s="3"/>
      <x:c r="AH245" s="3"/>
      <x:c r="AI245" s="3"/>
      <x:c r="AJ245" s="3"/>
      <x:c r="AK245" s="3"/>
      <x:c r="AL245" s="3"/>
      <x:c r="AM245" s="3"/>
      <x:c r="AT245" s="3"/>
      <x:c r="AU245" s="3"/>
      <x:c r="AV245" s="3"/>
      <x:c r="AW245" s="3"/>
      <x:c r="AX245" s="3"/>
      <x:c r="AY245" s="3"/>
      <x:c r="AZ245" s="3"/>
      <x:c r="BA245" s="3"/>
      <x:c r="BC245" s="3"/>
      <x:c r="BD245" s="3"/>
      <x:c r="BE245" s="3"/>
      <x:c r="BF245" s="3"/>
      <x:c r="BG245" s="3"/>
      <x:c r="BH245" s="13"/>
      <x:c r="BI245" s="13"/>
      <x:c r="BJ245" s="13"/>
      <x:c r="BK245" s="13"/>
      <x:c r="BL245" s="13"/>
      <x:c r="BM245" s="13"/>
      <x:c r="BN245" s="13"/>
      <x:c r="BO245" s="13"/>
      <x:c r="BP245" s="13"/>
      <x:c r="BQ245" s="13"/>
      <x:c r="BR245" s="13"/>
      <x:c r="BS245" s="13"/>
      <x:c r="BT245" s="13"/>
      <x:c r="BU245" s="13"/>
      <x:c r="BV245" s="13"/>
      <x:c r="BW245" s="13"/>
      <x:c r="BX245" s="13"/>
      <x:c r="BY245" s="13"/>
      <x:c r="BZ245" s="13"/>
      <x:c r="CA245" s="13"/>
      <x:c r="CB245" s="13"/>
      <x:c r="CC245" s="13"/>
      <x:c r="CD245" s="13"/>
      <x:c r="CE245" s="13"/>
      <x:c r="CF245" s="13"/>
      <x:c r="CG245" s="13"/>
    </x:row>
    <x:row r="246" ht="14.25" customHeight="1">
      <x:c r="AA246" s="3"/>
      <x:c r="AB246" s="3"/>
      <x:c r="AF246" s="3"/>
      <x:c r="AG246" s="3"/>
      <x:c r="AH246" s="3"/>
      <x:c r="AI246" s="3"/>
      <x:c r="AJ246" s="3"/>
      <x:c r="AK246" s="3"/>
      <x:c r="AL246" s="3"/>
      <x:c r="AM246" s="3"/>
      <x:c r="AT246" s="3"/>
      <x:c r="AU246" s="3"/>
      <x:c r="AV246" s="3"/>
      <x:c r="AW246" s="3"/>
      <x:c r="AX246" s="3"/>
      <x:c r="AY246" s="3"/>
      <x:c r="AZ246" s="3"/>
      <x:c r="BA246" s="3"/>
      <x:c r="BC246" s="3"/>
      <x:c r="BD246" s="3"/>
      <x:c r="BE246" s="3"/>
      <x:c r="BF246" s="3"/>
      <x:c r="BG246" s="3"/>
      <x:c r="BH246" s="13"/>
      <x:c r="BI246" s="13"/>
      <x:c r="BJ246" s="13"/>
      <x:c r="BK246" s="13"/>
      <x:c r="BL246" s="13"/>
      <x:c r="BM246" s="13"/>
      <x:c r="BN246" s="13"/>
      <x:c r="BO246" s="13"/>
      <x:c r="BP246" s="13"/>
      <x:c r="BQ246" s="13"/>
      <x:c r="BR246" s="13"/>
      <x:c r="BS246" s="13"/>
      <x:c r="BT246" s="13"/>
      <x:c r="BU246" s="13"/>
      <x:c r="BV246" s="13"/>
      <x:c r="BW246" s="13"/>
      <x:c r="BX246" s="13"/>
      <x:c r="BY246" s="13"/>
      <x:c r="BZ246" s="13"/>
      <x:c r="CA246" s="13"/>
      <x:c r="CB246" s="13"/>
      <x:c r="CC246" s="13"/>
      <x:c r="CD246" s="13"/>
      <x:c r="CE246" s="13"/>
      <x:c r="CF246" s="13"/>
      <x:c r="CG246" s="13"/>
    </x:row>
    <x:row r="247" ht="14.25" customHeight="1">
      <x:c r="AA247" s="3"/>
      <x:c r="AB247" s="3"/>
      <x:c r="AF247" s="3"/>
      <x:c r="AG247" s="3"/>
      <x:c r="AH247" s="3"/>
      <x:c r="AI247" s="3"/>
      <x:c r="AJ247" s="3"/>
      <x:c r="AK247" s="3"/>
      <x:c r="AL247" s="3"/>
      <x:c r="AM247" s="3"/>
      <x:c r="AT247" s="3"/>
      <x:c r="AU247" s="3"/>
      <x:c r="AV247" s="3"/>
      <x:c r="AW247" s="3"/>
      <x:c r="AX247" s="3"/>
      <x:c r="AY247" s="3"/>
      <x:c r="AZ247" s="3"/>
      <x:c r="BA247" s="3"/>
      <x:c r="BC247" s="3"/>
      <x:c r="BD247" s="3"/>
      <x:c r="BE247" s="3"/>
      <x:c r="BF247" s="3"/>
      <x:c r="BG247" s="3"/>
      <x:c r="BH247" s="13"/>
      <x:c r="BI247" s="13"/>
      <x:c r="BJ247" s="13"/>
      <x:c r="BK247" s="13"/>
      <x:c r="BL247" s="13"/>
      <x:c r="BM247" s="13"/>
      <x:c r="BN247" s="13"/>
      <x:c r="BO247" s="13"/>
      <x:c r="BP247" s="13"/>
      <x:c r="BQ247" s="13"/>
      <x:c r="BR247" s="13"/>
      <x:c r="BS247" s="13"/>
      <x:c r="BT247" s="13"/>
      <x:c r="BU247" s="13"/>
      <x:c r="BV247" s="13"/>
      <x:c r="BW247" s="13"/>
      <x:c r="BX247" s="13"/>
      <x:c r="BY247" s="13"/>
      <x:c r="BZ247" s="13"/>
      <x:c r="CA247" s="13"/>
      <x:c r="CB247" s="13"/>
      <x:c r="CC247" s="13"/>
      <x:c r="CD247" s="13"/>
      <x:c r="CE247" s="13"/>
      <x:c r="CF247" s="13"/>
      <x:c r="CG247" s="13"/>
    </x:row>
    <x:row r="248" ht="14.25" customHeight="1">
      <x:c r="AA248" s="3"/>
      <x:c r="AB248" s="3"/>
      <x:c r="AF248" s="3"/>
      <x:c r="AG248" s="3"/>
      <x:c r="AH248" s="3"/>
      <x:c r="AI248" s="3"/>
      <x:c r="AJ248" s="3"/>
      <x:c r="AK248" s="3"/>
      <x:c r="AL248" s="3"/>
      <x:c r="AM248" s="3"/>
      <x:c r="AT248" s="3"/>
      <x:c r="AU248" s="3"/>
      <x:c r="AV248" s="3"/>
      <x:c r="AW248" s="3"/>
      <x:c r="AX248" s="3"/>
      <x:c r="AY248" s="3"/>
      <x:c r="AZ248" s="3"/>
      <x:c r="BA248" s="3"/>
      <x:c r="BC248" s="3"/>
      <x:c r="BD248" s="3"/>
      <x:c r="BE248" s="3"/>
      <x:c r="BF248" s="3"/>
      <x:c r="BG248" s="3"/>
      <x:c r="BH248" s="13"/>
      <x:c r="BI248" s="13"/>
      <x:c r="BJ248" s="13"/>
      <x:c r="BK248" s="13"/>
      <x:c r="BL248" s="13"/>
      <x:c r="BM248" s="13"/>
      <x:c r="BN248" s="13"/>
      <x:c r="BO248" s="13"/>
      <x:c r="BP248" s="13"/>
      <x:c r="BQ248" s="13"/>
      <x:c r="BR248" s="13"/>
      <x:c r="BS248" s="13"/>
      <x:c r="BT248" s="13"/>
      <x:c r="BU248" s="13"/>
      <x:c r="BV248" s="13"/>
      <x:c r="BW248" s="13"/>
      <x:c r="BX248" s="13"/>
      <x:c r="BY248" s="13"/>
      <x:c r="BZ248" s="13"/>
      <x:c r="CA248" s="13"/>
      <x:c r="CB248" s="13"/>
      <x:c r="CC248" s="13"/>
      <x:c r="CD248" s="13"/>
      <x:c r="CE248" s="13"/>
      <x:c r="CF248" s="13"/>
      <x:c r="CG248" s="13"/>
    </x:row>
    <x:row r="249" ht="14.25" customHeight="1">
      <x:c r="AA249" s="3"/>
      <x:c r="AB249" s="3"/>
      <x:c r="AF249" s="3"/>
      <x:c r="AG249" s="3"/>
      <x:c r="AH249" s="3"/>
      <x:c r="AI249" s="3"/>
      <x:c r="AJ249" s="3"/>
      <x:c r="AK249" s="3"/>
      <x:c r="AL249" s="3"/>
      <x:c r="AM249" s="3"/>
      <x:c r="AT249" s="3"/>
      <x:c r="AU249" s="3"/>
      <x:c r="AV249" s="3"/>
      <x:c r="AW249" s="3"/>
      <x:c r="AX249" s="3"/>
      <x:c r="AY249" s="3"/>
      <x:c r="AZ249" s="3"/>
      <x:c r="BA249" s="3"/>
      <x:c r="BC249" s="3"/>
      <x:c r="BD249" s="3"/>
      <x:c r="BE249" s="3"/>
      <x:c r="BF249" s="3"/>
      <x:c r="BG249" s="3"/>
      <x:c r="BH249" s="13"/>
      <x:c r="BI249" s="13"/>
      <x:c r="BJ249" s="13"/>
      <x:c r="BK249" s="13"/>
      <x:c r="BL249" s="13"/>
      <x:c r="BM249" s="13"/>
      <x:c r="BN249" s="13"/>
      <x:c r="BO249" s="13"/>
      <x:c r="BP249" s="13"/>
      <x:c r="BQ249" s="13"/>
      <x:c r="BR249" s="13"/>
      <x:c r="BS249" s="13"/>
      <x:c r="BT249" s="13"/>
      <x:c r="BU249" s="13"/>
      <x:c r="BV249" s="13"/>
      <x:c r="BW249" s="13"/>
      <x:c r="BX249" s="13"/>
      <x:c r="BY249" s="13"/>
      <x:c r="BZ249" s="13"/>
      <x:c r="CA249" s="13"/>
      <x:c r="CB249" s="13"/>
      <x:c r="CC249" s="13"/>
      <x:c r="CD249" s="13"/>
      <x:c r="CE249" s="13"/>
      <x:c r="CF249" s="13"/>
      <x:c r="CG249" s="13"/>
    </x:row>
    <x:row r="250" ht="14.25" customHeight="1">
      <x:c r="AA250" s="3"/>
      <x:c r="AB250" s="3"/>
      <x:c r="AF250" s="3"/>
      <x:c r="AG250" s="3"/>
      <x:c r="AH250" s="3"/>
      <x:c r="AI250" s="3"/>
      <x:c r="AJ250" s="3"/>
      <x:c r="AK250" s="3"/>
      <x:c r="AL250" s="3"/>
      <x:c r="AM250" s="3"/>
      <x:c r="AT250" s="3"/>
      <x:c r="AU250" s="3"/>
      <x:c r="AV250" s="3"/>
      <x:c r="AW250" s="3"/>
      <x:c r="AX250" s="3"/>
      <x:c r="AY250" s="3"/>
      <x:c r="AZ250" s="3"/>
      <x:c r="BA250" s="3"/>
      <x:c r="BC250" s="3"/>
      <x:c r="BD250" s="3"/>
      <x:c r="BE250" s="3"/>
      <x:c r="BF250" s="3"/>
      <x:c r="BG250" s="3"/>
      <x:c r="BH250" s="13"/>
      <x:c r="BI250" s="13"/>
      <x:c r="BJ250" s="13"/>
      <x:c r="BK250" s="13"/>
      <x:c r="BL250" s="13"/>
      <x:c r="BM250" s="13"/>
      <x:c r="BN250" s="13"/>
      <x:c r="BO250" s="13"/>
      <x:c r="BP250" s="13"/>
      <x:c r="BQ250" s="13"/>
      <x:c r="BR250" s="13"/>
      <x:c r="BS250" s="13"/>
      <x:c r="BT250" s="13"/>
      <x:c r="BU250" s="13"/>
      <x:c r="BV250" s="13"/>
      <x:c r="BW250" s="13"/>
      <x:c r="BX250" s="13"/>
      <x:c r="BY250" s="13"/>
      <x:c r="BZ250" s="13"/>
      <x:c r="CA250" s="13"/>
      <x:c r="CB250" s="13"/>
      <x:c r="CC250" s="13"/>
      <x:c r="CD250" s="13"/>
      <x:c r="CE250" s="13"/>
      <x:c r="CF250" s="13"/>
      <x:c r="CG250" s="13"/>
    </x:row>
    <x:row r="251" ht="14.25" customHeight="1">
      <x:c r="AA251" s="3"/>
      <x:c r="AB251" s="3"/>
      <x:c r="AF251" s="3"/>
      <x:c r="AG251" s="3"/>
      <x:c r="AH251" s="3"/>
      <x:c r="AI251" s="3"/>
      <x:c r="AJ251" s="3"/>
      <x:c r="AK251" s="3"/>
      <x:c r="AL251" s="3"/>
      <x:c r="AM251" s="3"/>
      <x:c r="AT251" s="3"/>
      <x:c r="AU251" s="3"/>
      <x:c r="AV251" s="3"/>
      <x:c r="AW251" s="3"/>
      <x:c r="AX251" s="3"/>
      <x:c r="AY251" s="3"/>
      <x:c r="AZ251" s="3"/>
      <x:c r="BA251" s="3"/>
      <x:c r="BC251" s="3"/>
      <x:c r="BD251" s="3"/>
      <x:c r="BE251" s="3"/>
      <x:c r="BF251" s="3"/>
      <x:c r="BG251" s="3"/>
      <x:c r="BH251" s="13"/>
      <x:c r="BI251" s="13"/>
      <x:c r="BJ251" s="13"/>
      <x:c r="BK251" s="13"/>
      <x:c r="BL251" s="13"/>
      <x:c r="BM251" s="13"/>
      <x:c r="BN251" s="13"/>
      <x:c r="BO251" s="13"/>
      <x:c r="BP251" s="13"/>
      <x:c r="BQ251" s="13"/>
      <x:c r="BR251" s="13"/>
      <x:c r="BS251" s="13"/>
      <x:c r="BT251" s="13"/>
      <x:c r="BU251" s="13"/>
      <x:c r="BV251" s="13"/>
      <x:c r="BW251" s="13"/>
      <x:c r="BX251" s="13"/>
      <x:c r="BY251" s="13"/>
      <x:c r="BZ251" s="13"/>
      <x:c r="CA251" s="13"/>
      <x:c r="CB251" s="13"/>
      <x:c r="CC251" s="13"/>
      <x:c r="CD251" s="13"/>
      <x:c r="CE251" s="13"/>
      <x:c r="CF251" s="13"/>
      <x:c r="CG251" s="13"/>
    </x:row>
    <x:row r="252" ht="14.25" customHeight="1">
      <x:c r="AA252" s="3"/>
      <x:c r="AB252" s="3"/>
      <x:c r="AF252" s="3"/>
      <x:c r="AG252" s="3"/>
      <x:c r="AH252" s="3"/>
      <x:c r="AI252" s="3"/>
      <x:c r="AJ252" s="3"/>
      <x:c r="AK252" s="3"/>
      <x:c r="AL252" s="3"/>
      <x:c r="AM252" s="3"/>
      <x:c r="AT252" s="3"/>
      <x:c r="AU252" s="3"/>
      <x:c r="AV252" s="3"/>
      <x:c r="AW252" s="3"/>
      <x:c r="AX252" s="3"/>
      <x:c r="AY252" s="3"/>
      <x:c r="AZ252" s="3"/>
      <x:c r="BA252" s="3"/>
      <x:c r="BC252" s="3"/>
      <x:c r="BD252" s="3"/>
      <x:c r="BE252" s="3"/>
      <x:c r="BF252" s="3"/>
      <x:c r="BG252" s="3"/>
      <x:c r="BH252" s="13"/>
      <x:c r="BI252" s="13"/>
      <x:c r="BJ252" s="13"/>
      <x:c r="BK252" s="13"/>
      <x:c r="BL252" s="13"/>
      <x:c r="BM252" s="13"/>
      <x:c r="BN252" s="13"/>
      <x:c r="BO252" s="13"/>
      <x:c r="BP252" s="13"/>
      <x:c r="BQ252" s="13"/>
      <x:c r="BR252" s="13"/>
      <x:c r="BS252" s="13"/>
      <x:c r="BT252" s="13"/>
      <x:c r="BU252" s="13"/>
      <x:c r="BV252" s="13"/>
      <x:c r="BW252" s="13"/>
      <x:c r="BX252" s="13"/>
      <x:c r="BY252" s="13"/>
      <x:c r="BZ252" s="13"/>
      <x:c r="CA252" s="13"/>
      <x:c r="CB252" s="13"/>
      <x:c r="CC252" s="13"/>
      <x:c r="CD252" s="13"/>
      <x:c r="CE252" s="13"/>
      <x:c r="CF252" s="13"/>
      <x:c r="CG252" s="13"/>
    </x:row>
    <x:row r="253" ht="14.25" customHeight="1">
      <x:c r="AA253" s="3"/>
      <x:c r="AB253" s="3"/>
      <x:c r="AF253" s="3"/>
      <x:c r="AG253" s="3"/>
      <x:c r="AH253" s="3"/>
      <x:c r="AI253" s="3"/>
      <x:c r="AJ253" s="3"/>
      <x:c r="AK253" s="3"/>
      <x:c r="AL253" s="3"/>
      <x:c r="AM253" s="3"/>
      <x:c r="AT253" s="3"/>
      <x:c r="AU253" s="3"/>
      <x:c r="AV253" s="3"/>
      <x:c r="AW253" s="3"/>
      <x:c r="AX253" s="3"/>
      <x:c r="AY253" s="3"/>
      <x:c r="AZ253" s="3"/>
      <x:c r="BA253" s="3"/>
      <x:c r="BC253" s="3"/>
      <x:c r="BD253" s="3"/>
      <x:c r="BE253" s="3"/>
      <x:c r="BF253" s="3"/>
      <x:c r="BG253" s="3"/>
      <x:c r="BH253" s="13"/>
      <x:c r="BI253" s="13"/>
      <x:c r="BJ253" s="13"/>
      <x:c r="BK253" s="13"/>
      <x:c r="BL253" s="13"/>
      <x:c r="BM253" s="13"/>
      <x:c r="BN253" s="13"/>
      <x:c r="BO253" s="13"/>
      <x:c r="BP253" s="13"/>
      <x:c r="BQ253" s="13"/>
      <x:c r="BR253" s="13"/>
      <x:c r="BS253" s="13"/>
      <x:c r="BT253" s="13"/>
      <x:c r="BU253" s="13"/>
      <x:c r="BV253" s="13"/>
      <x:c r="BW253" s="13"/>
      <x:c r="BX253" s="13"/>
      <x:c r="BY253" s="13"/>
      <x:c r="BZ253" s="13"/>
      <x:c r="CA253" s="13"/>
      <x:c r="CB253" s="13"/>
      <x:c r="CC253" s="13"/>
      <x:c r="CD253" s="13"/>
      <x:c r="CE253" s="13"/>
      <x:c r="CF253" s="13"/>
      <x:c r="CG253" s="13"/>
    </x:row>
    <x:row r="254" ht="14.25" customHeight="1">
      <x:c r="AA254" s="3"/>
      <x:c r="AB254" s="3"/>
      <x:c r="AF254" s="3"/>
      <x:c r="AG254" s="3"/>
      <x:c r="AH254" s="3"/>
      <x:c r="AI254" s="3"/>
      <x:c r="AJ254" s="3"/>
      <x:c r="AK254" s="3"/>
      <x:c r="AL254" s="3"/>
      <x:c r="AM254" s="3"/>
      <x:c r="AT254" s="3"/>
      <x:c r="AU254" s="3"/>
      <x:c r="AV254" s="3"/>
      <x:c r="AW254" s="3"/>
      <x:c r="AX254" s="3"/>
      <x:c r="AY254" s="3"/>
      <x:c r="AZ254" s="3"/>
      <x:c r="BA254" s="3"/>
      <x:c r="BC254" s="3"/>
      <x:c r="BD254" s="3"/>
      <x:c r="BE254" s="3"/>
      <x:c r="BF254" s="3"/>
      <x:c r="BG254" s="3"/>
      <x:c r="BH254" s="13"/>
      <x:c r="BI254" s="13"/>
      <x:c r="BJ254" s="13"/>
      <x:c r="BK254" s="13"/>
      <x:c r="BL254" s="13"/>
      <x:c r="BM254" s="13"/>
      <x:c r="BN254" s="13"/>
      <x:c r="BO254" s="13"/>
      <x:c r="BP254" s="13"/>
      <x:c r="BQ254" s="13"/>
      <x:c r="BR254" s="13"/>
      <x:c r="BS254" s="13"/>
      <x:c r="BT254" s="13"/>
      <x:c r="BU254" s="13"/>
      <x:c r="BV254" s="13"/>
      <x:c r="BW254" s="13"/>
      <x:c r="BX254" s="13"/>
      <x:c r="BY254" s="13"/>
      <x:c r="BZ254" s="13"/>
      <x:c r="CA254" s="13"/>
      <x:c r="CB254" s="13"/>
      <x:c r="CC254" s="13"/>
      <x:c r="CD254" s="13"/>
      <x:c r="CE254" s="13"/>
      <x:c r="CF254" s="13"/>
      <x:c r="CG254" s="13"/>
    </x:row>
    <x:row r="255" ht="14.25" customHeight="1">
      <x:c r="AA255" s="3"/>
      <x:c r="AB255" s="3"/>
      <x:c r="AF255" s="3"/>
      <x:c r="AG255" s="3"/>
      <x:c r="AH255" s="3"/>
      <x:c r="AI255" s="3"/>
      <x:c r="AJ255" s="3"/>
      <x:c r="AK255" s="3"/>
      <x:c r="AL255" s="3"/>
      <x:c r="AM255" s="3"/>
      <x:c r="AT255" s="3"/>
      <x:c r="AU255" s="3"/>
      <x:c r="AV255" s="3"/>
      <x:c r="AW255" s="3"/>
      <x:c r="AX255" s="3"/>
      <x:c r="AY255" s="3"/>
      <x:c r="AZ255" s="3"/>
      <x:c r="BA255" s="3"/>
      <x:c r="BC255" s="3"/>
      <x:c r="BD255" s="3"/>
      <x:c r="BE255" s="3"/>
      <x:c r="BF255" s="3"/>
      <x:c r="BG255" s="3"/>
      <x:c r="BH255" s="13"/>
      <x:c r="BI255" s="13"/>
      <x:c r="BJ255" s="13"/>
      <x:c r="BK255" s="13"/>
      <x:c r="BL255" s="13"/>
      <x:c r="BM255" s="13"/>
      <x:c r="BN255" s="13"/>
      <x:c r="BO255" s="13"/>
      <x:c r="BP255" s="13"/>
      <x:c r="BQ255" s="13"/>
      <x:c r="BR255" s="13"/>
      <x:c r="BS255" s="13"/>
      <x:c r="BT255" s="13"/>
      <x:c r="BU255" s="13"/>
      <x:c r="BV255" s="13"/>
      <x:c r="BW255" s="13"/>
      <x:c r="BX255" s="13"/>
      <x:c r="BY255" s="13"/>
      <x:c r="BZ255" s="13"/>
      <x:c r="CA255" s="13"/>
      <x:c r="CB255" s="13"/>
      <x:c r="CC255" s="13"/>
      <x:c r="CD255" s="13"/>
      <x:c r="CE255" s="13"/>
      <x:c r="CF255" s="13"/>
      <x:c r="CG255" s="13"/>
    </x:row>
    <x:row r="256" ht="14.25" customHeight="1">
      <x:c r="AA256" s="3"/>
      <x:c r="AB256" s="3"/>
      <x:c r="AF256" s="3"/>
      <x:c r="AG256" s="3"/>
      <x:c r="AH256" s="3"/>
      <x:c r="AI256" s="3"/>
      <x:c r="AJ256" s="3"/>
      <x:c r="AK256" s="3"/>
      <x:c r="AL256" s="3"/>
      <x:c r="AM256" s="3"/>
      <x:c r="AT256" s="3"/>
      <x:c r="AU256" s="3"/>
      <x:c r="AV256" s="3"/>
      <x:c r="AW256" s="3"/>
      <x:c r="AX256" s="3"/>
      <x:c r="AY256" s="3"/>
      <x:c r="AZ256" s="3"/>
      <x:c r="BA256" s="3"/>
      <x:c r="BC256" s="3"/>
      <x:c r="BD256" s="3"/>
      <x:c r="BE256" s="3"/>
      <x:c r="BF256" s="3"/>
      <x:c r="BG256" s="3"/>
      <x:c r="BH256" s="13"/>
      <x:c r="BI256" s="13"/>
      <x:c r="BJ256" s="13"/>
      <x:c r="BK256" s="13"/>
      <x:c r="BL256" s="13"/>
      <x:c r="BM256" s="13"/>
      <x:c r="BN256" s="13"/>
      <x:c r="BO256" s="13"/>
      <x:c r="BP256" s="13"/>
      <x:c r="BQ256" s="13"/>
      <x:c r="BR256" s="13"/>
      <x:c r="BS256" s="13"/>
      <x:c r="BT256" s="13"/>
      <x:c r="BU256" s="13"/>
      <x:c r="BV256" s="13"/>
      <x:c r="BW256" s="13"/>
      <x:c r="BX256" s="13"/>
      <x:c r="BY256" s="13"/>
      <x:c r="BZ256" s="13"/>
      <x:c r="CA256" s="13"/>
      <x:c r="CB256" s="13"/>
      <x:c r="CC256" s="13"/>
      <x:c r="CD256" s="13"/>
      <x:c r="CE256" s="13"/>
      <x:c r="CF256" s="13"/>
      <x:c r="CG256" s="13"/>
    </x:row>
    <x:row r="257" ht="14.25" customHeight="1">
      <x:c r="AA257" s="3"/>
      <x:c r="AB257" s="3"/>
      <x:c r="AF257" s="3"/>
      <x:c r="AG257" s="3"/>
      <x:c r="AH257" s="3"/>
      <x:c r="AI257" s="3"/>
      <x:c r="AJ257" s="3"/>
      <x:c r="AK257" s="3"/>
      <x:c r="AL257" s="3"/>
      <x:c r="AM257" s="3"/>
      <x:c r="AT257" s="3"/>
      <x:c r="AU257" s="3"/>
      <x:c r="AV257" s="3"/>
      <x:c r="AW257" s="3"/>
      <x:c r="AX257" s="3"/>
      <x:c r="AY257" s="3"/>
      <x:c r="AZ257" s="3"/>
      <x:c r="BA257" s="3"/>
      <x:c r="BC257" s="3"/>
      <x:c r="BD257" s="3"/>
      <x:c r="BE257" s="3"/>
      <x:c r="BF257" s="3"/>
      <x:c r="BG257" s="3"/>
      <x:c r="BH257" s="13"/>
      <x:c r="BI257" s="13"/>
      <x:c r="BJ257" s="13"/>
      <x:c r="BK257" s="13"/>
      <x:c r="BL257" s="13"/>
      <x:c r="BM257" s="13"/>
      <x:c r="BN257" s="13"/>
      <x:c r="BO257" s="13"/>
      <x:c r="BP257" s="13"/>
      <x:c r="BQ257" s="13"/>
      <x:c r="BR257" s="13"/>
      <x:c r="BS257" s="13"/>
      <x:c r="BT257" s="13"/>
      <x:c r="BU257" s="13"/>
      <x:c r="BV257" s="13"/>
      <x:c r="BW257" s="13"/>
      <x:c r="BX257" s="13"/>
      <x:c r="BY257" s="13"/>
      <x:c r="BZ257" s="13"/>
      <x:c r="CA257" s="13"/>
      <x:c r="CB257" s="13"/>
      <x:c r="CC257" s="13"/>
      <x:c r="CD257" s="13"/>
      <x:c r="CE257" s="13"/>
      <x:c r="CF257" s="13"/>
      <x:c r="CG257" s="13"/>
    </x:row>
    <x:row r="258" ht="14.25" customHeight="1">
      <x:c r="AA258" s="3"/>
      <x:c r="AB258" s="3"/>
      <x:c r="AF258" s="3"/>
      <x:c r="AG258" s="3"/>
      <x:c r="AH258" s="3"/>
      <x:c r="AI258" s="3"/>
      <x:c r="AJ258" s="3"/>
      <x:c r="AK258" s="3"/>
      <x:c r="AL258" s="3"/>
      <x:c r="AM258" s="3"/>
      <x:c r="AT258" s="3"/>
      <x:c r="AU258" s="3"/>
      <x:c r="AV258" s="3"/>
      <x:c r="AW258" s="3"/>
      <x:c r="AX258" s="3"/>
      <x:c r="AY258" s="3"/>
      <x:c r="AZ258" s="3"/>
      <x:c r="BA258" s="3"/>
      <x:c r="BC258" s="3"/>
      <x:c r="BD258" s="3"/>
      <x:c r="BE258" s="3"/>
      <x:c r="BF258" s="3"/>
      <x:c r="BG258" s="3"/>
      <x:c r="BH258" s="13"/>
      <x:c r="BI258" s="13"/>
      <x:c r="BJ258" s="13"/>
      <x:c r="BK258" s="13"/>
      <x:c r="BL258" s="13"/>
      <x:c r="BM258" s="13"/>
      <x:c r="BN258" s="13"/>
      <x:c r="BO258" s="13"/>
      <x:c r="BP258" s="13"/>
      <x:c r="BQ258" s="13"/>
      <x:c r="BR258" s="13"/>
      <x:c r="BS258" s="13"/>
      <x:c r="BT258" s="13"/>
      <x:c r="BU258" s="13"/>
      <x:c r="BV258" s="13"/>
      <x:c r="BW258" s="13"/>
      <x:c r="BX258" s="13"/>
      <x:c r="BY258" s="13"/>
      <x:c r="BZ258" s="13"/>
      <x:c r="CA258" s="13"/>
      <x:c r="CB258" s="13"/>
      <x:c r="CC258" s="13"/>
      <x:c r="CD258" s="13"/>
      <x:c r="CE258" s="13"/>
      <x:c r="CF258" s="13"/>
      <x:c r="CG258" s="13"/>
    </x:row>
    <x:row r="259" ht="14.25" customHeight="1">
      <x:c r="AA259" s="3"/>
      <x:c r="AB259" s="3"/>
      <x:c r="AF259" s="3"/>
      <x:c r="AG259" s="3"/>
      <x:c r="AH259" s="3"/>
      <x:c r="AI259" s="3"/>
      <x:c r="AJ259" s="3"/>
      <x:c r="AK259" s="3"/>
      <x:c r="AL259" s="3"/>
      <x:c r="AM259" s="3"/>
      <x:c r="AT259" s="3"/>
      <x:c r="AU259" s="3"/>
      <x:c r="AV259" s="3"/>
      <x:c r="AW259" s="3"/>
      <x:c r="AX259" s="3"/>
      <x:c r="AY259" s="3"/>
      <x:c r="AZ259" s="3"/>
      <x:c r="BA259" s="3"/>
      <x:c r="BC259" s="3"/>
      <x:c r="BD259" s="3"/>
      <x:c r="BE259" s="3"/>
      <x:c r="BF259" s="3"/>
      <x:c r="BG259" s="3"/>
      <x:c r="BH259" s="13"/>
      <x:c r="BI259" s="13"/>
      <x:c r="BJ259" s="13"/>
      <x:c r="BK259" s="13"/>
      <x:c r="BL259" s="13"/>
      <x:c r="BM259" s="13"/>
      <x:c r="BN259" s="13"/>
      <x:c r="BO259" s="13"/>
      <x:c r="BP259" s="13"/>
      <x:c r="BQ259" s="13"/>
      <x:c r="BR259" s="13"/>
      <x:c r="BS259" s="13"/>
      <x:c r="BT259" s="13"/>
      <x:c r="BU259" s="13"/>
      <x:c r="BV259" s="13"/>
      <x:c r="BW259" s="13"/>
      <x:c r="BX259" s="13"/>
      <x:c r="BY259" s="13"/>
      <x:c r="BZ259" s="13"/>
      <x:c r="CA259" s="13"/>
      <x:c r="CB259" s="13"/>
      <x:c r="CC259" s="13"/>
      <x:c r="CD259" s="13"/>
      <x:c r="CE259" s="13"/>
      <x:c r="CF259" s="13"/>
      <x:c r="CG259" s="13"/>
    </x:row>
    <x:row r="260" ht="14.25" customHeight="1">
      <x:c r="AA260" s="3"/>
      <x:c r="AB260" s="3"/>
      <x:c r="AF260" s="3"/>
      <x:c r="AG260" s="3"/>
      <x:c r="AH260" s="3"/>
      <x:c r="AI260" s="3"/>
      <x:c r="AJ260" s="3"/>
      <x:c r="AK260" s="3"/>
      <x:c r="AL260" s="3"/>
      <x:c r="AM260" s="3"/>
      <x:c r="AT260" s="3"/>
      <x:c r="AU260" s="3"/>
      <x:c r="AV260" s="3"/>
      <x:c r="AW260" s="3"/>
      <x:c r="AX260" s="3"/>
      <x:c r="AY260" s="3"/>
      <x:c r="AZ260" s="3"/>
      <x:c r="BA260" s="3"/>
      <x:c r="BC260" s="3"/>
      <x:c r="BD260" s="3"/>
      <x:c r="BE260" s="3"/>
      <x:c r="BF260" s="3"/>
      <x:c r="BG260" s="3"/>
      <x:c r="BH260" s="13"/>
      <x:c r="BI260" s="13"/>
      <x:c r="BJ260" s="13"/>
      <x:c r="BK260" s="13"/>
      <x:c r="BL260" s="13"/>
      <x:c r="BM260" s="13"/>
      <x:c r="BN260" s="13"/>
      <x:c r="BO260" s="13"/>
      <x:c r="BP260" s="13"/>
      <x:c r="BQ260" s="13"/>
      <x:c r="BR260" s="13"/>
      <x:c r="BS260" s="13"/>
      <x:c r="BT260" s="13"/>
      <x:c r="BU260" s="13"/>
      <x:c r="BV260" s="13"/>
      <x:c r="BW260" s="13"/>
      <x:c r="BX260" s="13"/>
      <x:c r="BY260" s="13"/>
      <x:c r="BZ260" s="13"/>
      <x:c r="CA260" s="13"/>
      <x:c r="CB260" s="13"/>
      <x:c r="CC260" s="13"/>
      <x:c r="CD260" s="13"/>
      <x:c r="CE260" s="13"/>
      <x:c r="CF260" s="13"/>
      <x:c r="CG260" s="13"/>
    </x:row>
    <x:row r="261" ht="14.25" customHeight="1">
      <x:c r="AA261" s="3"/>
      <x:c r="AB261" s="3"/>
      <x:c r="AF261" s="3"/>
      <x:c r="AG261" s="3"/>
      <x:c r="AH261" s="3"/>
      <x:c r="AI261" s="3"/>
      <x:c r="AJ261" s="3"/>
      <x:c r="AK261" s="3"/>
      <x:c r="AL261" s="3"/>
      <x:c r="AM261" s="3"/>
      <x:c r="AT261" s="3"/>
      <x:c r="AU261" s="3"/>
      <x:c r="AV261" s="3"/>
      <x:c r="AW261" s="3"/>
      <x:c r="AX261" s="3"/>
      <x:c r="AY261" s="3"/>
      <x:c r="AZ261" s="3"/>
      <x:c r="BA261" s="3"/>
      <x:c r="BC261" s="3"/>
      <x:c r="BD261" s="3"/>
      <x:c r="BE261" s="3"/>
      <x:c r="BF261" s="3"/>
      <x:c r="BG261" s="3"/>
      <x:c r="BH261" s="13"/>
      <x:c r="BI261" s="13"/>
      <x:c r="BJ261" s="13"/>
      <x:c r="BK261" s="13"/>
      <x:c r="BL261" s="13"/>
      <x:c r="BM261" s="13"/>
      <x:c r="BN261" s="13"/>
      <x:c r="BO261" s="13"/>
      <x:c r="BP261" s="13"/>
      <x:c r="BQ261" s="13"/>
      <x:c r="BR261" s="13"/>
      <x:c r="BS261" s="13"/>
      <x:c r="BT261" s="13"/>
      <x:c r="BU261" s="13"/>
      <x:c r="BV261" s="13"/>
      <x:c r="BW261" s="13"/>
      <x:c r="BX261" s="13"/>
      <x:c r="BY261" s="13"/>
      <x:c r="BZ261" s="13"/>
      <x:c r="CA261" s="13"/>
      <x:c r="CB261" s="13"/>
      <x:c r="CC261" s="13"/>
      <x:c r="CD261" s="13"/>
      <x:c r="CE261" s="13"/>
      <x:c r="CF261" s="13"/>
      <x:c r="CG261" s="13"/>
    </x:row>
    <x:row r="262" ht="14.25" customHeight="1">
      <x:c r="AA262" s="3"/>
      <x:c r="AB262" s="3"/>
      <x:c r="AF262" s="3"/>
      <x:c r="AG262" s="3"/>
      <x:c r="AH262" s="3"/>
      <x:c r="AI262" s="3"/>
      <x:c r="AJ262" s="3"/>
      <x:c r="AK262" s="3"/>
      <x:c r="AL262" s="3"/>
      <x:c r="AM262" s="3"/>
      <x:c r="AT262" s="3"/>
      <x:c r="AU262" s="3"/>
      <x:c r="AV262" s="3"/>
      <x:c r="AW262" s="3"/>
      <x:c r="AX262" s="3"/>
      <x:c r="AY262" s="3"/>
      <x:c r="AZ262" s="3"/>
      <x:c r="BA262" s="3"/>
      <x:c r="BC262" s="3"/>
      <x:c r="BD262" s="3"/>
      <x:c r="BE262" s="3"/>
      <x:c r="BF262" s="3"/>
      <x:c r="BG262" s="3"/>
      <x:c r="BH262" s="13"/>
      <x:c r="BI262" s="13"/>
      <x:c r="BJ262" s="13"/>
      <x:c r="BK262" s="13"/>
      <x:c r="BL262" s="13"/>
      <x:c r="BM262" s="13"/>
      <x:c r="BN262" s="13"/>
      <x:c r="BO262" s="13"/>
      <x:c r="BP262" s="13"/>
      <x:c r="BQ262" s="13"/>
      <x:c r="BR262" s="13"/>
      <x:c r="BS262" s="13"/>
      <x:c r="BT262" s="13"/>
      <x:c r="BU262" s="13"/>
      <x:c r="BV262" s="13"/>
      <x:c r="BW262" s="13"/>
      <x:c r="BX262" s="13"/>
      <x:c r="BY262" s="13"/>
      <x:c r="BZ262" s="13"/>
      <x:c r="CA262" s="13"/>
      <x:c r="CB262" s="13"/>
      <x:c r="CC262" s="13"/>
      <x:c r="CD262" s="13"/>
      <x:c r="CE262" s="13"/>
      <x:c r="CF262" s="13"/>
      <x:c r="CG262" s="13"/>
    </x:row>
    <x:row r="263" ht="14.25" customHeight="1">
      <x:c r="AA263" s="3"/>
      <x:c r="AB263" s="3"/>
      <x:c r="AF263" s="3"/>
      <x:c r="AG263" s="3"/>
      <x:c r="AH263" s="3"/>
      <x:c r="AI263" s="3"/>
      <x:c r="AJ263" s="3"/>
      <x:c r="AK263" s="3"/>
      <x:c r="AL263" s="3"/>
      <x:c r="AM263" s="3"/>
      <x:c r="AT263" s="3"/>
      <x:c r="AU263" s="3"/>
      <x:c r="AV263" s="3"/>
      <x:c r="AW263" s="3"/>
      <x:c r="AX263" s="3"/>
      <x:c r="AY263" s="3"/>
      <x:c r="AZ263" s="3"/>
      <x:c r="BA263" s="3"/>
      <x:c r="BC263" s="3"/>
      <x:c r="BD263" s="3"/>
      <x:c r="BE263" s="3"/>
      <x:c r="BF263" s="3"/>
      <x:c r="BG263" s="3"/>
      <x:c r="BH263" s="13"/>
      <x:c r="BI263" s="13"/>
      <x:c r="BJ263" s="13"/>
      <x:c r="BK263" s="13"/>
      <x:c r="BL263" s="13"/>
      <x:c r="BM263" s="13"/>
      <x:c r="BN263" s="13"/>
      <x:c r="BO263" s="13"/>
      <x:c r="BP263" s="13"/>
      <x:c r="BQ263" s="13"/>
      <x:c r="BR263" s="13"/>
      <x:c r="BS263" s="13"/>
      <x:c r="BT263" s="13"/>
      <x:c r="BU263" s="13"/>
      <x:c r="BV263" s="13"/>
      <x:c r="BW263" s="13"/>
      <x:c r="BX263" s="13"/>
      <x:c r="BY263" s="13"/>
      <x:c r="BZ263" s="13"/>
      <x:c r="CA263" s="13"/>
      <x:c r="CB263" s="13"/>
      <x:c r="CC263" s="13"/>
      <x:c r="CD263" s="13"/>
      <x:c r="CE263" s="13"/>
      <x:c r="CF263" s="13"/>
      <x:c r="CG263" s="13"/>
    </x:row>
    <x:row r="264" ht="14.25" customHeight="1">
      <x:c r="AA264" s="3"/>
      <x:c r="AB264" s="3"/>
      <x:c r="AF264" s="3"/>
      <x:c r="AG264" s="3"/>
      <x:c r="AH264" s="3"/>
      <x:c r="AI264" s="3"/>
      <x:c r="AJ264" s="3"/>
      <x:c r="AK264" s="3"/>
      <x:c r="AL264" s="3"/>
      <x:c r="AM264" s="3"/>
      <x:c r="AT264" s="3"/>
      <x:c r="AU264" s="3"/>
      <x:c r="AV264" s="3"/>
      <x:c r="AW264" s="3"/>
      <x:c r="AX264" s="3"/>
      <x:c r="AY264" s="3"/>
      <x:c r="AZ264" s="3"/>
      <x:c r="BA264" s="3"/>
      <x:c r="BC264" s="3"/>
      <x:c r="BD264" s="3"/>
      <x:c r="BE264" s="3"/>
      <x:c r="BF264" s="3"/>
      <x:c r="BG264" s="3"/>
      <x:c r="BH264" s="13"/>
      <x:c r="BI264" s="13"/>
      <x:c r="BJ264" s="13"/>
      <x:c r="BK264" s="13"/>
      <x:c r="BL264" s="13"/>
      <x:c r="BM264" s="13"/>
      <x:c r="BN264" s="13"/>
      <x:c r="BO264" s="13"/>
      <x:c r="BP264" s="13"/>
      <x:c r="BQ264" s="13"/>
      <x:c r="BR264" s="13"/>
      <x:c r="BS264" s="13"/>
      <x:c r="BT264" s="13"/>
      <x:c r="BU264" s="13"/>
      <x:c r="BV264" s="13"/>
      <x:c r="BW264" s="13"/>
      <x:c r="BX264" s="13"/>
      <x:c r="BY264" s="13"/>
      <x:c r="BZ264" s="13"/>
      <x:c r="CA264" s="13"/>
      <x:c r="CB264" s="13"/>
      <x:c r="CC264" s="13"/>
      <x:c r="CD264" s="13"/>
      <x:c r="CE264" s="13"/>
      <x:c r="CF264" s="13"/>
      <x:c r="CG264" s="13"/>
    </x:row>
    <x:row r="265" ht="14.25" customHeight="1">
      <x:c r="AA265" s="3"/>
      <x:c r="AB265" s="3"/>
      <x:c r="AF265" s="3"/>
      <x:c r="AG265" s="3"/>
      <x:c r="AH265" s="3"/>
      <x:c r="AI265" s="3"/>
      <x:c r="AJ265" s="3"/>
      <x:c r="AK265" s="3"/>
      <x:c r="AL265" s="3"/>
      <x:c r="AM265" s="3"/>
      <x:c r="AT265" s="3"/>
      <x:c r="AU265" s="3"/>
      <x:c r="AV265" s="3"/>
      <x:c r="AW265" s="3"/>
      <x:c r="AX265" s="3"/>
      <x:c r="AY265" s="3"/>
      <x:c r="AZ265" s="3"/>
      <x:c r="BA265" s="3"/>
      <x:c r="BC265" s="3"/>
      <x:c r="BD265" s="3"/>
      <x:c r="BE265" s="3"/>
      <x:c r="BF265" s="3"/>
      <x:c r="BG265" s="3"/>
      <x:c r="BH265" s="13"/>
      <x:c r="BI265" s="13"/>
      <x:c r="BJ265" s="13"/>
      <x:c r="BK265" s="13"/>
      <x:c r="BL265" s="13"/>
      <x:c r="BM265" s="13"/>
      <x:c r="BN265" s="13"/>
      <x:c r="BO265" s="13"/>
      <x:c r="BP265" s="13"/>
      <x:c r="BQ265" s="13"/>
      <x:c r="BR265" s="13"/>
      <x:c r="BS265" s="13"/>
      <x:c r="BT265" s="13"/>
      <x:c r="BU265" s="13"/>
      <x:c r="BV265" s="13"/>
      <x:c r="BW265" s="13"/>
      <x:c r="BX265" s="13"/>
      <x:c r="BY265" s="13"/>
      <x:c r="BZ265" s="13"/>
      <x:c r="CA265" s="13"/>
      <x:c r="CB265" s="13"/>
      <x:c r="CC265" s="13"/>
      <x:c r="CD265" s="13"/>
      <x:c r="CE265" s="13"/>
      <x:c r="CF265" s="13"/>
      <x:c r="CG265" s="13"/>
    </x:row>
    <x:row r="266" ht="14.25" customHeight="1">
      <x:c r="AA266" s="3"/>
      <x:c r="AB266" s="3"/>
      <x:c r="AF266" s="3"/>
      <x:c r="AG266" s="3"/>
      <x:c r="AH266" s="3"/>
      <x:c r="AI266" s="3"/>
      <x:c r="AJ266" s="3"/>
      <x:c r="AK266" s="3"/>
      <x:c r="AL266" s="3"/>
      <x:c r="AM266" s="3"/>
      <x:c r="AT266" s="3"/>
      <x:c r="AU266" s="3"/>
      <x:c r="AV266" s="3"/>
      <x:c r="AW266" s="3"/>
      <x:c r="AX266" s="3"/>
      <x:c r="AY266" s="3"/>
      <x:c r="AZ266" s="3"/>
      <x:c r="BA266" s="3"/>
      <x:c r="BC266" s="3"/>
      <x:c r="BD266" s="3"/>
      <x:c r="BE266" s="3"/>
      <x:c r="BF266" s="3"/>
      <x:c r="BG266" s="3"/>
      <x:c r="BH266" s="13"/>
      <x:c r="BI266" s="13"/>
      <x:c r="BJ266" s="13"/>
      <x:c r="BK266" s="13"/>
      <x:c r="BL266" s="13"/>
      <x:c r="BM266" s="13"/>
      <x:c r="BN266" s="13"/>
      <x:c r="BO266" s="13"/>
      <x:c r="BP266" s="13"/>
      <x:c r="BQ266" s="13"/>
      <x:c r="BR266" s="13"/>
      <x:c r="BS266" s="13"/>
      <x:c r="BT266" s="13"/>
      <x:c r="BU266" s="13"/>
      <x:c r="BV266" s="13"/>
      <x:c r="BW266" s="13"/>
      <x:c r="BX266" s="13"/>
      <x:c r="BY266" s="13"/>
      <x:c r="BZ266" s="13"/>
      <x:c r="CA266" s="13"/>
      <x:c r="CB266" s="13"/>
      <x:c r="CC266" s="13"/>
      <x:c r="CD266" s="13"/>
      <x:c r="CE266" s="13"/>
      <x:c r="CF266" s="13"/>
      <x:c r="CG266" s="13"/>
    </x:row>
    <x:row r="267" ht="14.25" customHeight="1">
      <x:c r="AA267" s="3"/>
      <x:c r="AB267" s="3"/>
      <x:c r="AF267" s="3"/>
      <x:c r="AG267" s="3"/>
      <x:c r="AH267" s="3"/>
      <x:c r="AI267" s="3"/>
      <x:c r="AJ267" s="3"/>
      <x:c r="AK267" s="3"/>
      <x:c r="AL267" s="3"/>
      <x:c r="AM267" s="3"/>
      <x:c r="AT267" s="3"/>
      <x:c r="AU267" s="3"/>
      <x:c r="AV267" s="3"/>
      <x:c r="AW267" s="3"/>
      <x:c r="AX267" s="3"/>
      <x:c r="AY267" s="3"/>
      <x:c r="AZ267" s="3"/>
      <x:c r="BA267" s="3"/>
      <x:c r="BC267" s="3"/>
      <x:c r="BD267" s="3"/>
      <x:c r="BE267" s="3"/>
      <x:c r="BF267" s="3"/>
      <x:c r="BG267" s="3"/>
      <x:c r="BH267" s="13"/>
      <x:c r="BI267" s="13"/>
      <x:c r="BJ267" s="13"/>
      <x:c r="BK267" s="13"/>
      <x:c r="BL267" s="13"/>
      <x:c r="BM267" s="13"/>
      <x:c r="BN267" s="13"/>
      <x:c r="BO267" s="13"/>
      <x:c r="BP267" s="13"/>
      <x:c r="BQ267" s="13"/>
      <x:c r="BR267" s="13"/>
      <x:c r="BS267" s="13"/>
      <x:c r="BT267" s="13"/>
      <x:c r="BU267" s="13"/>
      <x:c r="BV267" s="13"/>
      <x:c r="BW267" s="13"/>
      <x:c r="BX267" s="13"/>
      <x:c r="BY267" s="13"/>
      <x:c r="BZ267" s="13"/>
      <x:c r="CA267" s="13"/>
      <x:c r="CB267" s="13"/>
      <x:c r="CC267" s="13"/>
      <x:c r="CD267" s="13"/>
      <x:c r="CE267" s="13"/>
      <x:c r="CF267" s="13"/>
      <x:c r="CG267" s="13"/>
    </x:row>
    <x:row r="268" ht="14.25" customHeight="1">
      <x:c r="AA268" s="3"/>
      <x:c r="AB268" s="3"/>
      <x:c r="AF268" s="3"/>
      <x:c r="AG268" s="3"/>
      <x:c r="AH268" s="3"/>
      <x:c r="AI268" s="3"/>
      <x:c r="AJ268" s="3"/>
      <x:c r="AK268" s="3"/>
      <x:c r="AL268" s="3"/>
      <x:c r="AM268" s="3"/>
      <x:c r="AT268" s="3"/>
      <x:c r="AU268" s="3"/>
      <x:c r="AV268" s="3"/>
      <x:c r="AW268" s="3"/>
      <x:c r="AX268" s="3"/>
      <x:c r="AY268" s="3"/>
      <x:c r="AZ268" s="3"/>
      <x:c r="BA268" s="3"/>
      <x:c r="BC268" s="3"/>
      <x:c r="BD268" s="3"/>
      <x:c r="BE268" s="3"/>
      <x:c r="BF268" s="3"/>
      <x:c r="BG268" s="3"/>
      <x:c r="BH268" s="13"/>
      <x:c r="BI268" s="13"/>
      <x:c r="BJ268" s="13"/>
      <x:c r="BK268" s="13"/>
      <x:c r="BL268" s="13"/>
      <x:c r="BM268" s="13"/>
      <x:c r="BN268" s="13"/>
      <x:c r="BO268" s="13"/>
      <x:c r="BP268" s="13"/>
      <x:c r="BQ268" s="13"/>
      <x:c r="BR268" s="13"/>
      <x:c r="BS268" s="13"/>
      <x:c r="BT268" s="13"/>
      <x:c r="BU268" s="13"/>
      <x:c r="BV268" s="13"/>
      <x:c r="BW268" s="13"/>
      <x:c r="BX268" s="13"/>
      <x:c r="BY268" s="13"/>
      <x:c r="BZ268" s="13"/>
      <x:c r="CA268" s="13"/>
      <x:c r="CB268" s="13"/>
      <x:c r="CC268" s="13"/>
      <x:c r="CD268" s="13"/>
      <x:c r="CE268" s="13"/>
      <x:c r="CF268" s="13"/>
      <x:c r="CG268" s="13"/>
    </x:row>
    <x:row r="269" ht="14.25" customHeight="1">
      <x:c r="AA269" s="3"/>
      <x:c r="AB269" s="3"/>
      <x:c r="AF269" s="3"/>
      <x:c r="AG269" s="3"/>
      <x:c r="AH269" s="3"/>
      <x:c r="AI269" s="3"/>
      <x:c r="AJ269" s="3"/>
      <x:c r="AK269" s="3"/>
      <x:c r="AL269" s="3"/>
      <x:c r="AM269" s="3"/>
      <x:c r="AT269" s="3"/>
      <x:c r="AU269" s="3"/>
      <x:c r="AV269" s="3"/>
      <x:c r="AW269" s="3"/>
      <x:c r="AX269" s="3"/>
      <x:c r="AY269" s="3"/>
      <x:c r="AZ269" s="3"/>
      <x:c r="BA269" s="3"/>
      <x:c r="BC269" s="3"/>
      <x:c r="BD269" s="3"/>
      <x:c r="BE269" s="3"/>
      <x:c r="BF269" s="3"/>
      <x:c r="BG269" s="3"/>
      <x:c r="BH269" s="13"/>
      <x:c r="BI269" s="13"/>
      <x:c r="BJ269" s="13"/>
      <x:c r="BK269" s="13"/>
      <x:c r="BL269" s="13"/>
      <x:c r="BM269" s="13"/>
      <x:c r="BN269" s="13"/>
      <x:c r="BO269" s="13"/>
      <x:c r="BP269" s="13"/>
      <x:c r="BQ269" s="13"/>
      <x:c r="BR269" s="13"/>
      <x:c r="BS269" s="13"/>
      <x:c r="BT269" s="13"/>
      <x:c r="BU269" s="13"/>
      <x:c r="BV269" s="13"/>
      <x:c r="BW269" s="13"/>
      <x:c r="BX269" s="13"/>
      <x:c r="BY269" s="13"/>
      <x:c r="BZ269" s="13"/>
      <x:c r="CA269" s="13"/>
      <x:c r="CB269" s="13"/>
      <x:c r="CC269" s="13"/>
      <x:c r="CD269" s="13"/>
      <x:c r="CE269" s="13"/>
      <x:c r="CF269" s="13"/>
      <x:c r="CG269" s="13"/>
    </x:row>
    <x:row r="270" ht="14.25" customHeight="1">
      <x:c r="AA270" s="3"/>
      <x:c r="AB270" s="3"/>
      <x:c r="AF270" s="3"/>
      <x:c r="AG270" s="3"/>
      <x:c r="AH270" s="3"/>
      <x:c r="AI270" s="3"/>
      <x:c r="AJ270" s="3"/>
      <x:c r="AK270" s="3"/>
      <x:c r="AL270" s="3"/>
      <x:c r="AM270" s="3"/>
      <x:c r="AT270" s="3"/>
      <x:c r="AU270" s="3"/>
      <x:c r="AV270" s="3"/>
      <x:c r="AW270" s="3"/>
      <x:c r="AX270" s="3"/>
      <x:c r="AY270" s="3"/>
      <x:c r="AZ270" s="3"/>
      <x:c r="BA270" s="3"/>
      <x:c r="BC270" s="3"/>
      <x:c r="BD270" s="3"/>
      <x:c r="BE270" s="3"/>
      <x:c r="BF270" s="3"/>
      <x:c r="BG270" s="3"/>
      <x:c r="BH270" s="13"/>
      <x:c r="BI270" s="13"/>
      <x:c r="BJ270" s="13"/>
      <x:c r="BK270" s="13"/>
      <x:c r="BL270" s="13"/>
      <x:c r="BM270" s="13"/>
      <x:c r="BN270" s="13"/>
      <x:c r="BO270" s="13"/>
      <x:c r="BP270" s="13"/>
      <x:c r="BQ270" s="13"/>
      <x:c r="BR270" s="13"/>
      <x:c r="BS270" s="13"/>
      <x:c r="BT270" s="13"/>
      <x:c r="BU270" s="13"/>
      <x:c r="BV270" s="13"/>
      <x:c r="BW270" s="13"/>
      <x:c r="BX270" s="13"/>
      <x:c r="BY270" s="13"/>
      <x:c r="BZ270" s="13"/>
      <x:c r="CA270" s="13"/>
      <x:c r="CB270" s="13"/>
      <x:c r="CC270" s="13"/>
      <x:c r="CD270" s="13"/>
      <x:c r="CE270" s="13"/>
      <x:c r="CF270" s="13"/>
      <x:c r="CG270" s="13"/>
    </x:row>
    <x:row r="271" ht="14.25" customHeight="1">
      <x:c r="AA271" s="3"/>
      <x:c r="AB271" s="3"/>
      <x:c r="AF271" s="3"/>
      <x:c r="AG271" s="3"/>
      <x:c r="AH271" s="3"/>
      <x:c r="AI271" s="3"/>
      <x:c r="AJ271" s="3"/>
      <x:c r="AK271" s="3"/>
      <x:c r="AL271" s="3"/>
      <x:c r="AM271" s="3"/>
      <x:c r="AT271" s="3"/>
      <x:c r="AU271" s="3"/>
      <x:c r="AV271" s="3"/>
      <x:c r="AW271" s="3"/>
      <x:c r="AX271" s="3"/>
      <x:c r="AY271" s="3"/>
      <x:c r="AZ271" s="3"/>
      <x:c r="BA271" s="3"/>
      <x:c r="BC271" s="3"/>
      <x:c r="BD271" s="3"/>
      <x:c r="BE271" s="3"/>
      <x:c r="BF271" s="3"/>
      <x:c r="BG271" s="3"/>
      <x:c r="BH271" s="13"/>
      <x:c r="BI271" s="13"/>
      <x:c r="BJ271" s="13"/>
      <x:c r="BK271" s="13"/>
      <x:c r="BL271" s="13"/>
      <x:c r="BM271" s="13"/>
      <x:c r="BN271" s="13"/>
      <x:c r="BO271" s="13"/>
      <x:c r="BP271" s="13"/>
      <x:c r="BQ271" s="13"/>
      <x:c r="BR271" s="13"/>
      <x:c r="BS271" s="13"/>
      <x:c r="BT271" s="13"/>
      <x:c r="BU271" s="13"/>
      <x:c r="BV271" s="13"/>
      <x:c r="BW271" s="13"/>
      <x:c r="BX271" s="13"/>
      <x:c r="BY271" s="13"/>
      <x:c r="BZ271" s="13"/>
      <x:c r="CA271" s="13"/>
      <x:c r="CB271" s="13"/>
      <x:c r="CC271" s="13"/>
      <x:c r="CD271" s="13"/>
      <x:c r="CE271" s="13"/>
      <x:c r="CF271" s="13"/>
      <x:c r="CG271" s="13"/>
    </x:row>
    <x:row r="272" ht="14.25" customHeight="1">
      <x:c r="AA272" s="3"/>
      <x:c r="AB272" s="3"/>
      <x:c r="AF272" s="3"/>
      <x:c r="AG272" s="3"/>
      <x:c r="AH272" s="3"/>
      <x:c r="AI272" s="3"/>
      <x:c r="AJ272" s="3"/>
      <x:c r="AK272" s="3"/>
      <x:c r="AL272" s="3"/>
      <x:c r="AM272" s="3"/>
      <x:c r="AT272" s="3"/>
      <x:c r="AU272" s="3"/>
      <x:c r="AV272" s="3"/>
      <x:c r="AW272" s="3"/>
      <x:c r="AX272" s="3"/>
      <x:c r="AY272" s="3"/>
      <x:c r="AZ272" s="3"/>
      <x:c r="BA272" s="3"/>
      <x:c r="BC272" s="3"/>
      <x:c r="BD272" s="3"/>
      <x:c r="BE272" s="3"/>
      <x:c r="BF272" s="3"/>
      <x:c r="BG272" s="3"/>
      <x:c r="BH272" s="13"/>
      <x:c r="BI272" s="13"/>
      <x:c r="BJ272" s="13"/>
      <x:c r="BK272" s="13"/>
      <x:c r="BL272" s="13"/>
      <x:c r="BM272" s="13"/>
      <x:c r="BN272" s="13"/>
      <x:c r="BO272" s="13"/>
      <x:c r="BP272" s="13"/>
      <x:c r="BQ272" s="13"/>
      <x:c r="BR272" s="13"/>
      <x:c r="BS272" s="13"/>
      <x:c r="BT272" s="13"/>
      <x:c r="BU272" s="13"/>
      <x:c r="BV272" s="13"/>
      <x:c r="BW272" s="13"/>
      <x:c r="BX272" s="13"/>
      <x:c r="BY272" s="13"/>
      <x:c r="BZ272" s="13"/>
      <x:c r="CA272" s="13"/>
      <x:c r="CB272" s="13"/>
      <x:c r="CC272" s="13"/>
      <x:c r="CD272" s="13"/>
      <x:c r="CE272" s="13"/>
      <x:c r="CF272" s="13"/>
      <x:c r="CG272" s="13"/>
    </x:row>
    <x:row r="273" ht="14.25" customHeight="1">
      <x:c r="AA273" s="3"/>
      <x:c r="AB273" s="3"/>
      <x:c r="AF273" s="3"/>
      <x:c r="AG273" s="3"/>
      <x:c r="AH273" s="3"/>
      <x:c r="AI273" s="3"/>
      <x:c r="AJ273" s="3"/>
      <x:c r="AK273" s="3"/>
      <x:c r="AL273" s="3"/>
      <x:c r="AM273" s="3"/>
      <x:c r="AT273" s="3"/>
      <x:c r="AU273" s="3"/>
      <x:c r="AV273" s="3"/>
      <x:c r="AW273" s="3"/>
      <x:c r="AX273" s="3"/>
      <x:c r="AY273" s="3"/>
      <x:c r="AZ273" s="3"/>
      <x:c r="BA273" s="3"/>
      <x:c r="BC273" s="3"/>
      <x:c r="BD273" s="3"/>
      <x:c r="BE273" s="3"/>
      <x:c r="BF273" s="3"/>
      <x:c r="BG273" s="3"/>
      <x:c r="BH273" s="13"/>
      <x:c r="BI273" s="13"/>
      <x:c r="BJ273" s="13"/>
      <x:c r="BK273" s="13"/>
      <x:c r="BL273" s="13"/>
      <x:c r="BM273" s="13"/>
      <x:c r="BN273" s="13"/>
      <x:c r="BO273" s="13"/>
      <x:c r="BP273" s="13"/>
      <x:c r="BQ273" s="13"/>
      <x:c r="BR273" s="13"/>
      <x:c r="BS273" s="13"/>
      <x:c r="BT273" s="13"/>
      <x:c r="BU273" s="13"/>
      <x:c r="BV273" s="13"/>
      <x:c r="BW273" s="13"/>
      <x:c r="BX273" s="13"/>
      <x:c r="BY273" s="13"/>
      <x:c r="BZ273" s="13"/>
      <x:c r="CA273" s="13"/>
      <x:c r="CB273" s="13"/>
      <x:c r="CC273" s="13"/>
      <x:c r="CD273" s="13"/>
      <x:c r="CE273" s="13"/>
      <x:c r="CF273" s="13"/>
      <x:c r="CG273" s="13"/>
    </x:row>
    <x:row r="274" ht="14.25" customHeight="1">
      <x:c r="AA274" s="3"/>
      <x:c r="AB274" s="3"/>
      <x:c r="AF274" s="3"/>
      <x:c r="AG274" s="3"/>
      <x:c r="AH274" s="3"/>
      <x:c r="AI274" s="3"/>
      <x:c r="AJ274" s="3"/>
      <x:c r="AK274" s="3"/>
      <x:c r="AL274" s="3"/>
      <x:c r="AM274" s="3"/>
      <x:c r="AT274" s="3"/>
      <x:c r="AU274" s="3"/>
      <x:c r="AV274" s="3"/>
      <x:c r="AW274" s="3"/>
      <x:c r="AX274" s="3"/>
      <x:c r="AY274" s="3"/>
      <x:c r="AZ274" s="3"/>
      <x:c r="BA274" s="3"/>
      <x:c r="BC274" s="3"/>
      <x:c r="BD274" s="3"/>
      <x:c r="BE274" s="3"/>
      <x:c r="BF274" s="3"/>
      <x:c r="BG274" s="3"/>
      <x:c r="BH274" s="13"/>
      <x:c r="BI274" s="13"/>
      <x:c r="BJ274" s="13"/>
      <x:c r="BK274" s="13"/>
      <x:c r="BL274" s="13"/>
      <x:c r="BM274" s="13"/>
      <x:c r="BN274" s="13"/>
      <x:c r="BO274" s="13"/>
      <x:c r="BP274" s="13"/>
      <x:c r="BQ274" s="13"/>
      <x:c r="BR274" s="13"/>
      <x:c r="BS274" s="13"/>
      <x:c r="BT274" s="13"/>
      <x:c r="BU274" s="13"/>
      <x:c r="BV274" s="13"/>
      <x:c r="BW274" s="13"/>
      <x:c r="BX274" s="13"/>
      <x:c r="BY274" s="13"/>
      <x:c r="BZ274" s="13"/>
      <x:c r="CA274" s="13"/>
      <x:c r="CB274" s="13"/>
      <x:c r="CC274" s="13"/>
      <x:c r="CD274" s="13"/>
      <x:c r="CE274" s="13"/>
      <x:c r="CF274" s="13"/>
      <x:c r="CG274" s="13"/>
    </x:row>
    <x:row r="275" ht="14.25" customHeight="1">
      <x:c r="AA275" s="3"/>
      <x:c r="AB275" s="3"/>
      <x:c r="AF275" s="3"/>
      <x:c r="AG275" s="3"/>
      <x:c r="AH275" s="3"/>
      <x:c r="AI275" s="3"/>
      <x:c r="AJ275" s="3"/>
      <x:c r="AK275" s="3"/>
      <x:c r="AL275" s="3"/>
      <x:c r="AM275" s="3"/>
      <x:c r="AT275" s="3"/>
      <x:c r="AU275" s="3"/>
      <x:c r="AV275" s="3"/>
      <x:c r="AW275" s="3"/>
      <x:c r="AX275" s="3"/>
      <x:c r="AY275" s="3"/>
      <x:c r="AZ275" s="3"/>
      <x:c r="BA275" s="3"/>
      <x:c r="BC275" s="3"/>
      <x:c r="BD275" s="3"/>
      <x:c r="BE275" s="3"/>
      <x:c r="BF275" s="3"/>
      <x:c r="BG275" s="3"/>
      <x:c r="BH275" s="13"/>
      <x:c r="BI275" s="13"/>
      <x:c r="BJ275" s="13"/>
      <x:c r="BK275" s="13"/>
      <x:c r="BL275" s="13"/>
      <x:c r="BM275" s="13"/>
      <x:c r="BN275" s="13"/>
      <x:c r="BO275" s="13"/>
      <x:c r="BP275" s="13"/>
      <x:c r="BQ275" s="13"/>
      <x:c r="BR275" s="13"/>
      <x:c r="BS275" s="13"/>
      <x:c r="BT275" s="13"/>
      <x:c r="BU275" s="13"/>
      <x:c r="BV275" s="13"/>
      <x:c r="BW275" s="13"/>
      <x:c r="BX275" s="13"/>
      <x:c r="BY275" s="13"/>
      <x:c r="BZ275" s="13"/>
      <x:c r="CA275" s="13"/>
      <x:c r="CB275" s="13"/>
      <x:c r="CC275" s="13"/>
      <x:c r="CD275" s="13"/>
      <x:c r="CE275" s="13"/>
      <x:c r="CF275" s="13"/>
      <x:c r="CG275" s="13"/>
    </x:row>
    <x:row r="276" ht="14.25" customHeight="1">
      <x:c r="AA276" s="3"/>
      <x:c r="AB276" s="3"/>
      <x:c r="AF276" s="3"/>
      <x:c r="AG276" s="3"/>
      <x:c r="AH276" s="3"/>
      <x:c r="AI276" s="3"/>
      <x:c r="AJ276" s="3"/>
      <x:c r="AK276" s="3"/>
      <x:c r="AL276" s="3"/>
      <x:c r="AM276" s="3"/>
      <x:c r="AT276" s="3"/>
      <x:c r="AU276" s="3"/>
      <x:c r="AV276" s="3"/>
      <x:c r="AW276" s="3"/>
      <x:c r="AX276" s="3"/>
      <x:c r="AY276" s="3"/>
      <x:c r="AZ276" s="3"/>
      <x:c r="BA276" s="3"/>
      <x:c r="BC276" s="3"/>
      <x:c r="BD276" s="3"/>
      <x:c r="BE276" s="3"/>
      <x:c r="BF276" s="3"/>
      <x:c r="BG276" s="3"/>
      <x:c r="BH276" s="13"/>
      <x:c r="BI276" s="13"/>
      <x:c r="BJ276" s="13"/>
      <x:c r="BK276" s="13"/>
      <x:c r="BL276" s="13"/>
      <x:c r="BM276" s="13"/>
      <x:c r="BN276" s="13"/>
      <x:c r="BO276" s="13"/>
      <x:c r="BP276" s="13"/>
      <x:c r="BQ276" s="13"/>
      <x:c r="BR276" s="13"/>
      <x:c r="BS276" s="13"/>
      <x:c r="BT276" s="13"/>
      <x:c r="BU276" s="13"/>
      <x:c r="BV276" s="13"/>
      <x:c r="BW276" s="13"/>
      <x:c r="BX276" s="13"/>
      <x:c r="BY276" s="13"/>
      <x:c r="BZ276" s="13"/>
      <x:c r="CA276" s="13"/>
      <x:c r="CB276" s="13"/>
      <x:c r="CC276" s="13"/>
      <x:c r="CD276" s="13"/>
      <x:c r="CE276" s="13"/>
      <x:c r="CF276" s="13"/>
      <x:c r="CG276" s="13"/>
    </x:row>
    <x:row r="277" ht="14.25" customHeight="1">
      <x:c r="AA277" s="3"/>
      <x:c r="AB277" s="3"/>
      <x:c r="AF277" s="3"/>
      <x:c r="AG277" s="3"/>
      <x:c r="AH277" s="3"/>
      <x:c r="AI277" s="3"/>
      <x:c r="AJ277" s="3"/>
      <x:c r="AK277" s="3"/>
      <x:c r="AL277" s="3"/>
      <x:c r="AM277" s="3"/>
      <x:c r="AT277" s="3"/>
      <x:c r="AU277" s="3"/>
      <x:c r="AV277" s="3"/>
      <x:c r="AW277" s="3"/>
      <x:c r="AX277" s="3"/>
      <x:c r="AY277" s="3"/>
      <x:c r="AZ277" s="3"/>
      <x:c r="BA277" s="3"/>
      <x:c r="BC277" s="3"/>
      <x:c r="BD277" s="3"/>
      <x:c r="BE277" s="3"/>
      <x:c r="BF277" s="3"/>
      <x:c r="BG277" s="3"/>
      <x:c r="BH277" s="13"/>
      <x:c r="BI277" s="13"/>
      <x:c r="BJ277" s="13"/>
      <x:c r="BK277" s="13"/>
      <x:c r="BL277" s="13"/>
      <x:c r="BM277" s="13"/>
      <x:c r="BN277" s="13"/>
      <x:c r="BO277" s="13"/>
      <x:c r="BP277" s="13"/>
      <x:c r="BQ277" s="13"/>
      <x:c r="BR277" s="13"/>
      <x:c r="BS277" s="13"/>
      <x:c r="BT277" s="13"/>
      <x:c r="BU277" s="13"/>
      <x:c r="BV277" s="13"/>
      <x:c r="BW277" s="13"/>
      <x:c r="BX277" s="13"/>
      <x:c r="BY277" s="13"/>
      <x:c r="BZ277" s="13"/>
      <x:c r="CA277" s="13"/>
      <x:c r="CB277" s="13"/>
      <x:c r="CC277" s="13"/>
      <x:c r="CD277" s="13"/>
      <x:c r="CE277" s="13"/>
      <x:c r="CF277" s="13"/>
      <x:c r="CG277" s="13"/>
    </x:row>
    <x:row r="278" ht="14.25" customHeight="1">
      <x:c r="AA278" s="3"/>
      <x:c r="AB278" s="3"/>
      <x:c r="AF278" s="3"/>
      <x:c r="AG278" s="3"/>
      <x:c r="AH278" s="3"/>
      <x:c r="AI278" s="3"/>
      <x:c r="AJ278" s="3"/>
      <x:c r="AK278" s="3"/>
      <x:c r="AL278" s="3"/>
      <x:c r="AM278" s="3"/>
      <x:c r="AT278" s="3"/>
      <x:c r="AU278" s="3"/>
      <x:c r="AV278" s="3"/>
      <x:c r="AW278" s="3"/>
      <x:c r="AX278" s="3"/>
      <x:c r="AY278" s="3"/>
      <x:c r="AZ278" s="3"/>
      <x:c r="BA278" s="3"/>
      <x:c r="BC278" s="3"/>
      <x:c r="BD278" s="3"/>
      <x:c r="BE278" s="3"/>
      <x:c r="BF278" s="3"/>
      <x:c r="BG278" s="3"/>
      <x:c r="BH278" s="13"/>
      <x:c r="BI278" s="13"/>
      <x:c r="BJ278" s="13"/>
      <x:c r="BK278" s="13"/>
      <x:c r="BL278" s="13"/>
      <x:c r="BM278" s="13"/>
      <x:c r="BN278" s="13"/>
      <x:c r="BO278" s="13"/>
      <x:c r="BP278" s="13"/>
      <x:c r="BQ278" s="13"/>
      <x:c r="BR278" s="13"/>
      <x:c r="BS278" s="13"/>
      <x:c r="BT278" s="13"/>
      <x:c r="BU278" s="13"/>
      <x:c r="BV278" s="13"/>
      <x:c r="BW278" s="13"/>
      <x:c r="BX278" s="13"/>
      <x:c r="BY278" s="13"/>
      <x:c r="BZ278" s="13"/>
      <x:c r="CA278" s="13"/>
      <x:c r="CB278" s="13"/>
      <x:c r="CC278" s="13"/>
      <x:c r="CD278" s="13"/>
      <x:c r="CE278" s="13"/>
      <x:c r="CF278" s="13"/>
      <x:c r="CG278" s="13"/>
    </x:row>
    <x:row r="279" ht="14.25" customHeight="1">
      <x:c r="AA279" s="3"/>
      <x:c r="AB279" s="3"/>
      <x:c r="AF279" s="3"/>
      <x:c r="AG279" s="3"/>
      <x:c r="AH279" s="3"/>
      <x:c r="AI279" s="3"/>
      <x:c r="AJ279" s="3"/>
      <x:c r="AK279" s="3"/>
      <x:c r="AL279" s="3"/>
      <x:c r="AM279" s="3"/>
      <x:c r="AT279" s="3"/>
      <x:c r="AU279" s="3"/>
      <x:c r="AV279" s="3"/>
      <x:c r="AW279" s="3"/>
      <x:c r="AX279" s="3"/>
      <x:c r="AY279" s="3"/>
      <x:c r="AZ279" s="3"/>
      <x:c r="BA279" s="3"/>
      <x:c r="BC279" s="3"/>
      <x:c r="BD279" s="3"/>
      <x:c r="BE279" s="3"/>
      <x:c r="BF279" s="3"/>
      <x:c r="BG279" s="3"/>
      <x:c r="BH279" s="13"/>
      <x:c r="BI279" s="13"/>
      <x:c r="BJ279" s="13"/>
      <x:c r="BK279" s="13"/>
      <x:c r="BL279" s="13"/>
      <x:c r="BM279" s="13"/>
      <x:c r="BN279" s="13"/>
      <x:c r="BO279" s="13"/>
      <x:c r="BP279" s="13"/>
      <x:c r="BQ279" s="13"/>
      <x:c r="BR279" s="13"/>
      <x:c r="BS279" s="13"/>
      <x:c r="BT279" s="13"/>
      <x:c r="BU279" s="13"/>
      <x:c r="BV279" s="13"/>
      <x:c r="BW279" s="13"/>
      <x:c r="BX279" s="13"/>
      <x:c r="BY279" s="13"/>
      <x:c r="BZ279" s="13"/>
      <x:c r="CA279" s="13"/>
      <x:c r="CB279" s="13"/>
      <x:c r="CC279" s="13"/>
      <x:c r="CD279" s="13"/>
      <x:c r="CE279" s="13"/>
      <x:c r="CF279" s="13"/>
      <x:c r="CG279" s="13"/>
    </x:row>
    <x:row r="280" ht="14.25" customHeight="1">
      <x:c r="AA280" s="3"/>
      <x:c r="AB280" s="3"/>
      <x:c r="AF280" s="3"/>
      <x:c r="AG280" s="3"/>
      <x:c r="AH280" s="3"/>
      <x:c r="AI280" s="3"/>
      <x:c r="AJ280" s="3"/>
      <x:c r="AK280" s="3"/>
      <x:c r="AL280" s="3"/>
      <x:c r="AM280" s="3"/>
      <x:c r="AT280" s="3"/>
      <x:c r="AU280" s="3"/>
      <x:c r="AV280" s="3"/>
      <x:c r="AW280" s="3"/>
      <x:c r="AX280" s="3"/>
      <x:c r="AY280" s="3"/>
      <x:c r="AZ280" s="3"/>
      <x:c r="BA280" s="3"/>
      <x:c r="BC280" s="3"/>
      <x:c r="BD280" s="3"/>
      <x:c r="BE280" s="3"/>
      <x:c r="BF280" s="3"/>
      <x:c r="BG280" s="3"/>
      <x:c r="BH280" s="13"/>
      <x:c r="BI280" s="13"/>
      <x:c r="BJ280" s="13"/>
      <x:c r="BK280" s="13"/>
      <x:c r="BL280" s="13"/>
      <x:c r="BM280" s="13"/>
      <x:c r="BN280" s="13"/>
      <x:c r="BO280" s="13"/>
      <x:c r="BP280" s="13"/>
      <x:c r="BQ280" s="13"/>
      <x:c r="BR280" s="13"/>
      <x:c r="BS280" s="13"/>
      <x:c r="BT280" s="13"/>
      <x:c r="BU280" s="13"/>
      <x:c r="BV280" s="13"/>
      <x:c r="BW280" s="13"/>
      <x:c r="BX280" s="13"/>
      <x:c r="BY280" s="13"/>
      <x:c r="BZ280" s="13"/>
      <x:c r="CA280" s="13"/>
      <x:c r="CB280" s="13"/>
      <x:c r="CC280" s="13"/>
      <x:c r="CD280" s="13"/>
      <x:c r="CE280" s="13"/>
      <x:c r="CF280" s="13"/>
      <x:c r="CG280" s="13"/>
    </x:row>
    <x:row r="281" ht="14.25" customHeight="1">
      <x:c r="AA281" s="3"/>
      <x:c r="AB281" s="3"/>
      <x:c r="AF281" s="3"/>
      <x:c r="AG281" s="3"/>
      <x:c r="AH281" s="3"/>
      <x:c r="AI281" s="3"/>
      <x:c r="AJ281" s="3"/>
      <x:c r="AK281" s="3"/>
      <x:c r="AL281" s="3"/>
      <x:c r="AM281" s="3"/>
      <x:c r="AT281" s="3"/>
      <x:c r="AU281" s="3"/>
      <x:c r="AV281" s="3"/>
      <x:c r="AW281" s="3"/>
      <x:c r="AX281" s="3"/>
      <x:c r="AY281" s="3"/>
      <x:c r="AZ281" s="3"/>
      <x:c r="BA281" s="3"/>
      <x:c r="BC281" s="3"/>
      <x:c r="BD281" s="3"/>
      <x:c r="BE281" s="3"/>
      <x:c r="BF281" s="3"/>
      <x:c r="BG281" s="3"/>
      <x:c r="BH281" s="13"/>
      <x:c r="BI281" s="13"/>
      <x:c r="BJ281" s="13"/>
      <x:c r="BK281" s="13"/>
      <x:c r="BL281" s="13"/>
      <x:c r="BM281" s="13"/>
      <x:c r="BN281" s="13"/>
      <x:c r="BO281" s="13"/>
      <x:c r="BP281" s="13"/>
      <x:c r="BQ281" s="13"/>
      <x:c r="BR281" s="13"/>
      <x:c r="BS281" s="13"/>
      <x:c r="BT281" s="13"/>
      <x:c r="BU281" s="13"/>
      <x:c r="BV281" s="13"/>
      <x:c r="BW281" s="13"/>
      <x:c r="BX281" s="13"/>
      <x:c r="BY281" s="13"/>
      <x:c r="BZ281" s="13"/>
      <x:c r="CA281" s="13"/>
      <x:c r="CB281" s="13"/>
      <x:c r="CC281" s="13"/>
      <x:c r="CD281" s="13"/>
      <x:c r="CE281" s="13"/>
      <x:c r="CF281" s="13"/>
      <x:c r="CG281" s="13"/>
    </x:row>
    <x:row r="282" ht="14.25" customHeight="1">
      <x:c r="AA282" s="3"/>
      <x:c r="AB282" s="3"/>
      <x:c r="AF282" s="3"/>
      <x:c r="AG282" s="3"/>
      <x:c r="AH282" s="3"/>
      <x:c r="AI282" s="3"/>
      <x:c r="AJ282" s="3"/>
      <x:c r="AK282" s="3"/>
      <x:c r="AL282" s="3"/>
      <x:c r="AM282" s="3"/>
      <x:c r="AT282" s="3"/>
      <x:c r="AU282" s="3"/>
      <x:c r="AV282" s="3"/>
      <x:c r="AW282" s="3"/>
      <x:c r="AX282" s="3"/>
      <x:c r="AY282" s="3"/>
      <x:c r="AZ282" s="3"/>
      <x:c r="BA282" s="3"/>
      <x:c r="BC282" s="3"/>
      <x:c r="BD282" s="3"/>
      <x:c r="BE282" s="3"/>
      <x:c r="BF282" s="3"/>
      <x:c r="BG282" s="3"/>
      <x:c r="BH282" s="13"/>
      <x:c r="BI282" s="13"/>
      <x:c r="BJ282" s="13"/>
      <x:c r="BK282" s="13"/>
      <x:c r="BL282" s="13"/>
      <x:c r="BM282" s="13"/>
      <x:c r="BN282" s="13"/>
      <x:c r="BO282" s="13"/>
      <x:c r="BP282" s="13"/>
      <x:c r="BQ282" s="13"/>
      <x:c r="BR282" s="13"/>
      <x:c r="BS282" s="13"/>
      <x:c r="BT282" s="13"/>
      <x:c r="BU282" s="13"/>
      <x:c r="BV282" s="13"/>
      <x:c r="BW282" s="13"/>
      <x:c r="BX282" s="13"/>
      <x:c r="BY282" s="13"/>
      <x:c r="BZ282" s="13"/>
      <x:c r="CA282" s="13"/>
      <x:c r="CB282" s="13"/>
      <x:c r="CC282" s="13"/>
      <x:c r="CD282" s="13"/>
      <x:c r="CE282" s="13"/>
      <x:c r="CF282" s="13"/>
      <x:c r="CG282" s="13"/>
    </x:row>
    <x:row r="283" ht="14.25" customHeight="1">
      <x:c r="AA283" s="3"/>
      <x:c r="AB283" s="3"/>
      <x:c r="AF283" s="3"/>
      <x:c r="AG283" s="3"/>
      <x:c r="AH283" s="3"/>
      <x:c r="AI283" s="3"/>
      <x:c r="AJ283" s="3"/>
      <x:c r="AK283" s="3"/>
      <x:c r="AL283" s="3"/>
      <x:c r="AM283" s="3"/>
      <x:c r="AT283" s="3"/>
      <x:c r="AU283" s="3"/>
      <x:c r="AV283" s="3"/>
      <x:c r="AW283" s="3"/>
      <x:c r="AX283" s="3"/>
      <x:c r="AY283" s="3"/>
      <x:c r="AZ283" s="3"/>
      <x:c r="BA283" s="3"/>
      <x:c r="BC283" s="3"/>
      <x:c r="BD283" s="3"/>
      <x:c r="BE283" s="3"/>
      <x:c r="BF283" s="3"/>
      <x:c r="BG283" s="3"/>
      <x:c r="BH283" s="13"/>
      <x:c r="BI283" s="13"/>
      <x:c r="BJ283" s="13"/>
      <x:c r="BK283" s="13"/>
      <x:c r="BL283" s="13"/>
      <x:c r="BM283" s="13"/>
      <x:c r="BN283" s="13"/>
      <x:c r="BO283" s="13"/>
      <x:c r="BP283" s="13"/>
      <x:c r="BQ283" s="13"/>
      <x:c r="BR283" s="13"/>
      <x:c r="BS283" s="13"/>
      <x:c r="BT283" s="13"/>
      <x:c r="BU283" s="13"/>
      <x:c r="BV283" s="13"/>
      <x:c r="BW283" s="13"/>
      <x:c r="BX283" s="13"/>
      <x:c r="BY283" s="13"/>
      <x:c r="BZ283" s="13"/>
      <x:c r="CA283" s="13"/>
      <x:c r="CB283" s="13"/>
      <x:c r="CC283" s="13"/>
      <x:c r="CD283" s="13"/>
      <x:c r="CE283" s="13"/>
      <x:c r="CF283" s="13"/>
      <x:c r="CG283" s="13"/>
    </x:row>
    <x:row r="284" ht="14.25" customHeight="1">
      <x:c r="AA284" s="3"/>
      <x:c r="AB284" s="3"/>
      <x:c r="AF284" s="3"/>
      <x:c r="AG284" s="3"/>
      <x:c r="AH284" s="3"/>
      <x:c r="AI284" s="3"/>
      <x:c r="AJ284" s="3"/>
      <x:c r="AK284" s="3"/>
      <x:c r="AL284" s="3"/>
      <x:c r="AM284" s="3"/>
      <x:c r="AT284" s="3"/>
      <x:c r="AU284" s="3"/>
      <x:c r="AV284" s="3"/>
      <x:c r="AW284" s="3"/>
      <x:c r="AX284" s="3"/>
      <x:c r="AY284" s="3"/>
      <x:c r="AZ284" s="3"/>
      <x:c r="BA284" s="3"/>
      <x:c r="BC284" s="3"/>
      <x:c r="BD284" s="3"/>
      <x:c r="BE284" s="3"/>
      <x:c r="BF284" s="3"/>
      <x:c r="BG284" s="3"/>
      <x:c r="BH284" s="13"/>
      <x:c r="BI284" s="13"/>
      <x:c r="BJ284" s="13"/>
      <x:c r="BK284" s="13"/>
      <x:c r="BL284" s="13"/>
      <x:c r="BM284" s="13"/>
      <x:c r="BN284" s="13"/>
      <x:c r="BO284" s="13"/>
      <x:c r="BP284" s="13"/>
      <x:c r="BQ284" s="13"/>
      <x:c r="BR284" s="13"/>
      <x:c r="BS284" s="13"/>
      <x:c r="BT284" s="13"/>
      <x:c r="BU284" s="13"/>
      <x:c r="BV284" s="13"/>
      <x:c r="BW284" s="13"/>
      <x:c r="BX284" s="13"/>
      <x:c r="BY284" s="13"/>
      <x:c r="BZ284" s="13"/>
      <x:c r="CA284" s="13"/>
      <x:c r="CB284" s="13"/>
      <x:c r="CC284" s="13"/>
      <x:c r="CD284" s="13"/>
      <x:c r="CE284" s="13"/>
      <x:c r="CF284" s="13"/>
      <x:c r="CG284" s="13"/>
    </x:row>
    <x:row r="285" ht="14.25" customHeight="1">
      <x:c r="AA285" s="3"/>
      <x:c r="AB285" s="3"/>
      <x:c r="AF285" s="3"/>
      <x:c r="AG285" s="3"/>
      <x:c r="AH285" s="3"/>
      <x:c r="AI285" s="3"/>
      <x:c r="AJ285" s="3"/>
      <x:c r="AK285" s="3"/>
      <x:c r="AL285" s="3"/>
      <x:c r="AM285" s="3"/>
      <x:c r="AT285" s="3"/>
      <x:c r="AU285" s="3"/>
      <x:c r="AV285" s="3"/>
      <x:c r="AW285" s="3"/>
      <x:c r="AX285" s="3"/>
      <x:c r="AY285" s="3"/>
      <x:c r="AZ285" s="3"/>
      <x:c r="BA285" s="3"/>
      <x:c r="BC285" s="3"/>
      <x:c r="BD285" s="3"/>
      <x:c r="BE285" s="3"/>
      <x:c r="BF285" s="3"/>
      <x:c r="BG285" s="3"/>
      <x:c r="BH285" s="13"/>
      <x:c r="BI285" s="13"/>
      <x:c r="BJ285" s="13"/>
      <x:c r="BK285" s="13"/>
      <x:c r="BL285" s="13"/>
      <x:c r="BM285" s="13"/>
      <x:c r="BN285" s="13"/>
      <x:c r="BO285" s="13"/>
      <x:c r="BP285" s="13"/>
      <x:c r="BQ285" s="13"/>
      <x:c r="BR285" s="13"/>
      <x:c r="BS285" s="13"/>
      <x:c r="BT285" s="13"/>
      <x:c r="BU285" s="13"/>
      <x:c r="BV285" s="13"/>
      <x:c r="BW285" s="13"/>
      <x:c r="BX285" s="13"/>
      <x:c r="BY285" s="13"/>
      <x:c r="BZ285" s="13"/>
      <x:c r="CA285" s="13"/>
      <x:c r="CB285" s="13"/>
      <x:c r="CC285" s="13"/>
      <x:c r="CD285" s="13"/>
      <x:c r="CE285" s="13"/>
      <x:c r="CF285" s="13"/>
      <x:c r="CG285" s="13"/>
    </x:row>
    <x:row r="286" ht="14.25" customHeight="1">
      <x:c r="AA286" s="3"/>
      <x:c r="AB286" s="3"/>
      <x:c r="AF286" s="3"/>
      <x:c r="AG286" s="3"/>
      <x:c r="AH286" s="3"/>
      <x:c r="AI286" s="3"/>
      <x:c r="AJ286" s="3"/>
      <x:c r="AK286" s="3"/>
      <x:c r="AL286" s="3"/>
      <x:c r="AM286" s="3"/>
      <x:c r="AT286" s="3"/>
      <x:c r="AU286" s="3"/>
      <x:c r="AV286" s="3"/>
      <x:c r="AW286" s="3"/>
      <x:c r="AX286" s="3"/>
      <x:c r="AY286" s="3"/>
      <x:c r="AZ286" s="3"/>
      <x:c r="BA286" s="3"/>
      <x:c r="BC286" s="3"/>
      <x:c r="BD286" s="3"/>
      <x:c r="BE286" s="3"/>
      <x:c r="BF286" s="3"/>
      <x:c r="BG286" s="3"/>
      <x:c r="BH286" s="13"/>
      <x:c r="BI286" s="13"/>
      <x:c r="BJ286" s="13"/>
      <x:c r="BK286" s="13"/>
      <x:c r="BL286" s="13"/>
      <x:c r="BM286" s="13"/>
      <x:c r="BN286" s="13"/>
      <x:c r="BO286" s="13"/>
      <x:c r="BP286" s="13"/>
      <x:c r="BQ286" s="13"/>
      <x:c r="BR286" s="13"/>
      <x:c r="BS286" s="13"/>
      <x:c r="BT286" s="13"/>
      <x:c r="BU286" s="13"/>
      <x:c r="BV286" s="13"/>
      <x:c r="BW286" s="13"/>
      <x:c r="BX286" s="13"/>
      <x:c r="BY286" s="13"/>
      <x:c r="BZ286" s="13"/>
      <x:c r="CA286" s="13"/>
      <x:c r="CB286" s="13"/>
      <x:c r="CC286" s="13"/>
      <x:c r="CD286" s="13"/>
      <x:c r="CE286" s="13"/>
      <x:c r="CF286" s="13"/>
      <x:c r="CG286" s="13"/>
    </x:row>
    <x:row r="287" ht="14.25" customHeight="1">
      <x:c r="AA287" s="3"/>
      <x:c r="AB287" s="3"/>
      <x:c r="AF287" s="3"/>
      <x:c r="AG287" s="3"/>
      <x:c r="AH287" s="3"/>
      <x:c r="AI287" s="3"/>
      <x:c r="AJ287" s="3"/>
      <x:c r="AK287" s="3"/>
      <x:c r="AL287" s="3"/>
      <x:c r="AM287" s="3"/>
      <x:c r="AT287" s="3"/>
      <x:c r="AU287" s="3"/>
      <x:c r="AV287" s="3"/>
      <x:c r="AW287" s="3"/>
      <x:c r="AX287" s="3"/>
      <x:c r="AY287" s="3"/>
      <x:c r="AZ287" s="3"/>
      <x:c r="BA287" s="3"/>
      <x:c r="BC287" s="3"/>
      <x:c r="BD287" s="3"/>
      <x:c r="BE287" s="3"/>
      <x:c r="BF287" s="3"/>
      <x:c r="BG287" s="3"/>
      <x:c r="BH287" s="13"/>
      <x:c r="BI287" s="13"/>
      <x:c r="BJ287" s="13"/>
      <x:c r="BK287" s="13"/>
      <x:c r="BL287" s="13"/>
      <x:c r="BM287" s="13"/>
      <x:c r="BN287" s="13"/>
      <x:c r="BO287" s="13"/>
      <x:c r="BP287" s="13"/>
      <x:c r="BQ287" s="13"/>
      <x:c r="BR287" s="13"/>
      <x:c r="BS287" s="13"/>
      <x:c r="BT287" s="13"/>
      <x:c r="BU287" s="13"/>
      <x:c r="BV287" s="13"/>
      <x:c r="BW287" s="13"/>
      <x:c r="BX287" s="13"/>
      <x:c r="BY287" s="13"/>
      <x:c r="BZ287" s="13"/>
      <x:c r="CA287" s="13"/>
      <x:c r="CB287" s="13"/>
      <x:c r="CC287" s="13"/>
      <x:c r="CD287" s="13"/>
      <x:c r="CE287" s="13"/>
      <x:c r="CF287" s="13"/>
      <x:c r="CG287" s="13"/>
    </x:row>
    <x:row r="288" ht="14.25" customHeight="1">
      <x:c r="AA288" s="3"/>
      <x:c r="AB288" s="3"/>
      <x:c r="AF288" s="3"/>
      <x:c r="AG288" s="3"/>
      <x:c r="AH288" s="3"/>
      <x:c r="AI288" s="3"/>
      <x:c r="AJ288" s="3"/>
      <x:c r="AK288" s="3"/>
      <x:c r="AL288" s="3"/>
      <x:c r="AM288" s="3"/>
      <x:c r="AT288" s="3"/>
      <x:c r="AU288" s="3"/>
      <x:c r="AV288" s="3"/>
      <x:c r="AW288" s="3"/>
      <x:c r="AX288" s="3"/>
      <x:c r="AY288" s="3"/>
      <x:c r="AZ288" s="3"/>
      <x:c r="BA288" s="3"/>
      <x:c r="BC288" s="3"/>
      <x:c r="BD288" s="3"/>
      <x:c r="BE288" s="3"/>
      <x:c r="BF288" s="3"/>
      <x:c r="BG288" s="3"/>
      <x:c r="BH288" s="13"/>
      <x:c r="BI288" s="13"/>
      <x:c r="BJ288" s="13"/>
      <x:c r="BK288" s="13"/>
      <x:c r="BL288" s="13"/>
      <x:c r="BM288" s="13"/>
      <x:c r="BN288" s="13"/>
      <x:c r="BO288" s="13"/>
      <x:c r="BP288" s="13"/>
      <x:c r="BQ288" s="13"/>
      <x:c r="BR288" s="13"/>
      <x:c r="BS288" s="13"/>
      <x:c r="BT288" s="13"/>
      <x:c r="BU288" s="13"/>
      <x:c r="BV288" s="13"/>
      <x:c r="BW288" s="13"/>
      <x:c r="BX288" s="13"/>
      <x:c r="BY288" s="13"/>
      <x:c r="BZ288" s="13"/>
      <x:c r="CA288" s="13"/>
      <x:c r="CB288" s="13"/>
      <x:c r="CC288" s="13"/>
      <x:c r="CD288" s="13"/>
      <x:c r="CE288" s="13"/>
      <x:c r="CF288" s="13"/>
      <x:c r="CG288" s="13"/>
    </x:row>
    <x:row r="289" ht="14.25" customHeight="1">
      <x:c r="AA289" s="3"/>
      <x:c r="AB289" s="3"/>
      <x:c r="AF289" s="3"/>
      <x:c r="AG289" s="3"/>
      <x:c r="AH289" s="3"/>
      <x:c r="AI289" s="3"/>
      <x:c r="AJ289" s="3"/>
      <x:c r="AK289" s="3"/>
      <x:c r="AL289" s="3"/>
      <x:c r="AM289" s="3"/>
      <x:c r="AT289" s="3"/>
      <x:c r="AU289" s="3"/>
      <x:c r="AV289" s="3"/>
      <x:c r="AW289" s="3"/>
      <x:c r="AX289" s="3"/>
      <x:c r="AY289" s="3"/>
      <x:c r="AZ289" s="3"/>
      <x:c r="BA289" s="3"/>
      <x:c r="BC289" s="3"/>
      <x:c r="BD289" s="3"/>
      <x:c r="BE289" s="3"/>
      <x:c r="BF289" s="3"/>
      <x:c r="BG289" s="3"/>
      <x:c r="BH289" s="13"/>
      <x:c r="BI289" s="13"/>
      <x:c r="BJ289" s="13"/>
      <x:c r="BK289" s="13"/>
      <x:c r="BL289" s="13"/>
      <x:c r="BM289" s="13"/>
      <x:c r="BN289" s="13"/>
      <x:c r="BO289" s="13"/>
      <x:c r="BP289" s="13"/>
      <x:c r="BQ289" s="13"/>
      <x:c r="BR289" s="13"/>
      <x:c r="BS289" s="13"/>
      <x:c r="BT289" s="13"/>
      <x:c r="BU289" s="13"/>
      <x:c r="BV289" s="13"/>
      <x:c r="BW289" s="13"/>
      <x:c r="BX289" s="13"/>
      <x:c r="BY289" s="13"/>
      <x:c r="BZ289" s="13"/>
      <x:c r="CA289" s="13"/>
      <x:c r="CB289" s="13"/>
      <x:c r="CC289" s="13"/>
      <x:c r="CD289" s="13"/>
      <x:c r="CE289" s="13"/>
      <x:c r="CF289" s="13"/>
      <x:c r="CG289" s="13"/>
    </x:row>
    <x:row r="290" ht="14.25" customHeight="1">
      <x:c r="AA290" s="3"/>
      <x:c r="AB290" s="3"/>
      <x:c r="AF290" s="3"/>
      <x:c r="AG290" s="3"/>
      <x:c r="AH290" s="3"/>
      <x:c r="AI290" s="3"/>
      <x:c r="AJ290" s="3"/>
      <x:c r="AK290" s="3"/>
      <x:c r="AL290" s="3"/>
      <x:c r="AM290" s="3"/>
      <x:c r="AT290" s="3"/>
      <x:c r="AU290" s="3"/>
      <x:c r="AV290" s="3"/>
      <x:c r="AW290" s="3"/>
      <x:c r="AX290" s="3"/>
      <x:c r="AY290" s="3"/>
      <x:c r="AZ290" s="3"/>
      <x:c r="BA290" s="3"/>
      <x:c r="BC290" s="3"/>
      <x:c r="BD290" s="3"/>
      <x:c r="BE290" s="3"/>
      <x:c r="BF290" s="3"/>
      <x:c r="BG290" s="3"/>
      <x:c r="BH290" s="13"/>
      <x:c r="BI290" s="13"/>
      <x:c r="BJ290" s="13"/>
      <x:c r="BK290" s="13"/>
      <x:c r="BL290" s="13"/>
      <x:c r="BM290" s="13"/>
      <x:c r="BN290" s="13"/>
      <x:c r="BO290" s="13"/>
      <x:c r="BP290" s="13"/>
      <x:c r="BQ290" s="13"/>
      <x:c r="BR290" s="13"/>
      <x:c r="BS290" s="13"/>
      <x:c r="BT290" s="13"/>
      <x:c r="BU290" s="13"/>
      <x:c r="BV290" s="13"/>
      <x:c r="BW290" s="13"/>
      <x:c r="BX290" s="13"/>
      <x:c r="BY290" s="13"/>
      <x:c r="BZ290" s="13"/>
      <x:c r="CA290" s="13"/>
      <x:c r="CB290" s="13"/>
      <x:c r="CC290" s="13"/>
      <x:c r="CD290" s="13"/>
      <x:c r="CE290" s="13"/>
      <x:c r="CF290" s="13"/>
      <x:c r="CG290" s="13"/>
    </x:row>
    <x:row r="291" ht="14.25" customHeight="1">
      <x:c r="AA291" s="3"/>
      <x:c r="AB291" s="3"/>
      <x:c r="AF291" s="3"/>
      <x:c r="AG291" s="3"/>
      <x:c r="AH291" s="3"/>
      <x:c r="AI291" s="3"/>
      <x:c r="AJ291" s="3"/>
      <x:c r="AK291" s="3"/>
      <x:c r="AL291" s="3"/>
      <x:c r="AM291" s="3"/>
      <x:c r="AT291" s="3"/>
      <x:c r="AU291" s="3"/>
      <x:c r="AV291" s="3"/>
      <x:c r="AW291" s="3"/>
      <x:c r="AX291" s="3"/>
      <x:c r="AY291" s="3"/>
      <x:c r="AZ291" s="3"/>
      <x:c r="BA291" s="3"/>
      <x:c r="BC291" s="3"/>
      <x:c r="BD291" s="3"/>
      <x:c r="BE291" s="3"/>
      <x:c r="BF291" s="3"/>
      <x:c r="BG291" s="3"/>
      <x:c r="BH291" s="13"/>
      <x:c r="BI291" s="13"/>
      <x:c r="BJ291" s="13"/>
      <x:c r="BK291" s="13"/>
      <x:c r="BL291" s="13"/>
      <x:c r="BM291" s="13"/>
      <x:c r="BN291" s="13"/>
      <x:c r="BO291" s="13"/>
      <x:c r="BP291" s="13"/>
      <x:c r="BQ291" s="13"/>
      <x:c r="BR291" s="13"/>
      <x:c r="BS291" s="13"/>
      <x:c r="BT291" s="13"/>
      <x:c r="BU291" s="13"/>
      <x:c r="BV291" s="13"/>
      <x:c r="BW291" s="13"/>
      <x:c r="BX291" s="13"/>
      <x:c r="BY291" s="13"/>
      <x:c r="BZ291" s="13"/>
      <x:c r="CA291" s="13"/>
      <x:c r="CB291" s="13"/>
      <x:c r="CC291" s="13"/>
      <x:c r="CD291" s="13"/>
      <x:c r="CE291" s="13"/>
      <x:c r="CF291" s="13"/>
      <x:c r="CG291" s="13"/>
    </x:row>
    <x:row r="292" ht="14.25" customHeight="1">
      <x:c r="AA292" s="3"/>
      <x:c r="AB292" s="3"/>
      <x:c r="AF292" s="3"/>
      <x:c r="AG292" s="3"/>
      <x:c r="AH292" s="3"/>
      <x:c r="AI292" s="3"/>
      <x:c r="AJ292" s="3"/>
      <x:c r="AK292" s="3"/>
      <x:c r="AL292" s="3"/>
      <x:c r="AM292" s="3"/>
      <x:c r="AT292" s="3"/>
      <x:c r="AU292" s="3"/>
      <x:c r="AV292" s="3"/>
      <x:c r="AW292" s="3"/>
      <x:c r="AX292" s="3"/>
      <x:c r="AY292" s="3"/>
      <x:c r="AZ292" s="3"/>
      <x:c r="BA292" s="3"/>
      <x:c r="BC292" s="3"/>
      <x:c r="BD292" s="3"/>
      <x:c r="BE292" s="3"/>
      <x:c r="BF292" s="3"/>
      <x:c r="BG292" s="3"/>
      <x:c r="BH292" s="13"/>
      <x:c r="BI292" s="13"/>
      <x:c r="BJ292" s="13"/>
      <x:c r="BK292" s="13"/>
      <x:c r="BL292" s="13"/>
      <x:c r="BM292" s="13"/>
      <x:c r="BN292" s="13"/>
      <x:c r="BO292" s="13"/>
      <x:c r="BP292" s="13"/>
      <x:c r="BQ292" s="13"/>
      <x:c r="BR292" s="13"/>
      <x:c r="BS292" s="13"/>
      <x:c r="BT292" s="13"/>
      <x:c r="BU292" s="13"/>
      <x:c r="BV292" s="13"/>
      <x:c r="BW292" s="13"/>
      <x:c r="BX292" s="13"/>
      <x:c r="BY292" s="13"/>
      <x:c r="BZ292" s="13"/>
      <x:c r="CA292" s="13"/>
      <x:c r="CB292" s="13"/>
      <x:c r="CC292" s="13"/>
      <x:c r="CD292" s="13"/>
      <x:c r="CE292" s="13"/>
      <x:c r="CF292" s="13"/>
      <x:c r="CG292" s="13"/>
    </x:row>
    <x:row r="293" ht="14.25" customHeight="1">
      <x:c r="AA293" s="3"/>
      <x:c r="AB293" s="3"/>
      <x:c r="AF293" s="3"/>
      <x:c r="AG293" s="3"/>
      <x:c r="AH293" s="3"/>
      <x:c r="AI293" s="3"/>
      <x:c r="AJ293" s="3"/>
      <x:c r="AK293" s="3"/>
      <x:c r="AL293" s="3"/>
      <x:c r="AM293" s="3"/>
      <x:c r="AT293" s="3"/>
      <x:c r="AU293" s="3"/>
      <x:c r="AV293" s="3"/>
      <x:c r="AW293" s="3"/>
      <x:c r="AX293" s="3"/>
      <x:c r="AY293" s="3"/>
      <x:c r="AZ293" s="3"/>
      <x:c r="BA293" s="3"/>
      <x:c r="BC293" s="3"/>
      <x:c r="BD293" s="3"/>
      <x:c r="BE293" s="3"/>
      <x:c r="BF293" s="3"/>
      <x:c r="BG293" s="3"/>
      <x:c r="BH293" s="13"/>
      <x:c r="BI293" s="13"/>
      <x:c r="BJ293" s="13"/>
      <x:c r="BK293" s="13"/>
      <x:c r="BL293" s="13"/>
      <x:c r="BM293" s="13"/>
      <x:c r="BN293" s="13"/>
      <x:c r="BO293" s="13"/>
      <x:c r="BP293" s="13"/>
      <x:c r="BQ293" s="13"/>
      <x:c r="BR293" s="13"/>
      <x:c r="BS293" s="13"/>
      <x:c r="BT293" s="13"/>
      <x:c r="BU293" s="13"/>
      <x:c r="BV293" s="13"/>
      <x:c r="BW293" s="13"/>
      <x:c r="BX293" s="13"/>
      <x:c r="BY293" s="13"/>
      <x:c r="BZ293" s="13"/>
      <x:c r="CA293" s="13"/>
      <x:c r="CB293" s="13"/>
      <x:c r="CC293" s="13"/>
      <x:c r="CD293" s="13"/>
      <x:c r="CE293" s="13"/>
      <x:c r="CF293" s="13"/>
      <x:c r="CG293" s="13"/>
    </x:row>
    <x:row r="294" ht="14.25" customHeight="1">
      <x:c r="AA294" s="3"/>
      <x:c r="AB294" s="3"/>
      <x:c r="AF294" s="3"/>
      <x:c r="AG294" s="3"/>
      <x:c r="AH294" s="3"/>
      <x:c r="AI294" s="3"/>
      <x:c r="AJ294" s="3"/>
      <x:c r="AK294" s="3"/>
      <x:c r="AL294" s="3"/>
      <x:c r="AM294" s="3"/>
      <x:c r="AT294" s="3"/>
      <x:c r="AU294" s="3"/>
      <x:c r="AV294" s="3"/>
      <x:c r="AW294" s="3"/>
      <x:c r="AX294" s="3"/>
      <x:c r="AY294" s="3"/>
      <x:c r="AZ294" s="3"/>
      <x:c r="BA294" s="3"/>
      <x:c r="BC294" s="3"/>
      <x:c r="BD294" s="3"/>
      <x:c r="BE294" s="3"/>
      <x:c r="BF294" s="3"/>
      <x:c r="BG294" s="3"/>
      <x:c r="BH294" s="13"/>
      <x:c r="BI294" s="13"/>
      <x:c r="BJ294" s="13"/>
      <x:c r="BK294" s="13"/>
      <x:c r="BL294" s="13"/>
      <x:c r="BM294" s="13"/>
      <x:c r="BN294" s="13"/>
      <x:c r="BO294" s="13"/>
      <x:c r="BP294" s="13"/>
      <x:c r="BQ294" s="13"/>
      <x:c r="BR294" s="13"/>
      <x:c r="BS294" s="13"/>
      <x:c r="BT294" s="13"/>
      <x:c r="BU294" s="13"/>
      <x:c r="BV294" s="13"/>
      <x:c r="BW294" s="13"/>
      <x:c r="BX294" s="13"/>
      <x:c r="BY294" s="13"/>
      <x:c r="BZ294" s="13"/>
      <x:c r="CA294" s="13"/>
      <x:c r="CB294" s="13"/>
      <x:c r="CC294" s="13"/>
      <x:c r="CD294" s="13"/>
      <x:c r="CE294" s="13"/>
      <x:c r="CF294" s="13"/>
      <x:c r="CG294" s="13"/>
    </x:row>
    <x:row r="295" ht="14.25" customHeight="1">
      <x:c r="AA295" s="3"/>
      <x:c r="AB295" s="3"/>
      <x:c r="AF295" s="3"/>
      <x:c r="AG295" s="3"/>
      <x:c r="AH295" s="3"/>
      <x:c r="AI295" s="3"/>
      <x:c r="AJ295" s="3"/>
      <x:c r="AK295" s="3"/>
      <x:c r="AL295" s="3"/>
      <x:c r="AM295" s="3"/>
      <x:c r="AT295" s="3"/>
      <x:c r="AU295" s="3"/>
      <x:c r="AV295" s="3"/>
      <x:c r="AW295" s="3"/>
      <x:c r="AX295" s="3"/>
      <x:c r="AY295" s="3"/>
      <x:c r="AZ295" s="3"/>
      <x:c r="BA295" s="3"/>
      <x:c r="BC295" s="3"/>
      <x:c r="BD295" s="3"/>
      <x:c r="BE295" s="3"/>
      <x:c r="BF295" s="3"/>
      <x:c r="BG295" s="3"/>
      <x:c r="BH295" s="13"/>
      <x:c r="BI295" s="13"/>
      <x:c r="BJ295" s="13"/>
      <x:c r="BK295" s="13"/>
      <x:c r="BL295" s="13"/>
      <x:c r="BM295" s="13"/>
      <x:c r="BN295" s="13"/>
      <x:c r="BO295" s="13"/>
      <x:c r="BP295" s="13"/>
      <x:c r="BQ295" s="13"/>
      <x:c r="BR295" s="13"/>
      <x:c r="BS295" s="13"/>
      <x:c r="BT295" s="13"/>
      <x:c r="BU295" s="13"/>
      <x:c r="BV295" s="13"/>
      <x:c r="BW295" s="13"/>
      <x:c r="BX295" s="13"/>
      <x:c r="BY295" s="13"/>
      <x:c r="BZ295" s="13"/>
      <x:c r="CA295" s="13"/>
      <x:c r="CB295" s="13"/>
      <x:c r="CC295" s="13"/>
      <x:c r="CD295" s="13"/>
      <x:c r="CE295" s="13"/>
      <x:c r="CF295" s="13"/>
      <x:c r="CG295" s="13"/>
    </x:row>
    <x:row r="296" ht="14.25" customHeight="1">
      <x:c r="AA296" s="3"/>
      <x:c r="AB296" s="3"/>
      <x:c r="AF296" s="3"/>
      <x:c r="AG296" s="3"/>
      <x:c r="AH296" s="3"/>
      <x:c r="AI296" s="3"/>
      <x:c r="AJ296" s="3"/>
      <x:c r="AK296" s="3"/>
      <x:c r="AL296" s="3"/>
      <x:c r="AM296" s="3"/>
      <x:c r="AT296" s="3"/>
      <x:c r="AU296" s="3"/>
      <x:c r="AV296" s="3"/>
      <x:c r="AW296" s="3"/>
      <x:c r="AX296" s="3"/>
      <x:c r="AY296" s="3"/>
      <x:c r="AZ296" s="3"/>
      <x:c r="BA296" s="3"/>
      <x:c r="BC296" s="3"/>
      <x:c r="BD296" s="3"/>
      <x:c r="BE296" s="3"/>
      <x:c r="BF296" s="3"/>
      <x:c r="BG296" s="3"/>
      <x:c r="BH296" s="13"/>
      <x:c r="BI296" s="13"/>
      <x:c r="BJ296" s="13"/>
      <x:c r="BK296" s="13"/>
      <x:c r="BL296" s="13"/>
      <x:c r="BM296" s="13"/>
      <x:c r="BN296" s="13"/>
      <x:c r="BO296" s="13"/>
      <x:c r="BP296" s="13"/>
      <x:c r="BQ296" s="13"/>
      <x:c r="BR296" s="13"/>
      <x:c r="BS296" s="13"/>
      <x:c r="BT296" s="13"/>
      <x:c r="BU296" s="13"/>
      <x:c r="BV296" s="13"/>
      <x:c r="BW296" s="13"/>
      <x:c r="BX296" s="13"/>
      <x:c r="BY296" s="13"/>
      <x:c r="BZ296" s="13"/>
      <x:c r="CA296" s="13"/>
      <x:c r="CB296" s="13"/>
      <x:c r="CC296" s="13"/>
      <x:c r="CD296" s="13"/>
      <x:c r="CE296" s="13"/>
      <x:c r="CF296" s="13"/>
      <x:c r="CG296" s="13"/>
    </x:row>
    <x:row r="297" ht="14.25" customHeight="1">
      <x:c r="AA297" s="3"/>
      <x:c r="AB297" s="3"/>
      <x:c r="AF297" s="3"/>
      <x:c r="AG297" s="3"/>
      <x:c r="AH297" s="3"/>
      <x:c r="AI297" s="3"/>
      <x:c r="AJ297" s="3"/>
      <x:c r="AK297" s="3"/>
      <x:c r="AL297" s="3"/>
      <x:c r="AM297" s="3"/>
      <x:c r="AT297" s="3"/>
      <x:c r="AU297" s="3"/>
      <x:c r="AV297" s="3"/>
      <x:c r="AW297" s="3"/>
      <x:c r="AX297" s="3"/>
      <x:c r="AY297" s="3"/>
      <x:c r="AZ297" s="3"/>
      <x:c r="BA297" s="3"/>
      <x:c r="BC297" s="3"/>
      <x:c r="BD297" s="3"/>
      <x:c r="BE297" s="3"/>
      <x:c r="BF297" s="3"/>
      <x:c r="BG297" s="3"/>
      <x:c r="BH297" s="13"/>
      <x:c r="BI297" s="13"/>
      <x:c r="BJ297" s="13"/>
      <x:c r="BK297" s="13"/>
      <x:c r="BL297" s="13"/>
      <x:c r="BM297" s="13"/>
      <x:c r="BN297" s="13"/>
      <x:c r="BO297" s="13"/>
      <x:c r="BP297" s="13"/>
      <x:c r="BQ297" s="13"/>
      <x:c r="BR297" s="13"/>
      <x:c r="BS297" s="13"/>
      <x:c r="BT297" s="13"/>
      <x:c r="BU297" s="13"/>
      <x:c r="BV297" s="13"/>
      <x:c r="BW297" s="13"/>
      <x:c r="BX297" s="13"/>
      <x:c r="BY297" s="13"/>
      <x:c r="BZ297" s="13"/>
      <x:c r="CA297" s="13"/>
      <x:c r="CB297" s="13"/>
      <x:c r="CC297" s="13"/>
      <x:c r="CD297" s="13"/>
      <x:c r="CE297" s="13"/>
      <x:c r="CF297" s="13"/>
      <x:c r="CG297" s="13"/>
    </x:row>
    <x:row r="298" ht="14.25" customHeight="1">
      <x:c r="AA298" s="3"/>
      <x:c r="AB298" s="3"/>
      <x:c r="AF298" s="3"/>
      <x:c r="AG298" s="3"/>
      <x:c r="AH298" s="3"/>
      <x:c r="AI298" s="3"/>
      <x:c r="AJ298" s="3"/>
      <x:c r="AK298" s="3"/>
      <x:c r="AL298" s="3"/>
      <x:c r="AM298" s="3"/>
      <x:c r="AT298" s="3"/>
      <x:c r="AU298" s="3"/>
      <x:c r="AV298" s="3"/>
      <x:c r="AW298" s="3"/>
      <x:c r="AX298" s="3"/>
      <x:c r="AY298" s="3"/>
      <x:c r="AZ298" s="3"/>
      <x:c r="BA298" s="3"/>
      <x:c r="BC298" s="3"/>
      <x:c r="BD298" s="3"/>
      <x:c r="BE298" s="3"/>
      <x:c r="BF298" s="3"/>
      <x:c r="BG298" s="3"/>
      <x:c r="BH298" s="13"/>
      <x:c r="BI298" s="13"/>
      <x:c r="BJ298" s="13"/>
      <x:c r="BK298" s="13"/>
      <x:c r="BL298" s="13"/>
      <x:c r="BM298" s="13"/>
      <x:c r="BN298" s="13"/>
      <x:c r="BO298" s="13"/>
      <x:c r="BP298" s="13"/>
      <x:c r="BQ298" s="13"/>
      <x:c r="BR298" s="13"/>
      <x:c r="BS298" s="13"/>
      <x:c r="BT298" s="13"/>
      <x:c r="BU298" s="13"/>
      <x:c r="BV298" s="13"/>
      <x:c r="BW298" s="13"/>
      <x:c r="BX298" s="13"/>
      <x:c r="BY298" s="13"/>
      <x:c r="BZ298" s="13"/>
      <x:c r="CA298" s="13"/>
      <x:c r="CB298" s="13"/>
      <x:c r="CC298" s="13"/>
      <x:c r="CD298" s="13"/>
      <x:c r="CE298" s="13"/>
      <x:c r="CF298" s="13"/>
      <x:c r="CG298" s="13"/>
    </x:row>
    <x:row r="299" ht="14.25" customHeight="1">
      <x:c r="AA299" s="3"/>
      <x:c r="AB299" s="3"/>
      <x:c r="AF299" s="3"/>
      <x:c r="AG299" s="3"/>
      <x:c r="AH299" s="3"/>
      <x:c r="AI299" s="3"/>
      <x:c r="AJ299" s="3"/>
      <x:c r="AK299" s="3"/>
      <x:c r="AL299" s="3"/>
      <x:c r="AM299" s="3"/>
      <x:c r="AT299" s="3"/>
      <x:c r="AU299" s="3"/>
      <x:c r="AV299" s="3"/>
      <x:c r="AW299" s="3"/>
      <x:c r="AX299" s="3"/>
      <x:c r="AY299" s="3"/>
      <x:c r="AZ299" s="3"/>
      <x:c r="BA299" s="3"/>
      <x:c r="BC299" s="3"/>
      <x:c r="BD299" s="3"/>
      <x:c r="BE299" s="3"/>
      <x:c r="BF299" s="3"/>
      <x:c r="BG299" s="3"/>
      <x:c r="BH299" s="13"/>
      <x:c r="BI299" s="13"/>
      <x:c r="BJ299" s="13"/>
      <x:c r="BK299" s="13"/>
      <x:c r="BL299" s="13"/>
      <x:c r="BM299" s="13"/>
      <x:c r="BN299" s="13"/>
      <x:c r="BO299" s="13"/>
      <x:c r="BP299" s="13"/>
      <x:c r="BQ299" s="13"/>
      <x:c r="BR299" s="13"/>
      <x:c r="BS299" s="13"/>
      <x:c r="BT299" s="13"/>
      <x:c r="BU299" s="13"/>
      <x:c r="BV299" s="13"/>
      <x:c r="BW299" s="13"/>
      <x:c r="BX299" s="13"/>
      <x:c r="BY299" s="13"/>
      <x:c r="BZ299" s="13"/>
      <x:c r="CA299" s="13"/>
      <x:c r="CB299" s="13"/>
      <x:c r="CC299" s="13"/>
      <x:c r="CD299" s="13"/>
      <x:c r="CE299" s="13"/>
      <x:c r="CF299" s="13"/>
      <x:c r="CG299" s="13"/>
    </x:row>
    <x:row r="300" ht="14.25" customHeight="1">
      <x:c r="AA300" s="3"/>
      <x:c r="AB300" s="3"/>
      <x:c r="AF300" s="3"/>
      <x:c r="AG300" s="3"/>
      <x:c r="AH300" s="3"/>
      <x:c r="AI300" s="3"/>
      <x:c r="AJ300" s="3"/>
      <x:c r="AK300" s="3"/>
      <x:c r="AL300" s="3"/>
      <x:c r="AM300" s="3"/>
      <x:c r="AT300" s="3"/>
      <x:c r="AU300" s="3"/>
      <x:c r="AV300" s="3"/>
      <x:c r="AW300" s="3"/>
      <x:c r="AX300" s="3"/>
      <x:c r="AY300" s="3"/>
      <x:c r="AZ300" s="3"/>
      <x:c r="BA300" s="3"/>
      <x:c r="BC300" s="3"/>
      <x:c r="BD300" s="3"/>
      <x:c r="BE300" s="3"/>
      <x:c r="BF300" s="3"/>
      <x:c r="BG300" s="3"/>
      <x:c r="BH300" s="13"/>
      <x:c r="BI300" s="13"/>
      <x:c r="BJ300" s="13"/>
      <x:c r="BK300" s="13"/>
      <x:c r="BL300" s="13"/>
      <x:c r="BM300" s="13"/>
      <x:c r="BN300" s="13"/>
      <x:c r="BO300" s="13"/>
      <x:c r="BP300" s="13"/>
      <x:c r="BQ300" s="13"/>
      <x:c r="BR300" s="13"/>
      <x:c r="BS300" s="13"/>
      <x:c r="BT300" s="13"/>
      <x:c r="BU300" s="13"/>
      <x:c r="BV300" s="13"/>
      <x:c r="BW300" s="13"/>
      <x:c r="BX300" s="13"/>
      <x:c r="BY300" s="13"/>
      <x:c r="BZ300" s="13"/>
      <x:c r="CA300" s="13"/>
      <x:c r="CB300" s="13"/>
      <x:c r="CC300" s="13"/>
      <x:c r="CD300" s="13"/>
      <x:c r="CE300" s="13"/>
      <x:c r="CF300" s="13"/>
      <x:c r="CG300" s="13"/>
    </x:row>
    <x:row r="301" ht="14.25" customHeight="1">
      <x:c r="AA301" s="3"/>
      <x:c r="AB301" s="3"/>
      <x:c r="AF301" s="3"/>
      <x:c r="AG301" s="3"/>
      <x:c r="AH301" s="3"/>
      <x:c r="AI301" s="3"/>
      <x:c r="AJ301" s="3"/>
      <x:c r="AK301" s="3"/>
      <x:c r="AL301" s="3"/>
      <x:c r="AM301" s="3"/>
      <x:c r="AT301" s="3"/>
      <x:c r="AU301" s="3"/>
      <x:c r="AV301" s="3"/>
      <x:c r="AW301" s="3"/>
      <x:c r="AX301" s="3"/>
      <x:c r="AY301" s="3"/>
      <x:c r="AZ301" s="3"/>
      <x:c r="BA301" s="3"/>
      <x:c r="BC301" s="3"/>
      <x:c r="BD301" s="3"/>
      <x:c r="BE301" s="3"/>
      <x:c r="BF301" s="3"/>
      <x:c r="BG301" s="3"/>
      <x:c r="BH301" s="13"/>
      <x:c r="BI301" s="13"/>
      <x:c r="BJ301" s="13"/>
      <x:c r="BK301" s="13"/>
      <x:c r="BL301" s="13"/>
      <x:c r="BM301" s="13"/>
      <x:c r="BN301" s="13"/>
      <x:c r="BO301" s="13"/>
      <x:c r="BP301" s="13"/>
      <x:c r="BQ301" s="13"/>
      <x:c r="BR301" s="13"/>
      <x:c r="BS301" s="13"/>
      <x:c r="BT301" s="13"/>
      <x:c r="BU301" s="13"/>
      <x:c r="BV301" s="13"/>
      <x:c r="BW301" s="13"/>
      <x:c r="BX301" s="13"/>
      <x:c r="BY301" s="13"/>
      <x:c r="BZ301" s="13"/>
      <x:c r="CA301" s="13"/>
      <x:c r="CB301" s="13"/>
      <x:c r="CC301" s="13"/>
      <x:c r="CD301" s="13"/>
      <x:c r="CE301" s="13"/>
      <x:c r="CF301" s="13"/>
      <x:c r="CG301" s="13"/>
    </x:row>
    <x:row r="302" ht="14.25" customHeight="1">
      <x:c r="AA302" s="3"/>
      <x:c r="AB302" s="3"/>
      <x:c r="AF302" s="3"/>
      <x:c r="AG302" s="3"/>
      <x:c r="AH302" s="3"/>
      <x:c r="AI302" s="3"/>
      <x:c r="AJ302" s="3"/>
      <x:c r="AK302" s="3"/>
      <x:c r="AL302" s="3"/>
      <x:c r="AM302" s="3"/>
      <x:c r="AT302" s="3"/>
      <x:c r="AU302" s="3"/>
      <x:c r="AV302" s="3"/>
      <x:c r="AW302" s="3"/>
      <x:c r="AX302" s="3"/>
      <x:c r="AY302" s="3"/>
      <x:c r="AZ302" s="3"/>
      <x:c r="BA302" s="3"/>
      <x:c r="BC302" s="3"/>
      <x:c r="BD302" s="3"/>
      <x:c r="BE302" s="3"/>
      <x:c r="BF302" s="3"/>
      <x:c r="BG302" s="3"/>
      <x:c r="BH302" s="13"/>
      <x:c r="BI302" s="13"/>
      <x:c r="BJ302" s="13"/>
      <x:c r="BK302" s="13"/>
      <x:c r="BL302" s="13"/>
      <x:c r="BM302" s="13"/>
      <x:c r="BN302" s="13"/>
      <x:c r="BO302" s="13"/>
      <x:c r="BP302" s="13"/>
      <x:c r="BQ302" s="13"/>
      <x:c r="BR302" s="13"/>
      <x:c r="BS302" s="13"/>
      <x:c r="BT302" s="13"/>
      <x:c r="BU302" s="13"/>
      <x:c r="BV302" s="13"/>
      <x:c r="BW302" s="13"/>
      <x:c r="BX302" s="13"/>
      <x:c r="BY302" s="13"/>
      <x:c r="BZ302" s="13"/>
      <x:c r="CA302" s="13"/>
      <x:c r="CB302" s="13"/>
      <x:c r="CC302" s="13"/>
      <x:c r="CD302" s="13"/>
      <x:c r="CE302" s="13"/>
      <x:c r="CF302" s="13"/>
      <x:c r="CG302" s="13"/>
    </x:row>
    <x:row r="303" ht="14.25" customHeight="1">
      <x:c r="AA303" s="3"/>
      <x:c r="AF303" s="3"/>
      <x:c r="AG303" s="3"/>
      <x:c r="AH303" s="3"/>
      <x:c r="AI303" s="3"/>
      <x:c r="AJ303" s="3"/>
      <x:c r="AK303" s="3"/>
      <x:c r="AL303" s="3"/>
      <x:c r="AM303" s="3"/>
      <x:c r="AT303" s="3"/>
      <x:c r="AU303" s="3"/>
      <x:c r="AV303" s="3"/>
      <x:c r="AW303" s="3"/>
      <x:c r="AX303" s="3"/>
      <x:c r="AY303" s="3"/>
      <x:c r="AZ303" s="3"/>
      <x:c r="BA303" s="3"/>
      <x:c r="BC303" s="3"/>
      <x:c r="BD303" s="3"/>
      <x:c r="BE303" s="3"/>
      <x:c r="BF303" s="3"/>
      <x:c r="BG303" s="3"/>
      <x:c r="BH303" s="13"/>
      <x:c r="BI303" s="13"/>
      <x:c r="BJ303" s="13"/>
      <x:c r="BK303" s="13"/>
      <x:c r="BL303" s="13"/>
      <x:c r="BM303" s="13"/>
      <x:c r="BN303" s="13"/>
      <x:c r="BO303" s="13"/>
      <x:c r="BP303" s="13"/>
      <x:c r="BQ303" s="13"/>
      <x:c r="BR303" s="13"/>
      <x:c r="BS303" s="13"/>
      <x:c r="BT303" s="13"/>
      <x:c r="BU303" s="13"/>
      <x:c r="BV303" s="13"/>
      <x:c r="BW303" s="13"/>
      <x:c r="BX303" s="13"/>
      <x:c r="BY303" s="13"/>
      <x:c r="BZ303" s="13"/>
      <x:c r="CA303" s="13"/>
      <x:c r="CB303" s="13"/>
      <x:c r="CC303" s="13"/>
      <x:c r="CD303" s="13"/>
      <x:c r="CE303" s="13"/>
      <x:c r="CF303" s="13"/>
      <x:c r="CG303" s="13"/>
    </x:row>
    <x:row r="304" ht="14.25" customHeight="1">
      <x:c r="AA304" s="3"/>
      <x:c r="AF304" s="3"/>
      <x:c r="AG304" s="3"/>
      <x:c r="AH304" s="3"/>
      <x:c r="AI304" s="3"/>
      <x:c r="AJ304" s="3"/>
      <x:c r="AK304" s="3"/>
      <x:c r="AL304" s="3"/>
      <x:c r="AM304" s="3"/>
      <x:c r="AT304" s="3"/>
      <x:c r="AU304" s="3"/>
      <x:c r="AV304" s="3"/>
      <x:c r="AW304" s="3"/>
      <x:c r="AX304" s="3"/>
      <x:c r="AY304" s="3"/>
      <x:c r="AZ304" s="3"/>
      <x:c r="BA304" s="3"/>
      <x:c r="BC304" s="3"/>
      <x:c r="BD304" s="3"/>
      <x:c r="BE304" s="3"/>
      <x:c r="BF304" s="3"/>
      <x:c r="BG304" s="3"/>
      <x:c r="BH304" s="13"/>
      <x:c r="BI304" s="13"/>
      <x:c r="BJ304" s="13"/>
      <x:c r="BK304" s="13"/>
      <x:c r="BL304" s="13"/>
      <x:c r="BM304" s="13"/>
      <x:c r="BN304" s="13"/>
      <x:c r="BO304" s="13"/>
      <x:c r="BP304" s="13"/>
      <x:c r="BQ304" s="13"/>
      <x:c r="BR304" s="13"/>
      <x:c r="BS304" s="13"/>
      <x:c r="BT304" s="13"/>
      <x:c r="BU304" s="13"/>
      <x:c r="BV304" s="13"/>
      <x:c r="BW304" s="13"/>
      <x:c r="BX304" s="13"/>
      <x:c r="BY304" s="13"/>
      <x:c r="BZ304" s="13"/>
      <x:c r="CA304" s="13"/>
      <x:c r="CB304" s="13"/>
      <x:c r="CC304" s="13"/>
      <x:c r="CD304" s="13"/>
      <x:c r="CE304" s="13"/>
      <x:c r="CF304" s="13"/>
      <x:c r="CG304" s="13"/>
    </x:row>
    <x:row r="305" ht="14.25" customHeight="1">
      <x:c r="AA305" s="3"/>
      <x:c r="AF305" s="3"/>
      <x:c r="AG305" s="3"/>
      <x:c r="AH305" s="3"/>
      <x:c r="AI305" s="3"/>
      <x:c r="AJ305" s="3"/>
      <x:c r="AK305" s="3"/>
      <x:c r="AL305" s="3"/>
      <x:c r="AM305" s="3"/>
      <x:c r="AT305" s="3"/>
      <x:c r="AU305" s="3"/>
      <x:c r="AV305" s="3"/>
      <x:c r="AW305" s="3"/>
      <x:c r="AX305" s="3"/>
      <x:c r="AY305" s="3"/>
      <x:c r="AZ305" s="3"/>
      <x:c r="BA305" s="3"/>
      <x:c r="BC305" s="3"/>
      <x:c r="BD305" s="3"/>
      <x:c r="BE305" s="3"/>
      <x:c r="BF305" s="3"/>
      <x:c r="BG305" s="3"/>
      <x:c r="BH305" s="13"/>
      <x:c r="BI305" s="13"/>
      <x:c r="BJ305" s="13"/>
      <x:c r="BK305" s="13"/>
      <x:c r="BL305" s="13"/>
      <x:c r="BM305" s="13"/>
      <x:c r="BN305" s="13"/>
      <x:c r="BO305" s="13"/>
      <x:c r="BP305" s="13"/>
      <x:c r="BQ305" s="13"/>
      <x:c r="BR305" s="13"/>
      <x:c r="BS305" s="13"/>
      <x:c r="BT305" s="13"/>
      <x:c r="BU305" s="13"/>
      <x:c r="BV305" s="13"/>
      <x:c r="BW305" s="13"/>
      <x:c r="BX305" s="13"/>
      <x:c r="BY305" s="13"/>
      <x:c r="BZ305" s="13"/>
      <x:c r="CA305" s="13"/>
      <x:c r="CB305" s="13"/>
      <x:c r="CC305" s="13"/>
      <x:c r="CD305" s="13"/>
      <x:c r="CE305" s="13"/>
      <x:c r="CF305" s="13"/>
      <x:c r="CG305" s="13"/>
    </x:row>
    <x:row r="306" ht="14.25" customHeight="1">
      <x:c r="AA306" s="3"/>
      <x:c r="AF306" s="3"/>
      <x:c r="AG306" s="3"/>
      <x:c r="AH306" s="3"/>
      <x:c r="AI306" s="3"/>
      <x:c r="AJ306" s="3"/>
      <x:c r="AK306" s="3"/>
      <x:c r="AL306" s="3"/>
      <x:c r="AM306" s="3"/>
      <x:c r="AT306" s="3"/>
      <x:c r="AU306" s="3"/>
      <x:c r="AV306" s="3"/>
      <x:c r="AW306" s="3"/>
      <x:c r="AX306" s="3"/>
      <x:c r="AY306" s="3"/>
      <x:c r="AZ306" s="3"/>
      <x:c r="BA306" s="3"/>
      <x:c r="BC306" s="3"/>
      <x:c r="BD306" s="3"/>
      <x:c r="BE306" s="3"/>
      <x:c r="BF306" s="3"/>
      <x:c r="BG306" s="3"/>
      <x:c r="BH306" s="13"/>
      <x:c r="BI306" s="13"/>
      <x:c r="BJ306" s="13"/>
      <x:c r="BK306" s="13"/>
      <x:c r="BL306" s="13"/>
      <x:c r="BM306" s="13"/>
      <x:c r="BN306" s="13"/>
      <x:c r="BO306" s="13"/>
      <x:c r="BP306" s="13"/>
      <x:c r="BQ306" s="13"/>
      <x:c r="BR306" s="13"/>
      <x:c r="BS306" s="13"/>
      <x:c r="BT306" s="13"/>
      <x:c r="BU306" s="13"/>
      <x:c r="BV306" s="13"/>
      <x:c r="BW306" s="13"/>
      <x:c r="BX306" s="13"/>
      <x:c r="BY306" s="13"/>
      <x:c r="BZ306" s="13"/>
      <x:c r="CA306" s="13"/>
      <x:c r="CB306" s="13"/>
      <x:c r="CC306" s="13"/>
      <x:c r="CD306" s="13"/>
      <x:c r="CE306" s="13"/>
      <x:c r="CF306" s="13"/>
      <x:c r="CG306" s="13"/>
    </x:row>
    <x:row r="307" ht="14.25" customHeight="1">
      <x:c r="AA307" s="3"/>
      <x:c r="AF307" s="3"/>
      <x:c r="AG307" s="3"/>
      <x:c r="AH307" s="3"/>
      <x:c r="AI307" s="3"/>
      <x:c r="AJ307" s="3"/>
      <x:c r="AK307" s="3"/>
      <x:c r="AL307" s="3"/>
      <x:c r="AM307" s="3"/>
      <x:c r="AT307" s="3"/>
      <x:c r="AU307" s="3"/>
      <x:c r="AV307" s="3"/>
      <x:c r="AW307" s="3"/>
      <x:c r="AX307" s="3"/>
      <x:c r="AY307" s="3"/>
      <x:c r="AZ307" s="3"/>
      <x:c r="BA307" s="3"/>
      <x:c r="BC307" s="3"/>
      <x:c r="BD307" s="3"/>
      <x:c r="BE307" s="3"/>
      <x:c r="BF307" s="3"/>
      <x:c r="BG307" s="3"/>
      <x:c r="BH307" s="13"/>
      <x:c r="BI307" s="13"/>
      <x:c r="BJ307" s="13"/>
      <x:c r="BK307" s="13"/>
      <x:c r="BL307" s="13"/>
      <x:c r="BM307" s="13"/>
      <x:c r="BN307" s="13"/>
      <x:c r="BO307" s="13"/>
      <x:c r="BP307" s="13"/>
      <x:c r="BQ307" s="13"/>
      <x:c r="BR307" s="13"/>
      <x:c r="BS307" s="13"/>
      <x:c r="BT307" s="13"/>
      <x:c r="BU307" s="13"/>
      <x:c r="BV307" s="13"/>
      <x:c r="BW307" s="13"/>
      <x:c r="BX307" s="13"/>
      <x:c r="BY307" s="13"/>
      <x:c r="BZ307" s="13"/>
      <x:c r="CA307" s="13"/>
      <x:c r="CB307" s="13"/>
      <x:c r="CC307" s="13"/>
      <x:c r="CD307" s="13"/>
      <x:c r="CE307" s="13"/>
      <x:c r="CF307" s="13"/>
      <x:c r="CG307" s="13"/>
    </x:row>
    <x:row r="308" ht="14.25" customHeight="1">
      <x:c r="AA308" s="3"/>
      <x:c r="AF308" s="3"/>
      <x:c r="AG308" s="3"/>
      <x:c r="AH308" s="3"/>
      <x:c r="AI308" s="3"/>
      <x:c r="AJ308" s="3"/>
      <x:c r="AK308" s="3"/>
      <x:c r="AL308" s="3"/>
      <x:c r="AM308" s="3"/>
      <x:c r="AT308" s="3"/>
      <x:c r="AU308" s="3"/>
      <x:c r="AV308" s="3"/>
      <x:c r="AW308" s="3"/>
      <x:c r="AX308" s="3"/>
      <x:c r="AY308" s="3"/>
      <x:c r="AZ308" s="3"/>
      <x:c r="BA308" s="3"/>
      <x:c r="BC308" s="3"/>
      <x:c r="BD308" s="3"/>
      <x:c r="BE308" s="3"/>
      <x:c r="BF308" s="3"/>
      <x:c r="BG308" s="3"/>
      <x:c r="BH308" s="13"/>
      <x:c r="BI308" s="13"/>
      <x:c r="BJ308" s="13"/>
      <x:c r="BK308" s="13"/>
      <x:c r="BL308" s="13"/>
      <x:c r="BM308" s="13"/>
      <x:c r="BN308" s="13"/>
      <x:c r="BO308" s="13"/>
      <x:c r="BP308" s="13"/>
      <x:c r="BQ308" s="13"/>
      <x:c r="BR308" s="13"/>
      <x:c r="BS308" s="13"/>
      <x:c r="BT308" s="13"/>
      <x:c r="BU308" s="13"/>
      <x:c r="BV308" s="13"/>
      <x:c r="BW308" s="13"/>
      <x:c r="BX308" s="13"/>
      <x:c r="BY308" s="13"/>
      <x:c r="BZ308" s="13"/>
      <x:c r="CA308" s="13"/>
      <x:c r="CB308" s="13"/>
      <x:c r="CC308" s="13"/>
      <x:c r="CD308" s="13"/>
      <x:c r="CE308" s="13"/>
      <x:c r="CF308" s="13"/>
      <x:c r="CG308" s="13"/>
    </x:row>
    <x:row r="309" ht="14.25" customHeight="1">
      <x:c r="AA309" s="3"/>
      <x:c r="AF309" s="3"/>
      <x:c r="AG309" s="3"/>
      <x:c r="AH309" s="3"/>
      <x:c r="AI309" s="3"/>
      <x:c r="AJ309" s="3"/>
      <x:c r="AK309" s="3"/>
      <x:c r="AL309" s="3"/>
      <x:c r="AM309" s="3"/>
      <x:c r="AT309" s="3"/>
      <x:c r="AU309" s="3"/>
      <x:c r="AV309" s="3"/>
      <x:c r="AW309" s="3"/>
      <x:c r="AX309" s="3"/>
      <x:c r="AY309" s="3"/>
      <x:c r="AZ309" s="3"/>
      <x:c r="BA309" s="3"/>
      <x:c r="BC309" s="3"/>
      <x:c r="BD309" s="3"/>
      <x:c r="BE309" s="3"/>
      <x:c r="BF309" s="3"/>
      <x:c r="BG309" s="3"/>
      <x:c r="BH309" s="13"/>
      <x:c r="BI309" s="13"/>
      <x:c r="BJ309" s="13"/>
      <x:c r="BK309" s="13"/>
      <x:c r="BL309" s="13"/>
      <x:c r="BM309" s="13"/>
      <x:c r="BN309" s="13"/>
      <x:c r="BO309" s="13"/>
      <x:c r="BP309" s="13"/>
      <x:c r="BQ309" s="13"/>
      <x:c r="BR309" s="13"/>
      <x:c r="BS309" s="13"/>
      <x:c r="BT309" s="13"/>
      <x:c r="BU309" s="13"/>
      <x:c r="BV309" s="13"/>
      <x:c r="BW309" s="13"/>
      <x:c r="BX309" s="13"/>
      <x:c r="BY309" s="13"/>
      <x:c r="BZ309" s="13"/>
      <x:c r="CA309" s="13"/>
      <x:c r="CB309" s="13"/>
      <x:c r="CC309" s="13"/>
      <x:c r="CD309" s="13"/>
      <x:c r="CE309" s="13"/>
      <x:c r="CF309" s="13"/>
      <x:c r="CG309" s="13"/>
    </x:row>
    <x:row r="310" ht="14.25" customHeight="1">
      <x:c r="AA310" s="3"/>
      <x:c r="AF310" s="3"/>
      <x:c r="AG310" s="3"/>
      <x:c r="AH310" s="3"/>
      <x:c r="AI310" s="3"/>
      <x:c r="AJ310" s="3"/>
      <x:c r="AK310" s="3"/>
      <x:c r="AL310" s="3"/>
      <x:c r="AM310" s="3"/>
      <x:c r="AT310" s="3"/>
      <x:c r="AU310" s="3"/>
      <x:c r="AV310" s="3"/>
      <x:c r="AW310" s="3"/>
      <x:c r="AX310" s="3"/>
      <x:c r="AY310" s="3"/>
      <x:c r="AZ310" s="3"/>
      <x:c r="BA310" s="3"/>
      <x:c r="BC310" s="3"/>
      <x:c r="BD310" s="3"/>
      <x:c r="BE310" s="3"/>
      <x:c r="BF310" s="3"/>
      <x:c r="BG310" s="3"/>
      <x:c r="BH310" s="13"/>
      <x:c r="BI310" s="13"/>
      <x:c r="BJ310" s="13"/>
      <x:c r="BK310" s="13"/>
      <x:c r="BL310" s="13"/>
      <x:c r="BM310" s="13"/>
      <x:c r="BN310" s="13"/>
      <x:c r="BO310" s="13"/>
      <x:c r="BP310" s="13"/>
      <x:c r="BQ310" s="13"/>
      <x:c r="BR310" s="13"/>
      <x:c r="BS310" s="13"/>
      <x:c r="BT310" s="13"/>
      <x:c r="BU310" s="13"/>
      <x:c r="BV310" s="13"/>
      <x:c r="BW310" s="13"/>
      <x:c r="BX310" s="13"/>
      <x:c r="BY310" s="13"/>
      <x:c r="BZ310" s="13"/>
      <x:c r="CA310" s="13"/>
      <x:c r="CB310" s="13"/>
      <x:c r="CC310" s="13"/>
      <x:c r="CD310" s="13"/>
      <x:c r="CE310" s="13"/>
      <x:c r="CF310" s="13"/>
      <x:c r="CG310" s="13"/>
    </x:row>
    <x:row r="311" ht="14.25" customHeight="1">
      <x:c r="AA311" s="3"/>
      <x:c r="AF311" s="3"/>
      <x:c r="AG311" s="3"/>
      <x:c r="AH311" s="3"/>
      <x:c r="AI311" s="3"/>
      <x:c r="AJ311" s="3"/>
      <x:c r="AK311" s="3"/>
      <x:c r="AL311" s="3"/>
      <x:c r="AM311" s="3"/>
      <x:c r="AT311" s="3"/>
      <x:c r="AU311" s="3"/>
      <x:c r="AV311" s="3"/>
      <x:c r="AW311" s="3"/>
      <x:c r="AX311" s="3"/>
      <x:c r="AY311" s="3"/>
      <x:c r="AZ311" s="3"/>
      <x:c r="BA311" s="3"/>
      <x:c r="BC311" s="3"/>
      <x:c r="BD311" s="3"/>
      <x:c r="BE311" s="3"/>
      <x:c r="BF311" s="3"/>
      <x:c r="BG311" s="3"/>
      <x:c r="BH311" s="13"/>
      <x:c r="BI311" s="13"/>
      <x:c r="BJ311" s="13"/>
      <x:c r="BK311" s="13"/>
      <x:c r="BL311" s="13"/>
      <x:c r="BM311" s="13"/>
      <x:c r="BN311" s="13"/>
      <x:c r="BO311" s="13"/>
      <x:c r="BP311" s="13"/>
      <x:c r="BQ311" s="13"/>
      <x:c r="BR311" s="13"/>
      <x:c r="BS311" s="13"/>
      <x:c r="BT311" s="13"/>
      <x:c r="BU311" s="13"/>
      <x:c r="BV311" s="13"/>
      <x:c r="BW311" s="13"/>
      <x:c r="BX311" s="13"/>
      <x:c r="BY311" s="13"/>
      <x:c r="BZ311" s="13"/>
      <x:c r="CA311" s="13"/>
      <x:c r="CB311" s="13"/>
      <x:c r="CC311" s="13"/>
      <x:c r="CD311" s="13"/>
      <x:c r="CE311" s="13"/>
      <x:c r="CF311" s="13"/>
      <x:c r="CG311" s="13"/>
    </x:row>
    <x:row r="312" ht="14.25" customHeight="1">
      <x:c r="AA312" s="3"/>
      <x:c r="AF312" s="3"/>
      <x:c r="AG312" s="3"/>
      <x:c r="AH312" s="3"/>
      <x:c r="AI312" s="3"/>
      <x:c r="AJ312" s="3"/>
      <x:c r="AK312" s="3"/>
      <x:c r="AL312" s="3"/>
      <x:c r="AM312" s="3"/>
      <x:c r="AT312" s="3"/>
      <x:c r="AU312" s="3"/>
      <x:c r="AV312" s="3"/>
      <x:c r="AW312" s="3"/>
      <x:c r="AX312" s="3"/>
      <x:c r="AY312" s="3"/>
      <x:c r="AZ312" s="3"/>
      <x:c r="BA312" s="3"/>
      <x:c r="BC312" s="3"/>
      <x:c r="BD312" s="3"/>
      <x:c r="BE312" s="3"/>
      <x:c r="BF312" s="3"/>
      <x:c r="BG312" s="3"/>
      <x:c r="BH312" s="13"/>
      <x:c r="BI312" s="13"/>
      <x:c r="BJ312" s="13"/>
      <x:c r="BK312" s="13"/>
      <x:c r="BL312" s="13"/>
      <x:c r="BM312" s="13"/>
      <x:c r="BN312" s="13"/>
      <x:c r="BO312" s="13"/>
      <x:c r="BP312" s="13"/>
      <x:c r="BQ312" s="13"/>
      <x:c r="BR312" s="13"/>
      <x:c r="BS312" s="13"/>
      <x:c r="BT312" s="13"/>
      <x:c r="BU312" s="13"/>
      <x:c r="BV312" s="13"/>
      <x:c r="BW312" s="13"/>
      <x:c r="BX312" s="13"/>
      <x:c r="BY312" s="13"/>
      <x:c r="BZ312" s="13"/>
      <x:c r="CA312" s="13"/>
      <x:c r="CB312" s="13"/>
      <x:c r="CC312" s="13"/>
      <x:c r="CD312" s="13"/>
      <x:c r="CE312" s="13"/>
      <x:c r="CF312" s="13"/>
      <x:c r="CG312" s="13"/>
    </x:row>
    <x:row r="313" ht="14.25" customHeight="1">
      <x:c r="AA313" s="3"/>
      <x:c r="AF313" s="3"/>
      <x:c r="AG313" s="3"/>
      <x:c r="AH313" s="3"/>
      <x:c r="AI313" s="3"/>
      <x:c r="AJ313" s="3"/>
      <x:c r="AK313" s="3"/>
      <x:c r="AL313" s="3"/>
      <x:c r="AM313" s="3"/>
      <x:c r="AT313" s="3"/>
      <x:c r="AU313" s="3"/>
      <x:c r="AV313" s="3"/>
      <x:c r="AW313" s="3"/>
      <x:c r="AX313" s="3"/>
      <x:c r="AY313" s="3"/>
      <x:c r="AZ313" s="3"/>
      <x:c r="BA313" s="3"/>
      <x:c r="BC313" s="3"/>
      <x:c r="BD313" s="3"/>
      <x:c r="BE313" s="3"/>
      <x:c r="BF313" s="3"/>
      <x:c r="BG313" s="3"/>
      <x:c r="BH313" s="13"/>
      <x:c r="BI313" s="13"/>
      <x:c r="BJ313" s="13"/>
      <x:c r="BK313" s="13"/>
      <x:c r="BL313" s="13"/>
      <x:c r="BM313" s="13"/>
      <x:c r="BN313" s="13"/>
      <x:c r="BO313" s="13"/>
      <x:c r="BP313" s="13"/>
      <x:c r="BQ313" s="13"/>
      <x:c r="BR313" s="13"/>
      <x:c r="BS313" s="13"/>
      <x:c r="BT313" s="13"/>
      <x:c r="BU313" s="13"/>
      <x:c r="BV313" s="13"/>
      <x:c r="BW313" s="13"/>
      <x:c r="BX313" s="13"/>
      <x:c r="BY313" s="13"/>
      <x:c r="BZ313" s="13"/>
      <x:c r="CA313" s="13"/>
      <x:c r="CB313" s="13"/>
      <x:c r="CC313" s="13"/>
      <x:c r="CD313" s="13"/>
      <x:c r="CE313" s="13"/>
      <x:c r="CF313" s="13"/>
      <x:c r="CG313" s="13"/>
    </x:row>
    <x:row r="314" ht="14.25" customHeight="1">
      <x:c r="AA314" s="3"/>
      <x:c r="AF314" s="3"/>
      <x:c r="AG314" s="3"/>
      <x:c r="AH314" s="3"/>
      <x:c r="AI314" s="3"/>
      <x:c r="AJ314" s="3"/>
      <x:c r="AK314" s="3"/>
      <x:c r="AL314" s="3"/>
      <x:c r="AM314" s="3"/>
      <x:c r="AT314" s="3"/>
      <x:c r="AU314" s="3"/>
      <x:c r="AV314" s="3"/>
      <x:c r="AW314" s="3"/>
      <x:c r="AX314" s="3"/>
      <x:c r="AY314" s="3"/>
      <x:c r="AZ314" s="3"/>
      <x:c r="BA314" s="3"/>
      <x:c r="BC314" s="3"/>
      <x:c r="BD314" s="3"/>
      <x:c r="BE314" s="3"/>
      <x:c r="BF314" s="3"/>
      <x:c r="BG314" s="3"/>
      <x:c r="BH314" s="13"/>
      <x:c r="BI314" s="13"/>
      <x:c r="BJ314" s="13"/>
      <x:c r="BK314" s="13"/>
      <x:c r="BL314" s="13"/>
      <x:c r="BM314" s="13"/>
      <x:c r="BN314" s="13"/>
      <x:c r="BO314" s="13"/>
      <x:c r="BP314" s="13"/>
      <x:c r="BQ314" s="13"/>
      <x:c r="BR314" s="13"/>
      <x:c r="BS314" s="13"/>
      <x:c r="BT314" s="13"/>
      <x:c r="BU314" s="13"/>
      <x:c r="BV314" s="13"/>
      <x:c r="BW314" s="13"/>
      <x:c r="BX314" s="13"/>
      <x:c r="BY314" s="13"/>
      <x:c r="BZ314" s="13"/>
      <x:c r="CA314" s="13"/>
      <x:c r="CB314" s="13"/>
      <x:c r="CC314" s="13"/>
      <x:c r="CD314" s="13"/>
      <x:c r="CE314" s="13"/>
      <x:c r="CF314" s="13"/>
      <x:c r="CG314" s="13"/>
    </x:row>
    <x:row r="315" ht="14.25" customHeight="1">
      <x:c r="AA315" s="3"/>
      <x:c r="AF315" s="3"/>
      <x:c r="AG315" s="3"/>
      <x:c r="AH315" s="3"/>
      <x:c r="AI315" s="3"/>
      <x:c r="AJ315" s="3"/>
      <x:c r="AK315" s="3"/>
      <x:c r="AL315" s="3"/>
      <x:c r="AM315" s="3"/>
      <x:c r="AT315" s="3"/>
      <x:c r="AU315" s="3"/>
      <x:c r="AV315" s="3"/>
      <x:c r="AW315" s="3"/>
      <x:c r="AX315" s="3"/>
      <x:c r="AY315" s="3"/>
      <x:c r="AZ315" s="3"/>
      <x:c r="BA315" s="3"/>
      <x:c r="BC315" s="3"/>
      <x:c r="BD315" s="3"/>
      <x:c r="BE315" s="3"/>
      <x:c r="BF315" s="3"/>
      <x:c r="BG315" s="3"/>
      <x:c r="BH315" s="13"/>
      <x:c r="BI315" s="13"/>
      <x:c r="BJ315" s="13"/>
      <x:c r="BK315" s="13"/>
      <x:c r="BL315" s="13"/>
      <x:c r="BM315" s="13"/>
      <x:c r="BN315" s="13"/>
      <x:c r="BO315" s="13"/>
      <x:c r="BP315" s="13"/>
      <x:c r="BQ315" s="13"/>
      <x:c r="BR315" s="13"/>
      <x:c r="BS315" s="13"/>
      <x:c r="BT315" s="13"/>
      <x:c r="BU315" s="13"/>
      <x:c r="BV315" s="13"/>
      <x:c r="BW315" s="13"/>
      <x:c r="BX315" s="13"/>
      <x:c r="BY315" s="13"/>
      <x:c r="BZ315" s="13"/>
      <x:c r="CA315" s="13"/>
      <x:c r="CB315" s="13"/>
      <x:c r="CC315" s="13"/>
      <x:c r="CD315" s="13"/>
      <x:c r="CE315" s="13"/>
      <x:c r="CF315" s="13"/>
      <x:c r="CG315" s="13"/>
    </x:row>
    <x:row r="316" ht="14.25" customHeight="1">
      <x:c r="AA316" s="3"/>
      <x:c r="AF316" s="3"/>
      <x:c r="AG316" s="3"/>
      <x:c r="AH316" s="3"/>
      <x:c r="AI316" s="3"/>
      <x:c r="AJ316" s="3"/>
      <x:c r="AK316" s="3"/>
      <x:c r="AL316" s="3"/>
      <x:c r="AM316" s="3"/>
      <x:c r="AT316" s="3"/>
      <x:c r="AU316" s="3"/>
      <x:c r="AV316" s="3"/>
      <x:c r="AW316" s="3"/>
      <x:c r="AX316" s="3"/>
      <x:c r="AY316" s="3"/>
      <x:c r="AZ316" s="3"/>
      <x:c r="BA316" s="3"/>
      <x:c r="BC316" s="3"/>
      <x:c r="BD316" s="3"/>
      <x:c r="BE316" s="3"/>
      <x:c r="BF316" s="3"/>
      <x:c r="BG316" s="3"/>
      <x:c r="BH316" s="13"/>
      <x:c r="BI316" s="13"/>
      <x:c r="BJ316" s="13"/>
      <x:c r="BK316" s="13"/>
      <x:c r="BL316" s="13"/>
      <x:c r="BM316" s="13"/>
      <x:c r="BN316" s="13"/>
      <x:c r="BO316" s="13"/>
      <x:c r="BP316" s="13"/>
      <x:c r="BQ316" s="13"/>
      <x:c r="BR316" s="13"/>
      <x:c r="BS316" s="13"/>
      <x:c r="BT316" s="13"/>
      <x:c r="BU316" s="13"/>
      <x:c r="BV316" s="13"/>
      <x:c r="BW316" s="13"/>
      <x:c r="BX316" s="13"/>
      <x:c r="BY316" s="13"/>
      <x:c r="BZ316" s="13"/>
      <x:c r="CA316" s="13"/>
      <x:c r="CB316" s="13"/>
      <x:c r="CC316" s="13"/>
      <x:c r="CD316" s="13"/>
      <x:c r="CE316" s="13"/>
      <x:c r="CF316" s="13"/>
      <x:c r="CG316" s="13"/>
    </x:row>
    <x:row r="317" ht="14.25" customHeight="1">
      <x:c r="AA317" s="3"/>
      <x:c r="AF317" s="3"/>
      <x:c r="AG317" s="3"/>
      <x:c r="AH317" s="3"/>
      <x:c r="AI317" s="3"/>
      <x:c r="AJ317" s="3"/>
      <x:c r="AK317" s="3"/>
      <x:c r="AL317" s="3"/>
      <x:c r="AM317" s="3"/>
      <x:c r="AT317" s="3"/>
      <x:c r="AU317" s="3"/>
      <x:c r="AV317" s="3"/>
      <x:c r="AW317" s="3"/>
      <x:c r="AX317" s="3"/>
      <x:c r="AY317" s="3"/>
      <x:c r="AZ317" s="3"/>
      <x:c r="BA317" s="3"/>
      <x:c r="BC317" s="3"/>
      <x:c r="BD317" s="3"/>
      <x:c r="BE317" s="3"/>
      <x:c r="BF317" s="3"/>
      <x:c r="BG317" s="3"/>
      <x:c r="BH317" s="13"/>
      <x:c r="BI317" s="13"/>
      <x:c r="BJ317" s="13"/>
      <x:c r="BK317" s="13"/>
      <x:c r="BL317" s="13"/>
      <x:c r="BM317" s="13"/>
      <x:c r="BN317" s="13"/>
      <x:c r="BO317" s="13"/>
      <x:c r="BP317" s="13"/>
      <x:c r="BQ317" s="13"/>
      <x:c r="BR317" s="13"/>
      <x:c r="BS317" s="13"/>
      <x:c r="BT317" s="13"/>
      <x:c r="BU317" s="13"/>
      <x:c r="BV317" s="13"/>
      <x:c r="BW317" s="13"/>
      <x:c r="BX317" s="13"/>
      <x:c r="BY317" s="13"/>
      <x:c r="BZ317" s="13"/>
      <x:c r="CA317" s="13"/>
      <x:c r="CB317" s="13"/>
      <x:c r="CC317" s="13"/>
      <x:c r="CD317" s="13"/>
      <x:c r="CE317" s="13"/>
      <x:c r="CF317" s="13"/>
      <x:c r="CG317" s="13"/>
    </x:row>
    <x:row r="318" ht="14.25" customHeight="1">
      <x:c r="AA318" s="3"/>
      <x:c r="AF318" s="3"/>
      <x:c r="AG318" s="3"/>
      <x:c r="AH318" s="3"/>
      <x:c r="AI318" s="3"/>
      <x:c r="AJ318" s="3"/>
      <x:c r="AK318" s="3"/>
      <x:c r="AL318" s="3"/>
      <x:c r="AM318" s="3"/>
      <x:c r="AT318" s="3"/>
      <x:c r="AU318" s="3"/>
      <x:c r="AV318" s="3"/>
      <x:c r="AW318" s="3"/>
      <x:c r="AX318" s="3"/>
      <x:c r="AY318" s="3"/>
      <x:c r="AZ318" s="3"/>
      <x:c r="BA318" s="3"/>
      <x:c r="BC318" s="3"/>
      <x:c r="BD318" s="3"/>
      <x:c r="BE318" s="3"/>
      <x:c r="BF318" s="3"/>
      <x:c r="BG318" s="3"/>
      <x:c r="BH318" s="13"/>
      <x:c r="BI318" s="13"/>
      <x:c r="BJ318" s="13"/>
      <x:c r="BK318" s="13"/>
      <x:c r="BL318" s="13"/>
      <x:c r="BM318" s="13"/>
      <x:c r="BN318" s="13"/>
      <x:c r="BO318" s="13"/>
      <x:c r="BP318" s="13"/>
      <x:c r="BQ318" s="13"/>
      <x:c r="BR318" s="13"/>
      <x:c r="BS318" s="13"/>
      <x:c r="BT318" s="13"/>
      <x:c r="BU318" s="13"/>
      <x:c r="BV318" s="13"/>
      <x:c r="BW318" s="13"/>
      <x:c r="BX318" s="13"/>
      <x:c r="BY318" s="13"/>
      <x:c r="BZ318" s="13"/>
      <x:c r="CA318" s="13"/>
      <x:c r="CB318" s="13"/>
      <x:c r="CC318" s="13"/>
      <x:c r="CD318" s="13"/>
      <x:c r="CE318" s="13"/>
      <x:c r="CF318" s="13"/>
      <x:c r="CG318" s="13"/>
    </x:row>
    <x:row r="319" ht="14.25" customHeight="1">
      <x:c r="AA319" s="3"/>
      <x:c r="AF319" s="3"/>
      <x:c r="AG319" s="3"/>
      <x:c r="AH319" s="3"/>
      <x:c r="AI319" s="3"/>
      <x:c r="AJ319" s="3"/>
      <x:c r="AK319" s="3"/>
      <x:c r="AL319" s="3"/>
      <x:c r="AM319" s="3"/>
      <x:c r="AT319" s="3"/>
      <x:c r="AU319" s="3"/>
      <x:c r="AV319" s="3"/>
      <x:c r="AW319" s="3"/>
      <x:c r="AX319" s="3"/>
      <x:c r="AY319" s="3"/>
      <x:c r="AZ319" s="3"/>
      <x:c r="BA319" s="3"/>
      <x:c r="BC319" s="3"/>
      <x:c r="BD319" s="3"/>
      <x:c r="BE319" s="3"/>
      <x:c r="BF319" s="3"/>
      <x:c r="BG319" s="3"/>
      <x:c r="BH319" s="13"/>
      <x:c r="BI319" s="13"/>
      <x:c r="BJ319" s="13"/>
      <x:c r="BK319" s="13"/>
      <x:c r="BL319" s="13"/>
      <x:c r="BM319" s="13"/>
      <x:c r="BN319" s="13"/>
      <x:c r="BO319" s="13"/>
      <x:c r="BP319" s="13"/>
      <x:c r="BQ319" s="13"/>
      <x:c r="BR319" s="13"/>
      <x:c r="BS319" s="13"/>
      <x:c r="BT319" s="13"/>
      <x:c r="BU319" s="13"/>
      <x:c r="BV319" s="13"/>
      <x:c r="BW319" s="13"/>
      <x:c r="BX319" s="13"/>
      <x:c r="BY319" s="13"/>
      <x:c r="BZ319" s="13"/>
      <x:c r="CA319" s="13"/>
      <x:c r="CB319" s="13"/>
      <x:c r="CC319" s="13"/>
      <x:c r="CD319" s="13"/>
      <x:c r="CE319" s="13"/>
      <x:c r="CF319" s="13"/>
      <x:c r="CG319" s="13"/>
    </x:row>
    <x:row r="320" ht="14.25" customHeight="1">
      <x:c r="AA320" s="3"/>
      <x:c r="AF320" s="3"/>
      <x:c r="AG320" s="3"/>
      <x:c r="AH320" s="3"/>
      <x:c r="AI320" s="3"/>
      <x:c r="AJ320" s="3"/>
      <x:c r="AK320" s="3"/>
      <x:c r="AL320" s="3"/>
      <x:c r="AM320" s="3"/>
      <x:c r="AT320" s="3"/>
      <x:c r="AU320" s="3"/>
      <x:c r="AV320" s="3"/>
      <x:c r="AW320" s="3"/>
      <x:c r="AX320" s="3"/>
      <x:c r="AY320" s="3"/>
      <x:c r="AZ320" s="3"/>
      <x:c r="BA320" s="3"/>
      <x:c r="BC320" s="3"/>
      <x:c r="BD320" s="3"/>
      <x:c r="BE320" s="3"/>
      <x:c r="BF320" s="3"/>
      <x:c r="BG320" s="3"/>
      <x:c r="BH320" s="13"/>
      <x:c r="BI320" s="13"/>
      <x:c r="BJ320" s="13"/>
      <x:c r="BK320" s="13"/>
      <x:c r="BL320" s="13"/>
      <x:c r="BM320" s="13"/>
      <x:c r="BN320" s="13"/>
      <x:c r="BO320" s="13"/>
      <x:c r="BP320" s="13"/>
      <x:c r="BQ320" s="13"/>
      <x:c r="BR320" s="13"/>
      <x:c r="BS320" s="13"/>
      <x:c r="BT320" s="13"/>
      <x:c r="BU320" s="13"/>
      <x:c r="BV320" s="13"/>
      <x:c r="BW320" s="13"/>
      <x:c r="BX320" s="13"/>
      <x:c r="BY320" s="13"/>
      <x:c r="BZ320" s="13"/>
      <x:c r="CA320" s="13"/>
      <x:c r="CB320" s="13"/>
      <x:c r="CC320" s="13"/>
      <x:c r="CD320" s="13"/>
      <x:c r="CE320" s="13"/>
      <x:c r="CF320" s="13"/>
      <x:c r="CG320" s="13"/>
    </x:row>
    <x:row r="321" ht="14.25" customHeight="1">
      <x:c r="AA321" s="3"/>
      <x:c r="AF321" s="3"/>
      <x:c r="AG321" s="3"/>
      <x:c r="AH321" s="3"/>
      <x:c r="AI321" s="3"/>
      <x:c r="AJ321" s="3"/>
      <x:c r="AK321" s="3"/>
      <x:c r="AL321" s="3"/>
      <x:c r="AM321" s="3"/>
      <x:c r="AT321" s="3"/>
      <x:c r="AU321" s="3"/>
      <x:c r="AV321" s="3"/>
      <x:c r="AW321" s="3"/>
      <x:c r="AX321" s="3"/>
      <x:c r="AY321" s="3"/>
      <x:c r="AZ321" s="3"/>
      <x:c r="BA321" s="3"/>
      <x:c r="BC321" s="3"/>
      <x:c r="BD321" s="3"/>
      <x:c r="BE321" s="3"/>
      <x:c r="BF321" s="3"/>
      <x:c r="BG321" s="3"/>
      <x:c r="BH321" s="13"/>
      <x:c r="BI321" s="13"/>
      <x:c r="BJ321" s="13"/>
      <x:c r="BK321" s="13"/>
      <x:c r="BL321" s="13"/>
      <x:c r="BM321" s="13"/>
      <x:c r="BN321" s="13"/>
      <x:c r="BO321" s="13"/>
      <x:c r="BP321" s="13"/>
      <x:c r="BQ321" s="13"/>
      <x:c r="BR321" s="13"/>
      <x:c r="BS321" s="13"/>
      <x:c r="BT321" s="13"/>
      <x:c r="BU321" s="13"/>
      <x:c r="BV321" s="13"/>
      <x:c r="BW321" s="13"/>
      <x:c r="BX321" s="13"/>
      <x:c r="BY321" s="13"/>
      <x:c r="BZ321" s="13"/>
      <x:c r="CA321" s="13"/>
      <x:c r="CB321" s="13"/>
      <x:c r="CC321" s="13"/>
      <x:c r="CD321" s="13"/>
      <x:c r="CE321" s="13"/>
      <x:c r="CF321" s="13"/>
      <x:c r="CG321" s="13"/>
    </x:row>
    <x:row r="322" ht="14.25" customHeight="1">
      <x:c r="AA322" s="3"/>
      <x:c r="AF322" s="3"/>
      <x:c r="AG322" s="3"/>
      <x:c r="AH322" s="3"/>
      <x:c r="AI322" s="3"/>
      <x:c r="AJ322" s="3"/>
      <x:c r="AK322" s="3"/>
      <x:c r="AL322" s="3"/>
      <x:c r="AM322" s="3"/>
      <x:c r="AT322" s="3"/>
      <x:c r="AU322" s="3"/>
      <x:c r="AV322" s="3"/>
      <x:c r="AW322" s="3"/>
      <x:c r="AX322" s="3"/>
      <x:c r="AY322" s="3"/>
      <x:c r="AZ322" s="3"/>
      <x:c r="BA322" s="3"/>
      <x:c r="BC322" s="3"/>
      <x:c r="BD322" s="3"/>
      <x:c r="BE322" s="3"/>
      <x:c r="BF322" s="3"/>
      <x:c r="BG322" s="3"/>
      <x:c r="BH322" s="13"/>
      <x:c r="BI322" s="13"/>
      <x:c r="BJ322" s="13"/>
      <x:c r="BK322" s="13"/>
      <x:c r="BL322" s="13"/>
      <x:c r="BM322" s="13"/>
      <x:c r="BN322" s="13"/>
      <x:c r="BO322" s="13"/>
      <x:c r="BP322" s="13"/>
      <x:c r="BQ322" s="13"/>
      <x:c r="BR322" s="13"/>
      <x:c r="BS322" s="13"/>
      <x:c r="BT322" s="13"/>
      <x:c r="BU322" s="13"/>
      <x:c r="BV322" s="13"/>
      <x:c r="BW322" s="13"/>
      <x:c r="BX322" s="13"/>
      <x:c r="BY322" s="13"/>
      <x:c r="BZ322" s="13"/>
      <x:c r="CA322" s="13"/>
      <x:c r="CB322" s="13"/>
      <x:c r="CC322" s="13"/>
      <x:c r="CD322" s="13"/>
      <x:c r="CE322" s="13"/>
      <x:c r="CF322" s="13"/>
      <x:c r="CG322" s="13"/>
    </x:row>
    <x:row r="323" ht="14.25" customHeight="1">
      <x:c r="AA323" s="3"/>
      <x:c r="AF323" s="3"/>
      <x:c r="AG323" s="3"/>
      <x:c r="AH323" s="3"/>
      <x:c r="AI323" s="3"/>
      <x:c r="AJ323" s="3"/>
      <x:c r="AK323" s="3"/>
      <x:c r="AL323" s="3"/>
      <x:c r="AM323" s="3"/>
      <x:c r="AT323" s="3"/>
      <x:c r="AU323" s="3"/>
      <x:c r="AV323" s="3"/>
      <x:c r="AW323" s="3"/>
      <x:c r="AX323" s="3"/>
      <x:c r="AY323" s="3"/>
      <x:c r="AZ323" s="3"/>
      <x:c r="BA323" s="3"/>
      <x:c r="BC323" s="3"/>
      <x:c r="BD323" s="3"/>
      <x:c r="BE323" s="3"/>
      <x:c r="BF323" s="3"/>
      <x:c r="BG323" s="3"/>
      <x:c r="BH323" s="13"/>
      <x:c r="BI323" s="13"/>
      <x:c r="BJ323" s="13"/>
      <x:c r="BK323" s="13"/>
      <x:c r="BL323" s="13"/>
      <x:c r="BM323" s="13"/>
      <x:c r="BN323" s="13"/>
      <x:c r="BO323" s="13"/>
      <x:c r="BP323" s="13"/>
      <x:c r="BQ323" s="13"/>
      <x:c r="BR323" s="13"/>
      <x:c r="BS323" s="13"/>
      <x:c r="BT323" s="13"/>
      <x:c r="BU323" s="13"/>
      <x:c r="BV323" s="13"/>
      <x:c r="BW323" s="13"/>
      <x:c r="BX323" s="13"/>
      <x:c r="BY323" s="13"/>
      <x:c r="BZ323" s="13"/>
      <x:c r="CA323" s="13"/>
      <x:c r="CB323" s="13"/>
      <x:c r="CC323" s="13"/>
      <x:c r="CD323" s="13"/>
      <x:c r="CE323" s="13"/>
      <x:c r="CF323" s="13"/>
      <x:c r="CG323" s="13"/>
    </x:row>
    <x:row r="324" ht="14.25" customHeight="1">
      <x:c r="AA324" s="3"/>
      <x:c r="AF324" s="3"/>
      <x:c r="AG324" s="3"/>
      <x:c r="AH324" s="3"/>
      <x:c r="AI324" s="3"/>
      <x:c r="AJ324" s="3"/>
      <x:c r="AK324" s="3"/>
      <x:c r="AL324" s="3"/>
      <x:c r="AM324" s="3"/>
      <x:c r="AT324" s="3"/>
      <x:c r="AU324" s="3"/>
      <x:c r="AV324" s="3"/>
      <x:c r="AW324" s="3"/>
      <x:c r="AX324" s="3"/>
      <x:c r="AY324" s="3"/>
      <x:c r="AZ324" s="3"/>
      <x:c r="BA324" s="3"/>
      <x:c r="BC324" s="3"/>
      <x:c r="BD324" s="3"/>
      <x:c r="BE324" s="3"/>
      <x:c r="BF324" s="3"/>
      <x:c r="BG324" s="3"/>
      <x:c r="BH324" s="13"/>
      <x:c r="BI324" s="13"/>
      <x:c r="BJ324" s="13"/>
      <x:c r="BK324" s="13"/>
      <x:c r="BL324" s="13"/>
      <x:c r="BM324" s="13"/>
      <x:c r="BN324" s="13"/>
      <x:c r="BO324" s="13"/>
      <x:c r="BP324" s="13"/>
      <x:c r="BQ324" s="13"/>
      <x:c r="BR324" s="13"/>
      <x:c r="BS324" s="13"/>
      <x:c r="BT324" s="13"/>
      <x:c r="BU324" s="13"/>
      <x:c r="BV324" s="13"/>
      <x:c r="BW324" s="13"/>
      <x:c r="BX324" s="13"/>
      <x:c r="BY324" s="13"/>
      <x:c r="BZ324" s="13"/>
      <x:c r="CA324" s="13"/>
      <x:c r="CB324" s="13"/>
      <x:c r="CC324" s="13"/>
      <x:c r="CD324" s="13"/>
      <x:c r="CE324" s="13"/>
      <x:c r="CF324" s="13"/>
      <x:c r="CG324" s="13"/>
    </x:row>
    <x:row r="325" ht="14.25" customHeight="1">
      <x:c r="AA325" s="3"/>
      <x:c r="AF325" s="3"/>
      <x:c r="AG325" s="3"/>
      <x:c r="AH325" s="3"/>
      <x:c r="AI325" s="3"/>
      <x:c r="AJ325" s="3"/>
      <x:c r="AK325" s="3"/>
      <x:c r="AL325" s="3"/>
      <x:c r="AM325" s="3"/>
      <x:c r="AT325" s="3"/>
      <x:c r="AU325" s="3"/>
      <x:c r="AV325" s="3"/>
      <x:c r="AW325" s="3"/>
      <x:c r="AX325" s="3"/>
      <x:c r="AY325" s="3"/>
      <x:c r="AZ325" s="3"/>
      <x:c r="BA325" s="3"/>
      <x:c r="BC325" s="3"/>
      <x:c r="BD325" s="3"/>
      <x:c r="BE325" s="3"/>
      <x:c r="BF325" s="3"/>
      <x:c r="BG325" s="3"/>
      <x:c r="BH325" s="13"/>
      <x:c r="BI325" s="13"/>
      <x:c r="BJ325" s="13"/>
      <x:c r="BK325" s="13"/>
      <x:c r="BL325" s="13"/>
      <x:c r="BM325" s="13"/>
      <x:c r="BN325" s="13"/>
      <x:c r="BO325" s="13"/>
      <x:c r="BP325" s="13"/>
      <x:c r="BQ325" s="13"/>
      <x:c r="BR325" s="13"/>
      <x:c r="BS325" s="13"/>
      <x:c r="BT325" s="13"/>
      <x:c r="BU325" s="13"/>
      <x:c r="BV325" s="13"/>
      <x:c r="BW325" s="13"/>
      <x:c r="BX325" s="13"/>
      <x:c r="BY325" s="13"/>
      <x:c r="BZ325" s="13"/>
      <x:c r="CA325" s="13"/>
      <x:c r="CB325" s="13"/>
      <x:c r="CC325" s="13"/>
      <x:c r="CD325" s="13"/>
      <x:c r="CE325" s="13"/>
      <x:c r="CF325" s="13"/>
      <x:c r="CG325" s="13"/>
    </x:row>
    <x:row r="326" ht="14.25" customHeight="1">
      <x:c r="AA326" s="3"/>
      <x:c r="AF326" s="3"/>
      <x:c r="AG326" s="3"/>
      <x:c r="AH326" s="3"/>
      <x:c r="AI326" s="3"/>
      <x:c r="AJ326" s="3"/>
      <x:c r="AK326" s="3"/>
      <x:c r="AL326" s="3"/>
      <x:c r="AM326" s="3"/>
      <x:c r="AT326" s="3"/>
      <x:c r="AU326" s="3"/>
      <x:c r="AV326" s="3"/>
      <x:c r="AW326" s="3"/>
      <x:c r="AX326" s="3"/>
      <x:c r="AY326" s="3"/>
      <x:c r="AZ326" s="3"/>
      <x:c r="BA326" s="3"/>
      <x:c r="BC326" s="3"/>
      <x:c r="BD326" s="3"/>
      <x:c r="BE326" s="3"/>
      <x:c r="BF326" s="3"/>
      <x:c r="BG326" s="3"/>
      <x:c r="BH326" s="13"/>
      <x:c r="BI326" s="13"/>
      <x:c r="BJ326" s="13"/>
      <x:c r="BK326" s="13"/>
      <x:c r="BL326" s="13"/>
      <x:c r="BM326" s="13"/>
      <x:c r="BN326" s="13"/>
      <x:c r="BO326" s="13"/>
      <x:c r="BP326" s="13"/>
      <x:c r="BQ326" s="13"/>
      <x:c r="BR326" s="13"/>
      <x:c r="BS326" s="13"/>
      <x:c r="BT326" s="13"/>
      <x:c r="BU326" s="13"/>
      <x:c r="BV326" s="13"/>
      <x:c r="BW326" s="13"/>
      <x:c r="BX326" s="13"/>
      <x:c r="BY326" s="13"/>
      <x:c r="BZ326" s="13"/>
      <x:c r="CA326" s="13"/>
      <x:c r="CB326" s="13"/>
      <x:c r="CC326" s="13"/>
      <x:c r="CD326" s="13"/>
      <x:c r="CE326" s="13"/>
      <x:c r="CF326" s="13"/>
      <x:c r="CG326" s="13"/>
    </x:row>
    <x:row r="327" ht="14.25" customHeight="1">
      <x:c r="AA327" s="3"/>
      <x:c r="AF327" s="3"/>
      <x:c r="AG327" s="3"/>
      <x:c r="AH327" s="3"/>
      <x:c r="AI327" s="3"/>
      <x:c r="AJ327" s="3"/>
      <x:c r="AK327" s="3"/>
      <x:c r="AL327" s="3"/>
      <x:c r="AM327" s="3"/>
      <x:c r="AT327" s="3"/>
      <x:c r="AU327" s="3"/>
      <x:c r="AV327" s="3"/>
      <x:c r="AW327" s="3"/>
      <x:c r="AX327" s="3"/>
      <x:c r="AY327" s="3"/>
      <x:c r="AZ327" s="3"/>
      <x:c r="BA327" s="3"/>
      <x:c r="BC327" s="3"/>
      <x:c r="BD327" s="3"/>
      <x:c r="BE327" s="3"/>
      <x:c r="BF327" s="3"/>
      <x:c r="BG327" s="3"/>
      <x:c r="BH327" s="13"/>
      <x:c r="BI327" s="13"/>
      <x:c r="BJ327" s="13"/>
      <x:c r="BK327" s="13"/>
      <x:c r="BL327" s="13"/>
      <x:c r="BM327" s="13"/>
      <x:c r="BN327" s="13"/>
      <x:c r="BO327" s="13"/>
      <x:c r="BP327" s="13"/>
      <x:c r="BQ327" s="13"/>
      <x:c r="BR327" s="13"/>
      <x:c r="BS327" s="13"/>
      <x:c r="BT327" s="13"/>
      <x:c r="BU327" s="13"/>
      <x:c r="BV327" s="13"/>
      <x:c r="BW327" s="13"/>
      <x:c r="BX327" s="13"/>
      <x:c r="BY327" s="13"/>
      <x:c r="BZ327" s="13"/>
      <x:c r="CA327" s="13"/>
      <x:c r="CB327" s="13"/>
      <x:c r="CC327" s="13"/>
      <x:c r="CD327" s="13"/>
      <x:c r="CE327" s="13"/>
      <x:c r="CF327" s="13"/>
      <x:c r="CG327" s="13"/>
    </x:row>
    <x:row r="328" ht="14.25" customHeight="1">
      <x:c r="AA328" s="3"/>
      <x:c r="AF328" s="3"/>
      <x:c r="AG328" s="3"/>
      <x:c r="AH328" s="3"/>
      <x:c r="AI328" s="3"/>
      <x:c r="AJ328" s="3"/>
      <x:c r="AK328" s="3"/>
      <x:c r="AL328" s="3"/>
      <x:c r="AM328" s="3"/>
      <x:c r="AT328" s="3"/>
      <x:c r="AU328" s="3"/>
      <x:c r="AV328" s="3"/>
      <x:c r="AW328" s="3"/>
      <x:c r="AX328" s="3"/>
      <x:c r="AY328" s="3"/>
      <x:c r="AZ328" s="3"/>
      <x:c r="BA328" s="3"/>
      <x:c r="BC328" s="3"/>
      <x:c r="BD328" s="3"/>
      <x:c r="BE328" s="3"/>
      <x:c r="BF328" s="3"/>
      <x:c r="BG328" s="3"/>
      <x:c r="BH328" s="13"/>
      <x:c r="BI328" s="13"/>
      <x:c r="BJ328" s="13"/>
      <x:c r="BK328" s="13"/>
      <x:c r="BL328" s="13"/>
      <x:c r="BM328" s="13"/>
      <x:c r="BN328" s="13"/>
      <x:c r="BO328" s="13"/>
      <x:c r="BP328" s="13"/>
      <x:c r="BQ328" s="13"/>
      <x:c r="BR328" s="13"/>
      <x:c r="BS328" s="13"/>
      <x:c r="BT328" s="13"/>
      <x:c r="BU328" s="13"/>
      <x:c r="BV328" s="13"/>
      <x:c r="BW328" s="13"/>
      <x:c r="BX328" s="13"/>
      <x:c r="BY328" s="13"/>
      <x:c r="BZ328" s="13"/>
      <x:c r="CA328" s="13"/>
      <x:c r="CB328" s="13"/>
      <x:c r="CC328" s="13"/>
      <x:c r="CD328" s="13"/>
      <x:c r="CE328" s="13"/>
      <x:c r="CF328" s="13"/>
      <x:c r="CG328" s="13"/>
    </x:row>
    <x:row r="329" ht="14.25" customHeight="1">
      <x:c r="AA329" s="3"/>
      <x:c r="AF329" s="3"/>
      <x:c r="AG329" s="3"/>
      <x:c r="AH329" s="3"/>
      <x:c r="AI329" s="3"/>
      <x:c r="AJ329" s="3"/>
      <x:c r="AK329" s="3"/>
      <x:c r="AL329" s="3"/>
      <x:c r="AM329" s="3"/>
      <x:c r="AT329" s="3"/>
      <x:c r="AU329" s="3"/>
      <x:c r="AV329" s="3"/>
      <x:c r="AW329" s="3"/>
      <x:c r="AX329" s="3"/>
      <x:c r="AY329" s="3"/>
      <x:c r="AZ329" s="3"/>
      <x:c r="BA329" s="3"/>
      <x:c r="BC329" s="3"/>
      <x:c r="BD329" s="3"/>
      <x:c r="BE329" s="3"/>
      <x:c r="BF329" s="3"/>
      <x:c r="BG329" s="3"/>
      <x:c r="BH329" s="13"/>
      <x:c r="BI329" s="13"/>
      <x:c r="BJ329" s="13"/>
      <x:c r="BK329" s="13"/>
      <x:c r="BL329" s="13"/>
      <x:c r="BM329" s="13"/>
      <x:c r="BN329" s="13"/>
      <x:c r="BO329" s="13"/>
      <x:c r="BP329" s="13"/>
      <x:c r="BQ329" s="13"/>
      <x:c r="BR329" s="13"/>
      <x:c r="BS329" s="13"/>
      <x:c r="BT329" s="13"/>
      <x:c r="BU329" s="13"/>
      <x:c r="BV329" s="13"/>
      <x:c r="BW329" s="13"/>
      <x:c r="BX329" s="13"/>
      <x:c r="BY329" s="13"/>
      <x:c r="BZ329" s="13"/>
      <x:c r="CA329" s="13"/>
      <x:c r="CB329" s="13"/>
      <x:c r="CC329" s="13"/>
      <x:c r="CD329" s="13"/>
      <x:c r="CE329" s="13"/>
      <x:c r="CF329" s="13"/>
      <x:c r="CG329" s="13"/>
    </x:row>
    <x:row r="330" ht="14.25" customHeight="1">
      <x:c r="AA330" s="3"/>
      <x:c r="AF330" s="3"/>
      <x:c r="AG330" s="3"/>
      <x:c r="AH330" s="3"/>
      <x:c r="AI330" s="3"/>
      <x:c r="AJ330" s="3"/>
      <x:c r="AK330" s="3"/>
      <x:c r="AL330" s="3"/>
      <x:c r="AM330" s="3"/>
      <x:c r="AT330" s="3"/>
      <x:c r="AU330" s="3"/>
      <x:c r="AV330" s="3"/>
      <x:c r="AW330" s="3"/>
      <x:c r="AX330" s="3"/>
      <x:c r="AY330" s="3"/>
      <x:c r="AZ330" s="3"/>
      <x:c r="BA330" s="3"/>
      <x:c r="BC330" s="3"/>
      <x:c r="BD330" s="3"/>
      <x:c r="BE330" s="3"/>
      <x:c r="BF330" s="3"/>
      <x:c r="BG330" s="3"/>
      <x:c r="BH330" s="13"/>
      <x:c r="BI330" s="13"/>
      <x:c r="BJ330" s="13"/>
      <x:c r="BK330" s="13"/>
      <x:c r="BL330" s="13"/>
      <x:c r="BM330" s="13"/>
      <x:c r="BN330" s="13"/>
      <x:c r="BO330" s="13"/>
      <x:c r="BP330" s="13"/>
      <x:c r="BQ330" s="13"/>
      <x:c r="BR330" s="13"/>
      <x:c r="BS330" s="13"/>
      <x:c r="BT330" s="13"/>
      <x:c r="BU330" s="13"/>
      <x:c r="BV330" s="13"/>
      <x:c r="BW330" s="13"/>
      <x:c r="BX330" s="13"/>
      <x:c r="BY330" s="13"/>
      <x:c r="BZ330" s="13"/>
      <x:c r="CA330" s="13"/>
      <x:c r="CB330" s="13"/>
      <x:c r="CC330" s="13"/>
      <x:c r="CD330" s="13"/>
      <x:c r="CE330" s="13"/>
      <x:c r="CF330" s="13"/>
      <x:c r="CG330" s="13"/>
    </x:row>
    <x:row r="331" ht="14.25" customHeight="1">
      <x:c r="AA331" s="3"/>
      <x:c r="AF331" s="3"/>
      <x:c r="AG331" s="3"/>
      <x:c r="AH331" s="3"/>
      <x:c r="AI331" s="3"/>
      <x:c r="AJ331" s="3"/>
      <x:c r="AK331" s="3"/>
      <x:c r="AL331" s="3"/>
      <x:c r="AM331" s="3"/>
      <x:c r="AT331" s="3"/>
      <x:c r="AU331" s="3"/>
      <x:c r="AV331" s="3"/>
      <x:c r="AW331" s="3"/>
      <x:c r="AX331" s="3"/>
      <x:c r="AY331" s="3"/>
      <x:c r="AZ331" s="3"/>
      <x:c r="BA331" s="3"/>
      <x:c r="BC331" s="3"/>
      <x:c r="BD331" s="3"/>
      <x:c r="BE331" s="3"/>
      <x:c r="BF331" s="3"/>
      <x:c r="BG331" s="3"/>
      <x:c r="BH331" s="13"/>
      <x:c r="BI331" s="13"/>
      <x:c r="BJ331" s="13"/>
      <x:c r="BK331" s="13"/>
      <x:c r="BL331" s="13"/>
      <x:c r="BM331" s="13"/>
      <x:c r="BN331" s="13"/>
      <x:c r="BO331" s="13"/>
      <x:c r="BP331" s="13"/>
      <x:c r="BQ331" s="13"/>
      <x:c r="BR331" s="13"/>
      <x:c r="BS331" s="13"/>
      <x:c r="BT331" s="13"/>
      <x:c r="BU331" s="13"/>
      <x:c r="BV331" s="13"/>
      <x:c r="BW331" s="13"/>
      <x:c r="BX331" s="13"/>
      <x:c r="BY331" s="13"/>
      <x:c r="BZ331" s="13"/>
      <x:c r="CA331" s="13"/>
      <x:c r="CB331" s="13"/>
      <x:c r="CC331" s="13"/>
      <x:c r="CD331" s="13"/>
      <x:c r="CE331" s="13"/>
      <x:c r="CF331" s="13"/>
      <x:c r="CG331" s="13"/>
    </x:row>
    <x:row r="332" ht="14.25" customHeight="1">
      <x:c r="AA332" s="3"/>
      <x:c r="AF332" s="3"/>
      <x:c r="AG332" s="3"/>
      <x:c r="AH332" s="3"/>
      <x:c r="AI332" s="3"/>
      <x:c r="AJ332" s="3"/>
      <x:c r="AK332" s="3"/>
      <x:c r="AL332" s="3"/>
      <x:c r="AM332" s="3"/>
      <x:c r="AT332" s="3"/>
      <x:c r="AU332" s="3"/>
      <x:c r="AV332" s="3"/>
      <x:c r="AW332" s="3"/>
      <x:c r="AX332" s="3"/>
      <x:c r="AY332" s="3"/>
      <x:c r="AZ332" s="3"/>
      <x:c r="BA332" s="3"/>
      <x:c r="BC332" s="3"/>
      <x:c r="BD332" s="3"/>
      <x:c r="BE332" s="3"/>
      <x:c r="BF332" s="3"/>
      <x:c r="BG332" s="3"/>
      <x:c r="BH332" s="13"/>
      <x:c r="BI332" s="13"/>
      <x:c r="BJ332" s="13"/>
      <x:c r="BK332" s="13"/>
      <x:c r="BL332" s="13"/>
      <x:c r="BM332" s="13"/>
      <x:c r="BN332" s="13"/>
      <x:c r="BO332" s="13"/>
      <x:c r="BP332" s="13"/>
      <x:c r="BQ332" s="13"/>
      <x:c r="BR332" s="13"/>
      <x:c r="BS332" s="13"/>
      <x:c r="BT332" s="13"/>
      <x:c r="BU332" s="13"/>
      <x:c r="BV332" s="13"/>
      <x:c r="BW332" s="13"/>
      <x:c r="BX332" s="13"/>
      <x:c r="BY332" s="13"/>
      <x:c r="BZ332" s="13"/>
      <x:c r="CA332" s="13"/>
      <x:c r="CB332" s="13"/>
      <x:c r="CC332" s="13"/>
      <x:c r="CD332" s="13"/>
      <x:c r="CE332" s="13"/>
      <x:c r="CF332" s="13"/>
      <x:c r="CG332" s="13"/>
    </x:row>
    <x:row r="333" ht="14.25" customHeight="1">
      <x:c r="AA333" s="3"/>
      <x:c r="AF333" s="3"/>
      <x:c r="AG333" s="3"/>
      <x:c r="AH333" s="3"/>
      <x:c r="AI333" s="3"/>
      <x:c r="AJ333" s="3"/>
      <x:c r="AK333" s="3"/>
      <x:c r="AL333" s="3"/>
      <x:c r="AM333" s="3"/>
      <x:c r="AT333" s="3"/>
      <x:c r="AU333" s="3"/>
      <x:c r="AV333" s="3"/>
      <x:c r="AW333" s="3"/>
      <x:c r="AX333" s="3"/>
      <x:c r="AY333" s="3"/>
      <x:c r="AZ333" s="3"/>
      <x:c r="BA333" s="3"/>
      <x:c r="BC333" s="3"/>
      <x:c r="BD333" s="3"/>
      <x:c r="BE333" s="3"/>
      <x:c r="BF333" s="3"/>
      <x:c r="BG333" s="3"/>
      <x:c r="BH333" s="13"/>
      <x:c r="BI333" s="13"/>
      <x:c r="BJ333" s="13"/>
      <x:c r="BK333" s="13"/>
      <x:c r="BL333" s="13"/>
      <x:c r="BM333" s="13"/>
      <x:c r="BN333" s="13"/>
      <x:c r="BO333" s="13"/>
      <x:c r="BP333" s="13"/>
      <x:c r="BQ333" s="13"/>
      <x:c r="BR333" s="13"/>
      <x:c r="BS333" s="13"/>
      <x:c r="BT333" s="13"/>
      <x:c r="BU333" s="13"/>
      <x:c r="BV333" s="13"/>
      <x:c r="BW333" s="13"/>
      <x:c r="BX333" s="13"/>
      <x:c r="BY333" s="13"/>
      <x:c r="BZ333" s="13"/>
      <x:c r="CA333" s="13"/>
      <x:c r="CB333" s="13"/>
      <x:c r="CC333" s="13"/>
      <x:c r="CD333" s="13"/>
      <x:c r="CE333" s="13"/>
      <x:c r="CF333" s="13"/>
      <x:c r="CG333" s="13"/>
    </x:row>
    <x:row r="334" ht="14.25" customHeight="1">
      <x:c r="AA334" s="3"/>
      <x:c r="AF334" s="3"/>
      <x:c r="AG334" s="3"/>
      <x:c r="AH334" s="3"/>
      <x:c r="AI334" s="3"/>
      <x:c r="AJ334" s="3"/>
      <x:c r="AK334" s="3"/>
      <x:c r="AL334" s="3"/>
      <x:c r="AM334" s="3"/>
      <x:c r="AT334" s="3"/>
      <x:c r="AU334" s="3"/>
      <x:c r="AV334" s="3"/>
      <x:c r="AW334" s="3"/>
      <x:c r="AX334" s="3"/>
      <x:c r="AY334" s="3"/>
      <x:c r="AZ334" s="3"/>
      <x:c r="BA334" s="3"/>
      <x:c r="BC334" s="3"/>
      <x:c r="BD334" s="3"/>
      <x:c r="BE334" s="3"/>
      <x:c r="BF334" s="3"/>
      <x:c r="BG334" s="3"/>
      <x:c r="BH334" s="13"/>
      <x:c r="BI334" s="13"/>
      <x:c r="BJ334" s="13"/>
      <x:c r="BK334" s="13"/>
      <x:c r="BL334" s="13"/>
      <x:c r="BM334" s="13"/>
      <x:c r="BN334" s="13"/>
      <x:c r="BO334" s="13"/>
      <x:c r="BP334" s="13"/>
      <x:c r="BQ334" s="13"/>
      <x:c r="BR334" s="13"/>
      <x:c r="BS334" s="13"/>
      <x:c r="BT334" s="13"/>
      <x:c r="BU334" s="13"/>
      <x:c r="BV334" s="13"/>
      <x:c r="BW334" s="13"/>
      <x:c r="BX334" s="13"/>
      <x:c r="BY334" s="13"/>
      <x:c r="BZ334" s="13"/>
      <x:c r="CA334" s="13"/>
      <x:c r="CB334" s="13"/>
      <x:c r="CC334" s="13"/>
      <x:c r="CD334" s="13"/>
      <x:c r="CE334" s="13"/>
      <x:c r="CF334" s="13"/>
      <x:c r="CG334" s="13"/>
    </x:row>
    <x:row r="335" ht="14.25" customHeight="1">
      <x:c r="AA335" s="3"/>
      <x:c r="AF335" s="3"/>
      <x:c r="AG335" s="3"/>
      <x:c r="AH335" s="3"/>
      <x:c r="AI335" s="3"/>
      <x:c r="AJ335" s="3"/>
      <x:c r="AK335" s="3"/>
      <x:c r="AL335" s="3"/>
      <x:c r="AM335" s="3"/>
      <x:c r="AT335" s="3"/>
      <x:c r="AU335" s="3"/>
      <x:c r="AV335" s="3"/>
      <x:c r="AW335" s="3"/>
      <x:c r="AX335" s="3"/>
      <x:c r="AY335" s="3"/>
      <x:c r="AZ335" s="3"/>
      <x:c r="BA335" s="3"/>
      <x:c r="BC335" s="3"/>
      <x:c r="BD335" s="3"/>
      <x:c r="BE335" s="3"/>
      <x:c r="BF335" s="3"/>
      <x:c r="BG335" s="3"/>
      <x:c r="BH335" s="13"/>
      <x:c r="BI335" s="13"/>
      <x:c r="BJ335" s="13"/>
      <x:c r="BK335" s="13"/>
      <x:c r="BL335" s="13"/>
      <x:c r="BM335" s="13"/>
      <x:c r="BN335" s="13"/>
      <x:c r="BO335" s="13"/>
      <x:c r="BP335" s="13"/>
      <x:c r="BQ335" s="13"/>
      <x:c r="BR335" s="13"/>
      <x:c r="BS335" s="13"/>
      <x:c r="BT335" s="13"/>
      <x:c r="BU335" s="13"/>
      <x:c r="BV335" s="13"/>
      <x:c r="BW335" s="13"/>
      <x:c r="BX335" s="13"/>
      <x:c r="BY335" s="13"/>
      <x:c r="BZ335" s="13"/>
      <x:c r="CA335" s="13"/>
      <x:c r="CB335" s="13"/>
      <x:c r="CC335" s="13"/>
      <x:c r="CD335" s="13"/>
      <x:c r="CE335" s="13"/>
      <x:c r="CF335" s="13"/>
      <x:c r="CG335" s="13"/>
    </x:row>
    <x:row r="336" ht="14.25" customHeight="1">
      <x:c r="AA336" s="3"/>
      <x:c r="AF336" s="3"/>
      <x:c r="AG336" s="3"/>
      <x:c r="AH336" s="3"/>
      <x:c r="AI336" s="3"/>
      <x:c r="AJ336" s="3"/>
      <x:c r="AK336" s="3"/>
      <x:c r="AL336" s="3"/>
      <x:c r="AM336" s="3"/>
      <x:c r="AT336" s="3"/>
      <x:c r="AU336" s="3"/>
      <x:c r="AV336" s="3"/>
      <x:c r="AW336" s="3"/>
      <x:c r="AX336" s="3"/>
      <x:c r="AY336" s="3"/>
      <x:c r="AZ336" s="3"/>
      <x:c r="BA336" s="3"/>
      <x:c r="BC336" s="3"/>
      <x:c r="BD336" s="3"/>
      <x:c r="BE336" s="3"/>
      <x:c r="BF336" s="3"/>
      <x:c r="BG336" s="3"/>
      <x:c r="BH336" s="13"/>
      <x:c r="BI336" s="13"/>
      <x:c r="BJ336" s="13"/>
      <x:c r="BK336" s="13"/>
      <x:c r="BL336" s="13"/>
      <x:c r="BM336" s="13"/>
      <x:c r="BN336" s="13"/>
      <x:c r="BO336" s="13"/>
      <x:c r="BP336" s="13"/>
      <x:c r="BQ336" s="13"/>
      <x:c r="BR336" s="13"/>
      <x:c r="BS336" s="13"/>
      <x:c r="BT336" s="13"/>
      <x:c r="BU336" s="13"/>
      <x:c r="BV336" s="13"/>
      <x:c r="BW336" s="13"/>
      <x:c r="BX336" s="13"/>
      <x:c r="BY336" s="13"/>
      <x:c r="BZ336" s="13"/>
      <x:c r="CA336" s="13"/>
      <x:c r="CB336" s="13"/>
      <x:c r="CC336" s="13"/>
      <x:c r="CD336" s="13"/>
      <x:c r="CE336" s="13"/>
      <x:c r="CF336" s="13"/>
      <x:c r="CG336" s="13"/>
    </x:row>
    <x:row r="337" ht="14.25" customHeight="1">
      <x:c r="AA337" s="3"/>
      <x:c r="AF337" s="3"/>
      <x:c r="AG337" s="3"/>
      <x:c r="AH337" s="3"/>
      <x:c r="AI337" s="3"/>
      <x:c r="AJ337" s="3"/>
      <x:c r="AK337" s="3"/>
      <x:c r="AL337" s="3"/>
      <x:c r="AM337" s="3"/>
      <x:c r="AT337" s="3"/>
      <x:c r="AU337" s="3"/>
      <x:c r="AV337" s="3"/>
      <x:c r="AW337" s="3"/>
      <x:c r="AX337" s="3"/>
      <x:c r="AY337" s="3"/>
      <x:c r="AZ337" s="3"/>
      <x:c r="BA337" s="3"/>
      <x:c r="BC337" s="3"/>
      <x:c r="BD337" s="3"/>
      <x:c r="BE337" s="3"/>
      <x:c r="BF337" s="3"/>
      <x:c r="BG337" s="3"/>
      <x:c r="BH337" s="13"/>
      <x:c r="BI337" s="13"/>
      <x:c r="BJ337" s="13"/>
      <x:c r="BK337" s="13"/>
      <x:c r="BL337" s="13"/>
      <x:c r="BM337" s="13"/>
      <x:c r="BN337" s="13"/>
      <x:c r="BO337" s="13"/>
      <x:c r="BP337" s="13"/>
      <x:c r="BQ337" s="13"/>
      <x:c r="BR337" s="13"/>
      <x:c r="BS337" s="13"/>
      <x:c r="BT337" s="13"/>
      <x:c r="BU337" s="13"/>
      <x:c r="BV337" s="13"/>
      <x:c r="BW337" s="13"/>
      <x:c r="BX337" s="13"/>
      <x:c r="BY337" s="13"/>
      <x:c r="BZ337" s="13"/>
      <x:c r="CA337" s="13"/>
      <x:c r="CB337" s="13"/>
      <x:c r="CC337" s="13"/>
      <x:c r="CD337" s="13"/>
      <x:c r="CE337" s="13"/>
      <x:c r="CF337" s="13"/>
      <x:c r="CG337" s="13"/>
    </x:row>
    <x:row r="338" ht="14.25" customHeight="1">
      <x:c r="AA338" s="3"/>
      <x:c r="AF338" s="3"/>
      <x:c r="AG338" s="3"/>
      <x:c r="AH338" s="3"/>
      <x:c r="AI338" s="3"/>
      <x:c r="AJ338" s="3"/>
      <x:c r="AK338" s="3"/>
      <x:c r="AL338" s="3"/>
      <x:c r="AM338" s="3"/>
      <x:c r="AT338" s="3"/>
      <x:c r="AU338" s="3"/>
      <x:c r="AV338" s="3"/>
      <x:c r="AW338" s="3"/>
      <x:c r="AX338" s="3"/>
      <x:c r="AY338" s="3"/>
      <x:c r="AZ338" s="3"/>
      <x:c r="BA338" s="3"/>
      <x:c r="BC338" s="3"/>
      <x:c r="BD338" s="3"/>
      <x:c r="BE338" s="3"/>
      <x:c r="BF338" s="3"/>
      <x:c r="BG338" s="3"/>
      <x:c r="BH338" s="13"/>
      <x:c r="BI338" s="13"/>
      <x:c r="BJ338" s="13"/>
      <x:c r="BK338" s="13"/>
      <x:c r="BL338" s="13"/>
      <x:c r="BM338" s="13"/>
      <x:c r="BN338" s="13"/>
      <x:c r="BO338" s="13"/>
      <x:c r="BP338" s="13"/>
      <x:c r="BQ338" s="13"/>
      <x:c r="BR338" s="13"/>
      <x:c r="BS338" s="13"/>
      <x:c r="BT338" s="13"/>
      <x:c r="BU338" s="13"/>
      <x:c r="BV338" s="13"/>
      <x:c r="BW338" s="13"/>
      <x:c r="BX338" s="13"/>
      <x:c r="BY338" s="13"/>
      <x:c r="BZ338" s="13"/>
      <x:c r="CA338" s="13"/>
      <x:c r="CB338" s="13"/>
      <x:c r="CC338" s="13"/>
      <x:c r="CD338" s="13"/>
      <x:c r="CE338" s="13"/>
      <x:c r="CF338" s="13"/>
      <x:c r="CG338" s="13"/>
    </x:row>
    <x:row r="339" ht="14.25" customHeight="1">
      <x:c r="AA339" s="3"/>
      <x:c r="AF339" s="3"/>
      <x:c r="AG339" s="3"/>
      <x:c r="AH339" s="3"/>
      <x:c r="AI339" s="3"/>
      <x:c r="AJ339" s="3"/>
      <x:c r="AK339" s="3"/>
      <x:c r="AL339" s="3"/>
      <x:c r="AM339" s="3"/>
      <x:c r="AT339" s="3"/>
      <x:c r="AU339" s="3"/>
      <x:c r="AV339" s="3"/>
      <x:c r="AW339" s="3"/>
      <x:c r="AX339" s="3"/>
      <x:c r="AY339" s="3"/>
      <x:c r="AZ339" s="3"/>
      <x:c r="BA339" s="3"/>
      <x:c r="BC339" s="3"/>
      <x:c r="BD339" s="3"/>
      <x:c r="BE339" s="3"/>
      <x:c r="BF339" s="3"/>
      <x:c r="BG339" s="3"/>
      <x:c r="BH339" s="13"/>
      <x:c r="BI339" s="13"/>
      <x:c r="BJ339" s="13"/>
      <x:c r="BK339" s="13"/>
      <x:c r="BL339" s="13"/>
      <x:c r="BM339" s="13"/>
      <x:c r="BN339" s="13"/>
      <x:c r="BO339" s="13"/>
      <x:c r="BP339" s="13"/>
      <x:c r="BQ339" s="13"/>
      <x:c r="BR339" s="13"/>
      <x:c r="BS339" s="13"/>
      <x:c r="BT339" s="13"/>
      <x:c r="BU339" s="13"/>
      <x:c r="BV339" s="13"/>
      <x:c r="BW339" s="13"/>
      <x:c r="BX339" s="13"/>
      <x:c r="BY339" s="13"/>
      <x:c r="BZ339" s="13"/>
      <x:c r="CA339" s="13"/>
      <x:c r="CB339" s="13"/>
      <x:c r="CC339" s="13"/>
      <x:c r="CD339" s="13"/>
      <x:c r="CE339" s="13"/>
      <x:c r="CF339" s="13"/>
      <x:c r="CG339" s="13"/>
    </x:row>
    <x:row r="340" ht="14.25" customHeight="1">
      <x:c r="AA340" s="3"/>
      <x:c r="AF340" s="3"/>
      <x:c r="AG340" s="3"/>
      <x:c r="AH340" s="3"/>
      <x:c r="AI340" s="3"/>
      <x:c r="AJ340" s="3"/>
      <x:c r="AK340" s="3"/>
      <x:c r="AL340" s="3"/>
      <x:c r="AM340" s="3"/>
      <x:c r="AT340" s="3"/>
      <x:c r="AU340" s="3"/>
      <x:c r="AV340" s="3"/>
      <x:c r="AW340" s="3"/>
      <x:c r="AX340" s="3"/>
      <x:c r="AY340" s="3"/>
      <x:c r="AZ340" s="3"/>
      <x:c r="BA340" s="3"/>
      <x:c r="BC340" s="3"/>
      <x:c r="BD340" s="3"/>
      <x:c r="BE340" s="3"/>
      <x:c r="BF340" s="3"/>
      <x:c r="BG340" s="3"/>
      <x:c r="BH340" s="13"/>
      <x:c r="BI340" s="13"/>
      <x:c r="BJ340" s="13"/>
      <x:c r="BK340" s="13"/>
      <x:c r="BL340" s="13"/>
      <x:c r="BM340" s="13"/>
      <x:c r="BN340" s="13"/>
      <x:c r="BO340" s="13"/>
      <x:c r="BP340" s="13"/>
      <x:c r="BQ340" s="13"/>
      <x:c r="BR340" s="13"/>
      <x:c r="BS340" s="13"/>
      <x:c r="BT340" s="13"/>
      <x:c r="BU340" s="13"/>
      <x:c r="BV340" s="13"/>
      <x:c r="BW340" s="13"/>
      <x:c r="BX340" s="13"/>
      <x:c r="BY340" s="13"/>
      <x:c r="BZ340" s="13"/>
      <x:c r="CA340" s="13"/>
      <x:c r="CB340" s="13"/>
      <x:c r="CC340" s="13"/>
      <x:c r="CD340" s="13"/>
      <x:c r="CE340" s="13"/>
      <x:c r="CF340" s="13"/>
      <x:c r="CG340" s="13"/>
    </x:row>
    <x:row r="341" ht="14.25" customHeight="1">
      <x:c r="AA341" s="3"/>
      <x:c r="AF341" s="3"/>
      <x:c r="AG341" s="3"/>
      <x:c r="AH341" s="3"/>
      <x:c r="AI341" s="3"/>
      <x:c r="AJ341" s="3"/>
      <x:c r="AK341" s="3"/>
      <x:c r="AL341" s="3"/>
      <x:c r="AM341" s="3"/>
      <x:c r="AT341" s="3"/>
      <x:c r="AU341" s="3"/>
      <x:c r="AV341" s="3"/>
      <x:c r="AW341" s="3"/>
      <x:c r="AX341" s="3"/>
      <x:c r="AY341" s="3"/>
      <x:c r="AZ341" s="3"/>
      <x:c r="BA341" s="3"/>
      <x:c r="BC341" s="3"/>
      <x:c r="BD341" s="3"/>
      <x:c r="BE341" s="3"/>
      <x:c r="BF341" s="3"/>
      <x:c r="BG341" s="3"/>
      <x:c r="BH341" s="13"/>
      <x:c r="BI341" s="13"/>
      <x:c r="BJ341" s="13"/>
      <x:c r="BK341" s="13"/>
      <x:c r="BL341" s="13"/>
      <x:c r="BM341" s="13"/>
      <x:c r="BN341" s="13"/>
      <x:c r="BO341" s="13"/>
      <x:c r="BP341" s="13"/>
      <x:c r="BQ341" s="13"/>
      <x:c r="BR341" s="13"/>
      <x:c r="BS341" s="13"/>
      <x:c r="BT341" s="13"/>
      <x:c r="BU341" s="13"/>
      <x:c r="BV341" s="13"/>
      <x:c r="BW341" s="13"/>
      <x:c r="BX341" s="13"/>
      <x:c r="BY341" s="13"/>
      <x:c r="BZ341" s="13"/>
      <x:c r="CA341" s="13"/>
      <x:c r="CB341" s="13"/>
      <x:c r="CC341" s="13"/>
      <x:c r="CD341" s="13"/>
      <x:c r="CE341" s="13"/>
      <x:c r="CF341" s="13"/>
      <x:c r="CG341" s="13"/>
    </x:row>
    <x:row r="342" ht="14.25" customHeight="1">
      <x:c r="AA342" s="3"/>
      <x:c r="AF342" s="3"/>
      <x:c r="AG342" s="3"/>
      <x:c r="AH342" s="3"/>
      <x:c r="AI342" s="3"/>
      <x:c r="AJ342" s="3"/>
      <x:c r="AK342" s="3"/>
      <x:c r="AL342" s="3"/>
      <x:c r="AM342" s="3"/>
      <x:c r="AT342" s="3"/>
      <x:c r="AU342" s="3"/>
      <x:c r="AV342" s="3"/>
      <x:c r="AW342" s="3"/>
      <x:c r="AX342" s="3"/>
      <x:c r="AY342" s="3"/>
      <x:c r="AZ342" s="3"/>
      <x:c r="BA342" s="3"/>
      <x:c r="BC342" s="3"/>
      <x:c r="BD342" s="3"/>
      <x:c r="BE342" s="3"/>
      <x:c r="BF342" s="3"/>
      <x:c r="BG342" s="3"/>
      <x:c r="BH342" s="13"/>
      <x:c r="BI342" s="13"/>
      <x:c r="BJ342" s="13"/>
      <x:c r="BK342" s="13"/>
      <x:c r="BL342" s="13"/>
      <x:c r="BM342" s="13"/>
      <x:c r="BN342" s="13"/>
      <x:c r="BO342" s="13"/>
      <x:c r="BP342" s="13"/>
      <x:c r="BQ342" s="13"/>
      <x:c r="BR342" s="13"/>
      <x:c r="BS342" s="13"/>
      <x:c r="BT342" s="13"/>
      <x:c r="BU342" s="13"/>
      <x:c r="BV342" s="13"/>
      <x:c r="BW342" s="13"/>
      <x:c r="BX342" s="13"/>
      <x:c r="BY342" s="13"/>
      <x:c r="BZ342" s="13"/>
      <x:c r="CA342" s="13"/>
      <x:c r="CB342" s="13"/>
      <x:c r="CC342" s="13"/>
      <x:c r="CD342" s="13"/>
      <x:c r="CE342" s="13"/>
      <x:c r="CF342" s="13"/>
      <x:c r="CG342" s="13"/>
    </x:row>
    <x:row r="343" ht="14.25" customHeight="1">
      <x:c r="AA343" s="3"/>
      <x:c r="AF343" s="3"/>
      <x:c r="AG343" s="3"/>
      <x:c r="AH343" s="3"/>
      <x:c r="AI343" s="3"/>
      <x:c r="AJ343" s="3"/>
      <x:c r="AK343" s="3"/>
      <x:c r="AL343" s="3"/>
      <x:c r="AM343" s="3"/>
      <x:c r="AT343" s="3"/>
      <x:c r="AU343" s="3"/>
      <x:c r="AV343" s="3"/>
      <x:c r="AW343" s="3"/>
      <x:c r="AX343" s="3"/>
      <x:c r="AY343" s="3"/>
      <x:c r="AZ343" s="3"/>
      <x:c r="BA343" s="3"/>
      <x:c r="BC343" s="3"/>
      <x:c r="BD343" s="3"/>
      <x:c r="BE343" s="3"/>
      <x:c r="BF343" s="3"/>
      <x:c r="BG343" s="3"/>
      <x:c r="BH343" s="13"/>
      <x:c r="BI343" s="13"/>
      <x:c r="BJ343" s="13"/>
      <x:c r="BK343" s="13"/>
      <x:c r="BL343" s="13"/>
      <x:c r="BM343" s="13"/>
      <x:c r="BN343" s="13"/>
      <x:c r="BO343" s="13"/>
      <x:c r="BP343" s="13"/>
      <x:c r="BQ343" s="13"/>
      <x:c r="BR343" s="13"/>
      <x:c r="BS343" s="13"/>
      <x:c r="BT343" s="13"/>
      <x:c r="BU343" s="13"/>
      <x:c r="BV343" s="13"/>
      <x:c r="BW343" s="13"/>
      <x:c r="BX343" s="13"/>
      <x:c r="BY343" s="13"/>
      <x:c r="BZ343" s="13"/>
      <x:c r="CA343" s="13"/>
      <x:c r="CB343" s="13"/>
      <x:c r="CC343" s="13"/>
      <x:c r="CD343" s="13"/>
      <x:c r="CE343" s="13"/>
      <x:c r="CF343" s="13"/>
      <x:c r="CG343" s="13"/>
    </x:row>
    <x:row r="344" ht="14.25" customHeight="1">
      <x:c r="AA344" s="3"/>
      <x:c r="AF344" s="3"/>
      <x:c r="AG344" s="3"/>
      <x:c r="AH344" s="3"/>
      <x:c r="AI344" s="3"/>
      <x:c r="AJ344" s="3"/>
      <x:c r="AK344" s="3"/>
      <x:c r="AL344" s="3"/>
      <x:c r="AM344" s="3"/>
      <x:c r="AT344" s="3"/>
      <x:c r="AU344" s="3"/>
      <x:c r="AV344" s="3"/>
      <x:c r="AW344" s="3"/>
      <x:c r="AX344" s="3"/>
      <x:c r="AY344" s="3"/>
      <x:c r="AZ344" s="3"/>
      <x:c r="BA344" s="3"/>
      <x:c r="BC344" s="3"/>
      <x:c r="BD344" s="3"/>
      <x:c r="BE344" s="3"/>
      <x:c r="BF344" s="3"/>
      <x:c r="BG344" s="3"/>
      <x:c r="BH344" s="13"/>
      <x:c r="BI344" s="13"/>
      <x:c r="BJ344" s="13"/>
      <x:c r="BK344" s="13"/>
      <x:c r="BL344" s="13"/>
      <x:c r="BM344" s="13"/>
      <x:c r="BN344" s="13"/>
      <x:c r="BO344" s="13"/>
      <x:c r="BP344" s="13"/>
      <x:c r="BQ344" s="13"/>
      <x:c r="BR344" s="13"/>
      <x:c r="BS344" s="13"/>
      <x:c r="BT344" s="13"/>
      <x:c r="BU344" s="13"/>
      <x:c r="BV344" s="13"/>
      <x:c r="BW344" s="13"/>
      <x:c r="BX344" s="13"/>
      <x:c r="BY344" s="13"/>
      <x:c r="BZ344" s="13"/>
      <x:c r="CA344" s="13"/>
      <x:c r="CB344" s="13"/>
      <x:c r="CC344" s="13"/>
      <x:c r="CD344" s="13"/>
      <x:c r="CE344" s="13"/>
      <x:c r="CF344" s="13"/>
      <x:c r="CG344" s="13"/>
    </x:row>
    <x:row r="345" ht="14.25" customHeight="1">
      <x:c r="AA345" s="3"/>
      <x:c r="AF345" s="3"/>
      <x:c r="AG345" s="3"/>
      <x:c r="AH345" s="3"/>
      <x:c r="AI345" s="3"/>
      <x:c r="AJ345" s="3"/>
      <x:c r="AK345" s="3"/>
      <x:c r="AL345" s="3"/>
      <x:c r="AM345" s="3"/>
      <x:c r="AT345" s="3"/>
      <x:c r="AU345" s="3"/>
      <x:c r="AV345" s="3"/>
      <x:c r="AW345" s="3"/>
      <x:c r="AX345" s="3"/>
      <x:c r="AY345" s="3"/>
      <x:c r="AZ345" s="3"/>
      <x:c r="BA345" s="3"/>
      <x:c r="BC345" s="3"/>
      <x:c r="BD345" s="3"/>
      <x:c r="BE345" s="3"/>
      <x:c r="BF345" s="3"/>
      <x:c r="BG345" s="3"/>
      <x:c r="BH345" s="13"/>
      <x:c r="BI345" s="13"/>
      <x:c r="BJ345" s="13"/>
      <x:c r="BK345" s="13"/>
      <x:c r="BL345" s="13"/>
      <x:c r="BM345" s="13"/>
      <x:c r="BN345" s="13"/>
      <x:c r="BO345" s="13"/>
      <x:c r="BP345" s="13"/>
      <x:c r="BQ345" s="13"/>
      <x:c r="BR345" s="13"/>
      <x:c r="BS345" s="13"/>
      <x:c r="BT345" s="13"/>
      <x:c r="BU345" s="13"/>
      <x:c r="BV345" s="13"/>
      <x:c r="BW345" s="13"/>
      <x:c r="BX345" s="13"/>
      <x:c r="BY345" s="13"/>
      <x:c r="BZ345" s="13"/>
      <x:c r="CA345" s="13"/>
      <x:c r="CB345" s="13"/>
      <x:c r="CC345" s="13"/>
      <x:c r="CD345" s="13"/>
      <x:c r="CE345" s="13"/>
      <x:c r="CF345" s="13"/>
      <x:c r="CG345" s="13"/>
    </x:row>
    <x:row r="346" ht="14.25" customHeight="1">
      <x:c r="AA346" s="3"/>
      <x:c r="AF346" s="3"/>
      <x:c r="AG346" s="3"/>
      <x:c r="AH346" s="3"/>
      <x:c r="AI346" s="3"/>
      <x:c r="AJ346" s="3"/>
      <x:c r="AK346" s="3"/>
      <x:c r="AL346" s="3"/>
      <x:c r="AM346" s="3"/>
      <x:c r="AT346" s="3"/>
      <x:c r="AU346" s="3"/>
      <x:c r="AV346" s="3"/>
      <x:c r="AW346" s="3"/>
      <x:c r="AX346" s="3"/>
      <x:c r="AY346" s="3"/>
      <x:c r="AZ346" s="3"/>
      <x:c r="BA346" s="3"/>
      <x:c r="BC346" s="3"/>
      <x:c r="BD346" s="3"/>
      <x:c r="BE346" s="3"/>
      <x:c r="BF346" s="3"/>
      <x:c r="BG346" s="3"/>
      <x:c r="BH346" s="13"/>
      <x:c r="BI346" s="13"/>
      <x:c r="BJ346" s="13"/>
      <x:c r="BK346" s="13"/>
      <x:c r="BL346" s="13"/>
      <x:c r="BM346" s="13"/>
      <x:c r="BN346" s="13"/>
      <x:c r="BO346" s="13"/>
      <x:c r="BP346" s="13"/>
      <x:c r="BQ346" s="13"/>
      <x:c r="BR346" s="13"/>
      <x:c r="BS346" s="13"/>
      <x:c r="BT346" s="13"/>
      <x:c r="BU346" s="13"/>
      <x:c r="BV346" s="13"/>
      <x:c r="BW346" s="13"/>
      <x:c r="BX346" s="13"/>
      <x:c r="BY346" s="13"/>
      <x:c r="BZ346" s="13"/>
      <x:c r="CA346" s="13"/>
      <x:c r="CB346" s="13"/>
      <x:c r="CC346" s="13"/>
      <x:c r="CD346" s="13"/>
      <x:c r="CE346" s="13"/>
      <x:c r="CF346" s="13"/>
      <x:c r="CG346" s="13"/>
    </x:row>
    <x:row r="347" ht="14.25" customHeight="1">
      <x:c r="AA347" s="3"/>
      <x:c r="AF347" s="3"/>
      <x:c r="AG347" s="3"/>
      <x:c r="AH347" s="3"/>
      <x:c r="AI347" s="3"/>
      <x:c r="AJ347" s="3"/>
      <x:c r="AK347" s="3"/>
      <x:c r="AL347" s="3"/>
      <x:c r="AM347" s="3"/>
      <x:c r="AT347" s="3"/>
      <x:c r="AU347" s="3"/>
      <x:c r="AV347" s="3"/>
      <x:c r="AW347" s="3"/>
      <x:c r="AX347" s="3"/>
      <x:c r="AY347" s="3"/>
      <x:c r="AZ347" s="3"/>
      <x:c r="BA347" s="3"/>
      <x:c r="BC347" s="3"/>
      <x:c r="BD347" s="3"/>
      <x:c r="BE347" s="3"/>
      <x:c r="BF347" s="3"/>
      <x:c r="BG347" s="3"/>
      <x:c r="BH347" s="13"/>
      <x:c r="BI347" s="13"/>
      <x:c r="BJ347" s="13"/>
      <x:c r="BK347" s="13"/>
      <x:c r="BL347" s="13"/>
      <x:c r="BM347" s="13"/>
      <x:c r="BN347" s="13"/>
      <x:c r="BO347" s="13"/>
      <x:c r="BP347" s="13"/>
      <x:c r="BQ347" s="13"/>
      <x:c r="BR347" s="13"/>
      <x:c r="BS347" s="13"/>
      <x:c r="BT347" s="13"/>
      <x:c r="BU347" s="13"/>
      <x:c r="BV347" s="13"/>
      <x:c r="BW347" s="13"/>
      <x:c r="BX347" s="13"/>
      <x:c r="BY347" s="13"/>
      <x:c r="BZ347" s="13"/>
      <x:c r="CA347" s="13"/>
      <x:c r="CB347" s="13"/>
      <x:c r="CC347" s="13"/>
      <x:c r="CD347" s="13"/>
      <x:c r="CE347" s="13"/>
      <x:c r="CF347" s="13"/>
      <x:c r="CG347" s="13"/>
    </x:row>
    <x:row r="348" ht="14.25" customHeight="1">
      <x:c r="AA348" s="3"/>
      <x:c r="AF348" s="3"/>
      <x:c r="AG348" s="3"/>
      <x:c r="AH348" s="3"/>
      <x:c r="AI348" s="3"/>
      <x:c r="AJ348" s="3"/>
      <x:c r="AK348" s="3"/>
      <x:c r="AL348" s="3"/>
      <x:c r="AM348" s="3"/>
      <x:c r="AT348" s="3"/>
      <x:c r="AU348" s="3"/>
      <x:c r="AV348" s="3"/>
      <x:c r="AW348" s="3"/>
      <x:c r="AX348" s="3"/>
      <x:c r="AY348" s="3"/>
      <x:c r="AZ348" s="3"/>
      <x:c r="BA348" s="3"/>
      <x:c r="BC348" s="3"/>
      <x:c r="BD348" s="3"/>
      <x:c r="BE348" s="3"/>
      <x:c r="BF348" s="3"/>
      <x:c r="BG348" s="3"/>
      <x:c r="BH348" s="13"/>
      <x:c r="BI348" s="13"/>
      <x:c r="BJ348" s="13"/>
      <x:c r="BK348" s="13"/>
      <x:c r="BL348" s="13"/>
      <x:c r="BM348" s="13"/>
      <x:c r="BN348" s="13"/>
      <x:c r="BO348" s="13"/>
      <x:c r="BP348" s="13"/>
      <x:c r="BQ348" s="13"/>
      <x:c r="BR348" s="13"/>
      <x:c r="BS348" s="13"/>
      <x:c r="BT348" s="13"/>
      <x:c r="BU348" s="13"/>
      <x:c r="BV348" s="13"/>
      <x:c r="BW348" s="13"/>
      <x:c r="BX348" s="13"/>
      <x:c r="BY348" s="13"/>
      <x:c r="BZ348" s="13"/>
      <x:c r="CA348" s="13"/>
      <x:c r="CB348" s="13"/>
      <x:c r="CC348" s="13"/>
      <x:c r="CD348" s="13"/>
      <x:c r="CE348" s="13"/>
      <x:c r="CF348" s="13"/>
      <x:c r="CG348" s="13"/>
    </x:row>
    <x:row r="349" ht="14.25" customHeight="1">
      <x:c r="AA349" s="3"/>
      <x:c r="AF349" s="3"/>
      <x:c r="AG349" s="3"/>
      <x:c r="AH349" s="3"/>
      <x:c r="AI349" s="3"/>
      <x:c r="AJ349" s="3"/>
      <x:c r="AK349" s="3"/>
      <x:c r="AL349" s="3"/>
      <x:c r="AM349" s="3"/>
      <x:c r="AT349" s="3"/>
      <x:c r="AU349" s="3"/>
      <x:c r="AV349" s="3"/>
      <x:c r="AW349" s="3"/>
      <x:c r="AX349" s="3"/>
      <x:c r="AY349" s="3"/>
      <x:c r="AZ349" s="3"/>
      <x:c r="BA349" s="3"/>
      <x:c r="BC349" s="3"/>
      <x:c r="BD349" s="3"/>
      <x:c r="BE349" s="3"/>
      <x:c r="BF349" s="3"/>
      <x:c r="BG349" s="3"/>
      <x:c r="BH349" s="13"/>
      <x:c r="BI349" s="13"/>
      <x:c r="BJ349" s="13"/>
      <x:c r="BK349" s="13"/>
      <x:c r="BL349" s="13"/>
      <x:c r="BM349" s="13"/>
      <x:c r="BN349" s="13"/>
      <x:c r="BO349" s="13"/>
      <x:c r="BP349" s="13"/>
      <x:c r="BQ349" s="13"/>
      <x:c r="BR349" s="13"/>
      <x:c r="BS349" s="13"/>
      <x:c r="BT349" s="13"/>
      <x:c r="BU349" s="13"/>
      <x:c r="BV349" s="13"/>
      <x:c r="BW349" s="13"/>
      <x:c r="BX349" s="13"/>
      <x:c r="BY349" s="13"/>
      <x:c r="BZ349" s="13"/>
      <x:c r="CA349" s="13"/>
      <x:c r="CB349" s="13"/>
      <x:c r="CC349" s="13"/>
      <x:c r="CD349" s="13"/>
      <x:c r="CE349" s="13"/>
      <x:c r="CF349" s="13"/>
      <x:c r="CG349" s="13"/>
    </x:row>
    <x:row r="350" ht="14.25" customHeight="1">
      <x:c r="AA350" s="3"/>
      <x:c r="AF350" s="3"/>
      <x:c r="AG350" s="3"/>
      <x:c r="AH350" s="3"/>
      <x:c r="AI350" s="3"/>
      <x:c r="AJ350" s="3"/>
      <x:c r="AK350" s="3"/>
      <x:c r="AL350" s="3"/>
      <x:c r="AM350" s="3"/>
      <x:c r="AT350" s="3"/>
      <x:c r="AU350" s="3"/>
      <x:c r="AV350" s="3"/>
      <x:c r="AW350" s="3"/>
      <x:c r="AX350" s="3"/>
      <x:c r="AY350" s="3"/>
      <x:c r="AZ350" s="3"/>
      <x:c r="BA350" s="3"/>
      <x:c r="BC350" s="3"/>
      <x:c r="BD350" s="3"/>
      <x:c r="BE350" s="3"/>
      <x:c r="BF350" s="3"/>
      <x:c r="BG350" s="3"/>
      <x:c r="BH350" s="13"/>
      <x:c r="BI350" s="13"/>
      <x:c r="BJ350" s="13"/>
      <x:c r="BK350" s="13"/>
      <x:c r="BL350" s="13"/>
      <x:c r="BM350" s="13"/>
      <x:c r="BN350" s="13"/>
      <x:c r="BO350" s="13"/>
      <x:c r="BP350" s="13"/>
      <x:c r="BQ350" s="13"/>
      <x:c r="BR350" s="13"/>
      <x:c r="BS350" s="13"/>
      <x:c r="BT350" s="13"/>
      <x:c r="BU350" s="13"/>
      <x:c r="BV350" s="13"/>
      <x:c r="BW350" s="13"/>
      <x:c r="BX350" s="13"/>
      <x:c r="BY350" s="13"/>
      <x:c r="BZ350" s="13"/>
      <x:c r="CA350" s="13"/>
      <x:c r="CB350" s="13"/>
      <x:c r="CC350" s="13"/>
      <x:c r="CD350" s="13"/>
      <x:c r="CE350" s="13"/>
      <x:c r="CF350" s="13"/>
      <x:c r="CG350" s="13"/>
    </x:row>
    <x:row r="351" ht="14.25" customHeight="1">
      <x:c r="AA351" s="3"/>
      <x:c r="AF351" s="3"/>
      <x:c r="AG351" s="3"/>
      <x:c r="AH351" s="3"/>
      <x:c r="AI351" s="3"/>
      <x:c r="AJ351" s="3"/>
      <x:c r="AK351" s="3"/>
      <x:c r="AL351" s="3"/>
      <x:c r="AM351" s="3"/>
      <x:c r="AT351" s="3"/>
      <x:c r="AU351" s="3"/>
      <x:c r="AV351" s="3"/>
      <x:c r="AW351" s="3"/>
      <x:c r="AX351" s="3"/>
      <x:c r="AY351" s="3"/>
      <x:c r="AZ351" s="3"/>
      <x:c r="BA351" s="3"/>
      <x:c r="BC351" s="3"/>
      <x:c r="BD351" s="3"/>
      <x:c r="BE351" s="3"/>
      <x:c r="BF351" s="3"/>
      <x:c r="BG351" s="3"/>
      <x:c r="BH351" s="13"/>
      <x:c r="BI351" s="13"/>
      <x:c r="BJ351" s="13"/>
      <x:c r="BK351" s="13"/>
      <x:c r="BL351" s="13"/>
      <x:c r="BM351" s="13"/>
      <x:c r="BN351" s="13"/>
      <x:c r="BO351" s="13"/>
      <x:c r="BP351" s="13"/>
      <x:c r="BQ351" s="13"/>
      <x:c r="BR351" s="13"/>
      <x:c r="BS351" s="13"/>
      <x:c r="BT351" s="13"/>
      <x:c r="BU351" s="13"/>
      <x:c r="BV351" s="13"/>
      <x:c r="BW351" s="13"/>
      <x:c r="BX351" s="13"/>
      <x:c r="BY351" s="13"/>
      <x:c r="BZ351" s="13"/>
      <x:c r="CA351" s="13"/>
      <x:c r="CB351" s="13"/>
      <x:c r="CC351" s="13"/>
      <x:c r="CD351" s="13"/>
      <x:c r="CE351" s="13"/>
      <x:c r="CF351" s="13"/>
      <x:c r="CG351" s="13"/>
    </x:row>
    <x:row r="352" ht="14.25" customHeight="1">
      <x:c r="AA352" s="3"/>
      <x:c r="AF352" s="3"/>
      <x:c r="AG352" s="3"/>
      <x:c r="AH352" s="3"/>
      <x:c r="AI352" s="3"/>
      <x:c r="AJ352" s="3"/>
      <x:c r="AK352" s="3"/>
      <x:c r="AL352" s="3"/>
      <x:c r="AM352" s="3"/>
      <x:c r="AT352" s="3"/>
      <x:c r="AU352" s="3"/>
      <x:c r="AV352" s="3"/>
      <x:c r="AW352" s="3"/>
      <x:c r="AX352" s="3"/>
      <x:c r="AY352" s="3"/>
      <x:c r="AZ352" s="3"/>
      <x:c r="BA352" s="3"/>
      <x:c r="BC352" s="3"/>
      <x:c r="BD352" s="3"/>
      <x:c r="BE352" s="3"/>
      <x:c r="BF352" s="3"/>
      <x:c r="BG352" s="3"/>
      <x:c r="BH352" s="13"/>
      <x:c r="BI352" s="13"/>
      <x:c r="BJ352" s="13"/>
      <x:c r="BK352" s="13"/>
      <x:c r="BL352" s="13"/>
      <x:c r="BM352" s="13"/>
      <x:c r="BN352" s="13"/>
      <x:c r="BO352" s="13"/>
      <x:c r="BP352" s="13"/>
      <x:c r="BQ352" s="13"/>
      <x:c r="BR352" s="13"/>
      <x:c r="BS352" s="13"/>
      <x:c r="BT352" s="13"/>
      <x:c r="BU352" s="13"/>
      <x:c r="BV352" s="13"/>
      <x:c r="BW352" s="13"/>
      <x:c r="BX352" s="13"/>
      <x:c r="BY352" s="13"/>
      <x:c r="BZ352" s="13"/>
      <x:c r="CA352" s="13"/>
      <x:c r="CB352" s="13"/>
      <x:c r="CC352" s="13"/>
      <x:c r="CD352" s="13"/>
      <x:c r="CE352" s="13"/>
      <x:c r="CF352" s="13"/>
      <x:c r="CG352" s="13"/>
    </x:row>
    <x:row r="353" ht="14.25" customHeight="1">
      <x:c r="AA353" s="3"/>
      <x:c r="AF353" s="3"/>
      <x:c r="AG353" s="3"/>
      <x:c r="AH353" s="3"/>
      <x:c r="AI353" s="3"/>
      <x:c r="AJ353" s="3"/>
      <x:c r="AK353" s="3"/>
      <x:c r="AL353" s="3"/>
      <x:c r="AM353" s="3"/>
      <x:c r="AT353" s="3"/>
      <x:c r="AU353" s="3"/>
      <x:c r="AV353" s="3"/>
      <x:c r="AW353" s="3"/>
      <x:c r="AX353" s="3"/>
      <x:c r="AY353" s="3"/>
      <x:c r="AZ353" s="3"/>
      <x:c r="BA353" s="3"/>
      <x:c r="BC353" s="3"/>
      <x:c r="BD353" s="3"/>
      <x:c r="BE353" s="3"/>
      <x:c r="BF353" s="3"/>
      <x:c r="BG353" s="3"/>
      <x:c r="BH353" s="13"/>
      <x:c r="BI353" s="13"/>
      <x:c r="BJ353" s="13"/>
      <x:c r="BK353" s="13"/>
      <x:c r="BL353" s="13"/>
      <x:c r="BM353" s="13"/>
      <x:c r="BN353" s="13"/>
      <x:c r="BO353" s="13"/>
      <x:c r="BP353" s="13"/>
      <x:c r="BQ353" s="13"/>
      <x:c r="BR353" s="13"/>
      <x:c r="BS353" s="13"/>
      <x:c r="BT353" s="13"/>
      <x:c r="BU353" s="13"/>
      <x:c r="BV353" s="13"/>
      <x:c r="BW353" s="13"/>
      <x:c r="BX353" s="13"/>
      <x:c r="BY353" s="13"/>
      <x:c r="BZ353" s="13"/>
      <x:c r="CA353" s="13"/>
      <x:c r="CB353" s="13"/>
      <x:c r="CC353" s="13"/>
      <x:c r="CD353" s="13"/>
      <x:c r="CE353" s="13"/>
      <x:c r="CF353" s="13"/>
      <x:c r="CG353" s="13"/>
    </x:row>
    <x:row r="354" ht="14.25" customHeight="1">
      <x:c r="AA354" s="3"/>
      <x:c r="AF354" s="3"/>
      <x:c r="AG354" s="3"/>
      <x:c r="AH354" s="3"/>
      <x:c r="AI354" s="3"/>
      <x:c r="AJ354" s="3"/>
      <x:c r="AK354" s="3"/>
      <x:c r="AL354" s="3"/>
      <x:c r="AM354" s="3"/>
      <x:c r="AT354" s="3"/>
      <x:c r="AU354" s="3"/>
      <x:c r="AV354" s="3"/>
      <x:c r="AW354" s="3"/>
      <x:c r="AX354" s="3"/>
      <x:c r="AY354" s="3"/>
      <x:c r="AZ354" s="3"/>
      <x:c r="BA354" s="3"/>
      <x:c r="BC354" s="3"/>
      <x:c r="BD354" s="3"/>
      <x:c r="BE354" s="3"/>
      <x:c r="BF354" s="3"/>
      <x:c r="BG354" s="3"/>
      <x:c r="BH354" s="13"/>
      <x:c r="BI354" s="13"/>
      <x:c r="BJ354" s="13"/>
      <x:c r="BK354" s="13"/>
      <x:c r="BL354" s="13"/>
      <x:c r="BM354" s="13"/>
      <x:c r="BN354" s="13"/>
      <x:c r="BO354" s="13"/>
      <x:c r="BP354" s="13"/>
      <x:c r="BQ354" s="13"/>
      <x:c r="BR354" s="13"/>
      <x:c r="BS354" s="13"/>
      <x:c r="BT354" s="13"/>
      <x:c r="BU354" s="13"/>
      <x:c r="BV354" s="13"/>
      <x:c r="BW354" s="13"/>
      <x:c r="BX354" s="13"/>
      <x:c r="BY354" s="13"/>
      <x:c r="BZ354" s="13"/>
      <x:c r="CA354" s="13"/>
      <x:c r="CB354" s="13"/>
      <x:c r="CC354" s="13"/>
      <x:c r="CD354" s="13"/>
      <x:c r="CE354" s="13"/>
      <x:c r="CF354" s="13"/>
      <x:c r="CG354" s="13"/>
    </x:row>
    <x:row r="355" ht="14.25" customHeight="1">
      <x:c r="AA355" s="3"/>
      <x:c r="AF355" s="3"/>
      <x:c r="AG355" s="3"/>
      <x:c r="AH355" s="3"/>
      <x:c r="AI355" s="3"/>
      <x:c r="AJ355" s="3"/>
      <x:c r="AK355" s="3"/>
      <x:c r="AL355" s="3"/>
      <x:c r="AM355" s="3"/>
      <x:c r="AT355" s="3"/>
      <x:c r="AU355" s="3"/>
      <x:c r="AV355" s="3"/>
      <x:c r="AW355" s="3"/>
      <x:c r="AX355" s="3"/>
      <x:c r="AY355" s="3"/>
      <x:c r="AZ355" s="3"/>
      <x:c r="BA355" s="3"/>
      <x:c r="BC355" s="3"/>
      <x:c r="BD355" s="3"/>
      <x:c r="BE355" s="3"/>
      <x:c r="BF355" s="3"/>
      <x:c r="BG355" s="3"/>
      <x:c r="BH355" s="13"/>
      <x:c r="BI355" s="13"/>
      <x:c r="BJ355" s="13"/>
      <x:c r="BK355" s="13"/>
      <x:c r="BL355" s="13"/>
      <x:c r="BM355" s="13"/>
      <x:c r="BN355" s="13"/>
      <x:c r="BO355" s="13"/>
      <x:c r="BP355" s="13"/>
      <x:c r="BQ355" s="13"/>
      <x:c r="BR355" s="13"/>
      <x:c r="BS355" s="13"/>
      <x:c r="BT355" s="13"/>
      <x:c r="BU355" s="13"/>
      <x:c r="BV355" s="13"/>
      <x:c r="BW355" s="13"/>
      <x:c r="BX355" s="13"/>
      <x:c r="BY355" s="13"/>
      <x:c r="BZ355" s="13"/>
      <x:c r="CA355" s="13"/>
      <x:c r="CB355" s="13"/>
      <x:c r="CC355" s="13"/>
      <x:c r="CD355" s="13"/>
      <x:c r="CE355" s="13"/>
      <x:c r="CF355" s="13"/>
      <x:c r="CG355" s="13"/>
    </x:row>
    <x:row r="356" ht="14.25" customHeight="1">
      <x:c r="AA356" s="3"/>
      <x:c r="AF356" s="3"/>
      <x:c r="AG356" s="3"/>
      <x:c r="AH356" s="3"/>
      <x:c r="AI356" s="3"/>
      <x:c r="AJ356" s="3"/>
      <x:c r="AK356" s="3"/>
      <x:c r="AL356" s="3"/>
      <x:c r="AM356" s="3"/>
      <x:c r="AT356" s="3"/>
      <x:c r="AU356" s="3"/>
      <x:c r="AV356" s="3"/>
      <x:c r="AW356" s="3"/>
      <x:c r="AX356" s="3"/>
      <x:c r="AY356" s="3"/>
      <x:c r="AZ356" s="3"/>
      <x:c r="BA356" s="3"/>
      <x:c r="BC356" s="3"/>
      <x:c r="BD356" s="3"/>
      <x:c r="BE356" s="3"/>
      <x:c r="BF356" s="3"/>
      <x:c r="BG356" s="3"/>
      <x:c r="BH356" s="13"/>
      <x:c r="BI356" s="13"/>
      <x:c r="BJ356" s="13"/>
      <x:c r="BK356" s="13"/>
      <x:c r="BL356" s="13"/>
      <x:c r="BM356" s="13"/>
      <x:c r="BN356" s="13"/>
      <x:c r="BO356" s="13"/>
      <x:c r="BP356" s="13"/>
      <x:c r="BQ356" s="13"/>
      <x:c r="BR356" s="13"/>
      <x:c r="BS356" s="13"/>
      <x:c r="BT356" s="13"/>
      <x:c r="BU356" s="13"/>
      <x:c r="BV356" s="13"/>
      <x:c r="BW356" s="13"/>
      <x:c r="BX356" s="13"/>
      <x:c r="BY356" s="13"/>
      <x:c r="BZ356" s="13"/>
      <x:c r="CA356" s="13"/>
      <x:c r="CB356" s="13"/>
      <x:c r="CC356" s="13"/>
      <x:c r="CD356" s="13"/>
      <x:c r="CE356" s="13"/>
      <x:c r="CF356" s="13"/>
      <x:c r="CG356" s="13"/>
    </x:row>
    <x:row r="357" ht="14.25" customHeight="1">
      <x:c r="AA357" s="3"/>
      <x:c r="AF357" s="3"/>
      <x:c r="AG357" s="3"/>
      <x:c r="AH357" s="3"/>
      <x:c r="AI357" s="3"/>
      <x:c r="AJ357" s="3"/>
      <x:c r="AK357" s="3"/>
      <x:c r="AL357" s="3"/>
      <x:c r="AM357" s="3"/>
      <x:c r="AT357" s="3"/>
      <x:c r="AU357" s="3"/>
      <x:c r="AV357" s="3"/>
      <x:c r="AW357" s="3"/>
      <x:c r="AX357" s="3"/>
      <x:c r="AY357" s="3"/>
      <x:c r="AZ357" s="3"/>
      <x:c r="BA357" s="3"/>
      <x:c r="BC357" s="3"/>
      <x:c r="BD357" s="3"/>
      <x:c r="BE357" s="3"/>
      <x:c r="BF357" s="3"/>
      <x:c r="BG357" s="3"/>
      <x:c r="BH357" s="13"/>
      <x:c r="BI357" s="13"/>
      <x:c r="BJ357" s="13"/>
      <x:c r="BK357" s="13"/>
      <x:c r="BL357" s="13"/>
      <x:c r="BM357" s="13"/>
      <x:c r="BN357" s="13"/>
      <x:c r="BO357" s="13"/>
      <x:c r="BP357" s="13"/>
      <x:c r="BQ357" s="13"/>
      <x:c r="BR357" s="13"/>
      <x:c r="BS357" s="13"/>
      <x:c r="BT357" s="13"/>
      <x:c r="BU357" s="13"/>
      <x:c r="BV357" s="13"/>
      <x:c r="BW357" s="13"/>
      <x:c r="BX357" s="13"/>
      <x:c r="BY357" s="13"/>
      <x:c r="BZ357" s="13"/>
      <x:c r="CA357" s="13"/>
      <x:c r="CB357" s="13"/>
      <x:c r="CC357" s="13"/>
      <x:c r="CD357" s="13"/>
      <x:c r="CE357" s="13"/>
      <x:c r="CF357" s="13"/>
      <x:c r="CG357" s="13"/>
    </x:row>
    <x:row r="358" ht="14.25" customHeight="1">
      <x:c r="AA358" s="3"/>
      <x:c r="AF358" s="3"/>
      <x:c r="AG358" s="3"/>
      <x:c r="AH358" s="3"/>
      <x:c r="AI358" s="3"/>
      <x:c r="AJ358" s="3"/>
      <x:c r="AK358" s="3"/>
      <x:c r="AL358" s="3"/>
      <x:c r="AM358" s="3"/>
      <x:c r="AT358" s="3"/>
      <x:c r="AU358" s="3"/>
      <x:c r="AV358" s="3"/>
      <x:c r="AW358" s="3"/>
      <x:c r="AX358" s="3"/>
      <x:c r="AY358" s="3"/>
      <x:c r="AZ358" s="3"/>
      <x:c r="BA358" s="3"/>
      <x:c r="BC358" s="3"/>
      <x:c r="BD358" s="3"/>
      <x:c r="BE358" s="3"/>
      <x:c r="BF358" s="3"/>
      <x:c r="BG358" s="3"/>
      <x:c r="BH358" s="13"/>
      <x:c r="BI358" s="13"/>
      <x:c r="BJ358" s="13"/>
      <x:c r="BK358" s="13"/>
      <x:c r="BL358" s="13"/>
      <x:c r="BM358" s="13"/>
      <x:c r="BN358" s="13"/>
      <x:c r="BO358" s="13"/>
      <x:c r="BP358" s="13"/>
      <x:c r="BQ358" s="13"/>
      <x:c r="BR358" s="13"/>
      <x:c r="BS358" s="13"/>
      <x:c r="BT358" s="13"/>
      <x:c r="BU358" s="13"/>
      <x:c r="BV358" s="13"/>
      <x:c r="BW358" s="13"/>
      <x:c r="BX358" s="13"/>
      <x:c r="BY358" s="13"/>
      <x:c r="BZ358" s="13"/>
      <x:c r="CA358" s="13"/>
      <x:c r="CB358" s="13"/>
      <x:c r="CC358" s="13"/>
      <x:c r="CD358" s="13"/>
      <x:c r="CE358" s="13"/>
      <x:c r="CF358" s="13"/>
      <x:c r="CG358" s="13"/>
    </x:row>
    <x:row r="359" ht="14.25" customHeight="1">
      <x:c r="AA359" s="3"/>
      <x:c r="AF359" s="3"/>
      <x:c r="AG359" s="3"/>
      <x:c r="AH359" s="3"/>
      <x:c r="AI359" s="3"/>
      <x:c r="AJ359" s="3"/>
      <x:c r="AK359" s="3"/>
      <x:c r="AL359" s="3"/>
      <x:c r="AM359" s="3"/>
      <x:c r="AT359" s="3"/>
      <x:c r="AU359" s="3"/>
      <x:c r="AV359" s="3"/>
      <x:c r="AW359" s="3"/>
      <x:c r="AX359" s="3"/>
      <x:c r="AY359" s="3"/>
      <x:c r="AZ359" s="3"/>
      <x:c r="BA359" s="3"/>
      <x:c r="BC359" s="3"/>
      <x:c r="BD359" s="3"/>
      <x:c r="BE359" s="3"/>
      <x:c r="BF359" s="3"/>
      <x:c r="BG359" s="3"/>
      <x:c r="BH359" s="13"/>
      <x:c r="BI359" s="13"/>
      <x:c r="BJ359" s="13"/>
      <x:c r="BK359" s="13"/>
      <x:c r="BL359" s="13"/>
      <x:c r="BM359" s="13"/>
      <x:c r="BN359" s="13"/>
      <x:c r="BO359" s="13"/>
      <x:c r="BP359" s="13"/>
      <x:c r="BQ359" s="13"/>
      <x:c r="BR359" s="13"/>
      <x:c r="BS359" s="13"/>
      <x:c r="BT359" s="13"/>
      <x:c r="BU359" s="13"/>
      <x:c r="BV359" s="13"/>
      <x:c r="BW359" s="13"/>
      <x:c r="BX359" s="13"/>
      <x:c r="BY359" s="13"/>
      <x:c r="BZ359" s="13"/>
      <x:c r="CA359" s="13"/>
      <x:c r="CB359" s="13"/>
      <x:c r="CC359" s="13"/>
      <x:c r="CD359" s="13"/>
      <x:c r="CE359" s="13"/>
      <x:c r="CF359" s="13"/>
      <x:c r="CG359" s="13"/>
    </x:row>
    <x:row r="360" ht="14.25" customHeight="1">
      <x:c r="AA360" s="3"/>
      <x:c r="AF360" s="3"/>
      <x:c r="AG360" s="3"/>
      <x:c r="AH360" s="3"/>
      <x:c r="AI360" s="3"/>
      <x:c r="AJ360" s="3"/>
      <x:c r="AK360" s="3"/>
      <x:c r="AL360" s="3"/>
      <x:c r="AM360" s="3"/>
      <x:c r="AT360" s="3"/>
      <x:c r="AU360" s="3"/>
      <x:c r="AV360" s="3"/>
      <x:c r="AW360" s="3"/>
      <x:c r="AX360" s="3"/>
      <x:c r="AY360" s="3"/>
      <x:c r="AZ360" s="3"/>
      <x:c r="BA360" s="3"/>
      <x:c r="BC360" s="3"/>
      <x:c r="BD360" s="3"/>
      <x:c r="BE360" s="3"/>
      <x:c r="BF360" s="3"/>
      <x:c r="BG360" s="3"/>
      <x:c r="BH360" s="13"/>
      <x:c r="BI360" s="13"/>
      <x:c r="BJ360" s="13"/>
      <x:c r="BK360" s="13"/>
      <x:c r="BL360" s="13"/>
      <x:c r="BM360" s="13"/>
      <x:c r="BN360" s="13"/>
      <x:c r="BO360" s="13"/>
      <x:c r="BP360" s="13"/>
      <x:c r="BQ360" s="13"/>
      <x:c r="BR360" s="13"/>
      <x:c r="BS360" s="13"/>
      <x:c r="BT360" s="13"/>
      <x:c r="BU360" s="13"/>
      <x:c r="BV360" s="13"/>
      <x:c r="BW360" s="13"/>
      <x:c r="BX360" s="13"/>
      <x:c r="BY360" s="13"/>
      <x:c r="BZ360" s="13"/>
      <x:c r="CA360" s="13"/>
      <x:c r="CB360" s="13"/>
      <x:c r="CC360" s="13"/>
      <x:c r="CD360" s="13"/>
      <x:c r="CE360" s="13"/>
      <x:c r="CF360" s="13"/>
      <x:c r="CG360" s="13"/>
    </x:row>
    <x:row r="361" ht="14.25" customHeight="1">
      <x:c r="AA361" s="3"/>
      <x:c r="AF361" s="3"/>
      <x:c r="AG361" s="3"/>
      <x:c r="AH361" s="3"/>
      <x:c r="AI361" s="3"/>
      <x:c r="AJ361" s="3"/>
      <x:c r="AK361" s="3"/>
      <x:c r="AL361" s="3"/>
      <x:c r="AM361" s="3"/>
      <x:c r="AT361" s="3"/>
      <x:c r="AU361" s="3"/>
      <x:c r="AV361" s="3"/>
      <x:c r="AW361" s="3"/>
      <x:c r="AX361" s="3"/>
      <x:c r="AY361" s="3"/>
      <x:c r="AZ361" s="3"/>
      <x:c r="BA361" s="3"/>
      <x:c r="BC361" s="3"/>
      <x:c r="BD361" s="3"/>
      <x:c r="BE361" s="3"/>
      <x:c r="BF361" s="3"/>
      <x:c r="BG361" s="3"/>
      <x:c r="BH361" s="13"/>
      <x:c r="BI361" s="13"/>
      <x:c r="BJ361" s="13"/>
      <x:c r="BK361" s="13"/>
      <x:c r="BL361" s="13"/>
      <x:c r="BM361" s="13"/>
      <x:c r="BN361" s="13"/>
      <x:c r="BO361" s="13"/>
      <x:c r="BP361" s="13"/>
      <x:c r="BQ361" s="13"/>
      <x:c r="BR361" s="13"/>
      <x:c r="BS361" s="13"/>
      <x:c r="BT361" s="13"/>
      <x:c r="BU361" s="13"/>
      <x:c r="BV361" s="13"/>
      <x:c r="BW361" s="13"/>
      <x:c r="BX361" s="13"/>
      <x:c r="BY361" s="13"/>
      <x:c r="BZ361" s="13"/>
      <x:c r="CA361" s="13"/>
      <x:c r="CB361" s="13"/>
      <x:c r="CC361" s="13"/>
      <x:c r="CD361" s="13"/>
      <x:c r="CE361" s="13"/>
      <x:c r="CF361" s="13"/>
      <x:c r="CG361" s="13"/>
    </x:row>
    <x:row r="362" ht="14.25" customHeight="1">
      <x:c r="AA362" s="3"/>
      <x:c r="AF362" s="3"/>
      <x:c r="AG362" s="3"/>
      <x:c r="AH362" s="3"/>
      <x:c r="AI362" s="3"/>
      <x:c r="AJ362" s="3"/>
      <x:c r="AK362" s="3"/>
      <x:c r="AL362" s="3"/>
      <x:c r="AM362" s="3"/>
      <x:c r="AT362" s="3"/>
      <x:c r="AU362" s="3"/>
      <x:c r="AV362" s="3"/>
      <x:c r="AW362" s="3"/>
      <x:c r="AX362" s="3"/>
      <x:c r="AY362" s="3"/>
      <x:c r="AZ362" s="3"/>
      <x:c r="BA362" s="3"/>
      <x:c r="BC362" s="3"/>
      <x:c r="BD362" s="3"/>
      <x:c r="BE362" s="3"/>
      <x:c r="BF362" s="3"/>
      <x:c r="BG362" s="3"/>
      <x:c r="BH362" s="13"/>
      <x:c r="BI362" s="13"/>
      <x:c r="BJ362" s="13"/>
      <x:c r="BK362" s="13"/>
      <x:c r="BL362" s="13"/>
      <x:c r="BM362" s="13"/>
      <x:c r="BN362" s="13"/>
      <x:c r="BO362" s="13"/>
      <x:c r="BP362" s="13"/>
      <x:c r="BQ362" s="13"/>
      <x:c r="BR362" s="13"/>
      <x:c r="BS362" s="13"/>
      <x:c r="BT362" s="13"/>
      <x:c r="BU362" s="13"/>
      <x:c r="BV362" s="13"/>
      <x:c r="BW362" s="13"/>
      <x:c r="BX362" s="13"/>
      <x:c r="BY362" s="13"/>
      <x:c r="BZ362" s="13"/>
      <x:c r="CA362" s="13"/>
      <x:c r="CB362" s="13"/>
      <x:c r="CC362" s="13"/>
      <x:c r="CD362" s="13"/>
      <x:c r="CE362" s="13"/>
      <x:c r="CF362" s="13"/>
      <x:c r="CG362" s="13"/>
    </x:row>
    <x:row r="363" ht="14.25" customHeight="1">
      <x:c r="AA363" s="3"/>
      <x:c r="AF363" s="3"/>
      <x:c r="AG363" s="3"/>
      <x:c r="AH363" s="3"/>
      <x:c r="AI363" s="3"/>
      <x:c r="AJ363" s="3"/>
      <x:c r="AK363" s="3"/>
      <x:c r="AL363" s="3"/>
      <x:c r="AM363" s="3"/>
      <x:c r="AT363" s="3"/>
      <x:c r="AU363" s="3"/>
      <x:c r="AV363" s="3"/>
      <x:c r="AW363" s="3"/>
      <x:c r="AX363" s="3"/>
      <x:c r="AY363" s="3"/>
      <x:c r="AZ363" s="3"/>
      <x:c r="BA363" s="3"/>
      <x:c r="BC363" s="3"/>
      <x:c r="BD363" s="3"/>
      <x:c r="BE363" s="3"/>
      <x:c r="BF363" s="3"/>
      <x:c r="BG363" s="3"/>
      <x:c r="BH363" s="13"/>
      <x:c r="BI363" s="13"/>
      <x:c r="BJ363" s="13"/>
      <x:c r="BK363" s="13"/>
      <x:c r="BL363" s="13"/>
      <x:c r="BM363" s="13"/>
      <x:c r="BN363" s="13"/>
      <x:c r="BO363" s="13"/>
      <x:c r="BP363" s="13"/>
      <x:c r="BQ363" s="13"/>
      <x:c r="BR363" s="13"/>
      <x:c r="BS363" s="13"/>
      <x:c r="BT363" s="13"/>
      <x:c r="BU363" s="13"/>
      <x:c r="BV363" s="13"/>
      <x:c r="BW363" s="13"/>
      <x:c r="BX363" s="13"/>
      <x:c r="BY363" s="13"/>
      <x:c r="BZ363" s="13"/>
      <x:c r="CA363" s="13"/>
      <x:c r="CB363" s="13"/>
      <x:c r="CC363" s="13"/>
      <x:c r="CD363" s="13"/>
      <x:c r="CE363" s="13"/>
      <x:c r="CF363" s="13"/>
      <x:c r="CG363" s="13"/>
    </x:row>
    <x:row r="364" ht="14.25" customHeight="1">
      <x:c r="AA364" s="3"/>
      <x:c r="AF364" s="3"/>
      <x:c r="AG364" s="3"/>
      <x:c r="AH364" s="3"/>
      <x:c r="AI364" s="3"/>
      <x:c r="AJ364" s="3"/>
      <x:c r="AK364" s="3"/>
      <x:c r="AL364" s="3"/>
      <x:c r="AM364" s="3"/>
      <x:c r="AT364" s="3"/>
      <x:c r="AU364" s="3"/>
      <x:c r="AV364" s="3"/>
      <x:c r="AW364" s="3"/>
      <x:c r="AX364" s="3"/>
      <x:c r="AY364" s="3"/>
      <x:c r="AZ364" s="3"/>
      <x:c r="BA364" s="3"/>
      <x:c r="BC364" s="3"/>
      <x:c r="BD364" s="3"/>
      <x:c r="BE364" s="3"/>
      <x:c r="BF364" s="3"/>
      <x:c r="BG364" s="3"/>
      <x:c r="BH364" s="13"/>
      <x:c r="BI364" s="13"/>
      <x:c r="BJ364" s="13"/>
      <x:c r="BK364" s="13"/>
      <x:c r="BL364" s="13"/>
      <x:c r="BM364" s="13"/>
      <x:c r="BN364" s="13"/>
      <x:c r="BO364" s="13"/>
      <x:c r="BP364" s="13"/>
      <x:c r="BQ364" s="13"/>
      <x:c r="BR364" s="13"/>
      <x:c r="BS364" s="13"/>
      <x:c r="BT364" s="13"/>
      <x:c r="BU364" s="13"/>
      <x:c r="BV364" s="13"/>
      <x:c r="BW364" s="13"/>
      <x:c r="BX364" s="13"/>
      <x:c r="BY364" s="13"/>
      <x:c r="BZ364" s="13"/>
      <x:c r="CA364" s="13"/>
      <x:c r="CB364" s="13"/>
      <x:c r="CC364" s="13"/>
      <x:c r="CD364" s="13"/>
      <x:c r="CE364" s="13"/>
      <x:c r="CF364" s="13"/>
      <x:c r="CG364" s="13"/>
    </x:row>
    <x:row r="365" ht="14.25" customHeight="1">
      <x:c r="AA365" s="3"/>
      <x:c r="AF365" s="3"/>
      <x:c r="AG365" s="3"/>
      <x:c r="AH365" s="3"/>
      <x:c r="AI365" s="3"/>
      <x:c r="AJ365" s="3"/>
      <x:c r="AK365" s="3"/>
      <x:c r="AL365" s="3"/>
      <x:c r="AM365" s="3"/>
      <x:c r="AT365" s="3"/>
      <x:c r="AU365" s="3"/>
      <x:c r="AV365" s="3"/>
      <x:c r="AW365" s="3"/>
      <x:c r="AX365" s="3"/>
      <x:c r="AY365" s="3"/>
      <x:c r="AZ365" s="3"/>
      <x:c r="BA365" s="3"/>
      <x:c r="BC365" s="3"/>
      <x:c r="BD365" s="3"/>
      <x:c r="BE365" s="3"/>
      <x:c r="BF365" s="3"/>
      <x:c r="BG365" s="3"/>
      <x:c r="BH365" s="13"/>
      <x:c r="BI365" s="13"/>
      <x:c r="BJ365" s="13"/>
      <x:c r="BK365" s="13"/>
      <x:c r="BL365" s="13"/>
      <x:c r="BM365" s="13"/>
      <x:c r="BN365" s="13"/>
      <x:c r="BO365" s="13"/>
      <x:c r="BP365" s="13"/>
      <x:c r="BQ365" s="13"/>
      <x:c r="BR365" s="13"/>
      <x:c r="BS365" s="13"/>
      <x:c r="BT365" s="13"/>
      <x:c r="BU365" s="13"/>
      <x:c r="BV365" s="13"/>
      <x:c r="BW365" s="13"/>
      <x:c r="BX365" s="13"/>
      <x:c r="BY365" s="13"/>
      <x:c r="BZ365" s="13"/>
      <x:c r="CA365" s="13"/>
      <x:c r="CB365" s="13"/>
      <x:c r="CC365" s="13"/>
      <x:c r="CD365" s="13"/>
      <x:c r="CE365" s="13"/>
      <x:c r="CF365" s="13"/>
      <x:c r="CG365" s="13"/>
    </x:row>
    <x:row r="366" ht="14.25" customHeight="1">
      <x:c r="AA366" s="3"/>
      <x:c r="AF366" s="3"/>
      <x:c r="AG366" s="3"/>
      <x:c r="AH366" s="3"/>
      <x:c r="AI366" s="3"/>
      <x:c r="AJ366" s="3"/>
      <x:c r="AK366" s="3"/>
      <x:c r="AL366" s="3"/>
      <x:c r="AM366" s="3"/>
      <x:c r="AT366" s="3"/>
      <x:c r="AU366" s="3"/>
      <x:c r="AV366" s="3"/>
      <x:c r="AW366" s="3"/>
      <x:c r="AX366" s="3"/>
      <x:c r="AY366" s="3"/>
      <x:c r="AZ366" s="3"/>
      <x:c r="BA366" s="3"/>
      <x:c r="BC366" s="3"/>
      <x:c r="BD366" s="3"/>
      <x:c r="BE366" s="3"/>
      <x:c r="BF366" s="3"/>
      <x:c r="BG366" s="3"/>
      <x:c r="BH366" s="13"/>
      <x:c r="BI366" s="13"/>
      <x:c r="BJ366" s="13"/>
      <x:c r="BK366" s="13"/>
      <x:c r="BL366" s="13"/>
      <x:c r="BM366" s="13"/>
      <x:c r="BN366" s="13"/>
      <x:c r="BO366" s="13"/>
      <x:c r="BP366" s="13"/>
      <x:c r="BQ366" s="13"/>
      <x:c r="BR366" s="13"/>
      <x:c r="BS366" s="13"/>
      <x:c r="BT366" s="13"/>
      <x:c r="BU366" s="13"/>
      <x:c r="BV366" s="13"/>
      <x:c r="BW366" s="13"/>
      <x:c r="BX366" s="13"/>
      <x:c r="BY366" s="13"/>
      <x:c r="BZ366" s="13"/>
      <x:c r="CA366" s="13"/>
      <x:c r="CB366" s="13"/>
      <x:c r="CC366" s="13"/>
      <x:c r="CD366" s="13"/>
      <x:c r="CE366" s="13"/>
      <x:c r="CF366" s="13"/>
      <x:c r="CG366" s="13"/>
    </x:row>
    <x:row r="367" ht="14.25" customHeight="1">
      <x:c r="AA367" s="3"/>
      <x:c r="AF367" s="3"/>
      <x:c r="AG367" s="3"/>
      <x:c r="AH367" s="3"/>
      <x:c r="AI367" s="3"/>
      <x:c r="AJ367" s="3"/>
      <x:c r="AK367" s="3"/>
      <x:c r="AL367" s="3"/>
      <x:c r="AM367" s="3"/>
      <x:c r="AT367" s="3"/>
      <x:c r="AU367" s="3"/>
      <x:c r="AV367" s="3"/>
      <x:c r="AW367" s="3"/>
      <x:c r="AX367" s="3"/>
      <x:c r="AY367" s="3"/>
      <x:c r="AZ367" s="3"/>
      <x:c r="BA367" s="3"/>
      <x:c r="BC367" s="3"/>
      <x:c r="BD367" s="3"/>
      <x:c r="BE367" s="3"/>
      <x:c r="BF367" s="3"/>
      <x:c r="BG367" s="3"/>
      <x:c r="BH367" s="13"/>
      <x:c r="BI367" s="13"/>
      <x:c r="BJ367" s="13"/>
      <x:c r="BK367" s="13"/>
      <x:c r="BL367" s="13"/>
      <x:c r="BM367" s="13"/>
      <x:c r="BN367" s="13"/>
      <x:c r="BO367" s="13"/>
      <x:c r="BP367" s="13"/>
      <x:c r="BQ367" s="13"/>
      <x:c r="BR367" s="13"/>
      <x:c r="BS367" s="13"/>
      <x:c r="BT367" s="13"/>
      <x:c r="BU367" s="13"/>
      <x:c r="BV367" s="13"/>
      <x:c r="BW367" s="13"/>
      <x:c r="BX367" s="13"/>
      <x:c r="BY367" s="13"/>
      <x:c r="BZ367" s="13"/>
      <x:c r="CA367" s="13"/>
      <x:c r="CB367" s="13"/>
      <x:c r="CC367" s="13"/>
      <x:c r="CD367" s="13"/>
      <x:c r="CE367" s="13"/>
      <x:c r="CF367" s="13"/>
      <x:c r="CG367" s="13"/>
    </x:row>
    <x:row r="368" ht="14.25" customHeight="1">
      <x:c r="AA368" s="3"/>
      <x:c r="AF368" s="3"/>
      <x:c r="AG368" s="3"/>
      <x:c r="AH368" s="3"/>
      <x:c r="AI368" s="3"/>
      <x:c r="AJ368" s="3"/>
      <x:c r="AK368" s="3"/>
      <x:c r="AL368" s="3"/>
      <x:c r="AM368" s="3"/>
      <x:c r="AT368" s="3"/>
      <x:c r="AU368" s="3"/>
      <x:c r="AV368" s="3"/>
      <x:c r="AW368" s="3"/>
      <x:c r="AX368" s="3"/>
      <x:c r="AY368" s="3"/>
      <x:c r="AZ368" s="3"/>
      <x:c r="BA368" s="3"/>
      <x:c r="BC368" s="3"/>
      <x:c r="BD368" s="3"/>
      <x:c r="BE368" s="3"/>
      <x:c r="BF368" s="3"/>
      <x:c r="BG368" s="3"/>
      <x:c r="BH368" s="13"/>
      <x:c r="BI368" s="13"/>
      <x:c r="BJ368" s="13"/>
      <x:c r="BK368" s="13"/>
      <x:c r="BL368" s="13"/>
      <x:c r="BM368" s="13"/>
      <x:c r="BN368" s="13"/>
      <x:c r="BO368" s="13"/>
      <x:c r="BP368" s="13"/>
      <x:c r="BQ368" s="13"/>
      <x:c r="BR368" s="13"/>
      <x:c r="BS368" s="13"/>
      <x:c r="BT368" s="13"/>
      <x:c r="BU368" s="13"/>
      <x:c r="BV368" s="13"/>
      <x:c r="BW368" s="13"/>
      <x:c r="BX368" s="13"/>
      <x:c r="BY368" s="13"/>
      <x:c r="BZ368" s="13"/>
      <x:c r="CA368" s="13"/>
      <x:c r="CB368" s="13"/>
      <x:c r="CC368" s="13"/>
      <x:c r="CD368" s="13"/>
      <x:c r="CE368" s="13"/>
      <x:c r="CF368" s="13"/>
      <x:c r="CG368" s="13"/>
    </x:row>
    <x:row r="369" ht="14.25" customHeight="1">
      <x:c r="AA369" s="3"/>
      <x:c r="AF369" s="3"/>
      <x:c r="AG369" s="3"/>
      <x:c r="AH369" s="3"/>
      <x:c r="AI369" s="3"/>
      <x:c r="AJ369" s="3"/>
      <x:c r="AK369" s="3"/>
      <x:c r="AL369" s="3"/>
      <x:c r="AM369" s="3"/>
      <x:c r="AT369" s="3"/>
      <x:c r="AU369" s="3"/>
      <x:c r="AV369" s="3"/>
      <x:c r="AW369" s="3"/>
      <x:c r="AX369" s="3"/>
      <x:c r="AY369" s="3"/>
      <x:c r="AZ369" s="3"/>
      <x:c r="BA369" s="3"/>
      <x:c r="BC369" s="3"/>
      <x:c r="BD369" s="3"/>
      <x:c r="BE369" s="3"/>
      <x:c r="BF369" s="3"/>
      <x:c r="BG369" s="3"/>
      <x:c r="BH369" s="13"/>
      <x:c r="BI369" s="13"/>
      <x:c r="BJ369" s="13"/>
      <x:c r="BK369" s="13"/>
      <x:c r="BL369" s="13"/>
      <x:c r="BM369" s="13"/>
      <x:c r="BN369" s="13"/>
      <x:c r="BO369" s="13"/>
      <x:c r="BP369" s="13"/>
      <x:c r="BQ369" s="13"/>
      <x:c r="BR369" s="13"/>
      <x:c r="BS369" s="13"/>
      <x:c r="BT369" s="13"/>
      <x:c r="BU369" s="13"/>
      <x:c r="BV369" s="13"/>
      <x:c r="BW369" s="13"/>
      <x:c r="BX369" s="13"/>
      <x:c r="BY369" s="13"/>
      <x:c r="BZ369" s="13"/>
      <x:c r="CA369" s="13"/>
      <x:c r="CB369" s="13"/>
      <x:c r="CC369" s="13"/>
      <x:c r="CD369" s="13"/>
      <x:c r="CE369" s="13"/>
      <x:c r="CF369" s="13"/>
      <x:c r="CG369" s="13"/>
    </x:row>
    <x:row r="370" ht="14.25" customHeight="1">
      <x:c r="AA370" s="3"/>
      <x:c r="AF370" s="3"/>
      <x:c r="AG370" s="3"/>
      <x:c r="AH370" s="3"/>
      <x:c r="AI370" s="3"/>
      <x:c r="AJ370" s="3"/>
      <x:c r="AK370" s="3"/>
      <x:c r="AL370" s="3"/>
      <x:c r="AM370" s="3"/>
      <x:c r="AT370" s="3"/>
      <x:c r="AU370" s="3"/>
      <x:c r="AV370" s="3"/>
      <x:c r="AW370" s="3"/>
      <x:c r="AX370" s="3"/>
      <x:c r="AY370" s="3"/>
      <x:c r="AZ370" s="3"/>
      <x:c r="BA370" s="3"/>
      <x:c r="BC370" s="3"/>
      <x:c r="BD370" s="3"/>
      <x:c r="BE370" s="3"/>
      <x:c r="BF370" s="3"/>
      <x:c r="BG370" s="3"/>
      <x:c r="BH370" s="13"/>
      <x:c r="BI370" s="13"/>
      <x:c r="BJ370" s="13"/>
      <x:c r="BK370" s="13"/>
      <x:c r="BL370" s="13"/>
      <x:c r="BM370" s="13"/>
      <x:c r="BN370" s="13"/>
      <x:c r="BO370" s="13"/>
      <x:c r="BP370" s="13"/>
      <x:c r="BQ370" s="13"/>
      <x:c r="BR370" s="13"/>
      <x:c r="BS370" s="13"/>
      <x:c r="BT370" s="13"/>
      <x:c r="BU370" s="13"/>
      <x:c r="BV370" s="13"/>
      <x:c r="BW370" s="13"/>
      <x:c r="BX370" s="13"/>
      <x:c r="BY370" s="13"/>
      <x:c r="BZ370" s="13"/>
      <x:c r="CA370" s="13"/>
      <x:c r="CB370" s="13"/>
      <x:c r="CC370" s="13"/>
      <x:c r="CD370" s="13"/>
      <x:c r="CE370" s="13"/>
      <x:c r="CF370" s="13"/>
      <x:c r="CG370" s="13"/>
    </x:row>
    <x:row r="371" ht="14.25" customHeight="1">
      <x:c r="AA371" s="3"/>
      <x:c r="AF371" s="3"/>
      <x:c r="AG371" s="3"/>
      <x:c r="AH371" s="3"/>
      <x:c r="AI371" s="3"/>
      <x:c r="AJ371" s="3"/>
      <x:c r="AK371" s="3"/>
      <x:c r="AL371" s="3"/>
      <x:c r="AM371" s="3"/>
      <x:c r="AT371" s="3"/>
      <x:c r="AU371" s="3"/>
      <x:c r="AV371" s="3"/>
      <x:c r="AW371" s="3"/>
      <x:c r="AX371" s="3"/>
      <x:c r="AY371" s="3"/>
      <x:c r="AZ371" s="3"/>
      <x:c r="BA371" s="3"/>
      <x:c r="BC371" s="3"/>
      <x:c r="BD371" s="3"/>
      <x:c r="BE371" s="3"/>
      <x:c r="BF371" s="3"/>
      <x:c r="BG371" s="3"/>
      <x:c r="BH371" s="13"/>
      <x:c r="BI371" s="13"/>
      <x:c r="BJ371" s="13"/>
      <x:c r="BK371" s="13"/>
      <x:c r="BL371" s="13"/>
      <x:c r="BM371" s="13"/>
      <x:c r="BN371" s="13"/>
      <x:c r="BO371" s="13"/>
      <x:c r="BP371" s="13"/>
      <x:c r="BQ371" s="13"/>
      <x:c r="BR371" s="13"/>
      <x:c r="BS371" s="13"/>
      <x:c r="BT371" s="13"/>
      <x:c r="BU371" s="13"/>
      <x:c r="BV371" s="13"/>
      <x:c r="BW371" s="13"/>
      <x:c r="BX371" s="13"/>
      <x:c r="BY371" s="13"/>
      <x:c r="BZ371" s="13"/>
      <x:c r="CA371" s="13"/>
      <x:c r="CB371" s="13"/>
      <x:c r="CC371" s="13"/>
      <x:c r="CD371" s="13"/>
      <x:c r="CE371" s="13"/>
      <x:c r="CF371" s="13"/>
      <x:c r="CG371" s="13"/>
    </x:row>
    <x:row r="372" ht="14.25" customHeight="1">
      <x:c r="AA372" s="3"/>
      <x:c r="AF372" s="3"/>
      <x:c r="AG372" s="3"/>
      <x:c r="AH372" s="3"/>
      <x:c r="AI372" s="3"/>
      <x:c r="AJ372" s="3"/>
      <x:c r="AK372" s="3"/>
      <x:c r="AL372" s="3"/>
      <x:c r="AM372" s="3"/>
      <x:c r="AT372" s="3"/>
      <x:c r="AU372" s="3"/>
      <x:c r="AV372" s="3"/>
      <x:c r="AW372" s="3"/>
      <x:c r="AX372" s="3"/>
      <x:c r="AY372" s="3"/>
      <x:c r="AZ372" s="3"/>
      <x:c r="BA372" s="3"/>
      <x:c r="BC372" s="3"/>
      <x:c r="BD372" s="3"/>
      <x:c r="BE372" s="3"/>
      <x:c r="BF372" s="3"/>
      <x:c r="BG372" s="3"/>
      <x:c r="BH372" s="13"/>
      <x:c r="BI372" s="13"/>
      <x:c r="BJ372" s="13"/>
      <x:c r="BK372" s="13"/>
      <x:c r="BL372" s="13"/>
      <x:c r="BM372" s="13"/>
      <x:c r="BN372" s="13"/>
      <x:c r="BO372" s="13"/>
      <x:c r="BP372" s="13"/>
      <x:c r="BQ372" s="13"/>
      <x:c r="BR372" s="13"/>
      <x:c r="BS372" s="13"/>
      <x:c r="BT372" s="13"/>
      <x:c r="BU372" s="13"/>
      <x:c r="BV372" s="13"/>
      <x:c r="BW372" s="13"/>
      <x:c r="BX372" s="13"/>
      <x:c r="BY372" s="13"/>
      <x:c r="BZ372" s="13"/>
      <x:c r="CA372" s="13"/>
      <x:c r="CB372" s="13"/>
      <x:c r="CC372" s="13"/>
      <x:c r="CD372" s="13"/>
      <x:c r="CE372" s="13"/>
      <x:c r="CF372" s="13"/>
      <x:c r="CG372" s="13"/>
    </x:row>
    <x:row r="373" ht="14.25" customHeight="1">
      <x:c r="AA373" s="3"/>
      <x:c r="AF373" s="3"/>
      <x:c r="AG373" s="3"/>
      <x:c r="AH373" s="3"/>
      <x:c r="AI373" s="3"/>
      <x:c r="AJ373" s="3"/>
      <x:c r="AK373" s="3"/>
      <x:c r="AL373" s="3"/>
      <x:c r="AM373" s="3"/>
      <x:c r="AT373" s="3"/>
      <x:c r="AU373" s="3"/>
      <x:c r="AV373" s="3"/>
      <x:c r="AW373" s="3"/>
      <x:c r="AX373" s="3"/>
      <x:c r="AY373" s="3"/>
      <x:c r="AZ373" s="3"/>
      <x:c r="BA373" s="3"/>
      <x:c r="BC373" s="3"/>
      <x:c r="BD373" s="3"/>
      <x:c r="BE373" s="3"/>
      <x:c r="BF373" s="3"/>
      <x:c r="BG373" s="3"/>
      <x:c r="BH373" s="13"/>
      <x:c r="BI373" s="13"/>
      <x:c r="BJ373" s="13"/>
      <x:c r="BK373" s="13"/>
      <x:c r="BL373" s="13"/>
      <x:c r="BM373" s="13"/>
      <x:c r="BN373" s="13"/>
      <x:c r="BO373" s="13"/>
      <x:c r="BP373" s="13"/>
      <x:c r="BQ373" s="13"/>
      <x:c r="BR373" s="13"/>
      <x:c r="BS373" s="13"/>
      <x:c r="BT373" s="13"/>
      <x:c r="BU373" s="13"/>
      <x:c r="BV373" s="13"/>
      <x:c r="BW373" s="13"/>
      <x:c r="BX373" s="13"/>
      <x:c r="BY373" s="13"/>
      <x:c r="BZ373" s="13"/>
      <x:c r="CA373" s="13"/>
      <x:c r="CB373" s="13"/>
      <x:c r="CC373" s="13"/>
      <x:c r="CD373" s="13"/>
      <x:c r="CE373" s="13"/>
      <x:c r="CF373" s="13"/>
      <x:c r="CG373" s="13"/>
    </x:row>
    <x:row r="374" ht="14.25" customHeight="1">
      <x:c r="AA374" s="3"/>
      <x:c r="AF374" s="3"/>
      <x:c r="AG374" s="3"/>
      <x:c r="AH374" s="3"/>
      <x:c r="AI374" s="3"/>
      <x:c r="AJ374" s="3"/>
      <x:c r="AK374" s="3"/>
      <x:c r="AL374" s="3"/>
      <x:c r="AM374" s="3"/>
      <x:c r="AT374" s="3"/>
      <x:c r="AU374" s="3"/>
      <x:c r="AV374" s="3"/>
      <x:c r="AW374" s="3"/>
      <x:c r="AX374" s="3"/>
      <x:c r="AY374" s="3"/>
      <x:c r="AZ374" s="3"/>
      <x:c r="BA374" s="3"/>
      <x:c r="BC374" s="3"/>
      <x:c r="BD374" s="3"/>
      <x:c r="BE374" s="3"/>
      <x:c r="BF374" s="3"/>
      <x:c r="BG374" s="3"/>
      <x:c r="BH374" s="13"/>
      <x:c r="BI374" s="13"/>
      <x:c r="BJ374" s="13"/>
      <x:c r="BK374" s="13"/>
      <x:c r="BL374" s="13"/>
      <x:c r="BM374" s="13"/>
      <x:c r="BN374" s="13"/>
      <x:c r="BO374" s="13"/>
      <x:c r="BP374" s="13"/>
      <x:c r="BQ374" s="13"/>
      <x:c r="BR374" s="13"/>
      <x:c r="BS374" s="13"/>
      <x:c r="BT374" s="13"/>
      <x:c r="BU374" s="13"/>
      <x:c r="BV374" s="13"/>
      <x:c r="BW374" s="13"/>
      <x:c r="BX374" s="13"/>
      <x:c r="BY374" s="13"/>
      <x:c r="BZ374" s="13"/>
      <x:c r="CA374" s="13"/>
      <x:c r="CB374" s="13"/>
      <x:c r="CC374" s="13"/>
      <x:c r="CD374" s="13"/>
      <x:c r="CE374" s="13"/>
      <x:c r="CF374" s="13"/>
      <x:c r="CG374" s="13"/>
    </x:row>
    <x:row r="375" ht="14.25" customHeight="1">
      <x:c r="AA375" s="3"/>
      <x:c r="AF375" s="3"/>
      <x:c r="AG375" s="3"/>
      <x:c r="AH375" s="3"/>
      <x:c r="AI375" s="3"/>
      <x:c r="AJ375" s="3"/>
      <x:c r="AK375" s="3"/>
      <x:c r="AL375" s="3"/>
      <x:c r="AM375" s="3"/>
      <x:c r="AT375" s="3"/>
      <x:c r="AU375" s="3"/>
      <x:c r="AV375" s="3"/>
      <x:c r="AW375" s="3"/>
      <x:c r="AX375" s="3"/>
      <x:c r="AY375" s="3"/>
      <x:c r="AZ375" s="3"/>
      <x:c r="BA375" s="3"/>
      <x:c r="BC375" s="3"/>
      <x:c r="BD375" s="3"/>
      <x:c r="BE375" s="3"/>
      <x:c r="BF375" s="3"/>
      <x:c r="BG375" s="3"/>
      <x:c r="BH375" s="13"/>
      <x:c r="BI375" s="13"/>
      <x:c r="BJ375" s="13"/>
      <x:c r="BK375" s="13"/>
      <x:c r="BL375" s="13"/>
      <x:c r="BM375" s="13"/>
      <x:c r="BN375" s="13"/>
      <x:c r="BO375" s="13"/>
      <x:c r="BP375" s="13"/>
      <x:c r="BQ375" s="13"/>
      <x:c r="BR375" s="13"/>
      <x:c r="BS375" s="13"/>
      <x:c r="BT375" s="13"/>
      <x:c r="BU375" s="13"/>
      <x:c r="BV375" s="13"/>
      <x:c r="BW375" s="13"/>
      <x:c r="BX375" s="13"/>
      <x:c r="BY375" s="13"/>
      <x:c r="BZ375" s="13"/>
      <x:c r="CA375" s="13"/>
      <x:c r="CB375" s="13"/>
      <x:c r="CC375" s="13"/>
      <x:c r="CD375" s="13"/>
      <x:c r="CE375" s="13"/>
      <x:c r="CF375" s="13"/>
      <x:c r="CG375" s="13"/>
    </x:row>
    <x:row r="376" ht="14.25" customHeight="1">
      <x:c r="AA376" s="3"/>
      <x:c r="AF376" s="3"/>
      <x:c r="AG376" s="3"/>
      <x:c r="AH376" s="3"/>
      <x:c r="AI376" s="3"/>
      <x:c r="AJ376" s="3"/>
      <x:c r="AK376" s="3"/>
      <x:c r="AL376" s="3"/>
      <x:c r="AM376" s="3"/>
      <x:c r="AT376" s="3"/>
      <x:c r="AU376" s="3"/>
      <x:c r="AV376" s="3"/>
      <x:c r="AW376" s="3"/>
      <x:c r="AX376" s="3"/>
      <x:c r="AY376" s="3"/>
      <x:c r="AZ376" s="3"/>
      <x:c r="BA376" s="3"/>
      <x:c r="BC376" s="3"/>
      <x:c r="BD376" s="3"/>
      <x:c r="BE376" s="3"/>
      <x:c r="BF376" s="3"/>
      <x:c r="BG376" s="3"/>
      <x:c r="BH376" s="13"/>
      <x:c r="BI376" s="13"/>
      <x:c r="BJ376" s="13"/>
      <x:c r="BK376" s="13"/>
      <x:c r="BL376" s="13"/>
      <x:c r="BM376" s="13"/>
      <x:c r="BN376" s="13"/>
      <x:c r="BO376" s="13"/>
      <x:c r="BP376" s="13"/>
      <x:c r="BQ376" s="13"/>
      <x:c r="BR376" s="13"/>
      <x:c r="BS376" s="13"/>
      <x:c r="BT376" s="13"/>
      <x:c r="BU376" s="13"/>
      <x:c r="BV376" s="13"/>
      <x:c r="BW376" s="13"/>
      <x:c r="BX376" s="13"/>
      <x:c r="BY376" s="13"/>
      <x:c r="BZ376" s="13"/>
      <x:c r="CA376" s="13"/>
      <x:c r="CB376" s="13"/>
      <x:c r="CC376" s="13"/>
      <x:c r="CD376" s="13"/>
      <x:c r="CE376" s="13"/>
      <x:c r="CF376" s="13"/>
      <x:c r="CG376" s="13"/>
    </x:row>
    <x:row r="377" ht="14.25" customHeight="1">
      <x:c r="AA377" s="3"/>
      <x:c r="AF377" s="3"/>
      <x:c r="AG377" s="3"/>
      <x:c r="AH377" s="3"/>
      <x:c r="AI377" s="3"/>
      <x:c r="AJ377" s="3"/>
      <x:c r="AK377" s="3"/>
      <x:c r="AL377" s="3"/>
      <x:c r="AM377" s="3"/>
      <x:c r="AT377" s="3"/>
      <x:c r="AU377" s="3"/>
      <x:c r="AV377" s="3"/>
      <x:c r="AW377" s="3"/>
      <x:c r="AX377" s="3"/>
      <x:c r="AY377" s="3"/>
      <x:c r="AZ377" s="3"/>
      <x:c r="BA377" s="3"/>
      <x:c r="BC377" s="3"/>
      <x:c r="BD377" s="3"/>
      <x:c r="BE377" s="3"/>
      <x:c r="BF377" s="3"/>
      <x:c r="BG377" s="3"/>
      <x:c r="BH377" s="13"/>
      <x:c r="BI377" s="13"/>
      <x:c r="BJ377" s="13"/>
      <x:c r="BK377" s="13"/>
      <x:c r="BL377" s="13"/>
      <x:c r="BM377" s="13"/>
      <x:c r="BN377" s="13"/>
      <x:c r="BO377" s="13"/>
      <x:c r="BP377" s="13"/>
      <x:c r="BQ377" s="13"/>
      <x:c r="BR377" s="13"/>
      <x:c r="BS377" s="13"/>
      <x:c r="BT377" s="13"/>
      <x:c r="BU377" s="13"/>
      <x:c r="BV377" s="13"/>
      <x:c r="BW377" s="13"/>
      <x:c r="BX377" s="13"/>
      <x:c r="BY377" s="13"/>
      <x:c r="BZ377" s="13"/>
      <x:c r="CA377" s="13"/>
      <x:c r="CB377" s="13"/>
      <x:c r="CC377" s="13"/>
      <x:c r="CD377" s="13"/>
      <x:c r="CE377" s="13"/>
      <x:c r="CF377" s="13"/>
      <x:c r="CG377" s="13"/>
    </x:row>
    <x:row r="378" ht="14.25" customHeight="1">
      <x:c r="AA378" s="3"/>
      <x:c r="AF378" s="3"/>
      <x:c r="AG378" s="3"/>
      <x:c r="AH378" s="3"/>
      <x:c r="AI378" s="3"/>
      <x:c r="AJ378" s="3"/>
      <x:c r="AK378" s="3"/>
      <x:c r="AL378" s="3"/>
      <x:c r="AM378" s="3"/>
      <x:c r="AT378" s="3"/>
      <x:c r="AU378" s="3"/>
      <x:c r="AV378" s="3"/>
      <x:c r="AW378" s="3"/>
      <x:c r="AX378" s="3"/>
      <x:c r="AY378" s="3"/>
      <x:c r="AZ378" s="3"/>
      <x:c r="BA378" s="3"/>
      <x:c r="BC378" s="3"/>
      <x:c r="BD378" s="3"/>
      <x:c r="BE378" s="3"/>
      <x:c r="BF378" s="3"/>
      <x:c r="BG378" s="3"/>
      <x:c r="BH378" s="13"/>
      <x:c r="BI378" s="13"/>
      <x:c r="BJ378" s="13"/>
      <x:c r="BK378" s="13"/>
      <x:c r="BL378" s="13"/>
      <x:c r="BM378" s="13"/>
      <x:c r="BN378" s="13"/>
      <x:c r="BO378" s="13"/>
      <x:c r="BP378" s="13"/>
      <x:c r="BQ378" s="13"/>
      <x:c r="BR378" s="13"/>
      <x:c r="BS378" s="13"/>
      <x:c r="BT378" s="13"/>
      <x:c r="BU378" s="13"/>
      <x:c r="BV378" s="13"/>
      <x:c r="BW378" s="13"/>
      <x:c r="BX378" s="13"/>
      <x:c r="BY378" s="13"/>
      <x:c r="BZ378" s="13"/>
      <x:c r="CA378" s="13"/>
      <x:c r="CB378" s="13"/>
      <x:c r="CC378" s="13"/>
      <x:c r="CD378" s="13"/>
      <x:c r="CE378" s="13"/>
      <x:c r="CF378" s="13"/>
      <x:c r="CG378" s="13"/>
    </x:row>
    <x:row r="379" ht="14.25" customHeight="1">
      <x:c r="AA379" s="3"/>
      <x:c r="AF379" s="3"/>
      <x:c r="AG379" s="3"/>
      <x:c r="AH379" s="3"/>
      <x:c r="AI379" s="3"/>
      <x:c r="AJ379" s="3"/>
      <x:c r="AK379" s="3"/>
      <x:c r="AL379" s="3"/>
      <x:c r="AM379" s="3"/>
      <x:c r="AT379" s="3"/>
      <x:c r="AU379" s="3"/>
      <x:c r="AV379" s="3"/>
      <x:c r="AW379" s="3"/>
      <x:c r="AX379" s="3"/>
      <x:c r="AY379" s="3"/>
      <x:c r="AZ379" s="3"/>
      <x:c r="BA379" s="3"/>
      <x:c r="BC379" s="3"/>
      <x:c r="BD379" s="3"/>
      <x:c r="BE379" s="3"/>
      <x:c r="BF379" s="3"/>
      <x:c r="BG379" s="3"/>
      <x:c r="BH379" s="13"/>
      <x:c r="BI379" s="13"/>
      <x:c r="BJ379" s="13"/>
      <x:c r="BK379" s="13"/>
      <x:c r="BL379" s="13"/>
      <x:c r="BM379" s="13"/>
      <x:c r="BN379" s="13"/>
      <x:c r="BO379" s="13"/>
      <x:c r="BP379" s="13"/>
      <x:c r="BQ379" s="13"/>
      <x:c r="BR379" s="13"/>
      <x:c r="BS379" s="13"/>
      <x:c r="BT379" s="13"/>
      <x:c r="BU379" s="13"/>
      <x:c r="BV379" s="13"/>
      <x:c r="BW379" s="13"/>
      <x:c r="BX379" s="13"/>
      <x:c r="BY379" s="13"/>
      <x:c r="BZ379" s="13"/>
      <x:c r="CA379" s="13"/>
      <x:c r="CB379" s="13"/>
      <x:c r="CC379" s="13"/>
      <x:c r="CD379" s="13"/>
      <x:c r="CE379" s="13"/>
      <x:c r="CF379" s="13"/>
      <x:c r="CG379" s="13"/>
    </x:row>
    <x:row r="380" ht="14.25" customHeight="1">
      <x:c r="AA380" s="3"/>
      <x:c r="AF380" s="3"/>
      <x:c r="AG380" s="3"/>
      <x:c r="AH380" s="3"/>
      <x:c r="AI380" s="3"/>
      <x:c r="AJ380" s="3"/>
      <x:c r="AK380" s="3"/>
      <x:c r="AL380" s="3"/>
      <x:c r="AM380" s="3"/>
      <x:c r="AT380" s="3"/>
      <x:c r="AU380" s="3"/>
      <x:c r="AV380" s="3"/>
      <x:c r="AW380" s="3"/>
      <x:c r="AX380" s="3"/>
      <x:c r="AY380" s="3"/>
      <x:c r="AZ380" s="3"/>
      <x:c r="BA380" s="3"/>
      <x:c r="BC380" s="3"/>
      <x:c r="BD380" s="3"/>
      <x:c r="BE380" s="3"/>
      <x:c r="BF380" s="3"/>
      <x:c r="BG380" s="3"/>
      <x:c r="BH380" s="13"/>
      <x:c r="BI380" s="13"/>
      <x:c r="BJ380" s="13"/>
      <x:c r="BK380" s="13"/>
      <x:c r="BL380" s="13"/>
      <x:c r="BM380" s="13"/>
      <x:c r="BN380" s="13"/>
      <x:c r="BO380" s="13"/>
      <x:c r="BP380" s="13"/>
      <x:c r="BQ380" s="13"/>
      <x:c r="BR380" s="13"/>
      <x:c r="BS380" s="13"/>
      <x:c r="BT380" s="13"/>
      <x:c r="BU380" s="13"/>
      <x:c r="BV380" s="13"/>
      <x:c r="BW380" s="13"/>
      <x:c r="BX380" s="13"/>
      <x:c r="BY380" s="13"/>
      <x:c r="BZ380" s="13"/>
      <x:c r="CA380" s="13"/>
      <x:c r="CB380" s="13"/>
      <x:c r="CC380" s="13"/>
      <x:c r="CD380" s="13"/>
      <x:c r="CE380" s="13"/>
      <x:c r="CF380" s="13"/>
      <x:c r="CG380" s="13"/>
    </x:row>
    <x:row r="381" ht="14.25" customHeight="1">
      <x:c r="AA381" s="3"/>
      <x:c r="AF381" s="3"/>
      <x:c r="AG381" s="3"/>
      <x:c r="AH381" s="3"/>
      <x:c r="AI381" s="3"/>
      <x:c r="AJ381" s="3"/>
      <x:c r="AK381" s="3"/>
      <x:c r="AL381" s="3"/>
      <x:c r="AM381" s="3"/>
      <x:c r="AT381" s="3"/>
      <x:c r="AU381" s="3"/>
      <x:c r="AV381" s="3"/>
      <x:c r="AW381" s="3"/>
      <x:c r="AX381" s="3"/>
      <x:c r="AY381" s="3"/>
      <x:c r="AZ381" s="3"/>
      <x:c r="BA381" s="3"/>
      <x:c r="BC381" s="3"/>
      <x:c r="BD381" s="3"/>
      <x:c r="BE381" s="3"/>
      <x:c r="BF381" s="3"/>
      <x:c r="BG381" s="3"/>
      <x:c r="BH381" s="13"/>
      <x:c r="BI381" s="13"/>
      <x:c r="BJ381" s="13"/>
      <x:c r="BK381" s="13"/>
      <x:c r="BL381" s="13"/>
      <x:c r="BM381" s="13"/>
      <x:c r="BN381" s="13"/>
      <x:c r="BO381" s="13"/>
      <x:c r="BP381" s="13"/>
      <x:c r="BQ381" s="13"/>
      <x:c r="BR381" s="13"/>
      <x:c r="BS381" s="13"/>
      <x:c r="BT381" s="13"/>
      <x:c r="BU381" s="13"/>
      <x:c r="BV381" s="13"/>
      <x:c r="BW381" s="13"/>
      <x:c r="BX381" s="13"/>
      <x:c r="BY381" s="13"/>
      <x:c r="BZ381" s="13"/>
      <x:c r="CA381" s="13"/>
      <x:c r="CB381" s="13"/>
      <x:c r="CC381" s="13"/>
      <x:c r="CD381" s="13"/>
      <x:c r="CE381" s="13"/>
      <x:c r="CF381" s="13"/>
      <x:c r="CG381" s="13"/>
    </x:row>
    <x:row r="382" ht="14.25" customHeight="1">
      <x:c r="AA382" s="3"/>
      <x:c r="AF382" s="3"/>
      <x:c r="AG382" s="3"/>
      <x:c r="AH382" s="3"/>
      <x:c r="AI382" s="3"/>
      <x:c r="AJ382" s="3"/>
      <x:c r="AK382" s="3"/>
      <x:c r="AL382" s="3"/>
      <x:c r="AM382" s="3"/>
      <x:c r="AT382" s="3"/>
      <x:c r="AU382" s="3"/>
      <x:c r="AV382" s="3"/>
      <x:c r="AW382" s="3"/>
      <x:c r="AX382" s="3"/>
      <x:c r="AY382" s="3"/>
      <x:c r="AZ382" s="3"/>
      <x:c r="BA382" s="3"/>
      <x:c r="BC382" s="3"/>
      <x:c r="BD382" s="3"/>
      <x:c r="BE382" s="3"/>
      <x:c r="BF382" s="3"/>
      <x:c r="BG382" s="3"/>
      <x:c r="BH382" s="13"/>
      <x:c r="BI382" s="13"/>
      <x:c r="BJ382" s="13"/>
      <x:c r="BK382" s="13"/>
      <x:c r="BL382" s="13"/>
      <x:c r="BM382" s="13"/>
      <x:c r="BN382" s="13"/>
      <x:c r="BO382" s="13"/>
      <x:c r="BP382" s="13"/>
      <x:c r="BQ382" s="13"/>
      <x:c r="BR382" s="13"/>
      <x:c r="BS382" s="13"/>
      <x:c r="BT382" s="13"/>
      <x:c r="BU382" s="13"/>
      <x:c r="BV382" s="13"/>
      <x:c r="BW382" s="13"/>
      <x:c r="BX382" s="13"/>
      <x:c r="BY382" s="13"/>
      <x:c r="BZ382" s="13"/>
      <x:c r="CA382" s="13"/>
      <x:c r="CB382" s="13"/>
      <x:c r="CC382" s="13"/>
      <x:c r="CD382" s="13"/>
      <x:c r="CE382" s="13"/>
      <x:c r="CF382" s="13"/>
      <x:c r="CG382" s="13"/>
    </x:row>
    <x:row r="383" ht="14.25" customHeight="1">
      <x:c r="AA383" s="3"/>
      <x:c r="AF383" s="3"/>
      <x:c r="AG383" s="3"/>
      <x:c r="AH383" s="3"/>
      <x:c r="AI383" s="3"/>
      <x:c r="AJ383" s="3"/>
      <x:c r="AK383" s="3"/>
      <x:c r="AL383" s="3"/>
      <x:c r="AM383" s="3"/>
      <x:c r="AT383" s="3"/>
      <x:c r="AU383" s="3"/>
      <x:c r="AV383" s="3"/>
      <x:c r="AW383" s="3"/>
      <x:c r="AX383" s="3"/>
      <x:c r="AY383" s="3"/>
      <x:c r="AZ383" s="3"/>
      <x:c r="BA383" s="3"/>
      <x:c r="BC383" s="3"/>
      <x:c r="BD383" s="3"/>
      <x:c r="BE383" s="3"/>
      <x:c r="BF383" s="3"/>
      <x:c r="BG383" s="3"/>
      <x:c r="BH383" s="13"/>
      <x:c r="BI383" s="13"/>
      <x:c r="BJ383" s="13"/>
      <x:c r="BK383" s="13"/>
      <x:c r="BL383" s="13"/>
      <x:c r="BM383" s="13"/>
      <x:c r="BN383" s="13"/>
      <x:c r="BO383" s="13"/>
      <x:c r="BP383" s="13"/>
      <x:c r="BQ383" s="13"/>
      <x:c r="BR383" s="13"/>
      <x:c r="BS383" s="13"/>
      <x:c r="BT383" s="13"/>
      <x:c r="BU383" s="13"/>
      <x:c r="BV383" s="13"/>
      <x:c r="BW383" s="13"/>
      <x:c r="BX383" s="13"/>
      <x:c r="BY383" s="13"/>
      <x:c r="BZ383" s="13"/>
      <x:c r="CA383" s="13"/>
      <x:c r="CB383" s="13"/>
      <x:c r="CC383" s="13"/>
      <x:c r="CD383" s="13"/>
      <x:c r="CE383" s="13"/>
      <x:c r="CF383" s="13"/>
      <x:c r="CG383" s="13"/>
    </x:row>
    <x:row r="384" ht="14.25" customHeight="1">
      <x:c r="AA384" s="3"/>
      <x:c r="AF384" s="3"/>
      <x:c r="AG384" s="3"/>
      <x:c r="AH384" s="3"/>
      <x:c r="AI384" s="3"/>
      <x:c r="AJ384" s="3"/>
      <x:c r="AK384" s="3"/>
      <x:c r="AL384" s="3"/>
      <x:c r="AM384" s="3"/>
      <x:c r="AT384" s="3"/>
      <x:c r="AU384" s="3"/>
      <x:c r="AV384" s="3"/>
      <x:c r="AW384" s="3"/>
      <x:c r="AX384" s="3"/>
      <x:c r="AY384" s="3"/>
      <x:c r="AZ384" s="3"/>
      <x:c r="BA384" s="3"/>
      <x:c r="BC384" s="3"/>
      <x:c r="BD384" s="3"/>
      <x:c r="BE384" s="3"/>
      <x:c r="BF384" s="3"/>
      <x:c r="BG384" s="3"/>
      <x:c r="BH384" s="13"/>
      <x:c r="BI384" s="13"/>
      <x:c r="BJ384" s="13"/>
      <x:c r="BK384" s="13"/>
      <x:c r="BL384" s="13"/>
      <x:c r="BM384" s="13"/>
      <x:c r="BN384" s="13"/>
      <x:c r="BO384" s="13"/>
      <x:c r="BP384" s="13"/>
      <x:c r="BQ384" s="13"/>
      <x:c r="BR384" s="13"/>
      <x:c r="BS384" s="13"/>
      <x:c r="BT384" s="13"/>
      <x:c r="BU384" s="13"/>
      <x:c r="BV384" s="13"/>
      <x:c r="BW384" s="13"/>
      <x:c r="BX384" s="13"/>
      <x:c r="BY384" s="13"/>
      <x:c r="BZ384" s="13"/>
      <x:c r="CA384" s="13"/>
      <x:c r="CB384" s="13"/>
      <x:c r="CC384" s="13"/>
      <x:c r="CD384" s="13"/>
      <x:c r="CE384" s="13"/>
      <x:c r="CF384" s="13"/>
      <x:c r="CG384" s="13"/>
    </x:row>
    <x:row r="385" ht="14.25" customHeight="1">
      <x:c r="AA385" s="3"/>
      <x:c r="AF385" s="3"/>
      <x:c r="AG385" s="3"/>
      <x:c r="AH385" s="3"/>
      <x:c r="AI385" s="3"/>
      <x:c r="AJ385" s="3"/>
      <x:c r="AK385" s="3"/>
      <x:c r="AL385" s="3"/>
      <x:c r="AM385" s="3"/>
      <x:c r="AT385" s="3"/>
      <x:c r="AU385" s="3"/>
      <x:c r="AV385" s="3"/>
      <x:c r="AW385" s="3"/>
      <x:c r="AX385" s="3"/>
      <x:c r="AY385" s="3"/>
      <x:c r="AZ385" s="3"/>
      <x:c r="BA385" s="3"/>
      <x:c r="BC385" s="3"/>
      <x:c r="BD385" s="3"/>
      <x:c r="BE385" s="3"/>
      <x:c r="BF385" s="3"/>
      <x:c r="BG385" s="3"/>
      <x:c r="BH385" s="13"/>
      <x:c r="BI385" s="13"/>
      <x:c r="BJ385" s="13"/>
      <x:c r="BK385" s="13"/>
      <x:c r="BL385" s="13"/>
      <x:c r="BM385" s="13"/>
      <x:c r="BN385" s="13"/>
      <x:c r="BO385" s="13"/>
      <x:c r="BP385" s="13"/>
      <x:c r="BQ385" s="13"/>
      <x:c r="BR385" s="13"/>
      <x:c r="BS385" s="13"/>
      <x:c r="BT385" s="13"/>
      <x:c r="BU385" s="13"/>
      <x:c r="BV385" s="13"/>
      <x:c r="BW385" s="13"/>
      <x:c r="BX385" s="13"/>
      <x:c r="BY385" s="13"/>
      <x:c r="BZ385" s="13"/>
      <x:c r="CA385" s="13"/>
      <x:c r="CB385" s="13"/>
      <x:c r="CC385" s="13"/>
      <x:c r="CD385" s="13"/>
      <x:c r="CE385" s="13"/>
      <x:c r="CF385" s="13"/>
      <x:c r="CG385" s="13"/>
    </x:row>
    <x:row r="386" ht="14.25" customHeight="1">
      <x:c r="AA386" s="3"/>
      <x:c r="AF386" s="3"/>
      <x:c r="AG386" s="3"/>
      <x:c r="AH386" s="3"/>
      <x:c r="AI386" s="3"/>
      <x:c r="AJ386" s="3"/>
      <x:c r="AK386" s="3"/>
      <x:c r="AL386" s="3"/>
      <x:c r="AM386" s="3"/>
      <x:c r="AT386" s="3"/>
      <x:c r="AU386" s="3"/>
      <x:c r="AV386" s="3"/>
      <x:c r="AW386" s="3"/>
      <x:c r="AX386" s="3"/>
      <x:c r="AY386" s="3"/>
      <x:c r="AZ386" s="3"/>
      <x:c r="BA386" s="3"/>
      <x:c r="BC386" s="3"/>
      <x:c r="BD386" s="3"/>
      <x:c r="BE386" s="3"/>
      <x:c r="BF386" s="3"/>
      <x:c r="BG386" s="3"/>
      <x:c r="BH386" s="13"/>
      <x:c r="BI386" s="13"/>
      <x:c r="BJ386" s="13"/>
      <x:c r="BK386" s="13"/>
      <x:c r="BL386" s="13"/>
      <x:c r="BM386" s="13"/>
      <x:c r="BN386" s="13"/>
      <x:c r="BO386" s="13"/>
      <x:c r="BP386" s="13"/>
      <x:c r="BQ386" s="13"/>
      <x:c r="BR386" s="13"/>
      <x:c r="BS386" s="13"/>
      <x:c r="BT386" s="13"/>
      <x:c r="BU386" s="13"/>
      <x:c r="BV386" s="13"/>
      <x:c r="BW386" s="13"/>
      <x:c r="BX386" s="13"/>
      <x:c r="BY386" s="13"/>
      <x:c r="BZ386" s="13"/>
      <x:c r="CA386" s="13"/>
      <x:c r="CB386" s="13"/>
      <x:c r="CC386" s="13"/>
      <x:c r="CD386" s="13"/>
      <x:c r="CE386" s="13"/>
      <x:c r="CF386" s="13"/>
      <x:c r="CG386" s="13"/>
    </x:row>
    <x:row r="387" ht="14.25" customHeight="1">
      <x:c r="AA387" s="3"/>
      <x:c r="AF387" s="3"/>
      <x:c r="AG387" s="3"/>
      <x:c r="AH387" s="3"/>
      <x:c r="AI387" s="3"/>
      <x:c r="AJ387" s="3"/>
      <x:c r="AK387" s="3"/>
      <x:c r="AL387" s="3"/>
      <x:c r="AM387" s="3"/>
      <x:c r="AT387" s="3"/>
      <x:c r="AU387" s="3"/>
      <x:c r="AV387" s="3"/>
      <x:c r="AW387" s="3"/>
      <x:c r="AX387" s="3"/>
      <x:c r="AY387" s="3"/>
      <x:c r="AZ387" s="3"/>
      <x:c r="BA387" s="3"/>
      <x:c r="BC387" s="3"/>
      <x:c r="BD387" s="3"/>
      <x:c r="BE387" s="3"/>
      <x:c r="BF387" s="3"/>
      <x:c r="BG387" s="3"/>
      <x:c r="BH387" s="13"/>
      <x:c r="BI387" s="13"/>
      <x:c r="BJ387" s="13"/>
      <x:c r="BK387" s="13"/>
      <x:c r="BL387" s="13"/>
      <x:c r="BM387" s="13"/>
      <x:c r="BN387" s="13"/>
      <x:c r="BO387" s="13"/>
      <x:c r="BP387" s="13"/>
      <x:c r="BQ387" s="13"/>
      <x:c r="BR387" s="13"/>
      <x:c r="BS387" s="13"/>
      <x:c r="BT387" s="13"/>
      <x:c r="BU387" s="13"/>
      <x:c r="BV387" s="13"/>
      <x:c r="BW387" s="13"/>
      <x:c r="BX387" s="13"/>
      <x:c r="BY387" s="13"/>
      <x:c r="BZ387" s="13"/>
      <x:c r="CA387" s="13"/>
      <x:c r="CB387" s="13"/>
      <x:c r="CC387" s="13"/>
      <x:c r="CD387" s="13"/>
      <x:c r="CE387" s="13"/>
      <x:c r="CF387" s="13"/>
      <x:c r="CG387" s="13"/>
    </x:row>
    <x:row r="388" ht="14.25" customHeight="1">
      <x:c r="AA388" s="3"/>
      <x:c r="AF388" s="3"/>
      <x:c r="AG388" s="3"/>
      <x:c r="AH388" s="3"/>
      <x:c r="AI388" s="3"/>
      <x:c r="AJ388" s="3"/>
      <x:c r="AK388" s="3"/>
      <x:c r="AL388" s="3"/>
      <x:c r="AM388" s="3"/>
      <x:c r="AT388" s="3"/>
      <x:c r="AU388" s="3"/>
      <x:c r="AV388" s="3"/>
      <x:c r="AW388" s="3"/>
      <x:c r="AX388" s="3"/>
      <x:c r="AY388" s="3"/>
      <x:c r="AZ388" s="3"/>
      <x:c r="BA388" s="3"/>
      <x:c r="BC388" s="3"/>
      <x:c r="BD388" s="3"/>
      <x:c r="BE388" s="3"/>
      <x:c r="BF388" s="3"/>
      <x:c r="BG388" s="3"/>
      <x:c r="BH388" s="13"/>
      <x:c r="BI388" s="13"/>
      <x:c r="BJ388" s="13"/>
      <x:c r="BK388" s="13"/>
      <x:c r="BL388" s="13"/>
      <x:c r="BM388" s="13"/>
      <x:c r="BN388" s="13"/>
      <x:c r="BO388" s="13"/>
      <x:c r="BP388" s="13"/>
      <x:c r="BQ388" s="13"/>
      <x:c r="BR388" s="13"/>
      <x:c r="BS388" s="13"/>
      <x:c r="BT388" s="13"/>
      <x:c r="BU388" s="13"/>
      <x:c r="BV388" s="13"/>
      <x:c r="BW388" s="13"/>
      <x:c r="BX388" s="13"/>
      <x:c r="BY388" s="13"/>
      <x:c r="BZ388" s="13"/>
      <x:c r="CA388" s="13"/>
      <x:c r="CB388" s="13"/>
      <x:c r="CC388" s="13"/>
      <x:c r="CD388" s="13"/>
      <x:c r="CE388" s="13"/>
      <x:c r="CF388" s="13"/>
      <x:c r="CG388" s="13"/>
    </x:row>
    <x:row r="389" ht="14.25" customHeight="1">
      <x:c r="AA389" s="3"/>
      <x:c r="AF389" s="3"/>
      <x:c r="AG389" s="3"/>
      <x:c r="AH389" s="3"/>
      <x:c r="AI389" s="3"/>
      <x:c r="AJ389" s="3"/>
      <x:c r="AK389" s="3"/>
      <x:c r="AL389" s="3"/>
      <x:c r="AM389" s="3"/>
      <x:c r="AT389" s="3"/>
      <x:c r="AU389" s="3"/>
      <x:c r="AV389" s="3"/>
      <x:c r="AW389" s="3"/>
      <x:c r="AX389" s="3"/>
      <x:c r="AY389" s="3"/>
      <x:c r="AZ389" s="3"/>
      <x:c r="BA389" s="3"/>
      <x:c r="BC389" s="3"/>
      <x:c r="BD389" s="3"/>
      <x:c r="BE389" s="3"/>
      <x:c r="BF389" s="3"/>
      <x:c r="BG389" s="3"/>
      <x:c r="BH389" s="13"/>
      <x:c r="BI389" s="13"/>
      <x:c r="BJ389" s="13"/>
      <x:c r="BK389" s="13"/>
      <x:c r="BL389" s="13"/>
      <x:c r="BM389" s="13"/>
      <x:c r="BN389" s="13"/>
      <x:c r="BO389" s="13"/>
      <x:c r="BP389" s="13"/>
      <x:c r="BQ389" s="13"/>
      <x:c r="BR389" s="13"/>
      <x:c r="BS389" s="13"/>
      <x:c r="BT389" s="13"/>
      <x:c r="BU389" s="13"/>
      <x:c r="BV389" s="13"/>
      <x:c r="BW389" s="13"/>
      <x:c r="BX389" s="13"/>
      <x:c r="BY389" s="13"/>
      <x:c r="BZ389" s="13"/>
      <x:c r="CA389" s="13"/>
      <x:c r="CB389" s="13"/>
      <x:c r="CC389" s="13"/>
      <x:c r="CD389" s="13"/>
      <x:c r="CE389" s="13"/>
      <x:c r="CF389" s="13"/>
      <x:c r="CG389" s="13"/>
    </x:row>
    <x:row r="390" ht="14.25" customHeight="1">
      <x:c r="AA390" s="3"/>
      <x:c r="AF390" s="3"/>
      <x:c r="AG390" s="3"/>
      <x:c r="AH390" s="3"/>
      <x:c r="AI390" s="3"/>
      <x:c r="AJ390" s="3"/>
      <x:c r="AK390" s="3"/>
      <x:c r="AL390" s="3"/>
      <x:c r="AM390" s="3"/>
      <x:c r="AT390" s="3"/>
      <x:c r="AU390" s="3"/>
      <x:c r="AV390" s="3"/>
      <x:c r="AW390" s="3"/>
      <x:c r="AX390" s="3"/>
      <x:c r="AY390" s="3"/>
      <x:c r="AZ390" s="3"/>
      <x:c r="BA390" s="3"/>
      <x:c r="BC390" s="3"/>
      <x:c r="BD390" s="3"/>
      <x:c r="BE390" s="3"/>
      <x:c r="BF390" s="3"/>
      <x:c r="BG390" s="3"/>
      <x:c r="BH390" s="13"/>
      <x:c r="BI390" s="13"/>
      <x:c r="BJ390" s="13"/>
      <x:c r="BK390" s="13"/>
      <x:c r="BL390" s="13"/>
      <x:c r="BM390" s="13"/>
      <x:c r="BN390" s="13"/>
      <x:c r="BO390" s="13"/>
      <x:c r="BP390" s="13"/>
      <x:c r="BQ390" s="13"/>
      <x:c r="BR390" s="13"/>
      <x:c r="BS390" s="13"/>
      <x:c r="BT390" s="13"/>
      <x:c r="BU390" s="13"/>
      <x:c r="BV390" s="13"/>
      <x:c r="BW390" s="13"/>
      <x:c r="BX390" s="13"/>
      <x:c r="BY390" s="13"/>
      <x:c r="BZ390" s="13"/>
      <x:c r="CA390" s="13"/>
      <x:c r="CB390" s="13"/>
      <x:c r="CC390" s="13"/>
      <x:c r="CD390" s="13"/>
      <x:c r="CE390" s="13"/>
      <x:c r="CF390" s="13"/>
      <x:c r="CG390" s="13"/>
    </x:row>
    <x:row r="391" ht="14.25" customHeight="1">
      <x:c r="AA391" s="3"/>
      <x:c r="AF391" s="3"/>
      <x:c r="AG391" s="3"/>
      <x:c r="AH391" s="3"/>
      <x:c r="AI391" s="3"/>
      <x:c r="AJ391" s="3"/>
      <x:c r="AK391" s="3"/>
      <x:c r="AL391" s="3"/>
      <x:c r="AM391" s="3"/>
      <x:c r="AT391" s="3"/>
      <x:c r="AU391" s="3"/>
      <x:c r="AV391" s="3"/>
      <x:c r="AW391" s="3"/>
      <x:c r="AX391" s="3"/>
      <x:c r="AY391" s="3"/>
      <x:c r="AZ391" s="3"/>
      <x:c r="BA391" s="3"/>
      <x:c r="BC391" s="3"/>
      <x:c r="BD391" s="3"/>
      <x:c r="BE391" s="3"/>
      <x:c r="BF391" s="3"/>
      <x:c r="BG391" s="3"/>
      <x:c r="BH391" s="13"/>
      <x:c r="BI391" s="13"/>
      <x:c r="BJ391" s="13"/>
      <x:c r="BK391" s="13"/>
      <x:c r="BL391" s="13"/>
      <x:c r="BM391" s="13"/>
      <x:c r="BN391" s="13"/>
      <x:c r="BO391" s="13"/>
      <x:c r="BP391" s="13"/>
      <x:c r="BQ391" s="13"/>
      <x:c r="BR391" s="13"/>
      <x:c r="BS391" s="13"/>
      <x:c r="BT391" s="13"/>
      <x:c r="BU391" s="13"/>
      <x:c r="BV391" s="13"/>
      <x:c r="BW391" s="13"/>
      <x:c r="BX391" s="13"/>
      <x:c r="BY391" s="13"/>
      <x:c r="BZ391" s="13"/>
      <x:c r="CA391" s="13"/>
      <x:c r="CB391" s="13"/>
      <x:c r="CC391" s="13"/>
      <x:c r="CD391" s="13"/>
      <x:c r="CE391" s="13"/>
      <x:c r="CF391" s="13"/>
      <x:c r="CG391" s="13"/>
    </x:row>
    <x:row r="392" ht="14.25" customHeight="1">
      <x:c r="AA392" s="3"/>
      <x:c r="AF392" s="3"/>
      <x:c r="AG392" s="3"/>
      <x:c r="AH392" s="3"/>
      <x:c r="AI392" s="3"/>
      <x:c r="AJ392" s="3"/>
      <x:c r="AK392" s="3"/>
      <x:c r="AL392" s="3"/>
      <x:c r="AM392" s="3"/>
      <x:c r="AT392" s="3"/>
      <x:c r="AU392" s="3"/>
      <x:c r="AV392" s="3"/>
      <x:c r="AW392" s="3"/>
      <x:c r="AX392" s="3"/>
      <x:c r="AY392" s="3"/>
      <x:c r="AZ392" s="3"/>
      <x:c r="BA392" s="3"/>
      <x:c r="BC392" s="3"/>
      <x:c r="BD392" s="3"/>
      <x:c r="BE392" s="3"/>
      <x:c r="BF392" s="3"/>
      <x:c r="BG392" s="3"/>
      <x:c r="BH392" s="13"/>
      <x:c r="BI392" s="13"/>
      <x:c r="BJ392" s="13"/>
      <x:c r="BK392" s="13"/>
      <x:c r="BL392" s="13"/>
      <x:c r="BM392" s="13"/>
      <x:c r="BN392" s="13"/>
      <x:c r="BO392" s="13"/>
      <x:c r="BP392" s="13"/>
      <x:c r="BQ392" s="13"/>
      <x:c r="BR392" s="13"/>
      <x:c r="BS392" s="13"/>
      <x:c r="BT392" s="13"/>
      <x:c r="BU392" s="13"/>
      <x:c r="BV392" s="13"/>
      <x:c r="BW392" s="13"/>
      <x:c r="BX392" s="13"/>
      <x:c r="BY392" s="13"/>
      <x:c r="BZ392" s="13"/>
      <x:c r="CA392" s="13"/>
      <x:c r="CB392" s="13"/>
      <x:c r="CC392" s="13"/>
      <x:c r="CD392" s="13"/>
      <x:c r="CE392" s="13"/>
      <x:c r="CF392" s="13"/>
      <x:c r="CG392" s="13"/>
    </x:row>
    <x:row r="393" ht="14.25" customHeight="1">
      <x:c r="AA393" s="3"/>
      <x:c r="AF393" s="3"/>
      <x:c r="AG393" s="3"/>
      <x:c r="AH393" s="3"/>
      <x:c r="AI393" s="3"/>
      <x:c r="AJ393" s="3"/>
      <x:c r="AK393" s="3"/>
      <x:c r="AL393" s="3"/>
      <x:c r="AM393" s="3"/>
      <x:c r="AT393" s="3"/>
      <x:c r="AU393" s="3"/>
      <x:c r="AV393" s="3"/>
      <x:c r="AW393" s="3"/>
      <x:c r="AX393" s="3"/>
      <x:c r="AY393" s="3"/>
      <x:c r="AZ393" s="3"/>
      <x:c r="BA393" s="3"/>
      <x:c r="BC393" s="3"/>
      <x:c r="BD393" s="3"/>
      <x:c r="BE393" s="3"/>
      <x:c r="BF393" s="3"/>
      <x:c r="BG393" s="3"/>
      <x:c r="BH393" s="13"/>
      <x:c r="BI393" s="13"/>
      <x:c r="BJ393" s="13"/>
      <x:c r="BK393" s="13"/>
      <x:c r="BL393" s="13"/>
      <x:c r="BM393" s="13"/>
      <x:c r="BN393" s="13"/>
      <x:c r="BO393" s="13"/>
      <x:c r="BP393" s="13"/>
      <x:c r="BQ393" s="13"/>
      <x:c r="BR393" s="13"/>
      <x:c r="BS393" s="13"/>
      <x:c r="BT393" s="13"/>
      <x:c r="BU393" s="13"/>
      <x:c r="BV393" s="13"/>
      <x:c r="BW393" s="13"/>
      <x:c r="BX393" s="13"/>
      <x:c r="BY393" s="13"/>
      <x:c r="BZ393" s="13"/>
      <x:c r="CA393" s="13"/>
      <x:c r="CB393" s="13"/>
      <x:c r="CC393" s="13"/>
      <x:c r="CD393" s="13"/>
      <x:c r="CE393" s="13"/>
      <x:c r="CF393" s="13"/>
      <x:c r="CG393" s="13"/>
    </x:row>
    <x:row r="394" ht="14.25" customHeight="1">
      <x:c r="AA394" s="3"/>
      <x:c r="AF394" s="3"/>
      <x:c r="AG394" s="3"/>
      <x:c r="AH394" s="3"/>
      <x:c r="AI394" s="3"/>
      <x:c r="AJ394" s="3"/>
      <x:c r="AK394" s="3"/>
      <x:c r="AL394" s="3"/>
      <x:c r="AM394" s="3"/>
      <x:c r="AT394" s="3"/>
      <x:c r="AU394" s="3"/>
      <x:c r="AV394" s="3"/>
      <x:c r="AW394" s="3"/>
      <x:c r="AX394" s="3"/>
      <x:c r="AY394" s="3"/>
      <x:c r="AZ394" s="3"/>
      <x:c r="BA394" s="3"/>
      <x:c r="BC394" s="3"/>
      <x:c r="BD394" s="3"/>
      <x:c r="BE394" s="3"/>
      <x:c r="BF394" s="3"/>
      <x:c r="BG394" s="3"/>
      <x:c r="BH394" s="13"/>
      <x:c r="BI394" s="13"/>
      <x:c r="BJ394" s="13"/>
      <x:c r="BK394" s="13"/>
      <x:c r="BL394" s="13"/>
      <x:c r="BM394" s="13"/>
      <x:c r="BN394" s="13"/>
      <x:c r="BO394" s="13"/>
      <x:c r="BP394" s="13"/>
      <x:c r="BQ394" s="13"/>
      <x:c r="BR394" s="13"/>
      <x:c r="BS394" s="13"/>
      <x:c r="BT394" s="13"/>
      <x:c r="BU394" s="13"/>
      <x:c r="BV394" s="13"/>
      <x:c r="BW394" s="13"/>
      <x:c r="BX394" s="13"/>
      <x:c r="BY394" s="13"/>
      <x:c r="BZ394" s="13"/>
      <x:c r="CA394" s="13"/>
      <x:c r="CB394" s="13"/>
      <x:c r="CC394" s="13"/>
      <x:c r="CD394" s="13"/>
      <x:c r="CE394" s="13"/>
      <x:c r="CF394" s="13"/>
      <x:c r="CG394" s="13"/>
    </x:row>
    <x:row r="395" ht="14.25" customHeight="1">
      <x:c r="AA395" s="3"/>
      <x:c r="AF395" s="3"/>
      <x:c r="AG395" s="3"/>
      <x:c r="AH395" s="3"/>
      <x:c r="AI395" s="3"/>
      <x:c r="AJ395" s="3"/>
      <x:c r="AK395" s="3"/>
      <x:c r="AL395" s="3"/>
      <x:c r="AM395" s="3"/>
      <x:c r="AT395" s="3"/>
      <x:c r="AU395" s="3"/>
      <x:c r="AV395" s="3"/>
      <x:c r="AW395" s="3"/>
      <x:c r="AX395" s="3"/>
      <x:c r="AY395" s="3"/>
      <x:c r="AZ395" s="3"/>
      <x:c r="BA395" s="3"/>
      <x:c r="BC395" s="3"/>
      <x:c r="BD395" s="3"/>
      <x:c r="BE395" s="3"/>
      <x:c r="BF395" s="3"/>
      <x:c r="BG395" s="3"/>
      <x:c r="BH395" s="13"/>
      <x:c r="BI395" s="13"/>
      <x:c r="BJ395" s="13"/>
      <x:c r="BK395" s="13"/>
      <x:c r="BL395" s="13"/>
      <x:c r="BM395" s="13"/>
      <x:c r="BN395" s="13"/>
      <x:c r="BO395" s="13"/>
      <x:c r="BP395" s="13"/>
      <x:c r="BQ395" s="13"/>
      <x:c r="BR395" s="13"/>
      <x:c r="BS395" s="13"/>
      <x:c r="BT395" s="13"/>
      <x:c r="BU395" s="13"/>
      <x:c r="BV395" s="13"/>
      <x:c r="BW395" s="13"/>
      <x:c r="BX395" s="13"/>
      <x:c r="BY395" s="13"/>
      <x:c r="BZ395" s="13"/>
      <x:c r="CA395" s="13"/>
      <x:c r="CB395" s="13"/>
      <x:c r="CC395" s="13"/>
      <x:c r="CD395" s="13"/>
      <x:c r="CE395" s="13"/>
      <x:c r="CF395" s="13"/>
      <x:c r="CG395" s="13"/>
    </x:row>
    <x:row r="396" ht="14.25" customHeight="1">
      <x:c r="AA396" s="3"/>
      <x:c r="AF396" s="3"/>
      <x:c r="AG396" s="3"/>
      <x:c r="AH396" s="3"/>
      <x:c r="AI396" s="3"/>
      <x:c r="AJ396" s="3"/>
      <x:c r="AK396" s="3"/>
      <x:c r="AL396" s="3"/>
      <x:c r="AM396" s="3"/>
      <x:c r="AT396" s="3"/>
      <x:c r="AU396" s="3"/>
      <x:c r="AV396" s="3"/>
      <x:c r="AW396" s="3"/>
      <x:c r="AX396" s="3"/>
      <x:c r="AY396" s="3"/>
      <x:c r="AZ396" s="3"/>
      <x:c r="BA396" s="3"/>
      <x:c r="BC396" s="3"/>
      <x:c r="BD396" s="3"/>
      <x:c r="BE396" s="3"/>
      <x:c r="BF396" s="3"/>
      <x:c r="BG396" s="3"/>
      <x:c r="BH396" s="13"/>
      <x:c r="BI396" s="13"/>
      <x:c r="BJ396" s="13"/>
      <x:c r="BK396" s="13"/>
      <x:c r="BL396" s="13"/>
      <x:c r="BM396" s="13"/>
      <x:c r="BN396" s="13"/>
      <x:c r="BO396" s="13"/>
      <x:c r="BP396" s="13"/>
      <x:c r="BQ396" s="13"/>
      <x:c r="BR396" s="13"/>
      <x:c r="BS396" s="13"/>
      <x:c r="BT396" s="13"/>
      <x:c r="BU396" s="13"/>
      <x:c r="BV396" s="13"/>
      <x:c r="BW396" s="13"/>
      <x:c r="BX396" s="13"/>
      <x:c r="BY396" s="13"/>
      <x:c r="BZ396" s="13"/>
      <x:c r="CA396" s="13"/>
      <x:c r="CB396" s="13"/>
      <x:c r="CC396" s="13"/>
      <x:c r="CD396" s="13"/>
      <x:c r="CE396" s="13"/>
      <x:c r="CF396" s="13"/>
      <x:c r="CG396" s="13"/>
    </x:row>
    <x:row r="397" ht="14.25" customHeight="1">
      <x:c r="AA397" s="3"/>
      <x:c r="AF397" s="3"/>
      <x:c r="AG397" s="3"/>
      <x:c r="AH397" s="3"/>
      <x:c r="AI397" s="3"/>
      <x:c r="AJ397" s="3"/>
      <x:c r="AK397" s="3"/>
      <x:c r="AL397" s="3"/>
      <x:c r="AM397" s="3"/>
      <x:c r="AT397" s="3"/>
      <x:c r="AU397" s="3"/>
      <x:c r="AV397" s="3"/>
      <x:c r="AW397" s="3"/>
      <x:c r="AX397" s="3"/>
      <x:c r="AY397" s="3"/>
      <x:c r="AZ397" s="3"/>
      <x:c r="BA397" s="3"/>
      <x:c r="BC397" s="3"/>
      <x:c r="BD397" s="3"/>
      <x:c r="BE397" s="3"/>
      <x:c r="BF397" s="3"/>
      <x:c r="BG397" s="3"/>
      <x:c r="BH397" s="13"/>
      <x:c r="BI397" s="13"/>
      <x:c r="BJ397" s="13"/>
      <x:c r="BK397" s="13"/>
      <x:c r="BL397" s="13"/>
      <x:c r="BM397" s="13"/>
      <x:c r="BN397" s="13"/>
      <x:c r="BO397" s="13"/>
      <x:c r="BP397" s="13"/>
      <x:c r="BQ397" s="13"/>
      <x:c r="BR397" s="13"/>
      <x:c r="BS397" s="13"/>
      <x:c r="BT397" s="13"/>
      <x:c r="BU397" s="13"/>
      <x:c r="BV397" s="13"/>
      <x:c r="BW397" s="13"/>
      <x:c r="BX397" s="13"/>
      <x:c r="BY397" s="13"/>
      <x:c r="BZ397" s="13"/>
      <x:c r="CA397" s="13"/>
      <x:c r="CB397" s="13"/>
      <x:c r="CC397" s="13"/>
      <x:c r="CD397" s="13"/>
      <x:c r="CE397" s="13"/>
      <x:c r="CF397" s="13"/>
      <x:c r="CG397" s="13"/>
    </x:row>
    <x:row r="398" ht="14.25" customHeight="1">
      <x:c r="AA398" s="3"/>
      <x:c r="AF398" s="3"/>
      <x:c r="AG398" s="3"/>
      <x:c r="AH398" s="3"/>
      <x:c r="AI398" s="3"/>
      <x:c r="AJ398" s="3"/>
      <x:c r="AK398" s="3"/>
      <x:c r="AL398" s="3"/>
      <x:c r="AM398" s="3"/>
      <x:c r="AT398" s="3"/>
      <x:c r="AU398" s="3"/>
      <x:c r="AV398" s="3"/>
      <x:c r="AW398" s="3"/>
      <x:c r="AX398" s="3"/>
      <x:c r="AY398" s="3"/>
      <x:c r="AZ398" s="3"/>
      <x:c r="BA398" s="3"/>
      <x:c r="BC398" s="3"/>
      <x:c r="BD398" s="3"/>
      <x:c r="BE398" s="3"/>
      <x:c r="BF398" s="3"/>
      <x:c r="BG398" s="3"/>
      <x:c r="BH398" s="13"/>
      <x:c r="BI398" s="13"/>
      <x:c r="BJ398" s="13"/>
      <x:c r="BK398" s="13"/>
      <x:c r="BL398" s="13"/>
      <x:c r="BM398" s="13"/>
      <x:c r="BN398" s="13"/>
      <x:c r="BO398" s="13"/>
      <x:c r="BP398" s="13"/>
      <x:c r="BQ398" s="13"/>
      <x:c r="BR398" s="13"/>
      <x:c r="BS398" s="13"/>
      <x:c r="BT398" s="13"/>
      <x:c r="BU398" s="13"/>
      <x:c r="BV398" s="13"/>
      <x:c r="BW398" s="13"/>
      <x:c r="BX398" s="13"/>
      <x:c r="BY398" s="13"/>
      <x:c r="BZ398" s="13"/>
      <x:c r="CA398" s="13"/>
      <x:c r="CB398" s="13"/>
      <x:c r="CC398" s="13"/>
      <x:c r="CD398" s="13"/>
      <x:c r="CE398" s="13"/>
      <x:c r="CF398" s="13"/>
      <x:c r="CG398" s="13"/>
    </x:row>
    <x:row r="399" ht="14.25" customHeight="1">
      <x:c r="AA399" s="3"/>
      <x:c r="AF399" s="3"/>
      <x:c r="AG399" s="3"/>
      <x:c r="AH399" s="3"/>
      <x:c r="AI399" s="3"/>
      <x:c r="AJ399" s="3"/>
      <x:c r="AK399" s="3"/>
      <x:c r="AL399" s="3"/>
      <x:c r="AM399" s="3"/>
      <x:c r="AT399" s="3"/>
      <x:c r="AU399" s="3"/>
      <x:c r="AV399" s="3"/>
      <x:c r="AW399" s="3"/>
      <x:c r="AX399" s="3"/>
      <x:c r="AY399" s="3"/>
      <x:c r="AZ399" s="3"/>
      <x:c r="BA399" s="3"/>
      <x:c r="BC399" s="3"/>
      <x:c r="BD399" s="3"/>
      <x:c r="BE399" s="3"/>
      <x:c r="BF399" s="3"/>
      <x:c r="BG399" s="3"/>
      <x:c r="BH399" s="13"/>
      <x:c r="BI399" s="13"/>
      <x:c r="BJ399" s="13"/>
      <x:c r="BK399" s="13"/>
      <x:c r="BL399" s="13"/>
      <x:c r="BM399" s="13"/>
      <x:c r="BN399" s="13"/>
      <x:c r="BO399" s="13"/>
      <x:c r="BP399" s="13"/>
      <x:c r="BQ399" s="13"/>
      <x:c r="BR399" s="13"/>
      <x:c r="BS399" s="13"/>
      <x:c r="BT399" s="13"/>
      <x:c r="BU399" s="13"/>
      <x:c r="BV399" s="13"/>
      <x:c r="BW399" s="13"/>
      <x:c r="BX399" s="13"/>
      <x:c r="BY399" s="13"/>
      <x:c r="BZ399" s="13"/>
      <x:c r="CA399" s="13"/>
      <x:c r="CB399" s="13"/>
      <x:c r="CC399" s="13"/>
      <x:c r="CD399" s="13"/>
      <x:c r="CE399" s="13"/>
      <x:c r="CF399" s="13"/>
      <x:c r="CG399" s="13"/>
    </x:row>
    <x:row r="400" ht="14.25" customHeight="1">
      <x:c r="AA400" s="3"/>
      <x:c r="AF400" s="3"/>
      <x:c r="AG400" s="3"/>
      <x:c r="AH400" s="3"/>
      <x:c r="AI400" s="3"/>
      <x:c r="AJ400" s="3"/>
      <x:c r="AK400" s="3"/>
      <x:c r="AL400" s="3"/>
      <x:c r="AM400" s="3"/>
      <x:c r="AT400" s="3"/>
      <x:c r="AU400" s="3"/>
      <x:c r="AV400" s="3"/>
      <x:c r="AW400" s="3"/>
      <x:c r="AX400" s="3"/>
      <x:c r="AY400" s="3"/>
      <x:c r="AZ400" s="3"/>
      <x:c r="BA400" s="3"/>
      <x:c r="BC400" s="3"/>
      <x:c r="BD400" s="3"/>
      <x:c r="BE400" s="3"/>
      <x:c r="BF400" s="3"/>
      <x:c r="BG400" s="3"/>
      <x:c r="BH400" s="13"/>
      <x:c r="BI400" s="13"/>
      <x:c r="BJ400" s="13"/>
      <x:c r="BK400" s="13"/>
      <x:c r="BL400" s="13"/>
      <x:c r="BM400" s="13"/>
      <x:c r="BN400" s="13"/>
      <x:c r="BO400" s="13"/>
      <x:c r="BP400" s="13"/>
      <x:c r="BQ400" s="13"/>
      <x:c r="BR400" s="13"/>
      <x:c r="BS400" s="13"/>
      <x:c r="BT400" s="13"/>
      <x:c r="BU400" s="13"/>
      <x:c r="BV400" s="13"/>
      <x:c r="BW400" s="13"/>
      <x:c r="BX400" s="13"/>
      <x:c r="BY400" s="13"/>
      <x:c r="BZ400" s="13"/>
      <x:c r="CA400" s="13"/>
      <x:c r="CB400" s="13"/>
      <x:c r="CC400" s="13"/>
      <x:c r="CD400" s="13"/>
      <x:c r="CE400" s="13"/>
      <x:c r="CF400" s="13"/>
      <x:c r="CG400" s="13"/>
    </x:row>
    <x:row r="401" ht="14.25" customHeight="1">
      <x:c r="AA401" s="3"/>
      <x:c r="AF401" s="3"/>
      <x:c r="AG401" s="3"/>
      <x:c r="AH401" s="3"/>
      <x:c r="AI401" s="3"/>
      <x:c r="AJ401" s="3"/>
      <x:c r="AK401" s="3"/>
      <x:c r="AL401" s="3"/>
      <x:c r="AM401" s="3"/>
      <x:c r="AT401" s="3"/>
      <x:c r="AU401" s="3"/>
      <x:c r="AV401" s="3"/>
      <x:c r="AW401" s="3"/>
      <x:c r="AX401" s="3"/>
      <x:c r="AY401" s="3"/>
      <x:c r="AZ401" s="3"/>
      <x:c r="BA401" s="3"/>
      <x:c r="BC401" s="3"/>
      <x:c r="BD401" s="3"/>
      <x:c r="BE401" s="3"/>
      <x:c r="BF401" s="3"/>
      <x:c r="BG401" s="3"/>
      <x:c r="BH401" s="13"/>
      <x:c r="BI401" s="13"/>
      <x:c r="BJ401" s="13"/>
      <x:c r="BK401" s="13"/>
      <x:c r="BL401" s="13"/>
      <x:c r="BM401" s="13"/>
      <x:c r="BN401" s="13"/>
      <x:c r="BO401" s="13"/>
      <x:c r="BP401" s="13"/>
      <x:c r="BQ401" s="13"/>
      <x:c r="BR401" s="13"/>
      <x:c r="BS401" s="13"/>
      <x:c r="BT401" s="13"/>
      <x:c r="BU401" s="13"/>
      <x:c r="BV401" s="13"/>
      <x:c r="BW401" s="13"/>
      <x:c r="BX401" s="13"/>
      <x:c r="BY401" s="13"/>
      <x:c r="BZ401" s="13"/>
      <x:c r="CA401" s="13"/>
      <x:c r="CB401" s="13"/>
      <x:c r="CC401" s="13"/>
      <x:c r="CD401" s="13"/>
      <x:c r="CE401" s="13"/>
      <x:c r="CF401" s="13"/>
      <x:c r="CG401" s="13"/>
    </x:row>
    <x:row r="402" ht="14.25" customHeight="1">
      <x:c r="AA402" s="3"/>
      <x:c r="AF402" s="3"/>
      <x:c r="AG402" s="3"/>
      <x:c r="AH402" s="3"/>
      <x:c r="AI402" s="3"/>
      <x:c r="AJ402" s="3"/>
      <x:c r="AK402" s="3"/>
      <x:c r="AL402" s="3"/>
      <x:c r="AM402" s="3"/>
      <x:c r="AT402" s="3"/>
      <x:c r="AU402" s="3"/>
      <x:c r="AV402" s="3"/>
      <x:c r="AW402" s="3"/>
      <x:c r="AX402" s="3"/>
      <x:c r="AY402" s="3"/>
      <x:c r="AZ402" s="3"/>
      <x:c r="BA402" s="3"/>
      <x:c r="BC402" s="3"/>
      <x:c r="BD402" s="3"/>
      <x:c r="BE402" s="3"/>
      <x:c r="BF402" s="3"/>
      <x:c r="BG402" s="3"/>
      <x:c r="BH402" s="13"/>
      <x:c r="BI402" s="13"/>
      <x:c r="BJ402" s="13"/>
      <x:c r="BK402" s="13"/>
      <x:c r="BL402" s="13"/>
      <x:c r="BM402" s="13"/>
      <x:c r="BN402" s="13"/>
      <x:c r="BO402" s="13"/>
      <x:c r="BP402" s="13"/>
      <x:c r="BQ402" s="13"/>
      <x:c r="BR402" s="13"/>
      <x:c r="BS402" s="13"/>
      <x:c r="BT402" s="13"/>
      <x:c r="BU402" s="13"/>
      <x:c r="BV402" s="13"/>
      <x:c r="BW402" s="13"/>
      <x:c r="BX402" s="13"/>
      <x:c r="BY402" s="13"/>
      <x:c r="BZ402" s="13"/>
      <x:c r="CA402" s="13"/>
      <x:c r="CB402" s="13"/>
      <x:c r="CC402" s="13"/>
      <x:c r="CD402" s="13"/>
      <x:c r="CE402" s="13"/>
      <x:c r="CF402" s="13"/>
      <x:c r="CG402" s="13"/>
    </x:row>
    <x:row r="403" ht="14.25" customHeight="1">
      <x:c r="AA403" s="3"/>
      <x:c r="AF403" s="3"/>
      <x:c r="AG403" s="3"/>
      <x:c r="AH403" s="3"/>
      <x:c r="AI403" s="3"/>
      <x:c r="AJ403" s="3"/>
      <x:c r="AK403" s="3"/>
      <x:c r="AL403" s="3"/>
      <x:c r="AM403" s="3"/>
      <x:c r="AT403" s="3"/>
      <x:c r="AU403" s="3"/>
      <x:c r="AV403" s="3"/>
      <x:c r="AW403" s="3"/>
      <x:c r="AX403" s="3"/>
      <x:c r="AY403" s="3"/>
      <x:c r="AZ403" s="3"/>
      <x:c r="BA403" s="3"/>
      <x:c r="BC403" s="3"/>
      <x:c r="BD403" s="3"/>
      <x:c r="BE403" s="3"/>
      <x:c r="BF403" s="3"/>
      <x:c r="BG403" s="3"/>
      <x:c r="BH403" s="13"/>
      <x:c r="BI403" s="13"/>
      <x:c r="BJ403" s="13"/>
      <x:c r="BK403" s="13"/>
      <x:c r="BL403" s="13"/>
      <x:c r="BM403" s="13"/>
      <x:c r="BN403" s="13"/>
      <x:c r="BO403" s="13"/>
      <x:c r="BP403" s="13"/>
      <x:c r="BQ403" s="13"/>
      <x:c r="BR403" s="13"/>
      <x:c r="BS403" s="13"/>
      <x:c r="BT403" s="13"/>
      <x:c r="BU403" s="13"/>
      <x:c r="BV403" s="13"/>
      <x:c r="BW403" s="13"/>
      <x:c r="BX403" s="13"/>
      <x:c r="BY403" s="13"/>
      <x:c r="BZ403" s="13"/>
      <x:c r="CA403" s="13"/>
      <x:c r="CB403" s="13"/>
      <x:c r="CC403" s="13"/>
      <x:c r="CD403" s="13"/>
      <x:c r="CE403" s="13"/>
      <x:c r="CF403" s="13"/>
      <x:c r="CG403" s="13"/>
    </x:row>
    <x:row r="404" ht="14.25" customHeight="1">
      <x:c r="AA404" s="3"/>
      <x:c r="AF404" s="3"/>
      <x:c r="AG404" s="3"/>
      <x:c r="AH404" s="3"/>
      <x:c r="AI404" s="3"/>
      <x:c r="AJ404" s="3"/>
      <x:c r="AK404" s="3"/>
      <x:c r="AL404" s="3"/>
      <x:c r="AM404" s="3"/>
      <x:c r="AT404" s="3"/>
      <x:c r="AU404" s="3"/>
      <x:c r="AV404" s="3"/>
      <x:c r="AW404" s="3"/>
      <x:c r="AX404" s="3"/>
      <x:c r="AY404" s="3"/>
      <x:c r="AZ404" s="3"/>
      <x:c r="BA404" s="3"/>
      <x:c r="BC404" s="3"/>
      <x:c r="BD404" s="3"/>
      <x:c r="BE404" s="3"/>
      <x:c r="BF404" s="3"/>
      <x:c r="BG404" s="3"/>
      <x:c r="BH404" s="13"/>
      <x:c r="BI404" s="13"/>
      <x:c r="BJ404" s="13"/>
      <x:c r="BK404" s="13"/>
      <x:c r="BL404" s="13"/>
      <x:c r="BM404" s="13"/>
      <x:c r="BN404" s="13"/>
      <x:c r="BO404" s="13"/>
      <x:c r="BP404" s="13"/>
      <x:c r="BQ404" s="13"/>
      <x:c r="BR404" s="13"/>
      <x:c r="BS404" s="13"/>
      <x:c r="BT404" s="13"/>
      <x:c r="BU404" s="13"/>
      <x:c r="BV404" s="13"/>
      <x:c r="BW404" s="13"/>
      <x:c r="BX404" s="13"/>
      <x:c r="BY404" s="13"/>
      <x:c r="BZ404" s="13"/>
      <x:c r="CA404" s="13"/>
      <x:c r="CB404" s="13"/>
      <x:c r="CC404" s="13"/>
      <x:c r="CD404" s="13"/>
      <x:c r="CE404" s="13"/>
      <x:c r="CF404" s="13"/>
      <x:c r="CG404" s="13"/>
    </x:row>
    <x:row r="405" ht="14.25" customHeight="1">
      <x:c r="AA405" s="3"/>
      <x:c r="AF405" s="3"/>
      <x:c r="AG405" s="3"/>
      <x:c r="AH405" s="3"/>
      <x:c r="AI405" s="3"/>
      <x:c r="AJ405" s="3"/>
      <x:c r="AK405" s="3"/>
      <x:c r="AL405" s="3"/>
      <x:c r="AM405" s="3"/>
      <x:c r="AT405" s="3"/>
      <x:c r="AU405" s="3"/>
      <x:c r="AV405" s="3"/>
      <x:c r="AW405" s="3"/>
      <x:c r="AX405" s="3"/>
      <x:c r="AY405" s="3"/>
      <x:c r="AZ405" s="3"/>
      <x:c r="BA405" s="3"/>
      <x:c r="BC405" s="3"/>
      <x:c r="BD405" s="3"/>
      <x:c r="BE405" s="3"/>
      <x:c r="BF405" s="3"/>
      <x:c r="BG405" s="3"/>
      <x:c r="BH405" s="13"/>
      <x:c r="BI405" s="13"/>
      <x:c r="BJ405" s="13"/>
      <x:c r="BK405" s="13"/>
      <x:c r="BL405" s="13"/>
      <x:c r="BM405" s="13"/>
      <x:c r="BN405" s="13"/>
      <x:c r="BO405" s="13"/>
      <x:c r="BP405" s="13"/>
      <x:c r="BQ405" s="13"/>
      <x:c r="BR405" s="13"/>
      <x:c r="BS405" s="13"/>
      <x:c r="BT405" s="13"/>
      <x:c r="BU405" s="13"/>
      <x:c r="BV405" s="13"/>
      <x:c r="BW405" s="13"/>
      <x:c r="BX405" s="13"/>
      <x:c r="BY405" s="13"/>
      <x:c r="BZ405" s="13"/>
      <x:c r="CA405" s="13"/>
      <x:c r="CB405" s="13"/>
      <x:c r="CC405" s="13"/>
      <x:c r="CD405" s="13"/>
      <x:c r="CE405" s="13"/>
      <x:c r="CF405" s="13"/>
      <x:c r="CG405" s="13"/>
    </x:row>
    <x:row r="406" ht="14.25" customHeight="1">
      <x:c r="AA406" s="3"/>
      <x:c r="AF406" s="3"/>
      <x:c r="AG406" s="3"/>
      <x:c r="AH406" s="3"/>
      <x:c r="AI406" s="3"/>
      <x:c r="AJ406" s="3"/>
      <x:c r="AK406" s="3"/>
      <x:c r="AL406" s="3"/>
      <x:c r="AM406" s="3"/>
      <x:c r="AT406" s="3"/>
      <x:c r="AU406" s="3"/>
      <x:c r="AV406" s="3"/>
      <x:c r="AW406" s="3"/>
      <x:c r="AX406" s="3"/>
      <x:c r="AY406" s="3"/>
      <x:c r="AZ406" s="3"/>
      <x:c r="BA406" s="3"/>
      <x:c r="BC406" s="3"/>
      <x:c r="BD406" s="3"/>
      <x:c r="BE406" s="3"/>
      <x:c r="BF406" s="3"/>
      <x:c r="BG406" s="3"/>
      <x:c r="BH406" s="13"/>
      <x:c r="BI406" s="13"/>
      <x:c r="BJ406" s="13"/>
      <x:c r="BK406" s="13"/>
      <x:c r="BL406" s="13"/>
      <x:c r="BM406" s="13"/>
      <x:c r="BN406" s="13"/>
      <x:c r="BO406" s="13"/>
      <x:c r="BP406" s="13"/>
      <x:c r="BQ406" s="13"/>
      <x:c r="BR406" s="13"/>
      <x:c r="BS406" s="13"/>
      <x:c r="BT406" s="13"/>
      <x:c r="BU406" s="13"/>
      <x:c r="BV406" s="13"/>
      <x:c r="BW406" s="13"/>
      <x:c r="BX406" s="13"/>
      <x:c r="BY406" s="13"/>
      <x:c r="BZ406" s="13"/>
      <x:c r="CA406" s="13"/>
      <x:c r="CB406" s="13"/>
      <x:c r="CC406" s="13"/>
      <x:c r="CD406" s="13"/>
      <x:c r="CE406" s="13"/>
      <x:c r="CF406" s="13"/>
      <x:c r="CG406" s="13"/>
    </x:row>
    <x:row r="407" ht="14.25" customHeight="1">
      <x:c r="AA407" s="3"/>
      <x:c r="AF407" s="3"/>
      <x:c r="AG407" s="3"/>
      <x:c r="AH407" s="3"/>
      <x:c r="AI407" s="3"/>
      <x:c r="AJ407" s="3"/>
      <x:c r="AK407" s="3"/>
      <x:c r="AL407" s="3"/>
      <x:c r="AM407" s="3"/>
      <x:c r="AT407" s="3"/>
      <x:c r="AU407" s="3"/>
      <x:c r="AV407" s="3"/>
      <x:c r="AW407" s="3"/>
      <x:c r="AX407" s="3"/>
      <x:c r="AY407" s="3"/>
      <x:c r="AZ407" s="3"/>
      <x:c r="BA407" s="3"/>
      <x:c r="BC407" s="3"/>
      <x:c r="BD407" s="3"/>
      <x:c r="BE407" s="3"/>
      <x:c r="BF407" s="3"/>
      <x:c r="BG407" s="3"/>
      <x:c r="BH407" s="13"/>
      <x:c r="BI407" s="13"/>
      <x:c r="BJ407" s="13"/>
      <x:c r="BK407" s="13"/>
      <x:c r="BL407" s="13"/>
      <x:c r="BM407" s="13"/>
      <x:c r="BN407" s="13"/>
      <x:c r="BO407" s="13"/>
      <x:c r="BP407" s="13"/>
      <x:c r="BQ407" s="13"/>
      <x:c r="BR407" s="13"/>
      <x:c r="BS407" s="13"/>
      <x:c r="BT407" s="13"/>
      <x:c r="BU407" s="13"/>
      <x:c r="BV407" s="13"/>
      <x:c r="BW407" s="13"/>
      <x:c r="BX407" s="13"/>
      <x:c r="BY407" s="13"/>
      <x:c r="BZ407" s="13"/>
      <x:c r="CA407" s="13"/>
      <x:c r="CB407" s="13"/>
      <x:c r="CC407" s="13"/>
      <x:c r="CD407" s="13"/>
      <x:c r="CE407" s="13"/>
      <x:c r="CF407" s="13"/>
      <x:c r="CG407" s="13"/>
    </x:row>
    <x:row r="408" ht="14.25" customHeight="1">
      <x:c r="AA408" s="3"/>
      <x:c r="AF408" s="3"/>
      <x:c r="AG408" s="3"/>
      <x:c r="AH408" s="3"/>
      <x:c r="AI408" s="3"/>
      <x:c r="AJ408" s="3"/>
      <x:c r="AK408" s="3"/>
      <x:c r="AL408" s="3"/>
      <x:c r="AM408" s="3"/>
      <x:c r="AT408" s="3"/>
      <x:c r="AU408" s="3"/>
      <x:c r="AV408" s="3"/>
      <x:c r="AW408" s="3"/>
      <x:c r="AX408" s="3"/>
      <x:c r="AY408" s="3"/>
      <x:c r="AZ408" s="3"/>
      <x:c r="BA408" s="3"/>
      <x:c r="BC408" s="3"/>
      <x:c r="BD408" s="3"/>
      <x:c r="BE408" s="3"/>
      <x:c r="BF408" s="3"/>
      <x:c r="BG408" s="3"/>
      <x:c r="BH408" s="13"/>
      <x:c r="BI408" s="13"/>
      <x:c r="BJ408" s="13"/>
      <x:c r="BK408" s="13"/>
      <x:c r="BL408" s="13"/>
      <x:c r="BM408" s="13"/>
      <x:c r="BN408" s="13"/>
      <x:c r="BO408" s="13"/>
      <x:c r="BP408" s="13"/>
      <x:c r="BQ408" s="13"/>
      <x:c r="BR408" s="13"/>
      <x:c r="BS408" s="13"/>
      <x:c r="BT408" s="13"/>
      <x:c r="BU408" s="13"/>
      <x:c r="BV408" s="13"/>
      <x:c r="BW408" s="13"/>
      <x:c r="BX408" s="13"/>
      <x:c r="BY408" s="13"/>
      <x:c r="BZ408" s="13"/>
      <x:c r="CA408" s="13"/>
      <x:c r="CB408" s="13"/>
      <x:c r="CC408" s="13"/>
      <x:c r="CD408" s="13"/>
      <x:c r="CE408" s="13"/>
      <x:c r="CF408" s="13"/>
      <x:c r="CG408" s="13"/>
    </x:row>
    <x:row r="409" ht="14.25" customHeight="1">
      <x:c r="AA409" s="3"/>
      <x:c r="AF409" s="3"/>
      <x:c r="AG409" s="3"/>
      <x:c r="AH409" s="3"/>
      <x:c r="AI409" s="3"/>
      <x:c r="AJ409" s="3"/>
      <x:c r="AK409" s="3"/>
      <x:c r="AL409" s="3"/>
      <x:c r="AM409" s="3"/>
      <x:c r="AT409" s="3"/>
      <x:c r="AU409" s="3"/>
      <x:c r="AV409" s="3"/>
      <x:c r="AW409" s="3"/>
      <x:c r="AX409" s="3"/>
      <x:c r="AY409" s="3"/>
      <x:c r="AZ409" s="3"/>
      <x:c r="BA409" s="3"/>
      <x:c r="BC409" s="3"/>
      <x:c r="BD409" s="3"/>
      <x:c r="BE409" s="3"/>
      <x:c r="BF409" s="3"/>
      <x:c r="BG409" s="3"/>
      <x:c r="BH409" s="13"/>
      <x:c r="BI409" s="13"/>
      <x:c r="BJ409" s="13"/>
      <x:c r="BK409" s="13"/>
      <x:c r="BL409" s="13"/>
      <x:c r="BM409" s="13"/>
      <x:c r="BN409" s="13"/>
      <x:c r="BO409" s="13"/>
      <x:c r="BP409" s="13"/>
      <x:c r="BQ409" s="13"/>
      <x:c r="BR409" s="13"/>
      <x:c r="BS409" s="13"/>
      <x:c r="BT409" s="13"/>
      <x:c r="BU409" s="13"/>
      <x:c r="BV409" s="13"/>
      <x:c r="BW409" s="13"/>
      <x:c r="BX409" s="13"/>
      <x:c r="BY409" s="13"/>
      <x:c r="BZ409" s="13"/>
      <x:c r="CA409" s="13"/>
      <x:c r="CB409" s="13"/>
      <x:c r="CC409" s="13"/>
      <x:c r="CD409" s="13"/>
      <x:c r="CE409" s="13"/>
      <x:c r="CF409" s="13"/>
      <x:c r="CG409" s="13"/>
    </x:row>
    <x:row r="410" ht="14.25" customHeight="1">
      <x:c r="AA410" s="3"/>
      <x:c r="AF410" s="3"/>
      <x:c r="AG410" s="3"/>
      <x:c r="AH410" s="3"/>
      <x:c r="AI410" s="3"/>
      <x:c r="AJ410" s="3"/>
      <x:c r="AK410" s="3"/>
      <x:c r="AL410" s="3"/>
      <x:c r="AM410" s="3"/>
      <x:c r="AT410" s="3"/>
      <x:c r="AU410" s="3"/>
      <x:c r="AV410" s="3"/>
      <x:c r="AW410" s="3"/>
      <x:c r="AX410" s="3"/>
      <x:c r="AY410" s="3"/>
      <x:c r="AZ410" s="3"/>
      <x:c r="BA410" s="3"/>
      <x:c r="BC410" s="3"/>
      <x:c r="BD410" s="3"/>
      <x:c r="BE410" s="3"/>
      <x:c r="BF410" s="3"/>
      <x:c r="BG410" s="3"/>
      <x:c r="BH410" s="13"/>
      <x:c r="BI410" s="13"/>
      <x:c r="BJ410" s="13"/>
      <x:c r="BK410" s="13"/>
      <x:c r="BL410" s="13"/>
      <x:c r="BM410" s="13"/>
      <x:c r="BN410" s="13"/>
      <x:c r="BO410" s="13"/>
      <x:c r="BP410" s="13"/>
      <x:c r="BQ410" s="13"/>
      <x:c r="BR410" s="13"/>
      <x:c r="BS410" s="13"/>
      <x:c r="BT410" s="13"/>
      <x:c r="BU410" s="13"/>
      <x:c r="BV410" s="13"/>
      <x:c r="BW410" s="13"/>
      <x:c r="BX410" s="13"/>
      <x:c r="BY410" s="13"/>
      <x:c r="BZ410" s="13"/>
      <x:c r="CA410" s="13"/>
      <x:c r="CB410" s="13"/>
      <x:c r="CC410" s="13"/>
      <x:c r="CD410" s="13"/>
      <x:c r="CE410" s="13"/>
      <x:c r="CF410" s="13"/>
      <x:c r="CG410" s="13"/>
    </x:row>
    <x:row r="411" ht="14.25" customHeight="1">
      <x:c r="AA411" s="3"/>
      <x:c r="AF411" s="3"/>
      <x:c r="AG411" s="3"/>
      <x:c r="AH411" s="3"/>
      <x:c r="AI411" s="3"/>
      <x:c r="AJ411" s="3"/>
      <x:c r="AK411" s="3"/>
      <x:c r="AL411" s="3"/>
      <x:c r="AM411" s="3"/>
      <x:c r="AT411" s="3"/>
      <x:c r="AU411" s="3"/>
      <x:c r="AV411" s="3"/>
      <x:c r="AW411" s="3"/>
      <x:c r="AX411" s="3"/>
      <x:c r="AY411" s="3"/>
      <x:c r="AZ411" s="3"/>
      <x:c r="BA411" s="3"/>
      <x:c r="BC411" s="3"/>
      <x:c r="BD411" s="3"/>
      <x:c r="BE411" s="3"/>
      <x:c r="BF411" s="3"/>
      <x:c r="BG411" s="3"/>
      <x:c r="BH411" s="13"/>
      <x:c r="BI411" s="13"/>
      <x:c r="BJ411" s="13"/>
      <x:c r="BK411" s="13"/>
      <x:c r="BL411" s="13"/>
      <x:c r="BM411" s="13"/>
      <x:c r="BN411" s="13"/>
      <x:c r="BO411" s="13"/>
      <x:c r="BP411" s="13"/>
      <x:c r="BQ411" s="13"/>
      <x:c r="BR411" s="13"/>
      <x:c r="BS411" s="13"/>
      <x:c r="BT411" s="13"/>
      <x:c r="BU411" s="13"/>
      <x:c r="BV411" s="13"/>
      <x:c r="BW411" s="13"/>
      <x:c r="BX411" s="13"/>
      <x:c r="BY411" s="13"/>
      <x:c r="BZ411" s="13"/>
      <x:c r="CA411" s="13"/>
      <x:c r="CB411" s="13"/>
      <x:c r="CC411" s="13"/>
      <x:c r="CD411" s="13"/>
      <x:c r="CE411" s="13"/>
      <x:c r="CF411" s="13"/>
      <x:c r="CG411" s="13"/>
    </x:row>
    <x:row r="412" ht="14.25" customHeight="1">
      <x:c r="AA412" s="3"/>
      <x:c r="AF412" s="3"/>
      <x:c r="AG412" s="3"/>
      <x:c r="AH412" s="3"/>
      <x:c r="AI412" s="3"/>
      <x:c r="AJ412" s="3"/>
      <x:c r="AK412" s="3"/>
      <x:c r="AL412" s="3"/>
      <x:c r="AM412" s="3"/>
      <x:c r="AT412" s="3"/>
      <x:c r="AU412" s="3"/>
      <x:c r="AV412" s="3"/>
      <x:c r="AW412" s="3"/>
      <x:c r="AX412" s="3"/>
      <x:c r="AY412" s="3"/>
      <x:c r="AZ412" s="3"/>
      <x:c r="BA412" s="3"/>
      <x:c r="BC412" s="3"/>
      <x:c r="BD412" s="3"/>
      <x:c r="BE412" s="3"/>
      <x:c r="BF412" s="3"/>
      <x:c r="BG412" s="3"/>
      <x:c r="BH412" s="13"/>
      <x:c r="BI412" s="13"/>
      <x:c r="BJ412" s="13"/>
      <x:c r="BK412" s="13"/>
      <x:c r="BL412" s="13"/>
      <x:c r="BM412" s="13"/>
      <x:c r="BN412" s="13"/>
      <x:c r="BO412" s="13"/>
      <x:c r="BP412" s="13"/>
      <x:c r="BQ412" s="13"/>
      <x:c r="BR412" s="13"/>
      <x:c r="BS412" s="13"/>
      <x:c r="BT412" s="13"/>
      <x:c r="BU412" s="13"/>
      <x:c r="BV412" s="13"/>
      <x:c r="BW412" s="13"/>
      <x:c r="BX412" s="13"/>
      <x:c r="BY412" s="13"/>
      <x:c r="BZ412" s="13"/>
      <x:c r="CA412" s="13"/>
      <x:c r="CB412" s="13"/>
      <x:c r="CC412" s="13"/>
      <x:c r="CD412" s="13"/>
      <x:c r="CE412" s="13"/>
      <x:c r="CF412" s="13"/>
      <x:c r="CG412" s="13"/>
    </x:row>
    <x:row r="413" ht="14.25" customHeight="1">
      <x:c r="AA413" s="3"/>
      <x:c r="AF413" s="3"/>
      <x:c r="AG413" s="3"/>
      <x:c r="AH413" s="3"/>
      <x:c r="AI413" s="3"/>
      <x:c r="AJ413" s="3"/>
      <x:c r="AK413" s="3"/>
      <x:c r="AL413" s="3"/>
      <x:c r="AM413" s="3"/>
      <x:c r="AT413" s="3"/>
      <x:c r="AU413" s="3"/>
      <x:c r="AV413" s="3"/>
      <x:c r="AW413" s="3"/>
      <x:c r="AX413" s="3"/>
      <x:c r="AY413" s="3"/>
      <x:c r="AZ413" s="3"/>
      <x:c r="BA413" s="3"/>
      <x:c r="BC413" s="3"/>
      <x:c r="BD413" s="3"/>
      <x:c r="BE413" s="3"/>
      <x:c r="BF413" s="3"/>
      <x:c r="BG413" s="3"/>
      <x:c r="BH413" s="13"/>
      <x:c r="BI413" s="13"/>
      <x:c r="BJ413" s="13"/>
      <x:c r="BK413" s="13"/>
      <x:c r="BL413" s="13"/>
      <x:c r="BM413" s="13"/>
      <x:c r="BN413" s="13"/>
      <x:c r="BO413" s="13"/>
      <x:c r="BP413" s="13"/>
      <x:c r="BQ413" s="13"/>
      <x:c r="BR413" s="13"/>
      <x:c r="BS413" s="13"/>
      <x:c r="BT413" s="13"/>
      <x:c r="BU413" s="13"/>
      <x:c r="BV413" s="13"/>
      <x:c r="BW413" s="13"/>
      <x:c r="BX413" s="13"/>
      <x:c r="BY413" s="13"/>
      <x:c r="BZ413" s="13"/>
      <x:c r="CA413" s="13"/>
      <x:c r="CB413" s="13"/>
      <x:c r="CC413" s="13"/>
      <x:c r="CD413" s="13"/>
      <x:c r="CE413" s="13"/>
      <x:c r="CF413" s="13"/>
      <x:c r="CG413" s="13"/>
    </x:row>
    <x:row r="414" ht="14.25" customHeight="1">
      <x:c r="AA414" s="3"/>
      <x:c r="AF414" s="3"/>
      <x:c r="AG414" s="3"/>
      <x:c r="AH414" s="3"/>
      <x:c r="AI414" s="3"/>
      <x:c r="AJ414" s="3"/>
      <x:c r="AK414" s="3"/>
      <x:c r="AL414" s="3"/>
      <x:c r="AM414" s="3"/>
      <x:c r="AT414" s="3"/>
      <x:c r="AU414" s="3"/>
      <x:c r="AV414" s="3"/>
      <x:c r="AW414" s="3"/>
      <x:c r="AX414" s="3"/>
      <x:c r="AY414" s="3"/>
      <x:c r="AZ414" s="3"/>
      <x:c r="BA414" s="3"/>
      <x:c r="BC414" s="3"/>
      <x:c r="BD414" s="3"/>
      <x:c r="BE414" s="3"/>
      <x:c r="BF414" s="3"/>
      <x:c r="BG414" s="3"/>
      <x:c r="BH414" s="13"/>
      <x:c r="BI414" s="13"/>
      <x:c r="BJ414" s="13"/>
      <x:c r="BK414" s="13"/>
      <x:c r="BL414" s="13"/>
      <x:c r="BM414" s="13"/>
      <x:c r="BN414" s="13"/>
      <x:c r="BO414" s="13"/>
      <x:c r="BP414" s="13"/>
      <x:c r="BQ414" s="13"/>
      <x:c r="BR414" s="13"/>
      <x:c r="BS414" s="13"/>
      <x:c r="BT414" s="13"/>
      <x:c r="BU414" s="13"/>
      <x:c r="BV414" s="13"/>
      <x:c r="BW414" s="13"/>
      <x:c r="BX414" s="13"/>
      <x:c r="BY414" s="13"/>
      <x:c r="BZ414" s="13"/>
      <x:c r="CA414" s="13"/>
      <x:c r="CB414" s="13"/>
      <x:c r="CC414" s="13"/>
      <x:c r="CD414" s="13"/>
      <x:c r="CE414" s="13"/>
      <x:c r="CF414" s="13"/>
      <x:c r="CG414" s="13"/>
    </x:row>
    <x:row r="415" ht="14.25" customHeight="1">
      <x:c r="AA415" s="3"/>
      <x:c r="AF415" s="3"/>
      <x:c r="AG415" s="3"/>
      <x:c r="AH415" s="3"/>
      <x:c r="AI415" s="3"/>
      <x:c r="AJ415" s="3"/>
      <x:c r="AK415" s="3"/>
      <x:c r="AL415" s="3"/>
      <x:c r="AM415" s="3"/>
      <x:c r="AT415" s="3"/>
      <x:c r="AU415" s="3"/>
      <x:c r="AV415" s="3"/>
      <x:c r="AW415" s="3"/>
      <x:c r="AX415" s="3"/>
      <x:c r="AY415" s="3"/>
      <x:c r="AZ415" s="3"/>
      <x:c r="BA415" s="3"/>
      <x:c r="BC415" s="3"/>
      <x:c r="BD415" s="3"/>
      <x:c r="BE415" s="3"/>
      <x:c r="BF415" s="3"/>
      <x:c r="BG415" s="3"/>
      <x:c r="BH415" s="13"/>
      <x:c r="BI415" s="13"/>
      <x:c r="BJ415" s="13"/>
      <x:c r="BK415" s="13"/>
      <x:c r="BL415" s="13"/>
      <x:c r="BM415" s="13"/>
      <x:c r="BN415" s="13"/>
      <x:c r="BO415" s="13"/>
      <x:c r="BP415" s="13"/>
      <x:c r="BQ415" s="13"/>
      <x:c r="BR415" s="13"/>
      <x:c r="BS415" s="13"/>
      <x:c r="BT415" s="13"/>
      <x:c r="BU415" s="13"/>
      <x:c r="BV415" s="13"/>
      <x:c r="BW415" s="13"/>
      <x:c r="BX415" s="13"/>
      <x:c r="BY415" s="13"/>
      <x:c r="BZ415" s="13"/>
      <x:c r="CA415" s="13"/>
      <x:c r="CB415" s="13"/>
      <x:c r="CC415" s="13"/>
      <x:c r="CD415" s="13"/>
      <x:c r="CE415" s="13"/>
      <x:c r="CF415" s="13"/>
      <x:c r="CG415" s="13"/>
    </x:row>
    <x:row r="416" ht="14.25" customHeight="1">
      <x:c r="AA416" s="3"/>
      <x:c r="AF416" s="3"/>
      <x:c r="AG416" s="3"/>
      <x:c r="AH416" s="3"/>
      <x:c r="AI416" s="3"/>
      <x:c r="AJ416" s="3"/>
      <x:c r="AK416" s="3"/>
      <x:c r="AL416" s="3"/>
      <x:c r="AM416" s="3"/>
      <x:c r="AT416" s="3"/>
      <x:c r="AU416" s="3"/>
      <x:c r="AV416" s="3"/>
      <x:c r="AW416" s="3"/>
      <x:c r="AX416" s="3"/>
      <x:c r="AY416" s="3"/>
      <x:c r="AZ416" s="3"/>
      <x:c r="BA416" s="3"/>
      <x:c r="BC416" s="3"/>
      <x:c r="BD416" s="3"/>
      <x:c r="BE416" s="3"/>
      <x:c r="BF416" s="3"/>
      <x:c r="BG416" s="3"/>
      <x:c r="BH416" s="13"/>
      <x:c r="BI416" s="13"/>
      <x:c r="BJ416" s="13"/>
      <x:c r="BK416" s="13"/>
      <x:c r="BL416" s="13"/>
      <x:c r="BM416" s="13"/>
      <x:c r="BN416" s="13"/>
      <x:c r="BO416" s="13"/>
      <x:c r="BP416" s="13"/>
      <x:c r="BQ416" s="13"/>
      <x:c r="BR416" s="13"/>
      <x:c r="BS416" s="13"/>
      <x:c r="BT416" s="13"/>
      <x:c r="BU416" s="13"/>
      <x:c r="BV416" s="13"/>
      <x:c r="BW416" s="13"/>
      <x:c r="BX416" s="13"/>
      <x:c r="BY416" s="13"/>
      <x:c r="BZ416" s="13"/>
      <x:c r="CA416" s="13"/>
      <x:c r="CB416" s="13"/>
      <x:c r="CC416" s="13"/>
      <x:c r="CD416" s="13"/>
      <x:c r="CE416" s="13"/>
      <x:c r="CF416" s="13"/>
      <x:c r="CG416" s="13"/>
    </x:row>
    <x:row r="417" ht="14.25" customHeight="1">
      <x:c r="AA417" s="3"/>
      <x:c r="AF417" s="3"/>
      <x:c r="AG417" s="3"/>
      <x:c r="AH417" s="3"/>
      <x:c r="AI417" s="3"/>
      <x:c r="AJ417" s="3"/>
      <x:c r="AK417" s="3"/>
      <x:c r="AL417" s="3"/>
      <x:c r="AM417" s="3"/>
      <x:c r="AT417" s="3"/>
      <x:c r="AU417" s="3"/>
      <x:c r="AV417" s="3"/>
      <x:c r="AW417" s="3"/>
      <x:c r="AX417" s="3"/>
      <x:c r="AY417" s="3"/>
      <x:c r="AZ417" s="3"/>
      <x:c r="BA417" s="3"/>
      <x:c r="BC417" s="3"/>
      <x:c r="BD417" s="3"/>
      <x:c r="BE417" s="3"/>
      <x:c r="BF417" s="3"/>
      <x:c r="BG417" s="3"/>
      <x:c r="BH417" s="13"/>
      <x:c r="BI417" s="13"/>
      <x:c r="BJ417" s="13"/>
      <x:c r="BK417" s="13"/>
      <x:c r="BL417" s="13"/>
      <x:c r="BM417" s="13"/>
      <x:c r="BN417" s="13"/>
      <x:c r="BO417" s="13"/>
      <x:c r="BP417" s="13"/>
      <x:c r="BQ417" s="13"/>
      <x:c r="BR417" s="13"/>
      <x:c r="BS417" s="13"/>
      <x:c r="BT417" s="13"/>
      <x:c r="BU417" s="13"/>
      <x:c r="BV417" s="13"/>
      <x:c r="BW417" s="13"/>
      <x:c r="BX417" s="13"/>
      <x:c r="BY417" s="13"/>
      <x:c r="BZ417" s="13"/>
      <x:c r="CA417" s="13"/>
      <x:c r="CB417" s="13"/>
      <x:c r="CC417" s="13"/>
      <x:c r="CD417" s="13"/>
      <x:c r="CE417" s="13"/>
      <x:c r="CF417" s="13"/>
      <x:c r="CG417" s="13"/>
    </x:row>
    <x:row r="418" ht="14.25" customHeight="1">
      <x:c r="AA418" s="3"/>
      <x:c r="AF418" s="3"/>
      <x:c r="AG418" s="3"/>
      <x:c r="AH418" s="3"/>
      <x:c r="AI418" s="3"/>
      <x:c r="AJ418" s="3"/>
      <x:c r="AK418" s="3"/>
      <x:c r="AL418" s="3"/>
      <x:c r="AM418" s="3"/>
      <x:c r="AT418" s="3"/>
      <x:c r="AU418" s="3"/>
      <x:c r="AV418" s="3"/>
      <x:c r="AW418" s="3"/>
      <x:c r="AX418" s="3"/>
      <x:c r="AY418" s="3"/>
      <x:c r="AZ418" s="3"/>
      <x:c r="BA418" s="3"/>
      <x:c r="BC418" s="3"/>
      <x:c r="BD418" s="3"/>
      <x:c r="BE418" s="3"/>
      <x:c r="BF418" s="3"/>
      <x:c r="BG418" s="3"/>
      <x:c r="BH418" s="13"/>
      <x:c r="BI418" s="13"/>
      <x:c r="BJ418" s="13"/>
      <x:c r="BK418" s="13"/>
      <x:c r="BL418" s="13"/>
      <x:c r="BM418" s="13"/>
      <x:c r="BN418" s="13"/>
      <x:c r="BO418" s="13"/>
      <x:c r="BP418" s="13"/>
      <x:c r="BQ418" s="13"/>
      <x:c r="BR418" s="13"/>
      <x:c r="BS418" s="13"/>
      <x:c r="BT418" s="13"/>
      <x:c r="BU418" s="13"/>
      <x:c r="BV418" s="13"/>
      <x:c r="BW418" s="13"/>
      <x:c r="BX418" s="13"/>
      <x:c r="BY418" s="13"/>
      <x:c r="BZ418" s="13"/>
      <x:c r="CA418" s="13"/>
      <x:c r="CB418" s="13"/>
      <x:c r="CC418" s="13"/>
      <x:c r="CD418" s="13"/>
      <x:c r="CE418" s="13"/>
      <x:c r="CF418" s="13"/>
      <x:c r="CG418" s="13"/>
    </x:row>
    <x:row r="419" ht="14.25" customHeight="1">
      <x:c r="AA419" s="3"/>
      <x:c r="AF419" s="3"/>
      <x:c r="AG419" s="3"/>
      <x:c r="AH419" s="3"/>
      <x:c r="AI419" s="3"/>
      <x:c r="AJ419" s="3"/>
      <x:c r="AK419" s="3"/>
      <x:c r="AL419" s="3"/>
      <x:c r="AM419" s="3"/>
      <x:c r="AT419" s="3"/>
      <x:c r="AU419" s="3"/>
      <x:c r="AV419" s="3"/>
      <x:c r="AW419" s="3"/>
      <x:c r="AX419" s="3"/>
      <x:c r="AY419" s="3"/>
      <x:c r="AZ419" s="3"/>
      <x:c r="BA419" s="3"/>
      <x:c r="BC419" s="3"/>
      <x:c r="BD419" s="3"/>
      <x:c r="BE419" s="3"/>
      <x:c r="BF419" s="3"/>
      <x:c r="BG419" s="3"/>
      <x:c r="BH419" s="13"/>
      <x:c r="BI419" s="13"/>
      <x:c r="BJ419" s="13"/>
      <x:c r="BK419" s="13"/>
      <x:c r="BL419" s="13"/>
      <x:c r="BM419" s="13"/>
      <x:c r="BN419" s="13"/>
      <x:c r="BO419" s="13"/>
      <x:c r="BP419" s="13"/>
      <x:c r="BQ419" s="13"/>
      <x:c r="BR419" s="13"/>
      <x:c r="BS419" s="13"/>
      <x:c r="BT419" s="13"/>
      <x:c r="BU419" s="13"/>
      <x:c r="BV419" s="13"/>
      <x:c r="BW419" s="13"/>
      <x:c r="BX419" s="13"/>
      <x:c r="BY419" s="13"/>
      <x:c r="BZ419" s="13"/>
      <x:c r="CA419" s="13"/>
      <x:c r="CB419" s="13"/>
      <x:c r="CC419" s="13"/>
      <x:c r="CD419" s="13"/>
      <x:c r="CE419" s="13"/>
      <x:c r="CF419" s="13"/>
      <x:c r="CG419" s="13"/>
    </x:row>
    <x:row r="420" ht="14.25" customHeight="1">
      <x:c r="AA420" s="3"/>
      <x:c r="AF420" s="3"/>
      <x:c r="AG420" s="3"/>
      <x:c r="AH420" s="3"/>
      <x:c r="AI420" s="3"/>
      <x:c r="AJ420" s="3"/>
      <x:c r="AK420" s="3"/>
      <x:c r="AL420" s="3"/>
      <x:c r="AM420" s="3"/>
      <x:c r="AT420" s="3"/>
      <x:c r="AU420" s="3"/>
      <x:c r="AV420" s="3"/>
      <x:c r="AW420" s="3"/>
      <x:c r="AX420" s="3"/>
      <x:c r="AY420" s="3"/>
      <x:c r="AZ420" s="3"/>
      <x:c r="BA420" s="3"/>
      <x:c r="BC420" s="3"/>
      <x:c r="BD420" s="3"/>
      <x:c r="BE420" s="3"/>
      <x:c r="BF420" s="3"/>
      <x:c r="BG420" s="3"/>
      <x:c r="BH420" s="13"/>
      <x:c r="BI420" s="13"/>
      <x:c r="BJ420" s="13"/>
      <x:c r="BK420" s="13"/>
      <x:c r="BL420" s="13"/>
      <x:c r="BM420" s="13"/>
      <x:c r="BN420" s="13"/>
      <x:c r="BO420" s="13"/>
      <x:c r="BP420" s="13"/>
      <x:c r="BQ420" s="13"/>
      <x:c r="BR420" s="13"/>
      <x:c r="BS420" s="13"/>
      <x:c r="BT420" s="13"/>
      <x:c r="BU420" s="13"/>
      <x:c r="BV420" s="13"/>
      <x:c r="BW420" s="13"/>
      <x:c r="BX420" s="13"/>
      <x:c r="BY420" s="13"/>
      <x:c r="BZ420" s="13"/>
      <x:c r="CA420" s="13"/>
      <x:c r="CB420" s="13"/>
      <x:c r="CC420" s="13"/>
      <x:c r="CD420" s="13"/>
      <x:c r="CE420" s="13"/>
      <x:c r="CF420" s="13"/>
      <x:c r="CG420" s="13"/>
    </x:row>
    <x:row r="421" ht="14.25" customHeight="1">
      <x:c r="AA421" s="3"/>
      <x:c r="AF421" s="3"/>
      <x:c r="AG421" s="3"/>
      <x:c r="AH421" s="3"/>
      <x:c r="AI421" s="3"/>
      <x:c r="AJ421" s="3"/>
      <x:c r="AK421" s="3"/>
      <x:c r="AL421" s="3"/>
      <x:c r="AM421" s="3"/>
      <x:c r="AT421" s="3"/>
      <x:c r="AU421" s="3"/>
      <x:c r="AV421" s="3"/>
      <x:c r="AW421" s="3"/>
      <x:c r="AX421" s="3"/>
      <x:c r="AY421" s="3"/>
      <x:c r="AZ421" s="3"/>
      <x:c r="BA421" s="3"/>
      <x:c r="BC421" s="3"/>
      <x:c r="BD421" s="3"/>
      <x:c r="BE421" s="3"/>
      <x:c r="BF421" s="3"/>
      <x:c r="BG421" s="3"/>
      <x:c r="BH421" s="13"/>
      <x:c r="BI421" s="13"/>
      <x:c r="BJ421" s="13"/>
      <x:c r="BK421" s="13"/>
      <x:c r="BL421" s="13"/>
      <x:c r="BM421" s="13"/>
      <x:c r="BN421" s="13"/>
      <x:c r="BO421" s="13"/>
      <x:c r="BP421" s="13"/>
      <x:c r="BQ421" s="13"/>
      <x:c r="BR421" s="13"/>
      <x:c r="BS421" s="13"/>
      <x:c r="BT421" s="13"/>
      <x:c r="BU421" s="13"/>
      <x:c r="BV421" s="13"/>
      <x:c r="BW421" s="13"/>
      <x:c r="BX421" s="13"/>
      <x:c r="BY421" s="13"/>
      <x:c r="BZ421" s="13"/>
      <x:c r="CA421" s="13"/>
      <x:c r="CB421" s="13"/>
      <x:c r="CC421" s="13"/>
      <x:c r="CD421" s="13"/>
      <x:c r="CE421" s="13"/>
      <x:c r="CF421" s="13"/>
      <x:c r="CG421" s="13"/>
    </x:row>
    <x:row r="422" ht="14.25" customHeight="1">
      <x:c r="AA422" s="3"/>
      <x:c r="AF422" s="3"/>
      <x:c r="AG422" s="3"/>
      <x:c r="AH422" s="3"/>
      <x:c r="AI422" s="3"/>
      <x:c r="AJ422" s="3"/>
      <x:c r="AK422" s="3"/>
      <x:c r="AL422" s="3"/>
      <x:c r="AM422" s="3"/>
      <x:c r="AT422" s="3"/>
      <x:c r="AU422" s="3"/>
      <x:c r="AV422" s="3"/>
      <x:c r="AW422" s="3"/>
      <x:c r="AX422" s="3"/>
      <x:c r="AY422" s="3"/>
      <x:c r="AZ422" s="3"/>
      <x:c r="BA422" s="3"/>
      <x:c r="BC422" s="3"/>
      <x:c r="BD422" s="3"/>
      <x:c r="BE422" s="3"/>
      <x:c r="BF422" s="3"/>
      <x:c r="BG422" s="3"/>
      <x:c r="BH422" s="13"/>
      <x:c r="BI422" s="13"/>
      <x:c r="BJ422" s="13"/>
      <x:c r="BK422" s="13"/>
      <x:c r="BL422" s="13"/>
      <x:c r="BM422" s="13"/>
      <x:c r="BN422" s="13"/>
      <x:c r="BO422" s="13"/>
      <x:c r="BP422" s="13"/>
      <x:c r="BQ422" s="13"/>
      <x:c r="BR422" s="13"/>
      <x:c r="BS422" s="13"/>
      <x:c r="BT422" s="13"/>
      <x:c r="BU422" s="13"/>
      <x:c r="BV422" s="13"/>
      <x:c r="BW422" s="13"/>
      <x:c r="BX422" s="13"/>
      <x:c r="BY422" s="13"/>
      <x:c r="BZ422" s="13"/>
      <x:c r="CA422" s="13"/>
      <x:c r="CB422" s="13"/>
      <x:c r="CC422" s="13"/>
      <x:c r="CD422" s="13"/>
      <x:c r="CE422" s="13"/>
      <x:c r="CF422" s="13"/>
      <x:c r="CG422" s="13"/>
    </x:row>
    <x:row r="423" ht="14.25" customHeight="1">
      <x:c r="AA423" s="3"/>
      <x:c r="AF423" s="3"/>
      <x:c r="AG423" s="3"/>
      <x:c r="AH423" s="3"/>
      <x:c r="AI423" s="3"/>
      <x:c r="AJ423" s="3"/>
      <x:c r="AK423" s="3"/>
      <x:c r="AL423" s="3"/>
      <x:c r="AM423" s="3"/>
      <x:c r="AT423" s="3"/>
      <x:c r="AU423" s="3"/>
      <x:c r="AV423" s="3"/>
      <x:c r="AW423" s="3"/>
      <x:c r="AX423" s="3"/>
      <x:c r="AY423" s="3"/>
      <x:c r="AZ423" s="3"/>
      <x:c r="BA423" s="3"/>
      <x:c r="BC423" s="3"/>
      <x:c r="BD423" s="3"/>
      <x:c r="BE423" s="3"/>
      <x:c r="BF423" s="3"/>
      <x:c r="BG423" s="3"/>
      <x:c r="BH423" s="13"/>
      <x:c r="BI423" s="13"/>
      <x:c r="BJ423" s="13"/>
      <x:c r="BK423" s="13"/>
      <x:c r="BL423" s="13"/>
      <x:c r="BM423" s="13"/>
      <x:c r="BN423" s="13"/>
      <x:c r="BO423" s="13"/>
      <x:c r="BP423" s="13"/>
      <x:c r="BQ423" s="13"/>
      <x:c r="BR423" s="13"/>
      <x:c r="BS423" s="13"/>
      <x:c r="BT423" s="13"/>
      <x:c r="BU423" s="13"/>
      <x:c r="BV423" s="13"/>
      <x:c r="BW423" s="13"/>
      <x:c r="BX423" s="13"/>
      <x:c r="BY423" s="13"/>
      <x:c r="BZ423" s="13"/>
      <x:c r="CA423" s="13"/>
      <x:c r="CB423" s="13"/>
      <x:c r="CC423" s="13"/>
      <x:c r="CD423" s="13"/>
      <x:c r="CE423" s="13"/>
      <x:c r="CF423" s="13"/>
      <x:c r="CG423" s="13"/>
    </x:row>
    <x:row r="424" ht="14.25" customHeight="1">
      <x:c r="AA424" s="3"/>
      <x:c r="AF424" s="3"/>
      <x:c r="AG424" s="3"/>
      <x:c r="AH424" s="3"/>
      <x:c r="AI424" s="3"/>
      <x:c r="AJ424" s="3"/>
      <x:c r="AK424" s="3"/>
      <x:c r="AL424" s="3"/>
      <x:c r="AM424" s="3"/>
      <x:c r="AT424" s="3"/>
      <x:c r="AU424" s="3"/>
      <x:c r="AV424" s="3"/>
      <x:c r="AW424" s="3"/>
      <x:c r="AX424" s="3"/>
      <x:c r="AY424" s="3"/>
      <x:c r="AZ424" s="3"/>
      <x:c r="BA424" s="3"/>
      <x:c r="BC424" s="3"/>
      <x:c r="BD424" s="3"/>
      <x:c r="BE424" s="3"/>
      <x:c r="BF424" s="3"/>
      <x:c r="BG424" s="3"/>
      <x:c r="BH424" s="13"/>
      <x:c r="BI424" s="13"/>
      <x:c r="BJ424" s="13"/>
      <x:c r="BK424" s="13"/>
      <x:c r="BL424" s="13"/>
      <x:c r="BM424" s="13"/>
      <x:c r="BN424" s="13"/>
      <x:c r="BO424" s="13"/>
      <x:c r="BP424" s="13"/>
      <x:c r="BQ424" s="13"/>
      <x:c r="BR424" s="13"/>
      <x:c r="BS424" s="13"/>
      <x:c r="BT424" s="13"/>
      <x:c r="BU424" s="13"/>
      <x:c r="BV424" s="13"/>
      <x:c r="BW424" s="13"/>
      <x:c r="BX424" s="13"/>
      <x:c r="BY424" s="13"/>
      <x:c r="BZ424" s="13"/>
      <x:c r="CA424" s="13"/>
      <x:c r="CB424" s="13"/>
      <x:c r="CC424" s="13"/>
      <x:c r="CD424" s="13"/>
      <x:c r="CE424" s="13"/>
      <x:c r="CF424" s="13"/>
      <x:c r="CG424" s="13"/>
    </x:row>
    <x:row r="425" ht="14.25" customHeight="1">
      <x:c r="AA425" s="3"/>
      <x:c r="AF425" s="3"/>
      <x:c r="AG425" s="3"/>
      <x:c r="AH425" s="3"/>
      <x:c r="AI425" s="3"/>
      <x:c r="AJ425" s="3"/>
      <x:c r="AK425" s="3"/>
      <x:c r="AL425" s="3"/>
      <x:c r="AM425" s="3"/>
      <x:c r="AT425" s="3"/>
      <x:c r="AU425" s="3"/>
      <x:c r="AV425" s="3"/>
      <x:c r="AW425" s="3"/>
      <x:c r="AX425" s="3"/>
      <x:c r="AY425" s="3"/>
      <x:c r="AZ425" s="3"/>
      <x:c r="BA425" s="3"/>
      <x:c r="BC425" s="3"/>
      <x:c r="BD425" s="3"/>
      <x:c r="BE425" s="3"/>
      <x:c r="BF425" s="3"/>
      <x:c r="BG425" s="3"/>
      <x:c r="BH425" s="13"/>
      <x:c r="BI425" s="13"/>
      <x:c r="BJ425" s="13"/>
      <x:c r="BK425" s="13"/>
      <x:c r="BL425" s="13"/>
      <x:c r="BM425" s="13"/>
      <x:c r="BN425" s="13"/>
      <x:c r="BO425" s="13"/>
      <x:c r="BP425" s="13"/>
      <x:c r="BQ425" s="13"/>
      <x:c r="BR425" s="13"/>
      <x:c r="BS425" s="13"/>
      <x:c r="BT425" s="13"/>
      <x:c r="BU425" s="13"/>
      <x:c r="BV425" s="13"/>
      <x:c r="BW425" s="13"/>
      <x:c r="BX425" s="13"/>
      <x:c r="BY425" s="13"/>
      <x:c r="BZ425" s="13"/>
      <x:c r="CA425" s="13"/>
      <x:c r="CB425" s="13"/>
      <x:c r="CC425" s="13"/>
      <x:c r="CD425" s="13"/>
      <x:c r="CE425" s="13"/>
      <x:c r="CF425" s="13"/>
      <x:c r="CG425" s="13"/>
    </x:row>
    <x:row r="426" ht="14.25" customHeight="1">
      <x:c r="AA426" s="3"/>
      <x:c r="AF426" s="3"/>
      <x:c r="AG426" s="3"/>
      <x:c r="AH426" s="3"/>
      <x:c r="AI426" s="3"/>
      <x:c r="AJ426" s="3"/>
      <x:c r="AK426" s="3"/>
      <x:c r="AL426" s="3"/>
      <x:c r="AM426" s="3"/>
      <x:c r="AT426" s="3"/>
      <x:c r="AU426" s="3"/>
      <x:c r="AV426" s="3"/>
      <x:c r="AW426" s="3"/>
      <x:c r="AX426" s="3"/>
      <x:c r="AY426" s="3"/>
      <x:c r="AZ426" s="3"/>
      <x:c r="BA426" s="3"/>
      <x:c r="BC426" s="3"/>
      <x:c r="BD426" s="3"/>
      <x:c r="BE426" s="3"/>
      <x:c r="BF426" s="3"/>
      <x:c r="BG426" s="3"/>
      <x:c r="BH426" s="13"/>
      <x:c r="BI426" s="13"/>
      <x:c r="BJ426" s="13"/>
      <x:c r="BK426" s="13"/>
      <x:c r="BL426" s="13"/>
      <x:c r="BM426" s="13"/>
      <x:c r="BN426" s="13"/>
      <x:c r="BO426" s="13"/>
      <x:c r="BP426" s="13"/>
      <x:c r="BQ426" s="13"/>
      <x:c r="BR426" s="13"/>
      <x:c r="BS426" s="13"/>
      <x:c r="BT426" s="13"/>
      <x:c r="BU426" s="13"/>
      <x:c r="BV426" s="13"/>
      <x:c r="BW426" s="13"/>
      <x:c r="BX426" s="13"/>
      <x:c r="BY426" s="13"/>
      <x:c r="BZ426" s="13"/>
      <x:c r="CA426" s="13"/>
      <x:c r="CB426" s="13"/>
      <x:c r="CC426" s="13"/>
      <x:c r="CD426" s="13"/>
      <x:c r="CE426" s="13"/>
      <x:c r="CF426" s="13"/>
      <x:c r="CG426" s="13"/>
    </x:row>
    <x:row r="427" ht="14.25" customHeight="1">
      <x:c r="AA427" s="3"/>
      <x:c r="AF427" s="3"/>
      <x:c r="AG427" s="3"/>
      <x:c r="AH427" s="3"/>
      <x:c r="AI427" s="3"/>
      <x:c r="AJ427" s="3"/>
      <x:c r="AK427" s="3"/>
      <x:c r="AL427" s="3"/>
      <x:c r="AM427" s="3"/>
      <x:c r="AT427" s="3"/>
      <x:c r="AU427" s="3"/>
      <x:c r="AV427" s="3"/>
      <x:c r="AW427" s="3"/>
      <x:c r="AX427" s="3"/>
      <x:c r="AY427" s="3"/>
      <x:c r="AZ427" s="3"/>
      <x:c r="BA427" s="3"/>
      <x:c r="BC427" s="3"/>
      <x:c r="BD427" s="3"/>
      <x:c r="BE427" s="3"/>
      <x:c r="BF427" s="3"/>
      <x:c r="BG427" s="3"/>
      <x:c r="BH427" s="13"/>
      <x:c r="BI427" s="13"/>
      <x:c r="BJ427" s="13"/>
      <x:c r="BK427" s="13"/>
      <x:c r="BL427" s="13"/>
      <x:c r="BM427" s="13"/>
      <x:c r="BN427" s="13"/>
      <x:c r="BO427" s="13"/>
      <x:c r="BP427" s="13"/>
      <x:c r="BQ427" s="13"/>
      <x:c r="BR427" s="13"/>
      <x:c r="BS427" s="13"/>
      <x:c r="BT427" s="13"/>
      <x:c r="BU427" s="13"/>
      <x:c r="BV427" s="13"/>
      <x:c r="BW427" s="13"/>
      <x:c r="BX427" s="13"/>
      <x:c r="BY427" s="13"/>
      <x:c r="BZ427" s="13"/>
      <x:c r="CA427" s="13"/>
      <x:c r="CB427" s="13"/>
      <x:c r="CC427" s="13"/>
      <x:c r="CD427" s="13"/>
      <x:c r="CE427" s="13"/>
      <x:c r="CF427" s="13"/>
      <x:c r="CG427" s="13"/>
    </x:row>
    <x:row r="428" ht="14.25" customHeight="1">
      <x:c r="AA428" s="3"/>
      <x:c r="AF428" s="3"/>
      <x:c r="AG428" s="3"/>
      <x:c r="AH428" s="3"/>
      <x:c r="AI428" s="3"/>
      <x:c r="AJ428" s="3"/>
      <x:c r="AK428" s="3"/>
      <x:c r="AL428" s="3"/>
      <x:c r="AM428" s="3"/>
      <x:c r="AT428" s="3"/>
      <x:c r="AU428" s="3"/>
      <x:c r="AV428" s="3"/>
      <x:c r="AW428" s="3"/>
      <x:c r="AX428" s="3"/>
      <x:c r="AY428" s="3"/>
      <x:c r="AZ428" s="3"/>
      <x:c r="BA428" s="3"/>
      <x:c r="BC428" s="3"/>
      <x:c r="BD428" s="3"/>
      <x:c r="BE428" s="3"/>
      <x:c r="BF428" s="3"/>
      <x:c r="BG428" s="3"/>
      <x:c r="BH428" s="13"/>
      <x:c r="BI428" s="13"/>
      <x:c r="BJ428" s="13"/>
      <x:c r="BK428" s="13"/>
      <x:c r="BL428" s="13"/>
      <x:c r="BM428" s="13"/>
      <x:c r="BN428" s="13"/>
      <x:c r="BO428" s="13"/>
      <x:c r="BP428" s="13"/>
      <x:c r="BQ428" s="13"/>
      <x:c r="BR428" s="13"/>
      <x:c r="BS428" s="13"/>
      <x:c r="BT428" s="13"/>
      <x:c r="BU428" s="13"/>
      <x:c r="BV428" s="13"/>
      <x:c r="BW428" s="13"/>
      <x:c r="BX428" s="13"/>
      <x:c r="BY428" s="13"/>
      <x:c r="BZ428" s="13"/>
      <x:c r="CA428" s="13"/>
      <x:c r="CB428" s="13"/>
      <x:c r="CC428" s="13"/>
      <x:c r="CD428" s="13"/>
      <x:c r="CE428" s="13"/>
      <x:c r="CF428" s="13"/>
      <x:c r="CG428" s="13"/>
    </x:row>
    <x:row r="429" ht="14.25" customHeight="1">
      <x:c r="AA429" s="3"/>
      <x:c r="AF429" s="3"/>
      <x:c r="AG429" s="3"/>
      <x:c r="AH429" s="3"/>
      <x:c r="AI429" s="3"/>
      <x:c r="AJ429" s="3"/>
      <x:c r="AK429" s="3"/>
      <x:c r="AL429" s="3"/>
      <x:c r="AM429" s="3"/>
      <x:c r="AT429" s="3"/>
      <x:c r="AU429" s="3"/>
      <x:c r="AV429" s="3"/>
      <x:c r="AW429" s="3"/>
      <x:c r="AX429" s="3"/>
      <x:c r="AY429" s="3"/>
      <x:c r="AZ429" s="3"/>
      <x:c r="BA429" s="3"/>
      <x:c r="BC429" s="3"/>
      <x:c r="BD429" s="3"/>
      <x:c r="BE429" s="3"/>
      <x:c r="BF429" s="3"/>
      <x:c r="BG429" s="3"/>
      <x:c r="BH429" s="13"/>
      <x:c r="BI429" s="13"/>
      <x:c r="BJ429" s="13"/>
      <x:c r="BK429" s="13"/>
      <x:c r="BL429" s="13"/>
      <x:c r="BM429" s="13"/>
      <x:c r="BN429" s="13"/>
      <x:c r="BO429" s="13"/>
      <x:c r="BP429" s="13"/>
      <x:c r="BQ429" s="13"/>
      <x:c r="BR429" s="13"/>
      <x:c r="BS429" s="13"/>
      <x:c r="BT429" s="13"/>
      <x:c r="BU429" s="13"/>
      <x:c r="BV429" s="13"/>
      <x:c r="BW429" s="13"/>
      <x:c r="BX429" s="13"/>
      <x:c r="BY429" s="13"/>
      <x:c r="BZ429" s="13"/>
      <x:c r="CA429" s="13"/>
      <x:c r="CB429" s="13"/>
      <x:c r="CC429" s="13"/>
      <x:c r="CD429" s="13"/>
      <x:c r="CE429" s="13"/>
      <x:c r="CF429" s="13"/>
      <x:c r="CG429" s="13"/>
    </x:row>
    <x:row r="430" ht="14.25" customHeight="1">
      <x:c r="AA430" s="3"/>
      <x:c r="AF430" s="3"/>
      <x:c r="AG430" s="3"/>
      <x:c r="AH430" s="3"/>
      <x:c r="AI430" s="3"/>
      <x:c r="AJ430" s="3"/>
      <x:c r="AK430" s="3"/>
      <x:c r="AL430" s="3"/>
      <x:c r="AM430" s="3"/>
      <x:c r="AT430" s="3"/>
      <x:c r="AU430" s="3"/>
      <x:c r="AV430" s="3"/>
      <x:c r="AW430" s="3"/>
      <x:c r="AX430" s="3"/>
      <x:c r="AY430" s="3"/>
      <x:c r="AZ430" s="3"/>
      <x:c r="BA430" s="3"/>
      <x:c r="BC430" s="3"/>
      <x:c r="BD430" s="3"/>
      <x:c r="BE430" s="3"/>
      <x:c r="BF430" s="3"/>
      <x:c r="BG430" s="3"/>
      <x:c r="BH430" s="13"/>
      <x:c r="BI430" s="13"/>
      <x:c r="BJ430" s="13"/>
      <x:c r="BK430" s="13"/>
      <x:c r="BL430" s="13"/>
      <x:c r="BM430" s="13"/>
      <x:c r="BN430" s="13"/>
      <x:c r="BO430" s="13"/>
      <x:c r="BP430" s="13"/>
      <x:c r="BQ430" s="13"/>
      <x:c r="BR430" s="13"/>
      <x:c r="BS430" s="13"/>
      <x:c r="BT430" s="13"/>
      <x:c r="BU430" s="13"/>
      <x:c r="BV430" s="13"/>
      <x:c r="BW430" s="13"/>
      <x:c r="BX430" s="13"/>
      <x:c r="BY430" s="13"/>
      <x:c r="BZ430" s="13"/>
      <x:c r="CA430" s="13"/>
      <x:c r="CB430" s="13"/>
      <x:c r="CC430" s="13"/>
      <x:c r="CD430" s="13"/>
      <x:c r="CE430" s="13"/>
      <x:c r="CF430" s="13"/>
      <x:c r="CG430" s="13"/>
    </x:row>
    <x:row r="431" ht="14.25" customHeight="1">
      <x:c r="AA431" s="3"/>
      <x:c r="AF431" s="3"/>
      <x:c r="AG431" s="3"/>
      <x:c r="AH431" s="3"/>
      <x:c r="AI431" s="3"/>
      <x:c r="AJ431" s="3"/>
      <x:c r="AK431" s="3"/>
      <x:c r="AL431" s="3"/>
      <x:c r="AM431" s="3"/>
      <x:c r="AT431" s="3"/>
      <x:c r="AU431" s="3"/>
      <x:c r="AV431" s="3"/>
      <x:c r="AW431" s="3"/>
      <x:c r="AX431" s="3"/>
      <x:c r="AY431" s="3"/>
      <x:c r="AZ431" s="3"/>
      <x:c r="BA431" s="3"/>
      <x:c r="BC431" s="3"/>
      <x:c r="BD431" s="3"/>
      <x:c r="BE431" s="3"/>
      <x:c r="BF431" s="3"/>
      <x:c r="BG431" s="3"/>
      <x:c r="BH431" s="13"/>
      <x:c r="BI431" s="13"/>
      <x:c r="BJ431" s="13"/>
      <x:c r="BK431" s="13"/>
      <x:c r="BL431" s="13"/>
      <x:c r="BM431" s="13"/>
      <x:c r="BN431" s="13"/>
      <x:c r="BO431" s="13"/>
      <x:c r="BP431" s="13"/>
      <x:c r="BQ431" s="13"/>
      <x:c r="BR431" s="13"/>
      <x:c r="BS431" s="13"/>
      <x:c r="BT431" s="13"/>
      <x:c r="BU431" s="13"/>
      <x:c r="BV431" s="13"/>
      <x:c r="BW431" s="13"/>
      <x:c r="BX431" s="13"/>
      <x:c r="BY431" s="13"/>
      <x:c r="BZ431" s="13"/>
      <x:c r="CA431" s="13"/>
      <x:c r="CB431" s="13"/>
      <x:c r="CC431" s="13"/>
      <x:c r="CD431" s="13"/>
      <x:c r="CE431" s="13"/>
      <x:c r="CF431" s="13"/>
      <x:c r="CG431" s="13"/>
    </x:row>
    <x:row r="432" ht="14.25" customHeight="1">
      <x:c r="AA432" s="3"/>
      <x:c r="AF432" s="3"/>
      <x:c r="AG432" s="3"/>
      <x:c r="AH432" s="3"/>
      <x:c r="AI432" s="3"/>
      <x:c r="AJ432" s="3"/>
      <x:c r="AK432" s="3"/>
      <x:c r="AL432" s="3"/>
      <x:c r="AM432" s="3"/>
      <x:c r="AT432" s="3"/>
      <x:c r="AU432" s="3"/>
      <x:c r="AV432" s="3"/>
      <x:c r="AW432" s="3"/>
      <x:c r="AX432" s="3"/>
      <x:c r="AY432" s="3"/>
      <x:c r="AZ432" s="3"/>
      <x:c r="BA432" s="3"/>
      <x:c r="BC432" s="3"/>
      <x:c r="BD432" s="3"/>
      <x:c r="BE432" s="3"/>
      <x:c r="BF432" s="3"/>
      <x:c r="BG432" s="3"/>
      <x:c r="BH432" s="13"/>
      <x:c r="BI432" s="13"/>
      <x:c r="BJ432" s="13"/>
      <x:c r="BK432" s="13"/>
      <x:c r="BL432" s="13"/>
      <x:c r="BM432" s="13"/>
      <x:c r="BN432" s="13"/>
      <x:c r="BO432" s="13"/>
      <x:c r="BP432" s="13"/>
      <x:c r="BQ432" s="13"/>
      <x:c r="BR432" s="13"/>
      <x:c r="BS432" s="13"/>
      <x:c r="BT432" s="13"/>
      <x:c r="BU432" s="13"/>
      <x:c r="BV432" s="13"/>
      <x:c r="BW432" s="13"/>
      <x:c r="BX432" s="13"/>
      <x:c r="BY432" s="13"/>
      <x:c r="BZ432" s="13"/>
      <x:c r="CA432" s="13"/>
      <x:c r="CB432" s="13"/>
      <x:c r="CC432" s="13"/>
      <x:c r="CD432" s="13"/>
      <x:c r="CE432" s="13"/>
      <x:c r="CF432" s="13"/>
      <x:c r="CG432" s="13"/>
    </x:row>
    <x:row r="433" ht="14.25" customHeight="1">
      <x:c r="AA433" s="3"/>
      <x:c r="AF433" s="3"/>
      <x:c r="AG433" s="3"/>
      <x:c r="AH433" s="3"/>
      <x:c r="AI433" s="3"/>
      <x:c r="AJ433" s="3"/>
      <x:c r="AK433" s="3"/>
      <x:c r="AL433" s="3"/>
      <x:c r="AM433" s="3"/>
      <x:c r="AT433" s="3"/>
      <x:c r="AU433" s="3"/>
      <x:c r="AV433" s="3"/>
      <x:c r="AW433" s="3"/>
      <x:c r="AX433" s="3"/>
      <x:c r="AY433" s="3"/>
      <x:c r="AZ433" s="3"/>
      <x:c r="BA433" s="3"/>
      <x:c r="BC433" s="3"/>
      <x:c r="BD433" s="3"/>
      <x:c r="BE433" s="3"/>
      <x:c r="BF433" s="3"/>
      <x:c r="BG433" s="3"/>
      <x:c r="BH433" s="13"/>
      <x:c r="BI433" s="13"/>
      <x:c r="BJ433" s="13"/>
      <x:c r="BK433" s="13"/>
      <x:c r="BL433" s="13"/>
      <x:c r="BM433" s="13"/>
      <x:c r="BN433" s="13"/>
      <x:c r="BO433" s="13"/>
      <x:c r="BP433" s="13"/>
      <x:c r="BQ433" s="13"/>
      <x:c r="BR433" s="13"/>
      <x:c r="BS433" s="13"/>
      <x:c r="BT433" s="13"/>
      <x:c r="BU433" s="13"/>
      <x:c r="BV433" s="13"/>
      <x:c r="BW433" s="13"/>
      <x:c r="BX433" s="13"/>
      <x:c r="BY433" s="13"/>
      <x:c r="BZ433" s="13"/>
      <x:c r="CA433" s="13"/>
      <x:c r="CB433" s="13"/>
      <x:c r="CC433" s="13"/>
      <x:c r="CD433" s="13"/>
      <x:c r="CE433" s="13"/>
      <x:c r="CF433" s="13"/>
      <x:c r="CG433" s="13"/>
    </x:row>
    <x:row r="434" ht="14.25" customHeight="1">
      <x:c r="AA434" s="3"/>
      <x:c r="AF434" s="3"/>
      <x:c r="AG434" s="3"/>
      <x:c r="AH434" s="3"/>
      <x:c r="AI434" s="3"/>
      <x:c r="AJ434" s="3"/>
      <x:c r="AK434" s="3"/>
      <x:c r="AL434" s="3"/>
      <x:c r="AM434" s="3"/>
      <x:c r="AT434" s="3"/>
      <x:c r="AU434" s="3"/>
      <x:c r="AV434" s="3"/>
      <x:c r="AW434" s="3"/>
      <x:c r="AX434" s="3"/>
      <x:c r="AY434" s="3"/>
      <x:c r="AZ434" s="3"/>
      <x:c r="BA434" s="3"/>
      <x:c r="BC434" s="3"/>
      <x:c r="BD434" s="3"/>
      <x:c r="BE434" s="3"/>
      <x:c r="BF434" s="3"/>
      <x:c r="BG434" s="3"/>
      <x:c r="BH434" s="13"/>
      <x:c r="BI434" s="13"/>
      <x:c r="BJ434" s="13"/>
      <x:c r="BK434" s="13"/>
      <x:c r="BL434" s="13"/>
      <x:c r="BM434" s="13"/>
      <x:c r="BN434" s="13"/>
      <x:c r="BO434" s="13"/>
      <x:c r="BP434" s="13"/>
      <x:c r="BQ434" s="13"/>
      <x:c r="BR434" s="13"/>
      <x:c r="BS434" s="13"/>
      <x:c r="BT434" s="13"/>
      <x:c r="BU434" s="13"/>
      <x:c r="BV434" s="13"/>
      <x:c r="BW434" s="13"/>
      <x:c r="BX434" s="13"/>
      <x:c r="BY434" s="13"/>
      <x:c r="BZ434" s="13"/>
      <x:c r="CA434" s="13"/>
      <x:c r="CB434" s="13"/>
      <x:c r="CC434" s="13"/>
      <x:c r="CD434" s="13"/>
      <x:c r="CE434" s="13"/>
      <x:c r="CF434" s="13"/>
      <x:c r="CG434" s="13"/>
    </x:row>
    <x:row r="435" ht="14.25" customHeight="1">
      <x:c r="AA435" s="3"/>
      <x:c r="AF435" s="3"/>
      <x:c r="AG435" s="3"/>
      <x:c r="AH435" s="3"/>
      <x:c r="AI435" s="3"/>
      <x:c r="AJ435" s="3"/>
      <x:c r="AK435" s="3"/>
      <x:c r="AL435" s="3"/>
      <x:c r="AM435" s="3"/>
      <x:c r="AT435" s="3"/>
      <x:c r="AU435" s="3"/>
      <x:c r="AV435" s="3"/>
      <x:c r="AW435" s="3"/>
      <x:c r="AX435" s="3"/>
      <x:c r="AY435" s="3"/>
      <x:c r="AZ435" s="3"/>
      <x:c r="BA435" s="3"/>
      <x:c r="BC435" s="3"/>
      <x:c r="BD435" s="3"/>
      <x:c r="BE435" s="3"/>
      <x:c r="BF435" s="3"/>
      <x:c r="BG435" s="3"/>
      <x:c r="BH435" s="13"/>
      <x:c r="BI435" s="13"/>
      <x:c r="BJ435" s="13"/>
      <x:c r="BK435" s="13"/>
      <x:c r="BL435" s="13"/>
      <x:c r="BM435" s="13"/>
      <x:c r="BN435" s="13"/>
      <x:c r="BO435" s="13"/>
      <x:c r="BP435" s="13"/>
      <x:c r="BQ435" s="13"/>
      <x:c r="BR435" s="13"/>
      <x:c r="BS435" s="13"/>
      <x:c r="BT435" s="13"/>
      <x:c r="BU435" s="13"/>
      <x:c r="BV435" s="13"/>
      <x:c r="BW435" s="13"/>
      <x:c r="BX435" s="13"/>
      <x:c r="BY435" s="13"/>
      <x:c r="BZ435" s="13"/>
      <x:c r="CA435" s="13"/>
      <x:c r="CB435" s="13"/>
      <x:c r="CC435" s="13"/>
      <x:c r="CD435" s="13"/>
      <x:c r="CE435" s="13"/>
      <x:c r="CF435" s="13"/>
      <x:c r="CG435" s="13"/>
    </x:row>
    <x:row r="436" ht="14.25" customHeight="1">
      <x:c r="AA436" s="3"/>
      <x:c r="AF436" s="3"/>
      <x:c r="AG436" s="3"/>
      <x:c r="AH436" s="3"/>
      <x:c r="AI436" s="3"/>
      <x:c r="AJ436" s="3"/>
      <x:c r="AK436" s="3"/>
      <x:c r="AL436" s="3"/>
      <x:c r="AM436" s="3"/>
      <x:c r="AT436" s="3"/>
      <x:c r="AU436" s="3"/>
      <x:c r="AV436" s="3"/>
      <x:c r="AW436" s="3"/>
      <x:c r="AX436" s="3"/>
      <x:c r="AY436" s="3"/>
      <x:c r="AZ436" s="3"/>
      <x:c r="BA436" s="3"/>
      <x:c r="BC436" s="3"/>
      <x:c r="BD436" s="3"/>
      <x:c r="BE436" s="3"/>
      <x:c r="BF436" s="3"/>
      <x:c r="BG436" s="3"/>
      <x:c r="BH436" s="13"/>
      <x:c r="BI436" s="13"/>
      <x:c r="BJ436" s="13"/>
      <x:c r="BK436" s="13"/>
      <x:c r="BL436" s="13"/>
      <x:c r="BM436" s="13"/>
      <x:c r="BN436" s="13"/>
      <x:c r="BO436" s="13"/>
      <x:c r="BP436" s="13"/>
      <x:c r="BQ436" s="13"/>
      <x:c r="BR436" s="13"/>
      <x:c r="BS436" s="13"/>
      <x:c r="BT436" s="13"/>
      <x:c r="BU436" s="13"/>
      <x:c r="BV436" s="13"/>
      <x:c r="BW436" s="13"/>
      <x:c r="BX436" s="13"/>
      <x:c r="BY436" s="13"/>
      <x:c r="BZ436" s="13"/>
      <x:c r="CA436" s="13"/>
      <x:c r="CB436" s="13"/>
      <x:c r="CC436" s="13"/>
      <x:c r="CD436" s="13"/>
      <x:c r="CE436" s="13"/>
      <x:c r="CF436" s="13"/>
      <x:c r="CG436" s="13"/>
    </x:row>
    <x:row r="437" ht="14.25" customHeight="1">
      <x:c r="AA437" s="3"/>
      <x:c r="AF437" s="3"/>
      <x:c r="AG437" s="3"/>
      <x:c r="AH437" s="3"/>
      <x:c r="AI437" s="3"/>
      <x:c r="AJ437" s="3"/>
      <x:c r="AK437" s="3"/>
      <x:c r="AL437" s="3"/>
      <x:c r="AM437" s="3"/>
      <x:c r="AT437" s="3"/>
      <x:c r="AU437" s="3"/>
      <x:c r="AV437" s="3"/>
      <x:c r="AW437" s="3"/>
      <x:c r="AX437" s="3"/>
      <x:c r="AY437" s="3"/>
      <x:c r="AZ437" s="3"/>
      <x:c r="BA437" s="3"/>
      <x:c r="BC437" s="3"/>
      <x:c r="BD437" s="3"/>
      <x:c r="BE437" s="3"/>
      <x:c r="BF437" s="3"/>
      <x:c r="BG437" s="3"/>
      <x:c r="BH437" s="13"/>
      <x:c r="BI437" s="13"/>
      <x:c r="BJ437" s="13"/>
      <x:c r="BK437" s="13"/>
      <x:c r="BL437" s="13"/>
      <x:c r="BM437" s="13"/>
      <x:c r="BN437" s="13"/>
      <x:c r="BO437" s="13"/>
      <x:c r="BP437" s="13"/>
      <x:c r="BQ437" s="13"/>
      <x:c r="BR437" s="13"/>
      <x:c r="BS437" s="13"/>
      <x:c r="BT437" s="13"/>
      <x:c r="BU437" s="13"/>
      <x:c r="BV437" s="13"/>
      <x:c r="BW437" s="13"/>
      <x:c r="BX437" s="13"/>
      <x:c r="BY437" s="13"/>
      <x:c r="BZ437" s="13"/>
      <x:c r="CA437" s="13"/>
      <x:c r="CB437" s="13"/>
      <x:c r="CC437" s="13"/>
      <x:c r="CD437" s="13"/>
      <x:c r="CE437" s="13"/>
      <x:c r="CF437" s="13"/>
      <x:c r="CG437" s="13"/>
    </x:row>
    <x:row r="438" ht="14.25" customHeight="1">
      <x:c r="AA438" s="3"/>
      <x:c r="AF438" s="3"/>
      <x:c r="AG438" s="3"/>
      <x:c r="AH438" s="3"/>
      <x:c r="AI438" s="3"/>
      <x:c r="AJ438" s="3"/>
      <x:c r="AK438" s="3"/>
      <x:c r="AL438" s="3"/>
      <x:c r="AM438" s="3"/>
      <x:c r="AT438" s="3"/>
      <x:c r="AU438" s="3"/>
      <x:c r="AV438" s="3"/>
      <x:c r="AW438" s="3"/>
      <x:c r="AX438" s="3"/>
      <x:c r="AY438" s="3"/>
      <x:c r="AZ438" s="3"/>
      <x:c r="BA438" s="3"/>
      <x:c r="BC438" s="3"/>
      <x:c r="BD438" s="3"/>
      <x:c r="BE438" s="3"/>
      <x:c r="BF438" s="3"/>
      <x:c r="BG438" s="3"/>
      <x:c r="BH438" s="13"/>
      <x:c r="BI438" s="13"/>
      <x:c r="BJ438" s="13"/>
      <x:c r="BK438" s="13"/>
      <x:c r="BL438" s="13"/>
      <x:c r="BM438" s="13"/>
      <x:c r="BN438" s="13"/>
      <x:c r="BO438" s="13"/>
      <x:c r="BP438" s="13"/>
      <x:c r="BQ438" s="13"/>
      <x:c r="BR438" s="13"/>
      <x:c r="BS438" s="13"/>
      <x:c r="BT438" s="13"/>
      <x:c r="BU438" s="13"/>
      <x:c r="BV438" s="13"/>
      <x:c r="BW438" s="13"/>
      <x:c r="BX438" s="13"/>
      <x:c r="BY438" s="13"/>
      <x:c r="BZ438" s="13"/>
      <x:c r="CA438" s="13"/>
      <x:c r="CB438" s="13"/>
      <x:c r="CC438" s="13"/>
      <x:c r="CD438" s="13"/>
      <x:c r="CE438" s="13"/>
      <x:c r="CF438" s="13"/>
      <x:c r="CG438" s="13"/>
    </x:row>
    <x:row r="439" ht="14.25" customHeight="1">
      <x:c r="AA439" s="3"/>
      <x:c r="AF439" s="3"/>
      <x:c r="AG439" s="3"/>
      <x:c r="AH439" s="3"/>
      <x:c r="AI439" s="3"/>
      <x:c r="AJ439" s="3"/>
      <x:c r="AK439" s="3"/>
      <x:c r="AL439" s="3"/>
      <x:c r="AM439" s="3"/>
      <x:c r="AT439" s="3"/>
      <x:c r="AU439" s="3"/>
      <x:c r="AV439" s="3"/>
      <x:c r="AW439" s="3"/>
      <x:c r="AX439" s="3"/>
      <x:c r="AY439" s="3"/>
      <x:c r="AZ439" s="3"/>
      <x:c r="BA439" s="3"/>
      <x:c r="BC439" s="3"/>
      <x:c r="BD439" s="3"/>
      <x:c r="BE439" s="3"/>
      <x:c r="BF439" s="3"/>
      <x:c r="BG439" s="3"/>
      <x:c r="BH439" s="13"/>
      <x:c r="BI439" s="13"/>
      <x:c r="BJ439" s="13"/>
      <x:c r="BK439" s="13"/>
      <x:c r="BL439" s="13"/>
      <x:c r="BM439" s="13"/>
      <x:c r="BN439" s="13"/>
      <x:c r="BO439" s="13"/>
      <x:c r="BP439" s="13"/>
      <x:c r="BQ439" s="13"/>
      <x:c r="BR439" s="13"/>
      <x:c r="BS439" s="13"/>
      <x:c r="BT439" s="13"/>
      <x:c r="BU439" s="13"/>
      <x:c r="BV439" s="13"/>
      <x:c r="BW439" s="13"/>
      <x:c r="BX439" s="13"/>
      <x:c r="BY439" s="13"/>
      <x:c r="BZ439" s="13"/>
      <x:c r="CA439" s="13"/>
      <x:c r="CB439" s="13"/>
      <x:c r="CC439" s="13"/>
      <x:c r="CD439" s="13"/>
      <x:c r="CE439" s="13"/>
      <x:c r="CF439" s="13"/>
      <x:c r="CG439" s="13"/>
    </x:row>
    <x:row r="440" ht="14.25" customHeight="1">
      <x:c r="AA440" s="3"/>
      <x:c r="AF440" s="3"/>
      <x:c r="AG440" s="3"/>
      <x:c r="AH440" s="3"/>
      <x:c r="AI440" s="3"/>
      <x:c r="AJ440" s="3"/>
      <x:c r="AK440" s="3"/>
      <x:c r="AL440" s="3"/>
      <x:c r="AM440" s="3"/>
      <x:c r="AT440" s="3"/>
      <x:c r="AU440" s="3"/>
      <x:c r="AV440" s="3"/>
      <x:c r="AW440" s="3"/>
      <x:c r="AX440" s="3"/>
      <x:c r="AY440" s="3"/>
      <x:c r="AZ440" s="3"/>
      <x:c r="BA440" s="3"/>
      <x:c r="BC440" s="3"/>
      <x:c r="BD440" s="3"/>
      <x:c r="BE440" s="3"/>
      <x:c r="BF440" s="3"/>
      <x:c r="BG440" s="3"/>
      <x:c r="BH440" s="13"/>
      <x:c r="BI440" s="13"/>
      <x:c r="BJ440" s="13"/>
      <x:c r="BK440" s="13"/>
      <x:c r="BL440" s="13"/>
      <x:c r="BM440" s="13"/>
      <x:c r="BN440" s="13"/>
      <x:c r="BO440" s="13"/>
      <x:c r="BP440" s="13"/>
      <x:c r="BQ440" s="13"/>
      <x:c r="BR440" s="13"/>
      <x:c r="BS440" s="13"/>
      <x:c r="BT440" s="13"/>
      <x:c r="BU440" s="13"/>
      <x:c r="BV440" s="13"/>
      <x:c r="BW440" s="13"/>
      <x:c r="BX440" s="13"/>
      <x:c r="BY440" s="13"/>
      <x:c r="BZ440" s="13"/>
      <x:c r="CA440" s="13"/>
      <x:c r="CB440" s="13"/>
      <x:c r="CC440" s="13"/>
      <x:c r="CD440" s="13"/>
      <x:c r="CE440" s="13"/>
      <x:c r="CF440" s="13"/>
      <x:c r="CG440" s="13"/>
    </x:row>
    <x:row r="441" ht="14.25" customHeight="1">
      <x:c r="AA441" s="3"/>
      <x:c r="AF441" s="3"/>
      <x:c r="AG441" s="3"/>
      <x:c r="AH441" s="3"/>
      <x:c r="AI441" s="3"/>
      <x:c r="AJ441" s="3"/>
      <x:c r="AK441" s="3"/>
      <x:c r="AL441" s="3"/>
      <x:c r="AM441" s="3"/>
      <x:c r="AT441" s="3"/>
      <x:c r="AU441" s="3"/>
      <x:c r="AV441" s="3"/>
      <x:c r="AW441" s="3"/>
      <x:c r="AX441" s="3"/>
      <x:c r="AY441" s="3"/>
      <x:c r="AZ441" s="3"/>
      <x:c r="BA441" s="3"/>
      <x:c r="BC441" s="3"/>
      <x:c r="BD441" s="3"/>
      <x:c r="BE441" s="3"/>
      <x:c r="BF441" s="3"/>
      <x:c r="BG441" s="3"/>
      <x:c r="BH441" s="13"/>
      <x:c r="BI441" s="13"/>
      <x:c r="BJ441" s="13"/>
      <x:c r="BK441" s="13"/>
      <x:c r="BL441" s="13"/>
      <x:c r="BM441" s="13"/>
      <x:c r="BN441" s="13"/>
      <x:c r="BO441" s="13"/>
      <x:c r="BP441" s="13"/>
      <x:c r="BQ441" s="13"/>
      <x:c r="BR441" s="13"/>
      <x:c r="BS441" s="13"/>
      <x:c r="BT441" s="13"/>
      <x:c r="BU441" s="13"/>
      <x:c r="BV441" s="13"/>
      <x:c r="BW441" s="13"/>
      <x:c r="BX441" s="13"/>
      <x:c r="BY441" s="13"/>
      <x:c r="BZ441" s="13"/>
      <x:c r="CA441" s="13"/>
      <x:c r="CB441" s="13"/>
      <x:c r="CC441" s="13"/>
      <x:c r="CD441" s="13"/>
      <x:c r="CE441" s="13"/>
      <x:c r="CF441" s="13"/>
      <x:c r="CG441" s="13"/>
    </x:row>
    <x:row r="442" ht="14.25" customHeight="1">
      <x:c r="AA442" s="3"/>
      <x:c r="AF442" s="3"/>
      <x:c r="AG442" s="3"/>
      <x:c r="AH442" s="3"/>
      <x:c r="AI442" s="3"/>
      <x:c r="AJ442" s="3"/>
      <x:c r="AK442" s="3"/>
      <x:c r="AL442" s="3"/>
      <x:c r="AM442" s="3"/>
      <x:c r="AT442" s="3"/>
      <x:c r="AU442" s="3"/>
      <x:c r="AV442" s="3"/>
      <x:c r="AW442" s="3"/>
      <x:c r="AX442" s="3"/>
      <x:c r="AY442" s="3"/>
      <x:c r="AZ442" s="3"/>
      <x:c r="BA442" s="3"/>
      <x:c r="BC442" s="3"/>
      <x:c r="BD442" s="3"/>
      <x:c r="BE442" s="3"/>
      <x:c r="BF442" s="3"/>
      <x:c r="BG442" s="3"/>
      <x:c r="BH442" s="13"/>
      <x:c r="BI442" s="13"/>
      <x:c r="BJ442" s="13"/>
      <x:c r="BK442" s="13"/>
      <x:c r="BL442" s="13"/>
      <x:c r="BM442" s="13"/>
      <x:c r="BN442" s="13"/>
      <x:c r="BO442" s="13"/>
      <x:c r="BP442" s="13"/>
      <x:c r="BQ442" s="13"/>
      <x:c r="BR442" s="13"/>
      <x:c r="BS442" s="13"/>
      <x:c r="BT442" s="13"/>
      <x:c r="BU442" s="13"/>
      <x:c r="BV442" s="13"/>
      <x:c r="BW442" s="13"/>
      <x:c r="BX442" s="13"/>
      <x:c r="BY442" s="13"/>
      <x:c r="BZ442" s="13"/>
      <x:c r="CA442" s="13"/>
      <x:c r="CB442" s="13"/>
      <x:c r="CC442" s="13"/>
      <x:c r="CD442" s="13"/>
      <x:c r="CE442" s="13"/>
      <x:c r="CF442" s="13"/>
      <x:c r="CG442" s="13"/>
    </x:row>
    <x:row r="443" ht="14.25" customHeight="1">
      <x:c r="AA443" s="3"/>
      <x:c r="AF443" s="3"/>
      <x:c r="AG443" s="3"/>
      <x:c r="AH443" s="3"/>
      <x:c r="AI443" s="3"/>
      <x:c r="AJ443" s="3"/>
      <x:c r="AK443" s="3"/>
      <x:c r="AL443" s="3"/>
      <x:c r="AM443" s="3"/>
      <x:c r="AT443" s="3"/>
      <x:c r="AU443" s="3"/>
      <x:c r="AV443" s="3"/>
      <x:c r="AW443" s="3"/>
      <x:c r="AX443" s="3"/>
      <x:c r="AY443" s="3"/>
      <x:c r="AZ443" s="3"/>
      <x:c r="BA443" s="3"/>
      <x:c r="BC443" s="3"/>
      <x:c r="BD443" s="3"/>
      <x:c r="BE443" s="3"/>
      <x:c r="BF443" s="3"/>
      <x:c r="BG443" s="3"/>
      <x:c r="BH443" s="13"/>
      <x:c r="BI443" s="13"/>
      <x:c r="BJ443" s="13"/>
      <x:c r="BK443" s="13"/>
      <x:c r="BL443" s="13"/>
      <x:c r="BM443" s="13"/>
      <x:c r="BN443" s="13"/>
      <x:c r="BO443" s="13"/>
      <x:c r="BP443" s="13"/>
      <x:c r="BQ443" s="13"/>
      <x:c r="BR443" s="13"/>
      <x:c r="BS443" s="13"/>
      <x:c r="BT443" s="13"/>
      <x:c r="BU443" s="13"/>
      <x:c r="BV443" s="13"/>
      <x:c r="BW443" s="13"/>
      <x:c r="BX443" s="13"/>
      <x:c r="BY443" s="13"/>
      <x:c r="BZ443" s="13"/>
      <x:c r="CA443" s="13"/>
      <x:c r="CB443" s="13"/>
      <x:c r="CC443" s="13"/>
      <x:c r="CD443" s="13"/>
      <x:c r="CE443" s="13"/>
      <x:c r="CF443" s="13"/>
      <x:c r="CG443" s="13"/>
    </x:row>
    <x:row r="444" ht="14.25" customHeight="1">
      <x:c r="AA444" s="3"/>
      <x:c r="AF444" s="3"/>
      <x:c r="AG444" s="3"/>
      <x:c r="AH444" s="3"/>
      <x:c r="AI444" s="3"/>
      <x:c r="AJ444" s="3"/>
      <x:c r="AK444" s="3"/>
      <x:c r="AL444" s="3"/>
      <x:c r="AM444" s="3"/>
      <x:c r="AT444" s="3"/>
      <x:c r="AU444" s="3"/>
      <x:c r="AV444" s="3"/>
      <x:c r="AW444" s="3"/>
      <x:c r="AX444" s="3"/>
      <x:c r="AY444" s="3"/>
      <x:c r="AZ444" s="3"/>
      <x:c r="BA444" s="3"/>
      <x:c r="BC444" s="3"/>
      <x:c r="BD444" s="3"/>
      <x:c r="BE444" s="3"/>
      <x:c r="BF444" s="3"/>
      <x:c r="BG444" s="3"/>
      <x:c r="BH444" s="13"/>
      <x:c r="BI444" s="13"/>
      <x:c r="BJ444" s="13"/>
      <x:c r="BK444" s="13"/>
      <x:c r="BL444" s="13"/>
      <x:c r="BM444" s="13"/>
      <x:c r="BN444" s="13"/>
      <x:c r="BO444" s="13"/>
      <x:c r="BP444" s="13"/>
      <x:c r="BQ444" s="13"/>
      <x:c r="BR444" s="13"/>
      <x:c r="BS444" s="13"/>
      <x:c r="BT444" s="13"/>
      <x:c r="BU444" s="13"/>
      <x:c r="BV444" s="13"/>
      <x:c r="BW444" s="13"/>
      <x:c r="BX444" s="13"/>
      <x:c r="BY444" s="13"/>
      <x:c r="BZ444" s="13"/>
      <x:c r="CA444" s="13"/>
      <x:c r="CB444" s="13"/>
      <x:c r="CC444" s="13"/>
      <x:c r="CD444" s="13"/>
      <x:c r="CE444" s="13"/>
      <x:c r="CF444" s="13"/>
      <x:c r="CG444" s="13"/>
    </x:row>
    <x:row r="445" ht="14.25" customHeight="1">
      <x:c r="AA445" s="3"/>
      <x:c r="AF445" s="3"/>
      <x:c r="AG445" s="3"/>
      <x:c r="AH445" s="3"/>
      <x:c r="AI445" s="3"/>
      <x:c r="AJ445" s="3"/>
      <x:c r="AK445" s="3"/>
      <x:c r="AL445" s="3"/>
      <x:c r="AM445" s="3"/>
      <x:c r="AT445" s="3"/>
      <x:c r="AU445" s="3"/>
      <x:c r="AV445" s="3"/>
      <x:c r="AW445" s="3"/>
      <x:c r="AX445" s="3"/>
      <x:c r="AY445" s="3"/>
      <x:c r="AZ445" s="3"/>
      <x:c r="BA445" s="3"/>
      <x:c r="BC445" s="3"/>
      <x:c r="BD445" s="3"/>
      <x:c r="BE445" s="3"/>
      <x:c r="BF445" s="3"/>
      <x:c r="BG445" s="3"/>
      <x:c r="BH445" s="13"/>
      <x:c r="BI445" s="13"/>
      <x:c r="BJ445" s="13"/>
      <x:c r="BK445" s="13"/>
      <x:c r="BL445" s="13"/>
      <x:c r="BM445" s="13"/>
      <x:c r="BN445" s="13"/>
      <x:c r="BO445" s="13"/>
      <x:c r="BP445" s="13"/>
      <x:c r="BQ445" s="13"/>
      <x:c r="BR445" s="13"/>
      <x:c r="BS445" s="13"/>
      <x:c r="BT445" s="13"/>
      <x:c r="BU445" s="13"/>
      <x:c r="BV445" s="13"/>
      <x:c r="BW445" s="13"/>
      <x:c r="BX445" s="13"/>
      <x:c r="BY445" s="13"/>
      <x:c r="BZ445" s="13"/>
      <x:c r="CA445" s="13"/>
      <x:c r="CB445" s="13"/>
      <x:c r="CC445" s="13"/>
      <x:c r="CD445" s="13"/>
      <x:c r="CE445" s="13"/>
      <x:c r="CF445" s="13"/>
      <x:c r="CG445" s="13"/>
    </x:row>
    <x:row r="446" ht="14.25" customHeight="1">
      <x:c r="AA446" s="3"/>
      <x:c r="AF446" s="3"/>
      <x:c r="AG446" s="3"/>
      <x:c r="AH446" s="3"/>
      <x:c r="AI446" s="3"/>
      <x:c r="AJ446" s="3"/>
      <x:c r="AK446" s="3"/>
      <x:c r="AL446" s="3"/>
      <x:c r="AM446" s="3"/>
      <x:c r="AT446" s="3"/>
      <x:c r="AU446" s="3"/>
      <x:c r="AV446" s="3"/>
      <x:c r="AW446" s="3"/>
      <x:c r="AX446" s="3"/>
      <x:c r="AY446" s="3"/>
      <x:c r="AZ446" s="3"/>
      <x:c r="BA446" s="3"/>
      <x:c r="BC446" s="3"/>
      <x:c r="BD446" s="3"/>
      <x:c r="BE446" s="3"/>
      <x:c r="BF446" s="3"/>
      <x:c r="BG446" s="3"/>
      <x:c r="BH446" s="13"/>
      <x:c r="BI446" s="13"/>
      <x:c r="BJ446" s="13"/>
      <x:c r="BK446" s="13"/>
      <x:c r="BL446" s="13"/>
      <x:c r="BM446" s="13"/>
      <x:c r="BN446" s="13"/>
      <x:c r="BO446" s="13"/>
      <x:c r="BP446" s="13"/>
      <x:c r="BQ446" s="13"/>
      <x:c r="BR446" s="13"/>
      <x:c r="BS446" s="13"/>
      <x:c r="BT446" s="13"/>
      <x:c r="BU446" s="13"/>
      <x:c r="BV446" s="13"/>
      <x:c r="BW446" s="13"/>
      <x:c r="BX446" s="13"/>
      <x:c r="BY446" s="13"/>
      <x:c r="BZ446" s="13"/>
      <x:c r="CA446" s="13"/>
      <x:c r="CB446" s="13"/>
      <x:c r="CC446" s="13"/>
      <x:c r="CD446" s="13"/>
      <x:c r="CE446" s="13"/>
      <x:c r="CF446" s="13"/>
      <x:c r="CG446" s="13"/>
    </x:row>
    <x:row r="447" ht="14.25" customHeight="1">
      <x:c r="AA447" s="3"/>
      <x:c r="AF447" s="3"/>
      <x:c r="AG447" s="3"/>
      <x:c r="AH447" s="3"/>
      <x:c r="AI447" s="3"/>
      <x:c r="AJ447" s="3"/>
      <x:c r="AK447" s="3"/>
      <x:c r="AL447" s="3"/>
      <x:c r="AM447" s="3"/>
      <x:c r="AT447" s="3"/>
      <x:c r="AU447" s="3"/>
      <x:c r="AV447" s="3"/>
      <x:c r="AW447" s="3"/>
      <x:c r="AX447" s="3"/>
      <x:c r="AY447" s="3"/>
      <x:c r="AZ447" s="3"/>
      <x:c r="BA447" s="3"/>
      <x:c r="BC447" s="3"/>
      <x:c r="BD447" s="3"/>
      <x:c r="BE447" s="3"/>
      <x:c r="BF447" s="3"/>
      <x:c r="BG447" s="3"/>
      <x:c r="BH447" s="13"/>
      <x:c r="BI447" s="13"/>
      <x:c r="BJ447" s="13"/>
      <x:c r="BK447" s="13"/>
      <x:c r="BL447" s="13"/>
      <x:c r="BM447" s="13"/>
      <x:c r="BN447" s="13"/>
      <x:c r="BO447" s="13"/>
      <x:c r="BP447" s="13"/>
      <x:c r="BQ447" s="13"/>
      <x:c r="BR447" s="13"/>
      <x:c r="BS447" s="13"/>
      <x:c r="BT447" s="13"/>
      <x:c r="BU447" s="13"/>
      <x:c r="BV447" s="13"/>
      <x:c r="BW447" s="13"/>
      <x:c r="BX447" s="13"/>
      <x:c r="BY447" s="13"/>
      <x:c r="BZ447" s="13"/>
      <x:c r="CA447" s="13"/>
      <x:c r="CB447" s="13"/>
      <x:c r="CC447" s="13"/>
      <x:c r="CD447" s="13"/>
      <x:c r="CE447" s="13"/>
      <x:c r="CF447" s="13"/>
      <x:c r="CG447" s="13"/>
    </x:row>
    <x:row r="448" ht="14.25" customHeight="1">
      <x:c r="AA448" s="3"/>
      <x:c r="AF448" s="3"/>
      <x:c r="AG448" s="3"/>
      <x:c r="AH448" s="3"/>
      <x:c r="AI448" s="3"/>
      <x:c r="AJ448" s="3"/>
      <x:c r="AK448" s="3"/>
      <x:c r="AL448" s="3"/>
      <x:c r="AM448" s="3"/>
      <x:c r="AT448" s="3"/>
      <x:c r="AU448" s="3"/>
      <x:c r="AV448" s="3"/>
      <x:c r="AW448" s="3"/>
      <x:c r="AX448" s="3"/>
      <x:c r="AY448" s="3"/>
      <x:c r="AZ448" s="3"/>
      <x:c r="BA448" s="3"/>
      <x:c r="BC448" s="3"/>
      <x:c r="BD448" s="3"/>
      <x:c r="BE448" s="3"/>
      <x:c r="BF448" s="3"/>
      <x:c r="BG448" s="3"/>
      <x:c r="BH448" s="13"/>
      <x:c r="BI448" s="13"/>
      <x:c r="BJ448" s="13"/>
      <x:c r="BK448" s="13"/>
      <x:c r="BL448" s="13"/>
      <x:c r="BM448" s="13"/>
      <x:c r="BN448" s="13"/>
      <x:c r="BO448" s="13"/>
      <x:c r="BP448" s="13"/>
      <x:c r="BQ448" s="13"/>
      <x:c r="BR448" s="13"/>
      <x:c r="BS448" s="13"/>
      <x:c r="BT448" s="13"/>
      <x:c r="BU448" s="13"/>
      <x:c r="BV448" s="13"/>
      <x:c r="BW448" s="13"/>
      <x:c r="BX448" s="13"/>
      <x:c r="BY448" s="13"/>
      <x:c r="BZ448" s="13"/>
      <x:c r="CA448" s="13"/>
      <x:c r="CB448" s="13"/>
      <x:c r="CC448" s="13"/>
      <x:c r="CD448" s="13"/>
      <x:c r="CE448" s="13"/>
      <x:c r="CF448" s="13"/>
      <x:c r="CG448" s="13"/>
    </x:row>
    <x:row r="449" ht="14.25" customHeight="1">
      <x:c r="AA449" s="3"/>
      <x:c r="AF449" s="3"/>
      <x:c r="AG449" s="3"/>
      <x:c r="AH449" s="3"/>
      <x:c r="AI449" s="3"/>
      <x:c r="AJ449" s="3"/>
      <x:c r="AK449" s="3"/>
      <x:c r="AL449" s="3"/>
      <x:c r="AM449" s="3"/>
      <x:c r="AT449" s="3"/>
      <x:c r="AU449" s="3"/>
      <x:c r="AV449" s="3"/>
      <x:c r="AW449" s="3"/>
      <x:c r="AX449" s="3"/>
      <x:c r="AY449" s="3"/>
      <x:c r="AZ449" s="3"/>
      <x:c r="BA449" s="3"/>
      <x:c r="BC449" s="3"/>
      <x:c r="BD449" s="3"/>
      <x:c r="BE449" s="3"/>
      <x:c r="BF449" s="3"/>
      <x:c r="BG449" s="3"/>
      <x:c r="BH449" s="13"/>
      <x:c r="BI449" s="13"/>
      <x:c r="BJ449" s="13"/>
      <x:c r="BK449" s="13"/>
      <x:c r="BL449" s="13"/>
      <x:c r="BM449" s="13"/>
      <x:c r="BN449" s="13"/>
      <x:c r="BO449" s="13"/>
      <x:c r="BP449" s="13"/>
      <x:c r="BQ449" s="13"/>
      <x:c r="BR449" s="13"/>
      <x:c r="BS449" s="13"/>
      <x:c r="BT449" s="13"/>
      <x:c r="BU449" s="13"/>
      <x:c r="BV449" s="13"/>
      <x:c r="BW449" s="13"/>
      <x:c r="BX449" s="13"/>
      <x:c r="BY449" s="13"/>
      <x:c r="BZ449" s="13"/>
      <x:c r="CA449" s="13"/>
      <x:c r="CB449" s="13"/>
      <x:c r="CC449" s="13"/>
      <x:c r="CD449" s="13"/>
      <x:c r="CE449" s="13"/>
      <x:c r="CF449" s="13"/>
      <x:c r="CG449" s="13"/>
    </x:row>
    <x:row r="450" ht="14.25" customHeight="1">
      <x:c r="AA450" s="3"/>
      <x:c r="AF450" s="3"/>
      <x:c r="AG450" s="3"/>
      <x:c r="AH450" s="3"/>
      <x:c r="AI450" s="3"/>
      <x:c r="AJ450" s="3"/>
      <x:c r="AK450" s="3"/>
      <x:c r="AL450" s="3"/>
      <x:c r="AM450" s="3"/>
      <x:c r="AT450" s="3"/>
      <x:c r="AU450" s="3"/>
      <x:c r="AV450" s="3"/>
      <x:c r="AW450" s="3"/>
      <x:c r="AX450" s="3"/>
      <x:c r="AY450" s="3"/>
      <x:c r="AZ450" s="3"/>
      <x:c r="BA450" s="3"/>
      <x:c r="BC450" s="3"/>
      <x:c r="BD450" s="3"/>
      <x:c r="BE450" s="3"/>
      <x:c r="BF450" s="3"/>
      <x:c r="BG450" s="3"/>
      <x:c r="BH450" s="13"/>
      <x:c r="BI450" s="13"/>
      <x:c r="BJ450" s="13"/>
      <x:c r="BK450" s="13"/>
      <x:c r="BL450" s="13"/>
      <x:c r="BM450" s="13"/>
      <x:c r="BN450" s="13"/>
      <x:c r="BO450" s="13"/>
      <x:c r="BP450" s="13"/>
      <x:c r="BQ450" s="13"/>
      <x:c r="BR450" s="13"/>
      <x:c r="BS450" s="13"/>
      <x:c r="BT450" s="13"/>
      <x:c r="BU450" s="13"/>
      <x:c r="BV450" s="13"/>
      <x:c r="BW450" s="13"/>
      <x:c r="BX450" s="13"/>
      <x:c r="BY450" s="13"/>
      <x:c r="BZ450" s="13"/>
      <x:c r="CA450" s="13"/>
      <x:c r="CB450" s="13"/>
      <x:c r="CC450" s="13"/>
      <x:c r="CD450" s="13"/>
      <x:c r="CE450" s="13"/>
      <x:c r="CF450" s="13"/>
      <x:c r="CG450" s="13"/>
    </x:row>
    <x:row r="451" ht="14.25" customHeight="1">
      <x:c r="AA451" s="3"/>
      <x:c r="AF451" s="3"/>
      <x:c r="AG451" s="3"/>
      <x:c r="AH451" s="3"/>
      <x:c r="AI451" s="3"/>
      <x:c r="AJ451" s="3"/>
      <x:c r="AK451" s="3"/>
      <x:c r="AL451" s="3"/>
      <x:c r="AM451" s="3"/>
      <x:c r="AT451" s="3"/>
      <x:c r="AU451" s="3"/>
      <x:c r="AV451" s="3"/>
      <x:c r="AW451" s="3"/>
      <x:c r="AX451" s="3"/>
      <x:c r="AY451" s="3"/>
      <x:c r="AZ451" s="3"/>
      <x:c r="BA451" s="3"/>
      <x:c r="BC451" s="3"/>
      <x:c r="BD451" s="3"/>
      <x:c r="BE451" s="3"/>
      <x:c r="BF451" s="3"/>
      <x:c r="BG451" s="3"/>
      <x:c r="BH451" s="13"/>
      <x:c r="BI451" s="13"/>
      <x:c r="BJ451" s="13"/>
      <x:c r="BK451" s="13"/>
      <x:c r="BL451" s="13"/>
      <x:c r="BM451" s="13"/>
      <x:c r="BN451" s="13"/>
      <x:c r="BO451" s="13"/>
      <x:c r="BP451" s="13"/>
      <x:c r="BQ451" s="13"/>
      <x:c r="BR451" s="13"/>
      <x:c r="BS451" s="13"/>
      <x:c r="BT451" s="13"/>
      <x:c r="BU451" s="13"/>
      <x:c r="BV451" s="13"/>
      <x:c r="BW451" s="13"/>
      <x:c r="BX451" s="13"/>
      <x:c r="BY451" s="13"/>
      <x:c r="BZ451" s="13"/>
      <x:c r="CA451" s="13"/>
      <x:c r="CB451" s="13"/>
      <x:c r="CC451" s="13"/>
      <x:c r="CD451" s="13"/>
      <x:c r="CE451" s="13"/>
      <x:c r="CF451" s="13"/>
      <x:c r="CG451" s="13"/>
    </x:row>
    <x:row r="452" ht="14.25" customHeight="1">
      <x:c r="AA452" s="3"/>
      <x:c r="AF452" s="3"/>
      <x:c r="AG452" s="3"/>
      <x:c r="AH452" s="3"/>
      <x:c r="AI452" s="3"/>
      <x:c r="AJ452" s="3"/>
      <x:c r="AK452" s="3"/>
      <x:c r="AL452" s="3"/>
      <x:c r="AM452" s="3"/>
      <x:c r="AT452" s="3"/>
      <x:c r="AU452" s="3"/>
      <x:c r="AV452" s="3"/>
      <x:c r="AW452" s="3"/>
      <x:c r="AX452" s="3"/>
      <x:c r="AY452" s="3"/>
      <x:c r="AZ452" s="3"/>
      <x:c r="BA452" s="3"/>
      <x:c r="BC452" s="3"/>
      <x:c r="BD452" s="3"/>
      <x:c r="BE452" s="3"/>
      <x:c r="BF452" s="3"/>
      <x:c r="BG452" s="3"/>
      <x:c r="BH452" s="13"/>
      <x:c r="BI452" s="13"/>
      <x:c r="BJ452" s="13"/>
      <x:c r="BK452" s="13"/>
      <x:c r="BL452" s="13"/>
      <x:c r="BM452" s="13"/>
      <x:c r="BN452" s="13"/>
      <x:c r="BO452" s="13"/>
      <x:c r="BP452" s="13"/>
      <x:c r="BQ452" s="13"/>
      <x:c r="BR452" s="13"/>
      <x:c r="BS452" s="13"/>
      <x:c r="BT452" s="13"/>
      <x:c r="BU452" s="13"/>
      <x:c r="BV452" s="13"/>
      <x:c r="BW452" s="13"/>
      <x:c r="BX452" s="13"/>
      <x:c r="BY452" s="13"/>
      <x:c r="BZ452" s="13"/>
      <x:c r="CA452" s="13"/>
      <x:c r="CB452" s="13"/>
      <x:c r="CC452" s="13"/>
      <x:c r="CD452" s="13"/>
      <x:c r="CE452" s="13"/>
      <x:c r="CF452" s="13"/>
      <x:c r="CG452" s="13"/>
    </x:row>
    <x:row r="453" ht="14.25" customHeight="1">
      <x:c r="AA453" s="3"/>
      <x:c r="AF453" s="3"/>
      <x:c r="AG453" s="3"/>
      <x:c r="AH453" s="3"/>
      <x:c r="AI453" s="3"/>
      <x:c r="AJ453" s="3"/>
      <x:c r="AK453" s="3"/>
      <x:c r="AL453" s="3"/>
      <x:c r="AM453" s="3"/>
      <x:c r="AT453" s="3"/>
      <x:c r="AU453" s="3"/>
      <x:c r="AV453" s="3"/>
      <x:c r="AW453" s="3"/>
      <x:c r="AX453" s="3"/>
      <x:c r="AY453" s="3"/>
      <x:c r="AZ453" s="3"/>
      <x:c r="BA453" s="3"/>
      <x:c r="BC453" s="3"/>
      <x:c r="BD453" s="3"/>
      <x:c r="BE453" s="3"/>
      <x:c r="BF453" s="3"/>
      <x:c r="BG453" s="3"/>
      <x:c r="BH453" s="13"/>
      <x:c r="BI453" s="13"/>
      <x:c r="BJ453" s="13"/>
      <x:c r="BK453" s="13"/>
      <x:c r="BL453" s="13"/>
      <x:c r="BM453" s="13"/>
      <x:c r="BN453" s="13"/>
      <x:c r="BO453" s="13"/>
      <x:c r="BP453" s="13"/>
      <x:c r="BQ453" s="13"/>
      <x:c r="BR453" s="13"/>
      <x:c r="BS453" s="13"/>
      <x:c r="BT453" s="13"/>
      <x:c r="BU453" s="13"/>
      <x:c r="BV453" s="13"/>
      <x:c r="BW453" s="13"/>
      <x:c r="BX453" s="13"/>
      <x:c r="BY453" s="13"/>
      <x:c r="BZ453" s="13"/>
      <x:c r="CA453" s="13"/>
      <x:c r="CB453" s="13"/>
      <x:c r="CC453" s="13"/>
      <x:c r="CD453" s="13"/>
      <x:c r="CE453" s="13"/>
      <x:c r="CF453" s="13"/>
      <x:c r="CG453" s="13"/>
    </x:row>
    <x:row r="454" ht="14.25" customHeight="1">
      <x:c r="AA454" s="3"/>
      <x:c r="AF454" s="3"/>
      <x:c r="AG454" s="3"/>
      <x:c r="AH454" s="3"/>
      <x:c r="AI454" s="3"/>
      <x:c r="AJ454" s="3"/>
      <x:c r="AK454" s="3"/>
      <x:c r="AL454" s="3"/>
      <x:c r="AM454" s="3"/>
      <x:c r="AT454" s="3"/>
      <x:c r="AU454" s="3"/>
      <x:c r="AV454" s="3"/>
      <x:c r="AW454" s="3"/>
      <x:c r="AX454" s="3"/>
      <x:c r="AY454" s="3"/>
      <x:c r="AZ454" s="3"/>
      <x:c r="BA454" s="3"/>
      <x:c r="BC454" s="3"/>
      <x:c r="BD454" s="3"/>
      <x:c r="BE454" s="3"/>
      <x:c r="BF454" s="3"/>
      <x:c r="BG454" s="3"/>
      <x:c r="BH454" s="13"/>
      <x:c r="BI454" s="13"/>
      <x:c r="BJ454" s="13"/>
      <x:c r="BK454" s="13"/>
      <x:c r="BL454" s="13"/>
      <x:c r="BM454" s="13"/>
      <x:c r="BN454" s="13"/>
      <x:c r="BO454" s="13"/>
      <x:c r="BP454" s="13"/>
      <x:c r="BQ454" s="13"/>
      <x:c r="BR454" s="13"/>
      <x:c r="BS454" s="13"/>
      <x:c r="BT454" s="13"/>
      <x:c r="BU454" s="13"/>
      <x:c r="BV454" s="13"/>
      <x:c r="BW454" s="13"/>
      <x:c r="BX454" s="13"/>
      <x:c r="BY454" s="13"/>
      <x:c r="BZ454" s="13"/>
      <x:c r="CA454" s="13"/>
      <x:c r="CB454" s="13"/>
      <x:c r="CC454" s="13"/>
      <x:c r="CD454" s="13"/>
      <x:c r="CE454" s="13"/>
      <x:c r="CF454" s="13"/>
      <x:c r="CG454" s="13"/>
    </x:row>
    <x:row r="455" ht="14.25" customHeight="1">
      <x:c r="AA455" s="3"/>
      <x:c r="AF455" s="3"/>
      <x:c r="AG455" s="3"/>
      <x:c r="AH455" s="3"/>
      <x:c r="AI455" s="3"/>
      <x:c r="AJ455" s="3"/>
      <x:c r="AK455" s="3"/>
      <x:c r="AL455" s="3"/>
      <x:c r="AM455" s="3"/>
      <x:c r="AT455" s="3"/>
      <x:c r="AU455" s="3"/>
      <x:c r="AV455" s="3"/>
      <x:c r="AW455" s="3"/>
      <x:c r="AX455" s="3"/>
      <x:c r="AY455" s="3"/>
      <x:c r="AZ455" s="3"/>
      <x:c r="BA455" s="3"/>
      <x:c r="BC455" s="3"/>
      <x:c r="BD455" s="3"/>
      <x:c r="BE455" s="3"/>
      <x:c r="BF455" s="3"/>
      <x:c r="BG455" s="3"/>
      <x:c r="BH455" s="13"/>
      <x:c r="BI455" s="13"/>
      <x:c r="BJ455" s="13"/>
      <x:c r="BK455" s="13"/>
      <x:c r="BL455" s="13"/>
      <x:c r="BM455" s="13"/>
      <x:c r="BN455" s="13"/>
      <x:c r="BO455" s="13"/>
      <x:c r="BP455" s="13"/>
      <x:c r="BQ455" s="13"/>
      <x:c r="BR455" s="13"/>
      <x:c r="BS455" s="13"/>
      <x:c r="BT455" s="13"/>
      <x:c r="BU455" s="13"/>
      <x:c r="BV455" s="13"/>
      <x:c r="BW455" s="13"/>
      <x:c r="BX455" s="13"/>
      <x:c r="BY455" s="13"/>
      <x:c r="BZ455" s="13"/>
      <x:c r="CA455" s="13"/>
      <x:c r="CB455" s="13"/>
      <x:c r="CC455" s="13"/>
      <x:c r="CD455" s="13"/>
      <x:c r="CE455" s="13"/>
      <x:c r="CF455" s="13"/>
      <x:c r="CG455" s="13"/>
    </x:row>
    <x:row r="456" ht="14.25" customHeight="1">
      <x:c r="AA456" s="3"/>
      <x:c r="AF456" s="3"/>
      <x:c r="AG456" s="3"/>
      <x:c r="AH456" s="3"/>
      <x:c r="AI456" s="3"/>
      <x:c r="AJ456" s="3"/>
      <x:c r="AK456" s="3"/>
      <x:c r="AL456" s="3"/>
      <x:c r="AM456" s="3"/>
      <x:c r="AT456" s="3"/>
      <x:c r="AU456" s="3"/>
      <x:c r="AV456" s="3"/>
      <x:c r="AW456" s="3"/>
      <x:c r="AX456" s="3"/>
      <x:c r="AY456" s="3"/>
      <x:c r="AZ456" s="3"/>
      <x:c r="BA456" s="3"/>
      <x:c r="BC456" s="3"/>
      <x:c r="BD456" s="3"/>
      <x:c r="BE456" s="3"/>
      <x:c r="BF456" s="3"/>
      <x:c r="BG456" s="3"/>
      <x:c r="BH456" s="13"/>
      <x:c r="BI456" s="13"/>
      <x:c r="BJ456" s="13"/>
      <x:c r="BK456" s="13"/>
      <x:c r="BL456" s="13"/>
      <x:c r="BM456" s="13"/>
      <x:c r="BN456" s="13"/>
      <x:c r="BO456" s="13"/>
      <x:c r="BP456" s="13"/>
      <x:c r="BQ456" s="13"/>
      <x:c r="BR456" s="13"/>
      <x:c r="BS456" s="13"/>
      <x:c r="BT456" s="13"/>
      <x:c r="BU456" s="13"/>
      <x:c r="BV456" s="13"/>
      <x:c r="BW456" s="13"/>
      <x:c r="BX456" s="13"/>
      <x:c r="BY456" s="13"/>
      <x:c r="BZ456" s="13"/>
      <x:c r="CA456" s="13"/>
      <x:c r="CB456" s="13"/>
      <x:c r="CC456" s="13"/>
      <x:c r="CD456" s="13"/>
      <x:c r="CE456" s="13"/>
      <x:c r="CF456" s="13"/>
      <x:c r="CG456" s="13"/>
    </x:row>
    <x:row r="457" ht="14.25" customHeight="1">
      <x:c r="AA457" s="3"/>
      <x:c r="AF457" s="3"/>
      <x:c r="AG457" s="3"/>
      <x:c r="AH457" s="3"/>
      <x:c r="AI457" s="3"/>
      <x:c r="AJ457" s="3"/>
      <x:c r="AK457" s="3"/>
      <x:c r="AL457" s="3"/>
      <x:c r="AM457" s="3"/>
      <x:c r="AT457" s="3"/>
      <x:c r="AU457" s="3"/>
      <x:c r="AV457" s="3"/>
      <x:c r="AW457" s="3"/>
      <x:c r="AX457" s="3"/>
      <x:c r="AY457" s="3"/>
      <x:c r="AZ457" s="3"/>
      <x:c r="BA457" s="3"/>
      <x:c r="BC457" s="3"/>
      <x:c r="BD457" s="3"/>
      <x:c r="BE457" s="3"/>
      <x:c r="BF457" s="3"/>
      <x:c r="BG457" s="3"/>
      <x:c r="BH457" s="13"/>
      <x:c r="BI457" s="13"/>
      <x:c r="BJ457" s="13"/>
      <x:c r="BK457" s="13"/>
      <x:c r="BL457" s="13"/>
      <x:c r="BM457" s="13"/>
      <x:c r="BN457" s="13"/>
      <x:c r="BO457" s="13"/>
      <x:c r="BP457" s="13"/>
      <x:c r="BQ457" s="13"/>
      <x:c r="BR457" s="13"/>
      <x:c r="BS457" s="13"/>
      <x:c r="BT457" s="13"/>
      <x:c r="BU457" s="13"/>
      <x:c r="BV457" s="13"/>
      <x:c r="BW457" s="13"/>
      <x:c r="BX457" s="13"/>
      <x:c r="BY457" s="13"/>
      <x:c r="BZ457" s="13"/>
      <x:c r="CA457" s="13"/>
      <x:c r="CB457" s="13"/>
      <x:c r="CC457" s="13"/>
      <x:c r="CD457" s="13"/>
      <x:c r="CE457" s="13"/>
      <x:c r="CF457" s="13"/>
      <x:c r="CG457" s="13"/>
    </x:row>
    <x:row r="458" ht="14.25" customHeight="1">
      <x:c r="AA458" s="3"/>
      <x:c r="AF458" s="3"/>
      <x:c r="AG458" s="3"/>
      <x:c r="AH458" s="3"/>
      <x:c r="AI458" s="3"/>
      <x:c r="AJ458" s="3"/>
      <x:c r="AK458" s="3"/>
      <x:c r="AL458" s="3"/>
      <x:c r="AM458" s="3"/>
      <x:c r="AT458" s="3"/>
      <x:c r="AU458" s="3"/>
      <x:c r="AV458" s="3"/>
      <x:c r="AW458" s="3"/>
      <x:c r="AX458" s="3"/>
      <x:c r="AY458" s="3"/>
      <x:c r="AZ458" s="3"/>
      <x:c r="BA458" s="3"/>
      <x:c r="BC458" s="3"/>
      <x:c r="BD458" s="3"/>
      <x:c r="BE458" s="3"/>
      <x:c r="BF458" s="3"/>
      <x:c r="BG458" s="3"/>
      <x:c r="BH458" s="13"/>
      <x:c r="BI458" s="13"/>
      <x:c r="BJ458" s="13"/>
      <x:c r="BK458" s="13"/>
      <x:c r="BL458" s="13"/>
      <x:c r="BM458" s="13"/>
      <x:c r="BN458" s="13"/>
      <x:c r="BO458" s="13"/>
      <x:c r="BP458" s="13"/>
      <x:c r="BQ458" s="13"/>
      <x:c r="BR458" s="13"/>
      <x:c r="BS458" s="13"/>
      <x:c r="BT458" s="13"/>
      <x:c r="BU458" s="13"/>
      <x:c r="BV458" s="13"/>
      <x:c r="BW458" s="13"/>
      <x:c r="BX458" s="13"/>
      <x:c r="BY458" s="13"/>
      <x:c r="BZ458" s="13"/>
      <x:c r="CA458" s="13"/>
      <x:c r="CB458" s="13"/>
      <x:c r="CC458" s="13"/>
      <x:c r="CD458" s="13"/>
      <x:c r="CE458" s="13"/>
      <x:c r="CF458" s="13"/>
      <x:c r="CG458" s="13"/>
    </x:row>
    <x:row r="459" ht="14.25" customHeight="1">
      <x:c r="AA459" s="3"/>
      <x:c r="AF459" s="3"/>
      <x:c r="AG459" s="3"/>
      <x:c r="AH459" s="3"/>
      <x:c r="AI459" s="3"/>
      <x:c r="AJ459" s="3"/>
      <x:c r="AK459" s="3"/>
      <x:c r="AL459" s="3"/>
      <x:c r="AM459" s="3"/>
      <x:c r="AT459" s="3"/>
      <x:c r="AU459" s="3"/>
      <x:c r="AV459" s="3"/>
      <x:c r="AW459" s="3"/>
      <x:c r="AX459" s="3"/>
      <x:c r="AY459" s="3"/>
      <x:c r="AZ459" s="3"/>
      <x:c r="BA459" s="3"/>
      <x:c r="BC459" s="3"/>
      <x:c r="BD459" s="3"/>
      <x:c r="BE459" s="3"/>
      <x:c r="BF459" s="3"/>
      <x:c r="BG459" s="3"/>
      <x:c r="BH459" s="13"/>
      <x:c r="BI459" s="13"/>
      <x:c r="BJ459" s="13"/>
      <x:c r="BK459" s="13"/>
      <x:c r="BL459" s="13"/>
      <x:c r="BM459" s="13"/>
      <x:c r="BN459" s="13"/>
      <x:c r="BO459" s="13"/>
      <x:c r="BP459" s="13"/>
      <x:c r="BQ459" s="13"/>
      <x:c r="BR459" s="13"/>
      <x:c r="BS459" s="13"/>
      <x:c r="BT459" s="13"/>
      <x:c r="BU459" s="13"/>
      <x:c r="BV459" s="13"/>
      <x:c r="BW459" s="13"/>
      <x:c r="BX459" s="13"/>
      <x:c r="BY459" s="13"/>
      <x:c r="BZ459" s="13"/>
      <x:c r="CA459" s="13"/>
      <x:c r="CB459" s="13"/>
      <x:c r="CC459" s="13"/>
      <x:c r="CD459" s="13"/>
      <x:c r="CE459" s="13"/>
      <x:c r="CF459" s="13"/>
      <x:c r="CG459" s="13"/>
    </x:row>
    <x:row r="460" ht="14.25" customHeight="1">
      <x:c r="AA460" s="3"/>
      <x:c r="AF460" s="3"/>
      <x:c r="AG460" s="3"/>
      <x:c r="AH460" s="3"/>
      <x:c r="AI460" s="3"/>
      <x:c r="AJ460" s="3"/>
      <x:c r="AK460" s="3"/>
      <x:c r="AL460" s="3"/>
      <x:c r="AM460" s="3"/>
      <x:c r="AT460" s="3"/>
      <x:c r="AU460" s="3"/>
      <x:c r="AV460" s="3"/>
      <x:c r="AW460" s="3"/>
      <x:c r="AX460" s="3"/>
      <x:c r="AY460" s="3"/>
      <x:c r="AZ460" s="3"/>
      <x:c r="BA460" s="3"/>
      <x:c r="BC460" s="3"/>
      <x:c r="BD460" s="3"/>
      <x:c r="BE460" s="3"/>
      <x:c r="BF460" s="3"/>
      <x:c r="BG460" s="3"/>
      <x:c r="BH460" s="13"/>
      <x:c r="BI460" s="13"/>
      <x:c r="BJ460" s="13"/>
      <x:c r="BK460" s="13"/>
      <x:c r="BL460" s="13"/>
      <x:c r="BM460" s="13"/>
      <x:c r="BN460" s="13"/>
      <x:c r="BO460" s="13"/>
      <x:c r="BP460" s="13"/>
      <x:c r="BQ460" s="13"/>
      <x:c r="BR460" s="13"/>
      <x:c r="BS460" s="13"/>
      <x:c r="BT460" s="13"/>
      <x:c r="BU460" s="13"/>
      <x:c r="BV460" s="13"/>
      <x:c r="BW460" s="13"/>
      <x:c r="BX460" s="13"/>
      <x:c r="BY460" s="13"/>
      <x:c r="BZ460" s="13"/>
      <x:c r="CA460" s="13"/>
      <x:c r="CB460" s="13"/>
      <x:c r="CC460" s="13"/>
      <x:c r="CD460" s="13"/>
      <x:c r="CE460" s="13"/>
      <x:c r="CF460" s="13"/>
      <x:c r="CG460" s="13"/>
    </x:row>
    <x:row r="461" ht="14.25" customHeight="1">
      <x:c r="AA461" s="3"/>
      <x:c r="AF461" s="3"/>
      <x:c r="AG461" s="3"/>
      <x:c r="AH461" s="3"/>
      <x:c r="AI461" s="3"/>
      <x:c r="AJ461" s="3"/>
      <x:c r="AK461" s="3"/>
      <x:c r="AL461" s="3"/>
      <x:c r="AM461" s="3"/>
      <x:c r="AT461" s="3"/>
      <x:c r="AU461" s="3"/>
      <x:c r="AV461" s="3"/>
      <x:c r="AW461" s="3"/>
      <x:c r="AX461" s="3"/>
      <x:c r="AY461" s="3"/>
      <x:c r="AZ461" s="3"/>
      <x:c r="BA461" s="3"/>
      <x:c r="BC461" s="3"/>
      <x:c r="BD461" s="3"/>
      <x:c r="BE461" s="3"/>
      <x:c r="BF461" s="3"/>
      <x:c r="BG461" s="3"/>
      <x:c r="BH461" s="13"/>
      <x:c r="BI461" s="13"/>
      <x:c r="BJ461" s="13"/>
      <x:c r="BK461" s="13"/>
      <x:c r="BL461" s="13"/>
      <x:c r="BM461" s="13"/>
      <x:c r="BN461" s="13"/>
      <x:c r="BO461" s="13"/>
      <x:c r="BP461" s="13"/>
      <x:c r="BQ461" s="13"/>
      <x:c r="BR461" s="13"/>
      <x:c r="BS461" s="13"/>
      <x:c r="BT461" s="13"/>
      <x:c r="BU461" s="13"/>
      <x:c r="BV461" s="13"/>
      <x:c r="BW461" s="13"/>
      <x:c r="BX461" s="13"/>
      <x:c r="BY461" s="13"/>
      <x:c r="BZ461" s="13"/>
      <x:c r="CA461" s="13"/>
      <x:c r="CB461" s="13"/>
      <x:c r="CC461" s="13"/>
      <x:c r="CD461" s="13"/>
      <x:c r="CE461" s="13"/>
      <x:c r="CF461" s="13"/>
      <x:c r="CG461" s="13"/>
    </x:row>
    <x:row r="462" ht="14.25" customHeight="1">
      <x:c r="AA462" s="3"/>
      <x:c r="AF462" s="3"/>
      <x:c r="AG462" s="3"/>
      <x:c r="AH462" s="3"/>
      <x:c r="AI462" s="3"/>
      <x:c r="AJ462" s="3"/>
      <x:c r="AK462" s="3"/>
      <x:c r="AL462" s="3"/>
      <x:c r="AM462" s="3"/>
      <x:c r="AT462" s="3"/>
      <x:c r="AU462" s="3"/>
      <x:c r="AV462" s="3"/>
      <x:c r="AW462" s="3"/>
      <x:c r="AX462" s="3"/>
      <x:c r="AY462" s="3"/>
      <x:c r="AZ462" s="3"/>
      <x:c r="BA462" s="3"/>
      <x:c r="BC462" s="3"/>
      <x:c r="BD462" s="3"/>
      <x:c r="BE462" s="3"/>
      <x:c r="BF462" s="3"/>
      <x:c r="BG462" s="3"/>
      <x:c r="BH462" s="13"/>
      <x:c r="BI462" s="13"/>
      <x:c r="BJ462" s="13"/>
      <x:c r="BK462" s="13"/>
      <x:c r="BL462" s="13"/>
      <x:c r="BM462" s="13"/>
      <x:c r="BN462" s="13"/>
      <x:c r="BO462" s="13"/>
      <x:c r="BP462" s="13"/>
      <x:c r="BQ462" s="13"/>
      <x:c r="BR462" s="13"/>
      <x:c r="BS462" s="13"/>
      <x:c r="BT462" s="13"/>
      <x:c r="BU462" s="13"/>
      <x:c r="BV462" s="13"/>
      <x:c r="BW462" s="13"/>
      <x:c r="BX462" s="13"/>
      <x:c r="BY462" s="13"/>
      <x:c r="BZ462" s="13"/>
      <x:c r="CA462" s="13"/>
      <x:c r="CB462" s="13"/>
      <x:c r="CC462" s="13"/>
      <x:c r="CD462" s="13"/>
      <x:c r="CE462" s="13"/>
      <x:c r="CF462" s="13"/>
      <x:c r="CG462" s="13"/>
    </x:row>
    <x:row r="463" ht="14.25" customHeight="1">
      <x:c r="AA463" s="3"/>
      <x:c r="AF463" s="3"/>
      <x:c r="AG463" s="3"/>
      <x:c r="AH463" s="3"/>
      <x:c r="AI463" s="3"/>
      <x:c r="AJ463" s="3"/>
      <x:c r="AK463" s="3"/>
      <x:c r="AL463" s="3"/>
      <x:c r="AM463" s="3"/>
      <x:c r="AT463" s="3"/>
      <x:c r="AU463" s="3"/>
      <x:c r="AV463" s="3"/>
      <x:c r="AW463" s="3"/>
      <x:c r="AX463" s="3"/>
      <x:c r="AY463" s="3"/>
      <x:c r="AZ463" s="3"/>
      <x:c r="BA463" s="3"/>
      <x:c r="BC463" s="3"/>
      <x:c r="BD463" s="3"/>
      <x:c r="BE463" s="3"/>
      <x:c r="BF463" s="3"/>
      <x:c r="BG463" s="3"/>
      <x:c r="BH463" s="13"/>
      <x:c r="BI463" s="13"/>
      <x:c r="BJ463" s="13"/>
      <x:c r="BK463" s="13"/>
      <x:c r="BL463" s="13"/>
      <x:c r="BM463" s="13"/>
      <x:c r="BN463" s="13"/>
      <x:c r="BO463" s="13"/>
      <x:c r="BP463" s="13"/>
      <x:c r="BQ463" s="13"/>
      <x:c r="BR463" s="13"/>
      <x:c r="BS463" s="13"/>
      <x:c r="BT463" s="13"/>
      <x:c r="BU463" s="13"/>
      <x:c r="BV463" s="13"/>
      <x:c r="BW463" s="13"/>
      <x:c r="BX463" s="13"/>
      <x:c r="BY463" s="13"/>
      <x:c r="BZ463" s="13"/>
      <x:c r="CA463" s="13"/>
      <x:c r="CB463" s="13"/>
      <x:c r="CC463" s="13"/>
      <x:c r="CD463" s="13"/>
      <x:c r="CE463" s="13"/>
      <x:c r="CF463" s="13"/>
      <x:c r="CG463" s="13"/>
    </x:row>
    <x:row r="464" ht="14.25" customHeight="1">
      <x:c r="AA464" s="3"/>
      <x:c r="AF464" s="3"/>
      <x:c r="AG464" s="3"/>
      <x:c r="AH464" s="3"/>
      <x:c r="AI464" s="3"/>
      <x:c r="AJ464" s="3"/>
      <x:c r="AK464" s="3"/>
      <x:c r="AL464" s="3"/>
      <x:c r="AM464" s="3"/>
      <x:c r="AT464" s="3"/>
      <x:c r="AU464" s="3"/>
      <x:c r="AV464" s="3"/>
      <x:c r="AW464" s="3"/>
      <x:c r="AX464" s="3"/>
      <x:c r="AY464" s="3"/>
      <x:c r="AZ464" s="3"/>
      <x:c r="BA464" s="3"/>
      <x:c r="BC464" s="3"/>
      <x:c r="BD464" s="3"/>
      <x:c r="BE464" s="3"/>
      <x:c r="BF464" s="3"/>
      <x:c r="BG464" s="3"/>
      <x:c r="BH464" s="13"/>
      <x:c r="BI464" s="13"/>
      <x:c r="BJ464" s="13"/>
      <x:c r="BK464" s="13"/>
      <x:c r="BL464" s="13"/>
      <x:c r="BM464" s="13"/>
      <x:c r="BN464" s="13"/>
      <x:c r="BO464" s="13"/>
      <x:c r="BP464" s="13"/>
      <x:c r="BQ464" s="13"/>
      <x:c r="BR464" s="13"/>
      <x:c r="BS464" s="13"/>
      <x:c r="BT464" s="13"/>
      <x:c r="BU464" s="13"/>
      <x:c r="BV464" s="13"/>
      <x:c r="BW464" s="13"/>
      <x:c r="BX464" s="13"/>
      <x:c r="BY464" s="13"/>
      <x:c r="BZ464" s="13"/>
      <x:c r="CA464" s="13"/>
      <x:c r="CB464" s="13"/>
      <x:c r="CC464" s="13"/>
      <x:c r="CD464" s="13"/>
      <x:c r="CE464" s="13"/>
      <x:c r="CF464" s="13"/>
      <x:c r="CG464" s="13"/>
    </x:row>
    <x:row r="465" ht="14.25" customHeight="1">
      <x:c r="AA465" s="3"/>
      <x:c r="AF465" s="3"/>
      <x:c r="AG465" s="3"/>
      <x:c r="AH465" s="3"/>
      <x:c r="AI465" s="3"/>
      <x:c r="AJ465" s="3"/>
      <x:c r="AK465" s="3"/>
      <x:c r="AL465" s="3"/>
      <x:c r="AM465" s="3"/>
      <x:c r="AT465" s="3"/>
      <x:c r="AU465" s="3"/>
      <x:c r="AV465" s="3"/>
      <x:c r="AW465" s="3"/>
      <x:c r="AX465" s="3"/>
      <x:c r="AY465" s="3"/>
      <x:c r="AZ465" s="3"/>
      <x:c r="BA465" s="3"/>
      <x:c r="BC465" s="3"/>
      <x:c r="BD465" s="3"/>
      <x:c r="BE465" s="3"/>
      <x:c r="BF465" s="3"/>
      <x:c r="BG465" s="3"/>
      <x:c r="BH465" s="13"/>
      <x:c r="BI465" s="13"/>
      <x:c r="BJ465" s="13"/>
      <x:c r="BK465" s="13"/>
      <x:c r="BL465" s="13"/>
      <x:c r="BM465" s="13"/>
      <x:c r="BN465" s="13"/>
      <x:c r="BO465" s="13"/>
      <x:c r="BP465" s="13"/>
      <x:c r="BQ465" s="13"/>
      <x:c r="BR465" s="13"/>
      <x:c r="BS465" s="13"/>
      <x:c r="BT465" s="13"/>
      <x:c r="BU465" s="13"/>
      <x:c r="BV465" s="13"/>
      <x:c r="BW465" s="13"/>
      <x:c r="BX465" s="13"/>
      <x:c r="BY465" s="13"/>
      <x:c r="BZ465" s="13"/>
      <x:c r="CA465" s="13"/>
      <x:c r="CB465" s="13"/>
      <x:c r="CC465" s="13"/>
      <x:c r="CD465" s="13"/>
      <x:c r="CE465" s="13"/>
      <x:c r="CF465" s="13"/>
      <x:c r="CG465" s="13"/>
    </x:row>
    <x:row r="466" ht="14.25" customHeight="1">
      <x:c r="AA466" s="3"/>
      <x:c r="AF466" s="3"/>
      <x:c r="AG466" s="3"/>
      <x:c r="AH466" s="3"/>
      <x:c r="AI466" s="3"/>
      <x:c r="AJ466" s="3"/>
      <x:c r="AK466" s="3"/>
      <x:c r="AL466" s="3"/>
      <x:c r="AM466" s="3"/>
      <x:c r="AT466" s="3"/>
      <x:c r="AU466" s="3"/>
      <x:c r="AV466" s="3"/>
      <x:c r="AW466" s="3"/>
      <x:c r="AX466" s="3"/>
      <x:c r="AY466" s="3"/>
      <x:c r="AZ466" s="3"/>
      <x:c r="BA466" s="3"/>
      <x:c r="BC466" s="3"/>
      <x:c r="BD466" s="3"/>
      <x:c r="BE466" s="3"/>
      <x:c r="BF466" s="3"/>
      <x:c r="BG466" s="3"/>
      <x:c r="BH466" s="13"/>
      <x:c r="BI466" s="13"/>
      <x:c r="BJ466" s="13"/>
      <x:c r="BK466" s="13"/>
      <x:c r="BL466" s="13"/>
      <x:c r="BM466" s="13"/>
      <x:c r="BN466" s="13"/>
      <x:c r="BO466" s="13"/>
      <x:c r="BP466" s="13"/>
      <x:c r="BQ466" s="13"/>
      <x:c r="BR466" s="13"/>
      <x:c r="BS466" s="13"/>
      <x:c r="BT466" s="13"/>
      <x:c r="BU466" s="13"/>
      <x:c r="BV466" s="13"/>
      <x:c r="BW466" s="13"/>
      <x:c r="BX466" s="13"/>
      <x:c r="BY466" s="13"/>
      <x:c r="BZ466" s="13"/>
      <x:c r="CA466" s="13"/>
      <x:c r="CB466" s="13"/>
      <x:c r="CC466" s="13"/>
      <x:c r="CD466" s="13"/>
      <x:c r="CE466" s="13"/>
      <x:c r="CF466" s="13"/>
      <x:c r="CG466" s="13"/>
    </x:row>
    <x:row r="467" ht="14.25" customHeight="1">
      <x:c r="AA467" s="3"/>
      <x:c r="AF467" s="3"/>
      <x:c r="AG467" s="3"/>
      <x:c r="AH467" s="3"/>
      <x:c r="AI467" s="3"/>
      <x:c r="AJ467" s="3"/>
      <x:c r="AK467" s="3"/>
      <x:c r="AL467" s="3"/>
      <x:c r="AM467" s="3"/>
      <x:c r="AT467" s="3"/>
      <x:c r="AU467" s="3"/>
      <x:c r="AV467" s="3"/>
      <x:c r="AW467" s="3"/>
      <x:c r="AX467" s="3"/>
      <x:c r="AY467" s="3"/>
      <x:c r="AZ467" s="3"/>
      <x:c r="BA467" s="3"/>
      <x:c r="BC467" s="3"/>
      <x:c r="BD467" s="3"/>
      <x:c r="BE467" s="3"/>
      <x:c r="BF467" s="3"/>
      <x:c r="BG467" s="3"/>
      <x:c r="BH467" s="13"/>
      <x:c r="BI467" s="13"/>
      <x:c r="BJ467" s="13"/>
      <x:c r="BK467" s="13"/>
      <x:c r="BL467" s="13"/>
      <x:c r="BM467" s="13"/>
      <x:c r="BN467" s="13"/>
      <x:c r="BO467" s="13"/>
      <x:c r="BP467" s="13"/>
      <x:c r="BQ467" s="13"/>
      <x:c r="BR467" s="13"/>
      <x:c r="BS467" s="13"/>
      <x:c r="BT467" s="13"/>
      <x:c r="BU467" s="13"/>
      <x:c r="BV467" s="13"/>
      <x:c r="BW467" s="13"/>
      <x:c r="BX467" s="13"/>
      <x:c r="BY467" s="13"/>
      <x:c r="BZ467" s="13"/>
      <x:c r="CA467" s="13"/>
      <x:c r="CB467" s="13"/>
      <x:c r="CC467" s="13"/>
      <x:c r="CD467" s="13"/>
      <x:c r="CE467" s="13"/>
      <x:c r="CF467" s="13"/>
      <x:c r="CG467" s="13"/>
    </x:row>
    <x:row r="468" ht="14.25" customHeight="1">
      <x:c r="AA468" s="3"/>
      <x:c r="AF468" s="3"/>
      <x:c r="AG468" s="3"/>
      <x:c r="AH468" s="3"/>
      <x:c r="AI468" s="3"/>
      <x:c r="AJ468" s="3"/>
      <x:c r="AK468" s="3"/>
      <x:c r="AL468" s="3"/>
      <x:c r="AM468" s="3"/>
      <x:c r="AT468" s="3"/>
      <x:c r="AU468" s="3"/>
      <x:c r="AV468" s="3"/>
      <x:c r="AW468" s="3"/>
      <x:c r="AX468" s="3"/>
      <x:c r="AY468" s="3"/>
      <x:c r="AZ468" s="3"/>
      <x:c r="BA468" s="3"/>
      <x:c r="BC468" s="3"/>
      <x:c r="BD468" s="3"/>
      <x:c r="BE468" s="3"/>
      <x:c r="BF468" s="3"/>
      <x:c r="BG468" s="3"/>
      <x:c r="BH468" s="13"/>
      <x:c r="BI468" s="13"/>
      <x:c r="BJ468" s="13"/>
      <x:c r="BK468" s="13"/>
      <x:c r="BL468" s="13"/>
      <x:c r="BM468" s="13"/>
      <x:c r="BN468" s="13"/>
      <x:c r="BO468" s="13"/>
      <x:c r="BP468" s="13"/>
      <x:c r="BQ468" s="13"/>
      <x:c r="BR468" s="13"/>
      <x:c r="BS468" s="13"/>
      <x:c r="BT468" s="13"/>
      <x:c r="BU468" s="13"/>
      <x:c r="BV468" s="13"/>
      <x:c r="BW468" s="13"/>
      <x:c r="BX468" s="13"/>
      <x:c r="BY468" s="13"/>
      <x:c r="BZ468" s="13"/>
      <x:c r="CA468" s="13"/>
      <x:c r="CB468" s="13"/>
      <x:c r="CC468" s="13"/>
      <x:c r="CD468" s="13"/>
      <x:c r="CE468" s="13"/>
      <x:c r="CF468" s="13"/>
      <x:c r="CG468" s="13"/>
    </x:row>
    <x:row r="469" ht="14.25" customHeight="1">
      <x:c r="AA469" s="3"/>
      <x:c r="AF469" s="3"/>
      <x:c r="AG469" s="3"/>
      <x:c r="AH469" s="3"/>
      <x:c r="AI469" s="3"/>
      <x:c r="AJ469" s="3"/>
      <x:c r="AK469" s="3"/>
      <x:c r="AL469" s="3"/>
      <x:c r="AM469" s="3"/>
      <x:c r="AT469" s="3"/>
      <x:c r="AU469" s="3"/>
      <x:c r="AV469" s="3"/>
      <x:c r="AW469" s="3"/>
      <x:c r="AX469" s="3"/>
      <x:c r="AY469" s="3"/>
      <x:c r="AZ469" s="3"/>
      <x:c r="BA469" s="3"/>
      <x:c r="BC469" s="3"/>
      <x:c r="BD469" s="3"/>
      <x:c r="BE469" s="3"/>
      <x:c r="BF469" s="3"/>
      <x:c r="BG469" s="3"/>
      <x:c r="BH469" s="13"/>
      <x:c r="BI469" s="13"/>
      <x:c r="BJ469" s="13"/>
      <x:c r="BK469" s="13"/>
      <x:c r="BL469" s="13"/>
      <x:c r="BM469" s="13"/>
      <x:c r="BN469" s="13"/>
      <x:c r="BO469" s="13"/>
      <x:c r="BP469" s="13"/>
      <x:c r="BQ469" s="13"/>
      <x:c r="BR469" s="13"/>
      <x:c r="BS469" s="13"/>
      <x:c r="BT469" s="13"/>
      <x:c r="BU469" s="13"/>
      <x:c r="BV469" s="13"/>
      <x:c r="BW469" s="13"/>
      <x:c r="BX469" s="13"/>
      <x:c r="BY469" s="13"/>
      <x:c r="BZ469" s="13"/>
      <x:c r="CA469" s="13"/>
      <x:c r="CB469" s="13"/>
      <x:c r="CC469" s="13"/>
      <x:c r="CD469" s="13"/>
      <x:c r="CE469" s="13"/>
      <x:c r="CF469" s="13"/>
      <x:c r="CG469" s="13"/>
    </x:row>
    <x:row r="470" ht="14.25" customHeight="1">
      <x:c r="AA470" s="3"/>
      <x:c r="AF470" s="3"/>
      <x:c r="AG470" s="3"/>
      <x:c r="AH470" s="3"/>
      <x:c r="AI470" s="3"/>
      <x:c r="AJ470" s="3"/>
      <x:c r="AK470" s="3"/>
      <x:c r="AL470" s="3"/>
      <x:c r="AM470" s="3"/>
      <x:c r="AT470" s="3"/>
      <x:c r="AU470" s="3"/>
      <x:c r="AV470" s="3"/>
      <x:c r="AW470" s="3"/>
      <x:c r="AX470" s="3"/>
      <x:c r="AY470" s="3"/>
      <x:c r="AZ470" s="3"/>
      <x:c r="BA470" s="3"/>
      <x:c r="BC470" s="3"/>
      <x:c r="BD470" s="3"/>
      <x:c r="BE470" s="3"/>
      <x:c r="BF470" s="3"/>
      <x:c r="BG470" s="3"/>
      <x:c r="BH470" s="13"/>
      <x:c r="BI470" s="13"/>
      <x:c r="BJ470" s="13"/>
      <x:c r="BK470" s="13"/>
      <x:c r="BL470" s="13"/>
      <x:c r="BM470" s="13"/>
      <x:c r="BN470" s="13"/>
      <x:c r="BO470" s="13"/>
      <x:c r="BP470" s="13"/>
      <x:c r="BQ470" s="13"/>
      <x:c r="BR470" s="13"/>
      <x:c r="BS470" s="13"/>
      <x:c r="BT470" s="13"/>
      <x:c r="BU470" s="13"/>
      <x:c r="BV470" s="13"/>
      <x:c r="BW470" s="13"/>
      <x:c r="BX470" s="13"/>
      <x:c r="BY470" s="13"/>
      <x:c r="BZ470" s="13"/>
      <x:c r="CA470" s="13"/>
      <x:c r="CB470" s="13"/>
      <x:c r="CC470" s="13"/>
      <x:c r="CD470" s="13"/>
      <x:c r="CE470" s="13"/>
      <x:c r="CF470" s="13"/>
      <x:c r="CG470" s="13"/>
    </x:row>
    <x:row r="471" ht="14.25" customHeight="1">
      <x:c r="AA471" s="3"/>
      <x:c r="AF471" s="3"/>
      <x:c r="AG471" s="3"/>
      <x:c r="AH471" s="3"/>
      <x:c r="AI471" s="3"/>
      <x:c r="AJ471" s="3"/>
      <x:c r="AK471" s="3"/>
      <x:c r="AL471" s="3"/>
      <x:c r="AM471" s="3"/>
      <x:c r="AT471" s="3"/>
      <x:c r="AU471" s="3"/>
      <x:c r="AV471" s="3"/>
      <x:c r="AW471" s="3"/>
      <x:c r="AX471" s="3"/>
      <x:c r="AY471" s="3"/>
      <x:c r="AZ471" s="3"/>
      <x:c r="BA471" s="3"/>
      <x:c r="BC471" s="3"/>
      <x:c r="BD471" s="3"/>
      <x:c r="BE471" s="3"/>
      <x:c r="BF471" s="3"/>
      <x:c r="BG471" s="3"/>
      <x:c r="BH471" s="13"/>
      <x:c r="BI471" s="13"/>
      <x:c r="BJ471" s="13"/>
      <x:c r="BK471" s="13"/>
      <x:c r="BL471" s="13"/>
      <x:c r="BM471" s="13"/>
      <x:c r="BN471" s="13"/>
      <x:c r="BO471" s="13"/>
      <x:c r="BP471" s="13"/>
      <x:c r="BQ471" s="13"/>
      <x:c r="BR471" s="13"/>
      <x:c r="BS471" s="13"/>
      <x:c r="BT471" s="13"/>
      <x:c r="BU471" s="13"/>
      <x:c r="BV471" s="13"/>
      <x:c r="BW471" s="13"/>
      <x:c r="BX471" s="13"/>
      <x:c r="BY471" s="13"/>
      <x:c r="BZ471" s="13"/>
      <x:c r="CA471" s="13"/>
      <x:c r="CB471" s="13"/>
      <x:c r="CC471" s="13"/>
      <x:c r="CD471" s="13"/>
      <x:c r="CE471" s="13"/>
      <x:c r="CF471" s="13"/>
      <x:c r="CG471" s="13"/>
    </x:row>
    <x:row r="472" ht="14.25" customHeight="1">
      <x:c r="AA472" s="3"/>
      <x:c r="AF472" s="3"/>
      <x:c r="AG472" s="3"/>
      <x:c r="AH472" s="3"/>
      <x:c r="AI472" s="3"/>
      <x:c r="AJ472" s="3"/>
      <x:c r="AK472" s="3"/>
      <x:c r="AL472" s="3"/>
      <x:c r="AM472" s="3"/>
      <x:c r="AT472" s="3"/>
      <x:c r="AU472" s="3"/>
      <x:c r="AV472" s="3"/>
      <x:c r="AW472" s="3"/>
      <x:c r="AX472" s="3"/>
      <x:c r="AY472" s="3"/>
      <x:c r="AZ472" s="3"/>
      <x:c r="BA472" s="3"/>
      <x:c r="BC472" s="3"/>
      <x:c r="BD472" s="3"/>
      <x:c r="BE472" s="3"/>
      <x:c r="BF472" s="3"/>
      <x:c r="BG472" s="3"/>
      <x:c r="BH472" s="13"/>
      <x:c r="BI472" s="13"/>
      <x:c r="BJ472" s="13"/>
      <x:c r="BK472" s="13"/>
      <x:c r="BL472" s="13"/>
      <x:c r="BM472" s="13"/>
      <x:c r="BN472" s="13"/>
      <x:c r="BO472" s="13"/>
      <x:c r="BP472" s="13"/>
      <x:c r="BQ472" s="13"/>
      <x:c r="BR472" s="13"/>
      <x:c r="BS472" s="13"/>
      <x:c r="BT472" s="13"/>
      <x:c r="BU472" s="13"/>
      <x:c r="BV472" s="13"/>
      <x:c r="BW472" s="13"/>
      <x:c r="BX472" s="13"/>
      <x:c r="BY472" s="13"/>
      <x:c r="BZ472" s="13"/>
      <x:c r="CA472" s="13"/>
      <x:c r="CB472" s="13"/>
      <x:c r="CC472" s="13"/>
      <x:c r="CD472" s="13"/>
      <x:c r="CE472" s="13"/>
      <x:c r="CF472" s="13"/>
      <x:c r="CG472" s="13"/>
    </x:row>
    <x:row r="473" ht="14.25" customHeight="1">
      <x:c r="AA473" s="3"/>
      <x:c r="AF473" s="3"/>
      <x:c r="AG473" s="3"/>
      <x:c r="AH473" s="3"/>
      <x:c r="AI473" s="3"/>
      <x:c r="AJ473" s="3"/>
      <x:c r="AK473" s="3"/>
      <x:c r="AL473" s="3"/>
      <x:c r="AM473" s="3"/>
      <x:c r="AT473" s="3"/>
      <x:c r="AU473" s="3"/>
      <x:c r="AV473" s="3"/>
      <x:c r="AW473" s="3"/>
      <x:c r="AX473" s="3"/>
      <x:c r="AY473" s="3"/>
      <x:c r="AZ473" s="3"/>
      <x:c r="BA473" s="3"/>
      <x:c r="BC473" s="3"/>
      <x:c r="BD473" s="3"/>
      <x:c r="BE473" s="3"/>
      <x:c r="BF473" s="3"/>
      <x:c r="BG473" s="3"/>
      <x:c r="BH473" s="13"/>
      <x:c r="BI473" s="13"/>
      <x:c r="BJ473" s="13"/>
      <x:c r="BK473" s="13"/>
      <x:c r="BL473" s="13"/>
      <x:c r="BM473" s="13"/>
      <x:c r="BN473" s="13"/>
      <x:c r="BO473" s="13"/>
      <x:c r="BP473" s="13"/>
      <x:c r="BQ473" s="13"/>
      <x:c r="BR473" s="13"/>
      <x:c r="BS473" s="13"/>
      <x:c r="BT473" s="13"/>
      <x:c r="BU473" s="13"/>
      <x:c r="BV473" s="13"/>
      <x:c r="BW473" s="13"/>
      <x:c r="BX473" s="13"/>
      <x:c r="BY473" s="13"/>
      <x:c r="BZ473" s="13"/>
      <x:c r="CA473" s="13"/>
      <x:c r="CB473" s="13"/>
      <x:c r="CC473" s="13"/>
      <x:c r="CD473" s="13"/>
      <x:c r="CE473" s="13"/>
      <x:c r="CF473" s="13"/>
      <x:c r="CG473" s="13"/>
    </x:row>
    <x:row r="474" ht="14.25" customHeight="1">
      <x:c r="AA474" s="3"/>
      <x:c r="AF474" s="3"/>
      <x:c r="AG474" s="3"/>
      <x:c r="AH474" s="3"/>
      <x:c r="AI474" s="3"/>
      <x:c r="AJ474" s="3"/>
      <x:c r="AK474" s="3"/>
      <x:c r="AL474" s="3"/>
      <x:c r="AM474" s="3"/>
      <x:c r="AT474" s="3"/>
      <x:c r="AU474" s="3"/>
      <x:c r="AV474" s="3"/>
      <x:c r="AW474" s="3"/>
      <x:c r="AX474" s="3"/>
      <x:c r="AY474" s="3"/>
      <x:c r="AZ474" s="3"/>
      <x:c r="BA474" s="3"/>
      <x:c r="BC474" s="3"/>
      <x:c r="BD474" s="3"/>
      <x:c r="BE474" s="3"/>
      <x:c r="BF474" s="3"/>
      <x:c r="BG474" s="3"/>
      <x:c r="BH474" s="13"/>
      <x:c r="BI474" s="13"/>
      <x:c r="BJ474" s="13"/>
      <x:c r="BK474" s="13"/>
      <x:c r="BL474" s="13"/>
      <x:c r="BM474" s="13"/>
      <x:c r="BN474" s="13"/>
      <x:c r="BO474" s="13"/>
      <x:c r="BP474" s="13"/>
      <x:c r="BQ474" s="13"/>
      <x:c r="BR474" s="13"/>
      <x:c r="BS474" s="13"/>
      <x:c r="BT474" s="13"/>
      <x:c r="BU474" s="13"/>
      <x:c r="BV474" s="13"/>
      <x:c r="BW474" s="13"/>
      <x:c r="BX474" s="13"/>
      <x:c r="BY474" s="13"/>
      <x:c r="BZ474" s="13"/>
      <x:c r="CA474" s="13"/>
      <x:c r="CB474" s="13"/>
      <x:c r="CC474" s="13"/>
      <x:c r="CD474" s="13"/>
      <x:c r="CE474" s="13"/>
      <x:c r="CF474" s="13"/>
      <x:c r="CG474" s="13"/>
    </x:row>
    <x:row r="475" ht="14.25" customHeight="1">
      <x:c r="AA475" s="3"/>
      <x:c r="AF475" s="3"/>
      <x:c r="AG475" s="3"/>
      <x:c r="AH475" s="3"/>
      <x:c r="AI475" s="3"/>
      <x:c r="AJ475" s="3"/>
      <x:c r="AK475" s="3"/>
      <x:c r="AL475" s="3"/>
      <x:c r="AM475" s="3"/>
      <x:c r="AT475" s="3"/>
      <x:c r="AU475" s="3"/>
      <x:c r="AV475" s="3"/>
      <x:c r="AW475" s="3"/>
      <x:c r="AX475" s="3"/>
      <x:c r="AY475" s="3"/>
      <x:c r="AZ475" s="3"/>
      <x:c r="BA475" s="3"/>
      <x:c r="BC475" s="3"/>
      <x:c r="BD475" s="3"/>
      <x:c r="BE475" s="3"/>
      <x:c r="BF475" s="3"/>
      <x:c r="BG475" s="3"/>
      <x:c r="BH475" s="13"/>
      <x:c r="BI475" s="13"/>
      <x:c r="BJ475" s="13"/>
      <x:c r="BK475" s="13"/>
      <x:c r="BL475" s="13"/>
      <x:c r="BM475" s="13"/>
      <x:c r="BN475" s="13"/>
      <x:c r="BO475" s="13"/>
      <x:c r="BP475" s="13"/>
      <x:c r="BQ475" s="13"/>
      <x:c r="BR475" s="13"/>
      <x:c r="BS475" s="13"/>
      <x:c r="BT475" s="13"/>
      <x:c r="BU475" s="13"/>
      <x:c r="BV475" s="13"/>
      <x:c r="BW475" s="13"/>
      <x:c r="BX475" s="13"/>
      <x:c r="BY475" s="13"/>
      <x:c r="BZ475" s="13"/>
      <x:c r="CA475" s="13"/>
      <x:c r="CB475" s="13"/>
      <x:c r="CC475" s="13"/>
      <x:c r="CD475" s="13"/>
      <x:c r="CE475" s="13"/>
      <x:c r="CF475" s="13"/>
      <x:c r="CG475" s="13"/>
    </x:row>
    <x:row r="476" ht="14.25" customHeight="1">
      <x:c r="AA476" s="3"/>
      <x:c r="AF476" s="3"/>
      <x:c r="AG476" s="3"/>
      <x:c r="AH476" s="3"/>
      <x:c r="AI476" s="3"/>
      <x:c r="AJ476" s="3"/>
      <x:c r="AK476" s="3"/>
      <x:c r="AL476" s="3"/>
      <x:c r="AM476" s="3"/>
      <x:c r="AT476" s="3"/>
      <x:c r="AU476" s="3"/>
      <x:c r="AV476" s="3"/>
      <x:c r="AW476" s="3"/>
      <x:c r="AX476" s="3"/>
      <x:c r="AY476" s="3"/>
      <x:c r="AZ476" s="3"/>
      <x:c r="BA476" s="3"/>
      <x:c r="BC476" s="3"/>
      <x:c r="BD476" s="3"/>
      <x:c r="BE476" s="3"/>
      <x:c r="BF476" s="3"/>
      <x:c r="BG476" s="3"/>
      <x:c r="BH476" s="13"/>
      <x:c r="BI476" s="13"/>
      <x:c r="BJ476" s="13"/>
      <x:c r="BK476" s="13"/>
      <x:c r="BL476" s="13"/>
      <x:c r="BM476" s="13"/>
      <x:c r="BN476" s="13"/>
      <x:c r="BO476" s="13"/>
      <x:c r="BP476" s="13"/>
      <x:c r="BQ476" s="13"/>
      <x:c r="BR476" s="13"/>
      <x:c r="BS476" s="13"/>
      <x:c r="BT476" s="13"/>
      <x:c r="BU476" s="13"/>
      <x:c r="BV476" s="13"/>
      <x:c r="BW476" s="13"/>
      <x:c r="BX476" s="13"/>
      <x:c r="BY476" s="13"/>
      <x:c r="BZ476" s="13"/>
      <x:c r="CA476" s="13"/>
      <x:c r="CB476" s="13"/>
      <x:c r="CC476" s="13"/>
      <x:c r="CD476" s="13"/>
      <x:c r="CE476" s="13"/>
      <x:c r="CF476" s="13"/>
      <x:c r="CG476" s="13"/>
    </x:row>
    <x:row r="477" ht="14.25" customHeight="1">
      <x:c r="AA477" s="3"/>
      <x:c r="AF477" s="3"/>
      <x:c r="AG477" s="3"/>
      <x:c r="AH477" s="3"/>
      <x:c r="AI477" s="3"/>
      <x:c r="AJ477" s="3"/>
      <x:c r="AK477" s="3"/>
      <x:c r="AL477" s="3"/>
      <x:c r="AM477" s="3"/>
      <x:c r="AT477" s="3"/>
      <x:c r="AU477" s="3"/>
      <x:c r="AV477" s="3"/>
      <x:c r="AW477" s="3"/>
      <x:c r="AX477" s="3"/>
      <x:c r="AY477" s="3"/>
      <x:c r="AZ477" s="3"/>
      <x:c r="BA477" s="3"/>
      <x:c r="BC477" s="3"/>
      <x:c r="BD477" s="3"/>
      <x:c r="BE477" s="3"/>
      <x:c r="BF477" s="3"/>
      <x:c r="BG477" s="3"/>
      <x:c r="BH477" s="13"/>
      <x:c r="BI477" s="13"/>
      <x:c r="BJ477" s="13"/>
      <x:c r="BK477" s="13"/>
      <x:c r="BL477" s="13"/>
      <x:c r="BM477" s="13"/>
      <x:c r="BN477" s="13"/>
      <x:c r="BO477" s="13"/>
      <x:c r="BP477" s="13"/>
      <x:c r="BQ477" s="13"/>
      <x:c r="BR477" s="13"/>
      <x:c r="BS477" s="13"/>
      <x:c r="BT477" s="13"/>
      <x:c r="BU477" s="13"/>
      <x:c r="BV477" s="13"/>
      <x:c r="BW477" s="13"/>
      <x:c r="BX477" s="13"/>
      <x:c r="BY477" s="13"/>
      <x:c r="BZ477" s="13"/>
      <x:c r="CA477" s="13"/>
      <x:c r="CB477" s="13"/>
      <x:c r="CC477" s="13"/>
      <x:c r="CD477" s="13"/>
      <x:c r="CE477" s="13"/>
      <x:c r="CF477" s="13"/>
      <x:c r="CG477" s="13"/>
    </x:row>
    <x:row r="478" ht="14.25" customHeight="1">
      <x:c r="AA478" s="3"/>
      <x:c r="AF478" s="3"/>
      <x:c r="AG478" s="3"/>
      <x:c r="AH478" s="3"/>
      <x:c r="AI478" s="3"/>
      <x:c r="AJ478" s="3"/>
      <x:c r="AK478" s="3"/>
      <x:c r="AL478" s="3"/>
      <x:c r="AM478" s="3"/>
      <x:c r="AT478" s="3"/>
      <x:c r="AU478" s="3"/>
      <x:c r="AV478" s="3"/>
      <x:c r="AW478" s="3"/>
      <x:c r="AX478" s="3"/>
      <x:c r="AY478" s="3"/>
      <x:c r="AZ478" s="3"/>
      <x:c r="BA478" s="3"/>
      <x:c r="BC478" s="3"/>
      <x:c r="BD478" s="3"/>
      <x:c r="BE478" s="3"/>
      <x:c r="BF478" s="3"/>
      <x:c r="BG478" s="3"/>
      <x:c r="BH478" s="13"/>
      <x:c r="BI478" s="13"/>
      <x:c r="BJ478" s="13"/>
      <x:c r="BK478" s="13"/>
      <x:c r="BL478" s="13"/>
      <x:c r="BM478" s="13"/>
      <x:c r="BN478" s="13"/>
      <x:c r="BO478" s="13"/>
      <x:c r="BP478" s="13"/>
      <x:c r="BQ478" s="13"/>
      <x:c r="BR478" s="13"/>
      <x:c r="BS478" s="13"/>
      <x:c r="BT478" s="13"/>
      <x:c r="BU478" s="13"/>
      <x:c r="BV478" s="13"/>
      <x:c r="BW478" s="13"/>
      <x:c r="BX478" s="13"/>
      <x:c r="BY478" s="13"/>
      <x:c r="BZ478" s="13"/>
      <x:c r="CA478" s="13"/>
      <x:c r="CB478" s="13"/>
      <x:c r="CC478" s="13"/>
      <x:c r="CD478" s="13"/>
      <x:c r="CE478" s="13"/>
      <x:c r="CF478" s="13"/>
      <x:c r="CG478" s="13"/>
    </x:row>
    <x:row r="479" ht="14.25" customHeight="1">
      <x:c r="AA479" s="3"/>
      <x:c r="AF479" s="3"/>
      <x:c r="AG479" s="3"/>
      <x:c r="AH479" s="3"/>
      <x:c r="AI479" s="3"/>
      <x:c r="AJ479" s="3"/>
      <x:c r="AK479" s="3"/>
      <x:c r="AL479" s="3"/>
      <x:c r="AM479" s="3"/>
      <x:c r="AT479" s="3"/>
      <x:c r="AU479" s="3"/>
      <x:c r="AV479" s="3"/>
      <x:c r="AW479" s="3"/>
      <x:c r="AX479" s="3"/>
      <x:c r="AY479" s="3"/>
      <x:c r="AZ479" s="3"/>
      <x:c r="BA479" s="3"/>
      <x:c r="BC479" s="3"/>
      <x:c r="BD479" s="3"/>
      <x:c r="BE479" s="3"/>
      <x:c r="BF479" s="3"/>
      <x:c r="BG479" s="3"/>
      <x:c r="BH479" s="13"/>
      <x:c r="BI479" s="13"/>
      <x:c r="BJ479" s="13"/>
      <x:c r="BK479" s="13"/>
      <x:c r="BL479" s="13"/>
      <x:c r="BM479" s="13"/>
      <x:c r="BN479" s="13"/>
      <x:c r="BO479" s="13"/>
      <x:c r="BP479" s="13"/>
      <x:c r="BQ479" s="13"/>
      <x:c r="BR479" s="13"/>
      <x:c r="BS479" s="13"/>
      <x:c r="BT479" s="13"/>
      <x:c r="BU479" s="13"/>
      <x:c r="BV479" s="13"/>
      <x:c r="BW479" s="13"/>
      <x:c r="BX479" s="13"/>
      <x:c r="BY479" s="13"/>
      <x:c r="BZ479" s="13"/>
      <x:c r="CA479" s="13"/>
      <x:c r="CB479" s="13"/>
      <x:c r="CC479" s="13"/>
      <x:c r="CD479" s="13"/>
      <x:c r="CE479" s="13"/>
      <x:c r="CF479" s="13"/>
      <x:c r="CG479" s="13"/>
    </x:row>
    <x:row r="480" ht="14.25" customHeight="1">
      <x:c r="AA480" s="3"/>
      <x:c r="AF480" s="3"/>
      <x:c r="AG480" s="3"/>
      <x:c r="AH480" s="3"/>
      <x:c r="AI480" s="3"/>
      <x:c r="AJ480" s="3"/>
      <x:c r="AK480" s="3"/>
      <x:c r="AL480" s="3"/>
      <x:c r="AM480" s="3"/>
      <x:c r="AT480" s="3"/>
      <x:c r="AU480" s="3"/>
      <x:c r="AV480" s="3"/>
      <x:c r="AW480" s="3"/>
      <x:c r="AX480" s="3"/>
      <x:c r="AY480" s="3"/>
      <x:c r="AZ480" s="3"/>
      <x:c r="BA480" s="3"/>
      <x:c r="BC480" s="3"/>
      <x:c r="BD480" s="3"/>
      <x:c r="BE480" s="3"/>
      <x:c r="BF480" s="3"/>
      <x:c r="BG480" s="3"/>
      <x:c r="BH480" s="13"/>
      <x:c r="BI480" s="13"/>
      <x:c r="BJ480" s="13"/>
      <x:c r="BK480" s="13"/>
      <x:c r="BL480" s="13"/>
      <x:c r="BM480" s="13"/>
      <x:c r="BN480" s="13"/>
      <x:c r="BO480" s="13"/>
      <x:c r="BP480" s="13"/>
      <x:c r="BQ480" s="13"/>
      <x:c r="BR480" s="13"/>
      <x:c r="BS480" s="13"/>
      <x:c r="BT480" s="13"/>
      <x:c r="BU480" s="13"/>
      <x:c r="BV480" s="13"/>
      <x:c r="BW480" s="13"/>
      <x:c r="BX480" s="13"/>
      <x:c r="BY480" s="13"/>
      <x:c r="BZ480" s="13"/>
      <x:c r="CA480" s="13"/>
      <x:c r="CB480" s="13"/>
      <x:c r="CC480" s="13"/>
      <x:c r="CD480" s="13"/>
      <x:c r="CE480" s="13"/>
      <x:c r="CF480" s="13"/>
      <x:c r="CG480" s="13"/>
    </x:row>
    <x:row r="481" ht="14.25" customHeight="1">
      <x:c r="AA481" s="3"/>
      <x:c r="AF481" s="3"/>
      <x:c r="AG481" s="3"/>
      <x:c r="AH481" s="3"/>
      <x:c r="AI481" s="3"/>
      <x:c r="AJ481" s="3"/>
      <x:c r="AK481" s="3"/>
      <x:c r="AL481" s="3"/>
      <x:c r="AM481" s="3"/>
      <x:c r="AT481" s="3"/>
      <x:c r="AU481" s="3"/>
      <x:c r="AV481" s="3"/>
      <x:c r="AW481" s="3"/>
      <x:c r="AX481" s="3"/>
      <x:c r="AY481" s="3"/>
      <x:c r="AZ481" s="3"/>
      <x:c r="BA481" s="3"/>
      <x:c r="BC481" s="3"/>
      <x:c r="BD481" s="3"/>
      <x:c r="BE481" s="3"/>
      <x:c r="BF481" s="3"/>
      <x:c r="BG481" s="3"/>
      <x:c r="BH481" s="13"/>
      <x:c r="BI481" s="13"/>
      <x:c r="BJ481" s="13"/>
      <x:c r="BK481" s="13"/>
      <x:c r="BL481" s="13"/>
      <x:c r="BM481" s="13"/>
      <x:c r="BN481" s="13"/>
      <x:c r="BO481" s="13"/>
      <x:c r="BP481" s="13"/>
      <x:c r="BQ481" s="13"/>
      <x:c r="BR481" s="13"/>
      <x:c r="BS481" s="13"/>
      <x:c r="BT481" s="13"/>
      <x:c r="BU481" s="13"/>
      <x:c r="BV481" s="13"/>
      <x:c r="BW481" s="13"/>
      <x:c r="BX481" s="13"/>
      <x:c r="BY481" s="13"/>
      <x:c r="BZ481" s="13"/>
      <x:c r="CA481" s="13"/>
      <x:c r="CB481" s="13"/>
      <x:c r="CC481" s="13"/>
      <x:c r="CD481" s="13"/>
      <x:c r="CE481" s="13"/>
      <x:c r="CF481" s="13"/>
      <x:c r="CG481" s="13"/>
    </x:row>
    <x:row r="482" ht="14.25" customHeight="1">
      <x:c r="AA482" s="3"/>
      <x:c r="AF482" s="3"/>
      <x:c r="AG482" s="3"/>
      <x:c r="AH482" s="3"/>
      <x:c r="AI482" s="3"/>
      <x:c r="AJ482" s="3"/>
      <x:c r="AK482" s="3"/>
      <x:c r="AL482" s="3"/>
      <x:c r="AM482" s="3"/>
      <x:c r="AT482" s="3"/>
      <x:c r="AU482" s="3"/>
      <x:c r="AV482" s="3"/>
      <x:c r="AW482" s="3"/>
      <x:c r="AX482" s="3"/>
      <x:c r="AY482" s="3"/>
      <x:c r="AZ482" s="3"/>
      <x:c r="BA482" s="3"/>
      <x:c r="BC482" s="3"/>
      <x:c r="BD482" s="3"/>
      <x:c r="BE482" s="3"/>
      <x:c r="BF482" s="3"/>
      <x:c r="BG482" s="3"/>
      <x:c r="BH482" s="13"/>
      <x:c r="BI482" s="13"/>
      <x:c r="BJ482" s="13"/>
      <x:c r="BK482" s="13"/>
      <x:c r="BL482" s="13"/>
      <x:c r="BM482" s="13"/>
      <x:c r="BN482" s="13"/>
      <x:c r="BO482" s="13"/>
      <x:c r="BP482" s="13"/>
      <x:c r="BQ482" s="13"/>
      <x:c r="BR482" s="13"/>
      <x:c r="BS482" s="13"/>
      <x:c r="BT482" s="13"/>
      <x:c r="BU482" s="13"/>
      <x:c r="BV482" s="13"/>
      <x:c r="BW482" s="13"/>
      <x:c r="BX482" s="13"/>
      <x:c r="BY482" s="13"/>
      <x:c r="BZ482" s="13"/>
      <x:c r="CA482" s="13"/>
      <x:c r="CB482" s="13"/>
      <x:c r="CC482" s="13"/>
      <x:c r="CD482" s="13"/>
      <x:c r="CE482" s="13"/>
      <x:c r="CF482" s="13"/>
      <x:c r="CG482" s="13"/>
    </x:row>
    <x:row r="483" ht="14.25" customHeight="1">
      <x:c r="AA483" s="3"/>
      <x:c r="AF483" s="3"/>
      <x:c r="AG483" s="3"/>
      <x:c r="AH483" s="3"/>
      <x:c r="AI483" s="3"/>
      <x:c r="AJ483" s="3"/>
      <x:c r="AK483" s="3"/>
      <x:c r="AL483" s="3"/>
      <x:c r="AM483" s="3"/>
      <x:c r="AT483" s="3"/>
      <x:c r="AU483" s="3"/>
      <x:c r="AV483" s="3"/>
      <x:c r="AW483" s="3"/>
      <x:c r="AX483" s="3"/>
      <x:c r="AY483" s="3"/>
      <x:c r="AZ483" s="3"/>
      <x:c r="BA483" s="3"/>
      <x:c r="BC483" s="3"/>
      <x:c r="BD483" s="3"/>
      <x:c r="BE483" s="3"/>
      <x:c r="BF483" s="3"/>
      <x:c r="BG483" s="3"/>
      <x:c r="BH483" s="13"/>
      <x:c r="BI483" s="13"/>
      <x:c r="BJ483" s="13"/>
      <x:c r="BK483" s="13"/>
      <x:c r="BL483" s="13"/>
      <x:c r="BM483" s="13"/>
      <x:c r="BN483" s="13"/>
      <x:c r="BO483" s="13"/>
      <x:c r="BP483" s="13"/>
      <x:c r="BQ483" s="13"/>
      <x:c r="BR483" s="13"/>
      <x:c r="BS483" s="13"/>
      <x:c r="BT483" s="13"/>
      <x:c r="BU483" s="13"/>
      <x:c r="BV483" s="13"/>
      <x:c r="BW483" s="13"/>
      <x:c r="BX483" s="13"/>
      <x:c r="BY483" s="13"/>
      <x:c r="BZ483" s="13"/>
      <x:c r="CA483" s="13"/>
      <x:c r="CB483" s="13"/>
      <x:c r="CC483" s="13"/>
      <x:c r="CD483" s="13"/>
      <x:c r="CE483" s="13"/>
      <x:c r="CF483" s="13"/>
      <x:c r="CG483" s="13"/>
    </x:row>
    <x:row r="484" ht="14.25" customHeight="1">
      <x:c r="AA484" s="3"/>
      <x:c r="AF484" s="3"/>
      <x:c r="AG484" s="3"/>
      <x:c r="AH484" s="3"/>
      <x:c r="AI484" s="3"/>
      <x:c r="AJ484" s="3"/>
      <x:c r="AK484" s="3"/>
      <x:c r="AL484" s="3"/>
      <x:c r="AM484" s="3"/>
      <x:c r="AT484" s="3"/>
      <x:c r="AU484" s="3"/>
      <x:c r="AV484" s="3"/>
      <x:c r="AW484" s="3"/>
      <x:c r="AX484" s="3"/>
      <x:c r="AY484" s="3"/>
      <x:c r="AZ484" s="3"/>
      <x:c r="BA484" s="3"/>
      <x:c r="BC484" s="3"/>
      <x:c r="BD484" s="3"/>
      <x:c r="BE484" s="3"/>
      <x:c r="BF484" s="3"/>
      <x:c r="BG484" s="3"/>
      <x:c r="BH484" s="13"/>
      <x:c r="BI484" s="13"/>
      <x:c r="BJ484" s="13"/>
      <x:c r="BK484" s="13"/>
      <x:c r="BL484" s="13"/>
      <x:c r="BM484" s="13"/>
      <x:c r="BN484" s="13"/>
      <x:c r="BO484" s="13"/>
      <x:c r="BP484" s="13"/>
      <x:c r="BQ484" s="13"/>
      <x:c r="BR484" s="13"/>
      <x:c r="BS484" s="13"/>
      <x:c r="BT484" s="13"/>
      <x:c r="BU484" s="13"/>
      <x:c r="BV484" s="13"/>
      <x:c r="BW484" s="13"/>
      <x:c r="BX484" s="13"/>
      <x:c r="BY484" s="13"/>
      <x:c r="BZ484" s="13"/>
      <x:c r="CA484" s="13"/>
      <x:c r="CB484" s="13"/>
      <x:c r="CC484" s="13"/>
      <x:c r="CD484" s="13"/>
      <x:c r="CE484" s="13"/>
      <x:c r="CF484" s="13"/>
      <x:c r="CG484" s="13"/>
    </x:row>
    <x:row r="485" ht="14.25" customHeight="1">
      <x:c r="AA485" s="3"/>
      <x:c r="AF485" s="3"/>
      <x:c r="AG485" s="3"/>
      <x:c r="AH485" s="3"/>
      <x:c r="AI485" s="3"/>
      <x:c r="AJ485" s="3"/>
      <x:c r="AK485" s="3"/>
      <x:c r="AL485" s="3"/>
      <x:c r="AM485" s="3"/>
      <x:c r="AT485" s="3"/>
      <x:c r="AU485" s="3"/>
      <x:c r="AV485" s="3"/>
      <x:c r="AW485" s="3"/>
      <x:c r="AX485" s="3"/>
      <x:c r="AY485" s="3"/>
      <x:c r="AZ485" s="3"/>
      <x:c r="BA485" s="3"/>
      <x:c r="BC485" s="3"/>
      <x:c r="BD485" s="3"/>
      <x:c r="BE485" s="3"/>
      <x:c r="BF485" s="3"/>
      <x:c r="BG485" s="3"/>
      <x:c r="BH485" s="13"/>
      <x:c r="BI485" s="13"/>
      <x:c r="BJ485" s="13"/>
      <x:c r="BK485" s="13"/>
      <x:c r="BL485" s="13"/>
      <x:c r="BM485" s="13"/>
      <x:c r="BN485" s="13"/>
      <x:c r="BO485" s="13"/>
      <x:c r="BP485" s="13"/>
      <x:c r="BQ485" s="13"/>
      <x:c r="BR485" s="13"/>
      <x:c r="BS485" s="13"/>
      <x:c r="BT485" s="13"/>
      <x:c r="BU485" s="13"/>
      <x:c r="BV485" s="13"/>
      <x:c r="BW485" s="13"/>
      <x:c r="BX485" s="13"/>
      <x:c r="BY485" s="13"/>
      <x:c r="BZ485" s="13"/>
      <x:c r="CA485" s="13"/>
      <x:c r="CB485" s="13"/>
      <x:c r="CC485" s="13"/>
      <x:c r="CD485" s="13"/>
      <x:c r="CE485" s="13"/>
      <x:c r="CF485" s="13"/>
      <x:c r="CG485" s="13"/>
    </x:row>
    <x:row r="486" ht="14.25" customHeight="1">
      <x:c r="AA486" s="3"/>
      <x:c r="AF486" s="3"/>
      <x:c r="AG486" s="3"/>
      <x:c r="AH486" s="3"/>
      <x:c r="AI486" s="3"/>
      <x:c r="AJ486" s="3"/>
      <x:c r="AK486" s="3"/>
      <x:c r="AL486" s="3"/>
      <x:c r="AM486" s="3"/>
      <x:c r="AT486" s="3"/>
      <x:c r="AU486" s="3"/>
      <x:c r="AV486" s="3"/>
      <x:c r="AW486" s="3"/>
      <x:c r="AX486" s="3"/>
      <x:c r="AY486" s="3"/>
      <x:c r="AZ486" s="3"/>
      <x:c r="BA486" s="3"/>
      <x:c r="BC486" s="3"/>
      <x:c r="BD486" s="3"/>
      <x:c r="BE486" s="3"/>
      <x:c r="BF486" s="3"/>
      <x:c r="BG486" s="3"/>
      <x:c r="BH486" s="13"/>
      <x:c r="BI486" s="13"/>
      <x:c r="BJ486" s="13"/>
      <x:c r="BK486" s="13"/>
      <x:c r="BL486" s="13"/>
      <x:c r="BM486" s="13"/>
      <x:c r="BN486" s="13"/>
      <x:c r="BO486" s="13"/>
      <x:c r="BP486" s="13"/>
      <x:c r="BQ486" s="13"/>
      <x:c r="BR486" s="13"/>
      <x:c r="BS486" s="13"/>
      <x:c r="BT486" s="13"/>
      <x:c r="BU486" s="13"/>
      <x:c r="BV486" s="13"/>
      <x:c r="BW486" s="13"/>
      <x:c r="BX486" s="13"/>
      <x:c r="BY486" s="13"/>
      <x:c r="BZ486" s="13"/>
      <x:c r="CA486" s="13"/>
      <x:c r="CB486" s="13"/>
      <x:c r="CC486" s="13"/>
      <x:c r="CD486" s="13"/>
      <x:c r="CE486" s="13"/>
      <x:c r="CF486" s="13"/>
      <x:c r="CG486" s="13"/>
    </x:row>
    <x:row r="487" ht="14.25" customHeight="1">
      <x:c r="AA487" s="3"/>
      <x:c r="AF487" s="3"/>
      <x:c r="AG487" s="3"/>
      <x:c r="AH487" s="3"/>
      <x:c r="AI487" s="3"/>
      <x:c r="AJ487" s="3"/>
      <x:c r="AK487" s="3"/>
      <x:c r="AL487" s="3"/>
      <x:c r="AM487" s="3"/>
      <x:c r="AT487" s="3"/>
      <x:c r="AU487" s="3"/>
      <x:c r="AV487" s="3"/>
      <x:c r="AW487" s="3"/>
      <x:c r="AX487" s="3"/>
      <x:c r="AY487" s="3"/>
      <x:c r="AZ487" s="3"/>
      <x:c r="BA487" s="3"/>
      <x:c r="BC487" s="3"/>
      <x:c r="BD487" s="3"/>
      <x:c r="BE487" s="3"/>
      <x:c r="BF487" s="3"/>
      <x:c r="BG487" s="3"/>
      <x:c r="BH487" s="13"/>
      <x:c r="BI487" s="13"/>
      <x:c r="BJ487" s="13"/>
      <x:c r="BK487" s="13"/>
      <x:c r="BL487" s="13"/>
      <x:c r="BM487" s="13"/>
      <x:c r="BN487" s="13"/>
      <x:c r="BO487" s="13"/>
      <x:c r="BP487" s="13"/>
      <x:c r="BQ487" s="13"/>
      <x:c r="BR487" s="13"/>
      <x:c r="BS487" s="13"/>
      <x:c r="BT487" s="13"/>
      <x:c r="BU487" s="13"/>
      <x:c r="BV487" s="13"/>
      <x:c r="BW487" s="13"/>
      <x:c r="BX487" s="13"/>
      <x:c r="BY487" s="13"/>
      <x:c r="BZ487" s="13"/>
      <x:c r="CA487" s="13"/>
      <x:c r="CB487" s="13"/>
      <x:c r="CC487" s="13"/>
      <x:c r="CD487" s="13"/>
      <x:c r="CE487" s="13"/>
      <x:c r="CF487" s="13"/>
      <x:c r="CG487" s="13"/>
    </x:row>
    <x:row r="488" ht="14.25" customHeight="1">
      <x:c r="AA488" s="3"/>
      <x:c r="AF488" s="3"/>
      <x:c r="AG488" s="3"/>
      <x:c r="AH488" s="3"/>
      <x:c r="AI488" s="3"/>
      <x:c r="AJ488" s="3"/>
      <x:c r="AK488" s="3"/>
      <x:c r="AL488" s="3"/>
      <x:c r="AM488" s="3"/>
      <x:c r="AT488" s="3"/>
      <x:c r="AU488" s="3"/>
      <x:c r="AV488" s="3"/>
      <x:c r="AW488" s="3"/>
      <x:c r="AX488" s="3"/>
      <x:c r="AY488" s="3"/>
      <x:c r="AZ488" s="3"/>
      <x:c r="BA488" s="3"/>
      <x:c r="BC488" s="3"/>
      <x:c r="BD488" s="3"/>
      <x:c r="BE488" s="3"/>
      <x:c r="BF488" s="3"/>
      <x:c r="BG488" s="3"/>
      <x:c r="BH488" s="13"/>
      <x:c r="BI488" s="13"/>
      <x:c r="BJ488" s="13"/>
      <x:c r="BK488" s="13"/>
      <x:c r="BL488" s="13"/>
      <x:c r="BM488" s="13"/>
      <x:c r="BN488" s="13"/>
      <x:c r="BO488" s="13"/>
      <x:c r="BP488" s="13"/>
      <x:c r="BQ488" s="13"/>
      <x:c r="BR488" s="13"/>
      <x:c r="BS488" s="13"/>
      <x:c r="BT488" s="13"/>
      <x:c r="BU488" s="13"/>
      <x:c r="BV488" s="13"/>
      <x:c r="BW488" s="13"/>
      <x:c r="BX488" s="13"/>
      <x:c r="BY488" s="13"/>
      <x:c r="BZ488" s="13"/>
      <x:c r="CA488" s="13"/>
      <x:c r="CB488" s="13"/>
      <x:c r="CC488" s="13"/>
      <x:c r="CD488" s="13"/>
      <x:c r="CE488" s="13"/>
      <x:c r="CF488" s="13"/>
      <x:c r="CG488" s="13"/>
    </x:row>
    <x:row r="489" ht="14.25" customHeight="1">
      <x:c r="AA489" s="3"/>
      <x:c r="AF489" s="3"/>
      <x:c r="AG489" s="3"/>
      <x:c r="AH489" s="3"/>
      <x:c r="AI489" s="3"/>
      <x:c r="AJ489" s="3"/>
      <x:c r="AK489" s="3"/>
      <x:c r="AL489" s="3"/>
      <x:c r="AM489" s="3"/>
      <x:c r="AT489" s="3"/>
      <x:c r="AU489" s="3"/>
      <x:c r="AV489" s="3"/>
      <x:c r="AW489" s="3"/>
      <x:c r="AX489" s="3"/>
      <x:c r="AY489" s="3"/>
      <x:c r="AZ489" s="3"/>
      <x:c r="BA489" s="3"/>
      <x:c r="BC489" s="3"/>
      <x:c r="BD489" s="3"/>
      <x:c r="BE489" s="3"/>
      <x:c r="BF489" s="3"/>
      <x:c r="BG489" s="3"/>
      <x:c r="BH489" s="13"/>
      <x:c r="BI489" s="13"/>
      <x:c r="BJ489" s="13"/>
      <x:c r="BK489" s="13"/>
      <x:c r="BL489" s="13"/>
      <x:c r="BM489" s="13"/>
      <x:c r="BN489" s="13"/>
      <x:c r="BO489" s="13"/>
      <x:c r="BP489" s="13"/>
      <x:c r="BQ489" s="13"/>
      <x:c r="BR489" s="13"/>
      <x:c r="BS489" s="13"/>
      <x:c r="BT489" s="13"/>
      <x:c r="BU489" s="13"/>
      <x:c r="BV489" s="13"/>
      <x:c r="BW489" s="13"/>
      <x:c r="BX489" s="13"/>
      <x:c r="BY489" s="13"/>
      <x:c r="BZ489" s="13"/>
      <x:c r="CA489" s="13"/>
      <x:c r="CB489" s="13"/>
      <x:c r="CC489" s="13"/>
      <x:c r="CD489" s="13"/>
      <x:c r="CE489" s="13"/>
      <x:c r="CF489" s="13"/>
      <x:c r="CG489" s="13"/>
    </x:row>
    <x:row r="490" ht="14.25" customHeight="1">
      <x:c r="AA490" s="3"/>
      <x:c r="AF490" s="3"/>
      <x:c r="AG490" s="3"/>
      <x:c r="AH490" s="3"/>
      <x:c r="AI490" s="3"/>
      <x:c r="AJ490" s="3"/>
      <x:c r="AK490" s="3"/>
      <x:c r="AL490" s="3"/>
      <x:c r="AM490" s="3"/>
      <x:c r="AT490" s="3"/>
      <x:c r="AU490" s="3"/>
      <x:c r="AV490" s="3"/>
      <x:c r="AW490" s="3"/>
      <x:c r="AX490" s="3"/>
      <x:c r="AY490" s="3"/>
      <x:c r="AZ490" s="3"/>
      <x:c r="BA490" s="3"/>
      <x:c r="BC490" s="3"/>
      <x:c r="BD490" s="3"/>
      <x:c r="BE490" s="3"/>
      <x:c r="BF490" s="3"/>
      <x:c r="BG490" s="3"/>
      <x:c r="BH490" s="13"/>
      <x:c r="BI490" s="13"/>
      <x:c r="BJ490" s="13"/>
      <x:c r="BK490" s="13"/>
      <x:c r="BL490" s="13"/>
      <x:c r="BM490" s="13"/>
      <x:c r="BN490" s="13"/>
      <x:c r="BO490" s="13"/>
      <x:c r="BP490" s="13"/>
      <x:c r="BQ490" s="13"/>
      <x:c r="BR490" s="13"/>
      <x:c r="BS490" s="13"/>
      <x:c r="BT490" s="13"/>
      <x:c r="BU490" s="13"/>
      <x:c r="BV490" s="13"/>
      <x:c r="BW490" s="13"/>
      <x:c r="BX490" s="13"/>
      <x:c r="BY490" s="13"/>
      <x:c r="BZ490" s="13"/>
      <x:c r="CA490" s="13"/>
      <x:c r="CB490" s="13"/>
      <x:c r="CC490" s="13"/>
      <x:c r="CD490" s="13"/>
      <x:c r="CE490" s="13"/>
      <x:c r="CF490" s="13"/>
      <x:c r="CG490" s="13"/>
    </x:row>
    <x:row r="491" ht="14.25" customHeight="1">
      <x:c r="AA491" s="3"/>
      <x:c r="AF491" s="3"/>
      <x:c r="AG491" s="3"/>
      <x:c r="AH491" s="3"/>
      <x:c r="AI491" s="3"/>
      <x:c r="AJ491" s="3"/>
      <x:c r="AK491" s="3"/>
      <x:c r="AL491" s="3"/>
      <x:c r="AM491" s="3"/>
      <x:c r="AT491" s="3"/>
      <x:c r="AU491" s="3"/>
      <x:c r="AV491" s="3"/>
      <x:c r="AW491" s="3"/>
      <x:c r="AX491" s="3"/>
      <x:c r="AY491" s="3"/>
      <x:c r="AZ491" s="3"/>
      <x:c r="BA491" s="3"/>
      <x:c r="BC491" s="3"/>
      <x:c r="BD491" s="3"/>
      <x:c r="BE491" s="3"/>
      <x:c r="BF491" s="3"/>
      <x:c r="BG491" s="3"/>
      <x:c r="BH491" s="13"/>
      <x:c r="BI491" s="13"/>
      <x:c r="BJ491" s="13"/>
      <x:c r="BK491" s="13"/>
      <x:c r="BL491" s="13"/>
      <x:c r="BM491" s="13"/>
      <x:c r="BN491" s="13"/>
      <x:c r="BO491" s="13"/>
      <x:c r="BP491" s="13"/>
      <x:c r="BQ491" s="13"/>
      <x:c r="BR491" s="13"/>
      <x:c r="BS491" s="13"/>
      <x:c r="BT491" s="13"/>
      <x:c r="BU491" s="13"/>
      <x:c r="BV491" s="13"/>
      <x:c r="BW491" s="13"/>
      <x:c r="BX491" s="13"/>
      <x:c r="BY491" s="13"/>
      <x:c r="BZ491" s="13"/>
      <x:c r="CA491" s="13"/>
      <x:c r="CB491" s="13"/>
      <x:c r="CC491" s="13"/>
      <x:c r="CD491" s="13"/>
      <x:c r="CE491" s="13"/>
      <x:c r="CF491" s="13"/>
      <x:c r="CG491" s="13"/>
    </x:row>
    <x:row r="492" ht="14.25" customHeight="1">
      <x:c r="AA492" s="3"/>
      <x:c r="AF492" s="3"/>
      <x:c r="AG492" s="3"/>
      <x:c r="AH492" s="3"/>
      <x:c r="AI492" s="3"/>
      <x:c r="AJ492" s="3"/>
      <x:c r="AK492" s="3"/>
      <x:c r="AL492" s="3"/>
      <x:c r="AM492" s="3"/>
      <x:c r="AT492" s="3"/>
      <x:c r="AU492" s="3"/>
      <x:c r="AV492" s="3"/>
      <x:c r="AW492" s="3"/>
      <x:c r="AX492" s="3"/>
      <x:c r="AY492" s="3"/>
      <x:c r="AZ492" s="3"/>
      <x:c r="BA492" s="3"/>
      <x:c r="BC492" s="3"/>
      <x:c r="BD492" s="3"/>
      <x:c r="BE492" s="3"/>
      <x:c r="BF492" s="3"/>
      <x:c r="BG492" s="3"/>
      <x:c r="BH492" s="13"/>
      <x:c r="BI492" s="13"/>
      <x:c r="BJ492" s="13"/>
      <x:c r="BK492" s="13"/>
      <x:c r="BL492" s="13"/>
      <x:c r="BM492" s="13"/>
      <x:c r="BN492" s="13"/>
      <x:c r="BO492" s="13"/>
      <x:c r="BP492" s="13"/>
      <x:c r="BQ492" s="13"/>
      <x:c r="BR492" s="13"/>
      <x:c r="BS492" s="13"/>
      <x:c r="BT492" s="13"/>
      <x:c r="BU492" s="13"/>
      <x:c r="BV492" s="13"/>
      <x:c r="BW492" s="13"/>
      <x:c r="BX492" s="13"/>
      <x:c r="BY492" s="13"/>
      <x:c r="BZ492" s="13"/>
      <x:c r="CA492" s="13"/>
      <x:c r="CB492" s="13"/>
      <x:c r="CC492" s="13"/>
      <x:c r="CD492" s="13"/>
      <x:c r="CE492" s="13"/>
      <x:c r="CF492" s="13"/>
      <x:c r="CG492" s="13"/>
    </x:row>
    <x:row r="493" ht="14.25" customHeight="1">
      <x:c r="AA493" s="3"/>
      <x:c r="AF493" s="3"/>
      <x:c r="AG493" s="3"/>
      <x:c r="AH493" s="3"/>
      <x:c r="AI493" s="3"/>
      <x:c r="AJ493" s="3"/>
      <x:c r="AK493" s="3"/>
      <x:c r="AL493" s="3"/>
      <x:c r="AM493" s="3"/>
      <x:c r="AT493" s="3"/>
      <x:c r="AU493" s="3"/>
      <x:c r="AV493" s="3"/>
      <x:c r="AW493" s="3"/>
      <x:c r="AX493" s="3"/>
      <x:c r="AY493" s="3"/>
      <x:c r="AZ493" s="3"/>
      <x:c r="BA493" s="3"/>
      <x:c r="BC493" s="3"/>
      <x:c r="BD493" s="3"/>
      <x:c r="BE493" s="3"/>
      <x:c r="BF493" s="3"/>
      <x:c r="BG493" s="3"/>
      <x:c r="BH493" s="13"/>
      <x:c r="BI493" s="13"/>
      <x:c r="BJ493" s="13"/>
      <x:c r="BK493" s="13"/>
      <x:c r="BL493" s="13"/>
      <x:c r="BM493" s="13"/>
      <x:c r="BN493" s="13"/>
      <x:c r="BO493" s="13"/>
      <x:c r="BP493" s="13"/>
      <x:c r="BQ493" s="13"/>
      <x:c r="BR493" s="13"/>
      <x:c r="BS493" s="13"/>
      <x:c r="BT493" s="13"/>
      <x:c r="BU493" s="13"/>
      <x:c r="BV493" s="13"/>
      <x:c r="BW493" s="13"/>
      <x:c r="BX493" s="13"/>
      <x:c r="BY493" s="13"/>
      <x:c r="BZ493" s="13"/>
      <x:c r="CA493" s="13"/>
      <x:c r="CB493" s="13"/>
      <x:c r="CC493" s="13"/>
      <x:c r="CD493" s="13"/>
      <x:c r="CE493" s="13"/>
      <x:c r="CF493" s="13"/>
      <x:c r="CG493" s="13"/>
    </x:row>
    <x:row r="494" ht="14.25" customHeight="1">
      <x:c r="AA494" s="3"/>
      <x:c r="AF494" s="3"/>
      <x:c r="AG494" s="3"/>
      <x:c r="AH494" s="3"/>
      <x:c r="AI494" s="3"/>
      <x:c r="AJ494" s="3"/>
      <x:c r="AK494" s="3"/>
      <x:c r="AL494" s="3"/>
      <x:c r="AM494" s="3"/>
      <x:c r="AT494" s="3"/>
      <x:c r="AU494" s="3"/>
      <x:c r="AV494" s="3"/>
      <x:c r="AW494" s="3"/>
      <x:c r="AX494" s="3"/>
      <x:c r="AY494" s="3"/>
      <x:c r="AZ494" s="3"/>
      <x:c r="BA494" s="3"/>
      <x:c r="BC494" s="3"/>
      <x:c r="BD494" s="3"/>
      <x:c r="BE494" s="3"/>
      <x:c r="BF494" s="3"/>
      <x:c r="BG494" s="3"/>
      <x:c r="BH494" s="13"/>
      <x:c r="BI494" s="13"/>
      <x:c r="BJ494" s="13"/>
      <x:c r="BK494" s="13"/>
      <x:c r="BL494" s="13"/>
      <x:c r="BM494" s="13"/>
      <x:c r="BN494" s="13"/>
      <x:c r="BO494" s="13"/>
      <x:c r="BP494" s="13"/>
      <x:c r="BQ494" s="13"/>
      <x:c r="BR494" s="13"/>
      <x:c r="BS494" s="13"/>
      <x:c r="BT494" s="13"/>
      <x:c r="BU494" s="13"/>
      <x:c r="BV494" s="13"/>
      <x:c r="BW494" s="13"/>
      <x:c r="BX494" s="13"/>
      <x:c r="BY494" s="13"/>
      <x:c r="BZ494" s="13"/>
      <x:c r="CA494" s="13"/>
      <x:c r="CB494" s="13"/>
      <x:c r="CC494" s="13"/>
      <x:c r="CD494" s="13"/>
      <x:c r="CE494" s="13"/>
      <x:c r="CF494" s="13"/>
      <x:c r="CG494" s="13"/>
    </x:row>
    <x:row r="495" ht="14.25" customHeight="1">
      <x:c r="AA495" s="3"/>
      <x:c r="AF495" s="3"/>
      <x:c r="AG495" s="3"/>
      <x:c r="AH495" s="3"/>
      <x:c r="AI495" s="3"/>
      <x:c r="AJ495" s="3"/>
      <x:c r="AK495" s="3"/>
      <x:c r="AL495" s="3"/>
      <x:c r="AM495" s="3"/>
      <x:c r="AT495" s="3"/>
      <x:c r="AU495" s="3"/>
      <x:c r="AV495" s="3"/>
      <x:c r="AW495" s="3"/>
      <x:c r="AX495" s="3"/>
      <x:c r="AY495" s="3"/>
      <x:c r="AZ495" s="3"/>
      <x:c r="BA495" s="3"/>
      <x:c r="BC495" s="3"/>
      <x:c r="BD495" s="3"/>
      <x:c r="BE495" s="3"/>
      <x:c r="BF495" s="3"/>
      <x:c r="BG495" s="3"/>
      <x:c r="BH495" s="13"/>
      <x:c r="BI495" s="13"/>
      <x:c r="BJ495" s="13"/>
      <x:c r="BK495" s="13"/>
      <x:c r="BL495" s="13"/>
      <x:c r="BM495" s="13"/>
      <x:c r="BN495" s="13"/>
      <x:c r="BO495" s="13"/>
      <x:c r="BP495" s="13"/>
      <x:c r="BQ495" s="13"/>
      <x:c r="BR495" s="13"/>
      <x:c r="BS495" s="13"/>
      <x:c r="BT495" s="13"/>
      <x:c r="BU495" s="13"/>
      <x:c r="BV495" s="13"/>
      <x:c r="BW495" s="13"/>
      <x:c r="BX495" s="13"/>
      <x:c r="BY495" s="13"/>
      <x:c r="BZ495" s="13"/>
      <x:c r="CA495" s="13"/>
      <x:c r="CB495" s="13"/>
      <x:c r="CC495" s="13"/>
      <x:c r="CD495" s="13"/>
      <x:c r="CE495" s="13"/>
      <x:c r="CF495" s="13"/>
      <x:c r="CG495" s="13"/>
    </x:row>
    <x:row r="496" ht="14.25" customHeight="1">
      <x:c r="AA496" s="3"/>
      <x:c r="AF496" s="3"/>
      <x:c r="AG496" s="3"/>
      <x:c r="AH496" s="3"/>
      <x:c r="AI496" s="3"/>
      <x:c r="AJ496" s="3"/>
      <x:c r="AK496" s="3"/>
      <x:c r="AL496" s="3"/>
      <x:c r="AM496" s="3"/>
      <x:c r="AT496" s="3"/>
      <x:c r="AU496" s="3"/>
      <x:c r="AV496" s="3"/>
      <x:c r="AW496" s="3"/>
      <x:c r="AX496" s="3"/>
      <x:c r="AY496" s="3"/>
      <x:c r="AZ496" s="3"/>
      <x:c r="BA496" s="3"/>
      <x:c r="BC496" s="3"/>
      <x:c r="BD496" s="3"/>
      <x:c r="BE496" s="3"/>
      <x:c r="BF496" s="3"/>
      <x:c r="BG496" s="3"/>
      <x:c r="BH496" s="13"/>
      <x:c r="BI496" s="13"/>
      <x:c r="BJ496" s="13"/>
      <x:c r="BK496" s="13"/>
      <x:c r="BL496" s="13"/>
      <x:c r="BM496" s="13"/>
      <x:c r="BN496" s="13"/>
      <x:c r="BO496" s="13"/>
      <x:c r="BP496" s="13"/>
      <x:c r="BQ496" s="13"/>
      <x:c r="BR496" s="13"/>
      <x:c r="BS496" s="13"/>
      <x:c r="BT496" s="13"/>
      <x:c r="BU496" s="13"/>
      <x:c r="BV496" s="13"/>
      <x:c r="BW496" s="13"/>
      <x:c r="BX496" s="13"/>
      <x:c r="BY496" s="13"/>
      <x:c r="BZ496" s="13"/>
      <x:c r="CA496" s="13"/>
      <x:c r="CB496" s="13"/>
      <x:c r="CC496" s="13"/>
      <x:c r="CD496" s="13"/>
      <x:c r="CE496" s="13"/>
      <x:c r="CF496" s="13"/>
      <x:c r="CG496" s="13"/>
    </x:row>
    <x:row r="497" ht="14.25" customHeight="1">
      <x:c r="AA497" s="3"/>
      <x:c r="AF497" s="3"/>
      <x:c r="AG497" s="3"/>
      <x:c r="AH497" s="3"/>
      <x:c r="AI497" s="3"/>
      <x:c r="AJ497" s="3"/>
      <x:c r="AK497" s="3"/>
      <x:c r="AL497" s="3"/>
      <x:c r="AM497" s="3"/>
      <x:c r="AT497" s="3"/>
      <x:c r="AU497" s="3"/>
      <x:c r="AV497" s="3"/>
      <x:c r="AW497" s="3"/>
      <x:c r="AX497" s="3"/>
      <x:c r="AY497" s="3"/>
      <x:c r="AZ497" s="3"/>
      <x:c r="BA497" s="3"/>
      <x:c r="BC497" s="3"/>
      <x:c r="BD497" s="3"/>
      <x:c r="BE497" s="3"/>
      <x:c r="BF497" s="3"/>
      <x:c r="BG497" s="3"/>
      <x:c r="BH497" s="13"/>
      <x:c r="BI497" s="13"/>
      <x:c r="BJ497" s="13"/>
      <x:c r="BK497" s="13"/>
      <x:c r="BL497" s="13"/>
      <x:c r="BM497" s="13"/>
      <x:c r="BN497" s="13"/>
      <x:c r="BO497" s="13"/>
      <x:c r="BP497" s="13"/>
      <x:c r="BQ497" s="13"/>
      <x:c r="BR497" s="13"/>
      <x:c r="BS497" s="13"/>
      <x:c r="BT497" s="13"/>
      <x:c r="BU497" s="13"/>
      <x:c r="BV497" s="13"/>
      <x:c r="BW497" s="13"/>
      <x:c r="BX497" s="13"/>
      <x:c r="BY497" s="13"/>
      <x:c r="BZ497" s="13"/>
      <x:c r="CA497" s="13"/>
      <x:c r="CB497" s="13"/>
      <x:c r="CC497" s="13"/>
      <x:c r="CD497" s="13"/>
      <x:c r="CE497" s="13"/>
      <x:c r="CF497" s="13"/>
      <x:c r="CG497" s="13"/>
    </x:row>
    <x:row r="498" ht="14.25" customHeight="1">
      <x:c r="AA498" s="3"/>
      <x:c r="AF498" s="3"/>
      <x:c r="AG498" s="3"/>
      <x:c r="AH498" s="3"/>
      <x:c r="AI498" s="3"/>
      <x:c r="AJ498" s="3"/>
      <x:c r="AK498" s="3"/>
      <x:c r="AL498" s="3"/>
      <x:c r="AM498" s="3"/>
      <x:c r="AT498" s="3"/>
      <x:c r="AU498" s="3"/>
      <x:c r="AV498" s="3"/>
      <x:c r="AW498" s="3"/>
      <x:c r="AX498" s="3"/>
      <x:c r="AY498" s="3"/>
      <x:c r="AZ498" s="3"/>
      <x:c r="BA498" s="3"/>
      <x:c r="BC498" s="3"/>
      <x:c r="BD498" s="3"/>
      <x:c r="BE498" s="3"/>
      <x:c r="BF498" s="3"/>
      <x:c r="BG498" s="3"/>
      <x:c r="BH498" s="13"/>
      <x:c r="BI498" s="13"/>
      <x:c r="BJ498" s="13"/>
      <x:c r="BK498" s="13"/>
      <x:c r="BL498" s="13"/>
      <x:c r="BM498" s="13"/>
      <x:c r="BN498" s="13"/>
      <x:c r="BO498" s="13"/>
      <x:c r="BP498" s="13"/>
      <x:c r="BQ498" s="13"/>
      <x:c r="BR498" s="13"/>
      <x:c r="BS498" s="13"/>
      <x:c r="BT498" s="13"/>
      <x:c r="BU498" s="13"/>
      <x:c r="BV498" s="13"/>
      <x:c r="BW498" s="13"/>
      <x:c r="BX498" s="13"/>
      <x:c r="BY498" s="13"/>
      <x:c r="BZ498" s="13"/>
      <x:c r="CA498" s="13"/>
      <x:c r="CB498" s="13"/>
      <x:c r="CC498" s="13"/>
      <x:c r="CD498" s="13"/>
      <x:c r="CE498" s="13"/>
      <x:c r="CF498" s="13"/>
      <x:c r="CG498" s="13"/>
    </x:row>
    <x:row r="499" ht="14.25" customHeight="1">
      <x:c r="AA499" s="3"/>
      <x:c r="AF499" s="3"/>
      <x:c r="AG499" s="3"/>
      <x:c r="AH499" s="3"/>
      <x:c r="AI499" s="3"/>
      <x:c r="AJ499" s="3"/>
      <x:c r="AK499" s="3"/>
      <x:c r="AL499" s="3"/>
      <x:c r="AM499" s="3"/>
      <x:c r="AT499" s="3"/>
      <x:c r="AU499" s="3"/>
      <x:c r="AV499" s="3"/>
      <x:c r="AW499" s="3"/>
      <x:c r="AX499" s="3"/>
      <x:c r="AY499" s="3"/>
      <x:c r="AZ499" s="3"/>
      <x:c r="BA499" s="3"/>
      <x:c r="BC499" s="3"/>
      <x:c r="BD499" s="3"/>
      <x:c r="BE499" s="3"/>
      <x:c r="BF499" s="3"/>
      <x:c r="BG499" s="3"/>
      <x:c r="BH499" s="13"/>
      <x:c r="BI499" s="13"/>
      <x:c r="BJ499" s="13"/>
      <x:c r="BK499" s="13"/>
      <x:c r="BL499" s="13"/>
      <x:c r="BM499" s="13"/>
      <x:c r="BN499" s="13"/>
      <x:c r="BO499" s="13"/>
      <x:c r="BP499" s="13"/>
      <x:c r="BQ499" s="13"/>
      <x:c r="BR499" s="13"/>
      <x:c r="BS499" s="13"/>
      <x:c r="BT499" s="13"/>
      <x:c r="BU499" s="13"/>
      <x:c r="BV499" s="13"/>
      <x:c r="BW499" s="13"/>
      <x:c r="BX499" s="13"/>
      <x:c r="BY499" s="13"/>
      <x:c r="BZ499" s="13"/>
      <x:c r="CA499" s="13"/>
      <x:c r="CB499" s="13"/>
      <x:c r="CC499" s="13"/>
      <x:c r="CD499" s="13"/>
      <x:c r="CE499" s="13"/>
      <x:c r="CF499" s="13"/>
      <x:c r="CG499" s="13"/>
    </x:row>
    <x:row r="500" ht="14.25" customHeight="1">
      <x:c r="AA500" s="3"/>
      <x:c r="AF500" s="3"/>
      <x:c r="AG500" s="3"/>
      <x:c r="AH500" s="3"/>
      <x:c r="AI500" s="3"/>
      <x:c r="AJ500" s="3"/>
      <x:c r="AK500" s="3"/>
      <x:c r="AL500" s="3"/>
      <x:c r="AM500" s="3"/>
      <x:c r="AT500" s="3"/>
      <x:c r="AU500" s="3"/>
      <x:c r="AV500" s="3"/>
      <x:c r="AW500" s="3"/>
      <x:c r="AX500" s="3"/>
      <x:c r="AY500" s="3"/>
      <x:c r="AZ500" s="3"/>
      <x:c r="BA500" s="3"/>
      <x:c r="BC500" s="3"/>
      <x:c r="BD500" s="3"/>
      <x:c r="BE500" s="3"/>
      <x:c r="BF500" s="3"/>
      <x:c r="BG500" s="3"/>
      <x:c r="BH500" s="13"/>
      <x:c r="BI500" s="13"/>
      <x:c r="BJ500" s="13"/>
      <x:c r="BK500" s="13"/>
      <x:c r="BL500" s="13"/>
      <x:c r="BM500" s="13"/>
      <x:c r="BN500" s="13"/>
      <x:c r="BO500" s="13"/>
      <x:c r="BP500" s="13"/>
      <x:c r="BQ500" s="13"/>
      <x:c r="BR500" s="13"/>
      <x:c r="BS500" s="13"/>
      <x:c r="BT500" s="13"/>
      <x:c r="BU500" s="13"/>
      <x:c r="BV500" s="13"/>
      <x:c r="BW500" s="13"/>
      <x:c r="BX500" s="13"/>
      <x:c r="BY500" s="13"/>
      <x:c r="BZ500" s="13"/>
      <x:c r="CA500" s="13"/>
      <x:c r="CB500" s="13"/>
      <x:c r="CC500" s="13"/>
      <x:c r="CD500" s="13"/>
      <x:c r="CE500" s="13"/>
      <x:c r="CF500" s="13"/>
      <x:c r="CG500" s="13"/>
    </x:row>
    <x:row r="501" ht="14.25" customHeight="1">
      <x:c r="AA501" s="3"/>
      <x:c r="AF501" s="3"/>
      <x:c r="AG501" s="3"/>
      <x:c r="AH501" s="3"/>
      <x:c r="AI501" s="3"/>
      <x:c r="AJ501" s="3"/>
      <x:c r="AK501" s="3"/>
      <x:c r="AL501" s="3"/>
      <x:c r="AM501" s="3"/>
      <x:c r="AT501" s="3"/>
      <x:c r="AU501" s="3"/>
      <x:c r="AV501" s="3"/>
      <x:c r="AW501" s="3"/>
      <x:c r="AX501" s="3"/>
      <x:c r="AY501" s="3"/>
      <x:c r="AZ501" s="3"/>
      <x:c r="BA501" s="3"/>
      <x:c r="BC501" s="3"/>
      <x:c r="BD501" s="3"/>
      <x:c r="BE501" s="3"/>
      <x:c r="BF501" s="3"/>
      <x:c r="BG501" s="3"/>
      <x:c r="BH501" s="13"/>
      <x:c r="BI501" s="13"/>
      <x:c r="BJ501" s="13"/>
      <x:c r="BK501" s="13"/>
      <x:c r="BL501" s="13"/>
      <x:c r="BM501" s="13"/>
      <x:c r="BN501" s="13"/>
      <x:c r="BO501" s="13"/>
      <x:c r="BP501" s="13"/>
      <x:c r="BQ501" s="13"/>
      <x:c r="BR501" s="13"/>
      <x:c r="BS501" s="13"/>
      <x:c r="BT501" s="13"/>
      <x:c r="BU501" s="13"/>
      <x:c r="BV501" s="13"/>
      <x:c r="BW501" s="13"/>
      <x:c r="BX501" s="13"/>
      <x:c r="BY501" s="13"/>
      <x:c r="BZ501" s="13"/>
      <x:c r="CA501" s="13"/>
      <x:c r="CB501" s="13"/>
      <x:c r="CC501" s="13"/>
      <x:c r="CD501" s="13"/>
      <x:c r="CE501" s="13"/>
      <x:c r="CF501" s="13"/>
      <x:c r="CG501" s="13"/>
    </x:row>
    <x:row r="502" ht="14.25" customHeight="1">
      <x:c r="AA502" s="3"/>
      <x:c r="AF502" s="3"/>
      <x:c r="AG502" s="3"/>
      <x:c r="AH502" s="3"/>
      <x:c r="AI502" s="3"/>
      <x:c r="AJ502" s="3"/>
      <x:c r="AK502" s="3"/>
      <x:c r="AL502" s="3"/>
      <x:c r="AM502" s="3"/>
      <x:c r="AT502" s="3"/>
      <x:c r="AU502" s="3"/>
      <x:c r="AV502" s="3"/>
      <x:c r="AW502" s="3"/>
      <x:c r="AX502" s="3"/>
      <x:c r="AY502" s="3"/>
      <x:c r="AZ502" s="3"/>
      <x:c r="BA502" s="3"/>
      <x:c r="BC502" s="3"/>
      <x:c r="BD502" s="3"/>
      <x:c r="BE502" s="3"/>
      <x:c r="BF502" s="3"/>
      <x:c r="BG502" s="3"/>
      <x:c r="BH502" s="13"/>
      <x:c r="BI502" s="13"/>
      <x:c r="BJ502" s="13"/>
      <x:c r="BK502" s="13"/>
      <x:c r="BL502" s="13"/>
      <x:c r="BM502" s="13"/>
      <x:c r="BN502" s="13"/>
      <x:c r="BO502" s="13"/>
      <x:c r="BP502" s="13"/>
      <x:c r="BQ502" s="13"/>
      <x:c r="BR502" s="13"/>
      <x:c r="BS502" s="13"/>
      <x:c r="BT502" s="13"/>
      <x:c r="BU502" s="13"/>
      <x:c r="BV502" s="13"/>
      <x:c r="BW502" s="13"/>
      <x:c r="BX502" s="13"/>
      <x:c r="BY502" s="13"/>
      <x:c r="BZ502" s="13"/>
      <x:c r="CA502" s="13"/>
      <x:c r="CB502" s="13"/>
      <x:c r="CC502" s="13"/>
      <x:c r="CD502" s="13"/>
      <x:c r="CE502" s="13"/>
      <x:c r="CF502" s="13"/>
      <x:c r="CG502" s="13"/>
    </x:row>
    <x:row r="503" ht="14.25" customHeight="1">
      <x:c r="AA503" s="3"/>
      <x:c r="AF503" s="3"/>
      <x:c r="AG503" s="3"/>
      <x:c r="AH503" s="3"/>
      <x:c r="AI503" s="3"/>
      <x:c r="AJ503" s="3"/>
      <x:c r="AK503" s="3"/>
      <x:c r="AL503" s="3"/>
      <x:c r="AM503" s="3"/>
      <x:c r="AT503" s="3"/>
      <x:c r="AU503" s="3"/>
      <x:c r="AV503" s="3"/>
      <x:c r="AW503" s="3"/>
      <x:c r="AX503" s="3"/>
      <x:c r="AY503" s="3"/>
      <x:c r="AZ503" s="3"/>
      <x:c r="BA503" s="3"/>
      <x:c r="BC503" s="3"/>
      <x:c r="BD503" s="3"/>
      <x:c r="BE503" s="3"/>
      <x:c r="BF503" s="3"/>
      <x:c r="BG503" s="3"/>
      <x:c r="BH503" s="13"/>
      <x:c r="BI503" s="13"/>
      <x:c r="BJ503" s="13"/>
      <x:c r="BK503" s="13"/>
      <x:c r="BL503" s="13"/>
      <x:c r="BM503" s="13"/>
      <x:c r="BN503" s="13"/>
      <x:c r="BO503" s="13"/>
      <x:c r="BP503" s="13"/>
      <x:c r="BQ503" s="13"/>
      <x:c r="BR503" s="13"/>
      <x:c r="BS503" s="13"/>
      <x:c r="BT503" s="13"/>
      <x:c r="BU503" s="13"/>
      <x:c r="BV503" s="13"/>
      <x:c r="BW503" s="13"/>
      <x:c r="BX503" s="13"/>
      <x:c r="BY503" s="13"/>
      <x:c r="BZ503" s="13"/>
      <x:c r="CA503" s="13"/>
      <x:c r="CB503" s="13"/>
      <x:c r="CC503" s="13"/>
      <x:c r="CD503" s="13"/>
      <x:c r="CE503" s="13"/>
      <x:c r="CF503" s="13"/>
      <x:c r="CG503" s="13"/>
    </x:row>
    <x:row r="504" ht="14.25" customHeight="1">
      <x:c r="AA504" s="3"/>
      <x:c r="AF504" s="3"/>
      <x:c r="AG504" s="3"/>
      <x:c r="AH504" s="3"/>
      <x:c r="AI504" s="3"/>
      <x:c r="AJ504" s="3"/>
      <x:c r="AK504" s="3"/>
      <x:c r="AL504" s="3"/>
      <x:c r="AM504" s="3"/>
      <x:c r="AT504" s="3"/>
      <x:c r="AU504" s="3"/>
      <x:c r="AV504" s="3"/>
      <x:c r="AW504" s="3"/>
      <x:c r="AX504" s="3"/>
      <x:c r="AY504" s="3"/>
      <x:c r="AZ504" s="3"/>
      <x:c r="BA504" s="3"/>
      <x:c r="BC504" s="3"/>
      <x:c r="BD504" s="3"/>
      <x:c r="BE504" s="3"/>
      <x:c r="BF504" s="3"/>
      <x:c r="BG504" s="3"/>
      <x:c r="BH504" s="13"/>
      <x:c r="BI504" s="13"/>
      <x:c r="BJ504" s="13"/>
      <x:c r="BK504" s="13"/>
      <x:c r="BL504" s="13"/>
      <x:c r="BM504" s="13"/>
      <x:c r="BN504" s="13"/>
      <x:c r="BO504" s="13"/>
      <x:c r="BP504" s="13"/>
      <x:c r="BQ504" s="13"/>
      <x:c r="BR504" s="13"/>
      <x:c r="BS504" s="13"/>
      <x:c r="BT504" s="13"/>
      <x:c r="BU504" s="13"/>
      <x:c r="BV504" s="13"/>
      <x:c r="BW504" s="13"/>
      <x:c r="BX504" s="13"/>
      <x:c r="BY504" s="13"/>
      <x:c r="BZ504" s="13"/>
      <x:c r="CA504" s="13"/>
      <x:c r="CB504" s="13"/>
      <x:c r="CC504" s="13"/>
      <x:c r="CD504" s="13"/>
      <x:c r="CE504" s="13"/>
      <x:c r="CF504" s="13"/>
      <x:c r="CG504" s="13"/>
    </x:row>
    <x:row r="505" ht="14.25" customHeight="1">
      <x:c r="AA505" s="3"/>
      <x:c r="AF505" s="3"/>
      <x:c r="AG505" s="3"/>
      <x:c r="AH505" s="3"/>
      <x:c r="AI505" s="3"/>
      <x:c r="AJ505" s="3"/>
      <x:c r="AK505" s="3"/>
      <x:c r="AL505" s="3"/>
      <x:c r="AM505" s="3"/>
      <x:c r="AT505" s="3"/>
      <x:c r="AU505" s="3"/>
      <x:c r="AV505" s="3"/>
      <x:c r="AW505" s="3"/>
      <x:c r="AX505" s="3"/>
      <x:c r="AY505" s="3"/>
      <x:c r="AZ505" s="3"/>
      <x:c r="BA505" s="3"/>
      <x:c r="BC505" s="3"/>
      <x:c r="BD505" s="3"/>
      <x:c r="BE505" s="3"/>
      <x:c r="BF505" s="3"/>
      <x:c r="BG505" s="3"/>
      <x:c r="BH505" s="13"/>
      <x:c r="BI505" s="13"/>
      <x:c r="BJ505" s="13"/>
      <x:c r="BK505" s="13"/>
      <x:c r="BL505" s="13"/>
      <x:c r="BM505" s="13"/>
      <x:c r="BN505" s="13"/>
      <x:c r="BO505" s="13"/>
      <x:c r="BP505" s="13"/>
      <x:c r="BQ505" s="13"/>
      <x:c r="BR505" s="13"/>
      <x:c r="BS505" s="13"/>
      <x:c r="BT505" s="13"/>
      <x:c r="BU505" s="13"/>
      <x:c r="BV505" s="13"/>
      <x:c r="BW505" s="13"/>
      <x:c r="BX505" s="13"/>
      <x:c r="BY505" s="13"/>
      <x:c r="BZ505" s="13"/>
      <x:c r="CA505" s="13"/>
      <x:c r="CB505" s="13"/>
      <x:c r="CC505" s="13"/>
      <x:c r="CD505" s="13"/>
      <x:c r="CE505" s="13"/>
      <x:c r="CF505" s="13"/>
      <x:c r="CG505" s="13"/>
    </x:row>
    <x:row r="506" ht="14.25" customHeight="1">
      <x:c r="AA506" s="3"/>
      <x:c r="AF506" s="3"/>
      <x:c r="AG506" s="3"/>
      <x:c r="AH506" s="3"/>
      <x:c r="AI506" s="3"/>
      <x:c r="AJ506" s="3"/>
      <x:c r="AK506" s="3"/>
      <x:c r="AL506" s="3"/>
      <x:c r="AM506" s="3"/>
      <x:c r="AT506" s="3"/>
      <x:c r="AU506" s="3"/>
      <x:c r="AV506" s="3"/>
      <x:c r="AW506" s="3"/>
      <x:c r="AX506" s="3"/>
      <x:c r="AY506" s="3"/>
      <x:c r="AZ506" s="3"/>
      <x:c r="BA506" s="3"/>
      <x:c r="BC506" s="3"/>
      <x:c r="BD506" s="3"/>
      <x:c r="BE506" s="3"/>
      <x:c r="BF506" s="3"/>
      <x:c r="BG506" s="3"/>
      <x:c r="BH506" s="13"/>
      <x:c r="BI506" s="13"/>
      <x:c r="BJ506" s="13"/>
      <x:c r="BK506" s="13"/>
      <x:c r="BL506" s="13"/>
      <x:c r="BM506" s="13"/>
      <x:c r="BN506" s="13"/>
      <x:c r="BO506" s="13"/>
      <x:c r="BP506" s="13"/>
      <x:c r="BQ506" s="13"/>
      <x:c r="BR506" s="13"/>
      <x:c r="BS506" s="13"/>
      <x:c r="BT506" s="13"/>
      <x:c r="BU506" s="13"/>
      <x:c r="BV506" s="13"/>
      <x:c r="BW506" s="13"/>
      <x:c r="BX506" s="13"/>
      <x:c r="BY506" s="13"/>
      <x:c r="BZ506" s="13"/>
      <x:c r="CA506" s="13"/>
      <x:c r="CB506" s="13"/>
      <x:c r="CC506" s="13"/>
      <x:c r="CD506" s="13"/>
      <x:c r="CE506" s="13"/>
      <x:c r="CF506" s="13"/>
      <x:c r="CG506" s="13"/>
    </x:row>
    <x:row r="507" ht="14.25" customHeight="1">
      <x:c r="AA507" s="3"/>
      <x:c r="AF507" s="3"/>
      <x:c r="AG507" s="3"/>
      <x:c r="AH507" s="3"/>
      <x:c r="AI507" s="3"/>
      <x:c r="AJ507" s="3"/>
      <x:c r="AK507" s="3"/>
      <x:c r="AL507" s="3"/>
      <x:c r="AM507" s="3"/>
      <x:c r="AT507" s="3"/>
      <x:c r="AU507" s="3"/>
      <x:c r="AV507" s="3"/>
      <x:c r="AW507" s="3"/>
      <x:c r="AX507" s="3"/>
      <x:c r="AY507" s="3"/>
      <x:c r="AZ507" s="3"/>
      <x:c r="BA507" s="3"/>
      <x:c r="BC507" s="3"/>
      <x:c r="BD507" s="3"/>
      <x:c r="BE507" s="3"/>
      <x:c r="BF507" s="3"/>
      <x:c r="BG507" s="3"/>
      <x:c r="BH507" s="13"/>
      <x:c r="BI507" s="13"/>
      <x:c r="BJ507" s="13"/>
      <x:c r="BK507" s="13"/>
      <x:c r="BL507" s="13"/>
      <x:c r="BM507" s="13"/>
      <x:c r="BN507" s="13"/>
      <x:c r="BO507" s="13"/>
      <x:c r="BP507" s="13"/>
      <x:c r="BQ507" s="13"/>
      <x:c r="BR507" s="13"/>
      <x:c r="BS507" s="13"/>
      <x:c r="BT507" s="13"/>
      <x:c r="BU507" s="13"/>
      <x:c r="BV507" s="13"/>
      <x:c r="BW507" s="13"/>
      <x:c r="BX507" s="13"/>
      <x:c r="BY507" s="13"/>
      <x:c r="BZ507" s="13"/>
      <x:c r="CA507" s="13"/>
      <x:c r="CB507" s="13"/>
      <x:c r="CC507" s="13"/>
      <x:c r="CD507" s="13"/>
      <x:c r="CE507" s="13"/>
      <x:c r="CF507" s="13"/>
      <x:c r="CG507" s="13"/>
    </x:row>
    <x:row r="508" ht="14.25" customHeight="1">
      <x:c r="AA508" s="3"/>
      <x:c r="AF508" s="3"/>
      <x:c r="AG508" s="3"/>
      <x:c r="AH508" s="3"/>
      <x:c r="AI508" s="3"/>
      <x:c r="AJ508" s="3"/>
      <x:c r="AK508" s="3"/>
      <x:c r="AL508" s="3"/>
      <x:c r="AM508" s="3"/>
      <x:c r="AT508" s="3"/>
      <x:c r="AU508" s="3"/>
      <x:c r="AV508" s="3"/>
      <x:c r="AW508" s="3"/>
      <x:c r="AX508" s="3"/>
      <x:c r="AY508" s="3"/>
      <x:c r="AZ508" s="3"/>
      <x:c r="BA508" s="3"/>
      <x:c r="BC508" s="3"/>
      <x:c r="BD508" s="3"/>
      <x:c r="BE508" s="3"/>
      <x:c r="BF508" s="3"/>
      <x:c r="BG508" s="3"/>
      <x:c r="BH508" s="13"/>
      <x:c r="BI508" s="13"/>
      <x:c r="BJ508" s="13"/>
      <x:c r="BK508" s="13"/>
      <x:c r="BL508" s="13"/>
      <x:c r="BM508" s="13"/>
      <x:c r="BN508" s="13"/>
      <x:c r="BO508" s="13"/>
      <x:c r="BP508" s="13"/>
      <x:c r="BQ508" s="13"/>
      <x:c r="BR508" s="13"/>
      <x:c r="BS508" s="13"/>
      <x:c r="BT508" s="13"/>
      <x:c r="BU508" s="13"/>
      <x:c r="BV508" s="13"/>
      <x:c r="BW508" s="13"/>
      <x:c r="BX508" s="13"/>
      <x:c r="BY508" s="13"/>
      <x:c r="BZ508" s="13"/>
      <x:c r="CA508" s="13"/>
      <x:c r="CB508" s="13"/>
      <x:c r="CC508" s="13"/>
      <x:c r="CD508" s="13"/>
      <x:c r="CE508" s="13"/>
      <x:c r="CF508" s="13"/>
      <x:c r="CG508" s="13"/>
    </x:row>
    <x:row r="509" ht="14.25" customHeight="1">
      <x:c r="AA509" s="3"/>
      <x:c r="AF509" s="3"/>
      <x:c r="AG509" s="3"/>
      <x:c r="AH509" s="3"/>
      <x:c r="AI509" s="3"/>
      <x:c r="AJ509" s="3"/>
      <x:c r="AK509" s="3"/>
      <x:c r="AL509" s="3"/>
      <x:c r="AM509" s="3"/>
      <x:c r="AT509" s="3"/>
      <x:c r="AU509" s="3"/>
      <x:c r="AV509" s="3"/>
      <x:c r="AW509" s="3"/>
      <x:c r="AX509" s="3"/>
      <x:c r="AY509" s="3"/>
      <x:c r="AZ509" s="3"/>
      <x:c r="BA509" s="3"/>
      <x:c r="BC509" s="3"/>
      <x:c r="BD509" s="3"/>
      <x:c r="BE509" s="3"/>
      <x:c r="BF509" s="3"/>
      <x:c r="BG509" s="3"/>
      <x:c r="BH509" s="13"/>
      <x:c r="BI509" s="13"/>
      <x:c r="BJ509" s="13"/>
      <x:c r="BK509" s="13"/>
      <x:c r="BL509" s="13"/>
      <x:c r="BM509" s="13"/>
      <x:c r="BN509" s="13"/>
      <x:c r="BO509" s="13"/>
      <x:c r="BP509" s="13"/>
      <x:c r="BQ509" s="13"/>
      <x:c r="BR509" s="13"/>
      <x:c r="BS509" s="13"/>
      <x:c r="BT509" s="13"/>
      <x:c r="BU509" s="13"/>
      <x:c r="BV509" s="13"/>
      <x:c r="BW509" s="13"/>
      <x:c r="BX509" s="13"/>
      <x:c r="BY509" s="13"/>
      <x:c r="BZ509" s="13"/>
      <x:c r="CA509" s="13"/>
      <x:c r="CB509" s="13"/>
      <x:c r="CC509" s="13"/>
      <x:c r="CD509" s="13"/>
      <x:c r="CE509" s="13"/>
      <x:c r="CF509" s="13"/>
      <x:c r="CG509" s="13"/>
    </x:row>
    <x:row r="510" ht="14.25" customHeight="1">
      <x:c r="AA510" s="3"/>
      <x:c r="AF510" s="3"/>
      <x:c r="AG510" s="3"/>
      <x:c r="AH510" s="3"/>
      <x:c r="AI510" s="3"/>
      <x:c r="AJ510" s="3"/>
      <x:c r="AK510" s="3"/>
      <x:c r="AL510" s="3"/>
      <x:c r="AM510" s="3"/>
      <x:c r="AT510" s="3"/>
      <x:c r="AU510" s="3"/>
      <x:c r="AV510" s="3"/>
      <x:c r="AW510" s="3"/>
      <x:c r="AX510" s="3"/>
      <x:c r="AY510" s="3"/>
      <x:c r="AZ510" s="3"/>
      <x:c r="BA510" s="3"/>
      <x:c r="BC510" s="3"/>
      <x:c r="BD510" s="3"/>
      <x:c r="BE510" s="3"/>
      <x:c r="BF510" s="3"/>
      <x:c r="BG510" s="3"/>
      <x:c r="BH510" s="13"/>
      <x:c r="BI510" s="13"/>
      <x:c r="BJ510" s="13"/>
      <x:c r="BK510" s="13"/>
      <x:c r="BL510" s="13"/>
      <x:c r="BM510" s="13"/>
      <x:c r="BN510" s="13"/>
      <x:c r="BO510" s="13"/>
      <x:c r="BP510" s="13"/>
      <x:c r="BQ510" s="13"/>
      <x:c r="BR510" s="13"/>
      <x:c r="BS510" s="13"/>
      <x:c r="BT510" s="13"/>
      <x:c r="BU510" s="13"/>
      <x:c r="BV510" s="13"/>
      <x:c r="BW510" s="13"/>
      <x:c r="BX510" s="13"/>
      <x:c r="BY510" s="13"/>
      <x:c r="BZ510" s="13"/>
      <x:c r="CA510" s="13"/>
      <x:c r="CB510" s="13"/>
      <x:c r="CC510" s="13"/>
      <x:c r="CD510" s="13"/>
      <x:c r="CE510" s="13"/>
      <x:c r="CF510" s="13"/>
      <x:c r="CG510" s="13"/>
    </x:row>
    <x:row r="511" ht="14.25" customHeight="1">
      <x:c r="AA511" s="3"/>
      <x:c r="AF511" s="3"/>
      <x:c r="AG511" s="3"/>
      <x:c r="AH511" s="3"/>
      <x:c r="AI511" s="3"/>
      <x:c r="AJ511" s="3"/>
      <x:c r="AK511" s="3"/>
      <x:c r="AL511" s="3"/>
      <x:c r="AM511" s="3"/>
      <x:c r="AT511" s="3"/>
      <x:c r="AU511" s="3"/>
      <x:c r="AV511" s="3"/>
      <x:c r="AW511" s="3"/>
      <x:c r="AX511" s="3"/>
      <x:c r="AY511" s="3"/>
      <x:c r="AZ511" s="3"/>
      <x:c r="BA511" s="3"/>
      <x:c r="BC511" s="3"/>
      <x:c r="BD511" s="3"/>
      <x:c r="BE511" s="3"/>
      <x:c r="BF511" s="3"/>
      <x:c r="BG511" s="3"/>
      <x:c r="BH511" s="13"/>
      <x:c r="BI511" s="13"/>
      <x:c r="BJ511" s="13"/>
      <x:c r="BK511" s="13"/>
      <x:c r="BL511" s="13"/>
      <x:c r="BM511" s="13"/>
      <x:c r="BN511" s="13"/>
      <x:c r="BO511" s="13"/>
      <x:c r="BP511" s="13"/>
      <x:c r="BQ511" s="13"/>
      <x:c r="BR511" s="13"/>
      <x:c r="BS511" s="13"/>
      <x:c r="BT511" s="13"/>
      <x:c r="BU511" s="13"/>
      <x:c r="BV511" s="13"/>
      <x:c r="BW511" s="13"/>
      <x:c r="BX511" s="13"/>
      <x:c r="BY511" s="13"/>
      <x:c r="BZ511" s="13"/>
      <x:c r="CA511" s="13"/>
      <x:c r="CB511" s="13"/>
      <x:c r="CC511" s="13"/>
      <x:c r="CD511" s="13"/>
      <x:c r="CE511" s="13"/>
      <x:c r="CF511" s="13"/>
      <x:c r="CG511" s="13"/>
    </x:row>
    <x:row r="512" ht="14.25" customHeight="1">
      <x:c r="AA512" s="3"/>
      <x:c r="AF512" s="3"/>
      <x:c r="AG512" s="3"/>
      <x:c r="AH512" s="3"/>
      <x:c r="AI512" s="3"/>
      <x:c r="AJ512" s="3"/>
      <x:c r="AK512" s="3"/>
      <x:c r="AL512" s="3"/>
      <x:c r="AM512" s="3"/>
      <x:c r="AT512" s="3"/>
      <x:c r="AU512" s="3"/>
      <x:c r="AV512" s="3"/>
      <x:c r="AW512" s="3"/>
      <x:c r="AX512" s="3"/>
      <x:c r="AY512" s="3"/>
      <x:c r="AZ512" s="3"/>
      <x:c r="BA512" s="3"/>
      <x:c r="BC512" s="3"/>
      <x:c r="BD512" s="3"/>
      <x:c r="BE512" s="3"/>
      <x:c r="BF512" s="3"/>
      <x:c r="BG512" s="3"/>
      <x:c r="BH512" s="13"/>
      <x:c r="BI512" s="13"/>
      <x:c r="BJ512" s="13"/>
      <x:c r="BK512" s="13"/>
      <x:c r="BL512" s="13"/>
      <x:c r="BM512" s="13"/>
      <x:c r="BN512" s="13"/>
      <x:c r="BO512" s="13"/>
      <x:c r="BP512" s="13"/>
      <x:c r="BQ512" s="13"/>
      <x:c r="BR512" s="13"/>
      <x:c r="BS512" s="13"/>
      <x:c r="BT512" s="13"/>
      <x:c r="BU512" s="13"/>
      <x:c r="BV512" s="13"/>
      <x:c r="BW512" s="13"/>
      <x:c r="BX512" s="13"/>
      <x:c r="BY512" s="13"/>
      <x:c r="BZ512" s="13"/>
      <x:c r="CA512" s="13"/>
      <x:c r="CB512" s="13"/>
      <x:c r="CC512" s="13"/>
      <x:c r="CD512" s="13"/>
      <x:c r="CE512" s="13"/>
      <x:c r="CF512" s="13"/>
      <x:c r="CG512" s="13"/>
    </x:row>
    <x:row r="513" ht="14.25" customHeight="1">
      <x:c r="AA513" s="3"/>
      <x:c r="AF513" s="3"/>
      <x:c r="AG513" s="3"/>
      <x:c r="AH513" s="3"/>
      <x:c r="AI513" s="3"/>
      <x:c r="AJ513" s="3"/>
      <x:c r="AK513" s="3"/>
      <x:c r="AL513" s="3"/>
      <x:c r="AM513" s="3"/>
      <x:c r="AT513" s="3"/>
      <x:c r="AU513" s="3"/>
      <x:c r="AV513" s="3"/>
      <x:c r="AW513" s="3"/>
      <x:c r="AX513" s="3"/>
      <x:c r="AY513" s="3"/>
      <x:c r="AZ513" s="3"/>
      <x:c r="BA513" s="3"/>
      <x:c r="BC513" s="3"/>
      <x:c r="BD513" s="3"/>
      <x:c r="BE513" s="3"/>
      <x:c r="BF513" s="3"/>
      <x:c r="BG513" s="3"/>
      <x:c r="BH513" s="13"/>
      <x:c r="BI513" s="13"/>
      <x:c r="BJ513" s="13"/>
      <x:c r="BK513" s="13"/>
      <x:c r="BL513" s="13"/>
      <x:c r="BM513" s="13"/>
      <x:c r="BN513" s="13"/>
      <x:c r="BO513" s="13"/>
      <x:c r="BP513" s="13"/>
      <x:c r="BQ513" s="13"/>
      <x:c r="BR513" s="13"/>
      <x:c r="BS513" s="13"/>
      <x:c r="BT513" s="13"/>
      <x:c r="BU513" s="13"/>
      <x:c r="BV513" s="13"/>
      <x:c r="BW513" s="13"/>
      <x:c r="BX513" s="13"/>
      <x:c r="BY513" s="13"/>
      <x:c r="BZ513" s="13"/>
      <x:c r="CA513" s="13"/>
      <x:c r="CB513" s="13"/>
      <x:c r="CC513" s="13"/>
      <x:c r="CD513" s="13"/>
      <x:c r="CE513" s="13"/>
      <x:c r="CF513" s="13"/>
      <x:c r="CG513" s="13"/>
    </x:row>
    <x:row r="514" ht="14.25" customHeight="1">
      <x:c r="AA514" s="3"/>
      <x:c r="AF514" s="3"/>
      <x:c r="AG514" s="3"/>
      <x:c r="AH514" s="3"/>
      <x:c r="AI514" s="3"/>
      <x:c r="AJ514" s="3"/>
      <x:c r="AK514" s="3"/>
      <x:c r="AL514" s="3"/>
      <x:c r="AM514" s="3"/>
      <x:c r="AT514" s="3"/>
      <x:c r="AU514" s="3"/>
      <x:c r="AV514" s="3"/>
      <x:c r="AW514" s="3"/>
      <x:c r="AX514" s="3"/>
      <x:c r="AY514" s="3"/>
      <x:c r="AZ514" s="3"/>
      <x:c r="BA514" s="3"/>
      <x:c r="BC514" s="3"/>
      <x:c r="BD514" s="3"/>
      <x:c r="BE514" s="3"/>
      <x:c r="BF514" s="3"/>
      <x:c r="BG514" s="3"/>
      <x:c r="BH514" s="13"/>
      <x:c r="BI514" s="13"/>
      <x:c r="BJ514" s="13"/>
      <x:c r="BK514" s="13"/>
      <x:c r="BL514" s="13"/>
      <x:c r="BM514" s="13"/>
      <x:c r="BN514" s="13"/>
      <x:c r="BO514" s="13"/>
      <x:c r="BP514" s="13"/>
      <x:c r="BQ514" s="13"/>
      <x:c r="BR514" s="13"/>
      <x:c r="BS514" s="13"/>
      <x:c r="BT514" s="13"/>
      <x:c r="BU514" s="13"/>
      <x:c r="BV514" s="13"/>
      <x:c r="BW514" s="13"/>
      <x:c r="BX514" s="13"/>
      <x:c r="BY514" s="13"/>
      <x:c r="BZ514" s="13"/>
      <x:c r="CA514" s="13"/>
      <x:c r="CB514" s="13"/>
      <x:c r="CC514" s="13"/>
      <x:c r="CD514" s="13"/>
      <x:c r="CE514" s="13"/>
      <x:c r="CF514" s="13"/>
      <x:c r="CG514" s="13"/>
    </x:row>
    <x:row r="515" ht="14.25" customHeight="1">
      <x:c r="AA515" s="3"/>
      <x:c r="AF515" s="3"/>
      <x:c r="AG515" s="3"/>
      <x:c r="AH515" s="3"/>
      <x:c r="AI515" s="3"/>
      <x:c r="AJ515" s="3"/>
      <x:c r="AK515" s="3"/>
      <x:c r="AL515" s="3"/>
      <x:c r="AM515" s="3"/>
      <x:c r="AT515" s="3"/>
      <x:c r="AU515" s="3"/>
      <x:c r="AV515" s="3"/>
      <x:c r="AW515" s="3"/>
      <x:c r="AX515" s="3"/>
      <x:c r="AY515" s="3"/>
      <x:c r="AZ515" s="3"/>
      <x:c r="BA515" s="3"/>
      <x:c r="BC515" s="3"/>
      <x:c r="BD515" s="3"/>
      <x:c r="BE515" s="3"/>
      <x:c r="BF515" s="3"/>
      <x:c r="BG515" s="3"/>
      <x:c r="BH515" s="13"/>
      <x:c r="BI515" s="13"/>
      <x:c r="BJ515" s="13"/>
      <x:c r="BK515" s="13"/>
      <x:c r="BL515" s="13"/>
      <x:c r="BM515" s="13"/>
      <x:c r="BN515" s="13"/>
      <x:c r="BO515" s="13"/>
      <x:c r="BP515" s="13"/>
      <x:c r="BQ515" s="13"/>
      <x:c r="BR515" s="13"/>
      <x:c r="BS515" s="13"/>
      <x:c r="BT515" s="13"/>
      <x:c r="BU515" s="13"/>
      <x:c r="BV515" s="13"/>
      <x:c r="BW515" s="13"/>
      <x:c r="BX515" s="13"/>
      <x:c r="BY515" s="13"/>
      <x:c r="BZ515" s="13"/>
      <x:c r="CA515" s="13"/>
      <x:c r="CB515" s="13"/>
      <x:c r="CC515" s="13"/>
      <x:c r="CD515" s="13"/>
      <x:c r="CE515" s="13"/>
      <x:c r="CF515" s="13"/>
      <x:c r="CG515" s="13"/>
    </x:row>
    <x:row r="516" ht="14.25" customHeight="1">
      <x:c r="AA516" s="3"/>
      <x:c r="AF516" s="3"/>
      <x:c r="AG516" s="3"/>
      <x:c r="AH516" s="3"/>
      <x:c r="AI516" s="3"/>
      <x:c r="AJ516" s="3"/>
      <x:c r="AK516" s="3"/>
      <x:c r="AL516" s="3"/>
      <x:c r="AM516" s="3"/>
      <x:c r="AT516" s="3"/>
      <x:c r="AU516" s="3"/>
      <x:c r="AV516" s="3"/>
      <x:c r="AW516" s="3"/>
      <x:c r="AX516" s="3"/>
      <x:c r="AY516" s="3"/>
      <x:c r="AZ516" s="3"/>
      <x:c r="BA516" s="3"/>
      <x:c r="BC516" s="3"/>
      <x:c r="BD516" s="3"/>
      <x:c r="BE516" s="3"/>
      <x:c r="BF516" s="3"/>
      <x:c r="BG516" s="3"/>
      <x:c r="BH516" s="13"/>
      <x:c r="BI516" s="13"/>
      <x:c r="BJ516" s="13"/>
      <x:c r="BK516" s="13"/>
      <x:c r="BL516" s="13"/>
      <x:c r="BM516" s="13"/>
      <x:c r="BN516" s="13"/>
      <x:c r="BO516" s="13"/>
      <x:c r="BP516" s="13"/>
      <x:c r="BQ516" s="13"/>
      <x:c r="BR516" s="13"/>
      <x:c r="BS516" s="13"/>
      <x:c r="BT516" s="13"/>
      <x:c r="BU516" s="13"/>
      <x:c r="BV516" s="13"/>
      <x:c r="BW516" s="13"/>
      <x:c r="BX516" s="13"/>
      <x:c r="BY516" s="13"/>
      <x:c r="BZ516" s="13"/>
      <x:c r="CA516" s="13"/>
      <x:c r="CB516" s="13"/>
      <x:c r="CC516" s="13"/>
      <x:c r="CD516" s="13"/>
      <x:c r="CE516" s="13"/>
      <x:c r="CF516" s="13"/>
      <x:c r="CG516" s="13"/>
    </x:row>
    <x:row r="517" ht="14.25" customHeight="1">
      <x:c r="AA517" s="3"/>
      <x:c r="AF517" s="3"/>
      <x:c r="AG517" s="3"/>
      <x:c r="AH517" s="3"/>
      <x:c r="AI517" s="3"/>
      <x:c r="AJ517" s="3"/>
      <x:c r="AK517" s="3"/>
      <x:c r="AL517" s="3"/>
      <x:c r="AM517" s="3"/>
      <x:c r="AT517" s="3"/>
      <x:c r="AU517" s="3"/>
      <x:c r="AV517" s="3"/>
      <x:c r="AW517" s="3"/>
      <x:c r="AX517" s="3"/>
      <x:c r="AY517" s="3"/>
      <x:c r="AZ517" s="3"/>
      <x:c r="BA517" s="3"/>
      <x:c r="BC517" s="3"/>
      <x:c r="BD517" s="3"/>
      <x:c r="BE517" s="3"/>
      <x:c r="BF517" s="3"/>
      <x:c r="BG517" s="3"/>
      <x:c r="BH517" s="13"/>
      <x:c r="BI517" s="13"/>
      <x:c r="BJ517" s="13"/>
      <x:c r="BK517" s="13"/>
      <x:c r="BL517" s="13"/>
      <x:c r="BM517" s="13"/>
      <x:c r="BN517" s="13"/>
      <x:c r="BO517" s="13"/>
      <x:c r="BP517" s="13"/>
      <x:c r="BQ517" s="13"/>
      <x:c r="BR517" s="13"/>
      <x:c r="BS517" s="13"/>
      <x:c r="BT517" s="13"/>
      <x:c r="BU517" s="13"/>
      <x:c r="BV517" s="13"/>
      <x:c r="BW517" s="13"/>
      <x:c r="BX517" s="13"/>
      <x:c r="BY517" s="13"/>
      <x:c r="BZ517" s="13"/>
      <x:c r="CA517" s="13"/>
      <x:c r="CB517" s="13"/>
      <x:c r="CC517" s="13"/>
      <x:c r="CD517" s="13"/>
      <x:c r="CE517" s="13"/>
      <x:c r="CF517" s="13"/>
      <x:c r="CG517" s="13"/>
    </x:row>
    <x:row r="518" ht="14.25" customHeight="1">
      <x:c r="AA518" s="3"/>
      <x:c r="AF518" s="3"/>
      <x:c r="AG518" s="3"/>
      <x:c r="AH518" s="3"/>
      <x:c r="AI518" s="3"/>
      <x:c r="AJ518" s="3"/>
      <x:c r="AK518" s="3"/>
      <x:c r="AL518" s="3"/>
      <x:c r="AM518" s="3"/>
      <x:c r="AT518" s="3"/>
      <x:c r="AU518" s="3"/>
      <x:c r="AV518" s="3"/>
      <x:c r="AW518" s="3"/>
      <x:c r="AX518" s="3"/>
      <x:c r="AY518" s="3"/>
      <x:c r="AZ518" s="3"/>
      <x:c r="BA518" s="3"/>
      <x:c r="BC518" s="3"/>
      <x:c r="BD518" s="3"/>
      <x:c r="BE518" s="3"/>
      <x:c r="BF518" s="3"/>
      <x:c r="BG518" s="3"/>
      <x:c r="BH518" s="13"/>
      <x:c r="BI518" s="13"/>
      <x:c r="BJ518" s="13"/>
      <x:c r="BK518" s="13"/>
      <x:c r="BL518" s="13"/>
      <x:c r="BM518" s="13"/>
      <x:c r="BN518" s="13"/>
      <x:c r="BO518" s="13"/>
      <x:c r="BP518" s="13"/>
      <x:c r="BQ518" s="13"/>
      <x:c r="BR518" s="13"/>
      <x:c r="BS518" s="13"/>
      <x:c r="BT518" s="13"/>
      <x:c r="BU518" s="13"/>
      <x:c r="BV518" s="13"/>
      <x:c r="BW518" s="13"/>
      <x:c r="BX518" s="13"/>
      <x:c r="BY518" s="13"/>
      <x:c r="BZ518" s="13"/>
      <x:c r="CA518" s="13"/>
      <x:c r="CB518" s="13"/>
      <x:c r="CC518" s="13"/>
      <x:c r="CD518" s="13"/>
      <x:c r="CE518" s="13"/>
      <x:c r="CF518" s="13"/>
      <x:c r="CG518" s="13"/>
    </x:row>
    <x:row r="519" ht="14.25" customHeight="1">
      <x:c r="AA519" s="3"/>
      <x:c r="AF519" s="3"/>
      <x:c r="AG519" s="3"/>
      <x:c r="AH519" s="3"/>
      <x:c r="AI519" s="3"/>
      <x:c r="AJ519" s="3"/>
      <x:c r="AK519" s="3"/>
      <x:c r="AL519" s="3"/>
      <x:c r="AM519" s="3"/>
      <x:c r="AT519" s="3"/>
      <x:c r="AU519" s="3"/>
      <x:c r="AV519" s="3"/>
      <x:c r="AW519" s="3"/>
      <x:c r="AX519" s="3"/>
      <x:c r="AY519" s="3"/>
      <x:c r="AZ519" s="3"/>
      <x:c r="BA519" s="3"/>
      <x:c r="BC519" s="3"/>
      <x:c r="BD519" s="3"/>
      <x:c r="BE519" s="3"/>
      <x:c r="BF519" s="3"/>
      <x:c r="BG519" s="3"/>
      <x:c r="BH519" s="13"/>
      <x:c r="BI519" s="13"/>
      <x:c r="BJ519" s="13"/>
      <x:c r="BK519" s="13"/>
      <x:c r="BL519" s="13"/>
      <x:c r="BM519" s="13"/>
      <x:c r="BN519" s="13"/>
      <x:c r="BO519" s="13"/>
      <x:c r="BP519" s="13"/>
      <x:c r="BQ519" s="13"/>
      <x:c r="BR519" s="13"/>
      <x:c r="BS519" s="13"/>
      <x:c r="BT519" s="13"/>
      <x:c r="BU519" s="13"/>
      <x:c r="BV519" s="13"/>
      <x:c r="BW519" s="13"/>
      <x:c r="BX519" s="13"/>
      <x:c r="BY519" s="13"/>
      <x:c r="BZ519" s="13"/>
      <x:c r="CA519" s="13"/>
      <x:c r="CB519" s="13"/>
      <x:c r="CC519" s="13"/>
      <x:c r="CD519" s="13"/>
      <x:c r="CE519" s="13"/>
      <x:c r="CF519" s="13"/>
      <x:c r="CG519" s="13"/>
    </x:row>
    <x:row r="520" ht="14.25" customHeight="1">
      <x:c r="AA520" s="3"/>
      <x:c r="AF520" s="3"/>
      <x:c r="AG520" s="3"/>
      <x:c r="AH520" s="3"/>
      <x:c r="AI520" s="3"/>
      <x:c r="AJ520" s="3"/>
      <x:c r="AK520" s="3"/>
      <x:c r="AL520" s="3"/>
      <x:c r="AM520" s="3"/>
      <x:c r="AT520" s="3"/>
      <x:c r="AU520" s="3"/>
      <x:c r="AV520" s="3"/>
      <x:c r="AW520" s="3"/>
      <x:c r="AX520" s="3"/>
      <x:c r="AY520" s="3"/>
      <x:c r="AZ520" s="3"/>
      <x:c r="BA520" s="3"/>
      <x:c r="BC520" s="3"/>
      <x:c r="BD520" s="3"/>
      <x:c r="BE520" s="3"/>
      <x:c r="BF520" s="3"/>
      <x:c r="BG520" s="3"/>
      <x:c r="BH520" s="13"/>
      <x:c r="BI520" s="13"/>
      <x:c r="BJ520" s="13"/>
      <x:c r="BK520" s="13"/>
      <x:c r="BL520" s="13"/>
      <x:c r="BM520" s="13"/>
      <x:c r="BN520" s="13"/>
      <x:c r="BO520" s="13"/>
      <x:c r="BP520" s="13"/>
      <x:c r="BQ520" s="13"/>
      <x:c r="BR520" s="13"/>
      <x:c r="BS520" s="13"/>
      <x:c r="BT520" s="13"/>
      <x:c r="BU520" s="13"/>
      <x:c r="BV520" s="13"/>
      <x:c r="BW520" s="13"/>
      <x:c r="BX520" s="13"/>
      <x:c r="BY520" s="13"/>
      <x:c r="BZ520" s="13"/>
      <x:c r="CA520" s="13"/>
      <x:c r="CB520" s="13"/>
      <x:c r="CC520" s="13"/>
      <x:c r="CD520" s="13"/>
      <x:c r="CE520" s="13"/>
      <x:c r="CF520" s="13"/>
      <x:c r="CG520" s="13"/>
    </x:row>
    <x:row r="521" ht="14.25" customHeight="1">
      <x:c r="AA521" s="3"/>
      <x:c r="AF521" s="3"/>
      <x:c r="AG521" s="3"/>
      <x:c r="AH521" s="3"/>
      <x:c r="AI521" s="3"/>
      <x:c r="AJ521" s="3"/>
      <x:c r="AK521" s="3"/>
      <x:c r="AL521" s="3"/>
      <x:c r="AM521" s="3"/>
      <x:c r="AT521" s="3"/>
      <x:c r="AU521" s="3"/>
      <x:c r="AV521" s="3"/>
      <x:c r="AW521" s="3"/>
      <x:c r="AX521" s="3"/>
      <x:c r="AY521" s="3"/>
      <x:c r="AZ521" s="3"/>
      <x:c r="BA521" s="3"/>
      <x:c r="BC521" s="3"/>
      <x:c r="BD521" s="3"/>
      <x:c r="BE521" s="3"/>
      <x:c r="BF521" s="3"/>
      <x:c r="BG521" s="3"/>
      <x:c r="BH521" s="13"/>
      <x:c r="BI521" s="13"/>
      <x:c r="BJ521" s="13"/>
      <x:c r="BK521" s="13"/>
      <x:c r="BL521" s="13"/>
      <x:c r="BM521" s="13"/>
      <x:c r="BN521" s="13"/>
      <x:c r="BO521" s="13"/>
      <x:c r="BP521" s="13"/>
      <x:c r="BQ521" s="13"/>
      <x:c r="BR521" s="13"/>
      <x:c r="BS521" s="13"/>
      <x:c r="BT521" s="13"/>
      <x:c r="BU521" s="13"/>
      <x:c r="BV521" s="13"/>
      <x:c r="BW521" s="13"/>
      <x:c r="BX521" s="13"/>
      <x:c r="BY521" s="13"/>
      <x:c r="BZ521" s="13"/>
      <x:c r="CA521" s="13"/>
      <x:c r="CB521" s="13"/>
      <x:c r="CC521" s="13"/>
      <x:c r="CD521" s="13"/>
      <x:c r="CE521" s="13"/>
      <x:c r="CF521" s="13"/>
      <x:c r="CG521" s="13"/>
    </x:row>
    <x:row r="522" ht="14.25" customHeight="1">
      <x:c r="AA522" s="3"/>
      <x:c r="AF522" s="3"/>
      <x:c r="AG522" s="3"/>
      <x:c r="AH522" s="3"/>
      <x:c r="AI522" s="3"/>
      <x:c r="AJ522" s="3"/>
      <x:c r="AK522" s="3"/>
      <x:c r="AL522" s="3"/>
      <x:c r="AM522" s="3"/>
      <x:c r="AT522" s="3"/>
      <x:c r="AU522" s="3"/>
      <x:c r="AV522" s="3"/>
      <x:c r="AW522" s="3"/>
      <x:c r="AX522" s="3"/>
      <x:c r="AY522" s="3"/>
      <x:c r="AZ522" s="3"/>
      <x:c r="BA522" s="3"/>
      <x:c r="BC522" s="3"/>
      <x:c r="BD522" s="3"/>
      <x:c r="BE522" s="3"/>
      <x:c r="BF522" s="3"/>
      <x:c r="BG522" s="3"/>
      <x:c r="BH522" s="13"/>
      <x:c r="BI522" s="13"/>
      <x:c r="BJ522" s="13"/>
      <x:c r="BK522" s="13"/>
      <x:c r="BL522" s="13"/>
      <x:c r="BM522" s="13"/>
      <x:c r="BN522" s="13"/>
      <x:c r="BO522" s="13"/>
      <x:c r="BP522" s="13"/>
      <x:c r="BQ522" s="13"/>
      <x:c r="BR522" s="13"/>
      <x:c r="BS522" s="13"/>
      <x:c r="BT522" s="13"/>
      <x:c r="BU522" s="13"/>
      <x:c r="BV522" s="13"/>
      <x:c r="BW522" s="13"/>
      <x:c r="BX522" s="13"/>
      <x:c r="BY522" s="13"/>
      <x:c r="BZ522" s="13"/>
      <x:c r="CA522" s="13"/>
      <x:c r="CB522" s="13"/>
      <x:c r="CC522" s="13"/>
      <x:c r="CD522" s="13"/>
      <x:c r="CE522" s="13"/>
      <x:c r="CF522" s="13"/>
      <x:c r="CG522" s="13"/>
    </x:row>
    <x:row r="523" ht="14.25" customHeight="1">
      <x:c r="AA523" s="3"/>
      <x:c r="AF523" s="3"/>
      <x:c r="AG523" s="3"/>
      <x:c r="AH523" s="3"/>
      <x:c r="AI523" s="3"/>
      <x:c r="AJ523" s="3"/>
      <x:c r="AK523" s="3"/>
      <x:c r="AL523" s="3"/>
      <x:c r="AM523" s="3"/>
      <x:c r="AT523" s="3"/>
      <x:c r="AU523" s="3"/>
      <x:c r="AV523" s="3"/>
      <x:c r="AW523" s="3"/>
      <x:c r="AX523" s="3"/>
      <x:c r="AY523" s="3"/>
      <x:c r="AZ523" s="3"/>
      <x:c r="BA523" s="3"/>
      <x:c r="BC523" s="3"/>
      <x:c r="BD523" s="3"/>
      <x:c r="BE523" s="3"/>
      <x:c r="BF523" s="3"/>
      <x:c r="BG523" s="3"/>
      <x:c r="BH523" s="13"/>
      <x:c r="BI523" s="13"/>
      <x:c r="BJ523" s="13"/>
      <x:c r="BK523" s="13"/>
      <x:c r="BL523" s="13"/>
      <x:c r="BM523" s="13"/>
      <x:c r="BN523" s="13"/>
      <x:c r="BO523" s="13"/>
      <x:c r="BP523" s="13"/>
      <x:c r="BQ523" s="13"/>
      <x:c r="BR523" s="13"/>
      <x:c r="BS523" s="13"/>
      <x:c r="BT523" s="13"/>
      <x:c r="BU523" s="13"/>
      <x:c r="BV523" s="13"/>
      <x:c r="BW523" s="13"/>
      <x:c r="BX523" s="13"/>
      <x:c r="BY523" s="13"/>
      <x:c r="BZ523" s="13"/>
      <x:c r="CA523" s="13"/>
      <x:c r="CB523" s="13"/>
      <x:c r="CC523" s="13"/>
      <x:c r="CD523" s="13"/>
      <x:c r="CE523" s="13"/>
      <x:c r="CF523" s="13"/>
      <x:c r="CG523" s="13"/>
    </x:row>
    <x:row r="524" ht="14.25" customHeight="1">
      <x:c r="AA524" s="3"/>
      <x:c r="AF524" s="3"/>
      <x:c r="AG524" s="3"/>
      <x:c r="AH524" s="3"/>
      <x:c r="AI524" s="3"/>
      <x:c r="AJ524" s="3"/>
      <x:c r="AK524" s="3"/>
      <x:c r="AL524" s="3"/>
      <x:c r="AM524" s="3"/>
      <x:c r="AT524" s="3"/>
      <x:c r="AU524" s="3"/>
      <x:c r="AV524" s="3"/>
      <x:c r="AW524" s="3"/>
      <x:c r="AX524" s="3"/>
      <x:c r="AY524" s="3"/>
      <x:c r="AZ524" s="3"/>
      <x:c r="BA524" s="3"/>
      <x:c r="BC524" s="3"/>
      <x:c r="BD524" s="3"/>
      <x:c r="BE524" s="3"/>
      <x:c r="BF524" s="3"/>
      <x:c r="BG524" s="3"/>
      <x:c r="BH524" s="13"/>
      <x:c r="BI524" s="13"/>
      <x:c r="BJ524" s="13"/>
      <x:c r="BK524" s="13"/>
      <x:c r="BL524" s="13"/>
      <x:c r="BM524" s="13"/>
      <x:c r="BN524" s="13"/>
      <x:c r="BO524" s="13"/>
      <x:c r="BP524" s="13"/>
      <x:c r="BQ524" s="13"/>
      <x:c r="BR524" s="13"/>
      <x:c r="BS524" s="13"/>
      <x:c r="BT524" s="13"/>
      <x:c r="BU524" s="13"/>
      <x:c r="BV524" s="13"/>
      <x:c r="BW524" s="13"/>
      <x:c r="BX524" s="13"/>
      <x:c r="BY524" s="13"/>
      <x:c r="BZ524" s="13"/>
      <x:c r="CA524" s="13"/>
      <x:c r="CB524" s="13"/>
      <x:c r="CC524" s="13"/>
      <x:c r="CD524" s="13"/>
      <x:c r="CE524" s="13"/>
      <x:c r="CF524" s="13"/>
      <x:c r="CG524" s="13"/>
    </x:row>
    <x:row r="525" ht="14.25" customHeight="1">
      <x:c r="AA525" s="3"/>
      <x:c r="AF525" s="3"/>
      <x:c r="AG525" s="3"/>
      <x:c r="AH525" s="3"/>
      <x:c r="AI525" s="3"/>
      <x:c r="AJ525" s="3"/>
      <x:c r="AK525" s="3"/>
      <x:c r="AL525" s="3"/>
      <x:c r="AM525" s="3"/>
      <x:c r="AT525" s="3"/>
      <x:c r="AU525" s="3"/>
      <x:c r="AV525" s="3"/>
      <x:c r="AW525" s="3"/>
      <x:c r="AX525" s="3"/>
      <x:c r="AY525" s="3"/>
      <x:c r="AZ525" s="3"/>
      <x:c r="BA525" s="3"/>
      <x:c r="BC525" s="3"/>
      <x:c r="BD525" s="3"/>
      <x:c r="BE525" s="3"/>
      <x:c r="BF525" s="3"/>
      <x:c r="BG525" s="3"/>
      <x:c r="BH525" s="13"/>
      <x:c r="BI525" s="13"/>
      <x:c r="BJ525" s="13"/>
      <x:c r="BK525" s="13"/>
      <x:c r="BL525" s="13"/>
      <x:c r="BM525" s="13"/>
      <x:c r="BN525" s="13"/>
      <x:c r="BO525" s="13"/>
      <x:c r="BP525" s="13"/>
      <x:c r="BQ525" s="13"/>
      <x:c r="BR525" s="13"/>
      <x:c r="BS525" s="13"/>
      <x:c r="BT525" s="13"/>
      <x:c r="BU525" s="13"/>
      <x:c r="BV525" s="13"/>
      <x:c r="BW525" s="13"/>
      <x:c r="BX525" s="13"/>
      <x:c r="BY525" s="13"/>
      <x:c r="BZ525" s="13"/>
      <x:c r="CA525" s="13"/>
      <x:c r="CB525" s="13"/>
      <x:c r="CC525" s="13"/>
      <x:c r="CD525" s="13"/>
      <x:c r="CE525" s="13"/>
      <x:c r="CF525" s="13"/>
      <x:c r="CG525" s="13"/>
    </x:row>
    <x:row r="526" ht="14.25" customHeight="1">
      <x:c r="AA526" s="3"/>
      <x:c r="AF526" s="3"/>
      <x:c r="AG526" s="3"/>
      <x:c r="AH526" s="3"/>
      <x:c r="AI526" s="3"/>
      <x:c r="AJ526" s="3"/>
      <x:c r="AK526" s="3"/>
      <x:c r="AL526" s="3"/>
      <x:c r="AM526" s="3"/>
      <x:c r="AT526" s="3"/>
      <x:c r="AU526" s="3"/>
      <x:c r="AV526" s="3"/>
      <x:c r="AW526" s="3"/>
      <x:c r="AX526" s="3"/>
      <x:c r="AY526" s="3"/>
      <x:c r="AZ526" s="3"/>
      <x:c r="BA526" s="3"/>
      <x:c r="BC526" s="3"/>
      <x:c r="BD526" s="3"/>
      <x:c r="BE526" s="3"/>
      <x:c r="BF526" s="3"/>
      <x:c r="BG526" s="3"/>
      <x:c r="BH526" s="13"/>
      <x:c r="BI526" s="13"/>
      <x:c r="BJ526" s="13"/>
      <x:c r="BK526" s="13"/>
      <x:c r="BL526" s="13"/>
      <x:c r="BM526" s="13"/>
      <x:c r="BN526" s="13"/>
      <x:c r="BO526" s="13"/>
      <x:c r="BP526" s="13"/>
      <x:c r="BQ526" s="13"/>
      <x:c r="BR526" s="13"/>
      <x:c r="BS526" s="13"/>
      <x:c r="BT526" s="13"/>
      <x:c r="BU526" s="13"/>
      <x:c r="BV526" s="13"/>
      <x:c r="BW526" s="13"/>
      <x:c r="BX526" s="13"/>
      <x:c r="BY526" s="13"/>
      <x:c r="BZ526" s="13"/>
      <x:c r="CA526" s="13"/>
      <x:c r="CB526" s="13"/>
      <x:c r="CC526" s="13"/>
      <x:c r="CD526" s="13"/>
      <x:c r="CE526" s="13"/>
      <x:c r="CF526" s="13"/>
      <x:c r="CG526" s="13"/>
    </x:row>
    <x:row r="527" ht="14.25" customHeight="1">
      <x:c r="AA527" s="3"/>
      <x:c r="AF527" s="3"/>
      <x:c r="AG527" s="3"/>
      <x:c r="AH527" s="3"/>
      <x:c r="AI527" s="3"/>
      <x:c r="AJ527" s="3"/>
      <x:c r="AK527" s="3"/>
      <x:c r="AL527" s="3"/>
      <x:c r="AM527" s="3"/>
      <x:c r="AT527" s="3"/>
      <x:c r="AU527" s="3"/>
      <x:c r="AV527" s="3"/>
      <x:c r="AW527" s="3"/>
      <x:c r="AX527" s="3"/>
      <x:c r="AY527" s="3"/>
      <x:c r="AZ527" s="3"/>
      <x:c r="BA527" s="3"/>
      <x:c r="BC527" s="3"/>
      <x:c r="BD527" s="3"/>
      <x:c r="BE527" s="3"/>
      <x:c r="BF527" s="3"/>
      <x:c r="BG527" s="3"/>
      <x:c r="BH527" s="13"/>
      <x:c r="BI527" s="13"/>
      <x:c r="BJ527" s="13"/>
      <x:c r="BK527" s="13"/>
      <x:c r="BL527" s="13"/>
      <x:c r="BM527" s="13"/>
      <x:c r="BN527" s="13"/>
      <x:c r="BO527" s="13"/>
      <x:c r="BP527" s="13"/>
      <x:c r="BQ527" s="13"/>
      <x:c r="BR527" s="13"/>
      <x:c r="BS527" s="13"/>
      <x:c r="BT527" s="13"/>
      <x:c r="BU527" s="13"/>
      <x:c r="BV527" s="13"/>
      <x:c r="BW527" s="13"/>
      <x:c r="BX527" s="13"/>
      <x:c r="BY527" s="13"/>
      <x:c r="BZ527" s="13"/>
      <x:c r="CA527" s="13"/>
      <x:c r="CB527" s="13"/>
      <x:c r="CC527" s="13"/>
      <x:c r="CD527" s="13"/>
      <x:c r="CE527" s="13"/>
      <x:c r="CF527" s="13"/>
      <x:c r="CG527" s="13"/>
    </x:row>
    <x:row r="528" ht="14.25" customHeight="1">
      <x:c r="AA528" s="3"/>
      <x:c r="AF528" s="3"/>
      <x:c r="AG528" s="3"/>
      <x:c r="AH528" s="3"/>
      <x:c r="AI528" s="3"/>
      <x:c r="AJ528" s="3"/>
      <x:c r="AK528" s="3"/>
      <x:c r="AL528" s="3"/>
      <x:c r="AM528" s="3"/>
      <x:c r="AT528" s="3"/>
      <x:c r="AU528" s="3"/>
      <x:c r="AV528" s="3"/>
      <x:c r="AW528" s="3"/>
      <x:c r="AX528" s="3"/>
      <x:c r="AY528" s="3"/>
      <x:c r="AZ528" s="3"/>
      <x:c r="BA528" s="3"/>
      <x:c r="BC528" s="3"/>
      <x:c r="BD528" s="3"/>
      <x:c r="BE528" s="3"/>
      <x:c r="BF528" s="3"/>
      <x:c r="BG528" s="3"/>
      <x:c r="BH528" s="13"/>
      <x:c r="BI528" s="13"/>
      <x:c r="BJ528" s="13"/>
      <x:c r="BK528" s="13"/>
      <x:c r="BL528" s="13"/>
      <x:c r="BM528" s="13"/>
      <x:c r="BN528" s="13"/>
      <x:c r="BO528" s="13"/>
      <x:c r="BP528" s="13"/>
      <x:c r="BQ528" s="13"/>
      <x:c r="BR528" s="13"/>
      <x:c r="BS528" s="13"/>
      <x:c r="BT528" s="13"/>
      <x:c r="BU528" s="13"/>
      <x:c r="BV528" s="13"/>
      <x:c r="BW528" s="13"/>
      <x:c r="BX528" s="13"/>
      <x:c r="BY528" s="13"/>
      <x:c r="BZ528" s="13"/>
      <x:c r="CA528" s="13"/>
      <x:c r="CB528" s="13"/>
      <x:c r="CC528" s="13"/>
      <x:c r="CD528" s="13"/>
      <x:c r="CE528" s="13"/>
      <x:c r="CF528" s="13"/>
      <x:c r="CG528" s="13"/>
    </x:row>
    <x:row r="529" ht="14.25" customHeight="1">
      <x:c r="AA529" s="3"/>
      <x:c r="AF529" s="3"/>
      <x:c r="AG529" s="3"/>
      <x:c r="AH529" s="3"/>
      <x:c r="AI529" s="3"/>
      <x:c r="AJ529" s="3"/>
      <x:c r="AK529" s="3"/>
      <x:c r="AL529" s="3"/>
      <x:c r="AM529" s="3"/>
      <x:c r="AT529" s="3"/>
      <x:c r="AU529" s="3"/>
      <x:c r="AV529" s="3"/>
      <x:c r="AW529" s="3"/>
      <x:c r="AX529" s="3"/>
      <x:c r="AY529" s="3"/>
      <x:c r="AZ529" s="3"/>
      <x:c r="BA529" s="3"/>
      <x:c r="BC529" s="3"/>
      <x:c r="BD529" s="3"/>
      <x:c r="BE529" s="3"/>
      <x:c r="BF529" s="3"/>
      <x:c r="BG529" s="3"/>
      <x:c r="BH529" s="13"/>
      <x:c r="BI529" s="13"/>
      <x:c r="BJ529" s="13"/>
      <x:c r="BK529" s="13"/>
      <x:c r="BL529" s="13"/>
      <x:c r="BM529" s="13"/>
      <x:c r="BN529" s="13"/>
      <x:c r="BO529" s="13"/>
      <x:c r="BP529" s="13"/>
      <x:c r="BQ529" s="13"/>
      <x:c r="BR529" s="13"/>
      <x:c r="BS529" s="13"/>
      <x:c r="BT529" s="13"/>
      <x:c r="BU529" s="13"/>
      <x:c r="BV529" s="13"/>
      <x:c r="BW529" s="13"/>
      <x:c r="BX529" s="13"/>
      <x:c r="BY529" s="13"/>
      <x:c r="BZ529" s="13"/>
      <x:c r="CA529" s="13"/>
      <x:c r="CB529" s="13"/>
      <x:c r="CC529" s="13"/>
      <x:c r="CD529" s="13"/>
      <x:c r="CE529" s="13"/>
      <x:c r="CF529" s="13"/>
      <x:c r="CG529" s="13"/>
    </x:row>
    <x:row r="530" ht="14.25" customHeight="1">
      <x:c r="AA530" s="3"/>
      <x:c r="AF530" s="3"/>
      <x:c r="AG530" s="3"/>
      <x:c r="AH530" s="3"/>
      <x:c r="AI530" s="3"/>
      <x:c r="AJ530" s="3"/>
      <x:c r="AK530" s="3"/>
      <x:c r="AL530" s="3"/>
      <x:c r="AM530" s="3"/>
      <x:c r="AT530" s="3"/>
      <x:c r="AU530" s="3"/>
      <x:c r="AV530" s="3"/>
      <x:c r="AW530" s="3"/>
      <x:c r="AX530" s="3"/>
      <x:c r="AY530" s="3"/>
      <x:c r="AZ530" s="3"/>
      <x:c r="BA530" s="3"/>
      <x:c r="BC530" s="3"/>
      <x:c r="BD530" s="3"/>
      <x:c r="BE530" s="3"/>
      <x:c r="BF530" s="3"/>
      <x:c r="BG530" s="3"/>
      <x:c r="BH530" s="13"/>
      <x:c r="BI530" s="13"/>
      <x:c r="BJ530" s="13"/>
      <x:c r="BK530" s="13"/>
      <x:c r="BL530" s="13"/>
      <x:c r="BM530" s="13"/>
      <x:c r="BN530" s="13"/>
      <x:c r="BO530" s="13"/>
      <x:c r="BP530" s="13"/>
      <x:c r="BQ530" s="13"/>
      <x:c r="BR530" s="13"/>
      <x:c r="BS530" s="13"/>
      <x:c r="BT530" s="13"/>
      <x:c r="BU530" s="13"/>
      <x:c r="BV530" s="13"/>
      <x:c r="BW530" s="13"/>
      <x:c r="BX530" s="13"/>
      <x:c r="BY530" s="13"/>
      <x:c r="BZ530" s="13"/>
      <x:c r="CA530" s="13"/>
      <x:c r="CB530" s="13"/>
      <x:c r="CC530" s="13"/>
      <x:c r="CD530" s="13"/>
      <x:c r="CE530" s="13"/>
      <x:c r="CF530" s="13"/>
      <x:c r="CG530" s="13"/>
    </x:row>
    <x:row r="531" ht="14.25" customHeight="1">
      <x:c r="AA531" s="3"/>
      <x:c r="AF531" s="3"/>
      <x:c r="AG531" s="3"/>
      <x:c r="AH531" s="3"/>
      <x:c r="AI531" s="3"/>
      <x:c r="AJ531" s="3"/>
      <x:c r="AK531" s="3"/>
      <x:c r="AL531" s="3"/>
      <x:c r="AM531" s="3"/>
      <x:c r="AT531" s="3"/>
      <x:c r="AU531" s="3"/>
      <x:c r="AV531" s="3"/>
      <x:c r="AW531" s="3"/>
      <x:c r="AX531" s="3"/>
      <x:c r="AY531" s="3"/>
      <x:c r="AZ531" s="3"/>
      <x:c r="BA531" s="3"/>
      <x:c r="BC531" s="3"/>
      <x:c r="BD531" s="3"/>
      <x:c r="BE531" s="3"/>
      <x:c r="BF531" s="3"/>
      <x:c r="BG531" s="3"/>
      <x:c r="BH531" s="13"/>
      <x:c r="BI531" s="13"/>
      <x:c r="BJ531" s="13"/>
      <x:c r="BK531" s="13"/>
      <x:c r="BL531" s="13"/>
      <x:c r="BM531" s="13"/>
      <x:c r="BN531" s="13"/>
      <x:c r="BO531" s="13"/>
      <x:c r="BP531" s="13"/>
      <x:c r="BQ531" s="13"/>
      <x:c r="BR531" s="13"/>
      <x:c r="BS531" s="13"/>
      <x:c r="BT531" s="13"/>
      <x:c r="BU531" s="13"/>
      <x:c r="BV531" s="13"/>
      <x:c r="BW531" s="13"/>
      <x:c r="BX531" s="13"/>
      <x:c r="BY531" s="13"/>
      <x:c r="BZ531" s="13"/>
      <x:c r="CA531" s="13"/>
      <x:c r="CB531" s="13"/>
      <x:c r="CC531" s="13"/>
      <x:c r="CD531" s="13"/>
      <x:c r="CE531" s="13"/>
      <x:c r="CF531" s="13"/>
      <x:c r="CG531" s="13"/>
    </x:row>
    <x:row r="532" ht="14.25" customHeight="1">
      <x:c r="AA532" s="3"/>
      <x:c r="AF532" s="3"/>
      <x:c r="AG532" s="3"/>
      <x:c r="AH532" s="3"/>
      <x:c r="AI532" s="3"/>
      <x:c r="AJ532" s="3"/>
      <x:c r="AK532" s="3"/>
      <x:c r="AL532" s="3"/>
      <x:c r="AM532" s="3"/>
      <x:c r="AT532" s="3"/>
      <x:c r="AU532" s="3"/>
      <x:c r="AV532" s="3"/>
      <x:c r="AW532" s="3"/>
      <x:c r="AX532" s="3"/>
      <x:c r="AY532" s="3"/>
      <x:c r="AZ532" s="3"/>
      <x:c r="BA532" s="3"/>
      <x:c r="BC532" s="3"/>
      <x:c r="BD532" s="3"/>
      <x:c r="BE532" s="3"/>
      <x:c r="BF532" s="3"/>
      <x:c r="BG532" s="3"/>
      <x:c r="BH532" s="13"/>
      <x:c r="BI532" s="13"/>
      <x:c r="BJ532" s="13"/>
      <x:c r="BK532" s="13"/>
      <x:c r="BL532" s="13"/>
      <x:c r="BM532" s="13"/>
      <x:c r="BN532" s="13"/>
      <x:c r="BO532" s="13"/>
      <x:c r="BP532" s="13"/>
      <x:c r="BQ532" s="13"/>
      <x:c r="BR532" s="13"/>
      <x:c r="BS532" s="13"/>
      <x:c r="BT532" s="13"/>
      <x:c r="BU532" s="13"/>
      <x:c r="BV532" s="13"/>
      <x:c r="BW532" s="13"/>
      <x:c r="BX532" s="13"/>
      <x:c r="BY532" s="13"/>
      <x:c r="BZ532" s="13"/>
      <x:c r="CA532" s="13"/>
      <x:c r="CB532" s="13"/>
      <x:c r="CC532" s="13"/>
      <x:c r="CD532" s="13"/>
      <x:c r="CE532" s="13"/>
      <x:c r="CF532" s="13"/>
      <x:c r="CG532" s="13"/>
    </x:row>
    <x:row r="533" ht="14.25" customHeight="1">
      <x:c r="AA533" s="3"/>
      <x:c r="AF533" s="3"/>
      <x:c r="AG533" s="3"/>
      <x:c r="AH533" s="3"/>
      <x:c r="AI533" s="3"/>
      <x:c r="AJ533" s="3"/>
      <x:c r="AK533" s="3"/>
      <x:c r="AL533" s="3"/>
      <x:c r="AM533" s="3"/>
      <x:c r="AT533" s="3"/>
      <x:c r="AU533" s="3"/>
      <x:c r="AV533" s="3"/>
      <x:c r="AW533" s="3"/>
      <x:c r="AX533" s="3"/>
      <x:c r="AY533" s="3"/>
      <x:c r="AZ533" s="3"/>
      <x:c r="BA533" s="3"/>
      <x:c r="BC533" s="3"/>
      <x:c r="BD533" s="3"/>
      <x:c r="BE533" s="3"/>
      <x:c r="BF533" s="3"/>
      <x:c r="BG533" s="3"/>
      <x:c r="BH533" s="13"/>
      <x:c r="BI533" s="13"/>
      <x:c r="BJ533" s="13"/>
      <x:c r="BK533" s="13"/>
      <x:c r="BL533" s="13"/>
      <x:c r="BM533" s="13"/>
      <x:c r="BN533" s="13"/>
      <x:c r="BO533" s="13"/>
      <x:c r="BP533" s="13"/>
      <x:c r="BQ533" s="13"/>
      <x:c r="BR533" s="13"/>
      <x:c r="BS533" s="13"/>
      <x:c r="BT533" s="13"/>
      <x:c r="BU533" s="13"/>
      <x:c r="BV533" s="13"/>
      <x:c r="BW533" s="13"/>
      <x:c r="BX533" s="13"/>
      <x:c r="BY533" s="13"/>
      <x:c r="BZ533" s="13"/>
      <x:c r="CA533" s="13"/>
      <x:c r="CB533" s="13"/>
      <x:c r="CC533" s="13"/>
      <x:c r="CD533" s="13"/>
      <x:c r="CE533" s="13"/>
      <x:c r="CF533" s="13"/>
      <x:c r="CG533" s="13"/>
    </x:row>
    <x:row r="534" ht="14.25" customHeight="1">
      <x:c r="AA534" s="3"/>
      <x:c r="AF534" s="3"/>
      <x:c r="AG534" s="3"/>
      <x:c r="AH534" s="3"/>
      <x:c r="AI534" s="3"/>
      <x:c r="AJ534" s="3"/>
      <x:c r="AK534" s="3"/>
      <x:c r="AL534" s="3"/>
      <x:c r="AM534" s="3"/>
      <x:c r="AT534" s="3"/>
      <x:c r="AU534" s="3"/>
      <x:c r="AV534" s="3"/>
      <x:c r="AW534" s="3"/>
      <x:c r="AX534" s="3"/>
      <x:c r="AY534" s="3"/>
      <x:c r="AZ534" s="3"/>
      <x:c r="BA534" s="3"/>
      <x:c r="BC534" s="3"/>
      <x:c r="BD534" s="3"/>
      <x:c r="BE534" s="3"/>
      <x:c r="BF534" s="3"/>
      <x:c r="BG534" s="3"/>
      <x:c r="BH534" s="13"/>
      <x:c r="BI534" s="13"/>
      <x:c r="BJ534" s="13"/>
      <x:c r="BK534" s="13"/>
      <x:c r="BL534" s="13"/>
      <x:c r="BM534" s="13"/>
      <x:c r="BN534" s="13"/>
      <x:c r="BO534" s="13"/>
      <x:c r="BP534" s="13"/>
      <x:c r="BQ534" s="13"/>
      <x:c r="BR534" s="13"/>
      <x:c r="BS534" s="13"/>
      <x:c r="BT534" s="13"/>
      <x:c r="BU534" s="13"/>
      <x:c r="BV534" s="13"/>
      <x:c r="BW534" s="13"/>
      <x:c r="BX534" s="13"/>
      <x:c r="BY534" s="13"/>
      <x:c r="BZ534" s="13"/>
      <x:c r="CA534" s="13"/>
      <x:c r="CB534" s="13"/>
      <x:c r="CC534" s="13"/>
      <x:c r="CD534" s="13"/>
      <x:c r="CE534" s="13"/>
      <x:c r="CF534" s="13"/>
      <x:c r="CG534" s="13"/>
    </x:row>
    <x:row r="535" ht="14.25" customHeight="1">
      <x:c r="AA535" s="3"/>
      <x:c r="AF535" s="3"/>
      <x:c r="AG535" s="3"/>
      <x:c r="AH535" s="3"/>
      <x:c r="AI535" s="3"/>
      <x:c r="AJ535" s="3"/>
      <x:c r="AK535" s="3"/>
      <x:c r="AL535" s="3"/>
      <x:c r="AM535" s="3"/>
      <x:c r="AT535" s="3"/>
      <x:c r="AU535" s="3"/>
      <x:c r="AV535" s="3"/>
      <x:c r="AW535" s="3"/>
      <x:c r="AX535" s="3"/>
      <x:c r="AY535" s="3"/>
      <x:c r="AZ535" s="3"/>
      <x:c r="BA535" s="3"/>
      <x:c r="BC535" s="3"/>
      <x:c r="BD535" s="3"/>
      <x:c r="BE535" s="3"/>
      <x:c r="BF535" s="3"/>
      <x:c r="BG535" s="3"/>
      <x:c r="BH535" s="13"/>
      <x:c r="BI535" s="13"/>
      <x:c r="BJ535" s="13"/>
      <x:c r="BK535" s="13"/>
      <x:c r="BL535" s="13"/>
      <x:c r="BM535" s="13"/>
      <x:c r="BN535" s="13"/>
      <x:c r="BO535" s="13"/>
      <x:c r="BP535" s="13"/>
      <x:c r="BQ535" s="13"/>
      <x:c r="BR535" s="13"/>
      <x:c r="BS535" s="13"/>
      <x:c r="BT535" s="13"/>
      <x:c r="BU535" s="13"/>
      <x:c r="BV535" s="13"/>
      <x:c r="BW535" s="13"/>
      <x:c r="BX535" s="13"/>
      <x:c r="BY535" s="13"/>
      <x:c r="BZ535" s="13"/>
      <x:c r="CA535" s="13"/>
      <x:c r="CB535" s="13"/>
      <x:c r="CC535" s="13"/>
      <x:c r="CD535" s="13"/>
      <x:c r="CE535" s="13"/>
      <x:c r="CF535" s="13"/>
      <x:c r="CG535" s="13"/>
    </x:row>
    <x:row r="536" ht="14.25" customHeight="1">
      <x:c r="AA536" s="3"/>
      <x:c r="AF536" s="3"/>
      <x:c r="AG536" s="3"/>
      <x:c r="AH536" s="3"/>
      <x:c r="AI536" s="3"/>
      <x:c r="AJ536" s="3"/>
      <x:c r="AK536" s="3"/>
      <x:c r="AL536" s="3"/>
      <x:c r="AM536" s="3"/>
      <x:c r="AT536" s="3"/>
      <x:c r="AU536" s="3"/>
      <x:c r="AV536" s="3"/>
      <x:c r="AW536" s="3"/>
      <x:c r="AX536" s="3"/>
      <x:c r="AY536" s="3"/>
      <x:c r="AZ536" s="3"/>
      <x:c r="BA536" s="3"/>
      <x:c r="BC536" s="3"/>
      <x:c r="BD536" s="3"/>
      <x:c r="BE536" s="3"/>
      <x:c r="BF536" s="3"/>
      <x:c r="BG536" s="3"/>
      <x:c r="BH536" s="13"/>
      <x:c r="BI536" s="13"/>
      <x:c r="BJ536" s="13"/>
      <x:c r="BK536" s="13"/>
      <x:c r="BL536" s="13"/>
      <x:c r="BM536" s="13"/>
      <x:c r="BN536" s="13"/>
      <x:c r="BO536" s="13"/>
      <x:c r="BP536" s="13"/>
      <x:c r="BQ536" s="13"/>
      <x:c r="BR536" s="13"/>
      <x:c r="BS536" s="13"/>
      <x:c r="BT536" s="13"/>
      <x:c r="BU536" s="13"/>
      <x:c r="BV536" s="13"/>
      <x:c r="BW536" s="13"/>
      <x:c r="BX536" s="13"/>
      <x:c r="BY536" s="13"/>
      <x:c r="BZ536" s="13"/>
      <x:c r="CA536" s="13"/>
      <x:c r="CB536" s="13"/>
      <x:c r="CC536" s="13"/>
      <x:c r="CD536" s="13"/>
      <x:c r="CE536" s="13"/>
      <x:c r="CF536" s="13"/>
      <x:c r="CG536" s="13"/>
    </x:row>
    <x:row r="537" ht="14.25" customHeight="1">
      <x:c r="AA537" s="3"/>
      <x:c r="AF537" s="3"/>
      <x:c r="AG537" s="3"/>
      <x:c r="AH537" s="3"/>
      <x:c r="AI537" s="3"/>
      <x:c r="AJ537" s="3"/>
      <x:c r="AK537" s="3"/>
      <x:c r="AL537" s="3"/>
      <x:c r="AM537" s="3"/>
      <x:c r="AT537" s="3"/>
      <x:c r="AU537" s="3"/>
      <x:c r="AV537" s="3"/>
      <x:c r="AW537" s="3"/>
      <x:c r="AX537" s="3"/>
      <x:c r="AY537" s="3"/>
      <x:c r="AZ537" s="3"/>
      <x:c r="BA537" s="3"/>
      <x:c r="BC537" s="3"/>
      <x:c r="BD537" s="3"/>
      <x:c r="BE537" s="3"/>
      <x:c r="BF537" s="3"/>
      <x:c r="BG537" s="3"/>
      <x:c r="BH537" s="13"/>
      <x:c r="BI537" s="13"/>
      <x:c r="BJ537" s="13"/>
      <x:c r="BK537" s="13"/>
      <x:c r="BL537" s="13"/>
      <x:c r="BM537" s="13"/>
      <x:c r="BN537" s="13"/>
      <x:c r="BO537" s="13"/>
      <x:c r="BP537" s="13"/>
      <x:c r="BQ537" s="13"/>
      <x:c r="BR537" s="13"/>
      <x:c r="BS537" s="13"/>
      <x:c r="BT537" s="13"/>
      <x:c r="BU537" s="13"/>
      <x:c r="BV537" s="13"/>
      <x:c r="BW537" s="13"/>
      <x:c r="BX537" s="13"/>
      <x:c r="BY537" s="13"/>
      <x:c r="BZ537" s="13"/>
      <x:c r="CA537" s="13"/>
      <x:c r="CB537" s="13"/>
      <x:c r="CC537" s="13"/>
      <x:c r="CD537" s="13"/>
      <x:c r="CE537" s="13"/>
      <x:c r="CF537" s="13"/>
      <x:c r="CG537" s="13"/>
    </x:row>
    <x:row r="538" ht="14.25" customHeight="1">
      <x:c r="AA538" s="3"/>
      <x:c r="AF538" s="3"/>
      <x:c r="AG538" s="3"/>
      <x:c r="AH538" s="3"/>
      <x:c r="AI538" s="3"/>
      <x:c r="AJ538" s="3"/>
      <x:c r="AK538" s="3"/>
      <x:c r="AL538" s="3"/>
      <x:c r="AM538" s="3"/>
      <x:c r="AT538" s="3"/>
      <x:c r="AU538" s="3"/>
      <x:c r="AV538" s="3"/>
      <x:c r="AW538" s="3"/>
      <x:c r="AX538" s="3"/>
      <x:c r="AY538" s="3"/>
      <x:c r="AZ538" s="3"/>
      <x:c r="BA538" s="3"/>
      <x:c r="BC538" s="3"/>
      <x:c r="BD538" s="3"/>
      <x:c r="BE538" s="3"/>
      <x:c r="BF538" s="3"/>
      <x:c r="BG538" s="3"/>
      <x:c r="BH538" s="13"/>
      <x:c r="BI538" s="13"/>
      <x:c r="BJ538" s="13"/>
      <x:c r="BK538" s="13"/>
      <x:c r="BL538" s="13"/>
      <x:c r="BM538" s="13"/>
      <x:c r="BN538" s="13"/>
      <x:c r="BO538" s="13"/>
      <x:c r="BP538" s="13"/>
      <x:c r="BQ538" s="13"/>
      <x:c r="BR538" s="13"/>
      <x:c r="BS538" s="13"/>
      <x:c r="BT538" s="13"/>
      <x:c r="BU538" s="13"/>
      <x:c r="BV538" s="13"/>
      <x:c r="BW538" s="13"/>
      <x:c r="BX538" s="13"/>
      <x:c r="BY538" s="13"/>
      <x:c r="BZ538" s="13"/>
      <x:c r="CA538" s="13"/>
      <x:c r="CB538" s="13"/>
      <x:c r="CC538" s="13"/>
      <x:c r="CD538" s="13"/>
      <x:c r="CE538" s="13"/>
      <x:c r="CF538" s="13"/>
      <x:c r="CG538" s="13"/>
    </x:row>
    <x:row r="539" ht="14.25" customHeight="1">
      <x:c r="AA539" s="3"/>
      <x:c r="AF539" s="3"/>
      <x:c r="AG539" s="3"/>
      <x:c r="AH539" s="3"/>
      <x:c r="AI539" s="3"/>
      <x:c r="AJ539" s="3"/>
      <x:c r="AK539" s="3"/>
      <x:c r="AL539" s="3"/>
      <x:c r="AM539" s="3"/>
      <x:c r="AT539" s="3"/>
      <x:c r="AU539" s="3"/>
      <x:c r="AV539" s="3"/>
      <x:c r="AW539" s="3"/>
      <x:c r="AX539" s="3"/>
      <x:c r="AY539" s="3"/>
      <x:c r="AZ539" s="3"/>
      <x:c r="BA539" s="3"/>
      <x:c r="BC539" s="3"/>
      <x:c r="BD539" s="3"/>
      <x:c r="BE539" s="3"/>
      <x:c r="BF539" s="3"/>
      <x:c r="BG539" s="3"/>
      <x:c r="BH539" s="13"/>
      <x:c r="BI539" s="13"/>
      <x:c r="BJ539" s="13"/>
      <x:c r="BK539" s="13"/>
      <x:c r="BL539" s="13"/>
      <x:c r="BM539" s="13"/>
      <x:c r="BN539" s="13"/>
      <x:c r="BO539" s="13"/>
      <x:c r="BP539" s="13"/>
      <x:c r="BQ539" s="13"/>
      <x:c r="BR539" s="13"/>
      <x:c r="BS539" s="13"/>
      <x:c r="BT539" s="13"/>
      <x:c r="BU539" s="13"/>
      <x:c r="BV539" s="13"/>
      <x:c r="BW539" s="13"/>
      <x:c r="BX539" s="13"/>
      <x:c r="BY539" s="13"/>
      <x:c r="BZ539" s="13"/>
      <x:c r="CA539" s="13"/>
      <x:c r="CB539" s="13"/>
      <x:c r="CC539" s="13"/>
      <x:c r="CD539" s="13"/>
      <x:c r="CE539" s="13"/>
      <x:c r="CF539" s="13"/>
      <x:c r="CG539" s="13"/>
    </x:row>
    <x:row r="540" ht="14.25" customHeight="1">
      <x:c r="AA540" s="3"/>
      <x:c r="AF540" s="3"/>
      <x:c r="AG540" s="3"/>
      <x:c r="AH540" s="3"/>
      <x:c r="AI540" s="3"/>
      <x:c r="AJ540" s="3"/>
      <x:c r="AK540" s="3"/>
      <x:c r="AL540" s="3"/>
      <x:c r="AM540" s="3"/>
      <x:c r="AT540" s="3"/>
      <x:c r="AU540" s="3"/>
      <x:c r="AV540" s="3"/>
      <x:c r="AW540" s="3"/>
      <x:c r="AX540" s="3"/>
      <x:c r="AY540" s="3"/>
      <x:c r="AZ540" s="3"/>
      <x:c r="BA540" s="3"/>
      <x:c r="BC540" s="3"/>
      <x:c r="BD540" s="3"/>
      <x:c r="BE540" s="3"/>
      <x:c r="BF540" s="3"/>
      <x:c r="BG540" s="3"/>
      <x:c r="BH540" s="13"/>
      <x:c r="BI540" s="13"/>
      <x:c r="BJ540" s="13"/>
      <x:c r="BK540" s="13"/>
      <x:c r="BL540" s="13"/>
      <x:c r="BM540" s="13"/>
      <x:c r="BN540" s="13"/>
      <x:c r="BO540" s="13"/>
      <x:c r="BP540" s="13"/>
      <x:c r="BQ540" s="13"/>
      <x:c r="BR540" s="13"/>
      <x:c r="BS540" s="13"/>
      <x:c r="BT540" s="13"/>
      <x:c r="BU540" s="13"/>
      <x:c r="BV540" s="13"/>
      <x:c r="BW540" s="13"/>
      <x:c r="BX540" s="13"/>
      <x:c r="BY540" s="13"/>
      <x:c r="BZ540" s="13"/>
      <x:c r="CA540" s="13"/>
      <x:c r="CB540" s="13"/>
      <x:c r="CC540" s="13"/>
      <x:c r="CD540" s="13"/>
      <x:c r="CE540" s="13"/>
      <x:c r="CF540" s="13"/>
      <x:c r="CG540" s="13"/>
    </x:row>
    <x:row r="541" ht="14.25" customHeight="1">
      <x:c r="AA541" s="3"/>
      <x:c r="AF541" s="3"/>
      <x:c r="AG541" s="3"/>
      <x:c r="AH541" s="3"/>
      <x:c r="AI541" s="3"/>
      <x:c r="AJ541" s="3"/>
      <x:c r="AK541" s="3"/>
      <x:c r="AL541" s="3"/>
      <x:c r="AM541" s="3"/>
      <x:c r="AT541" s="3"/>
      <x:c r="AU541" s="3"/>
      <x:c r="AV541" s="3"/>
      <x:c r="AW541" s="3"/>
      <x:c r="AX541" s="3"/>
      <x:c r="AY541" s="3"/>
      <x:c r="AZ541" s="3"/>
      <x:c r="BA541" s="3"/>
      <x:c r="BC541" s="3"/>
      <x:c r="BD541" s="3"/>
      <x:c r="BE541" s="3"/>
      <x:c r="BF541" s="3"/>
      <x:c r="BG541" s="3"/>
      <x:c r="BH541" s="13"/>
      <x:c r="BI541" s="13"/>
      <x:c r="BJ541" s="13"/>
      <x:c r="BK541" s="13"/>
      <x:c r="BL541" s="13"/>
      <x:c r="BM541" s="13"/>
      <x:c r="BN541" s="13"/>
      <x:c r="BO541" s="13"/>
      <x:c r="BP541" s="13"/>
      <x:c r="BQ541" s="13"/>
      <x:c r="BR541" s="13"/>
      <x:c r="BS541" s="13"/>
      <x:c r="BT541" s="13"/>
      <x:c r="BU541" s="13"/>
      <x:c r="BV541" s="13"/>
      <x:c r="BW541" s="13"/>
      <x:c r="BX541" s="13"/>
      <x:c r="BY541" s="13"/>
      <x:c r="BZ541" s="13"/>
      <x:c r="CA541" s="13"/>
      <x:c r="CB541" s="13"/>
      <x:c r="CC541" s="13"/>
      <x:c r="CD541" s="13"/>
      <x:c r="CE541" s="13"/>
      <x:c r="CF541" s="13"/>
      <x:c r="CG541" s="13"/>
    </x:row>
    <x:row r="542" ht="14.25" customHeight="1">
      <x:c r="AA542" s="3"/>
      <x:c r="AF542" s="3"/>
      <x:c r="AG542" s="3"/>
      <x:c r="AH542" s="3"/>
      <x:c r="AI542" s="3"/>
      <x:c r="AJ542" s="3"/>
      <x:c r="AK542" s="3"/>
      <x:c r="AL542" s="3"/>
      <x:c r="AM542" s="3"/>
      <x:c r="AT542" s="3"/>
      <x:c r="AU542" s="3"/>
      <x:c r="AV542" s="3"/>
      <x:c r="AW542" s="3"/>
      <x:c r="AX542" s="3"/>
      <x:c r="AY542" s="3"/>
      <x:c r="AZ542" s="3"/>
      <x:c r="BA542" s="3"/>
      <x:c r="BC542" s="3"/>
      <x:c r="BD542" s="3"/>
      <x:c r="BE542" s="3"/>
      <x:c r="BF542" s="3"/>
      <x:c r="BG542" s="3"/>
      <x:c r="BH542" s="13"/>
      <x:c r="BI542" s="13"/>
      <x:c r="BJ542" s="13"/>
      <x:c r="BK542" s="13"/>
      <x:c r="BL542" s="13"/>
      <x:c r="BM542" s="13"/>
      <x:c r="BN542" s="13"/>
      <x:c r="BO542" s="13"/>
      <x:c r="BP542" s="13"/>
      <x:c r="BQ542" s="13"/>
      <x:c r="BR542" s="13"/>
      <x:c r="BS542" s="13"/>
      <x:c r="BT542" s="13"/>
      <x:c r="BU542" s="13"/>
      <x:c r="BV542" s="13"/>
      <x:c r="BW542" s="13"/>
      <x:c r="BX542" s="13"/>
      <x:c r="BY542" s="13"/>
      <x:c r="BZ542" s="13"/>
      <x:c r="CA542" s="13"/>
      <x:c r="CB542" s="13"/>
      <x:c r="CC542" s="13"/>
      <x:c r="CD542" s="13"/>
      <x:c r="CE542" s="13"/>
      <x:c r="CF542" s="13"/>
      <x:c r="CG542" s="13"/>
    </x:row>
    <x:row r="543" ht="14.25" customHeight="1">
      <x:c r="AA543" s="3"/>
      <x:c r="AF543" s="3"/>
      <x:c r="AG543" s="3"/>
      <x:c r="AH543" s="3"/>
      <x:c r="AI543" s="3"/>
      <x:c r="AJ543" s="3"/>
      <x:c r="AK543" s="3"/>
      <x:c r="AL543" s="3"/>
      <x:c r="AM543" s="3"/>
      <x:c r="AT543" s="3"/>
      <x:c r="AU543" s="3"/>
      <x:c r="AV543" s="3"/>
      <x:c r="AW543" s="3"/>
      <x:c r="AX543" s="3"/>
      <x:c r="AY543" s="3"/>
      <x:c r="AZ543" s="3"/>
      <x:c r="BA543" s="3"/>
      <x:c r="BC543" s="3"/>
      <x:c r="BD543" s="3"/>
      <x:c r="BE543" s="3"/>
      <x:c r="BF543" s="3"/>
      <x:c r="BG543" s="3"/>
      <x:c r="BH543" s="13"/>
      <x:c r="BI543" s="13"/>
      <x:c r="BJ543" s="13"/>
      <x:c r="BK543" s="13"/>
      <x:c r="BL543" s="13"/>
      <x:c r="BM543" s="13"/>
      <x:c r="BN543" s="13"/>
      <x:c r="BO543" s="13"/>
      <x:c r="BP543" s="13"/>
      <x:c r="BQ543" s="13"/>
      <x:c r="BR543" s="13"/>
      <x:c r="BS543" s="13"/>
      <x:c r="BT543" s="13"/>
      <x:c r="BU543" s="13"/>
      <x:c r="BV543" s="13"/>
      <x:c r="BW543" s="13"/>
      <x:c r="BX543" s="13"/>
      <x:c r="BY543" s="13"/>
      <x:c r="BZ543" s="13"/>
      <x:c r="CA543" s="13"/>
      <x:c r="CB543" s="13"/>
      <x:c r="CC543" s="13"/>
      <x:c r="CD543" s="13"/>
      <x:c r="CE543" s="13"/>
      <x:c r="CF543" s="13"/>
      <x:c r="CG543" s="13"/>
    </x:row>
    <x:row r="544" ht="14.25" customHeight="1">
      <x:c r="AA544" s="3"/>
      <x:c r="AF544" s="3"/>
      <x:c r="AG544" s="3"/>
      <x:c r="AH544" s="3"/>
      <x:c r="AI544" s="3"/>
      <x:c r="AJ544" s="3"/>
      <x:c r="AK544" s="3"/>
      <x:c r="AL544" s="3"/>
      <x:c r="AM544" s="3"/>
      <x:c r="AT544" s="3"/>
      <x:c r="AU544" s="3"/>
      <x:c r="AV544" s="3"/>
      <x:c r="AW544" s="3"/>
      <x:c r="AX544" s="3"/>
      <x:c r="AY544" s="3"/>
      <x:c r="AZ544" s="3"/>
      <x:c r="BA544" s="3"/>
      <x:c r="BC544" s="3"/>
      <x:c r="BD544" s="3"/>
      <x:c r="BE544" s="3"/>
      <x:c r="BF544" s="3"/>
      <x:c r="BG544" s="3"/>
      <x:c r="BH544" s="13"/>
      <x:c r="BI544" s="13"/>
      <x:c r="BJ544" s="13"/>
      <x:c r="BK544" s="13"/>
      <x:c r="BL544" s="13"/>
      <x:c r="BM544" s="13"/>
      <x:c r="BN544" s="13"/>
      <x:c r="BO544" s="13"/>
      <x:c r="BP544" s="13"/>
      <x:c r="BQ544" s="13"/>
      <x:c r="BR544" s="13"/>
      <x:c r="BS544" s="13"/>
      <x:c r="BT544" s="13"/>
      <x:c r="BU544" s="13"/>
      <x:c r="BV544" s="13"/>
      <x:c r="BW544" s="13"/>
      <x:c r="BX544" s="13"/>
      <x:c r="BY544" s="13"/>
      <x:c r="BZ544" s="13"/>
      <x:c r="CA544" s="13"/>
      <x:c r="CB544" s="13"/>
      <x:c r="CC544" s="13"/>
      <x:c r="CD544" s="13"/>
      <x:c r="CE544" s="13"/>
      <x:c r="CF544" s="13"/>
      <x:c r="CG544" s="13"/>
    </x:row>
    <x:row r="545" ht="14.25" customHeight="1">
      <x:c r="AA545" s="3"/>
      <x:c r="AF545" s="3"/>
      <x:c r="AG545" s="3"/>
      <x:c r="AH545" s="3"/>
      <x:c r="AI545" s="3"/>
      <x:c r="AJ545" s="3"/>
      <x:c r="AK545" s="3"/>
      <x:c r="AL545" s="3"/>
      <x:c r="AM545" s="3"/>
      <x:c r="AT545" s="3"/>
      <x:c r="AU545" s="3"/>
      <x:c r="AV545" s="3"/>
      <x:c r="AW545" s="3"/>
      <x:c r="AX545" s="3"/>
      <x:c r="AY545" s="3"/>
      <x:c r="AZ545" s="3"/>
      <x:c r="BA545" s="3"/>
      <x:c r="BC545" s="3"/>
      <x:c r="BD545" s="3"/>
      <x:c r="BE545" s="3"/>
      <x:c r="BF545" s="3"/>
      <x:c r="BG545" s="3"/>
      <x:c r="BH545" s="13"/>
      <x:c r="BI545" s="13"/>
      <x:c r="BJ545" s="13"/>
      <x:c r="BK545" s="13"/>
      <x:c r="BL545" s="13"/>
      <x:c r="BM545" s="13"/>
      <x:c r="BN545" s="13"/>
      <x:c r="BO545" s="13"/>
      <x:c r="BP545" s="13"/>
      <x:c r="BQ545" s="13"/>
      <x:c r="BR545" s="13"/>
      <x:c r="BS545" s="13"/>
      <x:c r="BT545" s="13"/>
      <x:c r="BU545" s="13"/>
      <x:c r="BV545" s="13"/>
      <x:c r="BW545" s="13"/>
      <x:c r="BX545" s="13"/>
      <x:c r="BY545" s="13"/>
      <x:c r="BZ545" s="13"/>
      <x:c r="CA545" s="13"/>
      <x:c r="CB545" s="13"/>
      <x:c r="CC545" s="13"/>
      <x:c r="CD545" s="13"/>
      <x:c r="CE545" s="13"/>
      <x:c r="CF545" s="13"/>
      <x:c r="CG545" s="13"/>
    </x:row>
    <x:row r="546" ht="14.25" customHeight="1">
      <x:c r="AA546" s="3"/>
      <x:c r="AF546" s="3"/>
      <x:c r="AG546" s="3"/>
      <x:c r="AH546" s="3"/>
      <x:c r="AI546" s="3"/>
      <x:c r="AJ546" s="3"/>
      <x:c r="AK546" s="3"/>
      <x:c r="AL546" s="3"/>
      <x:c r="AM546" s="3"/>
      <x:c r="AT546" s="3"/>
      <x:c r="AU546" s="3"/>
      <x:c r="AV546" s="3"/>
      <x:c r="AW546" s="3"/>
      <x:c r="AX546" s="3"/>
      <x:c r="AY546" s="3"/>
      <x:c r="AZ546" s="3"/>
      <x:c r="BA546" s="3"/>
      <x:c r="BC546" s="3"/>
      <x:c r="BD546" s="3"/>
      <x:c r="BE546" s="3"/>
      <x:c r="BF546" s="3"/>
      <x:c r="BG546" s="3"/>
      <x:c r="BH546" s="13"/>
      <x:c r="BI546" s="13"/>
      <x:c r="BJ546" s="13"/>
      <x:c r="BK546" s="13"/>
      <x:c r="BL546" s="13"/>
      <x:c r="BM546" s="13"/>
      <x:c r="BN546" s="13"/>
      <x:c r="BO546" s="13"/>
      <x:c r="BP546" s="13"/>
      <x:c r="BQ546" s="13"/>
      <x:c r="BR546" s="13"/>
      <x:c r="BS546" s="13"/>
      <x:c r="BT546" s="13"/>
      <x:c r="BU546" s="13"/>
      <x:c r="BV546" s="13"/>
      <x:c r="BW546" s="13"/>
      <x:c r="BX546" s="13"/>
      <x:c r="BY546" s="13"/>
      <x:c r="BZ546" s="13"/>
      <x:c r="CA546" s="13"/>
      <x:c r="CB546" s="13"/>
      <x:c r="CC546" s="13"/>
      <x:c r="CD546" s="13"/>
      <x:c r="CE546" s="13"/>
      <x:c r="CF546" s="13"/>
      <x:c r="CG546" s="13"/>
    </x:row>
    <x:row r="547" ht="14.25" customHeight="1">
      <x:c r="AA547" s="3"/>
      <x:c r="AF547" s="3"/>
      <x:c r="AG547" s="3"/>
      <x:c r="AH547" s="3"/>
      <x:c r="AI547" s="3"/>
      <x:c r="AJ547" s="3"/>
      <x:c r="AK547" s="3"/>
      <x:c r="AL547" s="3"/>
      <x:c r="AM547" s="3"/>
      <x:c r="AT547" s="3"/>
      <x:c r="AU547" s="3"/>
      <x:c r="AV547" s="3"/>
      <x:c r="AW547" s="3"/>
      <x:c r="AX547" s="3"/>
      <x:c r="AY547" s="3"/>
      <x:c r="AZ547" s="3"/>
      <x:c r="BA547" s="3"/>
      <x:c r="BC547" s="3"/>
      <x:c r="BD547" s="3"/>
      <x:c r="BE547" s="3"/>
      <x:c r="BF547" s="3"/>
      <x:c r="BG547" s="3"/>
      <x:c r="BH547" s="13"/>
      <x:c r="BI547" s="13"/>
      <x:c r="BJ547" s="13"/>
      <x:c r="BK547" s="13"/>
      <x:c r="BL547" s="13"/>
      <x:c r="BM547" s="13"/>
      <x:c r="BN547" s="13"/>
      <x:c r="BO547" s="13"/>
      <x:c r="BP547" s="13"/>
      <x:c r="BQ547" s="13"/>
      <x:c r="BR547" s="13"/>
      <x:c r="BS547" s="13"/>
      <x:c r="BT547" s="13"/>
      <x:c r="BU547" s="13"/>
      <x:c r="BV547" s="13"/>
      <x:c r="BW547" s="13"/>
      <x:c r="BX547" s="13"/>
      <x:c r="BY547" s="13"/>
      <x:c r="BZ547" s="13"/>
      <x:c r="CA547" s="13"/>
      <x:c r="CB547" s="13"/>
      <x:c r="CC547" s="13"/>
      <x:c r="CD547" s="13"/>
      <x:c r="CE547" s="13"/>
      <x:c r="CF547" s="13"/>
      <x:c r="CG547" s="13"/>
    </x:row>
    <x:row r="548" ht="14.25" customHeight="1">
      <x:c r="AA548" s="3"/>
      <x:c r="AF548" s="3"/>
      <x:c r="AG548" s="3"/>
      <x:c r="AH548" s="3"/>
      <x:c r="AI548" s="3"/>
      <x:c r="AJ548" s="3"/>
      <x:c r="AK548" s="3"/>
      <x:c r="AL548" s="3"/>
      <x:c r="AM548" s="3"/>
      <x:c r="AT548" s="3"/>
      <x:c r="AU548" s="3"/>
      <x:c r="AV548" s="3"/>
      <x:c r="AW548" s="3"/>
      <x:c r="AX548" s="3"/>
      <x:c r="AY548" s="3"/>
      <x:c r="AZ548" s="3"/>
      <x:c r="BA548" s="3"/>
      <x:c r="BC548" s="3"/>
      <x:c r="BD548" s="3"/>
      <x:c r="BE548" s="3"/>
      <x:c r="BF548" s="3"/>
      <x:c r="BG548" s="3"/>
      <x:c r="BH548" s="13"/>
      <x:c r="BI548" s="13"/>
      <x:c r="BJ548" s="13"/>
      <x:c r="BK548" s="13"/>
      <x:c r="BL548" s="13"/>
      <x:c r="BM548" s="13"/>
      <x:c r="BN548" s="13"/>
      <x:c r="BO548" s="13"/>
      <x:c r="BP548" s="13"/>
      <x:c r="BQ548" s="13"/>
      <x:c r="BR548" s="13"/>
      <x:c r="BS548" s="13"/>
      <x:c r="BT548" s="13"/>
      <x:c r="BU548" s="13"/>
      <x:c r="BV548" s="13"/>
      <x:c r="BW548" s="13"/>
      <x:c r="BX548" s="13"/>
      <x:c r="BY548" s="13"/>
      <x:c r="BZ548" s="13"/>
      <x:c r="CA548" s="13"/>
      <x:c r="CB548" s="13"/>
      <x:c r="CC548" s="13"/>
      <x:c r="CD548" s="13"/>
      <x:c r="CE548" s="13"/>
      <x:c r="CF548" s="13"/>
      <x:c r="CG548" s="13"/>
    </x:row>
    <x:row r="549" ht="14.25" customHeight="1">
      <x:c r="AA549" s="3"/>
      <x:c r="AF549" s="3"/>
      <x:c r="AG549" s="3"/>
      <x:c r="AH549" s="3"/>
      <x:c r="AI549" s="3"/>
      <x:c r="AJ549" s="3"/>
      <x:c r="AK549" s="3"/>
      <x:c r="AL549" s="3"/>
      <x:c r="AM549" s="3"/>
      <x:c r="AT549" s="3"/>
      <x:c r="AU549" s="3"/>
      <x:c r="AV549" s="3"/>
      <x:c r="AW549" s="3"/>
      <x:c r="AX549" s="3"/>
      <x:c r="AY549" s="3"/>
      <x:c r="AZ549" s="3"/>
      <x:c r="BA549" s="3"/>
      <x:c r="BC549" s="3"/>
      <x:c r="BD549" s="3"/>
      <x:c r="BE549" s="3"/>
      <x:c r="BF549" s="3"/>
      <x:c r="BG549" s="3"/>
      <x:c r="BH549" s="13"/>
      <x:c r="BI549" s="13"/>
      <x:c r="BJ549" s="13"/>
      <x:c r="BK549" s="13"/>
      <x:c r="BL549" s="13"/>
      <x:c r="BM549" s="13"/>
      <x:c r="BN549" s="13"/>
      <x:c r="BO549" s="13"/>
      <x:c r="BP549" s="13"/>
      <x:c r="BQ549" s="13"/>
      <x:c r="BR549" s="13"/>
      <x:c r="BS549" s="13"/>
      <x:c r="BT549" s="13"/>
      <x:c r="BU549" s="13"/>
      <x:c r="BV549" s="13"/>
      <x:c r="BW549" s="13"/>
      <x:c r="BX549" s="13"/>
      <x:c r="BY549" s="13"/>
      <x:c r="BZ549" s="13"/>
      <x:c r="CA549" s="13"/>
      <x:c r="CB549" s="13"/>
      <x:c r="CC549" s="13"/>
      <x:c r="CD549" s="13"/>
      <x:c r="CE549" s="13"/>
      <x:c r="CF549" s="13"/>
      <x:c r="CG549" s="13"/>
    </x:row>
    <x:row r="550" ht="14.25" customHeight="1">
      <x:c r="AA550" s="3"/>
      <x:c r="AF550" s="3"/>
      <x:c r="AG550" s="3"/>
      <x:c r="AH550" s="3"/>
      <x:c r="AI550" s="3"/>
      <x:c r="AJ550" s="3"/>
      <x:c r="AK550" s="3"/>
      <x:c r="AL550" s="3"/>
      <x:c r="AM550" s="3"/>
      <x:c r="AT550" s="3"/>
      <x:c r="AU550" s="3"/>
      <x:c r="AV550" s="3"/>
      <x:c r="AW550" s="3"/>
      <x:c r="AX550" s="3"/>
      <x:c r="AY550" s="3"/>
      <x:c r="AZ550" s="3"/>
      <x:c r="BA550" s="3"/>
      <x:c r="BC550" s="3"/>
      <x:c r="BD550" s="3"/>
      <x:c r="BE550" s="3"/>
      <x:c r="BF550" s="3"/>
      <x:c r="BG550" s="3"/>
      <x:c r="BH550" s="13"/>
      <x:c r="BI550" s="13"/>
      <x:c r="BJ550" s="13"/>
      <x:c r="BK550" s="13"/>
      <x:c r="BL550" s="13"/>
      <x:c r="BM550" s="13"/>
      <x:c r="BN550" s="13"/>
      <x:c r="BO550" s="13"/>
      <x:c r="BP550" s="13"/>
      <x:c r="BQ550" s="13"/>
      <x:c r="BR550" s="13"/>
      <x:c r="BS550" s="13"/>
      <x:c r="BT550" s="13"/>
      <x:c r="BU550" s="13"/>
      <x:c r="BV550" s="13"/>
      <x:c r="BW550" s="13"/>
      <x:c r="BX550" s="13"/>
      <x:c r="BY550" s="13"/>
      <x:c r="BZ550" s="13"/>
      <x:c r="CA550" s="13"/>
      <x:c r="CB550" s="13"/>
      <x:c r="CC550" s="13"/>
      <x:c r="CD550" s="13"/>
      <x:c r="CE550" s="13"/>
      <x:c r="CF550" s="13"/>
      <x:c r="CG550" s="13"/>
    </x:row>
    <x:row r="551" ht="14.25" customHeight="1">
      <x:c r="AA551" s="3"/>
      <x:c r="AF551" s="3"/>
      <x:c r="AG551" s="3"/>
      <x:c r="AH551" s="3"/>
      <x:c r="AI551" s="3"/>
      <x:c r="AJ551" s="3"/>
      <x:c r="AK551" s="3"/>
      <x:c r="AL551" s="3"/>
      <x:c r="AM551" s="3"/>
      <x:c r="AT551" s="3"/>
      <x:c r="AU551" s="3"/>
      <x:c r="AV551" s="3"/>
      <x:c r="AW551" s="3"/>
      <x:c r="AX551" s="3"/>
      <x:c r="AY551" s="3"/>
      <x:c r="AZ551" s="3"/>
      <x:c r="BA551" s="3"/>
      <x:c r="BC551" s="3"/>
      <x:c r="BD551" s="3"/>
      <x:c r="BE551" s="3"/>
      <x:c r="BF551" s="3"/>
      <x:c r="BG551" s="3"/>
      <x:c r="BH551" s="13"/>
      <x:c r="BI551" s="13"/>
      <x:c r="BJ551" s="13"/>
      <x:c r="BK551" s="13"/>
      <x:c r="BL551" s="13"/>
      <x:c r="BM551" s="13"/>
      <x:c r="BN551" s="13"/>
      <x:c r="BO551" s="13"/>
      <x:c r="BP551" s="13"/>
      <x:c r="BQ551" s="13"/>
      <x:c r="BR551" s="13"/>
      <x:c r="BS551" s="13"/>
      <x:c r="BT551" s="13"/>
      <x:c r="BU551" s="13"/>
      <x:c r="BV551" s="13"/>
      <x:c r="BW551" s="13"/>
      <x:c r="BX551" s="13"/>
      <x:c r="BY551" s="13"/>
      <x:c r="BZ551" s="13"/>
      <x:c r="CA551" s="13"/>
      <x:c r="CB551" s="13"/>
      <x:c r="CC551" s="13"/>
      <x:c r="CD551" s="13"/>
      <x:c r="CE551" s="13"/>
      <x:c r="CF551" s="13"/>
      <x:c r="CG551" s="13"/>
    </x:row>
    <x:row r="552" ht="14.25" customHeight="1">
      <x:c r="AA552" s="3"/>
      <x:c r="AF552" s="3"/>
      <x:c r="AG552" s="3"/>
      <x:c r="AH552" s="3"/>
      <x:c r="AI552" s="3"/>
      <x:c r="AJ552" s="3"/>
      <x:c r="AK552" s="3"/>
      <x:c r="AL552" s="3"/>
      <x:c r="AM552" s="3"/>
      <x:c r="AT552" s="3"/>
      <x:c r="AU552" s="3"/>
      <x:c r="AV552" s="3"/>
      <x:c r="AW552" s="3"/>
      <x:c r="AX552" s="3"/>
      <x:c r="AY552" s="3"/>
      <x:c r="AZ552" s="3"/>
      <x:c r="BA552" s="3"/>
      <x:c r="BC552" s="3"/>
      <x:c r="BD552" s="3"/>
      <x:c r="BE552" s="3"/>
      <x:c r="BF552" s="3"/>
      <x:c r="BG552" s="3"/>
      <x:c r="BH552" s="13"/>
      <x:c r="BI552" s="13"/>
      <x:c r="BJ552" s="13"/>
      <x:c r="BK552" s="13"/>
      <x:c r="BL552" s="13"/>
      <x:c r="BM552" s="13"/>
      <x:c r="BN552" s="13"/>
      <x:c r="BO552" s="13"/>
      <x:c r="BP552" s="13"/>
      <x:c r="BQ552" s="13"/>
      <x:c r="BR552" s="13"/>
      <x:c r="BS552" s="13"/>
      <x:c r="BT552" s="13"/>
      <x:c r="BU552" s="13"/>
      <x:c r="BV552" s="13"/>
      <x:c r="BW552" s="13"/>
      <x:c r="BX552" s="13"/>
      <x:c r="BY552" s="13"/>
      <x:c r="BZ552" s="13"/>
      <x:c r="CA552" s="13"/>
      <x:c r="CB552" s="13"/>
      <x:c r="CC552" s="13"/>
      <x:c r="CD552" s="13"/>
      <x:c r="CE552" s="13"/>
      <x:c r="CF552" s="13"/>
      <x:c r="CG552" s="13"/>
    </x:row>
    <x:row r="553" ht="14.25" customHeight="1">
      <x:c r="AA553" s="3"/>
      <x:c r="AF553" s="3"/>
      <x:c r="AG553" s="3"/>
      <x:c r="AH553" s="3"/>
      <x:c r="AI553" s="3"/>
      <x:c r="AJ553" s="3"/>
      <x:c r="AK553" s="3"/>
      <x:c r="AL553" s="3"/>
      <x:c r="AM553" s="3"/>
      <x:c r="AT553" s="3"/>
      <x:c r="AU553" s="3"/>
      <x:c r="AV553" s="3"/>
      <x:c r="AW553" s="3"/>
      <x:c r="AX553" s="3"/>
      <x:c r="AY553" s="3"/>
      <x:c r="AZ553" s="3"/>
      <x:c r="BA553" s="3"/>
      <x:c r="BC553" s="3"/>
      <x:c r="BD553" s="3"/>
      <x:c r="BE553" s="3"/>
      <x:c r="BF553" s="3"/>
      <x:c r="BG553" s="3"/>
      <x:c r="BH553" s="13"/>
      <x:c r="BI553" s="13"/>
      <x:c r="BJ553" s="13"/>
      <x:c r="BK553" s="13"/>
      <x:c r="BL553" s="13"/>
      <x:c r="BM553" s="13"/>
      <x:c r="BN553" s="13"/>
      <x:c r="BO553" s="13"/>
      <x:c r="BP553" s="13"/>
      <x:c r="BQ553" s="13"/>
      <x:c r="BR553" s="13"/>
      <x:c r="BS553" s="13"/>
      <x:c r="BT553" s="13"/>
      <x:c r="BU553" s="13"/>
      <x:c r="BV553" s="13"/>
      <x:c r="BW553" s="13"/>
      <x:c r="BX553" s="13"/>
      <x:c r="BY553" s="13"/>
      <x:c r="BZ553" s="13"/>
      <x:c r="CA553" s="13"/>
      <x:c r="CB553" s="13"/>
      <x:c r="CC553" s="13"/>
      <x:c r="CD553" s="13"/>
      <x:c r="CE553" s="13"/>
      <x:c r="CF553" s="13"/>
      <x:c r="CG553" s="13"/>
    </x:row>
    <x:row r="554" ht="14.25" customHeight="1">
      <x:c r="AA554" s="3"/>
      <x:c r="AF554" s="3"/>
      <x:c r="AG554" s="3"/>
      <x:c r="AH554" s="3"/>
      <x:c r="AI554" s="3"/>
      <x:c r="AJ554" s="3"/>
      <x:c r="AK554" s="3"/>
      <x:c r="AL554" s="3"/>
      <x:c r="AM554" s="3"/>
      <x:c r="AT554" s="3"/>
      <x:c r="AU554" s="3"/>
      <x:c r="AV554" s="3"/>
      <x:c r="AW554" s="3"/>
      <x:c r="AX554" s="3"/>
      <x:c r="AY554" s="3"/>
      <x:c r="AZ554" s="3"/>
      <x:c r="BA554" s="3"/>
      <x:c r="BC554" s="3"/>
      <x:c r="BD554" s="3"/>
      <x:c r="BE554" s="3"/>
      <x:c r="BF554" s="3"/>
      <x:c r="BG554" s="3"/>
      <x:c r="BH554" s="13"/>
      <x:c r="BI554" s="13"/>
      <x:c r="BJ554" s="13"/>
      <x:c r="BK554" s="13"/>
      <x:c r="BL554" s="13"/>
      <x:c r="BM554" s="13"/>
      <x:c r="BN554" s="13"/>
      <x:c r="BO554" s="13"/>
      <x:c r="BP554" s="13"/>
      <x:c r="BQ554" s="13"/>
      <x:c r="BR554" s="13"/>
      <x:c r="BS554" s="13"/>
      <x:c r="BT554" s="13"/>
      <x:c r="BU554" s="13"/>
      <x:c r="BV554" s="13"/>
      <x:c r="BW554" s="13"/>
      <x:c r="BX554" s="13"/>
      <x:c r="BY554" s="13"/>
      <x:c r="BZ554" s="13"/>
      <x:c r="CA554" s="13"/>
      <x:c r="CB554" s="13"/>
      <x:c r="CC554" s="13"/>
      <x:c r="CD554" s="13"/>
      <x:c r="CE554" s="13"/>
      <x:c r="CF554" s="13"/>
      <x:c r="CG554" s="13"/>
    </x:row>
    <x:row r="555" ht="14.25" customHeight="1">
      <x:c r="AA555" s="3"/>
      <x:c r="AF555" s="3"/>
      <x:c r="AG555" s="3"/>
      <x:c r="AH555" s="3"/>
      <x:c r="AI555" s="3"/>
      <x:c r="AJ555" s="3"/>
      <x:c r="AK555" s="3"/>
      <x:c r="AL555" s="3"/>
      <x:c r="AM555" s="3"/>
      <x:c r="AT555" s="3"/>
      <x:c r="AU555" s="3"/>
      <x:c r="AV555" s="3"/>
      <x:c r="AW555" s="3"/>
      <x:c r="AX555" s="3"/>
      <x:c r="AY555" s="3"/>
      <x:c r="AZ555" s="3"/>
      <x:c r="BA555" s="3"/>
      <x:c r="BC555" s="3"/>
      <x:c r="BD555" s="3"/>
      <x:c r="BE555" s="3"/>
      <x:c r="BF555" s="3"/>
      <x:c r="BG555" s="3"/>
      <x:c r="BH555" s="13"/>
      <x:c r="BI555" s="13"/>
      <x:c r="BJ555" s="13"/>
      <x:c r="BK555" s="13"/>
      <x:c r="BL555" s="13"/>
      <x:c r="BM555" s="13"/>
      <x:c r="BN555" s="13"/>
      <x:c r="BO555" s="13"/>
      <x:c r="BP555" s="13"/>
      <x:c r="BQ555" s="13"/>
      <x:c r="BR555" s="13"/>
      <x:c r="BS555" s="13"/>
      <x:c r="BT555" s="13"/>
      <x:c r="BU555" s="13"/>
      <x:c r="BV555" s="13"/>
      <x:c r="BW555" s="13"/>
      <x:c r="BX555" s="13"/>
      <x:c r="BY555" s="13"/>
      <x:c r="BZ555" s="13"/>
      <x:c r="CA555" s="13"/>
      <x:c r="CB555" s="13"/>
      <x:c r="CC555" s="13"/>
      <x:c r="CD555" s="13"/>
      <x:c r="CE555" s="13"/>
      <x:c r="CF555" s="13"/>
      <x:c r="CG555" s="13"/>
    </x:row>
    <x:row r="556" ht="14.25" customHeight="1">
      <x:c r="AA556" s="3"/>
      <x:c r="AF556" s="3"/>
      <x:c r="AG556" s="3"/>
      <x:c r="AH556" s="3"/>
      <x:c r="AI556" s="3"/>
      <x:c r="AJ556" s="3"/>
      <x:c r="AK556" s="3"/>
      <x:c r="AL556" s="3"/>
      <x:c r="AM556" s="3"/>
      <x:c r="AT556" s="3"/>
      <x:c r="AU556" s="3"/>
      <x:c r="AV556" s="3"/>
      <x:c r="AW556" s="3"/>
      <x:c r="AX556" s="3"/>
      <x:c r="AY556" s="3"/>
      <x:c r="AZ556" s="3"/>
      <x:c r="BA556" s="3"/>
      <x:c r="BC556" s="3"/>
      <x:c r="BD556" s="3"/>
      <x:c r="BE556" s="3"/>
      <x:c r="BF556" s="3"/>
      <x:c r="BG556" s="3"/>
      <x:c r="BH556" s="13"/>
      <x:c r="BI556" s="13"/>
      <x:c r="BJ556" s="13"/>
      <x:c r="BK556" s="13"/>
      <x:c r="BL556" s="13"/>
      <x:c r="BM556" s="13"/>
      <x:c r="BN556" s="13"/>
      <x:c r="BO556" s="13"/>
      <x:c r="BP556" s="13"/>
      <x:c r="BQ556" s="13"/>
      <x:c r="BR556" s="13"/>
      <x:c r="BS556" s="13"/>
      <x:c r="BT556" s="13"/>
      <x:c r="BU556" s="13"/>
      <x:c r="BV556" s="13"/>
      <x:c r="BW556" s="13"/>
      <x:c r="BX556" s="13"/>
      <x:c r="BY556" s="13"/>
      <x:c r="BZ556" s="13"/>
      <x:c r="CA556" s="13"/>
      <x:c r="CB556" s="13"/>
      <x:c r="CC556" s="13"/>
      <x:c r="CD556" s="13"/>
      <x:c r="CE556" s="13"/>
      <x:c r="CF556" s="13"/>
      <x:c r="CG556" s="13"/>
    </x:row>
    <x:row r="557" ht="14.25" customHeight="1">
      <x:c r="AA557" s="3"/>
      <x:c r="AF557" s="3"/>
      <x:c r="AG557" s="3"/>
      <x:c r="AH557" s="3"/>
      <x:c r="AI557" s="3"/>
      <x:c r="AJ557" s="3"/>
      <x:c r="AK557" s="3"/>
      <x:c r="AL557" s="3"/>
      <x:c r="AM557" s="3"/>
      <x:c r="AT557" s="3"/>
      <x:c r="AU557" s="3"/>
      <x:c r="AV557" s="3"/>
      <x:c r="AW557" s="3"/>
      <x:c r="AX557" s="3"/>
      <x:c r="AY557" s="3"/>
      <x:c r="AZ557" s="3"/>
      <x:c r="BA557" s="3"/>
      <x:c r="BC557" s="3"/>
      <x:c r="BD557" s="3"/>
      <x:c r="BE557" s="3"/>
      <x:c r="BF557" s="3"/>
      <x:c r="BG557" s="3"/>
      <x:c r="BH557" s="13"/>
      <x:c r="BI557" s="13"/>
      <x:c r="BJ557" s="13"/>
      <x:c r="BK557" s="13"/>
      <x:c r="BL557" s="13"/>
      <x:c r="BM557" s="13"/>
      <x:c r="BN557" s="13"/>
      <x:c r="BO557" s="13"/>
      <x:c r="BP557" s="13"/>
      <x:c r="BQ557" s="13"/>
      <x:c r="BR557" s="13"/>
      <x:c r="BS557" s="13"/>
      <x:c r="BT557" s="13"/>
      <x:c r="BU557" s="13"/>
      <x:c r="BV557" s="13"/>
      <x:c r="BW557" s="13"/>
      <x:c r="BX557" s="13"/>
      <x:c r="BY557" s="13"/>
      <x:c r="BZ557" s="13"/>
      <x:c r="CA557" s="13"/>
      <x:c r="CB557" s="13"/>
      <x:c r="CC557" s="13"/>
      <x:c r="CD557" s="13"/>
      <x:c r="CE557" s="13"/>
      <x:c r="CF557" s="13"/>
      <x:c r="CG557" s="13"/>
    </x:row>
    <x:row r="558" ht="14.25" customHeight="1">
      <x:c r="AA558" s="3"/>
      <x:c r="AF558" s="3"/>
      <x:c r="AG558" s="3"/>
      <x:c r="AH558" s="3"/>
      <x:c r="AI558" s="3"/>
      <x:c r="AJ558" s="3"/>
      <x:c r="AK558" s="3"/>
      <x:c r="AL558" s="3"/>
      <x:c r="AM558" s="3"/>
      <x:c r="AT558" s="3"/>
      <x:c r="AU558" s="3"/>
      <x:c r="AV558" s="3"/>
      <x:c r="AW558" s="3"/>
      <x:c r="AX558" s="3"/>
      <x:c r="AY558" s="3"/>
      <x:c r="AZ558" s="3"/>
      <x:c r="BA558" s="3"/>
      <x:c r="BC558" s="3"/>
      <x:c r="BD558" s="3"/>
      <x:c r="BE558" s="3"/>
      <x:c r="BF558" s="3"/>
      <x:c r="BG558" s="3"/>
      <x:c r="BH558" s="13"/>
      <x:c r="BI558" s="13"/>
      <x:c r="BJ558" s="13"/>
      <x:c r="BK558" s="13"/>
      <x:c r="BL558" s="13"/>
      <x:c r="BM558" s="13"/>
      <x:c r="BN558" s="13"/>
      <x:c r="BO558" s="13"/>
      <x:c r="BP558" s="13"/>
      <x:c r="BQ558" s="13"/>
      <x:c r="BR558" s="13"/>
      <x:c r="BS558" s="13"/>
      <x:c r="BT558" s="13"/>
      <x:c r="BU558" s="13"/>
      <x:c r="BV558" s="13"/>
      <x:c r="BW558" s="13"/>
      <x:c r="BX558" s="13"/>
      <x:c r="BY558" s="13"/>
      <x:c r="BZ558" s="13"/>
      <x:c r="CA558" s="13"/>
      <x:c r="CB558" s="13"/>
      <x:c r="CC558" s="13"/>
      <x:c r="CD558" s="13"/>
      <x:c r="CE558" s="13"/>
      <x:c r="CF558" s="13"/>
      <x:c r="CG558" s="13"/>
    </x:row>
    <x:row r="559" ht="14.25" customHeight="1">
      <x:c r="AA559" s="3"/>
      <x:c r="AF559" s="3"/>
      <x:c r="AG559" s="3"/>
      <x:c r="AH559" s="3"/>
      <x:c r="AI559" s="3"/>
      <x:c r="AJ559" s="3"/>
      <x:c r="AK559" s="3"/>
      <x:c r="AL559" s="3"/>
      <x:c r="AM559" s="3"/>
      <x:c r="AT559" s="3"/>
      <x:c r="AU559" s="3"/>
      <x:c r="AV559" s="3"/>
      <x:c r="AW559" s="3"/>
      <x:c r="AX559" s="3"/>
      <x:c r="AY559" s="3"/>
      <x:c r="AZ559" s="3"/>
      <x:c r="BA559" s="3"/>
      <x:c r="BC559" s="3"/>
      <x:c r="BD559" s="3"/>
      <x:c r="BE559" s="3"/>
      <x:c r="BF559" s="3"/>
      <x:c r="BG559" s="3"/>
      <x:c r="BH559" s="13"/>
      <x:c r="BI559" s="13"/>
      <x:c r="BJ559" s="13"/>
      <x:c r="BK559" s="13"/>
      <x:c r="BL559" s="13"/>
      <x:c r="BM559" s="13"/>
      <x:c r="BN559" s="13"/>
      <x:c r="BO559" s="13"/>
      <x:c r="BP559" s="13"/>
      <x:c r="BQ559" s="13"/>
      <x:c r="BR559" s="13"/>
      <x:c r="BS559" s="13"/>
      <x:c r="BT559" s="13"/>
      <x:c r="BU559" s="13"/>
      <x:c r="BV559" s="13"/>
      <x:c r="BW559" s="13"/>
      <x:c r="BX559" s="13"/>
      <x:c r="BY559" s="13"/>
      <x:c r="BZ559" s="13"/>
      <x:c r="CA559" s="13"/>
      <x:c r="CB559" s="13"/>
      <x:c r="CC559" s="13"/>
      <x:c r="CD559" s="13"/>
      <x:c r="CE559" s="13"/>
      <x:c r="CF559" s="13"/>
      <x:c r="CG559" s="13"/>
    </x:row>
    <x:row r="560" ht="14.25" customHeight="1">
      <x:c r="AA560" s="3"/>
      <x:c r="AF560" s="3"/>
      <x:c r="AG560" s="3"/>
      <x:c r="AH560" s="3"/>
      <x:c r="AI560" s="3"/>
      <x:c r="AJ560" s="3"/>
      <x:c r="AK560" s="3"/>
      <x:c r="AL560" s="3"/>
      <x:c r="AM560" s="3"/>
      <x:c r="AT560" s="3"/>
      <x:c r="AU560" s="3"/>
      <x:c r="AV560" s="3"/>
      <x:c r="AW560" s="3"/>
      <x:c r="AX560" s="3"/>
      <x:c r="AY560" s="3"/>
      <x:c r="AZ560" s="3"/>
      <x:c r="BA560" s="3"/>
      <x:c r="BC560" s="3"/>
      <x:c r="BD560" s="3"/>
      <x:c r="BE560" s="3"/>
      <x:c r="BF560" s="3"/>
      <x:c r="BG560" s="3"/>
      <x:c r="BH560" s="13"/>
      <x:c r="BI560" s="13"/>
      <x:c r="BJ560" s="13"/>
      <x:c r="BK560" s="13"/>
      <x:c r="BL560" s="13"/>
      <x:c r="BM560" s="13"/>
      <x:c r="BN560" s="13"/>
      <x:c r="BO560" s="13"/>
      <x:c r="BP560" s="13"/>
      <x:c r="BQ560" s="13"/>
      <x:c r="BR560" s="13"/>
      <x:c r="BS560" s="13"/>
      <x:c r="BT560" s="13"/>
      <x:c r="BU560" s="13"/>
      <x:c r="BV560" s="13"/>
      <x:c r="BW560" s="13"/>
      <x:c r="BX560" s="13"/>
      <x:c r="BY560" s="13"/>
      <x:c r="BZ560" s="13"/>
      <x:c r="CA560" s="13"/>
      <x:c r="CB560" s="13"/>
      <x:c r="CC560" s="13"/>
      <x:c r="CD560" s="13"/>
      <x:c r="CE560" s="13"/>
      <x:c r="CF560" s="13"/>
      <x:c r="CG560" s="13"/>
    </x:row>
    <x:row r="561" ht="14.25" customHeight="1">
      <x:c r="AA561" s="3"/>
      <x:c r="AF561" s="3"/>
      <x:c r="AG561" s="3"/>
      <x:c r="AH561" s="3"/>
      <x:c r="AI561" s="3"/>
      <x:c r="AJ561" s="3"/>
      <x:c r="AK561" s="3"/>
      <x:c r="AL561" s="3"/>
      <x:c r="AM561" s="3"/>
      <x:c r="AT561" s="3"/>
      <x:c r="AU561" s="3"/>
      <x:c r="AV561" s="3"/>
      <x:c r="AW561" s="3"/>
      <x:c r="AX561" s="3"/>
      <x:c r="AY561" s="3"/>
      <x:c r="AZ561" s="3"/>
      <x:c r="BA561" s="3"/>
      <x:c r="BC561" s="3"/>
      <x:c r="BD561" s="3"/>
      <x:c r="BE561" s="3"/>
      <x:c r="BF561" s="3"/>
      <x:c r="BG561" s="3"/>
      <x:c r="BH561" s="13"/>
      <x:c r="BI561" s="13"/>
      <x:c r="BJ561" s="13"/>
      <x:c r="BK561" s="13"/>
      <x:c r="BL561" s="13"/>
      <x:c r="BM561" s="13"/>
      <x:c r="BN561" s="13"/>
      <x:c r="BO561" s="13"/>
      <x:c r="BP561" s="13"/>
      <x:c r="BQ561" s="13"/>
      <x:c r="BR561" s="13"/>
      <x:c r="BS561" s="13"/>
      <x:c r="BT561" s="13"/>
      <x:c r="BU561" s="13"/>
      <x:c r="BV561" s="13"/>
      <x:c r="BW561" s="13"/>
      <x:c r="BX561" s="13"/>
      <x:c r="BY561" s="13"/>
      <x:c r="BZ561" s="13"/>
      <x:c r="CA561" s="13"/>
      <x:c r="CB561" s="13"/>
      <x:c r="CC561" s="13"/>
      <x:c r="CD561" s="13"/>
      <x:c r="CE561" s="13"/>
      <x:c r="CF561" s="13"/>
      <x:c r="CG561" s="13"/>
    </x:row>
    <x:row r="562" ht="14.25" customHeight="1">
      <x:c r="AA562" s="3"/>
      <x:c r="AF562" s="3"/>
      <x:c r="AG562" s="3"/>
      <x:c r="AH562" s="3"/>
      <x:c r="AI562" s="3"/>
      <x:c r="AJ562" s="3"/>
      <x:c r="AK562" s="3"/>
      <x:c r="AL562" s="3"/>
      <x:c r="AM562" s="3"/>
      <x:c r="AT562" s="3"/>
      <x:c r="AU562" s="3"/>
      <x:c r="AV562" s="3"/>
      <x:c r="AW562" s="3"/>
      <x:c r="AX562" s="3"/>
      <x:c r="AY562" s="3"/>
      <x:c r="AZ562" s="3"/>
      <x:c r="BA562" s="3"/>
      <x:c r="BC562" s="3"/>
      <x:c r="BD562" s="3"/>
      <x:c r="BE562" s="3"/>
      <x:c r="BF562" s="3"/>
      <x:c r="BG562" s="3"/>
      <x:c r="BH562" s="13"/>
      <x:c r="BI562" s="13"/>
      <x:c r="BJ562" s="13"/>
      <x:c r="BK562" s="13"/>
      <x:c r="BL562" s="13"/>
      <x:c r="BM562" s="13"/>
      <x:c r="BN562" s="13"/>
      <x:c r="BO562" s="13"/>
      <x:c r="BP562" s="13"/>
      <x:c r="BQ562" s="13"/>
      <x:c r="BR562" s="13"/>
      <x:c r="BS562" s="13"/>
      <x:c r="BT562" s="13"/>
      <x:c r="BU562" s="13"/>
      <x:c r="BV562" s="13"/>
      <x:c r="BW562" s="13"/>
      <x:c r="BX562" s="13"/>
      <x:c r="BY562" s="13"/>
      <x:c r="BZ562" s="13"/>
      <x:c r="CA562" s="13"/>
      <x:c r="CB562" s="13"/>
      <x:c r="CC562" s="13"/>
      <x:c r="CD562" s="13"/>
      <x:c r="CE562" s="13"/>
      <x:c r="CF562" s="13"/>
      <x:c r="CG562" s="13"/>
    </x:row>
    <x:row r="563" ht="14.25" customHeight="1">
      <x:c r="AA563" s="3"/>
      <x:c r="AF563" s="3"/>
      <x:c r="AG563" s="3"/>
      <x:c r="AH563" s="3"/>
      <x:c r="AI563" s="3"/>
      <x:c r="AJ563" s="3"/>
      <x:c r="AK563" s="3"/>
      <x:c r="AL563" s="3"/>
      <x:c r="AM563" s="3"/>
      <x:c r="AT563" s="3"/>
      <x:c r="AU563" s="3"/>
      <x:c r="AV563" s="3"/>
      <x:c r="AW563" s="3"/>
      <x:c r="AX563" s="3"/>
      <x:c r="AY563" s="3"/>
      <x:c r="AZ563" s="3"/>
      <x:c r="BA563" s="3"/>
      <x:c r="BC563" s="3"/>
      <x:c r="BD563" s="3"/>
      <x:c r="BE563" s="3"/>
      <x:c r="BF563" s="3"/>
      <x:c r="BG563" s="3"/>
      <x:c r="BH563" s="13"/>
      <x:c r="BI563" s="13"/>
      <x:c r="BJ563" s="13"/>
      <x:c r="BK563" s="13"/>
      <x:c r="BL563" s="13"/>
      <x:c r="BM563" s="13"/>
      <x:c r="BN563" s="13"/>
      <x:c r="BO563" s="13"/>
      <x:c r="BP563" s="13"/>
      <x:c r="BQ563" s="13"/>
      <x:c r="BR563" s="13"/>
      <x:c r="BS563" s="13"/>
      <x:c r="BT563" s="13"/>
      <x:c r="BU563" s="13"/>
      <x:c r="BV563" s="13"/>
      <x:c r="BW563" s="13"/>
      <x:c r="BX563" s="13"/>
      <x:c r="BY563" s="13"/>
      <x:c r="BZ563" s="13"/>
      <x:c r="CA563" s="13"/>
      <x:c r="CB563" s="13"/>
      <x:c r="CC563" s="13"/>
      <x:c r="CD563" s="13"/>
      <x:c r="CE563" s="13"/>
      <x:c r="CF563" s="13"/>
      <x:c r="CG563" s="13"/>
    </x:row>
    <x:row r="564" ht="14.25" customHeight="1">
      <x:c r="AA564" s="3"/>
      <x:c r="AF564" s="3"/>
      <x:c r="AG564" s="3"/>
      <x:c r="AH564" s="3"/>
      <x:c r="AI564" s="3"/>
      <x:c r="AJ564" s="3"/>
      <x:c r="AK564" s="3"/>
      <x:c r="AL564" s="3"/>
      <x:c r="AM564" s="3"/>
      <x:c r="AT564" s="3"/>
      <x:c r="AU564" s="3"/>
      <x:c r="AV564" s="3"/>
      <x:c r="AW564" s="3"/>
      <x:c r="AX564" s="3"/>
      <x:c r="AY564" s="3"/>
      <x:c r="AZ564" s="3"/>
      <x:c r="BA564" s="3"/>
      <x:c r="BC564" s="3"/>
      <x:c r="BD564" s="3"/>
      <x:c r="BE564" s="3"/>
      <x:c r="BF564" s="3"/>
      <x:c r="BG564" s="3"/>
      <x:c r="BH564" s="13"/>
      <x:c r="BI564" s="13"/>
      <x:c r="BJ564" s="13"/>
      <x:c r="BK564" s="13"/>
      <x:c r="BL564" s="13"/>
      <x:c r="BM564" s="13"/>
      <x:c r="BN564" s="13"/>
      <x:c r="BO564" s="13"/>
      <x:c r="BP564" s="13"/>
      <x:c r="BQ564" s="13"/>
      <x:c r="BR564" s="13"/>
      <x:c r="BS564" s="13"/>
      <x:c r="BT564" s="13"/>
      <x:c r="BU564" s="13"/>
      <x:c r="BV564" s="13"/>
      <x:c r="BW564" s="13"/>
      <x:c r="BX564" s="13"/>
      <x:c r="BY564" s="13"/>
      <x:c r="BZ564" s="13"/>
      <x:c r="CA564" s="13"/>
      <x:c r="CB564" s="13"/>
      <x:c r="CC564" s="13"/>
      <x:c r="CD564" s="13"/>
      <x:c r="CE564" s="13"/>
      <x:c r="CF564" s="13"/>
      <x:c r="CG564" s="13"/>
    </x:row>
    <x:row r="565" ht="14.25" customHeight="1">
      <x:c r="AA565" s="3"/>
      <x:c r="AF565" s="3"/>
      <x:c r="AG565" s="3"/>
      <x:c r="AH565" s="3"/>
      <x:c r="AI565" s="3"/>
      <x:c r="AJ565" s="3"/>
      <x:c r="AK565" s="3"/>
      <x:c r="AL565" s="3"/>
      <x:c r="AM565" s="3"/>
      <x:c r="AT565" s="3"/>
      <x:c r="AU565" s="3"/>
      <x:c r="AV565" s="3"/>
      <x:c r="AW565" s="3"/>
      <x:c r="AX565" s="3"/>
      <x:c r="AY565" s="3"/>
      <x:c r="AZ565" s="3"/>
      <x:c r="BA565" s="3"/>
      <x:c r="BC565" s="3"/>
      <x:c r="BD565" s="3"/>
      <x:c r="BE565" s="3"/>
      <x:c r="BF565" s="3"/>
      <x:c r="BG565" s="3"/>
      <x:c r="BH565" s="13"/>
      <x:c r="BI565" s="13"/>
      <x:c r="BJ565" s="13"/>
      <x:c r="BK565" s="13"/>
      <x:c r="BL565" s="13"/>
      <x:c r="BM565" s="13"/>
      <x:c r="BN565" s="13"/>
      <x:c r="BO565" s="13"/>
      <x:c r="BP565" s="13"/>
      <x:c r="BQ565" s="13"/>
      <x:c r="BR565" s="13"/>
      <x:c r="BS565" s="13"/>
      <x:c r="BT565" s="13"/>
      <x:c r="BU565" s="13"/>
      <x:c r="BV565" s="13"/>
      <x:c r="BW565" s="13"/>
      <x:c r="BX565" s="13"/>
      <x:c r="BY565" s="13"/>
      <x:c r="BZ565" s="13"/>
      <x:c r="CA565" s="13"/>
      <x:c r="CB565" s="13"/>
      <x:c r="CC565" s="13"/>
      <x:c r="CD565" s="13"/>
      <x:c r="CE565" s="13"/>
      <x:c r="CF565" s="13"/>
      <x:c r="CG565" s="13"/>
    </x:row>
    <x:row r="566" ht="14.25" customHeight="1">
      <x:c r="AA566" s="3"/>
      <x:c r="AF566" s="3"/>
      <x:c r="AG566" s="3"/>
      <x:c r="AH566" s="3"/>
      <x:c r="AI566" s="3"/>
      <x:c r="AJ566" s="3"/>
      <x:c r="AK566" s="3"/>
      <x:c r="AL566" s="3"/>
      <x:c r="AM566" s="3"/>
      <x:c r="AT566" s="3"/>
      <x:c r="AU566" s="3"/>
      <x:c r="AV566" s="3"/>
      <x:c r="AW566" s="3"/>
      <x:c r="AX566" s="3"/>
      <x:c r="AY566" s="3"/>
      <x:c r="AZ566" s="3"/>
      <x:c r="BA566" s="3"/>
      <x:c r="BC566" s="3"/>
      <x:c r="BD566" s="3"/>
      <x:c r="BE566" s="3"/>
      <x:c r="BF566" s="3"/>
      <x:c r="BG566" s="3"/>
      <x:c r="BH566" s="13"/>
      <x:c r="BI566" s="13"/>
      <x:c r="BJ566" s="13"/>
      <x:c r="BK566" s="13"/>
      <x:c r="BL566" s="13"/>
      <x:c r="BM566" s="13"/>
      <x:c r="BN566" s="13"/>
      <x:c r="BO566" s="13"/>
      <x:c r="BP566" s="13"/>
      <x:c r="BQ566" s="13"/>
      <x:c r="BR566" s="13"/>
      <x:c r="BS566" s="13"/>
      <x:c r="BT566" s="13"/>
      <x:c r="BU566" s="13"/>
      <x:c r="BV566" s="13"/>
      <x:c r="BW566" s="13"/>
      <x:c r="BX566" s="13"/>
      <x:c r="BY566" s="13"/>
      <x:c r="BZ566" s="13"/>
      <x:c r="CA566" s="13"/>
      <x:c r="CB566" s="13"/>
      <x:c r="CC566" s="13"/>
      <x:c r="CD566" s="13"/>
      <x:c r="CE566" s="13"/>
      <x:c r="CF566" s="13"/>
      <x:c r="CG566" s="13"/>
    </x:row>
    <x:row r="567" ht="14.25" customHeight="1">
      <x:c r="AA567" s="3"/>
      <x:c r="AF567" s="3"/>
      <x:c r="AG567" s="3"/>
      <x:c r="AH567" s="3"/>
      <x:c r="AI567" s="3"/>
      <x:c r="AJ567" s="3"/>
      <x:c r="AK567" s="3"/>
      <x:c r="AL567" s="3"/>
      <x:c r="AM567" s="3"/>
      <x:c r="AT567" s="3"/>
      <x:c r="AU567" s="3"/>
      <x:c r="AV567" s="3"/>
      <x:c r="AW567" s="3"/>
      <x:c r="AX567" s="3"/>
      <x:c r="AY567" s="3"/>
      <x:c r="AZ567" s="3"/>
      <x:c r="BA567" s="3"/>
      <x:c r="BC567" s="3"/>
      <x:c r="BD567" s="3"/>
      <x:c r="BE567" s="3"/>
      <x:c r="BF567" s="3"/>
      <x:c r="BG567" s="3"/>
      <x:c r="BH567" s="13"/>
      <x:c r="BI567" s="13"/>
      <x:c r="BJ567" s="13"/>
      <x:c r="BK567" s="13"/>
      <x:c r="BL567" s="13"/>
      <x:c r="BM567" s="13"/>
      <x:c r="BN567" s="13"/>
      <x:c r="BO567" s="13"/>
      <x:c r="BP567" s="13"/>
      <x:c r="BQ567" s="13"/>
      <x:c r="BR567" s="13"/>
      <x:c r="BS567" s="13"/>
      <x:c r="BT567" s="13"/>
      <x:c r="BU567" s="13"/>
      <x:c r="BV567" s="13"/>
      <x:c r="BW567" s="13"/>
      <x:c r="BX567" s="13"/>
      <x:c r="BY567" s="13"/>
      <x:c r="BZ567" s="13"/>
      <x:c r="CA567" s="13"/>
      <x:c r="CB567" s="13"/>
      <x:c r="CC567" s="13"/>
      <x:c r="CD567" s="13"/>
      <x:c r="CE567" s="13"/>
      <x:c r="CF567" s="13"/>
      <x:c r="CG567" s="13"/>
    </x:row>
    <x:row r="568" ht="14.25" customHeight="1">
      <x:c r="AA568" s="3"/>
      <x:c r="AF568" s="3"/>
      <x:c r="AG568" s="3"/>
      <x:c r="AH568" s="3"/>
      <x:c r="AI568" s="3"/>
      <x:c r="AJ568" s="3"/>
      <x:c r="AK568" s="3"/>
      <x:c r="AL568" s="3"/>
      <x:c r="AM568" s="3"/>
      <x:c r="AT568" s="3"/>
      <x:c r="AU568" s="3"/>
      <x:c r="AV568" s="3"/>
      <x:c r="AW568" s="3"/>
      <x:c r="AX568" s="3"/>
      <x:c r="AY568" s="3"/>
      <x:c r="AZ568" s="3"/>
      <x:c r="BA568" s="3"/>
      <x:c r="BC568" s="3"/>
      <x:c r="BD568" s="3"/>
      <x:c r="BE568" s="3"/>
      <x:c r="BF568" s="3"/>
      <x:c r="BG568" s="3"/>
      <x:c r="BH568" s="13"/>
      <x:c r="BI568" s="13"/>
      <x:c r="BJ568" s="13"/>
      <x:c r="BK568" s="13"/>
      <x:c r="BL568" s="13"/>
      <x:c r="BM568" s="13"/>
      <x:c r="BN568" s="13"/>
      <x:c r="BO568" s="13"/>
      <x:c r="BP568" s="13"/>
      <x:c r="BQ568" s="13"/>
      <x:c r="BR568" s="13"/>
      <x:c r="BS568" s="13"/>
      <x:c r="BT568" s="13"/>
      <x:c r="BU568" s="13"/>
      <x:c r="BV568" s="13"/>
      <x:c r="BW568" s="13"/>
      <x:c r="BX568" s="13"/>
      <x:c r="BY568" s="13"/>
      <x:c r="BZ568" s="13"/>
      <x:c r="CA568" s="13"/>
      <x:c r="CB568" s="13"/>
      <x:c r="CC568" s="13"/>
      <x:c r="CD568" s="13"/>
      <x:c r="CE568" s="13"/>
      <x:c r="CF568" s="13"/>
      <x:c r="CG568" s="13"/>
    </x:row>
    <x:row r="569" ht="14.25" customHeight="1">
      <x:c r="AA569" s="3"/>
      <x:c r="AF569" s="3"/>
      <x:c r="AG569" s="3"/>
      <x:c r="AH569" s="3"/>
      <x:c r="AI569" s="3"/>
      <x:c r="AJ569" s="3"/>
      <x:c r="AK569" s="3"/>
      <x:c r="AL569" s="3"/>
      <x:c r="AM569" s="3"/>
      <x:c r="AT569" s="3"/>
      <x:c r="AU569" s="3"/>
      <x:c r="AV569" s="3"/>
      <x:c r="AW569" s="3"/>
      <x:c r="AX569" s="3"/>
      <x:c r="AY569" s="3"/>
      <x:c r="AZ569" s="3"/>
      <x:c r="BA569" s="3"/>
      <x:c r="BC569" s="3"/>
      <x:c r="BD569" s="3"/>
      <x:c r="BE569" s="3"/>
      <x:c r="BF569" s="3"/>
      <x:c r="BG569" s="3"/>
      <x:c r="BH569" s="13"/>
      <x:c r="BI569" s="13"/>
      <x:c r="BJ569" s="13"/>
      <x:c r="BK569" s="13"/>
      <x:c r="BL569" s="13"/>
      <x:c r="BM569" s="13"/>
      <x:c r="BN569" s="13"/>
      <x:c r="BO569" s="13"/>
      <x:c r="BP569" s="13"/>
      <x:c r="BQ569" s="13"/>
      <x:c r="BR569" s="13"/>
      <x:c r="BS569" s="13"/>
      <x:c r="BT569" s="13"/>
      <x:c r="BU569" s="13"/>
      <x:c r="BV569" s="13"/>
      <x:c r="BW569" s="13"/>
      <x:c r="BX569" s="13"/>
      <x:c r="BY569" s="13"/>
      <x:c r="BZ569" s="13"/>
      <x:c r="CA569" s="13"/>
      <x:c r="CB569" s="13"/>
      <x:c r="CC569" s="13"/>
      <x:c r="CD569" s="13"/>
      <x:c r="CE569" s="13"/>
      <x:c r="CF569" s="13"/>
      <x:c r="CG569" s="13"/>
    </x:row>
    <x:row r="570" ht="14.25" customHeight="1">
      <x:c r="AA570" s="3"/>
      <x:c r="AF570" s="3"/>
      <x:c r="AG570" s="3"/>
      <x:c r="AH570" s="3"/>
      <x:c r="AI570" s="3"/>
      <x:c r="AJ570" s="3"/>
      <x:c r="AK570" s="3"/>
      <x:c r="AL570" s="3"/>
      <x:c r="AM570" s="3"/>
      <x:c r="AT570" s="3"/>
      <x:c r="AU570" s="3"/>
      <x:c r="AV570" s="3"/>
      <x:c r="AW570" s="3"/>
      <x:c r="AX570" s="3"/>
      <x:c r="AY570" s="3"/>
      <x:c r="AZ570" s="3"/>
      <x:c r="BA570" s="3"/>
      <x:c r="BC570" s="3"/>
      <x:c r="BD570" s="3"/>
      <x:c r="BE570" s="3"/>
      <x:c r="BF570" s="3"/>
      <x:c r="BG570" s="3"/>
      <x:c r="BH570" s="13"/>
      <x:c r="BI570" s="13"/>
      <x:c r="BJ570" s="13"/>
      <x:c r="BK570" s="13"/>
      <x:c r="BL570" s="13"/>
      <x:c r="BM570" s="13"/>
      <x:c r="BN570" s="13"/>
      <x:c r="BO570" s="13"/>
      <x:c r="BP570" s="13"/>
      <x:c r="BQ570" s="13"/>
      <x:c r="BR570" s="13"/>
      <x:c r="BS570" s="13"/>
      <x:c r="BT570" s="13"/>
      <x:c r="BU570" s="13"/>
      <x:c r="BV570" s="13"/>
      <x:c r="BW570" s="13"/>
      <x:c r="BX570" s="13"/>
      <x:c r="BY570" s="13"/>
      <x:c r="BZ570" s="13"/>
      <x:c r="CA570" s="13"/>
      <x:c r="CB570" s="13"/>
      <x:c r="CC570" s="13"/>
      <x:c r="CD570" s="13"/>
      <x:c r="CE570" s="13"/>
      <x:c r="CF570" s="13"/>
      <x:c r="CG570" s="13"/>
    </x:row>
    <x:row r="571" ht="14.25" customHeight="1">
      <x:c r="AA571" s="3"/>
      <x:c r="AF571" s="3"/>
      <x:c r="AG571" s="3"/>
      <x:c r="AH571" s="3"/>
      <x:c r="AI571" s="3"/>
      <x:c r="AJ571" s="3"/>
      <x:c r="AK571" s="3"/>
      <x:c r="AL571" s="3"/>
      <x:c r="AM571" s="3"/>
      <x:c r="AT571" s="3"/>
      <x:c r="AU571" s="3"/>
      <x:c r="AV571" s="3"/>
      <x:c r="AW571" s="3"/>
      <x:c r="AX571" s="3"/>
      <x:c r="AY571" s="3"/>
      <x:c r="AZ571" s="3"/>
      <x:c r="BA571" s="3"/>
      <x:c r="BC571" s="3"/>
      <x:c r="BD571" s="3"/>
      <x:c r="BE571" s="3"/>
      <x:c r="BF571" s="3"/>
      <x:c r="BG571" s="3"/>
      <x:c r="BH571" s="13"/>
      <x:c r="BI571" s="13"/>
      <x:c r="BJ571" s="13"/>
      <x:c r="BK571" s="13"/>
      <x:c r="BL571" s="13"/>
      <x:c r="BM571" s="13"/>
      <x:c r="BN571" s="13"/>
      <x:c r="BO571" s="13"/>
      <x:c r="BP571" s="13"/>
      <x:c r="BQ571" s="13"/>
      <x:c r="BR571" s="13"/>
      <x:c r="BS571" s="13"/>
      <x:c r="BT571" s="13"/>
      <x:c r="BU571" s="13"/>
      <x:c r="BV571" s="13"/>
      <x:c r="BW571" s="13"/>
      <x:c r="BX571" s="13"/>
      <x:c r="BY571" s="13"/>
      <x:c r="BZ571" s="13"/>
      <x:c r="CA571" s="13"/>
      <x:c r="CB571" s="13"/>
      <x:c r="CC571" s="13"/>
      <x:c r="CD571" s="13"/>
      <x:c r="CE571" s="13"/>
      <x:c r="CF571" s="13"/>
      <x:c r="CG571" s="13"/>
    </x:row>
    <x:row r="572" ht="14.25" customHeight="1">
      <x:c r="AA572" s="3"/>
      <x:c r="AF572" s="3"/>
      <x:c r="AG572" s="3"/>
      <x:c r="AH572" s="3"/>
      <x:c r="AI572" s="3"/>
      <x:c r="AJ572" s="3"/>
      <x:c r="AK572" s="3"/>
      <x:c r="AL572" s="3"/>
      <x:c r="AM572" s="3"/>
      <x:c r="AT572" s="3"/>
      <x:c r="AU572" s="3"/>
      <x:c r="AV572" s="3"/>
      <x:c r="AW572" s="3"/>
      <x:c r="AX572" s="3"/>
      <x:c r="AY572" s="3"/>
      <x:c r="AZ572" s="3"/>
      <x:c r="BA572" s="3"/>
      <x:c r="BC572" s="3"/>
      <x:c r="BD572" s="3"/>
      <x:c r="BE572" s="3"/>
      <x:c r="BF572" s="3"/>
      <x:c r="BG572" s="3"/>
      <x:c r="BH572" s="13"/>
      <x:c r="BI572" s="13"/>
      <x:c r="BJ572" s="13"/>
      <x:c r="BK572" s="13"/>
      <x:c r="BL572" s="13"/>
      <x:c r="BM572" s="13"/>
      <x:c r="BN572" s="13"/>
      <x:c r="BO572" s="13"/>
      <x:c r="BP572" s="13"/>
      <x:c r="BQ572" s="13"/>
      <x:c r="BR572" s="13"/>
      <x:c r="BS572" s="13"/>
      <x:c r="BT572" s="13"/>
      <x:c r="BU572" s="13"/>
      <x:c r="BV572" s="13"/>
      <x:c r="BW572" s="13"/>
      <x:c r="BX572" s="13"/>
      <x:c r="BY572" s="13"/>
      <x:c r="BZ572" s="13"/>
      <x:c r="CA572" s="13"/>
      <x:c r="CB572" s="13"/>
      <x:c r="CC572" s="13"/>
      <x:c r="CD572" s="13"/>
      <x:c r="CE572" s="13"/>
      <x:c r="CF572" s="13"/>
      <x:c r="CG572" s="13"/>
    </x:row>
    <x:row r="573" ht="14.25" customHeight="1">
      <x:c r="AA573" s="3"/>
      <x:c r="AF573" s="3"/>
      <x:c r="AG573" s="3"/>
      <x:c r="AH573" s="3"/>
      <x:c r="AI573" s="3"/>
      <x:c r="AJ573" s="3"/>
      <x:c r="AK573" s="3"/>
      <x:c r="AL573" s="3"/>
      <x:c r="AM573" s="3"/>
      <x:c r="AT573" s="3"/>
      <x:c r="AU573" s="3"/>
      <x:c r="AV573" s="3"/>
      <x:c r="AW573" s="3"/>
      <x:c r="AX573" s="3"/>
      <x:c r="AY573" s="3"/>
      <x:c r="AZ573" s="3"/>
      <x:c r="BA573" s="3"/>
      <x:c r="BC573" s="3"/>
      <x:c r="BD573" s="3"/>
      <x:c r="BE573" s="3"/>
      <x:c r="BF573" s="3"/>
      <x:c r="BG573" s="3"/>
      <x:c r="BH573" s="13"/>
      <x:c r="BI573" s="13"/>
      <x:c r="BJ573" s="13"/>
      <x:c r="BK573" s="13"/>
      <x:c r="BL573" s="13"/>
      <x:c r="BM573" s="13"/>
      <x:c r="BN573" s="13"/>
      <x:c r="BO573" s="13"/>
      <x:c r="BP573" s="13"/>
      <x:c r="BQ573" s="13"/>
      <x:c r="BR573" s="13"/>
      <x:c r="BS573" s="13"/>
      <x:c r="BT573" s="13"/>
      <x:c r="BU573" s="13"/>
      <x:c r="BV573" s="13"/>
      <x:c r="BW573" s="13"/>
      <x:c r="BX573" s="13"/>
      <x:c r="BY573" s="13"/>
      <x:c r="BZ573" s="13"/>
      <x:c r="CA573" s="13"/>
      <x:c r="CB573" s="13"/>
      <x:c r="CC573" s="13"/>
      <x:c r="CD573" s="13"/>
      <x:c r="CE573" s="13"/>
      <x:c r="CF573" s="13"/>
      <x:c r="CG573" s="13"/>
    </x:row>
    <x:row r="574" ht="14.25" customHeight="1">
      <x:c r="AA574" s="3"/>
      <x:c r="AF574" s="3"/>
      <x:c r="AG574" s="3"/>
      <x:c r="AH574" s="3"/>
      <x:c r="AI574" s="3"/>
      <x:c r="AJ574" s="3"/>
      <x:c r="AK574" s="3"/>
      <x:c r="AL574" s="3"/>
      <x:c r="AM574" s="3"/>
      <x:c r="AT574" s="3"/>
      <x:c r="AU574" s="3"/>
      <x:c r="AV574" s="3"/>
      <x:c r="AW574" s="3"/>
      <x:c r="AX574" s="3"/>
      <x:c r="AY574" s="3"/>
      <x:c r="AZ574" s="3"/>
      <x:c r="BA574" s="3"/>
      <x:c r="BC574" s="3"/>
      <x:c r="BD574" s="3"/>
      <x:c r="BE574" s="3"/>
      <x:c r="BF574" s="3"/>
      <x:c r="BG574" s="3"/>
      <x:c r="BH574" s="13"/>
      <x:c r="BI574" s="13"/>
      <x:c r="BJ574" s="13"/>
      <x:c r="BK574" s="13"/>
      <x:c r="BL574" s="13"/>
      <x:c r="BM574" s="13"/>
      <x:c r="BN574" s="13"/>
      <x:c r="BO574" s="13"/>
      <x:c r="BP574" s="13"/>
      <x:c r="BQ574" s="13"/>
      <x:c r="BR574" s="13"/>
      <x:c r="BS574" s="13"/>
      <x:c r="BT574" s="13"/>
      <x:c r="BU574" s="13"/>
      <x:c r="BV574" s="13"/>
      <x:c r="BW574" s="13"/>
      <x:c r="BX574" s="13"/>
      <x:c r="BY574" s="13"/>
      <x:c r="BZ574" s="13"/>
      <x:c r="CA574" s="13"/>
      <x:c r="CB574" s="13"/>
      <x:c r="CC574" s="13"/>
      <x:c r="CD574" s="13"/>
      <x:c r="CE574" s="13"/>
      <x:c r="CF574" s="13"/>
      <x:c r="CG574" s="13"/>
    </x:row>
    <x:row r="575" ht="14.25" customHeight="1">
      <x:c r="AA575" s="3"/>
      <x:c r="AF575" s="3"/>
      <x:c r="AG575" s="3"/>
      <x:c r="AH575" s="3"/>
      <x:c r="AI575" s="3"/>
      <x:c r="AJ575" s="3"/>
      <x:c r="AK575" s="3"/>
      <x:c r="AL575" s="3"/>
      <x:c r="AM575" s="3"/>
      <x:c r="AT575" s="3"/>
      <x:c r="AU575" s="3"/>
      <x:c r="AV575" s="3"/>
      <x:c r="AW575" s="3"/>
      <x:c r="AX575" s="3"/>
      <x:c r="AY575" s="3"/>
      <x:c r="AZ575" s="3"/>
      <x:c r="BA575" s="3"/>
      <x:c r="BC575" s="3"/>
      <x:c r="BD575" s="3"/>
      <x:c r="BE575" s="3"/>
      <x:c r="BF575" s="3"/>
      <x:c r="BG575" s="3"/>
      <x:c r="BH575" s="13"/>
      <x:c r="BI575" s="13"/>
      <x:c r="BJ575" s="13"/>
      <x:c r="BK575" s="13"/>
      <x:c r="BL575" s="13"/>
      <x:c r="BM575" s="13"/>
      <x:c r="BN575" s="13"/>
      <x:c r="BO575" s="13"/>
      <x:c r="BP575" s="13"/>
      <x:c r="BQ575" s="13"/>
      <x:c r="BR575" s="13"/>
      <x:c r="BS575" s="13"/>
      <x:c r="BT575" s="13"/>
      <x:c r="BU575" s="13"/>
      <x:c r="BV575" s="13"/>
      <x:c r="BW575" s="13"/>
      <x:c r="BX575" s="13"/>
      <x:c r="BY575" s="13"/>
      <x:c r="BZ575" s="13"/>
      <x:c r="CA575" s="13"/>
      <x:c r="CB575" s="13"/>
      <x:c r="CC575" s="13"/>
      <x:c r="CD575" s="13"/>
      <x:c r="CE575" s="13"/>
      <x:c r="CF575" s="13"/>
      <x:c r="CG575" s="13"/>
    </x:row>
    <x:row r="576" ht="14.25" customHeight="1">
      <x:c r="AA576" s="3"/>
      <x:c r="AF576" s="3"/>
      <x:c r="AG576" s="3"/>
      <x:c r="AH576" s="3"/>
      <x:c r="AI576" s="3"/>
      <x:c r="AJ576" s="3"/>
      <x:c r="AK576" s="3"/>
      <x:c r="AL576" s="3"/>
      <x:c r="AM576" s="3"/>
      <x:c r="AT576" s="3"/>
      <x:c r="AU576" s="3"/>
      <x:c r="AV576" s="3"/>
      <x:c r="AW576" s="3"/>
      <x:c r="AX576" s="3"/>
      <x:c r="AY576" s="3"/>
      <x:c r="AZ576" s="3"/>
      <x:c r="BA576" s="3"/>
      <x:c r="BC576" s="3"/>
      <x:c r="BD576" s="3"/>
      <x:c r="BE576" s="3"/>
      <x:c r="BF576" s="3"/>
      <x:c r="BG576" s="3"/>
      <x:c r="BH576" s="13"/>
      <x:c r="BI576" s="13"/>
      <x:c r="BJ576" s="13"/>
      <x:c r="BK576" s="13"/>
      <x:c r="BL576" s="13"/>
      <x:c r="BM576" s="13"/>
      <x:c r="BN576" s="13"/>
      <x:c r="BO576" s="13"/>
      <x:c r="BP576" s="13"/>
      <x:c r="BQ576" s="13"/>
      <x:c r="BR576" s="13"/>
      <x:c r="BS576" s="13"/>
      <x:c r="BT576" s="13"/>
      <x:c r="BU576" s="13"/>
      <x:c r="BV576" s="13"/>
      <x:c r="BW576" s="13"/>
      <x:c r="BX576" s="13"/>
      <x:c r="BY576" s="13"/>
      <x:c r="BZ576" s="13"/>
      <x:c r="CA576" s="13"/>
      <x:c r="CB576" s="13"/>
      <x:c r="CC576" s="13"/>
      <x:c r="CD576" s="13"/>
      <x:c r="CE576" s="13"/>
      <x:c r="CF576" s="13"/>
      <x:c r="CG576" s="13"/>
    </x:row>
    <x:row r="577" ht="14.25" customHeight="1">
      <x:c r="AA577" s="3"/>
      <x:c r="AF577" s="3"/>
      <x:c r="AG577" s="3"/>
      <x:c r="AH577" s="3"/>
      <x:c r="AI577" s="3"/>
      <x:c r="AJ577" s="3"/>
      <x:c r="AK577" s="3"/>
      <x:c r="AL577" s="3"/>
      <x:c r="AM577" s="3"/>
      <x:c r="AT577" s="3"/>
      <x:c r="AU577" s="3"/>
      <x:c r="AV577" s="3"/>
      <x:c r="AW577" s="3"/>
      <x:c r="AX577" s="3"/>
      <x:c r="AY577" s="3"/>
      <x:c r="AZ577" s="3"/>
      <x:c r="BA577" s="3"/>
      <x:c r="BC577" s="3"/>
      <x:c r="BD577" s="3"/>
      <x:c r="BE577" s="3"/>
      <x:c r="BF577" s="3"/>
      <x:c r="BG577" s="3"/>
      <x:c r="BH577" s="13"/>
      <x:c r="BI577" s="13"/>
      <x:c r="BJ577" s="13"/>
      <x:c r="BK577" s="13"/>
      <x:c r="BL577" s="13"/>
      <x:c r="BM577" s="13"/>
      <x:c r="BN577" s="13"/>
      <x:c r="BO577" s="13"/>
      <x:c r="BP577" s="13"/>
      <x:c r="BQ577" s="13"/>
      <x:c r="BR577" s="13"/>
      <x:c r="BS577" s="13"/>
      <x:c r="BT577" s="13"/>
      <x:c r="BU577" s="13"/>
      <x:c r="BV577" s="13"/>
      <x:c r="BW577" s="13"/>
      <x:c r="BX577" s="13"/>
      <x:c r="BY577" s="13"/>
      <x:c r="BZ577" s="13"/>
      <x:c r="CA577" s="13"/>
      <x:c r="CB577" s="13"/>
      <x:c r="CC577" s="13"/>
      <x:c r="CD577" s="13"/>
      <x:c r="CE577" s="13"/>
      <x:c r="CF577" s="13"/>
      <x:c r="CG577" s="13"/>
    </x:row>
    <x:row r="578" ht="14.25" customHeight="1">
      <x:c r="AA578" s="3"/>
      <x:c r="AF578" s="3"/>
      <x:c r="AG578" s="3"/>
      <x:c r="AH578" s="3"/>
      <x:c r="AI578" s="3"/>
      <x:c r="AJ578" s="3"/>
      <x:c r="AK578" s="3"/>
      <x:c r="AL578" s="3"/>
      <x:c r="AM578" s="3"/>
      <x:c r="AT578" s="3"/>
      <x:c r="AU578" s="3"/>
      <x:c r="AV578" s="3"/>
      <x:c r="AW578" s="3"/>
      <x:c r="AX578" s="3"/>
      <x:c r="AY578" s="3"/>
      <x:c r="AZ578" s="3"/>
      <x:c r="BA578" s="3"/>
      <x:c r="BC578" s="3"/>
      <x:c r="BD578" s="3"/>
      <x:c r="BE578" s="3"/>
      <x:c r="BF578" s="3"/>
      <x:c r="BG578" s="3"/>
      <x:c r="BH578" s="13"/>
      <x:c r="BI578" s="13"/>
      <x:c r="BJ578" s="13"/>
      <x:c r="BK578" s="13"/>
      <x:c r="BL578" s="13"/>
      <x:c r="BM578" s="13"/>
      <x:c r="BN578" s="13"/>
      <x:c r="BO578" s="13"/>
      <x:c r="BP578" s="13"/>
      <x:c r="BQ578" s="13"/>
      <x:c r="BR578" s="13"/>
      <x:c r="BS578" s="13"/>
      <x:c r="BT578" s="13"/>
      <x:c r="BU578" s="13"/>
      <x:c r="BV578" s="13"/>
      <x:c r="BW578" s="13"/>
      <x:c r="BX578" s="13"/>
      <x:c r="BY578" s="13"/>
      <x:c r="BZ578" s="13"/>
      <x:c r="CA578" s="13"/>
      <x:c r="CB578" s="13"/>
      <x:c r="CC578" s="13"/>
      <x:c r="CD578" s="13"/>
      <x:c r="CE578" s="13"/>
      <x:c r="CF578" s="13"/>
      <x:c r="CG578" s="13"/>
    </x:row>
    <x:row r="579" ht="14.25" customHeight="1">
      <x:c r="AA579" s="3"/>
      <x:c r="AF579" s="3"/>
      <x:c r="AG579" s="3"/>
      <x:c r="AH579" s="3"/>
      <x:c r="AI579" s="3"/>
      <x:c r="AJ579" s="3"/>
      <x:c r="AK579" s="3"/>
      <x:c r="AL579" s="3"/>
      <x:c r="AM579" s="3"/>
      <x:c r="AT579" s="3"/>
      <x:c r="AU579" s="3"/>
      <x:c r="AV579" s="3"/>
      <x:c r="AW579" s="3"/>
      <x:c r="AX579" s="3"/>
      <x:c r="AY579" s="3"/>
      <x:c r="AZ579" s="3"/>
      <x:c r="BA579" s="3"/>
      <x:c r="BC579" s="3"/>
      <x:c r="BD579" s="3"/>
      <x:c r="BE579" s="3"/>
      <x:c r="BF579" s="3"/>
      <x:c r="BG579" s="3"/>
      <x:c r="BH579" s="13"/>
      <x:c r="BI579" s="13"/>
      <x:c r="BJ579" s="13"/>
      <x:c r="BK579" s="13"/>
      <x:c r="BL579" s="13"/>
      <x:c r="BM579" s="13"/>
      <x:c r="BN579" s="13"/>
      <x:c r="BO579" s="13"/>
      <x:c r="BP579" s="13"/>
      <x:c r="BQ579" s="13"/>
      <x:c r="BR579" s="13"/>
      <x:c r="BS579" s="13"/>
      <x:c r="BT579" s="13"/>
      <x:c r="BU579" s="13"/>
      <x:c r="BV579" s="13"/>
      <x:c r="BW579" s="13"/>
      <x:c r="BX579" s="13"/>
      <x:c r="BY579" s="13"/>
      <x:c r="BZ579" s="13"/>
      <x:c r="CA579" s="13"/>
      <x:c r="CB579" s="13"/>
      <x:c r="CC579" s="13"/>
      <x:c r="CD579" s="13"/>
      <x:c r="CE579" s="13"/>
      <x:c r="CF579" s="13"/>
      <x:c r="CG579" s="13"/>
    </x:row>
    <x:row r="580" ht="14.25" customHeight="1">
      <x:c r="AA580" s="3"/>
      <x:c r="AF580" s="3"/>
      <x:c r="AG580" s="3"/>
      <x:c r="AH580" s="3"/>
      <x:c r="AI580" s="3"/>
      <x:c r="AJ580" s="3"/>
      <x:c r="AK580" s="3"/>
      <x:c r="AL580" s="3"/>
      <x:c r="AM580" s="3"/>
      <x:c r="AT580" s="3"/>
      <x:c r="AU580" s="3"/>
      <x:c r="AV580" s="3"/>
      <x:c r="AW580" s="3"/>
      <x:c r="AX580" s="3"/>
      <x:c r="AY580" s="3"/>
      <x:c r="AZ580" s="3"/>
      <x:c r="BA580" s="3"/>
      <x:c r="BC580" s="3"/>
      <x:c r="BD580" s="3"/>
      <x:c r="BE580" s="3"/>
      <x:c r="BF580" s="3"/>
      <x:c r="BG580" s="3"/>
      <x:c r="BH580" s="13"/>
      <x:c r="BI580" s="13"/>
      <x:c r="BJ580" s="13"/>
      <x:c r="BK580" s="13"/>
      <x:c r="BL580" s="13"/>
      <x:c r="BM580" s="13"/>
      <x:c r="BN580" s="13"/>
      <x:c r="BO580" s="13"/>
      <x:c r="BP580" s="13"/>
      <x:c r="BQ580" s="13"/>
      <x:c r="BR580" s="13"/>
      <x:c r="BS580" s="13"/>
      <x:c r="BT580" s="13"/>
      <x:c r="BU580" s="13"/>
      <x:c r="BV580" s="13"/>
      <x:c r="BW580" s="13"/>
      <x:c r="BX580" s="13"/>
      <x:c r="BY580" s="13"/>
      <x:c r="BZ580" s="13"/>
      <x:c r="CA580" s="13"/>
      <x:c r="CB580" s="13"/>
      <x:c r="CC580" s="13"/>
      <x:c r="CD580" s="13"/>
      <x:c r="CE580" s="13"/>
      <x:c r="CF580" s="13"/>
      <x:c r="CG580" s="13"/>
    </x:row>
    <x:row r="581" ht="14.25" customHeight="1">
      <x:c r="AA581" s="3"/>
      <x:c r="AF581" s="3"/>
      <x:c r="AG581" s="3"/>
      <x:c r="AH581" s="3"/>
      <x:c r="AI581" s="3"/>
      <x:c r="AJ581" s="3"/>
      <x:c r="AK581" s="3"/>
      <x:c r="AL581" s="3"/>
      <x:c r="AM581" s="3"/>
      <x:c r="AT581" s="3"/>
      <x:c r="AU581" s="3"/>
      <x:c r="AV581" s="3"/>
      <x:c r="AW581" s="3"/>
      <x:c r="AX581" s="3"/>
      <x:c r="AY581" s="3"/>
      <x:c r="AZ581" s="3"/>
      <x:c r="BA581" s="3"/>
      <x:c r="BC581" s="3"/>
      <x:c r="BD581" s="3"/>
      <x:c r="BE581" s="3"/>
      <x:c r="BF581" s="3"/>
      <x:c r="BG581" s="3"/>
      <x:c r="BH581" s="13"/>
      <x:c r="BI581" s="13"/>
      <x:c r="BJ581" s="13"/>
      <x:c r="BK581" s="13"/>
      <x:c r="BL581" s="13"/>
      <x:c r="BM581" s="13"/>
      <x:c r="BN581" s="13"/>
      <x:c r="BO581" s="13"/>
      <x:c r="BP581" s="13"/>
      <x:c r="BQ581" s="13"/>
      <x:c r="BR581" s="13"/>
      <x:c r="BS581" s="13"/>
      <x:c r="BT581" s="13"/>
      <x:c r="BU581" s="13"/>
      <x:c r="BV581" s="13"/>
      <x:c r="BW581" s="13"/>
      <x:c r="BX581" s="13"/>
      <x:c r="BY581" s="13"/>
      <x:c r="BZ581" s="13"/>
      <x:c r="CA581" s="13"/>
      <x:c r="CB581" s="13"/>
      <x:c r="CC581" s="13"/>
      <x:c r="CD581" s="13"/>
      <x:c r="CE581" s="13"/>
      <x:c r="CF581" s="13"/>
      <x:c r="CG581" s="13"/>
    </x:row>
    <x:row r="582" ht="14.25" customHeight="1">
      <x:c r="AA582" s="3"/>
      <x:c r="AF582" s="3"/>
      <x:c r="AG582" s="3"/>
      <x:c r="AH582" s="3"/>
      <x:c r="AI582" s="3"/>
      <x:c r="AJ582" s="3"/>
      <x:c r="AK582" s="3"/>
      <x:c r="AL582" s="3"/>
      <x:c r="AM582" s="3"/>
      <x:c r="AT582" s="3"/>
      <x:c r="AU582" s="3"/>
      <x:c r="AV582" s="3"/>
      <x:c r="AW582" s="3"/>
      <x:c r="AX582" s="3"/>
      <x:c r="AY582" s="3"/>
      <x:c r="AZ582" s="3"/>
      <x:c r="BA582" s="3"/>
      <x:c r="BC582" s="3"/>
      <x:c r="BD582" s="3"/>
      <x:c r="BE582" s="3"/>
      <x:c r="BF582" s="3"/>
      <x:c r="BG582" s="3"/>
      <x:c r="BH582" s="13"/>
      <x:c r="BI582" s="13"/>
      <x:c r="BJ582" s="13"/>
      <x:c r="BK582" s="13"/>
      <x:c r="BL582" s="13"/>
      <x:c r="BM582" s="13"/>
      <x:c r="BN582" s="13"/>
      <x:c r="BO582" s="13"/>
      <x:c r="BP582" s="13"/>
      <x:c r="BQ582" s="13"/>
      <x:c r="BR582" s="13"/>
      <x:c r="BS582" s="13"/>
      <x:c r="BT582" s="13"/>
      <x:c r="BU582" s="13"/>
      <x:c r="BV582" s="13"/>
      <x:c r="BW582" s="13"/>
      <x:c r="BX582" s="13"/>
      <x:c r="BY582" s="13"/>
      <x:c r="BZ582" s="13"/>
      <x:c r="CA582" s="13"/>
      <x:c r="CB582" s="13"/>
      <x:c r="CC582" s="13"/>
      <x:c r="CD582" s="13"/>
      <x:c r="CE582" s="13"/>
      <x:c r="CF582" s="13"/>
      <x:c r="CG582" s="13"/>
    </x:row>
    <x:row r="583" ht="14.25" customHeight="1">
      <x:c r="AA583" s="3"/>
      <x:c r="AF583" s="3"/>
      <x:c r="AG583" s="3"/>
      <x:c r="AH583" s="3"/>
      <x:c r="AI583" s="3"/>
      <x:c r="AJ583" s="3"/>
      <x:c r="AK583" s="3"/>
      <x:c r="AL583" s="3"/>
      <x:c r="AM583" s="3"/>
      <x:c r="AT583" s="3"/>
      <x:c r="AU583" s="3"/>
      <x:c r="AV583" s="3"/>
      <x:c r="AW583" s="3"/>
      <x:c r="AX583" s="3"/>
      <x:c r="AY583" s="3"/>
      <x:c r="AZ583" s="3"/>
      <x:c r="BA583" s="3"/>
      <x:c r="BC583" s="3"/>
      <x:c r="BD583" s="3"/>
      <x:c r="BE583" s="3"/>
      <x:c r="BF583" s="3"/>
      <x:c r="BG583" s="3"/>
      <x:c r="BH583" s="13"/>
      <x:c r="BI583" s="13"/>
      <x:c r="BJ583" s="13"/>
      <x:c r="BK583" s="13"/>
      <x:c r="BL583" s="13"/>
      <x:c r="BM583" s="13"/>
      <x:c r="BN583" s="13"/>
      <x:c r="BO583" s="13"/>
      <x:c r="BP583" s="13"/>
      <x:c r="BQ583" s="13"/>
      <x:c r="BR583" s="13"/>
      <x:c r="BS583" s="13"/>
      <x:c r="BT583" s="13"/>
      <x:c r="BU583" s="13"/>
      <x:c r="BV583" s="13"/>
      <x:c r="BW583" s="13"/>
      <x:c r="BX583" s="13"/>
      <x:c r="BY583" s="13"/>
      <x:c r="BZ583" s="13"/>
      <x:c r="CA583" s="13"/>
      <x:c r="CB583" s="13"/>
      <x:c r="CC583" s="13"/>
      <x:c r="CD583" s="13"/>
      <x:c r="CE583" s="13"/>
      <x:c r="CF583" s="13"/>
      <x:c r="CG583" s="13"/>
    </x:row>
    <x:row r="584" ht="14.25" customHeight="1">
      <x:c r="AA584" s="3"/>
      <x:c r="AF584" s="3"/>
      <x:c r="AG584" s="3"/>
      <x:c r="AH584" s="3"/>
      <x:c r="AI584" s="3"/>
      <x:c r="AJ584" s="3"/>
      <x:c r="AK584" s="3"/>
      <x:c r="AL584" s="3"/>
      <x:c r="AM584" s="3"/>
      <x:c r="AT584" s="3"/>
      <x:c r="AU584" s="3"/>
      <x:c r="AV584" s="3"/>
      <x:c r="AW584" s="3"/>
      <x:c r="AX584" s="3"/>
      <x:c r="AY584" s="3"/>
      <x:c r="AZ584" s="3"/>
      <x:c r="BA584" s="3"/>
      <x:c r="BC584" s="3"/>
      <x:c r="BD584" s="3"/>
      <x:c r="BE584" s="3"/>
      <x:c r="BF584" s="3"/>
      <x:c r="BG584" s="3"/>
      <x:c r="BH584" s="13"/>
      <x:c r="BI584" s="13"/>
      <x:c r="BJ584" s="13"/>
      <x:c r="BK584" s="13"/>
      <x:c r="BL584" s="13"/>
      <x:c r="BM584" s="13"/>
      <x:c r="BN584" s="13"/>
      <x:c r="BO584" s="13"/>
      <x:c r="BP584" s="13"/>
      <x:c r="BQ584" s="13"/>
      <x:c r="BR584" s="13"/>
      <x:c r="BS584" s="13"/>
      <x:c r="BT584" s="13"/>
      <x:c r="BU584" s="13"/>
      <x:c r="BV584" s="13"/>
      <x:c r="BW584" s="13"/>
      <x:c r="BX584" s="13"/>
      <x:c r="BY584" s="13"/>
      <x:c r="BZ584" s="13"/>
      <x:c r="CA584" s="13"/>
      <x:c r="CB584" s="13"/>
      <x:c r="CC584" s="13"/>
      <x:c r="CD584" s="13"/>
      <x:c r="CE584" s="13"/>
      <x:c r="CF584" s="13"/>
      <x:c r="CG584" s="13"/>
    </x:row>
    <x:row r="585" ht="14.25" customHeight="1">
      <x:c r="AA585" s="3"/>
      <x:c r="AF585" s="3"/>
      <x:c r="AG585" s="3"/>
      <x:c r="AH585" s="3"/>
      <x:c r="AI585" s="3"/>
      <x:c r="AJ585" s="3"/>
      <x:c r="AK585" s="3"/>
      <x:c r="AL585" s="3"/>
      <x:c r="AM585" s="3"/>
      <x:c r="AT585" s="3"/>
      <x:c r="AU585" s="3"/>
      <x:c r="AV585" s="3"/>
      <x:c r="AW585" s="3"/>
      <x:c r="AX585" s="3"/>
      <x:c r="AY585" s="3"/>
      <x:c r="AZ585" s="3"/>
      <x:c r="BA585" s="3"/>
      <x:c r="BC585" s="3"/>
      <x:c r="BD585" s="3"/>
      <x:c r="BE585" s="3"/>
      <x:c r="BF585" s="3"/>
      <x:c r="BG585" s="3"/>
      <x:c r="BH585" s="13"/>
      <x:c r="BI585" s="13"/>
      <x:c r="BJ585" s="13"/>
      <x:c r="BK585" s="13"/>
      <x:c r="BL585" s="13"/>
      <x:c r="BM585" s="13"/>
      <x:c r="BN585" s="13"/>
      <x:c r="BO585" s="13"/>
      <x:c r="BP585" s="13"/>
      <x:c r="BQ585" s="13"/>
      <x:c r="BR585" s="13"/>
      <x:c r="BS585" s="13"/>
      <x:c r="BT585" s="13"/>
      <x:c r="BU585" s="13"/>
      <x:c r="BV585" s="13"/>
      <x:c r="BW585" s="13"/>
      <x:c r="BX585" s="13"/>
      <x:c r="BY585" s="13"/>
      <x:c r="BZ585" s="13"/>
      <x:c r="CA585" s="13"/>
      <x:c r="CB585" s="13"/>
      <x:c r="CC585" s="13"/>
      <x:c r="CD585" s="13"/>
      <x:c r="CE585" s="13"/>
      <x:c r="CF585" s="13"/>
      <x:c r="CG585" s="13"/>
    </x:row>
    <x:row r="586" ht="14.25" customHeight="1">
      <x:c r="AA586" s="3"/>
      <x:c r="AF586" s="3"/>
      <x:c r="AG586" s="3"/>
      <x:c r="AH586" s="3"/>
      <x:c r="AI586" s="3"/>
      <x:c r="AJ586" s="3"/>
      <x:c r="AK586" s="3"/>
      <x:c r="AL586" s="3"/>
      <x:c r="AM586" s="3"/>
      <x:c r="AT586" s="3"/>
      <x:c r="AU586" s="3"/>
      <x:c r="AV586" s="3"/>
      <x:c r="AW586" s="3"/>
      <x:c r="AX586" s="3"/>
      <x:c r="AY586" s="3"/>
      <x:c r="AZ586" s="3"/>
      <x:c r="BA586" s="3"/>
      <x:c r="BC586" s="3"/>
      <x:c r="BD586" s="3"/>
      <x:c r="BE586" s="3"/>
      <x:c r="BF586" s="3"/>
      <x:c r="BG586" s="3"/>
      <x:c r="BH586" s="13"/>
      <x:c r="BI586" s="13"/>
      <x:c r="BJ586" s="13"/>
      <x:c r="BK586" s="13"/>
      <x:c r="BL586" s="13"/>
      <x:c r="BM586" s="13"/>
      <x:c r="BN586" s="13"/>
      <x:c r="BO586" s="13"/>
      <x:c r="BP586" s="13"/>
      <x:c r="BQ586" s="13"/>
      <x:c r="BR586" s="13"/>
      <x:c r="BS586" s="13"/>
      <x:c r="BT586" s="13"/>
      <x:c r="BU586" s="13"/>
      <x:c r="BV586" s="13"/>
      <x:c r="BW586" s="13"/>
      <x:c r="BX586" s="13"/>
      <x:c r="BY586" s="13"/>
      <x:c r="BZ586" s="13"/>
      <x:c r="CA586" s="13"/>
      <x:c r="CB586" s="13"/>
      <x:c r="CC586" s="13"/>
      <x:c r="CD586" s="13"/>
      <x:c r="CE586" s="13"/>
      <x:c r="CF586" s="13"/>
      <x:c r="CG586" s="13"/>
    </x:row>
    <x:row r="587" ht="14.25" customHeight="1">
      <x:c r="AA587" s="3"/>
      <x:c r="AF587" s="3"/>
      <x:c r="AG587" s="3"/>
      <x:c r="AH587" s="3"/>
      <x:c r="AI587" s="3"/>
      <x:c r="AJ587" s="3"/>
      <x:c r="AK587" s="3"/>
      <x:c r="AL587" s="3"/>
      <x:c r="AM587" s="3"/>
      <x:c r="AT587" s="3"/>
      <x:c r="AU587" s="3"/>
      <x:c r="AV587" s="3"/>
      <x:c r="AW587" s="3"/>
      <x:c r="AX587" s="3"/>
      <x:c r="AY587" s="3"/>
      <x:c r="AZ587" s="3"/>
      <x:c r="BA587" s="3"/>
      <x:c r="BC587" s="3"/>
      <x:c r="BD587" s="3"/>
      <x:c r="BE587" s="3"/>
      <x:c r="BF587" s="3"/>
      <x:c r="BG587" s="3"/>
      <x:c r="BH587" s="13"/>
      <x:c r="BI587" s="13"/>
      <x:c r="BJ587" s="13"/>
      <x:c r="BK587" s="13"/>
      <x:c r="BL587" s="13"/>
      <x:c r="BM587" s="13"/>
      <x:c r="BN587" s="13"/>
      <x:c r="BO587" s="13"/>
      <x:c r="BP587" s="13"/>
      <x:c r="BQ587" s="13"/>
      <x:c r="BR587" s="13"/>
      <x:c r="BS587" s="13"/>
      <x:c r="BT587" s="13"/>
      <x:c r="BU587" s="13"/>
      <x:c r="BV587" s="13"/>
      <x:c r="BW587" s="13"/>
      <x:c r="BX587" s="13"/>
      <x:c r="BY587" s="13"/>
      <x:c r="BZ587" s="13"/>
      <x:c r="CA587" s="13"/>
      <x:c r="CB587" s="13"/>
      <x:c r="CC587" s="13"/>
      <x:c r="CD587" s="13"/>
      <x:c r="CE587" s="13"/>
      <x:c r="CF587" s="13"/>
      <x:c r="CG587" s="13"/>
    </x:row>
    <x:row r="588" ht="14.25" customHeight="1">
      <x:c r="AA588" s="3"/>
      <x:c r="AF588" s="3"/>
      <x:c r="AG588" s="3"/>
      <x:c r="AH588" s="3"/>
      <x:c r="AI588" s="3"/>
      <x:c r="AJ588" s="3"/>
      <x:c r="AK588" s="3"/>
      <x:c r="AL588" s="3"/>
      <x:c r="AM588" s="3"/>
      <x:c r="AT588" s="3"/>
      <x:c r="AU588" s="3"/>
      <x:c r="AV588" s="3"/>
      <x:c r="AW588" s="3"/>
      <x:c r="AX588" s="3"/>
      <x:c r="AY588" s="3"/>
      <x:c r="AZ588" s="3"/>
      <x:c r="BA588" s="3"/>
      <x:c r="BC588" s="3"/>
      <x:c r="BD588" s="3"/>
      <x:c r="BE588" s="3"/>
      <x:c r="BF588" s="3"/>
      <x:c r="BG588" s="3"/>
      <x:c r="BH588" s="13"/>
      <x:c r="BI588" s="13"/>
      <x:c r="BJ588" s="13"/>
      <x:c r="BK588" s="13"/>
      <x:c r="BL588" s="13"/>
      <x:c r="BM588" s="13"/>
      <x:c r="BN588" s="13"/>
      <x:c r="BO588" s="13"/>
      <x:c r="BP588" s="13"/>
      <x:c r="BQ588" s="13"/>
      <x:c r="BR588" s="13"/>
      <x:c r="BS588" s="13"/>
      <x:c r="BT588" s="13"/>
      <x:c r="BU588" s="13"/>
      <x:c r="BV588" s="13"/>
      <x:c r="BW588" s="13"/>
      <x:c r="BX588" s="13"/>
      <x:c r="BY588" s="13"/>
      <x:c r="BZ588" s="13"/>
      <x:c r="CA588" s="13"/>
      <x:c r="CB588" s="13"/>
      <x:c r="CC588" s="13"/>
      <x:c r="CD588" s="13"/>
      <x:c r="CE588" s="13"/>
      <x:c r="CF588" s="13"/>
      <x:c r="CG588" s="13"/>
    </x:row>
    <x:row r="589" ht="14.25" customHeight="1">
      <x:c r="AA589" s="3"/>
      <x:c r="AF589" s="3"/>
      <x:c r="AG589" s="3"/>
      <x:c r="AH589" s="3"/>
      <x:c r="AI589" s="3"/>
      <x:c r="AJ589" s="3"/>
      <x:c r="AK589" s="3"/>
      <x:c r="AL589" s="3"/>
      <x:c r="AM589" s="3"/>
      <x:c r="AT589" s="3"/>
      <x:c r="AU589" s="3"/>
      <x:c r="AV589" s="3"/>
      <x:c r="AW589" s="3"/>
      <x:c r="AX589" s="3"/>
      <x:c r="AY589" s="3"/>
      <x:c r="AZ589" s="3"/>
      <x:c r="BA589" s="3"/>
      <x:c r="BC589" s="3"/>
      <x:c r="BD589" s="3"/>
      <x:c r="BE589" s="3"/>
      <x:c r="BF589" s="3"/>
      <x:c r="BG589" s="3"/>
      <x:c r="BH589" s="13"/>
      <x:c r="BI589" s="13"/>
      <x:c r="BJ589" s="13"/>
      <x:c r="BK589" s="13"/>
      <x:c r="BL589" s="13"/>
      <x:c r="BM589" s="13"/>
      <x:c r="BN589" s="13"/>
      <x:c r="BO589" s="13"/>
      <x:c r="BP589" s="13"/>
      <x:c r="BQ589" s="13"/>
      <x:c r="BR589" s="13"/>
      <x:c r="BS589" s="13"/>
      <x:c r="BT589" s="13"/>
      <x:c r="BU589" s="13"/>
      <x:c r="BV589" s="13"/>
      <x:c r="BW589" s="13"/>
      <x:c r="BX589" s="13"/>
      <x:c r="BY589" s="13"/>
      <x:c r="BZ589" s="13"/>
      <x:c r="CA589" s="13"/>
      <x:c r="CB589" s="13"/>
      <x:c r="CC589" s="13"/>
      <x:c r="CD589" s="13"/>
      <x:c r="CE589" s="13"/>
      <x:c r="CF589" s="13"/>
      <x:c r="CG589" s="13"/>
    </x:row>
    <x:row r="590" ht="14.25" customHeight="1">
      <x:c r="AA590" s="3"/>
      <x:c r="AF590" s="3"/>
      <x:c r="AG590" s="3"/>
      <x:c r="AH590" s="3"/>
      <x:c r="AI590" s="3"/>
      <x:c r="AJ590" s="3"/>
      <x:c r="AK590" s="3"/>
      <x:c r="AL590" s="3"/>
      <x:c r="AM590" s="3"/>
      <x:c r="AT590" s="3"/>
      <x:c r="AU590" s="3"/>
      <x:c r="AV590" s="3"/>
      <x:c r="AW590" s="3"/>
      <x:c r="AX590" s="3"/>
      <x:c r="AY590" s="3"/>
      <x:c r="AZ590" s="3"/>
      <x:c r="BA590" s="3"/>
      <x:c r="BC590" s="3"/>
      <x:c r="BD590" s="3"/>
      <x:c r="BE590" s="3"/>
      <x:c r="BF590" s="3"/>
      <x:c r="BG590" s="3"/>
      <x:c r="BH590" s="13"/>
      <x:c r="BI590" s="13"/>
      <x:c r="BJ590" s="13"/>
      <x:c r="BK590" s="13"/>
      <x:c r="BL590" s="13"/>
      <x:c r="BM590" s="13"/>
      <x:c r="BN590" s="13"/>
      <x:c r="BO590" s="13"/>
      <x:c r="BP590" s="13"/>
      <x:c r="BQ590" s="13"/>
      <x:c r="BR590" s="13"/>
      <x:c r="BS590" s="13"/>
      <x:c r="BT590" s="13"/>
      <x:c r="BU590" s="13"/>
      <x:c r="BV590" s="13"/>
      <x:c r="BW590" s="13"/>
      <x:c r="BX590" s="13"/>
      <x:c r="BY590" s="13"/>
      <x:c r="BZ590" s="13"/>
      <x:c r="CA590" s="13"/>
      <x:c r="CB590" s="13"/>
      <x:c r="CC590" s="13"/>
      <x:c r="CD590" s="13"/>
      <x:c r="CE590" s="13"/>
      <x:c r="CF590" s="13"/>
      <x:c r="CG590" s="13"/>
    </x:row>
    <x:row r="591" ht="14.25" customHeight="1">
      <x:c r="AA591" s="3"/>
      <x:c r="AF591" s="3"/>
      <x:c r="AG591" s="3"/>
      <x:c r="AH591" s="3"/>
      <x:c r="AI591" s="3"/>
      <x:c r="AJ591" s="3"/>
      <x:c r="AK591" s="3"/>
      <x:c r="AL591" s="3"/>
      <x:c r="AM591" s="3"/>
      <x:c r="AT591" s="3"/>
      <x:c r="AU591" s="3"/>
      <x:c r="AV591" s="3"/>
      <x:c r="AW591" s="3"/>
      <x:c r="AX591" s="3"/>
      <x:c r="AY591" s="3"/>
      <x:c r="AZ591" s="3"/>
      <x:c r="BA591" s="3"/>
      <x:c r="BC591" s="3"/>
      <x:c r="BD591" s="3"/>
      <x:c r="BE591" s="3"/>
      <x:c r="BF591" s="3"/>
      <x:c r="BG591" s="3"/>
      <x:c r="BH591" s="13"/>
      <x:c r="BI591" s="13"/>
      <x:c r="BJ591" s="13"/>
      <x:c r="BK591" s="13"/>
      <x:c r="BL591" s="13"/>
      <x:c r="BM591" s="13"/>
      <x:c r="BN591" s="13"/>
      <x:c r="BO591" s="13"/>
      <x:c r="BP591" s="13"/>
      <x:c r="BQ591" s="13"/>
      <x:c r="BR591" s="13"/>
      <x:c r="BS591" s="13"/>
      <x:c r="BT591" s="13"/>
      <x:c r="BU591" s="13"/>
      <x:c r="BV591" s="13"/>
      <x:c r="BW591" s="13"/>
      <x:c r="BX591" s="13"/>
      <x:c r="BY591" s="13"/>
      <x:c r="BZ591" s="13"/>
      <x:c r="CA591" s="13"/>
      <x:c r="CB591" s="13"/>
      <x:c r="CC591" s="13"/>
      <x:c r="CD591" s="13"/>
      <x:c r="CE591" s="13"/>
      <x:c r="CF591" s="13"/>
      <x:c r="CG591" s="13"/>
    </x:row>
    <x:row r="592" ht="14.25" customHeight="1">
      <x:c r="AA592" s="3"/>
      <x:c r="AF592" s="3"/>
      <x:c r="AG592" s="3"/>
      <x:c r="AH592" s="3"/>
      <x:c r="AI592" s="3"/>
      <x:c r="AJ592" s="3"/>
      <x:c r="AK592" s="3"/>
      <x:c r="AL592" s="3"/>
      <x:c r="AM592" s="3"/>
      <x:c r="AT592" s="3"/>
      <x:c r="AU592" s="3"/>
      <x:c r="AV592" s="3"/>
      <x:c r="AW592" s="3"/>
      <x:c r="AX592" s="3"/>
      <x:c r="AY592" s="3"/>
      <x:c r="AZ592" s="3"/>
      <x:c r="BA592" s="3"/>
      <x:c r="BC592" s="3"/>
      <x:c r="BD592" s="3"/>
      <x:c r="BE592" s="3"/>
      <x:c r="BF592" s="3"/>
      <x:c r="BG592" s="3"/>
      <x:c r="BH592" s="13"/>
      <x:c r="BI592" s="13"/>
      <x:c r="BJ592" s="13"/>
      <x:c r="BK592" s="13"/>
      <x:c r="BL592" s="13"/>
      <x:c r="BM592" s="13"/>
      <x:c r="BN592" s="13"/>
      <x:c r="BO592" s="13"/>
      <x:c r="BP592" s="13"/>
      <x:c r="BQ592" s="13"/>
      <x:c r="BR592" s="13"/>
      <x:c r="BS592" s="13"/>
      <x:c r="BT592" s="13"/>
      <x:c r="BU592" s="13"/>
      <x:c r="BV592" s="13"/>
      <x:c r="BW592" s="13"/>
      <x:c r="BX592" s="13"/>
      <x:c r="BY592" s="13"/>
      <x:c r="BZ592" s="13"/>
      <x:c r="CA592" s="13"/>
      <x:c r="CB592" s="13"/>
      <x:c r="CC592" s="13"/>
      <x:c r="CD592" s="13"/>
      <x:c r="CE592" s="13"/>
      <x:c r="CF592" s="13"/>
      <x:c r="CG592" s="13"/>
    </x:row>
    <x:row r="593" ht="14.25" customHeight="1">
      <x:c r="AA593" s="3"/>
      <x:c r="AF593" s="3"/>
      <x:c r="AG593" s="3"/>
      <x:c r="AH593" s="3"/>
      <x:c r="AI593" s="3"/>
      <x:c r="AJ593" s="3"/>
      <x:c r="AK593" s="3"/>
      <x:c r="AL593" s="3"/>
      <x:c r="AM593" s="3"/>
      <x:c r="AT593" s="3"/>
      <x:c r="AU593" s="3"/>
      <x:c r="AV593" s="3"/>
      <x:c r="AW593" s="3"/>
      <x:c r="AX593" s="3"/>
      <x:c r="AY593" s="3"/>
      <x:c r="AZ593" s="3"/>
      <x:c r="BA593" s="3"/>
      <x:c r="BC593" s="3"/>
      <x:c r="BD593" s="3"/>
      <x:c r="BE593" s="3"/>
      <x:c r="BF593" s="3"/>
      <x:c r="BG593" s="3"/>
      <x:c r="BH593" s="13"/>
      <x:c r="BI593" s="13"/>
      <x:c r="BJ593" s="13"/>
      <x:c r="BK593" s="13"/>
      <x:c r="BL593" s="13"/>
      <x:c r="BM593" s="13"/>
      <x:c r="BN593" s="13"/>
      <x:c r="BO593" s="13"/>
      <x:c r="BP593" s="13"/>
      <x:c r="BQ593" s="13"/>
      <x:c r="BR593" s="13"/>
      <x:c r="BS593" s="13"/>
      <x:c r="BT593" s="13"/>
      <x:c r="BU593" s="13"/>
      <x:c r="BV593" s="13"/>
      <x:c r="BW593" s="13"/>
      <x:c r="BX593" s="13"/>
      <x:c r="BY593" s="13"/>
      <x:c r="BZ593" s="13"/>
      <x:c r="CA593" s="13"/>
      <x:c r="CB593" s="13"/>
      <x:c r="CC593" s="13"/>
      <x:c r="CD593" s="13"/>
      <x:c r="CE593" s="13"/>
      <x:c r="CF593" s="13"/>
      <x:c r="CG593" s="13"/>
    </x:row>
    <x:row r="594" ht="14.25" customHeight="1">
      <x:c r="AA594" s="3"/>
      <x:c r="AF594" s="3"/>
      <x:c r="AG594" s="3"/>
      <x:c r="AH594" s="3"/>
      <x:c r="AI594" s="3"/>
      <x:c r="AJ594" s="3"/>
      <x:c r="AK594" s="3"/>
      <x:c r="AL594" s="3"/>
      <x:c r="AM594" s="3"/>
      <x:c r="AT594" s="3"/>
      <x:c r="AU594" s="3"/>
      <x:c r="AV594" s="3"/>
      <x:c r="AW594" s="3"/>
      <x:c r="AX594" s="3"/>
      <x:c r="AY594" s="3"/>
      <x:c r="AZ594" s="3"/>
      <x:c r="BA594" s="3"/>
      <x:c r="BC594" s="3"/>
      <x:c r="BD594" s="3"/>
      <x:c r="BE594" s="3"/>
      <x:c r="BF594" s="3"/>
      <x:c r="BG594" s="3"/>
      <x:c r="BH594" s="13"/>
      <x:c r="BI594" s="13"/>
      <x:c r="BJ594" s="13"/>
      <x:c r="BK594" s="13"/>
      <x:c r="BL594" s="13"/>
      <x:c r="BM594" s="13"/>
      <x:c r="BN594" s="13"/>
      <x:c r="BO594" s="13"/>
      <x:c r="BP594" s="13"/>
      <x:c r="BQ594" s="13"/>
      <x:c r="BR594" s="13"/>
      <x:c r="BS594" s="13"/>
      <x:c r="BT594" s="13"/>
      <x:c r="BU594" s="13"/>
      <x:c r="BV594" s="13"/>
      <x:c r="BW594" s="13"/>
      <x:c r="BX594" s="13"/>
      <x:c r="BY594" s="13"/>
      <x:c r="BZ594" s="13"/>
      <x:c r="CA594" s="13"/>
      <x:c r="CB594" s="13"/>
      <x:c r="CC594" s="13"/>
      <x:c r="CD594" s="13"/>
      <x:c r="CE594" s="13"/>
      <x:c r="CF594" s="13"/>
      <x:c r="CG594" s="13"/>
    </x:row>
    <x:row r="595" ht="14.25" customHeight="1">
      <x:c r="AA595" s="3"/>
      <x:c r="AF595" s="3"/>
      <x:c r="AG595" s="3"/>
      <x:c r="AH595" s="3"/>
      <x:c r="AI595" s="3"/>
      <x:c r="AJ595" s="3"/>
      <x:c r="AK595" s="3"/>
      <x:c r="AL595" s="3"/>
      <x:c r="AM595" s="3"/>
      <x:c r="AT595" s="3"/>
      <x:c r="AU595" s="3"/>
      <x:c r="AV595" s="3"/>
      <x:c r="AW595" s="3"/>
      <x:c r="AX595" s="3"/>
      <x:c r="AY595" s="3"/>
      <x:c r="AZ595" s="3"/>
      <x:c r="BA595" s="3"/>
      <x:c r="BC595" s="3"/>
      <x:c r="BD595" s="3"/>
      <x:c r="BE595" s="3"/>
      <x:c r="BF595" s="3"/>
      <x:c r="BG595" s="3"/>
      <x:c r="BH595" s="13"/>
      <x:c r="BI595" s="13"/>
      <x:c r="BJ595" s="13"/>
      <x:c r="BK595" s="13"/>
      <x:c r="BL595" s="13"/>
      <x:c r="BM595" s="13"/>
      <x:c r="BN595" s="13"/>
      <x:c r="BO595" s="13"/>
      <x:c r="BP595" s="13"/>
      <x:c r="BQ595" s="13"/>
      <x:c r="BR595" s="13"/>
      <x:c r="BS595" s="13"/>
      <x:c r="BT595" s="13"/>
      <x:c r="BU595" s="13"/>
      <x:c r="BV595" s="13"/>
      <x:c r="BW595" s="13"/>
      <x:c r="BX595" s="13"/>
      <x:c r="BY595" s="13"/>
      <x:c r="BZ595" s="13"/>
      <x:c r="CA595" s="13"/>
      <x:c r="CB595" s="13"/>
      <x:c r="CC595" s="13"/>
      <x:c r="CD595" s="13"/>
      <x:c r="CE595" s="13"/>
      <x:c r="CF595" s="13"/>
      <x:c r="CG595" s="13"/>
    </x:row>
    <x:row r="596" ht="14.25" customHeight="1">
      <x:c r="AA596" s="3"/>
      <x:c r="AF596" s="3"/>
      <x:c r="AG596" s="3"/>
      <x:c r="AH596" s="3"/>
      <x:c r="AI596" s="3"/>
      <x:c r="AJ596" s="3"/>
      <x:c r="AK596" s="3"/>
      <x:c r="AL596" s="3"/>
      <x:c r="AM596" s="3"/>
      <x:c r="AT596" s="3"/>
      <x:c r="AU596" s="3"/>
      <x:c r="AV596" s="3"/>
      <x:c r="AW596" s="3"/>
      <x:c r="AX596" s="3"/>
      <x:c r="AY596" s="3"/>
      <x:c r="AZ596" s="3"/>
      <x:c r="BA596" s="3"/>
      <x:c r="BC596" s="3"/>
      <x:c r="BD596" s="3"/>
      <x:c r="BE596" s="3"/>
      <x:c r="BF596" s="3"/>
      <x:c r="BG596" s="3"/>
      <x:c r="BH596" s="13"/>
      <x:c r="BI596" s="13"/>
      <x:c r="BJ596" s="13"/>
      <x:c r="BK596" s="13"/>
      <x:c r="BL596" s="13"/>
      <x:c r="BM596" s="13"/>
      <x:c r="BN596" s="13"/>
      <x:c r="BO596" s="13"/>
      <x:c r="BP596" s="13"/>
      <x:c r="BQ596" s="13"/>
      <x:c r="BR596" s="13"/>
      <x:c r="BS596" s="13"/>
      <x:c r="BT596" s="13"/>
      <x:c r="BU596" s="13"/>
      <x:c r="BV596" s="13"/>
      <x:c r="BW596" s="13"/>
      <x:c r="BX596" s="13"/>
      <x:c r="BY596" s="13"/>
      <x:c r="BZ596" s="13"/>
      <x:c r="CA596" s="13"/>
      <x:c r="CB596" s="13"/>
      <x:c r="CC596" s="13"/>
      <x:c r="CD596" s="13"/>
      <x:c r="CE596" s="13"/>
      <x:c r="CF596" s="13"/>
      <x:c r="CG596" s="13"/>
    </x:row>
    <x:row r="597" ht="14.25" customHeight="1">
      <x:c r="AA597" s="3"/>
      <x:c r="AF597" s="3"/>
      <x:c r="AG597" s="3"/>
      <x:c r="AH597" s="3"/>
      <x:c r="AI597" s="3"/>
      <x:c r="AJ597" s="3"/>
      <x:c r="AK597" s="3"/>
      <x:c r="AL597" s="3"/>
      <x:c r="AM597" s="3"/>
      <x:c r="AT597" s="3"/>
      <x:c r="AU597" s="3"/>
      <x:c r="AV597" s="3"/>
      <x:c r="AW597" s="3"/>
      <x:c r="AX597" s="3"/>
      <x:c r="AY597" s="3"/>
      <x:c r="AZ597" s="3"/>
      <x:c r="BA597" s="3"/>
      <x:c r="BC597" s="3"/>
      <x:c r="BD597" s="3"/>
      <x:c r="BE597" s="3"/>
      <x:c r="BF597" s="3"/>
      <x:c r="BG597" s="3"/>
      <x:c r="BH597" s="13"/>
      <x:c r="BI597" s="13"/>
      <x:c r="BJ597" s="13"/>
      <x:c r="BK597" s="13"/>
      <x:c r="BL597" s="13"/>
      <x:c r="BM597" s="13"/>
      <x:c r="BN597" s="13"/>
      <x:c r="BO597" s="13"/>
      <x:c r="BP597" s="13"/>
      <x:c r="BQ597" s="13"/>
      <x:c r="BR597" s="13"/>
      <x:c r="BS597" s="13"/>
      <x:c r="BT597" s="13"/>
      <x:c r="BU597" s="13"/>
      <x:c r="BV597" s="13"/>
      <x:c r="BW597" s="13"/>
      <x:c r="BX597" s="13"/>
      <x:c r="BY597" s="13"/>
      <x:c r="BZ597" s="13"/>
      <x:c r="CA597" s="13"/>
      <x:c r="CB597" s="13"/>
      <x:c r="CC597" s="13"/>
      <x:c r="CD597" s="13"/>
      <x:c r="CE597" s="13"/>
      <x:c r="CF597" s="13"/>
      <x:c r="CG597" s="13"/>
    </x:row>
    <x:row r="598" ht="14.25" customHeight="1">
      <x:c r="AA598" s="3"/>
      <x:c r="AF598" s="3"/>
      <x:c r="AG598" s="3"/>
      <x:c r="AH598" s="3"/>
      <x:c r="AI598" s="3"/>
      <x:c r="AJ598" s="3"/>
      <x:c r="AK598" s="3"/>
      <x:c r="AL598" s="3"/>
      <x:c r="AM598" s="3"/>
      <x:c r="AT598" s="3"/>
      <x:c r="AU598" s="3"/>
      <x:c r="AV598" s="3"/>
      <x:c r="AW598" s="3"/>
      <x:c r="AX598" s="3"/>
      <x:c r="AY598" s="3"/>
      <x:c r="AZ598" s="3"/>
      <x:c r="BA598" s="3"/>
      <x:c r="BC598" s="3"/>
      <x:c r="BD598" s="3"/>
      <x:c r="BE598" s="3"/>
      <x:c r="BF598" s="3"/>
      <x:c r="BG598" s="3"/>
      <x:c r="BH598" s="13"/>
      <x:c r="BI598" s="13"/>
      <x:c r="BJ598" s="13"/>
      <x:c r="BK598" s="13"/>
      <x:c r="BL598" s="13"/>
      <x:c r="BM598" s="13"/>
      <x:c r="BN598" s="13"/>
      <x:c r="BO598" s="13"/>
      <x:c r="BP598" s="13"/>
      <x:c r="BQ598" s="13"/>
      <x:c r="BR598" s="13"/>
      <x:c r="BS598" s="13"/>
      <x:c r="BT598" s="13"/>
      <x:c r="BU598" s="13"/>
      <x:c r="BV598" s="13"/>
      <x:c r="BW598" s="13"/>
      <x:c r="BX598" s="13"/>
      <x:c r="BY598" s="13"/>
      <x:c r="BZ598" s="13"/>
      <x:c r="CA598" s="13"/>
      <x:c r="CB598" s="13"/>
      <x:c r="CC598" s="13"/>
      <x:c r="CD598" s="13"/>
      <x:c r="CE598" s="13"/>
      <x:c r="CF598" s="13"/>
      <x:c r="CG598" s="13"/>
    </x:row>
    <x:row r="599" ht="14.25" customHeight="1">
      <x:c r="AA599" s="3"/>
      <x:c r="AF599" s="3"/>
      <x:c r="AG599" s="3"/>
      <x:c r="AH599" s="3"/>
      <x:c r="AI599" s="3"/>
      <x:c r="AJ599" s="3"/>
      <x:c r="AK599" s="3"/>
      <x:c r="AL599" s="3"/>
      <x:c r="AM599" s="3"/>
      <x:c r="AT599" s="3"/>
      <x:c r="AU599" s="3"/>
      <x:c r="AV599" s="3"/>
      <x:c r="AW599" s="3"/>
      <x:c r="AX599" s="3"/>
      <x:c r="AY599" s="3"/>
      <x:c r="AZ599" s="3"/>
      <x:c r="BA599" s="3"/>
      <x:c r="BC599" s="3"/>
      <x:c r="BD599" s="3"/>
      <x:c r="BE599" s="3"/>
      <x:c r="BF599" s="3"/>
      <x:c r="BG599" s="3"/>
      <x:c r="BH599" s="13"/>
      <x:c r="BI599" s="13"/>
      <x:c r="BJ599" s="13"/>
      <x:c r="BK599" s="13"/>
      <x:c r="BL599" s="13"/>
      <x:c r="BM599" s="13"/>
      <x:c r="BN599" s="13"/>
      <x:c r="BO599" s="13"/>
      <x:c r="BP599" s="13"/>
      <x:c r="BQ599" s="13"/>
      <x:c r="BR599" s="13"/>
      <x:c r="BS599" s="13"/>
      <x:c r="BT599" s="13"/>
      <x:c r="BU599" s="13"/>
      <x:c r="BV599" s="13"/>
      <x:c r="BW599" s="13"/>
      <x:c r="BX599" s="13"/>
      <x:c r="BY599" s="13"/>
      <x:c r="BZ599" s="13"/>
      <x:c r="CA599" s="13"/>
      <x:c r="CB599" s="13"/>
      <x:c r="CC599" s="13"/>
      <x:c r="CD599" s="13"/>
      <x:c r="CE599" s="13"/>
      <x:c r="CF599" s="13"/>
      <x:c r="CG599" s="13"/>
    </x:row>
    <x:row r="600" ht="14.25" customHeight="1">
      <x:c r="AA600" s="3"/>
      <x:c r="AF600" s="3"/>
      <x:c r="AG600" s="3"/>
      <x:c r="AH600" s="3"/>
      <x:c r="AI600" s="3"/>
      <x:c r="AJ600" s="3"/>
      <x:c r="AK600" s="3"/>
      <x:c r="AL600" s="3"/>
      <x:c r="AM600" s="3"/>
      <x:c r="AT600" s="3"/>
      <x:c r="AU600" s="3"/>
      <x:c r="AV600" s="3"/>
      <x:c r="AW600" s="3"/>
      <x:c r="AX600" s="3"/>
      <x:c r="AY600" s="3"/>
      <x:c r="AZ600" s="3"/>
      <x:c r="BA600" s="3"/>
      <x:c r="BC600" s="3"/>
      <x:c r="BD600" s="3"/>
      <x:c r="BE600" s="3"/>
      <x:c r="BF600" s="3"/>
      <x:c r="BG600" s="3"/>
      <x:c r="BH600" s="13"/>
      <x:c r="BI600" s="13"/>
      <x:c r="BJ600" s="13"/>
      <x:c r="BK600" s="13"/>
      <x:c r="BL600" s="13"/>
      <x:c r="BM600" s="13"/>
      <x:c r="BN600" s="13"/>
      <x:c r="BO600" s="13"/>
      <x:c r="BP600" s="13"/>
      <x:c r="BQ600" s="13"/>
      <x:c r="BR600" s="13"/>
      <x:c r="BS600" s="13"/>
      <x:c r="BT600" s="13"/>
      <x:c r="BU600" s="13"/>
      <x:c r="BV600" s="13"/>
      <x:c r="BW600" s="13"/>
      <x:c r="BX600" s="13"/>
      <x:c r="BY600" s="13"/>
      <x:c r="BZ600" s="13"/>
      <x:c r="CA600" s="13"/>
      <x:c r="CB600" s="13"/>
      <x:c r="CC600" s="13"/>
      <x:c r="CD600" s="13"/>
      <x:c r="CE600" s="13"/>
      <x:c r="CF600" s="13"/>
      <x:c r="CG600" s="13"/>
    </x:row>
    <x:row r="601" ht="14.25" customHeight="1">
      <x:c r="AA601" s="3"/>
      <x:c r="AF601" s="3"/>
      <x:c r="AG601" s="3"/>
      <x:c r="AH601" s="3"/>
      <x:c r="AI601" s="3"/>
      <x:c r="AJ601" s="3"/>
      <x:c r="AK601" s="3"/>
      <x:c r="AL601" s="3"/>
      <x:c r="AM601" s="3"/>
      <x:c r="AT601" s="3"/>
      <x:c r="AU601" s="3"/>
      <x:c r="AV601" s="3"/>
      <x:c r="AW601" s="3"/>
      <x:c r="AX601" s="3"/>
      <x:c r="AY601" s="3"/>
      <x:c r="AZ601" s="3"/>
      <x:c r="BA601" s="3"/>
      <x:c r="BC601" s="3"/>
      <x:c r="BD601" s="3"/>
      <x:c r="BE601" s="3"/>
      <x:c r="BF601" s="3"/>
      <x:c r="BG601" s="3"/>
      <x:c r="BH601" s="13"/>
      <x:c r="BI601" s="13"/>
      <x:c r="BJ601" s="13"/>
      <x:c r="BK601" s="13"/>
      <x:c r="BL601" s="13"/>
      <x:c r="BM601" s="13"/>
      <x:c r="BN601" s="13"/>
      <x:c r="BO601" s="13"/>
      <x:c r="BP601" s="13"/>
      <x:c r="BQ601" s="13"/>
      <x:c r="BR601" s="13"/>
      <x:c r="BS601" s="13"/>
      <x:c r="BT601" s="13"/>
      <x:c r="BU601" s="13"/>
      <x:c r="BV601" s="13"/>
      <x:c r="BW601" s="13"/>
      <x:c r="BX601" s="13"/>
      <x:c r="BY601" s="13"/>
      <x:c r="BZ601" s="13"/>
      <x:c r="CA601" s="13"/>
      <x:c r="CB601" s="13"/>
      <x:c r="CC601" s="13"/>
      <x:c r="CD601" s="13"/>
      <x:c r="CE601" s="13"/>
      <x:c r="CF601" s="13"/>
      <x:c r="CG601" s="13"/>
    </x:row>
    <x:row r="602" ht="14.25" customHeight="1">
      <x:c r="AA602" s="3"/>
      <x:c r="AF602" s="3"/>
      <x:c r="AG602" s="3"/>
      <x:c r="AH602" s="3"/>
      <x:c r="AI602" s="3"/>
      <x:c r="AJ602" s="3"/>
      <x:c r="AK602" s="3"/>
      <x:c r="AL602" s="3"/>
      <x:c r="AM602" s="3"/>
      <x:c r="AT602" s="3"/>
      <x:c r="AU602" s="3"/>
      <x:c r="AV602" s="3"/>
      <x:c r="AW602" s="3"/>
      <x:c r="AX602" s="3"/>
      <x:c r="AY602" s="3"/>
      <x:c r="AZ602" s="3"/>
      <x:c r="BA602" s="3"/>
      <x:c r="BC602" s="3"/>
      <x:c r="BD602" s="3"/>
      <x:c r="BE602" s="3"/>
      <x:c r="BF602" s="3"/>
      <x:c r="BG602" s="3"/>
      <x:c r="BH602" s="13"/>
      <x:c r="BI602" s="13"/>
      <x:c r="BJ602" s="13"/>
      <x:c r="BK602" s="13"/>
      <x:c r="BL602" s="13"/>
      <x:c r="BM602" s="13"/>
      <x:c r="BN602" s="13"/>
      <x:c r="BO602" s="13"/>
      <x:c r="BP602" s="13"/>
      <x:c r="BQ602" s="13"/>
      <x:c r="BR602" s="13"/>
      <x:c r="BS602" s="13"/>
      <x:c r="BT602" s="13"/>
      <x:c r="BU602" s="13"/>
      <x:c r="BV602" s="13"/>
      <x:c r="BW602" s="13"/>
      <x:c r="BX602" s="13"/>
      <x:c r="BY602" s="13"/>
      <x:c r="BZ602" s="13"/>
      <x:c r="CA602" s="13"/>
      <x:c r="CB602" s="13"/>
      <x:c r="CC602" s="13"/>
      <x:c r="CD602" s="13"/>
      <x:c r="CE602" s="13"/>
      <x:c r="CF602" s="13"/>
      <x:c r="CG602" s="13"/>
    </x:row>
    <x:row r="603" ht="14.25" customHeight="1">
      <x:c r="AA603" s="3"/>
      <x:c r="AF603" s="3"/>
      <x:c r="AG603" s="3"/>
      <x:c r="AH603" s="3"/>
      <x:c r="AI603" s="3"/>
      <x:c r="AJ603" s="3"/>
      <x:c r="AK603" s="3"/>
      <x:c r="AL603" s="3"/>
      <x:c r="AM603" s="3"/>
      <x:c r="AT603" s="3"/>
      <x:c r="AU603" s="3"/>
      <x:c r="AV603" s="3"/>
      <x:c r="AW603" s="3"/>
      <x:c r="AX603" s="3"/>
      <x:c r="AY603" s="3"/>
      <x:c r="AZ603" s="3"/>
      <x:c r="BA603" s="3"/>
      <x:c r="BC603" s="3"/>
      <x:c r="BD603" s="3"/>
      <x:c r="BE603" s="3"/>
      <x:c r="BF603" s="3"/>
      <x:c r="BG603" s="3"/>
      <x:c r="BH603" s="13"/>
      <x:c r="BI603" s="13"/>
      <x:c r="BJ603" s="13"/>
      <x:c r="BK603" s="13"/>
      <x:c r="BL603" s="13"/>
      <x:c r="BM603" s="13"/>
      <x:c r="BN603" s="13"/>
      <x:c r="BO603" s="13"/>
      <x:c r="BP603" s="13"/>
      <x:c r="BQ603" s="13"/>
      <x:c r="BR603" s="13"/>
      <x:c r="BS603" s="13"/>
      <x:c r="BT603" s="13"/>
      <x:c r="BU603" s="13"/>
      <x:c r="BV603" s="13"/>
      <x:c r="BW603" s="13"/>
      <x:c r="BX603" s="13"/>
      <x:c r="BY603" s="13"/>
      <x:c r="BZ603" s="13"/>
      <x:c r="CA603" s="13"/>
      <x:c r="CB603" s="13"/>
      <x:c r="CC603" s="13"/>
      <x:c r="CD603" s="13"/>
      <x:c r="CE603" s="13"/>
      <x:c r="CF603" s="13"/>
      <x:c r="CG603" s="13"/>
    </x:row>
    <x:row r="604" ht="14.25" customHeight="1">
      <x:c r="AA604" s="3"/>
      <x:c r="AF604" s="3"/>
      <x:c r="AG604" s="3"/>
      <x:c r="AH604" s="3"/>
      <x:c r="AI604" s="3"/>
      <x:c r="AJ604" s="3"/>
      <x:c r="AK604" s="3"/>
      <x:c r="AL604" s="3"/>
      <x:c r="AM604" s="3"/>
      <x:c r="AT604" s="3"/>
      <x:c r="AU604" s="3"/>
      <x:c r="AV604" s="3"/>
      <x:c r="AW604" s="3"/>
      <x:c r="AX604" s="3"/>
      <x:c r="AY604" s="3"/>
      <x:c r="AZ604" s="3"/>
      <x:c r="BA604" s="3"/>
      <x:c r="BC604" s="3"/>
      <x:c r="BD604" s="3"/>
      <x:c r="BE604" s="3"/>
      <x:c r="BF604" s="3"/>
      <x:c r="BG604" s="3"/>
      <x:c r="BH604" s="13"/>
      <x:c r="BI604" s="13"/>
      <x:c r="BJ604" s="13"/>
      <x:c r="BK604" s="13"/>
      <x:c r="BL604" s="13"/>
      <x:c r="BM604" s="13"/>
      <x:c r="BN604" s="13"/>
      <x:c r="BO604" s="13"/>
      <x:c r="BP604" s="13"/>
      <x:c r="BQ604" s="13"/>
      <x:c r="BR604" s="13"/>
      <x:c r="BS604" s="13"/>
      <x:c r="BT604" s="13"/>
      <x:c r="BU604" s="13"/>
      <x:c r="BV604" s="13"/>
      <x:c r="BW604" s="13"/>
      <x:c r="BX604" s="13"/>
      <x:c r="BY604" s="13"/>
      <x:c r="BZ604" s="13"/>
      <x:c r="CA604" s="13"/>
      <x:c r="CB604" s="13"/>
      <x:c r="CC604" s="13"/>
      <x:c r="CD604" s="13"/>
      <x:c r="CE604" s="13"/>
      <x:c r="CF604" s="13"/>
      <x:c r="CG604" s="13"/>
    </x:row>
    <x:row r="605" ht="14.25" customHeight="1">
      <x:c r="AA605" s="3"/>
      <x:c r="AF605" s="3"/>
      <x:c r="AG605" s="3"/>
      <x:c r="AH605" s="3"/>
      <x:c r="AI605" s="3"/>
      <x:c r="AJ605" s="3"/>
      <x:c r="AK605" s="3"/>
      <x:c r="AL605" s="3"/>
      <x:c r="AM605" s="3"/>
      <x:c r="AT605" s="3"/>
      <x:c r="AU605" s="3"/>
      <x:c r="AV605" s="3"/>
      <x:c r="AW605" s="3"/>
      <x:c r="AX605" s="3"/>
      <x:c r="AY605" s="3"/>
      <x:c r="AZ605" s="3"/>
      <x:c r="BA605" s="3"/>
      <x:c r="BC605" s="3"/>
      <x:c r="BD605" s="3"/>
      <x:c r="BE605" s="3"/>
      <x:c r="BF605" s="3"/>
      <x:c r="BG605" s="3"/>
      <x:c r="BH605" s="13"/>
      <x:c r="BI605" s="13"/>
      <x:c r="BJ605" s="13"/>
      <x:c r="BK605" s="13"/>
      <x:c r="BL605" s="13"/>
      <x:c r="BM605" s="13"/>
      <x:c r="BN605" s="13"/>
      <x:c r="BO605" s="13"/>
      <x:c r="BP605" s="13"/>
      <x:c r="BQ605" s="13"/>
      <x:c r="BR605" s="13"/>
      <x:c r="BS605" s="13"/>
      <x:c r="BT605" s="13"/>
      <x:c r="BU605" s="13"/>
      <x:c r="BV605" s="13"/>
      <x:c r="BW605" s="13"/>
      <x:c r="BX605" s="13"/>
      <x:c r="BY605" s="13"/>
      <x:c r="BZ605" s="13"/>
      <x:c r="CA605" s="13"/>
      <x:c r="CB605" s="13"/>
      <x:c r="CC605" s="13"/>
      <x:c r="CD605" s="13"/>
      <x:c r="CE605" s="13"/>
      <x:c r="CF605" s="13"/>
      <x:c r="CG605" s="13"/>
    </x:row>
    <x:row r="606" ht="14.25" customHeight="1">
      <x:c r="AA606" s="3"/>
      <x:c r="AF606" s="3"/>
      <x:c r="AG606" s="3"/>
      <x:c r="AH606" s="3"/>
      <x:c r="AI606" s="3"/>
      <x:c r="AJ606" s="3"/>
      <x:c r="AK606" s="3"/>
      <x:c r="AL606" s="3"/>
      <x:c r="AM606" s="3"/>
      <x:c r="AT606" s="3"/>
      <x:c r="AU606" s="3"/>
      <x:c r="AV606" s="3"/>
      <x:c r="AW606" s="3"/>
      <x:c r="AX606" s="3"/>
      <x:c r="AY606" s="3"/>
      <x:c r="AZ606" s="3"/>
      <x:c r="BA606" s="3"/>
      <x:c r="BC606" s="3"/>
      <x:c r="BD606" s="3"/>
      <x:c r="BE606" s="3"/>
      <x:c r="BF606" s="3"/>
      <x:c r="BG606" s="3"/>
      <x:c r="BH606" s="13"/>
      <x:c r="BI606" s="13"/>
      <x:c r="BJ606" s="13"/>
      <x:c r="BK606" s="13"/>
      <x:c r="BL606" s="13"/>
      <x:c r="BM606" s="13"/>
      <x:c r="BN606" s="13"/>
      <x:c r="BO606" s="13"/>
      <x:c r="BP606" s="13"/>
      <x:c r="BQ606" s="13"/>
      <x:c r="BR606" s="13"/>
      <x:c r="BS606" s="13"/>
      <x:c r="BT606" s="13"/>
      <x:c r="BU606" s="13"/>
      <x:c r="BV606" s="13"/>
      <x:c r="BW606" s="13"/>
      <x:c r="BX606" s="13"/>
      <x:c r="BY606" s="13"/>
      <x:c r="BZ606" s="13"/>
      <x:c r="CA606" s="13"/>
      <x:c r="CB606" s="13"/>
      <x:c r="CC606" s="13"/>
      <x:c r="CD606" s="13"/>
      <x:c r="CE606" s="13"/>
      <x:c r="CF606" s="13"/>
      <x:c r="CG606" s="13"/>
    </x:row>
    <x:row r="607" ht="14.25" customHeight="1">
      <x:c r="AA607" s="3"/>
      <x:c r="AF607" s="3"/>
      <x:c r="AG607" s="3"/>
      <x:c r="AH607" s="3"/>
      <x:c r="AI607" s="3"/>
      <x:c r="AJ607" s="3"/>
      <x:c r="AK607" s="3"/>
      <x:c r="AL607" s="3"/>
      <x:c r="AM607" s="3"/>
      <x:c r="AT607" s="3"/>
      <x:c r="AU607" s="3"/>
      <x:c r="AV607" s="3"/>
      <x:c r="AW607" s="3"/>
      <x:c r="AX607" s="3"/>
      <x:c r="AY607" s="3"/>
      <x:c r="AZ607" s="3"/>
      <x:c r="BA607" s="3"/>
      <x:c r="BC607" s="3"/>
      <x:c r="BD607" s="3"/>
      <x:c r="BE607" s="3"/>
      <x:c r="BF607" s="3"/>
      <x:c r="BG607" s="3"/>
      <x:c r="BH607" s="13"/>
      <x:c r="BI607" s="13"/>
      <x:c r="BJ607" s="13"/>
      <x:c r="BK607" s="13"/>
      <x:c r="BL607" s="13"/>
      <x:c r="BM607" s="13"/>
      <x:c r="BN607" s="13"/>
      <x:c r="BO607" s="13"/>
      <x:c r="BP607" s="13"/>
      <x:c r="BQ607" s="13"/>
      <x:c r="BR607" s="13"/>
      <x:c r="BS607" s="13"/>
      <x:c r="BT607" s="13"/>
      <x:c r="BU607" s="13"/>
      <x:c r="BV607" s="13"/>
      <x:c r="BW607" s="13"/>
      <x:c r="BX607" s="13"/>
      <x:c r="BY607" s="13"/>
      <x:c r="BZ607" s="13"/>
      <x:c r="CA607" s="13"/>
      <x:c r="CB607" s="13"/>
      <x:c r="CC607" s="13"/>
      <x:c r="CD607" s="13"/>
      <x:c r="CE607" s="13"/>
      <x:c r="CF607" s="13"/>
      <x:c r="CG607" s="13"/>
    </x:row>
    <x:row r="608" ht="14.25" customHeight="1">
      <x:c r="AA608" s="3"/>
      <x:c r="AF608" s="3"/>
      <x:c r="AG608" s="3"/>
      <x:c r="AH608" s="3"/>
      <x:c r="AI608" s="3"/>
      <x:c r="AJ608" s="3"/>
      <x:c r="AK608" s="3"/>
      <x:c r="AL608" s="3"/>
      <x:c r="AM608" s="3"/>
      <x:c r="AT608" s="3"/>
      <x:c r="AU608" s="3"/>
      <x:c r="AV608" s="3"/>
      <x:c r="AW608" s="3"/>
      <x:c r="AX608" s="3"/>
      <x:c r="AY608" s="3"/>
      <x:c r="AZ608" s="3"/>
      <x:c r="BA608" s="3"/>
      <x:c r="BC608" s="3"/>
      <x:c r="BD608" s="3"/>
      <x:c r="BE608" s="3"/>
      <x:c r="BF608" s="3"/>
      <x:c r="BG608" s="3"/>
      <x:c r="BH608" s="13"/>
      <x:c r="BI608" s="13"/>
      <x:c r="BJ608" s="13"/>
      <x:c r="BK608" s="13"/>
      <x:c r="BL608" s="13"/>
      <x:c r="BM608" s="13"/>
      <x:c r="BN608" s="13"/>
      <x:c r="BO608" s="13"/>
      <x:c r="BP608" s="13"/>
      <x:c r="BQ608" s="13"/>
      <x:c r="BR608" s="13"/>
      <x:c r="BS608" s="13"/>
      <x:c r="BT608" s="13"/>
      <x:c r="BU608" s="13"/>
      <x:c r="BV608" s="13"/>
      <x:c r="BW608" s="13"/>
      <x:c r="BX608" s="13"/>
      <x:c r="BY608" s="13"/>
      <x:c r="BZ608" s="13"/>
      <x:c r="CA608" s="13"/>
      <x:c r="CB608" s="13"/>
      <x:c r="CC608" s="13"/>
      <x:c r="CD608" s="13"/>
      <x:c r="CE608" s="13"/>
      <x:c r="CF608" s="13"/>
      <x:c r="CG608" s="13"/>
    </x:row>
    <x:row r="609" ht="14.25" customHeight="1">
      <x:c r="AA609" s="3"/>
      <x:c r="AF609" s="3"/>
      <x:c r="AG609" s="3"/>
      <x:c r="AH609" s="3"/>
      <x:c r="AI609" s="3"/>
      <x:c r="AJ609" s="3"/>
      <x:c r="AK609" s="3"/>
      <x:c r="AL609" s="3"/>
      <x:c r="AM609" s="3"/>
      <x:c r="AT609" s="3"/>
      <x:c r="AU609" s="3"/>
      <x:c r="AV609" s="3"/>
      <x:c r="AW609" s="3"/>
      <x:c r="AX609" s="3"/>
      <x:c r="AY609" s="3"/>
      <x:c r="AZ609" s="3"/>
      <x:c r="BA609" s="3"/>
      <x:c r="BC609" s="3"/>
      <x:c r="BD609" s="3"/>
      <x:c r="BE609" s="3"/>
      <x:c r="BF609" s="3"/>
      <x:c r="BG609" s="3"/>
      <x:c r="BH609" s="13"/>
      <x:c r="BI609" s="13"/>
      <x:c r="BJ609" s="13"/>
      <x:c r="BK609" s="13"/>
      <x:c r="BL609" s="13"/>
      <x:c r="BM609" s="13"/>
      <x:c r="BN609" s="13"/>
      <x:c r="BO609" s="13"/>
      <x:c r="BP609" s="13"/>
      <x:c r="BQ609" s="13"/>
      <x:c r="BR609" s="13"/>
      <x:c r="BS609" s="13"/>
      <x:c r="BT609" s="13"/>
      <x:c r="BU609" s="13"/>
      <x:c r="BV609" s="13"/>
      <x:c r="BW609" s="13"/>
      <x:c r="BX609" s="13"/>
      <x:c r="BY609" s="13"/>
      <x:c r="BZ609" s="13"/>
      <x:c r="CA609" s="13"/>
      <x:c r="CB609" s="13"/>
      <x:c r="CC609" s="13"/>
      <x:c r="CD609" s="13"/>
      <x:c r="CE609" s="13"/>
      <x:c r="CF609" s="13"/>
      <x:c r="CG609" s="13"/>
    </x:row>
    <x:row r="610" ht="14.25" customHeight="1">
      <x:c r="AA610" s="3"/>
      <x:c r="AF610" s="3"/>
      <x:c r="AG610" s="3"/>
      <x:c r="AH610" s="3"/>
      <x:c r="AI610" s="3"/>
      <x:c r="AJ610" s="3"/>
      <x:c r="AK610" s="3"/>
      <x:c r="AL610" s="3"/>
      <x:c r="AM610" s="3"/>
      <x:c r="AT610" s="3"/>
      <x:c r="AU610" s="3"/>
      <x:c r="AV610" s="3"/>
      <x:c r="AW610" s="3"/>
      <x:c r="AX610" s="3"/>
      <x:c r="AY610" s="3"/>
      <x:c r="AZ610" s="3"/>
      <x:c r="BA610" s="3"/>
      <x:c r="BC610" s="3"/>
      <x:c r="BD610" s="3"/>
      <x:c r="BE610" s="3"/>
      <x:c r="BF610" s="3"/>
      <x:c r="BG610" s="3"/>
      <x:c r="BH610" s="13"/>
      <x:c r="BI610" s="13"/>
      <x:c r="BJ610" s="13"/>
      <x:c r="BK610" s="13"/>
      <x:c r="BL610" s="13"/>
      <x:c r="BM610" s="13"/>
      <x:c r="BN610" s="13"/>
      <x:c r="BO610" s="13"/>
      <x:c r="BP610" s="13"/>
      <x:c r="BQ610" s="13"/>
      <x:c r="BR610" s="13"/>
      <x:c r="BS610" s="13"/>
      <x:c r="BT610" s="13"/>
      <x:c r="BU610" s="13"/>
      <x:c r="BV610" s="13"/>
      <x:c r="BW610" s="13"/>
      <x:c r="BX610" s="13"/>
      <x:c r="BY610" s="13"/>
      <x:c r="BZ610" s="13"/>
      <x:c r="CA610" s="13"/>
      <x:c r="CB610" s="13"/>
      <x:c r="CC610" s="13"/>
      <x:c r="CD610" s="13"/>
      <x:c r="CE610" s="13"/>
      <x:c r="CF610" s="13"/>
      <x:c r="CG610" s="13"/>
    </x:row>
    <x:row r="611" ht="14.25" customHeight="1">
      <x:c r="AA611" s="3"/>
      <x:c r="AF611" s="3"/>
      <x:c r="AG611" s="3"/>
      <x:c r="AH611" s="3"/>
      <x:c r="AI611" s="3"/>
      <x:c r="AJ611" s="3"/>
      <x:c r="AK611" s="3"/>
      <x:c r="AL611" s="3"/>
      <x:c r="AM611" s="3"/>
      <x:c r="AT611" s="3"/>
      <x:c r="AU611" s="3"/>
      <x:c r="AV611" s="3"/>
      <x:c r="AW611" s="3"/>
      <x:c r="AX611" s="3"/>
      <x:c r="AY611" s="3"/>
      <x:c r="AZ611" s="3"/>
      <x:c r="BA611" s="3"/>
      <x:c r="BC611" s="3"/>
      <x:c r="BD611" s="3"/>
      <x:c r="BE611" s="3"/>
      <x:c r="BF611" s="3"/>
      <x:c r="BG611" s="3"/>
      <x:c r="BH611" s="13"/>
      <x:c r="BI611" s="13"/>
      <x:c r="BJ611" s="13"/>
      <x:c r="BK611" s="13"/>
      <x:c r="BL611" s="13"/>
      <x:c r="BM611" s="13"/>
      <x:c r="BN611" s="13"/>
      <x:c r="BO611" s="13"/>
      <x:c r="BP611" s="13"/>
      <x:c r="BQ611" s="13"/>
      <x:c r="BR611" s="13"/>
      <x:c r="BS611" s="13"/>
      <x:c r="BT611" s="13"/>
      <x:c r="BU611" s="13"/>
      <x:c r="BV611" s="13"/>
      <x:c r="BW611" s="13"/>
      <x:c r="BX611" s="13"/>
      <x:c r="BY611" s="13"/>
      <x:c r="BZ611" s="13"/>
      <x:c r="CA611" s="13"/>
      <x:c r="CB611" s="13"/>
      <x:c r="CC611" s="13"/>
      <x:c r="CD611" s="13"/>
      <x:c r="CE611" s="13"/>
      <x:c r="CF611" s="13"/>
      <x:c r="CG611" s="13"/>
    </x:row>
    <x:row r="612" ht="14.25" customHeight="1">
      <x:c r="AA612" s="3"/>
      <x:c r="AF612" s="3"/>
      <x:c r="AG612" s="3"/>
      <x:c r="AH612" s="3"/>
      <x:c r="AI612" s="3"/>
      <x:c r="AJ612" s="3"/>
      <x:c r="AK612" s="3"/>
      <x:c r="AL612" s="3"/>
      <x:c r="AM612" s="3"/>
      <x:c r="AT612" s="3"/>
      <x:c r="AU612" s="3"/>
      <x:c r="AV612" s="3"/>
      <x:c r="AW612" s="3"/>
      <x:c r="AX612" s="3"/>
      <x:c r="AY612" s="3"/>
      <x:c r="AZ612" s="3"/>
      <x:c r="BA612" s="3"/>
      <x:c r="BC612" s="3"/>
      <x:c r="BD612" s="3"/>
      <x:c r="BE612" s="3"/>
      <x:c r="BF612" s="3"/>
      <x:c r="BG612" s="3"/>
      <x:c r="BH612" s="13"/>
      <x:c r="BI612" s="13"/>
      <x:c r="BJ612" s="13"/>
      <x:c r="BK612" s="13"/>
      <x:c r="BL612" s="13"/>
      <x:c r="BM612" s="13"/>
      <x:c r="BN612" s="13"/>
      <x:c r="BO612" s="13"/>
      <x:c r="BP612" s="13"/>
      <x:c r="BQ612" s="13"/>
      <x:c r="BR612" s="13"/>
      <x:c r="BS612" s="13"/>
      <x:c r="BT612" s="13"/>
      <x:c r="BU612" s="13"/>
      <x:c r="BV612" s="13"/>
      <x:c r="BW612" s="13"/>
      <x:c r="BX612" s="13"/>
      <x:c r="BY612" s="13"/>
      <x:c r="BZ612" s="13"/>
      <x:c r="CA612" s="13"/>
      <x:c r="CB612" s="13"/>
      <x:c r="CC612" s="13"/>
      <x:c r="CD612" s="13"/>
      <x:c r="CE612" s="13"/>
      <x:c r="CF612" s="13"/>
      <x:c r="CG612" s="13"/>
    </x:row>
    <x:row r="613" ht="14.25" customHeight="1">
      <x:c r="AA613" s="3"/>
      <x:c r="AF613" s="3"/>
      <x:c r="AG613" s="3"/>
      <x:c r="AH613" s="3"/>
      <x:c r="AI613" s="3"/>
      <x:c r="AJ613" s="3"/>
      <x:c r="AK613" s="3"/>
      <x:c r="AL613" s="3"/>
      <x:c r="AM613" s="3"/>
      <x:c r="AT613" s="3"/>
      <x:c r="AU613" s="3"/>
      <x:c r="AV613" s="3"/>
      <x:c r="AW613" s="3"/>
      <x:c r="AX613" s="3"/>
      <x:c r="AY613" s="3"/>
      <x:c r="AZ613" s="3"/>
      <x:c r="BA613" s="3"/>
      <x:c r="BC613" s="3"/>
      <x:c r="BD613" s="3"/>
      <x:c r="BE613" s="3"/>
      <x:c r="BF613" s="3"/>
      <x:c r="BG613" s="3"/>
      <x:c r="BH613" s="13"/>
      <x:c r="BI613" s="13"/>
      <x:c r="BJ613" s="13"/>
      <x:c r="BK613" s="13"/>
      <x:c r="BL613" s="13"/>
      <x:c r="BM613" s="13"/>
      <x:c r="BN613" s="13"/>
      <x:c r="BO613" s="13"/>
      <x:c r="BP613" s="13"/>
      <x:c r="BQ613" s="13"/>
      <x:c r="BR613" s="13"/>
      <x:c r="BS613" s="13"/>
      <x:c r="BT613" s="13"/>
      <x:c r="BU613" s="13"/>
      <x:c r="BV613" s="13"/>
      <x:c r="BW613" s="13"/>
      <x:c r="BX613" s="13"/>
      <x:c r="BY613" s="13"/>
      <x:c r="BZ613" s="13"/>
      <x:c r="CA613" s="13"/>
      <x:c r="CB613" s="13"/>
      <x:c r="CC613" s="13"/>
      <x:c r="CD613" s="13"/>
      <x:c r="CE613" s="13"/>
      <x:c r="CF613" s="13"/>
      <x:c r="CG613" s="13"/>
    </x:row>
    <x:row r="614" ht="14.25" customHeight="1">
      <x:c r="AA614" s="3"/>
      <x:c r="AF614" s="3"/>
      <x:c r="AG614" s="3"/>
      <x:c r="AH614" s="3"/>
      <x:c r="AI614" s="3"/>
      <x:c r="AJ614" s="3"/>
      <x:c r="AK614" s="3"/>
      <x:c r="AL614" s="3"/>
      <x:c r="AM614" s="3"/>
      <x:c r="AT614" s="3"/>
      <x:c r="AU614" s="3"/>
      <x:c r="AV614" s="3"/>
      <x:c r="AW614" s="3"/>
      <x:c r="AX614" s="3"/>
      <x:c r="AY614" s="3"/>
      <x:c r="AZ614" s="3"/>
      <x:c r="BA614" s="3"/>
      <x:c r="BC614" s="3"/>
      <x:c r="BD614" s="3"/>
      <x:c r="BE614" s="3"/>
      <x:c r="BF614" s="3"/>
      <x:c r="BG614" s="3"/>
      <x:c r="BH614" s="13"/>
      <x:c r="BI614" s="13"/>
      <x:c r="BJ614" s="13"/>
      <x:c r="BK614" s="13"/>
      <x:c r="BL614" s="13"/>
      <x:c r="BM614" s="13"/>
      <x:c r="BN614" s="13"/>
      <x:c r="BO614" s="13"/>
      <x:c r="BP614" s="13"/>
      <x:c r="BQ614" s="13"/>
      <x:c r="BR614" s="13"/>
      <x:c r="BS614" s="13"/>
      <x:c r="BT614" s="13"/>
      <x:c r="BU614" s="13"/>
      <x:c r="BV614" s="13"/>
      <x:c r="BW614" s="13"/>
      <x:c r="BX614" s="13"/>
      <x:c r="BY614" s="13"/>
      <x:c r="BZ614" s="13"/>
      <x:c r="CA614" s="13"/>
      <x:c r="CB614" s="13"/>
      <x:c r="CC614" s="13"/>
      <x:c r="CD614" s="13"/>
      <x:c r="CE614" s="13"/>
      <x:c r="CF614" s="13"/>
      <x:c r="CG614" s="13"/>
    </x:row>
    <x:row r="615" ht="14.25" customHeight="1">
      <x:c r="AA615" s="3"/>
      <x:c r="AF615" s="3"/>
      <x:c r="AG615" s="3"/>
      <x:c r="AH615" s="3"/>
      <x:c r="AI615" s="3"/>
      <x:c r="AJ615" s="3"/>
      <x:c r="AK615" s="3"/>
      <x:c r="AL615" s="3"/>
      <x:c r="AM615" s="3"/>
      <x:c r="AT615" s="3"/>
      <x:c r="AU615" s="3"/>
      <x:c r="AV615" s="3"/>
      <x:c r="AW615" s="3"/>
      <x:c r="AX615" s="3"/>
      <x:c r="AY615" s="3"/>
      <x:c r="AZ615" s="3"/>
      <x:c r="BA615" s="3"/>
      <x:c r="BC615" s="3"/>
      <x:c r="BD615" s="3"/>
      <x:c r="BE615" s="3"/>
      <x:c r="BF615" s="3"/>
      <x:c r="BG615" s="3"/>
      <x:c r="BH615" s="13"/>
      <x:c r="BI615" s="13"/>
      <x:c r="BJ615" s="13"/>
      <x:c r="BK615" s="13"/>
      <x:c r="BL615" s="13"/>
      <x:c r="BM615" s="13"/>
      <x:c r="BN615" s="13"/>
      <x:c r="BO615" s="13"/>
      <x:c r="BP615" s="13"/>
      <x:c r="BQ615" s="13"/>
      <x:c r="BR615" s="13"/>
      <x:c r="BS615" s="13"/>
      <x:c r="BT615" s="13"/>
      <x:c r="BU615" s="13"/>
      <x:c r="BV615" s="13"/>
      <x:c r="BW615" s="13"/>
      <x:c r="BX615" s="13"/>
      <x:c r="BY615" s="13"/>
      <x:c r="BZ615" s="13"/>
      <x:c r="CA615" s="13"/>
      <x:c r="CB615" s="13"/>
      <x:c r="CC615" s="13"/>
      <x:c r="CD615" s="13"/>
      <x:c r="CE615" s="13"/>
      <x:c r="CF615" s="13"/>
      <x:c r="CG615" s="13"/>
    </x:row>
    <x:row r="616" ht="14.25" customHeight="1">
      <x:c r="AA616" s="3"/>
      <x:c r="AF616" s="3"/>
      <x:c r="AG616" s="3"/>
      <x:c r="AH616" s="3"/>
      <x:c r="AI616" s="3"/>
      <x:c r="AJ616" s="3"/>
      <x:c r="AK616" s="3"/>
      <x:c r="AL616" s="3"/>
      <x:c r="AM616" s="3"/>
      <x:c r="AT616" s="3"/>
      <x:c r="AU616" s="3"/>
      <x:c r="AV616" s="3"/>
      <x:c r="AW616" s="3"/>
      <x:c r="AX616" s="3"/>
      <x:c r="AY616" s="3"/>
      <x:c r="AZ616" s="3"/>
      <x:c r="BA616" s="3"/>
      <x:c r="BC616" s="3"/>
      <x:c r="BD616" s="3"/>
      <x:c r="BE616" s="3"/>
      <x:c r="BF616" s="3"/>
      <x:c r="BG616" s="3"/>
      <x:c r="BH616" s="13"/>
      <x:c r="BI616" s="13"/>
      <x:c r="BJ616" s="13"/>
      <x:c r="BK616" s="13"/>
      <x:c r="BL616" s="13"/>
      <x:c r="BM616" s="13"/>
      <x:c r="BN616" s="13"/>
      <x:c r="BO616" s="13"/>
      <x:c r="BP616" s="13"/>
      <x:c r="BQ616" s="13"/>
      <x:c r="BR616" s="13"/>
      <x:c r="BS616" s="13"/>
      <x:c r="BT616" s="13"/>
      <x:c r="BU616" s="13"/>
      <x:c r="BV616" s="13"/>
      <x:c r="BW616" s="13"/>
      <x:c r="BX616" s="13"/>
      <x:c r="BY616" s="13"/>
      <x:c r="BZ616" s="13"/>
      <x:c r="CA616" s="13"/>
      <x:c r="CB616" s="13"/>
      <x:c r="CC616" s="13"/>
      <x:c r="CD616" s="13"/>
      <x:c r="CE616" s="13"/>
      <x:c r="CF616" s="13"/>
      <x:c r="CG616" s="13"/>
    </x:row>
    <x:row r="617" ht="14.25" customHeight="1">
      <x:c r="AA617" s="3"/>
      <x:c r="AF617" s="3"/>
      <x:c r="AG617" s="3"/>
      <x:c r="AH617" s="3"/>
      <x:c r="AI617" s="3"/>
      <x:c r="AJ617" s="3"/>
      <x:c r="AK617" s="3"/>
      <x:c r="AL617" s="3"/>
      <x:c r="AM617" s="3"/>
      <x:c r="AT617" s="3"/>
      <x:c r="AU617" s="3"/>
      <x:c r="AV617" s="3"/>
      <x:c r="AW617" s="3"/>
      <x:c r="AX617" s="3"/>
      <x:c r="AY617" s="3"/>
      <x:c r="AZ617" s="3"/>
      <x:c r="BA617" s="3"/>
      <x:c r="BC617" s="3"/>
      <x:c r="BD617" s="3"/>
      <x:c r="BE617" s="3"/>
      <x:c r="BF617" s="3"/>
      <x:c r="BG617" s="3"/>
      <x:c r="BH617" s="13"/>
      <x:c r="BI617" s="13"/>
      <x:c r="BJ617" s="13"/>
      <x:c r="BK617" s="13"/>
      <x:c r="BL617" s="13"/>
      <x:c r="BM617" s="13"/>
      <x:c r="BN617" s="13"/>
      <x:c r="BO617" s="13"/>
      <x:c r="BP617" s="13"/>
      <x:c r="BQ617" s="13"/>
      <x:c r="BR617" s="13"/>
      <x:c r="BS617" s="13"/>
      <x:c r="BT617" s="13"/>
      <x:c r="BU617" s="13"/>
      <x:c r="BV617" s="13"/>
      <x:c r="BW617" s="13"/>
      <x:c r="BX617" s="13"/>
      <x:c r="BY617" s="13"/>
      <x:c r="BZ617" s="13"/>
      <x:c r="CA617" s="13"/>
      <x:c r="CB617" s="13"/>
      <x:c r="CC617" s="13"/>
      <x:c r="CD617" s="13"/>
      <x:c r="CE617" s="13"/>
      <x:c r="CF617" s="13"/>
      <x:c r="CG617" s="13"/>
    </x:row>
    <x:row r="618" ht="14.25" customHeight="1">
      <x:c r="AA618" s="3"/>
      <x:c r="AF618" s="3"/>
      <x:c r="AG618" s="3"/>
      <x:c r="AH618" s="3"/>
      <x:c r="AI618" s="3"/>
      <x:c r="AJ618" s="3"/>
      <x:c r="AK618" s="3"/>
      <x:c r="AL618" s="3"/>
      <x:c r="AM618" s="3"/>
      <x:c r="AT618" s="3"/>
      <x:c r="AU618" s="3"/>
      <x:c r="AV618" s="3"/>
      <x:c r="AW618" s="3"/>
      <x:c r="AX618" s="3"/>
      <x:c r="AY618" s="3"/>
      <x:c r="AZ618" s="3"/>
      <x:c r="BA618" s="3"/>
      <x:c r="BC618" s="3"/>
      <x:c r="BD618" s="3"/>
      <x:c r="BE618" s="3"/>
      <x:c r="BF618" s="3"/>
      <x:c r="BG618" s="3"/>
      <x:c r="BH618" s="13"/>
      <x:c r="BI618" s="13"/>
      <x:c r="BJ618" s="13"/>
      <x:c r="BK618" s="13"/>
      <x:c r="BL618" s="13"/>
      <x:c r="BM618" s="13"/>
      <x:c r="BN618" s="13"/>
      <x:c r="BO618" s="13"/>
      <x:c r="BP618" s="13"/>
      <x:c r="BQ618" s="13"/>
      <x:c r="BR618" s="13"/>
      <x:c r="BS618" s="13"/>
      <x:c r="BT618" s="13"/>
      <x:c r="BU618" s="13"/>
      <x:c r="BV618" s="13"/>
      <x:c r="BW618" s="13"/>
      <x:c r="BX618" s="13"/>
      <x:c r="BY618" s="13"/>
      <x:c r="BZ618" s="13"/>
      <x:c r="CA618" s="13"/>
      <x:c r="CB618" s="13"/>
      <x:c r="CC618" s="13"/>
      <x:c r="CD618" s="13"/>
      <x:c r="CE618" s="13"/>
      <x:c r="CF618" s="13"/>
      <x:c r="CG618" s="13"/>
    </x:row>
    <x:row r="619" ht="14.25" customHeight="1">
      <x:c r="AA619" s="3"/>
      <x:c r="AF619" s="3"/>
      <x:c r="AG619" s="3"/>
      <x:c r="AH619" s="3"/>
      <x:c r="AI619" s="3"/>
      <x:c r="AJ619" s="3"/>
      <x:c r="AK619" s="3"/>
      <x:c r="AL619" s="3"/>
      <x:c r="AM619" s="3"/>
      <x:c r="AT619" s="3"/>
      <x:c r="AU619" s="3"/>
      <x:c r="AV619" s="3"/>
      <x:c r="AW619" s="3"/>
      <x:c r="AX619" s="3"/>
      <x:c r="AY619" s="3"/>
      <x:c r="AZ619" s="3"/>
      <x:c r="BA619" s="3"/>
      <x:c r="BC619" s="3"/>
      <x:c r="BD619" s="3"/>
      <x:c r="BE619" s="3"/>
      <x:c r="BF619" s="3"/>
      <x:c r="BG619" s="3"/>
      <x:c r="BH619" s="13"/>
      <x:c r="BI619" s="13"/>
      <x:c r="BJ619" s="13"/>
      <x:c r="BK619" s="13"/>
      <x:c r="BL619" s="13"/>
      <x:c r="BM619" s="13"/>
      <x:c r="BN619" s="13"/>
      <x:c r="BO619" s="13"/>
      <x:c r="BP619" s="13"/>
      <x:c r="BQ619" s="13"/>
      <x:c r="BR619" s="13"/>
      <x:c r="BS619" s="13"/>
      <x:c r="BT619" s="13"/>
      <x:c r="BU619" s="13"/>
      <x:c r="BV619" s="13"/>
      <x:c r="BW619" s="13"/>
      <x:c r="BX619" s="13"/>
      <x:c r="BY619" s="13"/>
      <x:c r="BZ619" s="13"/>
      <x:c r="CA619" s="13"/>
      <x:c r="CB619" s="13"/>
      <x:c r="CC619" s="13"/>
      <x:c r="CD619" s="13"/>
      <x:c r="CE619" s="13"/>
      <x:c r="CF619" s="13"/>
      <x:c r="CG619" s="13"/>
    </x:row>
    <x:row r="620" ht="14.25" customHeight="1">
      <x:c r="AA620" s="3"/>
      <x:c r="AF620" s="3"/>
      <x:c r="AG620" s="3"/>
      <x:c r="AH620" s="3"/>
      <x:c r="AI620" s="3"/>
      <x:c r="AJ620" s="3"/>
      <x:c r="AK620" s="3"/>
      <x:c r="AL620" s="3"/>
      <x:c r="AM620" s="3"/>
      <x:c r="AT620" s="3"/>
      <x:c r="AU620" s="3"/>
      <x:c r="AV620" s="3"/>
      <x:c r="AW620" s="3"/>
      <x:c r="AX620" s="3"/>
      <x:c r="AY620" s="3"/>
      <x:c r="AZ620" s="3"/>
      <x:c r="BA620" s="3"/>
      <x:c r="BC620" s="3"/>
      <x:c r="BD620" s="3"/>
      <x:c r="BE620" s="3"/>
      <x:c r="BF620" s="3"/>
      <x:c r="BG620" s="3"/>
      <x:c r="BH620" s="13"/>
      <x:c r="BI620" s="13"/>
      <x:c r="BJ620" s="13"/>
      <x:c r="BK620" s="13"/>
      <x:c r="BL620" s="13"/>
      <x:c r="BM620" s="13"/>
      <x:c r="BN620" s="13"/>
      <x:c r="BO620" s="13"/>
      <x:c r="BP620" s="13"/>
      <x:c r="BQ620" s="13"/>
      <x:c r="BR620" s="13"/>
      <x:c r="BS620" s="13"/>
      <x:c r="BT620" s="13"/>
      <x:c r="BU620" s="13"/>
      <x:c r="BV620" s="13"/>
      <x:c r="BW620" s="13"/>
      <x:c r="BX620" s="13"/>
      <x:c r="BY620" s="13"/>
      <x:c r="BZ620" s="13"/>
      <x:c r="CA620" s="13"/>
      <x:c r="CB620" s="13"/>
      <x:c r="CC620" s="13"/>
      <x:c r="CD620" s="13"/>
      <x:c r="CE620" s="13"/>
      <x:c r="CF620" s="13"/>
      <x:c r="CG620" s="13"/>
    </x:row>
    <x:row r="621" ht="14.25" customHeight="1">
      <x:c r="AA621" s="3"/>
      <x:c r="AF621" s="3"/>
      <x:c r="AG621" s="3"/>
      <x:c r="AH621" s="3"/>
      <x:c r="AI621" s="3"/>
      <x:c r="AJ621" s="3"/>
      <x:c r="AK621" s="3"/>
      <x:c r="AL621" s="3"/>
      <x:c r="AM621" s="3"/>
      <x:c r="AT621" s="3"/>
      <x:c r="AU621" s="3"/>
      <x:c r="AV621" s="3"/>
      <x:c r="AW621" s="3"/>
      <x:c r="AX621" s="3"/>
      <x:c r="AY621" s="3"/>
      <x:c r="AZ621" s="3"/>
      <x:c r="BA621" s="3"/>
      <x:c r="BC621" s="3"/>
      <x:c r="BD621" s="3"/>
      <x:c r="BE621" s="3"/>
      <x:c r="BF621" s="3"/>
      <x:c r="BG621" s="3"/>
      <x:c r="BH621" s="13"/>
      <x:c r="BI621" s="13"/>
      <x:c r="BJ621" s="13"/>
      <x:c r="BK621" s="13"/>
      <x:c r="BL621" s="13"/>
      <x:c r="BM621" s="13"/>
      <x:c r="BN621" s="13"/>
      <x:c r="BO621" s="13"/>
      <x:c r="BP621" s="13"/>
      <x:c r="BQ621" s="13"/>
      <x:c r="BR621" s="13"/>
      <x:c r="BS621" s="13"/>
      <x:c r="BT621" s="13"/>
      <x:c r="BU621" s="13"/>
      <x:c r="BV621" s="13"/>
      <x:c r="BW621" s="13"/>
      <x:c r="BX621" s="13"/>
      <x:c r="BY621" s="13"/>
      <x:c r="BZ621" s="13"/>
      <x:c r="CA621" s="13"/>
      <x:c r="CB621" s="13"/>
      <x:c r="CC621" s="13"/>
      <x:c r="CD621" s="13"/>
      <x:c r="CE621" s="13"/>
      <x:c r="CF621" s="13"/>
      <x:c r="CG621" s="13"/>
    </x:row>
    <x:row r="622" ht="14.25" customHeight="1">
      <x:c r="AA622" s="3"/>
      <x:c r="AF622" s="3"/>
      <x:c r="AG622" s="3"/>
      <x:c r="AH622" s="3"/>
      <x:c r="AI622" s="3"/>
      <x:c r="AJ622" s="3"/>
      <x:c r="AK622" s="3"/>
      <x:c r="AL622" s="3"/>
      <x:c r="AM622" s="3"/>
      <x:c r="AT622" s="3"/>
      <x:c r="AU622" s="3"/>
      <x:c r="AV622" s="3"/>
      <x:c r="AW622" s="3"/>
      <x:c r="AX622" s="3"/>
      <x:c r="AY622" s="3"/>
      <x:c r="AZ622" s="3"/>
      <x:c r="BA622" s="3"/>
      <x:c r="BC622" s="3"/>
      <x:c r="BD622" s="3"/>
      <x:c r="BE622" s="3"/>
      <x:c r="BF622" s="3"/>
      <x:c r="BG622" s="3"/>
      <x:c r="BH622" s="13"/>
      <x:c r="BI622" s="13"/>
      <x:c r="BJ622" s="13"/>
      <x:c r="BK622" s="13"/>
      <x:c r="BL622" s="13"/>
      <x:c r="BM622" s="13"/>
      <x:c r="BN622" s="13"/>
      <x:c r="BO622" s="13"/>
      <x:c r="BP622" s="13"/>
      <x:c r="BQ622" s="13"/>
      <x:c r="BR622" s="13"/>
      <x:c r="BS622" s="13"/>
      <x:c r="BT622" s="13"/>
      <x:c r="BU622" s="13"/>
      <x:c r="BV622" s="13"/>
      <x:c r="BW622" s="13"/>
      <x:c r="BX622" s="13"/>
      <x:c r="BY622" s="13"/>
      <x:c r="BZ622" s="13"/>
      <x:c r="CA622" s="13"/>
      <x:c r="CB622" s="13"/>
      <x:c r="CC622" s="13"/>
      <x:c r="CD622" s="13"/>
      <x:c r="CE622" s="13"/>
      <x:c r="CF622" s="13"/>
      <x:c r="CG622" s="13"/>
    </x:row>
    <x:row r="623" ht="14.25" customHeight="1">
      <x:c r="AA623" s="3"/>
      <x:c r="AF623" s="3"/>
      <x:c r="AG623" s="3"/>
      <x:c r="AH623" s="3"/>
      <x:c r="AI623" s="3"/>
      <x:c r="AJ623" s="3"/>
      <x:c r="AK623" s="3"/>
      <x:c r="AL623" s="3"/>
      <x:c r="AM623" s="3"/>
      <x:c r="AT623" s="3"/>
      <x:c r="AU623" s="3"/>
      <x:c r="AV623" s="3"/>
      <x:c r="AW623" s="3"/>
      <x:c r="AX623" s="3"/>
      <x:c r="AY623" s="3"/>
      <x:c r="AZ623" s="3"/>
      <x:c r="BA623" s="3"/>
      <x:c r="BC623" s="3"/>
      <x:c r="BD623" s="3"/>
      <x:c r="BE623" s="3"/>
      <x:c r="BF623" s="3"/>
      <x:c r="BG623" s="3"/>
      <x:c r="BH623" s="13"/>
      <x:c r="BI623" s="13"/>
      <x:c r="BJ623" s="13"/>
      <x:c r="BK623" s="13"/>
      <x:c r="BL623" s="13"/>
      <x:c r="BM623" s="13"/>
      <x:c r="BN623" s="13"/>
      <x:c r="BO623" s="13"/>
      <x:c r="BP623" s="13"/>
      <x:c r="BQ623" s="13"/>
      <x:c r="BR623" s="13"/>
      <x:c r="BS623" s="13"/>
      <x:c r="BT623" s="13"/>
      <x:c r="BU623" s="13"/>
      <x:c r="BV623" s="13"/>
      <x:c r="BW623" s="13"/>
      <x:c r="BX623" s="13"/>
      <x:c r="BY623" s="13"/>
      <x:c r="BZ623" s="13"/>
      <x:c r="CA623" s="13"/>
      <x:c r="CB623" s="13"/>
      <x:c r="CC623" s="13"/>
      <x:c r="CD623" s="13"/>
      <x:c r="CE623" s="13"/>
      <x:c r="CF623" s="13"/>
      <x:c r="CG623" s="13"/>
    </x:row>
    <x:row r="624" ht="14.25" customHeight="1">
      <x:c r="AA624" s="3"/>
      <x:c r="AF624" s="3"/>
      <x:c r="AG624" s="3"/>
      <x:c r="AH624" s="3"/>
      <x:c r="AI624" s="3"/>
      <x:c r="AJ624" s="3"/>
      <x:c r="AK624" s="3"/>
      <x:c r="AL624" s="3"/>
      <x:c r="AM624" s="3"/>
      <x:c r="AT624" s="3"/>
      <x:c r="AU624" s="3"/>
      <x:c r="AV624" s="3"/>
      <x:c r="AW624" s="3"/>
      <x:c r="AX624" s="3"/>
      <x:c r="AY624" s="3"/>
      <x:c r="AZ624" s="3"/>
      <x:c r="BA624" s="3"/>
      <x:c r="BC624" s="3"/>
      <x:c r="BD624" s="3"/>
      <x:c r="BE624" s="3"/>
      <x:c r="BF624" s="3"/>
      <x:c r="BG624" s="3"/>
      <x:c r="BH624" s="13"/>
      <x:c r="BI624" s="13"/>
      <x:c r="BJ624" s="13"/>
      <x:c r="BK624" s="13"/>
      <x:c r="BL624" s="13"/>
      <x:c r="BM624" s="13"/>
      <x:c r="BN624" s="13"/>
      <x:c r="BO624" s="13"/>
      <x:c r="BP624" s="13"/>
      <x:c r="BQ624" s="13"/>
      <x:c r="BR624" s="13"/>
      <x:c r="BS624" s="13"/>
      <x:c r="BT624" s="13"/>
      <x:c r="BU624" s="13"/>
      <x:c r="BV624" s="13"/>
      <x:c r="BW624" s="13"/>
      <x:c r="BX624" s="13"/>
      <x:c r="BY624" s="13"/>
      <x:c r="BZ624" s="13"/>
      <x:c r="CA624" s="13"/>
      <x:c r="CB624" s="13"/>
      <x:c r="CC624" s="13"/>
      <x:c r="CD624" s="13"/>
      <x:c r="CE624" s="13"/>
      <x:c r="CF624" s="13"/>
      <x:c r="CG624" s="13"/>
    </x:row>
    <x:row r="625" ht="14.25" customHeight="1">
      <x:c r="AA625" s="3"/>
      <x:c r="AF625" s="3"/>
      <x:c r="AG625" s="3"/>
      <x:c r="AH625" s="3"/>
      <x:c r="AI625" s="3"/>
      <x:c r="AJ625" s="3"/>
      <x:c r="AK625" s="3"/>
      <x:c r="AL625" s="3"/>
      <x:c r="AM625" s="3"/>
      <x:c r="AT625" s="3"/>
      <x:c r="AU625" s="3"/>
      <x:c r="AV625" s="3"/>
      <x:c r="AW625" s="3"/>
      <x:c r="AX625" s="3"/>
      <x:c r="AY625" s="3"/>
      <x:c r="AZ625" s="3"/>
      <x:c r="BA625" s="3"/>
      <x:c r="BC625" s="3"/>
      <x:c r="BD625" s="3"/>
      <x:c r="BE625" s="3"/>
      <x:c r="BF625" s="3"/>
      <x:c r="BG625" s="3"/>
      <x:c r="BH625" s="13"/>
      <x:c r="BI625" s="13"/>
      <x:c r="BJ625" s="13"/>
      <x:c r="BK625" s="13"/>
      <x:c r="BL625" s="13"/>
      <x:c r="BM625" s="13"/>
      <x:c r="BN625" s="13"/>
      <x:c r="BO625" s="13"/>
      <x:c r="BP625" s="13"/>
      <x:c r="BQ625" s="13"/>
      <x:c r="BR625" s="13"/>
      <x:c r="BS625" s="13"/>
      <x:c r="BT625" s="13"/>
      <x:c r="BU625" s="13"/>
      <x:c r="BV625" s="13"/>
      <x:c r="BW625" s="13"/>
      <x:c r="BX625" s="13"/>
      <x:c r="BY625" s="13"/>
      <x:c r="BZ625" s="13"/>
      <x:c r="CA625" s="13"/>
      <x:c r="CB625" s="13"/>
      <x:c r="CC625" s="13"/>
      <x:c r="CD625" s="13"/>
      <x:c r="CE625" s="13"/>
      <x:c r="CF625" s="13"/>
      <x:c r="CG625" s="13"/>
    </x:row>
    <x:row r="626" ht="14.25" customHeight="1">
      <x:c r="AA626" s="3"/>
      <x:c r="AF626" s="3"/>
      <x:c r="AG626" s="3"/>
      <x:c r="AH626" s="3"/>
      <x:c r="AI626" s="3"/>
      <x:c r="AJ626" s="3"/>
      <x:c r="AK626" s="3"/>
      <x:c r="AL626" s="3"/>
      <x:c r="AM626" s="3"/>
      <x:c r="AT626" s="3"/>
      <x:c r="AU626" s="3"/>
      <x:c r="AV626" s="3"/>
      <x:c r="AW626" s="3"/>
      <x:c r="AX626" s="3"/>
      <x:c r="AY626" s="3"/>
      <x:c r="AZ626" s="3"/>
      <x:c r="BA626" s="3"/>
      <x:c r="BC626" s="3"/>
      <x:c r="BD626" s="3"/>
      <x:c r="BE626" s="3"/>
      <x:c r="BF626" s="3"/>
      <x:c r="BG626" s="3"/>
      <x:c r="BH626" s="13"/>
      <x:c r="BI626" s="13"/>
      <x:c r="BJ626" s="13"/>
      <x:c r="BK626" s="13"/>
      <x:c r="BL626" s="13"/>
      <x:c r="BM626" s="13"/>
      <x:c r="BN626" s="13"/>
      <x:c r="BO626" s="13"/>
      <x:c r="BP626" s="13"/>
      <x:c r="BQ626" s="13"/>
      <x:c r="BR626" s="13"/>
      <x:c r="BS626" s="13"/>
      <x:c r="BT626" s="13"/>
      <x:c r="BU626" s="13"/>
      <x:c r="BV626" s="13"/>
      <x:c r="BW626" s="13"/>
      <x:c r="BX626" s="13"/>
      <x:c r="BY626" s="13"/>
      <x:c r="BZ626" s="13"/>
      <x:c r="CA626" s="13"/>
      <x:c r="CB626" s="13"/>
      <x:c r="CC626" s="13"/>
      <x:c r="CD626" s="13"/>
      <x:c r="CE626" s="13"/>
      <x:c r="CF626" s="13"/>
      <x:c r="CG626" s="13"/>
    </x:row>
    <x:row r="627" ht="14.25" customHeight="1">
      <x:c r="AA627" s="3"/>
      <x:c r="AF627" s="3"/>
      <x:c r="AG627" s="3"/>
      <x:c r="AH627" s="3"/>
      <x:c r="AI627" s="3"/>
      <x:c r="AJ627" s="3"/>
      <x:c r="AK627" s="3"/>
      <x:c r="AL627" s="3"/>
      <x:c r="AM627" s="3"/>
      <x:c r="AT627" s="3"/>
      <x:c r="AU627" s="3"/>
      <x:c r="AV627" s="3"/>
      <x:c r="AW627" s="3"/>
      <x:c r="AX627" s="3"/>
      <x:c r="AY627" s="3"/>
      <x:c r="AZ627" s="3"/>
      <x:c r="BA627" s="3"/>
      <x:c r="BC627" s="3"/>
      <x:c r="BD627" s="3"/>
      <x:c r="BE627" s="3"/>
      <x:c r="BF627" s="3"/>
      <x:c r="BG627" s="3"/>
      <x:c r="BH627" s="13"/>
      <x:c r="BI627" s="13"/>
      <x:c r="BJ627" s="13"/>
      <x:c r="BK627" s="13"/>
      <x:c r="BL627" s="13"/>
      <x:c r="BM627" s="13"/>
      <x:c r="BN627" s="13"/>
      <x:c r="BO627" s="13"/>
      <x:c r="BP627" s="13"/>
      <x:c r="BQ627" s="13"/>
      <x:c r="BR627" s="13"/>
      <x:c r="BS627" s="13"/>
      <x:c r="BT627" s="13"/>
      <x:c r="BU627" s="13"/>
      <x:c r="BV627" s="13"/>
      <x:c r="BW627" s="13"/>
      <x:c r="BX627" s="13"/>
      <x:c r="BY627" s="13"/>
      <x:c r="BZ627" s="13"/>
      <x:c r="CA627" s="13"/>
      <x:c r="CB627" s="13"/>
      <x:c r="CC627" s="13"/>
      <x:c r="CD627" s="13"/>
      <x:c r="CE627" s="13"/>
      <x:c r="CF627" s="13"/>
      <x:c r="CG627" s="13"/>
    </x:row>
    <x:row r="628" ht="14.25" customHeight="1">
      <x:c r="AA628" s="3"/>
      <x:c r="AF628" s="3"/>
      <x:c r="AG628" s="3"/>
      <x:c r="AH628" s="3"/>
      <x:c r="AI628" s="3"/>
      <x:c r="AJ628" s="3"/>
      <x:c r="AK628" s="3"/>
      <x:c r="AL628" s="3"/>
      <x:c r="AM628" s="3"/>
      <x:c r="AT628" s="3"/>
      <x:c r="AU628" s="3"/>
      <x:c r="AV628" s="3"/>
      <x:c r="AW628" s="3"/>
      <x:c r="AX628" s="3"/>
      <x:c r="AY628" s="3"/>
      <x:c r="AZ628" s="3"/>
      <x:c r="BA628" s="3"/>
      <x:c r="BC628" s="3"/>
      <x:c r="BD628" s="3"/>
      <x:c r="BE628" s="3"/>
      <x:c r="BF628" s="3"/>
      <x:c r="BG628" s="3"/>
      <x:c r="BH628" s="13"/>
      <x:c r="BI628" s="13"/>
      <x:c r="BJ628" s="13"/>
      <x:c r="BK628" s="13"/>
      <x:c r="BL628" s="13"/>
      <x:c r="BM628" s="13"/>
      <x:c r="BN628" s="13"/>
      <x:c r="BO628" s="13"/>
      <x:c r="BP628" s="13"/>
      <x:c r="BQ628" s="13"/>
      <x:c r="BR628" s="13"/>
      <x:c r="BS628" s="13"/>
      <x:c r="BT628" s="13"/>
      <x:c r="BU628" s="13"/>
      <x:c r="BV628" s="13"/>
      <x:c r="BW628" s="13"/>
      <x:c r="BX628" s="13"/>
      <x:c r="BY628" s="13"/>
      <x:c r="BZ628" s="13"/>
      <x:c r="CA628" s="13"/>
      <x:c r="CB628" s="13"/>
      <x:c r="CC628" s="13"/>
      <x:c r="CD628" s="13"/>
      <x:c r="CE628" s="13"/>
      <x:c r="CF628" s="13"/>
      <x:c r="CG628" s="13"/>
    </x:row>
    <x:row r="629" ht="14.25" customHeight="1">
      <x:c r="AA629" s="3"/>
      <x:c r="AF629" s="3"/>
      <x:c r="AG629" s="3"/>
      <x:c r="AH629" s="3"/>
      <x:c r="AI629" s="3"/>
      <x:c r="AJ629" s="3"/>
      <x:c r="AK629" s="3"/>
      <x:c r="AL629" s="3"/>
      <x:c r="AM629" s="3"/>
      <x:c r="AT629" s="3"/>
      <x:c r="AU629" s="3"/>
      <x:c r="AV629" s="3"/>
      <x:c r="AW629" s="3"/>
      <x:c r="AX629" s="3"/>
      <x:c r="AY629" s="3"/>
      <x:c r="AZ629" s="3"/>
      <x:c r="BA629" s="3"/>
      <x:c r="BC629" s="3"/>
      <x:c r="BD629" s="3"/>
      <x:c r="BE629" s="3"/>
      <x:c r="BF629" s="3"/>
      <x:c r="BG629" s="3"/>
      <x:c r="BH629" s="13"/>
      <x:c r="BI629" s="13"/>
      <x:c r="BJ629" s="13"/>
      <x:c r="BK629" s="13"/>
      <x:c r="BL629" s="13"/>
      <x:c r="BM629" s="13"/>
      <x:c r="BN629" s="13"/>
      <x:c r="BO629" s="13"/>
      <x:c r="BP629" s="13"/>
      <x:c r="BQ629" s="13"/>
      <x:c r="BR629" s="13"/>
      <x:c r="BS629" s="13"/>
      <x:c r="BT629" s="13"/>
      <x:c r="BU629" s="13"/>
      <x:c r="BV629" s="13"/>
      <x:c r="BW629" s="13"/>
      <x:c r="BX629" s="13"/>
      <x:c r="BY629" s="13"/>
      <x:c r="BZ629" s="13"/>
      <x:c r="CA629" s="13"/>
      <x:c r="CB629" s="13"/>
      <x:c r="CC629" s="13"/>
      <x:c r="CD629" s="13"/>
      <x:c r="CE629" s="13"/>
      <x:c r="CF629" s="13"/>
      <x:c r="CG629" s="13"/>
    </x:row>
    <x:row r="630" ht="14.25" customHeight="1">
      <x:c r="AA630" s="3"/>
      <x:c r="AF630" s="3"/>
      <x:c r="AG630" s="3"/>
      <x:c r="AH630" s="3"/>
      <x:c r="AI630" s="3"/>
      <x:c r="AJ630" s="3"/>
      <x:c r="AK630" s="3"/>
      <x:c r="AL630" s="3"/>
      <x:c r="AM630" s="3"/>
      <x:c r="AT630" s="3"/>
      <x:c r="AU630" s="3"/>
      <x:c r="AV630" s="3"/>
      <x:c r="AW630" s="3"/>
      <x:c r="AX630" s="3"/>
      <x:c r="AY630" s="3"/>
      <x:c r="AZ630" s="3"/>
      <x:c r="BA630" s="3"/>
      <x:c r="BC630" s="3"/>
      <x:c r="BD630" s="3"/>
      <x:c r="BE630" s="3"/>
      <x:c r="BF630" s="3"/>
      <x:c r="BG630" s="3"/>
      <x:c r="BH630" s="13"/>
      <x:c r="BI630" s="13"/>
      <x:c r="BJ630" s="13"/>
      <x:c r="BK630" s="13"/>
      <x:c r="BL630" s="13"/>
      <x:c r="BM630" s="13"/>
      <x:c r="BN630" s="13"/>
      <x:c r="BO630" s="13"/>
      <x:c r="BP630" s="13"/>
      <x:c r="BQ630" s="13"/>
      <x:c r="BR630" s="13"/>
      <x:c r="BS630" s="13"/>
      <x:c r="BT630" s="13"/>
      <x:c r="BU630" s="13"/>
      <x:c r="BV630" s="13"/>
      <x:c r="BW630" s="13"/>
      <x:c r="BX630" s="13"/>
      <x:c r="BY630" s="13"/>
      <x:c r="BZ630" s="13"/>
      <x:c r="CA630" s="13"/>
      <x:c r="CB630" s="13"/>
      <x:c r="CC630" s="13"/>
      <x:c r="CD630" s="13"/>
      <x:c r="CE630" s="13"/>
      <x:c r="CF630" s="13"/>
      <x:c r="CG630" s="13"/>
    </x:row>
    <x:row r="631" ht="14.25" customHeight="1">
      <x:c r="AA631" s="3"/>
      <x:c r="AF631" s="3"/>
      <x:c r="AG631" s="3"/>
      <x:c r="AH631" s="3"/>
      <x:c r="AI631" s="3"/>
      <x:c r="AJ631" s="3"/>
      <x:c r="AK631" s="3"/>
      <x:c r="AL631" s="3"/>
      <x:c r="AM631" s="3"/>
      <x:c r="AT631" s="3"/>
      <x:c r="AU631" s="3"/>
      <x:c r="AV631" s="3"/>
      <x:c r="AW631" s="3"/>
      <x:c r="AX631" s="3"/>
      <x:c r="AY631" s="3"/>
      <x:c r="AZ631" s="3"/>
      <x:c r="BA631" s="3"/>
      <x:c r="BC631" s="3"/>
      <x:c r="BD631" s="3"/>
      <x:c r="BE631" s="3"/>
      <x:c r="BF631" s="3"/>
      <x:c r="BG631" s="3"/>
      <x:c r="BH631" s="13"/>
      <x:c r="BI631" s="13"/>
      <x:c r="BJ631" s="13"/>
      <x:c r="BK631" s="13"/>
      <x:c r="BL631" s="13"/>
      <x:c r="BM631" s="13"/>
      <x:c r="BN631" s="13"/>
      <x:c r="BO631" s="13"/>
      <x:c r="BP631" s="13"/>
      <x:c r="BQ631" s="13"/>
      <x:c r="BR631" s="13"/>
      <x:c r="BS631" s="13"/>
      <x:c r="BT631" s="13"/>
      <x:c r="BU631" s="13"/>
      <x:c r="BV631" s="13"/>
      <x:c r="BW631" s="13"/>
      <x:c r="BX631" s="13"/>
      <x:c r="BY631" s="13"/>
      <x:c r="BZ631" s="13"/>
      <x:c r="CA631" s="13"/>
      <x:c r="CB631" s="13"/>
      <x:c r="CC631" s="13"/>
      <x:c r="CD631" s="13"/>
      <x:c r="CE631" s="13"/>
      <x:c r="CF631" s="13"/>
      <x:c r="CG631" s="13"/>
    </x:row>
    <x:row r="632" ht="14.25" customHeight="1">
      <x:c r="AA632" s="3"/>
      <x:c r="AF632" s="3"/>
      <x:c r="AG632" s="3"/>
      <x:c r="AH632" s="3"/>
      <x:c r="AI632" s="3"/>
      <x:c r="AJ632" s="3"/>
      <x:c r="AK632" s="3"/>
      <x:c r="AL632" s="3"/>
      <x:c r="AM632" s="3"/>
      <x:c r="AT632" s="3"/>
      <x:c r="AU632" s="3"/>
      <x:c r="AV632" s="3"/>
      <x:c r="AW632" s="3"/>
      <x:c r="AX632" s="3"/>
      <x:c r="AY632" s="3"/>
      <x:c r="AZ632" s="3"/>
      <x:c r="BA632" s="3"/>
      <x:c r="BC632" s="3"/>
      <x:c r="BD632" s="3"/>
      <x:c r="BE632" s="3"/>
      <x:c r="BF632" s="3"/>
      <x:c r="BG632" s="3"/>
      <x:c r="BH632" s="13"/>
      <x:c r="BI632" s="13"/>
      <x:c r="BJ632" s="13"/>
      <x:c r="BK632" s="13"/>
      <x:c r="BL632" s="13"/>
      <x:c r="BM632" s="13"/>
      <x:c r="BN632" s="13"/>
      <x:c r="BO632" s="13"/>
      <x:c r="BP632" s="13"/>
      <x:c r="BQ632" s="13"/>
      <x:c r="BR632" s="13"/>
      <x:c r="BS632" s="13"/>
      <x:c r="BT632" s="13"/>
      <x:c r="BU632" s="13"/>
      <x:c r="BV632" s="13"/>
      <x:c r="BW632" s="13"/>
      <x:c r="BX632" s="13"/>
      <x:c r="BY632" s="13"/>
      <x:c r="BZ632" s="13"/>
      <x:c r="CA632" s="13"/>
      <x:c r="CB632" s="13"/>
      <x:c r="CC632" s="13"/>
      <x:c r="CD632" s="13"/>
      <x:c r="CE632" s="13"/>
      <x:c r="CF632" s="13"/>
      <x:c r="CG632" s="13"/>
    </x:row>
    <x:row r="633" ht="14.25" customHeight="1">
      <x:c r="AA633" s="3"/>
      <x:c r="AF633" s="3"/>
      <x:c r="AG633" s="3"/>
      <x:c r="AH633" s="3"/>
      <x:c r="AI633" s="3"/>
      <x:c r="AJ633" s="3"/>
      <x:c r="AK633" s="3"/>
      <x:c r="AL633" s="3"/>
      <x:c r="AM633" s="3"/>
      <x:c r="AT633" s="3"/>
      <x:c r="AU633" s="3"/>
      <x:c r="AV633" s="3"/>
      <x:c r="AW633" s="3"/>
      <x:c r="AX633" s="3"/>
      <x:c r="AY633" s="3"/>
      <x:c r="AZ633" s="3"/>
      <x:c r="BA633" s="3"/>
      <x:c r="BC633" s="3"/>
      <x:c r="BD633" s="3"/>
      <x:c r="BE633" s="3"/>
      <x:c r="BF633" s="3"/>
      <x:c r="BG633" s="3"/>
      <x:c r="BH633" s="13"/>
      <x:c r="BI633" s="13"/>
      <x:c r="BJ633" s="13"/>
      <x:c r="BK633" s="13"/>
      <x:c r="BL633" s="13"/>
      <x:c r="BM633" s="13"/>
      <x:c r="BN633" s="13"/>
      <x:c r="BO633" s="13"/>
      <x:c r="BP633" s="13"/>
      <x:c r="BQ633" s="13"/>
      <x:c r="BR633" s="13"/>
      <x:c r="BS633" s="13"/>
      <x:c r="BT633" s="13"/>
      <x:c r="BU633" s="13"/>
      <x:c r="BV633" s="13"/>
      <x:c r="BW633" s="13"/>
      <x:c r="BX633" s="13"/>
      <x:c r="BY633" s="13"/>
      <x:c r="BZ633" s="13"/>
      <x:c r="CA633" s="13"/>
      <x:c r="CB633" s="13"/>
      <x:c r="CC633" s="13"/>
      <x:c r="CD633" s="13"/>
      <x:c r="CE633" s="13"/>
      <x:c r="CF633" s="13"/>
      <x:c r="CG633" s="13"/>
    </x:row>
    <x:row r="634" ht="14.25" customHeight="1">
      <x:c r="AA634" s="3"/>
      <x:c r="AF634" s="3"/>
      <x:c r="AG634" s="3"/>
      <x:c r="AH634" s="3"/>
      <x:c r="AI634" s="3"/>
      <x:c r="AJ634" s="3"/>
      <x:c r="AK634" s="3"/>
      <x:c r="AL634" s="3"/>
      <x:c r="AM634" s="3"/>
      <x:c r="AT634" s="3"/>
      <x:c r="AU634" s="3"/>
      <x:c r="AV634" s="3"/>
      <x:c r="AW634" s="3"/>
      <x:c r="AX634" s="3"/>
      <x:c r="AY634" s="3"/>
      <x:c r="AZ634" s="3"/>
      <x:c r="BA634" s="3"/>
      <x:c r="BC634" s="3"/>
      <x:c r="BD634" s="3"/>
      <x:c r="BE634" s="3"/>
      <x:c r="BF634" s="3"/>
      <x:c r="BG634" s="3"/>
      <x:c r="BH634" s="13"/>
      <x:c r="BI634" s="13"/>
      <x:c r="BJ634" s="13"/>
      <x:c r="BK634" s="13"/>
      <x:c r="BL634" s="13"/>
      <x:c r="BM634" s="13"/>
      <x:c r="BN634" s="13"/>
      <x:c r="BO634" s="13"/>
      <x:c r="BP634" s="13"/>
      <x:c r="BQ634" s="13"/>
      <x:c r="BR634" s="13"/>
      <x:c r="BS634" s="13"/>
      <x:c r="BT634" s="13"/>
      <x:c r="BU634" s="13"/>
      <x:c r="BV634" s="13"/>
      <x:c r="BW634" s="13"/>
      <x:c r="BX634" s="13"/>
      <x:c r="BY634" s="13"/>
      <x:c r="BZ634" s="13"/>
      <x:c r="CA634" s="13"/>
      <x:c r="CB634" s="13"/>
      <x:c r="CC634" s="13"/>
      <x:c r="CD634" s="13"/>
      <x:c r="CE634" s="13"/>
      <x:c r="CF634" s="13"/>
      <x:c r="CG634" s="13"/>
    </x:row>
    <x:row r="635" ht="14.25" customHeight="1">
      <x:c r="AA635" s="3"/>
      <x:c r="AF635" s="3"/>
      <x:c r="AG635" s="3"/>
      <x:c r="AH635" s="3"/>
      <x:c r="AI635" s="3"/>
      <x:c r="AJ635" s="3"/>
      <x:c r="AK635" s="3"/>
      <x:c r="AL635" s="3"/>
      <x:c r="AM635" s="3"/>
      <x:c r="AT635" s="3"/>
      <x:c r="AU635" s="3"/>
      <x:c r="AV635" s="3"/>
      <x:c r="AW635" s="3"/>
      <x:c r="AX635" s="3"/>
      <x:c r="AY635" s="3"/>
      <x:c r="AZ635" s="3"/>
      <x:c r="BA635" s="3"/>
      <x:c r="BC635" s="3"/>
      <x:c r="BD635" s="3"/>
      <x:c r="BE635" s="3"/>
      <x:c r="BF635" s="3"/>
      <x:c r="BG635" s="3"/>
      <x:c r="BH635" s="13"/>
      <x:c r="BI635" s="13"/>
      <x:c r="BJ635" s="13"/>
      <x:c r="BK635" s="13"/>
      <x:c r="BL635" s="13"/>
      <x:c r="BM635" s="13"/>
      <x:c r="BN635" s="13"/>
      <x:c r="BO635" s="13"/>
      <x:c r="BP635" s="13"/>
      <x:c r="BQ635" s="13"/>
      <x:c r="BR635" s="13"/>
      <x:c r="BS635" s="13"/>
      <x:c r="BT635" s="13"/>
      <x:c r="BU635" s="13"/>
      <x:c r="BV635" s="13"/>
      <x:c r="BW635" s="13"/>
      <x:c r="BX635" s="13"/>
      <x:c r="BY635" s="13"/>
      <x:c r="BZ635" s="13"/>
      <x:c r="CA635" s="13"/>
      <x:c r="CB635" s="13"/>
      <x:c r="CC635" s="13"/>
      <x:c r="CD635" s="13"/>
      <x:c r="CE635" s="13"/>
      <x:c r="CF635" s="13"/>
      <x:c r="CG635" s="13"/>
    </x:row>
    <x:row r="636" ht="14.25" customHeight="1">
      <x:c r="AA636" s="3"/>
      <x:c r="AF636" s="3"/>
      <x:c r="AG636" s="3"/>
      <x:c r="AH636" s="3"/>
      <x:c r="AI636" s="3"/>
      <x:c r="AJ636" s="3"/>
      <x:c r="AK636" s="3"/>
      <x:c r="AL636" s="3"/>
      <x:c r="AM636" s="3"/>
      <x:c r="AT636" s="3"/>
      <x:c r="AU636" s="3"/>
      <x:c r="AV636" s="3"/>
      <x:c r="AW636" s="3"/>
      <x:c r="AX636" s="3"/>
      <x:c r="AY636" s="3"/>
      <x:c r="AZ636" s="3"/>
      <x:c r="BA636" s="3"/>
      <x:c r="BC636" s="3"/>
      <x:c r="BD636" s="3"/>
      <x:c r="BE636" s="3"/>
      <x:c r="BF636" s="3"/>
      <x:c r="BG636" s="3"/>
      <x:c r="BH636" s="13"/>
      <x:c r="BI636" s="13"/>
      <x:c r="BJ636" s="13"/>
      <x:c r="BK636" s="13"/>
      <x:c r="BL636" s="13"/>
      <x:c r="BM636" s="13"/>
      <x:c r="BN636" s="13"/>
      <x:c r="BO636" s="13"/>
      <x:c r="BP636" s="13"/>
      <x:c r="BQ636" s="13"/>
      <x:c r="BR636" s="13"/>
      <x:c r="BS636" s="13"/>
      <x:c r="BT636" s="13"/>
      <x:c r="BU636" s="13"/>
      <x:c r="BV636" s="13"/>
      <x:c r="BW636" s="13"/>
      <x:c r="BX636" s="13"/>
      <x:c r="BY636" s="13"/>
      <x:c r="BZ636" s="13"/>
      <x:c r="CA636" s="13"/>
      <x:c r="CB636" s="13"/>
      <x:c r="CC636" s="13"/>
      <x:c r="CD636" s="13"/>
      <x:c r="CE636" s="13"/>
      <x:c r="CF636" s="13"/>
      <x:c r="CG636" s="13"/>
    </x:row>
    <x:row r="637" ht="14.25" customHeight="1">
      <x:c r="AA637" s="3"/>
      <x:c r="AF637" s="3"/>
      <x:c r="AG637" s="3"/>
      <x:c r="AH637" s="3"/>
      <x:c r="AI637" s="3"/>
      <x:c r="AJ637" s="3"/>
      <x:c r="AK637" s="3"/>
      <x:c r="AL637" s="3"/>
      <x:c r="AM637" s="3"/>
      <x:c r="AT637" s="3"/>
      <x:c r="AU637" s="3"/>
      <x:c r="AV637" s="3"/>
      <x:c r="AW637" s="3"/>
      <x:c r="AX637" s="3"/>
      <x:c r="AY637" s="3"/>
      <x:c r="AZ637" s="3"/>
      <x:c r="BA637" s="3"/>
      <x:c r="BC637" s="3"/>
      <x:c r="BD637" s="3"/>
      <x:c r="BE637" s="3"/>
      <x:c r="BF637" s="3"/>
      <x:c r="BG637" s="3"/>
      <x:c r="BH637" s="13"/>
      <x:c r="BI637" s="13"/>
      <x:c r="BJ637" s="13"/>
      <x:c r="BK637" s="13"/>
      <x:c r="BL637" s="13"/>
      <x:c r="BM637" s="13"/>
      <x:c r="BN637" s="13"/>
      <x:c r="BO637" s="13"/>
      <x:c r="BP637" s="13"/>
      <x:c r="BQ637" s="13"/>
      <x:c r="BR637" s="13"/>
      <x:c r="BS637" s="13"/>
      <x:c r="BT637" s="13"/>
      <x:c r="BU637" s="13"/>
      <x:c r="BV637" s="13"/>
      <x:c r="BW637" s="13"/>
      <x:c r="BX637" s="13"/>
      <x:c r="BY637" s="13"/>
      <x:c r="BZ637" s="13"/>
      <x:c r="CA637" s="13"/>
      <x:c r="CB637" s="13"/>
      <x:c r="CC637" s="13"/>
      <x:c r="CD637" s="13"/>
      <x:c r="CE637" s="13"/>
      <x:c r="CF637" s="13"/>
      <x:c r="CG637" s="13"/>
    </x:row>
    <x:row r="638" ht="14.25" customHeight="1">
      <x:c r="AA638" s="3"/>
      <x:c r="AF638" s="3"/>
      <x:c r="AG638" s="3"/>
      <x:c r="AH638" s="3"/>
      <x:c r="AI638" s="3"/>
      <x:c r="AJ638" s="3"/>
      <x:c r="AK638" s="3"/>
      <x:c r="AL638" s="3"/>
      <x:c r="AM638" s="3"/>
      <x:c r="AT638" s="3"/>
      <x:c r="AU638" s="3"/>
      <x:c r="AV638" s="3"/>
      <x:c r="AW638" s="3"/>
      <x:c r="AX638" s="3"/>
      <x:c r="AY638" s="3"/>
      <x:c r="AZ638" s="3"/>
      <x:c r="BA638" s="3"/>
      <x:c r="BC638" s="3"/>
      <x:c r="BD638" s="3"/>
      <x:c r="BE638" s="3"/>
      <x:c r="BF638" s="3"/>
      <x:c r="BG638" s="3"/>
      <x:c r="BH638" s="13"/>
      <x:c r="BI638" s="13"/>
      <x:c r="BJ638" s="13"/>
      <x:c r="BK638" s="13"/>
      <x:c r="BL638" s="13"/>
      <x:c r="BM638" s="13"/>
      <x:c r="BN638" s="13"/>
      <x:c r="BO638" s="13"/>
      <x:c r="BP638" s="13"/>
      <x:c r="BQ638" s="13"/>
      <x:c r="BR638" s="13"/>
      <x:c r="BS638" s="13"/>
      <x:c r="BT638" s="13"/>
      <x:c r="BU638" s="13"/>
      <x:c r="BV638" s="13"/>
      <x:c r="BW638" s="13"/>
      <x:c r="BX638" s="13"/>
      <x:c r="BY638" s="13"/>
      <x:c r="BZ638" s="13"/>
      <x:c r="CA638" s="13"/>
      <x:c r="CB638" s="13"/>
      <x:c r="CC638" s="13"/>
      <x:c r="CD638" s="13"/>
      <x:c r="CE638" s="13"/>
      <x:c r="CF638" s="13"/>
      <x:c r="CG638" s="13"/>
    </x:row>
    <x:row r="639" ht="14.25" customHeight="1">
      <x:c r="AA639" s="3"/>
      <x:c r="AF639" s="3"/>
      <x:c r="AG639" s="3"/>
      <x:c r="AH639" s="3"/>
      <x:c r="AI639" s="3"/>
      <x:c r="AJ639" s="3"/>
      <x:c r="AK639" s="3"/>
      <x:c r="AL639" s="3"/>
      <x:c r="AM639" s="3"/>
      <x:c r="AT639" s="3"/>
      <x:c r="AU639" s="3"/>
      <x:c r="AV639" s="3"/>
      <x:c r="AW639" s="3"/>
      <x:c r="AX639" s="3"/>
      <x:c r="AY639" s="3"/>
      <x:c r="AZ639" s="3"/>
      <x:c r="BA639" s="3"/>
      <x:c r="BC639" s="3"/>
      <x:c r="BD639" s="3"/>
      <x:c r="BE639" s="3"/>
      <x:c r="BF639" s="3"/>
      <x:c r="BG639" s="3"/>
      <x:c r="BH639" s="13"/>
      <x:c r="BI639" s="13"/>
      <x:c r="BJ639" s="13"/>
      <x:c r="BK639" s="13"/>
      <x:c r="BL639" s="13"/>
      <x:c r="BM639" s="13"/>
      <x:c r="BN639" s="13"/>
      <x:c r="BO639" s="13"/>
      <x:c r="BP639" s="13"/>
      <x:c r="BQ639" s="13"/>
      <x:c r="BR639" s="13"/>
      <x:c r="BS639" s="13"/>
      <x:c r="BT639" s="13"/>
      <x:c r="BU639" s="13"/>
      <x:c r="BV639" s="13"/>
      <x:c r="BW639" s="13"/>
      <x:c r="BX639" s="13"/>
      <x:c r="BY639" s="13"/>
      <x:c r="BZ639" s="13"/>
      <x:c r="CA639" s="13"/>
      <x:c r="CB639" s="13"/>
      <x:c r="CC639" s="13"/>
      <x:c r="CD639" s="13"/>
      <x:c r="CE639" s="13"/>
      <x:c r="CF639" s="13"/>
      <x:c r="CG639" s="13"/>
    </x:row>
    <x:row r="640" ht="14.25" customHeight="1">
      <x:c r="AA640" s="3"/>
      <x:c r="AF640" s="3"/>
      <x:c r="AG640" s="3"/>
      <x:c r="AH640" s="3"/>
      <x:c r="AI640" s="3"/>
      <x:c r="AJ640" s="3"/>
      <x:c r="AK640" s="3"/>
      <x:c r="AL640" s="3"/>
      <x:c r="AM640" s="3"/>
      <x:c r="AT640" s="3"/>
      <x:c r="AU640" s="3"/>
      <x:c r="AV640" s="3"/>
      <x:c r="AW640" s="3"/>
      <x:c r="AX640" s="3"/>
      <x:c r="AY640" s="3"/>
      <x:c r="AZ640" s="3"/>
      <x:c r="BA640" s="3"/>
      <x:c r="BC640" s="3"/>
      <x:c r="BD640" s="3"/>
      <x:c r="BE640" s="3"/>
      <x:c r="BF640" s="3"/>
      <x:c r="BG640" s="3"/>
      <x:c r="BH640" s="13"/>
      <x:c r="BI640" s="13"/>
      <x:c r="BJ640" s="13"/>
      <x:c r="BK640" s="13"/>
      <x:c r="BL640" s="13"/>
      <x:c r="BM640" s="13"/>
      <x:c r="BN640" s="13"/>
      <x:c r="BO640" s="13"/>
      <x:c r="BP640" s="13"/>
      <x:c r="BQ640" s="13"/>
      <x:c r="BR640" s="13"/>
      <x:c r="BS640" s="13"/>
      <x:c r="BT640" s="13"/>
      <x:c r="BU640" s="13"/>
      <x:c r="BV640" s="13"/>
      <x:c r="BW640" s="13"/>
      <x:c r="BX640" s="13"/>
      <x:c r="BY640" s="13"/>
      <x:c r="BZ640" s="13"/>
      <x:c r="CA640" s="13"/>
      <x:c r="CB640" s="13"/>
      <x:c r="CC640" s="13"/>
      <x:c r="CD640" s="13"/>
      <x:c r="CE640" s="13"/>
      <x:c r="CF640" s="13"/>
      <x:c r="CG640" s="13"/>
    </x:row>
    <x:row r="641" ht="14.25" customHeight="1">
      <x:c r="AA641" s="3"/>
      <x:c r="AF641" s="3"/>
      <x:c r="AG641" s="3"/>
      <x:c r="AH641" s="3"/>
      <x:c r="AI641" s="3"/>
      <x:c r="AJ641" s="3"/>
      <x:c r="AK641" s="3"/>
      <x:c r="AL641" s="3"/>
      <x:c r="AM641" s="3"/>
      <x:c r="AT641" s="3"/>
      <x:c r="AU641" s="3"/>
      <x:c r="AV641" s="3"/>
      <x:c r="AW641" s="3"/>
      <x:c r="AX641" s="3"/>
      <x:c r="AY641" s="3"/>
      <x:c r="AZ641" s="3"/>
      <x:c r="BA641" s="3"/>
      <x:c r="BC641" s="3"/>
      <x:c r="BD641" s="3"/>
      <x:c r="BE641" s="3"/>
      <x:c r="BF641" s="3"/>
      <x:c r="BG641" s="3"/>
      <x:c r="BH641" s="13"/>
      <x:c r="BI641" s="13"/>
      <x:c r="BJ641" s="13"/>
      <x:c r="BK641" s="13"/>
      <x:c r="BL641" s="13"/>
      <x:c r="BM641" s="13"/>
      <x:c r="BN641" s="13"/>
      <x:c r="BO641" s="13"/>
      <x:c r="BP641" s="13"/>
      <x:c r="BQ641" s="13"/>
      <x:c r="BR641" s="13"/>
      <x:c r="BS641" s="13"/>
      <x:c r="BT641" s="13"/>
      <x:c r="BU641" s="13"/>
      <x:c r="BV641" s="13"/>
      <x:c r="BW641" s="13"/>
      <x:c r="BX641" s="13"/>
      <x:c r="BY641" s="13"/>
      <x:c r="BZ641" s="13"/>
      <x:c r="CA641" s="13"/>
      <x:c r="CB641" s="13"/>
      <x:c r="CC641" s="13"/>
      <x:c r="CD641" s="13"/>
      <x:c r="CE641" s="13"/>
      <x:c r="CF641" s="13"/>
      <x:c r="CG641" s="13"/>
    </x:row>
    <x:row r="642" ht="14.25" customHeight="1">
      <x:c r="AA642" s="3"/>
      <x:c r="AF642" s="3"/>
      <x:c r="AG642" s="3"/>
      <x:c r="AH642" s="3"/>
      <x:c r="AI642" s="3"/>
      <x:c r="AJ642" s="3"/>
      <x:c r="AK642" s="3"/>
      <x:c r="AL642" s="3"/>
      <x:c r="AM642" s="3"/>
      <x:c r="AT642" s="3"/>
      <x:c r="AU642" s="3"/>
      <x:c r="AV642" s="3"/>
      <x:c r="AW642" s="3"/>
      <x:c r="AX642" s="3"/>
      <x:c r="AY642" s="3"/>
      <x:c r="AZ642" s="3"/>
      <x:c r="BA642" s="3"/>
      <x:c r="BC642" s="3"/>
      <x:c r="BD642" s="3"/>
      <x:c r="BE642" s="3"/>
      <x:c r="BF642" s="3"/>
      <x:c r="BG642" s="3"/>
      <x:c r="BH642" s="13"/>
      <x:c r="BI642" s="13"/>
      <x:c r="BJ642" s="13"/>
      <x:c r="BK642" s="13"/>
      <x:c r="BL642" s="13"/>
      <x:c r="BM642" s="13"/>
      <x:c r="BN642" s="13"/>
      <x:c r="BO642" s="13"/>
      <x:c r="BP642" s="13"/>
      <x:c r="BQ642" s="13"/>
      <x:c r="BR642" s="13"/>
      <x:c r="BS642" s="13"/>
      <x:c r="BT642" s="13"/>
      <x:c r="BU642" s="13"/>
      <x:c r="BV642" s="13"/>
      <x:c r="BW642" s="13"/>
      <x:c r="BX642" s="13"/>
      <x:c r="BY642" s="13"/>
      <x:c r="BZ642" s="13"/>
      <x:c r="CA642" s="13"/>
      <x:c r="CB642" s="13"/>
      <x:c r="CC642" s="13"/>
      <x:c r="CD642" s="13"/>
      <x:c r="CE642" s="13"/>
      <x:c r="CF642" s="13"/>
      <x:c r="CG642" s="13"/>
    </x:row>
    <x:row r="643" ht="14.25" customHeight="1">
      <x:c r="AA643" s="3"/>
      <x:c r="AF643" s="3"/>
      <x:c r="AG643" s="3"/>
      <x:c r="AH643" s="3"/>
      <x:c r="AI643" s="3"/>
      <x:c r="AJ643" s="3"/>
      <x:c r="AK643" s="3"/>
      <x:c r="AL643" s="3"/>
      <x:c r="AM643" s="3"/>
      <x:c r="AT643" s="3"/>
      <x:c r="AU643" s="3"/>
      <x:c r="AV643" s="3"/>
      <x:c r="AW643" s="3"/>
      <x:c r="AX643" s="3"/>
      <x:c r="AY643" s="3"/>
      <x:c r="AZ643" s="3"/>
      <x:c r="BA643" s="3"/>
      <x:c r="BC643" s="3"/>
      <x:c r="BD643" s="3"/>
      <x:c r="BE643" s="3"/>
      <x:c r="BF643" s="3"/>
      <x:c r="BG643" s="3"/>
      <x:c r="BH643" s="13"/>
      <x:c r="BI643" s="13"/>
      <x:c r="BJ643" s="13"/>
      <x:c r="BK643" s="13"/>
      <x:c r="BL643" s="13"/>
      <x:c r="BM643" s="13"/>
      <x:c r="BN643" s="13"/>
      <x:c r="BO643" s="13"/>
      <x:c r="BP643" s="13"/>
      <x:c r="BQ643" s="13"/>
      <x:c r="BR643" s="13"/>
      <x:c r="BS643" s="13"/>
      <x:c r="BT643" s="13"/>
      <x:c r="BU643" s="13"/>
      <x:c r="BV643" s="13"/>
      <x:c r="BW643" s="13"/>
      <x:c r="BX643" s="13"/>
      <x:c r="BY643" s="13"/>
      <x:c r="BZ643" s="13"/>
      <x:c r="CA643" s="13"/>
      <x:c r="CB643" s="13"/>
      <x:c r="CC643" s="13"/>
      <x:c r="CD643" s="13"/>
      <x:c r="CE643" s="13"/>
      <x:c r="CF643" s="13"/>
      <x:c r="CG643" s="13"/>
    </x:row>
    <x:row r="644" ht="14.25" customHeight="1">
      <x:c r="AA644" s="3"/>
      <x:c r="AF644" s="3"/>
      <x:c r="AG644" s="3"/>
      <x:c r="AH644" s="3"/>
      <x:c r="AI644" s="3"/>
      <x:c r="AJ644" s="3"/>
      <x:c r="AK644" s="3"/>
      <x:c r="AL644" s="3"/>
      <x:c r="AM644" s="3"/>
      <x:c r="AT644" s="3"/>
      <x:c r="AU644" s="3"/>
      <x:c r="AV644" s="3"/>
      <x:c r="AW644" s="3"/>
      <x:c r="AX644" s="3"/>
      <x:c r="AY644" s="3"/>
      <x:c r="AZ644" s="3"/>
      <x:c r="BA644" s="3"/>
      <x:c r="BC644" s="3"/>
      <x:c r="BD644" s="3"/>
      <x:c r="BE644" s="3"/>
      <x:c r="BF644" s="3"/>
      <x:c r="BG644" s="3"/>
      <x:c r="BH644" s="13"/>
      <x:c r="BI644" s="13"/>
      <x:c r="BJ644" s="13"/>
      <x:c r="BK644" s="13"/>
      <x:c r="BL644" s="13"/>
      <x:c r="BM644" s="13"/>
      <x:c r="BN644" s="13"/>
      <x:c r="BO644" s="13"/>
      <x:c r="BP644" s="13"/>
      <x:c r="BQ644" s="13"/>
      <x:c r="BR644" s="13"/>
      <x:c r="BS644" s="13"/>
      <x:c r="BT644" s="13"/>
      <x:c r="BU644" s="13"/>
      <x:c r="BV644" s="13"/>
      <x:c r="BW644" s="13"/>
      <x:c r="BX644" s="13"/>
      <x:c r="BY644" s="13"/>
      <x:c r="BZ644" s="13"/>
      <x:c r="CA644" s="13"/>
      <x:c r="CB644" s="13"/>
      <x:c r="CC644" s="13"/>
      <x:c r="CD644" s="13"/>
      <x:c r="CE644" s="13"/>
      <x:c r="CF644" s="13"/>
      <x:c r="CG644" s="13"/>
    </x:row>
    <x:row r="645" ht="14.25" customHeight="1">
      <x:c r="AA645" s="3"/>
      <x:c r="AF645" s="3"/>
      <x:c r="AG645" s="3"/>
      <x:c r="AH645" s="3"/>
      <x:c r="AI645" s="3"/>
      <x:c r="AJ645" s="3"/>
      <x:c r="AK645" s="3"/>
      <x:c r="AL645" s="3"/>
      <x:c r="AM645" s="3"/>
      <x:c r="AT645" s="3"/>
      <x:c r="AU645" s="3"/>
      <x:c r="AV645" s="3"/>
      <x:c r="AW645" s="3"/>
      <x:c r="AX645" s="3"/>
      <x:c r="AY645" s="3"/>
      <x:c r="AZ645" s="3"/>
      <x:c r="BA645" s="3"/>
      <x:c r="BC645" s="3"/>
      <x:c r="BD645" s="3"/>
      <x:c r="BE645" s="3"/>
      <x:c r="BF645" s="3"/>
      <x:c r="BG645" s="3"/>
      <x:c r="BH645" s="13"/>
      <x:c r="BI645" s="13"/>
      <x:c r="BJ645" s="13"/>
      <x:c r="BK645" s="13"/>
      <x:c r="BL645" s="13"/>
      <x:c r="BM645" s="13"/>
      <x:c r="BN645" s="13"/>
      <x:c r="BO645" s="13"/>
      <x:c r="BP645" s="13"/>
      <x:c r="BQ645" s="13"/>
      <x:c r="BR645" s="13"/>
      <x:c r="BS645" s="13"/>
      <x:c r="BT645" s="13"/>
      <x:c r="BU645" s="13"/>
      <x:c r="BV645" s="13"/>
      <x:c r="BW645" s="13"/>
      <x:c r="BX645" s="13"/>
      <x:c r="BY645" s="13"/>
      <x:c r="BZ645" s="13"/>
      <x:c r="CA645" s="13"/>
      <x:c r="CB645" s="13"/>
      <x:c r="CC645" s="13"/>
      <x:c r="CD645" s="13"/>
      <x:c r="CE645" s="13"/>
      <x:c r="CF645" s="13"/>
      <x:c r="CG645" s="13"/>
    </x:row>
    <x:row r="646" ht="14.25" customHeight="1">
      <x:c r="AA646" s="3"/>
      <x:c r="AF646" s="3"/>
      <x:c r="AG646" s="3"/>
      <x:c r="AH646" s="3"/>
      <x:c r="AI646" s="3"/>
      <x:c r="AJ646" s="3"/>
      <x:c r="AK646" s="3"/>
      <x:c r="AL646" s="3"/>
      <x:c r="AM646" s="3"/>
      <x:c r="AT646" s="3"/>
      <x:c r="AU646" s="3"/>
      <x:c r="AV646" s="3"/>
      <x:c r="AW646" s="3"/>
      <x:c r="AX646" s="3"/>
      <x:c r="AY646" s="3"/>
      <x:c r="AZ646" s="3"/>
      <x:c r="BA646" s="3"/>
      <x:c r="BC646" s="3"/>
      <x:c r="BD646" s="3"/>
      <x:c r="BE646" s="3"/>
      <x:c r="BF646" s="3"/>
      <x:c r="BG646" s="3"/>
      <x:c r="BH646" s="13"/>
      <x:c r="BI646" s="13"/>
      <x:c r="BJ646" s="13"/>
      <x:c r="BK646" s="13"/>
      <x:c r="BL646" s="13"/>
      <x:c r="BM646" s="13"/>
      <x:c r="BN646" s="13"/>
      <x:c r="BO646" s="13"/>
      <x:c r="BP646" s="13"/>
      <x:c r="BQ646" s="13"/>
      <x:c r="BR646" s="13"/>
      <x:c r="BS646" s="13"/>
      <x:c r="BT646" s="13"/>
      <x:c r="BU646" s="13"/>
      <x:c r="BV646" s="13"/>
      <x:c r="BW646" s="13"/>
      <x:c r="BX646" s="13"/>
      <x:c r="BY646" s="13"/>
      <x:c r="BZ646" s="13"/>
      <x:c r="CA646" s="13"/>
      <x:c r="CB646" s="13"/>
      <x:c r="CC646" s="13"/>
      <x:c r="CD646" s="13"/>
      <x:c r="CE646" s="13"/>
      <x:c r="CF646" s="13"/>
      <x:c r="CG646" s="13"/>
    </x:row>
    <x:row r="647" ht="14.25" customHeight="1">
      <x:c r="AA647" s="3"/>
      <x:c r="AF647" s="3"/>
      <x:c r="AG647" s="3"/>
      <x:c r="AH647" s="3"/>
      <x:c r="AI647" s="3"/>
      <x:c r="AJ647" s="3"/>
      <x:c r="AK647" s="3"/>
      <x:c r="AL647" s="3"/>
      <x:c r="AM647" s="3"/>
      <x:c r="AT647" s="3"/>
      <x:c r="AU647" s="3"/>
      <x:c r="AV647" s="3"/>
      <x:c r="AW647" s="3"/>
      <x:c r="AX647" s="3"/>
      <x:c r="AY647" s="3"/>
      <x:c r="AZ647" s="3"/>
      <x:c r="BA647" s="3"/>
      <x:c r="BC647" s="3"/>
      <x:c r="BD647" s="3"/>
      <x:c r="BE647" s="3"/>
      <x:c r="BF647" s="3"/>
      <x:c r="BG647" s="3"/>
      <x:c r="BH647" s="13"/>
      <x:c r="BI647" s="13"/>
      <x:c r="BJ647" s="13"/>
      <x:c r="BK647" s="13"/>
      <x:c r="BL647" s="13"/>
      <x:c r="BM647" s="13"/>
      <x:c r="BN647" s="13"/>
      <x:c r="BO647" s="13"/>
      <x:c r="BP647" s="13"/>
      <x:c r="BQ647" s="13"/>
      <x:c r="BR647" s="13"/>
      <x:c r="BS647" s="13"/>
      <x:c r="BT647" s="13"/>
      <x:c r="BU647" s="13"/>
      <x:c r="BV647" s="13"/>
      <x:c r="BW647" s="13"/>
      <x:c r="BX647" s="13"/>
      <x:c r="BY647" s="13"/>
      <x:c r="BZ647" s="13"/>
      <x:c r="CA647" s="13"/>
      <x:c r="CB647" s="13"/>
      <x:c r="CC647" s="13"/>
      <x:c r="CD647" s="13"/>
      <x:c r="CE647" s="13"/>
      <x:c r="CF647" s="13"/>
      <x:c r="CG647" s="13"/>
    </x:row>
    <x:row r="648" ht="14.25" customHeight="1">
      <x:c r="AA648" s="3"/>
      <x:c r="AF648" s="3"/>
      <x:c r="AG648" s="3"/>
      <x:c r="AH648" s="3"/>
      <x:c r="AI648" s="3"/>
      <x:c r="AJ648" s="3"/>
      <x:c r="AK648" s="3"/>
      <x:c r="AL648" s="3"/>
      <x:c r="AM648" s="3"/>
      <x:c r="AT648" s="3"/>
      <x:c r="AU648" s="3"/>
      <x:c r="AV648" s="3"/>
      <x:c r="AW648" s="3"/>
      <x:c r="AX648" s="3"/>
      <x:c r="AY648" s="3"/>
      <x:c r="AZ648" s="3"/>
      <x:c r="BA648" s="3"/>
      <x:c r="BC648" s="3"/>
      <x:c r="BD648" s="3"/>
      <x:c r="BE648" s="3"/>
      <x:c r="BF648" s="3"/>
      <x:c r="BG648" s="3"/>
      <x:c r="BH648" s="13"/>
      <x:c r="BI648" s="13"/>
      <x:c r="BJ648" s="13"/>
      <x:c r="BK648" s="13"/>
      <x:c r="BL648" s="13"/>
      <x:c r="BM648" s="13"/>
      <x:c r="BN648" s="13"/>
      <x:c r="BO648" s="13"/>
      <x:c r="BP648" s="13"/>
      <x:c r="BQ648" s="13"/>
      <x:c r="BR648" s="13"/>
      <x:c r="BS648" s="13"/>
      <x:c r="BT648" s="13"/>
      <x:c r="BU648" s="13"/>
      <x:c r="BV648" s="13"/>
      <x:c r="BW648" s="13"/>
      <x:c r="BX648" s="13"/>
      <x:c r="BY648" s="13"/>
      <x:c r="BZ648" s="13"/>
      <x:c r="CA648" s="13"/>
      <x:c r="CB648" s="13"/>
      <x:c r="CC648" s="13"/>
      <x:c r="CD648" s="13"/>
      <x:c r="CE648" s="13"/>
      <x:c r="CF648" s="13"/>
      <x:c r="CG648" s="13"/>
    </x:row>
    <x:row r="649" ht="14.25" customHeight="1">
      <x:c r="AA649" s="3"/>
      <x:c r="AF649" s="3"/>
      <x:c r="AG649" s="3"/>
      <x:c r="AH649" s="3"/>
      <x:c r="AI649" s="3"/>
      <x:c r="AJ649" s="3"/>
      <x:c r="AK649" s="3"/>
      <x:c r="AL649" s="3"/>
      <x:c r="AM649" s="3"/>
      <x:c r="AT649" s="3"/>
      <x:c r="AU649" s="3"/>
      <x:c r="AV649" s="3"/>
      <x:c r="AW649" s="3"/>
      <x:c r="AX649" s="3"/>
      <x:c r="AY649" s="3"/>
      <x:c r="AZ649" s="3"/>
      <x:c r="BA649" s="3"/>
      <x:c r="BC649" s="3"/>
      <x:c r="BD649" s="3"/>
      <x:c r="BE649" s="3"/>
      <x:c r="BF649" s="3"/>
      <x:c r="BG649" s="3"/>
      <x:c r="BH649" s="13"/>
      <x:c r="BI649" s="13"/>
      <x:c r="BJ649" s="13"/>
      <x:c r="BK649" s="13"/>
      <x:c r="BL649" s="13"/>
      <x:c r="BM649" s="13"/>
      <x:c r="BN649" s="13"/>
      <x:c r="BO649" s="13"/>
      <x:c r="BP649" s="13"/>
      <x:c r="BQ649" s="13"/>
      <x:c r="BR649" s="13"/>
      <x:c r="BS649" s="13"/>
      <x:c r="BT649" s="13"/>
      <x:c r="BU649" s="13"/>
      <x:c r="BV649" s="13"/>
      <x:c r="BW649" s="13"/>
      <x:c r="BX649" s="13"/>
      <x:c r="BY649" s="13"/>
      <x:c r="BZ649" s="13"/>
      <x:c r="CA649" s="13"/>
      <x:c r="CB649" s="13"/>
      <x:c r="CC649" s="13"/>
      <x:c r="CD649" s="13"/>
      <x:c r="CE649" s="13"/>
      <x:c r="CF649" s="13"/>
      <x:c r="CG649" s="13"/>
    </x:row>
    <x:row r="650" ht="14.25" customHeight="1">
      <x:c r="AA650" s="3"/>
      <x:c r="AF650" s="3"/>
      <x:c r="AG650" s="3"/>
      <x:c r="AH650" s="3"/>
      <x:c r="AI650" s="3"/>
      <x:c r="AJ650" s="3"/>
      <x:c r="AK650" s="3"/>
      <x:c r="AL650" s="3"/>
      <x:c r="AM650" s="3"/>
      <x:c r="AT650" s="3"/>
      <x:c r="AU650" s="3"/>
      <x:c r="AV650" s="3"/>
      <x:c r="AW650" s="3"/>
      <x:c r="AX650" s="3"/>
      <x:c r="AY650" s="3"/>
      <x:c r="AZ650" s="3"/>
      <x:c r="BA650" s="3"/>
      <x:c r="BC650" s="3"/>
      <x:c r="BD650" s="3"/>
      <x:c r="BE650" s="3"/>
      <x:c r="BF650" s="3"/>
      <x:c r="BG650" s="3"/>
      <x:c r="BH650" s="13"/>
      <x:c r="BI650" s="13"/>
      <x:c r="BJ650" s="13"/>
      <x:c r="BK650" s="13"/>
      <x:c r="BL650" s="13"/>
      <x:c r="BM650" s="13"/>
      <x:c r="BN650" s="13"/>
      <x:c r="BO650" s="13"/>
      <x:c r="BP650" s="13"/>
      <x:c r="BQ650" s="13"/>
      <x:c r="BR650" s="13"/>
      <x:c r="BS650" s="13"/>
      <x:c r="BT650" s="13"/>
      <x:c r="BU650" s="13"/>
      <x:c r="BV650" s="13"/>
      <x:c r="BW650" s="13"/>
      <x:c r="BX650" s="13"/>
      <x:c r="BY650" s="13"/>
      <x:c r="BZ650" s="13"/>
      <x:c r="CA650" s="13"/>
      <x:c r="CB650" s="13"/>
      <x:c r="CC650" s="13"/>
      <x:c r="CD650" s="13"/>
      <x:c r="CE650" s="13"/>
      <x:c r="CF650" s="13"/>
      <x:c r="CG650" s="13"/>
    </x:row>
    <x:row r="651" ht="14.25" customHeight="1">
      <x:c r="AA651" s="3"/>
      <x:c r="AF651" s="3"/>
      <x:c r="AG651" s="3"/>
      <x:c r="AH651" s="3"/>
      <x:c r="AI651" s="3"/>
      <x:c r="AJ651" s="3"/>
      <x:c r="AK651" s="3"/>
      <x:c r="AL651" s="3"/>
      <x:c r="AM651" s="3"/>
      <x:c r="AT651" s="3"/>
      <x:c r="AU651" s="3"/>
      <x:c r="AV651" s="3"/>
      <x:c r="AW651" s="3"/>
      <x:c r="AX651" s="3"/>
      <x:c r="AY651" s="3"/>
      <x:c r="AZ651" s="3"/>
      <x:c r="BA651" s="3"/>
      <x:c r="BC651" s="3"/>
      <x:c r="BD651" s="3"/>
      <x:c r="BE651" s="3"/>
      <x:c r="BF651" s="3"/>
      <x:c r="BG651" s="3"/>
      <x:c r="BH651" s="13"/>
      <x:c r="BI651" s="13"/>
      <x:c r="BJ651" s="13"/>
      <x:c r="BK651" s="13"/>
      <x:c r="BL651" s="13"/>
      <x:c r="BM651" s="13"/>
      <x:c r="BN651" s="13"/>
      <x:c r="BO651" s="13"/>
      <x:c r="BP651" s="13"/>
      <x:c r="BQ651" s="13"/>
      <x:c r="BR651" s="13"/>
      <x:c r="BS651" s="13"/>
      <x:c r="BT651" s="13"/>
      <x:c r="BU651" s="13"/>
      <x:c r="BV651" s="13"/>
      <x:c r="BW651" s="13"/>
      <x:c r="BX651" s="13"/>
      <x:c r="BY651" s="13"/>
      <x:c r="BZ651" s="13"/>
      <x:c r="CA651" s="13"/>
      <x:c r="CB651" s="13"/>
      <x:c r="CC651" s="13"/>
      <x:c r="CD651" s="13"/>
      <x:c r="CE651" s="13"/>
      <x:c r="CF651" s="13"/>
      <x:c r="CG651" s="13"/>
    </x:row>
    <x:row r="652" ht="14.25" customHeight="1">
      <x:c r="AA652" s="3"/>
      <x:c r="AF652" s="3"/>
      <x:c r="AG652" s="3"/>
      <x:c r="AH652" s="3"/>
      <x:c r="AI652" s="3"/>
      <x:c r="AJ652" s="3"/>
      <x:c r="AK652" s="3"/>
      <x:c r="AL652" s="3"/>
      <x:c r="AM652" s="3"/>
      <x:c r="AT652" s="3"/>
      <x:c r="AU652" s="3"/>
      <x:c r="AV652" s="3"/>
      <x:c r="AW652" s="3"/>
      <x:c r="AX652" s="3"/>
      <x:c r="AY652" s="3"/>
      <x:c r="AZ652" s="3"/>
      <x:c r="BA652" s="3"/>
      <x:c r="BC652" s="3"/>
      <x:c r="BD652" s="3"/>
      <x:c r="BE652" s="3"/>
      <x:c r="BF652" s="3"/>
      <x:c r="BG652" s="3"/>
      <x:c r="BH652" s="13"/>
      <x:c r="BI652" s="13"/>
      <x:c r="BJ652" s="13"/>
      <x:c r="BK652" s="13"/>
      <x:c r="BL652" s="13"/>
      <x:c r="BM652" s="13"/>
      <x:c r="BN652" s="13"/>
      <x:c r="BO652" s="13"/>
      <x:c r="BP652" s="13"/>
      <x:c r="BQ652" s="13"/>
      <x:c r="BR652" s="13"/>
      <x:c r="BS652" s="13"/>
      <x:c r="BT652" s="13"/>
      <x:c r="BU652" s="13"/>
      <x:c r="BV652" s="13"/>
      <x:c r="BW652" s="13"/>
      <x:c r="BX652" s="13"/>
      <x:c r="BY652" s="13"/>
      <x:c r="BZ652" s="13"/>
      <x:c r="CA652" s="13"/>
      <x:c r="CB652" s="13"/>
      <x:c r="CC652" s="13"/>
      <x:c r="CD652" s="13"/>
      <x:c r="CE652" s="13"/>
      <x:c r="CF652" s="13"/>
      <x:c r="CG652" s="13"/>
    </x:row>
    <x:row r="653" ht="14.25" customHeight="1">
      <x:c r="AA653" s="3"/>
      <x:c r="AF653" s="3"/>
      <x:c r="AG653" s="3"/>
      <x:c r="AH653" s="3"/>
      <x:c r="AI653" s="3"/>
      <x:c r="AJ653" s="3"/>
      <x:c r="AK653" s="3"/>
      <x:c r="AL653" s="3"/>
      <x:c r="AM653" s="3"/>
      <x:c r="AT653" s="3"/>
      <x:c r="AU653" s="3"/>
      <x:c r="AV653" s="3"/>
      <x:c r="AW653" s="3"/>
      <x:c r="AX653" s="3"/>
      <x:c r="AY653" s="3"/>
      <x:c r="AZ653" s="3"/>
      <x:c r="BA653" s="3"/>
      <x:c r="BC653" s="3"/>
      <x:c r="BD653" s="3"/>
      <x:c r="BE653" s="3"/>
      <x:c r="BF653" s="3"/>
      <x:c r="BG653" s="3"/>
      <x:c r="BH653" s="13"/>
      <x:c r="BI653" s="13"/>
      <x:c r="BJ653" s="13"/>
      <x:c r="BK653" s="13"/>
      <x:c r="BL653" s="13"/>
      <x:c r="BM653" s="13"/>
      <x:c r="BN653" s="13"/>
      <x:c r="BO653" s="13"/>
      <x:c r="BP653" s="13"/>
      <x:c r="BQ653" s="13"/>
      <x:c r="BR653" s="13"/>
      <x:c r="BS653" s="13"/>
      <x:c r="BT653" s="13"/>
      <x:c r="BU653" s="13"/>
      <x:c r="BV653" s="13"/>
      <x:c r="BW653" s="13"/>
      <x:c r="BX653" s="13"/>
      <x:c r="BY653" s="13"/>
      <x:c r="BZ653" s="13"/>
      <x:c r="CA653" s="13"/>
      <x:c r="CB653" s="13"/>
      <x:c r="CC653" s="13"/>
      <x:c r="CD653" s="13"/>
      <x:c r="CE653" s="13"/>
      <x:c r="CF653" s="13"/>
      <x:c r="CG653" s="13"/>
    </x:row>
    <x:row r="654" ht="14.25" customHeight="1">
      <x:c r="AA654" s="3"/>
      <x:c r="AF654" s="3"/>
      <x:c r="AG654" s="3"/>
      <x:c r="AH654" s="3"/>
      <x:c r="AI654" s="3"/>
      <x:c r="AJ654" s="3"/>
      <x:c r="AK654" s="3"/>
      <x:c r="AL654" s="3"/>
      <x:c r="AM654" s="3"/>
      <x:c r="AT654" s="3"/>
      <x:c r="AU654" s="3"/>
      <x:c r="AV654" s="3"/>
      <x:c r="AW654" s="3"/>
      <x:c r="AX654" s="3"/>
      <x:c r="AY654" s="3"/>
      <x:c r="AZ654" s="3"/>
      <x:c r="BA654" s="3"/>
      <x:c r="BC654" s="3"/>
      <x:c r="BD654" s="3"/>
      <x:c r="BE654" s="3"/>
      <x:c r="BF654" s="3"/>
      <x:c r="BG654" s="3"/>
      <x:c r="BH654" s="13"/>
      <x:c r="BI654" s="13"/>
      <x:c r="BJ654" s="13"/>
      <x:c r="BK654" s="13"/>
      <x:c r="BL654" s="13"/>
      <x:c r="BM654" s="13"/>
      <x:c r="BN654" s="13"/>
      <x:c r="BO654" s="13"/>
      <x:c r="BP654" s="13"/>
      <x:c r="BQ654" s="13"/>
      <x:c r="BR654" s="13"/>
      <x:c r="BS654" s="13"/>
      <x:c r="BT654" s="13"/>
      <x:c r="BU654" s="13"/>
      <x:c r="BV654" s="13"/>
      <x:c r="BW654" s="13"/>
      <x:c r="BX654" s="13"/>
      <x:c r="BY654" s="13"/>
      <x:c r="BZ654" s="13"/>
      <x:c r="CA654" s="13"/>
      <x:c r="CB654" s="13"/>
      <x:c r="CC654" s="13"/>
      <x:c r="CD654" s="13"/>
      <x:c r="CE654" s="13"/>
      <x:c r="CF654" s="13"/>
      <x:c r="CG654" s="13"/>
    </x:row>
    <x:row r="655" ht="14.25" customHeight="1">
      <x:c r="AA655" s="3"/>
      <x:c r="AF655" s="3"/>
      <x:c r="AG655" s="3"/>
      <x:c r="AH655" s="3"/>
      <x:c r="AI655" s="3"/>
      <x:c r="AJ655" s="3"/>
      <x:c r="AK655" s="3"/>
      <x:c r="AL655" s="3"/>
      <x:c r="AM655" s="3"/>
      <x:c r="AT655" s="3"/>
      <x:c r="AU655" s="3"/>
      <x:c r="AV655" s="3"/>
      <x:c r="AW655" s="3"/>
      <x:c r="AX655" s="3"/>
      <x:c r="AY655" s="3"/>
      <x:c r="AZ655" s="3"/>
      <x:c r="BA655" s="3"/>
      <x:c r="BC655" s="3"/>
      <x:c r="BD655" s="3"/>
      <x:c r="BE655" s="3"/>
      <x:c r="BF655" s="3"/>
      <x:c r="BG655" s="3"/>
      <x:c r="BH655" s="13"/>
      <x:c r="BI655" s="13"/>
      <x:c r="BJ655" s="13"/>
      <x:c r="BK655" s="13"/>
      <x:c r="BL655" s="13"/>
      <x:c r="BM655" s="13"/>
      <x:c r="BN655" s="13"/>
      <x:c r="BO655" s="13"/>
      <x:c r="BP655" s="13"/>
      <x:c r="BQ655" s="13"/>
      <x:c r="BR655" s="13"/>
      <x:c r="BS655" s="13"/>
      <x:c r="BT655" s="13"/>
      <x:c r="BU655" s="13"/>
      <x:c r="BV655" s="13"/>
      <x:c r="BW655" s="13"/>
      <x:c r="BX655" s="13"/>
      <x:c r="BY655" s="13"/>
      <x:c r="BZ655" s="13"/>
      <x:c r="CA655" s="13"/>
      <x:c r="CB655" s="13"/>
      <x:c r="CC655" s="13"/>
      <x:c r="CD655" s="13"/>
      <x:c r="CE655" s="13"/>
      <x:c r="CF655" s="13"/>
      <x:c r="CG655" s="13"/>
    </x:row>
    <x:row r="656" ht="14.25" customHeight="1">
      <x:c r="AA656" s="3"/>
      <x:c r="AF656" s="3"/>
      <x:c r="AG656" s="3"/>
      <x:c r="AH656" s="3"/>
      <x:c r="AI656" s="3"/>
      <x:c r="AJ656" s="3"/>
      <x:c r="AK656" s="3"/>
      <x:c r="AL656" s="3"/>
      <x:c r="AM656" s="3"/>
      <x:c r="AT656" s="3"/>
      <x:c r="AU656" s="3"/>
      <x:c r="AV656" s="3"/>
      <x:c r="AW656" s="3"/>
      <x:c r="AX656" s="3"/>
      <x:c r="AY656" s="3"/>
      <x:c r="AZ656" s="3"/>
      <x:c r="BA656" s="3"/>
      <x:c r="BC656" s="3"/>
      <x:c r="BD656" s="3"/>
      <x:c r="BE656" s="3"/>
      <x:c r="BF656" s="3"/>
      <x:c r="BG656" s="3"/>
      <x:c r="BH656" s="13"/>
      <x:c r="BI656" s="13"/>
      <x:c r="BJ656" s="13"/>
      <x:c r="BK656" s="13"/>
      <x:c r="BL656" s="13"/>
      <x:c r="BM656" s="13"/>
      <x:c r="BN656" s="13"/>
      <x:c r="BO656" s="13"/>
      <x:c r="BP656" s="13"/>
      <x:c r="BQ656" s="13"/>
      <x:c r="BR656" s="13"/>
      <x:c r="BS656" s="13"/>
      <x:c r="BT656" s="13"/>
      <x:c r="BU656" s="13"/>
      <x:c r="BV656" s="13"/>
      <x:c r="BW656" s="13"/>
      <x:c r="BX656" s="13"/>
      <x:c r="BY656" s="13"/>
      <x:c r="BZ656" s="13"/>
      <x:c r="CA656" s="13"/>
      <x:c r="CB656" s="13"/>
      <x:c r="CC656" s="13"/>
      <x:c r="CD656" s="13"/>
      <x:c r="CE656" s="13"/>
      <x:c r="CF656" s="13"/>
      <x:c r="CG656" s="13"/>
    </x:row>
    <x:row r="657" ht="14.25" customHeight="1">
      <x:c r="AA657" s="3"/>
      <x:c r="AF657" s="3"/>
      <x:c r="AG657" s="3"/>
      <x:c r="AH657" s="3"/>
      <x:c r="AI657" s="3"/>
      <x:c r="AJ657" s="3"/>
      <x:c r="AK657" s="3"/>
      <x:c r="AL657" s="3"/>
      <x:c r="AM657" s="3"/>
      <x:c r="AT657" s="3"/>
      <x:c r="AU657" s="3"/>
      <x:c r="AV657" s="3"/>
      <x:c r="AW657" s="3"/>
      <x:c r="AX657" s="3"/>
      <x:c r="AY657" s="3"/>
      <x:c r="AZ657" s="3"/>
      <x:c r="BA657" s="3"/>
      <x:c r="BC657" s="3"/>
      <x:c r="BD657" s="3"/>
      <x:c r="BE657" s="3"/>
      <x:c r="BF657" s="3"/>
      <x:c r="BG657" s="3"/>
      <x:c r="BH657" s="13"/>
      <x:c r="BI657" s="13"/>
      <x:c r="BJ657" s="13"/>
      <x:c r="BK657" s="13"/>
      <x:c r="BL657" s="13"/>
      <x:c r="BM657" s="13"/>
      <x:c r="BN657" s="13"/>
      <x:c r="BO657" s="13"/>
      <x:c r="BP657" s="13"/>
      <x:c r="BQ657" s="13"/>
      <x:c r="BR657" s="13"/>
      <x:c r="BS657" s="13"/>
      <x:c r="BT657" s="13"/>
      <x:c r="BU657" s="13"/>
      <x:c r="BV657" s="13"/>
      <x:c r="BW657" s="13"/>
      <x:c r="BX657" s="13"/>
      <x:c r="BY657" s="13"/>
      <x:c r="BZ657" s="13"/>
      <x:c r="CA657" s="13"/>
      <x:c r="CB657" s="13"/>
      <x:c r="CC657" s="13"/>
      <x:c r="CD657" s="13"/>
      <x:c r="CE657" s="13"/>
      <x:c r="CF657" s="13"/>
      <x:c r="CG657" s="13"/>
    </x:row>
    <x:row r="658" ht="14.25" customHeight="1">
      <x:c r="AA658" s="3"/>
      <x:c r="AF658" s="3"/>
      <x:c r="AG658" s="3"/>
      <x:c r="AH658" s="3"/>
      <x:c r="AI658" s="3"/>
      <x:c r="AJ658" s="3"/>
      <x:c r="AK658" s="3"/>
      <x:c r="AL658" s="3"/>
      <x:c r="AM658" s="3"/>
      <x:c r="AT658" s="3"/>
      <x:c r="AU658" s="3"/>
      <x:c r="AV658" s="3"/>
      <x:c r="AW658" s="3"/>
      <x:c r="AX658" s="3"/>
      <x:c r="AY658" s="3"/>
      <x:c r="AZ658" s="3"/>
      <x:c r="BA658" s="3"/>
      <x:c r="BC658" s="3"/>
      <x:c r="BD658" s="3"/>
      <x:c r="BE658" s="3"/>
      <x:c r="BF658" s="3"/>
      <x:c r="BG658" s="3"/>
      <x:c r="BH658" s="13"/>
      <x:c r="BI658" s="13"/>
      <x:c r="BJ658" s="13"/>
      <x:c r="BK658" s="13"/>
      <x:c r="BL658" s="13"/>
      <x:c r="BM658" s="13"/>
      <x:c r="BN658" s="13"/>
      <x:c r="BO658" s="13"/>
      <x:c r="BP658" s="13"/>
      <x:c r="BQ658" s="13"/>
      <x:c r="BR658" s="13"/>
      <x:c r="BS658" s="13"/>
      <x:c r="BT658" s="13"/>
      <x:c r="BU658" s="13"/>
      <x:c r="BV658" s="13"/>
      <x:c r="BW658" s="13"/>
      <x:c r="BX658" s="13"/>
      <x:c r="BY658" s="13"/>
      <x:c r="BZ658" s="13"/>
      <x:c r="CA658" s="13"/>
      <x:c r="CB658" s="13"/>
      <x:c r="CC658" s="13"/>
      <x:c r="CD658" s="13"/>
      <x:c r="CE658" s="13"/>
      <x:c r="CF658" s="13"/>
      <x:c r="CG658" s="13"/>
    </x:row>
    <x:row r="659" ht="14.25" customHeight="1">
      <x:c r="AA659" s="3"/>
      <x:c r="AF659" s="3"/>
      <x:c r="AG659" s="3"/>
      <x:c r="AH659" s="3"/>
      <x:c r="AI659" s="3"/>
      <x:c r="AJ659" s="3"/>
      <x:c r="AK659" s="3"/>
      <x:c r="AL659" s="3"/>
      <x:c r="AM659" s="3"/>
      <x:c r="AT659" s="3"/>
      <x:c r="AU659" s="3"/>
      <x:c r="AV659" s="3"/>
      <x:c r="AW659" s="3"/>
      <x:c r="AX659" s="3"/>
      <x:c r="AY659" s="3"/>
      <x:c r="AZ659" s="3"/>
      <x:c r="BA659" s="3"/>
      <x:c r="BC659" s="3"/>
      <x:c r="BD659" s="3"/>
      <x:c r="BE659" s="3"/>
      <x:c r="BF659" s="3"/>
      <x:c r="BG659" s="3"/>
      <x:c r="BH659" s="13"/>
      <x:c r="BI659" s="13"/>
      <x:c r="BJ659" s="13"/>
      <x:c r="BK659" s="13"/>
      <x:c r="BL659" s="13"/>
      <x:c r="BM659" s="13"/>
      <x:c r="BN659" s="13"/>
      <x:c r="BO659" s="13"/>
      <x:c r="BP659" s="13"/>
      <x:c r="BQ659" s="13"/>
      <x:c r="BR659" s="13"/>
      <x:c r="BS659" s="13"/>
      <x:c r="BT659" s="13"/>
      <x:c r="BU659" s="13"/>
      <x:c r="BV659" s="13"/>
      <x:c r="BW659" s="13"/>
      <x:c r="BX659" s="13"/>
      <x:c r="BY659" s="13"/>
      <x:c r="BZ659" s="13"/>
      <x:c r="CA659" s="13"/>
      <x:c r="CB659" s="13"/>
      <x:c r="CC659" s="13"/>
      <x:c r="CD659" s="13"/>
      <x:c r="CE659" s="13"/>
      <x:c r="CF659" s="13"/>
      <x:c r="CG659" s="13"/>
    </x:row>
    <x:row r="660" ht="14.25" customHeight="1">
      <x:c r="AA660" s="3"/>
      <x:c r="AF660" s="3"/>
      <x:c r="AG660" s="3"/>
      <x:c r="AH660" s="3"/>
      <x:c r="AI660" s="3"/>
      <x:c r="AJ660" s="3"/>
      <x:c r="AK660" s="3"/>
      <x:c r="AL660" s="3"/>
      <x:c r="AM660" s="3"/>
      <x:c r="AT660" s="3"/>
      <x:c r="AU660" s="3"/>
      <x:c r="AV660" s="3"/>
      <x:c r="AW660" s="3"/>
      <x:c r="AX660" s="3"/>
      <x:c r="AY660" s="3"/>
      <x:c r="AZ660" s="3"/>
      <x:c r="BA660" s="3"/>
      <x:c r="BC660" s="3"/>
      <x:c r="BD660" s="3"/>
      <x:c r="BE660" s="3"/>
      <x:c r="BF660" s="3"/>
      <x:c r="BG660" s="3"/>
      <x:c r="BH660" s="13"/>
      <x:c r="BI660" s="13"/>
      <x:c r="BJ660" s="13"/>
      <x:c r="BK660" s="13"/>
      <x:c r="BL660" s="13"/>
      <x:c r="BM660" s="13"/>
      <x:c r="BN660" s="13"/>
      <x:c r="BO660" s="13"/>
      <x:c r="BP660" s="13"/>
      <x:c r="BQ660" s="13"/>
      <x:c r="BR660" s="13"/>
      <x:c r="BS660" s="13"/>
      <x:c r="BT660" s="13"/>
      <x:c r="BU660" s="13"/>
      <x:c r="BV660" s="13"/>
      <x:c r="BW660" s="13"/>
      <x:c r="BX660" s="13"/>
      <x:c r="BY660" s="13"/>
      <x:c r="BZ660" s="13"/>
      <x:c r="CA660" s="13"/>
      <x:c r="CB660" s="13"/>
      <x:c r="CC660" s="13"/>
      <x:c r="CD660" s="13"/>
      <x:c r="CE660" s="13"/>
      <x:c r="CF660" s="13"/>
      <x:c r="CG660" s="13"/>
    </x:row>
    <x:row r="661" ht="14.25" customHeight="1">
      <x:c r="AA661" s="3"/>
      <x:c r="AF661" s="3"/>
      <x:c r="AG661" s="3"/>
      <x:c r="AH661" s="3"/>
      <x:c r="AI661" s="3"/>
      <x:c r="AJ661" s="3"/>
      <x:c r="AK661" s="3"/>
      <x:c r="AL661" s="3"/>
      <x:c r="AM661" s="3"/>
      <x:c r="AT661" s="3"/>
      <x:c r="AU661" s="3"/>
      <x:c r="AV661" s="3"/>
      <x:c r="AW661" s="3"/>
      <x:c r="AX661" s="3"/>
      <x:c r="AY661" s="3"/>
      <x:c r="AZ661" s="3"/>
      <x:c r="BA661" s="3"/>
      <x:c r="BC661" s="3"/>
      <x:c r="BD661" s="3"/>
      <x:c r="BE661" s="3"/>
      <x:c r="BF661" s="3"/>
      <x:c r="BG661" s="3"/>
      <x:c r="BH661" s="13"/>
      <x:c r="BI661" s="13"/>
      <x:c r="BJ661" s="13"/>
      <x:c r="BK661" s="13"/>
      <x:c r="BL661" s="13"/>
      <x:c r="BM661" s="13"/>
      <x:c r="BN661" s="13"/>
      <x:c r="BO661" s="13"/>
      <x:c r="BP661" s="13"/>
      <x:c r="BQ661" s="13"/>
      <x:c r="BR661" s="13"/>
      <x:c r="BS661" s="13"/>
      <x:c r="BT661" s="13"/>
      <x:c r="BU661" s="13"/>
      <x:c r="BV661" s="13"/>
      <x:c r="BW661" s="13"/>
      <x:c r="BX661" s="13"/>
      <x:c r="BY661" s="13"/>
      <x:c r="BZ661" s="13"/>
      <x:c r="CA661" s="13"/>
      <x:c r="CB661" s="13"/>
      <x:c r="CC661" s="13"/>
      <x:c r="CD661" s="13"/>
      <x:c r="CE661" s="13"/>
      <x:c r="CF661" s="13"/>
      <x:c r="CG661" s="13"/>
    </x:row>
    <x:row r="662" ht="14.25" customHeight="1">
      <x:c r="AA662" s="3"/>
      <x:c r="AF662" s="3"/>
      <x:c r="AG662" s="3"/>
      <x:c r="AH662" s="3"/>
      <x:c r="AI662" s="3"/>
      <x:c r="AJ662" s="3"/>
      <x:c r="AK662" s="3"/>
      <x:c r="AL662" s="3"/>
      <x:c r="AM662" s="3"/>
      <x:c r="AT662" s="3"/>
      <x:c r="AU662" s="3"/>
      <x:c r="AV662" s="3"/>
      <x:c r="AW662" s="3"/>
      <x:c r="AX662" s="3"/>
      <x:c r="AY662" s="3"/>
      <x:c r="AZ662" s="3"/>
      <x:c r="BA662" s="3"/>
      <x:c r="BC662" s="3"/>
      <x:c r="BD662" s="3"/>
      <x:c r="BE662" s="3"/>
      <x:c r="BF662" s="3"/>
      <x:c r="BG662" s="3"/>
      <x:c r="BH662" s="13"/>
      <x:c r="BI662" s="13"/>
      <x:c r="BJ662" s="13"/>
      <x:c r="BK662" s="13"/>
      <x:c r="BL662" s="13"/>
      <x:c r="BM662" s="13"/>
      <x:c r="BN662" s="13"/>
      <x:c r="BO662" s="13"/>
      <x:c r="BP662" s="13"/>
      <x:c r="BQ662" s="13"/>
      <x:c r="BR662" s="13"/>
      <x:c r="BS662" s="13"/>
      <x:c r="BT662" s="13"/>
      <x:c r="BU662" s="13"/>
      <x:c r="BV662" s="13"/>
      <x:c r="BW662" s="13"/>
      <x:c r="BX662" s="13"/>
      <x:c r="BY662" s="13"/>
      <x:c r="BZ662" s="13"/>
      <x:c r="CA662" s="13"/>
      <x:c r="CB662" s="13"/>
      <x:c r="CC662" s="13"/>
      <x:c r="CD662" s="13"/>
      <x:c r="CE662" s="13"/>
      <x:c r="CF662" s="13"/>
      <x:c r="CG662" s="13"/>
    </x:row>
    <x:row r="663" ht="14.25" customHeight="1">
      <x:c r="AA663" s="3"/>
      <x:c r="AF663" s="3"/>
      <x:c r="AG663" s="3"/>
      <x:c r="AH663" s="3"/>
      <x:c r="AI663" s="3"/>
      <x:c r="AJ663" s="3"/>
      <x:c r="AK663" s="3"/>
      <x:c r="AL663" s="3"/>
      <x:c r="AM663" s="3"/>
      <x:c r="AT663" s="3"/>
      <x:c r="AU663" s="3"/>
      <x:c r="AV663" s="3"/>
      <x:c r="AW663" s="3"/>
      <x:c r="AX663" s="3"/>
      <x:c r="AY663" s="3"/>
      <x:c r="AZ663" s="3"/>
      <x:c r="BA663" s="3"/>
      <x:c r="BC663" s="3"/>
      <x:c r="BD663" s="3"/>
      <x:c r="BE663" s="3"/>
      <x:c r="BF663" s="3"/>
      <x:c r="BG663" s="3"/>
      <x:c r="BH663" s="13"/>
      <x:c r="BI663" s="13"/>
      <x:c r="BJ663" s="13"/>
      <x:c r="BK663" s="13"/>
      <x:c r="BL663" s="13"/>
      <x:c r="BM663" s="13"/>
      <x:c r="BN663" s="13"/>
      <x:c r="BO663" s="13"/>
      <x:c r="BP663" s="13"/>
      <x:c r="BQ663" s="13"/>
      <x:c r="BR663" s="13"/>
      <x:c r="BS663" s="13"/>
      <x:c r="BT663" s="13"/>
      <x:c r="BU663" s="13"/>
      <x:c r="BV663" s="13"/>
      <x:c r="BW663" s="13"/>
      <x:c r="BX663" s="13"/>
      <x:c r="BY663" s="13"/>
      <x:c r="BZ663" s="13"/>
      <x:c r="CA663" s="13"/>
      <x:c r="CB663" s="13"/>
      <x:c r="CC663" s="13"/>
      <x:c r="CD663" s="13"/>
      <x:c r="CE663" s="13"/>
      <x:c r="CF663" s="13"/>
      <x:c r="CG663" s="13"/>
    </x:row>
    <x:row r="664" ht="14.25" customHeight="1">
      <x:c r="AA664" s="3"/>
      <x:c r="AF664" s="3"/>
      <x:c r="AG664" s="3"/>
      <x:c r="AH664" s="3"/>
      <x:c r="AI664" s="3"/>
      <x:c r="AJ664" s="3"/>
      <x:c r="AK664" s="3"/>
      <x:c r="AL664" s="3"/>
      <x:c r="AM664" s="3"/>
      <x:c r="AT664" s="3"/>
      <x:c r="AU664" s="3"/>
      <x:c r="AV664" s="3"/>
      <x:c r="AW664" s="3"/>
      <x:c r="AX664" s="3"/>
      <x:c r="AY664" s="3"/>
      <x:c r="AZ664" s="3"/>
      <x:c r="BA664" s="3"/>
      <x:c r="BC664" s="3"/>
      <x:c r="BD664" s="3"/>
      <x:c r="BE664" s="3"/>
      <x:c r="BF664" s="3"/>
      <x:c r="BG664" s="3"/>
      <x:c r="BH664" s="13"/>
      <x:c r="BI664" s="13"/>
      <x:c r="BJ664" s="13"/>
      <x:c r="BK664" s="13"/>
      <x:c r="BL664" s="13"/>
      <x:c r="BM664" s="13"/>
      <x:c r="BN664" s="13"/>
      <x:c r="BO664" s="13"/>
      <x:c r="BP664" s="13"/>
      <x:c r="BQ664" s="13"/>
      <x:c r="BR664" s="13"/>
      <x:c r="BS664" s="13"/>
      <x:c r="BT664" s="13"/>
      <x:c r="BU664" s="13"/>
      <x:c r="BV664" s="13"/>
      <x:c r="BW664" s="13"/>
      <x:c r="BX664" s="13"/>
      <x:c r="BY664" s="13"/>
      <x:c r="BZ664" s="13"/>
      <x:c r="CA664" s="13"/>
      <x:c r="CB664" s="13"/>
      <x:c r="CC664" s="13"/>
      <x:c r="CD664" s="13"/>
      <x:c r="CE664" s="13"/>
      <x:c r="CF664" s="13"/>
      <x:c r="CG664" s="13"/>
    </x:row>
    <x:row r="665" ht="14.25" customHeight="1">
      <x:c r="AA665" s="3"/>
      <x:c r="AF665" s="3"/>
      <x:c r="AG665" s="3"/>
      <x:c r="AH665" s="3"/>
      <x:c r="AI665" s="3"/>
      <x:c r="AJ665" s="3"/>
      <x:c r="AK665" s="3"/>
      <x:c r="AL665" s="3"/>
      <x:c r="AM665" s="3"/>
      <x:c r="AT665" s="3"/>
      <x:c r="AU665" s="3"/>
      <x:c r="AV665" s="3"/>
      <x:c r="AW665" s="3"/>
      <x:c r="AX665" s="3"/>
      <x:c r="AY665" s="3"/>
      <x:c r="AZ665" s="3"/>
      <x:c r="BA665" s="3"/>
      <x:c r="BC665" s="3"/>
      <x:c r="BD665" s="3"/>
      <x:c r="BE665" s="3"/>
      <x:c r="BF665" s="3"/>
      <x:c r="BG665" s="3"/>
      <x:c r="BH665" s="13"/>
      <x:c r="BI665" s="13"/>
      <x:c r="BJ665" s="13"/>
      <x:c r="BK665" s="13"/>
      <x:c r="BL665" s="13"/>
      <x:c r="BM665" s="13"/>
      <x:c r="BN665" s="13"/>
      <x:c r="BO665" s="13"/>
      <x:c r="BP665" s="13"/>
      <x:c r="BQ665" s="13"/>
      <x:c r="BR665" s="13"/>
      <x:c r="BS665" s="13"/>
      <x:c r="BT665" s="13"/>
      <x:c r="BU665" s="13"/>
      <x:c r="BV665" s="13"/>
      <x:c r="BW665" s="13"/>
      <x:c r="BX665" s="13"/>
      <x:c r="BY665" s="13"/>
      <x:c r="BZ665" s="13"/>
      <x:c r="CA665" s="13"/>
      <x:c r="CB665" s="13"/>
      <x:c r="CC665" s="13"/>
      <x:c r="CD665" s="13"/>
      <x:c r="CE665" s="13"/>
      <x:c r="CF665" s="13"/>
      <x:c r="CG665" s="13"/>
    </x:row>
    <x:row r="666" ht="14.25" customHeight="1">
      <x:c r="AA666" s="3"/>
      <x:c r="AF666" s="3"/>
      <x:c r="AG666" s="3"/>
      <x:c r="AH666" s="3"/>
      <x:c r="AI666" s="3"/>
      <x:c r="AJ666" s="3"/>
      <x:c r="AK666" s="3"/>
      <x:c r="AL666" s="3"/>
      <x:c r="AM666" s="3"/>
      <x:c r="AT666" s="3"/>
      <x:c r="AU666" s="3"/>
      <x:c r="AV666" s="3"/>
      <x:c r="AW666" s="3"/>
      <x:c r="AX666" s="3"/>
      <x:c r="AY666" s="3"/>
      <x:c r="AZ666" s="3"/>
      <x:c r="BA666" s="3"/>
      <x:c r="BC666" s="3"/>
      <x:c r="BD666" s="3"/>
      <x:c r="BE666" s="3"/>
      <x:c r="BF666" s="3"/>
      <x:c r="BG666" s="3"/>
      <x:c r="BH666" s="13"/>
      <x:c r="BI666" s="13"/>
      <x:c r="BJ666" s="13"/>
      <x:c r="BK666" s="13"/>
      <x:c r="BL666" s="13"/>
      <x:c r="BM666" s="13"/>
      <x:c r="BN666" s="13"/>
      <x:c r="BO666" s="13"/>
      <x:c r="BP666" s="13"/>
      <x:c r="BQ666" s="13"/>
      <x:c r="BR666" s="13"/>
      <x:c r="BS666" s="13"/>
      <x:c r="BT666" s="13"/>
      <x:c r="BU666" s="13"/>
      <x:c r="BV666" s="13"/>
      <x:c r="BW666" s="13"/>
      <x:c r="BX666" s="13"/>
      <x:c r="BY666" s="13"/>
      <x:c r="BZ666" s="13"/>
      <x:c r="CA666" s="13"/>
      <x:c r="CB666" s="13"/>
      <x:c r="CC666" s="13"/>
      <x:c r="CD666" s="13"/>
      <x:c r="CE666" s="13"/>
      <x:c r="CF666" s="13"/>
      <x:c r="CG666" s="13"/>
    </x:row>
    <x:row r="667" ht="14.25" customHeight="1">
      <x:c r="AA667" s="3"/>
      <x:c r="AF667" s="3"/>
      <x:c r="AG667" s="3"/>
      <x:c r="AH667" s="3"/>
      <x:c r="AI667" s="3"/>
      <x:c r="AJ667" s="3"/>
      <x:c r="AK667" s="3"/>
      <x:c r="AL667" s="3"/>
      <x:c r="AM667" s="3"/>
      <x:c r="AT667" s="3"/>
      <x:c r="AU667" s="3"/>
      <x:c r="AV667" s="3"/>
      <x:c r="AW667" s="3"/>
      <x:c r="AX667" s="3"/>
      <x:c r="AY667" s="3"/>
      <x:c r="AZ667" s="3"/>
      <x:c r="BA667" s="3"/>
      <x:c r="BC667" s="3"/>
      <x:c r="BD667" s="3"/>
      <x:c r="BE667" s="3"/>
      <x:c r="BF667" s="3"/>
      <x:c r="BG667" s="3"/>
      <x:c r="BH667" s="13"/>
      <x:c r="BI667" s="13"/>
      <x:c r="BJ667" s="13"/>
      <x:c r="BK667" s="13"/>
      <x:c r="BL667" s="13"/>
      <x:c r="BM667" s="13"/>
      <x:c r="BN667" s="13"/>
      <x:c r="BO667" s="13"/>
      <x:c r="BP667" s="13"/>
      <x:c r="BQ667" s="13"/>
      <x:c r="BR667" s="13"/>
      <x:c r="BS667" s="13"/>
      <x:c r="BT667" s="13"/>
      <x:c r="BU667" s="13"/>
      <x:c r="BV667" s="13"/>
      <x:c r="BW667" s="13"/>
      <x:c r="BX667" s="13"/>
      <x:c r="BY667" s="13"/>
      <x:c r="BZ667" s="13"/>
      <x:c r="CA667" s="13"/>
      <x:c r="CB667" s="13"/>
      <x:c r="CC667" s="13"/>
      <x:c r="CD667" s="13"/>
      <x:c r="CE667" s="13"/>
      <x:c r="CF667" s="13"/>
      <x:c r="CG667" s="13"/>
    </x:row>
    <x:row r="668" ht="14.25" customHeight="1">
      <x:c r="AA668" s="3"/>
      <x:c r="AF668" s="3"/>
      <x:c r="AG668" s="3"/>
      <x:c r="AH668" s="3"/>
      <x:c r="AI668" s="3"/>
      <x:c r="AJ668" s="3"/>
      <x:c r="AK668" s="3"/>
      <x:c r="AL668" s="3"/>
      <x:c r="AM668" s="3"/>
      <x:c r="AT668" s="3"/>
      <x:c r="AU668" s="3"/>
      <x:c r="AV668" s="3"/>
      <x:c r="AW668" s="3"/>
      <x:c r="AX668" s="3"/>
      <x:c r="AY668" s="3"/>
      <x:c r="AZ668" s="3"/>
      <x:c r="BA668" s="3"/>
      <x:c r="BC668" s="3"/>
      <x:c r="BD668" s="3"/>
      <x:c r="BE668" s="3"/>
      <x:c r="BF668" s="3"/>
      <x:c r="BG668" s="3"/>
      <x:c r="BH668" s="13"/>
      <x:c r="BI668" s="13"/>
      <x:c r="BJ668" s="13"/>
      <x:c r="BK668" s="13"/>
      <x:c r="BL668" s="13"/>
      <x:c r="BM668" s="13"/>
      <x:c r="BN668" s="13"/>
      <x:c r="BO668" s="13"/>
      <x:c r="BP668" s="13"/>
      <x:c r="BQ668" s="13"/>
      <x:c r="BR668" s="13"/>
      <x:c r="BS668" s="13"/>
      <x:c r="BT668" s="13"/>
      <x:c r="BU668" s="13"/>
      <x:c r="BV668" s="13"/>
      <x:c r="BW668" s="13"/>
      <x:c r="BX668" s="13"/>
      <x:c r="BY668" s="13"/>
      <x:c r="BZ668" s="13"/>
      <x:c r="CA668" s="13"/>
      <x:c r="CB668" s="13"/>
      <x:c r="CC668" s="13"/>
      <x:c r="CD668" s="13"/>
      <x:c r="CE668" s="13"/>
      <x:c r="CF668" s="13"/>
      <x:c r="CG668" s="13"/>
    </x:row>
    <x:row r="669" ht="14.25" customHeight="1">
      <x:c r="AA669" s="3"/>
      <x:c r="AF669" s="3"/>
      <x:c r="AG669" s="3"/>
      <x:c r="AH669" s="3"/>
      <x:c r="AI669" s="3"/>
      <x:c r="AJ669" s="3"/>
      <x:c r="AK669" s="3"/>
      <x:c r="AL669" s="3"/>
      <x:c r="AM669" s="3"/>
      <x:c r="AT669" s="3"/>
      <x:c r="AU669" s="3"/>
      <x:c r="AV669" s="3"/>
      <x:c r="AW669" s="3"/>
      <x:c r="AX669" s="3"/>
      <x:c r="AY669" s="3"/>
      <x:c r="AZ669" s="3"/>
      <x:c r="BA669" s="3"/>
      <x:c r="BC669" s="3"/>
      <x:c r="BD669" s="3"/>
      <x:c r="BE669" s="3"/>
      <x:c r="BF669" s="3"/>
      <x:c r="BG669" s="3"/>
      <x:c r="BH669" s="13"/>
      <x:c r="BI669" s="13"/>
      <x:c r="BJ669" s="13"/>
      <x:c r="BK669" s="13"/>
      <x:c r="BL669" s="13"/>
      <x:c r="BM669" s="13"/>
      <x:c r="BN669" s="13"/>
      <x:c r="BO669" s="13"/>
      <x:c r="BP669" s="13"/>
      <x:c r="BQ669" s="13"/>
      <x:c r="BR669" s="13"/>
      <x:c r="BS669" s="13"/>
      <x:c r="BT669" s="13"/>
      <x:c r="BU669" s="13"/>
      <x:c r="BV669" s="13"/>
      <x:c r="BW669" s="13"/>
      <x:c r="BX669" s="13"/>
      <x:c r="BY669" s="13"/>
      <x:c r="BZ669" s="13"/>
      <x:c r="CA669" s="13"/>
      <x:c r="CB669" s="13"/>
      <x:c r="CC669" s="13"/>
      <x:c r="CD669" s="13"/>
      <x:c r="CE669" s="13"/>
      <x:c r="CF669" s="13"/>
      <x:c r="CG669" s="13"/>
    </x:row>
    <x:row r="670" ht="14.25" customHeight="1">
      <x:c r="AA670" s="3"/>
      <x:c r="AF670" s="3"/>
      <x:c r="AG670" s="3"/>
      <x:c r="AH670" s="3"/>
      <x:c r="AI670" s="3"/>
      <x:c r="AJ670" s="3"/>
      <x:c r="AK670" s="3"/>
      <x:c r="AL670" s="3"/>
      <x:c r="AM670" s="3"/>
      <x:c r="AT670" s="3"/>
      <x:c r="AU670" s="3"/>
      <x:c r="AV670" s="3"/>
      <x:c r="AW670" s="3"/>
      <x:c r="AX670" s="3"/>
      <x:c r="AY670" s="3"/>
      <x:c r="AZ670" s="3"/>
      <x:c r="BA670" s="3"/>
      <x:c r="BC670" s="3"/>
      <x:c r="BD670" s="3"/>
      <x:c r="BE670" s="3"/>
      <x:c r="BF670" s="3"/>
      <x:c r="BG670" s="3"/>
      <x:c r="BH670" s="13"/>
      <x:c r="BI670" s="13"/>
      <x:c r="BJ670" s="13"/>
      <x:c r="BK670" s="13"/>
      <x:c r="BL670" s="13"/>
      <x:c r="BM670" s="13"/>
      <x:c r="BN670" s="13"/>
      <x:c r="BO670" s="13"/>
      <x:c r="BP670" s="13"/>
      <x:c r="BQ670" s="13"/>
      <x:c r="BR670" s="13"/>
      <x:c r="BS670" s="13"/>
      <x:c r="BT670" s="13"/>
      <x:c r="BU670" s="13"/>
      <x:c r="BV670" s="13"/>
      <x:c r="BW670" s="13"/>
      <x:c r="BX670" s="13"/>
      <x:c r="BY670" s="13"/>
      <x:c r="BZ670" s="13"/>
      <x:c r="CA670" s="13"/>
      <x:c r="CB670" s="13"/>
      <x:c r="CC670" s="13"/>
      <x:c r="CD670" s="13"/>
      <x:c r="CE670" s="13"/>
      <x:c r="CF670" s="13"/>
      <x:c r="CG670" s="13"/>
    </x:row>
    <x:row r="671" ht="14.25" customHeight="1">
      <x:c r="AA671" s="3"/>
      <x:c r="AF671" s="3"/>
      <x:c r="AG671" s="3"/>
      <x:c r="AH671" s="3"/>
      <x:c r="AI671" s="3"/>
      <x:c r="AJ671" s="3"/>
      <x:c r="AK671" s="3"/>
      <x:c r="AL671" s="3"/>
      <x:c r="AM671" s="3"/>
      <x:c r="AT671" s="3"/>
      <x:c r="AU671" s="3"/>
      <x:c r="AV671" s="3"/>
      <x:c r="AW671" s="3"/>
      <x:c r="AX671" s="3"/>
      <x:c r="AY671" s="3"/>
      <x:c r="AZ671" s="3"/>
      <x:c r="BA671" s="3"/>
      <x:c r="BC671" s="3"/>
      <x:c r="BD671" s="3"/>
      <x:c r="BE671" s="3"/>
      <x:c r="BF671" s="3"/>
      <x:c r="BG671" s="3"/>
      <x:c r="BH671" s="13"/>
      <x:c r="BI671" s="13"/>
      <x:c r="BJ671" s="13"/>
      <x:c r="BK671" s="13"/>
      <x:c r="BL671" s="13"/>
      <x:c r="BM671" s="13"/>
      <x:c r="BN671" s="13"/>
      <x:c r="BO671" s="13"/>
      <x:c r="BP671" s="13"/>
      <x:c r="BQ671" s="13"/>
      <x:c r="BR671" s="13"/>
      <x:c r="BS671" s="13"/>
      <x:c r="BT671" s="13"/>
      <x:c r="BU671" s="13"/>
      <x:c r="BV671" s="13"/>
      <x:c r="BW671" s="13"/>
      <x:c r="BX671" s="13"/>
      <x:c r="BY671" s="13"/>
      <x:c r="BZ671" s="13"/>
      <x:c r="CA671" s="13"/>
      <x:c r="CB671" s="13"/>
      <x:c r="CC671" s="13"/>
      <x:c r="CD671" s="13"/>
      <x:c r="CE671" s="13"/>
      <x:c r="CF671" s="13"/>
      <x:c r="CG671" s="13"/>
    </x:row>
    <x:row r="672" ht="14.25" customHeight="1">
      <x:c r="AA672" s="3"/>
      <x:c r="AF672" s="3"/>
      <x:c r="AG672" s="3"/>
      <x:c r="AH672" s="3"/>
      <x:c r="AI672" s="3"/>
      <x:c r="AJ672" s="3"/>
      <x:c r="AK672" s="3"/>
      <x:c r="AL672" s="3"/>
      <x:c r="AM672" s="3"/>
      <x:c r="AT672" s="3"/>
      <x:c r="AU672" s="3"/>
      <x:c r="AV672" s="3"/>
      <x:c r="AW672" s="3"/>
      <x:c r="AX672" s="3"/>
      <x:c r="AY672" s="3"/>
      <x:c r="AZ672" s="3"/>
      <x:c r="BA672" s="3"/>
      <x:c r="BC672" s="3"/>
      <x:c r="BD672" s="3"/>
      <x:c r="BE672" s="3"/>
      <x:c r="BF672" s="3"/>
      <x:c r="BG672" s="3"/>
      <x:c r="BH672" s="13"/>
      <x:c r="BI672" s="13"/>
      <x:c r="BJ672" s="13"/>
      <x:c r="BK672" s="13"/>
      <x:c r="BL672" s="13"/>
      <x:c r="BM672" s="13"/>
      <x:c r="BN672" s="13"/>
      <x:c r="BO672" s="13"/>
      <x:c r="BP672" s="13"/>
      <x:c r="BQ672" s="13"/>
      <x:c r="BR672" s="13"/>
      <x:c r="BS672" s="13"/>
      <x:c r="BT672" s="13"/>
      <x:c r="BU672" s="13"/>
      <x:c r="BV672" s="13"/>
      <x:c r="BW672" s="13"/>
      <x:c r="BX672" s="13"/>
      <x:c r="BY672" s="13"/>
      <x:c r="BZ672" s="13"/>
      <x:c r="CA672" s="13"/>
      <x:c r="CB672" s="13"/>
      <x:c r="CC672" s="13"/>
      <x:c r="CD672" s="13"/>
      <x:c r="CE672" s="13"/>
      <x:c r="CF672" s="13"/>
      <x:c r="CG672" s="13"/>
    </x:row>
    <x:row r="673" ht="14.25" customHeight="1">
      <x:c r="AA673" s="3"/>
      <x:c r="AF673" s="3"/>
      <x:c r="AG673" s="3"/>
      <x:c r="AH673" s="3"/>
      <x:c r="AI673" s="3"/>
      <x:c r="AJ673" s="3"/>
      <x:c r="AK673" s="3"/>
      <x:c r="AL673" s="3"/>
      <x:c r="AM673" s="3"/>
      <x:c r="AT673" s="3"/>
      <x:c r="AU673" s="3"/>
      <x:c r="AV673" s="3"/>
      <x:c r="AW673" s="3"/>
      <x:c r="AX673" s="3"/>
      <x:c r="AY673" s="3"/>
      <x:c r="AZ673" s="3"/>
      <x:c r="BA673" s="3"/>
      <x:c r="BC673" s="3"/>
      <x:c r="BD673" s="3"/>
      <x:c r="BE673" s="3"/>
      <x:c r="BF673" s="3"/>
      <x:c r="BG673" s="3"/>
      <x:c r="BH673" s="13"/>
      <x:c r="BI673" s="13"/>
      <x:c r="BJ673" s="13"/>
      <x:c r="BK673" s="13"/>
      <x:c r="BL673" s="13"/>
      <x:c r="BM673" s="13"/>
      <x:c r="BN673" s="13"/>
      <x:c r="BO673" s="13"/>
      <x:c r="BP673" s="13"/>
      <x:c r="BQ673" s="13"/>
      <x:c r="BR673" s="13"/>
      <x:c r="BS673" s="13"/>
      <x:c r="BT673" s="13"/>
      <x:c r="BU673" s="13"/>
      <x:c r="BV673" s="13"/>
      <x:c r="BW673" s="13"/>
      <x:c r="BX673" s="13"/>
      <x:c r="BY673" s="13"/>
      <x:c r="BZ673" s="13"/>
      <x:c r="CA673" s="13"/>
      <x:c r="CB673" s="13"/>
      <x:c r="CC673" s="13"/>
      <x:c r="CD673" s="13"/>
      <x:c r="CE673" s="13"/>
      <x:c r="CF673" s="13"/>
      <x:c r="CG673" s="13"/>
    </x:row>
    <x:row r="674" ht="14.25" customHeight="1">
      <x:c r="AA674" s="3"/>
      <x:c r="AF674" s="3"/>
      <x:c r="AG674" s="3"/>
      <x:c r="AH674" s="3"/>
      <x:c r="AI674" s="3"/>
      <x:c r="AJ674" s="3"/>
      <x:c r="AK674" s="3"/>
      <x:c r="AL674" s="3"/>
      <x:c r="AM674" s="3"/>
      <x:c r="AT674" s="3"/>
      <x:c r="AU674" s="3"/>
      <x:c r="AV674" s="3"/>
      <x:c r="AW674" s="3"/>
      <x:c r="AX674" s="3"/>
      <x:c r="AY674" s="3"/>
      <x:c r="AZ674" s="3"/>
      <x:c r="BA674" s="3"/>
      <x:c r="BC674" s="3"/>
      <x:c r="BD674" s="3"/>
      <x:c r="BE674" s="3"/>
      <x:c r="BF674" s="3"/>
      <x:c r="BG674" s="3"/>
      <x:c r="BH674" s="13"/>
      <x:c r="BI674" s="13"/>
      <x:c r="BJ674" s="13"/>
      <x:c r="BK674" s="13"/>
      <x:c r="BL674" s="13"/>
      <x:c r="BM674" s="13"/>
      <x:c r="BN674" s="13"/>
      <x:c r="BO674" s="13"/>
      <x:c r="BP674" s="13"/>
      <x:c r="BQ674" s="13"/>
      <x:c r="BR674" s="13"/>
      <x:c r="BS674" s="13"/>
      <x:c r="BT674" s="13"/>
      <x:c r="BU674" s="13"/>
      <x:c r="BV674" s="13"/>
      <x:c r="BW674" s="13"/>
      <x:c r="BX674" s="13"/>
      <x:c r="BY674" s="13"/>
      <x:c r="BZ674" s="13"/>
      <x:c r="CA674" s="13"/>
      <x:c r="CB674" s="13"/>
      <x:c r="CC674" s="13"/>
      <x:c r="CD674" s="13"/>
      <x:c r="CE674" s="13"/>
      <x:c r="CF674" s="13"/>
      <x:c r="CG674" s="13"/>
    </x:row>
    <x:row r="675" ht="14.25" customHeight="1">
      <x:c r="AA675" s="3"/>
      <x:c r="AF675" s="3"/>
      <x:c r="AG675" s="3"/>
      <x:c r="AH675" s="3"/>
      <x:c r="AI675" s="3"/>
      <x:c r="AJ675" s="3"/>
      <x:c r="AK675" s="3"/>
      <x:c r="AL675" s="3"/>
      <x:c r="AM675" s="3"/>
      <x:c r="AT675" s="3"/>
      <x:c r="AU675" s="3"/>
      <x:c r="AV675" s="3"/>
      <x:c r="AW675" s="3"/>
      <x:c r="AX675" s="3"/>
      <x:c r="AY675" s="3"/>
      <x:c r="AZ675" s="3"/>
      <x:c r="BA675" s="3"/>
      <x:c r="BC675" s="3"/>
      <x:c r="BD675" s="3"/>
      <x:c r="BE675" s="3"/>
      <x:c r="BF675" s="3"/>
      <x:c r="BG675" s="3"/>
      <x:c r="BH675" s="13"/>
      <x:c r="BI675" s="13"/>
      <x:c r="BJ675" s="13"/>
      <x:c r="BK675" s="13"/>
      <x:c r="BL675" s="13"/>
      <x:c r="BM675" s="13"/>
      <x:c r="BN675" s="13"/>
      <x:c r="BO675" s="13"/>
      <x:c r="BP675" s="13"/>
      <x:c r="BQ675" s="13"/>
      <x:c r="BR675" s="13"/>
      <x:c r="BS675" s="13"/>
      <x:c r="BT675" s="13"/>
      <x:c r="BU675" s="13"/>
      <x:c r="BV675" s="13"/>
      <x:c r="BW675" s="13"/>
      <x:c r="BX675" s="13"/>
      <x:c r="BY675" s="13"/>
      <x:c r="BZ675" s="13"/>
      <x:c r="CA675" s="13"/>
      <x:c r="CB675" s="13"/>
      <x:c r="CC675" s="13"/>
      <x:c r="CD675" s="13"/>
      <x:c r="CE675" s="13"/>
      <x:c r="CF675" s="13"/>
      <x:c r="CG675" s="13"/>
    </x:row>
    <x:row r="676" ht="14.25" customHeight="1">
      <x:c r="AA676" s="3"/>
      <x:c r="AF676" s="3"/>
      <x:c r="AG676" s="3"/>
      <x:c r="AH676" s="3"/>
      <x:c r="AI676" s="3"/>
      <x:c r="AJ676" s="3"/>
      <x:c r="AK676" s="3"/>
      <x:c r="AL676" s="3"/>
      <x:c r="AM676" s="3"/>
      <x:c r="AT676" s="3"/>
      <x:c r="AU676" s="3"/>
      <x:c r="AV676" s="3"/>
      <x:c r="AW676" s="3"/>
      <x:c r="AX676" s="3"/>
      <x:c r="AY676" s="3"/>
      <x:c r="AZ676" s="3"/>
      <x:c r="BA676" s="3"/>
      <x:c r="BC676" s="3"/>
      <x:c r="BD676" s="3"/>
      <x:c r="BE676" s="3"/>
      <x:c r="BF676" s="3"/>
      <x:c r="BG676" s="3"/>
      <x:c r="BH676" s="13"/>
      <x:c r="BI676" s="13"/>
      <x:c r="BJ676" s="13"/>
      <x:c r="BK676" s="13"/>
      <x:c r="BL676" s="13"/>
      <x:c r="BM676" s="13"/>
      <x:c r="BN676" s="13"/>
      <x:c r="BO676" s="13"/>
      <x:c r="BP676" s="13"/>
      <x:c r="BQ676" s="13"/>
      <x:c r="BR676" s="13"/>
      <x:c r="BS676" s="13"/>
      <x:c r="BT676" s="13"/>
      <x:c r="BU676" s="13"/>
      <x:c r="BV676" s="13"/>
      <x:c r="BW676" s="13"/>
      <x:c r="BX676" s="13"/>
      <x:c r="BY676" s="13"/>
      <x:c r="BZ676" s="13"/>
      <x:c r="CA676" s="13"/>
      <x:c r="CB676" s="13"/>
      <x:c r="CC676" s="13"/>
      <x:c r="CD676" s="13"/>
      <x:c r="CE676" s="13"/>
      <x:c r="CF676" s="13"/>
      <x:c r="CG676" s="13"/>
    </x:row>
    <x:row r="677" ht="14.25" customHeight="1">
      <x:c r="AA677" s="3"/>
      <x:c r="AF677" s="3"/>
      <x:c r="AG677" s="3"/>
      <x:c r="AH677" s="3"/>
      <x:c r="AI677" s="3"/>
      <x:c r="AJ677" s="3"/>
      <x:c r="AK677" s="3"/>
      <x:c r="AL677" s="3"/>
      <x:c r="AM677" s="3"/>
      <x:c r="AT677" s="3"/>
      <x:c r="AU677" s="3"/>
      <x:c r="AV677" s="3"/>
      <x:c r="AW677" s="3"/>
      <x:c r="AX677" s="3"/>
      <x:c r="AY677" s="3"/>
      <x:c r="AZ677" s="3"/>
      <x:c r="BA677" s="3"/>
      <x:c r="BC677" s="3"/>
      <x:c r="BD677" s="3"/>
      <x:c r="BE677" s="3"/>
      <x:c r="BF677" s="3"/>
      <x:c r="BG677" s="3"/>
      <x:c r="BH677" s="13"/>
      <x:c r="BI677" s="13"/>
      <x:c r="BJ677" s="13"/>
      <x:c r="BK677" s="13"/>
      <x:c r="BL677" s="13"/>
      <x:c r="BM677" s="13"/>
      <x:c r="BN677" s="13"/>
      <x:c r="BO677" s="13"/>
      <x:c r="BP677" s="13"/>
      <x:c r="BQ677" s="13"/>
      <x:c r="BR677" s="13"/>
      <x:c r="BS677" s="13"/>
      <x:c r="BT677" s="13"/>
      <x:c r="BU677" s="13"/>
      <x:c r="BV677" s="13"/>
      <x:c r="BW677" s="13"/>
      <x:c r="BX677" s="13"/>
      <x:c r="BY677" s="13"/>
      <x:c r="BZ677" s="13"/>
      <x:c r="CA677" s="13"/>
      <x:c r="CB677" s="13"/>
      <x:c r="CC677" s="13"/>
      <x:c r="CD677" s="13"/>
      <x:c r="CE677" s="13"/>
      <x:c r="CF677" s="13"/>
      <x:c r="CG677" s="13"/>
    </x:row>
    <x:row r="678" ht="14.25" customHeight="1">
      <x:c r="AA678" s="3"/>
      <x:c r="AF678" s="3"/>
      <x:c r="AG678" s="3"/>
      <x:c r="AH678" s="3"/>
      <x:c r="AI678" s="3"/>
      <x:c r="AJ678" s="3"/>
      <x:c r="AK678" s="3"/>
      <x:c r="AL678" s="3"/>
      <x:c r="AM678" s="3"/>
      <x:c r="AT678" s="3"/>
      <x:c r="AU678" s="3"/>
      <x:c r="AV678" s="3"/>
      <x:c r="AW678" s="3"/>
      <x:c r="AX678" s="3"/>
      <x:c r="AY678" s="3"/>
      <x:c r="AZ678" s="3"/>
      <x:c r="BA678" s="3"/>
      <x:c r="BC678" s="3"/>
      <x:c r="BD678" s="3"/>
      <x:c r="BE678" s="3"/>
      <x:c r="BF678" s="3"/>
      <x:c r="BG678" s="3"/>
      <x:c r="BH678" s="13"/>
      <x:c r="BI678" s="13"/>
      <x:c r="BJ678" s="13"/>
      <x:c r="BK678" s="13"/>
      <x:c r="BL678" s="13"/>
      <x:c r="BM678" s="13"/>
      <x:c r="BN678" s="13"/>
      <x:c r="BO678" s="13"/>
      <x:c r="BP678" s="13"/>
      <x:c r="BQ678" s="13"/>
      <x:c r="BR678" s="13"/>
      <x:c r="BS678" s="13"/>
      <x:c r="BT678" s="13"/>
      <x:c r="BU678" s="13"/>
      <x:c r="BV678" s="13"/>
      <x:c r="BW678" s="13"/>
      <x:c r="BX678" s="13"/>
      <x:c r="BY678" s="13"/>
      <x:c r="BZ678" s="13"/>
      <x:c r="CA678" s="13"/>
      <x:c r="CB678" s="13"/>
      <x:c r="CC678" s="13"/>
      <x:c r="CD678" s="13"/>
      <x:c r="CE678" s="13"/>
      <x:c r="CF678" s="13"/>
      <x:c r="CG678" s="13"/>
    </x:row>
    <x:row r="679" ht="14.25" customHeight="1">
      <x:c r="AA679" s="3"/>
      <x:c r="AF679" s="3"/>
      <x:c r="AG679" s="3"/>
      <x:c r="AH679" s="3"/>
      <x:c r="AI679" s="3"/>
      <x:c r="AJ679" s="3"/>
      <x:c r="AK679" s="3"/>
      <x:c r="AL679" s="3"/>
      <x:c r="AM679" s="3"/>
      <x:c r="AT679" s="3"/>
      <x:c r="AU679" s="3"/>
      <x:c r="AV679" s="3"/>
      <x:c r="AW679" s="3"/>
      <x:c r="AX679" s="3"/>
      <x:c r="AY679" s="3"/>
      <x:c r="AZ679" s="3"/>
      <x:c r="BA679" s="3"/>
      <x:c r="BC679" s="3"/>
      <x:c r="BD679" s="3"/>
      <x:c r="BE679" s="3"/>
      <x:c r="BF679" s="3"/>
      <x:c r="BG679" s="3"/>
      <x:c r="BH679" s="13"/>
      <x:c r="BI679" s="13"/>
      <x:c r="BJ679" s="13"/>
      <x:c r="BK679" s="13"/>
      <x:c r="BL679" s="13"/>
      <x:c r="BM679" s="13"/>
      <x:c r="BN679" s="13"/>
      <x:c r="BO679" s="13"/>
      <x:c r="BP679" s="13"/>
      <x:c r="BQ679" s="13"/>
      <x:c r="BR679" s="13"/>
      <x:c r="BS679" s="13"/>
      <x:c r="BT679" s="13"/>
      <x:c r="BU679" s="13"/>
      <x:c r="BV679" s="13"/>
      <x:c r="BW679" s="13"/>
      <x:c r="BX679" s="13"/>
      <x:c r="BY679" s="13"/>
      <x:c r="BZ679" s="13"/>
      <x:c r="CA679" s="13"/>
      <x:c r="CB679" s="13"/>
      <x:c r="CC679" s="13"/>
      <x:c r="CD679" s="13"/>
      <x:c r="CE679" s="13"/>
      <x:c r="CF679" s="13"/>
      <x:c r="CG679" s="13"/>
    </x:row>
    <x:row r="680" ht="14.25" customHeight="1">
      <x:c r="AA680" s="3"/>
      <x:c r="AF680" s="3"/>
      <x:c r="AG680" s="3"/>
      <x:c r="AH680" s="3"/>
      <x:c r="AI680" s="3"/>
      <x:c r="AJ680" s="3"/>
      <x:c r="AK680" s="3"/>
      <x:c r="AL680" s="3"/>
      <x:c r="AM680" s="3"/>
      <x:c r="AT680" s="3"/>
      <x:c r="AU680" s="3"/>
      <x:c r="AV680" s="3"/>
      <x:c r="AW680" s="3"/>
      <x:c r="AX680" s="3"/>
      <x:c r="AY680" s="3"/>
      <x:c r="AZ680" s="3"/>
      <x:c r="BA680" s="3"/>
      <x:c r="BC680" s="3"/>
      <x:c r="BD680" s="3"/>
      <x:c r="BE680" s="3"/>
      <x:c r="BF680" s="3"/>
      <x:c r="BG680" s="3"/>
      <x:c r="BH680" s="13"/>
      <x:c r="BI680" s="13"/>
      <x:c r="BJ680" s="13"/>
      <x:c r="BK680" s="13"/>
      <x:c r="BL680" s="13"/>
      <x:c r="BM680" s="13"/>
      <x:c r="BN680" s="13"/>
      <x:c r="BO680" s="13"/>
      <x:c r="BP680" s="13"/>
      <x:c r="BQ680" s="13"/>
      <x:c r="BR680" s="13"/>
      <x:c r="BS680" s="13"/>
      <x:c r="BT680" s="13"/>
      <x:c r="BU680" s="13"/>
      <x:c r="BV680" s="13"/>
      <x:c r="BW680" s="13"/>
      <x:c r="BX680" s="13"/>
      <x:c r="BY680" s="13"/>
      <x:c r="BZ680" s="13"/>
      <x:c r="CA680" s="13"/>
      <x:c r="CB680" s="13"/>
      <x:c r="CC680" s="13"/>
      <x:c r="CD680" s="13"/>
      <x:c r="CE680" s="13"/>
      <x:c r="CF680" s="13"/>
      <x:c r="CG680" s="13"/>
    </x:row>
    <x:row r="681" ht="14.25" customHeight="1">
      <x:c r="AA681" s="3"/>
      <x:c r="AF681" s="3"/>
      <x:c r="AG681" s="3"/>
      <x:c r="AH681" s="3"/>
      <x:c r="AI681" s="3"/>
      <x:c r="AJ681" s="3"/>
      <x:c r="AK681" s="3"/>
      <x:c r="AL681" s="3"/>
      <x:c r="AM681" s="3"/>
      <x:c r="AT681" s="3"/>
      <x:c r="AU681" s="3"/>
      <x:c r="AV681" s="3"/>
      <x:c r="AW681" s="3"/>
      <x:c r="AX681" s="3"/>
      <x:c r="AY681" s="3"/>
      <x:c r="AZ681" s="3"/>
      <x:c r="BA681" s="3"/>
      <x:c r="BC681" s="3"/>
      <x:c r="BD681" s="3"/>
      <x:c r="BE681" s="3"/>
      <x:c r="BF681" s="3"/>
      <x:c r="BG681" s="3"/>
      <x:c r="BH681" s="13"/>
      <x:c r="BI681" s="13"/>
      <x:c r="BJ681" s="13"/>
      <x:c r="BK681" s="13"/>
      <x:c r="BL681" s="13"/>
      <x:c r="BM681" s="13"/>
      <x:c r="BN681" s="13"/>
      <x:c r="BO681" s="13"/>
      <x:c r="BP681" s="13"/>
      <x:c r="BQ681" s="13"/>
      <x:c r="BR681" s="13"/>
      <x:c r="BS681" s="13"/>
      <x:c r="BT681" s="13"/>
      <x:c r="BU681" s="13"/>
      <x:c r="BV681" s="13"/>
      <x:c r="BW681" s="13"/>
      <x:c r="BX681" s="13"/>
      <x:c r="BY681" s="13"/>
      <x:c r="BZ681" s="13"/>
      <x:c r="CA681" s="13"/>
      <x:c r="CB681" s="13"/>
      <x:c r="CC681" s="13"/>
      <x:c r="CD681" s="13"/>
      <x:c r="CE681" s="13"/>
      <x:c r="CF681" s="13"/>
      <x:c r="CG681" s="13"/>
    </x:row>
    <x:row r="682" ht="14.25" customHeight="1">
      <x:c r="AA682" s="3"/>
      <x:c r="AF682" s="3"/>
      <x:c r="AG682" s="3"/>
      <x:c r="AH682" s="3"/>
      <x:c r="AI682" s="3"/>
      <x:c r="AJ682" s="3"/>
      <x:c r="AK682" s="3"/>
      <x:c r="AL682" s="3"/>
      <x:c r="AM682" s="3"/>
      <x:c r="AT682" s="3"/>
      <x:c r="AU682" s="3"/>
      <x:c r="AV682" s="3"/>
      <x:c r="AW682" s="3"/>
      <x:c r="AX682" s="3"/>
      <x:c r="AY682" s="3"/>
      <x:c r="AZ682" s="3"/>
      <x:c r="BA682" s="3"/>
      <x:c r="BC682" s="3"/>
      <x:c r="BD682" s="3"/>
      <x:c r="BE682" s="3"/>
      <x:c r="BF682" s="3"/>
      <x:c r="BG682" s="3"/>
      <x:c r="BH682" s="13"/>
      <x:c r="BI682" s="13"/>
      <x:c r="BJ682" s="13"/>
      <x:c r="BK682" s="13"/>
      <x:c r="BL682" s="13"/>
      <x:c r="BM682" s="13"/>
      <x:c r="BN682" s="13"/>
      <x:c r="BO682" s="13"/>
      <x:c r="BP682" s="13"/>
      <x:c r="BQ682" s="13"/>
      <x:c r="BR682" s="13"/>
      <x:c r="BS682" s="13"/>
      <x:c r="BT682" s="13"/>
      <x:c r="BU682" s="13"/>
      <x:c r="BV682" s="13"/>
      <x:c r="BW682" s="13"/>
      <x:c r="BX682" s="13"/>
      <x:c r="BY682" s="13"/>
      <x:c r="BZ682" s="13"/>
      <x:c r="CA682" s="13"/>
      <x:c r="CB682" s="13"/>
      <x:c r="CC682" s="13"/>
      <x:c r="CD682" s="13"/>
      <x:c r="CE682" s="13"/>
      <x:c r="CF682" s="13"/>
      <x:c r="CG682" s="13"/>
    </x:row>
    <x:row r="683" ht="14.25" customHeight="1">
      <x:c r="AA683" s="3"/>
      <x:c r="AF683" s="3"/>
      <x:c r="AG683" s="3"/>
      <x:c r="AH683" s="3"/>
      <x:c r="AI683" s="3"/>
      <x:c r="AJ683" s="3"/>
      <x:c r="AK683" s="3"/>
      <x:c r="AL683" s="3"/>
      <x:c r="AM683" s="3"/>
      <x:c r="AT683" s="3"/>
      <x:c r="AU683" s="3"/>
      <x:c r="AV683" s="3"/>
      <x:c r="AW683" s="3"/>
      <x:c r="AX683" s="3"/>
      <x:c r="AY683" s="3"/>
      <x:c r="AZ683" s="3"/>
      <x:c r="BA683" s="3"/>
      <x:c r="BC683" s="3"/>
      <x:c r="BD683" s="3"/>
      <x:c r="BE683" s="3"/>
      <x:c r="BF683" s="3"/>
      <x:c r="BG683" s="3"/>
      <x:c r="BH683" s="13"/>
      <x:c r="BI683" s="13"/>
      <x:c r="BJ683" s="13"/>
      <x:c r="BK683" s="13"/>
      <x:c r="BL683" s="13"/>
      <x:c r="BM683" s="13"/>
      <x:c r="BN683" s="13"/>
      <x:c r="BO683" s="13"/>
      <x:c r="BP683" s="13"/>
      <x:c r="BQ683" s="13"/>
      <x:c r="BR683" s="13"/>
      <x:c r="BS683" s="13"/>
      <x:c r="BT683" s="13"/>
      <x:c r="BU683" s="13"/>
      <x:c r="BV683" s="13"/>
      <x:c r="BW683" s="13"/>
      <x:c r="BX683" s="13"/>
      <x:c r="BY683" s="13"/>
      <x:c r="BZ683" s="13"/>
      <x:c r="CA683" s="13"/>
      <x:c r="CB683" s="13"/>
      <x:c r="CC683" s="13"/>
      <x:c r="CD683" s="13"/>
      <x:c r="CE683" s="13"/>
      <x:c r="CF683" s="13"/>
      <x:c r="CG683" s="13"/>
    </x:row>
    <x:row r="684" ht="14.25" customHeight="1">
      <x:c r="AA684" s="3"/>
      <x:c r="AF684" s="3"/>
      <x:c r="AG684" s="3"/>
      <x:c r="AH684" s="3"/>
      <x:c r="AI684" s="3"/>
      <x:c r="AJ684" s="3"/>
      <x:c r="AK684" s="3"/>
      <x:c r="AL684" s="3"/>
      <x:c r="AM684" s="3"/>
      <x:c r="AT684" s="3"/>
      <x:c r="AU684" s="3"/>
      <x:c r="AV684" s="3"/>
      <x:c r="AW684" s="3"/>
      <x:c r="AX684" s="3"/>
      <x:c r="AY684" s="3"/>
      <x:c r="AZ684" s="3"/>
      <x:c r="BA684" s="3"/>
      <x:c r="BC684" s="3"/>
      <x:c r="BD684" s="3"/>
      <x:c r="BE684" s="3"/>
      <x:c r="BF684" s="3"/>
      <x:c r="BG684" s="3"/>
      <x:c r="BH684" s="13"/>
      <x:c r="BI684" s="13"/>
      <x:c r="BJ684" s="13"/>
      <x:c r="BK684" s="13"/>
      <x:c r="BL684" s="13"/>
      <x:c r="BM684" s="13"/>
      <x:c r="BN684" s="13"/>
      <x:c r="BO684" s="13"/>
      <x:c r="BP684" s="13"/>
      <x:c r="BQ684" s="13"/>
      <x:c r="BR684" s="13"/>
      <x:c r="BS684" s="13"/>
      <x:c r="BT684" s="13"/>
      <x:c r="BU684" s="13"/>
      <x:c r="BV684" s="13"/>
      <x:c r="BW684" s="13"/>
      <x:c r="BX684" s="13"/>
      <x:c r="BY684" s="13"/>
      <x:c r="BZ684" s="13"/>
      <x:c r="CA684" s="13"/>
      <x:c r="CB684" s="13"/>
      <x:c r="CC684" s="13"/>
      <x:c r="CD684" s="13"/>
      <x:c r="CE684" s="13"/>
      <x:c r="CF684" s="13"/>
      <x:c r="CG684" s="13"/>
    </x:row>
    <x:row r="685" ht="14.25" customHeight="1">
      <x:c r="AA685" s="3"/>
      <x:c r="AF685" s="3"/>
      <x:c r="AG685" s="3"/>
      <x:c r="AH685" s="3"/>
      <x:c r="AI685" s="3"/>
      <x:c r="AJ685" s="3"/>
      <x:c r="AK685" s="3"/>
      <x:c r="AL685" s="3"/>
      <x:c r="AM685" s="3"/>
      <x:c r="AT685" s="3"/>
      <x:c r="AU685" s="3"/>
      <x:c r="AV685" s="3"/>
      <x:c r="AW685" s="3"/>
      <x:c r="AX685" s="3"/>
      <x:c r="AY685" s="3"/>
      <x:c r="AZ685" s="3"/>
      <x:c r="BA685" s="3"/>
      <x:c r="BC685" s="3"/>
      <x:c r="BD685" s="3"/>
      <x:c r="BE685" s="3"/>
      <x:c r="BF685" s="3"/>
      <x:c r="BG685" s="3"/>
      <x:c r="BH685" s="13"/>
      <x:c r="BI685" s="13"/>
      <x:c r="BJ685" s="13"/>
      <x:c r="BK685" s="13"/>
      <x:c r="BL685" s="13"/>
      <x:c r="BM685" s="13"/>
      <x:c r="BN685" s="13"/>
      <x:c r="BO685" s="13"/>
      <x:c r="BP685" s="13"/>
      <x:c r="BQ685" s="13"/>
      <x:c r="BR685" s="13"/>
      <x:c r="BS685" s="13"/>
      <x:c r="BT685" s="13"/>
      <x:c r="BU685" s="13"/>
      <x:c r="BV685" s="13"/>
      <x:c r="BW685" s="13"/>
      <x:c r="BX685" s="13"/>
      <x:c r="BY685" s="13"/>
      <x:c r="BZ685" s="13"/>
      <x:c r="CA685" s="13"/>
      <x:c r="CB685" s="13"/>
      <x:c r="CC685" s="13"/>
      <x:c r="CD685" s="13"/>
      <x:c r="CE685" s="13"/>
      <x:c r="CF685" s="13"/>
      <x:c r="CG685" s="13"/>
    </x:row>
    <x:row r="686" ht="14.25" customHeight="1">
      <x:c r="AA686" s="3"/>
      <x:c r="AF686" s="3"/>
      <x:c r="AG686" s="3"/>
      <x:c r="AH686" s="3"/>
      <x:c r="AI686" s="3"/>
      <x:c r="AJ686" s="3"/>
      <x:c r="AK686" s="3"/>
      <x:c r="AL686" s="3"/>
      <x:c r="AM686" s="3"/>
      <x:c r="AT686" s="3"/>
      <x:c r="AU686" s="3"/>
      <x:c r="AV686" s="3"/>
      <x:c r="AW686" s="3"/>
      <x:c r="AX686" s="3"/>
      <x:c r="AY686" s="3"/>
      <x:c r="AZ686" s="3"/>
      <x:c r="BA686" s="3"/>
      <x:c r="BC686" s="3"/>
      <x:c r="BD686" s="3"/>
      <x:c r="BE686" s="3"/>
      <x:c r="BF686" s="3"/>
      <x:c r="BG686" s="3"/>
      <x:c r="BH686" s="13"/>
      <x:c r="BI686" s="13"/>
      <x:c r="BJ686" s="13"/>
      <x:c r="BK686" s="13"/>
      <x:c r="BL686" s="13"/>
      <x:c r="BM686" s="13"/>
      <x:c r="BN686" s="13"/>
      <x:c r="BO686" s="13"/>
      <x:c r="BP686" s="13"/>
      <x:c r="BQ686" s="13"/>
      <x:c r="BR686" s="13"/>
      <x:c r="BS686" s="13"/>
      <x:c r="BT686" s="13"/>
      <x:c r="BU686" s="13"/>
      <x:c r="BV686" s="13"/>
      <x:c r="BW686" s="13"/>
      <x:c r="BX686" s="13"/>
      <x:c r="BY686" s="13"/>
      <x:c r="BZ686" s="13"/>
      <x:c r="CA686" s="13"/>
      <x:c r="CB686" s="13"/>
      <x:c r="CC686" s="13"/>
      <x:c r="CD686" s="13"/>
      <x:c r="CE686" s="13"/>
      <x:c r="CF686" s="13"/>
      <x:c r="CG686" s="13"/>
    </x:row>
    <x:row r="687" ht="14.25" customHeight="1">
      <x:c r="AA687" s="3"/>
      <x:c r="AF687" s="3"/>
      <x:c r="AG687" s="3"/>
      <x:c r="AH687" s="3"/>
      <x:c r="AI687" s="3"/>
      <x:c r="AJ687" s="3"/>
      <x:c r="AK687" s="3"/>
      <x:c r="AL687" s="3"/>
      <x:c r="AM687" s="3"/>
      <x:c r="AT687" s="3"/>
      <x:c r="AU687" s="3"/>
      <x:c r="AV687" s="3"/>
      <x:c r="AW687" s="3"/>
      <x:c r="AX687" s="3"/>
      <x:c r="AY687" s="3"/>
      <x:c r="AZ687" s="3"/>
      <x:c r="BA687" s="3"/>
      <x:c r="BC687" s="3"/>
      <x:c r="BD687" s="3"/>
      <x:c r="BE687" s="3"/>
      <x:c r="BF687" s="3"/>
      <x:c r="BG687" s="3"/>
      <x:c r="BH687" s="13"/>
      <x:c r="BI687" s="13"/>
      <x:c r="BJ687" s="13"/>
      <x:c r="BK687" s="13"/>
      <x:c r="BL687" s="13"/>
      <x:c r="BM687" s="13"/>
      <x:c r="BN687" s="13"/>
      <x:c r="BO687" s="13"/>
      <x:c r="BP687" s="13"/>
      <x:c r="BQ687" s="13"/>
      <x:c r="BR687" s="13"/>
      <x:c r="BS687" s="13"/>
      <x:c r="BT687" s="13"/>
      <x:c r="BU687" s="13"/>
      <x:c r="BV687" s="13"/>
      <x:c r="BW687" s="13"/>
      <x:c r="BX687" s="13"/>
      <x:c r="BY687" s="13"/>
      <x:c r="BZ687" s="13"/>
      <x:c r="CA687" s="13"/>
      <x:c r="CB687" s="13"/>
      <x:c r="CC687" s="13"/>
      <x:c r="CD687" s="13"/>
      <x:c r="CE687" s="13"/>
      <x:c r="CF687" s="13"/>
      <x:c r="CG687" s="13"/>
    </x:row>
    <x:row r="688" ht="14.25" customHeight="1">
      <x:c r="AA688" s="3"/>
      <x:c r="AF688" s="3"/>
      <x:c r="AG688" s="3"/>
      <x:c r="AH688" s="3"/>
      <x:c r="AI688" s="3"/>
      <x:c r="AJ688" s="3"/>
      <x:c r="AK688" s="3"/>
      <x:c r="AL688" s="3"/>
      <x:c r="AM688" s="3"/>
      <x:c r="AT688" s="3"/>
      <x:c r="AU688" s="3"/>
      <x:c r="AV688" s="3"/>
      <x:c r="AW688" s="3"/>
      <x:c r="AX688" s="3"/>
      <x:c r="AY688" s="3"/>
      <x:c r="AZ688" s="3"/>
      <x:c r="BA688" s="3"/>
      <x:c r="BC688" s="3"/>
      <x:c r="BD688" s="3"/>
      <x:c r="BE688" s="3"/>
      <x:c r="BF688" s="3"/>
      <x:c r="BG688" s="3"/>
      <x:c r="BH688" s="13"/>
      <x:c r="BI688" s="13"/>
      <x:c r="BJ688" s="13"/>
      <x:c r="BK688" s="13"/>
      <x:c r="BL688" s="13"/>
      <x:c r="BM688" s="13"/>
      <x:c r="BN688" s="13"/>
      <x:c r="BO688" s="13"/>
      <x:c r="BP688" s="13"/>
      <x:c r="BQ688" s="13"/>
      <x:c r="BR688" s="13"/>
      <x:c r="BS688" s="13"/>
      <x:c r="BT688" s="13"/>
      <x:c r="BU688" s="13"/>
      <x:c r="BV688" s="13"/>
      <x:c r="BW688" s="13"/>
      <x:c r="BX688" s="13"/>
      <x:c r="BY688" s="13"/>
      <x:c r="BZ688" s="13"/>
      <x:c r="CA688" s="13"/>
      <x:c r="CB688" s="13"/>
      <x:c r="CC688" s="13"/>
      <x:c r="CD688" s="13"/>
      <x:c r="CE688" s="13"/>
      <x:c r="CF688" s="13"/>
      <x:c r="CG688" s="13"/>
    </x:row>
    <x:row r="689" ht="14.25" customHeight="1">
      <x:c r="AA689" s="3"/>
      <x:c r="AF689" s="3"/>
      <x:c r="AG689" s="3"/>
      <x:c r="AH689" s="3"/>
      <x:c r="AI689" s="3"/>
      <x:c r="AJ689" s="3"/>
      <x:c r="AK689" s="3"/>
      <x:c r="AL689" s="3"/>
      <x:c r="AM689" s="3"/>
      <x:c r="AT689" s="3"/>
      <x:c r="AU689" s="3"/>
      <x:c r="AV689" s="3"/>
      <x:c r="AW689" s="3"/>
      <x:c r="AX689" s="3"/>
      <x:c r="AY689" s="3"/>
      <x:c r="AZ689" s="3"/>
      <x:c r="BA689" s="3"/>
      <x:c r="BC689" s="3"/>
      <x:c r="BD689" s="3"/>
      <x:c r="BE689" s="3"/>
      <x:c r="BF689" s="3"/>
      <x:c r="BG689" s="3"/>
      <x:c r="BH689" s="13"/>
      <x:c r="BI689" s="13"/>
      <x:c r="BJ689" s="13"/>
      <x:c r="BK689" s="13"/>
      <x:c r="BL689" s="13"/>
      <x:c r="BM689" s="13"/>
      <x:c r="BN689" s="13"/>
      <x:c r="BO689" s="13"/>
      <x:c r="BP689" s="13"/>
      <x:c r="BQ689" s="13"/>
      <x:c r="BR689" s="13"/>
      <x:c r="BS689" s="13"/>
      <x:c r="BT689" s="13"/>
      <x:c r="BU689" s="13"/>
      <x:c r="BV689" s="13"/>
      <x:c r="BW689" s="13"/>
      <x:c r="BX689" s="13"/>
      <x:c r="BY689" s="13"/>
      <x:c r="BZ689" s="13"/>
      <x:c r="CA689" s="13"/>
      <x:c r="CB689" s="13"/>
      <x:c r="CC689" s="13"/>
      <x:c r="CD689" s="13"/>
      <x:c r="CE689" s="13"/>
      <x:c r="CF689" s="13"/>
      <x:c r="CG689" s="13"/>
    </x:row>
    <x:row r="690" ht="14.25" customHeight="1">
      <x:c r="AA690" s="3"/>
      <x:c r="AF690" s="3"/>
      <x:c r="AG690" s="3"/>
      <x:c r="AH690" s="3"/>
      <x:c r="AI690" s="3"/>
      <x:c r="AJ690" s="3"/>
      <x:c r="AK690" s="3"/>
      <x:c r="AL690" s="3"/>
      <x:c r="AM690" s="3"/>
      <x:c r="AT690" s="3"/>
      <x:c r="AU690" s="3"/>
      <x:c r="AV690" s="3"/>
      <x:c r="AW690" s="3"/>
      <x:c r="AX690" s="3"/>
      <x:c r="AY690" s="3"/>
      <x:c r="AZ690" s="3"/>
      <x:c r="BA690" s="3"/>
      <x:c r="BC690" s="3"/>
      <x:c r="BD690" s="3"/>
      <x:c r="BE690" s="3"/>
      <x:c r="BF690" s="3"/>
      <x:c r="BG690" s="3"/>
      <x:c r="BH690" s="13"/>
      <x:c r="BI690" s="13"/>
      <x:c r="BJ690" s="13"/>
      <x:c r="BK690" s="13"/>
      <x:c r="BL690" s="13"/>
      <x:c r="BM690" s="13"/>
      <x:c r="BN690" s="13"/>
      <x:c r="BO690" s="13"/>
      <x:c r="BP690" s="13"/>
      <x:c r="BQ690" s="13"/>
      <x:c r="BR690" s="13"/>
      <x:c r="BS690" s="13"/>
      <x:c r="BT690" s="13"/>
      <x:c r="BU690" s="13"/>
      <x:c r="BV690" s="13"/>
      <x:c r="BW690" s="13"/>
      <x:c r="BX690" s="13"/>
      <x:c r="BY690" s="13"/>
      <x:c r="BZ690" s="13"/>
      <x:c r="CA690" s="13"/>
      <x:c r="CB690" s="13"/>
      <x:c r="CC690" s="13"/>
      <x:c r="CD690" s="13"/>
      <x:c r="CE690" s="13"/>
      <x:c r="CF690" s="13"/>
      <x:c r="CG690" s="13"/>
    </x:row>
    <x:row r="691" ht="14.25" customHeight="1">
      <x:c r="AA691" s="3"/>
      <x:c r="AF691" s="3"/>
      <x:c r="AG691" s="3"/>
      <x:c r="AH691" s="3"/>
      <x:c r="AI691" s="3"/>
      <x:c r="AJ691" s="3"/>
      <x:c r="AK691" s="3"/>
      <x:c r="AL691" s="3"/>
      <x:c r="AM691" s="3"/>
      <x:c r="AT691" s="3"/>
      <x:c r="AU691" s="3"/>
      <x:c r="AV691" s="3"/>
      <x:c r="AW691" s="3"/>
      <x:c r="AX691" s="3"/>
      <x:c r="AY691" s="3"/>
      <x:c r="AZ691" s="3"/>
      <x:c r="BA691" s="3"/>
      <x:c r="BC691" s="3"/>
      <x:c r="BD691" s="3"/>
      <x:c r="BE691" s="3"/>
      <x:c r="BF691" s="3"/>
      <x:c r="BG691" s="3"/>
      <x:c r="BH691" s="13"/>
      <x:c r="BI691" s="13"/>
      <x:c r="BJ691" s="13"/>
      <x:c r="BK691" s="13"/>
      <x:c r="BL691" s="13"/>
      <x:c r="BM691" s="13"/>
      <x:c r="BN691" s="13"/>
      <x:c r="BO691" s="13"/>
      <x:c r="BP691" s="13"/>
      <x:c r="BQ691" s="13"/>
      <x:c r="BR691" s="13"/>
      <x:c r="BS691" s="13"/>
      <x:c r="BT691" s="13"/>
      <x:c r="BU691" s="13"/>
      <x:c r="BV691" s="13"/>
      <x:c r="BW691" s="13"/>
      <x:c r="BX691" s="13"/>
      <x:c r="BY691" s="13"/>
      <x:c r="BZ691" s="13"/>
      <x:c r="CA691" s="13"/>
      <x:c r="CB691" s="13"/>
      <x:c r="CC691" s="13"/>
      <x:c r="CD691" s="13"/>
      <x:c r="CE691" s="13"/>
      <x:c r="CF691" s="13"/>
      <x:c r="CG691" s="13"/>
    </x:row>
    <x:row r="692" ht="14.25" customHeight="1">
      <x:c r="AA692" s="3"/>
      <x:c r="AF692" s="3"/>
      <x:c r="AG692" s="3"/>
      <x:c r="AH692" s="3"/>
      <x:c r="AI692" s="3"/>
      <x:c r="AJ692" s="3"/>
      <x:c r="AK692" s="3"/>
      <x:c r="AL692" s="3"/>
      <x:c r="AM692" s="3"/>
      <x:c r="AT692" s="3"/>
      <x:c r="AU692" s="3"/>
      <x:c r="AV692" s="3"/>
      <x:c r="AW692" s="3"/>
      <x:c r="AX692" s="3"/>
      <x:c r="AY692" s="3"/>
      <x:c r="AZ692" s="3"/>
      <x:c r="BA692" s="3"/>
      <x:c r="BC692" s="3"/>
      <x:c r="BD692" s="3"/>
      <x:c r="BE692" s="3"/>
      <x:c r="BF692" s="3"/>
      <x:c r="BG692" s="3"/>
      <x:c r="BH692" s="13"/>
      <x:c r="BI692" s="13"/>
      <x:c r="BJ692" s="13"/>
      <x:c r="BK692" s="13"/>
      <x:c r="BL692" s="13"/>
      <x:c r="BM692" s="13"/>
      <x:c r="BN692" s="13"/>
      <x:c r="BO692" s="13"/>
      <x:c r="BP692" s="13"/>
      <x:c r="BQ692" s="13"/>
      <x:c r="BR692" s="13"/>
      <x:c r="BS692" s="13"/>
      <x:c r="BT692" s="13"/>
      <x:c r="BU692" s="13"/>
      <x:c r="BV692" s="13"/>
      <x:c r="BW692" s="13"/>
      <x:c r="BX692" s="13"/>
      <x:c r="BY692" s="13"/>
      <x:c r="BZ692" s="13"/>
      <x:c r="CA692" s="13"/>
      <x:c r="CB692" s="13"/>
      <x:c r="CC692" s="13"/>
      <x:c r="CD692" s="13"/>
      <x:c r="CE692" s="13"/>
      <x:c r="CF692" s="13"/>
      <x:c r="CG692" s="13"/>
    </x:row>
    <x:row r="693" ht="14.25" customHeight="1">
      <x:c r="AA693" s="3"/>
      <x:c r="AF693" s="3"/>
      <x:c r="AG693" s="3"/>
      <x:c r="AH693" s="3"/>
      <x:c r="AI693" s="3"/>
      <x:c r="AJ693" s="3"/>
      <x:c r="AK693" s="3"/>
      <x:c r="AL693" s="3"/>
      <x:c r="AM693" s="3"/>
      <x:c r="AT693" s="3"/>
      <x:c r="AU693" s="3"/>
      <x:c r="AV693" s="3"/>
      <x:c r="AW693" s="3"/>
      <x:c r="AX693" s="3"/>
      <x:c r="AY693" s="3"/>
      <x:c r="AZ693" s="3"/>
      <x:c r="BA693" s="3"/>
      <x:c r="BC693" s="3"/>
      <x:c r="BD693" s="3"/>
      <x:c r="BE693" s="3"/>
      <x:c r="BF693" s="3"/>
      <x:c r="BG693" s="3"/>
      <x:c r="BH693" s="13"/>
      <x:c r="BI693" s="13"/>
      <x:c r="BJ693" s="13"/>
      <x:c r="BK693" s="13"/>
      <x:c r="BL693" s="13"/>
      <x:c r="BM693" s="13"/>
      <x:c r="BN693" s="13"/>
      <x:c r="BO693" s="13"/>
      <x:c r="BP693" s="13"/>
      <x:c r="BQ693" s="13"/>
      <x:c r="BR693" s="13"/>
      <x:c r="BS693" s="13"/>
      <x:c r="BT693" s="13"/>
      <x:c r="BU693" s="13"/>
      <x:c r="BV693" s="13"/>
      <x:c r="BW693" s="13"/>
      <x:c r="BX693" s="13"/>
      <x:c r="BY693" s="13"/>
      <x:c r="BZ693" s="13"/>
      <x:c r="CA693" s="13"/>
      <x:c r="CB693" s="13"/>
      <x:c r="CC693" s="13"/>
      <x:c r="CD693" s="13"/>
      <x:c r="CE693" s="13"/>
      <x:c r="CF693" s="13"/>
      <x:c r="CG693" s="13"/>
    </x:row>
    <x:row r="694" ht="14.25" customHeight="1">
      <x:c r="AA694" s="3"/>
      <x:c r="AF694" s="3"/>
      <x:c r="AG694" s="3"/>
      <x:c r="AH694" s="3"/>
      <x:c r="AI694" s="3"/>
      <x:c r="AJ694" s="3"/>
      <x:c r="AK694" s="3"/>
      <x:c r="AL694" s="3"/>
      <x:c r="AM694" s="3"/>
      <x:c r="AT694" s="3"/>
      <x:c r="AU694" s="3"/>
      <x:c r="AV694" s="3"/>
      <x:c r="AW694" s="3"/>
      <x:c r="AX694" s="3"/>
      <x:c r="AY694" s="3"/>
      <x:c r="AZ694" s="3"/>
      <x:c r="BA694" s="3"/>
      <x:c r="BC694" s="3"/>
      <x:c r="BD694" s="3"/>
      <x:c r="BE694" s="3"/>
      <x:c r="BF694" s="3"/>
      <x:c r="BG694" s="3"/>
      <x:c r="BH694" s="13"/>
      <x:c r="BI694" s="13"/>
      <x:c r="BJ694" s="13"/>
      <x:c r="BK694" s="13"/>
      <x:c r="BL694" s="13"/>
      <x:c r="BM694" s="13"/>
      <x:c r="BN694" s="13"/>
      <x:c r="BO694" s="13"/>
      <x:c r="BP694" s="13"/>
      <x:c r="BQ694" s="13"/>
      <x:c r="BR694" s="13"/>
      <x:c r="BS694" s="13"/>
      <x:c r="BT694" s="13"/>
      <x:c r="BU694" s="13"/>
      <x:c r="BV694" s="13"/>
      <x:c r="BW694" s="13"/>
      <x:c r="BX694" s="13"/>
      <x:c r="BY694" s="13"/>
      <x:c r="BZ694" s="13"/>
      <x:c r="CA694" s="13"/>
      <x:c r="CB694" s="13"/>
      <x:c r="CC694" s="13"/>
      <x:c r="CD694" s="13"/>
      <x:c r="CE694" s="13"/>
      <x:c r="CF694" s="13"/>
      <x:c r="CG694" s="13"/>
    </x:row>
    <x:row r="695" ht="14.25" customHeight="1">
      <x:c r="AA695" s="3"/>
      <x:c r="AF695" s="3"/>
      <x:c r="AG695" s="3"/>
      <x:c r="AH695" s="3"/>
      <x:c r="AI695" s="3"/>
      <x:c r="AJ695" s="3"/>
      <x:c r="AK695" s="3"/>
      <x:c r="AL695" s="3"/>
      <x:c r="AM695" s="3"/>
      <x:c r="AT695" s="3"/>
      <x:c r="AU695" s="3"/>
      <x:c r="AV695" s="3"/>
      <x:c r="AW695" s="3"/>
      <x:c r="AX695" s="3"/>
      <x:c r="AY695" s="3"/>
      <x:c r="AZ695" s="3"/>
      <x:c r="BA695" s="3"/>
      <x:c r="BC695" s="3"/>
      <x:c r="BD695" s="3"/>
      <x:c r="BE695" s="3"/>
      <x:c r="BF695" s="3"/>
      <x:c r="BG695" s="3"/>
      <x:c r="BH695" s="13"/>
      <x:c r="BI695" s="13"/>
      <x:c r="BJ695" s="13"/>
      <x:c r="BK695" s="13"/>
      <x:c r="BL695" s="13"/>
      <x:c r="BM695" s="13"/>
      <x:c r="BN695" s="13"/>
      <x:c r="BO695" s="13"/>
      <x:c r="BP695" s="13"/>
      <x:c r="BQ695" s="13"/>
      <x:c r="BR695" s="13"/>
      <x:c r="BS695" s="13"/>
      <x:c r="BT695" s="13"/>
      <x:c r="BU695" s="13"/>
      <x:c r="BV695" s="13"/>
      <x:c r="BW695" s="13"/>
      <x:c r="BX695" s="13"/>
      <x:c r="BY695" s="13"/>
      <x:c r="BZ695" s="13"/>
      <x:c r="CA695" s="13"/>
      <x:c r="CB695" s="13"/>
      <x:c r="CC695" s="13"/>
      <x:c r="CD695" s="13"/>
      <x:c r="CE695" s="13"/>
      <x:c r="CF695" s="13"/>
      <x:c r="CG695" s="13"/>
    </x:row>
    <x:row r="696" ht="14.25" customHeight="1">
      <x:c r="AA696" s="3"/>
      <x:c r="AF696" s="3"/>
      <x:c r="AG696" s="3"/>
      <x:c r="AH696" s="3"/>
      <x:c r="AI696" s="3"/>
      <x:c r="AJ696" s="3"/>
      <x:c r="AK696" s="3"/>
      <x:c r="AL696" s="3"/>
      <x:c r="AM696" s="3"/>
      <x:c r="AT696" s="3"/>
      <x:c r="AU696" s="3"/>
      <x:c r="AV696" s="3"/>
      <x:c r="AW696" s="3"/>
      <x:c r="AX696" s="3"/>
      <x:c r="AY696" s="3"/>
      <x:c r="AZ696" s="3"/>
      <x:c r="BA696" s="3"/>
      <x:c r="BC696" s="3"/>
      <x:c r="BD696" s="3"/>
      <x:c r="BE696" s="3"/>
      <x:c r="BF696" s="3"/>
      <x:c r="BG696" s="3"/>
      <x:c r="BH696" s="13"/>
      <x:c r="BI696" s="13"/>
      <x:c r="BJ696" s="13"/>
      <x:c r="BK696" s="13"/>
      <x:c r="BL696" s="13"/>
      <x:c r="BM696" s="13"/>
      <x:c r="BN696" s="13"/>
      <x:c r="BO696" s="13"/>
      <x:c r="BP696" s="13"/>
      <x:c r="BQ696" s="13"/>
      <x:c r="BR696" s="13"/>
      <x:c r="BS696" s="13"/>
      <x:c r="BT696" s="13"/>
      <x:c r="BU696" s="13"/>
      <x:c r="BV696" s="13"/>
      <x:c r="BW696" s="13"/>
      <x:c r="BX696" s="13"/>
      <x:c r="BY696" s="13"/>
      <x:c r="BZ696" s="13"/>
      <x:c r="CA696" s="13"/>
      <x:c r="CB696" s="13"/>
      <x:c r="CC696" s="13"/>
      <x:c r="CD696" s="13"/>
      <x:c r="CE696" s="13"/>
      <x:c r="CF696" s="13"/>
      <x:c r="CG696" s="13"/>
    </x:row>
    <x:row r="697" ht="14.25" customHeight="1">
      <x:c r="AA697" s="3"/>
      <x:c r="AF697" s="3"/>
      <x:c r="AG697" s="3"/>
      <x:c r="AH697" s="3"/>
      <x:c r="AI697" s="3"/>
      <x:c r="AJ697" s="3"/>
      <x:c r="AK697" s="3"/>
      <x:c r="AL697" s="3"/>
      <x:c r="AM697" s="3"/>
      <x:c r="AT697" s="3"/>
      <x:c r="AU697" s="3"/>
      <x:c r="AV697" s="3"/>
      <x:c r="AW697" s="3"/>
      <x:c r="AX697" s="3"/>
      <x:c r="AY697" s="3"/>
      <x:c r="AZ697" s="3"/>
      <x:c r="BA697" s="3"/>
      <x:c r="BC697" s="3"/>
      <x:c r="BD697" s="3"/>
      <x:c r="BE697" s="3"/>
      <x:c r="BF697" s="3"/>
      <x:c r="BG697" s="3"/>
      <x:c r="BH697" s="13"/>
      <x:c r="BI697" s="13"/>
      <x:c r="BJ697" s="13"/>
      <x:c r="BK697" s="13"/>
      <x:c r="BL697" s="13"/>
      <x:c r="BM697" s="13"/>
      <x:c r="BN697" s="13"/>
      <x:c r="BO697" s="13"/>
      <x:c r="BP697" s="13"/>
      <x:c r="BQ697" s="13"/>
      <x:c r="BR697" s="13"/>
      <x:c r="BS697" s="13"/>
      <x:c r="BT697" s="13"/>
      <x:c r="BU697" s="13"/>
      <x:c r="BV697" s="13"/>
      <x:c r="BW697" s="13"/>
      <x:c r="BX697" s="13"/>
      <x:c r="BY697" s="13"/>
      <x:c r="BZ697" s="13"/>
      <x:c r="CA697" s="13"/>
      <x:c r="CB697" s="13"/>
      <x:c r="CC697" s="13"/>
      <x:c r="CD697" s="13"/>
      <x:c r="CE697" s="13"/>
      <x:c r="CF697" s="13"/>
      <x:c r="CG697" s="13"/>
    </x:row>
    <x:row r="698" ht="14.25" customHeight="1">
      <x:c r="AA698" s="3"/>
      <x:c r="AF698" s="3"/>
      <x:c r="AG698" s="3"/>
      <x:c r="AH698" s="3"/>
      <x:c r="AI698" s="3"/>
      <x:c r="AJ698" s="3"/>
      <x:c r="AK698" s="3"/>
      <x:c r="AL698" s="3"/>
      <x:c r="AM698" s="3"/>
      <x:c r="AT698" s="3"/>
      <x:c r="AU698" s="3"/>
      <x:c r="AV698" s="3"/>
      <x:c r="AW698" s="3"/>
      <x:c r="AX698" s="3"/>
      <x:c r="AY698" s="3"/>
      <x:c r="AZ698" s="3"/>
      <x:c r="BA698" s="3"/>
      <x:c r="BC698" s="3"/>
      <x:c r="BD698" s="3"/>
      <x:c r="BE698" s="3"/>
      <x:c r="BF698" s="3"/>
      <x:c r="BG698" s="3"/>
      <x:c r="BH698" s="13"/>
      <x:c r="BI698" s="13"/>
      <x:c r="BJ698" s="13"/>
      <x:c r="BK698" s="13"/>
      <x:c r="BL698" s="13"/>
      <x:c r="BM698" s="13"/>
      <x:c r="BN698" s="13"/>
      <x:c r="BO698" s="13"/>
      <x:c r="BP698" s="13"/>
      <x:c r="BQ698" s="13"/>
      <x:c r="BR698" s="13"/>
      <x:c r="BS698" s="13"/>
      <x:c r="BT698" s="13"/>
      <x:c r="BU698" s="13"/>
      <x:c r="BV698" s="13"/>
      <x:c r="BW698" s="13"/>
      <x:c r="BX698" s="13"/>
      <x:c r="BY698" s="13"/>
      <x:c r="BZ698" s="13"/>
      <x:c r="CA698" s="13"/>
      <x:c r="CB698" s="13"/>
      <x:c r="CC698" s="13"/>
      <x:c r="CD698" s="13"/>
      <x:c r="CE698" s="13"/>
      <x:c r="CF698" s="13"/>
      <x:c r="CG698" s="13"/>
    </x:row>
    <x:row r="699" ht="14.25" customHeight="1">
      <x:c r="AA699" s="3"/>
      <x:c r="AF699" s="3"/>
      <x:c r="AG699" s="3"/>
      <x:c r="AH699" s="3"/>
      <x:c r="AI699" s="3"/>
      <x:c r="AJ699" s="3"/>
      <x:c r="AK699" s="3"/>
      <x:c r="AL699" s="3"/>
      <x:c r="AM699" s="3"/>
      <x:c r="AT699" s="3"/>
      <x:c r="AU699" s="3"/>
      <x:c r="AV699" s="3"/>
      <x:c r="AW699" s="3"/>
      <x:c r="AX699" s="3"/>
      <x:c r="AY699" s="3"/>
      <x:c r="AZ699" s="3"/>
      <x:c r="BA699" s="3"/>
      <x:c r="BC699" s="3"/>
      <x:c r="BD699" s="3"/>
      <x:c r="BE699" s="3"/>
      <x:c r="BF699" s="3"/>
      <x:c r="BG699" s="3"/>
      <x:c r="BH699" s="13"/>
      <x:c r="BI699" s="13"/>
      <x:c r="BJ699" s="13"/>
      <x:c r="BK699" s="13"/>
      <x:c r="BL699" s="13"/>
      <x:c r="BM699" s="13"/>
      <x:c r="BN699" s="13"/>
      <x:c r="BO699" s="13"/>
      <x:c r="BP699" s="13"/>
      <x:c r="BQ699" s="13"/>
      <x:c r="BR699" s="13"/>
      <x:c r="BS699" s="13"/>
      <x:c r="BT699" s="13"/>
      <x:c r="BU699" s="13"/>
      <x:c r="BV699" s="13"/>
      <x:c r="BW699" s="13"/>
      <x:c r="BX699" s="13"/>
      <x:c r="BY699" s="13"/>
      <x:c r="BZ699" s="13"/>
      <x:c r="CA699" s="13"/>
      <x:c r="CB699" s="13"/>
      <x:c r="CC699" s="13"/>
      <x:c r="CD699" s="13"/>
      <x:c r="CE699" s="13"/>
      <x:c r="CF699" s="13"/>
      <x:c r="CG699" s="13"/>
    </x:row>
    <x:row r="700" ht="14.25" customHeight="1">
      <x:c r="AA700" s="3"/>
      <x:c r="AF700" s="3"/>
      <x:c r="AG700" s="3"/>
      <x:c r="AH700" s="3"/>
      <x:c r="AI700" s="3"/>
      <x:c r="AJ700" s="3"/>
      <x:c r="AK700" s="3"/>
      <x:c r="AL700" s="3"/>
      <x:c r="AM700" s="3"/>
      <x:c r="AT700" s="3"/>
      <x:c r="AU700" s="3"/>
      <x:c r="AV700" s="3"/>
      <x:c r="AW700" s="3"/>
      <x:c r="AX700" s="3"/>
      <x:c r="AY700" s="3"/>
      <x:c r="AZ700" s="3"/>
      <x:c r="BA700" s="3"/>
      <x:c r="BC700" s="3"/>
      <x:c r="BD700" s="3"/>
      <x:c r="BE700" s="3"/>
      <x:c r="BF700" s="3"/>
      <x:c r="BG700" s="3"/>
      <x:c r="BH700" s="13"/>
      <x:c r="BI700" s="13"/>
      <x:c r="BJ700" s="13"/>
      <x:c r="BK700" s="13"/>
      <x:c r="BL700" s="13"/>
      <x:c r="BM700" s="13"/>
      <x:c r="BN700" s="13"/>
      <x:c r="BO700" s="13"/>
      <x:c r="BP700" s="13"/>
      <x:c r="BQ700" s="13"/>
      <x:c r="BR700" s="13"/>
      <x:c r="BS700" s="13"/>
      <x:c r="BT700" s="13"/>
      <x:c r="BU700" s="13"/>
      <x:c r="BV700" s="13"/>
      <x:c r="BW700" s="13"/>
      <x:c r="BX700" s="13"/>
      <x:c r="BY700" s="13"/>
      <x:c r="BZ700" s="13"/>
      <x:c r="CA700" s="13"/>
      <x:c r="CB700" s="13"/>
      <x:c r="CC700" s="13"/>
      <x:c r="CD700" s="13"/>
      <x:c r="CE700" s="13"/>
      <x:c r="CF700" s="13"/>
      <x:c r="CG700" s="13"/>
    </x:row>
    <x:row r="701" ht="14.25" customHeight="1">
      <x:c r="AA701" s="3"/>
      <x:c r="AF701" s="3"/>
      <x:c r="AG701" s="3"/>
      <x:c r="AH701" s="3"/>
      <x:c r="AI701" s="3"/>
      <x:c r="AJ701" s="3"/>
      <x:c r="AK701" s="3"/>
      <x:c r="AL701" s="3"/>
      <x:c r="AM701" s="3"/>
      <x:c r="AT701" s="3"/>
      <x:c r="AU701" s="3"/>
      <x:c r="AV701" s="3"/>
      <x:c r="AW701" s="3"/>
      <x:c r="AX701" s="3"/>
      <x:c r="AY701" s="3"/>
      <x:c r="AZ701" s="3"/>
      <x:c r="BA701" s="3"/>
      <x:c r="BC701" s="3"/>
      <x:c r="BD701" s="3"/>
      <x:c r="BE701" s="3"/>
      <x:c r="BF701" s="3"/>
      <x:c r="BG701" s="3"/>
      <x:c r="BH701" s="13"/>
      <x:c r="BI701" s="13"/>
      <x:c r="BJ701" s="13"/>
      <x:c r="BK701" s="13"/>
      <x:c r="BL701" s="13"/>
      <x:c r="BM701" s="13"/>
      <x:c r="BN701" s="13"/>
      <x:c r="BO701" s="13"/>
      <x:c r="BP701" s="13"/>
      <x:c r="BQ701" s="13"/>
      <x:c r="BR701" s="13"/>
      <x:c r="BS701" s="13"/>
      <x:c r="BT701" s="13"/>
      <x:c r="BU701" s="13"/>
      <x:c r="BV701" s="13"/>
      <x:c r="BW701" s="13"/>
      <x:c r="BX701" s="13"/>
      <x:c r="BY701" s="13"/>
      <x:c r="BZ701" s="13"/>
      <x:c r="CA701" s="13"/>
      <x:c r="CB701" s="13"/>
      <x:c r="CC701" s="13"/>
      <x:c r="CD701" s="13"/>
      <x:c r="CE701" s="13"/>
      <x:c r="CF701" s="13"/>
      <x:c r="CG701" s="13"/>
    </x:row>
    <x:row r="702" ht="14.25" customHeight="1">
      <x:c r="AA702" s="3"/>
      <x:c r="AF702" s="3"/>
      <x:c r="AG702" s="3"/>
      <x:c r="AH702" s="3"/>
      <x:c r="AI702" s="3"/>
      <x:c r="AJ702" s="3"/>
      <x:c r="AK702" s="3"/>
      <x:c r="AL702" s="3"/>
      <x:c r="AM702" s="3"/>
      <x:c r="AT702" s="3"/>
      <x:c r="AU702" s="3"/>
      <x:c r="AV702" s="3"/>
      <x:c r="AW702" s="3"/>
      <x:c r="AX702" s="3"/>
      <x:c r="AY702" s="3"/>
      <x:c r="AZ702" s="3"/>
      <x:c r="BA702" s="3"/>
      <x:c r="BC702" s="3"/>
      <x:c r="BD702" s="3"/>
      <x:c r="BE702" s="3"/>
      <x:c r="BF702" s="3"/>
      <x:c r="BG702" s="3"/>
      <x:c r="BH702" s="13"/>
      <x:c r="BI702" s="13"/>
      <x:c r="BJ702" s="13"/>
      <x:c r="BK702" s="13"/>
      <x:c r="BL702" s="13"/>
      <x:c r="BM702" s="13"/>
      <x:c r="BN702" s="13"/>
      <x:c r="BO702" s="13"/>
      <x:c r="BP702" s="13"/>
      <x:c r="BQ702" s="13"/>
      <x:c r="BR702" s="13"/>
      <x:c r="BS702" s="13"/>
      <x:c r="BT702" s="13"/>
      <x:c r="BU702" s="13"/>
      <x:c r="BV702" s="13"/>
      <x:c r="BW702" s="13"/>
      <x:c r="BX702" s="13"/>
      <x:c r="BY702" s="13"/>
      <x:c r="BZ702" s="13"/>
      <x:c r="CA702" s="13"/>
      <x:c r="CB702" s="13"/>
      <x:c r="CC702" s="13"/>
      <x:c r="CD702" s="13"/>
      <x:c r="CE702" s="13"/>
      <x:c r="CF702" s="13"/>
      <x:c r="CG702" s="13"/>
    </x:row>
    <x:row r="703" ht="14.25" customHeight="1">
      <x:c r="AA703" s="3"/>
      <x:c r="AF703" s="3"/>
      <x:c r="AG703" s="3"/>
      <x:c r="AH703" s="3"/>
      <x:c r="AI703" s="3"/>
      <x:c r="AJ703" s="3"/>
      <x:c r="AK703" s="3"/>
      <x:c r="AL703" s="3"/>
      <x:c r="AM703" s="3"/>
      <x:c r="AT703" s="3"/>
      <x:c r="AU703" s="3"/>
      <x:c r="AV703" s="3"/>
      <x:c r="AW703" s="3"/>
      <x:c r="AX703" s="3"/>
      <x:c r="AY703" s="3"/>
      <x:c r="AZ703" s="3"/>
      <x:c r="BA703" s="3"/>
      <x:c r="BC703" s="3"/>
      <x:c r="BD703" s="3"/>
      <x:c r="BE703" s="3"/>
      <x:c r="BF703" s="3"/>
      <x:c r="BG703" s="3"/>
      <x:c r="BH703" s="13"/>
      <x:c r="BI703" s="13"/>
      <x:c r="BJ703" s="13"/>
      <x:c r="BK703" s="13"/>
      <x:c r="BL703" s="13"/>
      <x:c r="BM703" s="13"/>
      <x:c r="BN703" s="13"/>
      <x:c r="BO703" s="13"/>
      <x:c r="BP703" s="13"/>
      <x:c r="BQ703" s="13"/>
      <x:c r="BR703" s="13"/>
      <x:c r="BS703" s="13"/>
      <x:c r="BT703" s="13"/>
      <x:c r="BU703" s="13"/>
      <x:c r="BV703" s="13"/>
      <x:c r="BW703" s="13"/>
      <x:c r="BX703" s="13"/>
      <x:c r="BY703" s="13"/>
      <x:c r="BZ703" s="13"/>
      <x:c r="CA703" s="13"/>
      <x:c r="CB703" s="13"/>
      <x:c r="CC703" s="13"/>
      <x:c r="CD703" s="13"/>
      <x:c r="CE703" s="13"/>
      <x:c r="CF703" s="13"/>
      <x:c r="CG703" s="13"/>
    </x:row>
    <x:row r="704" ht="14.25" customHeight="1">
      <x:c r="AA704" s="3"/>
      <x:c r="AF704" s="3"/>
      <x:c r="AG704" s="3"/>
      <x:c r="AH704" s="3"/>
      <x:c r="AI704" s="3"/>
      <x:c r="AJ704" s="3"/>
      <x:c r="AK704" s="3"/>
      <x:c r="AL704" s="3"/>
      <x:c r="AM704" s="3"/>
      <x:c r="AT704" s="3"/>
      <x:c r="AU704" s="3"/>
      <x:c r="AV704" s="3"/>
      <x:c r="AW704" s="3"/>
      <x:c r="AX704" s="3"/>
      <x:c r="AY704" s="3"/>
      <x:c r="AZ704" s="3"/>
      <x:c r="BA704" s="3"/>
      <x:c r="BC704" s="3"/>
      <x:c r="BD704" s="3"/>
      <x:c r="BE704" s="3"/>
      <x:c r="BF704" s="3"/>
      <x:c r="BG704" s="3"/>
      <x:c r="BH704" s="13"/>
      <x:c r="BI704" s="13"/>
      <x:c r="BJ704" s="13"/>
      <x:c r="BK704" s="13"/>
      <x:c r="BL704" s="13"/>
      <x:c r="BM704" s="13"/>
      <x:c r="BN704" s="13"/>
      <x:c r="BO704" s="13"/>
      <x:c r="BP704" s="13"/>
      <x:c r="BQ704" s="13"/>
      <x:c r="BR704" s="13"/>
      <x:c r="BS704" s="13"/>
      <x:c r="BT704" s="13"/>
      <x:c r="BU704" s="13"/>
      <x:c r="BV704" s="13"/>
      <x:c r="BW704" s="13"/>
      <x:c r="BX704" s="13"/>
      <x:c r="BY704" s="13"/>
      <x:c r="BZ704" s="13"/>
      <x:c r="CA704" s="13"/>
      <x:c r="CB704" s="13"/>
      <x:c r="CC704" s="13"/>
      <x:c r="CD704" s="13"/>
      <x:c r="CE704" s="13"/>
      <x:c r="CF704" s="13"/>
      <x:c r="CG704" s="13"/>
    </x:row>
    <x:row r="705" ht="14.25" customHeight="1">
      <x:c r="AA705" s="3"/>
      <x:c r="AF705" s="3"/>
      <x:c r="AG705" s="3"/>
      <x:c r="AH705" s="3"/>
      <x:c r="AI705" s="3"/>
      <x:c r="AJ705" s="3"/>
      <x:c r="AK705" s="3"/>
      <x:c r="AL705" s="3"/>
      <x:c r="AM705" s="3"/>
      <x:c r="AT705" s="3"/>
      <x:c r="AU705" s="3"/>
      <x:c r="AV705" s="3"/>
      <x:c r="AW705" s="3"/>
      <x:c r="AX705" s="3"/>
      <x:c r="AY705" s="3"/>
      <x:c r="AZ705" s="3"/>
      <x:c r="BA705" s="3"/>
      <x:c r="BC705" s="3"/>
      <x:c r="BD705" s="3"/>
      <x:c r="BE705" s="3"/>
      <x:c r="BF705" s="3"/>
      <x:c r="BG705" s="3"/>
      <x:c r="BH705" s="13"/>
      <x:c r="BI705" s="13"/>
      <x:c r="BJ705" s="13"/>
      <x:c r="BK705" s="13"/>
      <x:c r="BL705" s="13"/>
      <x:c r="BM705" s="13"/>
      <x:c r="BN705" s="13"/>
      <x:c r="BO705" s="13"/>
      <x:c r="BP705" s="13"/>
      <x:c r="BQ705" s="13"/>
      <x:c r="BR705" s="13"/>
      <x:c r="BS705" s="13"/>
      <x:c r="BT705" s="13"/>
      <x:c r="BU705" s="13"/>
      <x:c r="BV705" s="13"/>
      <x:c r="BW705" s="13"/>
      <x:c r="BX705" s="13"/>
      <x:c r="BY705" s="13"/>
      <x:c r="BZ705" s="13"/>
      <x:c r="CA705" s="13"/>
      <x:c r="CB705" s="13"/>
      <x:c r="CC705" s="13"/>
      <x:c r="CD705" s="13"/>
      <x:c r="CE705" s="13"/>
      <x:c r="CF705" s="13"/>
      <x:c r="CG705" s="13"/>
    </x:row>
    <x:row r="706" ht="14.25" customHeight="1">
      <x:c r="AA706" s="3"/>
      <x:c r="AF706" s="3"/>
      <x:c r="AG706" s="3"/>
      <x:c r="AH706" s="3"/>
      <x:c r="AI706" s="3"/>
      <x:c r="AJ706" s="3"/>
      <x:c r="AK706" s="3"/>
      <x:c r="AL706" s="3"/>
      <x:c r="AM706" s="3"/>
      <x:c r="AT706" s="3"/>
      <x:c r="AU706" s="3"/>
      <x:c r="AV706" s="3"/>
      <x:c r="AW706" s="3"/>
      <x:c r="AX706" s="3"/>
      <x:c r="AY706" s="3"/>
      <x:c r="AZ706" s="3"/>
      <x:c r="BA706" s="3"/>
      <x:c r="BC706" s="3"/>
      <x:c r="BD706" s="3"/>
      <x:c r="BE706" s="3"/>
      <x:c r="BF706" s="3"/>
      <x:c r="BG706" s="3"/>
      <x:c r="BH706" s="13"/>
      <x:c r="BI706" s="13"/>
      <x:c r="BJ706" s="13"/>
      <x:c r="BK706" s="13"/>
      <x:c r="BL706" s="13"/>
      <x:c r="BM706" s="13"/>
      <x:c r="BN706" s="13"/>
      <x:c r="BO706" s="13"/>
      <x:c r="BP706" s="13"/>
      <x:c r="BQ706" s="13"/>
      <x:c r="BR706" s="13"/>
      <x:c r="BS706" s="13"/>
      <x:c r="BT706" s="13"/>
      <x:c r="BU706" s="13"/>
      <x:c r="BV706" s="13"/>
      <x:c r="BW706" s="13"/>
      <x:c r="BX706" s="13"/>
      <x:c r="BY706" s="13"/>
      <x:c r="BZ706" s="13"/>
      <x:c r="CA706" s="13"/>
      <x:c r="CB706" s="13"/>
      <x:c r="CC706" s="13"/>
      <x:c r="CD706" s="13"/>
      <x:c r="CE706" s="13"/>
      <x:c r="CF706" s="13"/>
      <x:c r="CG706" s="13"/>
    </x:row>
    <x:row r="707" ht="14.25" customHeight="1">
      <x:c r="AA707" s="3"/>
      <x:c r="AF707" s="3"/>
      <x:c r="AG707" s="3"/>
      <x:c r="AH707" s="3"/>
      <x:c r="AI707" s="3"/>
      <x:c r="AJ707" s="3"/>
      <x:c r="AK707" s="3"/>
      <x:c r="AL707" s="3"/>
      <x:c r="AM707" s="3"/>
      <x:c r="AT707" s="3"/>
      <x:c r="AU707" s="3"/>
      <x:c r="AV707" s="3"/>
      <x:c r="AW707" s="3"/>
      <x:c r="AX707" s="3"/>
      <x:c r="AY707" s="3"/>
      <x:c r="AZ707" s="3"/>
      <x:c r="BA707" s="3"/>
      <x:c r="BC707" s="3"/>
      <x:c r="BD707" s="3"/>
      <x:c r="BE707" s="3"/>
      <x:c r="BF707" s="3"/>
      <x:c r="BG707" s="3"/>
      <x:c r="BH707" s="13"/>
      <x:c r="BI707" s="13"/>
      <x:c r="BJ707" s="13"/>
      <x:c r="BK707" s="13"/>
      <x:c r="BL707" s="13"/>
      <x:c r="BM707" s="13"/>
      <x:c r="BN707" s="13"/>
      <x:c r="BO707" s="13"/>
      <x:c r="BP707" s="13"/>
      <x:c r="BQ707" s="13"/>
      <x:c r="BR707" s="13"/>
      <x:c r="BS707" s="13"/>
      <x:c r="BT707" s="13"/>
      <x:c r="BU707" s="13"/>
      <x:c r="BV707" s="13"/>
      <x:c r="BW707" s="13"/>
      <x:c r="BX707" s="13"/>
      <x:c r="BY707" s="13"/>
      <x:c r="BZ707" s="13"/>
      <x:c r="CA707" s="13"/>
      <x:c r="CB707" s="13"/>
      <x:c r="CC707" s="13"/>
      <x:c r="CD707" s="13"/>
      <x:c r="CE707" s="13"/>
      <x:c r="CF707" s="13"/>
      <x:c r="CG707" s="13"/>
    </x:row>
    <x:row r="708" ht="14.25" customHeight="1">
      <x:c r="AA708" s="3"/>
      <x:c r="AF708" s="3"/>
      <x:c r="AG708" s="3"/>
      <x:c r="AH708" s="3"/>
      <x:c r="AI708" s="3"/>
      <x:c r="AJ708" s="3"/>
      <x:c r="AK708" s="3"/>
      <x:c r="AL708" s="3"/>
      <x:c r="AM708" s="3"/>
      <x:c r="AT708" s="3"/>
      <x:c r="AU708" s="3"/>
      <x:c r="AV708" s="3"/>
      <x:c r="AW708" s="3"/>
      <x:c r="AX708" s="3"/>
      <x:c r="AY708" s="3"/>
      <x:c r="AZ708" s="3"/>
      <x:c r="BA708" s="3"/>
      <x:c r="BC708" s="3"/>
      <x:c r="BD708" s="3"/>
      <x:c r="BE708" s="3"/>
      <x:c r="BF708" s="3"/>
      <x:c r="BG708" s="3"/>
      <x:c r="BH708" s="13"/>
      <x:c r="BI708" s="13"/>
      <x:c r="BJ708" s="13"/>
      <x:c r="BK708" s="13"/>
      <x:c r="BL708" s="13"/>
      <x:c r="BM708" s="13"/>
      <x:c r="BN708" s="13"/>
      <x:c r="BO708" s="13"/>
      <x:c r="BP708" s="13"/>
      <x:c r="BQ708" s="13"/>
      <x:c r="BR708" s="13"/>
      <x:c r="BS708" s="13"/>
      <x:c r="BT708" s="13"/>
      <x:c r="BU708" s="13"/>
      <x:c r="BV708" s="13"/>
      <x:c r="BW708" s="13"/>
      <x:c r="BX708" s="13"/>
      <x:c r="BY708" s="13"/>
      <x:c r="BZ708" s="13"/>
      <x:c r="CA708" s="13"/>
      <x:c r="CB708" s="13"/>
      <x:c r="CC708" s="13"/>
      <x:c r="CD708" s="13"/>
      <x:c r="CE708" s="13"/>
      <x:c r="CF708" s="13"/>
      <x:c r="CG708" s="13"/>
    </x:row>
    <x:row r="709" ht="14.25" customHeight="1">
      <x:c r="AA709" s="3"/>
      <x:c r="AF709" s="3"/>
      <x:c r="AG709" s="3"/>
      <x:c r="AH709" s="3"/>
      <x:c r="AI709" s="3"/>
      <x:c r="AJ709" s="3"/>
      <x:c r="AK709" s="3"/>
      <x:c r="AL709" s="3"/>
      <x:c r="AM709" s="3"/>
      <x:c r="AT709" s="3"/>
      <x:c r="AU709" s="3"/>
      <x:c r="AV709" s="3"/>
      <x:c r="AW709" s="3"/>
      <x:c r="AX709" s="3"/>
      <x:c r="AY709" s="3"/>
      <x:c r="AZ709" s="3"/>
      <x:c r="BA709" s="3"/>
      <x:c r="BC709" s="3"/>
      <x:c r="BD709" s="3"/>
      <x:c r="BE709" s="3"/>
      <x:c r="BF709" s="3"/>
      <x:c r="BG709" s="3"/>
      <x:c r="BH709" s="13"/>
      <x:c r="BI709" s="13"/>
      <x:c r="BJ709" s="13"/>
      <x:c r="BK709" s="13"/>
      <x:c r="BL709" s="13"/>
      <x:c r="BM709" s="13"/>
      <x:c r="BN709" s="13"/>
      <x:c r="BO709" s="13"/>
      <x:c r="BP709" s="13"/>
      <x:c r="BQ709" s="13"/>
      <x:c r="BR709" s="13"/>
      <x:c r="BS709" s="13"/>
      <x:c r="BT709" s="13"/>
      <x:c r="BU709" s="13"/>
      <x:c r="BV709" s="13"/>
      <x:c r="BW709" s="13"/>
      <x:c r="BX709" s="13"/>
      <x:c r="BY709" s="13"/>
      <x:c r="BZ709" s="13"/>
      <x:c r="CA709" s="13"/>
      <x:c r="CB709" s="13"/>
      <x:c r="CC709" s="13"/>
      <x:c r="CD709" s="13"/>
      <x:c r="CE709" s="13"/>
      <x:c r="CF709" s="13"/>
      <x:c r="CG709" s="13"/>
    </x:row>
    <x:row r="710" ht="14.25" customHeight="1">
      <x:c r="AA710" s="3"/>
      <x:c r="AF710" s="3"/>
      <x:c r="AG710" s="3"/>
      <x:c r="AH710" s="3"/>
      <x:c r="AI710" s="3"/>
      <x:c r="AJ710" s="3"/>
      <x:c r="AK710" s="3"/>
      <x:c r="AL710" s="3"/>
      <x:c r="AM710" s="3"/>
      <x:c r="AT710" s="3"/>
      <x:c r="AU710" s="3"/>
      <x:c r="AV710" s="3"/>
      <x:c r="AW710" s="3"/>
      <x:c r="AX710" s="3"/>
      <x:c r="AY710" s="3"/>
      <x:c r="AZ710" s="3"/>
      <x:c r="BA710" s="3"/>
      <x:c r="BC710" s="3"/>
      <x:c r="BD710" s="3"/>
      <x:c r="BE710" s="3"/>
      <x:c r="BF710" s="3"/>
      <x:c r="BG710" s="3"/>
      <x:c r="BH710" s="13"/>
      <x:c r="BI710" s="13"/>
      <x:c r="BJ710" s="13"/>
      <x:c r="BK710" s="13"/>
      <x:c r="BL710" s="13"/>
      <x:c r="BM710" s="13"/>
      <x:c r="BN710" s="13"/>
      <x:c r="BO710" s="13"/>
      <x:c r="BP710" s="13"/>
      <x:c r="BQ710" s="13"/>
      <x:c r="BR710" s="13"/>
      <x:c r="BS710" s="13"/>
      <x:c r="BT710" s="13"/>
      <x:c r="BU710" s="13"/>
      <x:c r="BV710" s="13"/>
      <x:c r="BW710" s="13"/>
      <x:c r="BX710" s="13"/>
      <x:c r="BY710" s="13"/>
      <x:c r="BZ710" s="13"/>
      <x:c r="CA710" s="13"/>
      <x:c r="CB710" s="13"/>
      <x:c r="CC710" s="13"/>
      <x:c r="CD710" s="13"/>
      <x:c r="CE710" s="13"/>
      <x:c r="CF710" s="13"/>
      <x:c r="CG710" s="13"/>
    </x:row>
    <x:row r="711" ht="14.25" customHeight="1">
      <x:c r="AA711" s="3"/>
      <x:c r="AF711" s="3"/>
      <x:c r="AG711" s="3"/>
      <x:c r="AH711" s="3"/>
      <x:c r="AI711" s="3"/>
      <x:c r="AJ711" s="3"/>
      <x:c r="AK711" s="3"/>
      <x:c r="AL711" s="3"/>
      <x:c r="AM711" s="3"/>
      <x:c r="AT711" s="3"/>
      <x:c r="AU711" s="3"/>
      <x:c r="AV711" s="3"/>
      <x:c r="AW711" s="3"/>
      <x:c r="AX711" s="3"/>
      <x:c r="AY711" s="3"/>
      <x:c r="AZ711" s="3"/>
      <x:c r="BA711" s="3"/>
      <x:c r="BC711" s="3"/>
      <x:c r="BD711" s="3"/>
      <x:c r="BE711" s="3"/>
      <x:c r="BF711" s="3"/>
      <x:c r="BG711" s="3"/>
      <x:c r="BH711" s="13"/>
      <x:c r="BI711" s="13"/>
      <x:c r="BJ711" s="13"/>
      <x:c r="BK711" s="13"/>
      <x:c r="BL711" s="13"/>
      <x:c r="BM711" s="13"/>
      <x:c r="BN711" s="13"/>
      <x:c r="BO711" s="13"/>
      <x:c r="BP711" s="13"/>
      <x:c r="BQ711" s="13"/>
      <x:c r="BR711" s="13"/>
      <x:c r="BS711" s="13"/>
      <x:c r="BT711" s="13"/>
      <x:c r="BU711" s="13"/>
      <x:c r="BV711" s="13"/>
      <x:c r="BW711" s="13"/>
      <x:c r="BX711" s="13"/>
      <x:c r="BY711" s="13"/>
      <x:c r="BZ711" s="13"/>
      <x:c r="CA711" s="13"/>
      <x:c r="CB711" s="13"/>
      <x:c r="CC711" s="13"/>
      <x:c r="CD711" s="13"/>
      <x:c r="CE711" s="13"/>
      <x:c r="CF711" s="13"/>
      <x:c r="CG711" s="13"/>
    </x:row>
    <x:row r="712" ht="14.25" customHeight="1">
      <x:c r="AA712" s="3"/>
      <x:c r="AF712" s="3"/>
      <x:c r="AG712" s="3"/>
      <x:c r="AH712" s="3"/>
      <x:c r="AI712" s="3"/>
      <x:c r="AJ712" s="3"/>
      <x:c r="AK712" s="3"/>
      <x:c r="AL712" s="3"/>
      <x:c r="AM712" s="3"/>
      <x:c r="AT712" s="3"/>
      <x:c r="AU712" s="3"/>
      <x:c r="AV712" s="3"/>
      <x:c r="AW712" s="3"/>
      <x:c r="AX712" s="3"/>
      <x:c r="AY712" s="3"/>
      <x:c r="AZ712" s="3"/>
      <x:c r="BA712" s="3"/>
      <x:c r="BC712" s="3"/>
      <x:c r="BD712" s="3"/>
      <x:c r="BE712" s="3"/>
      <x:c r="BF712" s="3"/>
      <x:c r="BG712" s="3"/>
      <x:c r="BH712" s="13"/>
      <x:c r="BI712" s="13"/>
      <x:c r="BJ712" s="13"/>
      <x:c r="BK712" s="13"/>
      <x:c r="BL712" s="13"/>
      <x:c r="BM712" s="13"/>
      <x:c r="BN712" s="13"/>
      <x:c r="BO712" s="13"/>
      <x:c r="BP712" s="13"/>
      <x:c r="BQ712" s="13"/>
      <x:c r="BR712" s="13"/>
      <x:c r="BS712" s="13"/>
      <x:c r="BT712" s="13"/>
      <x:c r="BU712" s="13"/>
      <x:c r="BV712" s="13"/>
      <x:c r="BW712" s="13"/>
      <x:c r="BX712" s="13"/>
      <x:c r="BY712" s="13"/>
      <x:c r="BZ712" s="13"/>
      <x:c r="CA712" s="13"/>
      <x:c r="CB712" s="13"/>
      <x:c r="CC712" s="13"/>
      <x:c r="CD712" s="13"/>
      <x:c r="CE712" s="13"/>
      <x:c r="CF712" s="13"/>
      <x:c r="CG712" s="13"/>
    </x:row>
    <x:row r="713" ht="14.25" customHeight="1">
      <x:c r="AA713" s="3"/>
      <x:c r="AF713" s="3"/>
      <x:c r="AG713" s="3"/>
      <x:c r="AH713" s="3"/>
      <x:c r="AI713" s="3"/>
      <x:c r="AJ713" s="3"/>
      <x:c r="AK713" s="3"/>
      <x:c r="AL713" s="3"/>
      <x:c r="AM713" s="3"/>
      <x:c r="AT713" s="3"/>
      <x:c r="AU713" s="3"/>
      <x:c r="AV713" s="3"/>
      <x:c r="AW713" s="3"/>
      <x:c r="AX713" s="3"/>
      <x:c r="AY713" s="3"/>
      <x:c r="AZ713" s="3"/>
      <x:c r="BA713" s="3"/>
      <x:c r="BC713" s="3"/>
      <x:c r="BD713" s="3"/>
      <x:c r="BE713" s="3"/>
      <x:c r="BF713" s="3"/>
      <x:c r="BG713" s="3"/>
      <x:c r="BH713" s="13"/>
      <x:c r="BI713" s="13"/>
      <x:c r="BJ713" s="13"/>
      <x:c r="BK713" s="13"/>
      <x:c r="BL713" s="13"/>
      <x:c r="BM713" s="13"/>
      <x:c r="BN713" s="13"/>
      <x:c r="BO713" s="13"/>
      <x:c r="BP713" s="13"/>
      <x:c r="BQ713" s="13"/>
      <x:c r="BR713" s="13"/>
      <x:c r="BS713" s="13"/>
      <x:c r="BT713" s="13"/>
      <x:c r="BU713" s="13"/>
      <x:c r="BV713" s="13"/>
      <x:c r="BW713" s="13"/>
      <x:c r="BX713" s="13"/>
      <x:c r="BY713" s="13"/>
      <x:c r="BZ713" s="13"/>
      <x:c r="CA713" s="13"/>
      <x:c r="CB713" s="13"/>
      <x:c r="CC713" s="13"/>
      <x:c r="CD713" s="13"/>
      <x:c r="CE713" s="13"/>
      <x:c r="CF713" s="13"/>
      <x:c r="CG713" s="13"/>
    </x:row>
    <x:row r="714" ht="14.25" customHeight="1">
      <x:c r="AA714" s="3"/>
      <x:c r="AF714" s="3"/>
      <x:c r="AG714" s="3"/>
      <x:c r="AH714" s="3"/>
      <x:c r="AI714" s="3"/>
      <x:c r="AJ714" s="3"/>
      <x:c r="AK714" s="3"/>
      <x:c r="AL714" s="3"/>
      <x:c r="AM714" s="3"/>
      <x:c r="AT714" s="3"/>
      <x:c r="AU714" s="3"/>
      <x:c r="AV714" s="3"/>
      <x:c r="AW714" s="3"/>
      <x:c r="AX714" s="3"/>
      <x:c r="AY714" s="3"/>
      <x:c r="AZ714" s="3"/>
      <x:c r="BA714" s="3"/>
      <x:c r="BC714" s="3"/>
      <x:c r="BD714" s="3"/>
      <x:c r="BE714" s="3"/>
      <x:c r="BF714" s="3"/>
      <x:c r="BG714" s="3"/>
      <x:c r="BH714" s="13"/>
      <x:c r="BI714" s="13"/>
      <x:c r="BJ714" s="13"/>
      <x:c r="BK714" s="13"/>
      <x:c r="BL714" s="13"/>
      <x:c r="BM714" s="13"/>
      <x:c r="BN714" s="13"/>
      <x:c r="BO714" s="13"/>
      <x:c r="BP714" s="13"/>
      <x:c r="BQ714" s="13"/>
      <x:c r="BR714" s="13"/>
      <x:c r="BS714" s="13"/>
      <x:c r="BT714" s="13"/>
      <x:c r="BU714" s="13"/>
      <x:c r="BV714" s="13"/>
      <x:c r="BW714" s="13"/>
      <x:c r="BX714" s="13"/>
      <x:c r="BY714" s="13"/>
      <x:c r="BZ714" s="13"/>
      <x:c r="CA714" s="13"/>
      <x:c r="CB714" s="13"/>
      <x:c r="CC714" s="13"/>
      <x:c r="CD714" s="13"/>
      <x:c r="CE714" s="13"/>
      <x:c r="CF714" s="13"/>
      <x:c r="CG714" s="13"/>
    </x:row>
    <x:row r="715" ht="14.25" customHeight="1">
      <x:c r="AA715" s="3"/>
      <x:c r="AF715" s="3"/>
      <x:c r="AG715" s="3"/>
      <x:c r="AH715" s="3"/>
      <x:c r="AI715" s="3"/>
      <x:c r="AJ715" s="3"/>
      <x:c r="AK715" s="3"/>
      <x:c r="AL715" s="3"/>
      <x:c r="AM715" s="3"/>
      <x:c r="AT715" s="3"/>
      <x:c r="AU715" s="3"/>
      <x:c r="AV715" s="3"/>
      <x:c r="AW715" s="3"/>
      <x:c r="AX715" s="3"/>
      <x:c r="AY715" s="3"/>
      <x:c r="AZ715" s="3"/>
      <x:c r="BA715" s="3"/>
      <x:c r="BC715" s="3"/>
      <x:c r="BD715" s="3"/>
      <x:c r="BE715" s="3"/>
      <x:c r="BF715" s="3"/>
      <x:c r="BG715" s="3"/>
      <x:c r="BH715" s="13"/>
      <x:c r="BI715" s="13"/>
      <x:c r="BJ715" s="13"/>
      <x:c r="BK715" s="13"/>
      <x:c r="BL715" s="13"/>
      <x:c r="BM715" s="13"/>
      <x:c r="BN715" s="13"/>
      <x:c r="BO715" s="13"/>
      <x:c r="BP715" s="13"/>
      <x:c r="BQ715" s="13"/>
      <x:c r="BR715" s="13"/>
      <x:c r="BS715" s="13"/>
      <x:c r="BT715" s="13"/>
      <x:c r="BU715" s="13"/>
      <x:c r="BV715" s="13"/>
      <x:c r="BW715" s="13"/>
      <x:c r="BX715" s="13"/>
      <x:c r="BY715" s="13"/>
      <x:c r="BZ715" s="13"/>
      <x:c r="CA715" s="13"/>
      <x:c r="CB715" s="13"/>
      <x:c r="CC715" s="13"/>
      <x:c r="CD715" s="13"/>
      <x:c r="CE715" s="13"/>
      <x:c r="CF715" s="13"/>
      <x:c r="CG715" s="13"/>
    </x:row>
    <x:row r="716" ht="14.25" customHeight="1">
      <x:c r="AA716" s="3"/>
      <x:c r="AF716" s="3"/>
      <x:c r="AG716" s="3"/>
      <x:c r="AH716" s="3"/>
      <x:c r="AI716" s="3"/>
      <x:c r="AJ716" s="3"/>
      <x:c r="AK716" s="3"/>
      <x:c r="AL716" s="3"/>
      <x:c r="AM716" s="3"/>
      <x:c r="AT716" s="3"/>
      <x:c r="AU716" s="3"/>
      <x:c r="AV716" s="3"/>
      <x:c r="AW716" s="3"/>
      <x:c r="AX716" s="3"/>
      <x:c r="AY716" s="3"/>
      <x:c r="AZ716" s="3"/>
      <x:c r="BA716" s="3"/>
      <x:c r="BC716" s="3"/>
      <x:c r="BD716" s="3"/>
      <x:c r="BE716" s="3"/>
      <x:c r="BF716" s="3"/>
      <x:c r="BG716" s="3"/>
      <x:c r="BH716" s="13"/>
      <x:c r="BI716" s="13"/>
      <x:c r="BJ716" s="13"/>
      <x:c r="BK716" s="13"/>
      <x:c r="BL716" s="13"/>
      <x:c r="BM716" s="13"/>
      <x:c r="BN716" s="13"/>
      <x:c r="BO716" s="13"/>
      <x:c r="BP716" s="13"/>
      <x:c r="BQ716" s="13"/>
      <x:c r="BR716" s="13"/>
      <x:c r="BS716" s="13"/>
      <x:c r="BT716" s="13"/>
      <x:c r="BU716" s="13"/>
      <x:c r="BV716" s="13"/>
      <x:c r="BW716" s="13"/>
      <x:c r="BX716" s="13"/>
      <x:c r="BY716" s="13"/>
      <x:c r="BZ716" s="13"/>
      <x:c r="CA716" s="13"/>
      <x:c r="CB716" s="13"/>
      <x:c r="CC716" s="13"/>
      <x:c r="CD716" s="13"/>
      <x:c r="CE716" s="13"/>
      <x:c r="CF716" s="13"/>
      <x:c r="CG716" s="13"/>
    </x:row>
    <x:row r="717" ht="14.25" customHeight="1">
      <x:c r="AA717" s="3"/>
      <x:c r="AF717" s="3"/>
      <x:c r="AG717" s="3"/>
      <x:c r="AH717" s="3"/>
      <x:c r="AI717" s="3"/>
      <x:c r="AJ717" s="3"/>
      <x:c r="AK717" s="3"/>
      <x:c r="AL717" s="3"/>
      <x:c r="AM717" s="3"/>
      <x:c r="AT717" s="3"/>
      <x:c r="AU717" s="3"/>
      <x:c r="AV717" s="3"/>
      <x:c r="AW717" s="3"/>
      <x:c r="AX717" s="3"/>
      <x:c r="AY717" s="3"/>
      <x:c r="AZ717" s="3"/>
      <x:c r="BA717" s="3"/>
      <x:c r="BC717" s="3"/>
      <x:c r="BD717" s="3"/>
      <x:c r="BE717" s="3"/>
      <x:c r="BF717" s="3"/>
      <x:c r="BG717" s="3"/>
      <x:c r="BH717" s="13"/>
      <x:c r="BI717" s="13"/>
      <x:c r="BJ717" s="13"/>
      <x:c r="BK717" s="13"/>
      <x:c r="BL717" s="13"/>
      <x:c r="BM717" s="13"/>
      <x:c r="BN717" s="13"/>
      <x:c r="BO717" s="13"/>
      <x:c r="BP717" s="13"/>
      <x:c r="BQ717" s="13"/>
      <x:c r="BR717" s="13"/>
      <x:c r="BS717" s="13"/>
      <x:c r="BT717" s="13"/>
      <x:c r="BU717" s="13"/>
      <x:c r="BV717" s="13"/>
      <x:c r="BW717" s="13"/>
      <x:c r="BX717" s="13"/>
      <x:c r="BY717" s="13"/>
      <x:c r="BZ717" s="13"/>
      <x:c r="CA717" s="13"/>
      <x:c r="CB717" s="13"/>
      <x:c r="CC717" s="13"/>
      <x:c r="CD717" s="13"/>
      <x:c r="CE717" s="13"/>
      <x:c r="CF717" s="13"/>
      <x:c r="CG717" s="13"/>
    </x:row>
    <x:row r="718" ht="14.25" customHeight="1">
      <x:c r="AA718" s="3"/>
      <x:c r="AF718" s="3"/>
      <x:c r="AG718" s="3"/>
      <x:c r="AH718" s="3"/>
      <x:c r="AI718" s="3"/>
      <x:c r="AJ718" s="3"/>
      <x:c r="AK718" s="3"/>
      <x:c r="AL718" s="3"/>
      <x:c r="AM718" s="3"/>
      <x:c r="AT718" s="3"/>
      <x:c r="AU718" s="3"/>
      <x:c r="AV718" s="3"/>
      <x:c r="AW718" s="3"/>
      <x:c r="AX718" s="3"/>
      <x:c r="AY718" s="3"/>
      <x:c r="AZ718" s="3"/>
      <x:c r="BA718" s="3"/>
      <x:c r="BC718" s="3"/>
      <x:c r="BD718" s="3"/>
      <x:c r="BE718" s="3"/>
      <x:c r="BF718" s="3"/>
      <x:c r="BG718" s="3"/>
      <x:c r="BH718" s="13"/>
      <x:c r="BI718" s="13"/>
      <x:c r="BJ718" s="13"/>
      <x:c r="BK718" s="13"/>
      <x:c r="BL718" s="13"/>
      <x:c r="BM718" s="13"/>
      <x:c r="BN718" s="13"/>
      <x:c r="BO718" s="13"/>
      <x:c r="BP718" s="13"/>
      <x:c r="BQ718" s="13"/>
      <x:c r="BR718" s="13"/>
      <x:c r="BS718" s="13"/>
      <x:c r="BT718" s="13"/>
      <x:c r="BU718" s="13"/>
      <x:c r="BV718" s="13"/>
      <x:c r="BW718" s="13"/>
      <x:c r="BX718" s="13"/>
      <x:c r="BY718" s="13"/>
      <x:c r="BZ718" s="13"/>
      <x:c r="CA718" s="13"/>
      <x:c r="CB718" s="13"/>
      <x:c r="CC718" s="13"/>
      <x:c r="CD718" s="13"/>
      <x:c r="CE718" s="13"/>
      <x:c r="CF718" s="13"/>
      <x:c r="CG718" s="13"/>
    </x:row>
    <x:row r="719" ht="14.25" customHeight="1">
      <x:c r="AA719" s="3"/>
      <x:c r="AF719" s="3"/>
      <x:c r="AG719" s="3"/>
      <x:c r="AH719" s="3"/>
      <x:c r="AI719" s="3"/>
      <x:c r="AJ719" s="3"/>
      <x:c r="AK719" s="3"/>
      <x:c r="AL719" s="3"/>
      <x:c r="AM719" s="3"/>
      <x:c r="AT719" s="3"/>
      <x:c r="AU719" s="3"/>
      <x:c r="AV719" s="3"/>
      <x:c r="AW719" s="3"/>
      <x:c r="AX719" s="3"/>
      <x:c r="AY719" s="3"/>
      <x:c r="AZ719" s="3"/>
      <x:c r="BA719" s="3"/>
      <x:c r="BC719" s="3"/>
      <x:c r="BD719" s="3"/>
      <x:c r="BE719" s="3"/>
      <x:c r="BF719" s="3"/>
      <x:c r="BG719" s="3"/>
      <x:c r="BH719" s="13"/>
      <x:c r="BI719" s="13"/>
      <x:c r="BJ719" s="13"/>
      <x:c r="BK719" s="13"/>
      <x:c r="BL719" s="13"/>
      <x:c r="BM719" s="13"/>
      <x:c r="BN719" s="13"/>
      <x:c r="BO719" s="13"/>
      <x:c r="BP719" s="13"/>
      <x:c r="BQ719" s="13"/>
      <x:c r="BR719" s="13"/>
      <x:c r="BS719" s="13"/>
      <x:c r="BT719" s="13"/>
      <x:c r="BU719" s="13"/>
      <x:c r="BV719" s="13"/>
      <x:c r="BW719" s="13"/>
      <x:c r="BX719" s="13"/>
      <x:c r="BY719" s="13"/>
      <x:c r="BZ719" s="13"/>
      <x:c r="CA719" s="13"/>
      <x:c r="CB719" s="13"/>
      <x:c r="CC719" s="13"/>
      <x:c r="CD719" s="13"/>
      <x:c r="CE719" s="13"/>
      <x:c r="CF719" s="13"/>
      <x:c r="CG719" s="13"/>
    </x:row>
    <x:row r="720" ht="14.25" customHeight="1">
      <x:c r="AA720" s="3"/>
      <x:c r="AF720" s="3"/>
      <x:c r="AG720" s="3"/>
      <x:c r="AH720" s="3"/>
      <x:c r="AI720" s="3"/>
      <x:c r="AJ720" s="3"/>
      <x:c r="AK720" s="3"/>
      <x:c r="AL720" s="3"/>
      <x:c r="AM720" s="3"/>
      <x:c r="AT720" s="3"/>
      <x:c r="AU720" s="3"/>
      <x:c r="AV720" s="3"/>
      <x:c r="AW720" s="3"/>
      <x:c r="AX720" s="3"/>
      <x:c r="AY720" s="3"/>
      <x:c r="AZ720" s="3"/>
      <x:c r="BA720" s="3"/>
      <x:c r="BC720" s="3"/>
      <x:c r="BD720" s="3"/>
      <x:c r="BE720" s="3"/>
      <x:c r="BF720" s="3"/>
      <x:c r="BG720" s="3"/>
      <x:c r="BH720" s="13"/>
      <x:c r="BI720" s="13"/>
      <x:c r="BJ720" s="13"/>
      <x:c r="BK720" s="13"/>
      <x:c r="BL720" s="13"/>
      <x:c r="BM720" s="13"/>
      <x:c r="BN720" s="13"/>
      <x:c r="BO720" s="13"/>
      <x:c r="BP720" s="13"/>
      <x:c r="BQ720" s="13"/>
      <x:c r="BR720" s="13"/>
      <x:c r="BS720" s="13"/>
      <x:c r="BT720" s="13"/>
      <x:c r="BU720" s="13"/>
      <x:c r="BV720" s="13"/>
      <x:c r="BW720" s="13"/>
      <x:c r="BX720" s="13"/>
      <x:c r="BY720" s="13"/>
      <x:c r="BZ720" s="13"/>
      <x:c r="CA720" s="13"/>
      <x:c r="CB720" s="13"/>
      <x:c r="CC720" s="13"/>
      <x:c r="CD720" s="13"/>
      <x:c r="CE720" s="13"/>
      <x:c r="CF720" s="13"/>
      <x:c r="CG720" s="13"/>
    </x:row>
    <x:row r="721" ht="14.25" customHeight="1">
      <x:c r="AA721" s="3"/>
      <x:c r="AF721" s="3"/>
      <x:c r="AG721" s="3"/>
      <x:c r="AH721" s="3"/>
      <x:c r="AI721" s="3"/>
      <x:c r="AJ721" s="3"/>
      <x:c r="AK721" s="3"/>
      <x:c r="AL721" s="3"/>
      <x:c r="AM721" s="3"/>
      <x:c r="AT721" s="3"/>
      <x:c r="AU721" s="3"/>
      <x:c r="AV721" s="3"/>
      <x:c r="AW721" s="3"/>
      <x:c r="AX721" s="3"/>
      <x:c r="AY721" s="3"/>
      <x:c r="AZ721" s="3"/>
      <x:c r="BA721" s="3"/>
      <x:c r="BC721" s="3"/>
      <x:c r="BD721" s="3"/>
      <x:c r="BE721" s="3"/>
      <x:c r="BF721" s="3"/>
      <x:c r="BG721" s="3"/>
      <x:c r="BH721" s="13"/>
      <x:c r="BI721" s="13"/>
      <x:c r="BJ721" s="13"/>
      <x:c r="BK721" s="13"/>
      <x:c r="BL721" s="13"/>
      <x:c r="BM721" s="13"/>
      <x:c r="BN721" s="13"/>
      <x:c r="BO721" s="13"/>
      <x:c r="BP721" s="13"/>
      <x:c r="BQ721" s="13"/>
      <x:c r="BR721" s="13"/>
      <x:c r="BS721" s="13"/>
      <x:c r="BT721" s="13"/>
      <x:c r="BU721" s="13"/>
      <x:c r="BV721" s="13"/>
      <x:c r="BW721" s="13"/>
      <x:c r="BX721" s="13"/>
      <x:c r="BY721" s="13"/>
      <x:c r="BZ721" s="13"/>
      <x:c r="CA721" s="13"/>
      <x:c r="CB721" s="13"/>
      <x:c r="CC721" s="13"/>
      <x:c r="CD721" s="13"/>
      <x:c r="CE721" s="13"/>
      <x:c r="CF721" s="13"/>
      <x:c r="CG721" s="13"/>
    </x:row>
    <x:row r="722" ht="14.25" customHeight="1">
      <x:c r="AA722" s="3"/>
      <x:c r="AF722" s="3"/>
      <x:c r="AG722" s="3"/>
      <x:c r="AH722" s="3"/>
      <x:c r="AI722" s="3"/>
      <x:c r="AJ722" s="3"/>
      <x:c r="AK722" s="3"/>
      <x:c r="AL722" s="3"/>
      <x:c r="AM722" s="3"/>
      <x:c r="AT722" s="3"/>
      <x:c r="AU722" s="3"/>
      <x:c r="AV722" s="3"/>
      <x:c r="AW722" s="3"/>
      <x:c r="AX722" s="3"/>
      <x:c r="AY722" s="3"/>
      <x:c r="AZ722" s="3"/>
      <x:c r="BA722" s="3"/>
      <x:c r="BC722" s="3"/>
      <x:c r="BD722" s="3"/>
      <x:c r="BE722" s="3"/>
      <x:c r="BF722" s="3"/>
      <x:c r="BG722" s="3"/>
      <x:c r="BH722" s="13"/>
      <x:c r="BI722" s="13"/>
      <x:c r="BJ722" s="13"/>
      <x:c r="BK722" s="13"/>
      <x:c r="BL722" s="13"/>
      <x:c r="BM722" s="13"/>
      <x:c r="BN722" s="13"/>
      <x:c r="BO722" s="13"/>
      <x:c r="BP722" s="13"/>
      <x:c r="BQ722" s="13"/>
      <x:c r="BR722" s="13"/>
      <x:c r="BS722" s="13"/>
      <x:c r="BT722" s="13"/>
      <x:c r="BU722" s="13"/>
      <x:c r="BV722" s="13"/>
      <x:c r="BW722" s="13"/>
      <x:c r="BX722" s="13"/>
      <x:c r="BY722" s="13"/>
      <x:c r="BZ722" s="13"/>
      <x:c r="CA722" s="13"/>
      <x:c r="CB722" s="13"/>
      <x:c r="CC722" s="13"/>
      <x:c r="CD722" s="13"/>
      <x:c r="CE722" s="13"/>
      <x:c r="CF722" s="13"/>
      <x:c r="CG722" s="13"/>
    </x:row>
    <x:row r="723" ht="14.25" customHeight="1">
      <x:c r="AA723" s="3"/>
      <x:c r="AF723" s="3"/>
      <x:c r="AG723" s="3"/>
      <x:c r="AH723" s="3"/>
      <x:c r="AI723" s="3"/>
      <x:c r="AJ723" s="3"/>
      <x:c r="AK723" s="3"/>
      <x:c r="AL723" s="3"/>
      <x:c r="AM723" s="3"/>
      <x:c r="AT723" s="3"/>
      <x:c r="AU723" s="3"/>
      <x:c r="AV723" s="3"/>
      <x:c r="AW723" s="3"/>
      <x:c r="AX723" s="3"/>
      <x:c r="AY723" s="3"/>
      <x:c r="AZ723" s="3"/>
      <x:c r="BA723" s="3"/>
      <x:c r="BC723" s="3"/>
      <x:c r="BD723" s="3"/>
      <x:c r="BE723" s="3"/>
      <x:c r="BF723" s="3"/>
      <x:c r="BG723" s="3"/>
      <x:c r="BH723" s="13"/>
      <x:c r="BI723" s="13"/>
      <x:c r="BJ723" s="13"/>
      <x:c r="BK723" s="13"/>
      <x:c r="BL723" s="13"/>
      <x:c r="BM723" s="13"/>
      <x:c r="BN723" s="13"/>
      <x:c r="BO723" s="13"/>
      <x:c r="BP723" s="13"/>
      <x:c r="BQ723" s="13"/>
      <x:c r="BR723" s="13"/>
      <x:c r="BS723" s="13"/>
      <x:c r="BT723" s="13"/>
      <x:c r="BU723" s="13"/>
      <x:c r="BV723" s="13"/>
      <x:c r="BW723" s="13"/>
      <x:c r="BX723" s="13"/>
      <x:c r="BY723" s="13"/>
      <x:c r="BZ723" s="13"/>
      <x:c r="CA723" s="13"/>
      <x:c r="CB723" s="13"/>
      <x:c r="CC723" s="13"/>
      <x:c r="CD723" s="13"/>
      <x:c r="CE723" s="13"/>
      <x:c r="CF723" s="13"/>
      <x:c r="CG723" s="13"/>
    </x:row>
    <x:row r="724" ht="14.25" customHeight="1">
      <x:c r="AA724" s="3"/>
      <x:c r="AF724" s="3"/>
      <x:c r="AG724" s="3"/>
      <x:c r="AH724" s="3"/>
      <x:c r="AI724" s="3"/>
      <x:c r="AJ724" s="3"/>
      <x:c r="AK724" s="3"/>
      <x:c r="AL724" s="3"/>
      <x:c r="AM724" s="3"/>
      <x:c r="AT724" s="3"/>
      <x:c r="AU724" s="3"/>
      <x:c r="AV724" s="3"/>
      <x:c r="AW724" s="3"/>
      <x:c r="AX724" s="3"/>
      <x:c r="AY724" s="3"/>
      <x:c r="AZ724" s="3"/>
      <x:c r="BA724" s="3"/>
      <x:c r="BC724" s="3"/>
      <x:c r="BD724" s="3"/>
      <x:c r="BE724" s="3"/>
      <x:c r="BF724" s="3"/>
      <x:c r="BG724" s="3"/>
      <x:c r="BH724" s="13"/>
      <x:c r="BI724" s="13"/>
      <x:c r="BJ724" s="13"/>
      <x:c r="BK724" s="13"/>
      <x:c r="BL724" s="13"/>
      <x:c r="BM724" s="13"/>
      <x:c r="BN724" s="13"/>
      <x:c r="BO724" s="13"/>
      <x:c r="BP724" s="13"/>
      <x:c r="BQ724" s="13"/>
      <x:c r="BR724" s="13"/>
      <x:c r="BS724" s="13"/>
      <x:c r="BT724" s="13"/>
      <x:c r="BU724" s="13"/>
      <x:c r="BV724" s="13"/>
      <x:c r="BW724" s="13"/>
      <x:c r="BX724" s="13"/>
      <x:c r="BY724" s="13"/>
      <x:c r="BZ724" s="13"/>
      <x:c r="CA724" s="13"/>
      <x:c r="CB724" s="13"/>
      <x:c r="CC724" s="13"/>
      <x:c r="CD724" s="13"/>
      <x:c r="CE724" s="13"/>
      <x:c r="CF724" s="13"/>
      <x:c r="CG724" s="13"/>
    </x:row>
    <x:row r="725" ht="14.25" customHeight="1">
      <x:c r="AA725" s="3"/>
      <x:c r="AF725" s="3"/>
      <x:c r="AG725" s="3"/>
      <x:c r="AH725" s="3"/>
      <x:c r="AI725" s="3"/>
      <x:c r="AJ725" s="3"/>
      <x:c r="AK725" s="3"/>
      <x:c r="AL725" s="3"/>
      <x:c r="AM725" s="3"/>
      <x:c r="AT725" s="3"/>
      <x:c r="AU725" s="3"/>
      <x:c r="AV725" s="3"/>
      <x:c r="AW725" s="3"/>
      <x:c r="AX725" s="3"/>
      <x:c r="AY725" s="3"/>
      <x:c r="AZ725" s="3"/>
      <x:c r="BA725" s="3"/>
      <x:c r="BC725" s="3"/>
      <x:c r="BD725" s="3"/>
      <x:c r="BE725" s="3"/>
      <x:c r="BF725" s="3"/>
      <x:c r="BG725" s="3"/>
      <x:c r="BH725" s="13"/>
      <x:c r="BI725" s="13"/>
      <x:c r="BJ725" s="13"/>
      <x:c r="BK725" s="13"/>
      <x:c r="BL725" s="13"/>
      <x:c r="BM725" s="13"/>
      <x:c r="BN725" s="13"/>
      <x:c r="BO725" s="13"/>
      <x:c r="BP725" s="13"/>
      <x:c r="BQ725" s="13"/>
      <x:c r="BR725" s="13"/>
      <x:c r="BS725" s="13"/>
      <x:c r="BT725" s="13"/>
      <x:c r="BU725" s="13"/>
      <x:c r="BV725" s="13"/>
      <x:c r="BW725" s="13"/>
      <x:c r="BX725" s="13"/>
      <x:c r="BY725" s="13"/>
      <x:c r="BZ725" s="13"/>
      <x:c r="CA725" s="13"/>
      <x:c r="CB725" s="13"/>
      <x:c r="CC725" s="13"/>
      <x:c r="CD725" s="13"/>
      <x:c r="CE725" s="13"/>
      <x:c r="CF725" s="13"/>
      <x:c r="CG725" s="13"/>
    </x:row>
    <x:row r="726" ht="14.25" customHeight="1">
      <x:c r="AA726" s="3"/>
      <x:c r="AF726" s="3"/>
      <x:c r="AG726" s="3"/>
      <x:c r="AH726" s="3"/>
      <x:c r="AI726" s="3"/>
      <x:c r="AJ726" s="3"/>
      <x:c r="AK726" s="3"/>
      <x:c r="AL726" s="3"/>
      <x:c r="AM726" s="3"/>
      <x:c r="AT726" s="3"/>
      <x:c r="AU726" s="3"/>
      <x:c r="AV726" s="3"/>
      <x:c r="AW726" s="3"/>
      <x:c r="AX726" s="3"/>
      <x:c r="AY726" s="3"/>
      <x:c r="AZ726" s="3"/>
      <x:c r="BA726" s="3"/>
      <x:c r="BC726" s="3"/>
      <x:c r="BD726" s="3"/>
      <x:c r="BE726" s="3"/>
      <x:c r="BF726" s="3"/>
      <x:c r="BG726" s="3"/>
      <x:c r="BH726" s="13"/>
      <x:c r="BI726" s="13"/>
      <x:c r="BJ726" s="13"/>
      <x:c r="BK726" s="13"/>
      <x:c r="BL726" s="13"/>
      <x:c r="BM726" s="13"/>
      <x:c r="BN726" s="13"/>
      <x:c r="BO726" s="13"/>
      <x:c r="BP726" s="13"/>
      <x:c r="BQ726" s="13"/>
      <x:c r="BR726" s="13"/>
      <x:c r="BS726" s="13"/>
      <x:c r="BT726" s="13"/>
      <x:c r="BU726" s="13"/>
      <x:c r="BV726" s="13"/>
      <x:c r="BW726" s="13"/>
      <x:c r="BX726" s="13"/>
      <x:c r="BY726" s="13"/>
      <x:c r="BZ726" s="13"/>
      <x:c r="CA726" s="13"/>
      <x:c r="CB726" s="13"/>
      <x:c r="CC726" s="13"/>
      <x:c r="CD726" s="13"/>
      <x:c r="CE726" s="13"/>
      <x:c r="CF726" s="13"/>
      <x:c r="CG726" s="13"/>
    </x:row>
    <x:row r="727" ht="14.25" customHeight="1">
      <x:c r="AA727" s="3"/>
      <x:c r="AF727" s="3"/>
      <x:c r="AG727" s="3"/>
      <x:c r="AH727" s="3"/>
      <x:c r="AI727" s="3"/>
      <x:c r="AJ727" s="3"/>
      <x:c r="AK727" s="3"/>
      <x:c r="AL727" s="3"/>
      <x:c r="AM727" s="3"/>
      <x:c r="AT727" s="3"/>
      <x:c r="AU727" s="3"/>
      <x:c r="AV727" s="3"/>
      <x:c r="AW727" s="3"/>
      <x:c r="AX727" s="3"/>
      <x:c r="AY727" s="3"/>
      <x:c r="AZ727" s="3"/>
      <x:c r="BA727" s="3"/>
      <x:c r="BC727" s="3"/>
      <x:c r="BD727" s="3"/>
      <x:c r="BE727" s="3"/>
      <x:c r="BF727" s="3"/>
      <x:c r="BG727" s="3"/>
      <x:c r="BH727" s="13"/>
      <x:c r="BI727" s="13"/>
      <x:c r="BJ727" s="13"/>
      <x:c r="BK727" s="13"/>
      <x:c r="BL727" s="13"/>
      <x:c r="BM727" s="13"/>
      <x:c r="BN727" s="13"/>
      <x:c r="BO727" s="13"/>
      <x:c r="BP727" s="13"/>
      <x:c r="BQ727" s="13"/>
      <x:c r="BR727" s="13"/>
      <x:c r="BS727" s="13"/>
      <x:c r="BT727" s="13"/>
      <x:c r="BU727" s="13"/>
      <x:c r="BV727" s="13"/>
      <x:c r="BW727" s="13"/>
      <x:c r="BX727" s="13"/>
      <x:c r="BY727" s="13"/>
      <x:c r="BZ727" s="13"/>
      <x:c r="CA727" s="13"/>
      <x:c r="CB727" s="13"/>
      <x:c r="CC727" s="13"/>
      <x:c r="CD727" s="13"/>
      <x:c r="CE727" s="13"/>
      <x:c r="CF727" s="13"/>
      <x:c r="CG727" s="13"/>
    </x:row>
    <x:row r="728" ht="14.25" customHeight="1">
      <x:c r="AA728" s="3"/>
      <x:c r="AF728" s="3"/>
      <x:c r="AG728" s="3"/>
      <x:c r="AH728" s="3"/>
      <x:c r="AI728" s="3"/>
      <x:c r="AJ728" s="3"/>
      <x:c r="AK728" s="3"/>
      <x:c r="AL728" s="3"/>
      <x:c r="AM728" s="3"/>
      <x:c r="AT728" s="3"/>
      <x:c r="AU728" s="3"/>
      <x:c r="AV728" s="3"/>
      <x:c r="AW728" s="3"/>
      <x:c r="AX728" s="3"/>
      <x:c r="AY728" s="3"/>
      <x:c r="AZ728" s="3"/>
      <x:c r="BA728" s="3"/>
      <x:c r="BC728" s="3"/>
      <x:c r="BD728" s="3"/>
      <x:c r="BE728" s="3"/>
      <x:c r="BF728" s="3"/>
      <x:c r="BG728" s="3"/>
      <x:c r="BH728" s="13"/>
      <x:c r="BI728" s="13"/>
      <x:c r="BJ728" s="13"/>
      <x:c r="BK728" s="13"/>
      <x:c r="BL728" s="13"/>
      <x:c r="BM728" s="13"/>
      <x:c r="BN728" s="13"/>
      <x:c r="BO728" s="13"/>
      <x:c r="BP728" s="13"/>
      <x:c r="BQ728" s="13"/>
      <x:c r="BR728" s="13"/>
      <x:c r="BS728" s="13"/>
      <x:c r="BT728" s="13"/>
      <x:c r="BU728" s="13"/>
      <x:c r="BV728" s="13"/>
      <x:c r="BW728" s="13"/>
      <x:c r="BX728" s="13"/>
      <x:c r="BY728" s="13"/>
      <x:c r="BZ728" s="13"/>
      <x:c r="CA728" s="13"/>
      <x:c r="CB728" s="13"/>
      <x:c r="CC728" s="13"/>
      <x:c r="CD728" s="13"/>
      <x:c r="CE728" s="13"/>
      <x:c r="CF728" s="13"/>
      <x:c r="CG728" s="13"/>
    </x:row>
    <x:row r="729" ht="14.25" customHeight="1">
      <x:c r="AA729" s="3"/>
      <x:c r="AF729" s="3"/>
      <x:c r="AG729" s="3"/>
      <x:c r="AH729" s="3"/>
      <x:c r="AI729" s="3"/>
      <x:c r="AJ729" s="3"/>
      <x:c r="AK729" s="3"/>
      <x:c r="AL729" s="3"/>
      <x:c r="AM729" s="3"/>
      <x:c r="AT729" s="3"/>
      <x:c r="AU729" s="3"/>
      <x:c r="AV729" s="3"/>
      <x:c r="AW729" s="3"/>
      <x:c r="AX729" s="3"/>
      <x:c r="AY729" s="3"/>
      <x:c r="AZ729" s="3"/>
      <x:c r="BA729" s="3"/>
      <x:c r="BC729" s="3"/>
      <x:c r="BD729" s="3"/>
      <x:c r="BE729" s="3"/>
      <x:c r="BF729" s="3"/>
      <x:c r="BG729" s="3"/>
      <x:c r="BH729" s="13"/>
      <x:c r="BI729" s="13"/>
      <x:c r="BJ729" s="13"/>
      <x:c r="BK729" s="13"/>
      <x:c r="BL729" s="13"/>
      <x:c r="BM729" s="13"/>
      <x:c r="BN729" s="13"/>
      <x:c r="BO729" s="13"/>
      <x:c r="BP729" s="13"/>
      <x:c r="BQ729" s="13"/>
      <x:c r="BR729" s="13"/>
      <x:c r="BS729" s="13"/>
      <x:c r="BT729" s="13"/>
      <x:c r="BU729" s="13"/>
      <x:c r="BV729" s="13"/>
      <x:c r="BW729" s="13"/>
      <x:c r="BX729" s="13"/>
      <x:c r="BY729" s="13"/>
      <x:c r="BZ729" s="13"/>
      <x:c r="CA729" s="13"/>
      <x:c r="CB729" s="13"/>
      <x:c r="CC729" s="13"/>
      <x:c r="CD729" s="13"/>
      <x:c r="CE729" s="13"/>
      <x:c r="CF729" s="13"/>
      <x:c r="CG729" s="13"/>
    </x:row>
    <x:row r="730" ht="14.25" customHeight="1">
      <x:c r="AA730" s="3"/>
      <x:c r="AF730" s="3"/>
      <x:c r="AG730" s="3"/>
      <x:c r="AH730" s="3"/>
      <x:c r="AI730" s="3"/>
      <x:c r="AJ730" s="3"/>
      <x:c r="AK730" s="3"/>
      <x:c r="AL730" s="3"/>
      <x:c r="AM730" s="3"/>
      <x:c r="AT730" s="3"/>
      <x:c r="AU730" s="3"/>
      <x:c r="AV730" s="3"/>
      <x:c r="AW730" s="3"/>
      <x:c r="AX730" s="3"/>
      <x:c r="AY730" s="3"/>
      <x:c r="AZ730" s="3"/>
      <x:c r="BA730" s="3"/>
      <x:c r="BC730" s="3"/>
      <x:c r="BD730" s="3"/>
      <x:c r="BE730" s="3"/>
      <x:c r="BF730" s="3"/>
      <x:c r="BG730" s="3"/>
      <x:c r="BH730" s="13"/>
      <x:c r="BI730" s="13"/>
      <x:c r="BJ730" s="13"/>
      <x:c r="BK730" s="13"/>
      <x:c r="BL730" s="13"/>
      <x:c r="BM730" s="13"/>
      <x:c r="BN730" s="13"/>
      <x:c r="BO730" s="13"/>
      <x:c r="BP730" s="13"/>
      <x:c r="BQ730" s="13"/>
      <x:c r="BR730" s="13"/>
      <x:c r="BS730" s="13"/>
      <x:c r="BT730" s="13"/>
      <x:c r="BU730" s="13"/>
      <x:c r="BV730" s="13"/>
      <x:c r="BW730" s="13"/>
      <x:c r="BX730" s="13"/>
      <x:c r="BY730" s="13"/>
      <x:c r="BZ730" s="13"/>
      <x:c r="CA730" s="13"/>
      <x:c r="CB730" s="13"/>
      <x:c r="CC730" s="13"/>
      <x:c r="CD730" s="13"/>
      <x:c r="CE730" s="13"/>
      <x:c r="CF730" s="13"/>
      <x:c r="CG730" s="13"/>
    </x:row>
    <x:row r="731" ht="14.25" customHeight="1">
      <x:c r="AA731" s="3"/>
      <x:c r="AF731" s="3"/>
      <x:c r="AG731" s="3"/>
      <x:c r="AH731" s="3"/>
      <x:c r="AI731" s="3"/>
      <x:c r="AJ731" s="3"/>
      <x:c r="AK731" s="3"/>
      <x:c r="AL731" s="3"/>
      <x:c r="AM731" s="3"/>
      <x:c r="AT731" s="3"/>
      <x:c r="AU731" s="3"/>
      <x:c r="AV731" s="3"/>
      <x:c r="AW731" s="3"/>
      <x:c r="AX731" s="3"/>
      <x:c r="AY731" s="3"/>
      <x:c r="AZ731" s="3"/>
      <x:c r="BA731" s="3"/>
      <x:c r="BC731" s="3"/>
      <x:c r="BD731" s="3"/>
      <x:c r="BE731" s="3"/>
      <x:c r="BF731" s="3"/>
      <x:c r="BG731" s="3"/>
      <x:c r="BH731" s="13"/>
      <x:c r="BI731" s="13"/>
      <x:c r="BJ731" s="13"/>
      <x:c r="BK731" s="13"/>
      <x:c r="BL731" s="13"/>
      <x:c r="BM731" s="13"/>
      <x:c r="BN731" s="13"/>
      <x:c r="BO731" s="13"/>
      <x:c r="BP731" s="13"/>
      <x:c r="BQ731" s="13"/>
      <x:c r="BR731" s="13"/>
      <x:c r="BS731" s="13"/>
      <x:c r="BT731" s="13"/>
      <x:c r="BU731" s="13"/>
      <x:c r="BV731" s="13"/>
      <x:c r="BW731" s="13"/>
      <x:c r="BX731" s="13"/>
      <x:c r="BY731" s="13"/>
      <x:c r="BZ731" s="13"/>
      <x:c r="CA731" s="13"/>
      <x:c r="CB731" s="13"/>
      <x:c r="CC731" s="13"/>
      <x:c r="CD731" s="13"/>
      <x:c r="CE731" s="13"/>
      <x:c r="CF731" s="13"/>
      <x:c r="CG731" s="13"/>
    </x:row>
    <x:row r="732" ht="14.25" customHeight="1">
      <x:c r="AA732" s="3"/>
      <x:c r="AF732" s="3"/>
      <x:c r="AG732" s="3"/>
      <x:c r="AH732" s="3"/>
      <x:c r="AI732" s="3"/>
      <x:c r="AJ732" s="3"/>
      <x:c r="AK732" s="3"/>
      <x:c r="AL732" s="3"/>
      <x:c r="AM732" s="3"/>
      <x:c r="AT732" s="3"/>
      <x:c r="AU732" s="3"/>
      <x:c r="AV732" s="3"/>
      <x:c r="AW732" s="3"/>
      <x:c r="AX732" s="3"/>
      <x:c r="AY732" s="3"/>
      <x:c r="AZ732" s="3"/>
      <x:c r="BA732" s="3"/>
      <x:c r="BC732" s="3"/>
      <x:c r="BD732" s="3"/>
      <x:c r="BE732" s="3"/>
      <x:c r="BF732" s="3"/>
      <x:c r="BG732" s="3"/>
      <x:c r="BH732" s="13"/>
      <x:c r="BI732" s="13"/>
      <x:c r="BJ732" s="13"/>
      <x:c r="BK732" s="13"/>
      <x:c r="BL732" s="13"/>
      <x:c r="BM732" s="13"/>
      <x:c r="BN732" s="13"/>
      <x:c r="BO732" s="13"/>
      <x:c r="BP732" s="13"/>
      <x:c r="BQ732" s="13"/>
      <x:c r="BR732" s="13"/>
      <x:c r="BS732" s="13"/>
      <x:c r="BT732" s="13"/>
      <x:c r="BU732" s="13"/>
      <x:c r="BV732" s="13"/>
      <x:c r="BW732" s="13"/>
      <x:c r="BX732" s="13"/>
      <x:c r="BY732" s="13"/>
      <x:c r="BZ732" s="13"/>
      <x:c r="CA732" s="13"/>
      <x:c r="CB732" s="13"/>
      <x:c r="CC732" s="13"/>
      <x:c r="CD732" s="13"/>
      <x:c r="CE732" s="13"/>
      <x:c r="CF732" s="13"/>
      <x:c r="CG732" s="13"/>
    </x:row>
    <x:row r="733" ht="14.25" customHeight="1">
      <x:c r="AA733" s="3"/>
      <x:c r="AF733" s="3"/>
      <x:c r="AG733" s="3"/>
      <x:c r="AH733" s="3"/>
      <x:c r="AI733" s="3"/>
      <x:c r="AJ733" s="3"/>
      <x:c r="AK733" s="3"/>
      <x:c r="AL733" s="3"/>
      <x:c r="AM733" s="3"/>
      <x:c r="AT733" s="3"/>
      <x:c r="AU733" s="3"/>
      <x:c r="AV733" s="3"/>
      <x:c r="AW733" s="3"/>
      <x:c r="AX733" s="3"/>
      <x:c r="AY733" s="3"/>
      <x:c r="AZ733" s="3"/>
      <x:c r="BA733" s="3"/>
      <x:c r="BC733" s="3"/>
      <x:c r="BD733" s="3"/>
      <x:c r="BE733" s="3"/>
      <x:c r="BF733" s="3"/>
      <x:c r="BG733" s="3"/>
      <x:c r="BH733" s="13"/>
      <x:c r="BI733" s="13"/>
      <x:c r="BJ733" s="13"/>
      <x:c r="BK733" s="13"/>
      <x:c r="BL733" s="13"/>
      <x:c r="BM733" s="13"/>
      <x:c r="BN733" s="13"/>
      <x:c r="BO733" s="13"/>
      <x:c r="BP733" s="13"/>
      <x:c r="BQ733" s="13"/>
      <x:c r="BR733" s="13"/>
      <x:c r="BS733" s="13"/>
      <x:c r="BT733" s="13"/>
      <x:c r="BU733" s="13"/>
      <x:c r="BV733" s="13"/>
      <x:c r="BW733" s="13"/>
      <x:c r="BX733" s="13"/>
      <x:c r="BY733" s="13"/>
      <x:c r="BZ733" s="13"/>
      <x:c r="CA733" s="13"/>
      <x:c r="CB733" s="13"/>
      <x:c r="CC733" s="13"/>
      <x:c r="CD733" s="13"/>
      <x:c r="CE733" s="13"/>
      <x:c r="CF733" s="13"/>
      <x:c r="CG733" s="13"/>
    </x:row>
    <x:row r="734" ht="14.25" customHeight="1">
      <x:c r="AA734" s="3"/>
      <x:c r="AF734" s="3"/>
      <x:c r="AG734" s="3"/>
      <x:c r="AH734" s="3"/>
      <x:c r="AI734" s="3"/>
      <x:c r="AJ734" s="3"/>
      <x:c r="AK734" s="3"/>
      <x:c r="AL734" s="3"/>
      <x:c r="AM734" s="3"/>
      <x:c r="AT734" s="3"/>
      <x:c r="AU734" s="3"/>
      <x:c r="AV734" s="3"/>
      <x:c r="AW734" s="3"/>
      <x:c r="AX734" s="3"/>
      <x:c r="AY734" s="3"/>
      <x:c r="AZ734" s="3"/>
      <x:c r="BA734" s="3"/>
      <x:c r="BC734" s="3"/>
      <x:c r="BD734" s="3"/>
      <x:c r="BE734" s="3"/>
      <x:c r="BF734" s="3"/>
      <x:c r="BG734" s="3"/>
      <x:c r="BH734" s="13"/>
      <x:c r="BI734" s="13"/>
      <x:c r="BJ734" s="13"/>
      <x:c r="BK734" s="13"/>
      <x:c r="BL734" s="13"/>
      <x:c r="BM734" s="13"/>
      <x:c r="BN734" s="13"/>
      <x:c r="BO734" s="13"/>
      <x:c r="BP734" s="13"/>
      <x:c r="BQ734" s="13"/>
      <x:c r="BR734" s="13"/>
      <x:c r="BS734" s="13"/>
      <x:c r="BT734" s="13"/>
      <x:c r="BU734" s="13"/>
      <x:c r="BV734" s="13"/>
      <x:c r="BW734" s="13"/>
      <x:c r="BX734" s="13"/>
      <x:c r="BY734" s="13"/>
      <x:c r="BZ734" s="13"/>
      <x:c r="CA734" s="13"/>
      <x:c r="CB734" s="13"/>
      <x:c r="CC734" s="13"/>
      <x:c r="CD734" s="13"/>
      <x:c r="CE734" s="13"/>
      <x:c r="CF734" s="13"/>
      <x:c r="CG734" s="13"/>
    </x:row>
    <x:row r="735" ht="14.25" customHeight="1">
      <x:c r="AA735" s="3"/>
      <x:c r="AF735" s="3"/>
      <x:c r="AG735" s="3"/>
      <x:c r="AH735" s="3"/>
      <x:c r="AI735" s="3"/>
      <x:c r="AJ735" s="3"/>
      <x:c r="AK735" s="3"/>
      <x:c r="AL735" s="3"/>
      <x:c r="AM735" s="3"/>
      <x:c r="AT735" s="3"/>
      <x:c r="AU735" s="3"/>
      <x:c r="AV735" s="3"/>
      <x:c r="AW735" s="3"/>
      <x:c r="AX735" s="3"/>
      <x:c r="AY735" s="3"/>
      <x:c r="AZ735" s="3"/>
      <x:c r="BA735" s="3"/>
      <x:c r="BC735" s="3"/>
      <x:c r="BD735" s="3"/>
      <x:c r="BE735" s="3"/>
      <x:c r="BF735" s="3"/>
      <x:c r="BG735" s="3"/>
      <x:c r="BH735" s="13"/>
      <x:c r="BI735" s="13"/>
      <x:c r="BJ735" s="13"/>
      <x:c r="BK735" s="13"/>
      <x:c r="BL735" s="13"/>
      <x:c r="BM735" s="13"/>
      <x:c r="BN735" s="13"/>
      <x:c r="BO735" s="13"/>
      <x:c r="BP735" s="13"/>
      <x:c r="BQ735" s="13"/>
      <x:c r="BR735" s="13"/>
      <x:c r="BS735" s="13"/>
      <x:c r="BT735" s="13"/>
      <x:c r="BU735" s="13"/>
      <x:c r="BV735" s="13"/>
      <x:c r="BW735" s="13"/>
      <x:c r="BX735" s="13"/>
      <x:c r="BY735" s="13"/>
      <x:c r="BZ735" s="13"/>
      <x:c r="CA735" s="13"/>
      <x:c r="CB735" s="13"/>
      <x:c r="CC735" s="13"/>
      <x:c r="CD735" s="13"/>
      <x:c r="CE735" s="13"/>
      <x:c r="CF735" s="13"/>
      <x:c r="CG735" s="13"/>
    </x:row>
    <x:row r="736" ht="14.25" customHeight="1">
      <x:c r="AA736" s="3"/>
      <x:c r="AF736" s="3"/>
      <x:c r="AG736" s="3"/>
      <x:c r="AH736" s="3"/>
      <x:c r="AI736" s="3"/>
      <x:c r="AJ736" s="3"/>
      <x:c r="AK736" s="3"/>
      <x:c r="AL736" s="3"/>
      <x:c r="AM736" s="3"/>
      <x:c r="AT736" s="3"/>
      <x:c r="AU736" s="3"/>
      <x:c r="AV736" s="3"/>
      <x:c r="AW736" s="3"/>
      <x:c r="AX736" s="3"/>
      <x:c r="AY736" s="3"/>
      <x:c r="AZ736" s="3"/>
      <x:c r="BA736" s="3"/>
      <x:c r="BC736" s="3"/>
      <x:c r="BD736" s="3"/>
      <x:c r="BE736" s="3"/>
      <x:c r="BF736" s="3"/>
      <x:c r="BG736" s="3"/>
      <x:c r="BH736" s="13"/>
      <x:c r="BI736" s="13"/>
      <x:c r="BJ736" s="13"/>
      <x:c r="BK736" s="13"/>
      <x:c r="BL736" s="13"/>
      <x:c r="BM736" s="13"/>
      <x:c r="BN736" s="13"/>
      <x:c r="BO736" s="13"/>
      <x:c r="BP736" s="13"/>
      <x:c r="BQ736" s="13"/>
      <x:c r="BR736" s="13"/>
      <x:c r="BS736" s="13"/>
      <x:c r="BT736" s="13"/>
      <x:c r="BU736" s="13"/>
      <x:c r="BV736" s="13"/>
      <x:c r="BW736" s="13"/>
      <x:c r="BX736" s="13"/>
      <x:c r="BY736" s="13"/>
      <x:c r="BZ736" s="13"/>
      <x:c r="CA736" s="13"/>
      <x:c r="CB736" s="13"/>
      <x:c r="CC736" s="13"/>
      <x:c r="CD736" s="13"/>
      <x:c r="CE736" s="13"/>
      <x:c r="CF736" s="13"/>
      <x:c r="CG736" s="13"/>
    </x:row>
    <x:row r="737" ht="14.25" customHeight="1">
      <x:c r="AA737" s="3"/>
      <x:c r="AF737" s="3"/>
      <x:c r="AG737" s="3"/>
      <x:c r="AH737" s="3"/>
      <x:c r="AI737" s="3"/>
      <x:c r="AJ737" s="3"/>
      <x:c r="AK737" s="3"/>
      <x:c r="AL737" s="3"/>
      <x:c r="AM737" s="3"/>
      <x:c r="AT737" s="3"/>
      <x:c r="AU737" s="3"/>
      <x:c r="AV737" s="3"/>
      <x:c r="AW737" s="3"/>
      <x:c r="AX737" s="3"/>
      <x:c r="AY737" s="3"/>
      <x:c r="AZ737" s="3"/>
      <x:c r="BA737" s="3"/>
      <x:c r="BC737" s="3"/>
      <x:c r="BD737" s="3"/>
      <x:c r="BE737" s="3"/>
      <x:c r="BF737" s="3"/>
      <x:c r="BG737" s="3"/>
      <x:c r="BH737" s="13"/>
      <x:c r="BI737" s="13"/>
      <x:c r="BJ737" s="13"/>
      <x:c r="BK737" s="13"/>
      <x:c r="BL737" s="13"/>
      <x:c r="BM737" s="13"/>
      <x:c r="BN737" s="13"/>
      <x:c r="BO737" s="13"/>
      <x:c r="BP737" s="13"/>
      <x:c r="BQ737" s="13"/>
      <x:c r="BR737" s="13"/>
      <x:c r="BS737" s="13"/>
      <x:c r="BT737" s="13"/>
      <x:c r="BU737" s="13"/>
      <x:c r="BV737" s="13"/>
      <x:c r="BW737" s="13"/>
      <x:c r="BX737" s="13"/>
      <x:c r="BY737" s="13"/>
      <x:c r="BZ737" s="13"/>
      <x:c r="CA737" s="13"/>
      <x:c r="CB737" s="13"/>
      <x:c r="CC737" s="13"/>
      <x:c r="CD737" s="13"/>
      <x:c r="CE737" s="13"/>
      <x:c r="CF737" s="13"/>
      <x:c r="CG737" s="13"/>
    </x:row>
    <x:row r="738" ht="14.25" customHeight="1">
      <x:c r="AA738" s="3"/>
      <x:c r="AF738" s="3"/>
      <x:c r="AG738" s="3"/>
      <x:c r="AH738" s="3"/>
      <x:c r="AI738" s="3"/>
      <x:c r="AJ738" s="3"/>
      <x:c r="AK738" s="3"/>
      <x:c r="AL738" s="3"/>
      <x:c r="AM738" s="3"/>
      <x:c r="AT738" s="3"/>
      <x:c r="AU738" s="3"/>
      <x:c r="AV738" s="3"/>
      <x:c r="AW738" s="3"/>
      <x:c r="AX738" s="3"/>
      <x:c r="AY738" s="3"/>
      <x:c r="AZ738" s="3"/>
      <x:c r="BA738" s="3"/>
      <x:c r="BC738" s="3"/>
      <x:c r="BD738" s="3"/>
      <x:c r="BE738" s="3"/>
      <x:c r="BF738" s="3"/>
      <x:c r="BG738" s="3"/>
      <x:c r="BH738" s="13"/>
      <x:c r="BI738" s="13"/>
      <x:c r="BJ738" s="13"/>
      <x:c r="BK738" s="13"/>
      <x:c r="BL738" s="13"/>
      <x:c r="BM738" s="13"/>
      <x:c r="BN738" s="13"/>
      <x:c r="BO738" s="13"/>
      <x:c r="BP738" s="13"/>
      <x:c r="BQ738" s="13"/>
      <x:c r="BR738" s="13"/>
      <x:c r="BS738" s="13"/>
      <x:c r="BT738" s="13"/>
      <x:c r="BU738" s="13"/>
      <x:c r="BV738" s="13"/>
      <x:c r="BW738" s="13"/>
      <x:c r="BX738" s="13"/>
      <x:c r="BY738" s="13"/>
      <x:c r="BZ738" s="13"/>
      <x:c r="CA738" s="13"/>
      <x:c r="CB738" s="13"/>
      <x:c r="CC738" s="13"/>
      <x:c r="CD738" s="13"/>
      <x:c r="CE738" s="13"/>
      <x:c r="CF738" s="13"/>
      <x:c r="CG738" s="13"/>
    </x:row>
    <x:row r="739" ht="14.25" customHeight="1">
      <x:c r="AA739" s="3"/>
      <x:c r="AF739" s="3"/>
      <x:c r="AG739" s="3"/>
      <x:c r="AH739" s="3"/>
      <x:c r="AI739" s="3"/>
      <x:c r="AJ739" s="3"/>
      <x:c r="AK739" s="3"/>
      <x:c r="AL739" s="3"/>
      <x:c r="AM739" s="3"/>
      <x:c r="AT739" s="3"/>
      <x:c r="AU739" s="3"/>
      <x:c r="AV739" s="3"/>
      <x:c r="AW739" s="3"/>
      <x:c r="AX739" s="3"/>
      <x:c r="AY739" s="3"/>
      <x:c r="AZ739" s="3"/>
      <x:c r="BA739" s="3"/>
      <x:c r="BC739" s="3"/>
      <x:c r="BD739" s="3"/>
      <x:c r="BE739" s="3"/>
      <x:c r="BF739" s="3"/>
      <x:c r="BG739" s="3"/>
      <x:c r="BH739" s="13"/>
      <x:c r="BI739" s="13"/>
      <x:c r="BJ739" s="13"/>
      <x:c r="BK739" s="13"/>
      <x:c r="BL739" s="13"/>
      <x:c r="BM739" s="13"/>
      <x:c r="BN739" s="13"/>
      <x:c r="BO739" s="13"/>
      <x:c r="BP739" s="13"/>
      <x:c r="BQ739" s="13"/>
      <x:c r="BR739" s="13"/>
      <x:c r="BS739" s="13"/>
      <x:c r="BT739" s="13"/>
      <x:c r="BU739" s="13"/>
      <x:c r="BV739" s="13"/>
      <x:c r="BW739" s="13"/>
      <x:c r="BX739" s="13"/>
      <x:c r="BY739" s="13"/>
      <x:c r="BZ739" s="13"/>
      <x:c r="CA739" s="13"/>
      <x:c r="CB739" s="13"/>
      <x:c r="CC739" s="13"/>
      <x:c r="CD739" s="13"/>
      <x:c r="CE739" s="13"/>
      <x:c r="CF739" s="13"/>
      <x:c r="CG739" s="13"/>
    </x:row>
    <x:row r="740" ht="14.25" customHeight="1">
      <x:c r="AA740" s="3"/>
      <x:c r="AF740" s="3"/>
      <x:c r="AG740" s="3"/>
      <x:c r="AH740" s="3"/>
      <x:c r="AI740" s="3"/>
      <x:c r="AJ740" s="3"/>
      <x:c r="AK740" s="3"/>
      <x:c r="AL740" s="3"/>
      <x:c r="AM740" s="3"/>
      <x:c r="AT740" s="3"/>
      <x:c r="AU740" s="3"/>
      <x:c r="AV740" s="3"/>
      <x:c r="AW740" s="3"/>
      <x:c r="AX740" s="3"/>
      <x:c r="AY740" s="3"/>
      <x:c r="AZ740" s="3"/>
      <x:c r="BA740" s="3"/>
      <x:c r="BC740" s="3"/>
      <x:c r="BD740" s="3"/>
      <x:c r="BE740" s="3"/>
      <x:c r="BF740" s="3"/>
      <x:c r="BG740" s="3"/>
      <x:c r="BH740" s="13"/>
      <x:c r="BI740" s="13"/>
      <x:c r="BJ740" s="13"/>
      <x:c r="BK740" s="13"/>
      <x:c r="BL740" s="13"/>
      <x:c r="BM740" s="13"/>
      <x:c r="BN740" s="13"/>
      <x:c r="BO740" s="13"/>
      <x:c r="BP740" s="13"/>
      <x:c r="BQ740" s="13"/>
      <x:c r="BR740" s="13"/>
      <x:c r="BS740" s="13"/>
      <x:c r="BT740" s="13"/>
      <x:c r="BU740" s="13"/>
      <x:c r="BV740" s="13"/>
      <x:c r="BW740" s="13"/>
      <x:c r="BX740" s="13"/>
      <x:c r="BY740" s="13"/>
      <x:c r="BZ740" s="13"/>
      <x:c r="CA740" s="13"/>
      <x:c r="CB740" s="13"/>
      <x:c r="CC740" s="13"/>
      <x:c r="CD740" s="13"/>
      <x:c r="CE740" s="13"/>
      <x:c r="CF740" s="13"/>
      <x:c r="CG740" s="13"/>
    </x:row>
    <x:row r="741" ht="14.25" customHeight="1">
      <x:c r="AA741" s="3"/>
      <x:c r="AF741" s="3"/>
      <x:c r="AG741" s="3"/>
      <x:c r="AH741" s="3"/>
      <x:c r="AI741" s="3"/>
      <x:c r="AJ741" s="3"/>
      <x:c r="AK741" s="3"/>
      <x:c r="AL741" s="3"/>
      <x:c r="AM741" s="3"/>
      <x:c r="AT741" s="3"/>
      <x:c r="AU741" s="3"/>
      <x:c r="AV741" s="3"/>
      <x:c r="AW741" s="3"/>
      <x:c r="AX741" s="3"/>
      <x:c r="AY741" s="3"/>
      <x:c r="AZ741" s="3"/>
      <x:c r="BA741" s="3"/>
      <x:c r="BC741" s="3"/>
      <x:c r="BD741" s="3"/>
      <x:c r="BE741" s="3"/>
      <x:c r="BF741" s="3"/>
      <x:c r="BG741" s="3"/>
      <x:c r="BH741" s="13"/>
      <x:c r="BI741" s="13"/>
      <x:c r="BJ741" s="13"/>
      <x:c r="BK741" s="13"/>
      <x:c r="BL741" s="13"/>
      <x:c r="BM741" s="13"/>
      <x:c r="BN741" s="13"/>
      <x:c r="BO741" s="13"/>
      <x:c r="BP741" s="13"/>
      <x:c r="BQ741" s="13"/>
      <x:c r="BR741" s="13"/>
      <x:c r="BS741" s="13"/>
      <x:c r="BT741" s="13"/>
      <x:c r="BU741" s="13"/>
      <x:c r="BV741" s="13"/>
      <x:c r="BW741" s="13"/>
      <x:c r="BX741" s="13"/>
      <x:c r="BY741" s="13"/>
      <x:c r="BZ741" s="13"/>
      <x:c r="CA741" s="13"/>
      <x:c r="CB741" s="13"/>
      <x:c r="CC741" s="13"/>
      <x:c r="CD741" s="13"/>
      <x:c r="CE741" s="13"/>
      <x:c r="CF741" s="13"/>
      <x:c r="CG741" s="13"/>
    </x:row>
    <x:row r="742" ht="14.25" customHeight="1">
      <x:c r="AA742" s="3"/>
      <x:c r="AF742" s="3"/>
      <x:c r="AG742" s="3"/>
      <x:c r="AH742" s="3"/>
      <x:c r="AI742" s="3"/>
      <x:c r="AJ742" s="3"/>
      <x:c r="AK742" s="3"/>
      <x:c r="AL742" s="3"/>
      <x:c r="AM742" s="3"/>
      <x:c r="AT742" s="3"/>
      <x:c r="AU742" s="3"/>
      <x:c r="AV742" s="3"/>
      <x:c r="AW742" s="3"/>
      <x:c r="AX742" s="3"/>
      <x:c r="AY742" s="3"/>
      <x:c r="AZ742" s="3"/>
      <x:c r="BA742" s="3"/>
      <x:c r="BC742" s="3"/>
      <x:c r="BD742" s="3"/>
      <x:c r="BE742" s="3"/>
      <x:c r="BF742" s="3"/>
      <x:c r="BG742" s="3"/>
      <x:c r="BH742" s="13"/>
      <x:c r="BI742" s="13"/>
      <x:c r="BJ742" s="13"/>
      <x:c r="BK742" s="13"/>
      <x:c r="BL742" s="13"/>
      <x:c r="BM742" s="13"/>
      <x:c r="BN742" s="13"/>
      <x:c r="BO742" s="13"/>
      <x:c r="BP742" s="13"/>
      <x:c r="BQ742" s="13"/>
      <x:c r="BR742" s="13"/>
      <x:c r="BS742" s="13"/>
      <x:c r="BT742" s="13"/>
      <x:c r="BU742" s="13"/>
      <x:c r="BV742" s="13"/>
      <x:c r="BW742" s="13"/>
      <x:c r="BX742" s="13"/>
      <x:c r="BY742" s="13"/>
      <x:c r="BZ742" s="13"/>
      <x:c r="CA742" s="13"/>
      <x:c r="CB742" s="13"/>
      <x:c r="CC742" s="13"/>
      <x:c r="CD742" s="13"/>
      <x:c r="CE742" s="13"/>
      <x:c r="CF742" s="13"/>
      <x:c r="CG742" s="13"/>
    </x:row>
    <x:row r="743" ht="14.25" customHeight="1">
      <x:c r="AA743" s="3"/>
      <x:c r="AF743" s="3"/>
      <x:c r="AG743" s="3"/>
      <x:c r="AH743" s="3"/>
      <x:c r="AI743" s="3"/>
      <x:c r="AJ743" s="3"/>
      <x:c r="AK743" s="3"/>
      <x:c r="AL743" s="3"/>
      <x:c r="AM743" s="3"/>
      <x:c r="AT743" s="3"/>
      <x:c r="AU743" s="3"/>
      <x:c r="AV743" s="3"/>
      <x:c r="AW743" s="3"/>
      <x:c r="AX743" s="3"/>
      <x:c r="AY743" s="3"/>
      <x:c r="AZ743" s="3"/>
      <x:c r="BA743" s="3"/>
      <x:c r="BC743" s="3"/>
      <x:c r="BD743" s="3"/>
      <x:c r="BE743" s="3"/>
      <x:c r="BF743" s="3"/>
      <x:c r="BG743" s="3"/>
      <x:c r="BH743" s="13"/>
      <x:c r="BI743" s="13"/>
      <x:c r="BJ743" s="13"/>
      <x:c r="BK743" s="13"/>
      <x:c r="BL743" s="13"/>
      <x:c r="BM743" s="13"/>
      <x:c r="BN743" s="13"/>
      <x:c r="BO743" s="13"/>
      <x:c r="BP743" s="13"/>
      <x:c r="BQ743" s="13"/>
      <x:c r="BR743" s="13"/>
      <x:c r="BS743" s="13"/>
      <x:c r="BT743" s="13"/>
      <x:c r="BU743" s="13"/>
      <x:c r="BV743" s="13"/>
      <x:c r="BW743" s="13"/>
      <x:c r="BX743" s="13"/>
      <x:c r="BY743" s="13"/>
      <x:c r="BZ743" s="13"/>
      <x:c r="CA743" s="13"/>
      <x:c r="CB743" s="13"/>
      <x:c r="CC743" s="13"/>
      <x:c r="CD743" s="13"/>
      <x:c r="CE743" s="13"/>
      <x:c r="CF743" s="13"/>
      <x:c r="CG743" s="13"/>
    </x:row>
    <x:row r="744" ht="14.25" customHeight="1">
      <x:c r="AA744" s="3"/>
      <x:c r="AF744" s="3"/>
      <x:c r="AG744" s="3"/>
      <x:c r="AH744" s="3"/>
      <x:c r="AI744" s="3"/>
      <x:c r="AJ744" s="3"/>
      <x:c r="AK744" s="3"/>
      <x:c r="AL744" s="3"/>
      <x:c r="AM744" s="3"/>
      <x:c r="AT744" s="3"/>
      <x:c r="AU744" s="3"/>
      <x:c r="AV744" s="3"/>
      <x:c r="AW744" s="3"/>
      <x:c r="AX744" s="3"/>
      <x:c r="AY744" s="3"/>
      <x:c r="AZ744" s="3"/>
      <x:c r="BA744" s="3"/>
      <x:c r="BC744" s="3"/>
      <x:c r="BD744" s="3"/>
      <x:c r="BE744" s="3"/>
      <x:c r="BF744" s="3"/>
      <x:c r="BG744" s="3"/>
      <x:c r="BH744" s="13"/>
      <x:c r="BI744" s="13"/>
      <x:c r="BJ744" s="13"/>
      <x:c r="BK744" s="13"/>
      <x:c r="BL744" s="13"/>
      <x:c r="BM744" s="13"/>
      <x:c r="BN744" s="13"/>
      <x:c r="BO744" s="13"/>
      <x:c r="BP744" s="13"/>
      <x:c r="BQ744" s="13"/>
      <x:c r="BR744" s="13"/>
      <x:c r="BS744" s="13"/>
      <x:c r="BT744" s="13"/>
      <x:c r="BU744" s="13"/>
      <x:c r="BV744" s="13"/>
      <x:c r="BW744" s="13"/>
      <x:c r="BX744" s="13"/>
      <x:c r="BY744" s="13"/>
      <x:c r="BZ744" s="13"/>
      <x:c r="CA744" s="13"/>
      <x:c r="CB744" s="13"/>
      <x:c r="CC744" s="13"/>
      <x:c r="CD744" s="13"/>
      <x:c r="CE744" s="13"/>
      <x:c r="CF744" s="13"/>
      <x:c r="CG744" s="13"/>
    </x:row>
    <x:row r="745" ht="14.25" customHeight="1">
      <x:c r="AA745" s="3"/>
      <x:c r="AF745" s="3"/>
      <x:c r="AG745" s="3"/>
      <x:c r="AH745" s="3"/>
      <x:c r="AI745" s="3"/>
      <x:c r="AJ745" s="3"/>
      <x:c r="AK745" s="3"/>
      <x:c r="AL745" s="3"/>
      <x:c r="AM745" s="3"/>
      <x:c r="AT745" s="3"/>
      <x:c r="AU745" s="3"/>
      <x:c r="AV745" s="3"/>
      <x:c r="AW745" s="3"/>
      <x:c r="AX745" s="3"/>
      <x:c r="AY745" s="3"/>
      <x:c r="AZ745" s="3"/>
      <x:c r="BA745" s="3"/>
      <x:c r="BC745" s="3"/>
      <x:c r="BD745" s="3"/>
      <x:c r="BE745" s="3"/>
      <x:c r="BF745" s="3"/>
      <x:c r="BG745" s="3"/>
      <x:c r="BH745" s="13"/>
      <x:c r="BI745" s="13"/>
      <x:c r="BJ745" s="13"/>
      <x:c r="BK745" s="13"/>
      <x:c r="BL745" s="13"/>
      <x:c r="BM745" s="13"/>
      <x:c r="BN745" s="13"/>
      <x:c r="BO745" s="13"/>
      <x:c r="BP745" s="13"/>
      <x:c r="BQ745" s="13"/>
      <x:c r="BR745" s="13"/>
      <x:c r="BS745" s="13"/>
      <x:c r="BT745" s="13"/>
      <x:c r="BU745" s="13"/>
      <x:c r="BV745" s="13"/>
      <x:c r="BW745" s="13"/>
      <x:c r="BX745" s="13"/>
      <x:c r="BY745" s="13"/>
      <x:c r="BZ745" s="13"/>
      <x:c r="CA745" s="13"/>
      <x:c r="CB745" s="13"/>
      <x:c r="CC745" s="13"/>
      <x:c r="CD745" s="13"/>
      <x:c r="CE745" s="13"/>
      <x:c r="CF745" s="13"/>
      <x:c r="CG745" s="13"/>
    </x:row>
    <x:row r="746" ht="14.25" customHeight="1">
      <x:c r="AA746" s="3"/>
      <x:c r="AF746" s="3"/>
      <x:c r="AG746" s="3"/>
      <x:c r="AH746" s="3"/>
      <x:c r="AI746" s="3"/>
      <x:c r="AJ746" s="3"/>
      <x:c r="AK746" s="3"/>
      <x:c r="AL746" s="3"/>
      <x:c r="AM746" s="3"/>
      <x:c r="AT746" s="3"/>
      <x:c r="AU746" s="3"/>
      <x:c r="AV746" s="3"/>
      <x:c r="AW746" s="3"/>
      <x:c r="AX746" s="3"/>
      <x:c r="AY746" s="3"/>
      <x:c r="AZ746" s="3"/>
      <x:c r="BA746" s="3"/>
      <x:c r="BC746" s="3"/>
      <x:c r="BD746" s="3"/>
      <x:c r="BE746" s="3"/>
      <x:c r="BF746" s="3"/>
      <x:c r="BG746" s="3"/>
      <x:c r="BH746" s="13"/>
      <x:c r="BI746" s="13"/>
      <x:c r="BJ746" s="13"/>
      <x:c r="BK746" s="13"/>
      <x:c r="BL746" s="13"/>
      <x:c r="BM746" s="13"/>
      <x:c r="BN746" s="13"/>
      <x:c r="BO746" s="13"/>
      <x:c r="BP746" s="13"/>
      <x:c r="BQ746" s="13"/>
      <x:c r="BR746" s="13"/>
      <x:c r="BS746" s="13"/>
      <x:c r="BT746" s="13"/>
      <x:c r="BU746" s="13"/>
      <x:c r="BV746" s="13"/>
      <x:c r="BW746" s="13"/>
      <x:c r="BX746" s="13"/>
      <x:c r="BY746" s="13"/>
      <x:c r="BZ746" s="13"/>
      <x:c r="CA746" s="13"/>
      <x:c r="CB746" s="13"/>
      <x:c r="CC746" s="13"/>
      <x:c r="CD746" s="13"/>
      <x:c r="CE746" s="13"/>
      <x:c r="CF746" s="13"/>
      <x:c r="CG746" s="13"/>
    </x:row>
    <x:row r="747" ht="14.25" customHeight="1">
      <x:c r="AA747" s="3"/>
      <x:c r="AF747" s="3"/>
      <x:c r="AG747" s="3"/>
      <x:c r="AH747" s="3"/>
      <x:c r="AI747" s="3"/>
      <x:c r="AJ747" s="3"/>
      <x:c r="AK747" s="3"/>
      <x:c r="AL747" s="3"/>
      <x:c r="AM747" s="3"/>
      <x:c r="AT747" s="3"/>
      <x:c r="AU747" s="3"/>
      <x:c r="AV747" s="3"/>
      <x:c r="AW747" s="3"/>
      <x:c r="AX747" s="3"/>
      <x:c r="AY747" s="3"/>
      <x:c r="AZ747" s="3"/>
      <x:c r="BA747" s="3"/>
      <x:c r="BC747" s="3"/>
      <x:c r="BD747" s="3"/>
      <x:c r="BE747" s="3"/>
      <x:c r="BF747" s="3"/>
      <x:c r="BG747" s="3"/>
      <x:c r="BH747" s="13"/>
      <x:c r="BI747" s="13"/>
      <x:c r="BJ747" s="13"/>
      <x:c r="BK747" s="13"/>
      <x:c r="BL747" s="13"/>
      <x:c r="BM747" s="13"/>
      <x:c r="BN747" s="13"/>
      <x:c r="BO747" s="13"/>
      <x:c r="BP747" s="13"/>
      <x:c r="BQ747" s="13"/>
      <x:c r="BR747" s="13"/>
      <x:c r="BS747" s="13"/>
      <x:c r="BT747" s="13"/>
      <x:c r="BU747" s="13"/>
      <x:c r="BV747" s="13"/>
      <x:c r="BW747" s="13"/>
      <x:c r="BX747" s="13"/>
      <x:c r="BY747" s="13"/>
      <x:c r="BZ747" s="13"/>
      <x:c r="CA747" s="13"/>
      <x:c r="CB747" s="13"/>
      <x:c r="CC747" s="13"/>
      <x:c r="CD747" s="13"/>
      <x:c r="CE747" s="13"/>
      <x:c r="CF747" s="13"/>
      <x:c r="CG747" s="13"/>
    </x:row>
    <x:row r="748" ht="14.25" customHeight="1">
      <x:c r="AA748" s="3"/>
      <x:c r="AF748" s="3"/>
      <x:c r="AG748" s="3"/>
      <x:c r="AH748" s="3"/>
      <x:c r="AI748" s="3"/>
      <x:c r="AJ748" s="3"/>
      <x:c r="AK748" s="3"/>
      <x:c r="AL748" s="3"/>
      <x:c r="AM748" s="3"/>
      <x:c r="AT748" s="3"/>
      <x:c r="AU748" s="3"/>
      <x:c r="AV748" s="3"/>
      <x:c r="AW748" s="3"/>
      <x:c r="AX748" s="3"/>
      <x:c r="AY748" s="3"/>
      <x:c r="AZ748" s="3"/>
      <x:c r="BA748" s="3"/>
      <x:c r="BC748" s="3"/>
      <x:c r="BD748" s="3"/>
      <x:c r="BE748" s="3"/>
      <x:c r="BF748" s="3"/>
      <x:c r="BG748" s="3"/>
      <x:c r="BH748" s="13"/>
      <x:c r="BI748" s="13"/>
      <x:c r="BJ748" s="13"/>
      <x:c r="BK748" s="13"/>
      <x:c r="BL748" s="13"/>
      <x:c r="BM748" s="13"/>
      <x:c r="BN748" s="13"/>
      <x:c r="BO748" s="13"/>
      <x:c r="BP748" s="13"/>
      <x:c r="BQ748" s="13"/>
      <x:c r="BR748" s="13"/>
      <x:c r="BS748" s="13"/>
      <x:c r="BT748" s="13"/>
      <x:c r="BU748" s="13"/>
      <x:c r="BV748" s="13"/>
      <x:c r="BW748" s="13"/>
      <x:c r="BX748" s="13"/>
      <x:c r="BY748" s="13"/>
      <x:c r="BZ748" s="13"/>
      <x:c r="CA748" s="13"/>
      <x:c r="CB748" s="13"/>
      <x:c r="CC748" s="13"/>
      <x:c r="CD748" s="13"/>
      <x:c r="CE748" s="13"/>
      <x:c r="CF748" s="13"/>
      <x:c r="CG748" s="13"/>
    </x:row>
    <x:row r="749" ht="14.25" customHeight="1">
      <x:c r="AA749" s="3"/>
      <x:c r="AF749" s="3"/>
      <x:c r="AG749" s="3"/>
      <x:c r="AH749" s="3"/>
      <x:c r="AI749" s="3"/>
      <x:c r="AJ749" s="3"/>
      <x:c r="AK749" s="3"/>
      <x:c r="AL749" s="3"/>
      <x:c r="AM749" s="3"/>
      <x:c r="AT749" s="3"/>
      <x:c r="AU749" s="3"/>
      <x:c r="AV749" s="3"/>
      <x:c r="AW749" s="3"/>
      <x:c r="AX749" s="3"/>
      <x:c r="AY749" s="3"/>
      <x:c r="AZ749" s="3"/>
      <x:c r="BA749" s="3"/>
      <x:c r="BC749" s="3"/>
      <x:c r="BD749" s="3"/>
      <x:c r="BE749" s="3"/>
      <x:c r="BF749" s="3"/>
      <x:c r="BG749" s="3"/>
      <x:c r="BH749" s="13"/>
      <x:c r="BI749" s="13"/>
      <x:c r="BJ749" s="13"/>
      <x:c r="BK749" s="13"/>
      <x:c r="BL749" s="13"/>
      <x:c r="BM749" s="13"/>
      <x:c r="BN749" s="13"/>
      <x:c r="BO749" s="13"/>
      <x:c r="BP749" s="13"/>
      <x:c r="BQ749" s="13"/>
      <x:c r="BR749" s="13"/>
      <x:c r="BS749" s="13"/>
      <x:c r="BT749" s="13"/>
      <x:c r="BU749" s="13"/>
      <x:c r="BV749" s="13"/>
      <x:c r="BW749" s="13"/>
      <x:c r="BX749" s="13"/>
      <x:c r="BY749" s="13"/>
      <x:c r="BZ749" s="13"/>
      <x:c r="CA749" s="13"/>
      <x:c r="CB749" s="13"/>
      <x:c r="CC749" s="13"/>
      <x:c r="CD749" s="13"/>
      <x:c r="CE749" s="13"/>
      <x:c r="CF749" s="13"/>
      <x:c r="CG749" s="13"/>
    </x:row>
    <x:row r="750" ht="14.25" customHeight="1">
      <x:c r="AA750" s="3"/>
      <x:c r="AF750" s="3"/>
      <x:c r="AG750" s="3"/>
      <x:c r="AH750" s="3"/>
      <x:c r="AI750" s="3"/>
      <x:c r="AJ750" s="3"/>
      <x:c r="AK750" s="3"/>
      <x:c r="AL750" s="3"/>
      <x:c r="AM750" s="3"/>
      <x:c r="AT750" s="3"/>
      <x:c r="AU750" s="3"/>
      <x:c r="AV750" s="3"/>
      <x:c r="AW750" s="3"/>
      <x:c r="AX750" s="3"/>
      <x:c r="AY750" s="3"/>
      <x:c r="AZ750" s="3"/>
      <x:c r="BA750" s="3"/>
      <x:c r="BC750" s="3"/>
      <x:c r="BD750" s="3"/>
      <x:c r="BE750" s="3"/>
      <x:c r="BF750" s="3"/>
      <x:c r="BG750" s="3"/>
      <x:c r="BH750" s="13"/>
      <x:c r="BI750" s="13"/>
      <x:c r="BJ750" s="13"/>
      <x:c r="BK750" s="13"/>
      <x:c r="BL750" s="13"/>
      <x:c r="BM750" s="13"/>
      <x:c r="BN750" s="13"/>
      <x:c r="BO750" s="13"/>
      <x:c r="BP750" s="13"/>
      <x:c r="BQ750" s="13"/>
      <x:c r="BR750" s="13"/>
      <x:c r="BS750" s="13"/>
      <x:c r="BT750" s="13"/>
      <x:c r="BU750" s="13"/>
      <x:c r="BV750" s="13"/>
      <x:c r="BW750" s="13"/>
      <x:c r="BX750" s="13"/>
      <x:c r="BY750" s="13"/>
      <x:c r="BZ750" s="13"/>
      <x:c r="CA750" s="13"/>
      <x:c r="CB750" s="13"/>
      <x:c r="CC750" s="13"/>
      <x:c r="CD750" s="13"/>
      <x:c r="CE750" s="13"/>
      <x:c r="CF750" s="13"/>
      <x:c r="CG750" s="13"/>
    </x:row>
    <x:row r="751" ht="14.25" customHeight="1">
      <x:c r="AA751" s="3"/>
      <x:c r="AF751" s="3"/>
      <x:c r="AG751" s="3"/>
      <x:c r="AH751" s="3"/>
      <x:c r="AI751" s="3"/>
      <x:c r="AJ751" s="3"/>
      <x:c r="AK751" s="3"/>
      <x:c r="AL751" s="3"/>
      <x:c r="AM751" s="3"/>
      <x:c r="AT751" s="3"/>
      <x:c r="AU751" s="3"/>
      <x:c r="AV751" s="3"/>
      <x:c r="AW751" s="3"/>
      <x:c r="AX751" s="3"/>
      <x:c r="AY751" s="3"/>
      <x:c r="AZ751" s="3"/>
      <x:c r="BA751" s="3"/>
      <x:c r="BC751" s="3"/>
      <x:c r="BD751" s="3"/>
      <x:c r="BE751" s="3"/>
      <x:c r="BF751" s="3"/>
      <x:c r="BG751" s="3"/>
      <x:c r="BH751" s="13"/>
      <x:c r="BI751" s="13"/>
      <x:c r="BJ751" s="13"/>
      <x:c r="BK751" s="13"/>
      <x:c r="BL751" s="13"/>
      <x:c r="BM751" s="13"/>
      <x:c r="BN751" s="13"/>
      <x:c r="BO751" s="13"/>
      <x:c r="BP751" s="13"/>
      <x:c r="BQ751" s="13"/>
      <x:c r="BR751" s="13"/>
      <x:c r="BS751" s="13"/>
      <x:c r="BT751" s="13"/>
      <x:c r="BU751" s="13"/>
      <x:c r="BV751" s="13"/>
      <x:c r="BW751" s="13"/>
      <x:c r="BX751" s="13"/>
      <x:c r="BY751" s="13"/>
      <x:c r="BZ751" s="13"/>
      <x:c r="CA751" s="13"/>
      <x:c r="CB751" s="13"/>
      <x:c r="CC751" s="13"/>
      <x:c r="CD751" s="13"/>
      <x:c r="CE751" s="13"/>
      <x:c r="CF751" s="13"/>
      <x:c r="CG751" s="13"/>
    </x:row>
    <x:row r="752" ht="14.25" customHeight="1">
      <x:c r="AA752" s="3"/>
      <x:c r="AF752" s="3"/>
      <x:c r="AG752" s="3"/>
      <x:c r="AH752" s="3"/>
      <x:c r="AI752" s="3"/>
      <x:c r="AJ752" s="3"/>
      <x:c r="AK752" s="3"/>
      <x:c r="AL752" s="3"/>
      <x:c r="AM752" s="3"/>
      <x:c r="AT752" s="3"/>
      <x:c r="AU752" s="3"/>
      <x:c r="AV752" s="3"/>
      <x:c r="AW752" s="3"/>
      <x:c r="AX752" s="3"/>
      <x:c r="AY752" s="3"/>
      <x:c r="AZ752" s="3"/>
      <x:c r="BA752" s="3"/>
      <x:c r="BC752" s="3"/>
      <x:c r="BD752" s="3"/>
      <x:c r="BE752" s="3"/>
      <x:c r="BF752" s="3"/>
      <x:c r="BG752" s="3"/>
      <x:c r="BH752" s="13"/>
      <x:c r="BI752" s="13"/>
      <x:c r="BJ752" s="13"/>
      <x:c r="BK752" s="13"/>
      <x:c r="BL752" s="13"/>
      <x:c r="BM752" s="13"/>
      <x:c r="BN752" s="13"/>
      <x:c r="BO752" s="13"/>
      <x:c r="BP752" s="13"/>
      <x:c r="BQ752" s="13"/>
      <x:c r="BR752" s="13"/>
      <x:c r="BS752" s="13"/>
      <x:c r="BT752" s="13"/>
      <x:c r="BU752" s="13"/>
      <x:c r="BV752" s="13"/>
      <x:c r="BW752" s="13"/>
      <x:c r="BX752" s="13"/>
      <x:c r="BY752" s="13"/>
      <x:c r="BZ752" s="13"/>
      <x:c r="CA752" s="13"/>
      <x:c r="CB752" s="13"/>
      <x:c r="CC752" s="13"/>
      <x:c r="CD752" s="13"/>
      <x:c r="CE752" s="13"/>
      <x:c r="CF752" s="13"/>
      <x:c r="CG752" s="13"/>
    </x:row>
    <x:row r="753" ht="14.25" customHeight="1">
      <x:c r="AA753" s="3"/>
      <x:c r="AF753" s="3"/>
      <x:c r="AG753" s="3"/>
      <x:c r="AH753" s="3"/>
      <x:c r="AI753" s="3"/>
      <x:c r="AJ753" s="3"/>
      <x:c r="AK753" s="3"/>
      <x:c r="AL753" s="3"/>
      <x:c r="AM753" s="3"/>
      <x:c r="AT753" s="3"/>
      <x:c r="AU753" s="3"/>
      <x:c r="AV753" s="3"/>
      <x:c r="AW753" s="3"/>
      <x:c r="AX753" s="3"/>
      <x:c r="AY753" s="3"/>
      <x:c r="AZ753" s="3"/>
      <x:c r="BA753" s="3"/>
      <x:c r="BC753" s="3"/>
      <x:c r="BD753" s="3"/>
      <x:c r="BE753" s="3"/>
      <x:c r="BF753" s="3"/>
      <x:c r="BG753" s="3"/>
      <x:c r="BH753" s="13"/>
      <x:c r="BI753" s="13"/>
      <x:c r="BJ753" s="13"/>
      <x:c r="BK753" s="13"/>
      <x:c r="BL753" s="13"/>
      <x:c r="BM753" s="13"/>
      <x:c r="BN753" s="13"/>
      <x:c r="BO753" s="13"/>
      <x:c r="BP753" s="13"/>
      <x:c r="BQ753" s="13"/>
      <x:c r="BR753" s="13"/>
      <x:c r="BS753" s="13"/>
      <x:c r="BT753" s="13"/>
      <x:c r="BU753" s="13"/>
      <x:c r="BV753" s="13"/>
      <x:c r="BW753" s="13"/>
      <x:c r="BX753" s="13"/>
      <x:c r="BY753" s="13"/>
      <x:c r="BZ753" s="13"/>
      <x:c r="CA753" s="13"/>
      <x:c r="CB753" s="13"/>
      <x:c r="CC753" s="13"/>
      <x:c r="CD753" s="13"/>
      <x:c r="CE753" s="13"/>
      <x:c r="CF753" s="13"/>
      <x:c r="CG753" s="13"/>
    </x:row>
    <x:row r="754" ht="14.25" customHeight="1">
      <x:c r="AA754" s="3"/>
      <x:c r="AF754" s="3"/>
      <x:c r="AG754" s="3"/>
      <x:c r="AH754" s="3"/>
      <x:c r="AI754" s="3"/>
      <x:c r="AJ754" s="3"/>
      <x:c r="AK754" s="3"/>
      <x:c r="AL754" s="3"/>
      <x:c r="AM754" s="3"/>
      <x:c r="AT754" s="3"/>
      <x:c r="AU754" s="3"/>
      <x:c r="AV754" s="3"/>
      <x:c r="AW754" s="3"/>
      <x:c r="AX754" s="3"/>
      <x:c r="AY754" s="3"/>
      <x:c r="AZ754" s="3"/>
      <x:c r="BA754" s="3"/>
      <x:c r="BC754" s="3"/>
      <x:c r="BD754" s="3"/>
      <x:c r="BE754" s="3"/>
      <x:c r="BF754" s="3"/>
      <x:c r="BG754" s="3"/>
      <x:c r="BH754" s="13"/>
      <x:c r="BI754" s="13"/>
      <x:c r="BJ754" s="13"/>
      <x:c r="BK754" s="13"/>
      <x:c r="BL754" s="13"/>
      <x:c r="BM754" s="13"/>
      <x:c r="BN754" s="13"/>
      <x:c r="BO754" s="13"/>
      <x:c r="BP754" s="13"/>
      <x:c r="BQ754" s="13"/>
      <x:c r="BR754" s="13"/>
      <x:c r="BS754" s="13"/>
      <x:c r="BT754" s="13"/>
      <x:c r="BU754" s="13"/>
      <x:c r="BV754" s="13"/>
      <x:c r="BW754" s="13"/>
      <x:c r="BX754" s="13"/>
      <x:c r="BY754" s="13"/>
      <x:c r="BZ754" s="13"/>
      <x:c r="CA754" s="13"/>
      <x:c r="CB754" s="13"/>
      <x:c r="CC754" s="13"/>
      <x:c r="CD754" s="13"/>
      <x:c r="CE754" s="13"/>
      <x:c r="CF754" s="13"/>
      <x:c r="CG754" s="13"/>
    </x:row>
    <x:row r="755" ht="14.25" customHeight="1">
      <x:c r="AA755" s="3"/>
      <x:c r="AF755" s="3"/>
      <x:c r="AG755" s="3"/>
      <x:c r="AH755" s="3"/>
      <x:c r="AI755" s="3"/>
      <x:c r="AJ755" s="3"/>
      <x:c r="AK755" s="3"/>
      <x:c r="AL755" s="3"/>
      <x:c r="AM755" s="3"/>
      <x:c r="AT755" s="3"/>
      <x:c r="AU755" s="3"/>
      <x:c r="AV755" s="3"/>
      <x:c r="AW755" s="3"/>
      <x:c r="AX755" s="3"/>
      <x:c r="AY755" s="3"/>
      <x:c r="AZ755" s="3"/>
      <x:c r="BA755" s="3"/>
      <x:c r="BC755" s="3"/>
      <x:c r="BD755" s="3"/>
      <x:c r="BE755" s="3"/>
      <x:c r="BF755" s="3"/>
      <x:c r="BG755" s="3"/>
      <x:c r="BH755" s="13"/>
      <x:c r="BI755" s="13"/>
      <x:c r="BJ755" s="13"/>
      <x:c r="BK755" s="13"/>
      <x:c r="BL755" s="13"/>
      <x:c r="BM755" s="13"/>
      <x:c r="BN755" s="13"/>
      <x:c r="BO755" s="13"/>
      <x:c r="BP755" s="13"/>
      <x:c r="BQ755" s="13"/>
      <x:c r="BR755" s="13"/>
      <x:c r="BS755" s="13"/>
      <x:c r="BT755" s="13"/>
      <x:c r="BU755" s="13"/>
      <x:c r="BV755" s="13"/>
      <x:c r="BW755" s="13"/>
      <x:c r="BX755" s="13"/>
      <x:c r="BY755" s="13"/>
      <x:c r="BZ755" s="13"/>
      <x:c r="CA755" s="13"/>
      <x:c r="CB755" s="13"/>
      <x:c r="CC755" s="13"/>
      <x:c r="CD755" s="13"/>
      <x:c r="CE755" s="13"/>
      <x:c r="CF755" s="13"/>
      <x:c r="CG755" s="13"/>
    </x:row>
    <x:row r="756" ht="14.25" customHeight="1">
      <x:c r="AA756" s="3"/>
      <x:c r="AF756" s="3"/>
      <x:c r="AG756" s="3"/>
      <x:c r="AH756" s="3"/>
      <x:c r="AI756" s="3"/>
      <x:c r="AJ756" s="3"/>
      <x:c r="AK756" s="3"/>
      <x:c r="AL756" s="3"/>
      <x:c r="AM756" s="3"/>
      <x:c r="AT756" s="3"/>
      <x:c r="AU756" s="3"/>
      <x:c r="AV756" s="3"/>
      <x:c r="AW756" s="3"/>
      <x:c r="AX756" s="3"/>
      <x:c r="AY756" s="3"/>
      <x:c r="AZ756" s="3"/>
      <x:c r="BA756" s="3"/>
      <x:c r="BC756" s="3"/>
      <x:c r="BD756" s="3"/>
      <x:c r="BE756" s="3"/>
      <x:c r="BF756" s="3"/>
      <x:c r="BG756" s="3"/>
      <x:c r="BH756" s="13"/>
      <x:c r="BI756" s="13"/>
      <x:c r="BJ756" s="13"/>
      <x:c r="BK756" s="13"/>
      <x:c r="BL756" s="13"/>
      <x:c r="BM756" s="13"/>
      <x:c r="BN756" s="13"/>
      <x:c r="BO756" s="13"/>
      <x:c r="BP756" s="13"/>
      <x:c r="BQ756" s="13"/>
      <x:c r="BR756" s="13"/>
      <x:c r="BS756" s="13"/>
      <x:c r="BT756" s="13"/>
      <x:c r="BU756" s="13"/>
      <x:c r="BV756" s="13"/>
      <x:c r="BW756" s="13"/>
      <x:c r="BX756" s="13"/>
      <x:c r="BY756" s="13"/>
      <x:c r="BZ756" s="13"/>
      <x:c r="CA756" s="13"/>
      <x:c r="CB756" s="13"/>
      <x:c r="CC756" s="13"/>
      <x:c r="CD756" s="13"/>
      <x:c r="CE756" s="13"/>
      <x:c r="CF756" s="13"/>
      <x:c r="CG756" s="13"/>
    </x:row>
    <x:row r="757" ht="14.25" customHeight="1">
      <x:c r="AA757" s="3"/>
      <x:c r="AF757" s="3"/>
      <x:c r="AG757" s="3"/>
      <x:c r="AH757" s="3"/>
      <x:c r="AI757" s="3"/>
      <x:c r="AJ757" s="3"/>
      <x:c r="AK757" s="3"/>
      <x:c r="AL757" s="3"/>
      <x:c r="AM757" s="3"/>
      <x:c r="AT757" s="3"/>
      <x:c r="AU757" s="3"/>
      <x:c r="AV757" s="3"/>
      <x:c r="AW757" s="3"/>
      <x:c r="AX757" s="3"/>
      <x:c r="AY757" s="3"/>
      <x:c r="AZ757" s="3"/>
      <x:c r="BA757" s="3"/>
      <x:c r="BC757" s="3"/>
      <x:c r="BD757" s="3"/>
      <x:c r="BE757" s="3"/>
      <x:c r="BF757" s="3"/>
      <x:c r="BG757" s="3"/>
      <x:c r="BH757" s="13"/>
      <x:c r="BI757" s="13"/>
      <x:c r="BJ757" s="13"/>
      <x:c r="BK757" s="13"/>
      <x:c r="BL757" s="13"/>
      <x:c r="BM757" s="13"/>
      <x:c r="BN757" s="13"/>
      <x:c r="BO757" s="13"/>
      <x:c r="BP757" s="13"/>
      <x:c r="BQ757" s="13"/>
      <x:c r="BR757" s="13"/>
      <x:c r="BS757" s="13"/>
      <x:c r="BT757" s="13"/>
      <x:c r="BU757" s="13"/>
      <x:c r="BV757" s="13"/>
      <x:c r="BW757" s="13"/>
      <x:c r="BX757" s="13"/>
      <x:c r="BY757" s="13"/>
      <x:c r="BZ757" s="13"/>
      <x:c r="CA757" s="13"/>
      <x:c r="CB757" s="13"/>
      <x:c r="CC757" s="13"/>
      <x:c r="CD757" s="13"/>
      <x:c r="CE757" s="13"/>
      <x:c r="CF757" s="13"/>
      <x:c r="CG757" s="13"/>
    </x:row>
    <x:row r="758" ht="14.25" customHeight="1">
      <x:c r="AA758" s="3"/>
      <x:c r="AF758" s="3"/>
      <x:c r="AG758" s="3"/>
      <x:c r="AH758" s="3"/>
      <x:c r="AI758" s="3"/>
      <x:c r="AJ758" s="3"/>
      <x:c r="AK758" s="3"/>
      <x:c r="AL758" s="3"/>
      <x:c r="AM758" s="3"/>
      <x:c r="AT758" s="3"/>
      <x:c r="AU758" s="3"/>
      <x:c r="AV758" s="3"/>
      <x:c r="AW758" s="3"/>
      <x:c r="AX758" s="3"/>
      <x:c r="AY758" s="3"/>
      <x:c r="AZ758" s="3"/>
      <x:c r="BA758" s="3"/>
      <x:c r="BC758" s="3"/>
      <x:c r="BD758" s="3"/>
      <x:c r="BE758" s="3"/>
      <x:c r="BF758" s="3"/>
      <x:c r="BG758" s="3"/>
      <x:c r="BH758" s="13"/>
      <x:c r="BI758" s="13"/>
      <x:c r="BJ758" s="13"/>
      <x:c r="BK758" s="13"/>
      <x:c r="BL758" s="13"/>
      <x:c r="BM758" s="13"/>
      <x:c r="BN758" s="13"/>
      <x:c r="BO758" s="13"/>
      <x:c r="BP758" s="13"/>
      <x:c r="BQ758" s="13"/>
      <x:c r="BR758" s="13"/>
      <x:c r="BS758" s="13"/>
      <x:c r="BT758" s="13"/>
      <x:c r="BU758" s="13"/>
      <x:c r="BV758" s="13"/>
      <x:c r="BW758" s="13"/>
      <x:c r="BX758" s="13"/>
      <x:c r="BY758" s="13"/>
      <x:c r="BZ758" s="13"/>
      <x:c r="CA758" s="13"/>
      <x:c r="CB758" s="13"/>
      <x:c r="CC758" s="13"/>
      <x:c r="CD758" s="13"/>
      <x:c r="CE758" s="13"/>
      <x:c r="CF758" s="13"/>
      <x:c r="CG758" s="13"/>
    </x:row>
    <x:row r="759" ht="14.25" customHeight="1">
      <x:c r="AA759" s="3"/>
      <x:c r="AF759" s="3"/>
      <x:c r="AG759" s="3"/>
      <x:c r="AH759" s="3"/>
      <x:c r="AI759" s="3"/>
      <x:c r="AJ759" s="3"/>
      <x:c r="AK759" s="3"/>
      <x:c r="AL759" s="3"/>
      <x:c r="AM759" s="3"/>
      <x:c r="AT759" s="3"/>
      <x:c r="AU759" s="3"/>
      <x:c r="AV759" s="3"/>
      <x:c r="AW759" s="3"/>
      <x:c r="AX759" s="3"/>
      <x:c r="AY759" s="3"/>
      <x:c r="AZ759" s="3"/>
      <x:c r="BA759" s="3"/>
      <x:c r="BC759" s="3"/>
      <x:c r="BD759" s="3"/>
      <x:c r="BE759" s="3"/>
      <x:c r="BF759" s="3"/>
      <x:c r="BG759" s="3"/>
      <x:c r="BH759" s="13"/>
      <x:c r="BI759" s="13"/>
      <x:c r="BJ759" s="13"/>
      <x:c r="BK759" s="13"/>
      <x:c r="BL759" s="13"/>
      <x:c r="BM759" s="13"/>
      <x:c r="BN759" s="13"/>
      <x:c r="BO759" s="13"/>
      <x:c r="BP759" s="13"/>
      <x:c r="BQ759" s="13"/>
      <x:c r="BR759" s="13"/>
      <x:c r="BS759" s="13"/>
      <x:c r="BT759" s="13"/>
      <x:c r="BU759" s="13"/>
      <x:c r="BV759" s="13"/>
      <x:c r="BW759" s="13"/>
      <x:c r="BX759" s="13"/>
      <x:c r="BY759" s="13"/>
      <x:c r="BZ759" s="13"/>
      <x:c r="CA759" s="13"/>
      <x:c r="CB759" s="13"/>
      <x:c r="CC759" s="13"/>
      <x:c r="CD759" s="13"/>
      <x:c r="CE759" s="13"/>
      <x:c r="CF759" s="13"/>
      <x:c r="CG759" s="13"/>
    </x:row>
    <x:row r="760" ht="14.25" customHeight="1">
      <x:c r="AA760" s="3"/>
      <x:c r="AF760" s="3"/>
      <x:c r="AG760" s="3"/>
      <x:c r="AH760" s="3"/>
      <x:c r="AI760" s="3"/>
      <x:c r="AJ760" s="3"/>
      <x:c r="AK760" s="3"/>
      <x:c r="AL760" s="3"/>
      <x:c r="AM760" s="3"/>
      <x:c r="AT760" s="3"/>
      <x:c r="AU760" s="3"/>
      <x:c r="AV760" s="3"/>
      <x:c r="AW760" s="3"/>
      <x:c r="AX760" s="3"/>
      <x:c r="AY760" s="3"/>
      <x:c r="AZ760" s="3"/>
      <x:c r="BA760" s="3"/>
      <x:c r="BC760" s="3"/>
      <x:c r="BD760" s="3"/>
      <x:c r="BE760" s="3"/>
      <x:c r="BF760" s="3"/>
      <x:c r="BG760" s="3"/>
      <x:c r="BH760" s="13"/>
      <x:c r="BI760" s="13"/>
      <x:c r="BJ760" s="13"/>
      <x:c r="BK760" s="13"/>
      <x:c r="BL760" s="13"/>
      <x:c r="BM760" s="13"/>
      <x:c r="BN760" s="13"/>
      <x:c r="BO760" s="13"/>
      <x:c r="BP760" s="13"/>
      <x:c r="BQ760" s="13"/>
      <x:c r="BR760" s="13"/>
      <x:c r="BS760" s="13"/>
      <x:c r="BT760" s="13"/>
      <x:c r="BU760" s="13"/>
      <x:c r="BV760" s="13"/>
      <x:c r="BW760" s="13"/>
      <x:c r="BX760" s="13"/>
      <x:c r="BY760" s="13"/>
      <x:c r="BZ760" s="13"/>
      <x:c r="CA760" s="13"/>
      <x:c r="CB760" s="13"/>
      <x:c r="CC760" s="13"/>
      <x:c r="CD760" s="13"/>
      <x:c r="CE760" s="13"/>
      <x:c r="CF760" s="13"/>
      <x:c r="CG760" s="13"/>
    </x:row>
    <x:row r="761" ht="14.25" customHeight="1">
      <x:c r="AA761" s="3"/>
      <x:c r="AF761" s="3"/>
      <x:c r="AG761" s="3"/>
      <x:c r="AH761" s="3"/>
      <x:c r="AI761" s="3"/>
      <x:c r="AJ761" s="3"/>
      <x:c r="AK761" s="3"/>
      <x:c r="AL761" s="3"/>
      <x:c r="AM761" s="3"/>
      <x:c r="AT761" s="3"/>
      <x:c r="AU761" s="3"/>
      <x:c r="AV761" s="3"/>
      <x:c r="AW761" s="3"/>
      <x:c r="AX761" s="3"/>
      <x:c r="AY761" s="3"/>
      <x:c r="AZ761" s="3"/>
      <x:c r="BA761" s="3"/>
      <x:c r="BC761" s="3"/>
      <x:c r="BD761" s="3"/>
      <x:c r="BE761" s="3"/>
      <x:c r="BF761" s="3"/>
      <x:c r="BG761" s="3"/>
      <x:c r="BH761" s="13"/>
      <x:c r="BI761" s="13"/>
      <x:c r="BJ761" s="13"/>
      <x:c r="BK761" s="13"/>
      <x:c r="BL761" s="13"/>
      <x:c r="BM761" s="13"/>
      <x:c r="BN761" s="13"/>
      <x:c r="BO761" s="13"/>
      <x:c r="BP761" s="13"/>
      <x:c r="BQ761" s="13"/>
      <x:c r="BR761" s="13"/>
      <x:c r="BS761" s="13"/>
      <x:c r="BT761" s="13"/>
      <x:c r="BU761" s="13"/>
      <x:c r="BV761" s="13"/>
      <x:c r="BW761" s="13"/>
      <x:c r="BX761" s="13"/>
      <x:c r="BY761" s="13"/>
      <x:c r="BZ761" s="13"/>
      <x:c r="CA761" s="13"/>
      <x:c r="CB761" s="13"/>
      <x:c r="CC761" s="13"/>
      <x:c r="CD761" s="13"/>
      <x:c r="CE761" s="13"/>
      <x:c r="CF761" s="13"/>
      <x:c r="CG761" s="13"/>
    </x:row>
    <x:row r="762" ht="14.25" customHeight="1">
      <x:c r="AA762" s="3"/>
      <x:c r="AF762" s="3"/>
      <x:c r="AG762" s="3"/>
      <x:c r="AH762" s="3"/>
      <x:c r="AI762" s="3"/>
      <x:c r="AJ762" s="3"/>
      <x:c r="AK762" s="3"/>
      <x:c r="AL762" s="3"/>
      <x:c r="AM762" s="3"/>
      <x:c r="AT762" s="3"/>
      <x:c r="AU762" s="3"/>
      <x:c r="AV762" s="3"/>
      <x:c r="AW762" s="3"/>
      <x:c r="AX762" s="3"/>
      <x:c r="AY762" s="3"/>
      <x:c r="AZ762" s="3"/>
      <x:c r="BA762" s="3"/>
      <x:c r="BC762" s="3"/>
      <x:c r="BD762" s="3"/>
      <x:c r="BE762" s="3"/>
      <x:c r="BF762" s="3"/>
      <x:c r="BG762" s="3"/>
      <x:c r="BH762" s="13"/>
      <x:c r="BI762" s="13"/>
      <x:c r="BJ762" s="13"/>
      <x:c r="BK762" s="13"/>
      <x:c r="BL762" s="13"/>
      <x:c r="BM762" s="13"/>
      <x:c r="BN762" s="13"/>
      <x:c r="BO762" s="13"/>
      <x:c r="BP762" s="13"/>
      <x:c r="BQ762" s="13"/>
      <x:c r="BR762" s="13"/>
      <x:c r="BS762" s="13"/>
      <x:c r="BT762" s="13"/>
      <x:c r="BU762" s="13"/>
      <x:c r="BV762" s="13"/>
      <x:c r="BW762" s="13"/>
      <x:c r="BX762" s="13"/>
      <x:c r="BY762" s="13"/>
      <x:c r="BZ762" s="13"/>
      <x:c r="CA762" s="13"/>
      <x:c r="CB762" s="13"/>
      <x:c r="CC762" s="13"/>
      <x:c r="CD762" s="13"/>
      <x:c r="CE762" s="13"/>
      <x:c r="CF762" s="13"/>
      <x:c r="CG762" s="13"/>
    </x:row>
    <x:row r="763" ht="14.25" customHeight="1">
      <x:c r="AA763" s="3"/>
      <x:c r="AF763" s="3"/>
      <x:c r="AG763" s="3"/>
      <x:c r="AH763" s="3"/>
      <x:c r="AI763" s="3"/>
      <x:c r="AJ763" s="3"/>
      <x:c r="AK763" s="3"/>
      <x:c r="AL763" s="3"/>
      <x:c r="AM763" s="3"/>
      <x:c r="AT763" s="3"/>
      <x:c r="AU763" s="3"/>
      <x:c r="AV763" s="3"/>
      <x:c r="AW763" s="3"/>
      <x:c r="AX763" s="3"/>
      <x:c r="AY763" s="3"/>
      <x:c r="AZ763" s="3"/>
      <x:c r="BA763" s="3"/>
      <x:c r="BC763" s="3"/>
      <x:c r="BD763" s="3"/>
      <x:c r="BE763" s="3"/>
      <x:c r="BF763" s="3"/>
      <x:c r="BG763" s="3"/>
      <x:c r="BH763" s="13"/>
      <x:c r="BI763" s="13"/>
      <x:c r="BJ763" s="13"/>
      <x:c r="BK763" s="13"/>
      <x:c r="BL763" s="13"/>
      <x:c r="BM763" s="13"/>
      <x:c r="BN763" s="13"/>
      <x:c r="BO763" s="13"/>
      <x:c r="BP763" s="13"/>
      <x:c r="BQ763" s="13"/>
      <x:c r="BR763" s="13"/>
      <x:c r="BS763" s="13"/>
      <x:c r="BT763" s="13"/>
      <x:c r="BU763" s="13"/>
      <x:c r="BV763" s="13"/>
      <x:c r="BW763" s="13"/>
      <x:c r="BX763" s="13"/>
      <x:c r="BY763" s="13"/>
      <x:c r="BZ763" s="13"/>
      <x:c r="CA763" s="13"/>
      <x:c r="CB763" s="13"/>
      <x:c r="CC763" s="13"/>
      <x:c r="CD763" s="13"/>
      <x:c r="CE763" s="13"/>
      <x:c r="CF763" s="13"/>
      <x:c r="CG763" s="13"/>
    </x:row>
    <x:row r="764" ht="14.25" customHeight="1">
      <x:c r="AA764" s="3"/>
      <x:c r="AF764" s="3"/>
      <x:c r="AG764" s="3"/>
      <x:c r="AH764" s="3"/>
      <x:c r="AI764" s="3"/>
      <x:c r="AJ764" s="3"/>
      <x:c r="AK764" s="3"/>
      <x:c r="AL764" s="3"/>
      <x:c r="AM764" s="3"/>
      <x:c r="AT764" s="3"/>
      <x:c r="AU764" s="3"/>
      <x:c r="AV764" s="3"/>
      <x:c r="AW764" s="3"/>
      <x:c r="AX764" s="3"/>
      <x:c r="AY764" s="3"/>
      <x:c r="AZ764" s="3"/>
      <x:c r="BA764" s="3"/>
      <x:c r="BC764" s="3"/>
      <x:c r="BD764" s="3"/>
      <x:c r="BE764" s="3"/>
      <x:c r="BF764" s="3"/>
      <x:c r="BG764" s="3"/>
      <x:c r="BH764" s="13"/>
      <x:c r="BI764" s="13"/>
      <x:c r="BJ764" s="13"/>
      <x:c r="BK764" s="13"/>
      <x:c r="BL764" s="13"/>
      <x:c r="BM764" s="13"/>
      <x:c r="BN764" s="13"/>
      <x:c r="BO764" s="13"/>
      <x:c r="BP764" s="13"/>
      <x:c r="BQ764" s="13"/>
      <x:c r="BR764" s="13"/>
      <x:c r="BS764" s="13"/>
      <x:c r="BT764" s="13"/>
      <x:c r="BU764" s="13"/>
      <x:c r="BV764" s="13"/>
      <x:c r="BW764" s="13"/>
      <x:c r="BX764" s="13"/>
      <x:c r="BY764" s="13"/>
      <x:c r="BZ764" s="13"/>
      <x:c r="CA764" s="13"/>
      <x:c r="CB764" s="13"/>
      <x:c r="CC764" s="13"/>
      <x:c r="CD764" s="13"/>
      <x:c r="CE764" s="13"/>
      <x:c r="CF764" s="13"/>
      <x:c r="CG764" s="13"/>
    </x:row>
    <x:row r="765" ht="14.25" customHeight="1">
      <x:c r="AA765" s="3"/>
      <x:c r="AF765" s="3"/>
      <x:c r="AG765" s="3"/>
      <x:c r="AH765" s="3"/>
      <x:c r="AI765" s="3"/>
      <x:c r="AJ765" s="3"/>
      <x:c r="AK765" s="3"/>
      <x:c r="AL765" s="3"/>
      <x:c r="AM765" s="3"/>
      <x:c r="AT765" s="3"/>
      <x:c r="AU765" s="3"/>
      <x:c r="AV765" s="3"/>
      <x:c r="AW765" s="3"/>
      <x:c r="AX765" s="3"/>
      <x:c r="AY765" s="3"/>
      <x:c r="AZ765" s="3"/>
      <x:c r="BA765" s="3"/>
      <x:c r="BC765" s="3"/>
      <x:c r="BD765" s="3"/>
      <x:c r="BE765" s="3"/>
      <x:c r="BF765" s="3"/>
      <x:c r="BG765" s="3"/>
      <x:c r="BH765" s="13"/>
      <x:c r="BI765" s="13"/>
      <x:c r="BJ765" s="13"/>
      <x:c r="BK765" s="13"/>
      <x:c r="BL765" s="13"/>
      <x:c r="BM765" s="13"/>
      <x:c r="BN765" s="13"/>
      <x:c r="BO765" s="13"/>
      <x:c r="BP765" s="13"/>
      <x:c r="BQ765" s="13"/>
      <x:c r="BR765" s="13"/>
      <x:c r="BS765" s="13"/>
      <x:c r="BT765" s="13"/>
      <x:c r="BU765" s="13"/>
      <x:c r="BV765" s="13"/>
      <x:c r="BW765" s="13"/>
      <x:c r="BX765" s="13"/>
      <x:c r="BY765" s="13"/>
      <x:c r="BZ765" s="13"/>
      <x:c r="CA765" s="13"/>
      <x:c r="CB765" s="13"/>
      <x:c r="CC765" s="13"/>
      <x:c r="CD765" s="13"/>
      <x:c r="CE765" s="13"/>
      <x:c r="CF765" s="13"/>
      <x:c r="CG765" s="13"/>
    </x:row>
    <x:row r="766" ht="14.25" customHeight="1">
      <x:c r="AA766" s="3"/>
      <x:c r="AF766" s="3"/>
      <x:c r="AG766" s="3"/>
      <x:c r="AH766" s="3"/>
      <x:c r="AI766" s="3"/>
      <x:c r="AJ766" s="3"/>
      <x:c r="AK766" s="3"/>
      <x:c r="AL766" s="3"/>
      <x:c r="AM766" s="3"/>
      <x:c r="AT766" s="3"/>
      <x:c r="AU766" s="3"/>
      <x:c r="AV766" s="3"/>
      <x:c r="AW766" s="3"/>
      <x:c r="AX766" s="3"/>
      <x:c r="AY766" s="3"/>
      <x:c r="AZ766" s="3"/>
      <x:c r="BA766" s="3"/>
      <x:c r="BC766" s="3"/>
      <x:c r="BD766" s="3"/>
      <x:c r="BE766" s="3"/>
      <x:c r="BF766" s="3"/>
      <x:c r="BG766" s="3"/>
      <x:c r="BH766" s="13"/>
      <x:c r="BI766" s="13"/>
      <x:c r="BJ766" s="13"/>
      <x:c r="BK766" s="13"/>
      <x:c r="BL766" s="13"/>
      <x:c r="BM766" s="13"/>
      <x:c r="BN766" s="13"/>
      <x:c r="BO766" s="13"/>
      <x:c r="BP766" s="13"/>
      <x:c r="BQ766" s="13"/>
      <x:c r="BR766" s="13"/>
      <x:c r="BS766" s="13"/>
      <x:c r="BT766" s="13"/>
      <x:c r="BU766" s="13"/>
      <x:c r="BV766" s="13"/>
      <x:c r="BW766" s="13"/>
      <x:c r="BX766" s="13"/>
      <x:c r="BY766" s="13"/>
      <x:c r="BZ766" s="13"/>
      <x:c r="CA766" s="13"/>
      <x:c r="CB766" s="13"/>
      <x:c r="CC766" s="13"/>
      <x:c r="CD766" s="13"/>
      <x:c r="CE766" s="13"/>
      <x:c r="CF766" s="13"/>
      <x:c r="CG766" s="13"/>
    </x:row>
    <x:row r="767" ht="14.25" customHeight="1">
      <x:c r="AA767" s="3"/>
      <x:c r="AF767" s="3"/>
      <x:c r="AG767" s="3"/>
      <x:c r="AH767" s="3"/>
      <x:c r="AI767" s="3"/>
      <x:c r="AJ767" s="3"/>
      <x:c r="AK767" s="3"/>
      <x:c r="AL767" s="3"/>
      <x:c r="AM767" s="3"/>
      <x:c r="AT767" s="3"/>
      <x:c r="AU767" s="3"/>
      <x:c r="AV767" s="3"/>
      <x:c r="AW767" s="3"/>
      <x:c r="AX767" s="3"/>
      <x:c r="AY767" s="3"/>
      <x:c r="AZ767" s="3"/>
      <x:c r="BA767" s="3"/>
      <x:c r="BC767" s="3"/>
      <x:c r="BD767" s="3"/>
      <x:c r="BE767" s="3"/>
      <x:c r="BF767" s="3"/>
      <x:c r="BG767" s="3"/>
      <x:c r="BH767" s="13"/>
      <x:c r="BI767" s="13"/>
      <x:c r="BJ767" s="13"/>
      <x:c r="BK767" s="13"/>
      <x:c r="BL767" s="13"/>
      <x:c r="BM767" s="13"/>
      <x:c r="BN767" s="13"/>
      <x:c r="BO767" s="13"/>
      <x:c r="BP767" s="13"/>
      <x:c r="BQ767" s="13"/>
      <x:c r="BR767" s="13"/>
      <x:c r="BS767" s="13"/>
      <x:c r="BT767" s="13"/>
      <x:c r="BU767" s="13"/>
      <x:c r="BV767" s="13"/>
      <x:c r="BW767" s="13"/>
      <x:c r="BX767" s="13"/>
      <x:c r="BY767" s="13"/>
      <x:c r="BZ767" s="13"/>
      <x:c r="CA767" s="13"/>
      <x:c r="CB767" s="13"/>
      <x:c r="CC767" s="13"/>
      <x:c r="CD767" s="13"/>
      <x:c r="CE767" s="13"/>
      <x:c r="CF767" s="13"/>
      <x:c r="CG767" s="13"/>
    </x:row>
    <x:row r="768" ht="14.25" customHeight="1">
      <x:c r="AA768" s="3"/>
      <x:c r="AF768" s="3"/>
      <x:c r="AG768" s="3"/>
      <x:c r="AH768" s="3"/>
      <x:c r="AI768" s="3"/>
      <x:c r="AJ768" s="3"/>
      <x:c r="AK768" s="3"/>
      <x:c r="AL768" s="3"/>
      <x:c r="AM768" s="3"/>
      <x:c r="AT768" s="3"/>
      <x:c r="AU768" s="3"/>
      <x:c r="AV768" s="3"/>
      <x:c r="AW768" s="3"/>
      <x:c r="AX768" s="3"/>
      <x:c r="AY768" s="3"/>
      <x:c r="AZ768" s="3"/>
      <x:c r="BA768" s="3"/>
      <x:c r="BC768" s="3"/>
      <x:c r="BD768" s="3"/>
      <x:c r="BE768" s="3"/>
      <x:c r="BF768" s="3"/>
      <x:c r="BG768" s="3"/>
      <x:c r="BH768" s="13"/>
      <x:c r="BI768" s="13"/>
      <x:c r="BJ768" s="13"/>
      <x:c r="BK768" s="13"/>
      <x:c r="BL768" s="13"/>
      <x:c r="BM768" s="13"/>
      <x:c r="BN768" s="13"/>
      <x:c r="BO768" s="13"/>
      <x:c r="BP768" s="13"/>
      <x:c r="BQ768" s="13"/>
      <x:c r="BR768" s="13"/>
      <x:c r="BS768" s="13"/>
      <x:c r="BT768" s="13"/>
      <x:c r="BU768" s="13"/>
      <x:c r="BV768" s="13"/>
      <x:c r="BW768" s="13"/>
      <x:c r="BX768" s="13"/>
      <x:c r="BY768" s="13"/>
      <x:c r="BZ768" s="13"/>
      <x:c r="CA768" s="13"/>
      <x:c r="CB768" s="13"/>
      <x:c r="CC768" s="13"/>
      <x:c r="CD768" s="13"/>
      <x:c r="CE768" s="13"/>
      <x:c r="CF768" s="13"/>
      <x:c r="CG768" s="13"/>
    </x:row>
    <x:row r="769" ht="14.25" customHeight="1">
      <x:c r="AA769" s="3"/>
      <x:c r="AF769" s="3"/>
      <x:c r="AG769" s="3"/>
      <x:c r="AH769" s="3"/>
      <x:c r="AI769" s="3"/>
      <x:c r="AJ769" s="3"/>
      <x:c r="AK769" s="3"/>
      <x:c r="AL769" s="3"/>
      <x:c r="AM769" s="3"/>
      <x:c r="AT769" s="3"/>
      <x:c r="AU769" s="3"/>
      <x:c r="AV769" s="3"/>
      <x:c r="AW769" s="3"/>
      <x:c r="AX769" s="3"/>
      <x:c r="AY769" s="3"/>
      <x:c r="AZ769" s="3"/>
      <x:c r="BA769" s="3"/>
      <x:c r="BC769" s="3"/>
      <x:c r="BD769" s="3"/>
      <x:c r="BE769" s="3"/>
      <x:c r="BF769" s="3"/>
      <x:c r="BG769" s="3"/>
      <x:c r="BH769" s="13"/>
      <x:c r="BI769" s="13"/>
      <x:c r="BJ769" s="13"/>
      <x:c r="BK769" s="13"/>
      <x:c r="BL769" s="13"/>
      <x:c r="BM769" s="13"/>
      <x:c r="BN769" s="13"/>
      <x:c r="BO769" s="13"/>
      <x:c r="BP769" s="13"/>
      <x:c r="BQ769" s="13"/>
      <x:c r="BR769" s="13"/>
      <x:c r="BS769" s="13"/>
      <x:c r="BT769" s="13"/>
      <x:c r="BU769" s="13"/>
      <x:c r="BV769" s="13"/>
      <x:c r="BW769" s="13"/>
      <x:c r="BX769" s="13"/>
      <x:c r="BY769" s="13"/>
      <x:c r="BZ769" s="13"/>
      <x:c r="CA769" s="13"/>
      <x:c r="CB769" s="13"/>
      <x:c r="CC769" s="13"/>
      <x:c r="CD769" s="13"/>
      <x:c r="CE769" s="13"/>
      <x:c r="CF769" s="13"/>
      <x:c r="CG769" s="13"/>
    </x:row>
    <x:row r="770" ht="14.25" customHeight="1">
      <x:c r="AA770" s="3"/>
      <x:c r="AF770" s="3"/>
      <x:c r="AG770" s="3"/>
      <x:c r="AH770" s="3"/>
      <x:c r="AI770" s="3"/>
      <x:c r="AJ770" s="3"/>
      <x:c r="AK770" s="3"/>
      <x:c r="AL770" s="3"/>
      <x:c r="AM770" s="3"/>
      <x:c r="AT770" s="3"/>
      <x:c r="AU770" s="3"/>
      <x:c r="AV770" s="3"/>
      <x:c r="AW770" s="3"/>
      <x:c r="AX770" s="3"/>
      <x:c r="AY770" s="3"/>
      <x:c r="AZ770" s="3"/>
      <x:c r="BA770" s="3"/>
      <x:c r="BC770" s="3"/>
      <x:c r="BD770" s="3"/>
      <x:c r="BE770" s="3"/>
      <x:c r="BF770" s="3"/>
      <x:c r="BG770" s="3"/>
      <x:c r="BH770" s="13"/>
      <x:c r="BI770" s="13"/>
      <x:c r="BJ770" s="13"/>
      <x:c r="BK770" s="13"/>
      <x:c r="BL770" s="13"/>
      <x:c r="BM770" s="13"/>
      <x:c r="BN770" s="13"/>
      <x:c r="BO770" s="13"/>
      <x:c r="BP770" s="13"/>
      <x:c r="BQ770" s="13"/>
      <x:c r="BR770" s="13"/>
      <x:c r="BS770" s="13"/>
      <x:c r="BT770" s="13"/>
      <x:c r="BU770" s="13"/>
      <x:c r="BV770" s="13"/>
      <x:c r="BW770" s="13"/>
      <x:c r="BX770" s="13"/>
      <x:c r="BY770" s="13"/>
      <x:c r="BZ770" s="13"/>
      <x:c r="CA770" s="13"/>
      <x:c r="CB770" s="13"/>
      <x:c r="CC770" s="13"/>
      <x:c r="CD770" s="13"/>
      <x:c r="CE770" s="13"/>
      <x:c r="CF770" s="13"/>
      <x:c r="CG770" s="13"/>
    </x:row>
    <x:row r="771" ht="14.25" customHeight="1">
      <x:c r="AA771" s="3"/>
      <x:c r="AF771" s="3"/>
      <x:c r="AG771" s="3"/>
      <x:c r="AH771" s="3"/>
      <x:c r="AI771" s="3"/>
      <x:c r="AJ771" s="3"/>
      <x:c r="AK771" s="3"/>
      <x:c r="AL771" s="3"/>
      <x:c r="AM771" s="3"/>
      <x:c r="AT771" s="3"/>
      <x:c r="AU771" s="3"/>
      <x:c r="AV771" s="3"/>
      <x:c r="AW771" s="3"/>
      <x:c r="AX771" s="3"/>
      <x:c r="AY771" s="3"/>
      <x:c r="AZ771" s="3"/>
      <x:c r="BA771" s="3"/>
      <x:c r="BC771" s="3"/>
      <x:c r="BD771" s="3"/>
      <x:c r="BE771" s="3"/>
      <x:c r="BF771" s="3"/>
      <x:c r="BG771" s="3"/>
      <x:c r="BH771" s="13"/>
      <x:c r="BI771" s="13"/>
      <x:c r="BJ771" s="13"/>
      <x:c r="BK771" s="13"/>
      <x:c r="BL771" s="13"/>
      <x:c r="BM771" s="13"/>
      <x:c r="BN771" s="13"/>
      <x:c r="BO771" s="13"/>
      <x:c r="BP771" s="13"/>
      <x:c r="BQ771" s="13"/>
      <x:c r="BR771" s="13"/>
      <x:c r="BS771" s="13"/>
      <x:c r="BT771" s="13"/>
      <x:c r="BU771" s="13"/>
      <x:c r="BV771" s="13"/>
      <x:c r="BW771" s="13"/>
      <x:c r="BX771" s="13"/>
      <x:c r="BY771" s="13"/>
      <x:c r="BZ771" s="13"/>
      <x:c r="CA771" s="13"/>
      <x:c r="CB771" s="13"/>
      <x:c r="CC771" s="13"/>
      <x:c r="CD771" s="13"/>
      <x:c r="CE771" s="13"/>
      <x:c r="CF771" s="13"/>
      <x:c r="CG771" s="13"/>
    </x:row>
    <x:row r="772" ht="14.25" customHeight="1">
      <x:c r="AA772" s="3"/>
      <x:c r="AF772" s="3"/>
      <x:c r="AG772" s="3"/>
      <x:c r="AH772" s="3"/>
      <x:c r="AI772" s="3"/>
      <x:c r="AJ772" s="3"/>
      <x:c r="AK772" s="3"/>
      <x:c r="AL772" s="3"/>
      <x:c r="AM772" s="3"/>
      <x:c r="AT772" s="3"/>
      <x:c r="AU772" s="3"/>
      <x:c r="AV772" s="3"/>
      <x:c r="AW772" s="3"/>
      <x:c r="AX772" s="3"/>
      <x:c r="AY772" s="3"/>
      <x:c r="AZ772" s="3"/>
      <x:c r="BA772" s="3"/>
      <x:c r="BC772" s="3"/>
      <x:c r="BD772" s="3"/>
      <x:c r="BE772" s="3"/>
      <x:c r="BF772" s="3"/>
      <x:c r="BG772" s="3"/>
      <x:c r="BH772" s="13"/>
      <x:c r="BI772" s="13"/>
      <x:c r="BJ772" s="13"/>
      <x:c r="BK772" s="13"/>
      <x:c r="BL772" s="13"/>
      <x:c r="BM772" s="13"/>
      <x:c r="BN772" s="13"/>
      <x:c r="BO772" s="13"/>
      <x:c r="BP772" s="13"/>
      <x:c r="BQ772" s="13"/>
      <x:c r="BR772" s="13"/>
      <x:c r="BS772" s="13"/>
      <x:c r="BT772" s="13"/>
      <x:c r="BU772" s="13"/>
      <x:c r="BV772" s="13"/>
      <x:c r="BW772" s="13"/>
      <x:c r="BX772" s="13"/>
      <x:c r="BY772" s="13"/>
      <x:c r="BZ772" s="13"/>
      <x:c r="CA772" s="13"/>
      <x:c r="CB772" s="13"/>
      <x:c r="CC772" s="13"/>
      <x:c r="CD772" s="13"/>
      <x:c r="CE772" s="13"/>
      <x:c r="CF772" s="13"/>
      <x:c r="CG772" s="13"/>
    </x:row>
    <x:row r="773" ht="14.25" customHeight="1">
      <x:c r="AA773" s="3"/>
      <x:c r="AF773" s="3"/>
      <x:c r="AG773" s="3"/>
      <x:c r="AH773" s="3"/>
      <x:c r="AI773" s="3"/>
      <x:c r="AJ773" s="3"/>
      <x:c r="AK773" s="3"/>
      <x:c r="AL773" s="3"/>
      <x:c r="AM773" s="3"/>
      <x:c r="AT773" s="3"/>
      <x:c r="AU773" s="3"/>
      <x:c r="AV773" s="3"/>
      <x:c r="AW773" s="3"/>
      <x:c r="AX773" s="3"/>
      <x:c r="AY773" s="3"/>
      <x:c r="AZ773" s="3"/>
      <x:c r="BA773" s="3"/>
      <x:c r="BC773" s="3"/>
      <x:c r="BD773" s="3"/>
      <x:c r="BE773" s="3"/>
      <x:c r="BF773" s="3"/>
      <x:c r="BG773" s="3"/>
      <x:c r="BH773" s="13"/>
      <x:c r="BI773" s="13"/>
      <x:c r="BJ773" s="13"/>
      <x:c r="BK773" s="13"/>
      <x:c r="BL773" s="13"/>
      <x:c r="BM773" s="13"/>
      <x:c r="BN773" s="13"/>
      <x:c r="BO773" s="13"/>
      <x:c r="BP773" s="13"/>
      <x:c r="BQ773" s="13"/>
      <x:c r="BR773" s="13"/>
      <x:c r="BS773" s="13"/>
      <x:c r="BT773" s="13"/>
      <x:c r="BU773" s="13"/>
      <x:c r="BV773" s="13"/>
      <x:c r="BW773" s="13"/>
      <x:c r="BX773" s="13"/>
      <x:c r="BY773" s="13"/>
      <x:c r="BZ773" s="13"/>
      <x:c r="CA773" s="13"/>
      <x:c r="CB773" s="13"/>
      <x:c r="CC773" s="13"/>
      <x:c r="CD773" s="13"/>
      <x:c r="CE773" s="13"/>
      <x:c r="CF773" s="13"/>
      <x:c r="CG773" s="13"/>
    </x:row>
    <x:row r="774" ht="14.25" customHeight="1">
      <x:c r="AA774" s="3"/>
      <x:c r="AF774" s="3"/>
      <x:c r="AG774" s="3"/>
      <x:c r="AH774" s="3"/>
      <x:c r="AI774" s="3"/>
      <x:c r="AJ774" s="3"/>
      <x:c r="AK774" s="3"/>
      <x:c r="AL774" s="3"/>
      <x:c r="AM774" s="3"/>
      <x:c r="AT774" s="3"/>
      <x:c r="AU774" s="3"/>
      <x:c r="AV774" s="3"/>
      <x:c r="AW774" s="3"/>
      <x:c r="AX774" s="3"/>
      <x:c r="AY774" s="3"/>
      <x:c r="AZ774" s="3"/>
      <x:c r="BA774" s="3"/>
      <x:c r="BC774" s="3"/>
      <x:c r="BD774" s="3"/>
      <x:c r="BE774" s="3"/>
      <x:c r="BF774" s="3"/>
      <x:c r="BG774" s="3"/>
      <x:c r="BH774" s="13"/>
      <x:c r="BI774" s="13"/>
      <x:c r="BJ774" s="13"/>
      <x:c r="BK774" s="13"/>
      <x:c r="BL774" s="13"/>
      <x:c r="BM774" s="13"/>
      <x:c r="BN774" s="13"/>
      <x:c r="BO774" s="13"/>
      <x:c r="BP774" s="13"/>
      <x:c r="BQ774" s="13"/>
      <x:c r="BR774" s="13"/>
      <x:c r="BS774" s="13"/>
      <x:c r="BT774" s="13"/>
      <x:c r="BU774" s="13"/>
      <x:c r="BV774" s="13"/>
      <x:c r="BW774" s="13"/>
      <x:c r="BX774" s="13"/>
      <x:c r="BY774" s="13"/>
      <x:c r="BZ774" s="13"/>
      <x:c r="CA774" s="13"/>
      <x:c r="CB774" s="13"/>
      <x:c r="CC774" s="13"/>
      <x:c r="CD774" s="13"/>
      <x:c r="CE774" s="13"/>
      <x:c r="CF774" s="13"/>
      <x:c r="CG774" s="13"/>
    </x:row>
    <x:row r="775" ht="14.25" customHeight="1">
      <x:c r="AA775" s="3"/>
      <x:c r="AF775" s="3"/>
      <x:c r="AG775" s="3"/>
      <x:c r="AH775" s="3"/>
      <x:c r="AI775" s="3"/>
      <x:c r="AJ775" s="3"/>
      <x:c r="AK775" s="3"/>
      <x:c r="AL775" s="3"/>
      <x:c r="AM775" s="3"/>
      <x:c r="AT775" s="3"/>
      <x:c r="AU775" s="3"/>
      <x:c r="AV775" s="3"/>
      <x:c r="AW775" s="3"/>
      <x:c r="AX775" s="3"/>
      <x:c r="AY775" s="3"/>
      <x:c r="AZ775" s="3"/>
      <x:c r="BA775" s="3"/>
      <x:c r="BC775" s="3"/>
      <x:c r="BD775" s="3"/>
      <x:c r="BE775" s="3"/>
      <x:c r="BF775" s="3"/>
      <x:c r="BG775" s="3"/>
      <x:c r="BH775" s="13"/>
      <x:c r="BI775" s="13"/>
      <x:c r="BJ775" s="13"/>
      <x:c r="BK775" s="13"/>
      <x:c r="BL775" s="13"/>
      <x:c r="BM775" s="13"/>
      <x:c r="BN775" s="13"/>
      <x:c r="BO775" s="13"/>
      <x:c r="BP775" s="13"/>
      <x:c r="BQ775" s="13"/>
      <x:c r="BR775" s="13"/>
      <x:c r="BS775" s="13"/>
      <x:c r="BT775" s="13"/>
      <x:c r="BU775" s="13"/>
      <x:c r="BV775" s="13"/>
      <x:c r="BW775" s="13"/>
      <x:c r="BX775" s="13"/>
      <x:c r="BY775" s="13"/>
      <x:c r="BZ775" s="13"/>
      <x:c r="CA775" s="13"/>
      <x:c r="CB775" s="13"/>
      <x:c r="CC775" s="13"/>
      <x:c r="CD775" s="13"/>
      <x:c r="CE775" s="13"/>
      <x:c r="CF775" s="13"/>
      <x:c r="CG775" s="13"/>
    </x:row>
    <x:row r="776" ht="14.25" customHeight="1">
      <x:c r="AA776" s="3"/>
      <x:c r="AF776" s="3"/>
      <x:c r="AG776" s="3"/>
      <x:c r="AH776" s="3"/>
      <x:c r="AI776" s="3"/>
      <x:c r="AJ776" s="3"/>
      <x:c r="AK776" s="3"/>
      <x:c r="AL776" s="3"/>
      <x:c r="AM776" s="3"/>
      <x:c r="AT776" s="3"/>
      <x:c r="AU776" s="3"/>
      <x:c r="AV776" s="3"/>
      <x:c r="AW776" s="3"/>
      <x:c r="AX776" s="3"/>
      <x:c r="AY776" s="3"/>
      <x:c r="AZ776" s="3"/>
      <x:c r="BA776" s="3"/>
      <x:c r="BC776" s="3"/>
      <x:c r="BD776" s="3"/>
      <x:c r="BE776" s="3"/>
      <x:c r="BF776" s="3"/>
      <x:c r="BG776" s="3"/>
      <x:c r="BH776" s="13"/>
      <x:c r="BI776" s="13"/>
      <x:c r="BJ776" s="13"/>
      <x:c r="BK776" s="13"/>
      <x:c r="BL776" s="13"/>
      <x:c r="BM776" s="13"/>
      <x:c r="BN776" s="13"/>
      <x:c r="BO776" s="13"/>
      <x:c r="BP776" s="13"/>
      <x:c r="BQ776" s="13"/>
      <x:c r="BR776" s="13"/>
      <x:c r="BS776" s="13"/>
      <x:c r="BT776" s="13"/>
      <x:c r="BU776" s="13"/>
      <x:c r="BV776" s="13"/>
      <x:c r="BW776" s="13"/>
      <x:c r="BX776" s="13"/>
      <x:c r="BY776" s="13"/>
      <x:c r="BZ776" s="13"/>
      <x:c r="CA776" s="13"/>
      <x:c r="CB776" s="13"/>
      <x:c r="CC776" s="13"/>
      <x:c r="CD776" s="13"/>
      <x:c r="CE776" s="13"/>
      <x:c r="CF776" s="13"/>
      <x:c r="CG776" s="13"/>
    </x:row>
    <x:row r="777" ht="14.25" customHeight="1">
      <x:c r="AA777" s="3"/>
      <x:c r="AF777" s="3"/>
      <x:c r="AG777" s="3"/>
      <x:c r="AH777" s="3"/>
      <x:c r="AI777" s="3"/>
      <x:c r="AJ777" s="3"/>
      <x:c r="AK777" s="3"/>
      <x:c r="AL777" s="3"/>
      <x:c r="AM777" s="3"/>
      <x:c r="AT777" s="3"/>
      <x:c r="AU777" s="3"/>
      <x:c r="AV777" s="3"/>
      <x:c r="AW777" s="3"/>
      <x:c r="AX777" s="3"/>
      <x:c r="AY777" s="3"/>
      <x:c r="AZ777" s="3"/>
      <x:c r="BA777" s="3"/>
      <x:c r="BC777" s="3"/>
      <x:c r="BD777" s="3"/>
      <x:c r="BE777" s="3"/>
      <x:c r="BF777" s="3"/>
      <x:c r="BG777" s="3"/>
      <x:c r="BH777" s="13"/>
      <x:c r="BI777" s="13"/>
      <x:c r="BJ777" s="13"/>
      <x:c r="BK777" s="13"/>
      <x:c r="BL777" s="13"/>
      <x:c r="BM777" s="13"/>
      <x:c r="BN777" s="13"/>
      <x:c r="BO777" s="13"/>
      <x:c r="BP777" s="13"/>
      <x:c r="BQ777" s="13"/>
      <x:c r="BR777" s="13"/>
      <x:c r="BS777" s="13"/>
      <x:c r="BT777" s="13"/>
      <x:c r="BU777" s="13"/>
      <x:c r="BV777" s="13"/>
      <x:c r="BW777" s="13"/>
      <x:c r="BX777" s="13"/>
      <x:c r="BY777" s="13"/>
      <x:c r="BZ777" s="13"/>
      <x:c r="CA777" s="13"/>
      <x:c r="CB777" s="13"/>
      <x:c r="CC777" s="13"/>
      <x:c r="CD777" s="13"/>
      <x:c r="CE777" s="13"/>
      <x:c r="CF777" s="13"/>
      <x:c r="CG777" s="13"/>
    </x:row>
    <x:row r="778" ht="14.25" customHeight="1">
      <x:c r="AA778" s="3"/>
      <x:c r="AF778" s="3"/>
      <x:c r="AG778" s="3"/>
      <x:c r="AH778" s="3"/>
      <x:c r="AI778" s="3"/>
      <x:c r="AJ778" s="3"/>
      <x:c r="AK778" s="3"/>
      <x:c r="AL778" s="3"/>
      <x:c r="AM778" s="3"/>
      <x:c r="AT778" s="3"/>
      <x:c r="AU778" s="3"/>
      <x:c r="AV778" s="3"/>
      <x:c r="AW778" s="3"/>
      <x:c r="AX778" s="3"/>
      <x:c r="AY778" s="3"/>
      <x:c r="AZ778" s="3"/>
      <x:c r="BA778" s="3"/>
      <x:c r="BC778" s="3"/>
      <x:c r="BD778" s="3"/>
      <x:c r="BE778" s="3"/>
      <x:c r="BF778" s="3"/>
      <x:c r="BG778" s="3"/>
      <x:c r="BH778" s="13"/>
      <x:c r="BI778" s="13"/>
      <x:c r="BJ778" s="13"/>
      <x:c r="BK778" s="13"/>
      <x:c r="BL778" s="13"/>
      <x:c r="BM778" s="13"/>
      <x:c r="BN778" s="13"/>
      <x:c r="BO778" s="13"/>
      <x:c r="BP778" s="13"/>
      <x:c r="BQ778" s="13"/>
      <x:c r="BR778" s="13"/>
      <x:c r="BS778" s="13"/>
      <x:c r="BT778" s="13"/>
      <x:c r="BU778" s="13"/>
      <x:c r="BV778" s="13"/>
      <x:c r="BW778" s="13"/>
      <x:c r="BX778" s="13"/>
      <x:c r="BY778" s="13"/>
      <x:c r="BZ778" s="13"/>
      <x:c r="CA778" s="13"/>
      <x:c r="CB778" s="13"/>
      <x:c r="CC778" s="13"/>
      <x:c r="CD778" s="13"/>
      <x:c r="CE778" s="13"/>
      <x:c r="CF778" s="13"/>
      <x:c r="CG778" s="13"/>
    </x:row>
    <x:row r="779" ht="14.25" customHeight="1">
      <x:c r="AA779" s="3"/>
      <x:c r="AF779" s="3"/>
      <x:c r="AG779" s="3"/>
      <x:c r="AH779" s="3"/>
      <x:c r="AI779" s="3"/>
      <x:c r="AJ779" s="3"/>
      <x:c r="AK779" s="3"/>
      <x:c r="AL779" s="3"/>
      <x:c r="AM779" s="3"/>
      <x:c r="AT779" s="3"/>
      <x:c r="AU779" s="3"/>
      <x:c r="AV779" s="3"/>
      <x:c r="AW779" s="3"/>
      <x:c r="AX779" s="3"/>
      <x:c r="AY779" s="3"/>
      <x:c r="AZ779" s="3"/>
      <x:c r="BA779" s="3"/>
      <x:c r="BC779" s="3"/>
      <x:c r="BD779" s="3"/>
      <x:c r="BE779" s="3"/>
      <x:c r="BF779" s="3"/>
      <x:c r="BG779" s="3"/>
      <x:c r="BH779" s="13"/>
      <x:c r="BI779" s="13"/>
      <x:c r="BJ779" s="13"/>
      <x:c r="BK779" s="13"/>
      <x:c r="BL779" s="13"/>
      <x:c r="BM779" s="13"/>
      <x:c r="BN779" s="13"/>
      <x:c r="BO779" s="13"/>
      <x:c r="BP779" s="13"/>
      <x:c r="BQ779" s="13"/>
      <x:c r="BR779" s="13"/>
      <x:c r="BS779" s="13"/>
      <x:c r="BT779" s="13"/>
      <x:c r="BU779" s="13"/>
      <x:c r="BV779" s="13"/>
      <x:c r="BW779" s="13"/>
      <x:c r="BX779" s="13"/>
      <x:c r="BY779" s="13"/>
      <x:c r="BZ779" s="13"/>
      <x:c r="CA779" s="13"/>
      <x:c r="CB779" s="13"/>
      <x:c r="CC779" s="13"/>
      <x:c r="CD779" s="13"/>
      <x:c r="CE779" s="13"/>
      <x:c r="CF779" s="13"/>
      <x:c r="CG779" s="13"/>
    </x:row>
    <x:row r="780" ht="14.25" customHeight="1">
      <x:c r="AA780" s="3"/>
      <x:c r="AF780" s="3"/>
      <x:c r="AG780" s="3"/>
      <x:c r="AH780" s="3"/>
      <x:c r="AI780" s="3"/>
      <x:c r="AJ780" s="3"/>
      <x:c r="AK780" s="3"/>
      <x:c r="AL780" s="3"/>
      <x:c r="AM780" s="3"/>
      <x:c r="AT780" s="3"/>
      <x:c r="AU780" s="3"/>
      <x:c r="AV780" s="3"/>
      <x:c r="AW780" s="3"/>
      <x:c r="AX780" s="3"/>
      <x:c r="AY780" s="3"/>
      <x:c r="AZ780" s="3"/>
      <x:c r="BA780" s="3"/>
      <x:c r="BC780" s="3"/>
      <x:c r="BD780" s="3"/>
      <x:c r="BE780" s="3"/>
      <x:c r="BF780" s="3"/>
      <x:c r="BG780" s="3"/>
      <x:c r="BH780" s="13"/>
      <x:c r="BI780" s="13"/>
      <x:c r="BJ780" s="13"/>
      <x:c r="BK780" s="13"/>
      <x:c r="BL780" s="13"/>
      <x:c r="BM780" s="13"/>
      <x:c r="BN780" s="13"/>
      <x:c r="BO780" s="13"/>
      <x:c r="BP780" s="13"/>
      <x:c r="BQ780" s="13"/>
      <x:c r="BR780" s="13"/>
      <x:c r="BS780" s="13"/>
      <x:c r="BT780" s="13"/>
      <x:c r="BU780" s="13"/>
      <x:c r="BV780" s="13"/>
      <x:c r="BW780" s="13"/>
      <x:c r="BX780" s="13"/>
      <x:c r="BY780" s="13"/>
      <x:c r="BZ780" s="13"/>
      <x:c r="CA780" s="13"/>
      <x:c r="CB780" s="13"/>
      <x:c r="CC780" s="13"/>
      <x:c r="CD780" s="13"/>
      <x:c r="CE780" s="13"/>
      <x:c r="CF780" s="13"/>
      <x:c r="CG780" s="13"/>
    </x:row>
    <x:row r="781" ht="14.25" customHeight="1">
      <x:c r="AA781" s="3"/>
      <x:c r="AF781" s="3"/>
      <x:c r="AG781" s="3"/>
      <x:c r="AH781" s="3"/>
      <x:c r="AI781" s="3"/>
      <x:c r="AJ781" s="3"/>
      <x:c r="AK781" s="3"/>
      <x:c r="AL781" s="3"/>
      <x:c r="AM781" s="3"/>
      <x:c r="AT781" s="3"/>
      <x:c r="AU781" s="3"/>
      <x:c r="AV781" s="3"/>
      <x:c r="AW781" s="3"/>
      <x:c r="AX781" s="3"/>
      <x:c r="AY781" s="3"/>
      <x:c r="AZ781" s="3"/>
      <x:c r="BA781" s="3"/>
      <x:c r="BC781" s="3"/>
      <x:c r="BD781" s="3"/>
      <x:c r="BE781" s="3"/>
      <x:c r="BF781" s="3"/>
      <x:c r="BG781" s="3"/>
      <x:c r="BH781" s="13"/>
      <x:c r="BI781" s="13"/>
      <x:c r="BJ781" s="13"/>
      <x:c r="BK781" s="13"/>
      <x:c r="BL781" s="13"/>
      <x:c r="BM781" s="13"/>
      <x:c r="BN781" s="13"/>
      <x:c r="BO781" s="13"/>
      <x:c r="BP781" s="13"/>
      <x:c r="BQ781" s="13"/>
      <x:c r="BR781" s="13"/>
      <x:c r="BS781" s="13"/>
      <x:c r="BT781" s="13"/>
      <x:c r="BU781" s="13"/>
      <x:c r="BV781" s="13"/>
      <x:c r="BW781" s="13"/>
      <x:c r="BX781" s="13"/>
      <x:c r="BY781" s="13"/>
      <x:c r="BZ781" s="13"/>
      <x:c r="CA781" s="13"/>
      <x:c r="CB781" s="13"/>
      <x:c r="CC781" s="13"/>
      <x:c r="CD781" s="13"/>
      <x:c r="CE781" s="13"/>
      <x:c r="CF781" s="13"/>
      <x:c r="CG781" s="13"/>
    </x:row>
    <x:row r="782" ht="14.25" customHeight="1">
      <x:c r="AA782" s="3"/>
      <x:c r="AF782" s="3"/>
      <x:c r="AG782" s="3"/>
      <x:c r="AH782" s="3"/>
      <x:c r="AI782" s="3"/>
      <x:c r="AJ782" s="3"/>
      <x:c r="AK782" s="3"/>
      <x:c r="AL782" s="3"/>
      <x:c r="AM782" s="3"/>
      <x:c r="AT782" s="3"/>
      <x:c r="AU782" s="3"/>
      <x:c r="AV782" s="3"/>
      <x:c r="AW782" s="3"/>
      <x:c r="AX782" s="3"/>
      <x:c r="AY782" s="3"/>
      <x:c r="AZ782" s="3"/>
      <x:c r="BA782" s="3"/>
      <x:c r="BC782" s="3"/>
      <x:c r="BD782" s="3"/>
      <x:c r="BE782" s="3"/>
      <x:c r="BF782" s="3"/>
      <x:c r="BG782" s="3"/>
      <x:c r="BH782" s="13"/>
      <x:c r="BI782" s="13"/>
      <x:c r="BJ782" s="13"/>
      <x:c r="BK782" s="13"/>
      <x:c r="BL782" s="13"/>
      <x:c r="BM782" s="13"/>
      <x:c r="BN782" s="13"/>
      <x:c r="BO782" s="13"/>
      <x:c r="BP782" s="13"/>
      <x:c r="BQ782" s="13"/>
      <x:c r="BR782" s="13"/>
      <x:c r="BS782" s="13"/>
      <x:c r="BT782" s="13"/>
      <x:c r="BU782" s="13"/>
      <x:c r="BV782" s="13"/>
      <x:c r="BW782" s="13"/>
      <x:c r="BX782" s="13"/>
      <x:c r="BY782" s="13"/>
      <x:c r="BZ782" s="13"/>
      <x:c r="CA782" s="13"/>
      <x:c r="CB782" s="13"/>
      <x:c r="CC782" s="13"/>
      <x:c r="CD782" s="13"/>
      <x:c r="CE782" s="13"/>
      <x:c r="CF782" s="13"/>
      <x:c r="CG782" s="13"/>
    </x:row>
    <x:row r="783" ht="14.25" customHeight="1">
      <x:c r="AA783" s="3"/>
      <x:c r="AF783" s="3"/>
      <x:c r="AG783" s="3"/>
      <x:c r="AH783" s="3"/>
      <x:c r="AI783" s="3"/>
      <x:c r="AJ783" s="3"/>
      <x:c r="AK783" s="3"/>
      <x:c r="AL783" s="3"/>
      <x:c r="AM783" s="3"/>
      <x:c r="AT783" s="3"/>
      <x:c r="AU783" s="3"/>
      <x:c r="AV783" s="3"/>
      <x:c r="AW783" s="3"/>
      <x:c r="AX783" s="3"/>
      <x:c r="AY783" s="3"/>
      <x:c r="AZ783" s="3"/>
      <x:c r="BA783" s="3"/>
      <x:c r="BC783" s="3"/>
      <x:c r="BD783" s="3"/>
      <x:c r="BE783" s="3"/>
      <x:c r="BF783" s="3"/>
      <x:c r="BG783" s="3"/>
      <x:c r="BH783" s="13"/>
      <x:c r="BI783" s="13"/>
      <x:c r="BJ783" s="13"/>
      <x:c r="BK783" s="13"/>
      <x:c r="BL783" s="13"/>
      <x:c r="BM783" s="13"/>
      <x:c r="BN783" s="13"/>
      <x:c r="BO783" s="13"/>
      <x:c r="BP783" s="13"/>
      <x:c r="BQ783" s="13"/>
      <x:c r="BR783" s="13"/>
      <x:c r="BS783" s="13"/>
      <x:c r="BT783" s="13"/>
      <x:c r="BU783" s="13"/>
      <x:c r="BV783" s="13"/>
      <x:c r="BW783" s="13"/>
      <x:c r="BX783" s="13"/>
      <x:c r="BY783" s="13"/>
      <x:c r="BZ783" s="13"/>
      <x:c r="CA783" s="13"/>
      <x:c r="CB783" s="13"/>
      <x:c r="CC783" s="13"/>
      <x:c r="CD783" s="13"/>
      <x:c r="CE783" s="13"/>
      <x:c r="CF783" s="13"/>
      <x:c r="CG783" s="13"/>
    </x:row>
    <x:row r="784" ht="14.25" customHeight="1">
      <x:c r="AA784" s="3"/>
      <x:c r="AF784" s="3"/>
      <x:c r="AG784" s="3"/>
      <x:c r="AH784" s="3"/>
      <x:c r="AI784" s="3"/>
      <x:c r="AJ784" s="3"/>
      <x:c r="AK784" s="3"/>
      <x:c r="AL784" s="3"/>
      <x:c r="AM784" s="3"/>
      <x:c r="AT784" s="3"/>
      <x:c r="AU784" s="3"/>
      <x:c r="AV784" s="3"/>
      <x:c r="AW784" s="3"/>
      <x:c r="AX784" s="3"/>
      <x:c r="AY784" s="3"/>
      <x:c r="AZ784" s="3"/>
      <x:c r="BA784" s="3"/>
      <x:c r="BC784" s="3"/>
      <x:c r="BD784" s="3"/>
      <x:c r="BE784" s="3"/>
      <x:c r="BF784" s="3"/>
      <x:c r="BG784" s="3"/>
      <x:c r="BH784" s="13"/>
      <x:c r="BI784" s="13"/>
      <x:c r="BJ784" s="13"/>
      <x:c r="BK784" s="13"/>
      <x:c r="BL784" s="13"/>
      <x:c r="BM784" s="13"/>
      <x:c r="BN784" s="13"/>
      <x:c r="BO784" s="13"/>
      <x:c r="BP784" s="13"/>
      <x:c r="BQ784" s="13"/>
      <x:c r="BR784" s="13"/>
      <x:c r="BS784" s="13"/>
      <x:c r="BT784" s="13"/>
      <x:c r="BU784" s="13"/>
      <x:c r="BV784" s="13"/>
      <x:c r="BW784" s="13"/>
      <x:c r="BX784" s="13"/>
      <x:c r="BY784" s="13"/>
      <x:c r="BZ784" s="13"/>
      <x:c r="CA784" s="13"/>
      <x:c r="CB784" s="13"/>
      <x:c r="CC784" s="13"/>
      <x:c r="CD784" s="13"/>
      <x:c r="CE784" s="13"/>
      <x:c r="CF784" s="13"/>
      <x:c r="CG784" s="13"/>
    </x:row>
    <x:row r="785" ht="14.25" customHeight="1">
      <x:c r="AA785" s="3"/>
      <x:c r="AF785" s="3"/>
      <x:c r="AG785" s="3"/>
      <x:c r="AH785" s="3"/>
      <x:c r="AI785" s="3"/>
      <x:c r="AJ785" s="3"/>
      <x:c r="AK785" s="3"/>
      <x:c r="AL785" s="3"/>
      <x:c r="AM785" s="3"/>
      <x:c r="AT785" s="3"/>
      <x:c r="AU785" s="3"/>
      <x:c r="AV785" s="3"/>
      <x:c r="AW785" s="3"/>
      <x:c r="AX785" s="3"/>
      <x:c r="AY785" s="3"/>
      <x:c r="AZ785" s="3"/>
      <x:c r="BA785" s="3"/>
      <x:c r="BC785" s="3"/>
      <x:c r="BD785" s="3"/>
      <x:c r="BE785" s="3"/>
      <x:c r="BF785" s="3"/>
      <x:c r="BG785" s="3"/>
      <x:c r="BH785" s="13"/>
      <x:c r="BI785" s="13"/>
      <x:c r="BJ785" s="13"/>
      <x:c r="BK785" s="13"/>
      <x:c r="BL785" s="13"/>
      <x:c r="BM785" s="13"/>
      <x:c r="BN785" s="13"/>
      <x:c r="BO785" s="13"/>
      <x:c r="BP785" s="13"/>
      <x:c r="BQ785" s="13"/>
      <x:c r="BR785" s="13"/>
      <x:c r="BS785" s="13"/>
      <x:c r="BT785" s="13"/>
      <x:c r="BU785" s="13"/>
      <x:c r="BV785" s="13"/>
      <x:c r="BW785" s="13"/>
      <x:c r="BX785" s="13"/>
      <x:c r="BY785" s="13"/>
      <x:c r="BZ785" s="13"/>
      <x:c r="CA785" s="13"/>
      <x:c r="CB785" s="13"/>
      <x:c r="CC785" s="13"/>
      <x:c r="CD785" s="13"/>
      <x:c r="CE785" s="13"/>
      <x:c r="CF785" s="13"/>
      <x:c r="CG785" s="13"/>
    </x:row>
    <x:row r="786" ht="14.25" customHeight="1">
      <x:c r="AA786" s="3"/>
      <x:c r="AF786" s="3"/>
      <x:c r="AG786" s="3"/>
      <x:c r="AH786" s="3"/>
      <x:c r="AI786" s="3"/>
      <x:c r="AJ786" s="3"/>
      <x:c r="AK786" s="3"/>
      <x:c r="AL786" s="3"/>
      <x:c r="AM786" s="3"/>
      <x:c r="AT786" s="3"/>
      <x:c r="AU786" s="3"/>
      <x:c r="AV786" s="3"/>
      <x:c r="AW786" s="3"/>
      <x:c r="AX786" s="3"/>
      <x:c r="AY786" s="3"/>
      <x:c r="AZ786" s="3"/>
      <x:c r="BA786" s="3"/>
      <x:c r="BC786" s="3"/>
      <x:c r="BD786" s="3"/>
      <x:c r="BE786" s="3"/>
      <x:c r="BF786" s="3"/>
      <x:c r="BG786" s="3"/>
      <x:c r="BH786" s="13"/>
      <x:c r="BI786" s="13"/>
      <x:c r="BJ786" s="13"/>
      <x:c r="BK786" s="13"/>
      <x:c r="BL786" s="13"/>
      <x:c r="BM786" s="13"/>
      <x:c r="BN786" s="13"/>
      <x:c r="BO786" s="13"/>
      <x:c r="BP786" s="13"/>
      <x:c r="BQ786" s="13"/>
      <x:c r="BR786" s="13"/>
      <x:c r="BS786" s="13"/>
      <x:c r="BT786" s="13"/>
      <x:c r="BU786" s="13"/>
      <x:c r="BV786" s="13"/>
      <x:c r="BW786" s="13"/>
      <x:c r="BX786" s="13"/>
      <x:c r="BY786" s="13"/>
      <x:c r="BZ786" s="13"/>
      <x:c r="CA786" s="13"/>
      <x:c r="CB786" s="13"/>
      <x:c r="CC786" s="13"/>
      <x:c r="CD786" s="13"/>
      <x:c r="CE786" s="13"/>
      <x:c r="CF786" s="13"/>
      <x:c r="CG786" s="13"/>
    </x:row>
    <x:row r="787" ht="14.25" customHeight="1">
      <x:c r="AA787" s="3"/>
      <x:c r="AF787" s="3"/>
      <x:c r="AG787" s="3"/>
      <x:c r="AH787" s="3"/>
      <x:c r="AI787" s="3"/>
      <x:c r="AJ787" s="3"/>
      <x:c r="AK787" s="3"/>
      <x:c r="AL787" s="3"/>
      <x:c r="AM787" s="3"/>
      <x:c r="AT787" s="3"/>
      <x:c r="AU787" s="3"/>
      <x:c r="AV787" s="3"/>
      <x:c r="AW787" s="3"/>
      <x:c r="AX787" s="3"/>
      <x:c r="AY787" s="3"/>
      <x:c r="AZ787" s="3"/>
      <x:c r="BA787" s="3"/>
      <x:c r="BC787" s="3"/>
      <x:c r="BD787" s="3"/>
      <x:c r="BE787" s="3"/>
      <x:c r="BF787" s="3"/>
      <x:c r="BG787" s="3"/>
      <x:c r="BH787" s="13"/>
      <x:c r="BI787" s="13"/>
      <x:c r="BJ787" s="13"/>
      <x:c r="BK787" s="13"/>
      <x:c r="BL787" s="13"/>
      <x:c r="BM787" s="13"/>
      <x:c r="BN787" s="13"/>
      <x:c r="BO787" s="13"/>
      <x:c r="BP787" s="13"/>
      <x:c r="BQ787" s="13"/>
      <x:c r="BR787" s="13"/>
      <x:c r="BS787" s="13"/>
      <x:c r="BT787" s="13"/>
      <x:c r="BU787" s="13"/>
      <x:c r="BV787" s="13"/>
      <x:c r="BW787" s="13"/>
      <x:c r="BX787" s="13"/>
      <x:c r="BY787" s="13"/>
      <x:c r="BZ787" s="13"/>
      <x:c r="CA787" s="13"/>
      <x:c r="CB787" s="13"/>
      <x:c r="CC787" s="13"/>
      <x:c r="CD787" s="13"/>
      <x:c r="CE787" s="13"/>
      <x:c r="CF787" s="13"/>
      <x:c r="CG787" s="13"/>
    </x:row>
    <x:row r="788" ht="14.25" customHeight="1">
      <x:c r="AA788" s="3"/>
      <x:c r="AF788" s="3"/>
      <x:c r="AG788" s="3"/>
      <x:c r="AH788" s="3"/>
      <x:c r="AI788" s="3"/>
      <x:c r="AJ788" s="3"/>
      <x:c r="AK788" s="3"/>
      <x:c r="AL788" s="3"/>
      <x:c r="AM788" s="3"/>
      <x:c r="AT788" s="3"/>
      <x:c r="AU788" s="3"/>
      <x:c r="AV788" s="3"/>
      <x:c r="AW788" s="3"/>
      <x:c r="AX788" s="3"/>
      <x:c r="AY788" s="3"/>
      <x:c r="AZ788" s="3"/>
      <x:c r="BA788" s="3"/>
      <x:c r="BC788" s="3"/>
      <x:c r="BD788" s="3"/>
      <x:c r="BE788" s="3"/>
      <x:c r="BF788" s="3"/>
      <x:c r="BG788" s="3"/>
      <x:c r="BH788" s="13"/>
      <x:c r="BI788" s="13"/>
      <x:c r="BJ788" s="13"/>
      <x:c r="BK788" s="13"/>
      <x:c r="BL788" s="13"/>
      <x:c r="BM788" s="13"/>
      <x:c r="BN788" s="13"/>
      <x:c r="BO788" s="13"/>
      <x:c r="BP788" s="13"/>
      <x:c r="BQ788" s="13"/>
      <x:c r="BR788" s="13"/>
      <x:c r="BS788" s="13"/>
      <x:c r="BT788" s="13"/>
      <x:c r="BU788" s="13"/>
      <x:c r="BV788" s="13"/>
      <x:c r="BW788" s="13"/>
      <x:c r="BX788" s="13"/>
      <x:c r="BY788" s="13"/>
      <x:c r="BZ788" s="13"/>
      <x:c r="CA788" s="13"/>
      <x:c r="CB788" s="13"/>
      <x:c r="CC788" s="13"/>
      <x:c r="CD788" s="13"/>
      <x:c r="CE788" s="13"/>
      <x:c r="CF788" s="13"/>
      <x:c r="CG788" s="13"/>
    </x:row>
    <x:row r="789" ht="14.25" customHeight="1">
      <x:c r="AA789" s="3"/>
      <x:c r="AF789" s="3"/>
      <x:c r="AG789" s="3"/>
      <x:c r="AH789" s="3"/>
      <x:c r="AI789" s="3"/>
      <x:c r="AJ789" s="3"/>
      <x:c r="AK789" s="3"/>
      <x:c r="AL789" s="3"/>
      <x:c r="AM789" s="3"/>
      <x:c r="AT789" s="3"/>
      <x:c r="AU789" s="3"/>
      <x:c r="AV789" s="3"/>
      <x:c r="AW789" s="3"/>
      <x:c r="AX789" s="3"/>
      <x:c r="AY789" s="3"/>
      <x:c r="AZ789" s="3"/>
      <x:c r="BA789" s="3"/>
      <x:c r="BC789" s="3"/>
      <x:c r="BD789" s="3"/>
      <x:c r="BE789" s="3"/>
      <x:c r="BF789" s="3"/>
      <x:c r="BG789" s="3"/>
      <x:c r="BH789" s="13"/>
      <x:c r="BI789" s="13"/>
      <x:c r="BJ789" s="13"/>
      <x:c r="BK789" s="13"/>
      <x:c r="BL789" s="13"/>
      <x:c r="BM789" s="13"/>
      <x:c r="BN789" s="13"/>
      <x:c r="BO789" s="13"/>
      <x:c r="BP789" s="13"/>
      <x:c r="BQ789" s="13"/>
      <x:c r="BR789" s="13"/>
      <x:c r="BS789" s="13"/>
      <x:c r="BT789" s="13"/>
      <x:c r="BU789" s="13"/>
      <x:c r="BV789" s="13"/>
      <x:c r="BW789" s="13"/>
      <x:c r="BX789" s="13"/>
      <x:c r="BY789" s="13"/>
      <x:c r="BZ789" s="13"/>
      <x:c r="CA789" s="13"/>
      <x:c r="CB789" s="13"/>
      <x:c r="CC789" s="13"/>
      <x:c r="CD789" s="13"/>
      <x:c r="CE789" s="13"/>
      <x:c r="CF789" s="13"/>
      <x:c r="CG789" s="13"/>
    </x:row>
    <x:row r="790" ht="14.25" customHeight="1">
      <x:c r="AA790" s="3"/>
      <x:c r="AF790" s="3"/>
      <x:c r="AG790" s="3"/>
      <x:c r="AH790" s="3"/>
      <x:c r="AI790" s="3"/>
      <x:c r="AJ790" s="3"/>
      <x:c r="AK790" s="3"/>
      <x:c r="AL790" s="3"/>
      <x:c r="AM790" s="3"/>
      <x:c r="AT790" s="3"/>
      <x:c r="AU790" s="3"/>
      <x:c r="AV790" s="3"/>
      <x:c r="AW790" s="3"/>
      <x:c r="AX790" s="3"/>
      <x:c r="AY790" s="3"/>
      <x:c r="AZ790" s="3"/>
      <x:c r="BA790" s="3"/>
      <x:c r="BC790" s="3"/>
      <x:c r="BD790" s="3"/>
      <x:c r="BE790" s="3"/>
      <x:c r="BF790" s="3"/>
      <x:c r="BG790" s="3"/>
      <x:c r="BH790" s="13"/>
      <x:c r="BI790" s="13"/>
      <x:c r="BJ790" s="13"/>
      <x:c r="BK790" s="13"/>
      <x:c r="BL790" s="13"/>
      <x:c r="BM790" s="13"/>
      <x:c r="BN790" s="13"/>
      <x:c r="BO790" s="13"/>
      <x:c r="BP790" s="13"/>
      <x:c r="BQ790" s="13"/>
      <x:c r="BR790" s="13"/>
      <x:c r="BS790" s="13"/>
      <x:c r="BT790" s="13"/>
      <x:c r="BU790" s="13"/>
      <x:c r="BV790" s="13"/>
      <x:c r="BW790" s="13"/>
      <x:c r="BX790" s="13"/>
      <x:c r="BY790" s="13"/>
      <x:c r="BZ790" s="13"/>
      <x:c r="CA790" s="13"/>
      <x:c r="CB790" s="13"/>
      <x:c r="CC790" s="13"/>
      <x:c r="CD790" s="13"/>
      <x:c r="CE790" s="13"/>
      <x:c r="CF790" s="13"/>
      <x:c r="CG790" s="13"/>
    </x:row>
    <x:row r="791" ht="14.25" customHeight="1">
      <x:c r="AA791" s="3"/>
      <x:c r="AF791" s="3"/>
      <x:c r="AG791" s="3"/>
      <x:c r="AH791" s="3"/>
      <x:c r="AI791" s="3"/>
      <x:c r="AJ791" s="3"/>
      <x:c r="AK791" s="3"/>
      <x:c r="AL791" s="3"/>
      <x:c r="AM791" s="3"/>
      <x:c r="AT791" s="3"/>
      <x:c r="AU791" s="3"/>
      <x:c r="AV791" s="3"/>
      <x:c r="AW791" s="3"/>
      <x:c r="AX791" s="3"/>
      <x:c r="AY791" s="3"/>
      <x:c r="AZ791" s="3"/>
      <x:c r="BA791" s="3"/>
      <x:c r="BC791" s="3"/>
      <x:c r="BD791" s="3"/>
      <x:c r="BE791" s="3"/>
      <x:c r="BF791" s="3"/>
      <x:c r="BG791" s="3"/>
      <x:c r="BH791" s="13"/>
      <x:c r="BI791" s="13"/>
      <x:c r="BJ791" s="13"/>
      <x:c r="BK791" s="13"/>
      <x:c r="BL791" s="13"/>
      <x:c r="BM791" s="13"/>
      <x:c r="BN791" s="13"/>
      <x:c r="BO791" s="13"/>
      <x:c r="BP791" s="13"/>
      <x:c r="BQ791" s="13"/>
      <x:c r="BR791" s="13"/>
      <x:c r="BS791" s="13"/>
      <x:c r="BT791" s="13"/>
      <x:c r="BU791" s="13"/>
      <x:c r="BV791" s="13"/>
      <x:c r="BW791" s="13"/>
      <x:c r="BX791" s="13"/>
      <x:c r="BY791" s="13"/>
      <x:c r="BZ791" s="13"/>
      <x:c r="CA791" s="13"/>
      <x:c r="CB791" s="13"/>
      <x:c r="CC791" s="13"/>
      <x:c r="CD791" s="13"/>
      <x:c r="CE791" s="13"/>
      <x:c r="CF791" s="13"/>
      <x:c r="CG791" s="13"/>
    </x:row>
    <x:row r="792" ht="14.25" customHeight="1">
      <x:c r="AA792" s="3"/>
      <x:c r="AF792" s="3"/>
      <x:c r="AG792" s="3"/>
      <x:c r="AH792" s="3"/>
      <x:c r="AI792" s="3"/>
      <x:c r="AJ792" s="3"/>
      <x:c r="AK792" s="3"/>
      <x:c r="AL792" s="3"/>
      <x:c r="AM792" s="3"/>
      <x:c r="AT792" s="3"/>
      <x:c r="AU792" s="3"/>
      <x:c r="AV792" s="3"/>
      <x:c r="AW792" s="3"/>
      <x:c r="AX792" s="3"/>
      <x:c r="AY792" s="3"/>
      <x:c r="AZ792" s="3"/>
      <x:c r="BA792" s="3"/>
      <x:c r="BC792" s="3"/>
      <x:c r="BD792" s="3"/>
      <x:c r="BE792" s="3"/>
      <x:c r="BF792" s="3"/>
      <x:c r="BG792" s="3"/>
      <x:c r="BH792" s="13"/>
      <x:c r="BI792" s="13"/>
      <x:c r="BJ792" s="13"/>
      <x:c r="BK792" s="13"/>
      <x:c r="BL792" s="13"/>
      <x:c r="BM792" s="13"/>
      <x:c r="BN792" s="13"/>
      <x:c r="BO792" s="13"/>
      <x:c r="BP792" s="13"/>
      <x:c r="BQ792" s="13"/>
      <x:c r="BR792" s="13"/>
      <x:c r="BS792" s="13"/>
      <x:c r="BT792" s="13"/>
      <x:c r="BU792" s="13"/>
      <x:c r="BV792" s="13"/>
      <x:c r="BW792" s="13"/>
      <x:c r="BX792" s="13"/>
      <x:c r="BY792" s="13"/>
      <x:c r="BZ792" s="13"/>
      <x:c r="CA792" s="13"/>
      <x:c r="CB792" s="13"/>
      <x:c r="CC792" s="13"/>
      <x:c r="CD792" s="13"/>
      <x:c r="CE792" s="13"/>
      <x:c r="CF792" s="13"/>
      <x:c r="CG792" s="13"/>
    </x:row>
    <x:row r="793" ht="14.25" customHeight="1">
      <x:c r="AA793" s="3"/>
      <x:c r="AF793" s="3"/>
      <x:c r="AG793" s="3"/>
      <x:c r="AH793" s="3"/>
      <x:c r="AI793" s="3"/>
      <x:c r="AJ793" s="3"/>
      <x:c r="AK793" s="3"/>
      <x:c r="AL793" s="3"/>
      <x:c r="AM793" s="3"/>
      <x:c r="AT793" s="3"/>
      <x:c r="AU793" s="3"/>
      <x:c r="AV793" s="3"/>
      <x:c r="AW793" s="3"/>
      <x:c r="AX793" s="3"/>
      <x:c r="AY793" s="3"/>
      <x:c r="AZ793" s="3"/>
      <x:c r="BA793" s="3"/>
      <x:c r="BC793" s="3"/>
      <x:c r="BD793" s="3"/>
      <x:c r="BE793" s="3"/>
      <x:c r="BF793" s="3"/>
      <x:c r="BG793" s="3"/>
      <x:c r="BH793" s="13"/>
      <x:c r="BI793" s="13"/>
      <x:c r="BJ793" s="13"/>
      <x:c r="BK793" s="13"/>
      <x:c r="BL793" s="13"/>
      <x:c r="BM793" s="13"/>
      <x:c r="BN793" s="13"/>
      <x:c r="BO793" s="13"/>
      <x:c r="BP793" s="13"/>
      <x:c r="BQ793" s="13"/>
      <x:c r="BR793" s="13"/>
      <x:c r="BS793" s="13"/>
      <x:c r="BT793" s="13"/>
      <x:c r="BU793" s="13"/>
      <x:c r="BV793" s="13"/>
      <x:c r="BW793" s="13"/>
      <x:c r="BX793" s="13"/>
      <x:c r="BY793" s="13"/>
      <x:c r="BZ793" s="13"/>
      <x:c r="CA793" s="13"/>
      <x:c r="CB793" s="13"/>
      <x:c r="CC793" s="13"/>
      <x:c r="CD793" s="13"/>
      <x:c r="CE793" s="13"/>
      <x:c r="CF793" s="13"/>
      <x:c r="CG793" s="13"/>
    </x:row>
    <x:row r="794" ht="14.25" customHeight="1">
      <x:c r="AA794" s="3"/>
      <x:c r="AF794" s="3"/>
      <x:c r="AG794" s="3"/>
      <x:c r="AH794" s="3"/>
      <x:c r="AI794" s="3"/>
      <x:c r="AJ794" s="3"/>
      <x:c r="AK794" s="3"/>
      <x:c r="AL794" s="3"/>
      <x:c r="AM794" s="3"/>
      <x:c r="AT794" s="3"/>
      <x:c r="AU794" s="3"/>
      <x:c r="AV794" s="3"/>
      <x:c r="AW794" s="3"/>
      <x:c r="AX794" s="3"/>
      <x:c r="AY794" s="3"/>
      <x:c r="AZ794" s="3"/>
      <x:c r="BA794" s="3"/>
      <x:c r="BC794" s="3"/>
      <x:c r="BD794" s="3"/>
      <x:c r="BE794" s="3"/>
      <x:c r="BF794" s="3"/>
      <x:c r="BG794" s="3"/>
      <x:c r="BH794" s="13"/>
      <x:c r="BI794" s="13"/>
      <x:c r="BJ794" s="13"/>
      <x:c r="BK794" s="13"/>
      <x:c r="BL794" s="13"/>
      <x:c r="BM794" s="13"/>
      <x:c r="BN794" s="13"/>
      <x:c r="BO794" s="13"/>
      <x:c r="BP794" s="13"/>
      <x:c r="BQ794" s="13"/>
      <x:c r="BR794" s="13"/>
      <x:c r="BS794" s="13"/>
      <x:c r="BT794" s="13"/>
      <x:c r="BU794" s="13"/>
      <x:c r="BV794" s="13"/>
      <x:c r="BW794" s="13"/>
      <x:c r="BX794" s="13"/>
      <x:c r="BY794" s="13"/>
      <x:c r="BZ794" s="13"/>
      <x:c r="CA794" s="13"/>
      <x:c r="CB794" s="13"/>
      <x:c r="CC794" s="13"/>
      <x:c r="CD794" s="13"/>
      <x:c r="CE794" s="13"/>
      <x:c r="CF794" s="13"/>
      <x:c r="CG794" s="13"/>
    </x:row>
    <x:row r="795" ht="14.25" customHeight="1">
      <x:c r="AA795" s="3"/>
      <x:c r="AF795" s="3"/>
      <x:c r="AG795" s="3"/>
      <x:c r="AH795" s="3"/>
      <x:c r="AI795" s="3"/>
      <x:c r="AJ795" s="3"/>
      <x:c r="AK795" s="3"/>
      <x:c r="AL795" s="3"/>
      <x:c r="AM795" s="3"/>
      <x:c r="AT795" s="3"/>
      <x:c r="AU795" s="3"/>
      <x:c r="AV795" s="3"/>
      <x:c r="AW795" s="3"/>
      <x:c r="AX795" s="3"/>
      <x:c r="AY795" s="3"/>
      <x:c r="AZ795" s="3"/>
      <x:c r="BA795" s="3"/>
      <x:c r="BC795" s="3"/>
      <x:c r="BD795" s="3"/>
      <x:c r="BE795" s="3"/>
      <x:c r="BF795" s="3"/>
      <x:c r="BG795" s="3"/>
      <x:c r="BH795" s="13"/>
      <x:c r="BI795" s="13"/>
      <x:c r="BJ795" s="13"/>
      <x:c r="BK795" s="13"/>
      <x:c r="BL795" s="13"/>
      <x:c r="BM795" s="13"/>
      <x:c r="BN795" s="13"/>
      <x:c r="BO795" s="13"/>
      <x:c r="BP795" s="13"/>
      <x:c r="BQ795" s="13"/>
      <x:c r="BR795" s="13"/>
      <x:c r="BS795" s="13"/>
      <x:c r="BT795" s="13"/>
      <x:c r="BU795" s="13"/>
      <x:c r="BV795" s="13"/>
      <x:c r="BW795" s="13"/>
      <x:c r="BX795" s="13"/>
      <x:c r="BY795" s="13"/>
      <x:c r="BZ795" s="13"/>
      <x:c r="CA795" s="13"/>
      <x:c r="CB795" s="13"/>
      <x:c r="CC795" s="13"/>
      <x:c r="CD795" s="13"/>
      <x:c r="CE795" s="13"/>
      <x:c r="CF795" s="13"/>
      <x:c r="CG795" s="13"/>
    </x:row>
    <x:row r="796" ht="14.25" customHeight="1">
      <x:c r="AA796" s="3"/>
      <x:c r="AF796" s="3"/>
      <x:c r="AG796" s="3"/>
      <x:c r="AH796" s="3"/>
      <x:c r="AI796" s="3"/>
      <x:c r="AJ796" s="3"/>
      <x:c r="AK796" s="3"/>
      <x:c r="AL796" s="3"/>
      <x:c r="AM796" s="3"/>
      <x:c r="AT796" s="3"/>
      <x:c r="AU796" s="3"/>
      <x:c r="AV796" s="3"/>
      <x:c r="AW796" s="3"/>
      <x:c r="AX796" s="3"/>
      <x:c r="AY796" s="3"/>
      <x:c r="AZ796" s="3"/>
      <x:c r="BA796" s="3"/>
      <x:c r="BC796" s="3"/>
      <x:c r="BD796" s="3"/>
      <x:c r="BE796" s="3"/>
      <x:c r="BF796" s="3"/>
      <x:c r="BG796" s="3"/>
      <x:c r="BH796" s="13"/>
      <x:c r="BI796" s="13"/>
      <x:c r="BJ796" s="13"/>
      <x:c r="BK796" s="13"/>
      <x:c r="BL796" s="13"/>
      <x:c r="BM796" s="13"/>
      <x:c r="BN796" s="13"/>
      <x:c r="BO796" s="13"/>
      <x:c r="BP796" s="13"/>
      <x:c r="BQ796" s="13"/>
      <x:c r="BR796" s="13"/>
      <x:c r="BS796" s="13"/>
      <x:c r="BT796" s="13"/>
      <x:c r="BU796" s="13"/>
      <x:c r="BV796" s="13"/>
      <x:c r="BW796" s="13"/>
      <x:c r="BX796" s="13"/>
      <x:c r="BY796" s="13"/>
      <x:c r="BZ796" s="13"/>
      <x:c r="CA796" s="13"/>
      <x:c r="CB796" s="13"/>
      <x:c r="CC796" s="13"/>
      <x:c r="CD796" s="13"/>
      <x:c r="CE796" s="13"/>
      <x:c r="CF796" s="13"/>
      <x:c r="CG796" s="13"/>
    </x:row>
    <x:row r="797" ht="14.25" customHeight="1">
      <x:c r="AA797" s="3"/>
      <x:c r="AF797" s="3"/>
      <x:c r="AG797" s="3"/>
      <x:c r="AH797" s="3"/>
      <x:c r="AI797" s="3"/>
      <x:c r="AJ797" s="3"/>
      <x:c r="AK797" s="3"/>
      <x:c r="AL797" s="3"/>
      <x:c r="AM797" s="3"/>
      <x:c r="AT797" s="3"/>
      <x:c r="AU797" s="3"/>
      <x:c r="AV797" s="3"/>
      <x:c r="AW797" s="3"/>
      <x:c r="AX797" s="3"/>
      <x:c r="AY797" s="3"/>
      <x:c r="AZ797" s="3"/>
      <x:c r="BA797" s="3"/>
      <x:c r="BC797" s="3"/>
      <x:c r="BD797" s="3"/>
      <x:c r="BE797" s="3"/>
      <x:c r="BF797" s="3"/>
      <x:c r="BG797" s="3"/>
      <x:c r="BH797" s="13"/>
      <x:c r="BI797" s="13"/>
      <x:c r="BJ797" s="13"/>
      <x:c r="BK797" s="13"/>
      <x:c r="BL797" s="13"/>
      <x:c r="BM797" s="13"/>
      <x:c r="BN797" s="13"/>
      <x:c r="BO797" s="13"/>
      <x:c r="BP797" s="13"/>
      <x:c r="BQ797" s="13"/>
      <x:c r="BR797" s="13"/>
      <x:c r="BS797" s="13"/>
      <x:c r="BT797" s="13"/>
      <x:c r="BU797" s="13"/>
      <x:c r="BV797" s="13"/>
      <x:c r="BW797" s="13"/>
      <x:c r="BX797" s="13"/>
      <x:c r="BY797" s="13"/>
      <x:c r="BZ797" s="13"/>
      <x:c r="CA797" s="13"/>
      <x:c r="CB797" s="13"/>
      <x:c r="CC797" s="13"/>
      <x:c r="CD797" s="13"/>
      <x:c r="CE797" s="13"/>
      <x:c r="CF797" s="13"/>
      <x:c r="CG797" s="13"/>
    </x:row>
    <x:row r="798" ht="14.25" customHeight="1">
      <x:c r="AA798" s="3"/>
      <x:c r="AF798" s="3"/>
      <x:c r="AG798" s="3"/>
      <x:c r="AH798" s="3"/>
      <x:c r="AI798" s="3"/>
      <x:c r="AJ798" s="3"/>
      <x:c r="AK798" s="3"/>
      <x:c r="AL798" s="3"/>
      <x:c r="AM798" s="3"/>
      <x:c r="AT798" s="3"/>
      <x:c r="AU798" s="3"/>
      <x:c r="AV798" s="3"/>
      <x:c r="AW798" s="3"/>
      <x:c r="AX798" s="3"/>
      <x:c r="AY798" s="3"/>
      <x:c r="AZ798" s="3"/>
      <x:c r="BA798" s="3"/>
      <x:c r="BC798" s="3"/>
      <x:c r="BD798" s="3"/>
      <x:c r="BE798" s="3"/>
      <x:c r="BF798" s="3"/>
      <x:c r="BG798" s="3"/>
      <x:c r="BH798" s="13"/>
      <x:c r="BI798" s="13"/>
      <x:c r="BJ798" s="13"/>
      <x:c r="BK798" s="13"/>
      <x:c r="BL798" s="13"/>
      <x:c r="BM798" s="13"/>
      <x:c r="BN798" s="13"/>
      <x:c r="BO798" s="13"/>
      <x:c r="BP798" s="13"/>
      <x:c r="BQ798" s="13"/>
      <x:c r="BR798" s="13"/>
      <x:c r="BS798" s="13"/>
      <x:c r="BT798" s="13"/>
      <x:c r="BU798" s="13"/>
      <x:c r="BV798" s="13"/>
      <x:c r="BW798" s="13"/>
      <x:c r="BX798" s="13"/>
      <x:c r="BY798" s="13"/>
      <x:c r="BZ798" s="13"/>
      <x:c r="CA798" s="13"/>
      <x:c r="CB798" s="13"/>
      <x:c r="CC798" s="13"/>
      <x:c r="CD798" s="13"/>
      <x:c r="CE798" s="13"/>
      <x:c r="CF798" s="13"/>
      <x:c r="CG798" s="13"/>
    </x:row>
    <x:row r="799" ht="14.25" customHeight="1">
      <x:c r="AA799" s="3"/>
      <x:c r="AF799" s="3"/>
      <x:c r="AG799" s="3"/>
      <x:c r="AH799" s="3"/>
      <x:c r="AI799" s="3"/>
      <x:c r="AJ799" s="3"/>
      <x:c r="AK799" s="3"/>
      <x:c r="AL799" s="3"/>
      <x:c r="AM799" s="3"/>
      <x:c r="AT799" s="3"/>
      <x:c r="AU799" s="3"/>
      <x:c r="AV799" s="3"/>
      <x:c r="AW799" s="3"/>
      <x:c r="AX799" s="3"/>
      <x:c r="AY799" s="3"/>
      <x:c r="AZ799" s="3"/>
      <x:c r="BA799" s="3"/>
      <x:c r="BC799" s="3"/>
      <x:c r="BD799" s="3"/>
      <x:c r="BE799" s="3"/>
      <x:c r="BF799" s="3"/>
      <x:c r="BG799" s="3"/>
      <x:c r="BH799" s="13"/>
      <x:c r="BI799" s="13"/>
      <x:c r="BJ799" s="13"/>
      <x:c r="BK799" s="13"/>
      <x:c r="BL799" s="13"/>
      <x:c r="BM799" s="13"/>
      <x:c r="BN799" s="13"/>
      <x:c r="BO799" s="13"/>
      <x:c r="BP799" s="13"/>
      <x:c r="BQ799" s="13"/>
      <x:c r="BR799" s="13"/>
      <x:c r="BS799" s="13"/>
      <x:c r="BT799" s="13"/>
      <x:c r="BU799" s="13"/>
      <x:c r="BV799" s="13"/>
      <x:c r="BW799" s="13"/>
      <x:c r="BX799" s="13"/>
      <x:c r="BY799" s="13"/>
      <x:c r="BZ799" s="13"/>
      <x:c r="CA799" s="13"/>
      <x:c r="CB799" s="13"/>
      <x:c r="CC799" s="13"/>
      <x:c r="CD799" s="13"/>
      <x:c r="CE799" s="13"/>
      <x:c r="CF799" s="13"/>
      <x:c r="CG799" s="13"/>
    </x:row>
    <x:row r="800" ht="14.25" customHeight="1">
      <x:c r="AA800" s="3"/>
      <x:c r="AF800" s="3"/>
      <x:c r="AG800" s="3"/>
      <x:c r="AH800" s="3"/>
      <x:c r="AI800" s="3"/>
      <x:c r="AJ800" s="3"/>
      <x:c r="AK800" s="3"/>
      <x:c r="AL800" s="3"/>
      <x:c r="AM800" s="3"/>
      <x:c r="AT800" s="3"/>
      <x:c r="AU800" s="3"/>
      <x:c r="AV800" s="3"/>
      <x:c r="AW800" s="3"/>
      <x:c r="AX800" s="3"/>
      <x:c r="AY800" s="3"/>
      <x:c r="AZ800" s="3"/>
      <x:c r="BA800" s="3"/>
      <x:c r="BC800" s="3"/>
      <x:c r="BD800" s="3"/>
      <x:c r="BE800" s="3"/>
      <x:c r="BF800" s="3"/>
      <x:c r="BG800" s="3"/>
      <x:c r="BH800" s="13"/>
      <x:c r="BI800" s="13"/>
      <x:c r="BJ800" s="13"/>
      <x:c r="BK800" s="13"/>
      <x:c r="BL800" s="13"/>
      <x:c r="BM800" s="13"/>
      <x:c r="BN800" s="13"/>
      <x:c r="BO800" s="13"/>
      <x:c r="BP800" s="13"/>
      <x:c r="BQ800" s="13"/>
      <x:c r="BR800" s="13"/>
      <x:c r="BS800" s="13"/>
      <x:c r="BT800" s="13"/>
      <x:c r="BU800" s="13"/>
      <x:c r="BV800" s="13"/>
      <x:c r="BW800" s="13"/>
      <x:c r="BX800" s="13"/>
      <x:c r="BY800" s="13"/>
      <x:c r="BZ800" s="13"/>
      <x:c r="CA800" s="13"/>
      <x:c r="CB800" s="13"/>
      <x:c r="CC800" s="13"/>
      <x:c r="CD800" s="13"/>
      <x:c r="CE800" s="13"/>
      <x:c r="CF800" s="13"/>
      <x:c r="CG800" s="13"/>
    </x:row>
    <x:row r="801" ht="14.25" customHeight="1">
      <x:c r="AA801" s="3"/>
      <x:c r="AF801" s="3"/>
      <x:c r="AG801" s="3"/>
      <x:c r="AH801" s="3"/>
      <x:c r="AI801" s="3"/>
      <x:c r="AJ801" s="3"/>
      <x:c r="AK801" s="3"/>
      <x:c r="AL801" s="3"/>
      <x:c r="AM801" s="3"/>
      <x:c r="AT801" s="3"/>
      <x:c r="AU801" s="3"/>
      <x:c r="AV801" s="3"/>
      <x:c r="AW801" s="3"/>
      <x:c r="AX801" s="3"/>
      <x:c r="AY801" s="3"/>
      <x:c r="AZ801" s="3"/>
      <x:c r="BA801" s="3"/>
      <x:c r="BC801" s="3"/>
      <x:c r="BD801" s="3"/>
      <x:c r="BE801" s="3"/>
      <x:c r="BF801" s="3"/>
      <x:c r="BG801" s="3"/>
      <x:c r="BH801" s="13"/>
      <x:c r="BI801" s="13"/>
      <x:c r="BJ801" s="13"/>
      <x:c r="BK801" s="13"/>
      <x:c r="BL801" s="13"/>
      <x:c r="BM801" s="13"/>
      <x:c r="BN801" s="13"/>
      <x:c r="BO801" s="13"/>
      <x:c r="BP801" s="13"/>
      <x:c r="BQ801" s="13"/>
      <x:c r="BR801" s="13"/>
      <x:c r="BS801" s="13"/>
      <x:c r="BT801" s="13"/>
      <x:c r="BU801" s="13"/>
      <x:c r="BV801" s="13"/>
      <x:c r="BW801" s="13"/>
      <x:c r="BX801" s="13"/>
      <x:c r="BY801" s="13"/>
      <x:c r="BZ801" s="13"/>
      <x:c r="CA801" s="13"/>
      <x:c r="CB801" s="13"/>
      <x:c r="CC801" s="13"/>
      <x:c r="CD801" s="13"/>
      <x:c r="CE801" s="13"/>
      <x:c r="CF801" s="13"/>
      <x:c r="CG801" s="13"/>
    </x:row>
    <x:row r="802" ht="14.25" customHeight="1">
      <x:c r="AA802" s="3"/>
      <x:c r="AF802" s="3"/>
      <x:c r="AG802" s="3"/>
      <x:c r="AH802" s="3"/>
      <x:c r="AI802" s="3"/>
      <x:c r="AJ802" s="3"/>
      <x:c r="AK802" s="3"/>
      <x:c r="AL802" s="3"/>
      <x:c r="AM802" s="3"/>
      <x:c r="AT802" s="3"/>
      <x:c r="AU802" s="3"/>
      <x:c r="AV802" s="3"/>
      <x:c r="AW802" s="3"/>
      <x:c r="AX802" s="3"/>
      <x:c r="AY802" s="3"/>
      <x:c r="AZ802" s="3"/>
      <x:c r="BA802" s="3"/>
      <x:c r="BC802" s="3"/>
      <x:c r="BD802" s="3"/>
      <x:c r="BE802" s="3"/>
      <x:c r="BF802" s="3"/>
      <x:c r="BG802" s="3"/>
      <x:c r="BH802" s="13"/>
      <x:c r="BI802" s="13"/>
      <x:c r="BJ802" s="13"/>
      <x:c r="BK802" s="13"/>
      <x:c r="BL802" s="13"/>
      <x:c r="BM802" s="13"/>
      <x:c r="BN802" s="13"/>
      <x:c r="BO802" s="13"/>
      <x:c r="BP802" s="13"/>
      <x:c r="BQ802" s="13"/>
      <x:c r="BR802" s="13"/>
      <x:c r="BS802" s="13"/>
      <x:c r="BT802" s="13"/>
      <x:c r="BU802" s="13"/>
      <x:c r="BV802" s="13"/>
      <x:c r="BW802" s="13"/>
      <x:c r="BX802" s="13"/>
      <x:c r="BY802" s="13"/>
      <x:c r="BZ802" s="13"/>
      <x:c r="CA802" s="13"/>
      <x:c r="CB802" s="13"/>
      <x:c r="CC802" s="13"/>
      <x:c r="CD802" s="13"/>
      <x:c r="CE802" s="13"/>
      <x:c r="CF802" s="13"/>
      <x:c r="CG802" s="13"/>
    </x:row>
    <x:row r="803" ht="14.25" customHeight="1">
      <x:c r="AA803" s="3"/>
      <x:c r="AF803" s="3"/>
      <x:c r="AG803" s="3"/>
      <x:c r="AH803" s="3"/>
      <x:c r="AI803" s="3"/>
      <x:c r="AJ803" s="3"/>
      <x:c r="AK803" s="3"/>
      <x:c r="AL803" s="3"/>
      <x:c r="AM803" s="3"/>
      <x:c r="AT803" s="3"/>
      <x:c r="AU803" s="3"/>
      <x:c r="AV803" s="3"/>
      <x:c r="AW803" s="3"/>
      <x:c r="AX803" s="3"/>
      <x:c r="AY803" s="3"/>
      <x:c r="AZ803" s="3"/>
      <x:c r="BA803" s="3"/>
      <x:c r="BC803" s="3"/>
      <x:c r="BD803" s="3"/>
      <x:c r="BE803" s="3"/>
      <x:c r="BF803" s="3"/>
      <x:c r="BG803" s="3"/>
      <x:c r="BH803" s="13"/>
      <x:c r="BI803" s="13"/>
      <x:c r="BJ803" s="13"/>
      <x:c r="BK803" s="13"/>
      <x:c r="BL803" s="13"/>
      <x:c r="BM803" s="13"/>
      <x:c r="BN803" s="13"/>
      <x:c r="BO803" s="13"/>
      <x:c r="BP803" s="13"/>
      <x:c r="BQ803" s="13"/>
      <x:c r="BR803" s="13"/>
      <x:c r="BS803" s="13"/>
      <x:c r="BT803" s="13"/>
      <x:c r="BU803" s="13"/>
      <x:c r="BV803" s="13"/>
      <x:c r="BW803" s="13"/>
      <x:c r="BX803" s="13"/>
      <x:c r="BY803" s="13"/>
      <x:c r="BZ803" s="13"/>
      <x:c r="CA803" s="13"/>
      <x:c r="CB803" s="13"/>
      <x:c r="CC803" s="13"/>
      <x:c r="CD803" s="13"/>
      <x:c r="CE803" s="13"/>
      <x:c r="CF803" s="13"/>
      <x:c r="CG803" s="13"/>
    </x:row>
    <x:row r="804" ht="14.25" customHeight="1">
      <x:c r="AA804" s="3"/>
      <x:c r="AF804" s="3"/>
      <x:c r="AG804" s="3"/>
      <x:c r="AH804" s="3"/>
      <x:c r="AI804" s="3"/>
      <x:c r="AJ804" s="3"/>
      <x:c r="AK804" s="3"/>
      <x:c r="AL804" s="3"/>
      <x:c r="AM804" s="3"/>
      <x:c r="AT804" s="3"/>
      <x:c r="AU804" s="3"/>
      <x:c r="AV804" s="3"/>
      <x:c r="AW804" s="3"/>
      <x:c r="AX804" s="3"/>
      <x:c r="AY804" s="3"/>
      <x:c r="AZ804" s="3"/>
      <x:c r="BA804" s="3"/>
      <x:c r="BC804" s="3"/>
      <x:c r="BD804" s="3"/>
      <x:c r="BE804" s="3"/>
      <x:c r="BF804" s="3"/>
      <x:c r="BG804" s="3"/>
      <x:c r="BH804" s="13"/>
      <x:c r="BI804" s="13"/>
      <x:c r="BJ804" s="13"/>
      <x:c r="BK804" s="13"/>
      <x:c r="BL804" s="13"/>
      <x:c r="BM804" s="13"/>
      <x:c r="BN804" s="13"/>
      <x:c r="BO804" s="13"/>
      <x:c r="BP804" s="13"/>
      <x:c r="BQ804" s="13"/>
      <x:c r="BR804" s="13"/>
      <x:c r="BS804" s="13"/>
      <x:c r="BT804" s="13"/>
      <x:c r="BU804" s="13"/>
      <x:c r="BV804" s="13"/>
      <x:c r="BW804" s="13"/>
      <x:c r="BX804" s="13"/>
      <x:c r="BY804" s="13"/>
      <x:c r="BZ804" s="13"/>
      <x:c r="CA804" s="13"/>
      <x:c r="CB804" s="13"/>
      <x:c r="CC804" s="13"/>
      <x:c r="CD804" s="13"/>
      <x:c r="CE804" s="13"/>
      <x:c r="CF804" s="13"/>
      <x:c r="CG804" s="13"/>
    </x:row>
    <x:row r="805" ht="14.25" customHeight="1">
      <x:c r="AA805" s="3"/>
      <x:c r="AF805" s="3"/>
      <x:c r="AG805" s="3"/>
      <x:c r="AH805" s="3"/>
      <x:c r="AI805" s="3"/>
      <x:c r="AJ805" s="3"/>
      <x:c r="AK805" s="3"/>
      <x:c r="AL805" s="3"/>
      <x:c r="AM805" s="3"/>
      <x:c r="AT805" s="3"/>
      <x:c r="AU805" s="3"/>
      <x:c r="AV805" s="3"/>
      <x:c r="AW805" s="3"/>
      <x:c r="AX805" s="3"/>
      <x:c r="AY805" s="3"/>
      <x:c r="AZ805" s="3"/>
      <x:c r="BA805" s="3"/>
      <x:c r="BC805" s="3"/>
      <x:c r="BD805" s="3"/>
      <x:c r="BE805" s="3"/>
      <x:c r="BF805" s="3"/>
      <x:c r="BG805" s="3"/>
      <x:c r="BH805" s="13"/>
      <x:c r="BI805" s="13"/>
      <x:c r="BJ805" s="13"/>
      <x:c r="BK805" s="13"/>
      <x:c r="BL805" s="13"/>
      <x:c r="BM805" s="13"/>
      <x:c r="BN805" s="13"/>
      <x:c r="BO805" s="13"/>
      <x:c r="BP805" s="13"/>
      <x:c r="BQ805" s="13"/>
      <x:c r="BR805" s="13"/>
      <x:c r="BS805" s="13"/>
      <x:c r="BT805" s="13"/>
      <x:c r="BU805" s="13"/>
      <x:c r="BV805" s="13"/>
      <x:c r="BW805" s="13"/>
      <x:c r="BX805" s="13"/>
      <x:c r="BY805" s="13"/>
      <x:c r="BZ805" s="13"/>
      <x:c r="CA805" s="13"/>
      <x:c r="CB805" s="13"/>
      <x:c r="CC805" s="13"/>
      <x:c r="CD805" s="13"/>
      <x:c r="CE805" s="13"/>
      <x:c r="CF805" s="13"/>
      <x:c r="CG805" s="13"/>
    </x:row>
    <x:row r="806" ht="14.25" customHeight="1">
      <x:c r="AA806" s="3"/>
      <x:c r="AF806" s="3"/>
      <x:c r="AG806" s="3"/>
      <x:c r="AH806" s="3"/>
      <x:c r="AI806" s="3"/>
      <x:c r="AJ806" s="3"/>
      <x:c r="AK806" s="3"/>
      <x:c r="AL806" s="3"/>
      <x:c r="AM806" s="3"/>
      <x:c r="AT806" s="3"/>
      <x:c r="AU806" s="3"/>
      <x:c r="AV806" s="3"/>
      <x:c r="AW806" s="3"/>
      <x:c r="AX806" s="3"/>
      <x:c r="AY806" s="3"/>
      <x:c r="AZ806" s="3"/>
      <x:c r="BA806" s="3"/>
      <x:c r="BC806" s="3"/>
      <x:c r="BD806" s="3"/>
      <x:c r="BE806" s="3"/>
      <x:c r="BF806" s="3"/>
      <x:c r="BG806" s="3"/>
      <x:c r="BH806" s="13"/>
      <x:c r="BI806" s="13"/>
      <x:c r="BJ806" s="13"/>
      <x:c r="BK806" s="13"/>
      <x:c r="BL806" s="13"/>
      <x:c r="BM806" s="13"/>
      <x:c r="BN806" s="13"/>
      <x:c r="BO806" s="13"/>
      <x:c r="BP806" s="13"/>
      <x:c r="BQ806" s="13"/>
      <x:c r="BR806" s="13"/>
      <x:c r="BS806" s="13"/>
      <x:c r="BT806" s="13"/>
      <x:c r="BU806" s="13"/>
      <x:c r="BV806" s="13"/>
      <x:c r="BW806" s="13"/>
      <x:c r="BX806" s="13"/>
      <x:c r="BY806" s="13"/>
      <x:c r="BZ806" s="13"/>
      <x:c r="CA806" s="13"/>
      <x:c r="CB806" s="13"/>
      <x:c r="CC806" s="13"/>
      <x:c r="CD806" s="13"/>
      <x:c r="CE806" s="13"/>
      <x:c r="CF806" s="13"/>
      <x:c r="CG806" s="13"/>
    </x:row>
    <x:row r="807" ht="14.25" customHeight="1">
      <x:c r="AA807" s="3"/>
      <x:c r="AF807" s="3"/>
      <x:c r="AG807" s="3"/>
      <x:c r="AH807" s="3"/>
      <x:c r="AI807" s="3"/>
      <x:c r="AJ807" s="3"/>
      <x:c r="AK807" s="3"/>
      <x:c r="AL807" s="3"/>
      <x:c r="AM807" s="3"/>
      <x:c r="AT807" s="3"/>
      <x:c r="AU807" s="3"/>
      <x:c r="AV807" s="3"/>
      <x:c r="AW807" s="3"/>
      <x:c r="AX807" s="3"/>
      <x:c r="AY807" s="3"/>
      <x:c r="AZ807" s="3"/>
      <x:c r="BA807" s="3"/>
      <x:c r="BC807" s="3"/>
      <x:c r="BD807" s="3"/>
      <x:c r="BE807" s="3"/>
      <x:c r="BF807" s="3"/>
      <x:c r="BG807" s="3"/>
      <x:c r="BH807" s="13"/>
      <x:c r="BI807" s="13"/>
      <x:c r="BJ807" s="13"/>
      <x:c r="BK807" s="13"/>
      <x:c r="BL807" s="13"/>
      <x:c r="BM807" s="13"/>
      <x:c r="BN807" s="13"/>
      <x:c r="BO807" s="13"/>
      <x:c r="BP807" s="13"/>
      <x:c r="BQ807" s="13"/>
      <x:c r="BR807" s="13"/>
      <x:c r="BS807" s="13"/>
      <x:c r="BT807" s="13"/>
      <x:c r="BU807" s="13"/>
      <x:c r="BV807" s="13"/>
      <x:c r="BW807" s="13"/>
      <x:c r="BX807" s="13"/>
      <x:c r="BY807" s="13"/>
      <x:c r="BZ807" s="13"/>
      <x:c r="CA807" s="13"/>
      <x:c r="CB807" s="13"/>
      <x:c r="CC807" s="13"/>
      <x:c r="CD807" s="13"/>
      <x:c r="CE807" s="13"/>
      <x:c r="CF807" s="13"/>
      <x:c r="CG807" s="13"/>
    </x:row>
    <x:row r="808" ht="14.25" customHeight="1">
      <x:c r="AA808" s="3"/>
      <x:c r="AF808" s="3"/>
      <x:c r="AG808" s="3"/>
      <x:c r="AH808" s="3"/>
      <x:c r="AI808" s="3"/>
      <x:c r="AJ808" s="3"/>
      <x:c r="AK808" s="3"/>
      <x:c r="AL808" s="3"/>
      <x:c r="AM808" s="3"/>
      <x:c r="AT808" s="3"/>
      <x:c r="AU808" s="3"/>
      <x:c r="AV808" s="3"/>
      <x:c r="AW808" s="3"/>
      <x:c r="AX808" s="3"/>
      <x:c r="AY808" s="3"/>
      <x:c r="AZ808" s="3"/>
      <x:c r="BA808" s="3"/>
      <x:c r="BC808" s="3"/>
      <x:c r="BD808" s="3"/>
      <x:c r="BE808" s="3"/>
      <x:c r="BF808" s="3"/>
      <x:c r="BG808" s="3"/>
      <x:c r="BH808" s="13"/>
      <x:c r="BI808" s="13"/>
      <x:c r="BJ808" s="13"/>
      <x:c r="BK808" s="13"/>
      <x:c r="BL808" s="13"/>
      <x:c r="BM808" s="13"/>
      <x:c r="BN808" s="13"/>
      <x:c r="BO808" s="13"/>
      <x:c r="BP808" s="13"/>
      <x:c r="BQ808" s="13"/>
      <x:c r="BR808" s="13"/>
      <x:c r="BS808" s="13"/>
      <x:c r="BT808" s="13"/>
      <x:c r="BU808" s="13"/>
      <x:c r="BV808" s="13"/>
      <x:c r="BW808" s="13"/>
      <x:c r="BX808" s="13"/>
      <x:c r="BY808" s="13"/>
      <x:c r="BZ808" s="13"/>
      <x:c r="CA808" s="13"/>
      <x:c r="CB808" s="13"/>
      <x:c r="CC808" s="13"/>
      <x:c r="CD808" s="13"/>
      <x:c r="CE808" s="13"/>
      <x:c r="CF808" s="13"/>
      <x:c r="CG808" s="13"/>
    </x:row>
    <x:row r="809" ht="14.25" customHeight="1">
      <x:c r="AA809" s="3"/>
      <x:c r="AF809" s="3"/>
      <x:c r="AG809" s="3"/>
      <x:c r="AH809" s="3"/>
      <x:c r="AI809" s="3"/>
      <x:c r="AJ809" s="3"/>
      <x:c r="AK809" s="3"/>
      <x:c r="AL809" s="3"/>
      <x:c r="AM809" s="3"/>
      <x:c r="AT809" s="3"/>
      <x:c r="AU809" s="3"/>
      <x:c r="AV809" s="3"/>
      <x:c r="AW809" s="3"/>
      <x:c r="AX809" s="3"/>
      <x:c r="AY809" s="3"/>
      <x:c r="AZ809" s="3"/>
      <x:c r="BA809" s="3"/>
      <x:c r="BC809" s="3"/>
      <x:c r="BD809" s="3"/>
      <x:c r="BE809" s="3"/>
      <x:c r="BF809" s="3"/>
      <x:c r="BG809" s="3"/>
      <x:c r="BH809" s="13"/>
      <x:c r="BI809" s="13"/>
      <x:c r="BJ809" s="13"/>
      <x:c r="BK809" s="13"/>
      <x:c r="BL809" s="13"/>
      <x:c r="BM809" s="13"/>
      <x:c r="BN809" s="13"/>
      <x:c r="BO809" s="13"/>
      <x:c r="BP809" s="13"/>
      <x:c r="BQ809" s="13"/>
      <x:c r="BR809" s="13"/>
      <x:c r="BS809" s="13"/>
      <x:c r="BT809" s="13"/>
      <x:c r="BU809" s="13"/>
      <x:c r="BV809" s="13"/>
      <x:c r="BW809" s="13"/>
      <x:c r="BX809" s="13"/>
      <x:c r="BY809" s="13"/>
      <x:c r="BZ809" s="13"/>
      <x:c r="CA809" s="13"/>
      <x:c r="CB809" s="13"/>
      <x:c r="CC809" s="13"/>
      <x:c r="CD809" s="13"/>
      <x:c r="CE809" s="13"/>
      <x:c r="CF809" s="13"/>
      <x:c r="CG809" s="13"/>
    </x:row>
    <x:row r="810" ht="14.25" customHeight="1">
      <x:c r="AA810" s="3"/>
      <x:c r="AF810" s="3"/>
      <x:c r="AG810" s="3"/>
      <x:c r="AH810" s="3"/>
      <x:c r="AI810" s="3"/>
      <x:c r="AJ810" s="3"/>
      <x:c r="AK810" s="3"/>
      <x:c r="AL810" s="3"/>
      <x:c r="AM810" s="3"/>
      <x:c r="AT810" s="3"/>
      <x:c r="AU810" s="3"/>
      <x:c r="AV810" s="3"/>
      <x:c r="AW810" s="3"/>
      <x:c r="AX810" s="3"/>
      <x:c r="AY810" s="3"/>
      <x:c r="AZ810" s="3"/>
      <x:c r="BA810" s="3"/>
      <x:c r="BC810" s="3"/>
      <x:c r="BD810" s="3"/>
      <x:c r="BE810" s="3"/>
      <x:c r="BF810" s="3"/>
      <x:c r="BG810" s="3"/>
      <x:c r="BH810" s="13"/>
      <x:c r="BI810" s="13"/>
      <x:c r="BJ810" s="13"/>
      <x:c r="BK810" s="13"/>
      <x:c r="BL810" s="13"/>
      <x:c r="BM810" s="13"/>
      <x:c r="BN810" s="13"/>
      <x:c r="BO810" s="13"/>
      <x:c r="BP810" s="13"/>
      <x:c r="BQ810" s="13"/>
      <x:c r="BR810" s="13"/>
      <x:c r="BS810" s="13"/>
      <x:c r="BT810" s="13"/>
      <x:c r="BU810" s="13"/>
      <x:c r="BV810" s="13"/>
      <x:c r="BW810" s="13"/>
      <x:c r="BX810" s="13"/>
      <x:c r="BY810" s="13"/>
      <x:c r="BZ810" s="13"/>
      <x:c r="CA810" s="13"/>
      <x:c r="CB810" s="13"/>
      <x:c r="CC810" s="13"/>
      <x:c r="CD810" s="13"/>
      <x:c r="CE810" s="13"/>
      <x:c r="CF810" s="13"/>
      <x:c r="CG810" s="13"/>
    </x:row>
    <x:row r="811" ht="14.25" customHeight="1">
      <x:c r="AA811" s="3"/>
      <x:c r="AF811" s="3"/>
      <x:c r="AG811" s="3"/>
      <x:c r="AH811" s="3"/>
      <x:c r="AI811" s="3"/>
      <x:c r="AJ811" s="3"/>
      <x:c r="AK811" s="3"/>
      <x:c r="AL811" s="3"/>
      <x:c r="AM811" s="3"/>
      <x:c r="AT811" s="3"/>
      <x:c r="AU811" s="3"/>
      <x:c r="AV811" s="3"/>
      <x:c r="AW811" s="3"/>
      <x:c r="AX811" s="3"/>
      <x:c r="AY811" s="3"/>
      <x:c r="AZ811" s="3"/>
      <x:c r="BA811" s="3"/>
      <x:c r="BC811" s="3"/>
      <x:c r="BD811" s="3"/>
      <x:c r="BE811" s="3"/>
      <x:c r="BF811" s="3"/>
      <x:c r="BG811" s="3"/>
      <x:c r="BH811" s="13"/>
      <x:c r="BI811" s="13"/>
      <x:c r="BJ811" s="13"/>
      <x:c r="BK811" s="13"/>
      <x:c r="BL811" s="13"/>
      <x:c r="BM811" s="13"/>
      <x:c r="BN811" s="13"/>
      <x:c r="BO811" s="13"/>
      <x:c r="BP811" s="13"/>
      <x:c r="BQ811" s="13"/>
      <x:c r="BR811" s="13"/>
      <x:c r="BS811" s="13"/>
      <x:c r="BT811" s="13"/>
      <x:c r="BU811" s="13"/>
      <x:c r="BV811" s="13"/>
      <x:c r="BW811" s="13"/>
      <x:c r="BX811" s="13"/>
      <x:c r="BY811" s="13"/>
      <x:c r="BZ811" s="13"/>
      <x:c r="CA811" s="13"/>
      <x:c r="CB811" s="13"/>
      <x:c r="CC811" s="13"/>
      <x:c r="CD811" s="13"/>
      <x:c r="CE811" s="13"/>
      <x:c r="CF811" s="13"/>
      <x:c r="CG811" s="13"/>
    </x:row>
    <x:row r="812" ht="14.25" customHeight="1">
      <x:c r="AA812" s="3"/>
      <x:c r="AF812" s="3"/>
      <x:c r="AG812" s="3"/>
      <x:c r="AH812" s="3"/>
      <x:c r="AI812" s="3"/>
      <x:c r="AJ812" s="3"/>
      <x:c r="AK812" s="3"/>
      <x:c r="AL812" s="3"/>
      <x:c r="AM812" s="3"/>
      <x:c r="AT812" s="3"/>
      <x:c r="AU812" s="3"/>
      <x:c r="AV812" s="3"/>
      <x:c r="AW812" s="3"/>
      <x:c r="AX812" s="3"/>
      <x:c r="AY812" s="3"/>
      <x:c r="AZ812" s="3"/>
      <x:c r="BA812" s="3"/>
      <x:c r="BC812" s="3"/>
      <x:c r="BD812" s="3"/>
      <x:c r="BE812" s="3"/>
      <x:c r="BF812" s="3"/>
      <x:c r="BG812" s="3"/>
      <x:c r="BH812" s="13"/>
      <x:c r="BI812" s="13"/>
      <x:c r="BJ812" s="13"/>
      <x:c r="BK812" s="13"/>
      <x:c r="BL812" s="13"/>
      <x:c r="BM812" s="13"/>
      <x:c r="BN812" s="13"/>
      <x:c r="BO812" s="13"/>
      <x:c r="BP812" s="13"/>
      <x:c r="BQ812" s="13"/>
      <x:c r="BR812" s="13"/>
      <x:c r="BS812" s="13"/>
      <x:c r="BT812" s="13"/>
      <x:c r="BU812" s="13"/>
      <x:c r="BV812" s="13"/>
      <x:c r="BW812" s="13"/>
      <x:c r="BX812" s="13"/>
      <x:c r="BY812" s="13"/>
      <x:c r="BZ812" s="13"/>
      <x:c r="CA812" s="13"/>
      <x:c r="CB812" s="13"/>
      <x:c r="CC812" s="13"/>
      <x:c r="CD812" s="13"/>
      <x:c r="CE812" s="13"/>
      <x:c r="CF812" s="13"/>
      <x:c r="CG812" s="13"/>
    </x:row>
    <x:row r="813" ht="14.25" customHeight="1">
      <x:c r="AA813" s="3"/>
      <x:c r="AF813" s="3"/>
      <x:c r="AG813" s="3"/>
      <x:c r="AH813" s="3"/>
      <x:c r="AI813" s="3"/>
      <x:c r="AJ813" s="3"/>
      <x:c r="AK813" s="3"/>
      <x:c r="AL813" s="3"/>
      <x:c r="AM813" s="3"/>
      <x:c r="AT813" s="3"/>
      <x:c r="AU813" s="3"/>
      <x:c r="AV813" s="3"/>
      <x:c r="AW813" s="3"/>
      <x:c r="AX813" s="3"/>
      <x:c r="AY813" s="3"/>
      <x:c r="AZ813" s="3"/>
      <x:c r="BA813" s="3"/>
      <x:c r="BC813" s="3"/>
      <x:c r="BD813" s="3"/>
      <x:c r="BE813" s="3"/>
      <x:c r="BF813" s="3"/>
      <x:c r="BG813" s="3"/>
      <x:c r="BH813" s="13"/>
      <x:c r="BI813" s="13"/>
      <x:c r="BJ813" s="13"/>
      <x:c r="BK813" s="13"/>
      <x:c r="BL813" s="13"/>
      <x:c r="BM813" s="13"/>
      <x:c r="BN813" s="13"/>
      <x:c r="BO813" s="13"/>
      <x:c r="BP813" s="13"/>
      <x:c r="BQ813" s="13"/>
      <x:c r="BR813" s="13"/>
      <x:c r="BS813" s="13"/>
      <x:c r="BT813" s="13"/>
      <x:c r="BU813" s="13"/>
      <x:c r="BV813" s="13"/>
      <x:c r="BW813" s="13"/>
      <x:c r="BX813" s="13"/>
      <x:c r="BY813" s="13"/>
      <x:c r="BZ813" s="13"/>
      <x:c r="CA813" s="13"/>
      <x:c r="CB813" s="13"/>
      <x:c r="CC813" s="13"/>
      <x:c r="CD813" s="13"/>
      <x:c r="CE813" s="13"/>
      <x:c r="CF813" s="13"/>
      <x:c r="CG813" s="13"/>
    </x:row>
    <x:row r="814" ht="14.25" customHeight="1">
      <x:c r="AA814" s="3"/>
      <x:c r="AF814" s="3"/>
      <x:c r="AG814" s="3"/>
      <x:c r="AH814" s="3"/>
      <x:c r="AI814" s="3"/>
      <x:c r="AJ814" s="3"/>
      <x:c r="AK814" s="3"/>
      <x:c r="AL814" s="3"/>
      <x:c r="AM814" s="3"/>
      <x:c r="AT814" s="3"/>
      <x:c r="AU814" s="3"/>
      <x:c r="AV814" s="3"/>
      <x:c r="AW814" s="3"/>
      <x:c r="AX814" s="3"/>
      <x:c r="AY814" s="3"/>
      <x:c r="AZ814" s="3"/>
      <x:c r="BA814" s="3"/>
      <x:c r="BC814" s="3"/>
      <x:c r="BD814" s="3"/>
      <x:c r="BE814" s="3"/>
      <x:c r="BF814" s="3"/>
      <x:c r="BG814" s="3"/>
      <x:c r="BH814" s="13"/>
      <x:c r="BI814" s="13"/>
      <x:c r="BJ814" s="13"/>
      <x:c r="BK814" s="13"/>
      <x:c r="BL814" s="13"/>
      <x:c r="BM814" s="13"/>
      <x:c r="BN814" s="13"/>
      <x:c r="BO814" s="13"/>
      <x:c r="BP814" s="13"/>
      <x:c r="BQ814" s="13"/>
      <x:c r="BR814" s="13"/>
      <x:c r="BS814" s="13"/>
      <x:c r="BT814" s="13"/>
      <x:c r="BU814" s="13"/>
      <x:c r="BV814" s="13"/>
      <x:c r="BW814" s="13"/>
      <x:c r="BX814" s="13"/>
      <x:c r="BY814" s="13"/>
      <x:c r="BZ814" s="13"/>
      <x:c r="CA814" s="13"/>
      <x:c r="CB814" s="13"/>
      <x:c r="CC814" s="13"/>
      <x:c r="CD814" s="13"/>
      <x:c r="CE814" s="13"/>
      <x:c r="CF814" s="13"/>
      <x:c r="CG814" s="13"/>
    </x:row>
    <x:row r="815" ht="14.25" customHeight="1">
      <x:c r="AA815" s="3"/>
      <x:c r="AF815" s="3"/>
      <x:c r="AG815" s="3"/>
      <x:c r="AH815" s="3"/>
      <x:c r="AI815" s="3"/>
      <x:c r="AJ815" s="3"/>
      <x:c r="AK815" s="3"/>
      <x:c r="AL815" s="3"/>
      <x:c r="AM815" s="3"/>
      <x:c r="AT815" s="3"/>
      <x:c r="AU815" s="3"/>
      <x:c r="AV815" s="3"/>
      <x:c r="AW815" s="3"/>
      <x:c r="AX815" s="3"/>
      <x:c r="AY815" s="3"/>
      <x:c r="AZ815" s="3"/>
      <x:c r="BA815" s="3"/>
      <x:c r="BC815" s="3"/>
      <x:c r="BD815" s="3"/>
      <x:c r="BE815" s="3"/>
      <x:c r="BF815" s="3"/>
      <x:c r="BG815" s="3"/>
      <x:c r="BH815" s="13"/>
      <x:c r="BI815" s="13"/>
      <x:c r="BJ815" s="13"/>
      <x:c r="BK815" s="13"/>
      <x:c r="BL815" s="13"/>
      <x:c r="BM815" s="13"/>
      <x:c r="BN815" s="13"/>
      <x:c r="BO815" s="13"/>
      <x:c r="BP815" s="13"/>
      <x:c r="BQ815" s="13"/>
      <x:c r="BR815" s="13"/>
      <x:c r="BS815" s="13"/>
      <x:c r="BT815" s="13"/>
      <x:c r="BU815" s="13"/>
      <x:c r="BV815" s="13"/>
      <x:c r="BW815" s="13"/>
      <x:c r="BX815" s="13"/>
      <x:c r="BY815" s="13"/>
      <x:c r="BZ815" s="13"/>
      <x:c r="CA815" s="13"/>
      <x:c r="CB815" s="13"/>
      <x:c r="CC815" s="13"/>
      <x:c r="CD815" s="13"/>
      <x:c r="CE815" s="13"/>
      <x:c r="CF815" s="13"/>
      <x:c r="CG815" s="13"/>
    </x:row>
    <x:row r="816" ht="14.25" customHeight="1">
      <x:c r="AA816" s="3"/>
      <x:c r="AF816" s="3"/>
      <x:c r="AG816" s="3"/>
      <x:c r="AH816" s="3"/>
      <x:c r="AI816" s="3"/>
      <x:c r="AJ816" s="3"/>
      <x:c r="AK816" s="3"/>
      <x:c r="AL816" s="3"/>
      <x:c r="AM816" s="3"/>
      <x:c r="AT816" s="3"/>
      <x:c r="AU816" s="3"/>
      <x:c r="AV816" s="3"/>
      <x:c r="AW816" s="3"/>
      <x:c r="AX816" s="3"/>
      <x:c r="AY816" s="3"/>
      <x:c r="AZ816" s="3"/>
      <x:c r="BA816" s="3"/>
      <x:c r="BC816" s="3"/>
      <x:c r="BD816" s="3"/>
      <x:c r="BE816" s="3"/>
      <x:c r="BF816" s="3"/>
      <x:c r="BG816" s="3"/>
      <x:c r="BH816" s="13"/>
      <x:c r="BI816" s="13"/>
      <x:c r="BJ816" s="13"/>
      <x:c r="BK816" s="13"/>
      <x:c r="BL816" s="13"/>
      <x:c r="BM816" s="13"/>
      <x:c r="BN816" s="13"/>
      <x:c r="BO816" s="13"/>
      <x:c r="BP816" s="13"/>
      <x:c r="BQ816" s="13"/>
      <x:c r="BR816" s="13"/>
      <x:c r="BS816" s="13"/>
      <x:c r="BT816" s="13"/>
      <x:c r="BU816" s="13"/>
      <x:c r="BV816" s="13"/>
      <x:c r="BW816" s="13"/>
      <x:c r="BX816" s="13"/>
      <x:c r="BY816" s="13"/>
      <x:c r="BZ816" s="13"/>
      <x:c r="CA816" s="13"/>
      <x:c r="CB816" s="13"/>
      <x:c r="CC816" s="13"/>
      <x:c r="CD816" s="13"/>
      <x:c r="CE816" s="13"/>
      <x:c r="CF816" s="13"/>
      <x:c r="CG816" s="13"/>
    </x:row>
    <x:row r="817" ht="14.25" customHeight="1">
      <x:c r="AA817" s="3"/>
      <x:c r="AF817" s="3"/>
      <x:c r="AG817" s="3"/>
      <x:c r="AH817" s="3"/>
      <x:c r="AI817" s="3"/>
      <x:c r="AJ817" s="3"/>
      <x:c r="AK817" s="3"/>
      <x:c r="AL817" s="3"/>
      <x:c r="AM817" s="3"/>
      <x:c r="AT817" s="3"/>
      <x:c r="AU817" s="3"/>
      <x:c r="AV817" s="3"/>
      <x:c r="AW817" s="3"/>
      <x:c r="AX817" s="3"/>
      <x:c r="AY817" s="3"/>
      <x:c r="AZ817" s="3"/>
      <x:c r="BA817" s="3"/>
      <x:c r="BC817" s="3"/>
      <x:c r="BD817" s="3"/>
      <x:c r="BE817" s="3"/>
      <x:c r="BF817" s="3"/>
      <x:c r="BG817" s="3"/>
      <x:c r="BH817" s="13"/>
      <x:c r="BI817" s="13"/>
      <x:c r="BJ817" s="13"/>
      <x:c r="BK817" s="13"/>
      <x:c r="BL817" s="13"/>
      <x:c r="BM817" s="13"/>
      <x:c r="BN817" s="13"/>
      <x:c r="BO817" s="13"/>
      <x:c r="BP817" s="13"/>
      <x:c r="BQ817" s="13"/>
      <x:c r="BR817" s="13"/>
      <x:c r="BS817" s="13"/>
      <x:c r="BT817" s="13"/>
      <x:c r="BU817" s="13"/>
      <x:c r="BV817" s="13"/>
      <x:c r="BW817" s="13"/>
      <x:c r="BX817" s="13"/>
      <x:c r="BY817" s="13"/>
      <x:c r="BZ817" s="13"/>
      <x:c r="CA817" s="13"/>
      <x:c r="CB817" s="13"/>
      <x:c r="CC817" s="13"/>
      <x:c r="CD817" s="13"/>
      <x:c r="CE817" s="13"/>
      <x:c r="CF817" s="13"/>
      <x:c r="CG817" s="13"/>
    </x:row>
    <x:row r="818" ht="14.25" customHeight="1">
      <x:c r="AA818" s="3"/>
      <x:c r="AF818" s="3"/>
      <x:c r="AG818" s="3"/>
      <x:c r="AH818" s="3"/>
      <x:c r="AI818" s="3"/>
      <x:c r="AJ818" s="3"/>
      <x:c r="AK818" s="3"/>
      <x:c r="AL818" s="3"/>
      <x:c r="AM818" s="3"/>
      <x:c r="AT818" s="3"/>
      <x:c r="AU818" s="3"/>
      <x:c r="AV818" s="3"/>
      <x:c r="AW818" s="3"/>
      <x:c r="AX818" s="3"/>
      <x:c r="AY818" s="3"/>
      <x:c r="AZ818" s="3"/>
      <x:c r="BA818" s="3"/>
      <x:c r="BC818" s="3"/>
      <x:c r="BD818" s="3"/>
      <x:c r="BE818" s="3"/>
      <x:c r="BF818" s="3"/>
      <x:c r="BG818" s="3"/>
      <x:c r="BH818" s="13"/>
      <x:c r="BI818" s="13"/>
      <x:c r="BJ818" s="13"/>
      <x:c r="BK818" s="13"/>
      <x:c r="BL818" s="13"/>
      <x:c r="BM818" s="13"/>
      <x:c r="BN818" s="13"/>
      <x:c r="BO818" s="13"/>
      <x:c r="BP818" s="13"/>
      <x:c r="BQ818" s="13"/>
      <x:c r="BR818" s="13"/>
      <x:c r="BS818" s="13"/>
      <x:c r="BT818" s="13"/>
      <x:c r="BU818" s="13"/>
      <x:c r="BV818" s="13"/>
      <x:c r="BW818" s="13"/>
      <x:c r="BX818" s="13"/>
      <x:c r="BY818" s="13"/>
      <x:c r="BZ818" s="13"/>
      <x:c r="CA818" s="13"/>
      <x:c r="CB818" s="13"/>
      <x:c r="CC818" s="13"/>
      <x:c r="CD818" s="13"/>
      <x:c r="CE818" s="13"/>
      <x:c r="CF818" s="13"/>
      <x:c r="CG818" s="13"/>
    </x:row>
    <x:row r="819" ht="14.25" customHeight="1">
      <x:c r="AA819" s="3"/>
      <x:c r="AF819" s="3"/>
      <x:c r="AG819" s="3"/>
      <x:c r="AH819" s="3"/>
      <x:c r="AI819" s="3"/>
      <x:c r="AJ819" s="3"/>
      <x:c r="AK819" s="3"/>
      <x:c r="AL819" s="3"/>
      <x:c r="AM819" s="3"/>
      <x:c r="AT819" s="3"/>
      <x:c r="AU819" s="3"/>
      <x:c r="AV819" s="3"/>
      <x:c r="AW819" s="3"/>
      <x:c r="AX819" s="3"/>
      <x:c r="AY819" s="3"/>
      <x:c r="AZ819" s="3"/>
      <x:c r="BA819" s="3"/>
      <x:c r="BC819" s="3"/>
      <x:c r="BD819" s="3"/>
      <x:c r="BE819" s="3"/>
      <x:c r="BF819" s="3"/>
      <x:c r="BG819" s="3"/>
      <x:c r="BH819" s="13"/>
      <x:c r="BI819" s="13"/>
      <x:c r="BJ819" s="13"/>
      <x:c r="BK819" s="13"/>
      <x:c r="BL819" s="13"/>
      <x:c r="BM819" s="13"/>
      <x:c r="BN819" s="13"/>
      <x:c r="BO819" s="13"/>
      <x:c r="BP819" s="13"/>
      <x:c r="BQ819" s="13"/>
      <x:c r="BR819" s="13"/>
      <x:c r="BS819" s="13"/>
      <x:c r="BT819" s="13"/>
      <x:c r="BU819" s="13"/>
      <x:c r="BV819" s="13"/>
      <x:c r="BW819" s="13"/>
      <x:c r="BX819" s="13"/>
      <x:c r="BY819" s="13"/>
      <x:c r="BZ819" s="13"/>
      <x:c r="CA819" s="13"/>
      <x:c r="CB819" s="13"/>
      <x:c r="CC819" s="13"/>
      <x:c r="CD819" s="13"/>
      <x:c r="CE819" s="13"/>
      <x:c r="CF819" s="13"/>
      <x:c r="CG819" s="13"/>
    </x:row>
    <x:row r="820" ht="14.25" customHeight="1">
      <x:c r="AA820" s="3"/>
      <x:c r="AF820" s="3"/>
      <x:c r="AG820" s="3"/>
      <x:c r="AH820" s="3"/>
      <x:c r="AI820" s="3"/>
      <x:c r="AJ820" s="3"/>
      <x:c r="AK820" s="3"/>
      <x:c r="AL820" s="3"/>
      <x:c r="AM820" s="3"/>
      <x:c r="AT820" s="3"/>
      <x:c r="AU820" s="3"/>
      <x:c r="AV820" s="3"/>
      <x:c r="AW820" s="3"/>
      <x:c r="AX820" s="3"/>
      <x:c r="AY820" s="3"/>
      <x:c r="AZ820" s="3"/>
      <x:c r="BA820" s="3"/>
      <x:c r="BC820" s="3"/>
      <x:c r="BD820" s="3"/>
      <x:c r="BE820" s="3"/>
      <x:c r="BF820" s="3"/>
      <x:c r="BG820" s="3"/>
      <x:c r="BH820" s="13"/>
      <x:c r="BI820" s="13"/>
      <x:c r="BJ820" s="13"/>
      <x:c r="BK820" s="13"/>
      <x:c r="BL820" s="13"/>
      <x:c r="BM820" s="13"/>
      <x:c r="BN820" s="13"/>
      <x:c r="BO820" s="13"/>
      <x:c r="BP820" s="13"/>
      <x:c r="BQ820" s="13"/>
      <x:c r="BR820" s="13"/>
      <x:c r="BS820" s="13"/>
      <x:c r="BT820" s="13"/>
      <x:c r="BU820" s="13"/>
      <x:c r="BV820" s="13"/>
      <x:c r="BW820" s="13"/>
      <x:c r="BX820" s="13"/>
      <x:c r="BY820" s="13"/>
      <x:c r="BZ820" s="13"/>
      <x:c r="CA820" s="13"/>
      <x:c r="CB820" s="13"/>
      <x:c r="CC820" s="13"/>
      <x:c r="CD820" s="13"/>
      <x:c r="CE820" s="13"/>
      <x:c r="CF820" s="13"/>
      <x:c r="CG820" s="13"/>
    </x:row>
    <x:row r="821" ht="14.25" customHeight="1">
      <x:c r="AA821" s="3"/>
      <x:c r="AF821" s="3"/>
      <x:c r="AG821" s="3"/>
      <x:c r="AH821" s="3"/>
      <x:c r="AI821" s="3"/>
      <x:c r="AJ821" s="3"/>
      <x:c r="AK821" s="3"/>
      <x:c r="AL821" s="3"/>
      <x:c r="AM821" s="3"/>
      <x:c r="AT821" s="3"/>
      <x:c r="AU821" s="3"/>
      <x:c r="AV821" s="3"/>
      <x:c r="AW821" s="3"/>
      <x:c r="AX821" s="3"/>
      <x:c r="AY821" s="3"/>
      <x:c r="AZ821" s="3"/>
      <x:c r="BA821" s="3"/>
      <x:c r="BC821" s="3"/>
      <x:c r="BD821" s="3"/>
      <x:c r="BE821" s="3"/>
      <x:c r="BF821" s="3"/>
      <x:c r="BG821" s="3"/>
      <x:c r="BH821" s="13"/>
      <x:c r="BI821" s="13"/>
      <x:c r="BJ821" s="13"/>
      <x:c r="BK821" s="13"/>
      <x:c r="BL821" s="13"/>
      <x:c r="BM821" s="13"/>
      <x:c r="BN821" s="13"/>
      <x:c r="BO821" s="13"/>
      <x:c r="BP821" s="13"/>
      <x:c r="BQ821" s="13"/>
      <x:c r="BR821" s="13"/>
      <x:c r="BS821" s="13"/>
      <x:c r="BT821" s="13"/>
      <x:c r="BU821" s="13"/>
      <x:c r="BV821" s="13"/>
      <x:c r="BW821" s="13"/>
      <x:c r="BX821" s="13"/>
      <x:c r="BY821" s="13"/>
      <x:c r="BZ821" s="13"/>
      <x:c r="CA821" s="13"/>
      <x:c r="CB821" s="13"/>
      <x:c r="CC821" s="13"/>
      <x:c r="CD821" s="13"/>
      <x:c r="CE821" s="13"/>
      <x:c r="CF821" s="13"/>
      <x:c r="CG821" s="13"/>
    </x:row>
    <x:row r="822" ht="14.25" customHeight="1">
      <x:c r="AA822" s="3"/>
      <x:c r="AF822" s="3"/>
      <x:c r="AG822" s="3"/>
      <x:c r="AH822" s="3"/>
      <x:c r="AI822" s="3"/>
      <x:c r="AJ822" s="3"/>
      <x:c r="AK822" s="3"/>
      <x:c r="AL822" s="3"/>
      <x:c r="AM822" s="3"/>
      <x:c r="AT822" s="3"/>
      <x:c r="AU822" s="3"/>
      <x:c r="AV822" s="3"/>
      <x:c r="AW822" s="3"/>
      <x:c r="AX822" s="3"/>
      <x:c r="AY822" s="3"/>
      <x:c r="AZ822" s="3"/>
      <x:c r="BA822" s="3"/>
      <x:c r="BC822" s="3"/>
      <x:c r="BD822" s="3"/>
      <x:c r="BE822" s="3"/>
      <x:c r="BF822" s="3"/>
      <x:c r="BG822" s="3"/>
      <x:c r="BH822" s="13"/>
      <x:c r="BI822" s="13"/>
      <x:c r="BJ822" s="13"/>
      <x:c r="BK822" s="13"/>
      <x:c r="BL822" s="13"/>
      <x:c r="BM822" s="13"/>
      <x:c r="BN822" s="13"/>
      <x:c r="BO822" s="13"/>
      <x:c r="BP822" s="13"/>
      <x:c r="BQ822" s="13"/>
      <x:c r="BR822" s="13"/>
      <x:c r="BS822" s="13"/>
      <x:c r="BT822" s="13"/>
      <x:c r="BU822" s="13"/>
      <x:c r="BV822" s="13"/>
      <x:c r="BW822" s="13"/>
      <x:c r="BX822" s="13"/>
      <x:c r="BY822" s="13"/>
      <x:c r="BZ822" s="13"/>
      <x:c r="CA822" s="13"/>
      <x:c r="CB822" s="13"/>
      <x:c r="CC822" s="13"/>
      <x:c r="CD822" s="13"/>
      <x:c r="CE822" s="13"/>
      <x:c r="CF822" s="13"/>
      <x:c r="CG822" s="13"/>
    </x:row>
    <x:row r="823" ht="14.25" customHeight="1">
      <x:c r="AA823" s="3"/>
      <x:c r="AF823" s="3"/>
      <x:c r="AG823" s="3"/>
      <x:c r="AH823" s="3"/>
      <x:c r="AI823" s="3"/>
      <x:c r="AJ823" s="3"/>
      <x:c r="AK823" s="3"/>
      <x:c r="AL823" s="3"/>
      <x:c r="AM823" s="3"/>
      <x:c r="AT823" s="3"/>
      <x:c r="AU823" s="3"/>
      <x:c r="AV823" s="3"/>
      <x:c r="AW823" s="3"/>
      <x:c r="AX823" s="3"/>
      <x:c r="AY823" s="3"/>
      <x:c r="AZ823" s="3"/>
      <x:c r="BA823" s="3"/>
      <x:c r="BC823" s="3"/>
      <x:c r="BD823" s="3"/>
      <x:c r="BE823" s="3"/>
      <x:c r="BF823" s="3"/>
      <x:c r="BG823" s="3"/>
      <x:c r="BH823" s="13"/>
      <x:c r="BI823" s="13"/>
      <x:c r="BJ823" s="13"/>
      <x:c r="BK823" s="13"/>
      <x:c r="BL823" s="13"/>
      <x:c r="BM823" s="13"/>
      <x:c r="BN823" s="13"/>
      <x:c r="BO823" s="13"/>
      <x:c r="BP823" s="13"/>
      <x:c r="BQ823" s="13"/>
      <x:c r="BR823" s="13"/>
      <x:c r="BS823" s="13"/>
      <x:c r="BT823" s="13"/>
      <x:c r="BU823" s="13"/>
      <x:c r="BV823" s="13"/>
      <x:c r="BW823" s="13"/>
      <x:c r="BX823" s="13"/>
      <x:c r="BY823" s="13"/>
      <x:c r="BZ823" s="13"/>
      <x:c r="CA823" s="13"/>
      <x:c r="CB823" s="13"/>
      <x:c r="CC823" s="13"/>
      <x:c r="CD823" s="13"/>
      <x:c r="CE823" s="13"/>
      <x:c r="CF823" s="13"/>
      <x:c r="CG823" s="13"/>
    </x:row>
    <x:row r="824" ht="14.25" customHeight="1">
      <x:c r="AA824" s="3"/>
      <x:c r="AF824" s="3"/>
      <x:c r="AG824" s="3"/>
      <x:c r="AH824" s="3"/>
      <x:c r="AI824" s="3"/>
      <x:c r="AJ824" s="3"/>
      <x:c r="AK824" s="3"/>
      <x:c r="AL824" s="3"/>
      <x:c r="AM824" s="3"/>
      <x:c r="AT824" s="3"/>
      <x:c r="AU824" s="3"/>
      <x:c r="AV824" s="3"/>
      <x:c r="AW824" s="3"/>
      <x:c r="AX824" s="3"/>
      <x:c r="AY824" s="3"/>
      <x:c r="AZ824" s="3"/>
      <x:c r="BA824" s="3"/>
      <x:c r="BC824" s="3"/>
      <x:c r="BD824" s="3"/>
      <x:c r="BE824" s="3"/>
      <x:c r="BF824" s="3"/>
      <x:c r="BG824" s="3"/>
      <x:c r="BH824" s="13"/>
      <x:c r="BI824" s="13"/>
      <x:c r="BJ824" s="13"/>
      <x:c r="BK824" s="13"/>
      <x:c r="BL824" s="13"/>
      <x:c r="BM824" s="13"/>
      <x:c r="BN824" s="13"/>
      <x:c r="BO824" s="13"/>
      <x:c r="BP824" s="13"/>
      <x:c r="BQ824" s="13"/>
      <x:c r="BR824" s="13"/>
      <x:c r="BS824" s="13"/>
      <x:c r="BT824" s="13"/>
      <x:c r="BU824" s="13"/>
      <x:c r="BV824" s="13"/>
      <x:c r="BW824" s="13"/>
      <x:c r="BX824" s="13"/>
      <x:c r="BY824" s="13"/>
      <x:c r="BZ824" s="13"/>
      <x:c r="CA824" s="13"/>
      <x:c r="CB824" s="13"/>
      <x:c r="CC824" s="13"/>
      <x:c r="CD824" s="13"/>
      <x:c r="CE824" s="13"/>
      <x:c r="CF824" s="13"/>
      <x:c r="CG824" s="13"/>
    </x:row>
    <x:row r="825" ht="14.25" customHeight="1">
      <x:c r="AA825" s="3"/>
      <x:c r="AF825" s="3"/>
      <x:c r="AG825" s="3"/>
      <x:c r="AH825" s="3"/>
      <x:c r="AI825" s="3"/>
      <x:c r="AJ825" s="3"/>
      <x:c r="AK825" s="3"/>
      <x:c r="AL825" s="3"/>
      <x:c r="AM825" s="3"/>
      <x:c r="AT825" s="3"/>
      <x:c r="AU825" s="3"/>
      <x:c r="AV825" s="3"/>
      <x:c r="AW825" s="3"/>
      <x:c r="AX825" s="3"/>
      <x:c r="AY825" s="3"/>
      <x:c r="AZ825" s="3"/>
      <x:c r="BA825" s="3"/>
      <x:c r="BC825" s="3"/>
      <x:c r="BD825" s="3"/>
      <x:c r="BE825" s="3"/>
      <x:c r="BF825" s="3"/>
      <x:c r="BG825" s="3"/>
      <x:c r="BH825" s="13"/>
      <x:c r="BI825" s="13"/>
      <x:c r="BJ825" s="13"/>
      <x:c r="BK825" s="13"/>
      <x:c r="BL825" s="13"/>
      <x:c r="BM825" s="13"/>
      <x:c r="BN825" s="13"/>
      <x:c r="BO825" s="13"/>
      <x:c r="BP825" s="13"/>
      <x:c r="BQ825" s="13"/>
      <x:c r="BR825" s="13"/>
      <x:c r="BS825" s="13"/>
      <x:c r="BT825" s="13"/>
      <x:c r="BU825" s="13"/>
      <x:c r="BV825" s="13"/>
      <x:c r="BW825" s="13"/>
      <x:c r="BX825" s="13"/>
      <x:c r="BY825" s="13"/>
      <x:c r="BZ825" s="13"/>
      <x:c r="CA825" s="13"/>
      <x:c r="CB825" s="13"/>
      <x:c r="CC825" s="13"/>
      <x:c r="CD825" s="13"/>
      <x:c r="CE825" s="13"/>
      <x:c r="CF825" s="13"/>
      <x:c r="CG825" s="13"/>
    </x:row>
    <x:row r="826" ht="14.25" customHeight="1">
      <x:c r="AA826" s="3"/>
      <x:c r="AF826" s="3"/>
      <x:c r="AG826" s="3"/>
      <x:c r="AH826" s="3"/>
      <x:c r="AI826" s="3"/>
      <x:c r="AJ826" s="3"/>
      <x:c r="AK826" s="3"/>
      <x:c r="AL826" s="3"/>
      <x:c r="AM826" s="3"/>
      <x:c r="AT826" s="3"/>
      <x:c r="AU826" s="3"/>
      <x:c r="AV826" s="3"/>
      <x:c r="AW826" s="3"/>
      <x:c r="AX826" s="3"/>
      <x:c r="AY826" s="3"/>
      <x:c r="AZ826" s="3"/>
      <x:c r="BA826" s="3"/>
      <x:c r="BC826" s="3"/>
      <x:c r="BD826" s="3"/>
      <x:c r="BE826" s="3"/>
      <x:c r="BF826" s="3"/>
      <x:c r="BG826" s="3"/>
      <x:c r="BH826" s="13"/>
      <x:c r="BI826" s="13"/>
      <x:c r="BJ826" s="13"/>
      <x:c r="BK826" s="13"/>
      <x:c r="BL826" s="13"/>
      <x:c r="BM826" s="13"/>
      <x:c r="BN826" s="13"/>
      <x:c r="BO826" s="13"/>
      <x:c r="BP826" s="13"/>
      <x:c r="BQ826" s="13"/>
      <x:c r="BR826" s="13"/>
      <x:c r="BS826" s="13"/>
      <x:c r="BT826" s="13"/>
      <x:c r="BU826" s="13"/>
      <x:c r="BV826" s="13"/>
      <x:c r="BW826" s="13"/>
      <x:c r="BX826" s="13"/>
      <x:c r="BY826" s="13"/>
      <x:c r="BZ826" s="13"/>
      <x:c r="CA826" s="13"/>
      <x:c r="CB826" s="13"/>
      <x:c r="CC826" s="13"/>
      <x:c r="CD826" s="13"/>
      <x:c r="CE826" s="13"/>
      <x:c r="CF826" s="13"/>
      <x:c r="CG826" s="13"/>
    </x:row>
    <x:row r="827" ht="14.25" customHeight="1">
      <x:c r="AA827" s="3"/>
      <x:c r="AF827" s="3"/>
      <x:c r="AG827" s="3"/>
      <x:c r="AH827" s="3"/>
      <x:c r="AI827" s="3"/>
      <x:c r="AJ827" s="3"/>
      <x:c r="AK827" s="3"/>
      <x:c r="AL827" s="3"/>
      <x:c r="AM827" s="3"/>
      <x:c r="AT827" s="3"/>
      <x:c r="AU827" s="3"/>
      <x:c r="AV827" s="3"/>
      <x:c r="AW827" s="3"/>
      <x:c r="AX827" s="3"/>
      <x:c r="AY827" s="3"/>
      <x:c r="AZ827" s="3"/>
      <x:c r="BA827" s="3"/>
      <x:c r="BC827" s="3"/>
      <x:c r="BD827" s="3"/>
      <x:c r="BE827" s="3"/>
      <x:c r="BF827" s="3"/>
      <x:c r="BG827" s="3"/>
      <x:c r="BH827" s="13"/>
      <x:c r="BI827" s="13"/>
      <x:c r="BJ827" s="13"/>
      <x:c r="BK827" s="13"/>
      <x:c r="BL827" s="13"/>
      <x:c r="BM827" s="13"/>
      <x:c r="BN827" s="13"/>
      <x:c r="BO827" s="13"/>
      <x:c r="BP827" s="13"/>
      <x:c r="BQ827" s="13"/>
      <x:c r="BR827" s="13"/>
      <x:c r="BS827" s="13"/>
      <x:c r="BT827" s="13"/>
      <x:c r="BU827" s="13"/>
      <x:c r="BV827" s="13"/>
      <x:c r="BW827" s="13"/>
      <x:c r="BX827" s="13"/>
      <x:c r="BY827" s="13"/>
      <x:c r="BZ827" s="13"/>
      <x:c r="CA827" s="13"/>
      <x:c r="CB827" s="13"/>
      <x:c r="CC827" s="13"/>
      <x:c r="CD827" s="13"/>
      <x:c r="CE827" s="13"/>
      <x:c r="CF827" s="13"/>
      <x:c r="CG827" s="13"/>
    </x:row>
    <x:row r="828" ht="14.25" customHeight="1">
      <x:c r="AA828" s="3"/>
      <x:c r="AF828" s="3"/>
      <x:c r="AG828" s="3"/>
      <x:c r="AH828" s="3"/>
      <x:c r="AI828" s="3"/>
      <x:c r="AJ828" s="3"/>
      <x:c r="AK828" s="3"/>
      <x:c r="AL828" s="3"/>
      <x:c r="AM828" s="3"/>
      <x:c r="AT828" s="3"/>
      <x:c r="AU828" s="3"/>
      <x:c r="AV828" s="3"/>
      <x:c r="AW828" s="3"/>
      <x:c r="AX828" s="3"/>
      <x:c r="AY828" s="3"/>
      <x:c r="AZ828" s="3"/>
      <x:c r="BA828" s="3"/>
      <x:c r="BC828" s="3"/>
      <x:c r="BD828" s="3"/>
      <x:c r="BE828" s="3"/>
      <x:c r="BF828" s="3"/>
      <x:c r="BG828" s="3"/>
      <x:c r="BH828" s="13"/>
      <x:c r="BI828" s="13"/>
      <x:c r="BJ828" s="13"/>
      <x:c r="BK828" s="13"/>
      <x:c r="BL828" s="13"/>
      <x:c r="BM828" s="13"/>
      <x:c r="BN828" s="13"/>
      <x:c r="BO828" s="13"/>
      <x:c r="BP828" s="13"/>
      <x:c r="BQ828" s="13"/>
      <x:c r="BR828" s="13"/>
      <x:c r="BS828" s="13"/>
      <x:c r="BT828" s="13"/>
      <x:c r="BU828" s="13"/>
      <x:c r="BV828" s="13"/>
      <x:c r="BW828" s="13"/>
      <x:c r="BX828" s="13"/>
      <x:c r="BY828" s="13"/>
      <x:c r="BZ828" s="13"/>
      <x:c r="CA828" s="13"/>
      <x:c r="CB828" s="13"/>
      <x:c r="CC828" s="13"/>
      <x:c r="CD828" s="13"/>
      <x:c r="CE828" s="13"/>
      <x:c r="CF828" s="13"/>
      <x:c r="CG828" s="13"/>
    </x:row>
    <x:row r="829" ht="14.25" customHeight="1">
      <x:c r="AA829" s="3"/>
      <x:c r="AF829" s="3"/>
      <x:c r="AG829" s="3"/>
      <x:c r="AH829" s="3"/>
      <x:c r="AI829" s="3"/>
      <x:c r="AJ829" s="3"/>
      <x:c r="AK829" s="3"/>
      <x:c r="AL829" s="3"/>
      <x:c r="AM829" s="3"/>
      <x:c r="AT829" s="3"/>
      <x:c r="AU829" s="3"/>
      <x:c r="AV829" s="3"/>
      <x:c r="AW829" s="3"/>
      <x:c r="AX829" s="3"/>
      <x:c r="AY829" s="3"/>
      <x:c r="AZ829" s="3"/>
      <x:c r="BA829" s="3"/>
      <x:c r="BC829" s="3"/>
      <x:c r="BD829" s="3"/>
      <x:c r="BE829" s="3"/>
      <x:c r="BF829" s="3"/>
      <x:c r="BG829" s="3"/>
      <x:c r="BH829" s="13"/>
      <x:c r="BI829" s="13"/>
      <x:c r="BJ829" s="13"/>
      <x:c r="BK829" s="13"/>
      <x:c r="BL829" s="13"/>
      <x:c r="BM829" s="13"/>
      <x:c r="BN829" s="13"/>
      <x:c r="BO829" s="13"/>
      <x:c r="BP829" s="13"/>
      <x:c r="BQ829" s="13"/>
      <x:c r="BR829" s="13"/>
      <x:c r="BS829" s="13"/>
      <x:c r="BT829" s="13"/>
      <x:c r="BU829" s="13"/>
      <x:c r="BV829" s="13"/>
      <x:c r="BW829" s="13"/>
      <x:c r="BX829" s="13"/>
      <x:c r="BY829" s="13"/>
      <x:c r="BZ829" s="13"/>
      <x:c r="CA829" s="13"/>
      <x:c r="CB829" s="13"/>
      <x:c r="CC829" s="13"/>
      <x:c r="CD829" s="13"/>
      <x:c r="CE829" s="13"/>
      <x:c r="CF829" s="13"/>
      <x:c r="CG829" s="13"/>
    </x:row>
    <x:row r="830" ht="14.25" customHeight="1">
      <x:c r="AA830" s="3"/>
      <x:c r="AF830" s="3"/>
      <x:c r="AG830" s="3"/>
      <x:c r="AH830" s="3"/>
      <x:c r="AI830" s="3"/>
      <x:c r="AJ830" s="3"/>
      <x:c r="AK830" s="3"/>
      <x:c r="AL830" s="3"/>
      <x:c r="AM830" s="3"/>
      <x:c r="AT830" s="3"/>
      <x:c r="AU830" s="3"/>
      <x:c r="AV830" s="3"/>
      <x:c r="AW830" s="3"/>
      <x:c r="AX830" s="3"/>
      <x:c r="AY830" s="3"/>
      <x:c r="AZ830" s="3"/>
      <x:c r="BA830" s="3"/>
      <x:c r="BC830" s="3"/>
      <x:c r="BD830" s="3"/>
      <x:c r="BE830" s="3"/>
      <x:c r="BF830" s="3"/>
      <x:c r="BG830" s="3"/>
      <x:c r="BH830" s="13"/>
      <x:c r="BI830" s="13"/>
      <x:c r="BJ830" s="13"/>
      <x:c r="BK830" s="13"/>
      <x:c r="BL830" s="13"/>
      <x:c r="BM830" s="13"/>
      <x:c r="BN830" s="13"/>
      <x:c r="BO830" s="13"/>
      <x:c r="BP830" s="13"/>
      <x:c r="BQ830" s="13"/>
      <x:c r="BR830" s="13"/>
      <x:c r="BS830" s="13"/>
      <x:c r="BT830" s="13"/>
      <x:c r="BU830" s="13"/>
      <x:c r="BV830" s="13"/>
      <x:c r="BW830" s="13"/>
      <x:c r="BX830" s="13"/>
      <x:c r="BY830" s="13"/>
      <x:c r="BZ830" s="13"/>
      <x:c r="CA830" s="13"/>
      <x:c r="CB830" s="13"/>
      <x:c r="CC830" s="13"/>
      <x:c r="CD830" s="13"/>
      <x:c r="CE830" s="13"/>
      <x:c r="CF830" s="13"/>
      <x:c r="CG830" s="13"/>
    </x:row>
    <x:row r="831" ht="14.25" customHeight="1">
      <x:c r="AA831" s="3"/>
      <x:c r="AF831" s="3"/>
      <x:c r="AG831" s="3"/>
      <x:c r="AH831" s="3"/>
      <x:c r="AI831" s="3"/>
      <x:c r="AJ831" s="3"/>
      <x:c r="AK831" s="3"/>
      <x:c r="AL831" s="3"/>
      <x:c r="AM831" s="3"/>
      <x:c r="AT831" s="3"/>
      <x:c r="AU831" s="3"/>
      <x:c r="AV831" s="3"/>
      <x:c r="AW831" s="3"/>
      <x:c r="AX831" s="3"/>
      <x:c r="AY831" s="3"/>
      <x:c r="AZ831" s="3"/>
      <x:c r="BA831" s="3"/>
      <x:c r="BC831" s="3"/>
      <x:c r="BD831" s="3"/>
      <x:c r="BE831" s="3"/>
      <x:c r="BF831" s="3"/>
      <x:c r="BG831" s="3"/>
      <x:c r="BH831" s="13"/>
      <x:c r="BI831" s="13"/>
      <x:c r="BJ831" s="13"/>
      <x:c r="BK831" s="13"/>
      <x:c r="BL831" s="13"/>
      <x:c r="BM831" s="13"/>
      <x:c r="BN831" s="13"/>
      <x:c r="BO831" s="13"/>
      <x:c r="BP831" s="13"/>
      <x:c r="BQ831" s="13"/>
      <x:c r="BR831" s="13"/>
      <x:c r="BS831" s="13"/>
      <x:c r="BT831" s="13"/>
      <x:c r="BU831" s="13"/>
      <x:c r="BV831" s="13"/>
      <x:c r="BW831" s="13"/>
      <x:c r="BX831" s="13"/>
      <x:c r="BY831" s="13"/>
      <x:c r="BZ831" s="13"/>
      <x:c r="CA831" s="13"/>
      <x:c r="CB831" s="13"/>
      <x:c r="CC831" s="13"/>
      <x:c r="CD831" s="13"/>
      <x:c r="CE831" s="13"/>
      <x:c r="CF831" s="13"/>
      <x:c r="CG831" s="13"/>
    </x:row>
    <x:row r="832" ht="14.25" customHeight="1">
      <x:c r="AA832" s="3"/>
      <x:c r="AF832" s="3"/>
      <x:c r="AG832" s="3"/>
      <x:c r="AH832" s="3"/>
      <x:c r="AI832" s="3"/>
      <x:c r="AJ832" s="3"/>
      <x:c r="AK832" s="3"/>
      <x:c r="AL832" s="3"/>
      <x:c r="AM832" s="3"/>
      <x:c r="AT832" s="3"/>
      <x:c r="AU832" s="3"/>
      <x:c r="AV832" s="3"/>
      <x:c r="AW832" s="3"/>
      <x:c r="AX832" s="3"/>
      <x:c r="AY832" s="3"/>
      <x:c r="AZ832" s="3"/>
      <x:c r="BA832" s="3"/>
      <x:c r="BC832" s="3"/>
      <x:c r="BD832" s="3"/>
      <x:c r="BE832" s="3"/>
      <x:c r="BF832" s="3"/>
      <x:c r="BG832" s="3"/>
      <x:c r="BH832" s="13"/>
      <x:c r="BI832" s="13"/>
      <x:c r="BJ832" s="13"/>
      <x:c r="BK832" s="13"/>
      <x:c r="BL832" s="13"/>
      <x:c r="BM832" s="13"/>
      <x:c r="BN832" s="13"/>
      <x:c r="BO832" s="13"/>
      <x:c r="BP832" s="13"/>
      <x:c r="BQ832" s="13"/>
      <x:c r="BR832" s="13"/>
      <x:c r="BS832" s="13"/>
      <x:c r="BT832" s="13"/>
      <x:c r="BU832" s="13"/>
      <x:c r="BV832" s="13"/>
      <x:c r="BW832" s="13"/>
      <x:c r="BX832" s="13"/>
      <x:c r="BY832" s="13"/>
      <x:c r="BZ832" s="13"/>
      <x:c r="CA832" s="13"/>
      <x:c r="CB832" s="13"/>
      <x:c r="CC832" s="13"/>
      <x:c r="CD832" s="13"/>
      <x:c r="CE832" s="13"/>
      <x:c r="CF832" s="13"/>
      <x:c r="CG832" s="13"/>
    </x:row>
    <x:row r="833" ht="14.25" customHeight="1">
      <x:c r="AA833" s="3"/>
      <x:c r="AF833" s="3"/>
      <x:c r="AG833" s="3"/>
      <x:c r="AH833" s="3"/>
      <x:c r="AI833" s="3"/>
      <x:c r="AJ833" s="3"/>
      <x:c r="AK833" s="3"/>
      <x:c r="AL833" s="3"/>
      <x:c r="AM833" s="3"/>
      <x:c r="AT833" s="3"/>
      <x:c r="AU833" s="3"/>
      <x:c r="AV833" s="3"/>
      <x:c r="AW833" s="3"/>
      <x:c r="AX833" s="3"/>
      <x:c r="AY833" s="3"/>
      <x:c r="AZ833" s="3"/>
      <x:c r="BA833" s="3"/>
      <x:c r="BC833" s="3"/>
      <x:c r="BD833" s="3"/>
      <x:c r="BE833" s="3"/>
      <x:c r="BF833" s="3"/>
      <x:c r="BG833" s="3"/>
      <x:c r="BH833" s="13"/>
      <x:c r="BI833" s="13"/>
      <x:c r="BJ833" s="13"/>
      <x:c r="BK833" s="13"/>
      <x:c r="BL833" s="13"/>
      <x:c r="BM833" s="13"/>
      <x:c r="BN833" s="13"/>
      <x:c r="BO833" s="13"/>
      <x:c r="BP833" s="13"/>
      <x:c r="BQ833" s="13"/>
      <x:c r="BR833" s="13"/>
      <x:c r="BS833" s="13"/>
      <x:c r="BT833" s="13"/>
      <x:c r="BU833" s="13"/>
      <x:c r="BV833" s="13"/>
      <x:c r="BW833" s="13"/>
      <x:c r="BX833" s="13"/>
      <x:c r="BY833" s="13"/>
      <x:c r="BZ833" s="13"/>
      <x:c r="CA833" s="13"/>
      <x:c r="CB833" s="13"/>
      <x:c r="CC833" s="13"/>
      <x:c r="CD833" s="13"/>
      <x:c r="CE833" s="13"/>
      <x:c r="CF833" s="13"/>
      <x:c r="CG833" s="13"/>
    </x:row>
    <x:row r="834" ht="14.25" customHeight="1">
      <x:c r="AA834" s="3"/>
      <x:c r="AF834" s="3"/>
      <x:c r="AG834" s="3"/>
      <x:c r="AH834" s="3"/>
      <x:c r="AI834" s="3"/>
      <x:c r="AJ834" s="3"/>
      <x:c r="AK834" s="3"/>
      <x:c r="AL834" s="3"/>
      <x:c r="AM834" s="3"/>
      <x:c r="AT834" s="3"/>
      <x:c r="AU834" s="3"/>
      <x:c r="AV834" s="3"/>
      <x:c r="AW834" s="3"/>
      <x:c r="AX834" s="3"/>
      <x:c r="AY834" s="3"/>
      <x:c r="AZ834" s="3"/>
      <x:c r="BA834" s="3"/>
      <x:c r="BC834" s="3"/>
      <x:c r="BD834" s="3"/>
      <x:c r="BE834" s="3"/>
      <x:c r="BF834" s="3"/>
      <x:c r="BG834" s="3"/>
      <x:c r="BH834" s="13"/>
      <x:c r="BI834" s="13"/>
      <x:c r="BJ834" s="13"/>
      <x:c r="BK834" s="13"/>
      <x:c r="BL834" s="13"/>
      <x:c r="BM834" s="13"/>
      <x:c r="BN834" s="13"/>
      <x:c r="BO834" s="13"/>
      <x:c r="BP834" s="13"/>
      <x:c r="BQ834" s="13"/>
      <x:c r="BR834" s="13"/>
      <x:c r="BS834" s="13"/>
      <x:c r="BT834" s="13"/>
      <x:c r="BU834" s="13"/>
      <x:c r="BV834" s="13"/>
      <x:c r="BW834" s="13"/>
      <x:c r="BX834" s="13"/>
      <x:c r="BY834" s="13"/>
      <x:c r="BZ834" s="13"/>
      <x:c r="CA834" s="13"/>
      <x:c r="CB834" s="13"/>
      <x:c r="CC834" s="13"/>
      <x:c r="CD834" s="13"/>
      <x:c r="CE834" s="13"/>
      <x:c r="CF834" s="13"/>
      <x:c r="CG834" s="13"/>
    </x:row>
    <x:row r="835" ht="14.25" customHeight="1">
      <x:c r="AA835" s="3"/>
      <x:c r="AF835" s="3"/>
      <x:c r="AG835" s="3"/>
      <x:c r="AH835" s="3"/>
      <x:c r="AI835" s="3"/>
      <x:c r="AJ835" s="3"/>
      <x:c r="AK835" s="3"/>
      <x:c r="AL835" s="3"/>
      <x:c r="AM835" s="3"/>
      <x:c r="AT835" s="3"/>
      <x:c r="AU835" s="3"/>
      <x:c r="AV835" s="3"/>
      <x:c r="AW835" s="3"/>
      <x:c r="AX835" s="3"/>
      <x:c r="AY835" s="3"/>
      <x:c r="AZ835" s="3"/>
      <x:c r="BA835" s="3"/>
      <x:c r="BC835" s="3"/>
      <x:c r="BD835" s="3"/>
      <x:c r="BE835" s="3"/>
      <x:c r="BF835" s="3"/>
      <x:c r="BG835" s="3"/>
      <x:c r="BH835" s="13"/>
      <x:c r="BI835" s="13"/>
      <x:c r="BJ835" s="13"/>
      <x:c r="BK835" s="13"/>
      <x:c r="BL835" s="13"/>
      <x:c r="BM835" s="13"/>
      <x:c r="BN835" s="13"/>
      <x:c r="BO835" s="13"/>
      <x:c r="BP835" s="13"/>
      <x:c r="BQ835" s="13"/>
      <x:c r="BR835" s="13"/>
      <x:c r="BS835" s="13"/>
      <x:c r="BT835" s="13"/>
      <x:c r="BU835" s="13"/>
      <x:c r="BV835" s="13"/>
      <x:c r="BW835" s="13"/>
      <x:c r="BX835" s="13"/>
      <x:c r="BY835" s="13"/>
      <x:c r="BZ835" s="13"/>
      <x:c r="CA835" s="13"/>
      <x:c r="CB835" s="13"/>
      <x:c r="CC835" s="13"/>
      <x:c r="CD835" s="13"/>
      <x:c r="CE835" s="13"/>
      <x:c r="CF835" s="13"/>
      <x:c r="CG835" s="13"/>
    </x:row>
    <x:row r="836" ht="14.25" customHeight="1">
      <x:c r="AA836" s="3"/>
      <x:c r="AF836" s="3"/>
      <x:c r="AG836" s="3"/>
      <x:c r="AH836" s="3"/>
      <x:c r="AI836" s="3"/>
      <x:c r="AJ836" s="3"/>
      <x:c r="AK836" s="3"/>
      <x:c r="AL836" s="3"/>
      <x:c r="AM836" s="3"/>
      <x:c r="AT836" s="3"/>
      <x:c r="AU836" s="3"/>
      <x:c r="AV836" s="3"/>
      <x:c r="AW836" s="3"/>
      <x:c r="AX836" s="3"/>
      <x:c r="AY836" s="3"/>
      <x:c r="AZ836" s="3"/>
      <x:c r="BA836" s="3"/>
      <x:c r="BC836" s="3"/>
      <x:c r="BD836" s="3"/>
      <x:c r="BE836" s="3"/>
      <x:c r="BF836" s="3"/>
      <x:c r="BG836" s="3"/>
      <x:c r="BH836" s="13"/>
      <x:c r="BI836" s="13"/>
      <x:c r="BJ836" s="13"/>
      <x:c r="BK836" s="13"/>
      <x:c r="BL836" s="13"/>
      <x:c r="BM836" s="13"/>
      <x:c r="BN836" s="13"/>
      <x:c r="BO836" s="13"/>
      <x:c r="BP836" s="13"/>
      <x:c r="BQ836" s="13"/>
      <x:c r="BR836" s="13"/>
      <x:c r="BS836" s="13"/>
      <x:c r="BT836" s="13"/>
      <x:c r="BU836" s="13"/>
      <x:c r="BV836" s="13"/>
      <x:c r="BW836" s="13"/>
      <x:c r="BX836" s="13"/>
      <x:c r="BY836" s="13"/>
      <x:c r="BZ836" s="13"/>
      <x:c r="CA836" s="13"/>
      <x:c r="CB836" s="13"/>
      <x:c r="CC836" s="13"/>
      <x:c r="CD836" s="13"/>
      <x:c r="CE836" s="13"/>
      <x:c r="CF836" s="13"/>
      <x:c r="CG836" s="13"/>
    </x:row>
    <x:row r="837" ht="14.25" customHeight="1">
      <x:c r="AA837" s="3"/>
      <x:c r="AF837" s="3"/>
      <x:c r="AG837" s="3"/>
      <x:c r="AH837" s="3"/>
      <x:c r="AI837" s="3"/>
      <x:c r="AJ837" s="3"/>
      <x:c r="AK837" s="3"/>
      <x:c r="AL837" s="3"/>
      <x:c r="AM837" s="3"/>
      <x:c r="AT837" s="3"/>
      <x:c r="AU837" s="3"/>
      <x:c r="AV837" s="3"/>
      <x:c r="AW837" s="3"/>
      <x:c r="AX837" s="3"/>
      <x:c r="AY837" s="3"/>
      <x:c r="AZ837" s="3"/>
      <x:c r="BA837" s="3"/>
      <x:c r="BC837" s="3"/>
      <x:c r="BD837" s="3"/>
      <x:c r="BE837" s="3"/>
      <x:c r="BF837" s="3"/>
      <x:c r="BG837" s="3"/>
      <x:c r="BH837" s="13"/>
      <x:c r="BI837" s="13"/>
      <x:c r="BJ837" s="13"/>
      <x:c r="BK837" s="13"/>
      <x:c r="BL837" s="13"/>
      <x:c r="BM837" s="13"/>
      <x:c r="BN837" s="13"/>
      <x:c r="BO837" s="13"/>
      <x:c r="BP837" s="13"/>
      <x:c r="BQ837" s="13"/>
      <x:c r="BR837" s="13"/>
      <x:c r="BS837" s="13"/>
      <x:c r="BT837" s="13"/>
      <x:c r="BU837" s="13"/>
      <x:c r="BV837" s="13"/>
      <x:c r="BW837" s="13"/>
      <x:c r="BX837" s="13"/>
      <x:c r="BY837" s="13"/>
      <x:c r="BZ837" s="13"/>
      <x:c r="CA837" s="13"/>
      <x:c r="CB837" s="13"/>
      <x:c r="CC837" s="13"/>
      <x:c r="CD837" s="13"/>
      <x:c r="CE837" s="13"/>
      <x:c r="CF837" s="13"/>
      <x:c r="CG837" s="13"/>
    </x:row>
    <x:row r="838" ht="14.25" customHeight="1">
      <x:c r="AA838" s="3"/>
      <x:c r="AF838" s="3"/>
      <x:c r="AG838" s="3"/>
      <x:c r="AH838" s="3"/>
      <x:c r="AI838" s="3"/>
      <x:c r="AJ838" s="3"/>
      <x:c r="AK838" s="3"/>
      <x:c r="AL838" s="3"/>
      <x:c r="AM838" s="3"/>
      <x:c r="AT838" s="3"/>
      <x:c r="AU838" s="3"/>
      <x:c r="AV838" s="3"/>
      <x:c r="AW838" s="3"/>
      <x:c r="AX838" s="3"/>
      <x:c r="AY838" s="3"/>
      <x:c r="AZ838" s="3"/>
      <x:c r="BA838" s="3"/>
      <x:c r="BC838" s="3"/>
      <x:c r="BD838" s="3"/>
      <x:c r="BE838" s="3"/>
      <x:c r="BF838" s="3"/>
      <x:c r="BG838" s="3"/>
      <x:c r="BH838" s="13"/>
      <x:c r="BI838" s="13"/>
      <x:c r="BJ838" s="13"/>
      <x:c r="BK838" s="13"/>
      <x:c r="BL838" s="13"/>
      <x:c r="BM838" s="13"/>
      <x:c r="BN838" s="13"/>
      <x:c r="BO838" s="13"/>
      <x:c r="BP838" s="13"/>
      <x:c r="BQ838" s="13"/>
      <x:c r="BR838" s="13"/>
      <x:c r="BS838" s="13"/>
      <x:c r="BT838" s="13"/>
      <x:c r="BU838" s="13"/>
      <x:c r="BV838" s="13"/>
      <x:c r="BW838" s="13"/>
      <x:c r="BX838" s="13"/>
      <x:c r="BY838" s="13"/>
      <x:c r="BZ838" s="13"/>
      <x:c r="CA838" s="13"/>
      <x:c r="CB838" s="13"/>
      <x:c r="CC838" s="13"/>
      <x:c r="CD838" s="13"/>
      <x:c r="CE838" s="13"/>
      <x:c r="CF838" s="13"/>
      <x:c r="CG838" s="13"/>
    </x:row>
    <x:row r="839" ht="14.25" customHeight="1">
      <x:c r="AA839" s="3"/>
      <x:c r="AF839" s="3"/>
      <x:c r="AG839" s="3"/>
      <x:c r="AH839" s="3"/>
      <x:c r="AI839" s="3"/>
      <x:c r="AJ839" s="3"/>
      <x:c r="AK839" s="3"/>
      <x:c r="AL839" s="3"/>
      <x:c r="AM839" s="3"/>
      <x:c r="AT839" s="3"/>
      <x:c r="AU839" s="3"/>
      <x:c r="AV839" s="3"/>
      <x:c r="AW839" s="3"/>
      <x:c r="AX839" s="3"/>
      <x:c r="AY839" s="3"/>
      <x:c r="AZ839" s="3"/>
      <x:c r="BA839" s="3"/>
      <x:c r="BC839" s="3"/>
      <x:c r="BD839" s="3"/>
      <x:c r="BE839" s="3"/>
      <x:c r="BF839" s="3"/>
      <x:c r="BG839" s="3"/>
      <x:c r="BH839" s="13"/>
      <x:c r="BI839" s="13"/>
      <x:c r="BJ839" s="13"/>
      <x:c r="BK839" s="13"/>
      <x:c r="BL839" s="13"/>
      <x:c r="BM839" s="13"/>
      <x:c r="BN839" s="13"/>
      <x:c r="BO839" s="13"/>
      <x:c r="BP839" s="13"/>
      <x:c r="BQ839" s="13"/>
      <x:c r="BR839" s="13"/>
      <x:c r="BS839" s="13"/>
      <x:c r="BT839" s="13"/>
      <x:c r="BU839" s="13"/>
      <x:c r="BV839" s="13"/>
      <x:c r="BW839" s="13"/>
      <x:c r="BX839" s="13"/>
      <x:c r="BY839" s="13"/>
      <x:c r="BZ839" s="13"/>
      <x:c r="CA839" s="13"/>
      <x:c r="CB839" s="13"/>
      <x:c r="CC839" s="13"/>
      <x:c r="CD839" s="13"/>
      <x:c r="CE839" s="13"/>
      <x:c r="CF839" s="13"/>
      <x:c r="CG839" s="13"/>
    </x:row>
    <x:row r="840" ht="14.25" customHeight="1">
      <x:c r="AA840" s="3"/>
      <x:c r="AF840" s="3"/>
      <x:c r="AG840" s="3"/>
      <x:c r="AH840" s="3"/>
      <x:c r="AI840" s="3"/>
      <x:c r="AJ840" s="3"/>
      <x:c r="AK840" s="3"/>
      <x:c r="AL840" s="3"/>
      <x:c r="AM840" s="3"/>
      <x:c r="AT840" s="3"/>
      <x:c r="AU840" s="3"/>
      <x:c r="AV840" s="3"/>
      <x:c r="AW840" s="3"/>
      <x:c r="AX840" s="3"/>
      <x:c r="AY840" s="3"/>
      <x:c r="AZ840" s="3"/>
      <x:c r="BA840" s="3"/>
      <x:c r="BC840" s="3"/>
      <x:c r="BD840" s="3"/>
      <x:c r="BE840" s="3"/>
      <x:c r="BF840" s="3"/>
      <x:c r="BG840" s="3"/>
      <x:c r="BH840" s="13"/>
      <x:c r="BI840" s="13"/>
      <x:c r="BJ840" s="13"/>
      <x:c r="BK840" s="13"/>
      <x:c r="BL840" s="13"/>
      <x:c r="BM840" s="13"/>
      <x:c r="BN840" s="13"/>
      <x:c r="BO840" s="13"/>
      <x:c r="BP840" s="13"/>
      <x:c r="BQ840" s="13"/>
      <x:c r="BR840" s="13"/>
      <x:c r="BS840" s="13"/>
      <x:c r="BT840" s="13"/>
      <x:c r="BU840" s="13"/>
      <x:c r="BV840" s="13"/>
      <x:c r="BW840" s="13"/>
      <x:c r="BX840" s="13"/>
      <x:c r="BY840" s="13"/>
      <x:c r="BZ840" s="13"/>
      <x:c r="CA840" s="13"/>
      <x:c r="CB840" s="13"/>
      <x:c r="CC840" s="13"/>
      <x:c r="CD840" s="13"/>
      <x:c r="CE840" s="13"/>
      <x:c r="CF840" s="13"/>
      <x:c r="CG840" s="13"/>
    </x:row>
    <x:row r="841" ht="14.25" customHeight="1">
      <x:c r="AA841" s="3"/>
      <x:c r="AF841" s="3"/>
      <x:c r="AG841" s="3"/>
      <x:c r="AH841" s="3"/>
      <x:c r="AI841" s="3"/>
      <x:c r="AJ841" s="3"/>
      <x:c r="AK841" s="3"/>
      <x:c r="AL841" s="3"/>
      <x:c r="AM841" s="3"/>
      <x:c r="AT841" s="3"/>
      <x:c r="AU841" s="3"/>
      <x:c r="AV841" s="3"/>
      <x:c r="AW841" s="3"/>
      <x:c r="AX841" s="3"/>
      <x:c r="AY841" s="3"/>
      <x:c r="AZ841" s="3"/>
      <x:c r="BA841" s="3"/>
      <x:c r="BC841" s="3"/>
      <x:c r="BD841" s="3"/>
      <x:c r="BE841" s="3"/>
      <x:c r="BF841" s="3"/>
      <x:c r="BG841" s="3"/>
      <x:c r="BH841" s="13"/>
      <x:c r="BI841" s="13"/>
      <x:c r="BJ841" s="13"/>
      <x:c r="BK841" s="13"/>
      <x:c r="BL841" s="13"/>
      <x:c r="BM841" s="13"/>
      <x:c r="BN841" s="13"/>
      <x:c r="BO841" s="13"/>
      <x:c r="BP841" s="13"/>
      <x:c r="BQ841" s="13"/>
      <x:c r="BR841" s="13"/>
      <x:c r="BS841" s="13"/>
      <x:c r="BT841" s="13"/>
      <x:c r="BU841" s="13"/>
      <x:c r="BV841" s="13"/>
      <x:c r="BW841" s="13"/>
      <x:c r="BX841" s="13"/>
      <x:c r="BY841" s="13"/>
      <x:c r="BZ841" s="13"/>
      <x:c r="CA841" s="13"/>
      <x:c r="CB841" s="13"/>
      <x:c r="CC841" s="13"/>
      <x:c r="CD841" s="13"/>
      <x:c r="CE841" s="13"/>
      <x:c r="CF841" s="13"/>
      <x:c r="CG841" s="13"/>
    </x:row>
    <x:row r="842" ht="14.25" customHeight="1">
      <x:c r="AA842" s="3"/>
      <x:c r="AF842" s="3"/>
      <x:c r="AG842" s="3"/>
      <x:c r="AH842" s="3"/>
      <x:c r="AI842" s="3"/>
      <x:c r="AJ842" s="3"/>
      <x:c r="AK842" s="3"/>
      <x:c r="AL842" s="3"/>
      <x:c r="AM842" s="3"/>
      <x:c r="AT842" s="3"/>
      <x:c r="AU842" s="3"/>
      <x:c r="AV842" s="3"/>
      <x:c r="AW842" s="3"/>
      <x:c r="AX842" s="3"/>
      <x:c r="AY842" s="3"/>
      <x:c r="AZ842" s="3"/>
      <x:c r="BA842" s="3"/>
      <x:c r="BC842" s="3"/>
      <x:c r="BD842" s="3"/>
      <x:c r="BE842" s="3"/>
      <x:c r="BF842" s="3"/>
      <x:c r="BG842" s="3"/>
      <x:c r="BH842" s="13"/>
      <x:c r="BI842" s="13"/>
      <x:c r="BJ842" s="13"/>
      <x:c r="BK842" s="13"/>
      <x:c r="BL842" s="13"/>
      <x:c r="BM842" s="13"/>
      <x:c r="BN842" s="13"/>
      <x:c r="BO842" s="13"/>
      <x:c r="BP842" s="13"/>
      <x:c r="BQ842" s="13"/>
      <x:c r="BR842" s="13"/>
      <x:c r="BS842" s="13"/>
      <x:c r="BT842" s="13"/>
      <x:c r="BU842" s="13"/>
      <x:c r="BV842" s="13"/>
      <x:c r="BW842" s="13"/>
      <x:c r="BX842" s="13"/>
      <x:c r="BY842" s="13"/>
      <x:c r="BZ842" s="13"/>
      <x:c r="CA842" s="13"/>
      <x:c r="CB842" s="13"/>
      <x:c r="CC842" s="13"/>
      <x:c r="CD842" s="13"/>
      <x:c r="CE842" s="13"/>
      <x:c r="CF842" s="13"/>
      <x:c r="CG842" s="13"/>
    </x:row>
    <x:row r="843" ht="14.25" customHeight="1">
      <x:c r="AA843" s="3"/>
      <x:c r="AF843" s="3"/>
      <x:c r="AG843" s="3"/>
      <x:c r="AH843" s="3"/>
      <x:c r="AI843" s="3"/>
      <x:c r="AJ843" s="3"/>
      <x:c r="AK843" s="3"/>
      <x:c r="AL843" s="3"/>
      <x:c r="AM843" s="3"/>
      <x:c r="AT843" s="3"/>
      <x:c r="AU843" s="3"/>
      <x:c r="AV843" s="3"/>
      <x:c r="AW843" s="3"/>
      <x:c r="AX843" s="3"/>
      <x:c r="AY843" s="3"/>
      <x:c r="AZ843" s="3"/>
      <x:c r="BA843" s="3"/>
      <x:c r="BC843" s="3"/>
      <x:c r="BD843" s="3"/>
      <x:c r="BE843" s="3"/>
      <x:c r="BF843" s="3"/>
      <x:c r="BG843" s="3"/>
      <x:c r="BH843" s="13"/>
      <x:c r="BI843" s="13"/>
      <x:c r="BJ843" s="13"/>
      <x:c r="BK843" s="13"/>
      <x:c r="BL843" s="13"/>
      <x:c r="BM843" s="13"/>
      <x:c r="BN843" s="13"/>
      <x:c r="BO843" s="13"/>
      <x:c r="BP843" s="13"/>
      <x:c r="BQ843" s="13"/>
      <x:c r="BR843" s="13"/>
      <x:c r="BS843" s="13"/>
      <x:c r="BT843" s="13"/>
      <x:c r="BU843" s="13"/>
      <x:c r="BV843" s="13"/>
      <x:c r="BW843" s="13"/>
      <x:c r="BX843" s="13"/>
      <x:c r="BY843" s="13"/>
      <x:c r="BZ843" s="13"/>
      <x:c r="CA843" s="13"/>
      <x:c r="CB843" s="13"/>
      <x:c r="CC843" s="13"/>
      <x:c r="CD843" s="13"/>
      <x:c r="CE843" s="13"/>
      <x:c r="CF843" s="13"/>
      <x:c r="CG843" s="13"/>
    </x:row>
    <x:row r="844" ht="14.25" customHeight="1">
      <x:c r="AA844" s="3"/>
      <x:c r="AF844" s="3"/>
      <x:c r="AG844" s="3"/>
      <x:c r="AH844" s="3"/>
      <x:c r="AI844" s="3"/>
      <x:c r="AJ844" s="3"/>
      <x:c r="AK844" s="3"/>
      <x:c r="AL844" s="3"/>
      <x:c r="AM844" s="3"/>
      <x:c r="AT844" s="3"/>
      <x:c r="AU844" s="3"/>
      <x:c r="AV844" s="3"/>
      <x:c r="AW844" s="3"/>
      <x:c r="AX844" s="3"/>
      <x:c r="AY844" s="3"/>
      <x:c r="AZ844" s="3"/>
      <x:c r="BA844" s="3"/>
      <x:c r="BC844" s="3"/>
      <x:c r="BD844" s="3"/>
      <x:c r="BE844" s="3"/>
      <x:c r="BF844" s="3"/>
      <x:c r="BG844" s="3"/>
      <x:c r="BH844" s="13"/>
      <x:c r="BI844" s="13"/>
      <x:c r="BJ844" s="13"/>
      <x:c r="BK844" s="13"/>
      <x:c r="BL844" s="13"/>
      <x:c r="BM844" s="13"/>
      <x:c r="BN844" s="13"/>
      <x:c r="BO844" s="13"/>
      <x:c r="BP844" s="13"/>
      <x:c r="BQ844" s="13"/>
      <x:c r="BR844" s="13"/>
      <x:c r="BS844" s="13"/>
      <x:c r="BT844" s="13"/>
      <x:c r="BU844" s="13"/>
      <x:c r="BV844" s="13"/>
      <x:c r="BW844" s="13"/>
      <x:c r="BX844" s="13"/>
      <x:c r="BY844" s="13"/>
      <x:c r="BZ844" s="13"/>
      <x:c r="CA844" s="13"/>
      <x:c r="CB844" s="13"/>
      <x:c r="CC844" s="13"/>
      <x:c r="CD844" s="13"/>
      <x:c r="CE844" s="13"/>
      <x:c r="CF844" s="13"/>
      <x:c r="CG844" s="13"/>
    </x:row>
    <x:row r="845" ht="14.25" customHeight="1">
      <x:c r="AA845" s="3"/>
      <x:c r="AF845" s="3"/>
      <x:c r="AG845" s="3"/>
      <x:c r="AH845" s="3"/>
      <x:c r="AI845" s="3"/>
      <x:c r="AJ845" s="3"/>
      <x:c r="AK845" s="3"/>
      <x:c r="AL845" s="3"/>
      <x:c r="AM845" s="3"/>
      <x:c r="AT845" s="3"/>
      <x:c r="AU845" s="3"/>
      <x:c r="AV845" s="3"/>
      <x:c r="AW845" s="3"/>
      <x:c r="AX845" s="3"/>
      <x:c r="AY845" s="3"/>
      <x:c r="AZ845" s="3"/>
      <x:c r="BA845" s="3"/>
      <x:c r="BC845" s="3"/>
      <x:c r="BD845" s="3"/>
      <x:c r="BE845" s="3"/>
      <x:c r="BF845" s="3"/>
      <x:c r="BG845" s="3"/>
      <x:c r="BH845" s="13"/>
      <x:c r="BI845" s="13"/>
      <x:c r="BJ845" s="13"/>
      <x:c r="BK845" s="13"/>
      <x:c r="BL845" s="13"/>
      <x:c r="BM845" s="13"/>
      <x:c r="BN845" s="13"/>
      <x:c r="BO845" s="13"/>
      <x:c r="BP845" s="13"/>
      <x:c r="BQ845" s="13"/>
      <x:c r="BR845" s="13"/>
      <x:c r="BS845" s="13"/>
      <x:c r="BT845" s="13"/>
      <x:c r="BU845" s="13"/>
      <x:c r="BV845" s="13"/>
      <x:c r="BW845" s="13"/>
      <x:c r="BX845" s="13"/>
      <x:c r="BY845" s="13"/>
      <x:c r="BZ845" s="13"/>
      <x:c r="CA845" s="13"/>
      <x:c r="CB845" s="13"/>
      <x:c r="CC845" s="13"/>
      <x:c r="CD845" s="13"/>
      <x:c r="CE845" s="13"/>
      <x:c r="CF845" s="13"/>
      <x:c r="CG845" s="13"/>
    </x:row>
    <x:row r="846" ht="14.25" customHeight="1">
      <x:c r="AA846" s="3"/>
      <x:c r="AF846" s="3"/>
      <x:c r="AG846" s="3"/>
      <x:c r="AH846" s="3"/>
      <x:c r="AI846" s="3"/>
      <x:c r="AJ846" s="3"/>
      <x:c r="AK846" s="3"/>
      <x:c r="AL846" s="3"/>
      <x:c r="AM846" s="3"/>
      <x:c r="AT846" s="3"/>
      <x:c r="AU846" s="3"/>
      <x:c r="AV846" s="3"/>
      <x:c r="AW846" s="3"/>
      <x:c r="AX846" s="3"/>
      <x:c r="AY846" s="3"/>
      <x:c r="AZ846" s="3"/>
      <x:c r="BA846" s="3"/>
      <x:c r="BC846" s="3"/>
      <x:c r="BD846" s="3"/>
      <x:c r="BE846" s="3"/>
      <x:c r="BF846" s="3"/>
      <x:c r="BG846" s="3"/>
      <x:c r="BH846" s="13"/>
      <x:c r="BI846" s="13"/>
      <x:c r="BJ846" s="13"/>
      <x:c r="BK846" s="13"/>
      <x:c r="BL846" s="13"/>
      <x:c r="BM846" s="13"/>
      <x:c r="BN846" s="13"/>
      <x:c r="BO846" s="13"/>
      <x:c r="BP846" s="13"/>
      <x:c r="BQ846" s="13"/>
      <x:c r="BR846" s="13"/>
      <x:c r="BS846" s="13"/>
      <x:c r="BT846" s="13"/>
      <x:c r="BU846" s="13"/>
      <x:c r="BV846" s="13"/>
      <x:c r="BW846" s="13"/>
      <x:c r="BX846" s="13"/>
      <x:c r="BY846" s="13"/>
      <x:c r="BZ846" s="13"/>
      <x:c r="CA846" s="13"/>
      <x:c r="CB846" s="13"/>
      <x:c r="CC846" s="13"/>
      <x:c r="CD846" s="13"/>
      <x:c r="CE846" s="13"/>
      <x:c r="CF846" s="13"/>
      <x:c r="CG846" s="13"/>
    </x:row>
    <x:row r="847" ht="14.25" customHeight="1">
      <x:c r="AA847" s="3"/>
      <x:c r="AF847" s="3"/>
      <x:c r="AG847" s="3"/>
      <x:c r="AH847" s="3"/>
      <x:c r="AI847" s="3"/>
      <x:c r="AJ847" s="3"/>
      <x:c r="AK847" s="3"/>
      <x:c r="AL847" s="3"/>
      <x:c r="AM847" s="3"/>
      <x:c r="AT847" s="3"/>
      <x:c r="AU847" s="3"/>
      <x:c r="AV847" s="3"/>
      <x:c r="AW847" s="3"/>
      <x:c r="AX847" s="3"/>
      <x:c r="AY847" s="3"/>
      <x:c r="AZ847" s="3"/>
      <x:c r="BA847" s="3"/>
      <x:c r="BC847" s="3"/>
      <x:c r="BD847" s="3"/>
      <x:c r="BE847" s="3"/>
      <x:c r="BF847" s="3"/>
      <x:c r="BG847" s="3"/>
      <x:c r="BH847" s="13"/>
      <x:c r="BI847" s="13"/>
      <x:c r="BJ847" s="13"/>
      <x:c r="BK847" s="13"/>
      <x:c r="BL847" s="13"/>
      <x:c r="BM847" s="13"/>
      <x:c r="BN847" s="13"/>
      <x:c r="BO847" s="13"/>
      <x:c r="BP847" s="13"/>
      <x:c r="BQ847" s="13"/>
      <x:c r="BR847" s="13"/>
      <x:c r="BS847" s="13"/>
      <x:c r="BT847" s="13"/>
      <x:c r="BU847" s="13"/>
      <x:c r="BV847" s="13"/>
      <x:c r="BW847" s="13"/>
      <x:c r="BX847" s="13"/>
      <x:c r="BY847" s="13"/>
      <x:c r="BZ847" s="13"/>
      <x:c r="CA847" s="13"/>
      <x:c r="CB847" s="13"/>
      <x:c r="CC847" s="13"/>
      <x:c r="CD847" s="13"/>
      <x:c r="CE847" s="13"/>
      <x:c r="CF847" s="13"/>
      <x:c r="CG847" s="13"/>
    </x:row>
    <x:row r="848" ht="14.25" customHeight="1">
      <x:c r="AA848" s="3"/>
      <x:c r="AF848" s="3"/>
      <x:c r="AG848" s="3"/>
      <x:c r="AH848" s="3"/>
      <x:c r="AI848" s="3"/>
      <x:c r="AJ848" s="3"/>
      <x:c r="AK848" s="3"/>
      <x:c r="AL848" s="3"/>
      <x:c r="AM848" s="3"/>
      <x:c r="AT848" s="3"/>
      <x:c r="AU848" s="3"/>
      <x:c r="AV848" s="3"/>
      <x:c r="AW848" s="3"/>
      <x:c r="AX848" s="3"/>
      <x:c r="AY848" s="3"/>
      <x:c r="AZ848" s="3"/>
      <x:c r="BA848" s="3"/>
      <x:c r="BC848" s="3"/>
      <x:c r="BD848" s="3"/>
      <x:c r="BE848" s="3"/>
      <x:c r="BF848" s="3"/>
      <x:c r="BG848" s="3"/>
      <x:c r="BH848" s="13"/>
      <x:c r="BI848" s="13"/>
      <x:c r="BJ848" s="13"/>
      <x:c r="BK848" s="13"/>
      <x:c r="BL848" s="13"/>
      <x:c r="BM848" s="13"/>
      <x:c r="BN848" s="13"/>
      <x:c r="BO848" s="13"/>
      <x:c r="BP848" s="13"/>
      <x:c r="BQ848" s="13"/>
      <x:c r="BR848" s="13"/>
      <x:c r="BS848" s="13"/>
      <x:c r="BT848" s="13"/>
      <x:c r="BU848" s="13"/>
      <x:c r="BV848" s="13"/>
      <x:c r="BW848" s="13"/>
      <x:c r="BX848" s="13"/>
      <x:c r="BY848" s="13"/>
      <x:c r="BZ848" s="13"/>
      <x:c r="CA848" s="13"/>
      <x:c r="CB848" s="13"/>
      <x:c r="CC848" s="13"/>
      <x:c r="CD848" s="13"/>
      <x:c r="CE848" s="13"/>
      <x:c r="CF848" s="13"/>
      <x:c r="CG848" s="13"/>
    </x:row>
    <x:row r="849" ht="14.25" customHeight="1">
      <x:c r="AA849" s="3"/>
      <x:c r="AF849" s="3"/>
      <x:c r="AG849" s="3"/>
      <x:c r="AH849" s="3"/>
      <x:c r="AI849" s="3"/>
      <x:c r="AJ849" s="3"/>
      <x:c r="AK849" s="3"/>
      <x:c r="AL849" s="3"/>
      <x:c r="AM849" s="3"/>
      <x:c r="AT849" s="3"/>
      <x:c r="AU849" s="3"/>
      <x:c r="AV849" s="3"/>
      <x:c r="AW849" s="3"/>
      <x:c r="AX849" s="3"/>
      <x:c r="AY849" s="3"/>
      <x:c r="AZ849" s="3"/>
      <x:c r="BA849" s="3"/>
      <x:c r="BC849" s="3"/>
      <x:c r="BD849" s="3"/>
      <x:c r="BE849" s="3"/>
      <x:c r="BF849" s="3"/>
      <x:c r="BG849" s="3"/>
      <x:c r="BH849" s="13"/>
      <x:c r="BI849" s="13"/>
      <x:c r="BJ849" s="13"/>
      <x:c r="BK849" s="13"/>
      <x:c r="BL849" s="13"/>
      <x:c r="BM849" s="13"/>
      <x:c r="BN849" s="13"/>
      <x:c r="BO849" s="13"/>
      <x:c r="BP849" s="13"/>
      <x:c r="BQ849" s="13"/>
      <x:c r="BR849" s="13"/>
      <x:c r="BS849" s="13"/>
      <x:c r="BT849" s="13"/>
      <x:c r="BU849" s="13"/>
      <x:c r="BV849" s="13"/>
      <x:c r="BW849" s="13"/>
      <x:c r="BX849" s="13"/>
      <x:c r="BY849" s="13"/>
      <x:c r="BZ849" s="13"/>
      <x:c r="CA849" s="13"/>
      <x:c r="CB849" s="13"/>
      <x:c r="CC849" s="13"/>
      <x:c r="CD849" s="13"/>
      <x:c r="CE849" s="13"/>
      <x:c r="CF849" s="13"/>
      <x:c r="CG849" s="13"/>
    </x:row>
    <x:row r="850" ht="14.25" customHeight="1">
      <x:c r="AA850" s="3"/>
      <x:c r="AF850" s="3"/>
      <x:c r="AG850" s="3"/>
      <x:c r="AH850" s="3"/>
      <x:c r="AI850" s="3"/>
      <x:c r="AJ850" s="3"/>
      <x:c r="AK850" s="3"/>
      <x:c r="AL850" s="3"/>
      <x:c r="AM850" s="3"/>
      <x:c r="AT850" s="3"/>
      <x:c r="AU850" s="3"/>
      <x:c r="AV850" s="3"/>
      <x:c r="AW850" s="3"/>
      <x:c r="AX850" s="3"/>
      <x:c r="AY850" s="3"/>
      <x:c r="AZ850" s="3"/>
      <x:c r="BA850" s="3"/>
      <x:c r="BC850" s="3"/>
      <x:c r="BD850" s="3"/>
      <x:c r="BE850" s="3"/>
      <x:c r="BF850" s="3"/>
      <x:c r="BG850" s="3"/>
      <x:c r="BH850" s="13"/>
      <x:c r="BI850" s="13"/>
      <x:c r="BJ850" s="13"/>
      <x:c r="BK850" s="13"/>
      <x:c r="BL850" s="13"/>
      <x:c r="BM850" s="13"/>
      <x:c r="BN850" s="13"/>
      <x:c r="BO850" s="13"/>
      <x:c r="BP850" s="13"/>
      <x:c r="BQ850" s="13"/>
      <x:c r="BR850" s="13"/>
      <x:c r="BS850" s="13"/>
      <x:c r="BT850" s="13"/>
      <x:c r="BU850" s="13"/>
      <x:c r="BV850" s="13"/>
      <x:c r="BW850" s="13"/>
      <x:c r="BX850" s="13"/>
      <x:c r="BY850" s="13"/>
      <x:c r="BZ850" s="13"/>
      <x:c r="CA850" s="13"/>
      <x:c r="CB850" s="13"/>
      <x:c r="CC850" s="13"/>
      <x:c r="CD850" s="13"/>
      <x:c r="CE850" s="13"/>
      <x:c r="CF850" s="13"/>
      <x:c r="CG850" s="13"/>
    </x:row>
    <x:row r="851" ht="14.25" customHeight="1">
      <x:c r="AA851" s="3"/>
      <x:c r="AF851" s="3"/>
      <x:c r="AG851" s="3"/>
      <x:c r="AH851" s="3"/>
      <x:c r="AI851" s="3"/>
      <x:c r="AJ851" s="3"/>
      <x:c r="AK851" s="3"/>
      <x:c r="AL851" s="3"/>
      <x:c r="AM851" s="3"/>
      <x:c r="AT851" s="3"/>
      <x:c r="AU851" s="3"/>
      <x:c r="AV851" s="3"/>
      <x:c r="AW851" s="3"/>
      <x:c r="AX851" s="3"/>
      <x:c r="AY851" s="3"/>
      <x:c r="AZ851" s="3"/>
      <x:c r="BA851" s="3"/>
      <x:c r="BC851" s="3"/>
      <x:c r="BD851" s="3"/>
      <x:c r="BE851" s="3"/>
      <x:c r="BF851" s="3"/>
      <x:c r="BG851" s="3"/>
      <x:c r="BH851" s="13"/>
      <x:c r="BI851" s="13"/>
      <x:c r="BJ851" s="13"/>
      <x:c r="BK851" s="13"/>
      <x:c r="BL851" s="13"/>
      <x:c r="BM851" s="13"/>
      <x:c r="BN851" s="13"/>
      <x:c r="BO851" s="13"/>
      <x:c r="BP851" s="13"/>
      <x:c r="BQ851" s="13"/>
      <x:c r="BR851" s="13"/>
      <x:c r="BS851" s="13"/>
      <x:c r="BT851" s="13"/>
      <x:c r="BU851" s="13"/>
      <x:c r="BV851" s="13"/>
      <x:c r="BW851" s="13"/>
      <x:c r="BX851" s="13"/>
      <x:c r="BY851" s="13"/>
      <x:c r="BZ851" s="13"/>
      <x:c r="CA851" s="13"/>
      <x:c r="CB851" s="13"/>
      <x:c r="CC851" s="13"/>
      <x:c r="CD851" s="13"/>
      <x:c r="CE851" s="13"/>
      <x:c r="CF851" s="13"/>
      <x:c r="CG851" s="13"/>
    </x:row>
    <x:row r="852" ht="14.25" customHeight="1">
      <x:c r="AA852" s="3"/>
      <x:c r="AF852" s="3"/>
      <x:c r="AG852" s="3"/>
      <x:c r="AH852" s="3"/>
      <x:c r="AI852" s="3"/>
      <x:c r="AJ852" s="3"/>
      <x:c r="AK852" s="3"/>
      <x:c r="AL852" s="3"/>
      <x:c r="AM852" s="3"/>
      <x:c r="AT852" s="3"/>
      <x:c r="AU852" s="3"/>
      <x:c r="AV852" s="3"/>
      <x:c r="AW852" s="3"/>
      <x:c r="AX852" s="3"/>
      <x:c r="AY852" s="3"/>
      <x:c r="AZ852" s="3"/>
      <x:c r="BA852" s="3"/>
      <x:c r="BC852" s="3"/>
      <x:c r="BD852" s="3"/>
      <x:c r="BE852" s="3"/>
      <x:c r="BF852" s="3"/>
      <x:c r="BG852" s="3"/>
      <x:c r="BH852" s="13"/>
      <x:c r="BI852" s="13"/>
      <x:c r="BJ852" s="13"/>
      <x:c r="BK852" s="13"/>
      <x:c r="BL852" s="13"/>
      <x:c r="BM852" s="13"/>
      <x:c r="BN852" s="13"/>
      <x:c r="BO852" s="13"/>
      <x:c r="BP852" s="13"/>
      <x:c r="BQ852" s="13"/>
      <x:c r="BR852" s="13"/>
      <x:c r="BS852" s="13"/>
      <x:c r="BT852" s="13"/>
      <x:c r="BU852" s="13"/>
      <x:c r="BV852" s="13"/>
      <x:c r="BW852" s="13"/>
      <x:c r="BX852" s="13"/>
      <x:c r="BY852" s="13"/>
      <x:c r="BZ852" s="13"/>
      <x:c r="CA852" s="13"/>
      <x:c r="CB852" s="13"/>
      <x:c r="CC852" s="13"/>
      <x:c r="CD852" s="13"/>
      <x:c r="CE852" s="13"/>
      <x:c r="CF852" s="13"/>
      <x:c r="CG852" s="13"/>
    </x:row>
    <x:row r="853" ht="14.25" customHeight="1">
      <x:c r="AA853" s="3"/>
      <x:c r="AF853" s="3"/>
      <x:c r="AG853" s="3"/>
      <x:c r="AH853" s="3"/>
      <x:c r="AI853" s="3"/>
      <x:c r="AJ853" s="3"/>
      <x:c r="AK853" s="3"/>
      <x:c r="AL853" s="3"/>
      <x:c r="AM853" s="3"/>
      <x:c r="AT853" s="3"/>
      <x:c r="AU853" s="3"/>
      <x:c r="AV853" s="3"/>
      <x:c r="AW853" s="3"/>
      <x:c r="AX853" s="3"/>
      <x:c r="AY853" s="3"/>
      <x:c r="AZ853" s="3"/>
      <x:c r="BA853" s="3"/>
      <x:c r="BC853" s="3"/>
      <x:c r="BD853" s="3"/>
      <x:c r="BE853" s="3"/>
      <x:c r="BF853" s="3"/>
      <x:c r="BG853" s="3"/>
      <x:c r="BH853" s="13"/>
      <x:c r="BI853" s="13"/>
      <x:c r="BJ853" s="13"/>
      <x:c r="BK853" s="13"/>
      <x:c r="BL853" s="13"/>
      <x:c r="BM853" s="13"/>
      <x:c r="BN853" s="13"/>
      <x:c r="BO853" s="13"/>
      <x:c r="BP853" s="13"/>
      <x:c r="BQ853" s="13"/>
      <x:c r="BR853" s="13"/>
      <x:c r="BS853" s="13"/>
      <x:c r="BT853" s="13"/>
      <x:c r="BU853" s="13"/>
      <x:c r="BV853" s="13"/>
      <x:c r="BW853" s="13"/>
      <x:c r="BX853" s="13"/>
      <x:c r="BY853" s="13"/>
      <x:c r="BZ853" s="13"/>
      <x:c r="CA853" s="13"/>
      <x:c r="CB853" s="13"/>
      <x:c r="CC853" s="13"/>
      <x:c r="CD853" s="13"/>
      <x:c r="CE853" s="13"/>
      <x:c r="CF853" s="13"/>
      <x:c r="CG853" s="13"/>
    </x:row>
    <x:row r="854" ht="14.25" customHeight="1">
      <x:c r="AA854" s="3"/>
      <x:c r="AF854" s="3"/>
      <x:c r="AG854" s="3"/>
      <x:c r="AH854" s="3"/>
      <x:c r="AI854" s="3"/>
      <x:c r="AJ854" s="3"/>
      <x:c r="AK854" s="3"/>
      <x:c r="AL854" s="3"/>
      <x:c r="AM854" s="3"/>
      <x:c r="AT854" s="3"/>
      <x:c r="AU854" s="3"/>
      <x:c r="AV854" s="3"/>
      <x:c r="AW854" s="3"/>
      <x:c r="AX854" s="3"/>
      <x:c r="AY854" s="3"/>
      <x:c r="AZ854" s="3"/>
      <x:c r="BA854" s="3"/>
      <x:c r="BC854" s="3"/>
      <x:c r="BD854" s="3"/>
      <x:c r="BE854" s="3"/>
      <x:c r="BF854" s="3"/>
      <x:c r="BG854" s="3"/>
      <x:c r="BH854" s="13"/>
      <x:c r="BI854" s="13"/>
      <x:c r="BJ854" s="13"/>
      <x:c r="BK854" s="13"/>
      <x:c r="BL854" s="13"/>
      <x:c r="BM854" s="13"/>
      <x:c r="BN854" s="13"/>
      <x:c r="BO854" s="13"/>
      <x:c r="BP854" s="13"/>
      <x:c r="BQ854" s="13"/>
      <x:c r="BR854" s="13"/>
      <x:c r="BS854" s="13"/>
      <x:c r="BT854" s="13"/>
      <x:c r="BU854" s="13"/>
      <x:c r="BV854" s="13"/>
      <x:c r="BW854" s="13"/>
      <x:c r="BX854" s="13"/>
      <x:c r="BY854" s="13"/>
      <x:c r="BZ854" s="13"/>
      <x:c r="CA854" s="13"/>
      <x:c r="CB854" s="13"/>
      <x:c r="CC854" s="13"/>
      <x:c r="CD854" s="13"/>
      <x:c r="CE854" s="13"/>
      <x:c r="CF854" s="13"/>
      <x:c r="CG854" s="13"/>
    </x:row>
    <x:row r="855" ht="14.25" customHeight="1">
      <x:c r="AA855" s="3"/>
      <x:c r="AF855" s="3"/>
      <x:c r="AG855" s="3"/>
      <x:c r="AH855" s="3"/>
      <x:c r="AI855" s="3"/>
      <x:c r="AJ855" s="3"/>
      <x:c r="AK855" s="3"/>
      <x:c r="AL855" s="3"/>
      <x:c r="AM855" s="3"/>
      <x:c r="AT855" s="3"/>
      <x:c r="AU855" s="3"/>
      <x:c r="AV855" s="3"/>
      <x:c r="AW855" s="3"/>
      <x:c r="AX855" s="3"/>
      <x:c r="AY855" s="3"/>
      <x:c r="AZ855" s="3"/>
      <x:c r="BA855" s="3"/>
      <x:c r="BC855" s="3"/>
      <x:c r="BD855" s="3"/>
      <x:c r="BE855" s="3"/>
      <x:c r="BF855" s="3"/>
      <x:c r="BG855" s="3"/>
      <x:c r="BH855" s="13"/>
      <x:c r="BI855" s="13"/>
      <x:c r="BJ855" s="13"/>
      <x:c r="BK855" s="13"/>
      <x:c r="BL855" s="13"/>
      <x:c r="BM855" s="13"/>
      <x:c r="BN855" s="13"/>
      <x:c r="BO855" s="13"/>
      <x:c r="BP855" s="13"/>
      <x:c r="BQ855" s="13"/>
      <x:c r="BR855" s="13"/>
      <x:c r="BS855" s="13"/>
      <x:c r="BT855" s="13"/>
      <x:c r="BU855" s="13"/>
      <x:c r="BV855" s="13"/>
      <x:c r="BW855" s="13"/>
      <x:c r="BX855" s="13"/>
      <x:c r="BY855" s="13"/>
      <x:c r="BZ855" s="13"/>
      <x:c r="CA855" s="13"/>
      <x:c r="CB855" s="13"/>
      <x:c r="CC855" s="13"/>
      <x:c r="CD855" s="13"/>
      <x:c r="CE855" s="13"/>
      <x:c r="CF855" s="13"/>
      <x:c r="CG855" s="13"/>
    </x:row>
    <x:row r="856" ht="14.25" customHeight="1">
      <x:c r="AA856" s="3"/>
      <x:c r="AF856" s="3"/>
      <x:c r="AG856" s="3"/>
      <x:c r="AH856" s="3"/>
      <x:c r="AI856" s="3"/>
      <x:c r="AJ856" s="3"/>
      <x:c r="AK856" s="3"/>
      <x:c r="AL856" s="3"/>
      <x:c r="AM856" s="3"/>
      <x:c r="AT856" s="3"/>
      <x:c r="AU856" s="3"/>
      <x:c r="AV856" s="3"/>
      <x:c r="AW856" s="3"/>
      <x:c r="AX856" s="3"/>
      <x:c r="AY856" s="3"/>
      <x:c r="AZ856" s="3"/>
      <x:c r="BA856" s="3"/>
      <x:c r="BC856" s="3"/>
      <x:c r="BD856" s="3"/>
      <x:c r="BE856" s="3"/>
      <x:c r="BF856" s="3"/>
      <x:c r="BG856" s="3"/>
      <x:c r="BH856" s="13"/>
      <x:c r="BI856" s="13"/>
      <x:c r="BJ856" s="13"/>
      <x:c r="BK856" s="13"/>
      <x:c r="BL856" s="13"/>
      <x:c r="BM856" s="13"/>
      <x:c r="BN856" s="13"/>
      <x:c r="BO856" s="13"/>
      <x:c r="BP856" s="13"/>
      <x:c r="BQ856" s="13"/>
      <x:c r="BR856" s="13"/>
      <x:c r="BS856" s="13"/>
      <x:c r="BT856" s="13"/>
      <x:c r="BU856" s="13"/>
      <x:c r="BV856" s="13"/>
      <x:c r="BW856" s="13"/>
      <x:c r="BX856" s="13"/>
      <x:c r="BY856" s="13"/>
      <x:c r="BZ856" s="13"/>
      <x:c r="CA856" s="13"/>
      <x:c r="CB856" s="13"/>
      <x:c r="CC856" s="13"/>
      <x:c r="CD856" s="13"/>
      <x:c r="CE856" s="13"/>
      <x:c r="CF856" s="13"/>
      <x:c r="CG856" s="13"/>
    </x:row>
    <x:row r="857" ht="14.25" customHeight="1">
      <x:c r="AA857" s="3"/>
      <x:c r="AF857" s="3"/>
      <x:c r="AG857" s="3"/>
      <x:c r="AH857" s="3"/>
      <x:c r="AI857" s="3"/>
      <x:c r="AJ857" s="3"/>
      <x:c r="AK857" s="3"/>
      <x:c r="AL857" s="3"/>
      <x:c r="AM857" s="3"/>
      <x:c r="AT857" s="3"/>
      <x:c r="AU857" s="3"/>
      <x:c r="AV857" s="3"/>
      <x:c r="AW857" s="3"/>
      <x:c r="AX857" s="3"/>
      <x:c r="AY857" s="3"/>
      <x:c r="AZ857" s="3"/>
      <x:c r="BA857" s="3"/>
      <x:c r="BC857" s="3"/>
      <x:c r="BD857" s="3"/>
      <x:c r="BE857" s="3"/>
      <x:c r="BF857" s="3"/>
      <x:c r="BG857" s="3"/>
      <x:c r="BH857" s="13"/>
      <x:c r="BI857" s="13"/>
      <x:c r="BJ857" s="13"/>
      <x:c r="BK857" s="13"/>
      <x:c r="BL857" s="13"/>
      <x:c r="BM857" s="13"/>
      <x:c r="BN857" s="13"/>
      <x:c r="BO857" s="13"/>
      <x:c r="BP857" s="13"/>
      <x:c r="BQ857" s="13"/>
      <x:c r="BR857" s="13"/>
      <x:c r="BS857" s="13"/>
      <x:c r="BT857" s="13"/>
      <x:c r="BU857" s="13"/>
      <x:c r="BV857" s="13"/>
      <x:c r="BW857" s="13"/>
      <x:c r="BX857" s="13"/>
      <x:c r="BY857" s="13"/>
      <x:c r="BZ857" s="13"/>
      <x:c r="CA857" s="13"/>
      <x:c r="CB857" s="13"/>
      <x:c r="CC857" s="13"/>
      <x:c r="CD857" s="13"/>
      <x:c r="CE857" s="13"/>
      <x:c r="CF857" s="13"/>
      <x:c r="CG857" s="13"/>
    </x:row>
    <x:row r="858" ht="14.25" customHeight="1">
      <x:c r="AA858" s="3"/>
      <x:c r="AF858" s="3"/>
      <x:c r="AG858" s="3"/>
      <x:c r="AH858" s="3"/>
      <x:c r="AI858" s="3"/>
      <x:c r="AJ858" s="3"/>
      <x:c r="AK858" s="3"/>
      <x:c r="AL858" s="3"/>
      <x:c r="AM858" s="3"/>
      <x:c r="AT858" s="3"/>
      <x:c r="AU858" s="3"/>
      <x:c r="AV858" s="3"/>
      <x:c r="AW858" s="3"/>
      <x:c r="AX858" s="3"/>
      <x:c r="AY858" s="3"/>
      <x:c r="AZ858" s="3"/>
      <x:c r="BA858" s="3"/>
      <x:c r="BC858" s="3"/>
      <x:c r="BD858" s="3"/>
      <x:c r="BE858" s="3"/>
      <x:c r="BF858" s="3"/>
      <x:c r="BG858" s="3"/>
      <x:c r="BH858" s="13"/>
      <x:c r="BI858" s="13"/>
      <x:c r="BJ858" s="13"/>
      <x:c r="BK858" s="13"/>
      <x:c r="BL858" s="13"/>
      <x:c r="BM858" s="13"/>
      <x:c r="BN858" s="13"/>
      <x:c r="BO858" s="13"/>
      <x:c r="BP858" s="13"/>
      <x:c r="BQ858" s="13"/>
      <x:c r="BR858" s="13"/>
      <x:c r="BS858" s="13"/>
      <x:c r="BT858" s="13"/>
      <x:c r="BU858" s="13"/>
      <x:c r="BV858" s="13"/>
      <x:c r="BW858" s="13"/>
      <x:c r="BX858" s="13"/>
      <x:c r="BY858" s="13"/>
      <x:c r="BZ858" s="13"/>
      <x:c r="CA858" s="13"/>
      <x:c r="CB858" s="13"/>
      <x:c r="CC858" s="13"/>
      <x:c r="CD858" s="13"/>
      <x:c r="CE858" s="13"/>
      <x:c r="CF858" s="13"/>
      <x:c r="CG858" s="13"/>
    </x:row>
    <x:row r="859" ht="14.25" customHeight="1">
      <x:c r="AA859" s="3"/>
      <x:c r="AF859" s="3"/>
      <x:c r="AG859" s="3"/>
      <x:c r="AH859" s="3"/>
      <x:c r="AI859" s="3"/>
      <x:c r="AJ859" s="3"/>
      <x:c r="AK859" s="3"/>
      <x:c r="AL859" s="3"/>
      <x:c r="AM859" s="3"/>
      <x:c r="AT859" s="3"/>
      <x:c r="AU859" s="3"/>
      <x:c r="AV859" s="3"/>
      <x:c r="AW859" s="3"/>
      <x:c r="AX859" s="3"/>
      <x:c r="AY859" s="3"/>
      <x:c r="AZ859" s="3"/>
      <x:c r="BA859" s="3"/>
      <x:c r="BC859" s="3"/>
      <x:c r="BD859" s="3"/>
      <x:c r="BE859" s="3"/>
      <x:c r="BF859" s="3"/>
      <x:c r="BG859" s="3"/>
      <x:c r="BH859" s="13"/>
      <x:c r="BI859" s="13"/>
      <x:c r="BJ859" s="13"/>
      <x:c r="BK859" s="13"/>
      <x:c r="BL859" s="13"/>
      <x:c r="BM859" s="13"/>
      <x:c r="BN859" s="13"/>
      <x:c r="BO859" s="13"/>
      <x:c r="BP859" s="13"/>
      <x:c r="BQ859" s="13"/>
      <x:c r="BR859" s="13"/>
      <x:c r="BS859" s="13"/>
      <x:c r="BT859" s="13"/>
      <x:c r="BU859" s="13"/>
      <x:c r="BV859" s="13"/>
      <x:c r="BW859" s="13"/>
      <x:c r="BX859" s="13"/>
      <x:c r="BY859" s="13"/>
      <x:c r="BZ859" s="13"/>
      <x:c r="CA859" s="13"/>
      <x:c r="CB859" s="13"/>
      <x:c r="CC859" s="13"/>
      <x:c r="CD859" s="13"/>
      <x:c r="CE859" s="13"/>
      <x:c r="CF859" s="13"/>
      <x:c r="CG859" s="13"/>
    </x:row>
    <x:row r="860" ht="14.25" customHeight="1">
      <x:c r="AA860" s="3"/>
      <x:c r="AF860" s="3"/>
      <x:c r="AG860" s="3"/>
      <x:c r="AH860" s="3"/>
      <x:c r="AI860" s="3"/>
      <x:c r="AJ860" s="3"/>
      <x:c r="AK860" s="3"/>
      <x:c r="AL860" s="3"/>
      <x:c r="AM860" s="3"/>
      <x:c r="AT860" s="3"/>
      <x:c r="AU860" s="3"/>
      <x:c r="AV860" s="3"/>
      <x:c r="AW860" s="3"/>
      <x:c r="AX860" s="3"/>
      <x:c r="AY860" s="3"/>
      <x:c r="AZ860" s="3"/>
      <x:c r="BA860" s="3"/>
      <x:c r="BC860" s="3"/>
      <x:c r="BD860" s="3"/>
      <x:c r="BE860" s="3"/>
      <x:c r="BF860" s="3"/>
      <x:c r="BG860" s="3"/>
      <x:c r="BH860" s="13"/>
      <x:c r="BI860" s="13"/>
      <x:c r="BJ860" s="13"/>
      <x:c r="BK860" s="13"/>
      <x:c r="BL860" s="13"/>
      <x:c r="BM860" s="13"/>
      <x:c r="BN860" s="13"/>
      <x:c r="BO860" s="13"/>
      <x:c r="BP860" s="13"/>
      <x:c r="BQ860" s="13"/>
      <x:c r="BR860" s="13"/>
      <x:c r="BS860" s="13"/>
      <x:c r="BT860" s="13"/>
      <x:c r="BU860" s="13"/>
      <x:c r="BV860" s="13"/>
      <x:c r="BW860" s="13"/>
      <x:c r="BX860" s="13"/>
      <x:c r="BY860" s="13"/>
      <x:c r="BZ860" s="13"/>
      <x:c r="CA860" s="13"/>
      <x:c r="CB860" s="13"/>
      <x:c r="CC860" s="13"/>
      <x:c r="CD860" s="13"/>
      <x:c r="CE860" s="13"/>
      <x:c r="CF860" s="13"/>
      <x:c r="CG860" s="13"/>
    </x:row>
    <x:row r="861" ht="14.25" customHeight="1">
      <x:c r="AA861" s="3"/>
      <x:c r="AF861" s="3"/>
      <x:c r="AG861" s="3"/>
      <x:c r="AH861" s="3"/>
      <x:c r="AI861" s="3"/>
      <x:c r="AJ861" s="3"/>
      <x:c r="AK861" s="3"/>
      <x:c r="AL861" s="3"/>
      <x:c r="AM861" s="3"/>
      <x:c r="AT861" s="3"/>
      <x:c r="AU861" s="3"/>
      <x:c r="AV861" s="3"/>
      <x:c r="AW861" s="3"/>
      <x:c r="AX861" s="3"/>
      <x:c r="AY861" s="3"/>
      <x:c r="AZ861" s="3"/>
      <x:c r="BA861" s="3"/>
      <x:c r="BC861" s="3"/>
      <x:c r="BD861" s="3"/>
      <x:c r="BE861" s="3"/>
      <x:c r="BF861" s="3"/>
      <x:c r="BG861" s="3"/>
      <x:c r="BH861" s="13"/>
      <x:c r="BI861" s="13"/>
      <x:c r="BJ861" s="13"/>
      <x:c r="BK861" s="13"/>
      <x:c r="BL861" s="13"/>
      <x:c r="BM861" s="13"/>
      <x:c r="BN861" s="13"/>
      <x:c r="BO861" s="13"/>
      <x:c r="BP861" s="13"/>
      <x:c r="BQ861" s="13"/>
      <x:c r="BR861" s="13"/>
      <x:c r="BS861" s="13"/>
      <x:c r="BT861" s="13"/>
      <x:c r="BU861" s="13"/>
      <x:c r="BV861" s="13"/>
      <x:c r="BW861" s="13"/>
      <x:c r="BX861" s="13"/>
      <x:c r="BY861" s="13"/>
      <x:c r="BZ861" s="13"/>
      <x:c r="CA861" s="13"/>
      <x:c r="CB861" s="13"/>
      <x:c r="CC861" s="13"/>
      <x:c r="CD861" s="13"/>
      <x:c r="CE861" s="13"/>
      <x:c r="CF861" s="13"/>
      <x:c r="CG861" s="13"/>
    </x:row>
    <x:row r="862" ht="14.25" customHeight="1">
      <x:c r="AA862" s="3"/>
      <x:c r="AF862" s="3"/>
      <x:c r="AG862" s="3"/>
      <x:c r="AH862" s="3"/>
      <x:c r="AI862" s="3"/>
      <x:c r="AJ862" s="3"/>
      <x:c r="AK862" s="3"/>
      <x:c r="AL862" s="3"/>
      <x:c r="AM862" s="3"/>
      <x:c r="AT862" s="3"/>
      <x:c r="AU862" s="3"/>
      <x:c r="AV862" s="3"/>
      <x:c r="AW862" s="3"/>
      <x:c r="AX862" s="3"/>
      <x:c r="AY862" s="3"/>
      <x:c r="AZ862" s="3"/>
      <x:c r="BA862" s="3"/>
      <x:c r="BC862" s="3"/>
      <x:c r="BD862" s="3"/>
      <x:c r="BE862" s="3"/>
      <x:c r="BF862" s="3"/>
      <x:c r="BG862" s="3"/>
      <x:c r="BH862" s="13"/>
      <x:c r="BI862" s="13"/>
      <x:c r="BJ862" s="13"/>
      <x:c r="BK862" s="13"/>
      <x:c r="BL862" s="13"/>
      <x:c r="BM862" s="13"/>
      <x:c r="BN862" s="13"/>
      <x:c r="BO862" s="13"/>
      <x:c r="BP862" s="13"/>
      <x:c r="BQ862" s="13"/>
      <x:c r="BR862" s="13"/>
      <x:c r="BS862" s="13"/>
      <x:c r="BT862" s="13"/>
      <x:c r="BU862" s="13"/>
      <x:c r="BV862" s="13"/>
      <x:c r="BW862" s="13"/>
      <x:c r="BX862" s="13"/>
      <x:c r="BY862" s="13"/>
      <x:c r="BZ862" s="13"/>
      <x:c r="CA862" s="13"/>
      <x:c r="CB862" s="13"/>
      <x:c r="CC862" s="13"/>
      <x:c r="CD862" s="13"/>
      <x:c r="CE862" s="13"/>
      <x:c r="CF862" s="13"/>
      <x:c r="CG862" s="13"/>
    </x:row>
    <x:row r="863" ht="14.25" customHeight="1">
      <x:c r="AA863" s="3"/>
      <x:c r="AF863" s="3"/>
      <x:c r="AG863" s="3"/>
      <x:c r="AH863" s="3"/>
      <x:c r="AI863" s="3"/>
      <x:c r="AJ863" s="3"/>
      <x:c r="AK863" s="3"/>
      <x:c r="AL863" s="3"/>
      <x:c r="AM863" s="3"/>
      <x:c r="AT863" s="3"/>
      <x:c r="AU863" s="3"/>
      <x:c r="AV863" s="3"/>
      <x:c r="AW863" s="3"/>
      <x:c r="AX863" s="3"/>
      <x:c r="AY863" s="3"/>
      <x:c r="AZ863" s="3"/>
      <x:c r="BA863" s="3"/>
      <x:c r="BC863" s="3"/>
      <x:c r="BD863" s="3"/>
      <x:c r="BE863" s="3"/>
      <x:c r="BF863" s="3"/>
      <x:c r="BG863" s="3"/>
      <x:c r="BH863" s="13"/>
      <x:c r="BI863" s="13"/>
      <x:c r="BJ863" s="13"/>
      <x:c r="BK863" s="13"/>
      <x:c r="BL863" s="13"/>
      <x:c r="BM863" s="13"/>
      <x:c r="BN863" s="13"/>
      <x:c r="BO863" s="13"/>
      <x:c r="BP863" s="13"/>
      <x:c r="BQ863" s="13"/>
      <x:c r="BR863" s="13"/>
      <x:c r="BS863" s="13"/>
      <x:c r="BT863" s="13"/>
      <x:c r="BU863" s="13"/>
      <x:c r="BV863" s="13"/>
      <x:c r="BW863" s="13"/>
      <x:c r="BX863" s="13"/>
      <x:c r="BY863" s="13"/>
      <x:c r="BZ863" s="13"/>
      <x:c r="CA863" s="13"/>
      <x:c r="CB863" s="13"/>
      <x:c r="CC863" s="13"/>
      <x:c r="CD863" s="13"/>
      <x:c r="CE863" s="13"/>
      <x:c r="CF863" s="13"/>
      <x:c r="CG863" s="13"/>
    </x:row>
    <x:row r="864" ht="14.25" customHeight="1">
      <x:c r="AA864" s="3"/>
      <x:c r="AF864" s="3"/>
      <x:c r="AG864" s="3"/>
      <x:c r="AH864" s="3"/>
      <x:c r="AI864" s="3"/>
      <x:c r="AJ864" s="3"/>
      <x:c r="AK864" s="3"/>
      <x:c r="AL864" s="3"/>
      <x:c r="AM864" s="3"/>
      <x:c r="AT864" s="3"/>
      <x:c r="AU864" s="3"/>
      <x:c r="AV864" s="3"/>
      <x:c r="AW864" s="3"/>
      <x:c r="AX864" s="3"/>
      <x:c r="AY864" s="3"/>
      <x:c r="AZ864" s="3"/>
      <x:c r="BA864" s="3"/>
      <x:c r="BC864" s="3"/>
      <x:c r="BD864" s="3"/>
      <x:c r="BE864" s="3"/>
      <x:c r="BF864" s="3"/>
      <x:c r="BG864" s="3"/>
      <x:c r="BH864" s="13"/>
      <x:c r="BI864" s="13"/>
      <x:c r="BJ864" s="13"/>
      <x:c r="BK864" s="13"/>
      <x:c r="BL864" s="13"/>
      <x:c r="BM864" s="13"/>
      <x:c r="BN864" s="13"/>
      <x:c r="BO864" s="13"/>
      <x:c r="BP864" s="13"/>
      <x:c r="BQ864" s="13"/>
      <x:c r="BR864" s="13"/>
      <x:c r="BS864" s="13"/>
      <x:c r="BT864" s="13"/>
      <x:c r="BU864" s="13"/>
      <x:c r="BV864" s="13"/>
      <x:c r="BW864" s="13"/>
      <x:c r="BX864" s="13"/>
      <x:c r="BY864" s="13"/>
      <x:c r="BZ864" s="13"/>
      <x:c r="CA864" s="13"/>
      <x:c r="CB864" s="13"/>
      <x:c r="CC864" s="13"/>
      <x:c r="CD864" s="13"/>
      <x:c r="CE864" s="13"/>
      <x:c r="CF864" s="13"/>
      <x:c r="CG864" s="13"/>
    </x:row>
    <x:row r="865" ht="14.25" customHeight="1">
      <x:c r="AA865" s="3"/>
      <x:c r="AF865" s="3"/>
      <x:c r="AG865" s="3"/>
      <x:c r="AH865" s="3"/>
      <x:c r="AI865" s="3"/>
      <x:c r="AJ865" s="3"/>
      <x:c r="AK865" s="3"/>
      <x:c r="AL865" s="3"/>
      <x:c r="AM865" s="3"/>
      <x:c r="AT865" s="3"/>
      <x:c r="AU865" s="3"/>
      <x:c r="AV865" s="3"/>
      <x:c r="AW865" s="3"/>
      <x:c r="AX865" s="3"/>
      <x:c r="AY865" s="3"/>
      <x:c r="AZ865" s="3"/>
      <x:c r="BA865" s="3"/>
      <x:c r="BC865" s="3"/>
      <x:c r="BD865" s="3"/>
      <x:c r="BE865" s="3"/>
      <x:c r="BF865" s="3"/>
      <x:c r="BG865" s="3"/>
      <x:c r="BH865" s="13"/>
      <x:c r="BI865" s="13"/>
      <x:c r="BJ865" s="13"/>
      <x:c r="BK865" s="13"/>
      <x:c r="BL865" s="13"/>
      <x:c r="BM865" s="13"/>
      <x:c r="BN865" s="13"/>
      <x:c r="BO865" s="13"/>
      <x:c r="BP865" s="13"/>
      <x:c r="BQ865" s="13"/>
      <x:c r="BR865" s="13"/>
      <x:c r="BS865" s="13"/>
      <x:c r="BT865" s="13"/>
      <x:c r="BU865" s="13"/>
      <x:c r="BV865" s="13"/>
      <x:c r="BW865" s="13"/>
      <x:c r="BX865" s="13"/>
      <x:c r="BY865" s="13"/>
      <x:c r="BZ865" s="13"/>
      <x:c r="CA865" s="13"/>
      <x:c r="CB865" s="13"/>
      <x:c r="CC865" s="13"/>
      <x:c r="CD865" s="13"/>
      <x:c r="CE865" s="13"/>
      <x:c r="CF865" s="13"/>
      <x:c r="CG865" s="13"/>
    </x:row>
    <x:row r="866" ht="14.25" customHeight="1">
      <x:c r="AA866" s="3"/>
      <x:c r="AF866" s="3"/>
      <x:c r="AG866" s="3"/>
      <x:c r="AH866" s="3"/>
      <x:c r="AI866" s="3"/>
      <x:c r="AJ866" s="3"/>
      <x:c r="AK866" s="3"/>
      <x:c r="AL866" s="3"/>
      <x:c r="AM866" s="3"/>
      <x:c r="AT866" s="3"/>
      <x:c r="AU866" s="3"/>
      <x:c r="AV866" s="3"/>
      <x:c r="AW866" s="3"/>
      <x:c r="AX866" s="3"/>
      <x:c r="AY866" s="3"/>
      <x:c r="AZ866" s="3"/>
      <x:c r="BA866" s="3"/>
      <x:c r="BC866" s="3"/>
      <x:c r="BD866" s="3"/>
      <x:c r="BE866" s="3"/>
      <x:c r="BF866" s="3"/>
      <x:c r="BG866" s="3"/>
      <x:c r="BH866" s="13"/>
      <x:c r="BI866" s="13"/>
      <x:c r="BJ866" s="13"/>
      <x:c r="BK866" s="13"/>
      <x:c r="BL866" s="13"/>
      <x:c r="BM866" s="13"/>
      <x:c r="BN866" s="13"/>
      <x:c r="BO866" s="13"/>
      <x:c r="BP866" s="13"/>
      <x:c r="BQ866" s="13"/>
      <x:c r="BR866" s="13"/>
      <x:c r="BS866" s="13"/>
      <x:c r="BT866" s="13"/>
      <x:c r="BU866" s="13"/>
      <x:c r="BV866" s="13"/>
      <x:c r="BW866" s="13"/>
      <x:c r="BX866" s="13"/>
      <x:c r="BY866" s="13"/>
      <x:c r="BZ866" s="13"/>
      <x:c r="CA866" s="13"/>
      <x:c r="CB866" s="13"/>
      <x:c r="CC866" s="13"/>
      <x:c r="CD866" s="13"/>
      <x:c r="CE866" s="13"/>
      <x:c r="CF866" s="13"/>
      <x:c r="CG866" s="13"/>
    </x:row>
    <x:row r="867" ht="14.25" customHeight="1">
      <x:c r="AA867" s="3"/>
      <x:c r="AF867" s="3"/>
      <x:c r="AG867" s="3"/>
      <x:c r="AH867" s="3"/>
      <x:c r="AI867" s="3"/>
      <x:c r="AJ867" s="3"/>
      <x:c r="AK867" s="3"/>
      <x:c r="AL867" s="3"/>
      <x:c r="AM867" s="3"/>
      <x:c r="AT867" s="3"/>
      <x:c r="AU867" s="3"/>
      <x:c r="AV867" s="3"/>
      <x:c r="AW867" s="3"/>
      <x:c r="AX867" s="3"/>
      <x:c r="AY867" s="3"/>
      <x:c r="AZ867" s="3"/>
      <x:c r="BA867" s="3"/>
      <x:c r="BC867" s="3"/>
      <x:c r="BD867" s="3"/>
      <x:c r="BE867" s="3"/>
      <x:c r="BF867" s="3"/>
      <x:c r="BG867" s="3"/>
      <x:c r="BH867" s="13"/>
      <x:c r="BI867" s="13"/>
      <x:c r="BJ867" s="13"/>
      <x:c r="BK867" s="13"/>
      <x:c r="BL867" s="13"/>
      <x:c r="BM867" s="13"/>
      <x:c r="BN867" s="13"/>
      <x:c r="BO867" s="13"/>
      <x:c r="BP867" s="13"/>
      <x:c r="BQ867" s="13"/>
      <x:c r="BR867" s="13"/>
      <x:c r="BS867" s="13"/>
      <x:c r="BT867" s="13"/>
      <x:c r="BU867" s="13"/>
      <x:c r="BV867" s="13"/>
      <x:c r="BW867" s="13"/>
      <x:c r="BX867" s="13"/>
      <x:c r="BY867" s="13"/>
      <x:c r="BZ867" s="13"/>
      <x:c r="CA867" s="13"/>
      <x:c r="CB867" s="13"/>
      <x:c r="CC867" s="13"/>
      <x:c r="CD867" s="13"/>
      <x:c r="CE867" s="13"/>
      <x:c r="CF867" s="13"/>
      <x:c r="CG867" s="13"/>
    </x:row>
    <x:row r="868" ht="14.25" customHeight="1">
      <x:c r="AA868" s="3"/>
      <x:c r="AF868" s="3"/>
      <x:c r="AG868" s="3"/>
      <x:c r="AH868" s="3"/>
      <x:c r="AI868" s="3"/>
      <x:c r="AJ868" s="3"/>
      <x:c r="AK868" s="3"/>
      <x:c r="AL868" s="3"/>
      <x:c r="AM868" s="3"/>
      <x:c r="AT868" s="3"/>
      <x:c r="AU868" s="3"/>
      <x:c r="AV868" s="3"/>
      <x:c r="AW868" s="3"/>
      <x:c r="AX868" s="3"/>
      <x:c r="AY868" s="3"/>
      <x:c r="AZ868" s="3"/>
      <x:c r="BA868" s="3"/>
      <x:c r="BC868" s="3"/>
      <x:c r="BD868" s="3"/>
      <x:c r="BE868" s="3"/>
      <x:c r="BF868" s="3"/>
      <x:c r="BG868" s="3"/>
      <x:c r="BH868" s="13"/>
      <x:c r="BI868" s="13"/>
      <x:c r="BJ868" s="13"/>
      <x:c r="BK868" s="13"/>
      <x:c r="BL868" s="13"/>
      <x:c r="BM868" s="13"/>
      <x:c r="BN868" s="13"/>
      <x:c r="BO868" s="13"/>
      <x:c r="BP868" s="13"/>
      <x:c r="BQ868" s="13"/>
      <x:c r="BR868" s="13"/>
      <x:c r="BS868" s="13"/>
      <x:c r="BT868" s="13"/>
      <x:c r="BU868" s="13"/>
      <x:c r="BV868" s="13"/>
      <x:c r="BW868" s="13"/>
      <x:c r="BX868" s="13"/>
      <x:c r="BY868" s="13"/>
      <x:c r="BZ868" s="13"/>
      <x:c r="CA868" s="13"/>
      <x:c r="CB868" s="13"/>
      <x:c r="CC868" s="13"/>
      <x:c r="CD868" s="13"/>
      <x:c r="CE868" s="13"/>
      <x:c r="CF868" s="13"/>
      <x:c r="CG868" s="13"/>
    </x:row>
    <x:row r="869" ht="14.25" customHeight="1">
      <x:c r="AA869" s="3"/>
      <x:c r="AF869" s="3"/>
      <x:c r="AG869" s="3"/>
      <x:c r="AH869" s="3"/>
      <x:c r="AI869" s="3"/>
      <x:c r="AJ869" s="3"/>
      <x:c r="AK869" s="3"/>
      <x:c r="AL869" s="3"/>
      <x:c r="AM869" s="3"/>
      <x:c r="AT869" s="3"/>
      <x:c r="AU869" s="3"/>
      <x:c r="AV869" s="3"/>
      <x:c r="AW869" s="3"/>
      <x:c r="AX869" s="3"/>
      <x:c r="AY869" s="3"/>
      <x:c r="AZ869" s="3"/>
      <x:c r="BA869" s="3"/>
      <x:c r="BC869" s="3"/>
      <x:c r="BD869" s="3"/>
      <x:c r="BE869" s="3"/>
      <x:c r="BF869" s="3"/>
      <x:c r="BG869" s="3"/>
      <x:c r="BH869" s="13"/>
      <x:c r="BI869" s="13"/>
      <x:c r="BJ869" s="13"/>
      <x:c r="BK869" s="13"/>
      <x:c r="BL869" s="13"/>
      <x:c r="BM869" s="13"/>
      <x:c r="BN869" s="13"/>
      <x:c r="BO869" s="13"/>
      <x:c r="BP869" s="13"/>
      <x:c r="BQ869" s="13"/>
      <x:c r="BR869" s="13"/>
      <x:c r="BS869" s="13"/>
      <x:c r="BT869" s="13"/>
      <x:c r="BU869" s="13"/>
      <x:c r="BV869" s="13"/>
      <x:c r="BW869" s="13"/>
      <x:c r="BX869" s="13"/>
      <x:c r="BY869" s="13"/>
      <x:c r="BZ869" s="13"/>
      <x:c r="CA869" s="13"/>
      <x:c r="CB869" s="13"/>
      <x:c r="CC869" s="13"/>
      <x:c r="CD869" s="13"/>
      <x:c r="CE869" s="13"/>
      <x:c r="CF869" s="13"/>
      <x:c r="CG869" s="13"/>
    </x:row>
    <x:row r="870" ht="14.25" customHeight="1">
      <x:c r="AA870" s="3"/>
      <x:c r="AF870" s="3"/>
      <x:c r="AG870" s="3"/>
      <x:c r="AH870" s="3"/>
      <x:c r="AI870" s="3"/>
      <x:c r="AJ870" s="3"/>
      <x:c r="AK870" s="3"/>
      <x:c r="AL870" s="3"/>
      <x:c r="AM870" s="3"/>
      <x:c r="AT870" s="3"/>
      <x:c r="AU870" s="3"/>
      <x:c r="AV870" s="3"/>
      <x:c r="AW870" s="3"/>
      <x:c r="AX870" s="3"/>
      <x:c r="AY870" s="3"/>
      <x:c r="AZ870" s="3"/>
      <x:c r="BA870" s="3"/>
      <x:c r="BC870" s="3"/>
      <x:c r="BD870" s="3"/>
      <x:c r="BE870" s="3"/>
      <x:c r="BF870" s="3"/>
      <x:c r="BG870" s="3"/>
      <x:c r="BH870" s="13"/>
      <x:c r="BI870" s="13"/>
      <x:c r="BJ870" s="13"/>
      <x:c r="BK870" s="13"/>
      <x:c r="BL870" s="13"/>
      <x:c r="BM870" s="13"/>
      <x:c r="BN870" s="13"/>
      <x:c r="BO870" s="13"/>
      <x:c r="BP870" s="13"/>
      <x:c r="BQ870" s="13"/>
      <x:c r="BR870" s="13"/>
      <x:c r="BS870" s="13"/>
      <x:c r="BT870" s="13"/>
      <x:c r="BU870" s="13"/>
      <x:c r="BV870" s="13"/>
      <x:c r="BW870" s="13"/>
      <x:c r="BX870" s="13"/>
      <x:c r="BY870" s="13"/>
      <x:c r="BZ870" s="13"/>
      <x:c r="CA870" s="13"/>
      <x:c r="CB870" s="13"/>
      <x:c r="CC870" s="13"/>
      <x:c r="CD870" s="13"/>
      <x:c r="CE870" s="13"/>
      <x:c r="CF870" s="13"/>
      <x:c r="CG870" s="13"/>
    </x:row>
    <x:row r="871" ht="14.25" customHeight="1">
      <x:c r="AA871" s="3"/>
      <x:c r="AF871" s="3"/>
      <x:c r="AG871" s="3"/>
      <x:c r="AH871" s="3"/>
      <x:c r="AI871" s="3"/>
      <x:c r="AJ871" s="3"/>
      <x:c r="AK871" s="3"/>
      <x:c r="AL871" s="3"/>
      <x:c r="AM871" s="3"/>
      <x:c r="AT871" s="3"/>
      <x:c r="AU871" s="3"/>
      <x:c r="AV871" s="3"/>
      <x:c r="AW871" s="3"/>
      <x:c r="AX871" s="3"/>
      <x:c r="AY871" s="3"/>
      <x:c r="AZ871" s="3"/>
      <x:c r="BA871" s="3"/>
      <x:c r="BC871" s="3"/>
      <x:c r="BD871" s="3"/>
      <x:c r="BE871" s="3"/>
      <x:c r="BF871" s="3"/>
      <x:c r="BG871" s="3"/>
      <x:c r="BH871" s="13"/>
      <x:c r="BI871" s="13"/>
      <x:c r="BJ871" s="13"/>
      <x:c r="BK871" s="13"/>
      <x:c r="BL871" s="13"/>
      <x:c r="BM871" s="13"/>
      <x:c r="BN871" s="13"/>
      <x:c r="BO871" s="13"/>
      <x:c r="BP871" s="13"/>
      <x:c r="BQ871" s="13"/>
      <x:c r="BR871" s="13"/>
      <x:c r="BS871" s="13"/>
      <x:c r="BT871" s="13"/>
      <x:c r="BU871" s="13"/>
      <x:c r="BV871" s="13"/>
      <x:c r="BW871" s="13"/>
      <x:c r="BX871" s="13"/>
      <x:c r="BY871" s="13"/>
      <x:c r="BZ871" s="13"/>
      <x:c r="CA871" s="13"/>
      <x:c r="CB871" s="13"/>
      <x:c r="CC871" s="13"/>
      <x:c r="CD871" s="13"/>
      <x:c r="CE871" s="13"/>
      <x:c r="CF871" s="13"/>
      <x:c r="CG871" s="13"/>
    </x:row>
    <x:row r="872" ht="14.25" customHeight="1">
      <x:c r="AA872" s="3"/>
      <x:c r="AF872" s="3"/>
      <x:c r="AG872" s="3"/>
      <x:c r="AH872" s="3"/>
      <x:c r="AI872" s="3"/>
      <x:c r="AJ872" s="3"/>
      <x:c r="AK872" s="3"/>
      <x:c r="AL872" s="3"/>
      <x:c r="AM872" s="3"/>
      <x:c r="AT872" s="3"/>
      <x:c r="AU872" s="3"/>
      <x:c r="AV872" s="3"/>
      <x:c r="AW872" s="3"/>
      <x:c r="AX872" s="3"/>
      <x:c r="AY872" s="3"/>
      <x:c r="AZ872" s="3"/>
      <x:c r="BA872" s="3"/>
      <x:c r="BC872" s="3"/>
      <x:c r="BD872" s="3"/>
      <x:c r="BE872" s="3"/>
      <x:c r="BF872" s="3"/>
      <x:c r="BG872" s="3"/>
      <x:c r="BH872" s="13"/>
      <x:c r="BI872" s="13"/>
      <x:c r="BJ872" s="13"/>
      <x:c r="BK872" s="13"/>
      <x:c r="BL872" s="13"/>
      <x:c r="BM872" s="13"/>
      <x:c r="BN872" s="13"/>
      <x:c r="BO872" s="13"/>
      <x:c r="BP872" s="13"/>
      <x:c r="BQ872" s="13"/>
      <x:c r="BR872" s="13"/>
      <x:c r="BS872" s="13"/>
      <x:c r="BT872" s="13"/>
      <x:c r="BU872" s="13"/>
      <x:c r="BV872" s="13"/>
      <x:c r="BW872" s="13"/>
      <x:c r="BX872" s="13"/>
      <x:c r="BY872" s="13"/>
      <x:c r="BZ872" s="13"/>
      <x:c r="CA872" s="13"/>
      <x:c r="CB872" s="13"/>
      <x:c r="CC872" s="13"/>
      <x:c r="CD872" s="13"/>
      <x:c r="CE872" s="13"/>
      <x:c r="CF872" s="13"/>
      <x:c r="CG872" s="13"/>
    </x:row>
    <x:row r="873" ht="14.25" customHeight="1">
      <x:c r="AA873" s="3"/>
      <x:c r="AF873" s="3"/>
      <x:c r="AG873" s="3"/>
      <x:c r="AH873" s="3"/>
      <x:c r="AI873" s="3"/>
      <x:c r="AJ873" s="3"/>
      <x:c r="AK873" s="3"/>
      <x:c r="AL873" s="3"/>
      <x:c r="AM873" s="3"/>
      <x:c r="AT873" s="3"/>
      <x:c r="AU873" s="3"/>
      <x:c r="AV873" s="3"/>
      <x:c r="AW873" s="3"/>
      <x:c r="AX873" s="3"/>
      <x:c r="AY873" s="3"/>
      <x:c r="AZ873" s="3"/>
      <x:c r="BA873" s="3"/>
      <x:c r="BC873" s="3"/>
      <x:c r="BD873" s="3"/>
      <x:c r="BE873" s="3"/>
      <x:c r="BF873" s="3"/>
      <x:c r="BG873" s="3"/>
      <x:c r="BH873" s="13"/>
      <x:c r="BI873" s="13"/>
      <x:c r="BJ873" s="13"/>
      <x:c r="BK873" s="13"/>
      <x:c r="BL873" s="13"/>
      <x:c r="BM873" s="13"/>
      <x:c r="BN873" s="13"/>
      <x:c r="BO873" s="13"/>
      <x:c r="BP873" s="13"/>
      <x:c r="BQ873" s="13"/>
      <x:c r="BR873" s="13"/>
      <x:c r="BS873" s="13"/>
      <x:c r="BT873" s="13"/>
      <x:c r="BU873" s="13"/>
      <x:c r="BV873" s="13"/>
      <x:c r="BW873" s="13"/>
      <x:c r="BX873" s="13"/>
      <x:c r="BY873" s="13"/>
      <x:c r="BZ873" s="13"/>
      <x:c r="CA873" s="13"/>
      <x:c r="CB873" s="13"/>
      <x:c r="CC873" s="13"/>
      <x:c r="CD873" s="13"/>
      <x:c r="CE873" s="13"/>
      <x:c r="CF873" s="13"/>
      <x:c r="CG873" s="13"/>
    </x:row>
    <x:row r="874" ht="14.25" customHeight="1">
      <x:c r="AA874" s="3"/>
      <x:c r="AF874" s="3"/>
      <x:c r="AG874" s="3"/>
      <x:c r="AH874" s="3"/>
      <x:c r="AI874" s="3"/>
      <x:c r="AJ874" s="3"/>
      <x:c r="AK874" s="3"/>
      <x:c r="AL874" s="3"/>
      <x:c r="AM874" s="3"/>
      <x:c r="AT874" s="3"/>
      <x:c r="AU874" s="3"/>
      <x:c r="AV874" s="3"/>
      <x:c r="AW874" s="3"/>
      <x:c r="AX874" s="3"/>
      <x:c r="AY874" s="3"/>
      <x:c r="AZ874" s="3"/>
      <x:c r="BA874" s="3"/>
      <x:c r="BC874" s="3"/>
      <x:c r="BD874" s="3"/>
      <x:c r="BE874" s="3"/>
      <x:c r="BF874" s="3"/>
      <x:c r="BG874" s="3"/>
      <x:c r="BH874" s="13"/>
      <x:c r="BI874" s="13"/>
      <x:c r="BJ874" s="13"/>
      <x:c r="BK874" s="13"/>
      <x:c r="BL874" s="13"/>
      <x:c r="BM874" s="13"/>
      <x:c r="BN874" s="13"/>
      <x:c r="BO874" s="13"/>
      <x:c r="BP874" s="13"/>
      <x:c r="BQ874" s="13"/>
      <x:c r="BR874" s="13"/>
      <x:c r="BS874" s="13"/>
      <x:c r="BT874" s="13"/>
      <x:c r="BU874" s="13"/>
      <x:c r="BV874" s="13"/>
      <x:c r="BW874" s="13"/>
      <x:c r="BX874" s="13"/>
      <x:c r="BY874" s="13"/>
      <x:c r="BZ874" s="13"/>
      <x:c r="CA874" s="13"/>
      <x:c r="CB874" s="13"/>
      <x:c r="CC874" s="13"/>
      <x:c r="CD874" s="13"/>
      <x:c r="CE874" s="13"/>
      <x:c r="CF874" s="13"/>
      <x:c r="CG874" s="13"/>
    </x:row>
    <x:row r="875" ht="14.25" customHeight="1">
      <x:c r="AA875" s="3"/>
      <x:c r="AF875" s="3"/>
      <x:c r="AG875" s="3"/>
      <x:c r="AH875" s="3"/>
      <x:c r="AI875" s="3"/>
      <x:c r="AJ875" s="3"/>
      <x:c r="AK875" s="3"/>
      <x:c r="AL875" s="3"/>
      <x:c r="AM875" s="3"/>
      <x:c r="AT875" s="3"/>
      <x:c r="AU875" s="3"/>
      <x:c r="AV875" s="3"/>
      <x:c r="AW875" s="3"/>
      <x:c r="AX875" s="3"/>
      <x:c r="AY875" s="3"/>
      <x:c r="AZ875" s="3"/>
      <x:c r="BA875" s="3"/>
      <x:c r="BC875" s="3"/>
      <x:c r="BD875" s="3"/>
      <x:c r="BE875" s="3"/>
      <x:c r="BF875" s="3"/>
      <x:c r="BG875" s="3"/>
      <x:c r="BH875" s="13"/>
      <x:c r="BI875" s="13"/>
      <x:c r="BJ875" s="13"/>
      <x:c r="BK875" s="13"/>
      <x:c r="BL875" s="13"/>
      <x:c r="BM875" s="13"/>
      <x:c r="BN875" s="13"/>
      <x:c r="BO875" s="13"/>
      <x:c r="BP875" s="13"/>
      <x:c r="BQ875" s="13"/>
      <x:c r="BR875" s="13"/>
      <x:c r="BS875" s="13"/>
      <x:c r="BT875" s="13"/>
      <x:c r="BU875" s="13"/>
      <x:c r="BV875" s="13"/>
      <x:c r="BW875" s="13"/>
      <x:c r="BX875" s="13"/>
      <x:c r="BY875" s="13"/>
      <x:c r="BZ875" s="13"/>
      <x:c r="CA875" s="13"/>
      <x:c r="CB875" s="13"/>
      <x:c r="CC875" s="13"/>
      <x:c r="CD875" s="13"/>
      <x:c r="CE875" s="13"/>
      <x:c r="CF875" s="13"/>
      <x:c r="CG875" s="13"/>
    </x:row>
    <x:row r="876" ht="14.25" customHeight="1">
      <x:c r="AA876" s="3"/>
      <x:c r="AF876" s="3"/>
      <x:c r="AG876" s="3"/>
      <x:c r="AH876" s="3"/>
      <x:c r="AI876" s="3"/>
      <x:c r="AJ876" s="3"/>
      <x:c r="AK876" s="3"/>
      <x:c r="AL876" s="3"/>
      <x:c r="AM876" s="3"/>
      <x:c r="AT876" s="3"/>
      <x:c r="AU876" s="3"/>
      <x:c r="AV876" s="3"/>
      <x:c r="AW876" s="3"/>
      <x:c r="AX876" s="3"/>
      <x:c r="AY876" s="3"/>
      <x:c r="AZ876" s="3"/>
      <x:c r="BA876" s="3"/>
      <x:c r="BC876" s="3"/>
      <x:c r="BD876" s="3"/>
      <x:c r="BE876" s="3"/>
      <x:c r="BF876" s="3"/>
      <x:c r="BG876" s="3"/>
      <x:c r="BH876" s="13"/>
      <x:c r="BI876" s="13"/>
      <x:c r="BJ876" s="13"/>
      <x:c r="BK876" s="13"/>
      <x:c r="BL876" s="13"/>
      <x:c r="BM876" s="13"/>
      <x:c r="BN876" s="13"/>
      <x:c r="BO876" s="13"/>
      <x:c r="BP876" s="13"/>
      <x:c r="BQ876" s="13"/>
      <x:c r="BR876" s="13"/>
      <x:c r="BS876" s="13"/>
      <x:c r="BT876" s="13"/>
      <x:c r="BU876" s="13"/>
      <x:c r="BV876" s="13"/>
      <x:c r="BW876" s="13"/>
      <x:c r="BX876" s="13"/>
      <x:c r="BY876" s="13"/>
      <x:c r="BZ876" s="13"/>
      <x:c r="CA876" s="13"/>
      <x:c r="CB876" s="13"/>
      <x:c r="CC876" s="13"/>
      <x:c r="CD876" s="13"/>
      <x:c r="CE876" s="13"/>
      <x:c r="CF876" s="13"/>
      <x:c r="CG876" s="13"/>
    </x:row>
    <x:row r="877" ht="14.25" customHeight="1">
      <x:c r="AA877" s="3"/>
      <x:c r="AF877" s="3"/>
      <x:c r="AG877" s="3"/>
      <x:c r="AH877" s="3"/>
      <x:c r="AI877" s="3"/>
      <x:c r="AJ877" s="3"/>
      <x:c r="AK877" s="3"/>
      <x:c r="AL877" s="3"/>
      <x:c r="AM877" s="3"/>
      <x:c r="AT877" s="3"/>
      <x:c r="AU877" s="3"/>
      <x:c r="AV877" s="3"/>
      <x:c r="AW877" s="3"/>
      <x:c r="AX877" s="3"/>
      <x:c r="AY877" s="3"/>
      <x:c r="AZ877" s="3"/>
      <x:c r="BA877" s="3"/>
      <x:c r="BC877" s="3"/>
      <x:c r="BD877" s="3"/>
      <x:c r="BE877" s="3"/>
      <x:c r="BF877" s="3"/>
      <x:c r="BG877" s="3"/>
      <x:c r="BH877" s="13"/>
      <x:c r="BI877" s="13"/>
      <x:c r="BJ877" s="13"/>
      <x:c r="BK877" s="13"/>
      <x:c r="BL877" s="13"/>
      <x:c r="BM877" s="13"/>
      <x:c r="BN877" s="13"/>
      <x:c r="BO877" s="13"/>
      <x:c r="BP877" s="13"/>
      <x:c r="BQ877" s="13"/>
      <x:c r="BR877" s="13"/>
      <x:c r="BS877" s="13"/>
      <x:c r="BT877" s="13"/>
      <x:c r="BU877" s="13"/>
      <x:c r="BV877" s="13"/>
      <x:c r="BW877" s="13"/>
      <x:c r="BX877" s="13"/>
      <x:c r="BY877" s="13"/>
      <x:c r="BZ877" s="13"/>
      <x:c r="CA877" s="13"/>
      <x:c r="CB877" s="13"/>
      <x:c r="CC877" s="13"/>
      <x:c r="CD877" s="13"/>
      <x:c r="CE877" s="13"/>
      <x:c r="CF877" s="13"/>
      <x:c r="CG877" s="13"/>
    </x:row>
    <x:row r="878" ht="14.25" customHeight="1">
      <x:c r="AA878" s="3"/>
      <x:c r="AF878" s="3"/>
      <x:c r="AG878" s="3"/>
      <x:c r="AH878" s="3"/>
      <x:c r="AI878" s="3"/>
      <x:c r="AJ878" s="3"/>
      <x:c r="AK878" s="3"/>
      <x:c r="AL878" s="3"/>
      <x:c r="AM878" s="3"/>
      <x:c r="AT878" s="3"/>
      <x:c r="AU878" s="3"/>
      <x:c r="AV878" s="3"/>
      <x:c r="AW878" s="3"/>
      <x:c r="AX878" s="3"/>
      <x:c r="AY878" s="3"/>
      <x:c r="AZ878" s="3"/>
      <x:c r="BA878" s="3"/>
      <x:c r="BC878" s="3"/>
      <x:c r="BD878" s="3"/>
      <x:c r="BE878" s="3"/>
      <x:c r="BF878" s="3"/>
      <x:c r="BG878" s="3"/>
      <x:c r="BH878" s="13"/>
      <x:c r="BI878" s="13"/>
      <x:c r="BJ878" s="13"/>
      <x:c r="BK878" s="13"/>
      <x:c r="BL878" s="13"/>
      <x:c r="BM878" s="13"/>
      <x:c r="BN878" s="13"/>
      <x:c r="BO878" s="13"/>
      <x:c r="BP878" s="13"/>
      <x:c r="BQ878" s="13"/>
      <x:c r="BR878" s="13"/>
      <x:c r="BS878" s="13"/>
      <x:c r="BT878" s="13"/>
      <x:c r="BU878" s="13"/>
      <x:c r="BV878" s="13"/>
      <x:c r="BW878" s="13"/>
      <x:c r="BX878" s="13"/>
      <x:c r="BY878" s="13"/>
      <x:c r="BZ878" s="13"/>
      <x:c r="CA878" s="13"/>
      <x:c r="CB878" s="13"/>
      <x:c r="CC878" s="13"/>
      <x:c r="CD878" s="13"/>
      <x:c r="CE878" s="13"/>
      <x:c r="CF878" s="13"/>
      <x:c r="CG878" s="13"/>
    </x:row>
    <x:row r="879" ht="14.25" customHeight="1">
      <x:c r="AA879" s="3"/>
      <x:c r="AF879" s="3"/>
      <x:c r="AG879" s="3"/>
      <x:c r="AH879" s="3"/>
      <x:c r="AI879" s="3"/>
      <x:c r="AJ879" s="3"/>
      <x:c r="AK879" s="3"/>
      <x:c r="AL879" s="3"/>
      <x:c r="AM879" s="3"/>
      <x:c r="AT879" s="3"/>
      <x:c r="AU879" s="3"/>
      <x:c r="AV879" s="3"/>
      <x:c r="AW879" s="3"/>
      <x:c r="AX879" s="3"/>
      <x:c r="AY879" s="3"/>
      <x:c r="AZ879" s="3"/>
      <x:c r="BA879" s="3"/>
      <x:c r="BC879" s="3"/>
      <x:c r="BD879" s="3"/>
      <x:c r="BE879" s="3"/>
      <x:c r="BF879" s="3"/>
      <x:c r="BG879" s="3"/>
      <x:c r="BH879" s="13"/>
      <x:c r="BI879" s="13"/>
      <x:c r="BJ879" s="13"/>
      <x:c r="BK879" s="13"/>
      <x:c r="BL879" s="13"/>
      <x:c r="BM879" s="13"/>
      <x:c r="BN879" s="13"/>
      <x:c r="BO879" s="13"/>
      <x:c r="BP879" s="13"/>
      <x:c r="BQ879" s="13"/>
      <x:c r="BR879" s="13"/>
      <x:c r="BS879" s="13"/>
      <x:c r="BT879" s="13"/>
      <x:c r="BU879" s="13"/>
      <x:c r="BV879" s="13"/>
      <x:c r="BW879" s="13"/>
      <x:c r="BX879" s="13"/>
      <x:c r="BY879" s="13"/>
      <x:c r="BZ879" s="13"/>
      <x:c r="CA879" s="13"/>
      <x:c r="CB879" s="13"/>
      <x:c r="CC879" s="13"/>
      <x:c r="CD879" s="13"/>
      <x:c r="CE879" s="13"/>
      <x:c r="CF879" s="13"/>
      <x:c r="CG879" s="13"/>
    </x:row>
    <x:row r="880" ht="14.25" customHeight="1">
      <x:c r="AA880" s="3"/>
      <x:c r="AF880" s="3"/>
      <x:c r="AG880" s="3"/>
      <x:c r="AH880" s="3"/>
      <x:c r="AI880" s="3"/>
      <x:c r="AJ880" s="3"/>
      <x:c r="AK880" s="3"/>
      <x:c r="AL880" s="3"/>
      <x:c r="AM880" s="3"/>
      <x:c r="AT880" s="3"/>
      <x:c r="AU880" s="3"/>
      <x:c r="AV880" s="3"/>
      <x:c r="AW880" s="3"/>
      <x:c r="AX880" s="3"/>
      <x:c r="AY880" s="3"/>
      <x:c r="AZ880" s="3"/>
      <x:c r="BA880" s="3"/>
      <x:c r="BC880" s="3"/>
      <x:c r="BD880" s="3"/>
      <x:c r="BE880" s="3"/>
      <x:c r="BF880" s="3"/>
      <x:c r="BG880" s="3"/>
      <x:c r="BH880" s="13"/>
      <x:c r="BI880" s="13"/>
      <x:c r="BJ880" s="13"/>
      <x:c r="BK880" s="13"/>
      <x:c r="BL880" s="13"/>
      <x:c r="BM880" s="13"/>
      <x:c r="BN880" s="13"/>
      <x:c r="BO880" s="13"/>
      <x:c r="BP880" s="13"/>
      <x:c r="BQ880" s="13"/>
      <x:c r="BR880" s="13"/>
      <x:c r="BS880" s="13"/>
      <x:c r="BT880" s="13"/>
      <x:c r="BU880" s="13"/>
      <x:c r="BV880" s="13"/>
      <x:c r="BW880" s="13"/>
      <x:c r="BX880" s="13"/>
      <x:c r="BY880" s="13"/>
      <x:c r="BZ880" s="13"/>
      <x:c r="CA880" s="13"/>
      <x:c r="CB880" s="13"/>
      <x:c r="CC880" s="13"/>
      <x:c r="CD880" s="13"/>
      <x:c r="CE880" s="13"/>
      <x:c r="CF880" s="13"/>
      <x:c r="CG880" s="13"/>
    </x:row>
    <x:row r="881" ht="14.25" customHeight="1">
      <x:c r="AA881" s="3"/>
      <x:c r="AF881" s="3"/>
      <x:c r="AG881" s="3"/>
      <x:c r="AH881" s="3"/>
      <x:c r="AI881" s="3"/>
      <x:c r="AJ881" s="3"/>
      <x:c r="AK881" s="3"/>
      <x:c r="AL881" s="3"/>
      <x:c r="AM881" s="3"/>
      <x:c r="AT881" s="3"/>
      <x:c r="AU881" s="3"/>
      <x:c r="AV881" s="3"/>
      <x:c r="AW881" s="3"/>
      <x:c r="AX881" s="3"/>
      <x:c r="AY881" s="3"/>
      <x:c r="AZ881" s="3"/>
      <x:c r="BA881" s="3"/>
      <x:c r="BC881" s="3"/>
      <x:c r="BD881" s="3"/>
      <x:c r="BE881" s="3"/>
      <x:c r="BF881" s="3"/>
      <x:c r="BG881" s="3"/>
      <x:c r="BH881" s="13"/>
      <x:c r="BI881" s="13"/>
      <x:c r="BJ881" s="13"/>
      <x:c r="BK881" s="13"/>
      <x:c r="BL881" s="13"/>
      <x:c r="BM881" s="13"/>
      <x:c r="BN881" s="13"/>
      <x:c r="BO881" s="13"/>
      <x:c r="BP881" s="13"/>
      <x:c r="BQ881" s="13"/>
      <x:c r="BR881" s="13"/>
      <x:c r="BS881" s="13"/>
      <x:c r="BT881" s="13"/>
      <x:c r="BU881" s="13"/>
      <x:c r="BV881" s="13"/>
      <x:c r="BW881" s="13"/>
      <x:c r="BX881" s="13"/>
      <x:c r="BY881" s="13"/>
      <x:c r="BZ881" s="13"/>
      <x:c r="CA881" s="13"/>
      <x:c r="CB881" s="13"/>
      <x:c r="CC881" s="13"/>
      <x:c r="CD881" s="13"/>
      <x:c r="CE881" s="13"/>
      <x:c r="CF881" s="13"/>
      <x:c r="CG881" s="13"/>
    </x:row>
    <x:row r="882" ht="14.25" customHeight="1">
      <x:c r="AA882" s="3"/>
      <x:c r="AF882" s="3"/>
      <x:c r="AG882" s="3"/>
      <x:c r="AH882" s="3"/>
      <x:c r="AI882" s="3"/>
      <x:c r="AJ882" s="3"/>
      <x:c r="AK882" s="3"/>
      <x:c r="AL882" s="3"/>
      <x:c r="AM882" s="3"/>
      <x:c r="AT882" s="3"/>
      <x:c r="AU882" s="3"/>
      <x:c r="AV882" s="3"/>
      <x:c r="AW882" s="3"/>
      <x:c r="AX882" s="3"/>
      <x:c r="AY882" s="3"/>
      <x:c r="AZ882" s="3"/>
      <x:c r="BA882" s="3"/>
      <x:c r="BC882" s="3"/>
      <x:c r="BD882" s="3"/>
      <x:c r="BE882" s="3"/>
      <x:c r="BF882" s="3"/>
      <x:c r="BG882" s="3"/>
      <x:c r="BH882" s="13"/>
      <x:c r="BI882" s="13"/>
      <x:c r="BJ882" s="13"/>
      <x:c r="BK882" s="13"/>
      <x:c r="BL882" s="13"/>
      <x:c r="BM882" s="13"/>
      <x:c r="BN882" s="13"/>
      <x:c r="BO882" s="13"/>
      <x:c r="BP882" s="13"/>
      <x:c r="BQ882" s="13"/>
      <x:c r="BR882" s="13"/>
      <x:c r="BS882" s="13"/>
      <x:c r="BT882" s="13"/>
      <x:c r="BU882" s="13"/>
      <x:c r="BV882" s="13"/>
      <x:c r="BW882" s="13"/>
      <x:c r="BX882" s="13"/>
      <x:c r="BY882" s="13"/>
      <x:c r="BZ882" s="13"/>
      <x:c r="CA882" s="13"/>
      <x:c r="CB882" s="13"/>
      <x:c r="CC882" s="13"/>
      <x:c r="CD882" s="13"/>
      <x:c r="CE882" s="13"/>
      <x:c r="CF882" s="13"/>
      <x:c r="CG882" s="13"/>
    </x:row>
    <x:row r="883" ht="14.25" customHeight="1">
      <x:c r="AA883" s="3"/>
      <x:c r="AF883" s="3"/>
      <x:c r="AG883" s="3"/>
      <x:c r="AH883" s="3"/>
      <x:c r="AI883" s="3"/>
      <x:c r="AJ883" s="3"/>
      <x:c r="AK883" s="3"/>
      <x:c r="AL883" s="3"/>
      <x:c r="AM883" s="3"/>
      <x:c r="AT883" s="3"/>
      <x:c r="AU883" s="3"/>
      <x:c r="AV883" s="3"/>
      <x:c r="AW883" s="3"/>
      <x:c r="AX883" s="3"/>
      <x:c r="AY883" s="3"/>
      <x:c r="AZ883" s="3"/>
      <x:c r="BA883" s="3"/>
      <x:c r="BC883" s="3"/>
      <x:c r="BD883" s="3"/>
      <x:c r="BE883" s="3"/>
      <x:c r="BF883" s="3"/>
      <x:c r="BG883" s="3"/>
      <x:c r="BH883" s="13"/>
      <x:c r="BI883" s="13"/>
      <x:c r="BJ883" s="13"/>
      <x:c r="BK883" s="13"/>
      <x:c r="BL883" s="13"/>
      <x:c r="BM883" s="13"/>
      <x:c r="BN883" s="13"/>
      <x:c r="BO883" s="13"/>
      <x:c r="BP883" s="13"/>
      <x:c r="BQ883" s="13"/>
      <x:c r="BR883" s="13"/>
      <x:c r="BS883" s="13"/>
      <x:c r="BT883" s="13"/>
      <x:c r="BU883" s="13"/>
      <x:c r="BV883" s="13"/>
      <x:c r="BW883" s="13"/>
      <x:c r="BX883" s="13"/>
      <x:c r="BY883" s="13"/>
      <x:c r="BZ883" s="13"/>
      <x:c r="CA883" s="13"/>
      <x:c r="CB883" s="13"/>
      <x:c r="CC883" s="13"/>
      <x:c r="CD883" s="13"/>
      <x:c r="CE883" s="13"/>
      <x:c r="CF883" s="13"/>
      <x:c r="CG883" s="13"/>
    </x:row>
    <x:row r="884" ht="14.25" customHeight="1">
      <x:c r="AA884" s="3"/>
      <x:c r="AF884" s="3"/>
      <x:c r="AG884" s="3"/>
      <x:c r="AH884" s="3"/>
      <x:c r="AI884" s="3"/>
      <x:c r="AJ884" s="3"/>
      <x:c r="AK884" s="3"/>
      <x:c r="AL884" s="3"/>
      <x:c r="AM884" s="3"/>
      <x:c r="AT884" s="3"/>
      <x:c r="AU884" s="3"/>
      <x:c r="AV884" s="3"/>
      <x:c r="AW884" s="3"/>
      <x:c r="AX884" s="3"/>
      <x:c r="AY884" s="3"/>
      <x:c r="AZ884" s="3"/>
      <x:c r="BA884" s="3"/>
      <x:c r="BC884" s="3"/>
      <x:c r="BD884" s="3"/>
      <x:c r="BE884" s="3"/>
      <x:c r="BF884" s="3"/>
      <x:c r="BG884" s="3"/>
      <x:c r="BH884" s="13"/>
      <x:c r="BI884" s="13"/>
      <x:c r="BJ884" s="13"/>
      <x:c r="BK884" s="13"/>
      <x:c r="BL884" s="13"/>
      <x:c r="BM884" s="13"/>
      <x:c r="BN884" s="13"/>
      <x:c r="BO884" s="13"/>
      <x:c r="BP884" s="13"/>
      <x:c r="BQ884" s="13"/>
      <x:c r="BR884" s="13"/>
      <x:c r="BS884" s="13"/>
      <x:c r="BT884" s="13"/>
      <x:c r="BU884" s="13"/>
      <x:c r="BV884" s="13"/>
      <x:c r="BW884" s="13"/>
      <x:c r="BX884" s="13"/>
      <x:c r="BY884" s="13"/>
      <x:c r="BZ884" s="13"/>
      <x:c r="CA884" s="13"/>
      <x:c r="CB884" s="13"/>
      <x:c r="CC884" s="13"/>
      <x:c r="CD884" s="13"/>
      <x:c r="CE884" s="13"/>
      <x:c r="CF884" s="13"/>
      <x:c r="CG884" s="13"/>
    </x:row>
    <x:row r="885" ht="14.25" customHeight="1">
      <x:c r="AA885" s="3"/>
      <x:c r="AF885" s="3"/>
      <x:c r="AG885" s="3"/>
      <x:c r="AH885" s="3"/>
      <x:c r="AI885" s="3"/>
      <x:c r="AJ885" s="3"/>
      <x:c r="AK885" s="3"/>
      <x:c r="AL885" s="3"/>
      <x:c r="AM885" s="3"/>
      <x:c r="AT885" s="3"/>
      <x:c r="AU885" s="3"/>
      <x:c r="AV885" s="3"/>
      <x:c r="AW885" s="3"/>
      <x:c r="AX885" s="3"/>
      <x:c r="AY885" s="3"/>
      <x:c r="AZ885" s="3"/>
      <x:c r="BA885" s="3"/>
      <x:c r="BC885" s="3"/>
      <x:c r="BD885" s="3"/>
      <x:c r="BE885" s="3"/>
      <x:c r="BF885" s="3"/>
      <x:c r="BG885" s="3"/>
      <x:c r="BH885" s="13"/>
      <x:c r="BI885" s="13"/>
      <x:c r="BJ885" s="13"/>
      <x:c r="BK885" s="13"/>
      <x:c r="BL885" s="13"/>
      <x:c r="BM885" s="13"/>
      <x:c r="BN885" s="13"/>
      <x:c r="BO885" s="13"/>
      <x:c r="BP885" s="13"/>
      <x:c r="BQ885" s="13"/>
      <x:c r="BR885" s="13"/>
      <x:c r="BS885" s="13"/>
      <x:c r="BT885" s="13"/>
      <x:c r="BU885" s="13"/>
      <x:c r="BV885" s="13"/>
      <x:c r="BW885" s="13"/>
      <x:c r="BX885" s="13"/>
      <x:c r="BY885" s="13"/>
      <x:c r="BZ885" s="13"/>
      <x:c r="CA885" s="13"/>
      <x:c r="CB885" s="13"/>
      <x:c r="CC885" s="13"/>
      <x:c r="CD885" s="13"/>
      <x:c r="CE885" s="13"/>
      <x:c r="CF885" s="13"/>
      <x:c r="CG885" s="13"/>
    </x:row>
    <x:row r="886" ht="14.25" customHeight="1">
      <x:c r="AA886" s="3"/>
      <x:c r="AF886" s="3"/>
      <x:c r="AG886" s="3"/>
      <x:c r="AH886" s="3"/>
      <x:c r="AI886" s="3"/>
      <x:c r="AJ886" s="3"/>
      <x:c r="AK886" s="3"/>
      <x:c r="AL886" s="3"/>
      <x:c r="AM886" s="3"/>
      <x:c r="AT886" s="3"/>
      <x:c r="AU886" s="3"/>
      <x:c r="AV886" s="3"/>
      <x:c r="AW886" s="3"/>
      <x:c r="AX886" s="3"/>
      <x:c r="AY886" s="3"/>
      <x:c r="AZ886" s="3"/>
      <x:c r="BA886" s="3"/>
      <x:c r="BC886" s="3"/>
      <x:c r="BD886" s="3"/>
      <x:c r="BE886" s="3"/>
      <x:c r="BF886" s="3"/>
      <x:c r="BG886" s="3"/>
      <x:c r="BH886" s="13"/>
      <x:c r="BI886" s="13"/>
      <x:c r="BJ886" s="13"/>
      <x:c r="BK886" s="13"/>
      <x:c r="BL886" s="13"/>
      <x:c r="BM886" s="13"/>
      <x:c r="BN886" s="13"/>
      <x:c r="BO886" s="13"/>
      <x:c r="BP886" s="13"/>
      <x:c r="BQ886" s="13"/>
      <x:c r="BR886" s="13"/>
      <x:c r="BS886" s="13"/>
      <x:c r="BT886" s="13"/>
      <x:c r="BU886" s="13"/>
      <x:c r="BV886" s="13"/>
      <x:c r="BW886" s="13"/>
      <x:c r="BX886" s="13"/>
      <x:c r="BY886" s="13"/>
      <x:c r="BZ886" s="13"/>
      <x:c r="CA886" s="13"/>
      <x:c r="CB886" s="13"/>
      <x:c r="CC886" s="13"/>
      <x:c r="CD886" s="13"/>
      <x:c r="CE886" s="13"/>
      <x:c r="CF886" s="13"/>
      <x:c r="CG886" s="13"/>
    </x:row>
    <x:row r="887" ht="14.25" customHeight="1">
      <x:c r="AA887" s="3"/>
      <x:c r="AF887" s="3"/>
      <x:c r="AG887" s="3"/>
      <x:c r="AH887" s="3"/>
      <x:c r="AI887" s="3"/>
      <x:c r="AJ887" s="3"/>
      <x:c r="AK887" s="3"/>
      <x:c r="AL887" s="3"/>
      <x:c r="AM887" s="3"/>
      <x:c r="AT887" s="3"/>
      <x:c r="AU887" s="3"/>
      <x:c r="AV887" s="3"/>
      <x:c r="AW887" s="3"/>
      <x:c r="AX887" s="3"/>
      <x:c r="AY887" s="3"/>
      <x:c r="AZ887" s="3"/>
      <x:c r="BA887" s="3"/>
      <x:c r="BC887" s="3"/>
      <x:c r="BD887" s="3"/>
      <x:c r="BE887" s="3"/>
      <x:c r="BF887" s="3"/>
      <x:c r="BG887" s="3"/>
      <x:c r="BH887" s="13"/>
      <x:c r="BI887" s="13"/>
      <x:c r="BJ887" s="13"/>
      <x:c r="BK887" s="13"/>
      <x:c r="BL887" s="13"/>
      <x:c r="BM887" s="13"/>
      <x:c r="BN887" s="13"/>
      <x:c r="BO887" s="13"/>
      <x:c r="BP887" s="13"/>
      <x:c r="BQ887" s="13"/>
      <x:c r="BR887" s="13"/>
      <x:c r="BS887" s="13"/>
      <x:c r="BT887" s="13"/>
      <x:c r="BU887" s="13"/>
      <x:c r="BV887" s="13"/>
      <x:c r="BW887" s="13"/>
      <x:c r="BX887" s="13"/>
      <x:c r="BY887" s="13"/>
      <x:c r="BZ887" s="13"/>
      <x:c r="CA887" s="13"/>
      <x:c r="CB887" s="13"/>
      <x:c r="CC887" s="13"/>
      <x:c r="CD887" s="13"/>
      <x:c r="CE887" s="13"/>
      <x:c r="CF887" s="13"/>
      <x:c r="CG887" s="13"/>
    </x:row>
    <x:row r="888" ht="14.25" customHeight="1">
      <x:c r="AA888" s="3"/>
      <x:c r="AF888" s="3"/>
      <x:c r="AG888" s="3"/>
      <x:c r="AH888" s="3"/>
      <x:c r="AI888" s="3"/>
      <x:c r="AJ888" s="3"/>
      <x:c r="AK888" s="3"/>
      <x:c r="AL888" s="3"/>
      <x:c r="AM888" s="3"/>
      <x:c r="AT888" s="3"/>
      <x:c r="AU888" s="3"/>
      <x:c r="AV888" s="3"/>
      <x:c r="AW888" s="3"/>
      <x:c r="AX888" s="3"/>
      <x:c r="AY888" s="3"/>
      <x:c r="AZ888" s="3"/>
      <x:c r="BA888" s="3"/>
      <x:c r="BC888" s="3"/>
      <x:c r="BD888" s="3"/>
      <x:c r="BE888" s="3"/>
      <x:c r="BF888" s="3"/>
      <x:c r="BG888" s="3"/>
      <x:c r="BH888" s="13"/>
      <x:c r="BI888" s="13"/>
      <x:c r="BJ888" s="13"/>
      <x:c r="BK888" s="13"/>
      <x:c r="BL888" s="13"/>
      <x:c r="BM888" s="13"/>
      <x:c r="BN888" s="13"/>
      <x:c r="BO888" s="13"/>
      <x:c r="BP888" s="13"/>
      <x:c r="BQ888" s="13"/>
      <x:c r="BR888" s="13"/>
      <x:c r="BS888" s="13"/>
      <x:c r="BT888" s="13"/>
      <x:c r="BU888" s="13"/>
      <x:c r="BV888" s="13"/>
      <x:c r="BW888" s="13"/>
      <x:c r="BX888" s="13"/>
      <x:c r="BY888" s="13"/>
      <x:c r="BZ888" s="13"/>
      <x:c r="CA888" s="13"/>
      <x:c r="CB888" s="13"/>
      <x:c r="CC888" s="13"/>
      <x:c r="CD888" s="13"/>
      <x:c r="CE888" s="13"/>
      <x:c r="CF888" s="13"/>
      <x:c r="CG888" s="13"/>
    </x:row>
    <x:row r="889" ht="14.25" customHeight="1">
      <x:c r="AA889" s="3"/>
      <x:c r="AF889" s="3"/>
      <x:c r="AG889" s="3"/>
      <x:c r="AH889" s="3"/>
      <x:c r="AI889" s="3"/>
      <x:c r="AJ889" s="3"/>
      <x:c r="AK889" s="3"/>
      <x:c r="AL889" s="3"/>
      <x:c r="AM889" s="3"/>
      <x:c r="AT889" s="3"/>
      <x:c r="AU889" s="3"/>
      <x:c r="AV889" s="3"/>
      <x:c r="AW889" s="3"/>
      <x:c r="AX889" s="3"/>
      <x:c r="AY889" s="3"/>
      <x:c r="AZ889" s="3"/>
      <x:c r="BA889" s="3"/>
      <x:c r="BC889" s="3"/>
      <x:c r="BD889" s="3"/>
      <x:c r="BE889" s="3"/>
      <x:c r="BF889" s="3"/>
      <x:c r="BG889" s="3"/>
      <x:c r="BH889" s="13"/>
      <x:c r="BI889" s="13"/>
      <x:c r="BJ889" s="13"/>
      <x:c r="BK889" s="13"/>
      <x:c r="BL889" s="13"/>
      <x:c r="BM889" s="13"/>
      <x:c r="BN889" s="13"/>
      <x:c r="BO889" s="13"/>
      <x:c r="BP889" s="13"/>
      <x:c r="BQ889" s="13"/>
      <x:c r="BR889" s="13"/>
      <x:c r="BS889" s="13"/>
      <x:c r="BT889" s="13"/>
      <x:c r="BU889" s="13"/>
      <x:c r="BV889" s="13"/>
      <x:c r="BW889" s="13"/>
      <x:c r="BX889" s="13"/>
      <x:c r="BY889" s="13"/>
      <x:c r="BZ889" s="13"/>
      <x:c r="CA889" s="13"/>
      <x:c r="CB889" s="13"/>
      <x:c r="CC889" s="13"/>
      <x:c r="CD889" s="13"/>
      <x:c r="CE889" s="13"/>
      <x:c r="CF889" s="13"/>
      <x:c r="CG889" s="13"/>
    </x:row>
    <x:row r="890" ht="14.25" customHeight="1">
      <x:c r="AA890" s="3"/>
      <x:c r="AF890" s="3"/>
      <x:c r="AG890" s="3"/>
      <x:c r="AH890" s="3"/>
      <x:c r="AI890" s="3"/>
      <x:c r="AJ890" s="3"/>
      <x:c r="AK890" s="3"/>
      <x:c r="AL890" s="3"/>
      <x:c r="AM890" s="3"/>
      <x:c r="AT890" s="3"/>
      <x:c r="AU890" s="3"/>
      <x:c r="AV890" s="3"/>
      <x:c r="AW890" s="3"/>
      <x:c r="AX890" s="3"/>
      <x:c r="AY890" s="3"/>
      <x:c r="AZ890" s="3"/>
      <x:c r="BA890" s="3"/>
      <x:c r="BC890" s="3"/>
      <x:c r="BD890" s="3"/>
      <x:c r="BE890" s="3"/>
      <x:c r="BF890" s="3"/>
      <x:c r="BG890" s="3"/>
      <x:c r="BH890" s="13"/>
      <x:c r="BI890" s="13"/>
      <x:c r="BJ890" s="13"/>
      <x:c r="BK890" s="13"/>
      <x:c r="BL890" s="13"/>
      <x:c r="BM890" s="13"/>
      <x:c r="BN890" s="13"/>
      <x:c r="BO890" s="13"/>
      <x:c r="BP890" s="13"/>
      <x:c r="BQ890" s="13"/>
      <x:c r="BR890" s="13"/>
      <x:c r="BS890" s="13"/>
      <x:c r="BT890" s="13"/>
      <x:c r="BU890" s="13"/>
      <x:c r="BV890" s="13"/>
      <x:c r="BW890" s="13"/>
      <x:c r="BX890" s="13"/>
      <x:c r="BY890" s="13"/>
      <x:c r="BZ890" s="13"/>
      <x:c r="CA890" s="13"/>
      <x:c r="CB890" s="13"/>
      <x:c r="CC890" s="13"/>
      <x:c r="CD890" s="13"/>
      <x:c r="CE890" s="13"/>
      <x:c r="CF890" s="13"/>
      <x:c r="CG890" s="13"/>
    </x:row>
    <x:row r="891" ht="14.25" customHeight="1">
      <x:c r="AA891" s="3"/>
      <x:c r="AF891" s="3"/>
      <x:c r="AG891" s="3"/>
      <x:c r="AH891" s="3"/>
      <x:c r="AI891" s="3"/>
      <x:c r="AJ891" s="3"/>
      <x:c r="AK891" s="3"/>
      <x:c r="AL891" s="3"/>
      <x:c r="AM891" s="3"/>
      <x:c r="AT891" s="3"/>
      <x:c r="AU891" s="3"/>
      <x:c r="AV891" s="3"/>
      <x:c r="AW891" s="3"/>
      <x:c r="AX891" s="3"/>
      <x:c r="AY891" s="3"/>
      <x:c r="AZ891" s="3"/>
      <x:c r="BA891" s="3"/>
      <x:c r="BC891" s="3"/>
      <x:c r="BD891" s="3"/>
      <x:c r="BE891" s="3"/>
      <x:c r="BF891" s="3"/>
      <x:c r="BG891" s="3"/>
      <x:c r="BH891" s="13"/>
      <x:c r="BI891" s="13"/>
      <x:c r="BJ891" s="13"/>
      <x:c r="BK891" s="13"/>
      <x:c r="BL891" s="13"/>
      <x:c r="BM891" s="13"/>
      <x:c r="BN891" s="13"/>
      <x:c r="BO891" s="13"/>
      <x:c r="BP891" s="13"/>
      <x:c r="BQ891" s="13"/>
      <x:c r="BR891" s="13"/>
      <x:c r="BS891" s="13"/>
      <x:c r="BT891" s="13"/>
      <x:c r="BU891" s="13"/>
      <x:c r="BV891" s="13"/>
      <x:c r="BW891" s="13"/>
      <x:c r="BX891" s="13"/>
      <x:c r="BY891" s="13"/>
      <x:c r="BZ891" s="13"/>
      <x:c r="CA891" s="13"/>
      <x:c r="CB891" s="13"/>
      <x:c r="CC891" s="13"/>
      <x:c r="CD891" s="13"/>
      <x:c r="CE891" s="13"/>
      <x:c r="CF891" s="13"/>
      <x:c r="CG891" s="13"/>
    </x:row>
    <x:row r="892" ht="14.25" customHeight="1">
      <x:c r="AA892" s="3"/>
      <x:c r="AF892" s="3"/>
      <x:c r="AG892" s="3"/>
      <x:c r="AH892" s="3"/>
      <x:c r="AI892" s="3"/>
      <x:c r="AJ892" s="3"/>
      <x:c r="AK892" s="3"/>
      <x:c r="AL892" s="3"/>
      <x:c r="AM892" s="3"/>
      <x:c r="AT892" s="3"/>
      <x:c r="AU892" s="3"/>
      <x:c r="AV892" s="3"/>
      <x:c r="AW892" s="3"/>
      <x:c r="AX892" s="3"/>
      <x:c r="AY892" s="3"/>
      <x:c r="AZ892" s="3"/>
      <x:c r="BA892" s="3"/>
      <x:c r="BC892" s="3"/>
      <x:c r="BD892" s="3"/>
      <x:c r="BE892" s="3"/>
      <x:c r="BF892" s="3"/>
      <x:c r="BG892" s="3"/>
      <x:c r="BH892" s="13"/>
      <x:c r="BI892" s="13"/>
      <x:c r="BJ892" s="13"/>
      <x:c r="BK892" s="13"/>
      <x:c r="BL892" s="13"/>
      <x:c r="BM892" s="13"/>
      <x:c r="BN892" s="13"/>
      <x:c r="BO892" s="13"/>
      <x:c r="BP892" s="13"/>
      <x:c r="BQ892" s="13"/>
      <x:c r="BR892" s="13"/>
      <x:c r="BS892" s="13"/>
      <x:c r="BT892" s="13"/>
      <x:c r="BU892" s="13"/>
      <x:c r="BV892" s="13"/>
      <x:c r="BW892" s="13"/>
      <x:c r="BX892" s="13"/>
      <x:c r="BY892" s="13"/>
      <x:c r="BZ892" s="13"/>
      <x:c r="CA892" s="13"/>
      <x:c r="CB892" s="13"/>
      <x:c r="CC892" s="13"/>
      <x:c r="CD892" s="13"/>
      <x:c r="CE892" s="13"/>
      <x:c r="CF892" s="13"/>
      <x:c r="CG892" s="13"/>
    </x:row>
    <x:row r="893" ht="14.25" customHeight="1">
      <x:c r="AA893" s="3"/>
      <x:c r="AF893" s="3"/>
      <x:c r="AG893" s="3"/>
      <x:c r="AH893" s="3"/>
      <x:c r="AI893" s="3"/>
      <x:c r="AJ893" s="3"/>
      <x:c r="AK893" s="3"/>
      <x:c r="AL893" s="3"/>
      <x:c r="AM893" s="3"/>
      <x:c r="AT893" s="3"/>
      <x:c r="AU893" s="3"/>
      <x:c r="AV893" s="3"/>
      <x:c r="AW893" s="3"/>
      <x:c r="AX893" s="3"/>
      <x:c r="AY893" s="3"/>
      <x:c r="AZ893" s="3"/>
      <x:c r="BA893" s="3"/>
      <x:c r="BC893" s="3"/>
      <x:c r="BD893" s="3"/>
      <x:c r="BE893" s="3"/>
      <x:c r="BF893" s="3"/>
      <x:c r="BG893" s="3"/>
      <x:c r="BH893" s="13"/>
      <x:c r="BI893" s="13"/>
      <x:c r="BJ893" s="13"/>
      <x:c r="BK893" s="13"/>
      <x:c r="BL893" s="13"/>
      <x:c r="BM893" s="13"/>
      <x:c r="BN893" s="13"/>
      <x:c r="BO893" s="13"/>
      <x:c r="BP893" s="13"/>
      <x:c r="BQ893" s="13"/>
      <x:c r="BR893" s="13"/>
      <x:c r="BS893" s="13"/>
      <x:c r="BT893" s="13"/>
      <x:c r="BU893" s="13"/>
      <x:c r="BV893" s="13"/>
      <x:c r="BW893" s="13"/>
      <x:c r="BX893" s="13"/>
      <x:c r="BY893" s="13"/>
      <x:c r="BZ893" s="13"/>
      <x:c r="CA893" s="13"/>
      <x:c r="CB893" s="13"/>
      <x:c r="CC893" s="13"/>
      <x:c r="CD893" s="13"/>
      <x:c r="CE893" s="13"/>
      <x:c r="CF893" s="13"/>
      <x:c r="CG893" s="13"/>
    </x:row>
    <x:row r="894" ht="14.25" customHeight="1">
      <x:c r="AA894" s="3"/>
      <x:c r="AF894" s="3"/>
      <x:c r="AG894" s="3"/>
      <x:c r="AH894" s="3"/>
      <x:c r="AI894" s="3"/>
      <x:c r="AJ894" s="3"/>
      <x:c r="AK894" s="3"/>
      <x:c r="AL894" s="3"/>
      <x:c r="AM894" s="3"/>
      <x:c r="AT894" s="3"/>
      <x:c r="AU894" s="3"/>
      <x:c r="AV894" s="3"/>
      <x:c r="AW894" s="3"/>
      <x:c r="AX894" s="3"/>
      <x:c r="AY894" s="3"/>
      <x:c r="AZ894" s="3"/>
      <x:c r="BA894" s="3"/>
      <x:c r="BC894" s="3"/>
      <x:c r="BD894" s="3"/>
      <x:c r="BE894" s="3"/>
      <x:c r="BF894" s="3"/>
      <x:c r="BG894" s="3"/>
      <x:c r="BH894" s="13"/>
      <x:c r="BI894" s="13"/>
      <x:c r="BJ894" s="13"/>
      <x:c r="BK894" s="13"/>
      <x:c r="BL894" s="13"/>
      <x:c r="BM894" s="13"/>
      <x:c r="BN894" s="13"/>
      <x:c r="BO894" s="13"/>
      <x:c r="BP894" s="13"/>
      <x:c r="BQ894" s="13"/>
      <x:c r="BR894" s="13"/>
      <x:c r="BS894" s="13"/>
      <x:c r="BT894" s="13"/>
      <x:c r="BU894" s="13"/>
      <x:c r="BV894" s="13"/>
      <x:c r="BW894" s="13"/>
      <x:c r="BX894" s="13"/>
      <x:c r="BY894" s="13"/>
      <x:c r="BZ894" s="13"/>
      <x:c r="CA894" s="13"/>
      <x:c r="CB894" s="13"/>
      <x:c r="CC894" s="13"/>
      <x:c r="CD894" s="13"/>
      <x:c r="CE894" s="13"/>
      <x:c r="CF894" s="13"/>
      <x:c r="CG894" s="13"/>
    </x:row>
    <x:row r="895" ht="14.25" customHeight="1">
      <x:c r="AA895" s="3"/>
      <x:c r="AF895" s="3"/>
      <x:c r="AG895" s="3"/>
      <x:c r="AH895" s="3"/>
      <x:c r="AI895" s="3"/>
      <x:c r="AJ895" s="3"/>
      <x:c r="AK895" s="3"/>
      <x:c r="AL895" s="3"/>
      <x:c r="AM895" s="3"/>
      <x:c r="AT895" s="3"/>
      <x:c r="AU895" s="3"/>
      <x:c r="AV895" s="3"/>
      <x:c r="AW895" s="3"/>
      <x:c r="AX895" s="3"/>
      <x:c r="AY895" s="3"/>
      <x:c r="AZ895" s="3"/>
      <x:c r="BA895" s="3"/>
      <x:c r="BC895" s="3"/>
      <x:c r="BD895" s="3"/>
      <x:c r="BE895" s="3"/>
      <x:c r="BF895" s="3"/>
      <x:c r="BG895" s="3"/>
      <x:c r="BH895" s="13"/>
      <x:c r="BI895" s="13"/>
      <x:c r="BJ895" s="13"/>
      <x:c r="BK895" s="13"/>
      <x:c r="BL895" s="13"/>
      <x:c r="BM895" s="13"/>
      <x:c r="BN895" s="13"/>
      <x:c r="BO895" s="13"/>
      <x:c r="BP895" s="13"/>
      <x:c r="BQ895" s="13"/>
      <x:c r="BR895" s="13"/>
      <x:c r="BS895" s="13"/>
      <x:c r="BT895" s="13"/>
      <x:c r="BU895" s="13"/>
      <x:c r="BV895" s="13"/>
      <x:c r="BW895" s="13"/>
      <x:c r="BX895" s="13"/>
      <x:c r="BY895" s="13"/>
      <x:c r="BZ895" s="13"/>
      <x:c r="CA895" s="13"/>
      <x:c r="CB895" s="13"/>
      <x:c r="CC895" s="13"/>
      <x:c r="CD895" s="13"/>
      <x:c r="CE895" s="13"/>
      <x:c r="CF895" s="13"/>
      <x:c r="CG895" s="13"/>
    </x:row>
    <x:row r="896" ht="14.25" customHeight="1">
      <x:c r="AA896" s="3"/>
      <x:c r="AF896" s="3"/>
      <x:c r="AG896" s="3"/>
      <x:c r="AH896" s="3"/>
      <x:c r="AI896" s="3"/>
      <x:c r="AJ896" s="3"/>
      <x:c r="AK896" s="3"/>
      <x:c r="AL896" s="3"/>
      <x:c r="AM896" s="3"/>
      <x:c r="AT896" s="3"/>
      <x:c r="AU896" s="3"/>
      <x:c r="AV896" s="3"/>
      <x:c r="AW896" s="3"/>
      <x:c r="AX896" s="3"/>
      <x:c r="AY896" s="3"/>
      <x:c r="AZ896" s="3"/>
      <x:c r="BA896" s="3"/>
      <x:c r="BC896" s="3"/>
      <x:c r="BD896" s="3"/>
      <x:c r="BE896" s="3"/>
      <x:c r="BF896" s="3"/>
      <x:c r="BG896" s="3"/>
      <x:c r="BH896" s="13"/>
      <x:c r="BI896" s="13"/>
      <x:c r="BJ896" s="13"/>
      <x:c r="BK896" s="13"/>
      <x:c r="BL896" s="13"/>
      <x:c r="BM896" s="13"/>
      <x:c r="BN896" s="13"/>
      <x:c r="BO896" s="13"/>
      <x:c r="BP896" s="13"/>
      <x:c r="BQ896" s="13"/>
      <x:c r="BR896" s="13"/>
      <x:c r="BS896" s="13"/>
      <x:c r="BT896" s="13"/>
      <x:c r="BU896" s="13"/>
      <x:c r="BV896" s="13"/>
      <x:c r="BW896" s="13"/>
      <x:c r="BX896" s="13"/>
      <x:c r="BY896" s="13"/>
      <x:c r="BZ896" s="13"/>
      <x:c r="CA896" s="13"/>
      <x:c r="CB896" s="13"/>
      <x:c r="CC896" s="13"/>
      <x:c r="CD896" s="13"/>
      <x:c r="CE896" s="13"/>
      <x:c r="CF896" s="13"/>
      <x:c r="CG896" s="13"/>
    </x:row>
    <x:row r="897" ht="14.25" customHeight="1">
      <x:c r="AA897" s="3"/>
      <x:c r="AF897" s="3"/>
      <x:c r="AG897" s="3"/>
      <x:c r="AH897" s="3"/>
      <x:c r="AI897" s="3"/>
      <x:c r="AJ897" s="3"/>
      <x:c r="AK897" s="3"/>
      <x:c r="AL897" s="3"/>
      <x:c r="AM897" s="3"/>
      <x:c r="AT897" s="3"/>
      <x:c r="AU897" s="3"/>
      <x:c r="AV897" s="3"/>
      <x:c r="AW897" s="3"/>
      <x:c r="AX897" s="3"/>
      <x:c r="AY897" s="3"/>
      <x:c r="AZ897" s="3"/>
      <x:c r="BA897" s="3"/>
      <x:c r="BC897" s="3"/>
      <x:c r="BD897" s="3"/>
      <x:c r="BE897" s="3"/>
      <x:c r="BF897" s="3"/>
      <x:c r="BG897" s="3"/>
      <x:c r="BH897" s="13"/>
      <x:c r="BI897" s="13"/>
      <x:c r="BJ897" s="13"/>
      <x:c r="BK897" s="13"/>
      <x:c r="BL897" s="13"/>
      <x:c r="BM897" s="13"/>
      <x:c r="BN897" s="13"/>
      <x:c r="BO897" s="13"/>
      <x:c r="BP897" s="13"/>
      <x:c r="BQ897" s="13"/>
      <x:c r="BR897" s="13"/>
      <x:c r="BS897" s="13"/>
      <x:c r="BT897" s="13"/>
      <x:c r="BU897" s="13"/>
      <x:c r="BV897" s="13"/>
      <x:c r="BW897" s="13"/>
      <x:c r="BX897" s="13"/>
      <x:c r="BY897" s="13"/>
      <x:c r="BZ897" s="13"/>
      <x:c r="CA897" s="13"/>
      <x:c r="CB897" s="13"/>
      <x:c r="CC897" s="13"/>
      <x:c r="CD897" s="13"/>
      <x:c r="CE897" s="13"/>
      <x:c r="CF897" s="13"/>
      <x:c r="CG897" s="13"/>
    </x:row>
    <x:row r="898" ht="14.25" customHeight="1">
      <x:c r="AA898" s="3"/>
      <x:c r="AF898" s="3"/>
      <x:c r="AG898" s="3"/>
      <x:c r="AH898" s="3"/>
      <x:c r="AI898" s="3"/>
      <x:c r="AJ898" s="3"/>
      <x:c r="AK898" s="3"/>
      <x:c r="AL898" s="3"/>
      <x:c r="AM898" s="3"/>
      <x:c r="AT898" s="3"/>
      <x:c r="AU898" s="3"/>
      <x:c r="AV898" s="3"/>
      <x:c r="AW898" s="3"/>
      <x:c r="AX898" s="3"/>
      <x:c r="AY898" s="3"/>
      <x:c r="AZ898" s="3"/>
      <x:c r="BA898" s="3"/>
      <x:c r="BC898" s="3"/>
      <x:c r="BD898" s="3"/>
      <x:c r="BE898" s="3"/>
      <x:c r="BF898" s="3"/>
      <x:c r="BG898" s="3"/>
      <x:c r="BH898" s="13"/>
      <x:c r="BI898" s="13"/>
      <x:c r="BJ898" s="13"/>
      <x:c r="BK898" s="13"/>
      <x:c r="BL898" s="13"/>
      <x:c r="BM898" s="13"/>
      <x:c r="BN898" s="13"/>
      <x:c r="BO898" s="13"/>
      <x:c r="BP898" s="13"/>
      <x:c r="BQ898" s="13"/>
      <x:c r="BR898" s="13"/>
      <x:c r="BS898" s="13"/>
      <x:c r="BT898" s="13"/>
      <x:c r="BU898" s="13"/>
      <x:c r="BV898" s="13"/>
      <x:c r="BW898" s="13"/>
      <x:c r="BX898" s="13"/>
      <x:c r="BY898" s="13"/>
      <x:c r="BZ898" s="13"/>
      <x:c r="CA898" s="13"/>
      <x:c r="CB898" s="13"/>
      <x:c r="CC898" s="13"/>
      <x:c r="CD898" s="13"/>
      <x:c r="CE898" s="13"/>
      <x:c r="CF898" s="13"/>
      <x:c r="CG898" s="13"/>
    </x:row>
    <x:row r="899" ht="14.25" customHeight="1">
      <x:c r="AA899" s="3"/>
      <x:c r="AF899" s="3"/>
      <x:c r="AG899" s="3"/>
      <x:c r="AH899" s="3"/>
      <x:c r="AI899" s="3"/>
      <x:c r="AJ899" s="3"/>
      <x:c r="AK899" s="3"/>
      <x:c r="AL899" s="3"/>
      <x:c r="AM899" s="3"/>
      <x:c r="AT899" s="3"/>
      <x:c r="AU899" s="3"/>
      <x:c r="AV899" s="3"/>
      <x:c r="AW899" s="3"/>
      <x:c r="AX899" s="3"/>
      <x:c r="AY899" s="3"/>
      <x:c r="AZ899" s="3"/>
      <x:c r="BA899" s="3"/>
      <x:c r="BC899" s="3"/>
      <x:c r="BD899" s="3"/>
      <x:c r="BE899" s="3"/>
      <x:c r="BF899" s="3"/>
      <x:c r="BG899" s="3"/>
      <x:c r="BH899" s="13"/>
      <x:c r="BI899" s="13"/>
      <x:c r="BJ899" s="13"/>
      <x:c r="BK899" s="13"/>
      <x:c r="BL899" s="13"/>
      <x:c r="BM899" s="13"/>
      <x:c r="BN899" s="13"/>
      <x:c r="BO899" s="13"/>
      <x:c r="BP899" s="13"/>
      <x:c r="BQ899" s="13"/>
      <x:c r="BR899" s="13"/>
      <x:c r="BS899" s="13"/>
      <x:c r="BT899" s="13"/>
      <x:c r="BU899" s="13"/>
      <x:c r="BV899" s="13"/>
      <x:c r="BW899" s="13"/>
      <x:c r="BX899" s="13"/>
      <x:c r="BY899" s="13"/>
      <x:c r="BZ899" s="13"/>
      <x:c r="CA899" s="13"/>
      <x:c r="CB899" s="13"/>
      <x:c r="CC899" s="13"/>
      <x:c r="CD899" s="13"/>
      <x:c r="CE899" s="13"/>
      <x:c r="CF899" s="13"/>
      <x:c r="CG899" s="13"/>
    </x:row>
    <x:row r="900" ht="14.25" customHeight="1">
      <x:c r="AA900" s="3"/>
      <x:c r="AF900" s="3"/>
      <x:c r="AG900" s="3"/>
      <x:c r="AH900" s="3"/>
      <x:c r="AI900" s="3"/>
      <x:c r="AJ900" s="3"/>
      <x:c r="AK900" s="3"/>
      <x:c r="AL900" s="3"/>
      <x:c r="AM900" s="3"/>
      <x:c r="AT900" s="3"/>
      <x:c r="AU900" s="3"/>
      <x:c r="AV900" s="3"/>
      <x:c r="AW900" s="3"/>
      <x:c r="AX900" s="3"/>
      <x:c r="AY900" s="3"/>
      <x:c r="AZ900" s="3"/>
      <x:c r="BA900" s="3"/>
      <x:c r="BC900" s="3"/>
      <x:c r="BD900" s="3"/>
      <x:c r="BE900" s="3"/>
      <x:c r="BF900" s="3"/>
      <x:c r="BG900" s="3"/>
      <x:c r="BH900" s="13"/>
      <x:c r="BI900" s="13"/>
      <x:c r="BJ900" s="13"/>
      <x:c r="BK900" s="13"/>
      <x:c r="BL900" s="13"/>
      <x:c r="BM900" s="13"/>
      <x:c r="BN900" s="13"/>
      <x:c r="BO900" s="13"/>
      <x:c r="BP900" s="13"/>
      <x:c r="BQ900" s="13"/>
      <x:c r="BR900" s="13"/>
      <x:c r="BS900" s="13"/>
      <x:c r="BT900" s="13"/>
      <x:c r="BU900" s="13"/>
      <x:c r="BV900" s="13"/>
      <x:c r="BW900" s="13"/>
      <x:c r="BX900" s="13"/>
      <x:c r="BY900" s="13"/>
      <x:c r="BZ900" s="13"/>
      <x:c r="CA900" s="13"/>
      <x:c r="CB900" s="13"/>
      <x:c r="CC900" s="13"/>
      <x:c r="CD900" s="13"/>
      <x:c r="CE900" s="13"/>
      <x:c r="CF900" s="13"/>
      <x:c r="CG900" s="13"/>
    </x:row>
    <x:row r="901" ht="14.25" customHeight="1">
      <x:c r="AA901" s="3"/>
      <x:c r="AF901" s="3"/>
      <x:c r="AG901" s="3"/>
      <x:c r="AH901" s="3"/>
      <x:c r="AI901" s="3"/>
      <x:c r="AJ901" s="3"/>
      <x:c r="AK901" s="3"/>
      <x:c r="AL901" s="3"/>
      <x:c r="AM901" s="3"/>
      <x:c r="AT901" s="3"/>
      <x:c r="AU901" s="3"/>
      <x:c r="AV901" s="3"/>
      <x:c r="AW901" s="3"/>
      <x:c r="AX901" s="3"/>
      <x:c r="AY901" s="3"/>
      <x:c r="AZ901" s="3"/>
      <x:c r="BA901" s="3"/>
      <x:c r="BC901" s="3"/>
      <x:c r="BD901" s="3"/>
      <x:c r="BE901" s="3"/>
      <x:c r="BF901" s="3"/>
      <x:c r="BG901" s="3"/>
      <x:c r="BH901" s="13"/>
      <x:c r="BI901" s="13"/>
      <x:c r="BJ901" s="13"/>
      <x:c r="BK901" s="13"/>
      <x:c r="BL901" s="13"/>
      <x:c r="BM901" s="13"/>
      <x:c r="BN901" s="13"/>
      <x:c r="BO901" s="13"/>
      <x:c r="BP901" s="13"/>
      <x:c r="BQ901" s="13"/>
      <x:c r="BR901" s="13"/>
      <x:c r="BS901" s="13"/>
      <x:c r="BT901" s="13"/>
      <x:c r="BU901" s="13"/>
      <x:c r="BV901" s="13"/>
      <x:c r="BW901" s="13"/>
      <x:c r="BX901" s="13"/>
      <x:c r="BY901" s="13"/>
      <x:c r="BZ901" s="13"/>
      <x:c r="CA901" s="13"/>
      <x:c r="CB901" s="13"/>
      <x:c r="CC901" s="13"/>
      <x:c r="CD901" s="13"/>
      <x:c r="CE901" s="13"/>
      <x:c r="CF901" s="13"/>
      <x:c r="CG901" s="13"/>
    </x:row>
    <x:row r="902" ht="14.25" customHeight="1">
      <x:c r="AA902" s="3"/>
      <x:c r="AF902" s="3"/>
      <x:c r="AG902" s="3"/>
      <x:c r="AH902" s="3"/>
      <x:c r="AI902" s="3"/>
      <x:c r="AJ902" s="3"/>
      <x:c r="AK902" s="3"/>
      <x:c r="AL902" s="3"/>
      <x:c r="AM902" s="3"/>
      <x:c r="AT902" s="3"/>
      <x:c r="AU902" s="3"/>
      <x:c r="AV902" s="3"/>
      <x:c r="AW902" s="3"/>
      <x:c r="AX902" s="3"/>
      <x:c r="AY902" s="3"/>
      <x:c r="AZ902" s="3"/>
      <x:c r="BA902" s="3"/>
      <x:c r="BC902" s="3"/>
      <x:c r="BD902" s="3"/>
      <x:c r="BE902" s="3"/>
      <x:c r="BF902" s="3"/>
      <x:c r="BG902" s="3"/>
      <x:c r="BH902" s="13"/>
      <x:c r="BI902" s="13"/>
      <x:c r="BJ902" s="13"/>
      <x:c r="BK902" s="13"/>
      <x:c r="BL902" s="13"/>
      <x:c r="BM902" s="13"/>
      <x:c r="BN902" s="13"/>
      <x:c r="BO902" s="13"/>
      <x:c r="BP902" s="13"/>
      <x:c r="BQ902" s="13"/>
      <x:c r="BR902" s="13"/>
      <x:c r="BS902" s="13"/>
      <x:c r="BT902" s="13"/>
      <x:c r="BU902" s="13"/>
      <x:c r="BV902" s="13"/>
      <x:c r="BW902" s="13"/>
      <x:c r="BX902" s="13"/>
      <x:c r="BY902" s="13"/>
      <x:c r="BZ902" s="13"/>
      <x:c r="CA902" s="13"/>
      <x:c r="CB902" s="13"/>
      <x:c r="CC902" s="13"/>
      <x:c r="CD902" s="13"/>
      <x:c r="CE902" s="13"/>
      <x:c r="CF902" s="13"/>
      <x:c r="CG902" s="13"/>
    </x:row>
    <x:row r="903" ht="14.25" customHeight="1">
      <x:c r="AA903" s="3"/>
      <x:c r="AF903" s="3"/>
      <x:c r="AG903" s="3"/>
      <x:c r="AH903" s="3"/>
      <x:c r="AI903" s="3"/>
      <x:c r="AJ903" s="3"/>
      <x:c r="AK903" s="3"/>
      <x:c r="AL903" s="3"/>
      <x:c r="AM903" s="3"/>
      <x:c r="AT903" s="3"/>
      <x:c r="AU903" s="3"/>
      <x:c r="AV903" s="3"/>
      <x:c r="AW903" s="3"/>
      <x:c r="AX903" s="3"/>
      <x:c r="AY903" s="3"/>
      <x:c r="AZ903" s="3"/>
      <x:c r="BA903" s="3"/>
      <x:c r="BC903" s="3"/>
      <x:c r="BD903" s="3"/>
      <x:c r="BE903" s="3"/>
      <x:c r="BF903" s="3"/>
      <x:c r="BG903" s="3"/>
      <x:c r="BH903" s="13"/>
      <x:c r="BI903" s="13"/>
      <x:c r="BJ903" s="13"/>
      <x:c r="BK903" s="13"/>
      <x:c r="BL903" s="13"/>
      <x:c r="BM903" s="13"/>
      <x:c r="BN903" s="13"/>
      <x:c r="BO903" s="13"/>
      <x:c r="BP903" s="13"/>
      <x:c r="BQ903" s="13"/>
      <x:c r="BR903" s="13"/>
      <x:c r="BS903" s="13"/>
      <x:c r="BT903" s="13"/>
      <x:c r="BU903" s="13"/>
      <x:c r="BV903" s="13"/>
      <x:c r="BW903" s="13"/>
      <x:c r="BX903" s="13"/>
      <x:c r="BY903" s="13"/>
      <x:c r="BZ903" s="13"/>
      <x:c r="CA903" s="13"/>
      <x:c r="CB903" s="13"/>
      <x:c r="CC903" s="13"/>
      <x:c r="CD903" s="13"/>
      <x:c r="CE903" s="13"/>
      <x:c r="CF903" s="13"/>
      <x:c r="CG903" s="13"/>
    </x:row>
    <x:row r="904" ht="14.25" customHeight="1">
      <x:c r="AA904" s="3"/>
      <x:c r="AF904" s="3"/>
      <x:c r="AG904" s="3"/>
      <x:c r="AH904" s="3"/>
      <x:c r="AI904" s="3"/>
      <x:c r="AJ904" s="3"/>
      <x:c r="AK904" s="3"/>
      <x:c r="AL904" s="3"/>
      <x:c r="AM904" s="3"/>
      <x:c r="AT904" s="3"/>
      <x:c r="AU904" s="3"/>
      <x:c r="AV904" s="3"/>
      <x:c r="AW904" s="3"/>
      <x:c r="AX904" s="3"/>
      <x:c r="AY904" s="3"/>
      <x:c r="AZ904" s="3"/>
      <x:c r="BA904" s="3"/>
      <x:c r="BC904" s="3"/>
      <x:c r="BD904" s="3"/>
      <x:c r="BE904" s="3"/>
      <x:c r="BF904" s="3"/>
      <x:c r="BG904" s="3"/>
      <x:c r="BH904" s="13"/>
      <x:c r="BI904" s="13"/>
      <x:c r="BJ904" s="13"/>
      <x:c r="BK904" s="13"/>
      <x:c r="BL904" s="13"/>
      <x:c r="BM904" s="13"/>
      <x:c r="BN904" s="13"/>
      <x:c r="BO904" s="13"/>
      <x:c r="BP904" s="13"/>
      <x:c r="BQ904" s="13"/>
      <x:c r="BR904" s="13"/>
      <x:c r="BS904" s="13"/>
      <x:c r="BT904" s="13"/>
      <x:c r="BU904" s="13"/>
      <x:c r="BV904" s="13"/>
      <x:c r="BW904" s="13"/>
      <x:c r="BX904" s="13"/>
      <x:c r="BY904" s="13"/>
      <x:c r="BZ904" s="13"/>
      <x:c r="CA904" s="13"/>
      <x:c r="CB904" s="13"/>
      <x:c r="CC904" s="13"/>
      <x:c r="CD904" s="13"/>
      <x:c r="CE904" s="13"/>
      <x:c r="CF904" s="13"/>
      <x:c r="CG904" s="13"/>
    </x:row>
    <x:row r="905" ht="14.25" customHeight="1">
      <x:c r="AA905" s="3"/>
      <x:c r="AF905" s="3"/>
      <x:c r="AG905" s="3"/>
      <x:c r="AH905" s="3"/>
      <x:c r="AI905" s="3"/>
      <x:c r="AJ905" s="3"/>
      <x:c r="AK905" s="3"/>
      <x:c r="AL905" s="3"/>
      <x:c r="AM905" s="3"/>
      <x:c r="AT905" s="3"/>
      <x:c r="AU905" s="3"/>
      <x:c r="AV905" s="3"/>
      <x:c r="AW905" s="3"/>
      <x:c r="AX905" s="3"/>
      <x:c r="AY905" s="3"/>
      <x:c r="AZ905" s="3"/>
      <x:c r="BA905" s="3"/>
      <x:c r="BC905" s="3"/>
      <x:c r="BD905" s="3"/>
      <x:c r="BE905" s="3"/>
      <x:c r="BF905" s="3"/>
      <x:c r="BG905" s="3"/>
      <x:c r="BH905" s="13"/>
      <x:c r="BI905" s="13"/>
      <x:c r="BJ905" s="13"/>
      <x:c r="BK905" s="13"/>
      <x:c r="BL905" s="13"/>
      <x:c r="BM905" s="13"/>
      <x:c r="BN905" s="13"/>
      <x:c r="BO905" s="13"/>
      <x:c r="BP905" s="13"/>
      <x:c r="BQ905" s="13"/>
      <x:c r="BR905" s="13"/>
      <x:c r="BS905" s="13"/>
      <x:c r="BT905" s="13"/>
      <x:c r="BU905" s="13"/>
      <x:c r="BV905" s="13"/>
      <x:c r="BW905" s="13"/>
      <x:c r="BX905" s="13"/>
      <x:c r="BY905" s="13"/>
      <x:c r="BZ905" s="13"/>
      <x:c r="CA905" s="13"/>
      <x:c r="CB905" s="13"/>
      <x:c r="CC905" s="13"/>
      <x:c r="CD905" s="13"/>
      <x:c r="CE905" s="13"/>
      <x:c r="CF905" s="13"/>
      <x:c r="CG905" s="13"/>
    </x:row>
    <x:row r="906" ht="14.25" customHeight="1">
      <x:c r="AA906" s="3"/>
      <x:c r="AF906" s="3"/>
      <x:c r="AG906" s="3"/>
      <x:c r="AH906" s="3"/>
      <x:c r="AI906" s="3"/>
      <x:c r="AJ906" s="3"/>
      <x:c r="AK906" s="3"/>
      <x:c r="AL906" s="3"/>
      <x:c r="AM906" s="3"/>
      <x:c r="AT906" s="3"/>
      <x:c r="AU906" s="3"/>
      <x:c r="AV906" s="3"/>
      <x:c r="AW906" s="3"/>
      <x:c r="AX906" s="3"/>
      <x:c r="AY906" s="3"/>
      <x:c r="AZ906" s="3"/>
      <x:c r="BA906" s="3"/>
      <x:c r="BC906" s="3"/>
      <x:c r="BD906" s="3"/>
      <x:c r="BE906" s="3"/>
      <x:c r="BF906" s="3"/>
      <x:c r="BG906" s="3"/>
      <x:c r="BH906" s="13"/>
      <x:c r="BI906" s="13"/>
      <x:c r="BJ906" s="13"/>
      <x:c r="BK906" s="13"/>
      <x:c r="BL906" s="13"/>
      <x:c r="BM906" s="13"/>
      <x:c r="BN906" s="13"/>
      <x:c r="BO906" s="13"/>
      <x:c r="BP906" s="13"/>
      <x:c r="BQ906" s="13"/>
      <x:c r="BR906" s="13"/>
      <x:c r="BS906" s="13"/>
      <x:c r="BT906" s="13"/>
      <x:c r="BU906" s="13"/>
      <x:c r="BV906" s="13"/>
      <x:c r="BW906" s="13"/>
      <x:c r="BX906" s="13"/>
      <x:c r="BY906" s="13"/>
      <x:c r="BZ906" s="13"/>
      <x:c r="CA906" s="13"/>
      <x:c r="CB906" s="13"/>
      <x:c r="CC906" s="13"/>
      <x:c r="CD906" s="13"/>
      <x:c r="CE906" s="13"/>
      <x:c r="CF906" s="13"/>
      <x:c r="CG906" s="13"/>
    </x:row>
    <x:row r="907" ht="14.25" customHeight="1">
      <x:c r="AA907" s="3"/>
      <x:c r="AF907" s="3"/>
      <x:c r="AG907" s="3"/>
      <x:c r="AH907" s="3"/>
      <x:c r="AI907" s="3"/>
      <x:c r="AJ907" s="3"/>
      <x:c r="AK907" s="3"/>
      <x:c r="AL907" s="3"/>
      <x:c r="AM907" s="3"/>
      <x:c r="AT907" s="3"/>
      <x:c r="AU907" s="3"/>
      <x:c r="AV907" s="3"/>
      <x:c r="AW907" s="3"/>
      <x:c r="AX907" s="3"/>
      <x:c r="AY907" s="3"/>
      <x:c r="AZ907" s="3"/>
      <x:c r="BA907" s="3"/>
      <x:c r="BC907" s="3"/>
      <x:c r="BD907" s="3"/>
      <x:c r="BE907" s="3"/>
      <x:c r="BF907" s="3"/>
      <x:c r="BG907" s="3"/>
      <x:c r="BH907" s="13"/>
      <x:c r="BI907" s="13"/>
      <x:c r="BJ907" s="13"/>
      <x:c r="BK907" s="13"/>
      <x:c r="BL907" s="13"/>
      <x:c r="BM907" s="13"/>
      <x:c r="BN907" s="13"/>
      <x:c r="BO907" s="13"/>
      <x:c r="BP907" s="13"/>
      <x:c r="BQ907" s="13"/>
      <x:c r="BR907" s="13"/>
      <x:c r="BS907" s="13"/>
      <x:c r="BT907" s="13"/>
      <x:c r="BU907" s="13"/>
      <x:c r="BV907" s="13"/>
      <x:c r="BW907" s="13"/>
      <x:c r="BX907" s="13"/>
      <x:c r="BY907" s="13"/>
      <x:c r="BZ907" s="13"/>
      <x:c r="CA907" s="13"/>
      <x:c r="CB907" s="13"/>
      <x:c r="CC907" s="13"/>
      <x:c r="CD907" s="13"/>
      <x:c r="CE907" s="13"/>
      <x:c r="CF907" s="13"/>
      <x:c r="CG907" s="13"/>
    </x:row>
    <x:row r="908" ht="14.25" customHeight="1">
      <x:c r="AA908" s="3"/>
      <x:c r="AF908" s="3"/>
      <x:c r="AG908" s="3"/>
      <x:c r="AH908" s="3"/>
      <x:c r="AI908" s="3"/>
      <x:c r="AJ908" s="3"/>
      <x:c r="AK908" s="3"/>
      <x:c r="AL908" s="3"/>
      <x:c r="AM908" s="3"/>
      <x:c r="AT908" s="3"/>
      <x:c r="AU908" s="3"/>
      <x:c r="AV908" s="3"/>
      <x:c r="AW908" s="3"/>
      <x:c r="AX908" s="3"/>
      <x:c r="AY908" s="3"/>
      <x:c r="AZ908" s="3"/>
      <x:c r="BA908" s="3"/>
      <x:c r="BC908" s="3"/>
      <x:c r="BD908" s="3"/>
      <x:c r="BE908" s="3"/>
      <x:c r="BF908" s="3"/>
      <x:c r="BG908" s="3"/>
      <x:c r="BH908" s="13"/>
      <x:c r="BI908" s="13"/>
      <x:c r="BJ908" s="13"/>
      <x:c r="BK908" s="13"/>
      <x:c r="BL908" s="13"/>
      <x:c r="BM908" s="13"/>
      <x:c r="BN908" s="13"/>
      <x:c r="BO908" s="13"/>
      <x:c r="BP908" s="13"/>
      <x:c r="BQ908" s="13"/>
      <x:c r="BR908" s="13"/>
      <x:c r="BS908" s="13"/>
      <x:c r="BT908" s="13"/>
      <x:c r="BU908" s="13"/>
      <x:c r="BV908" s="13"/>
      <x:c r="BW908" s="13"/>
      <x:c r="BX908" s="13"/>
      <x:c r="BY908" s="13"/>
      <x:c r="BZ908" s="13"/>
      <x:c r="CA908" s="13"/>
      <x:c r="CB908" s="13"/>
      <x:c r="CC908" s="13"/>
      <x:c r="CD908" s="13"/>
      <x:c r="CE908" s="13"/>
      <x:c r="CF908" s="13"/>
      <x:c r="CG908" s="13"/>
    </x:row>
    <x:row r="909" ht="14.25" customHeight="1">
      <x:c r="AA909" s="3"/>
      <x:c r="AF909" s="3"/>
      <x:c r="AG909" s="3"/>
      <x:c r="AH909" s="3"/>
      <x:c r="AI909" s="3"/>
      <x:c r="AJ909" s="3"/>
      <x:c r="AK909" s="3"/>
      <x:c r="AL909" s="3"/>
      <x:c r="AM909" s="3"/>
      <x:c r="AT909" s="3"/>
      <x:c r="AU909" s="3"/>
      <x:c r="AV909" s="3"/>
      <x:c r="AW909" s="3"/>
      <x:c r="AX909" s="3"/>
      <x:c r="AY909" s="3"/>
      <x:c r="AZ909" s="3"/>
      <x:c r="BA909" s="3"/>
      <x:c r="BC909" s="3"/>
      <x:c r="BD909" s="3"/>
      <x:c r="BE909" s="3"/>
      <x:c r="BF909" s="3"/>
      <x:c r="BG909" s="3"/>
      <x:c r="BH909" s="13"/>
      <x:c r="BI909" s="13"/>
      <x:c r="BJ909" s="13"/>
      <x:c r="BK909" s="13"/>
      <x:c r="BL909" s="13"/>
      <x:c r="BM909" s="13"/>
      <x:c r="BN909" s="13"/>
      <x:c r="BO909" s="13"/>
      <x:c r="BP909" s="13"/>
      <x:c r="BQ909" s="13"/>
      <x:c r="BR909" s="13"/>
      <x:c r="BS909" s="13"/>
      <x:c r="BT909" s="13"/>
      <x:c r="BU909" s="13"/>
      <x:c r="BV909" s="13"/>
      <x:c r="BW909" s="13"/>
      <x:c r="BX909" s="13"/>
      <x:c r="BY909" s="13"/>
      <x:c r="BZ909" s="13"/>
      <x:c r="CA909" s="13"/>
      <x:c r="CB909" s="13"/>
      <x:c r="CC909" s="13"/>
      <x:c r="CD909" s="13"/>
      <x:c r="CE909" s="13"/>
      <x:c r="CF909" s="13"/>
      <x:c r="CG909" s="13"/>
    </x:row>
    <x:row r="910" ht="14.25" customHeight="1">
      <x:c r="AA910" s="3"/>
      <x:c r="AF910" s="3"/>
      <x:c r="AG910" s="3"/>
      <x:c r="AH910" s="3"/>
      <x:c r="AI910" s="3"/>
      <x:c r="AJ910" s="3"/>
      <x:c r="AK910" s="3"/>
      <x:c r="AL910" s="3"/>
      <x:c r="AM910" s="3"/>
      <x:c r="AT910" s="3"/>
      <x:c r="AU910" s="3"/>
      <x:c r="AV910" s="3"/>
      <x:c r="AW910" s="3"/>
      <x:c r="AX910" s="3"/>
      <x:c r="AY910" s="3"/>
      <x:c r="AZ910" s="3"/>
      <x:c r="BA910" s="3"/>
      <x:c r="BC910" s="3"/>
      <x:c r="BD910" s="3"/>
      <x:c r="BE910" s="3"/>
      <x:c r="BF910" s="3"/>
      <x:c r="BG910" s="3"/>
      <x:c r="BH910" s="13"/>
      <x:c r="BI910" s="13"/>
      <x:c r="BJ910" s="13"/>
      <x:c r="BK910" s="13"/>
      <x:c r="BL910" s="13"/>
      <x:c r="BM910" s="13"/>
      <x:c r="BN910" s="13"/>
      <x:c r="BO910" s="13"/>
      <x:c r="BP910" s="13"/>
      <x:c r="BQ910" s="13"/>
      <x:c r="BR910" s="13"/>
      <x:c r="BS910" s="13"/>
      <x:c r="BT910" s="13"/>
      <x:c r="BU910" s="13"/>
      <x:c r="BV910" s="13"/>
      <x:c r="BW910" s="13"/>
      <x:c r="BX910" s="13"/>
      <x:c r="BY910" s="13"/>
      <x:c r="BZ910" s="13"/>
      <x:c r="CA910" s="13"/>
      <x:c r="CB910" s="13"/>
      <x:c r="CC910" s="13"/>
      <x:c r="CD910" s="13"/>
      <x:c r="CE910" s="13"/>
      <x:c r="CF910" s="13"/>
      <x:c r="CG910" s="13"/>
    </x:row>
    <x:row r="911" ht="14.25" customHeight="1">
      <x:c r="AA911" s="3"/>
      <x:c r="AF911" s="3"/>
      <x:c r="AG911" s="3"/>
      <x:c r="AH911" s="3"/>
      <x:c r="AI911" s="3"/>
      <x:c r="AJ911" s="3"/>
      <x:c r="AK911" s="3"/>
      <x:c r="AL911" s="3"/>
      <x:c r="AM911" s="3"/>
      <x:c r="AT911" s="3"/>
      <x:c r="AU911" s="3"/>
      <x:c r="AV911" s="3"/>
      <x:c r="AW911" s="3"/>
      <x:c r="AX911" s="3"/>
      <x:c r="AY911" s="3"/>
      <x:c r="AZ911" s="3"/>
      <x:c r="BA911" s="3"/>
      <x:c r="BC911" s="3"/>
      <x:c r="BD911" s="3"/>
      <x:c r="BE911" s="3"/>
      <x:c r="BF911" s="3"/>
      <x:c r="BG911" s="3"/>
      <x:c r="BH911" s="13"/>
      <x:c r="BI911" s="13"/>
      <x:c r="BJ911" s="13"/>
      <x:c r="BK911" s="13"/>
      <x:c r="BL911" s="13"/>
      <x:c r="BM911" s="13"/>
      <x:c r="BN911" s="13"/>
      <x:c r="BO911" s="13"/>
      <x:c r="BP911" s="13"/>
      <x:c r="BQ911" s="13"/>
      <x:c r="BR911" s="13"/>
      <x:c r="BS911" s="13"/>
      <x:c r="BT911" s="13"/>
      <x:c r="BU911" s="13"/>
      <x:c r="BV911" s="13"/>
      <x:c r="BW911" s="13"/>
      <x:c r="BX911" s="13"/>
      <x:c r="BY911" s="13"/>
      <x:c r="BZ911" s="13"/>
      <x:c r="CA911" s="13"/>
      <x:c r="CB911" s="13"/>
      <x:c r="CC911" s="13"/>
      <x:c r="CD911" s="13"/>
      <x:c r="CE911" s="13"/>
      <x:c r="CF911" s="13"/>
      <x:c r="CG911" s="13"/>
    </x:row>
    <x:row r="912" ht="14.25" customHeight="1">
      <x:c r="AA912" s="3"/>
      <x:c r="AF912" s="3"/>
      <x:c r="AG912" s="3"/>
      <x:c r="AH912" s="3"/>
      <x:c r="AI912" s="3"/>
      <x:c r="AJ912" s="3"/>
      <x:c r="AK912" s="3"/>
      <x:c r="AL912" s="3"/>
      <x:c r="AM912" s="3"/>
      <x:c r="AT912" s="3"/>
      <x:c r="AU912" s="3"/>
      <x:c r="AV912" s="3"/>
      <x:c r="AW912" s="3"/>
      <x:c r="AX912" s="3"/>
      <x:c r="AY912" s="3"/>
      <x:c r="AZ912" s="3"/>
      <x:c r="BA912" s="3"/>
      <x:c r="BC912" s="3"/>
      <x:c r="BD912" s="3"/>
      <x:c r="BE912" s="3"/>
      <x:c r="BF912" s="3"/>
      <x:c r="BG912" s="3"/>
      <x:c r="BH912" s="13"/>
      <x:c r="BI912" s="13"/>
      <x:c r="BJ912" s="13"/>
      <x:c r="BK912" s="13"/>
      <x:c r="BL912" s="13"/>
      <x:c r="BM912" s="13"/>
      <x:c r="BN912" s="13"/>
      <x:c r="BO912" s="13"/>
      <x:c r="BP912" s="13"/>
      <x:c r="BQ912" s="13"/>
      <x:c r="BR912" s="13"/>
      <x:c r="BS912" s="13"/>
      <x:c r="BT912" s="13"/>
      <x:c r="BU912" s="13"/>
      <x:c r="BV912" s="13"/>
      <x:c r="BW912" s="13"/>
      <x:c r="BX912" s="13"/>
      <x:c r="BY912" s="13"/>
      <x:c r="BZ912" s="13"/>
      <x:c r="CA912" s="13"/>
      <x:c r="CB912" s="13"/>
      <x:c r="CC912" s="13"/>
      <x:c r="CD912" s="13"/>
      <x:c r="CE912" s="13"/>
      <x:c r="CF912" s="13"/>
      <x:c r="CG912" s="13"/>
    </x:row>
    <x:row r="913" ht="14.25" customHeight="1">
      <x:c r="AA913" s="3"/>
      <x:c r="AF913" s="3"/>
      <x:c r="AG913" s="3"/>
      <x:c r="AH913" s="3"/>
      <x:c r="AI913" s="3"/>
      <x:c r="AJ913" s="3"/>
      <x:c r="AK913" s="3"/>
      <x:c r="AL913" s="3"/>
      <x:c r="AM913" s="3"/>
      <x:c r="AT913" s="3"/>
      <x:c r="AU913" s="3"/>
      <x:c r="AV913" s="3"/>
      <x:c r="AW913" s="3"/>
      <x:c r="AX913" s="3"/>
      <x:c r="AY913" s="3"/>
      <x:c r="AZ913" s="3"/>
      <x:c r="BA913" s="3"/>
      <x:c r="BC913" s="3"/>
      <x:c r="BD913" s="3"/>
      <x:c r="BE913" s="3"/>
      <x:c r="BF913" s="3"/>
      <x:c r="BG913" s="3"/>
      <x:c r="BH913" s="13"/>
      <x:c r="BI913" s="13"/>
      <x:c r="BJ913" s="13"/>
      <x:c r="BK913" s="13"/>
      <x:c r="BL913" s="13"/>
      <x:c r="BM913" s="13"/>
      <x:c r="BN913" s="13"/>
      <x:c r="BO913" s="13"/>
      <x:c r="BP913" s="13"/>
      <x:c r="BQ913" s="13"/>
      <x:c r="BR913" s="13"/>
      <x:c r="BS913" s="13"/>
      <x:c r="BT913" s="13"/>
      <x:c r="BU913" s="13"/>
      <x:c r="BV913" s="13"/>
      <x:c r="BW913" s="13"/>
      <x:c r="BX913" s="13"/>
      <x:c r="BY913" s="13"/>
      <x:c r="BZ913" s="13"/>
      <x:c r="CA913" s="13"/>
      <x:c r="CB913" s="13"/>
      <x:c r="CC913" s="13"/>
      <x:c r="CD913" s="13"/>
      <x:c r="CE913" s="13"/>
      <x:c r="CF913" s="13"/>
      <x:c r="CG913" s="13"/>
    </x:row>
    <x:row r="914" ht="14.25" customHeight="1">
      <x:c r="AA914" s="3"/>
      <x:c r="AF914" s="3"/>
      <x:c r="AG914" s="3"/>
      <x:c r="AH914" s="3"/>
      <x:c r="AI914" s="3"/>
      <x:c r="AJ914" s="3"/>
      <x:c r="AK914" s="3"/>
      <x:c r="AL914" s="3"/>
      <x:c r="AM914" s="3"/>
      <x:c r="AT914" s="3"/>
      <x:c r="AU914" s="3"/>
      <x:c r="AV914" s="3"/>
      <x:c r="AW914" s="3"/>
      <x:c r="AX914" s="3"/>
      <x:c r="AY914" s="3"/>
      <x:c r="AZ914" s="3"/>
      <x:c r="BA914" s="3"/>
      <x:c r="BC914" s="3"/>
      <x:c r="BD914" s="3"/>
      <x:c r="BE914" s="3"/>
      <x:c r="BF914" s="3"/>
      <x:c r="BG914" s="3"/>
      <x:c r="BH914" s="13"/>
      <x:c r="BI914" s="13"/>
      <x:c r="BJ914" s="13"/>
      <x:c r="BK914" s="13"/>
      <x:c r="BL914" s="13"/>
      <x:c r="BM914" s="13"/>
      <x:c r="BN914" s="13"/>
      <x:c r="BO914" s="13"/>
      <x:c r="BP914" s="13"/>
      <x:c r="BQ914" s="13"/>
      <x:c r="BR914" s="13"/>
      <x:c r="BS914" s="13"/>
      <x:c r="BT914" s="13"/>
      <x:c r="BU914" s="13"/>
      <x:c r="BV914" s="13"/>
      <x:c r="BW914" s="13"/>
      <x:c r="BX914" s="13"/>
      <x:c r="BY914" s="13"/>
      <x:c r="BZ914" s="13"/>
      <x:c r="CA914" s="13"/>
      <x:c r="CB914" s="13"/>
      <x:c r="CC914" s="13"/>
      <x:c r="CD914" s="13"/>
      <x:c r="CE914" s="13"/>
      <x:c r="CF914" s="13"/>
      <x:c r="CG914" s="13"/>
    </x:row>
    <x:row r="915" ht="14.25" customHeight="1">
      <x:c r="AA915" s="3"/>
      <x:c r="AF915" s="3"/>
      <x:c r="AG915" s="3"/>
      <x:c r="AH915" s="3"/>
      <x:c r="AI915" s="3"/>
      <x:c r="AJ915" s="3"/>
      <x:c r="AK915" s="3"/>
      <x:c r="AL915" s="3"/>
      <x:c r="AM915" s="3"/>
      <x:c r="AT915" s="3"/>
      <x:c r="AU915" s="3"/>
      <x:c r="AV915" s="3"/>
      <x:c r="AW915" s="3"/>
      <x:c r="AX915" s="3"/>
      <x:c r="AY915" s="3"/>
      <x:c r="AZ915" s="3"/>
      <x:c r="BA915" s="3"/>
      <x:c r="BC915" s="3"/>
      <x:c r="BD915" s="3"/>
      <x:c r="BE915" s="3"/>
      <x:c r="BF915" s="3"/>
      <x:c r="BG915" s="3"/>
      <x:c r="BH915" s="13"/>
      <x:c r="BI915" s="13"/>
      <x:c r="BJ915" s="13"/>
      <x:c r="BK915" s="13"/>
      <x:c r="BL915" s="13"/>
      <x:c r="BM915" s="13"/>
      <x:c r="BN915" s="13"/>
      <x:c r="BO915" s="13"/>
      <x:c r="BP915" s="13"/>
      <x:c r="BQ915" s="13"/>
      <x:c r="BR915" s="13"/>
      <x:c r="BS915" s="13"/>
      <x:c r="BT915" s="13"/>
      <x:c r="BU915" s="13"/>
      <x:c r="BV915" s="13"/>
      <x:c r="BW915" s="13"/>
      <x:c r="BX915" s="13"/>
      <x:c r="BY915" s="13"/>
      <x:c r="BZ915" s="13"/>
      <x:c r="CA915" s="13"/>
      <x:c r="CB915" s="13"/>
      <x:c r="CC915" s="13"/>
      <x:c r="CD915" s="13"/>
      <x:c r="CE915" s="13"/>
      <x:c r="CF915" s="13"/>
      <x:c r="CG915" s="13"/>
    </x:row>
    <x:row r="916" ht="14.25" customHeight="1">
      <x:c r="AA916" s="3"/>
      <x:c r="AF916" s="3"/>
      <x:c r="AG916" s="3"/>
      <x:c r="AH916" s="3"/>
      <x:c r="AI916" s="3"/>
      <x:c r="AJ916" s="3"/>
      <x:c r="AK916" s="3"/>
      <x:c r="AL916" s="3"/>
      <x:c r="AM916" s="3"/>
      <x:c r="AT916" s="3"/>
      <x:c r="AU916" s="3"/>
      <x:c r="AV916" s="3"/>
      <x:c r="AW916" s="3"/>
      <x:c r="AX916" s="3"/>
      <x:c r="AY916" s="3"/>
      <x:c r="AZ916" s="3"/>
      <x:c r="BA916" s="3"/>
      <x:c r="BC916" s="3"/>
      <x:c r="BD916" s="3"/>
      <x:c r="BE916" s="3"/>
      <x:c r="BF916" s="3"/>
      <x:c r="BG916" s="3"/>
      <x:c r="BH916" s="13"/>
      <x:c r="BI916" s="13"/>
      <x:c r="BJ916" s="13"/>
      <x:c r="BK916" s="13"/>
      <x:c r="BL916" s="13"/>
      <x:c r="BM916" s="13"/>
      <x:c r="BN916" s="13"/>
      <x:c r="BO916" s="13"/>
      <x:c r="BP916" s="13"/>
      <x:c r="BQ916" s="13"/>
      <x:c r="BR916" s="13"/>
      <x:c r="BS916" s="13"/>
      <x:c r="BT916" s="13"/>
      <x:c r="BU916" s="13"/>
      <x:c r="BV916" s="13"/>
      <x:c r="BW916" s="13"/>
      <x:c r="BX916" s="13"/>
      <x:c r="BY916" s="13"/>
      <x:c r="BZ916" s="13"/>
      <x:c r="CA916" s="13"/>
      <x:c r="CB916" s="13"/>
      <x:c r="CC916" s="13"/>
      <x:c r="CD916" s="13"/>
      <x:c r="CE916" s="13"/>
      <x:c r="CF916" s="13"/>
      <x:c r="CG916" s="13"/>
    </x:row>
    <x:row r="917" ht="14.25" customHeight="1">
      <x:c r="AA917" s="3"/>
      <x:c r="AF917" s="3"/>
      <x:c r="AG917" s="3"/>
      <x:c r="AH917" s="3"/>
      <x:c r="AI917" s="3"/>
      <x:c r="AJ917" s="3"/>
      <x:c r="AK917" s="3"/>
      <x:c r="AL917" s="3"/>
      <x:c r="AM917" s="3"/>
      <x:c r="AT917" s="3"/>
      <x:c r="AU917" s="3"/>
      <x:c r="AV917" s="3"/>
      <x:c r="AW917" s="3"/>
      <x:c r="AX917" s="3"/>
      <x:c r="AY917" s="3"/>
      <x:c r="AZ917" s="3"/>
      <x:c r="BA917" s="3"/>
      <x:c r="BC917" s="3"/>
      <x:c r="BD917" s="3"/>
      <x:c r="BE917" s="3"/>
      <x:c r="BF917" s="3"/>
      <x:c r="BG917" s="3"/>
      <x:c r="BH917" s="13"/>
      <x:c r="BI917" s="13"/>
      <x:c r="BJ917" s="13"/>
      <x:c r="BK917" s="13"/>
      <x:c r="BL917" s="13"/>
      <x:c r="BM917" s="13"/>
      <x:c r="BN917" s="13"/>
      <x:c r="BO917" s="13"/>
      <x:c r="BP917" s="13"/>
      <x:c r="BQ917" s="13"/>
      <x:c r="BR917" s="13"/>
      <x:c r="BS917" s="13"/>
      <x:c r="BT917" s="13"/>
      <x:c r="BU917" s="13"/>
      <x:c r="BV917" s="13"/>
      <x:c r="BW917" s="13"/>
      <x:c r="BX917" s="13"/>
      <x:c r="BY917" s="13"/>
      <x:c r="BZ917" s="13"/>
      <x:c r="CA917" s="13"/>
      <x:c r="CB917" s="13"/>
      <x:c r="CC917" s="13"/>
      <x:c r="CD917" s="13"/>
      <x:c r="CE917" s="13"/>
      <x:c r="CF917" s="13"/>
      <x:c r="CG917" s="13"/>
    </x:row>
    <x:row r="918" ht="14.25" customHeight="1">
      <x:c r="AA918" s="3"/>
      <x:c r="AF918" s="3"/>
      <x:c r="AG918" s="3"/>
      <x:c r="AH918" s="3"/>
      <x:c r="AI918" s="3"/>
      <x:c r="AJ918" s="3"/>
      <x:c r="AK918" s="3"/>
      <x:c r="AL918" s="3"/>
      <x:c r="AM918" s="3"/>
      <x:c r="AT918" s="3"/>
      <x:c r="AU918" s="3"/>
      <x:c r="AV918" s="3"/>
      <x:c r="AW918" s="3"/>
      <x:c r="AX918" s="3"/>
      <x:c r="AY918" s="3"/>
      <x:c r="AZ918" s="3"/>
      <x:c r="BA918" s="3"/>
      <x:c r="BC918" s="3"/>
      <x:c r="BD918" s="3"/>
      <x:c r="BE918" s="3"/>
      <x:c r="BF918" s="3"/>
      <x:c r="BG918" s="3"/>
      <x:c r="BH918" s="13"/>
      <x:c r="BI918" s="13"/>
      <x:c r="BJ918" s="13"/>
      <x:c r="BK918" s="13"/>
      <x:c r="BL918" s="13"/>
      <x:c r="BM918" s="13"/>
      <x:c r="BN918" s="13"/>
      <x:c r="BO918" s="13"/>
      <x:c r="BP918" s="13"/>
      <x:c r="BQ918" s="13"/>
      <x:c r="BR918" s="13"/>
      <x:c r="BS918" s="13"/>
      <x:c r="BT918" s="13"/>
      <x:c r="BU918" s="13"/>
      <x:c r="BV918" s="13"/>
      <x:c r="BW918" s="13"/>
      <x:c r="BX918" s="13"/>
      <x:c r="BY918" s="13"/>
      <x:c r="BZ918" s="13"/>
      <x:c r="CA918" s="13"/>
      <x:c r="CB918" s="13"/>
      <x:c r="CC918" s="13"/>
      <x:c r="CD918" s="13"/>
      <x:c r="CE918" s="13"/>
      <x:c r="CF918" s="13"/>
      <x:c r="CG918" s="13"/>
    </x:row>
    <x:row r="919" ht="14.25" customHeight="1">
      <x:c r="AA919" s="3"/>
      <x:c r="AF919" s="3"/>
      <x:c r="AG919" s="3"/>
      <x:c r="AH919" s="3"/>
      <x:c r="AI919" s="3"/>
      <x:c r="AJ919" s="3"/>
      <x:c r="AK919" s="3"/>
      <x:c r="AL919" s="3"/>
      <x:c r="AM919" s="3"/>
      <x:c r="AT919" s="3"/>
      <x:c r="AU919" s="3"/>
      <x:c r="AV919" s="3"/>
      <x:c r="AW919" s="3"/>
      <x:c r="AX919" s="3"/>
      <x:c r="AY919" s="3"/>
      <x:c r="AZ919" s="3"/>
      <x:c r="BA919" s="3"/>
      <x:c r="BC919" s="3"/>
      <x:c r="BD919" s="3"/>
      <x:c r="BE919" s="3"/>
      <x:c r="BF919" s="3"/>
      <x:c r="BG919" s="3"/>
      <x:c r="BH919" s="13"/>
      <x:c r="BI919" s="13"/>
      <x:c r="BJ919" s="13"/>
      <x:c r="BK919" s="13"/>
      <x:c r="BL919" s="13"/>
      <x:c r="BM919" s="13"/>
      <x:c r="BN919" s="13"/>
      <x:c r="BO919" s="13"/>
      <x:c r="BP919" s="13"/>
      <x:c r="BQ919" s="13"/>
      <x:c r="BR919" s="13"/>
      <x:c r="BS919" s="13"/>
      <x:c r="BT919" s="13"/>
      <x:c r="BU919" s="13"/>
      <x:c r="BV919" s="13"/>
      <x:c r="BW919" s="13"/>
      <x:c r="BX919" s="13"/>
      <x:c r="BY919" s="13"/>
      <x:c r="BZ919" s="13"/>
      <x:c r="CA919" s="13"/>
      <x:c r="CB919" s="13"/>
      <x:c r="CC919" s="13"/>
      <x:c r="CD919" s="13"/>
      <x:c r="CE919" s="13"/>
      <x:c r="CF919" s="13"/>
      <x:c r="CG919" s="13"/>
    </x:row>
    <x:row r="920" ht="14.25" customHeight="1">
      <x:c r="AA920" s="3"/>
      <x:c r="AF920" s="3"/>
      <x:c r="AG920" s="3"/>
      <x:c r="AH920" s="3"/>
      <x:c r="AI920" s="3"/>
      <x:c r="AJ920" s="3"/>
      <x:c r="AK920" s="3"/>
      <x:c r="AL920" s="3"/>
      <x:c r="AM920" s="3"/>
      <x:c r="AT920" s="3"/>
      <x:c r="AU920" s="3"/>
      <x:c r="AV920" s="3"/>
      <x:c r="AW920" s="3"/>
      <x:c r="AX920" s="3"/>
      <x:c r="AY920" s="3"/>
      <x:c r="AZ920" s="3"/>
      <x:c r="BA920" s="3"/>
      <x:c r="BC920" s="3"/>
      <x:c r="BD920" s="3"/>
      <x:c r="BE920" s="3"/>
      <x:c r="BF920" s="3"/>
      <x:c r="BG920" s="3"/>
      <x:c r="BH920" s="13"/>
      <x:c r="BI920" s="13"/>
      <x:c r="BJ920" s="13"/>
      <x:c r="BK920" s="13"/>
      <x:c r="BL920" s="13"/>
      <x:c r="BM920" s="13"/>
      <x:c r="BN920" s="13"/>
      <x:c r="BO920" s="13"/>
      <x:c r="BP920" s="13"/>
      <x:c r="BQ920" s="13"/>
      <x:c r="BR920" s="13"/>
      <x:c r="BS920" s="13"/>
      <x:c r="BT920" s="13"/>
      <x:c r="BU920" s="13"/>
      <x:c r="BV920" s="13"/>
      <x:c r="BW920" s="13"/>
      <x:c r="BX920" s="13"/>
      <x:c r="BY920" s="13"/>
      <x:c r="BZ920" s="13"/>
      <x:c r="CA920" s="13"/>
      <x:c r="CB920" s="13"/>
      <x:c r="CC920" s="13"/>
      <x:c r="CD920" s="13"/>
      <x:c r="CE920" s="13"/>
      <x:c r="CF920" s="13"/>
      <x:c r="CG920" s="13"/>
    </x:row>
    <x:row r="921" ht="14.25" customHeight="1">
      <x:c r="AA921" s="3"/>
      <x:c r="AF921" s="3"/>
      <x:c r="AG921" s="3"/>
      <x:c r="AH921" s="3"/>
      <x:c r="AI921" s="3"/>
      <x:c r="AJ921" s="3"/>
      <x:c r="AK921" s="3"/>
      <x:c r="AL921" s="3"/>
      <x:c r="AM921" s="3"/>
      <x:c r="AT921" s="3"/>
      <x:c r="AU921" s="3"/>
      <x:c r="AV921" s="3"/>
      <x:c r="AW921" s="3"/>
      <x:c r="AX921" s="3"/>
      <x:c r="AY921" s="3"/>
      <x:c r="AZ921" s="3"/>
      <x:c r="BA921" s="3"/>
      <x:c r="BC921" s="3"/>
      <x:c r="BD921" s="3"/>
      <x:c r="BE921" s="3"/>
      <x:c r="BF921" s="3"/>
      <x:c r="BG921" s="3"/>
      <x:c r="BH921" s="13"/>
      <x:c r="BI921" s="13"/>
      <x:c r="BJ921" s="13"/>
      <x:c r="BK921" s="13"/>
      <x:c r="BL921" s="13"/>
      <x:c r="BM921" s="13"/>
      <x:c r="BN921" s="13"/>
      <x:c r="BO921" s="13"/>
      <x:c r="BP921" s="13"/>
      <x:c r="BQ921" s="13"/>
      <x:c r="BR921" s="13"/>
      <x:c r="BS921" s="13"/>
      <x:c r="BT921" s="13"/>
      <x:c r="BU921" s="13"/>
      <x:c r="BV921" s="13"/>
      <x:c r="BW921" s="13"/>
      <x:c r="BX921" s="13"/>
      <x:c r="BY921" s="13"/>
      <x:c r="BZ921" s="13"/>
      <x:c r="CA921" s="13"/>
      <x:c r="CB921" s="13"/>
      <x:c r="CC921" s="13"/>
      <x:c r="CD921" s="13"/>
      <x:c r="CE921" s="13"/>
      <x:c r="CF921" s="13"/>
      <x:c r="CG921" s="13"/>
    </x:row>
    <x:row r="922" ht="14.25" customHeight="1">
      <x:c r="AA922" s="3"/>
      <x:c r="AF922" s="3"/>
      <x:c r="AG922" s="3"/>
      <x:c r="AH922" s="3"/>
      <x:c r="AI922" s="3"/>
      <x:c r="AJ922" s="3"/>
      <x:c r="AK922" s="3"/>
      <x:c r="AL922" s="3"/>
      <x:c r="AM922" s="3"/>
      <x:c r="AT922" s="3"/>
      <x:c r="AU922" s="3"/>
      <x:c r="AV922" s="3"/>
      <x:c r="AW922" s="3"/>
      <x:c r="AX922" s="3"/>
      <x:c r="AY922" s="3"/>
      <x:c r="AZ922" s="3"/>
      <x:c r="BA922" s="3"/>
      <x:c r="BC922" s="3"/>
      <x:c r="BD922" s="3"/>
      <x:c r="BE922" s="3"/>
      <x:c r="BF922" s="3"/>
      <x:c r="BG922" s="3"/>
      <x:c r="BH922" s="13"/>
      <x:c r="BI922" s="13"/>
      <x:c r="BJ922" s="13"/>
      <x:c r="BK922" s="13"/>
      <x:c r="BL922" s="13"/>
      <x:c r="BM922" s="13"/>
      <x:c r="BN922" s="13"/>
      <x:c r="BO922" s="13"/>
      <x:c r="BP922" s="13"/>
      <x:c r="BQ922" s="13"/>
      <x:c r="BR922" s="13"/>
      <x:c r="BS922" s="13"/>
      <x:c r="BT922" s="13"/>
      <x:c r="BU922" s="13"/>
      <x:c r="BV922" s="13"/>
      <x:c r="BW922" s="13"/>
      <x:c r="BX922" s="13"/>
      <x:c r="BY922" s="13"/>
      <x:c r="BZ922" s="13"/>
      <x:c r="CA922" s="13"/>
      <x:c r="CB922" s="13"/>
      <x:c r="CC922" s="13"/>
      <x:c r="CD922" s="13"/>
      <x:c r="CE922" s="13"/>
      <x:c r="CF922" s="13"/>
      <x:c r="CG922" s="13"/>
    </x:row>
    <x:row r="923" ht="14.25" customHeight="1">
      <x:c r="AA923" s="3"/>
      <x:c r="AF923" s="3"/>
      <x:c r="AG923" s="3"/>
      <x:c r="AH923" s="3"/>
      <x:c r="AI923" s="3"/>
      <x:c r="AJ923" s="3"/>
      <x:c r="AK923" s="3"/>
      <x:c r="AL923" s="3"/>
      <x:c r="AM923" s="3"/>
      <x:c r="AT923" s="3"/>
      <x:c r="AU923" s="3"/>
      <x:c r="AV923" s="3"/>
      <x:c r="AW923" s="3"/>
      <x:c r="AX923" s="3"/>
      <x:c r="AY923" s="3"/>
      <x:c r="AZ923" s="3"/>
      <x:c r="BA923" s="3"/>
      <x:c r="BC923" s="3"/>
      <x:c r="BD923" s="3"/>
      <x:c r="BE923" s="3"/>
      <x:c r="BF923" s="3"/>
      <x:c r="BG923" s="3"/>
      <x:c r="BH923" s="13"/>
      <x:c r="BI923" s="13"/>
      <x:c r="BJ923" s="13"/>
      <x:c r="BK923" s="13"/>
      <x:c r="BL923" s="13"/>
      <x:c r="BM923" s="13"/>
      <x:c r="BN923" s="13"/>
      <x:c r="BO923" s="13"/>
      <x:c r="BP923" s="13"/>
      <x:c r="BQ923" s="13"/>
      <x:c r="BR923" s="13"/>
      <x:c r="BS923" s="13"/>
      <x:c r="BT923" s="13"/>
      <x:c r="BU923" s="13"/>
      <x:c r="BV923" s="13"/>
      <x:c r="BW923" s="13"/>
      <x:c r="BX923" s="13"/>
      <x:c r="BY923" s="13"/>
      <x:c r="BZ923" s="13"/>
      <x:c r="CA923" s="13"/>
      <x:c r="CB923" s="13"/>
      <x:c r="CC923" s="13"/>
      <x:c r="CD923" s="13"/>
      <x:c r="CE923" s="13"/>
      <x:c r="CF923" s="13"/>
      <x:c r="CG923" s="13"/>
    </x:row>
    <x:row r="924" ht="14.25" customHeight="1">
      <x:c r="AA924" s="3"/>
      <x:c r="AF924" s="3"/>
      <x:c r="AG924" s="3"/>
      <x:c r="AH924" s="3"/>
      <x:c r="AI924" s="3"/>
      <x:c r="AJ924" s="3"/>
      <x:c r="AK924" s="3"/>
      <x:c r="AL924" s="3"/>
      <x:c r="AM924" s="3"/>
      <x:c r="AT924" s="3"/>
      <x:c r="AU924" s="3"/>
      <x:c r="AV924" s="3"/>
      <x:c r="AW924" s="3"/>
      <x:c r="AX924" s="3"/>
      <x:c r="AY924" s="3"/>
      <x:c r="AZ924" s="3"/>
      <x:c r="BA924" s="3"/>
      <x:c r="BC924" s="3"/>
      <x:c r="BD924" s="3"/>
      <x:c r="BE924" s="3"/>
      <x:c r="BF924" s="3"/>
      <x:c r="BG924" s="3"/>
      <x:c r="BH924" s="13"/>
      <x:c r="BI924" s="13"/>
      <x:c r="BJ924" s="13"/>
      <x:c r="BK924" s="13"/>
      <x:c r="BL924" s="13"/>
      <x:c r="BM924" s="13"/>
      <x:c r="BN924" s="13"/>
      <x:c r="BO924" s="13"/>
      <x:c r="BP924" s="13"/>
      <x:c r="BQ924" s="13"/>
      <x:c r="BR924" s="13"/>
      <x:c r="BS924" s="13"/>
      <x:c r="BT924" s="13"/>
      <x:c r="BU924" s="13"/>
      <x:c r="BV924" s="13"/>
      <x:c r="BW924" s="13"/>
      <x:c r="BX924" s="13"/>
      <x:c r="BY924" s="13"/>
      <x:c r="BZ924" s="13"/>
      <x:c r="CA924" s="13"/>
      <x:c r="CB924" s="13"/>
      <x:c r="CC924" s="13"/>
      <x:c r="CD924" s="13"/>
      <x:c r="CE924" s="13"/>
      <x:c r="CF924" s="13"/>
      <x:c r="CG924" s="13"/>
    </x:row>
    <x:row r="925" ht="14.25" customHeight="1">
      <x:c r="AA925" s="3"/>
      <x:c r="AF925" s="3"/>
      <x:c r="AG925" s="3"/>
      <x:c r="AH925" s="3"/>
      <x:c r="AI925" s="3"/>
      <x:c r="AJ925" s="3"/>
      <x:c r="AK925" s="3"/>
      <x:c r="AL925" s="3"/>
      <x:c r="AM925" s="3"/>
      <x:c r="AT925" s="3"/>
      <x:c r="AU925" s="3"/>
      <x:c r="AV925" s="3"/>
      <x:c r="AW925" s="3"/>
      <x:c r="AX925" s="3"/>
      <x:c r="AY925" s="3"/>
      <x:c r="AZ925" s="3"/>
      <x:c r="BA925" s="3"/>
      <x:c r="BC925" s="3"/>
      <x:c r="BD925" s="3"/>
      <x:c r="BE925" s="3"/>
      <x:c r="BF925" s="3"/>
      <x:c r="BG925" s="3"/>
      <x:c r="BH925" s="13"/>
      <x:c r="BI925" s="13"/>
      <x:c r="BJ925" s="13"/>
      <x:c r="BK925" s="13"/>
      <x:c r="BL925" s="13"/>
      <x:c r="BM925" s="13"/>
      <x:c r="BN925" s="13"/>
      <x:c r="BO925" s="13"/>
      <x:c r="BP925" s="13"/>
      <x:c r="BQ925" s="13"/>
      <x:c r="BR925" s="13"/>
      <x:c r="BS925" s="13"/>
      <x:c r="BT925" s="13"/>
      <x:c r="BU925" s="13"/>
      <x:c r="BV925" s="13"/>
      <x:c r="BW925" s="13"/>
      <x:c r="BX925" s="13"/>
      <x:c r="BY925" s="13"/>
      <x:c r="BZ925" s="13"/>
      <x:c r="CA925" s="13"/>
      <x:c r="CB925" s="13"/>
      <x:c r="CC925" s="13"/>
      <x:c r="CD925" s="13"/>
      <x:c r="CE925" s="13"/>
      <x:c r="CF925" s="13"/>
      <x:c r="CG925" s="13"/>
    </x:row>
    <x:row r="926" ht="14.25" customHeight="1">
      <x:c r="AA926" s="3"/>
      <x:c r="AF926" s="3"/>
      <x:c r="AG926" s="3"/>
      <x:c r="AH926" s="3"/>
      <x:c r="AI926" s="3"/>
      <x:c r="AJ926" s="3"/>
      <x:c r="AK926" s="3"/>
      <x:c r="AL926" s="3"/>
      <x:c r="AM926" s="3"/>
      <x:c r="AT926" s="3"/>
      <x:c r="AU926" s="3"/>
      <x:c r="AV926" s="3"/>
      <x:c r="AW926" s="3"/>
      <x:c r="AX926" s="3"/>
      <x:c r="AY926" s="3"/>
      <x:c r="AZ926" s="3"/>
      <x:c r="BA926" s="3"/>
      <x:c r="BC926" s="3"/>
      <x:c r="BD926" s="3"/>
      <x:c r="BE926" s="3"/>
      <x:c r="BF926" s="3"/>
      <x:c r="BG926" s="3"/>
      <x:c r="BH926" s="13"/>
      <x:c r="BI926" s="13"/>
      <x:c r="BJ926" s="13"/>
      <x:c r="BK926" s="13"/>
      <x:c r="BL926" s="13"/>
      <x:c r="BM926" s="13"/>
      <x:c r="BN926" s="13"/>
      <x:c r="BO926" s="13"/>
      <x:c r="BP926" s="13"/>
      <x:c r="BQ926" s="13"/>
      <x:c r="BR926" s="13"/>
      <x:c r="BS926" s="13"/>
      <x:c r="BT926" s="13"/>
      <x:c r="BU926" s="13"/>
      <x:c r="BV926" s="13"/>
      <x:c r="BW926" s="13"/>
      <x:c r="BX926" s="13"/>
      <x:c r="BY926" s="13"/>
      <x:c r="BZ926" s="13"/>
      <x:c r="CA926" s="13"/>
      <x:c r="CB926" s="13"/>
      <x:c r="CC926" s="13"/>
      <x:c r="CD926" s="13"/>
      <x:c r="CE926" s="13"/>
      <x:c r="CF926" s="13"/>
      <x:c r="CG926" s="13"/>
    </x:row>
    <x:row r="927" ht="14.25" customHeight="1">
      <x:c r="AA927" s="3"/>
      <x:c r="AF927" s="3"/>
      <x:c r="AG927" s="3"/>
      <x:c r="AH927" s="3"/>
      <x:c r="AI927" s="3"/>
      <x:c r="AJ927" s="3"/>
      <x:c r="AK927" s="3"/>
      <x:c r="AL927" s="3"/>
      <x:c r="AM927" s="3"/>
      <x:c r="AT927" s="3"/>
      <x:c r="AU927" s="3"/>
      <x:c r="AV927" s="3"/>
      <x:c r="AW927" s="3"/>
      <x:c r="AX927" s="3"/>
      <x:c r="AY927" s="3"/>
      <x:c r="AZ927" s="3"/>
      <x:c r="BA927" s="3"/>
      <x:c r="BC927" s="3"/>
      <x:c r="BD927" s="3"/>
      <x:c r="BE927" s="3"/>
      <x:c r="BF927" s="3"/>
      <x:c r="BG927" s="3"/>
      <x:c r="BH927" s="13"/>
      <x:c r="BI927" s="13"/>
      <x:c r="BJ927" s="13"/>
      <x:c r="BK927" s="13"/>
      <x:c r="BL927" s="13"/>
      <x:c r="BM927" s="13"/>
      <x:c r="BN927" s="13"/>
      <x:c r="BO927" s="13"/>
      <x:c r="BP927" s="13"/>
      <x:c r="BQ927" s="13"/>
      <x:c r="BR927" s="13"/>
      <x:c r="BS927" s="13"/>
      <x:c r="BT927" s="13"/>
      <x:c r="BU927" s="13"/>
      <x:c r="BV927" s="13"/>
      <x:c r="BW927" s="13"/>
      <x:c r="BX927" s="13"/>
      <x:c r="BY927" s="13"/>
      <x:c r="BZ927" s="13"/>
      <x:c r="CA927" s="13"/>
      <x:c r="CB927" s="13"/>
      <x:c r="CC927" s="13"/>
      <x:c r="CD927" s="13"/>
      <x:c r="CE927" s="13"/>
      <x:c r="CF927" s="13"/>
      <x:c r="CG927" s="13"/>
    </x:row>
    <x:row r="928" ht="14.25" customHeight="1">
      <x:c r="AA928" s="3"/>
      <x:c r="AF928" s="3"/>
      <x:c r="AG928" s="3"/>
      <x:c r="AH928" s="3"/>
      <x:c r="AI928" s="3"/>
      <x:c r="AJ928" s="3"/>
      <x:c r="AK928" s="3"/>
      <x:c r="AL928" s="3"/>
      <x:c r="AM928" s="3"/>
      <x:c r="AT928" s="3"/>
      <x:c r="AU928" s="3"/>
      <x:c r="AV928" s="3"/>
      <x:c r="AW928" s="3"/>
      <x:c r="AX928" s="3"/>
      <x:c r="AY928" s="3"/>
      <x:c r="AZ928" s="3"/>
      <x:c r="BA928" s="3"/>
      <x:c r="BC928" s="3"/>
      <x:c r="BD928" s="3"/>
      <x:c r="BE928" s="3"/>
      <x:c r="BF928" s="3"/>
      <x:c r="BG928" s="3"/>
      <x:c r="BH928" s="13"/>
      <x:c r="BI928" s="13"/>
      <x:c r="BJ928" s="13"/>
      <x:c r="BK928" s="13"/>
      <x:c r="BL928" s="13"/>
      <x:c r="BM928" s="13"/>
      <x:c r="BN928" s="13"/>
      <x:c r="BO928" s="13"/>
      <x:c r="BP928" s="13"/>
      <x:c r="BQ928" s="13"/>
      <x:c r="BR928" s="13"/>
      <x:c r="BS928" s="13"/>
      <x:c r="BT928" s="13"/>
      <x:c r="BU928" s="13"/>
      <x:c r="BV928" s="13"/>
      <x:c r="BW928" s="13"/>
      <x:c r="BX928" s="13"/>
      <x:c r="BY928" s="13"/>
      <x:c r="BZ928" s="13"/>
      <x:c r="CA928" s="13"/>
      <x:c r="CB928" s="13"/>
      <x:c r="CC928" s="13"/>
      <x:c r="CD928" s="13"/>
      <x:c r="CE928" s="13"/>
      <x:c r="CF928" s="13"/>
      <x:c r="CG928" s="13"/>
    </x:row>
    <x:row r="929" ht="14.25" customHeight="1">
      <x:c r="AA929" s="3"/>
      <x:c r="AF929" s="3"/>
      <x:c r="AG929" s="3"/>
      <x:c r="AH929" s="3"/>
      <x:c r="AI929" s="3"/>
      <x:c r="AJ929" s="3"/>
      <x:c r="AK929" s="3"/>
      <x:c r="AL929" s="3"/>
      <x:c r="AM929" s="3"/>
      <x:c r="AT929" s="3"/>
      <x:c r="AU929" s="3"/>
      <x:c r="AV929" s="3"/>
      <x:c r="AW929" s="3"/>
      <x:c r="AX929" s="3"/>
      <x:c r="AY929" s="3"/>
      <x:c r="AZ929" s="3"/>
      <x:c r="BA929" s="3"/>
      <x:c r="BC929" s="3"/>
      <x:c r="BD929" s="3"/>
      <x:c r="BE929" s="3"/>
      <x:c r="BF929" s="3"/>
      <x:c r="BG929" s="3"/>
      <x:c r="BH929" s="13"/>
      <x:c r="BI929" s="13"/>
      <x:c r="BJ929" s="13"/>
      <x:c r="BK929" s="13"/>
      <x:c r="BL929" s="13"/>
      <x:c r="BM929" s="13"/>
      <x:c r="BN929" s="13"/>
      <x:c r="BO929" s="13"/>
      <x:c r="BP929" s="13"/>
      <x:c r="BQ929" s="13"/>
      <x:c r="BR929" s="13"/>
      <x:c r="BS929" s="13"/>
      <x:c r="BT929" s="13"/>
      <x:c r="BU929" s="13"/>
      <x:c r="BV929" s="13"/>
      <x:c r="BW929" s="13"/>
      <x:c r="BX929" s="13"/>
      <x:c r="BY929" s="13"/>
      <x:c r="BZ929" s="13"/>
      <x:c r="CA929" s="13"/>
      <x:c r="CB929" s="13"/>
      <x:c r="CC929" s="13"/>
      <x:c r="CD929" s="13"/>
      <x:c r="CE929" s="13"/>
      <x:c r="CF929" s="13"/>
      <x:c r="CG929" s="13"/>
    </x:row>
    <x:row r="930" ht="14.25" customHeight="1">
      <x:c r="AA930" s="3"/>
      <x:c r="AF930" s="3"/>
      <x:c r="AG930" s="3"/>
      <x:c r="AH930" s="3"/>
      <x:c r="AI930" s="3"/>
      <x:c r="AJ930" s="3"/>
      <x:c r="AK930" s="3"/>
      <x:c r="AL930" s="3"/>
      <x:c r="AM930" s="3"/>
      <x:c r="AT930" s="3"/>
      <x:c r="AU930" s="3"/>
      <x:c r="AV930" s="3"/>
      <x:c r="AW930" s="3"/>
      <x:c r="AX930" s="3"/>
      <x:c r="AY930" s="3"/>
      <x:c r="AZ930" s="3"/>
      <x:c r="BA930" s="3"/>
      <x:c r="BC930" s="3"/>
      <x:c r="BD930" s="3"/>
      <x:c r="BE930" s="3"/>
      <x:c r="BF930" s="3"/>
      <x:c r="BG930" s="3"/>
      <x:c r="BH930" s="13"/>
      <x:c r="BI930" s="13"/>
      <x:c r="BJ930" s="13"/>
      <x:c r="BK930" s="13"/>
      <x:c r="BL930" s="13"/>
      <x:c r="BM930" s="13"/>
      <x:c r="BN930" s="13"/>
      <x:c r="BO930" s="13"/>
      <x:c r="BP930" s="13"/>
      <x:c r="BQ930" s="13"/>
      <x:c r="BR930" s="13"/>
      <x:c r="BS930" s="13"/>
      <x:c r="BT930" s="13"/>
      <x:c r="BU930" s="13"/>
      <x:c r="BV930" s="13"/>
      <x:c r="BW930" s="13"/>
      <x:c r="BX930" s="13"/>
      <x:c r="BY930" s="13"/>
      <x:c r="BZ930" s="13"/>
      <x:c r="CA930" s="13"/>
      <x:c r="CB930" s="13"/>
      <x:c r="CC930" s="13"/>
      <x:c r="CD930" s="13"/>
      <x:c r="CE930" s="13"/>
      <x:c r="CF930" s="13"/>
      <x:c r="CG930" s="13"/>
    </x:row>
    <x:row r="931" ht="14.25" customHeight="1">
      <x:c r="AA931" s="3"/>
      <x:c r="AF931" s="3"/>
      <x:c r="AG931" s="3"/>
      <x:c r="AH931" s="3"/>
      <x:c r="AI931" s="3"/>
      <x:c r="AJ931" s="3"/>
      <x:c r="AK931" s="3"/>
      <x:c r="AL931" s="3"/>
      <x:c r="AM931" s="3"/>
      <x:c r="AT931" s="3"/>
      <x:c r="AU931" s="3"/>
      <x:c r="AV931" s="3"/>
      <x:c r="AW931" s="3"/>
      <x:c r="AX931" s="3"/>
      <x:c r="AY931" s="3"/>
      <x:c r="AZ931" s="3"/>
      <x:c r="BA931" s="3"/>
      <x:c r="BC931" s="3"/>
      <x:c r="BD931" s="3"/>
      <x:c r="BE931" s="3"/>
      <x:c r="BF931" s="3"/>
      <x:c r="BG931" s="3"/>
      <x:c r="BH931" s="13"/>
      <x:c r="BI931" s="13"/>
      <x:c r="BJ931" s="13"/>
      <x:c r="BK931" s="13"/>
      <x:c r="BL931" s="13"/>
      <x:c r="BM931" s="13"/>
      <x:c r="BN931" s="13"/>
      <x:c r="BO931" s="13"/>
      <x:c r="BP931" s="13"/>
      <x:c r="BQ931" s="13"/>
      <x:c r="BR931" s="13"/>
      <x:c r="BS931" s="13"/>
      <x:c r="BT931" s="13"/>
      <x:c r="BU931" s="13"/>
      <x:c r="BV931" s="13"/>
      <x:c r="BW931" s="13"/>
      <x:c r="BX931" s="13"/>
      <x:c r="BY931" s="13"/>
      <x:c r="BZ931" s="13"/>
      <x:c r="CA931" s="13"/>
      <x:c r="CB931" s="13"/>
      <x:c r="CC931" s="13"/>
      <x:c r="CD931" s="13"/>
      <x:c r="CE931" s="13"/>
      <x:c r="CF931" s="13"/>
      <x:c r="CG931" s="13"/>
    </x:row>
    <x:row r="932" ht="14.25" customHeight="1">
      <x:c r="AA932" s="3"/>
      <x:c r="AF932" s="3"/>
      <x:c r="AG932" s="3"/>
      <x:c r="AH932" s="3"/>
      <x:c r="AI932" s="3"/>
      <x:c r="AJ932" s="3"/>
      <x:c r="AK932" s="3"/>
      <x:c r="AL932" s="3"/>
      <x:c r="AM932" s="3"/>
      <x:c r="AT932" s="3"/>
      <x:c r="AU932" s="3"/>
      <x:c r="AV932" s="3"/>
      <x:c r="AW932" s="3"/>
      <x:c r="AX932" s="3"/>
      <x:c r="AY932" s="3"/>
      <x:c r="AZ932" s="3"/>
      <x:c r="BA932" s="3"/>
      <x:c r="BC932" s="3"/>
      <x:c r="BD932" s="3"/>
      <x:c r="BE932" s="3"/>
      <x:c r="BF932" s="3"/>
      <x:c r="BG932" s="3"/>
      <x:c r="BH932" s="13"/>
      <x:c r="BI932" s="13"/>
      <x:c r="BJ932" s="13"/>
      <x:c r="BK932" s="13"/>
      <x:c r="BL932" s="13"/>
      <x:c r="BM932" s="13"/>
      <x:c r="BN932" s="13"/>
      <x:c r="BO932" s="13"/>
      <x:c r="BP932" s="13"/>
      <x:c r="BQ932" s="13"/>
      <x:c r="BR932" s="13"/>
      <x:c r="BS932" s="13"/>
      <x:c r="BT932" s="13"/>
      <x:c r="BU932" s="13"/>
      <x:c r="BV932" s="13"/>
      <x:c r="BW932" s="13"/>
      <x:c r="BX932" s="13"/>
      <x:c r="BY932" s="13"/>
      <x:c r="BZ932" s="13"/>
      <x:c r="CA932" s="13"/>
      <x:c r="CB932" s="13"/>
      <x:c r="CC932" s="13"/>
      <x:c r="CD932" s="13"/>
      <x:c r="CE932" s="13"/>
      <x:c r="CF932" s="13"/>
      <x:c r="CG932" s="13"/>
    </x:row>
    <x:row r="933" ht="14.25" customHeight="1">
      <x:c r="AA933" s="3"/>
      <x:c r="AF933" s="3"/>
      <x:c r="AG933" s="3"/>
      <x:c r="AH933" s="3"/>
      <x:c r="AI933" s="3"/>
      <x:c r="AJ933" s="3"/>
      <x:c r="AK933" s="3"/>
      <x:c r="AL933" s="3"/>
      <x:c r="AM933" s="3"/>
      <x:c r="AT933" s="3"/>
      <x:c r="AU933" s="3"/>
      <x:c r="AV933" s="3"/>
      <x:c r="AW933" s="3"/>
      <x:c r="AX933" s="3"/>
      <x:c r="AY933" s="3"/>
      <x:c r="AZ933" s="3"/>
      <x:c r="BA933" s="3"/>
      <x:c r="BC933" s="3"/>
      <x:c r="BD933" s="3"/>
      <x:c r="BE933" s="3"/>
      <x:c r="BF933" s="3"/>
      <x:c r="BG933" s="3"/>
      <x:c r="BH933" s="13"/>
      <x:c r="BI933" s="13"/>
      <x:c r="BJ933" s="13"/>
      <x:c r="BK933" s="13"/>
      <x:c r="BL933" s="13"/>
      <x:c r="BM933" s="13"/>
      <x:c r="BN933" s="13"/>
      <x:c r="BO933" s="13"/>
      <x:c r="BP933" s="13"/>
      <x:c r="BQ933" s="13"/>
      <x:c r="BR933" s="13"/>
      <x:c r="BS933" s="13"/>
      <x:c r="BT933" s="13"/>
      <x:c r="BU933" s="13"/>
      <x:c r="BV933" s="13"/>
      <x:c r="BW933" s="13"/>
      <x:c r="BX933" s="13"/>
      <x:c r="BY933" s="13"/>
      <x:c r="BZ933" s="13"/>
      <x:c r="CA933" s="13"/>
      <x:c r="CB933" s="13"/>
      <x:c r="CC933" s="13"/>
      <x:c r="CD933" s="13"/>
      <x:c r="CE933" s="13"/>
      <x:c r="CF933" s="13"/>
      <x:c r="CG933" s="13"/>
    </x:row>
    <x:row r="934" ht="14.25" customHeight="1">
      <x:c r="AA934" s="3"/>
      <x:c r="AF934" s="3"/>
      <x:c r="AG934" s="3"/>
      <x:c r="AH934" s="3"/>
      <x:c r="AI934" s="3"/>
      <x:c r="AJ934" s="3"/>
      <x:c r="AK934" s="3"/>
      <x:c r="AL934" s="3"/>
      <x:c r="AM934" s="3"/>
      <x:c r="AT934" s="3"/>
      <x:c r="AU934" s="3"/>
      <x:c r="AV934" s="3"/>
      <x:c r="AW934" s="3"/>
      <x:c r="AX934" s="3"/>
      <x:c r="AY934" s="3"/>
      <x:c r="AZ934" s="3"/>
      <x:c r="BA934" s="3"/>
      <x:c r="BC934" s="3"/>
      <x:c r="BD934" s="3"/>
      <x:c r="BE934" s="3"/>
      <x:c r="BF934" s="3"/>
      <x:c r="BG934" s="3"/>
      <x:c r="BH934" s="13"/>
      <x:c r="BI934" s="13"/>
      <x:c r="BJ934" s="13"/>
      <x:c r="BK934" s="13"/>
      <x:c r="BL934" s="13"/>
      <x:c r="BM934" s="13"/>
      <x:c r="BN934" s="13"/>
      <x:c r="BO934" s="13"/>
      <x:c r="BP934" s="13"/>
      <x:c r="BQ934" s="13"/>
      <x:c r="BR934" s="13"/>
      <x:c r="BS934" s="13"/>
      <x:c r="BT934" s="13"/>
      <x:c r="BU934" s="13"/>
      <x:c r="BV934" s="13"/>
      <x:c r="BW934" s="13"/>
      <x:c r="BX934" s="13"/>
      <x:c r="BY934" s="13"/>
      <x:c r="BZ934" s="13"/>
      <x:c r="CA934" s="13"/>
      <x:c r="CB934" s="13"/>
      <x:c r="CC934" s="13"/>
      <x:c r="CD934" s="13"/>
      <x:c r="CE934" s="13"/>
      <x:c r="CF934" s="13"/>
      <x:c r="CG934" s="13"/>
    </x:row>
    <x:row r="935" ht="14.25" customHeight="1">
      <x:c r="AA935" s="3"/>
      <x:c r="AF935" s="3"/>
      <x:c r="AG935" s="3"/>
      <x:c r="AH935" s="3"/>
      <x:c r="AI935" s="3"/>
      <x:c r="AJ935" s="3"/>
      <x:c r="AK935" s="3"/>
      <x:c r="AL935" s="3"/>
      <x:c r="AM935" s="3"/>
      <x:c r="AT935" s="3"/>
      <x:c r="AU935" s="3"/>
      <x:c r="AV935" s="3"/>
      <x:c r="AW935" s="3"/>
      <x:c r="AX935" s="3"/>
      <x:c r="AY935" s="3"/>
      <x:c r="AZ935" s="3"/>
      <x:c r="BA935" s="3"/>
      <x:c r="BC935" s="3"/>
      <x:c r="BD935" s="3"/>
      <x:c r="BE935" s="3"/>
      <x:c r="BF935" s="3"/>
      <x:c r="BG935" s="3"/>
      <x:c r="BH935" s="13"/>
      <x:c r="BI935" s="13"/>
      <x:c r="BJ935" s="13"/>
      <x:c r="BK935" s="13"/>
      <x:c r="BL935" s="13"/>
      <x:c r="BM935" s="13"/>
      <x:c r="BN935" s="13"/>
      <x:c r="BO935" s="13"/>
      <x:c r="BP935" s="13"/>
      <x:c r="BQ935" s="13"/>
      <x:c r="BR935" s="13"/>
      <x:c r="BS935" s="13"/>
      <x:c r="BT935" s="13"/>
      <x:c r="BU935" s="13"/>
      <x:c r="BV935" s="13"/>
      <x:c r="BW935" s="13"/>
      <x:c r="BX935" s="13"/>
      <x:c r="BY935" s="13"/>
      <x:c r="BZ935" s="13"/>
      <x:c r="CA935" s="13"/>
      <x:c r="CB935" s="13"/>
      <x:c r="CC935" s="13"/>
      <x:c r="CD935" s="13"/>
      <x:c r="CE935" s="13"/>
      <x:c r="CF935" s="13"/>
      <x:c r="CG935" s="13"/>
    </x:row>
    <x:row r="936" ht="14.25" customHeight="1">
      <x:c r="AA936" s="3"/>
      <x:c r="AF936" s="3"/>
      <x:c r="AG936" s="3"/>
      <x:c r="AH936" s="3"/>
      <x:c r="AI936" s="3"/>
      <x:c r="AJ936" s="3"/>
      <x:c r="AK936" s="3"/>
      <x:c r="AL936" s="3"/>
      <x:c r="AM936" s="3"/>
      <x:c r="AT936" s="3"/>
      <x:c r="AU936" s="3"/>
      <x:c r="AV936" s="3"/>
      <x:c r="AW936" s="3"/>
      <x:c r="AX936" s="3"/>
      <x:c r="AY936" s="3"/>
      <x:c r="AZ936" s="3"/>
      <x:c r="BA936" s="3"/>
      <x:c r="BC936" s="3"/>
      <x:c r="BD936" s="3"/>
      <x:c r="BE936" s="3"/>
      <x:c r="BF936" s="3"/>
      <x:c r="BG936" s="3"/>
      <x:c r="BH936" s="13"/>
      <x:c r="BI936" s="13"/>
      <x:c r="BJ936" s="13"/>
      <x:c r="BK936" s="13"/>
      <x:c r="BL936" s="13"/>
      <x:c r="BM936" s="13"/>
      <x:c r="BN936" s="13"/>
      <x:c r="BO936" s="13"/>
      <x:c r="BP936" s="13"/>
      <x:c r="BQ936" s="13"/>
      <x:c r="BR936" s="13"/>
      <x:c r="BS936" s="13"/>
      <x:c r="BT936" s="13"/>
      <x:c r="BU936" s="13"/>
      <x:c r="BV936" s="13"/>
      <x:c r="BW936" s="13"/>
      <x:c r="BX936" s="13"/>
      <x:c r="BY936" s="13"/>
      <x:c r="BZ936" s="13"/>
      <x:c r="CA936" s="13"/>
      <x:c r="CB936" s="13"/>
      <x:c r="CC936" s="13"/>
      <x:c r="CD936" s="13"/>
      <x:c r="CE936" s="13"/>
      <x:c r="CF936" s="13"/>
      <x:c r="CG936" s="13"/>
    </x:row>
    <x:row r="937" ht="14.25" customHeight="1">
      <x:c r="AA937" s="3"/>
      <x:c r="AF937" s="3"/>
      <x:c r="AG937" s="3"/>
      <x:c r="AH937" s="3"/>
      <x:c r="AI937" s="3"/>
      <x:c r="AJ937" s="3"/>
      <x:c r="AK937" s="3"/>
      <x:c r="AL937" s="3"/>
      <x:c r="AM937" s="3"/>
      <x:c r="AT937" s="3"/>
      <x:c r="AU937" s="3"/>
      <x:c r="AV937" s="3"/>
      <x:c r="AW937" s="3"/>
      <x:c r="AX937" s="3"/>
      <x:c r="AY937" s="3"/>
      <x:c r="AZ937" s="3"/>
      <x:c r="BA937" s="3"/>
      <x:c r="BC937" s="3"/>
      <x:c r="BD937" s="3"/>
      <x:c r="BE937" s="3"/>
      <x:c r="BF937" s="3"/>
      <x:c r="BG937" s="3"/>
      <x:c r="BH937" s="13"/>
      <x:c r="BI937" s="13"/>
      <x:c r="BJ937" s="13"/>
      <x:c r="BK937" s="13"/>
      <x:c r="BL937" s="13"/>
      <x:c r="BM937" s="13"/>
      <x:c r="BN937" s="13"/>
      <x:c r="BO937" s="13"/>
      <x:c r="BP937" s="13"/>
      <x:c r="BQ937" s="13"/>
      <x:c r="BR937" s="13"/>
      <x:c r="BS937" s="13"/>
      <x:c r="BT937" s="13"/>
      <x:c r="BU937" s="13"/>
      <x:c r="BV937" s="13"/>
      <x:c r="BW937" s="13"/>
      <x:c r="BX937" s="13"/>
      <x:c r="BY937" s="13"/>
      <x:c r="BZ937" s="13"/>
      <x:c r="CA937" s="13"/>
      <x:c r="CB937" s="13"/>
      <x:c r="CC937" s="13"/>
      <x:c r="CD937" s="13"/>
      <x:c r="CE937" s="13"/>
      <x:c r="CF937" s="13"/>
      <x:c r="CG937" s="13"/>
    </x:row>
    <x:row r="938" ht="14.25" customHeight="1">
      <x:c r="AA938" s="3"/>
      <x:c r="AF938" s="3"/>
      <x:c r="AG938" s="3"/>
      <x:c r="AH938" s="3"/>
      <x:c r="AI938" s="3"/>
      <x:c r="AJ938" s="3"/>
      <x:c r="AK938" s="3"/>
      <x:c r="AL938" s="3"/>
      <x:c r="AM938" s="3"/>
      <x:c r="AT938" s="3"/>
      <x:c r="AU938" s="3"/>
      <x:c r="AV938" s="3"/>
      <x:c r="AW938" s="3"/>
      <x:c r="AX938" s="3"/>
      <x:c r="AY938" s="3"/>
      <x:c r="AZ938" s="3"/>
      <x:c r="BA938" s="3"/>
      <x:c r="BC938" s="3"/>
      <x:c r="BD938" s="3"/>
      <x:c r="BE938" s="3"/>
      <x:c r="BF938" s="3"/>
      <x:c r="BG938" s="3"/>
      <x:c r="BH938" s="13"/>
      <x:c r="BI938" s="13"/>
      <x:c r="BJ938" s="13"/>
      <x:c r="BK938" s="13"/>
      <x:c r="BL938" s="13"/>
      <x:c r="BM938" s="13"/>
      <x:c r="BN938" s="13"/>
      <x:c r="BO938" s="13"/>
      <x:c r="BP938" s="13"/>
      <x:c r="BQ938" s="13"/>
      <x:c r="BR938" s="13"/>
      <x:c r="BS938" s="13"/>
      <x:c r="BT938" s="13"/>
      <x:c r="BU938" s="13"/>
      <x:c r="BV938" s="13"/>
      <x:c r="BW938" s="13"/>
      <x:c r="BX938" s="13"/>
      <x:c r="BY938" s="13"/>
      <x:c r="BZ938" s="13"/>
      <x:c r="CA938" s="13"/>
      <x:c r="CB938" s="13"/>
      <x:c r="CC938" s="13"/>
      <x:c r="CD938" s="13"/>
      <x:c r="CE938" s="13"/>
      <x:c r="CF938" s="13"/>
      <x:c r="CG938" s="13"/>
    </x:row>
    <x:row r="939" ht="14.25" customHeight="1">
      <x:c r="AA939" s="3"/>
      <x:c r="AF939" s="3"/>
      <x:c r="AG939" s="3"/>
      <x:c r="AH939" s="3"/>
      <x:c r="AI939" s="3"/>
      <x:c r="AJ939" s="3"/>
      <x:c r="AK939" s="3"/>
      <x:c r="AL939" s="3"/>
      <x:c r="AM939" s="3"/>
      <x:c r="AT939" s="3"/>
      <x:c r="AU939" s="3"/>
      <x:c r="AV939" s="3"/>
      <x:c r="AW939" s="3"/>
      <x:c r="AX939" s="3"/>
      <x:c r="AY939" s="3"/>
      <x:c r="AZ939" s="3"/>
      <x:c r="BA939" s="3"/>
      <x:c r="BC939" s="3"/>
      <x:c r="BD939" s="3"/>
      <x:c r="BE939" s="3"/>
      <x:c r="BF939" s="3"/>
      <x:c r="BG939" s="3"/>
      <x:c r="BH939" s="13"/>
      <x:c r="BI939" s="13"/>
      <x:c r="BJ939" s="13"/>
      <x:c r="BK939" s="13"/>
      <x:c r="BL939" s="13"/>
      <x:c r="BM939" s="13"/>
      <x:c r="BN939" s="13"/>
      <x:c r="BO939" s="13"/>
      <x:c r="BP939" s="13"/>
      <x:c r="BQ939" s="13"/>
      <x:c r="BR939" s="13"/>
      <x:c r="BS939" s="13"/>
      <x:c r="BT939" s="13"/>
      <x:c r="BU939" s="13"/>
      <x:c r="BV939" s="13"/>
      <x:c r="BW939" s="13"/>
      <x:c r="BX939" s="13"/>
      <x:c r="BY939" s="13"/>
      <x:c r="BZ939" s="13"/>
      <x:c r="CA939" s="13"/>
      <x:c r="CB939" s="13"/>
      <x:c r="CC939" s="13"/>
      <x:c r="CD939" s="13"/>
      <x:c r="CE939" s="13"/>
      <x:c r="CF939" s="13"/>
      <x:c r="CG939" s="13"/>
    </x:row>
    <x:row r="940" ht="14.25" customHeight="1">
      <x:c r="AA940" s="3"/>
      <x:c r="AF940" s="3"/>
      <x:c r="AG940" s="3"/>
      <x:c r="AH940" s="3"/>
      <x:c r="AI940" s="3"/>
      <x:c r="AJ940" s="3"/>
      <x:c r="AK940" s="3"/>
      <x:c r="AL940" s="3"/>
      <x:c r="AM940" s="3"/>
      <x:c r="AT940" s="3"/>
      <x:c r="AU940" s="3"/>
      <x:c r="AV940" s="3"/>
      <x:c r="AW940" s="3"/>
      <x:c r="AX940" s="3"/>
      <x:c r="AY940" s="3"/>
      <x:c r="AZ940" s="3"/>
      <x:c r="BA940" s="3"/>
      <x:c r="BC940" s="3"/>
      <x:c r="BD940" s="3"/>
      <x:c r="BE940" s="3"/>
      <x:c r="BF940" s="3"/>
      <x:c r="BG940" s="3"/>
      <x:c r="BH940" s="13"/>
      <x:c r="BI940" s="13"/>
      <x:c r="BJ940" s="13"/>
      <x:c r="BK940" s="13"/>
      <x:c r="BL940" s="13"/>
      <x:c r="BM940" s="13"/>
      <x:c r="BN940" s="13"/>
      <x:c r="BO940" s="13"/>
      <x:c r="BP940" s="13"/>
      <x:c r="BQ940" s="13"/>
      <x:c r="BR940" s="13"/>
      <x:c r="BS940" s="13"/>
      <x:c r="BT940" s="13"/>
      <x:c r="BU940" s="13"/>
      <x:c r="BV940" s="13"/>
      <x:c r="BW940" s="13"/>
      <x:c r="BX940" s="13"/>
      <x:c r="BY940" s="13"/>
      <x:c r="BZ940" s="13"/>
      <x:c r="CA940" s="13"/>
      <x:c r="CB940" s="13"/>
      <x:c r="CC940" s="13"/>
      <x:c r="CD940" s="13"/>
      <x:c r="CE940" s="13"/>
      <x:c r="CF940" s="13"/>
      <x:c r="CG940" s="13"/>
    </x:row>
    <x:row r="941" ht="14.25" customHeight="1">
      <x:c r="AA941" s="3"/>
      <x:c r="AF941" s="3"/>
      <x:c r="AG941" s="3"/>
      <x:c r="AH941" s="3"/>
      <x:c r="AI941" s="3"/>
      <x:c r="AJ941" s="3"/>
      <x:c r="AK941" s="3"/>
      <x:c r="AL941" s="3"/>
      <x:c r="AM941" s="3"/>
      <x:c r="AT941" s="3"/>
      <x:c r="AU941" s="3"/>
      <x:c r="AV941" s="3"/>
      <x:c r="AW941" s="3"/>
      <x:c r="AX941" s="3"/>
      <x:c r="AY941" s="3"/>
      <x:c r="AZ941" s="3"/>
      <x:c r="BA941" s="3"/>
      <x:c r="BC941" s="3"/>
      <x:c r="BD941" s="3"/>
      <x:c r="BE941" s="3"/>
      <x:c r="BF941" s="3"/>
      <x:c r="BG941" s="3"/>
      <x:c r="BH941" s="13"/>
      <x:c r="BI941" s="13"/>
      <x:c r="BJ941" s="13"/>
      <x:c r="BK941" s="13"/>
      <x:c r="BL941" s="13"/>
      <x:c r="BM941" s="13"/>
      <x:c r="BN941" s="13"/>
      <x:c r="BO941" s="13"/>
      <x:c r="BP941" s="13"/>
      <x:c r="BQ941" s="13"/>
      <x:c r="BR941" s="13"/>
      <x:c r="BS941" s="13"/>
      <x:c r="BT941" s="13"/>
      <x:c r="BU941" s="13"/>
      <x:c r="BV941" s="13"/>
      <x:c r="BW941" s="13"/>
      <x:c r="BX941" s="13"/>
      <x:c r="BY941" s="13"/>
      <x:c r="BZ941" s="13"/>
      <x:c r="CA941" s="13"/>
      <x:c r="CB941" s="13"/>
      <x:c r="CC941" s="13"/>
      <x:c r="CD941" s="13"/>
      <x:c r="CE941" s="13"/>
      <x:c r="CF941" s="13"/>
      <x:c r="CG941" s="13"/>
    </x:row>
    <x:row r="942" ht="14.25" customHeight="1">
      <x:c r="AA942" s="3"/>
      <x:c r="AF942" s="3"/>
      <x:c r="AG942" s="3"/>
      <x:c r="AH942" s="3"/>
      <x:c r="AI942" s="3"/>
      <x:c r="AJ942" s="3"/>
      <x:c r="AK942" s="3"/>
      <x:c r="AL942" s="3"/>
      <x:c r="AM942" s="3"/>
      <x:c r="AT942" s="3"/>
      <x:c r="AU942" s="3"/>
      <x:c r="AV942" s="3"/>
      <x:c r="AW942" s="3"/>
      <x:c r="AX942" s="3"/>
      <x:c r="AY942" s="3"/>
      <x:c r="AZ942" s="3"/>
      <x:c r="BA942" s="3"/>
      <x:c r="BC942" s="3"/>
      <x:c r="BD942" s="3"/>
      <x:c r="BE942" s="3"/>
      <x:c r="BF942" s="3"/>
      <x:c r="BG942" s="3"/>
      <x:c r="BH942" s="13"/>
      <x:c r="BI942" s="13"/>
      <x:c r="BJ942" s="13"/>
      <x:c r="BK942" s="13"/>
      <x:c r="BL942" s="13"/>
      <x:c r="BM942" s="13"/>
      <x:c r="BN942" s="13"/>
      <x:c r="BO942" s="13"/>
      <x:c r="BP942" s="13"/>
      <x:c r="BQ942" s="13"/>
      <x:c r="BR942" s="13"/>
      <x:c r="BS942" s="13"/>
      <x:c r="BT942" s="13"/>
      <x:c r="BU942" s="13"/>
      <x:c r="BV942" s="13"/>
      <x:c r="BW942" s="13"/>
      <x:c r="BX942" s="13"/>
      <x:c r="BY942" s="13"/>
      <x:c r="BZ942" s="13"/>
      <x:c r="CA942" s="13"/>
      <x:c r="CB942" s="13"/>
      <x:c r="CC942" s="13"/>
      <x:c r="CD942" s="13"/>
      <x:c r="CE942" s="13"/>
      <x:c r="CF942" s="13"/>
      <x:c r="CG942" s="13"/>
    </x:row>
    <x:row r="943" ht="14.25" customHeight="1">
      <x:c r="AA943" s="3"/>
      <x:c r="AF943" s="3"/>
      <x:c r="AG943" s="3"/>
      <x:c r="AH943" s="3"/>
      <x:c r="AI943" s="3"/>
      <x:c r="AJ943" s="3"/>
      <x:c r="AK943" s="3"/>
      <x:c r="AL943" s="3"/>
      <x:c r="AM943" s="3"/>
      <x:c r="AT943" s="3"/>
      <x:c r="AU943" s="3"/>
      <x:c r="AV943" s="3"/>
      <x:c r="AW943" s="3"/>
      <x:c r="AX943" s="3"/>
      <x:c r="AY943" s="3"/>
      <x:c r="AZ943" s="3"/>
      <x:c r="BA943" s="3"/>
      <x:c r="BC943" s="3"/>
      <x:c r="BD943" s="3"/>
      <x:c r="BE943" s="3"/>
      <x:c r="BF943" s="3"/>
      <x:c r="BG943" s="3"/>
      <x:c r="BH943" s="13"/>
      <x:c r="BI943" s="13"/>
      <x:c r="BJ943" s="13"/>
      <x:c r="BK943" s="13"/>
      <x:c r="BL943" s="13"/>
      <x:c r="BM943" s="13"/>
      <x:c r="BN943" s="13"/>
      <x:c r="BO943" s="13"/>
      <x:c r="BP943" s="13"/>
      <x:c r="BQ943" s="13"/>
      <x:c r="BR943" s="13"/>
      <x:c r="BS943" s="13"/>
      <x:c r="BT943" s="13"/>
      <x:c r="BU943" s="13"/>
      <x:c r="BV943" s="13"/>
      <x:c r="BW943" s="13"/>
      <x:c r="BX943" s="13"/>
      <x:c r="BY943" s="13"/>
      <x:c r="BZ943" s="13"/>
      <x:c r="CA943" s="13"/>
      <x:c r="CB943" s="13"/>
      <x:c r="CC943" s="13"/>
      <x:c r="CD943" s="13"/>
      <x:c r="CE943" s="13"/>
      <x:c r="CF943" s="13"/>
      <x:c r="CG943" s="13"/>
    </x:row>
    <x:row r="944" ht="14.25" customHeight="1">
      <x:c r="AA944" s="3"/>
      <x:c r="AF944" s="3"/>
      <x:c r="AG944" s="3"/>
      <x:c r="AH944" s="3"/>
      <x:c r="AI944" s="3"/>
      <x:c r="AJ944" s="3"/>
      <x:c r="AK944" s="3"/>
      <x:c r="AL944" s="3"/>
      <x:c r="AM944" s="3"/>
      <x:c r="AT944" s="3"/>
      <x:c r="AU944" s="3"/>
      <x:c r="AV944" s="3"/>
      <x:c r="AW944" s="3"/>
      <x:c r="AX944" s="3"/>
      <x:c r="AY944" s="3"/>
      <x:c r="AZ944" s="3"/>
      <x:c r="BA944" s="3"/>
      <x:c r="BC944" s="3"/>
      <x:c r="BD944" s="3"/>
      <x:c r="BE944" s="3"/>
      <x:c r="BF944" s="3"/>
      <x:c r="BG944" s="3"/>
      <x:c r="BH944" s="13"/>
      <x:c r="BI944" s="13"/>
      <x:c r="BJ944" s="13"/>
      <x:c r="BK944" s="13"/>
      <x:c r="BL944" s="13"/>
      <x:c r="BM944" s="13"/>
      <x:c r="BN944" s="13"/>
      <x:c r="BO944" s="13"/>
      <x:c r="BP944" s="13"/>
      <x:c r="BQ944" s="13"/>
      <x:c r="BR944" s="13"/>
      <x:c r="BS944" s="13"/>
      <x:c r="BT944" s="13"/>
      <x:c r="BU944" s="13"/>
      <x:c r="BV944" s="13"/>
      <x:c r="BW944" s="13"/>
      <x:c r="BX944" s="13"/>
      <x:c r="BY944" s="13"/>
      <x:c r="BZ944" s="13"/>
      <x:c r="CA944" s="13"/>
      <x:c r="CB944" s="13"/>
      <x:c r="CC944" s="13"/>
      <x:c r="CD944" s="13"/>
      <x:c r="CE944" s="13"/>
      <x:c r="CF944" s="13"/>
      <x:c r="CG944" s="13"/>
    </x:row>
    <x:row r="945" ht="14.25" customHeight="1">
      <x:c r="AA945" s="3"/>
      <x:c r="AF945" s="3"/>
      <x:c r="AG945" s="3"/>
      <x:c r="AH945" s="3"/>
      <x:c r="AI945" s="3"/>
      <x:c r="AJ945" s="3"/>
      <x:c r="AK945" s="3"/>
      <x:c r="AL945" s="3"/>
      <x:c r="AM945" s="3"/>
      <x:c r="AT945" s="3"/>
      <x:c r="AU945" s="3"/>
      <x:c r="AV945" s="3"/>
      <x:c r="AW945" s="3"/>
      <x:c r="AX945" s="3"/>
      <x:c r="AY945" s="3"/>
      <x:c r="AZ945" s="3"/>
      <x:c r="BA945" s="3"/>
      <x:c r="BC945" s="3"/>
      <x:c r="BD945" s="3"/>
      <x:c r="BE945" s="3"/>
      <x:c r="BF945" s="3"/>
      <x:c r="BG945" s="3"/>
      <x:c r="BH945" s="13"/>
      <x:c r="BI945" s="13"/>
      <x:c r="BJ945" s="13"/>
      <x:c r="BK945" s="13"/>
      <x:c r="BL945" s="13"/>
      <x:c r="BM945" s="13"/>
      <x:c r="BN945" s="13"/>
      <x:c r="BO945" s="13"/>
      <x:c r="BP945" s="13"/>
      <x:c r="BQ945" s="13"/>
      <x:c r="BR945" s="13"/>
      <x:c r="BS945" s="13"/>
      <x:c r="BT945" s="13"/>
      <x:c r="BU945" s="13"/>
      <x:c r="BV945" s="13"/>
      <x:c r="BW945" s="13"/>
      <x:c r="BX945" s="13"/>
      <x:c r="BY945" s="13"/>
      <x:c r="BZ945" s="13"/>
      <x:c r="CA945" s="13"/>
      <x:c r="CB945" s="13"/>
      <x:c r="CC945" s="13"/>
      <x:c r="CD945" s="13"/>
      <x:c r="CE945" s="13"/>
      <x:c r="CF945" s="13"/>
      <x:c r="CG945" s="13"/>
    </x:row>
    <x:row r="946" ht="14.25" customHeight="1">
      <x:c r="AA946" s="3"/>
      <x:c r="AF946" s="3"/>
      <x:c r="AG946" s="3"/>
      <x:c r="AH946" s="3"/>
      <x:c r="AI946" s="3"/>
      <x:c r="AJ946" s="3"/>
      <x:c r="AK946" s="3"/>
      <x:c r="AL946" s="3"/>
      <x:c r="AM946" s="3"/>
      <x:c r="AT946" s="3"/>
      <x:c r="AU946" s="3"/>
      <x:c r="AV946" s="3"/>
      <x:c r="AW946" s="3"/>
      <x:c r="AX946" s="3"/>
      <x:c r="AY946" s="3"/>
      <x:c r="AZ946" s="3"/>
      <x:c r="BA946" s="3"/>
      <x:c r="BC946" s="3"/>
      <x:c r="BD946" s="3"/>
      <x:c r="BE946" s="3"/>
      <x:c r="BF946" s="3"/>
      <x:c r="BG946" s="3"/>
      <x:c r="BH946" s="13"/>
      <x:c r="BI946" s="13"/>
      <x:c r="BJ946" s="13"/>
      <x:c r="BK946" s="13"/>
      <x:c r="BL946" s="13"/>
      <x:c r="BM946" s="13"/>
      <x:c r="BN946" s="13"/>
      <x:c r="BO946" s="13"/>
      <x:c r="BP946" s="13"/>
      <x:c r="BQ946" s="13"/>
      <x:c r="BR946" s="13"/>
      <x:c r="BS946" s="13"/>
      <x:c r="BT946" s="13"/>
      <x:c r="BU946" s="13"/>
      <x:c r="BV946" s="13"/>
      <x:c r="BW946" s="13"/>
      <x:c r="BX946" s="13"/>
      <x:c r="BY946" s="13"/>
      <x:c r="BZ946" s="13"/>
      <x:c r="CA946" s="13"/>
      <x:c r="CB946" s="13"/>
      <x:c r="CC946" s="13"/>
      <x:c r="CD946" s="13"/>
      <x:c r="CE946" s="13"/>
      <x:c r="CF946" s="13"/>
      <x:c r="CG946" s="13"/>
    </x:row>
    <x:row r="947" ht="14.25" customHeight="1">
      <x:c r="AA947" s="3"/>
      <x:c r="AF947" s="3"/>
      <x:c r="AG947" s="3"/>
      <x:c r="AH947" s="3"/>
      <x:c r="AI947" s="3"/>
      <x:c r="AJ947" s="3"/>
      <x:c r="AK947" s="3"/>
      <x:c r="AL947" s="3"/>
      <x:c r="AM947" s="3"/>
      <x:c r="AT947" s="3"/>
      <x:c r="AU947" s="3"/>
      <x:c r="AV947" s="3"/>
      <x:c r="AW947" s="3"/>
      <x:c r="AX947" s="3"/>
      <x:c r="AY947" s="3"/>
      <x:c r="AZ947" s="3"/>
      <x:c r="BA947" s="3"/>
      <x:c r="BC947" s="3"/>
      <x:c r="BD947" s="3"/>
      <x:c r="BE947" s="3"/>
      <x:c r="BF947" s="3"/>
      <x:c r="BG947" s="3"/>
      <x:c r="BH947" s="13"/>
      <x:c r="BI947" s="13"/>
      <x:c r="BJ947" s="13"/>
      <x:c r="BK947" s="13"/>
      <x:c r="BL947" s="13"/>
      <x:c r="BM947" s="13"/>
      <x:c r="BN947" s="13"/>
      <x:c r="BO947" s="13"/>
      <x:c r="BP947" s="13"/>
      <x:c r="BQ947" s="13"/>
      <x:c r="BR947" s="13"/>
      <x:c r="BS947" s="13"/>
      <x:c r="BT947" s="13"/>
      <x:c r="BU947" s="13"/>
      <x:c r="BV947" s="13"/>
      <x:c r="BW947" s="13"/>
      <x:c r="BX947" s="13"/>
      <x:c r="BY947" s="13"/>
      <x:c r="BZ947" s="13"/>
      <x:c r="CA947" s="13"/>
      <x:c r="CB947" s="13"/>
      <x:c r="CC947" s="13"/>
      <x:c r="CD947" s="13"/>
      <x:c r="CE947" s="13"/>
      <x:c r="CF947" s="13"/>
      <x:c r="CG947" s="13"/>
    </x:row>
    <x:row r="948" ht="14.25" customHeight="1">
      <x:c r="AA948" s="3"/>
      <x:c r="AF948" s="3"/>
      <x:c r="AG948" s="3"/>
      <x:c r="AH948" s="3"/>
      <x:c r="AI948" s="3"/>
      <x:c r="AJ948" s="3"/>
      <x:c r="AK948" s="3"/>
      <x:c r="AL948" s="3"/>
      <x:c r="AM948" s="3"/>
      <x:c r="AT948" s="3"/>
      <x:c r="AU948" s="3"/>
      <x:c r="AV948" s="3"/>
      <x:c r="AW948" s="3"/>
      <x:c r="AX948" s="3"/>
      <x:c r="AY948" s="3"/>
      <x:c r="AZ948" s="3"/>
      <x:c r="BA948" s="3"/>
      <x:c r="BC948" s="3"/>
      <x:c r="BD948" s="3"/>
      <x:c r="BE948" s="3"/>
      <x:c r="BF948" s="3"/>
      <x:c r="BG948" s="3"/>
      <x:c r="BH948" s="13"/>
      <x:c r="BI948" s="13"/>
      <x:c r="BJ948" s="13"/>
      <x:c r="BK948" s="13"/>
      <x:c r="BL948" s="13"/>
      <x:c r="BM948" s="13"/>
      <x:c r="BN948" s="13"/>
      <x:c r="BO948" s="13"/>
      <x:c r="BP948" s="13"/>
      <x:c r="BQ948" s="13"/>
      <x:c r="BR948" s="13"/>
      <x:c r="BS948" s="13"/>
      <x:c r="BT948" s="13"/>
      <x:c r="BU948" s="13"/>
      <x:c r="BV948" s="13"/>
      <x:c r="BW948" s="13"/>
      <x:c r="BX948" s="13"/>
      <x:c r="BY948" s="13"/>
      <x:c r="BZ948" s="13"/>
      <x:c r="CA948" s="13"/>
      <x:c r="CB948" s="13"/>
      <x:c r="CC948" s="13"/>
      <x:c r="CD948" s="13"/>
      <x:c r="CE948" s="13"/>
      <x:c r="CF948" s="13"/>
      <x:c r="CG948" s="13"/>
    </x:row>
    <x:row r="949" ht="14.25" customHeight="1">
      <x:c r="AA949" s="3"/>
      <x:c r="AF949" s="3"/>
      <x:c r="AG949" s="3"/>
      <x:c r="AH949" s="3"/>
      <x:c r="AI949" s="3"/>
      <x:c r="AJ949" s="3"/>
      <x:c r="AK949" s="3"/>
      <x:c r="AL949" s="3"/>
      <x:c r="AM949" s="3"/>
      <x:c r="AT949" s="3"/>
      <x:c r="AU949" s="3"/>
      <x:c r="AV949" s="3"/>
      <x:c r="AW949" s="3"/>
      <x:c r="AX949" s="3"/>
      <x:c r="AY949" s="3"/>
      <x:c r="AZ949" s="3"/>
      <x:c r="BA949" s="3"/>
      <x:c r="BC949" s="3"/>
      <x:c r="BD949" s="3"/>
      <x:c r="BE949" s="3"/>
      <x:c r="BF949" s="3"/>
      <x:c r="BG949" s="3"/>
      <x:c r="BH949" s="13"/>
      <x:c r="BI949" s="13"/>
      <x:c r="BJ949" s="13"/>
      <x:c r="BK949" s="13"/>
      <x:c r="BL949" s="13"/>
      <x:c r="BM949" s="13"/>
      <x:c r="BN949" s="13"/>
      <x:c r="BO949" s="13"/>
      <x:c r="BP949" s="13"/>
      <x:c r="BQ949" s="13"/>
      <x:c r="BR949" s="13"/>
      <x:c r="BS949" s="13"/>
      <x:c r="BT949" s="13"/>
      <x:c r="BU949" s="13"/>
      <x:c r="BV949" s="13"/>
      <x:c r="BW949" s="13"/>
      <x:c r="BX949" s="13"/>
      <x:c r="BY949" s="13"/>
      <x:c r="BZ949" s="13"/>
      <x:c r="CA949" s="13"/>
      <x:c r="CB949" s="13"/>
      <x:c r="CC949" s="13"/>
      <x:c r="CD949" s="13"/>
      <x:c r="CE949" s="13"/>
      <x:c r="CF949" s="13"/>
      <x:c r="CG949" s="13"/>
    </x:row>
    <x:row r="950" ht="14.25" customHeight="1">
      <x:c r="AA950" s="3"/>
      <x:c r="AF950" s="3"/>
      <x:c r="AG950" s="3"/>
      <x:c r="AH950" s="3"/>
      <x:c r="AI950" s="3"/>
      <x:c r="AJ950" s="3"/>
      <x:c r="AK950" s="3"/>
      <x:c r="AL950" s="3"/>
      <x:c r="AM950" s="3"/>
      <x:c r="AT950" s="3"/>
      <x:c r="AU950" s="3"/>
      <x:c r="AV950" s="3"/>
      <x:c r="AW950" s="3"/>
      <x:c r="AX950" s="3"/>
      <x:c r="AY950" s="3"/>
      <x:c r="AZ950" s="3"/>
      <x:c r="BA950" s="3"/>
      <x:c r="BC950" s="3"/>
      <x:c r="BD950" s="3"/>
      <x:c r="BE950" s="3"/>
      <x:c r="BF950" s="3"/>
      <x:c r="BG950" s="3"/>
      <x:c r="BH950" s="13"/>
      <x:c r="BI950" s="13"/>
      <x:c r="BJ950" s="13"/>
      <x:c r="BK950" s="13"/>
      <x:c r="BL950" s="13"/>
      <x:c r="BM950" s="13"/>
      <x:c r="BN950" s="13"/>
      <x:c r="BO950" s="13"/>
      <x:c r="BP950" s="13"/>
      <x:c r="BQ950" s="13"/>
      <x:c r="BR950" s="13"/>
      <x:c r="BS950" s="13"/>
      <x:c r="BT950" s="13"/>
      <x:c r="BU950" s="13"/>
      <x:c r="BV950" s="13"/>
      <x:c r="BW950" s="13"/>
      <x:c r="BX950" s="13"/>
      <x:c r="BY950" s="13"/>
      <x:c r="BZ950" s="13"/>
      <x:c r="CA950" s="13"/>
      <x:c r="CB950" s="13"/>
      <x:c r="CC950" s="13"/>
      <x:c r="CD950" s="13"/>
      <x:c r="CE950" s="13"/>
      <x:c r="CF950" s="13"/>
      <x:c r="CG950" s="13"/>
    </x:row>
    <x:row r="951" ht="14.25" customHeight="1">
      <x:c r="AA951" s="3"/>
      <x:c r="AF951" s="3"/>
      <x:c r="AG951" s="3"/>
      <x:c r="AH951" s="3"/>
      <x:c r="AI951" s="3"/>
      <x:c r="AJ951" s="3"/>
      <x:c r="AK951" s="3"/>
      <x:c r="AL951" s="3"/>
      <x:c r="AM951" s="3"/>
      <x:c r="AT951" s="3"/>
      <x:c r="AU951" s="3"/>
      <x:c r="AV951" s="3"/>
      <x:c r="AW951" s="3"/>
      <x:c r="AX951" s="3"/>
      <x:c r="AY951" s="3"/>
      <x:c r="AZ951" s="3"/>
      <x:c r="BA951" s="3"/>
      <x:c r="BC951" s="3"/>
      <x:c r="BD951" s="3"/>
      <x:c r="BE951" s="3"/>
      <x:c r="BF951" s="3"/>
      <x:c r="BG951" s="3"/>
      <x:c r="BH951" s="13"/>
      <x:c r="BI951" s="13"/>
      <x:c r="BJ951" s="13"/>
      <x:c r="BK951" s="13"/>
      <x:c r="BL951" s="13"/>
      <x:c r="BM951" s="13"/>
      <x:c r="BN951" s="13"/>
      <x:c r="BO951" s="13"/>
      <x:c r="BP951" s="13"/>
      <x:c r="BQ951" s="13"/>
      <x:c r="BR951" s="13"/>
      <x:c r="BS951" s="13"/>
      <x:c r="BT951" s="13"/>
      <x:c r="BU951" s="13"/>
      <x:c r="BV951" s="13"/>
      <x:c r="BW951" s="13"/>
      <x:c r="BX951" s="13"/>
      <x:c r="BY951" s="13"/>
      <x:c r="BZ951" s="13"/>
      <x:c r="CA951" s="13"/>
      <x:c r="CB951" s="13"/>
      <x:c r="CC951" s="13"/>
      <x:c r="CD951" s="13"/>
      <x:c r="CE951" s="13"/>
      <x:c r="CF951" s="13"/>
      <x:c r="CG951" s="13"/>
    </x:row>
    <x:row r="952" ht="14.25" customHeight="1">
      <x:c r="AA952" s="3"/>
      <x:c r="AF952" s="3"/>
      <x:c r="AG952" s="3"/>
      <x:c r="AH952" s="3"/>
      <x:c r="AI952" s="3"/>
      <x:c r="AJ952" s="3"/>
      <x:c r="AK952" s="3"/>
      <x:c r="AL952" s="3"/>
      <x:c r="AM952" s="3"/>
      <x:c r="AT952" s="3"/>
      <x:c r="AU952" s="3"/>
      <x:c r="AV952" s="3"/>
      <x:c r="AW952" s="3"/>
      <x:c r="AX952" s="3"/>
      <x:c r="AY952" s="3"/>
      <x:c r="AZ952" s="3"/>
      <x:c r="BA952" s="3"/>
      <x:c r="BC952" s="3"/>
      <x:c r="BD952" s="3"/>
      <x:c r="BE952" s="3"/>
      <x:c r="BF952" s="3"/>
      <x:c r="BG952" s="3"/>
      <x:c r="BH952" s="13"/>
      <x:c r="BI952" s="13"/>
      <x:c r="BJ952" s="13"/>
      <x:c r="BK952" s="13"/>
      <x:c r="BL952" s="13"/>
      <x:c r="BM952" s="13"/>
      <x:c r="BN952" s="13"/>
      <x:c r="BO952" s="13"/>
      <x:c r="BP952" s="13"/>
      <x:c r="BQ952" s="13"/>
      <x:c r="BR952" s="13"/>
      <x:c r="BS952" s="13"/>
      <x:c r="BT952" s="13"/>
      <x:c r="BU952" s="13"/>
      <x:c r="BV952" s="13"/>
      <x:c r="BW952" s="13"/>
      <x:c r="BX952" s="13"/>
      <x:c r="BY952" s="13"/>
      <x:c r="BZ952" s="13"/>
      <x:c r="CA952" s="13"/>
      <x:c r="CB952" s="13"/>
      <x:c r="CC952" s="13"/>
      <x:c r="CD952" s="13"/>
      <x:c r="CE952" s="13"/>
      <x:c r="CF952" s="13"/>
      <x:c r="CG952" s="13"/>
    </x:row>
    <x:row r="953" ht="14.25" customHeight="1">
      <x:c r="AA953" s="3"/>
      <x:c r="AF953" s="3"/>
      <x:c r="AG953" s="3"/>
      <x:c r="AH953" s="3"/>
      <x:c r="AI953" s="3"/>
      <x:c r="AJ953" s="3"/>
      <x:c r="AK953" s="3"/>
      <x:c r="AL953" s="3"/>
      <x:c r="AM953" s="3"/>
      <x:c r="AT953" s="3"/>
      <x:c r="AU953" s="3"/>
      <x:c r="AV953" s="3"/>
      <x:c r="AW953" s="3"/>
      <x:c r="AX953" s="3"/>
      <x:c r="AY953" s="3"/>
      <x:c r="AZ953" s="3"/>
      <x:c r="BA953" s="3"/>
      <x:c r="BC953" s="3"/>
      <x:c r="BD953" s="3"/>
      <x:c r="BE953" s="3"/>
      <x:c r="BF953" s="3"/>
      <x:c r="BG953" s="3"/>
      <x:c r="BH953" s="13"/>
      <x:c r="BI953" s="13"/>
      <x:c r="BJ953" s="13"/>
      <x:c r="BK953" s="13"/>
      <x:c r="BL953" s="13"/>
      <x:c r="BM953" s="13"/>
      <x:c r="BN953" s="13"/>
      <x:c r="BO953" s="13"/>
      <x:c r="BP953" s="13"/>
      <x:c r="BQ953" s="13"/>
      <x:c r="BR953" s="13"/>
      <x:c r="BS953" s="13"/>
      <x:c r="BT953" s="13"/>
      <x:c r="BU953" s="13"/>
      <x:c r="BV953" s="13"/>
      <x:c r="BW953" s="13"/>
      <x:c r="BX953" s="13"/>
      <x:c r="BY953" s="13"/>
      <x:c r="BZ953" s="13"/>
      <x:c r="CA953" s="13"/>
      <x:c r="CB953" s="13"/>
      <x:c r="CC953" s="13"/>
      <x:c r="CD953" s="13"/>
      <x:c r="CE953" s="13"/>
      <x:c r="CF953" s="13"/>
      <x:c r="CG953" s="13"/>
    </x:row>
    <x:row r="954" ht="14.25" customHeight="1">
      <x:c r="AA954" s="3"/>
      <x:c r="AF954" s="3"/>
      <x:c r="AG954" s="3"/>
      <x:c r="AH954" s="3"/>
      <x:c r="AI954" s="3"/>
      <x:c r="AJ954" s="3"/>
      <x:c r="AK954" s="3"/>
      <x:c r="AL954" s="3"/>
      <x:c r="AM954" s="3"/>
      <x:c r="AT954" s="3"/>
      <x:c r="AU954" s="3"/>
      <x:c r="AV954" s="3"/>
      <x:c r="AW954" s="3"/>
      <x:c r="AX954" s="3"/>
      <x:c r="AY954" s="3"/>
      <x:c r="AZ954" s="3"/>
      <x:c r="BA954" s="3"/>
      <x:c r="BC954" s="3"/>
      <x:c r="BD954" s="3"/>
      <x:c r="BE954" s="3"/>
      <x:c r="BF954" s="3"/>
      <x:c r="BG954" s="3"/>
      <x:c r="BH954" s="13"/>
      <x:c r="BI954" s="13"/>
      <x:c r="BJ954" s="13"/>
      <x:c r="BK954" s="13"/>
      <x:c r="BL954" s="13"/>
      <x:c r="BM954" s="13"/>
      <x:c r="BN954" s="13"/>
      <x:c r="BO954" s="13"/>
      <x:c r="BP954" s="13"/>
      <x:c r="BQ954" s="13"/>
      <x:c r="BR954" s="13"/>
      <x:c r="BS954" s="13"/>
      <x:c r="BT954" s="13"/>
      <x:c r="BU954" s="13"/>
      <x:c r="BV954" s="13"/>
      <x:c r="BW954" s="13"/>
      <x:c r="BX954" s="13"/>
      <x:c r="BY954" s="13"/>
      <x:c r="BZ954" s="13"/>
      <x:c r="CA954" s="13"/>
      <x:c r="CB954" s="13"/>
      <x:c r="CC954" s="13"/>
      <x:c r="CD954" s="13"/>
      <x:c r="CE954" s="13"/>
      <x:c r="CF954" s="13"/>
      <x:c r="CG954" s="13"/>
    </x:row>
    <x:row r="955" ht="14.25" customHeight="1">
      <x:c r="AA955" s="3"/>
      <x:c r="AF955" s="3"/>
      <x:c r="AG955" s="3"/>
      <x:c r="AH955" s="3"/>
      <x:c r="AI955" s="3"/>
      <x:c r="AJ955" s="3"/>
      <x:c r="AK955" s="3"/>
      <x:c r="AL955" s="3"/>
      <x:c r="AM955" s="3"/>
      <x:c r="AT955" s="3"/>
      <x:c r="AU955" s="3"/>
      <x:c r="AV955" s="3"/>
      <x:c r="AW955" s="3"/>
      <x:c r="AX955" s="3"/>
      <x:c r="AY955" s="3"/>
      <x:c r="AZ955" s="3"/>
      <x:c r="BA955" s="3"/>
      <x:c r="BC955" s="3"/>
      <x:c r="BD955" s="3"/>
      <x:c r="BE955" s="3"/>
      <x:c r="BF955" s="3"/>
      <x:c r="BG955" s="3"/>
      <x:c r="BH955" s="13"/>
      <x:c r="BI955" s="13"/>
      <x:c r="BJ955" s="13"/>
      <x:c r="BK955" s="13"/>
      <x:c r="BL955" s="13"/>
      <x:c r="BM955" s="13"/>
      <x:c r="BN955" s="13"/>
      <x:c r="BO955" s="13"/>
      <x:c r="BP955" s="13"/>
      <x:c r="BQ955" s="13"/>
      <x:c r="BR955" s="13"/>
      <x:c r="BS955" s="13"/>
      <x:c r="BT955" s="13"/>
      <x:c r="BU955" s="13"/>
      <x:c r="BV955" s="13"/>
      <x:c r="BW955" s="13"/>
      <x:c r="BX955" s="13"/>
      <x:c r="BY955" s="13"/>
      <x:c r="BZ955" s="13"/>
      <x:c r="CA955" s="13"/>
      <x:c r="CB955" s="13"/>
      <x:c r="CC955" s="13"/>
      <x:c r="CD955" s="13"/>
      <x:c r="CE955" s="13"/>
      <x:c r="CF955" s="13"/>
      <x:c r="CG955" s="13"/>
    </x:row>
    <x:row r="956" ht="14.25" customHeight="1">
      <x:c r="AA956" s="3"/>
      <x:c r="AF956" s="3"/>
      <x:c r="AG956" s="3"/>
      <x:c r="AH956" s="3"/>
      <x:c r="AI956" s="3"/>
      <x:c r="AJ956" s="3"/>
      <x:c r="AK956" s="3"/>
      <x:c r="AL956" s="3"/>
      <x:c r="AM956" s="3"/>
      <x:c r="AT956" s="3"/>
      <x:c r="AU956" s="3"/>
      <x:c r="AV956" s="3"/>
      <x:c r="AW956" s="3"/>
      <x:c r="AX956" s="3"/>
      <x:c r="AY956" s="3"/>
      <x:c r="AZ956" s="3"/>
      <x:c r="BA956" s="3"/>
      <x:c r="BC956" s="3"/>
      <x:c r="BD956" s="3"/>
      <x:c r="BE956" s="3"/>
      <x:c r="BF956" s="3"/>
      <x:c r="BG956" s="3"/>
      <x:c r="BH956" s="13"/>
      <x:c r="BI956" s="13"/>
      <x:c r="BJ956" s="13"/>
      <x:c r="BK956" s="13"/>
      <x:c r="BL956" s="13"/>
      <x:c r="BM956" s="13"/>
      <x:c r="BN956" s="13"/>
      <x:c r="BO956" s="13"/>
      <x:c r="BP956" s="13"/>
      <x:c r="BQ956" s="13"/>
      <x:c r="BR956" s="13"/>
      <x:c r="BS956" s="13"/>
      <x:c r="BT956" s="13"/>
      <x:c r="BU956" s="13"/>
      <x:c r="BV956" s="13"/>
      <x:c r="BW956" s="13"/>
      <x:c r="BX956" s="13"/>
      <x:c r="BY956" s="13"/>
      <x:c r="BZ956" s="13"/>
      <x:c r="CA956" s="13"/>
      <x:c r="CB956" s="13"/>
      <x:c r="CC956" s="13"/>
      <x:c r="CD956" s="13"/>
      <x:c r="CE956" s="13"/>
      <x:c r="CF956" s="13"/>
      <x:c r="CG956" s="13"/>
    </x:row>
    <x:row r="957" ht="14.25" customHeight="1">
      <x:c r="AA957" s="3"/>
      <x:c r="AF957" s="3"/>
      <x:c r="AG957" s="3"/>
      <x:c r="AH957" s="3"/>
      <x:c r="AI957" s="3"/>
      <x:c r="AJ957" s="3"/>
      <x:c r="AK957" s="3"/>
      <x:c r="AL957" s="3"/>
      <x:c r="AM957" s="3"/>
      <x:c r="AT957" s="3"/>
      <x:c r="AU957" s="3"/>
      <x:c r="AV957" s="3"/>
      <x:c r="AW957" s="3"/>
      <x:c r="AX957" s="3"/>
      <x:c r="AY957" s="3"/>
      <x:c r="AZ957" s="3"/>
      <x:c r="BA957" s="3"/>
      <x:c r="BC957" s="3"/>
      <x:c r="BD957" s="3"/>
      <x:c r="BE957" s="3"/>
      <x:c r="BF957" s="3"/>
      <x:c r="BG957" s="3"/>
      <x:c r="BH957" s="13"/>
      <x:c r="BI957" s="13"/>
      <x:c r="BJ957" s="13"/>
      <x:c r="BK957" s="13"/>
      <x:c r="BL957" s="13"/>
      <x:c r="BM957" s="13"/>
      <x:c r="BN957" s="13"/>
      <x:c r="BO957" s="13"/>
      <x:c r="BP957" s="13"/>
      <x:c r="BQ957" s="13"/>
      <x:c r="BR957" s="13"/>
      <x:c r="BS957" s="13"/>
      <x:c r="BT957" s="13"/>
      <x:c r="BU957" s="13"/>
      <x:c r="BV957" s="13"/>
      <x:c r="BW957" s="13"/>
      <x:c r="BX957" s="13"/>
      <x:c r="BY957" s="13"/>
      <x:c r="BZ957" s="13"/>
      <x:c r="CA957" s="13"/>
      <x:c r="CB957" s="13"/>
      <x:c r="CC957" s="13"/>
      <x:c r="CD957" s="13"/>
      <x:c r="CE957" s="13"/>
      <x:c r="CF957" s="13"/>
      <x:c r="CG957" s="13"/>
    </x:row>
    <x:row r="958" ht="14.25" customHeight="1">
      <x:c r="AA958" s="3"/>
      <x:c r="AF958" s="3"/>
      <x:c r="AG958" s="3"/>
      <x:c r="AH958" s="3"/>
      <x:c r="AI958" s="3"/>
      <x:c r="AJ958" s="3"/>
      <x:c r="AK958" s="3"/>
      <x:c r="AL958" s="3"/>
      <x:c r="AM958" s="3"/>
      <x:c r="AT958" s="3"/>
      <x:c r="AU958" s="3"/>
      <x:c r="AV958" s="3"/>
      <x:c r="AW958" s="3"/>
      <x:c r="AX958" s="3"/>
      <x:c r="AY958" s="3"/>
      <x:c r="AZ958" s="3"/>
      <x:c r="BA958" s="3"/>
      <x:c r="BC958" s="3"/>
      <x:c r="BD958" s="3"/>
      <x:c r="BE958" s="3"/>
      <x:c r="BF958" s="3"/>
      <x:c r="BG958" s="3"/>
      <x:c r="BH958" s="13"/>
      <x:c r="BI958" s="13"/>
      <x:c r="BJ958" s="13"/>
      <x:c r="BK958" s="13"/>
      <x:c r="BL958" s="13"/>
      <x:c r="BM958" s="13"/>
      <x:c r="BN958" s="13"/>
      <x:c r="BO958" s="13"/>
      <x:c r="BP958" s="13"/>
      <x:c r="BQ958" s="13"/>
      <x:c r="BR958" s="13"/>
      <x:c r="BS958" s="13"/>
      <x:c r="BT958" s="13"/>
      <x:c r="BU958" s="13"/>
      <x:c r="BV958" s="13"/>
      <x:c r="BW958" s="13"/>
      <x:c r="BX958" s="13"/>
      <x:c r="BY958" s="13"/>
      <x:c r="BZ958" s="13"/>
      <x:c r="CA958" s="13"/>
      <x:c r="CB958" s="13"/>
      <x:c r="CC958" s="13"/>
      <x:c r="CD958" s="13"/>
      <x:c r="CE958" s="13"/>
      <x:c r="CF958" s="13"/>
      <x:c r="CG958" s="13"/>
    </x:row>
    <x:row r="959" ht="14.25" customHeight="1">
      <x:c r="AA959" s="3"/>
      <x:c r="AF959" s="3"/>
      <x:c r="AG959" s="3"/>
      <x:c r="AH959" s="3"/>
      <x:c r="AI959" s="3"/>
      <x:c r="AJ959" s="3"/>
      <x:c r="AK959" s="3"/>
      <x:c r="AL959" s="3"/>
      <x:c r="AM959" s="3"/>
      <x:c r="AT959" s="3"/>
      <x:c r="AU959" s="3"/>
      <x:c r="AV959" s="3"/>
      <x:c r="AW959" s="3"/>
      <x:c r="AX959" s="3"/>
      <x:c r="AY959" s="3"/>
      <x:c r="AZ959" s="3"/>
      <x:c r="BA959" s="3"/>
      <x:c r="BC959" s="3"/>
      <x:c r="BD959" s="3"/>
      <x:c r="BE959" s="3"/>
      <x:c r="BF959" s="3"/>
      <x:c r="BG959" s="3"/>
      <x:c r="BH959" s="13"/>
      <x:c r="BI959" s="13"/>
      <x:c r="BJ959" s="13"/>
      <x:c r="BK959" s="13"/>
      <x:c r="BL959" s="13"/>
      <x:c r="BM959" s="13"/>
      <x:c r="BN959" s="13"/>
      <x:c r="BO959" s="13"/>
      <x:c r="BP959" s="13"/>
      <x:c r="BQ959" s="13"/>
      <x:c r="BR959" s="13"/>
      <x:c r="BS959" s="13"/>
      <x:c r="BT959" s="13"/>
      <x:c r="BU959" s="13"/>
      <x:c r="BV959" s="13"/>
      <x:c r="BW959" s="13"/>
      <x:c r="BX959" s="13"/>
      <x:c r="BY959" s="13"/>
      <x:c r="BZ959" s="13"/>
      <x:c r="CA959" s="13"/>
      <x:c r="CB959" s="13"/>
      <x:c r="CC959" s="13"/>
      <x:c r="CD959" s="13"/>
      <x:c r="CE959" s="13"/>
      <x:c r="CF959" s="13"/>
      <x:c r="CG959" s="13"/>
    </x:row>
    <x:row r="960" ht="14.25" customHeight="1">
      <x:c r="AA960" s="3"/>
      <x:c r="AF960" s="3"/>
      <x:c r="AG960" s="3"/>
      <x:c r="AH960" s="3"/>
      <x:c r="AI960" s="3"/>
      <x:c r="AJ960" s="3"/>
      <x:c r="AK960" s="3"/>
      <x:c r="AL960" s="3"/>
      <x:c r="AM960" s="3"/>
      <x:c r="AT960" s="3"/>
      <x:c r="AU960" s="3"/>
      <x:c r="AV960" s="3"/>
      <x:c r="AW960" s="3"/>
      <x:c r="AX960" s="3"/>
      <x:c r="AY960" s="3"/>
      <x:c r="AZ960" s="3"/>
      <x:c r="BA960" s="3"/>
      <x:c r="BC960" s="3"/>
      <x:c r="BD960" s="3"/>
      <x:c r="BE960" s="3"/>
      <x:c r="BF960" s="3"/>
      <x:c r="BG960" s="3"/>
      <x:c r="BH960" s="13"/>
      <x:c r="BI960" s="13"/>
      <x:c r="BJ960" s="13"/>
      <x:c r="BK960" s="13"/>
      <x:c r="BL960" s="13"/>
      <x:c r="BM960" s="13"/>
      <x:c r="BN960" s="13"/>
      <x:c r="BO960" s="13"/>
      <x:c r="BP960" s="13"/>
      <x:c r="BQ960" s="13"/>
      <x:c r="BR960" s="13"/>
      <x:c r="BS960" s="13"/>
      <x:c r="BT960" s="13"/>
      <x:c r="BU960" s="13"/>
      <x:c r="BV960" s="13"/>
      <x:c r="BW960" s="13"/>
      <x:c r="BX960" s="13"/>
      <x:c r="BY960" s="13"/>
      <x:c r="BZ960" s="13"/>
      <x:c r="CA960" s="13"/>
      <x:c r="CB960" s="13"/>
      <x:c r="CC960" s="13"/>
      <x:c r="CD960" s="13"/>
      <x:c r="CE960" s="13"/>
      <x:c r="CF960" s="13"/>
      <x:c r="CG960" s="13"/>
    </x:row>
    <x:row r="961" ht="14.25" customHeight="1">
      <x:c r="AA961" s="3"/>
      <x:c r="AF961" s="3"/>
      <x:c r="AG961" s="3"/>
      <x:c r="AH961" s="3"/>
      <x:c r="AI961" s="3"/>
      <x:c r="AJ961" s="3"/>
      <x:c r="AK961" s="3"/>
      <x:c r="AL961" s="3"/>
      <x:c r="AM961" s="3"/>
      <x:c r="AT961" s="3"/>
      <x:c r="AU961" s="3"/>
      <x:c r="AV961" s="3"/>
      <x:c r="AW961" s="3"/>
      <x:c r="AX961" s="3"/>
      <x:c r="AY961" s="3"/>
      <x:c r="AZ961" s="3"/>
      <x:c r="BA961" s="3"/>
      <x:c r="BC961" s="3"/>
      <x:c r="BD961" s="3"/>
      <x:c r="BE961" s="3"/>
      <x:c r="BF961" s="3"/>
      <x:c r="BG961" s="3"/>
      <x:c r="BH961" s="13"/>
      <x:c r="BI961" s="13"/>
      <x:c r="BJ961" s="13"/>
      <x:c r="BK961" s="13"/>
      <x:c r="BL961" s="13"/>
      <x:c r="BM961" s="13"/>
      <x:c r="BN961" s="13"/>
      <x:c r="BO961" s="13"/>
      <x:c r="BP961" s="13"/>
      <x:c r="BQ961" s="13"/>
      <x:c r="BR961" s="13"/>
      <x:c r="BS961" s="13"/>
      <x:c r="BT961" s="13"/>
      <x:c r="BU961" s="13"/>
      <x:c r="BV961" s="13"/>
      <x:c r="BW961" s="13"/>
      <x:c r="BX961" s="13"/>
      <x:c r="BY961" s="13"/>
      <x:c r="BZ961" s="13"/>
      <x:c r="CA961" s="13"/>
      <x:c r="CB961" s="13"/>
      <x:c r="CC961" s="13"/>
      <x:c r="CD961" s="13"/>
      <x:c r="CE961" s="13"/>
      <x:c r="CF961" s="13"/>
      <x:c r="CG961" s="13"/>
    </x:row>
    <x:row r="962" ht="14.25" customHeight="1">
      <x:c r="AA962" s="3"/>
      <x:c r="AF962" s="3"/>
      <x:c r="AG962" s="3"/>
      <x:c r="AH962" s="3"/>
      <x:c r="AI962" s="3"/>
      <x:c r="AJ962" s="3"/>
      <x:c r="AK962" s="3"/>
      <x:c r="AL962" s="3"/>
      <x:c r="AM962" s="3"/>
      <x:c r="AT962" s="3"/>
      <x:c r="AU962" s="3"/>
      <x:c r="AV962" s="3"/>
      <x:c r="AW962" s="3"/>
      <x:c r="AX962" s="3"/>
      <x:c r="AY962" s="3"/>
      <x:c r="AZ962" s="3"/>
      <x:c r="BA962" s="3"/>
      <x:c r="BC962" s="3"/>
      <x:c r="BD962" s="3"/>
      <x:c r="BE962" s="3"/>
      <x:c r="BF962" s="3"/>
      <x:c r="BG962" s="3"/>
      <x:c r="BH962" s="13"/>
      <x:c r="BI962" s="13"/>
      <x:c r="BJ962" s="13"/>
      <x:c r="BK962" s="13"/>
      <x:c r="BL962" s="13"/>
      <x:c r="BM962" s="13"/>
      <x:c r="BN962" s="13"/>
      <x:c r="BO962" s="13"/>
      <x:c r="BP962" s="13"/>
      <x:c r="BQ962" s="13"/>
      <x:c r="BR962" s="13"/>
      <x:c r="BS962" s="13"/>
      <x:c r="BT962" s="13"/>
      <x:c r="BU962" s="13"/>
      <x:c r="BV962" s="13"/>
      <x:c r="BW962" s="13"/>
      <x:c r="BX962" s="13"/>
      <x:c r="BY962" s="13"/>
      <x:c r="BZ962" s="13"/>
      <x:c r="CA962" s="13"/>
      <x:c r="CB962" s="13"/>
      <x:c r="CC962" s="13"/>
      <x:c r="CD962" s="13"/>
      <x:c r="CE962" s="13"/>
      <x:c r="CF962" s="13"/>
      <x:c r="CG962" s="13"/>
    </x:row>
    <x:row r="963" ht="14.25" customHeight="1">
      <x:c r="AA963" s="3"/>
      <x:c r="AF963" s="3"/>
      <x:c r="AG963" s="3"/>
      <x:c r="AH963" s="3"/>
      <x:c r="AI963" s="3"/>
      <x:c r="AJ963" s="3"/>
      <x:c r="AK963" s="3"/>
      <x:c r="AL963" s="3"/>
      <x:c r="AM963" s="3"/>
      <x:c r="AT963" s="3"/>
      <x:c r="AU963" s="3"/>
      <x:c r="AV963" s="3"/>
      <x:c r="AW963" s="3"/>
      <x:c r="AX963" s="3"/>
      <x:c r="AY963" s="3"/>
      <x:c r="AZ963" s="3"/>
      <x:c r="BA963" s="3"/>
      <x:c r="BC963" s="3"/>
      <x:c r="BD963" s="3"/>
      <x:c r="BE963" s="3"/>
      <x:c r="BF963" s="3"/>
      <x:c r="BG963" s="3"/>
      <x:c r="BH963" s="13"/>
      <x:c r="BI963" s="13"/>
      <x:c r="BJ963" s="13"/>
      <x:c r="BK963" s="13"/>
      <x:c r="BL963" s="13"/>
      <x:c r="BM963" s="13"/>
      <x:c r="BN963" s="13"/>
      <x:c r="BO963" s="13"/>
      <x:c r="BP963" s="13"/>
      <x:c r="BQ963" s="13"/>
      <x:c r="BR963" s="13"/>
      <x:c r="BS963" s="13"/>
      <x:c r="BT963" s="13"/>
      <x:c r="BU963" s="13"/>
      <x:c r="BV963" s="13"/>
      <x:c r="BW963" s="13"/>
      <x:c r="BX963" s="13"/>
      <x:c r="BY963" s="13"/>
      <x:c r="BZ963" s="13"/>
      <x:c r="CA963" s="13"/>
      <x:c r="CB963" s="13"/>
      <x:c r="CC963" s="13"/>
      <x:c r="CD963" s="13"/>
      <x:c r="CE963" s="13"/>
      <x:c r="CF963" s="13"/>
      <x:c r="CG963" s="13"/>
    </x:row>
    <x:row r="964" ht="14.25" customHeight="1">
      <x:c r="AA964" s="3"/>
      <x:c r="AF964" s="3"/>
      <x:c r="AG964" s="3"/>
      <x:c r="AH964" s="3"/>
      <x:c r="AI964" s="3"/>
      <x:c r="AJ964" s="3"/>
      <x:c r="AK964" s="3"/>
      <x:c r="AL964" s="3"/>
      <x:c r="AM964" s="3"/>
      <x:c r="AT964" s="3"/>
      <x:c r="AU964" s="3"/>
      <x:c r="AV964" s="3"/>
      <x:c r="AW964" s="3"/>
      <x:c r="AX964" s="3"/>
      <x:c r="AY964" s="3"/>
      <x:c r="AZ964" s="3"/>
      <x:c r="BA964" s="3"/>
      <x:c r="BC964" s="3"/>
      <x:c r="BD964" s="3"/>
      <x:c r="BE964" s="3"/>
      <x:c r="BF964" s="3"/>
      <x:c r="BG964" s="3"/>
      <x:c r="BH964" s="13"/>
      <x:c r="BI964" s="13"/>
      <x:c r="BJ964" s="13"/>
      <x:c r="BK964" s="13"/>
      <x:c r="BL964" s="13"/>
      <x:c r="BM964" s="13"/>
      <x:c r="BN964" s="13"/>
      <x:c r="BO964" s="13"/>
      <x:c r="BP964" s="13"/>
      <x:c r="BQ964" s="13"/>
      <x:c r="BR964" s="13"/>
      <x:c r="BS964" s="13"/>
      <x:c r="BT964" s="13"/>
      <x:c r="BU964" s="13"/>
      <x:c r="BV964" s="13"/>
      <x:c r="BW964" s="13"/>
      <x:c r="BX964" s="13"/>
      <x:c r="BY964" s="13"/>
      <x:c r="BZ964" s="13"/>
      <x:c r="CA964" s="13"/>
      <x:c r="CB964" s="13"/>
      <x:c r="CC964" s="13"/>
      <x:c r="CD964" s="13"/>
      <x:c r="CE964" s="13"/>
      <x:c r="CF964" s="13"/>
      <x:c r="CG964" s="13"/>
    </x:row>
    <x:row r="965" ht="14.25" customHeight="1">
      <x:c r="AA965" s="3"/>
      <x:c r="AF965" s="3"/>
      <x:c r="AG965" s="3"/>
      <x:c r="AH965" s="3"/>
      <x:c r="AI965" s="3"/>
      <x:c r="AJ965" s="3"/>
      <x:c r="AK965" s="3"/>
      <x:c r="AL965" s="3"/>
      <x:c r="AM965" s="3"/>
      <x:c r="AT965" s="3"/>
      <x:c r="AU965" s="3"/>
      <x:c r="AV965" s="3"/>
      <x:c r="AW965" s="3"/>
      <x:c r="AX965" s="3"/>
      <x:c r="AY965" s="3"/>
      <x:c r="AZ965" s="3"/>
      <x:c r="BA965" s="3"/>
      <x:c r="BC965" s="3"/>
      <x:c r="BD965" s="3"/>
      <x:c r="BE965" s="3"/>
      <x:c r="BF965" s="3"/>
      <x:c r="BG965" s="3"/>
      <x:c r="BH965" s="13"/>
      <x:c r="BI965" s="13"/>
      <x:c r="BJ965" s="13"/>
      <x:c r="BK965" s="13"/>
      <x:c r="BL965" s="13"/>
      <x:c r="BM965" s="13"/>
      <x:c r="BN965" s="13"/>
      <x:c r="BO965" s="13"/>
      <x:c r="BP965" s="13"/>
      <x:c r="BQ965" s="13"/>
      <x:c r="BR965" s="13"/>
      <x:c r="BS965" s="13"/>
      <x:c r="BT965" s="13"/>
      <x:c r="BU965" s="13"/>
      <x:c r="BV965" s="13"/>
      <x:c r="BW965" s="13"/>
      <x:c r="BX965" s="13"/>
      <x:c r="BY965" s="13"/>
      <x:c r="BZ965" s="13"/>
      <x:c r="CA965" s="13"/>
      <x:c r="CB965" s="13"/>
      <x:c r="CC965" s="13"/>
      <x:c r="CD965" s="13"/>
      <x:c r="CE965" s="13"/>
      <x:c r="CF965" s="13"/>
      <x:c r="CG965" s="13"/>
    </x:row>
    <x:row r="966" ht="14.25" customHeight="1">
      <x:c r="AA966" s="3"/>
      <x:c r="AF966" s="3"/>
      <x:c r="AG966" s="3"/>
      <x:c r="AH966" s="3"/>
      <x:c r="AI966" s="3"/>
      <x:c r="AJ966" s="3"/>
      <x:c r="AK966" s="3"/>
      <x:c r="AL966" s="3"/>
      <x:c r="AM966" s="3"/>
      <x:c r="AT966" s="3"/>
      <x:c r="AU966" s="3"/>
      <x:c r="AV966" s="3"/>
      <x:c r="AW966" s="3"/>
      <x:c r="AX966" s="3"/>
      <x:c r="AY966" s="3"/>
      <x:c r="AZ966" s="3"/>
      <x:c r="BA966" s="3"/>
      <x:c r="BC966" s="3"/>
      <x:c r="BD966" s="3"/>
      <x:c r="BE966" s="3"/>
      <x:c r="BF966" s="3"/>
      <x:c r="BG966" s="3"/>
      <x:c r="BH966" s="13"/>
      <x:c r="BI966" s="13"/>
      <x:c r="BJ966" s="13"/>
      <x:c r="BK966" s="13"/>
      <x:c r="BL966" s="13"/>
      <x:c r="BM966" s="13"/>
      <x:c r="BN966" s="13"/>
      <x:c r="BO966" s="13"/>
      <x:c r="BP966" s="13"/>
      <x:c r="BQ966" s="13"/>
      <x:c r="BR966" s="13"/>
      <x:c r="BS966" s="13"/>
      <x:c r="BT966" s="13"/>
      <x:c r="BU966" s="13"/>
      <x:c r="BV966" s="13"/>
      <x:c r="BW966" s="13"/>
      <x:c r="BX966" s="13"/>
      <x:c r="BY966" s="13"/>
      <x:c r="BZ966" s="13"/>
      <x:c r="CA966" s="13"/>
      <x:c r="CB966" s="13"/>
      <x:c r="CC966" s="13"/>
      <x:c r="CD966" s="13"/>
      <x:c r="CE966" s="13"/>
      <x:c r="CF966" s="13"/>
      <x:c r="CG966" s="13"/>
    </x:row>
    <x:row r="967" ht="14.25" customHeight="1">
      <x:c r="AA967" s="3"/>
      <x:c r="AF967" s="3"/>
      <x:c r="AG967" s="3"/>
      <x:c r="AH967" s="3"/>
      <x:c r="AI967" s="3"/>
      <x:c r="AJ967" s="3"/>
      <x:c r="AK967" s="3"/>
      <x:c r="AL967" s="3"/>
      <x:c r="AM967" s="3"/>
      <x:c r="AT967" s="3"/>
      <x:c r="AU967" s="3"/>
      <x:c r="AV967" s="3"/>
      <x:c r="AW967" s="3"/>
      <x:c r="AX967" s="3"/>
      <x:c r="AY967" s="3"/>
      <x:c r="AZ967" s="3"/>
      <x:c r="BA967" s="3"/>
      <x:c r="BC967" s="3"/>
      <x:c r="BD967" s="3"/>
      <x:c r="BE967" s="3"/>
      <x:c r="BF967" s="3"/>
      <x:c r="BG967" s="3"/>
      <x:c r="BH967" s="13"/>
      <x:c r="BI967" s="13"/>
      <x:c r="BJ967" s="13"/>
      <x:c r="BK967" s="13"/>
      <x:c r="BL967" s="13"/>
      <x:c r="BM967" s="13"/>
      <x:c r="BN967" s="13"/>
      <x:c r="BO967" s="13"/>
      <x:c r="BP967" s="13"/>
      <x:c r="BQ967" s="13"/>
      <x:c r="BR967" s="13"/>
      <x:c r="BS967" s="13"/>
      <x:c r="BT967" s="13"/>
      <x:c r="BU967" s="13"/>
      <x:c r="BV967" s="13"/>
      <x:c r="BW967" s="13"/>
      <x:c r="BX967" s="13"/>
      <x:c r="BY967" s="13"/>
      <x:c r="BZ967" s="13"/>
      <x:c r="CA967" s="13"/>
      <x:c r="CB967" s="13"/>
      <x:c r="CC967" s="13"/>
      <x:c r="CD967" s="13"/>
      <x:c r="CE967" s="13"/>
      <x:c r="CF967" s="13"/>
      <x:c r="CG967" s="13"/>
    </x:row>
    <x:row r="968" ht="14.25" customHeight="1">
      <x:c r="AA968" s="3"/>
      <x:c r="AF968" s="3"/>
      <x:c r="AG968" s="3"/>
      <x:c r="AH968" s="3"/>
      <x:c r="AI968" s="3"/>
      <x:c r="AJ968" s="3"/>
      <x:c r="AK968" s="3"/>
      <x:c r="AL968" s="3"/>
      <x:c r="AM968" s="3"/>
      <x:c r="AT968" s="3"/>
      <x:c r="AU968" s="3"/>
      <x:c r="AV968" s="3"/>
      <x:c r="AW968" s="3"/>
      <x:c r="AX968" s="3"/>
      <x:c r="AY968" s="3"/>
      <x:c r="AZ968" s="3"/>
      <x:c r="BA968" s="3"/>
      <x:c r="BC968" s="3"/>
      <x:c r="BD968" s="3"/>
      <x:c r="BE968" s="3"/>
      <x:c r="BF968" s="3"/>
      <x:c r="BG968" s="3"/>
      <x:c r="BH968" s="13"/>
      <x:c r="BI968" s="13"/>
      <x:c r="BJ968" s="13"/>
      <x:c r="BK968" s="13"/>
      <x:c r="BL968" s="13"/>
      <x:c r="BM968" s="13"/>
      <x:c r="BN968" s="13"/>
      <x:c r="BO968" s="13"/>
      <x:c r="BP968" s="13"/>
      <x:c r="BQ968" s="13"/>
      <x:c r="BR968" s="13"/>
      <x:c r="BS968" s="13"/>
      <x:c r="BT968" s="13"/>
      <x:c r="BU968" s="13"/>
      <x:c r="BV968" s="13"/>
      <x:c r="BW968" s="13"/>
      <x:c r="BX968" s="13"/>
      <x:c r="BY968" s="13"/>
      <x:c r="BZ968" s="13"/>
      <x:c r="CA968" s="13"/>
      <x:c r="CB968" s="13"/>
      <x:c r="CC968" s="13"/>
      <x:c r="CD968" s="13"/>
      <x:c r="CE968" s="13"/>
      <x:c r="CF968" s="13"/>
      <x:c r="CG968" s="13"/>
    </x:row>
    <x:row r="969" ht="14.25" customHeight="1">
      <x:c r="AA969" s="3"/>
      <x:c r="AF969" s="3"/>
      <x:c r="AG969" s="3"/>
      <x:c r="AH969" s="3"/>
      <x:c r="AI969" s="3"/>
      <x:c r="AJ969" s="3"/>
      <x:c r="AK969" s="3"/>
      <x:c r="AL969" s="3"/>
      <x:c r="AM969" s="3"/>
      <x:c r="AT969" s="3"/>
      <x:c r="AU969" s="3"/>
      <x:c r="AV969" s="3"/>
      <x:c r="AW969" s="3"/>
      <x:c r="AX969" s="3"/>
      <x:c r="AY969" s="3"/>
      <x:c r="AZ969" s="3"/>
      <x:c r="BA969" s="3"/>
      <x:c r="BC969" s="3"/>
      <x:c r="BD969" s="3"/>
      <x:c r="BE969" s="3"/>
      <x:c r="BF969" s="3"/>
      <x:c r="BG969" s="3"/>
      <x:c r="BH969" s="13"/>
      <x:c r="BI969" s="13"/>
      <x:c r="BJ969" s="13"/>
      <x:c r="BK969" s="13"/>
      <x:c r="BL969" s="13"/>
      <x:c r="BM969" s="13"/>
      <x:c r="BN969" s="13"/>
      <x:c r="BO969" s="13"/>
      <x:c r="BP969" s="13"/>
      <x:c r="BQ969" s="13"/>
      <x:c r="BR969" s="13"/>
      <x:c r="BS969" s="13"/>
      <x:c r="BT969" s="13"/>
      <x:c r="BU969" s="13"/>
      <x:c r="BV969" s="13"/>
      <x:c r="BW969" s="13"/>
      <x:c r="BX969" s="13"/>
      <x:c r="BY969" s="13"/>
      <x:c r="BZ969" s="13"/>
      <x:c r="CA969" s="13"/>
      <x:c r="CB969" s="13"/>
      <x:c r="CC969" s="13"/>
      <x:c r="CD969" s="13"/>
      <x:c r="CE969" s="13"/>
      <x:c r="CF969" s="13"/>
      <x:c r="CG969" s="13"/>
    </x:row>
    <x:row r="970" ht="14.25" customHeight="1">
      <x:c r="AA970" s="3"/>
      <x:c r="AF970" s="3"/>
      <x:c r="AG970" s="3"/>
      <x:c r="AH970" s="3"/>
      <x:c r="AI970" s="3"/>
      <x:c r="AJ970" s="3"/>
      <x:c r="AK970" s="3"/>
      <x:c r="AL970" s="3"/>
      <x:c r="AM970" s="3"/>
      <x:c r="AT970" s="3"/>
      <x:c r="AU970" s="3"/>
      <x:c r="AV970" s="3"/>
      <x:c r="AW970" s="3"/>
      <x:c r="AX970" s="3"/>
      <x:c r="AY970" s="3"/>
      <x:c r="AZ970" s="3"/>
      <x:c r="BA970" s="3"/>
      <x:c r="BC970" s="3"/>
      <x:c r="BD970" s="3"/>
      <x:c r="BE970" s="3"/>
      <x:c r="BF970" s="3"/>
      <x:c r="BG970" s="3"/>
      <x:c r="BH970" s="13"/>
      <x:c r="BI970" s="13"/>
      <x:c r="BJ970" s="13"/>
      <x:c r="BK970" s="13"/>
      <x:c r="BL970" s="13"/>
      <x:c r="BM970" s="13"/>
      <x:c r="BN970" s="13"/>
      <x:c r="BO970" s="13"/>
      <x:c r="BP970" s="13"/>
      <x:c r="BQ970" s="13"/>
      <x:c r="BR970" s="13"/>
      <x:c r="BS970" s="13"/>
      <x:c r="BT970" s="13"/>
      <x:c r="BU970" s="13"/>
      <x:c r="BV970" s="13"/>
      <x:c r="BW970" s="13"/>
      <x:c r="BX970" s="13"/>
      <x:c r="BY970" s="13"/>
      <x:c r="BZ970" s="13"/>
      <x:c r="CA970" s="13"/>
      <x:c r="CB970" s="13"/>
      <x:c r="CC970" s="13"/>
      <x:c r="CD970" s="13"/>
      <x:c r="CE970" s="13"/>
      <x:c r="CF970" s="13"/>
      <x:c r="CG970" s="13"/>
    </x:row>
    <x:row r="971" ht="14.25" customHeight="1">
      <x:c r="AA971" s="3"/>
      <x:c r="AF971" s="3"/>
      <x:c r="AG971" s="3"/>
      <x:c r="AH971" s="3"/>
      <x:c r="AI971" s="3"/>
      <x:c r="AJ971" s="3"/>
      <x:c r="AK971" s="3"/>
      <x:c r="AL971" s="3"/>
      <x:c r="AM971" s="3"/>
      <x:c r="AT971" s="3"/>
      <x:c r="AU971" s="3"/>
      <x:c r="AV971" s="3"/>
      <x:c r="AW971" s="3"/>
      <x:c r="AX971" s="3"/>
      <x:c r="AY971" s="3"/>
      <x:c r="AZ971" s="3"/>
      <x:c r="BA971" s="3"/>
      <x:c r="BC971" s="3"/>
      <x:c r="BD971" s="3"/>
      <x:c r="BE971" s="3"/>
      <x:c r="BF971" s="3"/>
      <x:c r="BG971" s="3"/>
      <x:c r="BH971" s="13"/>
      <x:c r="BI971" s="13"/>
      <x:c r="BJ971" s="13"/>
      <x:c r="BK971" s="13"/>
      <x:c r="BL971" s="13"/>
      <x:c r="BM971" s="13"/>
      <x:c r="BN971" s="13"/>
      <x:c r="BO971" s="13"/>
      <x:c r="BP971" s="13"/>
      <x:c r="BQ971" s="13"/>
      <x:c r="BR971" s="13"/>
      <x:c r="BS971" s="13"/>
      <x:c r="BT971" s="13"/>
      <x:c r="BU971" s="13"/>
      <x:c r="BV971" s="13"/>
      <x:c r="BW971" s="13"/>
      <x:c r="BX971" s="13"/>
      <x:c r="BY971" s="13"/>
      <x:c r="BZ971" s="13"/>
      <x:c r="CA971" s="13"/>
      <x:c r="CB971" s="13"/>
      <x:c r="CC971" s="13"/>
      <x:c r="CD971" s="13"/>
      <x:c r="CE971" s="13"/>
      <x:c r="CF971" s="13"/>
      <x:c r="CG971" s="13"/>
    </x:row>
    <x:row r="972" ht="14.25" customHeight="1">
      <x:c r="AA972" s="3"/>
      <x:c r="AF972" s="3"/>
      <x:c r="AG972" s="3"/>
      <x:c r="AH972" s="3"/>
      <x:c r="AI972" s="3"/>
      <x:c r="AJ972" s="3"/>
      <x:c r="AK972" s="3"/>
      <x:c r="AL972" s="3"/>
      <x:c r="AM972" s="3"/>
      <x:c r="AT972" s="3"/>
      <x:c r="AU972" s="3"/>
      <x:c r="AV972" s="3"/>
      <x:c r="AW972" s="3"/>
      <x:c r="AX972" s="3"/>
      <x:c r="AY972" s="3"/>
      <x:c r="AZ972" s="3"/>
      <x:c r="BA972" s="3"/>
      <x:c r="BC972" s="3"/>
      <x:c r="BD972" s="3"/>
      <x:c r="BE972" s="3"/>
      <x:c r="BF972" s="3"/>
      <x:c r="BG972" s="3"/>
      <x:c r="BH972" s="13"/>
      <x:c r="BI972" s="13"/>
      <x:c r="BJ972" s="13"/>
      <x:c r="BK972" s="13"/>
      <x:c r="BL972" s="13"/>
      <x:c r="BM972" s="13"/>
      <x:c r="BN972" s="13"/>
      <x:c r="BO972" s="13"/>
      <x:c r="BP972" s="13"/>
      <x:c r="BQ972" s="13"/>
      <x:c r="BR972" s="13"/>
      <x:c r="BS972" s="13"/>
      <x:c r="BT972" s="13"/>
      <x:c r="BU972" s="13"/>
      <x:c r="BV972" s="13"/>
      <x:c r="BW972" s="13"/>
      <x:c r="BX972" s="13"/>
      <x:c r="BY972" s="13"/>
      <x:c r="BZ972" s="13"/>
      <x:c r="CA972" s="13"/>
      <x:c r="CB972" s="13"/>
      <x:c r="CC972" s="13"/>
      <x:c r="CD972" s="13"/>
      <x:c r="CE972" s="13"/>
      <x:c r="CF972" s="13"/>
      <x:c r="CG972" s="13"/>
    </x:row>
    <x:row r="973" ht="14.25" customHeight="1">
      <x:c r="AA973" s="3"/>
      <x:c r="AF973" s="3"/>
      <x:c r="AG973" s="3"/>
      <x:c r="AH973" s="3"/>
      <x:c r="AI973" s="3"/>
      <x:c r="AJ973" s="3"/>
      <x:c r="AK973" s="3"/>
      <x:c r="AL973" s="3"/>
      <x:c r="AM973" s="3"/>
      <x:c r="AT973" s="3"/>
      <x:c r="AU973" s="3"/>
      <x:c r="AV973" s="3"/>
      <x:c r="AW973" s="3"/>
      <x:c r="AX973" s="3"/>
      <x:c r="AY973" s="3"/>
      <x:c r="AZ973" s="3"/>
      <x:c r="BA973" s="3"/>
      <x:c r="BC973" s="3"/>
      <x:c r="BD973" s="3"/>
      <x:c r="BE973" s="3"/>
      <x:c r="BF973" s="3"/>
      <x:c r="BG973" s="3"/>
      <x:c r="BH973" s="13"/>
      <x:c r="BI973" s="13"/>
      <x:c r="BJ973" s="13"/>
      <x:c r="BK973" s="13"/>
      <x:c r="BL973" s="13"/>
      <x:c r="BM973" s="13"/>
      <x:c r="BN973" s="13"/>
      <x:c r="BO973" s="13"/>
      <x:c r="BP973" s="13"/>
      <x:c r="BQ973" s="13"/>
      <x:c r="BR973" s="13"/>
      <x:c r="BS973" s="13"/>
      <x:c r="BT973" s="13"/>
      <x:c r="BU973" s="13"/>
      <x:c r="BV973" s="13"/>
      <x:c r="BW973" s="13"/>
      <x:c r="BX973" s="13"/>
      <x:c r="BY973" s="13"/>
      <x:c r="BZ973" s="13"/>
      <x:c r="CA973" s="13"/>
      <x:c r="CB973" s="13"/>
      <x:c r="CC973" s="13"/>
      <x:c r="CD973" s="13"/>
      <x:c r="CE973" s="13"/>
      <x:c r="CF973" s="13"/>
      <x:c r="CG973" s="13"/>
    </x:row>
    <x:row r="974" ht="14.25" customHeight="1">
      <x:c r="AA974" s="3"/>
      <x:c r="AF974" s="3"/>
      <x:c r="AG974" s="3"/>
      <x:c r="AH974" s="3"/>
      <x:c r="AI974" s="3"/>
      <x:c r="AJ974" s="3"/>
      <x:c r="AK974" s="3"/>
      <x:c r="AL974" s="3"/>
      <x:c r="AM974" s="3"/>
      <x:c r="AT974" s="3"/>
      <x:c r="AU974" s="3"/>
      <x:c r="AV974" s="3"/>
      <x:c r="AW974" s="3"/>
      <x:c r="AX974" s="3"/>
      <x:c r="AY974" s="3"/>
      <x:c r="AZ974" s="3"/>
      <x:c r="BA974" s="3"/>
      <x:c r="BC974" s="3"/>
      <x:c r="BD974" s="3"/>
      <x:c r="BE974" s="3"/>
      <x:c r="BF974" s="3"/>
      <x:c r="BG974" s="3"/>
      <x:c r="BH974" s="13"/>
      <x:c r="BI974" s="13"/>
      <x:c r="BJ974" s="13"/>
      <x:c r="BK974" s="13"/>
      <x:c r="BL974" s="13"/>
      <x:c r="BM974" s="13"/>
      <x:c r="BN974" s="13"/>
      <x:c r="BO974" s="13"/>
      <x:c r="BP974" s="13"/>
      <x:c r="BQ974" s="13"/>
      <x:c r="BR974" s="13"/>
      <x:c r="BS974" s="13"/>
      <x:c r="BT974" s="13"/>
      <x:c r="BU974" s="13"/>
      <x:c r="BV974" s="13"/>
      <x:c r="BW974" s="13"/>
      <x:c r="BX974" s="13"/>
      <x:c r="BY974" s="13"/>
      <x:c r="BZ974" s="13"/>
      <x:c r="CA974" s="13"/>
      <x:c r="CB974" s="13"/>
      <x:c r="CC974" s="13"/>
      <x:c r="CD974" s="13"/>
      <x:c r="CE974" s="13"/>
      <x:c r="CF974" s="13"/>
      <x:c r="CG974" s="13"/>
    </x:row>
    <x:row r="975" ht="14.25" customHeight="1">
      <x:c r="AA975" s="3"/>
      <x:c r="AF975" s="3"/>
      <x:c r="AG975" s="3"/>
      <x:c r="AH975" s="3"/>
      <x:c r="AI975" s="3"/>
      <x:c r="AJ975" s="3"/>
      <x:c r="AK975" s="3"/>
      <x:c r="AL975" s="3"/>
      <x:c r="AM975" s="3"/>
      <x:c r="AT975" s="3"/>
      <x:c r="AU975" s="3"/>
      <x:c r="AV975" s="3"/>
      <x:c r="AW975" s="3"/>
      <x:c r="AX975" s="3"/>
      <x:c r="AY975" s="3"/>
      <x:c r="AZ975" s="3"/>
      <x:c r="BA975" s="3"/>
      <x:c r="BC975" s="3"/>
      <x:c r="BD975" s="3"/>
      <x:c r="BE975" s="3"/>
      <x:c r="BF975" s="3"/>
      <x:c r="BG975" s="3"/>
      <x:c r="BH975" s="13"/>
      <x:c r="BI975" s="13"/>
      <x:c r="BJ975" s="13"/>
      <x:c r="BK975" s="13"/>
      <x:c r="BL975" s="13"/>
      <x:c r="BM975" s="13"/>
      <x:c r="BN975" s="13"/>
      <x:c r="BO975" s="13"/>
      <x:c r="BP975" s="13"/>
      <x:c r="BQ975" s="13"/>
      <x:c r="BR975" s="13"/>
      <x:c r="BS975" s="13"/>
      <x:c r="BT975" s="13"/>
      <x:c r="BU975" s="13"/>
      <x:c r="BV975" s="13"/>
      <x:c r="BW975" s="13"/>
      <x:c r="BX975" s="13"/>
      <x:c r="BY975" s="13"/>
      <x:c r="BZ975" s="13"/>
      <x:c r="CA975" s="13"/>
      <x:c r="CB975" s="13"/>
      <x:c r="CC975" s="13"/>
      <x:c r="CD975" s="13"/>
      <x:c r="CE975" s="13"/>
      <x:c r="CF975" s="13"/>
      <x:c r="CG975" s="13"/>
    </x:row>
    <x:row r="976" ht="14.25" customHeight="1">
      <x:c r="AA976" s="3"/>
      <x:c r="AF976" s="3"/>
      <x:c r="AG976" s="3"/>
      <x:c r="AH976" s="3"/>
      <x:c r="AI976" s="3"/>
      <x:c r="AJ976" s="3"/>
      <x:c r="AK976" s="3"/>
      <x:c r="AL976" s="3"/>
      <x:c r="AM976" s="3"/>
      <x:c r="AT976" s="3"/>
      <x:c r="AU976" s="3"/>
      <x:c r="AV976" s="3"/>
      <x:c r="AW976" s="3"/>
      <x:c r="AX976" s="3"/>
      <x:c r="AY976" s="3"/>
      <x:c r="AZ976" s="3"/>
      <x:c r="BA976" s="3"/>
      <x:c r="BC976" s="3"/>
      <x:c r="BD976" s="3"/>
      <x:c r="BE976" s="3"/>
      <x:c r="BF976" s="3"/>
      <x:c r="BG976" s="3"/>
      <x:c r="BH976" s="13"/>
      <x:c r="BI976" s="13"/>
      <x:c r="BJ976" s="13"/>
      <x:c r="BK976" s="13"/>
      <x:c r="BL976" s="13"/>
      <x:c r="BM976" s="13"/>
      <x:c r="BN976" s="13"/>
      <x:c r="BO976" s="13"/>
      <x:c r="BP976" s="13"/>
      <x:c r="BQ976" s="13"/>
      <x:c r="BR976" s="13"/>
      <x:c r="BS976" s="13"/>
      <x:c r="BT976" s="13"/>
      <x:c r="BU976" s="13"/>
      <x:c r="BV976" s="13"/>
      <x:c r="BW976" s="13"/>
      <x:c r="BX976" s="13"/>
      <x:c r="BY976" s="13"/>
      <x:c r="BZ976" s="13"/>
      <x:c r="CA976" s="13"/>
      <x:c r="CB976" s="13"/>
      <x:c r="CC976" s="13"/>
      <x:c r="CD976" s="13"/>
      <x:c r="CE976" s="13"/>
      <x:c r="CF976" s="13"/>
      <x:c r="CG976" s="13"/>
    </x:row>
    <x:row r="977" ht="14.25" customHeight="1">
      <x:c r="AA977" s="3"/>
      <x:c r="AF977" s="3"/>
      <x:c r="AG977" s="3"/>
      <x:c r="AH977" s="3"/>
      <x:c r="AI977" s="3"/>
      <x:c r="AJ977" s="3"/>
      <x:c r="AK977" s="3"/>
      <x:c r="AL977" s="3"/>
      <x:c r="AM977" s="3"/>
      <x:c r="AT977" s="3"/>
      <x:c r="AU977" s="3"/>
      <x:c r="AV977" s="3"/>
      <x:c r="AW977" s="3"/>
      <x:c r="AX977" s="3"/>
      <x:c r="AY977" s="3"/>
      <x:c r="AZ977" s="3"/>
      <x:c r="BA977" s="3"/>
      <x:c r="BC977" s="3"/>
      <x:c r="BD977" s="3"/>
      <x:c r="BE977" s="3"/>
      <x:c r="BF977" s="3"/>
      <x:c r="BG977" s="3"/>
      <x:c r="BH977" s="13"/>
      <x:c r="BI977" s="13"/>
      <x:c r="BJ977" s="13"/>
      <x:c r="BK977" s="13"/>
      <x:c r="BL977" s="13"/>
      <x:c r="BM977" s="13"/>
      <x:c r="BN977" s="13"/>
      <x:c r="BO977" s="13"/>
      <x:c r="BP977" s="13"/>
      <x:c r="BQ977" s="13"/>
      <x:c r="BR977" s="13"/>
      <x:c r="BS977" s="13"/>
      <x:c r="BT977" s="13"/>
      <x:c r="BU977" s="13"/>
      <x:c r="BV977" s="13"/>
      <x:c r="BW977" s="13"/>
      <x:c r="BX977" s="13"/>
      <x:c r="BY977" s="13"/>
      <x:c r="BZ977" s="13"/>
      <x:c r="CA977" s="13"/>
      <x:c r="CB977" s="13"/>
      <x:c r="CC977" s="13"/>
      <x:c r="CD977" s="13"/>
      <x:c r="CE977" s="13"/>
      <x:c r="CF977" s="13"/>
      <x:c r="CG977" s="13"/>
    </x:row>
    <x:row r="978" ht="14.25" customHeight="1">
      <x:c r="AA978" s="3"/>
      <x:c r="AF978" s="3"/>
      <x:c r="AG978" s="3"/>
      <x:c r="AH978" s="3"/>
      <x:c r="AI978" s="3"/>
      <x:c r="AJ978" s="3"/>
      <x:c r="AK978" s="3"/>
      <x:c r="AL978" s="3"/>
      <x:c r="AM978" s="3"/>
      <x:c r="AT978" s="3"/>
      <x:c r="AU978" s="3"/>
      <x:c r="AV978" s="3"/>
      <x:c r="AW978" s="3"/>
      <x:c r="AX978" s="3"/>
      <x:c r="AY978" s="3"/>
      <x:c r="AZ978" s="3"/>
      <x:c r="BA978" s="3"/>
      <x:c r="BC978" s="3"/>
      <x:c r="BD978" s="3"/>
      <x:c r="BE978" s="3"/>
      <x:c r="BF978" s="3"/>
      <x:c r="BG978" s="3"/>
      <x:c r="BH978" s="13"/>
      <x:c r="BI978" s="13"/>
      <x:c r="BJ978" s="13"/>
      <x:c r="BK978" s="13"/>
      <x:c r="BL978" s="13"/>
      <x:c r="BM978" s="13"/>
      <x:c r="BN978" s="13"/>
      <x:c r="BO978" s="13"/>
      <x:c r="BP978" s="13"/>
      <x:c r="BQ978" s="13"/>
      <x:c r="BR978" s="13"/>
      <x:c r="BS978" s="13"/>
      <x:c r="BT978" s="13"/>
      <x:c r="BU978" s="13"/>
      <x:c r="BV978" s="13"/>
      <x:c r="BW978" s="13"/>
      <x:c r="BX978" s="13"/>
      <x:c r="BY978" s="13"/>
      <x:c r="BZ978" s="13"/>
      <x:c r="CA978" s="13"/>
      <x:c r="CB978" s="13"/>
      <x:c r="CC978" s="13"/>
      <x:c r="CD978" s="13"/>
      <x:c r="CE978" s="13"/>
      <x:c r="CF978" s="13"/>
      <x:c r="CG978" s="13"/>
    </x:row>
    <x:row r="979" ht="14.25" customHeight="1">
      <x:c r="AA979" s="3"/>
      <x:c r="AF979" s="3"/>
      <x:c r="AG979" s="3"/>
      <x:c r="AH979" s="3"/>
      <x:c r="AI979" s="3"/>
      <x:c r="AJ979" s="3"/>
      <x:c r="AK979" s="3"/>
      <x:c r="AL979" s="3"/>
      <x:c r="AM979" s="3"/>
      <x:c r="AT979" s="3"/>
      <x:c r="AU979" s="3"/>
      <x:c r="AV979" s="3"/>
      <x:c r="AW979" s="3"/>
      <x:c r="AX979" s="3"/>
      <x:c r="AY979" s="3"/>
      <x:c r="AZ979" s="3"/>
      <x:c r="BA979" s="3"/>
      <x:c r="BC979" s="3"/>
      <x:c r="BD979" s="3"/>
      <x:c r="BE979" s="3"/>
      <x:c r="BF979" s="3"/>
      <x:c r="BG979" s="3"/>
      <x:c r="BH979" s="13"/>
      <x:c r="BI979" s="13"/>
      <x:c r="BJ979" s="13"/>
      <x:c r="BK979" s="13"/>
      <x:c r="BL979" s="13"/>
      <x:c r="BM979" s="13"/>
      <x:c r="BN979" s="13"/>
      <x:c r="BO979" s="13"/>
      <x:c r="BP979" s="13"/>
      <x:c r="BQ979" s="13"/>
      <x:c r="BR979" s="13"/>
      <x:c r="BS979" s="13"/>
      <x:c r="BT979" s="13"/>
      <x:c r="BU979" s="13"/>
      <x:c r="BV979" s="13"/>
      <x:c r="BW979" s="13"/>
      <x:c r="BX979" s="13"/>
      <x:c r="BY979" s="13"/>
      <x:c r="BZ979" s="13"/>
      <x:c r="CA979" s="13"/>
      <x:c r="CB979" s="13"/>
      <x:c r="CC979" s="13"/>
      <x:c r="CD979" s="13"/>
      <x:c r="CE979" s="13"/>
      <x:c r="CF979" s="13"/>
      <x:c r="CG979" s="13"/>
    </x:row>
    <x:row r="980" ht="14.25" customHeight="1">
      <x:c r="AA980" s="3"/>
      <x:c r="AF980" s="3"/>
      <x:c r="AG980" s="3"/>
      <x:c r="AH980" s="3"/>
      <x:c r="AI980" s="3"/>
      <x:c r="AJ980" s="3"/>
      <x:c r="AK980" s="3"/>
      <x:c r="AL980" s="3"/>
      <x:c r="AM980" s="3"/>
      <x:c r="AT980" s="3"/>
      <x:c r="AU980" s="3"/>
      <x:c r="AV980" s="3"/>
      <x:c r="AW980" s="3"/>
      <x:c r="AX980" s="3"/>
      <x:c r="AY980" s="3"/>
      <x:c r="AZ980" s="3"/>
      <x:c r="BA980" s="3"/>
      <x:c r="BC980" s="3"/>
      <x:c r="BD980" s="3"/>
      <x:c r="BE980" s="3"/>
      <x:c r="BF980" s="3"/>
      <x:c r="BG980" s="3"/>
      <x:c r="BH980" s="13"/>
      <x:c r="BI980" s="13"/>
      <x:c r="BJ980" s="13"/>
      <x:c r="BK980" s="13"/>
      <x:c r="BL980" s="13"/>
      <x:c r="BM980" s="13"/>
      <x:c r="BN980" s="13"/>
      <x:c r="BO980" s="13"/>
      <x:c r="BP980" s="13"/>
      <x:c r="BQ980" s="13"/>
      <x:c r="BR980" s="13"/>
      <x:c r="BS980" s="13"/>
      <x:c r="BT980" s="13"/>
      <x:c r="BU980" s="13"/>
      <x:c r="BV980" s="13"/>
      <x:c r="BW980" s="13"/>
      <x:c r="BX980" s="13"/>
      <x:c r="BY980" s="13"/>
      <x:c r="BZ980" s="13"/>
      <x:c r="CA980" s="13"/>
      <x:c r="CB980" s="13"/>
      <x:c r="CC980" s="13"/>
      <x:c r="CD980" s="13"/>
      <x:c r="CE980" s="13"/>
      <x:c r="CF980" s="13"/>
      <x:c r="CG980" s="13"/>
    </x:row>
    <x:row r="981" ht="14.25" customHeight="1">
      <x:c r="AA981" s="3"/>
      <x:c r="AF981" s="3"/>
      <x:c r="AG981" s="3"/>
      <x:c r="AH981" s="3"/>
      <x:c r="AI981" s="3"/>
      <x:c r="AJ981" s="3"/>
      <x:c r="AK981" s="3"/>
      <x:c r="AL981" s="3"/>
      <x:c r="AM981" s="3"/>
      <x:c r="AT981" s="3"/>
      <x:c r="AU981" s="3"/>
      <x:c r="AV981" s="3"/>
      <x:c r="AW981" s="3"/>
      <x:c r="AX981" s="3"/>
      <x:c r="AY981" s="3"/>
      <x:c r="AZ981" s="3"/>
      <x:c r="BA981" s="3"/>
      <x:c r="BC981" s="3"/>
      <x:c r="BD981" s="3"/>
      <x:c r="BE981" s="3"/>
      <x:c r="BF981" s="3"/>
      <x:c r="BG981" s="3"/>
      <x:c r="BH981" s="13"/>
      <x:c r="BI981" s="13"/>
      <x:c r="BJ981" s="13"/>
      <x:c r="BK981" s="13"/>
      <x:c r="BL981" s="13"/>
      <x:c r="BM981" s="13"/>
      <x:c r="BN981" s="13"/>
      <x:c r="BO981" s="13"/>
      <x:c r="BP981" s="13"/>
      <x:c r="BQ981" s="13"/>
      <x:c r="BR981" s="13"/>
      <x:c r="BS981" s="13"/>
      <x:c r="BT981" s="13"/>
      <x:c r="BU981" s="13"/>
      <x:c r="BV981" s="13"/>
      <x:c r="BW981" s="13"/>
      <x:c r="BX981" s="13"/>
      <x:c r="BY981" s="13"/>
      <x:c r="BZ981" s="13"/>
      <x:c r="CA981" s="13"/>
      <x:c r="CB981" s="13"/>
      <x:c r="CC981" s="13"/>
      <x:c r="CD981" s="13"/>
      <x:c r="CE981" s="13"/>
      <x:c r="CF981" s="13"/>
      <x:c r="CG981" s="13"/>
    </x:row>
    <x:row r="982" ht="14.25" customHeight="1">
      <x:c r="AA982" s="3"/>
      <x:c r="AF982" s="3"/>
      <x:c r="AG982" s="3"/>
      <x:c r="AH982" s="3"/>
      <x:c r="AI982" s="3"/>
      <x:c r="AJ982" s="3"/>
      <x:c r="AK982" s="3"/>
      <x:c r="AL982" s="3"/>
      <x:c r="AM982" s="3"/>
      <x:c r="AT982" s="3"/>
      <x:c r="AU982" s="3"/>
      <x:c r="AV982" s="3"/>
      <x:c r="AW982" s="3"/>
      <x:c r="AX982" s="3"/>
      <x:c r="AY982" s="3"/>
      <x:c r="AZ982" s="3"/>
      <x:c r="BA982" s="3"/>
      <x:c r="BC982" s="3"/>
      <x:c r="BD982" s="3"/>
      <x:c r="BE982" s="3"/>
      <x:c r="BF982" s="3"/>
      <x:c r="BG982" s="3"/>
      <x:c r="BH982" s="13"/>
      <x:c r="BI982" s="13"/>
      <x:c r="BJ982" s="13"/>
      <x:c r="BK982" s="13"/>
      <x:c r="BL982" s="13"/>
      <x:c r="BM982" s="13"/>
      <x:c r="BN982" s="13"/>
      <x:c r="BO982" s="13"/>
      <x:c r="BP982" s="13"/>
      <x:c r="BQ982" s="13"/>
      <x:c r="BR982" s="13"/>
      <x:c r="BS982" s="13"/>
      <x:c r="BT982" s="13"/>
      <x:c r="BU982" s="13"/>
      <x:c r="BV982" s="13"/>
      <x:c r="BW982" s="13"/>
      <x:c r="BX982" s="13"/>
      <x:c r="BY982" s="13"/>
      <x:c r="BZ982" s="13"/>
      <x:c r="CA982" s="13"/>
      <x:c r="CB982" s="13"/>
      <x:c r="CC982" s="13"/>
      <x:c r="CD982" s="13"/>
      <x:c r="CE982" s="13"/>
      <x:c r="CF982" s="13"/>
      <x:c r="CG982" s="13"/>
    </x:row>
    <x:row r="983" ht="14.25" customHeight="1">
      <x:c r="AA983" s="3"/>
      <x:c r="AF983" s="3"/>
      <x:c r="AG983" s="3"/>
      <x:c r="AH983" s="3"/>
      <x:c r="AI983" s="3"/>
      <x:c r="AJ983" s="3"/>
      <x:c r="AK983" s="3"/>
      <x:c r="AL983" s="3"/>
      <x:c r="AM983" s="3"/>
      <x:c r="AT983" s="3"/>
      <x:c r="AU983" s="3"/>
      <x:c r="AV983" s="3"/>
      <x:c r="AW983" s="3"/>
      <x:c r="AX983" s="3"/>
      <x:c r="AY983" s="3"/>
      <x:c r="AZ983" s="3"/>
      <x:c r="BA983" s="3"/>
      <x:c r="BC983" s="3"/>
      <x:c r="BD983" s="3"/>
      <x:c r="BE983" s="3"/>
      <x:c r="BF983" s="3"/>
      <x:c r="BG983" s="3"/>
      <x:c r="BH983" s="13"/>
      <x:c r="BI983" s="13"/>
      <x:c r="BJ983" s="13"/>
      <x:c r="BK983" s="13"/>
      <x:c r="BL983" s="13"/>
      <x:c r="BM983" s="13"/>
      <x:c r="BN983" s="13"/>
      <x:c r="BO983" s="13"/>
      <x:c r="BP983" s="13"/>
      <x:c r="BQ983" s="13"/>
      <x:c r="BR983" s="13"/>
      <x:c r="BS983" s="13"/>
      <x:c r="BT983" s="13"/>
      <x:c r="BU983" s="13"/>
      <x:c r="BV983" s="13"/>
      <x:c r="BW983" s="13"/>
      <x:c r="BX983" s="13"/>
      <x:c r="BY983" s="13"/>
      <x:c r="BZ983" s="13"/>
      <x:c r="CA983" s="13"/>
      <x:c r="CB983" s="13"/>
      <x:c r="CC983" s="13"/>
      <x:c r="CD983" s="13"/>
      <x:c r="CE983" s="13"/>
      <x:c r="CF983" s="13"/>
      <x:c r="CG983" s="13"/>
    </x:row>
    <x:row r="984" ht="14.25" customHeight="1">
      <x:c r="AA984" s="3"/>
      <x:c r="AF984" s="3"/>
      <x:c r="AG984" s="3"/>
      <x:c r="AH984" s="3"/>
      <x:c r="AI984" s="3"/>
      <x:c r="AJ984" s="3"/>
      <x:c r="AK984" s="3"/>
      <x:c r="AL984" s="3"/>
      <x:c r="AM984" s="3"/>
      <x:c r="AT984" s="3"/>
      <x:c r="AU984" s="3"/>
      <x:c r="AV984" s="3"/>
      <x:c r="AW984" s="3"/>
      <x:c r="AX984" s="3"/>
      <x:c r="AY984" s="3"/>
      <x:c r="AZ984" s="3"/>
      <x:c r="BA984" s="3"/>
      <x:c r="BC984" s="3"/>
      <x:c r="BD984" s="3"/>
      <x:c r="BE984" s="3"/>
      <x:c r="BF984" s="3"/>
      <x:c r="BG984" s="3"/>
      <x:c r="BH984" s="13"/>
      <x:c r="BI984" s="13"/>
      <x:c r="BJ984" s="13"/>
      <x:c r="BK984" s="13"/>
      <x:c r="BL984" s="13"/>
      <x:c r="BM984" s="13"/>
      <x:c r="BN984" s="13"/>
      <x:c r="BO984" s="13"/>
      <x:c r="BP984" s="13"/>
      <x:c r="BQ984" s="13"/>
      <x:c r="BR984" s="13"/>
      <x:c r="BS984" s="13"/>
      <x:c r="BT984" s="13"/>
      <x:c r="BU984" s="13"/>
      <x:c r="BV984" s="13"/>
      <x:c r="BW984" s="13"/>
      <x:c r="BX984" s="13"/>
      <x:c r="BY984" s="13"/>
      <x:c r="BZ984" s="13"/>
      <x:c r="CA984" s="13"/>
      <x:c r="CB984" s="13"/>
      <x:c r="CC984" s="13"/>
      <x:c r="CD984" s="13"/>
      <x:c r="CE984" s="13"/>
      <x:c r="CF984" s="13"/>
      <x:c r="CG984" s="13"/>
    </x:row>
    <x:row r="985" ht="14.25" customHeight="1">
      <x:c r="AA985" s="3"/>
      <x:c r="AF985" s="3"/>
      <x:c r="AG985" s="3"/>
      <x:c r="AH985" s="3"/>
      <x:c r="AI985" s="3"/>
      <x:c r="AJ985" s="3"/>
      <x:c r="AK985" s="3"/>
      <x:c r="AL985" s="3"/>
      <x:c r="AM985" s="3"/>
      <x:c r="AT985" s="3"/>
      <x:c r="AU985" s="3"/>
      <x:c r="AV985" s="3"/>
      <x:c r="AW985" s="3"/>
      <x:c r="AX985" s="3"/>
      <x:c r="AY985" s="3"/>
      <x:c r="AZ985" s="3"/>
      <x:c r="BA985" s="3"/>
      <x:c r="BC985" s="3"/>
      <x:c r="BD985" s="3"/>
      <x:c r="BE985" s="3"/>
      <x:c r="BF985" s="3"/>
      <x:c r="BG985" s="3"/>
      <x:c r="BH985" s="13"/>
      <x:c r="BI985" s="13"/>
      <x:c r="BJ985" s="13"/>
      <x:c r="BK985" s="13"/>
      <x:c r="BL985" s="13"/>
      <x:c r="BM985" s="13"/>
      <x:c r="BN985" s="13"/>
      <x:c r="BO985" s="13"/>
      <x:c r="BP985" s="13"/>
      <x:c r="BQ985" s="13"/>
      <x:c r="BR985" s="13"/>
      <x:c r="BS985" s="13"/>
      <x:c r="BT985" s="13"/>
      <x:c r="BU985" s="13"/>
      <x:c r="BV985" s="13"/>
      <x:c r="BW985" s="13"/>
      <x:c r="BX985" s="13"/>
      <x:c r="BY985" s="13"/>
      <x:c r="BZ985" s="13"/>
      <x:c r="CA985" s="13"/>
      <x:c r="CB985" s="13"/>
      <x:c r="CC985" s="13"/>
      <x:c r="CD985" s="13"/>
      <x:c r="CE985" s="13"/>
      <x:c r="CF985" s="13"/>
      <x:c r="CG985" s="13"/>
    </x:row>
    <x:row r="986" ht="14.25" customHeight="1">
      <x:c r="AA986" s="3"/>
      <x:c r="AF986" s="3"/>
      <x:c r="AG986" s="3"/>
      <x:c r="AH986" s="3"/>
      <x:c r="AI986" s="3"/>
      <x:c r="AJ986" s="3"/>
      <x:c r="AK986" s="3"/>
      <x:c r="AL986" s="3"/>
      <x:c r="AM986" s="3"/>
      <x:c r="AT986" s="3"/>
      <x:c r="AU986" s="3"/>
      <x:c r="AV986" s="3"/>
      <x:c r="AW986" s="3"/>
      <x:c r="AX986" s="3"/>
      <x:c r="AY986" s="3"/>
      <x:c r="AZ986" s="3"/>
      <x:c r="BA986" s="3"/>
      <x:c r="BC986" s="3"/>
      <x:c r="BD986" s="3"/>
      <x:c r="BE986" s="3"/>
      <x:c r="BF986" s="3"/>
      <x:c r="BG986" s="3"/>
      <x:c r="BH986" s="13"/>
      <x:c r="BI986" s="13"/>
      <x:c r="BJ986" s="13"/>
      <x:c r="BK986" s="13"/>
      <x:c r="BL986" s="13"/>
      <x:c r="BM986" s="13"/>
      <x:c r="BN986" s="13"/>
      <x:c r="BO986" s="13"/>
      <x:c r="BP986" s="13"/>
      <x:c r="BQ986" s="13"/>
      <x:c r="BR986" s="13"/>
      <x:c r="BS986" s="13"/>
      <x:c r="BT986" s="13"/>
      <x:c r="BU986" s="13"/>
      <x:c r="BV986" s="13"/>
      <x:c r="BW986" s="13"/>
      <x:c r="BX986" s="13"/>
      <x:c r="BY986" s="13"/>
      <x:c r="BZ986" s="13"/>
      <x:c r="CA986" s="13"/>
      <x:c r="CB986" s="13"/>
      <x:c r="CC986" s="13"/>
      <x:c r="CD986" s="13"/>
      <x:c r="CE986" s="13"/>
      <x:c r="CF986" s="13"/>
      <x:c r="CG986" s="13"/>
    </x:row>
    <x:row r="987" ht="14.25" customHeight="1">
      <x:c r="AA987" s="3"/>
      <x:c r="AF987" s="3"/>
      <x:c r="AG987" s="3"/>
      <x:c r="AH987" s="3"/>
      <x:c r="AI987" s="3"/>
      <x:c r="AJ987" s="3"/>
      <x:c r="AK987" s="3"/>
      <x:c r="AL987" s="3"/>
      <x:c r="AM987" s="3"/>
      <x:c r="AT987" s="3"/>
      <x:c r="AU987" s="3"/>
      <x:c r="AV987" s="3"/>
      <x:c r="AW987" s="3"/>
      <x:c r="AX987" s="3"/>
      <x:c r="AY987" s="3"/>
      <x:c r="AZ987" s="3"/>
      <x:c r="BA987" s="3"/>
      <x:c r="BC987" s="3"/>
      <x:c r="BD987" s="3"/>
      <x:c r="BE987" s="3"/>
      <x:c r="BF987" s="3"/>
      <x:c r="BG987" s="3"/>
      <x:c r="BH987" s="13"/>
      <x:c r="BI987" s="13"/>
      <x:c r="BJ987" s="13"/>
      <x:c r="BK987" s="13"/>
      <x:c r="BL987" s="13"/>
      <x:c r="BM987" s="13"/>
      <x:c r="BN987" s="13"/>
      <x:c r="BO987" s="13"/>
      <x:c r="BP987" s="13"/>
      <x:c r="BQ987" s="13"/>
      <x:c r="BR987" s="13"/>
      <x:c r="BS987" s="13"/>
      <x:c r="BT987" s="13"/>
      <x:c r="BU987" s="13"/>
      <x:c r="BV987" s="13"/>
      <x:c r="BW987" s="13"/>
      <x:c r="BX987" s="13"/>
      <x:c r="BY987" s="13"/>
      <x:c r="BZ987" s="13"/>
      <x:c r="CA987" s="13"/>
      <x:c r="CB987" s="13"/>
      <x:c r="CC987" s="13"/>
      <x:c r="CD987" s="13"/>
      <x:c r="CE987" s="13"/>
      <x:c r="CF987" s="13"/>
      <x:c r="CG987" s="13"/>
    </x:row>
    <x:row r="988" ht="14.25" customHeight="1">
      <x:c r="AA988" s="3"/>
      <x:c r="AF988" s="3"/>
      <x:c r="AG988" s="3"/>
      <x:c r="AH988" s="3"/>
      <x:c r="AI988" s="3"/>
      <x:c r="AJ988" s="3"/>
      <x:c r="AK988" s="3"/>
      <x:c r="AL988" s="3"/>
      <x:c r="AM988" s="3"/>
      <x:c r="AT988" s="3"/>
      <x:c r="AU988" s="3"/>
      <x:c r="AV988" s="3"/>
      <x:c r="AW988" s="3"/>
      <x:c r="AX988" s="3"/>
      <x:c r="AY988" s="3"/>
      <x:c r="AZ988" s="3"/>
      <x:c r="BA988" s="3"/>
      <x:c r="BC988" s="3"/>
      <x:c r="BD988" s="3"/>
      <x:c r="BE988" s="3"/>
      <x:c r="BF988" s="3"/>
      <x:c r="BG988" s="3"/>
      <x:c r="BH988" s="13"/>
      <x:c r="BI988" s="13"/>
      <x:c r="BJ988" s="13"/>
      <x:c r="BK988" s="13"/>
      <x:c r="BL988" s="13"/>
      <x:c r="BM988" s="13"/>
      <x:c r="BN988" s="13"/>
      <x:c r="BO988" s="13"/>
      <x:c r="BP988" s="13"/>
      <x:c r="BQ988" s="13"/>
      <x:c r="BR988" s="13"/>
      <x:c r="BS988" s="13"/>
      <x:c r="BT988" s="13"/>
      <x:c r="BU988" s="13"/>
      <x:c r="BV988" s="13"/>
      <x:c r="BW988" s="13"/>
      <x:c r="BX988" s="13"/>
      <x:c r="BY988" s="13"/>
      <x:c r="BZ988" s="13"/>
      <x:c r="CA988" s="13"/>
      <x:c r="CB988" s="13"/>
      <x:c r="CC988" s="13"/>
      <x:c r="CD988" s="13"/>
      <x:c r="CE988" s="13"/>
      <x:c r="CF988" s="13"/>
      <x:c r="CG988" s="13"/>
    </x:row>
    <x:row r="989" ht="14.25" customHeight="1">
      <x:c r="AA989" s="3"/>
      <x:c r="AF989" s="3"/>
      <x:c r="AG989" s="3"/>
      <x:c r="AH989" s="3"/>
      <x:c r="AI989" s="3"/>
      <x:c r="AJ989" s="3"/>
      <x:c r="AK989" s="3"/>
      <x:c r="AL989" s="3"/>
      <x:c r="AM989" s="3"/>
      <x:c r="AT989" s="3"/>
      <x:c r="AU989" s="3"/>
      <x:c r="AV989" s="3"/>
      <x:c r="AW989" s="3"/>
      <x:c r="AX989" s="3"/>
      <x:c r="AY989" s="3"/>
      <x:c r="AZ989" s="3"/>
      <x:c r="BA989" s="3"/>
      <x:c r="BC989" s="3"/>
      <x:c r="BD989" s="3"/>
      <x:c r="BE989" s="3"/>
      <x:c r="BF989" s="3"/>
      <x:c r="BG989" s="3"/>
      <x:c r="BH989" s="13"/>
      <x:c r="BI989" s="13"/>
      <x:c r="BJ989" s="13"/>
      <x:c r="BK989" s="13"/>
      <x:c r="BL989" s="13"/>
      <x:c r="BM989" s="13"/>
      <x:c r="BN989" s="13"/>
      <x:c r="BO989" s="13"/>
      <x:c r="BP989" s="13"/>
      <x:c r="BQ989" s="13"/>
      <x:c r="BR989" s="13"/>
      <x:c r="BS989" s="13"/>
      <x:c r="BT989" s="13"/>
      <x:c r="BU989" s="13"/>
      <x:c r="BV989" s="13"/>
      <x:c r="BW989" s="13"/>
      <x:c r="BX989" s="13"/>
      <x:c r="BY989" s="13"/>
      <x:c r="BZ989" s="13"/>
      <x:c r="CA989" s="13"/>
      <x:c r="CB989" s="13"/>
      <x:c r="CC989" s="13"/>
      <x:c r="CD989" s="13"/>
      <x:c r="CE989" s="13"/>
      <x:c r="CF989" s="13"/>
      <x:c r="CG989" s="13"/>
    </x:row>
    <x:row r="990" ht="14.25" customHeight="1">
      <x:c r="AA990" s="3"/>
      <x:c r="AF990" s="3"/>
      <x:c r="AG990" s="3"/>
      <x:c r="AH990" s="3"/>
      <x:c r="AI990" s="3"/>
      <x:c r="AJ990" s="3"/>
      <x:c r="AK990" s="3"/>
      <x:c r="AL990" s="3"/>
      <x:c r="AM990" s="3"/>
      <x:c r="AT990" s="3"/>
      <x:c r="AU990" s="3"/>
      <x:c r="AV990" s="3"/>
      <x:c r="AW990" s="3"/>
      <x:c r="AX990" s="3"/>
      <x:c r="AY990" s="3"/>
      <x:c r="AZ990" s="3"/>
      <x:c r="BA990" s="3"/>
      <x:c r="BC990" s="3"/>
      <x:c r="BD990" s="3"/>
      <x:c r="BE990" s="3"/>
      <x:c r="BF990" s="3"/>
      <x:c r="BG990" s="3"/>
      <x:c r="BH990" s="13"/>
      <x:c r="BI990" s="13"/>
      <x:c r="BJ990" s="13"/>
      <x:c r="BK990" s="13"/>
      <x:c r="BL990" s="13"/>
      <x:c r="BM990" s="13"/>
      <x:c r="BN990" s="13"/>
      <x:c r="BO990" s="13"/>
      <x:c r="BP990" s="13"/>
      <x:c r="BQ990" s="13"/>
      <x:c r="BR990" s="13"/>
      <x:c r="BS990" s="13"/>
      <x:c r="BT990" s="13"/>
      <x:c r="BU990" s="13"/>
      <x:c r="BV990" s="13"/>
      <x:c r="BW990" s="13"/>
      <x:c r="BX990" s="13"/>
      <x:c r="BY990" s="13"/>
      <x:c r="BZ990" s="13"/>
      <x:c r="CA990" s="13"/>
      <x:c r="CB990" s="13"/>
      <x:c r="CC990" s="13"/>
      <x:c r="CD990" s="13"/>
      <x:c r="CE990" s="13"/>
      <x:c r="CF990" s="13"/>
      <x:c r="CG990" s="13"/>
    </x:row>
    <x:row r="991" ht="14.25" customHeight="1">
      <x:c r="AA991" s="3"/>
      <x:c r="AF991" s="3"/>
      <x:c r="AG991" s="3"/>
      <x:c r="AH991" s="3"/>
      <x:c r="AI991" s="3"/>
      <x:c r="AJ991" s="3"/>
      <x:c r="AK991" s="3"/>
      <x:c r="AL991" s="3"/>
      <x:c r="AM991" s="3"/>
      <x:c r="AT991" s="3"/>
      <x:c r="AU991" s="3"/>
      <x:c r="AV991" s="3"/>
      <x:c r="AW991" s="3"/>
      <x:c r="AX991" s="3"/>
      <x:c r="AY991" s="3"/>
      <x:c r="AZ991" s="3"/>
      <x:c r="BA991" s="3"/>
      <x:c r="BC991" s="3"/>
      <x:c r="BD991" s="3"/>
      <x:c r="BE991" s="3"/>
      <x:c r="BF991" s="3"/>
      <x:c r="BG991" s="3"/>
      <x:c r="BH991" s="13"/>
      <x:c r="BI991" s="13"/>
      <x:c r="BJ991" s="13"/>
      <x:c r="BK991" s="13"/>
      <x:c r="BL991" s="13"/>
      <x:c r="BM991" s="13"/>
      <x:c r="BN991" s="13"/>
      <x:c r="BO991" s="13"/>
      <x:c r="BP991" s="13"/>
      <x:c r="BQ991" s="13"/>
      <x:c r="BR991" s="13"/>
      <x:c r="BS991" s="13"/>
      <x:c r="BT991" s="13"/>
      <x:c r="BU991" s="13"/>
      <x:c r="BV991" s="13"/>
      <x:c r="BW991" s="13"/>
      <x:c r="BX991" s="13"/>
      <x:c r="BY991" s="13"/>
      <x:c r="BZ991" s="13"/>
      <x:c r="CA991" s="13"/>
      <x:c r="CB991" s="13"/>
      <x:c r="CC991" s="13"/>
      <x:c r="CD991" s="13"/>
      <x:c r="CE991" s="13"/>
      <x:c r="CF991" s="13"/>
      <x:c r="CG991" s="13"/>
    </x:row>
    <x:row r="992" ht="14.25" customHeight="1">
      <x:c r="AA992" s="3"/>
      <x:c r="AF992" s="3"/>
      <x:c r="AG992" s="3"/>
      <x:c r="AH992" s="3"/>
      <x:c r="AI992" s="3"/>
      <x:c r="AJ992" s="3"/>
      <x:c r="AK992" s="3"/>
      <x:c r="AL992" s="3"/>
      <x:c r="AM992" s="3"/>
      <x:c r="AT992" s="3"/>
      <x:c r="AU992" s="3"/>
      <x:c r="AV992" s="3"/>
      <x:c r="AW992" s="3"/>
      <x:c r="AX992" s="3"/>
      <x:c r="AY992" s="3"/>
      <x:c r="AZ992" s="3"/>
      <x:c r="BA992" s="3"/>
      <x:c r="BC992" s="3"/>
      <x:c r="BD992" s="3"/>
      <x:c r="BE992" s="3"/>
      <x:c r="BF992" s="3"/>
      <x:c r="BG992" s="3"/>
      <x:c r="BH992" s="13"/>
      <x:c r="BI992" s="13"/>
      <x:c r="BJ992" s="13"/>
      <x:c r="BK992" s="13"/>
      <x:c r="BL992" s="13"/>
      <x:c r="BM992" s="13"/>
      <x:c r="BN992" s="13"/>
      <x:c r="BO992" s="13"/>
      <x:c r="BP992" s="13"/>
      <x:c r="BQ992" s="13"/>
      <x:c r="BR992" s="13"/>
      <x:c r="BS992" s="13"/>
      <x:c r="BT992" s="13"/>
      <x:c r="BU992" s="13"/>
      <x:c r="BV992" s="13"/>
      <x:c r="BW992" s="13"/>
      <x:c r="BX992" s="13"/>
      <x:c r="BY992" s="13"/>
      <x:c r="BZ992" s="13"/>
      <x:c r="CA992" s="13"/>
      <x:c r="CB992" s="13"/>
      <x:c r="CC992" s="13"/>
      <x:c r="CD992" s="13"/>
      <x:c r="CE992" s="13"/>
      <x:c r="CF992" s="13"/>
      <x:c r="CG992" s="13"/>
    </x:row>
    <x:row r="993" ht="14.25" customHeight="1">
      <x:c r="AA993" s="3"/>
      <x:c r="AF993" s="3"/>
      <x:c r="AG993" s="3"/>
      <x:c r="AH993" s="3"/>
      <x:c r="AI993" s="3"/>
      <x:c r="AJ993" s="3"/>
      <x:c r="AK993" s="3"/>
      <x:c r="AL993" s="3"/>
      <x:c r="AM993" s="3"/>
      <x:c r="AT993" s="3"/>
      <x:c r="AU993" s="3"/>
      <x:c r="AV993" s="3"/>
      <x:c r="AW993" s="3"/>
      <x:c r="AX993" s="3"/>
      <x:c r="AY993" s="3"/>
      <x:c r="AZ993" s="3"/>
      <x:c r="BA993" s="3"/>
      <x:c r="BC993" s="3"/>
      <x:c r="BD993" s="3"/>
      <x:c r="BE993" s="3"/>
      <x:c r="BF993" s="3"/>
      <x:c r="BG993" s="3"/>
      <x:c r="BH993" s="13"/>
      <x:c r="BI993" s="13"/>
      <x:c r="BJ993" s="13"/>
      <x:c r="BK993" s="13"/>
      <x:c r="BL993" s="13"/>
      <x:c r="BM993" s="13"/>
      <x:c r="BN993" s="13"/>
      <x:c r="BO993" s="13"/>
      <x:c r="BP993" s="13"/>
      <x:c r="BQ993" s="13"/>
      <x:c r="BR993" s="13"/>
      <x:c r="BS993" s="13"/>
      <x:c r="BT993" s="13"/>
      <x:c r="BU993" s="13"/>
      <x:c r="BV993" s="13"/>
      <x:c r="BW993" s="13"/>
      <x:c r="BX993" s="13"/>
      <x:c r="BY993" s="13"/>
      <x:c r="BZ993" s="13"/>
      <x:c r="CA993" s="13"/>
      <x:c r="CB993" s="13"/>
      <x:c r="CC993" s="13"/>
      <x:c r="CD993" s="13"/>
      <x:c r="CE993" s="13"/>
      <x:c r="CF993" s="13"/>
      <x:c r="CG993" s="13"/>
    </x:row>
    <x:row r="994" ht="14.25" customHeight="1">
      <x:c r="AA994" s="3"/>
      <x:c r="AF994" s="3"/>
      <x:c r="AG994" s="3"/>
      <x:c r="AH994" s="3"/>
      <x:c r="AI994" s="3"/>
      <x:c r="AJ994" s="3"/>
      <x:c r="AK994" s="3"/>
      <x:c r="AL994" s="3"/>
      <x:c r="AM994" s="3"/>
      <x:c r="AT994" s="3"/>
      <x:c r="AU994" s="3"/>
      <x:c r="AV994" s="3"/>
      <x:c r="AW994" s="3"/>
      <x:c r="AX994" s="3"/>
      <x:c r="AY994" s="3"/>
      <x:c r="AZ994" s="3"/>
      <x:c r="BA994" s="3"/>
      <x:c r="BC994" s="3"/>
      <x:c r="BD994" s="3"/>
      <x:c r="BE994" s="3"/>
      <x:c r="BF994" s="3"/>
      <x:c r="BG994" s="3"/>
      <x:c r="BH994" s="13"/>
      <x:c r="BI994" s="13"/>
      <x:c r="BJ994" s="13"/>
      <x:c r="BK994" s="13"/>
      <x:c r="BL994" s="13"/>
      <x:c r="BM994" s="13"/>
      <x:c r="BN994" s="13"/>
      <x:c r="BO994" s="13"/>
      <x:c r="BP994" s="13"/>
      <x:c r="BQ994" s="13"/>
      <x:c r="BR994" s="13"/>
      <x:c r="BS994" s="13"/>
      <x:c r="BT994" s="13"/>
      <x:c r="BU994" s="13"/>
      <x:c r="BV994" s="13"/>
      <x:c r="BW994" s="13"/>
      <x:c r="BX994" s="13"/>
      <x:c r="BY994" s="13"/>
      <x:c r="BZ994" s="13"/>
      <x:c r="CA994" s="13"/>
      <x:c r="CB994" s="13"/>
      <x:c r="CC994" s="13"/>
      <x:c r="CD994" s="13"/>
      <x:c r="CE994" s="13"/>
      <x:c r="CF994" s="13"/>
      <x:c r="CG994" s="13"/>
    </x:row>
    <x:row r="995" ht="14.25" customHeight="1">
      <x:c r="AA995" s="3"/>
      <x:c r="AF995" s="3"/>
      <x:c r="AG995" s="3"/>
      <x:c r="AH995" s="3"/>
      <x:c r="AI995" s="3"/>
      <x:c r="AJ995" s="3"/>
      <x:c r="AK995" s="3"/>
      <x:c r="AL995" s="3"/>
      <x:c r="AM995" s="3"/>
      <x:c r="AT995" s="3"/>
      <x:c r="AU995" s="3"/>
      <x:c r="AV995" s="3"/>
      <x:c r="AW995" s="3"/>
      <x:c r="AX995" s="3"/>
      <x:c r="AY995" s="3"/>
      <x:c r="AZ995" s="3"/>
      <x:c r="BA995" s="3"/>
      <x:c r="BC995" s="3"/>
      <x:c r="BD995" s="3"/>
      <x:c r="BE995" s="3"/>
      <x:c r="BF995" s="3"/>
      <x:c r="BG995" s="3"/>
      <x:c r="BH995" s="13"/>
      <x:c r="BI995" s="13"/>
      <x:c r="BJ995" s="13"/>
      <x:c r="BK995" s="13"/>
      <x:c r="BL995" s="13"/>
      <x:c r="BM995" s="13"/>
      <x:c r="BN995" s="13"/>
      <x:c r="BO995" s="13"/>
      <x:c r="BP995" s="13"/>
      <x:c r="BQ995" s="13"/>
      <x:c r="BR995" s="13"/>
      <x:c r="BS995" s="13"/>
      <x:c r="BT995" s="13"/>
      <x:c r="BU995" s="13"/>
      <x:c r="BV995" s="13"/>
      <x:c r="BW995" s="13"/>
      <x:c r="BX995" s="13"/>
      <x:c r="BY995" s="13"/>
      <x:c r="BZ995" s="13"/>
      <x:c r="CA995" s="13"/>
      <x:c r="CB995" s="13"/>
      <x:c r="CC995" s="13"/>
      <x:c r="CD995" s="13"/>
      <x:c r="CE995" s="13"/>
      <x:c r="CF995" s="13"/>
      <x:c r="CG995" s="13"/>
    </x:row>
    <x:row r="996" ht="14.25" customHeight="1">
      <x:c r="AA996" s="3"/>
      <x:c r="AF996" s="3"/>
      <x:c r="AG996" s="3"/>
      <x:c r="AH996" s="3"/>
      <x:c r="AI996" s="3"/>
      <x:c r="AJ996" s="3"/>
      <x:c r="AK996" s="3"/>
      <x:c r="AL996" s="3"/>
      <x:c r="AM996" s="3"/>
      <x:c r="AT996" s="3"/>
      <x:c r="AU996" s="3"/>
      <x:c r="AV996" s="3"/>
      <x:c r="AW996" s="3"/>
      <x:c r="AX996" s="3"/>
      <x:c r="AY996" s="3"/>
      <x:c r="AZ996" s="3"/>
      <x:c r="BA996" s="3"/>
      <x:c r="BC996" s="3"/>
      <x:c r="BD996" s="3"/>
      <x:c r="BE996" s="3"/>
      <x:c r="BF996" s="3"/>
      <x:c r="BG996" s="3"/>
      <x:c r="BH996" s="13"/>
      <x:c r="BI996" s="13"/>
      <x:c r="BJ996" s="13"/>
      <x:c r="BK996" s="13"/>
      <x:c r="BL996" s="13"/>
      <x:c r="BM996" s="13"/>
      <x:c r="BN996" s="13"/>
      <x:c r="BO996" s="13"/>
      <x:c r="BP996" s="13"/>
      <x:c r="BQ996" s="13"/>
      <x:c r="BR996" s="13"/>
      <x:c r="BS996" s="13"/>
      <x:c r="BT996" s="13"/>
      <x:c r="BU996" s="13"/>
      <x:c r="BV996" s="13"/>
      <x:c r="BW996" s="13"/>
      <x:c r="BX996" s="13"/>
      <x:c r="BY996" s="13"/>
      <x:c r="BZ996" s="13"/>
      <x:c r="CA996" s="13"/>
      <x:c r="CB996" s="13"/>
      <x:c r="CC996" s="13"/>
      <x:c r="CD996" s="13"/>
      <x:c r="CE996" s="13"/>
      <x:c r="CF996" s="13"/>
      <x:c r="CG996" s="13"/>
    </x:row>
    <x:row r="997" ht="14.25" customHeight="1">
      <x:c r="AA997" s="3"/>
      <x:c r="AF997" s="3"/>
      <x:c r="AG997" s="3"/>
      <x:c r="AH997" s="3"/>
      <x:c r="AI997" s="3"/>
      <x:c r="AJ997" s="3"/>
      <x:c r="AK997" s="3"/>
      <x:c r="AL997" s="3"/>
      <x:c r="AM997" s="3"/>
      <x:c r="AT997" s="3"/>
      <x:c r="AU997" s="3"/>
      <x:c r="AV997" s="3"/>
      <x:c r="AW997" s="3"/>
      <x:c r="AX997" s="3"/>
      <x:c r="AY997" s="3"/>
      <x:c r="AZ997" s="3"/>
      <x:c r="BA997" s="3"/>
      <x:c r="BC997" s="3"/>
      <x:c r="BD997" s="3"/>
      <x:c r="BE997" s="3"/>
      <x:c r="BF997" s="3"/>
      <x:c r="BG997" s="3"/>
      <x:c r="BH997" s="13"/>
      <x:c r="BI997" s="13"/>
      <x:c r="BJ997" s="13"/>
      <x:c r="BK997" s="13"/>
      <x:c r="BL997" s="13"/>
      <x:c r="BM997" s="13"/>
      <x:c r="BN997" s="13"/>
      <x:c r="BO997" s="13"/>
      <x:c r="BP997" s="13"/>
      <x:c r="BQ997" s="13"/>
      <x:c r="BR997" s="13"/>
      <x:c r="BS997" s="13"/>
      <x:c r="BT997" s="13"/>
      <x:c r="BU997" s="13"/>
      <x:c r="BV997" s="13"/>
      <x:c r="BW997" s="13"/>
      <x:c r="BX997" s="13"/>
      <x:c r="BY997" s="13"/>
      <x:c r="BZ997" s="13"/>
      <x:c r="CA997" s="13"/>
      <x:c r="CB997" s="13"/>
      <x:c r="CC997" s="13"/>
      <x:c r="CD997" s="13"/>
      <x:c r="CE997" s="13"/>
      <x:c r="CF997" s="13"/>
      <x:c r="CG997" s="13"/>
    </x:row>
    <x:row r="998" ht="14.25" customHeight="1">
      <x:c r="AA998" s="3"/>
      <x:c r="AF998" s="3"/>
      <x:c r="AG998" s="3"/>
      <x:c r="AH998" s="3"/>
      <x:c r="AI998" s="3"/>
      <x:c r="AJ998" s="3"/>
      <x:c r="AK998" s="3"/>
      <x:c r="AL998" s="3"/>
      <x:c r="AM998" s="3"/>
      <x:c r="AT998" s="3"/>
      <x:c r="AU998" s="3"/>
      <x:c r="AV998" s="3"/>
      <x:c r="AW998" s="3"/>
      <x:c r="AX998" s="3"/>
      <x:c r="AY998" s="3"/>
      <x:c r="AZ998" s="3"/>
      <x:c r="BA998" s="3"/>
      <x:c r="BC998" s="3"/>
      <x:c r="BD998" s="3"/>
      <x:c r="BE998" s="3"/>
      <x:c r="BF998" s="3"/>
      <x:c r="BG998" s="3"/>
      <x:c r="BH998" s="13"/>
      <x:c r="BI998" s="13"/>
      <x:c r="BJ998" s="13"/>
      <x:c r="BK998" s="13"/>
      <x:c r="BL998" s="13"/>
      <x:c r="BM998" s="13"/>
      <x:c r="BN998" s="13"/>
      <x:c r="BO998" s="13"/>
      <x:c r="BP998" s="13"/>
      <x:c r="BQ998" s="13"/>
      <x:c r="BR998" s="13"/>
      <x:c r="BS998" s="13"/>
      <x:c r="BT998" s="13"/>
      <x:c r="BU998" s="13"/>
      <x:c r="BV998" s="13"/>
      <x:c r="BW998" s="13"/>
      <x:c r="BX998" s="13"/>
      <x:c r="BY998" s="13"/>
      <x:c r="BZ998" s="13"/>
      <x:c r="CA998" s="13"/>
      <x:c r="CB998" s="13"/>
      <x:c r="CC998" s="13"/>
      <x:c r="CD998" s="13"/>
      <x:c r="CE998" s="13"/>
      <x:c r="CF998" s="13"/>
      <x:c r="CG998" s="13"/>
    </x:row>
    <x:row r="999" ht="14.25" customHeight="1">
      <x:c r="AA999" s="3"/>
      <x:c r="AF999" s="3"/>
      <x:c r="AG999" s="3"/>
      <x:c r="AH999" s="3"/>
      <x:c r="AI999" s="3"/>
      <x:c r="AJ999" s="3"/>
      <x:c r="AK999" s="3"/>
      <x:c r="AL999" s="3"/>
      <x:c r="AM999" s="3"/>
      <x:c r="AT999" s="3"/>
      <x:c r="AU999" s="3"/>
      <x:c r="AV999" s="3"/>
      <x:c r="AW999" s="3"/>
      <x:c r="AX999" s="3"/>
      <x:c r="AY999" s="3"/>
      <x:c r="AZ999" s="3"/>
      <x:c r="BA999" s="3"/>
      <x:c r="BC999" s="3"/>
      <x:c r="BD999" s="3"/>
      <x:c r="BE999" s="3"/>
      <x:c r="BF999" s="3"/>
      <x:c r="BG999" s="3"/>
      <x:c r="BH999" s="13"/>
      <x:c r="BI999" s="13"/>
      <x:c r="BJ999" s="13"/>
      <x:c r="BK999" s="13"/>
      <x:c r="BL999" s="13"/>
      <x:c r="BM999" s="13"/>
      <x:c r="BN999" s="13"/>
      <x:c r="BO999" s="13"/>
      <x:c r="BP999" s="13"/>
      <x:c r="BQ999" s="13"/>
      <x:c r="BR999" s="13"/>
      <x:c r="BS999" s="13"/>
      <x:c r="BT999" s="13"/>
      <x:c r="BU999" s="13"/>
      <x:c r="BV999" s="13"/>
      <x:c r="BW999" s="13"/>
      <x:c r="BX999" s="13"/>
      <x:c r="BY999" s="13"/>
      <x:c r="BZ999" s="13"/>
      <x:c r="CA999" s="13"/>
      <x:c r="CB999" s="13"/>
      <x:c r="CC999" s="13"/>
      <x:c r="CD999" s="13"/>
      <x:c r="CE999" s="13"/>
      <x:c r="CF999" s="13"/>
      <x:c r="CG999" s="13"/>
    </x:row>
    <x:row r="1000" ht="14.25" customHeight="1">
      <x:c r="AA1000" s="3"/>
      <x:c r="AF1000" s="3"/>
      <x:c r="AG1000" s="3"/>
      <x:c r="AH1000" s="3"/>
      <x:c r="AI1000" s="3"/>
      <x:c r="AJ1000" s="3"/>
      <x:c r="AK1000" s="3"/>
      <x:c r="AL1000" s="3"/>
      <x:c r="AM1000" s="3"/>
      <x:c r="AT1000" s="3"/>
      <x:c r="AU1000" s="3"/>
      <x:c r="AV1000" s="3"/>
      <x:c r="AW1000" s="3"/>
      <x:c r="AX1000" s="3"/>
      <x:c r="AY1000" s="3"/>
      <x:c r="AZ1000" s="3"/>
      <x:c r="BA1000" s="3"/>
      <x:c r="BC1000" s="3"/>
      <x:c r="BD1000" s="3"/>
      <x:c r="BE1000" s="3"/>
      <x:c r="BF1000" s="3"/>
      <x:c r="BG1000" s="3"/>
      <x:c r="BH1000" s="13"/>
      <x:c r="BI1000" s="13"/>
      <x:c r="BJ1000" s="13"/>
      <x:c r="BK1000" s="13"/>
      <x:c r="BL1000" s="13"/>
      <x:c r="BM1000" s="13"/>
      <x:c r="BN1000" s="13"/>
      <x:c r="BO1000" s="13"/>
      <x:c r="BP1000" s="13"/>
      <x:c r="BQ1000" s="13"/>
      <x:c r="BR1000" s="13"/>
      <x:c r="BS1000" s="13"/>
      <x:c r="BT1000" s="13"/>
      <x:c r="BU1000" s="13"/>
      <x:c r="BV1000" s="13"/>
      <x:c r="BW1000" s="13"/>
      <x:c r="BX1000" s="13"/>
      <x:c r="BY1000" s="13"/>
      <x:c r="BZ1000" s="13"/>
      <x:c r="CA1000" s="13"/>
      <x:c r="CB1000" s="13"/>
      <x:c r="CC1000" s="13"/>
      <x:c r="CD1000" s="13"/>
      <x:c r="CE1000" s="13"/>
      <x:c r="CF1000" s="13"/>
      <x:c r="CG1000" s="13"/>
    </x:row>
  </x:sheetData>
  <x:conditionalFormatting sqref="F3:H5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2:J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J3:J52">
    <x:cfRule type="colorScale" priority="3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K3:K52">
    <x:cfRule type="colorScale" priority="4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M3:M52">
    <x:cfRule type="colorScale" priority="5">
      <x:colorScale>
        <x:cfvo type="min"/>
        <x:cfvo type="max"/>
        <x:color rgb="FFFCFCFF"/>
        <x:color rgb="FFF8696B"/>
      </x:colorScale>
    </x:cfRule>
  </x:conditionalFormatting>
  <x:conditionalFormatting sqref="T3:V102">
    <x:cfRule type="colorScale" priority="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I2:I1000 W2:Y2 W3:W102 W103:Y1000 AK2:AM2 AK103:AM1000 AZ2:BA2 AZ53:BA1000">
    <x:cfRule type="colorScale" priority="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X3:X102">
    <x:cfRule type="colorScale" priority="8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Y3:Y102">
    <x:cfRule type="colorScale" priority="9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AH3:AJ102">
    <x:cfRule type="colorScale" priority="10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K2:AK102">
    <x:cfRule type="colorScale" priority="1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K3:AK102">
    <x:cfRule type="colorScale" priority="12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AL3:AL102">
    <x:cfRule type="colorScale" priority="13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AM3:AM102">
    <x:cfRule type="colorScale" priority="14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AV3:AY52">
    <x:cfRule type="colorScale" priority="1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Y2:AY2">
    <x:cfRule type="colorScale" priority="16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Y2:AY2">
    <x:cfRule type="colorScale" priority="17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Z3:AZ52">
    <x:cfRule type="colorScale" priority="18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BA3:BA52">
    <x:cfRule type="colorScale" priority="19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BD2:BD1000">
    <x:cfRule type="cellIs" dxfId="6" priority="20" operator="equal">
      <x:formula>"R"</x:formula>
    </x:cfRule>
  </x:conditionalFormatting>
  <x:conditionalFormatting sqref="BD3:BD52">
    <x:cfRule type="colorScale" priority="21">
      <x:colorScale>
        <x:cfvo type="min"/>
        <x:cfvo type="percentile" val="50"/>
        <x:cfvo type="max"/>
        <x:color rgb="FFF8696B"/>
        <x:color rgb="FFFCFCFF"/>
        <x:color rgb="FF5A8AC6"/>
      </x:colorScale>
    </x:cfRule>
  </x:conditionalFormatting>
  <x:conditionalFormatting sqref="BD3:BD52">
    <x:cfRule type="colorScale" priority="22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0" customWidth="1"/>
    <x:col min="2" max="2" width="5.5" customWidth="1"/>
    <x:col min="3" max="4" width="6.25" customWidth="1"/>
    <x:col min="5" max="5" width="7.25" customWidth="1"/>
    <x:col min="6" max="7" width="5.130000114440918" customWidth="1"/>
    <x:col min="8" max="9" width="6.25" customWidth="1"/>
    <x:col min="10" max="10" width="5.130000114440918" customWidth="1"/>
    <x:col min="11" max="11" width="4.130000114440918" customWidth="1"/>
    <x:col min="12" max="12" width="6.25" customWidth="1"/>
    <x:col min="13" max="13" width="5.380000114440918" customWidth="1"/>
    <x:col min="14" max="14" width="5.5" customWidth="1"/>
    <x:col min="15" max="17" width="5.630000114440918" customWidth="1"/>
    <x:col min="18" max="26" width="8.880000114440918" customWidth="1"/>
  </x:cols>
  <x:sheetData>
    <x:row r="1" ht="14.25" customHeight="1">
      <x:c r="A1" s="1" t="s">
        <x:v>477</x:v>
      </x:c>
      <x:c r="B1" s="1" t="s">
        <x:v>100</x:v>
      </x:c>
      <x:c r="C1" s="1" t="s">
        <x:v>478</x:v>
      </x:c>
      <x:c r="D1" s="1" t="s">
        <x:v>479</x:v>
      </x:c>
      <x:c r="E1" s="1" t="s">
        <x:v>480</x:v>
      </x:c>
      <x:c r="F1" s="1" t="s">
        <x:v>481</x:v>
      </x:c>
      <x:c r="G1" s="1" t="s">
        <x:v>28</x:v>
      </x:c>
      <x:c r="H1" s="1" t="s">
        <x:v>478</x:v>
      </x:c>
      <x:c r="I1" s="1" t="s">
        <x:v>480</x:v>
      </x:c>
      <x:c r="J1" s="1" t="s">
        <x:v>481</x:v>
      </x:c>
      <x:c r="K1" s="1" t="s">
        <x:v>51</x:v>
      </x:c>
      <x:c r="L1" s="1" t="s">
        <x:v>482</x:v>
      </x:c>
      <x:c r="M1" s="5" t="s">
        <x:v>483</x:v>
      </x:c>
      <x:c r="N1" s="5" t="s">
        <x:v>484</x:v>
      </x:c>
      <x:c r="O1" s="6" t="s">
        <x:v>103</x:v>
      </x:c>
      <x:c r="P1" s="6" t="s">
        <x:v>104</x:v>
      </x:c>
      <x:c r="Q1" s="6" t="s">
        <x:v>105</x:v>
      </x:c>
      <x:c r="R1" s="9"/>
      <x:c r="S1" s="9"/>
      <x:c r="T1" s="9"/>
      <x:c r="U1" s="9"/>
      <x:c r="V1" s="9"/>
      <x:c r="W1" s="9"/>
      <x:c r="X1" s="9"/>
      <x:c r="Y1" s="9"/>
      <x:c r="Z1" s="9"/>
    </x:row>
    <x:row r="2" ht="14.25" customHeight="1">
      <x:c r="A2" s="1" t="s">
        <x:v>485</x:v>
      </x:c>
      <x:c r="M2" s="5"/>
      <x:c r="N2" s="5"/>
      <x:c r="O2" s="6"/>
      <x:c r="P2" s="6"/>
      <x:c r="Q2" s="6"/>
      <x:c r="R2" s="9"/>
      <x:c r="S2" s="9"/>
      <x:c r="T2" s="9"/>
      <x:c r="U2" s="9"/>
      <x:c r="V2" s="9"/>
      <x:c r="W2" s="9"/>
      <x:c r="X2" s="9"/>
      <x:c r="Y2" s="9"/>
      <x:c r="Z2" s="9"/>
    </x:row>
    <x:row r="3" ht="14.25" customHeight="1">
      <x:c r="A3" s="1" t="s">
        <x:v>486</x:v>
      </x:c>
      <x:c r="B3" s="1" t="s">
        <x:v>487</x:v>
      </x:c>
      <x:c r="C3" s="1">
        <x:v>491.9</x:v>
      </x:c>
      <x:c r="D3" s="1">
        <x:v>333.4</x:v>
      </x:c>
      <x:c r="E3" s="1">
        <x:v>3816.8</x:v>
      </x:c>
      <x:c r="F3" s="1">
        <x:v>27.4</x:v>
      </x:c>
      <x:c r="G3" s="1">
        <x:v>11.2</x:v>
      </x:c>
      <x:c r="H3" s="1">
        <x:v>118.1</x:v>
      </x:c>
      <x:c r="I3" s="1">
        <x:v>586.0</x:v>
      </x:c>
      <x:c r="J3" s="1">
        <x:v>11.8</x:v>
      </x:c>
      <x:c r="K3" s="1">
        <x:v>4.1</x:v>
      </x:c>
      <x:c r="L3" s="1">
        <x:v>372.5</x:v>
      </x:c>
      <x:c r="M3" s="18" t="n">
        <x:f t="shared" ref="M3:M302" si="1">IFERROR(((E3/D3)/10.96)*0.5218*D3,0)</x:f>
        <x:v>181.715897810219</x:v>
      </x:c>
      <x:c r="N3" s="18" t="n">
        <x:f t="shared" ref="N3:N302" si="2">IFERROR((((I3/H3)/5.3)*0.401)*H3,0)</x:f>
        <x:v>44.336981132075465</x:v>
      </x:c>
      <x:c r="O3" s="25" t="n">
        <x:f>MAX(QB!D5*Scoring!$B$30+QB!E5/Scoring!$C$30+QB!F5*Scoring!$D$30+QB!G5*Scoring!$E$30+QB!H5*Scoring!$F$30+QB!I5/Scoring!$G$30+QB!J5*Scoring!$H$30+QB!K5*Scoring!$I$30+M5*Scoring!$J$30+QB!N5*Scoring!$K$30,0)+C5*Scoring!$B$10*0.07+(C5-D5)*Scoring!$B$5</x:f>
        <x:v>345.18</x:v>
      </x:c>
      <x:c r="P3" s="25" t="n">
        <x:f>MAX(QB!D3*Scoring!$B$30+QB!E3/Scoring!$C$30+QB!F3*Scoring!$D$30+QB!G3*Scoring!$E$30+QB!H3*Scoring!$F$30+QB!I3/Scoring!$G$30+QB!J3*Scoring!$H$30+QB!K3*Scoring!$I$30+M3*Scoring!$J$30+QB!N3*Scoring!$K$30,0)+C3*Scoring!$B$10*0.07+(C3-D3)*Scoring!$B$5</x:f>
        <x:v>365.17199999999997</x:v>
      </x:c>
      <x:c r="Q3" s="25" t="n">
        <x:f>MAX(QB!D4*Scoring!$B$30+QB!E4/Scoring!$C$30+QB!F4*Scoring!$D$30+QB!G4*Scoring!$E$30+QB!H4*Scoring!$F$30+QB!I4/Scoring!$G$30+QB!J4*Scoring!$H$30+QB!K4*Scoring!$I$30+M4*Scoring!$J$30+QB!N4*Scoring!$K$30,0)+C4*Scoring!$B$10*0.07+(C4-D4)*Scoring!$B$5</x:f>
        <x:v>391.956</x:v>
      </x:c>
      <x:c r="R3" s="9"/>
      <x:c r="S3" s="9"/>
      <x:c r="T3" s="9"/>
      <x:c r="U3" s="9"/>
      <x:c r="V3" s="9"/>
      <x:c r="W3" s="9"/>
      <x:c r="X3" s="9"/>
      <x:c r="Y3" s="9"/>
      <x:c r="Z3" s="9"/>
    </x:row>
    <x:row r="4" ht="14.25" customHeight="1">
      <x:c r="B4" s="1" t="s">
        <x:v>488</x:v>
      </x:c>
      <x:c r="C4" s="1">
        <x:v>508.7</x:v>
      </x:c>
      <x:c r="D4" s="1">
        <x:v>340.1</x:v>
      </x:c>
      <x:c r="E4" s="1">
        <x:v>3946.4</x:v>
      </x:c>
      <x:c r="F4" s="1">
        <x:v>30.0</x:v>
      </x:c>
      <x:c r="G4" s="1">
        <x:v>9.0</x:v>
      </x:c>
      <x:c r="H4" s="1">
        <x:v>125.0</x:v>
      </x:c>
      <x:c r="I4" s="1">
        <x:v>611.0</x:v>
      </x:c>
      <x:c r="J4" s="1">
        <x:v>12.5</x:v>
      </x:c>
      <x:c r="K4" s="1">
        <x:v>4.0</x:v>
      </x:c>
      <x:c r="L4" s="1">
        <x:v>402.0</x:v>
      </x:c>
      <x:c r="M4" s="18">
        <x:f t="shared" si="1"/>
        <x:v>187.8860876</x:v>
      </x:c>
      <x:c r="N4" s="18">
        <x:f t="shared" si="2"/>
        <x:v>46.22849057</x:v>
      </x:c>
      <x:c r="O4" s="25"/>
      <x:c r="P4" s="25"/>
      <x:c r="Q4" s="25"/>
      <x:c r="R4" s="9"/>
      <x:c r="S4" s="9"/>
      <x:c r="T4" s="9"/>
      <x:c r="U4" s="9"/>
      <x:c r="V4" s="9"/>
      <x:c r="W4" s="9"/>
      <x:c r="X4" s="9"/>
      <x:c r="Y4" s="9"/>
      <x:c r="Z4" s="9"/>
    </x:row>
    <x:row r="5" ht="14.25" customHeight="1">
      <x:c r="B5" s="1" t="s">
        <x:v>489</x:v>
      </x:c>
      <x:c r="C5" s="1">
        <x:v>479.0</x:v>
      </x:c>
      <x:c r="D5" s="1">
        <x:v>326.0</x:v>
      </x:c>
      <x:c r="E5" s="1">
        <x:v>3717.0</x:v>
      </x:c>
      <x:c r="F5" s="1">
        <x:v>26.0</x:v>
      </x:c>
      <x:c r="G5" s="1">
        <x:v>13.0</x:v>
      </x:c>
      <x:c r="H5" s="1">
        <x:v>113.0</x:v>
      </x:c>
      <x:c r="I5" s="1">
        <x:v>567.0</x:v>
      </x:c>
      <x:c r="J5" s="1">
        <x:v>11.0</x:v>
      </x:c>
      <x:c r="K5" s="1">
        <x:v>4.2</x:v>
      </x:c>
      <x:c r="L5" s="1">
        <x:v>369.7</x:v>
      </x:c>
      <x:c r="M5" s="18">
        <x:f t="shared" si="1"/>
        <x:v>176.9644708</x:v>
      </x:c>
      <x:c r="N5" s="18">
        <x:f t="shared" si="2"/>
        <x:v>42.89943396</x:v>
      </x:c>
      <x:c r="O5" s="25"/>
      <x:c r="P5" s="25"/>
      <x:c r="Q5" s="25"/>
      <x:c r="R5" s="9"/>
      <x:c r="S5" s="9"/>
      <x:c r="T5" s="9"/>
      <x:c r="U5" s="9"/>
      <x:c r="V5" s="9"/>
      <x:c r="W5" s="9"/>
      <x:c r="X5" s="9"/>
      <x:c r="Y5" s="9"/>
      <x:c r="Z5" s="9"/>
    </x:row>
    <x:row r="6" ht="14.25" customHeight="1">
      <x:c r="A6" s="1" t="s">
        <x:v>490</x:v>
      </x:c>
      <x:c r="B6" s="1" t="s">
        <x:v>491</x:v>
      </x:c>
      <x:c r="C6" s="1">
        <x:v>449.2</x:v>
      </x:c>
      <x:c r="D6" s="1">
        <x:v>291.9</x:v>
      </x:c>
      <x:c r="E6" s="1">
        <x:v>3652.2</x:v>
      </x:c>
      <x:c r="F6" s="1">
        <x:v>28.3</x:v>
      </x:c>
      <x:c r="G6" s="1">
        <x:v>9.6</x:v>
      </x:c>
      <x:c r="H6" s="1">
        <x:v>118.7</x:v>
      </x:c>
      <x:c r="I6" s="1">
        <x:v>640.4</x:v>
      </x:c>
      <x:c r="J6" s="1">
        <x:v>3.2</x:v>
      </x:c>
      <x:c r="K6" s="1">
        <x:v>4.2</x:v>
      </x:c>
      <x:c r="L6" s="1">
        <x:v>325.0</x:v>
      </x:c>
      <x:c r="M6" s="18">
        <x:f t="shared" si="1"/>
        <x:v>173.8793759</x:v>
      </x:c>
      <x:c r="N6" s="18">
        <x:f t="shared" si="2"/>
        <x:v>48.45290566</x:v>
      </x:c>
      <x:c r="O6" s="25" t="n">
        <x:f>MAX(QB!D8*Scoring!$B$30+QB!E8/Scoring!$C$30+QB!F8*Scoring!$D$30+QB!G8*Scoring!$E$30+QB!H8*Scoring!$F$30+QB!I8/Scoring!$G$30+QB!J8*Scoring!$H$30+QB!K8*Scoring!$I$30+M8*Scoring!$J$30+QB!N8*Scoring!$K$30,0)+C8*Scoring!$B$10*0.07+(C8-D8)*Scoring!$B$5</x:f>
        <x:v>290.7</x:v>
      </x:c>
      <x:c r="P6" s="25" t="n">
        <x:f>MAX(QB!D6*Scoring!$B$30+QB!E6/Scoring!$C$30+QB!F6*Scoring!$D$30+QB!G6*Scoring!$E$30+QB!H6*Scoring!$F$30+QB!I6/Scoring!$G$30+QB!J6*Scoring!$H$30+QB!K6*Scoring!$I$30+M6*Scoring!$J$30+QB!N6*Scoring!$K$30,0)+C6*Scoring!$B$10*0.07+(C6-D6)*Scoring!$B$5</x:f>
        <x:v>319.12800000000004</x:v>
      </x:c>
      <x:c r="Q6" s="25" t="n">
        <x:f>MAX(QB!D7*Scoring!$B$30+QB!E7/Scoring!$C$30+QB!F7*Scoring!$D$30+QB!G7*Scoring!$E$30+QB!H7*Scoring!$F$30+QB!I7/Scoring!$G$30+QB!J7*Scoring!$H$30+QB!K7*Scoring!$I$30+M7*Scoring!$J$30+QB!N7*Scoring!$K$30,0)+C7*Scoring!$B$10*0.07+(C7-D7)*Scoring!$B$5</x:f>
        <x:v>356.82</x:v>
      </x:c>
      <x:c r="R6" s="9"/>
      <x:c r="S6" s="9"/>
      <x:c r="T6" s="9"/>
      <x:c r="U6" s="9"/>
      <x:c r="V6" s="9"/>
      <x:c r="W6" s="9"/>
      <x:c r="X6" s="9"/>
      <x:c r="Y6" s="9"/>
      <x:c r="Z6" s="9"/>
    </x:row>
    <x:row r="7" ht="14.25" customHeight="1">
      <x:c r="B7" s="1" t="s">
        <x:v>488</x:v>
      </x:c>
      <x:c r="C7" s="1">
        <x:v>475.0</x:v>
      </x:c>
      <x:c r="D7" s="1">
        <x:v>304.0</x:v>
      </x:c>
      <x:c r="E7" s="1">
        <x:v>3887.5</x:v>
      </x:c>
      <x:c r="F7" s="1">
        <x:v>33.0</x:v>
      </x:c>
      <x:c r="G7" s="1">
        <x:v>8.0</x:v>
      </x:c>
      <x:c r="H7" s="1">
        <x:v>127.0</x:v>
      </x:c>
      <x:c r="I7" s="1">
        <x:v>671.2</x:v>
      </x:c>
      <x:c r="J7" s="1">
        <x:v>3.7</x:v>
      </x:c>
      <x:c r="K7" s="1">
        <x:v>4.0</x:v>
      </x:c>
      <x:c r="L7" s="1">
        <x:v>362.0</x:v>
      </x:c>
      <x:c r="M7" s="18">
        <x:f t="shared" si="1"/>
        <x:v>185.0818887</x:v>
      </x:c>
      <x:c r="N7" s="18">
        <x:f t="shared" si="2"/>
        <x:v>50.78324528</x:v>
      </x:c>
      <x:c r="O7" s="25"/>
      <x:c r="P7" s="25"/>
      <x:c r="Q7" s="25"/>
      <x:c r="R7" s="9"/>
      <x:c r="S7" s="9"/>
      <x:c r="T7" s="9"/>
      <x:c r="U7" s="9"/>
      <x:c r="V7" s="9"/>
      <x:c r="W7" s="9"/>
      <x:c r="X7" s="9"/>
      <x:c r="Y7" s="9"/>
      <x:c r="Z7" s="9"/>
    </x:row>
    <x:row r="8" ht="14.25" customHeight="1">
      <x:c r="B8" s="1" t="s">
        <x:v>489</x:v>
      </x:c>
      <x:c r="C8" s="1">
        <x:v>406.0</x:v>
      </x:c>
      <x:c r="D8" s="1">
        <x:v>269.0</x:v>
      </x:c>
      <x:c r="E8" s="1">
        <x:v>3365.0</x:v>
      </x:c>
      <x:c r="F8" s="1">
        <x:v>26.0</x:v>
      </x:c>
      <x:c r="G8" s="1">
        <x:v>11.0</x:v>
      </x:c>
      <x:c r="H8" s="1">
        <x:v>107.0</x:v>
      </x:c>
      <x:c r="I8" s="1">
        <x:v>604.0</x:v>
      </x:c>
      <x:c r="J8" s="1">
        <x:v>3.0</x:v>
      </x:c>
      <x:c r="K8" s="1">
        <x:v>4.3</x:v>
      </x:c>
      <x:c r="L8" s="1">
        <x:v>322.9</x:v>
      </x:c>
      <x:c r="M8" s="18">
        <x:f t="shared" si="1"/>
        <x:v>160.2059307</x:v>
      </x:c>
      <x:c r="N8" s="18">
        <x:f t="shared" si="2"/>
        <x:v>45.69886792</x:v>
      </x:c>
      <x:c r="O8" s="25"/>
      <x:c r="P8" s="25"/>
      <x:c r="Q8" s="25"/>
      <x:c r="R8" s="9"/>
      <x:c r="S8" s="9"/>
      <x:c r="T8" s="9"/>
      <x:c r="U8" s="9"/>
      <x:c r="V8" s="9"/>
      <x:c r="W8" s="9"/>
      <x:c r="X8" s="9"/>
      <x:c r="Y8" s="9"/>
      <x:c r="Z8" s="9"/>
    </x:row>
    <x:row r="9" ht="14.25" customHeight="1">
      <x:c r="A9" s="1" t="s">
        <x:v>492</x:v>
      </x:c>
      <x:c r="B9" s="1" t="s">
        <x:v>493</x:v>
      </x:c>
      <x:c r="C9" s="1">
        <x:v>499.5</x:v>
      </x:c>
      <x:c r="D9" s="1">
        <x:v>343.0</x:v>
      </x:c>
      <x:c r="E9" s="1">
        <x:v>4026.7</x:v>
      </x:c>
      <x:c r="F9" s="1">
        <x:v>28.0</x:v>
      </x:c>
      <x:c r="G9" s="1">
        <x:v>10.4</x:v>
      </x:c>
      <x:c r="H9" s="1">
        <x:v>99.3</x:v>
      </x:c>
      <x:c r="I9" s="1">
        <x:v>493.0</x:v>
      </x:c>
      <x:c r="J9" s="1">
        <x:v>3.7</x:v>
      </x:c>
      <x:c r="K9" s="1">
        <x:v>5.6</x:v>
      </x:c>
      <x:c r="L9" s="1">
        <x:v>322.9</x:v>
      </x:c>
      <x:c r="M9" s="18">
        <x:f t="shared" si="1"/>
        <x:v>191.7091296</x:v>
      </x:c>
      <x:c r="N9" s="18">
        <x:f t="shared" si="2"/>
        <x:v>37.30056604</x:v>
      </x:c>
      <x:c r="O9" s="25" t="n">
        <x:f>MAX(QB!D11*Scoring!$B$30+QB!E11/Scoring!$C$30+QB!F11*Scoring!$D$30+QB!G11*Scoring!$E$30+QB!H11*Scoring!$F$30+QB!I11/Scoring!$G$30+QB!J11*Scoring!$H$30+QB!K11*Scoring!$I$30+M11*Scoring!$J$30+QB!N11*Scoring!$K$30,0)+C11*Scoring!$B$10*0.07+(C11-D11)*Scoring!$B$5</x:f>
        <x:v>294.65999999999997</x:v>
      </x:c>
      <x:c r="P9" s="25" t="n">
        <x:f>MAX(QB!D9*Scoring!$B$30+QB!E9/Scoring!$C$30+QB!F9*Scoring!$D$30+QB!G9*Scoring!$E$30+QB!H9*Scoring!$F$30+QB!I9/Scoring!$G$30+QB!J9*Scoring!$H$30+QB!K9*Scoring!$I$30+M9*Scoring!$J$30+QB!N9*Scoring!$K$30,0)+C9*Scoring!$B$10*0.07+(C9-D9)*Scoring!$B$5</x:f>
        <x:v>318.16799999999995</x:v>
      </x:c>
      <x:c r="Q9" s="25" t="n">
        <x:f>MAX(QB!D10*Scoring!$B$30+QB!E10/Scoring!$C$30+QB!F10*Scoring!$D$30+QB!G10*Scoring!$E$30+QB!H10*Scoring!$F$30+QB!I10/Scoring!$G$30+QB!J10*Scoring!$H$30+QB!K10*Scoring!$I$30+M10*Scoring!$J$30+QB!N10*Scoring!$K$30,0)+C10*Scoring!$B$10*0.07+(C10-D10)*Scoring!$B$5</x:f>
        <x:v>336.29</x:v>
      </x:c>
      <x:c r="R9" s="9"/>
      <x:c r="S9" s="9"/>
      <x:c r="T9" s="9"/>
      <x:c r="U9" s="9"/>
      <x:c r="V9" s="9"/>
      <x:c r="W9" s="9"/>
      <x:c r="X9" s="9"/>
      <x:c r="Y9" s="9"/>
      <x:c r="Z9" s="9"/>
    </x:row>
    <x:row r="10" ht="14.25" customHeight="1">
      <x:c r="B10" s="1" t="s">
        <x:v>488</x:v>
      </x:c>
      <x:c r="C10" s="1">
        <x:v>519.6</x:v>
      </x:c>
      <x:c r="D10" s="1">
        <x:v>355.0</x:v>
      </x:c>
      <x:c r="E10" s="1">
        <x:v>4140.0</x:v>
      </x:c>
      <x:c r="F10" s="1">
        <x:v>29.0</x:v>
      </x:c>
      <x:c r="G10" s="1">
        <x:v>9.0</x:v>
      </x:c>
      <x:c r="H10" s="1">
        <x:v>101.0</x:v>
      </x:c>
      <x:c r="I10" s="1">
        <x:v>531.9</x:v>
      </x:c>
      <x:c r="J10" s="1">
        <x:v>4.1</x:v>
      </x:c>
      <x:c r="K10" s="1">
        <x:v>5.1</x:v>
      </x:c>
      <x:c r="L10" s="1">
        <x:v>349.0</x:v>
      </x:c>
      <x:c r="M10" s="18">
        <x:f t="shared" si="1"/>
        <x:v>197.1032847</x:v>
      </x:c>
      <x:c r="N10" s="18">
        <x:f t="shared" si="2"/>
        <x:v>40.24375472</x:v>
      </x:c>
      <x:c r="O10" s="25"/>
      <x:c r="P10" s="25"/>
      <x:c r="Q10" s="25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4.25" customHeight="1">
      <x:c r="B11" s="1" t="s">
        <x:v>489</x:v>
      </x:c>
      <x:c r="C11" s="1">
        <x:v>474.0</x:v>
      </x:c>
      <x:c r="D11" s="1">
        <x:v>326.0</x:v>
      </x:c>
      <x:c r="E11" s="1">
        <x:v>3844.0</x:v>
      </x:c>
      <x:c r="F11" s="1">
        <x:v>27.0</x:v>
      </x:c>
      <x:c r="G11" s="1">
        <x:v>11.2</x:v>
      </x:c>
      <x:c r="H11" s="1">
        <x:v>96.0</x:v>
      </x:c>
      <x:c r="I11" s="1">
        <x:v>433.0</x:v>
      </x:c>
      <x:c r="J11" s="1">
        <x:v>3.0</x:v>
      </x:c>
      <x:c r="K11" s="1">
        <x:v>6.0</x:v>
      </x:c>
      <x:c r="L11" s="1">
        <x:v>319.4</x:v>
      </x:c>
      <x:c r="M11" s="18">
        <x:f t="shared" si="1"/>
        <x:v>183.0108759</x:v>
      </x:c>
      <x:c r="N11" s="18">
        <x:f t="shared" si="2"/>
        <x:v>32.7609434</x:v>
      </x:c>
      <x:c r="O11" s="25"/>
      <x:c r="P11" s="25"/>
      <x:c r="Q11" s="25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4.25" customHeight="1">
      <x:c r="A12" s="1" t="s">
        <x:v>494</x:v>
      </x:c>
      <x:c r="B12" s="1" t="s">
        <x:v>495</x:v>
      </x:c>
      <x:c r="C12" s="1">
        <x:v>492.8</x:v>
      </x:c>
      <x:c r="D12" s="1">
        <x:v>321.9</x:v>
      </x:c>
      <x:c r="E12" s="1">
        <x:v>3629.6</x:v>
      </x:c>
      <x:c r="F12" s="1">
        <x:v>23.8</x:v>
      </x:c>
      <x:c r="G12" s="1">
        <x:v>11.0</x:v>
      </x:c>
      <x:c r="H12" s="1">
        <x:v>130.0</x:v>
      </x:c>
      <x:c r="I12" s="1">
        <x:v>686.0</x:v>
      </x:c>
      <x:c r="J12" s="1">
        <x:v>4.7</x:v>
      </x:c>
      <x:c r="K12" s="1">
        <x:v>2.8</x:v>
      </x:c>
      <x:c r="L12" s="1">
        <x:v>322.5</x:v>
      </x:c>
      <x:c r="M12" s="18">
        <x:f t="shared" si="1"/>
        <x:v>172.8034015</x:v>
      </x:c>
      <x:c r="N12" s="18">
        <x:f t="shared" si="2"/>
        <x:v>51.90301887</x:v>
      </x:c>
      <x:c r="O12" s="25" t="n">
        <x:f>MAX(QB!D14*Scoring!$B$30+QB!E14/Scoring!$C$30+QB!F14*Scoring!$D$30+QB!G14*Scoring!$E$30+QB!H14*Scoring!$F$30+QB!I14/Scoring!$G$30+QB!J14*Scoring!$H$30+QB!K14*Scoring!$I$30+M14*Scoring!$J$30+QB!N14*Scoring!$K$30,0)+C14*Scoring!$B$10*0.07+(C14-D14)*Scoring!$B$5</x:f>
        <x:v>286.82</x:v>
      </x:c>
      <x:c r="P12" s="25" t="n">
        <x:f>MAX(QB!D12*Scoring!$B$30+QB!E12/Scoring!$C$30+QB!F12*Scoring!$D$30+QB!G12*Scoring!$E$30+QB!H12*Scoring!$F$30+QB!I12/Scoring!$G$30+QB!J12*Scoring!$H$30+QB!K12*Scoring!$I$30+M12*Scoring!$J$30+QB!N12*Scoring!$K$30,0)+C12*Scoring!$B$10*0.07+(C12-D12)*Scoring!$B$5</x:f>
        <x:v>312.384</x:v>
      </x:c>
      <x:c r="Q12" s="25" t="n">
        <x:f>MAX(QB!D13*Scoring!$B$30+QB!E13/Scoring!$C$30+QB!F13*Scoring!$D$30+QB!G13*Scoring!$E$30+QB!H13*Scoring!$F$30+QB!I13/Scoring!$G$30+QB!J13*Scoring!$H$30+QB!K13*Scoring!$I$30+M13*Scoring!$J$30+QB!N13*Scoring!$K$30,0)+C13*Scoring!$B$10*0.07+(C13-D13)*Scoring!$B$5</x:f>
        <x:v>339.428</x:v>
      </x:c>
      <x:c r="R12" s="9"/>
      <x:c r="S12" s="9"/>
      <x:c r="T12" s="9"/>
      <x:c r="U12" s="9"/>
      <x:c r="V12" s="9"/>
      <x:c r="W12" s="9"/>
      <x:c r="X12" s="9"/>
      <x:c r="Y12" s="9"/>
      <x:c r="Z12" s="9"/>
    </x:row>
    <x:row r="13" ht="14.25" customHeight="1">
      <x:c r="B13" s="1" t="s">
        <x:v>488</x:v>
      </x:c>
      <x:c r="C13" s="1">
        <x:v>519.4</x:v>
      </x:c>
      <x:c r="D13" s="1">
        <x:v>346.8</x:v>
      </x:c>
      <x:c r="E13" s="1">
        <x:v>3800.7</x:v>
      </x:c>
      <x:c r="F13" s="1">
        <x:v>26.0</x:v>
      </x:c>
      <x:c r="G13" s="1">
        <x:v>9.9</x:v>
      </x:c>
      <x:c r="H13" s="1">
        <x:v>140.0</x:v>
      </x:c>
      <x:c r="I13" s="1">
        <x:v>746.0</x:v>
      </x:c>
      <x:c r="J13" s="1">
        <x:v>5.1</x:v>
      </x:c>
      <x:c r="K13" s="1">
        <x:v>2.0</x:v>
      </x:c>
      <x:c r="L13" s="1">
        <x:v>354.0</x:v>
      </x:c>
      <x:c r="M13" s="18">
        <x:f t="shared" si="1"/>
        <x:v>180.949385</x:v>
      </x:c>
      <x:c r="N13" s="18">
        <x:f t="shared" si="2"/>
        <x:v>56.44264151</x:v>
      </x:c>
      <x:c r="O13" s="25"/>
      <x:c r="P13" s="25"/>
      <x:c r="Q13" s="25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4.25" customHeight="1">
      <x:c r="B14" s="1" t="s">
        <x:v>489</x:v>
      </x:c>
      <x:c r="C14" s="1">
        <x:v>463.0</x:v>
      </x:c>
      <x:c r="D14" s="1">
        <x:v>292.0</x:v>
      </x:c>
      <x:c r="E14" s="1">
        <x:v>3418.0</x:v>
      </x:c>
      <x:c r="F14" s="1">
        <x:v>22.4</x:v>
      </x:c>
      <x:c r="G14" s="1">
        <x:v>12.0</x:v>
      </x:c>
      <x:c r="H14" s="1">
        <x:v>119.0</x:v>
      </x:c>
      <x:c r="I14" s="1">
        <x:v>642.0</x:v>
      </x:c>
      <x:c r="J14" s="1">
        <x:v>4.0</x:v>
      </x:c>
      <x:c r="K14" s="1">
        <x:v>3.7</x:v>
      </x:c>
      <x:c r="L14" s="1">
        <x:v>318.4</x:v>
      </x:c>
      <x:c r="M14" s="18">
        <x:f t="shared" si="1"/>
        <x:v>162.7292336</x:v>
      </x:c>
      <x:c r="N14" s="18">
        <x:f t="shared" si="2"/>
        <x:v>48.57396226</x:v>
      </x:c>
      <x:c r="O14" s="25"/>
      <x:c r="P14" s="25"/>
      <x:c r="Q14" s="25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4.25" customHeight="1">
      <x:c r="A15" s="1" t="s">
        <x:v>496</x:v>
      </x:c>
      <x:c r="B15" s="1" t="s">
        <x:v>497</x:v>
      </x:c>
      <x:c r="C15" s="1">
        <x:v>488.0</x:v>
      </x:c>
      <x:c r="D15" s="1">
        <x:v>317.2</x:v>
      </x:c>
      <x:c r="E15" s="1">
        <x:v>3570.6</x:v>
      </x:c>
      <x:c r="F15" s="1">
        <x:v>24.2</x:v>
      </x:c>
      <x:c r="G15" s="1">
        <x:v>7.4</x:v>
      </x:c>
      <x:c r="H15" s="1">
        <x:v>111.8</x:v>
      </x:c>
      <x:c r="I15" s="1">
        <x:v>461.3</x:v>
      </x:c>
      <x:c r="J15" s="1">
        <x:v>8.4</x:v>
      </x:c>
      <x:c r="K15" s="1">
        <x:v>4.0</x:v>
      </x:c>
      <x:c r="L15" s="1">
        <x:v>320.5</x:v>
      </x:c>
      <x:c r="M15" s="18">
        <x:f t="shared" si="1"/>
        <x:v>169.9944416</x:v>
      </x:c>
      <x:c r="N15" s="18">
        <x:f t="shared" si="2"/>
        <x:v>34.90213208</x:v>
      </x:c>
      <x:c r="O15" s="25" t="n">
        <x:f>MAX(QB!D17*Scoring!$B$30+QB!E17/Scoring!$C$30+QB!F17*Scoring!$D$30+QB!G17*Scoring!$E$30+QB!H17*Scoring!$F$30+QB!I17/Scoring!$G$30+QB!J17*Scoring!$H$30+QB!K17*Scoring!$I$30+M17*Scoring!$J$30+QB!N17*Scoring!$K$30,0)+C17*Scoring!$B$10*0.07+(C17-D17)*Scoring!$B$5</x:f>
        <x:v>296.36</x:v>
      </x:c>
      <x:c r="P15" s="25" t="n">
        <x:f>MAX(QB!D15*Scoring!$B$30+QB!E15/Scoring!$C$30+QB!F15*Scoring!$D$30+QB!G15*Scoring!$E$30+QB!H15*Scoring!$F$30+QB!I15/Scoring!$G$30+QB!J15*Scoring!$H$30+QB!K15*Scoring!$I$30+M15*Scoring!$J$30+QB!N15*Scoring!$K$30,0)+C15*Scoring!$B$10*0.07+(C15-D15)*Scoring!$B$5</x:f>
        <x:v>317.3539999999999</x:v>
      </x:c>
      <x:c r="Q15" s="25" t="n">
        <x:f>MAX(QB!D16*Scoring!$B$30+QB!E16/Scoring!$C$30+QB!F16*Scoring!$D$30+QB!G16*Scoring!$E$30+QB!H16*Scoring!$F$30+QB!I16/Scoring!$G$30+QB!J16*Scoring!$H$30+QB!K16*Scoring!$I$30+M16*Scoring!$J$30+QB!N16*Scoring!$K$30,0)+C16*Scoring!$B$10*0.07+(C16-D16)*Scoring!$B$5</x:f>
        <x:v>343.348</x:v>
      </x:c>
      <x:c r="R15" s="9"/>
      <x:c r="S15" s="9"/>
      <x:c r="T15" s="9"/>
      <x:c r="U15" s="9"/>
      <x:c r="V15" s="9"/>
      <x:c r="W15" s="9"/>
      <x:c r="X15" s="9"/>
      <x:c r="Y15" s="9"/>
      <x:c r="Z15" s="9"/>
    </x:row>
    <x:row r="16" ht="14.25" customHeight="1">
      <x:c r="B16" s="1" t="s">
        <x:v>488</x:v>
      </x:c>
      <x:c r="C16" s="1">
        <x:v>499.1</x:v>
      </x:c>
      <x:c r="D16" s="1">
        <x:v>327.6</x:v>
      </x:c>
      <x:c r="E16" s="1">
        <x:v>3778.7</x:v>
      </x:c>
      <x:c r="F16" s="1">
        <x:v>26.0</x:v>
      </x:c>
      <x:c r="G16" s="1">
        <x:v>6.0</x:v>
      </x:c>
      <x:c r="H16" s="1">
        <x:v>118.0</x:v>
      </x:c>
      <x:c r="I16" s="1">
        <x:v>490.0</x:v>
      </x:c>
      <x:c r="J16" s="1">
        <x:v>9.2</x:v>
      </x:c>
      <x:c r="K16" s="1">
        <x:v>4.0</x:v>
      </x:c>
      <x:c r="L16" s="1">
        <x:v>348.0</x:v>
      </x:c>
      <x:c r="M16" s="18">
        <x:f t="shared" si="1"/>
        <x:v>179.9019763</x:v>
      </x:c>
      <x:c r="N16" s="18">
        <x:f t="shared" si="2"/>
        <x:v>37.07358491</x:v>
      </x:c>
      <x:c r="O16" s="25"/>
      <x:c r="P16" s="25"/>
      <x:c r="Q16" s="25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4.25" customHeight="1">
      <x:c r="B17" s="1" t="s">
        <x:v>489</x:v>
      </x:c>
      <x:c r="C17" s="1">
        <x:v>471.0</x:v>
      </x:c>
      <x:c r="D17" s="1">
        <x:v>303.0</x:v>
      </x:c>
      <x:c r="E17" s="1">
        <x:v>3377.0</x:v>
      </x:c>
      <x:c r="F17" s="1">
        <x:v>23.0</x:v>
      </x:c>
      <x:c r="G17" s="1">
        <x:v>9.2</x:v>
      </x:c>
      <x:c r="H17" s="1">
        <x:v>106.3</x:v>
      </x:c>
      <x:c r="I17" s="1">
        <x:v>437.8</x:v>
      </x:c>
      <x:c r="J17" s="1">
        <x:v>8.0</x:v>
      </x:c>
      <x:c r="K17" s="1">
        <x:v>4.1</x:v>
      </x:c>
      <x:c r="L17" s="1">
        <x:v>320.3</x:v>
      </x:c>
      <x:c r="M17" s="18">
        <x:f t="shared" si="1"/>
        <x:v>160.7772445</x:v>
      </x:c>
      <x:c r="N17" s="18">
        <x:f t="shared" si="2"/>
        <x:v>33.12411321</x:v>
      </x:c>
      <x:c r="O17" s="25"/>
      <x:c r="P17" s="25"/>
      <x:c r="Q17" s="25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4.25" customHeight="1">
      <x:c r="A18" s="1" t="s">
        <x:v>498</x:v>
      </x:c>
      <x:c r="B18" s="1" t="s">
        <x:v>499</x:v>
      </x:c>
      <x:c r="C18" s="1">
        <x:v>591.3</x:v>
      </x:c>
      <x:c r="D18" s="1">
        <x:v>395.4</x:v>
      </x:c>
      <x:c r="E18" s="1">
        <x:v>4174.6</x:v>
      </x:c>
      <x:c r="F18" s="1">
        <x:v>33.3</x:v>
      </x:c>
      <x:c r="G18" s="1">
        <x:v>11.6</x:v>
      </x:c>
      <x:c r="H18" s="1">
        <x:v>48.2</x:v>
      </x:c>
      <x:c r="I18" s="1">
        <x:v>178.6</x:v>
      </x:c>
      <x:c r="J18" s="1">
        <x:v>1.4</x:v>
      </x:c>
      <x:c r="K18" s="1">
        <x:v>1.9</x:v>
      </x:c>
      <x:c r="L18" s="1">
        <x:v>310.9</x:v>
      </x:c>
      <x:c r="M18" s="18">
        <x:f t="shared" si="1"/>
        <x:v>198.750573</x:v>
      </x:c>
      <x:c r="N18" s="18">
        <x:f t="shared" si="2"/>
        <x:v>13.5129434</x:v>
      </x:c>
      <x:c r="O18" s="25" t="n">
        <x:f>MAX(QB!D20*Scoring!$B$30+QB!E20/Scoring!$C$30+QB!F20*Scoring!$D$30+QB!G20*Scoring!$E$30+QB!H20*Scoring!$F$30+QB!I20/Scoring!$G$30+QB!J20*Scoring!$H$30+QB!K20*Scoring!$I$30+M20*Scoring!$J$30+QB!N20*Scoring!$K$30,0)+C20*Scoring!$B$10*0.07+(C20-D20)*Scoring!$B$5</x:f>
        <x:v>288.72</x:v>
      </x:c>
      <x:c r="P18" s="25" t="n">
        <x:f>MAX(QB!D18*Scoring!$B$30+QB!E18/Scoring!$C$30+QB!F18*Scoring!$D$30+QB!G18*Scoring!$E$30+QB!H18*Scoring!$F$30+QB!I18/Scoring!$G$30+QB!J18*Scoring!$H$30+QB!K18*Scoring!$I$30+M18*Scoring!$J$30+QB!N18*Scoring!$K$30,0)+C18*Scoring!$B$10*0.07+(C18-D18)*Scoring!$B$5</x:f>
        <x:v>301.344</x:v>
      </x:c>
      <x:c r="Q18" s="25" t="n">
        <x:f>MAX(QB!D19*Scoring!$B$30+QB!E19/Scoring!$C$30+QB!F19*Scoring!$D$30+QB!G19*Scoring!$E$30+QB!H19*Scoring!$F$30+QB!I19/Scoring!$G$30+QB!J19*Scoring!$H$30+QB!K19*Scoring!$I$30+M19*Scoring!$J$30+QB!N19*Scoring!$K$30,0)+C19*Scoring!$B$10*0.07+(C19-D19)*Scoring!$B$5</x:f>
        <x:v>321.04</x:v>
      </x:c>
      <x:c r="R18" s="9"/>
      <x:c r="S18" s="9"/>
      <x:c r="T18" s="9"/>
      <x:c r="U18" s="9"/>
      <x:c r="V18" s="9"/>
      <x:c r="W18" s="9"/>
      <x:c r="X18" s="9"/>
      <x:c r="Y18" s="9"/>
      <x:c r="Z18" s="9"/>
    </x:row>
    <x:row r="19" ht="14.25" customHeight="1">
      <x:c r="B19" s="1" t="s">
        <x:v>488</x:v>
      </x:c>
      <x:c r="C19" s="1">
        <x:v>621.0</x:v>
      </x:c>
      <x:c r="D19" s="1">
        <x:v>409.0</x:v>
      </x:c>
      <x:c r="E19" s="1">
        <x:v>4364.0</x:v>
      </x:c>
      <x:c r="F19" s="1">
        <x:v>34.0</x:v>
      </x:c>
      <x:c r="G19" s="1">
        <x:v>10.0</x:v>
      </x:c>
      <x:c r="H19" s="1">
        <x:v>61.0</x:v>
      </x:c>
      <x:c r="I19" s="1">
        <x:v>188.8</x:v>
      </x:c>
      <x:c r="J19" s="1">
        <x:v>2.1</x:v>
      </x:c>
      <x:c r="K19" s="1">
        <x:v>1.0</x:v>
      </x:c>
      <x:c r="L19" s="1">
        <x:v>350.0</x:v>
      </x:c>
      <x:c r="M19" s="18">
        <x:f t="shared" si="1"/>
        <x:v>207.7678102</x:v>
      </x:c>
      <x:c r="N19" s="18">
        <x:f t="shared" si="2"/>
        <x:v>14.28467925</x:v>
      </x:c>
      <x:c r="O19" s="25"/>
      <x:c r="P19" s="25"/>
      <x:c r="Q19" s="25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4.25" customHeight="1">
      <x:c r="B20" s="1" t="s">
        <x:v>489</x:v>
      </x:c>
      <x:c r="C20" s="1">
        <x:v>571.9</x:v>
      </x:c>
      <x:c r="D20" s="1">
        <x:v>387.2</x:v>
      </x:c>
      <x:c r="E20" s="1">
        <x:v>4128.0</x:v>
      </x:c>
      <x:c r="F20" s="1">
        <x:v>33.0</x:v>
      </x:c>
      <x:c r="G20" s="1">
        <x:v>14.0</x:v>
      </x:c>
      <x:c r="H20" s="1">
        <x:v>32.0</x:v>
      </x:c>
      <x:c r="I20" s="1">
        <x:v>165.0</x:v>
      </x:c>
      <x:c r="J20" s="1">
        <x:v>1.0</x:v>
      </x:c>
      <x:c r="K20" s="1">
        <x:v>2.9</x:v>
      </x:c>
      <x:c r="L20" s="1">
        <x:v>304.7</x:v>
      </x:c>
      <x:c r="M20" s="18">
        <x:f t="shared" si="1"/>
        <x:v>196.5319708</x:v>
      </x:c>
      <x:c r="N20" s="18">
        <x:f t="shared" si="2"/>
        <x:v>12.48396226</x:v>
      </x:c>
      <x:c r="O20" s="25"/>
      <x:c r="P20" s="25"/>
      <x:c r="Q20" s="25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4.25" customHeight="1">
      <x:c r="A21" s="1" t="s">
        <x:v>500</x:v>
      </x:c>
      <x:c r="B21" s="1" t="s">
        <x:v>501</x:v>
      </x:c>
      <x:c r="C21" s="1">
        <x:v>510.0</x:v>
      </x:c>
      <x:c r="D21" s="1">
        <x:v>324.7</x:v>
      </x:c>
      <x:c r="E21" s="1">
        <x:v>3591.5</x:v>
      </x:c>
      <x:c r="F21" s="1">
        <x:v>22.3</x:v>
      </x:c>
      <x:c r="G21" s="1">
        <x:v>11.1</x:v>
      </x:c>
      <x:c r="H21" s="1">
        <x:v>100.9</x:v>
      </x:c>
      <x:c r="I21" s="1">
        <x:v>549.1</x:v>
      </x:c>
      <x:c r="J21" s="1">
        <x:v>6.5</x:v>
      </x:c>
      <x:c r="K21" s="1">
        <x:v>2.9</x:v>
      </x:c>
      <x:c r="L21" s="1">
        <x:v>309.9</x:v>
      </x:c>
      <x:c r="M21" s="18">
        <x:f t="shared" si="1"/>
        <x:v>170.9894799</x:v>
      </x:c>
      <x:c r="N21" s="18">
        <x:f t="shared" si="2"/>
        <x:v>41.54511321</x:v>
      </x:c>
      <x:c r="O21" s="25" t="n">
        <x:f>MAX(QB!D23*Scoring!$B$30+QB!E23/Scoring!$C$30+QB!F23*Scoring!$D$30+QB!G23*Scoring!$E$30+QB!H23*Scoring!$F$30+QB!I23/Scoring!$G$30+QB!J23*Scoring!$H$30+QB!K23*Scoring!$I$30+M23*Scoring!$J$30+QB!N23*Scoring!$K$30,0)+C23*Scoring!$B$10*0.07+(C23-D23)*Scoring!$B$5</x:f>
        <x:v>278.16</x:v>
      </x:c>
      <x:c r="P21" s="25" t="n">
        <x:f>MAX(QB!D21*Scoring!$B$30+QB!E21/Scoring!$C$30+QB!F21*Scoring!$D$30+QB!G21*Scoring!$E$30+QB!H21*Scoring!$F$30+QB!I21/Scoring!$G$30+QB!J21*Scoring!$H$30+QB!K21*Scoring!$I$30+M21*Scoring!$J$30+QB!N21*Scoring!$K$30,0)+C21*Scoring!$B$10*0.07+(C21-D21)*Scoring!$B$5</x:f>
        <x:v>301.6700000000001</x:v>
      </x:c>
      <x:c r="Q21" s="25" t="n">
        <x:f>MAX(QB!D22*Scoring!$B$30+QB!E22/Scoring!$C$30+QB!F22*Scoring!$D$30+QB!G22*Scoring!$E$30+QB!H22*Scoring!$F$30+QB!I22/Scoring!$G$30+QB!J22*Scoring!$H$30+QB!K22*Scoring!$I$30+M22*Scoring!$J$30+QB!N22*Scoring!$K$30,0)+C22*Scoring!$B$10*0.07+(C22-D22)*Scoring!$B$5</x:f>
        <x:v>329.816</x:v>
      </x:c>
      <x:c r="R21" s="9"/>
      <x:c r="S21" s="9"/>
      <x:c r="T21" s="9"/>
      <x:c r="U21" s="9"/>
      <x:c r="V21" s="9"/>
      <x:c r="W21" s="9"/>
      <x:c r="X21" s="9"/>
      <x:c r="Y21" s="9"/>
      <x:c r="Z21" s="9"/>
    </x:row>
    <x:row r="22" ht="14.25" customHeight="1">
      <x:c r="B22" s="1" t="s">
        <x:v>488</x:v>
      </x:c>
      <x:c r="C22" s="1">
        <x:v>517.0</x:v>
      </x:c>
      <x:c r="D22" s="1">
        <x:v>331.0</x:v>
      </x:c>
      <x:c r="E22" s="1">
        <x:v>3685.4</x:v>
      </x:c>
      <x:c r="F22" s="1">
        <x:v>26.0</x:v>
      </x:c>
      <x:c r="G22" s="1">
        <x:v>9.0</x:v>
      </x:c>
      <x:c r="H22" s="1">
        <x:v>103.0</x:v>
      </x:c>
      <x:c r="I22" s="1">
        <x:v>564.0</x:v>
      </x:c>
      <x:c r="J22" s="1">
        <x:v>7.0</x:v>
      </x:c>
      <x:c r="K22" s="1">
        <x:v>2.0</x:v>
      </x:c>
      <x:c r="L22" s="1">
        <x:v>346.0</x:v>
      </x:c>
      <x:c r="M22" s="18">
        <x:f t="shared" si="1"/>
        <x:v>175.4600109</x:v>
      </x:c>
      <x:c r="N22" s="18">
        <x:f t="shared" si="2"/>
        <x:v>42.67245283</x:v>
      </x:c>
      <x:c r="O22" s="25"/>
      <x:c r="P22" s="25"/>
      <x:c r="Q22" s="25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4.25" customHeight="1">
      <x:c r="B23" s="1" t="s">
        <x:v>489</x:v>
      </x:c>
      <x:c r="C23" s="1">
        <x:v>504.0</x:v>
      </x:c>
      <x:c r="D23" s="1">
        <x:v>316.0</x:v>
      </x:c>
      <x:c r="E23" s="1">
        <x:v>3519.0</x:v>
      </x:c>
      <x:c r="F23" s="1">
        <x:v>20.0</x:v>
      </x:c>
      <x:c r="G23" s="1">
        <x:v>14.0</x:v>
      </x:c>
      <x:c r="H23" s="1">
        <x:v>99.0</x:v>
      </x:c>
      <x:c r="I23" s="1">
        <x:v>531.0</x:v>
      </x:c>
      <x:c r="J23" s="1">
        <x:v>6.0</x:v>
      </x:c>
      <x:c r="K23" s="1">
        <x:v>3.7</x:v>
      </x:c>
      <x:c r="L23" s="1">
        <x:v>300.3</x:v>
      </x:c>
      <x:c r="M23" s="18">
        <x:f t="shared" si="1"/>
        <x:v>167.537792</x:v>
      </x:c>
      <x:c r="N23" s="18">
        <x:f t="shared" si="2"/>
        <x:v>40.17566038</x:v>
      </x:c>
      <x:c r="O23" s="25"/>
      <x:c r="P23" s="25"/>
      <x:c r="Q23" s="25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4.25" customHeight="1">
      <x:c r="A24" s="1" t="s">
        <x:v>502</x:v>
      </x:c>
      <x:c r="B24" s="1" t="s">
        <x:v>503</x:v>
      </x:c>
      <x:c r="C24" s="1">
        <x:v>547.9</x:v>
      </x:c>
      <x:c r="D24" s="1">
        <x:v>369.6</x:v>
      </x:c>
      <x:c r="E24" s="1">
        <x:v>4156.5</x:v>
      </x:c>
      <x:c r="F24" s="1">
        <x:v>27.7</x:v>
      </x:c>
      <x:c r="G24" s="1">
        <x:v>14.3</x:v>
      </x:c>
      <x:c r="H24" s="1">
        <x:v>70.5</x:v>
      </x:c>
      <x:c r="I24" s="1">
        <x:v>304.4</x:v>
      </x:c>
      <x:c r="J24" s="1">
        <x:v>3.8</x:v>
      </x:c>
      <x:c r="K24" s="1">
        <x:v>4.3</x:v>
      </x:c>
      <x:c r="L24" s="1">
        <x:v>307.5</x:v>
      </x:c>
      <x:c r="M24" s="18">
        <x:f t="shared" si="1"/>
        <x:v>197.8888412</x:v>
      </x:c>
      <x:c r="N24" s="18">
        <x:f t="shared" si="2"/>
        <x:v>23.03101887</x:v>
      </x:c>
      <x:c r="O24" s="25" t="n">
        <x:f>MAX(QB!D26*Scoring!$B$30+QB!E26/Scoring!$C$30+QB!F26*Scoring!$D$30+QB!G26*Scoring!$E$30+QB!H26*Scoring!$F$30+QB!I26/Scoring!$G$30+QB!J26*Scoring!$H$30+QB!K26*Scoring!$I$30+M26*Scoring!$J$30+QB!N26*Scoring!$K$30,0)+C26*Scoring!$B$10*0.07+(C26-D26)*Scoring!$B$5</x:f>
        <x:v>277.93</x:v>
      </x:c>
      <x:c r="P24" s="25" t="n">
        <x:f>MAX(QB!D24*Scoring!$B$30+QB!E24/Scoring!$C$30+QB!F24*Scoring!$D$30+QB!G24*Scoring!$E$30+QB!H24*Scoring!$F$30+QB!I24/Scoring!$G$30+QB!J24*Scoring!$H$30+QB!K24*Scoring!$I$30+M24*Scoring!$J$30+QB!N24*Scoring!$K$30,0)+C24*Scoring!$B$10*0.07+(C24-D24)*Scoring!$B$5</x:f>
        <x:v>297.4</x:v>
      </x:c>
      <x:c r="Q24" s="25" t="n">
        <x:f>MAX(QB!D25*Scoring!$B$30+QB!E25/Scoring!$C$30+QB!F25*Scoring!$D$30+QB!G25*Scoring!$E$30+QB!H25*Scoring!$F$30+QB!I25/Scoring!$G$30+QB!J25*Scoring!$H$30+QB!K25*Scoring!$I$30+M25*Scoring!$J$30+QB!N25*Scoring!$K$30,0)+C25*Scoring!$B$10*0.07+(C25-D25)*Scoring!$B$5</x:f>
        <x:v>322.52400000000006</x:v>
      </x:c>
      <x:c r="R24" s="9"/>
      <x:c r="S24" s="9"/>
      <x:c r="T24" s="9"/>
      <x:c r="U24" s="9"/>
      <x:c r="V24" s="9"/>
      <x:c r="W24" s="9"/>
      <x:c r="X24" s="9"/>
      <x:c r="Y24" s="9"/>
      <x:c r="Z24" s="9"/>
    </x:row>
    <x:row r="25" ht="14.25" customHeight="1">
      <x:c r="B25" s="1" t="s">
        <x:v>488</x:v>
      </x:c>
      <x:c r="C25" s="1">
        <x:v>559.0</x:v>
      </x:c>
      <x:c r="D25" s="1">
        <x:v>380.0</x:v>
      </x:c>
      <x:c r="E25" s="1">
        <x:v>4180.6</x:v>
      </x:c>
      <x:c r="F25" s="1">
        <x:v>30.0</x:v>
      </x:c>
      <x:c r="G25" s="1">
        <x:v>13.0</x:v>
      </x:c>
      <x:c r="H25" s="1">
        <x:v>81.0</x:v>
      </x:c>
      <x:c r="I25" s="1">
        <x:v>350.0</x:v>
      </x:c>
      <x:c r="J25" s="1">
        <x:v>5.0</x:v>
      </x:c>
      <x:c r="K25" s="1">
        <x:v>3.7</x:v>
      </x:c>
      <x:c r="L25" s="1">
        <x:v>350.0</x:v>
      </x:c>
      <x:c r="M25" s="18">
        <x:f t="shared" si="1"/>
        <x:v>199.0362299</x:v>
      </x:c>
      <x:c r="N25" s="18">
        <x:f t="shared" si="2"/>
        <x:v>26.48113208</x:v>
      </x:c>
      <x:c r="O25" s="25"/>
      <x:c r="P25" s="25"/>
      <x:c r="Q25" s="25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4.25" customHeight="1">
      <x:c r="B26" s="1" t="s">
        <x:v>489</x:v>
      </x:c>
      <x:c r="C26" s="1">
        <x:v>529.6</x:v>
      </x:c>
      <x:c r="D26" s="1">
        <x:v>351.9</x:v>
      </x:c>
      <x:c r="E26" s="1">
        <x:v>4130.0</x:v>
      </x:c>
      <x:c r="F26" s="1">
        <x:v>26.0</x:v>
      </x:c>
      <x:c r="G26" s="1">
        <x:v>16.0</x:v>
      </x:c>
      <x:c r="H26" s="1">
        <x:v>65.0</x:v>
      </x:c>
      <x:c r="I26" s="1">
        <x:v>277.3</x:v>
      </x:c>
      <x:c r="J26" s="1">
        <x:v>3.0</x:v>
      </x:c>
      <x:c r="K26" s="1">
        <x:v>5.0</x:v>
      </x:c>
      <x:c r="L26" s="1">
        <x:v>292.5</x:v>
      </x:c>
      <x:c r="M26" s="18">
        <x:f t="shared" si="1"/>
        <x:v>196.6271898</x:v>
      </x:c>
      <x:c r="N26" s="18">
        <x:f t="shared" si="2"/>
        <x:v>20.98062264</x:v>
      </x:c>
      <x:c r="O26" s="25"/>
      <x:c r="P26" s="25"/>
      <x:c r="Q26" s="25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4.25" customHeight="1">
      <x:c r="A27" s="1" t="s">
        <x:v>504</x:v>
      </x:c>
      <x:c r="B27" s="1" t="s">
        <x:v>505</x:v>
      </x:c>
      <x:c r="C27" s="1">
        <x:v>546.0</x:v>
      </x:c>
      <x:c r="D27" s="1">
        <x:v>336.1</x:v>
      </x:c>
      <x:c r="E27" s="1">
        <x:v>3908.5</x:v>
      </x:c>
      <x:c r="F27" s="1">
        <x:v>27.0</x:v>
      </x:c>
      <x:c r="G27" s="1">
        <x:v>13.0</x:v>
      </x:c>
      <x:c r="H27" s="1">
        <x:v>72.5</x:v>
      </x:c>
      <x:c r="I27" s="1">
        <x:v>321.9</x:v>
      </x:c>
      <x:c r="J27" s="1">
        <x:v>4.9</x:v>
      </x:c>
      <x:c r="K27" s="1">
        <x:v>3.4</x:v>
      </x:c>
      <x:c r="L27" s="1">
        <x:v>306.2</x:v>
      </x:c>
      <x:c r="M27" s="18">
        <x:f t="shared" si="1"/>
        <x:v>186.081688</x:v>
      </x:c>
      <x:c r="N27" s="18">
        <x:f t="shared" si="2"/>
        <x:v>24.35507547</x:v>
      </x:c>
      <x:c r="O27" s="25" t="n">
        <x:f>MAX(QB!D29*Scoring!$B$30+QB!E29/Scoring!$C$30+QB!F29*Scoring!$D$30+QB!G29*Scoring!$E$30+QB!H29*Scoring!$F$30+QB!I29/Scoring!$G$30+QB!J29*Scoring!$H$30+QB!K29*Scoring!$I$30+M29*Scoring!$J$30+QB!N29*Scoring!$K$30,0)+C29*Scoring!$B$10*0.07+(C29-D29)*Scoring!$B$5</x:f>
        <x:v>273.7</x:v>
      </x:c>
      <x:c r="P27" s="25" t="n">
        <x:f>MAX(QB!D27*Scoring!$B$30+QB!E27/Scoring!$C$30+QB!F27*Scoring!$D$30+QB!G27*Scoring!$E$30+QB!H27*Scoring!$F$30+QB!I27/Scoring!$G$30+QB!J27*Scoring!$H$30+QB!K27*Scoring!$I$30+M27*Scoring!$J$30+QB!N27*Scoring!$K$30,0)+C27*Scoring!$B$10*0.07+(C27-D27)*Scoring!$B$5</x:f>
        <x:v>296.53000000000003</x:v>
      </x:c>
      <x:c r="Q27" s="25" t="n">
        <x:f>MAX(QB!D28*Scoring!$B$30+QB!E28/Scoring!$C$30+QB!F28*Scoring!$D$30+QB!G28*Scoring!$E$30+QB!H28*Scoring!$F$30+QB!I28/Scoring!$G$30+QB!J28*Scoring!$H$30+QB!K28*Scoring!$I$30+M28*Scoring!$J$30+QB!N28*Scoring!$K$30,0)+C28*Scoring!$B$10*0.07+(C28-D28)*Scoring!$B$5</x:f>
        <x:v>326.4</x:v>
      </x:c>
      <x:c r="R27" s="9"/>
      <x:c r="S27" s="9"/>
      <x:c r="T27" s="9"/>
      <x:c r="U27" s="9"/>
      <x:c r="V27" s="9"/>
      <x:c r="W27" s="9"/>
      <x:c r="X27" s="9"/>
      <x:c r="Y27" s="9"/>
      <x:c r="Z27" s="9"/>
    </x:row>
    <x:row r="28" ht="14.25" customHeight="1">
      <x:c r="B28" s="1" t="s">
        <x:v>488</x:v>
      </x:c>
      <x:c r="C28" s="1">
        <x:v>560.0</x:v>
      </x:c>
      <x:c r="D28" s="1">
        <x:v>347.3</x:v>
      </x:c>
      <x:c r="E28" s="1">
        <x:v>3948.0</x:v>
      </x:c>
      <x:c r="F28" s="1">
        <x:v>31.0</x:v>
      </x:c>
      <x:c r="G28" s="1">
        <x:v>11.0</x:v>
      </x:c>
      <x:c r="H28" s="1">
        <x:v>77.0</x:v>
      </x:c>
      <x:c r="I28" s="1">
        <x:v>334.8</x:v>
      </x:c>
      <x:c r="J28" s="1">
        <x:v>6.0</x:v>
      </x:c>
      <x:c r="K28" s="1">
        <x:v>3.0</x:v>
      </x:c>
      <x:c r="L28" s="1">
        <x:v>357.0</x:v>
      </x:c>
      <x:c r="M28" s="18">
        <x:f t="shared" si="1"/>
        <x:v>187.9622628</x:v>
      </x:c>
      <x:c r="N28" s="18">
        <x:f t="shared" si="2"/>
        <x:v>25.33109434</x:v>
      </x:c>
      <x:c r="O28" s="25"/>
      <x:c r="P28" s="25"/>
      <x:c r="Q28" s="25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4.25" customHeight="1">
      <x:c r="B29" s="1" t="s">
        <x:v>489</x:v>
      </x:c>
      <x:c r="C29" s="1">
        <x:v>537.0</x:v>
      </x:c>
      <x:c r="D29" s="1">
        <x:v>326.0</x:v>
      </x:c>
      <x:c r="E29" s="1">
        <x:v>3845.0</x:v>
      </x:c>
      <x:c r="F29" s="1">
        <x:v>24.9</x:v>
      </x:c>
      <x:c r="G29" s="1">
        <x:v>15.0</x:v>
      </x:c>
      <x:c r="H29" s="1">
        <x:v>67.0</x:v>
      </x:c>
      <x:c r="I29" s="1">
        <x:v>301.0</x:v>
      </x:c>
      <x:c r="J29" s="1">
        <x:v>4.0</x:v>
      </x:c>
      <x:c r="K29" s="1">
        <x:v>3.8</x:v>
      </x:c>
      <x:c r="L29" s="1">
        <x:v>288.3</x:v>
      </x:c>
      <x:c r="M29" s="18">
        <x:f t="shared" si="1"/>
        <x:v>183.0584854</x:v>
      </x:c>
      <x:c r="N29" s="18">
        <x:f t="shared" si="2"/>
        <x:v>22.77377358</x:v>
      </x:c>
      <x:c r="O29" s="25"/>
      <x:c r="P29" s="25"/>
      <x:c r="Q29" s="25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4.25" customHeight="1">
      <x:c r="A30" s="1" t="s">
        <x:v>506</x:v>
      </x:c>
      <x:c r="B30" s="1" t="s">
        <x:v>507</x:v>
      </x:c>
      <x:c r="C30" s="1">
        <x:v>581.4</x:v>
      </x:c>
      <x:c r="D30" s="1">
        <x:v>384.1</x:v>
      </x:c>
      <x:c r="E30" s="1">
        <x:v>4291.2</x:v>
      </x:c>
      <x:c r="F30" s="1">
        <x:v>30.9</x:v>
      </x:c>
      <x:c r="G30" s="1">
        <x:v>11.3</x:v>
      </x:c>
      <x:c r="H30" s="1">
        <x:v>49.1</x:v>
      </x:c>
      <x:c r="I30" s="1">
        <x:v>173.4</x:v>
      </x:c>
      <x:c r="J30" s="1">
        <x:v>1.7</x:v>
      </x:c>
      <x:c r="K30" s="1">
        <x:v>2.8</x:v>
      </x:c>
      <x:c r="L30" s="1">
        <x:v>306.2</x:v>
      </x:c>
      <x:c r="M30" s="18">
        <x:f t="shared" si="1"/>
        <x:v>204.3018394</x:v>
      </x:c>
      <x:c r="N30" s="18">
        <x:f t="shared" si="2"/>
        <x:v>13.11950943</x:v>
      </x:c>
      <x:c r="O30" s="25" t="n">
        <x:f>MAX(QB!D32*Scoring!$B$30+QB!E32/Scoring!$C$30+QB!F32*Scoring!$D$30+QB!G32*Scoring!$E$30+QB!H32*Scoring!$F$30+QB!I32/Scoring!$G$30+QB!J32*Scoring!$H$30+QB!K32*Scoring!$I$30+M32*Scoring!$J$30+QB!N32*Scoring!$K$30,0)+C32*Scoring!$B$10*0.07+(C32-D32)*Scoring!$B$5</x:f>
        <x:v>278.204</x:v>
      </x:c>
      <x:c r="P30" s="25" t="n">
        <x:f>MAX(QB!D30*Scoring!$B$30+QB!E30/Scoring!$C$30+QB!F30*Scoring!$D$30+QB!G30*Scoring!$E$30+QB!H30*Scoring!$F$30+QB!I30/Scoring!$G$30+QB!J30*Scoring!$H$30+QB!K30*Scoring!$I$30+M30*Scoring!$J$30+QB!N30*Scoring!$K$30,0)+C30*Scoring!$B$10*0.07+(C30-D30)*Scoring!$B$5</x:f>
        <x:v>297.3879999999999</x:v>
      </x:c>
      <x:c r="Q30" s="25" t="n">
        <x:f>MAX(QB!D31*Scoring!$B$30+QB!E31/Scoring!$C$30+QB!F31*Scoring!$D$30+QB!G31*Scoring!$E$30+QB!H31*Scoring!$F$30+QB!I31/Scoring!$G$30+QB!J31*Scoring!$H$30+QB!K31*Scoring!$I$30+M31*Scoring!$J$30+QB!N31*Scoring!$K$30,0)+C31*Scoring!$B$10*0.07+(C31-D31)*Scoring!$B$5</x:f>
        <x:v>318.51</x:v>
      </x:c>
      <x:c r="R30" s="9"/>
      <x:c r="S30" s="9"/>
      <x:c r="T30" s="9"/>
      <x:c r="U30" s="9"/>
      <x:c r="V30" s="9"/>
      <x:c r="W30" s="9"/>
      <x:c r="X30" s="9"/>
      <x:c r="Y30" s="9"/>
      <x:c r="Z30" s="9"/>
    </x:row>
    <x:row r="31" ht="14.25" customHeight="1">
      <x:c r="B31" s="1" t="s">
        <x:v>488</x:v>
      </x:c>
      <x:c r="C31" s="1">
        <x:v>614.0</x:v>
      </x:c>
      <x:c r="D31" s="1">
        <x:v>401.0</x:v>
      </x:c>
      <x:c r="E31" s="1">
        <x:v>4432.0</x:v>
      </x:c>
      <x:c r="F31" s="1">
        <x:v>33.0</x:v>
      </x:c>
      <x:c r="G31" s="1">
        <x:v>10.0</x:v>
      </x:c>
      <x:c r="H31" s="1">
        <x:v>51.3</x:v>
      </x:c>
      <x:c r="I31" s="1">
        <x:v>186.3</x:v>
      </x:c>
      <x:c r="J31" s="1">
        <x:v>2.1</x:v>
      </x:c>
      <x:c r="K31" s="1">
        <x:v>2.0</x:v>
      </x:c>
      <x:c r="L31" s="1">
        <x:v>361.0</x:v>
      </x:c>
      <x:c r="M31" s="18">
        <x:f t="shared" si="1"/>
        <x:v>211.0052555</x:v>
      </x:c>
      <x:c r="N31" s="18">
        <x:f t="shared" si="2"/>
        <x:v>14.0955283</x:v>
      </x:c>
      <x:c r="O31" s="25"/>
      <x:c r="P31" s="25"/>
      <x:c r="Q31" s="25"/>
      <x:c r="R31" s="9"/>
      <x:c r="S31" s="9"/>
      <x:c r="T31" s="9"/>
      <x:c r="U31" s="9"/>
      <x:c r="V31" s="9"/>
      <x:c r="W31" s="9"/>
      <x:c r="X31" s="9"/>
      <x:c r="Y31" s="9"/>
      <x:c r="Z31" s="9"/>
    </x:row>
    <x:row r="32" ht="14.25" customHeight="1">
      <x:c r="B32" s="1" t="s">
        <x:v>489</x:v>
      </x:c>
      <x:c r="C32" s="1">
        <x:v>553.2</x:v>
      </x:c>
      <x:c r="D32" s="1">
        <x:v>370.3</x:v>
      </x:c>
      <x:c r="E32" s="1">
        <x:v>4112.6</x:v>
      </x:c>
      <x:c r="F32" s="1">
        <x:v>29.8</x:v>
      </x:c>
      <x:c r="G32" s="1">
        <x:v>12.0</x:v>
      </x:c>
      <x:c r="H32" s="1">
        <x:v>45.0</x:v>
      </x:c>
      <x:c r="I32" s="1">
        <x:v>161.0</x:v>
      </x:c>
      <x:c r="J32" s="1">
        <x:v>1.0</x:v>
      </x:c>
      <x:c r="K32" s="1">
        <x:v>3.6</x:v>
      </x:c>
      <x:c r="L32" s="1">
        <x:v>286.8</x:v>
      </x:c>
      <x:c r="M32" s="18">
        <x:f t="shared" si="1"/>
        <x:v>195.7987847</x:v>
      </x:c>
      <x:c r="N32" s="18">
        <x:f t="shared" si="2"/>
        <x:v>12.18132075</x:v>
      </x:c>
      <x:c r="O32" s="25"/>
      <x:c r="P32" s="25"/>
      <x:c r="Q32" s="25"/>
      <x:c r="R32" s="9"/>
      <x:c r="S32" s="9"/>
      <x:c r="T32" s="9"/>
      <x:c r="U32" s="9"/>
      <x:c r="V32" s="9"/>
      <x:c r="W32" s="9"/>
      <x:c r="X32" s="9"/>
      <x:c r="Y32" s="9"/>
      <x:c r="Z32" s="9"/>
    </x:row>
    <x:row r="33" ht="14.25" customHeight="1">
      <x:c r="A33" s="1" t="s">
        <x:v>508</x:v>
      </x:c>
      <x:c r="B33" s="1" t="s">
        <x:v>509</x:v>
      </x:c>
      <x:c r="C33" s="1">
        <x:v>555.2</x:v>
      </x:c>
      <x:c r="D33" s="1">
        <x:v>354.1</x:v>
      </x:c>
      <x:c r="E33" s="1">
        <x:v>3839.6</x:v>
      </x:c>
      <x:c r="F33" s="1">
        <x:v>27.1</x:v>
      </x:c>
      <x:c r="G33" s="1">
        <x:v>11.6</x:v>
      </x:c>
      <x:c r="H33" s="1">
        <x:v>60.4</x:v>
      </x:c>
      <x:c r="I33" s="1">
        <x:v>359.7</x:v>
      </x:c>
      <x:c r="J33" s="1">
        <x:v>3.4</x:v>
      </x:c>
      <x:c r="K33" s="1">
        <x:v>2.0</x:v>
      </x:c>
      <x:c r="L33" s="1">
        <x:v>303.0</x:v>
      </x:c>
      <x:c r="M33" s="18">
        <x:f t="shared" si="1"/>
        <x:v>182.8013942</x:v>
      </x:c>
      <x:c r="N33" s="18">
        <x:f t="shared" si="2"/>
        <x:v>27.21503774</x:v>
      </x:c>
      <x:c r="O33" s="25" t="n">
        <x:f>MAX(QB!D35*Scoring!$B$30+QB!E35/Scoring!$C$30+QB!F35*Scoring!$D$30+QB!G35*Scoring!$E$30+QB!H35*Scoring!$F$30+QB!I35/Scoring!$G$30+QB!J35*Scoring!$H$30+QB!K35*Scoring!$I$30+M35*Scoring!$J$30+QB!N35*Scoring!$K$30,0)+C35*Scoring!$B$10*0.07+(C35-D35)*Scoring!$B$5</x:f>
        <x:v>273.98</x:v>
      </x:c>
      <x:c r="P33" s="25" t="n">
        <x:f>MAX(QB!D33*Scoring!$B$30+QB!E33/Scoring!$C$30+QB!F33*Scoring!$D$30+QB!G33*Scoring!$E$30+QB!H33*Scoring!$F$30+QB!I33/Scoring!$G$30+QB!J33*Scoring!$H$30+QB!K33*Scoring!$I$30+M33*Scoring!$J$30+QB!N33*Scoring!$K$30,0)+C33*Scoring!$B$10*0.07+(C33-D33)*Scoring!$B$5</x:f>
        <x:v>293.154</x:v>
      </x:c>
      <x:c r="Q33" s="25" t="n">
        <x:f>MAX(QB!D34*Scoring!$B$30+QB!E34/Scoring!$C$30+QB!F34*Scoring!$D$30+QB!G34*Scoring!$E$30+QB!H34*Scoring!$F$30+QB!I34/Scoring!$G$30+QB!J34*Scoring!$H$30+QB!K34*Scoring!$I$30+M34*Scoring!$J$30+QB!N34*Scoring!$K$30,0)+C34*Scoring!$B$10*0.07+(C34-D34)*Scoring!$B$5</x:f>
        <x:v>320.732</x:v>
      </x:c>
      <x:c r="R33" s="9"/>
      <x:c r="S33" s="9"/>
      <x:c r="T33" s="9"/>
      <x:c r="U33" s="9"/>
      <x:c r="V33" s="9"/>
      <x:c r="W33" s="9"/>
      <x:c r="X33" s="9"/>
      <x:c r="Y33" s="9"/>
      <x:c r="Z33" s="9"/>
    </x:row>
    <x:row r="34" ht="14.25" customHeight="1">
      <x:c r="B34" s="1" t="s">
        <x:v>488</x:v>
      </x:c>
      <x:c r="C34" s="1">
        <x:v>568.0</x:v>
      </x:c>
      <x:c r="D34" s="1">
        <x:v>358.2</x:v>
      </x:c>
      <x:c r="E34" s="1">
        <x:v>4000.8</x:v>
      </x:c>
      <x:c r="F34" s="1">
        <x:v>29.0</x:v>
      </x:c>
      <x:c r="G34" s="1">
        <x:v>11.0</x:v>
      </x:c>
      <x:c r="H34" s="1">
        <x:v>71.0</x:v>
      </x:c>
      <x:c r="I34" s="1">
        <x:v>437.0</x:v>
      </x:c>
      <x:c r="J34" s="1">
        <x:v>4.0</x:v>
      </x:c>
      <x:c r="K34" s="1">
        <x:v>1.0</x:v>
      </x:c>
      <x:c r="L34" s="1">
        <x:v>345.0</x:v>
      </x:c>
      <x:c r="M34" s="18">
        <x:f t="shared" si="1"/>
        <x:v>190.4760438</x:v>
      </x:c>
      <x:c r="N34" s="18">
        <x:f t="shared" si="2"/>
        <x:v>33.06358491</x:v>
      </x:c>
      <x:c r="O34" s="25"/>
      <x:c r="P34" s="25"/>
      <x:c r="Q34" s="25"/>
      <x:c r="R34" s="9"/>
      <x:c r="S34" s="9"/>
      <x:c r="T34" s="9"/>
      <x:c r="U34" s="9"/>
      <x:c r="V34" s="9"/>
      <x:c r="W34" s="9"/>
      <x:c r="X34" s="9"/>
      <x:c r="Y34" s="9"/>
      <x:c r="Z34" s="9"/>
    </x:row>
    <x:row r="35" ht="14.25" customHeight="1">
      <x:c r="B35" s="1" t="s">
        <x:v>489</x:v>
      </x:c>
      <x:c r="C35" s="1">
        <x:v>547.0</x:v>
      </x:c>
      <x:c r="D35" s="1">
        <x:v>350.0</x:v>
      </x:c>
      <x:c r="E35" s="1">
        <x:v>3687.0</x:v>
      </x:c>
      <x:c r="F35" s="1">
        <x:v>26.0</x:v>
      </x:c>
      <x:c r="G35" s="1">
        <x:v>12.0</x:v>
      </x:c>
      <x:c r="H35" s="1">
        <x:v>53.1</x:v>
      </x:c>
      <x:c r="I35" s="1">
        <x:v>315.0</x:v>
      </x:c>
      <x:c r="J35" s="1">
        <x:v>3.0</x:v>
      </x:c>
      <x:c r="K35" s="1">
        <x:v>3.0</x:v>
      </x:c>
      <x:c r="L35" s="1">
        <x:v>291.3</x:v>
      </x:c>
      <x:c r="M35" s="18">
        <x:f t="shared" si="1"/>
        <x:v>175.5361861</x:v>
      </x:c>
      <x:c r="N35" s="18">
        <x:f t="shared" si="2"/>
        <x:v>23.83301887</x:v>
      </x:c>
      <x:c r="O35" s="25"/>
      <x:c r="P35" s="25"/>
      <x:c r="Q35" s="25"/>
      <x:c r="R35" s="9"/>
      <x:c r="S35" s="9"/>
      <x:c r="T35" s="9"/>
      <x:c r="U35" s="9"/>
      <x:c r="V35" s="9"/>
      <x:c r="W35" s="9"/>
      <x:c r="X35" s="9"/>
      <x:c r="Y35" s="9"/>
      <x:c r="Z35" s="9"/>
    </x:row>
    <x:row r="36" ht="14.25" customHeight="1">
      <x:c r="A36" s="1" t="s">
        <x:v>510</x:v>
      </x:c>
      <x:c r="B36" s="1" t="s">
        <x:v>511</x:v>
      </x:c>
      <x:c r="C36" s="1">
        <x:v>548.8</x:v>
      </x:c>
      <x:c r="D36" s="1">
        <x:v>329.5</x:v>
      </x:c>
      <x:c r="E36" s="1">
        <x:v>3866.3</x:v>
      </x:c>
      <x:c r="F36" s="1">
        <x:v>27.4</x:v>
      </x:c>
      <x:c r="G36" s="1">
        <x:v>9.3</x:v>
      </x:c>
      <x:c r="H36" s="1">
        <x:v>79.4</x:v>
      </x:c>
      <x:c r="I36" s="1">
        <x:v>398.6</x:v>
      </x:c>
      <x:c r="J36" s="1">
        <x:v>2.1</x:v>
      </x:c>
      <x:c r="K36" s="1">
        <x:v>3.0</x:v>
      </x:c>
      <x:c r="L36" s="1">
        <x:v>301.4</x:v>
      </x:c>
      <x:c r="M36" s="18">
        <x:f t="shared" si="1"/>
        <x:v>184.0725675</x:v>
      </x:c>
      <x:c r="N36" s="18">
        <x:f t="shared" si="2"/>
        <x:v>30.15822642</x:v>
      </x:c>
      <x:c r="O36" s="25" t="n">
        <x:f>MAX(QB!D38*Scoring!$B$30+QB!E38/Scoring!$C$30+QB!F38*Scoring!$D$30+QB!G38*Scoring!$E$30+QB!H38*Scoring!$F$30+QB!I38/Scoring!$G$30+QB!J38*Scoring!$H$30+QB!K38*Scoring!$I$30+M38*Scoring!$J$30+QB!N38*Scoring!$K$30,0)+C38*Scoring!$B$10*0.07+(C38-D38)*Scoring!$B$5</x:f>
        <x:v>280.216</x:v>
      </x:c>
      <x:c r="P36" s="25" t="n">
        <x:f>MAX(QB!D36*Scoring!$B$30+QB!E36/Scoring!$C$30+QB!F36*Scoring!$D$30+QB!G36*Scoring!$E$30+QB!H36*Scoring!$F$30+QB!I36/Scoring!$G$30+QB!J36*Scoring!$H$30+QB!K36*Scoring!$I$30+M36*Scoring!$J$30+QB!N36*Scoring!$K$30,0)+C36*Scoring!$B$10*0.07+(C36-D36)*Scoring!$B$5</x:f>
        <x:v>295.112</x:v>
      </x:c>
      <x:c r="Q36" s="25" t="n">
        <x:f>MAX(QB!D37*Scoring!$B$30+QB!E37/Scoring!$C$30+QB!F37*Scoring!$D$30+QB!G37*Scoring!$E$30+QB!H37*Scoring!$F$30+QB!I37/Scoring!$G$30+QB!J37*Scoring!$H$30+QB!K37*Scoring!$I$30+M37*Scoring!$J$30+QB!N37*Scoring!$K$30,0)+C37*Scoring!$B$10*0.07+(C37-D37)*Scoring!$B$5</x:f>
        <x:v>313.28</x:v>
      </x:c>
      <x:c r="R36" s="9"/>
      <x:c r="S36" s="9"/>
      <x:c r="T36" s="9"/>
      <x:c r="U36" s="9"/>
      <x:c r="V36" s="9"/>
      <x:c r="W36" s="9"/>
      <x:c r="X36" s="9"/>
      <x:c r="Y36" s="9"/>
      <x:c r="Z36" s="9"/>
    </x:row>
    <x:row r="37" ht="14.25" customHeight="1">
      <x:c r="B37" s="1" t="s">
        <x:v>488</x:v>
      </x:c>
      <x:c r="C37" s="1">
        <x:v>580.0</x:v>
      </x:c>
      <x:c r="D37" s="1">
        <x:v>339.0</x:v>
      </x:c>
      <x:c r="E37" s="1">
        <x:v>3907.0</x:v>
      </x:c>
      <x:c r="F37" s="1">
        <x:v>30.0</x:v>
      </x:c>
      <x:c r="G37" s="1">
        <x:v>8.0</x:v>
      </x:c>
      <x:c r="H37" s="1">
        <x:v>88.0</x:v>
      </x:c>
      <x:c r="I37" s="1">
        <x:v>412.0</x:v>
      </x:c>
      <x:c r="J37" s="1">
        <x:v>2.3</x:v>
      </x:c>
      <x:c r="K37" s="1">
        <x:v>2.0</x:v>
      </x:c>
      <x:c r="L37" s="1">
        <x:v>349.0</x:v>
      </x:c>
      <x:c r="M37" s="18">
        <x:f t="shared" si="1"/>
        <x:v>186.0102737</x:v>
      </x:c>
      <x:c r="N37" s="18">
        <x:f t="shared" si="2"/>
        <x:v>31.17207547</x:v>
      </x:c>
      <x:c r="O37" s="25"/>
      <x:c r="P37" s="25"/>
      <x:c r="Q37" s="25"/>
      <x:c r="R37" s="9"/>
      <x:c r="S37" s="9"/>
      <x:c r="T37" s="9"/>
      <x:c r="U37" s="9"/>
      <x:c r="V37" s="9"/>
      <x:c r="W37" s="9"/>
      <x:c r="X37" s="9"/>
      <x:c r="Y37" s="9"/>
      <x:c r="Z37" s="9"/>
    </x:row>
    <x:row r="38" ht="14.25" customHeight="1">
      <x:c r="B38" s="1" t="s">
        <x:v>489</x:v>
      </x:c>
      <x:c r="C38" s="1">
        <x:v>528.4</x:v>
      </x:c>
      <x:c r="D38" s="1">
        <x:v>316.6</x:v>
      </x:c>
      <x:c r="E38" s="1">
        <x:v>3820.9</x:v>
      </x:c>
      <x:c r="F38" s="1">
        <x:v>25.3</x:v>
      </x:c>
      <x:c r="G38" s="1">
        <x:v>10.0</x:v>
      </x:c>
      <x:c r="H38" s="1">
        <x:v>71.1</x:v>
      </x:c>
      <x:c r="I38" s="1">
        <x:v>381.8</x:v>
      </x:c>
      <x:c r="J38" s="1">
        <x:v>2.0</x:v>
      </x:c>
      <x:c r="K38" s="1">
        <x:v>4.0</x:v>
      </x:c>
      <x:c r="L38" s="1">
        <x:v>281.7</x:v>
      </x:c>
      <x:c r="M38" s="18">
        <x:f t="shared" si="1"/>
        <x:v>181.9110967</x:v>
      </x:c>
      <x:c r="N38" s="18">
        <x:f t="shared" si="2"/>
        <x:v>28.88713208</x:v>
      </x:c>
      <x:c r="O38" s="25"/>
      <x:c r="P38" s="25"/>
      <x:c r="Q38" s="25"/>
      <x:c r="R38" s="9"/>
      <x:c r="S38" s="9"/>
      <x:c r="T38" s="9"/>
      <x:c r="U38" s="9"/>
      <x:c r="V38" s="9"/>
      <x:c r="W38" s="9"/>
      <x:c r="X38" s="9"/>
      <x:c r="Y38" s="9"/>
      <x:c r="Z38" s="9"/>
    </x:row>
    <x:row r="39" ht="14.25" customHeight="1">
      <x:c r="A39" s="1" t="s">
        <x:v>512</x:v>
      </x:c>
      <x:c r="B39" s="1" t="s">
        <x:v>513</x:v>
      </x:c>
      <x:c r="C39" s="1">
        <x:v>529.5</x:v>
      </x:c>
      <x:c r="D39" s="1">
        <x:v>349.8</x:v>
      </x:c>
      <x:c r="E39" s="1">
        <x:v>3858.0</x:v>
      </x:c>
      <x:c r="F39" s="1">
        <x:v>26.2</x:v>
      </x:c>
      <x:c r="G39" s="1">
        <x:v>11.7</x:v>
      </x:c>
      <x:c r="H39" s="1">
        <x:v>78.4</x:v>
      </x:c>
      <x:c r="I39" s="1">
        <x:v>450.2</x:v>
      </x:c>
      <x:c r="J39" s="1">
        <x:v>2.1</x:v>
      </x:c>
      <x:c r="K39" s="1">
        <x:v>2.8</x:v>
      </x:c>
      <x:c r="L39" s="1">
        <x:v>299.6</x:v>
      </x:c>
      <x:c r="M39" s="18">
        <x:f t="shared" si="1"/>
        <x:v>183.6774088</x:v>
      </x:c>
      <x:c r="N39" s="18">
        <x:f t="shared" si="2"/>
        <x:v>34.06230189</x:v>
      </x:c>
      <x:c r="O39" s="25" t="n">
        <x:f>MAX(QB!D41*Scoring!$B$30+QB!E41/Scoring!$C$30+QB!F41*Scoring!$D$30+QB!G41*Scoring!$E$30+QB!H41*Scoring!$F$30+QB!I41/Scoring!$G$30+QB!J41*Scoring!$H$30+QB!K41*Scoring!$I$30+M41*Scoring!$J$30+QB!N41*Scoring!$K$30,0)+C41*Scoring!$B$10*0.07+(C41-D41)*Scoring!$B$5</x:f>
        <x:v>273.92999999999995</x:v>
      </x:c>
      <x:c r="P39" s="25" t="n">
        <x:f>MAX(QB!D39*Scoring!$B$30+QB!E39/Scoring!$C$30+QB!F39*Scoring!$D$30+QB!G39*Scoring!$E$30+QB!H39*Scoring!$F$30+QB!I39/Scoring!$G$30+QB!J39*Scoring!$H$30+QB!K39*Scoring!$I$30+M39*Scoring!$J$30+QB!N39*Scoring!$K$30,0)+C39*Scoring!$B$10*0.07+(C39-D39)*Scoring!$B$5</x:f>
        <x:v>290.54</x:v>
      </x:c>
      <x:c r="Q39" s="25" t="n">
        <x:f>MAX(QB!D40*Scoring!$B$30+QB!E40/Scoring!$C$30+QB!F40*Scoring!$D$30+QB!G40*Scoring!$E$30+QB!H40*Scoring!$F$30+QB!I40/Scoring!$G$30+QB!J40*Scoring!$H$30+QB!K40*Scoring!$I$30+M40*Scoring!$J$30+QB!N40*Scoring!$K$30,0)+C40*Scoring!$B$10*0.07+(C40-D40)*Scoring!$B$5</x:f>
        <x:v>312.18</x:v>
      </x:c>
      <x:c r="R39" s="9"/>
      <x:c r="S39" s="9"/>
      <x:c r="T39" s="9"/>
      <x:c r="U39" s="9"/>
      <x:c r="V39" s="9"/>
      <x:c r="W39" s="9"/>
      <x:c r="X39" s="9"/>
      <x:c r="Y39" s="9"/>
      <x:c r="Z39" s="9"/>
    </x:row>
    <x:row r="40" ht="14.25" customHeight="1">
      <x:c r="B40" s="1" t="s">
        <x:v>488</x:v>
      </x:c>
      <x:c r="C40" s="1">
        <x:v>534.0</x:v>
      </x:c>
      <x:c r="D40" s="1">
        <x:v>352.0</x:v>
      </x:c>
      <x:c r="E40" s="1">
        <x:v>3952.0</x:v>
      </x:c>
      <x:c r="F40" s="1">
        <x:v>28.0</x:v>
      </x:c>
      <x:c r="G40" s="1">
        <x:v>11.0</x:v>
      </x:c>
      <x:c r="H40" s="1">
        <x:v>83.0</x:v>
      </x:c>
      <x:c r="I40" s="1">
        <x:v>517.0</x:v>
      </x:c>
      <x:c r="J40" s="1">
        <x:v>2.4</x:v>
      </x:c>
      <x:c r="K40" s="1">
        <x:v>2.0</x:v>
      </x:c>
      <x:c r="L40" s="1">
        <x:v>334.0</x:v>
      </x:c>
      <x:c r="M40" s="18">
        <x:f t="shared" si="1"/>
        <x:v>188.1527007</x:v>
      </x:c>
      <x:c r="N40" s="18">
        <x:f t="shared" si="2"/>
        <x:v>39.11641509</x:v>
      </x:c>
      <x:c r="O40" s="25"/>
      <x:c r="P40" s="25"/>
      <x:c r="Q40" s="25"/>
      <x:c r="R40" s="9"/>
      <x:c r="S40" s="9"/>
      <x:c r="T40" s="9"/>
      <x:c r="U40" s="9"/>
      <x:c r="V40" s="9"/>
      <x:c r="W40" s="9"/>
      <x:c r="X40" s="9"/>
      <x:c r="Y40" s="9"/>
      <x:c r="Z40" s="9"/>
    </x:row>
    <x:row r="41" ht="14.25" customHeight="1">
      <x:c r="B41" s="1" t="s">
        <x:v>489</x:v>
      </x:c>
      <x:c r="C41" s="1">
        <x:v>527.0</x:v>
      </x:c>
      <x:c r="D41" s="1">
        <x:v>345.4</x:v>
      </x:c>
      <x:c r="E41" s="1">
        <x:v>3772.0</x:v>
      </x:c>
      <x:c r="F41" s="1">
        <x:v>25.0</x:v>
      </x:c>
      <x:c r="G41" s="1">
        <x:v>13.0</x:v>
      </x:c>
      <x:c r="H41" s="1">
        <x:v>74.0</x:v>
      </x:c>
      <x:c r="I41" s="1">
        <x:v>406.5</x:v>
      </x:c>
      <x:c r="J41" s="1">
        <x:v>2.0</x:v>
      </x:c>
      <x:c r="K41" s="1">
        <x:v>3.6</x:v>
      </x:c>
      <x:c r="L41" s="1">
        <x:v>283.6</x:v>
      </x:c>
      <x:c r="M41" s="18">
        <x:f t="shared" si="1"/>
        <x:v>179.5829927</x:v>
      </x:c>
      <x:c r="N41" s="18">
        <x:f t="shared" si="2"/>
        <x:v>30.7559434</x:v>
      </x:c>
      <x:c r="O41" s="25"/>
      <x:c r="P41" s="25"/>
      <x:c r="Q41" s="25"/>
      <x:c r="R41" s="9"/>
      <x:c r="S41" s="9"/>
      <x:c r="T41" s="9"/>
      <x:c r="U41" s="9"/>
      <x:c r="V41" s="9"/>
      <x:c r="W41" s="9"/>
      <x:c r="X41" s="9"/>
      <x:c r="Y41" s="9"/>
      <x:c r="Z41" s="9"/>
    </x:row>
    <x:row r="42" ht="14.25" customHeight="1">
      <x:c r="A42" s="1" t="s">
        <x:v>514</x:v>
      </x:c>
      <x:c r="B42" s="1" t="s">
        <x:v>515</x:v>
      </x:c>
      <x:c r="C42" s="1">
        <x:v>555.2</x:v>
      </x:c>
      <x:c r="D42" s="1">
        <x:v>355.0</x:v>
      </x:c>
      <x:c r="E42" s="1">
        <x:v>3744.8</x:v>
      </x:c>
      <x:c r="F42" s="1">
        <x:v>26.8</x:v>
      </x:c>
      <x:c r="G42" s="1">
        <x:v>11.0</x:v>
      </x:c>
      <x:c r="H42" s="1">
        <x:v>79.1</x:v>
      </x:c>
      <x:c r="I42" s="1">
        <x:v>341.4</x:v>
      </x:c>
      <x:c r="J42" s="1">
        <x:v>3.7</x:v>
      </x:c>
      <x:c r="K42" s="1">
        <x:v>2.0</x:v>
      </x:c>
      <x:c r="L42" s="1">
        <x:v>298.2</x:v>
      </x:c>
      <x:c r="M42" s="18">
        <x:f t="shared" si="1"/>
        <x:v>178.2880146</x:v>
      </x:c>
      <x:c r="N42" s="18">
        <x:f t="shared" si="2"/>
        <x:v>25.83045283</x:v>
      </x:c>
      <x:c r="O42" s="25" t="n">
        <x:f>MAX(QB!D44*Scoring!$B$30+QB!E44/Scoring!$C$30+QB!F44*Scoring!$D$30+QB!G44*Scoring!$E$30+QB!H44*Scoring!$F$30+QB!I44/Scoring!$G$30+QB!J44*Scoring!$H$30+QB!K44*Scoring!$I$30+M44*Scoring!$J$30+QB!N44*Scoring!$K$30,0)+C44*Scoring!$B$10*0.07+(C44-D44)*Scoring!$B$5</x:f>
        <x:v>267.78</x:v>
      </x:c>
      <x:c r="P42" s="25" t="n">
        <x:f>MAX(QB!D42*Scoring!$B$30+QB!E42/Scoring!$C$30+QB!F42*Scoring!$D$30+QB!G42*Scoring!$E$30+QB!H42*Scoring!$F$30+QB!I42/Scoring!$G$30+QB!J42*Scoring!$H$30+QB!K42*Scoring!$I$30+M42*Scoring!$J$30+QB!N42*Scoring!$K$30,0)+C42*Scoring!$B$10*0.07+(C42-D42)*Scoring!$B$5</x:f>
        <x:v>289.332</x:v>
      </x:c>
      <x:c r="Q42" s="25" t="n">
        <x:f>MAX(QB!D43*Scoring!$B$30+QB!E43/Scoring!$C$30+QB!F43*Scoring!$D$30+QB!G43*Scoring!$E$30+QB!H43*Scoring!$F$30+QB!I43/Scoring!$G$30+QB!J43*Scoring!$H$30+QB!K43*Scoring!$I$30+M43*Scoring!$J$30+QB!N43*Scoring!$K$30,0)+C43*Scoring!$B$10*0.07+(C43-D43)*Scoring!$B$5</x:f>
        <x:v>302.296</x:v>
      </x:c>
      <x:c r="R42" s="9"/>
      <x:c r="S42" s="9"/>
      <x:c r="T42" s="9"/>
      <x:c r="U42" s="9"/>
      <x:c r="V42" s="9"/>
      <x:c r="W42" s="9"/>
      <x:c r="X42" s="9"/>
      <x:c r="Y42" s="9"/>
      <x:c r="Z42" s="9"/>
    </x:row>
    <x:row r="43" ht="14.25" customHeight="1">
      <x:c r="B43" s="1" t="s">
        <x:v>488</x:v>
      </x:c>
      <x:c r="C43" s="1">
        <x:v>574.0</x:v>
      </x:c>
      <x:c r="D43" s="1">
        <x:v>363.9</x:v>
      </x:c>
      <x:c r="E43" s="1">
        <x:v>3877.4</x:v>
      </x:c>
      <x:c r="F43" s="1">
        <x:v>27.0</x:v>
      </x:c>
      <x:c r="G43" s="1">
        <x:v>10.0</x:v>
      </x:c>
      <x:c r="H43" s="1">
        <x:v>82.3</x:v>
      </x:c>
      <x:c r="I43" s="1">
        <x:v>362.0</x:v>
      </x:c>
      <x:c r="J43" s="1">
        <x:v>4.0</x:v>
      </x:c>
      <x:c r="K43" s="1">
        <x:v>1.0</x:v>
      </x:c>
      <x:c r="L43" s="1">
        <x:v>322.2</x:v>
      </x:c>
      <x:c r="M43" s="18">
        <x:f t="shared" si="1"/>
        <x:v>184.6010328</x:v>
      </x:c>
      <x:c r="N43" s="18">
        <x:f t="shared" si="2"/>
        <x:v>27.3890566</x:v>
      </x:c>
      <x:c r="O43" s="25"/>
      <x:c r="P43" s="25"/>
      <x:c r="Q43" s="25"/>
      <x:c r="R43" s="9"/>
      <x:c r="S43" s="9"/>
      <x:c r="T43" s="9"/>
      <x:c r="U43" s="9"/>
      <x:c r="V43" s="9"/>
      <x:c r="W43" s="9"/>
      <x:c r="X43" s="9"/>
      <x:c r="Y43" s="9"/>
      <x:c r="Z43" s="9"/>
    </x:row>
    <x:row r="44" ht="14.25" customHeight="1">
      <x:c r="B44" s="1" t="s">
        <x:v>489</x:v>
      </x:c>
      <x:c r="C44" s="1">
        <x:v>527.0</x:v>
      </x:c>
      <x:c r="D44" s="1">
        <x:v>338.0</x:v>
      </x:c>
      <x:c r="E44" s="1">
        <x:v>3507.0</x:v>
      </x:c>
      <x:c r="F44" s="1">
        <x:v>26.5</x:v>
      </x:c>
      <x:c r="G44" s="1">
        <x:v>12.0</x:v>
      </x:c>
      <x:c r="H44" s="1">
        <x:v>73.0</x:v>
      </x:c>
      <x:c r="I44" s="1">
        <x:v>306.0</x:v>
      </x:c>
      <x:c r="J44" s="1">
        <x:v>3.0</x:v>
      </x:c>
      <x:c r="K44" s="1">
        <x:v>3.1</x:v>
      </x:c>
      <x:c r="L44" s="1">
        <x:v>296.2</x:v>
      </x:c>
      <x:c r="M44" s="18">
        <x:f t="shared" si="1"/>
        <x:v>166.9664781</x:v>
      </x:c>
      <x:c r="N44" s="18">
        <x:f t="shared" si="2"/>
        <x:v>23.15207547</x:v>
      </x:c>
      <x:c r="O44" s="25"/>
      <x:c r="P44" s="25"/>
      <x:c r="Q44" s="25"/>
      <x:c r="R44" s="9"/>
      <x:c r="S44" s="9"/>
      <x:c r="T44" s="9"/>
      <x:c r="U44" s="9"/>
      <x:c r="V44" s="9"/>
      <x:c r="W44" s="9"/>
      <x:c r="X44" s="9"/>
      <x:c r="Y44" s="9"/>
      <x:c r="Z44" s="9"/>
    </x:row>
    <x:row r="45" ht="14.25" customHeight="1">
      <x:c r="A45" s="1" t="s">
        <x:v>516</x:v>
      </x:c>
      <x:c r="B45" s="1" t="s">
        <x:v>517</x:v>
      </x:c>
      <x:c r="C45" s="1">
        <x:v>546.9</x:v>
      </x:c>
      <x:c r="D45" s="1">
        <x:v>352.7</x:v>
      </x:c>
      <x:c r="E45" s="1">
        <x:v>4190.6</x:v>
      </x:c>
      <x:c r="F45" s="1">
        <x:v>34.0</x:v>
      </x:c>
      <x:c r="G45" s="1">
        <x:v>8.6</x:v>
      </x:c>
      <x:c r="H45" s="1">
        <x:v>23.7</x:v>
      </x:c>
      <x:c r="I45" s="1">
        <x:v>33.1</x:v>
      </x:c>
      <x:c r="J45" s="1">
        <x:v>0.2</x:v>
      </x:c>
      <x:c r="K45" s="1">
        <x:v>2.8</x:v>
      </x:c>
      <x:c r="L45" s="1">
        <x:v>294.0</x:v>
      </x:c>
      <x:c r="M45" s="18">
        <x:f t="shared" si="1"/>
        <x:v>199.5123248</x:v>
      </x:c>
      <x:c r="N45" s="18">
        <x:f t="shared" si="2"/>
        <x:v>2.504358491</x:v>
      </x:c>
      <x:c r="O45" s="25" t="n">
        <x:f>MAX(QB!D47*Scoring!$B$30+QB!E47/Scoring!$C$30+QB!F47*Scoring!$D$30+QB!G47*Scoring!$E$30+QB!H47*Scoring!$F$30+QB!I47/Scoring!$G$30+QB!J47*Scoring!$H$30+QB!K47*Scoring!$I$30+M47*Scoring!$J$30+QB!N47*Scoring!$K$30,0)+C47*Scoring!$B$10*0.07+(C47-D47)*Scoring!$B$5</x:f>
        <x:v>273.21999999999997</x:v>
      </x:c>
      <x:c r="P45" s="25" t="n">
        <x:f>MAX(QB!D45*Scoring!$B$30+QB!E45/Scoring!$C$30+QB!F45*Scoring!$D$30+QB!G45*Scoring!$E$30+QB!H45*Scoring!$F$30+QB!I45/Scoring!$G$30+QB!J45*Scoring!$H$30+QB!K45*Scoring!$I$30+M45*Scoring!$J$30+QB!N45*Scoring!$K$30,0)+C45*Scoring!$B$10*0.07+(C45-D45)*Scoring!$B$5</x:f>
        <x:v>288.134</x:v>
      </x:c>
      <x:c r="Q45" s="25" t="n">
        <x:f>MAX(QB!D46*Scoring!$B$30+QB!E46/Scoring!$C$30+QB!F46*Scoring!$D$30+QB!G46*Scoring!$E$30+QB!H46*Scoring!$F$30+QB!I46/Scoring!$G$30+QB!J46*Scoring!$H$30+QB!K46*Scoring!$I$30+M46*Scoring!$J$30+QB!N46*Scoring!$K$30,0)+C46*Scoring!$B$10*0.07+(C46-D46)*Scoring!$B$5</x:f>
        <x:v>302.408</x:v>
      </x:c>
      <x:c r="R45" s="9"/>
      <x:c r="S45" s="9"/>
      <x:c r="T45" s="9"/>
      <x:c r="U45" s="9"/>
      <x:c r="V45" s="9"/>
      <x:c r="W45" s="9"/>
      <x:c r="X45" s="9"/>
      <x:c r="Y45" s="9"/>
      <x:c r="Z45" s="9"/>
    </x:row>
    <x:row r="46" ht="14.25" customHeight="1">
      <x:c r="B46" s="1" t="s">
        <x:v>488</x:v>
      </x:c>
      <x:c r="C46" s="1">
        <x:v>557.8</x:v>
      </x:c>
      <x:c r="D46" s="1">
        <x:v>359.0</x:v>
      </x:c>
      <x:c r="E46" s="1">
        <x:v>4281.7</x:v>
      </x:c>
      <x:c r="F46" s="1">
        <x:v>34.9</x:v>
      </x:c>
      <x:c r="G46" s="1">
        <x:v>7.0</x:v>
      </x:c>
      <x:c r="H46" s="1">
        <x:v>27.0</x:v>
      </x:c>
      <x:c r="I46" s="1">
        <x:v>39.4</x:v>
      </x:c>
      <x:c r="J46" s="1">
        <x:v>0.6</x:v>
      </x:c>
      <x:c r="K46" s="1">
        <x:v>2.0</x:v>
      </x:c>
      <x:c r="L46" s="1">
        <x:v>341.0</x:v>
      </x:c>
      <x:c r="M46" s="18">
        <x:f t="shared" si="1"/>
        <x:v>203.8495493</x:v>
      </x:c>
      <x:c r="N46" s="18">
        <x:f t="shared" si="2"/>
        <x:v>2.981018868</x:v>
      </x:c>
      <x:c r="O46" s="25"/>
      <x:c r="P46" s="25"/>
      <x:c r="Q46" s="25"/>
      <x:c r="R46" s="9"/>
      <x:c r="S46" s="9"/>
      <x:c r="T46" s="9"/>
      <x:c r="U46" s="9"/>
      <x:c r="V46" s="9"/>
      <x:c r="W46" s="9"/>
      <x:c r="X46" s="9"/>
      <x:c r="Y46" s="9"/>
      <x:c r="Z46" s="9"/>
    </x:row>
    <x:row r="47" ht="14.25" customHeight="1">
      <x:c r="B47" s="1" t="s">
        <x:v>489</x:v>
      </x:c>
      <x:c r="C47" s="1">
        <x:v>539.0</x:v>
      </x:c>
      <x:c r="D47" s="1">
        <x:v>343.0</x:v>
      </x:c>
      <x:c r="E47" s="1">
        <x:v>4048.0</x:v>
      </x:c>
      <x:c r="F47" s="1">
        <x:v>33.0</x:v>
      </x:c>
      <x:c r="G47" s="1">
        <x:v>9.7</x:v>
      </x:c>
      <x:c r="H47" s="1">
        <x:v>17.0</x:v>
      </x:c>
      <x:c r="I47" s="1">
        <x:v>22.0</x:v>
      </x:c>
      <x:c r="J47" s="1">
        <x:v>0.0</x:v>
      </x:c>
      <x:c r="K47" s="1">
        <x:v>3.5</x:v>
      </x:c>
      <x:c r="L47" s="1">
        <x:v>293.2</x:v>
      </x:c>
      <x:c r="M47" s="18">
        <x:f t="shared" si="1"/>
        <x:v>192.7232117</x:v>
      </x:c>
      <x:c r="N47" s="18">
        <x:f t="shared" si="2"/>
        <x:v>1.664528302</x:v>
      </x:c>
      <x:c r="O47" s="25"/>
      <x:c r="P47" s="25"/>
      <x:c r="Q47" s="25"/>
      <x:c r="R47" s="9"/>
      <x:c r="S47" s="9"/>
      <x:c r="T47" s="9"/>
      <x:c r="U47" s="9"/>
      <x:c r="V47" s="9"/>
      <x:c r="W47" s="9"/>
      <x:c r="X47" s="9"/>
      <x:c r="Y47" s="9"/>
      <x:c r="Z47" s="9"/>
    </x:row>
    <x:row r="48" ht="14.25" customHeight="1">
      <x:c r="A48" s="1" t="s">
        <x:v>518</x:v>
      </x:c>
      <x:c r="B48" s="1" t="s">
        <x:v>519</x:v>
      </x:c>
      <x:c r="C48" s="1">
        <x:v>547.3</x:v>
      </x:c>
      <x:c r="D48" s="1">
        <x:v>373.8</x:v>
      </x:c>
      <x:c r="E48" s="1">
        <x:v>4308.0</x:v>
      </x:c>
      <x:c r="F48" s="1">
        <x:v>31.7</x:v>
      </x:c>
      <x:c r="G48" s="1">
        <x:v>10.0</x:v>
      </x:c>
      <x:c r="H48" s="1">
        <x:v>23.7</x:v>
      </x:c>
      <x:c r="I48" s="1">
        <x:v>48.2</x:v>
      </x:c>
      <x:c r="J48" s="1">
        <x:v>0.2</x:v>
      </x:c>
      <x:c r="K48" s="1">
        <x:v>3.7</x:v>
      </x:c>
      <x:c r="L48" s="1">
        <x:v>287.8</x:v>
      </x:c>
      <x:c r="M48" s="18">
        <x:f t="shared" si="1"/>
        <x:v>205.1016788</x:v>
      </x:c>
      <x:c r="N48" s="18">
        <x:f t="shared" si="2"/>
        <x:v>3.646830189</x:v>
      </x:c>
      <x:c r="O48" s="25" t="n">
        <x:f>MAX(QB!D50*Scoring!$B$30+QB!E50/Scoring!$C$30+QB!F50*Scoring!$D$30+QB!G50*Scoring!$E$30+QB!H50*Scoring!$F$30+QB!I50/Scoring!$G$30+QB!J50*Scoring!$H$30+QB!K50*Scoring!$I$30+M50*Scoring!$J$30+QB!N50*Scoring!$K$30,0)+C50*Scoring!$B$10*0.07+(C50-D50)*Scoring!$B$5</x:f>
        <x:v>265.544</x:v>
      </x:c>
      <x:c r="P48" s="25" t="n">
        <x:f>MAX(QB!D48*Scoring!$B$30+QB!E48/Scoring!$C$30+QB!F48*Scoring!$D$30+QB!G48*Scoring!$E$30+QB!H48*Scoring!$F$30+QB!I48/Scoring!$G$30+QB!J48*Scoring!$H$30+QB!K48*Scoring!$I$30+M48*Scoring!$J$30+QB!N48*Scoring!$K$30,0)+C48*Scoring!$B$10*0.07+(C48-D48)*Scoring!$B$5</x:f>
        <x:v>281.44</x:v>
      </x:c>
      <x:c r="Q48" s="25" t="n">
        <x:f>MAX(QB!D49*Scoring!$B$30+QB!E49/Scoring!$C$30+QB!F49*Scoring!$D$30+QB!G49*Scoring!$E$30+QB!H49*Scoring!$F$30+QB!I49/Scoring!$G$30+QB!J49*Scoring!$H$30+QB!K49*Scoring!$I$30+M49*Scoring!$J$30+QB!N49*Scoring!$K$30,0)+C49*Scoring!$B$10*0.07+(C49-D49)*Scoring!$B$5</x:f>
        <x:v>300.06</x:v>
      </x:c>
      <x:c r="R48" s="9"/>
      <x:c r="S48" s="9"/>
      <x:c r="T48" s="9"/>
      <x:c r="U48" s="9"/>
      <x:c r="V48" s="9"/>
      <x:c r="W48" s="9"/>
      <x:c r="X48" s="9"/>
      <x:c r="Y48" s="9"/>
      <x:c r="Z48" s="9"/>
    </x:row>
    <x:row r="49" ht="14.25" customHeight="1">
      <x:c r="B49" s="1" t="s">
        <x:v>488</x:v>
      </x:c>
      <x:c r="C49" s="1">
        <x:v>572.0</x:v>
      </x:c>
      <x:c r="D49" s="1">
        <x:v>383.0</x:v>
      </x:c>
      <x:c r="E49" s="1">
        <x:v>4459.0</x:v>
      </x:c>
      <x:c r="F49" s="1">
        <x:v>34.0</x:v>
      </x:c>
      <x:c r="G49" s="1">
        <x:v>10.0</x:v>
      </x:c>
      <x:c r="H49" s="1">
        <x:v>27.2</x:v>
      </x:c>
      <x:c r="I49" s="1">
        <x:v>50.0</x:v>
      </x:c>
      <x:c r="J49" s="1">
        <x:v>0.7</x:v>
      </x:c>
      <x:c r="K49" s="1">
        <x:v>3.5</x:v>
      </x:c>
      <x:c r="L49" s="1">
        <x:v>337.0</x:v>
      </x:c>
      <x:c r="M49" s="18">
        <x:f t="shared" si="1"/>
        <x:v>212.2907117</x:v>
      </x:c>
      <x:c r="N49" s="18">
        <x:f t="shared" si="2"/>
        <x:v>3.783018868</x:v>
      </x:c>
      <x:c r="O49" s="25"/>
      <x:c r="P49" s="25"/>
      <x:c r="Q49" s="25"/>
      <x:c r="R49" s="9"/>
      <x:c r="S49" s="9"/>
      <x:c r="T49" s="9"/>
      <x:c r="U49" s="9"/>
      <x:c r="V49" s="9"/>
      <x:c r="W49" s="9"/>
      <x:c r="X49" s="9"/>
      <x:c r="Y49" s="9"/>
      <x:c r="Z49" s="9"/>
    </x:row>
    <x:row r="50" ht="14.25" customHeight="1">
      <x:c r="B50" s="1" t="s">
        <x:v>489</x:v>
      </x:c>
      <x:c r="C50" s="1">
        <x:v>526.0</x:v>
      </x:c>
      <x:c r="D50" s="1">
        <x:v>367.0</x:v>
      </x:c>
      <x:c r="E50" s="1">
        <x:v>4216.1</x:v>
      </x:c>
      <x:c r="F50" s="1">
        <x:v>29.1</x:v>
      </x:c>
      <x:c r="G50" s="1">
        <x:v>10.0</x:v>
      </x:c>
      <x:c r="H50" s="1">
        <x:v>21.0</x:v>
      </x:c>
      <x:c r="I50" s="1">
        <x:v>45.0</x:v>
      </x:c>
      <x:c r="J50" s="1">
        <x:v>0.0</x:v>
      </x:c>
      <x:c r="K50" s="1">
        <x:v>4.0</x:v>
      </x:c>
      <x:c r="L50" s="1">
        <x:v>268.5</x:v>
      </x:c>
      <x:c r="M50" s="18">
        <x:f t="shared" si="1"/>
        <x:v>200.7263668</x:v>
      </x:c>
      <x:c r="N50" s="18">
        <x:f t="shared" si="2"/>
        <x:v>3.404716981</x:v>
      </x:c>
      <x:c r="O50" s="25"/>
      <x:c r="P50" s="25"/>
      <x:c r="Q50" s="25"/>
      <x:c r="R50" s="9"/>
      <x:c r="S50" s="9"/>
      <x:c r="T50" s="9"/>
      <x:c r="U50" s="9"/>
      <x:c r="V50" s="9"/>
      <x:c r="W50" s="9"/>
      <x:c r="X50" s="9"/>
      <x:c r="Y50" s="9"/>
      <x:c r="Z50" s="9"/>
    </x:row>
    <x:row r="51" ht="14.25" customHeight="1">
      <x:c r="A51" s="1" t="s">
        <x:v>520</x:v>
      </x:c>
      <x:c r="B51" s="1" t="s">
        <x:v>521</x:v>
      </x:c>
      <x:c r="C51" s="1">
        <x:v>550.7</x:v>
      </x:c>
      <x:c r="D51" s="1">
        <x:v>363.0</x:v>
      </x:c>
      <x:c r="E51" s="1">
        <x:v>3950.0</x:v>
      </x:c>
      <x:c r="F51" s="1">
        <x:v>22.2</x:v>
      </x:c>
      <x:c r="G51" s="1">
        <x:v>11.7</x:v>
      </x:c>
      <x:c r="H51" s="1">
        <x:v>78.2</x:v>
      </x:c>
      <x:c r="I51" s="1">
        <x:v>330.2</x:v>
      </x:c>
      <x:c r="J51" s="1">
        <x:v>4.1</x:v>
      </x:c>
      <x:c r="K51" s="1">
        <x:v>3.6</x:v>
      </x:c>
      <x:c r="L51" s="1">
        <x:v>285.4</x:v>
      </x:c>
      <x:c r="M51" s="18">
        <x:f t="shared" si="1"/>
        <x:v>188.0574818</x:v>
      </x:c>
      <x:c r="N51" s="18">
        <x:f t="shared" si="2"/>
        <x:v>24.9830566</x:v>
      </x:c>
      <x:c r="O51" s="25" t="n">
        <x:f>MAX(QB!D53*Scoring!$B$30+QB!E53/Scoring!$C$30+QB!F53*Scoring!$D$30+QB!G53*Scoring!$E$30+QB!H53*Scoring!$F$30+QB!I53/Scoring!$G$30+QB!J53*Scoring!$H$30+QB!K53*Scoring!$I$30+M53*Scoring!$J$30+QB!N53*Scoring!$K$30,0)+C53*Scoring!$B$10*0.07+(C53-D53)*Scoring!$B$5</x:f>
        <x:v>258.004</x:v>
      </x:c>
      <x:c r="P51" s="25" t="n">
        <x:f>MAX(QB!D51*Scoring!$B$30+QB!E51/Scoring!$C$30+QB!F51*Scoring!$D$30+QB!G51*Scoring!$E$30+QB!H51*Scoring!$F$30+QB!I51/Scoring!$G$30+QB!J51*Scoring!$H$30+QB!K51*Scoring!$I$30+M51*Scoring!$J$30+QB!N51*Scoring!$K$30,0)+C51*Scoring!$B$10*0.07+(C51-D51)*Scoring!$B$5</x:f>
        <x:v>277.42</x:v>
      </x:c>
      <x:c r="Q51" s="25" t="n">
        <x:f>MAX(QB!D52*Scoring!$B$30+QB!E52/Scoring!$C$30+QB!F52*Scoring!$D$30+QB!G52*Scoring!$E$30+QB!H52*Scoring!$F$30+QB!I52/Scoring!$G$30+QB!J52*Scoring!$H$30+QB!K52*Scoring!$I$30+M52*Scoring!$J$30+QB!N52*Scoring!$K$30,0)+C52*Scoring!$B$10*0.07+(C52-D52)*Scoring!$B$5</x:f>
        <x:v>296.82</x:v>
      </x:c>
      <x:c r="R51" s="9"/>
      <x:c r="S51" s="9"/>
      <x:c r="T51" s="9"/>
      <x:c r="U51" s="9"/>
      <x:c r="V51" s="9"/>
      <x:c r="W51" s="9"/>
      <x:c r="X51" s="9"/>
      <x:c r="Y51" s="9"/>
      <x:c r="Z51" s="9"/>
    </x:row>
    <x:row r="52" ht="14.25" customHeight="1">
      <x:c r="B52" s="1" t="s">
        <x:v>488</x:v>
      </x:c>
      <x:c r="C52" s="1">
        <x:v>558.0</x:v>
      </x:c>
      <x:c r="D52" s="1">
        <x:v>372.0</x:v>
      </x:c>
      <x:c r="E52" s="1">
        <x:v>4013.0</x:v>
      </x:c>
      <x:c r="F52" s="1">
        <x:v>24.0</x:v>
      </x:c>
      <x:c r="G52" s="1">
        <x:v>10.0</x:v>
      </x:c>
      <x:c r="H52" s="1">
        <x:v>94.0</x:v>
      </x:c>
      <x:c r="I52" s="1">
        <x:v>377.0</x:v>
      </x:c>
      <x:c r="J52" s="1">
        <x:v>4.3</x:v>
      </x:c>
      <x:c r="K52" s="1">
        <x:v>3.2</x:v>
      </x:c>
      <x:c r="L52" s="1">
        <x:v>308.0</x:v>
      </x:c>
      <x:c r="M52" s="18">
        <x:f t="shared" si="1"/>
        <x:v>191.0568796</x:v>
      </x:c>
      <x:c r="N52" s="18">
        <x:f t="shared" si="2"/>
        <x:v>28.52396226</x:v>
      </x:c>
      <x:c r="O52" s="25"/>
      <x:c r="P52" s="25"/>
      <x:c r="Q52" s="25"/>
      <x:c r="R52" s="9"/>
      <x:c r="S52" s="9"/>
      <x:c r="T52" s="9"/>
      <x:c r="U52" s="9"/>
      <x:c r="V52" s="9"/>
      <x:c r="W52" s="9"/>
      <x:c r="X52" s="9"/>
      <x:c r="Y52" s="9"/>
      <x:c r="Z52" s="9"/>
    </x:row>
    <x:row r="53" ht="14.25" customHeight="1">
      <x:c r="B53" s="1" t="s">
        <x:v>489</x:v>
      </x:c>
      <x:c r="C53" s="1">
        <x:v>545.2</x:v>
      </x:c>
      <x:c r="D53" s="1">
        <x:v>354.9</x:v>
      </x:c>
      <x:c r="E53" s="1">
        <x:v>3886.1</x:v>
      </x:c>
      <x:c r="F53" s="1">
        <x:v>20.5</x:v>
      </x:c>
      <x:c r="G53" s="1">
        <x:v>14.0</x:v>
      </x:c>
      <x:c r="H53" s="1">
        <x:v>65.7</x:v>
      </x:c>
      <x:c r="I53" s="1">
        <x:v>285.6</x:v>
      </x:c>
      <x:c r="J53" s="1">
        <x:v>4.0</x:v>
      </x:c>
      <x:c r="K53" s="1">
        <x:v>4.0</x:v>
      </x:c>
      <x:c r="L53" s="1">
        <x:v>266.0</x:v>
      </x:c>
      <x:c r="M53" s="18">
        <x:f t="shared" si="1"/>
        <x:v>185.0152354</x:v>
      </x:c>
      <x:c r="N53" s="18">
        <x:f t="shared" si="2"/>
        <x:v>21.60860377</x:v>
      </x:c>
      <x:c r="O53" s="25"/>
      <x:c r="P53" s="25"/>
      <x:c r="Q53" s="25"/>
      <x:c r="R53" s="9"/>
      <x:c r="S53" s="9"/>
      <x:c r="T53" s="9"/>
      <x:c r="U53" s="9"/>
      <x:c r="V53" s="9"/>
      <x:c r="W53" s="9"/>
      <x:c r="X53" s="9"/>
      <x:c r="Y53" s="9"/>
      <x:c r="Z53" s="9"/>
    </x:row>
    <x:row r="54" ht="14.25" customHeight="1">
      <x:c r="A54" s="1" t="s">
        <x:v>522</x:v>
      </x:c>
      <x:c r="B54" s="1" t="s">
        <x:v>523</x:v>
      </x:c>
      <x:c r="C54" s="1">
        <x:v>541.5</x:v>
      </x:c>
      <x:c r="D54" s="1">
        <x:v>349.2</x:v>
      </x:c>
      <x:c r="E54" s="1">
        <x:v>3840.8</x:v>
      </x:c>
      <x:c r="F54" s="1">
        <x:v>25.9</x:v>
      </x:c>
      <x:c r="G54" s="1">
        <x:v>12.9</x:v>
      </x:c>
      <x:c r="H54" s="1">
        <x:v>57.7</x:v>
      </x:c>
      <x:c r="I54" s="1">
        <x:v>362.4</x:v>
      </x:c>
      <x:c r="J54" s="1">
        <x:v>1.5</x:v>
      </x:c>
      <x:c r="K54" s="1">
        <x:v>3.7</x:v>
      </x:c>
      <x:c r="L54" s="1">
        <x:v>281.8</x:v>
      </x:c>
      <x:c r="M54" s="18">
        <x:f t="shared" si="1"/>
        <x:v>182.8585255</x:v>
      </x:c>
      <x:c r="N54" s="18">
        <x:f t="shared" si="2"/>
        <x:v>27.41932075</x:v>
      </x:c>
      <x:c r="O54" s="25" t="n">
        <x:f>MAX(QB!D56*Scoring!$B$30+QB!E56/Scoring!$C$30+QB!F56*Scoring!$D$30+QB!G56*Scoring!$E$30+QB!H56*Scoring!$F$30+QB!I56/Scoring!$G$30+QB!J56*Scoring!$H$30+QB!K56*Scoring!$I$30+M56*Scoring!$J$30+QB!N56*Scoring!$K$30,0)+C56*Scoring!$B$10*0.07+(C56-D56)*Scoring!$B$5</x:f>
        <x:v>249.92</x:v>
      </x:c>
      <x:c r="P54" s="25" t="n">
        <x:f>MAX(QB!D54*Scoring!$B$30+QB!E54/Scoring!$C$30+QB!F54*Scoring!$D$30+QB!G54*Scoring!$E$30+QB!H54*Scoring!$F$30+QB!I54/Scoring!$G$30+QB!J54*Scoring!$H$30+QB!K54*Scoring!$I$30+M54*Scoring!$J$30+QB!N54*Scoring!$K$30,0)+C54*Scoring!$B$10*0.07+(C54-D54)*Scoring!$B$5</x:f>
        <x:v>272.972</x:v>
      </x:c>
      <x:c r="Q54" s="25" t="n">
        <x:f>MAX(QB!D55*Scoring!$B$30+QB!E55/Scoring!$C$30+QB!F55*Scoring!$D$30+QB!G55*Scoring!$E$30+QB!H55*Scoring!$F$30+QB!I55/Scoring!$G$30+QB!J55*Scoring!$H$30+QB!K55*Scoring!$I$30+M55*Scoring!$J$30+QB!N55*Scoring!$K$30,0)+C55*Scoring!$B$10*0.07+(C55-D55)*Scoring!$B$5</x:f>
        <x:v>299.56000000000006</x:v>
      </x:c>
      <x:c r="R54" s="9"/>
      <x:c r="S54" s="9"/>
      <x:c r="T54" s="9"/>
      <x:c r="U54" s="9"/>
      <x:c r="V54" s="9"/>
      <x:c r="W54" s="9"/>
      <x:c r="X54" s="9"/>
      <x:c r="Y54" s="9"/>
      <x:c r="Z54" s="9"/>
    </x:row>
    <x:row r="55" ht="14.25" customHeight="1">
      <x:c r="B55" s="1" t="s">
        <x:v>488</x:v>
      </x:c>
      <x:c r="C55" s="1">
        <x:v>555.0</x:v>
      </x:c>
      <x:c r="D55" s="1">
        <x:v>356.0</x:v>
      </x:c>
      <x:c r="E55" s="1">
        <x:v>3949.0</x:v>
      </x:c>
      <x:c r="F55" s="1">
        <x:v>29.0</x:v>
      </x:c>
      <x:c r="G55" s="1">
        <x:v>11.6</x:v>
      </x:c>
      <x:c r="H55" s="1">
        <x:v>60.0</x:v>
      </x:c>
      <x:c r="I55" s="1">
        <x:v>398.0</x:v>
      </x:c>
      <x:c r="J55" s="1">
        <x:v>2.0</x:v>
      </x:c>
      <x:c r="K55" s="1">
        <x:v>3.0</x:v>
      </x:c>
      <x:c r="L55" s="1">
        <x:v>333.0</x:v>
      </x:c>
      <x:c r="M55" s="18">
        <x:f t="shared" si="1"/>
        <x:v>188.0098723</x:v>
      </x:c>
      <x:c r="N55" s="18">
        <x:f t="shared" si="2"/>
        <x:v>30.11283019</x:v>
      </x:c>
      <x:c r="O55" s="25"/>
      <x:c r="P55" s="25"/>
      <x:c r="Q55" s="25"/>
      <x:c r="R55" s="9"/>
      <x:c r="S55" s="9"/>
      <x:c r="T55" s="9"/>
      <x:c r="U55" s="9"/>
      <x:c r="V55" s="9"/>
      <x:c r="W55" s="9"/>
      <x:c r="X55" s="9"/>
      <x:c r="Y55" s="9"/>
      <x:c r="Z55" s="9"/>
    </x:row>
    <x:row r="56" ht="14.25" customHeight="1">
      <x:c r="B56" s="1" t="s">
        <x:v>489</x:v>
      </x:c>
      <x:c r="C56" s="1">
        <x:v>526.6</x:v>
      </x:c>
      <x:c r="D56" s="1">
        <x:v>338.5</x:v>
      </x:c>
      <x:c r="E56" s="1">
        <x:v>3750.0</x:v>
      </x:c>
      <x:c r="F56" s="1">
        <x:v>24.0</x:v>
      </x:c>
      <x:c r="G56" s="1">
        <x:v>15.0</x:v>
      </x:c>
      <x:c r="H56" s="1">
        <x:v>54.1</x:v>
      </x:c>
      <x:c r="I56" s="1">
        <x:v>323.2</x:v>
      </x:c>
      <x:c r="J56" s="1">
        <x:v>1.0</x:v>
      </x:c>
      <x:c r="K56" s="1">
        <x:v>4.4</x:v>
      </x:c>
      <x:c r="L56" s="1">
        <x:v>264.8</x:v>
      </x:c>
      <x:c r="M56" s="18">
        <x:f t="shared" si="1"/>
        <x:v>178.5355839</x:v>
      </x:c>
      <x:c r="N56" s="18">
        <x:f t="shared" si="2"/>
        <x:v>24.45343396</x:v>
      </x:c>
      <x:c r="O56" s="25"/>
      <x:c r="P56" s="25"/>
      <x:c r="Q56" s="25"/>
      <x:c r="R56" s="9"/>
      <x:c r="S56" s="9"/>
      <x:c r="T56" s="9"/>
      <x:c r="U56" s="9"/>
      <x:c r="V56" s="9"/>
      <x:c r="W56" s="9"/>
      <x:c r="X56" s="9"/>
      <x:c r="Y56" s="9"/>
      <x:c r="Z56" s="9"/>
    </x:row>
    <x:row r="57" ht="14.25" customHeight="1">
      <x:c r="A57" s="1" t="s">
        <x:v>524</x:v>
      </x:c>
      <x:c r="B57" s="1" t="s">
        <x:v>525</x:v>
      </x:c>
      <x:c r="C57" s="1">
        <x:v>498.1</x:v>
      </x:c>
      <x:c r="D57" s="1">
        <x:v>329.9</x:v>
      </x:c>
      <x:c r="E57" s="1">
        <x:v>3499.1</x:v>
      </x:c>
      <x:c r="F57" s="1">
        <x:v>23.5</x:v>
      </x:c>
      <x:c r="G57" s="1">
        <x:v>14.0</x:v>
      </x:c>
      <x:c r="H57" s="1">
        <x:v>79.6</x:v>
      </x:c>
      <x:c r="I57" s="1">
        <x:v>476.6</x:v>
      </x:c>
      <x:c r="J57" s="1">
        <x:v>3.4</x:v>
      </x:c>
      <x:c r="K57" s="1">
        <x:v>3.8</x:v>
      </x:c>
      <x:c r="L57" s="1">
        <x:v>280.3</x:v>
      </x:c>
      <x:c r="M57" s="18">
        <x:f t="shared" si="1"/>
        <x:v>166.5903631</x:v>
      </x:c>
      <x:c r="N57" s="18">
        <x:f t="shared" si="2"/>
        <x:v>36.05973585</x:v>
      </x:c>
      <x:c r="O57" s="25" t="n">
        <x:f>MAX(QB!D59*Scoring!$B$30+QB!E59/Scoring!$C$30+QB!F59*Scoring!$D$30+QB!G59*Scoring!$E$30+QB!H59*Scoring!$F$30+QB!I59/Scoring!$G$30+QB!J59*Scoring!$H$30+QB!K59*Scoring!$I$30+M59*Scoring!$J$30+QB!N59*Scoring!$K$30,0)+C59*Scoring!$B$10*0.07+(C59-D59)*Scoring!$B$5</x:f>
        <x:v>230.272</x:v>
      </x:c>
      <x:c r="P57" s="25" t="n">
        <x:f>MAX(QB!D57*Scoring!$B$30+QB!E57/Scoring!$C$30+QB!F57*Scoring!$D$30+QB!G57*Scoring!$E$30+QB!H57*Scoring!$F$30+QB!I57/Scoring!$G$30+QB!J57*Scoring!$H$30+QB!K57*Scoring!$I$30+M57*Scoring!$J$30+QB!N57*Scoring!$K$30,0)+C57*Scoring!$B$10*0.07+(C57-D57)*Scoring!$B$5</x:f>
        <x:v>270.224</x:v>
      </x:c>
      <x:c r="Q57" s="25" t="n">
        <x:f>MAX(QB!D58*Scoring!$B$30+QB!E58/Scoring!$C$30+QB!F58*Scoring!$D$30+QB!G58*Scoring!$E$30+QB!H58*Scoring!$F$30+QB!I58/Scoring!$G$30+QB!J58*Scoring!$H$30+QB!K58*Scoring!$I$30+M58*Scoring!$J$30+QB!N58*Scoring!$K$30,0)+C58*Scoring!$B$10*0.07+(C58-D58)*Scoring!$B$5</x:f>
        <x:v>308.78</x:v>
      </x:c>
      <x:c r="R57" s="9"/>
      <x:c r="S57" s="9"/>
      <x:c r="T57" s="9"/>
      <x:c r="U57" s="9"/>
      <x:c r="V57" s="9"/>
      <x:c r="W57" s="9"/>
      <x:c r="X57" s="9"/>
      <x:c r="Y57" s="9"/>
      <x:c r="Z57" s="9"/>
    </x:row>
    <x:row r="58" ht="14.25" customHeight="1">
      <x:c r="B58" s="1" t="s">
        <x:v>488</x:v>
      </x:c>
      <x:c r="C58" s="1">
        <x:v>525.0</x:v>
      </x:c>
      <x:c r="D58" s="1">
        <x:v>346.0</x:v>
      </x:c>
      <x:c r="E58" s="1">
        <x:v>3672.0</x:v>
      </x:c>
      <x:c r="F58" s="1">
        <x:v>28.0</x:v>
      </x:c>
      <x:c r="G58" s="1">
        <x:v>10.0</x:v>
      </x:c>
      <x:c r="H58" s="1">
        <x:v>85.0</x:v>
      </x:c>
      <x:c r="I58" s="1">
        <x:v>494.0</x:v>
      </x:c>
      <x:c r="J58" s="1">
        <x:v>4.0</x:v>
      </x:c>
      <x:c r="K58" s="1">
        <x:v>3.5</x:v>
      </x:c>
      <x:c r="L58" s="1">
        <x:v>315.0</x:v>
      </x:c>
      <x:c r="M58" s="18">
        <x:f t="shared" si="1"/>
        <x:v>174.8220438</x:v>
      </x:c>
      <x:c r="N58" s="18">
        <x:f t="shared" si="2"/>
        <x:v>37.37622642</x:v>
      </x:c>
      <x:c r="O58" s="25"/>
      <x:c r="P58" s="25"/>
      <x:c r="Q58" s="25"/>
      <x:c r="R58" s="9"/>
      <x:c r="S58" s="9"/>
      <x:c r="T58" s="9"/>
      <x:c r="U58" s="9"/>
      <x:c r="V58" s="9"/>
      <x:c r="W58" s="9"/>
      <x:c r="X58" s="9"/>
      <x:c r="Y58" s="9"/>
      <x:c r="Z58" s="9"/>
    </x:row>
    <x:row r="59" ht="14.25" customHeight="1">
      <x:c r="B59" s="1" t="s">
        <x:v>489</x:v>
      </x:c>
      <x:c r="C59" s="1">
        <x:v>479.0</x:v>
      </x:c>
      <x:c r="D59" s="1">
        <x:v>313.0</x:v>
      </x:c>
      <x:c r="E59" s="1">
        <x:v>3347.3</x:v>
      </x:c>
      <x:c r="F59" s="1">
        <x:v>19.5</x:v>
      </x:c>
      <x:c r="G59" s="1">
        <x:v>20.0</x:v>
      </x:c>
      <x:c r="H59" s="1">
        <x:v>70.9</x:v>
      </x:c>
      <x:c r="I59" s="1">
        <x:v>443.8</x:v>
      </x:c>
      <x:c r="J59" s="1">
        <x:v>3.0</x:v>
      </x:c>
      <x:c r="K59" s="1">
        <x:v>4.0</x:v>
      </x:c>
      <x:c r="L59" s="1">
        <x:v>250.6</x:v>
      </x:c>
      <x:c r="M59" s="18">
        <x:f t="shared" si="1"/>
        <x:v>159.3632427</x:v>
      </x:c>
      <x:c r="N59" s="18">
        <x:f t="shared" si="2"/>
        <x:v>33.57807547</x:v>
      </x:c>
      <x:c r="O59" s="25"/>
      <x:c r="P59" s="25"/>
      <x:c r="Q59" s="25"/>
      <x:c r="R59" s="9"/>
      <x:c r="S59" s="9"/>
      <x:c r="T59" s="9"/>
      <x:c r="U59" s="9"/>
      <x:c r="V59" s="9"/>
      <x:c r="W59" s="9"/>
      <x:c r="X59" s="9"/>
      <x:c r="Y59" s="9"/>
      <x:c r="Z59" s="9"/>
    </x:row>
    <x:row r="60" ht="14.25" customHeight="1">
      <x:c r="A60" s="1" t="s">
        <x:v>526</x:v>
      </x:c>
      <x:c r="B60" s="1" t="s">
        <x:v>527</x:v>
      </x:c>
      <x:c r="C60" s="1">
        <x:v>513.4</x:v>
      </x:c>
      <x:c r="D60" s="1">
        <x:v>337.4</x:v>
      </x:c>
      <x:c r="E60" s="1">
        <x:v>3761.5</x:v>
      </x:c>
      <x:c r="F60" s="1">
        <x:v>23.5</x:v>
      </x:c>
      <x:c r="G60" s="1">
        <x:v>11.4</x:v>
      </x:c>
      <x:c r="H60" s="1">
        <x:v>66.0</x:v>
      </x:c>
      <x:c r="I60" s="1">
        <x:v>250.7</x:v>
      </x:c>
      <x:c r="J60" s="1">
        <x:v>4.0</x:v>
      </x:c>
      <x:c r="K60" s="1">
        <x:v>3.8</x:v>
      </x:c>
      <x:c r="L60" s="1">
        <x:v>274.6</x:v>
      </x:c>
      <x:c r="M60" s="18">
        <x:f t="shared" si="1"/>
        <x:v>179.0830931</x:v>
      </x:c>
      <x:c r="N60" s="18">
        <x:f t="shared" si="2"/>
        <x:v>18.9680566</x:v>
      </x:c>
      <x:c r="O60" s="25" t="n">
        <x:f>MAX(QB!D62*Scoring!$B$30+QB!E62/Scoring!$C$30+QB!F62*Scoring!$D$30+QB!G62*Scoring!$E$30+QB!H62*Scoring!$F$30+QB!I62/Scoring!$G$30+QB!J62*Scoring!$H$30+QB!K62*Scoring!$I$30+M62*Scoring!$J$30+QB!N62*Scoring!$K$30,0)+C62*Scoring!$B$10*0.07+(C62-D62)*Scoring!$B$5</x:f>
        <x:v>232.12</x:v>
      </x:c>
      <x:c r="P60" s="25" t="n">
        <x:f>MAX(QB!D60*Scoring!$B$30+QB!E60/Scoring!$C$30+QB!F60*Scoring!$D$30+QB!G60*Scoring!$E$30+QB!H60*Scoring!$F$30+QB!I60/Scoring!$G$30+QB!J60*Scoring!$H$30+QB!K60*Scoring!$I$30+M60*Scoring!$J$30+QB!N60*Scoring!$K$30,0)+C60*Scoring!$B$10*0.07+(C60-D60)*Scoring!$B$5</x:f>
        <x:v>266.93</x:v>
      </x:c>
      <x:c r="Q60" s="25" t="n">
        <x:f>MAX(QB!D61*Scoring!$B$30+QB!E61/Scoring!$C$30+QB!F61*Scoring!$D$30+QB!G61*Scoring!$E$30+QB!H61*Scoring!$F$30+QB!I61/Scoring!$G$30+QB!J61*Scoring!$H$30+QB!K61*Scoring!$I$30+M61*Scoring!$J$30+QB!N61*Scoring!$K$30,0)+C61*Scoring!$B$10*0.07+(C61-D61)*Scoring!$B$5</x:f>
        <x:v>314.96000000000004</x:v>
      </x:c>
      <x:c r="R60" s="9"/>
      <x:c r="S60" s="9"/>
      <x:c r="T60" s="9"/>
      <x:c r="U60" s="9"/>
      <x:c r="V60" s="9"/>
      <x:c r="W60" s="9"/>
      <x:c r="X60" s="9"/>
      <x:c r="Y60" s="9"/>
      <x:c r="Z60" s="9"/>
    </x:row>
    <x:row r="61" ht="14.25" customHeight="1">
      <x:c r="B61" s="1" t="s">
        <x:v>488</x:v>
      </x:c>
      <x:c r="C61" s="1">
        <x:v>529.1</x:v>
      </x:c>
      <x:c r="D61" s="1">
        <x:v>350.3</x:v>
      </x:c>
      <x:c r="E61" s="1">
        <x:v>3846.0</x:v>
      </x:c>
      <x:c r="F61" s="1">
        <x:v>30.0</x:v>
      </x:c>
      <x:c r="G61" s="1">
        <x:v>11.0</x:v>
      </x:c>
      <x:c r="H61" s="1">
        <x:v>73.0</x:v>
      </x:c>
      <x:c r="I61" s="1">
        <x:v>307.2</x:v>
      </x:c>
      <x:c r="J61" s="1">
        <x:v>5.9</x:v>
      </x:c>
      <x:c r="K61" s="1">
        <x:v>3.0</x:v>
      </x:c>
      <x:c r="L61" s="1">
        <x:v>324.0</x:v>
      </x:c>
      <x:c r="M61" s="18">
        <x:f t="shared" si="1"/>
        <x:v>183.1060949</x:v>
      </x:c>
      <x:c r="N61" s="18">
        <x:f t="shared" si="2"/>
        <x:v>23.24286792</x:v>
      </x:c>
      <x:c r="O61" s="25"/>
      <x:c r="P61" s="25"/>
      <x:c r="Q61" s="25"/>
      <x:c r="R61" s="9"/>
      <x:c r="S61" s="9"/>
      <x:c r="T61" s="9"/>
      <x:c r="U61" s="9"/>
      <x:c r="V61" s="9"/>
      <x:c r="W61" s="9"/>
      <x:c r="X61" s="9"/>
      <x:c r="Y61" s="9"/>
      <x:c r="Z61" s="9"/>
    </x:row>
    <x:row r="62" ht="14.25" customHeight="1">
      <x:c r="B62" s="1" t="s">
        <x:v>489</x:v>
      </x:c>
      <x:c r="C62" s="1">
        <x:v>492.0</x:v>
      </x:c>
      <x:c r="D62" s="1">
        <x:v>329.0</x:v>
      </x:c>
      <x:c r="E62" s="1">
        <x:v>3688.0</x:v>
      </x:c>
      <x:c r="F62" s="1">
        <x:v>19.6</x:v>
      </x:c>
      <x:c r="G62" s="1">
        <x:v>12.0</x:v>
      </x:c>
      <x:c r="H62" s="1">
        <x:v>52.0</x:v>
      </x:c>
      <x:c r="I62" s="1">
        <x:v>167.0</x:v>
      </x:c>
      <x:c r="J62" s="1">
        <x:v>3.0</x:v>
      </x:c>
      <x:c r="K62" s="1">
        <x:v>4.5</x:v>
      </x:c>
      <x:c r="L62" s="1">
        <x:v>267.2</x:v>
      </x:c>
      <x:c r="M62" s="18">
        <x:f t="shared" si="1"/>
        <x:v>175.5837956</x:v>
      </x:c>
      <x:c r="N62" s="18">
        <x:f t="shared" si="2"/>
        <x:v>12.63528302</x:v>
      </x:c>
      <x:c r="O62" s="25"/>
      <x:c r="P62" s="25"/>
      <x:c r="Q62" s="25"/>
      <x:c r="R62" s="9"/>
      <x:c r="S62" s="9"/>
      <x:c r="T62" s="9"/>
      <x:c r="U62" s="9"/>
      <x:c r="V62" s="9"/>
      <x:c r="W62" s="9"/>
      <x:c r="X62" s="9"/>
      <x:c r="Y62" s="9"/>
      <x:c r="Z62" s="9"/>
    </x:row>
    <x:row r="63" ht="14.25" customHeight="1">
      <x:c r="A63" s="1" t="s">
        <x:v>528</x:v>
      </x:c>
      <x:c r="B63" s="1" t="s">
        <x:v>529</x:v>
      </x:c>
      <x:c r="C63" s="1">
        <x:v>493.3</x:v>
      </x:c>
      <x:c r="D63" s="1">
        <x:v>317.9</x:v>
      </x:c>
      <x:c r="E63" s="1">
        <x:v>3370.4</x:v>
      </x:c>
      <x:c r="F63" s="1">
        <x:v>17.7</x:v>
      </x:c>
      <x:c r="G63" s="1">
        <x:v>12.5</x:v>
      </x:c>
      <x:c r="H63" s="1">
        <x:v>124.9</x:v>
      </x:c>
      <x:c r="I63" s="1">
        <x:v>642.8</x:v>
      </x:c>
      <x:c r="J63" s="1">
        <x:v>4.1</x:v>
      </x:c>
      <x:c r="K63" s="1">
        <x:v>6.1</x:v>
      </x:c>
      <x:c r="L63" s="1">
        <x:v>270.2</x:v>
      </x:c>
      <x:c r="M63" s="18">
        <x:f t="shared" si="1"/>
        <x:v>160.4630219</x:v>
      </x:c>
      <x:c r="N63" s="18">
        <x:f t="shared" si="2"/>
        <x:v>48.63449057</x:v>
      </x:c>
      <x:c r="O63" s="25" t="n">
        <x:f>MAX(QB!D65*Scoring!$B$30+QB!E65/Scoring!$C$30+QB!F65*Scoring!$D$30+QB!G65*Scoring!$E$30+QB!H65*Scoring!$F$30+QB!I65/Scoring!$G$30+QB!J65*Scoring!$H$30+QB!K65*Scoring!$I$30+M65*Scoring!$J$30+QB!N65*Scoring!$K$30,0)+C65*Scoring!$B$10*0.07+(C65-D65)*Scoring!$B$5</x:f>
        <x:v>211.67000000000002</x:v>
      </x:c>
      <x:c r="P63" s="25" t="n">
        <x:f>MAX(QB!D63*Scoring!$B$30+QB!E63/Scoring!$C$30+QB!F63*Scoring!$D$30+QB!G63*Scoring!$E$30+QB!H63*Scoring!$F$30+QB!I63/Scoring!$G$30+QB!J63*Scoring!$H$30+QB!K63*Scoring!$I$30+M63*Scoring!$J$30+QB!N63*Scoring!$K$30,0)+C63*Scoring!$B$10*0.07+(C63-D63)*Scoring!$B$5</x:f>
        <x:v>263.39599999999996</x:v>
      </x:c>
      <x:c r="Q63" s="25" t="n">
        <x:f>MAX(QB!D64*Scoring!$B$30+QB!E64/Scoring!$C$30+QB!F64*Scoring!$D$30+QB!G64*Scoring!$E$30+QB!H64*Scoring!$F$30+QB!I64/Scoring!$G$30+QB!J64*Scoring!$H$30+QB!K64*Scoring!$I$30+M64*Scoring!$J$30+QB!N64*Scoring!$K$30,0)+C64*Scoring!$B$10*0.07+(C64-D64)*Scoring!$B$5</x:f>
        <x:v>318.908</x:v>
      </x:c>
      <x:c r="R63" s="9"/>
      <x:c r="S63" s="9"/>
      <x:c r="T63" s="9"/>
      <x:c r="U63" s="9"/>
      <x:c r="V63" s="9"/>
      <x:c r="W63" s="9"/>
      <x:c r="X63" s="9"/>
      <x:c r="Y63" s="9"/>
      <x:c r="Z63" s="9"/>
    </x:row>
    <x:row r="64" ht="14.25" customHeight="1">
      <x:c r="B64" s="1" t="s">
        <x:v>488</x:v>
      </x:c>
      <x:c r="C64" s="1">
        <x:v>515.0</x:v>
      </x:c>
      <x:c r="D64" s="1">
        <x:v>322.6</x:v>
      </x:c>
      <x:c r="E64" s="1">
        <x:v>3560.2</x:v>
      </x:c>
      <x:c r="F64" s="1">
        <x:v>25.0</x:v>
      </x:c>
      <x:c r="G64" s="1">
        <x:v>10.0</x:v>
      </x:c>
      <x:c r="H64" s="1">
        <x:v>145.0</x:v>
      </x:c>
      <x:c r="I64" s="1">
        <x:v>725.0</x:v>
      </x:c>
      <x:c r="J64" s="1">
        <x:v>5.0</x:v>
      </x:c>
      <x:c r="K64" s="1">
        <x:v>6.0</x:v>
      </x:c>
      <x:c r="L64" s="1">
        <x:v>315.0</x:v>
      </x:c>
      <x:c r="M64" s="18">
        <x:f t="shared" si="1"/>
        <x:v>169.4993029</x:v>
      </x:c>
      <x:c r="N64" s="18">
        <x:f t="shared" si="2"/>
        <x:v>54.85377358</x:v>
      </x:c>
      <x:c r="O64" s="25"/>
      <x:c r="P64" s="25"/>
      <x:c r="Q64" s="25"/>
      <x:c r="R64" s="9"/>
      <x:c r="S64" s="9"/>
      <x:c r="T64" s="9"/>
      <x:c r="U64" s="9"/>
      <x:c r="V64" s="9"/>
      <x:c r="W64" s="9"/>
      <x:c r="X64" s="9"/>
      <x:c r="Y64" s="9"/>
      <x:c r="Z64" s="9"/>
    </x:row>
    <x:row r="65" ht="14.25" customHeight="1">
      <x:c r="B65" s="1" t="s">
        <x:v>489</x:v>
      </x:c>
      <x:c r="C65" s="1">
        <x:v>460.0</x:v>
      </x:c>
      <x:c r="D65" s="1">
        <x:v>312.0</x:v>
      </x:c>
      <x:c r="E65" s="1">
        <x:v>3101.0</x:v>
      </x:c>
      <x:c r="F65" s="1">
        <x:v>13.2</x:v>
      </x:c>
      <x:c r="G65" s="1">
        <x:v>17.0</x:v>
      </x:c>
      <x:c r="H65" s="1">
        <x:v>105.6</x:v>
      </x:c>
      <x:c r="I65" s="1">
        <x:v>546.3</x:v>
      </x:c>
      <x:c r="J65" s="1">
        <x:v>3.4</x:v>
      </x:c>
      <x:c r="K65" s="1">
        <x:v>6.2</x:v>
      </x:c>
      <x:c r="L65" s="1">
        <x:v>239.1</x:v>
      </x:c>
      <x:c r="M65" s="18">
        <x:f t="shared" si="1"/>
        <x:v>147.6370255</x:v>
      </x:c>
      <x:c r="N65" s="18">
        <x:f t="shared" si="2"/>
        <x:v>41.33326415</x:v>
      </x:c>
      <x:c r="O65" s="25"/>
      <x:c r="P65" s="25"/>
      <x:c r="Q65" s="25"/>
      <x:c r="R65" s="9"/>
      <x:c r="S65" s="9"/>
      <x:c r="T65" s="9"/>
      <x:c r="U65" s="9"/>
      <x:c r="V65" s="9"/>
      <x:c r="W65" s="9"/>
      <x:c r="X65" s="9"/>
      <x:c r="Y65" s="9"/>
      <x:c r="Z65" s="9"/>
    </x:row>
    <x:row r="66" ht="14.25" customHeight="1">
      <x:c r="A66" s="1" t="s">
        <x:v>530</x:v>
      </x:c>
      <x:c r="B66" s="1" t="s">
        <x:v>531</x:v>
      </x:c>
      <x:c r="C66" s="1">
        <x:v>511.4</x:v>
      </x:c>
      <x:c r="D66" s="1">
        <x:v>331.6</x:v>
      </x:c>
      <x:c r="E66" s="1">
        <x:v>3846.2</x:v>
      </x:c>
      <x:c r="F66" s="1">
        <x:v>26.7</x:v>
      </x:c>
      <x:c r="G66" s="1">
        <x:v>10.2</x:v>
      </x:c>
      <x:c r="H66" s="1">
        <x:v>46.5</x:v>
      </x:c>
      <x:c r="I66" s="1">
        <x:v>194.9</x:v>
      </x:c>
      <x:c r="J66" s="1">
        <x:v>0.6</x:v>
      </x:c>
      <x:c r="K66" s="1">
        <x:v>3.0</x:v>
      </x:c>
      <x:c r="L66" s="1">
        <x:v>267.7</x:v>
      </x:c>
      <x:c r="M66" s="18">
        <x:f t="shared" si="1"/>
        <x:v>183.1156168</x:v>
      </x:c>
      <x:c r="N66" s="18">
        <x:f t="shared" si="2"/>
        <x:v>14.74620755</x:v>
      </x:c>
      <x:c r="O66" s="25" t="n">
        <x:f>MAX(QB!D68*Scoring!$B$30+QB!E68/Scoring!$C$30+QB!F68*Scoring!$D$30+QB!G68*Scoring!$E$30+QB!H68*Scoring!$F$30+QB!I68/Scoring!$G$30+QB!J68*Scoring!$H$30+QB!K68*Scoring!$I$30+M68*Scoring!$J$30+QB!N68*Scoring!$K$30,0)+C68*Scoring!$B$10*0.07+(C68-D68)*Scoring!$B$5</x:f>
        <x:v>240.78</x:v>
      </x:c>
      <x:c r="P66" s="25" t="n">
        <x:f>MAX(QB!D66*Scoring!$B$30+QB!E66/Scoring!$C$30+QB!F66*Scoring!$D$30+QB!G66*Scoring!$E$30+QB!H66*Scoring!$F$30+QB!I66/Scoring!$G$30+QB!J66*Scoring!$H$30+QB!K66*Scoring!$I$30+M66*Scoring!$J$30+QB!N66*Scoring!$K$30,0)+C66*Scoring!$B$10*0.07+(C66-D66)*Scoring!$B$5</x:f>
        <x:v>260.33799999999997</x:v>
      </x:c>
      <x:c r="Q66" s="25" t="n">
        <x:f>MAX(QB!D67*Scoring!$B$30+QB!E67/Scoring!$C$30+QB!F67*Scoring!$D$30+QB!G67*Scoring!$E$30+QB!H67*Scoring!$F$30+QB!I67/Scoring!$G$30+QB!J67*Scoring!$H$30+QB!K67*Scoring!$I$30+M67*Scoring!$J$30+QB!N67*Scoring!$K$30,0)+C67*Scoring!$B$10*0.07+(C67-D67)*Scoring!$B$5</x:f>
        <x:v>280.884</x:v>
      </x:c>
      <x:c r="R66" s="9"/>
      <x:c r="S66" s="9"/>
      <x:c r="T66" s="9"/>
      <x:c r="U66" s="9"/>
      <x:c r="V66" s="9"/>
      <x:c r="W66" s="9"/>
      <x:c r="X66" s="9"/>
      <x:c r="Y66" s="9"/>
      <x:c r="Z66" s="9"/>
    </x:row>
    <x:row r="67" ht="14.25" customHeight="1">
      <x:c r="B67" s="1" t="s">
        <x:v>488</x:v>
      </x:c>
      <x:c r="C67" s="1">
        <x:v>531.3</x:v>
      </x:c>
      <x:c r="D67" s="1">
        <x:v>343.0</x:v>
      </x:c>
      <x:c r="E67" s="1">
        <x:v>3990.6</x:v>
      </x:c>
      <x:c r="F67" s="1">
        <x:v>29.0</x:v>
      </x:c>
      <x:c r="G67" s="1">
        <x:v>10.0</x:v>
      </x:c>
      <x:c r="H67" s="1">
        <x:v>50.4</x:v>
      </x:c>
      <x:c r="I67" s="1">
        <x:v>212.6</x:v>
      </x:c>
      <x:c r="J67" s="1">
        <x:v>1.0</x:v>
      </x:c>
      <x:c r="K67" s="1">
        <x:v>2.0</x:v>
      </x:c>
      <x:c r="L67" s="1">
        <x:v>300.0</x:v>
      </x:c>
      <x:c r="M67" s="18">
        <x:f t="shared" si="1"/>
        <x:v>189.990427</x:v>
      </x:c>
      <x:c r="N67" s="18">
        <x:f t="shared" si="2"/>
        <x:v>16.08539623</x:v>
      </x:c>
      <x:c r="O67" s="25"/>
      <x:c r="P67" s="25"/>
      <x:c r="Q67" s="25"/>
      <x:c r="R67" s="9"/>
      <x:c r="S67" s="9"/>
      <x:c r="T67" s="9"/>
      <x:c r="U67" s="9"/>
      <x:c r="V67" s="9"/>
      <x:c r="W67" s="9"/>
      <x:c r="X67" s="9"/>
      <x:c r="Y67" s="9"/>
      <x:c r="Z67" s="9"/>
    </x:row>
    <x:row r="68" ht="14.25" customHeight="1">
      <x:c r="B68" s="1" t="s">
        <x:v>489</x:v>
      </x:c>
      <x:c r="C68" s="1">
        <x:v>475.0</x:v>
      </x:c>
      <x:c r="D68" s="1">
        <x:v>310.0</x:v>
      </x:c>
      <x:c r="E68" s="1">
        <x:v>3692.0</x:v>
      </x:c>
      <x:c r="F68" s="1">
        <x:v>25.0</x:v>
      </x:c>
      <x:c r="G68" s="1">
        <x:v>10.7</x:v>
      </x:c>
      <x:c r="H68" s="1">
        <x:v>43.0</x:v>
      </x:c>
      <x:c r="I68" s="1">
        <x:v>185.0</x:v>
      </x:c>
      <x:c r="J68" s="1">
        <x:v>0.0</x:v>
      </x:c>
      <x:c r="K68" s="1">
        <x:v>4.0</x:v>
      </x:c>
      <x:c r="L68" s="1">
        <x:v>259.0</x:v>
      </x:c>
      <x:c r="M68" s="18">
        <x:f t="shared" si="1"/>
        <x:v>175.7742336</x:v>
      </x:c>
      <x:c r="N68" s="18">
        <x:f t="shared" si="2"/>
        <x:v>13.99716981</x:v>
      </x:c>
      <x:c r="O68" s="25"/>
      <x:c r="P68" s="25"/>
      <x:c r="Q68" s="25"/>
      <x:c r="R68" s="9"/>
      <x:c r="S68" s="9"/>
      <x:c r="T68" s="9"/>
      <x:c r="U68" s="9"/>
      <x:c r="V68" s="9"/>
      <x:c r="W68" s="9"/>
      <x:c r="X68" s="9"/>
      <x:c r="Y68" s="9"/>
      <x:c r="Z68" s="9"/>
    </x:row>
    <x:row r="69" ht="14.25" customHeight="1">
      <x:c r="A69" s="1" t="s">
        <x:v>532</x:v>
      </x:c>
      <x:c r="B69" s="1" t="s">
        <x:v>533</x:v>
      </x:c>
      <x:c r="C69" s="1">
        <x:v>506.9</x:v>
      </x:c>
      <x:c r="D69" s="1">
        <x:v>337.0</x:v>
      </x:c>
      <x:c r="E69" s="1">
        <x:v>4091.4</x:v>
      </x:c>
      <x:c r="F69" s="1">
        <x:v>27.3</x:v>
      </x:c>
      <x:c r="G69" s="1">
        <x:v>12.8</x:v>
      </x:c>
      <x:c r="H69" s="1">
        <x:v>44.0</x:v>
      </x:c>
      <x:c r="I69" s="1">
        <x:v>131.9</x:v>
      </x:c>
      <x:c r="J69" s="1">
        <x:v>0.6</x:v>
      </x:c>
      <x:c r="K69" s="1">
        <x:v>5.3</x:v>
      </x:c>
      <x:c r="L69" s="1">
        <x:v>266.6</x:v>
      </x:c>
      <x:c r="M69" s="18">
        <x:f t="shared" si="1"/>
        <x:v>194.7894635</x:v>
      </x:c>
      <x:c r="N69" s="18">
        <x:f t="shared" si="2"/>
        <x:v>9.979603774</x:v>
      </x:c>
      <x:c r="O69" s="25" t="n">
        <x:f>MAX(QB!D71*Scoring!$B$30+QB!E71/Scoring!$C$30+QB!F71*Scoring!$D$30+QB!G71*Scoring!$E$30+QB!H71*Scoring!$F$30+QB!I71/Scoring!$G$30+QB!J71*Scoring!$H$30+QB!K71*Scoring!$I$30+M71*Scoring!$J$30+QB!N71*Scoring!$K$30,0)+C71*Scoring!$B$10*0.07+(C71-D71)*Scoring!$B$5</x:f>
        <x:v>237.02800000000002</x:v>
      </x:c>
      <x:c r="P69" s="25" t="n">
        <x:f>MAX(QB!D69*Scoring!$B$30+QB!E69/Scoring!$C$30+QB!F69*Scoring!$D$30+QB!G69*Scoring!$E$30+QB!H69*Scoring!$F$30+QB!I69/Scoring!$G$30+QB!J69*Scoring!$H$30+QB!K69*Scoring!$I$30+M69*Scoring!$J$30+QB!N69*Scoring!$K$30,0)+C69*Scoring!$B$10*0.07+(C69-D69)*Scoring!$B$5</x:f>
        <x:v>258.74600000000004</x:v>
      </x:c>
      <x:c r="Q69" s="25" t="n">
        <x:f>MAX(QB!D70*Scoring!$B$30+QB!E70/Scoring!$C$30+QB!F70*Scoring!$D$30+QB!G70*Scoring!$E$30+QB!H70*Scoring!$F$30+QB!I70/Scoring!$G$30+QB!J70*Scoring!$H$30+QB!K70*Scoring!$I$30+M70*Scoring!$J$30+QB!N70*Scoring!$K$30,0)+C70*Scoring!$B$10*0.07+(C70-D70)*Scoring!$B$5</x:f>
        <x:v>284.34</x:v>
      </x:c>
      <x:c r="R69" s="9"/>
      <x:c r="S69" s="9"/>
      <x:c r="T69" s="9"/>
      <x:c r="U69" s="9"/>
      <x:c r="V69" s="9"/>
      <x:c r="W69" s="9"/>
      <x:c r="X69" s="9"/>
      <x:c r="Y69" s="9"/>
      <x:c r="Z69" s="9"/>
    </x:row>
    <x:row r="70" ht="14.25" customHeight="1">
      <x:c r="B70" s="1" t="s">
        <x:v>488</x:v>
      </x:c>
      <x:c r="C70" s="1">
        <x:v>512.6</x:v>
      </x:c>
      <x:c r="D70" s="1">
        <x:v>339.0</x:v>
      </x:c>
      <x:c r="E70" s="1">
        <x:v>4131.0</x:v>
      </x:c>
      <x:c r="F70" s="1">
        <x:v>32.0</x:v>
      </x:c>
      <x:c r="G70" s="1">
        <x:v>12.4</x:v>
      </x:c>
      <x:c r="H70" s="1">
        <x:v>48.0</x:v>
      </x:c>
      <x:c r="I70" s="1">
        <x:v>145.0</x:v>
      </x:c>
      <x:c r="J70" s="1">
        <x:v>1.0</x:v>
      </x:c>
      <x:c r="K70" s="1">
        <x:v>4.6</x:v>
      </x:c>
      <x:c r="L70" s="1">
        <x:v>315.0</x:v>
      </x:c>
      <x:c r="M70" s="18">
        <x:f t="shared" si="1"/>
        <x:v>196.6747993</x:v>
      </x:c>
      <x:c r="N70" s="18">
        <x:f t="shared" si="2"/>
        <x:v>10.97075472</x:v>
      </x:c>
      <x:c r="O70" s="25"/>
      <x:c r="P70" s="25"/>
      <x:c r="Q70" s="25"/>
      <x:c r="R70" s="9"/>
      <x:c r="S70" s="9"/>
      <x:c r="T70" s="9"/>
      <x:c r="U70" s="9"/>
      <x:c r="V70" s="9"/>
      <x:c r="W70" s="9"/>
      <x:c r="X70" s="9"/>
      <x:c r="Y70" s="9"/>
      <x:c r="Z70" s="9"/>
    </x:row>
    <x:row r="71" ht="14.25" customHeight="1">
      <x:c r="B71" s="1" t="s">
        <x:v>489</x:v>
      </x:c>
      <x:c r="C71" s="1">
        <x:v>498.0</x:v>
      </x:c>
      <x:c r="D71" s="1">
        <x:v>335.1</x:v>
      </x:c>
      <x:c r="E71" s="1">
        <x:v>4013.2</x:v>
      </x:c>
      <x:c r="F71" s="1">
        <x:v>24.0</x:v>
      </x:c>
      <x:c r="G71" s="1">
        <x:v>13.0</x:v>
      </x:c>
      <x:c r="H71" s="1">
        <x:v>40.0</x:v>
      </x:c>
      <x:c r="I71" s="1">
        <x:v>125.0</x:v>
      </x:c>
      <x:c r="J71" s="1">
        <x:v>0.0</x:v>
      </x:c>
      <x:c r="K71" s="1">
        <x:v>6.0</x:v>
      </x:c>
      <x:c r="L71" s="1">
        <x:v>242.6</x:v>
      </x:c>
      <x:c r="M71" s="18">
        <x:f t="shared" si="1"/>
        <x:v>191.0664015</x:v>
      </x:c>
      <x:c r="N71" s="18">
        <x:f t="shared" si="2"/>
        <x:v>9.45754717</x:v>
      </x:c>
      <x:c r="O71" s="25"/>
      <x:c r="P71" s="25"/>
      <x:c r="Q71" s="25"/>
      <x:c r="R71" s="9"/>
      <x:c r="S71" s="9"/>
      <x:c r="T71" s="9"/>
      <x:c r="U71" s="9"/>
      <x:c r="V71" s="9"/>
      <x:c r="W71" s="9"/>
      <x:c r="X71" s="9"/>
      <x:c r="Y71" s="9"/>
      <x:c r="Z71" s="9"/>
    </x:row>
    <x:row r="72" ht="14.25" customHeight="1">
      <x:c r="A72" s="1" t="s">
        <x:v>534</x:v>
      </x:c>
      <x:c r="B72" s="1" t="s">
        <x:v>535</x:v>
      </x:c>
      <x:c r="C72" s="1">
        <x:v>550.6</x:v>
      </x:c>
      <x:c r="D72" s="1">
        <x:v>347.4</x:v>
      </x:c>
      <x:c r="E72" s="1">
        <x:v>3877.7</x:v>
      </x:c>
      <x:c r="F72" s="1">
        <x:v>23.5</x:v>
      </x:c>
      <x:c r="G72" s="1">
        <x:v>11.4</x:v>
      </x:c>
      <x:c r="H72" s="1">
        <x:v>54.4</x:v>
      </x:c>
      <x:c r="I72" s="1">
        <x:v>238.8</x:v>
      </x:c>
      <x:c r="J72" s="1">
        <x:v>1.0</x:v>
      </x:c>
      <x:c r="K72" s="1">
        <x:v>3.5</x:v>
      </x:c>
      <x:c r="L72" s="1">
        <x:v>260.8</x:v>
      </x:c>
      <x:c r="M72" s="18">
        <x:f t="shared" si="1"/>
        <x:v>184.6153157</x:v>
      </x:c>
      <x:c r="N72" s="18">
        <x:f t="shared" si="2"/>
        <x:v>18.06769811</x:v>
      </x:c>
      <x:c r="O72" s="25" t="n">
        <x:f>MAX(QB!D74*Scoring!$B$30+QB!E74/Scoring!$C$30+QB!F74*Scoring!$D$30+QB!G74*Scoring!$E$30+QB!H74*Scoring!$F$30+QB!I74/Scoring!$G$30+QB!J74*Scoring!$H$30+QB!K74*Scoring!$I$30+M74*Scoring!$J$30+QB!N74*Scoring!$K$30,0)+C74*Scoring!$B$10*0.07+(C74-D74)*Scoring!$B$5</x:f>
        <x:v>234.06000000000003</x:v>
      </x:c>
      <x:c r="P72" s="25" t="n">
        <x:f>MAX(QB!D72*Scoring!$B$30+QB!E72/Scoring!$C$30+QB!F72*Scoring!$D$30+QB!G72*Scoring!$E$30+QB!H72*Scoring!$F$30+QB!I72/Scoring!$G$30+QB!J72*Scoring!$H$30+QB!K72*Scoring!$I$30+M72*Scoring!$J$30+QB!N72*Scoring!$K$30,0)+C72*Scoring!$B$10*0.07+(C72-D72)*Scoring!$B$5</x:f>
        <x:v>252.688</x:v>
      </x:c>
      <x:c r="Q72" s="25" t="n">
        <x:f>MAX(QB!D73*Scoring!$B$30+QB!E73/Scoring!$C$30+QB!F73*Scoring!$D$30+QB!G73*Scoring!$E$30+QB!H73*Scoring!$F$30+QB!I73/Scoring!$G$30+QB!J73*Scoring!$H$30+QB!K73*Scoring!$I$30+M73*Scoring!$J$30+QB!N73*Scoring!$K$30,0)+C73*Scoring!$B$10*0.07+(C73-D73)*Scoring!$B$5</x:f>
        <x:v>278.53400000000005</x:v>
      </x:c>
      <x:c r="R72" s="9"/>
      <x:c r="S72" s="9"/>
      <x:c r="T72" s="9"/>
      <x:c r="U72" s="9"/>
      <x:c r="V72" s="9"/>
      <x:c r="W72" s="9"/>
      <x:c r="X72" s="9"/>
      <x:c r="Y72" s="9"/>
      <x:c r="Z72" s="9"/>
    </x:row>
    <x:row r="73" ht="14.25" customHeight="1">
      <x:c r="B73" s="1" t="s">
        <x:v>488</x:v>
      </x:c>
      <x:c r="C73" s="1">
        <x:v>572.0</x:v>
      </x:c>
      <x:c r="D73" s="1">
        <x:v>352.0</x:v>
      </x:c>
      <x:c r="E73" s="1">
        <x:v>3950.1</x:v>
      </x:c>
      <x:c r="F73" s="1">
        <x:v>28.0</x:v>
      </x:c>
      <x:c r="G73" s="1">
        <x:v>10.0</x:v>
      </x:c>
      <x:c r="H73" s="1">
        <x:v>57.1</x:v>
      </x:c>
      <x:c r="I73" s="1">
        <x:v>249.3</x:v>
      </x:c>
      <x:c r="J73" s="1">
        <x:v>1.1</x:v>
      </x:c>
      <x:c r="K73" s="1">
        <x:v>3.0</x:v>
      </x:c>
      <x:c r="L73" s="1">
        <x:v>310.0</x:v>
      </x:c>
      <x:c r="M73" s="18">
        <x:f t="shared" si="1"/>
        <x:v>188.0622427</x:v>
      </x:c>
      <x:c r="N73" s="18">
        <x:f t="shared" si="2"/>
        <x:v>18.86213208</x:v>
      </x:c>
      <x:c r="O73" s="25"/>
      <x:c r="P73" s="25"/>
      <x:c r="Q73" s="25"/>
      <x:c r="R73" s="9"/>
      <x:c r="S73" s="9"/>
      <x:c r="T73" s="9"/>
      <x:c r="U73" s="9"/>
      <x:c r="V73" s="9"/>
      <x:c r="W73" s="9"/>
      <x:c r="X73" s="9"/>
      <x:c r="Y73" s="9"/>
      <x:c r="Z73" s="9"/>
    </x:row>
    <x:row r="74" ht="14.25" customHeight="1">
      <x:c r="B74" s="1" t="s">
        <x:v>489</x:v>
      </x:c>
      <x:c r="C74" s="1">
        <x:v>529.0</x:v>
      </x:c>
      <x:c r="D74" s="1">
        <x:v>339.0</x:v>
      </x:c>
      <x:c r="E74" s="1">
        <x:v>3759.0</x:v>
      </x:c>
      <x:c r="F74" s="1">
        <x:v>21.0</x:v>
      </x:c>
      <x:c r="G74" s="1">
        <x:v>12.1</x:v>
      </x:c>
      <x:c r="H74" s="1">
        <x:v>51.0</x:v>
      </x:c>
      <x:c r="I74" s="1">
        <x:v>218.0</x:v>
      </x:c>
      <x:c r="J74" s="1">
        <x:v>1.0</x:v>
      </x:c>
      <x:c r="K74" s="1">
        <x:v>3.9</x:v>
      </x:c>
      <x:c r="L74" s="1">
        <x:v>246.6</x:v>
      </x:c>
      <x:c r="M74" s="18">
        <x:f t="shared" si="1"/>
        <x:v>178.9640693</x:v>
      </x:c>
      <x:c r="N74" s="18">
        <x:f t="shared" si="2"/>
        <x:v>16.49396226</x:v>
      </x:c>
      <x:c r="O74" s="25"/>
      <x:c r="P74" s="25"/>
      <x:c r="Q74" s="25"/>
      <x:c r="R74" s="9"/>
      <x:c r="S74" s="9"/>
      <x:c r="T74" s="9"/>
      <x:c r="U74" s="9"/>
      <x:c r="V74" s="9"/>
      <x:c r="W74" s="9"/>
      <x:c r="X74" s="9"/>
      <x:c r="Y74" s="9"/>
      <x:c r="Z74" s="9"/>
    </x:row>
    <x:row r="75" ht="14.25" customHeight="1">
      <x:c r="A75" s="1" t="s">
        <x:v>536</x:v>
      </x:c>
      <x:c r="B75" s="1" t="s">
        <x:v>537</x:v>
      </x:c>
      <x:c r="C75" s="1">
        <x:v>526.2</x:v>
      </x:c>
      <x:c r="D75" s="1">
        <x:v>334.6</x:v>
      </x:c>
      <x:c r="E75" s="1">
        <x:v>3459.3</x:v>
      </x:c>
      <x:c r="F75" s="1">
        <x:v>22.8</x:v>
      </x:c>
      <x:c r="G75" s="1">
        <x:v>12.0</x:v>
      </x:c>
      <x:c r="H75" s="1">
        <x:v>57.9</x:v>
      </x:c>
      <x:c r="I75" s="1">
        <x:v>261.4</x:v>
      </x:c>
      <x:c r="J75" s="1">
        <x:v>3.0</x:v>
      </x:c>
      <x:c r="K75" s="1">
        <x:v>3.0</x:v>
      </x:c>
      <x:c r="L75" s="1">
        <x:v>255.8</x:v>
      </x:c>
      <x:c r="M75" s="18">
        <x:f t="shared" si="1"/>
        <x:v>164.6955055</x:v>
      </x:c>
      <x:c r="N75" s="18">
        <x:f t="shared" si="2"/>
        <x:v>19.77762264</x:v>
      </x:c>
      <x:c r="O75" s="25" t="n">
        <x:f>MAX(QB!D77*Scoring!$B$30+QB!E77/Scoring!$C$30+QB!F77*Scoring!$D$30+QB!G77*Scoring!$E$30+QB!H77*Scoring!$F$30+QB!I77/Scoring!$G$30+QB!J77*Scoring!$H$30+QB!K77*Scoring!$I$30+M77*Scoring!$J$30+QB!N77*Scoring!$K$30,0)+C77*Scoring!$B$10*0.07+(C77-D77)*Scoring!$B$5</x:f>
        <x:v>218.89999999999998</x:v>
      </x:c>
      <x:c r="P75" s="25" t="n">
        <x:f>MAX(QB!D75*Scoring!$B$30+QB!E75/Scoring!$C$30+QB!F75*Scoring!$D$30+QB!G75*Scoring!$E$30+QB!H75*Scoring!$F$30+QB!I75/Scoring!$G$30+QB!J75*Scoring!$H$30+QB!K75*Scoring!$I$30+M75*Scoring!$J$30+QB!N75*Scoring!$K$30,0)+C75*Scoring!$B$10*0.07+(C75-D75)*Scoring!$B$5</x:f>
        <x:v>246.712</x:v>
      </x:c>
      <x:c r="Q75" s="25" t="n">
        <x:f>MAX(QB!D76*Scoring!$B$30+QB!E76/Scoring!$C$30+QB!F76*Scoring!$D$30+QB!G76*Scoring!$E$30+QB!H76*Scoring!$F$30+QB!I76/Scoring!$G$30+QB!J76*Scoring!$H$30+QB!K76*Scoring!$I$30+M76*Scoring!$J$30+QB!N76*Scoring!$K$30,0)+C76*Scoring!$B$10*0.07+(C76-D76)*Scoring!$B$5</x:f>
        <x:v>279.892</x:v>
      </x:c>
      <x:c r="R75" s="9"/>
      <x:c r="S75" s="9"/>
      <x:c r="T75" s="9"/>
      <x:c r="U75" s="9"/>
      <x:c r="V75" s="9"/>
      <x:c r="W75" s="9"/>
      <x:c r="X75" s="9"/>
      <x:c r="Y75" s="9"/>
      <x:c r="Z75" s="9"/>
    </x:row>
    <x:row r="76" ht="14.25" customHeight="1">
      <x:c r="B76" s="1" t="s">
        <x:v>488</x:v>
      </x:c>
      <x:c r="C76" s="1">
        <x:v>539.7</x:v>
      </x:c>
      <x:c r="D76" s="1">
        <x:v>336.0</x:v>
      </x:c>
      <x:c r="E76" s="1">
        <x:v>3639.8</x:v>
      </x:c>
      <x:c r="F76" s="1">
        <x:v>26.0</x:v>
      </x:c>
      <x:c r="G76" s="1">
        <x:v>10.0</x:v>
      </x:c>
      <x:c r="H76" s="1">
        <x:v>61.0</x:v>
      </x:c>
      <x:c r="I76" s="1">
        <x:v>283.0</x:v>
      </x:c>
      <x:c r="J76" s="1">
        <x:v>4.0</x:v>
      </x:c>
      <x:c r="K76" s="1">
        <x:v>2.0</x:v>
      </x:c>
      <x:c r="L76" s="1">
        <x:v>293.0</x:v>
      </x:c>
      <x:c r="M76" s="18">
        <x:f t="shared" si="1"/>
        <x:v>173.2890182</x:v>
      </x:c>
      <x:c r="N76" s="18">
        <x:f t="shared" si="2"/>
        <x:v>21.41188679</x:v>
      </x:c>
      <x:c r="O76" s="25"/>
      <x:c r="P76" s="25"/>
      <x:c r="Q76" s="25"/>
      <x:c r="R76" s="9"/>
      <x:c r="S76" s="9"/>
      <x:c r="T76" s="9"/>
      <x:c r="U76" s="9"/>
      <x:c r="V76" s="9"/>
      <x:c r="W76" s="9"/>
      <x:c r="X76" s="9"/>
      <x:c r="Y76" s="9"/>
      <x:c r="Z76" s="9"/>
    </x:row>
    <x:row r="77" ht="14.25" customHeight="1">
      <x:c r="B77" s="1" t="s">
        <x:v>489</x:v>
      </x:c>
      <x:c r="C77" s="1">
        <x:v>515.0</x:v>
      </x:c>
      <x:c r="D77" s="1">
        <x:v>332.0</x:v>
      </x:c>
      <x:c r="E77" s="1">
        <x:v>3355.0</x:v>
      </x:c>
      <x:c r="F77" s="1">
        <x:v>20.3</x:v>
      </x:c>
      <x:c r="G77" s="1">
        <x:v>14.0</x:v>
      </x:c>
      <x:c r="H77" s="1">
        <x:v>55.0</x:v>
      </x:c>
      <x:c r="I77" s="1">
        <x:v>229.0</x:v>
      </x:c>
      <x:c r="J77" s="1">
        <x:v>2.1</x:v>
      </x:c>
      <x:c r="K77" s="1">
        <x:v>4.0</x:v>
      </x:c>
      <x:c r="L77" s="1">
        <x:v>237.5</x:v>
      </x:c>
      <x:c r="M77" s="18">
        <x:f t="shared" si="1"/>
        <x:v>159.7298358</x:v>
      </x:c>
      <x:c r="N77" s="18">
        <x:f t="shared" si="2"/>
        <x:v>17.32622642</x:v>
      </x:c>
      <x:c r="O77" s="25"/>
      <x:c r="P77" s="25"/>
      <x:c r="Q77" s="25"/>
      <x:c r="R77" s="9"/>
      <x:c r="S77" s="9"/>
      <x:c r="T77" s="9"/>
      <x:c r="U77" s="9"/>
      <x:c r="V77" s="9"/>
      <x:c r="W77" s="9"/>
      <x:c r="X77" s="9"/>
      <x:c r="Y77" s="9"/>
      <x:c r="Z77" s="9"/>
    </x:row>
    <x:row r="78" ht="14.25" customHeight="1">
      <x:c r="A78" s="1" t="s">
        <x:v>538</x:v>
      </x:c>
      <x:c r="B78" s="1" t="s">
        <x:v>539</x:v>
      </x:c>
      <x:c r="C78" s="1">
        <x:v>520.8</x:v>
      </x:c>
      <x:c r="D78" s="1">
        <x:v>340.7</x:v>
      </x:c>
      <x:c r="E78" s="1">
        <x:v>3459.4</x:v>
      </x:c>
      <x:c r="F78" s="1">
        <x:v>22.1</x:v>
      </x:c>
      <x:c r="G78" s="1">
        <x:v>14.8</x:v>
      </x:c>
      <x:c r="H78" s="1">
        <x:v>57.3</x:v>
      </x:c>
      <x:c r="I78" s="1">
        <x:v>210.7</x:v>
      </x:c>
      <x:c r="J78" s="1">
        <x:v>1.0</x:v>
      </x:c>
      <x:c r="K78" s="1">
        <x:v>2.2</x:v>
      </x:c>
      <x:c r="L78" s="1">
        <x:v>234.9</x:v>
      </x:c>
      <x:c r="M78" s="18">
        <x:f t="shared" si="1"/>
        <x:v>164.7002664</x:v>
      </x:c>
      <x:c r="N78" s="18">
        <x:f t="shared" si="2"/>
        <x:v>15.94164151</x:v>
      </x:c>
      <x:c r="O78" s="25" t="n">
        <x:f>MAX(QB!D80*Scoring!$B$30+QB!E80/Scoring!$C$30+QB!F80*Scoring!$D$30+QB!G80*Scoring!$E$30+QB!H80*Scoring!$F$30+QB!I80/Scoring!$G$30+QB!J80*Scoring!$H$30+QB!K80*Scoring!$I$30+M80*Scoring!$J$30+QB!N80*Scoring!$K$30,0)+C80*Scoring!$B$10*0.07+(C80-D80)*Scoring!$B$5</x:f>
        <x:v>185.66</x:v>
      </x:c>
      <x:c r="P78" s="25" t="n">
        <x:f>MAX(QB!D78*Scoring!$B$30+QB!E78/Scoring!$C$30+QB!F78*Scoring!$D$30+QB!G78*Scoring!$E$30+QB!H78*Scoring!$F$30+QB!I78/Scoring!$G$30+QB!J78*Scoring!$H$30+QB!K78*Scoring!$I$30+M78*Scoring!$J$30+QB!N78*Scoring!$K$30,0)+C78*Scoring!$B$10*0.07+(C78-D78)*Scoring!$B$5</x:f>
        <x:v>222.04600000000002</x:v>
      </x:c>
      <x:c r="Q78" s="25" t="n">
        <x:f>MAX(QB!D79*Scoring!$B$30+QB!E79/Scoring!$C$30+QB!F79*Scoring!$D$30+QB!G79*Scoring!$E$30+QB!H79*Scoring!$F$30+QB!I79/Scoring!$G$30+QB!J79*Scoring!$H$30+QB!K79*Scoring!$I$30+M79*Scoring!$J$30+QB!N79*Scoring!$K$30,0)+C79*Scoring!$B$10*0.07+(C79-D79)*Scoring!$B$5</x:f>
        <x:v>255.11199999999997</x:v>
      </x:c>
      <x:c r="R78" s="9"/>
      <x:c r="S78" s="9"/>
      <x:c r="T78" s="9"/>
      <x:c r="U78" s="9"/>
      <x:c r="V78" s="9"/>
      <x:c r="W78" s="9"/>
      <x:c r="X78" s="9"/>
      <x:c r="Y78" s="9"/>
      <x:c r="Z78" s="9"/>
    </x:row>
    <x:row r="79" ht="14.25" customHeight="1">
      <x:c r="B79" s="1" t="s">
        <x:v>488</x:v>
      </x:c>
      <x:c r="C79" s="1">
        <x:v>540.0</x:v>
      </x:c>
      <x:c r="D79" s="1">
        <x:v>361.2</x:v>
      </x:c>
      <x:c r="E79" s="1">
        <x:v>3815.3</x:v>
      </x:c>
      <x:c r="F79" s="1">
        <x:v>25.0</x:v>
      </x:c>
      <x:c r="G79" s="1">
        <x:v>14.0</x:v>
      </x:c>
      <x:c r="H79" s="1">
        <x:v>58.0</x:v>
      </x:c>
      <x:c r="I79" s="1">
        <x:v>255.0</x:v>
      </x:c>
      <x:c r="J79" s="1">
        <x:v>1.0</x:v>
      </x:c>
      <x:c r="K79" s="1">
        <x:v>1.0</x:v>
      </x:c>
      <x:c r="L79" s="1">
        <x:v>250.5</x:v>
      </x:c>
      <x:c r="M79" s="18">
        <x:f t="shared" si="1"/>
        <x:v>181.6444836</x:v>
      </x:c>
      <x:c r="N79" s="18">
        <x:f t="shared" si="2"/>
        <x:v>19.29339623</x:v>
      </x:c>
      <x:c r="O79" s="25"/>
      <x:c r="P79" s="25"/>
      <x:c r="Q79" s="25"/>
      <x:c r="R79" s="9"/>
      <x:c r="S79" s="9"/>
      <x:c r="T79" s="9"/>
      <x:c r="U79" s="9"/>
      <x:c r="V79" s="9"/>
      <x:c r="W79" s="9"/>
      <x:c r="X79" s="9"/>
      <x:c r="Y79" s="9"/>
      <x:c r="Z79" s="9"/>
    </x:row>
    <x:row r="80" ht="14.25" customHeight="1">
      <x:c r="B80" s="1" t="s">
        <x:v>489</x:v>
      </x:c>
      <x:c r="C80" s="1">
        <x:v>492.0</x:v>
      </x:c>
      <x:c r="D80" s="1">
        <x:v>310.0</x:v>
      </x:c>
      <x:c r="E80" s="1">
        <x:v>2944.0</x:v>
      </x:c>
      <x:c r="F80" s="1">
        <x:v>20.4</x:v>
      </x:c>
      <x:c r="G80" s="1">
        <x:v>16.0</x:v>
      </x:c>
      <x:c r="H80" s="1">
        <x:v>56.0</x:v>
      </x:c>
      <x:c r="I80" s="1">
        <x:v>157.0</x:v>
      </x:c>
      <x:c r="J80" s="1">
        <x:v>1.0</x:v>
      </x:c>
      <x:c r="K80" s="1">
        <x:v>3.4</x:v>
      </x:c>
      <x:c r="L80" s="1">
        <x:v>232.3</x:v>
      </x:c>
      <x:c r="M80" s="18">
        <x:f t="shared" si="1"/>
        <x:v>140.1623358</x:v>
      </x:c>
      <x:c r="N80" s="18">
        <x:f t="shared" si="2"/>
        <x:v>11.87867925</x:v>
      </x:c>
      <x:c r="O80" s="25"/>
      <x:c r="P80" s="25"/>
      <x:c r="Q80" s="25"/>
      <x:c r="R80" s="9"/>
      <x:c r="S80" s="9"/>
      <x:c r="T80" s="9"/>
      <x:c r="U80" s="9"/>
      <x:c r="V80" s="9"/>
      <x:c r="W80" s="9"/>
      <x:c r="X80" s="9"/>
      <x:c r="Y80" s="9"/>
      <x:c r="Z80" s="9"/>
    </x:row>
    <x:row r="81" ht="14.25" customHeight="1">
      <x:c r="A81" s="1" t="s">
        <x:v>540</x:v>
      </x:c>
      <x:c r="B81" s="1" t="s">
        <x:v>541</x:v>
      </x:c>
      <x:c r="C81" s="1">
        <x:v>563.6</x:v>
      </x:c>
      <x:c r="D81" s="1">
        <x:v>345.0</x:v>
      </x:c>
      <x:c r="E81" s="1">
        <x:v>3587.6</x:v>
      </x:c>
      <x:c r="F81" s="1">
        <x:v>19.9</x:v>
      </x:c>
      <x:c r="G81" s="1">
        <x:v>10.4</x:v>
      </x:c>
      <x:c r="H81" s="1">
        <x:v>44.2</x:v>
      </x:c>
      <x:c r="I81" s="1">
        <x:v>185.3</x:v>
      </x:c>
      <x:c r="J81" s="1">
        <x:v>2.0</x:v>
      </x:c>
      <x:c r="K81" s="1">
        <x:v>5.4</x:v>
      </x:c>
      <x:c r="L81" s="1">
        <x:v>232.4</x:v>
      </x:c>
      <x:c r="M81" s="18">
        <x:f t="shared" si="1"/>
        <x:v>170.8038029</x:v>
      </x:c>
      <x:c r="N81" s="18">
        <x:f t="shared" si="2"/>
        <x:v>14.01986792</x:v>
      </x:c>
      <x:c r="O81" s="25" t="n">
        <x:f>MAX(QB!D83*Scoring!$B$30+QB!E83/Scoring!$C$30+QB!F83*Scoring!$D$30+QB!G83*Scoring!$E$30+QB!H83*Scoring!$F$30+QB!I83/Scoring!$G$30+QB!J83*Scoring!$H$30+QB!K83*Scoring!$I$30+M83*Scoring!$J$30+QB!N83*Scoring!$K$30,0)+C83*Scoring!$B$10*0.07+(C83-D83)*Scoring!$B$5</x:f>
        <x:v>192.84</x:v>
      </x:c>
      <x:c r="P81" s="25" t="n">
        <x:f>MAX(QB!D81*Scoring!$B$30+QB!E81/Scoring!$C$30+QB!F81*Scoring!$D$30+QB!G81*Scoring!$E$30+QB!H81*Scoring!$F$30+QB!I81/Scoring!$G$30+QB!J81*Scoring!$H$30+QB!K81*Scoring!$I$30+M81*Scoring!$J$30+QB!N81*Scoring!$K$30,0)+C81*Scoring!$B$10*0.07+(C81-D81)*Scoring!$B$5</x:f>
        <x:v>227.43399999999997</x:v>
      </x:c>
      <x:c r="Q81" s="25" t="n">
        <x:f>MAX(QB!D82*Scoring!$B$30+QB!E82/Scoring!$C$30+QB!F82*Scoring!$D$30+QB!G82*Scoring!$E$30+QB!H82*Scoring!$F$30+QB!I82/Scoring!$G$30+QB!J82*Scoring!$H$30+QB!K82*Scoring!$I$30+M82*Scoring!$J$30+QB!N82*Scoring!$K$30,0)+C82*Scoring!$B$10*0.07+(C82-D82)*Scoring!$B$5</x:f>
        <x:v>260.296</x:v>
      </x:c>
      <x:c r="R81" s="9"/>
      <x:c r="S81" s="9"/>
      <x:c r="T81" s="9"/>
      <x:c r="U81" s="9"/>
      <x:c r="V81" s="9"/>
      <x:c r="W81" s="9"/>
      <x:c r="X81" s="9"/>
      <x:c r="Y81" s="9"/>
      <x:c r="Z81" s="9"/>
    </x:row>
    <x:row r="82" ht="14.25" customHeight="1">
      <x:c r="B82" s="1" t="s">
        <x:v>488</x:v>
      </x:c>
      <x:c r="C82" s="1">
        <x:v>572.0</x:v>
      </x:c>
      <x:c r="D82" s="1">
        <x:v>355.1</x:v>
      </x:c>
      <x:c r="E82" s="1">
        <x:v>3759.9</x:v>
      </x:c>
      <x:c r="F82" s="1">
        <x:v>24.0</x:v>
      </x:c>
      <x:c r="G82" s="1">
        <x:v>10.0</x:v>
      </x:c>
      <x:c r="H82" s="1">
        <x:v>49.0</x:v>
      </x:c>
      <x:c r="I82" s="1">
        <x:v>207.0</x:v>
      </x:c>
      <x:c r="J82" s="1">
        <x:v>3.0</x:v>
      </x:c>
      <x:c r="K82" s="1">
        <x:v>4.8</x:v>
      </x:c>
      <x:c r="L82" s="1">
        <x:v>259.0</x:v>
      </x:c>
      <x:c r="M82" s="18">
        <x:f t="shared" si="1"/>
        <x:v>179.0069179</x:v>
      </x:c>
      <x:c r="N82" s="18">
        <x:f t="shared" si="2"/>
        <x:v>15.66169811</x:v>
      </x:c>
      <x:c r="O82" s="25"/>
      <x:c r="P82" s="25"/>
      <x:c r="Q82" s="25"/>
      <x:c r="R82" s="9"/>
      <x:c r="S82" s="9"/>
      <x:c r="T82" s="9"/>
      <x:c r="U82" s="9"/>
      <x:c r="V82" s="9"/>
      <x:c r="W82" s="9"/>
      <x:c r="X82" s="9"/>
      <x:c r="Y82" s="9"/>
      <x:c r="Z82" s="9"/>
    </x:row>
    <x:row r="83" ht="14.25" customHeight="1">
      <x:c r="B83" s="1" t="s">
        <x:v>489</x:v>
      </x:c>
      <x:c r="C83" s="1">
        <x:v>557.7</x:v>
      </x:c>
      <x:c r="D83" s="1">
        <x:v>331.0</x:v>
      </x:c>
      <x:c r="E83" s="1">
        <x:v>3341.0</x:v>
      </x:c>
      <x:c r="F83" s="1">
        <x:v>16.6</x:v>
      </x:c>
      <x:c r="G83" s="1">
        <x:v>11.0</x:v>
      </x:c>
      <x:c r="H83" s="1">
        <x:v>37.0</x:v>
      </x:c>
      <x:c r="I83" s="1">
        <x:v>148.0</x:v>
      </x:c>
      <x:c r="J83" s="1">
        <x:v>1.0</x:v>
      </x:c>
      <x:c r="K83" s="1">
        <x:v>6.0</x:v>
      </x:c>
      <x:c r="L83" s="1">
        <x:v>219.9</x:v>
      </x:c>
      <x:c r="M83" s="18">
        <x:f t="shared" si="1"/>
        <x:v>159.0633029</x:v>
      </x:c>
      <x:c r="N83" s="18">
        <x:f t="shared" si="2"/>
        <x:v>11.19773585</x:v>
      </x:c>
      <x:c r="O83" s="25"/>
      <x:c r="P83" s="25"/>
      <x:c r="Q83" s="25"/>
      <x:c r="R83" s="9"/>
      <x:c r="S83" s="9"/>
      <x:c r="T83" s="9"/>
      <x:c r="U83" s="9"/>
      <x:c r="V83" s="9"/>
      <x:c r="W83" s="9"/>
      <x:c r="X83" s="9"/>
      <x:c r="Y83" s="9"/>
      <x:c r="Z83" s="9"/>
    </x:row>
    <x:row r="84" ht="14.25" customHeight="1">
      <x:c r="A84" s="1" t="s">
        <x:v>542</x:v>
      </x:c>
      <x:c r="B84" s="1" t="s">
        <x:v>543</x:v>
      </x:c>
      <x:c r="C84" s="1">
        <x:v>541.3</x:v>
      </x:c>
      <x:c r="D84" s="1">
        <x:v>347.3</x:v>
      </x:c>
      <x:c r="E84" s="1">
        <x:v>3590.8</x:v>
      </x:c>
      <x:c r="F84" s="1">
        <x:v>19.3</x:v>
      </x:c>
      <x:c r="G84" s="1">
        <x:v>10.4</x:v>
      </x:c>
      <x:c r="H84" s="1">
        <x:v>48.7</x:v>
      </x:c>
      <x:c r="I84" s="1">
        <x:v>214.3</x:v>
      </x:c>
      <x:c r="J84" s="1">
        <x:v>1.4</x:v>
      </x:c>
      <x:c r="K84" s="1">
        <x:v>4.8</x:v>
      </x:c>
      <x:c r="L84" s="1">
        <x:v>230.8</x:v>
      </x:c>
      <x:c r="M84" s="18">
        <x:f t="shared" si="1"/>
        <x:v>170.9561533</x:v>
      </x:c>
      <x:c r="N84" s="18">
        <x:f t="shared" si="2"/>
        <x:v>16.21401887</x:v>
      </x:c>
      <x:c r="O84" s="25" t="n">
        <x:f>MAX(QB!D86*Scoring!$B$30+QB!E86/Scoring!$C$30+QB!F86*Scoring!$D$30+QB!G86*Scoring!$E$30+QB!H86*Scoring!$F$30+QB!I86/Scoring!$G$30+QB!J86*Scoring!$H$30+QB!K86*Scoring!$I$30+M86*Scoring!$J$30+QB!N86*Scoring!$K$30,0)+C86*Scoring!$B$10*0.07+(C86-D86)*Scoring!$B$5</x:f>
        <x:v>187.58</x:v>
      </x:c>
      <x:c r="P84" s="25" t="n">
        <x:f>MAX(QB!D84*Scoring!$B$30+QB!E84/Scoring!$C$30+QB!F84*Scoring!$D$30+QB!G84*Scoring!$E$30+QB!H84*Scoring!$F$30+QB!I84/Scoring!$G$30+QB!J84*Scoring!$H$30+QB!K84*Scoring!$I$30+M84*Scoring!$J$30+QB!N84*Scoring!$K$30,0)+C84*Scoring!$B$10*0.07+(C84-D84)*Scoring!$B$5</x:f>
        <x:v>225.06199999999998</x:v>
      </x:c>
      <x:c r="Q84" s="25" t="n">
        <x:f>MAX(QB!D85*Scoring!$B$30+QB!E85/Scoring!$C$30+QB!F85*Scoring!$D$30+QB!G85*Scoring!$E$30+QB!H85*Scoring!$F$30+QB!I85/Scoring!$G$30+QB!J85*Scoring!$H$30+QB!K85*Scoring!$I$30+M85*Scoring!$J$30+QB!N85*Scoring!$K$30,0)+C85*Scoring!$B$10*0.07+(C85-D85)*Scoring!$B$5</x:f>
        <x:v>262.32</x:v>
      </x:c>
      <x:c r="R84" s="9"/>
      <x:c r="S84" s="9"/>
      <x:c r="T84" s="9"/>
      <x:c r="U84" s="9"/>
      <x:c r="V84" s="9"/>
      <x:c r="W84" s="9"/>
      <x:c r="X84" s="9"/>
      <x:c r="Y84" s="9"/>
      <x:c r="Z84" s="9"/>
    </x:row>
    <x:row r="85" ht="14.25" customHeight="1">
      <x:c r="B85" s="1" t="s">
        <x:v>488</x:v>
      </x:c>
      <x:c r="C85" s="1">
        <x:v>586.0</x:v>
      </x:c>
      <x:c r="D85" s="1">
        <x:v>377.0</x:v>
      </x:c>
      <x:c r="E85" s="1">
        <x:v>3773.0</x:v>
      </x:c>
      <x:c r="F85" s="1">
        <x:v>24.0</x:v>
      </x:c>
      <x:c r="G85" s="1">
        <x:v>9.2</x:v>
      </x:c>
      <x:c r="H85" s="1">
        <x:v>56.0</x:v>
      </x:c>
      <x:c r="I85" s="1">
        <x:v>255.0</x:v>
      </x:c>
      <x:c r="J85" s="1">
        <x:v>2.0</x:v>
      </x:c>
      <x:c r="K85" s="1">
        <x:v>3.7</x:v>
      </x:c>
      <x:c r="L85" s="1">
        <x:v>278.0</x:v>
      </x:c>
      <x:c r="M85" s="18">
        <x:f t="shared" si="1"/>
        <x:v>179.6306022</x:v>
      </x:c>
      <x:c r="N85" s="18">
        <x:f t="shared" si="2"/>
        <x:v>19.29339623</x:v>
      </x:c>
      <x:c r="O85" s="25"/>
      <x:c r="P85" s="25"/>
      <x:c r="Q85" s="25"/>
      <x:c r="R85" s="9"/>
      <x:c r="S85" s="9"/>
      <x:c r="T85" s="9"/>
      <x:c r="U85" s="9"/>
      <x:c r="V85" s="9"/>
      <x:c r="W85" s="9"/>
      <x:c r="X85" s="9"/>
      <x:c r="Y85" s="9"/>
      <x:c r="Z85" s="9"/>
    </x:row>
    <x:row r="86" ht="14.25" customHeight="1">
      <x:c r="B86" s="1" t="s">
        <x:v>489</x:v>
      </x:c>
      <x:c r="C86" s="1">
        <x:v>516.8</x:v>
      </x:c>
      <x:c r="D86" s="1">
        <x:v>326.8</x:v>
      </x:c>
      <x:c r="E86" s="1">
        <x:v>3354.5</x:v>
      </x:c>
      <x:c r="F86" s="1">
        <x:v>14.9</x:v>
      </x:c>
      <x:c r="G86" s="1">
        <x:v>12.0</x:v>
      </x:c>
      <x:c r="H86" s="1">
        <x:v>43.0</x:v>
      </x:c>
      <x:c r="I86" s="1">
        <x:v>178.0</x:v>
      </x:c>
      <x:c r="J86" s="1">
        <x:v>1.0</x:v>
      </x:c>
      <x:c r="K86" s="1">
        <x:v>6.0</x:v>
      </x:c>
      <x:c r="L86" s="1">
        <x:v>198.9</x:v>
      </x:c>
      <x:c r="M86" s="18">
        <x:f t="shared" si="1"/>
        <x:v>159.706031</x:v>
      </x:c>
      <x:c r="N86" s="18">
        <x:f t="shared" si="2"/>
        <x:v>13.46754717</x:v>
      </x:c>
      <x:c r="O86" s="25"/>
      <x:c r="P86" s="25"/>
      <x:c r="Q86" s="25"/>
      <x:c r="R86" s="9"/>
      <x:c r="S86" s="9"/>
      <x:c r="T86" s="9"/>
      <x:c r="U86" s="9"/>
      <x:c r="V86" s="9"/>
      <x:c r="W86" s="9"/>
      <x:c r="X86" s="9"/>
      <x:c r="Y86" s="9"/>
      <x:c r="Z86" s="9"/>
    </x:row>
    <x:row r="87" ht="14.25" customHeight="1">
      <x:c r="A87" s="1" t="s">
        <x:v>544</x:v>
      </x:c>
      <x:c r="B87" s="1" t="s">
        <x:v>545</x:v>
      </x:c>
      <x:c r="C87" s="1">
        <x:v>527.4</x:v>
      </x:c>
      <x:c r="D87" s="1">
        <x:v>339.3</x:v>
      </x:c>
      <x:c r="E87" s="1">
        <x:v>3485.5</x:v>
      </x:c>
      <x:c r="F87" s="1">
        <x:v>21.7</x:v>
      </x:c>
      <x:c r="G87" s="1">
        <x:v>9.4</x:v>
      </x:c>
      <x:c r="H87" s="1">
        <x:v>26.0</x:v>
      </x:c>
      <x:c r="I87" s="1">
        <x:v>82.6</x:v>
      </x:c>
      <x:c r="J87" s="1">
        <x:v>0.6</x:v>
      </x:c>
      <x:c r="K87" s="1">
        <x:v>2.7</x:v>
      </x:c>
      <x:c r="L87" s="1">
        <x:v>223.5</x:v>
      </x:c>
      <x:c r="M87" s="18">
        <x:f t="shared" si="1"/>
        <x:v>165.9428741</x:v>
      </x:c>
      <x:c r="N87" s="18">
        <x:f t="shared" si="2"/>
        <x:v>6.24954717</x:v>
      </x:c>
      <x:c r="O87" s="25" t="n">
        <x:f>MAX(QB!D89*Scoring!$B$30+QB!E89/Scoring!$C$30+QB!F89*Scoring!$D$30+QB!G89*Scoring!$E$30+QB!H89*Scoring!$F$30+QB!I89/Scoring!$G$30+QB!J89*Scoring!$H$30+QB!K89*Scoring!$I$30+M89*Scoring!$J$30+QB!N89*Scoring!$K$30,0)+C89*Scoring!$B$10*0.07+(C89-D89)*Scoring!$B$5</x:f>
        <x:v>183.3</x:v>
      </x:c>
      <x:c r="P87" s="25" t="n">
        <x:f>MAX(QB!D87*Scoring!$B$30+QB!E87/Scoring!$C$30+QB!F87*Scoring!$D$30+QB!G87*Scoring!$E$30+QB!H87*Scoring!$F$30+QB!I87/Scoring!$G$30+QB!J87*Scoring!$H$30+QB!K87*Scoring!$I$30+M87*Scoring!$J$30+QB!N87*Scoring!$K$30,0)+C87*Scoring!$B$10*0.07+(C87-D87)*Scoring!$B$5</x:f>
        <x:v>216.57999999999996</x:v>
      </x:c>
      <x:c r="Q87" s="25" t="n">
        <x:f>MAX(QB!D88*Scoring!$B$30+QB!E88/Scoring!$C$30+QB!F88*Scoring!$D$30+QB!G88*Scoring!$E$30+QB!H88*Scoring!$F$30+QB!I88/Scoring!$G$30+QB!J88*Scoring!$H$30+QB!K88*Scoring!$I$30+M88*Scoring!$J$30+QB!N88*Scoring!$K$30,0)+C88*Scoring!$B$10*0.07+(C88-D88)*Scoring!$B$5</x:f>
        <x:v>240.866</x:v>
      </x:c>
      <x:c r="R87" s="9"/>
      <x:c r="S87" s="9"/>
      <x:c r="T87" s="9"/>
      <x:c r="U87" s="9"/>
      <x:c r="V87" s="9"/>
      <x:c r="W87" s="9"/>
      <x:c r="X87" s="9"/>
      <x:c r="Y87" s="9"/>
      <x:c r="Z87" s="9"/>
    </x:row>
    <x:row r="88" ht="14.25" customHeight="1">
      <x:c r="B88" s="1" t="s">
        <x:v>488</x:v>
      </x:c>
      <x:c r="C88" s="1">
        <x:v>568.1</x:v>
      </x:c>
      <x:c r="D88" s="1">
        <x:v>362.8</x:v>
      </x:c>
      <x:c r="E88" s="1">
        <x:v>3772.4</x:v>
      </x:c>
      <x:c r="F88" s="1">
        <x:v>23.0</x:v>
      </x:c>
      <x:c r="G88" s="1">
        <x:v>8.0</x:v>
      </x:c>
      <x:c r="H88" s="1">
        <x:v>29.0</x:v>
      </x:c>
      <x:c r="I88" s="1">
        <x:v>99.7</x:v>
      </x:c>
      <x:c r="J88" s="1">
        <x:v>1.0</x:v>
      </x:c>
      <x:c r="K88" s="1">
        <x:v>2.0</x:v>
      </x:c>
      <x:c r="L88" s="1">
        <x:v>246.0</x:v>
      </x:c>
      <x:c r="M88" s="18">
        <x:f t="shared" si="1"/>
        <x:v>179.6020365</x:v>
      </x:c>
      <x:c r="N88" s="18">
        <x:f t="shared" si="2"/>
        <x:v>7.543339623</x:v>
      </x:c>
      <x:c r="O88" s="25"/>
      <x:c r="P88" s="25"/>
      <x:c r="Q88" s="25"/>
      <x:c r="R88" s="9"/>
      <x:c r="S88" s="9"/>
      <x:c r="T88" s="9"/>
      <x:c r="U88" s="9"/>
      <x:c r="V88" s="9"/>
      <x:c r="W88" s="9"/>
      <x:c r="X88" s="9"/>
      <x:c r="Y88" s="9"/>
      <x:c r="Z88" s="9"/>
    </x:row>
    <x:row r="89" ht="14.25" customHeight="1">
      <x:c r="B89" s="1" t="s">
        <x:v>489</x:v>
      </x:c>
      <x:c r="C89" s="1">
        <x:v>477.0</x:v>
      </x:c>
      <x:c r="D89" s="1">
        <x:v>301.0</x:v>
      </x:c>
      <x:c r="E89" s="1">
        <x:v>3035.0</x:v>
      </x:c>
      <x:c r="F89" s="1">
        <x:v>20.2</x:v>
      </x:c>
      <x:c r="G89" s="1">
        <x:v>11.1</x:v>
      </x:c>
      <x:c r="H89" s="1">
        <x:v>21.0</x:v>
      </x:c>
      <x:c r="I89" s="1">
        <x:v>68.0</x:v>
      </x:c>
      <x:c r="J89" s="1">
        <x:v>0.0</x:v>
      </x:c>
      <x:c r="K89" s="1">
        <x:v>3.5</x:v>
      </x:c>
      <x:c r="L89" s="1">
        <x:v>219.2</x:v>
      </x:c>
      <x:c r="M89" s="18">
        <x:f t="shared" si="1"/>
        <x:v>144.4947993</x:v>
      </x:c>
      <x:c r="N89" s="18">
        <x:f t="shared" si="2"/>
        <x:v>5.14490566</x:v>
      </x:c>
      <x:c r="O89" s="25"/>
      <x:c r="P89" s="25"/>
      <x:c r="Q89" s="25"/>
      <x:c r="R89" s="9"/>
      <x:c r="S89" s="9"/>
      <x:c r="T89" s="9"/>
      <x:c r="U89" s="9"/>
      <x:c r="V89" s="9"/>
      <x:c r="W89" s="9"/>
      <x:c r="X89" s="9"/>
      <x:c r="Y89" s="9"/>
      <x:c r="Z89" s="9"/>
    </x:row>
    <x:row r="90" ht="14.25" customHeight="1">
      <x:c r="A90" s="1" t="s">
        <x:v>546</x:v>
      </x:c>
      <x:c r="B90" s="1" t="s">
        <x:v>547</x:v>
      </x:c>
      <x:c r="C90" s="1">
        <x:v>431.6</x:v>
      </x:c>
      <x:c r="D90" s="1">
        <x:v>276.2</x:v>
      </x:c>
      <x:c r="E90" s="1">
        <x:v>2882.0</x:v>
      </x:c>
      <x:c r="F90" s="1">
        <x:v>15.7</x:v>
      </x:c>
      <x:c r="G90" s="1">
        <x:v>12.2</x:v>
      </x:c>
      <x:c r="H90" s="1">
        <x:v>50.4</x:v>
      </x:c>
      <x:c r="I90" s="1">
        <x:v>233.4</x:v>
      </x:c>
      <x:c r="J90" s="1">
        <x:v>1.3</x:v>
      </x:c>
      <x:c r="K90" s="1">
        <x:v>2.7</x:v>
      </x:c>
      <x:c r="L90" s="1">
        <x:v>191.8</x:v>
      </x:c>
      <x:c r="M90" s="18">
        <x:f t="shared" si="1"/>
        <x:v>137.2105474</x:v>
      </x:c>
      <x:c r="N90" s="18">
        <x:f t="shared" si="2"/>
        <x:v>17.65913208</x:v>
      </x:c>
      <x:c r="O90" s="25" t="n">
        <x:f>MAX(QB!D92*Scoring!$B$30+QB!E92/Scoring!$C$30+QB!F92*Scoring!$D$30+QB!G92*Scoring!$E$30+QB!H92*Scoring!$F$30+QB!I92/Scoring!$G$30+QB!J92*Scoring!$H$30+QB!K92*Scoring!$I$30+M92*Scoring!$J$30+QB!N92*Scoring!$K$30,0)+C92*Scoring!$B$10*0.07+(C92-D92)*Scoring!$B$5</x:f>
        <x:v>153.42</x:v>
      </x:c>
      <x:c r="P90" s="25" t="n">
        <x:f>MAX(QB!D90*Scoring!$B$30+QB!E90/Scoring!$C$30+QB!F90*Scoring!$D$30+QB!G90*Scoring!$E$30+QB!H90*Scoring!$F$30+QB!I90/Scoring!$G$30+QB!J90*Scoring!$H$30+QB!K90*Scoring!$I$30+M90*Scoring!$J$30+QB!N90*Scoring!$K$30,0)+C90*Scoring!$B$10*0.07+(C90-D90)*Scoring!$B$5</x:f>
        <x:v>182.12</x:v>
      </x:c>
      <x:c r="Q90" s="25" t="n">
        <x:f>MAX(QB!D91*Scoring!$B$30+QB!E91/Scoring!$C$30+QB!F91*Scoring!$D$30+QB!G91*Scoring!$E$30+QB!H91*Scoring!$F$30+QB!I91/Scoring!$G$30+QB!J91*Scoring!$H$30+QB!K91*Scoring!$I$30+M91*Scoring!$J$30+QB!N91*Scoring!$K$30,0)+C91*Scoring!$B$10*0.07+(C91-D91)*Scoring!$B$5</x:f>
        <x:v>209.456</x:v>
      </x:c>
      <x:c r="R90" s="9"/>
      <x:c r="S90" s="9"/>
      <x:c r="T90" s="9"/>
      <x:c r="U90" s="9"/>
      <x:c r="V90" s="9"/>
      <x:c r="W90" s="9"/>
      <x:c r="X90" s="9"/>
      <x:c r="Y90" s="9"/>
      <x:c r="Z90" s="9"/>
    </x:row>
    <x:row r="91" ht="14.25" customHeight="1">
      <x:c r="B91" s="1" t="s">
        <x:v>488</x:v>
      </x:c>
      <x:c r="C91" s="1">
        <x:v>449.8</x:v>
      </x:c>
      <x:c r="D91" s="1">
        <x:v>284.6</x:v>
      </x:c>
      <x:c r="E91" s="1">
        <x:v>3058.9</x:v>
      </x:c>
      <x:c r="F91" s="1">
        <x:v>18.0</x:v>
      </x:c>
      <x:c r="G91" s="1">
        <x:v>10.0</x:v>
      </x:c>
      <x:c r="H91" s="1">
        <x:v>52.1</x:v>
      </x:c>
      <x:c r="I91" s="1">
        <x:v>257.0</x:v>
      </x:c>
      <x:c r="J91" s="1">
        <x:v>1.9</x:v>
      </x:c>
      <x:c r="K91" s="1">
        <x:v>2.0</x:v>
      </x:c>
      <x:c r="L91" s="1">
        <x:v>206.9</x:v>
      </x:c>
      <x:c r="M91" s="18">
        <x:f t="shared" si="1"/>
        <x:v>145.6326661</x:v>
      </x:c>
      <x:c r="N91" s="18">
        <x:f t="shared" si="2"/>
        <x:v>19.44471698</x:v>
      </x:c>
      <x:c r="O91" s="25"/>
      <x:c r="P91" s="25"/>
      <x:c r="Q91" s="25"/>
      <x:c r="R91" s="9"/>
      <x:c r="S91" s="9"/>
      <x:c r="T91" s="9"/>
      <x:c r="U91" s="9"/>
      <x:c r="V91" s="9"/>
      <x:c r="W91" s="9"/>
      <x:c r="X91" s="9"/>
      <x:c r="Y91" s="9"/>
      <x:c r="Z91" s="9"/>
    </x:row>
    <x:row r="92" ht="14.25" customHeight="1">
      <x:c r="B92" s="1" t="s">
        <x:v>489</x:v>
      </x:c>
      <x:c r="C92" s="1">
        <x:v>419.0</x:v>
      </x:c>
      <x:c r="D92" s="1">
        <x:v>264.0</x:v>
      </x:c>
      <x:c r="E92" s="1">
        <x:v>2608.0</x:v>
      </x:c>
      <x:c r="F92" s="1">
        <x:v>14.2</x:v>
      </x:c>
      <x:c r="G92" s="1">
        <x:v>16.0</x:v>
      </x:c>
      <x:c r="H92" s="1">
        <x:v>48.0</x:v>
      </x:c>
      <x:c r="I92" s="1">
        <x:v>217.0</x:v>
      </x:c>
      <x:c r="J92" s="1">
        <x:v>1.0</x:v>
      </x:c>
      <x:c r="K92" s="1">
        <x:v>3.4</x:v>
      </x:c>
      <x:c r="L92" s="1">
        <x:v>187.5</x:v>
      </x:c>
      <x:c r="M92" s="18">
        <x:f t="shared" si="1"/>
        <x:v>124.1655474</x:v>
      </x:c>
      <x:c r="N92" s="18">
        <x:f t="shared" si="2"/>
        <x:v>16.41830189</x:v>
      </x:c>
      <x:c r="O92" s="25"/>
      <x:c r="P92" s="25"/>
      <x:c r="Q92" s="25"/>
      <x:c r="R92" s="9"/>
      <x:c r="S92" s="9"/>
      <x:c r="T92" s="9"/>
      <x:c r="U92" s="9"/>
      <x:c r="V92" s="9"/>
      <x:c r="W92" s="9"/>
      <x:c r="X92" s="9"/>
      <x:c r="Y92" s="9"/>
      <x:c r="Z92" s="9"/>
    </x:row>
    <x:row r="93" ht="14.25" customHeight="1">
      <x:c r="A93" s="1" t="s">
        <x:v>548</x:v>
      </x:c>
      <x:c r="B93" s="1" t="s">
        <x:v>549</x:v>
      </x:c>
      <x:c r="C93" s="1">
        <x:v>342.8</x:v>
      </x:c>
      <x:c r="D93" s="1">
        <x:v>210.8</x:v>
      </x:c>
      <x:c r="E93" s="1">
        <x:v>2245.8</x:v>
      </x:c>
      <x:c r="F93" s="1">
        <x:v>11.8</x:v>
      </x:c>
      <x:c r="G93" s="1">
        <x:v>8.3</x:v>
      </x:c>
      <x:c r="H93" s="1">
        <x:v>49.7</x:v>
      </x:c>
      <x:c r="I93" s="1">
        <x:v>218.6</x:v>
      </x:c>
      <x:c r="J93" s="1">
        <x:v>1.3</x:v>
      </x:c>
      <x:c r="K93" s="1">
        <x:v>3.8</x:v>
      </x:c>
      <x:c r="L93" s="1">
        <x:v>150.7</x:v>
      </x:c>
      <x:c r="M93" s="18">
        <x:f t="shared" si="1"/>
        <x:v>106.9213905</x:v>
      </x:c>
      <x:c r="N93" s="18">
        <x:f t="shared" si="2"/>
        <x:v>16.53935849</x:v>
      </x:c>
      <x:c r="O93" s="25" t="n">
        <x:f>MAX(QB!D95*Scoring!$B$30+QB!E95/Scoring!$C$30+QB!F95*Scoring!$D$30+QB!G95*Scoring!$E$30+QB!H95*Scoring!$F$30+QB!I95/Scoring!$G$30+QB!J95*Scoring!$H$30+QB!K95*Scoring!$I$30+M95*Scoring!$J$30+QB!N95*Scoring!$K$30,0)+C95*Scoring!$B$10*0.07+(C95-D95)*Scoring!$B$5</x:f>
        <x:v>112.71600000000001</x:v>
      </x:c>
      <x:c r="P93" s="25" t="n">
        <x:f>MAX(QB!D93*Scoring!$B$30+QB!E93/Scoring!$C$30+QB!F93*Scoring!$D$30+QB!G93*Scoring!$E$30+QB!H93*Scoring!$F$30+QB!I93/Scoring!$G$30+QB!J93*Scoring!$H$30+QB!K93*Scoring!$I$30+M93*Scoring!$J$30+QB!N93*Scoring!$K$30,0)+C93*Scoring!$B$10*0.07+(C93-D93)*Scoring!$B$5</x:f>
        <x:v>146.29200000000003</x:v>
      </x:c>
      <x:c r="Q93" s="25" t="n">
        <x:f>MAX(QB!D94*Scoring!$B$30+QB!E94/Scoring!$C$30+QB!F94*Scoring!$D$30+QB!G94*Scoring!$E$30+QB!H94*Scoring!$F$30+QB!I94/Scoring!$G$30+QB!J94*Scoring!$H$30+QB!K94*Scoring!$I$30+M94*Scoring!$J$30+QB!N94*Scoring!$K$30,0)+C94*Scoring!$B$10*0.07+(C94-D94)*Scoring!$B$5</x:f>
        <x:v>194.98</x:v>
      </x:c>
      <x:c r="R93" s="9"/>
      <x:c r="S93" s="9"/>
      <x:c r="T93" s="9"/>
      <x:c r="U93" s="9"/>
      <x:c r="V93" s="9"/>
      <x:c r="W93" s="9"/>
      <x:c r="X93" s="9"/>
      <x:c r="Y93" s="9"/>
      <x:c r="Z93" s="9"/>
    </x:row>
    <x:row r="94" ht="14.25" customHeight="1">
      <x:c r="B94" s="1" t="s">
        <x:v>488</x:v>
      </x:c>
      <x:c r="C94" s="1">
        <x:v>429.0</x:v>
      </x:c>
      <x:c r="D94" s="1">
        <x:v>257.0</x:v>
      </x:c>
      <x:c r="E94" s="1">
        <x:v>2652.0</x:v>
      </x:c>
      <x:c r="F94" s="1">
        <x:v>17.0</x:v>
      </x:c>
      <x:c r="G94" s="1">
        <x:v>7.0</x:v>
      </x:c>
      <x:c r="H94" s="1">
        <x:v>60.0</x:v>
      </x:c>
      <x:c r="I94" s="1">
        <x:v>256.0</x:v>
      </x:c>
      <x:c r="J94" s="1">
        <x:v>2.0</x:v>
      </x:c>
      <x:c r="K94" s="1">
        <x:v>2.7</x:v>
      </x:c>
      <x:c r="L94" s="1">
        <x:v>200.0</x:v>
      </x:c>
      <x:c r="M94" s="18">
        <x:f t="shared" si="1"/>
        <x:v>126.260365</x:v>
      </x:c>
      <x:c r="N94" s="18">
        <x:f t="shared" si="2"/>
        <x:v>19.3690566</x:v>
      </x:c>
      <x:c r="O94" s="25"/>
      <x:c r="P94" s="25"/>
      <x:c r="Q94" s="25"/>
      <x:c r="R94" s="9"/>
      <x:c r="S94" s="9"/>
      <x:c r="T94" s="9"/>
      <x:c r="U94" s="9"/>
      <x:c r="V94" s="9"/>
      <x:c r="W94" s="9"/>
      <x:c r="X94" s="9"/>
      <x:c r="Y94" s="9"/>
      <x:c r="Z94" s="9"/>
    </x:row>
    <x:row r="95" ht="14.25" customHeight="1">
      <x:c r="B95" s="1" t="s">
        <x:v>489</x:v>
      </x:c>
      <x:c r="C95" s="1">
        <x:v>288.0</x:v>
      </x:c>
      <x:c r="D95" s="1">
        <x:v>184.0</x:v>
      </x:c>
      <x:c r="E95" s="1">
        <x:v>2040.4</x:v>
      </x:c>
      <x:c r="F95" s="1">
        <x:v>8.3</x:v>
      </x:c>
      <x:c r="G95" s="1">
        <x:v>11.0</x:v>
      </x:c>
      <x:c r="H95" s="1">
        <x:v>42.0</x:v>
      </x:c>
      <x:c r="I95" s="1">
        <x:v>189.0</x:v>
      </x:c>
      <x:c r="J95" s="1">
        <x:v>1.0</x:v>
      </x:c>
      <x:c r="K95" s="1">
        <x:v>5.0</x:v>
      </x:c>
      <x:c r="L95" s="1">
        <x:v>123.9</x:v>
      </x:c>
      <x:c r="M95" s="18">
        <x:f t="shared" si="1"/>
        <x:v>97.14240146</x:v>
      </x:c>
      <x:c r="N95" s="18">
        <x:f t="shared" si="2"/>
        <x:v>14.29981132</x:v>
      </x:c>
      <x:c r="O95" s="25"/>
      <x:c r="P95" s="25"/>
      <x:c r="Q95" s="25"/>
      <x:c r="R95" s="9"/>
      <x:c r="S95" s="9"/>
      <x:c r="T95" s="9"/>
      <x:c r="U95" s="9"/>
      <x:c r="V95" s="9"/>
      <x:c r="W95" s="9"/>
      <x:c r="X95" s="9"/>
      <x:c r="Y95" s="9"/>
      <x:c r="Z95" s="9"/>
    </x:row>
    <x:row r="96" ht="14.25" customHeight="1">
      <x:c r="A96" s="1" t="s">
        <x:v>550</x:v>
      </x:c>
      <x:c r="B96" s="1" t="s">
        <x:v>551</x:v>
      </x:c>
      <x:c r="C96" s="1">
        <x:v>293.6</x:v>
      </x:c>
      <x:c r="D96" s="1">
        <x:v>191.7</x:v>
      </x:c>
      <x:c r="E96" s="1">
        <x:v>2050.2</x:v>
      </x:c>
      <x:c r="F96" s="1">
        <x:v>11.1</x:v>
      </x:c>
      <x:c r="G96" s="1">
        <x:v>6.3</x:v>
      </x:c>
      <x:c r="H96" s="1">
        <x:v>15.0</x:v>
      </x:c>
      <x:c r="I96" s="1">
        <x:v>36.6</x:v>
      </x:c>
      <x:c r="J96" s="1">
        <x:v>0.1</x:v>
      </x:c>
      <x:c r="K96" s="1">
        <x:v>1.8</x:v>
      </x:c>
      <x:c r="L96" s="1">
        <x:v>120.9</x:v>
      </x:c>
      <x:c r="M96" s="18">
        <x:f t="shared" si="1"/>
        <x:v>97.60897445</x:v>
      </x:c>
      <x:c r="N96" s="18">
        <x:f t="shared" si="2"/>
        <x:v>2.769169811</x:v>
      </x:c>
      <x:c r="O96" s="25" t="n">
        <x:f>MAX(QB!D98*Scoring!$B$30+QB!E98/Scoring!$C$30+QB!F98*Scoring!$D$30+QB!G98*Scoring!$E$30+QB!H98*Scoring!$F$30+QB!I98/Scoring!$G$30+QB!J98*Scoring!$H$30+QB!K98*Scoring!$I$30+M98*Scoring!$J$30+QB!N98*Scoring!$K$30,0)+C98*Scoring!$B$10*0.07+(C98-D98)*Scoring!$B$5</x:f>
        <x:v>81.34</x:v>
      </x:c>
      <x:c r="P96" s="25" t="n">
        <x:f>MAX(QB!D96*Scoring!$B$30+QB!E96/Scoring!$C$30+QB!F96*Scoring!$D$30+QB!G96*Scoring!$E$30+QB!H96*Scoring!$F$30+QB!I96/Scoring!$G$30+QB!J96*Scoring!$H$30+QB!K96*Scoring!$I$30+M96*Scoring!$J$30+QB!N96*Scoring!$K$30,0)+C96*Scoring!$B$10*0.07+(C96-D96)*Scoring!$B$5</x:f>
        <x:v>116.26799999999999</x:v>
      </x:c>
      <x:c r="Q96" s="25" t="n">
        <x:f>MAX(QB!D97*Scoring!$B$30+QB!E97/Scoring!$C$30+QB!F97*Scoring!$D$30+QB!G97*Scoring!$E$30+QB!H97*Scoring!$F$30+QB!I97/Scoring!$G$30+QB!J97*Scoring!$H$30+QB!K97*Scoring!$I$30+M97*Scoring!$J$30+QB!N97*Scoring!$K$30,0)+C97*Scoring!$B$10*0.07+(C97-D97)*Scoring!$B$5</x:f>
        <x:v>150.95</x:v>
      </x:c>
      <x:c r="R96" s="9"/>
      <x:c r="S96" s="9"/>
      <x:c r="T96" s="9"/>
      <x:c r="U96" s="9"/>
      <x:c r="V96" s="9"/>
      <x:c r="W96" s="9"/>
      <x:c r="X96" s="9"/>
      <x:c r="Y96" s="9"/>
      <x:c r="Z96" s="9"/>
    </x:row>
    <x:row r="97" ht="14.25" customHeight="1">
      <x:c r="B97" s="1" t="s">
        <x:v>488</x:v>
      </x:c>
      <x:c r="C97" s="1">
        <x:v>369.0</x:v>
      </x:c>
      <x:c r="D97" s="1">
        <x:v>243.0</x:v>
      </x:c>
      <x:c r="E97" s="1">
        <x:v>2544.0</x:v>
      </x:c>
      <x:c r="F97" s="1">
        <x:v>13.0</x:v>
      </x:c>
      <x:c r="G97" s="1">
        <x:v>4.0</x:v>
      </x:c>
      <x:c r="H97" s="1">
        <x:v>18.0</x:v>
      </x:c>
      <x:c r="I97" s="1">
        <x:v>43.9</x:v>
      </x:c>
      <x:c r="J97" s="1">
        <x:v>0.3</x:v>
      </x:c>
      <x:c r="K97" s="1">
        <x:v>1.0</x:v>
      </x:c>
      <x:c r="L97" s="1">
        <x:v>158.0</x:v>
      </x:c>
      <x:c r="M97" s="18">
        <x:f t="shared" si="1"/>
        <x:v>121.1185401</x:v>
      </x:c>
      <x:c r="N97" s="18">
        <x:f t="shared" si="2"/>
        <x:v>3.321490566</x:v>
      </x:c>
      <x:c r="O97" s="25"/>
      <x:c r="P97" s="25"/>
      <x:c r="Q97" s="25"/>
      <x:c r="R97" s="9"/>
      <x:c r="S97" s="9"/>
      <x:c r="T97" s="9"/>
      <x:c r="U97" s="9"/>
      <x:c r="V97" s="9"/>
      <x:c r="W97" s="9"/>
      <x:c r="X97" s="9"/>
      <x:c r="Y97" s="9"/>
      <x:c r="Z97" s="9"/>
    </x:row>
    <x:row r="98" ht="14.25" customHeight="1">
      <x:c r="B98" s="1" t="s">
        <x:v>489</x:v>
      </x:c>
      <x:c r="C98" s="1">
        <x:v>210.0</x:v>
      </x:c>
      <x:c r="D98" s="1">
        <x:v>128.0</x:v>
      </x:c>
      <x:c r="E98" s="1">
        <x:v>1436.0</x:v>
      </x:c>
      <x:c r="F98" s="1">
        <x:v>10.0</x:v>
      </x:c>
      <x:c r="G98" s="1">
        <x:v>8.0</x:v>
      </x:c>
      <x:c r="H98" s="1">
        <x:v>11.0</x:v>
      </x:c>
      <x:c r="I98" s="1">
        <x:v>24.0</x:v>
      </x:c>
      <x:c r="J98" s="1">
        <x:v>0.0</x:v>
      </x:c>
      <x:c r="K98" s="1">
        <x:v>2.5</x:v>
      </x:c>
      <x:c r="L98" s="1">
        <x:v>101.0</x:v>
      </x:c>
      <x:c r="M98" s="18">
        <x:f t="shared" si="1"/>
        <x:v>68.36722628</x:v>
      </x:c>
      <x:c r="N98" s="18">
        <x:f t="shared" si="2"/>
        <x:v>1.815849057</x:v>
      </x:c>
      <x:c r="O98" s="25"/>
      <x:c r="P98" s="25"/>
      <x:c r="Q98" s="25"/>
      <x:c r="R98" s="9"/>
      <x:c r="S98" s="9"/>
      <x:c r="T98" s="9"/>
      <x:c r="U98" s="9"/>
      <x:c r="V98" s="9"/>
      <x:c r="W98" s="9"/>
      <x:c r="X98" s="9"/>
      <x:c r="Y98" s="9"/>
      <x:c r="Z98" s="9"/>
    </x:row>
    <x:row r="99" ht="14.25" customHeight="1">
      <x:c r="A99" s="1" t="s">
        <x:v>552</x:v>
      </x:c>
      <x:c r="B99" s="1" t="s">
        <x:v>551</x:v>
      </x:c>
      <x:c r="C99" s="1">
        <x:v>266.4</x:v>
      </x:c>
      <x:c r="D99" s="1">
        <x:v>165.4</x:v>
      </x:c>
      <x:c r="E99" s="1">
        <x:v>1864.8</x:v>
      </x:c>
      <x:c r="F99" s="1">
        <x:v>10.8</x:v>
      </x:c>
      <x:c r="G99" s="1">
        <x:v>5.0</x:v>
      </x:c>
      <x:c r="H99" s="1">
        <x:v>18.8</x:v>
      </x:c>
      <x:c r="I99" s="1">
        <x:v>62.9</x:v>
      </x:c>
      <x:c r="J99" s="1">
        <x:v>0.6</x:v>
      </x:c>
      <x:c r="K99" s="1">
        <x:v>2.0</x:v>
      </x:c>
      <x:c r="L99" s="1">
        <x:v>119.0</x:v>
      </x:c>
      <x:c r="M99" s="18">
        <x:f t="shared" si="1"/>
        <x:v>88.78217518</x:v>
      </x:c>
      <x:c r="N99" s="18">
        <x:f t="shared" si="2"/>
        <x:v>4.759037736</x:v>
      </x:c>
      <x:c r="O99" s="25" t="n">
        <x:f>MAX(QB!D101*Scoring!$B$30+QB!E101/Scoring!$C$30+QB!F101*Scoring!$D$30+QB!G101*Scoring!$E$30+QB!H101*Scoring!$F$30+QB!I101/Scoring!$G$30+QB!J101*Scoring!$H$30+QB!K101*Scoring!$I$30+M101*Scoring!$J$30+QB!N101*Scoring!$K$30,0)+C101*Scoring!$B$10*0.07+(C101-D101)*Scoring!$B$5</x:f>
        <x:v>84.8</x:v>
      </x:c>
      <x:c r="P99" s="25" t="n">
        <x:f>MAX(QB!D99*Scoring!$B$30+QB!E99/Scoring!$C$30+QB!F99*Scoring!$D$30+QB!G99*Scoring!$E$30+QB!H99*Scoring!$F$30+QB!I99/Scoring!$G$30+QB!J99*Scoring!$H$30+QB!K99*Scoring!$I$30+M99*Scoring!$J$30+QB!N99*Scoring!$K$30,0)+C99*Scoring!$B$10*0.07+(C99-D99)*Scoring!$B$5</x:f>
        <x:v>115.682</x:v>
      </x:c>
      <x:c r="Q99" s="25" t="n">
        <x:f>MAX(QB!D100*Scoring!$B$30+QB!E100/Scoring!$C$30+QB!F100*Scoring!$D$30+QB!G100*Scoring!$E$30+QB!H100*Scoring!$F$30+QB!I100/Scoring!$G$30+QB!J100*Scoring!$H$30+QB!K100*Scoring!$I$30+M100*Scoring!$J$30+QB!N100*Scoring!$K$30,0)+C100*Scoring!$B$10*0.07+(C100-D100)*Scoring!$B$5</x:f>
        <x:v>149.98</x:v>
      </x:c>
      <x:c r="R99" s="9"/>
      <x:c r="S99" s="9"/>
      <x:c r="T99" s="9"/>
      <x:c r="U99" s="9"/>
      <x:c r="V99" s="9"/>
      <x:c r="W99" s="9"/>
      <x:c r="X99" s="9"/>
      <x:c r="Y99" s="9"/>
      <x:c r="Z99" s="9"/>
    </x:row>
    <x:row r="100" ht="14.25" customHeight="1">
      <x:c r="B100" s="1" t="s">
        <x:v>488</x:v>
      </x:c>
      <x:c r="C100" s="1">
        <x:v>315.0</x:v>
      </x:c>
      <x:c r="D100" s="1">
        <x:v>192.0</x:v>
      </x:c>
      <x:c r="E100" s="1">
        <x:v>2155.0</x:v>
      </x:c>
      <x:c r="F100" s="1">
        <x:v>15.0</x:v>
      </x:c>
      <x:c r="G100" s="1">
        <x:v>4.0</x:v>
      </x:c>
      <x:c r="H100" s="1">
        <x:v>22.0</x:v>
      </x:c>
      <x:c r="I100" s="1">
        <x:v>76.8</x:v>
      </x:c>
      <x:c r="J100" s="1">
        <x:v>1.0</x:v>
      </x:c>
      <x:c r="K100" s="1">
        <x:v>1.9</x:v>
      </x:c>
      <x:c r="L100" s="1">
        <x:v>161.0</x:v>
      </x:c>
      <x:c r="M100" s="18">
        <x:f t="shared" si="1"/>
        <x:v>102.5984489</x:v>
      </x:c>
      <x:c r="N100" s="18">
        <x:f t="shared" si="2"/>
        <x:v>5.810716981</x:v>
      </x:c>
      <x:c r="O100" s="25"/>
      <x:c r="P100" s="25"/>
      <x:c r="Q100" s="25"/>
      <x:c r="R100" s="9"/>
      <x:c r="S100" s="9"/>
      <x:c r="T100" s="9"/>
      <x:c r="U100" s="9"/>
      <x:c r="V100" s="9"/>
      <x:c r="W100" s="9"/>
      <x:c r="X100" s="9"/>
      <x:c r="Y100" s="9"/>
      <x:c r="Z100" s="9"/>
    </x:row>
    <x:row r="101" ht="14.25" customHeight="1">
      <x:c r="B101" s="1" t="s">
        <x:v>489</x:v>
      </x:c>
      <x:c r="C101" s="1">
        <x:v>219.0</x:v>
      </x:c>
      <x:c r="D101" s="1">
        <x:v>136.0</x:v>
      </x:c>
      <x:c r="E101" s="1">
        <x:v>1555.0</x:v>
      </x:c>
      <x:c r="F101" s="1">
        <x:v>8.0</x:v>
      </x:c>
      <x:c r="G101" s="1">
        <x:v>6.0</x:v>
      </x:c>
      <x:c r="H101" s="1">
        <x:v>15.0</x:v>
      </x:c>
      <x:c r="I101" s="1">
        <x:v>46.0</x:v>
      </x:c>
      <x:c r="J101" s="1">
        <x:v>0.0</x:v>
      </x:c>
      <x:c r="K101" s="1">
        <x:v>2.0</x:v>
      </x:c>
      <x:c r="L101" s="1">
        <x:v>98.8</x:v>
      </x:c>
      <x:c r="M101" s="18">
        <x:f t="shared" si="1"/>
        <x:v>74.03275547</x:v>
      </x:c>
      <x:c r="N101" s="18">
        <x:f t="shared" si="2"/>
        <x:v>3.480377358</x:v>
      </x:c>
      <x:c r="O101" s="25"/>
      <x:c r="P101" s="25"/>
      <x:c r="Q101" s="25"/>
      <x:c r="R101" s="9"/>
      <x:c r="S101" s="9"/>
      <x:c r="T101" s="9"/>
      <x:c r="U101" s="9"/>
      <x:c r="V101" s="9"/>
      <x:c r="W101" s="9"/>
      <x:c r="X101" s="9"/>
      <x:c r="Y101" s="9"/>
      <x:c r="Z101" s="9"/>
    </x:row>
    <x:row r="102" ht="14.25" customHeight="1">
      <x:c r="A102" s="1" t="s">
        <x:v>553</x:v>
      </x:c>
      <x:c r="B102" s="1" t="s">
        <x:v>549</x:v>
      </x:c>
      <x:c r="C102" s="1">
        <x:v>202.2</x:v>
      </x:c>
      <x:c r="D102" s="1">
        <x:v>122.4</x:v>
      </x:c>
      <x:c r="E102" s="1">
        <x:v>1364.1</x:v>
      </x:c>
      <x:c r="F102" s="1">
        <x:v>7.1</x:v>
      </x:c>
      <x:c r="G102" s="1">
        <x:v>5.5</x:v>
      </x:c>
      <x:c r="H102" s="1">
        <x:v>21.1</x:v>
      </x:c>
      <x:c r="I102" s="1">
        <x:v>122.3</x:v>
      </x:c>
      <x:c r="J102" s="1">
        <x:v>0.5</x:v>
      </x:c>
      <x:c r="K102" s="1">
        <x:v>1.2</x:v>
      </x:c>
      <x:c r="L102" s="1">
        <x:v>90.7</x:v>
      </x:c>
      <x:c r="M102" s="18">
        <x:f t="shared" si="1"/>
        <x:v>64.94410401</x:v>
      </x:c>
      <x:c r="N102" s="18">
        <x:f t="shared" si="2"/>
        <x:v>9.253264151</x:v>
      </x:c>
      <x:c r="O102" s="25" t="n">
        <x:f>MAX(QB!D104*Scoring!$B$30+QB!E104/Scoring!$C$30+QB!F104*Scoring!$D$30+QB!G104*Scoring!$E$30+QB!H104*Scoring!$F$30+QB!I104/Scoring!$G$30+QB!J104*Scoring!$H$30+QB!K104*Scoring!$I$30+M104*Scoring!$J$30+QB!N104*Scoring!$K$30,0)+C104*Scoring!$B$10*0.07+(C104-D104)*Scoring!$B$5</x:f>
        <x:v>31.619999999999997</x:v>
      </x:c>
      <x:c r="P102" s="25" t="n">
        <x:f>MAX(QB!D102*Scoring!$B$30+QB!E102/Scoring!$C$30+QB!F102*Scoring!$D$30+QB!G102*Scoring!$E$30+QB!H102*Scoring!$F$30+QB!I102/Scoring!$G$30+QB!J102*Scoring!$H$30+QB!K102*Scoring!$I$30+M102*Scoring!$J$30+QB!N102*Scoring!$K$30,0)+C102*Scoring!$B$10*0.07+(C102-D102)*Scoring!$B$5</x:f>
        <x:v>85.994</x:v>
      </x:c>
      <x:c r="Q102" s="25" t="n">
        <x:f>MAX(QB!D103*Scoring!$B$30+QB!E103/Scoring!$C$30+QB!F103*Scoring!$D$30+QB!G103*Scoring!$E$30+QB!H103*Scoring!$F$30+QB!I103/Scoring!$G$30+QB!J103*Scoring!$H$30+QB!K103*Scoring!$I$30+M103*Scoring!$J$30+QB!N103*Scoring!$K$30,0)+C103*Scoring!$B$10*0.07+(C103-D103)*Scoring!$B$5</x:f>
        <x:v>129.12</x:v>
      </x:c>
      <x:c r="R102" s="9"/>
      <x:c r="S102" s="9"/>
      <x:c r="T102" s="9"/>
      <x:c r="U102" s="9"/>
      <x:c r="V102" s="9"/>
      <x:c r="W102" s="9"/>
      <x:c r="X102" s="9"/>
      <x:c r="Y102" s="9"/>
      <x:c r="Z102" s="9"/>
    </x:row>
    <x:row r="103" ht="14.25" customHeight="1">
      <x:c r="B103" s="1" t="s">
        <x:v>488</x:v>
      </x:c>
      <x:c r="C103" s="1">
        <x:v>268.0</x:v>
      </x:c>
      <x:c r="D103" s="1">
        <x:v>156.0</x:v>
      </x:c>
      <x:c r="E103" s="1">
        <x:v>1798.0</x:v>
      </x:c>
      <x:c r="F103" s="1">
        <x:v>10.0</x:v>
      </x:c>
      <x:c r="G103" s="1">
        <x:v>3.0</x:v>
      </x:c>
      <x:c r="H103" s="1">
        <x:v>32.0</x:v>
      </x:c>
      <x:c r="I103" s="1">
        <x:v>182.0</x:v>
      </x:c>
      <x:c r="J103" s="1">
        <x:v>1.0</x:v>
      </x:c>
      <x:c r="K103" s="1">
        <x:v>1.0</x:v>
      </x:c>
      <x:c r="L103" s="1">
        <x:v>136.1</x:v>
      </x:c>
      <x:c r="M103" s="18">
        <x:f t="shared" si="1"/>
        <x:v>85.60186131</x:v>
      </x:c>
      <x:c r="N103" s="18">
        <x:f t="shared" si="2"/>
        <x:v>13.77018868</x:v>
      </x:c>
      <x:c r="O103" s="25"/>
      <x:c r="P103" s="25"/>
      <x:c r="Q103" s="25"/>
      <x:c r="R103" s="9"/>
      <x:c r="S103" s="9"/>
      <x:c r="T103" s="9"/>
      <x:c r="U103" s="9"/>
      <x:c r="V103" s="9"/>
      <x:c r="W103" s="9"/>
      <x:c r="X103" s="9"/>
      <x:c r="Y103" s="9"/>
      <x:c r="Z103" s="9"/>
    </x:row>
    <x:row r="104" ht="14.25" customHeight="1">
      <x:c r="B104" s="1" t="s">
        <x:v>489</x:v>
      </x:c>
      <x:c r="C104" s="1">
        <x:v>107.0</x:v>
      </x:c>
      <x:c r="D104" s="1">
        <x:v>64.0</x:v>
      </x:c>
      <x:c r="E104" s="1">
        <x:v>663.0</x:v>
      </x:c>
      <x:c r="F104" s="1">
        <x:v>4.0</x:v>
      </x:c>
      <x:c r="G104" s="1">
        <x:v>8.0</x:v>
      </x:c>
      <x:c r="H104" s="1">
        <x:v>10.0</x:v>
      </x:c>
      <x:c r="I104" s="1">
        <x:v>65.0</x:v>
      </x:c>
      <x:c r="J104" s="1">
        <x:v>0.0</x:v>
      </x:c>
      <x:c r="K104" s="1">
        <x:v>1.4</x:v>
      </x:c>
      <x:c r="L104" s="1">
        <x:v>36.0</x:v>
      </x:c>
      <x:c r="M104" s="18">
        <x:f t="shared" si="1"/>
        <x:v>31.56509124</x:v>
      </x:c>
      <x:c r="N104" s="18">
        <x:f t="shared" si="2"/>
        <x:v>4.917924528</x:v>
      </x:c>
      <x:c r="O104" s="25"/>
      <x:c r="P104" s="25"/>
      <x:c r="Q104" s="25"/>
      <x:c r="R104" s="9"/>
      <x:c r="S104" s="9"/>
      <x:c r="T104" s="9"/>
      <x:c r="U104" s="9"/>
      <x:c r="V104" s="9"/>
      <x:c r="W104" s="9"/>
      <x:c r="X104" s="9"/>
      <x:c r="Y104" s="9"/>
      <x:c r="Z104" s="9"/>
    </x:row>
    <x:row r="105" ht="14.25" customHeight="1">
      <x:c r="A105" s="1" t="s">
        <x:v>554</x:v>
      </x:c>
      <x:c r="B105" s="1" t="s">
        <x:v>547</x:v>
      </x:c>
      <x:c r="C105" s="1">
        <x:v>113.9</x:v>
      </x:c>
      <x:c r="D105" s="1">
        <x:v>74.2</x:v>
      </x:c>
      <x:c r="E105" s="1">
        <x:v>780.8</x:v>
      </x:c>
      <x:c r="F105" s="1">
        <x:v>5.0</x:v>
      </x:c>
      <x:c r="G105" s="1">
        <x:v>3.9</x:v>
      </x:c>
      <x:c r="H105" s="1">
        <x:v>5.2</x:v>
      </x:c>
      <x:c r="I105" s="1">
        <x:v>9.0</x:v>
      </x:c>
      <x:c r="J105" s="1">
        <x:v>0.1</x:v>
      </x:c>
      <x:c r="K105" s="1">
        <x:v>0.9</x:v>
      </x:c>
      <x:c r="L105" s="1">
        <x:v>47.0</x:v>
      </x:c>
      <x:c r="M105" s="18">
        <x:f t="shared" si="1"/>
        <x:v>37.17348905</x:v>
      </x:c>
      <x:c r="N105" s="18">
        <x:f t="shared" si="2"/>
        <x:v>0.6809433962</x:v>
      </x:c>
      <x:c r="O105" s="25" t="n">
        <x:f>MAX(QB!D107*Scoring!$B$30+QB!E107/Scoring!$C$30+QB!F107*Scoring!$D$30+QB!G107*Scoring!$E$30+QB!H107*Scoring!$F$30+QB!I107/Scoring!$G$30+QB!J107*Scoring!$H$30+QB!K107*Scoring!$I$30+M107*Scoring!$J$30+QB!N107*Scoring!$K$30,0)+C107*Scoring!$B$10*0.07+(C107-D107)*Scoring!$B$5</x:f>
        <x:v>32.74</x:v>
      </x:c>
      <x:c r="P105" s="25" t="n">
        <x:f>MAX(QB!D105*Scoring!$B$30+QB!E105/Scoring!$C$30+QB!F105*Scoring!$D$30+QB!G105*Scoring!$E$30+QB!H105*Scoring!$F$30+QB!I105/Scoring!$G$30+QB!J105*Scoring!$H$30+QB!K105*Scoring!$I$30+M105*Scoring!$J$30+QB!N105*Scoring!$K$30,0)+C105*Scoring!$B$10*0.07+(C105-D105)*Scoring!$B$5</x:f>
        <x:v>44.032000000000004</x:v>
      </x:c>
      <x:c r="Q105" s="25" t="n">
        <x:f>MAX(QB!D106*Scoring!$B$30+QB!E106/Scoring!$C$30+QB!F106*Scoring!$D$30+QB!G106*Scoring!$E$30+QB!H106*Scoring!$F$30+QB!I106/Scoring!$G$30+QB!J106*Scoring!$H$30+QB!K106*Scoring!$I$30+M106*Scoring!$J$30+QB!N106*Scoring!$K$30,0)+C106*Scoring!$B$10*0.07+(C106-D106)*Scoring!$B$5</x:f>
        <x:v>54.36</x:v>
      </x:c>
      <x:c r="R105" s="9"/>
      <x:c r="S105" s="9"/>
      <x:c r="T105" s="9"/>
      <x:c r="U105" s="9"/>
      <x:c r="V105" s="9"/>
      <x:c r="W105" s="9"/>
      <x:c r="X105" s="9"/>
      <x:c r="Y105" s="9"/>
      <x:c r="Z105" s="9"/>
    </x:row>
    <x:row r="106" ht="14.25" customHeight="1">
      <x:c r="B106" s="1" t="s">
        <x:v>488</x:v>
      </x:c>
      <x:c r="C106" s="1">
        <x:v>121.0</x:v>
      </x:c>
      <x:c r="D106" s="1">
        <x:v>78.7</x:v>
      </x:c>
      <x:c r="E106" s="1">
        <x:v>844.0</x:v>
      </x:c>
      <x:c r="F106" s="1">
        <x:v>6.0</x:v>
      </x:c>
      <x:c r="G106" s="1">
        <x:v>2.7</x:v>
      </x:c>
      <x:c r="H106" s="1">
        <x:v>7.0</x:v>
      </x:c>
      <x:c r="I106" s="1">
        <x:v>11.0</x:v>
      </x:c>
      <x:c r="J106" s="1">
        <x:v>0.3</x:v>
      </x:c>
      <x:c r="K106" s="1">
        <x:v>0.9</x:v>
      </x:c>
      <x:c r="L106" s="1">
        <x:v>58.5</x:v>
      </x:c>
      <x:c r="M106" s="18">
        <x:f t="shared" si="1"/>
        <x:v>40.18240876</x:v>
      </x:c>
      <x:c r="N106" s="18">
        <x:f t="shared" si="2"/>
        <x:v>0.8322641509</x:v>
      </x:c>
      <x:c r="O106" s="25"/>
      <x:c r="P106" s="25"/>
      <x:c r="Q106" s="25"/>
      <x:c r="R106" s="9"/>
      <x:c r="S106" s="9"/>
      <x:c r="T106" s="9"/>
      <x:c r="U106" s="9"/>
      <x:c r="V106" s="9"/>
      <x:c r="W106" s="9"/>
      <x:c r="X106" s="9"/>
      <x:c r="Y106" s="9"/>
      <x:c r="Z106" s="9"/>
    </x:row>
    <x:row r="107" ht="14.25" customHeight="1">
      <x:c r="B107" s="1" t="s">
        <x:v>489</x:v>
      </x:c>
      <x:c r="C107" s="1">
        <x:v>102.0</x:v>
      </x:c>
      <x:c r="D107" s="1">
        <x:v>69.0</x:v>
      </x:c>
      <x:c r="E107" s="1">
        <x:v>666.0</x:v>
      </x:c>
      <x:c r="F107" s="1">
        <x:v>4.1</x:v>
      </x:c>
      <x:c r="G107" s="1">
        <x:v>5.0</x:v>
      </x:c>
      <x:c r="H107" s="1">
        <x:v>3.0</x:v>
      </x:c>
      <x:c r="I107" s="1">
        <x:v>7.0</x:v>
      </x:c>
      <x:c r="J107" s="1">
        <x:v>0.0</x:v>
      </x:c>
      <x:c r="K107" s="1">
        <x:v>1.0</x:v>
      </x:c>
      <x:c r="L107" s="1">
        <x:v>38.0</x:v>
      </x:c>
      <x:c r="M107" s="18">
        <x:f t="shared" si="1"/>
        <x:v>31.70791971</x:v>
      </x:c>
      <x:c r="N107" s="18">
        <x:f t="shared" si="2"/>
        <x:v>0.5296226415</x:v>
      </x:c>
      <x:c r="O107" s="25"/>
      <x:c r="P107" s="25"/>
      <x:c r="Q107" s="25"/>
      <x:c r="R107" s="9"/>
      <x:c r="S107" s="9"/>
      <x:c r="T107" s="9"/>
      <x:c r="U107" s="9"/>
      <x:c r="V107" s="9"/>
      <x:c r="W107" s="9"/>
      <x:c r="X107" s="9"/>
      <x:c r="Y107" s="9"/>
      <x:c r="Z107" s="9"/>
    </x:row>
    <x:row r="108" ht="14.25" customHeight="1">
      <x:c r="A108" s="1" t="s">
        <x:v>555</x:v>
      </x:c>
      <x:c r="B108" s="1" t="s">
        <x:v>517</x:v>
      </x:c>
      <x:c r="C108" s="1">
        <x:v>40.9</x:v>
      </x:c>
      <x:c r="D108" s="1">
        <x:v>25.8</x:v>
      </x:c>
      <x:c r="E108" s="1">
        <x:v>298.2</x:v>
      </x:c>
      <x:c r="F108" s="1">
        <x:v>2.6</x:v>
      </x:c>
      <x:c r="G108" s="1">
        <x:v>0.8</x:v>
      </x:c>
      <x:c r="H108" s="1">
        <x:v>4.1</x:v>
      </x:c>
      <x:c r="I108" s="1">
        <x:v>18.4</x:v>
      </x:c>
      <x:c r="J108" s="1">
        <x:v>0.0</x:v>
      </x:c>
      <x:c r="K108" s="1">
        <x:v>0.1</x:v>
      </x:c>
      <x:c r="L108" s="1">
        <x:v>23.4</x:v>
      </x:c>
      <x:c r="M108" s="18">
        <x:f t="shared" si="1"/>
        <x:v>14.19714964</x:v>
      </x:c>
      <x:c r="N108" s="18">
        <x:f t="shared" si="2"/>
        <x:v>1.392150943</x:v>
      </x:c>
      <x:c r="O108" s="25" t="n">
        <x:f>MAX(QB!D110*Scoring!$B$30+QB!E110/Scoring!$C$30+QB!F110*Scoring!$D$30+QB!G110*Scoring!$E$30+QB!H110*Scoring!$F$30+QB!I110/Scoring!$G$30+QB!J110*Scoring!$H$30+QB!K110*Scoring!$I$30+M110*Scoring!$J$30+QB!N110*Scoring!$K$30,0)+C110*Scoring!$B$10*0.07+(C110-D110)*Scoring!$B$5</x:f>
        <x:v>8.936</x:v>
      </x:c>
      <x:c r="P108" s="25" t="n">
        <x:f>MAX(QB!D108*Scoring!$B$30+QB!E108/Scoring!$C$30+QB!F108*Scoring!$D$30+QB!G108*Scoring!$E$30+QB!H108*Scoring!$F$30+QB!I108/Scoring!$G$30+QB!J108*Scoring!$H$30+QB!K108*Scoring!$I$30+M108*Scoring!$J$30+QB!N108*Scoring!$K$30,0)+C108*Scoring!$B$10*0.07+(C108-D108)*Scoring!$B$5</x:f>
        <x:v>22.467999999999996</x:v>
      </x:c>
      <x:c r="Q108" s="25" t="n">
        <x:f>MAX(QB!D109*Scoring!$B$30+QB!E109/Scoring!$C$30+QB!F109*Scoring!$D$30+QB!G109*Scoring!$E$30+QB!H109*Scoring!$F$30+QB!I109/Scoring!$G$30+QB!J109*Scoring!$H$30+QB!K109*Scoring!$I$30+M109*Scoring!$J$30+QB!N109*Scoring!$K$30,0)+C109*Scoring!$B$10*0.07+(C109-D109)*Scoring!$B$5</x:f>
        <x:v>36.6</x:v>
      </x:c>
      <x:c r="R108" s="9"/>
      <x:c r="S108" s="9"/>
      <x:c r="T108" s="9"/>
      <x:c r="U108" s="9"/>
      <x:c r="V108" s="9"/>
      <x:c r="W108" s="9"/>
      <x:c r="X108" s="9"/>
      <x:c r="Y108" s="9"/>
      <x:c r="Z108" s="9"/>
    </x:row>
    <x:row r="109" ht="14.25" customHeight="1">
      <x:c r="B109" s="1" t="s">
        <x:v>488</x:v>
      </x:c>
      <x:c r="C109" s="1">
        <x:v>60.0</x:v>
      </x:c>
      <x:c r="D109" s="1">
        <x:v>38.0</x:v>
      </x:c>
      <x:c r="E109" s="1">
        <x:v>450.0</x:v>
      </x:c>
      <x:c r="F109" s="1">
        <x:v>4.0</x:v>
      </x:c>
      <x:c r="G109" s="1">
        <x:v>0.6</x:v>
      </x:c>
      <x:c r="H109" s="1">
        <x:v>7.0</x:v>
      </x:c>
      <x:c r="I109" s="1">
        <x:v>32.0</x:v>
      </x:c>
      <x:c r="J109" s="1">
        <x:v>0.1</x:v>
      </x:c>
      <x:c r="K109" s="1">
        <x:v>0.0</x:v>
      </x:c>
      <x:c r="L109" s="1">
        <x:v>34.0</x:v>
      </x:c>
      <x:c r="M109" s="18">
        <x:f t="shared" si="1"/>
        <x:v>21.42427007</x:v>
      </x:c>
      <x:c r="N109" s="18">
        <x:f t="shared" si="2"/>
        <x:v>2.421132075</x:v>
      </x:c>
      <x:c r="O109" s="25"/>
      <x:c r="P109" s="25"/>
      <x:c r="Q109" s="25"/>
      <x:c r="R109" s="9"/>
      <x:c r="S109" s="9"/>
      <x:c r="T109" s="9"/>
      <x:c r="U109" s="9"/>
      <x:c r="V109" s="9"/>
      <x:c r="W109" s="9"/>
      <x:c r="X109" s="9"/>
      <x:c r="Y109" s="9"/>
      <x:c r="Z109" s="9"/>
    </x:row>
    <x:row r="110" ht="14.25" customHeight="1">
      <x:c r="B110" s="1" t="s">
        <x:v>489</x:v>
      </x:c>
      <x:c r="C110" s="1">
        <x:v>21.9</x:v>
      </x:c>
      <x:c r="D110" s="1">
        <x:v>13.5</x:v>
      </x:c>
      <x:c r="E110" s="1">
        <x:v>146.4</x:v>
      </x:c>
      <x:c r="F110" s="1">
        <x:v>1.2</x:v>
      </x:c>
      <x:c r="G110" s="1">
        <x:v>1.0</x:v>
      </x:c>
      <x:c r="H110" s="1">
        <x:v>1.1</x:v>
      </x:c>
      <x:c r="I110" s="1">
        <x:v>4.8</x:v>
      </x:c>
      <x:c r="J110" s="1">
        <x:v>0.0</x:v>
      </x:c>
      <x:c r="K110" s="1">
        <x:v>0.2</x:v>
      </x:c>
      <x:c r="L110" s="1">
        <x:v>10.0</x:v>
      </x:c>
      <x:c r="M110" s="18">
        <x:f t="shared" si="1"/>
        <x:v>6.970029197</x:v>
      </x:c>
      <x:c r="N110" s="18">
        <x:f t="shared" si="2"/>
        <x:v>0.3631698113</x:v>
      </x:c>
      <x:c r="O110" s="25"/>
      <x:c r="P110" s="25"/>
      <x:c r="Q110" s="25"/>
      <x:c r="R110" s="9"/>
      <x:c r="S110" s="9"/>
      <x:c r="T110" s="9"/>
      <x:c r="U110" s="9"/>
      <x:c r="V110" s="9"/>
      <x:c r="W110" s="9"/>
      <x:c r="X110" s="9"/>
      <x:c r="Y110" s="9"/>
      <x:c r="Z110" s="9"/>
    </x:row>
    <x:row r="111" ht="14.25" customHeight="1">
      <x:c r="A111" s="1" t="s">
        <x:v>556</x:v>
      </x:c>
      <x:c r="B111" s="1" t="s">
        <x:v>543</x:v>
      </x:c>
      <x:c r="C111" s="1">
        <x:v>49.0</x:v>
      </x:c>
      <x:c r="D111" s="1">
        <x:v>30.9</x:v>
      </x:c>
      <x:c r="E111" s="1">
        <x:v>338.2</x:v>
      </x:c>
      <x:c r="F111" s="1">
        <x:v>2.2</x:v>
      </x:c>
      <x:c r="G111" s="1">
        <x:v>1.2</x:v>
      </x:c>
      <x:c r="H111" s="1">
        <x:v>5.2</x:v>
      </x:c>
      <x:c r="I111" s="1">
        <x:v>20.1</x:v>
      </x:c>
      <x:c r="J111" s="1">
        <x:v>0.1</x:v>
      </x:c>
      <x:c r="K111" s="1">
        <x:v>0.2</x:v>
      </x:c>
      <x:c r="L111" s="1">
        <x:v>23.2</x:v>
      </x:c>
      <x:c r="M111" s="18">
        <x:f t="shared" si="1"/>
        <x:v>16.1015292</x:v>
      </x:c>
      <x:c r="N111" s="18">
        <x:f t="shared" si="2"/>
        <x:v>1.520773585</x:v>
      </x:c>
      <x:c r="O111" s="25" t="n">
        <x:f>MAX(QB!D113*Scoring!$B$30+QB!E113/Scoring!$C$30+QB!F113*Scoring!$D$30+QB!G113*Scoring!$E$30+QB!H113*Scoring!$F$30+QB!I113/Scoring!$G$30+QB!J113*Scoring!$H$30+QB!K113*Scoring!$I$30+M113*Scoring!$J$30+QB!N113*Scoring!$K$30,0)+C113*Scoring!$B$10*0.07+(C113-D113)*Scoring!$B$5</x:f>
        <x:v>4.8</x:v>
      </x:c>
      <x:c r="P111" s="25" t="n">
        <x:f>MAX(QB!D111*Scoring!$B$30+QB!E111/Scoring!$C$30+QB!F111*Scoring!$D$30+QB!G111*Scoring!$E$30+QB!H111*Scoring!$F$30+QB!I111/Scoring!$G$30+QB!J111*Scoring!$H$30+QB!K111*Scoring!$I$30+M111*Scoring!$J$30+QB!N111*Scoring!$K$30,0)+C111*Scoring!$B$10*0.07+(C111-D111)*Scoring!$B$5</x:f>
        <x:v>22.338000000000005</x:v>
      </x:c>
      <x:c r="Q111" s="25" t="n">
        <x:f>MAX(QB!D112*Scoring!$B$30+QB!E112/Scoring!$C$30+QB!F112*Scoring!$D$30+QB!G112*Scoring!$E$30+QB!H112*Scoring!$F$30+QB!I112/Scoring!$G$30+QB!J112*Scoring!$H$30+QB!K112*Scoring!$I$30+M112*Scoring!$J$30+QB!N112*Scoring!$K$30,0)+C112*Scoring!$B$10*0.07+(C112-D112)*Scoring!$B$5</x:f>
        <x:v>34.76</x:v>
      </x:c>
      <x:c r="R111" s="9"/>
      <x:c r="S111" s="9"/>
      <x:c r="T111" s="9"/>
      <x:c r="U111" s="9"/>
      <x:c r="V111" s="9"/>
      <x:c r="W111" s="9"/>
      <x:c r="X111" s="9"/>
      <x:c r="Y111" s="9"/>
      <x:c r="Z111" s="9"/>
    </x:row>
    <x:row r="112" ht="14.25" customHeight="1">
      <x:c r="B112" s="1" t="s">
        <x:v>488</x:v>
      </x:c>
      <x:c r="C112" s="1">
        <x:v>66.1</x:v>
      </x:c>
      <x:c r="D112" s="1">
        <x:v>40.8</x:v>
      </x:c>
      <x:c r="E112" s="1">
        <x:v>450.5</x:v>
      </x:c>
      <x:c r="F112" s="1">
        <x:v>3.0</x:v>
      </x:c>
      <x:c r="G112" s="1">
        <x:v>0.0</x:v>
      </x:c>
      <x:c r="H112" s="1">
        <x:v>7.0</x:v>
      </x:c>
      <x:c r="I112" s="1">
        <x:v>29.4</x:v>
      </x:c>
      <x:c r="J112" s="1">
        <x:v>0.3</x:v>
      </x:c>
      <x:c r="K112" s="1">
        <x:v>0.0</x:v>
      </x:c>
      <x:c r="L112" s="1">
        <x:v>32.4</x:v>
      </x:c>
      <x:c r="M112" s="18">
        <x:f t="shared" si="1"/>
        <x:v>21.44807482</x:v>
      </x:c>
      <x:c r="N112" s="18">
        <x:f t="shared" si="2"/>
        <x:v>2.224415094</x:v>
      </x:c>
      <x:c r="O112" s="25"/>
      <x:c r="P112" s="25"/>
      <x:c r="Q112" s="25"/>
      <x:c r="R112" s="9"/>
      <x:c r="S112" s="9"/>
      <x:c r="T112" s="9"/>
      <x:c r="U112" s="9"/>
      <x:c r="V112" s="9"/>
      <x:c r="W112" s="9"/>
      <x:c r="X112" s="9"/>
      <x:c r="Y112" s="9"/>
      <x:c r="Z112" s="9"/>
    </x:row>
    <x:row r="113" ht="14.25" customHeight="1">
      <x:c r="B113" s="1" t="s">
        <x:v>489</x:v>
      </x:c>
      <x:c r="C113" s="1">
        <x:v>18.0</x:v>
      </x:c>
      <x:c r="D113" s="1">
        <x:v>12.0</x:v>
      </x:c>
      <x:c r="E113" s="1">
        <x:v>115.0</x:v>
      </x:c>
      <x:c r="F113" s="1">
        <x:v>1.0</x:v>
      </x:c>
      <x:c r="G113" s="1">
        <x:v>2.0</x:v>
      </x:c>
      <x:c r="H113" s="1">
        <x:v>2.0</x:v>
      </x:c>
      <x:c r="I113" s="1">
        <x:v>7.0</x:v>
      </x:c>
      <x:c r="J113" s="1">
        <x:v>0.0</x:v>
      </x:c>
      <x:c r="K113" s="1">
        <x:v>0.5</x:v>
      </x:c>
      <x:c r="L113" s="1">
        <x:v>8.0</x:v>
      </x:c>
      <x:c r="M113" s="18">
        <x:f t="shared" si="1"/>
        <x:v>5.475091241</x:v>
      </x:c>
      <x:c r="N113" s="18">
        <x:f t="shared" si="2"/>
        <x:v>0.5296226415</x:v>
      </x:c>
      <x:c r="O113" s="25"/>
      <x:c r="P113" s="25"/>
      <x:c r="Q113" s="25"/>
      <x:c r="R113" s="9"/>
      <x:c r="S113" s="9"/>
      <x:c r="T113" s="9"/>
      <x:c r="U113" s="9"/>
      <x:c r="V113" s="9"/>
      <x:c r="W113" s="9"/>
      <x:c r="X113" s="9"/>
      <x:c r="Y113" s="9"/>
      <x:c r="Z113" s="9"/>
    </x:row>
    <x:row r="114" ht="14.25" customHeight="1">
      <x:c r="A114" s="1" t="s">
        <x:v>557</x:v>
      </x:c>
      <x:c r="B114" s="1" t="s">
        <x:v>525</x:v>
      </x:c>
      <x:c r="C114" s="1">
        <x:v>48.6</x:v>
      </x:c>
      <x:c r="D114" s="1">
        <x:v>30.2</x:v>
      </x:c>
      <x:c r="E114" s="1">
        <x:v>340.6</x:v>
      </x:c>
      <x:c r="F114" s="1">
        <x:v>1.8</x:v>
      </x:c>
      <x:c r="G114" s="1">
        <x:v>1.4</x:v>
      </x:c>
      <x:c r="H114" s="1">
        <x:v>5.9</x:v>
      </x:c>
      <x:c r="I114" s="1">
        <x:v>27.0</x:v>
      </x:c>
      <x:c r="J114" s="1">
        <x:v>0.2</x:v>
      </x:c>
      <x:c r="K114" s="1">
        <x:v>0.4</x:v>
      </x:c>
      <x:c r="L114" s="1">
        <x:v>22.5</x:v>
      </x:c>
      <x:c r="M114" s="18">
        <x:f t="shared" si="1"/>
        <x:v>16.21579197</x:v>
      </x:c>
      <x:c r="N114" s="18">
        <x:f t="shared" si="2"/>
        <x:v>2.042830189</x:v>
      </x:c>
      <x:c r="O114" s="25" t="n">
        <x:f>MAX(QB!D116*Scoring!$B$30+QB!E116/Scoring!$C$30+QB!F116*Scoring!$D$30+QB!G116*Scoring!$E$30+QB!H116*Scoring!$F$30+QB!I116/Scoring!$G$30+QB!J116*Scoring!$H$30+QB!K116*Scoring!$I$30+M116*Scoring!$J$30+QB!N116*Scoring!$K$30,0)+C116*Scoring!$B$10*0.07+(C116-D116)*Scoring!$B$5</x:f>
        <x:v>5.880000000000001</x:v>
      </x:c>
      <x:c r="P114" s="25" t="n">
        <x:f>MAX(QB!D114*Scoring!$B$30+QB!E114/Scoring!$C$30+QB!F114*Scoring!$D$30+QB!G114*Scoring!$E$30+QB!H114*Scoring!$F$30+QB!I114/Scoring!$G$30+QB!J114*Scoring!$H$30+QB!K114*Scoring!$I$30+M114*Scoring!$J$30+QB!N114*Scoring!$K$30,0)+C114*Scoring!$B$10*0.07+(C114-D114)*Scoring!$B$5</x:f>
        <x:v>21.524</x:v>
      </x:c>
      <x:c r="Q114" s="25" t="n">
        <x:f>MAX(QB!D115*Scoring!$B$30+QB!E115/Scoring!$C$30+QB!F115*Scoring!$D$30+QB!G115*Scoring!$E$30+QB!H115*Scoring!$F$30+QB!I115/Scoring!$G$30+QB!J115*Scoring!$H$30+QB!K115*Scoring!$I$30+M115*Scoring!$J$30+QB!N115*Scoring!$K$30,0)+C115*Scoring!$B$10*0.07+(C115-D115)*Scoring!$B$5</x:f>
        <x:v>43.542</x:v>
      </x:c>
      <x:c r="R114" s="9"/>
      <x:c r="S114" s="9"/>
      <x:c r="T114" s="9"/>
      <x:c r="U114" s="9"/>
      <x:c r="V114" s="9"/>
      <x:c r="W114" s="9"/>
      <x:c r="X114" s="9"/>
      <x:c r="Y114" s="9"/>
      <x:c r="Z114" s="9"/>
    </x:row>
    <x:row r="115" ht="14.25" customHeight="1">
      <x:c r="B115" s="1" t="s">
        <x:v>488</x:v>
      </x:c>
      <x:c r="C115" s="1">
        <x:v>85.7</x:v>
      </x:c>
      <x:c r="D115" s="1">
        <x:v>54.5</x:v>
      </x:c>
      <x:c r="E115" s="1">
        <x:v>598.8</x:v>
      </x:c>
      <x:c r="F115" s="1">
        <x:v>3.4</x:v>
      </x:c>
      <x:c r="G115" s="1">
        <x:v>1.0</x:v>
      </x:c>
      <x:c r="H115" s="1">
        <x:v>9.8</x:v>
      </x:c>
      <x:c r="I115" s="1">
        <x:v>43.9</x:v>
      </x:c>
      <x:c r="J115" s="1">
        <x:v>0.6</x:v>
      </x:c>
      <x:c r="K115" s="1">
        <x:v>0.0</x:v>
      </x:c>
      <x:c r="L115" s="1">
        <x:v>39.8</x:v>
      </x:c>
      <x:c r="M115" s="18">
        <x:f t="shared" si="1"/>
        <x:v>28.50856204</x:v>
      </x:c>
      <x:c r="N115" s="18">
        <x:f t="shared" si="2"/>
        <x:v>3.321490566</x:v>
      </x:c>
      <x:c r="O115" s="25"/>
      <x:c r="P115" s="25"/>
      <x:c r="Q115" s="25"/>
      <x:c r="R115" s="9"/>
      <x:c r="S115" s="9"/>
      <x:c r="T115" s="9"/>
      <x:c r="U115" s="9"/>
      <x:c r="V115" s="9"/>
      <x:c r="W115" s="9"/>
      <x:c r="X115" s="9"/>
      <x:c r="Y115" s="9"/>
      <x:c r="Z115" s="9"/>
    </x:row>
    <x:row r="116" ht="14.25" customHeight="1">
      <x:c r="B116" s="1" t="s">
        <x:v>489</x:v>
      </x:c>
      <x:c r="C116" s="1">
        <x:v>19.0</x:v>
      </x:c>
      <x:c r="D116" s="1">
        <x:v>12.0</x:v>
      </x:c>
      <x:c r="E116" s="1">
        <x:v>137.0</x:v>
      </x:c>
      <x:c r="F116" s="1">
        <x:v>1.0</x:v>
      </x:c>
      <x:c r="G116" s="1">
        <x:v>2.3</x:v>
      </x:c>
      <x:c r="H116" s="1">
        <x:v>4.0</x:v>
      </x:c>
      <x:c r="I116" s="1">
        <x:v>18.0</x:v>
      </x:c>
      <x:c r="J116" s="1">
        <x:v>0.0</x:v>
      </x:c>
      <x:c r="K116" s="1">
        <x:v>0.8</x:v>
      </x:c>
      <x:c r="L116" s="1">
        <x:v>7.0</x:v>
      </x:c>
      <x:c r="M116" s="18">
        <x:f t="shared" si="1"/>
        <x:v>6.5225</x:v>
      </x:c>
      <x:c r="N116" s="18">
        <x:f t="shared" si="2"/>
        <x:v>1.361886792</x:v>
      </x:c>
      <x:c r="O116" s="25"/>
      <x:c r="P116" s="25"/>
      <x:c r="Q116" s="25"/>
      <x:c r="R116" s="9"/>
      <x:c r="S116" s="9"/>
      <x:c r="T116" s="9"/>
      <x:c r="U116" s="9"/>
      <x:c r="V116" s="9"/>
      <x:c r="W116" s="9"/>
      <x:c r="X116" s="9"/>
      <x:c r="Y116" s="9"/>
      <x:c r="Z116" s="9"/>
    </x:row>
    <x:row r="117" ht="14.25" customHeight="1">
      <x:c r="A117" s="1" t="s">
        <x:v>558</x:v>
      </x:c>
      <x:c r="B117" s="1" t="s">
        <x:v>495</x:v>
      </x:c>
      <x:c r="C117" s="1">
        <x:v>34.3</x:v>
      </x:c>
      <x:c r="D117" s="1">
        <x:v>21.7</x:v>
      </x:c>
      <x:c r="E117" s="1">
        <x:v>254.0</x:v>
      </x:c>
      <x:c r="F117" s="1">
        <x:v>2.0</x:v>
      </x:c>
      <x:c r="G117" s="1">
        <x:v>0.8</x:v>
      </x:c>
      <x:c r="H117" s="1">
        <x:v>1.4</x:v>
      </x:c>
      <x:c r="I117" s="1">
        <x:v>7.9</x:v>
      </x:c>
      <x:c r="J117" s="1">
        <x:v>0.0</x:v>
      </x:c>
      <x:c r="K117" s="1">
        <x:v>0.1</x:v>
      </x:c>
      <x:c r="L117" s="1">
        <x:v>18.0</x:v>
      </x:c>
      <x:c r="M117" s="18">
        <x:f t="shared" si="1"/>
        <x:v>12.09281022</x:v>
      </x:c>
      <x:c r="N117" s="18">
        <x:f t="shared" si="2"/>
        <x:v>0.5977169811</x:v>
      </x:c>
      <x:c r="O117" s="25" t="n">
        <x:f>MAX(QB!D119*Scoring!$B$30+QB!E119/Scoring!$C$30+QB!F119*Scoring!$D$30+QB!G119*Scoring!$E$30+QB!H119*Scoring!$F$30+QB!I119/Scoring!$G$30+QB!J119*Scoring!$H$30+QB!K119*Scoring!$I$30+M119*Scoring!$J$30+QB!N119*Scoring!$K$30,0)+C119*Scoring!$B$10*0.07+(C119-D119)*Scoring!$B$5</x:f>
        <x:v>9.044</x:v>
      </x:c>
      <x:c r="P117" s="25" t="n">
        <x:f>MAX(QB!D117*Scoring!$B$30+QB!E117/Scoring!$C$30+QB!F117*Scoring!$D$30+QB!G117*Scoring!$E$30+QB!H117*Scoring!$F$30+QB!I117/Scoring!$G$30+QB!J117*Scoring!$H$30+QB!K117*Scoring!$I$30+M117*Scoring!$J$30+QB!N117*Scoring!$K$30,0)+C117*Scoring!$B$10*0.07+(C117-D117)*Scoring!$B$5</x:f>
        <x:v>17.249999999999996</x:v>
      </x:c>
      <x:c r="Q117" s="25" t="n">
        <x:f>MAX(QB!D118*Scoring!$B$30+QB!E118/Scoring!$C$30+QB!F118*Scoring!$D$30+QB!G118*Scoring!$E$30+QB!H118*Scoring!$F$30+QB!I118/Scoring!$G$30+QB!J118*Scoring!$H$30+QB!K118*Scoring!$I$30+M118*Scoring!$J$30+QB!N118*Scoring!$K$30,0)+C118*Scoring!$B$10*0.07+(C118-D118)*Scoring!$B$5</x:f>
        <x:v>25.860000000000003</x:v>
      </x:c>
      <x:c r="R117" s="9"/>
      <x:c r="S117" s="9"/>
      <x:c r="T117" s="9"/>
      <x:c r="U117" s="9"/>
      <x:c r="V117" s="9"/>
      <x:c r="W117" s="9"/>
      <x:c r="X117" s="9"/>
      <x:c r="Y117" s="9"/>
      <x:c r="Z117" s="9"/>
    </x:row>
    <x:row r="118" ht="14.25" customHeight="1">
      <x:c r="B118" s="1" t="s">
        <x:v>488</x:v>
      </x:c>
      <x:c r="C118" s="1">
        <x:v>46.0</x:v>
      </x:c>
      <x:c r="D118" s="1">
        <x:v>29.0</x:v>
      </x:c>
      <x:c r="E118" s="1">
        <x:v>342.0</x:v>
      </x:c>
      <x:c r="F118" s="1">
        <x:v>3.0</x:v>
      </x:c>
      <x:c r="G118" s="1">
        <x:v>0.7</x:v>
      </x:c>
      <x:c r="H118" s="1">
        <x:v>1.8</x:v>
      </x:c>
      <x:c r="I118" s="1">
        <x:v>9.8</x:v>
      </x:c>
      <x:c r="J118" s="1">
        <x:v>0.1</x:v>
      </x:c>
      <x:c r="K118" s="1">
        <x:v>0.0</x:v>
      </x:c>
      <x:c r="L118" s="1">
        <x:v>21.0</x:v>
      </x:c>
      <x:c r="M118" s="18">
        <x:f t="shared" si="1"/>
        <x:v>16.28244526</x:v>
      </x:c>
      <x:c r="N118" s="18">
        <x:f t="shared" si="2"/>
        <x:v>0.7414716981</x:v>
      </x:c>
      <x:c r="O118" s="25"/>
      <x:c r="P118" s="25"/>
      <x:c r="Q118" s="25"/>
      <x:c r="R118" s="9"/>
      <x:c r="S118" s="9"/>
      <x:c r="T118" s="9"/>
      <x:c r="U118" s="9"/>
      <x:c r="V118" s="9"/>
      <x:c r="W118" s="9"/>
      <x:c r="X118" s="9"/>
      <x:c r="Y118" s="9"/>
      <x:c r="Z118" s="9"/>
    </x:row>
    <x:row r="119" ht="14.25" customHeight="1">
      <x:c r="B119" s="1" t="s">
        <x:v>489</x:v>
      </x:c>
      <x:c r="C119" s="1">
        <x:v>22.6</x:v>
      </x:c>
      <x:c r="D119" s="1">
        <x:v>14.3</x:v>
      </x:c>
      <x:c r="E119" s="1">
        <x:v>166.1</x:v>
      </x:c>
      <x:c r="F119" s="1">
        <x:v>1.0</x:v>
      </x:c>
      <x:c r="G119" s="1">
        <x:v>1.0</x:v>
      </x:c>
      <x:c r="H119" s="1">
        <x:v>1.0</x:v>
      </x:c>
      <x:c r="I119" s="1">
        <x:v>6.0</x:v>
      </x:c>
      <x:c r="J119" s="1">
        <x:v>0.0</x:v>
      </x:c>
      <x:c r="K119" s="1">
        <x:v>0.2</x:v>
      </x:c>
      <x:c r="L119" s="1">
        <x:v>10.2</x:v>
      </x:c>
      <x:c r="M119" s="18">
        <x:f t="shared" si="1"/>
        <x:v>7.907936131</x:v>
      </x:c>
      <x:c r="N119" s="18">
        <x:f t="shared" si="2"/>
        <x:v>0.4539622642</x:v>
      </x:c>
      <x:c r="O119" s="25"/>
      <x:c r="P119" s="25"/>
      <x:c r="Q119" s="25"/>
      <x:c r="R119" s="9"/>
      <x:c r="S119" s="9"/>
      <x:c r="T119" s="9"/>
      <x:c r="U119" s="9"/>
      <x:c r="V119" s="9"/>
      <x:c r="W119" s="9"/>
      <x:c r="X119" s="9"/>
      <x:c r="Y119" s="9"/>
      <x:c r="Z119" s="9"/>
    </x:row>
    <x:row r="120" ht="14.25" customHeight="1">
      <x:c r="A120" s="1" t="s">
        <x:v>559</x:v>
      </x:c>
      <x:c r="B120" s="1" t="s">
        <x:v>527</x:v>
      </x:c>
      <x:c r="C120" s="1">
        <x:v>27.3</x:v>
      </x:c>
      <x:c r="D120" s="1">
        <x:v>17.2</x:v>
      </x:c>
      <x:c r="E120" s="1">
        <x:v>192.8</x:v>
      </x:c>
      <x:c r="F120" s="1">
        <x:v>1.3</x:v>
      </x:c>
      <x:c r="G120" s="1">
        <x:v>0.5</x:v>
      </x:c>
      <x:c r="H120" s="1">
        <x:v>2.7</x:v>
      </x:c>
      <x:c r="I120" s="1">
        <x:v>11.5</x:v>
      </x:c>
      <x:c r="J120" s="1">
        <x:v>0.0</x:v>
      </x:c>
      <x:c r="K120" s="1">
        <x:v>0.6</x:v>
      </x:c>
      <x:c r="L120" s="1">
        <x:v>12.4</x:v>
      </x:c>
      <x:c r="M120" s="18">
        <x:f t="shared" si="1"/>
        <x:v>9.179109489</x:v>
      </x:c>
      <x:c r="N120" s="18">
        <x:f t="shared" si="2"/>
        <x:v>0.8700943396</x:v>
      </x:c>
      <x:c r="O120" s="25" t="n">
        <x:f>MAX(QB!D122*Scoring!$B$30+QB!E122/Scoring!$C$30+QB!F122*Scoring!$D$30+QB!G122*Scoring!$E$30+QB!H122*Scoring!$F$30+QB!I122/Scoring!$G$30+QB!J122*Scoring!$H$30+QB!K122*Scoring!$I$30+M122*Scoring!$J$30+QB!N122*Scoring!$K$30,0)+C122*Scoring!$B$10*0.07+(C122-D122)*Scoring!$B$5</x:f>
        <x:v>7.09</x:v>
      </x:c>
      <x:c r="P120" s="25" t="n">
        <x:f>MAX(QB!D120*Scoring!$B$30+QB!E120/Scoring!$C$30+QB!F120*Scoring!$D$30+QB!G120*Scoring!$E$30+QB!H120*Scoring!$F$30+QB!I120/Scoring!$G$30+QB!J120*Scoring!$H$30+QB!K120*Scoring!$I$30+M120*Scoring!$J$30+QB!N120*Scoring!$K$30,0)+C120*Scoring!$B$10*0.07+(C120-D120)*Scoring!$B$5</x:f>
        <x:v>12.462000000000002</x:v>
      </x:c>
      <x:c r="Q120" s="25" t="n">
        <x:f>MAX(QB!D121*Scoring!$B$30+QB!E121/Scoring!$C$30+QB!F121*Scoring!$D$30+QB!G121*Scoring!$E$30+QB!H121*Scoring!$F$30+QB!I121/Scoring!$G$30+QB!J121*Scoring!$H$30+QB!K121*Scoring!$I$30+M121*Scoring!$J$30+QB!N121*Scoring!$K$30,0)+C121*Scoring!$B$10*0.07+(C121-D121)*Scoring!$B$5</x:f>
        <x:v>20.76</x:v>
      </x:c>
      <x:c r="R120" s="9"/>
      <x:c r="S120" s="9"/>
      <x:c r="T120" s="9"/>
      <x:c r="U120" s="9"/>
      <x:c r="V120" s="9"/>
      <x:c r="W120" s="9"/>
      <x:c r="X120" s="9"/>
      <x:c r="Y120" s="9"/>
      <x:c r="Z120" s="9"/>
    </x:row>
    <x:row r="121" ht="14.25" customHeight="1">
      <x:c r="B121" s="1" t="s">
        <x:v>488</x:v>
      </x:c>
      <x:c r="C121" s="1">
        <x:v>37.0</x:v>
      </x:c>
      <x:c r="D121" s="1">
        <x:v>23.0</x:v>
      </x:c>
      <x:c r="E121" s="1">
        <x:v>259.0</x:v>
      </x:c>
      <x:c r="F121" s="1">
        <x:v>2.0</x:v>
      </x:c>
      <x:c r="G121" s="1">
        <x:v>0.0</x:v>
      </x:c>
      <x:c r="H121" s="1">
        <x:v>5.0</x:v>
      </x:c>
      <x:c r="I121" s="1">
        <x:v>20.0</x:v>
      </x:c>
      <x:c r="J121" s="1">
        <x:v>0.1</x:v>
      </x:c>
      <x:c r="K121" s="1">
        <x:v>0.2</x:v>
      </x:c>
      <x:c r="L121" s="1">
        <x:v>19.3</x:v>
      </x:c>
      <x:c r="M121" s="18">
        <x:f t="shared" si="1"/>
        <x:v>12.33085766</x:v>
      </x:c>
      <x:c r="N121" s="18">
        <x:f t="shared" si="2"/>
        <x:v>1.513207547</x:v>
      </x:c>
      <x:c r="O121" s="25"/>
      <x:c r="P121" s="25"/>
      <x:c r="Q121" s="25"/>
      <x:c r="R121" s="9"/>
      <x:c r="S121" s="9"/>
      <x:c r="T121" s="9"/>
      <x:c r="U121" s="9"/>
      <x:c r="V121" s="9"/>
      <x:c r="W121" s="9"/>
      <x:c r="X121" s="9"/>
      <x:c r="Y121" s="9"/>
      <x:c r="Z121" s="9"/>
    </x:row>
    <x:row r="122" ht="14.25" customHeight="1">
      <x:c r="B122" s="1" t="s">
        <x:v>489</x:v>
      </x:c>
      <x:c r="C122" s="1">
        <x:v>22.0</x:v>
      </x:c>
      <x:c r="D122" s="1">
        <x:v>14.0</x:v>
      </x:c>
      <x:c r="E122" s="1">
        <x:v>158.5</x:v>
      </x:c>
      <x:c r="F122" s="1">
        <x:v>0.8</x:v>
      </x:c>
      <x:c r="G122" s="1">
        <x:v>1.0</x:v>
      </x:c>
      <x:c r="H122" s="1">
        <x:v>1.2</x:v>
      </x:c>
      <x:c r="I122" s="1">
        <x:v>5.5</x:v>
      </x:c>
      <x:c r="J122" s="1">
        <x:v>0.0</x:v>
      </x:c>
      <x:c r="K122" s="1">
        <x:v>1.0</x:v>
      </x:c>
      <x:c r="L122" s="1">
        <x:v>7.0</x:v>
      </x:c>
      <x:c r="M122" s="18">
        <x:f t="shared" si="1"/>
        <x:v>7.546104015</x:v>
      </x:c>
      <x:c r="N122" s="18">
        <x:f t="shared" si="2"/>
        <x:v>0.4161320755</x:v>
      </x:c>
      <x:c r="O122" s="25"/>
      <x:c r="P122" s="25"/>
      <x:c r="Q122" s="25"/>
      <x:c r="R122" s="9"/>
      <x:c r="S122" s="9"/>
      <x:c r="T122" s="9"/>
      <x:c r="U122" s="9"/>
      <x:c r="V122" s="9"/>
      <x:c r="W122" s="9"/>
      <x:c r="X122" s="9"/>
      <x:c r="Y122" s="9"/>
      <x:c r="Z122" s="9"/>
    </x:row>
    <x:row r="123" ht="14.25" customHeight="1">
      <x:c r="A123" s="1" t="s">
        <x:v>560</x:v>
      </x:c>
      <x:c r="B123" s="1" t="s">
        <x:v>509</x:v>
      </x:c>
      <x:c r="C123" s="1">
        <x:v>26.2</x:v>
      </x:c>
      <x:c r="D123" s="1">
        <x:v>16.3</x:v>
      </x:c>
      <x:c r="E123" s="1">
        <x:v>175.2</x:v>
      </x:c>
      <x:c r="F123" s="1">
        <x:v>1.0</x:v>
      </x:c>
      <x:c r="G123" s="1">
        <x:v>0.8</x:v>
      </x:c>
      <x:c r="H123" s="1">
        <x:v>3.6</x:v>
      </x:c>
      <x:c r="I123" s="1">
        <x:v>18.4</x:v>
      </x:c>
      <x:c r="J123" s="1">
        <x:v>0.1</x:v>
      </x:c>
      <x:c r="K123" s="1">
        <x:v>0.1</x:v>
      </x:c>
      <x:c r="L123" s="1">
        <x:v>12.1</x:v>
      </x:c>
      <x:c r="M123" s="18">
        <x:f t="shared" si="1"/>
        <x:v>8.341182482</x:v>
      </x:c>
      <x:c r="N123" s="18">
        <x:f t="shared" si="2"/>
        <x:v>1.392150943</x:v>
      </x:c>
      <x:c r="O123" s="25" t="n">
        <x:f>MAX(QB!D125*Scoring!$B$30+QB!E125/Scoring!$C$30+QB!F125*Scoring!$D$30+QB!G125*Scoring!$E$30+QB!H125*Scoring!$F$30+QB!I125/Scoring!$G$30+QB!J125*Scoring!$H$30+QB!K125*Scoring!$I$30+M125*Scoring!$J$30+QB!N125*Scoring!$K$30,0)+C125*Scoring!$B$10*0.07+(C125-D125)*Scoring!$B$5</x:f>
        <x:v>8.55</x:v>
      </x:c>
      <x:c r="P123" s="25" t="n">
        <x:f>MAX(QB!D123*Scoring!$B$30+QB!E123/Scoring!$C$30+QB!F123*Scoring!$D$30+QB!G123*Scoring!$E$30+QB!H123*Scoring!$F$30+QB!I123/Scoring!$G$30+QB!J123*Scoring!$H$30+QB!K123*Scoring!$I$30+M123*Scoring!$J$30+QB!N123*Scoring!$K$30,0)+C123*Scoring!$B$10*0.07+(C123-D123)*Scoring!$B$5</x:f>
        <x:v>11.748</x:v>
      </x:c>
      <x:c r="Q123" s="25" t="n">
        <x:f>MAX(QB!D124*Scoring!$B$30+QB!E124/Scoring!$C$30+QB!F124*Scoring!$D$30+QB!G124*Scoring!$E$30+QB!H124*Scoring!$F$30+QB!I124/Scoring!$G$30+QB!J124*Scoring!$H$30+QB!K124*Scoring!$I$30+M124*Scoring!$J$30+QB!N124*Scoring!$K$30,0)+C124*Scoring!$B$10*0.07+(C124-D124)*Scoring!$B$5</x:f>
        <x:v>15.98</x:v>
      </x:c>
      <x:c r="R123" s="9"/>
      <x:c r="S123" s="9"/>
      <x:c r="T123" s="9"/>
      <x:c r="U123" s="9"/>
      <x:c r="V123" s="9"/>
      <x:c r="W123" s="9"/>
      <x:c r="X123" s="9"/>
      <x:c r="Y123" s="9"/>
      <x:c r="Z123" s="9"/>
    </x:row>
    <x:row r="124" ht="14.25" customHeight="1">
      <x:c r="B124" s="1" t="s">
        <x:v>488</x:v>
      </x:c>
      <x:c r="C124" s="1">
        <x:v>35.0</x:v>
      </x:c>
      <x:c r="D124" s="1">
        <x:v>22.0</x:v>
      </x:c>
      <x:c r="E124" s="1">
        <x:v>237.0</x:v>
      </x:c>
      <x:c r="F124" s="1">
        <x:v>1.0</x:v>
      </x:c>
      <x:c r="G124" s="1">
        <x:v>0.4</x:v>
      </x:c>
      <x:c r="H124" s="1">
        <x:v>4.0</x:v>
      </x:c>
      <x:c r="I124" s="1">
        <x:v>21.0</x:v>
      </x:c>
      <x:c r="J124" s="1">
        <x:v>0.2</x:v>
      </x:c>
      <x:c r="K124" s="1">
        <x:v>0.0</x:v>
      </x:c>
      <x:c r="L124" s="1">
        <x:v>15.4</x:v>
      </x:c>
      <x:c r="M124" s="18">
        <x:f t="shared" si="1"/>
        <x:v>11.28344891</x:v>
      </x:c>
      <x:c r="N124" s="18">
        <x:f t="shared" si="2"/>
        <x:v>1.588867925</x:v>
      </x:c>
      <x:c r="O124" s="25"/>
      <x:c r="P124" s="25"/>
      <x:c r="Q124" s="25"/>
      <x:c r="R124" s="9"/>
      <x:c r="S124" s="9"/>
      <x:c r="T124" s="9"/>
      <x:c r="U124" s="9"/>
      <x:c r="V124" s="9"/>
      <x:c r="W124" s="9"/>
      <x:c r="X124" s="9"/>
      <x:c r="Y124" s="9"/>
      <x:c r="Z124" s="9"/>
    </x:row>
    <x:row r="125" ht="14.25" customHeight="1">
      <x:c r="B125" s="1" t="s">
        <x:v>489</x:v>
      </x:c>
      <x:c r="C125" s="1">
        <x:v>20.6</x:v>
      </x:c>
      <x:c r="D125" s="1">
        <x:v>12.8</x:v>
      </x:c>
      <x:c r="E125" s="1">
        <x:v>140.5</x:v>
      </x:c>
      <x:c r="F125" s="1">
        <x:v>0.9</x:v>
      </x:c>
      <x:c r="G125" s="1">
        <x:v>1.0</x:v>
      </x:c>
      <x:c r="H125" s="1">
        <x:v>2.8</x:v>
      </x:c>
      <x:c r="I125" s="1">
        <x:v>15.3</x:v>
      </x:c>
      <x:c r="J125" s="1">
        <x:v>0.0</x:v>
      </x:c>
      <x:c r="K125" s="1">
        <x:v>0.2</x:v>
      </x:c>
      <x:c r="L125" s="1">
        <x:v>7.0</x:v>
      </x:c>
      <x:c r="M125" s="18">
        <x:f t="shared" si="1"/>
        <x:v>6.689133212</x:v>
      </x:c>
      <x:c r="N125" s="18">
        <x:f t="shared" si="2"/>
        <x:v>1.157603774</x:v>
      </x:c>
      <x:c r="O125" s="25"/>
      <x:c r="P125" s="25"/>
      <x:c r="Q125" s="25"/>
      <x:c r="R125" s="9"/>
      <x:c r="S125" s="9"/>
      <x:c r="T125" s="9"/>
      <x:c r="U125" s="9"/>
      <x:c r="V125" s="9"/>
      <x:c r="W125" s="9"/>
      <x:c r="X125" s="9"/>
      <x:c r="Y125" s="9"/>
      <x:c r="Z125" s="9"/>
    </x:row>
    <x:row r="126" ht="14.25" customHeight="1">
      <x:c r="A126" s="1" t="s">
        <x:v>561</x:v>
      </x:c>
      <x:c r="B126" s="1" t="s">
        <x:v>487</x:v>
      </x:c>
      <x:c r="C126" s="1">
        <x:v>20.0</x:v>
      </x:c>
      <x:c r="D126" s="1">
        <x:v>14.0</x:v>
      </x:c>
      <x:c r="E126" s="1">
        <x:v>151.0</x:v>
      </x:c>
      <x:c r="F126" s="1">
        <x:v>1.0</x:v>
      </x:c>
      <x:c r="G126" s="1">
        <x:v>0.0</x:v>
      </x:c>
      <x:c r="H126" s="1">
        <x:v>4.0</x:v>
      </x:c>
      <x:c r="I126" s="1">
        <x:v>20.0</x:v>
      </x:c>
      <x:c r="J126" s="1">
        <x:v>0.0</x:v>
      </x:c>
      <x:c r="K126" s="1">
        <x:v>0.0</x:v>
      </x:c>
      <x:c r="L126" s="1">
        <x:v>12.0</x:v>
      </x:c>
      <x:c r="M126" s="18">
        <x:f t="shared" si="1"/>
        <x:v>7.189032847</x:v>
      </x:c>
      <x:c r="N126" s="18">
        <x:f t="shared" si="2"/>
        <x:v>1.513207547</x:v>
      </x:c>
      <x:c r="O126" s="25" t="n">
        <x:f>MAX(QB!D128*Scoring!$B$30+QB!E128/Scoring!$C$30+QB!F128*Scoring!$D$30+QB!G128*Scoring!$E$30+QB!H128*Scoring!$F$30+QB!I128/Scoring!$G$30+QB!J128*Scoring!$H$30+QB!K128*Scoring!$I$30+M128*Scoring!$J$30+QB!N128*Scoring!$K$30,0)+C128*Scoring!$B$10*0.07+(C128-D128)*Scoring!$B$5</x:f>
        <x:v>12.04</x:v>
      </x:c>
      <x:c r="P126" s="25" t="n">
        <x:f>MAX(QB!D126*Scoring!$B$30+QB!E126/Scoring!$C$30+QB!F126*Scoring!$D$30+QB!G126*Scoring!$E$30+QB!H126*Scoring!$F$30+QB!I126/Scoring!$G$30+QB!J126*Scoring!$H$30+QB!K126*Scoring!$I$30+M126*Scoring!$J$30+QB!N126*Scoring!$K$30,0)+C126*Scoring!$B$10*0.07+(C126-D126)*Scoring!$B$5</x:f>
        <x:v>12.04</x:v>
      </x:c>
      <x:c r="Q126" s="25" t="n">
        <x:f>MAX(QB!D127*Scoring!$B$30+QB!E127/Scoring!$C$30+QB!F127*Scoring!$D$30+QB!G127*Scoring!$E$30+QB!H127*Scoring!$F$30+QB!I127/Scoring!$G$30+QB!J127*Scoring!$H$30+QB!K127*Scoring!$I$30+M127*Scoring!$J$30+QB!N127*Scoring!$K$30,0)+C127*Scoring!$B$10*0.07+(C127-D127)*Scoring!$B$5</x:f>
        <x:v>12.04</x:v>
      </x:c>
      <x:c r="R126" s="9"/>
      <x:c r="S126" s="9"/>
      <x:c r="T126" s="9"/>
      <x:c r="U126" s="9"/>
      <x:c r="V126" s="9"/>
      <x:c r="W126" s="9"/>
      <x:c r="X126" s="9"/>
      <x:c r="Y126" s="9"/>
      <x:c r="Z126" s="9"/>
    </x:row>
    <x:row r="127" ht="14.25" customHeight="1">
      <x:c r="B127" s="1" t="s">
        <x:v>488</x:v>
      </x:c>
      <x:c r="C127" s="1">
        <x:v>20.0</x:v>
      </x:c>
      <x:c r="D127" s="1">
        <x:v>14.0</x:v>
      </x:c>
      <x:c r="E127" s="1">
        <x:v>151.0</x:v>
      </x:c>
      <x:c r="F127" s="1">
        <x:v>1.0</x:v>
      </x:c>
      <x:c r="G127" s="1">
        <x:v>0.0</x:v>
      </x:c>
      <x:c r="H127" s="1">
        <x:v>4.0</x:v>
      </x:c>
      <x:c r="I127" s="1">
        <x:v>20.0</x:v>
      </x:c>
      <x:c r="J127" s="1">
        <x:v>0.0</x:v>
      </x:c>
      <x:c r="K127" s="1">
        <x:v>0.0</x:v>
      </x:c>
      <x:c r="L127" s="1">
        <x:v>9.0</x:v>
      </x:c>
      <x:c r="M127" s="18">
        <x:f t="shared" si="1"/>
        <x:v>7.189032847</x:v>
      </x:c>
      <x:c r="N127" s="18">
        <x:f t="shared" si="2"/>
        <x:v>1.513207547</x:v>
      </x:c>
      <x:c r="O127" s="25"/>
      <x:c r="P127" s="25"/>
      <x:c r="Q127" s="25"/>
      <x:c r="R127" s="9"/>
      <x:c r="S127" s="9"/>
      <x:c r="T127" s="9"/>
      <x:c r="U127" s="9"/>
      <x:c r="V127" s="9"/>
      <x:c r="W127" s="9"/>
      <x:c r="X127" s="9"/>
      <x:c r="Y127" s="9"/>
      <x:c r="Z127" s="9"/>
    </x:row>
    <x:row r="128" ht="14.25" customHeight="1">
      <x:c r="B128" s="1" t="s">
        <x:v>489</x:v>
      </x:c>
      <x:c r="C128" s="1">
        <x:v>20.0</x:v>
      </x:c>
      <x:c r="D128" s="1">
        <x:v>14.0</x:v>
      </x:c>
      <x:c r="E128" s="1">
        <x:v>151.0</x:v>
      </x:c>
      <x:c r="F128" s="1">
        <x:v>1.0</x:v>
      </x:c>
      <x:c r="G128" s="1">
        <x:v>0.0</x:v>
      </x:c>
      <x:c r="H128" s="1">
        <x:v>4.0</x:v>
      </x:c>
      <x:c r="I128" s="1">
        <x:v>20.0</x:v>
      </x:c>
      <x:c r="J128" s="1">
        <x:v>0.0</x:v>
      </x:c>
      <x:c r="K128" s="1">
        <x:v>0.0</x:v>
      </x:c>
      <x:c r="L128" s="1">
        <x:v>9.0</x:v>
      </x:c>
      <x:c r="M128" s="18">
        <x:f t="shared" si="1"/>
        <x:v>7.189032847</x:v>
      </x:c>
      <x:c r="N128" s="18">
        <x:f t="shared" si="2"/>
        <x:v>1.513207547</x:v>
      </x:c>
      <x:c r="O128" s="25"/>
      <x:c r="P128" s="25"/>
      <x:c r="Q128" s="25"/>
      <x:c r="R128" s="9"/>
      <x:c r="S128" s="9"/>
      <x:c r="T128" s="9"/>
      <x:c r="U128" s="9"/>
      <x:c r="V128" s="9"/>
      <x:c r="W128" s="9"/>
      <x:c r="X128" s="9"/>
      <x:c r="Y128" s="9"/>
      <x:c r="Z128" s="9"/>
    </x:row>
    <x:row r="129" ht="14.25" customHeight="1">
      <x:c r="A129" s="1" t="s">
        <x:v>562</x:v>
      </x:c>
      <x:c r="B129" s="1" t="s">
        <x:v>501</x:v>
      </x:c>
      <x:c r="C129" s="1">
        <x:v>26.1</x:v>
      </x:c>
      <x:c r="D129" s="1">
        <x:v>15.5</x:v>
      </x:c>
      <x:c r="E129" s="1">
        <x:v>194.7</x:v>
      </x:c>
      <x:c r="F129" s="1">
        <x:v>1.3</x:v>
      </x:c>
      <x:c r="G129" s="1">
        <x:v>1.3</x:v>
      </x:c>
      <x:c r="H129" s="1">
        <x:v>2.6</x:v>
      </x:c>
      <x:c r="I129" s="1">
        <x:v>10.9</x:v>
      </x:c>
      <x:c r="J129" s="1">
        <x:v>0.0</x:v>
      </x:c>
      <x:c r="K129" s="1">
        <x:v>0.6</x:v>
      </x:c>
      <x:c r="L129" s="1">
        <x:v>11.7</x:v>
      </x:c>
      <x:c r="M129" s="18">
        <x:f t="shared" si="1"/>
        <x:v>9.269567518</x:v>
      </x:c>
      <x:c r="N129" s="18">
        <x:f t="shared" si="2"/>
        <x:v>0.8246981132</x:v>
      </x:c>
      <x:c r="O129" s="25" t="n">
        <x:f>MAX(QB!D131*Scoring!$B$30+QB!E131/Scoring!$C$30+QB!F131*Scoring!$D$30+QB!G131*Scoring!$E$30+QB!H131*Scoring!$F$30+QB!I131/Scoring!$G$30+QB!J131*Scoring!$H$30+QB!K131*Scoring!$I$30+M131*Scoring!$J$30+QB!N131*Scoring!$K$30,0)+C131*Scoring!$B$10*0.07+(C131-D131)*Scoring!$B$5</x:f>
        <x:v>4.629999999999999</x:v>
      </x:c>
      <x:c r="P129" s="25" t="n">
        <x:f>MAX(QB!D129*Scoring!$B$30+QB!E129/Scoring!$C$30+QB!F129*Scoring!$D$30+QB!G129*Scoring!$E$30+QB!H129*Scoring!$F$30+QB!I129/Scoring!$G$30+QB!J129*Scoring!$H$30+QB!K129*Scoring!$I$30+M129*Scoring!$J$30+QB!N129*Scoring!$K$30,0)+C129*Scoring!$B$10*0.07+(C129-D129)*Scoring!$B$5</x:f>
        <x:v>10.878</x:v>
      </x:c>
      <x:c r="Q129" s="25" t="n">
        <x:f>MAX(QB!D130*Scoring!$B$30+QB!E130/Scoring!$C$30+QB!F130*Scoring!$D$30+QB!G130*Scoring!$E$30+QB!H130*Scoring!$F$30+QB!I130/Scoring!$G$30+QB!J130*Scoring!$H$30+QB!K130*Scoring!$I$30+M130*Scoring!$J$30+QB!N130*Scoring!$K$30,0)+C130*Scoring!$B$10*0.07+(C130-D130)*Scoring!$B$5</x:f>
        <x:v>19.279999999999998</x:v>
      </x:c>
      <x:c r="R129" s="9"/>
      <x:c r="S129" s="9"/>
      <x:c r="T129" s="9"/>
      <x:c r="U129" s="9"/>
      <x:c r="V129" s="9"/>
      <x:c r="W129" s="9"/>
      <x:c r="X129" s="9"/>
      <x:c r="Y129" s="9"/>
      <x:c r="Z129" s="9"/>
    </x:row>
    <x:row r="130" ht="14.25" customHeight="1">
      <x:c r="B130" s="1" t="s">
        <x:v>488</x:v>
      </x:c>
      <x:c r="C130" s="1">
        <x:v>35.0</x:v>
      </x:c>
      <x:c r="D130" s="1">
        <x:v>20.0</x:v>
      </x:c>
      <x:c r="E130" s="1">
        <x:v>277.0</x:v>
      </x:c>
      <x:c r="F130" s="1">
        <x:v>2.0</x:v>
      </x:c>
      <x:c r="G130" s="1">
        <x:v>0.9</x:v>
      </x:c>
      <x:c r="H130" s="1">
        <x:v>5.0</x:v>
      </x:c>
      <x:c r="I130" s="1">
        <x:v>22.0</x:v>
      </x:c>
      <x:c r="J130" s="1">
        <x:v>0.0</x:v>
      </x:c>
      <x:c r="K130" s="1">
        <x:v>0.2</x:v>
      </x:c>
      <x:c r="L130" s="1">
        <x:v>19.9</x:v>
      </x:c>
      <x:c r="M130" s="18">
        <x:f t="shared" si="1"/>
        <x:v>13.18782847</x:v>
      </x:c>
      <x:c r="N130" s="18">
        <x:f t="shared" si="2"/>
        <x:v>1.664528302</x:v>
      </x:c>
      <x:c r="O130" s="25"/>
      <x:c r="P130" s="25"/>
      <x:c r="Q130" s="25"/>
      <x:c r="R130" s="9"/>
      <x:c r="S130" s="9"/>
      <x:c r="T130" s="9"/>
      <x:c r="U130" s="9"/>
      <x:c r="V130" s="9"/>
      <x:c r="W130" s="9"/>
      <x:c r="X130" s="9"/>
      <x:c r="Y130" s="9"/>
      <x:c r="Z130" s="9"/>
    </x:row>
    <x:row r="131" ht="14.25" customHeight="1">
      <x:c r="B131" s="1" t="s">
        <x:v>489</x:v>
      </x:c>
      <x:c r="C131" s="1">
        <x:v>21.0</x:v>
      </x:c>
      <x:c r="D131" s="1">
        <x:v>13.0</x:v>
      </x:c>
      <x:c r="E131" s="1">
        <x:v>144.0</x:v>
      </x:c>
      <x:c r="F131" s="1">
        <x:v>0.9</x:v>
      </x:c>
      <x:c r="G131" s="1">
        <x:v>2.0</x:v>
      </x:c>
      <x:c r="H131" s="1">
        <x:v>0.7</x:v>
      </x:c>
      <x:c r="I131" s="1">
        <x:v>2.7</x:v>
      </x:c>
      <x:c r="J131" s="1">
        <x:v>0.0</x:v>
      </x:c>
      <x:c r="K131" s="1">
        <x:v>1.0</x:v>
      </x:c>
      <x:c r="L131" s="1">
        <x:v>5.0</x:v>
      </x:c>
      <x:c r="M131" s="18">
        <x:f t="shared" si="1"/>
        <x:v>6.855766423</x:v>
      </x:c>
      <x:c r="N131" s="18">
        <x:f t="shared" si="2"/>
        <x:v>0.2042830189</x:v>
      </x:c>
      <x:c r="O131" s="25"/>
      <x:c r="P131" s="25"/>
      <x:c r="Q131" s="25"/>
      <x:c r="R131" s="9"/>
      <x:c r="S131" s="9"/>
      <x:c r="T131" s="9"/>
      <x:c r="U131" s="9"/>
      <x:c r="V131" s="9"/>
      <x:c r="W131" s="9"/>
      <x:c r="X131" s="9"/>
      <x:c r="Y131" s="9"/>
      <x:c r="Z131" s="9"/>
    </x:row>
    <x:row r="132" ht="14.25" customHeight="1">
      <x:c r="A132" s="1" t="s">
        <x:v>563</x:v>
      </x:c>
      <x:c r="B132" s="1" t="s">
        <x:v>529</x:v>
      </x:c>
      <x:c r="C132" s="1">
        <x:v>24.5</x:v>
      </x:c>
      <x:c r="D132" s="1">
        <x:v>16.0</x:v>
      </x:c>
      <x:c r="E132" s="1">
        <x:v>167.7</x:v>
      </x:c>
      <x:c r="F132" s="1">
        <x:v>1.2</x:v>
      </x:c>
      <x:c r="G132" s="1">
        <x:v>0.9</x:v>
      </x:c>
      <x:c r="H132" s="1">
        <x:v>3.0</x:v>
      </x:c>
      <x:c r="I132" s="1">
        <x:v>11.7</x:v>
      </x:c>
      <x:c r="J132" s="1">
        <x:v>0.0</x:v>
      </x:c>
      <x:c r="K132" s="1">
        <x:v>0.1</x:v>
      </x:c>
      <x:c r="L132" s="1">
        <x:v>11.6</x:v>
      </x:c>
      <x:c r="M132" s="18">
        <x:f t="shared" si="1"/>
        <x:v>7.984111314</x:v>
      </x:c>
      <x:c r="N132" s="18">
        <x:f t="shared" si="2"/>
        <x:v>0.8852264151</x:v>
      </x:c>
      <x:c r="O132" s="25" t="n">
        <x:f>MAX(QB!D134*Scoring!$B$30+QB!E134/Scoring!$C$30+QB!F134*Scoring!$D$30+QB!G134*Scoring!$E$30+QB!H134*Scoring!$F$30+QB!I134/Scoring!$G$30+QB!J134*Scoring!$H$30+QB!K134*Scoring!$I$30+M134*Scoring!$J$30+QB!N134*Scoring!$K$30,0)+C134*Scoring!$B$10*0.07+(C134-D134)*Scoring!$B$5</x:f>
        <x:v>5.56</x:v>
      </x:c>
      <x:c r="P132" s="25" t="n">
        <x:f>MAX(QB!D132*Scoring!$B$30+QB!E132/Scoring!$C$30+QB!F132*Scoring!$D$30+QB!G132*Scoring!$E$30+QB!H132*Scoring!$F$30+QB!I132/Scoring!$G$30+QB!J132*Scoring!$H$30+QB!K132*Scoring!$I$30+M132*Scoring!$J$30+QB!N132*Scoring!$K$30,0)+C132*Scoring!$B$10*0.07+(C132-D132)*Scoring!$B$5</x:f>
        <x:v>10.777999999999999</x:v>
      </x:c>
      <x:c r="Q132" s="25" t="n">
        <x:f>MAX(QB!D133*Scoring!$B$30+QB!E133/Scoring!$C$30+QB!F133*Scoring!$D$30+QB!G133*Scoring!$E$30+QB!H133*Scoring!$F$30+QB!I133/Scoring!$G$30+QB!J133*Scoring!$H$30+QB!K133*Scoring!$I$30+M133*Scoring!$J$30+QB!N133*Scoring!$K$30,0)+C133*Scoring!$B$10*0.07+(C133-D133)*Scoring!$B$5</x:f>
        <x:v>17.74</x:v>
      </x:c>
      <x:c r="R132" s="9"/>
      <x:c r="S132" s="9"/>
      <x:c r="T132" s="9"/>
      <x:c r="U132" s="9"/>
      <x:c r="V132" s="9"/>
      <x:c r="W132" s="9"/>
      <x:c r="X132" s="9"/>
      <x:c r="Y132" s="9"/>
      <x:c r="Z132" s="9"/>
    </x:row>
    <x:row r="133" ht="14.25" customHeight="1">
      <x:c r="B133" s="1" t="s">
        <x:v>488</x:v>
      </x:c>
      <x:c r="C133" s="1">
        <x:v>32.0</x:v>
      </x:c>
      <x:c r="D133" s="1">
        <x:v>21.0</x:v>
      </x:c>
      <x:c r="E133" s="1">
        <x:v>226.0</x:v>
      </x:c>
      <x:c r="F133" s="1">
        <x:v>2.0</x:v>
      </x:c>
      <x:c r="G133" s="1">
        <x:v>0.6</x:v>
      </x:c>
      <x:c r="H133" s="1">
        <x:v>4.0</x:v>
      </x:c>
      <x:c r="I133" s="1">
        <x:v>19.0</x:v>
      </x:c>
      <x:c r="J133" s="1">
        <x:v>0.0</x:v>
      </x:c>
      <x:c r="K133" s="1">
        <x:v>0.0</x:v>
      </x:c>
      <x:c r="L133" s="1">
        <x:v>18.2</x:v>
      </x:c>
      <x:c r="M133" s="18">
        <x:f t="shared" si="1"/>
        <x:v>10.75974453</x:v>
      </x:c>
      <x:c r="N133" s="18">
        <x:f t="shared" si="2"/>
        <x:v>1.43754717</x:v>
      </x:c>
      <x:c r="O133" s="25"/>
      <x:c r="P133" s="25"/>
      <x:c r="Q133" s="25"/>
      <x:c r="R133" s="9"/>
      <x:c r="S133" s="9"/>
      <x:c r="T133" s="9"/>
      <x:c r="U133" s="9"/>
      <x:c r="V133" s="9"/>
      <x:c r="W133" s="9"/>
      <x:c r="X133" s="9"/>
      <x:c r="Y133" s="9"/>
      <x:c r="Z133" s="9"/>
    </x:row>
    <x:row r="134" ht="14.25" customHeight="1">
      <x:c r="B134" s="1" t="s">
        <x:v>489</x:v>
      </x:c>
      <x:c r="C134" s="1">
        <x:v>19.0</x:v>
      </x:c>
      <x:c r="D134" s="1">
        <x:v>13.0</x:v>
      </x:c>
      <x:c r="E134" s="1">
        <x:v>124.0</x:v>
      </x:c>
      <x:c r="F134" s="1">
        <x:v>0.6</x:v>
      </x:c>
      <x:c r="G134" s="1">
        <x:v>1.0</x:v>
      </x:c>
      <x:c r="H134" s="1">
        <x:v>1.0</x:v>
      </x:c>
      <x:c r="I134" s="1">
        <x:v>4.0</x:v>
      </x:c>
      <x:c r="J134" s="1">
        <x:v>0.0</x:v>
      </x:c>
      <x:c r="K134" s="1">
        <x:v>0.2</x:v>
      </x:c>
      <x:c r="L134" s="1">
        <x:v>7.0</x:v>
      </x:c>
      <x:c r="M134" s="18">
        <x:f t="shared" si="1"/>
        <x:v>5.903576642</x:v>
      </x:c>
      <x:c r="N134" s="18">
        <x:f t="shared" si="2"/>
        <x:v>0.3026415094</x:v>
      </x:c>
      <x:c r="O134" s="25"/>
      <x:c r="P134" s="25"/>
      <x:c r="Q134" s="25"/>
      <x:c r="R134" s="9"/>
      <x:c r="S134" s="9"/>
      <x:c r="T134" s="9"/>
      <x:c r="U134" s="9"/>
      <x:c r="V134" s="9"/>
      <x:c r="W134" s="9"/>
      <x:c r="X134" s="9"/>
      <x:c r="Y134" s="9"/>
      <x:c r="Z134" s="9"/>
    </x:row>
    <x:row r="135" ht="14.25" customHeight="1">
      <x:c r="A135" s="1" t="s">
        <x:v>564</x:v>
      </x:c>
      <x:c r="B135" s="1" t="s">
        <x:v>511</x:v>
      </x:c>
      <x:c r="C135" s="1">
        <x:v>23.0</x:v>
      </x:c>
      <x:c r="D135" s="1">
        <x:v>15.1</x:v>
      </x:c>
      <x:c r="E135" s="1">
        <x:v>169.6</x:v>
      </x:c>
      <x:c r="F135" s="1">
        <x:v>1.0</x:v>
      </x:c>
      <x:c r="G135" s="1">
        <x:v>0.2</x:v>
      </x:c>
      <x:c r="H135" s="1">
        <x:v>2.8</x:v>
      </x:c>
      <x:c r="I135" s="1">
        <x:v>8.6</x:v>
      </x:c>
      <x:c r="J135" s="1">
        <x:v>0.0</x:v>
      </x:c>
      <x:c r="K135" s="1">
        <x:v>0.1</x:v>
      </x:c>
      <x:c r="L135" s="1">
        <x:v>11.5</x:v>
      </x:c>
      <x:c r="M135" s="18">
        <x:f t="shared" si="1"/>
        <x:v>8.074569343</x:v>
      </x:c>
      <x:c r="N135" s="18">
        <x:f t="shared" si="2"/>
        <x:v>0.6506792453</x:v>
      </x:c>
      <x:c r="O135" s="25" t="n">
        <x:f>MAX(QB!D137*Scoring!$B$30+QB!E137/Scoring!$C$30+QB!F137*Scoring!$D$30+QB!G137*Scoring!$E$30+QB!H137*Scoring!$F$30+QB!I137/Scoring!$G$30+QB!J137*Scoring!$H$30+QB!K137*Scoring!$I$30+M137*Scoring!$J$30+QB!N137*Scoring!$K$30,0)+C137*Scoring!$B$10*0.07+(C137-D137)*Scoring!$B$5</x:f>
        <x:v>9.426000000000002</x:v>
      </x:c>
      <x:c r="P135" s="25" t="n">
        <x:f>MAX(QB!D135*Scoring!$B$30+QB!E135/Scoring!$C$30+QB!F135*Scoring!$D$30+QB!G135*Scoring!$E$30+QB!H135*Scoring!$F$30+QB!I135/Scoring!$G$30+QB!J135*Scoring!$H$30+QB!K135*Scoring!$I$30+M135*Scoring!$J$30+QB!N135*Scoring!$K$30,0)+C135*Scoring!$B$10*0.07+(C135-D135)*Scoring!$B$5</x:f>
        <x:v>11.143999999999998</x:v>
      </x:c>
      <x:c r="Q135" s="25" t="n">
        <x:f>MAX(QB!D136*Scoring!$B$30+QB!E136/Scoring!$C$30+QB!F136*Scoring!$D$30+QB!G136*Scoring!$E$30+QB!H136*Scoring!$F$30+QB!I136/Scoring!$G$30+QB!J136*Scoring!$H$30+QB!K136*Scoring!$I$30+M136*Scoring!$J$30+QB!N136*Scoring!$K$30,0)+C136*Scoring!$B$10*0.07+(C136-D136)*Scoring!$B$5</x:f>
        <x:v>13.8</x:v>
      </x:c>
      <x:c r="R135" s="9"/>
      <x:c r="S135" s="9"/>
      <x:c r="T135" s="9"/>
      <x:c r="U135" s="9"/>
      <x:c r="V135" s="9"/>
      <x:c r="W135" s="9"/>
      <x:c r="X135" s="9"/>
      <x:c r="Y135" s="9"/>
      <x:c r="Z135" s="9"/>
    </x:row>
    <x:row r="136" ht="14.25" customHeight="1">
      <x:c r="B136" s="1" t="s">
        <x:v>488</x:v>
      </x:c>
      <x:c r="C136" s="1">
        <x:v>26.0</x:v>
      </x:c>
      <x:c r="D136" s="1">
        <x:v>17.0</x:v>
      </x:c>
      <x:c r="E136" s="1">
        <x:v>195.0</x:v>
      </x:c>
      <x:c r="F136" s="1">
        <x:v>1.0</x:v>
      </x:c>
      <x:c r="G136" s="1">
        <x:v>0.0</x:v>
      </x:c>
      <x:c r="H136" s="1">
        <x:v>5.0</x:v>
      </x:c>
      <x:c r="I136" s="1">
        <x:v>14.0</x:v>
      </x:c>
      <x:c r="J136" s="1">
        <x:v>0.1</x:v>
      </x:c>
      <x:c r="K136" s="1">
        <x:v>0.0</x:v>
      </x:c>
      <x:c r="L136" s="1">
        <x:v>12.4</x:v>
      </x:c>
      <x:c r="M136" s="18">
        <x:f t="shared" si="1"/>
        <x:v>9.283850365</x:v>
      </x:c>
      <x:c r="N136" s="18">
        <x:f t="shared" si="2"/>
        <x:v>1.059245283</x:v>
      </x:c>
      <x:c r="O136" s="25"/>
      <x:c r="P136" s="25"/>
      <x:c r="Q136" s="25"/>
      <x:c r="R136" s="9"/>
      <x:c r="S136" s="9"/>
      <x:c r="T136" s="9"/>
      <x:c r="U136" s="9"/>
      <x:c r="V136" s="9"/>
      <x:c r="W136" s="9"/>
      <x:c r="X136" s="9"/>
      <x:c r="Y136" s="9"/>
      <x:c r="Z136" s="9"/>
    </x:row>
    <x:row r="137" ht="14.25" customHeight="1">
      <x:c r="B137" s="1" t="s">
        <x:v>489</x:v>
      </x:c>
      <x:c r="C137" s="1">
        <x:v>21.0</x:v>
      </x:c>
      <x:c r="D137" s="1">
        <x:v>14.0</x:v>
      </x:c>
      <x:c r="E137" s="1">
        <x:v>155.9</x:v>
      </x:c>
      <x:c r="F137" s="1">
        <x:v>1.0</x:v>
      </x:c>
      <x:c r="G137" s="1">
        <x:v>0.6</x:v>
      </x:c>
      <x:c r="H137" s="1">
        <x:v>1.5</x:v>
      </x:c>
      <x:c r="I137" s="1">
        <x:v>5.9</x:v>
      </x:c>
      <x:c r="J137" s="1">
        <x:v>0.0</x:v>
      </x:c>
      <x:c r="K137" s="1">
        <x:v>0.2</x:v>
      </x:c>
      <x:c r="L137" s="1">
        <x:v>8.0</x:v>
      </x:c>
      <x:c r="M137" s="18">
        <x:f t="shared" si="1"/>
        <x:v>7.422319343</x:v>
      </x:c>
      <x:c r="N137" s="18">
        <x:f t="shared" si="2"/>
        <x:v>0.4463962264</x:v>
      </x:c>
      <x:c r="O137" s="25"/>
      <x:c r="P137" s="25"/>
      <x:c r="Q137" s="25"/>
      <x:c r="R137" s="9"/>
      <x:c r="S137" s="9"/>
      <x:c r="T137" s="9"/>
      <x:c r="U137" s="9"/>
      <x:c r="V137" s="9"/>
      <x:c r="W137" s="9"/>
      <x:c r="X137" s="9"/>
      <x:c r="Y137" s="9"/>
      <x:c r="Z137" s="9"/>
    </x:row>
    <x:row r="138" ht="14.25" customHeight="1">
      <x:c r="A138" s="1" t="s">
        <x:v>565</x:v>
      </x:c>
      <x:c r="B138" s="1" t="s">
        <x:v>541</x:v>
      </x:c>
      <x:c r="C138" s="1">
        <x:v>23.0</x:v>
      </x:c>
      <x:c r="D138" s="1">
        <x:v>14.0</x:v>
      </x:c>
      <x:c r="E138" s="1">
        <x:v>136.0</x:v>
      </x:c>
      <x:c r="F138" s="1">
        <x:v>1.0</x:v>
      </x:c>
      <x:c r="G138" s="1">
        <x:v>0.0</x:v>
      </x:c>
      <x:c r="H138" s="1">
        <x:v>4.0</x:v>
      </x:c>
      <x:c r="I138" s="1">
        <x:v>19.0</x:v>
      </x:c>
      <x:c r="J138" s="1">
        <x:v>0.0</x:v>
      </x:c>
      <x:c r="K138" s="1">
        <x:v>0.0</x:v>
      </x:c>
      <x:c r="L138" s="1">
        <x:v>11.3</x:v>
      </x:c>
      <x:c r="M138" s="18">
        <x:f t="shared" si="1"/>
        <x:v>6.474890511</x:v>
      </x:c>
      <x:c r="N138" s="18">
        <x:f t="shared" si="2"/>
        <x:v>1.43754717</x:v>
      </x:c>
      <x:c r="O138" s="25" t="n">
        <x:f>MAX(QB!D140*Scoring!$B$30+QB!E140/Scoring!$C$30+QB!F140*Scoring!$D$30+QB!G140*Scoring!$E$30+QB!H140*Scoring!$F$30+QB!I140/Scoring!$G$30+QB!J140*Scoring!$H$30+QB!K140*Scoring!$I$30+M140*Scoring!$J$30+QB!N140*Scoring!$K$30,0)+C140*Scoring!$B$10*0.07+(C140-D140)*Scoring!$B$5</x:f>
        <x:v>11.340000000000002</x:v>
      </x:c>
      <x:c r="P138" s="25" t="n">
        <x:f>MAX(QB!D138*Scoring!$B$30+QB!E138/Scoring!$C$30+QB!F138*Scoring!$D$30+QB!G138*Scoring!$E$30+QB!H138*Scoring!$F$30+QB!I138/Scoring!$G$30+QB!J138*Scoring!$H$30+QB!K138*Scoring!$I$30+M138*Scoring!$J$30+QB!N138*Scoring!$K$30,0)+C138*Scoring!$B$10*0.07+(C138-D138)*Scoring!$B$5</x:f>
        <x:v>11.340000000000002</x:v>
      </x:c>
      <x:c r="Q138" s="25" t="n">
        <x:f>MAX(QB!D139*Scoring!$B$30+QB!E139/Scoring!$C$30+QB!F139*Scoring!$D$30+QB!G139*Scoring!$E$30+QB!H139*Scoring!$F$30+QB!I139/Scoring!$G$30+QB!J139*Scoring!$H$30+QB!K139*Scoring!$I$30+M139*Scoring!$J$30+QB!N139*Scoring!$K$30,0)+C139*Scoring!$B$10*0.07+(C139-D139)*Scoring!$B$5</x:f>
        <x:v>11.340000000000002</x:v>
      </x:c>
      <x:c r="R138" s="9"/>
      <x:c r="S138" s="9"/>
      <x:c r="T138" s="9"/>
      <x:c r="U138" s="9"/>
      <x:c r="V138" s="9"/>
      <x:c r="W138" s="9"/>
      <x:c r="X138" s="9"/>
      <x:c r="Y138" s="9"/>
      <x:c r="Z138" s="9"/>
    </x:row>
    <x:row r="139" ht="14.25" customHeight="1">
      <x:c r="B139" s="1" t="s">
        <x:v>488</x:v>
      </x:c>
      <x:c r="C139" s="1">
        <x:v>23.0</x:v>
      </x:c>
      <x:c r="D139" s="1">
        <x:v>14.0</x:v>
      </x:c>
      <x:c r="E139" s="1">
        <x:v>136.0</x:v>
      </x:c>
      <x:c r="F139" s="1">
        <x:v>1.0</x:v>
      </x:c>
      <x:c r="G139" s="1">
        <x:v>0.0</x:v>
      </x:c>
      <x:c r="H139" s="1">
        <x:v>4.0</x:v>
      </x:c>
      <x:c r="I139" s="1">
        <x:v>19.0</x:v>
      </x:c>
      <x:c r="J139" s="1">
        <x:v>0.0</x:v>
      </x:c>
      <x:c r="K139" s="1">
        <x:v>0.0</x:v>
      </x:c>
      <x:c r="L139" s="1">
        <x:v>9.0</x:v>
      </x:c>
      <x:c r="M139" s="18">
        <x:f t="shared" si="1"/>
        <x:v>6.474890511</x:v>
      </x:c>
      <x:c r="N139" s="18">
        <x:f t="shared" si="2"/>
        <x:v>1.43754717</x:v>
      </x:c>
      <x:c r="O139" s="25"/>
      <x:c r="P139" s="25"/>
      <x:c r="Q139" s="25"/>
      <x:c r="R139" s="9"/>
      <x:c r="S139" s="9"/>
      <x:c r="T139" s="9"/>
      <x:c r="U139" s="9"/>
      <x:c r="V139" s="9"/>
      <x:c r="W139" s="9"/>
      <x:c r="X139" s="9"/>
      <x:c r="Y139" s="9"/>
      <x:c r="Z139" s="9"/>
    </x:row>
    <x:row r="140" ht="14.25" customHeight="1">
      <x:c r="B140" s="1" t="s">
        <x:v>489</x:v>
      </x:c>
      <x:c r="C140" s="1">
        <x:v>23.0</x:v>
      </x:c>
      <x:c r="D140" s="1">
        <x:v>14.0</x:v>
      </x:c>
      <x:c r="E140" s="1">
        <x:v>136.0</x:v>
      </x:c>
      <x:c r="F140" s="1">
        <x:v>1.0</x:v>
      </x:c>
      <x:c r="G140" s="1">
        <x:v>0.0</x:v>
      </x:c>
      <x:c r="H140" s="1">
        <x:v>4.0</x:v>
      </x:c>
      <x:c r="I140" s="1">
        <x:v>19.0</x:v>
      </x:c>
      <x:c r="J140" s="1">
        <x:v>0.0</x:v>
      </x:c>
      <x:c r="K140" s="1">
        <x:v>0.0</x:v>
      </x:c>
      <x:c r="L140" s="1">
        <x:v>9.0</x:v>
      </x:c>
      <x:c r="M140" s="18">
        <x:f t="shared" si="1"/>
        <x:v>6.474890511</x:v>
      </x:c>
      <x:c r="N140" s="18">
        <x:f t="shared" si="2"/>
        <x:v>1.43754717</x:v>
      </x:c>
      <x:c r="O140" s="25"/>
      <x:c r="P140" s="25"/>
      <x:c r="Q140" s="25"/>
      <x:c r="R140" s="9"/>
      <x:c r="S140" s="9"/>
      <x:c r="T140" s="9"/>
      <x:c r="U140" s="9"/>
      <x:c r="V140" s="9"/>
      <x:c r="W140" s="9"/>
      <x:c r="X140" s="9"/>
      <x:c r="Y140" s="9"/>
      <x:c r="Z140" s="9"/>
    </x:row>
    <x:row r="141" ht="14.25" customHeight="1">
      <x:c r="A141" s="1" t="s">
        <x:v>566</x:v>
      </x:c>
      <x:c r="B141" s="1" t="s">
        <x:v>523</x:v>
      </x:c>
      <x:c r="C141" s="1">
        <x:v>22.5</x:v>
      </x:c>
      <x:c r="D141" s="1">
        <x:v>14.3</x:v>
      </x:c>
      <x:c r="E141" s="1">
        <x:v>157.4</x:v>
      </x:c>
      <x:c r="F141" s="1">
        <x:v>1.0</x:v>
      </x:c>
      <x:c r="G141" s="1">
        <x:v>0.9</x:v>
      </x:c>
      <x:c r="H141" s="1">
        <x:v>3.1</x:v>
      </x:c>
      <x:c r="I141" s="1">
        <x:v>15.7</x:v>
      </x:c>
      <x:c r="J141" s="1">
        <x:v>0.0</x:v>
      </x:c>
      <x:c r="K141" s="1">
        <x:v>0.1</x:v>
      </x:c>
      <x:c r="L141" s="1">
        <x:v>11.2</x:v>
      </x:c>
      <x:c r="M141" s="18">
        <x:f t="shared" si="1"/>
        <x:v>7.493733577</x:v>
      </x:c>
      <x:c r="N141" s="18">
        <x:f t="shared" si="2"/>
        <x:v>1.187867925</x:v>
      </x:c>
      <x:c r="O141" s="25" t="n">
        <x:f>MAX(QB!D143*Scoring!$B$30+QB!E143/Scoring!$C$30+QB!F143*Scoring!$D$30+QB!G143*Scoring!$E$30+QB!H143*Scoring!$F$30+QB!I143/Scoring!$G$30+QB!J143*Scoring!$H$30+QB!K143*Scoring!$I$30+M143*Scoring!$J$30+QB!N143*Scoring!$K$30,0)+C143*Scoring!$B$10*0.07+(C143-D143)*Scoring!$B$5</x:f>
        <x:v>8.530000000000001</x:v>
      </x:c>
      <x:c r="P141" s="25" t="n">
        <x:f>MAX(QB!D141*Scoring!$B$30+QB!E141/Scoring!$C$30+QB!F141*Scoring!$D$30+QB!G141*Scoring!$E$30+QB!H141*Scoring!$F$30+QB!I141/Scoring!$G$30+QB!J141*Scoring!$H$30+QB!K141*Scoring!$I$30+M141*Scoring!$J$30+QB!N141*Scoring!$K$30,0)+C141*Scoring!$B$10*0.07+(C141-D141)*Scoring!$B$5</x:f>
        <x:v>9.966</x:v>
      </x:c>
      <x:c r="Q141" s="25" t="n">
        <x:f>MAX(QB!D142*Scoring!$B$30+QB!E142/Scoring!$C$30+QB!F142*Scoring!$D$30+QB!G142*Scoring!$E$30+QB!H142*Scoring!$F$30+QB!I142/Scoring!$G$30+QB!J142*Scoring!$H$30+QB!K142*Scoring!$I$30+M142*Scoring!$J$30+QB!N142*Scoring!$K$30,0)+C142*Scoring!$B$10*0.07+(C142-D142)*Scoring!$B$5</x:f>
        <x:v>12.707999999999998</x:v>
      </x:c>
      <x:c r="R141" s="9"/>
      <x:c r="S141" s="9"/>
      <x:c r="T141" s="9"/>
      <x:c r="U141" s="9"/>
      <x:c r="V141" s="9"/>
      <x:c r="W141" s="9"/>
      <x:c r="X141" s="9"/>
      <x:c r="Y141" s="9"/>
      <x:c r="Z141" s="9"/>
    </x:row>
    <x:row r="142" ht="14.25" customHeight="1">
      <x:c r="B142" s="1" t="s">
        <x:v>488</x:v>
      </x:c>
      <x:c r="C142" s="1">
        <x:v>23.0</x:v>
      </x:c>
      <x:c r="D142" s="1">
        <x:v>14.6</x:v>
      </x:c>
      <x:c r="E142" s="1">
        <x:v>162.7</x:v>
      </x:c>
      <x:c r="F142" s="1">
        <x:v>1.1</x:v>
      </x:c>
      <x:c r="G142" s="1">
        <x:v>0.7</x:v>
      </x:c>
      <x:c r="H142" s="1">
        <x:v>5.0</x:v>
      </x:c>
      <x:c r="I142" s="1">
        <x:v>26.0</x:v>
      </x:c>
      <x:c r="J142" s="1">
        <x:v>0.1</x:v>
      </x:c>
      <x:c r="K142" s="1">
        <x:v>0.0</x:v>
      </x:c>
      <x:c r="L142" s="1">
        <x:v>10.3</x:v>
      </x:c>
      <x:c r="M142" s="18">
        <x:f t="shared" si="1"/>
        <x:v>7.746063869</x:v>
      </x:c>
      <x:c r="N142" s="18">
        <x:f t="shared" si="2"/>
        <x:v>1.967169811</x:v>
      </x:c>
      <x:c r="O142" s="25"/>
      <x:c r="P142" s="25"/>
      <x:c r="Q142" s="25"/>
      <x:c r="R142" s="9"/>
      <x:c r="S142" s="9"/>
      <x:c r="T142" s="9"/>
      <x:c r="U142" s="9"/>
      <x:c r="V142" s="9"/>
      <x:c r="W142" s="9"/>
      <x:c r="X142" s="9"/>
      <x:c r="Y142" s="9"/>
      <x:c r="Z142" s="9"/>
    </x:row>
    <x:row r="143" ht="14.25" customHeight="1">
      <x:c r="B143" s="1" t="s">
        <x:v>489</x:v>
      </x:c>
      <x:c r="C143" s="1">
        <x:v>21.9</x:v>
      </x:c>
      <x:c r="D143" s="1">
        <x:v>14.0</x:v>
      </x:c>
      <x:c r="E143" s="1">
        <x:v>152.0</x:v>
      </x:c>
      <x:c r="F143" s="1">
        <x:v>1.0</x:v>
      </x:c>
      <x:c r="G143" s="1">
        <x:v>1.0</x:v>
      </x:c>
      <x:c r="H143" s="1">
        <x:v>1.3</x:v>
      </x:c>
      <x:c r="I143" s="1">
        <x:v>5.5</x:v>
      </x:c>
      <x:c r="J143" s="1">
        <x:v>0.0</x:v>
      </x:c>
      <x:c r="K143" s="1">
        <x:v>0.1</x:v>
      </x:c>
      <x:c r="L143" s="1">
        <x:v>7.0</x:v>
      </x:c>
      <x:c r="M143" s="18">
        <x:f t="shared" si="1"/>
        <x:v>7.236642336</x:v>
      </x:c>
      <x:c r="N143" s="18">
        <x:f t="shared" si="2"/>
        <x:v>0.4161320755</x:v>
      </x:c>
      <x:c r="O143" s="25"/>
      <x:c r="P143" s="25"/>
      <x:c r="Q143" s="25"/>
      <x:c r="R143" s="9"/>
      <x:c r="S143" s="9"/>
      <x:c r="T143" s="9"/>
      <x:c r="U143" s="9"/>
      <x:c r="V143" s="9"/>
      <x:c r="W143" s="9"/>
      <x:c r="X143" s="9"/>
      <x:c r="Y143" s="9"/>
      <x:c r="Z143" s="9"/>
    </x:row>
    <x:row r="144" ht="14.25" customHeight="1">
      <x:c r="A144" s="1" t="s">
        <x:v>567</x:v>
      </x:c>
      <x:c r="B144" s="1" t="s">
        <x:v>515</x:v>
      </x:c>
      <x:c r="C144" s="1">
        <x:v>23.1</x:v>
      </x:c>
      <x:c r="D144" s="1">
        <x:v>14.4</x:v>
      </x:c>
      <x:c r="E144" s="1">
        <x:v>152.3</x:v>
      </x:c>
      <x:c r="F144" s="1">
        <x:v>1.1</x:v>
      </x:c>
      <x:c r="G144" s="1">
        <x:v>0.3</x:v>
      </x:c>
      <x:c r="H144" s="1">
        <x:v>3.3</x:v>
      </x:c>
      <x:c r="I144" s="1">
        <x:v>12.9</x:v>
      </x:c>
      <x:c r="J144" s="1">
        <x:v>0.0</x:v>
      </x:c>
      <x:c r="K144" s="1">
        <x:v>0.1</x:v>
      </x:c>
      <x:c r="L144" s="1">
        <x:v>11.2</x:v>
      </x:c>
      <x:c r="M144" s="18">
        <x:f t="shared" si="1"/>
        <x:v>7.250925182</x:v>
      </x:c>
      <x:c r="N144" s="18">
        <x:f t="shared" si="2"/>
        <x:v>0.9760188679</x:v>
      </x:c>
      <x:c r="O144" s="25" t="n">
        <x:f>MAX(QB!D146*Scoring!$B$30+QB!E146/Scoring!$C$30+QB!F146*Scoring!$D$30+QB!G146*Scoring!$E$30+QB!H146*Scoring!$F$30+QB!I146/Scoring!$G$30+QB!J146*Scoring!$H$30+QB!K146*Scoring!$I$30+M146*Scoring!$J$30+QB!N146*Scoring!$K$30,0)+C146*Scoring!$B$10*0.07+(C146-D146)*Scoring!$B$5</x:f>
        <x:v>9</x:v>
      </x:c>
      <x:c r="P144" s="25" t="n">
        <x:f>MAX(QB!D144*Scoring!$B$30+QB!E144/Scoring!$C$30+QB!F144*Scoring!$D$30+QB!G144*Scoring!$E$30+QB!H144*Scoring!$F$30+QB!I144/Scoring!$G$30+QB!J144*Scoring!$H$30+QB!K144*Scoring!$I$30+M144*Scoring!$J$30+QB!N144*Scoring!$K$30,0)+C144*Scoring!$B$10*0.07+(C144-D144)*Scoring!$B$5</x:f>
        <x:v>11.082000000000003</x:v>
      </x:c>
      <x:c r="Q144" s="25" t="n">
        <x:f>MAX(QB!D145*Scoring!$B$30+QB!E145/Scoring!$C$30+QB!F145*Scoring!$D$30+QB!G145*Scoring!$E$30+QB!H145*Scoring!$F$30+QB!I145/Scoring!$G$30+QB!J145*Scoring!$H$30+QB!K145*Scoring!$I$30+M145*Scoring!$J$30+QB!N145*Scoring!$K$30,0)+C145*Scoring!$B$10*0.07+(C145-D145)*Scoring!$B$5</x:f>
        <x:v>13.36</x:v>
      </x:c>
      <x:c r="R144" s="9"/>
      <x:c r="S144" s="9"/>
      <x:c r="T144" s="9"/>
      <x:c r="U144" s="9"/>
      <x:c r="V144" s="9"/>
      <x:c r="W144" s="9"/>
      <x:c r="X144" s="9"/>
      <x:c r="Y144" s="9"/>
      <x:c r="Z144" s="9"/>
    </x:row>
    <x:row r="145" ht="14.25" customHeight="1">
      <x:c r="B145" s="1" t="s">
        <x:v>488</x:v>
      </x:c>
      <x:c r="C145" s="1">
        <x:v>24.0</x:v>
      </x:c>
      <x:c r="D145" s="1">
        <x:v>15.0</x:v>
      </x:c>
      <x:c r="E145" s="1">
        <x:v>161.5</x:v>
      </x:c>
      <x:c r="F145" s="1">
        <x:v>1.1</x:v>
      </x:c>
      <x:c r="G145" s="1">
        <x:v>0.0</x:v>
      </x:c>
      <x:c r="H145" s="1">
        <x:v>5.0</x:v>
      </x:c>
      <x:c r="I145" s="1">
        <x:v>19.0</x:v>
      </x:c>
      <x:c r="J145" s="1">
        <x:v>0.1</x:v>
      </x:c>
      <x:c r="K145" s="1">
        <x:v>0.0</x:v>
      </x:c>
      <x:c r="L145" s="1">
        <x:v>10.4</x:v>
      </x:c>
      <x:c r="M145" s="18">
        <x:f t="shared" si="1"/>
        <x:v>7.688932482</x:v>
      </x:c>
      <x:c r="N145" s="18">
        <x:f t="shared" si="2"/>
        <x:v>1.43754717</x:v>
      </x:c>
      <x:c r="O145" s="25"/>
      <x:c r="P145" s="25"/>
      <x:c r="Q145" s="25"/>
      <x:c r="R145" s="9"/>
      <x:c r="S145" s="9"/>
      <x:c r="T145" s="9"/>
      <x:c r="U145" s="9"/>
      <x:c r="V145" s="9"/>
      <x:c r="W145" s="9"/>
      <x:c r="X145" s="9"/>
      <x:c r="Y145" s="9"/>
      <x:c r="Z145" s="9"/>
    </x:row>
    <x:row r="146" ht="14.25" customHeight="1">
      <x:c r="B146" s="1" t="s">
        <x:v>489</x:v>
      </x:c>
      <x:c r="C146" s="1">
        <x:v>22.2</x:v>
      </x:c>
      <x:c r="D146" s="1">
        <x:v>13.8</x:v>
      </x:c>
      <x:c r="E146" s="1">
        <x:v>143.0</x:v>
      </x:c>
      <x:c r="F146" s="1">
        <x:v>1.0</x:v>
      </x:c>
      <x:c r="G146" s="1">
        <x:v>0.6</x:v>
      </x:c>
      <x:c r="H146" s="1">
        <x:v>1.7</x:v>
      </x:c>
      <x:c r="I146" s="1">
        <x:v>6.8</x:v>
      </x:c>
      <x:c r="J146" s="1">
        <x:v>0.0</x:v>
      </x:c>
      <x:c r="K146" s="1">
        <x:v>0.2</x:v>
      </x:c>
      <x:c r="L146" s="1">
        <x:v>9.0</x:v>
      </x:c>
      <x:c r="M146" s="18">
        <x:f t="shared" si="1"/>
        <x:v>6.808156934</x:v>
      </x:c>
      <x:c r="N146" s="18">
        <x:f t="shared" si="2"/>
        <x:v>0.514490566</x:v>
      </x:c>
      <x:c r="O146" s="25"/>
      <x:c r="P146" s="25"/>
      <x:c r="Q146" s="25"/>
      <x:c r="R146" s="9"/>
      <x:c r="S146" s="9"/>
      <x:c r="T146" s="9"/>
      <x:c r="U146" s="9"/>
      <x:c r="V146" s="9"/>
      <x:c r="W146" s="9"/>
      <x:c r="X146" s="9"/>
      <x:c r="Y146" s="9"/>
      <x:c r="Z146" s="9"/>
    </x:row>
    <x:row r="147" ht="14.25" customHeight="1">
      <x:c r="A147" s="1" t="s">
        <x:v>568</x:v>
      </x:c>
      <x:c r="B147" s="1" t="s">
        <x:v>535</x:v>
      </x:c>
      <x:c r="C147" s="1">
        <x:v>26.1</x:v>
      </x:c>
      <x:c r="D147" s="1">
        <x:v>16.0</x:v>
      </x:c>
      <x:c r="E147" s="1">
        <x:v>175.9</x:v>
      </x:c>
      <x:c r="F147" s="1">
        <x:v>0.9</x:v>
      </x:c>
      <x:c r="G147" s="1">
        <x:v>0.5</x:v>
      </x:c>
      <x:c r="H147" s="1">
        <x:v>2.7</x:v>
      </x:c>
      <x:c r="I147" s="1">
        <x:v>9.0</x:v>
      </x:c>
      <x:c r="J147" s="1">
        <x:v>0.0</x:v>
      </x:c>
      <x:c r="K147" s="1">
        <x:v>0.1</x:v>
      </x:c>
      <x:c r="L147" s="1">
        <x:v>11.1</x:v>
      </x:c>
      <x:c r="M147" s="18">
        <x:f t="shared" si="1"/>
        <x:v>8.374509124</x:v>
      </x:c>
      <x:c r="N147" s="18">
        <x:f t="shared" si="2"/>
        <x:v>0.6809433962</x:v>
      </x:c>
      <x:c r="O147" s="25" t="n">
        <x:f>MAX(QB!D149*Scoring!$B$30+QB!E149/Scoring!$C$30+QB!F149*Scoring!$D$30+QB!G149*Scoring!$E$30+QB!H149*Scoring!$F$30+QB!I149/Scoring!$G$30+QB!J149*Scoring!$H$30+QB!K149*Scoring!$I$30+M149*Scoring!$J$30+QB!N149*Scoring!$K$30,0)+C149*Scoring!$B$10*0.07+(C149-D149)*Scoring!$B$5</x:f>
        <x:v>7.354</x:v>
      </x:c>
      <x:c r="P147" s="25" t="n">
        <x:f>MAX(QB!D147*Scoring!$B$30+QB!E147/Scoring!$C$30+QB!F147*Scoring!$D$30+QB!G147*Scoring!$E$30+QB!H147*Scoring!$F$30+QB!I147/Scoring!$G$30+QB!J147*Scoring!$H$30+QB!K147*Scoring!$I$30+M147*Scoring!$J$30+QB!N147*Scoring!$K$30,0)+C147*Scoring!$B$10*0.07+(C147-D147)*Scoring!$B$5</x:f>
        <x:v>10.436000000000002</x:v>
      </x:c>
      <x:c r="Q147" s="25" t="n">
        <x:f>MAX(QB!D148*Scoring!$B$30+QB!E148/Scoring!$C$30+QB!F148*Scoring!$D$30+QB!G148*Scoring!$E$30+QB!H148*Scoring!$F$30+QB!I148/Scoring!$G$30+QB!J148*Scoring!$H$30+QB!K148*Scoring!$I$30+M148*Scoring!$J$30+QB!N148*Scoring!$K$30,0)+C148*Scoring!$B$10*0.07+(C148-D148)*Scoring!$B$5</x:f>
        <x:v>14.74</x:v>
      </x:c>
      <x:c r="R147" s="9"/>
      <x:c r="S147" s="9"/>
      <x:c r="T147" s="9"/>
      <x:c r="U147" s="9"/>
      <x:c r="V147" s="9"/>
      <x:c r="W147" s="9"/>
      <x:c r="X147" s="9"/>
      <x:c r="Y147" s="9"/>
      <x:c r="Z147" s="9"/>
    </x:row>
    <x:row r="148" ht="14.25" customHeight="1">
      <x:c r="B148" s="1" t="s">
        <x:v>488</x:v>
      </x:c>
      <x:c r="C148" s="1">
        <x:v>32.0</x:v>
      </x:c>
      <x:c r="D148" s="1">
        <x:v>20.0</x:v>
      </x:c>
      <x:c r="E148" s="1">
        <x:v>221.0</x:v>
      </x:c>
      <x:c r="F148" s="1">
        <x:v>1.0</x:v>
      </x:c>
      <x:c r="G148" s="1">
        <x:v>0.0</x:v>
      </x:c>
      <x:c r="H148" s="1">
        <x:v>5.0</x:v>
      </x:c>
      <x:c r="I148" s="1">
        <x:v>19.0</x:v>
      </x:c>
      <x:c r="J148" s="1">
        <x:v>0.0</x:v>
      </x:c>
      <x:c r="K148" s="1">
        <x:v>0.0</x:v>
      </x:c>
      <x:c r="L148" s="1">
        <x:v>13.2</x:v>
      </x:c>
      <x:c r="M148" s="18">
        <x:f t="shared" si="1"/>
        <x:v>10.52169708</x:v>
      </x:c>
      <x:c r="N148" s="18">
        <x:f t="shared" si="2"/>
        <x:v>1.43754717</x:v>
      </x:c>
      <x:c r="O148" s="25"/>
      <x:c r="P148" s="25"/>
      <x:c r="Q148" s="25"/>
      <x:c r="R148" s="9"/>
      <x:c r="S148" s="9"/>
      <x:c r="T148" s="9"/>
      <x:c r="U148" s="9"/>
      <x:c r="V148" s="9"/>
      <x:c r="W148" s="9"/>
      <x:c r="X148" s="9"/>
      <x:c r="Y148" s="9"/>
      <x:c r="Z148" s="9"/>
    </x:row>
    <x:row r="149" ht="14.25" customHeight="1">
      <x:c r="B149" s="1" t="s">
        <x:v>489</x:v>
      </x:c>
      <x:c r="C149" s="1">
        <x:v>23.0</x:v>
      </x:c>
      <x:c r="D149" s="1">
        <x:v>14.0</x:v>
      </x:c>
      <x:c r="E149" s="1">
        <x:v>146.6</x:v>
      </x:c>
      <x:c r="F149" s="1">
        <x:v>0.8</x:v>
      </x:c>
      <x:c r="G149" s="1">
        <x:v>1.0</x:v>
      </x:c>
      <x:c r="H149" s="1">
        <x:v>1.0</x:v>
      </x:c>
      <x:c r="I149" s="1">
        <x:v>3.9</x:v>
      </x:c>
      <x:c r="J149" s="1">
        <x:v>0.0</x:v>
      </x:c>
      <x:c r="K149" s="1">
        <x:v>0.1</x:v>
      </x:c>
      <x:c r="L149" s="1">
        <x:v>8.4</x:v>
      </x:c>
      <x:c r="M149" s="18">
        <x:f t="shared" si="1"/>
        <x:v>6.979551095</x:v>
      </x:c>
      <x:c r="N149" s="18">
        <x:f t="shared" si="2"/>
        <x:v>0.2950754717</x:v>
      </x:c>
      <x:c r="O149" s="25"/>
      <x:c r="P149" s="25"/>
      <x:c r="Q149" s="25"/>
      <x:c r="R149" s="9"/>
      <x:c r="S149" s="9"/>
      <x:c r="T149" s="9"/>
      <x:c r="U149" s="9"/>
      <x:c r="V149" s="9"/>
      <x:c r="W149" s="9"/>
      <x:c r="X149" s="9"/>
      <x:c r="Y149" s="9"/>
      <x:c r="Z149" s="9"/>
    </x:row>
    <x:row r="150" ht="14.25" customHeight="1">
      <x:c r="A150" s="1" t="s">
        <x:v>569</x:v>
      </x:c>
      <x:c r="B150" s="1" t="s">
        <x:v>531</x:v>
      </x:c>
      <x:c r="C150" s="1">
        <x:v>25.0</x:v>
      </x:c>
      <x:c r="D150" s="1">
        <x:v>15.4</x:v>
      </x:c>
      <x:c r="E150" s="1">
        <x:v>173.5</x:v>
      </x:c>
      <x:c r="F150" s="1">
        <x:v>0.9</x:v>
      </x:c>
      <x:c r="G150" s="1">
        <x:v>0.8</x:v>
      </x:c>
      <x:c r="H150" s="1">
        <x:v>2.1</x:v>
      </x:c>
      <x:c r="I150" s="1">
        <x:v>10.7</x:v>
      </x:c>
      <x:c r="J150" s="1">
        <x:v>0.0</x:v>
      </x:c>
      <x:c r="K150" s="1">
        <x:v>0.2</x:v>
      </x:c>
      <x:c r="L150" s="1">
        <x:v>10.9</x:v>
      </x:c>
      <x:c r="M150" s="18">
        <x:f t="shared" si="1"/>
        <x:v>8.26024635</x:v>
      </x:c>
      <x:c r="N150" s="18">
        <x:f t="shared" si="2"/>
        <x:v>0.8095660377</x:v>
      </x:c>
      <x:c r="O150" s="25" t="n">
        <x:f>MAX(QB!D152*Scoring!$B$30+QB!E152/Scoring!$C$30+QB!F152*Scoring!$D$30+QB!G152*Scoring!$E$30+QB!H152*Scoring!$F$30+QB!I152/Scoring!$G$30+QB!J152*Scoring!$H$30+QB!K152*Scoring!$I$30+M152*Scoring!$J$30+QB!N152*Scoring!$K$30,0)+C152*Scoring!$B$10*0.07+(C152-D152)*Scoring!$B$5</x:f>
        <x:v>7.736</x:v>
      </x:c>
      <x:c r="P150" s="25" t="n">
        <x:f>MAX(QB!D150*Scoring!$B$30+QB!E150/Scoring!$C$30+QB!F150*Scoring!$D$30+QB!G150*Scoring!$E$30+QB!H150*Scoring!$F$30+QB!I150/Scoring!$G$30+QB!J150*Scoring!$H$30+QB!K150*Scoring!$I$30+M150*Scoring!$J$30+QB!N150*Scoring!$K$30,0)+C150*Scoring!$B$10*0.07+(C150-D150)*Scoring!$B$5</x:f>
        <x:v>9.810000000000002</x:v>
      </x:c>
      <x:c r="Q150" s="25" t="n">
        <x:f>MAX(QB!D151*Scoring!$B$30+QB!E151/Scoring!$C$30+QB!F151*Scoring!$D$30+QB!G151*Scoring!$E$30+QB!H151*Scoring!$F$30+QB!I151/Scoring!$G$30+QB!J151*Scoring!$H$30+QB!K151*Scoring!$I$30+M151*Scoring!$J$30+QB!N151*Scoring!$K$30,0)+C151*Scoring!$B$10*0.07+(C151-D151)*Scoring!$B$5</x:f>
        <x:v>13.08</x:v>
      </x:c>
      <x:c r="R150" s="9"/>
      <x:c r="S150" s="9"/>
      <x:c r="T150" s="9"/>
      <x:c r="U150" s="9"/>
      <x:c r="V150" s="9"/>
      <x:c r="W150" s="9"/>
      <x:c r="X150" s="9"/>
      <x:c r="Y150" s="9"/>
      <x:c r="Z150" s="9"/>
    </x:row>
    <x:row r="151" ht="14.25" customHeight="1">
      <x:c r="B151" s="1" t="s">
        <x:v>488</x:v>
      </x:c>
      <x:c r="C151" s="1">
        <x:v>30.0</x:v>
      </x:c>
      <x:c r="D151" s="1">
        <x:v>18.0</x:v>
      </x:c>
      <x:c r="E151" s="1">
        <x:v>211.0</x:v>
      </x:c>
      <x:c r="F151" s="1">
        <x:v>1.0</x:v>
      </x:c>
      <x:c r="G151" s="1">
        <x:v>0.5</x:v>
      </x:c>
      <x:c r="H151" s="1">
        <x:v>2.3</x:v>
      </x:c>
      <x:c r="I151" s="1">
        <x:v>12.4</x:v>
      </x:c>
      <x:c r="J151" s="1">
        <x:v>0.1</x:v>
      </x:c>
      <x:c r="K151" s="1">
        <x:v>0.2</x:v>
      </x:c>
      <x:c r="L151" s="1">
        <x:v>13.3</x:v>
      </x:c>
      <x:c r="M151" s="18">
        <x:f t="shared" si="1"/>
        <x:v>10.04560219</x:v>
      </x:c>
      <x:c r="N151" s="18">
        <x:f t="shared" si="2"/>
        <x:v>0.9381886792</x:v>
      </x:c>
      <x:c r="O151" s="25"/>
      <x:c r="P151" s="25"/>
      <x:c r="Q151" s="25"/>
      <x:c r="R151" s="9"/>
      <x:c r="S151" s="9"/>
      <x:c r="T151" s="9"/>
      <x:c r="U151" s="9"/>
      <x:c r="V151" s="9"/>
      <x:c r="W151" s="9"/>
      <x:c r="X151" s="9"/>
      <x:c r="Y151" s="9"/>
      <x:c r="Z151" s="9"/>
    </x:row>
    <x:row r="152" ht="14.25" customHeight="1">
      <x:c r="B152" s="1" t="s">
        <x:v>489</x:v>
      </x:c>
      <x:c r="C152" s="1">
        <x:v>20.0</x:v>
      </x:c>
      <x:c r="D152" s="1">
        <x:v>12.7</x:v>
      </x:c>
      <x:c r="E152" s="1">
        <x:v>135.9</x:v>
      </x:c>
      <x:c r="F152" s="1">
        <x:v>0.9</x:v>
      </x:c>
      <x:c r="G152" s="1">
        <x:v>1.0</x:v>
      </x:c>
      <x:c r="H152" s="1">
        <x:v>2.0</x:v>
      </x:c>
      <x:c r="I152" s="1">
        <x:v>9.0</x:v>
      </x:c>
      <x:c r="J152" s="1">
        <x:v>0.0</x:v>
      </x:c>
      <x:c r="K152" s="1">
        <x:v>0.2</x:v>
      </x:c>
      <x:c r="L152" s="1">
        <x:v>9.2</x:v>
      </x:c>
      <x:c r="M152" s="18">
        <x:f t="shared" si="1"/>
        <x:v>6.470129562</x:v>
      </x:c>
      <x:c r="N152" s="18">
        <x:f t="shared" si="2"/>
        <x:v>0.6809433962</x:v>
      </x:c>
      <x:c r="O152" s="25"/>
      <x:c r="P152" s="25"/>
      <x:c r="Q152" s="25"/>
      <x:c r="R152" s="9"/>
      <x:c r="S152" s="9"/>
      <x:c r="T152" s="9"/>
      <x:c r="U152" s="9"/>
      <x:c r="V152" s="9"/>
      <x:c r="W152" s="9"/>
      <x:c r="X152" s="9"/>
      <x:c r="Y152" s="9"/>
      <x:c r="Z152" s="9"/>
    </x:row>
    <x:row r="153" ht="14.25" customHeight="1">
      <x:c r="A153" s="1" t="s">
        <x:v>570</x:v>
      </x:c>
      <x:c r="B153" s="1" t="s">
        <x:v>519</x:v>
      </x:c>
      <x:c r="C153" s="1">
        <x:v>21.7</x:v>
      </x:c>
      <x:c r="D153" s="1">
        <x:v>14.8</x:v>
      </x:c>
      <x:c r="E153" s="1">
        <x:v>156.5</x:v>
      </x:c>
      <x:c r="F153" s="1">
        <x:v>1.0</x:v>
      </x:c>
      <x:c r="G153" s="1">
        <x:v>0.3</x:v>
      </x:c>
      <x:c r="H153" s="1">
        <x:v>3.3</x:v>
      </x:c>
      <x:c r="I153" s="1">
        <x:v>7.9</x:v>
      </x:c>
      <x:c r="J153" s="1">
        <x:v>0.1</x:v>
      </x:c>
      <x:c r="K153" s="1">
        <x:v>0.1</x:v>
      </x:c>
      <x:c r="L153" s="1">
        <x:v>10.7</x:v>
      </x:c>
      <x:c r="M153" s="18">
        <x:f t="shared" si="1"/>
        <x:v>7.450885036</x:v>
      </x:c>
      <x:c r="N153" s="18">
        <x:f t="shared" si="2"/>
        <x:v>0.5977169811</x:v>
      </x:c>
      <x:c r="O153" s="25" t="n">
        <x:f>MAX(QB!D155*Scoring!$B$30+QB!E155/Scoring!$C$30+QB!F155*Scoring!$D$30+QB!G155*Scoring!$E$30+QB!H155*Scoring!$F$30+QB!I155/Scoring!$G$30+QB!J155*Scoring!$H$30+QB!K155*Scoring!$I$30+M155*Scoring!$J$30+QB!N155*Scoring!$K$30,0)+C155*Scoring!$B$10*0.07+(C155-D155)*Scoring!$B$5</x:f>
        <x:v>8.196000000000002</x:v>
      </x:c>
      <x:c r="P153" s="25" t="n">
        <x:f>MAX(QB!D153*Scoring!$B$30+QB!E153/Scoring!$C$30+QB!F153*Scoring!$D$30+QB!G153*Scoring!$E$30+QB!H153*Scoring!$F$30+QB!I153/Scoring!$G$30+QB!J153*Scoring!$H$30+QB!K153*Scoring!$I$30+M153*Scoring!$J$30+QB!N153*Scoring!$K$30,0)+C153*Scoring!$B$10*0.07+(C153-D153)*Scoring!$B$5</x:f>
        <x:v>10.95</x:v>
      </x:c>
      <x:c r="Q153" s="25" t="n">
        <x:f>MAX(QB!D154*Scoring!$B$30+QB!E154/Scoring!$C$30+QB!F154*Scoring!$D$30+QB!G154*Scoring!$E$30+QB!H154*Scoring!$F$30+QB!I154/Scoring!$G$30+QB!J154*Scoring!$H$30+QB!K154*Scoring!$I$30+M154*Scoring!$J$30+QB!N154*Scoring!$K$30,0)+C154*Scoring!$B$10*0.07+(C154-D154)*Scoring!$B$5</x:f>
        <x:v>12.7</x:v>
      </x:c>
      <x:c r="R153" s="9"/>
      <x:c r="S153" s="9"/>
      <x:c r="T153" s="9"/>
      <x:c r="U153" s="9"/>
      <x:c r="V153" s="9"/>
      <x:c r="W153" s="9"/>
      <x:c r="X153" s="9"/>
      <x:c r="Y153" s="9"/>
      <x:c r="Z153" s="9"/>
    </x:row>
    <x:row r="154" ht="14.25" customHeight="1">
      <x:c r="B154" s="1" t="s">
        <x:v>488</x:v>
      </x:c>
      <x:c r="C154" s="1">
        <x:v>22.0</x:v>
      </x:c>
      <x:c r="D154" s="1">
        <x:v>16.0</x:v>
      </x:c>
      <x:c r="E154" s="1">
        <x:v>180.0</x:v>
      </x:c>
      <x:c r="F154" s="1">
        <x:v>1.0</x:v>
      </x:c>
      <x:c r="G154" s="1">
        <x:v>0.0</x:v>
      </x:c>
      <x:c r="H154" s="1">
        <x:v>5.0</x:v>
      </x:c>
      <x:c r="I154" s="1">
        <x:v>9.0</x:v>
      </x:c>
      <x:c r="J154" s="1">
        <x:v>0.1</x:v>
      </x:c>
      <x:c r="K154" s="1">
        <x:v>0.0</x:v>
      </x:c>
      <x:c r="L154" s="1">
        <x:v>8.7</x:v>
      </x:c>
      <x:c r="M154" s="18">
        <x:f t="shared" si="1"/>
        <x:v>8.569708029</x:v>
      </x:c>
      <x:c r="N154" s="18">
        <x:f t="shared" si="2"/>
        <x:v>0.6809433962</x:v>
      </x:c>
      <x:c r="O154" s="25"/>
      <x:c r="P154" s="25"/>
      <x:c r="Q154" s="25"/>
      <x:c r="R154" s="9"/>
      <x:c r="S154" s="9"/>
      <x:c r="T154" s="9"/>
      <x:c r="U154" s="9"/>
      <x:c r="V154" s="9"/>
      <x:c r="W154" s="9"/>
      <x:c r="X154" s="9"/>
      <x:c r="Y154" s="9"/>
      <x:c r="Z154" s="9"/>
    </x:row>
    <x:row r="155" ht="14.25" customHeight="1">
      <x:c r="B155" s="1" t="s">
        <x:v>489</x:v>
      </x:c>
      <x:c r="C155" s="1">
        <x:v>21.3</x:v>
      </x:c>
      <x:c r="D155" s="1">
        <x:v>13.5</x:v>
      </x:c>
      <x:c r="E155" s="1">
        <x:v>132.9</x:v>
      </x:c>
      <x:c r="F155" s="1">
        <x:v>0.9</x:v>
      </x:c>
      <x:c r="G155" s="1">
        <x:v>0.6</x:v>
      </x:c>
      <x:c r="H155" s="1">
        <x:v>1.5</x:v>
      </x:c>
      <x:c r="I155" s="1">
        <x:v>6.8</x:v>
      </x:c>
      <x:c r="J155" s="1">
        <x:v>0.0</x:v>
      </x:c>
      <x:c r="K155" s="1">
        <x:v>0.2</x:v>
      </x:c>
      <x:c r="L155" s="1">
        <x:v>8.0</x:v>
      </x:c>
      <x:c r="M155" s="18">
        <x:f t="shared" si="1"/>
        <x:v>6.327301095</x:v>
      </x:c>
      <x:c r="N155" s="18">
        <x:f t="shared" si="2"/>
        <x:v>0.514490566</x:v>
      </x:c>
      <x:c r="O155" s="25"/>
      <x:c r="P155" s="25"/>
      <x:c r="Q155" s="25"/>
      <x:c r="R155" s="9"/>
      <x:c r="S155" s="9"/>
      <x:c r="T155" s="9"/>
      <x:c r="U155" s="9"/>
      <x:c r="V155" s="9"/>
      <x:c r="W155" s="9"/>
      <x:c r="X155" s="9"/>
      <x:c r="Y155" s="9"/>
      <x:c r="Z155" s="9"/>
    </x:row>
    <x:row r="156" ht="14.25" customHeight="1">
      <x:c r="A156" s="1" t="s">
        <x:v>571</x:v>
      </x:c>
      <x:c r="B156" s="1" t="s">
        <x:v>493</x:v>
      </x:c>
      <x:c r="C156" s="1">
        <x:v>22.5</x:v>
      </x:c>
      <x:c r="D156" s="1">
        <x:v>14.7</x:v>
      </x:c>
      <x:c r="E156" s="1">
        <x:v>149.9</x:v>
      </x:c>
      <x:c r="F156" s="1">
        <x:v>1.0</x:v>
      </x:c>
      <x:c r="G156" s="1">
        <x:v>0.4</x:v>
      </x:c>
      <x:c r="H156" s="1">
        <x:v>1.9</x:v>
      </x:c>
      <x:c r="I156" s="1">
        <x:v>9.5</x:v>
      </x:c>
      <x:c r="J156" s="1">
        <x:v>0.1</x:v>
      </x:c>
      <x:c r="K156" s="1">
        <x:v>0.1</x:v>
      </x:c>
      <x:c r="L156" s="1">
        <x:v>10.6</x:v>
      </x:c>
      <x:c r="M156" s="18">
        <x:f t="shared" si="1"/>
        <x:v>7.136662409</x:v>
      </x:c>
      <x:c r="N156" s="18">
        <x:f t="shared" si="2"/>
        <x:v>0.7187735849</x:v>
      </x:c>
      <x:c r="O156" s="25" t="n">
        <x:f>MAX(QB!D158*Scoring!$B$30+QB!E158/Scoring!$C$30+QB!F158*Scoring!$D$30+QB!G158*Scoring!$E$30+QB!H158*Scoring!$F$30+QB!I158/Scoring!$G$30+QB!J158*Scoring!$H$30+QB!K158*Scoring!$I$30+M158*Scoring!$J$30+QB!N158*Scoring!$K$30,0)+C158*Scoring!$B$10*0.07+(C158-D158)*Scoring!$B$5</x:f>
        <x:v>10.645999999999999</x:v>
      </x:c>
      <x:c r="P156" s="25" t="n">
        <x:f>MAX(QB!D156*Scoring!$B$30+QB!E156/Scoring!$C$30+QB!F156*Scoring!$D$30+QB!G156*Scoring!$E$30+QB!H156*Scoring!$F$30+QB!I156/Scoring!$G$30+QB!J156*Scoring!$H$30+QB!K156*Scoring!$I$30+M156*Scoring!$J$30+QB!N156*Scoring!$K$30,0)+C156*Scoring!$B$10*0.07+(C156-D156)*Scoring!$B$5</x:f>
        <x:v>10.645999999999999</x:v>
      </x:c>
      <x:c r="Q156" s="25" t="n">
        <x:f>MAX(QB!D157*Scoring!$B$30+QB!E157/Scoring!$C$30+QB!F157*Scoring!$D$30+QB!G157*Scoring!$E$30+QB!H157*Scoring!$F$30+QB!I157/Scoring!$G$30+QB!J157*Scoring!$H$30+QB!K157*Scoring!$I$30+M157*Scoring!$J$30+QB!N157*Scoring!$K$30,0)+C157*Scoring!$B$10*0.07+(C157-D157)*Scoring!$B$5</x:f>
        <x:v>10.645999999999999</x:v>
      </x:c>
      <x:c r="R156" s="9"/>
      <x:c r="S156" s="9"/>
      <x:c r="T156" s="9"/>
      <x:c r="U156" s="9"/>
      <x:c r="V156" s="9"/>
      <x:c r="W156" s="9"/>
      <x:c r="X156" s="9"/>
      <x:c r="Y156" s="9"/>
      <x:c r="Z156" s="9"/>
    </x:row>
    <x:row r="157" ht="14.25" customHeight="1">
      <x:c r="B157" s="1" t="s">
        <x:v>488</x:v>
      </x:c>
      <x:c r="C157" s="1">
        <x:v>22.5</x:v>
      </x:c>
      <x:c r="D157" s="1">
        <x:v>14.7</x:v>
      </x:c>
      <x:c r="E157" s="1">
        <x:v>149.9</x:v>
      </x:c>
      <x:c r="F157" s="1">
        <x:v>1.0</x:v>
      </x:c>
      <x:c r="G157" s="1">
        <x:v>0.4</x:v>
      </x:c>
      <x:c r="H157" s="1">
        <x:v>1.9</x:v>
      </x:c>
      <x:c r="I157" s="1">
        <x:v>9.5</x:v>
      </x:c>
      <x:c r="J157" s="1">
        <x:v>0.1</x:v>
      </x:c>
      <x:c r="K157" s="1">
        <x:v>0.1</x:v>
      </x:c>
      <x:c r="L157" s="1">
        <x:v>10.3</x:v>
      </x:c>
      <x:c r="M157" s="18">
        <x:f t="shared" si="1"/>
        <x:v>7.136662409</x:v>
      </x:c>
      <x:c r="N157" s="18">
        <x:f t="shared" si="2"/>
        <x:v>0.7187735849</x:v>
      </x:c>
      <x:c r="O157" s="25"/>
      <x:c r="P157" s="25"/>
      <x:c r="Q157" s="25"/>
      <x:c r="R157" s="9"/>
      <x:c r="S157" s="9"/>
      <x:c r="T157" s="9"/>
      <x:c r="U157" s="9"/>
      <x:c r="V157" s="9"/>
      <x:c r="W157" s="9"/>
      <x:c r="X157" s="9"/>
      <x:c r="Y157" s="9"/>
      <x:c r="Z157" s="9"/>
    </x:row>
    <x:row r="158" ht="14.25" customHeight="1">
      <x:c r="B158" s="1" t="s">
        <x:v>489</x:v>
      </x:c>
      <x:c r="C158" s="1">
        <x:v>22.5</x:v>
      </x:c>
      <x:c r="D158" s="1">
        <x:v>14.7</x:v>
      </x:c>
      <x:c r="E158" s="1">
        <x:v>149.9</x:v>
      </x:c>
      <x:c r="F158" s="1">
        <x:v>1.0</x:v>
      </x:c>
      <x:c r="G158" s="1">
        <x:v>0.4</x:v>
      </x:c>
      <x:c r="H158" s="1">
        <x:v>1.9</x:v>
      </x:c>
      <x:c r="I158" s="1">
        <x:v>9.5</x:v>
      </x:c>
      <x:c r="J158" s="1">
        <x:v>0.1</x:v>
      </x:c>
      <x:c r="K158" s="1">
        <x:v>0.1</x:v>
      </x:c>
      <x:c r="L158" s="1">
        <x:v>10.3</x:v>
      </x:c>
      <x:c r="M158" s="18">
        <x:f t="shared" si="1"/>
        <x:v>7.136662409</x:v>
      </x:c>
      <x:c r="N158" s="18">
        <x:f t="shared" si="2"/>
        <x:v>0.7187735849</x:v>
      </x:c>
      <x:c r="O158" s="25"/>
      <x:c r="P158" s="25"/>
      <x:c r="Q158" s="25"/>
      <x:c r="R158" s="9"/>
      <x:c r="S158" s="9"/>
      <x:c r="T158" s="9"/>
      <x:c r="U158" s="9"/>
      <x:c r="V158" s="9"/>
      <x:c r="W158" s="9"/>
      <x:c r="X158" s="9"/>
      <x:c r="Y158" s="9"/>
      <x:c r="Z158" s="9"/>
    </x:row>
    <x:row r="159" ht="14.25" customHeight="1">
      <x:c r="A159" s="1" t="s">
        <x:v>572</x:v>
      </x:c>
      <x:c r="B159" s="1" t="s">
        <x:v>491</x:v>
      </x:c>
      <x:c r="C159" s="1">
        <x:v>18.3</x:v>
      </x:c>
      <x:c r="D159" s="1">
        <x:v>11.8</x:v>
      </x:c>
      <x:c r="E159" s="1">
        <x:v>130.8</x:v>
      </x:c>
      <x:c r="F159" s="1">
        <x:v>0.9</x:v>
      </x:c>
      <x:c r="G159" s="1">
        <x:v>0.3</x:v>
      </x:c>
      <x:c r="H159" s="1">
        <x:v>3.5</x:v>
      </x:c>
      <x:c r="I159" s="1">
        <x:v>18.7</x:v>
      </x:c>
      <x:c r="J159" s="1">
        <x:v>0.0</x:v>
      </x:c>
      <x:c r="K159" s="1">
        <x:v>0.1</x:v>
      </x:c>
      <x:c r="L159" s="1">
        <x:v>10.6</x:v>
      </x:c>
      <x:c r="M159" s="18">
        <x:f t="shared" si="1"/>
        <x:v>6.227321168</x:v>
      </x:c>
      <x:c r="N159" s="18">
        <x:f t="shared" si="2"/>
        <x:v>1.414849057</x:v>
      </x:c>
      <x:c r="O159" s="25" t="n">
        <x:f>MAX(QB!D161*Scoring!$B$30+QB!E161/Scoring!$C$30+QB!F161*Scoring!$D$30+QB!G161*Scoring!$E$30+QB!H161*Scoring!$F$30+QB!I161/Scoring!$G$30+QB!J161*Scoring!$H$30+QB!K161*Scoring!$I$30+M161*Scoring!$J$30+QB!N161*Scoring!$K$30,0)+C161*Scoring!$B$10*0.07+(C161-D161)*Scoring!$B$5</x:f>
        <x:v>8.597999999999999</x:v>
      </x:c>
      <x:c r="P159" s="25" t="n">
        <x:f>MAX(QB!D159*Scoring!$B$30+QB!E159/Scoring!$C$30+QB!F159*Scoring!$D$30+QB!G159*Scoring!$E$30+QB!H159*Scoring!$F$30+QB!I159/Scoring!$G$30+QB!J159*Scoring!$H$30+QB!K159*Scoring!$I$30+M159*Scoring!$J$30+QB!N159*Scoring!$K$30,0)+C159*Scoring!$B$10*0.07+(C159-D159)*Scoring!$B$5</x:f>
        <x:v>10.002</x:v>
      </x:c>
      <x:c r="Q159" s="25" t="n">
        <x:f>MAX(QB!D160*Scoring!$B$30+QB!E160/Scoring!$C$30+QB!F160*Scoring!$D$30+QB!G160*Scoring!$E$30+QB!H160*Scoring!$F$30+QB!I160/Scoring!$G$30+QB!J160*Scoring!$H$30+QB!K160*Scoring!$I$30+M160*Scoring!$J$30+QB!N160*Scoring!$K$30,0)+C160*Scoring!$B$10*0.07+(C160-D160)*Scoring!$B$5</x:f>
        <x:v>12.72</x:v>
      </x:c>
      <x:c r="R159" s="9"/>
      <x:c r="S159" s="9"/>
      <x:c r="T159" s="9"/>
      <x:c r="U159" s="9"/>
      <x:c r="V159" s="9"/>
      <x:c r="W159" s="9"/>
      <x:c r="X159" s="9"/>
      <x:c r="Y159" s="9"/>
      <x:c r="Z159" s="9"/>
    </x:row>
    <x:row r="160" ht="14.25" customHeight="1">
      <x:c r="B160" s="1" t="s">
        <x:v>488</x:v>
      </x:c>
      <x:c r="C160" s="1">
        <x:v>19.5</x:v>
      </x:c>
      <x:c r="D160" s="1">
        <x:v>12.6</x:v>
      </x:c>
      <x:c r="E160" s="1">
        <x:v>133.0</x:v>
      </x:c>
      <x:c r="F160" s="1">
        <x:v>1.0</x:v>
      </x:c>
      <x:c r="G160" s="1">
        <x:v>0.0</x:v>
      </x:c>
      <x:c r="H160" s="1">
        <x:v>5.0</x:v>
      </x:c>
      <x:c r="I160" s="1">
        <x:v>28.0</x:v>
      </x:c>
      <x:c r="J160" s="1">
        <x:v>0.1</x:v>
      </x:c>
      <x:c r="K160" s="1">
        <x:v>0.0</x:v>
      </x:c>
      <x:c r="L160" s="1">
        <x:v>9.0</x:v>
      </x:c>
      <x:c r="M160" s="18">
        <x:f t="shared" si="1"/>
        <x:v>6.332062044</x:v>
      </x:c>
      <x:c r="N160" s="18">
        <x:f t="shared" si="2"/>
        <x:v>2.118490566</x:v>
      </x:c>
      <x:c r="O160" s="25"/>
      <x:c r="P160" s="25"/>
      <x:c r="Q160" s="25"/>
      <x:c r="R160" s="9"/>
      <x:c r="S160" s="9"/>
      <x:c r="T160" s="9"/>
      <x:c r="U160" s="9"/>
      <x:c r="V160" s="9"/>
      <x:c r="W160" s="9"/>
      <x:c r="X160" s="9"/>
      <x:c r="Y160" s="9"/>
      <x:c r="Z160" s="9"/>
    </x:row>
    <x:row r="161" ht="14.25" customHeight="1">
      <x:c r="B161" s="1" t="s">
        <x:v>489</x:v>
      </x:c>
      <x:c r="C161" s="1">
        <x:v>17.0</x:v>
      </x:c>
      <x:c r="D161" s="1">
        <x:v>11.0</x:v>
      </x:c>
      <x:c r="E161" s="1">
        <x:v>128.7</x:v>
      </x:c>
      <x:c r="F161" s="1">
        <x:v>0.9</x:v>
      </x:c>
      <x:c r="G161" s="1">
        <x:v>0.5</x:v>
      </x:c>
      <x:c r="H161" s="1">
        <x:v>2.0</x:v>
      </x:c>
      <x:c r="I161" s="1">
        <x:v>9.5</x:v>
      </x:c>
      <x:c r="J161" s="1">
        <x:v>0.0</x:v>
      </x:c>
      <x:c r="K161" s="1">
        <x:v>0.1</x:v>
      </x:c>
      <x:c r="L161" s="1">
        <x:v>8.7</x:v>
      </x:c>
      <x:c r="M161" s="18">
        <x:f t="shared" si="1"/>
        <x:v>6.127341241</x:v>
      </x:c>
      <x:c r="N161" s="18">
        <x:f t="shared" si="2"/>
        <x:v>0.7187735849</x:v>
      </x:c>
      <x:c r="O161" s="25"/>
      <x:c r="P161" s="25"/>
      <x:c r="Q161" s="25"/>
      <x:c r="R161" s="9"/>
      <x:c r="S161" s="9"/>
      <x:c r="T161" s="9"/>
      <x:c r="U161" s="9"/>
      <x:c r="V161" s="9"/>
      <x:c r="W161" s="9"/>
      <x:c r="X161" s="9"/>
      <x:c r="Y161" s="9"/>
      <x:c r="Z161" s="9"/>
    </x:row>
    <x:row r="162" ht="14.25" customHeight="1">
      <x:c r="A162" s="1" t="s">
        <x:v>573</x:v>
      </x:c>
      <x:c r="B162" s="1" t="s">
        <x:v>503</x:v>
      </x:c>
      <x:c r="C162" s="1">
        <x:v>22.5</x:v>
      </x:c>
      <x:c r="D162" s="1">
        <x:v>14.9</x:v>
      </x:c>
      <x:c r="E162" s="1">
        <x:v>160.2</x:v>
      </x:c>
      <x:c r="F162" s="1">
        <x:v>1.0</x:v>
      </x:c>
      <x:c r="G162" s="1">
        <x:v>0.5</x:v>
      </x:c>
      <x:c r="H162" s="1">
        <x:v>2.7</x:v>
      </x:c>
      <x:c r="I162" s="1">
        <x:v>8.4</x:v>
      </x:c>
      <x:c r="J162" s="1">
        <x:v>0.0</x:v>
      </x:c>
      <x:c r="K162" s="1">
        <x:v>0.1</x:v>
      </x:c>
      <x:c r="L162" s="1">
        <x:v>10.5</x:v>
      </x:c>
      <x:c r="M162" s="18">
        <x:f t="shared" si="1"/>
        <x:v>7.627040146</x:v>
      </x:c>
      <x:c r="N162" s="18">
        <x:f t="shared" si="2"/>
        <x:v>0.6355471698</x:v>
      </x:c>
      <x:c r="O162" s="25" t="n">
        <x:f>MAX(QB!D164*Scoring!$B$30+QB!E164/Scoring!$C$30+QB!F164*Scoring!$D$30+QB!G164*Scoring!$E$30+QB!H164*Scoring!$F$30+QB!I164/Scoring!$G$30+QB!J164*Scoring!$H$30+QB!K164*Scoring!$I$30+M164*Scoring!$J$30+QB!N164*Scoring!$K$30,0)+C164*Scoring!$B$10*0.07+(C164-D164)*Scoring!$B$5</x:f>
        <x:v>7.948</x:v>
      </x:c>
      <x:c r="P162" s="25" t="n">
        <x:f>MAX(QB!D162*Scoring!$B$30+QB!E162/Scoring!$C$30+QB!F162*Scoring!$D$30+QB!G162*Scoring!$E$30+QB!H162*Scoring!$F$30+QB!I162/Scoring!$G$30+QB!J162*Scoring!$H$30+QB!K162*Scoring!$I$30+M162*Scoring!$J$30+QB!N162*Scoring!$K$30,0)+C162*Scoring!$B$10*0.07+(C162-D162)*Scoring!$B$5</x:f>
        <x:v>10.148</x:v>
      </x:c>
      <x:c r="Q162" s="25" t="n">
        <x:f>MAX(QB!D163*Scoring!$B$30+QB!E163/Scoring!$C$30+QB!F163*Scoring!$D$30+QB!G163*Scoring!$E$30+QB!H163*Scoring!$F$30+QB!I163/Scoring!$G$30+QB!J163*Scoring!$H$30+QB!K163*Scoring!$I$30+M163*Scoring!$J$30+QB!N163*Scoring!$K$30,0)+C163*Scoring!$B$10*0.07+(C163-D163)*Scoring!$B$5</x:f>
        <x:v>12.52</x:v>
      </x:c>
      <x:c r="R162" s="9"/>
      <x:c r="S162" s="9"/>
      <x:c r="T162" s="9"/>
      <x:c r="U162" s="9"/>
      <x:c r="V162" s="9"/>
      <x:c r="W162" s="9"/>
      <x:c r="X162" s="9"/>
      <x:c r="Y162" s="9"/>
      <x:c r="Z162" s="9"/>
    </x:row>
    <x:row r="163" ht="14.25" customHeight="1">
      <x:c r="B163" s="1" t="s">
        <x:v>488</x:v>
      </x:c>
      <x:c r="C163" s="1">
        <x:v>23.0</x:v>
      </x:c>
      <x:c r="D163" s="1">
        <x:v>15.0</x:v>
      </x:c>
      <x:c r="E163" s="1">
        <x:v>168.0</x:v>
      </x:c>
      <x:c r="F163" s="1">
        <x:v>1.0</x:v>
      </x:c>
      <x:c r="G163" s="1">
        <x:v>0.0</x:v>
      </x:c>
      <x:c r="H163" s="1">
        <x:v>5.0</x:v>
      </x:c>
      <x:c r="I163" s="1">
        <x:v>18.0</x:v>
      </x:c>
      <x:c r="J163" s="1">
        <x:v>0.0</x:v>
      </x:c>
      <x:c r="K163" s="1">
        <x:v>0.0</x:v>
      </x:c>
      <x:c r="L163" s="1">
        <x:v>11.2</x:v>
      </x:c>
      <x:c r="M163" s="18">
        <x:f t="shared" si="1"/>
        <x:v>7.998394161</x:v>
      </x:c>
      <x:c r="N163" s="18">
        <x:f t="shared" si="2"/>
        <x:v>1.361886792</x:v>
      </x:c>
      <x:c r="O163" s="25"/>
      <x:c r="P163" s="25"/>
      <x:c r="Q163" s="25"/>
      <x:c r="R163" s="9"/>
      <x:c r="S163" s="9"/>
      <x:c r="T163" s="9"/>
      <x:c r="U163" s="9"/>
      <x:c r="V163" s="9"/>
      <x:c r="W163" s="9"/>
      <x:c r="X163" s="9"/>
      <x:c r="Y163" s="9"/>
      <x:c r="Z163" s="9"/>
    </x:row>
    <x:row r="164" ht="14.25" customHeight="1">
      <x:c r="B164" s="1" t="s">
        <x:v>489</x:v>
      </x:c>
      <x:c r="C164" s="1">
        <x:v>22.0</x:v>
      </x:c>
      <x:c r="D164" s="1">
        <x:v>14.8</x:v>
      </x:c>
      <x:c r="E164" s="1">
        <x:v>145.7</x:v>
      </x:c>
      <x:c r="F164" s="1">
        <x:v>1.0</x:v>
      </x:c>
      <x:c r="G164" s="1">
        <x:v>1.0</x:v>
      </x:c>
      <x:c r="H164" s="1">
        <x:v>1.0</x:v>
      </x:c>
      <x:c r="I164" s="1">
        <x:v>2.2</x:v>
      </x:c>
      <x:c r="J164" s="1">
        <x:v>0.0</x:v>
      </x:c>
      <x:c r="K164" s="1">
        <x:v>0.1</x:v>
      </x:c>
      <x:c r="L164" s="1">
        <x:v>7.0</x:v>
      </x:c>
      <x:c r="M164" s="18">
        <x:f t="shared" si="1"/>
        <x:v>6.936702555</x:v>
      </x:c>
      <x:c r="N164" s="18">
        <x:f t="shared" si="2"/>
        <x:v>0.1664528302</x:v>
      </x:c>
      <x:c r="O164" s="25"/>
      <x:c r="P164" s="25"/>
      <x:c r="Q164" s="25"/>
      <x:c r="R164" s="9"/>
      <x:c r="S164" s="9"/>
      <x:c r="T164" s="9"/>
      <x:c r="U164" s="9"/>
      <x:c r="V164" s="9"/>
      <x:c r="W164" s="9"/>
      <x:c r="X164" s="9"/>
      <x:c r="Y164" s="9"/>
      <x:c r="Z164" s="9"/>
    </x:row>
    <x:row r="165" ht="14.25" customHeight="1">
      <x:c r="A165" s="1" t="s">
        <x:v>574</x:v>
      </x:c>
      <x:c r="B165" s="1" t="s">
        <x:v>513</x:v>
      </x:c>
      <x:c r="C165" s="1">
        <x:v>22.2</x:v>
      </x:c>
      <x:c r="D165" s="1">
        <x:v>13.6</x:v>
      </x:c>
      <x:c r="E165" s="1">
        <x:v>148.3</x:v>
      </x:c>
      <x:c r="F165" s="1">
        <x:v>1.0</x:v>
      </x:c>
      <x:c r="G165" s="1">
        <x:v>0.8</x:v>
      </x:c>
      <x:c r="H165" s="1">
        <x:v>2.7</x:v>
      </x:c>
      <x:c r="I165" s="1">
        <x:v>12.9</x:v>
      </x:c>
      <x:c r="J165" s="1">
        <x:v>0.0</x:v>
      </x:c>
      <x:c r="K165" s="1">
        <x:v>0.1</x:v>
      </x:c>
      <x:c r="L165" s="1">
        <x:v>10.4</x:v>
      </x:c>
      <x:c r="M165" s="18">
        <x:f t="shared" si="1"/>
        <x:v>7.060487226</x:v>
      </x:c>
      <x:c r="N165" s="18">
        <x:f t="shared" si="2"/>
        <x:v>0.9760188679</x:v>
      </x:c>
      <x:c r="O165" s="25" t="n">
        <x:f>MAX(QB!D167*Scoring!$B$30+QB!E167/Scoring!$C$30+QB!F167*Scoring!$D$30+QB!G167*Scoring!$E$30+QB!H167*Scoring!$F$30+QB!I167/Scoring!$G$30+QB!J167*Scoring!$H$30+QB!K167*Scoring!$I$30+M167*Scoring!$J$30+QB!N167*Scoring!$K$30,0)+C167*Scoring!$B$10*0.07+(C167-D167)*Scoring!$B$5</x:f>
        <x:v>8.48</x:v>
      </x:c>
      <x:c r="P165" s="25" t="n">
        <x:f>MAX(QB!D165*Scoring!$B$30+QB!E165/Scoring!$C$30+QB!F165*Scoring!$D$30+QB!G165*Scoring!$E$30+QB!H165*Scoring!$F$30+QB!I165/Scoring!$G$30+QB!J165*Scoring!$H$30+QB!K165*Scoring!$I$30+M165*Scoring!$J$30+QB!N165*Scoring!$K$30,0)+C165*Scoring!$B$10*0.07+(C165-D165)*Scoring!$B$5</x:f>
        <x:v>9.522</x:v>
      </x:c>
      <x:c r="Q165" s="25" t="n">
        <x:f>MAX(QB!D166*Scoring!$B$30+QB!E166/Scoring!$C$30+QB!F166*Scoring!$D$30+QB!G166*Scoring!$E$30+QB!H166*Scoring!$F$30+QB!I166/Scoring!$G$30+QB!J166*Scoring!$H$30+QB!K166*Scoring!$I$30+M166*Scoring!$J$30+QB!N166*Scoring!$K$30,0)+C166*Scoring!$B$10*0.07+(C166-D166)*Scoring!$B$5</x:f>
        <x:v>11.260000000000002</x:v>
      </x:c>
      <x:c r="R165" s="9"/>
      <x:c r="S165" s="9"/>
      <x:c r="T165" s="9"/>
      <x:c r="U165" s="9"/>
      <x:c r="V165" s="9"/>
      <x:c r="W165" s="9"/>
      <x:c r="X165" s="9"/>
      <x:c r="Y165" s="9"/>
      <x:c r="Z165" s="9"/>
    </x:row>
    <x:row r="166" ht="14.25" customHeight="1">
      <x:c r="B166" s="1" t="s">
        <x:v>488</x:v>
      </x:c>
      <x:c r="C166" s="1">
        <x:v>22.4</x:v>
      </x:c>
      <x:c r="D166" s="1">
        <x:v>14.0</x:v>
      </x:c>
      <x:c r="E166" s="1">
        <x:v>149.0</x:v>
      </x:c>
      <x:c r="F166" s="1">
        <x:v>1.0</x:v>
      </x:c>
      <x:c r="G166" s="1">
        <x:v>0.6</x:v>
      </x:c>
      <x:c r="H166" s="1">
        <x:v>4.0</x:v>
      </x:c>
      <x:c r="I166" s="1">
        <x:v>19.0</x:v>
      </x:c>
      <x:c r="J166" s="1">
        <x:v>0.1</x:v>
      </x:c>
      <x:c r="K166" s="1">
        <x:v>0.0</x:v>
      </x:c>
      <x:c r="L166" s="1">
        <x:v>9.4</x:v>
      </x:c>
      <x:c r="M166" s="18">
        <x:f t="shared" si="1"/>
        <x:v>7.093813869</x:v>
      </x:c>
      <x:c r="N166" s="18">
        <x:f t="shared" si="2"/>
        <x:v>1.43754717</x:v>
      </x:c>
      <x:c r="O166" s="25"/>
      <x:c r="P166" s="25"/>
      <x:c r="Q166" s="25"/>
      <x:c r="R166" s="9"/>
      <x:c r="S166" s="9"/>
      <x:c r="T166" s="9"/>
      <x:c r="U166" s="9"/>
      <x:c r="V166" s="9"/>
      <x:c r="W166" s="9"/>
      <x:c r="X166" s="9"/>
      <x:c r="Y166" s="9"/>
      <x:c r="Z166" s="9"/>
    </x:row>
    <x:row r="167" ht="14.25" customHeight="1">
      <x:c r="B167" s="1" t="s">
        <x:v>489</x:v>
      </x:c>
      <x:c r="C167" s="1">
        <x:v>22.0</x:v>
      </x:c>
      <x:c r="D167" s="1">
        <x:v>13.2</x:v>
      </x:c>
      <x:c r="E167" s="1">
        <x:v>147.5</x:v>
      </x:c>
      <x:c r="F167" s="1">
        <x:v>1.0</x:v>
      </x:c>
      <x:c r="G167" s="1">
        <x:v>1.0</x:v>
      </x:c>
      <x:c r="H167" s="1">
        <x:v>1.5</x:v>
      </x:c>
      <x:c r="I167" s="1">
        <x:v>6.8</x:v>
      </x:c>
      <x:c r="J167" s="1">
        <x:v>0.0</x:v>
      </x:c>
      <x:c r="K167" s="1">
        <x:v>0.1</x:v>
      </x:c>
      <x:c r="L167" s="1">
        <x:v>7.0</x:v>
      </x:c>
      <x:c r="M167" s="18">
        <x:f t="shared" si="1"/>
        <x:v>7.022399635</x:v>
      </x:c>
      <x:c r="N167" s="18">
        <x:f t="shared" si="2"/>
        <x:v>0.514490566</x:v>
      </x:c>
      <x:c r="O167" s="25"/>
      <x:c r="P167" s="25"/>
      <x:c r="Q167" s="25"/>
      <x:c r="R167" s="9"/>
      <x:c r="S167" s="9"/>
      <x:c r="T167" s="9"/>
      <x:c r="U167" s="9"/>
      <x:c r="V167" s="9"/>
      <x:c r="W167" s="9"/>
      <x:c r="X167" s="9"/>
      <x:c r="Y167" s="9"/>
      <x:c r="Z167" s="9"/>
    </x:row>
    <x:row r="168" ht="14.25" customHeight="1">
      <x:c r="A168" s="1" t="s">
        <x:v>575</x:v>
      </x:c>
      <x:c r="B168" s="1" t="s">
        <x:v>527</x:v>
      </x:c>
      <x:c r="C168" s="1">
        <x:v>16.0</x:v>
      </x:c>
      <x:c r="D168" s="1">
        <x:v>10.0</x:v>
      </x:c>
      <x:c r="E168" s="1">
        <x:v>109.0</x:v>
      </x:c>
      <x:c r="F168" s="1">
        <x:v>1.0</x:v>
      </x:c>
      <x:c r="G168" s="1">
        <x:v>0.0</x:v>
      </x:c>
      <x:c r="H168" s="1">
        <x:v>5.0</x:v>
      </x:c>
      <x:c r="I168" s="1">
        <x:v>20.0</x:v>
      </x:c>
      <x:c r="J168" s="1">
        <x:v>0.0</x:v>
      </x:c>
      <x:c r="K168" s="1">
        <x:v>0.0</x:v>
      </x:c>
      <x:c r="L168" s="1">
        <x:v>10.4</x:v>
      </x:c>
      <x:c r="M168" s="18">
        <x:f t="shared" si="1"/>
        <x:v>5.189434307</x:v>
      </x:c>
      <x:c r="N168" s="18">
        <x:f t="shared" si="2"/>
        <x:v>1.513207547</x:v>
      </x:c>
      <x:c r="O168" s="25" t="n">
        <x:f>MAX(QB!D170*Scoring!$B$30+QB!E170/Scoring!$C$30+QB!F170*Scoring!$D$30+QB!G170*Scoring!$E$30+QB!H170*Scoring!$F$30+QB!I170/Scoring!$G$30+QB!J170*Scoring!$H$30+QB!K170*Scoring!$I$30+M170*Scoring!$J$30+QB!N170*Scoring!$K$30,0)+C170*Scoring!$B$10*0.07+(C170-D170)*Scoring!$B$5</x:f>
        <x:v>10.36</x:v>
      </x:c>
      <x:c r="P168" s="25" t="n">
        <x:f>MAX(QB!D168*Scoring!$B$30+QB!E168/Scoring!$C$30+QB!F168*Scoring!$D$30+QB!G168*Scoring!$E$30+QB!H168*Scoring!$F$30+QB!I168/Scoring!$G$30+QB!J168*Scoring!$H$30+QB!K168*Scoring!$I$30+M168*Scoring!$J$30+QB!N168*Scoring!$K$30,0)+C168*Scoring!$B$10*0.07+(C168-D168)*Scoring!$B$5</x:f>
        <x:v>10.36</x:v>
      </x:c>
      <x:c r="Q168" s="25" t="n">
        <x:f>MAX(QB!D169*Scoring!$B$30+QB!E169/Scoring!$C$30+QB!F169*Scoring!$D$30+QB!G169*Scoring!$E$30+QB!H169*Scoring!$F$30+QB!I169/Scoring!$G$30+QB!J169*Scoring!$H$30+QB!K169*Scoring!$I$30+M169*Scoring!$J$30+QB!N169*Scoring!$K$30,0)+C169*Scoring!$B$10*0.07+(C169-D169)*Scoring!$B$5</x:f>
        <x:v>10.36</x:v>
      </x:c>
      <x:c r="R168" s="9"/>
      <x:c r="S168" s="9"/>
      <x:c r="T168" s="9"/>
      <x:c r="U168" s="9"/>
      <x:c r="V168" s="9"/>
      <x:c r="W168" s="9"/>
      <x:c r="X168" s="9"/>
      <x:c r="Y168" s="9"/>
      <x:c r="Z168" s="9"/>
    </x:row>
    <x:row r="169" ht="14.25" customHeight="1">
      <x:c r="B169" s="1" t="s">
        <x:v>488</x:v>
      </x:c>
      <x:c r="C169" s="1">
        <x:v>16.0</x:v>
      </x:c>
      <x:c r="D169" s="1">
        <x:v>10.0</x:v>
      </x:c>
      <x:c r="E169" s="1">
        <x:v>109.0</x:v>
      </x:c>
      <x:c r="F169" s="1">
        <x:v>1.0</x:v>
      </x:c>
      <x:c r="G169" s="1">
        <x:v>0.0</x:v>
      </x:c>
      <x:c r="H169" s="1">
        <x:v>5.0</x:v>
      </x:c>
      <x:c r="I169" s="1">
        <x:v>20.0</x:v>
      </x:c>
      <x:c r="J169" s="1">
        <x:v>0.0</x:v>
      </x:c>
      <x:c r="K169" s="1">
        <x:v>0.0</x:v>
      </x:c>
      <x:c r="L169" s="1">
        <x:v>8.0</x:v>
      </x:c>
      <x:c r="M169" s="18">
        <x:f t="shared" si="1"/>
        <x:v>5.189434307</x:v>
      </x:c>
      <x:c r="N169" s="18">
        <x:f t="shared" si="2"/>
        <x:v>1.513207547</x:v>
      </x:c>
      <x:c r="O169" s="25"/>
      <x:c r="P169" s="25"/>
      <x:c r="Q169" s="25"/>
      <x:c r="R169" s="9"/>
      <x:c r="S169" s="9"/>
      <x:c r="T169" s="9"/>
      <x:c r="U169" s="9"/>
      <x:c r="V169" s="9"/>
      <x:c r="W169" s="9"/>
      <x:c r="X169" s="9"/>
      <x:c r="Y169" s="9"/>
      <x:c r="Z169" s="9"/>
    </x:row>
    <x:row r="170" ht="14.25" customHeight="1">
      <x:c r="B170" s="1" t="s">
        <x:v>489</x:v>
      </x:c>
      <x:c r="C170" s="1">
        <x:v>16.0</x:v>
      </x:c>
      <x:c r="D170" s="1">
        <x:v>10.0</x:v>
      </x:c>
      <x:c r="E170" s="1">
        <x:v>109.0</x:v>
      </x:c>
      <x:c r="F170" s="1">
        <x:v>1.0</x:v>
      </x:c>
      <x:c r="G170" s="1">
        <x:v>0.0</x:v>
      </x:c>
      <x:c r="H170" s="1">
        <x:v>5.0</x:v>
      </x:c>
      <x:c r="I170" s="1">
        <x:v>20.0</x:v>
      </x:c>
      <x:c r="J170" s="1">
        <x:v>0.0</x:v>
      </x:c>
      <x:c r="K170" s="1">
        <x:v>0.0</x:v>
      </x:c>
      <x:c r="L170" s="1">
        <x:v>8.0</x:v>
      </x:c>
      <x:c r="M170" s="18">
        <x:f t="shared" si="1"/>
        <x:v>5.189434307</x:v>
      </x:c>
      <x:c r="N170" s="18">
        <x:f t="shared" si="2"/>
        <x:v>1.513207547</x:v>
      </x:c>
      <x:c r="O170" s="25"/>
      <x:c r="P170" s="25"/>
      <x:c r="Q170" s="25"/>
      <x:c r="R170" s="9"/>
      <x:c r="S170" s="9"/>
      <x:c r="T170" s="9"/>
      <x:c r="U170" s="9"/>
      <x:c r="V170" s="9"/>
      <x:c r="W170" s="9"/>
      <x:c r="X170" s="9"/>
      <x:c r="Y170" s="9"/>
      <x:c r="Z170" s="9"/>
    </x:row>
    <x:row r="171" ht="14.25" customHeight="1">
      <x:c r="A171" s="1" t="s">
        <x:v>576</x:v>
      </x:c>
      <x:c r="B171" s="1" t="s">
        <x:v>499</x:v>
      </x:c>
      <x:c r="C171" s="1">
        <x:v>24.9</x:v>
      </x:c>
      <x:c r="D171" s="1">
        <x:v>16.1</x:v>
      </x:c>
      <x:c r="E171" s="1">
        <x:v>169.4</x:v>
      </x:c>
      <x:c r="F171" s="1">
        <x:v>1.2</x:v>
      </x:c>
      <x:c r="G171" s="1">
        <x:v>0.8</x:v>
      </x:c>
      <x:c r="H171" s="1">
        <x:v>2.2</x:v>
      </x:c>
      <x:c r="I171" s="1">
        <x:v>8.6</x:v>
      </x:c>
      <x:c r="J171" s="1">
        <x:v>0.0</x:v>
      </x:c>
      <x:c r="K171" s="1">
        <x:v>0.6</x:v>
      </x:c>
      <x:c r="L171" s="1">
        <x:v>10.3</x:v>
      </x:c>
      <x:c r="M171" s="18">
        <x:f t="shared" si="1"/>
        <x:v>8.065047445</x:v>
      </x:c>
      <x:c r="N171" s="18">
        <x:f t="shared" si="2"/>
        <x:v>0.6506792453</x:v>
      </x:c>
      <x:c r="O171" s="25" t="n">
        <x:f>MAX(QB!D173*Scoring!$B$30+QB!E173/Scoring!$C$30+QB!F173*Scoring!$D$30+QB!G173*Scoring!$E$30+QB!H173*Scoring!$F$30+QB!I173/Scoring!$G$30+QB!J173*Scoring!$H$30+QB!K173*Scoring!$I$30+M173*Scoring!$J$30+QB!N173*Scoring!$K$30,0)+C173*Scoring!$B$10*0.07+(C173-D173)*Scoring!$B$5</x:f>
        <x:v>7.712</x:v>
      </x:c>
      <x:c r="P171" s="25" t="n">
        <x:f>MAX(QB!D171*Scoring!$B$30+QB!E171/Scoring!$C$30+QB!F171*Scoring!$D$30+QB!G171*Scoring!$E$30+QB!H171*Scoring!$F$30+QB!I171/Scoring!$G$30+QB!J171*Scoring!$H$30+QB!K171*Scoring!$I$30+M171*Scoring!$J$30+QB!N171*Scoring!$K$30,0)+C171*Scoring!$B$10*0.07+(C171-D171)*Scoring!$B$5</x:f>
        <x:v>10.236</x:v>
      </x:c>
      <x:c r="Q171" s="25" t="n">
        <x:f>MAX(QB!D172*Scoring!$B$30+QB!E172/Scoring!$C$30+QB!F172*Scoring!$D$30+QB!G172*Scoring!$E$30+QB!H172*Scoring!$F$30+QB!I172/Scoring!$G$30+QB!J172*Scoring!$H$30+QB!K172*Scoring!$I$30+M172*Scoring!$J$30+QB!N172*Scoring!$K$30,0)+C172*Scoring!$B$10*0.07+(C172-D172)*Scoring!$B$5</x:f>
        <x:v>12.16</x:v>
      </x:c>
      <x:c r="R171" s="9"/>
      <x:c r="S171" s="9"/>
      <x:c r="T171" s="9"/>
      <x:c r="U171" s="9"/>
      <x:c r="V171" s="9"/>
      <x:c r="W171" s="9"/>
      <x:c r="X171" s="9"/>
      <x:c r="Y171" s="9"/>
      <x:c r="Z171" s="9"/>
    </x:row>
    <x:row r="172" ht="14.25" customHeight="1">
      <x:c r="B172" s="1" t="s">
        <x:v>488</x:v>
      </x:c>
      <x:c r="C172" s="1">
        <x:v>25.0</x:v>
      </x:c>
      <x:c r="D172" s="1">
        <x:v>17.0</x:v>
      </x:c>
      <x:c r="E172" s="1">
        <x:v>174.0</x:v>
      </x:c>
      <x:c r="F172" s="1">
        <x:v>1.3</x:v>
      </x:c>
      <x:c r="G172" s="1">
        <x:v>0.7</x:v>
      </x:c>
      <x:c r="H172" s="1">
        <x:v>4.0</x:v>
      </x:c>
      <x:c r="I172" s="1">
        <x:v>16.0</x:v>
      </x:c>
      <x:c r="J172" s="1">
        <x:v>0.0</x:v>
      </x:c>
      <x:c r="K172" s="1">
        <x:v>0.2</x:v>
      </x:c>
      <x:c r="L172" s="1">
        <x:v>10.5</x:v>
      </x:c>
      <x:c r="M172" s="18">
        <x:f t="shared" si="1"/>
        <x:v>8.284051095</x:v>
      </x:c>
      <x:c r="N172" s="18">
        <x:f t="shared" si="2"/>
        <x:v>1.210566038</x:v>
      </x:c>
      <x:c r="O172" s="25"/>
      <x:c r="P172" s="25"/>
      <x:c r="Q172" s="25"/>
      <x:c r="R172" s="9"/>
      <x:c r="S172" s="9"/>
      <x:c r="T172" s="9"/>
      <x:c r="U172" s="9"/>
      <x:c r="V172" s="9"/>
      <x:c r="W172" s="9"/>
      <x:c r="X172" s="9"/>
      <x:c r="Y172" s="9"/>
      <x:c r="Z172" s="9"/>
    </x:row>
    <x:row r="173" ht="14.25" customHeight="1">
      <x:c r="B173" s="1" t="s">
        <x:v>489</x:v>
      </x:c>
      <x:c r="C173" s="1">
        <x:v>24.7</x:v>
      </x:c>
      <x:c r="D173" s="1">
        <x:v>15.3</x:v>
      </x:c>
      <x:c r="E173" s="1">
        <x:v>164.8</x:v>
      </x:c>
      <x:c r="F173" s="1">
        <x:v>1.0</x:v>
      </x:c>
      <x:c r="G173" s="1">
        <x:v>1.0</x:v>
      </x:c>
      <x:c r="H173" s="1">
        <x:v>0.4</x:v>
      </x:c>
      <x:c r="I173" s="1">
        <x:v>1.2</x:v>
      </x:c>
      <x:c r="J173" s="1">
        <x:v>0.0</x:v>
      </x:c>
      <x:c r="K173" s="1">
        <x:v>1.0</x:v>
      </x:c>
      <x:c r="L173" s="1">
        <x:v>4.0</x:v>
      </x:c>
      <x:c r="M173" s="18">
        <x:f t="shared" si="1"/>
        <x:v>7.846043796</x:v>
      </x:c>
      <x:c r="N173" s="18">
        <x:f t="shared" si="2"/>
        <x:v>0.09079245283</x:v>
      </x:c>
      <x:c r="O173" s="25"/>
      <x:c r="P173" s="25"/>
      <x:c r="Q173" s="25"/>
      <x:c r="R173" s="9"/>
      <x:c r="S173" s="9"/>
      <x:c r="T173" s="9"/>
      <x:c r="U173" s="9"/>
      <x:c r="V173" s="9"/>
      <x:c r="W173" s="9"/>
      <x:c r="X173" s="9"/>
      <x:c r="Y173" s="9"/>
      <x:c r="Z173" s="9"/>
    </x:row>
    <x:row r="174" ht="14.25" customHeight="1">
      <x:c r="A174" s="1" t="s">
        <x:v>577</x:v>
      </x:c>
      <x:c r="B174" s="1" t="s">
        <x:v>497</x:v>
      </x:c>
      <x:c r="C174" s="1">
        <x:v>20.3</x:v>
      </x:c>
      <x:c r="D174" s="1">
        <x:v>12.8</x:v>
      </x:c>
      <x:c r="E174" s="1">
        <x:v>141.0</x:v>
      </x:c>
      <x:c r="F174" s="1">
        <x:v>1.0</x:v>
      </x:c>
      <x:c r="G174" s="1">
        <x:v>0.2</x:v>
      </x:c>
      <x:c r="H174" s="1">
        <x:v>3.0</x:v>
      </x:c>
      <x:c r="I174" s="1">
        <x:v>9.9</x:v>
      </x:c>
      <x:c r="J174" s="1">
        <x:v>0.0</x:v>
      </x:c>
      <x:c r="K174" s="1">
        <x:v>0.0</x:v>
      </x:c>
      <x:c r="L174" s="1">
        <x:v>10.3</x:v>
      </x:c>
      <x:c r="M174" s="18">
        <x:f t="shared" si="1"/>
        <x:v>6.712937956</x:v>
      </x:c>
      <x:c r="N174" s="18">
        <x:f t="shared" si="2"/>
        <x:v>0.7490377358</x:v>
      </x:c>
      <x:c r="O174" s="25" t="n">
        <x:f>MAX(QB!D176*Scoring!$B$30+QB!E176/Scoring!$C$30+QB!F176*Scoring!$D$30+QB!G176*Scoring!$E$30+QB!H176*Scoring!$F$30+QB!I176/Scoring!$G$30+QB!J176*Scoring!$H$30+QB!K176*Scoring!$I$30+M176*Scoring!$J$30+QB!N176*Scoring!$K$30,0)+C176*Scoring!$B$10*0.07+(C176-D176)*Scoring!$B$5</x:f>
        <x:v>8.43</x:v>
      </x:c>
      <x:c r="P174" s="25" t="n">
        <x:f>MAX(QB!D174*Scoring!$B$30+QB!E174/Scoring!$C$30+QB!F174*Scoring!$D$30+QB!G174*Scoring!$E$30+QB!H174*Scoring!$F$30+QB!I174/Scoring!$G$30+QB!J174*Scoring!$H$30+QB!K174*Scoring!$I$30+M174*Scoring!$J$30+QB!N174*Scoring!$K$30,0)+C174*Scoring!$B$10*0.07+(C174-D174)*Scoring!$B$5</x:f>
        <x:v>10.23</x:v>
      </x:c>
      <x:c r="Q174" s="25" t="n">
        <x:f>MAX(QB!D175*Scoring!$B$30+QB!E175/Scoring!$C$30+QB!F175*Scoring!$D$30+QB!G175*Scoring!$E$30+QB!H175*Scoring!$F$30+QB!I175/Scoring!$G$30+QB!J175*Scoring!$H$30+QB!K175*Scoring!$I$30+M175*Scoring!$J$30+QB!N175*Scoring!$K$30,0)+C175*Scoring!$B$10*0.07+(C175-D175)*Scoring!$B$5</x:f>
        <x:v>11.72</x:v>
      </x:c>
      <x:c r="R174" s="9"/>
      <x:c r="S174" s="9"/>
      <x:c r="T174" s="9"/>
      <x:c r="U174" s="9"/>
      <x:c r="V174" s="9"/>
      <x:c r="W174" s="9"/>
      <x:c r="X174" s="9"/>
      <x:c r="Y174" s="9"/>
      <x:c r="Z174" s="9"/>
    </x:row>
    <x:row r="175" ht="14.25" customHeight="1">
      <x:c r="B175" s="1" t="s">
        <x:v>488</x:v>
      </x:c>
      <x:c r="C175" s="1">
        <x:v>21.7</x:v>
      </x:c>
      <x:c r="D175" s="1">
        <x:v>13.7</x:v>
      </x:c>
      <x:c r="E175" s="1">
        <x:v>153.0</x:v>
      </x:c>
      <x:c r="F175" s="1">
        <x:v>1.0</x:v>
      </x:c>
      <x:c r="G175" s="1">
        <x:v>0.0</x:v>
      </x:c>
      <x:c r="H175" s="1">
        <x:v>5.0</x:v>
      </x:c>
      <x:c r="I175" s="1">
        <x:v>16.0</x:v>
      </x:c>
      <x:c r="J175" s="1">
        <x:v>0.0</x:v>
      </x:c>
      <x:c r="K175" s="1">
        <x:v>0.0</x:v>
      </x:c>
      <x:c r="L175" s="1">
        <x:v>9.5</x:v>
      </x:c>
      <x:c r="M175" s="18">
        <x:f t="shared" si="1"/>
        <x:v>7.284251825</x:v>
      </x:c>
      <x:c r="N175" s="18">
        <x:f t="shared" si="2"/>
        <x:v>1.210566038</x:v>
      </x:c>
      <x:c r="O175" s="25"/>
      <x:c r="P175" s="25"/>
      <x:c r="Q175" s="25"/>
      <x:c r="R175" s="9"/>
      <x:c r="S175" s="9"/>
      <x:c r="T175" s="9"/>
      <x:c r="U175" s="9"/>
      <x:c r="V175" s="9"/>
      <x:c r="W175" s="9"/>
      <x:c r="X175" s="9"/>
      <x:c r="Y175" s="9"/>
      <x:c r="Z175" s="9"/>
    </x:row>
    <x:row r="176" ht="14.25" customHeight="1">
      <x:c r="B176" s="1" t="s">
        <x:v>489</x:v>
      </x:c>
      <x:c r="C176" s="1">
        <x:v>19.0</x:v>
      </x:c>
      <x:c r="D176" s="1">
        <x:v>12.0</x:v>
      </x:c>
      <x:c r="E176" s="1">
        <x:v>129.0</x:v>
      </x:c>
      <x:c r="F176" s="1">
        <x:v>1.0</x:v>
      </x:c>
      <x:c r="G176" s="1">
        <x:v>0.5</x:v>
      </x:c>
      <x:c r="H176" s="1">
        <x:v>1.0</x:v>
      </x:c>
      <x:c r="I176" s="1">
        <x:v>3.7</x:v>
      </x:c>
      <x:c r="J176" s="1">
        <x:v>0.0</x:v>
      </x:c>
      <x:c r="K176" s="1">
        <x:v>0.1</x:v>
      </x:c>
      <x:c r="L176" s="1">
        <x:v>8.0</x:v>
      </x:c>
      <x:c r="M176" s="18">
        <x:f t="shared" si="1"/>
        <x:v>6.141624088</x:v>
      </x:c>
      <x:c r="N176" s="18">
        <x:f t="shared" si="2"/>
        <x:v>0.2799433962</x:v>
      </x:c>
      <x:c r="O176" s="25"/>
      <x:c r="P176" s="25"/>
      <x:c r="Q176" s="25"/>
      <x:c r="R176" s="9"/>
      <x:c r="S176" s="9"/>
      <x:c r="T176" s="9"/>
      <x:c r="U176" s="9"/>
      <x:c r="V176" s="9"/>
      <x:c r="W176" s="9"/>
      <x:c r="X176" s="9"/>
      <x:c r="Y176" s="9"/>
      <x:c r="Z176" s="9"/>
    </x:row>
    <x:row r="177" ht="14.25" customHeight="1">
      <x:c r="A177" s="1" t="s">
        <x:v>578</x:v>
      </x:c>
      <x:c r="B177" s="1" t="s">
        <x:v>537</x:v>
      </x:c>
      <x:c r="C177" s="1">
        <x:v>22.9</x:v>
      </x:c>
      <x:c r="D177" s="1">
        <x:v>14.4</x:v>
      </x:c>
      <x:c r="E177" s="1">
        <x:v>157.9</x:v>
      </x:c>
      <x:c r="F177" s="1">
        <x:v>1.0</x:v>
      </x:c>
      <x:c r="G177" s="1">
        <x:v>0.8</x:v>
      </x:c>
      <x:c r="H177" s="1">
        <x:v>2.8</x:v>
      </x:c>
      <x:c r="I177" s="1">
        <x:v>10.6</x:v>
      </x:c>
      <x:c r="J177" s="1">
        <x:v>0.0</x:v>
      </x:c>
      <x:c r="K177" s="1">
        <x:v>0.1</x:v>
      </x:c>
      <x:c r="L177" s="1">
        <x:v>10.3</x:v>
      </x:c>
      <x:c r="M177" s="18">
        <x:f t="shared" si="1"/>
        <x:v>7.517538321</x:v>
      </x:c>
      <x:c r="N177" s="18">
        <x:f t="shared" si="2"/>
        <x:v>0.802</x:v>
      </x:c>
      <x:c r="O177" s="25" t="n">
        <x:f>MAX(QB!D179*Scoring!$B$30+QB!E179/Scoring!$C$30+QB!F179*Scoring!$D$30+QB!G179*Scoring!$E$30+QB!H179*Scoring!$F$30+QB!I179/Scoring!$G$30+QB!J179*Scoring!$H$30+QB!K179*Scoring!$I$30+M179*Scoring!$J$30+QB!N179*Scoring!$K$30,0)+C179*Scoring!$B$10*0.07+(C179-D179)*Scoring!$B$5</x:f>
        <x:v>7.17</x:v>
      </x:c>
      <x:c r="P177" s="25" t="n">
        <x:f>MAX(QB!D177*Scoring!$B$30+QB!E177/Scoring!$C$30+QB!F177*Scoring!$D$30+QB!G177*Scoring!$E$30+QB!H177*Scoring!$F$30+QB!I177/Scoring!$G$30+QB!J177*Scoring!$H$30+QB!K177*Scoring!$I$30+M177*Scoring!$J$30+QB!N177*Scoring!$K$30,0)+C177*Scoring!$B$10*0.07+(C177-D177)*Scoring!$B$5</x:f>
        <x:v>9.676</x:v>
      </x:c>
      <x:c r="Q177" s="25" t="n">
        <x:f>MAX(QB!D178*Scoring!$B$30+QB!E178/Scoring!$C$30+QB!F178*Scoring!$D$30+QB!G178*Scoring!$E$30+QB!H178*Scoring!$F$30+QB!I178/Scoring!$G$30+QB!J178*Scoring!$H$30+QB!K178*Scoring!$I$30+M178*Scoring!$J$30+QB!N178*Scoring!$K$30,0)+C178*Scoring!$B$10*0.07+(C178-D178)*Scoring!$B$5</x:f>
        <x:v>12.600000000000001</x:v>
      </x:c>
      <x:c r="R177" s="9"/>
      <x:c r="S177" s="9"/>
      <x:c r="T177" s="9"/>
      <x:c r="U177" s="9"/>
      <x:c r="V177" s="9"/>
      <x:c r="W177" s="9"/>
      <x:c r="X177" s="9"/>
      <x:c r="Y177" s="9"/>
      <x:c r="Z177" s="9"/>
    </x:row>
    <x:row r="178" ht="14.25" customHeight="1">
      <x:c r="B178" s="1" t="s">
        <x:v>488</x:v>
      </x:c>
      <x:c r="C178" s="1">
        <x:v>25.0</x:v>
      </x:c>
      <x:c r="D178" s="1">
        <x:v>16.0</x:v>
      </x:c>
      <x:c r="E178" s="1">
        <x:v>185.0</x:v>
      </x:c>
      <x:c r="F178" s="1">
        <x:v>1.0</x:v>
      </x:c>
      <x:c r="G178" s="1">
        <x:v>0.5</x:v>
      </x:c>
      <x:c r="H178" s="1">
        <x:v>4.0</x:v>
      </x:c>
      <x:c r="I178" s="1">
        <x:v>22.0</x:v>
      </x:c>
      <x:c r="J178" s="1">
        <x:v>0.0</x:v>
      </x:c>
      <x:c r="K178" s="1">
        <x:v>0.0</x:v>
      </x:c>
      <x:c r="L178" s="1">
        <x:v>12.0</x:v>
      </x:c>
      <x:c r="M178" s="18">
        <x:f t="shared" si="1"/>
        <x:v>8.807755474</x:v>
      </x:c>
      <x:c r="N178" s="18">
        <x:f t="shared" si="2"/>
        <x:v>1.664528302</x:v>
      </x:c>
      <x:c r="O178" s="25"/>
      <x:c r="P178" s="25"/>
      <x:c r="Q178" s="25"/>
      <x:c r="R178" s="9"/>
      <x:c r="S178" s="9"/>
      <x:c r="T178" s="9"/>
      <x:c r="U178" s="9"/>
      <x:c r="V178" s="9"/>
      <x:c r="W178" s="9"/>
      <x:c r="X178" s="9"/>
      <x:c r="Y178" s="9"/>
      <x:c r="Z178" s="9"/>
    </x:row>
    <x:row r="179" ht="14.25" customHeight="1">
      <x:c r="B179" s="1" t="s">
        <x:v>489</x:v>
      </x:c>
      <x:c r="C179" s="1">
        <x:v>21.0</x:v>
      </x:c>
      <x:c r="D179" s="1">
        <x:v>13.0</x:v>
      </x:c>
      <x:c r="E179" s="1">
        <x:v>135.0</x:v>
      </x:c>
      <x:c r="F179" s="1">
        <x:v>0.9</x:v>
      </x:c>
      <x:c r="G179" s="1">
        <x:v>1.0</x:v>
      </x:c>
      <x:c r="H179" s="1">
        <x:v>1.3</x:v>
      </x:c>
      <x:c r="I179" s="1">
        <x:v>3.7</x:v>
      </x:c>
      <x:c r="J179" s="1">
        <x:v>0.0</x:v>
      </x:c>
      <x:c r="K179" s="1">
        <x:v>0.2</x:v>
      </x:c>
      <x:c r="L179" s="1">
        <x:v>7.0</x:v>
      </x:c>
      <x:c r="M179" s="18">
        <x:f t="shared" si="1"/>
        <x:v>6.427281022</x:v>
      </x:c>
      <x:c r="N179" s="18">
        <x:f t="shared" si="2"/>
        <x:v>0.2799433962</x:v>
      </x:c>
      <x:c r="O179" s="25"/>
      <x:c r="P179" s="25"/>
      <x:c r="Q179" s="25"/>
      <x:c r="R179" s="9"/>
      <x:c r="S179" s="9"/>
      <x:c r="T179" s="9"/>
      <x:c r="U179" s="9"/>
      <x:c r="V179" s="9"/>
      <x:c r="W179" s="9"/>
      <x:c r="X179" s="9"/>
      <x:c r="Y179" s="9"/>
      <x:c r="Z179" s="9"/>
    </x:row>
    <x:row r="180" ht="14.25" customHeight="1">
      <x:c r="A180" s="1" t="s">
        <x:v>579</x:v>
      </x:c>
      <x:c r="B180" s="1" t="s">
        <x:v>521</x:v>
      </x:c>
      <x:c r="C180" s="1">
        <x:v>22.9</x:v>
      </x:c>
      <x:c r="D180" s="1">
        <x:v>14.9</x:v>
      </x:c>
      <x:c r="E180" s="1">
        <x:v>156.7</x:v>
      </x:c>
      <x:c r="F180" s="1">
        <x:v>0.9</x:v>
      </x:c>
      <x:c r="G180" s="1">
        <x:v>0.8</x:v>
      </x:c>
      <x:c r="H180" s="1">
        <x:v>2.7</x:v>
      </x:c>
      <x:c r="I180" s="1">
        <x:v>12.1</x:v>
      </x:c>
      <x:c r="J180" s="1">
        <x:v>0.0</x:v>
      </x:c>
      <x:c r="K180" s="1">
        <x:v>0.1</x:v>
      </x:c>
      <x:c r="L180" s="1">
        <x:v>10.2</x:v>
      </x:c>
      <x:c r="M180" s="18">
        <x:f t="shared" si="1"/>
        <x:v>7.460406934</x:v>
      </x:c>
      <x:c r="N180" s="18">
        <x:f t="shared" si="2"/>
        <x:v>0.915490566</x:v>
      </x:c>
      <x:c r="O180" s="25" t="n">
        <x:f>MAX(QB!D182*Scoring!$B$30+QB!E182/Scoring!$C$30+QB!F182*Scoring!$D$30+QB!G182*Scoring!$E$30+QB!H182*Scoring!$F$30+QB!I182/Scoring!$G$30+QB!J182*Scoring!$H$30+QB!K182*Scoring!$I$30+M182*Scoring!$J$30+QB!N182*Scoring!$K$30,0)+C182*Scoring!$B$10*0.07+(C182-D182)*Scoring!$B$5</x:f>
        <x:v>7.8500000000000005</x:v>
      </x:c>
      <x:c r="P180" s="25" t="n">
        <x:f>MAX(QB!D180*Scoring!$B$30+QB!E180/Scoring!$C$30+QB!F180*Scoring!$D$30+QB!G180*Scoring!$E$30+QB!H180*Scoring!$F$30+QB!I180/Scoring!$G$30+QB!J180*Scoring!$H$30+QB!K180*Scoring!$I$30+M180*Scoring!$J$30+QB!N180*Scoring!$K$30,0)+C180*Scoring!$B$10*0.07+(C180-D180)*Scoring!$B$5</x:f>
        <x:v>9.378000000000002</x:v>
      </x:c>
      <x:c r="Q180" s="25" t="n">
        <x:f>MAX(QB!D181*Scoring!$B$30+QB!E181/Scoring!$C$30+QB!F181*Scoring!$D$30+QB!G181*Scoring!$E$30+QB!H181*Scoring!$F$30+QB!I181/Scoring!$G$30+QB!J181*Scoring!$H$30+QB!K181*Scoring!$I$30+M181*Scoring!$J$30+QB!N181*Scoring!$K$30,0)+C181*Scoring!$B$10*0.07+(C181-D181)*Scoring!$B$5</x:f>
        <x:v>11.1</x:v>
      </x:c>
      <x:c r="R180" s="9"/>
      <x:c r="S180" s="9"/>
      <x:c r="T180" s="9"/>
      <x:c r="U180" s="9"/>
      <x:c r="V180" s="9"/>
      <x:c r="W180" s="9"/>
      <x:c r="X180" s="9"/>
      <x:c r="Y180" s="9"/>
      <x:c r="Z180" s="9"/>
    </x:row>
    <x:row r="181" ht="14.25" customHeight="1">
      <x:c r="B181" s="1" t="s">
        <x:v>488</x:v>
      </x:c>
      <x:c r="C181" s="1">
        <x:v>23.0</x:v>
      </x:c>
      <x:c r="D181" s="1">
        <x:v>15.0</x:v>
      </x:c>
      <x:c r="E181" s="1">
        <x:v>160.0</x:v>
      </x:c>
      <x:c r="F181" s="1">
        <x:v>1.0</x:v>
      </x:c>
      <x:c r="G181" s="1">
        <x:v>0.5</x:v>
      </x:c>
      <x:c r="H181" s="1">
        <x:v>4.0</x:v>
      </x:c>
      <x:c r="I181" s="1">
        <x:v>17.0</x:v>
      </x:c>
      <x:c r="J181" s="1">
        <x:v>0.0</x:v>
      </x:c>
      <x:c r="K181" s="1">
        <x:v>0.0</x:v>
      </x:c>
      <x:c r="L181" s="1">
        <x:v>9.0</x:v>
      </x:c>
      <x:c r="M181" s="18">
        <x:f t="shared" si="1"/>
        <x:v>7.617518248</x:v>
      </x:c>
      <x:c r="N181" s="18">
        <x:f t="shared" si="2"/>
        <x:v>1.286226415</x:v>
      </x:c>
      <x:c r="O181" s="25"/>
      <x:c r="P181" s="25"/>
      <x:c r="Q181" s="25"/>
      <x:c r="R181" s="9"/>
      <x:c r="S181" s="9"/>
      <x:c r="T181" s="9"/>
      <x:c r="U181" s="9"/>
      <x:c r="V181" s="9"/>
      <x:c r="W181" s="9"/>
      <x:c r="X181" s="9"/>
      <x:c r="Y181" s="9"/>
      <x:c r="Z181" s="9"/>
    </x:row>
    <x:row r="182" ht="14.25" customHeight="1">
      <x:c r="B182" s="1" t="s">
        <x:v>489</x:v>
      </x:c>
      <x:c r="C182" s="1">
        <x:v>22.8</x:v>
      </x:c>
      <x:c r="D182" s="1">
        <x:v>14.9</x:v>
      </x:c>
      <x:c r="E182" s="1">
        <x:v>153.5</x:v>
      </x:c>
      <x:c r="F182" s="1">
        <x:v>0.8</x:v>
      </x:c>
      <x:c r="G182" s="1">
        <x:v>1.0</x:v>
      </x:c>
      <x:c r="H182" s="1">
        <x:v>1.3</x:v>
      </x:c>
      <x:c r="I182" s="1">
        <x:v>7.1</x:v>
      </x:c>
      <x:c r="J182" s="1">
        <x:v>0.0</x:v>
      </x:c>
      <x:c r="K182" s="1">
        <x:v>0.2</x:v>
      </x:c>
      <x:c r="L182" s="1">
        <x:v>7.0</x:v>
      </x:c>
      <x:c r="M182" s="18">
        <x:f t="shared" si="1"/>
        <x:v>7.308056569</x:v>
      </x:c>
      <x:c r="N182" s="18">
        <x:f t="shared" si="2"/>
        <x:v>0.5371886792</x:v>
      </x:c>
      <x:c r="O182" s="25"/>
      <x:c r="P182" s="25"/>
      <x:c r="Q182" s="25"/>
      <x:c r="R182" s="9"/>
      <x:c r="S182" s="9"/>
      <x:c r="T182" s="9"/>
      <x:c r="U182" s="9"/>
      <x:c r="V182" s="9"/>
      <x:c r="W182" s="9"/>
      <x:c r="X182" s="9"/>
      <x:c r="Y182" s="9"/>
      <x:c r="Z182" s="9"/>
    </x:row>
    <x:row r="183" ht="14.25" customHeight="1">
      <x:c r="A183" s="1" t="s">
        <x:v>580</x:v>
      </x:c>
      <x:c r="B183" s="1" t="s">
        <x:v>507</x:v>
      </x:c>
      <x:c r="C183" s="1">
        <x:v>21.9</x:v>
      </x:c>
      <x:c r="D183" s="1">
        <x:v>13.8</x:v>
      </x:c>
      <x:c r="E183" s="1">
        <x:v>144.5</x:v>
      </x:c>
      <x:c r="F183" s="1">
        <x:v>1.1</x:v>
      </x:c>
      <x:c r="G183" s="1">
        <x:v>0.7</x:v>
      </x:c>
      <x:c r="H183" s="1">
        <x:v>1.3</x:v>
      </x:c>
      <x:c r="I183" s="1">
        <x:v>6.9</x:v>
      </x:c>
      <x:c r="J183" s="1">
        <x:v>0.1</x:v>
      </x:c>
      <x:c r="K183" s="1">
        <x:v>0.1</x:v>
      </x:c>
      <x:c r="L183" s="1">
        <x:v>10.2</x:v>
      </x:c>
      <x:c r="M183" s="18">
        <x:f t="shared" si="1"/>
        <x:v>6.879571168</x:v>
      </x:c>
      <x:c r="N183" s="18">
        <x:f t="shared" si="2"/>
        <x:v>0.5220566038</x:v>
      </x:c>
      <x:c r="O183" s="25" t="n">
        <x:f>MAX(QB!D185*Scoring!$B$30+QB!E185/Scoring!$C$30+QB!F185*Scoring!$D$30+QB!G185*Scoring!$E$30+QB!H185*Scoring!$F$30+QB!I185/Scoring!$G$30+QB!J185*Scoring!$H$30+QB!K185*Scoring!$I$30+M185*Scoring!$J$30+QB!N185*Scoring!$K$30,0)+C185*Scoring!$B$10*0.07+(C185-D185)*Scoring!$B$5</x:f>
        <x:v>9.969999999999999</x:v>
      </x:c>
      <x:c r="P183" s="25" t="n">
        <x:f>MAX(QB!D183*Scoring!$B$30+QB!E183/Scoring!$C$30+QB!F183*Scoring!$D$30+QB!G183*Scoring!$E$30+QB!H183*Scoring!$F$30+QB!I183/Scoring!$G$30+QB!J183*Scoring!$H$30+QB!K183*Scoring!$I$30+M183*Scoring!$J$30+QB!N183*Scoring!$K$30,0)+C183*Scoring!$B$10*0.07+(C183-D183)*Scoring!$B$5</x:f>
        <x:v>9.969999999999999</x:v>
      </x:c>
      <x:c r="Q183" s="25" t="n">
        <x:f>MAX(QB!D184*Scoring!$B$30+QB!E184/Scoring!$C$30+QB!F184*Scoring!$D$30+QB!G184*Scoring!$E$30+QB!H184*Scoring!$F$30+QB!I184/Scoring!$G$30+QB!J184*Scoring!$H$30+QB!K184*Scoring!$I$30+M184*Scoring!$J$30+QB!N184*Scoring!$K$30,0)+C184*Scoring!$B$10*0.07+(C184-D184)*Scoring!$B$5</x:f>
        <x:v>9.969999999999999</x:v>
      </x:c>
      <x:c r="R183" s="9"/>
      <x:c r="S183" s="9"/>
      <x:c r="T183" s="9"/>
      <x:c r="U183" s="9"/>
      <x:c r="V183" s="9"/>
      <x:c r="W183" s="9"/>
      <x:c r="X183" s="9"/>
      <x:c r="Y183" s="9"/>
      <x:c r="Z183" s="9"/>
    </x:row>
    <x:row r="184" ht="14.25" customHeight="1">
      <x:c r="B184" s="1" t="s">
        <x:v>488</x:v>
      </x:c>
      <x:c r="C184" s="1">
        <x:v>21.9</x:v>
      </x:c>
      <x:c r="D184" s="1">
        <x:v>13.8</x:v>
      </x:c>
      <x:c r="E184" s="1">
        <x:v>144.5</x:v>
      </x:c>
      <x:c r="F184" s="1">
        <x:v>1.1</x:v>
      </x:c>
      <x:c r="G184" s="1">
        <x:v>0.7</x:v>
      </x:c>
      <x:c r="H184" s="1">
        <x:v>1.3</x:v>
      </x:c>
      <x:c r="I184" s="1">
        <x:v>6.9</x:v>
      </x:c>
      <x:c r="J184" s="1">
        <x:v>0.1</x:v>
      </x:c>
      <x:c r="K184" s="1">
        <x:v>0.1</x:v>
      </x:c>
      <x:c r="L184" s="1">
        <x:v>9.6</x:v>
      </x:c>
      <x:c r="M184" s="18">
        <x:f t="shared" si="1"/>
        <x:v>6.879571168</x:v>
      </x:c>
      <x:c r="N184" s="18">
        <x:f t="shared" si="2"/>
        <x:v>0.5220566038</x:v>
      </x:c>
      <x:c r="O184" s="25"/>
      <x:c r="P184" s="25"/>
      <x:c r="Q184" s="25"/>
      <x:c r="R184" s="9"/>
      <x:c r="S184" s="9"/>
      <x:c r="T184" s="9"/>
      <x:c r="U184" s="9"/>
      <x:c r="V184" s="9"/>
      <x:c r="W184" s="9"/>
      <x:c r="X184" s="9"/>
      <x:c r="Y184" s="9"/>
      <x:c r="Z184" s="9"/>
    </x:row>
    <x:row r="185" ht="14.25" customHeight="1">
      <x:c r="B185" s="1" t="s">
        <x:v>489</x:v>
      </x:c>
      <x:c r="C185" s="1">
        <x:v>21.9</x:v>
      </x:c>
      <x:c r="D185" s="1">
        <x:v>13.8</x:v>
      </x:c>
      <x:c r="E185" s="1">
        <x:v>144.5</x:v>
      </x:c>
      <x:c r="F185" s="1">
        <x:v>1.1</x:v>
      </x:c>
      <x:c r="G185" s="1">
        <x:v>0.7</x:v>
      </x:c>
      <x:c r="H185" s="1">
        <x:v>1.3</x:v>
      </x:c>
      <x:c r="I185" s="1">
        <x:v>6.9</x:v>
      </x:c>
      <x:c r="J185" s="1">
        <x:v>0.1</x:v>
      </x:c>
      <x:c r="K185" s="1">
        <x:v>0.1</x:v>
      </x:c>
      <x:c r="L185" s="1">
        <x:v>9.6</x:v>
      </x:c>
      <x:c r="M185" s="18">
        <x:f t="shared" si="1"/>
        <x:v>6.879571168</x:v>
      </x:c>
      <x:c r="N185" s="18">
        <x:f t="shared" si="2"/>
        <x:v>0.5220566038</x:v>
      </x:c>
      <x:c r="O185" s="25"/>
      <x:c r="P185" s="25"/>
      <x:c r="Q185" s="25"/>
      <x:c r="R185" s="9"/>
      <x:c r="S185" s="9"/>
      <x:c r="T185" s="9"/>
      <x:c r="U185" s="9"/>
      <x:c r="V185" s="9"/>
      <x:c r="W185" s="9"/>
      <x:c r="X185" s="9"/>
      <x:c r="Y185" s="9"/>
      <x:c r="Z185" s="9"/>
    </x:row>
    <x:row r="186" ht="14.25" customHeight="1">
      <x:c r="A186" s="1" t="s">
        <x:v>581</x:v>
      </x:c>
      <x:c r="B186" s="1" t="s">
        <x:v>533</x:v>
      </x:c>
      <x:c r="C186" s="1">
        <x:v>20.6</x:v>
      </x:c>
      <x:c r="D186" s="1">
        <x:v>13.0</x:v>
      </x:c>
      <x:c r="E186" s="1">
        <x:v>146.7</x:v>
      </x:c>
      <x:c r="F186" s="1">
        <x:v>0.9</x:v>
      </x:c>
      <x:c r="G186" s="1">
        <x:v>0.8</x:v>
      </x:c>
      <x:c r="H186" s="1">
        <x:v>3.1</x:v>
      </x:c>
      <x:c r="I186" s="1">
        <x:v>13.1</x:v>
      </x:c>
      <x:c r="J186" s="1">
        <x:v>0.0</x:v>
      </x:c>
      <x:c r="K186" s="1">
        <x:v>0.1</x:v>
      </x:c>
      <x:c r="L186" s="1">
        <x:v>10.0</x:v>
      </x:c>
      <x:c r="M186" s="18">
        <x:f t="shared" si="1"/>
        <x:v>6.984312044</x:v>
      </x:c>
      <x:c r="N186" s="18">
        <x:f t="shared" si="2"/>
        <x:v>0.9911509434</x:v>
      </x:c>
      <x:c r="O186" s="25" t="n">
        <x:f>MAX(QB!D188*Scoring!$B$30+QB!E188/Scoring!$C$30+QB!F188*Scoring!$D$30+QB!G188*Scoring!$E$30+QB!H188*Scoring!$F$30+QB!I188/Scoring!$G$30+QB!J188*Scoring!$H$30+QB!K188*Scoring!$I$30+M188*Scoring!$J$30+QB!N188*Scoring!$K$30,0)+C188*Scoring!$B$10*0.07+(C188-D188)*Scoring!$B$5</x:f>
        <x:v>6.892</x:v>
      </x:c>
      <x:c r="P186" s="25" t="n">
        <x:f>MAX(QB!D186*Scoring!$B$30+QB!E186/Scoring!$C$30+QB!F186*Scoring!$D$30+QB!G186*Scoring!$E$30+QB!H186*Scoring!$F$30+QB!I186/Scoring!$G$30+QB!J186*Scoring!$H$30+QB!K186*Scoring!$I$30+M186*Scoring!$J$30+QB!N186*Scoring!$K$30,0)+C186*Scoring!$B$10*0.07+(C186-D186)*Scoring!$B$5</x:f>
        <x:v>9.078000000000001</x:v>
      </x:c>
      <x:c r="Q186" s="25" t="n">
        <x:f>MAX(QB!D187*Scoring!$B$30+QB!E187/Scoring!$C$30+QB!F187*Scoring!$D$30+QB!G187*Scoring!$E$30+QB!H187*Scoring!$F$30+QB!I187/Scoring!$G$30+QB!J187*Scoring!$H$30+QB!K187*Scoring!$I$30+M187*Scoring!$J$30+QB!N187*Scoring!$K$30,0)+C187*Scoring!$B$10*0.07+(C187-D187)*Scoring!$B$5</x:f>
        <x:v>11.86</x:v>
      </x:c>
      <x:c r="R186" s="9"/>
      <x:c r="S186" s="9"/>
      <x:c r="T186" s="9"/>
      <x:c r="U186" s="9"/>
      <x:c r="V186" s="9"/>
      <x:c r="W186" s="9"/>
      <x:c r="X186" s="9"/>
      <x:c r="Y186" s="9"/>
      <x:c r="Z186" s="9"/>
    </x:row>
    <x:row r="187" ht="14.25" customHeight="1">
      <x:c r="B187" s="1" t="s">
        <x:v>488</x:v>
      </x:c>
      <x:c r="C187" s="1">
        <x:v>21.2</x:v>
      </x:c>
      <x:c r="D187" s="1">
        <x:v>13.0</x:v>
      </x:c>
      <x:c r="E187" s="1">
        <x:v>159.0</x:v>
      </x:c>
      <x:c r="F187" s="1">
        <x:v>1.0</x:v>
      </x:c>
      <x:c r="G187" s="1">
        <x:v>0.6</x:v>
      </x:c>
      <x:c r="H187" s="1">
        <x:v>5.0</x:v>
      </x:c>
      <x:c r="I187" s="1">
        <x:v>21.0</x:v>
      </x:c>
      <x:c r="J187" s="1">
        <x:v>0.1</x:v>
      </x:c>
      <x:c r="K187" s="1">
        <x:v>0.0</x:v>
      </x:c>
      <x:c r="L187" s="1">
        <x:v>8.0</x:v>
      </x:c>
      <x:c r="M187" s="18">
        <x:f t="shared" si="1"/>
        <x:v>7.569908759</x:v>
      </x:c>
      <x:c r="N187" s="18">
        <x:f t="shared" si="2"/>
        <x:v>1.588867925</x:v>
      </x:c>
      <x:c r="O187" s="25"/>
      <x:c r="P187" s="25"/>
      <x:c r="Q187" s="25"/>
      <x:c r="R187" s="9"/>
      <x:c r="S187" s="9"/>
      <x:c r="T187" s="9"/>
      <x:c r="U187" s="9"/>
      <x:c r="V187" s="9"/>
      <x:c r="W187" s="9"/>
      <x:c r="X187" s="9"/>
      <x:c r="Y187" s="9"/>
      <x:c r="Z187" s="9"/>
    </x:row>
    <x:row r="188" ht="14.25" customHeight="1">
      <x:c r="B188" s="1" t="s">
        <x:v>489</x:v>
      </x:c>
      <x:c r="C188" s="1">
        <x:v>20.0</x:v>
      </x:c>
      <x:c r="D188" s="1">
        <x:v>12.9</x:v>
      </x:c>
      <x:c r="E188" s="1">
        <x:v>134.3</x:v>
      </x:c>
      <x:c r="F188" s="1">
        <x:v>0.8</x:v>
      </x:c>
      <x:c r="G188" s="1">
        <x:v>1.0</x:v>
      </x:c>
      <x:c r="H188" s="1">
        <x:v>1.2</x:v>
      </x:c>
      <x:c r="I188" s="1">
        <x:v>5.2</x:v>
      </x:c>
      <x:c r="J188" s="1">
        <x:v>0.0</x:v>
      </x:c>
      <x:c r="K188" s="1">
        <x:v>0.2</x:v>
      </x:c>
      <x:c r="L188" s="1">
        <x:v>7.0</x:v>
      </x:c>
      <x:c r="M188" s="18">
        <x:f t="shared" si="1"/>
        <x:v>6.39395438</x:v>
      </x:c>
      <x:c r="N188" s="18">
        <x:f t="shared" si="2"/>
        <x:v>0.3934339623</x:v>
      </x:c>
      <x:c r="O188" s="25"/>
      <x:c r="P188" s="25"/>
      <x:c r="Q188" s="25"/>
      <x:c r="R188" s="9"/>
      <x:c r="S188" s="9"/>
      <x:c r="T188" s="9"/>
      <x:c r="U188" s="9"/>
      <x:c r="V188" s="9"/>
      <x:c r="W188" s="9"/>
      <x:c r="X188" s="9"/>
      <x:c r="Y188" s="9"/>
      <x:c r="Z188" s="9"/>
    </x:row>
    <x:row r="189" ht="14.25" customHeight="1">
      <x:c r="A189" s="1" t="s">
        <x:v>582</x:v>
      </x:c>
      <x:c r="B189" s="1" t="s">
        <x:v>497</x:v>
      </x:c>
      <x:c r="C189" s="1">
        <x:v>19.0</x:v>
      </x:c>
      <x:c r="D189" s="1">
        <x:v>13.0</x:v>
      </x:c>
      <x:c r="E189" s="1">
        <x:v>140.0</x:v>
      </x:c>
      <x:c r="F189" s="1">
        <x:v>1.0</x:v>
      </x:c>
      <x:c r="G189" s="1">
        <x:v>0.0</x:v>
      </x:c>
      <x:c r="H189" s="1">
        <x:v>5.0</x:v>
      </x:c>
      <x:c r="I189" s="1">
        <x:v>23.0</x:v>
      </x:c>
      <x:c r="J189" s="1">
        <x:v>0.0</x:v>
      </x:c>
      <x:c r="K189" s="1">
        <x:v>1.0</x:v>
      </x:c>
      <x:c r="L189" s="1">
        <x:v>9.9</x:v>
      </x:c>
      <x:c r="M189" s="18">
        <x:f t="shared" si="1"/>
        <x:v>6.665328467</x:v>
      </x:c>
      <x:c r="N189" s="18">
        <x:f t="shared" si="2"/>
        <x:v>1.740188679</x:v>
      </x:c>
      <x:c r="O189" s="25" t="n">
        <x:f>MAX(QB!D191*Scoring!$B$30+QB!E191/Scoring!$C$30+QB!F191*Scoring!$D$30+QB!G191*Scoring!$E$30+QB!H191*Scoring!$F$30+QB!I191/Scoring!$G$30+QB!J191*Scoring!$H$30+QB!K191*Scoring!$I$30+M191*Scoring!$J$30+QB!N191*Scoring!$K$30,0)+C191*Scoring!$B$10*0.07+(C191-D191)*Scoring!$B$5</x:f>
        <x:v>10.899999999999999</x:v>
      </x:c>
      <x:c r="P189" s="25" t="n">
        <x:f>MAX(QB!D189*Scoring!$B$30+QB!E189/Scoring!$C$30+QB!F189*Scoring!$D$30+QB!G189*Scoring!$E$30+QB!H189*Scoring!$F$30+QB!I189/Scoring!$G$30+QB!J189*Scoring!$H$30+QB!K189*Scoring!$I$30+M189*Scoring!$J$30+QB!N189*Scoring!$K$30,0)+C189*Scoring!$B$10*0.07+(C189-D189)*Scoring!$B$5</x:f>
        <x:v>10.899999999999999</x:v>
      </x:c>
      <x:c r="Q189" s="25" t="n">
        <x:f>MAX(QB!D190*Scoring!$B$30+QB!E190/Scoring!$C$30+QB!F190*Scoring!$D$30+QB!G190*Scoring!$E$30+QB!H190*Scoring!$F$30+QB!I190/Scoring!$G$30+QB!J190*Scoring!$H$30+QB!K190*Scoring!$I$30+M190*Scoring!$J$30+QB!N190*Scoring!$K$30,0)+C190*Scoring!$B$10*0.07+(C190-D190)*Scoring!$B$5</x:f>
        <x:v>10.899999999999999</x:v>
      </x:c>
      <x:c r="R189" s="9"/>
      <x:c r="S189" s="9"/>
      <x:c r="T189" s="9"/>
      <x:c r="U189" s="9"/>
      <x:c r="V189" s="9"/>
      <x:c r="W189" s="9"/>
      <x:c r="X189" s="9"/>
      <x:c r="Y189" s="9"/>
      <x:c r="Z189" s="9"/>
    </x:row>
    <x:row r="190" ht="14.25" customHeight="1">
      <x:c r="B190" s="1" t="s">
        <x:v>488</x:v>
      </x:c>
      <x:c r="C190" s="1">
        <x:v>19.0</x:v>
      </x:c>
      <x:c r="D190" s="1">
        <x:v>13.0</x:v>
      </x:c>
      <x:c r="E190" s="1">
        <x:v>140.0</x:v>
      </x:c>
      <x:c r="F190" s="1">
        <x:v>1.0</x:v>
      </x:c>
      <x:c r="G190" s="1">
        <x:v>0.0</x:v>
      </x:c>
      <x:c r="H190" s="1">
        <x:v>5.0</x:v>
      </x:c>
      <x:c r="I190" s="1">
        <x:v>23.0</x:v>
      </x:c>
      <x:c r="J190" s="1">
        <x:v>0.0</x:v>
      </x:c>
      <x:c r="K190" s="1">
        <x:v>1.0</x:v>
      </x:c>
      <x:c r="L190" s="1">
        <x:v>7.0</x:v>
      </x:c>
      <x:c r="M190" s="18">
        <x:f t="shared" si="1"/>
        <x:v>6.665328467</x:v>
      </x:c>
      <x:c r="N190" s="18">
        <x:f t="shared" si="2"/>
        <x:v>1.740188679</x:v>
      </x:c>
      <x:c r="O190" s="25"/>
      <x:c r="P190" s="25"/>
      <x:c r="Q190" s="25"/>
      <x:c r="R190" s="9"/>
      <x:c r="S190" s="9"/>
      <x:c r="T190" s="9"/>
      <x:c r="U190" s="9"/>
      <x:c r="V190" s="9"/>
      <x:c r="W190" s="9"/>
      <x:c r="X190" s="9"/>
      <x:c r="Y190" s="9"/>
      <x:c r="Z190" s="9"/>
    </x:row>
    <x:row r="191" ht="14.25" customHeight="1">
      <x:c r="B191" s="1" t="s">
        <x:v>489</x:v>
      </x:c>
      <x:c r="C191" s="1">
        <x:v>19.0</x:v>
      </x:c>
      <x:c r="D191" s="1">
        <x:v>13.0</x:v>
      </x:c>
      <x:c r="E191" s="1">
        <x:v>140.0</x:v>
      </x:c>
      <x:c r="F191" s="1">
        <x:v>1.0</x:v>
      </x:c>
      <x:c r="G191" s="1">
        <x:v>0.0</x:v>
      </x:c>
      <x:c r="H191" s="1">
        <x:v>5.0</x:v>
      </x:c>
      <x:c r="I191" s="1">
        <x:v>23.0</x:v>
      </x:c>
      <x:c r="J191" s="1">
        <x:v>0.0</x:v>
      </x:c>
      <x:c r="K191" s="1">
        <x:v>1.0</x:v>
      </x:c>
      <x:c r="L191" s="1">
        <x:v>7.0</x:v>
      </x:c>
      <x:c r="M191" s="18">
        <x:f t="shared" si="1"/>
        <x:v>6.665328467</x:v>
      </x:c>
      <x:c r="N191" s="18">
        <x:f t="shared" si="2"/>
        <x:v>1.740188679</x:v>
      </x:c>
      <x:c r="O191" s="25"/>
      <x:c r="P191" s="25"/>
      <x:c r="Q191" s="25"/>
      <x:c r="R191" s="9"/>
      <x:c r="S191" s="9"/>
      <x:c r="T191" s="9"/>
      <x:c r="U191" s="9"/>
      <x:c r="V191" s="9"/>
      <x:c r="W191" s="9"/>
      <x:c r="X191" s="9"/>
      <x:c r="Y191" s="9"/>
      <x:c r="Z191" s="9"/>
    </x:row>
    <x:row r="192" ht="14.25" customHeight="1">
      <x:c r="A192" s="1" t="s">
        <x:v>583</x:v>
      </x:c>
      <x:c r="B192" s="1" t="s">
        <x:v>505</x:v>
      </x:c>
      <x:c r="C192" s="1">
        <x:v>19.3</x:v>
      </x:c>
      <x:c r="D192" s="1">
        <x:v>13.2</x:v>
      </x:c>
      <x:c r="E192" s="1">
        <x:v>140.7</x:v>
      </x:c>
      <x:c r="F192" s="1">
        <x:v>1.1</x:v>
      </x:c>
      <x:c r="G192" s="1">
        <x:v>0.4</x:v>
      </x:c>
      <x:c r="H192" s="1">
        <x:v>3.1</x:v>
      </x:c>
      <x:c r="I192" s="1">
        <x:v>3.7</x:v>
      </x:c>
      <x:c r="J192" s="1">
        <x:v>0.0</x:v>
      </x:c>
      <x:c r="K192" s="1">
        <x:v>0.1</x:v>
      </x:c>
      <x:c r="L192" s="1">
        <x:v>9.8</x:v>
      </x:c>
      <x:c r="M192" s="18">
        <x:f t="shared" si="1"/>
        <x:v>6.698655109</x:v>
      </x:c>
      <x:c r="N192" s="18">
        <x:f t="shared" si="2"/>
        <x:v>0.2799433962</x:v>
      </x:c>
      <x:c r="O192" s="25" t="n">
        <x:f>MAX(QB!D194*Scoring!$B$30+QB!E194/Scoring!$C$30+QB!F194*Scoring!$D$30+QB!G194*Scoring!$E$30+QB!H194*Scoring!$F$30+QB!I194/Scoring!$G$30+QB!J194*Scoring!$H$30+QB!K194*Scoring!$I$30+M194*Scoring!$J$30+QB!N194*Scoring!$K$30,0)+C194*Scoring!$B$10*0.07+(C194-D194)*Scoring!$B$5</x:f>
        <x:v>6.42</x:v>
      </x:c>
      <x:c r="P192" s="25" t="n">
        <x:f>MAX(QB!D192*Scoring!$B$30+QB!E192/Scoring!$C$30+QB!F192*Scoring!$D$30+QB!G192*Scoring!$E$30+QB!H192*Scoring!$F$30+QB!I192/Scoring!$G$30+QB!J192*Scoring!$H$30+QB!K192*Scoring!$I$30+M192*Scoring!$J$30+QB!N192*Scoring!$K$30,0)+C192*Scoring!$B$10*0.07+(C192-D192)*Scoring!$B$5</x:f>
        <x:v>9.497999999999998</x:v>
      </x:c>
      <x:c r="Q192" s="25" t="n">
        <x:f>MAX(QB!D193*Scoring!$B$30+QB!E193/Scoring!$C$30+QB!F193*Scoring!$D$30+QB!G193*Scoring!$E$30+QB!H193*Scoring!$F$30+QB!I193/Scoring!$G$30+QB!J193*Scoring!$H$30+QB!K193*Scoring!$I$30+M193*Scoring!$J$30+QB!N193*Scoring!$K$30,0)+C193*Scoring!$B$10*0.07+(C193-D193)*Scoring!$B$5</x:f>
        <x:v>11.98</x:v>
      </x:c>
      <x:c r="R192" s="9"/>
      <x:c r="S192" s="9"/>
      <x:c r="T192" s="9"/>
      <x:c r="U192" s="9"/>
      <x:c r="V192" s="9"/>
      <x:c r="W192" s="9"/>
      <x:c r="X192" s="9"/>
      <x:c r="Y192" s="9"/>
      <x:c r="Z192" s="9"/>
    </x:row>
    <x:row r="193" ht="14.25" customHeight="1">
      <x:c r="B193" s="1" t="s">
        <x:v>488</x:v>
      </x:c>
      <x:c r="C193" s="1">
        <x:v>23.7</x:v>
      </x:c>
      <x:c r="D193" s="1">
        <x:v>15.4</x:v>
      </x:c>
      <x:c r="E193" s="1">
        <x:v>179.5</x:v>
      </x:c>
      <x:c r="F193" s="1">
        <x:v>1.1</x:v>
      </x:c>
      <x:c r="G193" s="1">
        <x:v>0.0</x:v>
      </x:c>
      <x:c r="H193" s="1">
        <x:v>5.0</x:v>
      </x:c>
      <x:c r="I193" s="1">
        <x:v>4.0</x:v>
      </x:c>
      <x:c r="J193" s="1">
        <x:v>0.0</x:v>
      </x:c>
      <x:c r="K193" s="1">
        <x:v>0.0</x:v>
      </x:c>
      <x:c r="L193" s="1">
        <x:v>10.3</x:v>
      </x:c>
      <x:c r="M193" s="18">
        <x:f t="shared" si="1"/>
        <x:v>8.545903285</x:v>
      </x:c>
      <x:c r="N193" s="18">
        <x:f t="shared" si="2"/>
        <x:v>0.3026415094</x:v>
      </x:c>
      <x:c r="O193" s="25"/>
      <x:c r="P193" s="25"/>
      <x:c r="Q193" s="25"/>
      <x:c r="R193" s="9"/>
      <x:c r="S193" s="9"/>
      <x:c r="T193" s="9"/>
      <x:c r="U193" s="9"/>
      <x:c r="V193" s="9"/>
      <x:c r="W193" s="9"/>
      <x:c r="X193" s="9"/>
      <x:c r="Y193" s="9"/>
      <x:c r="Z193" s="9"/>
    </x:row>
    <x:row r="194" ht="14.25" customHeight="1">
      <x:c r="B194" s="1" t="s">
        <x:v>489</x:v>
      </x:c>
      <x:c r="C194" s="1">
        <x:v>15.0</x:v>
      </x:c>
      <x:c r="D194" s="1">
        <x:v>11.0</x:v>
      </x:c>
      <x:c r="E194" s="1">
        <x:v>102.0</x:v>
      </x:c>
      <x:c r="F194" s="1">
        <x:v>1.0</x:v>
      </x:c>
      <x:c r="G194" s="1">
        <x:v>0.9</x:v>
      </x:c>
      <x:c r="H194" s="1">
        <x:v>1.1</x:v>
      </x:c>
      <x:c r="I194" s="1">
        <x:v>3.4</x:v>
      </x:c>
      <x:c r="J194" s="1">
        <x:v>0.0</x:v>
      </x:c>
      <x:c r="K194" s="1">
        <x:v>0.2</x:v>
      </x:c>
      <x:c r="L194" s="1">
        <x:v>8.0</x:v>
      </x:c>
      <x:c r="M194" s="18">
        <x:f t="shared" si="1"/>
        <x:v>4.856167883</x:v>
      </x:c>
      <x:c r="N194" s="18">
        <x:f t="shared" si="2"/>
        <x:v>0.257245283</x:v>
      </x:c>
      <x:c r="O194" s="25"/>
      <x:c r="P194" s="25"/>
      <x:c r="Q194" s="25"/>
      <x:c r="R194" s="9"/>
      <x:c r="S194" s="9"/>
      <x:c r="T194" s="9"/>
      <x:c r="U194" s="9"/>
      <x:c r="V194" s="9"/>
      <x:c r="W194" s="9"/>
      <x:c r="X194" s="9"/>
      <x:c r="Y194" s="9"/>
      <x:c r="Z194" s="9"/>
    </x:row>
    <x:row r="195" ht="14.25" customHeight="1">
      <x:c r="A195" s="1" t="s">
        <x:v>584</x:v>
      </x:c>
      <x:c r="B195" s="1" t="s">
        <x:v>509</x:v>
      </x:c>
      <x:c r="C195" s="1">
        <x:v>23.0</x:v>
      </x:c>
      <x:c r="D195" s="1">
        <x:v>14.0</x:v>
      </x:c>
      <x:c r="E195" s="1">
        <x:v>148.0</x:v>
      </x:c>
      <x:c r="F195" s="1">
        <x:v>1.0</x:v>
      </x:c>
      <x:c r="G195" s="1">
        <x:v>0.0</x:v>
      </x:c>
      <x:c r="H195" s="1">
        <x:v>4.0</x:v>
      </x:c>
      <x:c r="I195" s="1">
        <x:v>18.0</x:v>
      </x:c>
      <x:c r="J195" s="1">
        <x:v>0.0</x:v>
      </x:c>
      <x:c r="K195" s="1">
        <x:v>1.0</x:v>
      </x:c>
      <x:c r="L195" s="1">
        <x:v>9.7</x:v>
      </x:c>
      <x:c r="M195" s="18">
        <x:f t="shared" si="1"/>
        <x:v>7.04620438</x:v>
      </x:c>
      <x:c r="N195" s="18">
        <x:f t="shared" si="2"/>
        <x:v>1.361886792</x:v>
      </x:c>
      <x:c r="O195" s="25" t="n">
        <x:f>MAX(QB!D197*Scoring!$B$30+QB!E197/Scoring!$C$30+QB!F197*Scoring!$D$30+QB!G197*Scoring!$E$30+QB!H197*Scoring!$F$30+QB!I197/Scoring!$G$30+QB!J197*Scoring!$H$30+QB!K197*Scoring!$I$30+M197*Scoring!$J$30+QB!N197*Scoring!$K$30,0)+C197*Scoring!$B$10*0.07+(C197-D197)*Scoring!$B$5</x:f>
        <x:v>10.72</x:v>
      </x:c>
      <x:c r="P195" s="25" t="n">
        <x:f>MAX(QB!D195*Scoring!$B$30+QB!E195/Scoring!$C$30+QB!F195*Scoring!$D$30+QB!G195*Scoring!$E$30+QB!H195*Scoring!$F$30+QB!I195/Scoring!$G$30+QB!J195*Scoring!$H$30+QB!K195*Scoring!$I$30+M195*Scoring!$J$30+QB!N195*Scoring!$K$30,0)+C195*Scoring!$B$10*0.07+(C195-D195)*Scoring!$B$5</x:f>
        <x:v>10.72</x:v>
      </x:c>
      <x:c r="Q195" s="25" t="n">
        <x:f>MAX(QB!D196*Scoring!$B$30+QB!E196/Scoring!$C$30+QB!F196*Scoring!$D$30+QB!G196*Scoring!$E$30+QB!H196*Scoring!$F$30+QB!I196/Scoring!$G$30+QB!J196*Scoring!$H$30+QB!K196*Scoring!$I$30+M196*Scoring!$J$30+QB!N196*Scoring!$K$30,0)+C196*Scoring!$B$10*0.07+(C196-D196)*Scoring!$B$5</x:f>
        <x:v>10.72</x:v>
      </x:c>
      <x:c r="R195" s="9"/>
      <x:c r="S195" s="9"/>
      <x:c r="T195" s="9"/>
      <x:c r="U195" s="9"/>
      <x:c r="V195" s="9"/>
      <x:c r="W195" s="9"/>
      <x:c r="X195" s="9"/>
      <x:c r="Y195" s="9"/>
      <x:c r="Z195" s="9"/>
    </x:row>
    <x:row r="196" ht="14.25" customHeight="1">
      <x:c r="B196" s="1" t="s">
        <x:v>488</x:v>
      </x:c>
      <x:c r="C196" s="1">
        <x:v>23.0</x:v>
      </x:c>
      <x:c r="D196" s="1">
        <x:v>14.0</x:v>
      </x:c>
      <x:c r="E196" s="1">
        <x:v>148.0</x:v>
      </x:c>
      <x:c r="F196" s="1">
        <x:v>1.0</x:v>
      </x:c>
      <x:c r="G196" s="1">
        <x:v>0.0</x:v>
      </x:c>
      <x:c r="H196" s="1">
        <x:v>4.0</x:v>
      </x:c>
      <x:c r="I196" s="1">
        <x:v>18.0</x:v>
      </x:c>
      <x:c r="J196" s="1">
        <x:v>0.0</x:v>
      </x:c>
      <x:c r="K196" s="1">
        <x:v>1.0</x:v>
      </x:c>
      <x:c r="L196" s="1">
        <x:v>7.0</x:v>
      </x:c>
      <x:c r="M196" s="18">
        <x:f t="shared" si="1"/>
        <x:v>7.04620438</x:v>
      </x:c>
      <x:c r="N196" s="18">
        <x:f t="shared" si="2"/>
        <x:v>1.361886792</x:v>
      </x:c>
      <x:c r="O196" s="25"/>
      <x:c r="P196" s="25"/>
      <x:c r="Q196" s="25"/>
      <x:c r="R196" s="9"/>
      <x:c r="S196" s="9"/>
      <x:c r="T196" s="9"/>
      <x:c r="U196" s="9"/>
      <x:c r="V196" s="9"/>
      <x:c r="W196" s="9"/>
      <x:c r="X196" s="9"/>
      <x:c r="Y196" s="9"/>
      <x:c r="Z196" s="9"/>
    </x:row>
    <x:row r="197" ht="14.25" customHeight="1">
      <x:c r="B197" s="1" t="s">
        <x:v>489</x:v>
      </x:c>
      <x:c r="C197" s="1">
        <x:v>23.0</x:v>
      </x:c>
      <x:c r="D197" s="1">
        <x:v>14.0</x:v>
      </x:c>
      <x:c r="E197" s="1">
        <x:v>148.0</x:v>
      </x:c>
      <x:c r="F197" s="1">
        <x:v>1.0</x:v>
      </x:c>
      <x:c r="G197" s="1">
        <x:v>0.0</x:v>
      </x:c>
      <x:c r="H197" s="1">
        <x:v>4.0</x:v>
      </x:c>
      <x:c r="I197" s="1">
        <x:v>18.0</x:v>
      </x:c>
      <x:c r="J197" s="1">
        <x:v>0.0</x:v>
      </x:c>
      <x:c r="K197" s="1">
        <x:v>1.0</x:v>
      </x:c>
      <x:c r="L197" s="1">
        <x:v>7.0</x:v>
      </x:c>
      <x:c r="M197" s="18">
        <x:f t="shared" si="1"/>
        <x:v>7.04620438</x:v>
      </x:c>
      <x:c r="N197" s="18">
        <x:f t="shared" si="2"/>
        <x:v>1.361886792</x:v>
      </x:c>
      <x:c r="O197" s="25"/>
      <x:c r="P197" s="25"/>
      <x:c r="Q197" s="25"/>
      <x:c r="R197" s="9"/>
      <x:c r="S197" s="9"/>
      <x:c r="T197" s="9"/>
      <x:c r="U197" s="9"/>
      <x:c r="V197" s="9"/>
      <x:c r="W197" s="9"/>
      <x:c r="X197" s="9"/>
      <x:c r="Y197" s="9"/>
      <x:c r="Z197" s="9"/>
    </x:row>
    <x:row r="198" ht="14.25" customHeight="1">
      <x:c r="A198" s="1" t="s">
        <x:v>585</x:v>
      </x:c>
      <x:c r="B198" s="1" t="s">
        <x:v>543</x:v>
      </x:c>
      <x:c r="C198" s="1">
        <x:v>22.9</x:v>
      </x:c>
      <x:c r="D198" s="1">
        <x:v>14.3</x:v>
      </x:c>
      <x:c r="E198" s="1">
        <x:v>147.8</x:v>
      </x:c>
      <x:c r="F198" s="1">
        <x:v>0.8</x:v>
      </x:c>
      <x:c r="G198" s="1">
        <x:v>0.3</x:v>
      </x:c>
      <x:c r="H198" s="1">
        <x:v>2.4</x:v>
      </x:c>
      <x:c r="I198" s="1">
        <x:v>9.3</x:v>
      </x:c>
      <x:c r="J198" s="1">
        <x:v>0.0</x:v>
      </x:c>
      <x:c r="K198" s="1">
        <x:v>0.1</x:v>
      </x:c>
      <x:c r="L198" s="1">
        <x:v>9.7</x:v>
      </x:c>
      <x:c r="M198" s="18">
        <x:f t="shared" si="1"/>
        <x:v>7.036682482</x:v>
      </x:c>
      <x:c r="N198" s="18">
        <x:f t="shared" si="2"/>
        <x:v>0.7036415094</x:v>
      </x:c>
      <x:c r="O198" s="25" t="n">
        <x:f>MAX(QB!D200*Scoring!$B$30+QB!E200/Scoring!$C$30+QB!F200*Scoring!$D$30+QB!G200*Scoring!$E$30+QB!H200*Scoring!$F$30+QB!I200/Scoring!$G$30+QB!J200*Scoring!$H$30+QB!K200*Scoring!$I$30+M200*Scoring!$J$30+QB!N200*Scoring!$K$30,0)+C200*Scoring!$B$10*0.07+(C200-D200)*Scoring!$B$5</x:f>
        <x:v>6.9239999999999995</x:v>
      </x:c>
      <x:c r="P198" s="25" t="n">
        <x:f>MAX(QB!D198*Scoring!$B$30+QB!E198/Scoring!$C$30+QB!F198*Scoring!$D$30+QB!G198*Scoring!$E$30+QB!H198*Scoring!$F$30+QB!I198/Scoring!$G$30+QB!J198*Scoring!$H$30+QB!K198*Scoring!$I$30+M198*Scoring!$J$30+QB!N198*Scoring!$K$30,0)+C198*Scoring!$B$10*0.07+(C198-D198)*Scoring!$B$5</x:f>
        <x:v>9.342000000000002</x:v>
      </x:c>
      <x:c r="Q198" s="25" t="n">
        <x:f>MAX(QB!D199*Scoring!$B$30+QB!E199/Scoring!$C$30+QB!F199*Scoring!$D$30+QB!G199*Scoring!$E$30+QB!H199*Scoring!$F$30+QB!I199/Scoring!$G$30+QB!J199*Scoring!$H$30+QB!K199*Scoring!$I$30+M199*Scoring!$J$30+QB!N199*Scoring!$K$30,0)+C199*Scoring!$B$10*0.07+(C199-D199)*Scoring!$B$5</x:f>
        <x:v>11.76</x:v>
      </x:c>
      <x:c r="R198" s="9"/>
      <x:c r="S198" s="9"/>
      <x:c r="T198" s="9"/>
      <x:c r="U198" s="9"/>
      <x:c r="V198" s="9"/>
      <x:c r="W198" s="9"/>
      <x:c r="X198" s="9"/>
      <x:c r="Y198" s="9"/>
      <x:c r="Z198" s="9"/>
    </x:row>
    <x:row r="199" ht="14.25" customHeight="1">
      <x:c r="B199" s="1" t="s">
        <x:v>488</x:v>
      </x:c>
      <x:c r="C199" s="1">
        <x:v>24.0</x:v>
      </x:c>
      <x:c r="D199" s="1">
        <x:v>15.0</x:v>
      </x:c>
      <x:c r="E199" s="1">
        <x:v>154.0</x:v>
      </x:c>
      <x:c r="F199" s="1">
        <x:v>1.0</x:v>
      </x:c>
      <x:c r="G199" s="1">
        <x:v>0.0</x:v>
      </x:c>
      <x:c r="H199" s="1">
        <x:v>4.0</x:v>
      </x:c>
      <x:c r="I199" s="1">
        <x:v>16.0</x:v>
      </x:c>
      <x:c r="J199" s="1">
        <x:v>0.0</x:v>
      </x:c>
      <x:c r="K199" s="1">
        <x:v>0.0</x:v>
      </x:c>
      <x:c r="L199" s="1">
        <x:v>8.0</x:v>
      </x:c>
      <x:c r="M199" s="18">
        <x:f t="shared" si="1"/>
        <x:v>7.331861314</x:v>
      </x:c>
      <x:c r="N199" s="18">
        <x:f t="shared" si="2"/>
        <x:v>1.210566038</x:v>
      </x:c>
      <x:c r="O199" s="25"/>
      <x:c r="P199" s="25"/>
      <x:c r="Q199" s="25"/>
      <x:c r="R199" s="9"/>
      <x:c r="S199" s="9"/>
      <x:c r="T199" s="9"/>
      <x:c r="U199" s="9"/>
      <x:c r="V199" s="9"/>
      <x:c r="W199" s="9"/>
      <x:c r="X199" s="9"/>
      <x:c r="Y199" s="9"/>
      <x:c r="Z199" s="9"/>
    </x:row>
    <x:row r="200" ht="14.25" customHeight="1">
      <x:c r="B200" s="1" t="s">
        <x:v>489</x:v>
      </x:c>
      <x:c r="C200" s="1">
        <x:v>21.7</x:v>
      </x:c>
      <x:c r="D200" s="1">
        <x:v>13.6</x:v>
      </x:c>
      <x:c r="E200" s="1">
        <x:v>141.6</x:v>
      </x:c>
      <x:c r="F200" s="1">
        <x:v>0.6</x:v>
      </x:c>
      <x:c r="G200" s="1">
        <x:v>0.6</x:v>
      </x:c>
      <x:c r="H200" s="1">
        <x:v>0.9</x:v>
      </x:c>
      <x:c r="I200" s="1">
        <x:v>2.6</x:v>
      </x:c>
      <x:c r="J200" s="1">
        <x:v>0.0</x:v>
      </x:c>
      <x:c r="K200" s="1">
        <x:v>0.2</x:v>
      </x:c>
      <x:c r="L200" s="1">
        <x:v>7.2</x:v>
      </x:c>
      <x:c r="M200" s="18">
        <x:f t="shared" si="1"/>
        <x:v>6.74150365</x:v>
      </x:c>
      <x:c r="N200" s="18">
        <x:f t="shared" si="2"/>
        <x:v>0.1967169811</x:v>
      </x:c>
      <x:c r="O200" s="25"/>
      <x:c r="P200" s="25"/>
      <x:c r="Q200" s="25"/>
      <x:c r="R200" s="9"/>
      <x:c r="S200" s="9"/>
      <x:c r="T200" s="9"/>
      <x:c r="U200" s="9"/>
      <x:c r="V200" s="9"/>
      <x:c r="W200" s="9"/>
      <x:c r="X200" s="9"/>
      <x:c r="Y200" s="9"/>
      <x:c r="Z200" s="9"/>
    </x:row>
    <x:row r="201" ht="14.25" customHeight="1">
      <x:c r="A201" s="1" t="s">
        <x:v>586</x:v>
      </x:c>
      <x:c r="B201" s="1" t="s">
        <x:v>493</x:v>
      </x:c>
      <x:c r="C201" s="1">
        <x:v>15.0</x:v>
      </x:c>
      <x:c r="D201" s="1">
        <x:v>10.0</x:v>
      </x:c>
      <x:c r="E201" s="1">
        <x:v>118.0</x:v>
      </x:c>
      <x:c r="F201" s="1">
        <x:v>1.0</x:v>
      </x:c>
      <x:c r="G201" s="1">
        <x:v>0.0</x:v>
      </x:c>
      <x:c r="H201" s="1">
        <x:v>2.0</x:v>
      </x:c>
      <x:c r="I201" s="1">
        <x:v>9.0</x:v>
      </x:c>
      <x:c r="J201" s="1">
        <x:v>0.0</x:v>
      </x:c>
      <x:c r="K201" s="1">
        <x:v>0.0</x:v>
      </x:c>
      <x:c r="L201" s="1">
        <x:v>9.6</x:v>
      </x:c>
      <x:c r="M201" s="18">
        <x:f t="shared" si="1"/>
        <x:v>5.617919708</x:v>
      </x:c>
      <x:c r="N201" s="18">
        <x:f t="shared" si="2"/>
        <x:v>0.6809433962</x:v>
      </x:c>
      <x:c r="O201" s="25" t="n">
        <x:f>MAX(QB!D203*Scoring!$B$30+QB!E203/Scoring!$C$30+QB!F203*Scoring!$D$30+QB!G203*Scoring!$E$30+QB!H203*Scoring!$F$30+QB!I203/Scoring!$G$30+QB!J203*Scoring!$H$30+QB!K203*Scoring!$I$30+M203*Scoring!$J$30+QB!N203*Scoring!$K$30,0)+C203*Scoring!$B$10*0.07+(C203-D203)*Scoring!$B$5</x:f>
        <x:v>9.62</x:v>
      </x:c>
      <x:c r="P201" s="25" t="n">
        <x:f>MAX(QB!D201*Scoring!$B$30+QB!E201/Scoring!$C$30+QB!F201*Scoring!$D$30+QB!G201*Scoring!$E$30+QB!H201*Scoring!$F$30+QB!I201/Scoring!$G$30+QB!J201*Scoring!$H$30+QB!K201*Scoring!$I$30+M201*Scoring!$J$30+QB!N201*Scoring!$K$30,0)+C201*Scoring!$B$10*0.07+(C201-D201)*Scoring!$B$5</x:f>
        <x:v>9.62</x:v>
      </x:c>
      <x:c r="Q201" s="25" t="n">
        <x:f>MAX(QB!D202*Scoring!$B$30+QB!E202/Scoring!$C$30+QB!F202*Scoring!$D$30+QB!G202*Scoring!$E$30+QB!H202*Scoring!$F$30+QB!I202/Scoring!$G$30+QB!J202*Scoring!$H$30+QB!K202*Scoring!$I$30+M202*Scoring!$J$30+QB!N202*Scoring!$K$30,0)+C202*Scoring!$B$10*0.07+(C202-D202)*Scoring!$B$5</x:f>
        <x:v>9.62</x:v>
      </x:c>
      <x:c r="R201" s="9"/>
      <x:c r="S201" s="9"/>
      <x:c r="T201" s="9"/>
      <x:c r="U201" s="9"/>
      <x:c r="V201" s="9"/>
      <x:c r="W201" s="9"/>
      <x:c r="X201" s="9"/>
      <x:c r="Y201" s="9"/>
      <x:c r="Z201" s="9"/>
    </x:row>
    <x:row r="202" ht="14.25" customHeight="1">
      <x:c r="B202" s="1" t="s">
        <x:v>488</x:v>
      </x:c>
      <x:c r="C202" s="1">
        <x:v>15.0</x:v>
      </x:c>
      <x:c r="D202" s="1">
        <x:v>10.0</x:v>
      </x:c>
      <x:c r="E202" s="1">
        <x:v>118.0</x:v>
      </x:c>
      <x:c r="F202" s="1">
        <x:v>1.0</x:v>
      </x:c>
      <x:c r="G202" s="1">
        <x:v>0.0</x:v>
      </x:c>
      <x:c r="H202" s="1">
        <x:v>2.0</x:v>
      </x:c>
      <x:c r="I202" s="1">
        <x:v>9.0</x:v>
      </x:c>
      <x:c r="J202" s="1">
        <x:v>0.0</x:v>
      </x:c>
      <x:c r="K202" s="1">
        <x:v>0.0</x:v>
      </x:c>
      <x:c r="L202" s="1">
        <x:v>8.0</x:v>
      </x:c>
      <x:c r="M202" s="18">
        <x:f t="shared" si="1"/>
        <x:v>5.617919708</x:v>
      </x:c>
      <x:c r="N202" s="18">
        <x:f t="shared" si="2"/>
        <x:v>0.6809433962</x:v>
      </x:c>
      <x:c r="O202" s="25"/>
      <x:c r="P202" s="25"/>
      <x:c r="Q202" s="25"/>
      <x:c r="R202" s="9"/>
      <x:c r="S202" s="9"/>
      <x:c r="T202" s="9"/>
      <x:c r="U202" s="9"/>
      <x:c r="V202" s="9"/>
      <x:c r="W202" s="9"/>
      <x:c r="X202" s="9"/>
      <x:c r="Y202" s="9"/>
      <x:c r="Z202" s="9"/>
    </x:row>
    <x:row r="203" ht="14.25" customHeight="1">
      <x:c r="B203" s="1" t="s">
        <x:v>489</x:v>
      </x:c>
      <x:c r="C203" s="1">
        <x:v>15.0</x:v>
      </x:c>
      <x:c r="D203" s="1">
        <x:v>10.0</x:v>
      </x:c>
      <x:c r="E203" s="1">
        <x:v>118.0</x:v>
      </x:c>
      <x:c r="F203" s="1">
        <x:v>1.0</x:v>
      </x:c>
      <x:c r="G203" s="1">
        <x:v>0.0</x:v>
      </x:c>
      <x:c r="H203" s="1">
        <x:v>2.0</x:v>
      </x:c>
      <x:c r="I203" s="1">
        <x:v>9.0</x:v>
      </x:c>
      <x:c r="J203" s="1">
        <x:v>0.0</x:v>
      </x:c>
      <x:c r="K203" s="1">
        <x:v>0.0</x:v>
      </x:c>
      <x:c r="L203" s="1">
        <x:v>8.0</x:v>
      </x:c>
      <x:c r="M203" s="18">
        <x:f t="shared" si="1"/>
        <x:v>5.617919708</x:v>
      </x:c>
      <x:c r="N203" s="18">
        <x:f t="shared" si="2"/>
        <x:v>0.6809433962</x:v>
      </x:c>
      <x:c r="O203" s="25"/>
      <x:c r="P203" s="25"/>
      <x:c r="Q203" s="25"/>
      <x:c r="R203" s="9"/>
      <x:c r="S203" s="9"/>
      <x:c r="T203" s="9"/>
      <x:c r="U203" s="9"/>
      <x:c r="V203" s="9"/>
      <x:c r="W203" s="9"/>
      <x:c r="X203" s="9"/>
      <x:c r="Y203" s="9"/>
      <x:c r="Z203" s="9"/>
    </x:row>
    <x:row r="204" ht="14.25" customHeight="1">
      <x:c r="A204" s="1" t="s">
        <x:v>587</x:v>
      </x:c>
      <x:c r="B204" s="1" t="s">
        <x:v>539</x:v>
      </x:c>
      <x:c r="C204" s="1">
        <x:v>20.6</x:v>
      </x:c>
      <x:c r="D204" s="1">
        <x:v>13.0</x:v>
      </x:c>
      <x:c r="E204" s="1">
        <x:v>136.8</x:v>
      </x:c>
      <x:c r="F204" s="1">
        <x:v>0.9</x:v>
      </x:c>
      <x:c r="G204" s="1">
        <x:v>0.6</x:v>
      </x:c>
      <x:c r="H204" s="1">
        <x:v>1.8</x:v>
      </x:c>
      <x:c r="I204" s="1">
        <x:v>8.2</x:v>
      </x:c>
      <x:c r="J204" s="1">
        <x:v>0.0</x:v>
      </x:c>
      <x:c r="K204" s="1">
        <x:v>0.1</x:v>
      </x:c>
      <x:c r="L204" s="1">
        <x:v>9.4</x:v>
      </x:c>
      <x:c r="M204" s="18">
        <x:f t="shared" si="1"/>
        <x:v>6.512978102</x:v>
      </x:c>
      <x:c r="N204" s="18">
        <x:f t="shared" si="2"/>
        <x:v>0.6204150943</x:v>
      </x:c>
      <x:c r="O204" s="25" t="n">
        <x:f>MAX(QB!D206*Scoring!$B$30+QB!E206/Scoring!$C$30+QB!F206*Scoring!$D$30+QB!G206*Scoring!$E$30+QB!H206*Scoring!$F$30+QB!I206/Scoring!$G$30+QB!J206*Scoring!$H$30+QB!K206*Scoring!$I$30+M206*Scoring!$J$30+QB!N206*Scoring!$K$30,0)+C206*Scoring!$B$10*0.07+(C206-D206)*Scoring!$B$5</x:f>
        <x:v>5.2700000000000005</x:v>
      </x:c>
      <x:c r="P204" s="25" t="n">
        <x:f>MAX(QB!D204*Scoring!$B$30+QB!E204/Scoring!$C$30+QB!F204*Scoring!$D$30+QB!G204*Scoring!$E$30+QB!H204*Scoring!$F$30+QB!I204/Scoring!$G$30+QB!J204*Scoring!$H$30+QB!K204*Scoring!$I$30+M204*Scoring!$J$30+QB!N204*Scoring!$K$30,0)+C204*Scoring!$B$10*0.07+(C204-D204)*Scoring!$B$5</x:f>
        <x:v>8.592</x:v>
      </x:c>
      <x:c r="Q204" s="25" t="n">
        <x:f>MAX(QB!D205*Scoring!$B$30+QB!E205/Scoring!$C$30+QB!F205*Scoring!$D$30+QB!G205*Scoring!$E$30+QB!H205*Scoring!$F$30+QB!I205/Scoring!$G$30+QB!J205*Scoring!$H$30+QB!K205*Scoring!$I$30+M205*Scoring!$J$30+QB!N205*Scoring!$K$30,0)+C205*Scoring!$B$10*0.07+(C205-D205)*Scoring!$B$5</x:f>
        <x:v>12.58</x:v>
      </x:c>
      <x:c r="R204" s="9"/>
      <x:c r="S204" s="9"/>
      <x:c r="T204" s="9"/>
      <x:c r="U204" s="9"/>
      <x:c r="V204" s="9"/>
      <x:c r="W204" s="9"/>
      <x:c r="X204" s="9"/>
      <x:c r="Y204" s="9"/>
      <x:c r="Z204" s="9"/>
    </x:row>
    <x:row r="205" ht="14.25" customHeight="1">
      <x:c r="B205" s="1" t="s">
        <x:v>488</x:v>
      </x:c>
      <x:c r="C205" s="1">
        <x:v>25.0</x:v>
      </x:c>
      <x:c r="D205" s="1">
        <x:v>16.0</x:v>
      </x:c>
      <x:c r="E205" s="1">
        <x:v>177.0</x:v>
      </x:c>
      <x:c r="F205" s="1">
        <x:v>1.0</x:v>
      </x:c>
      <x:c r="G205" s="1">
        <x:v>0.0</x:v>
      </x:c>
      <x:c r="H205" s="1">
        <x:v>2.0</x:v>
      </x:c>
      <x:c r="I205" s="1">
        <x:v>9.0</x:v>
      </x:c>
      <x:c r="J205" s="1">
        <x:v>0.1</x:v>
      </x:c>
      <x:c r="K205" s="1">
        <x:v>0.0</x:v>
      </x:c>
      <x:c r="L205" s="1">
        <x:v>12.0</x:v>
      </x:c>
      <x:c r="M205" s="18">
        <x:f t="shared" si="1"/>
        <x:v>8.426879562</x:v>
      </x:c>
      <x:c r="N205" s="18">
        <x:f t="shared" si="2"/>
        <x:v>0.6809433962</x:v>
      </x:c>
      <x:c r="O205" s="25"/>
      <x:c r="P205" s="25"/>
      <x:c r="Q205" s="25"/>
      <x:c r="R205" s="9"/>
      <x:c r="S205" s="9"/>
      <x:c r="T205" s="9"/>
      <x:c r="U205" s="9"/>
      <x:c r="V205" s="9"/>
      <x:c r="W205" s="9"/>
      <x:c r="X205" s="9"/>
      <x:c r="Y205" s="9"/>
      <x:c r="Z205" s="9"/>
    </x:row>
    <x:row r="206" ht="14.25" customHeight="1">
      <x:c r="B206" s="1" t="s">
        <x:v>489</x:v>
      </x:c>
      <x:c r="C206" s="1">
        <x:v>15.0</x:v>
      </x:c>
      <x:c r="D206" s="1">
        <x:v>10.0</x:v>
      </x:c>
      <x:c r="E206" s="1">
        <x:v>90.0</x:v>
      </x:c>
      <x:c r="F206" s="1">
        <x:v>0.8</x:v>
      </x:c>
      <x:c r="G206" s="1">
        <x:v>1.0</x:v>
      </x:c>
      <x:c r="H206" s="1">
        <x:v>1.5</x:v>
      </x:c>
      <x:c r="I206" s="1">
        <x:v>6.7</x:v>
      </x:c>
      <x:c r="J206" s="1">
        <x:v>0.0</x:v>
      </x:c>
      <x:c r="K206" s="1">
        <x:v>0.2</x:v>
      </x:c>
      <x:c r="L206" s="1">
        <x:v>7.0</x:v>
      </x:c>
      <x:c r="M206" s="18">
        <x:f t="shared" si="1"/>
        <x:v>4.284854015</x:v>
      </x:c>
      <x:c r="N206" s="18">
        <x:f t="shared" si="2"/>
        <x:v>0.5069245283</x:v>
      </x:c>
      <x:c r="O206" s="25"/>
      <x:c r="P206" s="25"/>
      <x:c r="Q206" s="25"/>
      <x:c r="R206" s="9"/>
      <x:c r="S206" s="9"/>
      <x:c r="T206" s="9"/>
      <x:c r="U206" s="9"/>
      <x:c r="V206" s="9"/>
      <x:c r="W206" s="9"/>
      <x:c r="X206" s="9"/>
      <x:c r="Y206" s="9"/>
      <x:c r="Z206" s="9"/>
    </x:row>
    <x:row r="207" ht="14.25" customHeight="1">
      <x:c r="A207" s="1" t="s">
        <x:v>588</x:v>
      </x:c>
      <x:c r="B207" s="1" t="s">
        <x:v>545</x:v>
      </x:c>
      <x:c r="C207" s="1">
        <x:v>19.5</x:v>
      </x:c>
      <x:c r="D207" s="1">
        <x:v>12.5</x:v>
      </x:c>
      <x:c r="E207" s="1">
        <x:v>130.7</x:v>
      </x:c>
      <x:c r="F207" s="1">
        <x:v>0.9</x:v>
      </x:c>
      <x:c r="G207" s="1">
        <x:v>0.3</x:v>
      </x:c>
      <x:c r="H207" s="1">
        <x:v>1.6</x:v>
      </x:c>
      <x:c r="I207" s="1">
        <x:v>6.8</x:v>
      </x:c>
      <x:c r="J207" s="1">
        <x:v>0.0</x:v>
      </x:c>
      <x:c r="K207" s="1">
        <x:v>0.1</x:v>
      </x:c>
      <x:c r="L207" s="1">
        <x:v>9.4</x:v>
      </x:c>
      <x:c r="M207" s="18">
        <x:f t="shared" si="1"/>
        <x:v>6.222560219</x:v>
      </x:c>
      <x:c r="N207" s="18">
        <x:f t="shared" si="2"/>
        <x:v>0.514490566</x:v>
      </x:c>
      <x:c r="O207" s="25" t="n">
        <x:f>MAX(QB!D209*Scoring!$B$30+QB!E209/Scoring!$C$30+QB!F209*Scoring!$D$30+QB!G209*Scoring!$E$30+QB!H209*Scoring!$F$30+QB!I209/Scoring!$G$30+QB!J209*Scoring!$H$30+QB!K209*Scoring!$I$30+M209*Scoring!$J$30+QB!N209*Scoring!$K$30,0)+C209*Scoring!$B$10*0.07+(C209-D209)*Scoring!$B$5</x:f>
        <x:v>7.010000000000001</x:v>
      </x:c>
      <x:c r="P207" s="25" t="n">
        <x:f>MAX(QB!D207*Scoring!$B$30+QB!E207/Scoring!$C$30+QB!F207*Scoring!$D$30+QB!G207*Scoring!$E$30+QB!H207*Scoring!$F$30+QB!I207/Scoring!$G$30+QB!J207*Scoring!$H$30+QB!K207*Scoring!$I$30+M207*Scoring!$J$30+QB!N207*Scoring!$K$30,0)+C207*Scoring!$B$10*0.07+(C207-D207)*Scoring!$B$5</x:f>
        <x:v>8.808</x:v>
      </x:c>
      <x:c r="Q207" s="25" t="n">
        <x:f>MAX(QB!D208*Scoring!$B$30+QB!E208/Scoring!$C$30+QB!F208*Scoring!$D$30+QB!G208*Scoring!$E$30+QB!H208*Scoring!$F$30+QB!I208/Scoring!$G$30+QB!J208*Scoring!$H$30+QB!K208*Scoring!$I$30+M208*Scoring!$J$30+QB!N208*Scoring!$K$30,0)+C208*Scoring!$B$10*0.07+(C208-D208)*Scoring!$B$5</x:f>
        <x:v>11.812000000000001</x:v>
      </x:c>
      <x:c r="R207" s="9"/>
      <x:c r="S207" s="9"/>
      <x:c r="T207" s="9"/>
      <x:c r="U207" s="9"/>
      <x:c r="V207" s="9"/>
      <x:c r="W207" s="9"/>
      <x:c r="X207" s="9"/>
      <x:c r="Y207" s="9"/>
      <x:c r="Z207" s="9"/>
    </x:row>
    <x:row r="208" ht="14.25" customHeight="1">
      <x:c r="B208" s="1" t="s">
        <x:v>488</x:v>
      </x:c>
      <x:c r="C208" s="1">
        <x:v>23.0</x:v>
      </x:c>
      <x:c r="D208" s="1">
        <x:v>14.9</x:v>
      </x:c>
      <x:c r="E208" s="1">
        <x:v>160.3</x:v>
      </x:c>
      <x:c r="F208" s="1">
        <x:v>1.0</x:v>
      </x:c>
      <x:c r="G208" s="1">
        <x:v>0.0</x:v>
      </x:c>
      <x:c r="H208" s="1">
        <x:v>2.0</x:v>
      </x:c>
      <x:c r="I208" s="1">
        <x:v>8.0</x:v>
      </x:c>
      <x:c r="J208" s="1">
        <x:v>0.1</x:v>
      </x:c>
      <x:c r="K208" s="1">
        <x:v>0.0</x:v>
      </x:c>
      <x:c r="L208" s="1">
        <x:v>9.5</x:v>
      </x:c>
      <x:c r="M208" s="18">
        <x:f t="shared" si="1"/>
        <x:v>7.631801095</x:v>
      </x:c>
      <x:c r="N208" s="18">
        <x:f t="shared" si="2"/>
        <x:v>0.6052830189</x:v>
      </x:c>
      <x:c r="O208" s="25"/>
      <x:c r="P208" s="25"/>
      <x:c r="Q208" s="25"/>
      <x:c r="R208" s="9"/>
      <x:c r="S208" s="9"/>
      <x:c r="T208" s="9"/>
      <x:c r="U208" s="9"/>
      <x:c r="V208" s="9"/>
      <x:c r="W208" s="9"/>
      <x:c r="X208" s="9"/>
      <x:c r="Y208" s="9"/>
      <x:c r="Z208" s="9"/>
    </x:row>
    <x:row r="209" ht="14.25" customHeight="1">
      <x:c r="B209" s="1" t="s">
        <x:v>489</x:v>
      </x:c>
      <x:c r="C209" s="1">
        <x:v>16.0</x:v>
      </x:c>
      <x:c r="D209" s="1">
        <x:v>10.0</x:v>
      </x:c>
      <x:c r="E209" s="1">
        <x:v>101.0</x:v>
      </x:c>
      <x:c r="F209" s="1">
        <x:v>0.9</x:v>
      </x:c>
      <x:c r="G209" s="1">
        <x:v>0.5</x:v>
      </x:c>
      <x:c r="H209" s="1">
        <x:v>1.3</x:v>
      </x:c>
      <x:c r="I209" s="1">
        <x:v>5.7</x:v>
      </x:c>
      <x:c r="J209" s="1">
        <x:v>0.0</x:v>
      </x:c>
      <x:c r="K209" s="1">
        <x:v>0.2</x:v>
      </x:c>
      <x:c r="L209" s="1">
        <x:v>7.0</x:v>
      </x:c>
      <x:c r="M209" s="18">
        <x:f t="shared" si="1"/>
        <x:v>4.808558394</x:v>
      </x:c>
      <x:c r="N209" s="18">
        <x:f t="shared" si="2"/>
        <x:v>0.4312641509</x:v>
      </x:c>
      <x:c r="O209" s="25"/>
      <x:c r="P209" s="25"/>
      <x:c r="Q209" s="25"/>
      <x:c r="R209" s="9"/>
      <x:c r="S209" s="9"/>
      <x:c r="T209" s="9"/>
      <x:c r="U209" s="9"/>
      <x:c r="V209" s="9"/>
      <x:c r="W209" s="9"/>
      <x:c r="X209" s="9"/>
      <x:c r="Y209" s="9"/>
      <x:c r="Z209" s="9"/>
    </x:row>
    <x:row r="210" ht="14.25" customHeight="1">
      <x:c r="A210" s="1" t="s">
        <x:v>589</x:v>
      </x:c>
      <x:c r="B210" s="1" t="s">
        <x:v>503</x:v>
      </x:c>
      <x:c r="C210" s="1">
        <x:v>16.0</x:v>
      </x:c>
      <x:c r="D210" s="1">
        <x:v>11.0</x:v>
      </x:c>
      <x:c r="E210" s="1">
        <x:v>115.0</x:v>
      </x:c>
      <x:c r="F210" s="1">
        <x:v>1.0</x:v>
      </x:c>
      <x:c r="G210" s="1">
        <x:v>0.0</x:v>
      </x:c>
      <x:c r="H210" s="1">
        <x:v>3.0</x:v>
      </x:c>
      <x:c r="I210" s="1">
        <x:v>7.0</x:v>
      </x:c>
      <x:c r="J210" s="1">
        <x:v>0.0</x:v>
      </x:c>
      <x:c r="K210" s="1">
        <x:v>0.0</x:v>
      </x:c>
      <x:c r="L210" s="1">
        <x:v>9.3</x:v>
      </x:c>
      <x:c r="M210" s="18">
        <x:f t="shared" si="1"/>
        <x:v>5.475091241</x:v>
      </x:c>
      <x:c r="N210" s="18">
        <x:f t="shared" si="2"/>
        <x:v>0.5296226415</x:v>
      </x:c>
      <x:c r="O210" s="25" t="n">
        <x:f>MAX(QB!D212*Scoring!$B$30+QB!E212/Scoring!$C$30+QB!F212*Scoring!$D$30+QB!G212*Scoring!$E$30+QB!H212*Scoring!$F$30+QB!I212/Scoring!$G$30+QB!J212*Scoring!$H$30+QB!K212*Scoring!$I$30+M212*Scoring!$J$30+QB!N212*Scoring!$K$30,0)+C212*Scoring!$B$10*0.07+(C212-D212)*Scoring!$B$5</x:f>
        <x:v>9.299999999999999</x:v>
      </x:c>
      <x:c r="P210" s="25" t="n">
        <x:f>MAX(QB!D210*Scoring!$B$30+QB!E210/Scoring!$C$30+QB!F210*Scoring!$D$30+QB!G210*Scoring!$E$30+QB!H210*Scoring!$F$30+QB!I210/Scoring!$G$30+QB!J210*Scoring!$H$30+QB!K210*Scoring!$I$30+M210*Scoring!$J$30+QB!N210*Scoring!$K$30,0)+C210*Scoring!$B$10*0.07+(C210-D210)*Scoring!$B$5</x:f>
        <x:v>9.299999999999999</x:v>
      </x:c>
      <x:c r="Q210" s="25" t="n">
        <x:f>MAX(QB!D211*Scoring!$B$30+QB!E211/Scoring!$C$30+QB!F211*Scoring!$D$30+QB!G211*Scoring!$E$30+QB!H211*Scoring!$F$30+QB!I211/Scoring!$G$30+QB!J211*Scoring!$H$30+QB!K211*Scoring!$I$30+M211*Scoring!$J$30+QB!N211*Scoring!$K$30,0)+C211*Scoring!$B$10*0.07+(C211-D211)*Scoring!$B$5</x:f>
        <x:v>9.299999999999999</x:v>
      </x:c>
      <x:c r="R210" s="9"/>
      <x:c r="S210" s="9"/>
      <x:c r="T210" s="9"/>
      <x:c r="U210" s="9"/>
      <x:c r="V210" s="9"/>
      <x:c r="W210" s="9"/>
      <x:c r="X210" s="9"/>
      <x:c r="Y210" s="9"/>
      <x:c r="Z210" s="9"/>
    </x:row>
    <x:row r="211" ht="14.25" customHeight="1">
      <x:c r="B211" s="1" t="s">
        <x:v>488</x:v>
      </x:c>
      <x:c r="C211" s="1">
        <x:v>16.0</x:v>
      </x:c>
      <x:c r="D211" s="1">
        <x:v>11.0</x:v>
      </x:c>
      <x:c r="E211" s="1">
        <x:v>115.0</x:v>
      </x:c>
      <x:c r="F211" s="1">
        <x:v>1.0</x:v>
      </x:c>
      <x:c r="G211" s="1">
        <x:v>0.0</x:v>
      </x:c>
      <x:c r="H211" s="1">
        <x:v>3.0</x:v>
      </x:c>
      <x:c r="I211" s="1">
        <x:v>7.0</x:v>
      </x:c>
      <x:c r="J211" s="1">
        <x:v>0.0</x:v>
      </x:c>
      <x:c r="K211" s="1">
        <x:v>0.0</x:v>
      </x:c>
      <x:c r="L211" s="1">
        <x:v>8.0</x:v>
      </x:c>
      <x:c r="M211" s="18">
        <x:f t="shared" si="1"/>
        <x:v>5.475091241</x:v>
      </x:c>
      <x:c r="N211" s="18">
        <x:f t="shared" si="2"/>
        <x:v>0.5296226415</x:v>
      </x:c>
      <x:c r="O211" s="25"/>
      <x:c r="P211" s="25"/>
      <x:c r="Q211" s="25"/>
      <x:c r="R211" s="9"/>
      <x:c r="S211" s="9"/>
      <x:c r="T211" s="9"/>
      <x:c r="U211" s="9"/>
      <x:c r="V211" s="9"/>
      <x:c r="W211" s="9"/>
      <x:c r="X211" s="9"/>
      <x:c r="Y211" s="9"/>
      <x:c r="Z211" s="9"/>
    </x:row>
    <x:row r="212" ht="14.25" customHeight="1">
      <x:c r="B212" s="1" t="s">
        <x:v>489</x:v>
      </x:c>
      <x:c r="C212" s="1">
        <x:v>16.0</x:v>
      </x:c>
      <x:c r="D212" s="1">
        <x:v>11.0</x:v>
      </x:c>
      <x:c r="E212" s="1">
        <x:v>115.0</x:v>
      </x:c>
      <x:c r="F212" s="1">
        <x:v>1.0</x:v>
      </x:c>
      <x:c r="G212" s="1">
        <x:v>0.0</x:v>
      </x:c>
      <x:c r="H212" s="1">
        <x:v>3.0</x:v>
      </x:c>
      <x:c r="I212" s="1">
        <x:v>7.0</x:v>
      </x:c>
      <x:c r="J212" s="1">
        <x:v>0.0</x:v>
      </x:c>
      <x:c r="K212" s="1">
        <x:v>0.0</x:v>
      </x:c>
      <x:c r="L212" s="1">
        <x:v>8.0</x:v>
      </x:c>
      <x:c r="M212" s="18">
        <x:f t="shared" si="1"/>
        <x:v>5.475091241</x:v>
      </x:c>
      <x:c r="N212" s="18">
        <x:f t="shared" si="2"/>
        <x:v>0.5296226415</x:v>
      </x:c>
      <x:c r="O212" s="25"/>
      <x:c r="P212" s="25"/>
      <x:c r="Q212" s="25"/>
      <x:c r="R212" s="9"/>
      <x:c r="S212" s="9"/>
      <x:c r="T212" s="9"/>
      <x:c r="U212" s="9"/>
      <x:c r="V212" s="9"/>
      <x:c r="W212" s="9"/>
      <x:c r="X212" s="9"/>
      <x:c r="Y212" s="9"/>
      <x:c r="Z212" s="9"/>
    </x:row>
    <x:row r="213" ht="14.25" customHeight="1">
      <x:c r="A213" s="1" t="s">
        <x:v>590</x:v>
      </x:c>
      <x:c r="B213" s="1" t="s">
        <x:v>509</x:v>
      </x:c>
      <x:c r="C213" s="1">
        <x:v>17.0</x:v>
      </x:c>
      <x:c r="D213" s="1">
        <x:v>11.0</x:v>
      </x:c>
      <x:c r="E213" s="1">
        <x:v>111.0</x:v>
      </x:c>
      <x:c r="F213" s="1">
        <x:v>1.0</x:v>
      </x:c>
      <x:c r="G213" s="1">
        <x:v>0.0</x:v>
      </x:c>
      <x:c r="H213" s="1">
        <x:v>2.0</x:v>
      </x:c>
      <x:c r="I213" s="1">
        <x:v>8.0</x:v>
      </x:c>
      <x:c r="J213" s="1">
        <x:v>0.0</x:v>
      </x:c>
      <x:c r="K213" s="1">
        <x:v>0.0</x:v>
      </x:c>
      <x:c r="L213" s="1">
        <x:v>9.2</x:v>
      </x:c>
      <x:c r="M213" s="18">
        <x:f t="shared" si="1"/>
        <x:v>5.284653285</x:v>
      </x:c>
      <x:c r="N213" s="18">
        <x:f t="shared" si="2"/>
        <x:v>0.6052830189</x:v>
      </x:c>
      <x:c r="O213" s="25" t="n">
        <x:f>MAX(QB!D215*Scoring!$B$30+QB!E215/Scoring!$C$30+QB!F215*Scoring!$D$30+QB!G215*Scoring!$E$30+QB!H215*Scoring!$F$30+QB!I215/Scoring!$G$30+QB!J215*Scoring!$H$30+QB!K215*Scoring!$I$30+M215*Scoring!$J$30+QB!N215*Scoring!$K$30,0)+C215*Scoring!$B$10*0.07+(C215-D215)*Scoring!$B$5</x:f>
        <x:v>9.240000000000002</x:v>
      </x:c>
      <x:c r="P213" s="25" t="n">
        <x:f>MAX(QB!D213*Scoring!$B$30+QB!E213/Scoring!$C$30+QB!F213*Scoring!$D$30+QB!G213*Scoring!$E$30+QB!H213*Scoring!$F$30+QB!I213/Scoring!$G$30+QB!J213*Scoring!$H$30+QB!K213*Scoring!$I$30+M213*Scoring!$J$30+QB!N213*Scoring!$K$30,0)+C213*Scoring!$B$10*0.07+(C213-D213)*Scoring!$B$5</x:f>
        <x:v>9.240000000000002</x:v>
      </x:c>
      <x:c r="Q213" s="25" t="n">
        <x:f>MAX(QB!D214*Scoring!$B$30+QB!E214/Scoring!$C$30+QB!F214*Scoring!$D$30+QB!G214*Scoring!$E$30+QB!H214*Scoring!$F$30+QB!I214/Scoring!$G$30+QB!J214*Scoring!$H$30+QB!K214*Scoring!$I$30+M214*Scoring!$J$30+QB!N214*Scoring!$K$30,0)+C214*Scoring!$B$10*0.07+(C214-D214)*Scoring!$B$5</x:f>
        <x:v>9.240000000000002</x:v>
      </x:c>
      <x:c r="R213" s="9"/>
      <x:c r="S213" s="9"/>
      <x:c r="T213" s="9"/>
      <x:c r="U213" s="9"/>
      <x:c r="V213" s="9"/>
      <x:c r="W213" s="9"/>
      <x:c r="X213" s="9"/>
      <x:c r="Y213" s="9"/>
      <x:c r="Z213" s="9"/>
    </x:row>
    <x:row r="214" ht="14.25" customHeight="1">
      <x:c r="B214" s="1" t="s">
        <x:v>488</x:v>
      </x:c>
      <x:c r="C214" s="1">
        <x:v>17.0</x:v>
      </x:c>
      <x:c r="D214" s="1">
        <x:v>11.0</x:v>
      </x:c>
      <x:c r="E214" s="1">
        <x:v>111.0</x:v>
      </x:c>
      <x:c r="F214" s="1">
        <x:v>1.0</x:v>
      </x:c>
      <x:c r="G214" s="1">
        <x:v>0.0</x:v>
      </x:c>
      <x:c r="H214" s="1">
        <x:v>2.0</x:v>
      </x:c>
      <x:c r="I214" s="1">
        <x:v>8.0</x:v>
      </x:c>
      <x:c r="J214" s="1">
        <x:v>0.0</x:v>
      </x:c>
      <x:c r="K214" s="1">
        <x:v>0.0</x:v>
      </x:c>
      <x:c r="L214" s="1">
        <x:v>8.0</x:v>
      </x:c>
      <x:c r="M214" s="18">
        <x:f t="shared" si="1"/>
        <x:v>5.284653285</x:v>
      </x:c>
      <x:c r="N214" s="18">
        <x:f t="shared" si="2"/>
        <x:v>0.6052830189</x:v>
      </x:c>
      <x:c r="O214" s="25"/>
      <x:c r="P214" s="25"/>
      <x:c r="Q214" s="25"/>
      <x:c r="R214" s="9"/>
      <x:c r="S214" s="9"/>
      <x:c r="T214" s="9"/>
      <x:c r="U214" s="9"/>
      <x:c r="V214" s="9"/>
      <x:c r="W214" s="9"/>
      <x:c r="X214" s="9"/>
      <x:c r="Y214" s="9"/>
      <x:c r="Z214" s="9"/>
    </x:row>
    <x:row r="215" ht="14.25" customHeight="1">
      <x:c r="B215" s="1" t="s">
        <x:v>489</x:v>
      </x:c>
      <x:c r="C215" s="1">
        <x:v>17.0</x:v>
      </x:c>
      <x:c r="D215" s="1">
        <x:v>11.0</x:v>
      </x:c>
      <x:c r="E215" s="1">
        <x:v>111.0</x:v>
      </x:c>
      <x:c r="F215" s="1">
        <x:v>1.0</x:v>
      </x:c>
      <x:c r="G215" s="1">
        <x:v>0.0</x:v>
      </x:c>
      <x:c r="H215" s="1">
        <x:v>2.0</x:v>
      </x:c>
      <x:c r="I215" s="1">
        <x:v>8.0</x:v>
      </x:c>
      <x:c r="J215" s="1">
        <x:v>0.0</x:v>
      </x:c>
      <x:c r="K215" s="1">
        <x:v>0.0</x:v>
      </x:c>
      <x:c r="L215" s="1">
        <x:v>8.0</x:v>
      </x:c>
      <x:c r="M215" s="18">
        <x:f t="shared" si="1"/>
        <x:v>5.284653285</x:v>
      </x:c>
      <x:c r="N215" s="18">
        <x:f t="shared" si="2"/>
        <x:v>0.6052830189</x:v>
      </x:c>
      <x:c r="O215" s="25"/>
      <x:c r="P215" s="25"/>
      <x:c r="Q215" s="25"/>
      <x:c r="R215" s="9"/>
      <x:c r="S215" s="9"/>
      <x:c r="T215" s="9"/>
      <x:c r="U215" s="9"/>
      <x:c r="V215" s="9"/>
      <x:c r="W215" s="9"/>
      <x:c r="X215" s="9"/>
      <x:c r="Y215" s="9"/>
      <x:c r="Z215" s="9"/>
    </x:row>
    <x:row r="216" ht="14.25" customHeight="1">
      <x:c r="A216" s="1" t="s">
        <x:v>591</x:v>
      </x:c>
      <x:c r="B216" s="1" t="s">
        <x:v>497</x:v>
      </x:c>
      <x:c r="C216" s="1">
        <x:v>14.0</x:v>
      </x:c>
      <x:c r="D216" s="1">
        <x:v>9.0</x:v>
      </x:c>
      <x:c r="E216" s="1">
        <x:v>105.0</x:v>
      </x:c>
      <x:c r="F216" s="1">
        <x:v>1.0</x:v>
      </x:c>
      <x:c r="G216" s="1">
        <x:v>0.0</x:v>
      </x:c>
      <x:c r="H216" s="1">
        <x:v>2.0</x:v>
      </x:c>
      <x:c r="I216" s="1">
        <x:v>10.0</x:v>
      </x:c>
      <x:c r="J216" s="1">
        <x:v>0.0</x:v>
      </x:c>
      <x:c r="K216" s="1">
        <x:v>0.0</x:v>
      </x:c>
      <x:c r="L216" s="1">
        <x:v>9.2</x:v>
      </x:c>
      <x:c r="M216" s="18">
        <x:f t="shared" si="1"/>
        <x:v>4.99899635</x:v>
      </x:c>
      <x:c r="N216" s="18">
        <x:f t="shared" si="2"/>
        <x:v>0.7566037736</x:v>
      </x:c>
      <x:c r="O216" s="25" t="n">
        <x:f>MAX(QB!D218*Scoring!$B$30+QB!E218/Scoring!$C$30+QB!F218*Scoring!$D$30+QB!G218*Scoring!$E$30+QB!H218*Scoring!$F$30+QB!I218/Scoring!$G$30+QB!J218*Scoring!$H$30+QB!K218*Scoring!$I$30+M218*Scoring!$J$30+QB!N218*Scoring!$K$30,0)+C218*Scoring!$B$10*0.07+(C218-D218)*Scoring!$B$5</x:f>
        <x:v>9.2</x:v>
      </x:c>
      <x:c r="P216" s="25" t="n">
        <x:f>MAX(QB!D216*Scoring!$B$30+QB!E216/Scoring!$C$30+QB!F216*Scoring!$D$30+QB!G216*Scoring!$E$30+QB!H216*Scoring!$F$30+QB!I216/Scoring!$G$30+QB!J216*Scoring!$H$30+QB!K216*Scoring!$I$30+M216*Scoring!$J$30+QB!N216*Scoring!$K$30,0)+C216*Scoring!$B$10*0.07+(C216-D216)*Scoring!$B$5</x:f>
        <x:v>9.2</x:v>
      </x:c>
      <x:c r="Q216" s="25" t="n">
        <x:f>MAX(QB!D217*Scoring!$B$30+QB!E217/Scoring!$C$30+QB!F217*Scoring!$D$30+QB!G217*Scoring!$E$30+QB!H217*Scoring!$F$30+QB!I217/Scoring!$G$30+QB!J217*Scoring!$H$30+QB!K217*Scoring!$I$30+M217*Scoring!$J$30+QB!N217*Scoring!$K$30,0)+C217*Scoring!$B$10*0.07+(C217-D217)*Scoring!$B$5</x:f>
        <x:v>9.2</x:v>
      </x:c>
      <x:c r="R216" s="9"/>
      <x:c r="S216" s="9"/>
      <x:c r="T216" s="9"/>
      <x:c r="U216" s="9"/>
      <x:c r="V216" s="9"/>
      <x:c r="W216" s="9"/>
      <x:c r="X216" s="9"/>
      <x:c r="Y216" s="9"/>
      <x:c r="Z216" s="9"/>
    </x:row>
    <x:row r="217" ht="14.25" customHeight="1">
      <x:c r="B217" s="1" t="s">
        <x:v>488</x:v>
      </x:c>
      <x:c r="C217" s="1">
        <x:v>14.0</x:v>
      </x:c>
      <x:c r="D217" s="1">
        <x:v>9.0</x:v>
      </x:c>
      <x:c r="E217" s="1">
        <x:v>105.0</x:v>
      </x:c>
      <x:c r="F217" s="1">
        <x:v>1.0</x:v>
      </x:c>
      <x:c r="G217" s="1">
        <x:v>0.0</x:v>
      </x:c>
      <x:c r="H217" s="1">
        <x:v>2.0</x:v>
      </x:c>
      <x:c r="I217" s="1">
        <x:v>10.0</x:v>
      </x:c>
      <x:c r="J217" s="1">
        <x:v>0.0</x:v>
      </x:c>
      <x:c r="K217" s="1">
        <x:v>0.0</x:v>
      </x:c>
      <x:c r="L217" s="1">
        <x:v>8.0</x:v>
      </x:c>
      <x:c r="M217" s="18">
        <x:f t="shared" si="1"/>
        <x:v>4.99899635</x:v>
      </x:c>
      <x:c r="N217" s="18">
        <x:f t="shared" si="2"/>
        <x:v>0.7566037736</x:v>
      </x:c>
      <x:c r="O217" s="25"/>
      <x:c r="P217" s="25"/>
      <x:c r="Q217" s="25"/>
      <x:c r="R217" s="9"/>
      <x:c r="S217" s="9"/>
      <x:c r="T217" s="9"/>
      <x:c r="U217" s="9"/>
      <x:c r="V217" s="9"/>
      <x:c r="W217" s="9"/>
      <x:c r="X217" s="9"/>
      <x:c r="Y217" s="9"/>
      <x:c r="Z217" s="9"/>
    </x:row>
    <x:row r="218" ht="14.25" customHeight="1">
      <x:c r="B218" s="1" t="s">
        <x:v>489</x:v>
      </x:c>
      <x:c r="C218" s="1">
        <x:v>14.0</x:v>
      </x:c>
      <x:c r="D218" s="1">
        <x:v>9.0</x:v>
      </x:c>
      <x:c r="E218" s="1">
        <x:v>105.0</x:v>
      </x:c>
      <x:c r="F218" s="1">
        <x:v>1.0</x:v>
      </x:c>
      <x:c r="G218" s="1">
        <x:v>0.0</x:v>
      </x:c>
      <x:c r="H218" s="1">
        <x:v>2.0</x:v>
      </x:c>
      <x:c r="I218" s="1">
        <x:v>10.0</x:v>
      </x:c>
      <x:c r="J218" s="1">
        <x:v>0.0</x:v>
      </x:c>
      <x:c r="K218" s="1">
        <x:v>0.0</x:v>
      </x:c>
      <x:c r="L218" s="1">
        <x:v>8.0</x:v>
      </x:c>
      <x:c r="M218" s="18">
        <x:f t="shared" si="1"/>
        <x:v>4.99899635</x:v>
      </x:c>
      <x:c r="N218" s="18">
        <x:f t="shared" si="2"/>
        <x:v>0.7566037736</x:v>
      </x:c>
      <x:c r="O218" s="25"/>
      <x:c r="P218" s="25"/>
      <x:c r="Q218" s="25"/>
      <x:c r="R218" s="9"/>
      <x:c r="S218" s="9"/>
      <x:c r="T218" s="9"/>
      <x:c r="U218" s="9"/>
      <x:c r="V218" s="9"/>
      <x:c r="W218" s="9"/>
      <x:c r="X218" s="9"/>
      <x:c r="Y218" s="9"/>
      <x:c r="Z218" s="9"/>
    </x:row>
    <x:row r="219" ht="14.25" customHeight="1">
      <x:c r="A219" s="1" t="s">
        <x:v>592</x:v>
      </x:c>
      <x:c r="B219" s="1" t="s">
        <x:v>533</x:v>
      </x:c>
      <x:c r="C219" s="1">
        <x:v>11.0</x:v>
      </x:c>
      <x:c r="D219" s="1">
        <x:v>7.0</x:v>
      </x:c>
      <x:c r="E219" s="1">
        <x:v>90.0</x:v>
      </x:c>
      <x:c r="F219" s="1">
        <x:v>1.0</x:v>
      </x:c>
      <x:c r="G219" s="1">
        <x:v>0.0</x:v>
      </x:c>
      <x:c r="H219" s="1">
        <x:v>5.0</x:v>
      </x:c>
      <x:c r="I219" s="1">
        <x:v>15.0</x:v>
      </x:c>
      <x:c r="J219" s="1">
        <x:v>0.0</x:v>
      </x:c>
      <x:c r="K219" s="1">
        <x:v>0.0</x:v>
      </x:c>
      <x:c r="L219" s="1">
        <x:v>9.1</x:v>
      </x:c>
      <x:c r="M219" s="18">
        <x:f t="shared" si="1"/>
        <x:v>4.284854015</x:v>
      </x:c>
      <x:c r="N219" s="18">
        <x:f t="shared" si="2"/>
        <x:v>1.13490566</x:v>
      </x:c>
      <x:c r="O219" s="25" t="n">
        <x:f>MAX(QB!D221*Scoring!$B$30+QB!E221/Scoring!$C$30+QB!F221*Scoring!$D$30+QB!G221*Scoring!$E$30+QB!H221*Scoring!$F$30+QB!I221/Scoring!$G$30+QB!J221*Scoring!$H$30+QB!K221*Scoring!$I$30+M221*Scoring!$J$30+QB!N221*Scoring!$K$30,0)+C221*Scoring!$B$10*0.07+(C221-D221)*Scoring!$B$5</x:f>
        <x:v>9.1</x:v>
      </x:c>
      <x:c r="P219" s="25" t="n">
        <x:f>MAX(QB!D219*Scoring!$B$30+QB!E219/Scoring!$C$30+QB!F219*Scoring!$D$30+QB!G219*Scoring!$E$30+QB!H219*Scoring!$F$30+QB!I219/Scoring!$G$30+QB!J219*Scoring!$H$30+QB!K219*Scoring!$I$30+M219*Scoring!$J$30+QB!N219*Scoring!$K$30,0)+C219*Scoring!$B$10*0.07+(C219-D219)*Scoring!$B$5</x:f>
        <x:v>9.1</x:v>
      </x:c>
      <x:c r="Q219" s="25" t="n">
        <x:f>MAX(QB!D220*Scoring!$B$30+QB!E220/Scoring!$C$30+QB!F220*Scoring!$D$30+QB!G220*Scoring!$E$30+QB!H220*Scoring!$F$30+QB!I220/Scoring!$G$30+QB!J220*Scoring!$H$30+QB!K220*Scoring!$I$30+M220*Scoring!$J$30+QB!N220*Scoring!$K$30,0)+C220*Scoring!$B$10*0.07+(C220-D220)*Scoring!$B$5</x:f>
        <x:v>9.1</x:v>
      </x:c>
      <x:c r="R219" s="9"/>
      <x:c r="S219" s="9"/>
      <x:c r="T219" s="9"/>
      <x:c r="U219" s="9"/>
      <x:c r="V219" s="9"/>
      <x:c r="W219" s="9"/>
      <x:c r="X219" s="9"/>
      <x:c r="Y219" s="9"/>
      <x:c r="Z219" s="9"/>
    </x:row>
    <x:row r="220" ht="14.25" customHeight="1">
      <x:c r="B220" s="1" t="s">
        <x:v>488</x:v>
      </x:c>
      <x:c r="C220" s="1">
        <x:v>11.0</x:v>
      </x:c>
      <x:c r="D220" s="1">
        <x:v>7.0</x:v>
      </x:c>
      <x:c r="E220" s="1">
        <x:v>90.0</x:v>
      </x:c>
      <x:c r="F220" s="1">
        <x:v>1.0</x:v>
      </x:c>
      <x:c r="G220" s="1">
        <x:v>0.0</x:v>
      </x:c>
      <x:c r="H220" s="1">
        <x:v>5.0</x:v>
      </x:c>
      <x:c r="I220" s="1">
        <x:v>15.0</x:v>
      </x:c>
      <x:c r="J220" s="1">
        <x:v>0.0</x:v>
      </x:c>
      <x:c r="K220" s="1">
        <x:v>0.0</x:v>
      </x:c>
      <x:c r="L220" s="1">
        <x:v>7.0</x:v>
      </x:c>
      <x:c r="M220" s="18">
        <x:f t="shared" si="1"/>
        <x:v>4.284854015</x:v>
      </x:c>
      <x:c r="N220" s="18">
        <x:f t="shared" si="2"/>
        <x:v>1.13490566</x:v>
      </x:c>
      <x:c r="O220" s="25"/>
      <x:c r="P220" s="25"/>
      <x:c r="Q220" s="25"/>
      <x:c r="R220" s="9"/>
      <x:c r="S220" s="9"/>
      <x:c r="T220" s="9"/>
      <x:c r="U220" s="9"/>
      <x:c r="V220" s="9"/>
      <x:c r="W220" s="9"/>
      <x:c r="X220" s="9"/>
      <x:c r="Y220" s="9"/>
      <x:c r="Z220" s="9"/>
    </x:row>
    <x:row r="221" ht="14.25" customHeight="1">
      <x:c r="B221" s="1" t="s">
        <x:v>489</x:v>
      </x:c>
      <x:c r="C221" s="1">
        <x:v>11.0</x:v>
      </x:c>
      <x:c r="D221" s="1">
        <x:v>7.0</x:v>
      </x:c>
      <x:c r="E221" s="1">
        <x:v>90.0</x:v>
      </x:c>
      <x:c r="F221" s="1">
        <x:v>1.0</x:v>
      </x:c>
      <x:c r="G221" s="1">
        <x:v>0.0</x:v>
      </x:c>
      <x:c r="H221" s="1">
        <x:v>5.0</x:v>
      </x:c>
      <x:c r="I221" s="1">
        <x:v>15.0</x:v>
      </x:c>
      <x:c r="J221" s="1">
        <x:v>0.0</x:v>
      </x:c>
      <x:c r="K221" s="1">
        <x:v>0.0</x:v>
      </x:c>
      <x:c r="L221" s="1">
        <x:v>7.0</x:v>
      </x:c>
      <x:c r="M221" s="18">
        <x:f t="shared" si="1"/>
        <x:v>4.284854015</x:v>
      </x:c>
      <x:c r="N221" s="18">
        <x:f t="shared" si="2"/>
        <x:v>1.13490566</x:v>
      </x:c>
      <x:c r="O221" s="25"/>
      <x:c r="P221" s="25"/>
      <x:c r="Q221" s="25"/>
      <x:c r="R221" s="9"/>
      <x:c r="S221" s="9"/>
      <x:c r="T221" s="9"/>
      <x:c r="U221" s="9"/>
      <x:c r="V221" s="9"/>
      <x:c r="W221" s="9"/>
      <x:c r="X221" s="9"/>
      <x:c r="Y221" s="9"/>
      <x:c r="Z221" s="9"/>
    </x:row>
    <x:row r="222" ht="14.25" customHeight="1">
      <x:c r="A222" s="1" t="s">
        <x:v>593</x:v>
      </x:c>
      <x:c r="B222" s="1" t="s">
        <x:v>487</x:v>
      </x:c>
      <x:c r="C222" s="1">
        <x:v>21.0</x:v>
      </x:c>
      <x:c r="D222" s="1">
        <x:v>12.4</x:v>
      </x:c>
      <x:c r="E222" s="1">
        <x:v>138.4</x:v>
      </x:c>
      <x:c r="F222" s="1">
        <x:v>1.0</x:v>
      </x:c>
      <x:c r="G222" s="1">
        <x:v>0.6</x:v>
      </x:c>
      <x:c r="H222" s="1">
        <x:v>2.0</x:v>
      </x:c>
      <x:c r="I222" s="1">
        <x:v>3.6</x:v>
      </x:c>
      <x:c r="J222" s="1">
        <x:v>0.0</x:v>
      </x:c>
      <x:c r="K222" s="1">
        <x:v>0.1</x:v>
      </x:c>
      <x:c r="L222" s="1">
        <x:v>9.1</x:v>
      </x:c>
      <x:c r="M222" s="18">
        <x:f t="shared" si="1"/>
        <x:v>6.589153285</x:v>
      </x:c>
      <x:c r="N222" s="18">
        <x:f t="shared" si="2"/>
        <x:v>0.2723773585</x:v>
      </x:c>
      <x:c r="O222" s="25" t="n">
        <x:f>MAX(QB!D224*Scoring!$B$30+QB!E224/Scoring!$C$30+QB!F224*Scoring!$D$30+QB!G224*Scoring!$E$30+QB!H224*Scoring!$F$30+QB!I224/Scoring!$G$30+QB!J224*Scoring!$H$30+QB!K224*Scoring!$I$30+M224*Scoring!$J$30+QB!N224*Scoring!$K$30,0)+C224*Scoring!$B$10*0.07+(C224-D224)*Scoring!$B$5</x:f>
        <x:v>5.4399999999999995</x:v>
      </x:c>
      <x:c r="P222" s="25" t="n">
        <x:f>MAX(QB!D222*Scoring!$B$30+QB!E222/Scoring!$C$30+QB!F222*Scoring!$D$30+QB!G222*Scoring!$E$30+QB!H222*Scoring!$F$30+QB!I222/Scoring!$G$30+QB!J222*Scoring!$H$30+QB!K222*Scoring!$I$30+M222*Scoring!$J$30+QB!N222*Scoring!$K$30,0)+C222*Scoring!$B$10*0.07+(C222-D222)*Scoring!$B$5</x:f>
        <x:v>8.596000000000002</x:v>
      </x:c>
      <x:c r="Q222" s="25" t="n">
        <x:f>MAX(QB!D223*Scoring!$B$30+QB!E223/Scoring!$C$30+QB!F223*Scoring!$D$30+QB!G223*Scoring!$E$30+QB!H223*Scoring!$F$30+QB!I223/Scoring!$G$30+QB!J223*Scoring!$H$30+QB!K223*Scoring!$I$30+M223*Scoring!$J$30+QB!N223*Scoring!$K$30,0)+C223*Scoring!$B$10*0.07+(C223-D223)*Scoring!$B$5</x:f>
        <x:v>11.84</x:v>
      </x:c>
      <x:c r="R222" s="9"/>
      <x:c r="S222" s="9"/>
      <x:c r="T222" s="9"/>
      <x:c r="U222" s="9"/>
      <x:c r="V222" s="9"/>
      <x:c r="W222" s="9"/>
      <x:c r="X222" s="9"/>
      <x:c r="Y222" s="9"/>
      <x:c r="Z222" s="9"/>
    </x:row>
    <x:row r="223" ht="14.25" customHeight="1">
      <x:c r="B223" s="1" t="s">
        <x:v>488</x:v>
      </x:c>
      <x:c r="C223" s="1">
        <x:v>26.0</x:v>
      </x:c>
      <x:c r="D223" s="1">
        <x:v>16.0</x:v>
      </x:c>
      <x:c r="E223" s="1">
        <x:v>181.0</x:v>
      </x:c>
      <x:c r="F223" s="1">
        <x:v>1.0</x:v>
      </x:c>
      <x:c r="G223" s="1">
        <x:v>0.0</x:v>
      </x:c>
      <x:c r="H223" s="1">
        <x:v>3.0</x:v>
      </x:c>
      <x:c r="I223" s="1">
        <x:v>6.0</x:v>
      </x:c>
      <x:c r="J223" s="1">
        <x:v>0.0</x:v>
      </x:c>
      <x:c r="K223" s="1">
        <x:v>0.0</x:v>
      </x:c>
      <x:c r="L223" s="1">
        <x:v>11.8</x:v>
      </x:c>
      <x:c r="M223" s="18">
        <x:f t="shared" si="1"/>
        <x:v>8.617317518</x:v>
      </x:c>
      <x:c r="N223" s="18">
        <x:f t="shared" si="2"/>
        <x:v>0.4539622642</x:v>
      </x:c>
      <x:c r="O223" s="25"/>
      <x:c r="P223" s="25"/>
      <x:c r="Q223" s="25"/>
      <x:c r="R223" s="9"/>
      <x:c r="S223" s="9"/>
      <x:c r="T223" s="9"/>
      <x:c r="U223" s="9"/>
      <x:c r="V223" s="9"/>
      <x:c r="W223" s="9"/>
      <x:c r="X223" s="9"/>
      <x:c r="Y223" s="9"/>
      <x:c r="Z223" s="9"/>
    </x:row>
    <x:row r="224" ht="14.25" customHeight="1">
      <x:c r="B224" s="1" t="s">
        <x:v>489</x:v>
      </x:c>
      <x:c r="C224" s="1">
        <x:v>15.0</x:v>
      </x:c>
      <x:c r="D224" s="1">
        <x:v>8.0</x:v>
      </x:c>
      <x:c r="E224" s="1">
        <x:v>96.0</x:v>
      </x:c>
      <x:c r="F224" s="1">
        <x:v>0.9</x:v>
      </x:c>
      <x:c r="G224" s="1">
        <x:v>1.0</x:v>
      </x:c>
      <x:c r="H224" s="1">
        <x:v>1.1</x:v>
      </x:c>
      <x:c r="I224" s="1">
        <x:v>2.0</x:v>
      </x:c>
      <x:c r="J224" s="1">
        <x:v>0.0</x:v>
      </x:c>
      <x:c r="K224" s="1">
        <x:v>0.2</x:v>
      </x:c>
      <x:c r="L224" s="1">
        <x:v>7.0</x:v>
      </x:c>
      <x:c r="M224" s="18">
        <x:f t="shared" si="1"/>
        <x:v>4.570510949</x:v>
      </x:c>
      <x:c r="N224" s="18">
        <x:f t="shared" si="2"/>
        <x:v>0.1513207547</x:v>
      </x:c>
      <x:c r="O224" s="25"/>
      <x:c r="P224" s="25"/>
      <x:c r="Q224" s="25"/>
      <x:c r="R224" s="9"/>
      <x:c r="S224" s="9"/>
      <x:c r="T224" s="9"/>
      <x:c r="U224" s="9"/>
      <x:c r="V224" s="9"/>
      <x:c r="W224" s="9"/>
      <x:c r="X224" s="9"/>
      <x:c r="Y224" s="9"/>
      <x:c r="Z224" s="9"/>
    </x:row>
    <x:row r="225" ht="14.25" customHeight="1">
      <x:c r="A225" s="1" t="s">
        <x:v>594</x:v>
      </x:c>
      <x:c r="B225" s="1" t="s">
        <x:v>541</x:v>
      </x:c>
      <x:c r="C225" s="1">
        <x:v>23.3</x:v>
      </x:c>
      <x:c r="D225" s="1">
        <x:v>13.5</x:v>
      </x:c>
      <x:c r="E225" s="1">
        <x:v>138.6</x:v>
      </x:c>
      <x:c r="F225" s="1">
        <x:v>0.8</x:v>
      </x:c>
      <x:c r="G225" s="1">
        <x:v>0.4</x:v>
      </x:c>
      <x:c r="H225" s="1">
        <x:v>2.6</x:v>
      </x:c>
      <x:c r="I225" s="1">
        <x:v>4.8</x:v>
      </x:c>
      <x:c r="J225" s="1">
        <x:v>0.0</x:v>
      </x:c>
      <x:c r="K225" s="1">
        <x:v>0.1</x:v>
      </x:c>
      <x:c r="L225" s="1">
        <x:v>9.0</x:v>
      </x:c>
      <x:c r="M225" s="18">
        <x:f t="shared" si="1"/>
        <x:v>6.598675182</x:v>
      </x:c>
      <x:c r="N225" s="18">
        <x:f t="shared" si="2"/>
        <x:v>0.3631698113</x:v>
      </x:c>
      <x:c r="O225" s="25" t="n">
        <x:f>MAX(QB!D227*Scoring!$B$30+QB!E227/Scoring!$C$30+QB!F227*Scoring!$D$30+QB!G227*Scoring!$E$30+QB!H227*Scoring!$F$30+QB!I227/Scoring!$G$30+QB!J227*Scoring!$H$30+QB!K227*Scoring!$I$30+M227*Scoring!$J$30+QB!N227*Scoring!$K$30,0)+C227*Scoring!$B$10*0.07+(C227-D227)*Scoring!$B$5</x:f>
        <x:v>6.470000000000001</x:v>
      </x:c>
      <x:c r="P225" s="25" t="n">
        <x:f>MAX(QB!D225*Scoring!$B$30+QB!E225/Scoring!$C$30+QB!F225*Scoring!$D$30+QB!G225*Scoring!$E$30+QB!H225*Scoring!$F$30+QB!I225/Scoring!$G$30+QB!J225*Scoring!$H$30+QB!K225*Scoring!$I$30+M225*Scoring!$J$30+QB!N225*Scoring!$K$30,0)+C225*Scoring!$B$10*0.07+(C225-D225)*Scoring!$B$5</x:f>
        <x:v>8.324</x:v>
      </x:c>
      <x:c r="Q225" s="25" t="n">
        <x:f>MAX(QB!D226*Scoring!$B$30+QB!E226/Scoring!$C$30+QB!F226*Scoring!$D$30+QB!G226*Scoring!$E$30+QB!H226*Scoring!$F$30+QB!I226/Scoring!$G$30+QB!J226*Scoring!$H$30+QB!K226*Scoring!$I$30+M226*Scoring!$J$30+QB!N226*Scoring!$K$30,0)+C226*Scoring!$B$10*0.07+(C226-D226)*Scoring!$B$5</x:f>
        <x:v>11.467999999999998</x:v>
      </x:c>
      <x:c r="R225" s="9"/>
      <x:c r="S225" s="9"/>
      <x:c r="T225" s="9"/>
      <x:c r="U225" s="9"/>
      <x:c r="V225" s="9"/>
      <x:c r="W225" s="9"/>
      <x:c r="X225" s="9"/>
      <x:c r="Y225" s="9"/>
      <x:c r="Z225" s="9"/>
    </x:row>
    <x:row r="226" ht="14.25" customHeight="1">
      <x:c r="B226" s="1" t="s">
        <x:v>488</x:v>
      </x:c>
      <x:c r="C226" s="1">
        <x:v>23.6</x:v>
      </x:c>
      <x:c r="D226" s="1">
        <x:v>15.0</x:v>
      </x:c>
      <x:c r="E226" s="1">
        <x:v>154.2</x:v>
      </x:c>
      <x:c r="F226" s="1">
        <x:v>1.0</x:v>
      </x:c>
      <x:c r="G226" s="1">
        <x:v>0.0</x:v>
      </x:c>
      <x:c r="H226" s="1">
        <x:v>4.0</x:v>
      </x:c>
      <x:c r="I226" s="1">
        <x:v>7.0</x:v>
      </x:c>
      <x:c r="J226" s="1">
        <x:v>0.1</x:v>
      </x:c>
      <x:c r="K226" s="1">
        <x:v>0.0</x:v>
      </x:c>
      <x:c r="L226" s="1">
        <x:v>8.0</x:v>
      </x:c>
      <x:c r="M226" s="18">
        <x:f t="shared" si="1"/>
        <x:v>7.341383212</x:v>
      </x:c>
      <x:c r="N226" s="18">
        <x:f t="shared" si="2"/>
        <x:v>0.5296226415</x:v>
      </x:c>
      <x:c r="O226" s="25"/>
      <x:c r="P226" s="25"/>
      <x:c r="Q226" s="25"/>
      <x:c r="R226" s="9"/>
      <x:c r="S226" s="9"/>
      <x:c r="T226" s="9"/>
      <x:c r="U226" s="9"/>
      <x:c r="V226" s="9"/>
      <x:c r="W226" s="9"/>
      <x:c r="X226" s="9"/>
      <x:c r="Y226" s="9"/>
      <x:c r="Z226" s="9"/>
    </x:row>
    <x:row r="227" ht="14.25" customHeight="1">
      <x:c r="B227" s="1" t="s">
        <x:v>489</x:v>
      </x:c>
      <x:c r="C227" s="1">
        <x:v>23.0</x:v>
      </x:c>
      <x:c r="D227" s="1">
        <x:v>12.0</x:v>
      </x:c>
      <x:c r="E227" s="1">
        <x:v>123.0</x:v>
      </x:c>
      <x:c r="F227" s="1">
        <x:v>0.7</x:v>
      </x:c>
      <x:c r="G227" s="1">
        <x:v>0.7</x:v>
      </x:c>
      <x:c r="H227" s="1">
        <x:v>1.1</x:v>
      </x:c>
      <x:c r="I227" s="1">
        <x:v>2.5</x:v>
      </x:c>
      <x:c r="J227" s="1">
        <x:v>0.0</x:v>
      </x:c>
      <x:c r="K227" s="1">
        <x:v>0.1</x:v>
      </x:c>
      <x:c r="L227" s="1">
        <x:v>7.8</x:v>
      </x:c>
      <x:c r="M227" s="18">
        <x:f t="shared" si="1"/>
        <x:v>5.855967153</x:v>
      </x:c>
      <x:c r="N227" s="18">
        <x:f t="shared" si="2"/>
        <x:v>0.1891509434</x:v>
      </x:c>
      <x:c r="O227" s="25"/>
      <x:c r="P227" s="25"/>
      <x:c r="Q227" s="25"/>
      <x:c r="R227" s="9"/>
      <x:c r="S227" s="9"/>
      <x:c r="T227" s="9"/>
      <x:c r="U227" s="9"/>
      <x:c r="V227" s="9"/>
      <x:c r="W227" s="9"/>
      <x:c r="X227" s="9"/>
      <x:c r="Y227" s="9"/>
      <x:c r="Z227" s="9"/>
    </x:row>
    <x:row r="228" ht="14.25" customHeight="1">
      <x:c r="A228" s="1" t="s">
        <x:v>595</x:v>
      </x:c>
      <x:c r="B228" s="1" t="s">
        <x:v>507</x:v>
      </x:c>
      <x:c r="C228" s="1">
        <x:v>16.3</x:v>
      </x:c>
      <x:c r="D228" s="1">
        <x:v>10.3</x:v>
      </x:c>
      <x:c r="E228" s="1">
        <x:v>119.3</x:v>
      </x:c>
      <x:c r="F228" s="1">
        <x:v>0.7</x:v>
      </x:c>
      <x:c r="G228" s="1">
        <x:v>0.3</x:v>
      </x:c>
      <x:c r="H228" s="1">
        <x:v>3.0</x:v>
      </x:c>
      <x:c r="I228" s="1">
        <x:v>14.3</x:v>
      </x:c>
      <x:c r="J228" s="1">
        <x:v>0.0</x:v>
      </x:c>
      <x:c r="K228" s="1">
        <x:v>0.0</x:v>
      </x:c>
      <x:c r="L228" s="1">
        <x:v>8.5</x:v>
      </x:c>
      <x:c r="M228" s="18">
        <x:f t="shared" si="1"/>
        <x:v>5.679812044</x:v>
      </x:c>
      <x:c r="N228" s="18">
        <x:f t="shared" si="2"/>
        <x:v>1.081943396</x:v>
      </x:c>
      <x:c r="O228" s="25" t="n">
        <x:f>MAX(QB!D230*Scoring!$B$30+QB!E230/Scoring!$C$30+QB!F230*Scoring!$D$30+QB!G230*Scoring!$E$30+QB!H230*Scoring!$F$30+QB!I230/Scoring!$G$30+QB!J230*Scoring!$H$30+QB!K230*Scoring!$I$30+M230*Scoring!$J$30+QB!N230*Scoring!$K$30,0)+C230*Scoring!$B$10*0.07+(C230-D230)*Scoring!$B$5</x:f>
        <x:v>0</x:v>
      </x:c>
      <x:c r="P228" s="25" t="n">
        <x:f>MAX(QB!D228*Scoring!$B$30+QB!E228/Scoring!$C$30+QB!F228*Scoring!$D$30+QB!G228*Scoring!$E$30+QB!H228*Scoring!$F$30+QB!I228/Scoring!$G$30+QB!J228*Scoring!$H$30+QB!K228*Scoring!$I$30+M228*Scoring!$J$30+QB!N228*Scoring!$K$30,0)+C228*Scoring!$B$10*0.07+(C228-D228)*Scoring!$B$5</x:f>
        <x:v>8.402000000000001</x:v>
      </x:c>
      <x:c r="Q228" s="25" t="n">
        <x:f>MAX(QB!D229*Scoring!$B$30+QB!E229/Scoring!$C$30+QB!F229*Scoring!$D$30+QB!G229*Scoring!$E$30+QB!H229*Scoring!$F$30+QB!I229/Scoring!$G$30+QB!J229*Scoring!$H$30+QB!K229*Scoring!$I$30+M229*Scoring!$J$30+QB!N229*Scoring!$K$30,0)+C229*Scoring!$B$10*0.07+(C229-D229)*Scoring!$B$5</x:f>
        <x:v>13.440000000000001</x:v>
      </x:c>
      <x:c r="R228" s="9"/>
      <x:c r="S228" s="9"/>
      <x:c r="T228" s="9"/>
      <x:c r="U228" s="9"/>
      <x:c r="V228" s="9"/>
      <x:c r="W228" s="9"/>
      <x:c r="X228" s="9"/>
      <x:c r="Y228" s="9"/>
      <x:c r="Z228" s="9"/>
    </x:row>
    <x:row r="229" ht="14.25" customHeight="1">
      <x:c r="B229" s="1" t="s">
        <x:v>488</x:v>
      </x:c>
      <x:c r="C229" s="1">
        <x:v>25.0</x:v>
      </x:c>
      <x:c r="D229" s="1">
        <x:v>16.0</x:v>
      </x:c>
      <x:c r="E229" s="1">
        <x:v>181.0</x:v>
      </x:c>
      <x:c r="F229" s="1">
        <x:v>1.0</x:v>
      </x:c>
      <x:c r="G229" s="1">
        <x:v>0.0</x:v>
      </x:c>
      <x:c r="H229" s="1">
        <x:v>5.0</x:v>
      </x:c>
      <x:c r="I229" s="1">
        <x:v>22.0</x:v>
      </x:c>
      <x:c r="J229" s="1">
        <x:v>0.0</x:v>
      </x:c>
      <x:c r="K229" s="1">
        <x:v>0.0</x:v>
      </x:c>
      <x:c r="L229" s="1">
        <x:v>13.3</x:v>
      </x:c>
      <x:c r="M229" s="18">
        <x:f t="shared" si="1"/>
        <x:v>8.617317518</x:v>
      </x:c>
      <x:c r="N229" s="18">
        <x:f t="shared" si="2"/>
        <x:v>1.664528302</x:v>
      </x:c>
      <x:c r="O229" s="25"/>
      <x:c r="P229" s="25"/>
      <x:c r="Q229" s="25"/>
      <x:c r="R229" s="9"/>
      <x:c r="S229" s="9"/>
      <x:c r="T229" s="9"/>
      <x:c r="U229" s="9"/>
      <x:c r="V229" s="9"/>
      <x:c r="W229" s="9"/>
      <x:c r="X229" s="9"/>
      <x:c r="Y229" s="9"/>
      <x:c r="Z229" s="9"/>
    </x:row>
    <x:row r="230" ht="14.25" customHeight="1">
      <x:c r="B230" s="1" t="s">
        <x:v>489</x:v>
      </x:c>
      <x:c r="C230" s="1">
        <x:v>0.0</x:v>
      </x:c>
      <x:c r="D230" s="1">
        <x:v>0.0</x:v>
      </x:c>
      <x:c r="E230" s="1">
        <x:v>0.0</x:v>
      </x:c>
      <x:c r="F230" s="1">
        <x:v>0.0</x:v>
      </x:c>
      <x:c r="G230" s="1">
        <x:v>1.0</x:v>
      </x:c>
      <x:c r="H230" s="1">
        <x:v>0.0</x:v>
      </x:c>
      <x:c r="I230" s="1">
        <x:v>0.0</x:v>
      </x:c>
      <x:c r="J230" s="1">
        <x:v>0.0</x:v>
      </x:c>
      <x:c r="K230" s="1">
        <x:v>0.0</x:v>
      </x:c>
      <x:c r="L230" s="1">
        <x:v>0.0</x:v>
      </x:c>
      <x:c r="M230" s="18">
        <x:f t="shared" si="1"/>
        <x:v>0</x:v>
      </x:c>
      <x:c r="N230" s="18">
        <x:f t="shared" si="2"/>
        <x:v>0</x:v>
      </x:c>
      <x:c r="O230" s="25"/>
      <x:c r="P230" s="25"/>
      <x:c r="Q230" s="25"/>
      <x:c r="R230" s="9"/>
      <x:c r="S230" s="9"/>
      <x:c r="T230" s="9"/>
      <x:c r="U230" s="9"/>
      <x:c r="V230" s="9"/>
      <x:c r="W230" s="9"/>
      <x:c r="X230" s="9"/>
      <x:c r="Y230" s="9"/>
      <x:c r="Z230" s="9"/>
    </x:row>
    <x:row r="231" ht="14.25" customHeight="1">
      <x:c r="A231" s="1" t="s">
        <x:v>596</x:v>
      </x:c>
      <x:c r="B231" s="1" t="s">
        <x:v>545</x:v>
      </x:c>
      <x:c r="C231" s="1">
        <x:v>14.0</x:v>
      </x:c>
      <x:c r="D231" s="1">
        <x:v>8.7</x:v>
      </x:c>
      <x:c r="E231" s="1">
        <x:v>95.7</x:v>
      </x:c>
      <x:c r="F231" s="1">
        <x:v>0.7</x:v>
      </x:c>
      <x:c r="G231" s="1">
        <x:v>0.3</x:v>
      </x:c>
      <x:c r="H231" s="1">
        <x:v>1.3</x:v>
      </x:c>
      <x:c r="I231" s="1">
        <x:v>5.0</x:v>
      </x:c>
      <x:c r="J231" s="1">
        <x:v>0.0</x:v>
      </x:c>
      <x:c r="K231" s="1">
        <x:v>0.0</x:v>
      </x:c>
      <x:c r="L231" s="1">
        <x:v>6.7</x:v>
      </x:c>
      <x:c r="M231" s="18">
        <x:f t="shared" si="1"/>
        <x:v>4.556228102</x:v>
      </x:c>
      <x:c r="N231" s="18">
        <x:f t="shared" si="2"/>
        <x:v>0.3783018868</x:v>
      </x:c>
      <x:c r="O231" s="25" t="n">
        <x:f>MAX(QB!D233*Scoring!$B$30+QB!E233/Scoring!$C$30+QB!F233*Scoring!$D$30+QB!G233*Scoring!$E$30+QB!H233*Scoring!$F$30+QB!I233/Scoring!$G$30+QB!J233*Scoring!$H$30+QB!K233*Scoring!$I$30+M233*Scoring!$J$30+QB!N233*Scoring!$K$30,0)+C233*Scoring!$B$10*0.07+(C233-D233)*Scoring!$B$5</x:f>
        <x:v>0</x:v>
      </x:c>
      <x:c r="P231" s="25" t="n">
        <x:f>MAX(QB!D231*Scoring!$B$30+QB!E231/Scoring!$C$30+QB!F231*Scoring!$D$30+QB!G231*Scoring!$E$30+QB!H231*Scoring!$F$30+QB!I231/Scoring!$G$30+QB!J231*Scoring!$H$30+QB!K231*Scoring!$I$30+M231*Scoring!$J$30+QB!N231*Scoring!$K$30,0)+C231*Scoring!$B$10*0.07+(C231-D231)*Scoring!$B$5</x:f>
        <x:v>6.5280000000000005</x:v>
      </x:c>
      <x:c r="Q231" s="25" t="n">
        <x:f>MAX(QB!D232*Scoring!$B$30+QB!E232/Scoring!$C$30+QB!F232*Scoring!$D$30+QB!G232*Scoring!$E$30+QB!H232*Scoring!$F$30+QB!I232/Scoring!$G$30+QB!J232*Scoring!$H$30+QB!K232*Scoring!$I$30+M232*Scoring!$J$30+QB!N232*Scoring!$K$30,0)+C232*Scoring!$B$10*0.07+(C232-D232)*Scoring!$B$5</x:f>
        <x:v>12.240000000000002</x:v>
      </x:c>
      <x:c r="R231" s="9"/>
      <x:c r="S231" s="9"/>
      <x:c r="T231" s="9"/>
      <x:c r="U231" s="9"/>
      <x:c r="V231" s="9"/>
      <x:c r="W231" s="9"/>
      <x:c r="X231" s="9"/>
      <x:c r="Y231" s="9"/>
      <x:c r="Z231" s="9"/>
    </x:row>
    <x:row r="232" ht="14.25" customHeight="1">
      <x:c r="B232" s="1" t="s">
        <x:v>488</x:v>
      </x:c>
      <x:c r="C232" s="1">
        <x:v>26.0</x:v>
      </x:c>
      <x:c r="D232" s="1">
        <x:v>16.0</x:v>
      </x:c>
      <x:c r="E232" s="1">
        <x:v>186.0</x:v>
      </x:c>
      <x:c r="F232" s="1">
        <x:v>1.0</x:v>
      </x:c>
      <x:c r="G232" s="1">
        <x:v>0.0</x:v>
      </x:c>
      <x:c r="H232" s="1">
        <x:v>2.0</x:v>
      </x:c>
      <x:c r="I232" s="1">
        <x:v>8.0</x:v>
      </x:c>
      <x:c r="J232" s="1">
        <x:v>0.0</x:v>
      </x:c>
      <x:c r="K232" s="1">
        <x:v>0.0</x:v>
      </x:c>
      <x:c r="L232" s="1">
        <x:v>12.1</x:v>
      </x:c>
      <x:c r="M232" s="18">
        <x:f t="shared" si="1"/>
        <x:v>8.855364964</x:v>
      </x:c>
      <x:c r="N232" s="18">
        <x:f t="shared" si="2"/>
        <x:v>0.6052830189</x:v>
      </x:c>
      <x:c r="O232" s="25"/>
      <x:c r="P232" s="25"/>
      <x:c r="Q232" s="25"/>
      <x:c r="R232" s="9"/>
      <x:c r="S232" s="9"/>
      <x:c r="T232" s="9"/>
      <x:c r="U232" s="9"/>
      <x:c r="V232" s="9"/>
      <x:c r="W232" s="9"/>
      <x:c r="X232" s="9"/>
      <x:c r="Y232" s="9"/>
      <x:c r="Z232" s="9"/>
    </x:row>
    <x:row r="233" ht="14.25" customHeight="1">
      <x:c r="B233" s="1" t="s">
        <x:v>489</x:v>
      </x:c>
      <x:c r="C233" s="1">
        <x:v>0.0</x:v>
      </x:c>
      <x:c r="D233" s="1">
        <x:v>0.0</x:v>
      </x:c>
      <x:c r="E233" s="1">
        <x:v>0.0</x:v>
      </x:c>
      <x:c r="F233" s="1">
        <x:v>0.0</x:v>
      </x:c>
      <x:c r="G233" s="1">
        <x:v>1.0</x:v>
      </x:c>
      <x:c r="H233" s="1">
        <x:v>0.0</x:v>
      </x:c>
      <x:c r="I233" s="1">
        <x:v>0.0</x:v>
      </x:c>
      <x:c r="J233" s="1">
        <x:v>0.0</x:v>
      </x:c>
      <x:c r="K233" s="1">
        <x:v>0.0</x:v>
      </x:c>
      <x:c r="L233" s="1">
        <x:v>0.0</x:v>
      </x:c>
      <x:c r="M233" s="18">
        <x:f t="shared" si="1"/>
        <x:v>0</x:v>
      </x:c>
      <x:c r="N233" s="18">
        <x:f t="shared" si="2"/>
        <x:v>0</x:v>
      </x:c>
      <x:c r="O233" s="25"/>
      <x:c r="P233" s="25"/>
      <x:c r="Q233" s="25"/>
      <x:c r="R233" s="9"/>
      <x:c r="S233" s="9"/>
      <x:c r="T233" s="9"/>
      <x:c r="U233" s="9"/>
      <x:c r="V233" s="9"/>
      <x:c r="W233" s="9"/>
      <x:c r="X233" s="9"/>
      <x:c r="Y233" s="9"/>
      <x:c r="Z233" s="9"/>
    </x:row>
    <x:row r="234" ht="14.25" customHeight="1">
      <x:c r="A234" s="1" t="s">
        <x:v>597</x:v>
      </x:c>
      <x:c r="B234" s="1" t="s">
        <x:v>545</x:v>
      </x:c>
      <x:c r="C234" s="1">
        <x:v>10.5</x:v>
      </x:c>
      <x:c r="D234" s="1">
        <x:v>6.5</x:v>
      </x:c>
      <x:c r="E234" s="1">
        <x:v>67.5</x:v>
      </x:c>
      <x:c r="F234" s="1">
        <x:v>0.5</x:v>
      </x:c>
      <x:c r="G234" s="1">
        <x:v>0.0</x:v>
      </x:c>
      <x:c r="H234" s="1">
        <x:v>2.0</x:v>
      </x:c>
      <x:c r="I234" s="1">
        <x:v>8.5</x:v>
      </x:c>
      <x:c r="J234" s="1">
        <x:v>0.0</x:v>
      </x:c>
      <x:c r="K234" s="1">
        <x:v>0.0</x:v>
      </x:c>
      <x:c r="L234" s="1">
        <x:v>5.6</x:v>
      </x:c>
      <x:c r="M234" s="18">
        <x:f t="shared" si="1"/>
        <x:v>3.213640511</x:v>
      </x:c>
      <x:c r="N234" s="18">
        <x:f t="shared" si="2"/>
        <x:v>0.6431132075</x:v>
      </x:c>
      <x:c r="O234" s="25" t="n">
        <x:f>MAX(QB!D236*Scoring!$B$30+QB!E236/Scoring!$C$30+QB!F236*Scoring!$D$30+QB!G236*Scoring!$E$30+QB!H236*Scoring!$F$30+QB!I236/Scoring!$G$30+QB!J236*Scoring!$H$30+QB!K236*Scoring!$I$30+M236*Scoring!$J$30+QB!N236*Scoring!$K$30,0)+C236*Scoring!$B$10*0.07+(C236-D236)*Scoring!$B$5</x:f>
        <x:v>0</x:v>
      </x:c>
      <x:c r="P234" s="25" t="n">
        <x:f>MAX(QB!D234*Scoring!$B$30+QB!E234/Scoring!$C$30+QB!F234*Scoring!$D$30+QB!G234*Scoring!$E$30+QB!H234*Scoring!$F$30+QB!I234/Scoring!$G$30+QB!J234*Scoring!$H$30+QB!K234*Scoring!$I$30+M234*Scoring!$J$30+QB!N234*Scoring!$K$30,0)+C234*Scoring!$B$10*0.07+(C234-D234)*Scoring!$B$5</x:f>
        <x:v>5.55</x:v>
      </x:c>
      <x:c r="Q234" s="25" t="n">
        <x:f>MAX(QB!D235*Scoring!$B$30+QB!E235/Scoring!$C$30+QB!F235*Scoring!$D$30+QB!G235*Scoring!$E$30+QB!H235*Scoring!$F$30+QB!I235/Scoring!$G$30+QB!J235*Scoring!$H$30+QB!K235*Scoring!$I$30+M235*Scoring!$J$30+QB!N235*Scoring!$K$30,0)+C235*Scoring!$B$10*0.07+(C235-D235)*Scoring!$B$5</x:f>
        <x:v>11.1</x:v>
      </x:c>
      <x:c r="R234" s="9"/>
      <x:c r="S234" s="9"/>
      <x:c r="T234" s="9"/>
      <x:c r="U234" s="9"/>
      <x:c r="V234" s="9"/>
      <x:c r="W234" s="9"/>
      <x:c r="X234" s="9"/>
      <x:c r="Y234" s="9"/>
      <x:c r="Z234" s="9"/>
    </x:row>
    <x:row r="235" ht="14.25" customHeight="1">
      <x:c r="B235" s="1" t="s">
        <x:v>488</x:v>
      </x:c>
      <x:c r="C235" s="1">
        <x:v>21.0</x:v>
      </x:c>
      <x:c r="D235" s="1">
        <x:v>13.0</x:v>
      </x:c>
      <x:c r="E235" s="1">
        <x:v>135.0</x:v>
      </x:c>
      <x:c r="F235" s="1">
        <x:v>1.0</x:v>
      </x:c>
      <x:c r="G235" s="1">
        <x:v>0.0</x:v>
      </x:c>
      <x:c r="H235" s="1">
        <x:v>4.0</x:v>
      </x:c>
      <x:c r="I235" s="1">
        <x:v>17.0</x:v>
      </x:c>
      <x:c r="J235" s="1">
        <x:v>0.0</x:v>
      </x:c>
      <x:c r="K235" s="1">
        <x:v>0.0</x:v>
      </x:c>
      <x:c r="L235" s="1">
        <x:v>9.0</x:v>
      </x:c>
      <x:c r="M235" s="18">
        <x:f t="shared" si="1"/>
        <x:v>6.427281022</x:v>
      </x:c>
      <x:c r="N235" s="18">
        <x:f t="shared" si="2"/>
        <x:v>1.286226415</x:v>
      </x:c>
      <x:c r="O235" s="25"/>
      <x:c r="P235" s="25"/>
      <x:c r="Q235" s="25"/>
      <x:c r="R235" s="9"/>
      <x:c r="S235" s="9"/>
      <x:c r="T235" s="9"/>
      <x:c r="U235" s="9"/>
      <x:c r="V235" s="9"/>
      <x:c r="W235" s="9"/>
      <x:c r="X235" s="9"/>
      <x:c r="Y235" s="9"/>
      <x:c r="Z235" s="9"/>
    </x:row>
    <x:row r="236" ht="14.25" customHeight="1">
      <x:c r="B236" s="1" t="s">
        <x:v>489</x:v>
      </x:c>
      <x:c r="C236" s="1">
        <x:v>0.0</x:v>
      </x:c>
      <x:c r="D236" s="1">
        <x:v>0.0</x:v>
      </x:c>
      <x:c r="E236" s="1">
        <x:v>0.0</x:v>
      </x:c>
      <x:c r="F236" s="1">
        <x:v>0.0</x:v>
      </x:c>
      <x:c r="G236" s="1">
        <x:v>0.0</x:v>
      </x:c>
      <x:c r="H236" s="1">
        <x:v>0.0</x:v>
      </x:c>
      <x:c r="I236" s="1">
        <x:v>0.0</x:v>
      </x:c>
      <x:c r="J236" s="1">
        <x:v>0.0</x:v>
      </x:c>
      <x:c r="K236" s="1">
        <x:v>0.0</x:v>
      </x:c>
      <x:c r="L236" s="1">
        <x:v>0.0</x:v>
      </x:c>
      <x:c r="M236" s="18">
        <x:f t="shared" si="1"/>
        <x:v>0</x:v>
      </x:c>
      <x:c r="N236" s="18">
        <x:f t="shared" si="2"/>
        <x:v>0</x:v>
      </x:c>
      <x:c r="O236" s="25"/>
      <x:c r="P236" s="25"/>
      <x:c r="Q236" s="25"/>
      <x:c r="R236" s="9"/>
      <x:c r="S236" s="9"/>
      <x:c r="T236" s="9"/>
      <x:c r="U236" s="9"/>
      <x:c r="V236" s="9"/>
      <x:c r="W236" s="9"/>
      <x:c r="X236" s="9"/>
      <x:c r="Y236" s="9"/>
      <x:c r="Z236" s="9"/>
    </x:row>
    <x:row r="237" ht="14.25" customHeight="1">
      <x:c r="A237" s="1" t="s">
        <x:v>598</x:v>
      </x:c>
      <x:c r="B237" s="1" t="s">
        <x:v>539</x:v>
      </x:c>
      <x:c r="C237" s="1">
        <x:v>10.0</x:v>
      </x:c>
      <x:c r="D237" s="1">
        <x:v>6.5</x:v>
      </x:c>
      <x:c r="E237" s="1">
        <x:v>60.0</x:v>
      </x:c>
      <x:c r="F237" s="1">
        <x:v>0.5</x:v>
      </x:c>
      <x:c r="G237" s="1">
        <x:v>0.5</x:v>
      </x:c>
      <x:c r="H237" s="1">
        <x:v>2.0</x:v>
      </x:c>
      <x:c r="I237" s="1">
        <x:v>10.5</x:v>
      </x:c>
      <x:c r="J237" s="1">
        <x:v>0.0</x:v>
      </x:c>
      <x:c r="K237" s="1">
        <x:v>0.0</x:v>
      </x:c>
      <x:c r="L237" s="1">
        <x:v>5.0</x:v>
      </x:c>
      <x:c r="M237" s="18">
        <x:f t="shared" si="1"/>
        <x:v>2.856569343</x:v>
      </x:c>
      <x:c r="N237" s="18">
        <x:f t="shared" si="2"/>
        <x:v>0.7944339623</x:v>
      </x:c>
      <x:c r="O237" s="25" t="n">
        <x:f>MAX(QB!D239*Scoring!$B$30+QB!E239/Scoring!$C$30+QB!F239*Scoring!$D$30+QB!G239*Scoring!$E$30+QB!H239*Scoring!$F$30+QB!I239/Scoring!$G$30+QB!J239*Scoring!$H$30+QB!K239*Scoring!$I$30+M239*Scoring!$J$30+QB!N239*Scoring!$K$30,0)+C239*Scoring!$B$10*0.07+(C239-D239)*Scoring!$B$5</x:f>
        <x:v>0</x:v>
      </x:c>
      <x:c r="P237" s="25" t="n">
        <x:f>MAX(QB!D237*Scoring!$B$30+QB!E237/Scoring!$C$30+QB!F237*Scoring!$D$30+QB!G237*Scoring!$E$30+QB!H237*Scoring!$F$30+QB!I237/Scoring!$G$30+QB!J237*Scoring!$H$30+QB!K237*Scoring!$I$30+M237*Scoring!$J$30+QB!N237*Scoring!$K$30,0)+C237*Scoring!$B$10*0.07+(C237-D237)*Scoring!$B$5</x:f>
        <x:v>4.45</x:v>
      </x:c>
      <x:c r="Q237" s="25" t="n">
        <x:f>MAX(QB!D238*Scoring!$B$30+QB!E238/Scoring!$C$30+QB!F238*Scoring!$D$30+QB!G238*Scoring!$E$30+QB!H238*Scoring!$F$30+QB!I238/Scoring!$G$30+QB!J238*Scoring!$H$30+QB!K238*Scoring!$I$30+M238*Scoring!$J$30+QB!N238*Scoring!$K$30,0)+C238*Scoring!$B$10*0.07+(C238-D238)*Scoring!$B$5</x:f>
        <x:v>10.9</x:v>
      </x:c>
      <x:c r="R237" s="9"/>
      <x:c r="S237" s="9"/>
      <x:c r="T237" s="9"/>
      <x:c r="U237" s="9"/>
      <x:c r="V237" s="9"/>
      <x:c r="W237" s="9"/>
      <x:c r="X237" s="9"/>
      <x:c r="Y237" s="9"/>
      <x:c r="Z237" s="9"/>
    </x:row>
    <x:row r="238" ht="14.25" customHeight="1">
      <x:c r="B238" s="1" t="s">
        <x:v>488</x:v>
      </x:c>
      <x:c r="C238" s="1">
        <x:v>20.0</x:v>
      </x:c>
      <x:c r="D238" s="1">
        <x:v>13.0</x:v>
      </x:c>
      <x:c r="E238" s="1">
        <x:v>120.0</x:v>
      </x:c>
      <x:c r="F238" s="1">
        <x:v>1.0</x:v>
      </x:c>
      <x:c r="G238" s="1">
        <x:v>0.0</x:v>
      </x:c>
      <x:c r="H238" s="1">
        <x:v>4.0</x:v>
      </x:c>
      <x:c r="I238" s="1">
        <x:v>21.0</x:v>
      </x:c>
      <x:c r="J238" s="1">
        <x:v>0.0</x:v>
      </x:c>
      <x:c r="K238" s="1">
        <x:v>0.0</x:v>
      </x:c>
      <x:c r="L238" s="1">
        <x:v>7.0</x:v>
      </x:c>
      <x:c r="M238" s="18">
        <x:f t="shared" si="1"/>
        <x:v>5.713138686</x:v>
      </x:c>
      <x:c r="N238" s="18">
        <x:f t="shared" si="2"/>
        <x:v>1.588867925</x:v>
      </x:c>
      <x:c r="O238" s="25"/>
      <x:c r="P238" s="25"/>
      <x:c r="Q238" s="25"/>
      <x:c r="R238" s="9"/>
      <x:c r="S238" s="9"/>
      <x:c r="T238" s="9"/>
      <x:c r="U238" s="9"/>
      <x:c r="V238" s="9"/>
      <x:c r="W238" s="9"/>
      <x:c r="X238" s="9"/>
      <x:c r="Y238" s="9"/>
      <x:c r="Z238" s="9"/>
    </x:row>
    <x:row r="239" ht="14.25" customHeight="1">
      <x:c r="B239" s="1" t="s">
        <x:v>489</x:v>
      </x:c>
      <x:c r="C239" s="1">
        <x:v>0.0</x:v>
      </x:c>
      <x:c r="D239" s="1">
        <x:v>0.0</x:v>
      </x:c>
      <x:c r="E239" s="1">
        <x:v>0.0</x:v>
      </x:c>
      <x:c r="F239" s="1">
        <x:v>0.0</x:v>
      </x:c>
      <x:c r="G239" s="1">
        <x:v>1.0</x:v>
      </x:c>
      <x:c r="H239" s="1">
        <x:v>0.0</x:v>
      </x:c>
      <x:c r="I239" s="1">
        <x:v>0.0</x:v>
      </x:c>
      <x:c r="J239" s="1">
        <x:v>0.0</x:v>
      </x:c>
      <x:c r="K239" s="1">
        <x:v>0.0</x:v>
      </x:c>
      <x:c r="L239" s="1">
        <x:v>0.0</x:v>
      </x:c>
      <x:c r="M239" s="18">
        <x:f t="shared" si="1"/>
        <x:v>0</x:v>
      </x:c>
      <x:c r="N239" s="18">
        <x:f t="shared" si="2"/>
        <x:v>0</x:v>
      </x:c>
      <x:c r="O239" s="25"/>
      <x:c r="P239" s="25"/>
      <x:c r="Q239" s="25"/>
      <x:c r="R239" s="9"/>
      <x:c r="S239" s="9"/>
      <x:c r="T239" s="9"/>
      <x:c r="U239" s="9"/>
      <x:c r="V239" s="9"/>
      <x:c r="W239" s="9"/>
      <x:c r="X239" s="9"/>
      <x:c r="Y239" s="9"/>
      <x:c r="Z239" s="9"/>
    </x:row>
    <x:row r="240" ht="14.25" customHeight="1">
      <x:c r="A240" s="1" t="s">
        <x:v>599</x:v>
      </x:c>
      <x:c r="B240" s="1" t="s">
        <x:v>499</x:v>
      </x:c>
      <x:c r="C240" s="1">
        <x:v>0.0</x:v>
      </x:c>
      <x:c r="D240" s="1">
        <x:v>0.0</x:v>
      </x:c>
      <x:c r="E240" s="1">
        <x:v>0.0</x:v>
      </x:c>
      <x:c r="F240" s="1">
        <x:v>0.0</x:v>
      </x:c>
      <x:c r="G240" s="1">
        <x:v>0.0</x:v>
      </x:c>
      <x:c r="H240" s="1">
        <x:v>0.0</x:v>
      </x:c>
      <x:c r="I240" s="1">
        <x:v>0.0</x:v>
      </x:c>
      <x:c r="J240" s="1">
        <x:v>0.0</x:v>
      </x:c>
      <x:c r="K240" s="1">
        <x:v>0.0</x:v>
      </x:c>
      <x:c r="L240" s="1">
        <x:v>0.0</x:v>
      </x:c>
      <x:c r="M240" s="18">
        <x:f t="shared" si="1"/>
        <x:v>0</x:v>
      </x:c>
      <x:c r="N240" s="18">
        <x:f t="shared" si="2"/>
        <x:v>0</x:v>
      </x:c>
      <x:c r="O240" s="25" t="n">
        <x:f>MAX(QB!D242*Scoring!$B$30+QB!E242/Scoring!$C$30+QB!F242*Scoring!$D$30+QB!G242*Scoring!$E$30+QB!H242*Scoring!$F$30+QB!I242/Scoring!$G$30+QB!J242*Scoring!$H$30+QB!K242*Scoring!$I$30+M242*Scoring!$J$30+QB!N242*Scoring!$K$30,0)+C242*Scoring!$B$10*0.07+(C242-D242)*Scoring!$B$5</x:f>
        <x:v>0</x:v>
      </x:c>
      <x:c r="P240" s="25" t="n">
        <x:f>MAX(QB!D240*Scoring!$B$30+QB!E240/Scoring!$C$30+QB!F240*Scoring!$D$30+QB!G240*Scoring!$E$30+QB!H240*Scoring!$F$30+QB!I240/Scoring!$G$30+QB!J240*Scoring!$H$30+QB!K240*Scoring!$I$30+M240*Scoring!$J$30+QB!N240*Scoring!$K$30,0)+C240*Scoring!$B$10*0.07+(C240-D240)*Scoring!$B$5</x:f>
        <x:v>0</x:v>
      </x:c>
      <x:c r="Q240" s="25" t="n">
        <x:f>MAX(QB!D241*Scoring!$B$30+QB!E241/Scoring!$C$30+QB!F241*Scoring!$D$30+QB!G241*Scoring!$E$30+QB!H241*Scoring!$F$30+QB!I241/Scoring!$G$30+QB!J241*Scoring!$H$30+QB!K241*Scoring!$I$30+M241*Scoring!$J$30+QB!N241*Scoring!$K$30,0)+C241*Scoring!$B$10*0.07+(C241-D241)*Scoring!$B$5</x:f>
        <x:v>0</x:v>
      </x:c>
      <x:c r="R240" s="9"/>
      <x:c r="S240" s="9"/>
      <x:c r="T240" s="9"/>
      <x:c r="U240" s="9"/>
      <x:c r="V240" s="9"/>
      <x:c r="W240" s="9"/>
      <x:c r="X240" s="9"/>
      <x:c r="Y240" s="9"/>
      <x:c r="Z240" s="9"/>
    </x:row>
    <x:row r="241" ht="14.25" customHeight="1">
      <x:c r="B241" s="1" t="s">
        <x:v>488</x:v>
      </x:c>
      <x:c r="C241" s="1">
        <x:v>0.0</x:v>
      </x:c>
      <x:c r="D241" s="1">
        <x:v>0.0</x:v>
      </x:c>
      <x:c r="E241" s="1">
        <x:v>0.0</x:v>
      </x:c>
      <x:c r="F241" s="1">
        <x:v>0.0</x:v>
      </x:c>
      <x:c r="G241" s="1">
        <x:v>0.0</x:v>
      </x:c>
      <x:c r="H241" s="1">
        <x:v>0.0</x:v>
      </x:c>
      <x:c r="I241" s="1">
        <x:v>0.0</x:v>
      </x:c>
      <x:c r="J241" s="1">
        <x:v>0.0</x:v>
      </x:c>
      <x:c r="K241" s="1">
        <x:v>0.0</x:v>
      </x:c>
      <x:c r="L241" s="1">
        <x:v>0.0</x:v>
      </x:c>
      <x:c r="M241" s="18">
        <x:f t="shared" si="1"/>
        <x:v>0</x:v>
      </x:c>
      <x:c r="N241" s="18">
        <x:f t="shared" si="2"/>
        <x:v>0</x:v>
      </x:c>
      <x:c r="O241" s="25"/>
      <x:c r="P241" s="25"/>
      <x:c r="Q241" s="25"/>
      <x:c r="R241" s="9"/>
      <x:c r="S241" s="9"/>
      <x:c r="T241" s="9"/>
      <x:c r="U241" s="9"/>
      <x:c r="V241" s="9"/>
      <x:c r="W241" s="9"/>
      <x:c r="X241" s="9"/>
      <x:c r="Y241" s="9"/>
      <x:c r="Z241" s="9"/>
    </x:row>
    <x:row r="242" ht="14.25" customHeight="1">
      <x:c r="B242" s="1" t="s">
        <x:v>489</x:v>
      </x:c>
      <x:c r="C242" s="1">
        <x:v>0.0</x:v>
      </x:c>
      <x:c r="D242" s="1">
        <x:v>0.0</x:v>
      </x:c>
      <x:c r="E242" s="1">
        <x:v>0.0</x:v>
      </x:c>
      <x:c r="F242" s="1">
        <x:v>0.0</x:v>
      </x:c>
      <x:c r="G242" s="1">
        <x:v>0.0</x:v>
      </x:c>
      <x:c r="H242" s="1">
        <x:v>0.0</x:v>
      </x:c>
      <x:c r="I242" s="1">
        <x:v>0.0</x:v>
      </x:c>
      <x:c r="J242" s="1">
        <x:v>0.0</x:v>
      </x:c>
      <x:c r="K242" s="1">
        <x:v>0.0</x:v>
      </x:c>
      <x:c r="L242" s="1">
        <x:v>0.0</x:v>
      </x:c>
      <x:c r="M242" s="18">
        <x:f t="shared" si="1"/>
        <x:v>0</x:v>
      </x:c>
      <x:c r="N242" s="18">
        <x:f t="shared" si="2"/>
        <x:v>0</x:v>
      </x:c>
      <x:c r="O242" s="25"/>
      <x:c r="P242" s="25"/>
      <x:c r="Q242" s="25"/>
      <x:c r="R242" s="9"/>
      <x:c r="S242" s="9"/>
      <x:c r="T242" s="9"/>
      <x:c r="U242" s="9"/>
      <x:c r="V242" s="9"/>
      <x:c r="W242" s="9"/>
      <x:c r="X242" s="9"/>
      <x:c r="Y242" s="9"/>
      <x:c r="Z242" s="9"/>
    </x:row>
    <x:row r="243" ht="14.25" customHeight="1">
      <x:c r="A243" s="1" t="s">
        <x:v>600</x:v>
      </x:c>
      <x:c r="B243" s="1" t="s">
        <x:v>517</x:v>
      </x:c>
      <x:c r="C243" s="1">
        <x:v>0.0</x:v>
      </x:c>
      <x:c r="D243" s="1">
        <x:v>0.0</x:v>
      </x:c>
      <x:c r="E243" s="1">
        <x:v>0.0</x:v>
      </x:c>
      <x:c r="F243" s="1">
        <x:v>0.0</x:v>
      </x:c>
      <x:c r="G243" s="1">
        <x:v>0.0</x:v>
      </x:c>
      <x:c r="H243" s="1">
        <x:v>0.0</x:v>
      </x:c>
      <x:c r="I243" s="1">
        <x:v>0.0</x:v>
      </x:c>
      <x:c r="J243" s="1">
        <x:v>0.0</x:v>
      </x:c>
      <x:c r="K243" s="1">
        <x:v>0.0</x:v>
      </x:c>
      <x:c r="L243" s="1">
        <x:v>0.0</x:v>
      </x:c>
      <x:c r="M243" s="18">
        <x:f t="shared" si="1"/>
        <x:v>0</x:v>
      </x:c>
      <x:c r="N243" s="18">
        <x:f t="shared" si="2"/>
        <x:v>0</x:v>
      </x:c>
      <x:c r="O243" s="25" t="n">
        <x:f>MAX(QB!D245*Scoring!$B$30+QB!E245/Scoring!$C$30+QB!F245*Scoring!$D$30+QB!G245*Scoring!$E$30+QB!H245*Scoring!$F$30+QB!I245/Scoring!$G$30+QB!J245*Scoring!$H$30+QB!K245*Scoring!$I$30+M245*Scoring!$J$30+QB!N245*Scoring!$K$30,0)+C245*Scoring!$B$10*0.07+(C245-D245)*Scoring!$B$5</x:f>
        <x:v>0</x:v>
      </x:c>
      <x:c r="P243" s="25" t="n">
        <x:f>MAX(QB!D243*Scoring!$B$30+QB!E243/Scoring!$C$30+QB!F243*Scoring!$D$30+QB!G243*Scoring!$E$30+QB!H243*Scoring!$F$30+QB!I243/Scoring!$G$30+QB!J243*Scoring!$H$30+QB!K243*Scoring!$I$30+M243*Scoring!$J$30+QB!N243*Scoring!$K$30,0)+C243*Scoring!$B$10*0.07+(C243-D243)*Scoring!$B$5</x:f>
        <x:v>0</x:v>
      </x:c>
      <x:c r="Q243" s="25" t="n">
        <x:f>MAX(QB!D244*Scoring!$B$30+QB!E244/Scoring!$C$30+QB!F244*Scoring!$D$30+QB!G244*Scoring!$E$30+QB!H244*Scoring!$F$30+QB!I244/Scoring!$G$30+QB!J244*Scoring!$H$30+QB!K244*Scoring!$I$30+M244*Scoring!$J$30+QB!N244*Scoring!$K$30,0)+C244*Scoring!$B$10*0.07+(C244-D244)*Scoring!$B$5</x:f>
        <x:v>0</x:v>
      </x:c>
      <x:c r="R243" s="9"/>
      <x:c r="S243" s="9"/>
      <x:c r="T243" s="9"/>
      <x:c r="U243" s="9"/>
      <x:c r="V243" s="9"/>
      <x:c r="W243" s="9"/>
      <x:c r="X243" s="9"/>
      <x:c r="Y243" s="9"/>
      <x:c r="Z243" s="9"/>
    </x:row>
    <x:row r="244" ht="14.25" customHeight="1">
      <x:c r="B244" s="1" t="s">
        <x:v>488</x:v>
      </x:c>
      <x:c r="C244" s="1">
        <x:v>0.0</x:v>
      </x:c>
      <x:c r="D244" s="1">
        <x:v>0.0</x:v>
      </x:c>
      <x:c r="E244" s="1">
        <x:v>0.0</x:v>
      </x:c>
      <x:c r="F244" s="1">
        <x:v>0.0</x:v>
      </x:c>
      <x:c r="G244" s="1">
        <x:v>0.0</x:v>
      </x:c>
      <x:c r="H244" s="1">
        <x:v>0.0</x:v>
      </x:c>
      <x:c r="I244" s="1">
        <x:v>0.0</x:v>
      </x:c>
      <x:c r="J244" s="1">
        <x:v>0.0</x:v>
      </x:c>
      <x:c r="K244" s="1">
        <x:v>0.0</x:v>
      </x:c>
      <x:c r="L244" s="1">
        <x:v>0.0</x:v>
      </x:c>
      <x:c r="M244" s="18">
        <x:f t="shared" si="1"/>
        <x:v>0</x:v>
      </x:c>
      <x:c r="N244" s="18">
        <x:f t="shared" si="2"/>
        <x:v>0</x:v>
      </x:c>
      <x:c r="O244" s="25"/>
      <x:c r="P244" s="25"/>
      <x:c r="Q244" s="25"/>
      <x:c r="R244" s="9"/>
      <x:c r="S244" s="9"/>
      <x:c r="T244" s="9"/>
      <x:c r="U244" s="9"/>
      <x:c r="V244" s="9"/>
      <x:c r="W244" s="9"/>
      <x:c r="X244" s="9"/>
      <x:c r="Y244" s="9"/>
      <x:c r="Z244" s="9"/>
    </x:row>
    <x:row r="245" ht="14.25" customHeight="1">
      <x:c r="B245" s="1" t="s">
        <x:v>489</x:v>
      </x:c>
      <x:c r="C245" s="1">
        <x:v>0.0</x:v>
      </x:c>
      <x:c r="D245" s="1">
        <x:v>0.0</x:v>
      </x:c>
      <x:c r="E245" s="1">
        <x:v>0.0</x:v>
      </x:c>
      <x:c r="F245" s="1">
        <x:v>0.0</x:v>
      </x:c>
      <x:c r="G245" s="1">
        <x:v>0.0</x:v>
      </x:c>
      <x:c r="H245" s="1">
        <x:v>0.0</x:v>
      </x:c>
      <x:c r="I245" s="1">
        <x:v>0.0</x:v>
      </x:c>
      <x:c r="J245" s="1">
        <x:v>0.0</x:v>
      </x:c>
      <x:c r="K245" s="1">
        <x:v>0.0</x:v>
      </x:c>
      <x:c r="L245" s="1">
        <x:v>0.0</x:v>
      </x:c>
      <x:c r="M245" s="18">
        <x:f t="shared" si="1"/>
        <x:v>0</x:v>
      </x:c>
      <x:c r="N245" s="18">
        <x:f t="shared" si="2"/>
        <x:v>0</x:v>
      </x:c>
      <x:c r="O245" s="25"/>
      <x:c r="P245" s="25"/>
      <x:c r="Q245" s="25"/>
      <x:c r="R245" s="9"/>
      <x:c r="S245" s="9"/>
      <x:c r="T245" s="9"/>
      <x:c r="U245" s="9"/>
      <x:c r="V245" s="9"/>
      <x:c r="W245" s="9"/>
      <x:c r="X245" s="9"/>
      <x:c r="Y245" s="9"/>
      <x:c r="Z245" s="9"/>
    </x:row>
    <x:row r="246" ht="14.25" customHeight="1">
      <x:c r="A246" s="1" t="s">
        <x:v>601</x:v>
      </x:c>
      <x:c r="B246" s="1" t="s">
        <x:v>547</x:v>
      </x:c>
      <x:c r="C246" s="1">
        <x:v>0.0</x:v>
      </x:c>
      <x:c r="D246" s="1">
        <x:v>0.0</x:v>
      </x:c>
      <x:c r="E246" s="1">
        <x:v>0.0</x:v>
      </x:c>
      <x:c r="F246" s="1">
        <x:v>0.0</x:v>
      </x:c>
      <x:c r="G246" s="1">
        <x:v>0.0</x:v>
      </x:c>
      <x:c r="H246" s="1">
        <x:v>0.0</x:v>
      </x:c>
      <x:c r="I246" s="1">
        <x:v>0.0</x:v>
      </x:c>
      <x:c r="J246" s="1">
        <x:v>0.0</x:v>
      </x:c>
      <x:c r="K246" s="1">
        <x:v>0.0</x:v>
      </x:c>
      <x:c r="L246" s="1">
        <x:v>0.0</x:v>
      </x:c>
      <x:c r="M246" s="18">
        <x:f t="shared" si="1"/>
        <x:v>0</x:v>
      </x:c>
      <x:c r="N246" s="18">
        <x:f t="shared" si="2"/>
        <x:v>0</x:v>
      </x:c>
      <x:c r="O246" s="25" t="n">
        <x:f>MAX(QB!D248*Scoring!$B$30+QB!E248/Scoring!$C$30+QB!F248*Scoring!$D$30+QB!G248*Scoring!$E$30+QB!H248*Scoring!$F$30+QB!I248/Scoring!$G$30+QB!J248*Scoring!$H$30+QB!K248*Scoring!$I$30+M248*Scoring!$J$30+QB!N248*Scoring!$K$30,0)+C248*Scoring!$B$10*0.07+(C248-D248)*Scoring!$B$5</x:f>
        <x:v>0</x:v>
      </x:c>
      <x:c r="P246" s="25" t="n">
        <x:f>MAX(QB!D246*Scoring!$B$30+QB!E246/Scoring!$C$30+QB!F246*Scoring!$D$30+QB!G246*Scoring!$E$30+QB!H246*Scoring!$F$30+QB!I246/Scoring!$G$30+QB!J246*Scoring!$H$30+QB!K246*Scoring!$I$30+M246*Scoring!$J$30+QB!N246*Scoring!$K$30,0)+C246*Scoring!$B$10*0.07+(C246-D246)*Scoring!$B$5</x:f>
        <x:v>0</x:v>
      </x:c>
      <x:c r="Q246" s="25" t="n">
        <x:f>MAX(QB!D247*Scoring!$B$30+QB!E247/Scoring!$C$30+QB!F247*Scoring!$D$30+QB!G247*Scoring!$E$30+QB!H247*Scoring!$F$30+QB!I247/Scoring!$G$30+QB!J247*Scoring!$H$30+QB!K247*Scoring!$I$30+M247*Scoring!$J$30+QB!N247*Scoring!$K$30,0)+C247*Scoring!$B$10*0.07+(C247-D247)*Scoring!$B$5</x:f>
        <x:v>0</x:v>
      </x:c>
      <x:c r="R246" s="9"/>
      <x:c r="S246" s="9"/>
      <x:c r="T246" s="9"/>
      <x:c r="U246" s="9"/>
      <x:c r="V246" s="9"/>
      <x:c r="W246" s="9"/>
      <x:c r="X246" s="9"/>
      <x:c r="Y246" s="9"/>
      <x:c r="Z246" s="9"/>
    </x:row>
    <x:row r="247" ht="14.25" customHeight="1">
      <x:c r="B247" s="1" t="s">
        <x:v>488</x:v>
      </x:c>
      <x:c r="C247" s="1">
        <x:v>0.0</x:v>
      </x:c>
      <x:c r="D247" s="1">
        <x:v>0.0</x:v>
      </x:c>
      <x:c r="E247" s="1">
        <x:v>0.0</x:v>
      </x:c>
      <x:c r="F247" s="1">
        <x:v>0.0</x:v>
      </x:c>
      <x:c r="G247" s="1">
        <x:v>0.0</x:v>
      </x:c>
      <x:c r="H247" s="1">
        <x:v>0.0</x:v>
      </x:c>
      <x:c r="I247" s="1">
        <x:v>0.0</x:v>
      </x:c>
      <x:c r="J247" s="1">
        <x:v>0.0</x:v>
      </x:c>
      <x:c r="K247" s="1">
        <x:v>0.0</x:v>
      </x:c>
      <x:c r="L247" s="1">
        <x:v>0.0</x:v>
      </x:c>
      <x:c r="M247" s="18">
        <x:f t="shared" si="1"/>
        <x:v>0</x:v>
      </x:c>
      <x:c r="N247" s="18">
        <x:f t="shared" si="2"/>
        <x:v>0</x:v>
      </x:c>
      <x:c r="O247" s="25"/>
      <x:c r="P247" s="25"/>
      <x:c r="Q247" s="25"/>
      <x:c r="R247" s="9"/>
      <x:c r="S247" s="9"/>
      <x:c r="T247" s="9"/>
      <x:c r="U247" s="9"/>
      <x:c r="V247" s="9"/>
      <x:c r="W247" s="9"/>
      <x:c r="X247" s="9"/>
      <x:c r="Y247" s="9"/>
      <x:c r="Z247" s="9"/>
    </x:row>
    <x:row r="248" ht="14.25" customHeight="1">
      <x:c r="B248" s="1" t="s">
        <x:v>489</x:v>
      </x:c>
      <x:c r="C248" s="1">
        <x:v>0.0</x:v>
      </x:c>
      <x:c r="D248" s="1">
        <x:v>0.0</x:v>
      </x:c>
      <x:c r="E248" s="1">
        <x:v>0.0</x:v>
      </x:c>
      <x:c r="F248" s="1">
        <x:v>0.0</x:v>
      </x:c>
      <x:c r="G248" s="1">
        <x:v>0.0</x:v>
      </x:c>
      <x:c r="H248" s="1">
        <x:v>0.0</x:v>
      </x:c>
      <x:c r="I248" s="1">
        <x:v>0.0</x:v>
      </x:c>
      <x:c r="J248" s="1">
        <x:v>0.0</x:v>
      </x:c>
      <x:c r="K248" s="1">
        <x:v>0.0</x:v>
      </x:c>
      <x:c r="L248" s="1">
        <x:v>0.0</x:v>
      </x:c>
      <x:c r="M248" s="18">
        <x:f t="shared" si="1"/>
        <x:v>0</x:v>
      </x:c>
      <x:c r="N248" s="18">
        <x:f t="shared" si="2"/>
        <x:v>0</x:v>
      </x:c>
      <x:c r="O248" s="25"/>
      <x:c r="P248" s="25"/>
      <x:c r="Q248" s="25"/>
      <x:c r="R248" s="9"/>
      <x:c r="S248" s="9"/>
      <x:c r="T248" s="9"/>
      <x:c r="U248" s="9"/>
      <x:c r="V248" s="9"/>
      <x:c r="W248" s="9"/>
      <x:c r="X248" s="9"/>
      <x:c r="Y248" s="9"/>
      <x:c r="Z248" s="9"/>
    </x:row>
    <x:row r="249" ht="14.25" customHeight="1">
      <x:c r="M249" s="18">
        <x:f t="shared" si="1"/>
        <x:v>0</x:v>
      </x:c>
      <x:c r="N249" s="18">
        <x:f t="shared" si="2"/>
        <x:v>0</x:v>
      </x:c>
      <x:c r="O249" s="25" t="n">
        <x:f>MAX(QB!D251*Scoring!$B$30+QB!E251/Scoring!$C$30+QB!F251*Scoring!$D$30+QB!G251*Scoring!$E$30+QB!H251*Scoring!$F$30+QB!I251/Scoring!$G$30+QB!J251*Scoring!$H$30+QB!K251*Scoring!$I$30+M251*Scoring!$J$30+QB!N251*Scoring!$K$30,0)+C251*Scoring!$B$10*0.07+(C251-D251)*Scoring!$B$5</x:f>
        <x:v>0</x:v>
      </x:c>
      <x:c r="P249" s="25" t="n">
        <x:f>MAX(QB!D249*Scoring!$B$30+QB!E249/Scoring!$C$30+QB!F249*Scoring!$D$30+QB!G249*Scoring!$E$30+QB!H249*Scoring!$F$30+QB!I249/Scoring!$G$30+QB!J249*Scoring!$H$30+QB!K249*Scoring!$I$30+M249*Scoring!$J$30+QB!N249*Scoring!$K$30,0)+C249*Scoring!$B$10*0.07+(C249-D249)*Scoring!$B$5</x:f>
        <x:v>0</x:v>
      </x:c>
      <x:c r="Q249" s="25" t="n">
        <x:f>MAX(QB!D250*Scoring!$B$30+QB!E250/Scoring!$C$30+QB!F250*Scoring!$D$30+QB!G250*Scoring!$E$30+QB!H250*Scoring!$F$30+QB!I250/Scoring!$G$30+QB!J250*Scoring!$H$30+QB!K250*Scoring!$I$30+M250*Scoring!$J$30+QB!N250*Scoring!$K$30,0)+C250*Scoring!$B$10*0.07+(C250-D250)*Scoring!$B$5</x:f>
        <x:v>0</x:v>
      </x:c>
      <x:c r="R249" s="9"/>
      <x:c r="S249" s="9"/>
      <x:c r="T249" s="9"/>
      <x:c r="U249" s="9"/>
      <x:c r="V249" s="9"/>
      <x:c r="W249" s="9"/>
      <x:c r="X249" s="9"/>
      <x:c r="Y249" s="9"/>
      <x:c r="Z249" s="9"/>
    </x:row>
    <x:row r="250" ht="14.25" customHeight="1">
      <x:c r="M250" s="18">
        <x:f t="shared" si="1"/>
        <x:v>0</x:v>
      </x:c>
      <x:c r="N250" s="18">
        <x:f t="shared" si="2"/>
        <x:v>0</x:v>
      </x:c>
      <x:c r="O250" s="25"/>
      <x:c r="P250" s="25"/>
      <x:c r="Q250" s="25"/>
      <x:c r="R250" s="9"/>
      <x:c r="S250" s="9"/>
      <x:c r="T250" s="9"/>
      <x:c r="U250" s="9"/>
      <x:c r="V250" s="9"/>
      <x:c r="W250" s="9"/>
      <x:c r="X250" s="9"/>
      <x:c r="Y250" s="9"/>
      <x:c r="Z250" s="9"/>
    </x:row>
    <x:row r="251" ht="14.25" customHeight="1">
      <x:c r="M251" s="18">
        <x:f t="shared" si="1"/>
        <x:v>0</x:v>
      </x:c>
      <x:c r="N251" s="18">
        <x:f t="shared" si="2"/>
        <x:v>0</x:v>
      </x:c>
      <x:c r="O251" s="25"/>
      <x:c r="P251" s="25"/>
      <x:c r="Q251" s="25"/>
      <x:c r="R251" s="9"/>
      <x:c r="S251" s="9"/>
      <x:c r="T251" s="9"/>
      <x:c r="U251" s="9"/>
      <x:c r="V251" s="9"/>
      <x:c r="W251" s="9"/>
      <x:c r="X251" s="9"/>
      <x:c r="Y251" s="9"/>
      <x:c r="Z251" s="9"/>
    </x:row>
    <x:row r="252" ht="14.25" customHeight="1">
      <x:c r="M252" s="18">
        <x:f t="shared" si="1"/>
        <x:v>0</x:v>
      </x:c>
      <x:c r="N252" s="18">
        <x:f t="shared" si="2"/>
        <x:v>0</x:v>
      </x:c>
      <x:c r="O252" s="25" t="n">
        <x:f>MAX(QB!D254*Scoring!$B$30+QB!E254/Scoring!$C$30+QB!F254*Scoring!$D$30+QB!G254*Scoring!$E$30+QB!H254*Scoring!$F$30+QB!I254/Scoring!$G$30+QB!J254*Scoring!$H$30+QB!K254*Scoring!$I$30+M254*Scoring!$J$30+QB!N254*Scoring!$K$30,0)+C254*Scoring!$B$10*0.07+(C254-D254)*Scoring!$B$5</x:f>
        <x:v>0</x:v>
      </x:c>
      <x:c r="P252" s="25" t="n">
        <x:f>MAX(QB!D252*Scoring!$B$30+QB!E252/Scoring!$C$30+QB!F252*Scoring!$D$30+QB!G252*Scoring!$E$30+QB!H252*Scoring!$F$30+QB!I252/Scoring!$G$30+QB!J252*Scoring!$H$30+QB!K252*Scoring!$I$30+M252*Scoring!$J$30+QB!N252*Scoring!$K$30,0)+C252*Scoring!$B$10*0.07+(C252-D252)*Scoring!$B$5</x:f>
        <x:v>0</x:v>
      </x:c>
      <x:c r="Q252" s="25" t="n">
        <x:f>MAX(QB!D253*Scoring!$B$30+QB!E253/Scoring!$C$30+QB!F253*Scoring!$D$30+QB!G253*Scoring!$E$30+QB!H253*Scoring!$F$30+QB!I253/Scoring!$G$30+QB!J253*Scoring!$H$30+QB!K253*Scoring!$I$30+M253*Scoring!$J$30+QB!N253*Scoring!$K$30,0)+C253*Scoring!$B$10*0.07+(C253-D253)*Scoring!$B$5</x:f>
        <x:v>0</x:v>
      </x:c>
      <x:c r="R252" s="9"/>
      <x:c r="S252" s="9"/>
      <x:c r="T252" s="9"/>
      <x:c r="U252" s="9"/>
      <x:c r="V252" s="9"/>
      <x:c r="W252" s="9"/>
      <x:c r="X252" s="9"/>
      <x:c r="Y252" s="9"/>
      <x:c r="Z252" s="9"/>
    </x:row>
    <x:row r="253" ht="14.25" customHeight="1">
      <x:c r="M253" s="18">
        <x:f t="shared" si="1"/>
        <x:v>0</x:v>
      </x:c>
      <x:c r="N253" s="18">
        <x:f t="shared" si="2"/>
        <x:v>0</x:v>
      </x:c>
      <x:c r="O253" s="25"/>
      <x:c r="P253" s="25"/>
      <x:c r="Q253" s="25"/>
      <x:c r="R253" s="9"/>
      <x:c r="S253" s="9"/>
      <x:c r="T253" s="9"/>
      <x:c r="U253" s="9"/>
      <x:c r="V253" s="9"/>
      <x:c r="W253" s="9"/>
      <x:c r="X253" s="9"/>
      <x:c r="Y253" s="9"/>
      <x:c r="Z253" s="9"/>
    </x:row>
    <x:row r="254" ht="14.25" customHeight="1">
      <x:c r="M254" s="18">
        <x:f t="shared" si="1"/>
        <x:v>0</x:v>
      </x:c>
      <x:c r="N254" s="18">
        <x:f t="shared" si="2"/>
        <x:v>0</x:v>
      </x:c>
      <x:c r="O254" s="25"/>
      <x:c r="P254" s="25"/>
      <x:c r="Q254" s="25"/>
      <x:c r="R254" s="9"/>
      <x:c r="S254" s="9"/>
      <x:c r="T254" s="9"/>
      <x:c r="U254" s="9"/>
      <x:c r="V254" s="9"/>
      <x:c r="W254" s="9"/>
      <x:c r="X254" s="9"/>
      <x:c r="Y254" s="9"/>
      <x:c r="Z254" s="9"/>
    </x:row>
    <x:row r="255" ht="14.25" customHeight="1">
      <x:c r="M255" s="18">
        <x:f t="shared" si="1"/>
        <x:v>0</x:v>
      </x:c>
      <x:c r="N255" s="18">
        <x:f t="shared" si="2"/>
        <x:v>0</x:v>
      </x:c>
      <x:c r="O255" s="25" t="n">
        <x:f>MAX(QB!D257*Scoring!$B$30+QB!E257/Scoring!$C$30+QB!F257*Scoring!$D$30+QB!G257*Scoring!$E$30+QB!H257*Scoring!$F$30+QB!I257/Scoring!$G$30+QB!J257*Scoring!$H$30+QB!K257*Scoring!$I$30+M257*Scoring!$J$30+QB!N257*Scoring!$K$30,0)+C257*Scoring!$B$10*0.07+(C257-D257)*Scoring!$B$5</x:f>
        <x:v>0</x:v>
      </x:c>
      <x:c r="P255" s="25" t="n">
        <x:f>MAX(QB!D255*Scoring!$B$30+QB!E255/Scoring!$C$30+QB!F255*Scoring!$D$30+QB!G255*Scoring!$E$30+QB!H255*Scoring!$F$30+QB!I255/Scoring!$G$30+QB!J255*Scoring!$H$30+QB!K255*Scoring!$I$30+M255*Scoring!$J$30+QB!N255*Scoring!$K$30,0)+C255*Scoring!$B$10*0.07+(C255-D255)*Scoring!$B$5</x:f>
        <x:v>0</x:v>
      </x:c>
      <x:c r="Q255" s="25" t="n">
        <x:f>MAX(QB!D256*Scoring!$B$30+QB!E256/Scoring!$C$30+QB!F256*Scoring!$D$30+QB!G256*Scoring!$E$30+QB!H256*Scoring!$F$30+QB!I256/Scoring!$G$30+QB!J256*Scoring!$H$30+QB!K256*Scoring!$I$30+M256*Scoring!$J$30+QB!N256*Scoring!$K$30,0)+C256*Scoring!$B$10*0.07+(C256-D256)*Scoring!$B$5</x:f>
        <x:v>0</x:v>
      </x:c>
      <x:c r="R255" s="9"/>
      <x:c r="S255" s="9"/>
      <x:c r="T255" s="9"/>
      <x:c r="U255" s="9"/>
      <x:c r="V255" s="9"/>
      <x:c r="W255" s="9"/>
      <x:c r="X255" s="9"/>
      <x:c r="Y255" s="9"/>
      <x:c r="Z255" s="9"/>
    </x:row>
    <x:row r="256" ht="14.25" customHeight="1">
      <x:c r="M256" s="18">
        <x:f t="shared" si="1"/>
        <x:v>0</x:v>
      </x:c>
      <x:c r="N256" s="18">
        <x:f t="shared" si="2"/>
        <x:v>0</x:v>
      </x:c>
      <x:c r="O256" s="25"/>
      <x:c r="P256" s="25"/>
      <x:c r="Q256" s="25"/>
      <x:c r="R256" s="9"/>
      <x:c r="S256" s="9"/>
      <x:c r="T256" s="9"/>
      <x:c r="U256" s="9"/>
      <x:c r="V256" s="9"/>
      <x:c r="W256" s="9"/>
      <x:c r="X256" s="9"/>
      <x:c r="Y256" s="9"/>
      <x:c r="Z256" s="9"/>
    </x:row>
    <x:row r="257" ht="14.25" customHeight="1">
      <x:c r="M257" s="18">
        <x:f t="shared" si="1"/>
        <x:v>0</x:v>
      </x:c>
      <x:c r="N257" s="18">
        <x:f t="shared" si="2"/>
        <x:v>0</x:v>
      </x:c>
      <x:c r="O257" s="25"/>
      <x:c r="P257" s="25"/>
      <x:c r="Q257" s="25"/>
      <x:c r="R257" s="9"/>
      <x:c r="S257" s="9"/>
      <x:c r="T257" s="9"/>
      <x:c r="U257" s="9"/>
      <x:c r="V257" s="9"/>
      <x:c r="W257" s="9"/>
      <x:c r="X257" s="9"/>
      <x:c r="Y257" s="9"/>
      <x:c r="Z257" s="9"/>
    </x:row>
    <x:row r="258" ht="14.25" customHeight="1">
      <x:c r="M258" s="18">
        <x:f t="shared" si="1"/>
        <x:v>0</x:v>
      </x:c>
      <x:c r="N258" s="18">
        <x:f t="shared" si="2"/>
        <x:v>0</x:v>
      </x:c>
      <x:c r="O258" s="25" t="n">
        <x:f>MAX(QB!D260*Scoring!$B$30+QB!E260/Scoring!$C$30+QB!F260*Scoring!$D$30+QB!G260*Scoring!$E$30+QB!H260*Scoring!$F$30+QB!I260/Scoring!$G$30+QB!J260*Scoring!$H$30+QB!K260*Scoring!$I$30+M260*Scoring!$J$30+QB!N260*Scoring!$K$30,0)+C260*Scoring!$B$10*0.07+(C260-D260)*Scoring!$B$5</x:f>
        <x:v>0</x:v>
      </x:c>
      <x:c r="P258" s="25" t="n">
        <x:f>MAX(QB!D258*Scoring!$B$30+QB!E258/Scoring!$C$30+QB!F258*Scoring!$D$30+QB!G258*Scoring!$E$30+QB!H258*Scoring!$F$30+QB!I258/Scoring!$G$30+QB!J258*Scoring!$H$30+QB!K258*Scoring!$I$30+M258*Scoring!$J$30+QB!N258*Scoring!$K$30,0)+C258*Scoring!$B$10*0.07+(C258-D258)*Scoring!$B$5</x:f>
        <x:v>0</x:v>
      </x:c>
      <x:c r="Q258" s="25" t="n">
        <x:f>MAX(QB!D259*Scoring!$B$30+QB!E259/Scoring!$C$30+QB!F259*Scoring!$D$30+QB!G259*Scoring!$E$30+QB!H259*Scoring!$F$30+QB!I259/Scoring!$G$30+QB!J259*Scoring!$H$30+QB!K259*Scoring!$I$30+M259*Scoring!$J$30+QB!N259*Scoring!$K$30,0)+C259*Scoring!$B$10*0.07+(C259-D259)*Scoring!$B$5</x:f>
        <x:v>0</x:v>
      </x:c>
      <x:c r="R258" s="9"/>
      <x:c r="S258" s="9"/>
      <x:c r="T258" s="9"/>
      <x:c r="U258" s="9"/>
      <x:c r="V258" s="9"/>
      <x:c r="W258" s="9"/>
      <x:c r="X258" s="9"/>
      <x:c r="Y258" s="9"/>
      <x:c r="Z258" s="9"/>
    </x:row>
    <x:row r="259" ht="14.25" customHeight="1">
      <x:c r="M259" s="18">
        <x:f t="shared" si="1"/>
        <x:v>0</x:v>
      </x:c>
      <x:c r="N259" s="18">
        <x:f t="shared" si="2"/>
        <x:v>0</x:v>
      </x:c>
      <x:c r="O259" s="25"/>
      <x:c r="P259" s="25"/>
      <x:c r="Q259" s="25"/>
      <x:c r="R259" s="9"/>
      <x:c r="S259" s="9"/>
      <x:c r="T259" s="9"/>
      <x:c r="U259" s="9"/>
      <x:c r="V259" s="9"/>
      <x:c r="W259" s="9"/>
      <x:c r="X259" s="9"/>
      <x:c r="Y259" s="9"/>
      <x:c r="Z259" s="9"/>
    </x:row>
    <x:row r="260" ht="14.25" customHeight="1">
      <x:c r="M260" s="18">
        <x:f t="shared" si="1"/>
        <x:v>0</x:v>
      </x:c>
      <x:c r="N260" s="18">
        <x:f t="shared" si="2"/>
        <x:v>0</x:v>
      </x:c>
      <x:c r="O260" s="25"/>
      <x:c r="P260" s="25"/>
      <x:c r="Q260" s="25"/>
      <x:c r="R260" s="9"/>
      <x:c r="S260" s="9"/>
      <x:c r="T260" s="9"/>
      <x:c r="U260" s="9"/>
      <x:c r="V260" s="9"/>
      <x:c r="W260" s="9"/>
      <x:c r="X260" s="9"/>
      <x:c r="Y260" s="9"/>
      <x:c r="Z260" s="9"/>
    </x:row>
    <x:row r="261" ht="14.25" customHeight="1">
      <x:c r="M261" s="18">
        <x:f t="shared" si="1"/>
        <x:v>0</x:v>
      </x:c>
      <x:c r="N261" s="18">
        <x:f t="shared" si="2"/>
        <x:v>0</x:v>
      </x:c>
      <x:c r="O261" s="25" t="n">
        <x:f>MAX(QB!D263*Scoring!$B$30+QB!E263/Scoring!$C$30+QB!F263*Scoring!$D$30+QB!G263*Scoring!$E$30+QB!H263*Scoring!$F$30+QB!I263/Scoring!$G$30+QB!J263*Scoring!$H$30+QB!K263*Scoring!$I$30+M263*Scoring!$J$30+QB!N263*Scoring!$K$30,0)+C263*Scoring!$B$10*0.07+(C263-D263)*Scoring!$B$5</x:f>
        <x:v>0</x:v>
      </x:c>
      <x:c r="P261" s="25" t="n">
        <x:f>MAX(QB!D261*Scoring!$B$30+QB!E261/Scoring!$C$30+QB!F261*Scoring!$D$30+QB!G261*Scoring!$E$30+QB!H261*Scoring!$F$30+QB!I261/Scoring!$G$30+QB!J261*Scoring!$H$30+QB!K261*Scoring!$I$30+M261*Scoring!$J$30+QB!N261*Scoring!$K$30,0)+C261*Scoring!$B$10*0.07+(C261-D261)*Scoring!$B$5</x:f>
        <x:v>0</x:v>
      </x:c>
      <x:c r="Q261" s="25" t="n">
        <x:f>MAX(QB!D262*Scoring!$B$30+QB!E262/Scoring!$C$30+QB!F262*Scoring!$D$30+QB!G262*Scoring!$E$30+QB!H262*Scoring!$F$30+QB!I262/Scoring!$G$30+QB!J262*Scoring!$H$30+QB!K262*Scoring!$I$30+M262*Scoring!$J$30+QB!N262*Scoring!$K$30,0)+C262*Scoring!$B$10*0.07+(C262-D262)*Scoring!$B$5</x:f>
        <x:v>0</x:v>
      </x:c>
      <x:c r="R261" s="9"/>
      <x:c r="S261" s="9"/>
      <x:c r="T261" s="9"/>
      <x:c r="U261" s="9"/>
      <x:c r="V261" s="9"/>
      <x:c r="W261" s="9"/>
      <x:c r="X261" s="9"/>
      <x:c r="Y261" s="9"/>
      <x:c r="Z261" s="9"/>
    </x:row>
    <x:row r="262" ht="14.25" customHeight="1">
      <x:c r="M262" s="18">
        <x:f t="shared" si="1"/>
        <x:v>0</x:v>
      </x:c>
      <x:c r="N262" s="18">
        <x:f t="shared" si="2"/>
        <x:v>0</x:v>
      </x:c>
      <x:c r="O262" s="25"/>
      <x:c r="P262" s="25"/>
      <x:c r="Q262" s="25"/>
      <x:c r="R262" s="9"/>
      <x:c r="S262" s="9"/>
      <x:c r="T262" s="9"/>
      <x:c r="U262" s="9"/>
      <x:c r="V262" s="9"/>
      <x:c r="W262" s="9"/>
      <x:c r="X262" s="9"/>
      <x:c r="Y262" s="9"/>
      <x:c r="Z262" s="9"/>
    </x:row>
    <x:row r="263" ht="14.25" customHeight="1">
      <x:c r="M263" s="18">
        <x:f t="shared" si="1"/>
        <x:v>0</x:v>
      </x:c>
      <x:c r="N263" s="18">
        <x:f t="shared" si="2"/>
        <x:v>0</x:v>
      </x:c>
      <x:c r="O263" s="25"/>
      <x:c r="P263" s="25"/>
      <x:c r="Q263" s="25"/>
      <x:c r="R263" s="9"/>
      <x:c r="S263" s="9"/>
      <x:c r="T263" s="9"/>
      <x:c r="U263" s="9"/>
      <x:c r="V263" s="9"/>
      <x:c r="W263" s="9"/>
      <x:c r="X263" s="9"/>
      <x:c r="Y263" s="9"/>
      <x:c r="Z263" s="9"/>
    </x:row>
    <x:row r="264" ht="14.25" customHeight="1">
      <x:c r="M264" s="18">
        <x:f t="shared" si="1"/>
        <x:v>0</x:v>
      </x:c>
      <x:c r="N264" s="18">
        <x:f t="shared" si="2"/>
        <x:v>0</x:v>
      </x:c>
      <x:c r="O264" s="25" t="n">
        <x:f>MAX(QB!D266*Scoring!$B$30+QB!E266/Scoring!$C$30+QB!F266*Scoring!$D$30+QB!G266*Scoring!$E$30+QB!H266*Scoring!$F$30+QB!I266/Scoring!$G$30+QB!J266*Scoring!$H$30+QB!K266*Scoring!$I$30+M266*Scoring!$J$30+QB!N266*Scoring!$K$30,0)+C266*Scoring!$B$10*0.07+(C266-D266)*Scoring!$B$5</x:f>
        <x:v>0</x:v>
      </x:c>
      <x:c r="P264" s="25" t="n">
        <x:f>MAX(QB!D264*Scoring!$B$30+QB!E264/Scoring!$C$30+QB!F264*Scoring!$D$30+QB!G264*Scoring!$E$30+QB!H264*Scoring!$F$30+QB!I264/Scoring!$G$30+QB!J264*Scoring!$H$30+QB!K264*Scoring!$I$30+M264*Scoring!$J$30+QB!N264*Scoring!$K$30,0)+C264*Scoring!$B$10*0.07+(C264-D264)*Scoring!$B$5</x:f>
        <x:v>0</x:v>
      </x:c>
      <x:c r="Q264" s="25" t="n">
        <x:f>MAX(QB!D265*Scoring!$B$30+QB!E265/Scoring!$C$30+QB!F265*Scoring!$D$30+QB!G265*Scoring!$E$30+QB!H265*Scoring!$F$30+QB!I265/Scoring!$G$30+QB!J265*Scoring!$H$30+QB!K265*Scoring!$I$30+M265*Scoring!$J$30+QB!N265*Scoring!$K$30,0)+C265*Scoring!$B$10*0.07+(C265-D265)*Scoring!$B$5</x:f>
        <x:v>0</x:v>
      </x:c>
      <x:c r="R264" s="9"/>
      <x:c r="S264" s="9"/>
      <x:c r="T264" s="9"/>
      <x:c r="U264" s="9"/>
      <x:c r="V264" s="9"/>
      <x:c r="W264" s="9"/>
      <x:c r="X264" s="9"/>
      <x:c r="Y264" s="9"/>
      <x:c r="Z264" s="9"/>
    </x:row>
    <x:row r="265" ht="14.25" customHeight="1">
      <x:c r="M265" s="18">
        <x:f t="shared" si="1"/>
        <x:v>0</x:v>
      </x:c>
      <x:c r="N265" s="18">
        <x:f t="shared" si="2"/>
        <x:v>0</x:v>
      </x:c>
      <x:c r="O265" s="25"/>
      <x:c r="P265" s="25"/>
      <x:c r="Q265" s="25"/>
      <x:c r="R265" s="9"/>
      <x:c r="S265" s="9"/>
      <x:c r="T265" s="9"/>
      <x:c r="U265" s="9"/>
      <x:c r="V265" s="9"/>
      <x:c r="W265" s="9"/>
      <x:c r="X265" s="9"/>
      <x:c r="Y265" s="9"/>
      <x:c r="Z265" s="9"/>
    </x:row>
    <x:row r="266" ht="14.25" customHeight="1">
      <x:c r="M266" s="18">
        <x:f t="shared" si="1"/>
        <x:v>0</x:v>
      </x:c>
      <x:c r="N266" s="18">
        <x:f t="shared" si="2"/>
        <x:v>0</x:v>
      </x:c>
      <x:c r="O266" s="25"/>
      <x:c r="P266" s="25"/>
      <x:c r="Q266" s="25"/>
      <x:c r="R266" s="9"/>
      <x:c r="S266" s="9"/>
      <x:c r="T266" s="9"/>
      <x:c r="U266" s="9"/>
      <x:c r="V266" s="9"/>
      <x:c r="W266" s="9"/>
      <x:c r="X266" s="9"/>
      <x:c r="Y266" s="9"/>
      <x:c r="Z266" s="9"/>
    </x:row>
    <x:row r="267" ht="14.25" customHeight="1">
      <x:c r="M267" s="18">
        <x:f t="shared" si="1"/>
        <x:v>0</x:v>
      </x:c>
      <x:c r="N267" s="18">
        <x:f t="shared" si="2"/>
        <x:v>0</x:v>
      </x:c>
      <x:c r="O267" s="25" t="n">
        <x:f>MAX(QB!D269*Scoring!$B$30+QB!E269/Scoring!$C$30+QB!F269*Scoring!$D$30+QB!G269*Scoring!$E$30+QB!H269*Scoring!$F$30+QB!I269/Scoring!$G$30+QB!J269*Scoring!$H$30+QB!K269*Scoring!$I$30+M269*Scoring!$J$30+QB!N269*Scoring!$K$30,0)+C269*Scoring!$B$10*0.07+(C269-D269)*Scoring!$B$5</x:f>
        <x:v>0</x:v>
      </x:c>
      <x:c r="P267" s="25" t="n">
        <x:f>MAX(QB!D267*Scoring!$B$30+QB!E267/Scoring!$C$30+QB!F267*Scoring!$D$30+QB!G267*Scoring!$E$30+QB!H267*Scoring!$F$30+QB!I267/Scoring!$G$30+QB!J267*Scoring!$H$30+QB!K267*Scoring!$I$30+M267*Scoring!$J$30+QB!N267*Scoring!$K$30,0)+C267*Scoring!$B$10*0.07+(C267-D267)*Scoring!$B$5</x:f>
        <x:v>0</x:v>
      </x:c>
      <x:c r="Q267" s="25" t="n">
        <x:f>MAX(QB!D268*Scoring!$B$30+QB!E268/Scoring!$C$30+QB!F268*Scoring!$D$30+QB!G268*Scoring!$E$30+QB!H268*Scoring!$F$30+QB!I268/Scoring!$G$30+QB!J268*Scoring!$H$30+QB!K268*Scoring!$I$30+M268*Scoring!$J$30+QB!N268*Scoring!$K$30,0)+C268*Scoring!$B$10*0.07+(C268-D268)*Scoring!$B$5</x:f>
        <x:v>0</x:v>
      </x:c>
      <x:c r="R267" s="9"/>
      <x:c r="S267" s="9"/>
      <x:c r="T267" s="9"/>
      <x:c r="U267" s="9"/>
      <x:c r="V267" s="9"/>
      <x:c r="W267" s="9"/>
      <x:c r="X267" s="9"/>
      <x:c r="Y267" s="9"/>
      <x:c r="Z267" s="9"/>
    </x:row>
    <x:row r="268" ht="14.25" customHeight="1">
      <x:c r="M268" s="18">
        <x:f t="shared" si="1"/>
        <x:v>0</x:v>
      </x:c>
      <x:c r="N268" s="18">
        <x:f t="shared" si="2"/>
        <x:v>0</x:v>
      </x:c>
      <x:c r="O268" s="25"/>
      <x:c r="P268" s="25"/>
      <x:c r="Q268" s="25"/>
      <x:c r="R268" s="9"/>
      <x:c r="S268" s="9"/>
      <x:c r="T268" s="9"/>
      <x:c r="U268" s="9"/>
      <x:c r="V268" s="9"/>
      <x:c r="W268" s="9"/>
      <x:c r="X268" s="9"/>
      <x:c r="Y268" s="9"/>
      <x:c r="Z268" s="9"/>
    </x:row>
    <x:row r="269" ht="14.25" customHeight="1">
      <x:c r="M269" s="18">
        <x:f t="shared" si="1"/>
        <x:v>0</x:v>
      </x:c>
      <x:c r="N269" s="18">
        <x:f t="shared" si="2"/>
        <x:v>0</x:v>
      </x:c>
      <x:c r="O269" s="25"/>
      <x:c r="P269" s="25"/>
      <x:c r="Q269" s="25"/>
      <x:c r="R269" s="9"/>
      <x:c r="S269" s="9"/>
      <x:c r="T269" s="9"/>
      <x:c r="U269" s="9"/>
      <x:c r="V269" s="9"/>
      <x:c r="W269" s="9"/>
      <x:c r="X269" s="9"/>
      <x:c r="Y269" s="9"/>
      <x:c r="Z269" s="9"/>
    </x:row>
    <x:row r="270" ht="14.25" customHeight="1">
      <x:c r="M270" s="18">
        <x:f t="shared" si="1"/>
        <x:v>0</x:v>
      </x:c>
      <x:c r="N270" s="18">
        <x:f t="shared" si="2"/>
        <x:v>0</x:v>
      </x:c>
      <x:c r="O270" s="25" t="n">
        <x:f>MAX(QB!D272*Scoring!$B$30+QB!E272/Scoring!$C$30+QB!F272*Scoring!$D$30+QB!G272*Scoring!$E$30+QB!H272*Scoring!$F$30+QB!I272/Scoring!$G$30+QB!J272*Scoring!$H$30+QB!K272*Scoring!$I$30+M272*Scoring!$J$30+QB!N272*Scoring!$K$30,0)+C272*Scoring!$B$10*0.07+(C272-D272)*Scoring!$B$5</x:f>
        <x:v>0</x:v>
      </x:c>
      <x:c r="P270" s="25" t="n">
        <x:f>MAX(QB!D270*Scoring!$B$30+QB!E270/Scoring!$C$30+QB!F270*Scoring!$D$30+QB!G270*Scoring!$E$30+QB!H270*Scoring!$F$30+QB!I270/Scoring!$G$30+QB!J270*Scoring!$H$30+QB!K270*Scoring!$I$30+M270*Scoring!$J$30+QB!N270*Scoring!$K$30,0)+C270*Scoring!$B$10*0.07+(C270-D270)*Scoring!$B$5</x:f>
        <x:v>0</x:v>
      </x:c>
      <x:c r="Q270" s="25" t="n">
        <x:f>MAX(QB!D271*Scoring!$B$30+QB!E271/Scoring!$C$30+QB!F271*Scoring!$D$30+QB!G271*Scoring!$E$30+QB!H271*Scoring!$F$30+QB!I271/Scoring!$G$30+QB!J271*Scoring!$H$30+QB!K271*Scoring!$I$30+M271*Scoring!$J$30+QB!N271*Scoring!$K$30,0)+C271*Scoring!$B$10*0.07+(C271-D271)*Scoring!$B$5</x:f>
        <x:v>0</x:v>
      </x:c>
      <x:c r="R270" s="9"/>
      <x:c r="S270" s="9"/>
      <x:c r="T270" s="9"/>
      <x:c r="U270" s="9"/>
      <x:c r="V270" s="9"/>
      <x:c r="W270" s="9"/>
      <x:c r="X270" s="9"/>
      <x:c r="Y270" s="9"/>
      <x:c r="Z270" s="9"/>
    </x:row>
    <x:row r="271" ht="14.25" customHeight="1">
      <x:c r="M271" s="18">
        <x:f t="shared" si="1"/>
        <x:v>0</x:v>
      </x:c>
      <x:c r="N271" s="18">
        <x:f t="shared" si="2"/>
        <x:v>0</x:v>
      </x:c>
      <x:c r="O271" s="25"/>
      <x:c r="P271" s="25"/>
      <x:c r="Q271" s="25"/>
      <x:c r="R271" s="9"/>
      <x:c r="S271" s="9"/>
      <x:c r="T271" s="9"/>
      <x:c r="U271" s="9"/>
      <x:c r="V271" s="9"/>
      <x:c r="W271" s="9"/>
      <x:c r="X271" s="9"/>
      <x:c r="Y271" s="9"/>
      <x:c r="Z271" s="9"/>
    </x:row>
    <x:row r="272" ht="14.25" customHeight="1">
      <x:c r="M272" s="18">
        <x:f t="shared" si="1"/>
        <x:v>0</x:v>
      </x:c>
      <x:c r="N272" s="18">
        <x:f t="shared" si="2"/>
        <x:v>0</x:v>
      </x:c>
      <x:c r="O272" s="25"/>
      <x:c r="P272" s="25"/>
      <x:c r="Q272" s="25"/>
      <x:c r="R272" s="9"/>
      <x:c r="S272" s="9"/>
      <x:c r="T272" s="9"/>
      <x:c r="U272" s="9"/>
      <x:c r="V272" s="9"/>
      <x:c r="W272" s="9"/>
      <x:c r="X272" s="9"/>
      <x:c r="Y272" s="9"/>
      <x:c r="Z272" s="9"/>
    </x:row>
    <x:row r="273" ht="14.25" customHeight="1">
      <x:c r="M273" s="18">
        <x:f t="shared" si="1"/>
        <x:v>0</x:v>
      </x:c>
      <x:c r="N273" s="18">
        <x:f t="shared" si="2"/>
        <x:v>0</x:v>
      </x:c>
      <x:c r="O273" s="25" t="n">
        <x:f>MAX(QB!D275*Scoring!$B$30+QB!E275/Scoring!$C$30+QB!F275*Scoring!$D$30+QB!G275*Scoring!$E$30+QB!H275*Scoring!$F$30+QB!I275/Scoring!$G$30+QB!J275*Scoring!$H$30+QB!K275*Scoring!$I$30+M275*Scoring!$J$30+QB!N275*Scoring!$K$30,0)+C275*Scoring!$B$10*0.07+(C275-D275)*Scoring!$B$5</x:f>
        <x:v>0</x:v>
      </x:c>
      <x:c r="P273" s="25" t="n">
        <x:f>MAX(QB!D273*Scoring!$B$30+QB!E273/Scoring!$C$30+QB!F273*Scoring!$D$30+QB!G273*Scoring!$E$30+QB!H273*Scoring!$F$30+QB!I273/Scoring!$G$30+QB!J273*Scoring!$H$30+QB!K273*Scoring!$I$30+M273*Scoring!$J$30+QB!N273*Scoring!$K$30,0)+C273*Scoring!$B$10*0.07+(C273-D273)*Scoring!$B$5</x:f>
        <x:v>0</x:v>
      </x:c>
      <x:c r="Q273" s="25" t="n">
        <x:f>MAX(QB!D274*Scoring!$B$30+QB!E274/Scoring!$C$30+QB!F274*Scoring!$D$30+QB!G274*Scoring!$E$30+QB!H274*Scoring!$F$30+QB!I274/Scoring!$G$30+QB!J274*Scoring!$H$30+QB!K274*Scoring!$I$30+M274*Scoring!$J$30+QB!N274*Scoring!$K$30,0)+C274*Scoring!$B$10*0.07+(C274-D274)*Scoring!$B$5</x:f>
        <x:v>0</x:v>
      </x:c>
      <x:c r="R273" s="9"/>
      <x:c r="S273" s="9"/>
      <x:c r="T273" s="9"/>
      <x:c r="U273" s="9"/>
      <x:c r="V273" s="9"/>
      <x:c r="W273" s="9"/>
      <x:c r="X273" s="9"/>
      <x:c r="Y273" s="9"/>
      <x:c r="Z273" s="9"/>
    </x:row>
    <x:row r="274" ht="14.25" customHeight="1">
      <x:c r="M274" s="18">
        <x:f t="shared" si="1"/>
        <x:v>0</x:v>
      </x:c>
      <x:c r="N274" s="18">
        <x:f t="shared" si="2"/>
        <x:v>0</x:v>
      </x:c>
      <x:c r="O274" s="25"/>
      <x:c r="P274" s="25"/>
      <x:c r="Q274" s="25"/>
      <x:c r="R274" s="9"/>
      <x:c r="S274" s="9"/>
      <x:c r="T274" s="9"/>
      <x:c r="U274" s="9"/>
      <x:c r="V274" s="9"/>
      <x:c r="W274" s="9"/>
      <x:c r="X274" s="9"/>
      <x:c r="Y274" s="9"/>
      <x:c r="Z274" s="9"/>
    </x:row>
    <x:row r="275" ht="14.25" customHeight="1">
      <x:c r="M275" s="18">
        <x:f t="shared" si="1"/>
        <x:v>0</x:v>
      </x:c>
      <x:c r="N275" s="18">
        <x:f t="shared" si="2"/>
        <x:v>0</x:v>
      </x:c>
      <x:c r="O275" s="25"/>
      <x:c r="P275" s="25"/>
      <x:c r="Q275" s="25"/>
      <x:c r="R275" s="9"/>
      <x:c r="S275" s="9"/>
      <x:c r="T275" s="9"/>
      <x:c r="U275" s="9"/>
      <x:c r="V275" s="9"/>
      <x:c r="W275" s="9"/>
      <x:c r="X275" s="9"/>
      <x:c r="Y275" s="9"/>
      <x:c r="Z275" s="9"/>
    </x:row>
    <x:row r="276" ht="14.25" customHeight="1">
      <x:c r="M276" s="18">
        <x:f t="shared" si="1"/>
        <x:v>0</x:v>
      </x:c>
      <x:c r="N276" s="18">
        <x:f t="shared" si="2"/>
        <x:v>0</x:v>
      </x:c>
      <x:c r="O276" s="25" t="n">
        <x:f>MAX(QB!D278*Scoring!$B$30+QB!E278/Scoring!$C$30+QB!F278*Scoring!$D$30+QB!G278*Scoring!$E$30+QB!H278*Scoring!$F$30+QB!I278/Scoring!$G$30+QB!J278*Scoring!$H$30+QB!K278*Scoring!$I$30+M278*Scoring!$J$30+QB!N278*Scoring!$K$30,0)+C278*Scoring!$B$10*0.07+(C278-D278)*Scoring!$B$5</x:f>
        <x:v>0</x:v>
      </x:c>
      <x:c r="P276" s="25" t="n">
        <x:f>MAX(QB!D276*Scoring!$B$30+QB!E276/Scoring!$C$30+QB!F276*Scoring!$D$30+QB!G276*Scoring!$E$30+QB!H276*Scoring!$F$30+QB!I276/Scoring!$G$30+QB!J276*Scoring!$H$30+QB!K276*Scoring!$I$30+M276*Scoring!$J$30+QB!N276*Scoring!$K$30,0)+C276*Scoring!$B$10*0.07+(C276-D276)*Scoring!$B$5</x:f>
        <x:v>0</x:v>
      </x:c>
      <x:c r="Q276" s="25" t="n">
        <x:f>MAX(QB!D277*Scoring!$B$30+QB!E277/Scoring!$C$30+QB!F277*Scoring!$D$30+QB!G277*Scoring!$E$30+QB!H277*Scoring!$F$30+QB!I277/Scoring!$G$30+QB!J277*Scoring!$H$30+QB!K277*Scoring!$I$30+M277*Scoring!$J$30+QB!N277*Scoring!$K$30,0)+C277*Scoring!$B$10*0.07+(C277-D277)*Scoring!$B$5</x:f>
        <x:v>0</x:v>
      </x:c>
      <x:c r="R276" s="9"/>
      <x:c r="S276" s="9"/>
      <x:c r="T276" s="9"/>
      <x:c r="U276" s="9"/>
      <x:c r="V276" s="9"/>
      <x:c r="W276" s="9"/>
      <x:c r="X276" s="9"/>
      <x:c r="Y276" s="9"/>
      <x:c r="Z276" s="9"/>
    </x:row>
    <x:row r="277" ht="14.25" customHeight="1">
      <x:c r="M277" s="18">
        <x:f t="shared" si="1"/>
        <x:v>0</x:v>
      </x:c>
      <x:c r="N277" s="18">
        <x:f t="shared" si="2"/>
        <x:v>0</x:v>
      </x:c>
      <x:c r="O277" s="25"/>
      <x:c r="P277" s="25"/>
      <x:c r="Q277" s="25"/>
      <x:c r="R277" s="9"/>
      <x:c r="S277" s="9"/>
      <x:c r="T277" s="9"/>
      <x:c r="U277" s="9"/>
      <x:c r="V277" s="9"/>
      <x:c r="W277" s="9"/>
      <x:c r="X277" s="9"/>
      <x:c r="Y277" s="9"/>
      <x:c r="Z277" s="9"/>
    </x:row>
    <x:row r="278" ht="14.25" customHeight="1">
      <x:c r="M278" s="18">
        <x:f t="shared" si="1"/>
        <x:v>0</x:v>
      </x:c>
      <x:c r="N278" s="18">
        <x:f t="shared" si="2"/>
        <x:v>0</x:v>
      </x:c>
      <x:c r="O278" s="25"/>
      <x:c r="P278" s="25"/>
      <x:c r="Q278" s="25"/>
      <x:c r="R278" s="9"/>
      <x:c r="S278" s="9"/>
      <x:c r="T278" s="9"/>
      <x:c r="U278" s="9"/>
      <x:c r="V278" s="9"/>
      <x:c r="W278" s="9"/>
      <x:c r="X278" s="9"/>
      <x:c r="Y278" s="9"/>
      <x:c r="Z278" s="9"/>
    </x:row>
    <x:row r="279" ht="14.25" customHeight="1">
      <x:c r="M279" s="18">
        <x:f t="shared" si="1"/>
        <x:v>0</x:v>
      </x:c>
      <x:c r="N279" s="18">
        <x:f t="shared" si="2"/>
        <x:v>0</x:v>
      </x:c>
      <x:c r="O279" s="25" t="n">
        <x:f>MAX(QB!D281*Scoring!$B$30+QB!E281/Scoring!$C$30+QB!F281*Scoring!$D$30+QB!G281*Scoring!$E$30+QB!H281*Scoring!$F$30+QB!I281/Scoring!$G$30+QB!J281*Scoring!$H$30+QB!K281*Scoring!$I$30+M281*Scoring!$J$30+QB!N281*Scoring!$K$30,0)+C281*Scoring!$B$10*0.07+(C281-D281)*Scoring!$B$5</x:f>
        <x:v>0</x:v>
      </x:c>
      <x:c r="P279" s="25" t="n">
        <x:f>MAX(QB!D279*Scoring!$B$30+QB!E279/Scoring!$C$30+QB!F279*Scoring!$D$30+QB!G279*Scoring!$E$30+QB!H279*Scoring!$F$30+QB!I279/Scoring!$G$30+QB!J279*Scoring!$H$30+QB!K279*Scoring!$I$30+M279*Scoring!$J$30+QB!N279*Scoring!$K$30,0)+C279*Scoring!$B$10*0.07+(C279-D279)*Scoring!$B$5</x:f>
        <x:v>0</x:v>
      </x:c>
      <x:c r="Q279" s="25" t="n">
        <x:f>MAX(QB!D280*Scoring!$B$30+QB!E280/Scoring!$C$30+QB!F280*Scoring!$D$30+QB!G280*Scoring!$E$30+QB!H280*Scoring!$F$30+QB!I280/Scoring!$G$30+QB!J280*Scoring!$H$30+QB!K280*Scoring!$I$30+M280*Scoring!$J$30+QB!N280*Scoring!$K$30,0)+C280*Scoring!$B$10*0.07+(C280-D280)*Scoring!$B$5</x:f>
        <x:v>0</x:v>
      </x:c>
      <x:c r="R279" s="9"/>
      <x:c r="S279" s="9"/>
      <x:c r="T279" s="9"/>
      <x:c r="U279" s="9"/>
      <x:c r="V279" s="9"/>
      <x:c r="W279" s="9"/>
      <x:c r="X279" s="9"/>
      <x:c r="Y279" s="9"/>
      <x:c r="Z279" s="9"/>
    </x:row>
    <x:row r="280" ht="14.25" customHeight="1">
      <x:c r="M280" s="18">
        <x:f t="shared" si="1"/>
        <x:v>0</x:v>
      </x:c>
      <x:c r="N280" s="18">
        <x:f t="shared" si="2"/>
        <x:v>0</x:v>
      </x:c>
      <x:c r="O280" s="25"/>
      <x:c r="P280" s="25"/>
      <x:c r="Q280" s="25"/>
      <x:c r="R280" s="9"/>
      <x:c r="S280" s="9"/>
      <x:c r="T280" s="9"/>
      <x:c r="U280" s="9"/>
      <x:c r="V280" s="9"/>
      <x:c r="W280" s="9"/>
      <x:c r="X280" s="9"/>
      <x:c r="Y280" s="9"/>
      <x:c r="Z280" s="9"/>
    </x:row>
    <x:row r="281" ht="14.25" customHeight="1">
      <x:c r="M281" s="18">
        <x:f t="shared" si="1"/>
        <x:v>0</x:v>
      </x:c>
      <x:c r="N281" s="18">
        <x:f t="shared" si="2"/>
        <x:v>0</x:v>
      </x:c>
      <x:c r="O281" s="25"/>
      <x:c r="P281" s="25"/>
      <x:c r="Q281" s="25"/>
      <x:c r="R281" s="9"/>
      <x:c r="S281" s="9"/>
      <x:c r="T281" s="9"/>
      <x:c r="U281" s="9"/>
      <x:c r="V281" s="9"/>
      <x:c r="W281" s="9"/>
      <x:c r="X281" s="9"/>
      <x:c r="Y281" s="9"/>
      <x:c r="Z281" s="9"/>
    </x:row>
    <x:row r="282" ht="14.25" customHeight="1">
      <x:c r="M282" s="18">
        <x:f t="shared" si="1"/>
        <x:v>0</x:v>
      </x:c>
      <x:c r="N282" s="18">
        <x:f t="shared" si="2"/>
        <x:v>0</x:v>
      </x:c>
      <x:c r="O282" s="25" t="n">
        <x:f>MAX(QB!D284*Scoring!$B$30+QB!E284/Scoring!$C$30+QB!F284*Scoring!$D$30+QB!G284*Scoring!$E$30+QB!H284*Scoring!$F$30+QB!I284/Scoring!$G$30+QB!J284*Scoring!$H$30+QB!K284*Scoring!$I$30+M284*Scoring!$J$30+QB!N284*Scoring!$K$30,0)+C284*Scoring!$B$10*0.07+(C284-D284)*Scoring!$B$5</x:f>
        <x:v>0</x:v>
      </x:c>
      <x:c r="P282" s="25" t="n">
        <x:f>MAX(QB!D282*Scoring!$B$30+QB!E282/Scoring!$C$30+QB!F282*Scoring!$D$30+QB!G282*Scoring!$E$30+QB!H282*Scoring!$F$30+QB!I282/Scoring!$G$30+QB!J282*Scoring!$H$30+QB!K282*Scoring!$I$30+M282*Scoring!$J$30+QB!N282*Scoring!$K$30,0)+C282*Scoring!$B$10*0.07+(C282-D282)*Scoring!$B$5</x:f>
        <x:v>0</x:v>
      </x:c>
      <x:c r="Q282" s="25" t="n">
        <x:f>MAX(QB!D283*Scoring!$B$30+QB!E283/Scoring!$C$30+QB!F283*Scoring!$D$30+QB!G283*Scoring!$E$30+QB!H283*Scoring!$F$30+QB!I283/Scoring!$G$30+QB!J283*Scoring!$H$30+QB!K283*Scoring!$I$30+M283*Scoring!$J$30+QB!N283*Scoring!$K$30,0)+C283*Scoring!$B$10*0.07+(C283-D283)*Scoring!$B$5</x:f>
        <x:v>0</x:v>
      </x:c>
      <x:c r="R282" s="9"/>
      <x:c r="S282" s="9"/>
      <x:c r="T282" s="9"/>
      <x:c r="U282" s="9"/>
      <x:c r="V282" s="9"/>
      <x:c r="W282" s="9"/>
      <x:c r="X282" s="9"/>
      <x:c r="Y282" s="9"/>
      <x:c r="Z282" s="9"/>
    </x:row>
    <x:row r="283" ht="14.25" customHeight="1">
      <x:c r="M283" s="18">
        <x:f t="shared" si="1"/>
        <x:v>0</x:v>
      </x:c>
      <x:c r="N283" s="18">
        <x:f t="shared" si="2"/>
        <x:v>0</x:v>
      </x:c>
      <x:c r="O283" s="25"/>
      <x:c r="P283" s="25"/>
      <x:c r="Q283" s="25"/>
      <x:c r="R283" s="9"/>
      <x:c r="S283" s="9"/>
      <x:c r="T283" s="9"/>
      <x:c r="U283" s="9"/>
      <x:c r="V283" s="9"/>
      <x:c r="W283" s="9"/>
      <x:c r="X283" s="9"/>
      <x:c r="Y283" s="9"/>
      <x:c r="Z283" s="9"/>
    </x:row>
    <x:row r="284" ht="14.25" customHeight="1">
      <x:c r="M284" s="18">
        <x:f t="shared" si="1"/>
        <x:v>0</x:v>
      </x:c>
      <x:c r="N284" s="18">
        <x:f t="shared" si="2"/>
        <x:v>0</x:v>
      </x:c>
      <x:c r="O284" s="25"/>
      <x:c r="P284" s="25"/>
      <x:c r="Q284" s="25"/>
      <x:c r="R284" s="9"/>
      <x:c r="S284" s="9"/>
      <x:c r="T284" s="9"/>
      <x:c r="U284" s="9"/>
      <x:c r="V284" s="9"/>
      <x:c r="W284" s="9"/>
      <x:c r="X284" s="9"/>
      <x:c r="Y284" s="9"/>
      <x:c r="Z284" s="9"/>
    </x:row>
    <x:row r="285" ht="14.25" customHeight="1">
      <x:c r="M285" s="18">
        <x:f t="shared" si="1"/>
        <x:v>0</x:v>
      </x:c>
      <x:c r="N285" s="18">
        <x:f t="shared" si="2"/>
        <x:v>0</x:v>
      </x:c>
      <x:c r="O285" s="25" t="n">
        <x:f>MAX(QB!D287*Scoring!$B$30+QB!E287/Scoring!$C$30+QB!F287*Scoring!$D$30+QB!G287*Scoring!$E$30+QB!H287*Scoring!$F$30+QB!I287/Scoring!$G$30+QB!J287*Scoring!$H$30+QB!K287*Scoring!$I$30+M287*Scoring!$J$30+QB!N287*Scoring!$K$30,0)+C287*Scoring!$B$10*0.07+(C287-D287)*Scoring!$B$5</x:f>
        <x:v>0</x:v>
      </x:c>
      <x:c r="P285" s="25" t="n">
        <x:f>MAX(QB!D285*Scoring!$B$30+QB!E285/Scoring!$C$30+QB!F285*Scoring!$D$30+QB!G285*Scoring!$E$30+QB!H285*Scoring!$F$30+QB!I285/Scoring!$G$30+QB!J285*Scoring!$H$30+QB!K285*Scoring!$I$30+M285*Scoring!$J$30+QB!N285*Scoring!$K$30,0)+C285*Scoring!$B$10*0.07+(C285-D285)*Scoring!$B$5</x:f>
        <x:v>0</x:v>
      </x:c>
      <x:c r="Q285" s="25" t="n">
        <x:f>MAX(QB!D286*Scoring!$B$30+QB!E286/Scoring!$C$30+QB!F286*Scoring!$D$30+QB!G286*Scoring!$E$30+QB!H286*Scoring!$F$30+QB!I286/Scoring!$G$30+QB!J286*Scoring!$H$30+QB!K286*Scoring!$I$30+M286*Scoring!$J$30+QB!N286*Scoring!$K$30,0)+C286*Scoring!$B$10*0.07+(C286-D286)*Scoring!$B$5</x:f>
        <x:v>0</x:v>
      </x:c>
      <x:c r="R285" s="9"/>
      <x:c r="S285" s="9"/>
      <x:c r="T285" s="9"/>
      <x:c r="U285" s="9"/>
      <x:c r="V285" s="9"/>
      <x:c r="W285" s="9"/>
      <x:c r="X285" s="9"/>
      <x:c r="Y285" s="9"/>
      <x:c r="Z285" s="9"/>
    </x:row>
    <x:row r="286" ht="14.25" customHeight="1">
      <x:c r="M286" s="18">
        <x:f t="shared" si="1"/>
        <x:v>0</x:v>
      </x:c>
      <x:c r="N286" s="18">
        <x:f t="shared" si="2"/>
        <x:v>0</x:v>
      </x:c>
      <x:c r="O286" s="25"/>
      <x:c r="P286" s="25"/>
      <x:c r="Q286" s="25"/>
      <x:c r="R286" s="9"/>
      <x:c r="S286" s="9"/>
      <x:c r="T286" s="9"/>
      <x:c r="U286" s="9"/>
      <x:c r="V286" s="9"/>
      <x:c r="W286" s="9"/>
      <x:c r="X286" s="9"/>
      <x:c r="Y286" s="9"/>
      <x:c r="Z286" s="9"/>
    </x:row>
    <x:row r="287" ht="14.25" customHeight="1">
      <x:c r="M287" s="18">
        <x:f t="shared" si="1"/>
        <x:v>0</x:v>
      </x:c>
      <x:c r="N287" s="18">
        <x:f t="shared" si="2"/>
        <x:v>0</x:v>
      </x:c>
      <x:c r="O287" s="25"/>
      <x:c r="P287" s="25"/>
      <x:c r="Q287" s="25"/>
      <x:c r="R287" s="9"/>
      <x:c r="S287" s="9"/>
      <x:c r="T287" s="9"/>
      <x:c r="U287" s="9"/>
      <x:c r="V287" s="9"/>
      <x:c r="W287" s="9"/>
      <x:c r="X287" s="9"/>
      <x:c r="Y287" s="9"/>
      <x:c r="Z287" s="9"/>
    </x:row>
    <x:row r="288" ht="14.25" customHeight="1">
      <x:c r="M288" s="18">
        <x:f t="shared" si="1"/>
        <x:v>0</x:v>
      </x:c>
      <x:c r="N288" s="18">
        <x:f t="shared" si="2"/>
        <x:v>0</x:v>
      </x:c>
      <x:c r="O288" s="25" t="n">
        <x:f>MAX(QB!D290*Scoring!$B$30+QB!E290/Scoring!$C$30+QB!F290*Scoring!$D$30+QB!G290*Scoring!$E$30+QB!H290*Scoring!$F$30+QB!I290/Scoring!$G$30+QB!J290*Scoring!$H$30+QB!K290*Scoring!$I$30+M290*Scoring!$J$30+QB!N290*Scoring!$K$30,0)+C290*Scoring!$B$10*0.07+(C290-D290)*Scoring!$B$5</x:f>
        <x:v>0</x:v>
      </x:c>
      <x:c r="P288" s="25" t="n">
        <x:f>MAX(QB!D288*Scoring!$B$30+QB!E288/Scoring!$C$30+QB!F288*Scoring!$D$30+QB!G288*Scoring!$E$30+QB!H288*Scoring!$F$30+QB!I288/Scoring!$G$30+QB!J288*Scoring!$H$30+QB!K288*Scoring!$I$30+M288*Scoring!$J$30+QB!N288*Scoring!$K$30,0)+C288*Scoring!$B$10*0.07+(C288-D288)*Scoring!$B$5</x:f>
        <x:v>0</x:v>
      </x:c>
      <x:c r="Q288" s="25" t="n">
        <x:f>MAX(QB!D289*Scoring!$B$30+QB!E289/Scoring!$C$30+QB!F289*Scoring!$D$30+QB!G289*Scoring!$E$30+QB!H289*Scoring!$F$30+QB!I289/Scoring!$G$30+QB!J289*Scoring!$H$30+QB!K289*Scoring!$I$30+M289*Scoring!$J$30+QB!N289*Scoring!$K$30,0)+C289*Scoring!$B$10*0.07+(C289-D289)*Scoring!$B$5</x:f>
        <x:v>0</x:v>
      </x:c>
      <x:c r="R288" s="9"/>
      <x:c r="S288" s="9"/>
      <x:c r="T288" s="9"/>
      <x:c r="U288" s="9"/>
      <x:c r="V288" s="9"/>
      <x:c r="W288" s="9"/>
      <x:c r="X288" s="9"/>
      <x:c r="Y288" s="9"/>
      <x:c r="Z288" s="9"/>
    </x:row>
    <x:row r="289" ht="14.25" customHeight="1">
      <x:c r="M289" s="18">
        <x:f t="shared" si="1"/>
        <x:v>0</x:v>
      </x:c>
      <x:c r="N289" s="18">
        <x:f t="shared" si="2"/>
        <x:v>0</x:v>
      </x:c>
      <x:c r="O289" s="25"/>
      <x:c r="P289" s="25"/>
      <x:c r="Q289" s="25"/>
      <x:c r="R289" s="9"/>
      <x:c r="S289" s="9"/>
      <x:c r="T289" s="9"/>
      <x:c r="U289" s="9"/>
      <x:c r="V289" s="9"/>
      <x:c r="W289" s="9"/>
      <x:c r="X289" s="9"/>
      <x:c r="Y289" s="9"/>
      <x:c r="Z289" s="9"/>
    </x:row>
    <x:row r="290" ht="14.25" customHeight="1">
      <x:c r="M290" s="18">
        <x:f t="shared" si="1"/>
        <x:v>0</x:v>
      </x:c>
      <x:c r="N290" s="18">
        <x:f t="shared" si="2"/>
        <x:v>0</x:v>
      </x:c>
      <x:c r="O290" s="25"/>
      <x:c r="P290" s="25"/>
      <x:c r="Q290" s="25"/>
      <x:c r="R290" s="9"/>
      <x:c r="S290" s="9"/>
      <x:c r="T290" s="9"/>
      <x:c r="U290" s="9"/>
      <x:c r="V290" s="9"/>
      <x:c r="W290" s="9"/>
      <x:c r="X290" s="9"/>
      <x:c r="Y290" s="9"/>
      <x:c r="Z290" s="9"/>
    </x:row>
    <x:row r="291" ht="14.25" customHeight="1">
      <x:c r="M291" s="18">
        <x:f t="shared" si="1"/>
        <x:v>0</x:v>
      </x:c>
      <x:c r="N291" s="18">
        <x:f t="shared" si="2"/>
        <x:v>0</x:v>
      </x:c>
      <x:c r="O291" s="25" t="n">
        <x:f>MAX(QB!D293*Scoring!$B$30+QB!E293/Scoring!$C$30+QB!F293*Scoring!$D$30+QB!G293*Scoring!$E$30+QB!H293*Scoring!$F$30+QB!I293/Scoring!$G$30+QB!J293*Scoring!$H$30+QB!K293*Scoring!$I$30+M293*Scoring!$J$30+QB!N293*Scoring!$K$30,0)+C293*Scoring!$B$10*0.07+(C293-D293)*Scoring!$B$5</x:f>
        <x:v>0</x:v>
      </x:c>
      <x:c r="P291" s="25" t="n">
        <x:f>MAX(QB!D291*Scoring!$B$30+QB!E291/Scoring!$C$30+QB!F291*Scoring!$D$30+QB!G291*Scoring!$E$30+QB!H291*Scoring!$F$30+QB!I291/Scoring!$G$30+QB!J291*Scoring!$H$30+QB!K291*Scoring!$I$30+M291*Scoring!$J$30+QB!N291*Scoring!$K$30,0)+C291*Scoring!$B$10*0.07+(C291-D291)*Scoring!$B$5</x:f>
        <x:v>0</x:v>
      </x:c>
      <x:c r="Q291" s="25" t="n">
        <x:f>MAX(QB!D292*Scoring!$B$30+QB!E292/Scoring!$C$30+QB!F292*Scoring!$D$30+QB!G292*Scoring!$E$30+QB!H292*Scoring!$F$30+QB!I292/Scoring!$G$30+QB!J292*Scoring!$H$30+QB!K292*Scoring!$I$30+M292*Scoring!$J$30+QB!N292*Scoring!$K$30,0)+C292*Scoring!$B$10*0.07+(C292-D292)*Scoring!$B$5</x:f>
        <x:v>0</x:v>
      </x:c>
      <x:c r="R291" s="9"/>
      <x:c r="S291" s="9"/>
      <x:c r="T291" s="9"/>
      <x:c r="U291" s="9"/>
      <x:c r="V291" s="9"/>
      <x:c r="W291" s="9"/>
      <x:c r="X291" s="9"/>
      <x:c r="Y291" s="9"/>
      <x:c r="Z291" s="9"/>
    </x:row>
    <x:row r="292" ht="14.25" customHeight="1">
      <x:c r="M292" s="18">
        <x:f t="shared" si="1"/>
        <x:v>0</x:v>
      </x:c>
      <x:c r="N292" s="18">
        <x:f t="shared" si="2"/>
        <x:v>0</x:v>
      </x:c>
      <x:c r="O292" s="25"/>
      <x:c r="P292" s="25"/>
      <x:c r="Q292" s="25"/>
      <x:c r="R292" s="9"/>
      <x:c r="S292" s="9"/>
      <x:c r="T292" s="9"/>
      <x:c r="U292" s="9"/>
      <x:c r="V292" s="9"/>
      <x:c r="W292" s="9"/>
      <x:c r="X292" s="9"/>
      <x:c r="Y292" s="9"/>
      <x:c r="Z292" s="9"/>
    </x:row>
    <x:row r="293" ht="14.25" customHeight="1">
      <x:c r="M293" s="18">
        <x:f t="shared" si="1"/>
        <x:v>0</x:v>
      </x:c>
      <x:c r="N293" s="18">
        <x:f t="shared" si="2"/>
        <x:v>0</x:v>
      </x:c>
      <x:c r="O293" s="25"/>
      <x:c r="P293" s="25"/>
      <x:c r="Q293" s="25"/>
      <x:c r="R293" s="9"/>
      <x:c r="S293" s="9"/>
      <x:c r="T293" s="9"/>
      <x:c r="U293" s="9"/>
      <x:c r="V293" s="9"/>
      <x:c r="W293" s="9"/>
      <x:c r="X293" s="9"/>
      <x:c r="Y293" s="9"/>
      <x:c r="Z293" s="9"/>
    </x:row>
    <x:row r="294" ht="14.25" customHeight="1">
      <x:c r="M294" s="18">
        <x:f t="shared" si="1"/>
        <x:v>0</x:v>
      </x:c>
      <x:c r="N294" s="18">
        <x:f t="shared" si="2"/>
        <x:v>0</x:v>
      </x:c>
      <x:c r="O294" s="25" t="n">
        <x:f>MAX(QB!D296*Scoring!$B$30+QB!E296/Scoring!$C$30+QB!F296*Scoring!$D$30+QB!G296*Scoring!$E$30+QB!H296*Scoring!$F$30+QB!I296/Scoring!$G$30+QB!J296*Scoring!$H$30+QB!K296*Scoring!$I$30+M296*Scoring!$J$30+QB!N296*Scoring!$K$30,0)+C296*Scoring!$B$10*0.07+(C296-D296)*Scoring!$B$5</x:f>
        <x:v>0</x:v>
      </x:c>
      <x:c r="P294" s="25" t="n">
        <x:f>MAX(QB!D294*Scoring!$B$30+QB!E294/Scoring!$C$30+QB!F294*Scoring!$D$30+QB!G294*Scoring!$E$30+QB!H294*Scoring!$F$30+QB!I294/Scoring!$G$30+QB!J294*Scoring!$H$30+QB!K294*Scoring!$I$30+M294*Scoring!$J$30+QB!N294*Scoring!$K$30,0)+C294*Scoring!$B$10*0.07+(C294-D294)*Scoring!$B$5</x:f>
        <x:v>0</x:v>
      </x:c>
      <x:c r="Q294" s="25" t="n">
        <x:f>MAX(QB!D295*Scoring!$B$30+QB!E295/Scoring!$C$30+QB!F295*Scoring!$D$30+QB!G295*Scoring!$E$30+QB!H295*Scoring!$F$30+QB!I295/Scoring!$G$30+QB!J295*Scoring!$H$30+QB!K295*Scoring!$I$30+M295*Scoring!$J$30+QB!N295*Scoring!$K$30,0)+C295*Scoring!$B$10*0.07+(C295-D295)*Scoring!$B$5</x:f>
        <x:v>0</x:v>
      </x:c>
      <x:c r="R294" s="9"/>
      <x:c r="S294" s="9"/>
      <x:c r="T294" s="9"/>
      <x:c r="U294" s="9"/>
      <x:c r="V294" s="9"/>
      <x:c r="W294" s="9"/>
      <x:c r="X294" s="9"/>
      <x:c r="Y294" s="9"/>
      <x:c r="Z294" s="9"/>
    </x:row>
    <x:row r="295" ht="14.25" customHeight="1">
      <x:c r="M295" s="18">
        <x:f t="shared" si="1"/>
        <x:v>0</x:v>
      </x:c>
      <x:c r="N295" s="18">
        <x:f t="shared" si="2"/>
        <x:v>0</x:v>
      </x:c>
      <x:c r="O295" s="25"/>
      <x:c r="P295" s="25"/>
      <x:c r="Q295" s="25"/>
      <x:c r="R295" s="9"/>
      <x:c r="S295" s="9"/>
      <x:c r="T295" s="9"/>
      <x:c r="U295" s="9"/>
      <x:c r="V295" s="9"/>
      <x:c r="W295" s="9"/>
      <x:c r="X295" s="9"/>
      <x:c r="Y295" s="9"/>
      <x:c r="Z295" s="9"/>
    </x:row>
    <x:row r="296" ht="14.25" customHeight="1">
      <x:c r="M296" s="18">
        <x:f t="shared" si="1"/>
        <x:v>0</x:v>
      </x:c>
      <x:c r="N296" s="18">
        <x:f t="shared" si="2"/>
        <x:v>0</x:v>
      </x:c>
      <x:c r="O296" s="25"/>
      <x:c r="P296" s="25"/>
      <x:c r="Q296" s="25"/>
      <x:c r="R296" s="9"/>
      <x:c r="S296" s="9"/>
      <x:c r="T296" s="9"/>
      <x:c r="U296" s="9"/>
      <x:c r="V296" s="9"/>
      <x:c r="W296" s="9"/>
      <x:c r="X296" s="9"/>
      <x:c r="Y296" s="9"/>
      <x:c r="Z296" s="9"/>
    </x:row>
    <x:row r="297" ht="14.25" customHeight="1">
      <x:c r="M297" s="18">
        <x:f t="shared" si="1"/>
        <x:v>0</x:v>
      </x:c>
      <x:c r="N297" s="18">
        <x:f t="shared" si="2"/>
        <x:v>0</x:v>
      </x:c>
      <x:c r="O297" s="25" t="n">
        <x:f>MAX(QB!D299*Scoring!$B$30+QB!E299/Scoring!$C$30+QB!F299*Scoring!$D$30+QB!G299*Scoring!$E$30+QB!H299*Scoring!$F$30+QB!I299/Scoring!$G$30+QB!J299*Scoring!$H$30+QB!K299*Scoring!$I$30+M299*Scoring!$J$30+QB!N299*Scoring!$K$30,0)+C299*Scoring!$B$10*0.07+(C299-D299)*Scoring!$B$5</x:f>
        <x:v>0</x:v>
      </x:c>
      <x:c r="P297" s="25" t="n">
        <x:f>MAX(QB!D297*Scoring!$B$30+QB!E297/Scoring!$C$30+QB!F297*Scoring!$D$30+QB!G297*Scoring!$E$30+QB!H297*Scoring!$F$30+QB!I297/Scoring!$G$30+QB!J297*Scoring!$H$30+QB!K297*Scoring!$I$30+M297*Scoring!$J$30+QB!N297*Scoring!$K$30,0)+C297*Scoring!$B$10*0.07+(C297-D297)*Scoring!$B$5</x:f>
        <x:v>0</x:v>
      </x:c>
      <x:c r="Q297" s="25" t="n">
        <x:f>MAX(QB!D298*Scoring!$B$30+QB!E298/Scoring!$C$30+QB!F298*Scoring!$D$30+QB!G298*Scoring!$E$30+QB!H298*Scoring!$F$30+QB!I298/Scoring!$G$30+QB!J298*Scoring!$H$30+QB!K298*Scoring!$I$30+M298*Scoring!$J$30+QB!N298*Scoring!$K$30,0)+C298*Scoring!$B$10*0.07+(C298-D298)*Scoring!$B$5</x:f>
        <x:v>0</x:v>
      </x:c>
      <x:c r="R297" s="9"/>
      <x:c r="S297" s="9"/>
      <x:c r="T297" s="9"/>
      <x:c r="U297" s="9"/>
      <x:c r="V297" s="9"/>
      <x:c r="W297" s="9"/>
      <x:c r="X297" s="9"/>
      <x:c r="Y297" s="9"/>
      <x:c r="Z297" s="9"/>
    </x:row>
    <x:row r="298" ht="14.25" customHeight="1">
      <x:c r="M298" s="18">
        <x:f t="shared" si="1"/>
        <x:v>0</x:v>
      </x:c>
      <x:c r="N298" s="18">
        <x:f t="shared" si="2"/>
        <x:v>0</x:v>
      </x:c>
      <x:c r="O298" s="25"/>
      <x:c r="P298" s="25"/>
      <x:c r="Q298" s="25"/>
      <x:c r="R298" s="9"/>
      <x:c r="S298" s="9"/>
      <x:c r="T298" s="9"/>
      <x:c r="U298" s="9"/>
      <x:c r="V298" s="9"/>
      <x:c r="W298" s="9"/>
      <x:c r="X298" s="9"/>
      <x:c r="Y298" s="9"/>
      <x:c r="Z298" s="9"/>
    </x:row>
    <x:row r="299" ht="14.25" customHeight="1">
      <x:c r="M299" s="18">
        <x:f t="shared" si="1"/>
        <x:v>0</x:v>
      </x:c>
      <x:c r="N299" s="18">
        <x:f t="shared" si="2"/>
        <x:v>0</x:v>
      </x:c>
      <x:c r="O299" s="25"/>
      <x:c r="P299" s="25"/>
      <x:c r="Q299" s="25"/>
      <x:c r="R299" s="9"/>
      <x:c r="S299" s="9"/>
      <x:c r="T299" s="9"/>
      <x:c r="U299" s="9"/>
      <x:c r="V299" s="9"/>
      <x:c r="W299" s="9"/>
      <x:c r="X299" s="9"/>
      <x:c r="Y299" s="9"/>
      <x:c r="Z299" s="9"/>
    </x:row>
    <x:row r="300" ht="14.25" customHeight="1">
      <x:c r="M300" s="18">
        <x:f t="shared" si="1"/>
        <x:v>0</x:v>
      </x:c>
      <x:c r="N300" s="18">
        <x:f t="shared" si="2"/>
        <x:v>0</x:v>
      </x:c>
      <x:c r="O300" s="25" t="n">
        <x:f>MAX(QB!D302*Scoring!$B$30+QB!E302/Scoring!$C$30+QB!F302*Scoring!$D$30+QB!G302*Scoring!$E$30+QB!H302*Scoring!$F$30+QB!I302/Scoring!$G$30+QB!J302*Scoring!$H$30+QB!K302*Scoring!$I$30+M302*Scoring!$J$30+QB!N302*Scoring!$K$30,0)+C302*Scoring!$B$10*0.07+(C302-D302)*Scoring!$B$5</x:f>
        <x:v>0</x:v>
      </x:c>
      <x:c r="P300" s="25" t="n">
        <x:f>MAX(QB!D300*Scoring!$B$30+QB!E300/Scoring!$C$30+QB!F300*Scoring!$D$30+QB!G300*Scoring!$E$30+QB!H300*Scoring!$F$30+QB!I300/Scoring!$G$30+QB!J300*Scoring!$H$30+QB!K300*Scoring!$I$30+M300*Scoring!$J$30+QB!N300*Scoring!$K$30,0)+C300*Scoring!$B$10*0.07+(C300-D300)*Scoring!$B$5</x:f>
        <x:v>0</x:v>
      </x:c>
      <x:c r="Q300" s="25" t="n">
        <x:f>MAX(QB!D301*Scoring!$B$30+QB!E301/Scoring!$C$30+QB!F301*Scoring!$D$30+QB!G301*Scoring!$E$30+QB!H301*Scoring!$F$30+QB!I301/Scoring!$G$30+QB!J301*Scoring!$H$30+QB!K301*Scoring!$I$30+M301*Scoring!$J$30+QB!N301*Scoring!$K$30,0)+C301*Scoring!$B$10*0.07+(C301-D301)*Scoring!$B$5</x:f>
        <x:v>0</x:v>
      </x:c>
      <x:c r="R300" s="9"/>
      <x:c r="S300" s="9"/>
      <x:c r="T300" s="9"/>
      <x:c r="U300" s="9"/>
      <x:c r="V300" s="9"/>
      <x:c r="W300" s="9"/>
      <x:c r="X300" s="9"/>
      <x:c r="Y300" s="9"/>
      <x:c r="Z300" s="9"/>
    </x:row>
    <x:row r="301" ht="14.25" customHeight="1">
      <x:c r="M301" s="18">
        <x:f t="shared" si="1"/>
        <x:v>0</x:v>
      </x:c>
      <x:c r="N301" s="18">
        <x:f t="shared" si="2"/>
        <x:v>0</x:v>
      </x:c>
      <x:c r="O301" s="25"/>
      <x:c r="P301" s="25"/>
      <x:c r="Q301" s="25"/>
      <x:c r="R301" s="9"/>
      <x:c r="S301" s="9"/>
      <x:c r="T301" s="9"/>
      <x:c r="U301" s="9"/>
      <x:c r="V301" s="9"/>
      <x:c r="W301" s="9"/>
      <x:c r="X301" s="9"/>
      <x:c r="Y301" s="9"/>
      <x:c r="Z301" s="9"/>
    </x:row>
    <x:row r="302" ht="14.25" customHeight="1">
      <x:c r="M302" s="18">
        <x:f t="shared" si="1"/>
        <x:v>0</x:v>
      </x:c>
      <x:c r="N302" s="18">
        <x:f t="shared" si="2"/>
        <x:v>0</x:v>
      </x:c>
      <x:c r="O302" s="25"/>
      <x:c r="P302" s="25"/>
      <x:c r="Q302" s="25"/>
      <x:c r="R302" s="9"/>
      <x:c r="S302" s="9"/>
      <x:c r="T302" s="9"/>
      <x:c r="U302" s="9"/>
      <x:c r="V302" s="9"/>
      <x:c r="W302" s="9"/>
      <x:c r="X302" s="9"/>
      <x:c r="Y302" s="9"/>
      <x:c r="Z302" s="9"/>
    </x:row>
    <x:row r="303" ht="14.25" customHeight="1">
      <x:c r="M303" s="5"/>
      <x:c r="N303" s="5"/>
      <x:c r="O303" s="25" t="n">
        <x:f>MAX(QB!D305*Scoring!$B$30+QB!E305/Scoring!$C$30+QB!F305*Scoring!$D$30+QB!G305*Scoring!$E$30+QB!H305*Scoring!$F$30+QB!I305/Scoring!$G$30+QB!J305*Scoring!$H$30+QB!K305*Scoring!$I$30+M305*Scoring!$J$30+QB!N305*Scoring!$K$30,0)+C305*Scoring!$B$10*0.07+(C305-D305)*Scoring!$B$5</x:f>
        <x:v>0</x:v>
      </x:c>
      <x:c r="P303" s="25" t="n">
        <x:f>MAX(QB!D303*Scoring!$B$30+QB!E303/Scoring!$C$30+QB!F303*Scoring!$D$30+QB!G303*Scoring!$E$30+QB!H303*Scoring!$F$30+QB!I303/Scoring!$G$30+QB!J303*Scoring!$H$30+QB!K303*Scoring!$I$30+M303*Scoring!$J$30+QB!N303*Scoring!$K$30,0)+C303*Scoring!$B$10*0.07+(C303-D303)*Scoring!$B$5</x:f>
        <x:v>0</x:v>
      </x:c>
      <x:c r="Q303" s="25" t="n">
        <x:f>MAX(QB!D304*Scoring!$B$30+QB!E304/Scoring!$C$30+QB!F304*Scoring!$D$30+QB!G304*Scoring!$E$30+QB!H304*Scoring!$F$30+QB!I304/Scoring!$G$30+QB!J304*Scoring!$H$30+QB!K304*Scoring!$I$30+M304*Scoring!$J$30+QB!N304*Scoring!$K$30,0)+C304*Scoring!$B$10*0.07+(C304-D304)*Scoring!$B$5</x:f>
        <x:v>0</x:v>
      </x:c>
      <x:c r="R303" s="9"/>
      <x:c r="S303" s="9"/>
      <x:c r="T303" s="9"/>
      <x:c r="U303" s="9"/>
      <x:c r="V303" s="9"/>
      <x:c r="W303" s="9"/>
      <x:c r="X303" s="9"/>
      <x:c r="Y303" s="9"/>
      <x:c r="Z303" s="9"/>
    </x:row>
    <x:row r="304" ht="14.25" customHeight="1">
      <x:c r="M304" s="5"/>
      <x:c r="N304" s="5"/>
      <x:c r="O304" s="25"/>
      <x:c r="P304" s="25"/>
      <x:c r="Q304" s="25"/>
      <x:c r="R304" s="9"/>
      <x:c r="S304" s="9"/>
      <x:c r="T304" s="9"/>
      <x:c r="U304" s="9"/>
      <x:c r="V304" s="9"/>
      <x:c r="W304" s="9"/>
      <x:c r="X304" s="9"/>
      <x:c r="Y304" s="9"/>
      <x:c r="Z304" s="9"/>
    </x:row>
    <x:row r="305" ht="14.25" customHeight="1">
      <x:c r="M305" s="5"/>
      <x:c r="N305" s="5"/>
      <x:c r="O305" s="25"/>
      <x:c r="P305" s="25"/>
      <x:c r="Q305" s="25"/>
      <x:c r="R305" s="9"/>
      <x:c r="S305" s="9"/>
      <x:c r="T305" s="9"/>
      <x:c r="U305" s="9"/>
      <x:c r="V305" s="9"/>
      <x:c r="W305" s="9"/>
      <x:c r="X305" s="9"/>
      <x:c r="Y305" s="9"/>
      <x:c r="Z305" s="9"/>
    </x:row>
    <x:row r="306" ht="14.25" customHeight="1">
      <x:c r="M306" s="5"/>
      <x:c r="N306" s="5"/>
      <x:c r="O306" s="25" t="n">
        <x:f>MAX(QB!D308*Scoring!$B$30+QB!E308/Scoring!$C$30+QB!F308*Scoring!$D$30+QB!G308*Scoring!$E$30+QB!H308*Scoring!$F$30+QB!I308/Scoring!$G$30+QB!J308*Scoring!$H$30+QB!K308*Scoring!$I$30+M308*Scoring!$J$30+QB!N308*Scoring!$K$30,0)+C308*Scoring!$B$10*0.07+(C308-D308)*Scoring!$B$5</x:f>
        <x:v>0</x:v>
      </x:c>
      <x:c r="P306" s="25" t="n">
        <x:f>MAX(QB!D306*Scoring!$B$30+QB!E306/Scoring!$C$30+QB!F306*Scoring!$D$30+QB!G306*Scoring!$E$30+QB!H306*Scoring!$F$30+QB!I306/Scoring!$G$30+QB!J306*Scoring!$H$30+QB!K306*Scoring!$I$30+M306*Scoring!$J$30+QB!N306*Scoring!$K$30,0)+C306*Scoring!$B$10*0.07+(C306-D306)*Scoring!$B$5</x:f>
        <x:v>0</x:v>
      </x:c>
      <x:c r="Q306" s="25" t="n">
        <x:f>MAX(QB!D307*Scoring!$B$30+QB!E307/Scoring!$C$30+QB!F307*Scoring!$D$30+QB!G307*Scoring!$E$30+QB!H307*Scoring!$F$30+QB!I307/Scoring!$G$30+QB!J307*Scoring!$H$30+QB!K307*Scoring!$I$30+M307*Scoring!$J$30+QB!N307*Scoring!$K$30,0)+C307*Scoring!$B$10*0.07+(C307-D307)*Scoring!$B$5</x:f>
        <x:v>0</x:v>
      </x:c>
      <x:c r="R306" s="9"/>
      <x:c r="S306" s="9"/>
      <x:c r="T306" s="9"/>
      <x:c r="U306" s="9"/>
      <x:c r="V306" s="9"/>
      <x:c r="W306" s="9"/>
      <x:c r="X306" s="9"/>
      <x:c r="Y306" s="9"/>
      <x:c r="Z306" s="9"/>
    </x:row>
    <x:row r="307" ht="14.25" customHeight="1">
      <x:c r="M307" s="5"/>
      <x:c r="N307" s="5"/>
      <x:c r="O307" s="25"/>
      <x:c r="P307" s="25"/>
      <x:c r="Q307" s="25"/>
      <x:c r="R307" s="9"/>
      <x:c r="S307" s="9"/>
      <x:c r="T307" s="9"/>
      <x:c r="U307" s="9"/>
      <x:c r="V307" s="9"/>
      <x:c r="W307" s="9"/>
      <x:c r="X307" s="9"/>
      <x:c r="Y307" s="9"/>
      <x:c r="Z307" s="9"/>
    </x:row>
    <x:row r="308" ht="14.25" customHeight="1">
      <x:c r="M308" s="5"/>
      <x:c r="N308" s="5"/>
      <x:c r="O308" s="25"/>
      <x:c r="P308" s="25"/>
      <x:c r="Q308" s="25"/>
      <x:c r="R308" s="9"/>
      <x:c r="S308" s="9"/>
      <x:c r="T308" s="9"/>
      <x:c r="U308" s="9"/>
      <x:c r="V308" s="9"/>
      <x:c r="W308" s="9"/>
      <x:c r="X308" s="9"/>
      <x:c r="Y308" s="9"/>
      <x:c r="Z308" s="9"/>
    </x:row>
    <x:row r="309" ht="14.25" customHeight="1">
      <x:c r="M309" s="5"/>
      <x:c r="N309" s="5"/>
      <x:c r="O309" s="9"/>
      <x:c r="P309" s="9"/>
      <x:c r="Q309" s="9"/>
      <x:c r="R309" s="9"/>
      <x:c r="S309" s="9"/>
      <x:c r="T309" s="9"/>
      <x:c r="U309" s="9"/>
      <x:c r="V309" s="9"/>
      <x:c r="W309" s="9"/>
      <x:c r="X309" s="9"/>
      <x:c r="Y309" s="9"/>
      <x:c r="Z309" s="9"/>
    </x:row>
    <x:row r="310" ht="14.25" customHeight="1">
      <x:c r="M310" s="5"/>
      <x:c r="N310" s="5"/>
      <x:c r="O310" s="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</x:row>
    <x:row r="311" ht="14.25" customHeight="1">
      <x:c r="M311" s="5"/>
      <x:c r="N311" s="5"/>
      <x:c r="O311" s="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</x:row>
    <x:row r="312" ht="14.25" customHeight="1">
      <x:c r="M312" s="5"/>
      <x:c r="N312" s="5"/>
      <x:c r="O312" s="9"/>
      <x:c r="P312" s="9"/>
      <x:c r="Q312" s="9"/>
      <x:c r="R312" s="9"/>
      <x:c r="S312" s="9"/>
      <x:c r="T312" s="9"/>
      <x:c r="U312" s="9"/>
      <x:c r="V312" s="9"/>
      <x:c r="W312" s="9"/>
      <x:c r="X312" s="9"/>
      <x:c r="Y312" s="9"/>
      <x:c r="Z312" s="9"/>
    </x:row>
    <x:row r="313" ht="14.25" customHeight="1">
      <x:c r="M313" s="5"/>
      <x:c r="N313" s="5"/>
      <x:c r="O313" s="9"/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  <x:c r="Z313" s="9"/>
    </x:row>
    <x:row r="314" ht="14.25" customHeight="1">
      <x:c r="M314" s="5"/>
      <x:c r="N314" s="5"/>
      <x:c r="O314" s="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</x:row>
    <x:row r="315" ht="14.25" customHeight="1">
      <x:c r="M315" s="5"/>
      <x:c r="N315" s="5"/>
      <x:c r="O315" s="9"/>
      <x:c r="P315" s="9"/>
      <x:c r="Q315" s="9"/>
      <x:c r="R315" s="9"/>
      <x:c r="S315" s="9"/>
      <x:c r="T315" s="9"/>
      <x:c r="U315" s="9"/>
      <x:c r="V315" s="9"/>
      <x:c r="W315" s="9"/>
      <x:c r="X315" s="9"/>
      <x:c r="Y315" s="9"/>
      <x:c r="Z315" s="9"/>
    </x:row>
    <x:row r="316" ht="14.25" customHeight="1">
      <x:c r="M316" s="5"/>
      <x:c r="N316" s="5"/>
      <x:c r="O316" s="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</x:row>
    <x:row r="317" ht="14.25" customHeight="1">
      <x:c r="M317" s="5"/>
      <x:c r="N317" s="5"/>
      <x:c r="O317" s="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</x:row>
    <x:row r="318" ht="14.25" customHeight="1">
      <x:c r="M318" s="5"/>
      <x:c r="N318" s="5"/>
      <x:c r="O318" s="9"/>
      <x:c r="P318" s="9"/>
      <x:c r="Q318" s="9"/>
      <x:c r="R318" s="9"/>
      <x:c r="S318" s="9"/>
      <x:c r="T318" s="9"/>
      <x:c r="U318" s="9"/>
      <x:c r="V318" s="9"/>
      <x:c r="W318" s="9"/>
      <x:c r="X318" s="9"/>
      <x:c r="Y318" s="9"/>
      <x:c r="Z318" s="9"/>
    </x:row>
    <x:row r="319" ht="14.25" customHeight="1">
      <x:c r="M319" s="5"/>
      <x:c r="N319" s="5"/>
      <x:c r="O319" s="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</x:row>
    <x:row r="320" ht="14.25" customHeight="1">
      <x:c r="M320" s="5"/>
      <x:c r="N320" s="5"/>
      <x:c r="O320" s="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</x:row>
    <x:row r="321" ht="14.25" customHeight="1">
      <x:c r="M321" s="5"/>
      <x:c r="N321" s="5"/>
      <x:c r="O321" s="9"/>
      <x:c r="P321" s="9"/>
      <x:c r="Q321" s="9"/>
      <x:c r="R321" s="9"/>
      <x:c r="S321" s="9"/>
      <x:c r="T321" s="9"/>
      <x:c r="U321" s="9"/>
      <x:c r="V321" s="9"/>
      <x:c r="W321" s="9"/>
      <x:c r="X321" s="9"/>
      <x:c r="Y321" s="9"/>
      <x:c r="Z321" s="9"/>
    </x:row>
    <x:row r="322" ht="14.25" customHeight="1">
      <x:c r="M322" s="5"/>
      <x:c r="N322" s="5"/>
      <x:c r="O322" s="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</x:row>
    <x:row r="323" ht="14.25" customHeight="1">
      <x:c r="M323" s="5"/>
      <x:c r="N323" s="5"/>
      <x:c r="O323" s="9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</x:row>
    <x:row r="324" ht="14.25" customHeight="1">
      <x:c r="M324" s="5"/>
      <x:c r="N324" s="5"/>
      <x:c r="O324" s="9"/>
      <x:c r="P324" s="9"/>
      <x:c r="Q324" s="9"/>
      <x:c r="R324" s="9"/>
      <x:c r="S324" s="9"/>
      <x:c r="T324" s="9"/>
      <x:c r="U324" s="9"/>
      <x:c r="V324" s="9"/>
      <x:c r="W324" s="9"/>
      <x:c r="X324" s="9"/>
      <x:c r="Y324" s="9"/>
      <x:c r="Z324" s="9"/>
    </x:row>
    <x:row r="325" ht="14.25" customHeight="1">
      <x:c r="M325" s="5"/>
      <x:c r="N325" s="5"/>
      <x:c r="O325" s="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</x:row>
    <x:row r="326" ht="14.25" customHeight="1">
      <x:c r="M326" s="5"/>
      <x:c r="N326" s="5"/>
      <x:c r="O326" s="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</x:row>
    <x:row r="327" ht="14.25" customHeight="1">
      <x:c r="M327" s="5"/>
      <x:c r="N327" s="5"/>
      <x:c r="O327" s="9"/>
      <x:c r="P327" s="9"/>
      <x:c r="Q327" s="9"/>
      <x:c r="R327" s="9"/>
      <x:c r="S327" s="9"/>
      <x:c r="T327" s="9"/>
      <x:c r="U327" s="9"/>
      <x:c r="V327" s="9"/>
      <x:c r="W327" s="9"/>
      <x:c r="X327" s="9"/>
      <x:c r="Y327" s="9"/>
      <x:c r="Z327" s="9"/>
    </x:row>
    <x:row r="328" ht="14.25" customHeight="1">
      <x:c r="M328" s="5"/>
      <x:c r="N328" s="5"/>
      <x:c r="O328" s="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</x:row>
    <x:row r="329" ht="14.25" customHeight="1">
      <x:c r="M329" s="5"/>
      <x:c r="N329" s="5"/>
      <x:c r="O329" s="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</x:row>
    <x:row r="330" ht="14.25" customHeight="1">
      <x:c r="M330" s="5"/>
      <x:c r="N330" s="5"/>
      <x:c r="O330" s="9"/>
      <x:c r="P330" s="9"/>
      <x:c r="Q330" s="9"/>
      <x:c r="R330" s="9"/>
      <x:c r="S330" s="9"/>
      <x:c r="T330" s="9"/>
      <x:c r="U330" s="9"/>
      <x:c r="V330" s="9"/>
      <x:c r="W330" s="9"/>
      <x:c r="X330" s="9"/>
      <x:c r="Y330" s="9"/>
      <x:c r="Z330" s="9"/>
    </x:row>
    <x:row r="331" ht="14.25" customHeight="1">
      <x:c r="M331" s="5"/>
      <x:c r="N331" s="5"/>
      <x:c r="O331" s="9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  <x:c r="Z331" s="9"/>
    </x:row>
    <x:row r="332" ht="14.25" customHeight="1">
      <x:c r="M332" s="5"/>
      <x:c r="N332" s="5"/>
      <x:c r="O332" s="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</x:row>
    <x:row r="333" ht="14.25" customHeight="1">
      <x:c r="M333" s="5"/>
      <x:c r="N333" s="5"/>
      <x:c r="O333" s="9"/>
      <x:c r="P333" s="9"/>
      <x:c r="Q333" s="9"/>
      <x:c r="R333" s="9"/>
      <x:c r="S333" s="9"/>
      <x:c r="T333" s="9"/>
      <x:c r="U333" s="9"/>
      <x:c r="V333" s="9"/>
      <x:c r="W333" s="9"/>
      <x:c r="X333" s="9"/>
      <x:c r="Y333" s="9"/>
      <x:c r="Z333" s="9"/>
    </x:row>
    <x:row r="334" ht="14.25" customHeight="1">
      <x:c r="M334" s="5"/>
      <x:c r="N334" s="5"/>
      <x:c r="O334" s="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</x:row>
    <x:row r="335" ht="14.25" customHeight="1">
      <x:c r="M335" s="5"/>
      <x:c r="N335" s="5"/>
      <x:c r="O335" s="9"/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  <x:c r="Z335" s="9"/>
    </x:row>
    <x:row r="336" ht="14.25" customHeight="1">
      <x:c r="M336" s="5"/>
      <x:c r="N336" s="5"/>
      <x:c r="O336" s="9"/>
      <x:c r="P336" s="9"/>
      <x:c r="Q336" s="9"/>
      <x:c r="R336" s="9"/>
      <x:c r="S336" s="9"/>
      <x:c r="T336" s="9"/>
      <x:c r="U336" s="9"/>
      <x:c r="V336" s="9"/>
      <x:c r="W336" s="9"/>
      <x:c r="X336" s="9"/>
      <x:c r="Y336" s="9"/>
      <x:c r="Z336" s="9"/>
    </x:row>
    <x:row r="337" ht="14.25" customHeight="1">
      <x:c r="M337" s="5"/>
      <x:c r="N337" s="5"/>
      <x:c r="O337" s="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</x:row>
    <x:row r="338" ht="14.25" customHeight="1">
      <x:c r="M338" s="5"/>
      <x:c r="N338" s="5"/>
      <x:c r="O338" s="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</x:row>
    <x:row r="339" ht="14.25" customHeight="1">
      <x:c r="M339" s="5"/>
      <x:c r="N339" s="5"/>
      <x:c r="O339" s="9"/>
      <x:c r="P339" s="9"/>
      <x:c r="Q339" s="9"/>
      <x:c r="R339" s="9"/>
      <x:c r="S339" s="9"/>
      <x:c r="T339" s="9"/>
      <x:c r="U339" s="9"/>
      <x:c r="V339" s="9"/>
      <x:c r="W339" s="9"/>
      <x:c r="X339" s="9"/>
      <x:c r="Y339" s="9"/>
      <x:c r="Z339" s="9"/>
    </x:row>
    <x:row r="340" ht="14.25" customHeight="1">
      <x:c r="M340" s="5"/>
      <x:c r="N340" s="5"/>
      <x:c r="O340" s="9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</x:row>
    <x:row r="341" ht="14.25" customHeight="1">
      <x:c r="M341" s="5"/>
      <x:c r="N341" s="5"/>
      <x:c r="O341" s="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</x:row>
    <x:row r="342" ht="14.25" customHeight="1">
      <x:c r="M342" s="5"/>
      <x:c r="N342" s="5"/>
      <x:c r="O342" s="9"/>
      <x:c r="P342" s="9"/>
      <x:c r="Q342" s="9"/>
      <x:c r="R342" s="9"/>
      <x:c r="S342" s="9"/>
      <x:c r="T342" s="9"/>
      <x:c r="U342" s="9"/>
      <x:c r="V342" s="9"/>
      <x:c r="W342" s="9"/>
      <x:c r="X342" s="9"/>
      <x:c r="Y342" s="9"/>
      <x:c r="Z342" s="9"/>
    </x:row>
    <x:row r="343" ht="14.25" customHeight="1">
      <x:c r="M343" s="5"/>
      <x:c r="N343" s="5"/>
      <x:c r="O343" s="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</x:row>
    <x:row r="344" ht="14.25" customHeight="1">
      <x:c r="M344" s="5"/>
      <x:c r="N344" s="5"/>
      <x:c r="O344" s="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</x:row>
    <x:row r="345" ht="14.25" customHeight="1">
      <x:c r="M345" s="5"/>
      <x:c r="N345" s="5"/>
      <x:c r="O345" s="9"/>
      <x:c r="P345" s="9"/>
      <x:c r="Q345" s="9"/>
      <x:c r="R345" s="9"/>
      <x:c r="S345" s="9"/>
      <x:c r="T345" s="9"/>
      <x:c r="U345" s="9"/>
      <x:c r="V345" s="9"/>
      <x:c r="W345" s="9"/>
      <x:c r="X345" s="9"/>
      <x:c r="Y345" s="9"/>
      <x:c r="Z345" s="9"/>
    </x:row>
    <x:row r="346" ht="14.25" customHeight="1">
      <x:c r="M346" s="5"/>
      <x:c r="N346" s="5"/>
      <x:c r="O346" s="9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  <x:c r="Z346" s="9"/>
    </x:row>
    <x:row r="347" ht="14.25" customHeight="1">
      <x:c r="M347" s="5"/>
      <x:c r="N347" s="5"/>
      <x:c r="O347" s="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</x:row>
    <x:row r="348" ht="14.25" customHeight="1">
      <x:c r="M348" s="5"/>
      <x:c r="N348" s="5"/>
      <x:c r="O348" s="9"/>
      <x:c r="P348" s="9"/>
      <x:c r="Q348" s="9"/>
      <x:c r="R348" s="9"/>
      <x:c r="S348" s="9"/>
      <x:c r="T348" s="9"/>
      <x:c r="U348" s="9"/>
      <x:c r="V348" s="9"/>
      <x:c r="W348" s="9"/>
      <x:c r="X348" s="9"/>
      <x:c r="Y348" s="9"/>
      <x:c r="Z348" s="9"/>
    </x:row>
    <x:row r="349" ht="14.25" customHeight="1">
      <x:c r="M349" s="5"/>
      <x:c r="N349" s="5"/>
      <x:c r="O349" s="9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  <x:c r="Z349" s="9"/>
    </x:row>
    <x:row r="350" ht="14.25" customHeight="1">
      <x:c r="M350" s="5"/>
      <x:c r="N350" s="5"/>
      <x:c r="O350" s="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</x:row>
    <x:row r="351" ht="14.25" customHeight="1">
      <x:c r="M351" s="5"/>
      <x:c r="N351" s="5"/>
      <x:c r="O351" s="9"/>
      <x:c r="P351" s="9"/>
      <x:c r="Q351" s="9"/>
      <x:c r="R351" s="9"/>
      <x:c r="S351" s="9"/>
      <x:c r="T351" s="9"/>
      <x:c r="U351" s="9"/>
      <x:c r="V351" s="9"/>
      <x:c r="W351" s="9"/>
      <x:c r="X351" s="9"/>
      <x:c r="Y351" s="9"/>
      <x:c r="Z351" s="9"/>
    </x:row>
    <x:row r="352" ht="14.25" customHeight="1">
      <x:c r="M352" s="5"/>
      <x:c r="N352" s="5"/>
      <x:c r="O352" s="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</x:row>
    <x:row r="353" ht="14.25" customHeight="1">
      <x:c r="M353" s="5"/>
      <x:c r="N353" s="5"/>
      <x:c r="O353" s="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</x:row>
    <x:row r="354" ht="14.25" customHeight="1">
      <x:c r="M354" s="5"/>
      <x:c r="N354" s="5"/>
      <x:c r="O354" s="9"/>
      <x:c r="P354" s="9"/>
      <x:c r="Q354" s="9"/>
      <x:c r="R354" s="9"/>
      <x:c r="S354" s="9"/>
      <x:c r="T354" s="9"/>
      <x:c r="U354" s="9"/>
      <x:c r="V354" s="9"/>
      <x:c r="W354" s="9"/>
      <x:c r="X354" s="9"/>
      <x:c r="Y354" s="9"/>
      <x:c r="Z354" s="9"/>
    </x:row>
    <x:row r="355" ht="14.25" customHeight="1">
      <x:c r="M355" s="5"/>
      <x:c r="N355" s="5"/>
      <x:c r="O355" s="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</x:row>
    <x:row r="356" ht="14.25" customHeight="1">
      <x:c r="M356" s="5"/>
      <x:c r="N356" s="5"/>
      <x:c r="O356" s="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</x:row>
    <x:row r="357" ht="14.25" customHeight="1">
      <x:c r="M357" s="5"/>
      <x:c r="N357" s="5"/>
      <x:c r="O357" s="9"/>
      <x:c r="P357" s="9"/>
      <x:c r="Q357" s="9"/>
      <x:c r="R357" s="9"/>
      <x:c r="S357" s="9"/>
      <x:c r="T357" s="9"/>
      <x:c r="U357" s="9"/>
      <x:c r="V357" s="9"/>
      <x:c r="W357" s="9"/>
      <x:c r="X357" s="9"/>
      <x:c r="Y357" s="9"/>
      <x:c r="Z357" s="9"/>
    </x:row>
    <x:row r="358" ht="14.25" customHeight="1">
      <x:c r="M358" s="5"/>
      <x:c r="N358" s="5"/>
      <x:c r="O358" s="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</x:row>
    <x:row r="359" ht="14.25" customHeight="1">
      <x:c r="M359" s="5"/>
      <x:c r="N359" s="5"/>
      <x:c r="O359" s="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</x:row>
    <x:row r="360" ht="14.25" customHeight="1">
      <x:c r="M360" s="5"/>
      <x:c r="N360" s="5"/>
      <x:c r="O360" s="9"/>
      <x:c r="P360" s="9"/>
      <x:c r="Q360" s="9"/>
      <x:c r="R360" s="9"/>
      <x:c r="S360" s="9"/>
      <x:c r="T360" s="9"/>
      <x:c r="U360" s="9"/>
      <x:c r="V360" s="9"/>
      <x:c r="W360" s="9"/>
      <x:c r="X360" s="9"/>
      <x:c r="Y360" s="9"/>
      <x:c r="Z360" s="9"/>
    </x:row>
    <x:row r="361" ht="14.25" customHeight="1">
      <x:c r="M361" s="5"/>
      <x:c r="N361" s="5"/>
      <x:c r="O361" s="9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  <x:c r="Z361" s="9"/>
    </x:row>
    <x:row r="362" ht="14.25" customHeight="1">
      <x:c r="M362" s="5"/>
      <x:c r="N362" s="5"/>
      <x:c r="O362" s="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</x:row>
    <x:row r="363" ht="14.25" customHeight="1">
      <x:c r="M363" s="5"/>
      <x:c r="N363" s="5"/>
      <x:c r="O363" s="9"/>
      <x:c r="P363" s="9"/>
      <x:c r="Q363" s="9"/>
      <x:c r="R363" s="9"/>
      <x:c r="S363" s="9"/>
      <x:c r="T363" s="9"/>
      <x:c r="U363" s="9"/>
      <x:c r="V363" s="9"/>
      <x:c r="W363" s="9"/>
      <x:c r="X363" s="9"/>
      <x:c r="Y363" s="9"/>
      <x:c r="Z363" s="9"/>
    </x:row>
    <x:row r="364" ht="14.25" customHeight="1">
      <x:c r="M364" s="5"/>
      <x:c r="N364" s="5"/>
      <x:c r="O364" s="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</x:row>
    <x:row r="365" ht="14.25" customHeight="1">
      <x:c r="M365" s="5"/>
      <x:c r="N365" s="5"/>
      <x:c r="O365" s="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</x:row>
    <x:row r="366" ht="14.25" customHeight="1">
      <x:c r="M366" s="5"/>
      <x:c r="N366" s="5"/>
      <x:c r="O366" s="9"/>
      <x:c r="P366" s="9"/>
      <x:c r="Q366" s="9"/>
      <x:c r="R366" s="9"/>
      <x:c r="S366" s="9"/>
      <x:c r="T366" s="9"/>
      <x:c r="U366" s="9"/>
      <x:c r="V366" s="9"/>
      <x:c r="W366" s="9"/>
      <x:c r="X366" s="9"/>
      <x:c r="Y366" s="9"/>
      <x:c r="Z366" s="9"/>
    </x:row>
    <x:row r="367" ht="14.25" customHeight="1">
      <x:c r="M367" s="5"/>
      <x:c r="N367" s="5"/>
      <x:c r="O367" s="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</x:row>
    <x:row r="368" ht="14.25" customHeight="1">
      <x:c r="M368" s="5"/>
      <x:c r="N368" s="5"/>
      <x:c r="O368" s="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</x:row>
    <x:row r="369" ht="14.25" customHeight="1">
      <x:c r="M369" s="5"/>
      <x:c r="N369" s="5"/>
      <x:c r="O369" s="9"/>
      <x:c r="P369" s="9"/>
      <x:c r="Q369" s="9"/>
      <x:c r="R369" s="9"/>
      <x:c r="S369" s="9"/>
      <x:c r="T369" s="9"/>
      <x:c r="U369" s="9"/>
      <x:c r="V369" s="9"/>
      <x:c r="W369" s="9"/>
      <x:c r="X369" s="9"/>
      <x:c r="Y369" s="9"/>
      <x:c r="Z369" s="9"/>
    </x:row>
    <x:row r="370" ht="14.25" customHeight="1">
      <x:c r="M370" s="5"/>
      <x:c r="N370" s="5"/>
      <x:c r="O370" s="9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  <x:c r="Z370" s="9"/>
    </x:row>
    <x:row r="371" ht="14.25" customHeight="1">
      <x:c r="M371" s="5"/>
      <x:c r="N371" s="5"/>
      <x:c r="O371" s="9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  <x:c r="Z371" s="9"/>
    </x:row>
    <x:row r="372" ht="14.25" customHeight="1">
      <x:c r="M372" s="5"/>
      <x:c r="N372" s="5"/>
      <x:c r="O372" s="9"/>
      <x:c r="P372" s="9"/>
      <x:c r="Q372" s="9"/>
      <x:c r="R372" s="9"/>
      <x:c r="S372" s="9"/>
      <x:c r="T372" s="9"/>
      <x:c r="U372" s="9"/>
      <x:c r="V372" s="9"/>
      <x:c r="W372" s="9"/>
      <x:c r="X372" s="9"/>
      <x:c r="Y372" s="9"/>
      <x:c r="Z372" s="9"/>
    </x:row>
    <x:row r="373" ht="14.25" customHeight="1">
      <x:c r="M373" s="5"/>
      <x:c r="N373" s="5"/>
      <x:c r="O373" s="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</x:row>
    <x:row r="374" ht="14.25" customHeight="1">
      <x:c r="M374" s="5"/>
      <x:c r="N374" s="5"/>
      <x:c r="O374" s="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</x:row>
    <x:row r="375" ht="14.25" customHeight="1">
      <x:c r="M375" s="5"/>
      <x:c r="N375" s="5"/>
      <x:c r="O375" s="9"/>
      <x:c r="P375" s="9"/>
      <x:c r="Q375" s="9"/>
      <x:c r="R375" s="9"/>
      <x:c r="S375" s="9"/>
      <x:c r="T375" s="9"/>
      <x:c r="U375" s="9"/>
      <x:c r="V375" s="9"/>
      <x:c r="W375" s="9"/>
      <x:c r="X375" s="9"/>
      <x:c r="Y375" s="9"/>
      <x:c r="Z375" s="9"/>
    </x:row>
    <x:row r="376" ht="14.25" customHeight="1">
      <x:c r="M376" s="5"/>
      <x:c r="N376" s="5"/>
      <x:c r="O376" s="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</x:row>
    <x:row r="377" ht="14.25" customHeight="1">
      <x:c r="M377" s="5"/>
      <x:c r="N377" s="5"/>
      <x:c r="O377" s="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</x:row>
    <x:row r="378" ht="14.25" customHeight="1">
      <x:c r="M378" s="5"/>
      <x:c r="N378" s="5"/>
      <x:c r="O378" s="9"/>
      <x:c r="P378" s="9"/>
      <x:c r="Q378" s="9"/>
      <x:c r="R378" s="9"/>
      <x:c r="S378" s="9"/>
      <x:c r="T378" s="9"/>
      <x:c r="U378" s="9"/>
      <x:c r="V378" s="9"/>
      <x:c r="W378" s="9"/>
      <x:c r="X378" s="9"/>
      <x:c r="Y378" s="9"/>
      <x:c r="Z378" s="9"/>
    </x:row>
    <x:row r="379" ht="14.25" customHeight="1">
      <x:c r="M379" s="5"/>
      <x:c r="N379" s="5"/>
      <x:c r="O379" s="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</x:row>
    <x:row r="380" ht="14.25" customHeight="1">
      <x:c r="M380" s="5"/>
      <x:c r="N380" s="5"/>
      <x:c r="O380" s="9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/>
      <x:c r="Z380" s="9"/>
    </x:row>
    <x:row r="381" ht="14.25" customHeight="1">
      <x:c r="M381" s="5"/>
      <x:c r="N381" s="5"/>
      <x:c r="O381" s="9"/>
      <x:c r="P381" s="9"/>
      <x:c r="Q381" s="9"/>
      <x:c r="R381" s="9"/>
      <x:c r="S381" s="9"/>
      <x:c r="T381" s="9"/>
      <x:c r="U381" s="9"/>
      <x:c r="V381" s="9"/>
      <x:c r="W381" s="9"/>
      <x:c r="X381" s="9"/>
      <x:c r="Y381" s="9"/>
      <x:c r="Z381" s="9"/>
    </x:row>
    <x:row r="382" ht="14.25" customHeight="1">
      <x:c r="M382" s="5"/>
      <x:c r="N382" s="5"/>
      <x:c r="O382" s="9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  <x:c r="Z382" s="9"/>
    </x:row>
    <x:row r="383" ht="14.25" customHeight="1">
      <x:c r="M383" s="5"/>
      <x:c r="N383" s="5"/>
      <x:c r="O383" s="9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  <x:c r="Z383" s="9"/>
    </x:row>
    <x:row r="384" ht="14.25" customHeight="1">
      <x:c r="M384" s="5"/>
      <x:c r="N384" s="5"/>
      <x:c r="O384" s="9"/>
      <x:c r="P384" s="9"/>
      <x:c r="Q384" s="9"/>
      <x:c r="R384" s="9"/>
      <x:c r="S384" s="9"/>
      <x:c r="T384" s="9"/>
      <x:c r="U384" s="9"/>
      <x:c r="V384" s="9"/>
      <x:c r="W384" s="9"/>
      <x:c r="X384" s="9"/>
      <x:c r="Y384" s="9"/>
      <x:c r="Z384" s="9"/>
    </x:row>
    <x:row r="385" ht="14.25" customHeight="1">
      <x:c r="M385" s="5"/>
      <x:c r="N385" s="5"/>
      <x:c r="O385" s="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</x:row>
    <x:row r="386" ht="14.25" customHeight="1">
      <x:c r="M386" s="5"/>
      <x:c r="N386" s="5"/>
      <x:c r="O386" s="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</x:row>
    <x:row r="387" ht="14.25" customHeight="1">
      <x:c r="M387" s="5"/>
      <x:c r="N387" s="5"/>
      <x:c r="O387" s="9"/>
      <x:c r="P387" s="9"/>
      <x:c r="Q387" s="9"/>
      <x:c r="R387" s="9"/>
      <x:c r="S387" s="9"/>
      <x:c r="T387" s="9"/>
      <x:c r="U387" s="9"/>
      <x:c r="V387" s="9"/>
      <x:c r="W387" s="9"/>
      <x:c r="X387" s="9"/>
      <x:c r="Y387" s="9"/>
      <x:c r="Z387" s="9"/>
    </x:row>
    <x:row r="388" ht="14.25" customHeight="1">
      <x:c r="M388" s="5"/>
      <x:c r="N388" s="5"/>
      <x:c r="O388" s="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</x:row>
    <x:row r="389" ht="14.25" customHeight="1">
      <x:c r="M389" s="5"/>
      <x:c r="N389" s="5"/>
      <x:c r="O389" s="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</x:row>
    <x:row r="390" ht="14.25" customHeight="1">
      <x:c r="M390" s="5"/>
      <x:c r="N390" s="5"/>
      <x:c r="O390" s="9"/>
      <x:c r="P390" s="9"/>
      <x:c r="Q390" s="9"/>
      <x:c r="R390" s="9"/>
      <x:c r="S390" s="9"/>
      <x:c r="T390" s="9"/>
      <x:c r="U390" s="9"/>
      <x:c r="V390" s="9"/>
      <x:c r="W390" s="9"/>
      <x:c r="X390" s="9"/>
      <x:c r="Y390" s="9"/>
      <x:c r="Z390" s="9"/>
    </x:row>
    <x:row r="391" ht="14.25" customHeight="1">
      <x:c r="M391" s="5"/>
      <x:c r="N391" s="5"/>
      <x:c r="O391" s="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</x:row>
    <x:row r="392" ht="14.25" customHeight="1">
      <x:c r="M392" s="5"/>
      <x:c r="N392" s="5"/>
      <x:c r="O392" s="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</x:row>
    <x:row r="393" ht="14.25" customHeight="1">
      <x:c r="M393" s="5"/>
      <x:c r="N393" s="5"/>
      <x:c r="O393" s="9"/>
      <x:c r="P393" s="9"/>
      <x:c r="Q393" s="9"/>
      <x:c r="R393" s="9"/>
      <x:c r="S393" s="9"/>
      <x:c r="T393" s="9"/>
      <x:c r="U393" s="9"/>
      <x:c r="V393" s="9"/>
      <x:c r="W393" s="9"/>
      <x:c r="X393" s="9"/>
      <x:c r="Y393" s="9"/>
      <x:c r="Z393" s="9"/>
    </x:row>
    <x:row r="394" ht="14.25" customHeight="1">
      <x:c r="M394" s="5"/>
      <x:c r="N394" s="5"/>
      <x:c r="O394" s="9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  <x:c r="Z394" s="9"/>
    </x:row>
    <x:row r="395" ht="14.25" customHeight="1">
      <x:c r="M395" s="5"/>
      <x:c r="N395" s="5"/>
      <x:c r="O395" s="9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  <x:c r="Z395" s="9"/>
    </x:row>
    <x:row r="396" ht="14.25" customHeight="1">
      <x:c r="M396" s="5"/>
      <x:c r="N396" s="5"/>
      <x:c r="O396" s="9"/>
      <x:c r="P396" s="9"/>
      <x:c r="Q396" s="9"/>
      <x:c r="R396" s="9"/>
      <x:c r="S396" s="9"/>
      <x:c r="T396" s="9"/>
      <x:c r="U396" s="9"/>
      <x:c r="V396" s="9"/>
      <x:c r="W396" s="9"/>
      <x:c r="X396" s="9"/>
      <x:c r="Y396" s="9"/>
      <x:c r="Z396" s="9"/>
    </x:row>
    <x:row r="397" ht="14.25" customHeight="1">
      <x:c r="M397" s="5"/>
      <x:c r="N397" s="5"/>
      <x:c r="O397" s="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</x:row>
    <x:row r="398" ht="14.25" customHeight="1">
      <x:c r="M398" s="5"/>
      <x:c r="N398" s="5"/>
      <x:c r="O398" s="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</x:row>
    <x:row r="399" ht="14.25" customHeight="1">
      <x:c r="M399" s="5"/>
      <x:c r="N399" s="5"/>
      <x:c r="O399" s="9"/>
      <x:c r="P399" s="9"/>
      <x:c r="Q399" s="9"/>
      <x:c r="R399" s="9"/>
      <x:c r="S399" s="9"/>
      <x:c r="T399" s="9"/>
      <x:c r="U399" s="9"/>
      <x:c r="V399" s="9"/>
      <x:c r="W399" s="9"/>
      <x:c r="X399" s="9"/>
      <x:c r="Y399" s="9"/>
      <x:c r="Z399" s="9"/>
    </x:row>
    <x:row r="400" ht="14.25" customHeight="1">
      <x:c r="M400" s="5"/>
      <x:c r="N400" s="5"/>
      <x:c r="O400" s="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</x:row>
    <x:row r="401" ht="14.25" customHeight="1">
      <x:c r="M401" s="5"/>
      <x:c r="N401" s="5"/>
      <x:c r="O401" s="9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  <x:c r="Z401" s="9"/>
    </x:row>
    <x:row r="402" ht="14.25" customHeight="1">
      <x:c r="M402" s="5"/>
      <x:c r="N402" s="5"/>
      <x:c r="O402" s="9"/>
      <x:c r="P402" s="9"/>
      <x:c r="Q402" s="9"/>
      <x:c r="R402" s="9"/>
      <x:c r="S402" s="9"/>
      <x:c r="T402" s="9"/>
      <x:c r="U402" s="9"/>
      <x:c r="V402" s="9"/>
      <x:c r="W402" s="9"/>
      <x:c r="X402" s="9"/>
      <x:c r="Y402" s="9"/>
      <x:c r="Z402" s="9"/>
    </x:row>
    <x:row r="403" ht="14.25" customHeight="1">
      <x:c r="M403" s="5"/>
      <x:c r="N403" s="5"/>
      <x:c r="O403" s="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</x:row>
    <x:row r="404" ht="14.25" customHeight="1">
      <x:c r="M404" s="5"/>
      <x:c r="N404" s="5"/>
      <x:c r="O404" s="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</x:row>
    <x:row r="405" ht="14.25" customHeight="1">
      <x:c r="M405" s="5"/>
      <x:c r="N405" s="5"/>
      <x:c r="O405" s="9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</x:row>
    <x:row r="406" ht="14.25" customHeight="1">
      <x:c r="M406" s="5"/>
      <x:c r="N406" s="5"/>
      <x:c r="O406" s="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</x:row>
    <x:row r="407" ht="14.25" customHeight="1">
      <x:c r="M407" s="5"/>
      <x:c r="N407" s="5"/>
      <x:c r="O407" s="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</x:row>
    <x:row r="408" ht="14.25" customHeight="1">
      <x:c r="M408" s="5"/>
      <x:c r="N408" s="5"/>
      <x:c r="O408" s="9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</x:row>
    <x:row r="409" ht="14.25" customHeight="1">
      <x:c r="M409" s="5"/>
      <x:c r="N409" s="5"/>
      <x:c r="O409" s="9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</x:row>
    <x:row r="410" ht="14.25" customHeight="1">
      <x:c r="M410" s="5"/>
      <x:c r="N410" s="5"/>
      <x:c r="O410" s="9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</x:row>
    <x:row r="411" ht="14.25" customHeight="1">
      <x:c r="M411" s="5"/>
      <x:c r="N411" s="5"/>
      <x:c r="O411" s="9"/>
      <x:c r="P411" s="9"/>
      <x:c r="Q411" s="9"/>
      <x:c r="R411" s="9"/>
      <x:c r="S411" s="9"/>
      <x:c r="T411" s="9"/>
      <x:c r="U411" s="9"/>
      <x:c r="V411" s="9"/>
      <x:c r="W411" s="9"/>
      <x:c r="X411" s="9"/>
      <x:c r="Y411" s="9"/>
      <x:c r="Z411" s="9"/>
    </x:row>
    <x:row r="412" ht="14.25" customHeight="1">
      <x:c r="M412" s="5"/>
      <x:c r="N412" s="5"/>
      <x:c r="O412" s="9"/>
      <x:c r="P412" s="9"/>
      <x:c r="Q412" s="9"/>
      <x:c r="R412" s="9"/>
      <x:c r="S412" s="9"/>
      <x:c r="T412" s="9"/>
      <x:c r="U412" s="9"/>
      <x:c r="V412" s="9"/>
      <x:c r="W412" s="9"/>
      <x:c r="X412" s="9"/>
      <x:c r="Y412" s="9"/>
      <x:c r="Z412" s="9"/>
    </x:row>
    <x:row r="413" ht="14.25" customHeight="1">
      <x:c r="M413" s="5"/>
      <x:c r="N413" s="5"/>
      <x:c r="O413" s="9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  <x:c r="Z413" s="9"/>
    </x:row>
    <x:row r="414" ht="14.25" customHeight="1">
      <x:c r="M414" s="5"/>
      <x:c r="N414" s="5"/>
      <x:c r="O414" s="9"/>
      <x:c r="P414" s="9"/>
      <x:c r="Q414" s="9"/>
      <x:c r="R414" s="9"/>
      <x:c r="S414" s="9"/>
      <x:c r="T414" s="9"/>
      <x:c r="U414" s="9"/>
      <x:c r="V414" s="9"/>
      <x:c r="W414" s="9"/>
      <x:c r="X414" s="9"/>
      <x:c r="Y414" s="9"/>
      <x:c r="Z414" s="9"/>
    </x:row>
    <x:row r="415" ht="14.25" customHeight="1">
      <x:c r="M415" s="5"/>
      <x:c r="N415" s="5"/>
      <x:c r="O415" s="9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  <x:c r="Z415" s="9"/>
    </x:row>
    <x:row r="416" ht="14.25" customHeight="1">
      <x:c r="M416" s="5"/>
      <x:c r="N416" s="5"/>
      <x:c r="O416" s="9"/>
      <x:c r="P416" s="9"/>
      <x:c r="Q416" s="9"/>
      <x:c r="R416" s="9"/>
      <x:c r="S416" s="9"/>
      <x:c r="T416" s="9"/>
      <x:c r="U416" s="9"/>
      <x:c r="V416" s="9"/>
      <x:c r="W416" s="9"/>
      <x:c r="X416" s="9"/>
      <x:c r="Y416" s="9"/>
      <x:c r="Z416" s="9"/>
    </x:row>
    <x:row r="417" ht="14.25" customHeight="1">
      <x:c r="M417" s="5"/>
      <x:c r="N417" s="5"/>
      <x:c r="O417" s="9"/>
      <x:c r="P417" s="9"/>
      <x:c r="Q417" s="9"/>
      <x:c r="R417" s="9"/>
      <x:c r="S417" s="9"/>
      <x:c r="T417" s="9"/>
      <x:c r="U417" s="9"/>
      <x:c r="V417" s="9"/>
      <x:c r="W417" s="9"/>
      <x:c r="X417" s="9"/>
      <x:c r="Y417" s="9"/>
      <x:c r="Z417" s="9"/>
    </x:row>
    <x:row r="418" ht="14.25" customHeight="1">
      <x:c r="M418" s="5"/>
      <x:c r="N418" s="5"/>
      <x:c r="O418" s="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</x:row>
    <x:row r="419" ht="14.25" customHeight="1">
      <x:c r="M419" s="5"/>
      <x:c r="N419" s="5"/>
      <x:c r="O419" s="9"/>
      <x:c r="P419" s="9"/>
      <x:c r="Q419" s="9"/>
      <x:c r="R419" s="9"/>
      <x:c r="S419" s="9"/>
      <x:c r="T419" s="9"/>
      <x:c r="U419" s="9"/>
      <x:c r="V419" s="9"/>
      <x:c r="W419" s="9"/>
      <x:c r="X419" s="9"/>
      <x:c r="Y419" s="9"/>
      <x:c r="Z419" s="9"/>
    </x:row>
    <x:row r="420" ht="14.25" customHeight="1">
      <x:c r="M420" s="5"/>
      <x:c r="N420" s="5"/>
      <x:c r="O420" s="9"/>
      <x:c r="P420" s="9"/>
      <x:c r="Q420" s="9"/>
      <x:c r="R420" s="9"/>
      <x:c r="S420" s="9"/>
      <x:c r="T420" s="9"/>
      <x:c r="U420" s="9"/>
      <x:c r="V420" s="9"/>
      <x:c r="W420" s="9"/>
      <x:c r="X420" s="9"/>
      <x:c r="Y420" s="9"/>
      <x:c r="Z420" s="9"/>
    </x:row>
    <x:row r="421" ht="14.25" customHeight="1">
      <x:c r="M421" s="5"/>
      <x:c r="N421" s="5"/>
      <x:c r="O421" s="9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  <x:c r="Z421" s="9"/>
    </x:row>
    <x:row r="422" ht="14.25" customHeight="1">
      <x:c r="M422" s="5"/>
      <x:c r="N422" s="5"/>
      <x:c r="O422" s="9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  <x:c r="Z422" s="9"/>
    </x:row>
    <x:row r="423" ht="14.25" customHeight="1">
      <x:c r="M423" s="5"/>
      <x:c r="N423" s="5"/>
      <x:c r="O423" s="9"/>
      <x:c r="P423" s="9"/>
      <x:c r="Q423" s="9"/>
      <x:c r="R423" s="9"/>
      <x:c r="S423" s="9"/>
      <x:c r="T423" s="9"/>
      <x:c r="U423" s="9"/>
      <x:c r="V423" s="9"/>
      <x:c r="W423" s="9"/>
      <x:c r="X423" s="9"/>
      <x:c r="Y423" s="9"/>
      <x:c r="Z423" s="9"/>
    </x:row>
    <x:row r="424" ht="14.25" customHeight="1">
      <x:c r="M424" s="5"/>
      <x:c r="N424" s="5"/>
      <x:c r="O424" s="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</x:row>
    <x:row r="425" ht="14.25" customHeight="1">
      <x:c r="M425" s="5"/>
      <x:c r="N425" s="5"/>
      <x:c r="O425" s="9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  <x:c r="Z425" s="9"/>
    </x:row>
    <x:row r="426" ht="14.25" customHeight="1">
      <x:c r="M426" s="5"/>
      <x:c r="N426" s="5"/>
      <x:c r="O426" s="9"/>
      <x:c r="P426" s="9"/>
      <x:c r="Q426" s="9"/>
      <x:c r="R426" s="9"/>
      <x:c r="S426" s="9"/>
      <x:c r="T426" s="9"/>
      <x:c r="U426" s="9"/>
      <x:c r="V426" s="9"/>
      <x:c r="W426" s="9"/>
      <x:c r="X426" s="9"/>
      <x:c r="Y426" s="9"/>
      <x:c r="Z426" s="9"/>
    </x:row>
    <x:row r="427" ht="14.25" customHeight="1">
      <x:c r="M427" s="5"/>
      <x:c r="N427" s="5"/>
      <x:c r="O427" s="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</x:row>
    <x:row r="428" ht="14.25" customHeight="1">
      <x:c r="M428" s="5"/>
      <x:c r="N428" s="5"/>
      <x:c r="O428" s="9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  <x:c r="Z428" s="9"/>
    </x:row>
    <x:row r="429" ht="14.25" customHeight="1">
      <x:c r="M429" s="5"/>
      <x:c r="N429" s="5"/>
      <x:c r="O429" s="9"/>
      <x:c r="P429" s="9"/>
      <x:c r="Q429" s="9"/>
      <x:c r="R429" s="9"/>
      <x:c r="S429" s="9"/>
      <x:c r="T429" s="9"/>
      <x:c r="U429" s="9"/>
      <x:c r="V429" s="9"/>
      <x:c r="W429" s="9"/>
      <x:c r="X429" s="9"/>
      <x:c r="Y429" s="9"/>
      <x:c r="Z429" s="9"/>
    </x:row>
    <x:row r="430" ht="14.25" customHeight="1">
      <x:c r="M430" s="5"/>
      <x:c r="N430" s="5"/>
      <x:c r="O430" s="9"/>
      <x:c r="P430" s="9"/>
      <x:c r="Q430" s="9"/>
      <x:c r="R430" s="9"/>
      <x:c r="S430" s="9"/>
      <x:c r="T430" s="9"/>
      <x:c r="U430" s="9"/>
      <x:c r="V430" s="9"/>
      <x:c r="W430" s="9"/>
      <x:c r="X430" s="9"/>
      <x:c r="Y430" s="9"/>
      <x:c r="Z430" s="9"/>
    </x:row>
    <x:row r="431" ht="14.25" customHeight="1">
      <x:c r="M431" s="5"/>
      <x:c r="N431" s="5"/>
      <x:c r="O431" s="9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</x:row>
    <x:row r="432" ht="14.25" customHeight="1">
      <x:c r="M432" s="5"/>
      <x:c r="N432" s="5"/>
      <x:c r="O432" s="9"/>
      <x:c r="P432" s="9"/>
      <x:c r="Q432" s="9"/>
      <x:c r="R432" s="9"/>
      <x:c r="S432" s="9"/>
      <x:c r="T432" s="9"/>
      <x:c r="U432" s="9"/>
      <x:c r="V432" s="9"/>
      <x:c r="W432" s="9"/>
      <x:c r="X432" s="9"/>
      <x:c r="Y432" s="9"/>
      <x:c r="Z432" s="9"/>
    </x:row>
    <x:row r="433" ht="14.25" customHeight="1">
      <x:c r="M433" s="5"/>
      <x:c r="N433" s="5"/>
      <x:c r="O433" s="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</x:row>
    <x:row r="434" ht="14.25" customHeight="1">
      <x:c r="M434" s="5"/>
      <x:c r="N434" s="5"/>
      <x:c r="O434" s="9"/>
      <x:c r="P434" s="9"/>
      <x:c r="Q434" s="9"/>
      <x:c r="R434" s="9"/>
      <x:c r="S434" s="9"/>
      <x:c r="T434" s="9"/>
      <x:c r="U434" s="9"/>
      <x:c r="V434" s="9"/>
      <x:c r="W434" s="9"/>
      <x:c r="X434" s="9"/>
      <x:c r="Y434" s="9"/>
      <x:c r="Z434" s="9"/>
    </x:row>
    <x:row r="435" ht="14.25" customHeight="1">
      <x:c r="M435" s="5"/>
      <x:c r="N435" s="5"/>
      <x:c r="O435" s="9"/>
      <x:c r="P435" s="9"/>
      <x:c r="Q435" s="9"/>
      <x:c r="R435" s="9"/>
      <x:c r="S435" s="9"/>
      <x:c r="T435" s="9"/>
      <x:c r="U435" s="9"/>
      <x:c r="V435" s="9"/>
      <x:c r="W435" s="9"/>
      <x:c r="X435" s="9"/>
      <x:c r="Y435" s="9"/>
      <x:c r="Z435" s="9"/>
    </x:row>
    <x:row r="436" ht="14.25" customHeight="1">
      <x:c r="M436" s="5"/>
      <x:c r="N436" s="5"/>
      <x:c r="O436" s="9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  <x:c r="Z436" s="9"/>
    </x:row>
    <x:row r="437" ht="14.25" customHeight="1">
      <x:c r="M437" s="5"/>
      <x:c r="N437" s="5"/>
      <x:c r="O437" s="9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  <x:c r="Z437" s="9"/>
    </x:row>
    <x:row r="438" ht="14.25" customHeight="1">
      <x:c r="M438" s="5"/>
      <x:c r="N438" s="5"/>
      <x:c r="O438" s="9"/>
      <x:c r="P438" s="9"/>
      <x:c r="Q438" s="9"/>
      <x:c r="R438" s="9"/>
      <x:c r="S438" s="9"/>
      <x:c r="T438" s="9"/>
      <x:c r="U438" s="9"/>
      <x:c r="V438" s="9"/>
      <x:c r="W438" s="9"/>
      <x:c r="X438" s="9"/>
      <x:c r="Y438" s="9"/>
      <x:c r="Z438" s="9"/>
    </x:row>
    <x:row r="439" ht="14.25" customHeight="1">
      <x:c r="M439" s="5"/>
      <x:c r="N439" s="5"/>
      <x:c r="O439" s="9"/>
      <x:c r="P439" s="9"/>
      <x:c r="Q439" s="9"/>
      <x:c r="R439" s="9"/>
      <x:c r="S439" s="9"/>
      <x:c r="T439" s="9"/>
      <x:c r="U439" s="9"/>
      <x:c r="V439" s="9"/>
      <x:c r="W439" s="9"/>
      <x:c r="X439" s="9"/>
      <x:c r="Y439" s="9"/>
      <x:c r="Z439" s="9"/>
    </x:row>
    <x:row r="440" ht="14.25" customHeight="1">
      <x:c r="M440" s="5"/>
      <x:c r="N440" s="5"/>
      <x:c r="O440" s="9"/>
      <x:c r="P440" s="9"/>
      <x:c r="Q440" s="9"/>
      <x:c r="R440" s="9"/>
      <x:c r="S440" s="9"/>
      <x:c r="T440" s="9"/>
      <x:c r="U440" s="9"/>
      <x:c r="V440" s="9"/>
      <x:c r="W440" s="9"/>
      <x:c r="X440" s="9"/>
      <x:c r="Y440" s="9"/>
      <x:c r="Z440" s="9"/>
    </x:row>
    <x:row r="441" ht="14.25" customHeight="1">
      <x:c r="M441" s="5"/>
      <x:c r="N441" s="5"/>
      <x:c r="O441" s="9"/>
      <x:c r="P441" s="9"/>
      <x:c r="Q441" s="9"/>
      <x:c r="R441" s="9"/>
      <x:c r="S441" s="9"/>
      <x:c r="T441" s="9"/>
      <x:c r="U441" s="9"/>
      <x:c r="V441" s="9"/>
      <x:c r="W441" s="9"/>
      <x:c r="X441" s="9"/>
      <x:c r="Y441" s="9"/>
      <x:c r="Z441" s="9"/>
    </x:row>
    <x:row r="442" ht="14.25" customHeight="1">
      <x:c r="M442" s="5"/>
      <x:c r="N442" s="5"/>
      <x:c r="O442" s="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</x:row>
    <x:row r="443" ht="14.25" customHeight="1">
      <x:c r="M443" s="5"/>
      <x:c r="N443" s="5"/>
      <x:c r="O443" s="9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  <x:c r="Z443" s="9"/>
    </x:row>
    <x:row r="444" ht="14.25" customHeight="1">
      <x:c r="M444" s="5"/>
      <x:c r="N444" s="5"/>
      <x:c r="O444" s="9"/>
      <x:c r="P444" s="9"/>
      <x:c r="Q444" s="9"/>
      <x:c r="R444" s="9"/>
      <x:c r="S444" s="9"/>
      <x:c r="T444" s="9"/>
      <x:c r="U444" s="9"/>
      <x:c r="V444" s="9"/>
      <x:c r="W444" s="9"/>
      <x:c r="X444" s="9"/>
      <x:c r="Y444" s="9"/>
      <x:c r="Z444" s="9"/>
    </x:row>
    <x:row r="445" ht="14.25" customHeight="1">
      <x:c r="M445" s="5"/>
      <x:c r="N445" s="5"/>
      <x:c r="O445" s="9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  <x:c r="Z445" s="9"/>
    </x:row>
    <x:row r="446" ht="14.25" customHeight="1">
      <x:c r="M446" s="5"/>
      <x:c r="N446" s="5"/>
      <x:c r="O446" s="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</x:row>
    <x:row r="447" ht="14.25" customHeight="1">
      <x:c r="M447" s="5"/>
      <x:c r="N447" s="5"/>
      <x:c r="O447" s="9"/>
      <x:c r="P447" s="9"/>
      <x:c r="Q447" s="9"/>
      <x:c r="R447" s="9"/>
      <x:c r="S447" s="9"/>
      <x:c r="T447" s="9"/>
      <x:c r="U447" s="9"/>
      <x:c r="V447" s="9"/>
      <x:c r="W447" s="9"/>
      <x:c r="X447" s="9"/>
      <x:c r="Y447" s="9"/>
      <x:c r="Z447" s="9"/>
    </x:row>
    <x:row r="448" ht="14.25" customHeight="1">
      <x:c r="M448" s="5"/>
      <x:c r="N448" s="5"/>
      <x:c r="O448" s="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</x:row>
    <x:row r="449" ht="14.25" customHeight="1">
      <x:c r="M449" s="5"/>
      <x:c r="N449" s="5"/>
      <x:c r="O449" s="9"/>
      <x:c r="P449" s="9"/>
      <x:c r="Q449" s="9"/>
      <x:c r="R449" s="9"/>
      <x:c r="S449" s="9"/>
      <x:c r="T449" s="9"/>
      <x:c r="U449" s="9"/>
      <x:c r="V449" s="9"/>
      <x:c r="W449" s="9"/>
      <x:c r="X449" s="9"/>
      <x:c r="Y449" s="9"/>
      <x:c r="Z449" s="9"/>
    </x:row>
    <x:row r="450" ht="14.25" customHeight="1">
      <x:c r="M450" s="5"/>
      <x:c r="N450" s="5"/>
      <x:c r="O450" s="9"/>
      <x:c r="P450" s="9"/>
      <x:c r="Q450" s="9"/>
      <x:c r="R450" s="9"/>
      <x:c r="S450" s="9"/>
      <x:c r="T450" s="9"/>
      <x:c r="U450" s="9"/>
      <x:c r="V450" s="9"/>
      <x:c r="W450" s="9"/>
      <x:c r="X450" s="9"/>
      <x:c r="Y450" s="9"/>
      <x:c r="Z450" s="9"/>
    </x:row>
    <x:row r="451" ht="14.25" customHeight="1">
      <x:c r="M451" s="5"/>
      <x:c r="N451" s="5"/>
      <x:c r="O451" s="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</x:row>
    <x:row r="452" ht="14.25" customHeight="1">
      <x:c r="M452" s="5"/>
      <x:c r="N452" s="5"/>
      <x:c r="O452" s="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</x:row>
    <x:row r="453" ht="14.25" customHeight="1">
      <x:c r="M453" s="5"/>
      <x:c r="N453" s="5"/>
      <x:c r="O453" s="9"/>
      <x:c r="P453" s="9"/>
      <x:c r="Q453" s="9"/>
      <x:c r="R453" s="9"/>
      <x:c r="S453" s="9"/>
      <x:c r="T453" s="9"/>
      <x:c r="U453" s="9"/>
      <x:c r="V453" s="9"/>
      <x:c r="W453" s="9"/>
      <x:c r="X453" s="9"/>
      <x:c r="Y453" s="9"/>
      <x:c r="Z453" s="9"/>
    </x:row>
    <x:row r="454" ht="14.25" customHeight="1">
      <x:c r="M454" s="5"/>
      <x:c r="N454" s="5"/>
      <x:c r="O454" s="9"/>
      <x:c r="P454" s="9"/>
      <x:c r="Q454" s="9"/>
      <x:c r="R454" s="9"/>
      <x:c r="S454" s="9"/>
      <x:c r="T454" s="9"/>
      <x:c r="U454" s="9"/>
      <x:c r="V454" s="9"/>
      <x:c r="W454" s="9"/>
      <x:c r="X454" s="9"/>
      <x:c r="Y454" s="9"/>
      <x:c r="Z454" s="9"/>
    </x:row>
    <x:row r="455" ht="14.25" customHeight="1">
      <x:c r="M455" s="5"/>
      <x:c r="N455" s="5"/>
      <x:c r="O455" s="9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  <x:c r="Z455" s="9"/>
    </x:row>
    <x:row r="456" ht="14.25" customHeight="1">
      <x:c r="M456" s="5"/>
      <x:c r="N456" s="5"/>
      <x:c r="O456" s="9"/>
      <x:c r="P456" s="9"/>
      <x:c r="Q456" s="9"/>
      <x:c r="R456" s="9"/>
      <x:c r="S456" s="9"/>
      <x:c r="T456" s="9"/>
      <x:c r="U456" s="9"/>
      <x:c r="V456" s="9"/>
      <x:c r="W456" s="9"/>
      <x:c r="X456" s="9"/>
      <x:c r="Y456" s="9"/>
      <x:c r="Z456" s="9"/>
    </x:row>
    <x:row r="457" ht="14.25" customHeight="1">
      <x:c r="M457" s="5"/>
      <x:c r="N457" s="5"/>
      <x:c r="O457" s="9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  <x:c r="Z457" s="9"/>
    </x:row>
    <x:row r="458" ht="14.25" customHeight="1">
      <x:c r="M458" s="5"/>
      <x:c r="N458" s="5"/>
      <x:c r="O458" s="9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  <x:c r="Z458" s="9"/>
    </x:row>
    <x:row r="459" ht="14.25" customHeight="1">
      <x:c r="M459" s="5"/>
      <x:c r="N459" s="5"/>
      <x:c r="O459" s="9"/>
      <x:c r="P459" s="9"/>
      <x:c r="Q459" s="9"/>
      <x:c r="R459" s="9"/>
      <x:c r="S459" s="9"/>
      <x:c r="T459" s="9"/>
      <x:c r="U459" s="9"/>
      <x:c r="V459" s="9"/>
      <x:c r="W459" s="9"/>
      <x:c r="X459" s="9"/>
      <x:c r="Y459" s="9"/>
      <x:c r="Z459" s="9"/>
    </x:row>
    <x:row r="460" ht="14.25" customHeight="1">
      <x:c r="M460" s="5"/>
      <x:c r="N460" s="5"/>
      <x:c r="O460" s="9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  <x:c r="Z460" s="9"/>
    </x:row>
    <x:row r="461" ht="14.25" customHeight="1">
      <x:c r="M461" s="5"/>
      <x:c r="N461" s="5"/>
      <x:c r="O461" s="9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  <x:c r="Z461" s="9"/>
    </x:row>
    <x:row r="462" ht="14.25" customHeight="1">
      <x:c r="M462" s="5"/>
      <x:c r="N462" s="5"/>
      <x:c r="O462" s="9"/>
      <x:c r="P462" s="9"/>
      <x:c r="Q462" s="9"/>
      <x:c r="R462" s="9"/>
      <x:c r="S462" s="9"/>
      <x:c r="T462" s="9"/>
      <x:c r="U462" s="9"/>
      <x:c r="V462" s="9"/>
      <x:c r="W462" s="9"/>
      <x:c r="X462" s="9"/>
      <x:c r="Y462" s="9"/>
      <x:c r="Z462" s="9"/>
    </x:row>
    <x:row r="463" ht="14.25" customHeight="1">
      <x:c r="M463" s="5"/>
      <x:c r="N463" s="5"/>
      <x:c r="O463" s="9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  <x:c r="Z463" s="9"/>
    </x:row>
    <x:row r="464" ht="14.25" customHeight="1">
      <x:c r="M464" s="5"/>
      <x:c r="N464" s="5"/>
      <x:c r="O464" s="9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  <x:c r="Z464" s="9"/>
    </x:row>
    <x:row r="465" ht="14.25" customHeight="1">
      <x:c r="M465" s="5"/>
      <x:c r="N465" s="5"/>
      <x:c r="O465" s="9"/>
      <x:c r="P465" s="9"/>
      <x:c r="Q465" s="9"/>
      <x:c r="R465" s="9"/>
      <x:c r="S465" s="9"/>
      <x:c r="T465" s="9"/>
      <x:c r="U465" s="9"/>
      <x:c r="V465" s="9"/>
      <x:c r="W465" s="9"/>
      <x:c r="X465" s="9"/>
      <x:c r="Y465" s="9"/>
      <x:c r="Z465" s="9"/>
    </x:row>
    <x:row r="466" ht="14.25" customHeight="1">
      <x:c r="M466" s="5"/>
      <x:c r="N466" s="5"/>
      <x:c r="O466" s="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</x:row>
    <x:row r="467" ht="14.25" customHeight="1">
      <x:c r="M467" s="5"/>
      <x:c r="N467" s="5"/>
      <x:c r="O467" s="9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  <x:c r="Z467" s="9"/>
    </x:row>
    <x:row r="468" ht="14.25" customHeight="1">
      <x:c r="M468" s="5"/>
      <x:c r="N468" s="5"/>
      <x:c r="O468" s="9"/>
      <x:c r="P468" s="9"/>
      <x:c r="Q468" s="9"/>
      <x:c r="R468" s="9"/>
      <x:c r="S468" s="9"/>
      <x:c r="T468" s="9"/>
      <x:c r="U468" s="9"/>
      <x:c r="V468" s="9"/>
      <x:c r="W468" s="9"/>
      <x:c r="X468" s="9"/>
      <x:c r="Y468" s="9"/>
      <x:c r="Z468" s="9"/>
    </x:row>
    <x:row r="469" ht="14.25" customHeight="1">
      <x:c r="M469" s="5"/>
      <x:c r="N469" s="5"/>
      <x:c r="O469" s="9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  <x:c r="Z469" s="9"/>
    </x:row>
    <x:row r="470" ht="14.25" customHeight="1">
      <x:c r="M470" s="5"/>
      <x:c r="N470" s="5"/>
      <x:c r="O470" s="9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  <x:c r="Z470" s="9"/>
    </x:row>
    <x:row r="471" ht="14.25" customHeight="1">
      <x:c r="M471" s="5"/>
      <x:c r="N471" s="5"/>
      <x:c r="O471" s="9"/>
      <x:c r="P471" s="9"/>
      <x:c r="Q471" s="9"/>
      <x:c r="R471" s="9"/>
      <x:c r="S471" s="9"/>
      <x:c r="T471" s="9"/>
      <x:c r="U471" s="9"/>
      <x:c r="V471" s="9"/>
      <x:c r="W471" s="9"/>
      <x:c r="X471" s="9"/>
      <x:c r="Y471" s="9"/>
      <x:c r="Z471" s="9"/>
    </x:row>
    <x:row r="472" ht="14.25" customHeight="1">
      <x:c r="M472" s="5"/>
      <x:c r="N472" s="5"/>
      <x:c r="O472" s="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</x:row>
    <x:row r="473" ht="14.25" customHeight="1">
      <x:c r="M473" s="5"/>
      <x:c r="N473" s="5"/>
      <x:c r="O473" s="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</x:row>
    <x:row r="474" ht="14.25" customHeight="1">
      <x:c r="M474" s="5"/>
      <x:c r="N474" s="5"/>
      <x:c r="O474" s="9"/>
      <x:c r="P474" s="9"/>
      <x:c r="Q474" s="9"/>
      <x:c r="R474" s="9"/>
      <x:c r="S474" s="9"/>
      <x:c r="T474" s="9"/>
      <x:c r="U474" s="9"/>
      <x:c r="V474" s="9"/>
      <x:c r="W474" s="9"/>
      <x:c r="X474" s="9"/>
      <x:c r="Y474" s="9"/>
      <x:c r="Z474" s="9"/>
    </x:row>
    <x:row r="475" ht="14.25" customHeight="1">
      <x:c r="M475" s="5"/>
      <x:c r="N475" s="5"/>
      <x:c r="O475" s="9"/>
      <x:c r="P475" s="9"/>
      <x:c r="Q475" s="9"/>
      <x:c r="R475" s="9"/>
      <x:c r="S475" s="9"/>
      <x:c r="T475" s="9"/>
      <x:c r="U475" s="9"/>
      <x:c r="V475" s="9"/>
      <x:c r="W475" s="9"/>
      <x:c r="X475" s="9"/>
      <x:c r="Y475" s="9"/>
      <x:c r="Z475" s="9"/>
    </x:row>
    <x:row r="476" ht="14.25" customHeight="1">
      <x:c r="M476" s="5"/>
      <x:c r="N476" s="5"/>
      <x:c r="O476" s="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</x:row>
    <x:row r="477" ht="14.25" customHeight="1">
      <x:c r="M477" s="5"/>
      <x:c r="N477" s="5"/>
      <x:c r="O477" s="9"/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  <x:c r="Z477" s="9"/>
    </x:row>
    <x:row r="478" ht="14.25" customHeight="1">
      <x:c r="M478" s="5"/>
      <x:c r="N478" s="5"/>
      <x:c r="O478" s="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</x:row>
    <x:row r="479" ht="14.25" customHeight="1">
      <x:c r="M479" s="5"/>
      <x:c r="N479" s="5"/>
      <x:c r="O479" s="9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  <x:c r="Z479" s="9"/>
    </x:row>
    <x:row r="480" ht="14.25" customHeight="1">
      <x:c r="M480" s="5"/>
      <x:c r="N480" s="5"/>
      <x:c r="O480" s="9"/>
      <x:c r="P480" s="9"/>
      <x:c r="Q480" s="9"/>
      <x:c r="R480" s="9"/>
      <x:c r="S480" s="9"/>
      <x:c r="T480" s="9"/>
      <x:c r="U480" s="9"/>
      <x:c r="V480" s="9"/>
      <x:c r="W480" s="9"/>
      <x:c r="X480" s="9"/>
      <x:c r="Y480" s="9"/>
      <x:c r="Z480" s="9"/>
    </x:row>
    <x:row r="481" ht="14.25" customHeight="1">
      <x:c r="M481" s="5"/>
      <x:c r="N481" s="5"/>
      <x:c r="O481" s="9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/>
      <x:c r="Z481" s="9"/>
    </x:row>
    <x:row r="482" ht="14.25" customHeight="1">
      <x:c r="M482" s="5"/>
      <x:c r="N482" s="5"/>
      <x:c r="O482" s="9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  <x:c r="Z482" s="9"/>
    </x:row>
    <x:row r="483" ht="14.25" customHeight="1">
      <x:c r="M483" s="5"/>
      <x:c r="N483" s="5"/>
      <x:c r="O483" s="9"/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  <x:c r="Z483" s="9"/>
    </x:row>
    <x:row r="484" ht="14.25" customHeight="1">
      <x:c r="M484" s="5"/>
      <x:c r="N484" s="5"/>
      <x:c r="O484" s="9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  <x:c r="Z484" s="9"/>
    </x:row>
    <x:row r="485" ht="14.25" customHeight="1">
      <x:c r="M485" s="5"/>
      <x:c r="N485" s="5"/>
      <x:c r="O485" s="9"/>
      <x:c r="P485" s="9"/>
      <x:c r="Q485" s="9"/>
      <x:c r="R485" s="9"/>
      <x:c r="S485" s="9"/>
      <x:c r="T485" s="9"/>
      <x:c r="U485" s="9"/>
      <x:c r="V485" s="9"/>
      <x:c r="W485" s="9"/>
      <x:c r="X485" s="9"/>
      <x:c r="Y485" s="9"/>
      <x:c r="Z485" s="9"/>
    </x:row>
    <x:row r="486" ht="14.25" customHeight="1">
      <x:c r="M486" s="5"/>
      <x:c r="N486" s="5"/>
      <x:c r="O486" s="9"/>
      <x:c r="P486" s="9"/>
      <x:c r="Q486" s="9"/>
      <x:c r="R486" s="9"/>
      <x:c r="S486" s="9"/>
      <x:c r="T486" s="9"/>
      <x:c r="U486" s="9"/>
      <x:c r="V486" s="9"/>
      <x:c r="W486" s="9"/>
      <x:c r="X486" s="9"/>
      <x:c r="Y486" s="9"/>
      <x:c r="Z486" s="9"/>
    </x:row>
    <x:row r="487" ht="14.25" customHeight="1">
      <x:c r="M487" s="5"/>
      <x:c r="N487" s="5"/>
      <x:c r="O487" s="9"/>
      <x:c r="P487" s="9"/>
      <x:c r="Q487" s="9"/>
      <x:c r="R487" s="9"/>
      <x:c r="S487" s="9"/>
      <x:c r="T487" s="9"/>
      <x:c r="U487" s="9"/>
      <x:c r="V487" s="9"/>
      <x:c r="W487" s="9"/>
      <x:c r="X487" s="9"/>
      <x:c r="Y487" s="9"/>
      <x:c r="Z487" s="9"/>
    </x:row>
    <x:row r="488" ht="14.25" customHeight="1">
      <x:c r="M488" s="5"/>
      <x:c r="N488" s="5"/>
      <x:c r="O488" s="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</x:row>
    <x:row r="489" ht="14.25" customHeight="1">
      <x:c r="M489" s="5"/>
      <x:c r="N489" s="5"/>
      <x:c r="O489" s="9"/>
      <x:c r="P489" s="9"/>
      <x:c r="Q489" s="9"/>
      <x:c r="R489" s="9"/>
      <x:c r="S489" s="9"/>
      <x:c r="T489" s="9"/>
      <x:c r="U489" s="9"/>
      <x:c r="V489" s="9"/>
      <x:c r="W489" s="9"/>
      <x:c r="X489" s="9"/>
      <x:c r="Y489" s="9"/>
      <x:c r="Z489" s="9"/>
    </x:row>
    <x:row r="490" ht="14.25" customHeight="1">
      <x:c r="M490" s="5"/>
      <x:c r="N490" s="5"/>
      <x:c r="O490" s="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</x:row>
    <x:row r="491" ht="14.25" customHeight="1">
      <x:c r="M491" s="5"/>
      <x:c r="N491" s="5"/>
      <x:c r="O491" s="9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  <x:c r="Z491" s="9"/>
    </x:row>
    <x:row r="492" ht="14.25" customHeight="1">
      <x:c r="M492" s="5"/>
      <x:c r="N492" s="5"/>
      <x:c r="O492" s="9"/>
      <x:c r="P492" s="9"/>
      <x:c r="Q492" s="9"/>
      <x:c r="R492" s="9"/>
      <x:c r="S492" s="9"/>
      <x:c r="T492" s="9"/>
      <x:c r="U492" s="9"/>
      <x:c r="V492" s="9"/>
      <x:c r="W492" s="9"/>
      <x:c r="X492" s="9"/>
      <x:c r="Y492" s="9"/>
      <x:c r="Z492" s="9"/>
    </x:row>
    <x:row r="493" ht="14.25" customHeight="1">
      <x:c r="M493" s="5"/>
      <x:c r="N493" s="5"/>
      <x:c r="O493" s="9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  <x:c r="Z493" s="9"/>
    </x:row>
    <x:row r="494" ht="14.25" customHeight="1">
      <x:c r="M494" s="5"/>
      <x:c r="N494" s="5"/>
      <x:c r="O494" s="9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  <x:c r="Z494" s="9"/>
    </x:row>
    <x:row r="495" ht="14.25" customHeight="1">
      <x:c r="M495" s="5"/>
      <x:c r="N495" s="5"/>
      <x:c r="O495" s="9"/>
      <x:c r="P495" s="9"/>
      <x:c r="Q495" s="9"/>
      <x:c r="R495" s="9"/>
      <x:c r="S495" s="9"/>
      <x:c r="T495" s="9"/>
      <x:c r="U495" s="9"/>
      <x:c r="V495" s="9"/>
      <x:c r="W495" s="9"/>
      <x:c r="X495" s="9"/>
      <x:c r="Y495" s="9"/>
      <x:c r="Z495" s="9"/>
    </x:row>
    <x:row r="496" ht="14.25" customHeight="1">
      <x:c r="M496" s="5"/>
      <x:c r="N496" s="5"/>
      <x:c r="O496" s="9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  <x:c r="Z496" s="9"/>
    </x:row>
    <x:row r="497" ht="14.25" customHeight="1">
      <x:c r="M497" s="5"/>
      <x:c r="N497" s="5"/>
      <x:c r="O497" s="9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  <x:c r="Z497" s="9"/>
    </x:row>
    <x:row r="498" ht="14.25" customHeight="1">
      <x:c r="M498" s="5"/>
      <x:c r="N498" s="5"/>
      <x:c r="O498" s="9"/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  <x:c r="Z498" s="9"/>
    </x:row>
    <x:row r="499" ht="14.25" customHeight="1">
      <x:c r="M499" s="5"/>
      <x:c r="N499" s="5"/>
      <x:c r="O499" s="9"/>
      <x:c r="P499" s="9"/>
      <x:c r="Q499" s="9"/>
      <x:c r="R499" s="9"/>
      <x:c r="S499" s="9"/>
      <x:c r="T499" s="9"/>
      <x:c r="U499" s="9"/>
      <x:c r="V499" s="9"/>
      <x:c r="W499" s="9"/>
      <x:c r="X499" s="9"/>
      <x:c r="Y499" s="9"/>
      <x:c r="Z499" s="9"/>
    </x:row>
    <x:row r="500" ht="14.25" customHeight="1">
      <x:c r="M500" s="5"/>
      <x:c r="N500" s="5"/>
      <x:c r="O500" s="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</x:row>
    <x:row r="501" ht="14.25" customHeight="1">
      <x:c r="M501" s="5"/>
      <x:c r="N501" s="5"/>
      <x:c r="O501" s="9"/>
      <x:c r="P501" s="9"/>
      <x:c r="Q501" s="9"/>
      <x:c r="R501" s="9"/>
      <x:c r="S501" s="9"/>
      <x:c r="T501" s="9"/>
      <x:c r="U501" s="9"/>
      <x:c r="V501" s="9"/>
      <x:c r="W501" s="9"/>
      <x:c r="X501" s="9"/>
      <x:c r="Y501" s="9"/>
      <x:c r="Z501" s="9"/>
    </x:row>
    <x:row r="502" ht="14.25" customHeight="1">
      <x:c r="M502" s="5"/>
      <x:c r="N502" s="5"/>
      <x:c r="O502" s="9"/>
      <x:c r="P502" s="9"/>
      <x:c r="Q502" s="9"/>
      <x:c r="R502" s="9"/>
      <x:c r="S502" s="9"/>
      <x:c r="T502" s="9"/>
      <x:c r="U502" s="9"/>
      <x:c r="V502" s="9"/>
      <x:c r="W502" s="9"/>
      <x:c r="X502" s="9"/>
      <x:c r="Y502" s="9"/>
      <x:c r="Z502" s="9"/>
    </x:row>
    <x:row r="503" ht="14.25" customHeight="1">
      <x:c r="M503" s="5"/>
      <x:c r="N503" s="5"/>
      <x:c r="O503" s="9"/>
      <x:c r="P503" s="9"/>
      <x:c r="Q503" s="9"/>
      <x:c r="R503" s="9"/>
      <x:c r="S503" s="9"/>
      <x:c r="T503" s="9"/>
      <x:c r="U503" s="9"/>
      <x:c r="V503" s="9"/>
      <x:c r="W503" s="9"/>
      <x:c r="X503" s="9"/>
      <x:c r="Y503" s="9"/>
      <x:c r="Z503" s="9"/>
    </x:row>
    <x:row r="504" ht="14.25" customHeight="1">
      <x:c r="M504" s="5"/>
      <x:c r="N504" s="5"/>
      <x:c r="O504" s="9"/>
      <x:c r="P504" s="9"/>
      <x:c r="Q504" s="9"/>
      <x:c r="R504" s="9"/>
      <x:c r="S504" s="9"/>
      <x:c r="T504" s="9"/>
      <x:c r="U504" s="9"/>
      <x:c r="V504" s="9"/>
      <x:c r="W504" s="9"/>
      <x:c r="X504" s="9"/>
      <x:c r="Y504" s="9"/>
      <x:c r="Z504" s="9"/>
    </x:row>
    <x:row r="505" ht="14.25" customHeight="1">
      <x:c r="M505" s="5"/>
      <x:c r="N505" s="5"/>
      <x:c r="O505" s="9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</x:row>
    <x:row r="506" ht="14.25" customHeight="1">
      <x:c r="M506" s="5"/>
      <x:c r="N506" s="5"/>
      <x:c r="O506" s="9"/>
      <x:c r="P506" s="9"/>
      <x:c r="Q506" s="9"/>
      <x:c r="R506" s="9"/>
      <x:c r="S506" s="9"/>
      <x:c r="T506" s="9"/>
      <x:c r="U506" s="9"/>
      <x:c r="V506" s="9"/>
      <x:c r="W506" s="9"/>
      <x:c r="X506" s="9"/>
      <x:c r="Y506" s="9"/>
      <x:c r="Z506" s="9"/>
    </x:row>
    <x:row r="507" ht="14.25" customHeight="1">
      <x:c r="M507" s="5"/>
      <x:c r="N507" s="5"/>
      <x:c r="O507" s="9"/>
      <x:c r="P507" s="9"/>
      <x:c r="Q507" s="9"/>
      <x:c r="R507" s="9"/>
      <x:c r="S507" s="9"/>
      <x:c r="T507" s="9"/>
      <x:c r="U507" s="9"/>
      <x:c r="V507" s="9"/>
      <x:c r="W507" s="9"/>
      <x:c r="X507" s="9"/>
      <x:c r="Y507" s="9"/>
      <x:c r="Z507" s="9"/>
    </x:row>
    <x:row r="508" ht="14.25" customHeight="1">
      <x:c r="M508" s="5"/>
      <x:c r="N508" s="5"/>
      <x:c r="O508" s="9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</x:row>
    <x:row r="509" ht="14.25" customHeight="1">
      <x:c r="M509" s="5"/>
      <x:c r="N509" s="5"/>
      <x:c r="O509" s="9"/>
      <x:c r="P509" s="9"/>
      <x:c r="Q509" s="9"/>
      <x:c r="R509" s="9"/>
      <x:c r="S509" s="9"/>
      <x:c r="T509" s="9"/>
      <x:c r="U509" s="9"/>
      <x:c r="V509" s="9"/>
      <x:c r="W509" s="9"/>
      <x:c r="X509" s="9"/>
      <x:c r="Y509" s="9"/>
      <x:c r="Z509" s="9"/>
    </x:row>
    <x:row r="510" ht="14.25" customHeight="1">
      <x:c r="M510" s="5"/>
      <x:c r="N510" s="5"/>
      <x:c r="O510" s="9"/>
      <x:c r="P510" s="9"/>
      <x:c r="Q510" s="9"/>
      <x:c r="R510" s="9"/>
      <x:c r="S510" s="9"/>
      <x:c r="T510" s="9"/>
      <x:c r="U510" s="9"/>
      <x:c r="V510" s="9"/>
      <x:c r="W510" s="9"/>
      <x:c r="X510" s="9"/>
      <x:c r="Y510" s="9"/>
      <x:c r="Z510" s="9"/>
    </x:row>
    <x:row r="511" ht="14.25" customHeight="1">
      <x:c r="M511" s="5"/>
      <x:c r="N511" s="5"/>
      <x:c r="O511" s="9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</x:row>
    <x:row r="512" ht="14.25" customHeight="1">
      <x:c r="M512" s="5"/>
      <x:c r="N512" s="5"/>
      <x:c r="O512" s="9"/>
      <x:c r="P512" s="9"/>
      <x:c r="Q512" s="9"/>
      <x:c r="R512" s="9"/>
      <x:c r="S512" s="9"/>
      <x:c r="T512" s="9"/>
      <x:c r="U512" s="9"/>
      <x:c r="V512" s="9"/>
      <x:c r="W512" s="9"/>
      <x:c r="X512" s="9"/>
      <x:c r="Y512" s="9"/>
      <x:c r="Z512" s="9"/>
    </x:row>
    <x:row r="513" ht="14.25" customHeight="1">
      <x:c r="M513" s="5"/>
      <x:c r="N513" s="5"/>
      <x:c r="O513" s="9"/>
      <x:c r="P513" s="9"/>
      <x:c r="Q513" s="9"/>
      <x:c r="R513" s="9"/>
      <x:c r="S513" s="9"/>
      <x:c r="T513" s="9"/>
      <x:c r="U513" s="9"/>
      <x:c r="V513" s="9"/>
      <x:c r="W513" s="9"/>
      <x:c r="X513" s="9"/>
      <x:c r="Y513" s="9"/>
      <x:c r="Z513" s="9"/>
    </x:row>
    <x:row r="514" ht="14.25" customHeight="1">
      <x:c r="M514" s="5"/>
      <x:c r="N514" s="5"/>
      <x:c r="O514" s="9"/>
      <x:c r="P514" s="9"/>
      <x:c r="Q514" s="9"/>
      <x:c r="R514" s="9"/>
      <x:c r="S514" s="9"/>
      <x:c r="T514" s="9"/>
      <x:c r="U514" s="9"/>
      <x:c r="V514" s="9"/>
      <x:c r="W514" s="9"/>
      <x:c r="X514" s="9"/>
      <x:c r="Y514" s="9"/>
      <x:c r="Z514" s="9"/>
    </x:row>
    <x:row r="515" ht="14.25" customHeight="1">
      <x:c r="M515" s="5"/>
      <x:c r="N515" s="5"/>
      <x:c r="O515" s="9"/>
      <x:c r="P515" s="9"/>
      <x:c r="Q515" s="9"/>
      <x:c r="R515" s="9"/>
      <x:c r="S515" s="9"/>
      <x:c r="T515" s="9"/>
      <x:c r="U515" s="9"/>
      <x:c r="V515" s="9"/>
      <x:c r="W515" s="9"/>
      <x:c r="X515" s="9"/>
      <x:c r="Y515" s="9"/>
      <x:c r="Z515" s="9"/>
    </x:row>
    <x:row r="516" ht="14.25" customHeight="1">
      <x:c r="M516" s="5"/>
      <x:c r="N516" s="5"/>
      <x:c r="O516" s="9"/>
      <x:c r="P516" s="9"/>
      <x:c r="Q516" s="9"/>
      <x:c r="R516" s="9"/>
      <x:c r="S516" s="9"/>
      <x:c r="T516" s="9"/>
      <x:c r="U516" s="9"/>
      <x:c r="V516" s="9"/>
      <x:c r="W516" s="9"/>
      <x:c r="X516" s="9"/>
      <x:c r="Y516" s="9"/>
      <x:c r="Z516" s="9"/>
    </x:row>
    <x:row r="517" ht="14.25" customHeight="1">
      <x:c r="M517" s="5"/>
      <x:c r="N517" s="5"/>
      <x:c r="O517" s="9"/>
      <x:c r="P517" s="9"/>
      <x:c r="Q517" s="9"/>
      <x:c r="R517" s="9"/>
      <x:c r="S517" s="9"/>
      <x:c r="T517" s="9"/>
      <x:c r="U517" s="9"/>
      <x:c r="V517" s="9"/>
      <x:c r="W517" s="9"/>
      <x:c r="X517" s="9"/>
      <x:c r="Y517" s="9"/>
      <x:c r="Z517" s="9"/>
    </x:row>
    <x:row r="518" ht="14.25" customHeight="1">
      <x:c r="M518" s="5"/>
      <x:c r="N518" s="5"/>
      <x:c r="O518" s="9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</x:row>
    <x:row r="519" ht="14.25" customHeight="1">
      <x:c r="M519" s="5"/>
      <x:c r="N519" s="5"/>
      <x:c r="O519" s="9"/>
      <x:c r="P519" s="9"/>
      <x:c r="Q519" s="9"/>
      <x:c r="R519" s="9"/>
      <x:c r="S519" s="9"/>
      <x:c r="T519" s="9"/>
      <x:c r="U519" s="9"/>
      <x:c r="V519" s="9"/>
      <x:c r="W519" s="9"/>
      <x:c r="X519" s="9"/>
      <x:c r="Y519" s="9"/>
      <x:c r="Z519" s="9"/>
    </x:row>
    <x:row r="520" ht="14.25" customHeight="1">
      <x:c r="M520" s="5"/>
      <x:c r="N520" s="5"/>
      <x:c r="O520" s="9"/>
      <x:c r="P520" s="9"/>
      <x:c r="Q520" s="9"/>
      <x:c r="R520" s="9"/>
      <x:c r="S520" s="9"/>
      <x:c r="T520" s="9"/>
      <x:c r="U520" s="9"/>
      <x:c r="V520" s="9"/>
      <x:c r="W520" s="9"/>
      <x:c r="X520" s="9"/>
      <x:c r="Y520" s="9"/>
      <x:c r="Z520" s="9"/>
    </x:row>
    <x:row r="521" ht="14.25" customHeight="1">
      <x:c r="M521" s="5"/>
      <x:c r="N521" s="5"/>
      <x:c r="O521" s="9"/>
      <x:c r="P521" s="9"/>
      <x:c r="Q521" s="9"/>
      <x:c r="R521" s="9"/>
      <x:c r="S521" s="9"/>
      <x:c r="T521" s="9"/>
      <x:c r="U521" s="9"/>
      <x:c r="V521" s="9"/>
      <x:c r="W521" s="9"/>
      <x:c r="X521" s="9"/>
      <x:c r="Y521" s="9"/>
      <x:c r="Z521" s="9"/>
    </x:row>
    <x:row r="522" ht="14.25" customHeight="1">
      <x:c r="M522" s="5"/>
      <x:c r="N522" s="5"/>
      <x:c r="O522" s="9"/>
      <x:c r="P522" s="9"/>
      <x:c r="Q522" s="9"/>
      <x:c r="R522" s="9"/>
      <x:c r="S522" s="9"/>
      <x:c r="T522" s="9"/>
      <x:c r="U522" s="9"/>
      <x:c r="V522" s="9"/>
      <x:c r="W522" s="9"/>
      <x:c r="X522" s="9"/>
      <x:c r="Y522" s="9"/>
      <x:c r="Z522" s="9"/>
    </x:row>
    <x:row r="523" ht="14.25" customHeight="1">
      <x:c r="M523" s="5"/>
      <x:c r="N523" s="5"/>
      <x:c r="O523" s="9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</x:row>
    <x:row r="524" ht="14.25" customHeight="1">
      <x:c r="M524" s="5"/>
      <x:c r="N524" s="5"/>
      <x:c r="O524" s="9"/>
      <x:c r="P524" s="9"/>
      <x:c r="Q524" s="9"/>
      <x:c r="R524" s="9"/>
      <x:c r="S524" s="9"/>
      <x:c r="T524" s="9"/>
      <x:c r="U524" s="9"/>
      <x:c r="V524" s="9"/>
      <x:c r="W524" s="9"/>
      <x:c r="X524" s="9"/>
      <x:c r="Y524" s="9"/>
      <x:c r="Z524" s="9"/>
    </x:row>
    <x:row r="525" ht="14.25" customHeight="1">
      <x:c r="M525" s="5"/>
      <x:c r="N525" s="5"/>
      <x:c r="O525" s="9"/>
      <x:c r="P525" s="9"/>
      <x:c r="Q525" s="9"/>
      <x:c r="R525" s="9"/>
      <x:c r="S525" s="9"/>
      <x:c r="T525" s="9"/>
      <x:c r="U525" s="9"/>
      <x:c r="V525" s="9"/>
      <x:c r="W525" s="9"/>
      <x:c r="X525" s="9"/>
      <x:c r="Y525" s="9"/>
      <x:c r="Z525" s="9"/>
    </x:row>
    <x:row r="526" ht="14.25" customHeight="1">
      <x:c r="M526" s="5"/>
      <x:c r="N526" s="5"/>
      <x:c r="O526" s="9"/>
      <x:c r="P526" s="9"/>
      <x:c r="Q526" s="9"/>
      <x:c r="R526" s="9"/>
      <x:c r="S526" s="9"/>
      <x:c r="T526" s="9"/>
      <x:c r="U526" s="9"/>
      <x:c r="V526" s="9"/>
      <x:c r="W526" s="9"/>
      <x:c r="X526" s="9"/>
      <x:c r="Y526" s="9"/>
      <x:c r="Z526" s="9"/>
    </x:row>
    <x:row r="527" ht="14.25" customHeight="1">
      <x:c r="M527" s="5"/>
      <x:c r="N527" s="5"/>
      <x:c r="O527" s="9"/>
      <x:c r="P527" s="9"/>
      <x:c r="Q527" s="9"/>
      <x:c r="R527" s="9"/>
      <x:c r="S527" s="9"/>
      <x:c r="T527" s="9"/>
      <x:c r="U527" s="9"/>
      <x:c r="V527" s="9"/>
      <x:c r="W527" s="9"/>
      <x:c r="X527" s="9"/>
      <x:c r="Y527" s="9"/>
      <x:c r="Z527" s="9"/>
    </x:row>
    <x:row r="528" ht="14.25" customHeight="1">
      <x:c r="M528" s="5"/>
      <x:c r="N528" s="5"/>
      <x:c r="O528" s="9"/>
      <x:c r="P528" s="9"/>
      <x:c r="Q528" s="9"/>
      <x:c r="R528" s="9"/>
      <x:c r="S528" s="9"/>
      <x:c r="T528" s="9"/>
      <x:c r="U528" s="9"/>
      <x:c r="V528" s="9"/>
      <x:c r="W528" s="9"/>
      <x:c r="X528" s="9"/>
      <x:c r="Y528" s="9"/>
      <x:c r="Z528" s="9"/>
    </x:row>
    <x:row r="529" ht="14.25" customHeight="1">
      <x:c r="M529" s="5"/>
      <x:c r="N529" s="5"/>
      <x:c r="O529" s="9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</x:row>
    <x:row r="530" ht="14.25" customHeight="1">
      <x:c r="M530" s="5"/>
      <x:c r="N530" s="5"/>
      <x:c r="O530" s="9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</x:row>
    <x:row r="531" ht="14.25" customHeight="1">
      <x:c r="M531" s="5"/>
      <x:c r="N531" s="5"/>
      <x:c r="O531" s="9"/>
      <x:c r="P531" s="9"/>
      <x:c r="Q531" s="9"/>
      <x:c r="R531" s="9"/>
      <x:c r="S531" s="9"/>
      <x:c r="T531" s="9"/>
      <x:c r="U531" s="9"/>
      <x:c r="V531" s="9"/>
      <x:c r="W531" s="9"/>
      <x:c r="X531" s="9"/>
      <x:c r="Y531" s="9"/>
      <x:c r="Z531" s="9"/>
    </x:row>
    <x:row r="532" ht="14.25" customHeight="1">
      <x:c r="M532" s="5"/>
      <x:c r="N532" s="5"/>
      <x:c r="O532" s="9"/>
      <x:c r="P532" s="9"/>
      <x:c r="Q532" s="9"/>
      <x:c r="R532" s="9"/>
      <x:c r="S532" s="9"/>
      <x:c r="T532" s="9"/>
      <x:c r="U532" s="9"/>
      <x:c r="V532" s="9"/>
      <x:c r="W532" s="9"/>
      <x:c r="X532" s="9"/>
      <x:c r="Y532" s="9"/>
      <x:c r="Z532" s="9"/>
    </x:row>
    <x:row r="533" ht="14.25" customHeight="1">
      <x:c r="M533" s="5"/>
      <x:c r="N533" s="5"/>
      <x:c r="O533" s="9"/>
      <x:c r="P533" s="9"/>
      <x:c r="Q533" s="9"/>
      <x:c r="R533" s="9"/>
      <x:c r="S533" s="9"/>
      <x:c r="T533" s="9"/>
      <x:c r="U533" s="9"/>
      <x:c r="V533" s="9"/>
      <x:c r="W533" s="9"/>
      <x:c r="X533" s="9"/>
      <x:c r="Y533" s="9"/>
      <x:c r="Z533" s="9"/>
    </x:row>
    <x:row r="534" ht="14.25" customHeight="1">
      <x:c r="M534" s="5"/>
      <x:c r="N534" s="5"/>
      <x:c r="O534" s="9"/>
      <x:c r="P534" s="9"/>
      <x:c r="Q534" s="9"/>
      <x:c r="R534" s="9"/>
      <x:c r="S534" s="9"/>
      <x:c r="T534" s="9"/>
      <x:c r="U534" s="9"/>
      <x:c r="V534" s="9"/>
      <x:c r="W534" s="9"/>
      <x:c r="X534" s="9"/>
      <x:c r="Y534" s="9"/>
      <x:c r="Z534" s="9"/>
    </x:row>
    <x:row r="535" ht="14.25" customHeight="1">
      <x:c r="M535" s="5"/>
      <x:c r="N535" s="5"/>
      <x:c r="O535" s="9"/>
      <x:c r="P535" s="9"/>
      <x:c r="Q535" s="9"/>
      <x:c r="R535" s="9"/>
      <x:c r="S535" s="9"/>
      <x:c r="T535" s="9"/>
      <x:c r="U535" s="9"/>
      <x:c r="V535" s="9"/>
      <x:c r="W535" s="9"/>
      <x:c r="X535" s="9"/>
      <x:c r="Y535" s="9"/>
      <x:c r="Z535" s="9"/>
    </x:row>
    <x:row r="536" ht="14.25" customHeight="1">
      <x:c r="M536" s="5"/>
      <x:c r="N536" s="5"/>
      <x:c r="O536" s="9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</x:row>
    <x:row r="537" ht="14.25" customHeight="1">
      <x:c r="M537" s="5"/>
      <x:c r="N537" s="5"/>
      <x:c r="O537" s="9"/>
      <x:c r="P537" s="9"/>
      <x:c r="Q537" s="9"/>
      <x:c r="R537" s="9"/>
      <x:c r="S537" s="9"/>
      <x:c r="T537" s="9"/>
      <x:c r="U537" s="9"/>
      <x:c r="V537" s="9"/>
      <x:c r="W537" s="9"/>
      <x:c r="X537" s="9"/>
      <x:c r="Y537" s="9"/>
      <x:c r="Z537" s="9"/>
    </x:row>
    <x:row r="538" ht="14.25" customHeight="1">
      <x:c r="M538" s="5"/>
      <x:c r="N538" s="5"/>
      <x:c r="O538" s="9"/>
      <x:c r="P538" s="9"/>
      <x:c r="Q538" s="9"/>
      <x:c r="R538" s="9"/>
      <x:c r="S538" s="9"/>
      <x:c r="T538" s="9"/>
      <x:c r="U538" s="9"/>
      <x:c r="V538" s="9"/>
      <x:c r="W538" s="9"/>
      <x:c r="X538" s="9"/>
      <x:c r="Y538" s="9"/>
      <x:c r="Z538" s="9"/>
    </x:row>
    <x:row r="539" ht="14.25" customHeight="1">
      <x:c r="M539" s="5"/>
      <x:c r="N539" s="5"/>
      <x:c r="O539" s="9"/>
      <x:c r="P539" s="9"/>
      <x:c r="Q539" s="9"/>
      <x:c r="R539" s="9"/>
      <x:c r="S539" s="9"/>
      <x:c r="T539" s="9"/>
      <x:c r="U539" s="9"/>
      <x:c r="V539" s="9"/>
      <x:c r="W539" s="9"/>
      <x:c r="X539" s="9"/>
      <x:c r="Y539" s="9"/>
      <x:c r="Z539" s="9"/>
    </x:row>
    <x:row r="540" ht="14.25" customHeight="1">
      <x:c r="M540" s="5"/>
      <x:c r="N540" s="5"/>
      <x:c r="O540" s="9"/>
      <x:c r="P540" s="9"/>
      <x:c r="Q540" s="9"/>
      <x:c r="R540" s="9"/>
      <x:c r="S540" s="9"/>
      <x:c r="T540" s="9"/>
      <x:c r="U540" s="9"/>
      <x:c r="V540" s="9"/>
      <x:c r="W540" s="9"/>
      <x:c r="X540" s="9"/>
      <x:c r="Y540" s="9"/>
      <x:c r="Z540" s="9"/>
    </x:row>
    <x:row r="541" ht="14.25" customHeight="1">
      <x:c r="M541" s="5"/>
      <x:c r="N541" s="5"/>
      <x:c r="O541" s="9"/>
      <x:c r="P541" s="9"/>
      <x:c r="Q541" s="9"/>
      <x:c r="R541" s="9"/>
      <x:c r="S541" s="9"/>
      <x:c r="T541" s="9"/>
      <x:c r="U541" s="9"/>
      <x:c r="V541" s="9"/>
      <x:c r="W541" s="9"/>
      <x:c r="X541" s="9"/>
      <x:c r="Y541" s="9"/>
      <x:c r="Z541" s="9"/>
    </x:row>
    <x:row r="542" ht="14.25" customHeight="1">
      <x:c r="M542" s="5"/>
      <x:c r="N542" s="5"/>
      <x:c r="O542" s="9"/>
      <x:c r="P542" s="9"/>
      <x:c r="Q542" s="9"/>
      <x:c r="R542" s="9"/>
      <x:c r="S542" s="9"/>
      <x:c r="T542" s="9"/>
      <x:c r="U542" s="9"/>
      <x:c r="V542" s="9"/>
      <x:c r="W542" s="9"/>
      <x:c r="X542" s="9"/>
      <x:c r="Y542" s="9"/>
      <x:c r="Z542" s="9"/>
    </x:row>
    <x:row r="543" ht="14.25" customHeight="1">
      <x:c r="M543" s="5"/>
      <x:c r="N543" s="5"/>
      <x:c r="O543" s="9"/>
      <x:c r="P543" s="9"/>
      <x:c r="Q543" s="9"/>
      <x:c r="R543" s="9"/>
      <x:c r="S543" s="9"/>
      <x:c r="T543" s="9"/>
      <x:c r="U543" s="9"/>
      <x:c r="V543" s="9"/>
      <x:c r="W543" s="9"/>
      <x:c r="X543" s="9"/>
      <x:c r="Y543" s="9"/>
      <x:c r="Z543" s="9"/>
    </x:row>
    <x:row r="544" ht="14.25" customHeight="1">
      <x:c r="M544" s="5"/>
      <x:c r="N544" s="5"/>
      <x:c r="O544" s="9"/>
      <x:c r="P544" s="9"/>
      <x:c r="Q544" s="9"/>
      <x:c r="R544" s="9"/>
      <x:c r="S544" s="9"/>
      <x:c r="T544" s="9"/>
      <x:c r="U544" s="9"/>
      <x:c r="V544" s="9"/>
      <x:c r="W544" s="9"/>
      <x:c r="X544" s="9"/>
      <x:c r="Y544" s="9"/>
      <x:c r="Z544" s="9"/>
    </x:row>
    <x:row r="545" ht="14.25" customHeight="1">
      <x:c r="M545" s="5"/>
      <x:c r="N545" s="5"/>
      <x:c r="O545" s="9"/>
      <x:c r="P545" s="9"/>
      <x:c r="Q545" s="9"/>
      <x:c r="R545" s="9"/>
      <x:c r="S545" s="9"/>
      <x:c r="T545" s="9"/>
      <x:c r="U545" s="9"/>
      <x:c r="V545" s="9"/>
      <x:c r="W545" s="9"/>
      <x:c r="X545" s="9"/>
      <x:c r="Y545" s="9"/>
      <x:c r="Z545" s="9"/>
    </x:row>
    <x:row r="546" ht="14.25" customHeight="1">
      <x:c r="M546" s="5"/>
      <x:c r="N546" s="5"/>
      <x:c r="O546" s="9"/>
      <x:c r="P546" s="9"/>
      <x:c r="Q546" s="9"/>
      <x:c r="R546" s="9"/>
      <x:c r="S546" s="9"/>
      <x:c r="T546" s="9"/>
      <x:c r="U546" s="9"/>
      <x:c r="V546" s="9"/>
      <x:c r="W546" s="9"/>
      <x:c r="X546" s="9"/>
      <x:c r="Y546" s="9"/>
      <x:c r="Z546" s="9"/>
    </x:row>
    <x:row r="547" ht="14.25" customHeight="1">
      <x:c r="M547" s="5"/>
      <x:c r="N547" s="5"/>
      <x:c r="O547" s="9"/>
      <x:c r="P547" s="9"/>
      <x:c r="Q547" s="9"/>
      <x:c r="R547" s="9"/>
      <x:c r="S547" s="9"/>
      <x:c r="T547" s="9"/>
      <x:c r="U547" s="9"/>
      <x:c r="V547" s="9"/>
      <x:c r="W547" s="9"/>
      <x:c r="X547" s="9"/>
      <x:c r="Y547" s="9"/>
      <x:c r="Z547" s="9"/>
    </x:row>
    <x:row r="548" ht="14.25" customHeight="1">
      <x:c r="M548" s="5"/>
      <x:c r="N548" s="5"/>
      <x:c r="O548" s="9"/>
      <x:c r="P548" s="9"/>
      <x:c r="Q548" s="9"/>
      <x:c r="R548" s="9"/>
      <x:c r="S548" s="9"/>
      <x:c r="T548" s="9"/>
      <x:c r="U548" s="9"/>
      <x:c r="V548" s="9"/>
      <x:c r="W548" s="9"/>
      <x:c r="X548" s="9"/>
      <x:c r="Y548" s="9"/>
      <x:c r="Z548" s="9"/>
    </x:row>
    <x:row r="549" ht="14.25" customHeight="1">
      <x:c r="M549" s="5"/>
      <x:c r="N549" s="5"/>
      <x:c r="O549" s="9"/>
      <x:c r="P549" s="9"/>
      <x:c r="Q549" s="9"/>
      <x:c r="R549" s="9"/>
      <x:c r="S549" s="9"/>
      <x:c r="T549" s="9"/>
      <x:c r="U549" s="9"/>
      <x:c r="V549" s="9"/>
      <x:c r="W549" s="9"/>
      <x:c r="X549" s="9"/>
      <x:c r="Y549" s="9"/>
      <x:c r="Z549" s="9"/>
    </x:row>
    <x:row r="550" ht="14.25" customHeight="1">
      <x:c r="M550" s="5"/>
      <x:c r="N550" s="5"/>
      <x:c r="O550" s="9"/>
      <x:c r="P550" s="9"/>
      <x:c r="Q550" s="9"/>
      <x:c r="R550" s="9"/>
      <x:c r="S550" s="9"/>
      <x:c r="T550" s="9"/>
      <x:c r="U550" s="9"/>
      <x:c r="V550" s="9"/>
      <x:c r="W550" s="9"/>
      <x:c r="X550" s="9"/>
      <x:c r="Y550" s="9"/>
      <x:c r="Z550" s="9"/>
    </x:row>
    <x:row r="551" ht="14.25" customHeight="1">
      <x:c r="M551" s="5"/>
      <x:c r="N551" s="5"/>
      <x:c r="O551" s="9"/>
      <x:c r="P551" s="9"/>
      <x:c r="Q551" s="9"/>
      <x:c r="R551" s="9"/>
      <x:c r="S551" s="9"/>
      <x:c r="T551" s="9"/>
      <x:c r="U551" s="9"/>
      <x:c r="V551" s="9"/>
      <x:c r="W551" s="9"/>
      <x:c r="X551" s="9"/>
      <x:c r="Y551" s="9"/>
      <x:c r="Z551" s="9"/>
    </x:row>
    <x:row r="552" ht="14.25" customHeight="1">
      <x:c r="M552" s="5"/>
      <x:c r="N552" s="5"/>
      <x:c r="O552" s="9"/>
      <x:c r="P552" s="9"/>
      <x:c r="Q552" s="9"/>
      <x:c r="R552" s="9"/>
      <x:c r="S552" s="9"/>
      <x:c r="T552" s="9"/>
      <x:c r="U552" s="9"/>
      <x:c r="V552" s="9"/>
      <x:c r="W552" s="9"/>
      <x:c r="X552" s="9"/>
      <x:c r="Y552" s="9"/>
      <x:c r="Z552" s="9"/>
    </x:row>
    <x:row r="553" ht="14.25" customHeight="1">
      <x:c r="M553" s="5"/>
      <x:c r="N553" s="5"/>
      <x:c r="O553" s="9"/>
      <x:c r="P553" s="9"/>
      <x:c r="Q553" s="9"/>
      <x:c r="R553" s="9"/>
      <x:c r="S553" s="9"/>
      <x:c r="T553" s="9"/>
      <x:c r="U553" s="9"/>
      <x:c r="V553" s="9"/>
      <x:c r="W553" s="9"/>
      <x:c r="X553" s="9"/>
      <x:c r="Y553" s="9"/>
      <x:c r="Z553" s="9"/>
    </x:row>
    <x:row r="554" ht="14.25" customHeight="1">
      <x:c r="M554" s="5"/>
      <x:c r="N554" s="5"/>
      <x:c r="O554" s="9"/>
      <x:c r="P554" s="9"/>
      <x:c r="Q554" s="9"/>
      <x:c r="R554" s="9"/>
      <x:c r="S554" s="9"/>
      <x:c r="T554" s="9"/>
      <x:c r="U554" s="9"/>
      <x:c r="V554" s="9"/>
      <x:c r="W554" s="9"/>
      <x:c r="X554" s="9"/>
      <x:c r="Y554" s="9"/>
      <x:c r="Z554" s="9"/>
    </x:row>
    <x:row r="555" ht="14.25" customHeight="1">
      <x:c r="M555" s="5"/>
      <x:c r="N555" s="5"/>
      <x:c r="O555" s="9"/>
      <x:c r="P555" s="9"/>
      <x:c r="Q555" s="9"/>
      <x:c r="R555" s="9"/>
      <x:c r="S555" s="9"/>
      <x:c r="T555" s="9"/>
      <x:c r="U555" s="9"/>
      <x:c r="V555" s="9"/>
      <x:c r="W555" s="9"/>
      <x:c r="X555" s="9"/>
      <x:c r="Y555" s="9"/>
      <x:c r="Z555" s="9"/>
    </x:row>
    <x:row r="556" ht="14.25" customHeight="1">
      <x:c r="M556" s="5"/>
      <x:c r="N556" s="5"/>
      <x:c r="O556" s="9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</x:row>
    <x:row r="557" ht="14.25" customHeight="1">
      <x:c r="M557" s="5"/>
      <x:c r="N557" s="5"/>
      <x:c r="O557" s="9"/>
      <x:c r="P557" s="9"/>
      <x:c r="Q557" s="9"/>
      <x:c r="R557" s="9"/>
      <x:c r="S557" s="9"/>
      <x:c r="T557" s="9"/>
      <x:c r="U557" s="9"/>
      <x:c r="V557" s="9"/>
      <x:c r="W557" s="9"/>
      <x:c r="X557" s="9"/>
      <x:c r="Y557" s="9"/>
      <x:c r="Z557" s="9"/>
    </x:row>
    <x:row r="558" ht="14.25" customHeight="1">
      <x:c r="M558" s="5"/>
      <x:c r="N558" s="5"/>
      <x:c r="O558" s="9"/>
      <x:c r="P558" s="9"/>
      <x:c r="Q558" s="9"/>
      <x:c r="R558" s="9"/>
      <x:c r="S558" s="9"/>
      <x:c r="T558" s="9"/>
      <x:c r="U558" s="9"/>
      <x:c r="V558" s="9"/>
      <x:c r="W558" s="9"/>
      <x:c r="X558" s="9"/>
      <x:c r="Y558" s="9"/>
      <x:c r="Z558" s="9"/>
    </x:row>
    <x:row r="559" ht="14.25" customHeight="1">
      <x:c r="M559" s="5"/>
      <x:c r="N559" s="5"/>
      <x:c r="O559" s="9"/>
      <x:c r="P559" s="9"/>
      <x:c r="Q559" s="9"/>
      <x:c r="R559" s="9"/>
      <x:c r="S559" s="9"/>
      <x:c r="T559" s="9"/>
      <x:c r="U559" s="9"/>
      <x:c r="V559" s="9"/>
      <x:c r="W559" s="9"/>
      <x:c r="X559" s="9"/>
      <x:c r="Y559" s="9"/>
      <x:c r="Z559" s="9"/>
    </x:row>
    <x:row r="560" ht="14.25" customHeight="1">
      <x:c r="M560" s="5"/>
      <x:c r="N560" s="5"/>
      <x:c r="O560" s="9"/>
      <x:c r="P560" s="9"/>
      <x:c r="Q560" s="9"/>
      <x:c r="R560" s="9"/>
      <x:c r="S560" s="9"/>
      <x:c r="T560" s="9"/>
      <x:c r="U560" s="9"/>
      <x:c r="V560" s="9"/>
      <x:c r="W560" s="9"/>
      <x:c r="X560" s="9"/>
      <x:c r="Y560" s="9"/>
      <x:c r="Z560" s="9"/>
    </x:row>
    <x:row r="561" ht="14.25" customHeight="1">
      <x:c r="M561" s="5"/>
      <x:c r="N561" s="5"/>
      <x:c r="O561" s="9"/>
      <x:c r="P561" s="9"/>
      <x:c r="Q561" s="9"/>
      <x:c r="R561" s="9"/>
      <x:c r="S561" s="9"/>
      <x:c r="T561" s="9"/>
      <x:c r="U561" s="9"/>
      <x:c r="V561" s="9"/>
      <x:c r="W561" s="9"/>
      <x:c r="X561" s="9"/>
      <x:c r="Y561" s="9"/>
      <x:c r="Z561" s="9"/>
    </x:row>
    <x:row r="562" ht="14.25" customHeight="1">
      <x:c r="M562" s="5"/>
      <x:c r="N562" s="5"/>
      <x:c r="O562" s="9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</x:row>
    <x:row r="563" ht="14.25" customHeight="1">
      <x:c r="M563" s="5"/>
      <x:c r="N563" s="5"/>
      <x:c r="O563" s="9"/>
      <x:c r="P563" s="9"/>
      <x:c r="Q563" s="9"/>
      <x:c r="R563" s="9"/>
      <x:c r="S563" s="9"/>
      <x:c r="T563" s="9"/>
      <x:c r="U563" s="9"/>
      <x:c r="V563" s="9"/>
      <x:c r="W563" s="9"/>
      <x:c r="X563" s="9"/>
      <x:c r="Y563" s="9"/>
      <x:c r="Z563" s="9"/>
    </x:row>
    <x:row r="564" ht="14.25" customHeight="1">
      <x:c r="M564" s="5"/>
      <x:c r="N564" s="5"/>
      <x:c r="O564" s="9"/>
      <x:c r="P564" s="9"/>
      <x:c r="Q564" s="9"/>
      <x:c r="R564" s="9"/>
      <x:c r="S564" s="9"/>
      <x:c r="T564" s="9"/>
      <x:c r="U564" s="9"/>
      <x:c r="V564" s="9"/>
      <x:c r="W564" s="9"/>
      <x:c r="X564" s="9"/>
      <x:c r="Y564" s="9"/>
      <x:c r="Z564" s="9"/>
    </x:row>
    <x:row r="565" ht="14.25" customHeight="1">
      <x:c r="M565" s="5"/>
      <x:c r="N565" s="5"/>
      <x:c r="O565" s="9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</x:row>
    <x:row r="566" ht="14.25" customHeight="1">
      <x:c r="M566" s="5"/>
      <x:c r="N566" s="5"/>
      <x:c r="O566" s="9"/>
      <x:c r="P566" s="9"/>
      <x:c r="Q566" s="9"/>
      <x:c r="R566" s="9"/>
      <x:c r="S566" s="9"/>
      <x:c r="T566" s="9"/>
      <x:c r="U566" s="9"/>
      <x:c r="V566" s="9"/>
      <x:c r="W566" s="9"/>
      <x:c r="X566" s="9"/>
      <x:c r="Y566" s="9"/>
      <x:c r="Z566" s="9"/>
    </x:row>
    <x:row r="567" ht="14.25" customHeight="1">
      <x:c r="M567" s="5"/>
      <x:c r="N567" s="5"/>
      <x:c r="O567" s="9"/>
      <x:c r="P567" s="9"/>
      <x:c r="Q567" s="9"/>
      <x:c r="R567" s="9"/>
      <x:c r="S567" s="9"/>
      <x:c r="T567" s="9"/>
      <x:c r="U567" s="9"/>
      <x:c r="V567" s="9"/>
      <x:c r="W567" s="9"/>
      <x:c r="X567" s="9"/>
      <x:c r="Y567" s="9"/>
      <x:c r="Z567" s="9"/>
    </x:row>
    <x:row r="568" ht="14.25" customHeight="1">
      <x:c r="M568" s="5"/>
      <x:c r="N568" s="5"/>
      <x:c r="O568" s="9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</x:row>
    <x:row r="569" ht="14.25" customHeight="1">
      <x:c r="M569" s="5"/>
      <x:c r="N569" s="5"/>
      <x:c r="O569" s="9"/>
      <x:c r="P569" s="9"/>
      <x:c r="Q569" s="9"/>
      <x:c r="R569" s="9"/>
      <x:c r="S569" s="9"/>
      <x:c r="T569" s="9"/>
      <x:c r="U569" s="9"/>
      <x:c r="V569" s="9"/>
      <x:c r="W569" s="9"/>
      <x:c r="X569" s="9"/>
      <x:c r="Y569" s="9"/>
      <x:c r="Z569" s="9"/>
    </x:row>
    <x:row r="570" ht="14.25" customHeight="1">
      <x:c r="M570" s="5"/>
      <x:c r="N570" s="5"/>
      <x:c r="O570" s="9"/>
      <x:c r="P570" s="9"/>
      <x:c r="Q570" s="9"/>
      <x:c r="R570" s="9"/>
      <x:c r="S570" s="9"/>
      <x:c r="T570" s="9"/>
      <x:c r="U570" s="9"/>
      <x:c r="V570" s="9"/>
      <x:c r="W570" s="9"/>
      <x:c r="X570" s="9"/>
      <x:c r="Y570" s="9"/>
      <x:c r="Z570" s="9"/>
    </x:row>
    <x:row r="571" ht="14.25" customHeight="1">
      <x:c r="M571" s="5"/>
      <x:c r="N571" s="5"/>
      <x:c r="O571" s="9"/>
      <x:c r="P571" s="9"/>
      <x:c r="Q571" s="9"/>
      <x:c r="R571" s="9"/>
      <x:c r="S571" s="9"/>
      <x:c r="T571" s="9"/>
      <x:c r="U571" s="9"/>
      <x:c r="V571" s="9"/>
      <x:c r="W571" s="9"/>
      <x:c r="X571" s="9"/>
      <x:c r="Y571" s="9"/>
      <x:c r="Z571" s="9"/>
    </x:row>
    <x:row r="572" ht="14.25" customHeight="1">
      <x:c r="M572" s="5"/>
      <x:c r="N572" s="5"/>
      <x:c r="O572" s="9"/>
      <x:c r="P572" s="9"/>
      <x:c r="Q572" s="9"/>
      <x:c r="R572" s="9"/>
      <x:c r="S572" s="9"/>
      <x:c r="T572" s="9"/>
      <x:c r="U572" s="9"/>
      <x:c r="V572" s="9"/>
      <x:c r="W572" s="9"/>
      <x:c r="X572" s="9"/>
      <x:c r="Y572" s="9"/>
      <x:c r="Z572" s="9"/>
    </x:row>
    <x:row r="573" ht="14.25" customHeight="1">
      <x:c r="M573" s="5"/>
      <x:c r="N573" s="5"/>
      <x:c r="O573" s="9"/>
      <x:c r="P573" s="9"/>
      <x:c r="Q573" s="9"/>
      <x:c r="R573" s="9"/>
      <x:c r="S573" s="9"/>
      <x:c r="T573" s="9"/>
      <x:c r="U573" s="9"/>
      <x:c r="V573" s="9"/>
      <x:c r="W573" s="9"/>
      <x:c r="X573" s="9"/>
      <x:c r="Y573" s="9"/>
      <x:c r="Z573" s="9"/>
    </x:row>
    <x:row r="574" ht="14.25" customHeight="1">
      <x:c r="M574" s="5"/>
      <x:c r="N574" s="5"/>
      <x:c r="O574" s="9"/>
      <x:c r="P574" s="9"/>
      <x:c r="Q574" s="9"/>
      <x:c r="R574" s="9"/>
      <x:c r="S574" s="9"/>
      <x:c r="T574" s="9"/>
      <x:c r="U574" s="9"/>
      <x:c r="V574" s="9"/>
      <x:c r="W574" s="9"/>
      <x:c r="X574" s="9"/>
      <x:c r="Y574" s="9"/>
      <x:c r="Z574" s="9"/>
    </x:row>
    <x:row r="575" ht="14.25" customHeight="1">
      <x:c r="M575" s="5"/>
      <x:c r="N575" s="5"/>
      <x:c r="O575" s="9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</x:row>
    <x:row r="576" ht="14.25" customHeight="1">
      <x:c r="M576" s="5"/>
      <x:c r="N576" s="5"/>
      <x:c r="O576" s="9"/>
      <x:c r="P576" s="9"/>
      <x:c r="Q576" s="9"/>
      <x:c r="R576" s="9"/>
      <x:c r="S576" s="9"/>
      <x:c r="T576" s="9"/>
      <x:c r="U576" s="9"/>
      <x:c r="V576" s="9"/>
      <x:c r="W576" s="9"/>
      <x:c r="X576" s="9"/>
      <x:c r="Y576" s="9"/>
      <x:c r="Z576" s="9"/>
    </x:row>
    <x:row r="577" ht="14.25" customHeight="1">
      <x:c r="M577" s="5"/>
      <x:c r="N577" s="5"/>
      <x:c r="O577" s="9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</x:row>
    <x:row r="578" ht="14.25" customHeight="1">
      <x:c r="M578" s="5"/>
      <x:c r="N578" s="5"/>
      <x:c r="O578" s="9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</x:row>
    <x:row r="579" ht="14.25" customHeight="1">
      <x:c r="M579" s="5"/>
      <x:c r="N579" s="5"/>
      <x:c r="O579" s="9"/>
      <x:c r="P579" s="9"/>
      <x:c r="Q579" s="9"/>
      <x:c r="R579" s="9"/>
      <x:c r="S579" s="9"/>
      <x:c r="T579" s="9"/>
      <x:c r="U579" s="9"/>
      <x:c r="V579" s="9"/>
      <x:c r="W579" s="9"/>
      <x:c r="X579" s="9"/>
      <x:c r="Y579" s="9"/>
      <x:c r="Z579" s="9"/>
    </x:row>
    <x:row r="580" ht="14.25" customHeight="1">
      <x:c r="M580" s="5"/>
      <x:c r="N580" s="5"/>
      <x:c r="O580" s="9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</x:row>
    <x:row r="581" ht="14.25" customHeight="1">
      <x:c r="M581" s="5"/>
      <x:c r="N581" s="5"/>
      <x:c r="O581" s="9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</x:row>
    <x:row r="582" ht="14.25" customHeight="1">
      <x:c r="M582" s="5"/>
      <x:c r="N582" s="5"/>
      <x:c r="O582" s="9"/>
      <x:c r="P582" s="9"/>
      <x:c r="Q582" s="9"/>
      <x:c r="R582" s="9"/>
      <x:c r="S582" s="9"/>
      <x:c r="T582" s="9"/>
      <x:c r="U582" s="9"/>
      <x:c r="V582" s="9"/>
      <x:c r="W582" s="9"/>
      <x:c r="X582" s="9"/>
      <x:c r="Y582" s="9"/>
      <x:c r="Z582" s="9"/>
    </x:row>
    <x:row r="583" ht="14.25" customHeight="1">
      <x:c r="M583" s="5"/>
      <x:c r="N583" s="5"/>
      <x:c r="O583" s="9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</x:row>
    <x:row r="584" ht="14.25" customHeight="1">
      <x:c r="M584" s="5"/>
      <x:c r="N584" s="5"/>
      <x:c r="O584" s="9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</x:row>
    <x:row r="585" ht="14.25" customHeight="1">
      <x:c r="M585" s="5"/>
      <x:c r="N585" s="5"/>
      <x:c r="O585" s="9"/>
      <x:c r="P585" s="9"/>
      <x:c r="Q585" s="9"/>
      <x:c r="R585" s="9"/>
      <x:c r="S585" s="9"/>
      <x:c r="T585" s="9"/>
      <x:c r="U585" s="9"/>
      <x:c r="V585" s="9"/>
      <x:c r="W585" s="9"/>
      <x:c r="X585" s="9"/>
      <x:c r="Y585" s="9"/>
      <x:c r="Z585" s="9"/>
    </x:row>
    <x:row r="586" ht="14.25" customHeight="1">
      <x:c r="M586" s="5"/>
      <x:c r="N586" s="5"/>
      <x:c r="O586" s="9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</x:row>
    <x:row r="587" ht="14.25" customHeight="1">
      <x:c r="M587" s="5"/>
      <x:c r="N587" s="5"/>
      <x:c r="O587" s="9"/>
      <x:c r="P587" s="9"/>
      <x:c r="Q587" s="9"/>
      <x:c r="R587" s="9"/>
      <x:c r="S587" s="9"/>
      <x:c r="T587" s="9"/>
      <x:c r="U587" s="9"/>
      <x:c r="V587" s="9"/>
      <x:c r="W587" s="9"/>
      <x:c r="X587" s="9"/>
      <x:c r="Y587" s="9"/>
      <x:c r="Z587" s="9"/>
    </x:row>
    <x:row r="588" ht="14.25" customHeight="1">
      <x:c r="M588" s="5"/>
      <x:c r="N588" s="5"/>
      <x:c r="O588" s="9"/>
      <x:c r="P588" s="9"/>
      <x:c r="Q588" s="9"/>
      <x:c r="R588" s="9"/>
      <x:c r="S588" s="9"/>
      <x:c r="T588" s="9"/>
      <x:c r="U588" s="9"/>
      <x:c r="V588" s="9"/>
      <x:c r="W588" s="9"/>
      <x:c r="X588" s="9"/>
      <x:c r="Y588" s="9"/>
      <x:c r="Z588" s="9"/>
    </x:row>
    <x:row r="589" ht="14.25" customHeight="1">
      <x:c r="M589" s="5"/>
      <x:c r="N589" s="5"/>
      <x:c r="O589" s="9"/>
      <x:c r="P589" s="9"/>
      <x:c r="Q589" s="9"/>
      <x:c r="R589" s="9"/>
      <x:c r="S589" s="9"/>
      <x:c r="T589" s="9"/>
      <x:c r="U589" s="9"/>
      <x:c r="V589" s="9"/>
      <x:c r="W589" s="9"/>
      <x:c r="X589" s="9"/>
      <x:c r="Y589" s="9"/>
      <x:c r="Z589" s="9"/>
    </x:row>
    <x:row r="590" ht="14.25" customHeight="1">
      <x:c r="M590" s="5"/>
      <x:c r="N590" s="5"/>
      <x:c r="O590" s="9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</x:row>
    <x:row r="591" ht="14.25" customHeight="1">
      <x:c r="M591" s="5"/>
      <x:c r="N591" s="5"/>
      <x:c r="O591" s="9"/>
      <x:c r="P591" s="9"/>
      <x:c r="Q591" s="9"/>
      <x:c r="R591" s="9"/>
      <x:c r="S591" s="9"/>
      <x:c r="T591" s="9"/>
      <x:c r="U591" s="9"/>
      <x:c r="V591" s="9"/>
      <x:c r="W591" s="9"/>
      <x:c r="X591" s="9"/>
      <x:c r="Y591" s="9"/>
      <x:c r="Z591" s="9"/>
    </x:row>
    <x:row r="592" ht="14.25" customHeight="1">
      <x:c r="M592" s="5"/>
      <x:c r="N592" s="5"/>
      <x:c r="O592" s="9"/>
      <x:c r="P592" s="9"/>
      <x:c r="Q592" s="9"/>
      <x:c r="R592" s="9"/>
      <x:c r="S592" s="9"/>
      <x:c r="T592" s="9"/>
      <x:c r="U592" s="9"/>
      <x:c r="V592" s="9"/>
      <x:c r="W592" s="9"/>
      <x:c r="X592" s="9"/>
      <x:c r="Y592" s="9"/>
      <x:c r="Z592" s="9"/>
    </x:row>
    <x:row r="593" ht="14.25" customHeight="1">
      <x:c r="M593" s="5"/>
      <x:c r="N593" s="5"/>
      <x:c r="O593" s="9"/>
      <x:c r="P593" s="9"/>
      <x:c r="Q593" s="9"/>
      <x:c r="R593" s="9"/>
      <x:c r="S593" s="9"/>
      <x:c r="T593" s="9"/>
      <x:c r="U593" s="9"/>
      <x:c r="V593" s="9"/>
      <x:c r="W593" s="9"/>
      <x:c r="X593" s="9"/>
      <x:c r="Y593" s="9"/>
      <x:c r="Z593" s="9"/>
    </x:row>
    <x:row r="594" ht="14.25" customHeight="1">
      <x:c r="M594" s="5"/>
      <x:c r="N594" s="5"/>
      <x:c r="O594" s="9"/>
      <x:c r="P594" s="9"/>
      <x:c r="Q594" s="9"/>
      <x:c r="R594" s="9"/>
      <x:c r="S594" s="9"/>
      <x:c r="T594" s="9"/>
      <x:c r="U594" s="9"/>
      <x:c r="V594" s="9"/>
      <x:c r="W594" s="9"/>
      <x:c r="X594" s="9"/>
      <x:c r="Y594" s="9"/>
      <x:c r="Z594" s="9"/>
    </x:row>
    <x:row r="595" ht="14.25" customHeight="1">
      <x:c r="M595" s="5"/>
      <x:c r="N595" s="5"/>
      <x:c r="O595" s="9"/>
      <x:c r="P595" s="9"/>
      <x:c r="Q595" s="9"/>
      <x:c r="R595" s="9"/>
      <x:c r="S595" s="9"/>
      <x:c r="T595" s="9"/>
      <x:c r="U595" s="9"/>
      <x:c r="V595" s="9"/>
      <x:c r="W595" s="9"/>
      <x:c r="X595" s="9"/>
      <x:c r="Y595" s="9"/>
      <x:c r="Z595" s="9"/>
    </x:row>
    <x:row r="596" ht="14.25" customHeight="1">
      <x:c r="M596" s="5"/>
      <x:c r="N596" s="5"/>
      <x:c r="O596" s="9"/>
      <x:c r="P596" s="9"/>
      <x:c r="Q596" s="9"/>
      <x:c r="R596" s="9"/>
      <x:c r="S596" s="9"/>
      <x:c r="T596" s="9"/>
      <x:c r="U596" s="9"/>
      <x:c r="V596" s="9"/>
      <x:c r="W596" s="9"/>
      <x:c r="X596" s="9"/>
      <x:c r="Y596" s="9"/>
      <x:c r="Z596" s="9"/>
    </x:row>
    <x:row r="597" ht="14.25" customHeight="1">
      <x:c r="M597" s="5"/>
      <x:c r="N597" s="5"/>
      <x:c r="O597" s="9"/>
      <x:c r="P597" s="9"/>
      <x:c r="Q597" s="9"/>
      <x:c r="R597" s="9"/>
      <x:c r="S597" s="9"/>
      <x:c r="T597" s="9"/>
      <x:c r="U597" s="9"/>
      <x:c r="V597" s="9"/>
      <x:c r="W597" s="9"/>
      <x:c r="X597" s="9"/>
      <x:c r="Y597" s="9"/>
      <x:c r="Z597" s="9"/>
    </x:row>
    <x:row r="598" ht="14.25" customHeight="1">
      <x:c r="M598" s="5"/>
      <x:c r="N598" s="5"/>
      <x:c r="O598" s="9"/>
      <x:c r="P598" s="9"/>
      <x:c r="Q598" s="9"/>
      <x:c r="R598" s="9"/>
      <x:c r="S598" s="9"/>
      <x:c r="T598" s="9"/>
      <x:c r="U598" s="9"/>
      <x:c r="V598" s="9"/>
      <x:c r="W598" s="9"/>
      <x:c r="X598" s="9"/>
      <x:c r="Y598" s="9"/>
      <x:c r="Z598" s="9"/>
    </x:row>
    <x:row r="599" ht="14.25" customHeight="1">
      <x:c r="M599" s="5"/>
      <x:c r="N599" s="5"/>
      <x:c r="O599" s="9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</x:row>
    <x:row r="600" ht="14.25" customHeight="1">
      <x:c r="M600" s="5"/>
      <x:c r="N600" s="5"/>
      <x:c r="O600" s="9"/>
      <x:c r="P600" s="9"/>
      <x:c r="Q600" s="9"/>
      <x:c r="R600" s="9"/>
      <x:c r="S600" s="9"/>
      <x:c r="T600" s="9"/>
      <x:c r="U600" s="9"/>
      <x:c r="V600" s="9"/>
      <x:c r="W600" s="9"/>
      <x:c r="X600" s="9"/>
      <x:c r="Y600" s="9"/>
      <x:c r="Z600" s="9"/>
    </x:row>
    <x:row r="601" ht="14.25" customHeight="1">
      <x:c r="M601" s="5"/>
      <x:c r="N601" s="5"/>
      <x:c r="O601" s="9"/>
      <x:c r="P601" s="9"/>
      <x:c r="Q601" s="9"/>
      <x:c r="R601" s="9"/>
      <x:c r="S601" s="9"/>
      <x:c r="T601" s="9"/>
      <x:c r="U601" s="9"/>
      <x:c r="V601" s="9"/>
      <x:c r="W601" s="9"/>
      <x:c r="X601" s="9"/>
      <x:c r="Y601" s="9"/>
      <x:c r="Z601" s="9"/>
    </x:row>
    <x:row r="602" ht="14.25" customHeight="1">
      <x:c r="M602" s="5"/>
      <x:c r="N602" s="5"/>
      <x:c r="O602" s="9"/>
      <x:c r="P602" s="9"/>
      <x:c r="Q602" s="9"/>
      <x:c r="R602" s="9"/>
      <x:c r="S602" s="9"/>
      <x:c r="T602" s="9"/>
      <x:c r="U602" s="9"/>
      <x:c r="V602" s="9"/>
      <x:c r="W602" s="9"/>
      <x:c r="X602" s="9"/>
      <x:c r="Y602" s="9"/>
      <x:c r="Z602" s="9"/>
    </x:row>
    <x:row r="603" ht="14.25" customHeight="1">
      <x:c r="M603" s="5"/>
      <x:c r="N603" s="5"/>
      <x:c r="O603" s="9"/>
      <x:c r="P603" s="9"/>
      <x:c r="Q603" s="9"/>
      <x:c r="R603" s="9"/>
      <x:c r="S603" s="9"/>
      <x:c r="T603" s="9"/>
      <x:c r="U603" s="9"/>
      <x:c r="V603" s="9"/>
      <x:c r="W603" s="9"/>
      <x:c r="X603" s="9"/>
      <x:c r="Y603" s="9"/>
      <x:c r="Z603" s="9"/>
    </x:row>
    <x:row r="604" ht="14.25" customHeight="1">
      <x:c r="M604" s="5"/>
      <x:c r="N604" s="5"/>
      <x:c r="O604" s="9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</x:row>
    <x:row r="605" ht="14.25" customHeight="1">
      <x:c r="M605" s="5"/>
      <x:c r="N605" s="5"/>
      <x:c r="O605" s="9"/>
      <x:c r="P605" s="9"/>
      <x:c r="Q605" s="9"/>
      <x:c r="R605" s="9"/>
      <x:c r="S605" s="9"/>
      <x:c r="T605" s="9"/>
      <x:c r="U605" s="9"/>
      <x:c r="V605" s="9"/>
      <x:c r="W605" s="9"/>
      <x:c r="X605" s="9"/>
      <x:c r="Y605" s="9"/>
      <x:c r="Z605" s="9"/>
    </x:row>
    <x:row r="606" ht="14.25" customHeight="1">
      <x:c r="M606" s="5"/>
      <x:c r="N606" s="5"/>
      <x:c r="O606" s="9"/>
      <x:c r="P606" s="9"/>
      <x:c r="Q606" s="9"/>
      <x:c r="R606" s="9"/>
      <x:c r="S606" s="9"/>
      <x:c r="T606" s="9"/>
      <x:c r="U606" s="9"/>
      <x:c r="V606" s="9"/>
      <x:c r="W606" s="9"/>
      <x:c r="X606" s="9"/>
      <x:c r="Y606" s="9"/>
      <x:c r="Z606" s="9"/>
    </x:row>
    <x:row r="607" ht="14.25" customHeight="1">
      <x:c r="M607" s="5"/>
      <x:c r="N607" s="5"/>
      <x:c r="O607" s="9"/>
      <x:c r="P607" s="9"/>
      <x:c r="Q607" s="9"/>
      <x:c r="R607" s="9"/>
      <x:c r="S607" s="9"/>
      <x:c r="T607" s="9"/>
      <x:c r="U607" s="9"/>
      <x:c r="V607" s="9"/>
      <x:c r="W607" s="9"/>
      <x:c r="X607" s="9"/>
      <x:c r="Y607" s="9"/>
      <x:c r="Z607" s="9"/>
    </x:row>
    <x:row r="608" ht="14.25" customHeight="1">
      <x:c r="M608" s="5"/>
      <x:c r="N608" s="5"/>
      <x:c r="O608" s="9"/>
      <x:c r="P608" s="9"/>
      <x:c r="Q608" s="9"/>
      <x:c r="R608" s="9"/>
      <x:c r="S608" s="9"/>
      <x:c r="T608" s="9"/>
      <x:c r="U608" s="9"/>
      <x:c r="V608" s="9"/>
      <x:c r="W608" s="9"/>
      <x:c r="X608" s="9"/>
      <x:c r="Y608" s="9"/>
      <x:c r="Z608" s="9"/>
    </x:row>
    <x:row r="609" ht="14.25" customHeight="1">
      <x:c r="M609" s="5"/>
      <x:c r="N609" s="5"/>
      <x:c r="O609" s="9"/>
      <x:c r="P609" s="9"/>
      <x:c r="Q609" s="9"/>
      <x:c r="R609" s="9"/>
      <x:c r="S609" s="9"/>
      <x:c r="T609" s="9"/>
      <x:c r="U609" s="9"/>
      <x:c r="V609" s="9"/>
      <x:c r="W609" s="9"/>
      <x:c r="X609" s="9"/>
      <x:c r="Y609" s="9"/>
      <x:c r="Z609" s="9"/>
    </x:row>
    <x:row r="610" ht="14.25" customHeight="1">
      <x:c r="M610" s="5"/>
      <x:c r="N610" s="5"/>
      <x:c r="O610" s="9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</x:row>
    <x:row r="611" ht="14.25" customHeight="1">
      <x:c r="M611" s="5"/>
      <x:c r="N611" s="5"/>
      <x:c r="O611" s="9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</x:row>
    <x:row r="612" ht="14.25" customHeight="1">
      <x:c r="M612" s="5"/>
      <x:c r="N612" s="5"/>
      <x:c r="O612" s="9"/>
      <x:c r="P612" s="9"/>
      <x:c r="Q612" s="9"/>
      <x:c r="R612" s="9"/>
      <x:c r="S612" s="9"/>
      <x:c r="T612" s="9"/>
      <x:c r="U612" s="9"/>
      <x:c r="V612" s="9"/>
      <x:c r="W612" s="9"/>
      <x:c r="X612" s="9"/>
      <x:c r="Y612" s="9"/>
      <x:c r="Z612" s="9"/>
    </x:row>
    <x:row r="613" ht="14.25" customHeight="1">
      <x:c r="M613" s="5"/>
      <x:c r="N613" s="5"/>
      <x:c r="O613" s="9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</x:row>
    <x:row r="614" ht="14.25" customHeight="1">
      <x:c r="M614" s="5"/>
      <x:c r="N614" s="5"/>
      <x:c r="O614" s="9"/>
      <x:c r="P614" s="9"/>
      <x:c r="Q614" s="9"/>
      <x:c r="R614" s="9"/>
      <x:c r="S614" s="9"/>
      <x:c r="T614" s="9"/>
      <x:c r="U614" s="9"/>
      <x:c r="V614" s="9"/>
      <x:c r="W614" s="9"/>
      <x:c r="X614" s="9"/>
      <x:c r="Y614" s="9"/>
      <x:c r="Z614" s="9"/>
    </x:row>
    <x:row r="615" ht="14.25" customHeight="1">
      <x:c r="M615" s="5"/>
      <x:c r="N615" s="5"/>
      <x:c r="O615" s="9"/>
      <x:c r="P615" s="9"/>
      <x:c r="Q615" s="9"/>
      <x:c r="R615" s="9"/>
      <x:c r="S615" s="9"/>
      <x:c r="T615" s="9"/>
      <x:c r="U615" s="9"/>
      <x:c r="V615" s="9"/>
      <x:c r="W615" s="9"/>
      <x:c r="X615" s="9"/>
      <x:c r="Y615" s="9"/>
      <x:c r="Z615" s="9"/>
    </x:row>
    <x:row r="616" ht="14.25" customHeight="1">
      <x:c r="M616" s="5"/>
      <x:c r="N616" s="5"/>
      <x:c r="O616" s="9"/>
      <x:c r="P616" s="9"/>
      <x:c r="Q616" s="9"/>
      <x:c r="R616" s="9"/>
      <x:c r="S616" s="9"/>
      <x:c r="T616" s="9"/>
      <x:c r="U616" s="9"/>
      <x:c r="V616" s="9"/>
      <x:c r="W616" s="9"/>
      <x:c r="X616" s="9"/>
      <x:c r="Y616" s="9"/>
      <x:c r="Z616" s="9"/>
    </x:row>
    <x:row r="617" ht="14.25" customHeight="1">
      <x:c r="M617" s="5"/>
      <x:c r="N617" s="5"/>
      <x:c r="O617" s="9"/>
      <x:c r="P617" s="9"/>
      <x:c r="Q617" s="9"/>
      <x:c r="R617" s="9"/>
      <x:c r="S617" s="9"/>
      <x:c r="T617" s="9"/>
      <x:c r="U617" s="9"/>
      <x:c r="V617" s="9"/>
      <x:c r="W617" s="9"/>
      <x:c r="X617" s="9"/>
      <x:c r="Y617" s="9"/>
      <x:c r="Z617" s="9"/>
    </x:row>
    <x:row r="618" ht="14.25" customHeight="1">
      <x:c r="M618" s="5"/>
      <x:c r="N618" s="5"/>
      <x:c r="O618" s="9"/>
      <x:c r="P618" s="9"/>
      <x:c r="Q618" s="9"/>
      <x:c r="R618" s="9"/>
      <x:c r="S618" s="9"/>
      <x:c r="T618" s="9"/>
      <x:c r="U618" s="9"/>
      <x:c r="V618" s="9"/>
      <x:c r="W618" s="9"/>
      <x:c r="X618" s="9"/>
      <x:c r="Y618" s="9"/>
      <x:c r="Z618" s="9"/>
    </x:row>
    <x:row r="619" ht="14.25" customHeight="1">
      <x:c r="M619" s="5"/>
      <x:c r="N619" s="5"/>
      <x:c r="O619" s="9"/>
      <x:c r="P619" s="9"/>
      <x:c r="Q619" s="9"/>
      <x:c r="R619" s="9"/>
      <x:c r="S619" s="9"/>
      <x:c r="T619" s="9"/>
      <x:c r="U619" s="9"/>
      <x:c r="V619" s="9"/>
      <x:c r="W619" s="9"/>
      <x:c r="X619" s="9"/>
      <x:c r="Y619" s="9"/>
      <x:c r="Z619" s="9"/>
    </x:row>
    <x:row r="620" ht="14.25" customHeight="1">
      <x:c r="M620" s="5"/>
      <x:c r="N620" s="5"/>
      <x:c r="O620" s="9"/>
      <x:c r="P620" s="9"/>
      <x:c r="Q620" s="9"/>
      <x:c r="R620" s="9"/>
      <x:c r="S620" s="9"/>
      <x:c r="T620" s="9"/>
      <x:c r="U620" s="9"/>
      <x:c r="V620" s="9"/>
      <x:c r="W620" s="9"/>
      <x:c r="X620" s="9"/>
      <x:c r="Y620" s="9"/>
      <x:c r="Z620" s="9"/>
    </x:row>
    <x:row r="621" ht="14.25" customHeight="1">
      <x:c r="M621" s="5"/>
      <x:c r="N621" s="5"/>
      <x:c r="O621" s="9"/>
      <x:c r="P621" s="9"/>
      <x:c r="Q621" s="9"/>
      <x:c r="R621" s="9"/>
      <x:c r="S621" s="9"/>
      <x:c r="T621" s="9"/>
      <x:c r="U621" s="9"/>
      <x:c r="V621" s="9"/>
      <x:c r="W621" s="9"/>
      <x:c r="X621" s="9"/>
      <x:c r="Y621" s="9"/>
      <x:c r="Z621" s="9"/>
    </x:row>
    <x:row r="622" ht="14.25" customHeight="1">
      <x:c r="M622" s="5"/>
      <x:c r="N622" s="5"/>
      <x:c r="O622" s="9"/>
      <x:c r="P622" s="9"/>
      <x:c r="Q622" s="9"/>
      <x:c r="R622" s="9"/>
      <x:c r="S622" s="9"/>
      <x:c r="T622" s="9"/>
      <x:c r="U622" s="9"/>
      <x:c r="V622" s="9"/>
      <x:c r="W622" s="9"/>
      <x:c r="X622" s="9"/>
      <x:c r="Y622" s="9"/>
      <x:c r="Z622" s="9"/>
    </x:row>
    <x:row r="623" ht="14.25" customHeight="1">
      <x:c r="M623" s="5"/>
      <x:c r="N623" s="5"/>
      <x:c r="O623" s="9"/>
      <x:c r="P623" s="9"/>
      <x:c r="Q623" s="9"/>
      <x:c r="R623" s="9"/>
      <x:c r="S623" s="9"/>
      <x:c r="T623" s="9"/>
      <x:c r="U623" s="9"/>
      <x:c r="V623" s="9"/>
      <x:c r="W623" s="9"/>
      <x:c r="X623" s="9"/>
      <x:c r="Y623" s="9"/>
      <x:c r="Z623" s="9"/>
    </x:row>
    <x:row r="624" ht="14.25" customHeight="1">
      <x:c r="M624" s="5"/>
      <x:c r="N624" s="5"/>
      <x:c r="O624" s="9"/>
      <x:c r="P624" s="9"/>
      <x:c r="Q624" s="9"/>
      <x:c r="R624" s="9"/>
      <x:c r="S624" s="9"/>
      <x:c r="T624" s="9"/>
      <x:c r="U624" s="9"/>
      <x:c r="V624" s="9"/>
      <x:c r="W624" s="9"/>
      <x:c r="X624" s="9"/>
      <x:c r="Y624" s="9"/>
      <x:c r="Z624" s="9"/>
    </x:row>
    <x:row r="625" ht="14.25" customHeight="1">
      <x:c r="M625" s="5"/>
      <x:c r="N625" s="5"/>
      <x:c r="O625" s="9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</x:row>
    <x:row r="626" ht="14.25" customHeight="1">
      <x:c r="M626" s="5"/>
      <x:c r="N626" s="5"/>
      <x:c r="O626" s="9"/>
      <x:c r="P626" s="9"/>
      <x:c r="Q626" s="9"/>
      <x:c r="R626" s="9"/>
      <x:c r="S626" s="9"/>
      <x:c r="T626" s="9"/>
      <x:c r="U626" s="9"/>
      <x:c r="V626" s="9"/>
      <x:c r="W626" s="9"/>
      <x:c r="X626" s="9"/>
      <x:c r="Y626" s="9"/>
      <x:c r="Z626" s="9"/>
    </x:row>
    <x:row r="627" ht="14.25" customHeight="1">
      <x:c r="M627" s="5"/>
      <x:c r="N627" s="5"/>
      <x:c r="O627" s="9"/>
      <x:c r="P627" s="9"/>
      <x:c r="Q627" s="9"/>
      <x:c r="R627" s="9"/>
      <x:c r="S627" s="9"/>
      <x:c r="T627" s="9"/>
      <x:c r="U627" s="9"/>
      <x:c r="V627" s="9"/>
      <x:c r="W627" s="9"/>
      <x:c r="X627" s="9"/>
      <x:c r="Y627" s="9"/>
      <x:c r="Z627" s="9"/>
    </x:row>
    <x:row r="628" ht="14.25" customHeight="1">
      <x:c r="M628" s="5"/>
      <x:c r="N628" s="5"/>
      <x:c r="O628" s="9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</x:row>
    <x:row r="629" ht="14.25" customHeight="1">
      <x:c r="M629" s="5"/>
      <x:c r="N629" s="5"/>
      <x:c r="O629" s="9"/>
      <x:c r="P629" s="9"/>
      <x:c r="Q629" s="9"/>
      <x:c r="R629" s="9"/>
      <x:c r="S629" s="9"/>
      <x:c r="T629" s="9"/>
      <x:c r="U629" s="9"/>
      <x:c r="V629" s="9"/>
      <x:c r="W629" s="9"/>
      <x:c r="X629" s="9"/>
      <x:c r="Y629" s="9"/>
      <x:c r="Z629" s="9"/>
    </x:row>
    <x:row r="630" ht="14.25" customHeight="1">
      <x:c r="M630" s="5"/>
      <x:c r="N630" s="5"/>
      <x:c r="O630" s="9"/>
      <x:c r="P630" s="9"/>
      <x:c r="Q630" s="9"/>
      <x:c r="R630" s="9"/>
      <x:c r="S630" s="9"/>
      <x:c r="T630" s="9"/>
      <x:c r="U630" s="9"/>
      <x:c r="V630" s="9"/>
      <x:c r="W630" s="9"/>
      <x:c r="X630" s="9"/>
      <x:c r="Y630" s="9"/>
      <x:c r="Z630" s="9"/>
    </x:row>
    <x:row r="631" ht="14.25" customHeight="1">
      <x:c r="M631" s="5"/>
      <x:c r="N631" s="5"/>
      <x:c r="O631" s="9"/>
      <x:c r="P631" s="9"/>
      <x:c r="Q631" s="9"/>
      <x:c r="R631" s="9"/>
      <x:c r="S631" s="9"/>
      <x:c r="T631" s="9"/>
      <x:c r="U631" s="9"/>
      <x:c r="V631" s="9"/>
      <x:c r="W631" s="9"/>
      <x:c r="X631" s="9"/>
      <x:c r="Y631" s="9"/>
      <x:c r="Z631" s="9"/>
    </x:row>
    <x:row r="632" ht="14.25" customHeight="1">
      <x:c r="M632" s="5"/>
      <x:c r="N632" s="5"/>
      <x:c r="O632" s="9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</x:row>
    <x:row r="633" ht="14.25" customHeight="1">
      <x:c r="M633" s="5"/>
      <x:c r="N633" s="5"/>
      <x:c r="O633" s="9"/>
      <x:c r="P633" s="9"/>
      <x:c r="Q633" s="9"/>
      <x:c r="R633" s="9"/>
      <x:c r="S633" s="9"/>
      <x:c r="T633" s="9"/>
      <x:c r="U633" s="9"/>
      <x:c r="V633" s="9"/>
      <x:c r="W633" s="9"/>
      <x:c r="X633" s="9"/>
      <x:c r="Y633" s="9"/>
      <x:c r="Z633" s="9"/>
    </x:row>
    <x:row r="634" ht="14.25" customHeight="1">
      <x:c r="M634" s="5"/>
      <x:c r="N634" s="5"/>
      <x:c r="O634" s="9"/>
      <x:c r="P634" s="9"/>
      <x:c r="Q634" s="9"/>
      <x:c r="R634" s="9"/>
      <x:c r="S634" s="9"/>
      <x:c r="T634" s="9"/>
      <x:c r="U634" s="9"/>
      <x:c r="V634" s="9"/>
      <x:c r="W634" s="9"/>
      <x:c r="X634" s="9"/>
      <x:c r="Y634" s="9"/>
      <x:c r="Z634" s="9"/>
    </x:row>
    <x:row r="635" ht="14.25" customHeight="1">
      <x:c r="M635" s="5"/>
      <x:c r="N635" s="5"/>
      <x:c r="O635" s="9"/>
      <x:c r="P635" s="9"/>
      <x:c r="Q635" s="9"/>
      <x:c r="R635" s="9"/>
      <x:c r="S635" s="9"/>
      <x:c r="T635" s="9"/>
      <x:c r="U635" s="9"/>
      <x:c r="V635" s="9"/>
      <x:c r="W635" s="9"/>
      <x:c r="X635" s="9"/>
      <x:c r="Y635" s="9"/>
      <x:c r="Z635" s="9"/>
    </x:row>
    <x:row r="636" ht="14.25" customHeight="1">
      <x:c r="M636" s="5"/>
      <x:c r="N636" s="5"/>
      <x:c r="O636" s="9"/>
      <x:c r="P636" s="9"/>
      <x:c r="Q636" s="9"/>
      <x:c r="R636" s="9"/>
      <x:c r="S636" s="9"/>
      <x:c r="T636" s="9"/>
      <x:c r="U636" s="9"/>
      <x:c r="V636" s="9"/>
      <x:c r="W636" s="9"/>
      <x:c r="X636" s="9"/>
      <x:c r="Y636" s="9"/>
      <x:c r="Z636" s="9"/>
    </x:row>
    <x:row r="637" ht="14.25" customHeight="1">
      <x:c r="M637" s="5"/>
      <x:c r="N637" s="5"/>
      <x:c r="O637" s="9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</x:row>
    <x:row r="638" ht="14.25" customHeight="1">
      <x:c r="M638" s="5"/>
      <x:c r="N638" s="5"/>
      <x:c r="O638" s="9"/>
      <x:c r="P638" s="9"/>
      <x:c r="Q638" s="9"/>
      <x:c r="R638" s="9"/>
      <x:c r="S638" s="9"/>
      <x:c r="T638" s="9"/>
      <x:c r="U638" s="9"/>
      <x:c r="V638" s="9"/>
      <x:c r="W638" s="9"/>
      <x:c r="X638" s="9"/>
      <x:c r="Y638" s="9"/>
      <x:c r="Z638" s="9"/>
    </x:row>
    <x:row r="639" ht="14.25" customHeight="1">
      <x:c r="M639" s="5"/>
      <x:c r="N639" s="5"/>
      <x:c r="O639" s="9"/>
      <x:c r="P639" s="9"/>
      <x:c r="Q639" s="9"/>
      <x:c r="R639" s="9"/>
      <x:c r="S639" s="9"/>
      <x:c r="T639" s="9"/>
      <x:c r="U639" s="9"/>
      <x:c r="V639" s="9"/>
      <x:c r="W639" s="9"/>
      <x:c r="X639" s="9"/>
      <x:c r="Y639" s="9"/>
      <x:c r="Z639" s="9"/>
    </x:row>
    <x:row r="640" ht="14.25" customHeight="1">
      <x:c r="M640" s="5"/>
      <x:c r="N640" s="5"/>
      <x:c r="O640" s="9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</x:row>
    <x:row r="641" ht="14.25" customHeight="1">
      <x:c r="M641" s="5"/>
      <x:c r="N641" s="5"/>
      <x:c r="O641" s="9"/>
      <x:c r="P641" s="9"/>
      <x:c r="Q641" s="9"/>
      <x:c r="R641" s="9"/>
      <x:c r="S641" s="9"/>
      <x:c r="T641" s="9"/>
      <x:c r="U641" s="9"/>
      <x:c r="V641" s="9"/>
      <x:c r="W641" s="9"/>
      <x:c r="X641" s="9"/>
      <x:c r="Y641" s="9"/>
      <x:c r="Z641" s="9"/>
    </x:row>
    <x:row r="642" ht="14.25" customHeight="1">
      <x:c r="M642" s="5"/>
      <x:c r="N642" s="5"/>
      <x:c r="O642" s="9"/>
      <x:c r="P642" s="9"/>
      <x:c r="Q642" s="9"/>
      <x:c r="R642" s="9"/>
      <x:c r="S642" s="9"/>
      <x:c r="T642" s="9"/>
      <x:c r="U642" s="9"/>
      <x:c r="V642" s="9"/>
      <x:c r="W642" s="9"/>
      <x:c r="X642" s="9"/>
      <x:c r="Y642" s="9"/>
      <x:c r="Z642" s="9"/>
    </x:row>
    <x:row r="643" ht="14.25" customHeight="1">
      <x:c r="M643" s="5"/>
      <x:c r="N643" s="5"/>
      <x:c r="O643" s="9"/>
      <x:c r="P643" s="9"/>
      <x:c r="Q643" s="9"/>
      <x:c r="R643" s="9"/>
      <x:c r="S643" s="9"/>
      <x:c r="T643" s="9"/>
      <x:c r="U643" s="9"/>
      <x:c r="V643" s="9"/>
      <x:c r="W643" s="9"/>
      <x:c r="X643" s="9"/>
      <x:c r="Y643" s="9"/>
      <x:c r="Z643" s="9"/>
    </x:row>
    <x:row r="644" ht="14.25" customHeight="1">
      <x:c r="M644" s="5"/>
      <x:c r="N644" s="5"/>
      <x:c r="O644" s="9"/>
      <x:c r="P644" s="9"/>
      <x:c r="Q644" s="9"/>
      <x:c r="R644" s="9"/>
      <x:c r="S644" s="9"/>
      <x:c r="T644" s="9"/>
      <x:c r="U644" s="9"/>
      <x:c r="V644" s="9"/>
      <x:c r="W644" s="9"/>
      <x:c r="X644" s="9"/>
      <x:c r="Y644" s="9"/>
      <x:c r="Z644" s="9"/>
    </x:row>
    <x:row r="645" ht="14.25" customHeight="1">
      <x:c r="M645" s="5"/>
      <x:c r="N645" s="5"/>
      <x:c r="O645" s="9"/>
      <x:c r="P645" s="9"/>
      <x:c r="Q645" s="9"/>
      <x:c r="R645" s="9"/>
      <x:c r="S645" s="9"/>
      <x:c r="T645" s="9"/>
      <x:c r="U645" s="9"/>
      <x:c r="V645" s="9"/>
      <x:c r="W645" s="9"/>
      <x:c r="X645" s="9"/>
      <x:c r="Y645" s="9"/>
      <x:c r="Z645" s="9"/>
    </x:row>
    <x:row r="646" ht="14.25" customHeight="1">
      <x:c r="M646" s="5"/>
      <x:c r="N646" s="5"/>
      <x:c r="O646" s="9"/>
      <x:c r="P646" s="9"/>
      <x:c r="Q646" s="9"/>
      <x:c r="R646" s="9"/>
      <x:c r="S646" s="9"/>
      <x:c r="T646" s="9"/>
      <x:c r="U646" s="9"/>
      <x:c r="V646" s="9"/>
      <x:c r="W646" s="9"/>
      <x:c r="X646" s="9"/>
      <x:c r="Y646" s="9"/>
      <x:c r="Z646" s="9"/>
    </x:row>
    <x:row r="647" ht="14.25" customHeight="1">
      <x:c r="M647" s="5"/>
      <x:c r="N647" s="5"/>
      <x:c r="O647" s="9"/>
      <x:c r="P647" s="9"/>
      <x:c r="Q647" s="9"/>
      <x:c r="R647" s="9"/>
      <x:c r="S647" s="9"/>
      <x:c r="T647" s="9"/>
      <x:c r="U647" s="9"/>
      <x:c r="V647" s="9"/>
      <x:c r="W647" s="9"/>
      <x:c r="X647" s="9"/>
      <x:c r="Y647" s="9"/>
      <x:c r="Z647" s="9"/>
    </x:row>
    <x:row r="648" ht="14.25" customHeight="1">
      <x:c r="M648" s="5"/>
      <x:c r="N648" s="5"/>
      <x:c r="O648" s="9"/>
      <x:c r="P648" s="9"/>
      <x:c r="Q648" s="9"/>
      <x:c r="R648" s="9"/>
      <x:c r="S648" s="9"/>
      <x:c r="T648" s="9"/>
      <x:c r="U648" s="9"/>
      <x:c r="V648" s="9"/>
      <x:c r="W648" s="9"/>
      <x:c r="X648" s="9"/>
      <x:c r="Y648" s="9"/>
      <x:c r="Z648" s="9"/>
    </x:row>
    <x:row r="649" ht="14.25" customHeight="1">
      <x:c r="M649" s="5"/>
      <x:c r="N649" s="5"/>
      <x:c r="O649" s="9"/>
      <x:c r="P649" s="9"/>
      <x:c r="Q649" s="9"/>
      <x:c r="R649" s="9"/>
      <x:c r="S649" s="9"/>
      <x:c r="T649" s="9"/>
      <x:c r="U649" s="9"/>
      <x:c r="V649" s="9"/>
      <x:c r="W649" s="9"/>
      <x:c r="X649" s="9"/>
      <x:c r="Y649" s="9"/>
      <x:c r="Z649" s="9"/>
    </x:row>
    <x:row r="650" ht="14.25" customHeight="1">
      <x:c r="M650" s="5"/>
      <x:c r="N650" s="5"/>
      <x:c r="O650" s="9"/>
      <x:c r="P650" s="9"/>
      <x:c r="Q650" s="9"/>
      <x:c r="R650" s="9"/>
      <x:c r="S650" s="9"/>
      <x:c r="T650" s="9"/>
      <x:c r="U650" s="9"/>
      <x:c r="V650" s="9"/>
      <x:c r="W650" s="9"/>
      <x:c r="X650" s="9"/>
      <x:c r="Y650" s="9"/>
      <x:c r="Z650" s="9"/>
    </x:row>
    <x:row r="651" ht="14.25" customHeight="1">
      <x:c r="M651" s="5"/>
      <x:c r="N651" s="5"/>
      <x:c r="O651" s="9"/>
      <x:c r="P651" s="9"/>
      <x:c r="Q651" s="9"/>
      <x:c r="R651" s="9"/>
      <x:c r="S651" s="9"/>
      <x:c r="T651" s="9"/>
      <x:c r="U651" s="9"/>
      <x:c r="V651" s="9"/>
      <x:c r="W651" s="9"/>
      <x:c r="X651" s="9"/>
      <x:c r="Y651" s="9"/>
      <x:c r="Z651" s="9"/>
    </x:row>
    <x:row r="652" ht="14.25" customHeight="1">
      <x:c r="M652" s="5"/>
      <x:c r="N652" s="5"/>
      <x:c r="O652" s="9"/>
      <x:c r="P652" s="9"/>
      <x:c r="Q652" s="9"/>
      <x:c r="R652" s="9"/>
      <x:c r="S652" s="9"/>
      <x:c r="T652" s="9"/>
      <x:c r="U652" s="9"/>
      <x:c r="V652" s="9"/>
      <x:c r="W652" s="9"/>
      <x:c r="X652" s="9"/>
      <x:c r="Y652" s="9"/>
      <x:c r="Z652" s="9"/>
    </x:row>
    <x:row r="653" ht="14.25" customHeight="1">
      <x:c r="M653" s="5"/>
      <x:c r="N653" s="5"/>
      <x:c r="O653" s="9"/>
      <x:c r="P653" s="9"/>
      <x:c r="Q653" s="9"/>
      <x:c r="R653" s="9"/>
      <x:c r="S653" s="9"/>
      <x:c r="T653" s="9"/>
      <x:c r="U653" s="9"/>
      <x:c r="V653" s="9"/>
      <x:c r="W653" s="9"/>
      <x:c r="X653" s="9"/>
      <x:c r="Y653" s="9"/>
      <x:c r="Z653" s="9"/>
    </x:row>
    <x:row r="654" ht="14.25" customHeight="1">
      <x:c r="M654" s="5"/>
      <x:c r="N654" s="5"/>
      <x:c r="O654" s="9"/>
      <x:c r="P654" s="9"/>
      <x:c r="Q654" s="9"/>
      <x:c r="R654" s="9"/>
      <x:c r="S654" s="9"/>
      <x:c r="T654" s="9"/>
      <x:c r="U654" s="9"/>
      <x:c r="V654" s="9"/>
      <x:c r="W654" s="9"/>
      <x:c r="X654" s="9"/>
      <x:c r="Y654" s="9"/>
      <x:c r="Z654" s="9"/>
    </x:row>
    <x:row r="655" ht="14.25" customHeight="1">
      <x:c r="M655" s="5"/>
      <x:c r="N655" s="5"/>
      <x:c r="O655" s="9"/>
      <x:c r="P655" s="9"/>
      <x:c r="Q655" s="9"/>
      <x:c r="R655" s="9"/>
      <x:c r="S655" s="9"/>
      <x:c r="T655" s="9"/>
      <x:c r="U655" s="9"/>
      <x:c r="V655" s="9"/>
      <x:c r="W655" s="9"/>
      <x:c r="X655" s="9"/>
      <x:c r="Y655" s="9"/>
      <x:c r="Z655" s="9"/>
    </x:row>
    <x:row r="656" ht="14.25" customHeight="1">
      <x:c r="M656" s="5"/>
      <x:c r="N656" s="5"/>
      <x:c r="O656" s="9"/>
      <x:c r="P656" s="9"/>
      <x:c r="Q656" s="9"/>
      <x:c r="R656" s="9"/>
      <x:c r="S656" s="9"/>
      <x:c r="T656" s="9"/>
      <x:c r="U656" s="9"/>
      <x:c r="V656" s="9"/>
      <x:c r="W656" s="9"/>
      <x:c r="X656" s="9"/>
      <x:c r="Y656" s="9"/>
      <x:c r="Z656" s="9"/>
    </x:row>
    <x:row r="657" ht="14.25" customHeight="1">
      <x:c r="M657" s="5"/>
      <x:c r="N657" s="5"/>
      <x:c r="O657" s="9"/>
      <x:c r="P657" s="9"/>
      <x:c r="Q657" s="9"/>
      <x:c r="R657" s="9"/>
      <x:c r="S657" s="9"/>
      <x:c r="T657" s="9"/>
      <x:c r="U657" s="9"/>
      <x:c r="V657" s="9"/>
      <x:c r="W657" s="9"/>
      <x:c r="X657" s="9"/>
      <x:c r="Y657" s="9"/>
      <x:c r="Z657" s="9"/>
    </x:row>
    <x:row r="658" ht="14.25" customHeight="1">
      <x:c r="M658" s="5"/>
      <x:c r="N658" s="5"/>
      <x:c r="O658" s="9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</x:row>
    <x:row r="659" ht="14.25" customHeight="1">
      <x:c r="M659" s="5"/>
      <x:c r="N659" s="5"/>
      <x:c r="O659" s="9"/>
      <x:c r="P659" s="9"/>
      <x:c r="Q659" s="9"/>
      <x:c r="R659" s="9"/>
      <x:c r="S659" s="9"/>
      <x:c r="T659" s="9"/>
      <x:c r="U659" s="9"/>
      <x:c r="V659" s="9"/>
      <x:c r="W659" s="9"/>
      <x:c r="X659" s="9"/>
      <x:c r="Y659" s="9"/>
      <x:c r="Z659" s="9"/>
    </x:row>
    <x:row r="660" ht="14.25" customHeight="1">
      <x:c r="M660" s="5"/>
      <x:c r="N660" s="5"/>
      <x:c r="O660" s="9"/>
      <x:c r="P660" s="9"/>
      <x:c r="Q660" s="9"/>
      <x:c r="R660" s="9"/>
      <x:c r="S660" s="9"/>
      <x:c r="T660" s="9"/>
      <x:c r="U660" s="9"/>
      <x:c r="V660" s="9"/>
      <x:c r="W660" s="9"/>
      <x:c r="X660" s="9"/>
      <x:c r="Y660" s="9"/>
      <x:c r="Z660" s="9"/>
    </x:row>
    <x:row r="661" ht="14.25" customHeight="1">
      <x:c r="M661" s="5"/>
      <x:c r="N661" s="5"/>
      <x:c r="O661" s="9"/>
      <x:c r="P661" s="9"/>
      <x:c r="Q661" s="9"/>
      <x:c r="R661" s="9"/>
      <x:c r="S661" s="9"/>
      <x:c r="T661" s="9"/>
      <x:c r="U661" s="9"/>
      <x:c r="V661" s="9"/>
      <x:c r="W661" s="9"/>
      <x:c r="X661" s="9"/>
      <x:c r="Y661" s="9"/>
      <x:c r="Z661" s="9"/>
    </x:row>
    <x:row r="662" ht="14.25" customHeight="1">
      <x:c r="M662" s="5"/>
      <x:c r="N662" s="5"/>
      <x:c r="O662" s="9"/>
      <x:c r="P662" s="9"/>
      <x:c r="Q662" s="9"/>
      <x:c r="R662" s="9"/>
      <x:c r="S662" s="9"/>
      <x:c r="T662" s="9"/>
      <x:c r="U662" s="9"/>
      <x:c r="V662" s="9"/>
      <x:c r="W662" s="9"/>
      <x:c r="X662" s="9"/>
      <x:c r="Y662" s="9"/>
      <x:c r="Z662" s="9"/>
    </x:row>
    <x:row r="663" ht="14.25" customHeight="1">
      <x:c r="M663" s="5"/>
      <x:c r="N663" s="5"/>
      <x:c r="O663" s="9"/>
      <x:c r="P663" s="9"/>
      <x:c r="Q663" s="9"/>
      <x:c r="R663" s="9"/>
      <x:c r="S663" s="9"/>
      <x:c r="T663" s="9"/>
      <x:c r="U663" s="9"/>
      <x:c r="V663" s="9"/>
      <x:c r="W663" s="9"/>
      <x:c r="X663" s="9"/>
      <x:c r="Y663" s="9"/>
      <x:c r="Z663" s="9"/>
    </x:row>
    <x:row r="664" ht="14.25" customHeight="1">
      <x:c r="M664" s="5"/>
      <x:c r="N664" s="5"/>
      <x:c r="O664" s="9"/>
      <x:c r="P664" s="9"/>
      <x:c r="Q664" s="9"/>
      <x:c r="R664" s="9"/>
      <x:c r="S664" s="9"/>
      <x:c r="T664" s="9"/>
      <x:c r="U664" s="9"/>
      <x:c r="V664" s="9"/>
      <x:c r="W664" s="9"/>
      <x:c r="X664" s="9"/>
      <x:c r="Y664" s="9"/>
      <x:c r="Z664" s="9"/>
    </x:row>
    <x:row r="665" ht="14.25" customHeight="1">
      <x:c r="M665" s="5"/>
      <x:c r="N665" s="5"/>
      <x:c r="O665" s="9"/>
      <x:c r="P665" s="9"/>
      <x:c r="Q665" s="9"/>
      <x:c r="R665" s="9"/>
      <x:c r="S665" s="9"/>
      <x:c r="T665" s="9"/>
      <x:c r="U665" s="9"/>
      <x:c r="V665" s="9"/>
      <x:c r="W665" s="9"/>
      <x:c r="X665" s="9"/>
      <x:c r="Y665" s="9"/>
      <x:c r="Z665" s="9"/>
    </x:row>
    <x:row r="666" ht="14.25" customHeight="1">
      <x:c r="M666" s="5"/>
      <x:c r="N666" s="5"/>
      <x:c r="O666" s="9"/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</x:row>
    <x:row r="667" ht="14.25" customHeight="1">
      <x:c r="M667" s="5"/>
      <x:c r="N667" s="5"/>
      <x:c r="O667" s="9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</x:row>
    <x:row r="668" ht="14.25" customHeight="1">
      <x:c r="M668" s="5"/>
      <x:c r="N668" s="5"/>
      <x:c r="O668" s="9"/>
      <x:c r="P668" s="9"/>
      <x:c r="Q668" s="9"/>
      <x:c r="R668" s="9"/>
      <x:c r="S668" s="9"/>
      <x:c r="T668" s="9"/>
      <x:c r="U668" s="9"/>
      <x:c r="V668" s="9"/>
      <x:c r="W668" s="9"/>
      <x:c r="X668" s="9"/>
      <x:c r="Y668" s="9"/>
      <x:c r="Z668" s="9"/>
    </x:row>
    <x:row r="669" ht="14.25" customHeight="1">
      <x:c r="M669" s="5"/>
      <x:c r="N669" s="5"/>
      <x:c r="O669" s="9"/>
      <x:c r="P669" s="9"/>
      <x:c r="Q669" s="9"/>
      <x:c r="R669" s="9"/>
      <x:c r="S669" s="9"/>
      <x:c r="T669" s="9"/>
      <x:c r="U669" s="9"/>
      <x:c r="V669" s="9"/>
      <x:c r="W669" s="9"/>
      <x:c r="X669" s="9"/>
      <x:c r="Y669" s="9"/>
      <x:c r="Z669" s="9"/>
    </x:row>
    <x:row r="670" ht="14.25" customHeight="1">
      <x:c r="M670" s="5"/>
      <x:c r="N670" s="5"/>
      <x:c r="O670" s="9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</x:row>
    <x:row r="671" ht="14.25" customHeight="1">
      <x:c r="M671" s="5"/>
      <x:c r="N671" s="5"/>
      <x:c r="O671" s="9"/>
      <x:c r="P671" s="9"/>
      <x:c r="Q671" s="9"/>
      <x:c r="R671" s="9"/>
      <x:c r="S671" s="9"/>
      <x:c r="T671" s="9"/>
      <x:c r="U671" s="9"/>
      <x:c r="V671" s="9"/>
      <x:c r="W671" s="9"/>
      <x:c r="X671" s="9"/>
      <x:c r="Y671" s="9"/>
      <x:c r="Z671" s="9"/>
    </x:row>
    <x:row r="672" ht="14.25" customHeight="1">
      <x:c r="M672" s="5"/>
      <x:c r="N672" s="5"/>
      <x:c r="O672" s="9"/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</x:row>
    <x:row r="673" ht="14.25" customHeight="1">
      <x:c r="M673" s="5"/>
      <x:c r="N673" s="5"/>
      <x:c r="O673" s="9"/>
      <x:c r="P673" s="9"/>
      <x:c r="Q673" s="9"/>
      <x:c r="R673" s="9"/>
      <x:c r="S673" s="9"/>
      <x:c r="T673" s="9"/>
      <x:c r="U673" s="9"/>
      <x:c r="V673" s="9"/>
      <x:c r="W673" s="9"/>
      <x:c r="X673" s="9"/>
      <x:c r="Y673" s="9"/>
      <x:c r="Z673" s="9"/>
    </x:row>
    <x:row r="674" ht="14.25" customHeight="1">
      <x:c r="M674" s="5"/>
      <x:c r="N674" s="5"/>
      <x:c r="O674" s="9"/>
      <x:c r="P674" s="9"/>
      <x:c r="Q674" s="9"/>
      <x:c r="R674" s="9"/>
      <x:c r="S674" s="9"/>
      <x:c r="T674" s="9"/>
      <x:c r="U674" s="9"/>
      <x:c r="V674" s="9"/>
      <x:c r="W674" s="9"/>
      <x:c r="X674" s="9"/>
      <x:c r="Y674" s="9"/>
      <x:c r="Z674" s="9"/>
    </x:row>
    <x:row r="675" ht="14.25" customHeight="1">
      <x:c r="M675" s="5"/>
      <x:c r="N675" s="5"/>
      <x:c r="O675" s="9"/>
      <x:c r="P675" s="9"/>
      <x:c r="Q675" s="9"/>
      <x:c r="R675" s="9"/>
      <x:c r="S675" s="9"/>
      <x:c r="T675" s="9"/>
      <x:c r="U675" s="9"/>
      <x:c r="V675" s="9"/>
      <x:c r="W675" s="9"/>
      <x:c r="X675" s="9"/>
      <x:c r="Y675" s="9"/>
      <x:c r="Z675" s="9"/>
    </x:row>
    <x:row r="676" ht="14.25" customHeight="1">
      <x:c r="M676" s="5"/>
      <x:c r="N676" s="5"/>
      <x:c r="O676" s="9"/>
      <x:c r="P676" s="9"/>
      <x:c r="Q676" s="9"/>
      <x:c r="R676" s="9"/>
      <x:c r="S676" s="9"/>
      <x:c r="T676" s="9"/>
      <x:c r="U676" s="9"/>
      <x:c r="V676" s="9"/>
      <x:c r="W676" s="9"/>
      <x:c r="X676" s="9"/>
      <x:c r="Y676" s="9"/>
      <x:c r="Z676" s="9"/>
    </x:row>
    <x:row r="677" ht="14.25" customHeight="1">
      <x:c r="M677" s="5"/>
      <x:c r="N677" s="5"/>
      <x:c r="O677" s="9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</x:row>
    <x:row r="678" ht="14.25" customHeight="1">
      <x:c r="M678" s="5"/>
      <x:c r="N678" s="5"/>
      <x:c r="O678" s="9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</x:row>
    <x:row r="679" ht="14.25" customHeight="1">
      <x:c r="M679" s="5"/>
      <x:c r="N679" s="5"/>
      <x:c r="O679" s="9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</x:row>
    <x:row r="680" ht="14.25" customHeight="1">
      <x:c r="M680" s="5"/>
      <x:c r="N680" s="5"/>
      <x:c r="O680" s="9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</x:row>
    <x:row r="681" ht="14.25" customHeight="1">
      <x:c r="M681" s="5"/>
      <x:c r="N681" s="5"/>
      <x:c r="O681" s="9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</x:row>
    <x:row r="682" ht="14.25" customHeight="1">
      <x:c r="M682" s="5"/>
      <x:c r="N682" s="5"/>
      <x:c r="O682" s="9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</x:row>
    <x:row r="683" ht="14.25" customHeight="1">
      <x:c r="M683" s="5"/>
      <x:c r="N683" s="5"/>
      <x:c r="O683" s="9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</x:row>
    <x:row r="684" ht="14.25" customHeight="1">
      <x:c r="M684" s="5"/>
      <x:c r="N684" s="5"/>
      <x:c r="O684" s="9"/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</x:row>
    <x:row r="685" ht="14.25" customHeight="1">
      <x:c r="M685" s="5"/>
      <x:c r="N685" s="5"/>
      <x:c r="O685" s="9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</x:row>
    <x:row r="686" ht="14.25" customHeight="1">
      <x:c r="M686" s="5"/>
      <x:c r="N686" s="5"/>
      <x:c r="O686" s="9"/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</x:row>
    <x:row r="687" ht="14.25" customHeight="1">
      <x:c r="M687" s="5"/>
      <x:c r="N687" s="5"/>
      <x:c r="O687" s="9"/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</x:row>
    <x:row r="688" ht="14.25" customHeight="1">
      <x:c r="M688" s="5"/>
      <x:c r="N688" s="5"/>
      <x:c r="O688" s="9"/>
      <x:c r="P688" s="9"/>
      <x:c r="Q688" s="9"/>
      <x:c r="R688" s="9"/>
      <x:c r="S688" s="9"/>
      <x:c r="T688" s="9"/>
      <x:c r="U688" s="9"/>
      <x:c r="V688" s="9"/>
      <x:c r="W688" s="9"/>
      <x:c r="X688" s="9"/>
      <x:c r="Y688" s="9"/>
      <x:c r="Z688" s="9"/>
    </x:row>
    <x:row r="689" ht="14.25" customHeight="1">
      <x:c r="M689" s="5"/>
      <x:c r="N689" s="5"/>
      <x:c r="O689" s="9"/>
      <x:c r="P689" s="9"/>
      <x:c r="Q689" s="9"/>
      <x:c r="R689" s="9"/>
      <x:c r="S689" s="9"/>
      <x:c r="T689" s="9"/>
      <x:c r="U689" s="9"/>
      <x:c r="V689" s="9"/>
      <x:c r="W689" s="9"/>
      <x:c r="X689" s="9"/>
      <x:c r="Y689" s="9"/>
      <x:c r="Z689" s="9"/>
    </x:row>
    <x:row r="690" ht="14.25" customHeight="1">
      <x:c r="M690" s="5"/>
      <x:c r="N690" s="5"/>
      <x:c r="O690" s="9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</x:row>
    <x:row r="691" ht="14.25" customHeight="1">
      <x:c r="M691" s="5"/>
      <x:c r="N691" s="5"/>
      <x:c r="O691" s="9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</x:row>
    <x:row r="692" ht="14.25" customHeight="1">
      <x:c r="M692" s="5"/>
      <x:c r="N692" s="5"/>
      <x:c r="O692" s="9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</x:row>
    <x:row r="693" ht="14.25" customHeight="1">
      <x:c r="M693" s="5"/>
      <x:c r="N693" s="5"/>
      <x:c r="O693" s="9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</x:row>
    <x:row r="694" ht="14.25" customHeight="1">
      <x:c r="M694" s="5"/>
      <x:c r="N694" s="5"/>
      <x:c r="O694" s="9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</x:row>
    <x:row r="695" ht="14.25" customHeight="1">
      <x:c r="M695" s="5"/>
      <x:c r="N695" s="5"/>
      <x:c r="O695" s="9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</x:row>
    <x:row r="696" ht="14.25" customHeight="1">
      <x:c r="M696" s="5"/>
      <x:c r="N696" s="5"/>
      <x:c r="O696" s="9"/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</x:row>
    <x:row r="697" ht="14.25" customHeight="1">
      <x:c r="M697" s="5"/>
      <x:c r="N697" s="5"/>
      <x:c r="O697" s="9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</x:row>
    <x:row r="698" ht="14.25" customHeight="1">
      <x:c r="M698" s="5"/>
      <x:c r="N698" s="5"/>
      <x:c r="O698" s="9"/>
      <x:c r="P698" s="9"/>
      <x:c r="Q698" s="9"/>
      <x:c r="R698" s="9"/>
      <x:c r="S698" s="9"/>
      <x:c r="T698" s="9"/>
      <x:c r="U698" s="9"/>
      <x:c r="V698" s="9"/>
      <x:c r="W698" s="9"/>
      <x:c r="X698" s="9"/>
      <x:c r="Y698" s="9"/>
      <x:c r="Z698" s="9"/>
    </x:row>
    <x:row r="699" ht="14.25" customHeight="1">
      <x:c r="M699" s="5"/>
      <x:c r="N699" s="5"/>
      <x:c r="O699" s="9"/>
      <x:c r="P699" s="9"/>
      <x:c r="Q699" s="9"/>
      <x:c r="R699" s="9"/>
      <x:c r="S699" s="9"/>
      <x:c r="T699" s="9"/>
      <x:c r="U699" s="9"/>
      <x:c r="V699" s="9"/>
      <x:c r="W699" s="9"/>
      <x:c r="X699" s="9"/>
      <x:c r="Y699" s="9"/>
      <x:c r="Z699" s="9"/>
    </x:row>
    <x:row r="700" ht="14.25" customHeight="1">
      <x:c r="M700" s="5"/>
      <x:c r="N700" s="5"/>
      <x:c r="O700" s="9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</x:row>
    <x:row r="701" ht="14.25" customHeight="1">
      <x:c r="M701" s="5"/>
      <x:c r="N701" s="5"/>
      <x:c r="O701" s="9"/>
      <x:c r="P701" s="9"/>
      <x:c r="Q701" s="9"/>
      <x:c r="R701" s="9"/>
      <x:c r="S701" s="9"/>
      <x:c r="T701" s="9"/>
      <x:c r="U701" s="9"/>
      <x:c r="V701" s="9"/>
      <x:c r="W701" s="9"/>
      <x:c r="X701" s="9"/>
      <x:c r="Y701" s="9"/>
      <x:c r="Z701" s="9"/>
    </x:row>
    <x:row r="702" ht="14.25" customHeight="1">
      <x:c r="M702" s="5"/>
      <x:c r="N702" s="5"/>
      <x:c r="O702" s="9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</x:row>
    <x:row r="703" ht="14.25" customHeight="1">
      <x:c r="M703" s="5"/>
      <x:c r="N703" s="5"/>
      <x:c r="O703" s="9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</x:row>
    <x:row r="704" ht="14.25" customHeight="1">
      <x:c r="M704" s="5"/>
      <x:c r="N704" s="5"/>
      <x:c r="O704" s="9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</x:row>
    <x:row r="705" ht="14.25" customHeight="1">
      <x:c r="M705" s="5"/>
      <x:c r="N705" s="5"/>
      <x:c r="O705" s="9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</x:row>
    <x:row r="706" ht="14.25" customHeight="1">
      <x:c r="M706" s="5"/>
      <x:c r="N706" s="5"/>
      <x:c r="O706" s="9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</x:row>
    <x:row r="707" ht="14.25" customHeight="1">
      <x:c r="M707" s="5"/>
      <x:c r="N707" s="5"/>
      <x:c r="O707" s="9"/>
      <x:c r="P707" s="9"/>
      <x:c r="Q707" s="9"/>
      <x:c r="R707" s="9"/>
      <x:c r="S707" s="9"/>
      <x:c r="T707" s="9"/>
      <x:c r="U707" s="9"/>
      <x:c r="V707" s="9"/>
      <x:c r="W707" s="9"/>
      <x:c r="X707" s="9"/>
      <x:c r="Y707" s="9"/>
      <x:c r="Z707" s="9"/>
    </x:row>
    <x:row r="708" ht="14.25" customHeight="1">
      <x:c r="M708" s="5"/>
      <x:c r="N708" s="5"/>
      <x:c r="O708" s="9"/>
      <x:c r="P708" s="9"/>
      <x:c r="Q708" s="9"/>
      <x:c r="R708" s="9"/>
      <x:c r="S708" s="9"/>
      <x:c r="T708" s="9"/>
      <x:c r="U708" s="9"/>
      <x:c r="V708" s="9"/>
      <x:c r="W708" s="9"/>
      <x:c r="X708" s="9"/>
      <x:c r="Y708" s="9"/>
      <x:c r="Z708" s="9"/>
    </x:row>
    <x:row r="709" ht="14.25" customHeight="1">
      <x:c r="M709" s="5"/>
      <x:c r="N709" s="5"/>
      <x:c r="O709" s="9"/>
      <x:c r="P709" s="9"/>
      <x:c r="Q709" s="9"/>
      <x:c r="R709" s="9"/>
      <x:c r="S709" s="9"/>
      <x:c r="T709" s="9"/>
      <x:c r="U709" s="9"/>
      <x:c r="V709" s="9"/>
      <x:c r="W709" s="9"/>
      <x:c r="X709" s="9"/>
      <x:c r="Y709" s="9"/>
      <x:c r="Z709" s="9"/>
    </x:row>
    <x:row r="710" ht="14.25" customHeight="1">
      <x:c r="M710" s="5"/>
      <x:c r="N710" s="5"/>
      <x:c r="O710" s="9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</x:row>
    <x:row r="711" ht="14.25" customHeight="1">
      <x:c r="M711" s="5"/>
      <x:c r="N711" s="5"/>
      <x:c r="O711" s="9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</x:row>
    <x:row r="712" ht="14.25" customHeight="1">
      <x:c r="M712" s="5"/>
      <x:c r="N712" s="5"/>
      <x:c r="O712" s="9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</x:row>
    <x:row r="713" ht="14.25" customHeight="1">
      <x:c r="M713" s="5"/>
      <x:c r="N713" s="5"/>
      <x:c r="O713" s="9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</x:row>
    <x:row r="714" ht="14.25" customHeight="1">
      <x:c r="M714" s="5"/>
      <x:c r="N714" s="5"/>
      <x:c r="O714" s="9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</x:row>
    <x:row r="715" ht="14.25" customHeight="1">
      <x:c r="M715" s="5"/>
      <x:c r="N715" s="5"/>
      <x:c r="O715" s="9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</x:row>
    <x:row r="716" ht="14.25" customHeight="1">
      <x:c r="M716" s="5"/>
      <x:c r="N716" s="5"/>
      <x:c r="O716" s="9"/>
      <x:c r="P716" s="9"/>
      <x:c r="Q716" s="9"/>
      <x:c r="R716" s="9"/>
      <x:c r="S716" s="9"/>
      <x:c r="T716" s="9"/>
      <x:c r="U716" s="9"/>
      <x:c r="V716" s="9"/>
      <x:c r="W716" s="9"/>
      <x:c r="X716" s="9"/>
      <x:c r="Y716" s="9"/>
      <x:c r="Z716" s="9"/>
    </x:row>
    <x:row r="717" ht="14.25" customHeight="1">
      <x:c r="M717" s="5"/>
      <x:c r="N717" s="5"/>
      <x:c r="O717" s="9"/>
      <x:c r="P717" s="9"/>
      <x:c r="Q717" s="9"/>
      <x:c r="R717" s="9"/>
      <x:c r="S717" s="9"/>
      <x:c r="T717" s="9"/>
      <x:c r="U717" s="9"/>
      <x:c r="V717" s="9"/>
      <x:c r="W717" s="9"/>
      <x:c r="X717" s="9"/>
      <x:c r="Y717" s="9"/>
      <x:c r="Z717" s="9"/>
    </x:row>
    <x:row r="718" ht="14.25" customHeight="1">
      <x:c r="M718" s="5"/>
      <x:c r="N718" s="5"/>
      <x:c r="O718" s="9"/>
      <x:c r="P718" s="9"/>
      <x:c r="Q718" s="9"/>
      <x:c r="R718" s="9"/>
      <x:c r="S718" s="9"/>
      <x:c r="T718" s="9"/>
      <x:c r="U718" s="9"/>
      <x:c r="V718" s="9"/>
      <x:c r="W718" s="9"/>
      <x:c r="X718" s="9"/>
      <x:c r="Y718" s="9"/>
      <x:c r="Z718" s="9"/>
    </x:row>
    <x:row r="719" ht="14.25" customHeight="1">
      <x:c r="M719" s="5"/>
      <x:c r="N719" s="5"/>
      <x:c r="O719" s="9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</x:row>
    <x:row r="720" ht="14.25" customHeight="1">
      <x:c r="M720" s="5"/>
      <x:c r="N720" s="5"/>
      <x:c r="O720" s="9"/>
      <x:c r="P720" s="9"/>
      <x:c r="Q720" s="9"/>
      <x:c r="R720" s="9"/>
      <x:c r="S720" s="9"/>
      <x:c r="T720" s="9"/>
      <x:c r="U720" s="9"/>
      <x:c r="V720" s="9"/>
      <x:c r="W720" s="9"/>
      <x:c r="X720" s="9"/>
      <x:c r="Y720" s="9"/>
      <x:c r="Z720" s="9"/>
    </x:row>
    <x:row r="721" ht="14.25" customHeight="1">
      <x:c r="M721" s="5"/>
      <x:c r="N721" s="5"/>
      <x:c r="O721" s="9"/>
      <x:c r="P721" s="9"/>
      <x:c r="Q721" s="9"/>
      <x:c r="R721" s="9"/>
      <x:c r="S721" s="9"/>
      <x:c r="T721" s="9"/>
      <x:c r="U721" s="9"/>
      <x:c r="V721" s="9"/>
      <x:c r="W721" s="9"/>
      <x:c r="X721" s="9"/>
      <x:c r="Y721" s="9"/>
      <x:c r="Z721" s="9"/>
    </x:row>
    <x:row r="722" ht="14.25" customHeight="1">
      <x:c r="M722" s="5"/>
      <x:c r="N722" s="5"/>
      <x:c r="O722" s="9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</x:row>
    <x:row r="723" ht="14.25" customHeight="1">
      <x:c r="M723" s="5"/>
      <x:c r="N723" s="5"/>
      <x:c r="O723" s="9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</x:row>
    <x:row r="724" ht="14.25" customHeight="1">
      <x:c r="M724" s="5"/>
      <x:c r="N724" s="5"/>
      <x:c r="O724" s="9"/>
      <x:c r="P724" s="9"/>
      <x:c r="Q724" s="9"/>
      <x:c r="R724" s="9"/>
      <x:c r="S724" s="9"/>
      <x:c r="T724" s="9"/>
      <x:c r="U724" s="9"/>
      <x:c r="V724" s="9"/>
      <x:c r="W724" s="9"/>
      <x:c r="X724" s="9"/>
      <x:c r="Y724" s="9"/>
      <x:c r="Z724" s="9"/>
    </x:row>
    <x:row r="725" ht="14.25" customHeight="1">
      <x:c r="M725" s="5"/>
      <x:c r="N725" s="5"/>
      <x:c r="O725" s="9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</x:row>
    <x:row r="726" ht="14.25" customHeight="1">
      <x:c r="M726" s="5"/>
      <x:c r="N726" s="5"/>
      <x:c r="O726" s="9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</x:row>
    <x:row r="727" ht="14.25" customHeight="1">
      <x:c r="M727" s="5"/>
      <x:c r="N727" s="5"/>
      <x:c r="O727" s="9"/>
      <x:c r="P727" s="9"/>
      <x:c r="Q727" s="9"/>
      <x:c r="R727" s="9"/>
      <x:c r="S727" s="9"/>
      <x:c r="T727" s="9"/>
      <x:c r="U727" s="9"/>
      <x:c r="V727" s="9"/>
      <x:c r="W727" s="9"/>
      <x:c r="X727" s="9"/>
      <x:c r="Y727" s="9"/>
      <x:c r="Z727" s="9"/>
    </x:row>
    <x:row r="728" ht="14.25" customHeight="1">
      <x:c r="M728" s="5"/>
      <x:c r="N728" s="5"/>
      <x:c r="O728" s="9"/>
      <x:c r="P728" s="9"/>
      <x:c r="Q728" s="9"/>
      <x:c r="R728" s="9"/>
      <x:c r="S728" s="9"/>
      <x:c r="T728" s="9"/>
      <x:c r="U728" s="9"/>
      <x:c r="V728" s="9"/>
      <x:c r="W728" s="9"/>
      <x:c r="X728" s="9"/>
      <x:c r="Y728" s="9"/>
      <x:c r="Z728" s="9"/>
    </x:row>
    <x:row r="729" ht="14.25" customHeight="1">
      <x:c r="M729" s="5"/>
      <x:c r="N729" s="5"/>
      <x:c r="O729" s="9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</x:row>
    <x:row r="730" ht="14.25" customHeight="1">
      <x:c r="M730" s="5"/>
      <x:c r="N730" s="5"/>
      <x:c r="O730" s="9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</x:row>
    <x:row r="731" ht="14.25" customHeight="1">
      <x:c r="M731" s="5"/>
      <x:c r="N731" s="5"/>
      <x:c r="O731" s="9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</x:row>
    <x:row r="732" ht="14.25" customHeight="1">
      <x:c r="M732" s="5"/>
      <x:c r="N732" s="5"/>
      <x:c r="O732" s="9"/>
      <x:c r="P732" s="9"/>
      <x:c r="Q732" s="9"/>
      <x:c r="R732" s="9"/>
      <x:c r="S732" s="9"/>
      <x:c r="T732" s="9"/>
      <x:c r="U732" s="9"/>
      <x:c r="V732" s="9"/>
      <x:c r="W732" s="9"/>
      <x:c r="X732" s="9"/>
      <x:c r="Y732" s="9"/>
      <x:c r="Z732" s="9"/>
    </x:row>
    <x:row r="733" ht="14.25" customHeight="1">
      <x:c r="M733" s="5"/>
      <x:c r="N733" s="5"/>
      <x:c r="O733" s="9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</x:row>
    <x:row r="734" ht="14.25" customHeight="1">
      <x:c r="M734" s="5"/>
      <x:c r="N734" s="5"/>
      <x:c r="O734" s="9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</x:row>
    <x:row r="735" ht="14.25" customHeight="1">
      <x:c r="M735" s="5"/>
      <x:c r="N735" s="5"/>
      <x:c r="O735" s="9"/>
      <x:c r="P735" s="9"/>
      <x:c r="Q735" s="9"/>
      <x:c r="R735" s="9"/>
      <x:c r="S735" s="9"/>
      <x:c r="T735" s="9"/>
      <x:c r="U735" s="9"/>
      <x:c r="V735" s="9"/>
      <x:c r="W735" s="9"/>
      <x:c r="X735" s="9"/>
      <x:c r="Y735" s="9"/>
      <x:c r="Z735" s="9"/>
    </x:row>
    <x:row r="736" ht="14.25" customHeight="1">
      <x:c r="M736" s="5"/>
      <x:c r="N736" s="5"/>
      <x:c r="O736" s="9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</x:row>
    <x:row r="737" ht="14.25" customHeight="1">
      <x:c r="M737" s="5"/>
      <x:c r="N737" s="5"/>
      <x:c r="O737" s="9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</x:row>
    <x:row r="738" ht="14.25" customHeight="1">
      <x:c r="M738" s="5"/>
      <x:c r="N738" s="5"/>
      <x:c r="O738" s="9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/>
    </x:row>
    <x:row r="739" ht="14.25" customHeight="1">
      <x:c r="M739" s="5"/>
      <x:c r="N739" s="5"/>
      <x:c r="O739" s="9"/>
      <x:c r="P739" s="9"/>
      <x:c r="Q739" s="9"/>
      <x:c r="R739" s="9"/>
      <x:c r="S739" s="9"/>
      <x:c r="T739" s="9"/>
      <x:c r="U739" s="9"/>
      <x:c r="V739" s="9"/>
      <x:c r="W739" s="9"/>
      <x:c r="X739" s="9"/>
      <x:c r="Y739" s="9"/>
      <x:c r="Z739" s="9"/>
    </x:row>
    <x:row r="740" ht="14.25" customHeight="1">
      <x:c r="M740" s="5"/>
      <x:c r="N740" s="5"/>
      <x:c r="O740" s="9"/>
      <x:c r="P740" s="9"/>
      <x:c r="Q740" s="9"/>
      <x:c r="R740" s="9"/>
      <x:c r="S740" s="9"/>
      <x:c r="T740" s="9"/>
      <x:c r="U740" s="9"/>
      <x:c r="V740" s="9"/>
      <x:c r="W740" s="9"/>
      <x:c r="X740" s="9"/>
      <x:c r="Y740" s="9"/>
      <x:c r="Z740" s="9"/>
    </x:row>
    <x:row r="741" ht="14.25" customHeight="1">
      <x:c r="M741" s="5"/>
      <x:c r="N741" s="5"/>
      <x:c r="O741" s="9"/>
      <x:c r="P741" s="9"/>
      <x:c r="Q741" s="9"/>
      <x:c r="R741" s="9"/>
      <x:c r="S741" s="9"/>
      <x:c r="T741" s="9"/>
      <x:c r="U741" s="9"/>
      <x:c r="V741" s="9"/>
      <x:c r="W741" s="9"/>
      <x:c r="X741" s="9"/>
      <x:c r="Y741" s="9"/>
      <x:c r="Z741" s="9"/>
    </x:row>
    <x:row r="742" ht="14.25" customHeight="1">
      <x:c r="M742" s="5"/>
      <x:c r="N742" s="5"/>
      <x:c r="O742" s="9"/>
      <x:c r="P742" s="9"/>
      <x:c r="Q742" s="9"/>
      <x:c r="R742" s="9"/>
      <x:c r="S742" s="9"/>
      <x:c r="T742" s="9"/>
      <x:c r="U742" s="9"/>
      <x:c r="V742" s="9"/>
      <x:c r="W742" s="9"/>
      <x:c r="X742" s="9"/>
      <x:c r="Y742" s="9"/>
      <x:c r="Z742" s="9"/>
    </x:row>
    <x:row r="743" ht="14.25" customHeight="1">
      <x:c r="M743" s="5"/>
      <x:c r="N743" s="5"/>
      <x:c r="O743" s="9"/>
      <x:c r="P743" s="9"/>
      <x:c r="Q743" s="9"/>
      <x:c r="R743" s="9"/>
      <x:c r="S743" s="9"/>
      <x:c r="T743" s="9"/>
      <x:c r="U743" s="9"/>
      <x:c r="V743" s="9"/>
      <x:c r="W743" s="9"/>
      <x:c r="X743" s="9"/>
      <x:c r="Y743" s="9"/>
      <x:c r="Z743" s="9"/>
    </x:row>
    <x:row r="744" ht="14.25" customHeight="1">
      <x:c r="M744" s="5"/>
      <x:c r="N744" s="5"/>
      <x:c r="O744" s="9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</x:row>
    <x:row r="745" ht="14.25" customHeight="1">
      <x:c r="M745" s="5"/>
      <x:c r="N745" s="5"/>
      <x:c r="O745" s="9"/>
      <x:c r="P745" s="9"/>
      <x:c r="Q745" s="9"/>
      <x:c r="R745" s="9"/>
      <x:c r="S745" s="9"/>
      <x:c r="T745" s="9"/>
      <x:c r="U745" s="9"/>
      <x:c r="V745" s="9"/>
      <x:c r="W745" s="9"/>
      <x:c r="X745" s="9"/>
      <x:c r="Y745" s="9"/>
      <x:c r="Z745" s="9"/>
    </x:row>
    <x:row r="746" ht="14.25" customHeight="1">
      <x:c r="M746" s="5"/>
      <x:c r="N746" s="5"/>
      <x:c r="O746" s="9"/>
      <x:c r="P746" s="9"/>
      <x:c r="Q746" s="9"/>
      <x:c r="R746" s="9"/>
      <x:c r="S746" s="9"/>
      <x:c r="T746" s="9"/>
      <x:c r="U746" s="9"/>
      <x:c r="V746" s="9"/>
      <x:c r="W746" s="9"/>
      <x:c r="X746" s="9"/>
      <x:c r="Y746" s="9"/>
      <x:c r="Z746" s="9"/>
    </x:row>
    <x:row r="747" ht="14.25" customHeight="1">
      <x:c r="M747" s="5"/>
      <x:c r="N747" s="5"/>
      <x:c r="O747" s="9"/>
      <x:c r="P747" s="9"/>
      <x:c r="Q747" s="9"/>
      <x:c r="R747" s="9"/>
      <x:c r="S747" s="9"/>
      <x:c r="T747" s="9"/>
      <x:c r="U747" s="9"/>
      <x:c r="V747" s="9"/>
      <x:c r="W747" s="9"/>
      <x:c r="X747" s="9"/>
      <x:c r="Y747" s="9"/>
      <x:c r="Z747" s="9"/>
    </x:row>
    <x:row r="748" ht="14.25" customHeight="1">
      <x:c r="M748" s="5"/>
      <x:c r="N748" s="5"/>
      <x:c r="O748" s="9"/>
      <x:c r="P748" s="9"/>
      <x:c r="Q748" s="9"/>
      <x:c r="R748" s="9"/>
      <x:c r="S748" s="9"/>
      <x:c r="T748" s="9"/>
      <x:c r="U748" s="9"/>
      <x:c r="V748" s="9"/>
      <x:c r="W748" s="9"/>
      <x:c r="X748" s="9"/>
      <x:c r="Y748" s="9"/>
      <x:c r="Z748" s="9"/>
    </x:row>
    <x:row r="749" ht="14.25" customHeight="1">
      <x:c r="M749" s="5"/>
      <x:c r="N749" s="5"/>
      <x:c r="O749" s="9"/>
      <x:c r="P749" s="9"/>
      <x:c r="Q749" s="9"/>
      <x:c r="R749" s="9"/>
      <x:c r="S749" s="9"/>
      <x:c r="T749" s="9"/>
      <x:c r="U749" s="9"/>
      <x:c r="V749" s="9"/>
      <x:c r="W749" s="9"/>
      <x:c r="X749" s="9"/>
      <x:c r="Y749" s="9"/>
      <x:c r="Z749" s="9"/>
    </x:row>
    <x:row r="750" ht="14.25" customHeight="1">
      <x:c r="M750" s="5"/>
      <x:c r="N750" s="5"/>
      <x:c r="O750" s="9"/>
      <x:c r="P750" s="9"/>
      <x:c r="Q750" s="9"/>
      <x:c r="R750" s="9"/>
      <x:c r="S750" s="9"/>
      <x:c r="T750" s="9"/>
      <x:c r="U750" s="9"/>
      <x:c r="V750" s="9"/>
      <x:c r="W750" s="9"/>
      <x:c r="X750" s="9"/>
      <x:c r="Y750" s="9"/>
      <x:c r="Z750" s="9"/>
    </x:row>
    <x:row r="751" ht="14.25" customHeight="1">
      <x:c r="M751" s="5"/>
      <x:c r="N751" s="5"/>
      <x:c r="O751" s="9"/>
      <x:c r="P751" s="9"/>
      <x:c r="Q751" s="9"/>
      <x:c r="R751" s="9"/>
      <x:c r="S751" s="9"/>
      <x:c r="T751" s="9"/>
      <x:c r="U751" s="9"/>
      <x:c r="V751" s="9"/>
      <x:c r="W751" s="9"/>
      <x:c r="X751" s="9"/>
      <x:c r="Y751" s="9"/>
      <x:c r="Z751" s="9"/>
    </x:row>
    <x:row r="752" ht="14.25" customHeight="1">
      <x:c r="M752" s="5"/>
      <x:c r="N752" s="5"/>
      <x:c r="O752" s="9"/>
      <x:c r="P752" s="9"/>
      <x:c r="Q752" s="9"/>
      <x:c r="R752" s="9"/>
      <x:c r="S752" s="9"/>
      <x:c r="T752" s="9"/>
      <x:c r="U752" s="9"/>
      <x:c r="V752" s="9"/>
      <x:c r="W752" s="9"/>
      <x:c r="X752" s="9"/>
      <x:c r="Y752" s="9"/>
      <x:c r="Z752" s="9"/>
    </x:row>
    <x:row r="753" ht="14.25" customHeight="1">
      <x:c r="M753" s="5"/>
      <x:c r="N753" s="5"/>
      <x:c r="O753" s="9"/>
      <x:c r="P753" s="9"/>
      <x:c r="Q753" s="9"/>
      <x:c r="R753" s="9"/>
      <x:c r="S753" s="9"/>
      <x:c r="T753" s="9"/>
      <x:c r="U753" s="9"/>
      <x:c r="V753" s="9"/>
      <x:c r="W753" s="9"/>
      <x:c r="X753" s="9"/>
      <x:c r="Y753" s="9"/>
      <x:c r="Z753" s="9"/>
    </x:row>
    <x:row r="754" ht="14.25" customHeight="1">
      <x:c r="M754" s="5"/>
      <x:c r="N754" s="5"/>
      <x:c r="O754" s="9"/>
      <x:c r="P754" s="9"/>
      <x:c r="Q754" s="9"/>
      <x:c r="R754" s="9"/>
      <x:c r="S754" s="9"/>
      <x:c r="T754" s="9"/>
      <x:c r="U754" s="9"/>
      <x:c r="V754" s="9"/>
      <x:c r="W754" s="9"/>
      <x:c r="X754" s="9"/>
      <x:c r="Y754" s="9"/>
      <x:c r="Z754" s="9"/>
    </x:row>
    <x:row r="755" ht="14.25" customHeight="1">
      <x:c r="M755" s="5"/>
      <x:c r="N755" s="5"/>
      <x:c r="O755" s="9"/>
      <x:c r="P755" s="9"/>
      <x:c r="Q755" s="9"/>
      <x:c r="R755" s="9"/>
      <x:c r="S755" s="9"/>
      <x:c r="T755" s="9"/>
      <x:c r="U755" s="9"/>
      <x:c r="V755" s="9"/>
      <x:c r="W755" s="9"/>
      <x:c r="X755" s="9"/>
      <x:c r="Y755" s="9"/>
      <x:c r="Z755" s="9"/>
    </x:row>
    <x:row r="756" ht="14.25" customHeight="1">
      <x:c r="M756" s="5"/>
      <x:c r="N756" s="5"/>
      <x:c r="O756" s="9"/>
      <x:c r="P756" s="9"/>
      <x:c r="Q756" s="9"/>
      <x:c r="R756" s="9"/>
      <x:c r="S756" s="9"/>
      <x:c r="T756" s="9"/>
      <x:c r="U756" s="9"/>
      <x:c r="V756" s="9"/>
      <x:c r="W756" s="9"/>
      <x:c r="X756" s="9"/>
      <x:c r="Y756" s="9"/>
      <x:c r="Z756" s="9"/>
    </x:row>
    <x:row r="757" ht="14.25" customHeight="1">
      <x:c r="M757" s="5"/>
      <x:c r="N757" s="5"/>
      <x:c r="O757" s="9"/>
      <x:c r="P757" s="9"/>
      <x:c r="Q757" s="9"/>
      <x:c r="R757" s="9"/>
      <x:c r="S757" s="9"/>
      <x:c r="T757" s="9"/>
      <x:c r="U757" s="9"/>
      <x:c r="V757" s="9"/>
      <x:c r="W757" s="9"/>
      <x:c r="X757" s="9"/>
      <x:c r="Y757" s="9"/>
      <x:c r="Z757" s="9"/>
    </x:row>
    <x:row r="758" ht="14.25" customHeight="1">
      <x:c r="M758" s="5"/>
      <x:c r="N758" s="5"/>
      <x:c r="O758" s="9"/>
      <x:c r="P758" s="9"/>
      <x:c r="Q758" s="9"/>
      <x:c r="R758" s="9"/>
      <x:c r="S758" s="9"/>
      <x:c r="T758" s="9"/>
      <x:c r="U758" s="9"/>
      <x:c r="V758" s="9"/>
      <x:c r="W758" s="9"/>
      <x:c r="X758" s="9"/>
      <x:c r="Y758" s="9"/>
      <x:c r="Z758" s="9"/>
    </x:row>
    <x:row r="759" ht="14.25" customHeight="1">
      <x:c r="M759" s="5"/>
      <x:c r="N759" s="5"/>
      <x:c r="O759" s="9"/>
      <x:c r="P759" s="9"/>
      <x:c r="Q759" s="9"/>
      <x:c r="R759" s="9"/>
      <x:c r="S759" s="9"/>
      <x:c r="T759" s="9"/>
      <x:c r="U759" s="9"/>
      <x:c r="V759" s="9"/>
      <x:c r="W759" s="9"/>
      <x:c r="X759" s="9"/>
      <x:c r="Y759" s="9"/>
      <x:c r="Z759" s="9"/>
    </x:row>
    <x:row r="760" ht="14.25" customHeight="1">
      <x:c r="M760" s="5"/>
      <x:c r="N760" s="5"/>
      <x:c r="O760" s="9"/>
      <x:c r="P760" s="9"/>
      <x:c r="Q760" s="9"/>
      <x:c r="R760" s="9"/>
      <x:c r="S760" s="9"/>
      <x:c r="T760" s="9"/>
      <x:c r="U760" s="9"/>
      <x:c r="V760" s="9"/>
      <x:c r="W760" s="9"/>
      <x:c r="X760" s="9"/>
      <x:c r="Y760" s="9"/>
      <x:c r="Z760" s="9"/>
    </x:row>
    <x:row r="761" ht="14.25" customHeight="1">
      <x:c r="M761" s="5"/>
      <x:c r="N761" s="5"/>
      <x:c r="O761" s="9"/>
      <x:c r="P761" s="9"/>
      <x:c r="Q761" s="9"/>
      <x:c r="R761" s="9"/>
      <x:c r="S761" s="9"/>
      <x:c r="T761" s="9"/>
      <x:c r="U761" s="9"/>
      <x:c r="V761" s="9"/>
      <x:c r="W761" s="9"/>
      <x:c r="X761" s="9"/>
      <x:c r="Y761" s="9"/>
      <x:c r="Z761" s="9"/>
    </x:row>
    <x:row r="762" ht="14.25" customHeight="1">
      <x:c r="M762" s="5"/>
      <x:c r="N762" s="5"/>
      <x:c r="O762" s="9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</x:row>
    <x:row r="763" ht="14.25" customHeight="1">
      <x:c r="M763" s="5"/>
      <x:c r="N763" s="5"/>
      <x:c r="O763" s="9"/>
      <x:c r="P763" s="9"/>
      <x:c r="Q763" s="9"/>
      <x:c r="R763" s="9"/>
      <x:c r="S763" s="9"/>
      <x:c r="T763" s="9"/>
      <x:c r="U763" s="9"/>
      <x:c r="V763" s="9"/>
      <x:c r="W763" s="9"/>
      <x:c r="X763" s="9"/>
      <x:c r="Y763" s="9"/>
      <x:c r="Z763" s="9"/>
    </x:row>
    <x:row r="764" ht="14.25" customHeight="1">
      <x:c r="M764" s="5"/>
      <x:c r="N764" s="5"/>
      <x:c r="O764" s="9"/>
      <x:c r="P764" s="9"/>
      <x:c r="Q764" s="9"/>
      <x:c r="R764" s="9"/>
      <x:c r="S764" s="9"/>
      <x:c r="T764" s="9"/>
      <x:c r="U764" s="9"/>
      <x:c r="V764" s="9"/>
      <x:c r="W764" s="9"/>
      <x:c r="X764" s="9"/>
      <x:c r="Y764" s="9"/>
      <x:c r="Z764" s="9"/>
    </x:row>
    <x:row r="765" ht="14.25" customHeight="1">
      <x:c r="M765" s="5"/>
      <x:c r="N765" s="5"/>
      <x:c r="O765" s="9"/>
      <x:c r="P765" s="9"/>
      <x:c r="Q765" s="9"/>
      <x:c r="R765" s="9"/>
      <x:c r="S765" s="9"/>
      <x:c r="T765" s="9"/>
      <x:c r="U765" s="9"/>
      <x:c r="V765" s="9"/>
      <x:c r="W765" s="9"/>
      <x:c r="X765" s="9"/>
      <x:c r="Y765" s="9"/>
      <x:c r="Z765" s="9"/>
    </x:row>
    <x:row r="766" ht="14.25" customHeight="1">
      <x:c r="M766" s="5"/>
      <x:c r="N766" s="5"/>
      <x:c r="O766" s="9"/>
      <x:c r="P766" s="9"/>
      <x:c r="Q766" s="9"/>
      <x:c r="R766" s="9"/>
      <x:c r="S766" s="9"/>
      <x:c r="T766" s="9"/>
      <x:c r="U766" s="9"/>
      <x:c r="V766" s="9"/>
      <x:c r="W766" s="9"/>
      <x:c r="X766" s="9"/>
      <x:c r="Y766" s="9"/>
      <x:c r="Z766" s="9"/>
    </x:row>
    <x:row r="767" ht="14.25" customHeight="1">
      <x:c r="M767" s="5"/>
      <x:c r="N767" s="5"/>
      <x:c r="O767" s="9"/>
      <x:c r="P767" s="9"/>
      <x:c r="Q767" s="9"/>
      <x:c r="R767" s="9"/>
      <x:c r="S767" s="9"/>
      <x:c r="T767" s="9"/>
      <x:c r="U767" s="9"/>
      <x:c r="V767" s="9"/>
      <x:c r="W767" s="9"/>
      <x:c r="X767" s="9"/>
      <x:c r="Y767" s="9"/>
      <x:c r="Z767" s="9"/>
    </x:row>
    <x:row r="768" ht="14.25" customHeight="1">
      <x:c r="M768" s="5"/>
      <x:c r="N768" s="5"/>
      <x:c r="O768" s="9"/>
      <x:c r="P768" s="9"/>
      <x:c r="Q768" s="9"/>
      <x:c r="R768" s="9"/>
      <x:c r="S768" s="9"/>
      <x:c r="T768" s="9"/>
      <x:c r="U768" s="9"/>
      <x:c r="V768" s="9"/>
      <x:c r="W768" s="9"/>
      <x:c r="X768" s="9"/>
      <x:c r="Y768" s="9"/>
      <x:c r="Z768" s="9"/>
    </x:row>
    <x:row r="769" ht="14.25" customHeight="1">
      <x:c r="M769" s="5"/>
      <x:c r="N769" s="5"/>
      <x:c r="O769" s="9"/>
      <x:c r="P769" s="9"/>
      <x:c r="Q769" s="9"/>
      <x:c r="R769" s="9"/>
      <x:c r="S769" s="9"/>
      <x:c r="T769" s="9"/>
      <x:c r="U769" s="9"/>
      <x:c r="V769" s="9"/>
      <x:c r="W769" s="9"/>
      <x:c r="X769" s="9"/>
      <x:c r="Y769" s="9"/>
      <x:c r="Z769" s="9"/>
    </x:row>
    <x:row r="770" ht="14.25" customHeight="1">
      <x:c r="M770" s="5"/>
      <x:c r="N770" s="5"/>
      <x:c r="O770" s="9"/>
      <x:c r="P770" s="9"/>
      <x:c r="Q770" s="9"/>
      <x:c r="R770" s="9"/>
      <x:c r="S770" s="9"/>
      <x:c r="T770" s="9"/>
      <x:c r="U770" s="9"/>
      <x:c r="V770" s="9"/>
      <x:c r="W770" s="9"/>
      <x:c r="X770" s="9"/>
      <x:c r="Y770" s="9"/>
      <x:c r="Z770" s="9"/>
    </x:row>
    <x:row r="771" ht="14.25" customHeight="1">
      <x:c r="M771" s="5"/>
      <x:c r="N771" s="5"/>
      <x:c r="O771" s="9"/>
      <x:c r="P771" s="9"/>
      <x:c r="Q771" s="9"/>
      <x:c r="R771" s="9"/>
      <x:c r="S771" s="9"/>
      <x:c r="T771" s="9"/>
      <x:c r="U771" s="9"/>
      <x:c r="V771" s="9"/>
      <x:c r="W771" s="9"/>
      <x:c r="X771" s="9"/>
      <x:c r="Y771" s="9"/>
      <x:c r="Z771" s="9"/>
    </x:row>
    <x:row r="772" ht="14.25" customHeight="1">
      <x:c r="M772" s="5"/>
      <x:c r="N772" s="5"/>
      <x:c r="O772" s="9"/>
      <x:c r="P772" s="9"/>
      <x:c r="Q772" s="9"/>
      <x:c r="R772" s="9"/>
      <x:c r="S772" s="9"/>
      <x:c r="T772" s="9"/>
      <x:c r="U772" s="9"/>
      <x:c r="V772" s="9"/>
      <x:c r="W772" s="9"/>
      <x:c r="X772" s="9"/>
      <x:c r="Y772" s="9"/>
      <x:c r="Z772" s="9"/>
    </x:row>
    <x:row r="773" ht="14.25" customHeight="1">
      <x:c r="M773" s="5"/>
      <x:c r="N773" s="5"/>
      <x:c r="O773" s="9"/>
      <x:c r="P773" s="9"/>
      <x:c r="Q773" s="9"/>
      <x:c r="R773" s="9"/>
      <x:c r="S773" s="9"/>
      <x:c r="T773" s="9"/>
      <x:c r="U773" s="9"/>
      <x:c r="V773" s="9"/>
      <x:c r="W773" s="9"/>
      <x:c r="X773" s="9"/>
      <x:c r="Y773" s="9"/>
      <x:c r="Z773" s="9"/>
    </x:row>
    <x:row r="774" ht="14.25" customHeight="1">
      <x:c r="M774" s="5"/>
      <x:c r="N774" s="5"/>
      <x:c r="O774" s="9"/>
      <x:c r="P774" s="9"/>
      <x:c r="Q774" s="9"/>
      <x:c r="R774" s="9"/>
      <x:c r="S774" s="9"/>
      <x:c r="T774" s="9"/>
      <x:c r="U774" s="9"/>
      <x:c r="V774" s="9"/>
      <x:c r="W774" s="9"/>
      <x:c r="X774" s="9"/>
      <x:c r="Y774" s="9"/>
      <x:c r="Z774" s="9"/>
    </x:row>
    <x:row r="775" ht="14.25" customHeight="1">
      <x:c r="M775" s="5"/>
      <x:c r="N775" s="5"/>
      <x:c r="O775" s="9"/>
      <x:c r="P775" s="9"/>
      <x:c r="Q775" s="9"/>
      <x:c r="R775" s="9"/>
      <x:c r="S775" s="9"/>
      <x:c r="T775" s="9"/>
      <x:c r="U775" s="9"/>
      <x:c r="V775" s="9"/>
      <x:c r="W775" s="9"/>
      <x:c r="X775" s="9"/>
      <x:c r="Y775" s="9"/>
      <x:c r="Z775" s="9"/>
    </x:row>
    <x:row r="776" ht="14.25" customHeight="1">
      <x:c r="M776" s="5"/>
      <x:c r="N776" s="5"/>
      <x:c r="O776" s="9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</x:row>
    <x:row r="777" ht="14.25" customHeight="1">
      <x:c r="M777" s="5"/>
      <x:c r="N777" s="5"/>
      <x:c r="O777" s="9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</x:row>
    <x:row r="778" ht="14.25" customHeight="1">
      <x:c r="M778" s="5"/>
      <x:c r="N778" s="5"/>
      <x:c r="O778" s="9"/>
      <x:c r="P778" s="9"/>
      <x:c r="Q778" s="9"/>
      <x:c r="R778" s="9"/>
      <x:c r="S778" s="9"/>
      <x:c r="T778" s="9"/>
      <x:c r="U778" s="9"/>
      <x:c r="V778" s="9"/>
      <x:c r="W778" s="9"/>
      <x:c r="X778" s="9"/>
      <x:c r="Y778" s="9"/>
      <x:c r="Z778" s="9"/>
    </x:row>
    <x:row r="779" ht="14.25" customHeight="1">
      <x:c r="M779" s="5"/>
      <x:c r="N779" s="5"/>
      <x:c r="O779" s="9"/>
      <x:c r="P779" s="9"/>
      <x:c r="Q779" s="9"/>
      <x:c r="R779" s="9"/>
      <x:c r="S779" s="9"/>
      <x:c r="T779" s="9"/>
      <x:c r="U779" s="9"/>
      <x:c r="V779" s="9"/>
      <x:c r="W779" s="9"/>
      <x:c r="X779" s="9"/>
      <x:c r="Y779" s="9"/>
      <x:c r="Z779" s="9"/>
    </x:row>
    <x:row r="780" ht="14.25" customHeight="1">
      <x:c r="M780" s="5"/>
      <x:c r="N780" s="5"/>
      <x:c r="O780" s="9"/>
      <x:c r="P780" s="9"/>
      <x:c r="Q780" s="9"/>
      <x:c r="R780" s="9"/>
      <x:c r="S780" s="9"/>
      <x:c r="T780" s="9"/>
      <x:c r="U780" s="9"/>
      <x:c r="V780" s="9"/>
      <x:c r="W780" s="9"/>
      <x:c r="X780" s="9"/>
      <x:c r="Y780" s="9"/>
      <x:c r="Z780" s="9"/>
    </x:row>
    <x:row r="781" ht="14.25" customHeight="1">
      <x:c r="M781" s="5"/>
      <x:c r="N781" s="5"/>
      <x:c r="O781" s="9"/>
      <x:c r="P781" s="9"/>
      <x:c r="Q781" s="9"/>
      <x:c r="R781" s="9"/>
      <x:c r="S781" s="9"/>
      <x:c r="T781" s="9"/>
      <x:c r="U781" s="9"/>
      <x:c r="V781" s="9"/>
      <x:c r="W781" s="9"/>
      <x:c r="X781" s="9"/>
      <x:c r="Y781" s="9"/>
      <x:c r="Z781" s="9"/>
    </x:row>
    <x:row r="782" ht="14.25" customHeight="1">
      <x:c r="M782" s="5"/>
      <x:c r="N782" s="5"/>
      <x:c r="O782" s="9"/>
      <x:c r="P782" s="9"/>
      <x:c r="Q782" s="9"/>
      <x:c r="R782" s="9"/>
      <x:c r="S782" s="9"/>
      <x:c r="T782" s="9"/>
      <x:c r="U782" s="9"/>
      <x:c r="V782" s="9"/>
      <x:c r="W782" s="9"/>
      <x:c r="X782" s="9"/>
      <x:c r="Y782" s="9"/>
      <x:c r="Z782" s="9"/>
    </x:row>
    <x:row r="783" ht="14.25" customHeight="1">
      <x:c r="M783" s="5"/>
      <x:c r="N783" s="5"/>
      <x:c r="O783" s="9"/>
      <x:c r="P783" s="9"/>
      <x:c r="Q783" s="9"/>
      <x:c r="R783" s="9"/>
      <x:c r="S783" s="9"/>
      <x:c r="T783" s="9"/>
      <x:c r="U783" s="9"/>
      <x:c r="V783" s="9"/>
      <x:c r="W783" s="9"/>
      <x:c r="X783" s="9"/>
      <x:c r="Y783" s="9"/>
      <x:c r="Z783" s="9"/>
    </x:row>
    <x:row r="784" ht="14.25" customHeight="1">
      <x:c r="M784" s="5"/>
      <x:c r="N784" s="5"/>
      <x:c r="O784" s="9"/>
      <x:c r="P784" s="9"/>
      <x:c r="Q784" s="9"/>
      <x:c r="R784" s="9"/>
      <x:c r="S784" s="9"/>
      <x:c r="T784" s="9"/>
      <x:c r="U784" s="9"/>
      <x:c r="V784" s="9"/>
      <x:c r="W784" s="9"/>
      <x:c r="X784" s="9"/>
      <x:c r="Y784" s="9"/>
      <x:c r="Z784" s="9"/>
    </x:row>
    <x:row r="785" ht="14.25" customHeight="1">
      <x:c r="M785" s="5"/>
      <x:c r="N785" s="5"/>
      <x:c r="O785" s="9"/>
      <x:c r="P785" s="9"/>
      <x:c r="Q785" s="9"/>
      <x:c r="R785" s="9"/>
      <x:c r="S785" s="9"/>
      <x:c r="T785" s="9"/>
      <x:c r="U785" s="9"/>
      <x:c r="V785" s="9"/>
      <x:c r="W785" s="9"/>
      <x:c r="X785" s="9"/>
      <x:c r="Y785" s="9"/>
      <x:c r="Z785" s="9"/>
    </x:row>
    <x:row r="786" ht="14.25" customHeight="1">
      <x:c r="M786" s="5"/>
      <x:c r="N786" s="5"/>
      <x:c r="O786" s="9"/>
      <x:c r="P786" s="9"/>
      <x:c r="Q786" s="9"/>
      <x:c r="R786" s="9"/>
      <x:c r="S786" s="9"/>
      <x:c r="T786" s="9"/>
      <x:c r="U786" s="9"/>
      <x:c r="V786" s="9"/>
      <x:c r="W786" s="9"/>
      <x:c r="X786" s="9"/>
      <x:c r="Y786" s="9"/>
      <x:c r="Z786" s="9"/>
    </x:row>
    <x:row r="787" ht="14.25" customHeight="1">
      <x:c r="M787" s="5"/>
      <x:c r="N787" s="5"/>
      <x:c r="O787" s="9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</x:row>
    <x:row r="788" ht="14.25" customHeight="1">
      <x:c r="M788" s="5"/>
      <x:c r="N788" s="5"/>
      <x:c r="O788" s="9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</x:row>
    <x:row r="789" ht="14.25" customHeight="1">
      <x:c r="M789" s="5"/>
      <x:c r="N789" s="5"/>
      <x:c r="O789" s="9"/>
      <x:c r="P789" s="9"/>
      <x:c r="Q789" s="9"/>
      <x:c r="R789" s="9"/>
      <x:c r="S789" s="9"/>
      <x:c r="T789" s="9"/>
      <x:c r="U789" s="9"/>
      <x:c r="V789" s="9"/>
      <x:c r="W789" s="9"/>
      <x:c r="X789" s="9"/>
      <x:c r="Y789" s="9"/>
      <x:c r="Z789" s="9"/>
    </x:row>
    <x:row r="790" ht="14.25" customHeight="1">
      <x:c r="M790" s="5"/>
      <x:c r="N790" s="5"/>
      <x:c r="O790" s="9"/>
      <x:c r="P790" s="9"/>
      <x:c r="Q790" s="9"/>
      <x:c r="R790" s="9"/>
      <x:c r="S790" s="9"/>
      <x:c r="T790" s="9"/>
      <x:c r="U790" s="9"/>
      <x:c r="V790" s="9"/>
      <x:c r="W790" s="9"/>
      <x:c r="X790" s="9"/>
      <x:c r="Y790" s="9"/>
      <x:c r="Z790" s="9"/>
    </x:row>
    <x:row r="791" ht="14.25" customHeight="1">
      <x:c r="M791" s="5"/>
      <x:c r="N791" s="5"/>
      <x:c r="O791" s="9"/>
      <x:c r="P791" s="9"/>
      <x:c r="Q791" s="9"/>
      <x:c r="R791" s="9"/>
      <x:c r="S791" s="9"/>
      <x:c r="T791" s="9"/>
      <x:c r="U791" s="9"/>
      <x:c r="V791" s="9"/>
      <x:c r="W791" s="9"/>
      <x:c r="X791" s="9"/>
      <x:c r="Y791" s="9"/>
      <x:c r="Z791" s="9"/>
    </x:row>
    <x:row r="792" ht="14.25" customHeight="1">
      <x:c r="M792" s="5"/>
      <x:c r="N792" s="5"/>
      <x:c r="O792" s="9"/>
      <x:c r="P792" s="9"/>
      <x:c r="Q792" s="9"/>
      <x:c r="R792" s="9"/>
      <x:c r="S792" s="9"/>
      <x:c r="T792" s="9"/>
      <x:c r="U792" s="9"/>
      <x:c r="V792" s="9"/>
      <x:c r="W792" s="9"/>
      <x:c r="X792" s="9"/>
      <x:c r="Y792" s="9"/>
      <x:c r="Z792" s="9"/>
    </x:row>
    <x:row r="793" ht="14.25" customHeight="1">
      <x:c r="M793" s="5"/>
      <x:c r="N793" s="5"/>
      <x:c r="O793" s="9"/>
      <x:c r="P793" s="9"/>
      <x:c r="Q793" s="9"/>
      <x:c r="R793" s="9"/>
      <x:c r="S793" s="9"/>
      <x:c r="T793" s="9"/>
      <x:c r="U793" s="9"/>
      <x:c r="V793" s="9"/>
      <x:c r="W793" s="9"/>
      <x:c r="X793" s="9"/>
      <x:c r="Y793" s="9"/>
      <x:c r="Z793" s="9"/>
    </x:row>
    <x:row r="794" ht="14.25" customHeight="1">
      <x:c r="M794" s="5"/>
      <x:c r="N794" s="5"/>
      <x:c r="O794" s="9"/>
      <x:c r="P794" s="9"/>
      <x:c r="Q794" s="9"/>
      <x:c r="R794" s="9"/>
      <x:c r="S794" s="9"/>
      <x:c r="T794" s="9"/>
      <x:c r="U794" s="9"/>
      <x:c r="V794" s="9"/>
      <x:c r="W794" s="9"/>
      <x:c r="X794" s="9"/>
      <x:c r="Y794" s="9"/>
      <x:c r="Z794" s="9"/>
    </x:row>
    <x:row r="795" ht="14.25" customHeight="1">
      <x:c r="M795" s="5"/>
      <x:c r="N795" s="5"/>
      <x:c r="O795" s="9"/>
      <x:c r="P795" s="9"/>
      <x:c r="Q795" s="9"/>
      <x:c r="R795" s="9"/>
      <x:c r="S795" s="9"/>
      <x:c r="T795" s="9"/>
      <x:c r="U795" s="9"/>
      <x:c r="V795" s="9"/>
      <x:c r="W795" s="9"/>
      <x:c r="X795" s="9"/>
      <x:c r="Y795" s="9"/>
      <x:c r="Z795" s="9"/>
    </x:row>
    <x:row r="796" ht="14.25" customHeight="1">
      <x:c r="M796" s="5"/>
      <x:c r="N796" s="5"/>
      <x:c r="O796" s="9"/>
      <x:c r="P796" s="9"/>
      <x:c r="Q796" s="9"/>
      <x:c r="R796" s="9"/>
      <x:c r="S796" s="9"/>
      <x:c r="T796" s="9"/>
      <x:c r="U796" s="9"/>
      <x:c r="V796" s="9"/>
      <x:c r="W796" s="9"/>
      <x:c r="X796" s="9"/>
      <x:c r="Y796" s="9"/>
      <x:c r="Z796" s="9"/>
    </x:row>
    <x:row r="797" ht="14.25" customHeight="1">
      <x:c r="M797" s="5"/>
      <x:c r="N797" s="5"/>
      <x:c r="O797" s="9"/>
      <x:c r="P797" s="9"/>
      <x:c r="Q797" s="9"/>
      <x:c r="R797" s="9"/>
      <x:c r="S797" s="9"/>
      <x:c r="T797" s="9"/>
      <x:c r="U797" s="9"/>
      <x:c r="V797" s="9"/>
      <x:c r="W797" s="9"/>
      <x:c r="X797" s="9"/>
      <x:c r="Y797" s="9"/>
      <x:c r="Z797" s="9"/>
    </x:row>
    <x:row r="798" ht="14.25" customHeight="1">
      <x:c r="M798" s="5"/>
      <x:c r="N798" s="5"/>
      <x:c r="O798" s="9"/>
      <x:c r="P798" s="9"/>
      <x:c r="Q798" s="9"/>
      <x:c r="R798" s="9"/>
      <x:c r="S798" s="9"/>
      <x:c r="T798" s="9"/>
      <x:c r="U798" s="9"/>
      <x:c r="V798" s="9"/>
      <x:c r="W798" s="9"/>
      <x:c r="X798" s="9"/>
      <x:c r="Y798" s="9"/>
      <x:c r="Z798" s="9"/>
    </x:row>
    <x:row r="799" ht="14.25" customHeight="1">
      <x:c r="M799" s="5"/>
      <x:c r="N799" s="5"/>
      <x:c r="O799" s="9"/>
      <x:c r="P799" s="9"/>
      <x:c r="Q799" s="9"/>
      <x:c r="R799" s="9"/>
      <x:c r="S799" s="9"/>
      <x:c r="T799" s="9"/>
      <x:c r="U799" s="9"/>
      <x:c r="V799" s="9"/>
      <x:c r="W799" s="9"/>
      <x:c r="X799" s="9"/>
      <x:c r="Y799" s="9"/>
      <x:c r="Z799" s="9"/>
    </x:row>
    <x:row r="800" ht="14.25" customHeight="1">
      <x:c r="M800" s="5"/>
      <x:c r="N800" s="5"/>
      <x:c r="O800" s="9"/>
      <x:c r="P800" s="9"/>
      <x:c r="Q800" s="9"/>
      <x:c r="R800" s="9"/>
      <x:c r="S800" s="9"/>
      <x:c r="T800" s="9"/>
      <x:c r="U800" s="9"/>
      <x:c r="V800" s="9"/>
      <x:c r="W800" s="9"/>
      <x:c r="X800" s="9"/>
      <x:c r="Y800" s="9"/>
      <x:c r="Z800" s="9"/>
    </x:row>
    <x:row r="801" ht="14.25" customHeight="1">
      <x:c r="M801" s="5"/>
      <x:c r="N801" s="5"/>
      <x:c r="O801" s="9"/>
      <x:c r="P801" s="9"/>
      <x:c r="Q801" s="9"/>
      <x:c r="R801" s="9"/>
      <x:c r="S801" s="9"/>
      <x:c r="T801" s="9"/>
      <x:c r="U801" s="9"/>
      <x:c r="V801" s="9"/>
      <x:c r="W801" s="9"/>
      <x:c r="X801" s="9"/>
      <x:c r="Y801" s="9"/>
      <x:c r="Z801" s="9"/>
    </x:row>
    <x:row r="802" ht="14.25" customHeight="1">
      <x:c r="M802" s="5"/>
      <x:c r="N802" s="5"/>
      <x:c r="O802" s="9"/>
      <x:c r="P802" s="9"/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</x:row>
    <x:row r="803" ht="14.25" customHeight="1">
      <x:c r="M803" s="5"/>
      <x:c r="N803" s="5"/>
      <x:c r="O803" s="9"/>
      <x:c r="P803" s="9"/>
      <x:c r="Q803" s="9"/>
      <x:c r="R803" s="9"/>
      <x:c r="S803" s="9"/>
      <x:c r="T803" s="9"/>
      <x:c r="U803" s="9"/>
      <x:c r="V803" s="9"/>
      <x:c r="W803" s="9"/>
      <x:c r="X803" s="9"/>
      <x:c r="Y803" s="9"/>
      <x:c r="Z803" s="9"/>
    </x:row>
    <x:row r="804" ht="14.25" customHeight="1">
      <x:c r="M804" s="5"/>
      <x:c r="N804" s="5"/>
      <x:c r="O804" s="9"/>
      <x:c r="P804" s="9"/>
      <x:c r="Q804" s="9"/>
      <x:c r="R804" s="9"/>
      <x:c r="S804" s="9"/>
      <x:c r="T804" s="9"/>
      <x:c r="U804" s="9"/>
      <x:c r="V804" s="9"/>
      <x:c r="W804" s="9"/>
      <x:c r="X804" s="9"/>
      <x:c r="Y804" s="9"/>
      <x:c r="Z804" s="9"/>
    </x:row>
    <x:row r="805" ht="14.25" customHeight="1">
      <x:c r="M805" s="5"/>
      <x:c r="N805" s="5"/>
      <x:c r="O805" s="9"/>
      <x:c r="P805" s="9"/>
      <x:c r="Q805" s="9"/>
      <x:c r="R805" s="9"/>
      <x:c r="S805" s="9"/>
      <x:c r="T805" s="9"/>
      <x:c r="U805" s="9"/>
      <x:c r="V805" s="9"/>
      <x:c r="W805" s="9"/>
      <x:c r="X805" s="9"/>
      <x:c r="Y805" s="9"/>
      <x:c r="Z805" s="9"/>
    </x:row>
    <x:row r="806" ht="14.25" customHeight="1">
      <x:c r="M806" s="5"/>
      <x:c r="N806" s="5"/>
      <x:c r="O806" s="9"/>
      <x:c r="P806" s="9"/>
      <x:c r="Q806" s="9"/>
      <x:c r="R806" s="9"/>
      <x:c r="S806" s="9"/>
      <x:c r="T806" s="9"/>
      <x:c r="U806" s="9"/>
      <x:c r="V806" s="9"/>
      <x:c r="W806" s="9"/>
      <x:c r="X806" s="9"/>
      <x:c r="Y806" s="9"/>
      <x:c r="Z806" s="9"/>
    </x:row>
    <x:row r="807" ht="14.25" customHeight="1">
      <x:c r="M807" s="5"/>
      <x:c r="N807" s="5"/>
      <x:c r="O807" s="9"/>
      <x:c r="P807" s="9"/>
      <x:c r="Q807" s="9"/>
      <x:c r="R807" s="9"/>
      <x:c r="S807" s="9"/>
      <x:c r="T807" s="9"/>
      <x:c r="U807" s="9"/>
      <x:c r="V807" s="9"/>
      <x:c r="W807" s="9"/>
      <x:c r="X807" s="9"/>
      <x:c r="Y807" s="9"/>
      <x:c r="Z807" s="9"/>
    </x:row>
    <x:row r="808" ht="14.25" customHeight="1">
      <x:c r="M808" s="5"/>
      <x:c r="N808" s="5"/>
      <x:c r="O808" s="9"/>
      <x:c r="P808" s="9"/>
      <x:c r="Q808" s="9"/>
      <x:c r="R808" s="9"/>
      <x:c r="S808" s="9"/>
      <x:c r="T808" s="9"/>
      <x:c r="U808" s="9"/>
      <x:c r="V808" s="9"/>
      <x:c r="W808" s="9"/>
      <x:c r="X808" s="9"/>
      <x:c r="Y808" s="9"/>
      <x:c r="Z808" s="9"/>
    </x:row>
    <x:row r="809" ht="14.25" customHeight="1">
      <x:c r="M809" s="5"/>
      <x:c r="N809" s="5"/>
      <x:c r="O809" s="9"/>
      <x:c r="P809" s="9"/>
      <x:c r="Q809" s="9"/>
      <x:c r="R809" s="9"/>
      <x:c r="S809" s="9"/>
      <x:c r="T809" s="9"/>
      <x:c r="U809" s="9"/>
      <x:c r="V809" s="9"/>
      <x:c r="W809" s="9"/>
      <x:c r="X809" s="9"/>
      <x:c r="Y809" s="9"/>
      <x:c r="Z809" s="9"/>
    </x:row>
    <x:row r="810" ht="14.25" customHeight="1">
      <x:c r="M810" s="5"/>
      <x:c r="N810" s="5"/>
      <x:c r="O810" s="9"/>
      <x:c r="P810" s="9"/>
      <x:c r="Q810" s="9"/>
      <x:c r="R810" s="9"/>
      <x:c r="S810" s="9"/>
      <x:c r="T810" s="9"/>
      <x:c r="U810" s="9"/>
      <x:c r="V810" s="9"/>
      <x:c r="W810" s="9"/>
      <x:c r="X810" s="9"/>
      <x:c r="Y810" s="9"/>
      <x:c r="Z810" s="9"/>
    </x:row>
    <x:row r="811" ht="14.25" customHeight="1">
      <x:c r="M811" s="5"/>
      <x:c r="N811" s="5"/>
      <x:c r="O811" s="9"/>
      <x:c r="P811" s="9"/>
      <x:c r="Q811" s="9"/>
      <x:c r="R811" s="9"/>
      <x:c r="S811" s="9"/>
      <x:c r="T811" s="9"/>
      <x:c r="U811" s="9"/>
      <x:c r="V811" s="9"/>
      <x:c r="W811" s="9"/>
      <x:c r="X811" s="9"/>
      <x:c r="Y811" s="9"/>
      <x:c r="Z811" s="9"/>
    </x:row>
    <x:row r="812" ht="14.25" customHeight="1">
      <x:c r="M812" s="5"/>
      <x:c r="N812" s="5"/>
      <x:c r="O812" s="9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</x:row>
    <x:row r="813" ht="14.25" customHeight="1">
      <x:c r="M813" s="5"/>
      <x:c r="N813" s="5"/>
      <x:c r="O813" s="9"/>
      <x:c r="P813" s="9"/>
      <x:c r="Q813" s="9"/>
      <x:c r="R813" s="9"/>
      <x:c r="S813" s="9"/>
      <x:c r="T813" s="9"/>
      <x:c r="U813" s="9"/>
      <x:c r="V813" s="9"/>
      <x:c r="W813" s="9"/>
      <x:c r="X813" s="9"/>
      <x:c r="Y813" s="9"/>
      <x:c r="Z813" s="9"/>
    </x:row>
    <x:row r="814" ht="14.25" customHeight="1">
      <x:c r="M814" s="5"/>
      <x:c r="N814" s="5"/>
      <x:c r="O814" s="9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</x:row>
    <x:row r="815" ht="14.25" customHeight="1">
      <x:c r="M815" s="5"/>
      <x:c r="N815" s="5"/>
      <x:c r="O815" s="9"/>
      <x:c r="P815" s="9"/>
      <x:c r="Q815" s="9"/>
      <x:c r="R815" s="9"/>
      <x:c r="S815" s="9"/>
      <x:c r="T815" s="9"/>
      <x:c r="U815" s="9"/>
      <x:c r="V815" s="9"/>
      <x:c r="W815" s="9"/>
      <x:c r="X815" s="9"/>
      <x:c r="Y815" s="9"/>
      <x:c r="Z815" s="9"/>
    </x:row>
    <x:row r="816" ht="14.25" customHeight="1">
      <x:c r="M816" s="5"/>
      <x:c r="N816" s="5"/>
      <x:c r="O816" s="9"/>
      <x:c r="P816" s="9"/>
      <x:c r="Q816" s="9"/>
      <x:c r="R816" s="9"/>
      <x:c r="S816" s="9"/>
      <x:c r="T816" s="9"/>
      <x:c r="U816" s="9"/>
      <x:c r="V816" s="9"/>
      <x:c r="W816" s="9"/>
      <x:c r="X816" s="9"/>
      <x:c r="Y816" s="9"/>
      <x:c r="Z816" s="9"/>
    </x:row>
    <x:row r="817" ht="14.25" customHeight="1">
      <x:c r="M817" s="5"/>
      <x:c r="N817" s="5"/>
      <x:c r="O817" s="9"/>
      <x:c r="P817" s="9"/>
      <x:c r="Q817" s="9"/>
      <x:c r="R817" s="9"/>
      <x:c r="S817" s="9"/>
      <x:c r="T817" s="9"/>
      <x:c r="U817" s="9"/>
      <x:c r="V817" s="9"/>
      <x:c r="W817" s="9"/>
      <x:c r="X817" s="9"/>
      <x:c r="Y817" s="9"/>
      <x:c r="Z817" s="9"/>
    </x:row>
    <x:row r="818" ht="14.25" customHeight="1">
      <x:c r="M818" s="5"/>
      <x:c r="N818" s="5"/>
      <x:c r="O818" s="9"/>
      <x:c r="P818" s="9"/>
      <x:c r="Q818" s="9"/>
      <x:c r="R818" s="9"/>
      <x:c r="S818" s="9"/>
      <x:c r="T818" s="9"/>
      <x:c r="U818" s="9"/>
      <x:c r="V818" s="9"/>
      <x:c r="W818" s="9"/>
      <x:c r="X818" s="9"/>
      <x:c r="Y818" s="9"/>
      <x:c r="Z818" s="9"/>
    </x:row>
    <x:row r="819" ht="14.25" customHeight="1">
      <x:c r="M819" s="5"/>
      <x:c r="N819" s="5"/>
      <x:c r="O819" s="9"/>
      <x:c r="P819" s="9"/>
      <x:c r="Q819" s="9"/>
      <x:c r="R819" s="9"/>
      <x:c r="S819" s="9"/>
      <x:c r="T819" s="9"/>
      <x:c r="U819" s="9"/>
      <x:c r="V819" s="9"/>
      <x:c r="W819" s="9"/>
      <x:c r="X819" s="9"/>
      <x:c r="Y819" s="9"/>
      <x:c r="Z819" s="9"/>
    </x:row>
    <x:row r="820" ht="14.25" customHeight="1">
      <x:c r="M820" s="5"/>
      <x:c r="N820" s="5"/>
      <x:c r="O820" s="9"/>
      <x:c r="P820" s="9"/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</x:row>
    <x:row r="821" ht="14.25" customHeight="1">
      <x:c r="M821" s="5"/>
      <x:c r="N821" s="5"/>
      <x:c r="O821" s="9"/>
      <x:c r="P821" s="9"/>
      <x:c r="Q821" s="9"/>
      <x:c r="R821" s="9"/>
      <x:c r="S821" s="9"/>
      <x:c r="T821" s="9"/>
      <x:c r="U821" s="9"/>
      <x:c r="V821" s="9"/>
      <x:c r="W821" s="9"/>
      <x:c r="X821" s="9"/>
      <x:c r="Y821" s="9"/>
      <x:c r="Z821" s="9"/>
    </x:row>
    <x:row r="822" ht="14.25" customHeight="1">
      <x:c r="M822" s="5"/>
      <x:c r="N822" s="5"/>
      <x:c r="O822" s="9"/>
      <x:c r="P822" s="9"/>
      <x:c r="Q822" s="9"/>
      <x:c r="R822" s="9"/>
      <x:c r="S822" s="9"/>
      <x:c r="T822" s="9"/>
      <x:c r="U822" s="9"/>
      <x:c r="V822" s="9"/>
      <x:c r="W822" s="9"/>
      <x:c r="X822" s="9"/>
      <x:c r="Y822" s="9"/>
      <x:c r="Z822" s="9"/>
    </x:row>
    <x:row r="823" ht="14.25" customHeight="1">
      <x:c r="M823" s="5"/>
      <x:c r="N823" s="5"/>
      <x:c r="O823" s="9"/>
      <x:c r="P823" s="9"/>
      <x:c r="Q823" s="9"/>
      <x:c r="R823" s="9"/>
      <x:c r="S823" s="9"/>
      <x:c r="T823" s="9"/>
      <x:c r="U823" s="9"/>
      <x:c r="V823" s="9"/>
      <x:c r="W823" s="9"/>
      <x:c r="X823" s="9"/>
      <x:c r="Y823" s="9"/>
      <x:c r="Z823" s="9"/>
    </x:row>
    <x:row r="824" ht="14.25" customHeight="1">
      <x:c r="M824" s="5"/>
      <x:c r="N824" s="5"/>
      <x:c r="O824" s="9"/>
      <x:c r="P824" s="9"/>
      <x:c r="Q824" s="9"/>
      <x:c r="R824" s="9"/>
      <x:c r="S824" s="9"/>
      <x:c r="T824" s="9"/>
      <x:c r="U824" s="9"/>
      <x:c r="V824" s="9"/>
      <x:c r="W824" s="9"/>
      <x:c r="X824" s="9"/>
      <x:c r="Y824" s="9"/>
      <x:c r="Z824" s="9"/>
    </x:row>
    <x:row r="825" ht="14.25" customHeight="1">
      <x:c r="M825" s="5"/>
      <x:c r="N825" s="5"/>
      <x:c r="O825" s="9"/>
      <x:c r="P825" s="9"/>
      <x:c r="Q825" s="9"/>
      <x:c r="R825" s="9"/>
      <x:c r="S825" s="9"/>
      <x:c r="T825" s="9"/>
      <x:c r="U825" s="9"/>
      <x:c r="V825" s="9"/>
      <x:c r="W825" s="9"/>
      <x:c r="X825" s="9"/>
      <x:c r="Y825" s="9"/>
      <x:c r="Z825" s="9"/>
    </x:row>
    <x:row r="826" ht="14.25" customHeight="1">
      <x:c r="M826" s="5"/>
      <x:c r="N826" s="5"/>
      <x:c r="O826" s="9"/>
      <x:c r="P826" s="9"/>
      <x:c r="Q826" s="9"/>
      <x:c r="R826" s="9"/>
      <x:c r="S826" s="9"/>
      <x:c r="T826" s="9"/>
      <x:c r="U826" s="9"/>
      <x:c r="V826" s="9"/>
      <x:c r="W826" s="9"/>
      <x:c r="X826" s="9"/>
      <x:c r="Y826" s="9"/>
      <x:c r="Z826" s="9"/>
    </x:row>
    <x:row r="827" ht="14.25" customHeight="1">
      <x:c r="M827" s="5"/>
      <x:c r="N827" s="5"/>
      <x:c r="O827" s="9"/>
      <x:c r="P827" s="9"/>
      <x:c r="Q827" s="9"/>
      <x:c r="R827" s="9"/>
      <x:c r="S827" s="9"/>
      <x:c r="T827" s="9"/>
      <x:c r="U827" s="9"/>
      <x:c r="V827" s="9"/>
      <x:c r="W827" s="9"/>
      <x:c r="X827" s="9"/>
      <x:c r="Y827" s="9"/>
      <x:c r="Z827" s="9"/>
    </x:row>
    <x:row r="828" ht="14.25" customHeight="1">
      <x:c r="M828" s="5"/>
      <x:c r="N828" s="5"/>
      <x:c r="O828" s="9"/>
      <x:c r="P828" s="9"/>
      <x:c r="Q828" s="9"/>
      <x:c r="R828" s="9"/>
      <x:c r="S828" s="9"/>
      <x:c r="T828" s="9"/>
      <x:c r="U828" s="9"/>
      <x:c r="V828" s="9"/>
      <x:c r="W828" s="9"/>
      <x:c r="X828" s="9"/>
      <x:c r="Y828" s="9"/>
      <x:c r="Z828" s="9"/>
    </x:row>
    <x:row r="829" ht="14.25" customHeight="1">
      <x:c r="M829" s="5"/>
      <x:c r="N829" s="5"/>
      <x:c r="O829" s="9"/>
      <x:c r="P829" s="9"/>
      <x:c r="Q829" s="9"/>
      <x:c r="R829" s="9"/>
      <x:c r="S829" s="9"/>
      <x:c r="T829" s="9"/>
      <x:c r="U829" s="9"/>
      <x:c r="V829" s="9"/>
      <x:c r="W829" s="9"/>
      <x:c r="X829" s="9"/>
      <x:c r="Y829" s="9"/>
      <x:c r="Z829" s="9"/>
    </x:row>
    <x:row r="830" ht="14.25" customHeight="1">
      <x:c r="M830" s="5"/>
      <x:c r="N830" s="5"/>
      <x:c r="O830" s="9"/>
      <x:c r="P830" s="9"/>
      <x:c r="Q830" s="9"/>
      <x:c r="R830" s="9"/>
      <x:c r="S830" s="9"/>
      <x:c r="T830" s="9"/>
      <x:c r="U830" s="9"/>
      <x:c r="V830" s="9"/>
      <x:c r="W830" s="9"/>
      <x:c r="X830" s="9"/>
      <x:c r="Y830" s="9"/>
      <x:c r="Z830" s="9"/>
    </x:row>
    <x:row r="831" ht="14.25" customHeight="1">
      <x:c r="M831" s="5"/>
      <x:c r="N831" s="5"/>
      <x:c r="O831" s="9"/>
      <x:c r="P831" s="9"/>
      <x:c r="Q831" s="9"/>
      <x:c r="R831" s="9"/>
      <x:c r="S831" s="9"/>
      <x:c r="T831" s="9"/>
      <x:c r="U831" s="9"/>
      <x:c r="V831" s="9"/>
      <x:c r="W831" s="9"/>
      <x:c r="X831" s="9"/>
      <x:c r="Y831" s="9"/>
      <x:c r="Z831" s="9"/>
    </x:row>
    <x:row r="832" ht="14.25" customHeight="1">
      <x:c r="M832" s="5"/>
      <x:c r="N832" s="5"/>
      <x:c r="O832" s="9"/>
      <x:c r="P832" s="9"/>
      <x:c r="Q832" s="9"/>
      <x:c r="R832" s="9"/>
      <x:c r="S832" s="9"/>
      <x:c r="T832" s="9"/>
      <x:c r="U832" s="9"/>
      <x:c r="V832" s="9"/>
      <x:c r="W832" s="9"/>
      <x:c r="X832" s="9"/>
      <x:c r="Y832" s="9"/>
      <x:c r="Z832" s="9"/>
    </x:row>
    <x:row r="833" ht="14.25" customHeight="1">
      <x:c r="M833" s="5"/>
      <x:c r="N833" s="5"/>
      <x:c r="O833" s="9"/>
      <x:c r="P833" s="9"/>
      <x:c r="Q833" s="9"/>
      <x:c r="R833" s="9"/>
      <x:c r="S833" s="9"/>
      <x:c r="T833" s="9"/>
      <x:c r="U833" s="9"/>
      <x:c r="V833" s="9"/>
      <x:c r="W833" s="9"/>
      <x:c r="X833" s="9"/>
      <x:c r="Y833" s="9"/>
      <x:c r="Z833" s="9"/>
    </x:row>
    <x:row r="834" ht="14.25" customHeight="1">
      <x:c r="M834" s="5"/>
      <x:c r="N834" s="5"/>
      <x:c r="O834" s="9"/>
      <x:c r="P834" s="9"/>
      <x:c r="Q834" s="9"/>
      <x:c r="R834" s="9"/>
      <x:c r="S834" s="9"/>
      <x:c r="T834" s="9"/>
      <x:c r="U834" s="9"/>
      <x:c r="V834" s="9"/>
      <x:c r="W834" s="9"/>
      <x:c r="X834" s="9"/>
      <x:c r="Y834" s="9"/>
      <x:c r="Z834" s="9"/>
    </x:row>
    <x:row r="835" ht="14.25" customHeight="1">
      <x:c r="M835" s="5"/>
      <x:c r="N835" s="5"/>
      <x:c r="O835" s="9"/>
      <x:c r="P835" s="9"/>
      <x:c r="Q835" s="9"/>
      <x:c r="R835" s="9"/>
      <x:c r="S835" s="9"/>
      <x:c r="T835" s="9"/>
      <x:c r="U835" s="9"/>
      <x:c r="V835" s="9"/>
      <x:c r="W835" s="9"/>
      <x:c r="X835" s="9"/>
      <x:c r="Y835" s="9"/>
      <x:c r="Z835" s="9"/>
    </x:row>
    <x:row r="836" ht="14.25" customHeight="1">
      <x:c r="M836" s="5"/>
      <x:c r="N836" s="5"/>
      <x:c r="O836" s="9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</x:row>
    <x:row r="837" ht="14.25" customHeight="1">
      <x:c r="M837" s="5"/>
      <x:c r="N837" s="5"/>
      <x:c r="O837" s="9"/>
      <x:c r="P837" s="9"/>
      <x:c r="Q837" s="9"/>
      <x:c r="R837" s="9"/>
      <x:c r="S837" s="9"/>
      <x:c r="T837" s="9"/>
      <x:c r="U837" s="9"/>
      <x:c r="V837" s="9"/>
      <x:c r="W837" s="9"/>
      <x:c r="X837" s="9"/>
      <x:c r="Y837" s="9"/>
      <x:c r="Z837" s="9"/>
    </x:row>
    <x:row r="838" ht="14.25" customHeight="1">
      <x:c r="M838" s="5"/>
      <x:c r="N838" s="5"/>
      <x:c r="O838" s="9"/>
      <x:c r="P838" s="9"/>
      <x:c r="Q838" s="9"/>
      <x:c r="R838" s="9"/>
      <x:c r="S838" s="9"/>
      <x:c r="T838" s="9"/>
      <x:c r="U838" s="9"/>
      <x:c r="V838" s="9"/>
      <x:c r="W838" s="9"/>
      <x:c r="X838" s="9"/>
      <x:c r="Y838" s="9"/>
      <x:c r="Z838" s="9"/>
    </x:row>
    <x:row r="839" ht="14.25" customHeight="1">
      <x:c r="M839" s="5"/>
      <x:c r="N839" s="5"/>
      <x:c r="O839" s="9"/>
      <x:c r="P839" s="9"/>
      <x:c r="Q839" s="9"/>
      <x:c r="R839" s="9"/>
      <x:c r="S839" s="9"/>
      <x:c r="T839" s="9"/>
      <x:c r="U839" s="9"/>
      <x:c r="V839" s="9"/>
      <x:c r="W839" s="9"/>
      <x:c r="X839" s="9"/>
      <x:c r="Y839" s="9"/>
      <x:c r="Z839" s="9"/>
    </x:row>
    <x:row r="840" ht="14.25" customHeight="1">
      <x:c r="M840" s="5"/>
      <x:c r="N840" s="5"/>
      <x:c r="O840" s="9"/>
      <x:c r="P840" s="9"/>
      <x:c r="Q840" s="9"/>
      <x:c r="R840" s="9"/>
      <x:c r="S840" s="9"/>
      <x:c r="T840" s="9"/>
      <x:c r="U840" s="9"/>
      <x:c r="V840" s="9"/>
      <x:c r="W840" s="9"/>
      <x:c r="X840" s="9"/>
      <x:c r="Y840" s="9"/>
      <x:c r="Z840" s="9"/>
    </x:row>
    <x:row r="841" ht="14.25" customHeight="1">
      <x:c r="M841" s="5"/>
      <x:c r="N841" s="5"/>
      <x:c r="O841" s="9"/>
      <x:c r="P841" s="9"/>
      <x:c r="Q841" s="9"/>
      <x:c r="R841" s="9"/>
      <x:c r="S841" s="9"/>
      <x:c r="T841" s="9"/>
      <x:c r="U841" s="9"/>
      <x:c r="V841" s="9"/>
      <x:c r="W841" s="9"/>
      <x:c r="X841" s="9"/>
      <x:c r="Y841" s="9"/>
      <x:c r="Z841" s="9"/>
    </x:row>
    <x:row r="842" ht="14.25" customHeight="1">
      <x:c r="M842" s="5"/>
      <x:c r="N842" s="5"/>
      <x:c r="O842" s="9"/>
      <x:c r="P842" s="9"/>
      <x:c r="Q842" s="9"/>
      <x:c r="R842" s="9"/>
      <x:c r="S842" s="9"/>
      <x:c r="T842" s="9"/>
      <x:c r="U842" s="9"/>
      <x:c r="V842" s="9"/>
      <x:c r="W842" s="9"/>
      <x:c r="X842" s="9"/>
      <x:c r="Y842" s="9"/>
      <x:c r="Z842" s="9"/>
    </x:row>
    <x:row r="843" ht="14.25" customHeight="1">
      <x:c r="M843" s="5"/>
      <x:c r="N843" s="5"/>
      <x:c r="O843" s="9"/>
      <x:c r="P843" s="9"/>
      <x:c r="Q843" s="9"/>
      <x:c r="R843" s="9"/>
      <x:c r="S843" s="9"/>
      <x:c r="T843" s="9"/>
      <x:c r="U843" s="9"/>
      <x:c r="V843" s="9"/>
      <x:c r="W843" s="9"/>
      <x:c r="X843" s="9"/>
      <x:c r="Y843" s="9"/>
      <x:c r="Z843" s="9"/>
    </x:row>
    <x:row r="844" ht="14.25" customHeight="1">
      <x:c r="M844" s="5"/>
      <x:c r="N844" s="5"/>
      <x:c r="O844" s="9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</x:row>
    <x:row r="845" ht="14.25" customHeight="1">
      <x:c r="M845" s="5"/>
      <x:c r="N845" s="5"/>
      <x:c r="O845" s="9"/>
      <x:c r="P845" s="9"/>
      <x:c r="Q845" s="9"/>
      <x:c r="R845" s="9"/>
      <x:c r="S845" s="9"/>
      <x:c r="T845" s="9"/>
      <x:c r="U845" s="9"/>
      <x:c r="V845" s="9"/>
      <x:c r="W845" s="9"/>
      <x:c r="X845" s="9"/>
      <x:c r="Y845" s="9"/>
      <x:c r="Z845" s="9"/>
    </x:row>
    <x:row r="846" ht="14.25" customHeight="1">
      <x:c r="M846" s="5"/>
      <x:c r="N846" s="5"/>
      <x:c r="O846" s="9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</x:row>
    <x:row r="847" ht="14.25" customHeight="1">
      <x:c r="M847" s="5"/>
      <x:c r="N847" s="5"/>
      <x:c r="O847" s="9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</x:row>
    <x:row r="848" ht="14.25" customHeight="1">
      <x:c r="M848" s="5"/>
      <x:c r="N848" s="5"/>
      <x:c r="O848" s="9"/>
      <x:c r="P848" s="9"/>
      <x:c r="Q848" s="9"/>
      <x:c r="R848" s="9"/>
      <x:c r="S848" s="9"/>
      <x:c r="T848" s="9"/>
      <x:c r="U848" s="9"/>
      <x:c r="V848" s="9"/>
      <x:c r="W848" s="9"/>
      <x:c r="X848" s="9"/>
      <x:c r="Y848" s="9"/>
      <x:c r="Z848" s="9"/>
    </x:row>
    <x:row r="849" ht="14.25" customHeight="1">
      <x:c r="M849" s="5"/>
      <x:c r="N849" s="5"/>
      <x:c r="O849" s="9"/>
      <x:c r="P849" s="9"/>
      <x:c r="Q849" s="9"/>
      <x:c r="R849" s="9"/>
      <x:c r="S849" s="9"/>
      <x:c r="T849" s="9"/>
      <x:c r="U849" s="9"/>
      <x:c r="V849" s="9"/>
      <x:c r="W849" s="9"/>
      <x:c r="X849" s="9"/>
      <x:c r="Y849" s="9"/>
      <x:c r="Z849" s="9"/>
    </x:row>
    <x:row r="850" ht="14.25" customHeight="1">
      <x:c r="M850" s="5"/>
      <x:c r="N850" s="5"/>
      <x:c r="O850" s="9"/>
      <x:c r="P850" s="9"/>
      <x:c r="Q850" s="9"/>
      <x:c r="R850" s="9"/>
      <x:c r="S850" s="9"/>
      <x:c r="T850" s="9"/>
      <x:c r="U850" s="9"/>
      <x:c r="V850" s="9"/>
      <x:c r="W850" s="9"/>
      <x:c r="X850" s="9"/>
      <x:c r="Y850" s="9"/>
      <x:c r="Z850" s="9"/>
    </x:row>
    <x:row r="851" ht="14.25" customHeight="1">
      <x:c r="M851" s="5"/>
      <x:c r="N851" s="5"/>
      <x:c r="O851" s="9"/>
      <x:c r="P851" s="9"/>
      <x:c r="Q851" s="9"/>
      <x:c r="R851" s="9"/>
      <x:c r="S851" s="9"/>
      <x:c r="T851" s="9"/>
      <x:c r="U851" s="9"/>
      <x:c r="V851" s="9"/>
      <x:c r="W851" s="9"/>
      <x:c r="X851" s="9"/>
      <x:c r="Y851" s="9"/>
      <x:c r="Z851" s="9"/>
    </x:row>
    <x:row r="852" ht="14.25" customHeight="1">
      <x:c r="M852" s="5"/>
      <x:c r="N852" s="5"/>
      <x:c r="O852" s="9"/>
      <x:c r="P852" s="9"/>
      <x:c r="Q852" s="9"/>
      <x:c r="R852" s="9"/>
      <x:c r="S852" s="9"/>
      <x:c r="T852" s="9"/>
      <x:c r="U852" s="9"/>
      <x:c r="V852" s="9"/>
      <x:c r="W852" s="9"/>
      <x:c r="X852" s="9"/>
      <x:c r="Y852" s="9"/>
      <x:c r="Z852" s="9"/>
    </x:row>
    <x:row r="853" ht="14.25" customHeight="1">
      <x:c r="M853" s="5"/>
      <x:c r="N853" s="5"/>
      <x:c r="O853" s="9"/>
      <x:c r="P853" s="9"/>
      <x:c r="Q853" s="9"/>
      <x:c r="R853" s="9"/>
      <x:c r="S853" s="9"/>
      <x:c r="T853" s="9"/>
      <x:c r="U853" s="9"/>
      <x:c r="V853" s="9"/>
      <x:c r="W853" s="9"/>
      <x:c r="X853" s="9"/>
      <x:c r="Y853" s="9"/>
      <x:c r="Z853" s="9"/>
    </x:row>
    <x:row r="854" ht="14.25" customHeight="1">
      <x:c r="M854" s="5"/>
      <x:c r="N854" s="5"/>
      <x:c r="O854" s="9"/>
      <x:c r="P854" s="9"/>
      <x:c r="Q854" s="9"/>
      <x:c r="R854" s="9"/>
      <x:c r="S854" s="9"/>
      <x:c r="T854" s="9"/>
      <x:c r="U854" s="9"/>
      <x:c r="V854" s="9"/>
      <x:c r="W854" s="9"/>
      <x:c r="X854" s="9"/>
      <x:c r="Y854" s="9"/>
      <x:c r="Z854" s="9"/>
    </x:row>
    <x:row r="855" ht="14.25" customHeight="1">
      <x:c r="M855" s="5"/>
      <x:c r="N855" s="5"/>
      <x:c r="O855" s="9"/>
      <x:c r="P855" s="9"/>
      <x:c r="Q855" s="9"/>
      <x:c r="R855" s="9"/>
      <x:c r="S855" s="9"/>
      <x:c r="T855" s="9"/>
      <x:c r="U855" s="9"/>
      <x:c r="V855" s="9"/>
      <x:c r="W855" s="9"/>
      <x:c r="X855" s="9"/>
      <x:c r="Y855" s="9"/>
      <x:c r="Z855" s="9"/>
    </x:row>
    <x:row r="856" ht="14.25" customHeight="1">
      <x:c r="M856" s="5"/>
      <x:c r="N856" s="5"/>
      <x:c r="O856" s="9"/>
      <x:c r="P856" s="9"/>
      <x:c r="Q856" s="9"/>
      <x:c r="R856" s="9"/>
      <x:c r="S856" s="9"/>
      <x:c r="T856" s="9"/>
      <x:c r="U856" s="9"/>
      <x:c r="V856" s="9"/>
      <x:c r="W856" s="9"/>
      <x:c r="X856" s="9"/>
      <x:c r="Y856" s="9"/>
      <x:c r="Z856" s="9"/>
    </x:row>
    <x:row r="857" ht="14.25" customHeight="1">
      <x:c r="M857" s="5"/>
      <x:c r="N857" s="5"/>
      <x:c r="O857" s="9"/>
      <x:c r="P857" s="9"/>
      <x:c r="Q857" s="9"/>
      <x:c r="R857" s="9"/>
      <x:c r="S857" s="9"/>
      <x:c r="T857" s="9"/>
      <x:c r="U857" s="9"/>
      <x:c r="V857" s="9"/>
      <x:c r="W857" s="9"/>
      <x:c r="X857" s="9"/>
      <x:c r="Y857" s="9"/>
      <x:c r="Z857" s="9"/>
    </x:row>
    <x:row r="858" ht="14.25" customHeight="1">
      <x:c r="M858" s="5"/>
      <x:c r="N858" s="5"/>
      <x:c r="O858" s="9"/>
      <x:c r="P858" s="9"/>
      <x:c r="Q858" s="9"/>
      <x:c r="R858" s="9"/>
      <x:c r="S858" s="9"/>
      <x:c r="T858" s="9"/>
      <x:c r="U858" s="9"/>
      <x:c r="V858" s="9"/>
      <x:c r="W858" s="9"/>
      <x:c r="X858" s="9"/>
      <x:c r="Y858" s="9"/>
      <x:c r="Z858" s="9"/>
    </x:row>
    <x:row r="859" ht="14.25" customHeight="1">
      <x:c r="M859" s="5"/>
      <x:c r="N859" s="5"/>
      <x:c r="O859" s="9"/>
      <x:c r="P859" s="9"/>
      <x:c r="Q859" s="9"/>
      <x:c r="R859" s="9"/>
      <x:c r="S859" s="9"/>
      <x:c r="T859" s="9"/>
      <x:c r="U859" s="9"/>
      <x:c r="V859" s="9"/>
      <x:c r="W859" s="9"/>
      <x:c r="X859" s="9"/>
      <x:c r="Y859" s="9"/>
      <x:c r="Z859" s="9"/>
    </x:row>
    <x:row r="860" ht="14.25" customHeight="1">
      <x:c r="M860" s="5"/>
      <x:c r="N860" s="5"/>
      <x:c r="O860" s="9"/>
      <x:c r="P860" s="9"/>
      <x:c r="Q860" s="9"/>
      <x:c r="R860" s="9"/>
      <x:c r="S860" s="9"/>
      <x:c r="T860" s="9"/>
      <x:c r="U860" s="9"/>
      <x:c r="V860" s="9"/>
      <x:c r="W860" s="9"/>
      <x:c r="X860" s="9"/>
      <x:c r="Y860" s="9"/>
      <x:c r="Z860" s="9"/>
    </x:row>
    <x:row r="861" ht="14.25" customHeight="1">
      <x:c r="M861" s="5"/>
      <x:c r="N861" s="5"/>
      <x:c r="O861" s="9"/>
      <x:c r="P861" s="9"/>
      <x:c r="Q861" s="9"/>
      <x:c r="R861" s="9"/>
      <x:c r="S861" s="9"/>
      <x:c r="T861" s="9"/>
      <x:c r="U861" s="9"/>
      <x:c r="V861" s="9"/>
      <x:c r="W861" s="9"/>
      <x:c r="X861" s="9"/>
      <x:c r="Y861" s="9"/>
      <x:c r="Z861" s="9"/>
    </x:row>
    <x:row r="862" ht="14.25" customHeight="1">
      <x:c r="M862" s="5"/>
      <x:c r="N862" s="5"/>
      <x:c r="O862" s="9"/>
      <x:c r="P862" s="9"/>
      <x:c r="Q862" s="9"/>
      <x:c r="R862" s="9"/>
      <x:c r="S862" s="9"/>
      <x:c r="T862" s="9"/>
      <x:c r="U862" s="9"/>
      <x:c r="V862" s="9"/>
      <x:c r="W862" s="9"/>
      <x:c r="X862" s="9"/>
      <x:c r="Y862" s="9"/>
      <x:c r="Z862" s="9"/>
    </x:row>
    <x:row r="863" ht="14.25" customHeight="1">
      <x:c r="M863" s="5"/>
      <x:c r="N863" s="5"/>
      <x:c r="O863" s="9"/>
      <x:c r="P863" s="9"/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</x:row>
    <x:row r="864" ht="14.25" customHeight="1">
      <x:c r="M864" s="5"/>
      <x:c r="N864" s="5"/>
      <x:c r="O864" s="9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</x:row>
    <x:row r="865" ht="14.25" customHeight="1">
      <x:c r="M865" s="5"/>
      <x:c r="N865" s="5"/>
      <x:c r="O865" s="9"/>
      <x:c r="P865" s="9"/>
      <x:c r="Q865" s="9"/>
      <x:c r="R865" s="9"/>
      <x:c r="S865" s="9"/>
      <x:c r="T865" s="9"/>
      <x:c r="U865" s="9"/>
      <x:c r="V865" s="9"/>
      <x:c r="W865" s="9"/>
      <x:c r="X865" s="9"/>
      <x:c r="Y865" s="9"/>
      <x:c r="Z865" s="9"/>
    </x:row>
    <x:row r="866" ht="14.25" customHeight="1">
      <x:c r="M866" s="5"/>
      <x:c r="N866" s="5"/>
      <x:c r="O866" s="9"/>
      <x:c r="P866" s="9"/>
      <x:c r="Q866" s="9"/>
      <x:c r="R866" s="9"/>
      <x:c r="S866" s="9"/>
      <x:c r="T866" s="9"/>
      <x:c r="U866" s="9"/>
      <x:c r="V866" s="9"/>
      <x:c r="W866" s="9"/>
      <x:c r="X866" s="9"/>
      <x:c r="Y866" s="9"/>
      <x:c r="Z866" s="9"/>
    </x:row>
    <x:row r="867" ht="14.25" customHeight="1">
      <x:c r="M867" s="5"/>
      <x:c r="N867" s="5"/>
      <x:c r="O867" s="9"/>
      <x:c r="P867" s="9"/>
      <x:c r="Q867" s="9"/>
      <x:c r="R867" s="9"/>
      <x:c r="S867" s="9"/>
      <x:c r="T867" s="9"/>
      <x:c r="U867" s="9"/>
      <x:c r="V867" s="9"/>
      <x:c r="W867" s="9"/>
      <x:c r="X867" s="9"/>
      <x:c r="Y867" s="9"/>
      <x:c r="Z867" s="9"/>
    </x:row>
    <x:row r="868" ht="14.25" customHeight="1">
      <x:c r="M868" s="5"/>
      <x:c r="N868" s="5"/>
      <x:c r="O868" s="9"/>
      <x:c r="P868" s="9"/>
      <x:c r="Q868" s="9"/>
      <x:c r="R868" s="9"/>
      <x:c r="S868" s="9"/>
      <x:c r="T868" s="9"/>
      <x:c r="U868" s="9"/>
      <x:c r="V868" s="9"/>
      <x:c r="W868" s="9"/>
      <x:c r="X868" s="9"/>
      <x:c r="Y868" s="9"/>
      <x:c r="Z868" s="9"/>
    </x:row>
    <x:row r="869" ht="14.25" customHeight="1">
      <x:c r="M869" s="5"/>
      <x:c r="N869" s="5"/>
      <x:c r="O869" s="9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</x:row>
    <x:row r="870" ht="14.25" customHeight="1">
      <x:c r="M870" s="5"/>
      <x:c r="N870" s="5"/>
      <x:c r="O870" s="9"/>
      <x:c r="P870" s="9"/>
      <x:c r="Q870" s="9"/>
      <x:c r="R870" s="9"/>
      <x:c r="S870" s="9"/>
      <x:c r="T870" s="9"/>
      <x:c r="U870" s="9"/>
      <x:c r="V870" s="9"/>
      <x:c r="W870" s="9"/>
      <x:c r="X870" s="9"/>
      <x:c r="Y870" s="9"/>
      <x:c r="Z870" s="9"/>
    </x:row>
    <x:row r="871" ht="14.25" customHeight="1">
      <x:c r="M871" s="5"/>
      <x:c r="N871" s="5"/>
      <x:c r="O871" s="9"/>
      <x:c r="P871" s="9"/>
      <x:c r="Q871" s="9"/>
      <x:c r="R871" s="9"/>
      <x:c r="S871" s="9"/>
      <x:c r="T871" s="9"/>
      <x:c r="U871" s="9"/>
      <x:c r="V871" s="9"/>
      <x:c r="W871" s="9"/>
      <x:c r="X871" s="9"/>
      <x:c r="Y871" s="9"/>
      <x:c r="Z871" s="9"/>
    </x:row>
    <x:row r="872" ht="14.25" customHeight="1">
      <x:c r="M872" s="5"/>
      <x:c r="N872" s="5"/>
      <x:c r="O872" s="9"/>
      <x:c r="P872" s="9"/>
      <x:c r="Q872" s="9"/>
      <x:c r="R872" s="9"/>
      <x:c r="S872" s="9"/>
      <x:c r="T872" s="9"/>
      <x:c r="U872" s="9"/>
      <x:c r="V872" s="9"/>
      <x:c r="W872" s="9"/>
      <x:c r="X872" s="9"/>
      <x:c r="Y872" s="9"/>
      <x:c r="Z872" s="9"/>
    </x:row>
    <x:row r="873" ht="14.25" customHeight="1">
      <x:c r="M873" s="5"/>
      <x:c r="N873" s="5"/>
      <x:c r="O873" s="9"/>
      <x:c r="P873" s="9"/>
      <x:c r="Q873" s="9"/>
      <x:c r="R873" s="9"/>
      <x:c r="S873" s="9"/>
      <x:c r="T873" s="9"/>
      <x:c r="U873" s="9"/>
      <x:c r="V873" s="9"/>
      <x:c r="W873" s="9"/>
      <x:c r="X873" s="9"/>
      <x:c r="Y873" s="9"/>
      <x:c r="Z873" s="9"/>
    </x:row>
    <x:row r="874" ht="14.25" customHeight="1">
      <x:c r="M874" s="5"/>
      <x:c r="N874" s="5"/>
      <x:c r="O874" s="9"/>
      <x:c r="P874" s="9"/>
      <x:c r="Q874" s="9"/>
      <x:c r="R874" s="9"/>
      <x:c r="S874" s="9"/>
      <x:c r="T874" s="9"/>
      <x:c r="U874" s="9"/>
      <x:c r="V874" s="9"/>
      <x:c r="W874" s="9"/>
      <x:c r="X874" s="9"/>
      <x:c r="Y874" s="9"/>
      <x:c r="Z874" s="9"/>
    </x:row>
    <x:row r="875" ht="14.25" customHeight="1">
      <x:c r="M875" s="5"/>
      <x:c r="N875" s="5"/>
      <x:c r="O875" s="9"/>
      <x:c r="P875" s="9"/>
      <x:c r="Q875" s="9"/>
      <x:c r="R875" s="9"/>
      <x:c r="S875" s="9"/>
      <x:c r="T875" s="9"/>
      <x:c r="U875" s="9"/>
      <x:c r="V875" s="9"/>
      <x:c r="W875" s="9"/>
      <x:c r="X875" s="9"/>
      <x:c r="Y875" s="9"/>
      <x:c r="Z875" s="9"/>
    </x:row>
    <x:row r="876" ht="14.25" customHeight="1">
      <x:c r="M876" s="5"/>
      <x:c r="N876" s="5"/>
      <x:c r="O876" s="9"/>
      <x:c r="P876" s="9"/>
      <x:c r="Q876" s="9"/>
      <x:c r="R876" s="9"/>
      <x:c r="S876" s="9"/>
      <x:c r="T876" s="9"/>
      <x:c r="U876" s="9"/>
      <x:c r="V876" s="9"/>
      <x:c r="W876" s="9"/>
      <x:c r="X876" s="9"/>
      <x:c r="Y876" s="9"/>
      <x:c r="Z876" s="9"/>
    </x:row>
    <x:row r="877" ht="14.25" customHeight="1">
      <x:c r="M877" s="5"/>
      <x:c r="N877" s="5"/>
      <x:c r="O877" s="9"/>
      <x:c r="P877" s="9"/>
      <x:c r="Q877" s="9"/>
      <x:c r="R877" s="9"/>
      <x:c r="S877" s="9"/>
      <x:c r="T877" s="9"/>
      <x:c r="U877" s="9"/>
      <x:c r="V877" s="9"/>
      <x:c r="W877" s="9"/>
      <x:c r="X877" s="9"/>
      <x:c r="Y877" s="9"/>
      <x:c r="Z877" s="9"/>
    </x:row>
    <x:row r="878" ht="14.25" customHeight="1">
      <x:c r="M878" s="5"/>
      <x:c r="N878" s="5"/>
      <x:c r="O878" s="9"/>
      <x:c r="P878" s="9"/>
      <x:c r="Q878" s="9"/>
      <x:c r="R878" s="9"/>
      <x:c r="S878" s="9"/>
      <x:c r="T878" s="9"/>
      <x:c r="U878" s="9"/>
      <x:c r="V878" s="9"/>
      <x:c r="W878" s="9"/>
      <x:c r="X878" s="9"/>
      <x:c r="Y878" s="9"/>
      <x:c r="Z878" s="9"/>
    </x:row>
    <x:row r="879" ht="14.25" customHeight="1">
      <x:c r="M879" s="5"/>
      <x:c r="N879" s="5"/>
      <x:c r="O879" s="9"/>
      <x:c r="P879" s="9"/>
      <x:c r="Q879" s="9"/>
      <x:c r="R879" s="9"/>
      <x:c r="S879" s="9"/>
      <x:c r="T879" s="9"/>
      <x:c r="U879" s="9"/>
      <x:c r="V879" s="9"/>
      <x:c r="W879" s="9"/>
      <x:c r="X879" s="9"/>
      <x:c r="Y879" s="9"/>
      <x:c r="Z879" s="9"/>
    </x:row>
    <x:row r="880" ht="14.25" customHeight="1">
      <x:c r="M880" s="5"/>
      <x:c r="N880" s="5"/>
      <x:c r="O880" s="9"/>
      <x:c r="P880" s="9"/>
      <x:c r="Q880" s="9"/>
      <x:c r="R880" s="9"/>
      <x:c r="S880" s="9"/>
      <x:c r="T880" s="9"/>
      <x:c r="U880" s="9"/>
      <x:c r="V880" s="9"/>
      <x:c r="W880" s="9"/>
      <x:c r="X880" s="9"/>
      <x:c r="Y880" s="9"/>
      <x:c r="Z880" s="9"/>
    </x:row>
    <x:row r="881" ht="14.25" customHeight="1">
      <x:c r="M881" s="5"/>
      <x:c r="N881" s="5"/>
      <x:c r="O881" s="9"/>
      <x:c r="P881" s="9"/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</x:row>
    <x:row r="882" ht="14.25" customHeight="1">
      <x:c r="M882" s="5"/>
      <x:c r="N882" s="5"/>
      <x:c r="O882" s="9"/>
      <x:c r="P882" s="9"/>
      <x:c r="Q882" s="9"/>
      <x:c r="R882" s="9"/>
      <x:c r="S882" s="9"/>
      <x:c r="T882" s="9"/>
      <x:c r="U882" s="9"/>
      <x:c r="V882" s="9"/>
      <x:c r="W882" s="9"/>
      <x:c r="X882" s="9"/>
      <x:c r="Y882" s="9"/>
      <x:c r="Z882" s="9"/>
    </x:row>
    <x:row r="883" ht="14.25" customHeight="1">
      <x:c r="M883" s="5"/>
      <x:c r="N883" s="5"/>
      <x:c r="O883" s="9"/>
      <x:c r="P883" s="9"/>
      <x:c r="Q883" s="9"/>
      <x:c r="R883" s="9"/>
      <x:c r="S883" s="9"/>
      <x:c r="T883" s="9"/>
      <x:c r="U883" s="9"/>
      <x:c r="V883" s="9"/>
      <x:c r="W883" s="9"/>
      <x:c r="X883" s="9"/>
      <x:c r="Y883" s="9"/>
      <x:c r="Z883" s="9"/>
    </x:row>
    <x:row r="884" ht="14.25" customHeight="1">
      <x:c r="M884" s="5"/>
      <x:c r="N884" s="5"/>
      <x:c r="O884" s="9"/>
      <x:c r="P884" s="9"/>
      <x:c r="Q884" s="9"/>
      <x:c r="R884" s="9"/>
      <x:c r="S884" s="9"/>
      <x:c r="T884" s="9"/>
      <x:c r="U884" s="9"/>
      <x:c r="V884" s="9"/>
      <x:c r="W884" s="9"/>
      <x:c r="X884" s="9"/>
      <x:c r="Y884" s="9"/>
      <x:c r="Z884" s="9"/>
    </x:row>
    <x:row r="885" ht="14.25" customHeight="1">
      <x:c r="M885" s="5"/>
      <x:c r="N885" s="5"/>
      <x:c r="O885" s="9"/>
      <x:c r="P885" s="9"/>
      <x:c r="Q885" s="9"/>
      <x:c r="R885" s="9"/>
      <x:c r="S885" s="9"/>
      <x:c r="T885" s="9"/>
      <x:c r="U885" s="9"/>
      <x:c r="V885" s="9"/>
      <x:c r="W885" s="9"/>
      <x:c r="X885" s="9"/>
      <x:c r="Y885" s="9"/>
      <x:c r="Z885" s="9"/>
    </x:row>
    <x:row r="886" ht="14.25" customHeight="1">
      <x:c r="M886" s="5"/>
      <x:c r="N886" s="5"/>
      <x:c r="O886" s="9"/>
      <x:c r="P886" s="9"/>
      <x:c r="Q886" s="9"/>
      <x:c r="R886" s="9"/>
      <x:c r="S886" s="9"/>
      <x:c r="T886" s="9"/>
      <x:c r="U886" s="9"/>
      <x:c r="V886" s="9"/>
      <x:c r="W886" s="9"/>
      <x:c r="X886" s="9"/>
      <x:c r="Y886" s="9"/>
      <x:c r="Z886" s="9"/>
    </x:row>
    <x:row r="887" ht="14.25" customHeight="1">
      <x:c r="M887" s="5"/>
      <x:c r="N887" s="5"/>
      <x:c r="O887" s="9"/>
      <x:c r="P887" s="9"/>
      <x:c r="Q887" s="9"/>
      <x:c r="R887" s="9"/>
      <x:c r="S887" s="9"/>
      <x:c r="T887" s="9"/>
      <x:c r="U887" s="9"/>
      <x:c r="V887" s="9"/>
      <x:c r="W887" s="9"/>
      <x:c r="X887" s="9"/>
      <x:c r="Y887" s="9"/>
      <x:c r="Z887" s="9"/>
    </x:row>
    <x:row r="888" ht="14.25" customHeight="1">
      <x:c r="M888" s="5"/>
      <x:c r="N888" s="5"/>
      <x:c r="O888" s="9"/>
      <x:c r="P888" s="9"/>
      <x:c r="Q888" s="9"/>
      <x:c r="R888" s="9"/>
      <x:c r="S888" s="9"/>
      <x:c r="T888" s="9"/>
      <x:c r="U888" s="9"/>
      <x:c r="V888" s="9"/>
      <x:c r="W888" s="9"/>
      <x:c r="X888" s="9"/>
      <x:c r="Y888" s="9"/>
      <x:c r="Z888" s="9"/>
    </x:row>
    <x:row r="889" ht="14.25" customHeight="1">
      <x:c r="M889" s="5"/>
      <x:c r="N889" s="5"/>
      <x:c r="O889" s="9"/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</x:row>
    <x:row r="890" ht="14.25" customHeight="1">
      <x:c r="M890" s="5"/>
      <x:c r="N890" s="5"/>
      <x:c r="O890" s="9"/>
      <x:c r="P890" s="9"/>
      <x:c r="Q890" s="9"/>
      <x:c r="R890" s="9"/>
      <x:c r="S890" s="9"/>
      <x:c r="T890" s="9"/>
      <x:c r="U890" s="9"/>
      <x:c r="V890" s="9"/>
      <x:c r="W890" s="9"/>
      <x:c r="X890" s="9"/>
      <x:c r="Y890" s="9"/>
      <x:c r="Z890" s="9"/>
    </x:row>
    <x:row r="891" ht="14.25" customHeight="1">
      <x:c r="M891" s="5"/>
      <x:c r="N891" s="5"/>
      <x:c r="O891" s="9"/>
      <x:c r="P891" s="9"/>
      <x:c r="Q891" s="9"/>
      <x:c r="R891" s="9"/>
      <x:c r="S891" s="9"/>
      <x:c r="T891" s="9"/>
      <x:c r="U891" s="9"/>
      <x:c r="V891" s="9"/>
      <x:c r="W891" s="9"/>
      <x:c r="X891" s="9"/>
      <x:c r="Y891" s="9"/>
      <x:c r="Z891" s="9"/>
    </x:row>
    <x:row r="892" ht="14.25" customHeight="1">
      <x:c r="M892" s="5"/>
      <x:c r="N892" s="5"/>
      <x:c r="O892" s="9"/>
      <x:c r="P892" s="9"/>
      <x:c r="Q892" s="9"/>
      <x:c r="R892" s="9"/>
      <x:c r="S892" s="9"/>
      <x:c r="T892" s="9"/>
      <x:c r="U892" s="9"/>
      <x:c r="V892" s="9"/>
      <x:c r="W892" s="9"/>
      <x:c r="X892" s="9"/>
      <x:c r="Y892" s="9"/>
      <x:c r="Z892" s="9"/>
    </x:row>
    <x:row r="893" ht="14.25" customHeight="1">
      <x:c r="M893" s="5"/>
      <x:c r="N893" s="5"/>
      <x:c r="O893" s="9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</x:row>
    <x:row r="894" ht="14.25" customHeight="1">
      <x:c r="M894" s="5"/>
      <x:c r="N894" s="5"/>
      <x:c r="O894" s="9"/>
      <x:c r="P894" s="9"/>
      <x:c r="Q894" s="9"/>
      <x:c r="R894" s="9"/>
      <x:c r="S894" s="9"/>
      <x:c r="T894" s="9"/>
      <x:c r="U894" s="9"/>
      <x:c r="V894" s="9"/>
      <x:c r="W894" s="9"/>
      <x:c r="X894" s="9"/>
      <x:c r="Y894" s="9"/>
      <x:c r="Z894" s="9"/>
    </x:row>
    <x:row r="895" ht="14.25" customHeight="1">
      <x:c r="M895" s="5"/>
      <x:c r="N895" s="5"/>
      <x:c r="O895" s="9"/>
      <x:c r="P895" s="9"/>
      <x:c r="Q895" s="9"/>
      <x:c r="R895" s="9"/>
      <x:c r="S895" s="9"/>
      <x:c r="T895" s="9"/>
      <x:c r="U895" s="9"/>
      <x:c r="V895" s="9"/>
      <x:c r="W895" s="9"/>
      <x:c r="X895" s="9"/>
      <x:c r="Y895" s="9"/>
      <x:c r="Z895" s="9"/>
    </x:row>
    <x:row r="896" ht="14.25" customHeight="1">
      <x:c r="M896" s="5"/>
      <x:c r="N896" s="5"/>
      <x:c r="O896" s="9"/>
      <x:c r="P896" s="9"/>
      <x:c r="Q896" s="9"/>
      <x:c r="R896" s="9"/>
      <x:c r="S896" s="9"/>
      <x:c r="T896" s="9"/>
      <x:c r="U896" s="9"/>
      <x:c r="V896" s="9"/>
      <x:c r="W896" s="9"/>
      <x:c r="X896" s="9"/>
      <x:c r="Y896" s="9"/>
      <x:c r="Z896" s="9"/>
    </x:row>
    <x:row r="897" ht="14.25" customHeight="1">
      <x:c r="M897" s="5"/>
      <x:c r="N897" s="5"/>
      <x:c r="O897" s="9"/>
      <x:c r="P897" s="9"/>
      <x:c r="Q897" s="9"/>
      <x:c r="R897" s="9"/>
      <x:c r="S897" s="9"/>
      <x:c r="T897" s="9"/>
      <x:c r="U897" s="9"/>
      <x:c r="V897" s="9"/>
      <x:c r="W897" s="9"/>
      <x:c r="X897" s="9"/>
      <x:c r="Y897" s="9"/>
      <x:c r="Z897" s="9"/>
    </x:row>
    <x:row r="898" ht="14.25" customHeight="1">
      <x:c r="M898" s="5"/>
      <x:c r="N898" s="5"/>
      <x:c r="O898" s="9"/>
      <x:c r="P898" s="9"/>
      <x:c r="Q898" s="9"/>
      <x:c r="R898" s="9"/>
      <x:c r="S898" s="9"/>
      <x:c r="T898" s="9"/>
      <x:c r="U898" s="9"/>
      <x:c r="V898" s="9"/>
      <x:c r="W898" s="9"/>
      <x:c r="X898" s="9"/>
      <x:c r="Y898" s="9"/>
      <x:c r="Z898" s="9"/>
    </x:row>
    <x:row r="899" ht="14.25" customHeight="1">
      <x:c r="M899" s="5"/>
      <x:c r="N899" s="5"/>
      <x:c r="O899" s="9"/>
      <x:c r="P899" s="9"/>
      <x:c r="Q899" s="9"/>
      <x:c r="R899" s="9"/>
      <x:c r="S899" s="9"/>
      <x:c r="T899" s="9"/>
      <x:c r="U899" s="9"/>
      <x:c r="V899" s="9"/>
      <x:c r="W899" s="9"/>
      <x:c r="X899" s="9"/>
      <x:c r="Y899" s="9"/>
      <x:c r="Z899" s="9"/>
    </x:row>
    <x:row r="900" ht="14.25" customHeight="1">
      <x:c r="M900" s="5"/>
      <x:c r="N900" s="5"/>
      <x:c r="O900" s="9"/>
      <x:c r="P900" s="9"/>
      <x:c r="Q900" s="9"/>
      <x:c r="R900" s="9"/>
      <x:c r="S900" s="9"/>
      <x:c r="T900" s="9"/>
      <x:c r="U900" s="9"/>
      <x:c r="V900" s="9"/>
      <x:c r="W900" s="9"/>
      <x:c r="X900" s="9"/>
      <x:c r="Y900" s="9"/>
      <x:c r="Z900" s="9"/>
    </x:row>
    <x:row r="901" ht="14.25" customHeight="1">
      <x:c r="M901" s="5"/>
      <x:c r="N901" s="5"/>
      <x:c r="O901" s="9"/>
      <x:c r="P901" s="9"/>
      <x:c r="Q901" s="9"/>
      <x:c r="R901" s="9"/>
      <x:c r="S901" s="9"/>
      <x:c r="T901" s="9"/>
      <x:c r="U901" s="9"/>
      <x:c r="V901" s="9"/>
      <x:c r="W901" s="9"/>
      <x:c r="X901" s="9"/>
      <x:c r="Y901" s="9"/>
      <x:c r="Z901" s="9"/>
    </x:row>
    <x:row r="902" ht="14.25" customHeight="1">
      <x:c r="M902" s="5"/>
      <x:c r="N902" s="5"/>
      <x:c r="O902" s="9"/>
      <x:c r="P902" s="9"/>
      <x:c r="Q902" s="9"/>
      <x:c r="R902" s="9"/>
      <x:c r="S902" s="9"/>
      <x:c r="T902" s="9"/>
      <x:c r="U902" s="9"/>
      <x:c r="V902" s="9"/>
      <x:c r="W902" s="9"/>
      <x:c r="X902" s="9"/>
      <x:c r="Y902" s="9"/>
      <x:c r="Z902" s="9"/>
    </x:row>
    <x:row r="903" ht="14.25" customHeight="1">
      <x:c r="M903" s="5"/>
      <x:c r="N903" s="5"/>
      <x:c r="O903" s="9"/>
      <x:c r="P903" s="9"/>
      <x:c r="Q903" s="9"/>
      <x:c r="R903" s="9"/>
      <x:c r="S903" s="9"/>
      <x:c r="T903" s="9"/>
      <x:c r="U903" s="9"/>
      <x:c r="V903" s="9"/>
      <x:c r="W903" s="9"/>
      <x:c r="X903" s="9"/>
      <x:c r="Y903" s="9"/>
      <x:c r="Z903" s="9"/>
    </x:row>
    <x:row r="904" ht="14.25" customHeight="1">
      <x:c r="M904" s="5"/>
      <x:c r="N904" s="5"/>
      <x:c r="O904" s="9"/>
      <x:c r="P904" s="9"/>
      <x:c r="Q904" s="9"/>
      <x:c r="R904" s="9"/>
      <x:c r="S904" s="9"/>
      <x:c r="T904" s="9"/>
      <x:c r="U904" s="9"/>
      <x:c r="V904" s="9"/>
      <x:c r="W904" s="9"/>
      <x:c r="X904" s="9"/>
      <x:c r="Y904" s="9"/>
      <x:c r="Z904" s="9"/>
    </x:row>
    <x:row r="905" ht="14.25" customHeight="1">
      <x:c r="M905" s="5"/>
      <x:c r="N905" s="5"/>
      <x:c r="O905" s="9"/>
      <x:c r="P905" s="9"/>
      <x:c r="Q905" s="9"/>
      <x:c r="R905" s="9"/>
      <x:c r="S905" s="9"/>
      <x:c r="T905" s="9"/>
      <x:c r="U905" s="9"/>
      <x:c r="V905" s="9"/>
      <x:c r="W905" s="9"/>
      <x:c r="X905" s="9"/>
      <x:c r="Y905" s="9"/>
      <x:c r="Z905" s="9"/>
    </x:row>
    <x:row r="906" ht="14.25" customHeight="1">
      <x:c r="M906" s="5"/>
      <x:c r="N906" s="5"/>
      <x:c r="O906" s="9"/>
      <x:c r="P906" s="9"/>
      <x:c r="Q906" s="9"/>
      <x:c r="R906" s="9"/>
      <x:c r="S906" s="9"/>
      <x:c r="T906" s="9"/>
      <x:c r="U906" s="9"/>
      <x:c r="V906" s="9"/>
      <x:c r="W906" s="9"/>
      <x:c r="X906" s="9"/>
      <x:c r="Y906" s="9"/>
      <x:c r="Z906" s="9"/>
    </x:row>
    <x:row r="907" ht="14.25" customHeight="1">
      <x:c r="M907" s="5"/>
      <x:c r="N907" s="5"/>
      <x:c r="O907" s="9"/>
      <x:c r="P907" s="9"/>
      <x:c r="Q907" s="9"/>
      <x:c r="R907" s="9"/>
      <x:c r="S907" s="9"/>
      <x:c r="T907" s="9"/>
      <x:c r="U907" s="9"/>
      <x:c r="V907" s="9"/>
      <x:c r="W907" s="9"/>
      <x:c r="X907" s="9"/>
      <x:c r="Y907" s="9"/>
      <x:c r="Z907" s="9"/>
    </x:row>
    <x:row r="908" ht="14.25" customHeight="1">
      <x:c r="M908" s="5"/>
      <x:c r="N908" s="5"/>
      <x:c r="O908" s="9"/>
      <x:c r="P908" s="9"/>
      <x:c r="Q908" s="9"/>
      <x:c r="R908" s="9"/>
      <x:c r="S908" s="9"/>
      <x:c r="T908" s="9"/>
      <x:c r="U908" s="9"/>
      <x:c r="V908" s="9"/>
      <x:c r="W908" s="9"/>
      <x:c r="X908" s="9"/>
      <x:c r="Y908" s="9"/>
      <x:c r="Z908" s="9"/>
    </x:row>
    <x:row r="909" ht="14.25" customHeight="1">
      <x:c r="M909" s="5"/>
      <x:c r="N909" s="5"/>
      <x:c r="O909" s="9"/>
      <x:c r="P909" s="9"/>
      <x:c r="Q909" s="9"/>
      <x:c r="R909" s="9"/>
      <x:c r="S909" s="9"/>
      <x:c r="T909" s="9"/>
      <x:c r="U909" s="9"/>
      <x:c r="V909" s="9"/>
      <x:c r="W909" s="9"/>
      <x:c r="X909" s="9"/>
      <x:c r="Y909" s="9"/>
      <x:c r="Z909" s="9"/>
    </x:row>
    <x:row r="910" ht="14.25" customHeight="1">
      <x:c r="M910" s="5"/>
      <x:c r="N910" s="5"/>
      <x:c r="O910" s="9"/>
      <x:c r="P910" s="9"/>
      <x:c r="Q910" s="9"/>
      <x:c r="R910" s="9"/>
      <x:c r="S910" s="9"/>
      <x:c r="T910" s="9"/>
      <x:c r="U910" s="9"/>
      <x:c r="V910" s="9"/>
      <x:c r="W910" s="9"/>
      <x:c r="X910" s="9"/>
      <x:c r="Y910" s="9"/>
      <x:c r="Z910" s="9"/>
    </x:row>
    <x:row r="911" ht="14.25" customHeight="1">
      <x:c r="M911" s="5"/>
      <x:c r="N911" s="5"/>
      <x:c r="O911" s="9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</x:row>
    <x:row r="912" ht="14.25" customHeight="1">
      <x:c r="M912" s="5"/>
      <x:c r="N912" s="5"/>
      <x:c r="O912" s="9"/>
      <x:c r="P912" s="9"/>
      <x:c r="Q912" s="9"/>
      <x:c r="R912" s="9"/>
      <x:c r="S912" s="9"/>
      <x:c r="T912" s="9"/>
      <x:c r="U912" s="9"/>
      <x:c r="V912" s="9"/>
      <x:c r="W912" s="9"/>
      <x:c r="X912" s="9"/>
      <x:c r="Y912" s="9"/>
      <x:c r="Z912" s="9"/>
    </x:row>
    <x:row r="913" ht="14.25" customHeight="1">
      <x:c r="M913" s="5"/>
      <x:c r="N913" s="5"/>
      <x:c r="O913" s="9"/>
      <x:c r="P913" s="9"/>
      <x:c r="Q913" s="9"/>
      <x:c r="R913" s="9"/>
      <x:c r="S913" s="9"/>
      <x:c r="T913" s="9"/>
      <x:c r="U913" s="9"/>
      <x:c r="V913" s="9"/>
      <x:c r="W913" s="9"/>
      <x:c r="X913" s="9"/>
      <x:c r="Y913" s="9"/>
      <x:c r="Z913" s="9"/>
    </x:row>
    <x:row r="914" ht="14.25" customHeight="1">
      <x:c r="M914" s="5"/>
      <x:c r="N914" s="5"/>
      <x:c r="O914" s="9"/>
      <x:c r="P914" s="9"/>
      <x:c r="Q914" s="9"/>
      <x:c r="R914" s="9"/>
      <x:c r="S914" s="9"/>
      <x:c r="T914" s="9"/>
      <x:c r="U914" s="9"/>
      <x:c r="V914" s="9"/>
      <x:c r="W914" s="9"/>
      <x:c r="X914" s="9"/>
      <x:c r="Y914" s="9"/>
      <x:c r="Z914" s="9"/>
    </x:row>
    <x:row r="915" ht="14.25" customHeight="1">
      <x:c r="M915" s="5"/>
      <x:c r="N915" s="5"/>
      <x:c r="O915" s="9"/>
      <x:c r="P915" s="9"/>
      <x:c r="Q915" s="9"/>
      <x:c r="R915" s="9"/>
      <x:c r="S915" s="9"/>
      <x:c r="T915" s="9"/>
      <x:c r="U915" s="9"/>
      <x:c r="V915" s="9"/>
      <x:c r="W915" s="9"/>
      <x:c r="X915" s="9"/>
      <x:c r="Y915" s="9"/>
      <x:c r="Z915" s="9"/>
    </x:row>
    <x:row r="916" ht="14.25" customHeight="1">
      <x:c r="M916" s="5"/>
      <x:c r="N916" s="5"/>
      <x:c r="O916" s="9"/>
      <x:c r="P916" s="9"/>
      <x:c r="Q916" s="9"/>
      <x:c r="R916" s="9"/>
      <x:c r="S916" s="9"/>
      <x:c r="T916" s="9"/>
      <x:c r="U916" s="9"/>
      <x:c r="V916" s="9"/>
      <x:c r="W916" s="9"/>
      <x:c r="X916" s="9"/>
      <x:c r="Y916" s="9"/>
      <x:c r="Z916" s="9"/>
    </x:row>
    <x:row r="917" ht="14.25" customHeight="1">
      <x:c r="M917" s="5"/>
      <x:c r="N917" s="5"/>
      <x:c r="O917" s="9"/>
      <x:c r="P917" s="9"/>
      <x:c r="Q917" s="9"/>
      <x:c r="R917" s="9"/>
      <x:c r="S917" s="9"/>
      <x:c r="T917" s="9"/>
      <x:c r="U917" s="9"/>
      <x:c r="V917" s="9"/>
      <x:c r="W917" s="9"/>
      <x:c r="X917" s="9"/>
      <x:c r="Y917" s="9"/>
      <x:c r="Z917" s="9"/>
    </x:row>
    <x:row r="918" ht="14.25" customHeight="1">
      <x:c r="M918" s="5"/>
      <x:c r="N918" s="5"/>
      <x:c r="O918" s="9"/>
      <x:c r="P918" s="9"/>
      <x:c r="Q918" s="9"/>
      <x:c r="R918" s="9"/>
      <x:c r="S918" s="9"/>
      <x:c r="T918" s="9"/>
      <x:c r="U918" s="9"/>
      <x:c r="V918" s="9"/>
      <x:c r="W918" s="9"/>
      <x:c r="X918" s="9"/>
      <x:c r="Y918" s="9"/>
      <x:c r="Z918" s="9"/>
    </x:row>
    <x:row r="919" ht="14.25" customHeight="1">
      <x:c r="M919" s="5"/>
      <x:c r="N919" s="5"/>
      <x:c r="O919" s="9"/>
      <x:c r="P919" s="9"/>
      <x:c r="Q919" s="9"/>
      <x:c r="R919" s="9"/>
      <x:c r="S919" s="9"/>
      <x:c r="T919" s="9"/>
      <x:c r="U919" s="9"/>
      <x:c r="V919" s="9"/>
      <x:c r="W919" s="9"/>
      <x:c r="X919" s="9"/>
      <x:c r="Y919" s="9"/>
      <x:c r="Z919" s="9"/>
    </x:row>
    <x:row r="920" ht="14.25" customHeight="1">
      <x:c r="M920" s="5"/>
      <x:c r="N920" s="5"/>
      <x:c r="O920" s="9"/>
      <x:c r="P920" s="9"/>
      <x:c r="Q920" s="9"/>
      <x:c r="R920" s="9"/>
      <x:c r="S920" s="9"/>
      <x:c r="T920" s="9"/>
      <x:c r="U920" s="9"/>
      <x:c r="V920" s="9"/>
      <x:c r="W920" s="9"/>
      <x:c r="X920" s="9"/>
      <x:c r="Y920" s="9"/>
      <x:c r="Z920" s="9"/>
    </x:row>
    <x:row r="921" ht="14.25" customHeight="1">
      <x:c r="M921" s="5"/>
      <x:c r="N921" s="5"/>
      <x:c r="O921" s="9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</x:row>
    <x:row r="922" ht="14.25" customHeight="1">
      <x:c r="M922" s="5"/>
      <x:c r="N922" s="5"/>
      <x:c r="O922" s="9"/>
      <x:c r="P922" s="9"/>
      <x:c r="Q922" s="9"/>
      <x:c r="R922" s="9"/>
      <x:c r="S922" s="9"/>
      <x:c r="T922" s="9"/>
      <x:c r="U922" s="9"/>
      <x:c r="V922" s="9"/>
      <x:c r="W922" s="9"/>
      <x:c r="X922" s="9"/>
      <x:c r="Y922" s="9"/>
      <x:c r="Z922" s="9"/>
    </x:row>
    <x:row r="923" ht="14.25" customHeight="1">
      <x:c r="M923" s="5"/>
      <x:c r="N923" s="5"/>
      <x:c r="O923" s="9"/>
      <x:c r="P923" s="9"/>
      <x:c r="Q923" s="9"/>
      <x:c r="R923" s="9"/>
      <x:c r="S923" s="9"/>
      <x:c r="T923" s="9"/>
      <x:c r="U923" s="9"/>
      <x:c r="V923" s="9"/>
      <x:c r="W923" s="9"/>
      <x:c r="X923" s="9"/>
      <x:c r="Y923" s="9"/>
      <x:c r="Z923" s="9"/>
    </x:row>
    <x:row r="924" ht="14.25" customHeight="1">
      <x:c r="M924" s="5"/>
      <x:c r="N924" s="5"/>
      <x:c r="O924" s="9"/>
      <x:c r="P924" s="9"/>
      <x:c r="Q924" s="9"/>
      <x:c r="R924" s="9"/>
      <x:c r="S924" s="9"/>
      <x:c r="T924" s="9"/>
      <x:c r="U924" s="9"/>
      <x:c r="V924" s="9"/>
      <x:c r="W924" s="9"/>
      <x:c r="X924" s="9"/>
      <x:c r="Y924" s="9"/>
      <x:c r="Z924" s="9"/>
    </x:row>
    <x:row r="925" ht="14.25" customHeight="1">
      <x:c r="M925" s="5"/>
      <x:c r="N925" s="5"/>
      <x:c r="O925" s="9"/>
      <x:c r="P925" s="9"/>
      <x:c r="Q925" s="9"/>
      <x:c r="R925" s="9"/>
      <x:c r="S925" s="9"/>
      <x:c r="T925" s="9"/>
      <x:c r="U925" s="9"/>
      <x:c r="V925" s="9"/>
      <x:c r="W925" s="9"/>
      <x:c r="X925" s="9"/>
      <x:c r="Y925" s="9"/>
      <x:c r="Z925" s="9"/>
    </x:row>
    <x:row r="926" ht="14.25" customHeight="1">
      <x:c r="M926" s="5"/>
      <x:c r="N926" s="5"/>
      <x:c r="O926" s="9"/>
      <x:c r="P926" s="9"/>
      <x:c r="Q926" s="9"/>
      <x:c r="R926" s="9"/>
      <x:c r="S926" s="9"/>
      <x:c r="T926" s="9"/>
      <x:c r="U926" s="9"/>
      <x:c r="V926" s="9"/>
      <x:c r="W926" s="9"/>
      <x:c r="X926" s="9"/>
      <x:c r="Y926" s="9"/>
      <x:c r="Z926" s="9"/>
    </x:row>
    <x:row r="927" ht="14.25" customHeight="1">
      <x:c r="M927" s="5"/>
      <x:c r="N927" s="5"/>
      <x:c r="O927" s="9"/>
      <x:c r="P927" s="9"/>
      <x:c r="Q927" s="9"/>
      <x:c r="R927" s="9"/>
      <x:c r="S927" s="9"/>
      <x:c r="T927" s="9"/>
      <x:c r="U927" s="9"/>
      <x:c r="V927" s="9"/>
      <x:c r="W927" s="9"/>
      <x:c r="X927" s="9"/>
      <x:c r="Y927" s="9"/>
      <x:c r="Z927" s="9"/>
    </x:row>
    <x:row r="928" ht="14.25" customHeight="1">
      <x:c r="M928" s="5"/>
      <x:c r="N928" s="5"/>
      <x:c r="O928" s="9"/>
      <x:c r="P928" s="9"/>
      <x:c r="Q928" s="9"/>
      <x:c r="R928" s="9"/>
      <x:c r="S928" s="9"/>
      <x:c r="T928" s="9"/>
      <x:c r="U928" s="9"/>
      <x:c r="V928" s="9"/>
      <x:c r="W928" s="9"/>
      <x:c r="X928" s="9"/>
      <x:c r="Y928" s="9"/>
      <x:c r="Z928" s="9"/>
    </x:row>
    <x:row r="929" ht="14.25" customHeight="1">
      <x:c r="M929" s="5"/>
      <x:c r="N929" s="5"/>
      <x:c r="O929" s="9"/>
      <x:c r="P929" s="9"/>
      <x:c r="Q929" s="9"/>
      <x:c r="R929" s="9"/>
      <x:c r="S929" s="9"/>
      <x:c r="T929" s="9"/>
      <x:c r="U929" s="9"/>
      <x:c r="V929" s="9"/>
      <x:c r="W929" s="9"/>
      <x:c r="X929" s="9"/>
      <x:c r="Y929" s="9"/>
      <x:c r="Z929" s="9"/>
    </x:row>
    <x:row r="930" ht="14.25" customHeight="1">
      <x:c r="M930" s="5"/>
      <x:c r="N930" s="5"/>
      <x:c r="O930" s="9"/>
      <x:c r="P930" s="9"/>
      <x:c r="Q930" s="9"/>
      <x:c r="R930" s="9"/>
      <x:c r="S930" s="9"/>
      <x:c r="T930" s="9"/>
      <x:c r="U930" s="9"/>
      <x:c r="V930" s="9"/>
      <x:c r="W930" s="9"/>
      <x:c r="X930" s="9"/>
      <x:c r="Y930" s="9"/>
      <x:c r="Z930" s="9"/>
    </x:row>
    <x:row r="931" ht="14.25" customHeight="1">
      <x:c r="M931" s="5"/>
      <x:c r="N931" s="5"/>
      <x:c r="O931" s="9"/>
      <x:c r="P931" s="9"/>
      <x:c r="Q931" s="9"/>
      <x:c r="R931" s="9"/>
      <x:c r="S931" s="9"/>
      <x:c r="T931" s="9"/>
      <x:c r="U931" s="9"/>
      <x:c r="V931" s="9"/>
      <x:c r="W931" s="9"/>
      <x:c r="X931" s="9"/>
      <x:c r="Y931" s="9"/>
      <x:c r="Z931" s="9"/>
    </x:row>
    <x:row r="932" ht="14.25" customHeight="1">
      <x:c r="M932" s="5"/>
      <x:c r="N932" s="5"/>
      <x:c r="O932" s="9"/>
      <x:c r="P932" s="9"/>
      <x:c r="Q932" s="9"/>
      <x:c r="R932" s="9"/>
      <x:c r="S932" s="9"/>
      <x:c r="T932" s="9"/>
      <x:c r="U932" s="9"/>
      <x:c r="V932" s="9"/>
      <x:c r="W932" s="9"/>
      <x:c r="X932" s="9"/>
      <x:c r="Y932" s="9"/>
      <x:c r="Z932" s="9"/>
    </x:row>
    <x:row r="933" ht="14.25" customHeight="1">
      <x:c r="M933" s="5"/>
      <x:c r="N933" s="5"/>
      <x:c r="O933" s="9"/>
      <x:c r="P933" s="9"/>
      <x:c r="Q933" s="9"/>
      <x:c r="R933" s="9"/>
      <x:c r="S933" s="9"/>
      <x:c r="T933" s="9"/>
      <x:c r="U933" s="9"/>
      <x:c r="V933" s="9"/>
      <x:c r="W933" s="9"/>
      <x:c r="X933" s="9"/>
      <x:c r="Y933" s="9"/>
      <x:c r="Z933" s="9"/>
    </x:row>
    <x:row r="934" ht="14.25" customHeight="1">
      <x:c r="M934" s="5"/>
      <x:c r="N934" s="5"/>
      <x:c r="O934" s="9"/>
      <x:c r="P934" s="9"/>
      <x:c r="Q934" s="9"/>
      <x:c r="R934" s="9"/>
      <x:c r="S934" s="9"/>
      <x:c r="T934" s="9"/>
      <x:c r="U934" s="9"/>
      <x:c r="V934" s="9"/>
      <x:c r="W934" s="9"/>
      <x:c r="X934" s="9"/>
      <x:c r="Y934" s="9"/>
      <x:c r="Z934" s="9"/>
    </x:row>
    <x:row r="935" ht="14.25" customHeight="1">
      <x:c r="M935" s="5"/>
      <x:c r="N935" s="5"/>
      <x:c r="O935" s="9"/>
      <x:c r="P935" s="9"/>
      <x:c r="Q935" s="9"/>
      <x:c r="R935" s="9"/>
      <x:c r="S935" s="9"/>
      <x:c r="T935" s="9"/>
      <x:c r="U935" s="9"/>
      <x:c r="V935" s="9"/>
      <x:c r="W935" s="9"/>
      <x:c r="X935" s="9"/>
      <x:c r="Y935" s="9"/>
      <x:c r="Z935" s="9"/>
    </x:row>
    <x:row r="936" ht="14.25" customHeight="1">
      <x:c r="M936" s="5"/>
      <x:c r="N936" s="5"/>
      <x:c r="O936" s="9"/>
      <x:c r="P936" s="9"/>
      <x:c r="Q936" s="9"/>
      <x:c r="R936" s="9"/>
      <x:c r="S936" s="9"/>
      <x:c r="T936" s="9"/>
      <x:c r="U936" s="9"/>
      <x:c r="V936" s="9"/>
      <x:c r="W936" s="9"/>
      <x:c r="X936" s="9"/>
      <x:c r="Y936" s="9"/>
      <x:c r="Z936" s="9"/>
    </x:row>
    <x:row r="937" ht="14.25" customHeight="1">
      <x:c r="M937" s="5"/>
      <x:c r="N937" s="5"/>
      <x:c r="O937" s="9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</x:row>
    <x:row r="938" ht="14.25" customHeight="1">
      <x:c r="M938" s="5"/>
      <x:c r="N938" s="5"/>
      <x:c r="O938" s="9"/>
      <x:c r="P938" s="9"/>
      <x:c r="Q938" s="9"/>
      <x:c r="R938" s="9"/>
      <x:c r="S938" s="9"/>
      <x:c r="T938" s="9"/>
      <x:c r="U938" s="9"/>
      <x:c r="V938" s="9"/>
      <x:c r="W938" s="9"/>
      <x:c r="X938" s="9"/>
      <x:c r="Y938" s="9"/>
      <x:c r="Z938" s="9"/>
    </x:row>
    <x:row r="939" ht="14.25" customHeight="1">
      <x:c r="M939" s="5"/>
      <x:c r="N939" s="5"/>
      <x:c r="O939" s="9"/>
      <x:c r="P939" s="9"/>
      <x:c r="Q939" s="9"/>
      <x:c r="R939" s="9"/>
      <x:c r="S939" s="9"/>
      <x:c r="T939" s="9"/>
      <x:c r="U939" s="9"/>
      <x:c r="V939" s="9"/>
      <x:c r="W939" s="9"/>
      <x:c r="X939" s="9"/>
      <x:c r="Y939" s="9"/>
      <x:c r="Z939" s="9"/>
    </x:row>
    <x:row r="940" ht="14.25" customHeight="1">
      <x:c r="M940" s="5"/>
      <x:c r="N940" s="5"/>
      <x:c r="O940" s="9"/>
      <x:c r="P940" s="9"/>
      <x:c r="Q940" s="9"/>
      <x:c r="R940" s="9"/>
      <x:c r="S940" s="9"/>
      <x:c r="T940" s="9"/>
      <x:c r="U940" s="9"/>
      <x:c r="V940" s="9"/>
      <x:c r="W940" s="9"/>
      <x:c r="X940" s="9"/>
      <x:c r="Y940" s="9"/>
      <x:c r="Z940" s="9"/>
    </x:row>
    <x:row r="941" ht="14.25" customHeight="1">
      <x:c r="M941" s="5"/>
      <x:c r="N941" s="5"/>
      <x:c r="O941" s="9"/>
      <x:c r="P941" s="9"/>
      <x:c r="Q941" s="9"/>
      <x:c r="R941" s="9"/>
      <x:c r="S941" s="9"/>
      <x:c r="T941" s="9"/>
      <x:c r="U941" s="9"/>
      <x:c r="V941" s="9"/>
      <x:c r="W941" s="9"/>
      <x:c r="X941" s="9"/>
      <x:c r="Y941" s="9"/>
      <x:c r="Z941" s="9"/>
    </x:row>
    <x:row r="942" ht="14.25" customHeight="1">
      <x:c r="M942" s="5"/>
      <x:c r="N942" s="5"/>
      <x:c r="O942" s="9"/>
      <x:c r="P942" s="9"/>
      <x:c r="Q942" s="9"/>
      <x:c r="R942" s="9"/>
      <x:c r="S942" s="9"/>
      <x:c r="T942" s="9"/>
      <x:c r="U942" s="9"/>
      <x:c r="V942" s="9"/>
      <x:c r="W942" s="9"/>
      <x:c r="X942" s="9"/>
      <x:c r="Y942" s="9"/>
      <x:c r="Z942" s="9"/>
    </x:row>
    <x:row r="943" ht="14.25" customHeight="1">
      <x:c r="M943" s="5"/>
      <x:c r="N943" s="5"/>
      <x:c r="O943" s="9"/>
      <x:c r="P943" s="9"/>
      <x:c r="Q943" s="9"/>
      <x:c r="R943" s="9"/>
      <x:c r="S943" s="9"/>
      <x:c r="T943" s="9"/>
      <x:c r="U943" s="9"/>
      <x:c r="V943" s="9"/>
      <x:c r="W943" s="9"/>
      <x:c r="X943" s="9"/>
      <x:c r="Y943" s="9"/>
      <x:c r="Z943" s="9"/>
    </x:row>
    <x:row r="944" ht="14.25" customHeight="1">
      <x:c r="M944" s="5"/>
      <x:c r="N944" s="5"/>
      <x:c r="O944" s="9"/>
      <x:c r="P944" s="9"/>
      <x:c r="Q944" s="9"/>
      <x:c r="R944" s="9"/>
      <x:c r="S944" s="9"/>
      <x:c r="T944" s="9"/>
      <x:c r="U944" s="9"/>
      <x:c r="V944" s="9"/>
      <x:c r="W944" s="9"/>
      <x:c r="X944" s="9"/>
      <x:c r="Y944" s="9"/>
      <x:c r="Z944" s="9"/>
    </x:row>
    <x:row r="945" ht="14.25" customHeight="1">
      <x:c r="M945" s="5"/>
      <x:c r="N945" s="5"/>
      <x:c r="O945" s="9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</x:row>
    <x:row r="946" ht="14.25" customHeight="1">
      <x:c r="M946" s="5"/>
      <x:c r="N946" s="5"/>
      <x:c r="O946" s="9"/>
      <x:c r="P946" s="9"/>
      <x:c r="Q946" s="9"/>
      <x:c r="R946" s="9"/>
      <x:c r="S946" s="9"/>
      <x:c r="T946" s="9"/>
      <x:c r="U946" s="9"/>
      <x:c r="V946" s="9"/>
      <x:c r="W946" s="9"/>
      <x:c r="X946" s="9"/>
      <x:c r="Y946" s="9"/>
      <x:c r="Z946" s="9"/>
    </x:row>
    <x:row r="947" ht="14.25" customHeight="1">
      <x:c r="M947" s="5"/>
      <x:c r="N947" s="5"/>
      <x:c r="O947" s="9"/>
      <x:c r="P947" s="9"/>
      <x:c r="Q947" s="9"/>
      <x:c r="R947" s="9"/>
      <x:c r="S947" s="9"/>
      <x:c r="T947" s="9"/>
      <x:c r="U947" s="9"/>
      <x:c r="V947" s="9"/>
      <x:c r="W947" s="9"/>
      <x:c r="X947" s="9"/>
      <x:c r="Y947" s="9"/>
      <x:c r="Z947" s="9"/>
    </x:row>
    <x:row r="948" ht="14.25" customHeight="1">
      <x:c r="M948" s="5"/>
      <x:c r="N948" s="5"/>
      <x:c r="O948" s="9"/>
      <x:c r="P948" s="9"/>
      <x:c r="Q948" s="9"/>
      <x:c r="R948" s="9"/>
      <x:c r="S948" s="9"/>
      <x:c r="T948" s="9"/>
      <x:c r="U948" s="9"/>
      <x:c r="V948" s="9"/>
      <x:c r="W948" s="9"/>
      <x:c r="X948" s="9"/>
      <x:c r="Y948" s="9"/>
      <x:c r="Z948" s="9"/>
    </x:row>
    <x:row r="949" ht="14.25" customHeight="1">
      <x:c r="M949" s="5"/>
      <x:c r="N949" s="5"/>
      <x:c r="O949" s="9"/>
      <x:c r="P949" s="9"/>
      <x:c r="Q949" s="9"/>
      <x:c r="R949" s="9"/>
      <x:c r="S949" s="9"/>
      <x:c r="T949" s="9"/>
      <x:c r="U949" s="9"/>
      <x:c r="V949" s="9"/>
      <x:c r="W949" s="9"/>
      <x:c r="X949" s="9"/>
      <x:c r="Y949" s="9"/>
      <x:c r="Z949" s="9"/>
    </x:row>
    <x:row r="950" ht="14.25" customHeight="1">
      <x:c r="M950" s="5"/>
      <x:c r="N950" s="5"/>
      <x:c r="O950" s="9"/>
      <x:c r="P950" s="9"/>
      <x:c r="Q950" s="9"/>
      <x:c r="R950" s="9"/>
      <x:c r="S950" s="9"/>
      <x:c r="T950" s="9"/>
      <x:c r="U950" s="9"/>
      <x:c r="V950" s="9"/>
      <x:c r="W950" s="9"/>
      <x:c r="X950" s="9"/>
      <x:c r="Y950" s="9"/>
      <x:c r="Z950" s="9"/>
    </x:row>
    <x:row r="951" ht="14.25" customHeight="1">
      <x:c r="M951" s="5"/>
      <x:c r="N951" s="5"/>
      <x:c r="O951" s="9"/>
      <x:c r="P951" s="9"/>
      <x:c r="Q951" s="9"/>
      <x:c r="R951" s="9"/>
      <x:c r="S951" s="9"/>
      <x:c r="T951" s="9"/>
      <x:c r="U951" s="9"/>
      <x:c r="V951" s="9"/>
      <x:c r="W951" s="9"/>
      <x:c r="X951" s="9"/>
      <x:c r="Y951" s="9"/>
      <x:c r="Z951" s="9"/>
    </x:row>
    <x:row r="952" ht="14.25" customHeight="1">
      <x:c r="M952" s="5"/>
      <x:c r="N952" s="5"/>
      <x:c r="O952" s="9"/>
      <x:c r="P952" s="9"/>
      <x:c r="Q952" s="9"/>
      <x:c r="R952" s="9"/>
      <x:c r="S952" s="9"/>
      <x:c r="T952" s="9"/>
      <x:c r="U952" s="9"/>
      <x:c r="V952" s="9"/>
      <x:c r="W952" s="9"/>
      <x:c r="X952" s="9"/>
      <x:c r="Y952" s="9"/>
      <x:c r="Z952" s="9"/>
    </x:row>
    <x:row r="953" ht="14.25" customHeight="1">
      <x:c r="M953" s="5"/>
      <x:c r="N953" s="5"/>
      <x:c r="O953" s="9"/>
      <x:c r="P953" s="9"/>
      <x:c r="Q953" s="9"/>
      <x:c r="R953" s="9"/>
      <x:c r="S953" s="9"/>
      <x:c r="T953" s="9"/>
      <x:c r="U953" s="9"/>
      <x:c r="V953" s="9"/>
      <x:c r="W953" s="9"/>
      <x:c r="X953" s="9"/>
      <x:c r="Y953" s="9"/>
      <x:c r="Z953" s="9"/>
    </x:row>
    <x:row r="954" ht="14.25" customHeight="1">
      <x:c r="M954" s="5"/>
      <x:c r="N954" s="5"/>
      <x:c r="O954" s="9"/>
      <x:c r="P954" s="9"/>
      <x:c r="Q954" s="9"/>
      <x:c r="R954" s="9"/>
      <x:c r="S954" s="9"/>
      <x:c r="T954" s="9"/>
      <x:c r="U954" s="9"/>
      <x:c r="V954" s="9"/>
      <x:c r="W954" s="9"/>
      <x:c r="X954" s="9"/>
      <x:c r="Y954" s="9"/>
      <x:c r="Z954" s="9"/>
    </x:row>
    <x:row r="955" ht="14.25" customHeight="1">
      <x:c r="M955" s="5"/>
      <x:c r="N955" s="5"/>
      <x:c r="O955" s="9"/>
      <x:c r="P955" s="9"/>
      <x:c r="Q955" s="9"/>
      <x:c r="R955" s="9"/>
      <x:c r="S955" s="9"/>
      <x:c r="T955" s="9"/>
      <x:c r="U955" s="9"/>
      <x:c r="V955" s="9"/>
      <x:c r="W955" s="9"/>
      <x:c r="X955" s="9"/>
      <x:c r="Y955" s="9"/>
      <x:c r="Z955" s="9"/>
    </x:row>
    <x:row r="956" ht="14.25" customHeight="1">
      <x:c r="M956" s="5"/>
      <x:c r="N956" s="5"/>
      <x:c r="O956" s="9"/>
      <x:c r="P956" s="9"/>
      <x:c r="Q956" s="9"/>
      <x:c r="R956" s="9"/>
      <x:c r="S956" s="9"/>
      <x:c r="T956" s="9"/>
      <x:c r="U956" s="9"/>
      <x:c r="V956" s="9"/>
      <x:c r="W956" s="9"/>
      <x:c r="X956" s="9"/>
      <x:c r="Y956" s="9"/>
      <x:c r="Z956" s="9"/>
    </x:row>
    <x:row r="957" ht="14.25" customHeight="1">
      <x:c r="M957" s="5"/>
      <x:c r="N957" s="5"/>
      <x:c r="O957" s="9"/>
      <x:c r="P957" s="9"/>
      <x:c r="Q957" s="9"/>
      <x:c r="R957" s="9"/>
      <x:c r="S957" s="9"/>
      <x:c r="T957" s="9"/>
      <x:c r="U957" s="9"/>
      <x:c r="V957" s="9"/>
      <x:c r="W957" s="9"/>
      <x:c r="X957" s="9"/>
      <x:c r="Y957" s="9"/>
      <x:c r="Z957" s="9"/>
    </x:row>
    <x:row r="958" ht="14.25" customHeight="1">
      <x:c r="M958" s="5"/>
      <x:c r="N958" s="5"/>
      <x:c r="O958" s="9"/>
      <x:c r="P958" s="9"/>
      <x:c r="Q958" s="9"/>
      <x:c r="R958" s="9"/>
      <x:c r="S958" s="9"/>
      <x:c r="T958" s="9"/>
      <x:c r="U958" s="9"/>
      <x:c r="V958" s="9"/>
      <x:c r="W958" s="9"/>
      <x:c r="X958" s="9"/>
      <x:c r="Y958" s="9"/>
      <x:c r="Z958" s="9"/>
    </x:row>
    <x:row r="959" ht="14.25" customHeight="1">
      <x:c r="M959" s="5"/>
      <x:c r="N959" s="5"/>
      <x:c r="O959" s="9"/>
      <x:c r="P959" s="9"/>
      <x:c r="Q959" s="9"/>
      <x:c r="R959" s="9"/>
      <x:c r="S959" s="9"/>
      <x:c r="T959" s="9"/>
      <x:c r="U959" s="9"/>
      <x:c r="V959" s="9"/>
      <x:c r="W959" s="9"/>
      <x:c r="X959" s="9"/>
      <x:c r="Y959" s="9"/>
      <x:c r="Z959" s="9"/>
    </x:row>
    <x:row r="960" ht="14.25" customHeight="1">
      <x:c r="M960" s="5"/>
      <x:c r="N960" s="5"/>
      <x:c r="O960" s="9"/>
      <x:c r="P960" s="9"/>
      <x:c r="Q960" s="9"/>
      <x:c r="R960" s="9"/>
      <x:c r="S960" s="9"/>
      <x:c r="T960" s="9"/>
      <x:c r="U960" s="9"/>
      <x:c r="V960" s="9"/>
      <x:c r="W960" s="9"/>
      <x:c r="X960" s="9"/>
      <x:c r="Y960" s="9"/>
      <x:c r="Z960" s="9"/>
    </x:row>
    <x:row r="961" ht="14.25" customHeight="1">
      <x:c r="M961" s="5"/>
      <x:c r="N961" s="5"/>
      <x:c r="O961" s="9"/>
      <x:c r="P961" s="9"/>
      <x:c r="Q961" s="9"/>
      <x:c r="R961" s="9"/>
      <x:c r="S961" s="9"/>
      <x:c r="T961" s="9"/>
      <x:c r="U961" s="9"/>
      <x:c r="V961" s="9"/>
      <x:c r="W961" s="9"/>
      <x:c r="X961" s="9"/>
      <x:c r="Y961" s="9"/>
      <x:c r="Z961" s="9"/>
    </x:row>
    <x:row r="962" ht="14.25" customHeight="1">
      <x:c r="M962" s="5"/>
      <x:c r="N962" s="5"/>
      <x:c r="O962" s="9"/>
      <x:c r="P962" s="9"/>
      <x:c r="Q962" s="9"/>
      <x:c r="R962" s="9"/>
      <x:c r="S962" s="9"/>
      <x:c r="T962" s="9"/>
      <x:c r="U962" s="9"/>
      <x:c r="V962" s="9"/>
      <x:c r="W962" s="9"/>
      <x:c r="X962" s="9"/>
      <x:c r="Y962" s="9"/>
      <x:c r="Z962" s="9"/>
    </x:row>
    <x:row r="963" ht="14.25" customHeight="1">
      <x:c r="M963" s="5"/>
      <x:c r="N963" s="5"/>
      <x:c r="O963" s="9"/>
      <x:c r="P963" s="9"/>
      <x:c r="Q963" s="9"/>
      <x:c r="R963" s="9"/>
      <x:c r="S963" s="9"/>
      <x:c r="T963" s="9"/>
      <x:c r="U963" s="9"/>
      <x:c r="V963" s="9"/>
      <x:c r="W963" s="9"/>
      <x:c r="X963" s="9"/>
      <x:c r="Y963" s="9"/>
      <x:c r="Z963" s="9"/>
    </x:row>
    <x:row r="964" ht="14.25" customHeight="1">
      <x:c r="M964" s="5"/>
      <x:c r="N964" s="5"/>
      <x:c r="O964" s="9"/>
      <x:c r="P964" s="9"/>
      <x:c r="Q964" s="9"/>
      <x:c r="R964" s="9"/>
      <x:c r="S964" s="9"/>
      <x:c r="T964" s="9"/>
      <x:c r="U964" s="9"/>
      <x:c r="V964" s="9"/>
      <x:c r="W964" s="9"/>
      <x:c r="X964" s="9"/>
      <x:c r="Y964" s="9"/>
      <x:c r="Z964" s="9"/>
    </x:row>
    <x:row r="965" ht="14.25" customHeight="1">
      <x:c r="M965" s="5"/>
      <x:c r="N965" s="5"/>
      <x:c r="O965" s="9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</x:row>
    <x:row r="966" ht="14.25" customHeight="1">
      <x:c r="M966" s="5"/>
      <x:c r="N966" s="5"/>
      <x:c r="O966" s="9"/>
      <x:c r="P966" s="9"/>
      <x:c r="Q966" s="9"/>
      <x:c r="R966" s="9"/>
      <x:c r="S966" s="9"/>
      <x:c r="T966" s="9"/>
      <x:c r="U966" s="9"/>
      <x:c r="V966" s="9"/>
      <x:c r="W966" s="9"/>
      <x:c r="X966" s="9"/>
      <x:c r="Y966" s="9"/>
      <x:c r="Z966" s="9"/>
    </x:row>
    <x:row r="967" ht="14.25" customHeight="1">
      <x:c r="M967" s="5"/>
      <x:c r="N967" s="5"/>
      <x:c r="O967" s="9"/>
      <x:c r="P967" s="9"/>
      <x:c r="Q967" s="9"/>
      <x:c r="R967" s="9"/>
      <x:c r="S967" s="9"/>
      <x:c r="T967" s="9"/>
      <x:c r="U967" s="9"/>
      <x:c r="V967" s="9"/>
      <x:c r="W967" s="9"/>
      <x:c r="X967" s="9"/>
      <x:c r="Y967" s="9"/>
      <x:c r="Z967" s="9"/>
    </x:row>
    <x:row r="968" ht="14.25" customHeight="1">
      <x:c r="M968" s="5"/>
      <x:c r="N968" s="5"/>
      <x:c r="O968" s="9"/>
      <x:c r="P968" s="9"/>
      <x:c r="Q968" s="9"/>
      <x:c r="R968" s="9"/>
      <x:c r="S968" s="9"/>
      <x:c r="T968" s="9"/>
      <x:c r="U968" s="9"/>
      <x:c r="V968" s="9"/>
      <x:c r="W968" s="9"/>
      <x:c r="X968" s="9"/>
      <x:c r="Y968" s="9"/>
      <x:c r="Z968" s="9"/>
    </x:row>
    <x:row r="969" ht="14.25" customHeight="1">
      <x:c r="M969" s="5"/>
      <x:c r="N969" s="5"/>
      <x:c r="O969" s="9"/>
      <x:c r="P969" s="9"/>
      <x:c r="Q969" s="9"/>
      <x:c r="R969" s="9"/>
      <x:c r="S969" s="9"/>
      <x:c r="T969" s="9"/>
      <x:c r="U969" s="9"/>
      <x:c r="V969" s="9"/>
      <x:c r="W969" s="9"/>
      <x:c r="X969" s="9"/>
      <x:c r="Y969" s="9"/>
      <x:c r="Z969" s="9"/>
    </x:row>
    <x:row r="970" ht="14.25" customHeight="1">
      <x:c r="M970" s="5"/>
      <x:c r="N970" s="5"/>
      <x:c r="O970" s="9"/>
      <x:c r="P970" s="9"/>
      <x:c r="Q970" s="9"/>
      <x:c r="R970" s="9"/>
      <x:c r="S970" s="9"/>
      <x:c r="T970" s="9"/>
      <x:c r="U970" s="9"/>
      <x:c r="V970" s="9"/>
      <x:c r="W970" s="9"/>
      <x:c r="X970" s="9"/>
      <x:c r="Y970" s="9"/>
      <x:c r="Z970" s="9"/>
    </x:row>
    <x:row r="971" ht="14.25" customHeight="1">
      <x:c r="M971" s="5"/>
      <x:c r="N971" s="5"/>
      <x:c r="O971" s="9"/>
      <x:c r="P971" s="9"/>
      <x:c r="Q971" s="9"/>
      <x:c r="R971" s="9"/>
      <x:c r="S971" s="9"/>
      <x:c r="T971" s="9"/>
      <x:c r="U971" s="9"/>
      <x:c r="V971" s="9"/>
      <x:c r="W971" s="9"/>
      <x:c r="X971" s="9"/>
      <x:c r="Y971" s="9"/>
      <x:c r="Z971" s="9"/>
    </x:row>
    <x:row r="972" ht="14.25" customHeight="1">
      <x:c r="M972" s="5"/>
      <x:c r="N972" s="5"/>
      <x:c r="O972" s="9"/>
      <x:c r="P972" s="9"/>
      <x:c r="Q972" s="9"/>
      <x:c r="R972" s="9"/>
      <x:c r="S972" s="9"/>
      <x:c r="T972" s="9"/>
      <x:c r="U972" s="9"/>
      <x:c r="V972" s="9"/>
      <x:c r="W972" s="9"/>
      <x:c r="X972" s="9"/>
      <x:c r="Y972" s="9"/>
      <x:c r="Z972" s="9"/>
    </x:row>
    <x:row r="973" ht="14.25" customHeight="1">
      <x:c r="M973" s="5"/>
      <x:c r="N973" s="5"/>
      <x:c r="O973" s="9"/>
      <x:c r="P973" s="9"/>
      <x:c r="Q973" s="9"/>
      <x:c r="R973" s="9"/>
      <x:c r="S973" s="9"/>
      <x:c r="T973" s="9"/>
      <x:c r="U973" s="9"/>
      <x:c r="V973" s="9"/>
      <x:c r="W973" s="9"/>
      <x:c r="X973" s="9"/>
      <x:c r="Y973" s="9"/>
      <x:c r="Z973" s="9"/>
    </x:row>
    <x:row r="974" ht="14.25" customHeight="1">
      <x:c r="M974" s="5"/>
      <x:c r="N974" s="5"/>
      <x:c r="O974" s="9"/>
      <x:c r="P974" s="9"/>
      <x:c r="Q974" s="9"/>
      <x:c r="R974" s="9"/>
      <x:c r="S974" s="9"/>
      <x:c r="T974" s="9"/>
      <x:c r="U974" s="9"/>
      <x:c r="V974" s="9"/>
      <x:c r="W974" s="9"/>
      <x:c r="X974" s="9"/>
      <x:c r="Y974" s="9"/>
      <x:c r="Z974" s="9"/>
    </x:row>
    <x:row r="975" ht="14.25" customHeight="1">
      <x:c r="M975" s="5"/>
      <x:c r="N975" s="5"/>
      <x:c r="O975" s="9"/>
      <x:c r="P975" s="9"/>
      <x:c r="Q975" s="9"/>
      <x:c r="R975" s="9"/>
      <x:c r="S975" s="9"/>
      <x:c r="T975" s="9"/>
      <x:c r="U975" s="9"/>
      <x:c r="V975" s="9"/>
      <x:c r="W975" s="9"/>
      <x:c r="X975" s="9"/>
      <x:c r="Y975" s="9"/>
      <x:c r="Z975" s="9"/>
    </x:row>
    <x:row r="976" ht="14.25" customHeight="1">
      <x:c r="M976" s="5"/>
      <x:c r="N976" s="5"/>
      <x:c r="O976" s="9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</x:row>
    <x:row r="977" ht="14.25" customHeight="1">
      <x:c r="M977" s="5"/>
      <x:c r="N977" s="5"/>
      <x:c r="O977" s="9"/>
      <x:c r="P977" s="9"/>
      <x:c r="Q977" s="9"/>
      <x:c r="R977" s="9"/>
      <x:c r="S977" s="9"/>
      <x:c r="T977" s="9"/>
      <x:c r="U977" s="9"/>
      <x:c r="V977" s="9"/>
      <x:c r="W977" s="9"/>
      <x:c r="X977" s="9"/>
      <x:c r="Y977" s="9"/>
      <x:c r="Z977" s="9"/>
    </x:row>
    <x:row r="978" ht="14.25" customHeight="1">
      <x:c r="M978" s="5"/>
      <x:c r="N978" s="5"/>
      <x:c r="O978" s="9"/>
      <x:c r="P978" s="9"/>
      <x:c r="Q978" s="9"/>
      <x:c r="R978" s="9"/>
      <x:c r="S978" s="9"/>
      <x:c r="T978" s="9"/>
      <x:c r="U978" s="9"/>
      <x:c r="V978" s="9"/>
      <x:c r="W978" s="9"/>
      <x:c r="X978" s="9"/>
      <x:c r="Y978" s="9"/>
      <x:c r="Z978" s="9"/>
    </x:row>
    <x:row r="979" ht="14.25" customHeight="1">
      <x:c r="M979" s="5"/>
      <x:c r="N979" s="5"/>
      <x:c r="O979" s="9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</x:row>
    <x:row r="980" ht="14.25" customHeight="1">
      <x:c r="M980" s="5"/>
      <x:c r="N980" s="5"/>
      <x:c r="O980" s="9"/>
      <x:c r="P980" s="9"/>
      <x:c r="Q980" s="9"/>
      <x:c r="R980" s="9"/>
      <x:c r="S980" s="9"/>
      <x:c r="T980" s="9"/>
      <x:c r="U980" s="9"/>
      <x:c r="V980" s="9"/>
      <x:c r="W980" s="9"/>
      <x:c r="X980" s="9"/>
      <x:c r="Y980" s="9"/>
      <x:c r="Z980" s="9"/>
    </x:row>
    <x:row r="981" ht="14.25" customHeight="1">
      <x:c r="M981" s="5"/>
      <x:c r="N981" s="5"/>
      <x:c r="O981" s="9"/>
      <x:c r="P981" s="9"/>
      <x:c r="Q981" s="9"/>
      <x:c r="R981" s="9"/>
      <x:c r="S981" s="9"/>
      <x:c r="T981" s="9"/>
      <x:c r="U981" s="9"/>
      <x:c r="V981" s="9"/>
      <x:c r="W981" s="9"/>
      <x:c r="X981" s="9"/>
      <x:c r="Y981" s="9"/>
      <x:c r="Z981" s="9"/>
    </x:row>
    <x:row r="982" ht="14.25" customHeight="1">
      <x:c r="M982" s="5"/>
      <x:c r="N982" s="5"/>
      <x:c r="O982" s="9"/>
      <x:c r="P982" s="9"/>
      <x:c r="Q982" s="9"/>
      <x:c r="R982" s="9"/>
      <x:c r="S982" s="9"/>
      <x:c r="T982" s="9"/>
      <x:c r="U982" s="9"/>
      <x:c r="V982" s="9"/>
      <x:c r="W982" s="9"/>
      <x:c r="X982" s="9"/>
      <x:c r="Y982" s="9"/>
      <x:c r="Z982" s="9"/>
    </x:row>
    <x:row r="983" ht="14.25" customHeight="1">
      <x:c r="M983" s="5"/>
      <x:c r="N983" s="5"/>
      <x:c r="O983" s="9"/>
      <x:c r="P983" s="9"/>
      <x:c r="Q983" s="9"/>
      <x:c r="R983" s="9"/>
      <x:c r="S983" s="9"/>
      <x:c r="T983" s="9"/>
      <x:c r="U983" s="9"/>
      <x:c r="V983" s="9"/>
      <x:c r="W983" s="9"/>
      <x:c r="X983" s="9"/>
      <x:c r="Y983" s="9"/>
      <x:c r="Z983" s="9"/>
    </x:row>
    <x:row r="984" ht="14.25" customHeight="1">
      <x:c r="M984" s="5"/>
      <x:c r="N984" s="5"/>
      <x:c r="O984" s="9"/>
      <x:c r="P984" s="9"/>
      <x:c r="Q984" s="9"/>
      <x:c r="R984" s="9"/>
      <x:c r="S984" s="9"/>
      <x:c r="T984" s="9"/>
      <x:c r="U984" s="9"/>
      <x:c r="V984" s="9"/>
      <x:c r="W984" s="9"/>
      <x:c r="X984" s="9"/>
      <x:c r="Y984" s="9"/>
      <x:c r="Z984" s="9"/>
    </x:row>
    <x:row r="985" ht="14.25" customHeight="1">
      <x:c r="M985" s="5"/>
      <x:c r="N985" s="5"/>
      <x:c r="O985" s="9"/>
      <x:c r="P985" s="9"/>
      <x:c r="Q985" s="9"/>
      <x:c r="R985" s="9"/>
      <x:c r="S985" s="9"/>
      <x:c r="T985" s="9"/>
      <x:c r="U985" s="9"/>
      <x:c r="V985" s="9"/>
      <x:c r="W985" s="9"/>
      <x:c r="X985" s="9"/>
      <x:c r="Y985" s="9"/>
      <x:c r="Z985" s="9"/>
    </x:row>
    <x:row r="986" ht="14.25" customHeight="1">
      <x:c r="M986" s="5"/>
      <x:c r="N986" s="5"/>
      <x:c r="O986" s="9"/>
      <x:c r="P986" s="9"/>
      <x:c r="Q986" s="9"/>
      <x:c r="R986" s="9"/>
      <x:c r="S986" s="9"/>
      <x:c r="T986" s="9"/>
      <x:c r="U986" s="9"/>
      <x:c r="V986" s="9"/>
      <x:c r="W986" s="9"/>
      <x:c r="X986" s="9"/>
      <x:c r="Y986" s="9"/>
      <x:c r="Z986" s="9"/>
    </x:row>
    <x:row r="987" ht="14.25" customHeight="1">
      <x:c r="M987" s="5"/>
      <x:c r="N987" s="5"/>
      <x:c r="O987" s="9"/>
      <x:c r="P987" s="9"/>
      <x:c r="Q987" s="9"/>
      <x:c r="R987" s="9"/>
      <x:c r="S987" s="9"/>
      <x:c r="T987" s="9"/>
      <x:c r="U987" s="9"/>
      <x:c r="V987" s="9"/>
      <x:c r="W987" s="9"/>
      <x:c r="X987" s="9"/>
      <x:c r="Y987" s="9"/>
      <x:c r="Z987" s="9"/>
    </x:row>
    <x:row r="988" ht="14.25" customHeight="1">
      <x:c r="M988" s="5"/>
      <x:c r="N988" s="5"/>
      <x:c r="O988" s="9"/>
      <x:c r="P988" s="9"/>
      <x:c r="Q988" s="9"/>
      <x:c r="R988" s="9"/>
      <x:c r="S988" s="9"/>
      <x:c r="T988" s="9"/>
      <x:c r="U988" s="9"/>
      <x:c r="V988" s="9"/>
      <x:c r="W988" s="9"/>
      <x:c r="X988" s="9"/>
      <x:c r="Y988" s="9"/>
      <x:c r="Z988" s="9"/>
    </x:row>
    <x:row r="989" ht="14.25" customHeight="1">
      <x:c r="M989" s="5"/>
      <x:c r="N989" s="5"/>
      <x:c r="O989" s="9"/>
      <x:c r="P989" s="9"/>
      <x:c r="Q989" s="9"/>
      <x:c r="R989" s="9"/>
      <x:c r="S989" s="9"/>
      <x:c r="T989" s="9"/>
      <x:c r="U989" s="9"/>
      <x:c r="V989" s="9"/>
      <x:c r="W989" s="9"/>
      <x:c r="X989" s="9"/>
      <x:c r="Y989" s="9"/>
      <x:c r="Z989" s="9"/>
    </x:row>
    <x:row r="990" ht="14.25" customHeight="1">
      <x:c r="M990" s="5"/>
      <x:c r="N990" s="5"/>
      <x:c r="O990" s="9"/>
      <x:c r="P990" s="9"/>
      <x:c r="Q990" s="9"/>
      <x:c r="R990" s="9"/>
      <x:c r="S990" s="9"/>
      <x:c r="T990" s="9"/>
      <x:c r="U990" s="9"/>
      <x:c r="V990" s="9"/>
      <x:c r="W990" s="9"/>
      <x:c r="X990" s="9"/>
      <x:c r="Y990" s="9"/>
      <x:c r="Z990" s="9"/>
    </x:row>
    <x:row r="991" ht="14.25" customHeight="1">
      <x:c r="M991" s="5"/>
      <x:c r="N991" s="5"/>
      <x:c r="O991" s="9"/>
      <x:c r="P991" s="9"/>
      <x:c r="Q991" s="9"/>
      <x:c r="R991" s="9"/>
      <x:c r="S991" s="9"/>
      <x:c r="T991" s="9"/>
      <x:c r="U991" s="9"/>
      <x:c r="V991" s="9"/>
      <x:c r="W991" s="9"/>
      <x:c r="X991" s="9"/>
      <x:c r="Y991" s="9"/>
      <x:c r="Z991" s="9"/>
    </x:row>
    <x:row r="992" ht="14.25" customHeight="1">
      <x:c r="M992" s="5"/>
      <x:c r="N992" s="5"/>
      <x:c r="O992" s="9"/>
      <x:c r="P992" s="9"/>
      <x:c r="Q992" s="9"/>
      <x:c r="R992" s="9"/>
      <x:c r="S992" s="9"/>
      <x:c r="T992" s="9"/>
      <x:c r="U992" s="9"/>
      <x:c r="V992" s="9"/>
      <x:c r="W992" s="9"/>
      <x:c r="X992" s="9"/>
      <x:c r="Y992" s="9"/>
      <x:c r="Z992" s="9"/>
    </x:row>
    <x:row r="993" ht="14.25" customHeight="1">
      <x:c r="M993" s="5"/>
      <x:c r="N993" s="5"/>
      <x:c r="O993" s="9"/>
      <x:c r="P993" s="9"/>
      <x:c r="Q993" s="9"/>
      <x:c r="R993" s="9"/>
      <x:c r="S993" s="9"/>
      <x:c r="T993" s="9"/>
      <x:c r="U993" s="9"/>
      <x:c r="V993" s="9"/>
      <x:c r="W993" s="9"/>
      <x:c r="X993" s="9"/>
      <x:c r="Y993" s="9"/>
      <x:c r="Z993" s="9"/>
    </x:row>
    <x:row r="994" ht="14.25" customHeight="1">
      <x:c r="M994" s="5"/>
      <x:c r="N994" s="5"/>
      <x:c r="O994" s="9"/>
      <x:c r="P994" s="9"/>
      <x:c r="Q994" s="9"/>
      <x:c r="R994" s="9"/>
      <x:c r="S994" s="9"/>
      <x:c r="T994" s="9"/>
      <x:c r="U994" s="9"/>
      <x:c r="V994" s="9"/>
      <x:c r="W994" s="9"/>
      <x:c r="X994" s="9"/>
      <x:c r="Y994" s="9"/>
      <x:c r="Z994" s="9"/>
    </x:row>
    <x:row r="995" ht="14.25" customHeight="1">
      <x:c r="M995" s="5"/>
      <x:c r="N995" s="5"/>
      <x:c r="O995" s="9"/>
      <x:c r="P995" s="9"/>
      <x:c r="Q995" s="9"/>
      <x:c r="R995" s="9"/>
      <x:c r="S995" s="9"/>
      <x:c r="T995" s="9"/>
      <x:c r="U995" s="9"/>
      <x:c r="V995" s="9"/>
      <x:c r="W995" s="9"/>
      <x:c r="X995" s="9"/>
      <x:c r="Y995" s="9"/>
      <x:c r="Z995" s="9"/>
    </x:row>
    <x:row r="996" ht="14.25" customHeight="1">
      <x:c r="M996" s="5"/>
      <x:c r="N996" s="5"/>
      <x:c r="O996" s="9"/>
      <x:c r="P996" s="9"/>
      <x:c r="Q996" s="9"/>
      <x:c r="R996" s="9"/>
      <x:c r="S996" s="9"/>
      <x:c r="T996" s="9"/>
      <x:c r="U996" s="9"/>
      <x:c r="V996" s="9"/>
      <x:c r="W996" s="9"/>
      <x:c r="X996" s="9"/>
      <x:c r="Y996" s="9"/>
      <x:c r="Z996" s="9"/>
    </x:row>
    <x:row r="997" ht="14.25" customHeight="1">
      <x:c r="M997" s="5"/>
      <x:c r="N997" s="5"/>
      <x:c r="O997" s="9"/>
      <x:c r="P997" s="9"/>
      <x:c r="Q997" s="9"/>
      <x:c r="R997" s="9"/>
      <x:c r="S997" s="9"/>
      <x:c r="T997" s="9"/>
      <x:c r="U997" s="9"/>
      <x:c r="V997" s="9"/>
      <x:c r="W997" s="9"/>
      <x:c r="X997" s="9"/>
      <x:c r="Y997" s="9"/>
      <x:c r="Z997" s="9"/>
    </x:row>
    <x:row r="998" ht="14.25" customHeight="1">
      <x:c r="M998" s="5"/>
      <x:c r="N998" s="5"/>
      <x:c r="O998" s="9"/>
      <x:c r="P998" s="9"/>
      <x:c r="Q998" s="9"/>
      <x:c r="R998" s="9"/>
      <x:c r="S998" s="9"/>
      <x:c r="T998" s="9"/>
      <x:c r="U998" s="9"/>
      <x:c r="V998" s="9"/>
      <x:c r="W998" s="9"/>
      <x:c r="X998" s="9"/>
      <x:c r="Y998" s="9"/>
      <x:c r="Z998" s="9"/>
    </x:row>
    <x:row r="999" ht="14.25" customHeight="1">
      <x:c r="M999" s="5"/>
      <x:c r="N999" s="5"/>
      <x:c r="O999" s="9"/>
      <x:c r="P999" s="9"/>
      <x:c r="Q999" s="9"/>
      <x:c r="R999" s="9"/>
      <x:c r="S999" s="9"/>
      <x:c r="T999" s="9"/>
      <x:c r="U999" s="9"/>
      <x:c r="V999" s="9"/>
      <x:c r="W999" s="9"/>
      <x:c r="X999" s="9"/>
      <x:c r="Y999" s="9"/>
      <x:c r="Z999" s="9"/>
    </x:row>
    <x:row r="1000" ht="14.25" customHeight="1">
      <x:c r="M1000" s="5"/>
      <x:c r="N1000" s="5"/>
      <x:c r="O1000" s="9"/>
      <x:c r="P1000" s="9"/>
      <x:c r="Q1000" s="9"/>
      <x:c r="R1000" s="9"/>
      <x:c r="S1000" s="9"/>
      <x:c r="T1000" s="9"/>
      <x:c r="U1000" s="9"/>
      <x:c r="V1000" s="9"/>
      <x:c r="W1000" s="9"/>
      <x:c r="X1000" s="9"/>
      <x:c r="Y1000" s="9"/>
      <x:c r="Z1000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0" width="8.880000114440918" customWidth="1"/>
    <x:col min="11" max="11" width="5.380000114440918" customWidth="1"/>
    <x:col min="12" max="12" width="6.380000114440918" customWidth="1"/>
    <x:col min="13" max="14" width="5.5" customWidth="1"/>
    <x:col min="15" max="15" width="6.5" customWidth="1"/>
    <x:col min="16" max="26" width="8.880000114440918" customWidth="1"/>
  </x:cols>
  <x:sheetData>
    <x:row r="1" ht="14.25" customHeight="1">
      <x:c r="A1" s="1" t="s">
        <x:v>477</x:v>
      </x:c>
      <x:c r="B1" s="1" t="s">
        <x:v>100</x:v>
      </x:c>
      <x:c r="C1" s="1" t="s">
        <x:v>478</x:v>
      </x:c>
      <x:c r="D1" s="1" t="s">
        <x:v>480</x:v>
      </x:c>
      <x:c r="E1" s="1" t="s">
        <x:v>481</x:v>
      </x:c>
      <x:c r="F1" s="1" t="s">
        <x:v>602</x:v>
      </x:c>
      <x:c r="G1" s="1" t="s">
        <x:v>480</x:v>
      </x:c>
      <x:c r="H1" s="1" t="s">
        <x:v>481</x:v>
      </x:c>
      <x:c r="I1" s="1" t="s">
        <x:v>51</x:v>
      </x:c>
      <x:c r="J1" s="1" t="s">
        <x:v>482</x:v>
      </x:c>
      <x:c r="K1" s="5" t="s">
        <x:v>484</x:v>
      </x:c>
      <x:c r="L1" s="5" t="s">
        <x:v>57</x:v>
      </x:c>
      <x:c r="M1" s="52" t="s">
        <x:v>103</x:v>
      </x:c>
      <x:c r="N1" s="52" t="s">
        <x:v>104</x:v>
      </x:c>
      <x:c r="O1" s="52" t="s">
        <x:v>105</x:v>
      </x:c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4.25" customHeight="1">
      <x:c r="A2" s="1" t="s">
        <x:v>485</x:v>
      </x:c>
      <x:c r="K2" s="5"/>
      <x:c r="L2" s="5"/>
      <x:c r="M2" s="52"/>
      <x:c r="N2" s="52"/>
      <x:c r="O2" s="52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4.25" customHeight="1">
      <x:c r="A3" s="1" t="s">
        <x:v>603</x:v>
      </x:c>
      <x:c r="B3" s="1" t="s">
        <x:v>519</x:v>
      </x:c>
      <x:c r="C3" s="1">
        <x:v>274.7</x:v>
      </x:c>
      <x:c r="D3" s="1">
        <x:v>1382.5</x:v>
      </x:c>
      <x:c r="E3" s="1">
        <x:v>13.8</x:v>
      </x:c>
      <x:c r="F3" s="1">
        <x:v>71.3</x:v>
      </x:c>
      <x:c r="G3" s="1">
        <x:v>581.0</x:v>
      </x:c>
      <x:c r="H3" s="1">
        <x:v>4.1</x:v>
      </x:c>
      <x:c r="I3" s="1">
        <x:v>1.1</x:v>
      </x:c>
      <x:c r="J3" s="1">
        <x:v>373.0</x:v>
      </x:c>
      <x:c r="K3" s="18" t="n">
        <x:f t="shared" ref="K3:K545" si="1">IFERROR((D3/C3)/4.5*0.25*C3,0)</x:f>
        <x:v>76.80555555555556</x:v>
      </x:c>
      <x:c r="L3" s="18" t="n">
        <x:f t="shared" ref="L3:L545" si="2">IFERROR((G3/F3)/7.95*0.376*F3,0)</x:f>
        <x:v>27.478742138364783</x:v>
      </x:c>
      <x:c r="M3" s="119" t="n">
        <x:f>C5*Scoring!$B$32+D5/Scoring!$C$32+E5*Scoring!$D$32+F5*Scoring!$E$32+G5/Scoring!$F$32+H5*Scoring!$G$32+I5*Scoring!$H$32+K5*Scoring!$I$32+RB!L5*Scoring!$J$32+U3</x:f>
        <x:v>314.89</x:v>
      </x:c>
      <x:c r="N3" s="119" t="n">
        <x:f>C3*Scoring!$B$32+D3/Scoring!$C$32+E3*Scoring!$D$32+F3*Scoring!$E$32+G3/Scoring!$F$32+H3*Scoring!$G$32+I3*Scoring!$H$32+K3*Scoring!$I$32+RB!L3*Scoring!$J$32+U3</x:f>
        <x:v>338.3</x:v>
      </x:c>
      <x:c r="O3" s="119" t="n">
        <x:f>C4*Scoring!$B$32+D4/Scoring!$C$32+E4*Scoring!$D$32+F4*Scoring!$E$32+G4/Scoring!$F$32+H4*Scoring!$G$32+I4*Scoring!$H$32+K4*Scoring!$I$32+L4*Scoring!$J$32+U3</x:f>
        <x:v>360.7</x:v>
      </x:c>
      <x:c r="P3" s="9" t="n">
        <x:f>IF(COUNTIF(Rookies!$A:$A,A3)&gt;0,1,0)</x:f>
        <x:v>0</x:v>
      </x:c>
      <x:c r="Q3" s="9"/>
      <x:c r="R3" s="9"/>
      <x:c r="S3" s="9" t="n">
        <x:f>V3/17</x:f>
        <x:v>19.900000000000002</x:v>
      </x:c>
      <x:c r="T3" s="9" t="n">
        <x:f>IF(P3=1,MAX(0,0.258*(14.9-S3)),0)</x:f>
        <x:v>0</x:v>
      </x:c>
      <x:c r="U3" s="9" t="n">
        <x:f>T3*17</x:f>
        <x:v>0</x:v>
      </x:c>
      <x:c r="V3" s="9" t="n">
        <x:f>C3*Scoring!$B$32+D3/Scoring!$C$32+E3*Scoring!$D$32+F3*Scoring!$E$32+G3/Scoring!$F$32+H3*Scoring!$G$32+I3*Scoring!$H$32+K3*Scoring!$I$32+RB!L3*Scoring!$J$32</x:f>
        <x:v>338.3</x:v>
      </x:c>
      <x:c r="W3" s="9"/>
      <x:c r="X3" s="9"/>
      <x:c r="Y3" s="9"/>
      <x:c r="Z3" s="9"/>
    </x:row>
    <x:row r="4" ht="14.25" customHeight="1">
      <x:c r="B4" s="1" t="s">
        <x:v>488</x:v>
      </x:c>
      <x:c r="C4" s="1">
        <x:v>283.1</x:v>
      </x:c>
      <x:c r="D4" s="1">
        <x:v>1422.0</x:v>
      </x:c>
      <x:c r="E4" s="1">
        <x:v>15.0</x:v>
      </x:c>
      <x:c r="F4" s="1">
        <x:v>74.0</x:v>
      </x:c>
      <x:c r="G4" s="1">
        <x:v>625.0</x:v>
      </x:c>
      <x:c r="H4" s="1">
        <x:v>5.0</x:v>
      </x:c>
      <x:c r="I4" s="1">
        <x:v>1.0</x:v>
      </x:c>
      <x:c r="J4" s="1">
        <x:v>402.7</x:v>
      </x:c>
      <x:c r="K4" s="18">
        <x:f t="shared" si="1"/>
        <x:v>79</x:v>
      </x:c>
      <x:c r="L4" s="18">
        <x:f t="shared" si="2"/>
        <x:v>29.55974843</x:v>
      </x:c>
      <x:c r="M4" s="119"/>
      <x:c r="N4" s="119"/>
      <x:c r="O4" s="11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4.25" customHeight="1">
      <x:c r="B5" s="1" t="s">
        <x:v>489</x:v>
      </x:c>
      <x:c r="C5" s="1">
        <x:v>262.0</x:v>
      </x:c>
      <x:c r="D5" s="1">
        <x:v>1353.0</x:v>
      </x:c>
      <x:c r="E5" s="1">
        <x:v>12.0</x:v>
      </x:c>
      <x:c r="F5" s="1">
        <x:v>67.8</x:v>
      </x:c>
      <x:c r="G5" s="1">
        <x:v>545.9</x:v>
      </x:c>
      <x:c r="H5" s="1">
        <x:v>3.4</x:v>
      </x:c>
      <x:c r="I5" s="1">
        <x:v>1.3</x:v>
      </x:c>
      <x:c r="J5" s="1">
        <x:v>368.3</x:v>
      </x:c>
      <x:c r="K5" s="18">
        <x:f t="shared" si="1"/>
        <x:v>75.16666667</x:v>
      </x:c>
      <x:c r="L5" s="18">
        <x:f t="shared" si="2"/>
        <x:v>25.81866667</x:v>
      </x:c>
      <x:c r="M5" s="119"/>
      <x:c r="N5" s="119"/>
      <x:c r="O5" s="119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4.25" customHeight="1">
      <x:c r="A6" s="1" t="s">
        <x:v>604</x:v>
      </x:c>
      <x:c r="B6" s="1" t="s">
        <x:v>551</x:v>
      </x:c>
      <x:c r="C6" s="1">
        <x:v>285.2</x:v>
      </x:c>
      <x:c r="D6" s="1">
        <x:v>1392.1</x:v>
      </x:c>
      <x:c r="E6" s="1">
        <x:v>8.8</x:v>
      </x:c>
      <x:c r="F6" s="1">
        <x:v>77.3</x:v>
      </x:c>
      <x:c r="G6" s="1">
        <x:v>705.2</x:v>
      </x:c>
      <x:c r="H6" s="1">
        <x:v>3.5</x:v>
      </x:c>
      <x:c r="I6" s="1">
        <x:v>1.8</x:v>
      </x:c>
      <x:c r="J6" s="1">
        <x:v>357.0</x:v>
      </x:c>
      <x:c r="K6" s="18">
        <x:f t="shared" si="1"/>
        <x:v>77.33888889</x:v>
      </x:c>
      <x:c r="L6" s="18">
        <x:f t="shared" si="2"/>
        <x:v>33.35285535</x:v>
      </x:c>
      <x:c r="M6" s="119" t="n">
        <x:f>C8*Scoring!$B$32+D8/Scoring!$C$32+E8*Scoring!$D$32+F8*Scoring!$E$32+G8/Scoring!$F$32+H8*Scoring!$G$32+I8*Scoring!$H$32+K8*Scoring!$I$32+RB!L8*Scoring!$J$32+U6</x:f>
        <x:v>309.74</x:v>
      </x:c>
      <x:c r="N6" s="119" t="n">
        <x:f>C6*Scoring!$B$32+D6/Scoring!$C$32+E6*Scoring!$D$32+F6*Scoring!$E$32+G6/Scoring!$F$32+H6*Scoring!$G$32+I6*Scoring!$H$32+K6*Scoring!$I$32+RB!L6*Scoring!$J$32+U6</x:f>
        <x:v>320.38</x:v>
      </x:c>
      <x:c r="O6" s="119" t="n">
        <x:f>C7*Scoring!$B$32+D7/Scoring!$C$32+E7*Scoring!$D$32+F7*Scoring!$E$32+G7/Scoring!$F$32+H7*Scoring!$G$32+I7*Scoring!$H$32+K7*Scoring!$I$32+L7*Scoring!$J$32+U6</x:f>
        <x:v>329.37</x:v>
      </x:c>
      <x:c r="P6" s="9" t="n">
        <x:f>IF(COUNTIF(Rookies!$A:$A,A6)&gt;0,1,0)</x:f>
        <x:v>0</x:v>
      </x:c>
      <x:c r="Q6" s="9"/>
      <x:c r="R6" s="9"/>
      <x:c r="S6" s="9" t="n">
        <x:f>V6/17</x:f>
        <x:v>18.845882352941175</x:v>
      </x:c>
      <x:c r="T6" s="9" t="n">
        <x:f>IF(P6=1,MAX(0,0.258*(14.9-S6)),0)</x:f>
        <x:v>0</x:v>
      </x:c>
      <x:c r="U6" s="9" t="n">
        <x:f>T6*17</x:f>
        <x:v>0</x:v>
      </x:c>
      <x:c r="V6" s="9" t="n">
        <x:f>C6*Scoring!$B$32+D6/Scoring!$C$32+E6*Scoring!$D$32+F6*Scoring!$E$32+G6/Scoring!$F$32+H6*Scoring!$G$32+I6*Scoring!$H$32+K6*Scoring!$I$32+RB!L6*Scoring!$J$32</x:f>
        <x:v>320.38</x:v>
      </x:c>
      <x:c r="W6" s="9"/>
      <x:c r="X6" s="9"/>
      <x:c r="Y6" s="9"/>
      <x:c r="Z6" s="9"/>
    </x:row>
    <x:row r="7" ht="14.25" customHeight="1">
      <x:c r="B7" s="1" t="s">
        <x:v>488</x:v>
      </x:c>
      <x:c r="C7" s="1">
        <x:v>289.0</x:v>
      </x:c>
      <x:c r="D7" s="1">
        <x:v>1402.0</x:v>
      </x:c>
      <x:c r="E7" s="1">
        <x:v>9.0</x:v>
      </x:c>
      <x:c r="F7" s="1">
        <x:v>84.0</x:v>
      </x:c>
      <x:c r="G7" s="1">
        <x:v>707.7</x:v>
      </x:c>
      <x:c r="H7" s="1">
        <x:v>4.0</x:v>
      </x:c>
      <x:c r="I7" s="1">
        <x:v>1.6</x:v>
      </x:c>
      <x:c r="J7" s="1">
        <x:v>402.2</x:v>
      </x:c>
      <x:c r="K7" s="18">
        <x:f t="shared" si="1"/>
        <x:v>77.88888889</x:v>
      </x:c>
      <x:c r="L7" s="18">
        <x:f t="shared" si="2"/>
        <x:v>33.47109434</x:v>
      </x:c>
      <x:c r="M7" s="119"/>
      <x:c r="N7" s="119"/>
      <x:c r="O7" s="119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4.25" customHeight="1">
      <x:c r="B8" s="1" t="s">
        <x:v>489</x:v>
      </x:c>
      <x:c r="C8" s="1">
        <x:v>280.0</x:v>
      </x:c>
      <x:c r="D8" s="1">
        <x:v>1372.4</x:v>
      </x:c>
      <x:c r="E8" s="1">
        <x:v>8.4</x:v>
      </x:c>
      <x:c r="F8" s="1">
        <x:v>72.0</x:v>
      </x:c>
      <x:c r="G8" s="1">
        <x:v>701.0</x:v>
      </x:c>
      <x:c r="H8" s="1">
        <x:v>3.0</x:v>
      </x:c>
      <x:c r="I8" s="1">
        <x:v>2.0</x:v>
      </x:c>
      <x:c r="J8" s="1">
        <x:v>346.3</x:v>
      </x:c>
      <x:c r="K8" s="18">
        <x:f t="shared" si="1"/>
        <x:v>76.24444444</x:v>
      </x:c>
      <x:c r="L8" s="18">
        <x:f t="shared" si="2"/>
        <x:v>33.15421384</x:v>
      </x:c>
      <x:c r="M8" s="119"/>
      <x:c r="N8" s="119"/>
      <x:c r="O8" s="11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4.25" customHeight="1">
      <x:c r="A9" s="1" t="s">
        <x:v>605</x:v>
      </x:c>
      <x:c r="B9" s="1" t="s">
        <x:v>503</x:v>
      </x:c>
      <x:c r="C9" s="1">
        <x:v>269.7</x:v>
      </x:c>
      <x:c r="D9" s="1">
        <x:v>1094.6</x:v>
      </x:c>
      <x:c r="E9" s="1">
        <x:v>8.7</x:v>
      </x:c>
      <x:c r="F9" s="1">
        <x:v>78.4</x:v>
      </x:c>
      <x:c r="G9" s="1">
        <x:v>692.6</x:v>
      </x:c>
      <x:c r="H9" s="1">
        <x:v>4.6</x:v>
      </x:c>
      <x:c r="I9" s="1">
        <x:v>1.1</x:v>
      </x:c>
      <x:c r="J9" s="1">
        <x:v>334.7</x:v>
      </x:c>
      <x:c r="K9" s="18">
        <x:f t="shared" si="1"/>
        <x:v>60.81111111</x:v>
      </x:c>
      <x:c r="L9" s="18">
        <x:f t="shared" si="2"/>
        <x:v>32.75693082</x:v>
      </x:c>
      <x:c r="M9" s="119" t="n">
        <x:f>C11*Scoring!$B$32+D11/Scoring!$C$32+E11*Scoring!$D$32+F11*Scoring!$E$32+G11/Scoring!$F$32+H11*Scoring!$G$32+I11*Scoring!$H$32+K11*Scoring!$I$32+RB!L11*Scoring!$J$32+U9</x:f>
        <x:v>276.6</x:v>
      </x:c>
      <x:c r="N9" s="119" t="n">
        <x:f>C9*Scoring!$B$32+D9/Scoring!$C$32+E9*Scoring!$D$32+F9*Scoring!$E$32+G9/Scoring!$F$32+H9*Scoring!$G$32+I9*Scoring!$H$32+K9*Scoring!$I$32+RB!L9*Scoring!$J$32+U9</x:f>
        <x:v>296.62</x:v>
      </x:c>
      <x:c r="O9" s="119" t="n">
        <x:f>C10*Scoring!$B$32+D10/Scoring!$C$32+E10*Scoring!$D$32+F10*Scoring!$E$32+G10/Scoring!$F$32+H10*Scoring!$G$32+I10*Scoring!$H$32+K10*Scoring!$I$32+L10*Scoring!$J$32+U9</x:f>
        <x:v>311.1</x:v>
      </x:c>
      <x:c r="P9" s="9" t="n">
        <x:f>IF(COUNTIF(Rookies!$A:$A,A9)&gt;0,1,0)</x:f>
        <x:v>0</x:v>
      </x:c>
      <x:c r="Q9" s="9"/>
      <x:c r="R9" s="9"/>
      <x:c r="S9" s="9" t="n">
        <x:f>V9/17</x:f>
        <x:v>17.448235294117648</x:v>
      </x:c>
      <x:c r="T9" s="9" t="n">
        <x:f>IF(P9=1,MAX(0,0.258*(14.9-S9)),0)</x:f>
        <x:v>0</x:v>
      </x:c>
      <x:c r="U9" s="9" t="n">
        <x:f>T9*17</x:f>
        <x:v>0</x:v>
      </x:c>
      <x:c r="V9" s="9" t="n">
        <x:f>C9*Scoring!$B$32+D9/Scoring!$C$32+E9*Scoring!$D$32+F9*Scoring!$E$32+G9/Scoring!$F$32+H9*Scoring!$G$32+I9*Scoring!$H$32+K9*Scoring!$I$32+RB!L9*Scoring!$J$32</x:f>
        <x:v>296.62</x:v>
      </x:c>
      <x:c r="W9" s="9"/>
      <x:c r="X9" s="9"/>
      <x:c r="Y9" s="9"/>
      <x:c r="Z9" s="9"/>
    </x:row>
    <x:row r="10" ht="14.25" customHeight="1">
      <x:c r="B10" s="1" t="s">
        <x:v>488</x:v>
      </x:c>
      <x:c r="C10" s="1">
        <x:v>279.0</x:v>
      </x:c>
      <x:c r="D10" s="1">
        <x:v>1144.0</x:v>
      </x:c>
      <x:c r="E10" s="1">
        <x:v>9.2</x:v>
      </x:c>
      <x:c r="F10" s="1">
        <x:v>82.0</x:v>
      </x:c>
      <x:c r="G10" s="1">
        <x:v>715.0</x:v>
      </x:c>
      <x:c r="H10" s="1">
        <x:v>5.0</x:v>
      </x:c>
      <x:c r="I10" s="1">
        <x:v>1.0</x:v>
      </x:c>
      <x:c r="J10" s="1">
        <x:v>383.3</x:v>
      </x:c>
      <x:c r="K10" s="18">
        <x:f t="shared" si="1"/>
        <x:v>63.55555556</x:v>
      </x:c>
      <x:c r="L10" s="18">
        <x:f t="shared" si="2"/>
        <x:v>33.8163522</x:v>
      </x:c>
      <x:c r="M10" s="119"/>
      <x:c r="N10" s="119"/>
      <x:c r="O10" s="11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4.25" customHeight="1">
      <x:c r="B11" s="1" t="s">
        <x:v>489</x:v>
      </x:c>
      <x:c r="C11" s="1">
        <x:v>256.0</x:v>
      </x:c>
      <x:c r="D11" s="1">
        <x:v>1009.0</x:v>
      </x:c>
      <x:c r="E11" s="1">
        <x:v>8.0</x:v>
      </x:c>
      <x:c r="F11" s="1">
        <x:v>74.0</x:v>
      </x:c>
      <x:c r="G11" s="1">
        <x:v>679.0</x:v>
      </x:c>
      <x:c r="H11" s="1">
        <x:v>4.0</x:v>
      </x:c>
      <x:c r="I11" s="1">
        <x:v>1.2</x:v>
      </x:c>
      <x:c r="J11" s="1">
        <x:v>304.4</x:v>
      </x:c>
      <x:c r="K11" s="18">
        <x:f t="shared" si="1"/>
        <x:v>56.05555556</x:v>
      </x:c>
      <x:c r="L11" s="18">
        <x:f t="shared" si="2"/>
        <x:v>32.11371069</x:v>
      </x:c>
      <x:c r="M11" s="119"/>
      <x:c r="N11" s="119"/>
      <x:c r="O11" s="11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4.25" customHeight="1">
      <x:c r="A12" s="1" t="s">
        <x:v>606</x:v>
      </x:c>
      <x:c r="B12" s="1" t="s">
        <x:v>527</x:v>
      </x:c>
      <x:c r="C12" s="1">
        <x:v>326.6</x:v>
      </x:c>
      <x:c r="D12" s="1">
        <x:v>1504.6</x:v>
      </x:c>
      <x:c r="E12" s="1">
        <x:v>12.9</x:v>
      </x:c>
      <x:c r="F12" s="1">
        <x:v>42.9</x:v>
      </x:c>
      <x:c r="G12" s="1">
        <x:v>341.5</x:v>
      </x:c>
      <x:c r="H12" s="1">
        <x:v>1.5</x:v>
      </x:c>
      <x:c r="I12" s="1">
        <x:v>1.7</x:v>
      </x:c>
      <x:c r="J12" s="1">
        <x:v>310.1</x:v>
      </x:c>
      <x:c r="K12" s="18">
        <x:f t="shared" si="1"/>
        <x:v>83.58888889</x:v>
      </x:c>
      <x:c r="L12" s="18">
        <x:f t="shared" si="2"/>
        <x:v>16.15144654</x:v>
      </x:c>
      <x:c r="M12" s="119" t="n">
        <x:f>C14*Scoring!$B$32+D14/Scoring!$C$32+E14*Scoring!$D$32+F14*Scoring!$E$32+G14/Scoring!$F$32+H14*Scoring!$G$32+I14*Scoring!$H$32+K14*Scoring!$I$32+RB!L14*Scoring!$J$32+U12</x:f>
        <x:v>264.09999999999997</x:v>
      </x:c>
      <x:c r="N12" s="119" t="n">
        <x:f>C12*Scoring!$B$32+D12/Scoring!$C$32+E12*Scoring!$D$32+F12*Scoring!$E$32+G12/Scoring!$F$32+H12*Scoring!$G$32+I12*Scoring!$H$32+K12*Scoring!$I$32+RB!L12*Scoring!$J$32+U12</x:f>
        <x:v>290.76</x:v>
      </x:c>
      <x:c r="O12" s="119" t="n">
        <x:f>C13*Scoring!$B$32+D13/Scoring!$C$32+E13*Scoring!$D$32+F13*Scoring!$E$32+G13/Scoring!$F$32+H13*Scoring!$G$32+I13*Scoring!$H$32+K13*Scoring!$I$32+L13*Scoring!$J$32+U12</x:f>
        <x:v>322.69000000000005</x:v>
      </x:c>
      <x:c r="P12" s="9" t="n">
        <x:f>IF(COUNTIF(Rookies!$A:$A,A12)&gt;0,1,0)</x:f>
        <x:v>0</x:v>
      </x:c>
      <x:c r="Q12" s="9"/>
      <x:c r="R12" s="9"/>
      <x:c r="S12" s="9" t="n">
        <x:f>V12/17</x:f>
        <x:v>17.103529411764704</x:v>
      </x:c>
      <x:c r="T12" s="9" t="n">
        <x:f>IF(P12=1,MAX(0,0.258*(14.9-S12)),0)</x:f>
        <x:v>0</x:v>
      </x:c>
      <x:c r="U12" s="9" t="n">
        <x:f>T12*17</x:f>
        <x:v>0</x:v>
      </x:c>
      <x:c r="V12" s="9" t="n">
        <x:f>C12*Scoring!$B$32+D12/Scoring!$C$32+E12*Scoring!$D$32+F12*Scoring!$E$32+G12/Scoring!$F$32+H12*Scoring!$G$32+I12*Scoring!$H$32+K12*Scoring!$I$32+RB!L12*Scoring!$J$32</x:f>
        <x:v>290.76</x:v>
      </x:c>
      <x:c r="W12" s="9"/>
      <x:c r="X12" s="9"/>
      <x:c r="Y12" s="9"/>
      <x:c r="Z12" s="9"/>
    </x:row>
    <x:row r="13" ht="14.25" customHeight="1">
      <x:c r="B13" s="1" t="s">
        <x:v>488</x:v>
      </x:c>
      <x:c r="C13" s="1">
        <x:v>356.0</x:v>
      </x:c>
      <x:c r="D13" s="1">
        <x:v>1578.0</x:v>
      </x:c>
      <x:c r="E13" s="1">
        <x:v>15.0</x:v>
      </x:c>
      <x:c r="F13" s="1">
        <x:v>50.7</x:v>
      </x:c>
      <x:c r="G13" s="1">
        <x:v>390.4</x:v>
      </x:c>
      <x:c r="H13" s="1">
        <x:v>2.0</x:v>
      </x:c>
      <x:c r="I13" s="1">
        <x:v>1.5</x:v>
      </x:c>
      <x:c r="J13" s="1">
        <x:v>316.9</x:v>
      </x:c>
      <x:c r="K13" s="18">
        <x:f t="shared" si="1"/>
        <x:v>87.66666667</x:v>
      </x:c>
      <x:c r="L13" s="18">
        <x:f t="shared" si="2"/>
        <x:v>18.46420126</x:v>
      </x:c>
      <x:c r="M13" s="119"/>
      <x:c r="N13" s="119"/>
      <x:c r="O13" s="11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4.25" customHeight="1">
      <x:c r="B14" s="1" t="s">
        <x:v>489</x:v>
      </x:c>
      <x:c r="C14" s="1">
        <x:v>299.0</x:v>
      </x:c>
      <x:c r="D14" s="1">
        <x:v>1436.0</x:v>
      </x:c>
      <x:c r="E14" s="1">
        <x:v>11.6</x:v>
      </x:c>
      <x:c r="F14" s="1">
        <x:v>36.0</x:v>
      </x:c>
      <x:c r="G14" s="1">
        <x:v>289.0</x:v>
      </x:c>
      <x:c r="H14" s="1">
        <x:v>1.0</x:v>
      </x:c>
      <x:c r="I14" s="1">
        <x:v>2.0</x:v>
      </x:c>
      <x:c r="J14" s="1">
        <x:v>308.7</x:v>
      </x:c>
      <x:c r="K14" s="18">
        <x:f t="shared" si="1"/>
        <x:v>79.77777778</x:v>
      </x:c>
      <x:c r="L14" s="18">
        <x:f t="shared" si="2"/>
        <x:v>13.66842767</x:v>
      </x:c>
      <x:c r="M14" s="119"/>
      <x:c r="N14" s="119"/>
      <x:c r="O14" s="11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4.25" customHeight="1">
      <x:c r="A15" s="1" t="s">
        <x:v>607</x:v>
      </x:c>
      <x:c r="B15" s="1" t="s">
        <x:v>529</x:v>
      </x:c>
      <x:c r="C15" s="1">
        <x:v>238.3</x:v>
      </x:c>
      <x:c r="D15" s="1">
        <x:v>1200.2</x:v>
      </x:c>
      <x:c r="E15" s="1">
        <x:v>6.0</x:v>
      </x:c>
      <x:c r="F15" s="1">
        <x:v>65.3</x:v>
      </x:c>
      <x:c r="G15" s="1">
        <x:v>490.7</x:v>
      </x:c>
      <x:c r="H15" s="1">
        <x:v>4.0</x:v>
      </x:c>
      <x:c r="I15" s="1">
        <x:v>1.0</x:v>
      </x:c>
      <x:c r="J15" s="1">
        <x:v>292.4</x:v>
      </x:c>
      <x:c r="K15" s="18">
        <x:f t="shared" si="1"/>
        <x:v>66.67777778</x:v>
      </x:c>
      <x:c r="L15" s="18">
        <x:f t="shared" si="2"/>
        <x:v>23.20794969</x:v>
      </x:c>
      <x:c r="M15" s="119" t="n">
        <x:f>C17*Scoring!$B$32+D17/Scoring!$C$32+E17*Scoring!$D$32+F17*Scoring!$E$32+G17/Scoring!$F$32+H17*Scoring!$G$32+I17*Scoring!$H$32+K17*Scoring!$I$32+RB!L17*Scoring!$J$32+U15</x:f>
        <x:v>229.2</x:v>
      </x:c>
      <x:c r="N15" s="119" t="n">
        <x:f>C15*Scoring!$B$32+D15/Scoring!$C$32+E15*Scoring!$D$32+F15*Scoring!$E$32+G15/Scoring!$F$32+H15*Scoring!$G$32+I15*Scoring!$H$32+K15*Scoring!$I$32+RB!L15*Scoring!$J$32+U15</x:f>
        <x:v>260.74</x:v>
      </x:c>
      <x:c r="O15" s="119" t="n">
        <x:f>C16*Scoring!$B$32+D16/Scoring!$C$32+E16*Scoring!$D$32+F16*Scoring!$E$32+G16/Scoring!$F$32+H16*Scoring!$G$32+I16*Scoring!$H$32+K16*Scoring!$I$32+L16*Scoring!$J$32+U15</x:f>
        <x:v>300.35</x:v>
      </x:c>
      <x:c r="P15" s="9" t="n">
        <x:f>IF(COUNTIF(Rookies!$A:$A,A15)&gt;0,1,0)</x:f>
        <x:v>0</x:v>
      </x:c>
      <x:c r="Q15" s="9"/>
      <x:c r="R15" s="9"/>
      <x:c r="S15" s="9" t="n">
        <x:f>V15/17</x:f>
        <x:v>15.33764705882353</x:v>
      </x:c>
      <x:c r="T15" s="9" t="n">
        <x:f>IF(P15=1,MAX(0,0.258*(14.9-S15)),0)</x:f>
        <x:v>0</x:v>
      </x:c>
      <x:c r="U15" s="9" t="n">
        <x:f>T15*17</x:f>
        <x:v>0</x:v>
      </x:c>
      <x:c r="V15" s="9" t="n">
        <x:f>C15*Scoring!$B$32+D15/Scoring!$C$32+E15*Scoring!$D$32+F15*Scoring!$E$32+G15/Scoring!$F$32+H15*Scoring!$G$32+I15*Scoring!$H$32+K15*Scoring!$I$32+RB!L15*Scoring!$J$32</x:f>
        <x:v>260.74</x:v>
      </x:c>
      <x:c r="W15" s="9"/>
      <x:c r="X15" s="9"/>
      <x:c r="Y15" s="9"/>
      <x:c r="Z15" s="9"/>
    </x:row>
    <x:row r="16" ht="14.25" customHeight="1">
      <x:c r="B16" s="1" t="s">
        <x:v>488</x:v>
      </x:c>
      <x:c r="C16" s="1">
        <x:v>258.0</x:v>
      </x:c>
      <x:c r="D16" s="1">
        <x:v>1308.5</x:v>
      </x:c>
      <x:c r="E16" s="1">
        <x:v>7.0</x:v>
      </x:c>
      <x:c r="F16" s="1">
        <x:v>75.0</x:v>
      </x:c>
      <x:c r="G16" s="1">
        <x:v>550.0</x:v>
      </x:c>
      <x:c r="H16" s="1">
        <x:v>6.0</x:v>
      </x:c>
      <x:c r="I16" s="1">
        <x:v>1.0</x:v>
      </x:c>
      <x:c r="J16" s="1">
        <x:v>304.5</x:v>
      </x:c>
      <x:c r="K16" s="18">
        <x:f t="shared" si="1"/>
        <x:v>72.69444444</x:v>
      </x:c>
      <x:c r="L16" s="18">
        <x:f t="shared" si="2"/>
        <x:v>26.01257862</x:v>
      </x:c>
      <x:c r="M16" s="119"/>
      <x:c r="N16" s="119"/>
      <x:c r="O16" s="11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4.25" customHeight="1">
      <x:c r="B17" s="1" t="s">
        <x:v>489</x:v>
      </x:c>
      <x:c r="C17" s="1">
        <x:v>228.0</x:v>
      </x:c>
      <x:c r="D17" s="1">
        <x:v>1131.0</x:v>
      </x:c>
      <x:c r="E17" s="1">
        <x:v>5.0</x:v>
      </x:c>
      <x:c r="F17" s="1">
        <x:v>56.0</x:v>
      </x:c>
      <x:c r="G17" s="1">
        <x:v>411.0</x:v>
      </x:c>
      <x:c r="H17" s="1">
        <x:v>3.0</x:v>
      </x:c>
      <x:c r="I17" s="1">
        <x:v>1.0</x:v>
      </x:c>
      <x:c r="J17" s="1">
        <x:v>292.3</x:v>
      </x:c>
      <x:c r="K17" s="18">
        <x:f t="shared" si="1"/>
        <x:v>62.83333333</x:v>
      </x:c>
      <x:c r="L17" s="18">
        <x:f t="shared" si="2"/>
        <x:v>19.43849057</x:v>
      </x:c>
      <x:c r="M17" s="119"/>
      <x:c r="N17" s="119"/>
      <x:c r="O17" s="11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4.25" customHeight="1">
      <x:c r="A18" s="1" t="s">
        <x:v>608</x:v>
      </x:c>
      <x:c r="B18" s="1" t="s">
        <x:v>499</x:v>
      </x:c>
      <x:c r="C18" s="1">
        <x:v>238.8</x:v>
      </x:c>
      <x:c r="D18" s="1">
        <x:v>1037.5</x:v>
      </x:c>
      <x:c r="E18" s="1">
        <x:v>7.8</x:v>
      </x:c>
      <x:c r="F18" s="1">
        <x:v>63.8</x:v>
      </x:c>
      <x:c r="G18" s="1">
        <x:v>427.6</x:v>
      </x:c>
      <x:c r="H18" s="1">
        <x:v>4.0</x:v>
      </x:c>
      <x:c r="I18" s="1">
        <x:v>1.1</x:v>
      </x:c>
      <x:c r="J18" s="1">
        <x:v>278.6</x:v>
      </x:c>
      <x:c r="K18" s="18">
        <x:f t="shared" si="1"/>
        <x:v>57.63888889</x:v>
      </x:c>
      <x:c r="L18" s="18">
        <x:f t="shared" si="2"/>
        <x:v>20.22359748</x:v>
      </x:c>
      <x:c r="M18" s="119" t="n">
        <x:f>C20*Scoring!$B$32+D20/Scoring!$C$32+E20*Scoring!$D$32+F20*Scoring!$E$32+G20/Scoring!$F$32+H20*Scoring!$G$32+I20*Scoring!$H$32+K20*Scoring!$I$32+RB!L20*Scoring!$J$32+U18</x:f>
        <x:v>224.20000000000002</x:v>
      </x:c>
      <x:c r="N18" s="119" t="n">
        <x:f>C18*Scoring!$B$32+D18/Scoring!$C$32+E18*Scoring!$D$32+F18*Scoring!$E$32+G18/Scoring!$F$32+H18*Scoring!$G$32+I18*Scoring!$H$32+K18*Scoring!$I$32+RB!L18*Scoring!$J$32+U18</x:f>
        <x:v>248.11000000000004</x:v>
      </x:c>
      <x:c r="O18" s="119" t="n">
        <x:f>C19*Scoring!$B$32+D19/Scoring!$C$32+E19*Scoring!$D$32+F19*Scoring!$E$32+G19/Scoring!$F$32+H19*Scoring!$G$32+I19*Scoring!$H$32+K19*Scoring!$I$32+L19*Scoring!$J$32+U18</x:f>
        <x:v>272.7</x:v>
      </x:c>
      <x:c r="P18" s="9" t="n">
        <x:f>IF(COUNTIF(Rookies!$A:$A,A18)&gt;0,1,0)</x:f>
        <x:v>0</x:v>
      </x:c>
      <x:c r="Q18" s="9"/>
      <x:c r="R18" s="9"/>
      <x:c r="S18" s="9" t="n">
        <x:f>V18/17</x:f>
        <x:v>14.594705882352944</x:v>
      </x:c>
      <x:c r="T18" s="9" t="n">
        <x:f>IF(P18=1,MAX(0,0.258*(14.9-S18)),0)</x:f>
        <x:v>0</x:v>
      </x:c>
      <x:c r="U18" s="9" t="n">
        <x:f>T18*17</x:f>
        <x:v>0</x:v>
      </x:c>
      <x:c r="V18" s="9" t="n">
        <x:f>C18*Scoring!$B$32+D18/Scoring!$C$32+E18*Scoring!$D$32+F18*Scoring!$E$32+G18/Scoring!$F$32+H18*Scoring!$G$32+I18*Scoring!$H$32+K18*Scoring!$I$32+RB!L18*Scoring!$J$32</x:f>
        <x:v>248.11000000000004</x:v>
      </x:c>
      <x:c r="W18" s="9"/>
      <x:c r="X18" s="9"/>
      <x:c r="Y18" s="9"/>
      <x:c r="Z18" s="9"/>
    </x:row>
    <x:row r="19" ht="14.25" customHeight="1">
      <x:c r="B19" s="1" t="s">
        <x:v>488</x:v>
      </x:c>
      <x:c r="C19" s="1">
        <x:v>242.0</x:v>
      </x:c>
      <x:c r="D19" s="1">
        <x:v>1066.0</x:v>
      </x:c>
      <x:c r="E19" s="1">
        <x:v>9.0</x:v>
      </x:c>
      <x:c r="F19" s="1">
        <x:v>72.0</x:v>
      </x:c>
      <x:c r="G19" s="1">
        <x:v>471.0</x:v>
      </x:c>
      <x:c r="H19" s="1">
        <x:v>5.0</x:v>
      </x:c>
      <x:c r="I19" s="1">
        <x:v>1.0</x:v>
      </x:c>
      <x:c r="J19" s="1">
        <x:v>301.6</x:v>
      </x:c>
      <x:c r="K19" s="18">
        <x:f t="shared" si="1"/>
        <x:v>59.22222222</x:v>
      </x:c>
      <x:c r="L19" s="18">
        <x:f t="shared" si="2"/>
        <x:v>22.27622642</x:v>
      </x:c>
      <x:c r="M19" s="119"/>
      <x:c r="N19" s="119"/>
      <x:c r="O19" s="11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4.25" customHeight="1">
      <x:c r="B20" s="1" t="s">
        <x:v>489</x:v>
      </x:c>
      <x:c r="C20" s="1">
        <x:v>236.0</x:v>
      </x:c>
      <x:c r="D20" s="1">
        <x:v>1008.0</x:v>
      </x:c>
      <x:c r="E20" s="1">
        <x:v>7.0</x:v>
      </x:c>
      <x:c r="F20" s="1">
        <x:v>55.0</x:v>
      </x:c>
      <x:c r="G20" s="1">
        <x:v>377.0</x:v>
      </x:c>
      <x:c r="H20" s="1">
        <x:v>2.9</x:v>
      </x:c>
      <x:c r="I20" s="1">
        <x:v>1.2</x:v>
      </x:c>
      <x:c r="J20" s="1">
        <x:v>271.6</x:v>
      </x:c>
      <x:c r="K20" s="18">
        <x:f t="shared" si="1"/>
        <x:v>56</x:v>
      </x:c>
      <x:c r="L20" s="18">
        <x:f t="shared" si="2"/>
        <x:v>17.83044025</x:v>
      </x:c>
      <x:c r="M20" s="119"/>
      <x:c r="N20" s="119"/>
      <x:c r="O20" s="11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4.25" customHeight="1">
      <x:c r="A21" s="1" t="s">
        <x:v>609</x:v>
      </x:c>
      <x:c r="B21" s="1" t="s">
        <x:v>491</x:v>
      </x:c>
      <x:c r="C21" s="1">
        <x:v>314.0</x:v>
      </x:c>
      <x:c r="D21" s="1">
        <x:v>1569.8</x:v>
      </x:c>
      <x:c r="E21" s="1">
        <x:v>13.4</x:v>
      </x:c>
      <x:c r="F21" s="1">
        <x:v>18.1</x:v>
      </x:c>
      <x:c r="G21" s="1">
        <x:v>175.1</x:v>
      </x:c>
      <x:c r="H21" s="1">
        <x:v>0.7</x:v>
      </x:c>
      <x:c r="I21" s="1">
        <x:v>1.7</x:v>
      </x:c>
      <x:c r="J21" s="1">
        <x:v>273.8</x:v>
      </x:c>
      <x:c r="K21" s="18">
        <x:f t="shared" si="1"/>
        <x:v>87.21111111</x:v>
      </x:c>
      <x:c r="L21" s="18">
        <x:f t="shared" si="2"/>
        <x:v>8.281459119</x:v>
      </x:c>
      <x:c r="M21" s="119" t="n">
        <x:f>C23*Scoring!$B$32+D23/Scoring!$C$32+E23*Scoring!$D$32+F23*Scoring!$E$32+G23/Scoring!$F$32+H23*Scoring!$G$32+I23*Scoring!$H$32+K23*Scoring!$I$32+RB!L23*Scoring!$J$32+U21</x:f>
        <x:v>240.75</x:v>
      </x:c>
      <x:c r="N21" s="119" t="n">
        <x:f>C21*Scoring!$B$32+D21/Scoring!$C$32+E21*Scoring!$D$32+F21*Scoring!$E$32+G21/Scoring!$F$32+H21*Scoring!$G$32+I21*Scoring!$H$32+K21*Scoring!$I$32+RB!L21*Scoring!$J$32+U21</x:f>
        <x:v>266.44</x:v>
      </x:c>
      <x:c r="O21" s="119" t="n">
        <x:f>C22*Scoring!$B$32+D22/Scoring!$C$32+E22*Scoring!$D$32+F22*Scoring!$E$32+G22/Scoring!$F$32+H22*Scoring!$G$32+I22*Scoring!$H$32+K22*Scoring!$I$32+L22*Scoring!$J$32+U21</x:f>
        <x:v>292.83</x:v>
      </x:c>
      <x:c r="P21" s="9" t="n">
        <x:f>IF(COUNTIF(Rookies!$A:$A,A21)&gt;0,1,0)</x:f>
        <x:v>0</x:v>
      </x:c>
      <x:c r="Q21" s="9"/>
      <x:c r="R21" s="9"/>
      <x:c r="S21" s="9" t="n">
        <x:f>V21/17</x:f>
        <x:v>15.672941176470587</x:v>
      </x:c>
      <x:c r="T21" s="9" t="n">
        <x:f>IF(P21=1,MAX(0,0.258*(14.9-S21)),0)</x:f>
        <x:v>0</x:v>
      </x:c>
      <x:c r="U21" s="9" t="n">
        <x:f>T21*17</x:f>
        <x:v>0</x:v>
      </x:c>
      <x:c r="V21" s="9" t="n">
        <x:f>C21*Scoring!$B$32+D21/Scoring!$C$32+E21*Scoring!$D$32+F21*Scoring!$E$32+G21/Scoring!$F$32+H21*Scoring!$G$32+I21*Scoring!$H$32+K21*Scoring!$I$32+RB!L21*Scoring!$J$32</x:f>
        <x:v>266.44</x:v>
      </x:c>
      <x:c r="W21" s="9"/>
      <x:c r="X21" s="9"/>
      <x:c r="Y21" s="9"/>
      <x:c r="Z21" s="9"/>
    </x:row>
    <x:row r="22" ht="14.25" customHeight="1">
      <x:c r="B22" s="1" t="s">
        <x:v>488</x:v>
      </x:c>
      <x:c r="C22" s="1">
        <x:v>321.0</x:v>
      </x:c>
      <x:c r="D22" s="1">
        <x:v>1654.0</x:v>
      </x:c>
      <x:c r="E22" s="1">
        <x:v>15.0</x:v>
      </x:c>
      <x:c r="F22" s="1">
        <x:v>21.4</x:v>
      </x:c>
      <x:c r="G22" s="1">
        <x:v>210.3</x:v>
      </x:c>
      <x:c r="H22" s="1">
        <x:v>1.2</x:v>
      </x:c>
      <x:c r="I22" s="1">
        <x:v>1.5</x:v>
      </x:c>
      <x:c r="J22" s="1">
        <x:v>277.1</x:v>
      </x:c>
      <x:c r="K22" s="18">
        <x:f t="shared" si="1"/>
        <x:v>91.88888889</x:v>
      </x:c>
      <x:c r="L22" s="18">
        <x:f t="shared" si="2"/>
        <x:v>9.946264151</x:v>
      </x:c>
      <x:c r="M22" s="119"/>
      <x:c r="N22" s="119"/>
      <x:c r="O22" s="11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4.25" customHeight="1">
      <x:c r="B23" s="1" t="s">
        <x:v>489</x:v>
      </x:c>
      <x:c r="C23" s="1">
        <x:v>304.0</x:v>
      </x:c>
      <x:c r="D23" s="1">
        <x:v>1483.5</x:v>
      </x:c>
      <x:c r="E23" s="1">
        <x:v>12.0</x:v>
      </x:c>
      <x:c r="F23" s="1">
        <x:v>16.0</x:v>
      </x:c>
      <x:c r="G23" s="1">
        <x:v>144.0</x:v>
      </x:c>
      <x:c r="H23" s="1">
        <x:v>0.0</x:v>
      </x:c>
      <x:c r="I23" s="1">
        <x:v>2.0</x:v>
      </x:c>
      <x:c r="J23" s="1">
        <x:v>269.7</x:v>
      </x:c>
      <x:c r="K23" s="18">
        <x:f t="shared" si="1"/>
        <x:v>82.41666667</x:v>
      </x:c>
      <x:c r="L23" s="18">
        <x:f t="shared" si="2"/>
        <x:v>6.810566038</x:v>
      </x:c>
      <x:c r="M23" s="119"/>
      <x:c r="N23" s="119"/>
      <x:c r="O23" s="11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4.25" customHeight="1">
      <x:c r="A24" s="1" t="s">
        <x:v>610</x:v>
      </x:c>
      <x:c r="B24" s="1" t="s">
        <x:v>487</x:v>
      </x:c>
      <x:c r="C24" s="1">
        <x:v>287.7</x:v>
      </x:c>
      <x:c r="D24" s="1">
        <x:v>1405.1</x:v>
      </x:c>
      <x:c r="E24" s="1">
        <x:v>10.3</x:v>
      </x:c>
      <x:c r="F24" s="1">
        <x:v>33.3</x:v>
      </x:c>
      <x:c r="G24" s="1">
        <x:v>283.7</x:v>
      </x:c>
      <x:c r="H24" s="1">
        <x:v>1.9</x:v>
      </x:c>
      <x:c r="I24" s="1">
        <x:v>2.4</x:v>
      </x:c>
      <x:c r="J24" s="1">
        <x:v>270.6</x:v>
      </x:c>
      <x:c r="K24" s="18">
        <x:f t="shared" si="1"/>
        <x:v>78.06111111</x:v>
      </x:c>
      <x:c r="L24" s="18">
        <x:f t="shared" si="2"/>
        <x:v>13.41776101</x:v>
      </x:c>
      <x:c r="M24" s="119" t="n">
        <x:f>C26*Scoring!$B$32+D26/Scoring!$C$32+E26*Scoring!$D$32+F26*Scoring!$E$32+G26/Scoring!$F$32+H26*Scoring!$G$32+I26*Scoring!$H$32+K26*Scoring!$I$32+RB!L26*Scoring!$J$32+U24</x:f>
        <x:v>241.7</x:v>
      </x:c>
      <x:c r="N24" s="119" t="n">
        <x:f>C24*Scoring!$B$32+D24/Scoring!$C$32+E24*Scoring!$D$32+F24*Scoring!$E$32+G24/Scoring!$F$32+H24*Scoring!$G$32+I24*Scoring!$H$32+K24*Scoring!$I$32+RB!L24*Scoring!$J$32+U24</x:f>
        <x:v>256.33000000000004</x:v>
      </x:c>
      <x:c r="O24" s="119" t="n">
        <x:f>C25*Scoring!$B$32+D25/Scoring!$C$32+E25*Scoring!$D$32+F25*Scoring!$E$32+G25/Scoring!$F$32+H25*Scoring!$G$32+I25*Scoring!$H$32+K25*Scoring!$I$32+L25*Scoring!$J$32+U24</x:f>
        <x:v>268.05999999999995</x:v>
      </x:c>
      <x:c r="P24" s="9" t="n">
        <x:f>IF(COUNTIF(Rookies!$A:$A,A24)&gt;0,1,0)</x:f>
        <x:v>0</x:v>
      </x:c>
      <x:c r="Q24" s="9"/>
      <x:c r="R24" s="9"/>
      <x:c r="S24" s="9" t="n">
        <x:f>V24/17</x:f>
        <x:v>15.078235294117649</x:v>
      </x:c>
      <x:c r="T24" s="9" t="n">
        <x:f>IF(P24=1,MAX(0,0.258*(14.9-S24)),0)</x:f>
        <x:v>0</x:v>
      </x:c>
      <x:c r="U24" s="9" t="n">
        <x:f>T24*17</x:f>
        <x:v>0</x:v>
      </x:c>
      <x:c r="V24" s="9" t="n">
        <x:f>C24*Scoring!$B$32+D24/Scoring!$C$32+E24*Scoring!$D$32+F24*Scoring!$E$32+G24/Scoring!$F$32+H24*Scoring!$G$32+I24*Scoring!$H$32+K24*Scoring!$I$32+RB!L24*Scoring!$J$32</x:f>
        <x:v>256.33000000000004</x:v>
      </x:c>
      <x:c r="W24" s="9"/>
      <x:c r="X24" s="9"/>
      <x:c r="Y24" s="9"/>
      <x:c r="Z24" s="9"/>
    </x:row>
    <x:row r="25" ht="14.25" customHeight="1">
      <x:c r="B25" s="1" t="s">
        <x:v>488</x:v>
      </x:c>
      <x:c r="C25" s="1">
        <x:v>300.0</x:v>
      </x:c>
      <x:c r="D25" s="1">
        <x:v>1437.0</x:v>
      </x:c>
      <x:c r="E25" s="1">
        <x:v>11.0</x:v>
      </x:c>
      <x:c r="F25" s="1">
        <x:v>35.9</x:v>
      </x:c>
      <x:c r="G25" s="1">
        <x:v>302.1</x:v>
      </x:c>
      <x:c r="H25" s="1">
        <x:v>2.0</x:v>
      </x:c>
      <x:c r="I25" s="1">
        <x:v>1.8</x:v>
      </x:c>
      <x:c r="J25" s="1">
        <x:v>292.5</x:v>
      </x:c>
      <x:c r="K25" s="18">
        <x:f t="shared" si="1"/>
        <x:v>79.83333333</x:v>
      </x:c>
      <x:c r="L25" s="18">
        <x:f t="shared" si="2"/>
        <x:v>14.288</x:v>
      </x:c>
      <x:c r="M25" s="119"/>
      <x:c r="N25" s="119"/>
      <x:c r="O25" s="11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4.25" customHeight="1">
      <x:c r="B26" s="1" t="s">
        <x:v>489</x:v>
      </x:c>
      <x:c r="C26" s="1">
        <x:v>275.0</x:v>
      </x:c>
      <x:c r="D26" s="1">
        <x:v>1377.0</x:v>
      </x:c>
      <x:c r="E26" s="1">
        <x:v>9.0</x:v>
      </x:c>
      <x:c r="F26" s="1">
        <x:v>32.0</x:v>
      </x:c>
      <x:c r="G26" s="1">
        <x:v>274.0</x:v>
      </x:c>
      <x:c r="H26" s="1">
        <x:v>1.6</x:v>
      </x:c>
      <x:c r="I26" s="1">
        <x:v>3.0</x:v>
      </x:c>
      <x:c r="J26" s="1">
        <x:v>247.3</x:v>
      </x:c>
      <x:c r="K26" s="18">
        <x:f t="shared" si="1"/>
        <x:v>76.5</x:v>
      </x:c>
      <x:c r="L26" s="18">
        <x:f t="shared" si="2"/>
        <x:v>12.95899371</x:v>
      </x:c>
      <x:c r="M26" s="119"/>
      <x:c r="N26" s="119"/>
      <x:c r="O26" s="11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4.25" customHeight="1">
      <x:c r="A27" s="1" t="s">
        <x:v>611</x:v>
      </x:c>
      <x:c r="B27" s="1" t="s">
        <x:v>497</x:v>
      </x:c>
      <x:c r="C27" s="1">
        <x:v>295.8</x:v>
      </x:c>
      <x:c r="D27" s="1">
        <x:v>1299.1</x:v>
      </x:c>
      <x:c r="E27" s="1">
        <x:v>8.2</x:v>
      </x:c>
      <x:c r="F27" s="1">
        <x:v>41.7</x:v>
      </x:c>
      <x:c r="G27" s="1">
        <x:v>330.4</x:v>
      </x:c>
      <x:c r="H27" s="1">
        <x:v>2.1</x:v>
      </x:c>
      <x:c r="I27" s="1">
        <x:v>1.0</x:v>
      </x:c>
      <x:c r="J27" s="1">
        <x:v>264.7</x:v>
      </x:c>
      <x:c r="K27" s="18">
        <x:f t="shared" si="1"/>
        <x:v>72.17222222</x:v>
      </x:c>
      <x:c r="L27" s="18">
        <x:f t="shared" si="2"/>
        <x:v>15.62646541</x:v>
      </x:c>
      <x:c r="M27" s="119" t="n">
        <x:f>C29*Scoring!$B$32+D29/Scoring!$C$32+E29*Scoring!$D$32+F29*Scoring!$E$32+G29/Scoring!$F$32+H29*Scoring!$G$32+I29*Scoring!$H$32+K29*Scoring!$I$32+RB!L29*Scoring!$J$32+U27</x:f>
        <x:v>227.29999999999998</x:v>
      </x:c>
      <x:c r="N27" s="119" t="n">
        <x:f>C27*Scoring!$B$32+D27/Scoring!$C$32+E27*Scoring!$D$32+F27*Scoring!$E$32+G27/Scoring!$F$32+H27*Scoring!$G$32+I27*Scoring!$H$32+K27*Scoring!$I$32+RB!L27*Scoring!$J$32+U27</x:f>
        <x:v>244.59999999999997</x:v>
      </x:c>
      <x:c r="O27" s="119" t="n">
        <x:f>C28*Scoring!$B$32+D28/Scoring!$C$32+E28*Scoring!$D$32+F28*Scoring!$E$32+G28/Scoring!$F$32+H28*Scoring!$G$32+I28*Scoring!$H$32+K28*Scoring!$I$32+L28*Scoring!$J$32+U27</x:f>
        <x:v>263.11</x:v>
      </x:c>
      <x:c r="P27" s="9" t="n">
        <x:f>IF(COUNTIF(Rookies!$A:$A,A27)&gt;0,1,0)</x:f>
        <x:v>0</x:v>
      </x:c>
      <x:c r="Q27" s="9"/>
      <x:c r="R27" s="9"/>
      <x:c r="S27" s="9" t="n">
        <x:f>V27/17</x:f>
        <x:v>14.388235294117646</x:v>
      </x:c>
      <x:c r="T27" s="9" t="n">
        <x:f>IF(P27=1,MAX(0,0.258*(14.9-S27)),0)</x:f>
        <x:v>0</x:v>
      </x:c>
      <x:c r="U27" s="9" t="n">
        <x:f>T27*17</x:f>
        <x:v>0</x:v>
      </x:c>
      <x:c r="V27" s="9" t="n">
        <x:f>C27*Scoring!$B$32+D27/Scoring!$C$32+E27*Scoring!$D$32+F27*Scoring!$E$32+G27/Scoring!$F$32+H27*Scoring!$G$32+I27*Scoring!$H$32+K27*Scoring!$I$32+RB!L27*Scoring!$J$32</x:f>
        <x:v>244.59999999999997</x:v>
      </x:c>
      <x:c r="W27" s="9"/>
      <x:c r="X27" s="9"/>
      <x:c r="Y27" s="9"/>
      <x:c r="Z27" s="9"/>
    </x:row>
    <x:row r="28" ht="14.25" customHeight="1">
      <x:c r="B28" s="1" t="s">
        <x:v>488</x:v>
      </x:c>
      <x:c r="C28" s="1">
        <x:v>306.0</x:v>
      </x:c>
      <x:c r="D28" s="1">
        <x:v>1376.0</x:v>
      </x:c>
      <x:c r="E28" s="1">
        <x:v>9.0</x:v>
      </x:c>
      <x:c r="F28" s="1">
        <x:v>43.2</x:v>
      </x:c>
      <x:c r="G28" s="1">
        <x:v>371.1</x:v>
      </x:c>
      <x:c r="H28" s="1">
        <x:v>2.3</x:v>
      </x:c>
      <x:c r="I28" s="1">
        <x:v>1.0</x:v>
      </x:c>
      <x:c r="J28" s="1">
        <x:v>283.0</x:v>
      </x:c>
      <x:c r="K28" s="18">
        <x:f t="shared" si="1"/>
        <x:v>76.44444444</x:v>
      </x:c>
      <x:c r="L28" s="18">
        <x:f t="shared" si="2"/>
        <x:v>17.55139623</x:v>
      </x:c>
      <x:c r="M28" s="119"/>
      <x:c r="N28" s="119"/>
      <x:c r="O28" s="11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4.25" customHeight="1">
      <x:c r="B29" s="1" t="s">
        <x:v>489</x:v>
      </x:c>
      <x:c r="C29" s="1">
        <x:v>281.0</x:v>
      </x:c>
      <x:c r="D29" s="1">
        <x:v>1236.0</x:v>
      </x:c>
      <x:c r="E29" s="1">
        <x:v>7.0</x:v>
      </x:c>
      <x:c r="F29" s="1">
        <x:v>40.0</x:v>
      </x:c>
      <x:c r="G29" s="1">
        <x:v>307.0</x:v>
      </x:c>
      <x:c r="H29" s="1">
        <x:v>2.0</x:v>
      </x:c>
      <x:c r="I29" s="1">
        <x:v>1.0</x:v>
      </x:c>
      <x:c r="J29" s="1">
        <x:v>244.7</x:v>
      </x:c>
      <x:c r="K29" s="18">
        <x:f t="shared" si="1"/>
        <x:v>68.66666667</x:v>
      </x:c>
      <x:c r="L29" s="18">
        <x:f t="shared" si="2"/>
        <x:v>14.51974843</x:v>
      </x:c>
      <x:c r="M29" s="119"/>
      <x:c r="N29" s="119"/>
      <x:c r="O29" s="11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4.25" customHeight="1">
      <x:c r="A30" s="1" t="s">
        <x:v>612</x:v>
      </x:c>
      <x:c r="B30" s="1" t="s">
        <x:v>547</x:v>
      </x:c>
      <x:c r="C30" s="1">
        <x:v>259.7</x:v>
      </x:c>
      <x:c r="D30" s="1">
        <x:v>1046.9</x:v>
      </x:c>
      <x:c r="E30" s="1">
        <x:v>7.4</x:v>
      </x:c>
      <x:c r="F30" s="1">
        <x:v>56.7</x:v>
      </x:c>
      <x:c r="G30" s="1">
        <x:v>400.6</x:v>
      </x:c>
      <x:c r="H30" s="1">
        <x:v>3.0</x:v>
      </x:c>
      <x:c r="I30" s="1">
        <x:v>1.1</x:v>
      </x:c>
      <x:c r="J30" s="1">
        <x:v>261.5</x:v>
      </x:c>
      <x:c r="K30" s="18">
        <x:f t="shared" si="1"/>
        <x:v>58.16111111</x:v>
      </x:c>
      <x:c r="L30" s="18">
        <x:f t="shared" si="2"/>
        <x:v>18.94661635</x:v>
      </x:c>
      <x:c r="M30" s="119" t="n">
        <x:f>C32*Scoring!$B$32+D32/Scoring!$C$32+E32*Scoring!$D$32+F32*Scoring!$E$32+G32/Scoring!$F$32+H32*Scoring!$G$32+I32*Scoring!$H$32+K32*Scoring!$I$32+RB!L32*Scoring!$J$32+U30</x:f>
        <x:v>194.9</x:v>
      </x:c>
      <x:c r="N30" s="119" t="n">
        <x:f>C30*Scoring!$B$32+D30/Scoring!$C$32+E30*Scoring!$D$32+F30*Scoring!$E$32+G30/Scoring!$F$32+H30*Scoring!$G$32+I30*Scoring!$H$32+K30*Scoring!$I$32+RB!L30*Scoring!$J$32+U30</x:f>
        <x:v>234.40000000000003</x:v>
      </x:c>
      <x:c r="O30" s="119" t="n">
        <x:f>C31*Scoring!$B$32+D31/Scoring!$C$32+E31*Scoring!$D$32+F31*Scoring!$E$32+G31/Scoring!$F$32+H31*Scoring!$G$32+I31*Scoring!$H$32+K31*Scoring!$I$32+L31*Scoring!$J$32+U30</x:f>
        <x:v>272.88</x:v>
      </x:c>
      <x:c r="P30" s="9" t="n">
        <x:f>IF(COUNTIF(Rookies!$A:$A,A30)&gt;0,1,0)</x:f>
        <x:v>0</x:v>
      </x:c>
      <x:c r="Q30" s="9"/>
      <x:c r="R30" s="9"/>
      <x:c r="S30" s="9" t="n">
        <x:f>V30/17</x:f>
        <x:v>13.78823529411765</x:v>
      </x:c>
      <x:c r="T30" s="9" t="n">
        <x:f>IF(P30=1,MAX(0,0.258*(14.9-S30)),0)</x:f>
        <x:v>0</x:v>
      </x:c>
      <x:c r="U30" s="9" t="n">
        <x:f>T30*17</x:f>
        <x:v>0</x:v>
      </x:c>
      <x:c r="V30" s="9" t="n">
        <x:f>C30*Scoring!$B$32+D30/Scoring!$C$32+E30*Scoring!$D$32+F30*Scoring!$E$32+G30/Scoring!$F$32+H30*Scoring!$G$32+I30*Scoring!$H$32+K30*Scoring!$I$32+RB!L30*Scoring!$J$32</x:f>
        <x:v>234.40000000000003</x:v>
      </x:c>
      <x:c r="W30" s="9"/>
      <x:c r="X30" s="9"/>
      <x:c r="Y30" s="9"/>
      <x:c r="Z30" s="9"/>
    </x:row>
    <x:row r="31" ht="14.25" customHeight="1">
      <x:c r="B31" s="1" t="s">
        <x:v>488</x:v>
      </x:c>
      <x:c r="C31" s="1">
        <x:v>279.1</x:v>
      </x:c>
      <x:c r="D31" s="1">
        <x:v>1137.0</x:v>
      </x:c>
      <x:c r="E31" s="1">
        <x:v>8.0</x:v>
      </x:c>
      <x:c r="F31" s="1">
        <x:v>65.2</x:v>
      </x:c>
      <x:c r="G31" s="1">
        <x:v>495.8</x:v>
      </x:c>
      <x:c r="H31" s="1">
        <x:v>5.0</x:v>
      </x:c>
      <x:c r="I31" s="1">
        <x:v>1.0</x:v>
      </x:c>
      <x:c r="J31" s="1">
        <x:v>293.0</x:v>
      </x:c>
      <x:c r="K31" s="18">
        <x:f t="shared" si="1"/>
        <x:v>63.16666667</x:v>
      </x:c>
      <x:c r="L31" s="18">
        <x:f t="shared" si="2"/>
        <x:v>23.44915723</x:v>
      </x:c>
      <x:c r="M31" s="119"/>
      <x:c r="N31" s="119"/>
      <x:c r="O31" s="11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 ht="14.25" customHeight="1">
      <x:c r="B32" s="1" t="s">
        <x:v>489</x:v>
      </x:c>
      <x:c r="C32" s="1">
        <x:v>229.0</x:v>
      </x:c>
      <x:c r="D32" s="1">
        <x:v>876.0</x:v>
      </x:c>
      <x:c r="E32" s="1">
        <x:v>7.0</x:v>
      </x:c>
      <x:c r="F32" s="1">
        <x:v>49.0</x:v>
      </x:c>
      <x:c r="G32" s="1">
        <x:v>300.0</x:v>
      </x:c>
      <x:c r="H32" s="1">
        <x:v>2.0</x:v>
      </x:c>
      <x:c r="I32" s="1">
        <x:v>1.2</x:v>
      </x:c>
      <x:c r="J32" s="1">
        <x:v>233.7</x:v>
      </x:c>
      <x:c r="K32" s="18">
        <x:f t="shared" si="1"/>
        <x:v>48.66666667</x:v>
      </x:c>
      <x:c r="L32" s="18">
        <x:f t="shared" si="2"/>
        <x:v>14.18867925</x:v>
      </x:c>
      <x:c r="M32" s="119"/>
      <x:c r="N32" s="119"/>
      <x:c r="O32" s="11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 ht="14.25" customHeight="1">
      <x:c r="A33" s="1" t="s">
        <x:v>613</x:v>
      </x:c>
      <x:c r="B33" s="1" t="s">
        <x:v>509</x:v>
      </x:c>
      <x:c r="C33" s="1">
        <x:v>262.5</x:v>
      </x:c>
      <x:c r="D33" s="1">
        <x:v>1192.1</x:v>
      </x:c>
      <x:c r="E33" s="1">
        <x:v>8.7</x:v>
      </x:c>
      <x:c r="F33" s="1">
        <x:v>45.8</x:v>
      </x:c>
      <x:c r="G33" s="1">
        <x:v>353.1</x:v>
      </x:c>
      <x:c r="H33" s="1">
        <x:v>1.2</x:v>
      </x:c>
      <x:c r="I33" s="1">
        <x:v>0.9</x:v>
      </x:c>
      <x:c r="J33" s="1">
        <x:v>258.0</x:v>
      </x:c>
      <x:c r="K33" s="18">
        <x:f t="shared" si="1"/>
        <x:v>66.22777778</x:v>
      </x:c>
      <x:c r="L33" s="18">
        <x:f t="shared" si="2"/>
        <x:v>16.70007547</x:v>
      </x:c>
      <x:c r="M33" s="119" t="n">
        <x:f>C35*Scoring!$B$32+D35/Scoring!$C$32+E35*Scoring!$D$32+F35*Scoring!$E$32+G35/Scoring!$F$32+H35*Scoring!$G$32+I35*Scoring!$H$32+K35*Scoring!$I$32+RB!L35*Scoring!$J$32+U33</x:f>
        <x:v>216.2</x:v>
      </x:c>
      <x:c r="N33" s="119" t="n">
        <x:f>C33*Scoring!$B$32+D33/Scoring!$C$32+E33*Scoring!$D$32+F33*Scoring!$E$32+G33/Scoring!$F$32+H33*Scoring!$G$32+I33*Scoring!$H$32+K33*Scoring!$I$32+RB!L33*Scoring!$J$32+U33</x:f>
        <x:v>235.92</x:v>
      </x:c>
      <x:c r="O33" s="119" t="n">
        <x:f>C34*Scoring!$B$32+D34/Scoring!$C$32+E34*Scoring!$D$32+F34*Scoring!$E$32+G34/Scoring!$F$32+H34*Scoring!$G$32+I34*Scoring!$H$32+K34*Scoring!$I$32+L34*Scoring!$J$32+U33</x:f>
        <x:v>251.41</x:v>
      </x:c>
      <x:c r="P33" s="9" t="n">
        <x:f>IF(COUNTIF(Rookies!$A:$A,A33)&gt;0,1,0)</x:f>
        <x:v>0</x:v>
      </x:c>
      <x:c r="Q33" s="9"/>
      <x:c r="R33" s="9"/>
      <x:c r="S33" s="9" t="n">
        <x:f>V33/17</x:f>
        <x:v>13.877647058823529</x:v>
      </x:c>
      <x:c r="T33" s="9" t="n">
        <x:f>IF(P33=1,MAX(0,0.258*(14.9-S33)),0)</x:f>
        <x:v>0</x:v>
      </x:c>
      <x:c r="U33" s="9" t="n">
        <x:f>T33*17</x:f>
        <x:v>0</x:v>
      </x:c>
      <x:c r="V33" s="9" t="n">
        <x:f>C33*Scoring!$B$32+D33/Scoring!$C$32+E33*Scoring!$D$32+F33*Scoring!$E$32+G33/Scoring!$F$32+H33*Scoring!$G$32+I33*Scoring!$H$32+K33*Scoring!$I$32+RB!L33*Scoring!$J$32</x:f>
        <x:v>235.92</x:v>
      </x:c>
      <x:c r="W33" s="9"/>
      <x:c r="X33" s="9"/>
      <x:c r="Y33" s="9"/>
      <x:c r="Z33" s="9"/>
    </x:row>
    <x:row r="34" ht="14.25" customHeight="1">
      <x:c r="B34" s="1" t="s">
        <x:v>488</x:v>
      </x:c>
      <x:c r="C34" s="1">
        <x:v>276.6</x:v>
      </x:c>
      <x:c r="D34" s="1">
        <x:v>1239.2</x:v>
      </x:c>
      <x:c r="E34" s="1">
        <x:v>9.1</x:v>
      </x:c>
      <x:c r="F34" s="1">
        <x:v>48.3</x:v>
      </x:c>
      <x:c r="G34" s="1">
        <x:v>376.4</x:v>
      </x:c>
      <x:c r="H34" s="1">
        <x:v>2.0</x:v>
      </x:c>
      <x:c r="I34" s="1">
        <x:v>0.9</x:v>
      </x:c>
      <x:c r="J34" s="1">
        <x:v>282.7</x:v>
      </x:c>
      <x:c r="K34" s="18">
        <x:f t="shared" si="1"/>
        <x:v>68.84444444</x:v>
      </x:c>
      <x:c r="L34" s="18">
        <x:f t="shared" si="2"/>
        <x:v>17.80206289</x:v>
      </x:c>
      <x:c r="M34" s="119"/>
      <x:c r="N34" s="119"/>
      <x:c r="O34" s="11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 ht="14.25" customHeight="1">
      <x:c r="B35" s="1" t="s">
        <x:v>489</x:v>
      </x:c>
      <x:c r="C35" s="1">
        <x:v>249.0</x:v>
      </x:c>
      <x:c r="D35" s="1">
        <x:v>1160.0</x:v>
      </x:c>
      <x:c r="E35" s="1">
        <x:v>8.0</x:v>
      </x:c>
      <x:c r="F35" s="1">
        <x:v>42.0</x:v>
      </x:c>
      <x:c r="G35" s="1">
        <x:v>322.0</x:v>
      </x:c>
      <x:c r="H35" s="1">
        <x:v>0.0</x:v>
      </x:c>
      <x:c r="I35" s="1">
        <x:v>1.0</x:v>
      </x:c>
      <x:c r="J35" s="1">
        <x:v>227.8</x:v>
      </x:c>
      <x:c r="K35" s="18">
        <x:f t="shared" si="1"/>
        <x:v>64.44444444</x:v>
      </x:c>
      <x:c r="L35" s="18">
        <x:f t="shared" si="2"/>
        <x:v>15.22918239</x:v>
      </x:c>
      <x:c r="M35" s="119"/>
      <x:c r="N35" s="119"/>
      <x:c r="O35" s="11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 ht="14.25" customHeight="1">
      <x:c r="A36" s="1" t="s">
        <x:v>614</x:v>
      </x:c>
      <x:c r="B36" s="1" t="s">
        <x:v>543</x:v>
      </x:c>
      <x:c r="C36" s="1">
        <x:v>237.2</x:v>
      </x:c>
      <x:c r="D36" s="1">
        <x:v>1068.9</x:v>
      </x:c>
      <x:c r="E36" s="1">
        <x:v>7.2</x:v>
      </x:c>
      <x:c r="F36" s="1">
        <x:v>54.7</x:v>
      </x:c>
      <x:c r="G36" s="1">
        <x:v>429.1</x:v>
      </x:c>
      <x:c r="H36" s="1">
        <x:v>2.1</x:v>
      </x:c>
      <x:c r="I36" s="1">
        <x:v>2.2</x:v>
      </x:c>
      <x:c r="J36" s="1">
        <x:v>256.0</x:v>
      </x:c>
      <x:c r="K36" s="18">
        <x:f t="shared" si="1"/>
        <x:v>59.38333333</x:v>
      </x:c>
      <x:c r="L36" s="18">
        <x:f t="shared" si="2"/>
        <x:v>20.29454088</x:v>
      </x:c>
      <x:c r="M36" s="119" t="n">
        <x:f>C38*Scoring!$B$32+D38/Scoring!$C$32+E38*Scoring!$D$32+F38*Scoring!$E$32+G38/Scoring!$F$32+H38*Scoring!$G$32+I38*Scoring!$H$32+K38*Scoring!$I$32+RB!L38*Scoring!$J$32+U36</x:f>
        <x:v>214.4179</x:v>
      </x:c>
      <x:c r="N36" s="119" t="n">
        <x:f>C36*Scoring!$B$32+D36/Scoring!$C$32+E36*Scoring!$D$32+F36*Scoring!$E$32+G36/Scoring!$F$32+H36*Scoring!$G$32+I36*Scoring!$H$32+K36*Scoring!$I$32+RB!L36*Scoring!$J$32+U36</x:f>
        <x:v>236.5679</x:v>
      </x:c>
      <x:c r="O36" s="119" t="n">
        <x:f>C37*Scoring!$B$32+D37/Scoring!$C$32+E37*Scoring!$D$32+F37*Scoring!$E$32+G37/Scoring!$F$32+H37*Scoring!$G$32+I37*Scoring!$H$32+K37*Scoring!$I$32+L37*Scoring!$J$32+U36</x:f>
        <x:v>259.93789999999996</x:v>
      </x:c>
      <x:c r="P36" s="9" t="n">
        <x:f>IF(COUNTIF(Rookies!$A:$A,A36)&gt;0,1,0)</x:f>
        <x:v>1</x:v>
      </x:c>
      <x:c r="Q36" s="9"/>
      <x:c r="R36" s="9"/>
      <x:c r="S36" s="9" t="n">
        <x:f>V36/17</x:f>
        <x:v>13.573529411764708</x:v>
      </x:c>
      <x:c r="T36" s="9" t="n">
        <x:f>IF(P36=1,MAX(0,0.258*(14.9-S36)),0)</x:f>
        <x:v>0.34222941176470534</x:v>
      </x:c>
      <x:c r="U36" s="9" t="n">
        <x:f>T36*17</x:f>
        <x:v>5.817899999999991</x:v>
      </x:c>
      <x:c r="V36" s="9" t="n">
        <x:f>C36*Scoring!$B$32+D36/Scoring!$C$32+E36*Scoring!$D$32+F36*Scoring!$E$32+G36/Scoring!$F$32+H36*Scoring!$G$32+I36*Scoring!$H$32+K36*Scoring!$I$32+RB!L36*Scoring!$J$32</x:f>
        <x:v>230.75000000000003</x:v>
      </x:c>
      <x:c r="W36" s="9"/>
      <x:c r="X36" s="9"/>
      <x:c r="Y36" s="9"/>
      <x:c r="Z36" s="9"/>
    </x:row>
    <x:row r="37" ht="14.25" customHeight="1">
      <x:c r="B37" s="1" t="s">
        <x:v>488</x:v>
      </x:c>
      <x:c r="C37" s="1">
        <x:v>254.6</x:v>
      </x:c>
      <x:c r="D37" s="1">
        <x:v>1127.8</x:v>
      </x:c>
      <x:c r="E37" s="1">
        <x:v>8.0</x:v>
      </x:c>
      <x:c r="F37" s="1">
        <x:v>65.2</x:v>
      </x:c>
      <x:c r="G37" s="1">
        <x:v>488.4</x:v>
      </x:c>
      <x:c r="H37" s="1">
        <x:v>2.2</x:v>
      </x:c>
      <x:c r="I37" s="1">
        <x:v>1.3</x:v>
      </x:c>
      <x:c r="J37" s="1">
        <x:v>286.6</x:v>
      </x:c>
      <x:c r="K37" s="18">
        <x:f t="shared" si="1"/>
        <x:v>62.65555556</x:v>
      </x:c>
      <x:c r="L37" s="18">
        <x:f t="shared" si="2"/>
        <x:v>23.09916981</x:v>
      </x:c>
      <x:c r="M37" s="119"/>
      <x:c r="N37" s="119"/>
      <x:c r="O37" s="119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 ht="14.25" customHeight="1">
      <x:c r="B38" s="1" t="s">
        <x:v>489</x:v>
      </x:c>
      <x:c r="C38" s="1">
        <x:v>211.0</x:v>
      </x:c>
      <x:c r="D38" s="1">
        <x:v>997.0</x:v>
      </x:c>
      <x:c r="E38" s="1">
        <x:v>6.7</x:v>
      </x:c>
      <x:c r="F38" s="1">
        <x:v>43.0</x:v>
      </x:c>
      <x:c r="G38" s="1">
        <x:v>382.0</x:v>
      </x:c>
      <x:c r="H38" s="1">
        <x:v>2.0</x:v>
      </x:c>
      <x:c r="I38" s="1">
        <x:v>3.0</x:v>
      </x:c>
      <x:c r="J38" s="1">
        <x:v>228.7</x:v>
      </x:c>
      <x:c r="K38" s="18">
        <x:f t="shared" si="1"/>
        <x:v>55.38888889</x:v>
      </x:c>
      <x:c r="L38" s="18">
        <x:f t="shared" si="2"/>
        <x:v>18.06691824</x:v>
      </x:c>
      <x:c r="M38" s="119"/>
      <x:c r="N38" s="119"/>
      <x:c r="O38" s="119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 ht="14.25" customHeight="1">
      <x:c r="A39" s="1" t="s">
        <x:v>615</x:v>
      </x:c>
      <x:c r="B39" s="1" t="s">
        <x:v>513</x:v>
      </x:c>
      <x:c r="C39" s="1">
        <x:v>243.7</x:v>
      </x:c>
      <x:c r="D39" s="1">
        <x:v>1034.8</x:v>
      </x:c>
      <x:c r="E39" s="1">
        <x:v>9.5</x:v>
      </x:c>
      <x:c r="F39" s="1">
        <x:v>50.2</x:v>
      </x:c>
      <x:c r="G39" s="1">
        <x:v>342.8</x:v>
      </x:c>
      <x:c r="H39" s="1">
        <x:v>1.9</x:v>
      </x:c>
      <x:c r="I39" s="1">
        <x:v>1.0</x:v>
      </x:c>
      <x:c r="J39" s="1">
        <x:v>254.2</x:v>
      </x:c>
      <x:c r="K39" s="18">
        <x:f t="shared" si="1"/>
        <x:v>57.48888889</x:v>
      </x:c>
      <x:c r="L39" s="18">
        <x:f t="shared" si="2"/>
        <x:v>16.21293082</x:v>
      </x:c>
      <x:c r="M39" s="119" t="n">
        <x:f>C41*Scoring!$B$32+D41/Scoring!$C$32+E41*Scoring!$D$32+F41*Scoring!$E$32+G41/Scoring!$F$32+H41*Scoring!$G$32+I41*Scoring!$H$32+K41*Scoring!$I$32+RB!L41*Scoring!$J$32+U39</x:f>
        <x:v>206.20000000000002</x:v>
      </x:c>
      <x:c r="N39" s="119" t="n">
        <x:f>C39*Scoring!$B$32+D39/Scoring!$C$32+E39*Scoring!$D$32+F39*Scoring!$E$32+G39/Scoring!$F$32+H39*Scoring!$G$32+I39*Scoring!$H$32+K39*Scoring!$I$32+RB!L39*Scoring!$J$32+U39</x:f>
        <x:v>230.26</x:v>
      </x:c>
      <x:c r="O39" s="119" t="n">
        <x:f>C40*Scoring!$B$32+D40/Scoring!$C$32+E40*Scoring!$D$32+F40*Scoring!$E$32+G40/Scoring!$F$32+H40*Scoring!$G$32+I40*Scoring!$H$32+K40*Scoring!$I$32+L40*Scoring!$J$32+U39</x:f>
        <x:v>246.5</x:v>
      </x:c>
      <x:c r="P39" s="9" t="n">
        <x:f>IF(COUNTIF(Rookies!$A:$A,A39)&gt;0,1,0)</x:f>
        <x:v>0</x:v>
      </x:c>
      <x:c r="Q39" s="9"/>
      <x:c r="R39" s="9"/>
      <x:c r="S39" s="9" t="n">
        <x:f>V39/17</x:f>
        <x:v>13.544705882352941</x:v>
      </x:c>
      <x:c r="T39" s="9" t="n">
        <x:f>IF(P39=1,MAX(0,0.258*(14.9-S39)),0)</x:f>
        <x:v>0</x:v>
      </x:c>
      <x:c r="U39" s="9" t="n">
        <x:f>T39*17</x:f>
        <x:v>0</x:v>
      </x:c>
      <x:c r="V39" s="9" t="n">
        <x:f>C39*Scoring!$B$32+D39/Scoring!$C$32+E39*Scoring!$D$32+F39*Scoring!$E$32+G39/Scoring!$F$32+H39*Scoring!$G$32+I39*Scoring!$H$32+K39*Scoring!$I$32+RB!L39*Scoring!$J$32</x:f>
        <x:v>230.26</x:v>
      </x:c>
      <x:c r="W39" s="9"/>
      <x:c r="X39" s="9"/>
      <x:c r="Y39" s="9"/>
      <x:c r="Z39" s="9"/>
    </x:row>
    <x:row r="40" ht="14.25" customHeight="1">
      <x:c r="B40" s="1" t="s">
        <x:v>488</x:v>
      </x:c>
      <x:c r="C40" s="1">
        <x:v>257.0</x:v>
      </x:c>
      <x:c r="D40" s="1">
        <x:v>1129.0</x:v>
      </x:c>
      <x:c r="E40" s="1">
        <x:v>10.0</x:v>
      </x:c>
      <x:c r="F40" s="1">
        <x:v>52.0</x:v>
      </x:c>
      <x:c r="G40" s="1">
        <x:v>366.0</x:v>
      </x:c>
      <x:c r="H40" s="1">
        <x:v>2.0</x:v>
      </x:c>
      <x:c r="I40" s="1">
        <x:v>1.0</x:v>
      </x:c>
      <x:c r="J40" s="1">
        <x:v>291.7</x:v>
      </x:c>
      <x:c r="K40" s="18">
        <x:f t="shared" si="1"/>
        <x:v>62.72222222</x:v>
      </x:c>
      <x:c r="L40" s="18">
        <x:f t="shared" si="2"/>
        <x:v>17.31018868</x:v>
      </x:c>
      <x:c r="M40" s="119"/>
      <x:c r="N40" s="119"/>
      <x:c r="O40" s="119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 ht="14.25" customHeight="1">
      <x:c r="B41" s="1" t="s">
        <x:v>489</x:v>
      </x:c>
      <x:c r="C41" s="1">
        <x:v>220.0</x:v>
      </x:c>
      <x:c r="D41" s="1">
        <x:v>891.0</x:v>
      </x:c>
      <x:c r="E41" s="1">
        <x:v>9.0</x:v>
      </x:c>
      <x:c r="F41" s="1">
        <x:v>47.0</x:v>
      </x:c>
      <x:c r="G41" s="1">
        <x:v>299.0</x:v>
      </x:c>
      <x:c r="H41" s="1">
        <x:v>1.8</x:v>
      </x:c>
      <x:c r="I41" s="1">
        <x:v>1.1</x:v>
      </x:c>
      <x:c r="J41" s="1">
        <x:v>222.2</x:v>
      </x:c>
      <x:c r="K41" s="18">
        <x:f t="shared" si="1"/>
        <x:v>49.5</x:v>
      </x:c>
      <x:c r="L41" s="18">
        <x:f t="shared" si="2"/>
        <x:v>14.14138365</x:v>
      </x:c>
      <x:c r="M41" s="119"/>
      <x:c r="N41" s="119"/>
      <x:c r="O41" s="119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 ht="14.25" customHeight="1">
      <x:c r="A42" s="1" t="s">
        <x:v>616</x:v>
      </x:c>
      <x:c r="B42" s="1" t="s">
        <x:v>531</x:v>
      </x:c>
      <x:c r="C42" s="1">
        <x:v>274.2</x:v>
      </x:c>
      <x:c r="D42" s="1">
        <x:v>1102.2</x:v>
      </x:c>
      <x:c r="E42" s="1">
        <x:v>11.7</x:v>
      </x:c>
      <x:c r="F42" s="1">
        <x:v>35.3</x:v>
      </x:c>
      <x:c r="G42" s="1">
        <x:v>280.0</x:v>
      </x:c>
      <x:c r="H42" s="1">
        <x:v>1.2</x:v>
      </x:c>
      <x:c r="I42" s="1">
        <x:v>1.3</x:v>
      </x:c>
      <x:c r="J42" s="1">
        <x:v>248.7</x:v>
      </x:c>
      <x:c r="K42" s="18">
        <x:f t="shared" si="1"/>
        <x:v>61.23333333</x:v>
      </x:c>
      <x:c r="L42" s="18">
        <x:f t="shared" si="2"/>
        <x:v>13.2427673</x:v>
      </x:c>
      <x:c r="M42" s="119" t="n">
        <x:f>C44*Scoring!$B$32+D44/Scoring!$C$32+E44*Scoring!$D$32+F44*Scoring!$E$32+G44/Scoring!$F$32+H44*Scoring!$G$32+I44*Scoring!$H$32+K44*Scoring!$I$32+RB!L44*Scoring!$J$32+U42</x:f>
        <x:v>210.5</x:v>
      </x:c>
      <x:c r="N42" s="119" t="n">
        <x:f>C42*Scoring!$B$32+D42/Scoring!$C$32+E42*Scoring!$D$32+F42*Scoring!$E$32+G42/Scoring!$F$32+H42*Scoring!$G$32+I42*Scoring!$H$32+K42*Scoring!$I$32+RB!L42*Scoring!$J$32+U42</x:f>
        <x:v>231.96999999999997</x:v>
      </x:c>
      <x:c r="O42" s="119" t="n">
        <x:f>C43*Scoring!$B$32+D43/Scoring!$C$32+E43*Scoring!$D$32+F43*Scoring!$E$32+G43/Scoring!$F$32+H43*Scoring!$G$32+I43*Scoring!$H$32+K43*Scoring!$I$32+L43*Scoring!$J$32+U42</x:f>
        <x:v>248.4</x:v>
      </x:c>
      <x:c r="P42" s="9" t="n">
        <x:f>IF(COUNTIF(Rookies!$A:$A,A42)&gt;0,1,0)</x:f>
        <x:v>0</x:v>
      </x:c>
      <x:c r="Q42" s="9"/>
      <x:c r="R42" s="9"/>
      <x:c r="S42" s="9" t="n">
        <x:f>V42/17</x:f>
        <x:v>13.645294117647056</x:v>
      </x:c>
      <x:c r="T42" s="9" t="n">
        <x:f>IF(P42=1,MAX(0,0.258*(14.9-S42)),0)</x:f>
        <x:v>0</x:v>
      </x:c>
      <x:c r="U42" s="9" t="n">
        <x:f>T42*17</x:f>
        <x:v>0</x:v>
      </x:c>
      <x:c r="V42" s="9" t="n">
        <x:f>C42*Scoring!$B$32+D42/Scoring!$C$32+E42*Scoring!$D$32+F42*Scoring!$E$32+G42/Scoring!$F$32+H42*Scoring!$G$32+I42*Scoring!$H$32+K42*Scoring!$I$32+RB!L42*Scoring!$J$32</x:f>
        <x:v>231.96999999999997</x:v>
      </x:c>
      <x:c r="W42" s="9"/>
      <x:c r="X42" s="9"/>
      <x:c r="Y42" s="9"/>
      <x:c r="Z42" s="9"/>
    </x:row>
    <x:row r="43" ht="14.25" customHeight="1">
      <x:c r="B43" s="1" t="s">
        <x:v>488</x:v>
      </x:c>
      <x:c r="C43" s="1">
        <x:v>282.0</x:v>
      </x:c>
      <x:c r="D43" s="1">
        <x:v>1155.0</x:v>
      </x:c>
      <x:c r="E43" s="1">
        <x:v>13.0</x:v>
      </x:c>
      <x:c r="F43" s="1">
        <x:v>36.0</x:v>
      </x:c>
      <x:c r="G43" s="1">
        <x:v>283.0</x:v>
      </x:c>
      <x:c r="H43" s="1">
        <x:v>1.6</x:v>
      </x:c>
      <x:c r="I43" s="1">
        <x:v>1.0</x:v>
      </x:c>
      <x:c r="J43" s="1">
        <x:v>262.0</x:v>
      </x:c>
      <x:c r="K43" s="18">
        <x:f t="shared" si="1"/>
        <x:v>64.16666667</x:v>
      </x:c>
      <x:c r="L43" s="18">
        <x:f t="shared" si="2"/>
        <x:v>13.38465409</x:v>
      </x:c>
      <x:c r="M43" s="119"/>
      <x:c r="N43" s="119"/>
      <x:c r="O43" s="11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 ht="14.25" customHeight="1">
      <x:c r="B44" s="1" t="s">
        <x:v>489</x:v>
      </x:c>
      <x:c r="C44" s="1">
        <x:v>263.0</x:v>
      </x:c>
      <x:c r="D44" s="1">
        <x:v>1008.0</x:v>
      </x:c>
      <x:c r="E44" s="1">
        <x:v>10.0</x:v>
      </x:c>
      <x:c r="F44" s="1">
        <x:v>35.0</x:v>
      </x:c>
      <x:c r="G44" s="1">
        <x:v>277.0</x:v>
      </x:c>
      <x:c r="H44" s="1">
        <x:v>1.0</x:v>
      </x:c>
      <x:c r="I44" s="1">
        <x:v>1.5</x:v>
      </x:c>
      <x:c r="J44" s="1">
        <x:v>228.3</x:v>
      </x:c>
      <x:c r="K44" s="18">
        <x:f t="shared" si="1"/>
        <x:v>56</x:v>
      </x:c>
      <x:c r="L44" s="18">
        <x:f t="shared" si="2"/>
        <x:v>13.1008805</x:v>
      </x:c>
      <x:c r="M44" s="119"/>
      <x:c r="N44" s="119"/>
      <x:c r="O44" s="11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 ht="14.25" customHeight="1">
      <x:c r="A45" s="1" t="s">
        <x:v>617</x:v>
      </x:c>
      <x:c r="B45" s="1" t="s">
        <x:v>539</x:v>
      </x:c>
      <x:c r="C45" s="1">
        <x:v>249.0</x:v>
      </x:c>
      <x:c r="D45" s="1">
        <x:v>1113.5</x:v>
      </x:c>
      <x:c r="E45" s="1">
        <x:v>6.2</x:v>
      </x:c>
      <x:c r="F45" s="1">
        <x:v>46.4</x:v>
      </x:c>
      <x:c r="G45" s="1">
        <x:v>404.6</x:v>
      </x:c>
      <x:c r="H45" s="1">
        <x:v>2.3</x:v>
      </x:c>
      <x:c r="I45" s="1">
        <x:v>1.7</x:v>
      </x:c>
      <x:c r="J45" s="1">
        <x:v>245.4</x:v>
      </x:c>
      <x:c r="K45" s="18">
        <x:f t="shared" si="1"/>
        <x:v>61.86111111</x:v>
      </x:c>
      <x:c r="L45" s="18">
        <x:f t="shared" si="2"/>
        <x:v>19.13579874</x:v>
      </x:c>
      <x:c r="M45" s="119" t="n">
        <x:f>C47*Scoring!$B$32+D47/Scoring!$C$32+E47*Scoring!$D$32+F47*Scoring!$E$32+G47/Scoring!$F$32+H47*Scoring!$G$32+I47*Scoring!$H$32+K47*Scoring!$I$32+RB!L47*Scoring!$J$32+U45</x:f>
        <x:v>198.4</x:v>
      </x:c>
      <x:c r="N45" s="119" t="n">
        <x:f>C45*Scoring!$B$32+D45/Scoring!$C$32+E45*Scoring!$D$32+F45*Scoring!$E$32+G45/Scoring!$F$32+H45*Scoring!$G$32+I45*Scoring!$H$32+K45*Scoring!$I$32+RB!L45*Scoring!$J$32+U45</x:f>
        <x:v>224.31000000000003</x:v>
      </x:c>
      <x:c r="O45" s="119" t="n">
        <x:f>C46*Scoring!$B$32+D46/Scoring!$C$32+E46*Scoring!$D$32+F46*Scoring!$E$32+G46/Scoring!$F$32+H46*Scoring!$G$32+I46*Scoring!$H$32+K46*Scoring!$I$32+L46*Scoring!$J$32+U45</x:f>
        <x:v>247.57000000000002</x:v>
      </x:c>
      <x:c r="P45" s="9" t="n">
        <x:f>IF(COUNTIF(Rookies!$A:$A,A45)&gt;0,1,0)</x:f>
        <x:v>0</x:v>
      </x:c>
      <x:c r="Q45" s="9"/>
      <x:c r="R45" s="9"/>
      <x:c r="S45" s="9" t="n">
        <x:f>V45/17</x:f>
        <x:v>13.194705882352944</x:v>
      </x:c>
      <x:c r="T45" s="9" t="n">
        <x:f>IF(P45=1,MAX(0,0.258*(14.9-S45)),0)</x:f>
        <x:v>0</x:v>
      </x:c>
      <x:c r="U45" s="9" t="n">
        <x:f>T45*17</x:f>
        <x:v>0</x:v>
      </x:c>
      <x:c r="V45" s="9" t="n">
        <x:f>C45*Scoring!$B$32+D45/Scoring!$C$32+E45*Scoring!$D$32+F45*Scoring!$E$32+G45/Scoring!$F$32+H45*Scoring!$G$32+I45*Scoring!$H$32+K45*Scoring!$I$32+RB!L45*Scoring!$J$32</x:f>
        <x:v>224.31000000000003</x:v>
      </x:c>
      <x:c r="W45" s="9"/>
      <x:c r="X45" s="9"/>
      <x:c r="Y45" s="9"/>
      <x:c r="Z45" s="9"/>
    </x:row>
    <x:row r="46" ht="14.25" customHeight="1">
      <x:c r="B46" s="1" t="s">
        <x:v>488</x:v>
      </x:c>
      <x:c r="C46" s="1">
        <x:v>265.1</x:v>
      </x:c>
      <x:c r="D46" s="1">
        <x:v>1164.5</x:v>
      </x:c>
      <x:c r="E46" s="1">
        <x:v>7.6</x:v>
      </x:c>
      <x:c r="F46" s="1">
        <x:v>52.1</x:v>
      </x:c>
      <x:c r="G46" s="1">
        <x:v>440.7</x:v>
      </x:c>
      <x:c r="H46" s="1">
        <x:v>2.8</x:v>
      </x:c>
      <x:c r="I46" s="1">
        <x:v>1.4</x:v>
      </x:c>
      <x:c r="J46" s="1">
        <x:v>268.5</x:v>
      </x:c>
      <x:c r="K46" s="18">
        <x:f t="shared" si="1"/>
        <x:v>64.69444444</x:v>
      </x:c>
      <x:c r="L46" s="18">
        <x:f t="shared" si="2"/>
        <x:v>20.84316981</x:v>
      </x:c>
      <x:c r="M46" s="119"/>
      <x:c r="N46" s="119"/>
      <x:c r="O46" s="119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 ht="14.25" customHeight="1">
      <x:c r="B47" s="1" t="s">
        <x:v>489</x:v>
      </x:c>
      <x:c r="C47" s="1">
        <x:v>224.0</x:v>
      </x:c>
      <x:c r="D47" s="1">
        <x:v>1014.0</x:v>
      </x:c>
      <x:c r="E47" s="1">
        <x:v>5.0</x:v>
      </x:c>
      <x:c r="F47" s="1">
        <x:v>40.0</x:v>
      </x:c>
      <x:c r="G47" s="1">
        <x:v>370.0</x:v>
      </x:c>
      <x:c r="H47" s="1">
        <x:v>2.0</x:v>
      </x:c>
      <x:c r="I47" s="1">
        <x:v>2.0</x:v>
      </x:c>
      <x:c r="J47" s="1">
        <x:v>211.4</x:v>
      </x:c>
      <x:c r="K47" s="18">
        <x:f t="shared" si="1"/>
        <x:v>56.33333333</x:v>
      </x:c>
      <x:c r="L47" s="18">
        <x:f t="shared" si="2"/>
        <x:v>17.49937107</x:v>
      </x:c>
      <x:c r="M47" s="119"/>
      <x:c r="N47" s="119"/>
      <x:c r="O47" s="119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 ht="14.25" customHeight="1">
      <x:c r="A48" s="1" t="s">
        <x:v>618</x:v>
      </x:c>
      <x:c r="B48" s="1" t="s">
        <x:v>517</x:v>
      </x:c>
      <x:c r="C48" s="1">
        <x:v>240.2</x:v>
      </x:c>
      <x:c r="D48" s="1">
        <x:v>1118.4</x:v>
      </x:c>
      <x:c r="E48" s="1">
        <x:v>10.1</x:v>
      </x:c>
      <x:c r="F48" s="1">
        <x:v>33.8</x:v>
      </x:c>
      <x:c r="G48" s="1">
        <x:v>239.6</x:v>
      </x:c>
      <x:c r="H48" s="1">
        <x:v>2.2</x:v>
      </x:c>
      <x:c r="I48" s="1">
        <x:v>1.5</x:v>
      </x:c>
      <x:c r="J48" s="1">
        <x:v>240.2</x:v>
      </x:c>
      <x:c r="K48" s="18">
        <x:f t="shared" si="1"/>
        <x:v>62.13333333</x:v>
      </x:c>
      <x:c r="L48" s="18">
        <x:f t="shared" si="2"/>
        <x:v>11.33202516</x:v>
      </x:c>
      <x:c r="M48" s="119" t="n">
        <x:f>C50*Scoring!$B$32+D50/Scoring!$C$32+E50*Scoring!$D$32+F50*Scoring!$E$32+G50/Scoring!$F$32+H50*Scoring!$G$32+I50*Scoring!$H$32+K50*Scoring!$I$32+RB!L50*Scoring!$J$32+U48</x:f>
        <x:v>213.80999999999997</x:v>
      </x:c>
      <x:c r="N48" s="119" t="n">
        <x:f>C48*Scoring!$B$32+D48/Scoring!$C$32+E48*Scoring!$D$32+F48*Scoring!$E$32+G48/Scoring!$F$32+H48*Scoring!$G$32+I48*Scoring!$H$32+K48*Scoring!$I$32+RB!L48*Scoring!$J$32+U48</x:f>
        <x:v>225</x:v>
      </x:c>
      <x:c r="O48" s="119" t="n">
        <x:f>C49*Scoring!$B$32+D49/Scoring!$C$32+E49*Scoring!$D$32+F49*Scoring!$E$32+G49/Scoring!$F$32+H49*Scoring!$G$32+I49*Scoring!$H$32+K49*Scoring!$I$32+L49*Scoring!$J$32+U48</x:f>
        <x:v>237.2</x:v>
      </x:c>
      <x:c r="P48" s="9" t="n">
        <x:f>IF(COUNTIF(Rookies!$A:$A,A48)&gt;0,1,0)</x:f>
        <x:v>0</x:v>
      </x:c>
      <x:c r="Q48" s="9"/>
      <x:c r="R48" s="9"/>
      <x:c r="S48" s="9" t="n">
        <x:f>V48/17</x:f>
        <x:v>13.235294117647058</x:v>
      </x:c>
      <x:c r="T48" s="9" t="n">
        <x:f>IF(P48=1,MAX(0,0.258*(14.9-S48)),0)</x:f>
        <x:v>0</x:v>
      </x:c>
      <x:c r="U48" s="9" t="n">
        <x:f>T48*17</x:f>
        <x:v>0</x:v>
      </x:c>
      <x:c r="V48" s="9" t="n">
        <x:f>C48*Scoring!$B$32+D48/Scoring!$C$32+E48*Scoring!$D$32+F48*Scoring!$E$32+G48/Scoring!$F$32+H48*Scoring!$G$32+I48*Scoring!$H$32+K48*Scoring!$I$32+RB!L48*Scoring!$J$32</x:f>
        <x:v>225</x:v>
      </x:c>
      <x:c r="W48" s="9"/>
      <x:c r="X48" s="9"/>
      <x:c r="Y48" s="9"/>
      <x:c r="Z48" s="9"/>
    </x:row>
    <x:row r="49" ht="14.25" customHeight="1">
      <x:c r="B49" s="1" t="s">
        <x:v>488</x:v>
      </x:c>
      <x:c r="C49" s="1">
        <x:v>249.0</x:v>
      </x:c>
      <x:c r="D49" s="1">
        <x:v>1171.0</x:v>
      </x:c>
      <x:c r="E49" s="1">
        <x:v>10.2</x:v>
      </x:c>
      <x:c r="F49" s="1">
        <x:v>34.0</x:v>
      </x:c>
      <x:c r="G49" s="1">
        <x:v>250.0</x:v>
      </x:c>
      <x:c r="H49" s="1">
        <x:v>3.0</x:v>
      </x:c>
      <x:c r="I49" s="1">
        <x:v>1.1</x:v>
      </x:c>
      <x:c r="J49" s="1">
        <x:v>264.4</x:v>
      </x:c>
      <x:c r="K49" s="18">
        <x:f t="shared" si="1"/>
        <x:v>65.05555556</x:v>
      </x:c>
      <x:c r="L49" s="18">
        <x:f t="shared" si="2"/>
        <x:v>11.82389937</x:v>
      </x:c>
      <x:c r="M49" s="119"/>
      <x:c r="N49" s="119"/>
      <x:c r="O49" s="119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 ht="14.25" customHeight="1">
      <x:c r="B50" s="1" t="s">
        <x:v>489</x:v>
      </x:c>
      <x:c r="C50" s="1">
        <x:v>235.0</x:v>
      </x:c>
      <x:c r="D50" s="1">
        <x:v>1071.2</x:v>
      </x:c>
      <x:c r="E50" s="1">
        <x:v>10.0</x:v>
      </x:c>
      <x:c r="F50" s="1">
        <x:v>33.4</x:v>
      </x:c>
      <x:c r="G50" s="1">
        <x:v>223.9</x:v>
      </x:c>
      <x:c r="H50" s="1">
        <x:v>1.6</x:v>
      </x:c>
      <x:c r="I50" s="1">
        <x:v>2.0</x:v>
      </x:c>
      <x:c r="J50" s="1">
        <x:v>226.8</x:v>
      </x:c>
      <x:c r="K50" s="18">
        <x:f t="shared" si="1"/>
        <x:v>59.51111111</x:v>
      </x:c>
      <x:c r="L50" s="18">
        <x:f t="shared" si="2"/>
        <x:v>10.58948428</x:v>
      </x:c>
      <x:c r="M50" s="119"/>
      <x:c r="N50" s="119"/>
      <x:c r="O50" s="119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 ht="14.25" customHeight="1">
      <x:c r="A51" s="1" t="s">
        <x:v>619</x:v>
      </x:c>
      <x:c r="B51" s="1" t="s">
        <x:v>521</x:v>
      </x:c>
      <x:c r="C51" s="1">
        <x:v>249.2</x:v>
      </x:c>
      <x:c r="D51" s="1">
        <x:v>1055.3</x:v>
      </x:c>
      <x:c r="E51" s="1">
        <x:v>5.4</x:v>
      </x:c>
      <x:c r="F51" s="1">
        <x:v>45.3</x:v>
      </x:c>
      <x:c r="G51" s="1">
        <x:v>356.8</x:v>
      </x:c>
      <x:c r="H51" s="1">
        <x:v>3.0</x:v>
      </x:c>
      <x:c r="I51" s="1">
        <x:v>1.0</x:v>
      </x:c>
      <x:c r="J51" s="1">
        <x:v>235.1</x:v>
      </x:c>
      <x:c r="K51" s="18">
        <x:f t="shared" si="1"/>
        <x:v>58.62777778</x:v>
      </x:c>
      <x:c r="L51" s="18">
        <x:f t="shared" si="2"/>
        <x:v>16.87506918</x:v>
      </x:c>
      <x:c r="M51" s="119" t="n">
        <x:f>C53*Scoring!$B$32+D53/Scoring!$C$32+E53*Scoring!$D$32+F53*Scoring!$E$32+G53/Scoring!$F$32+H53*Scoring!$G$32+I53*Scoring!$H$32+K53*Scoring!$I$32+RB!L53*Scoring!$J$32+U51</x:f>
        <x:v>189.89999999999998</x:v>
      </x:c>
      <x:c r="N51" s="119" t="n">
        <x:f>C51*Scoring!$B$32+D51/Scoring!$C$32+E51*Scoring!$D$32+F51*Scoring!$E$32+G51/Scoring!$F$32+H51*Scoring!$G$32+I51*Scoring!$H$32+K51*Scoring!$I$32+RB!L51*Scoring!$J$32+U51</x:f>
        <x:v>213.26000000000002</x:v>
      </x:c>
      <x:c r="O51" s="119" t="n">
        <x:f>C52*Scoring!$B$32+D52/Scoring!$C$32+E52*Scoring!$D$32+F52*Scoring!$E$32+G52/Scoring!$F$32+H52*Scoring!$G$32+I52*Scoring!$H$32+K52*Scoring!$I$32+L52*Scoring!$J$32+U51</x:f>
        <x:v>242.45</x:v>
      </x:c>
      <x:c r="P51" s="9" t="n">
        <x:f>IF(COUNTIF(Rookies!$A:$A,A51)&gt;0,1,0)</x:f>
        <x:v>0</x:v>
      </x:c>
      <x:c r="Q51" s="9"/>
      <x:c r="R51" s="9"/>
      <x:c r="S51" s="9" t="n">
        <x:f>V51/17</x:f>
        <x:v>12.544705882352943</x:v>
      </x:c>
      <x:c r="T51" s="9" t="n">
        <x:f>IF(P51=1,MAX(0,0.258*(14.9-S51)),0)</x:f>
        <x:v>0</x:v>
      </x:c>
      <x:c r="U51" s="9" t="n">
        <x:f>T51*17</x:f>
        <x:v>0</x:v>
      </x:c>
      <x:c r="V51" s="9" t="n">
        <x:f>C51*Scoring!$B$32+D51/Scoring!$C$32+E51*Scoring!$D$32+F51*Scoring!$E$32+G51/Scoring!$F$32+H51*Scoring!$G$32+I51*Scoring!$H$32+K51*Scoring!$I$32+RB!L51*Scoring!$J$32</x:f>
        <x:v>213.26000000000002</x:v>
      </x:c>
      <x:c r="W51" s="9"/>
      <x:c r="X51" s="9"/>
      <x:c r="Y51" s="9"/>
      <x:c r="Z51" s="9"/>
    </x:row>
    <x:row r="52" ht="14.25" customHeight="1">
      <x:c r="B52" s="1" t="s">
        <x:v>488</x:v>
      </x:c>
      <x:c r="C52" s="1">
        <x:v>262.7</x:v>
      </x:c>
      <x:c r="D52" s="1">
        <x:v>1142.0</x:v>
      </x:c>
      <x:c r="E52" s="1">
        <x:v>6.2</x:v>
      </x:c>
      <x:c r="F52" s="1">
        <x:v>47.0</x:v>
      </x:c>
      <x:c r="G52" s="1">
        <x:v>385.5</x:v>
      </x:c>
      <x:c r="H52" s="1">
        <x:v>5.0</x:v>
      </x:c>
      <x:c r="I52" s="1">
        <x:v>1.0</x:v>
      </x:c>
      <x:c r="J52" s="1">
        <x:v>250.2</x:v>
      </x:c>
      <x:c r="K52" s="18">
        <x:f t="shared" si="1"/>
        <x:v>63.44444444</x:v>
      </x:c>
      <x:c r="L52" s="18">
        <x:f t="shared" si="2"/>
        <x:v>18.23245283</x:v>
      </x:c>
      <x:c r="M52" s="119"/>
      <x:c r="N52" s="119"/>
      <x:c r="O52" s="119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 ht="14.25" customHeight="1">
      <x:c r="B53" s="1" t="s">
        <x:v>489</x:v>
      </x:c>
      <x:c r="C53" s="1">
        <x:v>239.0</x:v>
      </x:c>
      <x:c r="D53" s="1">
        <x:v>942.0</x:v>
      </x:c>
      <x:c r="E53" s="1">
        <x:v>5.0</x:v>
      </x:c>
      <x:c r="F53" s="1">
        <x:v>44.0</x:v>
      </x:c>
      <x:c r="G53" s="1">
        <x:v>327.0</x:v>
      </x:c>
      <x:c r="H53" s="1">
        <x:v>2.0</x:v>
      </x:c>
      <x:c r="I53" s="1">
        <x:v>1.0</x:v>
      </x:c>
      <x:c r="J53" s="1">
        <x:v>218.3</x:v>
      </x:c>
      <x:c r="K53" s="18">
        <x:f t="shared" si="1"/>
        <x:v>52.33333333</x:v>
      </x:c>
      <x:c r="L53" s="18">
        <x:f t="shared" si="2"/>
        <x:v>15.46566038</x:v>
      </x:c>
      <x:c r="M53" s="119"/>
      <x:c r="N53" s="119"/>
      <x:c r="O53" s="11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 ht="14.25" customHeight="1">
      <x:c r="A54" s="1" t="s">
        <x:v>620</x:v>
      </x:c>
      <x:c r="B54" s="1" t="s">
        <x:v>501</x:v>
      </x:c>
      <x:c r="C54" s="1">
        <x:v>238.2</x:v>
      </x:c>
      <x:c r="D54" s="1">
        <x:v>993.6</x:v>
      </x:c>
      <x:c r="E54" s="1">
        <x:v>8.0</x:v>
      </x:c>
      <x:c r="F54" s="1">
        <x:v>43.3</x:v>
      </x:c>
      <x:c r="G54" s="1">
        <x:v>343.5</x:v>
      </x:c>
      <x:c r="H54" s="1">
        <x:v>2.2</x:v>
      </x:c>
      <x:c r="I54" s="1">
        <x:v>1.6</x:v>
      </x:c>
      <x:c r="J54" s="1">
        <x:v>234.9</x:v>
      </x:c>
      <x:c r="K54" s="18">
        <x:f t="shared" si="1"/>
        <x:v>55.2</x:v>
      </x:c>
      <x:c r="L54" s="18">
        <x:f t="shared" si="2"/>
        <x:v>16.24603774</x:v>
      </x:c>
      <x:c r="M54" s="119" t="n">
        <x:f>C56*Scoring!$B$32+D56/Scoring!$C$32+E56*Scoring!$D$32+F56*Scoring!$E$32+G56/Scoring!$F$32+H56*Scoring!$G$32+I56*Scoring!$H$32+K56*Scoring!$I$32+RB!L56*Scoring!$J$32+U54</x:f>
        <x:v>191.04000000000002</x:v>
      </x:c>
      <x:c r="N54" s="119" t="n">
        <x:f>C54*Scoring!$B$32+D54/Scoring!$C$32+E54*Scoring!$D$32+F54*Scoring!$E$32+G54/Scoring!$F$32+H54*Scoring!$G$32+I54*Scoring!$H$32+K54*Scoring!$I$32+RB!L54*Scoring!$J$32+U54</x:f>
        <x:v>214.96</x:v>
      </x:c>
      <x:c r="O54" s="119" t="n">
        <x:f>C55*Scoring!$B$32+D55/Scoring!$C$32+E55*Scoring!$D$32+F55*Scoring!$E$32+G55/Scoring!$F$32+H55*Scoring!$G$32+I55*Scoring!$H$32+K55*Scoring!$I$32+L55*Scoring!$J$32+U54</x:f>
        <x:v>239.35</x:v>
      </x:c>
      <x:c r="P54" s="9" t="n">
        <x:f>IF(COUNTIF(Rookies!$A:$A,A54)&gt;0,1,0)</x:f>
        <x:v>0</x:v>
      </x:c>
      <x:c r="Q54" s="9"/>
      <x:c r="R54" s="9"/>
      <x:c r="S54" s="9" t="n">
        <x:f>V54/17</x:f>
        <x:v>12.644705882352941</x:v>
      </x:c>
      <x:c r="T54" s="9" t="n">
        <x:f>IF(P54=1,MAX(0,0.258*(14.9-S54)),0)</x:f>
        <x:v>0</x:v>
      </x:c>
      <x:c r="U54" s="9" t="n">
        <x:f>T54*17</x:f>
        <x:v>0</x:v>
      </x:c>
      <x:c r="V54" s="9" t="n">
        <x:f>C54*Scoring!$B$32+D54/Scoring!$C$32+E54*Scoring!$D$32+F54*Scoring!$E$32+G54/Scoring!$F$32+H54*Scoring!$G$32+I54*Scoring!$H$32+K54*Scoring!$I$32+RB!L54*Scoring!$J$32</x:f>
        <x:v>214.96</x:v>
      </x:c>
      <x:c r="W54" s="9"/>
      <x:c r="X54" s="9"/>
      <x:c r="Y54" s="9"/>
      <x:c r="Z54" s="9"/>
    </x:row>
    <x:row r="55" ht="14.25" customHeight="1">
      <x:c r="B55" s="1" t="s">
        <x:v>488</x:v>
      </x:c>
      <x:c r="C55" s="1">
        <x:v>262.0</x:v>
      </x:c>
      <x:c r="D55" s="1">
        <x:v>1048.0</x:v>
      </x:c>
      <x:c r="E55" s="1">
        <x:v>9.0</x:v>
      </x:c>
      <x:c r="F55" s="1">
        <x:v>44.9</x:v>
      </x:c>
      <x:c r="G55" s="1">
        <x:v>352.0</x:v>
      </x:c>
      <x:c r="H55" s="1">
        <x:v>4.0</x:v>
      </x:c>
      <x:c r="I55" s="1">
        <x:v>1.1</x:v>
      </x:c>
      <x:c r="J55" s="1">
        <x:v>258.7</x:v>
      </x:c>
      <x:c r="K55" s="18">
        <x:f t="shared" si="1"/>
        <x:v>58.22222222</x:v>
      </x:c>
      <x:c r="L55" s="18">
        <x:f t="shared" si="2"/>
        <x:v>16.64805031</x:v>
      </x:c>
      <x:c r="M55" s="119"/>
      <x:c r="N55" s="119"/>
      <x:c r="O55" s="11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 ht="14.25" customHeight="1">
      <x:c r="B56" s="1" t="s">
        <x:v>489</x:v>
      </x:c>
      <x:c r="C56" s="1">
        <x:v>208.0</x:v>
      </x:c>
      <x:c r="D56" s="1">
        <x:v>907.0</x:v>
      </x:c>
      <x:c r="E56" s="1">
        <x:v>7.1</x:v>
      </x:c>
      <x:c r="F56" s="1">
        <x:v>41.0</x:v>
      </x:c>
      <x:c r="G56" s="1">
        <x:v>332.4</x:v>
      </x:c>
      <x:c r="H56" s="1">
        <x:v>1.0</x:v>
      </x:c>
      <x:c r="I56" s="1">
        <x:v>2.0</x:v>
      </x:c>
      <x:c r="J56" s="1">
        <x:v>227.3</x:v>
      </x:c>
      <x:c r="K56" s="18">
        <x:f t="shared" si="1"/>
        <x:v>50.38888889</x:v>
      </x:c>
      <x:c r="L56" s="18">
        <x:f t="shared" si="2"/>
        <x:v>15.7210566</x:v>
      </x:c>
      <x:c r="M56" s="119"/>
      <x:c r="N56" s="119"/>
      <x:c r="O56" s="11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 ht="14.25" customHeight="1">
      <x:c r="A57" s="1" t="s">
        <x:v>621</x:v>
      </x:c>
      <x:c r="B57" s="1" t="s">
        <x:v>507</x:v>
      </x:c>
      <x:c r="C57" s="1">
        <x:v>256.2</x:v>
      </x:c>
      <x:c r="D57" s="1">
        <x:v>1160.4</x:v>
      </x:c>
      <x:c r="E57" s="1">
        <x:v>10.4</x:v>
      </x:c>
      <x:c r="F57" s="1">
        <x:v>33.0</x:v>
      </x:c>
      <x:c r="G57" s="1">
        <x:v>192.0</x:v>
      </x:c>
      <x:c r="H57" s="1">
        <x:v>1.2</x:v>
      </x:c>
      <x:c r="I57" s="1">
        <x:v>1.6</x:v>
      </x:c>
      <x:c r="J57" s="1">
        <x:v>234.1</x:v>
      </x:c>
      <x:c r="K57" s="18">
        <x:f t="shared" si="1"/>
        <x:v>64.46666667</x:v>
      </x:c>
      <x:c r="L57" s="18">
        <x:f t="shared" si="2"/>
        <x:v>9.080754717</x:v>
      </x:c>
      <x:c r="M57" s="119" t="n">
        <x:f>C59*Scoring!$B$32+D59/Scoring!$C$32+E59*Scoring!$D$32+F59*Scoring!$E$32+G59/Scoring!$F$32+H59*Scoring!$G$32+I59*Scoring!$H$32+K59*Scoring!$I$32+RB!L59*Scoring!$J$32+U57</x:f>
        <x:v>201.5</x:v>
      </x:c>
      <x:c r="N57" s="119" t="n">
        <x:f>C57*Scoring!$B$32+D57/Scoring!$C$32+E57*Scoring!$D$32+F57*Scoring!$E$32+G57/Scoring!$F$32+H57*Scoring!$G$32+I57*Scoring!$H$32+K57*Scoring!$I$32+RB!L57*Scoring!$J$32+U57</x:f>
        <x:v>219.73999999999998</x:v>
      </x:c>
      <x:c r="O57" s="119" t="n">
        <x:f>C58*Scoring!$B$32+D58/Scoring!$C$32+E58*Scoring!$D$32+F58*Scoring!$E$32+G58/Scoring!$F$32+H58*Scoring!$G$32+I58*Scoring!$H$32+K58*Scoring!$I$32+L58*Scoring!$J$32+U57</x:f>
        <x:v>241.26999999999998</x:v>
      </x:c>
      <x:c r="P57" s="9" t="n">
        <x:f>IF(COUNTIF(Rookies!$A:$A,A57)&gt;0,1,0)</x:f>
        <x:v>0</x:v>
      </x:c>
      <x:c r="Q57" s="9"/>
      <x:c r="R57" s="9"/>
      <x:c r="S57" s="9" t="n">
        <x:f>V57/17</x:f>
        <x:v>12.925882352941175</x:v>
      </x:c>
      <x:c r="T57" s="9" t="n">
        <x:f>IF(P57=1,MAX(0,0.258*(14.9-S57)),0)</x:f>
        <x:v>0</x:v>
      </x:c>
      <x:c r="U57" s="9" t="n">
        <x:f>T57*17</x:f>
        <x:v>0</x:v>
      </x:c>
      <x:c r="V57" s="9" t="n">
        <x:f>C57*Scoring!$B$32+D57/Scoring!$C$32+E57*Scoring!$D$32+F57*Scoring!$E$32+G57/Scoring!$F$32+H57*Scoring!$G$32+I57*Scoring!$H$32+K57*Scoring!$I$32+RB!L57*Scoring!$J$32</x:f>
        <x:v>219.73999999999998</x:v>
      </x:c>
      <x:c r="W57" s="9"/>
      <x:c r="X57" s="9"/>
      <x:c r="Y57" s="9"/>
      <x:c r="Z57" s="9"/>
    </x:row>
    <x:row r="58" ht="14.25" customHeight="1">
      <x:c r="B58" s="1" t="s">
        <x:v>488</x:v>
      </x:c>
      <x:c r="C58" s="1">
        <x:v>289.5</x:v>
      </x:c>
      <x:c r="D58" s="1">
        <x:v>1266.1</x:v>
      </x:c>
      <x:c r="E58" s="1">
        <x:v>11.1</x:v>
      </x:c>
      <x:c r="F58" s="1">
        <x:v>36.9</x:v>
      </x:c>
      <x:c r="G58" s="1">
        <x:v>218.1</x:v>
      </x:c>
      <x:c r="H58" s="1">
        <x:v>1.5</x:v>
      </x:c>
      <x:c r="I58" s="1">
        <x:v>1.2</x:v>
      </x:c>
      <x:c r="J58" s="1">
        <x:v>255.4</x:v>
      </x:c>
      <x:c r="K58" s="18">
        <x:f t="shared" si="1"/>
        <x:v>70.33888889</x:v>
      </x:c>
      <x:c r="L58" s="18">
        <x:f t="shared" si="2"/>
        <x:v>10.31516981</x:v>
      </x:c>
      <x:c r="M58" s="119"/>
      <x:c r="N58" s="119"/>
      <x:c r="O58" s="119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 ht="14.25" customHeight="1">
      <x:c r="B59" s="1" t="s">
        <x:v>489</x:v>
      </x:c>
      <x:c r="C59" s="1">
        <x:v>234.0</x:v>
      </x:c>
      <x:c r="D59" s="1">
        <x:v>1089.0</x:v>
      </x:c>
      <x:c r="E59" s="1">
        <x:v>10.0</x:v>
      </x:c>
      <x:c r="F59" s="1">
        <x:v>29.0</x:v>
      </x:c>
      <x:c r="G59" s="1">
        <x:v>141.0</x:v>
      </x:c>
      <x:c r="H59" s="1">
        <x:v>1.0</x:v>
      </x:c>
      <x:c r="I59" s="1">
        <x:v>2.0</x:v>
      </x:c>
      <x:c r="J59" s="1">
        <x:v>202.0</x:v>
      </x:c>
      <x:c r="K59" s="18">
        <x:f t="shared" si="1"/>
        <x:v>60.5</x:v>
      </x:c>
      <x:c r="L59" s="18">
        <x:f t="shared" si="2"/>
        <x:v>6.668679245</x:v>
      </x:c>
      <x:c r="M59" s="119"/>
      <x:c r="N59" s="119"/>
      <x:c r="O59" s="119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 ht="14.25" customHeight="1">
      <x:c r="A60" s="1" t="s">
        <x:v>622</x:v>
      </x:c>
      <x:c r="B60" s="1" t="s">
        <x:v>523</x:v>
      </x:c>
      <x:c r="C60" s="1">
        <x:v>256.7</x:v>
      </x:c>
      <x:c r="D60" s="1">
        <x:v>1021.4</x:v>
      </x:c>
      <x:c r="E60" s="1">
        <x:v>6.1</x:v>
      </x:c>
      <x:c r="F60" s="1">
        <x:v>39.9</x:v>
      </x:c>
      <x:c r="G60" s="1">
        <x:v>336.7</x:v>
      </x:c>
      <x:c r="H60" s="1">
        <x:v>2.2</x:v>
      </x:c>
      <x:c r="I60" s="1">
        <x:v>1.0</x:v>
      </x:c>
      <x:c r="J60" s="1">
        <x:v>223.9</x:v>
      </x:c>
      <x:c r="K60" s="18">
        <x:f t="shared" si="1"/>
        <x:v>56.74444444</x:v>
      </x:c>
      <x:c r="L60" s="18">
        <x:f t="shared" si="2"/>
        <x:v>15.92442767</x:v>
      </x:c>
      <x:c r="M60" s="119" t="n">
        <x:f>C62*Scoring!$B$32+D62/Scoring!$C$32+E62*Scoring!$D$32+F62*Scoring!$E$32+G62/Scoring!$F$32+H62*Scoring!$G$32+I62*Scoring!$H$32+K62*Scoring!$I$32+RB!L62*Scoring!$J$32+U60</x:f>
        <x:v>187.92000000000002</x:v>
      </x:c>
      <x:c r="N60" s="119" t="n">
        <x:f>C60*Scoring!$B$32+D60/Scoring!$C$32+E60*Scoring!$D$32+F60*Scoring!$E$32+G60/Scoring!$F$32+H60*Scoring!$G$32+I60*Scoring!$H$32+K60*Scoring!$I$32+RB!L60*Scoring!$J$32+U60</x:f>
        <x:v>204.56</x:v>
      </x:c>
      <x:c r="O60" s="119" t="n">
        <x:f>C61*Scoring!$B$32+D61/Scoring!$C$32+E61*Scoring!$D$32+F61*Scoring!$E$32+G61/Scoring!$F$32+H61*Scoring!$G$32+I61*Scoring!$H$32+K61*Scoring!$I$32+L61*Scoring!$J$32+U60</x:f>
        <x:v>225.6</x:v>
      </x:c>
      <x:c r="P60" s="9" t="n">
        <x:f>IF(COUNTIF(Rookies!$A:$A,A60)&gt;0,1,0)</x:f>
        <x:v>0</x:v>
      </x:c>
      <x:c r="Q60" s="9"/>
      <x:c r="R60" s="9"/>
      <x:c r="S60" s="9" t="n">
        <x:f>V60/17</x:f>
        <x:v>12.032941176470588</x:v>
      </x:c>
      <x:c r="T60" s="9" t="n">
        <x:f>IF(P60=1,MAX(0,0.258*(14.9-S60)),0)</x:f>
        <x:v>0</x:v>
      </x:c>
      <x:c r="U60" s="9" t="n">
        <x:f>T60*17</x:f>
        <x:v>0</x:v>
      </x:c>
      <x:c r="V60" s="9" t="n">
        <x:f>C60*Scoring!$B$32+D60/Scoring!$C$32+E60*Scoring!$D$32+F60*Scoring!$E$32+G60/Scoring!$F$32+H60*Scoring!$G$32+I60*Scoring!$H$32+K60*Scoring!$I$32+RB!L60*Scoring!$J$32</x:f>
        <x:v>204.56</x:v>
      </x:c>
      <x:c r="W60" s="9"/>
      <x:c r="X60" s="9"/>
      <x:c r="Y60" s="9"/>
      <x:c r="Z60" s="9"/>
    </x:row>
    <x:row r="61" ht="14.25" customHeight="1">
      <x:c r="B61" s="1" t="s">
        <x:v>488</x:v>
      </x:c>
      <x:c r="C61" s="1">
        <x:v>265.0</x:v>
      </x:c>
      <x:c r="D61" s="1">
        <x:v>1045.0</x:v>
      </x:c>
      <x:c r="E61" s="1">
        <x:v>7.0</x:v>
      </x:c>
      <x:c r="F61" s="1">
        <x:v>44.0</x:v>
      </x:c>
      <x:c r="G61" s="1">
        <x:v>401.0</x:v>
      </x:c>
      <x:c r="H61" s="1">
        <x:v>3.0</x:v>
      </x:c>
      <x:c r="I61" s="1">
        <x:v>1.0</x:v>
      </x:c>
      <x:c r="J61" s="1">
        <x:v>249.4</x:v>
      </x:c>
      <x:c r="K61" s="18">
        <x:f t="shared" si="1"/>
        <x:v>58.05555556</x:v>
      </x:c>
      <x:c r="L61" s="18">
        <x:f t="shared" si="2"/>
        <x:v>18.96553459</x:v>
      </x:c>
      <x:c r="M61" s="119"/>
      <x:c r="N61" s="119"/>
      <x:c r="O61" s="119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 ht="14.25" customHeight="1">
      <x:c r="B62" s="1" t="s">
        <x:v>489</x:v>
      </x:c>
      <x:c r="C62" s="1">
        <x:v>244.2</x:v>
      </x:c>
      <x:c r="D62" s="1">
        <x:v>991.2</x:v>
      </x:c>
      <x:c r="E62" s="1">
        <x:v>5.3</x:v>
      </x:c>
      <x:c r="F62" s="1">
        <x:v>36.8</x:v>
      </x:c>
      <x:c r="G62" s="1">
        <x:v>294.0</x:v>
      </x:c>
      <x:c r="H62" s="1">
        <x:v>1.7</x:v>
      </x:c>
      <x:c r="I62" s="1">
        <x:v>1.0</x:v>
      </x:c>
      <x:c r="J62" s="1">
        <x:v>210.2</x:v>
      </x:c>
      <x:c r="K62" s="18">
        <x:f t="shared" si="1"/>
        <x:v>55.06666667</x:v>
      </x:c>
      <x:c r="L62" s="18">
        <x:f t="shared" si="2"/>
        <x:v>13.90490566</x:v>
      </x:c>
      <x:c r="M62" s="119"/>
      <x:c r="N62" s="119"/>
      <x:c r="O62" s="119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 ht="14.25" customHeight="1">
      <x:c r="A63" s="1" t="s">
        <x:v>623</x:v>
      </x:c>
      <x:c r="B63" s="1" t="s">
        <x:v>511</x:v>
      </x:c>
      <x:c r="C63" s="1">
        <x:v>233.4</x:v>
      </x:c>
      <x:c r="D63" s="1">
        <x:v>1054.4</x:v>
      </x:c>
      <x:c r="E63" s="1">
        <x:v>8.0</x:v>
      </x:c>
      <x:c r="F63" s="1">
        <x:v>35.1</x:v>
      </x:c>
      <x:c r="G63" s="1">
        <x:v>303.5</x:v>
      </x:c>
      <x:c r="H63" s="1">
        <x:v>1.0</x:v>
      </x:c>
      <x:c r="I63" s="1">
        <x:v>1.0</x:v>
      </x:c>
      <x:c r="J63" s="1">
        <x:v>223.5</x:v>
      </x:c>
      <x:c r="K63" s="18">
        <x:f t="shared" si="1"/>
        <x:v>58.57777778</x:v>
      </x:c>
      <x:c r="L63" s="18">
        <x:f t="shared" si="2"/>
        <x:v>14.35421384</x:v>
      </x:c>
      <x:c r="M63" s="119" t="n">
        <x:f>C65*Scoring!$B$32+D65/Scoring!$C$32+E65*Scoring!$D$32+F65*Scoring!$E$32+G65/Scoring!$F$32+H65*Scoring!$G$32+I65*Scoring!$H$32+K65*Scoring!$I$32+RB!L65*Scoring!$J$32+U63</x:f>
        <x:v>188.57</x:v>
      </x:c>
      <x:c r="N63" s="119" t="n">
        <x:f>C63*Scoring!$B$32+D63/Scoring!$C$32+E63*Scoring!$D$32+F63*Scoring!$E$32+G63/Scoring!$F$32+H63*Scoring!$G$32+I63*Scoring!$H$32+K63*Scoring!$I$32+RB!L63*Scoring!$J$32+U63</x:f>
        <x:v>206.34</x:v>
      </x:c>
      <x:c r="O63" s="119" t="n">
        <x:f>C64*Scoring!$B$32+D64/Scoring!$C$32+E64*Scoring!$D$32+F64*Scoring!$E$32+G64/Scoring!$F$32+H64*Scoring!$G$32+I64*Scoring!$H$32+K64*Scoring!$I$32+L64*Scoring!$J$32+U63</x:f>
        <x:v>223.6</x:v>
      </x:c>
      <x:c r="P63" s="9" t="n">
        <x:f>IF(COUNTIF(Rookies!$A:$A,A63)&gt;0,1,0)</x:f>
        <x:v>0</x:v>
      </x:c>
      <x:c r="Q63" s="9"/>
      <x:c r="R63" s="9"/>
      <x:c r="S63" s="9" t="n">
        <x:f>V63/17</x:f>
        <x:v>12.13764705882353</x:v>
      </x:c>
      <x:c r="T63" s="9" t="n">
        <x:f>IF(P63=1,MAX(0,0.258*(14.9-S63)),0)</x:f>
        <x:v>0</x:v>
      </x:c>
      <x:c r="U63" s="9" t="n">
        <x:f>T63*17</x:f>
        <x:v>0</x:v>
      </x:c>
      <x:c r="V63" s="9" t="n">
        <x:f>C63*Scoring!$B$32+D63/Scoring!$C$32+E63*Scoring!$D$32+F63*Scoring!$E$32+G63/Scoring!$F$32+H63*Scoring!$G$32+I63*Scoring!$H$32+K63*Scoring!$I$32+RB!L63*Scoring!$J$32</x:f>
        <x:v>206.34</x:v>
      </x:c>
      <x:c r="W63" s="9"/>
      <x:c r="X63" s="9"/>
      <x:c r="Y63" s="9"/>
      <x:c r="Z63" s="9"/>
    </x:row>
    <x:row r="64" ht="14.25" customHeight="1">
      <x:c r="B64" s="1" t="s">
        <x:v>488</x:v>
      </x:c>
      <x:c r="C64" s="1">
        <x:v>248.0</x:v>
      </x:c>
      <x:c r="D64" s="1">
        <x:v>1120.0</x:v>
      </x:c>
      <x:c r="E64" s="1">
        <x:v>9.0</x:v>
      </x:c>
      <x:c r="F64" s="1">
        <x:v>39.0</x:v>
      </x:c>
      <x:c r="G64" s="1">
        <x:v>325.0</x:v>
      </x:c>
      <x:c r="H64" s="1">
        <x:v>1.1</x:v>
      </x:c>
      <x:c r="I64" s="1">
        <x:v>1.0</x:v>
      </x:c>
      <x:c r="J64" s="1">
        <x:v>239.1</x:v>
      </x:c>
      <x:c r="K64" s="18">
        <x:f t="shared" si="1"/>
        <x:v>62.22222222</x:v>
      </x:c>
      <x:c r="L64" s="18">
        <x:f t="shared" si="2"/>
        <x:v>15.37106918</x:v>
      </x:c>
      <x:c r="M64" s="119"/>
      <x:c r="N64" s="119"/>
      <x:c r="O64" s="119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 ht="14.25" customHeight="1">
      <x:c r="B65" s="1" t="s">
        <x:v>489</x:v>
      </x:c>
      <x:c r="C65" s="1">
        <x:v>219.3</x:v>
      </x:c>
      <x:c r="D65" s="1">
        <x:v>994.3</x:v>
      </x:c>
      <x:c r="E65" s="1">
        <x:v>7.0</x:v>
      </x:c>
      <x:c r="F65" s="1">
        <x:v>30.4</x:v>
      </x:c>
      <x:c r="G65" s="1">
        <x:v>269.4</x:v>
      </x:c>
      <x:c r="H65" s="1">
        <x:v>1.0</x:v>
      </x:c>
      <x:c r="I65" s="1">
        <x:v>1.0</x:v>
      </x:c>
      <x:c r="J65" s="1">
        <x:v>216.4</x:v>
      </x:c>
      <x:c r="K65" s="18">
        <x:f t="shared" si="1"/>
        <x:v>55.23888889</x:v>
      </x:c>
      <x:c r="L65" s="18">
        <x:f t="shared" si="2"/>
        <x:v>12.74143396</x:v>
      </x:c>
      <x:c r="M65" s="119"/>
      <x:c r="N65" s="119"/>
      <x:c r="O65" s="119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 ht="14.25" customHeight="1">
      <x:c r="A66" s="1" t="s">
        <x:v>624</x:v>
      </x:c>
      <x:c r="B66" s="1" t="s">
        <x:v>549</x:v>
      </x:c>
      <x:c r="C66" s="1">
        <x:v>289.6</x:v>
      </x:c>
      <x:c r="D66" s="1">
        <x:v>1106.0</x:v>
      </x:c>
      <x:c r="E66" s="1">
        <x:v>8.1</x:v>
      </x:c>
      <x:c r="F66" s="1">
        <x:v>31.9</x:v>
      </x:c>
      <x:c r="G66" s="1">
        <x:v>218.8</x:v>
      </x:c>
      <x:c r="H66" s="1">
        <x:v>0.6</x:v>
      </x:c>
      <x:c r="I66" s="1">
        <x:v>0.9</x:v>
      </x:c>
      <x:c r="J66" s="1">
        <x:v>214.8</x:v>
      </x:c>
      <x:c r="K66" s="18">
        <x:f t="shared" si="1"/>
        <x:v>61.44444444</x:v>
      </x:c>
      <x:c r="L66" s="18">
        <x:f t="shared" si="2"/>
        <x:v>10.34827673</x:v>
      </x:c>
      <x:c r="M66" s="119" t="n">
        <x:f>C68*Scoring!$B$32+D68/Scoring!$C$32+E68*Scoring!$D$32+F68*Scoring!$E$32+G68/Scoring!$F$32+H68*Scoring!$G$32+I68*Scoring!$H$32+K68*Scoring!$I$32+RB!L68*Scoring!$J$32+U66</x:f>
        <x:v>174</x:v>
      </x:c>
      <x:c r="N66" s="119" t="n">
        <x:f>C66*Scoring!$B$32+D66/Scoring!$C$32+E66*Scoring!$D$32+F66*Scoring!$E$32+G66/Scoring!$F$32+H66*Scoring!$G$32+I66*Scoring!$H$32+K66*Scoring!$I$32+RB!L66*Scoring!$J$32+U66</x:f>
        <x:v>199.72999999999996</x:v>
      </x:c>
      <x:c r="O66" s="119" t="n">
        <x:f>C67*Scoring!$B$32+D67/Scoring!$C$32+E67*Scoring!$D$32+F67*Scoring!$E$32+G67/Scoring!$F$32+H67*Scoring!$G$32+I67*Scoring!$H$32+K67*Scoring!$I$32+L67*Scoring!$J$32+U66</x:f>
        <x:v>229.8</x:v>
      </x:c>
      <x:c r="P66" s="9" t="n">
        <x:f>IF(COUNTIF(Rookies!$A:$A,A66)&gt;0,1,0)</x:f>
        <x:v>0</x:v>
      </x:c>
      <x:c r="Q66" s="9"/>
      <x:c r="R66" s="9"/>
      <x:c r="S66" s="9" t="n">
        <x:f>V66/17</x:f>
        <x:v>11.748823529411762</x:v>
      </x:c>
      <x:c r="T66" s="9" t="n">
        <x:f>IF(P66=1,MAX(0,0.258*(14.9-S66)),0)</x:f>
        <x:v>0</x:v>
      </x:c>
      <x:c r="U66" s="9" t="n">
        <x:f>T66*17</x:f>
        <x:v>0</x:v>
      </x:c>
      <x:c r="V66" s="9" t="n">
        <x:f>C66*Scoring!$B$32+D66/Scoring!$C$32+E66*Scoring!$D$32+F66*Scoring!$E$32+G66/Scoring!$F$32+H66*Scoring!$G$32+I66*Scoring!$H$32+K66*Scoring!$I$32+RB!L66*Scoring!$J$32</x:f>
        <x:v>199.72999999999996</x:v>
      </x:c>
      <x:c r="W66" s="9"/>
      <x:c r="X66" s="9"/>
      <x:c r="Y66" s="9"/>
      <x:c r="Z66" s="9"/>
    </x:row>
    <x:row r="67" ht="14.25" customHeight="1">
      <x:c r="B67" s="1" t="s">
        <x:v>488</x:v>
      </x:c>
      <x:c r="C67" s="1">
        <x:v>316.7</x:v>
      </x:c>
      <x:c r="D67" s="1">
        <x:v>1245.0</x:v>
      </x:c>
      <x:c r="E67" s="1">
        <x:v>10.0</x:v>
      </x:c>
      <x:c r="F67" s="1">
        <x:v>34.0</x:v>
      </x:c>
      <x:c r="G67" s="1">
        <x:v>230.0</x:v>
      </x:c>
      <x:c r="H67" s="1">
        <x:v>1.0</x:v>
      </x:c>
      <x:c r="I67" s="1">
        <x:v>0.7</x:v>
      </x:c>
      <x:c r="J67" s="1">
        <x:v>226.5</x:v>
      </x:c>
      <x:c r="K67" s="18">
        <x:f t="shared" si="1"/>
        <x:v>69.16666667</x:v>
      </x:c>
      <x:c r="L67" s="18">
        <x:f t="shared" si="2"/>
        <x:v>10.87798742</x:v>
      </x:c>
      <x:c r="M67" s="119"/>
      <x:c r="N67" s="119"/>
      <x:c r="O67" s="119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 ht="14.25" customHeight="1">
      <x:c r="B68" s="1" t="s">
        <x:v>489</x:v>
      </x:c>
      <x:c r="C68" s="1">
        <x:v>275.0</x:v>
      </x:c>
      <x:c r="D68" s="1">
        <x:v>975.0</x:v>
      </x:c>
      <x:c r="E68" s="1">
        <x:v>7.0</x:v>
      </x:c>
      <x:c r="F68" s="1">
        <x:v>30.0</x:v>
      </x:c>
      <x:c r="G68" s="1">
        <x:v>205.0</x:v>
      </x:c>
      <x:c r="H68" s="1">
        <x:v>0.0</x:v>
      </x:c>
      <x:c r="I68" s="1">
        <x:v>1.0</x:v>
      </x:c>
      <x:c r="J68" s="1">
        <x:v>193.9</x:v>
      </x:c>
      <x:c r="K68" s="18">
        <x:f t="shared" si="1"/>
        <x:v>54.16666667</x:v>
      </x:c>
      <x:c r="L68" s="18">
        <x:f t="shared" si="2"/>
        <x:v>9.695597484</x:v>
      </x:c>
      <x:c r="M68" s="119"/>
      <x:c r="N68" s="119"/>
      <x:c r="O68" s="119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 ht="14.25" customHeight="1">
      <x:c r="A69" s="1" t="s">
        <x:v>625</x:v>
      </x:c>
      <x:c r="B69" s="1" t="s">
        <x:v>505</x:v>
      </x:c>
      <x:c r="C69" s="1">
        <x:v>239.4</x:v>
      </x:c>
      <x:c r="D69" s="1">
        <x:v>979.6</x:v>
      </x:c>
      <x:c r="E69" s="1">
        <x:v>8.2</x:v>
      </x:c>
      <x:c r="F69" s="1">
        <x:v>29.2</x:v>
      </x:c>
      <x:c r="G69" s="1">
        <x:v>222.1</x:v>
      </x:c>
      <x:c r="H69" s="1">
        <x:v>2.1</x:v>
      </x:c>
      <x:c r="I69" s="1">
        <x:v>2.2</x:v>
      </x:c>
      <x:c r="J69" s="1">
        <x:v>207.3</x:v>
      </x:c>
      <x:c r="K69" s="18">
        <x:f t="shared" si="1"/>
        <x:v>54.42222222</x:v>
      </x:c>
      <x:c r="L69" s="18">
        <x:f t="shared" si="2"/>
        <x:v>10.5043522</x:v>
      </x:c>
      <x:c r="M69" s="119" t="n">
        <x:f>C71*Scoring!$B$32+D71/Scoring!$C$32+E71*Scoring!$D$32+F71*Scoring!$E$32+G71/Scoring!$F$32+H71*Scoring!$G$32+I71*Scoring!$H$32+K71*Scoring!$I$32+RB!L71*Scoring!$J$32+U69</x:f>
        <x:v>155.4</x:v>
      </x:c>
      <x:c r="N69" s="119" t="n">
        <x:f>C69*Scoring!$B$32+D69/Scoring!$C$32+E69*Scoring!$D$32+F69*Scoring!$E$32+G69/Scoring!$F$32+H69*Scoring!$G$32+I69*Scoring!$H$32+K69*Scoring!$I$32+RB!L69*Scoring!$J$32+U69</x:f>
        <x:v>194.37</x:v>
      </x:c>
      <x:c r="O69" s="119" t="n">
        <x:f>C70*Scoring!$B$32+D70/Scoring!$C$32+E70*Scoring!$D$32+F70*Scoring!$E$32+G70/Scoring!$F$32+H70*Scoring!$G$32+I70*Scoring!$H$32+K70*Scoring!$I$32+L70*Scoring!$J$32+U69</x:f>
        <x:v>235.9</x:v>
      </x:c>
      <x:c r="P69" s="9" t="n">
        <x:f>IF(COUNTIF(Rookies!$A:$A,A69)&gt;0,1,0)</x:f>
        <x:v>0</x:v>
      </x:c>
      <x:c r="Q69" s="9"/>
      <x:c r="R69" s="9"/>
      <x:c r="S69" s="9" t="n">
        <x:f>V69/17</x:f>
        <x:v>11.433529411764706</x:v>
      </x:c>
      <x:c r="T69" s="9" t="n">
        <x:f>IF(P69=1,MAX(0,0.258*(14.9-S69)),0)</x:f>
        <x:v>0</x:v>
      </x:c>
      <x:c r="U69" s="9" t="n">
        <x:f>T69*17</x:f>
        <x:v>0</x:v>
      </x:c>
      <x:c r="V69" s="9" t="n">
        <x:f>C69*Scoring!$B$32+D69/Scoring!$C$32+E69*Scoring!$D$32+F69*Scoring!$E$32+G69/Scoring!$F$32+H69*Scoring!$G$32+I69*Scoring!$H$32+K69*Scoring!$I$32+RB!L69*Scoring!$J$32</x:f>
        <x:v>194.37</x:v>
      </x:c>
      <x:c r="W69" s="9"/>
      <x:c r="X69" s="9"/>
      <x:c r="Y69" s="9"/>
      <x:c r="Z69" s="9"/>
    </x:row>
    <x:row r="70" ht="14.25" customHeight="1">
      <x:c r="B70" s="1" t="s">
        <x:v>488</x:v>
      </x:c>
      <x:c r="C70" s="1">
        <x:v>257.0</x:v>
      </x:c>
      <x:c r="D70" s="1">
        <x:v>1055.0</x:v>
      </x:c>
      <x:c r="E70" s="1">
        <x:v>11.0</x:v>
      </x:c>
      <x:c r="F70" s="1">
        <x:v>38.0</x:v>
      </x:c>
      <x:c r="G70" s="1">
        <x:v>288.0</x:v>
      </x:c>
      <x:c r="H70" s="1">
        <x:v>3.0</x:v>
      </x:c>
      <x:c r="I70" s="1">
        <x:v>1.4</x:v>
      </x:c>
      <x:c r="J70" s="1">
        <x:v>236.5</x:v>
      </x:c>
      <x:c r="K70" s="18">
        <x:f t="shared" si="1"/>
        <x:v>58.61111111</x:v>
      </x:c>
      <x:c r="L70" s="18">
        <x:f t="shared" si="2"/>
        <x:v>13.62113208</x:v>
      </x:c>
      <x:c r="M70" s="119"/>
      <x:c r="N70" s="119"/>
      <x:c r="O70" s="119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 ht="14.25" customHeight="1">
      <x:c r="B71" s="1" t="s">
        <x:v>489</x:v>
      </x:c>
      <x:c r="C71" s="1">
        <x:v>224.0</x:v>
      </x:c>
      <x:c r="D71" s="1">
        <x:v>890.0</x:v>
      </x:c>
      <x:c r="E71" s="1">
        <x:v>6.7</x:v>
      </x:c>
      <x:c r="F71" s="1">
        <x:v>16.0</x:v>
      </x:c>
      <x:c r="G71" s="1">
        <x:v>128.0</x:v>
      </x:c>
      <x:c r="H71" s="1">
        <x:v>1.4</x:v>
      </x:c>
      <x:c r="I71" s="1">
        <x:v>3.0</x:v>
      </x:c>
      <x:c r="J71" s="1">
        <x:v>193.2</x:v>
      </x:c>
      <x:c r="K71" s="18">
        <x:f t="shared" si="1"/>
        <x:v>49.44444444</x:v>
      </x:c>
      <x:c r="L71" s="18">
        <x:f t="shared" si="2"/>
        <x:v>6.053836478</x:v>
      </x:c>
      <x:c r="M71" s="119"/>
      <x:c r="N71" s="119"/>
      <x:c r="O71" s="119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 ht="14.25" customHeight="1">
      <x:c r="A72" s="1" t="s">
        <x:v>626</x:v>
      </x:c>
      <x:c r="B72" s="1" t="s">
        <x:v>535</x:v>
      </x:c>
      <x:c r="C72" s="1">
        <x:v>231.5</x:v>
      </x:c>
      <x:c r="D72" s="1">
        <x:v>959.7</x:v>
      </x:c>
      <x:c r="E72" s="1">
        <x:v>7.7</x:v>
      </x:c>
      <x:c r="F72" s="1">
        <x:v>30.9</x:v>
      </x:c>
      <x:c r="G72" s="1">
        <x:v>228.3</x:v>
      </x:c>
      <x:c r="H72" s="1">
        <x:v>0.5</x:v>
      </x:c>
      <x:c r="I72" s="1">
        <x:v>1.5</x:v>
      </x:c>
      <x:c r="J72" s="1">
        <x:v>195.9</x:v>
      </x:c>
      <x:c r="K72" s="18">
        <x:f t="shared" si="1"/>
        <x:v>53.31666667</x:v>
      </x:c>
      <x:c r="L72" s="18">
        <x:f t="shared" si="2"/>
        <x:v>10.79758491</x:v>
      </x:c>
      <x:c r="M72" s="119" t="n">
        <x:f>C74*Scoring!$B$32+D74/Scoring!$C$32+E74*Scoring!$D$32+F74*Scoring!$E$32+G74/Scoring!$F$32+H74*Scoring!$G$32+I74*Scoring!$H$32+K74*Scoring!$I$32+RB!L74*Scoring!$J$32+U72</x:f>
        <x:v>167.79999999999998</x:v>
      </x:c>
      <x:c r="N72" s="119" t="n">
        <x:f>C72*Scoring!$B$32+D72/Scoring!$C$32+E72*Scoring!$D$32+F72*Scoring!$E$32+G72/Scoring!$F$32+H72*Scoring!$G$32+I72*Scoring!$H$32+K72*Scoring!$I$32+RB!L72*Scoring!$J$32+U72</x:f>
        <x:v>181.95000000000002</x:v>
      </x:c>
      <x:c r="O72" s="119" t="n">
        <x:f>C73*Scoring!$B$32+D73/Scoring!$C$32+E73*Scoring!$D$32+F73*Scoring!$E$32+G73/Scoring!$F$32+H73*Scoring!$G$32+I73*Scoring!$H$32+K73*Scoring!$I$32+L73*Scoring!$J$32+U72</x:f>
        <x:v>201.6</x:v>
      </x:c>
      <x:c r="P72" s="9" t="n">
        <x:f>IF(COUNTIF(Rookies!$A:$A,A72)&gt;0,1,0)</x:f>
        <x:v>0</x:v>
      </x:c>
      <x:c r="Q72" s="9"/>
      <x:c r="R72" s="9"/>
      <x:c r="S72" s="9" t="n">
        <x:f>V72/17</x:f>
        <x:v>10.702941176470588</x:v>
      </x:c>
      <x:c r="T72" s="9" t="n">
        <x:f>IF(P72=1,MAX(0,0.258*(14.9-S72)),0)</x:f>
        <x:v>0</x:v>
      </x:c>
      <x:c r="U72" s="9" t="n">
        <x:f>T72*17</x:f>
        <x:v>0</x:v>
      </x:c>
      <x:c r="V72" s="9" t="n">
        <x:f>C72*Scoring!$B$32+D72/Scoring!$C$32+E72*Scoring!$D$32+F72*Scoring!$E$32+G72/Scoring!$F$32+H72*Scoring!$G$32+I72*Scoring!$H$32+K72*Scoring!$I$32+RB!L72*Scoring!$J$32</x:f>
        <x:v>181.95000000000002</x:v>
      </x:c>
      <x:c r="W72" s="9"/>
      <x:c r="X72" s="9"/>
      <x:c r="Y72" s="9"/>
      <x:c r="Z72" s="9"/>
    </x:row>
    <x:row r="73" ht="14.25" customHeight="1">
      <x:c r="B73" s="1" t="s">
        <x:v>488</x:v>
      </x:c>
      <x:c r="C73" s="1">
        <x:v>263.0</x:v>
      </x:c>
      <x:c r="D73" s="1">
        <x:v>1012.0</x:v>
      </x:c>
      <x:c r="E73" s="1">
        <x:v>9.0</x:v>
      </x:c>
      <x:c r="F73" s="1">
        <x:v>34.0</x:v>
      </x:c>
      <x:c r="G73" s="1">
        <x:v>244.0</x:v>
      </x:c>
      <x:c r="H73" s="1">
        <x:v>1.0</x:v>
      </x:c>
      <x:c r="I73" s="1">
        <x:v>1.0</x:v>
      </x:c>
      <x:c r="J73" s="1">
        <x:v>213.8</x:v>
      </x:c>
      <x:c r="K73" s="18">
        <x:f t="shared" si="1"/>
        <x:v>56.22222222</x:v>
      </x:c>
      <x:c r="L73" s="18">
        <x:f t="shared" si="2"/>
        <x:v>11.54012579</x:v>
      </x:c>
      <x:c r="M73" s="119"/>
      <x:c r="N73" s="119"/>
      <x:c r="O73" s="119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 ht="14.25" customHeight="1">
      <x:c r="B74" s="1" t="s">
        <x:v>489</x:v>
      </x:c>
      <x:c r="C74" s="1">
        <x:v>214.6</x:v>
      </x:c>
      <x:c r="D74" s="1">
        <x:v>932.0</x:v>
      </x:c>
      <x:c r="E74" s="1">
        <x:v>7.0</x:v>
      </x:c>
      <x:c r="F74" s="1">
        <x:v>27.0</x:v>
      </x:c>
      <x:c r="G74" s="1">
        <x:v>211.0</x:v>
      </x:c>
      <x:c r="H74" s="1">
        <x:v>0.0</x:v>
      </x:c>
      <x:c r="I74" s="1">
        <x:v>2.0</x:v>
      </x:c>
      <x:c r="J74" s="1">
        <x:v>185.9</x:v>
      </x:c>
      <x:c r="K74" s="18">
        <x:f t="shared" si="1"/>
        <x:v>51.77777778</x:v>
      </x:c>
      <x:c r="L74" s="18">
        <x:f t="shared" si="2"/>
        <x:v>9.979371069</x:v>
      </x:c>
      <x:c r="M74" s="119"/>
      <x:c r="N74" s="119"/>
      <x:c r="O74" s="119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 ht="14.25" customHeight="1">
      <x:c r="A75" s="1" t="s">
        <x:v>627</x:v>
      </x:c>
      <x:c r="B75" s="1" t="s">
        <x:v>545</x:v>
      </x:c>
      <x:c r="C75" s="1">
        <x:v>188.0</x:v>
      </x:c>
      <x:c r="D75" s="1">
        <x:v>827.5</x:v>
      </x:c>
      <x:c r="E75" s="1">
        <x:v>4.8</x:v>
      </x:c>
      <x:c r="F75" s="1">
        <x:v>42.4</x:v>
      </x:c>
      <x:c r="G75" s="1">
        <x:v>322.1</x:v>
      </x:c>
      <x:c r="H75" s="1">
        <x:v>1.5</x:v>
      </x:c>
      <x:c r="I75" s="1">
        <x:v>0.9</x:v>
      </x:c>
      <x:c r="J75" s="1">
        <x:v>193.3</x:v>
      </x:c>
      <x:c r="K75" s="18">
        <x:f t="shared" si="1"/>
        <x:v>45.97222222</x:v>
      </x:c>
      <x:c r="L75" s="18">
        <x:f t="shared" si="2"/>
        <x:v>15.23391195</x:v>
      </x:c>
      <x:c r="M75" s="119" t="n">
        <x:f>C77*Scoring!$B$32+D77/Scoring!$C$32+E77*Scoring!$D$32+F77*Scoring!$E$32+G77/Scoring!$F$32+H77*Scoring!$G$32+I77*Scoring!$H$32+K77*Scoring!$I$32+RB!L77*Scoring!$J$32+U75</x:f>
        <x:v>162.84</x:v>
      </x:c>
      <x:c r="N75" s="119" t="n">
        <x:f>C75*Scoring!$B$32+D75/Scoring!$C$32+E75*Scoring!$D$32+F75*Scoring!$E$32+G75/Scoring!$F$32+H75*Scoring!$G$32+I75*Scoring!$H$32+K75*Scoring!$I$32+RB!L75*Scoring!$J$32+U75</x:f>
        <x:v>173.06</x:v>
      </x:c>
      <x:c r="O75" s="119" t="n">
        <x:f>C76*Scoring!$B$32+D76/Scoring!$C$32+E76*Scoring!$D$32+F76*Scoring!$E$32+G76/Scoring!$F$32+H76*Scoring!$G$32+I76*Scoring!$H$32+K76*Scoring!$I$32+L76*Scoring!$J$32+U75</x:f>
        <x:v>182.45000000000002</x:v>
      </x:c>
      <x:c r="P75" s="9" t="n">
        <x:f>IF(COUNTIF(Rookies!$A:$A,A75)&gt;0,1,0)</x:f>
        <x:v>0</x:v>
      </x:c>
      <x:c r="Q75" s="9"/>
      <x:c r="R75" s="9"/>
      <x:c r="S75" s="9" t="n">
        <x:f>V75/17</x:f>
        <x:v>10.18</x:v>
      </x:c>
      <x:c r="T75" s="9" t="n">
        <x:f>IF(P75=1,MAX(0,0.258*(14.9-S75)),0)</x:f>
        <x:v>0</x:v>
      </x:c>
      <x:c r="U75" s="9" t="n">
        <x:f>T75*17</x:f>
        <x:v>0</x:v>
      </x:c>
      <x:c r="V75" s="9" t="n">
        <x:f>C75*Scoring!$B$32+D75/Scoring!$C$32+E75*Scoring!$D$32+F75*Scoring!$E$32+G75/Scoring!$F$32+H75*Scoring!$G$32+I75*Scoring!$H$32+K75*Scoring!$I$32+RB!L75*Scoring!$J$32</x:f>
        <x:v>173.06</x:v>
      </x:c>
      <x:c r="W75" s="9"/>
      <x:c r="X75" s="9"/>
      <x:c r="Y75" s="9"/>
      <x:c r="Z75" s="9"/>
    </x:row>
    <x:row r="76" ht="14.25" customHeight="1">
      <x:c r="B76" s="1" t="s">
        <x:v>488</x:v>
      </x:c>
      <x:c r="C76" s="1">
        <x:v>194.0</x:v>
      </x:c>
      <x:c r="D76" s="1">
        <x:v>854.0</x:v>
      </x:c>
      <x:c r="E76" s="1">
        <x:v>5.0</x:v>
      </x:c>
      <x:c r="F76" s="1">
        <x:v>46.1</x:v>
      </x:c>
      <x:c r="G76" s="1">
        <x:v>329.0</x:v>
      </x:c>
      <x:c r="H76" s="1">
        <x:v>2.0</x:v>
      </x:c>
      <x:c r="I76" s="1">
        <x:v>0.9</x:v>
      </x:c>
      <x:c r="J76" s="1">
        <x:v>223.2</x:v>
      </x:c>
      <x:c r="K76" s="18">
        <x:f t="shared" si="1"/>
        <x:v>47.44444444</x:v>
      </x:c>
      <x:c r="L76" s="18">
        <x:f t="shared" si="2"/>
        <x:v>15.56025157</x:v>
      </x:c>
      <x:c r="M76" s="119"/>
      <x:c r="N76" s="119"/>
      <x:c r="O76" s="119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 ht="14.25" customHeight="1">
      <x:c r="B77" s="1" t="s">
        <x:v>489</x:v>
      </x:c>
      <x:c r="C77" s="1">
        <x:v>180.1</x:v>
      </x:c>
      <x:c r="D77" s="1">
        <x:v>791.4</x:v>
      </x:c>
      <x:c r="E77" s="1">
        <x:v>4.5</x:v>
      </x:c>
      <x:c r="F77" s="1">
        <x:v>40.0</x:v>
      </x:c>
      <x:c r="G77" s="1">
        <x:v>317.0</x:v>
      </x:c>
      <x:c r="H77" s="1">
        <x:v>1.0</x:v>
      </x:c>
      <x:c r="I77" s="1">
        <x:v>1.0</x:v>
      </x:c>
      <x:c r="J77" s="1">
        <x:v>173.4</x:v>
      </x:c>
      <x:c r="K77" s="18">
        <x:f t="shared" si="1"/>
        <x:v>43.96666667</x:v>
      </x:c>
      <x:c r="L77" s="18">
        <x:f t="shared" si="2"/>
        <x:v>14.9927044</x:v>
      </x:c>
      <x:c r="M77" s="119"/>
      <x:c r="N77" s="119"/>
      <x:c r="O77" s="119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 ht="14.25" customHeight="1">
      <x:c r="A78" s="1" t="s">
        <x:v>628</x:v>
      </x:c>
      <x:c r="B78" s="1" t="s">
        <x:v>493</x:v>
      </x:c>
      <x:c r="C78" s="1">
        <x:v>187.1</x:v>
      </x:c>
      <x:c r="D78" s="1">
        <x:v>858.9</x:v>
      </x:c>
      <x:c r="E78" s="1">
        <x:v>6.9</x:v>
      </x:c>
      <x:c r="F78" s="1">
        <x:v>35.3</x:v>
      </x:c>
      <x:c r="G78" s="1">
        <x:v>244.1</x:v>
      </x:c>
      <x:c r="H78" s="1">
        <x:v>1.1</x:v>
      </x:c>
      <x:c r="I78" s="1">
        <x:v>0.8</x:v>
      </x:c>
      <x:c r="J78" s="1">
        <x:v>192.1</x:v>
      </x:c>
      <x:c r="K78" s="18">
        <x:f t="shared" si="1"/>
        <x:v>47.71666667</x:v>
      </x:c>
      <x:c r="L78" s="18">
        <x:f t="shared" si="2"/>
        <x:v>11.54485535</x:v>
      </x:c>
      <x:c r="M78" s="119" t="n">
        <x:f>C80*Scoring!$B$32+D80/Scoring!$C$32+E80*Scoring!$D$32+F80*Scoring!$E$32+G80/Scoring!$F$32+H80*Scoring!$G$32+I80*Scoring!$H$32+K80*Scoring!$I$32+RB!L80*Scoring!$J$32+U78</x:f>
        <x:v>166.07</x:v>
      </x:c>
      <x:c r="N78" s="119" t="n">
        <x:f>C78*Scoring!$B$32+D78/Scoring!$C$32+E78*Scoring!$D$32+F78*Scoring!$E$32+G78/Scoring!$F$32+H78*Scoring!$G$32+I78*Scoring!$H$32+K78*Scoring!$I$32+RB!L78*Scoring!$J$32+U78</x:f>
        <x:v>175.14999999999998</x:v>
      </x:c>
      <x:c r="O78" s="119" t="n">
        <x:f>C79*Scoring!$B$32+D79/Scoring!$C$32+E79*Scoring!$D$32+F79*Scoring!$E$32+G79/Scoring!$F$32+H79*Scoring!$G$32+I79*Scoring!$H$32+K79*Scoring!$I$32+L79*Scoring!$J$32+U78</x:f>
        <x:v>184.37</x:v>
      </x:c>
      <x:c r="P78" s="9" t="n">
        <x:f>IF(COUNTIF(Rookies!$A:$A,A78)&gt;0,1,0)</x:f>
        <x:v>0</x:v>
      </x:c>
      <x:c r="Q78" s="9"/>
      <x:c r="R78" s="9"/>
      <x:c r="S78" s="9" t="n">
        <x:f>V78/17</x:f>
        <x:v>10.302941176470586</x:v>
      </x:c>
      <x:c r="T78" s="9" t="n">
        <x:f>IF(P78=1,MAX(0,0.258*(14.9-S78)),0)</x:f>
        <x:v>0</x:v>
      </x:c>
      <x:c r="U78" s="9" t="n">
        <x:f>T78*17</x:f>
        <x:v>0</x:v>
      </x:c>
      <x:c r="V78" s="9" t="n">
        <x:f>C78*Scoring!$B$32+D78/Scoring!$C$32+E78*Scoring!$D$32+F78*Scoring!$E$32+G78/Scoring!$F$32+H78*Scoring!$G$32+I78*Scoring!$H$32+K78*Scoring!$I$32+RB!L78*Scoring!$J$32</x:f>
        <x:v>175.14999999999998</x:v>
      </x:c>
      <x:c r="W78" s="9"/>
      <x:c r="X78" s="9"/>
      <x:c r="Y78" s="9"/>
      <x:c r="Z78" s="9"/>
    </x:row>
    <x:row r="79" ht="14.25" customHeight="1">
      <x:c r="B79" s="1" t="s">
        <x:v>488</x:v>
      </x:c>
      <x:c r="C79" s="1">
        <x:v>190.2</x:v>
      </x:c>
      <x:c r="D79" s="1">
        <x:v>884.0</x:v>
      </x:c>
      <x:c r="E79" s="1">
        <x:v>7.0</x:v>
      </x:c>
      <x:c r="F79" s="1">
        <x:v>38.9</x:v>
      </x:c>
      <x:c r="G79" s="1">
        <x:v>268.2</x:v>
      </x:c>
      <x:c r="H79" s="1">
        <x:v>1.4</x:v>
      </x:c>
      <x:c r="I79" s="1">
        <x:v>0.7</x:v>
      </x:c>
      <x:c r="J79" s="1">
        <x:v>211.6</x:v>
      </x:c>
      <x:c r="K79" s="18">
        <x:f t="shared" si="1"/>
        <x:v>49.11111111</x:v>
      </x:c>
      <x:c r="L79" s="18">
        <x:f t="shared" si="2"/>
        <x:v>12.68467925</x:v>
      </x:c>
      <x:c r="M79" s="119"/>
      <x:c r="N79" s="119"/>
      <x:c r="O79" s="119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 ht="14.25" customHeight="1">
      <x:c r="B80" s="1" t="s">
        <x:v>489</x:v>
      </x:c>
      <x:c r="C80" s="1">
        <x:v>182.0</x:v>
      </x:c>
      <x:c r="D80" s="1">
        <x:v>836.7</x:v>
      </x:c>
      <x:c r="E80" s="1">
        <x:v>6.7</x:v>
      </x:c>
      <x:c r="F80" s="1">
        <x:v>33.0</x:v>
      </x:c>
      <x:c r="G80" s="1">
        <x:v>207.0</x:v>
      </x:c>
      <x:c r="H80" s="1">
        <x:v>1.0</x:v>
      </x:c>
      <x:c r="I80" s="1">
        <x:v>1.0</x:v>
      </x:c>
      <x:c r="J80" s="1">
        <x:v>175.3</x:v>
      </x:c>
      <x:c r="K80" s="18">
        <x:f t="shared" si="1"/>
        <x:v>46.48333333</x:v>
      </x:c>
      <x:c r="L80" s="18">
        <x:f t="shared" si="2"/>
        <x:v>9.790188679</x:v>
      </x:c>
      <x:c r="M80" s="119"/>
      <x:c r="N80" s="119"/>
      <x:c r="O80" s="119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 ht="14.25" customHeight="1">
      <x:c r="A81" s="1" t="s">
        <x:v>629</x:v>
      </x:c>
      <x:c r="B81" s="1" t="s">
        <x:v>493</x:v>
      </x:c>
      <x:c r="C81" s="1">
        <x:v>168.6</x:v>
      </x:c>
      <x:c r="D81" s="1">
        <x:v>723.1</x:v>
      </x:c>
      <x:c r="E81" s="1">
        <x:v>6.9</x:v>
      </x:c>
      <x:c r="F81" s="1">
        <x:v>38.5</x:v>
      </x:c>
      <x:c r="G81" s="1">
        <x:v>327.9</x:v>
      </x:c>
      <x:c r="H81" s="1">
        <x:v>1.7</x:v>
      </x:c>
      <x:c r="I81" s="1">
        <x:v>2.1</x:v>
      </x:c>
      <x:c r="J81" s="1">
        <x:v>191.1</x:v>
      </x:c>
      <x:c r="K81" s="18">
        <x:f t="shared" si="1"/>
        <x:v>40.17222222</x:v>
      </x:c>
      <x:c r="L81" s="18">
        <x:f t="shared" si="2"/>
        <x:v>15.50822642</x:v>
      </x:c>
      <x:c r="M81" s="119" t="n">
        <x:f>C83*Scoring!$B$32+D83/Scoring!$C$32+E83*Scoring!$D$32+F83*Scoring!$E$32+G83/Scoring!$F$32+H83*Scoring!$G$32+I83*Scoring!$H$32+K83*Scoring!$I$32+RB!L83*Scoring!$J$32+U81</x:f>
        <x:v>159.9</x:v>
      </x:c>
      <x:c r="N81" s="119" t="n">
        <x:f>C81*Scoring!$B$32+D81/Scoring!$C$32+E81*Scoring!$D$32+F81*Scoring!$E$32+G81/Scoring!$F$32+H81*Scoring!$G$32+I81*Scoring!$H$32+K81*Scoring!$I$32+RB!L81*Scoring!$J$32+U81</x:f>
        <x:v>173.85</x:v>
      </x:c>
      <x:c r="O81" s="119" t="n">
        <x:f>C82*Scoring!$B$32+D82/Scoring!$C$32+E82*Scoring!$D$32+F82*Scoring!$E$32+G82/Scoring!$F$32+H82*Scoring!$G$32+I82*Scoring!$H$32+K82*Scoring!$I$32+L82*Scoring!$J$32+U81</x:f>
        <x:v>183.69000000000003</x:v>
      </x:c>
      <x:c r="P81" s="9" t="n">
        <x:f>IF(COUNTIF(Rookies!$A:$A,A81)&gt;0,1,0)</x:f>
        <x:v>0</x:v>
      </x:c>
      <x:c r="Q81" s="9"/>
      <x:c r="R81" s="9"/>
      <x:c r="S81" s="9" t="n">
        <x:f>V81/17</x:f>
        <x:v>10.226470588235294</x:v>
      </x:c>
      <x:c r="T81" s="9" t="n">
        <x:f>IF(P81=1,MAX(0,0.258*(14.9-S81)),0)</x:f>
        <x:v>0</x:v>
      </x:c>
      <x:c r="U81" s="9" t="n">
        <x:f>T81*17</x:f>
        <x:v>0</x:v>
      </x:c>
      <x:c r="V81" s="9" t="n">
        <x:f>C81*Scoring!$B$32+D81/Scoring!$C$32+E81*Scoring!$D$32+F81*Scoring!$E$32+G81/Scoring!$F$32+H81*Scoring!$G$32+I81*Scoring!$H$32+K81*Scoring!$I$32+RB!L81*Scoring!$J$32</x:f>
        <x:v>173.85</x:v>
      </x:c>
      <x:c r="W81" s="9"/>
      <x:c r="X81" s="9"/>
      <x:c r="Y81" s="9"/>
      <x:c r="Z81" s="9"/>
    </x:row>
    <x:row r="82" ht="14.25" customHeight="1">
      <x:c r="B82" s="1" t="s">
        <x:v>488</x:v>
      </x:c>
      <x:c r="C82" s="1">
        <x:v>173.7</x:v>
      </x:c>
      <x:c r="D82" s="1">
        <x:v>740.3</x:v>
      </x:c>
      <x:c r="E82" s="1">
        <x:v>7.0</x:v>
      </x:c>
      <x:c r="F82" s="1">
        <x:v>42.6</x:v>
      </x:c>
      <x:c r="G82" s="1">
        <x:v>349.6</x:v>
      </x:c>
      <x:c r="H82" s="1">
        <x:v>2.1</x:v>
      </x:c>
      <x:c r="I82" s="1">
        <x:v>1.2</x:v>
      </x:c>
      <x:c r="J82" s="1">
        <x:v>210.2</x:v>
      </x:c>
      <x:c r="K82" s="18">
        <x:f t="shared" si="1"/>
        <x:v>41.12777778</x:v>
      </x:c>
      <x:c r="L82" s="18">
        <x:f t="shared" si="2"/>
        <x:v>16.53454088</x:v>
      </x:c>
      <x:c r="M82" s="119"/>
      <x:c r="N82" s="119"/>
      <x:c r="O82" s="11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 ht="14.25" customHeight="1">
      <x:c r="B83" s="1" t="s">
        <x:v>489</x:v>
      </x:c>
      <x:c r="C83" s="1">
        <x:v>163.0</x:v>
      </x:c>
      <x:c r="D83" s="1">
        <x:v>694.0</x:v>
      </x:c>
      <x:c r="E83" s="1">
        <x:v>6.8</x:v>
      </x:c>
      <x:c r="F83" s="1">
        <x:v>33.0</x:v>
      </x:c>
      <x:c r="G83" s="1">
        <x:v>302.0</x:v>
      </x:c>
      <x:c r="H83" s="1">
        <x:v>1.0</x:v>
      </x:c>
      <x:c r="I83" s="1">
        <x:v>3.0</x:v>
      </x:c>
      <x:c r="J83" s="1">
        <x:v>171.5</x:v>
      </x:c>
      <x:c r="K83" s="18">
        <x:f t="shared" si="1"/>
        <x:v>38.55555556</x:v>
      </x:c>
      <x:c r="L83" s="18">
        <x:f t="shared" si="2"/>
        <x:v>14.28327044</x:v>
      </x:c>
      <x:c r="M83" s="119"/>
      <x:c r="N83" s="119"/>
      <x:c r="O83" s="11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 ht="14.25" customHeight="1">
      <x:c r="A84" s="1" t="s">
        <x:v>630</x:v>
      </x:c>
      <x:c r="B84" s="1" t="s">
        <x:v>533</x:v>
      </x:c>
      <x:c r="C84" s="1">
        <x:v>215.5</x:v>
      </x:c>
      <x:c r="D84" s="1">
        <x:v>913.2</x:v>
      </x:c>
      <x:c r="E84" s="1">
        <x:v>8.0</x:v>
      </x:c>
      <x:c r="F84" s="1">
        <x:v>26.4</x:v>
      </x:c>
      <x:c r="G84" s="1">
        <x:v>220.1</x:v>
      </x:c>
      <x:c r="H84" s="1">
        <x:v>1.1</x:v>
      </x:c>
      <x:c r="I84" s="1">
        <x:v>2.0</x:v>
      </x:c>
      <x:c r="J84" s="1">
        <x:v>190.0</x:v>
      </x:c>
      <x:c r="K84" s="18">
        <x:f t="shared" si="1"/>
        <x:v>50.73333333</x:v>
      </x:c>
      <x:c r="L84" s="18">
        <x:f t="shared" si="2"/>
        <x:v>10.40976101</x:v>
      </x:c>
      <x:c r="M84" s="119" t="n">
        <x:f>C86*Scoring!$B$32+D86/Scoring!$C$32+E86*Scoring!$D$32+F86*Scoring!$E$32+G86/Scoring!$F$32+H86*Scoring!$G$32+I86*Scoring!$H$32+K86*Scoring!$I$32+RB!L86*Scoring!$J$32+U84</x:f>
        <x:v>179.57586</x:v>
      </x:c>
      <x:c r="N84" s="119" t="n">
        <x:f>C84*Scoring!$B$32+D84/Scoring!$C$32+E84*Scoring!$D$32+F84*Scoring!$E$32+G84/Scoring!$F$32+H84*Scoring!$G$32+I84*Scoring!$H$32+K84*Scoring!$I$32+RB!L84*Scoring!$J$32+U84</x:f>
        <x:v>198.26585999999998</x:v>
      </x:c>
      <x:c r="O84" s="119" t="n">
        <x:f>C85*Scoring!$B$32+D85/Scoring!$C$32+E85*Scoring!$D$32+F85*Scoring!$E$32+G85/Scoring!$F$32+H85*Scoring!$G$32+I85*Scoring!$H$32+K85*Scoring!$I$32+L85*Scoring!$J$32+U84</x:f>
        <x:v>216.03586</x:v>
      </x:c>
      <x:c r="P84" s="9" t="n">
        <x:f>IF(COUNTIF(Rookies!$A:$A,A84)&gt;0,1,0)</x:f>
        <x:v>1</x:v>
      </x:c>
      <x:c r="Q84" s="9"/>
      <x:c r="R84" s="9"/>
      <x:c r="S84" s="9" t="n">
        <x:f>V84/17</x:f>
        <x:v>10.53705882352941</x:v>
      </x:c>
      <x:c r="T84" s="9" t="n">
        <x:f>IF(P84=1,MAX(0,0.258*(14.9-S84)),0)</x:f>
        <x:v>1.1256388235294124</x:v>
      </x:c>
      <x:c r="U84" s="9" t="n">
        <x:f>T84*17</x:f>
        <x:v>19.13586000000001</x:v>
      </x:c>
      <x:c r="V84" s="9" t="n">
        <x:f>C84*Scoring!$B$32+D84/Scoring!$C$32+E84*Scoring!$D$32+F84*Scoring!$E$32+G84/Scoring!$F$32+H84*Scoring!$G$32+I84*Scoring!$H$32+K84*Scoring!$I$32+RB!L84*Scoring!$J$32</x:f>
        <x:v>179.12999999999997</x:v>
      </x:c>
      <x:c r="W84" s="9"/>
      <x:c r="X84" s="9"/>
      <x:c r="Y84" s="9"/>
      <x:c r="Z84" s="9"/>
    </x:row>
    <x:row r="85" ht="14.25" customHeight="1">
      <x:c r="B85" s="1" t="s">
        <x:v>488</x:v>
      </x:c>
      <x:c r="C85" s="1">
        <x:v>229.0</x:v>
      </x:c>
      <x:c r="D85" s="1">
        <x:v>980.0</x:v>
      </x:c>
      <x:c r="E85" s="1">
        <x:v>9.0</x:v>
      </x:c>
      <x:c r="F85" s="1">
        <x:v>31.0</x:v>
      </x:c>
      <x:c r="G85" s="1">
        <x:v>226.0</x:v>
      </x:c>
      <x:c r="H85" s="1">
        <x:v>1.3</x:v>
      </x:c>
      <x:c r="I85" s="1">
        <x:v>1.0</x:v>
      </x:c>
      <x:c r="J85" s="1">
        <x:v>196.2</x:v>
      </x:c>
      <x:c r="K85" s="18">
        <x:f t="shared" si="1"/>
        <x:v>54.44444444</x:v>
      </x:c>
      <x:c r="L85" s="18">
        <x:f t="shared" si="2"/>
        <x:v>10.68880503</x:v>
      </x:c>
      <x:c r="M85" s="119"/>
      <x:c r="N85" s="119"/>
      <x:c r="O85" s="11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 ht="14.25" customHeight="1">
      <x:c r="B86" s="1" t="s">
        <x:v>489</x:v>
      </x:c>
      <x:c r="C86" s="1">
        <x:v>195.0</x:v>
      </x:c>
      <x:c r="D86" s="1">
        <x:v>837.0</x:v>
      </x:c>
      <x:c r="E86" s="1">
        <x:v>7.0</x:v>
      </x:c>
      <x:c r="F86" s="1">
        <x:v>21.0</x:v>
      </x:c>
      <x:c r="G86" s="1">
        <x:v>212.4</x:v>
      </x:c>
      <x:c r="H86" s="1">
        <x:v>1.0</x:v>
      </x:c>
      <x:c r="I86" s="1">
        <x:v>3.0</x:v>
      </x:c>
      <x:c r="J86" s="1">
        <x:v>184.4</x:v>
      </x:c>
      <x:c r="K86" s="18">
        <x:f t="shared" si="1"/>
        <x:v>46.5</x:v>
      </x:c>
      <x:c r="L86" s="18">
        <x:f t="shared" si="2"/>
        <x:v>10.04558491</x:v>
      </x:c>
      <x:c r="M86" s="119"/>
      <x:c r="N86" s="119"/>
      <x:c r="O86" s="119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 ht="14.25" customHeight="1">
      <x:c r="A87" s="1" t="s">
        <x:v>631</x:v>
      </x:c>
      <x:c r="B87" s="1" t="s">
        <x:v>541</x:v>
      </x:c>
      <x:c r="C87" s="1">
        <x:v>236.2</x:v>
      </x:c>
      <x:c r="D87" s="1">
        <x:v>1034.1</x:v>
      </x:c>
      <x:c r="E87" s="1">
        <x:v>5.5</x:v>
      </x:c>
      <x:c r="F87" s="1">
        <x:v>31.9</x:v>
      </x:c>
      <x:c r="G87" s="1">
        <x:v>208.2</x:v>
      </x:c>
      <x:c r="H87" s="1">
        <x:v>0.5</x:v>
      </x:c>
      <x:c r="I87" s="1">
        <x:v>2.1</x:v>
      </x:c>
      <x:c r="J87" s="1">
        <x:v>187.8</x:v>
      </x:c>
      <x:c r="K87" s="18">
        <x:f t="shared" si="1"/>
        <x:v>57.45</x:v>
      </x:c>
      <x:c r="L87" s="18">
        <x:f t="shared" si="2"/>
        <x:v>9.846943396</x:v>
      </x:c>
      <x:c r="M87" s="119" t="n">
        <x:f>C89*Scoring!$B$32+D89/Scoring!$C$32+E89*Scoring!$D$32+F89*Scoring!$E$32+G89/Scoring!$F$32+H89*Scoring!$G$32+I89*Scoring!$H$32+K89*Scoring!$I$32+RB!L89*Scoring!$J$32+U87</x:f>
        <x:v>159.41</x:v>
      </x:c>
      <x:c r="N87" s="119" t="n">
        <x:f>C87*Scoring!$B$32+D87/Scoring!$C$32+E87*Scoring!$D$32+F87*Scoring!$E$32+G87/Scoring!$F$32+H87*Scoring!$G$32+I87*Scoring!$H$32+K87*Scoring!$I$32+RB!L87*Scoring!$J$32+U87</x:f>
        <x:v>174.07999999999998</x:v>
      </x:c>
      <x:c r="O87" s="119" t="n">
        <x:f>C88*Scoring!$B$32+D88/Scoring!$C$32+E88*Scoring!$D$32+F88*Scoring!$E$32+G88/Scoring!$F$32+H88*Scoring!$G$32+I88*Scoring!$H$32+K88*Scoring!$I$32+L88*Scoring!$J$32+U87</x:f>
        <x:v>187</x:v>
      </x:c>
      <x:c r="P87" s="9" t="n">
        <x:f>IF(COUNTIF(Rookies!$A:$A,A87)&gt;0,1,0)</x:f>
        <x:v>0</x:v>
      </x:c>
      <x:c r="Q87" s="9"/>
      <x:c r="R87" s="9"/>
      <x:c r="S87" s="9" t="n">
        <x:f>V87/17</x:f>
        <x:v>10.239999999999998</x:v>
      </x:c>
      <x:c r="T87" s="9" t="n">
        <x:f>IF(P87=1,MAX(0,0.258*(14.9-S87)),0)</x:f>
        <x:v>0</x:v>
      </x:c>
      <x:c r="U87" s="9" t="n">
        <x:f>T87*17</x:f>
        <x:v>0</x:v>
      </x:c>
      <x:c r="V87" s="9" t="n">
        <x:f>C87*Scoring!$B$32+D87/Scoring!$C$32+E87*Scoring!$D$32+F87*Scoring!$E$32+G87/Scoring!$F$32+H87*Scoring!$G$32+I87*Scoring!$H$32+K87*Scoring!$I$32+RB!L87*Scoring!$J$32</x:f>
        <x:v>174.07999999999998</x:v>
      </x:c>
      <x:c r="W87" s="9"/>
      <x:c r="X87" s="9"/>
      <x:c r="Y87" s="9"/>
      <x:c r="Z87" s="9"/>
    </x:row>
    <x:row r="88" ht="14.25" customHeight="1">
      <x:c r="B88" s="1" t="s">
        <x:v>488</x:v>
      </x:c>
      <x:c r="C88" s="1">
        <x:v>242.0</x:v>
      </x:c>
      <x:c r="D88" s="1">
        <x:v>1065.0</x:v>
      </x:c>
      <x:c r="E88" s="1">
        <x:v>6.0</x:v>
      </x:c>
      <x:c r="F88" s="1">
        <x:v>34.0</x:v>
      </x:c>
      <x:c r="G88" s="1">
        <x:v>227.0</x:v>
      </x:c>
      <x:c r="H88" s="1">
        <x:v>1.0</x:v>
      </x:c>
      <x:c r="I88" s="1">
        <x:v>1.2</x:v>
      </x:c>
      <x:c r="J88" s="1">
        <x:v>213.1</x:v>
      </x:c>
      <x:c r="K88" s="18">
        <x:f t="shared" si="1"/>
        <x:v>59.16666667</x:v>
      </x:c>
      <x:c r="L88" s="18">
        <x:f t="shared" si="2"/>
        <x:v>10.73610063</x:v>
      </x:c>
      <x:c r="M88" s="119"/>
      <x:c r="N88" s="119"/>
      <x:c r="O88" s="119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 ht="14.25" customHeight="1">
      <x:c r="B89" s="1" t="s">
        <x:v>489</x:v>
      </x:c>
      <x:c r="C89" s="1">
        <x:v>227.0</x:v>
      </x:c>
      <x:c r="D89" s="1">
        <x:v>993.0</x:v>
      </x:c>
      <x:c r="E89" s="1">
        <x:v>5.0</x:v>
      </x:c>
      <x:c r="F89" s="1">
        <x:v>29.7</x:v>
      </x:c>
      <x:c r="G89" s="1">
        <x:v>182.6</x:v>
      </x:c>
      <x:c r="H89" s="1">
        <x:v>0.0</x:v>
      </x:c>
      <x:c r="I89" s="1">
        <x:v>3.0</x:v>
      </x:c>
      <x:c r="J89" s="1">
        <x:v>164.9</x:v>
      </x:c>
      <x:c r="K89" s="18">
        <x:f t="shared" si="1"/>
        <x:v>55.16666667</x:v>
      </x:c>
      <x:c r="L89" s="18">
        <x:f t="shared" si="2"/>
        <x:v>8.636176101</x:v>
      </x:c>
      <x:c r="M89" s="119"/>
      <x:c r="N89" s="119"/>
      <x:c r="O89" s="119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 ht="14.25" customHeight="1">
      <x:c r="A90" s="1" t="s">
        <x:v>632</x:v>
      </x:c>
      <x:c r="B90" s="1" t="s">
        <x:v>545</x:v>
      </x:c>
      <x:c r="C90" s="1">
        <x:v>200.0</x:v>
      </x:c>
      <x:c r="D90" s="1">
        <x:v>870.1</x:v>
      </x:c>
      <x:c r="E90" s="1">
        <x:v>5.8</x:v>
      </x:c>
      <x:c r="F90" s="1">
        <x:v>31.7</x:v>
      </x:c>
      <x:c r="G90" s="1">
        <x:v>222.3</x:v>
      </x:c>
      <x:c r="H90" s="1">
        <x:v>1.0</x:v>
      </x:c>
      <x:c r="I90" s="1">
        <x:v>1.0</x:v>
      </x:c>
      <x:c r="J90" s="1">
        <x:v>180.3</x:v>
      </x:c>
      <x:c r="K90" s="18">
        <x:f t="shared" si="1"/>
        <x:v>48.33888889</x:v>
      </x:c>
      <x:c r="L90" s="18">
        <x:f t="shared" si="2"/>
        <x:v>10.51381132</x:v>
      </x:c>
      <x:c r="M90" s="119" t="n">
        <x:f>C92*Scoring!$B$32+D92/Scoring!$C$32+E92*Scoring!$D$32+F92*Scoring!$E$32+G92/Scoring!$F$32+H92*Scoring!$G$32+I92*Scoring!$H$32+K92*Scoring!$I$32+RB!L92*Scoring!$J$32+U90</x:f>
        <x:v>150</x:v>
      </x:c>
      <x:c r="N90" s="119" t="n">
        <x:f>C90*Scoring!$B$32+D90/Scoring!$C$32+E90*Scoring!$D$32+F90*Scoring!$E$32+G90/Scoring!$F$32+H90*Scoring!$G$32+I90*Scoring!$H$32+K90*Scoring!$I$32+RB!L90*Scoring!$J$32+U90</x:f>
        <x:v>164.89</x:v>
      </x:c>
      <x:c r="O90" s="119" t="n">
        <x:f>C91*Scoring!$B$32+D91/Scoring!$C$32+E91*Scoring!$D$32+F91*Scoring!$E$32+G91/Scoring!$F$32+H91*Scoring!$G$32+I91*Scoring!$H$32+K91*Scoring!$I$32+L91*Scoring!$J$32+U90</x:f>
        <x:v>188.44</x:v>
      </x:c>
      <x:c r="P90" s="9" t="n">
        <x:f>IF(COUNTIF(Rookies!$A:$A,A90)&gt;0,1,0)</x:f>
        <x:v>0</x:v>
      </x:c>
      <x:c r="Q90" s="9"/>
      <x:c r="R90" s="9"/>
      <x:c r="S90" s="9" t="n">
        <x:f>V90/17</x:f>
        <x:v>9.699411764705882</x:v>
      </x:c>
      <x:c r="T90" s="9" t="n">
        <x:f>IF(P90=1,MAX(0,0.258*(14.9-S90)),0)</x:f>
        <x:v>0</x:v>
      </x:c>
      <x:c r="U90" s="9" t="n">
        <x:f>T90*17</x:f>
        <x:v>0</x:v>
      </x:c>
      <x:c r="V90" s="9" t="n">
        <x:f>C90*Scoring!$B$32+D90/Scoring!$C$32+E90*Scoring!$D$32+F90*Scoring!$E$32+G90/Scoring!$F$32+H90*Scoring!$G$32+I90*Scoring!$H$32+K90*Scoring!$I$32+RB!L90*Scoring!$J$32</x:f>
        <x:v>164.89</x:v>
      </x:c>
      <x:c r="W90" s="9"/>
      <x:c r="X90" s="9"/>
      <x:c r="Y90" s="9"/>
      <x:c r="Z90" s="9"/>
    </x:row>
    <x:row r="91" ht="14.25" customHeight="1">
      <x:c r="B91" s="1" t="s">
        <x:v>488</x:v>
      </x:c>
      <x:c r="C91" s="1">
        <x:v>223.0</x:v>
      </x:c>
      <x:c r="D91" s="1">
        <x:v>975.4</x:v>
      </x:c>
      <x:c r="E91" s="1">
        <x:v>7.0</x:v>
      </x:c>
      <x:c r="F91" s="1">
        <x:v>36.0</x:v>
      </x:c>
      <x:c r="G91" s="1">
        <x:v>253.0</x:v>
      </x:c>
      <x:c r="H91" s="1">
        <x:v>1.1</x:v>
      </x:c>
      <x:c r="I91" s="1">
        <x:v>1.0</x:v>
      </x:c>
      <x:c r="J91" s="1">
        <x:v>188.6</x:v>
      </x:c>
      <x:c r="K91" s="18">
        <x:f t="shared" si="1"/>
        <x:v>54.18888889</x:v>
      </x:c>
      <x:c r="L91" s="18">
        <x:f t="shared" si="2"/>
        <x:v>11.96578616</x:v>
      </x:c>
      <x:c r="M91" s="119"/>
      <x:c r="N91" s="119"/>
      <x:c r="O91" s="11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 ht="14.25" customHeight="1">
      <x:c r="B92" s="1" t="s">
        <x:v>489</x:v>
      </x:c>
      <x:c r="C92" s="1">
        <x:v>186.0</x:v>
      </x:c>
      <x:c r="D92" s="1">
        <x:v>801.0</x:v>
      </x:c>
      <x:c r="E92" s="1">
        <x:v>5.0</x:v>
      </x:c>
      <x:c r="F92" s="1">
        <x:v>29.2</x:v>
      </x:c>
      <x:c r="G92" s="1">
        <x:v>203.0</x:v>
      </x:c>
      <x:c r="H92" s="1">
        <x:v>1.0</x:v>
      </x:c>
      <x:c r="I92" s="1">
        <x:v>1.0</x:v>
      </x:c>
      <x:c r="J92" s="1">
        <x:v>168.7</x:v>
      </x:c>
      <x:c r="K92" s="18">
        <x:f t="shared" si="1"/>
        <x:v>44.5</x:v>
      </x:c>
      <x:c r="L92" s="18">
        <x:f t="shared" si="2"/>
        <x:v>9.601006289</x:v>
      </x:c>
      <x:c r="M92" s="119"/>
      <x:c r="N92" s="119"/>
      <x:c r="O92" s="119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 ht="14.25" customHeight="1">
      <x:c r="A93" s="1" t="s">
        <x:v>633</x:v>
      </x:c>
      <x:c r="B93" s="1" t="s">
        <x:v>515</x:v>
      </x:c>
      <x:c r="C93" s="1">
        <x:v>219.9</x:v>
      </x:c>
      <x:c r="D93" s="1">
        <x:v>1027.8</x:v>
      </x:c>
      <x:c r="E93" s="1">
        <x:v>6.9</x:v>
      </x:c>
      <x:c r="F93" s="1">
        <x:v>19.5</x:v>
      </x:c>
      <x:c r="G93" s="1">
        <x:v>104.5</x:v>
      </x:c>
      <x:c r="H93" s="1">
        <x:v>0.6</x:v>
      </x:c>
      <x:c r="I93" s="1">
        <x:v>0.7</x:v>
      </x:c>
      <x:c r="J93" s="1">
        <x:v>176.1</x:v>
      </x:c>
      <x:c r="K93" s="18">
        <x:f t="shared" si="1"/>
        <x:v>57.1</x:v>
      </x:c>
      <x:c r="L93" s="18">
        <x:f t="shared" si="2"/>
        <x:v>4.942389937</x:v>
      </x:c>
      <x:c r="M93" s="119" t="n">
        <x:f>C95*Scoring!$B$32+D95/Scoring!$C$32+E95*Scoring!$D$32+F95*Scoring!$E$32+G95/Scoring!$F$32+H95*Scoring!$G$32+I95*Scoring!$H$32+K95*Scoring!$I$32+RB!L95*Scoring!$J$32+U93</x:f>
        <x:v>150.14</x:v>
      </x:c>
      <x:c r="N93" s="119" t="n">
        <x:f>C93*Scoring!$B$32+D93/Scoring!$C$32+E93*Scoring!$D$32+F93*Scoring!$E$32+G93/Scoring!$F$32+H93*Scoring!$G$32+I93*Scoring!$H$32+K93*Scoring!$I$32+RB!L93*Scoring!$J$32+U93</x:f>
        <x:v>167.28</x:v>
      </x:c>
      <x:c r="O93" s="119" t="n">
        <x:f>C94*Scoring!$B$32+D94/Scoring!$C$32+E94*Scoring!$D$32+F94*Scoring!$E$32+G94/Scoring!$F$32+H94*Scoring!$G$32+I94*Scoring!$H$32+K94*Scoring!$I$32+L94*Scoring!$J$32+U93</x:f>
        <x:v>185.14</x:v>
      </x:c>
      <x:c r="P93" s="9" t="n">
        <x:f>IF(COUNTIF(Rookies!$A:$A,A93)&gt;0,1,0)</x:f>
        <x:v>0</x:v>
      </x:c>
      <x:c r="Q93" s="9"/>
      <x:c r="R93" s="9"/>
      <x:c r="S93" s="9" t="n">
        <x:f>V93/17</x:f>
        <x:v>9.84</x:v>
      </x:c>
      <x:c r="T93" s="9" t="n">
        <x:f>IF(P93=1,MAX(0,0.258*(14.9-S93)),0)</x:f>
        <x:v>0</x:v>
      </x:c>
      <x:c r="U93" s="9" t="n">
        <x:f>T93*17</x:f>
        <x:v>0</x:v>
      </x:c>
      <x:c r="V93" s="9" t="n">
        <x:f>C93*Scoring!$B$32+D93/Scoring!$C$32+E93*Scoring!$D$32+F93*Scoring!$E$32+G93/Scoring!$F$32+H93*Scoring!$G$32+I93*Scoring!$H$32+K93*Scoring!$I$32+RB!L93*Scoring!$J$32</x:f>
        <x:v>167.28</x:v>
      </x:c>
      <x:c r="W93" s="9"/>
      <x:c r="X93" s="9"/>
      <x:c r="Y93" s="9"/>
      <x:c r="Z93" s="9"/>
    </x:row>
    <x:row r="94" ht="14.25" customHeight="1">
      <x:c r="B94" s="1" t="s">
        <x:v>488</x:v>
      </x:c>
      <x:c r="C94" s="1">
        <x:v>249.0</x:v>
      </x:c>
      <x:c r="D94" s="1">
        <x:v>1137.0</x:v>
      </x:c>
      <x:c r="E94" s="1">
        <x:v>7.0</x:v>
      </x:c>
      <x:c r="F94" s="1">
        <x:v>21.4</x:v>
      </x:c>
      <x:c r="G94" s="1">
        <x:v>132.4</x:v>
      </x:c>
      <x:c r="H94" s="1">
        <x:v>1.0</x:v>
      </x:c>
      <x:c r="I94" s="1">
        <x:v>0.5</x:v>
      </x:c>
      <x:c r="J94" s="1">
        <x:v>184.7</x:v>
      </x:c>
      <x:c r="K94" s="18">
        <x:f t="shared" si="1"/>
        <x:v>63.16666667</x:v>
      </x:c>
      <x:c r="L94" s="18">
        <x:f t="shared" si="2"/>
        <x:v>6.261937107</x:v>
      </x:c>
      <x:c r="M94" s="119"/>
      <x:c r="N94" s="119"/>
      <x:c r="O94" s="119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 ht="14.25" customHeight="1">
      <x:c r="B95" s="1" t="s">
        <x:v>489</x:v>
      </x:c>
      <x:c r="C95" s="1">
        <x:v>204.8</x:v>
      </x:c>
      <x:c r="D95" s="1">
        <x:v>958.4</x:v>
      </x:c>
      <x:c r="E95" s="1">
        <x:v>6.6</x:v>
      </x:c>
      <x:c r="F95" s="1">
        <x:v>16.0</x:v>
      </x:c>
      <x:c r="G95" s="1">
        <x:v>77.0</x:v>
      </x:c>
      <x:c r="H95" s="1">
        <x:v>0.0</x:v>
      </x:c>
      <x:c r="I95" s="1">
        <x:v>1.0</x:v>
      </x:c>
      <x:c r="J95" s="1">
        <x:v>166.5</x:v>
      </x:c>
      <x:c r="K95" s="18">
        <x:f t="shared" si="1"/>
        <x:v>53.24444444</x:v>
      </x:c>
      <x:c r="L95" s="18">
        <x:f t="shared" si="2"/>
        <x:v>3.641761006</x:v>
      </x:c>
      <x:c r="M95" s="119"/>
      <x:c r="N95" s="119"/>
      <x:c r="O95" s="119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 ht="14.25" customHeight="1">
      <x:c r="A96" s="1" t="s">
        <x:v>634</x:v>
      </x:c>
      <x:c r="B96" s="1" t="s">
        <x:v>537</x:v>
      </x:c>
      <x:c r="C96" s="1">
        <x:v>178.2</x:v>
      </x:c>
      <x:c r="D96" s="1">
        <x:v>728.9</x:v>
      </x:c>
      <x:c r="E96" s="1">
        <x:v>5.0</x:v>
      </x:c>
      <x:c r="F96" s="1">
        <x:v>36.4</x:v>
      </x:c>
      <x:c r="G96" s="1">
        <x:v>256.4</x:v>
      </x:c>
      <x:c r="H96" s="1">
        <x:v>1.8</x:v>
      </x:c>
      <x:c r="I96" s="1">
        <x:v>0.9</x:v>
      </x:c>
      <x:c r="J96" s="1">
        <x:v>173.6</x:v>
      </x:c>
      <x:c r="K96" s="18">
        <x:f t="shared" si="1"/>
        <x:v>40.49444444</x:v>
      </x:c>
      <x:c r="L96" s="18">
        <x:f t="shared" si="2"/>
        <x:v>12.12659119</x:v>
      </x:c>
      <x:c r="M96" s="119" t="n">
        <x:f>C98*Scoring!$B$32+D98/Scoring!$C$32+E98*Scoring!$D$32+F98*Scoring!$E$32+G98/Scoring!$F$32+H98*Scoring!$G$32+I98*Scoring!$H$32+K98*Scoring!$I$32+RB!L98*Scoring!$J$32+U96</x:f>
        <x:v>137.37</x:v>
      </x:c>
      <x:c r="N96" s="119" t="n">
        <x:f>C96*Scoring!$B$32+D96/Scoring!$C$32+E96*Scoring!$D$32+F96*Scoring!$E$32+G96/Scoring!$F$32+H96*Scoring!$G$32+I96*Scoring!$H$32+K96*Scoring!$I$32+RB!L96*Scoring!$J$32+U96</x:f>
        <x:v>156.63</x:v>
      </x:c>
      <x:c r="O96" s="119" t="n">
        <x:f>C97*Scoring!$B$32+D97/Scoring!$C$32+E97*Scoring!$D$32+F97*Scoring!$E$32+G97/Scoring!$F$32+H97*Scoring!$G$32+I97*Scoring!$H$32+K97*Scoring!$I$32+L97*Scoring!$J$32+U96</x:f>
        <x:v>180.55999999999997</x:v>
      </x:c>
      <x:c r="P96" s="9" t="n">
        <x:f>IF(COUNTIF(Rookies!$A:$A,A96)&gt;0,1,0)</x:f>
        <x:v>0</x:v>
      </x:c>
      <x:c r="Q96" s="9"/>
      <x:c r="R96" s="9"/>
      <x:c r="S96" s="9" t="n">
        <x:f>V96/17</x:f>
        <x:v>9.213529411764705</x:v>
      </x:c>
      <x:c r="T96" s="9" t="n">
        <x:f>IF(P96=1,MAX(0,0.258*(14.9-S96)),0)</x:f>
        <x:v>0</x:v>
      </x:c>
      <x:c r="U96" s="9" t="n">
        <x:f>T96*17</x:f>
        <x:v>0</x:v>
      </x:c>
      <x:c r="V96" s="9" t="n">
        <x:f>C96*Scoring!$B$32+D96/Scoring!$C$32+E96*Scoring!$D$32+F96*Scoring!$E$32+G96/Scoring!$F$32+H96*Scoring!$G$32+I96*Scoring!$H$32+K96*Scoring!$I$32+RB!L96*Scoring!$J$32</x:f>
        <x:v>156.63</x:v>
      </x:c>
      <x:c r="W96" s="9"/>
      <x:c r="X96" s="9"/>
      <x:c r="Y96" s="9"/>
      <x:c r="Z96" s="9"/>
    </x:row>
    <x:row r="97" ht="14.25" customHeight="1">
      <x:c r="B97" s="1" t="s">
        <x:v>488</x:v>
      </x:c>
      <x:c r="C97" s="1">
        <x:v>192.0</x:v>
      </x:c>
      <x:c r="D97" s="1">
        <x:v>767.0</x:v>
      </x:c>
      <x:c r="E97" s="1">
        <x:v>6.0</x:v>
      </x:c>
      <x:c r="F97" s="1">
        <x:v>41.3</x:v>
      </x:c>
      <x:c r="G97" s="1">
        <x:v>300.1</x:v>
      </x:c>
      <x:c r="H97" s="1">
        <x:v>3.0</x:v>
      </x:c>
      <x:c r="I97" s="1">
        <x:v>0.8</x:v>
      </x:c>
      <x:c r="J97" s="1">
        <x:v>197.9</x:v>
      </x:c>
      <x:c r="K97" s="18">
        <x:f t="shared" si="1"/>
        <x:v>42.61111111</x:v>
      </x:c>
      <x:c r="L97" s="18">
        <x:f t="shared" si="2"/>
        <x:v>14.19340881</x:v>
      </x:c>
      <x:c r="M97" s="119"/>
      <x:c r="N97" s="119"/>
      <x:c r="O97" s="119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 ht="14.25" customHeight="1">
      <x:c r="B98" s="1" t="s">
        <x:v>489</x:v>
      </x:c>
      <x:c r="C98" s="1">
        <x:v>166.0</x:v>
      </x:c>
      <x:c r="D98" s="1">
        <x:v>708.7</x:v>
      </x:c>
      <x:c r="E98" s="1">
        <x:v>3.9</x:v>
      </x:c>
      <x:c r="F98" s="1">
        <x:v>34.0</x:v>
      </x:c>
      <x:c r="G98" s="1">
        <x:v>211.0</x:v>
      </x:c>
      <x:c r="H98" s="1">
        <x:v>1.0</x:v>
      </x:c>
      <x:c r="I98" s="1">
        <x:v>1.0</x:v>
      </x:c>
      <x:c r="J98" s="1">
        <x:v>158.4</x:v>
      </x:c>
      <x:c r="K98" s="18">
        <x:f t="shared" si="1"/>
        <x:v>39.37222222</x:v>
      </x:c>
      <x:c r="L98" s="18">
        <x:f t="shared" si="2"/>
        <x:v>9.979371069</x:v>
      </x:c>
      <x:c r="M98" s="119"/>
      <x:c r="N98" s="119"/>
      <x:c r="O98" s="119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 ht="14.25" customHeight="1">
      <x:c r="A99" s="1" t="s">
        <x:v>635</x:v>
      </x:c>
      <x:c r="B99" s="1" t="s">
        <x:v>523</x:v>
      </x:c>
      <x:c r="C99" s="1">
        <x:v>113.6</x:v>
      </x:c>
      <x:c r="D99" s="1">
        <x:v>498.8</x:v>
      </x:c>
      <x:c r="E99" s="1">
        <x:v>3.9</x:v>
      </x:c>
      <x:c r="F99" s="1">
        <x:v>49.7</x:v>
      </x:c>
      <x:c r="G99" s="1">
        <x:v>352.0</x:v>
      </x:c>
      <x:c r="H99" s="1">
        <x:v>2.0</x:v>
      </x:c>
      <x:c r="I99" s="1">
        <x:v>0.9</x:v>
      </x:c>
      <x:c r="J99" s="1">
        <x:v>168.2</x:v>
      </x:c>
      <x:c r="K99" s="18">
        <x:f t="shared" si="1"/>
        <x:v>27.71111111</x:v>
      </x:c>
      <x:c r="L99" s="18">
        <x:f t="shared" si="2"/>
        <x:v>16.64805031</x:v>
      </x:c>
      <x:c r="M99" s="119" t="n">
        <x:f>C101*Scoring!$B$32+D101/Scoring!$C$32+E101*Scoring!$D$32+F101*Scoring!$E$32+G101/Scoring!$F$32+H101*Scoring!$G$32+I101*Scoring!$H$32+K101*Scoring!$I$32+RB!L101*Scoring!$J$32+U99</x:f>
        <x:v>118.9</x:v>
      </x:c>
      <x:c r="N99" s="119" t="n">
        <x:f>C99*Scoring!$B$32+D99/Scoring!$C$32+E99*Scoring!$D$32+F99*Scoring!$E$32+G99/Scoring!$F$32+H99*Scoring!$G$32+I99*Scoring!$H$32+K99*Scoring!$I$32+RB!L99*Scoring!$J$32+U99</x:f>
        <x:v>144.42999999999998</x:v>
      </x:c>
      <x:c r="O99" s="119" t="n">
        <x:f>C100*Scoring!$B$32+D100/Scoring!$C$32+E100*Scoring!$D$32+F100*Scoring!$E$32+G100/Scoring!$F$32+H100*Scoring!$G$32+I100*Scoring!$H$32+K100*Scoring!$I$32+L100*Scoring!$J$32+U99</x:f>
        <x:v>166.29999999999998</x:v>
      </x:c>
      <x:c r="P99" s="9" t="n">
        <x:f>IF(COUNTIF(Rookies!$A:$A,A99)&gt;0,1,0)</x:f>
        <x:v>0</x:v>
      </x:c>
      <x:c r="Q99" s="9"/>
      <x:c r="R99" s="9"/>
      <x:c r="S99" s="9" t="n">
        <x:f>V99/17</x:f>
        <x:v>8.495882352941175</x:v>
      </x:c>
      <x:c r="T99" s="9" t="n">
        <x:f>IF(P99=1,MAX(0,0.258*(14.9-S99)),0)</x:f>
        <x:v>0</x:v>
      </x:c>
      <x:c r="U99" s="9" t="n">
        <x:f>T99*17</x:f>
        <x:v>0</x:v>
      </x:c>
      <x:c r="V99" s="9" t="n">
        <x:f>C99*Scoring!$B$32+D99/Scoring!$C$32+E99*Scoring!$D$32+F99*Scoring!$E$32+G99/Scoring!$F$32+H99*Scoring!$G$32+I99*Scoring!$H$32+K99*Scoring!$I$32+RB!L99*Scoring!$J$32</x:f>
        <x:v>144.42999999999998</x:v>
      </x:c>
      <x:c r="W99" s="9"/>
      <x:c r="X99" s="9"/>
      <x:c r="Y99" s="9"/>
      <x:c r="Z99" s="9"/>
    </x:row>
    <x:row r="100" ht="14.25" customHeight="1">
      <x:c r="B100" s="1" t="s">
        <x:v>488</x:v>
      </x:c>
      <x:c r="C100" s="1">
        <x:v>123.0</x:v>
      </x:c>
      <x:c r="D100" s="1">
        <x:v>536.0</x:v>
      </x:c>
      <x:c r="E100" s="1">
        <x:v>4.6</x:v>
      </x:c>
      <x:c r="F100" s="1">
        <x:v>60.0</x:v>
      </x:c>
      <x:c r="G100" s="1">
        <x:v>439.0</x:v>
      </x:c>
      <x:c r="H100" s="1">
        <x:v>2.0</x:v>
      </x:c>
      <x:c r="I100" s="1">
        <x:v>0.8</x:v>
      </x:c>
      <x:c r="J100" s="1">
        <x:v>175.4</x:v>
      </x:c>
      <x:c r="K100" s="18">
        <x:f t="shared" si="1"/>
        <x:v>29.77777778</x:v>
      </x:c>
      <x:c r="L100" s="18">
        <x:f t="shared" si="2"/>
        <x:v>20.7627673</x:v>
      </x:c>
      <x:c r="M100" s="119"/>
      <x:c r="N100" s="119"/>
      <x:c r="O100" s="119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  <x:row r="101" ht="14.25" customHeight="1">
      <x:c r="B101" s="1" t="s">
        <x:v>489</x:v>
      </x:c>
      <x:c r="C101" s="1">
        <x:v>100.0</x:v>
      </x:c>
      <x:c r="D101" s="1">
        <x:v>439.0</x:v>
      </x:c>
      <x:c r="E101" s="1">
        <x:v>3.0</x:v>
      </x:c>
      <x:c r="F101" s="1">
        <x:v>37.0</x:v>
      </x:c>
      <x:c r="G101" s="1">
        <x:v>275.0</x:v>
      </x:c>
      <x:c r="H101" s="1">
        <x:v>2.0</x:v>
      </x:c>
      <x:c r="I101" s="1">
        <x:v>1.0</x:v>
      </x:c>
      <x:c r="J101" s="1">
        <x:v>164.7</x:v>
      </x:c>
      <x:c r="K101" s="18">
        <x:f t="shared" si="1"/>
        <x:v>24.38888889</x:v>
      </x:c>
      <x:c r="L101" s="18">
        <x:f t="shared" si="2"/>
        <x:v>13.00628931</x:v>
      </x:c>
      <x:c r="M101" s="119"/>
      <x:c r="N101" s="119"/>
      <x:c r="O101" s="119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</x:row>
    <x:row r="102" ht="14.25" customHeight="1">
      <x:c r="A102" s="1" t="s">
        <x:v>636</x:v>
      </x:c>
      <x:c r="B102" s="1" t="s">
        <x:v>537</x:v>
      </x:c>
      <x:c r="C102" s="1">
        <x:v>188.3</x:v>
      </x:c>
      <x:c r="D102" s="1">
        <x:v>777.9</x:v>
      </x:c>
      <x:c r="E102" s="1">
        <x:v>5.1</x:v>
      </x:c>
      <x:c r="F102" s="1">
        <x:v>29.6</x:v>
      </x:c>
      <x:c r="G102" s="1">
        <x:v>225.2</x:v>
      </x:c>
      <x:c r="H102" s="1">
        <x:v>1.1</x:v>
      </x:c>
      <x:c r="I102" s="1">
        <x:v>1.5</x:v>
      </x:c>
      <x:c r="J102" s="1">
        <x:v>164.1</x:v>
      </x:c>
      <x:c r="K102" s="18">
        <x:f t="shared" si="1"/>
        <x:v>43.21666667</x:v>
      </x:c>
      <x:c r="L102" s="18">
        <x:f t="shared" si="2"/>
        <x:v>10.65096855</x:v>
      </x:c>
      <x:c r="M102" s="119" t="n">
        <x:f>C104*Scoring!$B$32+D104/Scoring!$C$32+E104*Scoring!$D$32+F104*Scoring!$E$32+G104/Scoring!$F$32+H104*Scoring!$G$32+I104*Scoring!$H$32+K104*Scoring!$I$32+RB!L104*Scoring!$J$32+U102</x:f>
        <x:v>124.6</x:v>
      </x:c>
      <x:c r="N102" s="119" t="n">
        <x:f>C102*Scoring!$B$32+D102/Scoring!$C$32+E102*Scoring!$D$32+F102*Scoring!$E$32+G102/Scoring!$F$32+H102*Scoring!$G$32+I102*Scoring!$H$32+K102*Scoring!$I$32+RB!L102*Scoring!$J$32+U102</x:f>
        <x:v>150.80999999999997</x:v>
      </x:c>
      <x:c r="O102" s="119" t="n">
        <x:f>C103*Scoring!$B$32+D103/Scoring!$C$32+E103*Scoring!$D$32+F103*Scoring!$E$32+G103/Scoring!$F$32+H103*Scoring!$G$32+I103*Scoring!$H$32+K103*Scoring!$I$32+L103*Scoring!$J$32+U102</x:f>
        <x:v>177.10999999999999</x:v>
      </x:c>
      <x:c r="P102" s="9" t="n">
        <x:f>IF(COUNTIF(Rookies!$A:$A,A102)&gt;0,1,0)</x:f>
        <x:v>0</x:v>
      </x:c>
      <x:c r="Q102" s="9"/>
      <x:c r="R102" s="9"/>
      <x:c r="S102" s="9" t="n">
        <x:f>V102/17</x:f>
        <x:v>8.871176470588233</x:v>
      </x:c>
      <x:c r="T102" s="9" t="n">
        <x:f>IF(P102=1,MAX(0,0.258*(14.9-S102)),0)</x:f>
        <x:v>0</x:v>
      </x:c>
      <x:c r="U102" s="9" t="n">
        <x:f>T102*17</x:f>
        <x:v>0</x:v>
      </x:c>
      <x:c r="V102" s="9" t="n">
        <x:f>C102*Scoring!$B$32+D102/Scoring!$C$32+E102*Scoring!$D$32+F102*Scoring!$E$32+G102/Scoring!$F$32+H102*Scoring!$G$32+I102*Scoring!$H$32+K102*Scoring!$I$32+RB!L102*Scoring!$J$32</x:f>
        <x:v>150.80999999999997</x:v>
      </x:c>
      <x:c r="W102" s="9"/>
      <x:c r="X102" s="9"/>
      <x:c r="Y102" s="9"/>
      <x:c r="Z102" s="9"/>
    </x:row>
    <x:row r="103" ht="14.25" customHeight="1">
      <x:c r="B103" s="1" t="s">
        <x:v>488</x:v>
      </x:c>
      <x:c r="C103" s="1">
        <x:v>214.0</x:v>
      </x:c>
      <x:c r="D103" s="1">
        <x:v>878.0</x:v>
      </x:c>
      <x:c r="E103" s="1">
        <x:v>7.0</x:v>
      </x:c>
      <x:c r="F103" s="1">
        <x:v>32.7</x:v>
      </x:c>
      <x:c r="G103" s="1">
        <x:v>246.6</x:v>
      </x:c>
      <x:c r="H103" s="1">
        <x:v>1.2</x:v>
      </x:c>
      <x:c r="I103" s="1">
        <x:v>0.9</x:v>
      </x:c>
      <x:c r="J103" s="1">
        <x:v>167.6</x:v>
      </x:c>
      <x:c r="K103" s="18">
        <x:f t="shared" si="1"/>
        <x:v>48.77777778</x:v>
      </x:c>
      <x:c r="L103" s="18">
        <x:f t="shared" si="2"/>
        <x:v>11.66309434</x:v>
      </x:c>
      <x:c r="M103" s="119"/>
      <x:c r="N103" s="119"/>
      <x:c r="O103" s="119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  <x:c r="Z103" s="9"/>
    </x:row>
    <x:row r="104" ht="14.25" customHeight="1">
      <x:c r="B104" s="1" t="s">
        <x:v>489</x:v>
      </x:c>
      <x:c r="C104" s="1">
        <x:v>158.0</x:v>
      </x:c>
      <x:c r="D104" s="1">
        <x:v>646.0</x:v>
      </x:c>
      <x:c r="E104" s="1">
        <x:v>4.0</x:v>
      </x:c>
      <x:c r="F104" s="1">
        <x:v>24.0</x:v>
      </x:c>
      <x:c r="G104" s="1">
        <x:v>200.0</x:v>
      </x:c>
      <x:c r="H104" s="1">
        <x:v>1.0</x:v>
      </x:c>
      <x:c r="I104" s="1">
        <x:v>2.0</x:v>
      </x:c>
      <x:c r="J104" s="1">
        <x:v>163.1</x:v>
      </x:c>
      <x:c r="K104" s="18">
        <x:f t="shared" si="1"/>
        <x:v>35.88888889</x:v>
      </x:c>
      <x:c r="L104" s="18">
        <x:f t="shared" si="2"/>
        <x:v>9.459119497</x:v>
      </x:c>
      <x:c r="M104" s="119"/>
      <x:c r="N104" s="119"/>
      <x:c r="O104" s="119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</x:row>
    <x:row r="105" ht="14.25" customHeight="1">
      <x:c r="A105" s="1" t="s">
        <x:v>637</x:v>
      </x:c>
      <x:c r="B105" s="1" t="s">
        <x:v>515</x:v>
      </x:c>
      <x:c r="C105" s="1">
        <x:v>107.6</x:v>
      </x:c>
      <x:c r="D105" s="1">
        <x:v>406.3</x:v>
      </x:c>
      <x:c r="E105" s="1">
        <x:v>4.0</x:v>
      </x:c>
      <x:c r="F105" s="1">
        <x:v>45.9</x:v>
      </x:c>
      <x:c r="G105" s="1">
        <x:v>341.6</x:v>
      </x:c>
      <x:c r="H105" s="1">
        <x:v>3.2</x:v>
      </x:c>
      <x:c r="I105" s="1">
        <x:v>0.7</x:v>
      </x:c>
      <x:c r="J105" s="1">
        <x:v>162.1</x:v>
      </x:c>
      <x:c r="K105" s="18">
        <x:f t="shared" si="1"/>
        <x:v>22.57222222</x:v>
      </x:c>
      <x:c r="L105" s="18">
        <x:f t="shared" si="2"/>
        <x:v>16.1561761</x:v>
      </x:c>
      <x:c r="M105" s="119" t="n">
        <x:f>C107*Scoring!$B$32+D107/Scoring!$C$32+E107*Scoring!$D$32+F107*Scoring!$E$32+G107/Scoring!$F$32+H107*Scoring!$G$32+I107*Scoring!$H$32+K107*Scoring!$I$32+RB!L107*Scoring!$J$32+U105</x:f>
        <x:v>118.19</x:v>
      </x:c>
      <x:c r="N105" s="119" t="n">
        <x:f>C105*Scoring!$B$32+D105/Scoring!$C$32+E105*Scoring!$D$32+F105*Scoring!$E$32+G105/Scoring!$F$32+H105*Scoring!$G$32+I105*Scoring!$H$32+K105*Scoring!$I$32+RB!L105*Scoring!$J$32+U105</x:f>
        <x:v>140.24</x:v>
      </x:c>
      <x:c r="O105" s="119" t="n">
        <x:f>C106*Scoring!$B$32+D106/Scoring!$C$32+E106*Scoring!$D$32+F106*Scoring!$E$32+G106/Scoring!$F$32+H106*Scoring!$G$32+I106*Scoring!$H$32+K106*Scoring!$I$32+L106*Scoring!$J$32+U105</x:f>
        <x:v>173.64</x:v>
      </x:c>
      <x:c r="P105" s="9" t="n">
        <x:f>IF(COUNTIF(Rookies!$A:$A,A105)&gt;0,1,0)</x:f>
        <x:v>0</x:v>
      </x:c>
      <x:c r="Q105" s="9"/>
      <x:c r="R105" s="9"/>
      <x:c r="S105" s="9" t="n">
        <x:f>V105/17</x:f>
        <x:v>8.249411764705883</x:v>
      </x:c>
      <x:c r="T105" s="9" t="n">
        <x:f>IF(P105=1,MAX(0,0.258*(14.9-S105)),0)</x:f>
        <x:v>0</x:v>
      </x:c>
      <x:c r="U105" s="9" t="n">
        <x:f>T105*17</x:f>
        <x:v>0</x:v>
      </x:c>
      <x:c r="V105" s="9" t="n">
        <x:f>C105*Scoring!$B$32+D105/Scoring!$C$32+E105*Scoring!$D$32+F105*Scoring!$E$32+G105/Scoring!$F$32+H105*Scoring!$G$32+I105*Scoring!$H$32+K105*Scoring!$I$32+RB!L105*Scoring!$J$32</x:f>
        <x:v>140.24</x:v>
      </x:c>
      <x:c r="W105" s="9"/>
      <x:c r="X105" s="9"/>
      <x:c r="Y105" s="9"/>
      <x:c r="Z105" s="9"/>
    </x:row>
    <x:row r="106" ht="14.25" customHeight="1">
      <x:c r="B106" s="1" t="s">
        <x:v>488</x:v>
      </x:c>
      <x:c r="C106" s="1">
        <x:v>149.0</x:v>
      </x:c>
      <x:c r="D106" s="1">
        <x:v>530.0</x:v>
      </x:c>
      <x:c r="E106" s="1">
        <x:v>6.0</x:v>
      </x:c>
      <x:c r="F106" s="1">
        <x:v>48.7</x:v>
      </x:c>
      <x:c r="G106" s="1">
        <x:v>366.9</x:v>
      </x:c>
      <x:c r="H106" s="1">
        <x:v>4.0</x:v>
      </x:c>
      <x:c r="I106" s="1">
        <x:v>0.4</x:v>
      </x:c>
      <x:c r="J106" s="1">
        <x:v>173.9</x:v>
      </x:c>
      <x:c r="K106" s="18">
        <x:f t="shared" si="1"/>
        <x:v>29.44444444</x:v>
      </x:c>
      <x:c r="L106" s="18">
        <x:f t="shared" si="2"/>
        <x:v>17.35275472</x:v>
      </x:c>
      <x:c r="M106" s="119"/>
      <x:c r="N106" s="119"/>
      <x:c r="O106" s="119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</x:row>
    <x:row r="107" ht="14.25" customHeight="1">
      <x:c r="B107" s="1" t="s">
        <x:v>489</x:v>
      </x:c>
      <x:c r="C107" s="1">
        <x:v>77.8</x:v>
      </x:c>
      <x:c r="D107" s="1">
        <x:v>315.9</x:v>
      </x:c>
      <x:c r="E107" s="1">
        <x:v>2.9</x:v>
      </x:c>
      <x:c r="F107" s="1">
        <x:v>44.0</x:v>
      </x:c>
      <x:c r="G107" s="1">
        <x:v>326.0</x:v>
      </x:c>
      <x:c r="H107" s="1">
        <x:v>2.6</x:v>
      </x:c>
      <x:c r="I107" s="1">
        <x:v>1.0</x:v>
      </x:c>
      <x:c r="J107" s="1">
        <x:v>146.7</x:v>
      </x:c>
      <x:c r="K107" s="18">
        <x:f t="shared" si="1"/>
        <x:v>17.55</x:v>
      </x:c>
      <x:c r="L107" s="18">
        <x:f t="shared" si="2"/>
        <x:v>15.41836478</x:v>
      </x:c>
      <x:c r="M107" s="119"/>
      <x:c r="N107" s="119"/>
      <x:c r="O107" s="119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</x:row>
    <x:row r="108" ht="14.25" customHeight="1">
      <x:c r="A108" s="1" t="s">
        <x:v>638</x:v>
      </x:c>
      <x:c r="B108" s="1" t="s">
        <x:v>495</x:v>
      </x:c>
      <x:c r="C108" s="1">
        <x:v>137.0</x:v>
      </x:c>
      <x:c r="D108" s="1">
        <x:v>605.6</x:v>
      </x:c>
      <x:c r="E108" s="1">
        <x:v>5.4</x:v>
      </x:c>
      <x:c r="F108" s="1">
        <x:v>35.8</x:v>
      </x:c>
      <x:c r="G108" s="1">
        <x:v>247.9</x:v>
      </x:c>
      <x:c r="H108" s="1">
        <x:v>1.6</x:v>
      </x:c>
      <x:c r="I108" s="1">
        <x:v>0.8</x:v>
      </x:c>
      <x:c r="J108" s="1">
        <x:v>161.3</x:v>
      </x:c>
      <x:c r="K108" s="18">
        <x:f t="shared" si="1"/>
        <x:v>33.64444444</x:v>
      </x:c>
      <x:c r="L108" s="18">
        <x:f t="shared" si="2"/>
        <x:v>11.72457862</x:v>
      </x:c>
      <x:c r="M108" s="119" t="n">
        <x:f>C110*Scoring!$B$32+D110/Scoring!$C$32+E110*Scoring!$D$32+F110*Scoring!$E$32+G110/Scoring!$F$32+H110*Scoring!$G$32+I110*Scoring!$H$32+K110*Scoring!$I$32+RB!L110*Scoring!$J$32+U108</x:f>
        <x:v>118.10000000000001</x:v>
      </x:c>
      <x:c r="N108" s="119" t="n">
        <x:f>C108*Scoring!$B$32+D108/Scoring!$C$32+E108*Scoring!$D$32+F108*Scoring!$E$32+G108/Scoring!$F$32+H108*Scoring!$G$32+I108*Scoring!$H$32+K108*Scoring!$I$32+RB!L108*Scoring!$J$32+U108</x:f>
        <x:v>144.45</x:v>
      </x:c>
      <x:c r="O108" s="119" t="n">
        <x:f>C109*Scoring!$B$32+D109/Scoring!$C$32+E109*Scoring!$D$32+F109*Scoring!$E$32+G109/Scoring!$F$32+H109*Scoring!$G$32+I109*Scoring!$H$32+K109*Scoring!$I$32+L109*Scoring!$J$32+U108</x:f>
        <x:v>170.4</x:v>
      </x:c>
      <x:c r="P108" s="9" t="n">
        <x:f>IF(COUNTIF(Rookies!$A:$A,A108)&gt;0,1,0)</x:f>
        <x:v>0</x:v>
      </x:c>
      <x:c r="Q108" s="9"/>
      <x:c r="R108" s="9"/>
      <x:c r="S108" s="9" t="n">
        <x:f>V108/17</x:f>
        <x:v>8.49705882352941</x:v>
      </x:c>
      <x:c r="T108" s="9" t="n">
        <x:f>IF(P108=1,MAX(0,0.258*(14.9-S108)),0)</x:f>
        <x:v>0</x:v>
      </x:c>
      <x:c r="U108" s="9" t="n">
        <x:f>T108*17</x:f>
        <x:v>0</x:v>
      </x:c>
      <x:c r="V108" s="9" t="n">
        <x:f>C108*Scoring!$B$32+D108/Scoring!$C$32+E108*Scoring!$D$32+F108*Scoring!$E$32+G108/Scoring!$F$32+H108*Scoring!$G$32+I108*Scoring!$H$32+K108*Scoring!$I$32+RB!L108*Scoring!$J$32</x:f>
        <x:v>144.45</x:v>
      </x:c>
      <x:c r="W108" s="9"/>
      <x:c r="X108" s="9"/>
      <x:c r="Y108" s="9"/>
      <x:c r="Z108" s="9"/>
    </x:row>
    <x:row r="109" ht="14.25" customHeight="1">
      <x:c r="B109" s="1" t="s">
        <x:v>488</x:v>
      </x:c>
      <x:c r="C109" s="1">
        <x:v>145.0</x:v>
      </x:c>
      <x:c r="D109" s="1">
        <x:v>710.0</x:v>
      </x:c>
      <x:c r="E109" s="1">
        <x:v>6.0</x:v>
      </x:c>
      <x:c r="F109" s="1">
        <x:v>42.0</x:v>
      </x:c>
      <x:c r="G109" s="1">
        <x:v>310.0</x:v>
      </x:c>
      <x:c r="H109" s="1">
        <x:v>2.0</x:v>
      </x:c>
      <x:c r="I109" s="1">
        <x:v>0.6</x:v>
      </x:c>
      <x:c r="J109" s="1">
        <x:v>183.7</x:v>
      </x:c>
      <x:c r="K109" s="18">
        <x:f t="shared" si="1"/>
        <x:v>39.44444444</x:v>
      </x:c>
      <x:c r="L109" s="18">
        <x:f t="shared" si="2"/>
        <x:v>14.66163522</x:v>
      </x:c>
      <x:c r="M109" s="119"/>
      <x:c r="N109" s="119"/>
      <x:c r="O109" s="119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</x:row>
    <x:row r="110" ht="14.25" customHeight="1">
      <x:c r="B110" s="1" t="s">
        <x:v>489</x:v>
      </x:c>
      <x:c r="C110" s="1">
        <x:v>131.0</x:v>
      </x:c>
      <x:c r="D110" s="1">
        <x:v>539.0</x:v>
      </x:c>
      <x:c r="E110" s="1">
        <x:v>5.0</x:v>
      </x:c>
      <x:c r="F110" s="1">
        <x:v>25.0</x:v>
      </x:c>
      <x:c r="G110" s="1">
        <x:v>167.0</x:v>
      </x:c>
      <x:c r="H110" s="1">
        <x:v>1.0</x:v>
      </x:c>
      <x:c r="I110" s="1">
        <x:v>1.0</x:v>
      </x:c>
      <x:c r="J110" s="1">
        <x:v>145.8</x:v>
      </x:c>
      <x:c r="K110" s="18">
        <x:f t="shared" si="1"/>
        <x:v>29.94444444</x:v>
      </x:c>
      <x:c r="L110" s="18">
        <x:f t="shared" si="2"/>
        <x:v>7.89836478</x:v>
      </x:c>
      <x:c r="M110" s="119"/>
      <x:c r="N110" s="119"/>
      <x:c r="O110" s="119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</x:row>
    <x:row r="111" ht="14.25" customHeight="1">
      <x:c r="A111" s="1" t="s">
        <x:v>639</x:v>
      </x:c>
      <x:c r="B111" s="1" t="s">
        <x:v>525</x:v>
      </x:c>
      <x:c r="C111" s="1">
        <x:v>149.9</x:v>
      </x:c>
      <x:c r="D111" s="1">
        <x:v>638.8</x:v>
      </x:c>
      <x:c r="E111" s="1">
        <x:v>3.1</x:v>
      </x:c>
      <x:c r="F111" s="1">
        <x:v>40.7</x:v>
      </x:c>
      <x:c r="G111" s="1">
        <x:v>300.7</x:v>
      </x:c>
      <x:c r="H111" s="1">
        <x:v>1.7</x:v>
      </x:c>
      <x:c r="I111" s="1">
        <x:v>1.0</x:v>
      </x:c>
      <x:c r="J111" s="1">
        <x:v>161.2</x:v>
      </x:c>
      <x:c r="K111" s="18">
        <x:f t="shared" si="1"/>
        <x:v>35.48888889</x:v>
      </x:c>
      <x:c r="L111" s="18">
        <x:f t="shared" si="2"/>
        <x:v>14.22178616</x:v>
      </x:c>
      <x:c r="M111" s="119" t="n">
        <x:f>C113*Scoring!$B$32+D113/Scoring!$C$32+E113*Scoring!$D$32+F113*Scoring!$E$32+G113/Scoring!$F$32+H113*Scoring!$G$32+I113*Scoring!$H$32+K113*Scoring!$I$32+RB!L113*Scoring!$J$32+U111</x:f>
        <x:v>128.5</x:v>
      </x:c>
      <x:c r="N111" s="119" t="n">
        <x:f>C111*Scoring!$B$32+D111/Scoring!$C$32+E111*Scoring!$D$32+F111*Scoring!$E$32+G111/Scoring!$F$32+H111*Scoring!$G$32+I111*Scoring!$H$32+K111*Scoring!$I$32+RB!L111*Scoring!$J$32+U111</x:f>
        <x:v>142.09999999999997</x:v>
      </x:c>
      <x:c r="O111" s="119" t="n">
        <x:f>C112*Scoring!$B$32+D112/Scoring!$C$32+E112*Scoring!$D$32+F112*Scoring!$E$32+G112/Scoring!$F$32+H112*Scoring!$G$32+I112*Scoring!$H$32+K112*Scoring!$I$32+L112*Scoring!$J$32+U111</x:f>
        <x:v>154.92</x:v>
      </x:c>
      <x:c r="P111" s="9" t="n">
        <x:f>IF(COUNTIF(Rookies!$A:$A,A111)&gt;0,1,0)</x:f>
        <x:v>0</x:v>
      </x:c>
      <x:c r="Q111" s="9"/>
      <x:c r="R111" s="9"/>
      <x:c r="S111" s="9" t="n">
        <x:f>V111/17</x:f>
        <x:v>8.358823529411763</x:v>
      </x:c>
      <x:c r="T111" s="9" t="n">
        <x:f>IF(P111=1,MAX(0,0.258*(14.9-S111)),0)</x:f>
        <x:v>0</x:v>
      </x:c>
      <x:c r="U111" s="9" t="n">
        <x:f>T111*17</x:f>
        <x:v>0</x:v>
      </x:c>
      <x:c r="V111" s="9" t="n">
        <x:f>C111*Scoring!$B$32+D111/Scoring!$C$32+E111*Scoring!$D$32+F111*Scoring!$E$32+G111/Scoring!$F$32+H111*Scoring!$G$32+I111*Scoring!$H$32+K111*Scoring!$I$32+RB!L111*Scoring!$J$32</x:f>
        <x:v>142.09999999999997</x:v>
      </x:c>
      <x:c r="W111" s="9"/>
      <x:c r="X111" s="9"/>
      <x:c r="Y111" s="9"/>
      <x:c r="Z111" s="9"/>
    </x:row>
    <x:row r="112" ht="14.25" customHeight="1">
      <x:c r="B112" s="1" t="s">
        <x:v>488</x:v>
      </x:c>
      <x:c r="C112" s="1">
        <x:v>157.0</x:v>
      </x:c>
      <x:c r="D112" s="1">
        <x:v>662.0</x:v>
      </x:c>
      <x:c r="E112" s="1">
        <x:v>3.2</x:v>
      </x:c>
      <x:c r="F112" s="1">
        <x:v>47.0</x:v>
      </x:c>
      <x:c r="G112" s="1">
        <x:v>344.2</x:v>
      </x:c>
      <x:c r="H112" s="1">
        <x:v>2.1</x:v>
      </x:c>
      <x:c r="I112" s="1">
        <x:v>1.0</x:v>
      </x:c>
      <x:c r="J112" s="1">
        <x:v>170.7</x:v>
      </x:c>
      <x:c r="K112" s="18">
        <x:f t="shared" si="1"/>
        <x:v>36.77777778</x:v>
      </x:c>
      <x:c r="L112" s="18">
        <x:f t="shared" si="2"/>
        <x:v>16.27914465</x:v>
      </x:c>
      <x:c r="M112" s="119"/>
      <x:c r="N112" s="119"/>
      <x:c r="O112" s="119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  <x:c r="Z112" s="9"/>
    </x:row>
    <x:row r="113" ht="14.25" customHeight="1">
      <x:c r="B113" s="1" t="s">
        <x:v>489</x:v>
      </x:c>
      <x:c r="C113" s="1">
        <x:v>143.0</x:v>
      </x:c>
      <x:c r="D113" s="1">
        <x:v>602.0</x:v>
      </x:c>
      <x:c r="E113" s="1">
        <x:v>3.0</x:v>
      </x:c>
      <x:c r="F113" s="1">
        <x:v>37.0</x:v>
      </x:c>
      <x:c r="G113" s="1">
        <x:v>268.0</x:v>
      </x:c>
      <x:c r="H113" s="1">
        <x:v>1.0</x:v>
      </x:c>
      <x:c r="I113" s="1">
        <x:v>1.0</x:v>
      </x:c>
      <x:c r="J113" s="1">
        <x:v>145.7</x:v>
      </x:c>
      <x:c r="K113" s="18">
        <x:f t="shared" si="1"/>
        <x:v>33.44444444</x:v>
      </x:c>
      <x:c r="L113" s="18">
        <x:f t="shared" si="2"/>
        <x:v>12.67522013</x:v>
      </x:c>
      <x:c r="M113" s="119"/>
      <x:c r="N113" s="119"/>
      <x:c r="O113" s="119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</x:row>
    <x:row r="114" ht="14.25" customHeight="1">
      <x:c r="A114" s="1" t="s">
        <x:v>640</x:v>
      </x:c>
      <x:c r="B114" s="1" t="s">
        <x:v>511</x:v>
      </x:c>
      <x:c r="C114" s="1">
        <x:v>191.3</x:v>
      </x:c>
      <x:c r="D114" s="1">
        <x:v>818.0</x:v>
      </x:c>
      <x:c r="E114" s="1">
        <x:v>5.2</x:v>
      </x:c>
      <x:c r="F114" s="1">
        <x:v>22.9</x:v>
      </x:c>
      <x:c r="G114" s="1">
        <x:v>195.0</x:v>
      </x:c>
      <x:c r="H114" s="1">
        <x:v>0.4</x:v>
      </x:c>
      <x:c r="I114" s="1">
        <x:v>0.7</x:v>
      </x:c>
      <x:c r="J114" s="1">
        <x:v>156.2</x:v>
      </x:c>
      <x:c r="K114" s="18">
        <x:f t="shared" si="1"/>
        <x:v>45.44444444</x:v>
      </x:c>
      <x:c r="L114" s="18">
        <x:f t="shared" si="2"/>
        <x:v>9.222641509</x:v>
      </x:c>
      <x:c r="M114" s="119" t="n">
        <x:f>C116*Scoring!$B$32+D116/Scoring!$C$32+E116*Scoring!$D$32+F116*Scoring!$E$32+G116/Scoring!$F$32+H116*Scoring!$G$32+I116*Scoring!$H$32+K116*Scoring!$I$32+RB!L116*Scoring!$J$32+U114</x:f>
        <x:v>126.7</x:v>
      </x:c>
      <x:c r="N114" s="119" t="n">
        <x:f>C114*Scoring!$B$32+D114/Scoring!$C$32+E114*Scoring!$D$32+F114*Scoring!$E$32+G114/Scoring!$F$32+H114*Scoring!$G$32+I114*Scoring!$H$32+K114*Scoring!$I$32+RB!L114*Scoring!$J$32+U114</x:f>
        <x:v>145.65</x:v>
      </x:c>
      <x:c r="O114" s="119" t="n">
        <x:f>C115*Scoring!$B$32+D115/Scoring!$C$32+E115*Scoring!$D$32+F115*Scoring!$E$32+G115/Scoring!$F$32+H115*Scoring!$G$32+I115*Scoring!$H$32+K115*Scoring!$I$32+L115*Scoring!$J$32+U114</x:f>
        <x:v>166.15</x:v>
      </x:c>
      <x:c r="P114" s="9" t="n">
        <x:f>IF(COUNTIF(Rookies!$A:$A,A114)&gt;0,1,0)</x:f>
        <x:v>0</x:v>
      </x:c>
      <x:c r="Q114" s="9"/>
      <x:c r="R114" s="9"/>
      <x:c r="S114" s="9" t="n">
        <x:f>V114/17</x:f>
        <x:v>8.56764705882353</x:v>
      </x:c>
      <x:c r="T114" s="9" t="n">
        <x:f>IF(P114=1,MAX(0,0.258*(14.9-S114)),0)</x:f>
        <x:v>0</x:v>
      </x:c>
      <x:c r="U114" s="9" t="n">
        <x:f>T114*17</x:f>
        <x:v>0</x:v>
      </x:c>
      <x:c r="V114" s="9" t="n">
        <x:f>C114*Scoring!$B$32+D114/Scoring!$C$32+E114*Scoring!$D$32+F114*Scoring!$E$32+G114/Scoring!$F$32+H114*Scoring!$G$32+I114*Scoring!$H$32+K114*Scoring!$I$32+RB!L114*Scoring!$J$32</x:f>
        <x:v>145.65</x:v>
      </x:c>
      <x:c r="W114" s="9"/>
      <x:c r="X114" s="9"/>
      <x:c r="Y114" s="9"/>
      <x:c r="Z114" s="9"/>
    </x:row>
    <x:row r="115" ht="14.25" customHeight="1">
      <x:c r="B115" s="1" t="s">
        <x:v>488</x:v>
      </x:c>
      <x:c r="C115" s="1">
        <x:v>206.0</x:v>
      </x:c>
      <x:c r="D115" s="1">
        <x:v>854.0</x:v>
      </x:c>
      <x:c r="E115" s="1">
        <x:v>6.5</x:v>
      </x:c>
      <x:c r="F115" s="1">
        <x:v>25.7</x:v>
      </x:c>
      <x:c r="G115" s="1">
        <x:v>215.0</x:v>
      </x:c>
      <x:c r="H115" s="1">
        <x:v>1.3</x:v>
      </x:c>
      <x:c r="I115" s="1">
        <x:v>0.4</x:v>
      </x:c>
      <x:c r="J115" s="1">
        <x:v>173.4</x:v>
      </x:c>
      <x:c r="K115" s="18">
        <x:f t="shared" si="1"/>
        <x:v>47.44444444</x:v>
      </x:c>
      <x:c r="L115" s="18">
        <x:f t="shared" si="2"/>
        <x:v>10.16855346</x:v>
      </x:c>
      <x:c r="M115" s="119"/>
      <x:c r="N115" s="119"/>
      <x:c r="O115" s="119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</x:row>
    <x:row r="116" ht="14.25" customHeight="1">
      <x:c r="B116" s="1" t="s">
        <x:v>489</x:v>
      </x:c>
      <x:c r="C116" s="1">
        <x:v>176.0</x:v>
      </x:c>
      <x:c r="D116" s="1">
        <x:v>775.0</x:v>
      </x:c>
      <x:c r="E116" s="1">
        <x:v>4.0</x:v>
      </x:c>
      <x:c r="F116" s="1">
        <x:v>20.0</x:v>
      </x:c>
      <x:c r="G116" s="1">
        <x:v>162.0</x:v>
      </x:c>
      <x:c r="H116" s="1">
        <x:v>0.0</x:v>
      </x:c>
      <x:c r="I116" s="1">
        <x:v>1.0</x:v>
      </x:c>
      <x:c r="J116" s="1">
        <x:v>141.9</x:v>
      </x:c>
      <x:c r="K116" s="18">
        <x:f t="shared" si="1"/>
        <x:v>43.05555556</x:v>
      </x:c>
      <x:c r="L116" s="18">
        <x:f t="shared" si="2"/>
        <x:v>7.661886792</x:v>
      </x:c>
      <x:c r="M116" s="119"/>
      <x:c r="N116" s="119"/>
      <x:c r="O116" s="119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  <x:c r="Z116" s="9"/>
    </x:row>
    <x:row r="117" ht="14.25" customHeight="1">
      <x:c r="A117" s="1" t="s">
        <x:v>641</x:v>
      </x:c>
      <x:c r="B117" s="1" t="s">
        <x:v>495</x:v>
      </x:c>
      <x:c r="C117" s="1">
        <x:v>185.1</x:v>
      </x:c>
      <x:c r="D117" s="1">
        <x:v>831.7</x:v>
      </x:c>
      <x:c r="E117" s="1">
        <x:v>7.5</x:v>
      </x:c>
      <x:c r="F117" s="1">
        <x:v>12.4</x:v>
      </x:c>
      <x:c r="G117" s="1">
        <x:v>91.3</x:v>
      </x:c>
      <x:c r="H117" s="1">
        <x:v>0.2</x:v>
      </x:c>
      <x:c r="I117" s="1">
        <x:v>1.8</x:v>
      </x:c>
      <x:c r="J117" s="1">
        <x:v>147.4</x:v>
      </x:c>
      <x:c r="K117" s="18">
        <x:f t="shared" si="1"/>
        <x:v>46.20555556</x:v>
      </x:c>
      <x:c r="L117" s="18">
        <x:f t="shared" si="2"/>
        <x:v>4.31808805</x:v>
      </x:c>
      <x:c r="M117" s="119" t="n">
        <x:f>C119*Scoring!$B$32+D119/Scoring!$C$32+E119*Scoring!$D$32+F119*Scoring!$E$32+G119/Scoring!$F$32+H119*Scoring!$G$32+I119*Scoring!$H$32+K119*Scoring!$I$32+RB!L119*Scoring!$J$32+U117</x:f>
        <x:v>130.4</x:v>
      </x:c>
      <x:c r="N117" s="119" t="n">
        <x:f>C117*Scoring!$B$32+D117/Scoring!$C$32+E117*Scoring!$D$32+F117*Scoring!$E$32+G117/Scoring!$F$32+H117*Scoring!$G$32+I117*Scoring!$H$32+K117*Scoring!$I$32+RB!L117*Scoring!$J$32+U117</x:f>
        <x:v>142.89999999999998</x:v>
      </x:c>
      <x:c r="O117" s="119" t="n">
        <x:f>C118*Scoring!$B$32+D118/Scoring!$C$32+E118*Scoring!$D$32+F118*Scoring!$E$32+G118/Scoring!$F$32+H118*Scoring!$G$32+I118*Scoring!$H$32+K118*Scoring!$I$32+L118*Scoring!$J$32+U117</x:f>
        <x:v>156.55</x:v>
      </x:c>
      <x:c r="P117" s="9" t="n">
        <x:f>IF(COUNTIF(Rookies!$A:$A,A117)&gt;0,1,0)</x:f>
        <x:v>0</x:v>
      </x:c>
      <x:c r="Q117" s="9"/>
      <x:c r="R117" s="9"/>
      <x:c r="S117" s="9" t="n">
        <x:f>V117/17</x:f>
        <x:v>8.405882352941175</x:v>
      </x:c>
      <x:c r="T117" s="9" t="n">
        <x:f>IF(P117=1,MAX(0,0.258*(14.9-S117)),0)</x:f>
        <x:v>0</x:v>
      </x:c>
      <x:c r="U117" s="9" t="n">
        <x:f>T117*17</x:f>
        <x:v>0</x:v>
      </x:c>
      <x:c r="V117" s="9" t="n">
        <x:f>C117*Scoring!$B$32+D117/Scoring!$C$32+E117*Scoring!$D$32+F117*Scoring!$E$32+G117/Scoring!$F$32+H117*Scoring!$G$32+I117*Scoring!$H$32+K117*Scoring!$I$32+RB!L117*Scoring!$J$32</x:f>
        <x:v>142.89999999999998</x:v>
      </x:c>
      <x:c r="W117" s="9"/>
      <x:c r="X117" s="9"/>
      <x:c r="Y117" s="9"/>
      <x:c r="Z117" s="9"/>
    </x:row>
    <x:row r="118" ht="14.25" customHeight="1">
      <x:c r="B118" s="1" t="s">
        <x:v>488</x:v>
      </x:c>
      <x:c r="C118" s="1">
        <x:v>196.3</x:v>
      </x:c>
      <x:c r="D118" s="1">
        <x:v>859.0</x:v>
      </x:c>
      <x:c r="E118" s="1">
        <x:v>8.0</x:v>
      </x:c>
      <x:c r="F118" s="1">
        <x:v>16.1</x:v>
      </x:c>
      <x:c r="G118" s="1">
        <x:v>119.0</x:v>
      </x:c>
      <x:c r="H118" s="1">
        <x:v>0.7</x:v>
      </x:c>
      <x:c r="I118" s="1">
        <x:v>1.5</x:v>
      </x:c>
      <x:c r="J118" s="1">
        <x:v>155.8</x:v>
      </x:c>
      <x:c r="K118" s="18">
        <x:f t="shared" si="1"/>
        <x:v>47.72222222</x:v>
      </x:c>
      <x:c r="L118" s="18">
        <x:f t="shared" si="2"/>
        <x:v>5.628176101</x:v>
      </x:c>
      <x:c r="M118" s="119"/>
      <x:c r="N118" s="119"/>
      <x:c r="O118" s="119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</x:row>
    <x:row r="119" ht="14.25" customHeight="1">
      <x:c r="B119" s="1" t="s">
        <x:v>489</x:v>
      </x:c>
      <x:c r="C119" s="1">
        <x:v>179.0</x:v>
      </x:c>
      <x:c r="D119" s="1">
        <x:v>788.0</x:v>
      </x:c>
      <x:c r="E119" s="1">
        <x:v>7.0</x:v>
      </x:c>
      <x:c r="F119" s="1">
        <x:v>9.0</x:v>
      </x:c>
      <x:c r="G119" s="1">
        <x:v>71.0</x:v>
      </x:c>
      <x:c r="H119" s="1">
        <x:v>0.0</x:v>
      </x:c>
      <x:c r="I119" s="1">
        <x:v>2.0</x:v>
      </x:c>
      <x:c r="J119" s="1">
        <x:v>137.4</x:v>
      </x:c>
      <x:c r="K119" s="18">
        <x:f t="shared" si="1"/>
        <x:v>43.77777778</x:v>
      </x:c>
      <x:c r="L119" s="18">
        <x:f t="shared" si="2"/>
        <x:v>3.357987421</x:v>
      </x:c>
      <x:c r="M119" s="119"/>
      <x:c r="N119" s="119"/>
      <x:c r="O119" s="119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</x:row>
    <x:row r="120" ht="14.25" customHeight="1">
      <x:c r="A120" s="1" t="s">
        <x:v>642</x:v>
      </x:c>
      <x:c r="B120" s="1" t="s">
        <x:v>525</x:v>
      </x:c>
      <x:c r="C120" s="1">
        <x:v>192.8</x:v>
      </x:c>
      <x:c r="D120" s="1">
        <x:v>878.7</x:v>
      </x:c>
      <x:c r="E120" s="1">
        <x:v>6.1</x:v>
      </x:c>
      <x:c r="F120" s="1">
        <x:v>14.5</x:v>
      </x:c>
      <x:c r="G120" s="1">
        <x:v>75.8</x:v>
      </x:c>
      <x:c r="H120" s="1">
        <x:v>0.1</x:v>
      </x:c>
      <x:c r="I120" s="1">
        <x:v>1.1</x:v>
      </x:c>
      <x:c r="J120" s="1">
        <x:v>145.2</x:v>
      </x:c>
      <x:c r="K120" s="18">
        <x:f t="shared" si="1"/>
        <x:v>48.81666667</x:v>
      </x:c>
      <x:c r="L120" s="18">
        <x:f t="shared" si="2"/>
        <x:v>3.585006289</x:v>
      </x:c>
      <x:c r="M120" s="119" t="n">
        <x:f>C122*Scoring!$B$32+D122/Scoring!$C$32+E122*Scoring!$D$32+F122*Scoring!$E$32+G122/Scoring!$F$32+H122*Scoring!$G$32+I122*Scoring!$H$32+K122*Scoring!$I$32+RB!L122*Scoring!$J$32+U120</x:f>
        <x:v>124.1</x:v>
      </x:c>
      <x:c r="N120" s="119" t="n">
        <x:f>C120*Scoring!$B$32+D120/Scoring!$C$32+E120*Scoring!$D$32+F120*Scoring!$E$32+G120/Scoring!$F$32+H120*Scoring!$G$32+I120*Scoring!$H$32+K120*Scoring!$I$32+RB!L120*Scoring!$J$32+U120</x:f>
        <x:v>138.8</x:v>
      </x:c>
      <x:c r="O120" s="119" t="n">
        <x:f>C121*Scoring!$B$32+D121/Scoring!$C$32+E121*Scoring!$D$32+F121*Scoring!$E$32+G121/Scoring!$F$32+H121*Scoring!$G$32+I121*Scoring!$H$32+K121*Scoring!$I$32+L121*Scoring!$J$32+U120</x:f>
        <x:v>150.74</x:v>
      </x:c>
      <x:c r="P120" s="9" t="n">
        <x:f>IF(COUNTIF(Rookies!$A:$A,A120)&gt;0,1,0)</x:f>
        <x:v>0</x:v>
      </x:c>
      <x:c r="Q120" s="9"/>
      <x:c r="R120" s="9"/>
      <x:c r="S120" s="9" t="n">
        <x:f>V120/17</x:f>
        <x:v>8.164705882352942</x:v>
      </x:c>
      <x:c r="T120" s="9" t="n">
        <x:f>IF(P120=1,MAX(0,0.258*(14.9-S120)),0)</x:f>
        <x:v>0</x:v>
      </x:c>
      <x:c r="U120" s="9" t="n">
        <x:f>T120*17</x:f>
        <x:v>0</x:v>
      </x:c>
      <x:c r="V120" s="9" t="n">
        <x:f>C120*Scoring!$B$32+D120/Scoring!$C$32+E120*Scoring!$D$32+F120*Scoring!$E$32+G120/Scoring!$F$32+H120*Scoring!$G$32+I120*Scoring!$H$32+K120*Scoring!$I$32+RB!L120*Scoring!$J$32</x:f>
        <x:v>138.8</x:v>
      </x:c>
      <x:c r="W120" s="9"/>
      <x:c r="X120" s="9"/>
      <x:c r="Y120" s="9"/>
      <x:c r="Z120" s="9"/>
    </x:row>
    <x:row r="121" ht="14.25" customHeight="1">
      <x:c r="B121" s="1" t="s">
        <x:v>488</x:v>
      </x:c>
      <x:c r="C121" s="1">
        <x:v>195.0</x:v>
      </x:c>
      <x:c r="D121" s="1">
        <x:v>906.0</x:v>
      </x:c>
      <x:c r="E121" s="1">
        <x:v>7.0</x:v>
      </x:c>
      <x:c r="F121" s="1">
        <x:v>18.0</x:v>
      </x:c>
      <x:c r="G121" s="1">
        <x:v>83.4</x:v>
      </x:c>
      <x:c r="H121" s="1">
        <x:v>0.3</x:v>
      </x:c>
      <x:c r="I121" s="1">
        <x:v>1.0</x:v>
      </x:c>
      <x:c r="J121" s="1">
        <x:v>151.6</x:v>
      </x:c>
      <x:c r="K121" s="18">
        <x:f t="shared" si="1"/>
        <x:v>50.33333333</x:v>
      </x:c>
      <x:c r="L121" s="18">
        <x:f t="shared" si="2"/>
        <x:v>3.94445283</x:v>
      </x:c>
      <x:c r="M121" s="119"/>
      <x:c r="N121" s="119"/>
      <x:c r="O121" s="119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  <x:c r="Z121" s="9"/>
    </x:row>
    <x:row r="122" ht="14.25" customHeight="1">
      <x:c r="B122" s="1" t="s">
        <x:v>489</x:v>
      </x:c>
      <x:c r="C122" s="1">
        <x:v>189.0</x:v>
      </x:c>
      <x:c r="D122" s="1">
        <x:v>831.0</x:v>
      </x:c>
      <x:c r="E122" s="1">
        <x:v>5.0</x:v>
      </x:c>
      <x:c r="F122" s="1">
        <x:v>12.0</x:v>
      </x:c>
      <x:c r="G122" s="1">
        <x:v>62.0</x:v>
      </x:c>
      <x:c r="H122" s="1">
        <x:v>0.0</x:v>
      </x:c>
      <x:c r="I122" s="1">
        <x:v>1.2</x:v>
      </x:c>
      <x:c r="J122" s="1">
        <x:v>139.8</x:v>
      </x:c>
      <x:c r="K122" s="18">
        <x:f t="shared" si="1"/>
        <x:v>46.16666667</x:v>
      </x:c>
      <x:c r="L122" s="18">
        <x:f t="shared" si="2"/>
        <x:v>2.932327044</x:v>
      </x:c>
      <x:c r="M122" s="119"/>
      <x:c r="N122" s="119"/>
      <x:c r="O122" s="119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  <x:c r="Z122" s="9"/>
    </x:row>
    <x:row r="123" ht="14.25" customHeight="1">
      <x:c r="A123" s="1" t="s">
        <x:v>643</x:v>
      </x:c>
      <x:c r="B123" s="1" t="s">
        <x:v>517</x:v>
      </x:c>
      <x:c r="C123" s="1">
        <x:v>167.6</x:v>
      </x:c>
      <x:c r="D123" s="1">
        <x:v>801.5</x:v>
      </x:c>
      <x:c r="E123" s="1">
        <x:v>6.4</x:v>
      </x:c>
      <x:c r="F123" s="1">
        <x:v>11.9</x:v>
      </x:c>
      <x:c r="G123" s="1">
        <x:v>80.4</x:v>
      </x:c>
      <x:c r="H123" s="1">
        <x:v>0.2</x:v>
      </x:c>
      <x:c r="I123" s="1">
        <x:v>0.7</x:v>
      </x:c>
      <x:c r="J123" s="1">
        <x:v>138.6</x:v>
      </x:c>
      <x:c r="K123" s="18">
        <x:f t="shared" si="1"/>
        <x:v>44.52777778</x:v>
      </x:c>
      <x:c r="L123" s="18">
        <x:f t="shared" si="2"/>
        <x:v>3.802566038</x:v>
      </x:c>
      <x:c r="M123" s="119" t="n">
        <x:f>C125*Scoring!$B$32+D125/Scoring!$C$32+E125*Scoring!$D$32+F125*Scoring!$E$32+G125/Scoring!$F$32+H125*Scoring!$G$32+I125*Scoring!$H$32+K125*Scoring!$I$32+RB!L125*Scoring!$J$32+U123</x:f>
        <x:v>116</x:v>
      </x:c>
      <x:c r="N123" s="119" t="n">
        <x:f>C123*Scoring!$B$32+D123/Scoring!$C$32+E123*Scoring!$D$32+F123*Scoring!$E$32+G123/Scoring!$F$32+H123*Scoring!$G$32+I123*Scoring!$H$32+K123*Scoring!$I$32+RB!L123*Scoring!$J$32+U123</x:f>
        <x:v>133.04000000000002</x:v>
      </x:c>
      <x:c r="O123" s="119" t="n">
        <x:f>C124*Scoring!$B$32+D124/Scoring!$C$32+E124*Scoring!$D$32+F124*Scoring!$E$32+G124/Scoring!$F$32+H124*Scoring!$G$32+I124*Scoring!$H$32+K124*Scoring!$I$32+L124*Scoring!$J$32+U123</x:f>
        <x:v>150.81</x:v>
      </x:c>
      <x:c r="P123" s="9" t="n">
        <x:f>IF(COUNTIF(Rookies!$A:$A,A123)&gt;0,1,0)</x:f>
        <x:v>0</x:v>
      </x:c>
      <x:c r="Q123" s="9"/>
      <x:c r="R123" s="9"/>
      <x:c r="S123" s="9" t="n">
        <x:f>V123/17</x:f>
        <x:v>7.825882352941178</x:v>
      </x:c>
      <x:c r="T123" s="9" t="n">
        <x:f>IF(P123=1,MAX(0,0.258*(14.9-S123)),0)</x:f>
        <x:v>0</x:v>
      </x:c>
      <x:c r="U123" s="9" t="n">
        <x:f>T123*17</x:f>
        <x:v>0</x:v>
      </x:c>
      <x:c r="V123" s="9" t="n">
        <x:f>C123*Scoring!$B$32+D123/Scoring!$C$32+E123*Scoring!$D$32+F123*Scoring!$E$32+G123/Scoring!$F$32+H123*Scoring!$G$32+I123*Scoring!$H$32+K123*Scoring!$I$32+RB!L123*Scoring!$J$32</x:f>
        <x:v>133.04000000000002</x:v>
      </x:c>
      <x:c r="W123" s="9"/>
      <x:c r="X123" s="9"/>
      <x:c r="Y123" s="9"/>
      <x:c r="Z123" s="9"/>
    </x:row>
    <x:row r="124" ht="14.25" customHeight="1">
      <x:c r="B124" s="1" t="s">
        <x:v>488</x:v>
      </x:c>
      <x:c r="C124" s="1">
        <x:v>181.9</x:v>
      </x:c>
      <x:c r="D124" s="1">
        <x:v>837.5</x:v>
      </x:c>
      <x:c r="E124" s="1">
        <x:v>7.3</x:v>
      </x:c>
      <x:c r="F124" s="1">
        <x:v>16.7</x:v>
      </x:c>
      <x:c r="G124" s="1">
        <x:v>117.1</x:v>
      </x:c>
      <x:c r="H124" s="1">
        <x:v>0.6</x:v>
      </x:c>
      <x:c r="I124" s="1">
        <x:v>0.4</x:v>
      </x:c>
      <x:c r="J124" s="1">
        <x:v>154.6</x:v>
      </x:c>
      <x:c r="K124" s="18">
        <x:f t="shared" si="1"/>
        <x:v>46.52777778</x:v>
      </x:c>
      <x:c r="L124" s="18">
        <x:f t="shared" si="2"/>
        <x:v>5.538314465</x:v>
      </x:c>
      <x:c r="M124" s="119"/>
      <x:c r="N124" s="119"/>
      <x:c r="O124" s="119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</x:row>
    <x:row r="125" ht="14.25" customHeight="1">
      <x:c r="B125" s="1" t="s">
        <x:v>489</x:v>
      </x:c>
      <x:c r="C125" s="1">
        <x:v>159.0</x:v>
      </x:c>
      <x:c r="D125" s="1">
        <x:v>745.0</x:v>
      </x:c>
      <x:c r="E125" s="1">
        <x:v>6.0</x:v>
      </x:c>
      <x:c r="F125" s="1">
        <x:v>6.0</x:v>
      </x:c>
      <x:c r="G125" s="1">
        <x:v>35.0</x:v>
      </x:c>
      <x:c r="H125" s="1">
        <x:v>0.0</x:v>
      </x:c>
      <x:c r="I125" s="1">
        <x:v>1.0</x:v>
      </x:c>
      <x:c r="J125" s="1">
        <x:v>119.9</x:v>
      </x:c>
      <x:c r="K125" s="18">
        <x:f t="shared" si="1"/>
        <x:v>41.38888889</x:v>
      </x:c>
      <x:c r="L125" s="18">
        <x:f t="shared" si="2"/>
        <x:v>1.655345912</x:v>
      </x:c>
      <x:c r="M125" s="119"/>
      <x:c r="N125" s="119"/>
      <x:c r="O125" s="119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</x:row>
    <x:row r="126" ht="14.25" customHeight="1">
      <x:c r="A126" s="1" t="s">
        <x:v>644</x:v>
      </x:c>
      <x:c r="B126" s="1" t="s">
        <x:v>541</x:v>
      </x:c>
      <x:c r="C126" s="1">
        <x:v>94.8</x:v>
      </x:c>
      <x:c r="D126" s="1">
        <x:v>379.6</x:v>
      </x:c>
      <x:c r="E126" s="1">
        <x:v>3.0</x:v>
      </x:c>
      <x:c r="F126" s="1">
        <x:v>45.9</x:v>
      </x:c>
      <x:c r="G126" s="1">
        <x:v>306.1</x:v>
      </x:c>
      <x:c r="H126" s="1">
        <x:v>1.2</x:v>
      </x:c>
      <x:c r="I126" s="1">
        <x:v>0.7</x:v>
      </x:c>
      <x:c r="J126" s="1">
        <x:v>138.1</x:v>
      </x:c>
      <x:c r="K126" s="18">
        <x:f t="shared" si="1"/>
        <x:v>21.08888889</x:v>
      </x:c>
      <x:c r="L126" s="18">
        <x:f t="shared" si="2"/>
        <x:v>14.47718239</x:v>
      </x:c>
      <x:c r="M126" s="119" t="n">
        <x:f>C128*Scoring!$B$32+D128/Scoring!$C$32+E128*Scoring!$D$32+F128*Scoring!$E$32+G128/Scoring!$F$32+H128*Scoring!$G$32+I128*Scoring!$H$32+K128*Scoring!$I$32+RB!L128*Scoring!$J$32+U126</x:f>
        <x:v>95.9</x:v>
      </x:c>
      <x:c r="N126" s="119" t="n">
        <x:f>C126*Scoring!$B$32+D126/Scoring!$C$32+E126*Scoring!$D$32+F126*Scoring!$E$32+G126/Scoring!$F$32+H126*Scoring!$G$32+I126*Scoring!$H$32+K126*Scoring!$I$32+RB!L126*Scoring!$J$32+U126</x:f>
        <x:v>116.02</x:v>
      </x:c>
      <x:c r="O126" s="119" t="n">
        <x:f>C127*Scoring!$B$32+D127/Scoring!$C$32+E127*Scoring!$D$32+F127*Scoring!$E$32+G127/Scoring!$F$32+H127*Scoring!$G$32+I127*Scoring!$H$32+K127*Scoring!$I$32+L127*Scoring!$J$32+U126</x:f>
        <x:v>136.41</x:v>
      </x:c>
      <x:c r="P126" s="9" t="n">
        <x:f>IF(COUNTIF(Rookies!$A:$A,A126)&gt;0,1,0)</x:f>
        <x:v>0</x:v>
      </x:c>
      <x:c r="Q126" s="9"/>
      <x:c r="R126" s="9"/>
      <x:c r="S126" s="9" t="n">
        <x:f>V126/17</x:f>
        <x:v>6.824705882352941</x:v>
      </x:c>
      <x:c r="T126" s="9" t="n">
        <x:f>IF(P126=1,MAX(0,0.258*(14.9-S126)),0)</x:f>
        <x:v>0</x:v>
      </x:c>
      <x:c r="U126" s="9" t="n">
        <x:f>T126*17</x:f>
        <x:v>0</x:v>
      </x:c>
      <x:c r="V126" s="9" t="n">
        <x:f>C126*Scoring!$B$32+D126/Scoring!$C$32+E126*Scoring!$D$32+F126*Scoring!$E$32+G126/Scoring!$F$32+H126*Scoring!$G$32+I126*Scoring!$H$32+K126*Scoring!$I$32+RB!L126*Scoring!$J$32</x:f>
        <x:v>116.02</x:v>
      </x:c>
      <x:c r="W126" s="9"/>
      <x:c r="X126" s="9"/>
      <x:c r="Y126" s="9"/>
      <x:c r="Z126" s="9"/>
    </x:row>
    <x:row r="127" ht="14.25" customHeight="1">
      <x:c r="B127" s="1" t="s">
        <x:v>488</x:v>
      </x:c>
      <x:c r="C127" s="1">
        <x:v>105.5</x:v>
      </x:c>
      <x:c r="D127" s="1">
        <x:v>446.7</x:v>
      </x:c>
      <x:c r="E127" s="1">
        <x:v>4.0</x:v>
      </x:c>
      <x:c r="F127" s="1">
        <x:v>50.0</x:v>
      </x:c>
      <x:c r="G127" s="1">
        <x:v>336.4</x:v>
      </x:c>
      <x:c r="H127" s="1">
        <x:v>1.6</x:v>
      </x:c>
      <x:c r="I127" s="1">
        <x:v>0.5</x:v>
      </x:c>
      <x:c r="J127" s="1">
        <x:v>150.8</x:v>
      </x:c>
      <x:c r="K127" s="18">
        <x:f t="shared" si="1"/>
        <x:v>24.81666667</x:v>
      </x:c>
      <x:c r="L127" s="18">
        <x:f t="shared" si="2"/>
        <x:v>15.91023899</x:v>
      </x:c>
      <x:c r="M127" s="119"/>
      <x:c r="N127" s="119"/>
      <x:c r="O127" s="119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</x:row>
    <x:row r="128" ht="14.25" customHeight="1">
      <x:c r="B128" s="1" t="s">
        <x:v>489</x:v>
      </x:c>
      <x:c r="C128" s="1">
        <x:v>86.0</x:v>
      </x:c>
      <x:c r="D128" s="1">
        <x:v>344.0</x:v>
      </x:c>
      <x:c r="E128" s="1">
        <x:v>2.0</x:v>
      </x:c>
      <x:c r="F128" s="1">
        <x:v>38.0</x:v>
      </x:c>
      <x:c r="G128" s="1">
        <x:v>255.0</x:v>
      </x:c>
      <x:c r="H128" s="1">
        <x:v>1.0</x:v>
      </x:c>
      <x:c r="I128" s="1">
        <x:v>1.0</x:v>
      </x:c>
      <x:c r="J128" s="1">
        <x:v>124.9</x:v>
      </x:c>
      <x:c r="K128" s="18">
        <x:f t="shared" si="1"/>
        <x:v>19.11111111</x:v>
      </x:c>
      <x:c r="L128" s="18">
        <x:f t="shared" si="2"/>
        <x:v>12.06037736</x:v>
      </x:c>
      <x:c r="M128" s="119"/>
      <x:c r="N128" s="119"/>
      <x:c r="O128" s="119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  <x:c r="Z128" s="9"/>
    </x:row>
    <x:row r="129" ht="14.25" customHeight="1">
      <x:c r="A129" s="1" t="s">
        <x:v>645</x:v>
      </x:c>
      <x:c r="B129" s="1" t="s">
        <x:v>535</x:v>
      </x:c>
      <x:c r="C129" s="1">
        <x:v>142.7</x:v>
      </x:c>
      <x:c r="D129" s="1">
        <x:v>555.8</x:v>
      </x:c>
      <x:c r="E129" s="1">
        <x:v>2.7</x:v>
      </x:c>
      <x:c r="F129" s="1">
        <x:v>24.1</x:v>
      </x:c>
      <x:c r="G129" s="1">
        <x:v>197.1</x:v>
      </x:c>
      <x:c r="H129" s="1">
        <x:v>1.8</x:v>
      </x:c>
      <x:c r="I129" s="1">
        <x:v>0.8</x:v>
      </x:c>
      <x:c r="J129" s="1">
        <x:v>124.4</x:v>
      </x:c>
      <x:c r="K129" s="18">
        <x:f t="shared" si="1"/>
        <x:v>30.87777778</x:v>
      </x:c>
      <x:c r="L129" s="18">
        <x:f t="shared" si="2"/>
        <x:v>9.321962264</x:v>
      </x:c>
      <x:c r="M129" s="119" t="n">
        <x:f>C131*Scoring!$B$32+D131/Scoring!$C$32+E131*Scoring!$D$32+F131*Scoring!$E$32+G131/Scoring!$F$32+H131*Scoring!$G$32+I131*Scoring!$H$32+K131*Scoring!$I$32+RB!L131*Scoring!$J$32+U129</x:f>
        <x:v>97.9</x:v>
      </x:c>
      <x:c r="N129" s="119" t="n">
        <x:f>C129*Scoring!$B$32+D129/Scoring!$C$32+E129*Scoring!$D$32+F129*Scoring!$E$32+G129/Scoring!$F$32+H129*Scoring!$G$32+I129*Scoring!$H$32+K129*Scoring!$I$32+RB!L129*Scoring!$J$32+U129</x:f>
        <x:v>113.53999999999999</x:v>
      </x:c>
      <x:c r="O129" s="119" t="n">
        <x:f>C130*Scoring!$B$32+D130/Scoring!$C$32+E130*Scoring!$D$32+F130*Scoring!$E$32+G130/Scoring!$F$32+H130*Scoring!$G$32+I130*Scoring!$H$32+K130*Scoring!$I$32+L130*Scoring!$J$32+U129</x:f>
        <x:v>128.25</x:v>
      </x:c>
      <x:c r="P129" s="9" t="n">
        <x:f>IF(COUNTIF(Rookies!$A:$A,A129)&gt;0,1,0)</x:f>
        <x:v>0</x:v>
      </x:c>
      <x:c r="Q129" s="9"/>
      <x:c r="R129" s="9"/>
      <x:c r="S129" s="9" t="n">
        <x:f>V129/17</x:f>
        <x:v>6.678823529411765</x:v>
      </x:c>
      <x:c r="T129" s="9" t="n">
        <x:f>IF(P129=1,MAX(0,0.258*(14.9-S129)),0)</x:f>
        <x:v>0</x:v>
      </x:c>
      <x:c r="U129" s="9" t="n">
        <x:f>T129*17</x:f>
        <x:v>0</x:v>
      </x:c>
      <x:c r="V129" s="9" t="n">
        <x:f>C129*Scoring!$B$32+D129/Scoring!$C$32+E129*Scoring!$D$32+F129*Scoring!$E$32+G129/Scoring!$F$32+H129*Scoring!$G$32+I129*Scoring!$H$32+K129*Scoring!$I$32+RB!L129*Scoring!$J$32</x:f>
        <x:v>113.53999999999999</x:v>
      </x:c>
      <x:c r="W129" s="9"/>
      <x:c r="X129" s="9"/>
      <x:c r="Y129" s="9"/>
      <x:c r="Z129" s="9"/>
    </x:row>
    <x:row r="130" ht="14.25" customHeight="1">
      <x:c r="B130" s="1" t="s">
        <x:v>488</x:v>
      </x:c>
      <x:c r="C130" s="1">
        <x:v>150.0</x:v>
      </x:c>
      <x:c r="D130" s="1">
        <x:v>580.5</x:v>
      </x:c>
      <x:c r="E130" s="1">
        <x:v>3.0</x:v>
      </x:c>
      <x:c r="F130" s="1">
        <x:v>27.0</x:v>
      </x:c>
      <x:c r="G130" s="1">
        <x:v>214.0</x:v>
      </x:c>
      <x:c r="H130" s="1">
        <x:v>3.0</x:v>
      </x:c>
      <x:c r="I130" s="1">
        <x:v>0.7</x:v>
      </x:c>
      <x:c r="J130" s="1">
        <x:v>129.7</x:v>
      </x:c>
      <x:c r="K130" s="18">
        <x:f t="shared" si="1"/>
        <x:v>32.25</x:v>
      </x:c>
      <x:c r="L130" s="18">
        <x:f t="shared" si="2"/>
        <x:v>10.12125786</x:v>
      </x:c>
      <x:c r="M130" s="119"/>
      <x:c r="N130" s="119"/>
      <x:c r="O130" s="11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</x:row>
    <x:row r="131" ht="14.25" customHeight="1">
      <x:c r="B131" s="1" t="s">
        <x:v>489</x:v>
      </x:c>
      <x:c r="C131" s="1">
        <x:v>135.0</x:v>
      </x:c>
      <x:c r="D131" s="1">
        <x:v>527.0</x:v>
      </x:c>
      <x:c r="E131" s="1">
        <x:v>2.0</x:v>
      </x:c>
      <x:c r="F131" s="1">
        <x:v>21.0</x:v>
      </x:c>
      <x:c r="G131" s="1">
        <x:v>177.0</x:v>
      </x:c>
      <x:c r="H131" s="1">
        <x:v>1.0</x:v>
      </x:c>
      <x:c r="I131" s="1">
        <x:v>1.0</x:v>
      </x:c>
      <x:c r="J131" s="1">
        <x:v>115.1</x:v>
      </x:c>
      <x:c r="K131" s="18">
        <x:f t="shared" si="1"/>
        <x:v>29.27777778</x:v>
      </x:c>
      <x:c r="L131" s="18">
        <x:f t="shared" si="2"/>
        <x:v>8.371320755</x:v>
      </x:c>
      <x:c r="M131" s="119"/>
      <x:c r="N131" s="119"/>
      <x:c r="O131" s="11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</x:row>
    <x:row r="132" ht="14.25" customHeight="1">
      <x:c r="A132" s="1" t="s">
        <x:v>646</x:v>
      </x:c>
      <x:c r="B132" s="1" t="s">
        <x:v>533</x:v>
      </x:c>
      <x:c r="C132" s="1">
        <x:v>130.5</x:v>
      </x:c>
      <x:c r="D132" s="1">
        <x:v>533.0</x:v>
      </x:c>
      <x:c r="E132" s="1">
        <x:v>5.6</x:v>
      </x:c>
      <x:c r="F132" s="1">
        <x:v>19.8</x:v>
      </x:c>
      <x:c r="G132" s="1">
        <x:v>147.0</x:v>
      </x:c>
      <x:c r="H132" s="1">
        <x:v>0.5</x:v>
      </x:c>
      <x:c r="I132" s="1">
        <x:v>0.7</x:v>
      </x:c>
      <x:c r="J132" s="1">
        <x:v>123.1</x:v>
      </x:c>
      <x:c r="K132" s="18">
        <x:f t="shared" si="1"/>
        <x:v>29.61111111</x:v>
      </x:c>
      <x:c r="L132" s="18">
        <x:f t="shared" si="2"/>
        <x:v>6.95245283</x:v>
      </x:c>
      <x:c r="M132" s="119" t="n">
        <x:f>C134*Scoring!$B$32+D134/Scoring!$C$32+E134*Scoring!$D$32+F134*Scoring!$E$32+G134/Scoring!$F$32+H134*Scoring!$G$32+I134*Scoring!$H$32+K134*Scoring!$I$32+RB!L134*Scoring!$J$32+U132</x:f>
        <x:v>90.7</x:v>
      </x:c>
      <x:c r="N132" s="119" t="n">
        <x:f>C132*Scoring!$B$32+D132/Scoring!$C$32+E132*Scoring!$D$32+F132*Scoring!$E$32+G132/Scoring!$F$32+H132*Scoring!$G$32+I132*Scoring!$H$32+K132*Scoring!$I$32+RB!L132*Scoring!$J$32+U132</x:f>
        <x:v>113.8</x:v>
      </x:c>
      <x:c r="O132" s="119" t="n">
        <x:f>C133*Scoring!$B$32+D133/Scoring!$C$32+E133*Scoring!$D$32+F133*Scoring!$E$32+G133/Scoring!$F$32+H133*Scoring!$G$32+I133*Scoring!$H$32+K133*Scoring!$I$32+L133*Scoring!$J$32+U132</x:f>
        <x:v>129.46</x:v>
      </x:c>
      <x:c r="P132" s="9" t="n">
        <x:f>IF(COUNTIF(Rookies!$A:$A,A132)&gt;0,1,0)</x:f>
        <x:v>0</x:v>
      </x:c>
      <x:c r="Q132" s="9"/>
      <x:c r="R132" s="9"/>
      <x:c r="S132" s="9" t="n">
        <x:f>V132/17</x:f>
        <x:v>6.694117647058824</x:v>
      </x:c>
      <x:c r="T132" s="9" t="n">
        <x:f>IF(P132=1,MAX(0,0.258*(14.9-S132)),0)</x:f>
        <x:v>0</x:v>
      </x:c>
      <x:c r="U132" s="9" t="n">
        <x:f>T132*17</x:f>
        <x:v>0</x:v>
      </x:c>
      <x:c r="V132" s="9" t="n">
        <x:f>C132*Scoring!$B$32+D132/Scoring!$C$32+E132*Scoring!$D$32+F132*Scoring!$E$32+G132/Scoring!$F$32+H132*Scoring!$G$32+I132*Scoring!$H$32+K132*Scoring!$I$32+RB!L132*Scoring!$J$32</x:f>
        <x:v>113.8</x:v>
      </x:c>
      <x:c r="W132" s="9"/>
      <x:c r="X132" s="9"/>
      <x:c r="Y132" s="9"/>
      <x:c r="Z132" s="9"/>
    </x:row>
    <x:row r="133" ht="14.25" customHeight="1">
      <x:c r="B133" s="1" t="s">
        <x:v>488</x:v>
      </x:c>
      <x:c r="C133" s="1">
        <x:v>136.6</x:v>
      </x:c>
      <x:c r="D133" s="1">
        <x:v>555.1</x:v>
      </x:c>
      <x:c r="E133" s="1">
        <x:v>7.0</x:v>
      </x:c>
      <x:c r="F133" s="1">
        <x:v>20.3</x:v>
      </x:c>
      <x:c r="G133" s="1">
        <x:v>161.0</x:v>
      </x:c>
      <x:c r="H133" s="1">
        <x:v>1.0</x:v>
      </x:c>
      <x:c r="I133" s="1">
        <x:v>0.3</x:v>
      </x:c>
      <x:c r="J133" s="1">
        <x:v>133.4</x:v>
      </x:c>
      <x:c r="K133" s="18">
        <x:f t="shared" si="1"/>
        <x:v>30.83888889</x:v>
      </x:c>
      <x:c r="L133" s="18">
        <x:f t="shared" si="2"/>
        <x:v>7.614591195</x:v>
      </x:c>
      <x:c r="M133" s="119"/>
      <x:c r="N133" s="119"/>
      <x:c r="O133" s="11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</x:row>
    <x:row r="134" ht="14.25" customHeight="1">
      <x:c r="B134" s="1" t="s">
        <x:v>489</x:v>
      </x:c>
      <x:c r="C134" s="1">
        <x:v>127.0</x:v>
      </x:c>
      <x:c r="D134" s="1">
        <x:v>507.0</x:v>
      </x:c>
      <x:c r="E134" s="1">
        <x:v>3.0</x:v>
      </x:c>
      <x:c r="F134" s="1">
        <x:v>19.0</x:v>
      </x:c>
      <x:c r="G134" s="1">
        <x:v>135.0</x:v>
      </x:c>
      <x:c r="H134" s="1">
        <x:v>0.0</x:v>
      </x:c>
      <x:c r="I134" s="1">
        <x:v>1.0</x:v>
      </x:c>
      <x:c r="J134" s="1">
        <x:v>107.8</x:v>
      </x:c>
      <x:c r="K134" s="18">
        <x:f t="shared" si="1"/>
        <x:v>28.16666667</x:v>
      </x:c>
      <x:c r="L134" s="18">
        <x:f t="shared" si="2"/>
        <x:v>6.38490566</x:v>
      </x:c>
      <x:c r="M134" s="119"/>
      <x:c r="N134" s="119"/>
      <x:c r="O134" s="11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</x:row>
    <x:row r="135" ht="14.25" customHeight="1">
      <x:c r="A135" s="1" t="s">
        <x:v>647</x:v>
      </x:c>
      <x:c r="B135" s="1" t="s">
        <x:v>521</x:v>
      </x:c>
      <x:c r="C135" s="1">
        <x:v>119.3</x:v>
      </x:c>
      <x:c r="D135" s="1">
        <x:v>459.7</x:v>
      </x:c>
      <x:c r="E135" s="1">
        <x:v>2.4</x:v>
      </x:c>
      <x:c r="F135" s="1">
        <x:v>33.6</x:v>
      </x:c>
      <x:c r="G135" s="1">
        <x:v>233.6</x:v>
      </x:c>
      <x:c r="H135" s="1">
        <x:v>1.0</x:v>
      </x:c>
      <x:c r="I135" s="1">
        <x:v>0.8</x:v>
      </x:c>
      <x:c r="J135" s="1">
        <x:v>121.4</x:v>
      </x:c>
      <x:c r="K135" s="18">
        <x:f t="shared" si="1"/>
        <x:v>25.53888889</x:v>
      </x:c>
      <x:c r="L135" s="18">
        <x:f t="shared" si="2"/>
        <x:v>11.04825157</x:v>
      </x:c>
      <x:c r="M135" s="119" t="n">
        <x:f>C137*Scoring!$B$32+D137/Scoring!$C$32+E137*Scoring!$D$32+F137*Scoring!$E$32+G137/Scoring!$F$32+H137*Scoring!$G$32+I137*Scoring!$H$32+K137*Scoring!$I$32+RB!L137*Scoring!$J$32+U135</x:f>
        <x:v>92.43</x:v>
      </x:c>
      <x:c r="N135" s="119" t="n">
        <x:f>C135*Scoring!$B$32+D135/Scoring!$C$32+E135*Scoring!$D$32+F135*Scoring!$E$32+G135/Scoring!$F$32+H135*Scoring!$G$32+I135*Scoring!$H$32+K135*Scoring!$I$32+RB!L135*Scoring!$J$32+U135</x:f>
        <x:v>105.73</x:v>
      </x:c>
      <x:c r="O135" s="119" t="n">
        <x:f>C136*Scoring!$B$32+D136/Scoring!$C$32+E136*Scoring!$D$32+F136*Scoring!$E$32+G136/Scoring!$F$32+H136*Scoring!$G$32+I136*Scoring!$H$32+K136*Scoring!$I$32+L136*Scoring!$J$32+U135</x:f>
        <x:v>120.80000000000001</x:v>
      </x:c>
      <x:c r="P135" s="9" t="n">
        <x:f>IF(COUNTIF(Rookies!$A:$A,A135)&gt;0,1,0)</x:f>
        <x:v>0</x:v>
      </x:c>
      <x:c r="Q135" s="9"/>
      <x:c r="R135" s="9"/>
      <x:c r="S135" s="9" t="n">
        <x:f>V135/17</x:f>
        <x:v>6.219411764705883</x:v>
      </x:c>
      <x:c r="T135" s="9" t="n">
        <x:f>IF(P135=1,MAX(0,0.258*(14.9-S135)),0)</x:f>
        <x:v>0</x:v>
      </x:c>
      <x:c r="U135" s="9" t="n">
        <x:f>T135*17</x:f>
        <x:v>0</x:v>
      </x:c>
      <x:c r="V135" s="9" t="n">
        <x:f>C135*Scoring!$B$32+D135/Scoring!$C$32+E135*Scoring!$D$32+F135*Scoring!$E$32+G135/Scoring!$F$32+H135*Scoring!$G$32+I135*Scoring!$H$32+K135*Scoring!$I$32+RB!L135*Scoring!$J$32</x:f>
        <x:v>105.73</x:v>
      </x:c>
      <x:c r="W135" s="9"/>
      <x:c r="X135" s="9"/>
      <x:c r="Y135" s="9"/>
      <x:c r="Z135" s="9"/>
    </x:row>
    <x:row r="136" ht="14.25" customHeight="1">
      <x:c r="B136" s="1" t="s">
        <x:v>488</x:v>
      </x:c>
      <x:c r="C136" s="1">
        <x:v>133.0</x:v>
      </x:c>
      <x:c r="D136" s="1">
        <x:v>500.0</x:v>
      </x:c>
      <x:c r="E136" s="1">
        <x:v>3.0</x:v>
      </x:c>
      <x:c r="F136" s="1">
        <x:v>34.0</x:v>
      </x:c>
      <x:c r="G136" s="1">
        <x:v>244.0</x:v>
      </x:c>
      <x:c r="H136" s="1">
        <x:v>2.0</x:v>
      </x:c>
      <x:c r="I136" s="1">
        <x:v>0.6</x:v>
      </x:c>
      <x:c r="J136" s="1">
        <x:v>140.9</x:v>
      </x:c>
      <x:c r="K136" s="18">
        <x:f t="shared" si="1"/>
        <x:v>27.77777778</x:v>
      </x:c>
      <x:c r="L136" s="18">
        <x:f t="shared" si="2"/>
        <x:v>11.54012579</x:v>
      </x:c>
      <x:c r="M136" s="119"/>
      <x:c r="N136" s="119"/>
      <x:c r="O136" s="119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  <x:c r="Z136" s="9"/>
    </x:row>
    <x:row r="137" ht="14.25" customHeight="1">
      <x:c r="B137" s="1" t="s">
        <x:v>489</x:v>
      </x:c>
      <x:c r="C137" s="1">
        <x:v>111.9</x:v>
      </x:c>
      <x:c r="D137" s="1">
        <x:v>428.0</x:v>
      </x:c>
      <x:c r="E137" s="1">
        <x:v>2.0</x:v>
      </x:c>
      <x:c r="F137" s="1">
        <x:v>32.9</x:v>
      </x:c>
      <x:c r="G137" s="1">
        <x:v>221.8</x:v>
      </x:c>
      <x:c r="H137" s="1">
        <x:v>0.0</x:v>
      </x:c>
      <x:c r="I137" s="1">
        <x:v>1.0</x:v>
      </x:c>
      <x:c r="J137" s="1">
        <x:v>109.6</x:v>
      </x:c>
      <x:c r="K137" s="18">
        <x:f t="shared" si="1"/>
        <x:v>23.77777778</x:v>
      </x:c>
      <x:c r="L137" s="18">
        <x:f t="shared" si="2"/>
        <x:v>10.49016352</x:v>
      </x:c>
      <x:c r="M137" s="119"/>
      <x:c r="N137" s="119"/>
      <x:c r="O137" s="119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  <x:c r="Z137" s="9"/>
    </x:row>
    <x:row r="138" ht="14.25" customHeight="1">
      <x:c r="A138" s="1" t="s">
        <x:v>648</x:v>
      </x:c>
      <x:c r="B138" s="1" t="s">
        <x:v>519</x:v>
      </x:c>
      <x:c r="C138" s="1">
        <x:v>139.5</x:v>
      </x:c>
      <x:c r="D138" s="1">
        <x:v>582.1</x:v>
      </x:c>
      <x:c r="E138" s="1">
        <x:v>3.5</x:v>
      </x:c>
      <x:c r="F138" s="1">
        <x:v>21.1</x:v>
      </x:c>
      <x:c r="G138" s="1">
        <x:v>136.4</x:v>
      </x:c>
      <x:c r="H138" s="1">
        <x:v>0.6</x:v>
      </x:c>
      <x:c r="I138" s="1">
        <x:v>0.8</x:v>
      </x:c>
      <x:c r="J138" s="1">
        <x:v>116.0</x:v>
      </x:c>
      <x:c r="K138" s="18">
        <x:f t="shared" si="1"/>
        <x:v>32.33888889</x:v>
      </x:c>
      <x:c r="L138" s="18">
        <x:f t="shared" si="2"/>
        <x:v>6.451119497</x:v>
      </x:c>
      <x:c r="M138" s="119" t="n">
        <x:f>C140*Scoring!$B$32+D140/Scoring!$C$32+E140*Scoring!$D$32+F140*Scoring!$E$32+G140/Scoring!$F$32+H140*Scoring!$G$32+I140*Scoring!$H$32+K140*Scoring!$I$32+RB!L140*Scoring!$J$32+U138</x:f>
        <x:v>85.92</x:v>
      </x:c>
      <x:c r="N138" s="119" t="n">
        <x:f>C138*Scoring!$B$32+D138/Scoring!$C$32+E138*Scoring!$D$32+F138*Scoring!$E$32+G138/Scoring!$F$32+H138*Scoring!$G$32+I138*Scoring!$H$32+K138*Scoring!$I$32+RB!L138*Scoring!$J$32+U138</x:f>
        <x:v>106.2</x:v>
      </x:c>
      <x:c r="O138" s="119" t="n">
        <x:f>C139*Scoring!$B$32+D139/Scoring!$C$32+E139*Scoring!$D$32+F139*Scoring!$E$32+G139/Scoring!$F$32+H139*Scoring!$G$32+I139*Scoring!$H$32+K139*Scoring!$I$32+L139*Scoring!$J$32+U138</x:f>
        <x:v>125.02999999999999</x:v>
      </x:c>
      <x:c r="P138" s="9" t="n">
        <x:f>IF(COUNTIF(Rookies!$A:$A,A138)&gt;0,1,0)</x:f>
        <x:v>0</x:v>
      </x:c>
      <x:c r="Q138" s="9"/>
      <x:c r="R138" s="9"/>
      <x:c r="S138" s="9" t="n">
        <x:f>V138/17</x:f>
        <x:v>6.247058823529412</x:v>
      </x:c>
      <x:c r="T138" s="9" t="n">
        <x:f>IF(P138=1,MAX(0,0.258*(14.9-S138)),0)</x:f>
        <x:v>0</x:v>
      </x:c>
      <x:c r="U138" s="9" t="n">
        <x:f>T138*17</x:f>
        <x:v>0</x:v>
      </x:c>
      <x:c r="V138" s="9" t="n">
        <x:f>C138*Scoring!$B$32+D138/Scoring!$C$32+E138*Scoring!$D$32+F138*Scoring!$E$32+G138/Scoring!$F$32+H138*Scoring!$G$32+I138*Scoring!$H$32+K138*Scoring!$I$32+RB!L138*Scoring!$J$32</x:f>
        <x:v>106.2</x:v>
      </x:c>
      <x:c r="W138" s="9"/>
      <x:c r="X138" s="9"/>
      <x:c r="Y138" s="9"/>
      <x:c r="Z138" s="9"/>
    </x:row>
    <x:row r="139" ht="14.25" customHeight="1">
      <x:c r="B139" s="1" t="s">
        <x:v>488</x:v>
      </x:c>
      <x:c r="C139" s="1">
        <x:v>148.5</x:v>
      </x:c>
      <x:c r="D139" s="1">
        <x:v>639.3</x:v>
      </x:c>
      <x:c r="E139" s="1">
        <x:v>4.5</x:v>
      </x:c>
      <x:c r="F139" s="1">
        <x:v>26.0</x:v>
      </x:c>
      <x:c r="G139" s="1">
        <x:v>156.0</x:v>
      </x:c>
      <x:c r="H139" s="1">
        <x:v>1.0</x:v>
      </x:c>
      <x:c r="I139" s="1">
        <x:v>0.5</x:v>
      </x:c>
      <x:c r="J139" s="1">
        <x:v>127.4</x:v>
      </x:c>
      <x:c r="K139" s="18">
        <x:f t="shared" si="1"/>
        <x:v>35.51666667</x:v>
      </x:c>
      <x:c r="L139" s="18">
        <x:f t="shared" si="2"/>
        <x:v>7.378113208</x:v>
      </x:c>
      <x:c r="M139" s="119"/>
      <x:c r="N139" s="119"/>
      <x:c r="O139" s="119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</x:row>
    <x:row r="140" ht="14.25" customHeight="1">
      <x:c r="B140" s="1" t="s">
        <x:v>489</x:v>
      </x:c>
      <x:c r="C140" s="1">
        <x:v>122.0</x:v>
      </x:c>
      <x:c r="D140" s="1">
        <x:v>489.0</x:v>
      </x:c>
      <x:c r="E140" s="1">
        <x:v>3.0</x:v>
      </x:c>
      <x:c r="F140" s="1">
        <x:v>17.2</x:v>
      </x:c>
      <x:c r="G140" s="1">
        <x:v>114.2</x:v>
      </x:c>
      <x:c r="H140" s="1">
        <x:v>0.0</x:v>
      </x:c>
      <x:c r="I140" s="1">
        <x:v>1.0</x:v>
      </x:c>
      <x:c r="J140" s="1">
        <x:v>103.1</x:v>
      </x:c>
      <x:c r="K140" s="18">
        <x:f t="shared" si="1"/>
        <x:v>27.16666667</x:v>
      </x:c>
      <x:c r="L140" s="18">
        <x:f t="shared" si="2"/>
        <x:v>5.401157233</x:v>
      </x:c>
      <x:c r="M140" s="119"/>
      <x:c r="N140" s="119"/>
      <x:c r="O140" s="119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  <x:c r="Z140" s="9"/>
    </x:row>
    <x:row r="141" ht="14.25" customHeight="1">
      <x:c r="A141" s="1" t="s">
        <x:v>649</x:v>
      </x:c>
      <x:c r="B141" s="1" t="s">
        <x:v>491</x:v>
      </x:c>
      <x:c r="C141" s="1">
        <x:v>56.4</x:v>
      </x:c>
      <x:c r="D141" s="1">
        <x:v>273.7</x:v>
      </x:c>
      <x:c r="E141" s="1">
        <x:v>2.2</x:v>
      </x:c>
      <x:c r="F141" s="1">
        <x:v>32.7</x:v>
      </x:c>
      <x:c r="G141" s="1">
        <x:v>283.4</x:v>
      </x:c>
      <x:c r="H141" s="1">
        <x:v>1.8</x:v>
      </x:c>
      <x:c r="I141" s="1">
        <x:v>0.2</x:v>
      </x:c>
      <x:c r="J141" s="1">
        <x:v>112.1</x:v>
      </x:c>
      <x:c r="K141" s="18">
        <x:f t="shared" si="1"/>
        <x:v>15.20555556</x:v>
      </x:c>
      <x:c r="L141" s="18">
        <x:f t="shared" si="2"/>
        <x:v>13.40357233</x:v>
      </x:c>
      <x:c r="M141" s="119" t="n">
        <x:f>C143*Scoring!$B$32+D143/Scoring!$C$32+E143*Scoring!$D$32+F143*Scoring!$E$32+G143/Scoring!$F$32+H143*Scoring!$G$32+I143*Scoring!$H$32+K143*Scoring!$I$32+RB!L143*Scoring!$J$32+U141</x:f>
        <x:v>75.33999999999999</x:v>
      </x:c>
      <x:c r="N141" s="119" t="n">
        <x:f>C141*Scoring!$B$32+D141/Scoring!$C$32+E141*Scoring!$D$32+F141*Scoring!$E$32+G141/Scoring!$F$32+H141*Scoring!$G$32+I141*Scoring!$H$32+K141*Scoring!$I$32+RB!L141*Scoring!$J$32+U141</x:f>
        <x:v>95.85999999999999</x:v>
      </x:c>
      <x:c r="O141" s="119" t="n">
        <x:f>C142*Scoring!$B$32+D142/Scoring!$C$32+E142*Scoring!$D$32+F142*Scoring!$E$32+G142/Scoring!$F$32+H142*Scoring!$G$32+I142*Scoring!$H$32+K142*Scoring!$I$32+L142*Scoring!$J$32+U141</x:f>
        <x:v>116.99</x:v>
      </x:c>
      <x:c r="P141" s="9" t="n">
        <x:f>IF(COUNTIF(Rookies!$A:$A,A141)&gt;0,1,0)</x:f>
        <x:v>0</x:v>
      </x:c>
      <x:c r="Q141" s="9"/>
      <x:c r="R141" s="9"/>
      <x:c r="S141" s="9" t="n">
        <x:f>V141/17</x:f>
        <x:v>5.638823529411764</x:v>
      </x:c>
      <x:c r="T141" s="9" t="n">
        <x:f>IF(P141=1,MAX(0,0.258*(14.9-S141)),0)</x:f>
        <x:v>0</x:v>
      </x:c>
      <x:c r="U141" s="9" t="n">
        <x:f>T141*17</x:f>
        <x:v>0</x:v>
      </x:c>
      <x:c r="V141" s="9" t="n">
        <x:f>C141*Scoring!$B$32+D141/Scoring!$C$32+E141*Scoring!$D$32+F141*Scoring!$E$32+G141/Scoring!$F$32+H141*Scoring!$G$32+I141*Scoring!$H$32+K141*Scoring!$I$32+RB!L141*Scoring!$J$32</x:f>
        <x:v>95.85999999999999</x:v>
      </x:c>
      <x:c r="W141" s="9"/>
      <x:c r="X141" s="9"/>
      <x:c r="Y141" s="9"/>
      <x:c r="Z141" s="9"/>
    </x:row>
    <x:row r="142" ht="14.25" customHeight="1">
      <x:c r="B142" s="1" t="s">
        <x:v>488</x:v>
      </x:c>
      <x:c r="C142" s="1">
        <x:v>64.0</x:v>
      </x:c>
      <x:c r="D142" s="1">
        <x:v>324.0</x:v>
      </x:c>
      <x:c r="E142" s="1">
        <x:v>3.0</x:v>
      </x:c>
      <x:c r="F142" s="1">
        <x:v>39.4</x:v>
      </x:c>
      <x:c r="G142" s="1">
        <x:v>348.9</x:v>
      </x:c>
      <x:c r="H142" s="1">
        <x:v>2.0</x:v>
      </x:c>
      <x:c r="I142" s="1">
        <x:v>0.0</x:v>
      </x:c>
      <x:c r="J142" s="1">
        <x:v>107.5</x:v>
      </x:c>
      <x:c r="K142" s="18">
        <x:f t="shared" si="1"/>
        <x:v>18</x:v>
      </x:c>
      <x:c r="L142" s="18">
        <x:f t="shared" si="2"/>
        <x:v>16.50143396</x:v>
      </x:c>
      <x:c r="M142" s="119"/>
      <x:c r="N142" s="119"/>
      <x:c r="O142" s="119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  <x:c r="Z142" s="9"/>
    </x:row>
    <x:row r="143" ht="14.25" customHeight="1">
      <x:c r="B143" s="1" t="s">
        <x:v>489</x:v>
      </x:c>
      <x:c r="C143" s="1">
        <x:v>48.8</x:v>
      </x:c>
      <x:c r="D143" s="1">
        <x:v>223.4</x:v>
      </x:c>
      <x:c r="E143" s="1">
        <x:v>1.4</x:v>
      </x:c>
      <x:c r="F143" s="1">
        <x:v>26.0</x:v>
      </x:c>
      <x:c r="G143" s="1">
        <x:v>218.0</x:v>
      </x:c>
      <x:c r="H143" s="1">
        <x:v>1.7</x:v>
      </x:c>
      <x:c r="I143" s="1">
        <x:v>0.4</x:v>
      </x:c>
      <x:c r="J143" s="1">
        <x:v>99.7</x:v>
      </x:c>
      <x:c r="K143" s="18">
        <x:f t="shared" si="1"/>
        <x:v>12.41111111</x:v>
      </x:c>
      <x:c r="L143" s="18">
        <x:f t="shared" si="2"/>
        <x:v>10.31044025</x:v>
      </x:c>
      <x:c r="M143" s="119"/>
      <x:c r="N143" s="119"/>
      <x:c r="O143" s="119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  <x:c r="Z143" s="9"/>
    </x:row>
    <x:row r="144" ht="14.25" customHeight="1">
      <x:c r="A144" s="1" t="s">
        <x:v>650</x:v>
      </x:c>
      <x:c r="B144" s="1" t="s">
        <x:v>549</x:v>
      </x:c>
      <x:c r="C144" s="1">
        <x:v>73.5</x:v>
      </x:c>
      <x:c r="D144" s="1">
        <x:v>254.5</x:v>
      </x:c>
      <x:c r="E144" s="1">
        <x:v>1.4</x:v>
      </x:c>
      <x:c r="F144" s="1">
        <x:v>36.2</x:v>
      </x:c>
      <x:c r="G144" s="1">
        <x:v>284.7</x:v>
      </x:c>
      <x:c r="H144" s="1">
        <x:v>2.1</x:v>
      </x:c>
      <x:c r="I144" s="1">
        <x:v>1.2</x:v>
      </x:c>
      <x:c r="J144" s="1">
        <x:v>108.3</x:v>
      </x:c>
      <x:c r="K144" s="18">
        <x:f t="shared" si="1"/>
        <x:v>14.13888889</x:v>
      </x:c>
      <x:c r="L144" s="18">
        <x:f t="shared" si="2"/>
        <x:v>13.4650566</x:v>
      </x:c>
      <x:c r="M144" s="119" t="n">
        <x:f>C146*Scoring!$B$32+D146/Scoring!$C$32+E146*Scoring!$D$32+F146*Scoring!$E$32+G146/Scoring!$F$32+H146*Scoring!$G$32+I146*Scoring!$H$32+K146*Scoring!$I$32+RB!L146*Scoring!$J$32+U144</x:f>
        <x:v>69.56</x:v>
      </x:c>
      <x:c r="N144" s="119" t="n">
        <x:f>C144*Scoring!$B$32+D144/Scoring!$C$32+E144*Scoring!$D$32+F144*Scoring!$E$32+G144/Scoring!$F$32+H144*Scoring!$G$32+I144*Scoring!$H$32+K144*Scoring!$I$32+RB!L144*Scoring!$J$32+U144</x:f>
        <x:v>91.81999999999998</x:v>
      </x:c>
      <x:c r="O144" s="119" t="n">
        <x:f>C145*Scoring!$B$32+D145/Scoring!$C$32+E145*Scoring!$D$32+F145*Scoring!$E$32+G145/Scoring!$F$32+H145*Scoring!$G$32+I145*Scoring!$H$32+K145*Scoring!$I$32+L145*Scoring!$J$32+U144</x:f>
        <x:v>111.69999999999999</x:v>
      </x:c>
      <x:c r="P144" s="9" t="n">
        <x:f>IF(COUNTIF(Rookies!$A:$A,A144)&gt;0,1,0)</x:f>
        <x:v>0</x:v>
      </x:c>
      <x:c r="Q144" s="9"/>
      <x:c r="R144" s="9"/>
      <x:c r="S144" s="9" t="n">
        <x:f>V144/17</x:f>
        <x:v>5.401176470588234</x:v>
      </x:c>
      <x:c r="T144" s="9" t="n">
        <x:f>IF(P144=1,MAX(0,0.258*(14.9-S144)),0)</x:f>
        <x:v>0</x:v>
      </x:c>
      <x:c r="U144" s="9" t="n">
        <x:f>T144*17</x:f>
        <x:v>0</x:v>
      </x:c>
      <x:c r="V144" s="9" t="n">
        <x:f>C144*Scoring!$B$32+D144/Scoring!$C$32+E144*Scoring!$D$32+F144*Scoring!$E$32+G144/Scoring!$F$32+H144*Scoring!$G$32+I144*Scoring!$H$32+K144*Scoring!$I$32+RB!L144*Scoring!$J$32</x:f>
        <x:v>91.81999999999998</x:v>
      </x:c>
      <x:c r="W144" s="9"/>
      <x:c r="X144" s="9"/>
      <x:c r="Y144" s="9"/>
      <x:c r="Z144" s="9"/>
    </x:row>
    <x:row r="145" ht="14.25" customHeight="1">
      <x:c r="B145" s="1" t="s">
        <x:v>488</x:v>
      </x:c>
      <x:c r="C145" s="1">
        <x:v>105.0</x:v>
      </x:c>
      <x:c r="D145" s="1">
        <x:v>290.0</x:v>
      </x:c>
      <x:c r="E145" s="1">
        <x:v>2.0</x:v>
      </x:c>
      <x:c r="F145" s="1">
        <x:v>40.0</x:v>
      </x:c>
      <x:c r="G145" s="1">
        <x:v>331.0</x:v>
      </x:c>
      <x:c r="H145" s="1">
        <x:v>3.0</x:v>
      </x:c>
      <x:c r="I145" s="1">
        <x:v>0.4</x:v>
      </x:c>
      <x:c r="J145" s="1">
        <x:v>130.3</x:v>
      </x:c>
      <x:c r="K145" s="18">
        <x:f t="shared" si="1"/>
        <x:v>16.11111111</x:v>
      </x:c>
      <x:c r="L145" s="18">
        <x:f t="shared" si="2"/>
        <x:v>15.65484277</x:v>
      </x:c>
      <x:c r="M145" s="119"/>
      <x:c r="N145" s="119"/>
      <x:c r="O145" s="119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</x:row>
    <x:row r="146" ht="14.25" customHeight="1">
      <x:c r="B146" s="1" t="s">
        <x:v>489</x:v>
      </x:c>
      <x:c r="C146" s="1">
        <x:v>54.6</x:v>
      </x:c>
      <x:c r="D146" s="1">
        <x:v>228.4</x:v>
      </x:c>
      <x:c r="E146" s="1">
        <x:v>1.0</x:v>
      </x:c>
      <x:c r="F146" s="1">
        <x:v>29.6</x:v>
      </x:c>
      <x:c r="G146" s="1">
        <x:v>207.2</x:v>
      </x:c>
      <x:c r="H146" s="1">
        <x:v>1.2</x:v>
      </x:c>
      <x:c r="I146" s="1">
        <x:v>2.0</x:v>
      </x:c>
      <x:c r="J146" s="1">
        <x:v>93.5</x:v>
      </x:c>
      <x:c r="K146" s="18">
        <x:f t="shared" si="1"/>
        <x:v>12.68888889</x:v>
      </x:c>
      <x:c r="L146" s="18">
        <x:f t="shared" si="2"/>
        <x:v>9.799647799</x:v>
      </x:c>
      <x:c r="M146" s="119"/>
      <x:c r="N146" s="119"/>
      <x:c r="O146" s="119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</x:row>
    <x:row r="147" ht="14.25" customHeight="1">
      <x:c r="A147" s="1" t="s">
        <x:v>651</x:v>
      </x:c>
      <x:c r="B147" s="1" t="s">
        <x:v>501</x:v>
      </x:c>
      <x:c r="C147" s="1">
        <x:v>98.4</x:v>
      </x:c>
      <x:c r="D147" s="1">
        <x:v>416.4</x:v>
      </x:c>
      <x:c r="E147" s="1">
        <x:v>2.0</x:v>
      </x:c>
      <x:c r="F147" s="1">
        <x:v>24.6</x:v>
      </x:c>
      <x:c r="G147" s="1">
        <x:v>190.9</x:v>
      </x:c>
      <x:c r="H147" s="1">
        <x:v>1.2</x:v>
      </x:c>
      <x:c r="I147" s="1">
        <x:v>0.7</x:v>
      </x:c>
      <x:c r="J147" s="1">
        <x:v>103.1</x:v>
      </x:c>
      <x:c r="K147" s="18">
        <x:f t="shared" si="1"/>
        <x:v>23.13333333</x:v>
      </x:c>
      <x:c r="L147" s="18">
        <x:f t="shared" si="2"/>
        <x:v>9.02872956</x:v>
      </x:c>
      <x:c r="M147" s="119" t="n">
        <x:f>C149*Scoring!$B$32+D149/Scoring!$C$32+E149*Scoring!$D$32+F149*Scoring!$E$32+G149/Scoring!$F$32+H149*Scoring!$G$32+I149*Scoring!$H$32+K149*Scoring!$I$32+RB!L149*Scoring!$J$32+U147</x:f>
        <x:v>58.440000000000005</x:v>
      </x:c>
      <x:c r="N147" s="119" t="n">
        <x:f>C147*Scoring!$B$32+D147/Scoring!$C$32+E147*Scoring!$D$32+F147*Scoring!$E$32+G147/Scoring!$F$32+H147*Scoring!$G$32+I147*Scoring!$H$32+K147*Scoring!$I$32+RB!L147*Scoring!$J$32+U147</x:f>
        <x:v>91.53</x:v>
      </x:c>
      <x:c r="O147" s="119" t="n">
        <x:f>C148*Scoring!$B$32+D148/Scoring!$C$32+E148*Scoring!$D$32+F148*Scoring!$E$32+G148/Scoring!$F$32+H148*Scoring!$G$32+I148*Scoring!$H$32+K148*Scoring!$I$32+L148*Scoring!$J$32+U147</x:f>
        <x:v>125.4</x:v>
      </x:c>
      <x:c r="P147" s="9" t="n">
        <x:f>IF(COUNTIF(Rookies!$A:$A,A147)&gt;0,1,0)</x:f>
        <x:v>0</x:v>
      </x:c>
      <x:c r="Q147" s="9"/>
      <x:c r="R147" s="9"/>
      <x:c r="S147" s="9" t="n">
        <x:f>V147/17</x:f>
        <x:v>5.384117647058823</x:v>
      </x:c>
      <x:c r="T147" s="9" t="n">
        <x:f>IF(P147=1,MAX(0,0.258*(14.9-S147)),0)</x:f>
        <x:v>0</x:v>
      </x:c>
      <x:c r="U147" s="9" t="n">
        <x:f>T147*17</x:f>
        <x:v>0</x:v>
      </x:c>
      <x:c r="V147" s="9" t="n">
        <x:f>C147*Scoring!$B$32+D147/Scoring!$C$32+E147*Scoring!$D$32+F147*Scoring!$E$32+G147/Scoring!$F$32+H147*Scoring!$G$32+I147*Scoring!$H$32+K147*Scoring!$I$32+RB!L147*Scoring!$J$32</x:f>
        <x:v>91.53</x:v>
      </x:c>
      <x:c r="W147" s="9"/>
      <x:c r="X147" s="9"/>
      <x:c r="Y147" s="9"/>
      <x:c r="Z147" s="9"/>
    </x:row>
    <x:row r="148" ht="14.25" customHeight="1">
      <x:c r="B148" s="1" t="s">
        <x:v>488</x:v>
      </x:c>
      <x:c r="C148" s="1">
        <x:v>134.0</x:v>
      </x:c>
      <x:c r="D148" s="1">
        <x:v>567.0</x:v>
      </x:c>
      <x:c r="E148" s="1">
        <x:v>3.0</x:v>
      </x:c>
      <x:c r="F148" s="1">
        <x:v>30.0</x:v>
      </x:c>
      <x:c r="G148" s="1">
        <x:v>241.0</x:v>
      </x:c>
      <x:c r="H148" s="1">
        <x:v>2.0</x:v>
      </x:c>
      <x:c r="I148" s="1">
        <x:v>0.4</x:v>
      </x:c>
      <x:c r="J148" s="1">
        <x:v>117.6</x:v>
      </x:c>
      <x:c r="K148" s="18">
        <x:f t="shared" si="1"/>
        <x:v>31.5</x:v>
      </x:c>
      <x:c r="L148" s="18">
        <x:f t="shared" si="2"/>
        <x:v>11.39823899</x:v>
      </x:c>
      <x:c r="M148" s="119"/>
      <x:c r="N148" s="119"/>
      <x:c r="O148" s="119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  <x:c r="Z148" s="9"/>
    </x:row>
    <x:row r="149" ht="14.25" customHeight="1">
      <x:c r="B149" s="1" t="s">
        <x:v>489</x:v>
      </x:c>
      <x:c r="C149" s="1">
        <x:v>71.2</x:v>
      </x:c>
      <x:c r="D149" s="1">
        <x:v>302.3</x:v>
      </x:c>
      <x:c r="E149" s="1">
        <x:v>1.0</x:v>
      </x:c>
      <x:c r="F149" s="1">
        <x:v>15.9</x:v>
      </x:c>
      <x:c r="G149" s="1">
        <x:v>116.6</x:v>
      </x:c>
      <x:c r="H149" s="1">
        <x:v>0.6</x:v>
      </x:c>
      <x:c r="I149" s="1">
        <x:v>1.0</x:v>
      </x:c>
      <x:c r="J149" s="1">
        <x:v>75.3</x:v>
      </x:c>
      <x:c r="K149" s="18">
        <x:f t="shared" si="1"/>
        <x:v>16.79444444</x:v>
      </x:c>
      <x:c r="L149" s="18">
        <x:f t="shared" si="2"/>
        <x:v>5.514666667</x:v>
      </x:c>
      <x:c r="M149" s="119"/>
      <x:c r="N149" s="119"/>
      <x:c r="O149" s="119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  <x:c r="Z149" s="9"/>
    </x:row>
    <x:row r="150" ht="14.25" customHeight="1">
      <x:c r="A150" s="1" t="s">
        <x:v>652</x:v>
      </x:c>
      <x:c r="B150" s="1" t="s">
        <x:v>547</x:v>
      </x:c>
      <x:c r="C150" s="1">
        <x:v>126.0</x:v>
      </x:c>
      <x:c r="D150" s="1">
        <x:v>487.1</x:v>
      </x:c>
      <x:c r="E150" s="1">
        <x:v>3.1</x:v>
      </x:c>
      <x:c r="F150" s="1">
        <x:v>17.7</x:v>
      </x:c>
      <x:c r="G150" s="1">
        <x:v>143.5</x:v>
      </x:c>
      <x:c r="H150" s="1">
        <x:v>0.6</x:v>
      </x:c>
      <x:c r="I150" s="1">
        <x:v>1.2</x:v>
      </x:c>
      <x:c r="J150" s="1">
        <x:v>100.9</x:v>
      </x:c>
      <x:c r="K150" s="18">
        <x:f t="shared" si="1"/>
        <x:v>27.06111111</x:v>
      </x:c>
      <x:c r="L150" s="18">
        <x:f t="shared" si="2"/>
        <x:v>6.786918239</x:v>
      </x:c>
      <x:c r="M150" s="119" t="n">
        <x:f>C152*Scoring!$B$32+D152/Scoring!$C$32+E152*Scoring!$D$32+F152*Scoring!$E$32+G152/Scoring!$F$32+H152*Scoring!$G$32+I152*Scoring!$H$32+K152*Scoring!$I$32+RB!L152*Scoring!$J$32+U150</x:f>
        <x:v>100.80062000000001</x:v>
      </x:c>
      <x:c r="N150" s="119" t="n">
        <x:f>C150*Scoring!$B$32+D150/Scoring!$C$32+E150*Scoring!$D$32+F150*Scoring!$E$32+G150/Scoring!$F$32+H150*Scoring!$G$32+I150*Scoring!$H$32+K150*Scoring!$I$32+RB!L150*Scoring!$J$32+U150</x:f>
        <x:v>134.29062</x:v>
      </x:c>
      <x:c r="O150" s="119" t="n">
        <x:f>C151*Scoring!$B$32+D151/Scoring!$C$32+E151*Scoring!$D$32+F151*Scoring!$E$32+G151/Scoring!$F$32+H151*Scoring!$G$32+I151*Scoring!$H$32+K151*Scoring!$I$32+L151*Scoring!$J$32+U150</x:f>
        <x:v>168.38062000000002</x:v>
      </x:c>
      <x:c r="P150" s="9" t="n">
        <x:f>IF(COUNTIF(Rookies!$A:$A,A150)&gt;0,1,0)</x:f>
        <x:v>1</x:v>
      </x:c>
      <x:c r="Q150" s="9"/>
      <x:c r="R150" s="9"/>
      <x:c r="S150" s="9" t="n">
        <x:f>V150/17</x:f>
        <x:v>5.4652941176470575</x:v>
      </x:c>
      <x:c r="T150" s="9" t="n">
        <x:f>IF(P150=1,MAX(0,0.258*(14.9-S150)),0)</x:f>
        <x:v>2.4341541176470596</x:v>
      </x:c>
      <x:c r="U150" s="9" t="n">
        <x:f>T150*17</x:f>
        <x:v>41.380620000000015</x:v>
      </x:c>
      <x:c r="V150" s="9" t="n">
        <x:f>C150*Scoring!$B$32+D150/Scoring!$C$32+E150*Scoring!$D$32+F150*Scoring!$E$32+G150/Scoring!$F$32+H150*Scoring!$G$32+I150*Scoring!$H$32+K150*Scoring!$I$32+RB!L150*Scoring!$J$32</x:f>
        <x:v>92.90999999999998</x:v>
      </x:c>
      <x:c r="W150" s="9"/>
      <x:c r="X150" s="9"/>
      <x:c r="Y150" s="9"/>
      <x:c r="Z150" s="9"/>
    </x:row>
    <x:row r="151" ht="14.25" customHeight="1">
      <x:c r="B151" s="1" t="s">
        <x:v>488</x:v>
      </x:c>
      <x:c r="C151" s="1">
        <x:v>164.0</x:v>
      </x:c>
      <x:c r="D151" s="1">
        <x:v>612.0</x:v>
      </x:c>
      <x:c r="E151" s="1">
        <x:v>4.0</x:v>
      </x:c>
      <x:c r="F151" s="1">
        <x:v>27.0</x:v>
      </x:c>
      <x:c r="G151" s="1">
        <x:v>227.0</x:v>
      </x:c>
      <x:c r="H151" s="1">
        <x:v>1.0</x:v>
      </x:c>
      <x:c r="I151" s="1">
        <x:v>0.4</x:v>
      </x:c>
      <x:c r="J151" s="1">
        <x:v>111.7</x:v>
      </x:c>
      <x:c r="K151" s="18">
        <x:f t="shared" si="1"/>
        <x:v>34</x:v>
      </x:c>
      <x:c r="L151" s="18">
        <x:f t="shared" si="2"/>
        <x:v>10.73610063</x:v>
      </x:c>
      <x:c r="M151" s="119"/>
      <x:c r="N151" s="119"/>
      <x:c r="O151" s="119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  <x:c r="Z151" s="9"/>
    </x:row>
    <x:row r="152" ht="14.25" customHeight="1">
      <x:c r="B152" s="1" t="s">
        <x:v>489</x:v>
      </x:c>
      <x:c r="C152" s="1">
        <x:v>88.0</x:v>
      </x:c>
      <x:c r="D152" s="1">
        <x:v>362.2</x:v>
      </x:c>
      <x:c r="E152" s="1">
        <x:v>2.2</x:v>
      </x:c>
      <x:c r="F152" s="1">
        <x:v>8.4</x:v>
      </x:c>
      <x:c r="G152" s="1">
        <x:v>60.0</x:v>
      </x:c>
      <x:c r="H152" s="1">
        <x:v>0.3</x:v>
      </x:c>
      <x:c r="I152" s="1">
        <x:v>2.0</x:v>
      </x:c>
      <x:c r="J152" s="1">
        <x:v>74.5</x:v>
      </x:c>
      <x:c r="K152" s="18">
        <x:f t="shared" si="1"/>
        <x:v>20.12222222</x:v>
      </x:c>
      <x:c r="L152" s="18">
        <x:f t="shared" si="2"/>
        <x:v>2.837735849</x:v>
      </x:c>
      <x:c r="M152" s="119"/>
      <x:c r="N152" s="119"/>
      <x:c r="O152" s="119"/>
      <x:c r="P152" s="9"/>
      <x:c r="Q152" s="9"/>
      <x:c r="R152" s="9"/>
      <x:c r="S152" s="9"/>
      <x:c r="T152" s="9"/>
      <x:c r="U152" s="9"/>
      <x:c r="V152" s="9"/>
      <x:c r="W152" s="9"/>
      <x:c r="X152" s="9"/>
      <x:c r="Y152" s="9"/>
      <x:c r="Z152" s="9"/>
    </x:row>
    <x:row r="153" ht="14.25" customHeight="1">
      <x:c r="A153" s="1" t="s">
        <x:v>653</x:v>
      </x:c>
      <x:c r="B153" s="1" t="s">
        <x:v>537</x:v>
      </x:c>
      <x:c r="C153" s="1">
        <x:v>121.0</x:v>
      </x:c>
      <x:c r="D153" s="1">
        <x:v>532.0</x:v>
      </x:c>
      <x:c r="E153" s="1">
        <x:v>3.0</x:v>
      </x:c>
      <x:c r="F153" s="1">
        <x:v>18.0</x:v>
      </x:c>
      <x:c r="G153" s="1">
        <x:v>146.0</x:v>
      </x:c>
      <x:c r="H153" s="1">
        <x:v>1.0</x:v>
      </x:c>
      <x:c r="I153" s="1">
        <x:v>5.0</x:v>
      </x:c>
      <x:c r="J153" s="1">
        <x:v>99.8</x:v>
      </x:c>
      <x:c r="K153" s="18">
        <x:f t="shared" si="1"/>
        <x:v>29.55555556</x:v>
      </x:c>
      <x:c r="L153" s="18">
        <x:f t="shared" si="2"/>
        <x:v>6.905157233</x:v>
      </x:c>
      <x:c r="M153" s="119" t="n">
        <x:f>C155*Scoring!$B$32+D155/Scoring!$C$32+E155*Scoring!$D$32+F155*Scoring!$E$32+G155/Scoring!$F$32+H155*Scoring!$G$32+I155*Scoring!$H$32+K155*Scoring!$I$32+RB!L155*Scoring!$J$32+U153</x:f>
        <x:v>95.8</x:v>
      </x:c>
      <x:c r="N153" s="119" t="n">
        <x:f>C153*Scoring!$B$32+D153/Scoring!$C$32+E153*Scoring!$D$32+F153*Scoring!$E$32+G153/Scoring!$F$32+H153*Scoring!$G$32+I153*Scoring!$H$32+K153*Scoring!$I$32+RB!L153*Scoring!$J$32+U153</x:f>
        <x:v>95.8</x:v>
      </x:c>
      <x:c r="O153" s="119" t="n">
        <x:f>C154*Scoring!$B$32+D154/Scoring!$C$32+E154*Scoring!$D$32+F154*Scoring!$E$32+G154/Scoring!$F$32+H154*Scoring!$G$32+I154*Scoring!$H$32+K154*Scoring!$I$32+L154*Scoring!$J$32+U153</x:f>
        <x:v>95.8</x:v>
      </x:c>
      <x:c r="P153" s="9" t="n">
        <x:f>IF(COUNTIF(Rookies!$A:$A,A153)&gt;0,1,0)</x:f>
        <x:v>0</x:v>
      </x:c>
      <x:c r="Q153" s="9"/>
      <x:c r="R153" s="9"/>
      <x:c r="S153" s="9" t="n">
        <x:f>V153/17</x:f>
        <x:v>5.635294117647058</x:v>
      </x:c>
      <x:c r="T153" s="9" t="n">
        <x:f>IF(P153=1,MAX(0,0.258*(14.9-S153)),0)</x:f>
        <x:v>0</x:v>
      </x:c>
      <x:c r="U153" s="9" t="n">
        <x:f>T153*17</x:f>
        <x:v>0</x:v>
      </x:c>
      <x:c r="V153" s="9" t="n">
        <x:f>C153*Scoring!$B$32+D153/Scoring!$C$32+E153*Scoring!$D$32+F153*Scoring!$E$32+G153/Scoring!$F$32+H153*Scoring!$G$32+I153*Scoring!$H$32+K153*Scoring!$I$32+RB!L153*Scoring!$J$32</x:f>
        <x:v>95.8</x:v>
      </x:c>
      <x:c r="W153" s="9"/>
      <x:c r="X153" s="9"/>
      <x:c r="Y153" s="9"/>
      <x:c r="Z153" s="9"/>
    </x:row>
    <x:row r="154" ht="14.25" customHeight="1">
      <x:c r="B154" s="1" t="s">
        <x:v>488</x:v>
      </x:c>
      <x:c r="C154" s="1">
        <x:v>121.0</x:v>
      </x:c>
      <x:c r="D154" s="1">
        <x:v>532.0</x:v>
      </x:c>
      <x:c r="E154" s="1">
        <x:v>3.0</x:v>
      </x:c>
      <x:c r="F154" s="1">
        <x:v>18.0</x:v>
      </x:c>
      <x:c r="G154" s="1">
        <x:v>146.0</x:v>
      </x:c>
      <x:c r="H154" s="1">
        <x:v>1.0</x:v>
      </x:c>
      <x:c r="I154" s="1">
        <x:v>5.0</x:v>
      </x:c>
      <x:c r="J154" s="1">
        <x:v>84.0</x:v>
      </x:c>
      <x:c r="K154" s="18">
        <x:f t="shared" si="1"/>
        <x:v>29.55555556</x:v>
      </x:c>
      <x:c r="L154" s="18">
        <x:f t="shared" si="2"/>
        <x:v>6.905157233</x:v>
      </x:c>
      <x:c r="M154" s="119"/>
      <x:c r="N154" s="119"/>
      <x:c r="O154" s="119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  <x:c r="Z154" s="9"/>
    </x:row>
    <x:row r="155" ht="14.25" customHeight="1">
      <x:c r="B155" s="1" t="s">
        <x:v>489</x:v>
      </x:c>
      <x:c r="C155" s="1">
        <x:v>121.0</x:v>
      </x:c>
      <x:c r="D155" s="1">
        <x:v>532.0</x:v>
      </x:c>
      <x:c r="E155" s="1">
        <x:v>3.0</x:v>
      </x:c>
      <x:c r="F155" s="1">
        <x:v>18.0</x:v>
      </x:c>
      <x:c r="G155" s="1">
        <x:v>146.0</x:v>
      </x:c>
      <x:c r="H155" s="1">
        <x:v>1.0</x:v>
      </x:c>
      <x:c r="I155" s="1">
        <x:v>5.0</x:v>
      </x:c>
      <x:c r="J155" s="1">
        <x:v>84.0</x:v>
      </x:c>
      <x:c r="K155" s="18">
        <x:f t="shared" si="1"/>
        <x:v>29.55555556</x:v>
      </x:c>
      <x:c r="L155" s="18">
        <x:f t="shared" si="2"/>
        <x:v>6.905157233</x:v>
      </x:c>
      <x:c r="M155" s="119"/>
      <x:c r="N155" s="119"/>
      <x:c r="O155" s="119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  <x:c r="Z155" s="9"/>
    </x:row>
    <x:row r="156" ht="14.25" customHeight="1">
      <x:c r="A156" s="1" t="s">
        <x:v>654</x:v>
      </x:c>
      <x:c r="B156" s="1" t="s">
        <x:v>543</x:v>
      </x:c>
      <x:c r="C156" s="1">
        <x:v>111.7</x:v>
      </x:c>
      <x:c r="D156" s="1">
        <x:v>425.3</x:v>
      </x:c>
      <x:c r="E156" s="1">
        <x:v>4.7</x:v>
      </x:c>
      <x:c r="F156" s="1">
        <x:v>17.1</x:v>
      </x:c>
      <x:c r="G156" s="1">
        <x:v>110.9</x:v>
      </x:c>
      <x:c r="H156" s="1">
        <x:v>0.2</x:v>
      </x:c>
      <x:c r="I156" s="1">
        <x:v>0.6</x:v>
      </x:c>
      <x:c r="J156" s="1">
        <x:v>98.5</x:v>
      </x:c>
      <x:c r="K156" s="18">
        <x:f t="shared" si="1"/>
        <x:v>23.62777778</x:v>
      </x:c>
      <x:c r="L156" s="18">
        <x:f t="shared" si="2"/>
        <x:v>5.245081761</x:v>
      </x:c>
      <x:c r="M156" s="119" t="n">
        <x:f>C158*Scoring!$B$32+D158/Scoring!$C$32+E158*Scoring!$D$32+F158*Scoring!$E$32+G158/Scoring!$F$32+H158*Scoring!$G$32+I158*Scoring!$H$32+K158*Scoring!$I$32+RB!L158*Scoring!$J$32+U156</x:f>
        <x:v>74.86999999999999</x:v>
      </x:c>
      <x:c r="N156" s="119" t="n">
        <x:f>C156*Scoring!$B$32+D156/Scoring!$C$32+E156*Scoring!$D$32+F156*Scoring!$E$32+G156/Scoring!$F$32+H156*Scoring!$G$32+I156*Scoring!$H$32+K156*Scoring!$I$32+RB!L156*Scoring!$J$32+U156</x:f>
        <x:v>90.97000000000001</x:v>
      </x:c>
      <x:c r="O156" s="119" t="n">
        <x:f>C157*Scoring!$B$32+D157/Scoring!$C$32+E157*Scoring!$D$32+F157*Scoring!$E$32+G157/Scoring!$F$32+H157*Scoring!$G$32+I157*Scoring!$H$32+K157*Scoring!$I$32+L157*Scoring!$J$32+U156</x:f>
        <x:v>106.42999999999999</x:v>
      </x:c>
      <x:c r="P156" s="9" t="n">
        <x:f>IF(COUNTIF(Rookies!$A:$A,A156)&gt;0,1,0)</x:f>
        <x:v>0</x:v>
      </x:c>
      <x:c r="Q156" s="9"/>
      <x:c r="R156" s="9"/>
      <x:c r="S156" s="9" t="n">
        <x:f>V156/17</x:f>
        <x:v>5.351176470588236</x:v>
      </x:c>
      <x:c r="T156" s="9" t="n">
        <x:f>IF(P156=1,MAX(0,0.258*(14.9-S156)),0)</x:f>
        <x:v>0</x:v>
      </x:c>
      <x:c r="U156" s="9" t="n">
        <x:f>T156*17</x:f>
        <x:v>0</x:v>
      </x:c>
      <x:c r="V156" s="9" t="n">
        <x:f>C156*Scoring!$B$32+D156/Scoring!$C$32+E156*Scoring!$D$32+F156*Scoring!$E$32+G156/Scoring!$F$32+H156*Scoring!$G$32+I156*Scoring!$H$32+K156*Scoring!$I$32+RB!L156*Scoring!$J$32</x:f>
        <x:v>90.97000000000001</x:v>
      </x:c>
      <x:c r="W156" s="9"/>
      <x:c r="X156" s="9"/>
      <x:c r="Y156" s="9"/>
      <x:c r="Z156" s="9"/>
    </x:row>
    <x:row r="157" ht="14.25" customHeight="1">
      <x:c r="B157" s="1" t="s">
        <x:v>488</x:v>
      </x:c>
      <x:c r="C157" s="1">
        <x:v>126.0</x:v>
      </x:c>
      <x:c r="D157" s="1">
        <x:v>466.0</x:v>
      </x:c>
      <x:c r="E157" s="1">
        <x:v>6.0</x:v>
      </x:c>
      <x:c r="F157" s="1">
        <x:v>18.1</x:v>
      </x:c>
      <x:c r="G157" s="1">
        <x:v>125.8</x:v>
      </x:c>
      <x:c r="H157" s="1">
        <x:v>0.4</x:v>
      </x:c>
      <x:c r="I157" s="1">
        <x:v>0.2</x:v>
      </x:c>
      <x:c r="J157" s="1">
        <x:v>93.1</x:v>
      </x:c>
      <x:c r="K157" s="18">
        <x:f t="shared" si="1"/>
        <x:v>25.88888889</x:v>
      </x:c>
      <x:c r="L157" s="18">
        <x:f t="shared" si="2"/>
        <x:v>5.949786164</x:v>
      </x:c>
      <x:c r="M157" s="119"/>
      <x:c r="N157" s="119"/>
      <x:c r="O157" s="119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  <x:c r="Z157" s="9"/>
    </x:row>
    <x:row r="158" ht="14.25" customHeight="1">
      <x:c r="B158" s="1" t="s">
        <x:v>489</x:v>
      </x:c>
      <x:c r="C158" s="1">
        <x:v>97.4</x:v>
      </x:c>
      <x:c r="D158" s="1">
        <x:v>384.7</x:v>
      </x:c>
      <x:c r="E158" s="1">
        <x:v>3.3</x:v>
      </x:c>
      <x:c r="F158" s="1">
        <x:v>16.0</x:v>
      </x:c>
      <x:c r="G158" s="1">
        <x:v>96.0</x:v>
      </x:c>
      <x:c r="H158" s="1">
        <x:v>0.0</x:v>
      </x:c>
      <x:c r="I158" s="1">
        <x:v>1.0</x:v>
      </x:c>
      <x:c r="J158" s="1">
        <x:v>90.2</x:v>
      </x:c>
      <x:c r="K158" s="18">
        <x:f t="shared" si="1"/>
        <x:v>21.37222222</x:v>
      </x:c>
      <x:c r="L158" s="18">
        <x:f t="shared" si="2"/>
        <x:v>4.540377358</x:v>
      </x:c>
      <x:c r="M158" s="119"/>
      <x:c r="N158" s="119"/>
      <x:c r="O158" s="119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</x:row>
    <x:row r="159" ht="14.25" customHeight="1">
      <x:c r="A159" s="1" t="s">
        <x:v>655</x:v>
      </x:c>
      <x:c r="B159" s="1" t="s">
        <x:v>539</x:v>
      </x:c>
      <x:c r="C159" s="1">
        <x:v>111.8</x:v>
      </x:c>
      <x:c r="D159" s="1">
        <x:v>449.0</x:v>
      </x:c>
      <x:c r="E159" s="1">
        <x:v>4.5</x:v>
      </x:c>
      <x:c r="F159" s="1">
        <x:v>13.9</x:v>
      </x:c>
      <x:c r="G159" s="1">
        <x:v>100.8</x:v>
      </x:c>
      <x:c r="H159" s="1">
        <x:v>0.7</x:v>
      </x:c>
      <x:c r="I159" s="1">
        <x:v>1.7</x:v>
      </x:c>
      <x:c r="J159" s="1">
        <x:v>96.5</x:v>
      </x:c>
      <x:c r="K159" s="18">
        <x:f t="shared" si="1"/>
        <x:v>24.94444444</x:v>
      </x:c>
      <x:c r="L159" s="18">
        <x:f t="shared" si="2"/>
        <x:v>4.767396226</x:v>
      </x:c>
      <x:c r="M159" s="119" t="n">
        <x:f>C161*Scoring!$B$32+D161/Scoring!$C$32+E161*Scoring!$D$32+F161*Scoring!$E$32+G161/Scoring!$F$32+H161*Scoring!$G$32+I161*Scoring!$H$32+K161*Scoring!$I$32+RB!L161*Scoring!$J$32+U159</x:f>
        <x:v>67.01</x:v>
      </x:c>
      <x:c r="N159" s="119" t="n">
        <x:f>C159*Scoring!$B$32+D159/Scoring!$C$32+E159*Scoring!$D$32+F159*Scoring!$E$32+G159/Scoring!$F$32+H159*Scoring!$G$32+I159*Scoring!$H$32+K159*Scoring!$I$32+RB!L159*Scoring!$J$32+U159</x:f>
        <x:v>91.43</x:v>
      </x:c>
      <x:c r="O159" s="119" t="n">
        <x:f>C160*Scoring!$B$32+D160/Scoring!$C$32+E160*Scoring!$D$32+F160*Scoring!$E$32+G160/Scoring!$F$32+H160*Scoring!$G$32+I160*Scoring!$H$32+K160*Scoring!$I$32+L160*Scoring!$J$32+U159</x:f>
        <x:v>115.19999999999999</x:v>
      </x:c>
      <x:c r="P159" s="9" t="n">
        <x:f>IF(COUNTIF(Rookies!$A:$A,A159)&gt;0,1,0)</x:f>
        <x:v>0</x:v>
      </x:c>
      <x:c r="Q159" s="9"/>
      <x:c r="R159" s="9"/>
      <x:c r="S159" s="9" t="n">
        <x:f>V159/17</x:f>
        <x:v>5.378235294117648</x:v>
      </x:c>
      <x:c r="T159" s="9" t="n">
        <x:f>IF(P159=1,MAX(0,0.258*(14.9-S159)),0)</x:f>
        <x:v>0</x:v>
      </x:c>
      <x:c r="U159" s="9" t="n">
        <x:f>T159*17</x:f>
        <x:v>0</x:v>
      </x:c>
      <x:c r="V159" s="9" t="n">
        <x:f>C159*Scoring!$B$32+D159/Scoring!$C$32+E159*Scoring!$D$32+F159*Scoring!$E$32+G159/Scoring!$F$32+H159*Scoring!$G$32+I159*Scoring!$H$32+K159*Scoring!$I$32+RB!L159*Scoring!$J$32</x:f>
        <x:v>91.43</x:v>
      </x:c>
      <x:c r="W159" s="9"/>
      <x:c r="X159" s="9"/>
      <x:c r="Y159" s="9"/>
      <x:c r="Z159" s="9"/>
    </x:row>
    <x:row r="160" ht="14.25" customHeight="1">
      <x:c r="B160" s="1" t="s">
        <x:v>488</x:v>
      </x:c>
      <x:c r="C160" s="1">
        <x:v>141.0</x:v>
      </x:c>
      <x:c r="D160" s="1">
        <x:v>550.0</x:v>
      </x:c>
      <x:c r="E160" s="1">
        <x:v>6.0</x:v>
      </x:c>
      <x:c r="F160" s="1">
        <x:v>15.0</x:v>
      </x:c>
      <x:c r="G160" s="1">
        <x:v>111.0</x:v>
      </x:c>
      <x:c r="H160" s="1">
        <x:v>1.0</x:v>
      </x:c>
      <x:c r="I160" s="1">
        <x:v>0.4</x:v>
      </x:c>
      <x:c r="J160" s="1">
        <x:v>100.9</x:v>
      </x:c>
      <x:c r="K160" s="18">
        <x:f t="shared" si="1"/>
        <x:v>30.55555556</x:v>
      </x:c>
      <x:c r="L160" s="18">
        <x:f t="shared" si="2"/>
        <x:v>5.249811321</x:v>
      </x:c>
      <x:c r="M160" s="119"/>
      <x:c r="N160" s="119"/>
      <x:c r="O160" s="119"/>
      <x:c r="P160" s="9"/>
      <x:c r="Q160" s="9"/>
      <x:c r="R160" s="9"/>
      <x:c r="S160" s="9"/>
      <x:c r="T160" s="9"/>
      <x:c r="U160" s="9"/>
      <x:c r="V160" s="9"/>
      <x:c r="W160" s="9"/>
      <x:c r="X160" s="9"/>
      <x:c r="Y160" s="9"/>
      <x:c r="Z160" s="9"/>
    </x:row>
    <x:row r="161" ht="14.25" customHeight="1">
      <x:c r="B161" s="1" t="s">
        <x:v>489</x:v>
      </x:c>
      <x:c r="C161" s="1">
        <x:v>82.6</x:v>
      </x:c>
      <x:c r="D161" s="1">
        <x:v>348.1</x:v>
      </x:c>
      <x:c r="E161" s="1">
        <x:v>2.9</x:v>
      </x:c>
      <x:c r="F161" s="1">
        <x:v>12.7</x:v>
      </x:c>
      <x:c r="G161" s="1">
        <x:v>90.5</x:v>
      </x:c>
      <x:c r="H161" s="1">
        <x:v>0.4</x:v>
      </x:c>
      <x:c r="I161" s="1">
        <x:v>3.0</x:v>
      </x:c>
      <x:c r="J161" s="1">
        <x:v>77.8</x:v>
      </x:c>
      <x:c r="K161" s="18">
        <x:f t="shared" si="1"/>
        <x:v>19.33888889</x:v>
      </x:c>
      <x:c r="L161" s="18">
        <x:f t="shared" si="2"/>
        <x:v>4.280251572</x:v>
      </x:c>
      <x:c r="M161" s="119"/>
      <x:c r="N161" s="119"/>
      <x:c r="O161" s="119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  <x:c r="Z161" s="9"/>
    </x:row>
    <x:row r="162" ht="14.25" customHeight="1">
      <x:c r="A162" s="1" t="s">
        <x:v>656</x:v>
      </x:c>
      <x:c r="B162" s="1" t="s">
        <x:v>499</x:v>
      </x:c>
      <x:c r="C162" s="1">
        <x:v>98.5</x:v>
      </x:c>
      <x:c r="D162" s="1">
        <x:v>441.8</x:v>
      </x:c>
      <x:c r="E162" s="1">
        <x:v>3.7</x:v>
      </x:c>
      <x:c r="F162" s="1">
        <x:v>17.9</x:v>
      </x:c>
      <x:c r="G162" s="1">
        <x:v>135.7</x:v>
      </x:c>
      <x:c r="H162" s="1">
        <x:v>0.4</x:v>
      </x:c>
      <x:c r="I162" s="1">
        <x:v>1.9</x:v>
      </x:c>
      <x:c r="J162" s="1">
        <x:v>96.1</x:v>
      </x:c>
      <x:c r="K162" s="18">
        <x:f t="shared" si="1"/>
        <x:v>24.54444444</x:v>
      </x:c>
      <x:c r="L162" s="18">
        <x:f t="shared" si="2"/>
        <x:v>6.418012579</x:v>
      </x:c>
      <x:c r="M162" s="119" t="n">
        <x:f>C164*Scoring!$B$32+D164/Scoring!$C$32+E164*Scoring!$D$32+F164*Scoring!$E$32+G164/Scoring!$F$32+H164*Scoring!$G$32+I164*Scoring!$H$32+K164*Scoring!$I$32+RB!L164*Scoring!$J$32+U162</x:f>
        <x:v>83.16000000000001</x:v>
      </x:c>
      <x:c r="N162" s="119" t="n">
        <x:f>C162*Scoring!$B$32+D162/Scoring!$C$32+E162*Scoring!$D$32+F162*Scoring!$E$32+G162/Scoring!$F$32+H162*Scoring!$G$32+I162*Scoring!$H$32+K162*Scoring!$I$32+RB!L162*Scoring!$J$32+U162</x:f>
        <x:v>89.39999999999999</x:v>
      </x:c>
      <x:c r="O162" s="119" t="n">
        <x:f>C163*Scoring!$B$32+D163/Scoring!$C$32+E163*Scoring!$D$32+F163*Scoring!$E$32+G163/Scoring!$F$32+H163*Scoring!$G$32+I163*Scoring!$H$32+K163*Scoring!$I$32+L163*Scoring!$J$32+U162</x:f>
        <x:v>95.04</x:v>
      </x:c>
      <x:c r="P162" s="9" t="n">
        <x:f>IF(COUNTIF(Rookies!$A:$A,A162)&gt;0,1,0)</x:f>
        <x:v>0</x:v>
      </x:c>
      <x:c r="Q162" s="9"/>
      <x:c r="R162" s="9"/>
      <x:c r="S162" s="9" t="n">
        <x:f>V162/17</x:f>
        <x:v>5.258823529411764</x:v>
      </x:c>
      <x:c r="T162" s="9" t="n">
        <x:f>IF(P162=1,MAX(0,0.258*(14.9-S162)),0)</x:f>
        <x:v>0</x:v>
      </x:c>
      <x:c r="U162" s="9" t="n">
        <x:f>T162*17</x:f>
        <x:v>0</x:v>
      </x:c>
      <x:c r="V162" s="9" t="n">
        <x:f>C162*Scoring!$B$32+D162/Scoring!$C$32+E162*Scoring!$D$32+F162*Scoring!$E$32+G162/Scoring!$F$32+H162*Scoring!$G$32+I162*Scoring!$H$32+K162*Scoring!$I$32+RB!L162*Scoring!$J$32</x:f>
        <x:v>89.39999999999999</x:v>
      </x:c>
      <x:c r="W162" s="9"/>
      <x:c r="X162" s="9"/>
      <x:c r="Y162" s="9"/>
      <x:c r="Z162" s="9"/>
    </x:row>
    <x:row r="163" ht="14.25" customHeight="1">
      <x:c r="B163" s="1" t="s">
        <x:v>488</x:v>
      </x:c>
      <x:c r="C163" s="1">
        <x:v>101.1</x:v>
      </x:c>
      <x:c r="D163" s="1">
        <x:v>443.0</x:v>
      </x:c>
      <x:c r="E163" s="1">
        <x:v>4.0</x:v>
      </x:c>
      <x:c r="F163" s="1">
        <x:v>18.8</x:v>
      </x:c>
      <x:c r="G163" s="1">
        <x:v>139.4</x:v>
      </x:c>
      <x:c r="H163" s="1">
        <x:v>0.7</x:v>
      </x:c>
      <x:c r="I163" s="1">
        <x:v>0.8</x:v>
      </x:c>
      <x:c r="J163" s="1">
        <x:v>99.6</x:v>
      </x:c>
      <x:c r="K163" s="18">
        <x:f t="shared" si="1"/>
        <x:v>24.61111111</x:v>
      </x:c>
      <x:c r="L163" s="18">
        <x:f t="shared" si="2"/>
        <x:v>6.593006289</x:v>
      </x:c>
      <x:c r="M163" s="119"/>
      <x:c r="N163" s="119"/>
      <x:c r="O163" s="119"/>
      <x:c r="P163" s="9"/>
      <x:c r="Q163" s="9"/>
      <x:c r="R163" s="9"/>
      <x:c r="S163" s="9"/>
      <x:c r="T163" s="9"/>
      <x:c r="U163" s="9"/>
      <x:c r="V163" s="9"/>
      <x:c r="W163" s="9"/>
      <x:c r="X163" s="9"/>
      <x:c r="Y163" s="9"/>
      <x:c r="Z163" s="9"/>
    </x:row>
    <x:row r="164" ht="14.25" customHeight="1">
      <x:c r="B164" s="1" t="s">
        <x:v>489</x:v>
      </x:c>
      <x:c r="C164" s="1">
        <x:v>96.0</x:v>
      </x:c>
      <x:c r="D164" s="1">
        <x:v>440.6</x:v>
      </x:c>
      <x:c r="E164" s="1">
        <x:v>3.4</x:v>
      </x:c>
      <x:c r="F164" s="1">
        <x:v>17.0</x:v>
      </x:c>
      <x:c r="G164" s="1">
        <x:v>132.0</x:v>
      </x:c>
      <x:c r="H164" s="1">
        <x:v>0.0</x:v>
      </x:c>
      <x:c r="I164" s="1">
        <x:v>3.0</x:v>
      </x:c>
      <x:c r="J164" s="1">
        <x:v>76.9</x:v>
      </x:c>
      <x:c r="K164" s="18">
        <x:f t="shared" si="1"/>
        <x:v>24.47777778</x:v>
      </x:c>
      <x:c r="L164" s="18">
        <x:f t="shared" si="2"/>
        <x:v>6.243018868</x:v>
      </x:c>
      <x:c r="M164" s="119"/>
      <x:c r="N164" s="119"/>
      <x:c r="O164" s="119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  <x:c r="Z164" s="9"/>
    </x:row>
    <x:row r="165" ht="14.25" customHeight="1">
      <x:c r="A165" s="1" t="s">
        <x:v>657</x:v>
      </x:c>
      <x:c r="B165" s="1" t="s">
        <x:v>505</x:v>
      </x:c>
      <x:c r="C165" s="1">
        <x:v>135.5</x:v>
      </x:c>
      <x:c r="D165" s="1">
        <x:v>560.8</x:v>
      </x:c>
      <x:c r="E165" s="1">
        <x:v>5.1</x:v>
      </x:c>
      <x:c r="F165" s="1">
        <x:v>5.4</x:v>
      </x:c>
      <x:c r="G165" s="1">
        <x:v>42.8</x:v>
      </x:c>
      <x:c r="H165" s="1">
        <x:v>0.1</x:v>
      </x:c>
      <x:c r="I165" s="1">
        <x:v>0.6</x:v>
      </x:c>
      <x:c r="J165" s="1">
        <x:v>95.6</x:v>
      </x:c>
      <x:c r="K165" s="18">
        <x:f t="shared" si="1"/>
        <x:v>31.15555556</x:v>
      </x:c>
      <x:c r="L165" s="18">
        <x:f t="shared" si="2"/>
        <x:v>2.024251572</x:v>
      </x:c>
      <x:c r="M165" s="119" t="n">
        <x:f>C167*Scoring!$B$32+D167/Scoring!$C$32+E167*Scoring!$D$32+F167*Scoring!$E$32+G167/Scoring!$F$32+H167*Scoring!$G$32+I167*Scoring!$H$32+K167*Scoring!$I$32+RB!L167*Scoring!$J$32+U165</x:f>
        <x:v>65.92999999999999</x:v>
      </x:c>
      <x:c r="N165" s="119" t="n">
        <x:f>C165*Scoring!$B$32+D165/Scoring!$C$32+E165*Scoring!$D$32+F165*Scoring!$E$32+G165/Scoring!$F$32+H165*Scoring!$G$32+I165*Scoring!$H$32+K165*Scoring!$I$32+RB!L165*Scoring!$J$32+U165</x:f>
        <x:v>93.66</x:v>
      </x:c>
      <x:c r="O165" s="119" t="n">
        <x:f>C166*Scoring!$B$32+D166/Scoring!$C$32+E166*Scoring!$D$32+F166*Scoring!$E$32+G166/Scoring!$F$32+H166*Scoring!$G$32+I166*Scoring!$H$32+K166*Scoring!$I$32+L166*Scoring!$J$32+U165</x:f>
        <x:v>130.89999999999998</x:v>
      </x:c>
      <x:c r="P165" s="9" t="n">
        <x:f>IF(COUNTIF(Rookies!$A:$A,A165)&gt;0,1,0)</x:f>
        <x:v>0</x:v>
      </x:c>
      <x:c r="Q165" s="9"/>
      <x:c r="R165" s="9"/>
      <x:c r="S165" s="9" t="n">
        <x:f>V165/17</x:f>
        <x:v>5.509411764705882</x:v>
      </x:c>
      <x:c r="T165" s="9" t="n">
        <x:f>IF(P165=1,MAX(0,0.258*(14.9-S165)),0)</x:f>
        <x:v>0</x:v>
      </x:c>
      <x:c r="U165" s="9" t="n">
        <x:f>T165*17</x:f>
        <x:v>0</x:v>
      </x:c>
      <x:c r="V165" s="9" t="n">
        <x:f>C165*Scoring!$B$32+D165/Scoring!$C$32+E165*Scoring!$D$32+F165*Scoring!$E$32+G165/Scoring!$F$32+H165*Scoring!$G$32+I165*Scoring!$H$32+K165*Scoring!$I$32+RB!L165*Scoring!$J$32</x:f>
        <x:v>93.66</x:v>
      </x:c>
      <x:c r="W165" s="9"/>
      <x:c r="X165" s="9"/>
      <x:c r="Y165" s="9"/>
      <x:c r="Z165" s="9"/>
    </x:row>
    <x:row r="166" ht="14.25" customHeight="1">
      <x:c r="B166" s="1" t="s">
        <x:v>488</x:v>
      </x:c>
      <x:c r="C166" s="1">
        <x:v>177.0</x:v>
      </x:c>
      <x:c r="D166" s="1">
        <x:v>694.0</x:v>
      </x:c>
      <x:c r="E166" s="1">
        <x:v>8.0</x:v>
      </x:c>
      <x:c r="F166" s="1">
        <x:v>10.0</x:v>
      </x:c>
      <x:c r="G166" s="1">
        <x:v>76.0</x:v>
      </x:c>
      <x:c r="H166" s="1">
        <x:v>0.2</x:v>
      </x:c>
      <x:c r="I166" s="1">
        <x:v>0.3</x:v>
      </x:c>
      <x:c r="J166" s="1">
        <x:v>113.4</x:v>
      </x:c>
      <x:c r="K166" s="18">
        <x:f t="shared" si="1"/>
        <x:v>38.55555556</x:v>
      </x:c>
      <x:c r="L166" s="18">
        <x:f t="shared" si="2"/>
        <x:v>3.594465409</x:v>
      </x:c>
      <x:c r="M166" s="119"/>
      <x:c r="N166" s="119"/>
      <x:c r="O166" s="119"/>
      <x:c r="P166" s="9"/>
      <x:c r="Q166" s="9"/>
      <x:c r="R166" s="9"/>
      <x:c r="S166" s="9"/>
      <x:c r="T166" s="9"/>
      <x:c r="U166" s="9"/>
      <x:c r="V166" s="9"/>
      <x:c r="W166" s="9"/>
      <x:c r="X166" s="9"/>
      <x:c r="Y166" s="9"/>
      <x:c r="Z166" s="9"/>
    </x:row>
    <x:row r="167" ht="14.25" customHeight="1">
      <x:c r="B167" s="1" t="s">
        <x:v>489</x:v>
      </x:c>
      <x:c r="C167" s="1">
        <x:v>100.5</x:v>
      </x:c>
      <x:c r="D167" s="1">
        <x:v>432.3</x:v>
      </x:c>
      <x:c r="E167" s="1">
        <x:v>3.4</x:v>
      </x:c>
      <x:c r="F167" s="1">
        <x:v>2.0</x:v>
      </x:c>
      <x:c r="G167" s="1">
        <x:v>23.0</x:v>
      </x:c>
      <x:c r="H167" s="1">
        <x:v>0.0</x:v>
      </x:c>
      <x:c r="I167" s="1">
        <x:v>1.0</x:v>
      </x:c>
      <x:c r="J167" s="1">
        <x:v>72.7</x:v>
      </x:c>
      <x:c r="K167" s="18">
        <x:f t="shared" si="1"/>
        <x:v>24.01666667</x:v>
      </x:c>
      <x:c r="L167" s="18">
        <x:f t="shared" si="2"/>
        <x:v>1.087798742</x:v>
      </x:c>
      <x:c r="M167" s="119"/>
      <x:c r="N167" s="119"/>
      <x:c r="O167" s="119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</x:row>
    <x:row r="168" ht="14.25" customHeight="1">
      <x:c r="A168" s="1" t="s">
        <x:v>658</x:v>
      </x:c>
      <x:c r="B168" s="1" t="s">
        <x:v>487</x:v>
      </x:c>
      <x:c r="C168" s="1">
        <x:v>51.9</x:v>
      </x:c>
      <x:c r="D168" s="1">
        <x:v>218.8</x:v>
      </x:c>
      <x:c r="E168" s="1">
        <x:v>1.7</x:v>
      </x:c>
      <x:c r="F168" s="1">
        <x:v>24.9</x:v>
      </x:c>
      <x:c r="G168" s="1">
        <x:v>252.7</x:v>
      </x:c>
      <x:c r="H168" s="1">
        <x:v>2.1</x:v>
      </x:c>
      <x:c r="I168" s="1">
        <x:v>0.2</x:v>
      </x:c>
      <x:c r="J168" s="1">
        <x:v>94.5</x:v>
      </x:c>
      <x:c r="K168" s="18">
        <x:f t="shared" si="1"/>
        <x:v>12.15555556</x:v>
      </x:c>
      <x:c r="L168" s="18">
        <x:f t="shared" si="2"/>
        <x:v>11.95159748</x:v>
      </x:c>
      <x:c r="M168" s="119" t="n">
        <x:f>C170*Scoring!$B$32+D170/Scoring!$C$32+E170*Scoring!$D$32+F170*Scoring!$E$32+G170/Scoring!$F$32+H170*Scoring!$G$32+I170*Scoring!$H$32+K170*Scoring!$I$32+RB!L170*Scoring!$J$32+U168</x:f>
        <x:v>66.19999999999999</x:v>
      </x:c>
      <x:c r="N168" s="119" t="n">
        <x:f>C168*Scoring!$B$32+D168/Scoring!$C$32+E168*Scoring!$D$32+F168*Scoring!$E$32+G168/Scoring!$F$32+H168*Scoring!$G$32+I168*Scoring!$H$32+K168*Scoring!$I$32+RB!L168*Scoring!$J$32+U168</x:f>
        <x:v>82.2</x:v>
      </x:c>
      <x:c r="O168" s="119" t="n">
        <x:f>C169*Scoring!$B$32+D169/Scoring!$C$32+E169*Scoring!$D$32+F169*Scoring!$E$32+G169/Scoring!$F$32+H169*Scoring!$G$32+I169*Scoring!$H$32+K169*Scoring!$I$32+L169*Scoring!$J$32+U168</x:f>
        <x:v>95.6</x:v>
      </x:c>
      <x:c r="P168" s="9" t="n">
        <x:f>IF(COUNTIF(Rookies!$A:$A,A168)&gt;0,1,0)</x:f>
        <x:v>0</x:v>
      </x:c>
      <x:c r="Q168" s="9"/>
      <x:c r="R168" s="9"/>
      <x:c r="S168" s="9" t="n">
        <x:f>V168/17</x:f>
        <x:v>4.835294117647059</x:v>
      </x:c>
      <x:c r="T168" s="9" t="n">
        <x:f>IF(P168=1,MAX(0,0.258*(14.9-S168)),0)</x:f>
        <x:v>0</x:v>
      </x:c>
      <x:c r="U168" s="9" t="n">
        <x:f>T168*17</x:f>
        <x:v>0</x:v>
      </x:c>
      <x:c r="V168" s="9" t="n">
        <x:f>C168*Scoring!$B$32+D168/Scoring!$C$32+E168*Scoring!$D$32+F168*Scoring!$E$32+G168/Scoring!$F$32+H168*Scoring!$G$32+I168*Scoring!$H$32+K168*Scoring!$I$32+RB!L168*Scoring!$J$32</x:f>
        <x:v>82.2</x:v>
      </x:c>
      <x:c r="W168" s="9"/>
      <x:c r="X168" s="9"/>
      <x:c r="Y168" s="9"/>
      <x:c r="Z168" s="9"/>
    </x:row>
    <x:row r="169" ht="14.25" customHeight="1">
      <x:c r="B169" s="1" t="s">
        <x:v>488</x:v>
      </x:c>
      <x:c r="C169" s="1">
        <x:v>53.0</x:v>
      </x:c>
      <x:c r="D169" s="1">
        <x:v>225.0</x:v>
      </x:c>
      <x:c r="E169" s="1">
        <x:v>2.1</x:v>
      </x:c>
      <x:c r="F169" s="1">
        <x:v>29.0</x:v>
      </x:c>
      <x:c r="G169" s="1">
        <x:v>280.0</x:v>
      </x:c>
      <x:c r="H169" s="1">
        <x:v>3.0</x:v>
      </x:c>
      <x:c r="I169" s="1">
        <x:v>0.0</x:v>
      </x:c>
      <x:c r="J169" s="1">
        <x:v>105.6</x:v>
      </x:c>
      <x:c r="K169" s="18">
        <x:f t="shared" si="1"/>
        <x:v>12.5</x:v>
      </x:c>
      <x:c r="L169" s="18">
        <x:f t="shared" si="2"/>
        <x:v>13.2427673</x:v>
      </x:c>
      <x:c r="M169" s="119"/>
      <x:c r="N169" s="119"/>
      <x:c r="O169" s="119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</x:row>
    <x:row r="170" ht="14.25" customHeight="1">
      <x:c r="B170" s="1" t="s">
        <x:v>489</x:v>
      </x:c>
      <x:c r="C170" s="1">
        <x:v>50.8</x:v>
      </x:c>
      <x:c r="D170" s="1">
        <x:v>212.0</x:v>
      </x:c>
      <x:c r="E170" s="1">
        <x:v>1.0</x:v>
      </x:c>
      <x:c r="F170" s="1">
        <x:v>21.6</x:v>
      </x:c>
      <x:c r="G170" s="1">
        <x:v>208.0</x:v>
      </x:c>
      <x:c r="H170" s="1">
        <x:v>1.3</x:v>
      </x:c>
      <x:c r="I170" s="1">
        <x:v>0.4</x:v>
      </x:c>
      <x:c r="J170" s="1">
        <x:v>88.0</x:v>
      </x:c>
      <x:c r="K170" s="18">
        <x:f t="shared" si="1"/>
        <x:v>11.77777778</x:v>
      </x:c>
      <x:c r="L170" s="18">
        <x:f t="shared" si="2"/>
        <x:v>9.837484277</x:v>
      </x:c>
      <x:c r="M170" s="119"/>
      <x:c r="N170" s="119"/>
      <x:c r="O170" s="119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  <x:c r="Z170" s="9"/>
    </x:row>
    <x:row r="171" ht="14.25" customHeight="1">
      <x:c r="A171" s="1" t="s">
        <x:v>659</x:v>
      </x:c>
      <x:c r="B171" s="1" t="s">
        <x:v>503</x:v>
      </x:c>
      <x:c r="C171" s="1">
        <x:v>113.6</x:v>
      </x:c>
      <x:c r="D171" s="1">
        <x:v>452.7</x:v>
      </x:c>
      <x:c r="E171" s="1">
        <x:v>3.6</x:v>
      </x:c>
      <x:c r="F171" s="1">
        <x:v>10.6</x:v>
      </x:c>
      <x:c r="G171" s="1">
        <x:v>95.0</x:v>
      </x:c>
      <x:c r="H171" s="1">
        <x:v>0.7</x:v>
      </x:c>
      <x:c r="I171" s="1">
        <x:v>1.2</x:v>
      </x:c>
      <x:c r="J171" s="1">
        <x:v>88.7</x:v>
      </x:c>
      <x:c r="K171" s="18">
        <x:f t="shared" si="1"/>
        <x:v>25.15</x:v>
      </x:c>
      <x:c r="L171" s="18">
        <x:f t="shared" si="2"/>
        <x:v>4.493081761</x:v>
      </x:c>
      <x:c r="M171" s="119" t="n">
        <x:f>C173*Scoring!$B$32+D173/Scoring!$C$32+E173*Scoring!$D$32+F173*Scoring!$E$32+G173/Scoring!$F$32+H173*Scoring!$G$32+I173*Scoring!$H$32+K173*Scoring!$I$32+RB!L173*Scoring!$J$32+U171</x:f>
        <x:v>98.65654</x:v>
      </x:c>
      <x:c r="N171" s="119" t="n">
        <x:f>C171*Scoring!$B$32+D171/Scoring!$C$32+E171*Scoring!$D$32+F171*Scoring!$E$32+G171/Scoring!$F$32+H171*Scoring!$G$32+I171*Scoring!$H$32+K171*Scoring!$I$32+RB!L171*Scoring!$J$32+U171</x:f>
        <x:v>128.17654</x:v>
      </x:c>
      <x:c r="O171" s="119" t="n">
        <x:f>C172*Scoring!$B$32+D172/Scoring!$C$32+E172*Scoring!$D$32+F172*Scoring!$E$32+G172/Scoring!$F$32+H172*Scoring!$G$32+I172*Scoring!$H$32+K172*Scoring!$I$32+L172*Scoring!$J$32+U171</x:f>
        <x:v>157.80654</x:v>
      </x:c>
      <x:c r="P171" s="9" t="n">
        <x:f>IF(COUNTIF(Rookies!$A:$A,A171)&gt;0,1,0)</x:f>
        <x:v>1</x:v>
      </x:c>
      <x:c r="Q171" s="9"/>
      <x:c r="R171" s="9"/>
      <x:c r="S171" s="9" t="n">
        <x:f>V171/17</x:f>
        <x:v>4.9805882352941175</x:v>
      </x:c>
      <x:c r="T171" s="9" t="n">
        <x:f>IF(P171=1,MAX(0,0.258*(14.9-S171)),0)</x:f>
        <x:v>2.559208235294118</x:v>
      </x:c>
      <x:c r="U171" s="9" t="n">
        <x:f>T171*17</x:f>
        <x:v>43.50654</x:v>
      </x:c>
      <x:c r="V171" s="9" t="n">
        <x:f>C171*Scoring!$B$32+D171/Scoring!$C$32+E171*Scoring!$D$32+F171*Scoring!$E$32+G171/Scoring!$F$32+H171*Scoring!$G$32+I171*Scoring!$H$32+K171*Scoring!$I$32+RB!L171*Scoring!$J$32</x:f>
        <x:v>84.67</x:v>
      </x:c>
      <x:c r="W171" s="9"/>
      <x:c r="X171" s="9"/>
      <x:c r="Y171" s="9"/>
      <x:c r="Z171" s="9"/>
    </x:row>
    <x:row r="172" ht="14.25" customHeight="1">
      <x:c r="B172" s="1" t="s">
        <x:v>488</x:v>
      </x:c>
      <x:c r="C172" s="1">
        <x:v>152.0</x:v>
      </x:c>
      <x:c r="D172" s="1">
        <x:v>594.0</x:v>
      </x:c>
      <x:c r="E172" s="1">
        <x:v>5.0</x:v>
      </x:c>
      <x:c r="F172" s="1">
        <x:v>13.0</x:v>
      </x:c>
      <x:c r="G172" s="1">
        <x:v>127.0</x:v>
      </x:c>
      <x:c r="H172" s="1">
        <x:v>1.0</x:v>
      </x:c>
      <x:c r="I172" s="1">
        <x:v>0.3</x:v>
      </x:c>
      <x:c r="J172" s="1">
        <x:v>97.6</x:v>
      </x:c>
      <x:c r="K172" s="18">
        <x:f t="shared" si="1"/>
        <x:v>33</x:v>
      </x:c>
      <x:c r="L172" s="18">
        <x:f t="shared" si="2"/>
        <x:v>6.006540881</x:v>
      </x:c>
      <x:c r="M172" s="119"/>
      <x:c r="N172" s="119"/>
      <x:c r="O172" s="119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  <x:c r="Z172" s="9"/>
    </x:row>
    <x:row r="173" ht="14.25" customHeight="1">
      <x:c r="B173" s="1" t="s">
        <x:v>489</x:v>
      </x:c>
      <x:c r="C173" s="1">
        <x:v>75.2</x:v>
      </x:c>
      <x:c r="D173" s="1">
        <x:v>311.5</x:v>
      </x:c>
      <x:c r="E173" s="1">
        <x:v>2.2</x:v>
      </x:c>
      <x:c r="F173" s="1">
        <x:v>8.2</x:v>
      </x:c>
      <x:c r="G173" s="1">
        <x:v>63.0</x:v>
      </x:c>
      <x:c r="H173" s="1">
        <x:v>0.4</x:v>
      </x:c>
      <x:c r="I173" s="1">
        <x:v>2.0</x:v>
      </x:c>
      <x:c r="J173" s="1">
        <x:v>63.0</x:v>
      </x:c>
      <x:c r="K173" s="18">
        <x:f t="shared" si="1"/>
        <x:v>17.30555556</x:v>
      </x:c>
      <x:c r="L173" s="18">
        <x:f t="shared" si="2"/>
        <x:v>2.979622642</x:v>
      </x:c>
      <x:c r="M173" s="119"/>
      <x:c r="N173" s="119"/>
      <x:c r="O173" s="119"/>
      <x:c r="P173" s="9"/>
      <x:c r="Q173" s="9"/>
      <x:c r="R173" s="9"/>
      <x:c r="S173" s="9"/>
      <x:c r="T173" s="9"/>
      <x:c r="U173" s="9"/>
      <x:c r="V173" s="9"/>
      <x:c r="W173" s="9"/>
      <x:c r="X173" s="9"/>
      <x:c r="Y173" s="9"/>
      <x:c r="Z173" s="9"/>
    </x:row>
    <x:row r="174" ht="14.25" customHeight="1">
      <x:c r="A174" s="1" t="s">
        <x:v>660</x:v>
      </x:c>
      <x:c r="B174" s="1" t="s">
        <x:v>551</x:v>
      </x:c>
      <x:c r="C174" s="1">
        <x:v>126.8</x:v>
      </x:c>
      <x:c r="D174" s="1">
        <x:v>544.7</x:v>
      </x:c>
      <x:c r="E174" s="1">
        <x:v>3.8</x:v>
      </x:c>
      <x:c r="F174" s="1">
        <x:v>6.4</x:v>
      </x:c>
      <x:c r="G174" s="1">
        <x:v>41.1</x:v>
      </x:c>
      <x:c r="H174" s="1">
        <x:v>0.1</x:v>
      </x:c>
      <x:c r="I174" s="1">
        <x:v>0.7</x:v>
      </x:c>
      <x:c r="J174" s="1">
        <x:v>87.4</x:v>
      </x:c>
      <x:c r="K174" s="18">
        <x:f t="shared" si="1"/>
        <x:v>30.26111111</x:v>
      </x:c>
      <x:c r="L174" s="18">
        <x:f t="shared" si="2"/>
        <x:v>1.943849057</x:v>
      </x:c>
      <x:c r="M174" s="119" t="n">
        <x:f>C176*Scoring!$B$32+D176/Scoring!$C$32+E176*Scoring!$D$32+F176*Scoring!$E$32+G176/Scoring!$F$32+H176*Scoring!$G$32+I176*Scoring!$H$32+K176*Scoring!$I$32+RB!L176*Scoring!$J$32+U174</x:f>
        <x:v>78.39999999999999</x:v>
      </x:c>
      <x:c r="N174" s="119" t="n">
        <x:f>C174*Scoring!$B$32+D174/Scoring!$C$32+E174*Scoring!$D$32+F174*Scoring!$E$32+G174/Scoring!$F$32+H174*Scoring!$G$32+I174*Scoring!$H$32+K174*Scoring!$I$32+RB!L174*Scoring!$J$32+U174</x:f>
        <x:v>84.48</x:v>
      </x:c>
      <x:c r="O174" s="119" t="n">
        <x:f>C175*Scoring!$B$32+D175/Scoring!$C$32+E175*Scoring!$D$32+F175*Scoring!$E$32+G175/Scoring!$F$32+H175*Scoring!$G$32+I175*Scoring!$H$32+K175*Scoring!$I$32+L175*Scoring!$J$32+U174</x:f>
        <x:v>91.64999999999999</x:v>
      </x:c>
      <x:c r="P174" s="9" t="n">
        <x:f>IF(COUNTIF(Rookies!$A:$A,A174)&gt;0,1,0)</x:f>
        <x:v>0</x:v>
      </x:c>
      <x:c r="Q174" s="9"/>
      <x:c r="R174" s="9"/>
      <x:c r="S174" s="9" t="n">
        <x:f>V174/17</x:f>
        <x:v>4.969411764705883</x:v>
      </x:c>
      <x:c r="T174" s="9" t="n">
        <x:f>IF(P174=1,MAX(0,0.258*(14.9-S174)),0)</x:f>
        <x:v>0</x:v>
      </x:c>
      <x:c r="U174" s="9" t="n">
        <x:f>T174*17</x:f>
        <x:v>0</x:v>
      </x:c>
      <x:c r="V174" s="9" t="n">
        <x:f>C174*Scoring!$B$32+D174/Scoring!$C$32+E174*Scoring!$D$32+F174*Scoring!$E$32+G174/Scoring!$F$32+H174*Scoring!$G$32+I174*Scoring!$H$32+K174*Scoring!$I$32+RB!L174*Scoring!$J$32</x:f>
        <x:v>84.48</x:v>
      </x:c>
      <x:c r="W174" s="9"/>
      <x:c r="X174" s="9"/>
      <x:c r="Y174" s="9"/>
      <x:c r="Z174" s="9"/>
    </x:row>
    <x:row r="175" ht="14.25" customHeight="1">
      <x:c r="B175" s="1" t="s">
        <x:v>488</x:v>
      </x:c>
      <x:c r="C175" s="1">
        <x:v>134.6</x:v>
      </x:c>
      <x:c r="D175" s="1">
        <x:v>560.4</x:v>
      </x:c>
      <x:c r="E175" s="1">
        <x:v>4.0</x:v>
      </x:c>
      <x:c r="F175" s="1">
        <x:v>8.8</x:v>
      </x:c>
      <x:c r="G175" s="1">
        <x:v>59.1</x:v>
      </x:c>
      <x:c r="H175" s="1">
        <x:v>0.3</x:v>
      </x:c>
      <x:c r="I175" s="1">
        <x:v>0.5</x:v>
      </x:c>
      <x:c r="J175" s="1">
        <x:v>91.6</x:v>
      </x:c>
      <x:c r="K175" s="18">
        <x:f t="shared" si="1"/>
        <x:v>31.13333333</x:v>
      </x:c>
      <x:c r="L175" s="18">
        <x:f t="shared" si="2"/>
        <x:v>2.795169811</x:v>
      </x:c>
      <x:c r="M175" s="119"/>
      <x:c r="N175" s="119"/>
      <x:c r="O175" s="119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  <x:c r="Z175" s="9"/>
    </x:row>
    <x:row r="176" ht="14.25" customHeight="1">
      <x:c r="B176" s="1" t="s">
        <x:v>489</x:v>
      </x:c>
      <x:c r="C176" s="1">
        <x:v>119.0</x:v>
      </x:c>
      <x:c r="D176" s="1">
        <x:v>529.0</x:v>
      </x:c>
      <x:c r="E176" s="1">
        <x:v>3.7</x:v>
      </x:c>
      <x:c r="F176" s="1">
        <x:v>4.0</x:v>
      </x:c>
      <x:c r="G176" s="1">
        <x:v>23.0</x:v>
      </x:c>
      <x:c r="H176" s="1">
        <x:v>0.0</x:v>
      </x:c>
      <x:c r="I176" s="1">
        <x:v>1.0</x:v>
      </x:c>
      <x:c r="J176" s="1">
        <x:v>75.4</x:v>
      </x:c>
      <x:c r="K176" s="18">
        <x:f t="shared" si="1"/>
        <x:v>29.38888889</x:v>
      </x:c>
      <x:c r="L176" s="18">
        <x:f t="shared" si="2"/>
        <x:v>1.087798742</x:v>
      </x:c>
      <x:c r="M176" s="119"/>
      <x:c r="N176" s="119"/>
      <x:c r="O176" s="119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  <x:c r="Z176" s="9"/>
    </x:row>
    <x:row r="177" ht="14.25" customHeight="1">
      <x:c r="A177" s="1" t="s">
        <x:v>661</x:v>
      </x:c>
      <x:c r="B177" s="1" t="s">
        <x:v>513</x:v>
      </x:c>
      <x:c r="C177" s="1">
        <x:v>95.6</x:v>
      </x:c>
      <x:c r="D177" s="1">
        <x:v>432.8</x:v>
      </x:c>
      <x:c r="E177" s="1">
        <x:v>2.2</x:v>
      </x:c>
      <x:c r="F177" s="1">
        <x:v>15.5</x:v>
      </x:c>
      <x:c r="G177" s="1">
        <x:v>114.5</x:v>
      </x:c>
      <x:c r="H177" s="1">
        <x:v>0.4</x:v>
      </x:c>
      <x:c r="I177" s="1">
        <x:v>0.7</x:v>
      </x:c>
      <x:c r="J177" s="1">
        <x:v>84.4</x:v>
      </x:c>
      <x:c r="K177" s="18">
        <x:f t="shared" si="1"/>
        <x:v>24.04444444</x:v>
      </x:c>
      <x:c r="L177" s="18">
        <x:f t="shared" si="2"/>
        <x:v>5.415345912</x:v>
      </x:c>
      <x:c r="M177" s="119" t="n">
        <x:f>C179*Scoring!$B$32+D179/Scoring!$C$32+E179*Scoring!$D$32+F179*Scoring!$E$32+G179/Scoring!$F$32+H179*Scoring!$G$32+I179*Scoring!$H$32+K179*Scoring!$I$32+RB!L179*Scoring!$J$32+U177</x:f>
        <x:v>62.96000000000001</x:v>
      </x:c>
      <x:c r="N177" s="119" t="n">
        <x:f>C177*Scoring!$B$32+D177/Scoring!$C$32+E177*Scoring!$D$32+F177*Scoring!$E$32+G177/Scoring!$F$32+H177*Scoring!$G$32+I177*Scoring!$H$32+K177*Scoring!$I$32+RB!L177*Scoring!$J$32+U177</x:f>
        <x:v>77.38000000000001</x:v>
      </x:c>
      <x:c r="O177" s="119" t="n">
        <x:f>C178*Scoring!$B$32+D178/Scoring!$C$32+E178*Scoring!$D$32+F178*Scoring!$E$32+G178/Scoring!$F$32+H178*Scoring!$G$32+I178*Scoring!$H$32+K178*Scoring!$I$32+L178*Scoring!$J$32+U177</x:f>
        <x:v>91.75</x:v>
      </x:c>
      <x:c r="P177" s="9" t="n">
        <x:f>IF(COUNTIF(Rookies!$A:$A,A177)&gt;0,1,0)</x:f>
        <x:v>0</x:v>
      </x:c>
      <x:c r="Q177" s="9"/>
      <x:c r="R177" s="9"/>
      <x:c r="S177" s="9" t="n">
        <x:f>V177/17</x:f>
        <x:v>4.551764705882354</x:v>
      </x:c>
      <x:c r="T177" s="9" t="n">
        <x:f>IF(P177=1,MAX(0,0.258*(14.9-S177)),0)</x:f>
        <x:v>0</x:v>
      </x:c>
      <x:c r="U177" s="9" t="n">
        <x:f>T177*17</x:f>
        <x:v>0</x:v>
      </x:c>
      <x:c r="V177" s="9" t="n">
        <x:f>C177*Scoring!$B$32+D177/Scoring!$C$32+E177*Scoring!$D$32+F177*Scoring!$E$32+G177/Scoring!$F$32+H177*Scoring!$G$32+I177*Scoring!$H$32+K177*Scoring!$I$32+RB!L177*Scoring!$J$32</x:f>
        <x:v>77.38000000000001</x:v>
      </x:c>
      <x:c r="W177" s="9"/>
      <x:c r="X177" s="9"/>
      <x:c r="Y177" s="9"/>
      <x:c r="Z177" s="9"/>
    </x:row>
    <x:row r="178" ht="14.25" customHeight="1">
      <x:c r="B178" s="1" t="s">
        <x:v>488</x:v>
      </x:c>
      <x:c r="C178" s="1">
        <x:v>108.0</x:v>
      </x:c>
      <x:c r="D178" s="1">
        <x:v>473.0</x:v>
      </x:c>
      <x:c r="E178" s="1">
        <x:v>2.4</x:v>
      </x:c>
      <x:c r="F178" s="1">
        <x:v>20.1</x:v>
      </x:c>
      <x:c r="G178" s="1">
        <x:v>157.0</x:v>
      </x:c>
      <x:c r="H178" s="1">
        <x:v>0.8</x:v>
      </x:c>
      <x:c r="I178" s="1">
        <x:v>0.5</x:v>
      </x:c>
      <x:c r="J178" s="1">
        <x:v>89.4</x:v>
      </x:c>
      <x:c r="K178" s="18">
        <x:f t="shared" si="1"/>
        <x:v>26.27777778</x:v>
      </x:c>
      <x:c r="L178" s="18">
        <x:f t="shared" si="2"/>
        <x:v>7.425408805</x:v>
      </x:c>
      <x:c r="M178" s="119"/>
      <x:c r="N178" s="119"/>
      <x:c r="O178" s="119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  <x:c r="Z178" s="9"/>
    </x:row>
    <x:row r="179" ht="14.25" customHeight="1">
      <x:c r="B179" s="1" t="s">
        <x:v>489</x:v>
      </x:c>
      <x:c r="C179" s="1">
        <x:v>83.3</x:v>
      </x:c>
      <x:c r="D179" s="1">
        <x:v>392.6</x:v>
      </x:c>
      <x:c r="E179" s="1">
        <x:v>2.0</x:v>
      </x:c>
      <x:c r="F179" s="1">
        <x:v>11.0</x:v>
      </x:c>
      <x:c r="G179" s="1">
        <x:v>72.0</x:v>
      </x:c>
      <x:c r="H179" s="1">
        <x:v>0.0</x:v>
      </x:c>
      <x:c r="I179" s="1">
        <x:v>1.0</x:v>
      </x:c>
      <x:c r="J179" s="1">
        <x:v>66.5</x:v>
      </x:c>
      <x:c r="K179" s="18">
        <x:f t="shared" si="1"/>
        <x:v>21.81111111</x:v>
      </x:c>
      <x:c r="L179" s="18">
        <x:f t="shared" si="2"/>
        <x:v>3.405283019</x:v>
      </x:c>
      <x:c r="M179" s="119"/>
      <x:c r="N179" s="119"/>
      <x:c r="O179" s="119"/>
      <x:c r="P179" s="9"/>
      <x:c r="Q179" s="9"/>
      <x:c r="R179" s="9"/>
      <x:c r="S179" s="9"/>
      <x:c r="T179" s="9"/>
      <x:c r="U179" s="9"/>
      <x:c r="V179" s="9"/>
      <x:c r="W179" s="9"/>
      <x:c r="X179" s="9"/>
      <x:c r="Y179" s="9"/>
      <x:c r="Z179" s="9"/>
    </x:row>
    <x:row r="180" ht="14.25" customHeight="1">
      <x:c r="A180" s="1" t="s">
        <x:v>662</x:v>
      </x:c>
      <x:c r="B180" s="1" t="s">
        <x:v>509</x:v>
      </x:c>
      <x:c r="C180" s="1">
        <x:v>76.8</x:v>
      </x:c>
      <x:c r="D180" s="1">
        <x:v>427.5</x:v>
      </x:c>
      <x:c r="E180" s="1">
        <x:v>1.7</x:v>
      </x:c>
      <x:c r="F180" s="1">
        <x:v>16.4</x:v>
      </x:c>
      <x:c r="G180" s="1">
        <x:v>119.7</x:v>
      </x:c>
      <x:c r="H180" s="1">
        <x:v>0.8</x:v>
      </x:c>
      <x:c r="I180" s="1">
        <x:v>1.7</x:v>
      </x:c>
      <x:c r="J180" s="1">
        <x:v>82.8</x:v>
      </x:c>
      <x:c r="K180" s="18">
        <x:f t="shared" si="1"/>
        <x:v>23.75</x:v>
      </x:c>
      <x:c r="L180" s="18">
        <x:f t="shared" si="2"/>
        <x:v>5.661283019</x:v>
      </x:c>
      <x:c r="M180" s="119" t="n">
        <x:f>C182*Scoring!$B$32+D182/Scoring!$C$32+E182*Scoring!$D$32+F182*Scoring!$E$32+G182/Scoring!$F$32+H182*Scoring!$G$32+I182*Scoring!$H$32+K182*Scoring!$I$32+RB!L182*Scoring!$J$32+U180</x:f>
        <x:v>53.269999999999996</x:v>
      </x:c>
      <x:c r="N180" s="119" t="n">
        <x:f>C180*Scoring!$B$32+D180/Scoring!$C$32+E180*Scoring!$D$32+F180*Scoring!$E$32+G180/Scoring!$F$32+H180*Scoring!$G$32+I180*Scoring!$H$32+K180*Scoring!$I$32+RB!L180*Scoring!$J$32+U180</x:f>
        <x:v>76.22</x:v>
      </x:c>
      <x:c r="O180" s="119" t="n">
        <x:f>C181*Scoring!$B$32+D181/Scoring!$C$32+E181*Scoring!$D$32+F181*Scoring!$E$32+G181/Scoring!$F$32+H181*Scoring!$G$32+I181*Scoring!$H$32+K181*Scoring!$I$32+L181*Scoring!$J$32+U180</x:f>
        <x:v>99.2</x:v>
      </x:c>
      <x:c r="P180" s="9" t="n">
        <x:f>IF(COUNTIF(Rookies!$A:$A,A180)&gt;0,1,0)</x:f>
        <x:v>0</x:v>
      </x:c>
      <x:c r="Q180" s="9"/>
      <x:c r="R180" s="9"/>
      <x:c r="S180" s="9" t="n">
        <x:f>V180/17</x:f>
        <x:v>4.483529411764706</x:v>
      </x:c>
      <x:c r="T180" s="9" t="n">
        <x:f>IF(P180=1,MAX(0,0.258*(14.9-S180)),0)</x:f>
        <x:v>0</x:v>
      </x:c>
      <x:c r="U180" s="9" t="n">
        <x:f>T180*17</x:f>
        <x:v>0</x:v>
      </x:c>
      <x:c r="V180" s="9" t="n">
        <x:f>C180*Scoring!$B$32+D180/Scoring!$C$32+E180*Scoring!$D$32+F180*Scoring!$E$32+G180/Scoring!$F$32+H180*Scoring!$G$32+I180*Scoring!$H$32+K180*Scoring!$I$32+RB!L180*Scoring!$J$32</x:f>
        <x:v>76.22</x:v>
      </x:c>
      <x:c r="W180" s="9"/>
      <x:c r="X180" s="9"/>
      <x:c r="Y180" s="9"/>
      <x:c r="Z180" s="9"/>
    </x:row>
    <x:row r="181" ht="14.25" customHeight="1">
      <x:c r="B181" s="1" t="s">
        <x:v>488</x:v>
      </x:c>
      <x:c r="C181" s="1">
        <x:v>100.0</x:v>
      </x:c>
      <x:c r="D181" s="1">
        <x:v>599.0</x:v>
      </x:c>
      <x:c r="E181" s="1">
        <x:v>2.0</x:v>
      </x:c>
      <x:c r="F181" s="1">
        <x:v>17.0</x:v>
      </x:c>
      <x:c r="G181" s="1">
        <x:v>131.0</x:v>
      </x:c>
      <x:c r="H181" s="1">
        <x:v>1.0</x:v>
      </x:c>
      <x:c r="I181" s="1">
        <x:v>0.3</x:v>
      </x:c>
      <x:c r="J181" s="1">
        <x:v>85.4</x:v>
      </x:c>
      <x:c r="K181" s="18">
        <x:f t="shared" si="1"/>
        <x:v>33.27777778</x:v>
      </x:c>
      <x:c r="L181" s="18">
        <x:f t="shared" si="2"/>
        <x:v>6.19572327</x:v>
      </x:c>
      <x:c r="M181" s="119"/>
      <x:c r="N181" s="119"/>
      <x:c r="O181" s="119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  <x:c r="Z181" s="9"/>
    </x:row>
    <x:row r="182" ht="14.25" customHeight="1">
      <x:c r="B182" s="1" t="s">
        <x:v>489</x:v>
      </x:c>
      <x:c r="C182" s="1">
        <x:v>53.7</x:v>
      </x:c>
      <x:c r="D182" s="1">
        <x:v>255.9</x:v>
      </x:c>
      <x:c r="E182" s="1">
        <x:v>1.4</x:v>
      </x:c>
      <x:c r="F182" s="1">
        <x:v>15.7</x:v>
      </x:c>
      <x:c r="G182" s="1">
        <x:v>108.3</x:v>
      </x:c>
      <x:c r="H182" s="1">
        <x:v>0.6</x:v>
      </x:c>
      <x:c r="I182" s="1">
        <x:v>3.0</x:v>
      </x:c>
      <x:c r="J182" s="1">
        <x:v>64.4</x:v>
      </x:c>
      <x:c r="K182" s="18">
        <x:f t="shared" si="1"/>
        <x:v>14.21666667</x:v>
      </x:c>
      <x:c r="L182" s="18">
        <x:f t="shared" si="2"/>
        <x:v>5.122113208</x:v>
      </x:c>
      <x:c r="M182" s="119"/>
      <x:c r="N182" s="119"/>
      <x:c r="O182" s="119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</x:row>
    <x:row r="183" ht="14.25" customHeight="1">
      <x:c r="A183" s="1" t="s">
        <x:v>663</x:v>
      </x:c>
      <x:c r="B183" s="1" t="s">
        <x:v>497</x:v>
      </x:c>
      <x:c r="C183" s="1">
        <x:v>104.6</x:v>
      </x:c>
      <x:c r="D183" s="1">
        <x:v>510.9</x:v>
      </x:c>
      <x:c r="E183" s="1">
        <x:v>4.2</x:v>
      </x:c>
      <x:c r="F183" s="1">
        <x:v>3.8</x:v>
      </x:c>
      <x:c r="G183" s="1">
        <x:v>31.8</x:v>
      </x:c>
      <x:c r="H183" s="1">
        <x:v>0.1</x:v>
      </x:c>
      <x:c r="I183" s="1">
        <x:v>0.7</x:v>
      </x:c>
      <x:c r="J183" s="1">
        <x:v>82.2</x:v>
      </x:c>
      <x:c r="K183" s="18">
        <x:f t="shared" si="1"/>
        <x:v>28.38333333</x:v>
      </x:c>
      <x:c r="L183" s="18">
        <x:f t="shared" si="2"/>
        <x:v>1.504</x:v>
      </x:c>
      <x:c r="M183" s="119" t="n">
        <x:f>C185*Scoring!$B$32+D185/Scoring!$C$32+E185*Scoring!$D$32+F185*Scoring!$E$32+G185/Scoring!$F$32+H185*Scoring!$G$32+I185*Scoring!$H$32+K185*Scoring!$I$32+RB!L185*Scoring!$J$32+U183</x:f>
        <x:v>61.349999999999994</x:v>
      </x:c>
      <x:c r="N183" s="119" t="n">
        <x:f>C183*Scoring!$B$32+D183/Scoring!$C$32+E183*Scoring!$D$32+F183*Scoring!$E$32+G183/Scoring!$F$32+H183*Scoring!$G$32+I183*Scoring!$H$32+K183*Scoring!$I$32+RB!L183*Scoring!$J$32+U183</x:f>
        <x:v>81.27</x:v>
      </x:c>
      <x:c r="O183" s="119" t="n">
        <x:f>C184*Scoring!$B$32+D184/Scoring!$C$32+E184*Scoring!$D$32+F184*Scoring!$E$32+G184/Scoring!$F$32+H184*Scoring!$G$32+I184*Scoring!$H$32+K184*Scoring!$I$32+L184*Scoring!$J$32+U183</x:f>
        <x:v>100.6</x:v>
      </x:c>
      <x:c r="P183" s="9" t="n">
        <x:f>IF(COUNTIF(Rookies!$A:$A,A183)&gt;0,1,0)</x:f>
        <x:v>0</x:v>
      </x:c>
      <x:c r="Q183" s="9"/>
      <x:c r="R183" s="9"/>
      <x:c r="S183" s="9" t="n">
        <x:f>V183/17</x:f>
        <x:v>4.780588235294117</x:v>
      </x:c>
      <x:c r="T183" s="9" t="n">
        <x:f>IF(P183=1,MAX(0,0.258*(14.9-S183)),0)</x:f>
        <x:v>0</x:v>
      </x:c>
      <x:c r="U183" s="9" t="n">
        <x:f>T183*17</x:f>
        <x:v>0</x:v>
      </x:c>
      <x:c r="V183" s="9" t="n">
        <x:f>C183*Scoring!$B$32+D183/Scoring!$C$32+E183*Scoring!$D$32+F183*Scoring!$E$32+G183/Scoring!$F$32+H183*Scoring!$G$32+I183*Scoring!$H$32+K183*Scoring!$I$32+RB!L183*Scoring!$J$32</x:f>
        <x:v>81.27</x:v>
      </x:c>
      <x:c r="W183" s="9"/>
      <x:c r="X183" s="9"/>
      <x:c r="Y183" s="9"/>
      <x:c r="Z183" s="9"/>
    </x:row>
    <x:row r="184" ht="14.25" customHeight="1">
      <x:c r="B184" s="1" t="s">
        <x:v>488</x:v>
      </x:c>
      <x:c r="C184" s="1">
        <x:v>126.0</x:v>
      </x:c>
      <x:c r="D184" s="1">
        <x:v>649.0</x:v>
      </x:c>
      <x:c r="E184" s="1">
        <x:v>5.0</x:v>
      </x:c>
      <x:c r="F184" s="1">
        <x:v>4.0</x:v>
      </x:c>
      <x:c r="G184" s="1">
        <x:v>35.0</x:v>
      </x:c>
      <x:c r="H184" s="1">
        <x:v>0.1</x:v>
      </x:c>
      <x:c r="I184" s="1">
        <x:v>0.4</x:v>
      </x:c>
      <x:c r="J184" s="1">
        <x:v>88.8</x:v>
      </x:c>
      <x:c r="K184" s="18">
        <x:f t="shared" si="1"/>
        <x:v>36.05555556</x:v>
      </x:c>
      <x:c r="L184" s="18">
        <x:f t="shared" si="2"/>
        <x:v>1.655345912</x:v>
      </x:c>
      <x:c r="M184" s="119"/>
      <x:c r="N184" s="119"/>
      <x:c r="O184" s="119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</x:row>
    <x:row r="185" ht="14.25" customHeight="1">
      <x:c r="B185" s="1" t="s">
        <x:v>489</x:v>
      </x:c>
      <x:c r="C185" s="1">
        <x:v>83.2</x:v>
      </x:c>
      <x:c r="D185" s="1">
        <x:v>372.8</x:v>
      </x:c>
      <x:c r="E185" s="1">
        <x:v>3.4</x:v>
      </x:c>
      <x:c r="F185" s="1">
        <x:v>3.6</x:v>
      </x:c>
      <x:c r="G185" s="1">
        <x:v>28.7</x:v>
      </x:c>
      <x:c r="H185" s="1">
        <x:v>0.0</x:v>
      </x:c>
      <x:c r="I185" s="1">
        <x:v>1.0</x:v>
      </x:c>
      <x:c r="J185" s="1">
        <x:v>64.4</x:v>
      </x:c>
      <x:c r="K185" s="18">
        <x:f t="shared" si="1"/>
        <x:v>20.71111111</x:v>
      </x:c>
      <x:c r="L185" s="18">
        <x:f t="shared" si="2"/>
        <x:v>1.357383648</x:v>
      </x:c>
      <x:c r="M185" s="119"/>
      <x:c r="N185" s="119"/>
      <x:c r="O185" s="119"/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  <x:c r="Z185" s="9"/>
    </x:row>
    <x:row r="186" ht="14.25" customHeight="1">
      <x:c r="A186" s="1" t="s">
        <x:v>664</x:v>
      </x:c>
      <x:c r="B186" s="1" t="s">
        <x:v>503</x:v>
      </x:c>
      <x:c r="C186" s="1">
        <x:v>80.7</x:v>
      </x:c>
      <x:c r="D186" s="1">
        <x:v>322.6</x:v>
      </x:c>
      <x:c r="E186" s="1">
        <x:v>2.5</x:v>
      </x:c>
      <x:c r="F186" s="1">
        <x:v>14.0</x:v>
      </x:c>
      <x:c r="G186" s="1">
        <x:v>131.6</x:v>
      </x:c>
      <x:c r="H186" s="1">
        <x:v>0.6</x:v>
      </x:c>
      <x:c r="I186" s="1">
        <x:v>1.1</x:v>
      </x:c>
      <x:c r="J186" s="1">
        <x:v>75.8</x:v>
      </x:c>
      <x:c r="K186" s="18">
        <x:f t="shared" si="1"/>
        <x:v>17.92222222</x:v>
      </x:c>
      <x:c r="L186" s="18">
        <x:f t="shared" si="2"/>
        <x:v>6.224100629</x:v>
      </x:c>
      <x:c r="M186" s="119" t="n">
        <x:f>C188*Scoring!$B$32+D188/Scoring!$C$32+E188*Scoring!$D$32+F188*Scoring!$E$32+G188/Scoring!$F$32+H188*Scoring!$G$32+I188*Scoring!$H$32+K188*Scoring!$I$32+RB!L188*Scoring!$J$32+U186</x:f>
        <x:v>25.499999999999996</x:v>
      </x:c>
      <x:c r="N186" s="119" t="n">
        <x:f>C186*Scoring!$B$32+D186/Scoring!$C$32+E186*Scoring!$D$32+F186*Scoring!$E$32+G186/Scoring!$F$32+H186*Scoring!$G$32+I186*Scoring!$H$32+K186*Scoring!$I$32+RB!L186*Scoring!$J$32+U186</x:f>
        <x:v>69.92</x:v>
      </x:c>
      <x:c r="O186" s="119" t="n">
        <x:f>C187*Scoring!$B$32+D187/Scoring!$C$32+E187*Scoring!$D$32+F187*Scoring!$E$32+G187/Scoring!$F$32+H187*Scoring!$G$32+I187*Scoring!$H$32+K187*Scoring!$I$32+L187*Scoring!$J$32+U186</x:f>
        <x:v>114.4</x:v>
      </x:c>
      <x:c r="P186" s="9" t="n">
        <x:f>IF(COUNTIF(Rookies!$A:$A,A186)&gt;0,1,0)</x:f>
        <x:v>0</x:v>
      </x:c>
      <x:c r="Q186" s="9"/>
      <x:c r="R186" s="9"/>
      <x:c r="S186" s="9" t="n">
        <x:f>V186/17</x:f>
        <x:v>4.1129411764705885</x:v>
      </x:c>
      <x:c r="T186" s="9" t="n">
        <x:f>IF(P186=1,MAX(0,0.258*(14.9-S186)),0)</x:f>
        <x:v>0</x:v>
      </x:c>
      <x:c r="U186" s="9" t="n">
        <x:f>T186*17</x:f>
        <x:v>0</x:v>
      </x:c>
      <x:c r="V186" s="9" t="n">
        <x:f>C186*Scoring!$B$32+D186/Scoring!$C$32+E186*Scoring!$D$32+F186*Scoring!$E$32+G186/Scoring!$F$32+H186*Scoring!$G$32+I186*Scoring!$H$32+K186*Scoring!$I$32+RB!L186*Scoring!$J$32</x:f>
        <x:v>69.92</x:v>
      </x:c>
      <x:c r="W186" s="9"/>
      <x:c r="X186" s="9"/>
      <x:c r="Y186" s="9"/>
      <x:c r="Z186" s="9"/>
    </x:row>
    <x:row r="187" ht="14.25" customHeight="1">
      <x:c r="B187" s="1" t="s">
        <x:v>488</x:v>
      </x:c>
      <x:c r="C187" s="1">
        <x:v>126.0</x:v>
      </x:c>
      <x:c r="D187" s="1">
        <x:v>494.0</x:v>
      </x:c>
      <x:c r="E187" s="1">
        <x:v>4.0</x:v>
      </x:c>
      <x:c r="F187" s="1">
        <x:v>24.0</x:v>
      </x:c>
      <x:c r="G187" s="1">
        <x:v>232.0</x:v>
      </x:c>
      <x:c r="H187" s="1">
        <x:v>1.0</x:v>
      </x:c>
      <x:c r="I187" s="1">
        <x:v>0.2</x:v>
      </x:c>
      <x:c r="J187" s="1">
        <x:v>96.0</x:v>
      </x:c>
      <x:c r="K187" s="18">
        <x:f t="shared" si="1"/>
        <x:v>27.44444444</x:v>
      </x:c>
      <x:c r="L187" s="18">
        <x:f t="shared" si="2"/>
        <x:v>10.97257862</x:v>
      </x:c>
      <x:c r="M187" s="119"/>
      <x:c r="N187" s="119"/>
      <x:c r="O187" s="119"/>
      <x:c r="P187" s="9"/>
      <x:c r="Q187" s="9"/>
      <x:c r="R187" s="9"/>
      <x:c r="S187" s="9"/>
      <x:c r="T187" s="9"/>
      <x:c r="U187" s="9"/>
      <x:c r="V187" s="9"/>
      <x:c r="W187" s="9"/>
      <x:c r="X187" s="9"/>
      <x:c r="Y187" s="9"/>
      <x:c r="Z187" s="9"/>
    </x:row>
    <x:row r="188" ht="14.25" customHeight="1">
      <x:c r="B188" s="1" t="s">
        <x:v>489</x:v>
      </x:c>
      <x:c r="C188" s="1">
        <x:v>35.4</x:v>
      </x:c>
      <x:c r="D188" s="1">
        <x:v>151.2</x:v>
      </x:c>
      <x:c r="E188" s="1">
        <x:v>1.0</x:v>
      </x:c>
      <x:c r="F188" s="1">
        <x:v>4.1</x:v>
      </x:c>
      <x:c r="G188" s="1">
        <x:v>31.3</x:v>
      </x:c>
      <x:c r="H188" s="1">
        <x:v>0.2</x:v>
      </x:c>
      <x:c r="I188" s="1">
        <x:v>2.0</x:v>
      </x:c>
      <x:c r="J188" s="1">
        <x:v>39.2</x:v>
      </x:c>
      <x:c r="K188" s="18">
        <x:f t="shared" si="1"/>
        <x:v>8.4</x:v>
      </x:c>
      <x:c r="L188" s="18">
        <x:f t="shared" si="2"/>
        <x:v>1.480352201</x:v>
      </x:c>
      <x:c r="M188" s="119"/>
      <x:c r="N188" s="119"/>
      <x:c r="O188" s="119"/>
      <x:c r="P188" s="9"/>
      <x:c r="Q188" s="9"/>
      <x:c r="R188" s="9"/>
      <x:c r="S188" s="9"/>
      <x:c r="T188" s="9"/>
      <x:c r="U188" s="9"/>
      <x:c r="V188" s="9"/>
      <x:c r="W188" s="9"/>
      <x:c r="X188" s="9"/>
      <x:c r="Y188" s="9"/>
      <x:c r="Z188" s="9"/>
    </x:row>
    <x:row r="189" ht="14.25" customHeight="1">
      <x:c r="A189" s="1" t="s">
        <x:v>665</x:v>
      </x:c>
      <x:c r="B189" s="1" t="s">
        <x:v>515</x:v>
      </x:c>
      <x:c r="C189" s="1">
        <x:v>65.5</x:v>
      </x:c>
      <x:c r="D189" s="1">
        <x:v>272.4</x:v>
      </x:c>
      <x:c r="E189" s="1">
        <x:v>2.1</x:v>
      </x:c>
      <x:c r="F189" s="1">
        <x:v>17.4</x:v>
      </x:c>
      <x:c r="G189" s="1">
        <x:v>126.6</x:v>
      </x:c>
      <x:c r="H189" s="1">
        <x:v>0.8</x:v>
      </x:c>
      <x:c r="I189" s="1">
        <x:v>0.3</x:v>
      </x:c>
      <x:c r="J189" s="1">
        <x:v>74.1</x:v>
      </x:c>
      <x:c r="K189" s="18">
        <x:f t="shared" si="1"/>
        <x:v>15.13333333</x:v>
      </x:c>
      <x:c r="L189" s="18">
        <x:f t="shared" si="2"/>
        <x:v>5.987622642</x:v>
      </x:c>
      <x:c r="M189" s="119" t="n">
        <x:f>C191*Scoring!$B$32+D191/Scoring!$C$32+E191*Scoring!$D$32+F191*Scoring!$E$32+G191/Scoring!$F$32+H191*Scoring!$G$32+I191*Scoring!$H$32+K191*Scoring!$I$32+RB!L191*Scoring!$J$32+U189</x:f>
        <x:v>114.1008</x:v>
      </x:c>
      <x:c r="N189" s="119" t="n">
        <x:f>C189*Scoring!$B$32+D189/Scoring!$C$32+E189*Scoring!$D$32+F189*Scoring!$E$32+G189/Scoring!$F$32+H189*Scoring!$G$32+I189*Scoring!$H$32+K189*Scoring!$I$32+RB!L189*Scoring!$J$32+U189</x:f>
        <x:v>114.1008</x:v>
      </x:c>
      <x:c r="O189" s="119" t="n">
        <x:f>C190*Scoring!$B$32+D190/Scoring!$C$32+E190*Scoring!$D$32+F190*Scoring!$E$32+G190/Scoring!$F$32+H190*Scoring!$G$32+I190*Scoring!$H$32+K190*Scoring!$I$32+L190*Scoring!$J$32+U189</x:f>
        <x:v>114.1008</x:v>
      </x:c>
      <x:c r="P189" s="9" t="n">
        <x:f>IF(COUNTIF(Rookies!$A:$A,A189)&gt;0,1,0)</x:f>
        <x:v>1</x:v>
      </x:c>
      <x:c r="Q189" s="9"/>
      <x:c r="R189" s="9"/>
      <x:c r="S189" s="9" t="n">
        <x:f>V189/17</x:f>
        <x:v>3.864705882352941</x:v>
      </x:c>
      <x:c r="T189" s="9" t="n">
        <x:f>IF(P189=1,MAX(0,0.258*(14.9-S189)),0)</x:f>
        <x:v>2.8471058823529414</x:v>
      </x:c>
      <x:c r="U189" s="9" t="n">
        <x:f>T189*17</x:f>
        <x:v>48.400800000000004</x:v>
      </x:c>
      <x:c r="V189" s="9" t="n">
        <x:f>C189*Scoring!$B$32+D189/Scoring!$C$32+E189*Scoring!$D$32+F189*Scoring!$E$32+G189/Scoring!$F$32+H189*Scoring!$G$32+I189*Scoring!$H$32+K189*Scoring!$I$32+RB!L189*Scoring!$J$32</x:f>
        <x:v>65.7</x:v>
      </x:c>
      <x:c r="W189" s="9"/>
      <x:c r="X189" s="9"/>
      <x:c r="Y189" s="9"/>
      <x:c r="Z189" s="9"/>
    </x:row>
    <x:row r="190" ht="14.25" customHeight="1">
      <x:c r="B190" s="1" t="s">
        <x:v>488</x:v>
      </x:c>
      <x:c r="C190" s="1">
        <x:v>65.5</x:v>
      </x:c>
      <x:c r="D190" s="1">
        <x:v>272.4</x:v>
      </x:c>
      <x:c r="E190" s="1">
        <x:v>2.1</x:v>
      </x:c>
      <x:c r="F190" s="1">
        <x:v>17.4</x:v>
      </x:c>
      <x:c r="G190" s="1">
        <x:v>126.6</x:v>
      </x:c>
      <x:c r="H190" s="1">
        <x:v>0.8</x:v>
      </x:c>
      <x:c r="I190" s="1">
        <x:v>0.3</x:v>
      </x:c>
      <x:c r="J190" s="1">
        <x:v>74.5</x:v>
      </x:c>
      <x:c r="K190" s="18">
        <x:f t="shared" si="1"/>
        <x:v>15.13333333</x:v>
      </x:c>
      <x:c r="L190" s="18">
        <x:f t="shared" si="2"/>
        <x:v>5.987622642</x:v>
      </x:c>
      <x:c r="M190" s="119"/>
      <x:c r="N190" s="119"/>
      <x:c r="O190" s="119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</x:row>
    <x:row r="191" ht="14.25" customHeight="1">
      <x:c r="B191" s="1" t="s">
        <x:v>489</x:v>
      </x:c>
      <x:c r="C191" s="1">
        <x:v>65.5</x:v>
      </x:c>
      <x:c r="D191" s="1">
        <x:v>272.4</x:v>
      </x:c>
      <x:c r="E191" s="1">
        <x:v>2.1</x:v>
      </x:c>
      <x:c r="F191" s="1">
        <x:v>17.4</x:v>
      </x:c>
      <x:c r="G191" s="1">
        <x:v>126.6</x:v>
      </x:c>
      <x:c r="H191" s="1">
        <x:v>0.8</x:v>
      </x:c>
      <x:c r="I191" s="1">
        <x:v>0.3</x:v>
      </x:c>
      <x:c r="J191" s="1">
        <x:v>74.5</x:v>
      </x:c>
      <x:c r="K191" s="18">
        <x:f t="shared" si="1"/>
        <x:v>15.13333333</x:v>
      </x:c>
      <x:c r="L191" s="18">
        <x:f t="shared" si="2"/>
        <x:v>5.987622642</x:v>
      </x:c>
      <x:c r="M191" s="119"/>
      <x:c r="N191" s="119"/>
      <x:c r="O191" s="119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  <x:c r="Z191" s="9"/>
    </x:row>
    <x:row r="192" ht="14.25" customHeight="1">
      <x:c r="A192" s="1" t="s">
        <x:v>666</x:v>
      </x:c>
      <x:c r="B192" s="1" t="s">
        <x:v>491</x:v>
      </x:c>
      <x:c r="C192" s="1">
        <x:v>55.1</x:v>
      </x:c>
      <x:c r="D192" s="1">
        <x:v>281.7</x:v>
      </x:c>
      <x:c r="E192" s="1">
        <x:v>2.0</x:v>
      </x:c>
      <x:c r="F192" s="1">
        <x:v>10.8</x:v>
      </x:c>
      <x:c r="G192" s="1">
        <x:v>108.9</x:v>
      </x:c>
      <x:c r="H192" s="1">
        <x:v>1.1</x:v>
      </x:c>
      <x:c r="I192" s="1">
        <x:v>0.6</x:v>
      </x:c>
      <x:c r="J192" s="1">
        <x:v>67.1</x:v>
      </x:c>
      <x:c r="K192" s="18">
        <x:f t="shared" si="1"/>
        <x:v>15.65</x:v>
      </x:c>
      <x:c r="L192" s="18">
        <x:f t="shared" si="2"/>
        <x:v>5.150490566</x:v>
      </x:c>
      <x:c r="M192" s="119" t="n">
        <x:f>C194*Scoring!$B$32+D194/Scoring!$C$32+E194*Scoring!$D$32+F194*Scoring!$E$32+G194/Scoring!$F$32+H194*Scoring!$G$32+I194*Scoring!$H$32+K194*Scoring!$I$32+RB!L194*Scoring!$J$32+U192</x:f>
        <x:v>71.64672</x:v>
      </x:c>
      <x:c r="N192" s="119" t="n">
        <x:f>C192*Scoring!$B$32+D192/Scoring!$C$32+E192*Scoring!$D$32+F192*Scoring!$E$32+G192/Scoring!$F$32+H192*Scoring!$G$32+I192*Scoring!$H$32+K192*Scoring!$I$32+RB!L192*Scoring!$J$32+U192</x:f>
        <x:v>111.69672</x:v>
      </x:c>
      <x:c r="O192" s="119" t="n">
        <x:f>C193*Scoring!$B$32+D193/Scoring!$C$32+E193*Scoring!$D$32+F193*Scoring!$E$32+G193/Scoring!$F$32+H193*Scoring!$G$32+I193*Scoring!$H$32+K193*Scoring!$I$32+L193*Scoring!$J$32+U192</x:f>
        <x:v>151.23672</x:v>
      </x:c>
      <x:c r="P192" s="9" t="n">
        <x:f>IF(COUNTIF(Rookies!$A:$A,A192)&gt;0,1,0)</x:f>
        <x:v>1</x:v>
      </x:c>
      <x:c r="Q192" s="9"/>
      <x:c r="R192" s="9"/>
      <x:c r="S192" s="9" t="n">
        <x:f>V192/17</x:f>
        <x:v>3.6741176470588237</x:v>
      </x:c>
      <x:c r="T192" s="9" t="n">
        <x:f>IF(P192=1,MAX(0,0.258*(14.9-S192)),0)</x:f>
        <x:v>2.896277647058824</x:v>
      </x:c>
      <x:c r="U192" s="9" t="n">
        <x:f>T192*17</x:f>
        <x:v>49.236720000000005</x:v>
      </x:c>
      <x:c r="V192" s="9" t="n">
        <x:f>C192*Scoring!$B$32+D192/Scoring!$C$32+E192*Scoring!$D$32+F192*Scoring!$E$32+G192/Scoring!$F$32+H192*Scoring!$G$32+I192*Scoring!$H$32+K192*Scoring!$I$32+RB!L192*Scoring!$J$32</x:f>
        <x:v>62.46</x:v>
      </x:c>
      <x:c r="W192" s="9"/>
      <x:c r="X192" s="9"/>
      <x:c r="Y192" s="9"/>
      <x:c r="Z192" s="9"/>
    </x:row>
    <x:row r="193" ht="14.25" customHeight="1">
      <x:c r="B193" s="1" t="s">
        <x:v>488</x:v>
      </x:c>
      <x:c r="C193" s="1">
        <x:v>81.0</x:v>
      </x:c>
      <x:c r="D193" s="1">
        <x:v>442.0</x:v>
      </x:c>
      <x:c r="E193" s="1">
        <x:v>3.0</x:v>
      </x:c>
      <x:c r="F193" s="1">
        <x:v>18.0</x:v>
      </x:c>
      <x:c r="G193" s="1">
        <x:v>189.0</x:v>
      </x:c>
      <x:c r="H193" s="1">
        <x:v>2.0</x:v>
      </x:c>
      <x:c r="I193" s="1">
        <x:v>0.1</x:v>
      </x:c>
      <x:c r="J193" s="1">
        <x:v>86.8</x:v>
      </x:c>
      <x:c r="K193" s="18">
        <x:f t="shared" si="1"/>
        <x:v>24.55555556</x:v>
      </x:c>
      <x:c r="L193" s="18">
        <x:f t="shared" si="2"/>
        <x:v>8.938867925</x:v>
      </x:c>
      <x:c r="M193" s="119"/>
      <x:c r="N193" s="119"/>
      <x:c r="O193" s="119"/>
      <x:c r="P193" s="9"/>
      <x:c r="Q193" s="9"/>
      <x:c r="R193" s="9"/>
      <x:c r="S193" s="9"/>
      <x:c r="T193" s="9"/>
      <x:c r="U193" s="9"/>
      <x:c r="V193" s="9"/>
      <x:c r="W193" s="9"/>
      <x:c r="X193" s="9"/>
      <x:c r="Y193" s="9"/>
      <x:c r="Z193" s="9"/>
    </x:row>
    <x:row r="194" ht="14.25" customHeight="1">
      <x:c r="B194" s="1" t="s">
        <x:v>489</x:v>
      </x:c>
      <x:c r="C194" s="1">
        <x:v>29.3</x:v>
      </x:c>
      <x:c r="D194" s="1">
        <x:v>121.3</x:v>
      </x:c>
      <x:c r="E194" s="1">
        <x:v>0.9</x:v>
      </x:c>
      <x:c r="F194" s="1">
        <x:v>3.6</x:v>
      </x:c>
      <x:c r="G194" s="1">
        <x:v>28.8</x:v>
      </x:c>
      <x:c r="H194" s="1">
        <x:v>0.2</x:v>
      </x:c>
      <x:c r="I194" s="1">
        <x:v>1.0</x:v>
      </x:c>
      <x:c r="J194" s="1">
        <x:v>32.3</x:v>
      </x:c>
      <x:c r="K194" s="18">
        <x:f t="shared" si="1"/>
        <x:v>6.738888889</x:v>
      </x:c>
      <x:c r="L194" s="18">
        <x:f t="shared" si="2"/>
        <x:v>1.362113208</x:v>
      </x:c>
      <x:c r="M194" s="119"/>
      <x:c r="N194" s="119"/>
      <x:c r="O194" s="119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  <x:c r="Z194" s="9"/>
    </x:row>
    <x:row r="195" ht="14.25" customHeight="1">
      <x:c r="A195" s="1" t="s">
        <x:v>667</x:v>
      </x:c>
      <x:c r="B195" s="1" t="s">
        <x:v>531</x:v>
      </x:c>
      <x:c r="C195" s="1">
        <x:v>72.7</x:v>
      </x:c>
      <x:c r="D195" s="1">
        <x:v>324.6</x:v>
      </x:c>
      <x:c r="E195" s="1">
        <x:v>1.3</x:v>
      </x:c>
      <x:c r="F195" s="1">
        <x:v>13.4</x:v>
      </x:c>
      <x:c r="G195" s="1">
        <x:v>93.3</x:v>
      </x:c>
      <x:c r="H195" s="1">
        <x:v>0.2</x:v>
      </x:c>
      <x:c r="I195" s="1">
        <x:v>0.6</x:v>
      </x:c>
      <x:c r="J195" s="1">
        <x:v>63.2</x:v>
      </x:c>
      <x:c r="K195" s="18">
        <x:f t="shared" si="1"/>
        <x:v>18.03333333</x:v>
      </x:c>
      <x:c r="L195" s="18">
        <x:f t="shared" si="2"/>
        <x:v>4.412679245</x:v>
      </x:c>
      <x:c r="M195" s="119" t="n">
        <x:f>C197*Scoring!$B$32+D197/Scoring!$C$32+E197*Scoring!$D$32+F197*Scoring!$E$32+G197/Scoring!$F$32+H197*Scoring!$G$32+I197*Scoring!$H$32+K197*Scoring!$I$32+RB!L197*Scoring!$J$32+U195</x:f>
        <x:v>26.58</x:v>
      </x:c>
      <x:c r="N195" s="119" t="n">
        <x:f>C195*Scoring!$B$32+D195/Scoring!$C$32+E195*Scoring!$D$32+F195*Scoring!$E$32+G195/Scoring!$F$32+H195*Scoring!$G$32+I195*Scoring!$H$32+K195*Scoring!$I$32+RB!L195*Scoring!$J$32+U195</x:f>
        <x:v>56.89000000000001</x:v>
      </x:c>
      <x:c r="O195" s="119" t="n">
        <x:f>C196*Scoring!$B$32+D196/Scoring!$C$32+E196*Scoring!$D$32+F196*Scoring!$E$32+G196/Scoring!$F$32+H196*Scoring!$G$32+I196*Scoring!$H$32+K196*Scoring!$I$32+L196*Scoring!$J$32+U195</x:f>
        <x:v>87.30000000000001</x:v>
      </x:c>
      <x:c r="P195" s="9" t="n">
        <x:f>IF(COUNTIF(Rookies!$A:$A,A195)&gt;0,1,0)</x:f>
        <x:v>0</x:v>
      </x:c>
      <x:c r="Q195" s="9"/>
      <x:c r="R195" s="9"/>
      <x:c r="S195" s="9" t="n">
        <x:f>V195/17</x:f>
        <x:v>3.3464705882352948</x:v>
      </x:c>
      <x:c r="T195" s="9" t="n">
        <x:f>IF(P195=1,MAX(0,0.258*(14.9-S195)),0)</x:f>
        <x:v>0</x:v>
      </x:c>
      <x:c r="U195" s="9" t="n">
        <x:f>T195*17</x:f>
        <x:v>0</x:v>
      </x:c>
      <x:c r="V195" s="9" t="n">
        <x:f>C195*Scoring!$B$32+D195/Scoring!$C$32+E195*Scoring!$D$32+F195*Scoring!$E$32+G195/Scoring!$F$32+H195*Scoring!$G$32+I195*Scoring!$H$32+K195*Scoring!$I$32+RB!L195*Scoring!$J$32</x:f>
        <x:v>56.89000000000001</x:v>
      </x:c>
      <x:c r="W195" s="9"/>
      <x:c r="X195" s="9"/>
      <x:c r="Y195" s="9"/>
      <x:c r="Z195" s="9"/>
    </x:row>
    <x:row r="196" ht="14.25" customHeight="1">
      <x:c r="B196" s="1" t="s">
        <x:v>488</x:v>
      </x:c>
      <x:c r="C196" s="1">
        <x:v>123.0</x:v>
      </x:c>
      <x:c r="D196" s="1">
        <x:v>551.0</x:v>
      </x:c>
      <x:c r="E196" s="1">
        <x:v>2.0</x:v>
      </x:c>
      <x:c r="F196" s="1">
        <x:v>15.0</x:v>
      </x:c>
      <x:c r="G196" s="1">
        <x:v>104.0</x:v>
      </x:c>
      <x:c r="H196" s="1">
        <x:v>0.4</x:v>
      </x:c>
      <x:c r="I196" s="1">
        <x:v>0.1</x:v>
      </x:c>
      <x:c r="J196" s="1">
        <x:v>74.4</x:v>
      </x:c>
      <x:c r="K196" s="18">
        <x:f t="shared" si="1"/>
        <x:v>30.61111111</x:v>
      </x:c>
      <x:c r="L196" s="18">
        <x:f t="shared" si="2"/>
        <x:v>4.918742138</x:v>
      </x:c>
      <x:c r="M196" s="119"/>
      <x:c r="N196" s="119"/>
      <x:c r="O196" s="119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  <x:c r="Z196" s="9"/>
    </x:row>
    <x:row r="197" ht="14.25" customHeight="1">
      <x:c r="B197" s="1" t="s">
        <x:v>489</x:v>
      </x:c>
      <x:c r="C197" s="1">
        <x:v>22.4</x:v>
      </x:c>
      <x:c r="D197" s="1">
        <x:v>98.3</x:v>
      </x:c>
      <x:c r="E197" s="1">
        <x:v>0.6</x:v>
      </x:c>
      <x:c r="F197" s="1">
        <x:v>11.8</x:v>
      </x:c>
      <x:c r="G197" s="1">
        <x:v>82.5</x:v>
      </x:c>
      <x:c r="H197" s="1">
        <x:v>0.0</x:v>
      </x:c>
      <x:c r="I197" s="1">
        <x:v>1.0</x:v>
      </x:c>
      <x:c r="J197" s="1">
        <x:v>37.6</x:v>
      </x:c>
      <x:c r="K197" s="18">
        <x:f t="shared" si="1"/>
        <x:v>5.461111111</x:v>
      </x:c>
      <x:c r="L197" s="18">
        <x:f t="shared" si="2"/>
        <x:v>3.901886792</x:v>
      </x:c>
      <x:c r="M197" s="119"/>
      <x:c r="N197" s="119"/>
      <x:c r="O197" s="119"/>
      <x:c r="P197" s="9"/>
      <x:c r="Q197" s="9"/>
      <x:c r="R197" s="9"/>
      <x:c r="S197" s="9"/>
      <x:c r="T197" s="9"/>
      <x:c r="U197" s="9"/>
      <x:c r="V197" s="9"/>
      <x:c r="W197" s="9"/>
      <x:c r="X197" s="9"/>
      <x:c r="Y197" s="9"/>
      <x:c r="Z197" s="9"/>
    </x:row>
    <x:row r="198" ht="14.25" customHeight="1">
      <x:c r="A198" s="1" t="s">
        <x:v>668</x:v>
      </x:c>
      <x:c r="B198" s="1" t="s">
        <x:v>543</x:v>
      </x:c>
      <x:c r="C198" s="1">
        <x:v>42.5</x:v>
      </x:c>
      <x:c r="D198" s="1">
        <x:v>153.5</x:v>
      </x:c>
      <x:c r="E198" s="1">
        <x:v>1.5</x:v>
      </x:c>
      <x:c r="F198" s="1">
        <x:v>18.0</x:v>
      </x:c>
      <x:c r="G198" s="1">
        <x:v>138.0</x:v>
      </x:c>
      <x:c r="H198" s="1">
        <x:v>1.0</x:v>
      </x:c>
      <x:c r="I198" s="1">
        <x:v>0.0</x:v>
      </x:c>
      <x:c r="J198" s="1">
        <x:v>62.2</x:v>
      </x:c>
      <x:c r="K198" s="18">
        <x:f t="shared" si="1"/>
        <x:v>8.527777778</x:v>
      </x:c>
      <x:c r="L198" s="18">
        <x:f t="shared" si="2"/>
        <x:v>6.526792453</x:v>
      </x:c>
      <x:c r="M198" s="119" t="n">
        <x:f>C200*Scoring!$B$32+D200/Scoring!$C$32+E200*Scoring!$D$32+F200*Scoring!$E$32+G200/Scoring!$F$32+H200*Scoring!$G$32+I200*Scoring!$H$32+K200*Scoring!$I$32+RB!L200*Scoring!$J$32+U198</x:f>
        <x:v>0</x:v>
      </x:c>
      <x:c r="N198" s="119" t="n">
        <x:f>C198*Scoring!$B$32+D198/Scoring!$C$32+E198*Scoring!$D$32+F198*Scoring!$E$32+G198/Scoring!$F$32+H198*Scoring!$G$32+I198*Scoring!$H$32+K198*Scoring!$I$32+RB!L198*Scoring!$J$32+U198</x:f>
        <x:v>53.150000000000006</x:v>
      </x:c>
      <x:c r="O198" s="119" t="n">
        <x:f>C199*Scoring!$B$32+D199/Scoring!$C$32+E199*Scoring!$D$32+F199*Scoring!$E$32+G199/Scoring!$F$32+H199*Scoring!$G$32+I199*Scoring!$H$32+K199*Scoring!$I$32+L199*Scoring!$J$32+U198</x:f>
        <x:v>106.30000000000001</x:v>
      </x:c>
      <x:c r="P198" s="9" t="n">
        <x:f>IF(COUNTIF(Rookies!$A:$A,A198)&gt;0,1,0)</x:f>
        <x:v>0</x:v>
      </x:c>
      <x:c r="Q198" s="9"/>
      <x:c r="R198" s="9"/>
      <x:c r="S198" s="9" t="n">
        <x:f>V198/17</x:f>
        <x:v>3.1264705882352946</x:v>
      </x:c>
      <x:c r="T198" s="9" t="n">
        <x:f>IF(P198=1,MAX(0,0.258*(14.9-S198)),0)</x:f>
        <x:v>0</x:v>
      </x:c>
      <x:c r="U198" s="9" t="n">
        <x:f>T198*17</x:f>
        <x:v>0</x:v>
      </x:c>
      <x:c r="V198" s="9" t="n">
        <x:f>C198*Scoring!$B$32+D198/Scoring!$C$32+E198*Scoring!$D$32+F198*Scoring!$E$32+G198/Scoring!$F$32+H198*Scoring!$G$32+I198*Scoring!$H$32+K198*Scoring!$I$32+RB!L198*Scoring!$J$32</x:f>
        <x:v>53.150000000000006</x:v>
      </x:c>
      <x:c r="W198" s="9"/>
      <x:c r="X198" s="9"/>
      <x:c r="Y198" s="9"/>
      <x:c r="Z198" s="9"/>
    </x:row>
    <x:row r="199" ht="14.25" customHeight="1">
      <x:c r="B199" s="1" t="s">
        <x:v>488</x:v>
      </x:c>
      <x:c r="C199" s="1">
        <x:v>85.0</x:v>
      </x:c>
      <x:c r="D199" s="1">
        <x:v>307.0</x:v>
      </x:c>
      <x:c r="E199" s="1">
        <x:v>3.0</x:v>
      </x:c>
      <x:c r="F199" s="1">
        <x:v>36.0</x:v>
      </x:c>
      <x:c r="G199" s="1">
        <x:v>276.0</x:v>
      </x:c>
      <x:c r="H199" s="1">
        <x:v>2.0</x:v>
      </x:c>
      <x:c r="I199" s="1">
        <x:v>0.0</x:v>
      </x:c>
      <x:c r="J199" s="1">
        <x:v>89.0</x:v>
      </x:c>
      <x:c r="K199" s="18">
        <x:f t="shared" si="1"/>
        <x:v>17.05555556</x:v>
      </x:c>
      <x:c r="L199" s="18">
        <x:f t="shared" si="2"/>
        <x:v>13.05358491</x:v>
      </x:c>
      <x:c r="M199" s="119"/>
      <x:c r="N199" s="119"/>
      <x:c r="O199" s="119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  <x:c r="Z199" s="9"/>
    </x:row>
    <x:row r="200" ht="14.25" customHeight="1">
      <x:c r="B200" s="1" t="s">
        <x:v>489</x:v>
      </x:c>
      <x:c r="C200" s="1">
        <x:v>0.0</x:v>
      </x:c>
      <x:c r="D200" s="1">
        <x:v>0.0</x:v>
      </x:c>
      <x:c r="E200" s="1">
        <x:v>0.0</x:v>
      </x:c>
      <x:c r="F200" s="1">
        <x:v>0.0</x:v>
      </x:c>
      <x:c r="G200" s="1">
        <x:v>0.0</x:v>
      </x:c>
      <x:c r="H200" s="1">
        <x:v>0.0</x:v>
      </x:c>
      <x:c r="I200" s="1">
        <x:v>0.0</x:v>
      </x:c>
      <x:c r="J200" s="1">
        <x:v>18.0</x:v>
      </x:c>
      <x:c r="K200" s="18">
        <x:f t="shared" si="1"/>
        <x:v>0</x:v>
      </x:c>
      <x:c r="L200" s="18">
        <x:f t="shared" si="2"/>
        <x:v>0</x:v>
      </x:c>
      <x:c r="M200" s="119"/>
      <x:c r="N200" s="119"/>
      <x:c r="O200" s="119"/>
      <x:c r="P200" s="9"/>
      <x:c r="Q200" s="9"/>
      <x:c r="R200" s="9"/>
      <x:c r="S200" s="9"/>
      <x:c r="T200" s="9"/>
      <x:c r="U200" s="9"/>
      <x:c r="V200" s="9"/>
      <x:c r="W200" s="9"/>
      <x:c r="X200" s="9"/>
      <x:c r="Y200" s="9"/>
      <x:c r="Z200" s="9"/>
    </x:row>
    <x:row r="201" ht="14.25" customHeight="1">
      <x:c r="A201" s="1" t="s">
        <x:v>669</x:v>
      </x:c>
      <x:c r="B201" s="1" t="s">
        <x:v>501</x:v>
      </x:c>
      <x:c r="C201" s="1">
        <x:v>73.4</x:v>
      </x:c>
      <x:c r="D201" s="1">
        <x:v>310.3</x:v>
      </x:c>
      <x:c r="E201" s="1">
        <x:v>2.2</x:v>
      </x:c>
      <x:c r="F201" s="1">
        <x:v>8.6</x:v>
      </x:c>
      <x:c r="G201" s="1">
        <x:v>62.8</x:v>
      </x:c>
      <x:c r="H201" s="1">
        <x:v>0.1</x:v>
      </x:c>
      <x:c r="I201" s="1">
        <x:v>0.1</x:v>
      </x:c>
      <x:c r="J201" s="1">
        <x:v>59.7</x:v>
      </x:c>
      <x:c r="K201" s="18">
        <x:f t="shared" si="1"/>
        <x:v>17.23888889</x:v>
      </x:c>
      <x:c r="L201" s="18">
        <x:f t="shared" si="2"/>
        <x:v>2.970163522</x:v>
      </x:c>
      <x:c r="M201" s="119" t="n">
        <x:f>C203*Scoring!$B$32+D203/Scoring!$C$32+E203*Scoring!$D$32+F203*Scoring!$E$32+G203/Scoring!$F$32+H203*Scoring!$G$32+I203*Scoring!$H$32+K203*Scoring!$I$32+RB!L203*Scoring!$J$32+U201</x:f>
        <x:v>44.14999999999999</x:v>
      </x:c>
      <x:c r="N201" s="119" t="n">
        <x:f>C201*Scoring!$B$32+D201/Scoring!$C$32+E201*Scoring!$D$32+F201*Scoring!$E$32+G201/Scoring!$F$32+H201*Scoring!$G$32+I201*Scoring!$H$32+K201*Scoring!$I$32+RB!L201*Scoring!$J$32+U201</x:f>
        <x:v>55.31</x:v>
      </x:c>
      <x:c r="O201" s="119" t="n">
        <x:f>C202*Scoring!$B$32+D202/Scoring!$C$32+E202*Scoring!$D$32+F202*Scoring!$E$32+G202/Scoring!$F$32+H202*Scoring!$G$32+I202*Scoring!$H$32+K202*Scoring!$I$32+L202*Scoring!$J$32+U201</x:f>
        <x:v>67</x:v>
      </x:c>
      <x:c r="P201" s="9" t="n">
        <x:f>IF(COUNTIF(Rookies!$A:$A,A201)&gt;0,1,0)</x:f>
        <x:v>0</x:v>
      </x:c>
      <x:c r="Q201" s="9"/>
      <x:c r="R201" s="9"/>
      <x:c r="S201" s="9" t="n">
        <x:f>V201/17</x:f>
        <x:v>3.2535294117647062</x:v>
      </x:c>
      <x:c r="T201" s="9" t="n">
        <x:f>IF(P201=1,MAX(0,0.258*(14.9-S201)),0)</x:f>
        <x:v>0</x:v>
      </x:c>
      <x:c r="U201" s="9" t="n">
        <x:f>T201*17</x:f>
        <x:v>0</x:v>
      </x:c>
      <x:c r="V201" s="9" t="n">
        <x:f>C201*Scoring!$B$32+D201/Scoring!$C$32+E201*Scoring!$D$32+F201*Scoring!$E$32+G201/Scoring!$F$32+H201*Scoring!$G$32+I201*Scoring!$H$32+K201*Scoring!$I$32+RB!L201*Scoring!$J$32</x:f>
        <x:v>55.31</x:v>
      </x:c>
      <x:c r="W201" s="9"/>
      <x:c r="X201" s="9"/>
      <x:c r="Y201" s="9"/>
      <x:c r="Z201" s="9"/>
    </x:row>
    <x:row r="202" ht="14.25" customHeight="1">
      <x:c r="B202" s="1" t="s">
        <x:v>488</x:v>
      </x:c>
      <x:c r="C202" s="1">
        <x:v>80.0</x:v>
      </x:c>
      <x:c r="D202" s="1">
        <x:v>352.0</x:v>
      </x:c>
      <x:c r="E202" s="1">
        <x:v>3.0</x:v>
      </x:c>
      <x:c r="F202" s="1">
        <x:v>9.0</x:v>
      </x:c>
      <x:c r="G202" s="1">
        <x:v>75.0</x:v>
      </x:c>
      <x:c r="H202" s="1">
        <x:v>0.3</x:v>
      </x:c>
      <x:c r="I202" s="1">
        <x:v>0.0</x:v>
      </x:c>
      <x:c r="J202" s="1">
        <x:v>56.6</x:v>
      </x:c>
      <x:c r="K202" s="18">
        <x:f t="shared" si="1"/>
        <x:v>19.55555556</x:v>
      </x:c>
      <x:c r="L202" s="18">
        <x:f t="shared" si="2"/>
        <x:v>3.547169811</x:v>
      </x:c>
      <x:c r="M202" s="119"/>
      <x:c r="N202" s="119"/>
      <x:c r="O202" s="119"/>
      <x:c r="P202" s="9"/>
      <x:c r="Q202" s="9"/>
      <x:c r="R202" s="9"/>
      <x:c r="S202" s="9"/>
      <x:c r="T202" s="9"/>
      <x:c r="U202" s="9"/>
      <x:c r="V202" s="9"/>
      <x:c r="W202" s="9"/>
      <x:c r="X202" s="9"/>
      <x:c r="Y202" s="9"/>
      <x:c r="Z202" s="9"/>
    </x:row>
    <x:row r="203" ht="14.25" customHeight="1">
      <x:c r="B203" s="1" t="s">
        <x:v>489</x:v>
      </x:c>
      <x:c r="C203" s="1">
        <x:v>66.7</x:v>
      </x:c>
      <x:c r="D203" s="1">
        <x:v>268.5</x:v>
      </x:c>
      <x:c r="E203" s="1">
        <x:v>1.4</x:v>
      </x:c>
      <x:c r="F203" s="1">
        <x:v>8.1</x:v>
      </x:c>
      <x:c r="G203" s="1">
        <x:v>50.5</x:v>
      </x:c>
      <x:c r="H203" s="1">
        <x:v>0.0</x:v>
      </x:c>
      <x:c r="I203" s="1">
        <x:v>0.2</x:v>
      </x:c>
      <x:c r="J203" s="1">
        <x:v>50.4</x:v>
      </x:c>
      <x:c r="K203" s="18">
        <x:f t="shared" si="1"/>
        <x:v>14.91666667</x:v>
      </x:c>
      <x:c r="L203" s="18">
        <x:f t="shared" si="2"/>
        <x:v>2.388427673</x:v>
      </x:c>
      <x:c r="M203" s="119"/>
      <x:c r="N203" s="119"/>
      <x:c r="O203" s="119"/>
      <x:c r="P203" s="9"/>
      <x:c r="Q203" s="9"/>
      <x:c r="R203" s="9"/>
      <x:c r="S203" s="9"/>
      <x:c r="T203" s="9"/>
      <x:c r="U203" s="9"/>
      <x:c r="V203" s="9"/>
      <x:c r="W203" s="9"/>
      <x:c r="X203" s="9"/>
      <x:c r="Y203" s="9"/>
      <x:c r="Z203" s="9"/>
    </x:row>
    <x:row r="204" ht="14.25" customHeight="1">
      <x:c r="A204" s="1" t="s">
        <x:v>670</x:v>
      </x:c>
      <x:c r="B204" s="1" t="s">
        <x:v>513</x:v>
      </x:c>
      <x:c r="C204" s="1">
        <x:v>60.2</x:v>
      </x:c>
      <x:c r="D204" s="1">
        <x:v>234.2</x:v>
      </x:c>
      <x:c r="E204" s="1">
        <x:v>1.6</x:v>
      </x:c>
      <x:c r="F204" s="1">
        <x:v>11.9</x:v>
      </x:c>
      <x:c r="G204" s="1">
        <x:v>104.0</x:v>
      </x:c>
      <x:c r="H204" s="1">
        <x:v>0.7</x:v>
      </x:c>
      <x:c r="I204" s="1">
        <x:v>0.1</x:v>
      </x:c>
      <x:c r="J204" s="1">
        <x:v>59.0</x:v>
      </x:c>
      <x:c r="K204" s="18">
        <x:f t="shared" si="1"/>
        <x:v>13.01111111</x:v>
      </x:c>
      <x:c r="L204" s="18">
        <x:f t="shared" si="2"/>
        <x:v>4.918742138</x:v>
      </x:c>
      <x:c r="M204" s="119" t="n">
        <x:f>C206*Scoring!$B$32+D206/Scoring!$C$32+E206*Scoring!$D$32+F206*Scoring!$E$32+G206/Scoring!$F$32+H206*Scoring!$G$32+I206*Scoring!$H$32+K206*Scoring!$I$32+RB!L206*Scoring!$J$32+U204</x:f>
        <x:v>32.64</x:v>
      </x:c>
      <x:c r="N204" s="119" t="n">
        <x:f>C204*Scoring!$B$32+D204/Scoring!$C$32+E204*Scoring!$D$32+F204*Scoring!$E$32+G204/Scoring!$F$32+H204*Scoring!$G$32+I204*Scoring!$H$32+K204*Scoring!$I$32+RB!L204*Scoring!$J$32+U204</x:f>
        <x:v>53.46999999999999</x:v>
      </x:c>
      <x:c r="O204" s="119" t="n">
        <x:f>C205*Scoring!$B$32+D205/Scoring!$C$32+E205*Scoring!$D$32+F205*Scoring!$E$32+G205/Scoring!$F$32+H205*Scoring!$G$32+I205*Scoring!$H$32+K205*Scoring!$I$32+L205*Scoring!$J$32+U204</x:f>
        <x:v>73.7</x:v>
      </x:c>
      <x:c r="P204" s="9" t="n">
        <x:f>IF(COUNTIF(Rookies!$A:$A,A204)&gt;0,1,0)</x:f>
        <x:v>0</x:v>
      </x:c>
      <x:c r="Q204" s="9"/>
      <x:c r="R204" s="9"/>
      <x:c r="S204" s="9" t="n">
        <x:f>V204/17</x:f>
        <x:v>3.145294117647058</x:v>
      </x:c>
      <x:c r="T204" s="9" t="n">
        <x:f>IF(P204=1,MAX(0,0.258*(14.9-S204)),0)</x:f>
        <x:v>0</x:v>
      </x:c>
      <x:c r="U204" s="9" t="n">
        <x:f>T204*17</x:f>
        <x:v>0</x:v>
      </x:c>
      <x:c r="V204" s="9" t="n">
        <x:f>C204*Scoring!$B$32+D204/Scoring!$C$32+E204*Scoring!$D$32+F204*Scoring!$E$32+G204/Scoring!$F$32+H204*Scoring!$G$32+I204*Scoring!$H$32+K204*Scoring!$I$32+RB!L204*Scoring!$J$32</x:f>
        <x:v>53.46999999999999</x:v>
      </x:c>
      <x:c r="W204" s="9"/>
      <x:c r="X204" s="9"/>
      <x:c r="Y204" s="9"/>
      <x:c r="Z204" s="9"/>
    </x:row>
    <x:row r="205" ht="14.25" customHeight="1">
      <x:c r="B205" s="1" t="s">
        <x:v>488</x:v>
      </x:c>
      <x:c r="C205" s="1">
        <x:v>87.0</x:v>
      </x:c>
      <x:c r="D205" s="1">
        <x:v>332.0</x:v>
      </x:c>
      <x:c r="E205" s="1">
        <x:v>2.0</x:v>
      </x:c>
      <x:c r="F205" s="1">
        <x:v>16.0</x:v>
      </x:c>
      <x:c r="G205" s="1">
        <x:v>145.0</x:v>
      </x:c>
      <x:c r="H205" s="1">
        <x:v>1.0</x:v>
      </x:c>
      <x:c r="I205" s="1">
        <x:v>0.0</x:v>
      </x:c>
      <x:c r="J205" s="1">
        <x:v>59.9</x:v>
      </x:c>
      <x:c r="K205" s="18">
        <x:f t="shared" si="1"/>
        <x:v>18.44444444</x:v>
      </x:c>
      <x:c r="L205" s="18">
        <x:f t="shared" si="2"/>
        <x:v>6.857861635</x:v>
      </x:c>
      <x:c r="M205" s="119"/>
      <x:c r="N205" s="119"/>
      <x:c r="O205" s="119"/>
      <x:c r="P205" s="9"/>
      <x:c r="Q205" s="9"/>
      <x:c r="R205" s="9"/>
      <x:c r="S205" s="9"/>
      <x:c r="T205" s="9"/>
      <x:c r="U205" s="9"/>
      <x:c r="V205" s="9"/>
      <x:c r="W205" s="9"/>
      <x:c r="X205" s="9"/>
      <x:c r="Y205" s="9"/>
      <x:c r="Z205" s="9"/>
    </x:row>
    <x:row r="206" ht="14.25" customHeight="1">
      <x:c r="B206" s="1" t="s">
        <x:v>489</x:v>
      </x:c>
      <x:c r="C206" s="1">
        <x:v>33.3</x:v>
      </x:c>
      <x:c r="D206" s="1">
        <x:v>136.4</x:v>
      </x:c>
      <x:c r="E206" s="1">
        <x:v>1.1</x:v>
      </x:c>
      <x:c r="F206" s="1">
        <x:v>7.8</x:v>
      </x:c>
      <x:c r="G206" s="1">
        <x:v>63.0</x:v>
      </x:c>
      <x:c r="H206" s="1">
        <x:v>0.4</x:v>
      </x:c>
      <x:c r="I206" s="1">
        <x:v>0.2</x:v>
      </x:c>
      <x:c r="J206" s="1">
        <x:v>40.4</x:v>
      </x:c>
      <x:c r="K206" s="18">
        <x:f t="shared" si="1"/>
        <x:v>7.577777778</x:v>
      </x:c>
      <x:c r="L206" s="18">
        <x:f t="shared" si="2"/>
        <x:v>2.979622642</x:v>
      </x:c>
      <x:c r="M206" s="119"/>
      <x:c r="N206" s="119"/>
      <x:c r="O206" s="119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  <x:c r="Z206" s="9"/>
    </x:row>
    <x:row r="207" ht="14.25" customHeight="1">
      <x:c r="A207" s="1" t="s">
        <x:v>671</x:v>
      </x:c>
      <x:c r="B207" s="1" t="s">
        <x:v>503</x:v>
      </x:c>
      <x:c r="C207" s="1">
        <x:v>4.2</x:v>
      </x:c>
      <x:c r="D207" s="1">
        <x:v>10.3</x:v>
      </x:c>
      <x:c r="E207" s="1">
        <x:v>0.1</x:v>
      </x:c>
      <x:c r="F207" s="1">
        <x:v>23.7</x:v>
      </x:c>
      <x:c r="G207" s="1">
        <x:v>208.0</x:v>
      </x:c>
      <x:c r="H207" s="1">
        <x:v>1.5</x:v>
      </x:c>
      <x:c r="I207" s="1">
        <x:v>0.1</x:v>
      </x:c>
      <x:c r="J207" s="1">
        <x:v>54.7</x:v>
      </x:c>
      <x:c r="K207" s="18">
        <x:f t="shared" si="1"/>
        <x:v>0.5722222222</x:v>
      </x:c>
      <x:c r="L207" s="18">
        <x:f t="shared" si="2"/>
        <x:v>9.837484277</x:v>
      </x:c>
      <x:c r="M207" s="119" t="n">
        <x:f>C209*Scoring!$B$32+D209/Scoring!$C$32+E209*Scoring!$D$32+F209*Scoring!$E$32+G209/Scoring!$F$32+H209*Scoring!$G$32+I209*Scoring!$H$32+K209*Scoring!$I$32+RB!L209*Scoring!$J$32+U207</x:f>
        <x:v>32.51</x:v>
      </x:c>
      <x:c r="N207" s="119" t="n">
        <x:f>C207*Scoring!$B$32+D207/Scoring!$C$32+E207*Scoring!$D$32+F207*Scoring!$E$32+G207/Scoring!$F$32+H207*Scoring!$G$32+I207*Scoring!$H$32+K207*Scoring!$I$32+RB!L207*Scoring!$J$32+U207</x:f>
        <x:v>43.18</x:v>
      </x:c>
      <x:c r="O207" s="119" t="n">
        <x:f>C208*Scoring!$B$32+D208/Scoring!$C$32+E208*Scoring!$D$32+F208*Scoring!$E$32+G208/Scoring!$F$32+H208*Scoring!$G$32+I208*Scoring!$H$32+K208*Scoring!$I$32+L208*Scoring!$J$32+U207</x:f>
        <x:v>53.96</x:v>
      </x:c>
      <x:c r="P207" s="9" t="n">
        <x:f>IF(COUNTIF(Rookies!$A:$A,A207)&gt;0,1,0)</x:f>
        <x:v>0</x:v>
      </x:c>
      <x:c r="Q207" s="9"/>
      <x:c r="R207" s="9"/>
      <x:c r="S207" s="9" t="n">
        <x:f>V207/17</x:f>
        <x:v>2.54</x:v>
      </x:c>
      <x:c r="T207" s="9" t="n">
        <x:f>IF(P207=1,MAX(0,0.258*(14.9-S207)),0)</x:f>
        <x:v>0</x:v>
      </x:c>
      <x:c r="U207" s="9" t="n">
        <x:f>T207*17</x:f>
        <x:v>0</x:v>
      </x:c>
      <x:c r="V207" s="9" t="n">
        <x:f>C207*Scoring!$B$32+D207/Scoring!$C$32+E207*Scoring!$D$32+F207*Scoring!$E$32+G207/Scoring!$F$32+H207*Scoring!$G$32+I207*Scoring!$H$32+K207*Scoring!$I$32+RB!L207*Scoring!$J$32</x:f>
        <x:v>43.18</x:v>
      </x:c>
      <x:c r="W207" s="9"/>
      <x:c r="X207" s="9"/>
      <x:c r="Y207" s="9"/>
      <x:c r="Z207" s="9"/>
    </x:row>
    <x:row r="208" ht="14.25" customHeight="1">
      <x:c r="B208" s="1" t="s">
        <x:v>488</x:v>
      </x:c>
      <x:c r="C208" s="1">
        <x:v>4.4</x:v>
      </x:c>
      <x:c r="D208" s="1">
        <x:v>18.6</x:v>
      </x:c>
      <x:c r="E208" s="1">
        <x:v>0.2</x:v>
      </x:c>
      <x:c r="F208" s="1">
        <x:v>27.0</x:v>
      </x:c>
      <x:c r="G208" s="1">
        <x:v>254.0</x:v>
      </x:c>
      <x:c r="H208" s="1">
        <x:v>2.0</x:v>
      </x:c>
      <x:c r="I208" s="1">
        <x:v>0.0</x:v>
      </x:c>
      <x:c r="J208" s="1">
        <x:v>51.7</x:v>
      </x:c>
      <x:c r="K208" s="18">
        <x:f t="shared" si="1"/>
        <x:v>1.033333333</x:v>
      </x:c>
      <x:c r="L208" s="18">
        <x:f t="shared" si="2"/>
        <x:v>12.01308176</x:v>
      </x:c>
      <x:c r="M208" s="119"/>
      <x:c r="N208" s="119"/>
      <x:c r="O208" s="119"/>
      <x:c r="P208" s="9"/>
      <x:c r="Q208" s="9"/>
      <x:c r="R208" s="9"/>
      <x:c r="S208" s="9"/>
      <x:c r="T208" s="9"/>
      <x:c r="U208" s="9"/>
      <x:c r="V208" s="9"/>
      <x:c r="W208" s="9"/>
      <x:c r="X208" s="9"/>
      <x:c r="Y208" s="9"/>
      <x:c r="Z208" s="9"/>
    </x:row>
    <x:row r="209" ht="14.25" customHeight="1">
      <x:c r="B209" s="1" t="s">
        <x:v>489</x:v>
      </x:c>
      <x:c r="C209" s="1">
        <x:v>4.0</x:v>
      </x:c>
      <x:c r="D209" s="1">
        <x:v>2.0</x:v>
      </x:c>
      <x:c r="E209" s="1">
        <x:v>0.0</x:v>
      </x:c>
      <x:c r="F209" s="1">
        <x:v>20.4</x:v>
      </x:c>
      <x:c r="G209" s="1">
        <x:v>162.1</x:v>
      </x:c>
      <x:c r="H209" s="1">
        <x:v>1.0</x:v>
      </x:c>
      <x:c r="I209" s="1">
        <x:v>0.1</x:v>
      </x:c>
      <x:c r="J209" s="1">
        <x:v>48.2</x:v>
      </x:c>
      <x:c r="K209" s="18">
        <x:f t="shared" si="1"/>
        <x:v>0.1111111111</x:v>
      </x:c>
      <x:c r="L209" s="18">
        <x:f t="shared" si="2"/>
        <x:v>7.666616352</x:v>
      </x:c>
      <x:c r="M209" s="119"/>
      <x:c r="N209" s="119"/>
      <x:c r="O209" s="119"/>
      <x:c r="P209" s="9"/>
      <x:c r="Q209" s="9"/>
      <x:c r="R209" s="9"/>
      <x:c r="S209" s="9"/>
      <x:c r="T209" s="9"/>
      <x:c r="U209" s="9"/>
      <x:c r="V209" s="9"/>
      <x:c r="W209" s="9"/>
      <x:c r="X209" s="9"/>
      <x:c r="Y209" s="9"/>
      <x:c r="Z209" s="9"/>
    </x:row>
    <x:row r="210" ht="14.25" customHeight="1">
      <x:c r="A210" s="1" t="s">
        <x:v>672</x:v>
      </x:c>
      <x:c r="B210" s="1" t="s">
        <x:v>507</x:v>
      </x:c>
      <x:c r="C210" s="1">
        <x:v>62.4</x:v>
      </x:c>
      <x:c r="D210" s="1">
        <x:v>263.0</x:v>
      </x:c>
      <x:c r="E210" s="1">
        <x:v>1.9</x:v>
      </x:c>
      <x:c r="F210" s="1">
        <x:v>8.7</x:v>
      </x:c>
      <x:c r="G210" s="1">
        <x:v>61.7</x:v>
      </x:c>
      <x:c r="H210" s="1">
        <x:v>0.4</x:v>
      </x:c>
      <x:c r="I210" s="1">
        <x:v>0.3</x:v>
      </x:c>
      <x:c r="J210" s="1">
        <x:v>54.6</x:v>
      </x:c>
      <x:c r="K210" s="18">
        <x:f t="shared" si="1"/>
        <x:v>14.61111111</x:v>
      </x:c>
      <x:c r="L210" s="18">
        <x:f t="shared" si="2"/>
        <x:v>2.918138365</x:v>
      </x:c>
      <x:c r="M210" s="119" t="n">
        <x:f>C212*Scoring!$B$32+D212/Scoring!$C$32+E212*Scoring!$D$32+F212*Scoring!$E$32+G212/Scoring!$F$32+H212*Scoring!$G$32+I212*Scoring!$H$32+K212*Scoring!$I$32+RB!L212*Scoring!$J$32+U210</x:f>
        <x:v>50.32000000000001</x:v>
      </x:c>
      <x:c r="N210" s="119" t="n">
        <x:f>C210*Scoring!$B$32+D210/Scoring!$C$32+E210*Scoring!$D$32+F210*Scoring!$E$32+G210/Scoring!$F$32+H210*Scoring!$G$32+I210*Scoring!$H$32+K210*Scoring!$I$32+RB!L210*Scoring!$J$32+U210</x:f>
        <x:v>50.32000000000001</x:v>
      </x:c>
      <x:c r="O210" s="119" t="n">
        <x:f>C211*Scoring!$B$32+D211/Scoring!$C$32+E211*Scoring!$D$32+F211*Scoring!$E$32+G211/Scoring!$F$32+H211*Scoring!$G$32+I211*Scoring!$H$32+K211*Scoring!$I$32+L211*Scoring!$J$32+U210</x:f>
        <x:v>50.32000000000001</x:v>
      </x:c>
      <x:c r="P210" s="9" t="n">
        <x:f>IF(COUNTIF(Rookies!$A:$A,A210)&gt;0,1,0)</x:f>
        <x:v>0</x:v>
      </x:c>
      <x:c r="Q210" s="9"/>
      <x:c r="R210" s="9"/>
      <x:c r="S210" s="9" t="n">
        <x:f>V210/17</x:f>
        <x:v>2.9600000000000004</x:v>
      </x:c>
      <x:c r="T210" s="9" t="n">
        <x:f>IF(P210=1,MAX(0,0.258*(14.9-S210)),0)</x:f>
        <x:v>0</x:v>
      </x:c>
      <x:c r="U210" s="9" t="n">
        <x:f>T210*17</x:f>
        <x:v>0</x:v>
      </x:c>
      <x:c r="V210" s="9" t="n">
        <x:f>C210*Scoring!$B$32+D210/Scoring!$C$32+E210*Scoring!$D$32+F210*Scoring!$E$32+G210/Scoring!$F$32+H210*Scoring!$G$32+I210*Scoring!$H$32+K210*Scoring!$I$32+RB!L210*Scoring!$J$32</x:f>
        <x:v>50.32000000000001</x:v>
      </x:c>
      <x:c r="W210" s="9"/>
      <x:c r="X210" s="9"/>
      <x:c r="Y210" s="9"/>
      <x:c r="Z210" s="9"/>
    </x:row>
    <x:row r="211" ht="14.25" customHeight="1">
      <x:c r="B211" s="1" t="s">
        <x:v>488</x:v>
      </x:c>
      <x:c r="C211" s="1">
        <x:v>62.4</x:v>
      </x:c>
      <x:c r="D211" s="1">
        <x:v>263.0</x:v>
      </x:c>
      <x:c r="E211" s="1">
        <x:v>1.9</x:v>
      </x:c>
      <x:c r="F211" s="1">
        <x:v>8.7</x:v>
      </x:c>
      <x:c r="G211" s="1">
        <x:v>61.7</x:v>
      </x:c>
      <x:c r="H211" s="1">
        <x:v>0.4</x:v>
      </x:c>
      <x:c r="I211" s="1">
        <x:v>0.3</x:v>
      </x:c>
      <x:c r="J211" s="1">
        <x:v>54.9</x:v>
      </x:c>
      <x:c r="K211" s="18">
        <x:f t="shared" si="1"/>
        <x:v>14.61111111</x:v>
      </x:c>
      <x:c r="L211" s="18">
        <x:f t="shared" si="2"/>
        <x:v>2.918138365</x:v>
      </x:c>
      <x:c r="M211" s="119"/>
      <x:c r="N211" s="119"/>
      <x:c r="O211" s="119"/>
      <x:c r="P211" s="9"/>
      <x:c r="Q211" s="9"/>
      <x:c r="R211" s="9"/>
      <x:c r="S211" s="9"/>
      <x:c r="T211" s="9"/>
      <x:c r="U211" s="9"/>
      <x:c r="V211" s="9"/>
      <x:c r="W211" s="9"/>
      <x:c r="X211" s="9"/>
      <x:c r="Y211" s="9"/>
      <x:c r="Z211" s="9"/>
    </x:row>
    <x:row r="212" ht="14.25" customHeight="1">
      <x:c r="B212" s="1" t="s">
        <x:v>489</x:v>
      </x:c>
      <x:c r="C212" s="1">
        <x:v>62.4</x:v>
      </x:c>
      <x:c r="D212" s="1">
        <x:v>263.0</x:v>
      </x:c>
      <x:c r="E212" s="1">
        <x:v>1.9</x:v>
      </x:c>
      <x:c r="F212" s="1">
        <x:v>8.7</x:v>
      </x:c>
      <x:c r="G212" s="1">
        <x:v>61.7</x:v>
      </x:c>
      <x:c r="H212" s="1">
        <x:v>0.4</x:v>
      </x:c>
      <x:c r="I212" s="1">
        <x:v>0.3</x:v>
      </x:c>
      <x:c r="J212" s="1">
        <x:v>54.9</x:v>
      </x:c>
      <x:c r="K212" s="18">
        <x:f t="shared" si="1"/>
        <x:v>14.61111111</x:v>
      </x:c>
      <x:c r="L212" s="18">
        <x:f t="shared" si="2"/>
        <x:v>2.918138365</x:v>
      </x:c>
      <x:c r="M212" s="119"/>
      <x:c r="N212" s="119"/>
      <x:c r="O212" s="119"/>
      <x:c r="P212" s="9"/>
      <x:c r="Q212" s="9"/>
      <x:c r="R212" s="9"/>
      <x:c r="S212" s="9"/>
      <x:c r="T212" s="9"/>
      <x:c r="U212" s="9"/>
      <x:c r="V212" s="9"/>
      <x:c r="W212" s="9"/>
      <x:c r="X212" s="9"/>
      <x:c r="Y212" s="9"/>
      <x:c r="Z212" s="9"/>
    </x:row>
    <x:row r="213" ht="14.25" customHeight="1">
      <x:c r="A213" s="1" t="s">
        <x:v>673</x:v>
      </x:c>
      <x:c r="B213" s="1" t="s">
        <x:v>531</x:v>
      </x:c>
      <x:c r="C213" s="1">
        <x:v>62.3</x:v>
      </x:c>
      <x:c r="D213" s="1">
        <x:v>259.0</x:v>
      </x:c>
      <x:c r="E213" s="1">
        <x:v>1.9</x:v>
      </x:c>
      <x:c r="F213" s="1">
        <x:v>8.5</x:v>
      </x:c>
      <x:c r="G213" s="1">
        <x:v>62.9</x:v>
      </x:c>
      <x:c r="H213" s="1">
        <x:v>0.4</x:v>
      </x:c>
      <x:c r="I213" s="1">
        <x:v>0.2</x:v>
      </x:c>
      <x:c r="J213" s="1">
        <x:v>54.0</x:v>
      </x:c>
      <x:c r="K213" s="18">
        <x:f t="shared" si="1"/>
        <x:v>14.38888889</x:v>
      </x:c>
      <x:c r="L213" s="18">
        <x:f t="shared" si="2"/>
        <x:v>2.974893082</x:v>
      </x:c>
      <x:c r="M213" s="119" t="n">
        <x:f>C215*Scoring!$B$32+D215/Scoring!$C$32+E215*Scoring!$D$32+F215*Scoring!$E$32+G215/Scoring!$F$32+H215*Scoring!$G$32+I215*Scoring!$H$32+K215*Scoring!$I$32+RB!L215*Scoring!$J$32+U213</x:f>
        <x:v>21</x:v>
      </x:c>
      <x:c r="N213" s="119" t="n">
        <x:f>C213*Scoring!$B$32+D213/Scoring!$C$32+E213*Scoring!$D$32+F213*Scoring!$E$32+G213/Scoring!$F$32+H213*Scoring!$G$32+I213*Scoring!$H$32+K213*Scoring!$I$32+RB!L213*Scoring!$J$32+U213</x:f>
        <x:v>50.03999999999999</x:v>
      </x:c>
      <x:c r="O213" s="119" t="n">
        <x:f>C214*Scoring!$B$32+D214/Scoring!$C$32+E214*Scoring!$D$32+F214*Scoring!$E$32+G214/Scoring!$F$32+H214*Scoring!$G$32+I214*Scoring!$H$32+K214*Scoring!$I$32+L214*Scoring!$J$32+U213</x:f>
        <x:v>78.52000000000001</x:v>
      </x:c>
      <x:c r="P213" s="9" t="n">
        <x:f>IF(COUNTIF(Rookies!$A:$A,A213)&gt;0,1,0)</x:f>
        <x:v>0</x:v>
      </x:c>
      <x:c r="Q213" s="9"/>
      <x:c r="R213" s="9"/>
      <x:c r="S213" s="9" t="n">
        <x:f>V213/17</x:f>
        <x:v>2.9435294117647053</x:v>
      </x:c>
      <x:c r="T213" s="9" t="n">
        <x:f>IF(P213=1,MAX(0,0.258*(14.9-S213)),0)</x:f>
        <x:v>0</x:v>
      </x:c>
      <x:c r="U213" s="9" t="n">
        <x:f>T213*17</x:f>
        <x:v>0</x:v>
      </x:c>
      <x:c r="V213" s="9" t="n">
        <x:f>C213*Scoring!$B$32+D213/Scoring!$C$32+E213*Scoring!$D$32+F213*Scoring!$E$32+G213/Scoring!$F$32+H213*Scoring!$G$32+I213*Scoring!$H$32+K213*Scoring!$I$32+RB!L213*Scoring!$J$32</x:f>
        <x:v>50.03999999999999</x:v>
      </x:c>
      <x:c r="W213" s="9"/>
      <x:c r="X213" s="9"/>
      <x:c r="Y213" s="9"/>
      <x:c r="Z213" s="9"/>
    </x:row>
    <x:row r="214" ht="14.25" customHeight="1">
      <x:c r="B214" s="1" t="s">
        <x:v>488</x:v>
      </x:c>
      <x:c r="C214" s="1">
        <x:v>89.6</x:v>
      </x:c>
      <x:c r="D214" s="1">
        <x:v>381.0</x:v>
      </x:c>
      <x:c r="E214" s="1">
        <x:v>2.8</x:v>
      </x:c>
      <x:c r="F214" s="1">
        <x:v>16.1</x:v>
      </x:c>
      <x:c r="G214" s="1">
        <x:v>113.7</x:v>
      </x:c>
      <x:c r="H214" s="1">
        <x:v>0.7</x:v>
      </x:c>
      <x:c r="I214" s="1">
        <x:v>0.0</x:v>
      </x:c>
      <x:c r="J214" s="1">
        <x:v>78.8</x:v>
      </x:c>
      <x:c r="K214" s="18">
        <x:f t="shared" si="1"/>
        <x:v>21.16666667</x:v>
      </x:c>
      <x:c r="L214" s="18">
        <x:f t="shared" si="2"/>
        <x:v>5.377509434</x:v>
      </x:c>
      <x:c r="M214" s="119"/>
      <x:c r="N214" s="119"/>
      <x:c r="O214" s="119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  <x:c r="Z214" s="9"/>
    </x:row>
    <x:row r="215" ht="14.25" customHeight="1">
      <x:c r="B215" s="1" t="s">
        <x:v>489</x:v>
      </x:c>
      <x:c r="C215" s="1">
        <x:v>35.0</x:v>
      </x:c>
      <x:c r="D215" s="1">
        <x:v>137.0</x:v>
      </x:c>
      <x:c r="E215" s="1">
        <x:v>1.0</x:v>
      </x:c>
      <x:c r="F215" s="1">
        <x:v>1.0</x:v>
      </x:c>
      <x:c r="G215" s="1">
        <x:v>12.0</x:v>
      </x:c>
      <x:c r="H215" s="1">
        <x:v>0.0</x:v>
      </x:c>
      <x:c r="I215" s="1">
        <x:v>0.4</x:v>
      </x:c>
      <x:c r="J215" s="1">
        <x:v>20.5</x:v>
      </x:c>
      <x:c r="K215" s="18">
        <x:f t="shared" si="1"/>
        <x:v>7.611111111</x:v>
      </x:c>
      <x:c r="L215" s="18">
        <x:f t="shared" si="2"/>
        <x:v>0.5675471698</x:v>
      </x:c>
      <x:c r="M215" s="119"/>
      <x:c r="N215" s="119"/>
      <x:c r="O215" s="119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9"/>
    </x:row>
    <x:row r="216" ht="14.25" customHeight="1">
      <x:c r="A216" s="1" t="s">
        <x:v>674</x:v>
      </x:c>
      <x:c r="B216" s="1" t="s">
        <x:v>533</x:v>
      </x:c>
      <x:c r="C216" s="1">
        <x:v>70.2</x:v>
      </x:c>
      <x:c r="D216" s="1">
        <x:v>290.5</x:v>
      </x:c>
      <x:c r="E216" s="1">
        <x:v>1.7</x:v>
      </x:c>
      <x:c r="F216" s="1">
        <x:v>7.7</x:v>
      </x:c>
      <x:c r="G216" s="1">
        <x:v>52.1</x:v>
      </x:c>
      <x:c r="H216" s="1">
        <x:v>0.0</x:v>
      </x:c>
      <x:c r="I216" s="1">
        <x:v>0.5</x:v>
      </x:c>
      <x:c r="J216" s="1">
        <x:v>51.3</x:v>
      </x:c>
      <x:c r="K216" s="18">
        <x:f t="shared" si="1"/>
        <x:v>16.13888889</x:v>
      </x:c>
      <x:c r="L216" s="18">
        <x:f t="shared" si="2"/>
        <x:v>2.464100629</x:v>
      </x:c>
      <x:c r="M216" s="119" t="n">
        <x:f>C218*Scoring!$B$32+D218/Scoring!$C$32+E218*Scoring!$D$32+F218*Scoring!$E$32+G218/Scoring!$F$32+H218*Scoring!$G$32+I218*Scoring!$H$32+K218*Scoring!$I$32+RB!L218*Scoring!$J$32+U216</x:f>
        <x:v>7.93</x:v>
      </x:c>
      <x:c r="N216" s="119" t="n">
        <x:f>C216*Scoring!$B$32+D216/Scoring!$C$32+E216*Scoring!$D$32+F216*Scoring!$E$32+G216/Scoring!$F$32+H216*Scoring!$G$32+I216*Scoring!$H$32+K216*Scoring!$I$32+RB!L216*Scoring!$J$32+U216</x:f>
        <x:v>47.81</x:v>
      </x:c>
      <x:c r="O216" s="119" t="n">
        <x:f>C217*Scoring!$B$32+D217/Scoring!$C$32+E217*Scoring!$D$32+F217*Scoring!$E$32+G217/Scoring!$F$32+H217*Scoring!$G$32+I217*Scoring!$H$32+K217*Scoring!$I$32+L217*Scoring!$J$32+U216</x:f>
        <x:v>88.2</x:v>
      </x:c>
      <x:c r="P216" s="9" t="n">
        <x:f>IF(COUNTIF(Rookies!$A:$A,A216)&gt;0,1,0)</x:f>
        <x:v>0</x:v>
      </x:c>
      <x:c r="Q216" s="9"/>
      <x:c r="R216" s="9"/>
      <x:c r="S216" s="9" t="n">
        <x:f>V216/17</x:f>
        <x:v>2.8123529411764707</x:v>
      </x:c>
      <x:c r="T216" s="9" t="n">
        <x:f>IF(P216=1,MAX(0,0.258*(14.9-S216)),0)</x:f>
        <x:v>0</x:v>
      </x:c>
      <x:c r="U216" s="9" t="n">
        <x:f>T216*17</x:f>
        <x:v>0</x:v>
      </x:c>
      <x:c r="V216" s="9" t="n">
        <x:f>C216*Scoring!$B$32+D216/Scoring!$C$32+E216*Scoring!$D$32+F216*Scoring!$E$32+G216/Scoring!$F$32+H216*Scoring!$G$32+I216*Scoring!$H$32+K216*Scoring!$I$32+RB!L216*Scoring!$J$32</x:f>
        <x:v>47.81</x:v>
      </x:c>
      <x:c r="W216" s="9"/>
      <x:c r="X216" s="9"/>
      <x:c r="Y216" s="9"/>
      <x:c r="Z216" s="9"/>
    </x:row>
    <x:row r="217" ht="14.25" customHeight="1">
      <x:c r="B217" s="1" t="s">
        <x:v>488</x:v>
      </x:c>
      <x:c r="C217" s="1">
        <x:v>129.0</x:v>
      </x:c>
      <x:c r="D217" s="1">
        <x:v>533.0</x:v>
      </x:c>
      <x:c r="E217" s="1">
        <x:v>3.0</x:v>
      </x:c>
      <x:c r="F217" s="1">
        <x:v>14.0</x:v>
      </x:c>
      <x:c r="G217" s="1">
        <x:v>94.0</x:v>
      </x:c>
      <x:c r="H217" s="1">
        <x:v>0.1</x:v>
      </x:c>
      <x:c r="I217" s="1">
        <x:v>0.1</x:v>
      </x:c>
      <x:c r="J217" s="1">
        <x:v>73.7</x:v>
      </x:c>
      <x:c r="K217" s="18">
        <x:f t="shared" si="1"/>
        <x:v>29.61111111</x:v>
      </x:c>
      <x:c r="L217" s="18">
        <x:f t="shared" si="2"/>
        <x:v>4.445786164</x:v>
      </x:c>
      <x:c r="M217" s="119"/>
      <x:c r="N217" s="119"/>
      <x:c r="O217" s="119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  <x:c r="Z217" s="9"/>
    </x:row>
    <x:row r="218" ht="14.25" customHeight="1">
      <x:c r="B218" s="1" t="s">
        <x:v>489</x:v>
      </x:c>
      <x:c r="C218" s="1">
        <x:v>11.4</x:v>
      </x:c>
      <x:c r="D218" s="1">
        <x:v>48.0</x:v>
      </x:c>
      <x:c r="E218" s="1">
        <x:v>0.4</x:v>
      </x:c>
      <x:c r="F218" s="1">
        <x:v>1.4</x:v>
      </x:c>
      <x:c r="G218" s="1">
        <x:v>10.3</x:v>
      </x:c>
      <x:c r="H218" s="1">
        <x:v>0.0</x:v>
      </x:c>
      <x:c r="I218" s="1">
        <x:v>1.0</x:v>
      </x:c>
      <x:c r="J218" s="1">
        <x:v>16.2</x:v>
      </x:c>
      <x:c r="K218" s="18">
        <x:f t="shared" si="1"/>
        <x:v>2.666666667</x:v>
      </x:c>
      <x:c r="L218" s="18">
        <x:f t="shared" si="2"/>
        <x:v>0.4871446541</x:v>
      </x:c>
      <x:c r="M218" s="119"/>
      <x:c r="N218" s="119"/>
      <x:c r="O218" s="119"/>
      <x:c r="P218" s="9"/>
      <x:c r="Q218" s="9"/>
      <x:c r="R218" s="9"/>
      <x:c r="S218" s="9"/>
      <x:c r="T218" s="9"/>
      <x:c r="U218" s="9"/>
      <x:c r="V218" s="9"/>
      <x:c r="W218" s="9"/>
      <x:c r="X218" s="9"/>
      <x:c r="Y218" s="9"/>
      <x:c r="Z218" s="9"/>
    </x:row>
    <x:row r="219" ht="14.25" customHeight="1">
      <x:c r="A219" s="1" t="s">
        <x:v>675</x:v>
      </x:c>
      <x:c r="B219" s="1" t="s">
        <x:v>529</x:v>
      </x:c>
      <x:c r="C219" s="1">
        <x:v>79.9</x:v>
      </x:c>
      <x:c r="D219" s="1">
        <x:v>308.9</x:v>
      </x:c>
      <x:c r="E219" s="1">
        <x:v>1.5</x:v>
      </x:c>
      <x:c r="F219" s="1">
        <x:v>7.2</x:v>
      </x:c>
      <x:c r="G219" s="1">
        <x:v>52.5</x:v>
      </x:c>
      <x:c r="H219" s="1">
        <x:v>0.1</x:v>
      </x:c>
      <x:c r="I219" s="1">
        <x:v>1.2</x:v>
      </x:c>
      <x:c r="J219" s="1">
        <x:v>50.7</x:v>
      </x:c>
      <x:c r="K219" s="18">
        <x:f t="shared" si="1"/>
        <x:v>17.16111111</x:v>
      </x:c>
      <x:c r="L219" s="18">
        <x:f t="shared" si="2"/>
        <x:v>2.483018868</x:v>
      </x:c>
      <x:c r="M219" s="119" t="n">
        <x:f>C221*Scoring!$B$32+D221/Scoring!$C$32+E221*Scoring!$D$32+F221*Scoring!$E$32+G221/Scoring!$F$32+H221*Scoring!$G$32+I221*Scoring!$H$32+K221*Scoring!$I$32+RB!L221*Scoring!$J$32+U219</x:f>
        <x:v>36.38</x:v>
      </x:c>
      <x:c r="N219" s="119" t="n">
        <x:f>C219*Scoring!$B$32+D219/Scoring!$C$32+E219*Scoring!$D$32+F219*Scoring!$E$32+G219/Scoring!$F$32+H219*Scoring!$G$32+I219*Scoring!$H$32+K219*Scoring!$I$32+RB!L219*Scoring!$J$32+U219</x:f>
        <x:v>48.14</x:v>
      </x:c>
      <x:c r="O219" s="119" t="n">
        <x:f>C220*Scoring!$B$32+D220/Scoring!$C$32+E220*Scoring!$D$32+F220*Scoring!$E$32+G220/Scoring!$F$32+H220*Scoring!$G$32+I220*Scoring!$H$32+K220*Scoring!$I$32+L220*Scoring!$J$32+U219</x:f>
        <x:v>60.44</x:v>
      </x:c>
      <x:c r="P219" s="9" t="n">
        <x:f>IF(COUNTIF(Rookies!$A:$A,A219)&gt;0,1,0)</x:f>
        <x:v>0</x:v>
      </x:c>
      <x:c r="Q219" s="9"/>
      <x:c r="R219" s="9"/>
      <x:c r="S219" s="9" t="n">
        <x:f>V219/17</x:f>
        <x:v>2.831764705882353</x:v>
      </x:c>
      <x:c r="T219" s="9" t="n">
        <x:f>IF(P219=1,MAX(0,0.258*(14.9-S219)),0)</x:f>
        <x:v>0</x:v>
      </x:c>
      <x:c r="U219" s="9" t="n">
        <x:f>T219*17</x:f>
        <x:v>0</x:v>
      </x:c>
      <x:c r="V219" s="9" t="n">
        <x:f>C219*Scoring!$B$32+D219/Scoring!$C$32+E219*Scoring!$D$32+F219*Scoring!$E$32+G219/Scoring!$F$32+H219*Scoring!$G$32+I219*Scoring!$H$32+K219*Scoring!$I$32+RB!L219*Scoring!$J$32</x:f>
        <x:v>48.14</x:v>
      </x:c>
      <x:c r="W219" s="9"/>
      <x:c r="X219" s="9"/>
      <x:c r="Y219" s="9"/>
      <x:c r="Z219" s="9"/>
    </x:row>
    <x:row r="220" ht="14.25" customHeight="1">
      <x:c r="B220" s="1" t="s">
        <x:v>488</x:v>
      </x:c>
      <x:c r="C220" s="1">
        <x:v>104.0</x:v>
      </x:c>
      <x:c r="D220" s="1">
        <x:v>384.0</x:v>
      </x:c>
      <x:c r="E220" s="1">
        <x:v>2.0</x:v>
      </x:c>
      <x:c r="F220" s="1">
        <x:v>7.5</x:v>
      </x:c>
      <x:c r="G220" s="1">
        <x:v>55.9</x:v>
      </x:c>
      <x:c r="H220" s="1">
        <x:v>0.2</x:v>
      </x:c>
      <x:c r="I220" s="1">
        <x:v>0.5</x:v>
      </x:c>
      <x:c r="J220" s="1">
        <x:v>46.2</x:v>
      </x:c>
      <x:c r="K220" s="18">
        <x:f t="shared" si="1"/>
        <x:v>21.33333333</x:v>
      </x:c>
      <x:c r="L220" s="18">
        <x:f t="shared" si="2"/>
        <x:v>2.643823899</x:v>
      </x:c>
      <x:c r="M220" s="119"/>
      <x:c r="N220" s="119"/>
      <x:c r="O220" s="119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  <x:c r="Z220" s="9"/>
    </x:row>
    <x:row r="221" ht="14.25" customHeight="1">
      <x:c r="B221" s="1" t="s">
        <x:v>489</x:v>
      </x:c>
      <x:c r="C221" s="1">
        <x:v>55.9</x:v>
      </x:c>
      <x:c r="D221" s="1">
        <x:v>233.8</x:v>
      </x:c>
      <x:c r="E221" s="1">
        <x:v>1.1</x:v>
      </x:c>
      <x:c r="F221" s="1">
        <x:v>7.0</x:v>
      </x:c>
      <x:c r="G221" s="1">
        <x:v>49.0</x:v>
      </x:c>
      <x:c r="H221" s="1">
        <x:v>0.0</x:v>
      </x:c>
      <x:c r="I221" s="1">
        <x:v>2.0</x:v>
      </x:c>
      <x:c r="J221" s="1">
        <x:v>43.2</x:v>
      </x:c>
      <x:c r="K221" s="18">
        <x:f t="shared" si="1"/>
        <x:v>12.98888889</x:v>
      </x:c>
      <x:c r="L221" s="18">
        <x:f t="shared" si="2"/>
        <x:v>2.317484277</x:v>
      </x:c>
      <x:c r="M221" s="119"/>
      <x:c r="N221" s="119"/>
      <x:c r="O221" s="119"/>
      <x:c r="P221" s="9"/>
      <x:c r="Q221" s="9"/>
      <x:c r="R221" s="9"/>
      <x:c r="S221" s="9"/>
      <x:c r="T221" s="9"/>
      <x:c r="U221" s="9"/>
      <x:c r="V221" s="9"/>
      <x:c r="W221" s="9"/>
      <x:c r="X221" s="9"/>
      <x:c r="Y221" s="9"/>
      <x:c r="Z221" s="9"/>
    </x:row>
    <x:row r="222" ht="14.25" customHeight="1">
      <x:c r="A222" s="1" t="s">
        <x:v>676</x:v>
      </x:c>
      <x:c r="B222" s="1" t="s">
        <x:v>535</x:v>
      </x:c>
      <x:c r="C222" s="1">
        <x:v>51.3</x:v>
      </x:c>
      <x:c r="D222" s="1">
        <x:v>218.0</x:v>
      </x:c>
      <x:c r="E222" s="1">
        <x:v>1.1</x:v>
      </x:c>
      <x:c r="F222" s="1">
        <x:v>11.0</x:v>
      </x:c>
      <x:c r="G222" s="1">
        <x:v>86.0</x:v>
      </x:c>
      <x:c r="H222" s="1">
        <x:v>0.5</x:v>
      </x:c>
      <x:c r="I222" s="1">
        <x:v>0.5</x:v>
      </x:c>
      <x:c r="J222" s="1">
        <x:v>50.1</x:v>
      </x:c>
      <x:c r="K222" s="18">
        <x:f t="shared" si="1"/>
        <x:v>12.11111111</x:v>
      </x:c>
      <x:c r="L222" s="18">
        <x:f t="shared" si="2"/>
        <x:v>4.067421384</x:v>
      </x:c>
      <x:c r="M222" s="119" t="n">
        <x:f>C224*Scoring!$B$32+D224/Scoring!$C$32+E224*Scoring!$D$32+F224*Scoring!$E$32+G224/Scoring!$F$32+H224*Scoring!$G$32+I224*Scoring!$H$32+K224*Scoring!$I$32+RB!L224*Scoring!$J$32+U222</x:f>
        <x:v>6.21</x:v>
      </x:c>
      <x:c r="N222" s="119" t="n">
        <x:f>C222*Scoring!$B$32+D222/Scoring!$C$32+E222*Scoring!$D$32+F222*Scoring!$E$32+G222/Scoring!$F$32+H222*Scoring!$G$32+I222*Scoring!$H$32+K222*Scoring!$I$32+RB!L222*Scoring!$J$32+U222</x:f>
        <x:v>45.00000000000001</x:v>
      </x:c>
      <x:c r="O222" s="119" t="n">
        <x:f>C223*Scoring!$B$32+D223/Scoring!$C$32+E223*Scoring!$D$32+F223*Scoring!$E$32+G223/Scoring!$F$32+H223*Scoring!$G$32+I223*Scoring!$H$32+K223*Scoring!$I$32+L223*Scoring!$J$32+U222</x:f>
        <x:v>84.4</x:v>
      </x:c>
      <x:c r="P222" s="9" t="n">
        <x:f>IF(COUNTIF(Rookies!$A:$A,A222)&gt;0,1,0)</x:f>
        <x:v>0</x:v>
      </x:c>
      <x:c r="Q222" s="9"/>
      <x:c r="R222" s="9"/>
      <x:c r="S222" s="9" t="n">
        <x:f>V222/17</x:f>
        <x:v>2.647058823529412</x:v>
      </x:c>
      <x:c r="T222" s="9" t="n">
        <x:f>IF(P222=1,MAX(0,0.258*(14.9-S222)),0)</x:f>
        <x:v>0</x:v>
      </x:c>
      <x:c r="U222" s="9" t="n">
        <x:f>T222*17</x:f>
        <x:v>0</x:v>
      </x:c>
      <x:c r="V222" s="9" t="n">
        <x:f>C222*Scoring!$B$32+D222/Scoring!$C$32+E222*Scoring!$D$32+F222*Scoring!$E$32+G222/Scoring!$F$32+H222*Scoring!$G$32+I222*Scoring!$H$32+K222*Scoring!$I$32+RB!L222*Scoring!$J$32</x:f>
        <x:v>45.00000000000001</x:v>
      </x:c>
      <x:c r="W222" s="9"/>
      <x:c r="X222" s="9"/>
      <x:c r="Y222" s="9"/>
      <x:c r="Z222" s="9"/>
    </x:row>
    <x:row r="223" ht="14.25" customHeight="1">
      <x:c r="B223" s="1" t="s">
        <x:v>488</x:v>
      </x:c>
      <x:c r="C223" s="1">
        <x:v>90.0</x:v>
      </x:c>
      <x:c r="D223" s="1">
        <x:v>382.0</x:v>
      </x:c>
      <x:c r="E223" s="1">
        <x:v>2.0</x:v>
      </x:c>
      <x:c r="F223" s="1">
        <x:v>22.0</x:v>
      </x:c>
      <x:c r="G223" s="1">
        <x:v>172.0</x:v>
      </x:c>
      <x:c r="H223" s="1">
        <x:v>1.0</x:v>
      </x:c>
      <x:c r="I223" s="1">
        <x:v>0.0</x:v>
      </x:c>
      <x:c r="J223" s="1">
        <x:v>67.0</x:v>
      </x:c>
      <x:c r="K223" s="18">
        <x:f t="shared" si="1"/>
        <x:v>21.22222222</x:v>
      </x:c>
      <x:c r="L223" s="18">
        <x:f t="shared" si="2"/>
        <x:v>8.134842767</x:v>
      </x:c>
      <x:c r="M223" s="119"/>
      <x:c r="N223" s="119"/>
      <x:c r="O223" s="119"/>
      <x:c r="P223" s="9"/>
      <x:c r="Q223" s="9"/>
      <x:c r="R223" s="9"/>
      <x:c r="S223" s="9"/>
      <x:c r="T223" s="9"/>
      <x:c r="U223" s="9"/>
      <x:c r="V223" s="9"/>
      <x:c r="W223" s="9"/>
      <x:c r="X223" s="9"/>
      <x:c r="Y223" s="9"/>
      <x:c r="Z223" s="9"/>
    </x:row>
    <x:row r="224" ht="14.25" customHeight="1">
      <x:c r="B224" s="1" t="s">
        <x:v>489</x:v>
      </x:c>
      <x:c r="C224" s="1">
        <x:v>12.6</x:v>
      </x:c>
      <x:c r="D224" s="1">
        <x:v>54.1</x:v>
      </x:c>
      <x:c r="E224" s="1">
        <x:v>0.3</x:v>
      </x:c>
      <x:c r="F224" s="1">
        <x:v>0.0</x:v>
      </x:c>
      <x:c r="G224" s="1">
        <x:v>0.0</x:v>
      </x:c>
      <x:c r="H224" s="1">
        <x:v>0.0</x:v>
      </x:c>
      <x:c r="I224" s="1">
        <x:v>1.0</x:v>
      </x:c>
      <x:c r="J224" s="1">
        <x:v>17.9</x:v>
      </x:c>
      <x:c r="K224" s="18">
        <x:f t="shared" si="1"/>
        <x:v>3.005555556</x:v>
      </x:c>
      <x:c r="L224" s="18">
        <x:f t="shared" si="2"/>
        <x:v>0</x:v>
      </x:c>
      <x:c r="M224" s="119"/>
      <x:c r="N224" s="119"/>
      <x:c r="O224" s="119"/>
      <x:c r="P224" s="9"/>
      <x:c r="Q224" s="9"/>
      <x:c r="R224" s="9"/>
      <x:c r="S224" s="9"/>
      <x:c r="T224" s="9"/>
      <x:c r="U224" s="9"/>
      <x:c r="V224" s="9"/>
      <x:c r="W224" s="9"/>
      <x:c r="X224" s="9"/>
      <x:c r="Y224" s="9"/>
      <x:c r="Z224" s="9"/>
    </x:row>
    <x:row r="225" ht="14.25" customHeight="1">
      <x:c r="A225" s="1" t="s">
        <x:v>677</x:v>
      </x:c>
      <x:c r="B225" s="1" t="s">
        <x:v>507</x:v>
      </x:c>
      <x:c r="C225" s="1">
        <x:v>58.0</x:v>
      </x:c>
      <x:c r="D225" s="1">
        <x:v>277.0</x:v>
      </x:c>
      <x:c r="E225" s="1">
        <x:v>2.0</x:v>
      </x:c>
      <x:c r="F225" s="1">
        <x:v>4.5</x:v>
      </x:c>
      <x:c r="G225" s="1">
        <x:v>37.5</x:v>
      </x:c>
      <x:c r="H225" s="1">
        <x:v>0.0</x:v>
      </x:c>
      <x:c r="I225" s="1">
        <x:v>0.5</x:v>
      </x:c>
      <x:c r="J225" s="1">
        <x:v>47.0</x:v>
      </x:c>
      <x:c r="K225" s="18">
        <x:f t="shared" si="1"/>
        <x:v>15.38888889</x:v>
      </x:c>
      <x:c r="L225" s="18">
        <x:f t="shared" si="2"/>
        <x:v>1.773584906</x:v>
      </x:c>
      <x:c r="M225" s="119" t="n">
        <x:f>C227*Scoring!$B$32+D227/Scoring!$C$32+E227*Scoring!$D$32+F227*Scoring!$E$32+G227/Scoring!$F$32+H227*Scoring!$G$32+I227*Scoring!$H$32+K227*Scoring!$I$32+RB!L227*Scoring!$J$32+U225</x:f>
        <x:v>-1</x:v>
      </x:c>
      <x:c r="N225" s="119" t="n">
        <x:f>C225*Scoring!$B$32+D225/Scoring!$C$32+E225*Scoring!$D$32+F225*Scoring!$E$32+G225/Scoring!$F$32+H225*Scoring!$G$32+I225*Scoring!$H$32+K225*Scoring!$I$32+RB!L225*Scoring!$J$32+U225</x:f>
        <x:v>45.2</x:v>
      </x:c>
      <x:c r="O225" s="119" t="n">
        <x:f>C226*Scoring!$B$32+D226/Scoring!$C$32+E226*Scoring!$D$32+F226*Scoring!$E$32+G226/Scoring!$F$32+H226*Scoring!$G$32+I226*Scoring!$H$32+K226*Scoring!$I$32+L226*Scoring!$J$32+U225</x:f>
        <x:v>91.4</x:v>
      </x:c>
      <x:c r="P225" s="9" t="n">
        <x:f>IF(COUNTIF(Rookies!$A:$A,A225)&gt;0,1,0)</x:f>
        <x:v>0</x:v>
      </x:c>
      <x:c r="Q225" s="9"/>
      <x:c r="R225" s="9"/>
      <x:c r="S225" s="9" t="n">
        <x:f>V225/17</x:f>
        <x:v>2.658823529411765</x:v>
      </x:c>
      <x:c r="T225" s="9" t="n">
        <x:f>IF(P225=1,MAX(0,0.258*(14.9-S225)),0)</x:f>
        <x:v>0</x:v>
      </x:c>
      <x:c r="U225" s="9" t="n">
        <x:f>T225*17</x:f>
        <x:v>0</x:v>
      </x:c>
      <x:c r="V225" s="9" t="n">
        <x:f>C225*Scoring!$B$32+D225/Scoring!$C$32+E225*Scoring!$D$32+F225*Scoring!$E$32+G225/Scoring!$F$32+H225*Scoring!$G$32+I225*Scoring!$H$32+K225*Scoring!$I$32+RB!L225*Scoring!$J$32</x:f>
        <x:v>45.2</x:v>
      </x:c>
      <x:c r="W225" s="9"/>
      <x:c r="X225" s="9"/>
      <x:c r="Y225" s="9"/>
      <x:c r="Z225" s="9"/>
    </x:row>
    <x:row r="226" ht="14.25" customHeight="1">
      <x:c r="B226" s="1" t="s">
        <x:v>488</x:v>
      </x:c>
      <x:c r="C226" s="1">
        <x:v>116.0</x:v>
      </x:c>
      <x:c r="D226" s="1">
        <x:v>554.0</x:v>
      </x:c>
      <x:c r="E226" s="1">
        <x:v>4.0</x:v>
      </x:c>
      <x:c r="F226" s="1">
        <x:v>9.0</x:v>
      </x:c>
      <x:c r="G226" s="1">
        <x:v>75.0</x:v>
      </x:c>
      <x:c r="H226" s="1">
        <x:v>0.0</x:v>
      </x:c>
      <x:c r="I226" s="1">
        <x:v>0.0</x:v>
      </x:c>
      <x:c r="J226" s="1">
        <x:v>76.5</x:v>
      </x:c>
      <x:c r="K226" s="18">
        <x:f t="shared" si="1"/>
        <x:v>30.77777778</x:v>
      </x:c>
      <x:c r="L226" s="18">
        <x:f t="shared" si="2"/>
        <x:v>3.547169811</x:v>
      </x:c>
      <x:c r="M226" s="119"/>
      <x:c r="N226" s="119"/>
      <x:c r="O226" s="119"/>
      <x:c r="P226" s="9"/>
      <x:c r="Q226" s="9"/>
      <x:c r="R226" s="9"/>
      <x:c r="S226" s="9"/>
      <x:c r="T226" s="9"/>
      <x:c r="U226" s="9"/>
      <x:c r="V226" s="9"/>
      <x:c r="W226" s="9"/>
      <x:c r="X226" s="9"/>
      <x:c r="Y226" s="9"/>
      <x:c r="Z226" s="9"/>
    </x:row>
    <x:row r="227" ht="14.25" customHeight="1">
      <x:c r="B227" s="1" t="s">
        <x:v>489</x:v>
      </x:c>
      <x:c r="C227" s="1">
        <x:v>0.0</x:v>
      </x:c>
      <x:c r="D227" s="1">
        <x:v>0.0</x:v>
      </x:c>
      <x:c r="E227" s="1">
        <x:v>0.0</x:v>
      </x:c>
      <x:c r="F227" s="1">
        <x:v>0.0</x:v>
      </x:c>
      <x:c r="G227" s="1">
        <x:v>0.0</x:v>
      </x:c>
      <x:c r="H227" s="1">
        <x:v>0.0</x:v>
      </x:c>
      <x:c r="I227" s="1">
        <x:v>1.0</x:v>
      </x:c>
      <x:c r="J227" s="1">
        <x:v>4.5</x:v>
      </x:c>
      <x:c r="K227" s="18">
        <x:f t="shared" si="1"/>
        <x:v>0</x:v>
      </x:c>
      <x:c r="L227" s="18">
        <x:f t="shared" si="2"/>
        <x:v>0</x:v>
      </x:c>
      <x:c r="M227" s="119"/>
      <x:c r="N227" s="119"/>
      <x:c r="O227" s="119"/>
      <x:c r="P227" s="9"/>
      <x:c r="Q227" s="9"/>
      <x:c r="R227" s="9"/>
      <x:c r="S227" s="9"/>
      <x:c r="T227" s="9"/>
      <x:c r="U227" s="9"/>
      <x:c r="V227" s="9"/>
      <x:c r="W227" s="9"/>
      <x:c r="X227" s="9"/>
      <x:c r="Y227" s="9"/>
      <x:c r="Z227" s="9"/>
    </x:row>
    <x:row r="228" ht="14.25" customHeight="1">
      <x:c r="A228" s="1" t="s">
        <x:v>678</x:v>
      </x:c>
      <x:c r="B228" s="1" t="s">
        <x:v>505</x:v>
      </x:c>
      <x:c r="C228" s="1">
        <x:v>32.0</x:v>
      </x:c>
      <x:c r="D228" s="1">
        <x:v>126.0</x:v>
      </x:c>
      <x:c r="E228" s="1">
        <x:v>0.6</x:v>
      </x:c>
      <x:c r="F228" s="1">
        <x:v>15.3</x:v>
      </x:c>
      <x:c r="G228" s="1">
        <x:v>99.1</x:v>
      </x:c>
      <x:c r="H228" s="1">
        <x:v>0.4</x:v>
      </x:c>
      <x:c r="I228" s="1">
        <x:v>0.1</x:v>
      </x:c>
      <x:c r="J228" s="1">
        <x:v>43.8</x:v>
      </x:c>
      <x:c r="K228" s="18">
        <x:f t="shared" si="1"/>
        <x:v>7</x:v>
      </x:c>
      <x:c r="L228" s="18">
        <x:f t="shared" si="2"/>
        <x:v>4.686993711</x:v>
      </x:c>
      <x:c r="M228" s="119" t="n">
        <x:f>C230*Scoring!$B$32+D230/Scoring!$C$32+E230*Scoring!$D$32+F230*Scoring!$E$32+G230/Scoring!$F$32+H230*Scoring!$G$32+I230*Scoring!$H$32+K230*Scoring!$I$32+RB!L230*Scoring!$J$32+U228</x:f>
        <x:v>14</x:v>
      </x:c>
      <x:c r="N228" s="119" t="n">
        <x:f>C228*Scoring!$B$32+D228/Scoring!$C$32+E228*Scoring!$D$32+F228*Scoring!$E$32+G228/Scoring!$F$32+H228*Scoring!$G$32+I228*Scoring!$H$32+K228*Scoring!$I$32+RB!L228*Scoring!$J$32+U228</x:f>
        <x:v>36.06</x:v>
      </x:c>
      <x:c r="O228" s="119" t="n">
        <x:f>C229*Scoring!$B$32+D229/Scoring!$C$32+E229*Scoring!$D$32+F229*Scoring!$E$32+G229/Scoring!$F$32+H229*Scoring!$G$32+I229*Scoring!$H$32+K229*Scoring!$I$32+L229*Scoring!$J$32+U228</x:f>
        <x:v>58.88</x:v>
      </x:c>
      <x:c r="P228" s="9" t="n">
        <x:f>IF(COUNTIF(Rookies!$A:$A,A228)&gt;0,1,0)</x:f>
        <x:v>0</x:v>
      </x:c>
      <x:c r="Q228" s="9"/>
      <x:c r="R228" s="9"/>
      <x:c r="S228" s="9" t="n">
        <x:f>V228/17</x:f>
        <x:v>2.121176470588235</x:v>
      </x:c>
      <x:c r="T228" s="9" t="n">
        <x:f>IF(P228=1,MAX(0,0.258*(14.9-S228)),0)</x:f>
        <x:v>0</x:v>
      </x:c>
      <x:c r="U228" s="9" t="n">
        <x:f>T228*17</x:f>
        <x:v>0</x:v>
      </x:c>
      <x:c r="V228" s="9" t="n">
        <x:f>C228*Scoring!$B$32+D228/Scoring!$C$32+E228*Scoring!$D$32+F228*Scoring!$E$32+G228/Scoring!$F$32+H228*Scoring!$G$32+I228*Scoring!$H$32+K228*Scoring!$I$32+RB!L228*Scoring!$J$32</x:f>
        <x:v>36.06</x:v>
      </x:c>
      <x:c r="W228" s="9"/>
      <x:c r="X228" s="9"/>
      <x:c r="Y228" s="9"/>
      <x:c r="Z228" s="9"/>
    </x:row>
    <x:row r="229" ht="14.25" customHeight="1">
      <x:c r="B229" s="1" t="s">
        <x:v>488</x:v>
      </x:c>
      <x:c r="C229" s="1">
        <x:v>56.0</x:v>
      </x:c>
      <x:c r="D229" s="1">
        <x:v>218.0</x:v>
      </x:c>
      <x:c r="E229" s="1">
        <x:v>1.0</x:v>
      </x:c>
      <x:c r="F229" s="1">
        <x:v>21.7</x:v>
      </x:c>
      <x:c r="G229" s="1">
        <x:v>148.3</x:v>
      </x:c>
      <x:c r="H229" s="1">
        <x:v>0.9</x:v>
      </x:c>
      <x:c r="I229" s="1">
        <x:v>0.0</x:v>
      </x:c>
      <x:c r="J229" s="1">
        <x:v>40.1</x:v>
      </x:c>
      <x:c r="K229" s="18">
        <x:f t="shared" si="1"/>
        <x:v>12.11111111</x:v>
      </x:c>
      <x:c r="L229" s="18">
        <x:f t="shared" si="2"/>
        <x:v>7.013937107</x:v>
      </x:c>
      <x:c r="M229" s="119"/>
      <x:c r="N229" s="119"/>
      <x:c r="O229" s="119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  <x:c r="Z229" s="9"/>
    </x:row>
    <x:row r="230" ht="14.25" customHeight="1">
      <x:c r="B230" s="1" t="s">
        <x:v>489</x:v>
      </x:c>
      <x:c r="C230" s="1">
        <x:v>8.0</x:v>
      </x:c>
      <x:c r="D230" s="1">
        <x:v>34.0</x:v>
      </x:c>
      <x:c r="E230" s="1">
        <x:v>0.2</x:v>
      </x:c>
      <x:c r="F230" s="1">
        <x:v>9.0</x:v>
      </x:c>
      <x:c r="G230" s="1">
        <x:v>50.0</x:v>
      </x:c>
      <x:c r="H230" s="1">
        <x:v>0.0</x:v>
      </x:c>
      <x:c r="I230" s="1">
        <x:v>0.1</x:v>
      </x:c>
      <x:c r="J230" s="1">
        <x:v>35.3</x:v>
      </x:c>
      <x:c r="K230" s="18">
        <x:f t="shared" si="1"/>
        <x:v>1.888888889</x:v>
      </x:c>
      <x:c r="L230" s="18">
        <x:f t="shared" si="2"/>
        <x:v>2.364779874</x:v>
      </x:c>
      <x:c r="M230" s="119"/>
      <x:c r="N230" s="119"/>
      <x:c r="O230" s="119"/>
      <x:c r="P230" s="9"/>
      <x:c r="Q230" s="9"/>
      <x:c r="R230" s="9"/>
      <x:c r="S230" s="9"/>
      <x:c r="T230" s="9"/>
      <x:c r="U230" s="9"/>
      <x:c r="V230" s="9"/>
      <x:c r="W230" s="9"/>
      <x:c r="X230" s="9"/>
      <x:c r="Y230" s="9"/>
      <x:c r="Z230" s="9"/>
    </x:row>
    <x:row r="231" ht="14.25" customHeight="1">
      <x:c r="A231" s="1" t="s">
        <x:v>679</x:v>
      </x:c>
      <x:c r="B231" s="1" t="s">
        <x:v>539</x:v>
      </x:c>
      <x:c r="C231" s="1">
        <x:v>35.1</x:v>
      </x:c>
      <x:c r="D231" s="1">
        <x:v>174.7</x:v>
      </x:c>
      <x:c r="E231" s="1">
        <x:v>1.2</x:v>
      </x:c>
      <x:c r="F231" s="1">
        <x:v>9.9</x:v>
      </x:c>
      <x:c r="G231" s="1">
        <x:v>78.7</x:v>
      </x:c>
      <x:c r="H231" s="1">
        <x:v>0.2</x:v>
      </x:c>
      <x:c r="I231" s="1">
        <x:v>0.1</x:v>
      </x:c>
      <x:c r="J231" s="1">
        <x:v>43.4</x:v>
      </x:c>
      <x:c r="K231" s="18">
        <x:f t="shared" si="1"/>
        <x:v>9.705555556</x:v>
      </x:c>
      <x:c r="L231" s="18">
        <x:f t="shared" si="2"/>
        <x:v>3.722163522</x:v>
      </x:c>
      <x:c r="M231" s="119" t="n">
        <x:f>C233*Scoring!$B$32+D233/Scoring!$C$32+E233*Scoring!$D$32+F233*Scoring!$E$32+G233/Scoring!$F$32+H233*Scoring!$G$32+I233*Scoring!$H$32+K233*Scoring!$I$32+RB!L233*Scoring!$J$32+U231</x:f>
        <x:v>32.6</x:v>
      </x:c>
      <x:c r="N231" s="119" t="n">
        <x:f>C231*Scoring!$B$32+D231/Scoring!$C$32+E231*Scoring!$D$32+F231*Scoring!$E$32+G231/Scoring!$F$32+H231*Scoring!$G$32+I231*Scoring!$H$32+K231*Scoring!$I$32+RB!L231*Scoring!$J$32+U231</x:f>
        <x:v>38.589999999999996</x:v>
      </x:c>
      <x:c r="O231" s="119" t="n">
        <x:f>C232*Scoring!$B$32+D232/Scoring!$C$32+E232*Scoring!$D$32+F232*Scoring!$E$32+G232/Scoring!$F$32+H232*Scoring!$G$32+I232*Scoring!$H$32+K232*Scoring!$I$32+L232*Scoring!$J$32+U231</x:f>
        <x:v>44.14</x:v>
      </x:c>
      <x:c r="P231" s="9" t="n">
        <x:f>IF(COUNTIF(Rookies!$A:$A,A231)&gt;0,1,0)</x:f>
        <x:v>0</x:v>
      </x:c>
      <x:c r="Q231" s="9"/>
      <x:c r="R231" s="9"/>
      <x:c r="S231" s="9" t="n">
        <x:f>V231/17</x:f>
        <x:v>2.2699999999999996</x:v>
      </x:c>
      <x:c r="T231" s="9" t="n">
        <x:f>IF(P231=1,MAX(0,0.258*(14.9-S231)),0)</x:f>
        <x:v>0</x:v>
      </x:c>
      <x:c r="U231" s="9" t="n">
        <x:f>T231*17</x:f>
        <x:v>0</x:v>
      </x:c>
      <x:c r="V231" s="9" t="n">
        <x:f>C231*Scoring!$B$32+D231/Scoring!$C$32+E231*Scoring!$D$32+F231*Scoring!$E$32+G231/Scoring!$F$32+H231*Scoring!$G$32+I231*Scoring!$H$32+K231*Scoring!$I$32+RB!L231*Scoring!$J$32</x:f>
        <x:v>38.589999999999996</x:v>
      </x:c>
      <x:c r="W231" s="9"/>
      <x:c r="X231" s="9"/>
      <x:c r="Y231" s="9"/>
      <x:c r="Z231" s="9"/>
    </x:row>
    <x:row r="232" ht="14.25" customHeight="1">
      <x:c r="B232" s="1" t="s">
        <x:v>488</x:v>
      </x:c>
      <x:c r="C232" s="1">
        <x:v>39.1</x:v>
      </x:c>
      <x:c r="D232" s="1">
        <x:v>178.4</x:v>
      </x:c>
      <x:c r="E232" s="1">
        <x:v>1.3</x:v>
      </x:c>
      <x:c r="F232" s="1">
        <x:v>12.9</x:v>
      </x:c>
      <x:c r="G232" s="1">
        <x:v>96.5</x:v>
      </x:c>
      <x:c r="H232" s="1">
        <x:v>0.4</x:v>
      </x:c>
      <x:c r="I232" s="1">
        <x:v>0.0</x:v>
      </x:c>
      <x:c r="J232" s="1">
        <x:v>48.1</x:v>
      </x:c>
      <x:c r="K232" s="18">
        <x:f t="shared" si="1"/>
        <x:v>9.911111111</x:v>
      </x:c>
      <x:c r="L232" s="18">
        <x:f t="shared" si="2"/>
        <x:v>4.564025157</x:v>
      </x:c>
      <x:c r="M232" s="119"/>
      <x:c r="N232" s="119"/>
      <x:c r="O232" s="119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  <x:c r="Z232" s="9"/>
    </x:row>
    <x:row r="233" ht="14.25" customHeight="1">
      <x:c r="B233" s="1" t="s">
        <x:v>489</x:v>
      </x:c>
      <x:c r="C233" s="1">
        <x:v>31.0</x:v>
      </x:c>
      <x:c r="D233" s="1">
        <x:v>171.0</x:v>
      </x:c>
      <x:c r="E233" s="1">
        <x:v>1.0</x:v>
      </x:c>
      <x:c r="F233" s="1">
        <x:v>7.0</x:v>
      </x:c>
      <x:c r="G233" s="1">
        <x:v>61.0</x:v>
      </x:c>
      <x:c r="H233" s="1">
        <x:v>0.0</x:v>
      </x:c>
      <x:c r="I233" s="1">
        <x:v>0.1</x:v>
      </x:c>
      <x:c r="J233" s="1">
        <x:v>27.9</x:v>
      </x:c>
      <x:c r="K233" s="18">
        <x:f t="shared" si="1"/>
        <x:v>9.5</x:v>
      </x:c>
      <x:c r="L233" s="18">
        <x:f t="shared" si="2"/>
        <x:v>2.885031447</x:v>
      </x:c>
      <x:c r="M233" s="119"/>
      <x:c r="N233" s="119"/>
      <x:c r="O233" s="119"/>
      <x:c r="P233" s="9"/>
      <x:c r="Q233" s="9"/>
      <x:c r="R233" s="9"/>
      <x:c r="S233" s="9"/>
      <x:c r="T233" s="9"/>
      <x:c r="U233" s="9"/>
      <x:c r="V233" s="9"/>
      <x:c r="W233" s="9"/>
      <x:c r="X233" s="9"/>
      <x:c r="Y233" s="9"/>
      <x:c r="Z233" s="9"/>
    </x:row>
    <x:row r="234" ht="14.25" customHeight="1">
      <x:c r="A234" s="1" t="s">
        <x:v>680</x:v>
      </x:c>
      <x:c r="B234" s="1" t="s">
        <x:v>533</x:v>
      </x:c>
      <x:c r="C234" s="1">
        <x:v>38.9</x:v>
      </x:c>
      <x:c r="D234" s="1">
        <x:v>164.1</x:v>
      </x:c>
      <x:c r="E234" s="1">
        <x:v>1.5</x:v>
      </x:c>
      <x:c r="F234" s="1">
        <x:v>8.0</x:v>
      </x:c>
      <x:c r="G234" s="1">
        <x:v>62.2</x:v>
      </x:c>
      <x:c r="H234" s="1">
        <x:v>0.3</x:v>
      </x:c>
      <x:c r="I234" s="1">
        <x:v>0.2</x:v>
      </x:c>
      <x:c r="J234" s="1">
        <x:v>41.1</x:v>
      </x:c>
      <x:c r="K234" s="18">
        <x:f t="shared" si="1"/>
        <x:v>9.116666667</x:v>
      </x:c>
      <x:c r="L234" s="18">
        <x:f t="shared" si="2"/>
        <x:v>2.941786164</x:v>
      </x:c>
      <x:c r="M234" s="119" t="n">
        <x:f>C236*Scoring!$B$32+D236/Scoring!$C$32+E236*Scoring!$D$32+F236*Scoring!$E$32+G236/Scoring!$F$32+H236*Scoring!$G$32+I236*Scoring!$H$32+K236*Scoring!$I$32+RB!L236*Scoring!$J$32+U234</x:f>
        <x:v>37.23</x:v>
      </x:c>
      <x:c r="N234" s="119" t="n">
        <x:f>C234*Scoring!$B$32+D234/Scoring!$C$32+E234*Scoring!$D$32+F234*Scoring!$E$32+G234/Scoring!$F$32+H234*Scoring!$G$32+I234*Scoring!$H$32+K234*Scoring!$I$32+RB!L234*Scoring!$J$32+U234</x:f>
        <x:v>37.23</x:v>
      </x:c>
      <x:c r="O234" s="119" t="n">
        <x:f>C235*Scoring!$B$32+D235/Scoring!$C$32+E235*Scoring!$D$32+F235*Scoring!$E$32+G235/Scoring!$F$32+H235*Scoring!$G$32+I235*Scoring!$H$32+K235*Scoring!$I$32+L235*Scoring!$J$32+U234</x:f>
        <x:v>37.23</x:v>
      </x:c>
      <x:c r="P234" s="9" t="n">
        <x:f>IF(COUNTIF(Rookies!$A:$A,A234)&gt;0,1,0)</x:f>
        <x:v>0</x:v>
      </x:c>
      <x:c r="Q234" s="9"/>
      <x:c r="R234" s="9"/>
      <x:c r="S234" s="9" t="n">
        <x:f>V234/17</x:f>
        <x:v>2.19</x:v>
      </x:c>
      <x:c r="T234" s="9" t="n">
        <x:f>IF(P234=1,MAX(0,0.258*(14.9-S234)),0)</x:f>
        <x:v>0</x:v>
      </x:c>
      <x:c r="U234" s="9" t="n">
        <x:f>T234*17</x:f>
        <x:v>0</x:v>
      </x:c>
      <x:c r="V234" s="9" t="n">
        <x:f>C234*Scoring!$B$32+D234/Scoring!$C$32+E234*Scoring!$D$32+F234*Scoring!$E$32+G234/Scoring!$F$32+H234*Scoring!$G$32+I234*Scoring!$H$32+K234*Scoring!$I$32+RB!L234*Scoring!$J$32</x:f>
        <x:v>37.23</x:v>
      </x:c>
      <x:c r="W234" s="9"/>
      <x:c r="X234" s="9"/>
      <x:c r="Y234" s="9"/>
      <x:c r="Z234" s="9"/>
    </x:row>
    <x:row r="235" ht="14.25" customHeight="1">
      <x:c r="B235" s="1" t="s">
        <x:v>488</x:v>
      </x:c>
      <x:c r="C235" s="1">
        <x:v>38.9</x:v>
      </x:c>
      <x:c r="D235" s="1">
        <x:v>164.1</x:v>
      </x:c>
      <x:c r="E235" s="1">
        <x:v>1.5</x:v>
      </x:c>
      <x:c r="F235" s="1">
        <x:v>8.0</x:v>
      </x:c>
      <x:c r="G235" s="1">
        <x:v>62.2</x:v>
      </x:c>
      <x:c r="H235" s="1">
        <x:v>0.3</x:v>
      </x:c>
      <x:c r="I235" s="1">
        <x:v>0.2</x:v>
      </x:c>
      <x:c r="J235" s="1">
        <x:v>41.5</x:v>
      </x:c>
      <x:c r="K235" s="18">
        <x:f t="shared" si="1"/>
        <x:v>9.116666667</x:v>
      </x:c>
      <x:c r="L235" s="18">
        <x:f t="shared" si="2"/>
        <x:v>2.941786164</x:v>
      </x:c>
      <x:c r="M235" s="119"/>
      <x:c r="N235" s="119"/>
      <x:c r="O235" s="119"/>
      <x:c r="P235" s="9"/>
      <x:c r="Q235" s="9"/>
      <x:c r="R235" s="9"/>
      <x:c r="S235" s="9"/>
      <x:c r="T235" s="9"/>
      <x:c r="U235" s="9"/>
      <x:c r="V235" s="9"/>
      <x:c r="W235" s="9"/>
      <x:c r="X235" s="9"/>
      <x:c r="Y235" s="9"/>
      <x:c r="Z235" s="9"/>
    </x:row>
    <x:row r="236" ht="14.25" customHeight="1">
      <x:c r="B236" s="1" t="s">
        <x:v>489</x:v>
      </x:c>
      <x:c r="C236" s="1">
        <x:v>38.9</x:v>
      </x:c>
      <x:c r="D236" s="1">
        <x:v>164.1</x:v>
      </x:c>
      <x:c r="E236" s="1">
        <x:v>1.5</x:v>
      </x:c>
      <x:c r="F236" s="1">
        <x:v>8.0</x:v>
      </x:c>
      <x:c r="G236" s="1">
        <x:v>62.2</x:v>
      </x:c>
      <x:c r="H236" s="1">
        <x:v>0.3</x:v>
      </x:c>
      <x:c r="I236" s="1">
        <x:v>0.2</x:v>
      </x:c>
      <x:c r="J236" s="1">
        <x:v>41.5</x:v>
      </x:c>
      <x:c r="K236" s="18">
        <x:f t="shared" si="1"/>
        <x:v>9.116666667</x:v>
      </x:c>
      <x:c r="L236" s="18">
        <x:f t="shared" si="2"/>
        <x:v>2.941786164</x:v>
      </x:c>
      <x:c r="M236" s="119"/>
      <x:c r="N236" s="119"/>
      <x:c r="O236" s="119"/>
      <x:c r="P236" s="9"/>
      <x:c r="Q236" s="9"/>
      <x:c r="R236" s="9"/>
      <x:c r="S236" s="9"/>
      <x:c r="T236" s="9"/>
      <x:c r="U236" s="9"/>
      <x:c r="V236" s="9"/>
      <x:c r="W236" s="9"/>
      <x:c r="X236" s="9"/>
      <x:c r="Y236" s="9"/>
      <x:c r="Z236" s="9"/>
    </x:row>
    <x:row r="237" ht="14.25" customHeight="1">
      <x:c r="A237" s="1" t="s">
        <x:v>681</x:v>
      </x:c>
      <x:c r="B237" s="1" t="s">
        <x:v>521</x:v>
      </x:c>
      <x:c r="C237" s="1">
        <x:v>52.0</x:v>
      </x:c>
      <x:c r="D237" s="1">
        <x:v>139.0</x:v>
      </x:c>
      <x:c r="E237" s="1">
        <x:v>1.0</x:v>
      </x:c>
      <x:c r="F237" s="1">
        <x:v>12.0</x:v>
      </x:c>
      <x:c r="G237" s="1">
        <x:v>58.0</x:v>
      </x:c>
      <x:c r="H237" s="1">
        <x:v>0.0</x:v>
      </x:c>
      <x:c r="I237" s="1">
        <x:v>0.0</x:v>
      </x:c>
      <x:c r="J237" s="1">
        <x:v>37.7</x:v>
      </x:c>
      <x:c r="K237" s="18">
        <x:f t="shared" si="1"/>
        <x:v>7.722222222</x:v>
      </x:c>
      <x:c r="L237" s="18">
        <x:f t="shared" si="2"/>
        <x:v>2.743144654</x:v>
      </x:c>
      <x:c r="M237" s="119" t="n">
        <x:f>C239*Scoring!$B$32+D239/Scoring!$C$32+E239*Scoring!$D$32+F239*Scoring!$E$32+G239/Scoring!$F$32+H239*Scoring!$G$32+I239*Scoring!$H$32+K239*Scoring!$I$32+RB!L239*Scoring!$J$32+U237</x:f>
        <x:v>31.7</x:v>
      </x:c>
      <x:c r="N237" s="119" t="n">
        <x:f>C237*Scoring!$B$32+D237/Scoring!$C$32+E237*Scoring!$D$32+F237*Scoring!$E$32+G237/Scoring!$F$32+H237*Scoring!$G$32+I237*Scoring!$H$32+K237*Scoring!$I$32+RB!L237*Scoring!$J$32+U237</x:f>
        <x:v>31.7</x:v>
      </x:c>
      <x:c r="O237" s="119" t="n">
        <x:f>C238*Scoring!$B$32+D238/Scoring!$C$32+E238*Scoring!$D$32+F238*Scoring!$E$32+G238/Scoring!$F$32+H238*Scoring!$G$32+I238*Scoring!$H$32+K238*Scoring!$I$32+L238*Scoring!$J$32+U237</x:f>
        <x:v>31.7</x:v>
      </x:c>
      <x:c r="P237" s="9" t="n">
        <x:f>IF(COUNTIF(Rookies!$A:$A,A237)&gt;0,1,0)</x:f>
        <x:v>0</x:v>
      </x:c>
      <x:c r="Q237" s="9"/>
      <x:c r="R237" s="9"/>
      <x:c r="S237" s="9" t="n">
        <x:f>V237/17</x:f>
        <x:v>1.8647058823529412</x:v>
      </x:c>
      <x:c r="T237" s="9" t="n">
        <x:f>IF(P237=1,MAX(0,0.258*(14.9-S237)),0)</x:f>
        <x:v>0</x:v>
      </x:c>
      <x:c r="U237" s="9" t="n">
        <x:f>T237*17</x:f>
        <x:v>0</x:v>
      </x:c>
      <x:c r="V237" s="9" t="n">
        <x:f>C237*Scoring!$B$32+D237/Scoring!$C$32+E237*Scoring!$D$32+F237*Scoring!$E$32+G237/Scoring!$F$32+H237*Scoring!$G$32+I237*Scoring!$H$32+K237*Scoring!$I$32+RB!L237*Scoring!$J$32</x:f>
        <x:v>31.7</x:v>
      </x:c>
      <x:c r="W237" s="9"/>
      <x:c r="X237" s="9"/>
      <x:c r="Y237" s="9"/>
      <x:c r="Z237" s="9"/>
    </x:row>
    <x:row r="238" ht="14.25" customHeight="1">
      <x:c r="B238" s="1" t="s">
        <x:v>488</x:v>
      </x:c>
      <x:c r="C238" s="1">
        <x:v>52.0</x:v>
      </x:c>
      <x:c r="D238" s="1">
        <x:v>139.0</x:v>
      </x:c>
      <x:c r="E238" s="1">
        <x:v>1.0</x:v>
      </x:c>
      <x:c r="F238" s="1">
        <x:v>12.0</x:v>
      </x:c>
      <x:c r="G238" s="1">
        <x:v>58.0</x:v>
      </x:c>
      <x:c r="H238" s="1">
        <x:v>0.0</x:v>
      </x:c>
      <x:c r="I238" s="1">
        <x:v>0.0</x:v>
      </x:c>
      <x:c r="J238" s="1">
        <x:v>26.0</x:v>
      </x:c>
      <x:c r="K238" s="18">
        <x:f t="shared" si="1"/>
        <x:v>7.722222222</x:v>
      </x:c>
      <x:c r="L238" s="18">
        <x:f t="shared" si="2"/>
        <x:v>2.743144654</x:v>
      </x:c>
      <x:c r="M238" s="119"/>
      <x:c r="N238" s="119"/>
      <x:c r="O238" s="119"/>
      <x:c r="P238" s="9"/>
      <x:c r="Q238" s="9"/>
      <x:c r="R238" s="9"/>
      <x:c r="S238" s="9"/>
      <x:c r="T238" s="9"/>
      <x:c r="U238" s="9"/>
      <x:c r="V238" s="9"/>
      <x:c r="W238" s="9"/>
      <x:c r="X238" s="9"/>
      <x:c r="Y238" s="9"/>
      <x:c r="Z238" s="9"/>
    </x:row>
    <x:row r="239" ht="14.25" customHeight="1">
      <x:c r="B239" s="1" t="s">
        <x:v>489</x:v>
      </x:c>
      <x:c r="C239" s="1">
        <x:v>52.0</x:v>
      </x:c>
      <x:c r="D239" s="1">
        <x:v>139.0</x:v>
      </x:c>
      <x:c r="E239" s="1">
        <x:v>1.0</x:v>
      </x:c>
      <x:c r="F239" s="1">
        <x:v>12.0</x:v>
      </x:c>
      <x:c r="G239" s="1">
        <x:v>58.0</x:v>
      </x:c>
      <x:c r="H239" s="1">
        <x:v>0.0</x:v>
      </x:c>
      <x:c r="I239" s="1">
        <x:v>0.0</x:v>
      </x:c>
      <x:c r="J239" s="1">
        <x:v>26.0</x:v>
      </x:c>
      <x:c r="K239" s="18">
        <x:f t="shared" si="1"/>
        <x:v>7.722222222</x:v>
      </x:c>
      <x:c r="L239" s="18">
        <x:f t="shared" si="2"/>
        <x:v>2.743144654</x:v>
      </x:c>
      <x:c r="M239" s="119"/>
      <x:c r="N239" s="119"/>
      <x:c r="O239" s="119"/>
      <x:c r="P239" s="9"/>
      <x:c r="Q239" s="9"/>
      <x:c r="R239" s="9"/>
      <x:c r="S239" s="9"/>
      <x:c r="T239" s="9"/>
      <x:c r="U239" s="9"/>
      <x:c r="V239" s="9"/>
      <x:c r="W239" s="9"/>
      <x:c r="X239" s="9"/>
      <x:c r="Y239" s="9"/>
      <x:c r="Z239" s="9"/>
    </x:row>
    <x:row r="240" ht="14.25" customHeight="1">
      <x:c r="A240" s="1" t="s">
        <x:v>682</x:v>
      </x:c>
      <x:c r="B240" s="1" t="s">
        <x:v>519</x:v>
      </x:c>
      <x:c r="C240" s="1">
        <x:v>32.0</x:v>
      </x:c>
      <x:c r="D240" s="1">
        <x:v>138.0</x:v>
      </x:c>
      <x:c r="E240" s="1">
        <x:v>1.0</x:v>
      </x:c>
      <x:c r="F240" s="1">
        <x:v>9.0</x:v>
      </x:c>
      <x:c r="G240" s="1">
        <x:v>77.0</x:v>
      </x:c>
      <x:c r="H240" s="1">
        <x:v>0.0</x:v>
      </x:c>
      <x:c r="I240" s="1">
        <x:v>0.0</x:v>
      </x:c>
      <x:c r="J240" s="1">
        <x:v>36.5</x:v>
      </x:c>
      <x:c r="K240" s="18">
        <x:f t="shared" si="1"/>
        <x:v>7.666666667</x:v>
      </x:c>
      <x:c r="L240" s="18">
        <x:f t="shared" si="2"/>
        <x:v>3.641761006</x:v>
      </x:c>
      <x:c r="M240" s="119" t="n">
        <x:f>C242*Scoring!$B$32+D242/Scoring!$C$32+E242*Scoring!$D$32+F242*Scoring!$E$32+G242/Scoring!$F$32+H242*Scoring!$G$32+I242*Scoring!$H$32+K242*Scoring!$I$32+RB!L242*Scoring!$J$32+U240</x:f>
        <x:v>32</x:v>
      </x:c>
      <x:c r="N240" s="119" t="n">
        <x:f>C240*Scoring!$B$32+D240/Scoring!$C$32+E240*Scoring!$D$32+F240*Scoring!$E$32+G240/Scoring!$F$32+H240*Scoring!$G$32+I240*Scoring!$H$32+K240*Scoring!$I$32+RB!L240*Scoring!$J$32+U240</x:f>
        <x:v>32</x:v>
      </x:c>
      <x:c r="O240" s="119" t="n">
        <x:f>C241*Scoring!$B$32+D241/Scoring!$C$32+E241*Scoring!$D$32+F241*Scoring!$E$32+G241/Scoring!$F$32+H241*Scoring!$G$32+I241*Scoring!$H$32+K241*Scoring!$I$32+L241*Scoring!$J$32+U240</x:f>
        <x:v>32</x:v>
      </x:c>
      <x:c r="P240" s="9" t="n">
        <x:f>IF(COUNTIF(Rookies!$A:$A,A240)&gt;0,1,0)</x:f>
        <x:v>0</x:v>
      </x:c>
      <x:c r="Q240" s="9"/>
      <x:c r="R240" s="9"/>
      <x:c r="S240" s="9" t="n">
        <x:f>V240/17</x:f>
        <x:v>1.8823529411764706</x:v>
      </x:c>
      <x:c r="T240" s="9" t="n">
        <x:f>IF(P240=1,MAX(0,0.258*(14.9-S240)),0)</x:f>
        <x:v>0</x:v>
      </x:c>
      <x:c r="U240" s="9" t="n">
        <x:f>T240*17</x:f>
        <x:v>0</x:v>
      </x:c>
      <x:c r="V240" s="9" t="n">
        <x:f>C240*Scoring!$B$32+D240/Scoring!$C$32+E240*Scoring!$D$32+F240*Scoring!$E$32+G240/Scoring!$F$32+H240*Scoring!$G$32+I240*Scoring!$H$32+K240*Scoring!$I$32+RB!L240*Scoring!$J$32</x:f>
        <x:v>32</x:v>
      </x:c>
      <x:c r="W240" s="9"/>
      <x:c r="X240" s="9"/>
      <x:c r="Y240" s="9"/>
      <x:c r="Z240" s="9"/>
    </x:row>
    <x:row r="241" ht="14.25" customHeight="1">
      <x:c r="B241" s="1" t="s">
        <x:v>488</x:v>
      </x:c>
      <x:c r="C241" s="1">
        <x:v>32.0</x:v>
      </x:c>
      <x:c r="D241" s="1">
        <x:v>138.0</x:v>
      </x:c>
      <x:c r="E241" s="1">
        <x:v>1.0</x:v>
      </x:c>
      <x:c r="F241" s="1">
        <x:v>9.0</x:v>
      </x:c>
      <x:c r="G241" s="1">
        <x:v>77.0</x:v>
      </x:c>
      <x:c r="H241" s="1">
        <x:v>0.0</x:v>
      </x:c>
      <x:c r="I241" s="1">
        <x:v>0.0</x:v>
      </x:c>
      <x:c r="J241" s="1">
        <x:v>24.0</x:v>
      </x:c>
      <x:c r="K241" s="18">
        <x:f t="shared" si="1"/>
        <x:v>7.666666667</x:v>
      </x:c>
      <x:c r="L241" s="18">
        <x:f t="shared" si="2"/>
        <x:v>3.641761006</x:v>
      </x:c>
      <x:c r="M241" s="119"/>
      <x:c r="N241" s="119"/>
      <x:c r="O241" s="119"/>
      <x:c r="P241" s="9"/>
      <x:c r="Q241" s="9"/>
      <x:c r="R241" s="9"/>
      <x:c r="S241" s="9"/>
      <x:c r="T241" s="9"/>
      <x:c r="U241" s="9"/>
      <x:c r="V241" s="9"/>
      <x:c r="W241" s="9"/>
      <x:c r="X241" s="9"/>
      <x:c r="Y241" s="9"/>
      <x:c r="Z241" s="9"/>
    </x:row>
    <x:row r="242" ht="14.25" customHeight="1">
      <x:c r="B242" s="1" t="s">
        <x:v>489</x:v>
      </x:c>
      <x:c r="C242" s="1">
        <x:v>32.0</x:v>
      </x:c>
      <x:c r="D242" s="1">
        <x:v>138.0</x:v>
      </x:c>
      <x:c r="E242" s="1">
        <x:v>1.0</x:v>
      </x:c>
      <x:c r="F242" s="1">
        <x:v>9.0</x:v>
      </x:c>
      <x:c r="G242" s="1">
        <x:v>77.0</x:v>
      </x:c>
      <x:c r="H242" s="1">
        <x:v>0.0</x:v>
      </x:c>
      <x:c r="I242" s="1">
        <x:v>0.0</x:v>
      </x:c>
      <x:c r="J242" s="1">
        <x:v>24.0</x:v>
      </x:c>
      <x:c r="K242" s="18">
        <x:f t="shared" si="1"/>
        <x:v>7.666666667</x:v>
      </x:c>
      <x:c r="L242" s="18">
        <x:f t="shared" si="2"/>
        <x:v>3.641761006</x:v>
      </x:c>
      <x:c r="M242" s="119"/>
      <x:c r="N242" s="119"/>
      <x:c r="O242" s="119"/>
      <x:c r="P242" s="9"/>
      <x:c r="Q242" s="9"/>
      <x:c r="R242" s="9"/>
      <x:c r="S242" s="9"/>
      <x:c r="T242" s="9"/>
      <x:c r="U242" s="9"/>
      <x:c r="V242" s="9"/>
      <x:c r="W242" s="9"/>
      <x:c r="X242" s="9"/>
      <x:c r="Y242" s="9"/>
      <x:c r="Z242" s="9"/>
    </x:row>
    <x:row r="243" ht="14.25" customHeight="1">
      <x:c r="A243" s="1" t="s">
        <x:v>683</x:v>
      </x:c>
      <x:c r="B243" s="1" t="s">
        <x:v>487</x:v>
      </x:c>
      <x:c r="C243" s="1">
        <x:v>32.3</x:v>
      </x:c>
      <x:c r="D243" s="1">
        <x:v>137.9</x:v>
      </x:c>
      <x:c r="E243" s="1">
        <x:v>1.1</x:v>
      </x:c>
      <x:c r="F243" s="1">
        <x:v>7.8</x:v>
      </x:c>
      <x:c r="G243" s="1">
        <x:v>60.0</x:v>
      </x:c>
      <x:c r="H243" s="1">
        <x:v>0.4</x:v>
      </x:c>
      <x:c r="I243" s="1">
        <x:v>0.2</x:v>
      </x:c>
      <x:c r="J243" s="1">
        <x:v>35.9</x:v>
      </x:c>
      <x:c r="K243" s="18">
        <x:f t="shared" si="1"/>
        <x:v>7.661111111</x:v>
      </x:c>
      <x:c r="L243" s="18">
        <x:f t="shared" si="2"/>
        <x:v>2.837735849</x:v>
      </x:c>
      <x:c r="M243" s="119" t="n">
        <x:f>C245*Scoring!$B$32+D245/Scoring!$C$32+E245*Scoring!$D$32+F245*Scoring!$E$32+G245/Scoring!$F$32+H245*Scoring!$G$32+I245*Scoring!$H$32+K245*Scoring!$I$32+RB!L245*Scoring!$J$32+U243</x:f>
        <x:v>32.489999999999995</x:v>
      </x:c>
      <x:c r="N243" s="119" t="n">
        <x:f>C243*Scoring!$B$32+D243/Scoring!$C$32+E243*Scoring!$D$32+F243*Scoring!$E$32+G243/Scoring!$F$32+H243*Scoring!$G$32+I243*Scoring!$H$32+K243*Scoring!$I$32+RB!L243*Scoring!$J$32+U243</x:f>
        <x:v>32.489999999999995</x:v>
      </x:c>
      <x:c r="O243" s="119" t="n">
        <x:f>C244*Scoring!$B$32+D244/Scoring!$C$32+E244*Scoring!$D$32+F244*Scoring!$E$32+G244/Scoring!$F$32+H244*Scoring!$G$32+I244*Scoring!$H$32+K244*Scoring!$I$32+L244*Scoring!$J$32+U243</x:f>
        <x:v>32.489999999999995</x:v>
      </x:c>
      <x:c r="P243" s="9" t="n">
        <x:f>IF(COUNTIF(Rookies!$A:$A,A243)&gt;0,1,0)</x:f>
        <x:v>0</x:v>
      </x:c>
      <x:c r="Q243" s="9"/>
      <x:c r="R243" s="9"/>
      <x:c r="S243" s="9" t="n">
        <x:f>V243/17</x:f>
        <x:v>1.911176470588235</x:v>
      </x:c>
      <x:c r="T243" s="9" t="n">
        <x:f>IF(P243=1,MAX(0,0.258*(14.9-S243)),0)</x:f>
        <x:v>0</x:v>
      </x:c>
      <x:c r="U243" s="9" t="n">
        <x:f>T243*17</x:f>
        <x:v>0</x:v>
      </x:c>
      <x:c r="V243" s="9" t="n">
        <x:f>C243*Scoring!$B$32+D243/Scoring!$C$32+E243*Scoring!$D$32+F243*Scoring!$E$32+G243/Scoring!$F$32+H243*Scoring!$G$32+I243*Scoring!$H$32+K243*Scoring!$I$32+RB!L243*Scoring!$J$32</x:f>
        <x:v>32.489999999999995</x:v>
      </x:c>
      <x:c r="W243" s="9"/>
      <x:c r="X243" s="9"/>
      <x:c r="Y243" s="9"/>
      <x:c r="Z243" s="9"/>
    </x:row>
    <x:row r="244" ht="14.25" customHeight="1">
      <x:c r="B244" s="1" t="s">
        <x:v>488</x:v>
      </x:c>
      <x:c r="C244" s="1">
        <x:v>32.3</x:v>
      </x:c>
      <x:c r="D244" s="1">
        <x:v>137.9</x:v>
      </x:c>
      <x:c r="E244" s="1">
        <x:v>1.1</x:v>
      </x:c>
      <x:c r="F244" s="1">
        <x:v>7.8</x:v>
      </x:c>
      <x:c r="G244" s="1">
        <x:v>60.0</x:v>
      </x:c>
      <x:c r="H244" s="1">
        <x:v>0.4</x:v>
      </x:c>
      <x:c r="I244" s="1">
        <x:v>0.2</x:v>
      </x:c>
      <x:c r="J244" s="1">
        <x:v>38.1</x:v>
      </x:c>
      <x:c r="K244" s="18">
        <x:f t="shared" si="1"/>
        <x:v>7.661111111</x:v>
      </x:c>
      <x:c r="L244" s="18">
        <x:f t="shared" si="2"/>
        <x:v>2.837735849</x:v>
      </x:c>
      <x:c r="M244" s="119"/>
      <x:c r="N244" s="119"/>
      <x:c r="O244" s="119"/>
      <x:c r="P244" s="9"/>
      <x:c r="Q244" s="9"/>
      <x:c r="R244" s="9"/>
      <x:c r="S244" s="9"/>
      <x:c r="T244" s="9"/>
      <x:c r="U244" s="9"/>
      <x:c r="V244" s="9"/>
      <x:c r="W244" s="9"/>
      <x:c r="X244" s="9"/>
      <x:c r="Y244" s="9"/>
      <x:c r="Z244" s="9"/>
    </x:row>
    <x:row r="245" ht="14.25" customHeight="1">
      <x:c r="B245" s="1" t="s">
        <x:v>489</x:v>
      </x:c>
      <x:c r="C245" s="1">
        <x:v>32.3</x:v>
      </x:c>
      <x:c r="D245" s="1">
        <x:v>137.9</x:v>
      </x:c>
      <x:c r="E245" s="1">
        <x:v>1.1</x:v>
      </x:c>
      <x:c r="F245" s="1">
        <x:v>7.8</x:v>
      </x:c>
      <x:c r="G245" s="1">
        <x:v>60.0</x:v>
      </x:c>
      <x:c r="H245" s="1">
        <x:v>0.4</x:v>
      </x:c>
      <x:c r="I245" s="1">
        <x:v>0.2</x:v>
      </x:c>
      <x:c r="J245" s="1">
        <x:v>38.1</x:v>
      </x:c>
      <x:c r="K245" s="18">
        <x:f t="shared" si="1"/>
        <x:v>7.661111111</x:v>
      </x:c>
      <x:c r="L245" s="18">
        <x:f t="shared" si="2"/>
        <x:v>2.837735849</x:v>
      </x:c>
      <x:c r="M245" s="119"/>
      <x:c r="N245" s="119"/>
      <x:c r="O245" s="119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  <x:c r="Z245" s="9"/>
    </x:row>
    <x:row r="246" ht="14.25" customHeight="1">
      <x:c r="A246" s="1" t="s">
        <x:v>684</x:v>
      </x:c>
      <x:c r="B246" s="1" t="s">
        <x:v>527</x:v>
      </x:c>
      <x:c r="C246" s="1">
        <x:v>33.3</x:v>
      </x:c>
      <x:c r="D246" s="1">
        <x:v>140.5</x:v>
      </x:c>
      <x:c r="E246" s="1">
        <x:v>1.0</x:v>
      </x:c>
      <x:c r="F246" s="1">
        <x:v>8.4</x:v>
      </x:c>
      <x:c r="G246" s="1">
        <x:v>58.3</x:v>
      </x:c>
      <x:c r="H246" s="1">
        <x:v>0.3</x:v>
      </x:c>
      <x:c r="I246" s="1">
        <x:v>0.2</x:v>
      </x:c>
      <x:c r="J246" s="1">
        <x:v>35.8</x:v>
      </x:c>
      <x:c r="K246" s="18">
        <x:f t="shared" si="1"/>
        <x:v>7.805555556</x:v>
      </x:c>
      <x:c r="L246" s="18">
        <x:f t="shared" si="2"/>
        <x:v>2.757333333</x:v>
      </x:c>
      <x:c r="M246" s="119" t="n">
        <x:f>C248*Scoring!$B$32+D248/Scoring!$C$32+E248*Scoring!$D$32+F248*Scoring!$E$32+G248/Scoring!$F$32+H248*Scoring!$G$32+I248*Scoring!$H$32+K248*Scoring!$I$32+RB!L248*Scoring!$J$32+U246</x:f>
        <x:v>31.68</x:v>
      </x:c>
      <x:c r="N246" s="119" t="n">
        <x:f>C246*Scoring!$B$32+D246/Scoring!$C$32+E246*Scoring!$D$32+F246*Scoring!$E$32+G246/Scoring!$F$32+H246*Scoring!$G$32+I246*Scoring!$H$32+K246*Scoring!$I$32+RB!L246*Scoring!$J$32+U246</x:f>
        <x:v>31.68</x:v>
      </x:c>
      <x:c r="O246" s="119" t="n">
        <x:f>C247*Scoring!$B$32+D247/Scoring!$C$32+E247*Scoring!$D$32+F247*Scoring!$E$32+G247/Scoring!$F$32+H247*Scoring!$G$32+I247*Scoring!$H$32+K247*Scoring!$I$32+L247*Scoring!$J$32+U246</x:f>
        <x:v>31.68</x:v>
      </x:c>
      <x:c r="P246" s="9" t="n">
        <x:f>IF(COUNTIF(Rookies!$A:$A,A246)&gt;0,1,0)</x:f>
        <x:v>0</x:v>
      </x:c>
      <x:c r="Q246" s="9"/>
      <x:c r="R246" s="9"/>
      <x:c r="S246" s="9" t="n">
        <x:f>V246/17</x:f>
        <x:v>1.8635294117647059</x:v>
      </x:c>
      <x:c r="T246" s="9" t="n">
        <x:f>IF(P246=1,MAX(0,0.258*(14.9-S246)),0)</x:f>
        <x:v>0</x:v>
      </x:c>
      <x:c r="U246" s="9" t="n">
        <x:f>T246*17</x:f>
        <x:v>0</x:v>
      </x:c>
      <x:c r="V246" s="9" t="n">
        <x:f>C246*Scoring!$B$32+D246/Scoring!$C$32+E246*Scoring!$D$32+F246*Scoring!$E$32+G246/Scoring!$F$32+H246*Scoring!$G$32+I246*Scoring!$H$32+K246*Scoring!$I$32+RB!L246*Scoring!$J$32</x:f>
        <x:v>31.68</x:v>
      </x:c>
      <x:c r="W246" s="9"/>
      <x:c r="X246" s="9"/>
      <x:c r="Y246" s="9"/>
      <x:c r="Z246" s="9"/>
    </x:row>
    <x:row r="247" ht="14.25" customHeight="1">
      <x:c r="B247" s="1" t="s">
        <x:v>488</x:v>
      </x:c>
      <x:c r="C247" s="1">
        <x:v>33.3</x:v>
      </x:c>
      <x:c r="D247" s="1">
        <x:v>140.5</x:v>
      </x:c>
      <x:c r="E247" s="1">
        <x:v>1.0</x:v>
      </x:c>
      <x:c r="F247" s="1">
        <x:v>8.4</x:v>
      </x:c>
      <x:c r="G247" s="1">
        <x:v>58.3</x:v>
      </x:c>
      <x:c r="H247" s="1">
        <x:v>0.3</x:v>
      </x:c>
      <x:c r="I247" s="1">
        <x:v>0.2</x:v>
      </x:c>
      <x:c r="J247" s="1">
        <x:v>36.0</x:v>
      </x:c>
      <x:c r="K247" s="18">
        <x:f t="shared" si="1"/>
        <x:v>7.805555556</x:v>
      </x:c>
      <x:c r="L247" s="18">
        <x:f t="shared" si="2"/>
        <x:v>2.757333333</x:v>
      </x:c>
      <x:c r="M247" s="119"/>
      <x:c r="N247" s="119"/>
      <x:c r="O247" s="119"/>
      <x:c r="P247" s="9"/>
      <x:c r="Q247" s="9"/>
      <x:c r="R247" s="9"/>
      <x:c r="S247" s="9"/>
      <x:c r="T247" s="9"/>
      <x:c r="U247" s="9"/>
      <x:c r="V247" s="9"/>
      <x:c r="W247" s="9"/>
      <x:c r="X247" s="9"/>
      <x:c r="Y247" s="9"/>
      <x:c r="Z247" s="9"/>
    </x:row>
    <x:row r="248" ht="14.25" customHeight="1">
      <x:c r="B248" s="1" t="s">
        <x:v>489</x:v>
      </x:c>
      <x:c r="C248" s="1">
        <x:v>33.3</x:v>
      </x:c>
      <x:c r="D248" s="1">
        <x:v>140.5</x:v>
      </x:c>
      <x:c r="E248" s="1">
        <x:v>1.0</x:v>
      </x:c>
      <x:c r="F248" s="1">
        <x:v>8.4</x:v>
      </x:c>
      <x:c r="G248" s="1">
        <x:v>58.3</x:v>
      </x:c>
      <x:c r="H248" s="1">
        <x:v>0.3</x:v>
      </x:c>
      <x:c r="I248" s="1">
        <x:v>0.2</x:v>
      </x:c>
      <x:c r="J248" s="1">
        <x:v>36.0</x:v>
      </x:c>
      <x:c r="K248" s="18">
        <x:f t="shared" si="1"/>
        <x:v>7.805555556</x:v>
      </x:c>
      <x:c r="L248" s="18">
        <x:f t="shared" si="2"/>
        <x:v>2.757333333</x:v>
      </x:c>
      <x:c r="M248" s="119"/>
      <x:c r="N248" s="119"/>
      <x:c r="O248" s="119"/>
      <x:c r="P248" s="9"/>
      <x:c r="Q248" s="9"/>
      <x:c r="R248" s="9"/>
      <x:c r="S248" s="9"/>
      <x:c r="T248" s="9"/>
      <x:c r="U248" s="9"/>
      <x:c r="V248" s="9"/>
      <x:c r="W248" s="9"/>
      <x:c r="X248" s="9"/>
      <x:c r="Y248" s="9"/>
      <x:c r="Z248" s="9"/>
    </x:row>
    <x:row r="249" ht="14.25" customHeight="1">
      <x:c r="A249" s="1" t="s">
        <x:v>685</x:v>
      </x:c>
      <x:c r="B249" s="1" t="s">
        <x:v>509</x:v>
      </x:c>
      <x:c r="C249" s="1">
        <x:v>39.8</x:v>
      </x:c>
      <x:c r="D249" s="1">
        <x:v>166.2</x:v>
      </x:c>
      <x:c r="E249" s="1">
        <x:v>1.3</x:v>
      </x:c>
      <x:c r="F249" s="1">
        <x:v>5.7</x:v>
      </x:c>
      <x:c r="G249" s="1">
        <x:v>41.2</x:v>
      </x:c>
      <x:c r="H249" s="1">
        <x:v>0.2</x:v>
      </x:c>
      <x:c r="I249" s="1">
        <x:v>0.1</x:v>
      </x:c>
      <x:c r="J249" s="1">
        <x:v>35.1</x:v>
      </x:c>
      <x:c r="K249" s="18">
        <x:f t="shared" si="1"/>
        <x:v>9.233333333</x:v>
      </x:c>
      <x:c r="L249" s="18">
        <x:f t="shared" si="2"/>
        <x:v>1.948578616</x:v>
      </x:c>
      <x:c r="M249" s="119" t="n">
        <x:f>C251*Scoring!$B$32+D251/Scoring!$C$32+E251*Scoring!$D$32+F251*Scoring!$E$32+G251/Scoring!$F$32+H251*Scoring!$G$32+I251*Scoring!$H$32+K251*Scoring!$I$32+RB!L251*Scoring!$J$32+U249</x:f>
        <x:v>79.16898</x:v>
      </x:c>
      <x:c r="N249" s="119" t="n">
        <x:f>C249*Scoring!$B$32+D249/Scoring!$C$32+E249*Scoring!$D$32+F249*Scoring!$E$32+G249/Scoring!$F$32+H249*Scoring!$G$32+I249*Scoring!$H$32+K249*Scoring!$I$32+RB!L249*Scoring!$J$32+U249</x:f>
        <x:v>89.45898</x:v>
      </x:c>
      <x:c r="O249" s="119" t="n">
        <x:f>C250*Scoring!$B$32+D250/Scoring!$C$32+E250*Scoring!$D$32+F250*Scoring!$E$32+G250/Scoring!$F$32+H250*Scoring!$G$32+I250*Scoring!$H$32+K250*Scoring!$I$32+L250*Scoring!$J$32+U249</x:f>
        <x:v>99.73898</x:v>
      </x:c>
      <x:c r="P249" s="9" t="n">
        <x:f>IF(COUNTIF(Rookies!$A:$A,A249)&gt;0,1,0)</x:f>
        <x:v>1</x:v>
      </x:c>
      <x:c r="Q249" s="9"/>
      <x:c r="R249" s="9"/>
      <x:c r="S249" s="9" t="n">
        <x:f>V249/17</x:f>
        <x:v>1.9111764705882355</x:v>
      </x:c>
      <x:c r="T249" s="9" t="n">
        <x:f>IF(P249=1,MAX(0,0.258*(14.9-S249)),0)</x:f>
        <x:v>3.3511164705882353</x:v>
      </x:c>
      <x:c r="U249" s="9" t="n">
        <x:f>T249*17</x:f>
        <x:v>56.96898</x:v>
      </x:c>
      <x:c r="V249" s="9" t="n">
        <x:f>C249*Scoring!$B$32+D249/Scoring!$C$32+E249*Scoring!$D$32+F249*Scoring!$E$32+G249/Scoring!$F$32+H249*Scoring!$G$32+I249*Scoring!$H$32+K249*Scoring!$I$32+RB!L249*Scoring!$J$32</x:f>
        <x:v>32.49</x:v>
      </x:c>
      <x:c r="W249" s="9"/>
      <x:c r="X249" s="9"/>
      <x:c r="Y249" s="9"/>
      <x:c r="Z249" s="9"/>
    </x:row>
    <x:row r="250" ht="14.25" customHeight="1">
      <x:c r="B250" s="1" t="s">
        <x:v>488</x:v>
      </x:c>
      <x:c r="C250" s="1">
        <x:v>49.5</x:v>
      </x:c>
      <x:c r="D250" s="1">
        <x:v>206.3</x:v>
      </x:c>
      <x:c r="E250" s="1">
        <x:v>1.6</x:v>
      </x:c>
      <x:c r="F250" s="1">
        <x:v>8.4</x:v>
      </x:c>
      <x:c r="G250" s="1">
        <x:v>59.4</x:v>
      </x:c>
      <x:c r="H250" s="1">
        <x:v>0.4</x:v>
      </x:c>
      <x:c r="I250" s="1">
        <x:v>0.0</x:v>
      </x:c>
      <x:c r="J250" s="1">
        <x:v>43.9</x:v>
      </x:c>
      <x:c r="K250" s="18">
        <x:f t="shared" si="1"/>
        <x:v>11.46111111</x:v>
      </x:c>
      <x:c r="L250" s="18">
        <x:f t="shared" si="2"/>
        <x:v>2.809358491</x:v>
      </x:c>
      <x:c r="M250" s="119"/>
      <x:c r="N250" s="119"/>
      <x:c r="O250" s="119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</x:row>
    <x:row r="251" ht="14.25" customHeight="1">
      <x:c r="B251" s="1" t="s">
        <x:v>489</x:v>
      </x:c>
      <x:c r="C251" s="1">
        <x:v>30.0</x:v>
      </x:c>
      <x:c r="D251" s="1">
        <x:v>126.0</x:v>
      </x:c>
      <x:c r="E251" s="1">
        <x:v>1.0</x:v>
      </x:c>
      <x:c r="F251" s="1">
        <x:v>3.0</x:v>
      </x:c>
      <x:c r="G251" s="1">
        <x:v>23.0</x:v>
      </x:c>
      <x:c r="H251" s="1">
        <x:v>0.0</x:v>
      </x:c>
      <x:c r="I251" s="1">
        <x:v>0.2</x:v>
      </x:c>
      <x:c r="J251" s="1">
        <x:v>17.7</x:v>
      </x:c>
      <x:c r="K251" s="18">
        <x:f t="shared" si="1"/>
        <x:v>7</x:v>
      </x:c>
      <x:c r="L251" s="18">
        <x:f t="shared" si="2"/>
        <x:v>1.087798742</x:v>
      </x:c>
      <x:c r="M251" s="119"/>
      <x:c r="N251" s="119"/>
      <x:c r="O251" s="119"/>
      <x:c r="P251" s="9"/>
      <x:c r="Q251" s="9"/>
      <x:c r="R251" s="9"/>
      <x:c r="S251" s="9"/>
      <x:c r="T251" s="9"/>
      <x:c r="U251" s="9"/>
      <x:c r="V251" s="9"/>
      <x:c r="W251" s="9"/>
      <x:c r="X251" s="9"/>
      <x:c r="Y251" s="9"/>
      <x:c r="Z251" s="9"/>
    </x:row>
    <x:row r="252" ht="14.25" customHeight="1">
      <x:c r="A252" s="1" t="s">
        <x:v>686</x:v>
      </x:c>
      <x:c r="B252" s="1" t="s">
        <x:v>487</x:v>
      </x:c>
      <x:c r="C252" s="1">
        <x:v>37.0</x:v>
      </x:c>
      <x:c r="D252" s="1">
        <x:v>175.0</x:v>
      </x:c>
      <x:c r="E252" s="1">
        <x:v>2.0</x:v>
      </x:c>
      <x:c r="F252" s="1">
        <x:v>3.0</x:v>
      </x:c>
      <x:c r="G252" s="1">
        <x:v>26.0</x:v>
      </x:c>
      <x:c r="H252" s="1">
        <x:v>0.0</x:v>
      </x:c>
      <x:c r="I252" s="1">
        <x:v>0.0</x:v>
      </x:c>
      <x:c r="J252" s="1">
        <x:v>35.1</x:v>
      </x:c>
      <x:c r="K252" s="18">
        <x:f t="shared" si="1"/>
        <x:v>9.722222222</x:v>
      </x:c>
      <x:c r="L252" s="18">
        <x:f t="shared" si="2"/>
        <x:v>1.229685535</x:v>
      </x:c>
      <x:c r="M252" s="119" t="n">
        <x:f>C254*Scoring!$B$32+D254/Scoring!$C$32+E254*Scoring!$D$32+F254*Scoring!$E$32+G254/Scoring!$F$32+H254*Scoring!$G$32+I254*Scoring!$H$32+K254*Scoring!$I$32+RB!L254*Scoring!$J$32+U252</x:f>
        <x:v>33.6</x:v>
      </x:c>
      <x:c r="N252" s="119" t="n">
        <x:f>C252*Scoring!$B$32+D252/Scoring!$C$32+E252*Scoring!$D$32+F252*Scoring!$E$32+G252/Scoring!$F$32+H252*Scoring!$G$32+I252*Scoring!$H$32+K252*Scoring!$I$32+RB!L252*Scoring!$J$32+U252</x:f>
        <x:v>33.6</x:v>
      </x:c>
      <x:c r="O252" s="119" t="n">
        <x:f>C253*Scoring!$B$32+D253/Scoring!$C$32+E253*Scoring!$D$32+F253*Scoring!$E$32+G253/Scoring!$F$32+H253*Scoring!$G$32+I253*Scoring!$H$32+K253*Scoring!$I$32+L253*Scoring!$J$32+U252</x:f>
        <x:v>33.6</x:v>
      </x:c>
      <x:c r="P252" s="9" t="n">
        <x:f>IF(COUNTIF(Rookies!$A:$A,A252)&gt;0,1,0)</x:f>
        <x:v>0</x:v>
      </x:c>
      <x:c r="Q252" s="9"/>
      <x:c r="R252" s="9"/>
      <x:c r="S252" s="9" t="n">
        <x:f>V252/17</x:f>
        <x:v>1.9764705882352942</x:v>
      </x:c>
      <x:c r="T252" s="9" t="n">
        <x:f>IF(P252=1,MAX(0,0.258*(14.9-S252)),0)</x:f>
        <x:v>0</x:v>
      </x:c>
      <x:c r="U252" s="9" t="n">
        <x:f>T252*17</x:f>
        <x:v>0</x:v>
      </x:c>
      <x:c r="V252" s="9" t="n">
        <x:f>C252*Scoring!$B$32+D252/Scoring!$C$32+E252*Scoring!$D$32+F252*Scoring!$E$32+G252/Scoring!$F$32+H252*Scoring!$G$32+I252*Scoring!$H$32+K252*Scoring!$I$32+RB!L252*Scoring!$J$32</x:f>
        <x:v>33.6</x:v>
      </x:c>
      <x:c r="W252" s="9"/>
      <x:c r="X252" s="9"/>
      <x:c r="Y252" s="9"/>
      <x:c r="Z252" s="9"/>
    </x:row>
    <x:row r="253" ht="14.25" customHeight="1">
      <x:c r="B253" s="1" t="s">
        <x:v>488</x:v>
      </x:c>
      <x:c r="C253" s="1">
        <x:v>37.0</x:v>
      </x:c>
      <x:c r="D253" s="1">
        <x:v>175.0</x:v>
      </x:c>
      <x:c r="E253" s="1">
        <x:v>2.0</x:v>
      </x:c>
      <x:c r="F253" s="1">
        <x:v>3.0</x:v>
      </x:c>
      <x:c r="G253" s="1">
        <x:v>26.0</x:v>
      </x:c>
      <x:c r="H253" s="1">
        <x:v>0.0</x:v>
      </x:c>
      <x:c r="I253" s="1">
        <x:v>0.0</x:v>
      </x:c>
      <x:c r="J253" s="1">
        <x:v>26.0</x:v>
      </x:c>
      <x:c r="K253" s="18">
        <x:f t="shared" si="1"/>
        <x:v>9.722222222</x:v>
      </x:c>
      <x:c r="L253" s="18">
        <x:f t="shared" si="2"/>
        <x:v>1.229685535</x:v>
      </x:c>
      <x:c r="M253" s="119"/>
      <x:c r="N253" s="119"/>
      <x:c r="O253" s="119"/>
      <x:c r="P253" s="9"/>
      <x:c r="Q253" s="9"/>
      <x:c r="R253" s="9"/>
      <x:c r="S253" s="9"/>
      <x:c r="T253" s="9"/>
      <x:c r="U253" s="9"/>
      <x:c r="V253" s="9"/>
      <x:c r="W253" s="9"/>
      <x:c r="X253" s="9"/>
      <x:c r="Y253" s="9"/>
      <x:c r="Z253" s="9"/>
    </x:row>
    <x:row r="254" ht="14.25" customHeight="1">
      <x:c r="B254" s="1" t="s">
        <x:v>489</x:v>
      </x:c>
      <x:c r="C254" s="1">
        <x:v>37.0</x:v>
      </x:c>
      <x:c r="D254" s="1">
        <x:v>175.0</x:v>
      </x:c>
      <x:c r="E254" s="1">
        <x:v>2.0</x:v>
      </x:c>
      <x:c r="F254" s="1">
        <x:v>3.0</x:v>
      </x:c>
      <x:c r="G254" s="1">
        <x:v>26.0</x:v>
      </x:c>
      <x:c r="H254" s="1">
        <x:v>0.0</x:v>
      </x:c>
      <x:c r="I254" s="1">
        <x:v>0.0</x:v>
      </x:c>
      <x:c r="J254" s="1">
        <x:v>26.0</x:v>
      </x:c>
      <x:c r="K254" s="18">
        <x:f t="shared" si="1"/>
        <x:v>9.722222222</x:v>
      </x:c>
      <x:c r="L254" s="18">
        <x:f t="shared" si="2"/>
        <x:v>1.229685535</x:v>
      </x:c>
      <x:c r="M254" s="119"/>
      <x:c r="N254" s="119"/>
      <x:c r="O254" s="119"/>
      <x:c r="P254" s="9"/>
      <x:c r="Q254" s="9"/>
      <x:c r="R254" s="9"/>
      <x:c r="S254" s="9"/>
      <x:c r="T254" s="9"/>
      <x:c r="U254" s="9"/>
      <x:c r="V254" s="9"/>
      <x:c r="W254" s="9"/>
      <x:c r="X254" s="9"/>
      <x:c r="Y254" s="9"/>
      <x:c r="Z254" s="9"/>
    </x:row>
    <x:row r="255" ht="14.25" customHeight="1">
      <x:c r="A255" s="1" t="s">
        <x:v>687</x:v>
      </x:c>
      <x:c r="B255" s="1" t="s">
        <x:v>529</x:v>
      </x:c>
      <x:c r="C255" s="1">
        <x:v>49.4</x:v>
      </x:c>
      <x:c r="D255" s="1">
        <x:v>203.5</x:v>
      </x:c>
      <x:c r="E255" s="1">
        <x:v>1.2</x:v>
      </x:c>
      <x:c r="F255" s="1">
        <x:v>3.9</x:v>
      </x:c>
      <x:c r="G255" s="1">
        <x:v>27.7</x:v>
      </x:c>
      <x:c r="H255" s="1">
        <x:v>0.1</x:v>
      </x:c>
      <x:c r="I255" s="1">
        <x:v>0.2</x:v>
      </x:c>
      <x:c r="J255" s="1">
        <x:v>34.8</x:v>
      </x:c>
      <x:c r="K255" s="18">
        <x:f t="shared" si="1"/>
        <x:v>11.30555556</x:v>
      </x:c>
      <x:c r="L255" s="18">
        <x:f t="shared" si="2"/>
        <x:v>1.31008805</x:v>
      </x:c>
      <x:c r="M255" s="119" t="n">
        <x:f>C257*Scoring!$B$32+D257/Scoring!$C$32+E257*Scoring!$D$32+F257*Scoring!$E$32+G257/Scoring!$F$32+H257*Scoring!$G$32+I257*Scoring!$H$32+K257*Scoring!$I$32+RB!L257*Scoring!$J$32+U255</x:f>
        <x:v>32.67</x:v>
      </x:c>
      <x:c r="N255" s="119" t="n">
        <x:f>C255*Scoring!$B$32+D255/Scoring!$C$32+E255*Scoring!$D$32+F255*Scoring!$E$32+G255/Scoring!$F$32+H255*Scoring!$G$32+I255*Scoring!$H$32+K255*Scoring!$I$32+RB!L255*Scoring!$J$32+U255</x:f>
        <x:v>32.67</x:v>
      </x:c>
      <x:c r="O255" s="119" t="n">
        <x:f>C256*Scoring!$B$32+D256/Scoring!$C$32+E256*Scoring!$D$32+F256*Scoring!$E$32+G256/Scoring!$F$32+H256*Scoring!$G$32+I256*Scoring!$H$32+K256*Scoring!$I$32+L256*Scoring!$J$32+U255</x:f>
        <x:v>32.67</x:v>
      </x:c>
      <x:c r="P255" s="9" t="n">
        <x:f>IF(COUNTIF(Rookies!$A:$A,A255)&gt;0,1,0)</x:f>
        <x:v>0</x:v>
      </x:c>
      <x:c r="Q255" s="9"/>
      <x:c r="R255" s="9"/>
      <x:c r="S255" s="9" t="n">
        <x:f>V255/17</x:f>
        <x:v>1.921764705882353</x:v>
      </x:c>
      <x:c r="T255" s="9" t="n">
        <x:f>IF(P255=1,MAX(0,0.258*(14.9-S255)),0)</x:f>
        <x:v>0</x:v>
      </x:c>
      <x:c r="U255" s="9" t="n">
        <x:f>T255*17</x:f>
        <x:v>0</x:v>
      </x:c>
      <x:c r="V255" s="9" t="n">
        <x:f>C255*Scoring!$B$32+D255/Scoring!$C$32+E255*Scoring!$D$32+F255*Scoring!$E$32+G255/Scoring!$F$32+H255*Scoring!$G$32+I255*Scoring!$H$32+K255*Scoring!$I$32+RB!L255*Scoring!$J$32</x:f>
        <x:v>32.67</x:v>
      </x:c>
      <x:c r="W255" s="9"/>
      <x:c r="X255" s="9"/>
      <x:c r="Y255" s="9"/>
      <x:c r="Z255" s="9"/>
    </x:row>
    <x:row r="256" ht="14.25" customHeight="1">
      <x:c r="B256" s="1" t="s">
        <x:v>488</x:v>
      </x:c>
      <x:c r="C256" s="1">
        <x:v>49.4</x:v>
      </x:c>
      <x:c r="D256" s="1">
        <x:v>203.5</x:v>
      </x:c>
      <x:c r="E256" s="1">
        <x:v>1.2</x:v>
      </x:c>
      <x:c r="F256" s="1">
        <x:v>3.9</x:v>
      </x:c>
      <x:c r="G256" s="1">
        <x:v>27.7</x:v>
      </x:c>
      <x:c r="H256" s="1">
        <x:v>0.1</x:v>
      </x:c>
      <x:c r="I256" s="1">
        <x:v>0.2</x:v>
      </x:c>
      <x:c r="J256" s="1">
        <x:v>34.9</x:v>
      </x:c>
      <x:c r="K256" s="18">
        <x:f t="shared" si="1"/>
        <x:v>11.30555556</x:v>
      </x:c>
      <x:c r="L256" s="18">
        <x:f t="shared" si="2"/>
        <x:v>1.31008805</x:v>
      </x:c>
      <x:c r="M256" s="119"/>
      <x:c r="N256" s="119"/>
      <x:c r="O256" s="119"/>
      <x:c r="P256" s="9"/>
      <x:c r="Q256" s="9"/>
      <x:c r="R256" s="9"/>
      <x:c r="S256" s="9"/>
      <x:c r="T256" s="9"/>
      <x:c r="U256" s="9"/>
      <x:c r="V256" s="9"/>
      <x:c r="W256" s="9"/>
      <x:c r="X256" s="9"/>
      <x:c r="Y256" s="9"/>
      <x:c r="Z256" s="9"/>
    </x:row>
    <x:row r="257" ht="14.25" customHeight="1">
      <x:c r="B257" s="1" t="s">
        <x:v>489</x:v>
      </x:c>
      <x:c r="C257" s="1">
        <x:v>49.4</x:v>
      </x:c>
      <x:c r="D257" s="1">
        <x:v>203.5</x:v>
      </x:c>
      <x:c r="E257" s="1">
        <x:v>1.2</x:v>
      </x:c>
      <x:c r="F257" s="1">
        <x:v>3.9</x:v>
      </x:c>
      <x:c r="G257" s="1">
        <x:v>27.7</x:v>
      </x:c>
      <x:c r="H257" s="1">
        <x:v>0.1</x:v>
      </x:c>
      <x:c r="I257" s="1">
        <x:v>0.2</x:v>
      </x:c>
      <x:c r="J257" s="1">
        <x:v>34.9</x:v>
      </x:c>
      <x:c r="K257" s="18">
        <x:f t="shared" si="1"/>
        <x:v>11.30555556</x:v>
      </x:c>
      <x:c r="L257" s="18">
        <x:f t="shared" si="2"/>
        <x:v>1.31008805</x:v>
      </x:c>
      <x:c r="M257" s="119"/>
      <x:c r="N257" s="119"/>
      <x:c r="O257" s="119"/>
      <x:c r="P257" s="9"/>
      <x:c r="Q257" s="9"/>
      <x:c r="R257" s="9"/>
      <x:c r="S257" s="9"/>
      <x:c r="T257" s="9"/>
      <x:c r="U257" s="9"/>
      <x:c r="V257" s="9"/>
      <x:c r="W257" s="9"/>
      <x:c r="X257" s="9"/>
      <x:c r="Y257" s="9"/>
      <x:c r="Z257" s="9"/>
    </x:row>
    <x:row r="258" ht="14.25" customHeight="1">
      <x:c r="A258" s="1" t="s">
        <x:v>688</x:v>
      </x:c>
      <x:c r="B258" s="1" t="s">
        <x:v>511</x:v>
      </x:c>
      <x:c r="C258" s="1">
        <x:v>34.0</x:v>
      </x:c>
      <x:c r="D258" s="1">
        <x:v>116.0</x:v>
      </x:c>
      <x:c r="E258" s="1">
        <x:v>3.0</x:v>
      </x:c>
      <x:c r="F258" s="1">
        <x:v>3.0</x:v>
      </x:c>
      <x:c r="G258" s="1">
        <x:v>18.0</x:v>
      </x:c>
      <x:c r="H258" s="1">
        <x:v>0.0</x:v>
      </x:c>
      <x:c r="I258" s="1">
        <x:v>0.0</x:v>
      </x:c>
      <x:c r="J258" s="1">
        <x:v>34.4</x:v>
      </x:c>
      <x:c r="K258" s="18">
        <x:f t="shared" si="1"/>
        <x:v>6.444444444</x:v>
      </x:c>
      <x:c r="L258" s="18">
        <x:f t="shared" si="2"/>
        <x:v>0.8513207547</x:v>
      </x:c>
      <x:c r="M258" s="119" t="n">
        <x:f>C260*Scoring!$B$32+D260/Scoring!$C$32+E260*Scoring!$D$32+F260*Scoring!$E$32+G260/Scoring!$F$32+H260*Scoring!$G$32+I260*Scoring!$H$32+K260*Scoring!$I$32+RB!L260*Scoring!$J$32+U258</x:f>
        <x:v>32.9</x:v>
      </x:c>
      <x:c r="N258" s="119" t="n">
        <x:f>C258*Scoring!$B$32+D258/Scoring!$C$32+E258*Scoring!$D$32+F258*Scoring!$E$32+G258/Scoring!$F$32+H258*Scoring!$G$32+I258*Scoring!$H$32+K258*Scoring!$I$32+RB!L258*Scoring!$J$32+U258</x:f>
        <x:v>32.9</x:v>
      </x:c>
      <x:c r="O258" s="119" t="n">
        <x:f>C259*Scoring!$B$32+D259/Scoring!$C$32+E259*Scoring!$D$32+F259*Scoring!$E$32+G259/Scoring!$F$32+H259*Scoring!$G$32+I259*Scoring!$H$32+K259*Scoring!$I$32+L259*Scoring!$J$32+U258</x:f>
        <x:v>32.9</x:v>
      </x:c>
      <x:c r="P258" s="9" t="n">
        <x:f>IF(COUNTIF(Rookies!$A:$A,A258)&gt;0,1,0)</x:f>
        <x:v>0</x:v>
      </x:c>
      <x:c r="Q258" s="9"/>
      <x:c r="R258" s="9"/>
      <x:c r="S258" s="9" t="n">
        <x:f>V258/17</x:f>
        <x:v>1.9352941176470588</x:v>
      </x:c>
      <x:c r="T258" s="9" t="n">
        <x:f>IF(P258=1,MAX(0,0.258*(14.9-S258)),0)</x:f>
        <x:v>0</x:v>
      </x:c>
      <x:c r="U258" s="9" t="n">
        <x:f>T258*17</x:f>
        <x:v>0</x:v>
      </x:c>
      <x:c r="V258" s="9" t="n">
        <x:f>C258*Scoring!$B$32+D258/Scoring!$C$32+E258*Scoring!$D$32+F258*Scoring!$E$32+G258/Scoring!$F$32+H258*Scoring!$G$32+I258*Scoring!$H$32+K258*Scoring!$I$32+RB!L258*Scoring!$J$32</x:f>
        <x:v>32.9</x:v>
      </x:c>
      <x:c r="W258" s="9"/>
      <x:c r="X258" s="9"/>
      <x:c r="Y258" s="9"/>
      <x:c r="Z258" s="9"/>
    </x:row>
    <x:row r="259" ht="14.25" customHeight="1">
      <x:c r="B259" s="1" t="s">
        <x:v>488</x:v>
      </x:c>
      <x:c r="C259" s="1">
        <x:v>34.0</x:v>
      </x:c>
      <x:c r="D259" s="1">
        <x:v>116.0</x:v>
      </x:c>
      <x:c r="E259" s="1">
        <x:v>3.0</x:v>
      </x:c>
      <x:c r="F259" s="1">
        <x:v>3.0</x:v>
      </x:c>
      <x:c r="G259" s="1">
        <x:v>18.0</x:v>
      </x:c>
      <x:c r="H259" s="1">
        <x:v>0.0</x:v>
      </x:c>
      <x:c r="I259" s="1">
        <x:v>0.0</x:v>
      </x:c>
      <x:c r="J259" s="1">
        <x:v>26.0</x:v>
      </x:c>
      <x:c r="K259" s="18">
        <x:f t="shared" si="1"/>
        <x:v>6.444444444</x:v>
      </x:c>
      <x:c r="L259" s="18">
        <x:f t="shared" si="2"/>
        <x:v>0.8513207547</x:v>
      </x:c>
      <x:c r="M259" s="119"/>
      <x:c r="N259" s="119"/>
      <x:c r="O259" s="119"/>
      <x:c r="P259" s="9"/>
      <x:c r="Q259" s="9"/>
      <x:c r="R259" s="9"/>
      <x:c r="S259" s="9"/>
      <x:c r="T259" s="9"/>
      <x:c r="U259" s="9"/>
      <x:c r="V259" s="9"/>
      <x:c r="W259" s="9"/>
      <x:c r="X259" s="9"/>
      <x:c r="Y259" s="9"/>
      <x:c r="Z259" s="9"/>
    </x:row>
    <x:row r="260" ht="14.25" customHeight="1">
      <x:c r="B260" s="1" t="s">
        <x:v>489</x:v>
      </x:c>
      <x:c r="C260" s="1">
        <x:v>34.0</x:v>
      </x:c>
      <x:c r="D260" s="1">
        <x:v>116.0</x:v>
      </x:c>
      <x:c r="E260" s="1">
        <x:v>3.0</x:v>
      </x:c>
      <x:c r="F260" s="1">
        <x:v>3.0</x:v>
      </x:c>
      <x:c r="G260" s="1">
        <x:v>18.0</x:v>
      </x:c>
      <x:c r="H260" s="1">
        <x:v>0.0</x:v>
      </x:c>
      <x:c r="I260" s="1">
        <x:v>0.0</x:v>
      </x:c>
      <x:c r="J260" s="1">
        <x:v>26.0</x:v>
      </x:c>
      <x:c r="K260" s="18">
        <x:f t="shared" si="1"/>
        <x:v>6.444444444</x:v>
      </x:c>
      <x:c r="L260" s="18">
        <x:f t="shared" si="2"/>
        <x:v>0.8513207547</x:v>
      </x:c>
      <x:c r="M260" s="119"/>
      <x:c r="N260" s="119"/>
      <x:c r="O260" s="119"/>
      <x:c r="P260" s="9"/>
      <x:c r="Q260" s="9"/>
      <x:c r="R260" s="9"/>
      <x:c r="S260" s="9"/>
      <x:c r="T260" s="9"/>
      <x:c r="U260" s="9"/>
      <x:c r="V260" s="9"/>
      <x:c r="W260" s="9"/>
      <x:c r="X260" s="9"/>
      <x:c r="Y260" s="9"/>
      <x:c r="Z260" s="9"/>
    </x:row>
    <x:row r="261" ht="14.25" customHeight="1">
      <x:c r="A261" s="1" t="s">
        <x:v>689</x:v>
      </x:c>
      <x:c r="B261" s="1" t="s">
        <x:v>509</x:v>
      </x:c>
      <x:c r="C261" s="1">
        <x:v>25.0</x:v>
      </x:c>
      <x:c r="D261" s="1">
        <x:v>89.5</x:v>
      </x:c>
      <x:c r="E261" s="1">
        <x:v>0.5</x:v>
      </x:c>
      <x:c r="F261" s="1">
        <x:v>10.5</x:v>
      </x:c>
      <x:c r="G261" s="1">
        <x:v>71.0</x:v>
      </x:c>
      <x:c r="H261" s="1">
        <x:v>0.5</x:v>
      </x:c>
      <x:c r="I261" s="1">
        <x:v>0.0</x:v>
      </x:c>
      <x:c r="J261" s="1">
        <x:v>32.6</x:v>
      </x:c>
      <x:c r="K261" s="18">
        <x:f t="shared" si="1"/>
        <x:v>4.972222222</x:v>
      </x:c>
      <x:c r="L261" s="18">
        <x:f t="shared" si="2"/>
        <x:v>3.357987421</x:v>
      </x:c>
      <x:c r="M261" s="119" t="n">
        <x:f>C263*Scoring!$B$32+D263/Scoring!$C$32+E263*Scoring!$D$32+F263*Scoring!$E$32+G263/Scoring!$F$32+H263*Scoring!$G$32+I263*Scoring!$H$32+K263*Scoring!$I$32+RB!L263*Scoring!$J$32+U261</x:f>
        <x:v>0</x:v>
      </x:c>
      <x:c r="N261" s="119" t="n">
        <x:f>C261*Scoring!$B$32+D261/Scoring!$C$32+E261*Scoring!$D$32+F261*Scoring!$E$32+G261/Scoring!$F$32+H261*Scoring!$G$32+I261*Scoring!$H$32+K261*Scoring!$I$32+RB!L261*Scoring!$J$32+U261</x:f>
        <x:v>27.299999999999997</x:v>
      </x:c>
      <x:c r="O261" s="119" t="n">
        <x:f>C262*Scoring!$B$32+D262/Scoring!$C$32+E262*Scoring!$D$32+F262*Scoring!$E$32+G262/Scoring!$F$32+H262*Scoring!$G$32+I262*Scoring!$H$32+K262*Scoring!$I$32+L262*Scoring!$J$32+U261</x:f>
        <x:v>54.599999999999994</x:v>
      </x:c>
      <x:c r="P261" s="9" t="n">
        <x:f>IF(COUNTIF(Rookies!$A:$A,A261)&gt;0,1,0)</x:f>
        <x:v>0</x:v>
      </x:c>
      <x:c r="Q261" s="9"/>
      <x:c r="R261" s="9"/>
      <x:c r="S261" s="9" t="n">
        <x:f>V261/17</x:f>
        <x:v>1.6058823529411763</x:v>
      </x:c>
      <x:c r="T261" s="9" t="n">
        <x:f>IF(P261=1,MAX(0,0.258*(14.9-S261)),0)</x:f>
        <x:v>0</x:v>
      </x:c>
      <x:c r="U261" s="9" t="n">
        <x:f>T261*17</x:f>
        <x:v>0</x:v>
      </x:c>
      <x:c r="V261" s="9" t="n">
        <x:f>C261*Scoring!$B$32+D261/Scoring!$C$32+E261*Scoring!$D$32+F261*Scoring!$E$32+G261/Scoring!$F$32+H261*Scoring!$G$32+I261*Scoring!$H$32+K261*Scoring!$I$32+RB!L261*Scoring!$J$32</x:f>
        <x:v>27.299999999999997</x:v>
      </x:c>
      <x:c r="W261" s="9"/>
      <x:c r="X261" s="9"/>
      <x:c r="Y261" s="9"/>
      <x:c r="Z261" s="9"/>
    </x:row>
    <x:row r="262" ht="14.25" customHeight="1">
      <x:c r="B262" s="1" t="s">
        <x:v>488</x:v>
      </x:c>
      <x:c r="C262" s="1">
        <x:v>50.0</x:v>
      </x:c>
      <x:c r="D262" s="1">
        <x:v>179.0</x:v>
      </x:c>
      <x:c r="E262" s="1">
        <x:v>1.0</x:v>
      </x:c>
      <x:c r="F262" s="1">
        <x:v>21.0</x:v>
      </x:c>
      <x:c r="G262" s="1">
        <x:v>142.0</x:v>
      </x:c>
      <x:c r="H262" s="1">
        <x:v>1.0</x:v>
      </x:c>
      <x:c r="I262" s="1">
        <x:v>0.0</x:v>
      </x:c>
      <x:c r="J262" s="1">
        <x:v>38.5</x:v>
      </x:c>
      <x:c r="K262" s="18">
        <x:f t="shared" si="1"/>
        <x:v>9.944444444</x:v>
      </x:c>
      <x:c r="L262" s="18">
        <x:f t="shared" si="2"/>
        <x:v>6.715974843</x:v>
      </x:c>
      <x:c r="M262" s="119"/>
      <x:c r="N262" s="119"/>
      <x:c r="O262" s="119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  <x:c r="Z262" s="9"/>
    </x:row>
    <x:row r="263" ht="14.25" customHeight="1">
      <x:c r="B263" s="1" t="s">
        <x:v>489</x:v>
      </x:c>
      <x:c r="C263" s="1">
        <x:v>0.0</x:v>
      </x:c>
      <x:c r="D263" s="1">
        <x:v>0.0</x:v>
      </x:c>
      <x:c r="E263" s="1">
        <x:v>0.0</x:v>
      </x:c>
      <x:c r="F263" s="1">
        <x:v>0.0</x:v>
      </x:c>
      <x:c r="G263" s="1">
        <x:v>0.0</x:v>
      </x:c>
      <x:c r="H263" s="1">
        <x:v>0.0</x:v>
      </x:c>
      <x:c r="I263" s="1">
        <x:v>0.0</x:v>
      </x:c>
      <x:c r="J263" s="1">
        <x:v>11.5</x:v>
      </x:c>
      <x:c r="K263" s="18">
        <x:f t="shared" si="1"/>
        <x:v>0</x:v>
      </x:c>
      <x:c r="L263" s="18">
        <x:f t="shared" si="2"/>
        <x:v>0</x:v>
      </x:c>
      <x:c r="M263" s="119"/>
      <x:c r="N263" s="119"/>
      <x:c r="O263" s="119"/>
      <x:c r="P263" s="9"/>
      <x:c r="Q263" s="9"/>
      <x:c r="R263" s="9"/>
      <x:c r="S263" s="9"/>
      <x:c r="T263" s="9"/>
      <x:c r="U263" s="9"/>
      <x:c r="V263" s="9"/>
      <x:c r="W263" s="9"/>
      <x:c r="X263" s="9"/>
      <x:c r="Y263" s="9"/>
      <x:c r="Z263" s="9"/>
    </x:row>
    <x:row r="264" ht="14.25" customHeight="1">
      <x:c r="A264" s="1" t="s">
        <x:v>690</x:v>
      </x:c>
      <x:c r="B264" s="1" t="s">
        <x:v>523</x:v>
      </x:c>
      <x:c r="C264" s="1">
        <x:v>39.3</x:v>
      </x:c>
      <x:c r="D264" s="1">
        <x:v>163.6</x:v>
      </x:c>
      <x:c r="E264" s="1">
        <x:v>2.2</x:v>
      </x:c>
      <x:c r="F264" s="1">
        <x:v>1.5</x:v>
      </x:c>
      <x:c r="G264" s="1">
        <x:v>10.2</x:v>
      </x:c>
      <x:c r="H264" s="1">
        <x:v>0.0</x:v>
      </x:c>
      <x:c r="I264" s="1">
        <x:v>0.1</x:v>
      </x:c>
      <x:c r="J264" s="1">
        <x:v>32.1</x:v>
      </x:c>
      <x:c r="K264" s="18">
        <x:f t="shared" si="1"/>
        <x:v>9.088888889</x:v>
      </x:c>
      <x:c r="L264" s="18">
        <x:f t="shared" si="2"/>
        <x:v>0.4824150943</x:v>
      </x:c>
      <x:c r="M264" s="119" t="n">
        <x:f>C266*Scoring!$B$32+D266/Scoring!$C$32+E266*Scoring!$D$32+F266*Scoring!$E$32+G266/Scoring!$F$32+H266*Scoring!$G$32+I266*Scoring!$H$32+K266*Scoring!$I$32+RB!L266*Scoring!$J$32+U264</x:f>
        <x:v>27.3</x:v>
      </x:c>
      <x:c r="N264" s="119" t="n">
        <x:f>C264*Scoring!$B$32+D264/Scoring!$C$32+E264*Scoring!$D$32+F264*Scoring!$E$32+G264/Scoring!$F$32+H264*Scoring!$G$32+I264*Scoring!$H$32+K264*Scoring!$I$32+RB!L264*Scoring!$J$32+U264</x:f>
        <x:v>31.23</x:v>
      </x:c>
      <x:c r="O264" s="119" t="n">
        <x:f>C265*Scoring!$B$32+D265/Scoring!$C$32+E265*Scoring!$D$32+F265*Scoring!$E$32+G265/Scoring!$F$32+H265*Scoring!$G$32+I265*Scoring!$H$32+K265*Scoring!$I$32+L265*Scoring!$J$32+U264</x:f>
        <x:v>35.66</x:v>
      </x:c>
      <x:c r="P264" s="9" t="n">
        <x:f>IF(COUNTIF(Rookies!$A:$A,A264)&gt;0,1,0)</x:f>
        <x:v>0</x:v>
      </x:c>
      <x:c r="Q264" s="9"/>
      <x:c r="R264" s="9"/>
      <x:c r="S264" s="9" t="n">
        <x:f>V264/17</x:f>
        <x:v>1.8370588235294119</x:v>
      </x:c>
      <x:c r="T264" s="9" t="n">
        <x:f>IF(P264=1,MAX(0,0.258*(14.9-S264)),0)</x:f>
        <x:v>0</x:v>
      </x:c>
      <x:c r="U264" s="9" t="n">
        <x:f>T264*17</x:f>
        <x:v>0</x:v>
      </x:c>
      <x:c r="V264" s="9" t="n">
        <x:f>C264*Scoring!$B$32+D264/Scoring!$C$32+E264*Scoring!$D$32+F264*Scoring!$E$32+G264/Scoring!$F$32+H264*Scoring!$G$32+I264*Scoring!$H$32+K264*Scoring!$I$32+RB!L264*Scoring!$J$32</x:f>
        <x:v>31.23</x:v>
      </x:c>
      <x:c r="W264" s="9"/>
      <x:c r="X264" s="9"/>
      <x:c r="Y264" s="9"/>
      <x:c r="Z264" s="9"/>
    </x:row>
    <x:row r="265" ht="14.25" customHeight="1">
      <x:c r="B265" s="1" t="s">
        <x:v>488</x:v>
      </x:c>
      <x:c r="C265" s="1">
        <x:v>43.6</x:v>
      </x:c>
      <x:c r="D265" s="1">
        <x:v>182.2</x:v>
      </x:c>
      <x:c r="E265" s="1">
        <x:v>2.4</x:v>
      </x:c>
      <x:c r="F265" s="1">
        <x:v>2.0</x:v>
      </x:c>
      <x:c r="G265" s="1">
        <x:v>14.4</x:v>
      </x:c>
      <x:c r="H265" s="1">
        <x:v>0.1</x:v>
      </x:c>
      <x:c r="I265" s="1">
        <x:v>0.0</x:v>
      </x:c>
      <x:c r="J265" s="1">
        <x:v>36.4</x:v>
      </x:c>
      <x:c r="K265" s="18">
        <x:f t="shared" si="1"/>
        <x:v>10.12222222</x:v>
      </x:c>
      <x:c r="L265" s="18">
        <x:f t="shared" si="2"/>
        <x:v>0.6810566038</x:v>
      </x:c>
      <x:c r="M265" s="119"/>
      <x:c r="N265" s="119"/>
      <x:c r="O265" s="119"/>
      <x:c r="P265" s="9"/>
      <x:c r="Q265" s="9"/>
      <x:c r="R265" s="9"/>
      <x:c r="S265" s="9"/>
      <x:c r="T265" s="9"/>
      <x:c r="U265" s="9"/>
      <x:c r="V265" s="9"/>
      <x:c r="W265" s="9"/>
      <x:c r="X265" s="9"/>
      <x:c r="Y265" s="9"/>
      <x:c r="Z265" s="9"/>
    </x:row>
    <x:row r="266" ht="14.25" customHeight="1">
      <x:c r="B266" s="1" t="s">
        <x:v>489</x:v>
      </x:c>
      <x:c r="C266" s="1">
        <x:v>35.0</x:v>
      </x:c>
      <x:c r="D266" s="1">
        <x:v>145.0</x:v>
      </x:c>
      <x:c r="E266" s="1">
        <x:v>2.0</x:v>
      </x:c>
      <x:c r="F266" s="1">
        <x:v>1.0</x:v>
      </x:c>
      <x:c r="G266" s="1">
        <x:v>6.0</x:v>
      </x:c>
      <x:c r="H266" s="1">
        <x:v>0.0</x:v>
      </x:c>
      <x:c r="I266" s="1">
        <x:v>0.3</x:v>
      </x:c>
      <x:c r="J266" s="1">
        <x:v>19.5</x:v>
      </x:c>
      <x:c r="K266" s="18">
        <x:f t="shared" si="1"/>
        <x:v>8.055555556</x:v>
      </x:c>
      <x:c r="L266" s="18">
        <x:f t="shared" si="2"/>
        <x:v>0.2837735849</x:v>
      </x:c>
      <x:c r="M266" s="119"/>
      <x:c r="N266" s="119"/>
      <x:c r="O266" s="119"/>
      <x:c r="P266" s="9"/>
      <x:c r="Q266" s="9"/>
      <x:c r="R266" s="9"/>
      <x:c r="S266" s="9"/>
      <x:c r="T266" s="9"/>
      <x:c r="U266" s="9"/>
      <x:c r="V266" s="9"/>
      <x:c r="W266" s="9"/>
      <x:c r="X266" s="9"/>
      <x:c r="Y266" s="9"/>
      <x:c r="Z266" s="9"/>
    </x:row>
    <x:row r="267" ht="14.25" customHeight="1">
      <x:c r="A267" s="1" t="s">
        <x:v>691</x:v>
      </x:c>
      <x:c r="B267" s="1" t="s">
        <x:v>507</x:v>
      </x:c>
      <x:c r="C267" s="1">
        <x:v>31.6</x:v>
      </x:c>
      <x:c r="D267" s="1">
        <x:v>137.2</x:v>
      </x:c>
      <x:c r="E267" s="1">
        <x:v>1.5</x:v>
      </x:c>
      <x:c r="F267" s="1">
        <x:v>4.2</x:v>
      </x:c>
      <x:c r="G267" s="1">
        <x:v>32.3</x:v>
      </x:c>
      <x:c r="H267" s="1">
        <x:v>0.1</x:v>
      </x:c>
      <x:c r="I267" s="1">
        <x:v>0.1</x:v>
      </x:c>
      <x:c r="J267" s="1">
        <x:v>30.9</x:v>
      </x:c>
      <x:c r="K267" s="18">
        <x:f t="shared" si="1"/>
        <x:v>7.622222222</x:v>
      </x:c>
      <x:c r="L267" s="18">
        <x:f t="shared" si="2"/>
        <x:v>1.527647799</x:v>
      </x:c>
      <x:c r="M267" s="119" t="n">
        <x:f>C269*Scoring!$B$32+D269/Scoring!$C$32+E269*Scoring!$D$32+F269*Scoring!$E$32+G269/Scoring!$F$32+H269*Scoring!$G$32+I269*Scoring!$H$32+K269*Scoring!$I$32+RB!L269*Scoring!$J$32+U267</x:f>
        <x:v>24.81</x:v>
      </x:c>
      <x:c r="N267" s="119" t="n">
        <x:f>C267*Scoring!$B$32+D267/Scoring!$C$32+E267*Scoring!$D$32+F267*Scoring!$E$32+G267/Scoring!$F$32+H267*Scoring!$G$32+I267*Scoring!$H$32+K267*Scoring!$I$32+RB!L267*Scoring!$J$32+U267</x:f>
        <x:v>28.55</x:v>
      </x:c>
      <x:c r="O267" s="119" t="n">
        <x:f>C268*Scoring!$B$32+D268/Scoring!$C$32+E268*Scoring!$D$32+F268*Scoring!$E$32+G268/Scoring!$F$32+H268*Scoring!$G$32+I268*Scoring!$H$32+K268*Scoring!$I$32+L268*Scoring!$J$32+U267</x:f>
        <x:v>33</x:v>
      </x:c>
      <x:c r="P267" s="9" t="n">
        <x:f>IF(COUNTIF(Rookies!$A:$A,A267)&gt;0,1,0)</x:f>
        <x:v>0</x:v>
      </x:c>
      <x:c r="Q267" s="9"/>
      <x:c r="R267" s="9"/>
      <x:c r="S267" s="9" t="n">
        <x:f>V267/17</x:f>
        <x:v>1.6794117647058824</x:v>
      </x:c>
      <x:c r="T267" s="9" t="n">
        <x:f>IF(P267=1,MAX(0,0.258*(14.9-S267)),0)</x:f>
        <x:v>0</x:v>
      </x:c>
      <x:c r="U267" s="9" t="n">
        <x:f>T267*17</x:f>
        <x:v>0</x:v>
      </x:c>
      <x:c r="V267" s="9" t="n">
        <x:f>C267*Scoring!$B$32+D267/Scoring!$C$32+E267*Scoring!$D$32+F267*Scoring!$E$32+G267/Scoring!$F$32+H267*Scoring!$G$32+I267*Scoring!$H$32+K267*Scoring!$I$32+RB!L267*Scoring!$J$32</x:f>
        <x:v>28.55</x:v>
      </x:c>
      <x:c r="W267" s="9"/>
      <x:c r="X267" s="9"/>
      <x:c r="Y267" s="9"/>
      <x:c r="Z267" s="9"/>
    </x:row>
    <x:row r="268" ht="14.25" customHeight="1">
      <x:c r="B268" s="1" t="s">
        <x:v>488</x:v>
      </x:c>
      <x:c r="C268" s="1">
        <x:v>32.0</x:v>
      </x:c>
      <x:c r="D268" s="1">
        <x:v>142.0</x:v>
      </x:c>
      <x:c r="E268" s="1">
        <x:v>2.0</x:v>
      </x:c>
      <x:c r="F268" s="1">
        <x:v>4.4</x:v>
      </x:c>
      <x:c r="G268" s="1">
        <x:v>34.0</x:v>
      </x:c>
      <x:c r="H268" s="1">
        <x:v>0.2</x:v>
      </x:c>
      <x:c r="I268" s="1">
        <x:v>0.0</x:v>
      </x:c>
      <x:c r="J268" s="1">
        <x:v>28.0</x:v>
      </x:c>
      <x:c r="K268" s="18">
        <x:f t="shared" si="1"/>
        <x:v>7.888888889</x:v>
      </x:c>
      <x:c r="L268" s="18">
        <x:f t="shared" si="2"/>
        <x:v>1.608050314</x:v>
      </x:c>
      <x:c r="M268" s="119"/>
      <x:c r="N268" s="119"/>
      <x:c r="O268" s="119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  <x:c r="Z268" s="9"/>
    </x:row>
    <x:row r="269" ht="14.25" customHeight="1">
      <x:c r="B269" s="1" t="s">
        <x:v>489</x:v>
      </x:c>
      <x:c r="C269" s="1">
        <x:v>31.2</x:v>
      </x:c>
      <x:c r="D269" s="1">
        <x:v>132.4</x:v>
      </x:c>
      <x:c r="E269" s="1">
        <x:v>1.1</x:v>
      </x:c>
      <x:c r="F269" s="1">
        <x:v>4.0</x:v>
      </x:c>
      <x:c r="G269" s="1">
        <x:v>30.7</x:v>
      </x:c>
      <x:c r="H269" s="1">
        <x:v>0.0</x:v>
      </x:c>
      <x:c r="I269" s="1">
        <x:v>0.1</x:v>
      </x:c>
      <x:c r="J269" s="1">
        <x:v>23.2</x:v>
      </x:c>
      <x:c r="K269" s="18">
        <x:f t="shared" si="1"/>
        <x:v>7.355555556</x:v>
      </x:c>
      <x:c r="L269" s="18">
        <x:f t="shared" si="2"/>
        <x:v>1.451974843</x:v>
      </x:c>
      <x:c r="M269" s="119"/>
      <x:c r="N269" s="119"/>
      <x:c r="O269" s="119"/>
      <x:c r="P269" s="9"/>
      <x:c r="Q269" s="9"/>
      <x:c r="R269" s="9"/>
      <x:c r="S269" s="9"/>
      <x:c r="T269" s="9"/>
      <x:c r="U269" s="9"/>
      <x:c r="V269" s="9"/>
      <x:c r="W269" s="9"/>
      <x:c r="X269" s="9"/>
      <x:c r="Y269" s="9"/>
      <x:c r="Z269" s="9"/>
    </x:row>
    <x:row r="270" ht="14.25" customHeight="1">
      <x:c r="A270" s="1" t="s">
        <x:v>692</x:v>
      </x:c>
      <x:c r="B270" s="1" t="s">
        <x:v>497</x:v>
      </x:c>
      <x:c r="C270" s="1">
        <x:v>9.3</x:v>
      </x:c>
      <x:c r="D270" s="1">
        <x:v>39.6</x:v>
      </x:c>
      <x:c r="E270" s="1">
        <x:v>0.3</x:v>
      </x:c>
      <x:c r="F270" s="1">
        <x:v>11.3</x:v>
      </x:c>
      <x:c r="G270" s="1">
        <x:v>83.5</x:v>
      </x:c>
      <x:c r="H270" s="1">
        <x:v>0.4</x:v>
      </x:c>
      <x:c r="I270" s="1">
        <x:v>0.1</x:v>
      </x:c>
      <x:c r="J270" s="1">
        <x:v>27.6</x:v>
      </x:c>
      <x:c r="K270" s="18">
        <x:f t="shared" si="1"/>
        <x:v>2.2</x:v>
      </x:c>
      <x:c r="L270" s="18">
        <x:f t="shared" si="2"/>
        <x:v>3.94918239</x:v>
      </x:c>
      <x:c r="M270" s="119" t="n">
        <x:f>C272*Scoring!$B$32+D272/Scoring!$C$32+E272*Scoring!$D$32+F272*Scoring!$E$32+G272/Scoring!$F$32+H272*Scoring!$G$32+I272*Scoring!$H$32+K272*Scoring!$I$32+RB!L272*Scoring!$J$32+U270</x:f>
        <x:v>22.059999999999995</x:v>
      </x:c>
      <x:c r="N270" s="119" t="n">
        <x:f>C270*Scoring!$B$32+D270/Scoring!$C$32+E270*Scoring!$D$32+F270*Scoring!$E$32+G270/Scoring!$F$32+H270*Scoring!$G$32+I270*Scoring!$H$32+K270*Scoring!$I$32+RB!L270*Scoring!$J$32+U270</x:f>
        <x:v>22.059999999999995</x:v>
      </x:c>
      <x:c r="O270" s="119" t="n">
        <x:f>C271*Scoring!$B$32+D271/Scoring!$C$32+E271*Scoring!$D$32+F271*Scoring!$E$32+G271/Scoring!$F$32+H271*Scoring!$G$32+I271*Scoring!$H$32+K271*Scoring!$I$32+L271*Scoring!$J$32+U270</x:f>
        <x:v>22.059999999999995</x:v>
      </x:c>
      <x:c r="P270" s="9" t="n">
        <x:f>IF(COUNTIF(Rookies!$A:$A,A270)&gt;0,1,0)</x:f>
        <x:v>0</x:v>
      </x:c>
      <x:c r="Q270" s="9"/>
      <x:c r="R270" s="9"/>
      <x:c r="S270" s="9" t="n">
        <x:f>V270/17</x:f>
        <x:v>1.2976470588235292</x:v>
      </x:c>
      <x:c r="T270" s="9" t="n">
        <x:f>IF(P270=1,MAX(0,0.258*(14.9-S270)),0)</x:f>
        <x:v>0</x:v>
      </x:c>
      <x:c r="U270" s="9" t="n">
        <x:f>T270*17</x:f>
        <x:v>0</x:v>
      </x:c>
      <x:c r="V270" s="9" t="n">
        <x:f>C270*Scoring!$B$32+D270/Scoring!$C$32+E270*Scoring!$D$32+F270*Scoring!$E$32+G270/Scoring!$F$32+H270*Scoring!$G$32+I270*Scoring!$H$32+K270*Scoring!$I$32+RB!L270*Scoring!$J$32</x:f>
        <x:v>22.059999999999995</x:v>
      </x:c>
      <x:c r="W270" s="9"/>
      <x:c r="X270" s="9"/>
      <x:c r="Y270" s="9"/>
      <x:c r="Z270" s="9"/>
    </x:row>
    <x:row r="271" ht="14.25" customHeight="1">
      <x:c r="B271" s="1" t="s">
        <x:v>488</x:v>
      </x:c>
      <x:c r="C271" s="1">
        <x:v>9.3</x:v>
      </x:c>
      <x:c r="D271" s="1">
        <x:v>39.6</x:v>
      </x:c>
      <x:c r="E271" s="1">
        <x:v>0.3</x:v>
      </x:c>
      <x:c r="F271" s="1">
        <x:v>11.3</x:v>
      </x:c>
      <x:c r="G271" s="1">
        <x:v>83.5</x:v>
      </x:c>
      <x:c r="H271" s="1">
        <x:v>0.4</x:v>
      </x:c>
      <x:c r="I271" s="1">
        <x:v>0.1</x:v>
      </x:c>
      <x:c r="J271" s="1">
        <x:v>28.1</x:v>
      </x:c>
      <x:c r="K271" s="18">
        <x:f t="shared" si="1"/>
        <x:v>2.2</x:v>
      </x:c>
      <x:c r="L271" s="18">
        <x:f t="shared" si="2"/>
        <x:v>3.94918239</x:v>
      </x:c>
      <x:c r="M271" s="119"/>
      <x:c r="N271" s="119"/>
      <x:c r="O271" s="119"/>
      <x:c r="P271" s="9"/>
      <x:c r="Q271" s="9"/>
      <x:c r="R271" s="9"/>
      <x:c r="S271" s="9"/>
      <x:c r="T271" s="9"/>
      <x:c r="U271" s="9"/>
      <x:c r="V271" s="9"/>
      <x:c r="W271" s="9"/>
      <x:c r="X271" s="9"/>
      <x:c r="Y271" s="9"/>
      <x:c r="Z271" s="9"/>
    </x:row>
    <x:row r="272" ht="14.25" customHeight="1">
      <x:c r="B272" s="1" t="s">
        <x:v>489</x:v>
      </x:c>
      <x:c r="C272" s="1">
        <x:v>9.3</x:v>
      </x:c>
      <x:c r="D272" s="1">
        <x:v>39.6</x:v>
      </x:c>
      <x:c r="E272" s="1">
        <x:v>0.3</x:v>
      </x:c>
      <x:c r="F272" s="1">
        <x:v>11.3</x:v>
      </x:c>
      <x:c r="G272" s="1">
        <x:v>83.5</x:v>
      </x:c>
      <x:c r="H272" s="1">
        <x:v>0.4</x:v>
      </x:c>
      <x:c r="I272" s="1">
        <x:v>0.1</x:v>
      </x:c>
      <x:c r="J272" s="1">
        <x:v>28.1</x:v>
      </x:c>
      <x:c r="K272" s="18">
        <x:f t="shared" si="1"/>
        <x:v>2.2</x:v>
      </x:c>
      <x:c r="L272" s="18">
        <x:f t="shared" si="2"/>
        <x:v>3.94918239</x:v>
      </x:c>
      <x:c r="M272" s="119"/>
      <x:c r="N272" s="119"/>
      <x:c r="O272" s="119"/>
      <x:c r="P272" s="9"/>
      <x:c r="Q272" s="9"/>
      <x:c r="R272" s="9"/>
      <x:c r="S272" s="9"/>
      <x:c r="T272" s="9"/>
      <x:c r="U272" s="9"/>
      <x:c r="V272" s="9"/>
      <x:c r="W272" s="9"/>
      <x:c r="X272" s="9"/>
      <x:c r="Y272" s="9"/>
      <x:c r="Z272" s="9"/>
    </x:row>
    <x:row r="273" ht="14.25" customHeight="1">
      <x:c r="A273" s="1" t="s">
        <x:v>693</x:v>
      </x:c>
      <x:c r="B273" s="1" t="s">
        <x:v>493</x:v>
      </x:c>
      <x:c r="C273" s="1">
        <x:v>34.0</x:v>
      </x:c>
      <x:c r="D273" s="1">
        <x:v>145.0</x:v>
      </x:c>
      <x:c r="E273" s="1">
        <x:v>1.0</x:v>
      </x:c>
      <x:c r="F273" s="1">
        <x:v>2.0</x:v>
      </x:c>
      <x:c r="G273" s="1">
        <x:v>25.0</x:v>
      </x:c>
      <x:c r="H273" s="1">
        <x:v>0.0</x:v>
      </x:c>
      <x:c r="I273" s="1">
        <x:v>0.0</x:v>
      </x:c>
      <x:c r="J273" s="1">
        <x:v>25.0</x:v>
      </x:c>
      <x:c r="K273" s="18">
        <x:f t="shared" si="1"/>
        <x:v>8.055555556</x:v>
      </x:c>
      <x:c r="L273" s="18">
        <x:f t="shared" si="2"/>
        <x:v>1.182389937</x:v>
      </x:c>
      <x:c r="M273" s="119" t="n">
        <x:f>C275*Scoring!$B$32+D275/Scoring!$C$32+E275*Scoring!$D$32+F275*Scoring!$E$32+G275/Scoring!$F$32+H275*Scoring!$G$32+I275*Scoring!$H$32+K275*Scoring!$I$32+RB!L275*Scoring!$J$32+U273</x:f>
        <x:v>83.1594</x:v>
      </x:c>
      <x:c r="N273" s="119" t="n">
        <x:f>C273*Scoring!$B$32+D273/Scoring!$C$32+E273*Scoring!$D$32+F273*Scoring!$E$32+G273/Scoring!$F$32+H273*Scoring!$G$32+I273*Scoring!$H$32+K273*Scoring!$I$32+RB!L273*Scoring!$J$32+U273</x:f>
        <x:v>83.1594</x:v>
      </x:c>
      <x:c r="O273" s="119" t="n">
        <x:f>C274*Scoring!$B$32+D274/Scoring!$C$32+E274*Scoring!$D$32+F274*Scoring!$E$32+G274/Scoring!$F$32+H274*Scoring!$G$32+I274*Scoring!$H$32+K274*Scoring!$I$32+L274*Scoring!$J$32+U273</x:f>
        <x:v>83.1594</x:v>
      </x:c>
      <x:c r="P273" s="9" t="n">
        <x:f>IF(COUNTIF(Rookies!$A:$A,A273)&gt;0,1,0)</x:f>
        <x:v>1</x:v>
      </x:c>
      <x:c r="Q273" s="9"/>
      <x:c r="R273" s="9"/>
      <x:c r="S273" s="9" t="n">
        <x:f>V273/17</x:f>
        <x:v>1.411764705882353</x:v>
      </x:c>
      <x:c r="T273" s="9" t="n">
        <x:f>IF(P273=1,MAX(0,0.258*(14.9-S273)),0)</x:f>
        <x:v>3.479964705882353</x:v>
      </x:c>
      <x:c r="U273" s="9" t="n">
        <x:f>T273*17</x:f>
        <x:v>59.1594</x:v>
      </x:c>
      <x:c r="V273" s="9" t="n">
        <x:f>C273*Scoring!$B$32+D273/Scoring!$C$32+E273*Scoring!$D$32+F273*Scoring!$E$32+G273/Scoring!$F$32+H273*Scoring!$G$32+I273*Scoring!$H$32+K273*Scoring!$I$32+RB!L273*Scoring!$J$32</x:f>
        <x:v>24</x:v>
      </x:c>
      <x:c r="W273" s="9"/>
      <x:c r="X273" s="9"/>
      <x:c r="Y273" s="9"/>
      <x:c r="Z273" s="9"/>
    </x:row>
    <x:row r="274" ht="14.25" customHeight="1">
      <x:c r="B274" s="1" t="s">
        <x:v>488</x:v>
      </x:c>
      <x:c r="C274" s="1">
        <x:v>34.0</x:v>
      </x:c>
      <x:c r="D274" s="1">
        <x:v>145.0</x:v>
      </x:c>
      <x:c r="E274" s="1">
        <x:v>1.0</x:v>
      </x:c>
      <x:c r="F274" s="1">
        <x:v>2.0</x:v>
      </x:c>
      <x:c r="G274" s="1">
        <x:v>25.0</x:v>
      </x:c>
      <x:c r="H274" s="1">
        <x:v>0.0</x:v>
      </x:c>
      <x:c r="I274" s="1">
        <x:v>0.0</x:v>
      </x:c>
      <x:c r="J274" s="1">
        <x:v>15.0</x:v>
      </x:c>
      <x:c r="K274" s="18">
        <x:f t="shared" si="1"/>
        <x:v>8.055555556</x:v>
      </x:c>
      <x:c r="L274" s="18">
        <x:f t="shared" si="2"/>
        <x:v>1.182389937</x:v>
      </x:c>
      <x:c r="M274" s="119"/>
      <x:c r="N274" s="119"/>
      <x:c r="O274" s="119"/>
      <x:c r="P274" s="9"/>
      <x:c r="Q274" s="9"/>
      <x:c r="R274" s="9"/>
      <x:c r="S274" s="9"/>
      <x:c r="T274" s="9"/>
      <x:c r="U274" s="9"/>
      <x:c r="V274" s="9"/>
      <x:c r="W274" s="9"/>
      <x:c r="X274" s="9"/>
      <x:c r="Y274" s="9"/>
      <x:c r="Z274" s="9"/>
    </x:row>
    <x:row r="275" ht="14.25" customHeight="1">
      <x:c r="B275" s="1" t="s">
        <x:v>489</x:v>
      </x:c>
      <x:c r="C275" s="1">
        <x:v>34.0</x:v>
      </x:c>
      <x:c r="D275" s="1">
        <x:v>145.0</x:v>
      </x:c>
      <x:c r="E275" s="1">
        <x:v>1.0</x:v>
      </x:c>
      <x:c r="F275" s="1">
        <x:v>2.0</x:v>
      </x:c>
      <x:c r="G275" s="1">
        <x:v>25.0</x:v>
      </x:c>
      <x:c r="H275" s="1">
        <x:v>0.0</x:v>
      </x:c>
      <x:c r="I275" s="1">
        <x:v>0.0</x:v>
      </x:c>
      <x:c r="J275" s="1">
        <x:v>15.0</x:v>
      </x:c>
      <x:c r="K275" s="18">
        <x:f t="shared" si="1"/>
        <x:v>8.055555556</x:v>
      </x:c>
      <x:c r="L275" s="18">
        <x:f t="shared" si="2"/>
        <x:v>1.182389937</x:v>
      </x:c>
      <x:c r="M275" s="119"/>
      <x:c r="N275" s="119"/>
      <x:c r="O275" s="119"/>
      <x:c r="P275" s="9"/>
      <x:c r="Q275" s="9"/>
      <x:c r="R275" s="9"/>
      <x:c r="S275" s="9"/>
      <x:c r="T275" s="9"/>
      <x:c r="U275" s="9"/>
      <x:c r="V275" s="9"/>
      <x:c r="W275" s="9"/>
      <x:c r="X275" s="9"/>
      <x:c r="Y275" s="9"/>
      <x:c r="Z275" s="9"/>
    </x:row>
    <x:row r="276" ht="14.25" customHeight="1">
      <x:c r="A276" s="1" t="s">
        <x:v>694</x:v>
      </x:c>
      <x:c r="B276" s="1" t="s">
        <x:v>507</x:v>
      </x:c>
      <x:c r="C276" s="1">
        <x:v>13.4</x:v>
      </x:c>
      <x:c r="D276" s="1">
        <x:v>56.5</x:v>
      </x:c>
      <x:c r="E276" s="1">
        <x:v>0.4</x:v>
      </x:c>
      <x:c r="F276" s="1">
        <x:v>8.6</x:v>
      </x:c>
      <x:c r="G276" s="1">
        <x:v>61.6</x:v>
      </x:c>
      <x:c r="H276" s="1">
        <x:v>0.4</x:v>
      </x:c>
      <x:c r="I276" s="1">
        <x:v>0.1</x:v>
      </x:c>
      <x:c r="J276" s="1">
        <x:v>25.0</x:v>
      </x:c>
      <x:c r="K276" s="18">
        <x:f t="shared" si="1"/>
        <x:v>3.138888889</x:v>
      </x:c>
      <x:c r="L276" s="18">
        <x:f t="shared" si="2"/>
        <x:v>2.913408805</x:v>
      </x:c>
      <x:c r="M276" s="119" t="n">
        <x:f>C278*Scoring!$B$32+D278/Scoring!$C$32+E278*Scoring!$D$32+F278*Scoring!$E$32+G278/Scoring!$F$32+H278*Scoring!$G$32+I278*Scoring!$H$32+K278*Scoring!$I$32+RB!L278*Scoring!$J$32+U276</x:f>
        <x:v>20.810000000000002</x:v>
      </x:c>
      <x:c r="N276" s="119" t="n">
        <x:f>C276*Scoring!$B$32+D276/Scoring!$C$32+E276*Scoring!$D$32+F276*Scoring!$E$32+G276/Scoring!$F$32+H276*Scoring!$G$32+I276*Scoring!$H$32+K276*Scoring!$I$32+RB!L276*Scoring!$J$32+U276</x:f>
        <x:v>20.810000000000002</x:v>
      </x:c>
      <x:c r="O276" s="119" t="n">
        <x:f>C277*Scoring!$B$32+D277/Scoring!$C$32+E277*Scoring!$D$32+F277*Scoring!$E$32+G277/Scoring!$F$32+H277*Scoring!$G$32+I277*Scoring!$H$32+K277*Scoring!$I$32+L277*Scoring!$J$32+U276</x:f>
        <x:v>20.810000000000002</x:v>
      </x:c>
      <x:c r="P276" s="9" t="n">
        <x:f>IF(COUNTIF(Rookies!$A:$A,A276)&gt;0,1,0)</x:f>
        <x:v>0</x:v>
      </x:c>
      <x:c r="Q276" s="9"/>
      <x:c r="R276" s="9"/>
      <x:c r="S276" s="9" t="n">
        <x:f>V276/17</x:f>
        <x:v>1.2241176470588238</x:v>
      </x:c>
      <x:c r="T276" s="9" t="n">
        <x:f>IF(P276=1,MAX(0,0.258*(14.9-S276)),0)</x:f>
        <x:v>0</x:v>
      </x:c>
      <x:c r="U276" s="9" t="n">
        <x:f>T276*17</x:f>
        <x:v>0</x:v>
      </x:c>
      <x:c r="V276" s="9" t="n">
        <x:f>C276*Scoring!$B$32+D276/Scoring!$C$32+E276*Scoring!$D$32+F276*Scoring!$E$32+G276/Scoring!$F$32+H276*Scoring!$G$32+I276*Scoring!$H$32+K276*Scoring!$I$32+RB!L276*Scoring!$J$32</x:f>
        <x:v>20.810000000000002</x:v>
      </x:c>
      <x:c r="W276" s="9"/>
      <x:c r="X276" s="9"/>
      <x:c r="Y276" s="9"/>
      <x:c r="Z276" s="9"/>
    </x:row>
    <x:row r="277" ht="14.25" customHeight="1">
      <x:c r="B277" s="1" t="s">
        <x:v>488</x:v>
      </x:c>
      <x:c r="C277" s="1">
        <x:v>13.4</x:v>
      </x:c>
      <x:c r="D277" s="1">
        <x:v>56.5</x:v>
      </x:c>
      <x:c r="E277" s="1">
        <x:v>0.4</x:v>
      </x:c>
      <x:c r="F277" s="1">
        <x:v>8.6</x:v>
      </x:c>
      <x:c r="G277" s="1">
        <x:v>61.6</x:v>
      </x:c>
      <x:c r="H277" s="1">
        <x:v>0.4</x:v>
      </x:c>
      <x:c r="I277" s="1">
        <x:v>0.1</x:v>
      </x:c>
      <x:c r="J277" s="1">
        <x:v>25.0</x:v>
      </x:c>
      <x:c r="K277" s="18">
        <x:f t="shared" si="1"/>
        <x:v>3.138888889</x:v>
      </x:c>
      <x:c r="L277" s="18">
        <x:f t="shared" si="2"/>
        <x:v>2.913408805</x:v>
      </x:c>
      <x:c r="M277" s="119"/>
      <x:c r="N277" s="119"/>
      <x:c r="O277" s="119"/>
      <x:c r="P277" s="9"/>
      <x:c r="Q277" s="9"/>
      <x:c r="R277" s="9"/>
      <x:c r="S277" s="9"/>
      <x:c r="T277" s="9"/>
      <x:c r="U277" s="9"/>
      <x:c r="V277" s="9"/>
      <x:c r="W277" s="9"/>
      <x:c r="X277" s="9"/>
      <x:c r="Y277" s="9"/>
      <x:c r="Z277" s="9"/>
    </x:row>
    <x:row r="278" ht="14.25" customHeight="1">
      <x:c r="B278" s="1" t="s">
        <x:v>489</x:v>
      </x:c>
      <x:c r="C278" s="1">
        <x:v>13.4</x:v>
      </x:c>
      <x:c r="D278" s="1">
        <x:v>56.5</x:v>
      </x:c>
      <x:c r="E278" s="1">
        <x:v>0.4</x:v>
      </x:c>
      <x:c r="F278" s="1">
        <x:v>8.6</x:v>
      </x:c>
      <x:c r="G278" s="1">
        <x:v>61.6</x:v>
      </x:c>
      <x:c r="H278" s="1">
        <x:v>0.4</x:v>
      </x:c>
      <x:c r="I278" s="1">
        <x:v>0.1</x:v>
      </x:c>
      <x:c r="J278" s="1">
        <x:v>25.0</x:v>
      </x:c>
      <x:c r="K278" s="18">
        <x:f t="shared" si="1"/>
        <x:v>3.138888889</x:v>
      </x:c>
      <x:c r="L278" s="18">
        <x:f t="shared" si="2"/>
        <x:v>2.913408805</x:v>
      </x:c>
      <x:c r="M278" s="119"/>
      <x:c r="N278" s="119"/>
      <x:c r="O278" s="119"/>
      <x:c r="P278" s="9"/>
      <x:c r="Q278" s="9"/>
      <x:c r="R278" s="9"/>
      <x:c r="S278" s="9"/>
      <x:c r="T278" s="9"/>
      <x:c r="U278" s="9"/>
      <x:c r="V278" s="9"/>
      <x:c r="W278" s="9"/>
      <x:c r="X278" s="9"/>
      <x:c r="Y278" s="9"/>
      <x:c r="Z278" s="9"/>
    </x:row>
    <x:row r="279" ht="14.25" customHeight="1">
      <x:c r="A279" s="1" t="s">
        <x:v>695</x:v>
      </x:c>
      <x:c r="B279" s="1" t="s">
        <x:v>511</x:v>
      </x:c>
      <x:c r="C279" s="1">
        <x:v>35.0</x:v>
      </x:c>
      <x:c r="D279" s="1">
        <x:v>153.0</x:v>
      </x:c>
      <x:c r="E279" s="1">
        <x:v>1.0</x:v>
      </x:c>
      <x:c r="F279" s="1">
        <x:v>1.0</x:v>
      </x:c>
      <x:c r="G279" s="1">
        <x:v>12.0</x:v>
      </x:c>
      <x:c r="H279" s="1">
        <x:v>0.0</x:v>
      </x:c>
      <x:c r="I279" s="1">
        <x:v>0.0</x:v>
      </x:c>
      <x:c r="J279" s="1">
        <x:v>23.5</x:v>
      </x:c>
      <x:c r="K279" s="18">
        <x:f t="shared" si="1"/>
        <x:v>8.5</x:v>
      </x:c>
      <x:c r="L279" s="18">
        <x:f t="shared" si="2"/>
        <x:v>0.5675471698</x:v>
      </x:c>
      <x:c r="M279" s="119" t="n">
        <x:f>C281*Scoring!$B$32+D281/Scoring!$C$32+E281*Scoring!$D$32+F281*Scoring!$E$32+G281/Scoring!$F$32+H281*Scoring!$G$32+I281*Scoring!$H$32+K281*Scoring!$I$32+RB!L281*Scoring!$J$32+U279</x:f>
        <x:v>23</x:v>
      </x:c>
      <x:c r="N279" s="119" t="n">
        <x:f>C279*Scoring!$B$32+D279/Scoring!$C$32+E279*Scoring!$D$32+F279*Scoring!$E$32+G279/Scoring!$F$32+H279*Scoring!$G$32+I279*Scoring!$H$32+K279*Scoring!$I$32+RB!L279*Scoring!$J$32+U279</x:f>
        <x:v>23</x:v>
      </x:c>
      <x:c r="O279" s="119" t="n">
        <x:f>C280*Scoring!$B$32+D280/Scoring!$C$32+E280*Scoring!$D$32+F280*Scoring!$E$32+G280/Scoring!$F$32+H280*Scoring!$G$32+I280*Scoring!$H$32+K280*Scoring!$I$32+L280*Scoring!$J$32+U279</x:f>
        <x:v>23</x:v>
      </x:c>
      <x:c r="P279" s="9" t="n">
        <x:f>IF(COUNTIF(Rookies!$A:$A,A279)&gt;0,1,0)</x:f>
        <x:v>0</x:v>
      </x:c>
      <x:c r="Q279" s="9"/>
      <x:c r="R279" s="9"/>
      <x:c r="S279" s="9" t="n">
        <x:f>V279/17</x:f>
        <x:v>1.3529411764705883</x:v>
      </x:c>
      <x:c r="T279" s="9" t="n">
        <x:f>IF(P279=1,MAX(0,0.258*(14.9-S279)),0)</x:f>
        <x:v>0</x:v>
      </x:c>
      <x:c r="U279" s="9" t="n">
        <x:f>T279*17</x:f>
        <x:v>0</x:v>
      </x:c>
      <x:c r="V279" s="9" t="n">
        <x:f>C279*Scoring!$B$32+D279/Scoring!$C$32+E279*Scoring!$D$32+F279*Scoring!$E$32+G279/Scoring!$F$32+H279*Scoring!$G$32+I279*Scoring!$H$32+K279*Scoring!$I$32+RB!L279*Scoring!$J$32</x:f>
        <x:v>23</x:v>
      </x:c>
      <x:c r="W279" s="9"/>
      <x:c r="X279" s="9"/>
      <x:c r="Y279" s="9"/>
      <x:c r="Z279" s="9"/>
    </x:row>
    <x:row r="280" ht="14.25" customHeight="1">
      <x:c r="B280" s="1" t="s">
        <x:v>488</x:v>
      </x:c>
      <x:c r="C280" s="1">
        <x:v>35.0</x:v>
      </x:c>
      <x:c r="D280" s="1">
        <x:v>153.0</x:v>
      </x:c>
      <x:c r="E280" s="1">
        <x:v>1.0</x:v>
      </x:c>
      <x:c r="F280" s="1">
        <x:v>1.0</x:v>
      </x:c>
      <x:c r="G280" s="1">
        <x:v>12.0</x:v>
      </x:c>
      <x:c r="H280" s="1">
        <x:v>0.0</x:v>
      </x:c>
      <x:c r="I280" s="1">
        <x:v>0.0</x:v>
      </x:c>
      <x:c r="J280" s="1">
        <x:v>14.0</x:v>
      </x:c>
      <x:c r="K280" s="18">
        <x:f t="shared" si="1"/>
        <x:v>8.5</x:v>
      </x:c>
      <x:c r="L280" s="18">
        <x:f t="shared" si="2"/>
        <x:v>0.5675471698</x:v>
      </x:c>
      <x:c r="M280" s="119"/>
      <x:c r="N280" s="119"/>
      <x:c r="O280" s="119"/>
      <x:c r="P280" s="9"/>
      <x:c r="Q280" s="9"/>
      <x:c r="R280" s="9"/>
      <x:c r="S280" s="9"/>
      <x:c r="T280" s="9"/>
      <x:c r="U280" s="9"/>
      <x:c r="V280" s="9"/>
      <x:c r="W280" s="9"/>
      <x:c r="X280" s="9"/>
      <x:c r="Y280" s="9"/>
      <x:c r="Z280" s="9"/>
    </x:row>
    <x:row r="281" ht="14.25" customHeight="1">
      <x:c r="B281" s="1" t="s">
        <x:v>489</x:v>
      </x:c>
      <x:c r="C281" s="1">
        <x:v>35.0</x:v>
      </x:c>
      <x:c r="D281" s="1">
        <x:v>153.0</x:v>
      </x:c>
      <x:c r="E281" s="1">
        <x:v>1.0</x:v>
      </x:c>
      <x:c r="F281" s="1">
        <x:v>1.0</x:v>
      </x:c>
      <x:c r="G281" s="1">
        <x:v>12.0</x:v>
      </x:c>
      <x:c r="H281" s="1">
        <x:v>0.0</x:v>
      </x:c>
      <x:c r="I281" s="1">
        <x:v>0.0</x:v>
      </x:c>
      <x:c r="J281" s="1">
        <x:v>14.0</x:v>
      </x:c>
      <x:c r="K281" s="18">
        <x:f t="shared" si="1"/>
        <x:v>8.5</x:v>
      </x:c>
      <x:c r="L281" s="18">
        <x:f t="shared" si="2"/>
        <x:v>0.5675471698</x:v>
      </x:c>
      <x:c r="M281" s="119"/>
      <x:c r="N281" s="119"/>
      <x:c r="O281" s="119"/>
      <x:c r="P281" s="9"/>
      <x:c r="Q281" s="9"/>
      <x:c r="R281" s="9"/>
      <x:c r="S281" s="9"/>
      <x:c r="T281" s="9"/>
      <x:c r="U281" s="9"/>
      <x:c r="V281" s="9"/>
      <x:c r="W281" s="9"/>
      <x:c r="X281" s="9"/>
      <x:c r="Y281" s="9"/>
      <x:c r="Z281" s="9"/>
    </x:row>
    <x:row r="282" ht="14.25" customHeight="1">
      <x:c r="A282" s="1" t="s">
        <x:v>696</x:v>
      </x:c>
      <x:c r="B282" s="1" t="s">
        <x:v>527</x:v>
      </x:c>
      <x:c r="C282" s="1">
        <x:v>22.3</x:v>
      </x:c>
      <x:c r="D282" s="1">
        <x:v>96.4</x:v>
      </x:c>
      <x:c r="E282" s="1">
        <x:v>1.2</x:v>
      </x:c>
      <x:c r="F282" s="1">
        <x:v>3.2</x:v>
      </x:c>
      <x:c r="G282" s="1">
        <x:v>27.3</x:v>
      </x:c>
      <x:c r="H282" s="1">
        <x:v>0.1</x:v>
      </x:c>
      <x:c r="I282" s="1">
        <x:v>0.0</x:v>
      </x:c>
      <x:c r="J282" s="1">
        <x:v>23.1</x:v>
      </x:c>
      <x:c r="K282" s="18">
        <x:f t="shared" si="1"/>
        <x:v>5.355555556</x:v>
      </x:c>
      <x:c r="L282" s="18">
        <x:f t="shared" si="2"/>
        <x:v>1.291169811</x:v>
      </x:c>
      <x:c r="M282" s="119" t="n">
        <x:f>C284*Scoring!$B$32+D284/Scoring!$C$32+E284*Scoring!$D$32+F284*Scoring!$E$32+G284/Scoring!$F$32+H284*Scoring!$G$32+I284*Scoring!$H$32+K284*Scoring!$I$32+RB!L284*Scoring!$J$32+U282</x:f>
        <x:v>70.70474</x:v>
      </x:c>
      <x:c r="N282" s="119" t="n">
        <x:f>C282*Scoring!$B$32+D282/Scoring!$C$32+E282*Scoring!$D$32+F282*Scoring!$E$32+G282/Scoring!$F$32+H282*Scoring!$G$32+I282*Scoring!$H$32+K282*Scoring!$I$32+RB!L282*Scoring!$J$32+U282</x:f>
        <x:v>81.50474</x:v>
      </x:c>
      <x:c r="O282" s="119" t="n">
        <x:f>C283*Scoring!$B$32+D283/Scoring!$C$32+E283*Scoring!$D$32+F283*Scoring!$E$32+G283/Scoring!$F$32+H283*Scoring!$G$32+I283*Scoring!$H$32+K283*Scoring!$I$32+L283*Scoring!$J$32+U282</x:f>
        <x:v>92.14474000000001</x:v>
      </x:c>
      <x:c r="P282" s="9" t="n">
        <x:f>IF(COUNTIF(Rookies!$A:$A,A282)&gt;0,1,0)</x:f>
        <x:v>1</x:v>
      </x:c>
      <x:c r="Q282" s="9"/>
      <x:c r="R282" s="9"/>
      <x:c r="S282" s="9" t="n">
        <x:f>V282/17</x:f>
        <x:v>1.2805882352941178</x:v>
      </x:c>
      <x:c r="T282" s="9" t="n">
        <x:f>IF(P282=1,MAX(0,0.258*(14.9-S282)),0)</x:f>
        <x:v>3.5138082352941176</x:v>
      </x:c>
      <x:c r="U282" s="9" t="n">
        <x:f>T282*17</x:f>
        <x:v>59.73474</x:v>
      </x:c>
      <x:c r="V282" s="9" t="n">
        <x:f>C282*Scoring!$B$32+D282/Scoring!$C$32+E282*Scoring!$D$32+F282*Scoring!$E$32+G282/Scoring!$F$32+H282*Scoring!$G$32+I282*Scoring!$H$32+K282*Scoring!$I$32+RB!L282*Scoring!$J$32</x:f>
        <x:v>21.770000000000003</x:v>
      </x:c>
      <x:c r="W282" s="9"/>
      <x:c r="X282" s="9"/>
      <x:c r="Y282" s="9"/>
      <x:c r="Z282" s="9"/>
    </x:row>
    <x:row r="283" ht="14.25" customHeight="1">
      <x:c r="B283" s="1" t="s">
        <x:v>488</x:v>
      </x:c>
      <x:c r="C283" s="1">
        <x:v>32.0</x:v>
      </x:c>
      <x:c r="D283" s="1">
        <x:v>141.0</x:v>
      </x:c>
      <x:c r="E283" s="1">
        <x:v>2.0</x:v>
      </x:c>
      <x:c r="F283" s="1">
        <x:v>4.3</x:v>
      </x:c>
      <x:c r="G283" s="1">
        <x:v>29.6</x:v>
      </x:c>
      <x:c r="H283" s="1">
        <x:v>0.2</x:v>
      </x:c>
      <x:c r="I283" s="1">
        <x:v>0.0</x:v>
      </x:c>
      <x:c r="J283" s="1">
        <x:v>22.2</x:v>
      </x:c>
      <x:c r="K283" s="18">
        <x:f t="shared" si="1"/>
        <x:v>7.833333333</x:v>
      </x:c>
      <x:c r="L283" s="18">
        <x:f t="shared" si="2"/>
        <x:v>1.399949686</x:v>
      </x:c>
      <x:c r="M283" s="119"/>
      <x:c r="N283" s="119"/>
      <x:c r="O283" s="119"/>
      <x:c r="P283" s="9"/>
      <x:c r="Q283" s="9"/>
      <x:c r="R283" s="9"/>
      <x:c r="S283" s="9"/>
      <x:c r="T283" s="9"/>
      <x:c r="U283" s="9"/>
      <x:c r="V283" s="9"/>
      <x:c r="W283" s="9"/>
      <x:c r="X283" s="9"/>
      <x:c r="Y283" s="9"/>
      <x:c r="Z283" s="9"/>
    </x:row>
    <x:row r="284" ht="14.25" customHeight="1">
      <x:c r="B284" s="1" t="s">
        <x:v>489</x:v>
      </x:c>
      <x:c r="C284" s="1">
        <x:v>12.5</x:v>
      </x:c>
      <x:c r="D284" s="1">
        <x:v>51.7</x:v>
      </x:c>
      <x:c r="E284" s="1">
        <x:v>0.4</x:v>
      </x:c>
      <x:c r="F284" s="1">
        <x:v>2.0</x:v>
      </x:c>
      <x:c r="G284" s="1">
        <x:v>25.0</x:v>
      </x:c>
      <x:c r="H284" s="1">
        <x:v>0.0</x:v>
      </x:c>
      <x:c r="I284" s="1">
        <x:v>0.1</x:v>
      </x:c>
      <x:c r="J284" s="1">
        <x:v>14.6</x:v>
      </x:c>
      <x:c r="K284" s="18">
        <x:f t="shared" si="1"/>
        <x:v>2.872222222</x:v>
      </x:c>
      <x:c r="L284" s="18">
        <x:f t="shared" si="2"/>
        <x:v>1.182389937</x:v>
      </x:c>
      <x:c r="M284" s="119"/>
      <x:c r="N284" s="119"/>
      <x:c r="O284" s="119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  <x:c r="Z284" s="9"/>
    </x:row>
    <x:row r="285" ht="14.25" customHeight="1">
      <x:c r="A285" s="1" t="s">
        <x:v>697</x:v>
      </x:c>
      <x:c r="B285" s="1" t="s">
        <x:v>507</x:v>
      </x:c>
      <x:c r="C285" s="1">
        <x:v>32.0</x:v>
      </x:c>
      <x:c r="D285" s="1">
        <x:v>146.0</x:v>
      </x:c>
      <x:c r="E285" s="1">
        <x:v>1.0</x:v>
      </x:c>
      <x:c r="F285" s="1">
        <x:v>1.0</x:v>
      </x:c>
      <x:c r="G285" s="1">
        <x:v>14.0</x:v>
      </x:c>
      <x:c r="H285" s="1">
        <x:v>0.0</x:v>
      </x:c>
      <x:c r="I285" s="1">
        <x:v>0.0</x:v>
      </x:c>
      <x:c r="J285" s="1">
        <x:v>23.0</x:v>
      </x:c>
      <x:c r="K285" s="18">
        <x:f t="shared" si="1"/>
        <x:v>8.111111111</x:v>
      </x:c>
      <x:c r="L285" s="18">
        <x:f t="shared" si="2"/>
        <x:v>0.6621383648</x:v>
      </x:c>
      <x:c r="M285" s="119" t="n">
        <x:f>C287*Scoring!$B$32+D287/Scoring!$C$32+E287*Scoring!$D$32+F287*Scoring!$E$32+G287/Scoring!$F$32+H287*Scoring!$G$32+I287*Scoring!$H$32+K287*Scoring!$I$32+RB!L287*Scoring!$J$32+U285</x:f>
        <x:v>22.5</x:v>
      </x:c>
      <x:c r="N285" s="119" t="n">
        <x:f>C285*Scoring!$B$32+D285/Scoring!$C$32+E285*Scoring!$D$32+F285*Scoring!$E$32+G285/Scoring!$F$32+H285*Scoring!$G$32+I285*Scoring!$H$32+K285*Scoring!$I$32+RB!L285*Scoring!$J$32+U285</x:f>
        <x:v>22.5</x:v>
      </x:c>
      <x:c r="O285" s="119" t="n">
        <x:f>C286*Scoring!$B$32+D286/Scoring!$C$32+E286*Scoring!$D$32+F286*Scoring!$E$32+G286/Scoring!$F$32+H286*Scoring!$G$32+I286*Scoring!$H$32+K286*Scoring!$I$32+L286*Scoring!$J$32+U285</x:f>
        <x:v>22.5</x:v>
      </x:c>
      <x:c r="P285" s="9" t="n">
        <x:f>IF(COUNTIF(Rookies!$A:$A,A285)&gt;0,1,0)</x:f>
        <x:v>0</x:v>
      </x:c>
      <x:c r="Q285" s="9"/>
      <x:c r="R285" s="9"/>
      <x:c r="S285" s="9" t="n">
        <x:f>V285/17</x:f>
        <x:v>1.3235294117647058</x:v>
      </x:c>
      <x:c r="T285" s="9" t="n">
        <x:f>IF(P285=1,MAX(0,0.258*(14.9-S285)),0)</x:f>
        <x:v>0</x:v>
      </x:c>
      <x:c r="U285" s="9" t="n">
        <x:f>T285*17</x:f>
        <x:v>0</x:v>
      </x:c>
      <x:c r="V285" s="9" t="n">
        <x:f>C285*Scoring!$B$32+D285/Scoring!$C$32+E285*Scoring!$D$32+F285*Scoring!$E$32+G285/Scoring!$F$32+H285*Scoring!$G$32+I285*Scoring!$H$32+K285*Scoring!$I$32+RB!L285*Scoring!$J$32</x:f>
        <x:v>22.5</x:v>
      </x:c>
      <x:c r="W285" s="9"/>
      <x:c r="X285" s="9"/>
      <x:c r="Y285" s="9"/>
      <x:c r="Z285" s="9"/>
    </x:row>
    <x:row r="286" ht="14.25" customHeight="1">
      <x:c r="B286" s="1" t="s">
        <x:v>488</x:v>
      </x:c>
      <x:c r="C286" s="1">
        <x:v>32.0</x:v>
      </x:c>
      <x:c r="D286" s="1">
        <x:v>146.0</x:v>
      </x:c>
      <x:c r="E286" s="1">
        <x:v>1.0</x:v>
      </x:c>
      <x:c r="F286" s="1">
        <x:v>1.0</x:v>
      </x:c>
      <x:c r="G286" s="1">
        <x:v>14.0</x:v>
      </x:c>
      <x:c r="H286" s="1">
        <x:v>0.0</x:v>
      </x:c>
      <x:c r="I286" s="1">
        <x:v>0.0</x:v>
      </x:c>
      <x:c r="J286" s="1">
        <x:v>13.0</x:v>
      </x:c>
      <x:c r="K286" s="18">
        <x:f t="shared" si="1"/>
        <x:v>8.111111111</x:v>
      </x:c>
      <x:c r="L286" s="18">
        <x:f t="shared" si="2"/>
        <x:v>0.6621383648</x:v>
      </x:c>
      <x:c r="M286" s="119"/>
      <x:c r="N286" s="119"/>
      <x:c r="O286" s="119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  <x:c r="Z286" s="9"/>
    </x:row>
    <x:row r="287" ht="14.25" customHeight="1">
      <x:c r="B287" s="1" t="s">
        <x:v>489</x:v>
      </x:c>
      <x:c r="C287" s="1">
        <x:v>32.0</x:v>
      </x:c>
      <x:c r="D287" s="1">
        <x:v>146.0</x:v>
      </x:c>
      <x:c r="E287" s="1">
        <x:v>1.0</x:v>
      </x:c>
      <x:c r="F287" s="1">
        <x:v>1.0</x:v>
      </x:c>
      <x:c r="G287" s="1">
        <x:v>14.0</x:v>
      </x:c>
      <x:c r="H287" s="1">
        <x:v>0.0</x:v>
      </x:c>
      <x:c r="I287" s="1">
        <x:v>0.0</x:v>
      </x:c>
      <x:c r="J287" s="1">
        <x:v>13.0</x:v>
      </x:c>
      <x:c r="K287" s="18">
        <x:f t="shared" si="1"/>
        <x:v>8.111111111</x:v>
      </x:c>
      <x:c r="L287" s="18">
        <x:f t="shared" si="2"/>
        <x:v>0.6621383648</x:v>
      </x:c>
      <x:c r="M287" s="119"/>
      <x:c r="N287" s="119"/>
      <x:c r="O287" s="119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  <x:c r="Z287" s="9"/>
    </x:row>
    <x:row r="288" ht="14.25" customHeight="1">
      <x:c r="A288" s="1" t="s">
        <x:v>698</x:v>
      </x:c>
      <x:c r="B288" s="1" t="s">
        <x:v>529</x:v>
      </x:c>
      <x:c r="C288" s="1">
        <x:v>31.0</x:v>
      </x:c>
      <x:c r="D288" s="1">
        <x:v>130.0</x:v>
      </x:c>
      <x:c r="E288" s="1">
        <x:v>1.0</x:v>
      </x:c>
      <x:c r="F288" s="1">
        <x:v>2.0</x:v>
      </x:c>
      <x:c r="G288" s="1">
        <x:v>19.0</x:v>
      </x:c>
      <x:c r="H288" s="1">
        <x:v>0.0</x:v>
      </x:c>
      <x:c r="I288" s="1">
        <x:v>0.0</x:v>
      </x:c>
      <x:c r="J288" s="1">
        <x:v>22.9</x:v>
      </x:c>
      <x:c r="K288" s="18">
        <x:f t="shared" si="1"/>
        <x:v>7.222222222</x:v>
      </x:c>
      <x:c r="L288" s="18">
        <x:f t="shared" si="2"/>
        <x:v>0.8986163522</x:v>
      </x:c>
      <x:c r="M288" s="119" t="n">
        <x:f>C290*Scoring!$B$32+D290/Scoring!$C$32+E290*Scoring!$D$32+F290*Scoring!$E$32+G290/Scoring!$F$32+H290*Scoring!$G$32+I290*Scoring!$H$32+K290*Scoring!$I$32+RB!L290*Scoring!$J$32+U288</x:f>
        <x:v>21.9</x:v>
      </x:c>
      <x:c r="N288" s="119" t="n">
        <x:f>C288*Scoring!$B$32+D288/Scoring!$C$32+E288*Scoring!$D$32+F288*Scoring!$E$32+G288/Scoring!$F$32+H288*Scoring!$G$32+I288*Scoring!$H$32+K288*Scoring!$I$32+RB!L288*Scoring!$J$32+U288</x:f>
        <x:v>21.9</x:v>
      </x:c>
      <x:c r="O288" s="119" t="n">
        <x:f>C289*Scoring!$B$32+D289/Scoring!$C$32+E289*Scoring!$D$32+F289*Scoring!$E$32+G289/Scoring!$F$32+H289*Scoring!$G$32+I289*Scoring!$H$32+K289*Scoring!$I$32+L289*Scoring!$J$32+U288</x:f>
        <x:v>21.9</x:v>
      </x:c>
      <x:c r="P288" s="9" t="n">
        <x:f>IF(COUNTIF(Rookies!$A:$A,A288)&gt;0,1,0)</x:f>
        <x:v>0</x:v>
      </x:c>
      <x:c r="Q288" s="9"/>
      <x:c r="R288" s="9"/>
      <x:c r="S288" s="9" t="n">
        <x:f>V288/17</x:f>
        <x:v>1.288235294117647</x:v>
      </x:c>
      <x:c r="T288" s="9" t="n">
        <x:f>IF(P288=1,MAX(0,0.258*(14.9-S288)),0)</x:f>
        <x:v>0</x:v>
      </x:c>
      <x:c r="U288" s="9" t="n">
        <x:f>T288*17</x:f>
        <x:v>0</x:v>
      </x:c>
      <x:c r="V288" s="9" t="n">
        <x:f>C288*Scoring!$B$32+D288/Scoring!$C$32+E288*Scoring!$D$32+F288*Scoring!$E$32+G288/Scoring!$F$32+H288*Scoring!$G$32+I288*Scoring!$H$32+K288*Scoring!$I$32+RB!L288*Scoring!$J$32</x:f>
        <x:v>21.9</x:v>
      </x:c>
      <x:c r="W288" s="9"/>
      <x:c r="X288" s="9"/>
      <x:c r="Y288" s="9"/>
      <x:c r="Z288" s="9"/>
    </x:row>
    <x:row r="289" ht="14.25" customHeight="1">
      <x:c r="B289" s="1" t="s">
        <x:v>488</x:v>
      </x:c>
      <x:c r="C289" s="1">
        <x:v>31.0</x:v>
      </x:c>
      <x:c r="D289" s="1">
        <x:v>130.0</x:v>
      </x:c>
      <x:c r="E289" s="1">
        <x:v>1.0</x:v>
      </x:c>
      <x:c r="F289" s="1">
        <x:v>2.0</x:v>
      </x:c>
      <x:c r="G289" s="1">
        <x:v>19.0</x:v>
      </x:c>
      <x:c r="H289" s="1">
        <x:v>0.0</x:v>
      </x:c>
      <x:c r="I289" s="1">
        <x:v>0.0</x:v>
      </x:c>
      <x:c r="J289" s="1">
        <x:v>14.0</x:v>
      </x:c>
      <x:c r="K289" s="18">
        <x:f t="shared" si="1"/>
        <x:v>7.222222222</x:v>
      </x:c>
      <x:c r="L289" s="18">
        <x:f t="shared" si="2"/>
        <x:v>0.8986163522</x:v>
      </x:c>
      <x:c r="M289" s="119"/>
      <x:c r="N289" s="119"/>
      <x:c r="O289" s="119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  <x:c r="Z289" s="9"/>
    </x:row>
    <x:row r="290" ht="14.25" customHeight="1">
      <x:c r="B290" s="1" t="s">
        <x:v>489</x:v>
      </x:c>
      <x:c r="C290" s="1">
        <x:v>31.0</x:v>
      </x:c>
      <x:c r="D290" s="1">
        <x:v>130.0</x:v>
      </x:c>
      <x:c r="E290" s="1">
        <x:v>1.0</x:v>
      </x:c>
      <x:c r="F290" s="1">
        <x:v>2.0</x:v>
      </x:c>
      <x:c r="G290" s="1">
        <x:v>19.0</x:v>
      </x:c>
      <x:c r="H290" s="1">
        <x:v>0.0</x:v>
      </x:c>
      <x:c r="I290" s="1">
        <x:v>0.0</x:v>
      </x:c>
      <x:c r="J290" s="1">
        <x:v>14.0</x:v>
      </x:c>
      <x:c r="K290" s="18">
        <x:f t="shared" si="1"/>
        <x:v>7.222222222</x:v>
      </x:c>
      <x:c r="L290" s="18">
        <x:f t="shared" si="2"/>
        <x:v>0.8986163522</x:v>
      </x:c>
      <x:c r="M290" s="119"/>
      <x:c r="N290" s="119"/>
      <x:c r="O290" s="119"/>
      <x:c r="P290" s="9"/>
      <x:c r="Q290" s="9"/>
      <x:c r="R290" s="9"/>
      <x:c r="S290" s="9"/>
      <x:c r="T290" s="9"/>
      <x:c r="U290" s="9"/>
      <x:c r="V290" s="9"/>
      <x:c r="W290" s="9"/>
      <x:c r="X290" s="9"/>
      <x:c r="Y290" s="9"/>
      <x:c r="Z290" s="9"/>
    </x:row>
    <x:row r="291" ht="14.25" customHeight="1">
      <x:c r="A291" s="1" t="s">
        <x:v>699</x:v>
      </x:c>
      <x:c r="B291" s="1" t="s">
        <x:v>521</x:v>
      </x:c>
      <x:c r="C291" s="1">
        <x:v>29.4</x:v>
      </x:c>
      <x:c r="D291" s="1">
        <x:v>119.9</x:v>
      </x:c>
      <x:c r="E291" s="1">
        <x:v>1.3</x:v>
      </x:c>
      <x:c r="F291" s="1">
        <x:v>1.8</x:v>
      </x:c>
      <x:c r="G291" s="1">
        <x:v>10.9</x:v>
      </x:c>
      <x:c r="H291" s="1">
        <x:v>0.0</x:v>
      </x:c>
      <x:c r="I291" s="1">
        <x:v>0.0</x:v>
      </x:c>
      <x:c r="J291" s="1">
        <x:v>22.4</x:v>
      </x:c>
      <x:c r="K291" s="18">
        <x:f t="shared" si="1"/>
        <x:v>6.661111111</x:v>
      </x:c>
      <x:c r="L291" s="18">
        <x:f t="shared" si="2"/>
        <x:v>0.5155220126</x:v>
      </x:c>
      <x:c r="M291" s="119" t="n">
        <x:f>C293*Scoring!$B$32+D293/Scoring!$C$32+E293*Scoring!$D$32+F293*Scoring!$E$32+G293/Scoring!$F$32+H293*Scoring!$G$32+I293*Scoring!$H$32+K293*Scoring!$I$32+RB!L293*Scoring!$J$32+U291</x:f>
        <x:v>14.73</x:v>
      </x:c>
      <x:c r="N291" s="119" t="n">
        <x:f>C291*Scoring!$B$32+D291/Scoring!$C$32+E291*Scoring!$D$32+F291*Scoring!$E$32+G291/Scoring!$F$32+H291*Scoring!$G$32+I291*Scoring!$H$32+K291*Scoring!$I$32+RB!L291*Scoring!$J$32+U291</x:f>
        <x:v>21.779999999999998</x:v>
      </x:c>
      <x:c r="O291" s="119" t="n">
        <x:f>C292*Scoring!$B$32+D292/Scoring!$C$32+E292*Scoring!$D$32+F292*Scoring!$E$32+G292/Scoring!$F$32+H292*Scoring!$G$32+I292*Scoring!$H$32+K292*Scoring!$I$32+L292*Scoring!$J$32+U291</x:f>
        <x:v>28.1</x:v>
      </x:c>
      <x:c r="P291" s="9" t="n">
        <x:f>IF(COUNTIF(Rookies!$A:$A,A291)&gt;0,1,0)</x:f>
        <x:v>0</x:v>
      </x:c>
      <x:c r="Q291" s="9"/>
      <x:c r="R291" s="9"/>
      <x:c r="S291" s="9" t="n">
        <x:f>V291/17</x:f>
        <x:v>1.2811764705882351</x:v>
      </x:c>
      <x:c r="T291" s="9" t="n">
        <x:f>IF(P291=1,MAX(0,0.258*(14.9-S291)),0)</x:f>
        <x:v>0</x:v>
      </x:c>
      <x:c r="U291" s="9" t="n">
        <x:f>T291*17</x:f>
        <x:v>0</x:v>
      </x:c>
      <x:c r="V291" s="9" t="n">
        <x:f>C291*Scoring!$B$32+D291/Scoring!$C$32+E291*Scoring!$D$32+F291*Scoring!$E$32+G291/Scoring!$F$32+H291*Scoring!$G$32+I291*Scoring!$H$32+K291*Scoring!$I$32+RB!L291*Scoring!$J$32</x:f>
        <x:v>21.779999999999998</x:v>
      </x:c>
      <x:c r="W291" s="9"/>
      <x:c r="X291" s="9"/>
      <x:c r="Y291" s="9"/>
      <x:c r="Z291" s="9"/>
    </x:row>
    <x:row r="292" ht="14.25" customHeight="1">
      <x:c r="B292" s="1" t="s">
        <x:v>488</x:v>
      </x:c>
      <x:c r="C292" s="1">
        <x:v>35.0</x:v>
      </x:c>
      <x:c r="D292" s="1">
        <x:v>140.0</x:v>
      </x:c>
      <x:c r="E292" s="1">
        <x:v>2.0</x:v>
      </x:c>
      <x:c r="F292" s="1">
        <x:v>2.0</x:v>
      </x:c>
      <x:c r="G292" s="1">
        <x:v>11.0</x:v>
      </x:c>
      <x:c r="H292" s="1">
        <x:v>0.0</x:v>
      </x:c>
      <x:c r="I292" s="1">
        <x:v>0.0</x:v>
      </x:c>
      <x:c r="J292" s="1">
        <x:v>19.8</x:v>
      </x:c>
      <x:c r="K292" s="18">
        <x:f t="shared" si="1"/>
        <x:v>7.777777778</x:v>
      </x:c>
      <x:c r="L292" s="18">
        <x:f t="shared" si="2"/>
        <x:v>0.5202515723</x:v>
      </x:c>
      <x:c r="M292" s="119"/>
      <x:c r="N292" s="119"/>
      <x:c r="O292" s="119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  <x:c r="Z292" s="9"/>
    </x:row>
    <x:row r="293" ht="14.25" customHeight="1">
      <x:c r="B293" s="1" t="s">
        <x:v>489</x:v>
      </x:c>
      <x:c r="C293" s="1">
        <x:v>23.8</x:v>
      </x:c>
      <x:c r="D293" s="1">
        <x:v>99.9</x:v>
      </x:c>
      <x:c r="E293" s="1">
        <x:v>0.5</x:v>
      </x:c>
      <x:c r="F293" s="1">
        <x:v>1.5</x:v>
      </x:c>
      <x:c r="G293" s="1">
        <x:v>10.9</x:v>
      </x:c>
      <x:c r="H293" s="1">
        <x:v>0.0</x:v>
      </x:c>
      <x:c r="I293" s="1">
        <x:v>0.1</x:v>
      </x:c>
      <x:c r="J293" s="1">
        <x:v>16.1</x:v>
      </x:c>
      <x:c r="K293" s="18">
        <x:f t="shared" si="1"/>
        <x:v>5.55</x:v>
      </x:c>
      <x:c r="L293" s="18">
        <x:f t="shared" si="2"/>
        <x:v>0.5155220126</x:v>
      </x:c>
      <x:c r="M293" s="119"/>
      <x:c r="N293" s="119"/>
      <x:c r="O293" s="119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</x:row>
    <x:row r="294" ht="14.25" customHeight="1">
      <x:c r="A294" s="1" t="s">
        <x:v>700</x:v>
      </x:c>
      <x:c r="B294" s="1" t="s">
        <x:v>497</x:v>
      </x:c>
      <x:c r="C294" s="1">
        <x:v>35.0</x:v>
      </x:c>
      <x:c r="D294" s="1">
        <x:v>161.0</x:v>
      </x:c>
      <x:c r="E294" s="1">
        <x:v>1.0</x:v>
      </x:c>
      <x:c r="F294" s="1">
        <x:v>0.0</x:v>
      </x:c>
      <x:c r="G294" s="1">
        <x:v>0.0</x:v>
      </x:c>
      <x:c r="H294" s="1">
        <x:v>0.0</x:v>
      </x:c>
      <x:c r="I294" s="1">
        <x:v>0.0</x:v>
      </x:c>
      <x:c r="J294" s="1">
        <x:v>22.1</x:v>
      </x:c>
      <x:c r="K294" s="18">
        <x:f t="shared" si="1"/>
        <x:v>8.944444444</x:v>
      </x:c>
      <x:c r="L294" s="18">
        <x:f t="shared" si="2"/>
        <x:v>0</x:v>
      </x:c>
      <x:c r="M294" s="119" t="n">
        <x:f>C296*Scoring!$B$32+D296/Scoring!$C$32+E296*Scoring!$D$32+F296*Scoring!$E$32+G296/Scoring!$F$32+H296*Scoring!$G$32+I296*Scoring!$H$32+K296*Scoring!$I$32+RB!L296*Scoring!$J$32+U294</x:f>
        <x:v>22.1</x:v>
      </x:c>
      <x:c r="N294" s="119" t="n">
        <x:f>C294*Scoring!$B$32+D294/Scoring!$C$32+E294*Scoring!$D$32+F294*Scoring!$E$32+G294/Scoring!$F$32+H294*Scoring!$G$32+I294*Scoring!$H$32+K294*Scoring!$I$32+RB!L294*Scoring!$J$32+U294</x:f>
        <x:v>22.1</x:v>
      </x:c>
      <x:c r="O294" s="119" t="n">
        <x:f>C295*Scoring!$B$32+D295/Scoring!$C$32+E295*Scoring!$D$32+F295*Scoring!$E$32+G295/Scoring!$F$32+H295*Scoring!$G$32+I295*Scoring!$H$32+K295*Scoring!$I$32+L295*Scoring!$J$32+U294</x:f>
        <x:v>22.1</x:v>
      </x:c>
      <x:c r="P294" s="9" t="n">
        <x:f>IF(COUNTIF(Rookies!$A:$A,A294)&gt;0,1,0)</x:f>
        <x:v>0</x:v>
      </x:c>
      <x:c r="Q294" s="9"/>
      <x:c r="R294" s="9"/>
      <x:c r="S294" s="9" t="n">
        <x:f>V294/17</x:f>
        <x:v>1.3</x:v>
      </x:c>
      <x:c r="T294" s="9" t="n">
        <x:f>IF(P294=1,MAX(0,0.258*(14.9-S294)),0)</x:f>
        <x:v>0</x:v>
      </x:c>
      <x:c r="U294" s="9" t="n">
        <x:f>T294*17</x:f>
        <x:v>0</x:v>
      </x:c>
      <x:c r="V294" s="9" t="n">
        <x:f>C294*Scoring!$B$32+D294/Scoring!$C$32+E294*Scoring!$D$32+F294*Scoring!$E$32+G294/Scoring!$F$32+H294*Scoring!$G$32+I294*Scoring!$H$32+K294*Scoring!$I$32+RB!L294*Scoring!$J$32</x:f>
        <x:v>22.1</x:v>
      </x:c>
      <x:c r="W294" s="9"/>
      <x:c r="X294" s="9"/>
      <x:c r="Y294" s="9"/>
      <x:c r="Z294" s="9"/>
    </x:row>
    <x:row r="295" ht="14.25" customHeight="1">
      <x:c r="B295" s="1" t="s">
        <x:v>488</x:v>
      </x:c>
      <x:c r="C295" s="1">
        <x:v>35.0</x:v>
      </x:c>
      <x:c r="D295" s="1">
        <x:v>161.0</x:v>
      </x:c>
      <x:c r="E295" s="1">
        <x:v>1.0</x:v>
      </x:c>
      <x:c r="F295" s="1">
        <x:v>0.0</x:v>
      </x:c>
      <x:c r="G295" s="1">
        <x:v>0.0</x:v>
      </x:c>
      <x:c r="H295" s="1">
        <x:v>0.0</x:v>
      </x:c>
      <x:c r="I295" s="1">
        <x:v>0.0</x:v>
      </x:c>
      <x:c r="J295" s="1">
        <x:v>13.0</x:v>
      </x:c>
      <x:c r="K295" s="18">
        <x:f t="shared" si="1"/>
        <x:v>8.944444444</x:v>
      </x:c>
      <x:c r="L295" s="18">
        <x:f t="shared" si="2"/>
        <x:v>0</x:v>
      </x:c>
      <x:c r="M295" s="119"/>
      <x:c r="N295" s="119"/>
      <x:c r="O295" s="119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</x:row>
    <x:row r="296" ht="14.25" customHeight="1">
      <x:c r="B296" s="1" t="s">
        <x:v>489</x:v>
      </x:c>
      <x:c r="C296" s="1">
        <x:v>35.0</x:v>
      </x:c>
      <x:c r="D296" s="1">
        <x:v>161.0</x:v>
      </x:c>
      <x:c r="E296" s="1">
        <x:v>1.0</x:v>
      </x:c>
      <x:c r="F296" s="1">
        <x:v>0.0</x:v>
      </x:c>
      <x:c r="G296" s="1">
        <x:v>0.0</x:v>
      </x:c>
      <x:c r="H296" s="1">
        <x:v>0.0</x:v>
      </x:c>
      <x:c r="I296" s="1">
        <x:v>0.0</x:v>
      </x:c>
      <x:c r="J296" s="1">
        <x:v>13.0</x:v>
      </x:c>
      <x:c r="K296" s="18">
        <x:f t="shared" si="1"/>
        <x:v>8.944444444</x:v>
      </x:c>
      <x:c r="L296" s="18">
        <x:f t="shared" si="2"/>
        <x:v>0</x:v>
      </x:c>
      <x:c r="M296" s="119"/>
      <x:c r="N296" s="119"/>
      <x:c r="O296" s="119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  <x:c r="Z296" s="9"/>
    </x:row>
    <x:row r="297" ht="14.25" customHeight="1">
      <x:c r="A297" s="1" t="s">
        <x:v>701</x:v>
      </x:c>
      <x:c r="B297" s="1" t="s">
        <x:v>535</x:v>
      </x:c>
      <x:c r="C297" s="1">
        <x:v>33.0</x:v>
      </x:c>
      <x:c r="D297" s="1">
        <x:v>142.0</x:v>
      </x:c>
      <x:c r="E297" s="1">
        <x:v>1.0</x:v>
      </x:c>
      <x:c r="F297" s="1">
        <x:v>1.0</x:v>
      </x:c>
      <x:c r="G297" s="1">
        <x:v>9.0</x:v>
      </x:c>
      <x:c r="H297" s="1">
        <x:v>0.0</x:v>
      </x:c>
      <x:c r="I297" s="1">
        <x:v>0.0</x:v>
      </x:c>
      <x:c r="J297" s="1">
        <x:v>22.1</x:v>
      </x:c>
      <x:c r="K297" s="18">
        <x:f t="shared" si="1"/>
        <x:v>7.888888889</x:v>
      </x:c>
      <x:c r="L297" s="18">
        <x:f t="shared" si="2"/>
        <x:v>0.4256603774</x:v>
      </x:c>
      <x:c r="M297" s="119" t="n">
        <x:f>C299*Scoring!$B$32+D299/Scoring!$C$32+E299*Scoring!$D$32+F299*Scoring!$E$32+G299/Scoring!$F$32+H299*Scoring!$G$32+I299*Scoring!$H$32+K299*Scoring!$I$32+RB!L299*Scoring!$J$32+U297</x:f>
        <x:v>21.599999999999998</x:v>
      </x:c>
      <x:c r="N297" s="119" t="n">
        <x:f>C297*Scoring!$B$32+D297/Scoring!$C$32+E297*Scoring!$D$32+F297*Scoring!$E$32+G297/Scoring!$F$32+H297*Scoring!$G$32+I297*Scoring!$H$32+K297*Scoring!$I$32+RB!L297*Scoring!$J$32+U297</x:f>
        <x:v>21.599999999999998</x:v>
      </x:c>
      <x:c r="O297" s="119" t="n">
        <x:f>C298*Scoring!$B$32+D298/Scoring!$C$32+E298*Scoring!$D$32+F298*Scoring!$E$32+G298/Scoring!$F$32+H298*Scoring!$G$32+I298*Scoring!$H$32+K298*Scoring!$I$32+L298*Scoring!$J$32+U297</x:f>
        <x:v>21.599999999999998</x:v>
      </x:c>
      <x:c r="P297" s="9" t="n">
        <x:f>IF(COUNTIF(Rookies!$A:$A,A297)&gt;0,1,0)</x:f>
        <x:v>0</x:v>
      </x:c>
      <x:c r="Q297" s="9"/>
      <x:c r="R297" s="9"/>
      <x:c r="S297" s="9" t="n">
        <x:f>V297/17</x:f>
        <x:v>1.2705882352941176</x:v>
      </x:c>
      <x:c r="T297" s="9" t="n">
        <x:f>IF(P297=1,MAX(0,0.258*(14.9-S297)),0)</x:f>
        <x:v>0</x:v>
      </x:c>
      <x:c r="U297" s="9" t="n">
        <x:f>T297*17</x:f>
        <x:v>0</x:v>
      </x:c>
      <x:c r="V297" s="9" t="n">
        <x:f>C297*Scoring!$B$32+D297/Scoring!$C$32+E297*Scoring!$D$32+F297*Scoring!$E$32+G297/Scoring!$F$32+H297*Scoring!$G$32+I297*Scoring!$H$32+K297*Scoring!$I$32+RB!L297*Scoring!$J$32</x:f>
        <x:v>21.599999999999998</x:v>
      </x:c>
      <x:c r="W297" s="9"/>
      <x:c r="X297" s="9"/>
      <x:c r="Y297" s="9"/>
      <x:c r="Z297" s="9"/>
    </x:row>
    <x:row r="298" ht="14.25" customHeight="1">
      <x:c r="B298" s="1" t="s">
        <x:v>488</x:v>
      </x:c>
      <x:c r="C298" s="1">
        <x:v>33.0</x:v>
      </x:c>
      <x:c r="D298" s="1">
        <x:v>142.0</x:v>
      </x:c>
      <x:c r="E298" s="1">
        <x:v>1.0</x:v>
      </x:c>
      <x:c r="F298" s="1">
        <x:v>1.0</x:v>
      </x:c>
      <x:c r="G298" s="1">
        <x:v>9.0</x:v>
      </x:c>
      <x:c r="H298" s="1">
        <x:v>0.0</x:v>
      </x:c>
      <x:c r="I298" s="1">
        <x:v>0.0</x:v>
      </x:c>
      <x:c r="J298" s="1">
        <x:v>13.0</x:v>
      </x:c>
      <x:c r="K298" s="18">
        <x:f t="shared" si="1"/>
        <x:v>7.888888889</x:v>
      </x:c>
      <x:c r="L298" s="18">
        <x:f t="shared" si="2"/>
        <x:v>0.4256603774</x:v>
      </x:c>
      <x:c r="M298" s="119"/>
      <x:c r="N298" s="119"/>
      <x:c r="O298" s="119"/>
      <x:c r="P298" s="9"/>
      <x:c r="Q298" s="9"/>
      <x:c r="R298" s="9"/>
      <x:c r="S298" s="9"/>
      <x:c r="T298" s="9"/>
      <x:c r="U298" s="9"/>
      <x:c r="V298" s="9"/>
      <x:c r="W298" s="9"/>
      <x:c r="X298" s="9"/>
      <x:c r="Y298" s="9"/>
      <x:c r="Z298" s="9"/>
    </x:row>
    <x:row r="299" ht="14.25" customHeight="1">
      <x:c r="B299" s="1" t="s">
        <x:v>489</x:v>
      </x:c>
      <x:c r="C299" s="1">
        <x:v>33.0</x:v>
      </x:c>
      <x:c r="D299" s="1">
        <x:v>142.0</x:v>
      </x:c>
      <x:c r="E299" s="1">
        <x:v>1.0</x:v>
      </x:c>
      <x:c r="F299" s="1">
        <x:v>1.0</x:v>
      </x:c>
      <x:c r="G299" s="1">
        <x:v>9.0</x:v>
      </x:c>
      <x:c r="H299" s="1">
        <x:v>0.0</x:v>
      </x:c>
      <x:c r="I299" s="1">
        <x:v>0.0</x:v>
      </x:c>
      <x:c r="J299" s="1">
        <x:v>13.0</x:v>
      </x:c>
      <x:c r="K299" s="18">
        <x:f t="shared" si="1"/>
        <x:v>7.888888889</x:v>
      </x:c>
      <x:c r="L299" s="18">
        <x:f t="shared" si="2"/>
        <x:v>0.4256603774</x:v>
      </x:c>
      <x:c r="M299" s="119"/>
      <x:c r="N299" s="119"/>
      <x:c r="O299" s="119"/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  <x:c r="Z299" s="9"/>
    </x:row>
    <x:row r="300" ht="14.25" customHeight="1">
      <x:c r="A300" s="1" t="s">
        <x:v>702</x:v>
      </x:c>
      <x:c r="B300" s="1" t="s">
        <x:v>495</x:v>
      </x:c>
      <x:c r="C300" s="1">
        <x:v>23.6</x:v>
      </x:c>
      <x:c r="D300" s="1">
        <x:v>110.9</x:v>
      </x:c>
      <x:c r="E300" s="1">
        <x:v>0.7</x:v>
      </x:c>
      <x:c r="F300" s="1">
        <x:v>3.0</x:v>
      </x:c>
      <x:c r="G300" s="1">
        <x:v>25.7</x:v>
      </x:c>
      <x:c r="H300" s="1">
        <x:v>0.1</x:v>
      </x:c>
      <x:c r="I300" s="1">
        <x:v>0.0</x:v>
      </x:c>
      <x:c r="J300" s="1">
        <x:v>21.5</x:v>
      </x:c>
      <x:c r="K300" s="18">
        <x:f t="shared" si="1"/>
        <x:v>6.161111111</x:v>
      </x:c>
      <x:c r="L300" s="18">
        <x:f t="shared" si="2"/>
        <x:v>1.215496855</x:v>
      </x:c>
      <x:c r="M300" s="119" t="n">
        <x:f>C302*Scoring!$B$32+D302/Scoring!$C$32+E302*Scoring!$D$32+F302*Scoring!$E$32+G302/Scoring!$F$32+H302*Scoring!$G$32+I302*Scoring!$H$32+K302*Scoring!$I$32+RB!L302*Scoring!$J$32+U300</x:f>
        <x:v>70.78172</x:v>
      </x:c>
      <x:c r="N300" s="119" t="n">
        <x:f>C300*Scoring!$B$32+D300/Scoring!$C$32+E300*Scoring!$D$32+F300*Scoring!$E$32+G300/Scoring!$F$32+H300*Scoring!$G$32+I300*Scoring!$H$32+K300*Scoring!$I$32+RB!L300*Scoring!$J$32+U300</x:f>
        <x:v>80.16172</x:v>
      </x:c>
      <x:c r="O300" s="119" t="n">
        <x:f>C301*Scoring!$B$32+D301/Scoring!$C$32+E301*Scoring!$D$32+F301*Scoring!$E$32+G301/Scoring!$F$32+H301*Scoring!$G$32+I301*Scoring!$H$32+K301*Scoring!$I$32+L301*Scoring!$J$32+U300</x:f>
        <x:v>89.49172000000002</x:v>
      </x:c>
      <x:c r="P300" s="9" t="n">
        <x:f>IF(COUNTIF(Rookies!$A:$A,A300)&gt;0,1,0)</x:f>
        <x:v>1</x:v>
      </x:c>
      <x:c r="Q300" s="9"/>
      <x:c r="R300" s="9"/>
      <x:c r="S300" s="9" t="n">
        <x:f>V300/17</x:f>
        <x:v>1.1741176470588235</x:v>
      </x:c>
      <x:c r="T300" s="9" t="n">
        <x:f>IF(P300=1,MAX(0,0.258*(14.9-S300)),0)</x:f>
        <x:v>3.541277647058824</x:v>
      </x:c>
      <x:c r="U300" s="9" t="n">
        <x:f>T300*17</x:f>
        <x:v>60.20172000000001</x:v>
      </x:c>
      <x:c r="V300" s="9" t="n">
        <x:f>C300*Scoring!$B$32+D300/Scoring!$C$32+E300*Scoring!$D$32+F300*Scoring!$E$32+G300/Scoring!$F$32+H300*Scoring!$G$32+I300*Scoring!$H$32+K300*Scoring!$I$32+RB!L300*Scoring!$J$32</x:f>
        <x:v>19.96</x:v>
      </x:c>
      <x:c r="W300" s="9"/>
      <x:c r="X300" s="9"/>
      <x:c r="Y300" s="9"/>
      <x:c r="Z300" s="9"/>
    </x:row>
    <x:row r="301" ht="14.25" customHeight="1">
      <x:c r="B301" s="1" t="s">
        <x:v>488</x:v>
      </x:c>
      <x:c r="C301" s="1">
        <x:v>35.0</x:v>
      </x:c>
      <x:c r="D301" s="1">
        <x:v>171.0</x:v>
      </x:c>
      <x:c r="E301" s="1">
        <x:v>1.0</x:v>
      </x:c>
      <x:c r="F301" s="1">
        <x:v>4.1</x:v>
      </x:c>
      <x:c r="G301" s="1">
        <x:v>29.4</x:v>
      </x:c>
      <x:c r="H301" s="1">
        <x:v>0.2</x:v>
      </x:c>
      <x:c r="I301" s="1">
        <x:v>0.0</x:v>
      </x:c>
      <x:c r="J301" s="1">
        <x:v>20.0</x:v>
      </x:c>
      <x:c r="K301" s="18">
        <x:f t="shared" si="1"/>
        <x:v>9.5</x:v>
      </x:c>
      <x:c r="L301" s="18">
        <x:f t="shared" si="2"/>
        <x:v>1.390490566</x:v>
      </x:c>
      <x:c r="M301" s="119"/>
      <x:c r="N301" s="119"/>
      <x:c r="O301" s="119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  <x:c r="Z301" s="9"/>
    </x:row>
    <x:row r="302" ht="14.25" customHeight="1">
      <x:c r="B302" s="1" t="s">
        <x:v>489</x:v>
      </x:c>
      <x:c r="C302" s="1">
        <x:v>12.3</x:v>
      </x:c>
      <x:c r="D302" s="1">
        <x:v>50.8</x:v>
      </x:c>
      <x:c r="E302" s="1">
        <x:v>0.4</x:v>
      </x:c>
      <x:c r="F302" s="1">
        <x:v>2.0</x:v>
      </x:c>
      <x:c r="G302" s="1">
        <x:v>22.0</x:v>
      </x:c>
      <x:c r="H302" s="1">
        <x:v>0.0</x:v>
      </x:c>
      <x:c r="I302" s="1">
        <x:v>0.1</x:v>
      </x:c>
      <x:c r="J302" s="1">
        <x:v>14.7</x:v>
      </x:c>
      <x:c r="K302" s="18">
        <x:f t="shared" si="1"/>
        <x:v>2.822222222</x:v>
      </x:c>
      <x:c r="L302" s="18">
        <x:f t="shared" si="2"/>
        <x:v>1.040503145</x:v>
      </x:c>
      <x:c r="M302" s="119"/>
      <x:c r="N302" s="119"/>
      <x:c r="O302" s="119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  <x:c r="Z302" s="9"/>
    </x:row>
    <x:row r="303" ht="14.25" customHeight="1">
      <x:c r="A303" s="1" t="s">
        <x:v>703</x:v>
      </x:c>
      <x:c r="B303" s="1" t="s">
        <x:v>525</x:v>
      </x:c>
      <x:c r="C303" s="1">
        <x:v>21.6</x:v>
      </x:c>
      <x:c r="D303" s="1">
        <x:v>96.1</x:v>
      </x:c>
      <x:c r="E303" s="1">
        <x:v>0.7</x:v>
      </x:c>
      <x:c r="F303" s="1">
        <x:v>3.3</x:v>
      </x:c>
      <x:c r="G303" s="1">
        <x:v>25.2</x:v>
      </x:c>
      <x:c r="H303" s="1">
        <x:v>0.1</x:v>
      </x:c>
      <x:c r="I303" s="1">
        <x:v>0.0</x:v>
      </x:c>
      <x:c r="J303" s="1">
        <x:v>20.0</x:v>
      </x:c>
      <x:c r="K303" s="18">
        <x:f t="shared" si="1"/>
        <x:v>5.338888889</x:v>
      </x:c>
      <x:c r="L303" s="18">
        <x:f t="shared" si="2"/>
        <x:v>1.191849057</x:v>
      </x:c>
      <x:c r="M303" s="119" t="n">
        <x:f>C305*Scoring!$B$32+D305/Scoring!$C$32+E305*Scoring!$D$32+F305*Scoring!$E$32+G305/Scoring!$F$32+H305*Scoring!$G$32+I305*Scoring!$H$32+K305*Scoring!$I$32+RB!L305*Scoring!$J$32+U303</x:f>
        <x:v>71.88776</x:v>
      </x:c>
      <x:c r="N303" s="119" t="n">
        <x:f>C303*Scoring!$B$32+D303/Scoring!$C$32+E303*Scoring!$D$32+F303*Scoring!$E$32+G303/Scoring!$F$32+H303*Scoring!$G$32+I303*Scoring!$H$32+K303*Scoring!$I$32+RB!L303*Scoring!$J$32+U303</x:f>
        <x:v>79.13776</x:v>
      </x:c>
      <x:c r="O303" s="119" t="n">
        <x:f>C304*Scoring!$B$32+D304/Scoring!$C$32+E304*Scoring!$D$32+F304*Scoring!$E$32+G304/Scoring!$F$32+H304*Scoring!$G$32+I304*Scoring!$H$32+K304*Scoring!$I$32+L304*Scoring!$J$32+U303</x:f>
        <x:v>86.24776</x:v>
      </x:c>
      <x:c r="P303" s="9" t="n">
        <x:f>IF(COUNTIF(Rookies!$A:$A,A303)&gt;0,1,0)</x:f>
        <x:v>1</x:v>
      </x:c>
      <x:c r="Q303" s="9"/>
      <x:c r="R303" s="9"/>
      <x:c r="S303" s="9" t="n">
        <x:f>V303/17</x:f>
        <x:v>1.0929411764705883</x:v>
      </x:c>
      <x:c r="T303" s="9" t="n">
        <x:f>IF(P303=1,MAX(0,0.258*(14.9-S303)),0)</x:f>
        <x:v>3.5622211764705884</x:v>
      </x:c>
      <x:c r="U303" s="9" t="n">
        <x:f>T303*17</x:f>
        <x:v>60.55776</x:v>
      </x:c>
      <x:c r="V303" s="9" t="n">
        <x:f>C303*Scoring!$B$32+D303/Scoring!$C$32+E303*Scoring!$D$32+F303*Scoring!$E$32+G303/Scoring!$F$32+H303*Scoring!$G$32+I303*Scoring!$H$32+K303*Scoring!$I$32+RB!L303*Scoring!$J$32</x:f>
        <x:v>18.580000000000002</x:v>
      </x:c>
      <x:c r="W303" s="9"/>
      <x:c r="X303" s="9"/>
      <x:c r="Y303" s="9"/>
      <x:c r="Z303" s="9"/>
    </x:row>
    <x:row r="304" ht="14.25" customHeight="1">
      <x:c r="B304" s="1" t="s">
        <x:v>488</x:v>
      </x:c>
      <x:c r="C304" s="1">
        <x:v>29.0</x:v>
      </x:c>
      <x:c r="D304" s="1">
        <x:v>133.0</x:v>
      </x:c>
      <x:c r="E304" s="1">
        <x:v>1.0</x:v>
      </x:c>
      <x:c r="F304" s="1">
        <x:v>4.5</x:v>
      </x:c>
      <x:c r="G304" s="1">
        <x:v>29.4</x:v>
      </x:c>
      <x:c r="H304" s="1">
        <x:v>0.2</x:v>
      </x:c>
      <x:c r="I304" s="1">
        <x:v>0.0</x:v>
      </x:c>
      <x:c r="J304" s="1">
        <x:v>15.5</x:v>
      </x:c>
      <x:c r="K304" s="18">
        <x:f t="shared" si="1"/>
        <x:v>7.388888889</x:v>
      </x:c>
      <x:c r="L304" s="18">
        <x:f t="shared" si="2"/>
        <x:v>1.390490566</x:v>
      </x:c>
      <x:c r="M304" s="119"/>
      <x:c r="N304" s="119"/>
      <x:c r="O304" s="119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  <x:c r="Z304" s="9"/>
    </x:row>
    <x:row r="305" ht="14.25" customHeight="1">
      <x:c r="B305" s="1" t="s">
        <x:v>489</x:v>
      </x:c>
      <x:c r="C305" s="1">
        <x:v>14.2</x:v>
      </x:c>
      <x:c r="D305" s="1">
        <x:v>59.3</x:v>
      </x:c>
      <x:c r="E305" s="1">
        <x:v>0.4</x:v>
      </x:c>
      <x:c r="F305" s="1">
        <x:v>2.0</x:v>
      </x:c>
      <x:c r="G305" s="1">
        <x:v>21.0</x:v>
      </x:c>
      <x:c r="H305" s="1">
        <x:v>0.0</x:v>
      </x:c>
      <x:c r="I305" s="1">
        <x:v>0.1</x:v>
      </x:c>
      <x:c r="J305" s="1">
        <x:v>15.3</x:v>
      </x:c>
      <x:c r="K305" s="18">
        <x:f t="shared" si="1"/>
        <x:v>3.294444444</x:v>
      </x:c>
      <x:c r="L305" s="18">
        <x:f t="shared" si="2"/>
        <x:v>0.9932075472</x:v>
      </x:c>
      <x:c r="M305" s="119"/>
      <x:c r="N305" s="119"/>
      <x:c r="O305" s="119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</x:row>
    <x:row r="306" ht="14.25" customHeight="1">
      <x:c r="A306" s="1" t="s">
        <x:v>704</x:v>
      </x:c>
      <x:c r="B306" s="1" t="s">
        <x:v>541</x:v>
      </x:c>
      <x:c r="C306" s="1">
        <x:v>20.3</x:v>
      </x:c>
      <x:c r="D306" s="1">
        <x:v>83.7</x:v>
      </x:c>
      <x:c r="E306" s="1">
        <x:v>0.6</x:v>
      </x:c>
      <x:c r="F306" s="1">
        <x:v>4.3</x:v>
      </x:c>
      <x:c r="G306" s="1">
        <x:v>30.2</x:v>
      </x:c>
      <x:c r="H306" s="1">
        <x:v>0.2</x:v>
      </x:c>
      <x:c r="I306" s="1">
        <x:v>0.1</x:v>
      </x:c>
      <x:c r="J306" s="1">
        <x:v>19.7</x:v>
      </x:c>
      <x:c r="K306" s="18">
        <x:f t="shared" si="1"/>
        <x:v>4.65</x:v>
      </x:c>
      <x:c r="L306" s="18">
        <x:f t="shared" si="2"/>
        <x:v>1.428327044</x:v>
      </x:c>
      <x:c r="M306" s="119" t="n">
        <x:f>C308*Scoring!$B$32+D308/Scoring!$C$32+E308*Scoring!$D$32+F308*Scoring!$E$32+G308/Scoring!$F$32+H308*Scoring!$G$32+I308*Scoring!$H$32+K308*Scoring!$I$32+RB!L308*Scoring!$J$32+U306</x:f>
        <x:v>78.88548</x:v>
      </x:c>
      <x:c r="N306" s="119" t="n">
        <x:f>C306*Scoring!$B$32+D306/Scoring!$C$32+E306*Scoring!$D$32+F306*Scoring!$E$32+G306/Scoring!$F$32+H306*Scoring!$G$32+I306*Scoring!$H$32+K306*Scoring!$I$32+RB!L306*Scoring!$J$32+U306</x:f>
        <x:v>78.88548</x:v>
      </x:c>
      <x:c r="O306" s="119" t="n">
        <x:f>C307*Scoring!$B$32+D307/Scoring!$C$32+E307*Scoring!$D$32+F307*Scoring!$E$32+G307/Scoring!$F$32+H307*Scoring!$G$32+I307*Scoring!$H$32+K307*Scoring!$I$32+L307*Scoring!$J$32+U306</x:f>
        <x:v>78.88548</x:v>
      </x:c>
      <x:c r="P306" s="9" t="n">
        <x:f>IF(COUNTIF(Rookies!$A:$A,A306)&gt;0,1,0)</x:f>
        <x:v>1</x:v>
      </x:c>
      <x:c r="Q306" s="9"/>
      <x:c r="R306" s="9"/>
      <x:c r="S306" s="9" t="n">
        <x:f>V306/17</x:f>
        <x:v>1.072941176470588</x:v>
      </x:c>
      <x:c r="T306" s="9" t="n">
        <x:f>IF(P306=1,MAX(0,0.258*(14.9-S306)),0)</x:f>
        <x:v>3.5673811764705885</x:v>
      </x:c>
      <x:c r="U306" s="9" t="n">
        <x:f>T306*17</x:f>
        <x:v>60.645480000000006</x:v>
      </x:c>
      <x:c r="V306" s="9" t="n">
        <x:f>C306*Scoring!$B$32+D306/Scoring!$C$32+E306*Scoring!$D$32+F306*Scoring!$E$32+G306/Scoring!$F$32+H306*Scoring!$G$32+I306*Scoring!$H$32+K306*Scoring!$I$32+RB!L306*Scoring!$J$32</x:f>
        <x:v>18.24</x:v>
      </x:c>
      <x:c r="W306" s="9"/>
      <x:c r="X306" s="9"/>
      <x:c r="Y306" s="9"/>
      <x:c r="Z306" s="9"/>
    </x:row>
    <x:row r="307" ht="14.25" customHeight="1">
      <x:c r="B307" s="1" t="s">
        <x:v>488</x:v>
      </x:c>
      <x:c r="C307" s="1">
        <x:v>20.3</x:v>
      </x:c>
      <x:c r="D307" s="1">
        <x:v>83.7</x:v>
      </x:c>
      <x:c r="E307" s="1">
        <x:v>0.6</x:v>
      </x:c>
      <x:c r="F307" s="1">
        <x:v>4.3</x:v>
      </x:c>
      <x:c r="G307" s="1">
        <x:v>30.2</x:v>
      </x:c>
      <x:c r="H307" s="1">
        <x:v>0.2</x:v>
      </x:c>
      <x:c r="I307" s="1">
        <x:v>0.1</x:v>
      </x:c>
      <x:c r="J307" s="1">
        <x:v>19.8</x:v>
      </x:c>
      <x:c r="K307" s="18">
        <x:f t="shared" si="1"/>
        <x:v>4.65</x:v>
      </x:c>
      <x:c r="L307" s="18">
        <x:f t="shared" si="2"/>
        <x:v>1.428327044</x:v>
      </x:c>
      <x:c r="M307" s="119"/>
      <x:c r="N307" s="119"/>
      <x:c r="O307" s="119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  <x:c r="Z307" s="9"/>
    </x:row>
    <x:row r="308" ht="14.25" customHeight="1">
      <x:c r="B308" s="1" t="s">
        <x:v>489</x:v>
      </x:c>
      <x:c r="C308" s="1">
        <x:v>20.3</x:v>
      </x:c>
      <x:c r="D308" s="1">
        <x:v>83.7</x:v>
      </x:c>
      <x:c r="E308" s="1">
        <x:v>0.6</x:v>
      </x:c>
      <x:c r="F308" s="1">
        <x:v>4.3</x:v>
      </x:c>
      <x:c r="G308" s="1">
        <x:v>30.2</x:v>
      </x:c>
      <x:c r="H308" s="1">
        <x:v>0.2</x:v>
      </x:c>
      <x:c r="I308" s="1">
        <x:v>0.1</x:v>
      </x:c>
      <x:c r="J308" s="1">
        <x:v>19.8</x:v>
      </x:c>
      <x:c r="K308" s="18">
        <x:f t="shared" si="1"/>
        <x:v>4.65</x:v>
      </x:c>
      <x:c r="L308" s="18">
        <x:f t="shared" si="2"/>
        <x:v>1.428327044</x:v>
      </x:c>
      <x:c r="M308" s="119"/>
      <x:c r="N308" s="119"/>
      <x:c r="O308" s="119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  <x:c r="Z308" s="9"/>
    </x:row>
    <x:row r="309" ht="14.25" customHeight="1">
      <x:c r="A309" s="1" t="s">
        <x:v>705</x:v>
      </x:c>
      <x:c r="B309" s="1" t="s">
        <x:v>521</x:v>
      </x:c>
      <x:c r="C309" s="1">
        <x:v>23.0</x:v>
      </x:c>
      <x:c r="D309" s="1">
        <x:v>90.0</x:v>
      </x:c>
      <x:c r="E309" s="1">
        <x:v>1.0</x:v>
      </x:c>
      <x:c r="F309" s="1">
        <x:v>2.5</x:v>
      </x:c>
      <x:c r="G309" s="1">
        <x:v>17.5</x:v>
      </x:c>
      <x:c r="H309" s="1">
        <x:v>0.0</x:v>
      </x:c>
      <x:c r="I309" s="1">
        <x:v>0.0</x:v>
      </x:c>
      <x:c r="J309" s="1">
        <x:v>19.3</x:v>
      </x:c>
      <x:c r="K309" s="18">
        <x:f t="shared" si="1"/>
        <x:v>5</x:v>
      </x:c>
      <x:c r="L309" s="18">
        <x:f t="shared" si="2"/>
        <x:v>0.827672956</x:v>
      </x:c>
      <x:c r="M309" s="119" t="n">
        <x:f>C311*Scoring!$B$32+D311/Scoring!$C$32+E311*Scoring!$D$32+F311*Scoring!$E$32+G311/Scoring!$F$32+H311*Scoring!$G$32+I311*Scoring!$H$32+K311*Scoring!$I$32+RB!L311*Scoring!$J$32+U309</x:f>
        <x:v>0</x:v>
      </x:c>
      <x:c r="N309" s="119" t="n">
        <x:f>C309*Scoring!$B$32+D309/Scoring!$C$32+E309*Scoring!$D$32+F309*Scoring!$E$32+G309/Scoring!$F$32+H309*Scoring!$G$32+I309*Scoring!$H$32+K309*Scoring!$I$32+RB!L309*Scoring!$J$32+U309</x:f>
        <x:v>18</x:v>
      </x:c>
      <x:c r="O309" s="119" t="n">
        <x:f>C310*Scoring!$B$32+D310/Scoring!$C$32+E310*Scoring!$D$32+F310*Scoring!$E$32+G310/Scoring!$F$32+H310*Scoring!$G$32+I310*Scoring!$H$32+K310*Scoring!$I$32+L310*Scoring!$J$32+U309</x:f>
        <x:v>36</x:v>
      </x:c>
      <x:c r="P309" s="9" t="n">
        <x:f>IF(COUNTIF(Rookies!$A:$A,A309)&gt;0,1,0)</x:f>
        <x:v>0</x:v>
      </x:c>
      <x:c r="Q309" s="9"/>
      <x:c r="R309" s="9"/>
      <x:c r="S309" s="9" t="n">
        <x:f>V309/17</x:f>
        <x:v>1.0588235294117647</x:v>
      </x:c>
      <x:c r="T309" s="9" t="n">
        <x:f>IF(P309=1,MAX(0,0.258*(14.9-S309)),0)</x:f>
        <x:v>0</x:v>
      </x:c>
      <x:c r="U309" s="9" t="n">
        <x:f>T309*17</x:f>
        <x:v>0</x:v>
      </x:c>
      <x:c r="V309" s="9" t="n">
        <x:f>C309*Scoring!$B$32+D309/Scoring!$C$32+E309*Scoring!$D$32+F309*Scoring!$E$32+G309/Scoring!$F$32+H309*Scoring!$G$32+I309*Scoring!$H$32+K309*Scoring!$I$32+RB!L309*Scoring!$J$32</x:f>
        <x:v>18</x:v>
      </x:c>
      <x:c r="W309" s="9"/>
      <x:c r="X309" s="9"/>
      <x:c r="Y309" s="9"/>
      <x:c r="Z309" s="9"/>
    </x:row>
    <x:row r="310" ht="14.25" customHeight="1">
      <x:c r="B310" s="1" t="s">
        <x:v>488</x:v>
      </x:c>
      <x:c r="C310" s="1">
        <x:v>46.0</x:v>
      </x:c>
      <x:c r="D310" s="1">
        <x:v>180.0</x:v>
      </x:c>
      <x:c r="E310" s="1">
        <x:v>2.0</x:v>
      </x:c>
      <x:c r="F310" s="1">
        <x:v>5.0</x:v>
      </x:c>
      <x:c r="G310" s="1">
        <x:v>35.0</x:v>
      </x:c>
      <x:c r="H310" s="1">
        <x:v>0.0</x:v>
      </x:c>
      <x:c r="I310" s="1">
        <x:v>0.0</x:v>
      </x:c>
      <x:c r="J310" s="1">
        <x:v>25.5</x:v>
      </x:c>
      <x:c r="K310" s="18">
        <x:f t="shared" si="1"/>
        <x:v>10</x:v>
      </x:c>
      <x:c r="L310" s="18">
        <x:f t="shared" si="2"/>
        <x:v>1.655345912</x:v>
      </x:c>
      <x:c r="M310" s="119"/>
      <x:c r="N310" s="119"/>
      <x:c r="O310" s="119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</x:row>
    <x:row r="311" ht="14.25" customHeight="1">
      <x:c r="B311" s="1" t="s">
        <x:v>489</x:v>
      </x:c>
      <x:c r="C311" s="1">
        <x:v>0.0</x:v>
      </x:c>
      <x:c r="D311" s="1">
        <x:v>0.0</x:v>
      </x:c>
      <x:c r="E311" s="1">
        <x:v>0.0</x:v>
      </x:c>
      <x:c r="F311" s="1">
        <x:v>0.0</x:v>
      </x:c>
      <x:c r="G311" s="1">
        <x:v>0.0</x:v>
      </x:c>
      <x:c r="H311" s="1">
        <x:v>0.0</x:v>
      </x:c>
      <x:c r="I311" s="1">
        <x:v>0.0</x:v>
      </x:c>
      <x:c r="J311" s="1">
        <x:v>2.5</x:v>
      </x:c>
      <x:c r="K311" s="18">
        <x:f t="shared" si="1"/>
        <x:v>0</x:v>
      </x:c>
      <x:c r="L311" s="18">
        <x:f t="shared" si="2"/>
        <x:v>0</x:v>
      </x:c>
      <x:c r="M311" s="119"/>
      <x:c r="N311" s="119"/>
      <x:c r="O311" s="119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</x:row>
    <x:row r="312" ht="14.25" customHeight="1">
      <x:c r="A312" s="1" t="s">
        <x:v>706</x:v>
      </x:c>
      <x:c r="B312" s="1" t="s">
        <x:v>495</x:v>
      </x:c>
      <x:c r="C312" s="1">
        <x:v>17.5</x:v>
      </x:c>
      <x:c r="D312" s="1">
        <x:v>97.0</x:v>
      </x:c>
      <x:c r="E312" s="1">
        <x:v>0.5</x:v>
      </x:c>
      <x:c r="F312" s="1">
        <x:v>4.0</x:v>
      </x:c>
      <x:c r="G312" s="1">
        <x:v>23.0</x:v>
      </x:c>
      <x:c r="H312" s="1">
        <x:v>0.0</x:v>
      </x:c>
      <x:c r="I312" s="1">
        <x:v>0.0</x:v>
      </x:c>
      <x:c r="J312" s="1">
        <x:v>19.0</x:v>
      </x:c>
      <x:c r="K312" s="18">
        <x:f t="shared" si="1"/>
        <x:v>5.388888889</x:v>
      </x:c>
      <x:c r="L312" s="18">
        <x:f t="shared" si="2"/>
        <x:v>1.087798742</x:v>
      </x:c>
      <x:c r="M312" s="119" t="n">
        <x:f>C314*Scoring!$B$32+D314/Scoring!$C$32+E314*Scoring!$D$32+F314*Scoring!$E$32+G314/Scoring!$F$32+H314*Scoring!$G$32+I314*Scoring!$H$32+K314*Scoring!$I$32+RB!L314*Scoring!$J$32+U312</x:f>
        <x:v>0</x:v>
      </x:c>
      <x:c r="N312" s="119" t="n">
        <x:f>C312*Scoring!$B$32+D312/Scoring!$C$32+E312*Scoring!$D$32+F312*Scoring!$E$32+G312/Scoring!$F$32+H312*Scoring!$G$32+I312*Scoring!$H$32+K312*Scoring!$I$32+RB!L312*Scoring!$J$32+U312</x:f>
        <x:v>17</x:v>
      </x:c>
      <x:c r="O312" s="119" t="n">
        <x:f>C313*Scoring!$B$32+D313/Scoring!$C$32+E313*Scoring!$D$32+F313*Scoring!$E$32+G313/Scoring!$F$32+H313*Scoring!$G$32+I313*Scoring!$H$32+K313*Scoring!$I$32+L313*Scoring!$J$32+U312</x:f>
        <x:v>34</x:v>
      </x:c>
      <x:c r="P312" s="9" t="n">
        <x:f>IF(COUNTIF(Rookies!$A:$A,A312)&gt;0,1,0)</x:f>
        <x:v>0</x:v>
      </x:c>
      <x:c r="Q312" s="9"/>
      <x:c r="R312" s="9"/>
      <x:c r="S312" s="9" t="n">
        <x:f>V312/17</x:f>
        <x:v>1</x:v>
      </x:c>
      <x:c r="T312" s="9" t="n">
        <x:f>IF(P312=1,MAX(0,0.258*(14.9-S312)),0)</x:f>
        <x:v>0</x:v>
      </x:c>
      <x:c r="U312" s="9" t="n">
        <x:f>T312*17</x:f>
        <x:v>0</x:v>
      </x:c>
      <x:c r="V312" s="9" t="n">
        <x:f>C312*Scoring!$B$32+D312/Scoring!$C$32+E312*Scoring!$D$32+F312*Scoring!$E$32+G312/Scoring!$F$32+H312*Scoring!$G$32+I312*Scoring!$H$32+K312*Scoring!$I$32+RB!L312*Scoring!$J$32</x:f>
        <x:v>17</x:v>
      </x:c>
      <x:c r="W312" s="9"/>
      <x:c r="X312" s="9"/>
      <x:c r="Y312" s="9"/>
      <x:c r="Z312" s="9"/>
    </x:row>
    <x:row r="313" ht="14.25" customHeight="1">
      <x:c r="B313" s="1" t="s">
        <x:v>488</x:v>
      </x:c>
      <x:c r="C313" s="1">
        <x:v>35.0</x:v>
      </x:c>
      <x:c r="D313" s="1">
        <x:v>194.0</x:v>
      </x:c>
      <x:c r="E313" s="1">
        <x:v>1.0</x:v>
      </x:c>
      <x:c r="F313" s="1">
        <x:v>8.0</x:v>
      </x:c>
      <x:c r="G313" s="1">
        <x:v>46.0</x:v>
      </x:c>
      <x:c r="H313" s="1">
        <x:v>0.0</x:v>
      </x:c>
      <x:c r="I313" s="1">
        <x:v>0.0</x:v>
      </x:c>
      <x:c r="J313" s="1">
        <x:v>23.0</x:v>
      </x:c>
      <x:c r="K313" s="18">
        <x:f t="shared" si="1"/>
        <x:v>10.77777778</x:v>
      </x:c>
      <x:c r="L313" s="18">
        <x:f t="shared" si="2"/>
        <x:v>2.175597484</x:v>
      </x:c>
      <x:c r="M313" s="119"/>
      <x:c r="N313" s="119"/>
      <x:c r="O313" s="119"/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  <x:c r="Z313" s="9"/>
    </x:row>
    <x:row r="314" ht="14.25" customHeight="1">
      <x:c r="B314" s="1" t="s">
        <x:v>489</x:v>
      </x:c>
      <x:c r="C314" s="1">
        <x:v>0.0</x:v>
      </x:c>
      <x:c r="D314" s="1">
        <x:v>0.0</x:v>
      </x:c>
      <x:c r="E314" s="1">
        <x:v>0.0</x:v>
      </x:c>
      <x:c r="F314" s="1">
        <x:v>0.0</x:v>
      </x:c>
      <x:c r="G314" s="1">
        <x:v>0.0</x:v>
      </x:c>
      <x:c r="H314" s="1">
        <x:v>0.0</x:v>
      </x:c>
      <x:c r="I314" s="1">
        <x:v>0.0</x:v>
      </x:c>
      <x:c r="J314" s="1">
        <x:v>4.0</x:v>
      </x:c>
      <x:c r="K314" s="18">
        <x:f t="shared" si="1"/>
        <x:v>0</x:v>
      </x:c>
      <x:c r="L314" s="18">
        <x:f t="shared" si="2"/>
        <x:v>0</x:v>
      </x:c>
      <x:c r="M314" s="119"/>
      <x:c r="N314" s="119"/>
      <x:c r="O314" s="119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</x:row>
    <x:row r="315" ht="14.25" customHeight="1">
      <x:c r="A315" s="1" t="s">
        <x:v>707</x:v>
      </x:c>
      <x:c r="B315" s="1" t="s">
        <x:v>499</x:v>
      </x:c>
      <x:c r="C315" s="1">
        <x:v>30.3</x:v>
      </x:c>
      <x:c r="D315" s="1">
        <x:v>128.4</x:v>
      </x:c>
      <x:c r="E315" s="1">
        <x:v>0.9</x:v>
      </x:c>
      <x:c r="F315" s="1">
        <x:v>0.0</x:v>
      </x:c>
      <x:c r="G315" s="1">
        <x:v>0.0</x:v>
      </x:c>
      <x:c r="H315" s="1">
        <x:v>0.0</x:v>
      </x:c>
      <x:c r="I315" s="1">
        <x:v>0.1</x:v>
      </x:c>
      <x:c r="J315" s="1">
        <x:v>18.2</x:v>
      </x:c>
      <x:c r="K315" s="18">
        <x:f t="shared" si="1"/>
        <x:v>7.133333333</x:v>
      </x:c>
      <x:c r="L315" s="18">
        <x:f t="shared" si="2"/>
        <x:v>0</x:v>
      </x:c>
      <x:c r="M315" s="119" t="n">
        <x:f>C317*Scoring!$B$32+D317/Scoring!$C$32+E317*Scoring!$D$32+F317*Scoring!$E$32+G317/Scoring!$F$32+H317*Scoring!$G$32+I317*Scoring!$H$32+K317*Scoring!$I$32+RB!L317*Scoring!$J$32+U315</x:f>
        <x:v>18.14</x:v>
      </x:c>
      <x:c r="N315" s="119" t="n">
        <x:f>C315*Scoring!$B$32+D315/Scoring!$C$32+E315*Scoring!$D$32+F315*Scoring!$E$32+G315/Scoring!$F$32+H315*Scoring!$G$32+I315*Scoring!$H$32+K315*Scoring!$I$32+RB!L315*Scoring!$J$32+U315</x:f>
        <x:v>18.14</x:v>
      </x:c>
      <x:c r="O315" s="119" t="n">
        <x:f>C316*Scoring!$B$32+D316/Scoring!$C$32+E316*Scoring!$D$32+F316*Scoring!$E$32+G316/Scoring!$F$32+H316*Scoring!$G$32+I316*Scoring!$H$32+K316*Scoring!$I$32+L316*Scoring!$J$32+U315</x:f>
        <x:v>18.14</x:v>
      </x:c>
      <x:c r="P315" s="9" t="n">
        <x:f>IF(COUNTIF(Rookies!$A:$A,A315)&gt;0,1,0)</x:f>
        <x:v>0</x:v>
      </x:c>
      <x:c r="Q315" s="9"/>
      <x:c r="R315" s="9"/>
      <x:c r="S315" s="9" t="n">
        <x:f>V315/17</x:f>
        <x:v>1.0670588235294118</x:v>
      </x:c>
      <x:c r="T315" s="9" t="n">
        <x:f>IF(P315=1,MAX(0,0.258*(14.9-S315)),0)</x:f>
        <x:v>0</x:v>
      </x:c>
      <x:c r="U315" s="9" t="n">
        <x:f>T315*17</x:f>
        <x:v>0</x:v>
      </x:c>
      <x:c r="V315" s="9" t="n">
        <x:f>C315*Scoring!$B$32+D315/Scoring!$C$32+E315*Scoring!$D$32+F315*Scoring!$E$32+G315/Scoring!$F$32+H315*Scoring!$G$32+I315*Scoring!$H$32+K315*Scoring!$I$32+RB!L315*Scoring!$J$32</x:f>
        <x:v>18.14</x:v>
      </x:c>
      <x:c r="W315" s="9"/>
      <x:c r="X315" s="9"/>
      <x:c r="Y315" s="9"/>
      <x:c r="Z315" s="9"/>
    </x:row>
    <x:row r="316" ht="14.25" customHeight="1">
      <x:c r="B316" s="1" t="s">
        <x:v>488</x:v>
      </x:c>
      <x:c r="C316" s="1">
        <x:v>30.3</x:v>
      </x:c>
      <x:c r="D316" s="1">
        <x:v>128.4</x:v>
      </x:c>
      <x:c r="E316" s="1">
        <x:v>0.9</x:v>
      </x:c>
      <x:c r="F316" s="1">
        <x:v>0.0</x:v>
      </x:c>
      <x:c r="G316" s="1">
        <x:v>0.0</x:v>
      </x:c>
      <x:c r="H316" s="1">
        <x:v>0.0</x:v>
      </x:c>
      <x:c r="I316" s="1">
        <x:v>0.1</x:v>
      </x:c>
      <x:c r="J316" s="1">
        <x:v>18.4</x:v>
      </x:c>
      <x:c r="K316" s="18">
        <x:f t="shared" si="1"/>
        <x:v>7.133333333</x:v>
      </x:c>
      <x:c r="L316" s="18">
        <x:f t="shared" si="2"/>
        <x:v>0</x:v>
      </x:c>
      <x:c r="M316" s="119"/>
      <x:c r="N316" s="119"/>
      <x:c r="O316" s="119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</x:row>
    <x:row r="317" ht="14.25" customHeight="1">
      <x:c r="B317" s="1" t="s">
        <x:v>489</x:v>
      </x:c>
      <x:c r="C317" s="1">
        <x:v>30.3</x:v>
      </x:c>
      <x:c r="D317" s="1">
        <x:v>128.4</x:v>
      </x:c>
      <x:c r="E317" s="1">
        <x:v>0.9</x:v>
      </x:c>
      <x:c r="F317" s="1">
        <x:v>0.0</x:v>
      </x:c>
      <x:c r="G317" s="1">
        <x:v>0.0</x:v>
      </x:c>
      <x:c r="H317" s="1">
        <x:v>0.0</x:v>
      </x:c>
      <x:c r="I317" s="1">
        <x:v>0.1</x:v>
      </x:c>
      <x:c r="J317" s="1">
        <x:v>18.4</x:v>
      </x:c>
      <x:c r="K317" s="18">
        <x:f t="shared" si="1"/>
        <x:v>7.133333333</x:v>
      </x:c>
      <x:c r="L317" s="18">
        <x:f t="shared" si="2"/>
        <x:v>0</x:v>
      </x:c>
      <x:c r="M317" s="119"/>
      <x:c r="N317" s="119"/>
      <x:c r="O317" s="119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</x:row>
    <x:row r="318" ht="14.25" customHeight="1">
      <x:c r="A318" s="1" t="s">
        <x:v>708</x:v>
      </x:c>
      <x:c r="B318" s="1" t="s">
        <x:v>549</x:v>
      </x:c>
      <x:c r="C318" s="1">
        <x:v>6.6</x:v>
      </x:c>
      <x:c r="D318" s="1">
        <x:v>13.9</x:v>
      </x:c>
      <x:c r="E318" s="1">
        <x:v>0.6</x:v>
      </x:c>
      <x:c r="F318" s="1">
        <x:v>5.1</x:v>
      </x:c>
      <x:c r="G318" s="1">
        <x:v>33.3</x:v>
      </x:c>
      <x:c r="H318" s="1">
        <x:v>0.6</x:v>
      </x:c>
      <x:c r="I318" s="1">
        <x:v>0.0</x:v>
      </x:c>
      <x:c r="J318" s="1">
        <x:v>16.5</x:v>
      </x:c>
      <x:c r="K318" s="18">
        <x:f t="shared" si="1"/>
        <x:v>0.7722222222</x:v>
      </x:c>
      <x:c r="L318" s="18">
        <x:f t="shared" si="2"/>
        <x:v>1.574943396</x:v>
      </x:c>
      <x:c r="M318" s="119" t="n">
        <x:f>C320*Scoring!$B$32+D320/Scoring!$C$32+E320*Scoring!$D$32+F320*Scoring!$E$32+G320/Scoring!$F$32+H320*Scoring!$G$32+I320*Scoring!$H$32+K320*Scoring!$I$32+RB!L320*Scoring!$J$32+U318</x:f>
        <x:v>7.55</x:v>
      </x:c>
      <x:c r="N318" s="119" t="n">
        <x:f>C318*Scoring!$B$32+D318/Scoring!$C$32+E318*Scoring!$D$32+F318*Scoring!$E$32+G318/Scoring!$F$32+H318*Scoring!$G$32+I318*Scoring!$H$32+K318*Scoring!$I$32+RB!L318*Scoring!$J$32+U318</x:f>
        <x:v>14.469999999999999</x:v>
      </x:c>
      <x:c r="O318" s="119" t="n">
        <x:f>C319*Scoring!$B$32+D319/Scoring!$C$32+E319*Scoring!$D$32+F319*Scoring!$E$32+G319/Scoring!$F$32+H319*Scoring!$G$32+I319*Scoring!$H$32+K319*Scoring!$I$32+L319*Scoring!$J$32+U318</x:f>
        <x:v>20.77</x:v>
      </x:c>
      <x:c r="P318" s="9" t="n">
        <x:f>IF(COUNTIF(Rookies!$A:$A,A318)&gt;0,1,0)</x:f>
        <x:v>0</x:v>
      </x:c>
      <x:c r="Q318" s="9"/>
      <x:c r="R318" s="9"/>
      <x:c r="S318" s="9" t="n">
        <x:f>V318/17</x:f>
        <x:v>0.8511764705882352</x:v>
      </x:c>
      <x:c r="T318" s="9" t="n">
        <x:f>IF(P318=1,MAX(0,0.258*(14.9-S318)),0)</x:f>
        <x:v>0</x:v>
      </x:c>
      <x:c r="U318" s="9" t="n">
        <x:f>T318*17</x:f>
        <x:v>0</x:v>
      </x:c>
      <x:c r="V318" s="9" t="n">
        <x:f>C318*Scoring!$B$32+D318/Scoring!$C$32+E318*Scoring!$D$32+F318*Scoring!$E$32+G318/Scoring!$F$32+H318*Scoring!$G$32+I318*Scoring!$H$32+K318*Scoring!$I$32+RB!L318*Scoring!$J$32</x:f>
        <x:v>14.469999999999999</x:v>
      </x:c>
      <x:c r="W318" s="9"/>
      <x:c r="X318" s="9"/>
      <x:c r="Y318" s="9"/>
      <x:c r="Z318" s="9"/>
    </x:row>
    <x:row r="319" ht="14.25" customHeight="1">
      <x:c r="B319" s="1" t="s">
        <x:v>488</x:v>
      </x:c>
      <x:c r="C319" s="1">
        <x:v>9.0</x:v>
      </x:c>
      <x:c r="D319" s="1">
        <x:v>17.7</x:v>
      </x:c>
      <x:c r="E319" s="1">
        <x:v>1.0</x:v>
      </x:c>
      <x:c r="F319" s="1">
        <x:v>6.0</x:v>
      </x:c>
      <x:c r="G319" s="1">
        <x:v>40.0</x:v>
      </x:c>
      <x:c r="H319" s="1">
        <x:v>1.0</x:v>
      </x:c>
      <x:c r="I319" s="1">
        <x:v>0.0</x:v>
      </x:c>
      <x:c r="J319" s="1">
        <x:v>18.1</x:v>
      </x:c>
      <x:c r="K319" s="18">
        <x:f t="shared" si="1"/>
        <x:v>0.9833333333</x:v>
      </x:c>
      <x:c r="L319" s="18">
        <x:f t="shared" si="2"/>
        <x:v>1.891823899</x:v>
      </x:c>
      <x:c r="M319" s="119"/>
      <x:c r="N319" s="119"/>
      <x:c r="O319" s="119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</x:row>
    <x:row r="320" ht="14.25" customHeight="1">
      <x:c r="B320" s="1" t="s">
        <x:v>489</x:v>
      </x:c>
      <x:c r="C320" s="1">
        <x:v>4.3</x:v>
      </x:c>
      <x:c r="D320" s="1">
        <x:v>10.0</x:v>
      </x:c>
      <x:c r="E320" s="1">
        <x:v>0.1</x:v>
      </x:c>
      <x:c r="F320" s="1">
        <x:v>4.2</x:v>
      </x:c>
      <x:c r="G320" s="1">
        <x:v>26.5</x:v>
      </x:c>
      <x:c r="H320" s="1">
        <x:v>0.2</x:v>
      </x:c>
      <x:c r="I320" s="1">
        <x:v>0.0</x:v>
      </x:c>
      <x:c r="J320" s="1">
        <x:v>11.0</x:v>
      </x:c>
      <x:c r="K320" s="18">
        <x:f t="shared" si="1"/>
        <x:v>0.5555555556</x:v>
      </x:c>
      <x:c r="L320" s="18">
        <x:f t="shared" si="2"/>
        <x:v>1.253333333</x:v>
      </x:c>
      <x:c r="M320" s="119"/>
      <x:c r="N320" s="119"/>
      <x:c r="O320" s="119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</x:row>
    <x:row r="321" ht="14.25" customHeight="1">
      <x:c r="A321" s="1" t="s">
        <x:v>709</x:v>
      </x:c>
      <x:c r="B321" s="1" t="s">
        <x:v>513</x:v>
      </x:c>
      <x:c r="C321" s="1">
        <x:v>2.1</x:v>
      </x:c>
      <x:c r="D321" s="1">
        <x:v>8.6</x:v>
      </x:c>
      <x:c r="E321" s="1">
        <x:v>0.1</x:v>
      </x:c>
      <x:c r="F321" s="1">
        <x:v>7.9</x:v>
      </x:c>
      <x:c r="G321" s="1">
        <x:v>58.7</x:v>
      </x:c>
      <x:c r="H321" s="1">
        <x:v>0.2</x:v>
      </x:c>
      <x:c r="I321" s="1">
        <x:v>0.1</x:v>
      </x:c>
      <x:c r="J321" s="1">
        <x:v>16.4</x:v>
      </x:c>
      <x:c r="K321" s="18">
        <x:f t="shared" si="1"/>
        <x:v>0.4777777778</x:v>
      </x:c>
      <x:c r="L321" s="18">
        <x:f t="shared" si="2"/>
        <x:v>2.776251572</x:v>
      </x:c>
      <x:c r="M321" s="119" t="n">
        <x:f>C323*Scoring!$B$32+D323/Scoring!$C$32+E323*Scoring!$D$32+F323*Scoring!$E$32+G323/Scoring!$F$32+H323*Scoring!$G$32+I323*Scoring!$H$32+K323*Scoring!$I$32+RB!L323*Scoring!$J$32+U321</x:f>
        <x:v>12.38</x:v>
      </x:c>
      <x:c r="N321" s="119" t="n">
        <x:f>C321*Scoring!$B$32+D321/Scoring!$C$32+E321*Scoring!$D$32+F321*Scoring!$E$32+G321/Scoring!$F$32+H321*Scoring!$G$32+I321*Scoring!$H$32+K321*Scoring!$I$32+RB!L321*Scoring!$J$32+U321</x:f>
        <x:v>12.38</x:v>
      </x:c>
      <x:c r="O321" s="119" t="n">
        <x:f>C322*Scoring!$B$32+D322/Scoring!$C$32+E322*Scoring!$D$32+F322*Scoring!$E$32+G322/Scoring!$F$32+H322*Scoring!$G$32+I322*Scoring!$H$32+K322*Scoring!$I$32+L322*Scoring!$J$32+U321</x:f>
        <x:v>12.38</x:v>
      </x:c>
      <x:c r="P321" s="9" t="n">
        <x:f>IF(COUNTIF(Rookies!$A:$A,A321)&gt;0,1,0)</x:f>
        <x:v>0</x:v>
      </x:c>
      <x:c r="Q321" s="9"/>
      <x:c r="R321" s="9"/>
      <x:c r="S321" s="9" t="n">
        <x:f>V321/17</x:f>
        <x:v>0.7282352941176471</x:v>
      </x:c>
      <x:c r="T321" s="9" t="n">
        <x:f>IF(P321=1,MAX(0,0.258*(14.9-S321)),0)</x:f>
        <x:v>0</x:v>
      </x:c>
      <x:c r="U321" s="9" t="n">
        <x:f>T321*17</x:f>
        <x:v>0</x:v>
      </x:c>
      <x:c r="V321" s="9" t="n">
        <x:f>C321*Scoring!$B$32+D321/Scoring!$C$32+E321*Scoring!$D$32+F321*Scoring!$E$32+G321/Scoring!$F$32+H321*Scoring!$G$32+I321*Scoring!$H$32+K321*Scoring!$I$32+RB!L321*Scoring!$J$32</x:f>
        <x:v>12.38</x:v>
      </x:c>
      <x:c r="W321" s="9"/>
      <x:c r="X321" s="9"/>
      <x:c r="Y321" s="9"/>
      <x:c r="Z321" s="9"/>
    </x:row>
    <x:row r="322" ht="14.25" customHeight="1">
      <x:c r="B322" s="1" t="s">
        <x:v>488</x:v>
      </x:c>
      <x:c r="C322" s="1">
        <x:v>2.1</x:v>
      </x:c>
      <x:c r="D322" s="1">
        <x:v>8.6</x:v>
      </x:c>
      <x:c r="E322" s="1">
        <x:v>0.1</x:v>
      </x:c>
      <x:c r="F322" s="1">
        <x:v>7.9</x:v>
      </x:c>
      <x:c r="G322" s="1">
        <x:v>58.7</x:v>
      </x:c>
      <x:c r="H322" s="1">
        <x:v>0.2</x:v>
      </x:c>
      <x:c r="I322" s="1">
        <x:v>0.1</x:v>
      </x:c>
      <x:c r="J322" s="1">
        <x:v>16.4</x:v>
      </x:c>
      <x:c r="K322" s="18">
        <x:f t="shared" si="1"/>
        <x:v>0.4777777778</x:v>
      </x:c>
      <x:c r="L322" s="18">
        <x:f t="shared" si="2"/>
        <x:v>2.776251572</x:v>
      </x:c>
      <x:c r="M322" s="119"/>
      <x:c r="N322" s="119"/>
      <x:c r="O322" s="119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</x:row>
    <x:row r="323" ht="14.25" customHeight="1">
      <x:c r="B323" s="1" t="s">
        <x:v>489</x:v>
      </x:c>
      <x:c r="C323" s="1">
        <x:v>2.1</x:v>
      </x:c>
      <x:c r="D323" s="1">
        <x:v>8.6</x:v>
      </x:c>
      <x:c r="E323" s="1">
        <x:v>0.1</x:v>
      </x:c>
      <x:c r="F323" s="1">
        <x:v>7.9</x:v>
      </x:c>
      <x:c r="G323" s="1">
        <x:v>58.7</x:v>
      </x:c>
      <x:c r="H323" s="1">
        <x:v>0.2</x:v>
      </x:c>
      <x:c r="I323" s="1">
        <x:v>0.1</x:v>
      </x:c>
      <x:c r="J323" s="1">
        <x:v>16.4</x:v>
      </x:c>
      <x:c r="K323" s="18">
        <x:f t="shared" si="1"/>
        <x:v>0.4777777778</x:v>
      </x:c>
      <x:c r="L323" s="18">
        <x:f t="shared" si="2"/>
        <x:v>2.776251572</x:v>
      </x:c>
      <x:c r="M323" s="119"/>
      <x:c r="N323" s="119"/>
      <x:c r="O323" s="119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</x:row>
    <x:row r="324" ht="14.25" customHeight="1">
      <x:c r="A324" s="1" t="s">
        <x:v>710</x:v>
      </x:c>
      <x:c r="B324" s="1" t="s">
        <x:v>503</x:v>
      </x:c>
      <x:c r="C324" s="1">
        <x:v>16.5</x:v>
      </x:c>
      <x:c r="D324" s="1">
        <x:v>80.0</x:v>
      </x:c>
      <x:c r="E324" s="1">
        <x:v>0.5</x:v>
      </x:c>
      <x:c r="F324" s="1">
        <x:v>2.0</x:v>
      </x:c>
      <x:c r="G324" s="1">
        <x:v>18.5</x:v>
      </x:c>
      <x:c r="H324" s="1">
        <x:v>0.0</x:v>
      </x:c>
      <x:c r="I324" s="1">
        <x:v>0.0</x:v>
      </x:c>
      <x:c r="J324" s="1">
        <x:v>14.9</x:v>
      </x:c>
      <x:c r="K324" s="18">
        <x:f t="shared" si="1"/>
        <x:v>4.444444444</x:v>
      </x:c>
      <x:c r="L324" s="18">
        <x:f t="shared" si="2"/>
        <x:v>0.8749685535</x:v>
      </x:c>
      <x:c r="M324" s="119" t="n">
        <x:f>C326*Scoring!$B$32+D326/Scoring!$C$32+E326*Scoring!$D$32+F326*Scoring!$E$32+G326/Scoring!$F$32+H326*Scoring!$G$32+I326*Scoring!$H$32+K326*Scoring!$I$32+RB!L326*Scoring!$J$32+U324</x:f>
        <x:v>0</x:v>
      </x:c>
      <x:c r="N324" s="119" t="n">
        <x:f>C324*Scoring!$B$32+D324/Scoring!$C$32+E324*Scoring!$D$32+F324*Scoring!$E$32+G324/Scoring!$F$32+H324*Scoring!$G$32+I324*Scoring!$H$32+K324*Scoring!$I$32+RB!L324*Scoring!$J$32+U324</x:f>
        <x:v>13.85</x:v>
      </x:c>
      <x:c r="O324" s="119" t="n">
        <x:f>C325*Scoring!$B$32+D325/Scoring!$C$32+E325*Scoring!$D$32+F325*Scoring!$E$32+G325/Scoring!$F$32+H325*Scoring!$G$32+I325*Scoring!$H$32+K325*Scoring!$I$32+L325*Scoring!$J$32+U324</x:f>
        <x:v>27.7</x:v>
      </x:c>
      <x:c r="P324" s="9" t="n">
        <x:f>IF(COUNTIF(Rookies!$A:$A,A324)&gt;0,1,0)</x:f>
        <x:v>0</x:v>
      </x:c>
      <x:c r="Q324" s="9"/>
      <x:c r="R324" s="9"/>
      <x:c r="S324" s="9" t="n">
        <x:f>V324/17</x:f>
        <x:v>0.8147058823529412</x:v>
      </x:c>
      <x:c r="T324" s="9" t="n">
        <x:f>IF(P324=1,MAX(0,0.258*(14.9-S324)),0)</x:f>
        <x:v>0</x:v>
      </x:c>
      <x:c r="U324" s="9" t="n">
        <x:f>T324*17</x:f>
        <x:v>0</x:v>
      </x:c>
      <x:c r="V324" s="9" t="n">
        <x:f>C324*Scoring!$B$32+D324/Scoring!$C$32+E324*Scoring!$D$32+F324*Scoring!$E$32+G324/Scoring!$F$32+H324*Scoring!$G$32+I324*Scoring!$H$32+K324*Scoring!$I$32+RB!L324*Scoring!$J$32</x:f>
        <x:v>13.85</x:v>
      </x:c>
      <x:c r="W324" s="9"/>
      <x:c r="X324" s="9"/>
      <x:c r="Y324" s="9"/>
      <x:c r="Z324" s="9"/>
    </x:row>
    <x:row r="325" ht="14.25" customHeight="1">
      <x:c r="B325" s="1" t="s">
        <x:v>488</x:v>
      </x:c>
      <x:c r="C325" s="1">
        <x:v>33.0</x:v>
      </x:c>
      <x:c r="D325" s="1">
        <x:v>160.0</x:v>
      </x:c>
      <x:c r="E325" s="1">
        <x:v>1.0</x:v>
      </x:c>
      <x:c r="F325" s="1">
        <x:v>4.0</x:v>
      </x:c>
      <x:c r="G325" s="1">
        <x:v>37.0</x:v>
      </x:c>
      <x:c r="H325" s="1">
        <x:v>0.0</x:v>
      </x:c>
      <x:c r="I325" s="1">
        <x:v>0.0</x:v>
      </x:c>
      <x:c r="J325" s="1">
        <x:v>16.0</x:v>
      </x:c>
      <x:c r="K325" s="18">
        <x:f t="shared" si="1"/>
        <x:v>8.888888889</x:v>
      </x:c>
      <x:c r="L325" s="18">
        <x:f t="shared" si="2"/>
        <x:v>1.749937107</x:v>
      </x:c>
      <x:c r="M325" s="119"/>
      <x:c r="N325" s="119"/>
      <x:c r="O325" s="119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</x:row>
    <x:row r="326" ht="14.25" customHeight="1">
      <x:c r="B326" s="1" t="s">
        <x:v>489</x:v>
      </x:c>
      <x:c r="C326" s="1">
        <x:v>0.0</x:v>
      </x:c>
      <x:c r="D326" s="1">
        <x:v>0.0</x:v>
      </x:c>
      <x:c r="E326" s="1">
        <x:v>0.0</x:v>
      </x:c>
      <x:c r="F326" s="1">
        <x:v>0.0</x:v>
      </x:c>
      <x:c r="G326" s="1">
        <x:v>0.0</x:v>
      </x:c>
      <x:c r="H326" s="1">
        <x:v>0.0</x:v>
      </x:c>
      <x:c r="I326" s="1">
        <x:v>0.0</x:v>
      </x:c>
      <x:c r="J326" s="1">
        <x:v>3.1</x:v>
      </x:c>
      <x:c r="K326" s="18">
        <x:f t="shared" si="1"/>
        <x:v>0</x:v>
      </x:c>
      <x:c r="L326" s="18">
        <x:f t="shared" si="2"/>
        <x:v>0</x:v>
      </x:c>
      <x:c r="M326" s="119"/>
      <x:c r="N326" s="119"/>
      <x:c r="O326" s="119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</x:row>
    <x:row r="327" ht="14.25" customHeight="1">
      <x:c r="A327" s="1" t="s">
        <x:v>711</x:v>
      </x:c>
      <x:c r="B327" s="1" t="s">
        <x:v>539</x:v>
      </x:c>
      <x:c r="C327" s="1">
        <x:v>0.5</x:v>
      </x:c>
      <x:c r="D327" s="1">
        <x:v>4.0</x:v>
      </x:c>
      <x:c r="E327" s="1">
        <x:v>0.0</x:v>
      </x:c>
      <x:c r="F327" s="1">
        <x:v>4.6</x:v>
      </x:c>
      <x:c r="G327" s="1">
        <x:v>31.8</x:v>
      </x:c>
      <x:c r="H327" s="1">
        <x:v>1.1</x:v>
      </x:c>
      <x:c r="I327" s="1">
        <x:v>0.0</x:v>
      </x:c>
      <x:c r="J327" s="1">
        <x:v>14.8</x:v>
      </x:c>
      <x:c r="K327" s="18">
        <x:f t="shared" si="1"/>
        <x:v>0.2222222222</x:v>
      </x:c>
      <x:c r="L327" s="18">
        <x:f t="shared" si="2"/>
        <x:v>1.504</x:v>
      </x:c>
      <x:c r="M327" s="119" t="n">
        <x:f>C329*Scoring!$B$32+D329/Scoring!$C$32+E329*Scoring!$D$32+F329*Scoring!$E$32+G329/Scoring!$F$32+H329*Scoring!$G$32+I329*Scoring!$H$32+K329*Scoring!$I$32+RB!L329*Scoring!$J$32+U327</x:f>
        <x:v>6.160000000000001</x:v>
      </x:c>
      <x:c r="N327" s="119" t="n">
        <x:f>C327*Scoring!$B$32+D327/Scoring!$C$32+E327*Scoring!$D$32+F327*Scoring!$E$32+G327/Scoring!$F$32+H327*Scoring!$G$32+I327*Scoring!$H$32+K327*Scoring!$I$32+RB!L327*Scoring!$J$32+U327</x:f>
        <x:v>12.48</x:v>
      </x:c>
      <x:c r="O327" s="119" t="n">
        <x:f>C328*Scoring!$B$32+D328/Scoring!$C$32+E328*Scoring!$D$32+F328*Scoring!$E$32+G328/Scoring!$F$32+H328*Scoring!$G$32+I328*Scoring!$H$32+K328*Scoring!$I$32+L328*Scoring!$J$32+U327</x:f>
        <x:v>18.8</x:v>
      </x:c>
      <x:c r="P327" s="9" t="n">
        <x:f>IF(COUNTIF(Rookies!$A:$A,A327)&gt;0,1,0)</x:f>
        <x:v>0</x:v>
      </x:c>
      <x:c r="Q327" s="9"/>
      <x:c r="R327" s="9"/>
      <x:c r="S327" s="9" t="n">
        <x:f>V327/17</x:f>
        <x:v>0.7341176470588235</x:v>
      </x:c>
      <x:c r="T327" s="9" t="n">
        <x:f>IF(P327=1,MAX(0,0.258*(14.9-S327)),0)</x:f>
        <x:v>0</x:v>
      </x:c>
      <x:c r="U327" s="9" t="n">
        <x:f>T327*17</x:f>
        <x:v>0</x:v>
      </x:c>
      <x:c r="V327" s="9" t="n">
        <x:f>C327*Scoring!$B$32+D327/Scoring!$C$32+E327*Scoring!$D$32+F327*Scoring!$E$32+G327/Scoring!$F$32+H327*Scoring!$G$32+I327*Scoring!$H$32+K327*Scoring!$I$32+RB!L327*Scoring!$J$32</x:f>
        <x:v>12.48</x:v>
      </x:c>
      <x:c r="W327" s="9"/>
      <x:c r="X327" s="9"/>
      <x:c r="Y327" s="9"/>
      <x:c r="Z327" s="9"/>
    </x:row>
    <x:row r="328" ht="14.25" customHeight="1">
      <x:c r="B328" s="1" t="s">
        <x:v>488</x:v>
      </x:c>
      <x:c r="C328" s="1">
        <x:v>1.0</x:v>
      </x:c>
      <x:c r="D328" s="1">
        <x:v>8.0</x:v>
      </x:c>
      <x:c r="E328" s="1">
        <x:v>0.0</x:v>
      </x:c>
      <x:c r="F328" s="1">
        <x:v>5.0</x:v>
      </x:c>
      <x:c r="G328" s="1">
        <x:v>35.0</x:v>
      </x:c>
      <x:c r="H328" s="1">
        <x:v>2.0</x:v>
      </x:c>
      <x:c r="I328" s="1">
        <x:v>0.0</x:v>
      </x:c>
      <x:c r="J328" s="1">
        <x:v>17.6</x:v>
      </x:c>
      <x:c r="K328" s="18">
        <x:f t="shared" si="1"/>
        <x:v>0.4444444444</x:v>
      </x:c>
      <x:c r="L328" s="18">
        <x:f t="shared" si="2"/>
        <x:v>1.655345912</x:v>
      </x:c>
      <x:c r="M328" s="119"/>
      <x:c r="N328" s="119"/>
      <x:c r="O328" s="119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</x:row>
    <x:row r="329" ht="14.25" customHeight="1">
      <x:c r="B329" s="1" t="s">
        <x:v>489</x:v>
      </x:c>
      <x:c r="C329" s="1">
        <x:v>0.0</x:v>
      </x:c>
      <x:c r="D329" s="1">
        <x:v>0.0</x:v>
      </x:c>
      <x:c r="E329" s="1">
        <x:v>0.0</x:v>
      </x:c>
      <x:c r="F329" s="1">
        <x:v>4.2</x:v>
      </x:c>
      <x:c r="G329" s="1">
        <x:v>28.6</x:v>
      </x:c>
      <x:c r="H329" s="1">
        <x:v>0.2</x:v>
      </x:c>
      <x:c r="I329" s="1">
        <x:v>0.0</x:v>
      </x:c>
      <x:c r="J329" s="1">
        <x:v>8.8</x:v>
      </x:c>
      <x:c r="K329" s="18">
        <x:f t="shared" si="1"/>
        <x:v>0</x:v>
      </x:c>
      <x:c r="L329" s="18">
        <x:f t="shared" si="2"/>
        <x:v>1.352654088</x:v>
      </x:c>
      <x:c r="M329" s="119"/>
      <x:c r="N329" s="119"/>
      <x:c r="O329" s="119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</x:row>
    <x:row r="330" ht="14.25" customHeight="1">
      <x:c r="A330" s="1" t="s">
        <x:v>712</x:v>
      </x:c>
      <x:c r="B330" s="1" t="s">
        <x:v>537</x:v>
      </x:c>
      <x:c r="C330" s="1">
        <x:v>12.3</x:v>
      </x:c>
      <x:c r="D330" s="1">
        <x:v>52.4</x:v>
      </x:c>
      <x:c r="E330" s="1">
        <x:v>0.3</x:v>
      </x:c>
      <x:c r="F330" s="1">
        <x:v>4.1</x:v>
      </x:c>
      <x:c r="G330" s="1">
        <x:v>29.3</x:v>
      </x:c>
      <x:c r="H330" s="1">
        <x:v>0.1</x:v>
      </x:c>
      <x:c r="I330" s="1">
        <x:v>0.1</x:v>
      </x:c>
      <x:c r="J330" s="1">
        <x:v>14.8</x:v>
      </x:c>
      <x:c r="K330" s="18">
        <x:f t="shared" si="1"/>
        <x:v>2.911111111</x:v>
      </x:c>
      <x:c r="L330" s="18">
        <x:f t="shared" si="2"/>
        <x:v>1.385761006</x:v>
      </x:c>
      <x:c r="M330" s="119" t="n">
        <x:f>C332*Scoring!$B$32+D332/Scoring!$C$32+E332*Scoring!$D$32+F332*Scoring!$E$32+G332/Scoring!$F$32+H332*Scoring!$G$32+I332*Scoring!$H$32+K332*Scoring!$I$32+RB!L332*Scoring!$J$32+U330</x:f>
        <x:v>12.52</x:v>
      </x:c>
      <x:c r="N330" s="119" t="n">
        <x:f>C330*Scoring!$B$32+D330/Scoring!$C$32+E330*Scoring!$D$32+F330*Scoring!$E$32+G330/Scoring!$F$32+H330*Scoring!$G$32+I330*Scoring!$H$32+K330*Scoring!$I$32+RB!L330*Scoring!$J$32+U330</x:f>
        <x:v>12.52</x:v>
      </x:c>
      <x:c r="O330" s="119" t="n">
        <x:f>C331*Scoring!$B$32+D331/Scoring!$C$32+E331*Scoring!$D$32+F331*Scoring!$E$32+G331/Scoring!$F$32+H331*Scoring!$G$32+I331*Scoring!$H$32+K331*Scoring!$I$32+L331*Scoring!$J$32+U330</x:f>
        <x:v>12.52</x:v>
      </x:c>
      <x:c r="P330" s="9" t="n">
        <x:f>IF(COUNTIF(Rookies!$A:$A,A330)&gt;0,1,0)</x:f>
        <x:v>0</x:v>
      </x:c>
      <x:c r="Q330" s="9"/>
      <x:c r="R330" s="9"/>
      <x:c r="S330" s="9" t="n">
        <x:f>V330/17</x:f>
        <x:v>0.7364705882352941</x:v>
      </x:c>
      <x:c r="T330" s="9" t="n">
        <x:f>IF(P330=1,MAX(0,0.258*(14.9-S330)),0)</x:f>
        <x:v>0</x:v>
      </x:c>
      <x:c r="U330" s="9" t="n">
        <x:f>T330*17</x:f>
        <x:v>0</x:v>
      </x:c>
      <x:c r="V330" s="9" t="n">
        <x:f>C330*Scoring!$B$32+D330/Scoring!$C$32+E330*Scoring!$D$32+F330*Scoring!$E$32+G330/Scoring!$F$32+H330*Scoring!$G$32+I330*Scoring!$H$32+K330*Scoring!$I$32+RB!L330*Scoring!$J$32</x:f>
        <x:v>12.52</x:v>
      </x:c>
      <x:c r="W330" s="9"/>
      <x:c r="X330" s="9"/>
      <x:c r="Y330" s="9"/>
      <x:c r="Z330" s="9"/>
    </x:row>
    <x:row r="331" ht="14.25" customHeight="1">
      <x:c r="B331" s="1" t="s">
        <x:v>488</x:v>
      </x:c>
      <x:c r="C331" s="1">
        <x:v>12.3</x:v>
      </x:c>
      <x:c r="D331" s="1">
        <x:v>52.4</x:v>
      </x:c>
      <x:c r="E331" s="1">
        <x:v>0.3</x:v>
      </x:c>
      <x:c r="F331" s="1">
        <x:v>4.1</x:v>
      </x:c>
      <x:c r="G331" s="1">
        <x:v>29.3</x:v>
      </x:c>
      <x:c r="H331" s="1">
        <x:v>0.1</x:v>
      </x:c>
      <x:c r="I331" s="1">
        <x:v>0.1</x:v>
      </x:c>
      <x:c r="J331" s="1">
        <x:v>16.7</x:v>
      </x:c>
      <x:c r="K331" s="18">
        <x:f t="shared" si="1"/>
        <x:v>2.911111111</x:v>
      </x:c>
      <x:c r="L331" s="18">
        <x:f t="shared" si="2"/>
        <x:v>1.385761006</x:v>
      </x:c>
      <x:c r="M331" s="119"/>
      <x:c r="N331" s="119"/>
      <x:c r="O331" s="119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  <x:c r="Z331" s="9"/>
    </x:row>
    <x:row r="332" ht="14.25" customHeight="1">
      <x:c r="B332" s="1" t="s">
        <x:v>489</x:v>
      </x:c>
      <x:c r="C332" s="1">
        <x:v>12.3</x:v>
      </x:c>
      <x:c r="D332" s="1">
        <x:v>52.4</x:v>
      </x:c>
      <x:c r="E332" s="1">
        <x:v>0.3</x:v>
      </x:c>
      <x:c r="F332" s="1">
        <x:v>4.1</x:v>
      </x:c>
      <x:c r="G332" s="1">
        <x:v>29.3</x:v>
      </x:c>
      <x:c r="H332" s="1">
        <x:v>0.1</x:v>
      </x:c>
      <x:c r="I332" s="1">
        <x:v>0.1</x:v>
      </x:c>
      <x:c r="J332" s="1">
        <x:v>16.7</x:v>
      </x:c>
      <x:c r="K332" s="18">
        <x:f t="shared" si="1"/>
        <x:v>2.911111111</x:v>
      </x:c>
      <x:c r="L332" s="18">
        <x:f t="shared" si="2"/>
        <x:v>1.385761006</x:v>
      </x:c>
      <x:c r="M332" s="119"/>
      <x:c r="N332" s="119"/>
      <x:c r="O332" s="119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</x:row>
    <x:row r="333" ht="14.25" customHeight="1">
      <x:c r="A333" s="1" t="s">
        <x:v>713</x:v>
      </x:c>
      <x:c r="B333" s="1" t="s">
        <x:v>515</x:v>
      </x:c>
      <x:c r="C333" s="1">
        <x:v>4.1</x:v>
      </x:c>
      <x:c r="D333" s="1">
        <x:v>17.4</x:v>
      </x:c>
      <x:c r="E333" s="1">
        <x:v>0.1</x:v>
      </x:c>
      <x:c r="F333" s="1">
        <x:v>4.1</x:v>
      </x:c>
      <x:c r="G333" s="1">
        <x:v>29.9</x:v>
      </x:c>
      <x:c r="H333" s="1">
        <x:v>0.2</x:v>
      </x:c>
      <x:c r="I333" s="1">
        <x:v>0.0</x:v>
      </x:c>
      <x:c r="J333" s="1">
        <x:v>10.5</x:v>
      </x:c>
      <x:c r="K333" s="18">
        <x:f t="shared" si="1"/>
        <x:v>0.9666666667</x:v>
      </x:c>
      <x:c r="L333" s="18">
        <x:f t="shared" si="2"/>
        <x:v>1.414138365</x:v>
      </x:c>
      <x:c r="M333" s="119" t="n">
        <x:f>C335*Scoring!$B$32+D335/Scoring!$C$32+E335*Scoring!$D$32+F335*Scoring!$E$32+G335/Scoring!$F$32+H335*Scoring!$G$32+I335*Scoring!$H$32+K335*Scoring!$I$32+RB!L335*Scoring!$J$32+U333</x:f>
        <x:v>8.579999999999998</x:v>
      </x:c>
      <x:c r="N333" s="119" t="n">
        <x:f>C333*Scoring!$B$32+D333/Scoring!$C$32+E333*Scoring!$D$32+F333*Scoring!$E$32+G333/Scoring!$F$32+H333*Scoring!$G$32+I333*Scoring!$H$32+K333*Scoring!$I$32+RB!L333*Scoring!$J$32+U333</x:f>
        <x:v>8.579999999999998</x:v>
      </x:c>
      <x:c r="O333" s="119" t="n">
        <x:f>C334*Scoring!$B$32+D334/Scoring!$C$32+E334*Scoring!$D$32+F334*Scoring!$E$32+G334/Scoring!$F$32+H334*Scoring!$G$32+I334*Scoring!$H$32+K334*Scoring!$I$32+L334*Scoring!$J$32+U333</x:f>
        <x:v>8.579999999999998</x:v>
      </x:c>
      <x:c r="P333" s="9" t="n">
        <x:f>IF(COUNTIF(Rookies!$A:$A,A333)&gt;0,1,0)</x:f>
        <x:v>0</x:v>
      </x:c>
      <x:c r="Q333" s="9"/>
      <x:c r="R333" s="9"/>
      <x:c r="S333" s="9" t="n">
        <x:f>V333/17</x:f>
        <x:v>0.5047058823529411</x:v>
      </x:c>
      <x:c r="T333" s="9" t="n">
        <x:f>IF(P333=1,MAX(0,0.258*(14.9-S333)),0)</x:f>
        <x:v>0</x:v>
      </x:c>
      <x:c r="U333" s="9" t="n">
        <x:f>T333*17</x:f>
        <x:v>0</x:v>
      </x:c>
      <x:c r="V333" s="9" t="n">
        <x:f>C333*Scoring!$B$32+D333/Scoring!$C$32+E333*Scoring!$D$32+F333*Scoring!$E$32+G333/Scoring!$F$32+H333*Scoring!$G$32+I333*Scoring!$H$32+K333*Scoring!$I$32+RB!L333*Scoring!$J$32</x:f>
        <x:v>8.579999999999998</x:v>
      </x:c>
      <x:c r="W333" s="9"/>
      <x:c r="X333" s="9"/>
      <x:c r="Y333" s="9"/>
      <x:c r="Z333" s="9"/>
    </x:row>
    <x:row r="334" ht="14.25" customHeight="1">
      <x:c r="B334" s="1" t="s">
        <x:v>488</x:v>
      </x:c>
      <x:c r="C334" s="1">
        <x:v>4.1</x:v>
      </x:c>
      <x:c r="D334" s="1">
        <x:v>17.4</x:v>
      </x:c>
      <x:c r="E334" s="1">
        <x:v>0.1</x:v>
      </x:c>
      <x:c r="F334" s="1">
        <x:v>4.1</x:v>
      </x:c>
      <x:c r="G334" s="1">
        <x:v>29.9</x:v>
      </x:c>
      <x:c r="H334" s="1">
        <x:v>0.2</x:v>
      </x:c>
      <x:c r="I334" s="1">
        <x:v>0.0</x:v>
      </x:c>
      <x:c r="J334" s="1">
        <x:v>10.5</x:v>
      </x:c>
      <x:c r="K334" s="18">
        <x:f t="shared" si="1"/>
        <x:v>0.9666666667</x:v>
      </x:c>
      <x:c r="L334" s="18">
        <x:f t="shared" si="2"/>
        <x:v>1.414138365</x:v>
      </x:c>
      <x:c r="M334" s="119"/>
      <x:c r="N334" s="119"/>
      <x:c r="O334" s="119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</x:row>
    <x:row r="335" ht="14.25" customHeight="1">
      <x:c r="B335" s="1" t="s">
        <x:v>489</x:v>
      </x:c>
      <x:c r="C335" s="1">
        <x:v>4.1</x:v>
      </x:c>
      <x:c r="D335" s="1">
        <x:v>17.4</x:v>
      </x:c>
      <x:c r="E335" s="1">
        <x:v>0.1</x:v>
      </x:c>
      <x:c r="F335" s="1">
        <x:v>4.1</x:v>
      </x:c>
      <x:c r="G335" s="1">
        <x:v>29.9</x:v>
      </x:c>
      <x:c r="H335" s="1">
        <x:v>0.2</x:v>
      </x:c>
      <x:c r="I335" s="1">
        <x:v>0.0</x:v>
      </x:c>
      <x:c r="J335" s="1">
        <x:v>10.5</x:v>
      </x:c>
      <x:c r="K335" s="18">
        <x:f t="shared" si="1"/>
        <x:v>0.9666666667</x:v>
      </x:c>
      <x:c r="L335" s="18">
        <x:f t="shared" si="2"/>
        <x:v>1.414138365</x:v>
      </x:c>
      <x:c r="M335" s="119"/>
      <x:c r="N335" s="119"/>
      <x:c r="O335" s="119"/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  <x:c r="Z335" s="9"/>
    </x:row>
    <x:row r="336" ht="14.25" customHeight="1">
      <x:c r="A336" s="1" t="s">
        <x:v>714</x:v>
      </x:c>
      <x:c r="B336" s="1" t="s">
        <x:v>547</x:v>
      </x:c>
      <x:c r="C336" s="1">
        <x:v>4.2</x:v>
      </x:c>
      <x:c r="D336" s="1">
        <x:v>17.4</x:v>
      </x:c>
      <x:c r="E336" s="1">
        <x:v>0.1</x:v>
      </x:c>
      <x:c r="F336" s="1">
        <x:v>4.0</x:v>
      </x:c>
      <x:c r="G336" s="1">
        <x:v>29.0</x:v>
      </x:c>
      <x:c r="H336" s="1">
        <x:v>0.2</x:v>
      </x:c>
      <x:c r="I336" s="1">
        <x:v>0.0</x:v>
      </x:c>
      <x:c r="J336" s="1">
        <x:v>10.2</x:v>
      </x:c>
      <x:c r="K336" s="18">
        <x:f t="shared" si="1"/>
        <x:v>0.9666666667</x:v>
      </x:c>
      <x:c r="L336" s="18">
        <x:f t="shared" si="2"/>
        <x:v>1.371572327</x:v>
      </x:c>
      <x:c r="M336" s="119" t="n">
        <x:f>C338*Scoring!$B$32+D338/Scoring!$C$32+E338*Scoring!$D$32+F338*Scoring!$E$32+G338/Scoring!$F$32+H338*Scoring!$G$32+I338*Scoring!$H$32+K338*Scoring!$I$32+RB!L338*Scoring!$J$32+U336</x:f>
        <x:v>8.440000000000001</x:v>
      </x:c>
      <x:c r="N336" s="119" t="n">
        <x:f>C336*Scoring!$B$32+D336/Scoring!$C$32+E336*Scoring!$D$32+F336*Scoring!$E$32+G336/Scoring!$F$32+H336*Scoring!$G$32+I336*Scoring!$H$32+K336*Scoring!$I$32+RB!L336*Scoring!$J$32+U336</x:f>
        <x:v>8.440000000000001</x:v>
      </x:c>
      <x:c r="O336" s="119" t="n">
        <x:f>C337*Scoring!$B$32+D337/Scoring!$C$32+E337*Scoring!$D$32+F337*Scoring!$E$32+G337/Scoring!$F$32+H337*Scoring!$G$32+I337*Scoring!$H$32+K337*Scoring!$I$32+L337*Scoring!$J$32+U336</x:f>
        <x:v>8.440000000000001</x:v>
      </x:c>
      <x:c r="P336" s="9" t="n">
        <x:f>IF(COUNTIF(Rookies!$A:$A,A336)&gt;0,1,0)</x:f>
        <x:v>0</x:v>
      </x:c>
      <x:c r="Q336" s="9"/>
      <x:c r="R336" s="9"/>
      <x:c r="S336" s="9" t="n">
        <x:f>V336/17</x:f>
        <x:v>0.4964705882352942</x:v>
      </x:c>
      <x:c r="T336" s="9" t="n">
        <x:f>IF(P336=1,MAX(0,0.258*(14.9-S336)),0)</x:f>
        <x:v>0</x:v>
      </x:c>
      <x:c r="U336" s="9" t="n">
        <x:f>T336*17</x:f>
        <x:v>0</x:v>
      </x:c>
      <x:c r="V336" s="9" t="n">
        <x:f>C336*Scoring!$B$32+D336/Scoring!$C$32+E336*Scoring!$D$32+F336*Scoring!$E$32+G336/Scoring!$F$32+H336*Scoring!$G$32+I336*Scoring!$H$32+K336*Scoring!$I$32+RB!L336*Scoring!$J$32</x:f>
        <x:v>8.440000000000001</x:v>
      </x:c>
      <x:c r="W336" s="9"/>
      <x:c r="X336" s="9"/>
      <x:c r="Y336" s="9"/>
      <x:c r="Z336" s="9"/>
    </x:row>
    <x:row r="337" ht="14.25" customHeight="1">
      <x:c r="B337" s="1" t="s">
        <x:v>488</x:v>
      </x:c>
      <x:c r="C337" s="1">
        <x:v>4.2</x:v>
      </x:c>
      <x:c r="D337" s="1">
        <x:v>17.4</x:v>
      </x:c>
      <x:c r="E337" s="1">
        <x:v>0.1</x:v>
      </x:c>
      <x:c r="F337" s="1">
        <x:v>4.0</x:v>
      </x:c>
      <x:c r="G337" s="1">
        <x:v>29.0</x:v>
      </x:c>
      <x:c r="H337" s="1">
        <x:v>0.2</x:v>
      </x:c>
      <x:c r="I337" s="1">
        <x:v>0.0</x:v>
      </x:c>
      <x:c r="J337" s="1">
        <x:v>10.3</x:v>
      </x:c>
      <x:c r="K337" s="18">
        <x:f t="shared" si="1"/>
        <x:v>0.9666666667</x:v>
      </x:c>
      <x:c r="L337" s="18">
        <x:f t="shared" si="2"/>
        <x:v>1.371572327</x:v>
      </x:c>
      <x:c r="M337" s="119"/>
      <x:c r="N337" s="119"/>
      <x:c r="O337" s="119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</x:row>
    <x:row r="338" ht="14.25" customHeight="1">
      <x:c r="B338" s="1" t="s">
        <x:v>489</x:v>
      </x:c>
      <x:c r="C338" s="1">
        <x:v>4.2</x:v>
      </x:c>
      <x:c r="D338" s="1">
        <x:v>17.4</x:v>
      </x:c>
      <x:c r="E338" s="1">
        <x:v>0.1</x:v>
      </x:c>
      <x:c r="F338" s="1">
        <x:v>4.0</x:v>
      </x:c>
      <x:c r="G338" s="1">
        <x:v>29.0</x:v>
      </x:c>
      <x:c r="H338" s="1">
        <x:v>0.2</x:v>
      </x:c>
      <x:c r="I338" s="1">
        <x:v>0.0</x:v>
      </x:c>
      <x:c r="J338" s="1">
        <x:v>10.3</x:v>
      </x:c>
      <x:c r="K338" s="18">
        <x:f t="shared" si="1"/>
        <x:v>0.9666666667</x:v>
      </x:c>
      <x:c r="L338" s="18">
        <x:f t="shared" si="2"/>
        <x:v>1.371572327</x:v>
      </x:c>
      <x:c r="M338" s="119"/>
      <x:c r="N338" s="119"/>
      <x:c r="O338" s="119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</x:row>
    <x:row r="339" ht="14.25" customHeight="1">
      <x:c r="A339" s="1" t="s">
        <x:v>715</x:v>
      </x:c>
      <x:c r="B339" s="1" t="s">
        <x:v>525</x:v>
      </x:c>
      <x:c r="C339" s="1">
        <x:v>2.0</x:v>
      </x:c>
      <x:c r="D339" s="1">
        <x:v>8.5</x:v>
      </x:c>
      <x:c r="E339" s="1">
        <x:v>0.1</x:v>
      </x:c>
      <x:c r="F339" s="1">
        <x:v>4.5</x:v>
      </x:c>
      <x:c r="G339" s="1">
        <x:v>29.4</x:v>
      </x:c>
      <x:c r="H339" s="1">
        <x:v>0.2</x:v>
      </x:c>
      <x:c r="I339" s="1">
        <x:v>0.0</x:v>
      </x:c>
      <x:c r="J339" s="1">
        <x:v>9.6</x:v>
      </x:c>
      <x:c r="K339" s="18">
        <x:f t="shared" si="1"/>
        <x:v>0.4722222222</x:v>
      </x:c>
      <x:c r="L339" s="18">
        <x:f t="shared" si="2"/>
        <x:v>1.390490566</x:v>
      </x:c>
      <x:c r="M339" s="119" t="n">
        <x:f>C341*Scoring!$B$32+D341/Scoring!$C$32+E341*Scoring!$D$32+F341*Scoring!$E$32+G341/Scoring!$F$32+H341*Scoring!$G$32+I341*Scoring!$H$32+K341*Scoring!$I$32+RB!L341*Scoring!$J$32+U339</x:f>
        <x:v>71.16868000000001</x:v>
      </x:c>
      <x:c r="N339" s="119" t="n">
        <x:f>C339*Scoring!$B$32+D339/Scoring!$C$32+E339*Scoring!$D$32+F339*Scoring!$E$32+G339/Scoring!$F$32+H339*Scoring!$G$32+I339*Scoring!$H$32+K339*Scoring!$I$32+RB!L339*Scoring!$J$32+U339</x:f>
        <x:v>71.16868000000001</x:v>
      </x:c>
      <x:c r="O339" s="119" t="n">
        <x:f>C340*Scoring!$B$32+D340/Scoring!$C$32+E340*Scoring!$D$32+F340*Scoring!$E$32+G340/Scoring!$F$32+H340*Scoring!$G$32+I340*Scoring!$H$32+K340*Scoring!$I$32+L340*Scoring!$J$32+U339</x:f>
        <x:v>71.16868000000001</x:v>
      </x:c>
      <x:c r="P339" s="9" t="n">
        <x:f>IF(COUNTIF(Rookies!$A:$A,A339)&gt;0,1,0)</x:f>
        <x:v>1</x:v>
      </x:c>
      <x:c r="Q339" s="9"/>
      <x:c r="R339" s="9"/>
      <x:c r="S339" s="9" t="n">
        <x:f>V339/17</x:f>
        <x:v>0.46117647058823535</x:v>
      </x:c>
      <x:c r="T339" s="9" t="n">
        <x:f>IF(P339=1,MAX(0,0.258*(14.9-S339)),0)</x:f>
        <x:v>3.7252164705882356</x:v>
      </x:c>
      <x:c r="U339" s="9" t="n">
        <x:f>T339*17</x:f>
        <x:v>63.328680000000006</x:v>
      </x:c>
      <x:c r="V339" s="9" t="n">
        <x:f>C339*Scoring!$B$32+D339/Scoring!$C$32+E339*Scoring!$D$32+F339*Scoring!$E$32+G339/Scoring!$F$32+H339*Scoring!$G$32+I339*Scoring!$H$32+K339*Scoring!$I$32+RB!L339*Scoring!$J$32</x:f>
        <x:v>7.840000000000001</x:v>
      </x:c>
      <x:c r="W339" s="9"/>
      <x:c r="X339" s="9"/>
      <x:c r="Y339" s="9"/>
      <x:c r="Z339" s="9"/>
    </x:row>
    <x:row r="340" ht="14.25" customHeight="1">
      <x:c r="B340" s="1" t="s">
        <x:v>488</x:v>
      </x:c>
      <x:c r="C340" s="1">
        <x:v>2.0</x:v>
      </x:c>
      <x:c r="D340" s="1">
        <x:v>8.5</x:v>
      </x:c>
      <x:c r="E340" s="1">
        <x:v>0.1</x:v>
      </x:c>
      <x:c r="F340" s="1">
        <x:v>4.5</x:v>
      </x:c>
      <x:c r="G340" s="1">
        <x:v>29.4</x:v>
      </x:c>
      <x:c r="H340" s="1">
        <x:v>0.2</x:v>
      </x:c>
      <x:c r="I340" s="1">
        <x:v>0.0</x:v>
      </x:c>
      <x:c r="J340" s="1">
        <x:v>9.6</x:v>
      </x:c>
      <x:c r="K340" s="18">
        <x:f t="shared" si="1"/>
        <x:v>0.4722222222</x:v>
      </x:c>
      <x:c r="L340" s="18">
        <x:f t="shared" si="2"/>
        <x:v>1.390490566</x:v>
      </x:c>
      <x:c r="M340" s="119"/>
      <x:c r="N340" s="119"/>
      <x:c r="O340" s="119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</x:row>
    <x:row r="341" ht="14.25" customHeight="1">
      <x:c r="B341" s="1" t="s">
        <x:v>489</x:v>
      </x:c>
      <x:c r="C341" s="1">
        <x:v>2.0</x:v>
      </x:c>
      <x:c r="D341" s="1">
        <x:v>8.5</x:v>
      </x:c>
      <x:c r="E341" s="1">
        <x:v>0.1</x:v>
      </x:c>
      <x:c r="F341" s="1">
        <x:v>4.5</x:v>
      </x:c>
      <x:c r="G341" s="1">
        <x:v>29.4</x:v>
      </x:c>
      <x:c r="H341" s="1">
        <x:v>0.2</x:v>
      </x:c>
      <x:c r="I341" s="1">
        <x:v>0.0</x:v>
      </x:c>
      <x:c r="J341" s="1">
        <x:v>9.6</x:v>
      </x:c>
      <x:c r="K341" s="18">
        <x:f t="shared" si="1"/>
        <x:v>0.4722222222</x:v>
      </x:c>
      <x:c r="L341" s="18">
        <x:f t="shared" si="2"/>
        <x:v>1.390490566</x:v>
      </x:c>
      <x:c r="M341" s="119"/>
      <x:c r="N341" s="119"/>
      <x:c r="O341" s="119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</x:row>
    <x:row r="342" ht="14.25" customHeight="1">
      <x:c r="A342" s="1" t="s">
        <x:v>716</x:v>
      </x:c>
      <x:c r="B342" s="1" t="s">
        <x:v>545</x:v>
      </x:c>
      <x:c r="C342" s="1">
        <x:v>0.0</x:v>
      </x:c>
      <x:c r="D342" s="1">
        <x:v>0.0</x:v>
      </x:c>
      <x:c r="E342" s="1">
        <x:v>0.0</x:v>
      </x:c>
      <x:c r="F342" s="1">
        <x:v>4.3</x:v>
      </x:c>
      <x:c r="G342" s="1">
        <x:v>29.2</x:v>
      </x:c>
      <x:c r="H342" s="1">
        <x:v>0.2</x:v>
      </x:c>
      <x:c r="I342" s="1">
        <x:v>0.0</x:v>
      </x:c>
      <x:c r="J342" s="1">
        <x:v>8.1</x:v>
      </x:c>
      <x:c r="K342" s="18">
        <x:f t="shared" si="1"/>
        <x:v>0</x:v>
      </x:c>
      <x:c r="L342" s="18">
        <x:f t="shared" si="2"/>
        <x:v>1.381031447</x:v>
      </x:c>
      <x:c r="M342" s="119" t="n">
        <x:f>C344*Scoring!$B$32+D344/Scoring!$C$32+E344*Scoring!$D$32+F344*Scoring!$E$32+G344/Scoring!$F$32+H344*Scoring!$G$32+I344*Scoring!$H$32+K344*Scoring!$I$32+RB!L344*Scoring!$J$32+U342</x:f>
        <x:v>70.00374000000001</x:v>
      </x:c>
      <x:c r="N342" s="119" t="n">
        <x:f>C342*Scoring!$B$32+D342/Scoring!$C$32+E342*Scoring!$D$32+F342*Scoring!$E$32+G342/Scoring!$F$32+H342*Scoring!$G$32+I342*Scoring!$H$32+K342*Scoring!$I$32+RB!L342*Scoring!$J$32+U342</x:f>
        <x:v>70.00374000000001</x:v>
      </x:c>
      <x:c r="O342" s="119" t="n">
        <x:f>C343*Scoring!$B$32+D343/Scoring!$C$32+E343*Scoring!$D$32+F343*Scoring!$E$32+G343/Scoring!$F$32+H343*Scoring!$G$32+I343*Scoring!$H$32+K343*Scoring!$I$32+L343*Scoring!$J$32+U342</x:f>
        <x:v>70.00374000000001</x:v>
      </x:c>
      <x:c r="P342" s="9" t="n">
        <x:f>IF(COUNTIF(Rookies!$A:$A,A342)&gt;0,1,0)</x:f>
        <x:v>1</x:v>
      </x:c>
      <x:c r="Q342" s="9"/>
      <x:c r="R342" s="9"/>
      <x:c r="S342" s="9" t="n">
        <x:f>V342/17</x:f>
        <x:v>0.3688235294117647</x:v>
      </x:c>
      <x:c r="T342" s="9" t="n">
        <x:f>IF(P342=1,MAX(0,0.258*(14.9-S342)),0)</x:f>
        <x:v>3.749043529411765</x:v>
      </x:c>
      <x:c r="U342" s="9" t="n">
        <x:f>T342*17</x:f>
        <x:v>63.733740000000004</x:v>
      </x:c>
      <x:c r="V342" s="9" t="n">
        <x:f>C342*Scoring!$B$32+D342/Scoring!$C$32+E342*Scoring!$D$32+F342*Scoring!$E$32+G342/Scoring!$F$32+H342*Scoring!$G$32+I342*Scoring!$H$32+K342*Scoring!$I$32+RB!L342*Scoring!$J$32</x:f>
        <x:v>6.2700000000000005</x:v>
      </x:c>
      <x:c r="W342" s="9"/>
      <x:c r="X342" s="9"/>
      <x:c r="Y342" s="9"/>
      <x:c r="Z342" s="9"/>
    </x:row>
    <x:row r="343" ht="14.25" customHeight="1">
      <x:c r="B343" s="1" t="s">
        <x:v>488</x:v>
      </x:c>
      <x:c r="C343" s="1">
        <x:v>0.0</x:v>
      </x:c>
      <x:c r="D343" s="1">
        <x:v>0.0</x:v>
      </x:c>
      <x:c r="E343" s="1">
        <x:v>0.0</x:v>
      </x:c>
      <x:c r="F343" s="1">
        <x:v>4.3</x:v>
      </x:c>
      <x:c r="G343" s="1">
        <x:v>29.2</x:v>
      </x:c>
      <x:c r="H343" s="1">
        <x:v>0.2</x:v>
      </x:c>
      <x:c r="I343" s="1">
        <x:v>0.0</x:v>
      </x:c>
      <x:c r="J343" s="1">
        <x:v>8.1</x:v>
      </x:c>
      <x:c r="K343" s="18">
        <x:f t="shared" si="1"/>
        <x:v>0</x:v>
      </x:c>
      <x:c r="L343" s="18">
        <x:f t="shared" si="2"/>
        <x:v>1.381031447</x:v>
      </x:c>
      <x:c r="M343" s="119"/>
      <x:c r="N343" s="119"/>
      <x:c r="O343" s="119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</x:row>
    <x:row r="344" ht="14.25" customHeight="1">
      <x:c r="B344" s="1" t="s">
        <x:v>489</x:v>
      </x:c>
      <x:c r="C344" s="1">
        <x:v>0.0</x:v>
      </x:c>
      <x:c r="D344" s="1">
        <x:v>0.0</x:v>
      </x:c>
      <x:c r="E344" s="1">
        <x:v>0.0</x:v>
      </x:c>
      <x:c r="F344" s="1">
        <x:v>4.3</x:v>
      </x:c>
      <x:c r="G344" s="1">
        <x:v>29.2</x:v>
      </x:c>
      <x:c r="H344" s="1">
        <x:v>0.2</x:v>
      </x:c>
      <x:c r="I344" s="1">
        <x:v>0.0</x:v>
      </x:c>
      <x:c r="J344" s="1">
        <x:v>8.1</x:v>
      </x:c>
      <x:c r="K344" s="18">
        <x:f t="shared" si="1"/>
        <x:v>0</x:v>
      </x:c>
      <x:c r="L344" s="18">
        <x:f t="shared" si="2"/>
        <x:v>1.381031447</x:v>
      </x:c>
      <x:c r="M344" s="119"/>
      <x:c r="N344" s="119"/>
      <x:c r="O344" s="119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</x:row>
    <x:row r="345" ht="14.25" customHeight="1">
      <x:c r="A345" s="1" t="s">
        <x:v>717</x:v>
      </x:c>
      <x:c r="B345" s="1" t="s">
        <x:v>493</x:v>
      </x:c>
      <x:c r="C345" s="1">
        <x:v>0.0</x:v>
      </x:c>
      <x:c r="D345" s="1">
        <x:v>0.0</x:v>
      </x:c>
      <x:c r="E345" s="1">
        <x:v>0.0</x:v>
      </x:c>
      <x:c r="F345" s="1">
        <x:v>4.1</x:v>
      </x:c>
      <x:c r="G345" s="1">
        <x:v>29.8</x:v>
      </x:c>
      <x:c r="H345" s="1">
        <x:v>0.2</x:v>
      </x:c>
      <x:c r="I345" s="1">
        <x:v>0.0</x:v>
      </x:c>
      <x:c r="J345" s="1">
        <x:v>7.9</x:v>
      </x:c>
      <x:c r="K345" s="18">
        <x:f t="shared" si="1"/>
        <x:v>0</x:v>
      </x:c>
      <x:c r="L345" s="18">
        <x:f t="shared" si="2"/>
        <x:v>1.409408805</x:v>
      </x:c>
      <x:c r="M345" s="119" t="n">
        <x:f>C347*Scoring!$B$32+D347/Scoring!$C$32+E347*Scoring!$D$32+F347*Scoring!$E$32+G347/Scoring!$F$32+H347*Scoring!$G$32+I347*Scoring!$H$32+K347*Scoring!$I$32+RB!L347*Scoring!$J$32+U345</x:f>
        <x:v>6.2299999999999995</x:v>
      </x:c>
      <x:c r="N345" s="119" t="n">
        <x:f>C345*Scoring!$B$32+D345/Scoring!$C$32+E345*Scoring!$D$32+F345*Scoring!$E$32+G345/Scoring!$F$32+H345*Scoring!$G$32+I345*Scoring!$H$32+K345*Scoring!$I$32+RB!L345*Scoring!$J$32+U345</x:f>
        <x:v>6.2299999999999995</x:v>
      </x:c>
      <x:c r="O345" s="119" t="n">
        <x:f>C346*Scoring!$B$32+D346/Scoring!$C$32+E346*Scoring!$D$32+F346*Scoring!$E$32+G346/Scoring!$F$32+H346*Scoring!$G$32+I346*Scoring!$H$32+K346*Scoring!$I$32+L346*Scoring!$J$32+U345</x:f>
        <x:v>6.2299999999999995</x:v>
      </x:c>
      <x:c r="P345" s="9" t="n">
        <x:f>IF(COUNTIF(Rookies!$A:$A,A345)&gt;0,1,0)</x:f>
        <x:v>0</x:v>
      </x:c>
      <x:c r="Q345" s="9"/>
      <x:c r="R345" s="9"/>
      <x:c r="S345" s="9" t="n">
        <x:f>V345/17</x:f>
        <x:v>0.3664705882352941</x:v>
      </x:c>
      <x:c r="T345" s="9" t="n">
        <x:f>IF(P345=1,MAX(0,0.258*(14.9-S345)),0)</x:f>
        <x:v>0</x:v>
      </x:c>
      <x:c r="U345" s="9" t="n">
        <x:f>T345*17</x:f>
        <x:v>0</x:v>
      </x:c>
      <x:c r="V345" s="9" t="n">
        <x:f>C345*Scoring!$B$32+D345/Scoring!$C$32+E345*Scoring!$D$32+F345*Scoring!$E$32+G345/Scoring!$F$32+H345*Scoring!$G$32+I345*Scoring!$H$32+K345*Scoring!$I$32+RB!L345*Scoring!$J$32</x:f>
        <x:v>6.2299999999999995</x:v>
      </x:c>
      <x:c r="W345" s="9"/>
      <x:c r="X345" s="9"/>
      <x:c r="Y345" s="9"/>
      <x:c r="Z345" s="9"/>
    </x:row>
    <x:row r="346" ht="14.25" customHeight="1">
      <x:c r="B346" s="1" t="s">
        <x:v>488</x:v>
      </x:c>
      <x:c r="C346" s="1">
        <x:v>0.0</x:v>
      </x:c>
      <x:c r="D346" s="1">
        <x:v>0.0</x:v>
      </x:c>
      <x:c r="E346" s="1">
        <x:v>0.0</x:v>
      </x:c>
      <x:c r="F346" s="1">
        <x:v>4.1</x:v>
      </x:c>
      <x:c r="G346" s="1">
        <x:v>29.8</x:v>
      </x:c>
      <x:c r="H346" s="1">
        <x:v>0.2</x:v>
      </x:c>
      <x:c r="I346" s="1">
        <x:v>0.0</x:v>
      </x:c>
      <x:c r="J346" s="1">
        <x:v>8.0</x:v>
      </x:c>
      <x:c r="K346" s="18">
        <x:f t="shared" si="1"/>
        <x:v>0</x:v>
      </x:c>
      <x:c r="L346" s="18">
        <x:f t="shared" si="2"/>
        <x:v>1.409408805</x:v>
      </x:c>
      <x:c r="M346" s="119"/>
      <x:c r="N346" s="119"/>
      <x:c r="O346" s="119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  <x:c r="Z346" s="9"/>
    </x:row>
    <x:row r="347" ht="14.25" customHeight="1">
      <x:c r="B347" s="1" t="s">
        <x:v>489</x:v>
      </x:c>
      <x:c r="C347" s="1">
        <x:v>0.0</x:v>
      </x:c>
      <x:c r="D347" s="1">
        <x:v>0.0</x:v>
      </x:c>
      <x:c r="E347" s="1">
        <x:v>0.0</x:v>
      </x:c>
      <x:c r="F347" s="1">
        <x:v>4.1</x:v>
      </x:c>
      <x:c r="G347" s="1">
        <x:v>29.8</x:v>
      </x:c>
      <x:c r="H347" s="1">
        <x:v>0.2</x:v>
      </x:c>
      <x:c r="I347" s="1">
        <x:v>0.0</x:v>
      </x:c>
      <x:c r="J347" s="1">
        <x:v>8.0</x:v>
      </x:c>
      <x:c r="K347" s="18">
        <x:f t="shared" si="1"/>
        <x:v>0</x:v>
      </x:c>
      <x:c r="L347" s="18">
        <x:f t="shared" si="2"/>
        <x:v>1.409408805</x:v>
      </x:c>
      <x:c r="M347" s="119"/>
      <x:c r="N347" s="119"/>
      <x:c r="O347" s="119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</x:row>
    <x:row r="348" ht="14.25" customHeight="1">
      <x:c r="A348" s="1" t="s">
        <x:v>718</x:v>
      </x:c>
      <x:c r="B348" s="1" t="s">
        <x:v>501</x:v>
      </x:c>
      <x:c r="C348" s="1">
        <x:v>0.0</x:v>
      </x:c>
      <x:c r="D348" s="1">
        <x:v>0.0</x:v>
      </x:c>
      <x:c r="E348" s="1">
        <x:v>0.0</x:v>
      </x:c>
      <x:c r="F348" s="1">
        <x:v>3.9</x:v>
      </x:c>
      <x:c r="G348" s="1">
        <x:v>26.8</x:v>
      </x:c>
      <x:c r="H348" s="1">
        <x:v>0.1</x:v>
      </x:c>
      <x:c r="I348" s="1">
        <x:v>0.0</x:v>
      </x:c>
      <x:c r="J348" s="1">
        <x:v>7.4</x:v>
      </x:c>
      <x:c r="K348" s="18">
        <x:f t="shared" si="1"/>
        <x:v>0</x:v>
      </x:c>
      <x:c r="L348" s="18">
        <x:f t="shared" si="2"/>
        <x:v>1.267522013</x:v>
      </x:c>
      <x:c r="M348" s="119" t="n">
        <x:f>C350*Scoring!$B$32+D350/Scoring!$C$32+E350*Scoring!$D$32+F350*Scoring!$E$32+G350/Scoring!$F$32+H350*Scoring!$G$32+I350*Scoring!$H$32+K350*Scoring!$I$32+RB!L350*Scoring!$J$32+U348</x:f>
        <x:v>5.23</x:v>
      </x:c>
      <x:c r="N348" s="119" t="n">
        <x:f>C348*Scoring!$B$32+D348/Scoring!$C$32+E348*Scoring!$D$32+F348*Scoring!$E$32+G348/Scoring!$F$32+H348*Scoring!$G$32+I348*Scoring!$H$32+K348*Scoring!$I$32+RB!L348*Scoring!$J$32+U348</x:f>
        <x:v>5.23</x:v>
      </x:c>
      <x:c r="O348" s="119" t="n">
        <x:f>C349*Scoring!$B$32+D349/Scoring!$C$32+E349*Scoring!$D$32+F349*Scoring!$E$32+G349/Scoring!$F$32+H349*Scoring!$G$32+I349*Scoring!$H$32+K349*Scoring!$I$32+L349*Scoring!$J$32+U348</x:f>
        <x:v>5.23</x:v>
      </x:c>
      <x:c r="P348" s="9" t="n">
        <x:f>IF(COUNTIF(Rookies!$A:$A,A348)&gt;0,1,0)</x:f>
        <x:v>0</x:v>
      </x:c>
      <x:c r="Q348" s="9"/>
      <x:c r="R348" s="9"/>
      <x:c r="S348" s="9" t="n">
        <x:f>V348/17</x:f>
        <x:v>0.30764705882352944</x:v>
      </x:c>
      <x:c r="T348" s="9" t="n">
        <x:f>IF(P348=1,MAX(0,0.258*(14.9-S348)),0)</x:f>
        <x:v>0</x:v>
      </x:c>
      <x:c r="U348" s="9" t="n">
        <x:f>T348*17</x:f>
        <x:v>0</x:v>
      </x:c>
      <x:c r="V348" s="9" t="n">
        <x:f>C348*Scoring!$B$32+D348/Scoring!$C$32+E348*Scoring!$D$32+F348*Scoring!$E$32+G348/Scoring!$F$32+H348*Scoring!$G$32+I348*Scoring!$H$32+K348*Scoring!$I$32+RB!L348*Scoring!$J$32</x:f>
        <x:v>5.23</x:v>
      </x:c>
      <x:c r="W348" s="9"/>
      <x:c r="X348" s="9"/>
      <x:c r="Y348" s="9"/>
      <x:c r="Z348" s="9"/>
    </x:row>
    <x:row r="349" ht="14.25" customHeight="1">
      <x:c r="B349" s="1" t="s">
        <x:v>488</x:v>
      </x:c>
      <x:c r="C349" s="1">
        <x:v>0.0</x:v>
      </x:c>
      <x:c r="D349" s="1">
        <x:v>0.0</x:v>
      </x:c>
      <x:c r="E349" s="1">
        <x:v>0.0</x:v>
      </x:c>
      <x:c r="F349" s="1">
        <x:v>3.9</x:v>
      </x:c>
      <x:c r="G349" s="1">
        <x:v>26.8</x:v>
      </x:c>
      <x:c r="H349" s="1">
        <x:v>0.1</x:v>
      </x:c>
      <x:c r="I349" s="1">
        <x:v>0.0</x:v>
      </x:c>
      <x:c r="J349" s="1">
        <x:v>7.4</x:v>
      </x:c>
      <x:c r="K349" s="18">
        <x:f t="shared" si="1"/>
        <x:v>0</x:v>
      </x:c>
      <x:c r="L349" s="18">
        <x:f t="shared" si="2"/>
        <x:v>1.267522013</x:v>
      </x:c>
      <x:c r="M349" s="119"/>
      <x:c r="N349" s="119"/>
      <x:c r="O349" s="119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  <x:c r="Z349" s="9"/>
    </x:row>
    <x:row r="350" ht="14.25" customHeight="1">
      <x:c r="B350" s="1" t="s">
        <x:v>489</x:v>
      </x:c>
      <x:c r="C350" s="1">
        <x:v>0.0</x:v>
      </x:c>
      <x:c r="D350" s="1">
        <x:v>0.0</x:v>
      </x:c>
      <x:c r="E350" s="1">
        <x:v>0.0</x:v>
      </x:c>
      <x:c r="F350" s="1">
        <x:v>3.9</x:v>
      </x:c>
      <x:c r="G350" s="1">
        <x:v>26.8</x:v>
      </x:c>
      <x:c r="H350" s="1">
        <x:v>0.1</x:v>
      </x:c>
      <x:c r="I350" s="1">
        <x:v>0.0</x:v>
      </x:c>
      <x:c r="J350" s="1">
        <x:v>7.4</x:v>
      </x:c>
      <x:c r="K350" s="18">
        <x:f t="shared" si="1"/>
        <x:v>0</x:v>
      </x:c>
      <x:c r="L350" s="18">
        <x:f t="shared" si="2"/>
        <x:v>1.267522013</x:v>
      </x:c>
      <x:c r="M350" s="119"/>
      <x:c r="N350" s="119"/>
      <x:c r="O350" s="119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</x:row>
    <x:row r="351" ht="14.25" customHeight="1">
      <x:c r="A351" s="1" t="s">
        <x:v>719</x:v>
      </x:c>
      <x:c r="B351" s="1" t="s">
        <x:v>545</x:v>
      </x:c>
      <x:c r="C351" s="1">
        <x:v>8.6</x:v>
      </x:c>
      <x:c r="D351" s="1">
        <x:v>35.9</x:v>
      </x:c>
      <x:c r="E351" s="1">
        <x:v>0.2</x:v>
      </x:c>
      <x:c r="F351" s="1">
        <x:v>0.0</x:v>
      </x:c>
      <x:c r="G351" s="1">
        <x:v>0.0</x:v>
      </x:c>
      <x:c r="H351" s="1">
        <x:v>0.0</x:v>
      </x:c>
      <x:c r="I351" s="1">
        <x:v>0.0</x:v>
      </x:c>
      <x:c r="J351" s="1">
        <x:v>4.9</x:v>
      </x:c>
      <x:c r="K351" s="18">
        <x:f t="shared" si="1"/>
        <x:v>1.994444444</x:v>
      </x:c>
      <x:c r="L351" s="18">
        <x:f t="shared" si="2"/>
        <x:v>0</x:v>
      </x:c>
      <x:c r="M351" s="119" t="n">
        <x:f>C353*Scoring!$B$32+D353/Scoring!$C$32+E353*Scoring!$D$32+F353*Scoring!$E$32+G353/Scoring!$F$32+H353*Scoring!$G$32+I353*Scoring!$H$32+K353*Scoring!$I$32+RB!L353*Scoring!$J$32+U351</x:f>
        <x:v>4.79</x:v>
      </x:c>
      <x:c r="N351" s="119" t="n">
        <x:f>C351*Scoring!$B$32+D351/Scoring!$C$32+E351*Scoring!$D$32+F351*Scoring!$E$32+G351/Scoring!$F$32+H351*Scoring!$G$32+I351*Scoring!$H$32+K351*Scoring!$I$32+RB!L351*Scoring!$J$32+U351</x:f>
        <x:v>4.79</x:v>
      </x:c>
      <x:c r="O351" s="119" t="n">
        <x:f>C352*Scoring!$B$32+D352/Scoring!$C$32+E352*Scoring!$D$32+F352*Scoring!$E$32+G352/Scoring!$F$32+H352*Scoring!$G$32+I352*Scoring!$H$32+K352*Scoring!$I$32+L352*Scoring!$J$32+U351</x:f>
        <x:v>4.79</x:v>
      </x:c>
      <x:c r="P351" s="9" t="n">
        <x:f>IF(COUNTIF(Rookies!$A:$A,A351)&gt;0,1,0)</x:f>
        <x:v>0</x:v>
      </x:c>
      <x:c r="Q351" s="9"/>
      <x:c r="R351" s="9"/>
      <x:c r="S351" s="9" t="n">
        <x:f>V351/17</x:f>
        <x:v>0.2817647058823529</x:v>
      </x:c>
      <x:c r="T351" s="9" t="n">
        <x:f>IF(P351=1,MAX(0,0.258*(14.9-S351)),0)</x:f>
        <x:v>0</x:v>
      </x:c>
      <x:c r="U351" s="9" t="n">
        <x:f>T351*17</x:f>
        <x:v>0</x:v>
      </x:c>
      <x:c r="V351" s="9" t="n">
        <x:f>C351*Scoring!$B$32+D351/Scoring!$C$32+E351*Scoring!$D$32+F351*Scoring!$E$32+G351/Scoring!$F$32+H351*Scoring!$G$32+I351*Scoring!$H$32+K351*Scoring!$I$32+RB!L351*Scoring!$J$32</x:f>
        <x:v>4.79</x:v>
      </x:c>
      <x:c r="W351" s="9"/>
      <x:c r="X351" s="9"/>
      <x:c r="Y351" s="9"/>
      <x:c r="Z351" s="9"/>
    </x:row>
    <x:row r="352" ht="14.25" customHeight="1">
      <x:c r="B352" s="1" t="s">
        <x:v>488</x:v>
      </x:c>
      <x:c r="C352" s="1">
        <x:v>8.6</x:v>
      </x:c>
      <x:c r="D352" s="1">
        <x:v>35.9</x:v>
      </x:c>
      <x:c r="E352" s="1">
        <x:v>0.2</x:v>
      </x:c>
      <x:c r="F352" s="1">
        <x:v>0.0</x:v>
      </x:c>
      <x:c r="G352" s="1">
        <x:v>0.0</x:v>
      </x:c>
      <x:c r="H352" s="1">
        <x:v>0.0</x:v>
      </x:c>
      <x:c r="I352" s="1">
        <x:v>0.0</x:v>
      </x:c>
      <x:c r="J352" s="1">
        <x:v>4.9</x:v>
      </x:c>
      <x:c r="K352" s="18">
        <x:f t="shared" si="1"/>
        <x:v>1.994444444</x:v>
      </x:c>
      <x:c r="L352" s="18">
        <x:f t="shared" si="2"/>
        <x:v>0</x:v>
      </x:c>
      <x:c r="M352" s="119"/>
      <x:c r="N352" s="119"/>
      <x:c r="O352" s="119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</x:row>
    <x:row r="353" ht="14.25" customHeight="1">
      <x:c r="B353" s="1" t="s">
        <x:v>489</x:v>
      </x:c>
      <x:c r="C353" s="1">
        <x:v>8.6</x:v>
      </x:c>
      <x:c r="D353" s="1">
        <x:v>35.9</x:v>
      </x:c>
      <x:c r="E353" s="1">
        <x:v>0.2</x:v>
      </x:c>
      <x:c r="F353" s="1">
        <x:v>0.0</x:v>
      </x:c>
      <x:c r="G353" s="1">
        <x:v>0.0</x:v>
      </x:c>
      <x:c r="H353" s="1">
        <x:v>0.0</x:v>
      </x:c>
      <x:c r="I353" s="1">
        <x:v>0.0</x:v>
      </x:c>
      <x:c r="J353" s="1">
        <x:v>4.9</x:v>
      </x:c>
      <x:c r="K353" s="18">
        <x:f t="shared" si="1"/>
        <x:v>1.994444444</x:v>
      </x:c>
      <x:c r="L353" s="18">
        <x:f t="shared" si="2"/>
        <x:v>0</x:v>
      </x:c>
      <x:c r="M353" s="119"/>
      <x:c r="N353" s="119"/>
      <x:c r="O353" s="119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</x:row>
    <x:row r="354" ht="14.25" customHeight="1">
      <x:c r="A354" s="1" t="s">
        <x:v>720</x:v>
      </x:c>
      <x:c r="B354" s="1" t="s">
        <x:v>535</x:v>
      </x:c>
      <x:c r="C354" s="1">
        <x:v>4.2</x:v>
      </x:c>
      <x:c r="D354" s="1">
        <x:v>18.0</x:v>
      </x:c>
      <x:c r="E354" s="1">
        <x:v>0.1</x:v>
      </x:c>
      <x:c r="F354" s="1">
        <x:v>0.0</x:v>
      </x:c>
      <x:c r="G354" s="1">
        <x:v>0.0</x:v>
      </x:c>
      <x:c r="H354" s="1">
        <x:v>0.0</x:v>
      </x:c>
      <x:c r="I354" s="1">
        <x:v>0.0</x:v>
      </x:c>
      <x:c r="J354" s="1">
        <x:v>2.4</x:v>
      </x:c>
      <x:c r="K354" s="18">
        <x:f t="shared" si="1"/>
        <x:v>1</x:v>
      </x:c>
      <x:c r="L354" s="18">
        <x:f t="shared" si="2"/>
        <x:v>0</x:v>
      </x:c>
      <x:c r="M354" s="119" t="n">
        <x:f>C356*Scoring!$B$32+D356/Scoring!$C$32+E356*Scoring!$D$32+F356*Scoring!$E$32+G356/Scoring!$F$32+H356*Scoring!$G$32+I356*Scoring!$H$32+K356*Scoring!$I$32+RB!L356*Scoring!$J$32+U354</x:f>
        <x:v>2.4000000000000004</x:v>
      </x:c>
      <x:c r="N354" s="119" t="n">
        <x:f>C354*Scoring!$B$32+D354/Scoring!$C$32+E354*Scoring!$D$32+F354*Scoring!$E$32+G354/Scoring!$F$32+H354*Scoring!$G$32+I354*Scoring!$H$32+K354*Scoring!$I$32+RB!L354*Scoring!$J$32+U354</x:f>
        <x:v>2.4000000000000004</x:v>
      </x:c>
      <x:c r="O354" s="119" t="n">
        <x:f>C355*Scoring!$B$32+D355/Scoring!$C$32+E355*Scoring!$D$32+F355*Scoring!$E$32+G355/Scoring!$F$32+H355*Scoring!$G$32+I355*Scoring!$H$32+K355*Scoring!$I$32+L355*Scoring!$J$32+U354</x:f>
        <x:v>2.4000000000000004</x:v>
      </x:c>
      <x:c r="P354" s="9" t="n">
        <x:f>IF(COUNTIF(Rookies!$A:$A,A354)&gt;0,1,0)</x:f>
        <x:v>0</x:v>
      </x:c>
      <x:c r="Q354" s="9"/>
      <x:c r="R354" s="9"/>
      <x:c r="S354" s="9" t="n">
        <x:f>V354/17</x:f>
        <x:v>0.14117647058823532</x:v>
      </x:c>
      <x:c r="T354" s="9" t="n">
        <x:f>IF(P354=1,MAX(0,0.258*(14.9-S354)),0)</x:f>
        <x:v>0</x:v>
      </x:c>
      <x:c r="U354" s="9" t="n">
        <x:f>T354*17</x:f>
        <x:v>0</x:v>
      </x:c>
      <x:c r="V354" s="9" t="n">
        <x:f>C354*Scoring!$B$32+D354/Scoring!$C$32+E354*Scoring!$D$32+F354*Scoring!$E$32+G354/Scoring!$F$32+H354*Scoring!$G$32+I354*Scoring!$H$32+K354*Scoring!$I$32+RB!L354*Scoring!$J$32</x:f>
        <x:v>2.4000000000000004</x:v>
      </x:c>
      <x:c r="W354" s="9"/>
      <x:c r="X354" s="9"/>
      <x:c r="Y354" s="9"/>
      <x:c r="Z354" s="9"/>
    </x:row>
    <x:row r="355" ht="14.25" customHeight="1">
      <x:c r="B355" s="1" t="s">
        <x:v>488</x:v>
      </x:c>
      <x:c r="C355" s="1">
        <x:v>4.2</x:v>
      </x:c>
      <x:c r="D355" s="1">
        <x:v>18.0</x:v>
      </x:c>
      <x:c r="E355" s="1">
        <x:v>0.1</x:v>
      </x:c>
      <x:c r="F355" s="1">
        <x:v>0.0</x:v>
      </x:c>
      <x:c r="G355" s="1">
        <x:v>0.0</x:v>
      </x:c>
      <x:c r="H355" s="1">
        <x:v>0.0</x:v>
      </x:c>
      <x:c r="I355" s="1">
        <x:v>0.0</x:v>
      </x:c>
      <x:c r="J355" s="1">
        <x:v>2.4</x:v>
      </x:c>
      <x:c r="K355" s="18">
        <x:f t="shared" si="1"/>
        <x:v>1</x:v>
      </x:c>
      <x:c r="L355" s="18">
        <x:f t="shared" si="2"/>
        <x:v>0</x:v>
      </x:c>
      <x:c r="M355" s="119"/>
      <x:c r="N355" s="119"/>
      <x:c r="O355" s="119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</x:row>
    <x:row r="356" ht="14.25" customHeight="1">
      <x:c r="B356" s="1" t="s">
        <x:v>489</x:v>
      </x:c>
      <x:c r="C356" s="1">
        <x:v>4.2</x:v>
      </x:c>
      <x:c r="D356" s="1">
        <x:v>18.0</x:v>
      </x:c>
      <x:c r="E356" s="1">
        <x:v>0.1</x:v>
      </x:c>
      <x:c r="F356" s="1">
        <x:v>0.0</x:v>
      </x:c>
      <x:c r="G356" s="1">
        <x:v>0.0</x:v>
      </x:c>
      <x:c r="H356" s="1">
        <x:v>0.0</x:v>
      </x:c>
      <x:c r="I356" s="1">
        <x:v>0.0</x:v>
      </x:c>
      <x:c r="J356" s="1">
        <x:v>2.4</x:v>
      </x:c>
      <x:c r="K356" s="18">
        <x:f t="shared" si="1"/>
        <x:v>1</x:v>
      </x:c>
      <x:c r="L356" s="18">
        <x:f t="shared" si="2"/>
        <x:v>0</x:v>
      </x:c>
      <x:c r="M356" s="119"/>
      <x:c r="N356" s="119"/>
      <x:c r="O356" s="119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</x:row>
    <x:row r="357" ht="14.25" customHeight="1">
      <x:c r="A357" s="1" t="s">
        <x:v>721</x:v>
      </x:c>
      <x:c r="B357" s="1" t="s">
        <x:v>501</x:v>
      </x:c>
      <x:c r="C357" s="1">
        <x:v>0.0</x:v>
      </x:c>
      <x:c r="D357" s="1">
        <x:v>0.0</x:v>
      </x:c>
      <x:c r="E357" s="1">
        <x:v>0.0</x:v>
      </x:c>
      <x:c r="F357" s="1">
        <x:v>0.0</x:v>
      </x:c>
      <x:c r="G357" s="1">
        <x:v>0.0</x:v>
      </x:c>
      <x:c r="H357" s="1">
        <x:v>0.0</x:v>
      </x:c>
      <x:c r="I357" s="1">
        <x:v>0.0</x:v>
      </x:c>
      <x:c r="J357" s="1">
        <x:v>0.0</x:v>
      </x:c>
      <x:c r="K357" s="18">
        <x:f t="shared" si="1"/>
        <x:v>0</x:v>
      </x:c>
      <x:c r="L357" s="18">
        <x:f t="shared" si="2"/>
        <x:v>0</x:v>
      </x:c>
      <x:c r="M357" s="119" t="n">
        <x:f>C359*Scoring!$B$32+D359/Scoring!$C$32+E359*Scoring!$D$32+F359*Scoring!$E$32+G359/Scoring!$F$32+H359*Scoring!$G$32+I359*Scoring!$H$32+K359*Scoring!$I$32+RB!L359*Scoring!$J$32+U357</x:f>
        <x:v>0</x:v>
      </x:c>
      <x:c r="N357" s="119" t="n">
        <x:f>C357*Scoring!$B$32+D357/Scoring!$C$32+E357*Scoring!$D$32+F357*Scoring!$E$32+G357/Scoring!$F$32+H357*Scoring!$G$32+I357*Scoring!$H$32+K357*Scoring!$I$32+RB!L357*Scoring!$J$32+U357</x:f>
        <x:v>0</x:v>
      </x:c>
      <x:c r="O357" s="119" t="n">
        <x:f>C358*Scoring!$B$32+D358/Scoring!$C$32+E358*Scoring!$D$32+F358*Scoring!$E$32+G358/Scoring!$F$32+H358*Scoring!$G$32+I358*Scoring!$H$32+K358*Scoring!$I$32+L358*Scoring!$J$32+U357</x:f>
        <x:v>0</x:v>
      </x:c>
      <x:c r="P357" s="9" t="n">
        <x:f>IF(COUNTIF(Rookies!$A:$A,A357)&gt;0,1,0)</x:f>
        <x:v>0</x:v>
      </x:c>
      <x:c r="Q357" s="9"/>
      <x:c r="R357" s="9"/>
      <x:c r="S357" s="9" t="n">
        <x:f>V357/17</x:f>
        <x:v>0</x:v>
      </x:c>
      <x:c r="T357" s="9" t="n">
        <x:f>IF(P357=1,MAX(0,0.258*(14.9-S357)),0)</x:f>
        <x:v>0</x:v>
      </x:c>
      <x:c r="U357" s="9" t="n">
        <x:f>T357*17</x:f>
        <x:v>0</x:v>
      </x:c>
      <x:c r="V357" s="9" t="n">
        <x:f>C357*Scoring!$B$32+D357/Scoring!$C$32+E357*Scoring!$D$32+F357*Scoring!$E$32+G357/Scoring!$F$32+H357*Scoring!$G$32+I357*Scoring!$H$32+K357*Scoring!$I$32+RB!L357*Scoring!$J$32</x:f>
        <x:v>0</x:v>
      </x:c>
      <x:c r="W357" s="9"/>
      <x:c r="X357" s="9"/>
      <x:c r="Y357" s="9"/>
      <x:c r="Z357" s="9"/>
    </x:row>
    <x:row r="358" ht="14.25" customHeight="1">
      <x:c r="B358" s="1" t="s">
        <x:v>488</x:v>
      </x:c>
      <x:c r="C358" s="1">
        <x:v>0.0</x:v>
      </x:c>
      <x:c r="D358" s="1">
        <x:v>0.0</x:v>
      </x:c>
      <x:c r="E358" s="1">
        <x:v>0.0</x:v>
      </x:c>
      <x:c r="F358" s="1">
        <x:v>0.0</x:v>
      </x:c>
      <x:c r="G358" s="1">
        <x:v>0.0</x:v>
      </x:c>
      <x:c r="H358" s="1">
        <x:v>0.0</x:v>
      </x:c>
      <x:c r="I358" s="1">
        <x:v>0.0</x:v>
      </x:c>
      <x:c r="J358" s="1">
        <x:v>0.0</x:v>
      </x:c>
      <x:c r="K358" s="18">
        <x:f t="shared" si="1"/>
        <x:v>0</x:v>
      </x:c>
      <x:c r="L358" s="18">
        <x:f t="shared" si="2"/>
        <x:v>0</x:v>
      </x:c>
      <x:c r="M358" s="119"/>
      <x:c r="N358" s="119"/>
      <x:c r="O358" s="119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</x:row>
    <x:row r="359" ht="14.25" customHeight="1">
      <x:c r="B359" s="1" t="s">
        <x:v>489</x:v>
      </x:c>
      <x:c r="C359" s="1">
        <x:v>0.0</x:v>
      </x:c>
      <x:c r="D359" s="1">
        <x:v>0.0</x:v>
      </x:c>
      <x:c r="E359" s="1">
        <x:v>0.0</x:v>
      </x:c>
      <x:c r="F359" s="1">
        <x:v>0.0</x:v>
      </x:c>
      <x:c r="G359" s="1">
        <x:v>0.0</x:v>
      </x:c>
      <x:c r="H359" s="1">
        <x:v>0.0</x:v>
      </x:c>
      <x:c r="I359" s="1">
        <x:v>0.0</x:v>
      </x:c>
      <x:c r="J359" s="1">
        <x:v>0.0</x:v>
      </x:c>
      <x:c r="K359" s="18">
        <x:f t="shared" si="1"/>
        <x:v>0</x:v>
      </x:c>
      <x:c r="L359" s="18">
        <x:f t="shared" si="2"/>
        <x:v>0</x:v>
      </x:c>
      <x:c r="M359" s="119"/>
      <x:c r="N359" s="119"/>
      <x:c r="O359" s="119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</x:row>
    <x:row r="360" ht="14.25" customHeight="1">
      <x:c r="A360" s="1" t="s">
        <x:v>722</x:v>
      </x:c>
      <x:c r="B360" s="1" t="s">
        <x:v>505</x:v>
      </x:c>
      <x:c r="C360" s="1">
        <x:v>0.0</x:v>
      </x:c>
      <x:c r="D360" s="1">
        <x:v>0.0</x:v>
      </x:c>
      <x:c r="E360" s="1">
        <x:v>0.0</x:v>
      </x:c>
      <x:c r="F360" s="1">
        <x:v>0.0</x:v>
      </x:c>
      <x:c r="G360" s="1">
        <x:v>0.0</x:v>
      </x:c>
      <x:c r="H360" s="1">
        <x:v>0.0</x:v>
      </x:c>
      <x:c r="I360" s="1">
        <x:v>0.0</x:v>
      </x:c>
      <x:c r="J360" s="1">
        <x:v>0.0</x:v>
      </x:c>
      <x:c r="K360" s="18">
        <x:f t="shared" si="1"/>
        <x:v>0</x:v>
      </x:c>
      <x:c r="L360" s="18">
        <x:f t="shared" si="2"/>
        <x:v>0</x:v>
      </x:c>
      <x:c r="M360" s="119" t="n">
        <x:f>C362*Scoring!$B$32+D362/Scoring!$C$32+E362*Scoring!$D$32+F362*Scoring!$E$32+G362/Scoring!$F$32+H362*Scoring!$G$32+I362*Scoring!$H$32+K362*Scoring!$I$32+RB!L362*Scoring!$J$32+U360</x:f>
        <x:v>0</x:v>
      </x:c>
      <x:c r="N360" s="119" t="n">
        <x:f>C360*Scoring!$B$32+D360/Scoring!$C$32+E360*Scoring!$D$32+F360*Scoring!$E$32+G360/Scoring!$F$32+H360*Scoring!$G$32+I360*Scoring!$H$32+K360*Scoring!$I$32+RB!L360*Scoring!$J$32+U360</x:f>
        <x:v>0</x:v>
      </x:c>
      <x:c r="O360" s="119" t="n">
        <x:f>C361*Scoring!$B$32+D361/Scoring!$C$32+E361*Scoring!$D$32+F361*Scoring!$E$32+G361/Scoring!$F$32+H361*Scoring!$G$32+I361*Scoring!$H$32+K361*Scoring!$I$32+L361*Scoring!$J$32+U360</x:f>
        <x:v>0</x:v>
      </x:c>
      <x:c r="P360" s="9" t="n">
        <x:f>IF(COUNTIF(Rookies!$A:$A,A360)&gt;0,1,0)</x:f>
        <x:v>0</x:v>
      </x:c>
      <x:c r="Q360" s="9"/>
      <x:c r="R360" s="9"/>
      <x:c r="S360" s="9" t="n">
        <x:f>V360/17</x:f>
        <x:v>0</x:v>
      </x:c>
      <x:c r="T360" s="9" t="n">
        <x:f>IF(P360=1,MAX(0,0.258*(14.9-S360)),0)</x:f>
        <x:v>0</x:v>
      </x:c>
      <x:c r="U360" s="9" t="n">
        <x:f>T360*17</x:f>
        <x:v>0</x:v>
      </x:c>
      <x:c r="V360" s="9" t="n">
        <x:f>C360*Scoring!$B$32+D360/Scoring!$C$32+E360*Scoring!$D$32+F360*Scoring!$E$32+G360/Scoring!$F$32+H360*Scoring!$G$32+I360*Scoring!$H$32+K360*Scoring!$I$32+RB!L360*Scoring!$J$32</x:f>
        <x:v>0</x:v>
      </x:c>
      <x:c r="W360" s="9"/>
      <x:c r="X360" s="9"/>
      <x:c r="Y360" s="9"/>
      <x:c r="Z360" s="9"/>
    </x:row>
    <x:row r="361" ht="14.25" customHeight="1">
      <x:c r="B361" s="1" t="s">
        <x:v>488</x:v>
      </x:c>
      <x:c r="C361" s="1">
        <x:v>0.0</x:v>
      </x:c>
      <x:c r="D361" s="1">
        <x:v>0.0</x:v>
      </x:c>
      <x:c r="E361" s="1">
        <x:v>0.0</x:v>
      </x:c>
      <x:c r="F361" s="1">
        <x:v>0.0</x:v>
      </x:c>
      <x:c r="G361" s="1">
        <x:v>0.0</x:v>
      </x:c>
      <x:c r="H361" s="1">
        <x:v>0.0</x:v>
      </x:c>
      <x:c r="I361" s="1">
        <x:v>0.0</x:v>
      </x:c>
      <x:c r="J361" s="1">
        <x:v>0.2</x:v>
      </x:c>
      <x:c r="K361" s="18">
        <x:f t="shared" si="1"/>
        <x:v>0</x:v>
      </x:c>
      <x:c r="L361" s="18">
        <x:f t="shared" si="2"/>
        <x:v>0</x:v>
      </x:c>
      <x:c r="M361" s="119"/>
      <x:c r="N361" s="119"/>
      <x:c r="O361" s="119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  <x:c r="Z361" s="9"/>
    </x:row>
    <x:row r="362" ht="14.25" customHeight="1">
      <x:c r="B362" s="1" t="s">
        <x:v>489</x:v>
      </x:c>
      <x:c r="C362" s="1">
        <x:v>0.0</x:v>
      </x:c>
      <x:c r="D362" s="1">
        <x:v>0.0</x:v>
      </x:c>
      <x:c r="E362" s="1">
        <x:v>0.0</x:v>
      </x:c>
      <x:c r="F362" s="1">
        <x:v>0.0</x:v>
      </x:c>
      <x:c r="G362" s="1">
        <x:v>0.0</x:v>
      </x:c>
      <x:c r="H362" s="1">
        <x:v>0.0</x:v>
      </x:c>
      <x:c r="I362" s="1">
        <x:v>0.0</x:v>
      </x:c>
      <x:c r="J362" s="1">
        <x:v>0.2</x:v>
      </x:c>
      <x:c r="K362" s="18">
        <x:f t="shared" si="1"/>
        <x:v>0</x:v>
      </x:c>
      <x:c r="L362" s="18">
        <x:f t="shared" si="2"/>
        <x:v>0</x:v>
      </x:c>
      <x:c r="M362" s="119"/>
      <x:c r="N362" s="119"/>
      <x:c r="O362" s="119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</x:row>
    <x:row r="363" ht="14.25" customHeight="1">
      <x:c r="A363" s="1" t="s">
        <x:v>723</x:v>
      </x:c>
      <x:c r="B363" s="1" t="s">
        <x:v>539</x:v>
      </x:c>
      <x:c r="C363" s="1">
        <x:v>0.0</x:v>
      </x:c>
      <x:c r="D363" s="1">
        <x:v>0.0</x:v>
      </x:c>
      <x:c r="E363" s="1">
        <x:v>0.0</x:v>
      </x:c>
      <x:c r="F363" s="1">
        <x:v>0.0</x:v>
      </x:c>
      <x:c r="G363" s="1">
        <x:v>0.0</x:v>
      </x:c>
      <x:c r="H363" s="1">
        <x:v>0.0</x:v>
      </x:c>
      <x:c r="I363" s="1">
        <x:v>0.0</x:v>
      </x:c>
      <x:c r="J363" s="1">
        <x:v>0.0</x:v>
      </x:c>
      <x:c r="K363" s="18">
        <x:f t="shared" si="1"/>
        <x:v>0</x:v>
      </x:c>
      <x:c r="L363" s="18">
        <x:f t="shared" si="2"/>
        <x:v>0</x:v>
      </x:c>
      <x:c r="M363" s="119" t="n">
        <x:f>C365*Scoring!$B$32+D365/Scoring!$C$32+E365*Scoring!$D$32+F365*Scoring!$E$32+G365/Scoring!$F$32+H365*Scoring!$G$32+I365*Scoring!$H$32+K365*Scoring!$I$32+RB!L365*Scoring!$J$32+U363</x:f>
        <x:v>0</x:v>
      </x:c>
      <x:c r="N363" s="119" t="n">
        <x:f>C363*Scoring!$B$32+D363/Scoring!$C$32+E363*Scoring!$D$32+F363*Scoring!$E$32+G363/Scoring!$F$32+H363*Scoring!$G$32+I363*Scoring!$H$32+K363*Scoring!$I$32+RB!L363*Scoring!$J$32+U363</x:f>
        <x:v>0</x:v>
      </x:c>
      <x:c r="O363" s="119" t="n">
        <x:f>C364*Scoring!$B$32+D364/Scoring!$C$32+E364*Scoring!$D$32+F364*Scoring!$E$32+G364/Scoring!$F$32+H364*Scoring!$G$32+I364*Scoring!$H$32+K364*Scoring!$I$32+L364*Scoring!$J$32+U363</x:f>
        <x:v>0</x:v>
      </x:c>
      <x:c r="P363" s="9" t="n">
        <x:f>IF(COUNTIF(Rookies!$A:$A,A363)&gt;0,1,0)</x:f>
        <x:v>0</x:v>
      </x:c>
      <x:c r="Q363" s="9"/>
      <x:c r="R363" s="9"/>
      <x:c r="S363" s="9" t="n">
        <x:f>V363/17</x:f>
        <x:v>0</x:v>
      </x:c>
      <x:c r="T363" s="9" t="n">
        <x:f>IF(P363=1,MAX(0,0.258*(14.9-S363)),0)</x:f>
        <x:v>0</x:v>
      </x:c>
      <x:c r="U363" s="9" t="n">
        <x:f>T363*17</x:f>
        <x:v>0</x:v>
      </x:c>
      <x:c r="V363" s="9" t="n">
        <x:f>C363*Scoring!$B$32+D363/Scoring!$C$32+E363*Scoring!$D$32+F363*Scoring!$E$32+G363/Scoring!$F$32+H363*Scoring!$G$32+I363*Scoring!$H$32+K363*Scoring!$I$32+RB!L363*Scoring!$J$32</x:f>
        <x:v>0</x:v>
      </x:c>
      <x:c r="W363" s="9"/>
      <x:c r="X363" s="9"/>
      <x:c r="Y363" s="9"/>
      <x:c r="Z363" s="9"/>
    </x:row>
    <x:row r="364" ht="14.25" customHeight="1">
      <x:c r="B364" s="1" t="s">
        <x:v>488</x:v>
      </x:c>
      <x:c r="C364" s="1">
        <x:v>0.0</x:v>
      </x:c>
      <x:c r="D364" s="1">
        <x:v>0.0</x:v>
      </x:c>
      <x:c r="E364" s="1">
        <x:v>0.0</x:v>
      </x:c>
      <x:c r="F364" s="1">
        <x:v>0.0</x:v>
      </x:c>
      <x:c r="G364" s="1">
        <x:v>0.0</x:v>
      </x:c>
      <x:c r="H364" s="1">
        <x:v>0.0</x:v>
      </x:c>
      <x:c r="I364" s="1">
        <x:v>0.0</x:v>
      </x:c>
      <x:c r="J364" s="1">
        <x:v>2.3</x:v>
      </x:c>
      <x:c r="K364" s="18">
        <x:f t="shared" si="1"/>
        <x:v>0</x:v>
      </x:c>
      <x:c r="L364" s="18">
        <x:f t="shared" si="2"/>
        <x:v>0</x:v>
      </x:c>
      <x:c r="M364" s="119"/>
      <x:c r="N364" s="119"/>
      <x:c r="O364" s="119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</x:row>
    <x:row r="365" ht="14.25" customHeight="1">
      <x:c r="B365" s="1" t="s">
        <x:v>489</x:v>
      </x:c>
      <x:c r="C365" s="1">
        <x:v>0.0</x:v>
      </x:c>
      <x:c r="D365" s="1">
        <x:v>0.0</x:v>
      </x:c>
      <x:c r="E365" s="1">
        <x:v>0.0</x:v>
      </x:c>
      <x:c r="F365" s="1">
        <x:v>0.0</x:v>
      </x:c>
      <x:c r="G365" s="1">
        <x:v>0.0</x:v>
      </x:c>
      <x:c r="H365" s="1">
        <x:v>0.0</x:v>
      </x:c>
      <x:c r="I365" s="1">
        <x:v>0.0</x:v>
      </x:c>
      <x:c r="J365" s="1">
        <x:v>2.3</x:v>
      </x:c>
      <x:c r="K365" s="18">
        <x:f t="shared" si="1"/>
        <x:v>0</x:v>
      </x:c>
      <x:c r="L365" s="18">
        <x:f t="shared" si="2"/>
        <x:v>0</x:v>
      </x:c>
      <x:c r="M365" s="119"/>
      <x:c r="N365" s="119"/>
      <x:c r="O365" s="119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</x:row>
    <x:row r="366" ht="14.25" customHeight="1">
      <x:c r="A366" s="1" t="s">
        <x:v>724</x:v>
      </x:c>
      <x:c r="B366" s="1" t="s">
        <x:v>515</x:v>
      </x:c>
      <x:c r="C366" s="1">
        <x:v>0.0</x:v>
      </x:c>
      <x:c r="D366" s="1">
        <x:v>0.0</x:v>
      </x:c>
      <x:c r="E366" s="1">
        <x:v>0.0</x:v>
      </x:c>
      <x:c r="F366" s="1">
        <x:v>0.0</x:v>
      </x:c>
      <x:c r="G366" s="1">
        <x:v>0.0</x:v>
      </x:c>
      <x:c r="H366" s="1">
        <x:v>0.0</x:v>
      </x:c>
      <x:c r="I366" s="1">
        <x:v>0.0</x:v>
      </x:c>
      <x:c r="J366" s="1">
        <x:v>0.0</x:v>
      </x:c>
      <x:c r="K366" s="18">
        <x:f t="shared" si="1"/>
        <x:v>0</x:v>
      </x:c>
      <x:c r="L366" s="18">
        <x:f t="shared" si="2"/>
        <x:v>0</x:v>
      </x:c>
      <x:c r="M366" s="119" t="n">
        <x:f>C368*Scoring!$B$32+D368/Scoring!$C$32+E368*Scoring!$D$32+F368*Scoring!$E$32+G368/Scoring!$F$32+H368*Scoring!$G$32+I368*Scoring!$H$32+K368*Scoring!$I$32+RB!L368*Scoring!$J$32+U366</x:f>
        <x:v>0</x:v>
      </x:c>
      <x:c r="N366" s="119" t="n">
        <x:f>C366*Scoring!$B$32+D366/Scoring!$C$32+E366*Scoring!$D$32+F366*Scoring!$E$32+G366/Scoring!$F$32+H366*Scoring!$G$32+I366*Scoring!$H$32+K366*Scoring!$I$32+RB!L366*Scoring!$J$32+U366</x:f>
        <x:v>0</x:v>
      </x:c>
      <x:c r="O366" s="119" t="n">
        <x:f>C367*Scoring!$B$32+D367/Scoring!$C$32+E367*Scoring!$D$32+F367*Scoring!$E$32+G367/Scoring!$F$32+H367*Scoring!$G$32+I367*Scoring!$H$32+K367*Scoring!$I$32+L367*Scoring!$J$32+U366</x:f>
        <x:v>0</x:v>
      </x:c>
      <x:c r="P366" s="9" t="n">
        <x:f>IF(COUNTIF(Rookies!$A:$A,A366)&gt;0,1,0)</x:f>
        <x:v>0</x:v>
      </x:c>
      <x:c r="Q366" s="9"/>
      <x:c r="R366" s="9"/>
      <x:c r="S366" s="9" t="n">
        <x:f>V366/17</x:f>
        <x:v>0</x:v>
      </x:c>
      <x:c r="T366" s="9" t="n">
        <x:f>IF(P366=1,MAX(0,0.258*(14.9-S366)),0)</x:f>
        <x:v>0</x:v>
      </x:c>
      <x:c r="U366" s="9" t="n">
        <x:f>T366*17</x:f>
        <x:v>0</x:v>
      </x:c>
      <x:c r="V366" s="9" t="n">
        <x:f>C366*Scoring!$B$32+D366/Scoring!$C$32+E366*Scoring!$D$32+F366*Scoring!$E$32+G366/Scoring!$F$32+H366*Scoring!$G$32+I366*Scoring!$H$32+K366*Scoring!$I$32+RB!L366*Scoring!$J$32</x:f>
        <x:v>0</x:v>
      </x:c>
      <x:c r="W366" s="9"/>
      <x:c r="X366" s="9"/>
      <x:c r="Y366" s="9"/>
      <x:c r="Z366" s="9"/>
    </x:row>
    <x:row r="367" ht="14.25" customHeight="1">
      <x:c r="B367" s="1" t="s">
        <x:v>488</x:v>
      </x:c>
      <x:c r="C367" s="1">
        <x:v>0.0</x:v>
      </x:c>
      <x:c r="D367" s="1">
        <x:v>0.0</x:v>
      </x:c>
      <x:c r="E367" s="1">
        <x:v>0.0</x:v>
      </x:c>
      <x:c r="F367" s="1">
        <x:v>0.0</x:v>
      </x:c>
      <x:c r="G367" s="1">
        <x:v>0.0</x:v>
      </x:c>
      <x:c r="H367" s="1">
        <x:v>0.0</x:v>
      </x:c>
      <x:c r="I367" s="1">
        <x:v>0.0</x:v>
      </x:c>
      <x:c r="J367" s="1">
        <x:v>0.4</x:v>
      </x:c>
      <x:c r="K367" s="18">
        <x:f t="shared" si="1"/>
        <x:v>0</x:v>
      </x:c>
      <x:c r="L367" s="18">
        <x:f t="shared" si="2"/>
        <x:v>0</x:v>
      </x:c>
      <x:c r="M367" s="119"/>
      <x:c r="N367" s="119"/>
      <x:c r="O367" s="119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</x:row>
    <x:row r="368" ht="14.25" customHeight="1">
      <x:c r="B368" s="1" t="s">
        <x:v>489</x:v>
      </x:c>
      <x:c r="C368" s="1">
        <x:v>0.0</x:v>
      </x:c>
      <x:c r="D368" s="1">
        <x:v>0.0</x:v>
      </x:c>
      <x:c r="E368" s="1">
        <x:v>0.0</x:v>
      </x:c>
      <x:c r="F368" s="1">
        <x:v>0.0</x:v>
      </x:c>
      <x:c r="G368" s="1">
        <x:v>0.0</x:v>
      </x:c>
      <x:c r="H368" s="1">
        <x:v>0.0</x:v>
      </x:c>
      <x:c r="I368" s="1">
        <x:v>0.0</x:v>
      </x:c>
      <x:c r="J368" s="1">
        <x:v>0.4</x:v>
      </x:c>
      <x:c r="K368" s="18">
        <x:f t="shared" si="1"/>
        <x:v>0</x:v>
      </x:c>
      <x:c r="L368" s="18">
        <x:f t="shared" si="2"/>
        <x:v>0</x:v>
      </x:c>
      <x:c r="M368" s="119"/>
      <x:c r="N368" s="119"/>
      <x:c r="O368" s="119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</x:row>
    <x:row r="369" ht="14.25" customHeight="1">
      <x:c r="A369" s="1" t="s">
        <x:v>725</x:v>
      </x:c>
      <x:c r="B369" s="1" t="s">
        <x:v>543</x:v>
      </x:c>
      <x:c r="C369" s="1">
        <x:v>0.0</x:v>
      </x:c>
      <x:c r="D369" s="1">
        <x:v>0.0</x:v>
      </x:c>
      <x:c r="E369" s="1">
        <x:v>0.0</x:v>
      </x:c>
      <x:c r="F369" s="1">
        <x:v>0.0</x:v>
      </x:c>
      <x:c r="G369" s="1">
        <x:v>0.0</x:v>
      </x:c>
      <x:c r="H369" s="1">
        <x:v>0.0</x:v>
      </x:c>
      <x:c r="I369" s="1">
        <x:v>0.0</x:v>
      </x:c>
      <x:c r="J369" s="1">
        <x:v>0.0</x:v>
      </x:c>
      <x:c r="K369" s="18">
        <x:f t="shared" si="1"/>
        <x:v>0</x:v>
      </x:c>
      <x:c r="L369" s="18">
        <x:f t="shared" si="2"/>
        <x:v>0</x:v>
      </x:c>
      <x:c r="M369" s="119" t="n">
        <x:f>C371*Scoring!$B$32+D371/Scoring!$C$32+E371*Scoring!$D$32+F371*Scoring!$E$32+G371/Scoring!$F$32+H371*Scoring!$G$32+I371*Scoring!$H$32+K371*Scoring!$I$32+RB!L371*Scoring!$J$32+U369</x:f>
        <x:v>0</x:v>
      </x:c>
      <x:c r="N369" s="119" t="n">
        <x:f>C369*Scoring!$B$32+D369/Scoring!$C$32+E369*Scoring!$D$32+F369*Scoring!$E$32+G369/Scoring!$F$32+H369*Scoring!$G$32+I369*Scoring!$H$32+K369*Scoring!$I$32+RB!L369*Scoring!$J$32+U369</x:f>
        <x:v>0</x:v>
      </x:c>
      <x:c r="O369" s="119" t="n">
        <x:f>C370*Scoring!$B$32+D370/Scoring!$C$32+E370*Scoring!$D$32+F370*Scoring!$E$32+G370/Scoring!$F$32+H370*Scoring!$G$32+I370*Scoring!$H$32+K370*Scoring!$I$32+L370*Scoring!$J$32+U369</x:f>
        <x:v>0</x:v>
      </x:c>
      <x:c r="P369" s="9" t="n">
        <x:f>IF(COUNTIF(Rookies!$A:$A,A369)&gt;0,1,0)</x:f>
        <x:v>0</x:v>
      </x:c>
      <x:c r="Q369" s="9"/>
      <x:c r="R369" s="9"/>
      <x:c r="S369" s="9" t="n">
        <x:f>V369/17</x:f>
        <x:v>0</x:v>
      </x:c>
      <x:c r="T369" s="9" t="n">
        <x:f>IF(P369=1,MAX(0,0.258*(14.9-S369)),0)</x:f>
        <x:v>0</x:v>
      </x:c>
      <x:c r="U369" s="9" t="n">
        <x:f>T369*17</x:f>
        <x:v>0</x:v>
      </x:c>
      <x:c r="V369" s="9" t="n">
        <x:f>C369*Scoring!$B$32+D369/Scoring!$C$32+E369*Scoring!$D$32+F369*Scoring!$E$32+G369/Scoring!$F$32+H369*Scoring!$G$32+I369*Scoring!$H$32+K369*Scoring!$I$32+RB!L369*Scoring!$J$32</x:f>
        <x:v>0</x:v>
      </x:c>
      <x:c r="W369" s="9"/>
      <x:c r="X369" s="9"/>
      <x:c r="Y369" s="9"/>
      <x:c r="Z369" s="9"/>
    </x:row>
    <x:row r="370" ht="14.25" customHeight="1">
      <x:c r="B370" s="1" t="s">
        <x:v>488</x:v>
      </x:c>
      <x:c r="C370" s="1">
        <x:v>0.0</x:v>
      </x:c>
      <x:c r="D370" s="1">
        <x:v>0.0</x:v>
      </x:c>
      <x:c r="E370" s="1">
        <x:v>0.0</x:v>
      </x:c>
      <x:c r="F370" s="1">
        <x:v>0.0</x:v>
      </x:c>
      <x:c r="G370" s="1">
        <x:v>0.0</x:v>
      </x:c>
      <x:c r="H370" s="1">
        <x:v>0.0</x:v>
      </x:c>
      <x:c r="I370" s="1">
        <x:v>0.0</x:v>
      </x:c>
      <x:c r="J370" s="1">
        <x:v>0.8</x:v>
      </x:c>
      <x:c r="K370" s="18">
        <x:f t="shared" si="1"/>
        <x:v>0</x:v>
      </x:c>
      <x:c r="L370" s="18">
        <x:f t="shared" si="2"/>
        <x:v>0</x:v>
      </x:c>
      <x:c r="M370" s="119"/>
      <x:c r="N370" s="119"/>
      <x:c r="O370" s="119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  <x:c r="Z370" s="9"/>
    </x:row>
    <x:row r="371" ht="14.25" customHeight="1">
      <x:c r="B371" s="1" t="s">
        <x:v>489</x:v>
      </x:c>
      <x:c r="C371" s="1">
        <x:v>0.0</x:v>
      </x:c>
      <x:c r="D371" s="1">
        <x:v>0.0</x:v>
      </x:c>
      <x:c r="E371" s="1">
        <x:v>0.0</x:v>
      </x:c>
      <x:c r="F371" s="1">
        <x:v>0.0</x:v>
      </x:c>
      <x:c r="G371" s="1">
        <x:v>0.0</x:v>
      </x:c>
      <x:c r="H371" s="1">
        <x:v>0.0</x:v>
      </x:c>
      <x:c r="I371" s="1">
        <x:v>0.0</x:v>
      </x:c>
      <x:c r="J371" s="1">
        <x:v>0.8</x:v>
      </x:c>
      <x:c r="K371" s="18">
        <x:f t="shared" si="1"/>
        <x:v>0</x:v>
      </x:c>
      <x:c r="L371" s="18">
        <x:f t="shared" si="2"/>
        <x:v>0</x:v>
      </x:c>
      <x:c r="M371" s="119"/>
      <x:c r="N371" s="119"/>
      <x:c r="O371" s="119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  <x:c r="Z371" s="9"/>
    </x:row>
    <x:row r="372" ht="14.25" customHeight="1">
      <x:c r="A372" s="1" t="s">
        <x:v>726</x:v>
      </x:c>
      <x:c r="B372" s="1" t="s">
        <x:v>543</x:v>
      </x:c>
      <x:c r="C372" s="1">
        <x:v>0.0</x:v>
      </x:c>
      <x:c r="D372" s="1">
        <x:v>0.0</x:v>
      </x:c>
      <x:c r="E372" s="1">
        <x:v>0.0</x:v>
      </x:c>
      <x:c r="F372" s="1">
        <x:v>0.0</x:v>
      </x:c>
      <x:c r="G372" s="1">
        <x:v>0.0</x:v>
      </x:c>
      <x:c r="H372" s="1">
        <x:v>0.0</x:v>
      </x:c>
      <x:c r="I372" s="1">
        <x:v>0.0</x:v>
      </x:c>
      <x:c r="J372" s="1">
        <x:v>0.0</x:v>
      </x:c>
      <x:c r="K372" s="18">
        <x:f t="shared" si="1"/>
        <x:v>0</x:v>
      </x:c>
      <x:c r="L372" s="18">
        <x:f t="shared" si="2"/>
        <x:v>0</x:v>
      </x:c>
      <x:c r="M372" s="119" t="n">
        <x:f>C374*Scoring!$B$32+D374/Scoring!$C$32+E374*Scoring!$D$32+F374*Scoring!$E$32+G374/Scoring!$F$32+H374*Scoring!$G$32+I374*Scoring!$H$32+K374*Scoring!$I$32+RB!L374*Scoring!$J$32+U372</x:f>
        <x:v>0</x:v>
      </x:c>
      <x:c r="N372" s="119" t="n">
        <x:f>C372*Scoring!$B$32+D372/Scoring!$C$32+E372*Scoring!$D$32+F372*Scoring!$E$32+G372/Scoring!$F$32+H372*Scoring!$G$32+I372*Scoring!$H$32+K372*Scoring!$I$32+RB!L372*Scoring!$J$32+U372</x:f>
        <x:v>0</x:v>
      </x:c>
      <x:c r="O372" s="119" t="n">
        <x:f>C373*Scoring!$B$32+D373/Scoring!$C$32+E373*Scoring!$D$32+F373*Scoring!$E$32+G373/Scoring!$F$32+H373*Scoring!$G$32+I373*Scoring!$H$32+K373*Scoring!$I$32+L373*Scoring!$J$32+U372</x:f>
        <x:v>0</x:v>
      </x:c>
      <x:c r="P372" s="9" t="n">
        <x:f>IF(COUNTIF(Rookies!$A:$A,A372)&gt;0,1,0)</x:f>
        <x:v>0</x:v>
      </x:c>
      <x:c r="Q372" s="9"/>
      <x:c r="R372" s="9"/>
      <x:c r="S372" s="9" t="n">
        <x:f>V372/17</x:f>
        <x:v>0</x:v>
      </x:c>
      <x:c r="T372" s="9" t="n">
        <x:f>IF(P372=1,MAX(0,0.258*(14.9-S372)),0)</x:f>
        <x:v>0</x:v>
      </x:c>
      <x:c r="U372" s="9" t="n">
        <x:f>T372*17</x:f>
        <x:v>0</x:v>
      </x:c>
      <x:c r="V372" s="9" t="n">
        <x:f>C372*Scoring!$B$32+D372/Scoring!$C$32+E372*Scoring!$D$32+F372*Scoring!$E$32+G372/Scoring!$F$32+H372*Scoring!$G$32+I372*Scoring!$H$32+K372*Scoring!$I$32+RB!L372*Scoring!$J$32</x:f>
        <x:v>0</x:v>
      </x:c>
      <x:c r="W372" s="9"/>
      <x:c r="X372" s="9"/>
      <x:c r="Y372" s="9"/>
      <x:c r="Z372" s="9"/>
    </x:row>
    <x:row r="373" ht="14.25" customHeight="1">
      <x:c r="B373" s="1" t="s">
        <x:v>488</x:v>
      </x:c>
      <x:c r="C373" s="1">
        <x:v>0.0</x:v>
      </x:c>
      <x:c r="D373" s="1">
        <x:v>0.0</x:v>
      </x:c>
      <x:c r="E373" s="1">
        <x:v>0.0</x:v>
      </x:c>
      <x:c r="F373" s="1">
        <x:v>0.0</x:v>
      </x:c>
      <x:c r="G373" s="1">
        <x:v>0.0</x:v>
      </x:c>
      <x:c r="H373" s="1">
        <x:v>0.0</x:v>
      </x:c>
      <x:c r="I373" s="1">
        <x:v>0.0</x:v>
      </x:c>
      <x:c r="J373" s="1">
        <x:v>0.0</x:v>
      </x:c>
      <x:c r="K373" s="18">
        <x:f t="shared" si="1"/>
        <x:v>0</x:v>
      </x:c>
      <x:c r="L373" s="18">
        <x:f t="shared" si="2"/>
        <x:v>0</x:v>
      </x:c>
      <x:c r="M373" s="119"/>
      <x:c r="N373" s="119"/>
      <x:c r="O373" s="119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</x:row>
    <x:row r="374" ht="14.25" customHeight="1">
      <x:c r="B374" s="1" t="s">
        <x:v>489</x:v>
      </x:c>
      <x:c r="C374" s="1">
        <x:v>0.0</x:v>
      </x:c>
      <x:c r="D374" s="1">
        <x:v>0.0</x:v>
      </x:c>
      <x:c r="E374" s="1">
        <x:v>0.0</x:v>
      </x:c>
      <x:c r="F374" s="1">
        <x:v>0.0</x:v>
      </x:c>
      <x:c r="G374" s="1">
        <x:v>0.0</x:v>
      </x:c>
      <x:c r="H374" s="1">
        <x:v>0.0</x:v>
      </x:c>
      <x:c r="I374" s="1">
        <x:v>0.0</x:v>
      </x:c>
      <x:c r="J374" s="1">
        <x:v>0.0</x:v>
      </x:c>
      <x:c r="K374" s="18">
        <x:f t="shared" si="1"/>
        <x:v>0</x:v>
      </x:c>
      <x:c r="L374" s="18">
        <x:f t="shared" si="2"/>
        <x:v>0</x:v>
      </x:c>
      <x:c r="M374" s="119"/>
      <x:c r="N374" s="119"/>
      <x:c r="O374" s="119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</x:row>
    <x:row r="375" ht="14.25" customHeight="1">
      <x:c r="A375" s="1" t="s">
        <x:v>727</x:v>
      </x:c>
      <x:c r="B375" s="1" t="s">
        <x:v>519</x:v>
      </x:c>
      <x:c r="C375" s="1">
        <x:v>0.0</x:v>
      </x:c>
      <x:c r="D375" s="1">
        <x:v>0.0</x:v>
      </x:c>
      <x:c r="E375" s="1">
        <x:v>0.0</x:v>
      </x:c>
      <x:c r="F375" s="1">
        <x:v>0.0</x:v>
      </x:c>
      <x:c r="G375" s="1">
        <x:v>0.0</x:v>
      </x:c>
      <x:c r="H375" s="1">
        <x:v>0.0</x:v>
      </x:c>
      <x:c r="I375" s="1">
        <x:v>0.0</x:v>
      </x:c>
      <x:c r="J375" s="1">
        <x:v>0.0</x:v>
      </x:c>
      <x:c r="K375" s="18">
        <x:f t="shared" si="1"/>
        <x:v>0</x:v>
      </x:c>
      <x:c r="L375" s="18">
        <x:f t="shared" si="2"/>
        <x:v>0</x:v>
      </x:c>
      <x:c r="M375" s="119" t="n">
        <x:f>C377*Scoring!$B$32+D377/Scoring!$C$32+E377*Scoring!$D$32+F377*Scoring!$E$32+G377/Scoring!$F$32+H377*Scoring!$G$32+I377*Scoring!$H$32+K377*Scoring!$I$32+RB!L377*Scoring!$J$32+U375</x:f>
        <x:v>0</x:v>
      </x:c>
      <x:c r="N375" s="119" t="n">
        <x:f>C375*Scoring!$B$32+D375/Scoring!$C$32+E375*Scoring!$D$32+F375*Scoring!$E$32+G375/Scoring!$F$32+H375*Scoring!$G$32+I375*Scoring!$H$32+K375*Scoring!$I$32+RB!L375*Scoring!$J$32+U375</x:f>
        <x:v>0</x:v>
      </x:c>
      <x:c r="O375" s="119" t="n">
        <x:f>C376*Scoring!$B$32+D376/Scoring!$C$32+E376*Scoring!$D$32+F376*Scoring!$E$32+G376/Scoring!$F$32+H376*Scoring!$G$32+I376*Scoring!$H$32+K376*Scoring!$I$32+L376*Scoring!$J$32+U375</x:f>
        <x:v>0</x:v>
      </x:c>
      <x:c r="P375" s="9" t="n">
        <x:f>IF(COUNTIF(Rookies!$A:$A,A375)&gt;0,1,0)</x:f>
        <x:v>0</x:v>
      </x:c>
      <x:c r="Q375" s="9"/>
      <x:c r="R375" s="9"/>
      <x:c r="S375" s="9" t="n">
        <x:f>V375/17</x:f>
        <x:v>0</x:v>
      </x:c>
      <x:c r="T375" s="9" t="n">
        <x:f>IF(P375=1,MAX(0,0.258*(14.9-S375)),0)</x:f>
        <x:v>0</x:v>
      </x:c>
      <x:c r="U375" s="9" t="n">
        <x:f>T375*17</x:f>
        <x:v>0</x:v>
      </x:c>
      <x:c r="V375" s="9" t="n">
        <x:f>C375*Scoring!$B$32+D375/Scoring!$C$32+E375*Scoring!$D$32+F375*Scoring!$E$32+G375/Scoring!$F$32+H375*Scoring!$G$32+I375*Scoring!$H$32+K375*Scoring!$I$32+RB!L375*Scoring!$J$32</x:f>
        <x:v>0</x:v>
      </x:c>
      <x:c r="W375" s="9"/>
      <x:c r="X375" s="9"/>
      <x:c r="Y375" s="9"/>
      <x:c r="Z375" s="9"/>
    </x:row>
    <x:row r="376" ht="14.25" customHeight="1">
      <x:c r="B376" s="1" t="s">
        <x:v>488</x:v>
      </x:c>
      <x:c r="C376" s="1">
        <x:v>0.0</x:v>
      </x:c>
      <x:c r="D376" s="1">
        <x:v>0.0</x:v>
      </x:c>
      <x:c r="E376" s="1">
        <x:v>0.0</x:v>
      </x:c>
      <x:c r="F376" s="1">
        <x:v>0.0</x:v>
      </x:c>
      <x:c r="G376" s="1">
        <x:v>0.0</x:v>
      </x:c>
      <x:c r="H376" s="1">
        <x:v>0.0</x:v>
      </x:c>
      <x:c r="I376" s="1">
        <x:v>0.0</x:v>
      </x:c>
      <x:c r="J376" s="1">
        <x:v>0.3</x:v>
      </x:c>
      <x:c r="K376" s="18">
        <x:f t="shared" si="1"/>
        <x:v>0</x:v>
      </x:c>
      <x:c r="L376" s="18">
        <x:f t="shared" si="2"/>
        <x:v>0</x:v>
      </x:c>
      <x:c r="M376" s="119"/>
      <x:c r="N376" s="119"/>
      <x:c r="O376" s="119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</x:row>
    <x:row r="377" ht="14.25" customHeight="1">
      <x:c r="B377" s="1" t="s">
        <x:v>489</x:v>
      </x:c>
      <x:c r="C377" s="1">
        <x:v>0.0</x:v>
      </x:c>
      <x:c r="D377" s="1">
        <x:v>0.0</x:v>
      </x:c>
      <x:c r="E377" s="1">
        <x:v>0.0</x:v>
      </x:c>
      <x:c r="F377" s="1">
        <x:v>0.0</x:v>
      </x:c>
      <x:c r="G377" s="1">
        <x:v>0.0</x:v>
      </x:c>
      <x:c r="H377" s="1">
        <x:v>0.0</x:v>
      </x:c>
      <x:c r="I377" s="1">
        <x:v>0.0</x:v>
      </x:c>
      <x:c r="J377" s="1">
        <x:v>0.3</x:v>
      </x:c>
      <x:c r="K377" s="18">
        <x:f t="shared" si="1"/>
        <x:v>0</x:v>
      </x:c>
      <x:c r="L377" s="18">
        <x:f t="shared" si="2"/>
        <x:v>0</x:v>
      </x:c>
      <x:c r="M377" s="119"/>
      <x:c r="N377" s="119"/>
      <x:c r="O377" s="119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</x:row>
    <x:row r="378" ht="14.25" customHeight="1">
      <x:c r="A378" s="1" t="s">
        <x:v>728</x:v>
      </x:c>
      <x:c r="B378" s="1" t="s">
        <x:v>525</x:v>
      </x:c>
      <x:c r="C378" s="1">
        <x:v>0.0</x:v>
      </x:c>
      <x:c r="D378" s="1">
        <x:v>0.0</x:v>
      </x:c>
      <x:c r="E378" s="1">
        <x:v>0.0</x:v>
      </x:c>
      <x:c r="F378" s="1">
        <x:v>0.0</x:v>
      </x:c>
      <x:c r="G378" s="1">
        <x:v>0.0</x:v>
      </x:c>
      <x:c r="H378" s="1">
        <x:v>0.0</x:v>
      </x:c>
      <x:c r="I378" s="1">
        <x:v>0.0</x:v>
      </x:c>
      <x:c r="J378" s="1">
        <x:v>0.0</x:v>
      </x:c>
      <x:c r="K378" s="18">
        <x:f t="shared" si="1"/>
        <x:v>0</x:v>
      </x:c>
      <x:c r="L378" s="18">
        <x:f t="shared" si="2"/>
        <x:v>0</x:v>
      </x:c>
      <x:c r="M378" s="119" t="n">
        <x:f>C380*Scoring!$B$32+D380/Scoring!$C$32+E380*Scoring!$D$32+F380*Scoring!$E$32+G380/Scoring!$F$32+H380*Scoring!$G$32+I380*Scoring!$H$32+K380*Scoring!$I$32+RB!L380*Scoring!$J$32+U378</x:f>
        <x:v>0</x:v>
      </x:c>
      <x:c r="N378" s="119" t="n">
        <x:f>C378*Scoring!$B$32+D378/Scoring!$C$32+E378*Scoring!$D$32+F378*Scoring!$E$32+G378/Scoring!$F$32+H378*Scoring!$G$32+I378*Scoring!$H$32+K378*Scoring!$I$32+RB!L378*Scoring!$J$32+U378</x:f>
        <x:v>0</x:v>
      </x:c>
      <x:c r="O378" s="119" t="n">
        <x:f>C379*Scoring!$B$32+D379/Scoring!$C$32+E379*Scoring!$D$32+F379*Scoring!$E$32+G379/Scoring!$F$32+H379*Scoring!$G$32+I379*Scoring!$H$32+K379*Scoring!$I$32+L379*Scoring!$J$32+U378</x:f>
        <x:v>0</x:v>
      </x:c>
      <x:c r="P378" s="9" t="n">
        <x:f>IF(COUNTIF(Rookies!$A:$A,A378)&gt;0,1,0)</x:f>
        <x:v>0</x:v>
      </x:c>
      <x:c r="Q378" s="9"/>
      <x:c r="R378" s="9"/>
      <x:c r="S378" s="9" t="n">
        <x:f>V378/17</x:f>
        <x:v>0</x:v>
      </x:c>
      <x:c r="T378" s="9" t="n">
        <x:f>IF(P378=1,MAX(0,0.258*(14.9-S378)),0)</x:f>
        <x:v>0</x:v>
      </x:c>
      <x:c r="U378" s="9" t="n">
        <x:f>T378*17</x:f>
        <x:v>0</x:v>
      </x:c>
      <x:c r="V378" s="9" t="n">
        <x:f>C378*Scoring!$B$32+D378/Scoring!$C$32+E378*Scoring!$D$32+F378*Scoring!$E$32+G378/Scoring!$F$32+H378*Scoring!$G$32+I378*Scoring!$H$32+K378*Scoring!$I$32+RB!L378*Scoring!$J$32</x:f>
        <x:v>0</x:v>
      </x:c>
      <x:c r="W378" s="9"/>
      <x:c r="X378" s="9"/>
      <x:c r="Y378" s="9"/>
      <x:c r="Z378" s="9"/>
    </x:row>
    <x:row r="379" ht="14.25" customHeight="1">
      <x:c r="B379" s="1" t="s">
        <x:v>488</x:v>
      </x:c>
      <x:c r="C379" s="1">
        <x:v>0.0</x:v>
      </x:c>
      <x:c r="D379" s="1">
        <x:v>0.0</x:v>
      </x:c>
      <x:c r="E379" s="1">
        <x:v>0.0</x:v>
      </x:c>
      <x:c r="F379" s="1">
        <x:v>0.0</x:v>
      </x:c>
      <x:c r="G379" s="1">
        <x:v>0.0</x:v>
      </x:c>
      <x:c r="H379" s="1">
        <x:v>0.0</x:v>
      </x:c>
      <x:c r="I379" s="1">
        <x:v>0.0</x:v>
      </x:c>
      <x:c r="J379" s="1">
        <x:v>0.0</x:v>
      </x:c>
      <x:c r="K379" s="18">
        <x:f t="shared" si="1"/>
        <x:v>0</x:v>
      </x:c>
      <x:c r="L379" s="18">
        <x:f t="shared" si="2"/>
        <x:v>0</x:v>
      </x:c>
      <x:c r="M379" s="119"/>
      <x:c r="N379" s="119"/>
      <x:c r="O379" s="119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</x:row>
    <x:row r="380" ht="14.25" customHeight="1">
      <x:c r="B380" s="1" t="s">
        <x:v>489</x:v>
      </x:c>
      <x:c r="C380" s="1">
        <x:v>0.0</x:v>
      </x:c>
      <x:c r="D380" s="1">
        <x:v>0.0</x:v>
      </x:c>
      <x:c r="E380" s="1">
        <x:v>0.0</x:v>
      </x:c>
      <x:c r="F380" s="1">
        <x:v>0.0</x:v>
      </x:c>
      <x:c r="G380" s="1">
        <x:v>0.0</x:v>
      </x:c>
      <x:c r="H380" s="1">
        <x:v>0.0</x:v>
      </x:c>
      <x:c r="I380" s="1">
        <x:v>0.0</x:v>
      </x:c>
      <x:c r="J380" s="1">
        <x:v>0.0</x:v>
      </x:c>
      <x:c r="K380" s="18">
        <x:f t="shared" si="1"/>
        <x:v>0</x:v>
      </x:c>
      <x:c r="L380" s="18">
        <x:f t="shared" si="2"/>
        <x:v>0</x:v>
      </x:c>
      <x:c r="M380" s="119"/>
      <x:c r="N380" s="119"/>
      <x:c r="O380" s="119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/>
      <x:c r="Z380" s="9"/>
    </x:row>
    <x:row r="381" ht="14.25" customHeight="1">
      <x:c r="A381" s="1" t="s">
        <x:v>729</x:v>
      </x:c>
      <x:c r="B381" s="1" t="s">
        <x:v>491</x:v>
      </x:c>
      <x:c r="C381" s="1">
        <x:v>0.0</x:v>
      </x:c>
      <x:c r="D381" s="1">
        <x:v>0.0</x:v>
      </x:c>
      <x:c r="E381" s="1">
        <x:v>0.0</x:v>
      </x:c>
      <x:c r="F381" s="1">
        <x:v>0.0</x:v>
      </x:c>
      <x:c r="G381" s="1">
        <x:v>0.0</x:v>
      </x:c>
      <x:c r="H381" s="1">
        <x:v>0.0</x:v>
      </x:c>
      <x:c r="I381" s="1">
        <x:v>0.0</x:v>
      </x:c>
      <x:c r="J381" s="1">
        <x:v>0.0</x:v>
      </x:c>
      <x:c r="K381" s="18">
        <x:f t="shared" si="1"/>
        <x:v>0</x:v>
      </x:c>
      <x:c r="L381" s="18">
        <x:f t="shared" si="2"/>
        <x:v>0</x:v>
      </x:c>
      <x:c r="M381" s="119" t="n">
        <x:f>C383*Scoring!$B$32+D383/Scoring!$C$32+E383*Scoring!$D$32+F383*Scoring!$E$32+G383/Scoring!$F$32+H383*Scoring!$G$32+I383*Scoring!$H$32+K383*Scoring!$I$32+RB!L383*Scoring!$J$32+U381</x:f>
        <x:v>0</x:v>
      </x:c>
      <x:c r="N381" s="119" t="n">
        <x:f>C381*Scoring!$B$32+D381/Scoring!$C$32+E381*Scoring!$D$32+F381*Scoring!$E$32+G381/Scoring!$F$32+H381*Scoring!$G$32+I381*Scoring!$H$32+K381*Scoring!$I$32+RB!L381*Scoring!$J$32+U381</x:f>
        <x:v>0</x:v>
      </x:c>
      <x:c r="O381" s="119" t="n">
        <x:f>C382*Scoring!$B$32+D382/Scoring!$C$32+E382*Scoring!$D$32+F382*Scoring!$E$32+G382/Scoring!$F$32+H382*Scoring!$G$32+I382*Scoring!$H$32+K382*Scoring!$I$32+L382*Scoring!$J$32+U381</x:f>
        <x:v>0</x:v>
      </x:c>
      <x:c r="P381" s="9" t="n">
        <x:f>IF(COUNTIF(Rookies!$A:$A,A381)&gt;0,1,0)</x:f>
        <x:v>0</x:v>
      </x:c>
      <x:c r="Q381" s="9"/>
      <x:c r="R381" s="9"/>
      <x:c r="S381" s="9" t="n">
        <x:f>V381/17</x:f>
        <x:v>0</x:v>
      </x:c>
      <x:c r="T381" s="9" t="n">
        <x:f>IF(P381=1,MAX(0,0.258*(14.9-S381)),0)</x:f>
        <x:v>0</x:v>
      </x:c>
      <x:c r="U381" s="9" t="n">
        <x:f>T381*17</x:f>
        <x:v>0</x:v>
      </x:c>
      <x:c r="V381" s="9" t="n">
        <x:f>C381*Scoring!$B$32+D381/Scoring!$C$32+E381*Scoring!$D$32+F381*Scoring!$E$32+G381/Scoring!$F$32+H381*Scoring!$G$32+I381*Scoring!$H$32+K381*Scoring!$I$32+RB!L381*Scoring!$J$32</x:f>
        <x:v>0</x:v>
      </x:c>
      <x:c r="W381" s="9"/>
      <x:c r="X381" s="9"/>
      <x:c r="Y381" s="9"/>
      <x:c r="Z381" s="9"/>
    </x:row>
    <x:row r="382" ht="14.25" customHeight="1">
      <x:c r="B382" s="1" t="s">
        <x:v>488</x:v>
      </x:c>
      <x:c r="C382" s="1">
        <x:v>0.0</x:v>
      </x:c>
      <x:c r="D382" s="1">
        <x:v>0.0</x:v>
      </x:c>
      <x:c r="E382" s="1">
        <x:v>0.0</x:v>
      </x:c>
      <x:c r="F382" s="1">
        <x:v>0.0</x:v>
      </x:c>
      <x:c r="G382" s="1">
        <x:v>0.0</x:v>
      </x:c>
      <x:c r="H382" s="1">
        <x:v>0.0</x:v>
      </x:c>
      <x:c r="I382" s="1">
        <x:v>0.0</x:v>
      </x:c>
      <x:c r="J382" s="1">
        <x:v>0.5</x:v>
      </x:c>
      <x:c r="K382" s="18">
        <x:f t="shared" si="1"/>
        <x:v>0</x:v>
      </x:c>
      <x:c r="L382" s="18">
        <x:f t="shared" si="2"/>
        <x:v>0</x:v>
      </x:c>
      <x:c r="M382" s="119"/>
      <x:c r="N382" s="119"/>
      <x:c r="O382" s="119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  <x:c r="Z382" s="9"/>
    </x:row>
    <x:row r="383" ht="14.25" customHeight="1">
      <x:c r="B383" s="1" t="s">
        <x:v>489</x:v>
      </x:c>
      <x:c r="C383" s="1">
        <x:v>0.0</x:v>
      </x:c>
      <x:c r="D383" s="1">
        <x:v>0.0</x:v>
      </x:c>
      <x:c r="E383" s="1">
        <x:v>0.0</x:v>
      </x:c>
      <x:c r="F383" s="1">
        <x:v>0.0</x:v>
      </x:c>
      <x:c r="G383" s="1">
        <x:v>0.0</x:v>
      </x:c>
      <x:c r="H383" s="1">
        <x:v>0.0</x:v>
      </x:c>
      <x:c r="I383" s="1">
        <x:v>0.0</x:v>
      </x:c>
      <x:c r="J383" s="1">
        <x:v>0.5</x:v>
      </x:c>
      <x:c r="K383" s="18">
        <x:f t="shared" si="1"/>
        <x:v>0</x:v>
      </x:c>
      <x:c r="L383" s="18">
        <x:f t="shared" si="2"/>
        <x:v>0</x:v>
      </x:c>
      <x:c r="M383" s="119"/>
      <x:c r="N383" s="119"/>
      <x:c r="O383" s="119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  <x:c r="Z383" s="9"/>
    </x:row>
    <x:row r="384" ht="14.25" customHeight="1">
      <x:c r="A384" s="1" t="s">
        <x:v>730</x:v>
      </x:c>
      <x:c r="B384" s="1" t="s">
        <x:v>547</x:v>
      </x:c>
      <x:c r="C384" s="1">
        <x:v>0.0</x:v>
      </x:c>
      <x:c r="D384" s="1">
        <x:v>0.0</x:v>
      </x:c>
      <x:c r="E384" s="1">
        <x:v>0.0</x:v>
      </x:c>
      <x:c r="F384" s="1">
        <x:v>0.0</x:v>
      </x:c>
      <x:c r="G384" s="1">
        <x:v>0.0</x:v>
      </x:c>
      <x:c r="H384" s="1">
        <x:v>0.0</x:v>
      </x:c>
      <x:c r="I384" s="1">
        <x:v>0.0</x:v>
      </x:c>
      <x:c r="J384" s="1">
        <x:v>0.0</x:v>
      </x:c>
      <x:c r="K384" s="18">
        <x:f t="shared" si="1"/>
        <x:v>0</x:v>
      </x:c>
      <x:c r="L384" s="18">
        <x:f t="shared" si="2"/>
        <x:v>0</x:v>
      </x:c>
      <x:c r="M384" s="119" t="n">
        <x:f>C386*Scoring!$B$32+D386/Scoring!$C$32+E386*Scoring!$D$32+F386*Scoring!$E$32+G386/Scoring!$F$32+H386*Scoring!$G$32+I386*Scoring!$H$32+K386*Scoring!$I$32+RB!L386*Scoring!$J$32+U384</x:f>
        <x:v>0</x:v>
      </x:c>
      <x:c r="N384" s="119" t="n">
        <x:f>C384*Scoring!$B$32+D384/Scoring!$C$32+E384*Scoring!$D$32+F384*Scoring!$E$32+G384/Scoring!$F$32+H384*Scoring!$G$32+I384*Scoring!$H$32+K384*Scoring!$I$32+RB!L384*Scoring!$J$32+U384</x:f>
        <x:v>0</x:v>
      </x:c>
      <x:c r="O384" s="119" t="n">
        <x:f>C385*Scoring!$B$32+D385/Scoring!$C$32+E385*Scoring!$D$32+F385*Scoring!$E$32+G385/Scoring!$F$32+H385*Scoring!$G$32+I385*Scoring!$H$32+K385*Scoring!$I$32+L385*Scoring!$J$32+U384</x:f>
        <x:v>0</x:v>
      </x:c>
      <x:c r="P384" s="9" t="n">
        <x:f>IF(COUNTIF(Rookies!$A:$A,A384)&gt;0,1,0)</x:f>
        <x:v>0</x:v>
      </x:c>
      <x:c r="Q384" s="9"/>
      <x:c r="R384" s="9"/>
      <x:c r="S384" s="9" t="n">
        <x:f>V384/17</x:f>
        <x:v>0</x:v>
      </x:c>
      <x:c r="T384" s="9" t="n">
        <x:f>IF(P384=1,MAX(0,0.258*(14.9-S384)),0)</x:f>
        <x:v>0</x:v>
      </x:c>
      <x:c r="U384" s="9" t="n">
        <x:f>T384*17</x:f>
        <x:v>0</x:v>
      </x:c>
      <x:c r="V384" s="9" t="n">
        <x:f>C384*Scoring!$B$32+D384/Scoring!$C$32+E384*Scoring!$D$32+F384*Scoring!$E$32+G384/Scoring!$F$32+H384*Scoring!$G$32+I384*Scoring!$H$32+K384*Scoring!$I$32+RB!L384*Scoring!$J$32</x:f>
        <x:v>0</x:v>
      </x:c>
      <x:c r="W384" s="9"/>
      <x:c r="X384" s="9"/>
      <x:c r="Y384" s="9"/>
      <x:c r="Z384" s="9"/>
    </x:row>
    <x:row r="385" ht="14.25" customHeight="1">
      <x:c r="B385" s="1" t="s">
        <x:v>488</x:v>
      </x:c>
      <x:c r="C385" s="1">
        <x:v>0.0</x:v>
      </x:c>
      <x:c r="D385" s="1">
        <x:v>0.0</x:v>
      </x:c>
      <x:c r="E385" s="1">
        <x:v>0.0</x:v>
      </x:c>
      <x:c r="F385" s="1">
        <x:v>0.0</x:v>
      </x:c>
      <x:c r="G385" s="1">
        <x:v>0.0</x:v>
      </x:c>
      <x:c r="H385" s="1">
        <x:v>0.0</x:v>
      </x:c>
      <x:c r="I385" s="1">
        <x:v>0.0</x:v>
      </x:c>
      <x:c r="J385" s="1">
        <x:v>0.7</x:v>
      </x:c>
      <x:c r="K385" s="18">
        <x:f t="shared" si="1"/>
        <x:v>0</x:v>
      </x:c>
      <x:c r="L385" s="18">
        <x:f t="shared" si="2"/>
        <x:v>0</x:v>
      </x:c>
      <x:c r="M385" s="119"/>
      <x:c r="N385" s="119"/>
      <x:c r="O385" s="119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</x:row>
    <x:row r="386" ht="14.25" customHeight="1">
      <x:c r="B386" s="1" t="s">
        <x:v>489</x:v>
      </x:c>
      <x:c r="C386" s="1">
        <x:v>0.0</x:v>
      </x:c>
      <x:c r="D386" s="1">
        <x:v>0.0</x:v>
      </x:c>
      <x:c r="E386" s="1">
        <x:v>0.0</x:v>
      </x:c>
      <x:c r="F386" s="1">
        <x:v>0.0</x:v>
      </x:c>
      <x:c r="G386" s="1">
        <x:v>0.0</x:v>
      </x:c>
      <x:c r="H386" s="1">
        <x:v>0.0</x:v>
      </x:c>
      <x:c r="I386" s="1">
        <x:v>0.0</x:v>
      </x:c>
      <x:c r="J386" s="1">
        <x:v>0.7</x:v>
      </x:c>
      <x:c r="K386" s="18">
        <x:f t="shared" si="1"/>
        <x:v>0</x:v>
      </x:c>
      <x:c r="L386" s="18">
        <x:f t="shared" si="2"/>
        <x:v>0</x:v>
      </x:c>
      <x:c r="M386" s="119"/>
      <x:c r="N386" s="119"/>
      <x:c r="O386" s="119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</x:row>
    <x:row r="387" ht="14.25" customHeight="1">
      <x:c r="A387" s="1" t="s">
        <x:v>731</x:v>
      </x:c>
      <x:c r="B387" s="1" t="s">
        <x:v>547</x:v>
      </x:c>
      <x:c r="C387" s="1">
        <x:v>0.0</x:v>
      </x:c>
      <x:c r="D387" s="1">
        <x:v>0.0</x:v>
      </x:c>
      <x:c r="E387" s="1">
        <x:v>0.0</x:v>
      </x:c>
      <x:c r="F387" s="1">
        <x:v>0.0</x:v>
      </x:c>
      <x:c r="G387" s="1">
        <x:v>0.0</x:v>
      </x:c>
      <x:c r="H387" s="1">
        <x:v>0.0</x:v>
      </x:c>
      <x:c r="I387" s="1">
        <x:v>0.0</x:v>
      </x:c>
      <x:c r="J387" s="1">
        <x:v>0.0</x:v>
      </x:c>
      <x:c r="K387" s="18">
        <x:f t="shared" si="1"/>
        <x:v>0</x:v>
      </x:c>
      <x:c r="L387" s="18">
        <x:f t="shared" si="2"/>
        <x:v>0</x:v>
      </x:c>
      <x:c r="M387" s="119" t="n">
        <x:f>C389*Scoring!$B$32+D389/Scoring!$C$32+E389*Scoring!$D$32+F389*Scoring!$E$32+G389/Scoring!$F$32+H389*Scoring!$G$32+I389*Scoring!$H$32+K389*Scoring!$I$32+RB!L389*Scoring!$J$32+U387</x:f>
        <x:v>0</x:v>
      </x:c>
      <x:c r="N387" s="119" t="n">
        <x:f>C387*Scoring!$B$32+D387/Scoring!$C$32+E387*Scoring!$D$32+F387*Scoring!$E$32+G387/Scoring!$F$32+H387*Scoring!$G$32+I387*Scoring!$H$32+K387*Scoring!$I$32+RB!L387*Scoring!$J$32+U387</x:f>
        <x:v>0</x:v>
      </x:c>
      <x:c r="O387" s="119" t="n">
        <x:f>C388*Scoring!$B$32+D388/Scoring!$C$32+E388*Scoring!$D$32+F388*Scoring!$E$32+G388/Scoring!$F$32+H388*Scoring!$G$32+I388*Scoring!$H$32+K388*Scoring!$I$32+L388*Scoring!$J$32+U387</x:f>
        <x:v>0</x:v>
      </x:c>
      <x:c r="P387" s="9" t="n">
        <x:f>IF(COUNTIF(Rookies!$A:$A,A387)&gt;0,1,0)</x:f>
        <x:v>0</x:v>
      </x:c>
      <x:c r="Q387" s="9"/>
      <x:c r="R387" s="9"/>
      <x:c r="S387" s="9" t="n">
        <x:f>V387/17</x:f>
        <x:v>0</x:v>
      </x:c>
      <x:c r="T387" s="9" t="n">
        <x:f>IF(P387=1,MAX(0,0.258*(14.9-S387)),0)</x:f>
        <x:v>0</x:v>
      </x:c>
      <x:c r="U387" s="9" t="n">
        <x:f>T387*17</x:f>
        <x:v>0</x:v>
      </x:c>
      <x:c r="V387" s="9" t="n">
        <x:f>C387*Scoring!$B$32+D387/Scoring!$C$32+E387*Scoring!$D$32+F387*Scoring!$E$32+G387/Scoring!$F$32+H387*Scoring!$G$32+I387*Scoring!$H$32+K387*Scoring!$I$32+RB!L387*Scoring!$J$32</x:f>
        <x:v>0</x:v>
      </x:c>
      <x:c r="W387" s="9"/>
      <x:c r="X387" s="9"/>
      <x:c r="Y387" s="9"/>
      <x:c r="Z387" s="9"/>
    </x:row>
    <x:row r="388" ht="14.25" customHeight="1">
      <x:c r="B388" s="1" t="s">
        <x:v>488</x:v>
      </x:c>
      <x:c r="C388" s="1">
        <x:v>0.0</x:v>
      </x:c>
      <x:c r="D388" s="1">
        <x:v>0.0</x:v>
      </x:c>
      <x:c r="E388" s="1">
        <x:v>0.0</x:v>
      </x:c>
      <x:c r="F388" s="1">
        <x:v>0.0</x:v>
      </x:c>
      <x:c r="G388" s="1">
        <x:v>0.0</x:v>
      </x:c>
      <x:c r="H388" s="1">
        <x:v>0.0</x:v>
      </x:c>
      <x:c r="I388" s="1">
        <x:v>0.0</x:v>
      </x:c>
      <x:c r="J388" s="1">
        <x:v>0.0</x:v>
      </x:c>
      <x:c r="K388" s="18">
        <x:f t="shared" si="1"/>
        <x:v>0</x:v>
      </x:c>
      <x:c r="L388" s="18">
        <x:f t="shared" si="2"/>
        <x:v>0</x:v>
      </x:c>
      <x:c r="M388" s="119"/>
      <x:c r="N388" s="119"/>
      <x:c r="O388" s="119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</x:row>
    <x:row r="389" ht="14.25" customHeight="1">
      <x:c r="B389" s="1" t="s">
        <x:v>489</x:v>
      </x:c>
      <x:c r="C389" s="1">
        <x:v>0.0</x:v>
      </x:c>
      <x:c r="D389" s="1">
        <x:v>0.0</x:v>
      </x:c>
      <x:c r="E389" s="1">
        <x:v>0.0</x:v>
      </x:c>
      <x:c r="F389" s="1">
        <x:v>0.0</x:v>
      </x:c>
      <x:c r="G389" s="1">
        <x:v>0.0</x:v>
      </x:c>
      <x:c r="H389" s="1">
        <x:v>0.0</x:v>
      </x:c>
      <x:c r="I389" s="1">
        <x:v>0.0</x:v>
      </x:c>
      <x:c r="J389" s="1">
        <x:v>0.0</x:v>
      </x:c>
      <x:c r="K389" s="18">
        <x:f t="shared" si="1"/>
        <x:v>0</x:v>
      </x:c>
      <x:c r="L389" s="18">
        <x:f t="shared" si="2"/>
        <x:v>0</x:v>
      </x:c>
      <x:c r="M389" s="119"/>
      <x:c r="N389" s="119"/>
      <x:c r="O389" s="119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</x:row>
    <x:row r="390" ht="14.25" customHeight="1">
      <x:c r="A390" s="1" t="s">
        <x:v>732</x:v>
      </x:c>
      <x:c r="B390" s="1" t="s">
        <x:v>523</x:v>
      </x:c>
      <x:c r="C390" s="1">
        <x:v>0.0</x:v>
      </x:c>
      <x:c r="D390" s="1">
        <x:v>0.0</x:v>
      </x:c>
      <x:c r="E390" s="1">
        <x:v>0.0</x:v>
      </x:c>
      <x:c r="F390" s="1">
        <x:v>0.0</x:v>
      </x:c>
      <x:c r="G390" s="1">
        <x:v>0.0</x:v>
      </x:c>
      <x:c r="H390" s="1">
        <x:v>0.0</x:v>
      </x:c>
      <x:c r="I390" s="1">
        <x:v>0.0</x:v>
      </x:c>
      <x:c r="J390" s="1">
        <x:v>0.0</x:v>
      </x:c>
      <x:c r="K390" s="18">
        <x:f t="shared" si="1"/>
        <x:v>0</x:v>
      </x:c>
      <x:c r="L390" s="18">
        <x:f t="shared" si="2"/>
        <x:v>0</x:v>
      </x:c>
      <x:c r="M390" s="119" t="n">
        <x:f>C392*Scoring!$B$32+D392/Scoring!$C$32+E392*Scoring!$D$32+F392*Scoring!$E$32+G392/Scoring!$F$32+H392*Scoring!$G$32+I392*Scoring!$H$32+K392*Scoring!$I$32+RB!L392*Scoring!$J$32+U390</x:f>
        <x:v>0</x:v>
      </x:c>
      <x:c r="N390" s="119" t="n">
        <x:f>C390*Scoring!$B$32+D390/Scoring!$C$32+E390*Scoring!$D$32+F390*Scoring!$E$32+G390/Scoring!$F$32+H390*Scoring!$G$32+I390*Scoring!$H$32+K390*Scoring!$I$32+RB!L390*Scoring!$J$32+U390</x:f>
        <x:v>0</x:v>
      </x:c>
      <x:c r="O390" s="119" t="n">
        <x:f>C391*Scoring!$B$32+D391/Scoring!$C$32+E391*Scoring!$D$32+F391*Scoring!$E$32+G391/Scoring!$F$32+H391*Scoring!$G$32+I391*Scoring!$H$32+K391*Scoring!$I$32+L391*Scoring!$J$32+U390</x:f>
        <x:v>0</x:v>
      </x:c>
      <x:c r="P390" s="9" t="n">
        <x:f>IF(COUNTIF(Rookies!$A:$A,A390)&gt;0,1,0)</x:f>
        <x:v>0</x:v>
      </x:c>
      <x:c r="Q390" s="9"/>
      <x:c r="R390" s="9"/>
      <x:c r="S390" s="9" t="n">
        <x:f>V390/17</x:f>
        <x:v>0</x:v>
      </x:c>
      <x:c r="T390" s="9" t="n">
        <x:f>IF(P390=1,MAX(0,0.258*(14.9-S390)),0)</x:f>
        <x:v>0</x:v>
      </x:c>
      <x:c r="U390" s="9" t="n">
        <x:f>T390*17</x:f>
        <x:v>0</x:v>
      </x:c>
      <x:c r="V390" s="9" t="n">
        <x:f>C390*Scoring!$B$32+D390/Scoring!$C$32+E390*Scoring!$D$32+F390*Scoring!$E$32+G390/Scoring!$F$32+H390*Scoring!$G$32+I390*Scoring!$H$32+K390*Scoring!$I$32+RB!L390*Scoring!$J$32</x:f>
        <x:v>0</x:v>
      </x:c>
      <x:c r="W390" s="9"/>
      <x:c r="X390" s="9"/>
      <x:c r="Y390" s="9"/>
      <x:c r="Z390" s="9"/>
    </x:row>
    <x:row r="391" ht="14.25" customHeight="1">
      <x:c r="B391" s="1" t="s">
        <x:v>488</x:v>
      </x:c>
      <x:c r="C391" s="1">
        <x:v>0.0</x:v>
      </x:c>
      <x:c r="D391" s="1">
        <x:v>0.0</x:v>
      </x:c>
      <x:c r="E391" s="1">
        <x:v>0.0</x:v>
      </x:c>
      <x:c r="F391" s="1">
        <x:v>0.0</x:v>
      </x:c>
      <x:c r="G391" s="1">
        <x:v>0.0</x:v>
      </x:c>
      <x:c r="H391" s="1">
        <x:v>0.0</x:v>
      </x:c>
      <x:c r="I391" s="1">
        <x:v>0.0</x:v>
      </x:c>
      <x:c r="J391" s="1">
        <x:v>0.1</x:v>
      </x:c>
      <x:c r="K391" s="18">
        <x:f t="shared" si="1"/>
        <x:v>0</x:v>
      </x:c>
      <x:c r="L391" s="18">
        <x:f t="shared" si="2"/>
        <x:v>0</x:v>
      </x:c>
      <x:c r="M391" s="119"/>
      <x:c r="N391" s="119"/>
      <x:c r="O391" s="119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</x:row>
    <x:row r="392" ht="14.25" customHeight="1">
      <x:c r="B392" s="1" t="s">
        <x:v>489</x:v>
      </x:c>
      <x:c r="C392" s="1">
        <x:v>0.0</x:v>
      </x:c>
      <x:c r="D392" s="1">
        <x:v>0.0</x:v>
      </x:c>
      <x:c r="E392" s="1">
        <x:v>0.0</x:v>
      </x:c>
      <x:c r="F392" s="1">
        <x:v>0.0</x:v>
      </x:c>
      <x:c r="G392" s="1">
        <x:v>0.0</x:v>
      </x:c>
      <x:c r="H392" s="1">
        <x:v>0.0</x:v>
      </x:c>
      <x:c r="I392" s="1">
        <x:v>0.0</x:v>
      </x:c>
      <x:c r="J392" s="1">
        <x:v>0.1</x:v>
      </x:c>
      <x:c r="K392" s="18">
        <x:f t="shared" si="1"/>
        <x:v>0</x:v>
      </x:c>
      <x:c r="L392" s="18">
        <x:f t="shared" si="2"/>
        <x:v>0</x:v>
      </x:c>
      <x:c r="M392" s="119"/>
      <x:c r="N392" s="119"/>
      <x:c r="O392" s="119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</x:row>
    <x:row r="393" ht="14.25" customHeight="1">
      <x:c r="K393" s="18">
        <x:f t="shared" si="1"/>
        <x:v>0</x:v>
      </x:c>
      <x:c r="L393" s="18">
        <x:f t="shared" si="2"/>
        <x:v>0</x:v>
      </x:c>
      <x:c r="M393" s="119" t="n">
        <x:f>C395*Scoring!$B$32+D395/Scoring!$C$32+E395*Scoring!$D$32+F395*Scoring!$E$32+G395/Scoring!$F$32+H395*Scoring!$G$32+I395*Scoring!$H$32+K395*Scoring!$I$32+RB!L395*Scoring!$J$32+U393</x:f>
        <x:v>0</x:v>
      </x:c>
      <x:c r="N393" s="119" t="n">
        <x:f>C393*Scoring!$B$32+D393/Scoring!$C$32+E393*Scoring!$D$32+F393*Scoring!$E$32+G393/Scoring!$F$32+H393*Scoring!$G$32+I393*Scoring!$H$32+K393*Scoring!$I$32+RB!L393*Scoring!$J$32+U393</x:f>
        <x:v>0</x:v>
      </x:c>
      <x:c r="O393" s="119" t="n">
        <x:f>C394*Scoring!$B$32+D394/Scoring!$C$32+E394*Scoring!$D$32+F394*Scoring!$E$32+G394/Scoring!$F$32+H394*Scoring!$G$32+I394*Scoring!$H$32+K394*Scoring!$I$32+L394*Scoring!$J$32+U393</x:f>
        <x:v>0</x:v>
      </x:c>
      <x:c r="P393" s="9" t="n">
        <x:f>IF(COUNTIF(Rookies!$A:$A,A393)&gt;0,1,0)</x:f>
        <x:v>0</x:v>
      </x:c>
      <x:c r="Q393" s="9"/>
      <x:c r="R393" s="9"/>
      <x:c r="S393" s="9" t="n">
        <x:f>V393/17</x:f>
        <x:v>0</x:v>
      </x:c>
      <x:c r="T393" s="9" t="n">
        <x:f>IF(P393=1,MAX(0,0.258*(14.9-S393)),0)</x:f>
        <x:v>0</x:v>
      </x:c>
      <x:c r="U393" s="9" t="n">
        <x:f>T393*17</x:f>
        <x:v>0</x:v>
      </x:c>
      <x:c r="V393" s="9" t="n">
        <x:f>C393*Scoring!$B$32+D393/Scoring!$C$32+E393*Scoring!$D$32+F393*Scoring!$E$32+G393/Scoring!$F$32+H393*Scoring!$G$32+I393*Scoring!$H$32+K393*Scoring!$I$32+RB!L393*Scoring!$J$32</x:f>
        <x:v>0</x:v>
      </x:c>
      <x:c r="W393" s="9"/>
      <x:c r="X393" s="9"/>
      <x:c r="Y393" s="9"/>
      <x:c r="Z393" s="9"/>
    </x:row>
    <x:row r="394" ht="14.25" customHeight="1">
      <x:c r="K394" s="18">
        <x:f t="shared" si="1"/>
        <x:v>0</x:v>
      </x:c>
      <x:c r="L394" s="18">
        <x:f t="shared" si="2"/>
        <x:v>0</x:v>
      </x:c>
      <x:c r="M394" s="119"/>
      <x:c r="N394" s="119"/>
      <x:c r="O394" s="119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  <x:c r="Z394" s="9"/>
    </x:row>
    <x:row r="395" ht="14.25" customHeight="1">
      <x:c r="K395" s="18">
        <x:f t="shared" si="1"/>
        <x:v>0</x:v>
      </x:c>
      <x:c r="L395" s="18">
        <x:f t="shared" si="2"/>
        <x:v>0</x:v>
      </x:c>
      <x:c r="M395" s="119"/>
      <x:c r="N395" s="119"/>
      <x:c r="O395" s="119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  <x:c r="Z395" s="9"/>
    </x:row>
    <x:row r="396" ht="14.25" customHeight="1">
      <x:c r="K396" s="18">
        <x:f t="shared" si="1"/>
        <x:v>0</x:v>
      </x:c>
      <x:c r="L396" s="18">
        <x:f t="shared" si="2"/>
        <x:v>0</x:v>
      </x:c>
      <x:c r="M396" s="119" t="n">
        <x:f>C398*Scoring!$B$32+D398/Scoring!$C$32+E398*Scoring!$D$32+F398*Scoring!$E$32+G398/Scoring!$F$32+H398*Scoring!$G$32+I398*Scoring!$H$32+K398*Scoring!$I$32+RB!L398*Scoring!$J$32+U396</x:f>
        <x:v>0</x:v>
      </x:c>
      <x:c r="N396" s="119" t="n">
        <x:f>C396*Scoring!$B$32+D396/Scoring!$C$32+E396*Scoring!$D$32+F396*Scoring!$E$32+G396/Scoring!$F$32+H396*Scoring!$G$32+I396*Scoring!$H$32+K396*Scoring!$I$32+RB!L396*Scoring!$J$32+U396</x:f>
        <x:v>0</x:v>
      </x:c>
      <x:c r="O396" s="119" t="n">
        <x:f>C397*Scoring!$B$32+D397/Scoring!$C$32+E397*Scoring!$D$32+F397*Scoring!$E$32+G397/Scoring!$F$32+H397*Scoring!$G$32+I397*Scoring!$H$32+K397*Scoring!$I$32+L397*Scoring!$J$32+U396</x:f>
        <x:v>0</x:v>
      </x:c>
      <x:c r="P396" s="9" t="n">
        <x:f>IF(COUNTIF(Rookies!$A:$A,A396)&gt;0,1,0)</x:f>
        <x:v>0</x:v>
      </x:c>
      <x:c r="Q396" s="9"/>
      <x:c r="R396" s="9"/>
      <x:c r="S396" s="9" t="n">
        <x:f>V396/17</x:f>
        <x:v>0</x:v>
      </x:c>
      <x:c r="T396" s="9" t="n">
        <x:f>IF(P396=1,MAX(0,0.258*(14.9-S396)),0)</x:f>
        <x:v>0</x:v>
      </x:c>
      <x:c r="U396" s="9" t="n">
        <x:f>T396*17</x:f>
        <x:v>0</x:v>
      </x:c>
      <x:c r="V396" s="9" t="n">
        <x:f>C396*Scoring!$B$32+D396/Scoring!$C$32+E396*Scoring!$D$32+F396*Scoring!$E$32+G396/Scoring!$F$32+H396*Scoring!$G$32+I396*Scoring!$H$32+K396*Scoring!$I$32+RB!L396*Scoring!$J$32</x:f>
        <x:v>0</x:v>
      </x:c>
      <x:c r="W396" s="9"/>
      <x:c r="X396" s="9"/>
      <x:c r="Y396" s="9"/>
      <x:c r="Z396" s="9"/>
    </x:row>
    <x:row r="397" ht="14.25" customHeight="1">
      <x:c r="K397" s="18">
        <x:f t="shared" si="1"/>
        <x:v>0</x:v>
      </x:c>
      <x:c r="L397" s="18">
        <x:f t="shared" si="2"/>
        <x:v>0</x:v>
      </x:c>
      <x:c r="M397" s="119"/>
      <x:c r="N397" s="119"/>
      <x:c r="O397" s="119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</x:row>
    <x:row r="398" ht="14.25" customHeight="1">
      <x:c r="K398" s="18">
        <x:f t="shared" si="1"/>
        <x:v>0</x:v>
      </x:c>
      <x:c r="L398" s="18">
        <x:f t="shared" si="2"/>
        <x:v>0</x:v>
      </x:c>
      <x:c r="M398" s="119"/>
      <x:c r="N398" s="119"/>
      <x:c r="O398" s="119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</x:row>
    <x:row r="399" ht="14.25" customHeight="1">
      <x:c r="K399" s="18">
        <x:f t="shared" si="1"/>
        <x:v>0</x:v>
      </x:c>
      <x:c r="L399" s="18">
        <x:f t="shared" si="2"/>
        <x:v>0</x:v>
      </x:c>
      <x:c r="M399" s="119" t="n">
        <x:f>C401*Scoring!$B$32+D401/Scoring!$C$32+E401*Scoring!$D$32+F401*Scoring!$E$32+G401/Scoring!$F$32+H401*Scoring!$G$32+I401*Scoring!$H$32+K401*Scoring!$I$32+RB!L401*Scoring!$J$32+U399</x:f>
        <x:v>0</x:v>
      </x:c>
      <x:c r="N399" s="119" t="n">
        <x:f>C399*Scoring!$B$32+D399/Scoring!$C$32+E399*Scoring!$D$32+F399*Scoring!$E$32+G399/Scoring!$F$32+H399*Scoring!$G$32+I399*Scoring!$H$32+K399*Scoring!$I$32+RB!L399*Scoring!$J$32+U399</x:f>
        <x:v>0</x:v>
      </x:c>
      <x:c r="O399" s="119" t="n">
        <x:f>C400*Scoring!$B$32+D400/Scoring!$C$32+E400*Scoring!$D$32+F400*Scoring!$E$32+G400/Scoring!$F$32+H400*Scoring!$G$32+I400*Scoring!$H$32+K400*Scoring!$I$32+L400*Scoring!$J$32+U399</x:f>
        <x:v>0</x:v>
      </x:c>
      <x:c r="P399" s="9" t="n">
        <x:f>IF(COUNTIF(Rookies!$A:$A,A399)&gt;0,1,0)</x:f>
        <x:v>0</x:v>
      </x:c>
      <x:c r="Q399" s="9"/>
      <x:c r="R399" s="9"/>
      <x:c r="S399" s="9" t="n">
        <x:f>V399/17</x:f>
        <x:v>0</x:v>
      </x:c>
      <x:c r="T399" s="9" t="n">
        <x:f>IF(P399=1,MAX(0,0.258*(14.9-S399)),0)</x:f>
        <x:v>0</x:v>
      </x:c>
      <x:c r="U399" s="9" t="n">
        <x:f>T399*17</x:f>
        <x:v>0</x:v>
      </x:c>
      <x:c r="V399" s="9" t="n">
        <x:f>C399*Scoring!$B$32+D399/Scoring!$C$32+E399*Scoring!$D$32+F399*Scoring!$E$32+G399/Scoring!$F$32+H399*Scoring!$G$32+I399*Scoring!$H$32+K399*Scoring!$I$32+RB!L399*Scoring!$J$32</x:f>
        <x:v>0</x:v>
      </x:c>
      <x:c r="W399" s="9"/>
      <x:c r="X399" s="9"/>
      <x:c r="Y399" s="9"/>
      <x:c r="Z399" s="9"/>
    </x:row>
    <x:row r="400" ht="14.25" customHeight="1">
      <x:c r="K400" s="18">
        <x:f t="shared" si="1"/>
        <x:v>0</x:v>
      </x:c>
      <x:c r="L400" s="18">
        <x:f t="shared" si="2"/>
        <x:v>0</x:v>
      </x:c>
      <x:c r="M400" s="119"/>
      <x:c r="N400" s="119"/>
      <x:c r="O400" s="119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</x:row>
    <x:row r="401" ht="14.25" customHeight="1">
      <x:c r="K401" s="18">
        <x:f t="shared" si="1"/>
        <x:v>0</x:v>
      </x:c>
      <x:c r="L401" s="18">
        <x:f t="shared" si="2"/>
        <x:v>0</x:v>
      </x:c>
      <x:c r="M401" s="119"/>
      <x:c r="N401" s="119"/>
      <x:c r="O401" s="119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  <x:c r="Z401" s="9"/>
    </x:row>
    <x:row r="402" ht="14.25" customHeight="1">
      <x:c r="K402" s="18">
        <x:f t="shared" si="1"/>
        <x:v>0</x:v>
      </x:c>
      <x:c r="L402" s="18">
        <x:f t="shared" si="2"/>
        <x:v>0</x:v>
      </x:c>
      <x:c r="M402" s="119" t="n">
        <x:f>C404*Scoring!$B$32+D404/Scoring!$C$32+E404*Scoring!$D$32+F404*Scoring!$E$32+G404/Scoring!$F$32+H404*Scoring!$G$32+I404*Scoring!$H$32+K404*Scoring!$I$32+RB!L404*Scoring!$J$32+U402</x:f>
        <x:v>0</x:v>
      </x:c>
      <x:c r="N402" s="119" t="n">
        <x:f>C402*Scoring!$B$32+D402/Scoring!$C$32+E402*Scoring!$D$32+F402*Scoring!$E$32+G402/Scoring!$F$32+H402*Scoring!$G$32+I402*Scoring!$H$32+K402*Scoring!$I$32+RB!L402*Scoring!$J$32+U402</x:f>
        <x:v>0</x:v>
      </x:c>
      <x:c r="O402" s="119" t="n">
        <x:f>C403*Scoring!$B$32+D403/Scoring!$C$32+E403*Scoring!$D$32+F403*Scoring!$E$32+G403/Scoring!$F$32+H403*Scoring!$G$32+I403*Scoring!$H$32+K403*Scoring!$I$32+L403*Scoring!$J$32+U402</x:f>
        <x:v>0</x:v>
      </x:c>
      <x:c r="P402" s="9" t="n">
        <x:f>IF(COUNTIF(Rookies!$A:$A,A402)&gt;0,1,0)</x:f>
        <x:v>0</x:v>
      </x:c>
      <x:c r="Q402" s="9"/>
      <x:c r="R402" s="9"/>
      <x:c r="S402" s="9" t="n">
        <x:f>V402/17</x:f>
        <x:v>0</x:v>
      </x:c>
      <x:c r="T402" s="9" t="n">
        <x:f>IF(P402=1,MAX(0,0.258*(14.9-S402)),0)</x:f>
        <x:v>0</x:v>
      </x:c>
      <x:c r="U402" s="9" t="n">
        <x:f>T402*17</x:f>
        <x:v>0</x:v>
      </x:c>
      <x:c r="V402" s="9" t="n">
        <x:f>C402*Scoring!$B$32+D402/Scoring!$C$32+E402*Scoring!$D$32+F402*Scoring!$E$32+G402/Scoring!$F$32+H402*Scoring!$G$32+I402*Scoring!$H$32+K402*Scoring!$I$32+RB!L402*Scoring!$J$32</x:f>
        <x:v>0</x:v>
      </x:c>
      <x:c r="W402" s="9"/>
      <x:c r="X402" s="9"/>
      <x:c r="Y402" s="9"/>
      <x:c r="Z402" s="9"/>
    </x:row>
    <x:row r="403" ht="14.25" customHeight="1">
      <x:c r="K403" s="18">
        <x:f t="shared" si="1"/>
        <x:v>0</x:v>
      </x:c>
      <x:c r="L403" s="18">
        <x:f t="shared" si="2"/>
        <x:v>0</x:v>
      </x:c>
      <x:c r="M403" s="119"/>
      <x:c r="N403" s="119"/>
      <x:c r="O403" s="119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</x:row>
    <x:row r="404" ht="14.25" customHeight="1">
      <x:c r="K404" s="18">
        <x:f t="shared" si="1"/>
        <x:v>0</x:v>
      </x:c>
      <x:c r="L404" s="18">
        <x:f t="shared" si="2"/>
        <x:v>0</x:v>
      </x:c>
      <x:c r="M404" s="119"/>
      <x:c r="N404" s="119"/>
      <x:c r="O404" s="119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</x:row>
    <x:row r="405" ht="14.25" customHeight="1">
      <x:c r="K405" s="18">
        <x:f t="shared" si="1"/>
        <x:v>0</x:v>
      </x:c>
      <x:c r="L405" s="18">
        <x:f t="shared" si="2"/>
        <x:v>0</x:v>
      </x:c>
      <x:c r="M405" s="119" t="n">
        <x:f>C407*Scoring!$B$32+D407/Scoring!$C$32+E407*Scoring!$D$32+F407*Scoring!$E$32+G407/Scoring!$F$32+H407*Scoring!$G$32+I407*Scoring!$H$32+K407*Scoring!$I$32+RB!L407*Scoring!$J$32+U405</x:f>
        <x:v>0</x:v>
      </x:c>
      <x:c r="N405" s="119" t="n">
        <x:f>C405*Scoring!$B$32+D405/Scoring!$C$32+E405*Scoring!$D$32+F405*Scoring!$E$32+G405/Scoring!$F$32+H405*Scoring!$G$32+I405*Scoring!$H$32+K405*Scoring!$I$32+RB!L405*Scoring!$J$32+U405</x:f>
        <x:v>0</x:v>
      </x:c>
      <x:c r="O405" s="119" t="n">
        <x:f>C406*Scoring!$B$32+D406/Scoring!$C$32+E406*Scoring!$D$32+F406*Scoring!$E$32+G406/Scoring!$F$32+H406*Scoring!$G$32+I406*Scoring!$H$32+K406*Scoring!$I$32+L406*Scoring!$J$32+U405</x:f>
        <x:v>0</x:v>
      </x:c>
      <x:c r="P405" s="9" t="n">
        <x:f>IF(COUNTIF(Rookies!$A:$A,A405)&gt;0,1,0)</x:f>
        <x:v>0</x:v>
      </x:c>
      <x:c r="Q405" s="9"/>
      <x:c r="R405" s="9"/>
      <x:c r="S405" s="9" t="n">
        <x:f>V405/17</x:f>
        <x:v>0</x:v>
      </x:c>
      <x:c r="T405" s="9" t="n">
        <x:f>IF(P405=1,MAX(0,0.258*(14.9-S405)),0)</x:f>
        <x:v>0</x:v>
      </x:c>
      <x:c r="U405" s="9" t="n">
        <x:f>T405*17</x:f>
        <x:v>0</x:v>
      </x:c>
      <x:c r="V405" s="9" t="n">
        <x:f>C405*Scoring!$B$32+D405/Scoring!$C$32+E405*Scoring!$D$32+F405*Scoring!$E$32+G405/Scoring!$F$32+H405*Scoring!$G$32+I405*Scoring!$H$32+K405*Scoring!$I$32+RB!L405*Scoring!$J$32</x:f>
        <x:v>0</x:v>
      </x:c>
      <x:c r="W405" s="9"/>
      <x:c r="X405" s="9"/>
      <x:c r="Y405" s="9"/>
      <x:c r="Z405" s="9"/>
    </x:row>
    <x:row r="406" ht="14.25" customHeight="1">
      <x:c r="K406" s="18">
        <x:f t="shared" si="1"/>
        <x:v>0</x:v>
      </x:c>
      <x:c r="L406" s="18">
        <x:f t="shared" si="2"/>
        <x:v>0</x:v>
      </x:c>
      <x:c r="M406" s="119"/>
      <x:c r="N406" s="119"/>
      <x:c r="O406" s="119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</x:row>
    <x:row r="407" ht="14.25" customHeight="1">
      <x:c r="K407" s="18">
        <x:f t="shared" si="1"/>
        <x:v>0</x:v>
      </x:c>
      <x:c r="L407" s="18">
        <x:f t="shared" si="2"/>
        <x:v>0</x:v>
      </x:c>
      <x:c r="M407" s="119"/>
      <x:c r="N407" s="119"/>
      <x:c r="O407" s="119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</x:row>
    <x:row r="408" ht="14.25" customHeight="1">
      <x:c r="K408" s="18">
        <x:f t="shared" si="1"/>
        <x:v>0</x:v>
      </x:c>
      <x:c r="L408" s="18">
        <x:f t="shared" si="2"/>
        <x:v>0</x:v>
      </x:c>
      <x:c r="M408" s="119" t="n">
        <x:f>C410*Scoring!$B$32+D410/Scoring!$C$32+E410*Scoring!$D$32+F410*Scoring!$E$32+G410/Scoring!$F$32+H410*Scoring!$G$32+I410*Scoring!$H$32+K410*Scoring!$I$32+RB!L410*Scoring!$J$32+U408</x:f>
        <x:v>0</x:v>
      </x:c>
      <x:c r="N408" s="119" t="n">
        <x:f>C408*Scoring!$B$32+D408/Scoring!$C$32+E408*Scoring!$D$32+F408*Scoring!$E$32+G408/Scoring!$F$32+H408*Scoring!$G$32+I408*Scoring!$H$32+K408*Scoring!$I$32+RB!L408*Scoring!$J$32+U408</x:f>
        <x:v>0</x:v>
      </x:c>
      <x:c r="O408" s="119" t="n">
        <x:f>C409*Scoring!$B$32+D409/Scoring!$C$32+E409*Scoring!$D$32+F409*Scoring!$E$32+G409/Scoring!$F$32+H409*Scoring!$G$32+I409*Scoring!$H$32+K409*Scoring!$I$32+L409*Scoring!$J$32+U408</x:f>
        <x:v>0</x:v>
      </x:c>
      <x:c r="P408" s="9" t="n">
        <x:f>IF(COUNTIF(Rookies!$A:$A,A408)&gt;0,1,0)</x:f>
        <x:v>0</x:v>
      </x:c>
      <x:c r="Q408" s="9"/>
      <x:c r="R408" s="9"/>
      <x:c r="S408" s="9" t="n">
        <x:f>V408/17</x:f>
        <x:v>0</x:v>
      </x:c>
      <x:c r="T408" s="9" t="n">
        <x:f>IF(P408=1,MAX(0,0.258*(14.9-S408)),0)</x:f>
        <x:v>0</x:v>
      </x:c>
      <x:c r="U408" s="9" t="n">
        <x:f>T408*17</x:f>
        <x:v>0</x:v>
      </x:c>
      <x:c r="V408" s="9" t="n">
        <x:f>C408*Scoring!$B$32+D408/Scoring!$C$32+E408*Scoring!$D$32+F408*Scoring!$E$32+G408/Scoring!$F$32+H408*Scoring!$G$32+I408*Scoring!$H$32+K408*Scoring!$I$32+RB!L408*Scoring!$J$32</x:f>
        <x:v>0</x:v>
      </x:c>
      <x:c r="W408" s="9"/>
      <x:c r="X408" s="9"/>
      <x:c r="Y408" s="9"/>
      <x:c r="Z408" s="9"/>
    </x:row>
    <x:row r="409" ht="14.25" customHeight="1">
      <x:c r="K409" s="18">
        <x:f t="shared" si="1"/>
        <x:v>0</x:v>
      </x:c>
      <x:c r="L409" s="18">
        <x:f t="shared" si="2"/>
        <x:v>0</x:v>
      </x:c>
      <x:c r="M409" s="119"/>
      <x:c r="N409" s="119"/>
      <x:c r="O409" s="119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</x:row>
    <x:row r="410" ht="14.25" customHeight="1">
      <x:c r="K410" s="18">
        <x:f t="shared" si="1"/>
        <x:v>0</x:v>
      </x:c>
      <x:c r="L410" s="18">
        <x:f t="shared" si="2"/>
        <x:v>0</x:v>
      </x:c>
      <x:c r="M410" s="119"/>
      <x:c r="N410" s="119"/>
      <x:c r="O410" s="119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</x:row>
    <x:row r="411" ht="14.25" customHeight="1">
      <x:c r="K411" s="18">
        <x:f t="shared" si="1"/>
        <x:v>0</x:v>
      </x:c>
      <x:c r="L411" s="18">
        <x:f t="shared" si="2"/>
        <x:v>0</x:v>
      </x:c>
      <x:c r="M411" s="119" t="n">
        <x:f>C413*Scoring!$B$32+D413/Scoring!$C$32+E413*Scoring!$D$32+F413*Scoring!$E$32+G413/Scoring!$F$32+H413*Scoring!$G$32+I413*Scoring!$H$32+K413*Scoring!$I$32+RB!L413*Scoring!$J$32+U411</x:f>
        <x:v>0</x:v>
      </x:c>
      <x:c r="N411" s="119" t="n">
        <x:f>C411*Scoring!$B$32+D411/Scoring!$C$32+E411*Scoring!$D$32+F411*Scoring!$E$32+G411/Scoring!$F$32+H411*Scoring!$G$32+I411*Scoring!$H$32+K411*Scoring!$I$32+RB!L411*Scoring!$J$32+U411</x:f>
        <x:v>0</x:v>
      </x:c>
      <x:c r="O411" s="119" t="n">
        <x:f>C412*Scoring!$B$32+D412/Scoring!$C$32+E412*Scoring!$D$32+F412*Scoring!$E$32+G412/Scoring!$F$32+H412*Scoring!$G$32+I412*Scoring!$H$32+K412*Scoring!$I$32+L412*Scoring!$J$32+U411</x:f>
        <x:v>0</x:v>
      </x:c>
      <x:c r="P411" s="9" t="n">
        <x:f>IF(COUNTIF(Rookies!$A:$A,A411)&gt;0,1,0)</x:f>
        <x:v>0</x:v>
      </x:c>
      <x:c r="Q411" s="9"/>
      <x:c r="R411" s="9"/>
      <x:c r="S411" s="9" t="n">
        <x:f>V411/17</x:f>
        <x:v>0</x:v>
      </x:c>
      <x:c r="T411" s="9" t="n">
        <x:f>IF(P411=1,MAX(0,0.258*(14.9-S411)),0)</x:f>
        <x:v>0</x:v>
      </x:c>
      <x:c r="U411" s="9" t="n">
        <x:f>T411*17</x:f>
        <x:v>0</x:v>
      </x:c>
      <x:c r="V411" s="9" t="n">
        <x:f>C411*Scoring!$B$32+D411/Scoring!$C$32+E411*Scoring!$D$32+F411*Scoring!$E$32+G411/Scoring!$F$32+H411*Scoring!$G$32+I411*Scoring!$H$32+K411*Scoring!$I$32+RB!L411*Scoring!$J$32</x:f>
        <x:v>0</x:v>
      </x:c>
      <x:c r="W411" s="9"/>
      <x:c r="X411" s="9"/>
      <x:c r="Y411" s="9"/>
      <x:c r="Z411" s="9"/>
    </x:row>
    <x:row r="412" ht="14.25" customHeight="1">
      <x:c r="K412" s="18">
        <x:f t="shared" si="1"/>
        <x:v>0</x:v>
      </x:c>
      <x:c r="L412" s="18">
        <x:f t="shared" si="2"/>
        <x:v>0</x:v>
      </x:c>
      <x:c r="M412" s="119"/>
      <x:c r="N412" s="119"/>
      <x:c r="O412" s="119"/>
      <x:c r="P412" s="9"/>
      <x:c r="Q412" s="9"/>
      <x:c r="R412" s="9"/>
      <x:c r="S412" s="9"/>
      <x:c r="T412" s="9"/>
      <x:c r="U412" s="9"/>
      <x:c r="V412" s="9"/>
      <x:c r="W412" s="9"/>
      <x:c r="X412" s="9"/>
      <x:c r="Y412" s="9"/>
      <x:c r="Z412" s="9"/>
    </x:row>
    <x:row r="413" ht="14.25" customHeight="1">
      <x:c r="K413" s="18">
        <x:f t="shared" si="1"/>
        <x:v>0</x:v>
      </x:c>
      <x:c r="L413" s="18">
        <x:f t="shared" si="2"/>
        <x:v>0</x:v>
      </x:c>
      <x:c r="M413" s="119"/>
      <x:c r="N413" s="119"/>
      <x:c r="O413" s="119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  <x:c r="Z413" s="9"/>
    </x:row>
    <x:row r="414" ht="14.25" customHeight="1">
      <x:c r="K414" s="18">
        <x:f t="shared" si="1"/>
        <x:v>0</x:v>
      </x:c>
      <x:c r="L414" s="18">
        <x:f t="shared" si="2"/>
        <x:v>0</x:v>
      </x:c>
      <x:c r="M414" s="119" t="n">
        <x:f>C416*Scoring!$B$32+D416/Scoring!$C$32+E416*Scoring!$D$32+F416*Scoring!$E$32+G416/Scoring!$F$32+H416*Scoring!$G$32+I416*Scoring!$H$32+K416*Scoring!$I$32+RB!L416*Scoring!$J$32+U414</x:f>
        <x:v>0</x:v>
      </x:c>
      <x:c r="N414" s="119" t="n">
        <x:f>C414*Scoring!$B$32+D414/Scoring!$C$32+E414*Scoring!$D$32+F414*Scoring!$E$32+G414/Scoring!$F$32+H414*Scoring!$G$32+I414*Scoring!$H$32+K414*Scoring!$I$32+RB!L414*Scoring!$J$32+U414</x:f>
        <x:v>0</x:v>
      </x:c>
      <x:c r="O414" s="119" t="n">
        <x:f>C415*Scoring!$B$32+D415/Scoring!$C$32+E415*Scoring!$D$32+F415*Scoring!$E$32+G415/Scoring!$F$32+H415*Scoring!$G$32+I415*Scoring!$H$32+K415*Scoring!$I$32+L415*Scoring!$J$32+U414</x:f>
        <x:v>0</x:v>
      </x:c>
      <x:c r="P414" s="9" t="n">
        <x:f>IF(COUNTIF(Rookies!$A:$A,A414)&gt;0,1,0)</x:f>
        <x:v>0</x:v>
      </x:c>
      <x:c r="Q414" s="9"/>
      <x:c r="R414" s="9"/>
      <x:c r="S414" s="9" t="n">
        <x:f>V414/17</x:f>
        <x:v>0</x:v>
      </x:c>
      <x:c r="T414" s="9" t="n">
        <x:f>IF(P414=1,MAX(0,0.258*(14.9-S414)),0)</x:f>
        <x:v>0</x:v>
      </x:c>
      <x:c r="U414" s="9" t="n">
        <x:f>T414*17</x:f>
        <x:v>0</x:v>
      </x:c>
      <x:c r="V414" s="9" t="n">
        <x:f>C414*Scoring!$B$32+D414/Scoring!$C$32+E414*Scoring!$D$32+F414*Scoring!$E$32+G414/Scoring!$F$32+H414*Scoring!$G$32+I414*Scoring!$H$32+K414*Scoring!$I$32+RB!L414*Scoring!$J$32</x:f>
        <x:v>0</x:v>
      </x:c>
      <x:c r="W414" s="9"/>
      <x:c r="X414" s="9"/>
      <x:c r="Y414" s="9"/>
      <x:c r="Z414" s="9"/>
    </x:row>
    <x:row r="415" ht="14.25" customHeight="1">
      <x:c r="K415" s="18">
        <x:f t="shared" si="1"/>
        <x:v>0</x:v>
      </x:c>
      <x:c r="L415" s="18">
        <x:f t="shared" si="2"/>
        <x:v>0</x:v>
      </x:c>
      <x:c r="M415" s="119"/>
      <x:c r="N415" s="119"/>
      <x:c r="O415" s="119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  <x:c r="Z415" s="9"/>
    </x:row>
    <x:row r="416" ht="14.25" customHeight="1">
      <x:c r="K416" s="18">
        <x:f t="shared" si="1"/>
        <x:v>0</x:v>
      </x:c>
      <x:c r="L416" s="18">
        <x:f t="shared" si="2"/>
        <x:v>0</x:v>
      </x:c>
      <x:c r="M416" s="119"/>
      <x:c r="N416" s="119"/>
      <x:c r="O416" s="119"/>
      <x:c r="P416" s="9"/>
      <x:c r="Q416" s="9"/>
      <x:c r="R416" s="9"/>
      <x:c r="S416" s="9"/>
      <x:c r="T416" s="9"/>
      <x:c r="U416" s="9"/>
      <x:c r="V416" s="9"/>
      <x:c r="W416" s="9"/>
      <x:c r="X416" s="9"/>
      <x:c r="Y416" s="9"/>
      <x:c r="Z416" s="9"/>
    </x:row>
    <x:row r="417" ht="14.25" customHeight="1">
      <x:c r="K417" s="18">
        <x:f t="shared" si="1"/>
        <x:v>0</x:v>
      </x:c>
      <x:c r="L417" s="18">
        <x:f t="shared" si="2"/>
        <x:v>0</x:v>
      </x:c>
      <x:c r="M417" s="119" t="n">
        <x:f>C419*Scoring!$B$32+D419/Scoring!$C$32+E419*Scoring!$D$32+F419*Scoring!$E$32+G419/Scoring!$F$32+H419*Scoring!$G$32+I419*Scoring!$H$32+K419*Scoring!$I$32+RB!L419*Scoring!$J$32+U417</x:f>
        <x:v>0</x:v>
      </x:c>
      <x:c r="N417" s="119" t="n">
        <x:f>C417*Scoring!$B$32+D417/Scoring!$C$32+E417*Scoring!$D$32+F417*Scoring!$E$32+G417/Scoring!$F$32+H417*Scoring!$G$32+I417*Scoring!$H$32+K417*Scoring!$I$32+RB!L417*Scoring!$J$32+U417</x:f>
        <x:v>0</x:v>
      </x:c>
      <x:c r="O417" s="119" t="n">
        <x:f>C418*Scoring!$B$32+D418/Scoring!$C$32+E418*Scoring!$D$32+F418*Scoring!$E$32+G418/Scoring!$F$32+H418*Scoring!$G$32+I418*Scoring!$H$32+K418*Scoring!$I$32+L418*Scoring!$J$32+U417</x:f>
        <x:v>0</x:v>
      </x:c>
      <x:c r="P417" s="9" t="n">
        <x:f>IF(COUNTIF(Rookies!$A:$A,A417)&gt;0,1,0)</x:f>
        <x:v>0</x:v>
      </x:c>
      <x:c r="Q417" s="9"/>
      <x:c r="R417" s="9"/>
      <x:c r="S417" s="9" t="n">
        <x:f>V417/17</x:f>
        <x:v>0</x:v>
      </x:c>
      <x:c r="T417" s="9" t="n">
        <x:f>IF(P417=1,MAX(0,0.258*(14.9-S417)),0)</x:f>
        <x:v>0</x:v>
      </x:c>
      <x:c r="U417" s="9" t="n">
        <x:f>T417*17</x:f>
        <x:v>0</x:v>
      </x:c>
      <x:c r="V417" s="9" t="n">
        <x:f>C417*Scoring!$B$32+D417/Scoring!$C$32+E417*Scoring!$D$32+F417*Scoring!$E$32+G417/Scoring!$F$32+H417*Scoring!$G$32+I417*Scoring!$H$32+K417*Scoring!$I$32+RB!L417*Scoring!$J$32</x:f>
        <x:v>0</x:v>
      </x:c>
      <x:c r="W417" s="9"/>
      <x:c r="X417" s="9"/>
      <x:c r="Y417" s="9"/>
      <x:c r="Z417" s="9"/>
    </x:row>
    <x:row r="418" ht="14.25" customHeight="1">
      <x:c r="K418" s="18">
        <x:f t="shared" si="1"/>
        <x:v>0</x:v>
      </x:c>
      <x:c r="L418" s="18">
        <x:f t="shared" si="2"/>
        <x:v>0</x:v>
      </x:c>
      <x:c r="M418" s="119"/>
      <x:c r="N418" s="119"/>
      <x:c r="O418" s="119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</x:row>
    <x:row r="419" ht="14.25" customHeight="1">
      <x:c r="K419" s="18">
        <x:f t="shared" si="1"/>
        <x:v>0</x:v>
      </x:c>
      <x:c r="L419" s="18">
        <x:f t="shared" si="2"/>
        <x:v>0</x:v>
      </x:c>
      <x:c r="M419" s="119"/>
      <x:c r="N419" s="119"/>
      <x:c r="O419" s="119"/>
      <x:c r="P419" s="9"/>
      <x:c r="Q419" s="9"/>
      <x:c r="R419" s="9"/>
      <x:c r="S419" s="9"/>
      <x:c r="T419" s="9"/>
      <x:c r="U419" s="9"/>
      <x:c r="V419" s="9"/>
      <x:c r="W419" s="9"/>
      <x:c r="X419" s="9"/>
      <x:c r="Y419" s="9"/>
      <x:c r="Z419" s="9"/>
    </x:row>
    <x:row r="420" ht="14.25" customHeight="1">
      <x:c r="K420" s="18">
        <x:f t="shared" si="1"/>
        <x:v>0</x:v>
      </x:c>
      <x:c r="L420" s="18">
        <x:f t="shared" si="2"/>
        <x:v>0</x:v>
      </x:c>
      <x:c r="M420" s="119" t="n">
        <x:f>C422*Scoring!$B$32+D422/Scoring!$C$32+E422*Scoring!$D$32+F422*Scoring!$E$32+G422/Scoring!$F$32+H422*Scoring!$G$32+I422*Scoring!$H$32+K422*Scoring!$I$32+RB!L422*Scoring!$J$32+U420</x:f>
        <x:v>0</x:v>
      </x:c>
      <x:c r="N420" s="119" t="n">
        <x:f>C420*Scoring!$B$32+D420/Scoring!$C$32+E420*Scoring!$D$32+F420*Scoring!$E$32+G420/Scoring!$F$32+H420*Scoring!$G$32+I420*Scoring!$H$32+K420*Scoring!$I$32+RB!L420*Scoring!$J$32+U420</x:f>
        <x:v>0</x:v>
      </x:c>
      <x:c r="O420" s="119" t="n">
        <x:f>C421*Scoring!$B$32+D421/Scoring!$C$32+E421*Scoring!$D$32+F421*Scoring!$E$32+G421/Scoring!$F$32+H421*Scoring!$G$32+I421*Scoring!$H$32+K421*Scoring!$I$32+L421*Scoring!$J$32+U420</x:f>
        <x:v>0</x:v>
      </x:c>
      <x:c r="P420" s="9" t="n">
        <x:f>IF(COUNTIF(Rookies!$A:$A,A420)&gt;0,1,0)</x:f>
        <x:v>0</x:v>
      </x:c>
      <x:c r="Q420" s="9"/>
      <x:c r="R420" s="9"/>
      <x:c r="S420" s="9" t="n">
        <x:f>V420/17</x:f>
        <x:v>0</x:v>
      </x:c>
      <x:c r="T420" s="9" t="n">
        <x:f>IF(P420=1,MAX(0,0.258*(14.9-S420)),0)</x:f>
        <x:v>0</x:v>
      </x:c>
      <x:c r="U420" s="9" t="n">
        <x:f>T420*17</x:f>
        <x:v>0</x:v>
      </x:c>
      <x:c r="V420" s="9" t="n">
        <x:f>C420*Scoring!$B$32+D420/Scoring!$C$32+E420*Scoring!$D$32+F420*Scoring!$E$32+G420/Scoring!$F$32+H420*Scoring!$G$32+I420*Scoring!$H$32+K420*Scoring!$I$32+RB!L420*Scoring!$J$32</x:f>
        <x:v>0</x:v>
      </x:c>
      <x:c r="W420" s="9"/>
      <x:c r="X420" s="9"/>
      <x:c r="Y420" s="9"/>
      <x:c r="Z420" s="9"/>
    </x:row>
    <x:row r="421" ht="14.25" customHeight="1">
      <x:c r="K421" s="18">
        <x:f t="shared" si="1"/>
        <x:v>0</x:v>
      </x:c>
      <x:c r="L421" s="18">
        <x:f t="shared" si="2"/>
        <x:v>0</x:v>
      </x:c>
      <x:c r="M421" s="119"/>
      <x:c r="N421" s="119"/>
      <x:c r="O421" s="119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  <x:c r="Z421" s="9"/>
    </x:row>
    <x:row r="422" ht="14.25" customHeight="1">
      <x:c r="K422" s="18">
        <x:f t="shared" si="1"/>
        <x:v>0</x:v>
      </x:c>
      <x:c r="L422" s="18">
        <x:f t="shared" si="2"/>
        <x:v>0</x:v>
      </x:c>
      <x:c r="M422" s="119"/>
      <x:c r="N422" s="119"/>
      <x:c r="O422" s="119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  <x:c r="Z422" s="9"/>
    </x:row>
    <x:row r="423" ht="14.25" customHeight="1">
      <x:c r="K423" s="18">
        <x:f t="shared" si="1"/>
        <x:v>0</x:v>
      </x:c>
      <x:c r="L423" s="18">
        <x:f t="shared" si="2"/>
        <x:v>0</x:v>
      </x:c>
      <x:c r="M423" s="119" t="n">
        <x:f>C425*Scoring!$B$32+D425/Scoring!$C$32+E425*Scoring!$D$32+F425*Scoring!$E$32+G425/Scoring!$F$32+H425*Scoring!$G$32+I425*Scoring!$H$32+K425*Scoring!$I$32+RB!L425*Scoring!$J$32+U423</x:f>
        <x:v>0</x:v>
      </x:c>
      <x:c r="N423" s="119" t="n">
        <x:f>C423*Scoring!$B$32+D423/Scoring!$C$32+E423*Scoring!$D$32+F423*Scoring!$E$32+G423/Scoring!$F$32+H423*Scoring!$G$32+I423*Scoring!$H$32+K423*Scoring!$I$32+RB!L423*Scoring!$J$32+U423</x:f>
        <x:v>0</x:v>
      </x:c>
      <x:c r="O423" s="119" t="n">
        <x:f>C424*Scoring!$B$32+D424/Scoring!$C$32+E424*Scoring!$D$32+F424*Scoring!$E$32+G424/Scoring!$F$32+H424*Scoring!$G$32+I424*Scoring!$H$32+K424*Scoring!$I$32+L424*Scoring!$J$32+U423</x:f>
        <x:v>0</x:v>
      </x:c>
      <x:c r="P423" s="9" t="n">
        <x:f>IF(COUNTIF(Rookies!$A:$A,A423)&gt;0,1,0)</x:f>
        <x:v>0</x:v>
      </x:c>
      <x:c r="Q423" s="9"/>
      <x:c r="R423" s="9"/>
      <x:c r="S423" s="9" t="n">
        <x:f>V423/17</x:f>
        <x:v>0</x:v>
      </x:c>
      <x:c r="T423" s="9" t="n">
        <x:f>IF(P423=1,MAX(0,0.258*(14.9-S423)),0)</x:f>
        <x:v>0</x:v>
      </x:c>
      <x:c r="U423" s="9" t="n">
        <x:f>T423*17</x:f>
        <x:v>0</x:v>
      </x:c>
      <x:c r="V423" s="9" t="n">
        <x:f>C423*Scoring!$B$32+D423/Scoring!$C$32+E423*Scoring!$D$32+F423*Scoring!$E$32+G423/Scoring!$F$32+H423*Scoring!$G$32+I423*Scoring!$H$32+K423*Scoring!$I$32+RB!L423*Scoring!$J$32</x:f>
        <x:v>0</x:v>
      </x:c>
      <x:c r="W423" s="9"/>
      <x:c r="X423" s="9"/>
      <x:c r="Y423" s="9"/>
      <x:c r="Z423" s="9"/>
    </x:row>
    <x:row r="424" ht="14.25" customHeight="1">
      <x:c r="K424" s="18">
        <x:f t="shared" si="1"/>
        <x:v>0</x:v>
      </x:c>
      <x:c r="L424" s="18">
        <x:f t="shared" si="2"/>
        <x:v>0</x:v>
      </x:c>
      <x:c r="M424" s="119"/>
      <x:c r="N424" s="119"/>
      <x:c r="O424" s="119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</x:row>
    <x:row r="425" ht="14.25" customHeight="1">
      <x:c r="K425" s="18">
        <x:f t="shared" si="1"/>
        <x:v>0</x:v>
      </x:c>
      <x:c r="L425" s="18">
        <x:f t="shared" si="2"/>
        <x:v>0</x:v>
      </x:c>
      <x:c r="M425" s="119"/>
      <x:c r="N425" s="119"/>
      <x:c r="O425" s="119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  <x:c r="Z425" s="9"/>
    </x:row>
    <x:row r="426" ht="14.25" customHeight="1">
      <x:c r="K426" s="18">
        <x:f t="shared" si="1"/>
        <x:v>0</x:v>
      </x:c>
      <x:c r="L426" s="18">
        <x:f t="shared" si="2"/>
        <x:v>0</x:v>
      </x:c>
      <x:c r="M426" s="119" t="n">
        <x:f>C428*Scoring!$B$32+D428/Scoring!$C$32+E428*Scoring!$D$32+F428*Scoring!$E$32+G428/Scoring!$F$32+H428*Scoring!$G$32+I428*Scoring!$H$32+K428*Scoring!$I$32+RB!L428*Scoring!$J$32+U426</x:f>
        <x:v>0</x:v>
      </x:c>
      <x:c r="N426" s="119" t="n">
        <x:f>C426*Scoring!$B$32+D426/Scoring!$C$32+E426*Scoring!$D$32+F426*Scoring!$E$32+G426/Scoring!$F$32+H426*Scoring!$G$32+I426*Scoring!$H$32+K426*Scoring!$I$32+RB!L426*Scoring!$J$32+U426</x:f>
        <x:v>0</x:v>
      </x:c>
      <x:c r="O426" s="119" t="n">
        <x:f>C427*Scoring!$B$32+D427/Scoring!$C$32+E427*Scoring!$D$32+F427*Scoring!$E$32+G427/Scoring!$F$32+H427*Scoring!$G$32+I427*Scoring!$H$32+K427*Scoring!$I$32+L427*Scoring!$J$32+U426</x:f>
        <x:v>0</x:v>
      </x:c>
      <x:c r="P426" s="9" t="n">
        <x:f>IF(COUNTIF(Rookies!$A:$A,A426)&gt;0,1,0)</x:f>
        <x:v>0</x:v>
      </x:c>
      <x:c r="Q426" s="9"/>
      <x:c r="R426" s="9"/>
      <x:c r="S426" s="9" t="n">
        <x:f>V426/17</x:f>
        <x:v>0</x:v>
      </x:c>
      <x:c r="T426" s="9" t="n">
        <x:f>IF(P426=1,MAX(0,0.258*(14.9-S426)),0)</x:f>
        <x:v>0</x:v>
      </x:c>
      <x:c r="U426" s="9" t="n">
        <x:f>T426*17</x:f>
        <x:v>0</x:v>
      </x:c>
      <x:c r="V426" s="9" t="n">
        <x:f>C426*Scoring!$B$32+D426/Scoring!$C$32+E426*Scoring!$D$32+F426*Scoring!$E$32+G426/Scoring!$F$32+H426*Scoring!$G$32+I426*Scoring!$H$32+K426*Scoring!$I$32+RB!L426*Scoring!$J$32</x:f>
        <x:v>0</x:v>
      </x:c>
      <x:c r="W426" s="9"/>
      <x:c r="X426" s="9"/>
      <x:c r="Y426" s="9"/>
      <x:c r="Z426" s="9"/>
    </x:row>
    <x:row r="427" ht="14.25" customHeight="1">
      <x:c r="K427" s="18">
        <x:f t="shared" si="1"/>
        <x:v>0</x:v>
      </x:c>
      <x:c r="L427" s="18">
        <x:f t="shared" si="2"/>
        <x:v>0</x:v>
      </x:c>
      <x:c r="M427" s="119"/>
      <x:c r="N427" s="119"/>
      <x:c r="O427" s="119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</x:row>
    <x:row r="428" ht="14.25" customHeight="1">
      <x:c r="K428" s="18">
        <x:f t="shared" si="1"/>
        <x:v>0</x:v>
      </x:c>
      <x:c r="L428" s="18">
        <x:f t="shared" si="2"/>
        <x:v>0</x:v>
      </x:c>
      <x:c r="M428" s="119"/>
      <x:c r="N428" s="119"/>
      <x:c r="O428" s="119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  <x:c r="Z428" s="9"/>
    </x:row>
    <x:row r="429" ht="14.25" customHeight="1">
      <x:c r="K429" s="18">
        <x:f t="shared" si="1"/>
        <x:v>0</x:v>
      </x:c>
      <x:c r="L429" s="18">
        <x:f t="shared" si="2"/>
        <x:v>0</x:v>
      </x:c>
      <x:c r="M429" s="119" t="n">
        <x:f>C431*Scoring!$B$32+D431/Scoring!$C$32+E431*Scoring!$D$32+F431*Scoring!$E$32+G431/Scoring!$F$32+H431*Scoring!$G$32+I431*Scoring!$H$32+K431*Scoring!$I$32+RB!L431*Scoring!$J$32+U429</x:f>
        <x:v>0</x:v>
      </x:c>
      <x:c r="N429" s="119" t="n">
        <x:f>C429*Scoring!$B$32+D429/Scoring!$C$32+E429*Scoring!$D$32+F429*Scoring!$E$32+G429/Scoring!$F$32+H429*Scoring!$G$32+I429*Scoring!$H$32+K429*Scoring!$I$32+RB!L429*Scoring!$J$32+U429</x:f>
        <x:v>0</x:v>
      </x:c>
      <x:c r="O429" s="119" t="n">
        <x:f>C430*Scoring!$B$32+D430/Scoring!$C$32+E430*Scoring!$D$32+F430*Scoring!$E$32+G430/Scoring!$F$32+H430*Scoring!$G$32+I430*Scoring!$H$32+K430*Scoring!$I$32+L430*Scoring!$J$32+U429</x:f>
        <x:v>0</x:v>
      </x:c>
      <x:c r="P429" s="9" t="n">
        <x:f>IF(COUNTIF(Rookies!$A:$A,A429)&gt;0,1,0)</x:f>
        <x:v>0</x:v>
      </x:c>
      <x:c r="Q429" s="9"/>
      <x:c r="R429" s="9"/>
      <x:c r="S429" s="9" t="n">
        <x:f>V429/17</x:f>
        <x:v>0</x:v>
      </x:c>
      <x:c r="T429" s="9" t="n">
        <x:f>IF(P429=1,MAX(0,0.258*(14.9-S429)),0)</x:f>
        <x:v>0</x:v>
      </x:c>
      <x:c r="U429" s="9" t="n">
        <x:f>T429*17</x:f>
        <x:v>0</x:v>
      </x:c>
      <x:c r="V429" s="9" t="n">
        <x:f>C429*Scoring!$B$32+D429/Scoring!$C$32+E429*Scoring!$D$32+F429*Scoring!$E$32+G429/Scoring!$F$32+H429*Scoring!$G$32+I429*Scoring!$H$32+K429*Scoring!$I$32+RB!L429*Scoring!$J$32</x:f>
        <x:v>0</x:v>
      </x:c>
      <x:c r="W429" s="9"/>
      <x:c r="X429" s="9"/>
      <x:c r="Y429" s="9"/>
      <x:c r="Z429" s="9"/>
    </x:row>
    <x:row r="430" ht="14.25" customHeight="1">
      <x:c r="K430" s="18">
        <x:f t="shared" si="1"/>
        <x:v>0</x:v>
      </x:c>
      <x:c r="L430" s="18">
        <x:f t="shared" si="2"/>
        <x:v>0</x:v>
      </x:c>
      <x:c r="M430" s="119"/>
      <x:c r="N430" s="119"/>
      <x:c r="O430" s="119"/>
      <x:c r="P430" s="9"/>
      <x:c r="Q430" s="9"/>
      <x:c r="R430" s="9"/>
      <x:c r="S430" s="9"/>
      <x:c r="T430" s="9"/>
      <x:c r="U430" s="9"/>
      <x:c r="V430" s="9"/>
      <x:c r="W430" s="9"/>
      <x:c r="X430" s="9"/>
      <x:c r="Y430" s="9"/>
      <x:c r="Z430" s="9"/>
    </x:row>
    <x:row r="431" ht="14.25" customHeight="1">
      <x:c r="K431" s="18">
        <x:f t="shared" si="1"/>
        <x:v>0</x:v>
      </x:c>
      <x:c r="L431" s="18">
        <x:f t="shared" si="2"/>
        <x:v>0</x:v>
      </x:c>
      <x:c r="M431" s="119"/>
      <x:c r="N431" s="119"/>
      <x:c r="O431" s="119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</x:row>
    <x:row r="432" ht="14.25" customHeight="1">
      <x:c r="K432" s="18">
        <x:f t="shared" si="1"/>
        <x:v>0</x:v>
      </x:c>
      <x:c r="L432" s="18">
        <x:f t="shared" si="2"/>
        <x:v>0</x:v>
      </x:c>
      <x:c r="M432" s="119" t="n">
        <x:f>C434*Scoring!$B$32+D434/Scoring!$C$32+E434*Scoring!$D$32+F434*Scoring!$E$32+G434/Scoring!$F$32+H434*Scoring!$G$32+I434*Scoring!$H$32+K434*Scoring!$I$32+RB!L434*Scoring!$J$32+U432</x:f>
        <x:v>0</x:v>
      </x:c>
      <x:c r="N432" s="119" t="n">
        <x:f>C432*Scoring!$B$32+D432/Scoring!$C$32+E432*Scoring!$D$32+F432*Scoring!$E$32+G432/Scoring!$F$32+H432*Scoring!$G$32+I432*Scoring!$H$32+K432*Scoring!$I$32+RB!L432*Scoring!$J$32+U432</x:f>
        <x:v>0</x:v>
      </x:c>
      <x:c r="O432" s="119" t="n">
        <x:f>C433*Scoring!$B$32+D433/Scoring!$C$32+E433*Scoring!$D$32+F433*Scoring!$E$32+G433/Scoring!$F$32+H433*Scoring!$G$32+I433*Scoring!$H$32+K433*Scoring!$I$32+L433*Scoring!$J$32+U432</x:f>
        <x:v>0</x:v>
      </x:c>
      <x:c r="P432" s="9" t="n">
        <x:f>IF(COUNTIF(Rookies!$A:$A,A432)&gt;0,1,0)</x:f>
        <x:v>0</x:v>
      </x:c>
      <x:c r="Q432" s="9"/>
      <x:c r="R432" s="9"/>
      <x:c r="S432" s="9" t="n">
        <x:f>V432/17</x:f>
        <x:v>0</x:v>
      </x:c>
      <x:c r="T432" s="9" t="n">
        <x:f>IF(P432=1,MAX(0,0.258*(14.9-S432)),0)</x:f>
        <x:v>0</x:v>
      </x:c>
      <x:c r="U432" s="9" t="n">
        <x:f>T432*17</x:f>
        <x:v>0</x:v>
      </x:c>
      <x:c r="V432" s="9" t="n">
        <x:f>C432*Scoring!$B$32+D432/Scoring!$C$32+E432*Scoring!$D$32+F432*Scoring!$E$32+G432/Scoring!$F$32+H432*Scoring!$G$32+I432*Scoring!$H$32+K432*Scoring!$I$32+RB!L432*Scoring!$J$32</x:f>
        <x:v>0</x:v>
      </x:c>
      <x:c r="W432" s="9"/>
      <x:c r="X432" s="9"/>
      <x:c r="Y432" s="9"/>
      <x:c r="Z432" s="9"/>
    </x:row>
    <x:row r="433" ht="14.25" customHeight="1">
      <x:c r="K433" s="18">
        <x:f t="shared" si="1"/>
        <x:v>0</x:v>
      </x:c>
      <x:c r="L433" s="18">
        <x:f t="shared" si="2"/>
        <x:v>0</x:v>
      </x:c>
      <x:c r="M433" s="119"/>
      <x:c r="N433" s="119"/>
      <x:c r="O433" s="119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</x:row>
    <x:row r="434" ht="14.25" customHeight="1">
      <x:c r="K434" s="18">
        <x:f t="shared" si="1"/>
        <x:v>0</x:v>
      </x:c>
      <x:c r="L434" s="18">
        <x:f t="shared" si="2"/>
        <x:v>0</x:v>
      </x:c>
      <x:c r="M434" s="119"/>
      <x:c r="N434" s="119"/>
      <x:c r="O434" s="119"/>
      <x:c r="P434" s="9"/>
      <x:c r="Q434" s="9"/>
      <x:c r="R434" s="9"/>
      <x:c r="S434" s="9"/>
      <x:c r="T434" s="9"/>
      <x:c r="U434" s="9"/>
      <x:c r="V434" s="9"/>
      <x:c r="W434" s="9"/>
      <x:c r="X434" s="9"/>
      <x:c r="Y434" s="9"/>
      <x:c r="Z434" s="9"/>
    </x:row>
    <x:row r="435" ht="14.25" customHeight="1">
      <x:c r="K435" s="18">
        <x:f t="shared" si="1"/>
        <x:v>0</x:v>
      </x:c>
      <x:c r="L435" s="18">
        <x:f t="shared" si="2"/>
        <x:v>0</x:v>
      </x:c>
      <x:c r="M435" s="119" t="n">
        <x:f>C437*Scoring!$B$32+D437/Scoring!$C$32+E437*Scoring!$D$32+F437*Scoring!$E$32+G437/Scoring!$F$32+H437*Scoring!$G$32+I437*Scoring!$H$32+K437*Scoring!$I$32+RB!L437*Scoring!$J$32+U435</x:f>
        <x:v>0</x:v>
      </x:c>
      <x:c r="N435" s="119" t="n">
        <x:f>C435*Scoring!$B$32+D435/Scoring!$C$32+E435*Scoring!$D$32+F435*Scoring!$E$32+G435/Scoring!$F$32+H435*Scoring!$G$32+I435*Scoring!$H$32+K435*Scoring!$I$32+RB!L435*Scoring!$J$32+U435</x:f>
        <x:v>0</x:v>
      </x:c>
      <x:c r="O435" s="119" t="n">
        <x:f>C436*Scoring!$B$32+D436/Scoring!$C$32+E436*Scoring!$D$32+F436*Scoring!$E$32+G436/Scoring!$F$32+H436*Scoring!$G$32+I436*Scoring!$H$32+K436*Scoring!$I$32+L436*Scoring!$J$32+U435</x:f>
        <x:v>0</x:v>
      </x:c>
      <x:c r="P435" s="9" t="n">
        <x:f>IF(COUNTIF(Rookies!$A:$A,A435)&gt;0,1,0)</x:f>
        <x:v>0</x:v>
      </x:c>
      <x:c r="Q435" s="9"/>
      <x:c r="R435" s="9"/>
      <x:c r="S435" s="9" t="n">
        <x:f>V435/17</x:f>
        <x:v>0</x:v>
      </x:c>
      <x:c r="T435" s="9" t="n">
        <x:f>IF(P435=1,MAX(0,0.258*(14.9-S435)),0)</x:f>
        <x:v>0</x:v>
      </x:c>
      <x:c r="U435" s="9" t="n">
        <x:f>T435*17</x:f>
        <x:v>0</x:v>
      </x:c>
      <x:c r="V435" s="9" t="n">
        <x:f>C435*Scoring!$B$32+D435/Scoring!$C$32+E435*Scoring!$D$32+F435*Scoring!$E$32+G435/Scoring!$F$32+H435*Scoring!$G$32+I435*Scoring!$H$32+K435*Scoring!$I$32+RB!L435*Scoring!$J$32</x:f>
        <x:v>0</x:v>
      </x:c>
      <x:c r="W435" s="9"/>
      <x:c r="X435" s="9"/>
      <x:c r="Y435" s="9"/>
      <x:c r="Z435" s="9"/>
    </x:row>
    <x:row r="436" ht="14.25" customHeight="1">
      <x:c r="K436" s="18">
        <x:f t="shared" si="1"/>
        <x:v>0</x:v>
      </x:c>
      <x:c r="L436" s="18">
        <x:f t="shared" si="2"/>
        <x:v>0</x:v>
      </x:c>
      <x:c r="M436" s="119"/>
      <x:c r="N436" s="119"/>
      <x:c r="O436" s="119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  <x:c r="Z436" s="9"/>
    </x:row>
    <x:row r="437" ht="14.25" customHeight="1">
      <x:c r="K437" s="18">
        <x:f t="shared" si="1"/>
        <x:v>0</x:v>
      </x:c>
      <x:c r="L437" s="18">
        <x:f t="shared" si="2"/>
        <x:v>0</x:v>
      </x:c>
      <x:c r="M437" s="119"/>
      <x:c r="N437" s="119"/>
      <x:c r="O437" s="119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  <x:c r="Z437" s="9"/>
    </x:row>
    <x:row r="438" ht="14.25" customHeight="1">
      <x:c r="K438" s="18">
        <x:f t="shared" si="1"/>
        <x:v>0</x:v>
      </x:c>
      <x:c r="L438" s="18">
        <x:f t="shared" si="2"/>
        <x:v>0</x:v>
      </x:c>
      <x:c r="M438" s="119" t="n">
        <x:f>C440*Scoring!$B$32+D440/Scoring!$C$32+E440*Scoring!$D$32+F440*Scoring!$E$32+G440/Scoring!$F$32+H440*Scoring!$G$32+I440*Scoring!$H$32+K440*Scoring!$I$32+RB!L440*Scoring!$J$32+U438</x:f>
        <x:v>0</x:v>
      </x:c>
      <x:c r="N438" s="119" t="n">
        <x:f>C438*Scoring!$B$32+D438/Scoring!$C$32+E438*Scoring!$D$32+F438*Scoring!$E$32+G438/Scoring!$F$32+H438*Scoring!$G$32+I438*Scoring!$H$32+K438*Scoring!$I$32+RB!L438*Scoring!$J$32+U438</x:f>
        <x:v>0</x:v>
      </x:c>
      <x:c r="O438" s="119" t="n">
        <x:f>C439*Scoring!$B$32+D439/Scoring!$C$32+E439*Scoring!$D$32+F439*Scoring!$E$32+G439/Scoring!$F$32+H439*Scoring!$G$32+I439*Scoring!$H$32+K439*Scoring!$I$32+L439*Scoring!$J$32+U438</x:f>
        <x:v>0</x:v>
      </x:c>
      <x:c r="P438" s="9" t="n">
        <x:f>IF(COUNTIF(Rookies!$A:$A,A438)&gt;0,1,0)</x:f>
        <x:v>0</x:v>
      </x:c>
      <x:c r="Q438" s="9"/>
      <x:c r="R438" s="9"/>
      <x:c r="S438" s="9" t="n">
        <x:f>V438/17</x:f>
        <x:v>0</x:v>
      </x:c>
      <x:c r="T438" s="9" t="n">
        <x:f>IF(P438=1,MAX(0,0.258*(14.9-S438)),0)</x:f>
        <x:v>0</x:v>
      </x:c>
      <x:c r="U438" s="9" t="n">
        <x:f>T438*17</x:f>
        <x:v>0</x:v>
      </x:c>
      <x:c r="V438" s="9" t="n">
        <x:f>C438*Scoring!$B$32+D438/Scoring!$C$32+E438*Scoring!$D$32+F438*Scoring!$E$32+G438/Scoring!$F$32+H438*Scoring!$G$32+I438*Scoring!$H$32+K438*Scoring!$I$32+RB!L438*Scoring!$J$32</x:f>
        <x:v>0</x:v>
      </x:c>
      <x:c r="W438" s="9"/>
      <x:c r="X438" s="9"/>
      <x:c r="Y438" s="9"/>
      <x:c r="Z438" s="9"/>
    </x:row>
    <x:row r="439" ht="14.25" customHeight="1">
      <x:c r="K439" s="18">
        <x:f t="shared" si="1"/>
        <x:v>0</x:v>
      </x:c>
      <x:c r="L439" s="18">
        <x:f t="shared" si="2"/>
        <x:v>0</x:v>
      </x:c>
      <x:c r="M439" s="119"/>
      <x:c r="N439" s="119"/>
      <x:c r="O439" s="119"/>
      <x:c r="P439" s="9"/>
      <x:c r="Q439" s="9"/>
      <x:c r="R439" s="9"/>
      <x:c r="S439" s="9"/>
      <x:c r="T439" s="9"/>
      <x:c r="U439" s="9"/>
      <x:c r="V439" s="9"/>
      <x:c r="W439" s="9"/>
      <x:c r="X439" s="9"/>
      <x:c r="Y439" s="9"/>
      <x:c r="Z439" s="9"/>
    </x:row>
    <x:row r="440" ht="14.25" customHeight="1">
      <x:c r="K440" s="18">
        <x:f t="shared" si="1"/>
        <x:v>0</x:v>
      </x:c>
      <x:c r="L440" s="18">
        <x:f t="shared" si="2"/>
        <x:v>0</x:v>
      </x:c>
      <x:c r="M440" s="119"/>
      <x:c r="N440" s="119"/>
      <x:c r="O440" s="119"/>
      <x:c r="P440" s="9"/>
      <x:c r="Q440" s="9"/>
      <x:c r="R440" s="9"/>
      <x:c r="S440" s="9"/>
      <x:c r="T440" s="9"/>
      <x:c r="U440" s="9"/>
      <x:c r="V440" s="9"/>
      <x:c r="W440" s="9"/>
      <x:c r="X440" s="9"/>
      <x:c r="Y440" s="9"/>
      <x:c r="Z440" s="9"/>
    </x:row>
    <x:row r="441" ht="14.25" customHeight="1">
      <x:c r="K441" s="18">
        <x:f t="shared" si="1"/>
        <x:v>0</x:v>
      </x:c>
      <x:c r="L441" s="18">
        <x:f t="shared" si="2"/>
        <x:v>0</x:v>
      </x:c>
      <x:c r="M441" s="119" t="n">
        <x:f>C443*Scoring!$B$32+D443/Scoring!$C$32+E443*Scoring!$D$32+F443*Scoring!$E$32+G443/Scoring!$F$32+H443*Scoring!$G$32+I443*Scoring!$H$32+K443*Scoring!$I$32+RB!L443*Scoring!$J$32+U441</x:f>
        <x:v>0</x:v>
      </x:c>
      <x:c r="N441" s="119" t="n">
        <x:f>C441*Scoring!$B$32+D441/Scoring!$C$32+E441*Scoring!$D$32+F441*Scoring!$E$32+G441/Scoring!$F$32+H441*Scoring!$G$32+I441*Scoring!$H$32+K441*Scoring!$I$32+RB!L441*Scoring!$J$32+U441</x:f>
        <x:v>0</x:v>
      </x:c>
      <x:c r="O441" s="119" t="n">
        <x:f>C442*Scoring!$B$32+D442/Scoring!$C$32+E442*Scoring!$D$32+F442*Scoring!$E$32+G442/Scoring!$F$32+H442*Scoring!$G$32+I442*Scoring!$H$32+K442*Scoring!$I$32+L442*Scoring!$J$32+U441</x:f>
        <x:v>0</x:v>
      </x:c>
      <x:c r="P441" s="9" t="n">
        <x:f>IF(COUNTIF(Rookies!$A:$A,A441)&gt;0,1,0)</x:f>
        <x:v>0</x:v>
      </x:c>
      <x:c r="Q441" s="9"/>
      <x:c r="R441" s="9"/>
      <x:c r="S441" s="9" t="n">
        <x:f>V441/17</x:f>
        <x:v>0</x:v>
      </x:c>
      <x:c r="T441" s="9" t="n">
        <x:f>IF(P441=1,MAX(0,0.258*(14.9-S441)),0)</x:f>
        <x:v>0</x:v>
      </x:c>
      <x:c r="U441" s="9" t="n">
        <x:f>T441*17</x:f>
        <x:v>0</x:v>
      </x:c>
      <x:c r="V441" s="9" t="n">
        <x:f>C441*Scoring!$B$32+D441/Scoring!$C$32+E441*Scoring!$D$32+F441*Scoring!$E$32+G441/Scoring!$F$32+H441*Scoring!$G$32+I441*Scoring!$H$32+K441*Scoring!$I$32+RB!L441*Scoring!$J$32</x:f>
        <x:v>0</x:v>
      </x:c>
      <x:c r="W441" s="9"/>
      <x:c r="X441" s="9"/>
      <x:c r="Y441" s="9"/>
      <x:c r="Z441" s="9"/>
    </x:row>
    <x:row r="442" ht="14.25" customHeight="1">
      <x:c r="K442" s="18">
        <x:f t="shared" si="1"/>
        <x:v>0</x:v>
      </x:c>
      <x:c r="L442" s="18">
        <x:f t="shared" si="2"/>
        <x:v>0</x:v>
      </x:c>
      <x:c r="M442" s="119"/>
      <x:c r="N442" s="119"/>
      <x:c r="O442" s="119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</x:row>
    <x:row r="443" ht="14.25" customHeight="1">
      <x:c r="K443" s="18">
        <x:f t="shared" si="1"/>
        <x:v>0</x:v>
      </x:c>
      <x:c r="L443" s="18">
        <x:f t="shared" si="2"/>
        <x:v>0</x:v>
      </x:c>
      <x:c r="M443" s="119"/>
      <x:c r="N443" s="119"/>
      <x:c r="O443" s="119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  <x:c r="Z443" s="9"/>
    </x:row>
    <x:row r="444" ht="14.25" customHeight="1">
      <x:c r="K444" s="18">
        <x:f t="shared" si="1"/>
        <x:v>0</x:v>
      </x:c>
      <x:c r="L444" s="18">
        <x:f t="shared" si="2"/>
        <x:v>0</x:v>
      </x:c>
      <x:c r="M444" s="119" t="n">
        <x:f>C446*Scoring!$B$32+D446/Scoring!$C$32+E446*Scoring!$D$32+F446*Scoring!$E$32+G446/Scoring!$F$32+H446*Scoring!$G$32+I446*Scoring!$H$32+K446*Scoring!$I$32+RB!L446*Scoring!$J$32+U444</x:f>
        <x:v>0</x:v>
      </x:c>
      <x:c r="N444" s="119" t="n">
        <x:f>C444*Scoring!$B$32+D444/Scoring!$C$32+E444*Scoring!$D$32+F444*Scoring!$E$32+G444/Scoring!$F$32+H444*Scoring!$G$32+I444*Scoring!$H$32+K444*Scoring!$I$32+RB!L444*Scoring!$J$32+U444</x:f>
        <x:v>0</x:v>
      </x:c>
      <x:c r="O444" s="119" t="n">
        <x:f>C445*Scoring!$B$32+D445/Scoring!$C$32+E445*Scoring!$D$32+F445*Scoring!$E$32+G445/Scoring!$F$32+H445*Scoring!$G$32+I445*Scoring!$H$32+K445*Scoring!$I$32+L445*Scoring!$J$32+U444</x:f>
        <x:v>0</x:v>
      </x:c>
      <x:c r="P444" s="9" t="n">
        <x:f>IF(COUNTIF(Rookies!$A:$A,A444)&gt;0,1,0)</x:f>
        <x:v>0</x:v>
      </x:c>
      <x:c r="Q444" s="9"/>
      <x:c r="R444" s="9"/>
      <x:c r="S444" s="9" t="n">
        <x:f>V444/17</x:f>
        <x:v>0</x:v>
      </x:c>
      <x:c r="T444" s="9" t="n">
        <x:f>IF(P444=1,MAX(0,0.258*(14.9-S444)),0)</x:f>
        <x:v>0</x:v>
      </x:c>
      <x:c r="U444" s="9" t="n">
        <x:f>T444*17</x:f>
        <x:v>0</x:v>
      </x:c>
      <x:c r="V444" s="9" t="n">
        <x:f>C444*Scoring!$B$32+D444/Scoring!$C$32+E444*Scoring!$D$32+F444*Scoring!$E$32+G444/Scoring!$F$32+H444*Scoring!$G$32+I444*Scoring!$H$32+K444*Scoring!$I$32+RB!L444*Scoring!$J$32</x:f>
        <x:v>0</x:v>
      </x:c>
      <x:c r="W444" s="9"/>
      <x:c r="X444" s="9"/>
      <x:c r="Y444" s="9"/>
      <x:c r="Z444" s="9"/>
    </x:row>
    <x:row r="445" ht="14.25" customHeight="1">
      <x:c r="K445" s="18">
        <x:f t="shared" si="1"/>
        <x:v>0</x:v>
      </x:c>
      <x:c r="L445" s="18">
        <x:f t="shared" si="2"/>
        <x:v>0</x:v>
      </x:c>
      <x:c r="M445" s="119"/>
      <x:c r="N445" s="119"/>
      <x:c r="O445" s="119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  <x:c r="Z445" s="9"/>
    </x:row>
    <x:row r="446" ht="14.25" customHeight="1">
      <x:c r="K446" s="18">
        <x:f t="shared" si="1"/>
        <x:v>0</x:v>
      </x:c>
      <x:c r="L446" s="18">
        <x:f t="shared" si="2"/>
        <x:v>0</x:v>
      </x:c>
      <x:c r="M446" s="119"/>
      <x:c r="N446" s="119"/>
      <x:c r="O446" s="119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</x:row>
    <x:row r="447" ht="14.25" customHeight="1">
      <x:c r="K447" s="18">
        <x:f t="shared" si="1"/>
        <x:v>0</x:v>
      </x:c>
      <x:c r="L447" s="18">
        <x:f t="shared" si="2"/>
        <x:v>0</x:v>
      </x:c>
      <x:c r="M447" s="119" t="n">
        <x:f>C449*Scoring!$B$32+D449/Scoring!$C$32+E449*Scoring!$D$32+F449*Scoring!$E$32+G449/Scoring!$F$32+H449*Scoring!$G$32+I449*Scoring!$H$32+K449*Scoring!$I$32+RB!L449*Scoring!$J$32+U447</x:f>
        <x:v>0</x:v>
      </x:c>
      <x:c r="N447" s="119" t="n">
        <x:f>C447*Scoring!$B$32+D447/Scoring!$C$32+E447*Scoring!$D$32+F447*Scoring!$E$32+G447/Scoring!$F$32+H447*Scoring!$G$32+I447*Scoring!$H$32+K447*Scoring!$I$32+RB!L447*Scoring!$J$32+U447</x:f>
        <x:v>0</x:v>
      </x:c>
      <x:c r="O447" s="119" t="n">
        <x:f>C448*Scoring!$B$32+D448/Scoring!$C$32+E448*Scoring!$D$32+F448*Scoring!$E$32+G448/Scoring!$F$32+H448*Scoring!$G$32+I448*Scoring!$H$32+K448*Scoring!$I$32+L448*Scoring!$J$32+U447</x:f>
        <x:v>0</x:v>
      </x:c>
      <x:c r="P447" s="9" t="n">
        <x:f>IF(COUNTIF(Rookies!$A:$A,A447)&gt;0,1,0)</x:f>
        <x:v>0</x:v>
      </x:c>
      <x:c r="Q447" s="9"/>
      <x:c r="R447" s="9"/>
      <x:c r="S447" s="9" t="n">
        <x:f>V447/17</x:f>
        <x:v>0</x:v>
      </x:c>
      <x:c r="T447" s="9" t="n">
        <x:f>IF(P447=1,MAX(0,0.258*(14.9-S447)),0)</x:f>
        <x:v>0</x:v>
      </x:c>
      <x:c r="U447" s="9" t="n">
        <x:f>T447*17</x:f>
        <x:v>0</x:v>
      </x:c>
      <x:c r="V447" s="9" t="n">
        <x:f>C447*Scoring!$B$32+D447/Scoring!$C$32+E447*Scoring!$D$32+F447*Scoring!$E$32+G447/Scoring!$F$32+H447*Scoring!$G$32+I447*Scoring!$H$32+K447*Scoring!$I$32+RB!L447*Scoring!$J$32</x:f>
        <x:v>0</x:v>
      </x:c>
      <x:c r="W447" s="9"/>
      <x:c r="X447" s="9"/>
      <x:c r="Y447" s="9"/>
      <x:c r="Z447" s="9"/>
    </x:row>
    <x:row r="448" ht="14.25" customHeight="1">
      <x:c r="K448" s="18">
        <x:f t="shared" si="1"/>
        <x:v>0</x:v>
      </x:c>
      <x:c r="L448" s="18">
        <x:f t="shared" si="2"/>
        <x:v>0</x:v>
      </x:c>
      <x:c r="M448" s="119"/>
      <x:c r="N448" s="119"/>
      <x:c r="O448" s="119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</x:row>
    <x:row r="449" ht="14.25" customHeight="1">
      <x:c r="K449" s="18">
        <x:f t="shared" si="1"/>
        <x:v>0</x:v>
      </x:c>
      <x:c r="L449" s="18">
        <x:f t="shared" si="2"/>
        <x:v>0</x:v>
      </x:c>
      <x:c r="M449" s="119"/>
      <x:c r="N449" s="119"/>
      <x:c r="O449" s="119"/>
      <x:c r="P449" s="9"/>
      <x:c r="Q449" s="9"/>
      <x:c r="R449" s="9"/>
      <x:c r="S449" s="9"/>
      <x:c r="T449" s="9"/>
      <x:c r="U449" s="9"/>
      <x:c r="V449" s="9"/>
      <x:c r="W449" s="9"/>
      <x:c r="X449" s="9"/>
      <x:c r="Y449" s="9"/>
      <x:c r="Z449" s="9"/>
    </x:row>
    <x:row r="450" ht="14.25" customHeight="1">
      <x:c r="K450" s="18">
        <x:f t="shared" si="1"/>
        <x:v>0</x:v>
      </x:c>
      <x:c r="L450" s="18">
        <x:f t="shared" si="2"/>
        <x:v>0</x:v>
      </x:c>
      <x:c r="M450" s="119" t="n">
        <x:f>C452*Scoring!$B$32+D452/Scoring!$C$32+E452*Scoring!$D$32+F452*Scoring!$E$32+G452/Scoring!$F$32+H452*Scoring!$G$32+I452*Scoring!$H$32+K452*Scoring!$I$32+RB!L452*Scoring!$J$32+U450</x:f>
        <x:v>0</x:v>
      </x:c>
      <x:c r="N450" s="119" t="n">
        <x:f>C450*Scoring!$B$32+D450/Scoring!$C$32+E450*Scoring!$D$32+F450*Scoring!$E$32+G450/Scoring!$F$32+H450*Scoring!$G$32+I450*Scoring!$H$32+K450*Scoring!$I$32+RB!L450*Scoring!$J$32+U450</x:f>
        <x:v>0</x:v>
      </x:c>
      <x:c r="O450" s="119" t="n">
        <x:f>C451*Scoring!$B$32+D451/Scoring!$C$32+E451*Scoring!$D$32+F451*Scoring!$E$32+G451/Scoring!$F$32+H451*Scoring!$G$32+I451*Scoring!$H$32+K451*Scoring!$I$32+L451*Scoring!$J$32+U450</x:f>
        <x:v>0</x:v>
      </x:c>
      <x:c r="P450" s="9" t="n">
        <x:f>IF(COUNTIF(Rookies!$A:$A,A450)&gt;0,1,0)</x:f>
        <x:v>0</x:v>
      </x:c>
      <x:c r="Q450" s="9"/>
      <x:c r="R450" s="9"/>
      <x:c r="S450" s="9" t="n">
        <x:f>V450/17</x:f>
        <x:v>0</x:v>
      </x:c>
      <x:c r="T450" s="9" t="n">
        <x:f>IF(P450=1,MAX(0,0.258*(14.9-S450)),0)</x:f>
        <x:v>0</x:v>
      </x:c>
      <x:c r="U450" s="9" t="n">
        <x:f>T450*17</x:f>
        <x:v>0</x:v>
      </x:c>
      <x:c r="V450" s="9" t="n">
        <x:f>C450*Scoring!$B$32+D450/Scoring!$C$32+E450*Scoring!$D$32+F450*Scoring!$E$32+G450/Scoring!$F$32+H450*Scoring!$G$32+I450*Scoring!$H$32+K450*Scoring!$I$32+RB!L450*Scoring!$J$32</x:f>
        <x:v>0</x:v>
      </x:c>
      <x:c r="W450" s="9"/>
      <x:c r="X450" s="9"/>
      <x:c r="Y450" s="9"/>
      <x:c r="Z450" s="9"/>
    </x:row>
    <x:row r="451" ht="14.25" customHeight="1">
      <x:c r="K451" s="18">
        <x:f t="shared" si="1"/>
        <x:v>0</x:v>
      </x:c>
      <x:c r="L451" s="18">
        <x:f t="shared" si="2"/>
        <x:v>0</x:v>
      </x:c>
      <x:c r="M451" s="119"/>
      <x:c r="N451" s="119"/>
      <x:c r="O451" s="119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</x:row>
    <x:row r="452" ht="14.25" customHeight="1">
      <x:c r="K452" s="18">
        <x:f t="shared" si="1"/>
        <x:v>0</x:v>
      </x:c>
      <x:c r="L452" s="18">
        <x:f t="shared" si="2"/>
        <x:v>0</x:v>
      </x:c>
      <x:c r="M452" s="119"/>
      <x:c r="N452" s="119"/>
      <x:c r="O452" s="119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</x:row>
    <x:row r="453" ht="14.25" customHeight="1">
      <x:c r="K453" s="18">
        <x:f t="shared" si="1"/>
        <x:v>0</x:v>
      </x:c>
      <x:c r="L453" s="18">
        <x:f t="shared" si="2"/>
        <x:v>0</x:v>
      </x:c>
      <x:c r="M453" s="119" t="n">
        <x:f>C455*Scoring!$B$32+D455/Scoring!$C$32+E455*Scoring!$D$32+F455*Scoring!$E$32+G455/Scoring!$F$32+H455*Scoring!$G$32+I455*Scoring!$H$32+K455*Scoring!$I$32+RB!L455*Scoring!$J$32+U453</x:f>
        <x:v>0</x:v>
      </x:c>
      <x:c r="N453" s="119" t="n">
        <x:f>C453*Scoring!$B$32+D453/Scoring!$C$32+E453*Scoring!$D$32+F453*Scoring!$E$32+G453/Scoring!$F$32+H453*Scoring!$G$32+I453*Scoring!$H$32+K453*Scoring!$I$32+RB!L453*Scoring!$J$32+U453</x:f>
        <x:v>0</x:v>
      </x:c>
      <x:c r="O453" s="119" t="n">
        <x:f>C454*Scoring!$B$32+D454/Scoring!$C$32+E454*Scoring!$D$32+F454*Scoring!$E$32+G454/Scoring!$F$32+H454*Scoring!$G$32+I454*Scoring!$H$32+K454*Scoring!$I$32+L454*Scoring!$J$32+U453</x:f>
        <x:v>0</x:v>
      </x:c>
      <x:c r="P453" s="9" t="n">
        <x:f>IF(COUNTIF(Rookies!$A:$A,A453)&gt;0,1,0)</x:f>
        <x:v>0</x:v>
      </x:c>
      <x:c r="Q453" s="9"/>
      <x:c r="R453" s="9"/>
      <x:c r="S453" s="9" t="n">
        <x:f>V453/17</x:f>
        <x:v>0</x:v>
      </x:c>
      <x:c r="T453" s="9" t="n">
        <x:f>IF(P453=1,MAX(0,0.258*(14.9-S453)),0)</x:f>
        <x:v>0</x:v>
      </x:c>
      <x:c r="U453" s="9" t="n">
        <x:f>T453*17</x:f>
        <x:v>0</x:v>
      </x:c>
      <x:c r="V453" s="9" t="n">
        <x:f>C453*Scoring!$B$32+D453/Scoring!$C$32+E453*Scoring!$D$32+F453*Scoring!$E$32+G453/Scoring!$F$32+H453*Scoring!$G$32+I453*Scoring!$H$32+K453*Scoring!$I$32+RB!L453*Scoring!$J$32</x:f>
        <x:v>0</x:v>
      </x:c>
      <x:c r="W453" s="9"/>
      <x:c r="X453" s="9"/>
      <x:c r="Y453" s="9"/>
      <x:c r="Z453" s="9"/>
    </x:row>
    <x:row r="454" ht="14.25" customHeight="1">
      <x:c r="K454" s="18">
        <x:f t="shared" si="1"/>
        <x:v>0</x:v>
      </x:c>
      <x:c r="L454" s="18">
        <x:f t="shared" si="2"/>
        <x:v>0</x:v>
      </x:c>
      <x:c r="M454" s="119"/>
      <x:c r="N454" s="119"/>
      <x:c r="O454" s="119"/>
      <x:c r="P454" s="9"/>
      <x:c r="Q454" s="9"/>
      <x:c r="R454" s="9"/>
      <x:c r="S454" s="9"/>
      <x:c r="T454" s="9"/>
      <x:c r="U454" s="9"/>
      <x:c r="V454" s="9"/>
      <x:c r="W454" s="9"/>
      <x:c r="X454" s="9"/>
      <x:c r="Y454" s="9"/>
      <x:c r="Z454" s="9"/>
    </x:row>
    <x:row r="455" ht="14.25" customHeight="1">
      <x:c r="K455" s="18">
        <x:f t="shared" si="1"/>
        <x:v>0</x:v>
      </x:c>
      <x:c r="L455" s="18">
        <x:f t="shared" si="2"/>
        <x:v>0</x:v>
      </x:c>
      <x:c r="M455" s="119"/>
      <x:c r="N455" s="119"/>
      <x:c r="O455" s="119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  <x:c r="Z455" s="9"/>
    </x:row>
    <x:row r="456" ht="14.25" customHeight="1">
      <x:c r="K456" s="18">
        <x:f t="shared" si="1"/>
        <x:v>0</x:v>
      </x:c>
      <x:c r="L456" s="18">
        <x:f t="shared" si="2"/>
        <x:v>0</x:v>
      </x:c>
      <x:c r="M456" s="119" t="n">
        <x:f>C458*Scoring!$B$32+D458/Scoring!$C$32+E458*Scoring!$D$32+F458*Scoring!$E$32+G458/Scoring!$F$32+H458*Scoring!$G$32+I458*Scoring!$H$32+K458*Scoring!$I$32+RB!L458*Scoring!$J$32+U456</x:f>
        <x:v>0</x:v>
      </x:c>
      <x:c r="N456" s="119" t="n">
        <x:f>C456*Scoring!$B$32+D456/Scoring!$C$32+E456*Scoring!$D$32+F456*Scoring!$E$32+G456/Scoring!$F$32+H456*Scoring!$G$32+I456*Scoring!$H$32+K456*Scoring!$I$32+RB!L456*Scoring!$J$32+U456</x:f>
        <x:v>0</x:v>
      </x:c>
      <x:c r="O456" s="119" t="n">
        <x:f>C457*Scoring!$B$32+D457/Scoring!$C$32+E457*Scoring!$D$32+F457*Scoring!$E$32+G457/Scoring!$F$32+H457*Scoring!$G$32+I457*Scoring!$H$32+K457*Scoring!$I$32+L457*Scoring!$J$32+U456</x:f>
        <x:v>0</x:v>
      </x:c>
      <x:c r="P456" s="9" t="n">
        <x:f>IF(COUNTIF(Rookies!$A:$A,A456)&gt;0,1,0)</x:f>
        <x:v>0</x:v>
      </x:c>
      <x:c r="Q456" s="9"/>
      <x:c r="R456" s="9"/>
      <x:c r="S456" s="9" t="n">
        <x:f>V456/17</x:f>
        <x:v>0</x:v>
      </x:c>
      <x:c r="T456" s="9" t="n">
        <x:f>IF(P456=1,MAX(0,0.258*(14.9-S456)),0)</x:f>
        <x:v>0</x:v>
      </x:c>
      <x:c r="U456" s="9" t="n">
        <x:f>T456*17</x:f>
        <x:v>0</x:v>
      </x:c>
      <x:c r="V456" s="9" t="n">
        <x:f>C456*Scoring!$B$32+D456/Scoring!$C$32+E456*Scoring!$D$32+F456*Scoring!$E$32+G456/Scoring!$F$32+H456*Scoring!$G$32+I456*Scoring!$H$32+K456*Scoring!$I$32+RB!L456*Scoring!$J$32</x:f>
        <x:v>0</x:v>
      </x:c>
      <x:c r="W456" s="9"/>
      <x:c r="X456" s="9"/>
      <x:c r="Y456" s="9"/>
      <x:c r="Z456" s="9"/>
    </x:row>
    <x:row r="457" ht="14.25" customHeight="1">
      <x:c r="K457" s="18">
        <x:f t="shared" si="1"/>
        <x:v>0</x:v>
      </x:c>
      <x:c r="L457" s="18">
        <x:f t="shared" si="2"/>
        <x:v>0</x:v>
      </x:c>
      <x:c r="M457" s="119"/>
      <x:c r="N457" s="119"/>
      <x:c r="O457" s="119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  <x:c r="Z457" s="9"/>
    </x:row>
    <x:row r="458" ht="14.25" customHeight="1">
      <x:c r="K458" s="18">
        <x:f t="shared" si="1"/>
        <x:v>0</x:v>
      </x:c>
      <x:c r="L458" s="18">
        <x:f t="shared" si="2"/>
        <x:v>0</x:v>
      </x:c>
      <x:c r="M458" s="119"/>
      <x:c r="N458" s="119"/>
      <x:c r="O458" s="119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  <x:c r="Z458" s="9"/>
    </x:row>
    <x:row r="459" ht="14.25" customHeight="1">
      <x:c r="K459" s="18">
        <x:f t="shared" si="1"/>
        <x:v>0</x:v>
      </x:c>
      <x:c r="L459" s="18">
        <x:f t="shared" si="2"/>
        <x:v>0</x:v>
      </x:c>
      <x:c r="M459" s="119" t="n">
        <x:f>C461*Scoring!$B$32+D461/Scoring!$C$32+E461*Scoring!$D$32+F461*Scoring!$E$32+G461/Scoring!$F$32+H461*Scoring!$G$32+I461*Scoring!$H$32+K461*Scoring!$I$32+RB!L461*Scoring!$J$32+U459</x:f>
        <x:v>0</x:v>
      </x:c>
      <x:c r="N459" s="119" t="n">
        <x:f>C459*Scoring!$B$32+D459/Scoring!$C$32+E459*Scoring!$D$32+F459*Scoring!$E$32+G459/Scoring!$F$32+H459*Scoring!$G$32+I459*Scoring!$H$32+K459*Scoring!$I$32+RB!L459*Scoring!$J$32+U459</x:f>
        <x:v>0</x:v>
      </x:c>
      <x:c r="O459" s="119" t="n">
        <x:f>C460*Scoring!$B$32+D460/Scoring!$C$32+E460*Scoring!$D$32+F460*Scoring!$E$32+G460/Scoring!$F$32+H460*Scoring!$G$32+I460*Scoring!$H$32+K460*Scoring!$I$32+L460*Scoring!$J$32+U459</x:f>
        <x:v>0</x:v>
      </x:c>
      <x:c r="P459" s="9" t="n">
        <x:f>IF(COUNTIF(Rookies!$A:$A,A459)&gt;0,1,0)</x:f>
        <x:v>0</x:v>
      </x:c>
      <x:c r="Q459" s="9"/>
      <x:c r="R459" s="9"/>
      <x:c r="S459" s="9" t="n">
        <x:f>V459/17</x:f>
        <x:v>0</x:v>
      </x:c>
      <x:c r="T459" s="9" t="n">
        <x:f>IF(P459=1,MAX(0,0.258*(14.9-S459)),0)</x:f>
        <x:v>0</x:v>
      </x:c>
      <x:c r="U459" s="9" t="n">
        <x:f>T459*17</x:f>
        <x:v>0</x:v>
      </x:c>
      <x:c r="V459" s="9" t="n">
        <x:f>C459*Scoring!$B$32+D459/Scoring!$C$32+E459*Scoring!$D$32+F459*Scoring!$E$32+G459/Scoring!$F$32+H459*Scoring!$G$32+I459*Scoring!$H$32+K459*Scoring!$I$32+RB!L459*Scoring!$J$32</x:f>
        <x:v>0</x:v>
      </x:c>
      <x:c r="W459" s="9"/>
      <x:c r="X459" s="9"/>
      <x:c r="Y459" s="9"/>
      <x:c r="Z459" s="9"/>
    </x:row>
    <x:row r="460" ht="14.25" customHeight="1">
      <x:c r="K460" s="18">
        <x:f t="shared" si="1"/>
        <x:v>0</x:v>
      </x:c>
      <x:c r="L460" s="18">
        <x:f t="shared" si="2"/>
        <x:v>0</x:v>
      </x:c>
      <x:c r="M460" s="119"/>
      <x:c r="N460" s="119"/>
      <x:c r="O460" s="119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  <x:c r="Z460" s="9"/>
    </x:row>
    <x:row r="461" ht="14.25" customHeight="1">
      <x:c r="K461" s="18">
        <x:f t="shared" si="1"/>
        <x:v>0</x:v>
      </x:c>
      <x:c r="L461" s="18">
        <x:f t="shared" si="2"/>
        <x:v>0</x:v>
      </x:c>
      <x:c r="M461" s="119"/>
      <x:c r="N461" s="119"/>
      <x:c r="O461" s="119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  <x:c r="Z461" s="9"/>
    </x:row>
    <x:row r="462" ht="14.25" customHeight="1">
      <x:c r="K462" s="18">
        <x:f t="shared" si="1"/>
        <x:v>0</x:v>
      </x:c>
      <x:c r="L462" s="18">
        <x:f t="shared" si="2"/>
        <x:v>0</x:v>
      </x:c>
      <x:c r="M462" s="119" t="n">
        <x:f>C464*Scoring!$B$32+D464/Scoring!$C$32+E464*Scoring!$D$32+F464*Scoring!$E$32+G464/Scoring!$F$32+H464*Scoring!$G$32+I464*Scoring!$H$32+K464*Scoring!$I$32+RB!L464*Scoring!$J$32+U462</x:f>
        <x:v>0</x:v>
      </x:c>
      <x:c r="N462" s="119" t="n">
        <x:f>C462*Scoring!$B$32+D462/Scoring!$C$32+E462*Scoring!$D$32+F462*Scoring!$E$32+G462/Scoring!$F$32+H462*Scoring!$G$32+I462*Scoring!$H$32+K462*Scoring!$I$32+RB!L462*Scoring!$J$32+U462</x:f>
        <x:v>0</x:v>
      </x:c>
      <x:c r="O462" s="119" t="n">
        <x:f>C463*Scoring!$B$32+D463/Scoring!$C$32+E463*Scoring!$D$32+F463*Scoring!$E$32+G463/Scoring!$F$32+H463*Scoring!$G$32+I463*Scoring!$H$32+K463*Scoring!$I$32+L463*Scoring!$J$32+U462</x:f>
        <x:v>0</x:v>
      </x:c>
      <x:c r="P462" s="9" t="n">
        <x:f>IF(COUNTIF(Rookies!$A:$A,A462)&gt;0,1,0)</x:f>
        <x:v>0</x:v>
      </x:c>
      <x:c r="Q462" s="9"/>
      <x:c r="R462" s="9"/>
      <x:c r="S462" s="9" t="n">
        <x:f>V462/17</x:f>
        <x:v>0</x:v>
      </x:c>
      <x:c r="T462" s="9" t="n">
        <x:f>IF(P462=1,MAX(0,0.258*(14.9-S462)),0)</x:f>
        <x:v>0</x:v>
      </x:c>
      <x:c r="U462" s="9" t="n">
        <x:f>T462*17</x:f>
        <x:v>0</x:v>
      </x:c>
      <x:c r="V462" s="9" t="n">
        <x:f>C462*Scoring!$B$32+D462/Scoring!$C$32+E462*Scoring!$D$32+F462*Scoring!$E$32+G462/Scoring!$F$32+H462*Scoring!$G$32+I462*Scoring!$H$32+K462*Scoring!$I$32+RB!L462*Scoring!$J$32</x:f>
        <x:v>0</x:v>
      </x:c>
      <x:c r="W462" s="9"/>
      <x:c r="X462" s="9"/>
      <x:c r="Y462" s="9"/>
      <x:c r="Z462" s="9"/>
    </x:row>
    <x:row r="463" ht="14.25" customHeight="1">
      <x:c r="K463" s="18">
        <x:f t="shared" si="1"/>
        <x:v>0</x:v>
      </x:c>
      <x:c r="L463" s="18">
        <x:f t="shared" si="2"/>
        <x:v>0</x:v>
      </x:c>
      <x:c r="M463" s="119"/>
      <x:c r="N463" s="119"/>
      <x:c r="O463" s="119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  <x:c r="Z463" s="9"/>
    </x:row>
    <x:row r="464" ht="14.25" customHeight="1">
      <x:c r="K464" s="18">
        <x:f t="shared" si="1"/>
        <x:v>0</x:v>
      </x:c>
      <x:c r="L464" s="18">
        <x:f t="shared" si="2"/>
        <x:v>0</x:v>
      </x:c>
      <x:c r="M464" s="119"/>
      <x:c r="N464" s="119"/>
      <x:c r="O464" s="119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  <x:c r="Z464" s="9"/>
    </x:row>
    <x:row r="465" ht="14.25" customHeight="1">
      <x:c r="K465" s="18">
        <x:f t="shared" si="1"/>
        <x:v>0</x:v>
      </x:c>
      <x:c r="L465" s="18">
        <x:f t="shared" si="2"/>
        <x:v>0</x:v>
      </x:c>
      <x:c r="M465" s="119" t="n">
        <x:f>C467*Scoring!$B$32+D467/Scoring!$C$32+E467*Scoring!$D$32+F467*Scoring!$E$32+G467/Scoring!$F$32+H467*Scoring!$G$32+I467*Scoring!$H$32+K467*Scoring!$I$32+RB!L467*Scoring!$J$32+U465</x:f>
        <x:v>0</x:v>
      </x:c>
      <x:c r="N465" s="119" t="n">
        <x:f>C465*Scoring!$B$32+D465/Scoring!$C$32+E465*Scoring!$D$32+F465*Scoring!$E$32+G465/Scoring!$F$32+H465*Scoring!$G$32+I465*Scoring!$H$32+K465*Scoring!$I$32+RB!L465*Scoring!$J$32+U465</x:f>
        <x:v>0</x:v>
      </x:c>
      <x:c r="O465" s="119" t="n">
        <x:f>C466*Scoring!$B$32+D466/Scoring!$C$32+E466*Scoring!$D$32+F466*Scoring!$E$32+G466/Scoring!$F$32+H466*Scoring!$G$32+I466*Scoring!$H$32+K466*Scoring!$I$32+L466*Scoring!$J$32+U465</x:f>
        <x:v>0</x:v>
      </x:c>
      <x:c r="P465" s="9" t="n">
        <x:f>IF(COUNTIF(Rookies!$A:$A,A465)&gt;0,1,0)</x:f>
        <x:v>0</x:v>
      </x:c>
      <x:c r="Q465" s="9"/>
      <x:c r="R465" s="9"/>
      <x:c r="S465" s="9" t="n">
        <x:f>V465/17</x:f>
        <x:v>0</x:v>
      </x:c>
      <x:c r="T465" s="9" t="n">
        <x:f>IF(P465=1,MAX(0,0.258*(14.9-S465)),0)</x:f>
        <x:v>0</x:v>
      </x:c>
      <x:c r="U465" s="9" t="n">
        <x:f>T465*17</x:f>
        <x:v>0</x:v>
      </x:c>
      <x:c r="V465" s="9" t="n">
        <x:f>C465*Scoring!$B$32+D465/Scoring!$C$32+E465*Scoring!$D$32+F465*Scoring!$E$32+G465/Scoring!$F$32+H465*Scoring!$G$32+I465*Scoring!$H$32+K465*Scoring!$I$32+RB!L465*Scoring!$J$32</x:f>
        <x:v>0</x:v>
      </x:c>
      <x:c r="W465" s="9"/>
      <x:c r="X465" s="9"/>
      <x:c r="Y465" s="9"/>
      <x:c r="Z465" s="9"/>
    </x:row>
    <x:row r="466" ht="14.25" customHeight="1">
      <x:c r="K466" s="18">
        <x:f t="shared" si="1"/>
        <x:v>0</x:v>
      </x:c>
      <x:c r="L466" s="18">
        <x:f t="shared" si="2"/>
        <x:v>0</x:v>
      </x:c>
      <x:c r="M466" s="119"/>
      <x:c r="N466" s="119"/>
      <x:c r="O466" s="119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</x:row>
    <x:row r="467" ht="14.25" customHeight="1">
      <x:c r="K467" s="18">
        <x:f t="shared" si="1"/>
        <x:v>0</x:v>
      </x:c>
      <x:c r="L467" s="18">
        <x:f t="shared" si="2"/>
        <x:v>0</x:v>
      </x:c>
      <x:c r="M467" s="119"/>
      <x:c r="N467" s="119"/>
      <x:c r="O467" s="119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  <x:c r="Z467" s="9"/>
    </x:row>
    <x:row r="468" ht="14.25" customHeight="1">
      <x:c r="K468" s="18">
        <x:f t="shared" si="1"/>
        <x:v>0</x:v>
      </x:c>
      <x:c r="L468" s="18">
        <x:f t="shared" si="2"/>
        <x:v>0</x:v>
      </x:c>
      <x:c r="M468" s="119" t="n">
        <x:f>C470*Scoring!$B$32+D470/Scoring!$C$32+E470*Scoring!$D$32+F470*Scoring!$E$32+G470/Scoring!$F$32+H470*Scoring!$G$32+I470*Scoring!$H$32+K470*Scoring!$I$32+RB!L470*Scoring!$J$32+U468</x:f>
        <x:v>0</x:v>
      </x:c>
      <x:c r="N468" s="119" t="n">
        <x:f>C468*Scoring!$B$32+D468/Scoring!$C$32+E468*Scoring!$D$32+F468*Scoring!$E$32+G468/Scoring!$F$32+H468*Scoring!$G$32+I468*Scoring!$H$32+K468*Scoring!$I$32+RB!L468*Scoring!$J$32+U468</x:f>
        <x:v>0</x:v>
      </x:c>
      <x:c r="O468" s="119" t="n">
        <x:f>C469*Scoring!$B$32+D469/Scoring!$C$32+E469*Scoring!$D$32+F469*Scoring!$E$32+G469/Scoring!$F$32+H469*Scoring!$G$32+I469*Scoring!$H$32+K469*Scoring!$I$32+L469*Scoring!$J$32+U468</x:f>
        <x:v>0</x:v>
      </x:c>
      <x:c r="P468" s="9" t="n">
        <x:f>IF(COUNTIF(Rookies!$A:$A,A468)&gt;0,1,0)</x:f>
        <x:v>0</x:v>
      </x:c>
      <x:c r="Q468" s="9"/>
      <x:c r="R468" s="9"/>
      <x:c r="S468" s="9" t="n">
        <x:f>V468/17</x:f>
        <x:v>0</x:v>
      </x:c>
      <x:c r="T468" s="9" t="n">
        <x:f>IF(P468=1,MAX(0,0.258*(14.9-S468)),0)</x:f>
        <x:v>0</x:v>
      </x:c>
      <x:c r="U468" s="9" t="n">
        <x:f>T468*17</x:f>
        <x:v>0</x:v>
      </x:c>
      <x:c r="V468" s="9" t="n">
        <x:f>C468*Scoring!$B$32+D468/Scoring!$C$32+E468*Scoring!$D$32+F468*Scoring!$E$32+G468/Scoring!$F$32+H468*Scoring!$G$32+I468*Scoring!$H$32+K468*Scoring!$I$32+RB!L468*Scoring!$J$32</x:f>
        <x:v>0</x:v>
      </x:c>
      <x:c r="W468" s="9"/>
      <x:c r="X468" s="9"/>
      <x:c r="Y468" s="9"/>
      <x:c r="Z468" s="9"/>
    </x:row>
    <x:row r="469" ht="14.25" customHeight="1">
      <x:c r="K469" s="18">
        <x:f t="shared" si="1"/>
        <x:v>0</x:v>
      </x:c>
      <x:c r="L469" s="18">
        <x:f t="shared" si="2"/>
        <x:v>0</x:v>
      </x:c>
      <x:c r="M469" s="119"/>
      <x:c r="N469" s="119"/>
      <x:c r="O469" s="119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  <x:c r="Z469" s="9"/>
    </x:row>
    <x:row r="470" ht="14.25" customHeight="1">
      <x:c r="K470" s="18">
        <x:f t="shared" si="1"/>
        <x:v>0</x:v>
      </x:c>
      <x:c r="L470" s="18">
        <x:f t="shared" si="2"/>
        <x:v>0</x:v>
      </x:c>
      <x:c r="M470" s="119"/>
      <x:c r="N470" s="119"/>
      <x:c r="O470" s="119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  <x:c r="Z470" s="9"/>
    </x:row>
    <x:row r="471" ht="14.25" customHeight="1">
      <x:c r="K471" s="18">
        <x:f t="shared" si="1"/>
        <x:v>0</x:v>
      </x:c>
      <x:c r="L471" s="18">
        <x:f t="shared" si="2"/>
        <x:v>0</x:v>
      </x:c>
      <x:c r="M471" s="119" t="n">
        <x:f>C473*Scoring!$B$32+D473/Scoring!$C$32+E473*Scoring!$D$32+F473*Scoring!$E$32+G473/Scoring!$F$32+H473*Scoring!$G$32+I473*Scoring!$H$32+K473*Scoring!$I$32+RB!L473*Scoring!$J$32+U471</x:f>
        <x:v>0</x:v>
      </x:c>
      <x:c r="N471" s="119" t="n">
        <x:f>C471*Scoring!$B$32+D471/Scoring!$C$32+E471*Scoring!$D$32+F471*Scoring!$E$32+G471/Scoring!$F$32+H471*Scoring!$G$32+I471*Scoring!$H$32+K471*Scoring!$I$32+RB!L471*Scoring!$J$32+U471</x:f>
        <x:v>0</x:v>
      </x:c>
      <x:c r="O471" s="119" t="n">
        <x:f>C472*Scoring!$B$32+D472/Scoring!$C$32+E472*Scoring!$D$32+F472*Scoring!$E$32+G472/Scoring!$F$32+H472*Scoring!$G$32+I472*Scoring!$H$32+K472*Scoring!$I$32+L472*Scoring!$J$32+U471</x:f>
        <x:v>0</x:v>
      </x:c>
      <x:c r="P471" s="9" t="n">
        <x:f>IF(COUNTIF(Rookies!$A:$A,A471)&gt;0,1,0)</x:f>
        <x:v>0</x:v>
      </x:c>
      <x:c r="Q471" s="9"/>
      <x:c r="R471" s="9"/>
      <x:c r="S471" s="9" t="n">
        <x:f>V471/17</x:f>
        <x:v>0</x:v>
      </x:c>
      <x:c r="T471" s="9" t="n">
        <x:f>IF(P471=1,MAX(0,0.258*(14.9-S471)),0)</x:f>
        <x:v>0</x:v>
      </x:c>
      <x:c r="U471" s="9" t="n">
        <x:f>T471*17</x:f>
        <x:v>0</x:v>
      </x:c>
      <x:c r="V471" s="9" t="n">
        <x:f>C471*Scoring!$B$32+D471/Scoring!$C$32+E471*Scoring!$D$32+F471*Scoring!$E$32+G471/Scoring!$F$32+H471*Scoring!$G$32+I471*Scoring!$H$32+K471*Scoring!$I$32+RB!L471*Scoring!$J$32</x:f>
        <x:v>0</x:v>
      </x:c>
      <x:c r="W471" s="9"/>
      <x:c r="X471" s="9"/>
      <x:c r="Y471" s="9"/>
      <x:c r="Z471" s="9"/>
    </x:row>
    <x:row r="472" ht="14.25" customHeight="1">
      <x:c r="K472" s="18">
        <x:f t="shared" si="1"/>
        <x:v>0</x:v>
      </x:c>
      <x:c r="L472" s="18">
        <x:f t="shared" si="2"/>
        <x:v>0</x:v>
      </x:c>
      <x:c r="M472" s="119"/>
      <x:c r="N472" s="119"/>
      <x:c r="O472" s="119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</x:row>
    <x:row r="473" ht="14.25" customHeight="1">
      <x:c r="K473" s="18">
        <x:f t="shared" si="1"/>
        <x:v>0</x:v>
      </x:c>
      <x:c r="L473" s="18">
        <x:f t="shared" si="2"/>
        <x:v>0</x:v>
      </x:c>
      <x:c r="M473" s="119"/>
      <x:c r="N473" s="119"/>
      <x:c r="O473" s="119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</x:row>
    <x:row r="474" ht="14.25" customHeight="1">
      <x:c r="K474" s="18">
        <x:f t="shared" si="1"/>
        <x:v>0</x:v>
      </x:c>
      <x:c r="L474" s="18">
        <x:f t="shared" si="2"/>
        <x:v>0</x:v>
      </x:c>
      <x:c r="M474" s="119" t="n">
        <x:f>C476*Scoring!$B$32+D476/Scoring!$C$32+E476*Scoring!$D$32+F476*Scoring!$E$32+G476/Scoring!$F$32+H476*Scoring!$G$32+I476*Scoring!$H$32+K476*Scoring!$I$32+RB!L476*Scoring!$J$32</x:f>
        <x:v>0</x:v>
      </x:c>
      <x:c r="N474" s="119" t="n">
        <x:f>C474*Scoring!$B$32+D474/Scoring!$C$32+E474*Scoring!$D$32+F474*Scoring!$E$32+G474/Scoring!$F$32+H474*Scoring!$G$32+I474*Scoring!$H$32+K474*Scoring!$I$32+RB!L474*Scoring!$J$32</x:f>
        <x:v>0</x:v>
      </x:c>
      <x:c r="O474" s="119" t="n">
        <x:f>C475*Scoring!$B$32+D475/Scoring!$C$32+E475*Scoring!$D$32+F475*Scoring!$E$32+G475/Scoring!$F$32+H475*Scoring!$G$32+I475*Scoring!$H$32+K475*Scoring!$I$32+L475*Scoring!$J$32</x:f>
        <x:v>0</x:v>
      </x:c>
      <x:c r="P474" s="9"/>
      <x:c r="Q474" s="9"/>
      <x:c r="R474" s="9"/>
      <x:c r="S474" s="9"/>
      <x:c r="T474" s="9"/>
      <x:c r="U474" s="9"/>
      <x:c r="V474" s="9"/>
      <x:c r="W474" s="9"/>
      <x:c r="X474" s="9"/>
      <x:c r="Y474" s="9"/>
      <x:c r="Z474" s="9"/>
    </x:row>
    <x:row r="475" ht="14.25" customHeight="1">
      <x:c r="K475" s="18">
        <x:f t="shared" si="1"/>
        <x:v>0</x:v>
      </x:c>
      <x:c r="L475" s="18">
        <x:f t="shared" si="2"/>
        <x:v>0</x:v>
      </x:c>
      <x:c r="M475" s="119"/>
      <x:c r="N475" s="119"/>
      <x:c r="O475" s="119"/>
      <x:c r="P475" s="9"/>
      <x:c r="Q475" s="9"/>
      <x:c r="R475" s="9"/>
      <x:c r="S475" s="9"/>
      <x:c r="T475" s="9"/>
      <x:c r="U475" s="9"/>
      <x:c r="V475" s="9"/>
      <x:c r="W475" s="9"/>
      <x:c r="X475" s="9"/>
      <x:c r="Y475" s="9"/>
      <x:c r="Z475" s="9"/>
    </x:row>
    <x:row r="476" ht="14.25" customHeight="1">
      <x:c r="K476" s="18">
        <x:f t="shared" si="1"/>
        <x:v>0</x:v>
      </x:c>
      <x:c r="L476" s="18">
        <x:f t="shared" si="2"/>
        <x:v>0</x:v>
      </x:c>
      <x:c r="M476" s="119"/>
      <x:c r="N476" s="119"/>
      <x:c r="O476" s="119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</x:row>
    <x:row r="477" ht="14.25" customHeight="1">
      <x:c r="K477" s="18">
        <x:f t="shared" si="1"/>
        <x:v>0</x:v>
      </x:c>
      <x:c r="L477" s="18">
        <x:f t="shared" si="2"/>
        <x:v>0</x:v>
      </x:c>
      <x:c r="M477" s="119" t="n">
        <x:f>C479*Scoring!$B$32+D479/Scoring!$C$32+E479*Scoring!$D$32+F479*Scoring!$E$32+G479/Scoring!$F$32+H479*Scoring!$G$32+I479*Scoring!$H$32+K479*Scoring!$I$32+RB!L479*Scoring!$J$32</x:f>
        <x:v>0</x:v>
      </x:c>
      <x:c r="N477" s="119" t="n">
        <x:f>C477*Scoring!$B$32+D477/Scoring!$C$32+E477*Scoring!$D$32+F477*Scoring!$E$32+G477/Scoring!$F$32+H477*Scoring!$G$32+I477*Scoring!$H$32+K477*Scoring!$I$32+RB!L477*Scoring!$J$32</x:f>
        <x:v>0</x:v>
      </x:c>
      <x:c r="O477" s="119" t="n">
        <x:f>C478*Scoring!$B$32+D478/Scoring!$C$32+E478*Scoring!$D$32+F478*Scoring!$E$32+G478/Scoring!$F$32+H478*Scoring!$G$32+I478*Scoring!$H$32+K478*Scoring!$I$32+L478*Scoring!$J$32</x:f>
        <x:v>0</x:v>
      </x:c>
      <x:c r="P477" s="9"/>
      <x:c r="Q477" s="9"/>
      <x:c r="R477" s="9"/>
      <x:c r="S477" s="9"/>
      <x:c r="T477" s="9"/>
      <x:c r="U477" s="9"/>
      <x:c r="V477" s="9"/>
      <x:c r="W477" s="9"/>
      <x:c r="X477" s="9"/>
      <x:c r="Y477" s="9"/>
      <x:c r="Z477" s="9"/>
    </x:row>
    <x:row r="478" ht="14.25" customHeight="1">
      <x:c r="K478" s="18">
        <x:f t="shared" si="1"/>
        <x:v>0</x:v>
      </x:c>
      <x:c r="L478" s="18">
        <x:f t="shared" si="2"/>
        <x:v>0</x:v>
      </x:c>
      <x:c r="M478" s="119"/>
      <x:c r="N478" s="119"/>
      <x:c r="O478" s="119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</x:row>
    <x:row r="479" ht="14.25" customHeight="1">
      <x:c r="K479" s="18">
        <x:f t="shared" si="1"/>
        <x:v>0</x:v>
      </x:c>
      <x:c r="L479" s="18">
        <x:f t="shared" si="2"/>
        <x:v>0</x:v>
      </x:c>
      <x:c r="M479" s="119"/>
      <x:c r="N479" s="119"/>
      <x:c r="O479" s="119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  <x:c r="Z479" s="9"/>
    </x:row>
    <x:row r="480" ht="14.25" customHeight="1">
      <x:c r="K480" s="18">
        <x:f t="shared" si="1"/>
        <x:v>0</x:v>
      </x:c>
      <x:c r="L480" s="18">
        <x:f t="shared" si="2"/>
        <x:v>0</x:v>
      </x:c>
      <x:c r="M480" s="119" t="n">
        <x:f>C482*Scoring!$B$32+D482/Scoring!$C$32+E482*Scoring!$D$32+F482*Scoring!$E$32+G482/Scoring!$F$32+H482*Scoring!$G$32+I482*Scoring!$H$32+K482*Scoring!$I$32+RB!L482*Scoring!$J$32</x:f>
        <x:v>0</x:v>
      </x:c>
      <x:c r="N480" s="119" t="n">
        <x:f>C480*Scoring!$B$32+D480/Scoring!$C$32+E480*Scoring!$D$32+F480*Scoring!$E$32+G480/Scoring!$F$32+H480*Scoring!$G$32+I480*Scoring!$H$32+K480*Scoring!$I$32+RB!L480*Scoring!$J$32</x:f>
        <x:v>0</x:v>
      </x:c>
      <x:c r="O480" s="119" t="n">
        <x:f>C481*Scoring!$B$32+D481/Scoring!$C$32+E481*Scoring!$D$32+F481*Scoring!$E$32+G481/Scoring!$F$32+H481*Scoring!$G$32+I481*Scoring!$H$32+K481*Scoring!$I$32+L481*Scoring!$J$32</x:f>
        <x:v>0</x:v>
      </x:c>
      <x:c r="P480" s="9"/>
      <x:c r="Q480" s="9"/>
      <x:c r="R480" s="9"/>
      <x:c r="S480" s="9"/>
      <x:c r="T480" s="9"/>
      <x:c r="U480" s="9"/>
      <x:c r="V480" s="9"/>
      <x:c r="W480" s="9"/>
      <x:c r="X480" s="9"/>
      <x:c r="Y480" s="9"/>
      <x:c r="Z480" s="9"/>
    </x:row>
    <x:row r="481" ht="14.25" customHeight="1">
      <x:c r="K481" s="18">
        <x:f t="shared" si="1"/>
        <x:v>0</x:v>
      </x:c>
      <x:c r="L481" s="18">
        <x:f t="shared" si="2"/>
        <x:v>0</x:v>
      </x:c>
      <x:c r="M481" s="119"/>
      <x:c r="N481" s="119"/>
      <x:c r="O481" s="119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/>
      <x:c r="Z481" s="9"/>
    </x:row>
    <x:row r="482" ht="14.25" customHeight="1">
      <x:c r="K482" s="18">
        <x:f t="shared" si="1"/>
        <x:v>0</x:v>
      </x:c>
      <x:c r="L482" s="18">
        <x:f t="shared" si="2"/>
        <x:v>0</x:v>
      </x:c>
      <x:c r="M482" s="119"/>
      <x:c r="N482" s="119"/>
      <x:c r="O482" s="119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  <x:c r="Z482" s="9"/>
    </x:row>
    <x:row r="483" ht="14.25" customHeight="1">
      <x:c r="K483" s="18">
        <x:f t="shared" si="1"/>
        <x:v>0</x:v>
      </x:c>
      <x:c r="L483" s="18">
        <x:f t="shared" si="2"/>
        <x:v>0</x:v>
      </x:c>
      <x:c r="M483" s="119" t="n">
        <x:f>C485*Scoring!$B$32+D485/Scoring!$C$32+E485*Scoring!$D$32+F485*Scoring!$E$32+G485/Scoring!$F$32+H485*Scoring!$G$32+I485*Scoring!$H$32+K485*Scoring!$I$32+RB!L485*Scoring!$J$32</x:f>
        <x:v>0</x:v>
      </x:c>
      <x:c r="N483" s="119" t="n">
        <x:f>C483*Scoring!$B$32+D483/Scoring!$C$32+E483*Scoring!$D$32+F483*Scoring!$E$32+G483/Scoring!$F$32+H483*Scoring!$G$32+I483*Scoring!$H$32+K483*Scoring!$I$32+RB!L483*Scoring!$J$32</x:f>
        <x:v>0</x:v>
      </x:c>
      <x:c r="O483" s="119" t="n">
        <x:f>C484*Scoring!$B$32+D484/Scoring!$C$32+E484*Scoring!$D$32+F484*Scoring!$E$32+G484/Scoring!$F$32+H484*Scoring!$G$32+I484*Scoring!$H$32+K484*Scoring!$I$32+L484*Scoring!$J$32</x:f>
        <x:v>0</x:v>
      </x:c>
      <x:c r="P483" s="9"/>
      <x:c r="Q483" s="9"/>
      <x:c r="R483" s="9"/>
      <x:c r="S483" s="9"/>
      <x:c r="T483" s="9"/>
      <x:c r="U483" s="9"/>
      <x:c r="V483" s="9"/>
      <x:c r="W483" s="9"/>
      <x:c r="X483" s="9"/>
      <x:c r="Y483" s="9"/>
      <x:c r="Z483" s="9"/>
    </x:row>
    <x:row r="484" ht="14.25" customHeight="1">
      <x:c r="K484" s="18">
        <x:f t="shared" si="1"/>
        <x:v>0</x:v>
      </x:c>
      <x:c r="L484" s="18">
        <x:f t="shared" si="2"/>
        <x:v>0</x:v>
      </x:c>
      <x:c r="M484" s="119"/>
      <x:c r="N484" s="119"/>
      <x:c r="O484" s="119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  <x:c r="Z484" s="9"/>
    </x:row>
    <x:row r="485" ht="14.25" customHeight="1">
      <x:c r="K485" s="18">
        <x:f t="shared" si="1"/>
        <x:v>0</x:v>
      </x:c>
      <x:c r="L485" s="18">
        <x:f t="shared" si="2"/>
        <x:v>0</x:v>
      </x:c>
      <x:c r="M485" s="119"/>
      <x:c r="N485" s="119"/>
      <x:c r="O485" s="119"/>
      <x:c r="P485" s="9"/>
      <x:c r="Q485" s="9"/>
      <x:c r="R485" s="9"/>
      <x:c r="S485" s="9"/>
      <x:c r="T485" s="9"/>
      <x:c r="U485" s="9"/>
      <x:c r="V485" s="9"/>
      <x:c r="W485" s="9"/>
      <x:c r="X485" s="9"/>
      <x:c r="Y485" s="9"/>
      <x:c r="Z485" s="9"/>
    </x:row>
    <x:row r="486" ht="14.25" customHeight="1">
      <x:c r="K486" s="18">
        <x:f t="shared" si="1"/>
        <x:v>0</x:v>
      </x:c>
      <x:c r="L486" s="18">
        <x:f t="shared" si="2"/>
        <x:v>0</x:v>
      </x:c>
      <x:c r="M486" s="119" t="n">
        <x:f>C488*Scoring!$B$32+D488/Scoring!$C$32+E488*Scoring!$D$32+F488*Scoring!$E$32+G488/Scoring!$F$32+H488*Scoring!$G$32+I488*Scoring!$H$32+K488*Scoring!$I$32+RB!L488*Scoring!$J$32</x:f>
        <x:v>0</x:v>
      </x:c>
      <x:c r="N486" s="119" t="n">
        <x:f>C486*Scoring!$B$32+D486/Scoring!$C$32+E486*Scoring!$D$32+F486*Scoring!$E$32+G486/Scoring!$F$32+H486*Scoring!$G$32+I486*Scoring!$H$32+K486*Scoring!$I$32+RB!L486*Scoring!$J$32</x:f>
        <x:v>0</x:v>
      </x:c>
      <x:c r="O486" s="119" t="n">
        <x:f>C487*Scoring!$B$32+D487/Scoring!$C$32+E487*Scoring!$D$32+F487*Scoring!$E$32+G487/Scoring!$F$32+H487*Scoring!$G$32+I487*Scoring!$H$32+K487*Scoring!$I$32+L487*Scoring!$J$32</x:f>
        <x:v>0</x:v>
      </x:c>
      <x:c r="P486" s="9"/>
      <x:c r="Q486" s="9"/>
      <x:c r="R486" s="9"/>
      <x:c r="S486" s="9"/>
      <x:c r="T486" s="9"/>
      <x:c r="U486" s="9"/>
      <x:c r="V486" s="9"/>
      <x:c r="W486" s="9"/>
      <x:c r="X486" s="9"/>
      <x:c r="Y486" s="9"/>
      <x:c r="Z486" s="9"/>
    </x:row>
    <x:row r="487" ht="14.25" customHeight="1">
      <x:c r="K487" s="18">
        <x:f t="shared" si="1"/>
        <x:v>0</x:v>
      </x:c>
      <x:c r="L487" s="18">
        <x:f t="shared" si="2"/>
        <x:v>0</x:v>
      </x:c>
      <x:c r="M487" s="119"/>
      <x:c r="N487" s="119"/>
      <x:c r="O487" s="119"/>
      <x:c r="P487" s="9"/>
      <x:c r="Q487" s="9"/>
      <x:c r="R487" s="9"/>
      <x:c r="S487" s="9"/>
      <x:c r="T487" s="9"/>
      <x:c r="U487" s="9"/>
      <x:c r="V487" s="9"/>
      <x:c r="W487" s="9"/>
      <x:c r="X487" s="9"/>
      <x:c r="Y487" s="9"/>
      <x:c r="Z487" s="9"/>
    </x:row>
    <x:row r="488" ht="14.25" customHeight="1">
      <x:c r="K488" s="18">
        <x:f t="shared" si="1"/>
        <x:v>0</x:v>
      </x:c>
      <x:c r="L488" s="18">
        <x:f t="shared" si="2"/>
        <x:v>0</x:v>
      </x:c>
      <x:c r="M488" s="119"/>
      <x:c r="N488" s="119"/>
      <x:c r="O488" s="119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</x:row>
    <x:row r="489" ht="14.25" customHeight="1">
      <x:c r="K489" s="18">
        <x:f t="shared" si="1"/>
        <x:v>0</x:v>
      </x:c>
      <x:c r="L489" s="18">
        <x:f t="shared" si="2"/>
        <x:v>0</x:v>
      </x:c>
      <x:c r="M489" s="119" t="n">
        <x:f>C491*Scoring!$B$32+D491/Scoring!$C$32+E491*Scoring!$D$32+F491*Scoring!$E$32+G491/Scoring!$F$32+H491*Scoring!$G$32+I491*Scoring!$H$32+K491*Scoring!$I$32+RB!L491*Scoring!$J$32</x:f>
        <x:v>0</x:v>
      </x:c>
      <x:c r="N489" s="119" t="n">
        <x:f>C489*Scoring!$B$32+D489/Scoring!$C$32+E489*Scoring!$D$32+F489*Scoring!$E$32+G489/Scoring!$F$32+H489*Scoring!$G$32+I489*Scoring!$H$32+K489*Scoring!$I$32+RB!L489*Scoring!$J$32</x:f>
        <x:v>0</x:v>
      </x:c>
      <x:c r="O489" s="119" t="n">
        <x:f>C490*Scoring!$B$32+D490/Scoring!$C$32+E490*Scoring!$D$32+F490*Scoring!$E$32+G490/Scoring!$F$32+H490*Scoring!$G$32+I490*Scoring!$H$32+K490*Scoring!$I$32+L490*Scoring!$J$32</x:f>
        <x:v>0</x:v>
      </x:c>
      <x:c r="P489" s="9"/>
      <x:c r="Q489" s="9"/>
      <x:c r="R489" s="9"/>
      <x:c r="S489" s="9"/>
      <x:c r="T489" s="9"/>
      <x:c r="U489" s="9"/>
      <x:c r="V489" s="9"/>
      <x:c r="W489" s="9"/>
      <x:c r="X489" s="9"/>
      <x:c r="Y489" s="9"/>
      <x:c r="Z489" s="9"/>
    </x:row>
    <x:row r="490" ht="14.25" customHeight="1">
      <x:c r="K490" s="18">
        <x:f t="shared" si="1"/>
        <x:v>0</x:v>
      </x:c>
      <x:c r="L490" s="18">
        <x:f t="shared" si="2"/>
        <x:v>0</x:v>
      </x:c>
      <x:c r="M490" s="119"/>
      <x:c r="N490" s="119"/>
      <x:c r="O490" s="119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</x:row>
    <x:row r="491" ht="14.25" customHeight="1">
      <x:c r="K491" s="18">
        <x:f t="shared" si="1"/>
        <x:v>0</x:v>
      </x:c>
      <x:c r="L491" s="18">
        <x:f t="shared" si="2"/>
        <x:v>0</x:v>
      </x:c>
      <x:c r="M491" s="119"/>
      <x:c r="N491" s="119"/>
      <x:c r="O491" s="119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  <x:c r="Z491" s="9"/>
    </x:row>
    <x:row r="492" ht="14.25" customHeight="1">
      <x:c r="K492" s="18">
        <x:f t="shared" si="1"/>
        <x:v>0</x:v>
      </x:c>
      <x:c r="L492" s="18">
        <x:f t="shared" si="2"/>
        <x:v>0</x:v>
      </x:c>
      <x:c r="M492" s="119" t="n">
        <x:f>C494*Scoring!$B$32+D494/Scoring!$C$32+E494*Scoring!$D$32+F494*Scoring!$E$32+G494/Scoring!$F$32+H494*Scoring!$G$32+I494*Scoring!$H$32+K494*Scoring!$I$32+RB!L494*Scoring!$J$32</x:f>
        <x:v>0</x:v>
      </x:c>
      <x:c r="N492" s="119" t="n">
        <x:f>C492*Scoring!$B$32+D492/Scoring!$C$32+E492*Scoring!$D$32+F492*Scoring!$E$32+G492/Scoring!$F$32+H492*Scoring!$G$32+I492*Scoring!$H$32+K492*Scoring!$I$32+RB!L492*Scoring!$J$32</x:f>
        <x:v>0</x:v>
      </x:c>
      <x:c r="O492" s="119" t="n">
        <x:f>C493*Scoring!$B$32+D493/Scoring!$C$32+E493*Scoring!$D$32+F493*Scoring!$E$32+G493/Scoring!$F$32+H493*Scoring!$G$32+I493*Scoring!$H$32+K493*Scoring!$I$32+L493*Scoring!$J$32</x:f>
        <x:v>0</x:v>
      </x:c>
      <x:c r="P492" s="9"/>
      <x:c r="Q492" s="9"/>
      <x:c r="R492" s="9"/>
      <x:c r="S492" s="9"/>
      <x:c r="T492" s="9"/>
      <x:c r="U492" s="9"/>
      <x:c r="V492" s="9"/>
      <x:c r="W492" s="9"/>
      <x:c r="X492" s="9"/>
      <x:c r="Y492" s="9"/>
      <x:c r="Z492" s="9"/>
    </x:row>
    <x:row r="493" ht="14.25" customHeight="1">
      <x:c r="K493" s="18">
        <x:f t="shared" si="1"/>
        <x:v>0</x:v>
      </x:c>
      <x:c r="L493" s="18">
        <x:f t="shared" si="2"/>
        <x:v>0</x:v>
      </x:c>
      <x:c r="M493" s="119"/>
      <x:c r="N493" s="119"/>
      <x:c r="O493" s="119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  <x:c r="Z493" s="9"/>
    </x:row>
    <x:row r="494" ht="14.25" customHeight="1">
      <x:c r="K494" s="18">
        <x:f t="shared" si="1"/>
        <x:v>0</x:v>
      </x:c>
      <x:c r="L494" s="18">
        <x:f t="shared" si="2"/>
        <x:v>0</x:v>
      </x:c>
      <x:c r="M494" s="119"/>
      <x:c r="N494" s="119"/>
      <x:c r="O494" s="119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  <x:c r="Z494" s="9"/>
    </x:row>
    <x:row r="495" ht="14.25" customHeight="1">
      <x:c r="K495" s="18">
        <x:f t="shared" si="1"/>
        <x:v>0</x:v>
      </x:c>
      <x:c r="L495" s="18">
        <x:f t="shared" si="2"/>
        <x:v>0</x:v>
      </x:c>
      <x:c r="M495" s="119" t="n">
        <x:f>C497*Scoring!$B$32+D497/Scoring!$C$32+E497*Scoring!$D$32+F497*Scoring!$E$32+G497/Scoring!$F$32+H497*Scoring!$G$32+I497*Scoring!$H$32+K497*Scoring!$I$32+RB!L497*Scoring!$J$32</x:f>
        <x:v>0</x:v>
      </x:c>
      <x:c r="N495" s="119" t="n">
        <x:f>C495*Scoring!$B$32+D495/Scoring!$C$32+E495*Scoring!$D$32+F495*Scoring!$E$32+G495/Scoring!$F$32+H495*Scoring!$G$32+I495*Scoring!$H$32+K495*Scoring!$I$32+RB!L495*Scoring!$J$32</x:f>
        <x:v>0</x:v>
      </x:c>
      <x:c r="O495" s="119" t="n">
        <x:f>C496*Scoring!$B$32+D496/Scoring!$C$32+E496*Scoring!$D$32+F496*Scoring!$E$32+G496/Scoring!$F$32+H496*Scoring!$G$32+I496*Scoring!$H$32+K496*Scoring!$I$32+L496*Scoring!$J$32</x:f>
        <x:v>0</x:v>
      </x:c>
      <x:c r="P495" s="9"/>
      <x:c r="Q495" s="9"/>
      <x:c r="R495" s="9"/>
      <x:c r="S495" s="9"/>
      <x:c r="T495" s="9"/>
      <x:c r="U495" s="9"/>
      <x:c r="V495" s="9"/>
      <x:c r="W495" s="9"/>
      <x:c r="X495" s="9"/>
      <x:c r="Y495" s="9"/>
      <x:c r="Z495" s="9"/>
    </x:row>
    <x:row r="496" ht="14.25" customHeight="1">
      <x:c r="K496" s="18">
        <x:f t="shared" si="1"/>
        <x:v>0</x:v>
      </x:c>
      <x:c r="L496" s="18">
        <x:f t="shared" si="2"/>
        <x:v>0</x:v>
      </x:c>
      <x:c r="M496" s="119"/>
      <x:c r="N496" s="119"/>
      <x:c r="O496" s="119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  <x:c r="Z496" s="9"/>
    </x:row>
    <x:row r="497" ht="14.25" customHeight="1">
      <x:c r="K497" s="18">
        <x:f t="shared" si="1"/>
        <x:v>0</x:v>
      </x:c>
      <x:c r="L497" s="18">
        <x:f t="shared" si="2"/>
        <x:v>0</x:v>
      </x:c>
      <x:c r="M497" s="119"/>
      <x:c r="N497" s="119"/>
      <x:c r="O497" s="119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  <x:c r="Z497" s="9"/>
    </x:row>
    <x:row r="498" ht="14.25" customHeight="1">
      <x:c r="K498" s="18">
        <x:f t="shared" si="1"/>
        <x:v>0</x:v>
      </x:c>
      <x:c r="L498" s="18">
        <x:f t="shared" si="2"/>
        <x:v>0</x:v>
      </x:c>
      <x:c r="M498" s="119" t="n">
        <x:f>C500*Scoring!$B$32+D500/Scoring!$C$32+E500*Scoring!$D$32+F500*Scoring!$E$32+G500/Scoring!$F$32+H500*Scoring!$G$32+I500*Scoring!$H$32+K500*Scoring!$I$32+RB!L500*Scoring!$J$32</x:f>
        <x:v>0</x:v>
      </x:c>
      <x:c r="N498" s="119" t="n">
        <x:f>C498*Scoring!$B$32+D498/Scoring!$C$32+E498*Scoring!$D$32+F498*Scoring!$E$32+G498/Scoring!$F$32+H498*Scoring!$G$32+I498*Scoring!$H$32+K498*Scoring!$I$32+RB!L498*Scoring!$J$32</x:f>
        <x:v>0</x:v>
      </x:c>
      <x:c r="O498" s="119" t="n">
        <x:f>C499*Scoring!$B$32+D499/Scoring!$C$32+E499*Scoring!$D$32+F499*Scoring!$E$32+G499/Scoring!$F$32+H499*Scoring!$G$32+I499*Scoring!$H$32+K499*Scoring!$I$32+L499*Scoring!$J$32</x:f>
        <x:v>0</x:v>
      </x:c>
      <x:c r="P498" s="9"/>
      <x:c r="Q498" s="9"/>
      <x:c r="R498" s="9"/>
      <x:c r="S498" s="9"/>
      <x:c r="T498" s="9"/>
      <x:c r="U498" s="9"/>
      <x:c r="V498" s="9"/>
      <x:c r="W498" s="9"/>
      <x:c r="X498" s="9"/>
      <x:c r="Y498" s="9"/>
      <x:c r="Z498" s="9"/>
    </x:row>
    <x:row r="499" ht="14.25" customHeight="1">
      <x:c r="K499" s="18">
        <x:f t="shared" si="1"/>
        <x:v>0</x:v>
      </x:c>
      <x:c r="L499" s="18">
        <x:f t="shared" si="2"/>
        <x:v>0</x:v>
      </x:c>
      <x:c r="M499" s="119"/>
      <x:c r="N499" s="119"/>
      <x:c r="O499" s="119"/>
      <x:c r="P499" s="9"/>
      <x:c r="Q499" s="9"/>
      <x:c r="R499" s="9"/>
      <x:c r="S499" s="9"/>
      <x:c r="T499" s="9"/>
      <x:c r="U499" s="9"/>
      <x:c r="V499" s="9"/>
      <x:c r="W499" s="9"/>
      <x:c r="X499" s="9"/>
      <x:c r="Y499" s="9"/>
      <x:c r="Z499" s="9"/>
    </x:row>
    <x:row r="500" ht="14.25" customHeight="1">
      <x:c r="K500" s="18">
        <x:f t="shared" si="1"/>
        <x:v>0</x:v>
      </x:c>
      <x:c r="L500" s="18">
        <x:f t="shared" si="2"/>
        <x:v>0</x:v>
      </x:c>
      <x:c r="M500" s="119"/>
      <x:c r="N500" s="119"/>
      <x:c r="O500" s="119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</x:row>
    <x:row r="501" ht="14.25" customHeight="1">
      <x:c r="K501" s="18">
        <x:f t="shared" si="1"/>
        <x:v>0</x:v>
      </x:c>
      <x:c r="L501" s="18">
        <x:f t="shared" si="2"/>
        <x:v>0</x:v>
      </x:c>
      <x:c r="M501" s="119" t="n">
        <x:f>C503*Scoring!$B$32+D503/Scoring!$C$32+E503*Scoring!$D$32+F503*Scoring!$E$32+G503/Scoring!$F$32+H503*Scoring!$G$32+I503*Scoring!$H$32+K503*Scoring!$I$32+RB!L503*Scoring!$J$32</x:f>
        <x:v>0</x:v>
      </x:c>
      <x:c r="N501" s="119" t="n">
        <x:f>C501*Scoring!$B$32+D501/Scoring!$C$32+E501*Scoring!$D$32+F501*Scoring!$E$32+G501/Scoring!$F$32+H501*Scoring!$G$32+I501*Scoring!$H$32+K501*Scoring!$I$32+RB!L501*Scoring!$J$32</x:f>
        <x:v>0</x:v>
      </x:c>
      <x:c r="O501" s="119" t="n">
        <x:f>C502*Scoring!$B$32+D502/Scoring!$C$32+E502*Scoring!$D$32+F502*Scoring!$E$32+G502/Scoring!$F$32+H502*Scoring!$G$32+I502*Scoring!$H$32+K502*Scoring!$I$32+L502*Scoring!$J$32</x:f>
        <x:v>0</x:v>
      </x:c>
      <x:c r="P501" s="9"/>
      <x:c r="Q501" s="9"/>
      <x:c r="R501" s="9"/>
      <x:c r="S501" s="9"/>
      <x:c r="T501" s="9"/>
      <x:c r="U501" s="9"/>
      <x:c r="V501" s="9"/>
      <x:c r="W501" s="9"/>
      <x:c r="X501" s="9"/>
      <x:c r="Y501" s="9"/>
      <x:c r="Z501" s="9"/>
    </x:row>
    <x:row r="502" ht="14.25" customHeight="1">
      <x:c r="K502" s="18">
        <x:f t="shared" si="1"/>
        <x:v>0</x:v>
      </x:c>
      <x:c r="L502" s="18">
        <x:f t="shared" si="2"/>
        <x:v>0</x:v>
      </x:c>
      <x:c r="M502" s="119"/>
      <x:c r="N502" s="119"/>
      <x:c r="O502" s="119"/>
      <x:c r="P502" s="9"/>
      <x:c r="Q502" s="9"/>
      <x:c r="R502" s="9"/>
      <x:c r="S502" s="9"/>
      <x:c r="T502" s="9"/>
      <x:c r="U502" s="9"/>
      <x:c r="V502" s="9"/>
      <x:c r="W502" s="9"/>
      <x:c r="X502" s="9"/>
      <x:c r="Y502" s="9"/>
      <x:c r="Z502" s="9"/>
    </x:row>
    <x:row r="503" ht="14.25" customHeight="1">
      <x:c r="K503" s="18">
        <x:f t="shared" si="1"/>
        <x:v>0</x:v>
      </x:c>
      <x:c r="L503" s="18">
        <x:f t="shared" si="2"/>
        <x:v>0</x:v>
      </x:c>
      <x:c r="M503" s="119"/>
      <x:c r="N503" s="119"/>
      <x:c r="O503" s="119"/>
      <x:c r="P503" s="9"/>
      <x:c r="Q503" s="9"/>
      <x:c r="R503" s="9"/>
      <x:c r="S503" s="9"/>
      <x:c r="T503" s="9"/>
      <x:c r="U503" s="9"/>
      <x:c r="V503" s="9"/>
      <x:c r="W503" s="9"/>
      <x:c r="X503" s="9"/>
      <x:c r="Y503" s="9"/>
      <x:c r="Z503" s="9"/>
    </x:row>
    <x:row r="504" ht="14.25" customHeight="1">
      <x:c r="K504" s="18">
        <x:f t="shared" si="1"/>
        <x:v>0</x:v>
      </x:c>
      <x:c r="L504" s="18">
        <x:f t="shared" si="2"/>
        <x:v>0</x:v>
      </x:c>
      <x:c r="M504" s="119" t="n">
        <x:f>C506*Scoring!$B$32+D506/Scoring!$C$32+E506*Scoring!$D$32+F506*Scoring!$E$32+G506/Scoring!$F$32+H506*Scoring!$G$32+I506*Scoring!$H$32+K506*Scoring!$I$32+RB!L506*Scoring!$J$32</x:f>
        <x:v>0</x:v>
      </x:c>
      <x:c r="N504" s="119" t="n">
        <x:f>C504*Scoring!$B$32+D504/Scoring!$C$32+E504*Scoring!$D$32+F504*Scoring!$E$32+G504/Scoring!$F$32+H504*Scoring!$G$32+I504*Scoring!$H$32+K504*Scoring!$I$32+RB!L504*Scoring!$J$32</x:f>
        <x:v>0</x:v>
      </x:c>
      <x:c r="O504" s="119" t="n">
        <x:f>C505*Scoring!$B$32+D505/Scoring!$C$32+E505*Scoring!$D$32+F505*Scoring!$E$32+G505/Scoring!$F$32+H505*Scoring!$G$32+I505*Scoring!$H$32+K505*Scoring!$I$32+L505*Scoring!$J$32</x:f>
        <x:v>0</x:v>
      </x:c>
      <x:c r="P504" s="9"/>
      <x:c r="Q504" s="9"/>
      <x:c r="R504" s="9"/>
      <x:c r="S504" s="9"/>
      <x:c r="T504" s="9"/>
      <x:c r="U504" s="9"/>
      <x:c r="V504" s="9"/>
      <x:c r="W504" s="9"/>
      <x:c r="X504" s="9"/>
      <x:c r="Y504" s="9"/>
      <x:c r="Z504" s="9"/>
    </x:row>
    <x:row r="505" ht="14.25" customHeight="1">
      <x:c r="K505" s="18">
        <x:f t="shared" si="1"/>
        <x:v>0</x:v>
      </x:c>
      <x:c r="L505" s="18">
        <x:f t="shared" si="2"/>
        <x:v>0</x:v>
      </x:c>
      <x:c r="M505" s="119"/>
      <x:c r="N505" s="119"/>
      <x:c r="O505" s="119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</x:row>
    <x:row r="506" ht="14.25" customHeight="1">
      <x:c r="K506" s="18">
        <x:f t="shared" si="1"/>
        <x:v>0</x:v>
      </x:c>
      <x:c r="L506" s="18">
        <x:f t="shared" si="2"/>
        <x:v>0</x:v>
      </x:c>
      <x:c r="M506" s="119"/>
      <x:c r="N506" s="119"/>
      <x:c r="O506" s="119"/>
      <x:c r="P506" s="9"/>
      <x:c r="Q506" s="9"/>
      <x:c r="R506" s="9"/>
      <x:c r="S506" s="9"/>
      <x:c r="T506" s="9"/>
      <x:c r="U506" s="9"/>
      <x:c r="V506" s="9"/>
      <x:c r="W506" s="9"/>
      <x:c r="X506" s="9"/>
      <x:c r="Y506" s="9"/>
      <x:c r="Z506" s="9"/>
    </x:row>
    <x:row r="507" ht="14.25" customHeight="1">
      <x:c r="K507" s="18">
        <x:f t="shared" si="1"/>
        <x:v>0</x:v>
      </x:c>
      <x:c r="L507" s="18">
        <x:f t="shared" si="2"/>
        <x:v>0</x:v>
      </x:c>
      <x:c r="M507" s="119" t="n">
        <x:f>C509*Scoring!$B$32+D509/Scoring!$C$32+E509*Scoring!$D$32+F509*Scoring!$E$32+G509/Scoring!$F$32+H509*Scoring!$G$32+I509*Scoring!$H$32+K509*Scoring!$I$32+RB!L509*Scoring!$J$32</x:f>
        <x:v>0</x:v>
      </x:c>
      <x:c r="N507" s="119" t="n">
        <x:f>C507*Scoring!$B$32+D507/Scoring!$C$32+E507*Scoring!$D$32+F507*Scoring!$E$32+G507/Scoring!$F$32+H507*Scoring!$G$32+I507*Scoring!$H$32+K507*Scoring!$I$32+RB!L507*Scoring!$J$32</x:f>
        <x:v>0</x:v>
      </x:c>
      <x:c r="O507" s="119" t="n">
        <x:f>C508*Scoring!$B$32+D508/Scoring!$C$32+E508*Scoring!$D$32+F508*Scoring!$E$32+G508/Scoring!$F$32+H508*Scoring!$G$32+I508*Scoring!$H$32+K508*Scoring!$I$32+L508*Scoring!$J$32</x:f>
        <x:v>0</x:v>
      </x:c>
      <x:c r="P507" s="9"/>
      <x:c r="Q507" s="9"/>
      <x:c r="R507" s="9"/>
      <x:c r="S507" s="9"/>
      <x:c r="T507" s="9"/>
      <x:c r="U507" s="9"/>
      <x:c r="V507" s="9"/>
      <x:c r="W507" s="9"/>
      <x:c r="X507" s="9"/>
      <x:c r="Y507" s="9"/>
      <x:c r="Z507" s="9"/>
    </x:row>
    <x:row r="508" ht="14.25" customHeight="1">
      <x:c r="K508" s="18">
        <x:f t="shared" si="1"/>
        <x:v>0</x:v>
      </x:c>
      <x:c r="L508" s="18">
        <x:f t="shared" si="2"/>
        <x:v>0</x:v>
      </x:c>
      <x:c r="M508" s="119"/>
      <x:c r="N508" s="119"/>
      <x:c r="O508" s="119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</x:row>
    <x:row r="509" ht="14.25" customHeight="1">
      <x:c r="K509" s="18">
        <x:f t="shared" si="1"/>
        <x:v>0</x:v>
      </x:c>
      <x:c r="L509" s="18">
        <x:f t="shared" si="2"/>
        <x:v>0</x:v>
      </x:c>
      <x:c r="M509" s="119"/>
      <x:c r="N509" s="119"/>
      <x:c r="O509" s="119"/>
      <x:c r="P509" s="9"/>
      <x:c r="Q509" s="9"/>
      <x:c r="R509" s="9"/>
      <x:c r="S509" s="9"/>
      <x:c r="T509" s="9"/>
      <x:c r="U509" s="9"/>
      <x:c r="V509" s="9"/>
      <x:c r="W509" s="9"/>
      <x:c r="X509" s="9"/>
      <x:c r="Y509" s="9"/>
      <x:c r="Z509" s="9"/>
    </x:row>
    <x:row r="510" ht="14.25" customHeight="1">
      <x:c r="K510" s="18">
        <x:f t="shared" si="1"/>
        <x:v>0</x:v>
      </x:c>
      <x:c r="L510" s="18">
        <x:f t="shared" si="2"/>
        <x:v>0</x:v>
      </x:c>
      <x:c r="M510" s="119" t="n">
        <x:f>C512*Scoring!$B$32+D512/Scoring!$C$32+E512*Scoring!$D$32+F512*Scoring!$E$32+G512/Scoring!$F$32+H512*Scoring!$G$32+I512*Scoring!$H$32+K512*Scoring!$I$32+RB!L512*Scoring!$J$32</x:f>
        <x:v>0</x:v>
      </x:c>
      <x:c r="N510" s="119" t="n">
        <x:f>C510*Scoring!$B$32+D510/Scoring!$C$32+E510*Scoring!$D$32+F510*Scoring!$E$32+G510/Scoring!$F$32+H510*Scoring!$G$32+I510*Scoring!$H$32+K510*Scoring!$I$32+RB!L510*Scoring!$J$32</x:f>
        <x:v>0</x:v>
      </x:c>
      <x:c r="O510" s="119" t="n">
        <x:f>C511*Scoring!$B$32+D511/Scoring!$C$32+E511*Scoring!$D$32+F511*Scoring!$E$32+G511/Scoring!$F$32+H511*Scoring!$G$32+I511*Scoring!$H$32+K511*Scoring!$I$32+L511*Scoring!$J$32</x:f>
        <x:v>0</x:v>
      </x:c>
      <x:c r="P510" s="9"/>
      <x:c r="Q510" s="9"/>
      <x:c r="R510" s="9"/>
      <x:c r="S510" s="9"/>
      <x:c r="T510" s="9"/>
      <x:c r="U510" s="9"/>
      <x:c r="V510" s="9"/>
      <x:c r="W510" s="9"/>
      <x:c r="X510" s="9"/>
      <x:c r="Y510" s="9"/>
      <x:c r="Z510" s="9"/>
    </x:row>
    <x:row r="511" ht="14.25" customHeight="1">
      <x:c r="K511" s="18">
        <x:f t="shared" si="1"/>
        <x:v>0</x:v>
      </x:c>
      <x:c r="L511" s="18">
        <x:f t="shared" si="2"/>
        <x:v>0</x:v>
      </x:c>
      <x:c r="M511" s="119"/>
      <x:c r="N511" s="119"/>
      <x:c r="O511" s="119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</x:row>
    <x:row r="512" ht="14.25" customHeight="1">
      <x:c r="K512" s="18">
        <x:f t="shared" si="1"/>
        <x:v>0</x:v>
      </x:c>
      <x:c r="L512" s="18">
        <x:f t="shared" si="2"/>
        <x:v>0</x:v>
      </x:c>
      <x:c r="M512" s="119"/>
      <x:c r="N512" s="119"/>
      <x:c r="O512" s="119"/>
      <x:c r="P512" s="9"/>
      <x:c r="Q512" s="9"/>
      <x:c r="R512" s="9"/>
      <x:c r="S512" s="9"/>
      <x:c r="T512" s="9"/>
      <x:c r="U512" s="9"/>
      <x:c r="V512" s="9"/>
      <x:c r="W512" s="9"/>
      <x:c r="X512" s="9"/>
      <x:c r="Y512" s="9"/>
      <x:c r="Z512" s="9"/>
    </x:row>
    <x:row r="513" ht="14.25" customHeight="1">
      <x:c r="K513" s="18">
        <x:f t="shared" si="1"/>
        <x:v>0</x:v>
      </x:c>
      <x:c r="L513" s="18">
        <x:f t="shared" si="2"/>
        <x:v>0</x:v>
      </x:c>
      <x:c r="M513" s="119" t="n">
        <x:f>C515*Scoring!$B$32+D515/Scoring!$C$32+E515*Scoring!$D$32+F515*Scoring!$E$32+G515/Scoring!$F$32+H515*Scoring!$G$32+I515*Scoring!$H$32+K515*Scoring!$I$32+RB!L515*Scoring!$J$32</x:f>
        <x:v>0</x:v>
      </x:c>
      <x:c r="N513" s="119" t="n">
        <x:f>C513*Scoring!$B$32+D513/Scoring!$C$32+E513*Scoring!$D$32+F513*Scoring!$E$32+G513/Scoring!$F$32+H513*Scoring!$G$32+I513*Scoring!$H$32+K513*Scoring!$I$32+RB!L513*Scoring!$J$32</x:f>
        <x:v>0</x:v>
      </x:c>
      <x:c r="O513" s="119" t="n">
        <x:f>C514*Scoring!$B$32+D514/Scoring!$C$32+E514*Scoring!$D$32+F514*Scoring!$E$32+G514/Scoring!$F$32+H514*Scoring!$G$32+I514*Scoring!$H$32+K514*Scoring!$I$32+L514*Scoring!$J$32</x:f>
        <x:v>0</x:v>
      </x:c>
      <x:c r="P513" s="9"/>
      <x:c r="Q513" s="9"/>
      <x:c r="R513" s="9"/>
      <x:c r="S513" s="9"/>
      <x:c r="T513" s="9"/>
      <x:c r="U513" s="9"/>
      <x:c r="V513" s="9"/>
      <x:c r="W513" s="9"/>
      <x:c r="X513" s="9"/>
      <x:c r="Y513" s="9"/>
      <x:c r="Z513" s="9"/>
    </x:row>
    <x:row r="514" ht="14.25" customHeight="1">
      <x:c r="K514" s="18">
        <x:f t="shared" si="1"/>
        <x:v>0</x:v>
      </x:c>
      <x:c r="L514" s="18">
        <x:f t="shared" si="2"/>
        <x:v>0</x:v>
      </x:c>
      <x:c r="M514" s="119"/>
      <x:c r="N514" s="119"/>
      <x:c r="O514" s="119"/>
      <x:c r="P514" s="9"/>
      <x:c r="Q514" s="9"/>
      <x:c r="R514" s="9"/>
      <x:c r="S514" s="9"/>
      <x:c r="T514" s="9"/>
      <x:c r="U514" s="9"/>
      <x:c r="V514" s="9"/>
      <x:c r="W514" s="9"/>
      <x:c r="X514" s="9"/>
      <x:c r="Y514" s="9"/>
      <x:c r="Z514" s="9"/>
    </x:row>
    <x:row r="515" ht="14.25" customHeight="1">
      <x:c r="K515" s="18">
        <x:f t="shared" si="1"/>
        <x:v>0</x:v>
      </x:c>
      <x:c r="L515" s="18">
        <x:f t="shared" si="2"/>
        <x:v>0</x:v>
      </x:c>
      <x:c r="M515" s="119"/>
      <x:c r="N515" s="119"/>
      <x:c r="O515" s="119"/>
      <x:c r="P515" s="9"/>
      <x:c r="Q515" s="9"/>
      <x:c r="R515" s="9"/>
      <x:c r="S515" s="9"/>
      <x:c r="T515" s="9"/>
      <x:c r="U515" s="9"/>
      <x:c r="V515" s="9"/>
      <x:c r="W515" s="9"/>
      <x:c r="X515" s="9"/>
      <x:c r="Y515" s="9"/>
      <x:c r="Z515" s="9"/>
    </x:row>
    <x:row r="516" ht="14.25" customHeight="1">
      <x:c r="K516" s="18">
        <x:f t="shared" si="1"/>
        <x:v>0</x:v>
      </x:c>
      <x:c r="L516" s="18">
        <x:f t="shared" si="2"/>
        <x:v>0</x:v>
      </x:c>
      <x:c r="M516" s="119" t="n">
        <x:f>C518*Scoring!$B$32+D518/Scoring!$C$32+E518*Scoring!$D$32+F518*Scoring!$E$32+G518/Scoring!$F$32+H518*Scoring!$G$32+I518*Scoring!$H$32+K518*Scoring!$I$32+RB!L518*Scoring!$J$32</x:f>
        <x:v>0</x:v>
      </x:c>
      <x:c r="N516" s="119" t="n">
        <x:f>C516*Scoring!$B$32+D516/Scoring!$C$32+E516*Scoring!$D$32+F516*Scoring!$E$32+G516/Scoring!$F$32+H516*Scoring!$G$32+I516*Scoring!$H$32+K516*Scoring!$I$32+RB!L516*Scoring!$J$32</x:f>
        <x:v>0</x:v>
      </x:c>
      <x:c r="O516" s="119" t="n">
        <x:f>C517*Scoring!$B$32+D517/Scoring!$C$32+E517*Scoring!$D$32+F517*Scoring!$E$32+G517/Scoring!$F$32+H517*Scoring!$G$32+I517*Scoring!$H$32+K517*Scoring!$I$32+L517*Scoring!$J$32</x:f>
        <x:v>0</x:v>
      </x:c>
      <x:c r="P516" s="9"/>
      <x:c r="Q516" s="9"/>
      <x:c r="R516" s="9"/>
      <x:c r="S516" s="9"/>
      <x:c r="T516" s="9"/>
      <x:c r="U516" s="9"/>
      <x:c r="V516" s="9"/>
      <x:c r="W516" s="9"/>
      <x:c r="X516" s="9"/>
      <x:c r="Y516" s="9"/>
      <x:c r="Z516" s="9"/>
    </x:row>
    <x:row r="517" ht="14.25" customHeight="1">
      <x:c r="K517" s="18">
        <x:f t="shared" si="1"/>
        <x:v>0</x:v>
      </x:c>
      <x:c r="L517" s="18">
        <x:f t="shared" si="2"/>
        <x:v>0</x:v>
      </x:c>
      <x:c r="M517" s="119"/>
      <x:c r="N517" s="119"/>
      <x:c r="O517" s="119"/>
      <x:c r="P517" s="9"/>
      <x:c r="Q517" s="9"/>
      <x:c r="R517" s="9"/>
      <x:c r="S517" s="9"/>
      <x:c r="T517" s="9"/>
      <x:c r="U517" s="9"/>
      <x:c r="V517" s="9"/>
      <x:c r="W517" s="9"/>
      <x:c r="X517" s="9"/>
      <x:c r="Y517" s="9"/>
      <x:c r="Z517" s="9"/>
    </x:row>
    <x:row r="518" ht="14.25" customHeight="1">
      <x:c r="K518" s="18">
        <x:f t="shared" si="1"/>
        <x:v>0</x:v>
      </x:c>
      <x:c r="L518" s="18">
        <x:f t="shared" si="2"/>
        <x:v>0</x:v>
      </x:c>
      <x:c r="M518" s="119"/>
      <x:c r="N518" s="119"/>
      <x:c r="O518" s="119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</x:row>
    <x:row r="519" ht="14.25" customHeight="1">
      <x:c r="K519" s="18">
        <x:f t="shared" si="1"/>
        <x:v>0</x:v>
      </x:c>
      <x:c r="L519" s="18">
        <x:f t="shared" si="2"/>
        <x:v>0</x:v>
      </x:c>
      <x:c r="M519" s="119" t="n">
        <x:f>C521*Scoring!$B$32+D521/Scoring!$C$32+E521*Scoring!$D$32+F521*Scoring!$E$32+G521/Scoring!$F$32+H521*Scoring!$G$32+I521*Scoring!$H$32+K521*Scoring!$I$32+RB!L521*Scoring!$J$32</x:f>
        <x:v>0</x:v>
      </x:c>
      <x:c r="N519" s="119" t="n">
        <x:f>C519*Scoring!$B$32+D519/Scoring!$C$32+E519*Scoring!$D$32+F519*Scoring!$E$32+G519/Scoring!$F$32+H519*Scoring!$G$32+I519*Scoring!$H$32+K519*Scoring!$I$32+RB!L519*Scoring!$J$32</x:f>
        <x:v>0</x:v>
      </x:c>
      <x:c r="O519" s="119" t="n">
        <x:f>C520*Scoring!$B$32+D520/Scoring!$C$32+E520*Scoring!$D$32+F520*Scoring!$E$32+G520/Scoring!$F$32+H520*Scoring!$G$32+I520*Scoring!$H$32+K520*Scoring!$I$32+L520*Scoring!$J$32</x:f>
        <x:v>0</x:v>
      </x:c>
      <x:c r="P519" s="9"/>
      <x:c r="Q519" s="9"/>
      <x:c r="R519" s="9"/>
      <x:c r="S519" s="9"/>
      <x:c r="T519" s="9"/>
      <x:c r="U519" s="9"/>
      <x:c r="V519" s="9"/>
      <x:c r="W519" s="9"/>
      <x:c r="X519" s="9"/>
      <x:c r="Y519" s="9"/>
      <x:c r="Z519" s="9"/>
    </x:row>
    <x:row r="520" ht="14.25" customHeight="1">
      <x:c r="K520" s="18">
        <x:f t="shared" si="1"/>
        <x:v>0</x:v>
      </x:c>
      <x:c r="L520" s="18">
        <x:f t="shared" si="2"/>
        <x:v>0</x:v>
      </x:c>
      <x:c r="M520" s="119"/>
      <x:c r="N520" s="119"/>
      <x:c r="O520" s="119"/>
      <x:c r="P520" s="9"/>
      <x:c r="Q520" s="9"/>
      <x:c r="R520" s="9"/>
      <x:c r="S520" s="9"/>
      <x:c r="T520" s="9"/>
      <x:c r="U520" s="9"/>
      <x:c r="V520" s="9"/>
      <x:c r="W520" s="9"/>
      <x:c r="X520" s="9"/>
      <x:c r="Y520" s="9"/>
      <x:c r="Z520" s="9"/>
    </x:row>
    <x:row r="521" ht="14.25" customHeight="1">
      <x:c r="K521" s="18">
        <x:f t="shared" si="1"/>
        <x:v>0</x:v>
      </x:c>
      <x:c r="L521" s="18">
        <x:f t="shared" si="2"/>
        <x:v>0</x:v>
      </x:c>
      <x:c r="M521" s="119"/>
      <x:c r="N521" s="119"/>
      <x:c r="O521" s="119"/>
      <x:c r="P521" s="9"/>
      <x:c r="Q521" s="9"/>
      <x:c r="R521" s="9"/>
      <x:c r="S521" s="9"/>
      <x:c r="T521" s="9"/>
      <x:c r="U521" s="9"/>
      <x:c r="V521" s="9"/>
      <x:c r="W521" s="9"/>
      <x:c r="X521" s="9"/>
      <x:c r="Y521" s="9"/>
      <x:c r="Z521" s="9"/>
    </x:row>
    <x:row r="522" ht="14.25" customHeight="1">
      <x:c r="K522" s="18">
        <x:f t="shared" si="1"/>
        <x:v>0</x:v>
      </x:c>
      <x:c r="L522" s="18">
        <x:f t="shared" si="2"/>
        <x:v>0</x:v>
      </x:c>
      <x:c r="M522" s="119" t="n">
        <x:f>C524*Scoring!$B$32+D524/Scoring!$C$32+E524*Scoring!$D$32+F524*Scoring!$E$32+G524/Scoring!$F$32+H524*Scoring!$G$32+I524*Scoring!$H$32+K524*Scoring!$I$32+RB!L524*Scoring!$J$32</x:f>
        <x:v>0</x:v>
      </x:c>
      <x:c r="N522" s="119" t="n">
        <x:f>C522*Scoring!$B$32+D522/Scoring!$C$32+E522*Scoring!$D$32+F522*Scoring!$E$32+G522/Scoring!$F$32+H522*Scoring!$G$32+I522*Scoring!$H$32+K522*Scoring!$I$32+RB!L522*Scoring!$J$32</x:f>
        <x:v>0</x:v>
      </x:c>
      <x:c r="O522" s="119" t="n">
        <x:f>C523*Scoring!$B$32+D523/Scoring!$C$32+E523*Scoring!$D$32+F523*Scoring!$E$32+G523/Scoring!$F$32+H523*Scoring!$G$32+I523*Scoring!$H$32+K523*Scoring!$I$32+L523*Scoring!$J$32</x:f>
        <x:v>0</x:v>
      </x:c>
      <x:c r="P522" s="9"/>
      <x:c r="Q522" s="9"/>
      <x:c r="R522" s="9"/>
      <x:c r="S522" s="9"/>
      <x:c r="T522" s="9"/>
      <x:c r="U522" s="9"/>
      <x:c r="V522" s="9"/>
      <x:c r="W522" s="9"/>
      <x:c r="X522" s="9"/>
      <x:c r="Y522" s="9"/>
      <x:c r="Z522" s="9"/>
    </x:row>
    <x:row r="523" ht="14.25" customHeight="1">
      <x:c r="K523" s="18">
        <x:f t="shared" si="1"/>
        <x:v>0</x:v>
      </x:c>
      <x:c r="L523" s="18">
        <x:f t="shared" si="2"/>
        <x:v>0</x:v>
      </x:c>
      <x:c r="M523" s="119"/>
      <x:c r="N523" s="119"/>
      <x:c r="O523" s="119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</x:row>
    <x:row r="524" ht="14.25" customHeight="1">
      <x:c r="K524" s="18">
        <x:f t="shared" si="1"/>
        <x:v>0</x:v>
      </x:c>
      <x:c r="L524" s="18">
        <x:f t="shared" si="2"/>
        <x:v>0</x:v>
      </x:c>
      <x:c r="M524" s="119"/>
      <x:c r="N524" s="119"/>
      <x:c r="O524" s="119"/>
      <x:c r="P524" s="9"/>
      <x:c r="Q524" s="9"/>
      <x:c r="R524" s="9"/>
      <x:c r="S524" s="9"/>
      <x:c r="T524" s="9"/>
      <x:c r="U524" s="9"/>
      <x:c r="V524" s="9"/>
      <x:c r="W524" s="9"/>
      <x:c r="X524" s="9"/>
      <x:c r="Y524" s="9"/>
      <x:c r="Z524" s="9"/>
    </x:row>
    <x:row r="525" ht="14.25" customHeight="1">
      <x:c r="K525" s="18">
        <x:f t="shared" si="1"/>
        <x:v>0</x:v>
      </x:c>
      <x:c r="L525" s="18">
        <x:f t="shared" si="2"/>
        <x:v>0</x:v>
      </x:c>
      <x:c r="M525" s="119" t="n">
        <x:f>C527*Scoring!$B$32+D527/Scoring!$C$32+E527*Scoring!$D$32+F527*Scoring!$E$32+G527/Scoring!$F$32+H527*Scoring!$G$32+I527*Scoring!$H$32+K527*Scoring!$I$32+RB!L527*Scoring!$J$32</x:f>
        <x:v>0</x:v>
      </x:c>
      <x:c r="N525" s="119" t="n">
        <x:f>C525*Scoring!$B$32+D525/Scoring!$C$32+E525*Scoring!$D$32+F525*Scoring!$E$32+G525/Scoring!$F$32+H525*Scoring!$G$32+I525*Scoring!$H$32+K525*Scoring!$I$32+RB!L525*Scoring!$J$32</x:f>
        <x:v>0</x:v>
      </x:c>
      <x:c r="O525" s="119" t="n">
        <x:f>C526*Scoring!$B$32+D526/Scoring!$C$32+E526*Scoring!$D$32+F526*Scoring!$E$32+G526/Scoring!$F$32+H526*Scoring!$G$32+I526*Scoring!$H$32+K526*Scoring!$I$32+L526*Scoring!$J$32</x:f>
        <x:v>0</x:v>
      </x:c>
      <x:c r="P525" s="9"/>
      <x:c r="Q525" s="9"/>
      <x:c r="R525" s="9"/>
      <x:c r="S525" s="9"/>
      <x:c r="T525" s="9"/>
      <x:c r="U525" s="9"/>
      <x:c r="V525" s="9"/>
      <x:c r="W525" s="9"/>
      <x:c r="X525" s="9"/>
      <x:c r="Y525" s="9"/>
      <x:c r="Z525" s="9"/>
    </x:row>
    <x:row r="526" ht="14.25" customHeight="1">
      <x:c r="K526" s="18">
        <x:f t="shared" si="1"/>
        <x:v>0</x:v>
      </x:c>
      <x:c r="L526" s="18">
        <x:f t="shared" si="2"/>
        <x:v>0</x:v>
      </x:c>
      <x:c r="M526" s="119"/>
      <x:c r="N526" s="119"/>
      <x:c r="O526" s="119"/>
      <x:c r="P526" s="9"/>
      <x:c r="Q526" s="9"/>
      <x:c r="R526" s="9"/>
      <x:c r="S526" s="9"/>
      <x:c r="T526" s="9"/>
      <x:c r="U526" s="9"/>
      <x:c r="V526" s="9"/>
      <x:c r="W526" s="9"/>
      <x:c r="X526" s="9"/>
      <x:c r="Y526" s="9"/>
      <x:c r="Z526" s="9"/>
    </x:row>
    <x:row r="527" ht="14.25" customHeight="1">
      <x:c r="K527" s="18">
        <x:f t="shared" si="1"/>
        <x:v>0</x:v>
      </x:c>
      <x:c r="L527" s="18">
        <x:f t="shared" si="2"/>
        <x:v>0</x:v>
      </x:c>
      <x:c r="M527" s="119"/>
      <x:c r="N527" s="119"/>
      <x:c r="O527" s="119"/>
      <x:c r="P527" s="9"/>
      <x:c r="Q527" s="9"/>
      <x:c r="R527" s="9"/>
      <x:c r="S527" s="9"/>
      <x:c r="T527" s="9"/>
      <x:c r="U527" s="9"/>
      <x:c r="V527" s="9"/>
      <x:c r="W527" s="9"/>
      <x:c r="X527" s="9"/>
      <x:c r="Y527" s="9"/>
      <x:c r="Z527" s="9"/>
    </x:row>
    <x:row r="528" ht="14.25" customHeight="1">
      <x:c r="K528" s="18">
        <x:f t="shared" si="1"/>
        <x:v>0</x:v>
      </x:c>
      <x:c r="L528" s="18">
        <x:f t="shared" si="2"/>
        <x:v>0</x:v>
      </x:c>
      <x:c r="M528" s="119" t="n">
        <x:f>C530*Scoring!$B$32+D530/Scoring!$C$32+E530*Scoring!$D$32+F530*Scoring!$E$32+G530/Scoring!$F$32+H530*Scoring!$G$32+I530*Scoring!$H$32+K530*Scoring!$I$32+RB!L530*Scoring!$J$32</x:f>
        <x:v>0</x:v>
      </x:c>
      <x:c r="N528" s="119" t="n">
        <x:f>C528*Scoring!$B$32+D528/Scoring!$C$32+E528*Scoring!$D$32+F528*Scoring!$E$32+G528/Scoring!$F$32+H528*Scoring!$G$32+I528*Scoring!$H$32+K528*Scoring!$I$32+RB!L528*Scoring!$J$32</x:f>
        <x:v>0</x:v>
      </x:c>
      <x:c r="O528" s="119" t="n">
        <x:f>C529*Scoring!$B$32+D529/Scoring!$C$32+E529*Scoring!$D$32+F529*Scoring!$E$32+G529/Scoring!$F$32+H529*Scoring!$G$32+I529*Scoring!$H$32+K529*Scoring!$I$32+L529*Scoring!$J$32</x:f>
        <x:v>0</x:v>
      </x:c>
      <x:c r="P528" s="9"/>
      <x:c r="Q528" s="9"/>
      <x:c r="R528" s="9"/>
      <x:c r="S528" s="9"/>
      <x:c r="T528" s="9"/>
      <x:c r="U528" s="9"/>
      <x:c r="V528" s="9"/>
      <x:c r="W528" s="9"/>
      <x:c r="X528" s="9"/>
      <x:c r="Y528" s="9"/>
      <x:c r="Z528" s="9"/>
    </x:row>
    <x:row r="529" ht="14.25" customHeight="1">
      <x:c r="K529" s="18">
        <x:f t="shared" si="1"/>
        <x:v>0</x:v>
      </x:c>
      <x:c r="L529" s="18">
        <x:f t="shared" si="2"/>
        <x:v>0</x:v>
      </x:c>
      <x:c r="M529" s="119"/>
      <x:c r="N529" s="119"/>
      <x:c r="O529" s="119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</x:row>
    <x:row r="530" ht="14.25" customHeight="1">
      <x:c r="K530" s="18">
        <x:f t="shared" si="1"/>
        <x:v>0</x:v>
      </x:c>
      <x:c r="L530" s="18">
        <x:f t="shared" si="2"/>
        <x:v>0</x:v>
      </x:c>
      <x:c r="M530" s="119"/>
      <x:c r="N530" s="119"/>
      <x:c r="O530" s="119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</x:row>
    <x:row r="531" ht="14.25" customHeight="1">
      <x:c r="K531" s="18">
        <x:f t="shared" si="1"/>
        <x:v>0</x:v>
      </x:c>
      <x:c r="L531" s="18">
        <x:f t="shared" si="2"/>
        <x:v>0</x:v>
      </x:c>
      <x:c r="M531" s="119" t="n">
        <x:f>C533*Scoring!$B$32+D533/Scoring!$C$32+E533*Scoring!$D$32+F533*Scoring!$E$32+G533/Scoring!$F$32+H533*Scoring!$G$32+I533*Scoring!$H$32+K533*Scoring!$I$32+RB!L533*Scoring!$J$32</x:f>
        <x:v>0</x:v>
      </x:c>
      <x:c r="N531" s="119" t="n">
        <x:f>C531*Scoring!$B$32+D531/Scoring!$C$32+E531*Scoring!$D$32+F531*Scoring!$E$32+G531/Scoring!$F$32+H531*Scoring!$G$32+I531*Scoring!$H$32+K531*Scoring!$I$32+RB!L531*Scoring!$J$32</x:f>
        <x:v>0</x:v>
      </x:c>
      <x:c r="O531" s="119" t="n">
        <x:f>C532*Scoring!$B$32+D532/Scoring!$C$32+E532*Scoring!$D$32+F532*Scoring!$E$32+G532/Scoring!$F$32+H532*Scoring!$G$32+I532*Scoring!$H$32+K532*Scoring!$I$32+L532*Scoring!$J$32</x:f>
        <x:v>0</x:v>
      </x:c>
      <x:c r="P531" s="9"/>
      <x:c r="Q531" s="9"/>
      <x:c r="R531" s="9"/>
      <x:c r="S531" s="9"/>
      <x:c r="T531" s="9"/>
      <x:c r="U531" s="9"/>
      <x:c r="V531" s="9"/>
      <x:c r="W531" s="9"/>
      <x:c r="X531" s="9"/>
      <x:c r="Y531" s="9"/>
      <x:c r="Z531" s="9"/>
    </x:row>
    <x:row r="532" ht="14.25" customHeight="1">
      <x:c r="K532" s="18">
        <x:f t="shared" si="1"/>
        <x:v>0</x:v>
      </x:c>
      <x:c r="L532" s="18">
        <x:f t="shared" si="2"/>
        <x:v>0</x:v>
      </x:c>
      <x:c r="M532" s="119"/>
      <x:c r="N532" s="119"/>
      <x:c r="O532" s="119"/>
      <x:c r="P532" s="9"/>
      <x:c r="Q532" s="9"/>
      <x:c r="R532" s="9"/>
      <x:c r="S532" s="9"/>
      <x:c r="T532" s="9"/>
      <x:c r="U532" s="9"/>
      <x:c r="V532" s="9"/>
      <x:c r="W532" s="9"/>
      <x:c r="X532" s="9"/>
      <x:c r="Y532" s="9"/>
      <x:c r="Z532" s="9"/>
    </x:row>
    <x:row r="533" ht="14.25" customHeight="1">
      <x:c r="K533" s="18">
        <x:f t="shared" si="1"/>
        <x:v>0</x:v>
      </x:c>
      <x:c r="L533" s="18">
        <x:f t="shared" si="2"/>
        <x:v>0</x:v>
      </x:c>
      <x:c r="M533" s="119"/>
      <x:c r="N533" s="119"/>
      <x:c r="O533" s="119"/>
      <x:c r="P533" s="9"/>
      <x:c r="Q533" s="9"/>
      <x:c r="R533" s="9"/>
      <x:c r="S533" s="9"/>
      <x:c r="T533" s="9"/>
      <x:c r="U533" s="9"/>
      <x:c r="V533" s="9"/>
      <x:c r="W533" s="9"/>
      <x:c r="X533" s="9"/>
      <x:c r="Y533" s="9"/>
      <x:c r="Z533" s="9"/>
    </x:row>
    <x:row r="534" ht="14.25" customHeight="1">
      <x:c r="K534" s="18">
        <x:f t="shared" si="1"/>
        <x:v>0</x:v>
      </x:c>
      <x:c r="L534" s="18">
        <x:f t="shared" si="2"/>
        <x:v>0</x:v>
      </x:c>
      <x:c r="M534" s="119" t="n">
        <x:f>C536*Scoring!$B$32+D536/Scoring!$C$32+E536*Scoring!$D$32+F536*Scoring!$E$32+G536/Scoring!$F$32+H536*Scoring!$G$32+I536*Scoring!$H$32+K536*Scoring!$I$32+RB!L536*Scoring!$J$32</x:f>
        <x:v>0</x:v>
      </x:c>
      <x:c r="N534" s="119" t="n">
        <x:f>C534*Scoring!$B$32+D534/Scoring!$C$32+E534*Scoring!$D$32+F534*Scoring!$E$32+G534/Scoring!$F$32+H534*Scoring!$G$32+I534*Scoring!$H$32+K534*Scoring!$I$32+RB!L534*Scoring!$J$32</x:f>
        <x:v>0</x:v>
      </x:c>
      <x:c r="O534" s="119" t="n">
        <x:f>C535*Scoring!$B$32+D535/Scoring!$C$32+E535*Scoring!$D$32+F535*Scoring!$E$32+G535/Scoring!$F$32+H535*Scoring!$G$32+I535*Scoring!$H$32+K535*Scoring!$I$32+L535*Scoring!$J$32</x:f>
        <x:v>0</x:v>
      </x:c>
      <x:c r="P534" s="9"/>
      <x:c r="Q534" s="9"/>
      <x:c r="R534" s="9"/>
      <x:c r="S534" s="9"/>
      <x:c r="T534" s="9"/>
      <x:c r="U534" s="9"/>
      <x:c r="V534" s="9"/>
      <x:c r="W534" s="9"/>
      <x:c r="X534" s="9"/>
      <x:c r="Y534" s="9"/>
      <x:c r="Z534" s="9"/>
    </x:row>
    <x:row r="535" ht="14.25" customHeight="1">
      <x:c r="K535" s="18">
        <x:f t="shared" si="1"/>
        <x:v>0</x:v>
      </x:c>
      <x:c r="L535" s="18">
        <x:f t="shared" si="2"/>
        <x:v>0</x:v>
      </x:c>
      <x:c r="M535" s="119"/>
      <x:c r="N535" s="119"/>
      <x:c r="O535" s="119"/>
      <x:c r="P535" s="9"/>
      <x:c r="Q535" s="9"/>
      <x:c r="R535" s="9"/>
      <x:c r="S535" s="9"/>
      <x:c r="T535" s="9"/>
      <x:c r="U535" s="9"/>
      <x:c r="V535" s="9"/>
      <x:c r="W535" s="9"/>
      <x:c r="X535" s="9"/>
      <x:c r="Y535" s="9"/>
      <x:c r="Z535" s="9"/>
    </x:row>
    <x:row r="536" ht="14.25" customHeight="1">
      <x:c r="K536" s="18">
        <x:f t="shared" si="1"/>
        <x:v>0</x:v>
      </x:c>
      <x:c r="L536" s="18">
        <x:f t="shared" si="2"/>
        <x:v>0</x:v>
      </x:c>
      <x:c r="M536" s="119"/>
      <x:c r="N536" s="119"/>
      <x:c r="O536" s="119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</x:row>
    <x:row r="537" ht="14.25" customHeight="1">
      <x:c r="K537" s="18">
        <x:f t="shared" si="1"/>
        <x:v>0</x:v>
      </x:c>
      <x:c r="L537" s="18">
        <x:f t="shared" si="2"/>
        <x:v>0</x:v>
      </x:c>
      <x:c r="M537" s="119" t="n">
        <x:f>C539*Scoring!$B$32+D539/Scoring!$C$32+E539*Scoring!$D$32+F539*Scoring!$E$32+G539/Scoring!$F$32+H539*Scoring!$G$32+I539*Scoring!$H$32+K539*Scoring!$I$32+RB!L539*Scoring!$J$32</x:f>
        <x:v>0</x:v>
      </x:c>
      <x:c r="N537" s="119" t="n">
        <x:f>C537*Scoring!$B$32+D537/Scoring!$C$32+E537*Scoring!$D$32+F537*Scoring!$E$32+G537/Scoring!$F$32+H537*Scoring!$G$32+I537*Scoring!$H$32+K537*Scoring!$I$32+RB!L537*Scoring!$J$32</x:f>
        <x:v>0</x:v>
      </x:c>
      <x:c r="O537" s="119" t="n">
        <x:f>C538*Scoring!$B$32+D538/Scoring!$C$32+E538*Scoring!$D$32+F538*Scoring!$E$32+G538/Scoring!$F$32+H538*Scoring!$G$32+I538*Scoring!$H$32+K538*Scoring!$I$32+L538*Scoring!$J$32</x:f>
        <x:v>0</x:v>
      </x:c>
      <x:c r="P537" s="9"/>
      <x:c r="Q537" s="9"/>
      <x:c r="R537" s="9"/>
      <x:c r="S537" s="9"/>
      <x:c r="T537" s="9"/>
      <x:c r="U537" s="9"/>
      <x:c r="V537" s="9"/>
      <x:c r="W537" s="9"/>
      <x:c r="X537" s="9"/>
      <x:c r="Y537" s="9"/>
      <x:c r="Z537" s="9"/>
    </x:row>
    <x:row r="538" ht="14.25" customHeight="1">
      <x:c r="K538" s="18">
        <x:f t="shared" si="1"/>
        <x:v>0</x:v>
      </x:c>
      <x:c r="L538" s="18">
        <x:f t="shared" si="2"/>
        <x:v>0</x:v>
      </x:c>
      <x:c r="M538" s="119"/>
      <x:c r="N538" s="119"/>
      <x:c r="O538" s="119"/>
      <x:c r="P538" s="9"/>
      <x:c r="Q538" s="9"/>
      <x:c r="R538" s="9"/>
      <x:c r="S538" s="9"/>
      <x:c r="T538" s="9"/>
      <x:c r="U538" s="9"/>
      <x:c r="V538" s="9"/>
      <x:c r="W538" s="9"/>
      <x:c r="X538" s="9"/>
      <x:c r="Y538" s="9"/>
      <x:c r="Z538" s="9"/>
    </x:row>
    <x:row r="539" ht="14.25" customHeight="1">
      <x:c r="K539" s="18">
        <x:f t="shared" si="1"/>
        <x:v>0</x:v>
      </x:c>
      <x:c r="L539" s="18">
        <x:f t="shared" si="2"/>
        <x:v>0</x:v>
      </x:c>
      <x:c r="M539" s="119"/>
      <x:c r="N539" s="119"/>
      <x:c r="O539" s="119"/>
      <x:c r="P539" s="9"/>
      <x:c r="Q539" s="9"/>
      <x:c r="R539" s="9"/>
      <x:c r="S539" s="9"/>
      <x:c r="T539" s="9"/>
      <x:c r="U539" s="9"/>
      <x:c r="V539" s="9"/>
      <x:c r="W539" s="9"/>
      <x:c r="X539" s="9"/>
      <x:c r="Y539" s="9"/>
      <x:c r="Z539" s="9"/>
    </x:row>
    <x:row r="540" ht="14.25" customHeight="1">
      <x:c r="K540" s="18">
        <x:f t="shared" si="1"/>
        <x:v>0</x:v>
      </x:c>
      <x:c r="L540" s="18">
        <x:f t="shared" si="2"/>
        <x:v>0</x:v>
      </x:c>
      <x:c r="M540" s="119" t="n">
        <x:f>C542*Scoring!$B$32+D542/Scoring!$C$32+E542*Scoring!$D$32+F542*Scoring!$E$32+G542/Scoring!$F$32+H542*Scoring!$G$32+I542*Scoring!$H$32+K542*Scoring!$I$32+RB!L542*Scoring!$J$32</x:f>
        <x:v>0</x:v>
      </x:c>
      <x:c r="N540" s="119" t="n">
        <x:f>C540*Scoring!$B$32+D540/Scoring!$C$32+E540*Scoring!$D$32+F540*Scoring!$E$32+G540/Scoring!$F$32+H540*Scoring!$G$32+I540*Scoring!$H$32+K540*Scoring!$I$32+RB!L540*Scoring!$J$32</x:f>
        <x:v>0</x:v>
      </x:c>
      <x:c r="O540" s="119" t="n">
        <x:f>C541*Scoring!$B$32+D541/Scoring!$C$32+E541*Scoring!$D$32+F541*Scoring!$E$32+G541/Scoring!$F$32+H541*Scoring!$G$32+I541*Scoring!$H$32+K541*Scoring!$I$32+L541*Scoring!$J$32</x:f>
        <x:v>0</x:v>
      </x:c>
      <x:c r="P540" s="9"/>
      <x:c r="Q540" s="9"/>
      <x:c r="R540" s="9"/>
      <x:c r="S540" s="9"/>
      <x:c r="T540" s="9"/>
      <x:c r="U540" s="9"/>
      <x:c r="V540" s="9"/>
      <x:c r="W540" s="9"/>
      <x:c r="X540" s="9"/>
      <x:c r="Y540" s="9"/>
      <x:c r="Z540" s="9"/>
    </x:row>
    <x:row r="541" ht="14.25" customHeight="1">
      <x:c r="K541" s="18">
        <x:f t="shared" si="1"/>
        <x:v>0</x:v>
      </x:c>
      <x:c r="L541" s="18">
        <x:f t="shared" si="2"/>
        <x:v>0</x:v>
      </x:c>
      <x:c r="M541" s="119"/>
      <x:c r="N541" s="119"/>
      <x:c r="O541" s="119"/>
      <x:c r="P541" s="9"/>
      <x:c r="Q541" s="9"/>
      <x:c r="R541" s="9"/>
      <x:c r="S541" s="9"/>
      <x:c r="T541" s="9"/>
      <x:c r="U541" s="9"/>
      <x:c r="V541" s="9"/>
      <x:c r="W541" s="9"/>
      <x:c r="X541" s="9"/>
      <x:c r="Y541" s="9"/>
      <x:c r="Z541" s="9"/>
    </x:row>
    <x:row r="542" ht="14.25" customHeight="1">
      <x:c r="K542" s="18">
        <x:f t="shared" si="1"/>
        <x:v>0</x:v>
      </x:c>
      <x:c r="L542" s="18">
        <x:f t="shared" si="2"/>
        <x:v>0</x:v>
      </x:c>
      <x:c r="M542" s="119"/>
      <x:c r="N542" s="119"/>
      <x:c r="O542" s="119"/>
      <x:c r="P542" s="9"/>
      <x:c r="Q542" s="9"/>
      <x:c r="R542" s="9"/>
      <x:c r="S542" s="9"/>
      <x:c r="T542" s="9"/>
      <x:c r="U542" s="9"/>
      <x:c r="V542" s="9"/>
      <x:c r="W542" s="9"/>
      <x:c r="X542" s="9"/>
      <x:c r="Y542" s="9"/>
      <x:c r="Z542" s="9"/>
    </x:row>
    <x:row r="543" ht="14.25" customHeight="1">
      <x:c r="K543" s="18">
        <x:f t="shared" si="1"/>
        <x:v>0</x:v>
      </x:c>
      <x:c r="L543" s="18">
        <x:f t="shared" si="2"/>
        <x:v>0</x:v>
      </x:c>
      <x:c r="M543" s="119" t="n">
        <x:f>C545*Scoring!$B$32+D545/Scoring!$C$32+E545*Scoring!$D$32+F545*Scoring!$E$32+G545/Scoring!$F$32+H545*Scoring!$G$32+I545*Scoring!$H$32+K545*Scoring!$I$32+RB!L545*Scoring!$J$32</x:f>
        <x:v>0</x:v>
      </x:c>
      <x:c r="N543" s="119" t="n">
        <x:f>C543*Scoring!$B$32+D543/Scoring!$C$32+E543*Scoring!$D$32+F543*Scoring!$E$32+G543/Scoring!$F$32+H543*Scoring!$G$32+I543*Scoring!$H$32+K543*Scoring!$I$32+RB!L543*Scoring!$J$32</x:f>
        <x:v>0</x:v>
      </x:c>
      <x:c r="O543" s="119" t="n">
        <x:f>C544*Scoring!$B$32+D544/Scoring!$C$32+E544*Scoring!$D$32+F544*Scoring!$E$32+G544/Scoring!$F$32+H544*Scoring!$G$32+I544*Scoring!$H$32+K544*Scoring!$I$32+L544*Scoring!$J$32</x:f>
        <x:v>0</x:v>
      </x:c>
      <x:c r="P543" s="9"/>
      <x:c r="Q543" s="9"/>
      <x:c r="R543" s="9"/>
      <x:c r="S543" s="9"/>
      <x:c r="T543" s="9"/>
      <x:c r="U543" s="9"/>
      <x:c r="V543" s="9"/>
      <x:c r="W543" s="9"/>
      <x:c r="X543" s="9"/>
      <x:c r="Y543" s="9"/>
      <x:c r="Z543" s="9"/>
    </x:row>
    <x:row r="544" ht="14.25" customHeight="1">
      <x:c r="K544" s="18">
        <x:f t="shared" si="1"/>
        <x:v>0</x:v>
      </x:c>
      <x:c r="L544" s="18">
        <x:f t="shared" si="2"/>
        <x:v>0</x:v>
      </x:c>
      <x:c r="M544" s="119"/>
      <x:c r="N544" s="119"/>
      <x:c r="O544" s="119"/>
      <x:c r="P544" s="9"/>
      <x:c r="Q544" s="9"/>
      <x:c r="R544" s="9"/>
      <x:c r="S544" s="9"/>
      <x:c r="T544" s="9"/>
      <x:c r="U544" s="9"/>
      <x:c r="V544" s="9"/>
      <x:c r="W544" s="9"/>
      <x:c r="X544" s="9"/>
      <x:c r="Y544" s="9"/>
      <x:c r="Z544" s="9"/>
    </x:row>
    <x:row r="545" ht="14.25" customHeight="1">
      <x:c r="K545" s="18">
        <x:f t="shared" si="1"/>
        <x:v>0</x:v>
      </x:c>
      <x:c r="L545" s="18">
        <x:f t="shared" si="2"/>
        <x:v>0</x:v>
      </x:c>
      <x:c r="M545" s="119"/>
      <x:c r="N545" s="119"/>
      <x:c r="O545" s="119"/>
      <x:c r="P545" s="9"/>
      <x:c r="Q545" s="9"/>
      <x:c r="R545" s="9"/>
      <x:c r="S545" s="9"/>
      <x:c r="T545" s="9"/>
      <x:c r="U545" s="9"/>
      <x:c r="V545" s="9"/>
      <x:c r="W545" s="9"/>
      <x:c r="X545" s="9"/>
      <x:c r="Y545" s="9"/>
      <x:c r="Z545" s="9"/>
    </x:row>
    <x:row r="546" ht="14.25" customHeight="1">
      <x:c r="K546" s="5"/>
      <x:c r="L546" s="5"/>
      <x:c r="M546" s="3"/>
      <x:c r="N546" s="3"/>
      <x:c r="O546" s="3"/>
      <x:c r="P546" s="9"/>
      <x:c r="Q546" s="9"/>
      <x:c r="R546" s="9"/>
      <x:c r="S546" s="9"/>
      <x:c r="T546" s="9"/>
      <x:c r="U546" s="9"/>
      <x:c r="V546" s="9"/>
      <x:c r="W546" s="9"/>
      <x:c r="X546" s="9"/>
      <x:c r="Y546" s="9"/>
      <x:c r="Z546" s="9"/>
    </x:row>
    <x:row r="547" ht="14.25" customHeight="1">
      <x:c r="K547" s="5"/>
      <x:c r="L547" s="5"/>
      <x:c r="M547" s="3"/>
      <x:c r="N547" s="3"/>
      <x:c r="O547" s="3"/>
      <x:c r="P547" s="9"/>
      <x:c r="Q547" s="9"/>
      <x:c r="R547" s="9"/>
      <x:c r="S547" s="9"/>
      <x:c r="T547" s="9"/>
      <x:c r="U547" s="9"/>
      <x:c r="V547" s="9"/>
      <x:c r="W547" s="9"/>
      <x:c r="X547" s="9"/>
      <x:c r="Y547" s="9"/>
      <x:c r="Z547" s="9"/>
    </x:row>
    <x:row r="548" ht="14.25" customHeight="1">
      <x:c r="K548" s="5"/>
      <x:c r="L548" s="5"/>
      <x:c r="M548" s="3"/>
      <x:c r="N548" s="3"/>
      <x:c r="O548" s="3"/>
      <x:c r="P548" s="9"/>
      <x:c r="Q548" s="9"/>
      <x:c r="R548" s="9"/>
      <x:c r="S548" s="9"/>
      <x:c r="T548" s="9"/>
      <x:c r="U548" s="9"/>
      <x:c r="V548" s="9"/>
      <x:c r="W548" s="9"/>
      <x:c r="X548" s="9"/>
      <x:c r="Y548" s="9"/>
      <x:c r="Z548" s="9"/>
    </x:row>
    <x:row r="549" ht="14.25" customHeight="1">
      <x:c r="K549" s="5"/>
      <x:c r="L549" s="5"/>
      <x:c r="M549" s="3"/>
      <x:c r="N549" s="3"/>
      <x:c r="O549" s="3"/>
      <x:c r="P549" s="9"/>
      <x:c r="Q549" s="9"/>
      <x:c r="R549" s="9"/>
      <x:c r="S549" s="9"/>
      <x:c r="T549" s="9"/>
      <x:c r="U549" s="9"/>
      <x:c r="V549" s="9"/>
      <x:c r="W549" s="9"/>
      <x:c r="X549" s="9"/>
      <x:c r="Y549" s="9"/>
      <x:c r="Z549" s="9"/>
    </x:row>
    <x:row r="550" ht="14.25" customHeight="1">
      <x:c r="K550" s="5"/>
      <x:c r="L550" s="5"/>
      <x:c r="M550" s="3"/>
      <x:c r="N550" s="3"/>
      <x:c r="O550" s="3"/>
      <x:c r="P550" s="9"/>
      <x:c r="Q550" s="9"/>
      <x:c r="R550" s="9"/>
      <x:c r="S550" s="9"/>
      <x:c r="T550" s="9"/>
      <x:c r="U550" s="9"/>
      <x:c r="V550" s="9"/>
      <x:c r="W550" s="9"/>
      <x:c r="X550" s="9"/>
      <x:c r="Y550" s="9"/>
      <x:c r="Z550" s="9"/>
    </x:row>
    <x:row r="551" ht="14.25" customHeight="1">
      <x:c r="K551" s="5"/>
      <x:c r="L551" s="5"/>
      <x:c r="M551" s="3"/>
      <x:c r="N551" s="3"/>
      <x:c r="O551" s="3"/>
      <x:c r="P551" s="9"/>
      <x:c r="Q551" s="9"/>
      <x:c r="R551" s="9"/>
      <x:c r="S551" s="9"/>
      <x:c r="T551" s="9"/>
      <x:c r="U551" s="9"/>
      <x:c r="V551" s="9"/>
      <x:c r="W551" s="9"/>
      <x:c r="X551" s="9"/>
      <x:c r="Y551" s="9"/>
      <x:c r="Z551" s="9"/>
    </x:row>
    <x:row r="552" ht="14.25" customHeight="1">
      <x:c r="K552" s="5"/>
      <x:c r="L552" s="5"/>
      <x:c r="M552" s="3"/>
      <x:c r="N552" s="3"/>
      <x:c r="O552" s="3"/>
      <x:c r="P552" s="9"/>
      <x:c r="Q552" s="9"/>
      <x:c r="R552" s="9"/>
      <x:c r="S552" s="9"/>
      <x:c r="T552" s="9"/>
      <x:c r="U552" s="9"/>
      <x:c r="V552" s="9"/>
      <x:c r="W552" s="9"/>
      <x:c r="X552" s="9"/>
      <x:c r="Y552" s="9"/>
      <x:c r="Z552" s="9"/>
    </x:row>
    <x:row r="553" ht="14.25" customHeight="1">
      <x:c r="K553" s="5"/>
      <x:c r="L553" s="5"/>
      <x:c r="M553" s="3"/>
      <x:c r="N553" s="3"/>
      <x:c r="O553" s="3"/>
      <x:c r="P553" s="9"/>
      <x:c r="Q553" s="9"/>
      <x:c r="R553" s="9"/>
      <x:c r="S553" s="9"/>
      <x:c r="T553" s="9"/>
      <x:c r="U553" s="9"/>
      <x:c r="V553" s="9"/>
      <x:c r="W553" s="9"/>
      <x:c r="X553" s="9"/>
      <x:c r="Y553" s="9"/>
      <x:c r="Z553" s="9"/>
    </x:row>
    <x:row r="554" ht="14.25" customHeight="1">
      <x:c r="K554" s="5"/>
      <x:c r="L554" s="5"/>
      <x:c r="M554" s="3"/>
      <x:c r="N554" s="3"/>
      <x:c r="O554" s="3"/>
      <x:c r="P554" s="9"/>
      <x:c r="Q554" s="9"/>
      <x:c r="R554" s="9"/>
      <x:c r="S554" s="9"/>
      <x:c r="T554" s="9"/>
      <x:c r="U554" s="9"/>
      <x:c r="V554" s="9"/>
      <x:c r="W554" s="9"/>
      <x:c r="X554" s="9"/>
      <x:c r="Y554" s="9"/>
      <x:c r="Z554" s="9"/>
    </x:row>
    <x:row r="555" ht="14.25" customHeight="1">
      <x:c r="K555" s="5"/>
      <x:c r="L555" s="5"/>
      <x:c r="M555" s="3"/>
      <x:c r="N555" s="3"/>
      <x:c r="O555" s="3"/>
      <x:c r="P555" s="9"/>
      <x:c r="Q555" s="9"/>
      <x:c r="R555" s="9"/>
      <x:c r="S555" s="9"/>
      <x:c r="T555" s="9"/>
      <x:c r="U555" s="9"/>
      <x:c r="V555" s="9"/>
      <x:c r="W555" s="9"/>
      <x:c r="X555" s="9"/>
      <x:c r="Y555" s="9"/>
      <x:c r="Z555" s="9"/>
    </x:row>
    <x:row r="556" ht="14.25" customHeight="1">
      <x:c r="K556" s="5"/>
      <x:c r="L556" s="5"/>
      <x:c r="M556" s="3"/>
      <x:c r="N556" s="3"/>
      <x:c r="O556" s="3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</x:row>
    <x:row r="557" ht="14.25" customHeight="1">
      <x:c r="K557" s="5"/>
      <x:c r="L557" s="5"/>
      <x:c r="M557" s="3"/>
      <x:c r="N557" s="3"/>
      <x:c r="O557" s="3"/>
      <x:c r="P557" s="9"/>
      <x:c r="Q557" s="9"/>
      <x:c r="R557" s="9"/>
      <x:c r="S557" s="9"/>
      <x:c r="T557" s="9"/>
      <x:c r="U557" s="9"/>
      <x:c r="V557" s="9"/>
      <x:c r="W557" s="9"/>
      <x:c r="X557" s="9"/>
      <x:c r="Y557" s="9"/>
      <x:c r="Z557" s="9"/>
    </x:row>
    <x:row r="558" ht="14.25" customHeight="1">
      <x:c r="K558" s="5"/>
      <x:c r="L558" s="5"/>
      <x:c r="M558" s="3"/>
      <x:c r="N558" s="3"/>
      <x:c r="O558" s="3"/>
      <x:c r="P558" s="9"/>
      <x:c r="Q558" s="9"/>
      <x:c r="R558" s="9"/>
      <x:c r="S558" s="9"/>
      <x:c r="T558" s="9"/>
      <x:c r="U558" s="9"/>
      <x:c r="V558" s="9"/>
      <x:c r="W558" s="9"/>
      <x:c r="X558" s="9"/>
      <x:c r="Y558" s="9"/>
      <x:c r="Z558" s="9"/>
    </x:row>
    <x:row r="559" ht="14.25" customHeight="1">
      <x:c r="K559" s="5"/>
      <x:c r="L559" s="5"/>
      <x:c r="M559" s="3"/>
      <x:c r="N559" s="3"/>
      <x:c r="O559" s="3"/>
      <x:c r="P559" s="9"/>
      <x:c r="Q559" s="9"/>
      <x:c r="R559" s="9"/>
      <x:c r="S559" s="9"/>
      <x:c r="T559" s="9"/>
      <x:c r="U559" s="9"/>
      <x:c r="V559" s="9"/>
      <x:c r="W559" s="9"/>
      <x:c r="X559" s="9"/>
      <x:c r="Y559" s="9"/>
      <x:c r="Z559" s="9"/>
    </x:row>
    <x:row r="560" ht="14.25" customHeight="1">
      <x:c r="K560" s="5"/>
      <x:c r="L560" s="5"/>
      <x:c r="M560" s="3"/>
      <x:c r="N560" s="3"/>
      <x:c r="O560" s="3"/>
      <x:c r="P560" s="9"/>
      <x:c r="Q560" s="9"/>
      <x:c r="R560" s="9"/>
      <x:c r="S560" s="9"/>
      <x:c r="T560" s="9"/>
      <x:c r="U560" s="9"/>
      <x:c r="V560" s="9"/>
      <x:c r="W560" s="9"/>
      <x:c r="X560" s="9"/>
      <x:c r="Y560" s="9"/>
      <x:c r="Z560" s="9"/>
    </x:row>
    <x:row r="561" ht="14.25" customHeight="1">
      <x:c r="K561" s="5"/>
      <x:c r="L561" s="5"/>
      <x:c r="M561" s="3"/>
      <x:c r="N561" s="3"/>
      <x:c r="O561" s="3"/>
      <x:c r="P561" s="9"/>
      <x:c r="Q561" s="9"/>
      <x:c r="R561" s="9"/>
      <x:c r="S561" s="9"/>
      <x:c r="T561" s="9"/>
      <x:c r="U561" s="9"/>
      <x:c r="V561" s="9"/>
      <x:c r="W561" s="9"/>
      <x:c r="X561" s="9"/>
      <x:c r="Y561" s="9"/>
      <x:c r="Z561" s="9"/>
    </x:row>
    <x:row r="562" ht="14.25" customHeight="1">
      <x:c r="K562" s="5"/>
      <x:c r="L562" s="5"/>
      <x:c r="M562" s="3"/>
      <x:c r="N562" s="3"/>
      <x:c r="O562" s="3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</x:row>
    <x:row r="563" ht="14.25" customHeight="1">
      <x:c r="K563" s="5"/>
      <x:c r="L563" s="5"/>
      <x:c r="M563" s="3"/>
      <x:c r="N563" s="3"/>
      <x:c r="O563" s="3"/>
      <x:c r="P563" s="9"/>
      <x:c r="Q563" s="9"/>
      <x:c r="R563" s="9"/>
      <x:c r="S563" s="9"/>
      <x:c r="T563" s="9"/>
      <x:c r="U563" s="9"/>
      <x:c r="V563" s="9"/>
      <x:c r="W563" s="9"/>
      <x:c r="X563" s="9"/>
      <x:c r="Y563" s="9"/>
      <x:c r="Z563" s="9"/>
    </x:row>
    <x:row r="564" ht="14.25" customHeight="1">
      <x:c r="K564" s="5"/>
      <x:c r="L564" s="5"/>
      <x:c r="M564" s="3"/>
      <x:c r="N564" s="3"/>
      <x:c r="O564" s="3"/>
      <x:c r="P564" s="9"/>
      <x:c r="Q564" s="9"/>
      <x:c r="R564" s="9"/>
      <x:c r="S564" s="9"/>
      <x:c r="T564" s="9"/>
      <x:c r="U564" s="9"/>
      <x:c r="V564" s="9"/>
      <x:c r="W564" s="9"/>
      <x:c r="X564" s="9"/>
      <x:c r="Y564" s="9"/>
      <x:c r="Z564" s="9"/>
    </x:row>
    <x:row r="565" ht="14.25" customHeight="1">
      <x:c r="K565" s="5"/>
      <x:c r="L565" s="5"/>
      <x:c r="M565" s="3"/>
      <x:c r="N565" s="3"/>
      <x:c r="O565" s="3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</x:row>
    <x:row r="566" ht="14.25" customHeight="1">
      <x:c r="K566" s="5"/>
      <x:c r="L566" s="5"/>
      <x:c r="M566" s="3"/>
      <x:c r="N566" s="3"/>
      <x:c r="O566" s="3"/>
      <x:c r="P566" s="9"/>
      <x:c r="Q566" s="9"/>
      <x:c r="R566" s="9"/>
      <x:c r="S566" s="9"/>
      <x:c r="T566" s="9"/>
      <x:c r="U566" s="9"/>
      <x:c r="V566" s="9"/>
      <x:c r="W566" s="9"/>
      <x:c r="X566" s="9"/>
      <x:c r="Y566" s="9"/>
      <x:c r="Z566" s="9"/>
    </x:row>
    <x:row r="567" ht="14.25" customHeight="1">
      <x:c r="K567" s="5"/>
      <x:c r="L567" s="5"/>
      <x:c r="M567" s="3"/>
      <x:c r="N567" s="3"/>
      <x:c r="O567" s="3"/>
      <x:c r="P567" s="9"/>
      <x:c r="Q567" s="9"/>
      <x:c r="R567" s="9"/>
      <x:c r="S567" s="9"/>
      <x:c r="T567" s="9"/>
      <x:c r="U567" s="9"/>
      <x:c r="V567" s="9"/>
      <x:c r="W567" s="9"/>
      <x:c r="X567" s="9"/>
      <x:c r="Y567" s="9"/>
      <x:c r="Z567" s="9"/>
    </x:row>
    <x:row r="568" ht="14.25" customHeight="1">
      <x:c r="K568" s="5"/>
      <x:c r="L568" s="5"/>
      <x:c r="M568" s="3"/>
      <x:c r="N568" s="3"/>
      <x:c r="O568" s="3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</x:row>
    <x:row r="569" ht="14.25" customHeight="1">
      <x:c r="K569" s="5"/>
      <x:c r="L569" s="5"/>
      <x:c r="M569" s="3"/>
      <x:c r="N569" s="3"/>
      <x:c r="O569" s="3"/>
      <x:c r="P569" s="9"/>
      <x:c r="Q569" s="9"/>
      <x:c r="R569" s="9"/>
      <x:c r="S569" s="9"/>
      <x:c r="T569" s="9"/>
      <x:c r="U569" s="9"/>
      <x:c r="V569" s="9"/>
      <x:c r="W569" s="9"/>
      <x:c r="X569" s="9"/>
      <x:c r="Y569" s="9"/>
      <x:c r="Z569" s="9"/>
    </x:row>
    <x:row r="570" ht="14.25" customHeight="1">
      <x:c r="K570" s="5"/>
      <x:c r="L570" s="5"/>
      <x:c r="M570" s="3"/>
      <x:c r="N570" s="3"/>
      <x:c r="O570" s="3"/>
      <x:c r="P570" s="9"/>
      <x:c r="Q570" s="9"/>
      <x:c r="R570" s="9"/>
      <x:c r="S570" s="9"/>
      <x:c r="T570" s="9"/>
      <x:c r="U570" s="9"/>
      <x:c r="V570" s="9"/>
      <x:c r="W570" s="9"/>
      <x:c r="X570" s="9"/>
      <x:c r="Y570" s="9"/>
      <x:c r="Z570" s="9"/>
    </x:row>
    <x:row r="571" ht="14.25" customHeight="1">
      <x:c r="K571" s="5"/>
      <x:c r="L571" s="5"/>
      <x:c r="M571" s="3"/>
      <x:c r="N571" s="3"/>
      <x:c r="O571" s="3"/>
      <x:c r="P571" s="9"/>
      <x:c r="Q571" s="9"/>
      <x:c r="R571" s="9"/>
      <x:c r="S571" s="9"/>
      <x:c r="T571" s="9"/>
      <x:c r="U571" s="9"/>
      <x:c r="V571" s="9"/>
      <x:c r="W571" s="9"/>
      <x:c r="X571" s="9"/>
      <x:c r="Y571" s="9"/>
      <x:c r="Z571" s="9"/>
    </x:row>
    <x:row r="572" ht="14.25" customHeight="1">
      <x:c r="K572" s="5"/>
      <x:c r="L572" s="5"/>
      <x:c r="M572" s="3"/>
      <x:c r="N572" s="3"/>
      <x:c r="O572" s="3"/>
      <x:c r="P572" s="9"/>
      <x:c r="Q572" s="9"/>
      <x:c r="R572" s="9"/>
      <x:c r="S572" s="9"/>
      <x:c r="T572" s="9"/>
      <x:c r="U572" s="9"/>
      <x:c r="V572" s="9"/>
      <x:c r="W572" s="9"/>
      <x:c r="X572" s="9"/>
      <x:c r="Y572" s="9"/>
      <x:c r="Z572" s="9"/>
    </x:row>
    <x:row r="573" ht="14.25" customHeight="1">
      <x:c r="K573" s="5"/>
      <x:c r="L573" s="5"/>
      <x:c r="M573" s="3"/>
      <x:c r="N573" s="3"/>
      <x:c r="O573" s="3"/>
      <x:c r="P573" s="9"/>
      <x:c r="Q573" s="9"/>
      <x:c r="R573" s="9"/>
      <x:c r="S573" s="9"/>
      <x:c r="T573" s="9"/>
      <x:c r="U573" s="9"/>
      <x:c r="V573" s="9"/>
      <x:c r="W573" s="9"/>
      <x:c r="X573" s="9"/>
      <x:c r="Y573" s="9"/>
      <x:c r="Z573" s="9"/>
    </x:row>
    <x:row r="574" ht="14.25" customHeight="1">
      <x:c r="K574" s="5"/>
      <x:c r="L574" s="5"/>
      <x:c r="M574" s="3"/>
      <x:c r="N574" s="3"/>
      <x:c r="O574" s="3"/>
      <x:c r="P574" s="9"/>
      <x:c r="Q574" s="9"/>
      <x:c r="R574" s="9"/>
      <x:c r="S574" s="9"/>
      <x:c r="T574" s="9"/>
      <x:c r="U574" s="9"/>
      <x:c r="V574" s="9"/>
      <x:c r="W574" s="9"/>
      <x:c r="X574" s="9"/>
      <x:c r="Y574" s="9"/>
      <x:c r="Z574" s="9"/>
    </x:row>
    <x:row r="575" ht="14.25" customHeight="1">
      <x:c r="K575" s="5"/>
      <x:c r="L575" s="5"/>
      <x:c r="M575" s="3"/>
      <x:c r="N575" s="3"/>
      <x:c r="O575" s="3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</x:row>
    <x:row r="576" ht="14.25" customHeight="1">
      <x:c r="K576" s="5"/>
      <x:c r="L576" s="5"/>
      <x:c r="M576" s="3"/>
      <x:c r="N576" s="3"/>
      <x:c r="O576" s="3"/>
      <x:c r="P576" s="9"/>
      <x:c r="Q576" s="9"/>
      <x:c r="R576" s="9"/>
      <x:c r="S576" s="9"/>
      <x:c r="T576" s="9"/>
      <x:c r="U576" s="9"/>
      <x:c r="V576" s="9"/>
      <x:c r="W576" s="9"/>
      <x:c r="X576" s="9"/>
      <x:c r="Y576" s="9"/>
      <x:c r="Z576" s="9"/>
    </x:row>
    <x:row r="577" ht="14.25" customHeight="1">
      <x:c r="K577" s="5"/>
      <x:c r="L577" s="5"/>
      <x:c r="M577" s="3"/>
      <x:c r="N577" s="3"/>
      <x:c r="O577" s="3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</x:row>
    <x:row r="578" ht="14.25" customHeight="1">
      <x:c r="K578" s="5"/>
      <x:c r="L578" s="5"/>
      <x:c r="M578" s="3"/>
      <x:c r="N578" s="3"/>
      <x:c r="O578" s="3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</x:row>
    <x:row r="579" ht="14.25" customHeight="1">
      <x:c r="K579" s="5"/>
      <x:c r="L579" s="5"/>
      <x:c r="M579" s="3"/>
      <x:c r="N579" s="3"/>
      <x:c r="O579" s="3"/>
      <x:c r="P579" s="9"/>
      <x:c r="Q579" s="9"/>
      <x:c r="R579" s="9"/>
      <x:c r="S579" s="9"/>
      <x:c r="T579" s="9"/>
      <x:c r="U579" s="9"/>
      <x:c r="V579" s="9"/>
      <x:c r="W579" s="9"/>
      <x:c r="X579" s="9"/>
      <x:c r="Y579" s="9"/>
      <x:c r="Z579" s="9"/>
    </x:row>
    <x:row r="580" ht="14.25" customHeight="1">
      <x:c r="K580" s="5"/>
      <x:c r="L580" s="5"/>
      <x:c r="M580" s="3"/>
      <x:c r="N580" s="3"/>
      <x:c r="O580" s="3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</x:row>
    <x:row r="581" ht="14.25" customHeight="1">
      <x:c r="K581" s="5"/>
      <x:c r="L581" s="5"/>
      <x:c r="M581" s="3"/>
      <x:c r="N581" s="3"/>
      <x:c r="O581" s="3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</x:row>
    <x:row r="582" ht="14.25" customHeight="1">
      <x:c r="K582" s="5"/>
      <x:c r="L582" s="5"/>
      <x:c r="M582" s="3"/>
      <x:c r="N582" s="3"/>
      <x:c r="O582" s="3"/>
      <x:c r="P582" s="9"/>
      <x:c r="Q582" s="9"/>
      <x:c r="R582" s="9"/>
      <x:c r="S582" s="9"/>
      <x:c r="T582" s="9"/>
      <x:c r="U582" s="9"/>
      <x:c r="V582" s="9"/>
      <x:c r="W582" s="9"/>
      <x:c r="X582" s="9"/>
      <x:c r="Y582" s="9"/>
      <x:c r="Z582" s="9"/>
    </x:row>
    <x:row r="583" ht="14.25" customHeight="1">
      <x:c r="K583" s="5"/>
      <x:c r="L583" s="5"/>
      <x:c r="M583" s="3"/>
      <x:c r="N583" s="3"/>
      <x:c r="O583" s="3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</x:row>
    <x:row r="584" ht="14.25" customHeight="1">
      <x:c r="K584" s="5"/>
      <x:c r="L584" s="5"/>
      <x:c r="M584" s="3"/>
      <x:c r="N584" s="3"/>
      <x:c r="O584" s="3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</x:row>
    <x:row r="585" ht="14.25" customHeight="1">
      <x:c r="K585" s="5"/>
      <x:c r="L585" s="5"/>
      <x:c r="M585" s="3"/>
      <x:c r="N585" s="3"/>
      <x:c r="O585" s="3"/>
      <x:c r="P585" s="9"/>
      <x:c r="Q585" s="9"/>
      <x:c r="R585" s="9"/>
      <x:c r="S585" s="9"/>
      <x:c r="T585" s="9"/>
      <x:c r="U585" s="9"/>
      <x:c r="V585" s="9"/>
      <x:c r="W585" s="9"/>
      <x:c r="X585" s="9"/>
      <x:c r="Y585" s="9"/>
      <x:c r="Z585" s="9"/>
    </x:row>
    <x:row r="586" ht="14.25" customHeight="1">
      <x:c r="K586" s="5"/>
      <x:c r="L586" s="5"/>
      <x:c r="M586" s="3"/>
      <x:c r="N586" s="3"/>
      <x:c r="O586" s="3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</x:row>
    <x:row r="587" ht="14.25" customHeight="1">
      <x:c r="K587" s="5"/>
      <x:c r="L587" s="5"/>
      <x:c r="M587" s="3"/>
      <x:c r="N587" s="3"/>
      <x:c r="O587" s="3"/>
      <x:c r="P587" s="9"/>
      <x:c r="Q587" s="9"/>
      <x:c r="R587" s="9"/>
      <x:c r="S587" s="9"/>
      <x:c r="T587" s="9"/>
      <x:c r="U587" s="9"/>
      <x:c r="V587" s="9"/>
      <x:c r="W587" s="9"/>
      <x:c r="X587" s="9"/>
      <x:c r="Y587" s="9"/>
      <x:c r="Z587" s="9"/>
    </x:row>
    <x:row r="588" ht="14.25" customHeight="1">
      <x:c r="K588" s="5"/>
      <x:c r="L588" s="5"/>
      <x:c r="M588" s="3"/>
      <x:c r="N588" s="3"/>
      <x:c r="O588" s="3"/>
      <x:c r="P588" s="9"/>
      <x:c r="Q588" s="9"/>
      <x:c r="R588" s="9"/>
      <x:c r="S588" s="9"/>
      <x:c r="T588" s="9"/>
      <x:c r="U588" s="9"/>
      <x:c r="V588" s="9"/>
      <x:c r="W588" s="9"/>
      <x:c r="X588" s="9"/>
      <x:c r="Y588" s="9"/>
      <x:c r="Z588" s="9"/>
    </x:row>
    <x:row r="589" ht="14.25" customHeight="1">
      <x:c r="K589" s="5"/>
      <x:c r="L589" s="5"/>
      <x:c r="M589" s="3"/>
      <x:c r="N589" s="3"/>
      <x:c r="O589" s="3"/>
      <x:c r="P589" s="9"/>
      <x:c r="Q589" s="9"/>
      <x:c r="R589" s="9"/>
      <x:c r="S589" s="9"/>
      <x:c r="T589" s="9"/>
      <x:c r="U589" s="9"/>
      <x:c r="V589" s="9"/>
      <x:c r="W589" s="9"/>
      <x:c r="X589" s="9"/>
      <x:c r="Y589" s="9"/>
      <x:c r="Z589" s="9"/>
    </x:row>
    <x:row r="590" ht="14.25" customHeight="1">
      <x:c r="K590" s="5"/>
      <x:c r="L590" s="5"/>
      <x:c r="M590" s="3"/>
      <x:c r="N590" s="3"/>
      <x:c r="O590" s="3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</x:row>
    <x:row r="591" ht="14.25" customHeight="1">
      <x:c r="K591" s="5"/>
      <x:c r="L591" s="5"/>
      <x:c r="M591" s="3"/>
      <x:c r="N591" s="3"/>
      <x:c r="O591" s="3"/>
      <x:c r="P591" s="9"/>
      <x:c r="Q591" s="9"/>
      <x:c r="R591" s="9"/>
      <x:c r="S591" s="9"/>
      <x:c r="T591" s="9"/>
      <x:c r="U591" s="9"/>
      <x:c r="V591" s="9"/>
      <x:c r="W591" s="9"/>
      <x:c r="X591" s="9"/>
      <x:c r="Y591" s="9"/>
      <x:c r="Z591" s="9"/>
    </x:row>
    <x:row r="592" ht="14.25" customHeight="1">
      <x:c r="K592" s="5"/>
      <x:c r="L592" s="5"/>
      <x:c r="M592" s="3"/>
      <x:c r="N592" s="3"/>
      <x:c r="O592" s="3"/>
      <x:c r="P592" s="9"/>
      <x:c r="Q592" s="9"/>
      <x:c r="R592" s="9"/>
      <x:c r="S592" s="9"/>
      <x:c r="T592" s="9"/>
      <x:c r="U592" s="9"/>
      <x:c r="V592" s="9"/>
      <x:c r="W592" s="9"/>
      <x:c r="X592" s="9"/>
      <x:c r="Y592" s="9"/>
      <x:c r="Z592" s="9"/>
    </x:row>
    <x:row r="593" ht="14.25" customHeight="1">
      <x:c r="K593" s="5"/>
      <x:c r="L593" s="5"/>
      <x:c r="M593" s="3"/>
      <x:c r="N593" s="3"/>
      <x:c r="O593" s="3"/>
      <x:c r="P593" s="9"/>
      <x:c r="Q593" s="9"/>
      <x:c r="R593" s="9"/>
      <x:c r="S593" s="9"/>
      <x:c r="T593" s="9"/>
      <x:c r="U593" s="9"/>
      <x:c r="V593" s="9"/>
      <x:c r="W593" s="9"/>
      <x:c r="X593" s="9"/>
      <x:c r="Y593" s="9"/>
      <x:c r="Z593" s="9"/>
    </x:row>
    <x:row r="594" ht="14.25" customHeight="1">
      <x:c r="K594" s="5"/>
      <x:c r="L594" s="5"/>
      <x:c r="M594" s="3"/>
      <x:c r="N594" s="3"/>
      <x:c r="O594" s="3"/>
      <x:c r="P594" s="9"/>
      <x:c r="Q594" s="9"/>
      <x:c r="R594" s="9"/>
      <x:c r="S594" s="9"/>
      <x:c r="T594" s="9"/>
      <x:c r="U594" s="9"/>
      <x:c r="V594" s="9"/>
      <x:c r="W594" s="9"/>
      <x:c r="X594" s="9"/>
      <x:c r="Y594" s="9"/>
      <x:c r="Z594" s="9"/>
    </x:row>
    <x:row r="595" ht="14.25" customHeight="1">
      <x:c r="K595" s="5"/>
      <x:c r="L595" s="5"/>
      <x:c r="M595" s="3"/>
      <x:c r="N595" s="3"/>
      <x:c r="O595" s="3"/>
      <x:c r="P595" s="9"/>
      <x:c r="Q595" s="9"/>
      <x:c r="R595" s="9"/>
      <x:c r="S595" s="9"/>
      <x:c r="T595" s="9"/>
      <x:c r="U595" s="9"/>
      <x:c r="V595" s="9"/>
      <x:c r="W595" s="9"/>
      <x:c r="X595" s="9"/>
      <x:c r="Y595" s="9"/>
      <x:c r="Z595" s="9"/>
    </x:row>
    <x:row r="596" ht="14.25" customHeight="1">
      <x:c r="K596" s="5"/>
      <x:c r="L596" s="5"/>
      <x:c r="M596" s="3"/>
      <x:c r="N596" s="3"/>
      <x:c r="O596" s="3"/>
      <x:c r="P596" s="9"/>
      <x:c r="Q596" s="9"/>
      <x:c r="R596" s="9"/>
      <x:c r="S596" s="9"/>
      <x:c r="T596" s="9"/>
      <x:c r="U596" s="9"/>
      <x:c r="V596" s="9"/>
      <x:c r="W596" s="9"/>
      <x:c r="X596" s="9"/>
      <x:c r="Y596" s="9"/>
      <x:c r="Z596" s="9"/>
    </x:row>
    <x:row r="597" ht="14.25" customHeight="1">
      <x:c r="K597" s="5"/>
      <x:c r="L597" s="5"/>
      <x:c r="M597" s="3"/>
      <x:c r="N597" s="3"/>
      <x:c r="O597" s="3"/>
      <x:c r="P597" s="9"/>
      <x:c r="Q597" s="9"/>
      <x:c r="R597" s="9"/>
      <x:c r="S597" s="9"/>
      <x:c r="T597" s="9"/>
      <x:c r="U597" s="9"/>
      <x:c r="V597" s="9"/>
      <x:c r="W597" s="9"/>
      <x:c r="X597" s="9"/>
      <x:c r="Y597" s="9"/>
      <x:c r="Z597" s="9"/>
    </x:row>
    <x:row r="598" ht="14.25" customHeight="1">
      <x:c r="K598" s="5"/>
      <x:c r="L598" s="5"/>
      <x:c r="M598" s="3"/>
      <x:c r="N598" s="3"/>
      <x:c r="O598" s="3"/>
      <x:c r="P598" s="9"/>
      <x:c r="Q598" s="9"/>
      <x:c r="R598" s="9"/>
      <x:c r="S598" s="9"/>
      <x:c r="T598" s="9"/>
      <x:c r="U598" s="9"/>
      <x:c r="V598" s="9"/>
      <x:c r="W598" s="9"/>
      <x:c r="X598" s="9"/>
      <x:c r="Y598" s="9"/>
      <x:c r="Z598" s="9"/>
    </x:row>
    <x:row r="599" ht="14.25" customHeight="1">
      <x:c r="K599" s="5"/>
      <x:c r="L599" s="5"/>
      <x:c r="M599" s="3"/>
      <x:c r="N599" s="3"/>
      <x:c r="O599" s="3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</x:row>
    <x:row r="600" ht="14.25" customHeight="1">
      <x:c r="K600" s="5"/>
      <x:c r="L600" s="5"/>
      <x:c r="M600" s="3"/>
      <x:c r="N600" s="3"/>
      <x:c r="O600" s="3"/>
      <x:c r="P600" s="9"/>
      <x:c r="Q600" s="9"/>
      <x:c r="R600" s="9"/>
      <x:c r="S600" s="9"/>
      <x:c r="T600" s="9"/>
      <x:c r="U600" s="9"/>
      <x:c r="V600" s="9"/>
      <x:c r="W600" s="9"/>
      <x:c r="X600" s="9"/>
      <x:c r="Y600" s="9"/>
      <x:c r="Z600" s="9"/>
    </x:row>
    <x:row r="601" ht="14.25" customHeight="1">
      <x:c r="K601" s="5"/>
      <x:c r="L601" s="5"/>
      <x:c r="M601" s="3"/>
      <x:c r="N601" s="3"/>
      <x:c r="O601" s="3"/>
      <x:c r="P601" s="9"/>
      <x:c r="Q601" s="9"/>
      <x:c r="R601" s="9"/>
      <x:c r="S601" s="9"/>
      <x:c r="T601" s="9"/>
      <x:c r="U601" s="9"/>
      <x:c r="V601" s="9"/>
      <x:c r="W601" s="9"/>
      <x:c r="X601" s="9"/>
      <x:c r="Y601" s="9"/>
      <x:c r="Z601" s="9"/>
    </x:row>
    <x:row r="602" ht="14.25" customHeight="1">
      <x:c r="K602" s="5"/>
      <x:c r="L602" s="5"/>
      <x:c r="M602" s="3"/>
      <x:c r="N602" s="3"/>
      <x:c r="O602" s="3"/>
      <x:c r="P602" s="9"/>
      <x:c r="Q602" s="9"/>
      <x:c r="R602" s="9"/>
      <x:c r="S602" s="9"/>
      <x:c r="T602" s="9"/>
      <x:c r="U602" s="9"/>
      <x:c r="V602" s="9"/>
      <x:c r="W602" s="9"/>
      <x:c r="X602" s="9"/>
      <x:c r="Y602" s="9"/>
      <x:c r="Z602" s="9"/>
    </x:row>
    <x:row r="603" ht="14.25" customHeight="1">
      <x:c r="K603" s="5"/>
      <x:c r="L603" s="5"/>
      <x:c r="M603" s="3"/>
      <x:c r="N603" s="3"/>
      <x:c r="O603" s="3"/>
      <x:c r="P603" s="9"/>
      <x:c r="Q603" s="9"/>
      <x:c r="R603" s="9"/>
      <x:c r="S603" s="9"/>
      <x:c r="T603" s="9"/>
      <x:c r="U603" s="9"/>
      <x:c r="V603" s="9"/>
      <x:c r="W603" s="9"/>
      <x:c r="X603" s="9"/>
      <x:c r="Y603" s="9"/>
      <x:c r="Z603" s="9"/>
    </x:row>
    <x:row r="604" ht="14.25" customHeight="1">
      <x:c r="K604" s="5"/>
      <x:c r="L604" s="5"/>
      <x:c r="M604" s="3"/>
      <x:c r="N604" s="3"/>
      <x:c r="O604" s="3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</x:row>
    <x:row r="605" ht="14.25" customHeight="1">
      <x:c r="K605" s="5"/>
      <x:c r="L605" s="5"/>
      <x:c r="M605" s="3"/>
      <x:c r="N605" s="3"/>
      <x:c r="O605" s="3"/>
      <x:c r="P605" s="9"/>
      <x:c r="Q605" s="9"/>
      <x:c r="R605" s="9"/>
      <x:c r="S605" s="9"/>
      <x:c r="T605" s="9"/>
      <x:c r="U605" s="9"/>
      <x:c r="V605" s="9"/>
      <x:c r="W605" s="9"/>
      <x:c r="X605" s="9"/>
      <x:c r="Y605" s="9"/>
      <x:c r="Z605" s="9"/>
    </x:row>
    <x:row r="606" ht="14.25" customHeight="1">
      <x:c r="K606" s="5"/>
      <x:c r="L606" s="5"/>
      <x:c r="M606" s="3"/>
      <x:c r="N606" s="3"/>
      <x:c r="O606" s="3"/>
      <x:c r="P606" s="9"/>
      <x:c r="Q606" s="9"/>
      <x:c r="R606" s="9"/>
      <x:c r="S606" s="9"/>
      <x:c r="T606" s="9"/>
      <x:c r="U606" s="9"/>
      <x:c r="V606" s="9"/>
      <x:c r="W606" s="9"/>
      <x:c r="X606" s="9"/>
      <x:c r="Y606" s="9"/>
      <x:c r="Z606" s="9"/>
    </x:row>
    <x:row r="607" ht="14.25" customHeight="1">
      <x:c r="K607" s="5"/>
      <x:c r="L607" s="5"/>
      <x:c r="M607" s="3"/>
      <x:c r="N607" s="3"/>
      <x:c r="O607" s="3"/>
      <x:c r="P607" s="9"/>
      <x:c r="Q607" s="9"/>
      <x:c r="R607" s="9"/>
      <x:c r="S607" s="9"/>
      <x:c r="T607" s="9"/>
      <x:c r="U607" s="9"/>
      <x:c r="V607" s="9"/>
      <x:c r="W607" s="9"/>
      <x:c r="X607" s="9"/>
      <x:c r="Y607" s="9"/>
      <x:c r="Z607" s="9"/>
    </x:row>
    <x:row r="608" ht="14.25" customHeight="1">
      <x:c r="K608" s="5"/>
      <x:c r="L608" s="5"/>
      <x:c r="M608" s="3"/>
      <x:c r="N608" s="3"/>
      <x:c r="O608" s="3"/>
      <x:c r="P608" s="9"/>
      <x:c r="Q608" s="9"/>
      <x:c r="R608" s="9"/>
      <x:c r="S608" s="9"/>
      <x:c r="T608" s="9"/>
      <x:c r="U608" s="9"/>
      <x:c r="V608" s="9"/>
      <x:c r="W608" s="9"/>
      <x:c r="X608" s="9"/>
      <x:c r="Y608" s="9"/>
      <x:c r="Z608" s="9"/>
    </x:row>
    <x:row r="609" ht="14.25" customHeight="1">
      <x:c r="K609" s="5"/>
      <x:c r="L609" s="5"/>
      <x:c r="M609" s="3"/>
      <x:c r="N609" s="3"/>
      <x:c r="O609" s="3"/>
      <x:c r="P609" s="9"/>
      <x:c r="Q609" s="9"/>
      <x:c r="R609" s="9"/>
      <x:c r="S609" s="9"/>
      <x:c r="T609" s="9"/>
      <x:c r="U609" s="9"/>
      <x:c r="V609" s="9"/>
      <x:c r="W609" s="9"/>
      <x:c r="X609" s="9"/>
      <x:c r="Y609" s="9"/>
      <x:c r="Z609" s="9"/>
    </x:row>
    <x:row r="610" ht="14.25" customHeight="1">
      <x:c r="K610" s="5"/>
      <x:c r="L610" s="5"/>
      <x:c r="M610" s="3"/>
      <x:c r="N610" s="3"/>
      <x:c r="O610" s="3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</x:row>
    <x:row r="611" ht="14.25" customHeight="1">
      <x:c r="K611" s="5"/>
      <x:c r="L611" s="5"/>
      <x:c r="M611" s="3"/>
      <x:c r="N611" s="3"/>
      <x:c r="O611" s="3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</x:row>
    <x:row r="612" ht="14.25" customHeight="1">
      <x:c r="K612" s="5"/>
      <x:c r="L612" s="5"/>
      <x:c r="M612" s="3"/>
      <x:c r="N612" s="3"/>
      <x:c r="O612" s="3"/>
      <x:c r="P612" s="9"/>
      <x:c r="Q612" s="9"/>
      <x:c r="R612" s="9"/>
      <x:c r="S612" s="9"/>
      <x:c r="T612" s="9"/>
      <x:c r="U612" s="9"/>
      <x:c r="V612" s="9"/>
      <x:c r="W612" s="9"/>
      <x:c r="X612" s="9"/>
      <x:c r="Y612" s="9"/>
      <x:c r="Z612" s="9"/>
    </x:row>
    <x:row r="613" ht="14.25" customHeight="1">
      <x:c r="K613" s="5"/>
      <x:c r="L613" s="5"/>
      <x:c r="M613" s="3"/>
      <x:c r="N613" s="3"/>
      <x:c r="O613" s="3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</x:row>
    <x:row r="614" ht="14.25" customHeight="1">
      <x:c r="K614" s="5"/>
      <x:c r="L614" s="5"/>
      <x:c r="M614" s="3"/>
      <x:c r="N614" s="3"/>
      <x:c r="O614" s="3"/>
      <x:c r="P614" s="9"/>
      <x:c r="Q614" s="9"/>
      <x:c r="R614" s="9"/>
      <x:c r="S614" s="9"/>
      <x:c r="T614" s="9"/>
      <x:c r="U614" s="9"/>
      <x:c r="V614" s="9"/>
      <x:c r="W614" s="9"/>
      <x:c r="X614" s="9"/>
      <x:c r="Y614" s="9"/>
      <x:c r="Z614" s="9"/>
    </x:row>
    <x:row r="615" ht="14.25" customHeight="1">
      <x:c r="K615" s="5"/>
      <x:c r="L615" s="5"/>
      <x:c r="M615" s="3"/>
      <x:c r="N615" s="3"/>
      <x:c r="O615" s="3"/>
      <x:c r="P615" s="9"/>
      <x:c r="Q615" s="9"/>
      <x:c r="R615" s="9"/>
      <x:c r="S615" s="9"/>
      <x:c r="T615" s="9"/>
      <x:c r="U615" s="9"/>
      <x:c r="V615" s="9"/>
      <x:c r="W615" s="9"/>
      <x:c r="X615" s="9"/>
      <x:c r="Y615" s="9"/>
      <x:c r="Z615" s="9"/>
    </x:row>
    <x:row r="616" ht="14.25" customHeight="1">
      <x:c r="K616" s="5"/>
      <x:c r="L616" s="5"/>
      <x:c r="M616" s="3"/>
      <x:c r="N616" s="3"/>
      <x:c r="O616" s="3"/>
      <x:c r="P616" s="9"/>
      <x:c r="Q616" s="9"/>
      <x:c r="R616" s="9"/>
      <x:c r="S616" s="9"/>
      <x:c r="T616" s="9"/>
      <x:c r="U616" s="9"/>
      <x:c r="V616" s="9"/>
      <x:c r="W616" s="9"/>
      <x:c r="X616" s="9"/>
      <x:c r="Y616" s="9"/>
      <x:c r="Z616" s="9"/>
    </x:row>
    <x:row r="617" ht="14.25" customHeight="1">
      <x:c r="K617" s="5"/>
      <x:c r="L617" s="5"/>
      <x:c r="M617" s="3"/>
      <x:c r="N617" s="3"/>
      <x:c r="O617" s="3"/>
      <x:c r="P617" s="9"/>
      <x:c r="Q617" s="9"/>
      <x:c r="R617" s="9"/>
      <x:c r="S617" s="9"/>
      <x:c r="T617" s="9"/>
      <x:c r="U617" s="9"/>
      <x:c r="V617" s="9"/>
      <x:c r="W617" s="9"/>
      <x:c r="X617" s="9"/>
      <x:c r="Y617" s="9"/>
      <x:c r="Z617" s="9"/>
    </x:row>
    <x:row r="618" ht="14.25" customHeight="1">
      <x:c r="K618" s="5"/>
      <x:c r="L618" s="5"/>
      <x:c r="M618" s="3"/>
      <x:c r="N618" s="3"/>
      <x:c r="O618" s="3"/>
      <x:c r="P618" s="9"/>
      <x:c r="Q618" s="9"/>
      <x:c r="R618" s="9"/>
      <x:c r="S618" s="9"/>
      <x:c r="T618" s="9"/>
      <x:c r="U618" s="9"/>
      <x:c r="V618" s="9"/>
      <x:c r="W618" s="9"/>
      <x:c r="X618" s="9"/>
      <x:c r="Y618" s="9"/>
      <x:c r="Z618" s="9"/>
    </x:row>
    <x:row r="619" ht="14.25" customHeight="1">
      <x:c r="K619" s="5"/>
      <x:c r="L619" s="5"/>
      <x:c r="M619" s="3"/>
      <x:c r="N619" s="3"/>
      <x:c r="O619" s="3"/>
      <x:c r="P619" s="9"/>
      <x:c r="Q619" s="9"/>
      <x:c r="R619" s="9"/>
      <x:c r="S619" s="9"/>
      <x:c r="T619" s="9"/>
      <x:c r="U619" s="9"/>
      <x:c r="V619" s="9"/>
      <x:c r="W619" s="9"/>
      <x:c r="X619" s="9"/>
      <x:c r="Y619" s="9"/>
      <x:c r="Z619" s="9"/>
    </x:row>
    <x:row r="620" ht="14.25" customHeight="1">
      <x:c r="K620" s="5"/>
      <x:c r="L620" s="5"/>
      <x:c r="M620" s="3"/>
      <x:c r="N620" s="3"/>
      <x:c r="O620" s="3"/>
      <x:c r="P620" s="9"/>
      <x:c r="Q620" s="9"/>
      <x:c r="R620" s="9"/>
      <x:c r="S620" s="9"/>
      <x:c r="T620" s="9"/>
      <x:c r="U620" s="9"/>
      <x:c r="V620" s="9"/>
      <x:c r="W620" s="9"/>
      <x:c r="X620" s="9"/>
      <x:c r="Y620" s="9"/>
      <x:c r="Z620" s="9"/>
    </x:row>
    <x:row r="621" ht="14.25" customHeight="1">
      <x:c r="K621" s="5"/>
      <x:c r="L621" s="5"/>
      <x:c r="M621" s="3"/>
      <x:c r="N621" s="3"/>
      <x:c r="O621" s="3"/>
      <x:c r="P621" s="9"/>
      <x:c r="Q621" s="9"/>
      <x:c r="R621" s="9"/>
      <x:c r="S621" s="9"/>
      <x:c r="T621" s="9"/>
      <x:c r="U621" s="9"/>
      <x:c r="V621" s="9"/>
      <x:c r="W621" s="9"/>
      <x:c r="X621" s="9"/>
      <x:c r="Y621" s="9"/>
      <x:c r="Z621" s="9"/>
    </x:row>
    <x:row r="622" ht="14.25" customHeight="1">
      <x:c r="K622" s="5"/>
      <x:c r="L622" s="5"/>
      <x:c r="M622" s="3"/>
      <x:c r="N622" s="3"/>
      <x:c r="O622" s="3"/>
      <x:c r="P622" s="9"/>
      <x:c r="Q622" s="9"/>
      <x:c r="R622" s="9"/>
      <x:c r="S622" s="9"/>
      <x:c r="T622" s="9"/>
      <x:c r="U622" s="9"/>
      <x:c r="V622" s="9"/>
      <x:c r="W622" s="9"/>
      <x:c r="X622" s="9"/>
      <x:c r="Y622" s="9"/>
      <x:c r="Z622" s="9"/>
    </x:row>
    <x:row r="623" ht="14.25" customHeight="1">
      <x:c r="K623" s="5"/>
      <x:c r="L623" s="5"/>
      <x:c r="M623" s="3"/>
      <x:c r="N623" s="3"/>
      <x:c r="O623" s="3"/>
      <x:c r="P623" s="9"/>
      <x:c r="Q623" s="9"/>
      <x:c r="R623" s="9"/>
      <x:c r="S623" s="9"/>
      <x:c r="T623" s="9"/>
      <x:c r="U623" s="9"/>
      <x:c r="V623" s="9"/>
      <x:c r="W623" s="9"/>
      <x:c r="X623" s="9"/>
      <x:c r="Y623" s="9"/>
      <x:c r="Z623" s="9"/>
    </x:row>
    <x:row r="624" ht="14.25" customHeight="1">
      <x:c r="K624" s="5"/>
      <x:c r="L624" s="5"/>
      <x:c r="M624" s="3"/>
      <x:c r="N624" s="3"/>
      <x:c r="O624" s="3"/>
      <x:c r="P624" s="9"/>
      <x:c r="Q624" s="9"/>
      <x:c r="R624" s="9"/>
      <x:c r="S624" s="9"/>
      <x:c r="T624" s="9"/>
      <x:c r="U624" s="9"/>
      <x:c r="V624" s="9"/>
      <x:c r="W624" s="9"/>
      <x:c r="X624" s="9"/>
      <x:c r="Y624" s="9"/>
      <x:c r="Z624" s="9"/>
    </x:row>
    <x:row r="625" ht="14.25" customHeight="1">
      <x:c r="K625" s="5"/>
      <x:c r="L625" s="5"/>
      <x:c r="M625" s="3"/>
      <x:c r="N625" s="3"/>
      <x:c r="O625" s="3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</x:row>
    <x:row r="626" ht="14.25" customHeight="1">
      <x:c r="K626" s="5"/>
      <x:c r="L626" s="5"/>
      <x:c r="M626" s="3"/>
      <x:c r="N626" s="3"/>
      <x:c r="O626" s="3"/>
      <x:c r="P626" s="9"/>
      <x:c r="Q626" s="9"/>
      <x:c r="R626" s="9"/>
      <x:c r="S626" s="9"/>
      <x:c r="T626" s="9"/>
      <x:c r="U626" s="9"/>
      <x:c r="V626" s="9"/>
      <x:c r="W626" s="9"/>
      <x:c r="X626" s="9"/>
      <x:c r="Y626" s="9"/>
      <x:c r="Z626" s="9"/>
    </x:row>
    <x:row r="627" ht="14.25" customHeight="1">
      <x:c r="K627" s="5"/>
      <x:c r="L627" s="5"/>
      <x:c r="M627" s="3"/>
      <x:c r="N627" s="3"/>
      <x:c r="O627" s="3"/>
      <x:c r="P627" s="9"/>
      <x:c r="Q627" s="9"/>
      <x:c r="R627" s="9"/>
      <x:c r="S627" s="9"/>
      <x:c r="T627" s="9"/>
      <x:c r="U627" s="9"/>
      <x:c r="V627" s="9"/>
      <x:c r="W627" s="9"/>
      <x:c r="X627" s="9"/>
      <x:c r="Y627" s="9"/>
      <x:c r="Z627" s="9"/>
    </x:row>
    <x:row r="628" ht="14.25" customHeight="1">
      <x:c r="K628" s="5"/>
      <x:c r="L628" s="5"/>
      <x:c r="M628" s="3"/>
      <x:c r="N628" s="3"/>
      <x:c r="O628" s="3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</x:row>
    <x:row r="629" ht="14.25" customHeight="1">
      <x:c r="K629" s="5"/>
      <x:c r="L629" s="5"/>
      <x:c r="M629" s="3"/>
      <x:c r="N629" s="3"/>
      <x:c r="O629" s="3"/>
      <x:c r="P629" s="9"/>
      <x:c r="Q629" s="9"/>
      <x:c r="R629" s="9"/>
      <x:c r="S629" s="9"/>
      <x:c r="T629" s="9"/>
      <x:c r="U629" s="9"/>
      <x:c r="V629" s="9"/>
      <x:c r="W629" s="9"/>
      <x:c r="X629" s="9"/>
      <x:c r="Y629" s="9"/>
      <x:c r="Z629" s="9"/>
    </x:row>
    <x:row r="630" ht="14.25" customHeight="1">
      <x:c r="K630" s="5"/>
      <x:c r="L630" s="5"/>
      <x:c r="M630" s="3"/>
      <x:c r="N630" s="3"/>
      <x:c r="O630" s="3"/>
      <x:c r="P630" s="9"/>
      <x:c r="Q630" s="9"/>
      <x:c r="R630" s="9"/>
      <x:c r="S630" s="9"/>
      <x:c r="T630" s="9"/>
      <x:c r="U630" s="9"/>
      <x:c r="V630" s="9"/>
      <x:c r="W630" s="9"/>
      <x:c r="X630" s="9"/>
      <x:c r="Y630" s="9"/>
      <x:c r="Z630" s="9"/>
    </x:row>
    <x:row r="631" ht="14.25" customHeight="1">
      <x:c r="K631" s="5"/>
      <x:c r="L631" s="5"/>
      <x:c r="M631" s="3"/>
      <x:c r="N631" s="3"/>
      <x:c r="O631" s="3"/>
      <x:c r="P631" s="9"/>
      <x:c r="Q631" s="9"/>
      <x:c r="R631" s="9"/>
      <x:c r="S631" s="9"/>
      <x:c r="T631" s="9"/>
      <x:c r="U631" s="9"/>
      <x:c r="V631" s="9"/>
      <x:c r="W631" s="9"/>
      <x:c r="X631" s="9"/>
      <x:c r="Y631" s="9"/>
      <x:c r="Z631" s="9"/>
    </x:row>
    <x:row r="632" ht="14.25" customHeight="1">
      <x:c r="K632" s="5"/>
      <x:c r="L632" s="5"/>
      <x:c r="M632" s="3"/>
      <x:c r="N632" s="3"/>
      <x:c r="O632" s="3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</x:row>
    <x:row r="633" ht="14.25" customHeight="1">
      <x:c r="K633" s="5"/>
      <x:c r="L633" s="5"/>
      <x:c r="M633" s="3"/>
      <x:c r="N633" s="3"/>
      <x:c r="O633" s="3"/>
      <x:c r="P633" s="9"/>
      <x:c r="Q633" s="9"/>
      <x:c r="R633" s="9"/>
      <x:c r="S633" s="9"/>
      <x:c r="T633" s="9"/>
      <x:c r="U633" s="9"/>
      <x:c r="V633" s="9"/>
      <x:c r="W633" s="9"/>
      <x:c r="X633" s="9"/>
      <x:c r="Y633" s="9"/>
      <x:c r="Z633" s="9"/>
    </x:row>
    <x:row r="634" ht="14.25" customHeight="1">
      <x:c r="K634" s="5"/>
      <x:c r="L634" s="5"/>
      <x:c r="M634" s="3"/>
      <x:c r="N634" s="3"/>
      <x:c r="O634" s="3"/>
      <x:c r="P634" s="9"/>
      <x:c r="Q634" s="9"/>
      <x:c r="R634" s="9"/>
      <x:c r="S634" s="9"/>
      <x:c r="T634" s="9"/>
      <x:c r="U634" s="9"/>
      <x:c r="V634" s="9"/>
      <x:c r="W634" s="9"/>
      <x:c r="X634" s="9"/>
      <x:c r="Y634" s="9"/>
      <x:c r="Z634" s="9"/>
    </x:row>
    <x:row r="635" ht="14.25" customHeight="1">
      <x:c r="K635" s="5"/>
      <x:c r="L635" s="5"/>
      <x:c r="M635" s="3"/>
      <x:c r="N635" s="3"/>
      <x:c r="O635" s="3"/>
      <x:c r="P635" s="9"/>
      <x:c r="Q635" s="9"/>
      <x:c r="R635" s="9"/>
      <x:c r="S635" s="9"/>
      <x:c r="T635" s="9"/>
      <x:c r="U635" s="9"/>
      <x:c r="V635" s="9"/>
      <x:c r="W635" s="9"/>
      <x:c r="X635" s="9"/>
      <x:c r="Y635" s="9"/>
      <x:c r="Z635" s="9"/>
    </x:row>
    <x:row r="636" ht="14.25" customHeight="1">
      <x:c r="K636" s="5"/>
      <x:c r="L636" s="5"/>
      <x:c r="M636" s="3"/>
      <x:c r="N636" s="3"/>
      <x:c r="O636" s="3"/>
      <x:c r="P636" s="9"/>
      <x:c r="Q636" s="9"/>
      <x:c r="R636" s="9"/>
      <x:c r="S636" s="9"/>
      <x:c r="T636" s="9"/>
      <x:c r="U636" s="9"/>
      <x:c r="V636" s="9"/>
      <x:c r="W636" s="9"/>
      <x:c r="X636" s="9"/>
      <x:c r="Y636" s="9"/>
      <x:c r="Z636" s="9"/>
    </x:row>
    <x:row r="637" ht="14.25" customHeight="1">
      <x:c r="K637" s="5"/>
      <x:c r="L637" s="5"/>
      <x:c r="M637" s="3"/>
      <x:c r="N637" s="3"/>
      <x:c r="O637" s="3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</x:row>
    <x:row r="638" ht="14.25" customHeight="1">
      <x:c r="K638" s="5"/>
      <x:c r="L638" s="5"/>
      <x:c r="M638" s="3"/>
      <x:c r="N638" s="3"/>
      <x:c r="O638" s="3"/>
      <x:c r="P638" s="9"/>
      <x:c r="Q638" s="9"/>
      <x:c r="R638" s="9"/>
      <x:c r="S638" s="9"/>
      <x:c r="T638" s="9"/>
      <x:c r="U638" s="9"/>
      <x:c r="V638" s="9"/>
      <x:c r="W638" s="9"/>
      <x:c r="X638" s="9"/>
      <x:c r="Y638" s="9"/>
      <x:c r="Z638" s="9"/>
    </x:row>
    <x:row r="639" ht="14.25" customHeight="1">
      <x:c r="K639" s="5"/>
      <x:c r="L639" s="5"/>
      <x:c r="M639" s="3"/>
      <x:c r="N639" s="3"/>
      <x:c r="O639" s="3"/>
      <x:c r="P639" s="9"/>
      <x:c r="Q639" s="9"/>
      <x:c r="R639" s="9"/>
      <x:c r="S639" s="9"/>
      <x:c r="T639" s="9"/>
      <x:c r="U639" s="9"/>
      <x:c r="V639" s="9"/>
      <x:c r="W639" s="9"/>
      <x:c r="X639" s="9"/>
      <x:c r="Y639" s="9"/>
      <x:c r="Z639" s="9"/>
    </x:row>
    <x:row r="640" ht="14.25" customHeight="1">
      <x:c r="K640" s="5"/>
      <x:c r="L640" s="5"/>
      <x:c r="M640" s="3"/>
      <x:c r="N640" s="3"/>
      <x:c r="O640" s="3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</x:row>
    <x:row r="641" ht="14.25" customHeight="1">
      <x:c r="K641" s="5"/>
      <x:c r="L641" s="5"/>
      <x:c r="M641" s="3"/>
      <x:c r="N641" s="3"/>
      <x:c r="O641" s="3"/>
      <x:c r="P641" s="9"/>
      <x:c r="Q641" s="9"/>
      <x:c r="R641" s="9"/>
      <x:c r="S641" s="9"/>
      <x:c r="T641" s="9"/>
      <x:c r="U641" s="9"/>
      <x:c r="V641" s="9"/>
      <x:c r="W641" s="9"/>
      <x:c r="X641" s="9"/>
      <x:c r="Y641" s="9"/>
      <x:c r="Z641" s="9"/>
    </x:row>
    <x:row r="642" ht="14.25" customHeight="1">
      <x:c r="K642" s="5"/>
      <x:c r="L642" s="5"/>
      <x:c r="M642" s="3"/>
      <x:c r="N642" s="3"/>
      <x:c r="O642" s="3"/>
      <x:c r="P642" s="9"/>
      <x:c r="Q642" s="9"/>
      <x:c r="R642" s="9"/>
      <x:c r="S642" s="9"/>
      <x:c r="T642" s="9"/>
      <x:c r="U642" s="9"/>
      <x:c r="V642" s="9"/>
      <x:c r="W642" s="9"/>
      <x:c r="X642" s="9"/>
      <x:c r="Y642" s="9"/>
      <x:c r="Z642" s="9"/>
    </x:row>
    <x:row r="643" ht="14.25" customHeight="1">
      <x:c r="K643" s="5"/>
      <x:c r="L643" s="5"/>
      <x:c r="M643" s="3"/>
      <x:c r="N643" s="3"/>
      <x:c r="O643" s="3"/>
      <x:c r="P643" s="9"/>
      <x:c r="Q643" s="9"/>
      <x:c r="R643" s="9"/>
      <x:c r="S643" s="9"/>
      <x:c r="T643" s="9"/>
      <x:c r="U643" s="9"/>
      <x:c r="V643" s="9"/>
      <x:c r="W643" s="9"/>
      <x:c r="X643" s="9"/>
      <x:c r="Y643" s="9"/>
      <x:c r="Z643" s="9"/>
    </x:row>
    <x:row r="644" ht="14.25" customHeight="1">
      <x:c r="K644" s="5"/>
      <x:c r="L644" s="5"/>
      <x:c r="M644" s="3"/>
      <x:c r="N644" s="3"/>
      <x:c r="O644" s="3"/>
      <x:c r="P644" s="9"/>
      <x:c r="Q644" s="9"/>
      <x:c r="R644" s="9"/>
      <x:c r="S644" s="9"/>
      <x:c r="T644" s="9"/>
      <x:c r="U644" s="9"/>
      <x:c r="V644" s="9"/>
      <x:c r="W644" s="9"/>
      <x:c r="X644" s="9"/>
      <x:c r="Y644" s="9"/>
      <x:c r="Z644" s="9"/>
    </x:row>
    <x:row r="645" ht="14.25" customHeight="1">
      <x:c r="K645" s="5"/>
      <x:c r="L645" s="5"/>
      <x:c r="M645" s="3"/>
      <x:c r="N645" s="3"/>
      <x:c r="O645" s="3"/>
      <x:c r="P645" s="9"/>
      <x:c r="Q645" s="9"/>
      <x:c r="R645" s="9"/>
      <x:c r="S645" s="9"/>
      <x:c r="T645" s="9"/>
      <x:c r="U645" s="9"/>
      <x:c r="V645" s="9"/>
      <x:c r="W645" s="9"/>
      <x:c r="X645" s="9"/>
      <x:c r="Y645" s="9"/>
      <x:c r="Z645" s="9"/>
    </x:row>
    <x:row r="646" ht="14.25" customHeight="1">
      <x:c r="K646" s="5"/>
      <x:c r="L646" s="5"/>
      <x:c r="M646" s="3"/>
      <x:c r="N646" s="3"/>
      <x:c r="O646" s="3"/>
      <x:c r="P646" s="9"/>
      <x:c r="Q646" s="9"/>
      <x:c r="R646" s="9"/>
      <x:c r="S646" s="9"/>
      <x:c r="T646" s="9"/>
      <x:c r="U646" s="9"/>
      <x:c r="V646" s="9"/>
      <x:c r="W646" s="9"/>
      <x:c r="X646" s="9"/>
      <x:c r="Y646" s="9"/>
      <x:c r="Z646" s="9"/>
    </x:row>
    <x:row r="647" ht="14.25" customHeight="1">
      <x:c r="K647" s="5"/>
      <x:c r="L647" s="5"/>
      <x:c r="M647" s="3"/>
      <x:c r="N647" s="3"/>
      <x:c r="O647" s="3"/>
      <x:c r="P647" s="9"/>
      <x:c r="Q647" s="9"/>
      <x:c r="R647" s="9"/>
      <x:c r="S647" s="9"/>
      <x:c r="T647" s="9"/>
      <x:c r="U647" s="9"/>
      <x:c r="V647" s="9"/>
      <x:c r="W647" s="9"/>
      <x:c r="X647" s="9"/>
      <x:c r="Y647" s="9"/>
      <x:c r="Z647" s="9"/>
    </x:row>
    <x:row r="648" ht="14.25" customHeight="1">
      <x:c r="K648" s="5"/>
      <x:c r="L648" s="5"/>
      <x:c r="M648" s="3"/>
      <x:c r="N648" s="3"/>
      <x:c r="O648" s="3"/>
      <x:c r="P648" s="9"/>
      <x:c r="Q648" s="9"/>
      <x:c r="R648" s="9"/>
      <x:c r="S648" s="9"/>
      <x:c r="T648" s="9"/>
      <x:c r="U648" s="9"/>
      <x:c r="V648" s="9"/>
      <x:c r="W648" s="9"/>
      <x:c r="X648" s="9"/>
      <x:c r="Y648" s="9"/>
      <x:c r="Z648" s="9"/>
    </x:row>
    <x:row r="649" ht="14.25" customHeight="1">
      <x:c r="K649" s="5"/>
      <x:c r="L649" s="5"/>
      <x:c r="M649" s="3"/>
      <x:c r="N649" s="3"/>
      <x:c r="O649" s="3"/>
      <x:c r="P649" s="9"/>
      <x:c r="Q649" s="9"/>
      <x:c r="R649" s="9"/>
      <x:c r="S649" s="9"/>
      <x:c r="T649" s="9"/>
      <x:c r="U649" s="9"/>
      <x:c r="V649" s="9"/>
      <x:c r="W649" s="9"/>
      <x:c r="X649" s="9"/>
      <x:c r="Y649" s="9"/>
      <x:c r="Z649" s="9"/>
    </x:row>
    <x:row r="650" ht="14.25" customHeight="1">
      <x:c r="K650" s="5"/>
      <x:c r="L650" s="5"/>
      <x:c r="M650" s="3"/>
      <x:c r="N650" s="3"/>
      <x:c r="O650" s="3"/>
      <x:c r="P650" s="9"/>
      <x:c r="Q650" s="9"/>
      <x:c r="R650" s="9"/>
      <x:c r="S650" s="9"/>
      <x:c r="T650" s="9"/>
      <x:c r="U650" s="9"/>
      <x:c r="V650" s="9"/>
      <x:c r="W650" s="9"/>
      <x:c r="X650" s="9"/>
      <x:c r="Y650" s="9"/>
      <x:c r="Z650" s="9"/>
    </x:row>
    <x:row r="651" ht="14.25" customHeight="1">
      <x:c r="K651" s="5"/>
      <x:c r="L651" s="5"/>
      <x:c r="M651" s="3"/>
      <x:c r="N651" s="3"/>
      <x:c r="O651" s="3"/>
      <x:c r="P651" s="9"/>
      <x:c r="Q651" s="9"/>
      <x:c r="R651" s="9"/>
      <x:c r="S651" s="9"/>
      <x:c r="T651" s="9"/>
      <x:c r="U651" s="9"/>
      <x:c r="V651" s="9"/>
      <x:c r="W651" s="9"/>
      <x:c r="X651" s="9"/>
      <x:c r="Y651" s="9"/>
      <x:c r="Z651" s="9"/>
    </x:row>
    <x:row r="652" ht="14.25" customHeight="1">
      <x:c r="K652" s="5"/>
      <x:c r="L652" s="5"/>
      <x:c r="M652" s="3"/>
      <x:c r="N652" s="3"/>
      <x:c r="O652" s="3"/>
      <x:c r="P652" s="9"/>
      <x:c r="Q652" s="9"/>
      <x:c r="R652" s="9"/>
      <x:c r="S652" s="9"/>
      <x:c r="T652" s="9"/>
      <x:c r="U652" s="9"/>
      <x:c r="V652" s="9"/>
      <x:c r="W652" s="9"/>
      <x:c r="X652" s="9"/>
      <x:c r="Y652" s="9"/>
      <x:c r="Z652" s="9"/>
    </x:row>
    <x:row r="653" ht="14.25" customHeight="1">
      <x:c r="K653" s="5"/>
      <x:c r="L653" s="5"/>
      <x:c r="M653" s="3"/>
      <x:c r="N653" s="3"/>
      <x:c r="O653" s="3"/>
      <x:c r="P653" s="9"/>
      <x:c r="Q653" s="9"/>
      <x:c r="R653" s="9"/>
      <x:c r="S653" s="9"/>
      <x:c r="T653" s="9"/>
      <x:c r="U653" s="9"/>
      <x:c r="V653" s="9"/>
      <x:c r="W653" s="9"/>
      <x:c r="X653" s="9"/>
      <x:c r="Y653" s="9"/>
      <x:c r="Z653" s="9"/>
    </x:row>
    <x:row r="654" ht="14.25" customHeight="1">
      <x:c r="K654" s="5"/>
      <x:c r="L654" s="5"/>
      <x:c r="M654" s="3"/>
      <x:c r="N654" s="3"/>
      <x:c r="O654" s="3"/>
      <x:c r="P654" s="9"/>
      <x:c r="Q654" s="9"/>
      <x:c r="R654" s="9"/>
      <x:c r="S654" s="9"/>
      <x:c r="T654" s="9"/>
      <x:c r="U654" s="9"/>
      <x:c r="V654" s="9"/>
      <x:c r="W654" s="9"/>
      <x:c r="X654" s="9"/>
      <x:c r="Y654" s="9"/>
      <x:c r="Z654" s="9"/>
    </x:row>
    <x:row r="655" ht="14.25" customHeight="1">
      <x:c r="K655" s="5"/>
      <x:c r="L655" s="5"/>
      <x:c r="M655" s="3"/>
      <x:c r="N655" s="3"/>
      <x:c r="O655" s="3"/>
      <x:c r="P655" s="9"/>
      <x:c r="Q655" s="9"/>
      <x:c r="R655" s="9"/>
      <x:c r="S655" s="9"/>
      <x:c r="T655" s="9"/>
      <x:c r="U655" s="9"/>
      <x:c r="V655" s="9"/>
      <x:c r="W655" s="9"/>
      <x:c r="X655" s="9"/>
      <x:c r="Y655" s="9"/>
      <x:c r="Z655" s="9"/>
    </x:row>
    <x:row r="656" ht="14.25" customHeight="1">
      <x:c r="K656" s="5"/>
      <x:c r="L656" s="5"/>
      <x:c r="M656" s="3"/>
      <x:c r="N656" s="3"/>
      <x:c r="O656" s="3"/>
      <x:c r="P656" s="9"/>
      <x:c r="Q656" s="9"/>
      <x:c r="R656" s="9"/>
      <x:c r="S656" s="9"/>
      <x:c r="T656" s="9"/>
      <x:c r="U656" s="9"/>
      <x:c r="V656" s="9"/>
      <x:c r="W656" s="9"/>
      <x:c r="X656" s="9"/>
      <x:c r="Y656" s="9"/>
      <x:c r="Z656" s="9"/>
    </x:row>
    <x:row r="657" ht="14.25" customHeight="1">
      <x:c r="K657" s="5"/>
      <x:c r="L657" s="5"/>
      <x:c r="M657" s="3"/>
      <x:c r="N657" s="3"/>
      <x:c r="O657" s="3"/>
      <x:c r="P657" s="9"/>
      <x:c r="Q657" s="9"/>
      <x:c r="R657" s="9"/>
      <x:c r="S657" s="9"/>
      <x:c r="T657" s="9"/>
      <x:c r="U657" s="9"/>
      <x:c r="V657" s="9"/>
      <x:c r="W657" s="9"/>
      <x:c r="X657" s="9"/>
      <x:c r="Y657" s="9"/>
      <x:c r="Z657" s="9"/>
    </x:row>
    <x:row r="658" ht="14.25" customHeight="1">
      <x:c r="K658" s="5"/>
      <x:c r="L658" s="5"/>
      <x:c r="M658" s="3"/>
      <x:c r="N658" s="3"/>
      <x:c r="O658" s="3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</x:row>
    <x:row r="659" ht="14.25" customHeight="1">
      <x:c r="K659" s="5"/>
      <x:c r="L659" s="5"/>
      <x:c r="M659" s="3"/>
      <x:c r="N659" s="3"/>
      <x:c r="O659" s="3"/>
      <x:c r="P659" s="9"/>
      <x:c r="Q659" s="9"/>
      <x:c r="R659" s="9"/>
      <x:c r="S659" s="9"/>
      <x:c r="T659" s="9"/>
      <x:c r="U659" s="9"/>
      <x:c r="V659" s="9"/>
      <x:c r="W659" s="9"/>
      <x:c r="X659" s="9"/>
      <x:c r="Y659" s="9"/>
      <x:c r="Z659" s="9"/>
    </x:row>
    <x:row r="660" ht="14.25" customHeight="1">
      <x:c r="K660" s="5"/>
      <x:c r="L660" s="5"/>
      <x:c r="M660" s="3"/>
      <x:c r="N660" s="3"/>
      <x:c r="O660" s="3"/>
      <x:c r="P660" s="9"/>
      <x:c r="Q660" s="9"/>
      <x:c r="R660" s="9"/>
      <x:c r="S660" s="9"/>
      <x:c r="T660" s="9"/>
      <x:c r="U660" s="9"/>
      <x:c r="V660" s="9"/>
      <x:c r="W660" s="9"/>
      <x:c r="X660" s="9"/>
      <x:c r="Y660" s="9"/>
      <x:c r="Z660" s="9"/>
    </x:row>
    <x:row r="661" ht="14.25" customHeight="1">
      <x:c r="K661" s="5"/>
      <x:c r="L661" s="5"/>
      <x:c r="M661" s="3"/>
      <x:c r="N661" s="3"/>
      <x:c r="O661" s="3"/>
      <x:c r="P661" s="9"/>
      <x:c r="Q661" s="9"/>
      <x:c r="R661" s="9"/>
      <x:c r="S661" s="9"/>
      <x:c r="T661" s="9"/>
      <x:c r="U661" s="9"/>
      <x:c r="V661" s="9"/>
      <x:c r="W661" s="9"/>
      <x:c r="X661" s="9"/>
      <x:c r="Y661" s="9"/>
      <x:c r="Z661" s="9"/>
    </x:row>
    <x:row r="662" ht="14.25" customHeight="1">
      <x:c r="K662" s="5"/>
      <x:c r="L662" s="5"/>
      <x:c r="M662" s="3"/>
      <x:c r="N662" s="3"/>
      <x:c r="O662" s="3"/>
      <x:c r="P662" s="9"/>
      <x:c r="Q662" s="9"/>
      <x:c r="R662" s="9"/>
      <x:c r="S662" s="9"/>
      <x:c r="T662" s="9"/>
      <x:c r="U662" s="9"/>
      <x:c r="V662" s="9"/>
      <x:c r="W662" s="9"/>
      <x:c r="X662" s="9"/>
      <x:c r="Y662" s="9"/>
      <x:c r="Z662" s="9"/>
    </x:row>
    <x:row r="663" ht="14.25" customHeight="1">
      <x:c r="K663" s="5"/>
      <x:c r="L663" s="5"/>
      <x:c r="M663" s="3"/>
      <x:c r="N663" s="3"/>
      <x:c r="O663" s="3"/>
      <x:c r="P663" s="9"/>
      <x:c r="Q663" s="9"/>
      <x:c r="R663" s="9"/>
      <x:c r="S663" s="9"/>
      <x:c r="T663" s="9"/>
      <x:c r="U663" s="9"/>
      <x:c r="V663" s="9"/>
      <x:c r="W663" s="9"/>
      <x:c r="X663" s="9"/>
      <x:c r="Y663" s="9"/>
      <x:c r="Z663" s="9"/>
    </x:row>
    <x:row r="664" ht="14.25" customHeight="1">
      <x:c r="K664" s="5"/>
      <x:c r="L664" s="5"/>
      <x:c r="M664" s="3"/>
      <x:c r="N664" s="3"/>
      <x:c r="O664" s="3"/>
      <x:c r="P664" s="9"/>
      <x:c r="Q664" s="9"/>
      <x:c r="R664" s="9"/>
      <x:c r="S664" s="9"/>
      <x:c r="T664" s="9"/>
      <x:c r="U664" s="9"/>
      <x:c r="V664" s="9"/>
      <x:c r="W664" s="9"/>
      <x:c r="X664" s="9"/>
      <x:c r="Y664" s="9"/>
      <x:c r="Z664" s="9"/>
    </x:row>
    <x:row r="665" ht="14.25" customHeight="1">
      <x:c r="K665" s="5"/>
      <x:c r="L665" s="5"/>
      <x:c r="M665" s="3"/>
      <x:c r="N665" s="3"/>
      <x:c r="O665" s="3"/>
      <x:c r="P665" s="9"/>
      <x:c r="Q665" s="9"/>
      <x:c r="R665" s="9"/>
      <x:c r="S665" s="9"/>
      <x:c r="T665" s="9"/>
      <x:c r="U665" s="9"/>
      <x:c r="V665" s="9"/>
      <x:c r="W665" s="9"/>
      <x:c r="X665" s="9"/>
      <x:c r="Y665" s="9"/>
      <x:c r="Z665" s="9"/>
    </x:row>
    <x:row r="666" ht="14.25" customHeight="1">
      <x:c r="K666" s="5"/>
      <x:c r="L666" s="5"/>
      <x:c r="M666" s="3"/>
      <x:c r="N666" s="3"/>
      <x:c r="O666" s="3"/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</x:row>
    <x:row r="667" ht="14.25" customHeight="1">
      <x:c r="K667" s="5"/>
      <x:c r="L667" s="5"/>
      <x:c r="M667" s="3"/>
      <x:c r="N667" s="3"/>
      <x:c r="O667" s="3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</x:row>
    <x:row r="668" ht="14.25" customHeight="1">
      <x:c r="K668" s="5"/>
      <x:c r="L668" s="5"/>
      <x:c r="M668" s="3"/>
      <x:c r="N668" s="3"/>
      <x:c r="O668" s="3"/>
      <x:c r="P668" s="9"/>
      <x:c r="Q668" s="9"/>
      <x:c r="R668" s="9"/>
      <x:c r="S668" s="9"/>
      <x:c r="T668" s="9"/>
      <x:c r="U668" s="9"/>
      <x:c r="V668" s="9"/>
      <x:c r="W668" s="9"/>
      <x:c r="X668" s="9"/>
      <x:c r="Y668" s="9"/>
      <x:c r="Z668" s="9"/>
    </x:row>
    <x:row r="669" ht="14.25" customHeight="1">
      <x:c r="K669" s="5"/>
      <x:c r="L669" s="5"/>
      <x:c r="M669" s="3"/>
      <x:c r="N669" s="3"/>
      <x:c r="O669" s="3"/>
      <x:c r="P669" s="9"/>
      <x:c r="Q669" s="9"/>
      <x:c r="R669" s="9"/>
      <x:c r="S669" s="9"/>
      <x:c r="T669" s="9"/>
      <x:c r="U669" s="9"/>
      <x:c r="V669" s="9"/>
      <x:c r="W669" s="9"/>
      <x:c r="X669" s="9"/>
      <x:c r="Y669" s="9"/>
      <x:c r="Z669" s="9"/>
    </x:row>
    <x:row r="670" ht="14.25" customHeight="1">
      <x:c r="K670" s="5"/>
      <x:c r="L670" s="5"/>
      <x:c r="M670" s="3"/>
      <x:c r="N670" s="3"/>
      <x:c r="O670" s="3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</x:row>
    <x:row r="671" ht="14.25" customHeight="1">
      <x:c r="K671" s="5"/>
      <x:c r="L671" s="5"/>
      <x:c r="M671" s="3"/>
      <x:c r="N671" s="3"/>
      <x:c r="O671" s="3"/>
      <x:c r="P671" s="9"/>
      <x:c r="Q671" s="9"/>
      <x:c r="R671" s="9"/>
      <x:c r="S671" s="9"/>
      <x:c r="T671" s="9"/>
      <x:c r="U671" s="9"/>
      <x:c r="V671" s="9"/>
      <x:c r="W671" s="9"/>
      <x:c r="X671" s="9"/>
      <x:c r="Y671" s="9"/>
      <x:c r="Z671" s="9"/>
    </x:row>
    <x:row r="672" ht="14.25" customHeight="1">
      <x:c r="K672" s="5"/>
      <x:c r="L672" s="5"/>
      <x:c r="M672" s="3"/>
      <x:c r="N672" s="3"/>
      <x:c r="O672" s="3"/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</x:row>
    <x:row r="673" ht="14.25" customHeight="1">
      <x:c r="K673" s="5"/>
      <x:c r="L673" s="5"/>
      <x:c r="M673" s="3"/>
      <x:c r="N673" s="3"/>
      <x:c r="O673" s="3"/>
      <x:c r="P673" s="9"/>
      <x:c r="Q673" s="9"/>
      <x:c r="R673" s="9"/>
      <x:c r="S673" s="9"/>
      <x:c r="T673" s="9"/>
      <x:c r="U673" s="9"/>
      <x:c r="V673" s="9"/>
      <x:c r="W673" s="9"/>
      <x:c r="X673" s="9"/>
      <x:c r="Y673" s="9"/>
      <x:c r="Z673" s="9"/>
    </x:row>
    <x:row r="674" ht="14.25" customHeight="1">
      <x:c r="K674" s="5"/>
      <x:c r="L674" s="5"/>
      <x:c r="M674" s="3"/>
      <x:c r="N674" s="3"/>
      <x:c r="O674" s="3"/>
      <x:c r="P674" s="9"/>
      <x:c r="Q674" s="9"/>
      <x:c r="R674" s="9"/>
      <x:c r="S674" s="9"/>
      <x:c r="T674" s="9"/>
      <x:c r="U674" s="9"/>
      <x:c r="V674" s="9"/>
      <x:c r="W674" s="9"/>
      <x:c r="X674" s="9"/>
      <x:c r="Y674" s="9"/>
      <x:c r="Z674" s="9"/>
    </x:row>
    <x:row r="675" ht="14.25" customHeight="1">
      <x:c r="K675" s="5"/>
      <x:c r="L675" s="5"/>
      <x:c r="M675" s="3"/>
      <x:c r="N675" s="3"/>
      <x:c r="O675" s="3"/>
      <x:c r="P675" s="9"/>
      <x:c r="Q675" s="9"/>
      <x:c r="R675" s="9"/>
      <x:c r="S675" s="9"/>
      <x:c r="T675" s="9"/>
      <x:c r="U675" s="9"/>
      <x:c r="V675" s="9"/>
      <x:c r="W675" s="9"/>
      <x:c r="X675" s="9"/>
      <x:c r="Y675" s="9"/>
      <x:c r="Z675" s="9"/>
    </x:row>
    <x:row r="676" ht="14.25" customHeight="1">
      <x:c r="K676" s="5"/>
      <x:c r="L676" s="5"/>
      <x:c r="M676" s="3"/>
      <x:c r="N676" s="3"/>
      <x:c r="O676" s="3"/>
      <x:c r="P676" s="9"/>
      <x:c r="Q676" s="9"/>
      <x:c r="R676" s="9"/>
      <x:c r="S676" s="9"/>
      <x:c r="T676" s="9"/>
      <x:c r="U676" s="9"/>
      <x:c r="V676" s="9"/>
      <x:c r="W676" s="9"/>
      <x:c r="X676" s="9"/>
      <x:c r="Y676" s="9"/>
      <x:c r="Z676" s="9"/>
    </x:row>
    <x:row r="677" ht="14.25" customHeight="1">
      <x:c r="K677" s="5"/>
      <x:c r="L677" s="5"/>
      <x:c r="M677" s="3"/>
      <x:c r="N677" s="3"/>
      <x:c r="O677" s="3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</x:row>
    <x:row r="678" ht="14.25" customHeight="1">
      <x:c r="K678" s="5"/>
      <x:c r="L678" s="5"/>
      <x:c r="M678" s="3"/>
      <x:c r="N678" s="3"/>
      <x:c r="O678" s="3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</x:row>
    <x:row r="679" ht="14.25" customHeight="1">
      <x:c r="K679" s="5"/>
      <x:c r="L679" s="5"/>
      <x:c r="M679" s="3"/>
      <x:c r="N679" s="3"/>
      <x:c r="O679" s="3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</x:row>
    <x:row r="680" ht="14.25" customHeight="1">
      <x:c r="K680" s="5"/>
      <x:c r="L680" s="5"/>
      <x:c r="M680" s="3"/>
      <x:c r="N680" s="3"/>
      <x:c r="O680" s="3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</x:row>
    <x:row r="681" ht="14.25" customHeight="1">
      <x:c r="K681" s="5"/>
      <x:c r="L681" s="5"/>
      <x:c r="M681" s="3"/>
      <x:c r="N681" s="3"/>
      <x:c r="O681" s="3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</x:row>
    <x:row r="682" ht="14.25" customHeight="1">
      <x:c r="K682" s="5"/>
      <x:c r="L682" s="5"/>
      <x:c r="M682" s="3"/>
      <x:c r="N682" s="3"/>
      <x:c r="O682" s="3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</x:row>
    <x:row r="683" ht="14.25" customHeight="1">
      <x:c r="K683" s="5"/>
      <x:c r="L683" s="5"/>
      <x:c r="M683" s="3"/>
      <x:c r="N683" s="3"/>
      <x:c r="O683" s="3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</x:row>
    <x:row r="684" ht="14.25" customHeight="1">
      <x:c r="K684" s="5"/>
      <x:c r="L684" s="5"/>
      <x:c r="M684" s="3"/>
      <x:c r="N684" s="3"/>
      <x:c r="O684" s="3"/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</x:row>
    <x:row r="685" ht="14.25" customHeight="1">
      <x:c r="K685" s="5"/>
      <x:c r="L685" s="5"/>
      <x:c r="M685" s="3"/>
      <x:c r="N685" s="3"/>
      <x:c r="O685" s="3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</x:row>
    <x:row r="686" ht="14.25" customHeight="1">
      <x:c r="K686" s="5"/>
      <x:c r="L686" s="5"/>
      <x:c r="M686" s="3"/>
      <x:c r="N686" s="3"/>
      <x:c r="O686" s="3"/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</x:row>
    <x:row r="687" ht="14.25" customHeight="1">
      <x:c r="K687" s="5"/>
      <x:c r="L687" s="5"/>
      <x:c r="M687" s="3"/>
      <x:c r="N687" s="3"/>
      <x:c r="O687" s="3"/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</x:row>
    <x:row r="688" ht="14.25" customHeight="1">
      <x:c r="K688" s="5"/>
      <x:c r="L688" s="5"/>
      <x:c r="M688" s="3"/>
      <x:c r="N688" s="3"/>
      <x:c r="O688" s="3"/>
      <x:c r="P688" s="9"/>
      <x:c r="Q688" s="9"/>
      <x:c r="R688" s="9"/>
      <x:c r="S688" s="9"/>
      <x:c r="T688" s="9"/>
      <x:c r="U688" s="9"/>
      <x:c r="V688" s="9"/>
      <x:c r="W688" s="9"/>
      <x:c r="X688" s="9"/>
      <x:c r="Y688" s="9"/>
      <x:c r="Z688" s="9"/>
    </x:row>
    <x:row r="689" ht="14.25" customHeight="1">
      <x:c r="K689" s="5"/>
      <x:c r="L689" s="5"/>
      <x:c r="M689" s="3"/>
      <x:c r="N689" s="3"/>
      <x:c r="O689" s="3"/>
      <x:c r="P689" s="9"/>
      <x:c r="Q689" s="9"/>
      <x:c r="R689" s="9"/>
      <x:c r="S689" s="9"/>
      <x:c r="T689" s="9"/>
      <x:c r="U689" s="9"/>
      <x:c r="V689" s="9"/>
      <x:c r="W689" s="9"/>
      <x:c r="X689" s="9"/>
      <x:c r="Y689" s="9"/>
      <x:c r="Z689" s="9"/>
    </x:row>
    <x:row r="690" ht="14.25" customHeight="1">
      <x:c r="K690" s="5"/>
      <x:c r="L690" s="5"/>
      <x:c r="M690" s="3"/>
      <x:c r="N690" s="3"/>
      <x:c r="O690" s="3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</x:row>
    <x:row r="691" ht="14.25" customHeight="1">
      <x:c r="K691" s="5"/>
      <x:c r="L691" s="5"/>
      <x:c r="M691" s="3"/>
      <x:c r="N691" s="3"/>
      <x:c r="O691" s="3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</x:row>
    <x:row r="692" ht="14.25" customHeight="1">
      <x:c r="K692" s="5"/>
      <x:c r="L692" s="5"/>
      <x:c r="M692" s="3"/>
      <x:c r="N692" s="3"/>
      <x:c r="O692" s="3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</x:row>
    <x:row r="693" ht="14.25" customHeight="1">
      <x:c r="K693" s="5"/>
      <x:c r="L693" s="5"/>
      <x:c r="M693" s="3"/>
      <x:c r="N693" s="3"/>
      <x:c r="O693" s="3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</x:row>
    <x:row r="694" ht="14.25" customHeight="1">
      <x:c r="K694" s="5"/>
      <x:c r="L694" s="5"/>
      <x:c r="M694" s="3"/>
      <x:c r="N694" s="3"/>
      <x:c r="O694" s="3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</x:row>
    <x:row r="695" ht="14.25" customHeight="1">
      <x:c r="K695" s="5"/>
      <x:c r="L695" s="5"/>
      <x:c r="M695" s="3"/>
      <x:c r="N695" s="3"/>
      <x:c r="O695" s="3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</x:row>
    <x:row r="696" ht="14.25" customHeight="1">
      <x:c r="K696" s="5"/>
      <x:c r="L696" s="5"/>
      <x:c r="M696" s="3"/>
      <x:c r="N696" s="3"/>
      <x:c r="O696" s="3"/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</x:row>
    <x:row r="697" ht="14.25" customHeight="1">
      <x:c r="K697" s="5"/>
      <x:c r="L697" s="5"/>
      <x:c r="M697" s="3"/>
      <x:c r="N697" s="3"/>
      <x:c r="O697" s="3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</x:row>
    <x:row r="698" ht="14.25" customHeight="1">
      <x:c r="K698" s="5"/>
      <x:c r="L698" s="5"/>
      <x:c r="M698" s="3"/>
      <x:c r="N698" s="3"/>
      <x:c r="O698" s="3"/>
      <x:c r="P698" s="9"/>
      <x:c r="Q698" s="9"/>
      <x:c r="R698" s="9"/>
      <x:c r="S698" s="9"/>
      <x:c r="T698" s="9"/>
      <x:c r="U698" s="9"/>
      <x:c r="V698" s="9"/>
      <x:c r="W698" s="9"/>
      <x:c r="X698" s="9"/>
      <x:c r="Y698" s="9"/>
      <x:c r="Z698" s="9"/>
    </x:row>
    <x:row r="699" ht="14.25" customHeight="1">
      <x:c r="K699" s="5"/>
      <x:c r="L699" s="5"/>
      <x:c r="M699" s="3"/>
      <x:c r="N699" s="3"/>
      <x:c r="O699" s="3"/>
      <x:c r="P699" s="9"/>
      <x:c r="Q699" s="9"/>
      <x:c r="R699" s="9"/>
      <x:c r="S699" s="9"/>
      <x:c r="T699" s="9"/>
      <x:c r="U699" s="9"/>
      <x:c r="V699" s="9"/>
      <x:c r="W699" s="9"/>
      <x:c r="X699" s="9"/>
      <x:c r="Y699" s="9"/>
      <x:c r="Z699" s="9"/>
    </x:row>
    <x:row r="700" ht="14.25" customHeight="1">
      <x:c r="K700" s="5"/>
      <x:c r="L700" s="5"/>
      <x:c r="M700" s="3"/>
      <x:c r="N700" s="3"/>
      <x:c r="O700" s="3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</x:row>
    <x:row r="701" ht="14.25" customHeight="1">
      <x:c r="K701" s="5"/>
      <x:c r="L701" s="5"/>
      <x:c r="M701" s="3"/>
      <x:c r="N701" s="3"/>
      <x:c r="O701" s="3"/>
      <x:c r="P701" s="9"/>
      <x:c r="Q701" s="9"/>
      <x:c r="R701" s="9"/>
      <x:c r="S701" s="9"/>
      <x:c r="T701" s="9"/>
      <x:c r="U701" s="9"/>
      <x:c r="V701" s="9"/>
      <x:c r="W701" s="9"/>
      <x:c r="X701" s="9"/>
      <x:c r="Y701" s="9"/>
      <x:c r="Z701" s="9"/>
    </x:row>
    <x:row r="702" ht="14.25" customHeight="1">
      <x:c r="K702" s="5"/>
      <x:c r="L702" s="5"/>
      <x:c r="M702" s="3"/>
      <x:c r="N702" s="3"/>
      <x:c r="O702" s="3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</x:row>
    <x:row r="703" ht="14.25" customHeight="1">
      <x:c r="K703" s="5"/>
      <x:c r="L703" s="5"/>
      <x:c r="M703" s="3"/>
      <x:c r="N703" s="3"/>
      <x:c r="O703" s="3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</x:row>
    <x:row r="704" ht="14.25" customHeight="1">
      <x:c r="K704" s="5"/>
      <x:c r="L704" s="5"/>
      <x:c r="M704" s="3"/>
      <x:c r="N704" s="3"/>
      <x:c r="O704" s="3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</x:row>
    <x:row r="705" ht="14.25" customHeight="1">
      <x:c r="K705" s="5"/>
      <x:c r="L705" s="5"/>
      <x:c r="M705" s="3"/>
      <x:c r="N705" s="3"/>
      <x:c r="O705" s="3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</x:row>
    <x:row r="706" ht="14.25" customHeight="1">
      <x:c r="K706" s="5"/>
      <x:c r="L706" s="5"/>
      <x:c r="M706" s="3"/>
      <x:c r="N706" s="3"/>
      <x:c r="O706" s="3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</x:row>
    <x:row r="707" ht="14.25" customHeight="1">
      <x:c r="K707" s="5"/>
      <x:c r="L707" s="5"/>
      <x:c r="M707" s="3"/>
      <x:c r="N707" s="3"/>
      <x:c r="O707" s="3"/>
      <x:c r="P707" s="9"/>
      <x:c r="Q707" s="9"/>
      <x:c r="R707" s="9"/>
      <x:c r="S707" s="9"/>
      <x:c r="T707" s="9"/>
      <x:c r="U707" s="9"/>
      <x:c r="V707" s="9"/>
      <x:c r="W707" s="9"/>
      <x:c r="X707" s="9"/>
      <x:c r="Y707" s="9"/>
      <x:c r="Z707" s="9"/>
    </x:row>
    <x:row r="708" ht="14.25" customHeight="1">
      <x:c r="K708" s="5"/>
      <x:c r="L708" s="5"/>
      <x:c r="M708" s="3"/>
      <x:c r="N708" s="3"/>
      <x:c r="O708" s="3"/>
      <x:c r="P708" s="9"/>
      <x:c r="Q708" s="9"/>
      <x:c r="R708" s="9"/>
      <x:c r="S708" s="9"/>
      <x:c r="T708" s="9"/>
      <x:c r="U708" s="9"/>
      <x:c r="V708" s="9"/>
      <x:c r="W708" s="9"/>
      <x:c r="X708" s="9"/>
      <x:c r="Y708" s="9"/>
      <x:c r="Z708" s="9"/>
    </x:row>
    <x:row r="709" ht="14.25" customHeight="1">
      <x:c r="K709" s="5"/>
      <x:c r="L709" s="5"/>
      <x:c r="M709" s="3"/>
      <x:c r="N709" s="3"/>
      <x:c r="O709" s="3"/>
      <x:c r="P709" s="9"/>
      <x:c r="Q709" s="9"/>
      <x:c r="R709" s="9"/>
      <x:c r="S709" s="9"/>
      <x:c r="T709" s="9"/>
      <x:c r="U709" s="9"/>
      <x:c r="V709" s="9"/>
      <x:c r="W709" s="9"/>
      <x:c r="X709" s="9"/>
      <x:c r="Y709" s="9"/>
      <x:c r="Z709" s="9"/>
    </x:row>
    <x:row r="710" ht="14.25" customHeight="1">
      <x:c r="K710" s="5"/>
      <x:c r="L710" s="5"/>
      <x:c r="M710" s="3"/>
      <x:c r="N710" s="3"/>
      <x:c r="O710" s="3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</x:row>
    <x:row r="711" ht="14.25" customHeight="1">
      <x:c r="K711" s="5"/>
      <x:c r="L711" s="5"/>
      <x:c r="M711" s="3"/>
      <x:c r="N711" s="3"/>
      <x:c r="O711" s="3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</x:row>
    <x:row r="712" ht="14.25" customHeight="1">
      <x:c r="K712" s="5"/>
      <x:c r="L712" s="5"/>
      <x:c r="M712" s="3"/>
      <x:c r="N712" s="3"/>
      <x:c r="O712" s="3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</x:row>
    <x:row r="713" ht="14.25" customHeight="1">
      <x:c r="K713" s="5"/>
      <x:c r="L713" s="5"/>
      <x:c r="M713" s="3"/>
      <x:c r="N713" s="3"/>
      <x:c r="O713" s="3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</x:row>
    <x:row r="714" ht="14.25" customHeight="1">
      <x:c r="K714" s="5"/>
      <x:c r="L714" s="5"/>
      <x:c r="M714" s="3"/>
      <x:c r="N714" s="3"/>
      <x:c r="O714" s="3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</x:row>
    <x:row r="715" ht="14.25" customHeight="1">
      <x:c r="K715" s="5"/>
      <x:c r="L715" s="5"/>
      <x:c r="M715" s="3"/>
      <x:c r="N715" s="3"/>
      <x:c r="O715" s="3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</x:row>
    <x:row r="716" ht="14.25" customHeight="1">
      <x:c r="K716" s="5"/>
      <x:c r="L716" s="5"/>
      <x:c r="M716" s="3"/>
      <x:c r="N716" s="3"/>
      <x:c r="O716" s="3"/>
      <x:c r="P716" s="9"/>
      <x:c r="Q716" s="9"/>
      <x:c r="R716" s="9"/>
      <x:c r="S716" s="9"/>
      <x:c r="T716" s="9"/>
      <x:c r="U716" s="9"/>
      <x:c r="V716" s="9"/>
      <x:c r="W716" s="9"/>
      <x:c r="X716" s="9"/>
      <x:c r="Y716" s="9"/>
      <x:c r="Z716" s="9"/>
    </x:row>
    <x:row r="717" ht="14.25" customHeight="1">
      <x:c r="K717" s="5"/>
      <x:c r="L717" s="5"/>
      <x:c r="M717" s="3"/>
      <x:c r="N717" s="3"/>
      <x:c r="O717" s="3"/>
      <x:c r="P717" s="9"/>
      <x:c r="Q717" s="9"/>
      <x:c r="R717" s="9"/>
      <x:c r="S717" s="9"/>
      <x:c r="T717" s="9"/>
      <x:c r="U717" s="9"/>
      <x:c r="V717" s="9"/>
      <x:c r="W717" s="9"/>
      <x:c r="X717" s="9"/>
      <x:c r="Y717" s="9"/>
      <x:c r="Z717" s="9"/>
    </x:row>
    <x:row r="718" ht="14.25" customHeight="1">
      <x:c r="K718" s="5"/>
      <x:c r="L718" s="5"/>
      <x:c r="M718" s="3"/>
      <x:c r="N718" s="3"/>
      <x:c r="O718" s="3"/>
      <x:c r="P718" s="9"/>
      <x:c r="Q718" s="9"/>
      <x:c r="R718" s="9"/>
      <x:c r="S718" s="9"/>
      <x:c r="T718" s="9"/>
      <x:c r="U718" s="9"/>
      <x:c r="V718" s="9"/>
      <x:c r="W718" s="9"/>
      <x:c r="X718" s="9"/>
      <x:c r="Y718" s="9"/>
      <x:c r="Z718" s="9"/>
    </x:row>
    <x:row r="719" ht="14.25" customHeight="1">
      <x:c r="K719" s="5"/>
      <x:c r="L719" s="5"/>
      <x:c r="M719" s="3"/>
      <x:c r="N719" s="3"/>
      <x:c r="O719" s="3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</x:row>
    <x:row r="720" ht="14.25" customHeight="1">
      <x:c r="K720" s="5"/>
      <x:c r="L720" s="5"/>
      <x:c r="M720" s="3"/>
      <x:c r="N720" s="3"/>
      <x:c r="O720" s="3"/>
      <x:c r="P720" s="9"/>
      <x:c r="Q720" s="9"/>
      <x:c r="R720" s="9"/>
      <x:c r="S720" s="9"/>
      <x:c r="T720" s="9"/>
      <x:c r="U720" s="9"/>
      <x:c r="V720" s="9"/>
      <x:c r="W720" s="9"/>
      <x:c r="X720" s="9"/>
      <x:c r="Y720" s="9"/>
      <x:c r="Z720" s="9"/>
    </x:row>
    <x:row r="721" ht="14.25" customHeight="1">
      <x:c r="K721" s="5"/>
      <x:c r="L721" s="5"/>
      <x:c r="M721" s="3"/>
      <x:c r="N721" s="3"/>
      <x:c r="O721" s="3"/>
      <x:c r="P721" s="9"/>
      <x:c r="Q721" s="9"/>
      <x:c r="R721" s="9"/>
      <x:c r="S721" s="9"/>
      <x:c r="T721" s="9"/>
      <x:c r="U721" s="9"/>
      <x:c r="V721" s="9"/>
      <x:c r="W721" s="9"/>
      <x:c r="X721" s="9"/>
      <x:c r="Y721" s="9"/>
      <x:c r="Z721" s="9"/>
    </x:row>
    <x:row r="722" ht="14.25" customHeight="1">
      <x:c r="K722" s="5"/>
      <x:c r="L722" s="5"/>
      <x:c r="M722" s="3"/>
      <x:c r="N722" s="3"/>
      <x:c r="O722" s="3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</x:row>
    <x:row r="723" ht="14.25" customHeight="1">
      <x:c r="K723" s="5"/>
      <x:c r="L723" s="5"/>
      <x:c r="M723" s="3"/>
      <x:c r="N723" s="3"/>
      <x:c r="O723" s="3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</x:row>
    <x:row r="724" ht="14.25" customHeight="1">
      <x:c r="K724" s="5"/>
      <x:c r="L724" s="5"/>
      <x:c r="M724" s="3"/>
      <x:c r="N724" s="3"/>
      <x:c r="O724" s="3"/>
      <x:c r="P724" s="9"/>
      <x:c r="Q724" s="9"/>
      <x:c r="R724" s="9"/>
      <x:c r="S724" s="9"/>
      <x:c r="T724" s="9"/>
      <x:c r="U724" s="9"/>
      <x:c r="V724" s="9"/>
      <x:c r="W724" s="9"/>
      <x:c r="X724" s="9"/>
      <x:c r="Y724" s="9"/>
      <x:c r="Z724" s="9"/>
    </x:row>
    <x:row r="725" ht="14.25" customHeight="1">
      <x:c r="K725" s="5"/>
      <x:c r="L725" s="5"/>
      <x:c r="M725" s="3"/>
      <x:c r="N725" s="3"/>
      <x:c r="O725" s="3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</x:row>
    <x:row r="726" ht="14.25" customHeight="1">
      <x:c r="K726" s="5"/>
      <x:c r="L726" s="5"/>
      <x:c r="M726" s="3"/>
      <x:c r="N726" s="3"/>
      <x:c r="O726" s="3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</x:row>
    <x:row r="727" ht="14.25" customHeight="1">
      <x:c r="K727" s="5"/>
      <x:c r="L727" s="5"/>
      <x:c r="M727" s="3"/>
      <x:c r="N727" s="3"/>
      <x:c r="O727" s="3"/>
      <x:c r="P727" s="9"/>
      <x:c r="Q727" s="9"/>
      <x:c r="R727" s="9"/>
      <x:c r="S727" s="9"/>
      <x:c r="T727" s="9"/>
      <x:c r="U727" s="9"/>
      <x:c r="V727" s="9"/>
      <x:c r="W727" s="9"/>
      <x:c r="X727" s="9"/>
      <x:c r="Y727" s="9"/>
      <x:c r="Z727" s="9"/>
    </x:row>
    <x:row r="728" ht="14.25" customHeight="1">
      <x:c r="K728" s="5"/>
      <x:c r="L728" s="5"/>
      <x:c r="M728" s="3"/>
      <x:c r="N728" s="3"/>
      <x:c r="O728" s="3"/>
      <x:c r="P728" s="9"/>
      <x:c r="Q728" s="9"/>
      <x:c r="R728" s="9"/>
      <x:c r="S728" s="9"/>
      <x:c r="T728" s="9"/>
      <x:c r="U728" s="9"/>
      <x:c r="V728" s="9"/>
      <x:c r="W728" s="9"/>
      <x:c r="X728" s="9"/>
      <x:c r="Y728" s="9"/>
      <x:c r="Z728" s="9"/>
    </x:row>
    <x:row r="729" ht="14.25" customHeight="1">
      <x:c r="K729" s="5"/>
      <x:c r="L729" s="5"/>
      <x:c r="M729" s="3"/>
      <x:c r="N729" s="3"/>
      <x:c r="O729" s="3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</x:row>
    <x:row r="730" ht="14.25" customHeight="1">
      <x:c r="K730" s="5"/>
      <x:c r="L730" s="5"/>
      <x:c r="M730" s="3"/>
      <x:c r="N730" s="3"/>
      <x:c r="O730" s="3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</x:row>
    <x:row r="731" ht="14.25" customHeight="1">
      <x:c r="K731" s="5"/>
      <x:c r="L731" s="5"/>
      <x:c r="M731" s="3"/>
      <x:c r="N731" s="3"/>
      <x:c r="O731" s="3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</x:row>
    <x:row r="732" ht="14.25" customHeight="1">
      <x:c r="K732" s="5"/>
      <x:c r="L732" s="5"/>
      <x:c r="M732" s="3"/>
      <x:c r="N732" s="3"/>
      <x:c r="O732" s="3"/>
      <x:c r="P732" s="9"/>
      <x:c r="Q732" s="9"/>
      <x:c r="R732" s="9"/>
      <x:c r="S732" s="9"/>
      <x:c r="T732" s="9"/>
      <x:c r="U732" s="9"/>
      <x:c r="V732" s="9"/>
      <x:c r="W732" s="9"/>
      <x:c r="X732" s="9"/>
      <x:c r="Y732" s="9"/>
      <x:c r="Z732" s="9"/>
    </x:row>
    <x:row r="733" ht="14.25" customHeight="1">
      <x:c r="K733" s="5"/>
      <x:c r="L733" s="5"/>
      <x:c r="M733" s="3"/>
      <x:c r="N733" s="3"/>
      <x:c r="O733" s="3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</x:row>
    <x:row r="734" ht="14.25" customHeight="1">
      <x:c r="K734" s="5"/>
      <x:c r="L734" s="5"/>
      <x:c r="M734" s="3"/>
      <x:c r="N734" s="3"/>
      <x:c r="O734" s="3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</x:row>
    <x:row r="735" ht="14.25" customHeight="1">
      <x:c r="K735" s="5"/>
      <x:c r="L735" s="5"/>
      <x:c r="M735" s="3"/>
      <x:c r="N735" s="3"/>
      <x:c r="O735" s="3"/>
      <x:c r="P735" s="9"/>
      <x:c r="Q735" s="9"/>
      <x:c r="R735" s="9"/>
      <x:c r="S735" s="9"/>
      <x:c r="T735" s="9"/>
      <x:c r="U735" s="9"/>
      <x:c r="V735" s="9"/>
      <x:c r="W735" s="9"/>
      <x:c r="X735" s="9"/>
      <x:c r="Y735" s="9"/>
      <x:c r="Z735" s="9"/>
    </x:row>
    <x:row r="736" ht="14.25" customHeight="1">
      <x:c r="K736" s="5"/>
      <x:c r="L736" s="5"/>
      <x:c r="M736" s="3"/>
      <x:c r="N736" s="3"/>
      <x:c r="O736" s="3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</x:row>
    <x:row r="737" ht="14.25" customHeight="1">
      <x:c r="K737" s="5"/>
      <x:c r="L737" s="5"/>
      <x:c r="M737" s="3"/>
      <x:c r="N737" s="3"/>
      <x:c r="O737" s="3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</x:row>
    <x:row r="738" ht="14.25" customHeight="1">
      <x:c r="K738" s="5"/>
      <x:c r="L738" s="5"/>
      <x:c r="M738" s="3"/>
      <x:c r="N738" s="3"/>
      <x:c r="O738" s="3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/>
    </x:row>
    <x:row r="739" ht="14.25" customHeight="1">
      <x:c r="K739" s="5"/>
      <x:c r="L739" s="5"/>
      <x:c r="M739" s="3"/>
      <x:c r="N739" s="3"/>
      <x:c r="O739" s="3"/>
      <x:c r="P739" s="9"/>
      <x:c r="Q739" s="9"/>
      <x:c r="R739" s="9"/>
      <x:c r="S739" s="9"/>
      <x:c r="T739" s="9"/>
      <x:c r="U739" s="9"/>
      <x:c r="V739" s="9"/>
      <x:c r="W739" s="9"/>
      <x:c r="X739" s="9"/>
      <x:c r="Y739" s="9"/>
      <x:c r="Z739" s="9"/>
    </x:row>
    <x:row r="740" ht="14.25" customHeight="1">
      <x:c r="K740" s="5"/>
      <x:c r="L740" s="5"/>
      <x:c r="M740" s="3"/>
      <x:c r="N740" s="3"/>
      <x:c r="O740" s="3"/>
      <x:c r="P740" s="9"/>
      <x:c r="Q740" s="9"/>
      <x:c r="R740" s="9"/>
      <x:c r="S740" s="9"/>
      <x:c r="T740" s="9"/>
      <x:c r="U740" s="9"/>
      <x:c r="V740" s="9"/>
      <x:c r="W740" s="9"/>
      <x:c r="X740" s="9"/>
      <x:c r="Y740" s="9"/>
      <x:c r="Z740" s="9"/>
    </x:row>
    <x:row r="741" ht="14.25" customHeight="1">
      <x:c r="K741" s="5"/>
      <x:c r="L741" s="5"/>
      <x:c r="M741" s="3"/>
      <x:c r="N741" s="3"/>
      <x:c r="O741" s="3"/>
      <x:c r="P741" s="9"/>
      <x:c r="Q741" s="9"/>
      <x:c r="R741" s="9"/>
      <x:c r="S741" s="9"/>
      <x:c r="T741" s="9"/>
      <x:c r="U741" s="9"/>
      <x:c r="V741" s="9"/>
      <x:c r="W741" s="9"/>
      <x:c r="X741" s="9"/>
      <x:c r="Y741" s="9"/>
      <x:c r="Z741" s="9"/>
    </x:row>
    <x:row r="742" ht="14.25" customHeight="1">
      <x:c r="K742" s="5"/>
      <x:c r="L742" s="5"/>
      <x:c r="M742" s="3"/>
      <x:c r="N742" s="3"/>
      <x:c r="O742" s="3"/>
      <x:c r="P742" s="9"/>
      <x:c r="Q742" s="9"/>
      <x:c r="R742" s="9"/>
      <x:c r="S742" s="9"/>
      <x:c r="T742" s="9"/>
      <x:c r="U742" s="9"/>
      <x:c r="V742" s="9"/>
      <x:c r="W742" s="9"/>
      <x:c r="X742" s="9"/>
      <x:c r="Y742" s="9"/>
      <x:c r="Z742" s="9"/>
    </x:row>
    <x:row r="743" ht="14.25" customHeight="1">
      <x:c r="K743" s="5"/>
      <x:c r="L743" s="5"/>
      <x:c r="M743" s="3"/>
      <x:c r="N743" s="3"/>
      <x:c r="O743" s="3"/>
      <x:c r="P743" s="9"/>
      <x:c r="Q743" s="9"/>
      <x:c r="R743" s="9"/>
      <x:c r="S743" s="9"/>
      <x:c r="T743" s="9"/>
      <x:c r="U743" s="9"/>
      <x:c r="V743" s="9"/>
      <x:c r="W743" s="9"/>
      <x:c r="X743" s="9"/>
      <x:c r="Y743" s="9"/>
      <x:c r="Z743" s="9"/>
    </x:row>
    <x:row r="744" ht="14.25" customHeight="1">
      <x:c r="K744" s="5"/>
      <x:c r="L744" s="5"/>
      <x:c r="M744" s="3"/>
      <x:c r="N744" s="3"/>
      <x:c r="O744" s="3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</x:row>
    <x:row r="745" ht="14.25" customHeight="1">
      <x:c r="K745" s="5"/>
      <x:c r="L745" s="5"/>
      <x:c r="M745" s="3"/>
      <x:c r="N745" s="3"/>
      <x:c r="O745" s="3"/>
      <x:c r="P745" s="9"/>
      <x:c r="Q745" s="9"/>
      <x:c r="R745" s="9"/>
      <x:c r="S745" s="9"/>
      <x:c r="T745" s="9"/>
      <x:c r="U745" s="9"/>
      <x:c r="V745" s="9"/>
      <x:c r="W745" s="9"/>
      <x:c r="X745" s="9"/>
      <x:c r="Y745" s="9"/>
      <x:c r="Z745" s="9"/>
    </x:row>
    <x:row r="746" ht="14.25" customHeight="1">
      <x:c r="K746" s="5"/>
      <x:c r="L746" s="5"/>
      <x:c r="M746" s="3"/>
      <x:c r="N746" s="3"/>
      <x:c r="O746" s="3"/>
      <x:c r="P746" s="9"/>
      <x:c r="Q746" s="9"/>
      <x:c r="R746" s="9"/>
      <x:c r="S746" s="9"/>
      <x:c r="T746" s="9"/>
      <x:c r="U746" s="9"/>
      <x:c r="V746" s="9"/>
      <x:c r="W746" s="9"/>
      <x:c r="X746" s="9"/>
      <x:c r="Y746" s="9"/>
      <x:c r="Z746" s="9"/>
    </x:row>
    <x:row r="747" ht="14.25" customHeight="1">
      <x:c r="K747" s="5"/>
      <x:c r="L747" s="5"/>
      <x:c r="M747" s="3"/>
      <x:c r="N747" s="3"/>
      <x:c r="O747" s="3"/>
      <x:c r="P747" s="9"/>
      <x:c r="Q747" s="9"/>
      <x:c r="R747" s="9"/>
      <x:c r="S747" s="9"/>
      <x:c r="T747" s="9"/>
      <x:c r="U747" s="9"/>
      <x:c r="V747" s="9"/>
      <x:c r="W747" s="9"/>
      <x:c r="X747" s="9"/>
      <x:c r="Y747" s="9"/>
      <x:c r="Z747" s="9"/>
    </x:row>
    <x:row r="748" ht="14.25" customHeight="1">
      <x:c r="K748" s="5"/>
      <x:c r="L748" s="5"/>
      <x:c r="M748" s="3"/>
      <x:c r="N748" s="3"/>
      <x:c r="O748" s="3"/>
      <x:c r="P748" s="9"/>
      <x:c r="Q748" s="9"/>
      <x:c r="R748" s="9"/>
      <x:c r="S748" s="9"/>
      <x:c r="T748" s="9"/>
      <x:c r="U748" s="9"/>
      <x:c r="V748" s="9"/>
      <x:c r="W748" s="9"/>
      <x:c r="X748" s="9"/>
      <x:c r="Y748" s="9"/>
      <x:c r="Z748" s="9"/>
    </x:row>
    <x:row r="749" ht="14.25" customHeight="1">
      <x:c r="K749" s="5"/>
      <x:c r="L749" s="5"/>
      <x:c r="M749" s="3"/>
      <x:c r="N749" s="3"/>
      <x:c r="O749" s="3"/>
      <x:c r="P749" s="9"/>
      <x:c r="Q749" s="9"/>
      <x:c r="R749" s="9"/>
      <x:c r="S749" s="9"/>
      <x:c r="T749" s="9"/>
      <x:c r="U749" s="9"/>
      <x:c r="V749" s="9"/>
      <x:c r="W749" s="9"/>
      <x:c r="X749" s="9"/>
      <x:c r="Y749" s="9"/>
      <x:c r="Z749" s="9"/>
    </x:row>
    <x:row r="750" ht="14.25" customHeight="1">
      <x:c r="K750" s="5"/>
      <x:c r="L750" s="5"/>
      <x:c r="M750" s="3"/>
      <x:c r="N750" s="3"/>
      <x:c r="O750" s="3"/>
      <x:c r="P750" s="9"/>
      <x:c r="Q750" s="9"/>
      <x:c r="R750" s="9"/>
      <x:c r="S750" s="9"/>
      <x:c r="T750" s="9"/>
      <x:c r="U750" s="9"/>
      <x:c r="V750" s="9"/>
      <x:c r="W750" s="9"/>
      <x:c r="X750" s="9"/>
      <x:c r="Y750" s="9"/>
      <x:c r="Z750" s="9"/>
    </x:row>
    <x:row r="751" ht="14.25" customHeight="1">
      <x:c r="K751" s="5"/>
      <x:c r="L751" s="5"/>
      <x:c r="M751" s="3"/>
      <x:c r="N751" s="3"/>
      <x:c r="O751" s="3"/>
      <x:c r="P751" s="9"/>
      <x:c r="Q751" s="9"/>
      <x:c r="R751" s="9"/>
      <x:c r="S751" s="9"/>
      <x:c r="T751" s="9"/>
      <x:c r="U751" s="9"/>
      <x:c r="V751" s="9"/>
      <x:c r="W751" s="9"/>
      <x:c r="X751" s="9"/>
      <x:c r="Y751" s="9"/>
      <x:c r="Z751" s="9"/>
    </x:row>
    <x:row r="752" ht="14.25" customHeight="1">
      <x:c r="K752" s="5"/>
      <x:c r="L752" s="5"/>
      <x:c r="M752" s="3"/>
      <x:c r="N752" s="3"/>
      <x:c r="O752" s="3"/>
      <x:c r="P752" s="9"/>
      <x:c r="Q752" s="9"/>
      <x:c r="R752" s="9"/>
      <x:c r="S752" s="9"/>
      <x:c r="T752" s="9"/>
      <x:c r="U752" s="9"/>
      <x:c r="V752" s="9"/>
      <x:c r="W752" s="9"/>
      <x:c r="X752" s="9"/>
      <x:c r="Y752" s="9"/>
      <x:c r="Z752" s="9"/>
    </x:row>
    <x:row r="753" ht="14.25" customHeight="1">
      <x:c r="K753" s="5"/>
      <x:c r="L753" s="5"/>
      <x:c r="M753" s="3"/>
      <x:c r="N753" s="3"/>
      <x:c r="O753" s="3"/>
      <x:c r="P753" s="9"/>
      <x:c r="Q753" s="9"/>
      <x:c r="R753" s="9"/>
      <x:c r="S753" s="9"/>
      <x:c r="T753" s="9"/>
      <x:c r="U753" s="9"/>
      <x:c r="V753" s="9"/>
      <x:c r="W753" s="9"/>
      <x:c r="X753" s="9"/>
      <x:c r="Y753" s="9"/>
      <x:c r="Z753" s="9"/>
    </x:row>
    <x:row r="754" ht="14.25" customHeight="1">
      <x:c r="K754" s="5"/>
      <x:c r="L754" s="5"/>
      <x:c r="M754" s="3"/>
      <x:c r="N754" s="3"/>
      <x:c r="O754" s="3"/>
      <x:c r="P754" s="9"/>
      <x:c r="Q754" s="9"/>
      <x:c r="R754" s="9"/>
      <x:c r="S754" s="9"/>
      <x:c r="T754" s="9"/>
      <x:c r="U754" s="9"/>
      <x:c r="V754" s="9"/>
      <x:c r="W754" s="9"/>
      <x:c r="X754" s="9"/>
      <x:c r="Y754" s="9"/>
      <x:c r="Z754" s="9"/>
    </x:row>
    <x:row r="755" ht="14.25" customHeight="1">
      <x:c r="K755" s="5"/>
      <x:c r="L755" s="5"/>
      <x:c r="M755" s="3"/>
      <x:c r="N755" s="3"/>
      <x:c r="O755" s="3"/>
      <x:c r="P755" s="9"/>
      <x:c r="Q755" s="9"/>
      <x:c r="R755" s="9"/>
      <x:c r="S755" s="9"/>
      <x:c r="T755" s="9"/>
      <x:c r="U755" s="9"/>
      <x:c r="V755" s="9"/>
      <x:c r="W755" s="9"/>
      <x:c r="X755" s="9"/>
      <x:c r="Y755" s="9"/>
      <x:c r="Z755" s="9"/>
    </x:row>
    <x:row r="756" ht="14.25" customHeight="1">
      <x:c r="K756" s="5"/>
      <x:c r="L756" s="5"/>
      <x:c r="M756" s="3"/>
      <x:c r="N756" s="3"/>
      <x:c r="O756" s="3"/>
      <x:c r="P756" s="9"/>
      <x:c r="Q756" s="9"/>
      <x:c r="R756" s="9"/>
      <x:c r="S756" s="9"/>
      <x:c r="T756" s="9"/>
      <x:c r="U756" s="9"/>
      <x:c r="V756" s="9"/>
      <x:c r="W756" s="9"/>
      <x:c r="X756" s="9"/>
      <x:c r="Y756" s="9"/>
      <x:c r="Z756" s="9"/>
    </x:row>
    <x:row r="757" ht="14.25" customHeight="1">
      <x:c r="K757" s="5"/>
      <x:c r="L757" s="5"/>
      <x:c r="M757" s="3"/>
      <x:c r="N757" s="3"/>
      <x:c r="O757" s="3"/>
      <x:c r="P757" s="9"/>
      <x:c r="Q757" s="9"/>
      <x:c r="R757" s="9"/>
      <x:c r="S757" s="9"/>
      <x:c r="T757" s="9"/>
      <x:c r="U757" s="9"/>
      <x:c r="V757" s="9"/>
      <x:c r="W757" s="9"/>
      <x:c r="X757" s="9"/>
      <x:c r="Y757" s="9"/>
      <x:c r="Z757" s="9"/>
    </x:row>
    <x:row r="758" ht="14.25" customHeight="1">
      <x:c r="K758" s="5"/>
      <x:c r="L758" s="5"/>
      <x:c r="M758" s="3"/>
      <x:c r="N758" s="3"/>
      <x:c r="O758" s="3"/>
      <x:c r="P758" s="9"/>
      <x:c r="Q758" s="9"/>
      <x:c r="R758" s="9"/>
      <x:c r="S758" s="9"/>
      <x:c r="T758" s="9"/>
      <x:c r="U758" s="9"/>
      <x:c r="V758" s="9"/>
      <x:c r="W758" s="9"/>
      <x:c r="X758" s="9"/>
      <x:c r="Y758" s="9"/>
      <x:c r="Z758" s="9"/>
    </x:row>
    <x:row r="759" ht="14.25" customHeight="1">
      <x:c r="K759" s="5"/>
      <x:c r="L759" s="5"/>
      <x:c r="M759" s="3"/>
      <x:c r="N759" s="3"/>
      <x:c r="O759" s="3"/>
      <x:c r="P759" s="9"/>
      <x:c r="Q759" s="9"/>
      <x:c r="R759" s="9"/>
      <x:c r="S759" s="9"/>
      <x:c r="T759" s="9"/>
      <x:c r="U759" s="9"/>
      <x:c r="V759" s="9"/>
      <x:c r="W759" s="9"/>
      <x:c r="X759" s="9"/>
      <x:c r="Y759" s="9"/>
      <x:c r="Z759" s="9"/>
    </x:row>
    <x:row r="760" ht="14.25" customHeight="1">
      <x:c r="K760" s="5"/>
      <x:c r="L760" s="5"/>
      <x:c r="M760" s="3"/>
      <x:c r="N760" s="3"/>
      <x:c r="O760" s="3"/>
      <x:c r="P760" s="9"/>
      <x:c r="Q760" s="9"/>
      <x:c r="R760" s="9"/>
      <x:c r="S760" s="9"/>
      <x:c r="T760" s="9"/>
      <x:c r="U760" s="9"/>
      <x:c r="V760" s="9"/>
      <x:c r="W760" s="9"/>
      <x:c r="X760" s="9"/>
      <x:c r="Y760" s="9"/>
      <x:c r="Z760" s="9"/>
    </x:row>
    <x:row r="761" ht="14.25" customHeight="1">
      <x:c r="K761" s="5"/>
      <x:c r="L761" s="5"/>
      <x:c r="M761" s="3"/>
      <x:c r="N761" s="3"/>
      <x:c r="O761" s="3"/>
      <x:c r="P761" s="9"/>
      <x:c r="Q761" s="9"/>
      <x:c r="R761" s="9"/>
      <x:c r="S761" s="9"/>
      <x:c r="T761" s="9"/>
      <x:c r="U761" s="9"/>
      <x:c r="V761" s="9"/>
      <x:c r="W761" s="9"/>
      <x:c r="X761" s="9"/>
      <x:c r="Y761" s="9"/>
      <x:c r="Z761" s="9"/>
    </x:row>
    <x:row r="762" ht="14.25" customHeight="1">
      <x:c r="K762" s="5"/>
      <x:c r="L762" s="5"/>
      <x:c r="M762" s="3"/>
      <x:c r="N762" s="3"/>
      <x:c r="O762" s="3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</x:row>
    <x:row r="763" ht="14.25" customHeight="1">
      <x:c r="K763" s="5"/>
      <x:c r="L763" s="5"/>
      <x:c r="M763" s="3"/>
      <x:c r="N763" s="3"/>
      <x:c r="O763" s="3"/>
      <x:c r="P763" s="9"/>
      <x:c r="Q763" s="9"/>
      <x:c r="R763" s="9"/>
      <x:c r="S763" s="9"/>
      <x:c r="T763" s="9"/>
      <x:c r="U763" s="9"/>
      <x:c r="V763" s="9"/>
      <x:c r="W763" s="9"/>
      <x:c r="X763" s="9"/>
      <x:c r="Y763" s="9"/>
      <x:c r="Z763" s="9"/>
    </x:row>
    <x:row r="764" ht="14.25" customHeight="1">
      <x:c r="K764" s="5"/>
      <x:c r="L764" s="5"/>
      <x:c r="M764" s="3"/>
      <x:c r="N764" s="3"/>
      <x:c r="O764" s="3"/>
      <x:c r="P764" s="9"/>
      <x:c r="Q764" s="9"/>
      <x:c r="R764" s="9"/>
      <x:c r="S764" s="9"/>
      <x:c r="T764" s="9"/>
      <x:c r="U764" s="9"/>
      <x:c r="V764" s="9"/>
      <x:c r="W764" s="9"/>
      <x:c r="X764" s="9"/>
      <x:c r="Y764" s="9"/>
      <x:c r="Z764" s="9"/>
    </x:row>
    <x:row r="765" ht="14.25" customHeight="1">
      <x:c r="K765" s="5"/>
      <x:c r="L765" s="5"/>
      <x:c r="M765" s="3"/>
      <x:c r="N765" s="3"/>
      <x:c r="O765" s="3"/>
      <x:c r="P765" s="9"/>
      <x:c r="Q765" s="9"/>
      <x:c r="R765" s="9"/>
      <x:c r="S765" s="9"/>
      <x:c r="T765" s="9"/>
      <x:c r="U765" s="9"/>
      <x:c r="V765" s="9"/>
      <x:c r="W765" s="9"/>
      <x:c r="X765" s="9"/>
      <x:c r="Y765" s="9"/>
      <x:c r="Z765" s="9"/>
    </x:row>
    <x:row r="766" ht="14.25" customHeight="1">
      <x:c r="K766" s="5"/>
      <x:c r="L766" s="5"/>
      <x:c r="M766" s="3"/>
      <x:c r="N766" s="3"/>
      <x:c r="O766" s="3"/>
      <x:c r="P766" s="9"/>
      <x:c r="Q766" s="9"/>
      <x:c r="R766" s="9"/>
      <x:c r="S766" s="9"/>
      <x:c r="T766" s="9"/>
      <x:c r="U766" s="9"/>
      <x:c r="V766" s="9"/>
      <x:c r="W766" s="9"/>
      <x:c r="X766" s="9"/>
      <x:c r="Y766" s="9"/>
      <x:c r="Z766" s="9"/>
    </x:row>
    <x:row r="767" ht="14.25" customHeight="1">
      <x:c r="K767" s="5"/>
      <x:c r="L767" s="5"/>
      <x:c r="M767" s="3"/>
      <x:c r="N767" s="3"/>
      <x:c r="O767" s="3"/>
      <x:c r="P767" s="9"/>
      <x:c r="Q767" s="9"/>
      <x:c r="R767" s="9"/>
      <x:c r="S767" s="9"/>
      <x:c r="T767" s="9"/>
      <x:c r="U767" s="9"/>
      <x:c r="V767" s="9"/>
      <x:c r="W767" s="9"/>
      <x:c r="X767" s="9"/>
      <x:c r="Y767" s="9"/>
      <x:c r="Z767" s="9"/>
    </x:row>
    <x:row r="768" ht="14.25" customHeight="1">
      <x:c r="K768" s="5"/>
      <x:c r="L768" s="5"/>
      <x:c r="M768" s="3"/>
      <x:c r="N768" s="3"/>
      <x:c r="O768" s="3"/>
      <x:c r="P768" s="9"/>
      <x:c r="Q768" s="9"/>
      <x:c r="R768" s="9"/>
      <x:c r="S768" s="9"/>
      <x:c r="T768" s="9"/>
      <x:c r="U768" s="9"/>
      <x:c r="V768" s="9"/>
      <x:c r="W768" s="9"/>
      <x:c r="X768" s="9"/>
      <x:c r="Y768" s="9"/>
      <x:c r="Z768" s="9"/>
    </x:row>
    <x:row r="769" ht="14.25" customHeight="1">
      <x:c r="K769" s="5"/>
      <x:c r="L769" s="5"/>
      <x:c r="M769" s="3"/>
      <x:c r="N769" s="3"/>
      <x:c r="O769" s="3"/>
      <x:c r="P769" s="9"/>
      <x:c r="Q769" s="9"/>
      <x:c r="R769" s="9"/>
      <x:c r="S769" s="9"/>
      <x:c r="T769" s="9"/>
      <x:c r="U769" s="9"/>
      <x:c r="V769" s="9"/>
      <x:c r="W769" s="9"/>
      <x:c r="X769" s="9"/>
      <x:c r="Y769" s="9"/>
      <x:c r="Z769" s="9"/>
    </x:row>
    <x:row r="770" ht="14.25" customHeight="1">
      <x:c r="K770" s="5"/>
      <x:c r="L770" s="5"/>
      <x:c r="M770" s="3"/>
      <x:c r="N770" s="3"/>
      <x:c r="O770" s="3"/>
      <x:c r="P770" s="9"/>
      <x:c r="Q770" s="9"/>
      <x:c r="R770" s="9"/>
      <x:c r="S770" s="9"/>
      <x:c r="T770" s="9"/>
      <x:c r="U770" s="9"/>
      <x:c r="V770" s="9"/>
      <x:c r="W770" s="9"/>
      <x:c r="X770" s="9"/>
      <x:c r="Y770" s="9"/>
      <x:c r="Z770" s="9"/>
    </x:row>
    <x:row r="771" ht="14.25" customHeight="1">
      <x:c r="K771" s="5"/>
      <x:c r="L771" s="5"/>
      <x:c r="M771" s="3"/>
      <x:c r="N771" s="3"/>
      <x:c r="O771" s="3"/>
      <x:c r="P771" s="9"/>
      <x:c r="Q771" s="9"/>
      <x:c r="R771" s="9"/>
      <x:c r="S771" s="9"/>
      <x:c r="T771" s="9"/>
      <x:c r="U771" s="9"/>
      <x:c r="V771" s="9"/>
      <x:c r="W771" s="9"/>
      <x:c r="X771" s="9"/>
      <x:c r="Y771" s="9"/>
      <x:c r="Z771" s="9"/>
    </x:row>
    <x:row r="772" ht="14.25" customHeight="1">
      <x:c r="K772" s="5"/>
      <x:c r="L772" s="5"/>
      <x:c r="M772" s="3"/>
      <x:c r="N772" s="3"/>
      <x:c r="O772" s="3"/>
      <x:c r="P772" s="9"/>
      <x:c r="Q772" s="9"/>
      <x:c r="R772" s="9"/>
      <x:c r="S772" s="9"/>
      <x:c r="T772" s="9"/>
      <x:c r="U772" s="9"/>
      <x:c r="V772" s="9"/>
      <x:c r="W772" s="9"/>
      <x:c r="X772" s="9"/>
      <x:c r="Y772" s="9"/>
      <x:c r="Z772" s="9"/>
    </x:row>
    <x:row r="773" ht="14.25" customHeight="1">
      <x:c r="K773" s="5"/>
      <x:c r="L773" s="5"/>
      <x:c r="M773" s="3"/>
      <x:c r="N773" s="3"/>
      <x:c r="O773" s="3"/>
      <x:c r="P773" s="9"/>
      <x:c r="Q773" s="9"/>
      <x:c r="R773" s="9"/>
      <x:c r="S773" s="9"/>
      <x:c r="T773" s="9"/>
      <x:c r="U773" s="9"/>
      <x:c r="V773" s="9"/>
      <x:c r="W773" s="9"/>
      <x:c r="X773" s="9"/>
      <x:c r="Y773" s="9"/>
      <x:c r="Z773" s="9"/>
    </x:row>
    <x:row r="774" ht="14.25" customHeight="1">
      <x:c r="K774" s="5"/>
      <x:c r="L774" s="5"/>
      <x:c r="M774" s="3"/>
      <x:c r="N774" s="3"/>
      <x:c r="O774" s="3"/>
      <x:c r="P774" s="9"/>
      <x:c r="Q774" s="9"/>
      <x:c r="R774" s="9"/>
      <x:c r="S774" s="9"/>
      <x:c r="T774" s="9"/>
      <x:c r="U774" s="9"/>
      <x:c r="V774" s="9"/>
      <x:c r="W774" s="9"/>
      <x:c r="X774" s="9"/>
      <x:c r="Y774" s="9"/>
      <x:c r="Z774" s="9"/>
    </x:row>
    <x:row r="775" ht="14.25" customHeight="1">
      <x:c r="K775" s="5"/>
      <x:c r="L775" s="5"/>
      <x:c r="M775" s="3"/>
      <x:c r="N775" s="3"/>
      <x:c r="O775" s="3"/>
      <x:c r="P775" s="9"/>
      <x:c r="Q775" s="9"/>
      <x:c r="R775" s="9"/>
      <x:c r="S775" s="9"/>
      <x:c r="T775" s="9"/>
      <x:c r="U775" s="9"/>
      <x:c r="V775" s="9"/>
      <x:c r="W775" s="9"/>
      <x:c r="X775" s="9"/>
      <x:c r="Y775" s="9"/>
      <x:c r="Z775" s="9"/>
    </x:row>
    <x:row r="776" ht="14.25" customHeight="1">
      <x:c r="K776" s="5"/>
      <x:c r="L776" s="5"/>
      <x:c r="M776" s="3"/>
      <x:c r="N776" s="3"/>
      <x:c r="O776" s="3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</x:row>
    <x:row r="777" ht="14.25" customHeight="1">
      <x:c r="K777" s="5"/>
      <x:c r="L777" s="5"/>
      <x:c r="M777" s="3"/>
      <x:c r="N777" s="3"/>
      <x:c r="O777" s="3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</x:row>
    <x:row r="778" ht="14.25" customHeight="1">
      <x:c r="K778" s="5"/>
      <x:c r="L778" s="5"/>
      <x:c r="M778" s="3"/>
      <x:c r="N778" s="3"/>
      <x:c r="O778" s="3"/>
      <x:c r="P778" s="9"/>
      <x:c r="Q778" s="9"/>
      <x:c r="R778" s="9"/>
      <x:c r="S778" s="9"/>
      <x:c r="T778" s="9"/>
      <x:c r="U778" s="9"/>
      <x:c r="V778" s="9"/>
      <x:c r="W778" s="9"/>
      <x:c r="X778" s="9"/>
      <x:c r="Y778" s="9"/>
      <x:c r="Z778" s="9"/>
    </x:row>
    <x:row r="779" ht="14.25" customHeight="1">
      <x:c r="K779" s="5"/>
      <x:c r="L779" s="5"/>
      <x:c r="M779" s="3"/>
      <x:c r="N779" s="3"/>
      <x:c r="O779" s="3"/>
      <x:c r="P779" s="9"/>
      <x:c r="Q779" s="9"/>
      <x:c r="R779" s="9"/>
      <x:c r="S779" s="9"/>
      <x:c r="T779" s="9"/>
      <x:c r="U779" s="9"/>
      <x:c r="V779" s="9"/>
      <x:c r="W779" s="9"/>
      <x:c r="X779" s="9"/>
      <x:c r="Y779" s="9"/>
      <x:c r="Z779" s="9"/>
    </x:row>
    <x:row r="780" ht="14.25" customHeight="1">
      <x:c r="K780" s="5"/>
      <x:c r="L780" s="5"/>
      <x:c r="M780" s="3"/>
      <x:c r="N780" s="3"/>
      <x:c r="O780" s="3"/>
      <x:c r="P780" s="9"/>
      <x:c r="Q780" s="9"/>
      <x:c r="R780" s="9"/>
      <x:c r="S780" s="9"/>
      <x:c r="T780" s="9"/>
      <x:c r="U780" s="9"/>
      <x:c r="V780" s="9"/>
      <x:c r="W780" s="9"/>
      <x:c r="X780" s="9"/>
      <x:c r="Y780" s="9"/>
      <x:c r="Z780" s="9"/>
    </x:row>
    <x:row r="781" ht="14.25" customHeight="1">
      <x:c r="K781" s="5"/>
      <x:c r="L781" s="5"/>
      <x:c r="M781" s="3"/>
      <x:c r="N781" s="3"/>
      <x:c r="O781" s="3"/>
      <x:c r="P781" s="9"/>
      <x:c r="Q781" s="9"/>
      <x:c r="R781" s="9"/>
      <x:c r="S781" s="9"/>
      <x:c r="T781" s="9"/>
      <x:c r="U781" s="9"/>
      <x:c r="V781" s="9"/>
      <x:c r="W781" s="9"/>
      <x:c r="X781" s="9"/>
      <x:c r="Y781" s="9"/>
      <x:c r="Z781" s="9"/>
    </x:row>
    <x:row r="782" ht="14.25" customHeight="1">
      <x:c r="K782" s="5"/>
      <x:c r="L782" s="5"/>
      <x:c r="M782" s="3"/>
      <x:c r="N782" s="3"/>
      <x:c r="O782" s="3"/>
      <x:c r="P782" s="9"/>
      <x:c r="Q782" s="9"/>
      <x:c r="R782" s="9"/>
      <x:c r="S782" s="9"/>
      <x:c r="T782" s="9"/>
      <x:c r="U782" s="9"/>
      <x:c r="V782" s="9"/>
      <x:c r="W782" s="9"/>
      <x:c r="X782" s="9"/>
      <x:c r="Y782" s="9"/>
      <x:c r="Z782" s="9"/>
    </x:row>
    <x:row r="783" ht="14.25" customHeight="1">
      <x:c r="K783" s="5"/>
      <x:c r="L783" s="5"/>
      <x:c r="M783" s="3"/>
      <x:c r="N783" s="3"/>
      <x:c r="O783" s="3"/>
      <x:c r="P783" s="9"/>
      <x:c r="Q783" s="9"/>
      <x:c r="R783" s="9"/>
      <x:c r="S783" s="9"/>
      <x:c r="T783" s="9"/>
      <x:c r="U783" s="9"/>
      <x:c r="V783" s="9"/>
      <x:c r="W783" s="9"/>
      <x:c r="X783" s="9"/>
      <x:c r="Y783" s="9"/>
      <x:c r="Z783" s="9"/>
    </x:row>
    <x:row r="784" ht="14.25" customHeight="1">
      <x:c r="K784" s="5"/>
      <x:c r="L784" s="5"/>
      <x:c r="M784" s="3"/>
      <x:c r="N784" s="3"/>
      <x:c r="O784" s="3"/>
      <x:c r="P784" s="9"/>
      <x:c r="Q784" s="9"/>
      <x:c r="R784" s="9"/>
      <x:c r="S784" s="9"/>
      <x:c r="T784" s="9"/>
      <x:c r="U784" s="9"/>
      <x:c r="V784" s="9"/>
      <x:c r="W784" s="9"/>
      <x:c r="X784" s="9"/>
      <x:c r="Y784" s="9"/>
      <x:c r="Z784" s="9"/>
    </x:row>
    <x:row r="785" ht="14.25" customHeight="1">
      <x:c r="K785" s="5"/>
      <x:c r="L785" s="5"/>
      <x:c r="M785" s="3"/>
      <x:c r="N785" s="3"/>
      <x:c r="O785" s="3"/>
      <x:c r="P785" s="9"/>
      <x:c r="Q785" s="9"/>
      <x:c r="R785" s="9"/>
      <x:c r="S785" s="9"/>
      <x:c r="T785" s="9"/>
      <x:c r="U785" s="9"/>
      <x:c r="V785" s="9"/>
      <x:c r="W785" s="9"/>
      <x:c r="X785" s="9"/>
      <x:c r="Y785" s="9"/>
      <x:c r="Z785" s="9"/>
    </x:row>
    <x:row r="786" ht="14.25" customHeight="1">
      <x:c r="K786" s="5"/>
      <x:c r="L786" s="5"/>
      <x:c r="M786" s="3"/>
      <x:c r="N786" s="3"/>
      <x:c r="O786" s="3"/>
      <x:c r="P786" s="9"/>
      <x:c r="Q786" s="9"/>
      <x:c r="R786" s="9"/>
      <x:c r="S786" s="9"/>
      <x:c r="T786" s="9"/>
      <x:c r="U786" s="9"/>
      <x:c r="V786" s="9"/>
      <x:c r="W786" s="9"/>
      <x:c r="X786" s="9"/>
      <x:c r="Y786" s="9"/>
      <x:c r="Z786" s="9"/>
    </x:row>
    <x:row r="787" ht="14.25" customHeight="1">
      <x:c r="K787" s="5"/>
      <x:c r="L787" s="5"/>
      <x:c r="M787" s="3"/>
      <x:c r="N787" s="3"/>
      <x:c r="O787" s="3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</x:row>
    <x:row r="788" ht="14.25" customHeight="1">
      <x:c r="K788" s="5"/>
      <x:c r="L788" s="5"/>
      <x:c r="M788" s="3"/>
      <x:c r="N788" s="3"/>
      <x:c r="O788" s="3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</x:row>
    <x:row r="789" ht="14.25" customHeight="1">
      <x:c r="K789" s="5"/>
      <x:c r="L789" s="5"/>
      <x:c r="M789" s="3"/>
      <x:c r="N789" s="3"/>
      <x:c r="O789" s="3"/>
      <x:c r="P789" s="9"/>
      <x:c r="Q789" s="9"/>
      <x:c r="R789" s="9"/>
      <x:c r="S789" s="9"/>
      <x:c r="T789" s="9"/>
      <x:c r="U789" s="9"/>
      <x:c r="V789" s="9"/>
      <x:c r="W789" s="9"/>
      <x:c r="X789" s="9"/>
      <x:c r="Y789" s="9"/>
      <x:c r="Z789" s="9"/>
    </x:row>
    <x:row r="790" ht="14.25" customHeight="1">
      <x:c r="K790" s="5"/>
      <x:c r="L790" s="5"/>
      <x:c r="M790" s="3"/>
      <x:c r="N790" s="3"/>
      <x:c r="O790" s="3"/>
      <x:c r="P790" s="9"/>
      <x:c r="Q790" s="9"/>
      <x:c r="R790" s="9"/>
      <x:c r="S790" s="9"/>
      <x:c r="T790" s="9"/>
      <x:c r="U790" s="9"/>
      <x:c r="V790" s="9"/>
      <x:c r="W790" s="9"/>
      <x:c r="X790" s="9"/>
      <x:c r="Y790" s="9"/>
      <x:c r="Z790" s="9"/>
    </x:row>
    <x:row r="791" ht="14.25" customHeight="1">
      <x:c r="K791" s="5"/>
      <x:c r="L791" s="5"/>
      <x:c r="M791" s="3"/>
      <x:c r="N791" s="3"/>
      <x:c r="O791" s="3"/>
      <x:c r="P791" s="9"/>
      <x:c r="Q791" s="9"/>
      <x:c r="R791" s="9"/>
      <x:c r="S791" s="9"/>
      <x:c r="T791" s="9"/>
      <x:c r="U791" s="9"/>
      <x:c r="V791" s="9"/>
      <x:c r="W791" s="9"/>
      <x:c r="X791" s="9"/>
      <x:c r="Y791" s="9"/>
      <x:c r="Z791" s="9"/>
    </x:row>
    <x:row r="792" ht="14.25" customHeight="1">
      <x:c r="K792" s="5"/>
      <x:c r="L792" s="5"/>
      <x:c r="M792" s="3"/>
      <x:c r="N792" s="3"/>
      <x:c r="O792" s="3"/>
      <x:c r="P792" s="9"/>
      <x:c r="Q792" s="9"/>
      <x:c r="R792" s="9"/>
      <x:c r="S792" s="9"/>
      <x:c r="T792" s="9"/>
      <x:c r="U792" s="9"/>
      <x:c r="V792" s="9"/>
      <x:c r="W792" s="9"/>
      <x:c r="X792" s="9"/>
      <x:c r="Y792" s="9"/>
      <x:c r="Z792" s="9"/>
    </x:row>
    <x:row r="793" ht="14.25" customHeight="1">
      <x:c r="K793" s="5"/>
      <x:c r="L793" s="5"/>
      <x:c r="M793" s="3"/>
      <x:c r="N793" s="3"/>
      <x:c r="O793" s="3"/>
      <x:c r="P793" s="9"/>
      <x:c r="Q793" s="9"/>
      <x:c r="R793" s="9"/>
      <x:c r="S793" s="9"/>
      <x:c r="T793" s="9"/>
      <x:c r="U793" s="9"/>
      <x:c r="V793" s="9"/>
      <x:c r="W793" s="9"/>
      <x:c r="X793" s="9"/>
      <x:c r="Y793" s="9"/>
      <x:c r="Z793" s="9"/>
    </x:row>
    <x:row r="794" ht="14.25" customHeight="1">
      <x:c r="K794" s="5"/>
      <x:c r="L794" s="5"/>
      <x:c r="M794" s="3"/>
      <x:c r="N794" s="3"/>
      <x:c r="O794" s="3"/>
      <x:c r="P794" s="9"/>
      <x:c r="Q794" s="9"/>
      <x:c r="R794" s="9"/>
      <x:c r="S794" s="9"/>
      <x:c r="T794" s="9"/>
      <x:c r="U794" s="9"/>
      <x:c r="V794" s="9"/>
      <x:c r="W794" s="9"/>
      <x:c r="X794" s="9"/>
      <x:c r="Y794" s="9"/>
      <x:c r="Z794" s="9"/>
    </x:row>
    <x:row r="795" ht="14.25" customHeight="1">
      <x:c r="K795" s="5"/>
      <x:c r="L795" s="5"/>
      <x:c r="M795" s="3"/>
      <x:c r="N795" s="3"/>
      <x:c r="O795" s="3"/>
      <x:c r="P795" s="9"/>
      <x:c r="Q795" s="9"/>
      <x:c r="R795" s="9"/>
      <x:c r="S795" s="9"/>
      <x:c r="T795" s="9"/>
      <x:c r="U795" s="9"/>
      <x:c r="V795" s="9"/>
      <x:c r="W795" s="9"/>
      <x:c r="X795" s="9"/>
      <x:c r="Y795" s="9"/>
      <x:c r="Z795" s="9"/>
    </x:row>
    <x:row r="796" ht="14.25" customHeight="1">
      <x:c r="K796" s="5"/>
      <x:c r="L796" s="5"/>
      <x:c r="M796" s="3"/>
      <x:c r="N796" s="3"/>
      <x:c r="O796" s="3"/>
      <x:c r="P796" s="9"/>
      <x:c r="Q796" s="9"/>
      <x:c r="R796" s="9"/>
      <x:c r="S796" s="9"/>
      <x:c r="T796" s="9"/>
      <x:c r="U796" s="9"/>
      <x:c r="V796" s="9"/>
      <x:c r="W796" s="9"/>
      <x:c r="X796" s="9"/>
      <x:c r="Y796" s="9"/>
      <x:c r="Z796" s="9"/>
    </x:row>
    <x:row r="797" ht="14.25" customHeight="1">
      <x:c r="K797" s="5"/>
      <x:c r="L797" s="5"/>
      <x:c r="M797" s="3"/>
      <x:c r="N797" s="3"/>
      <x:c r="O797" s="3"/>
      <x:c r="P797" s="9"/>
      <x:c r="Q797" s="9"/>
      <x:c r="R797" s="9"/>
      <x:c r="S797" s="9"/>
      <x:c r="T797" s="9"/>
      <x:c r="U797" s="9"/>
      <x:c r="V797" s="9"/>
      <x:c r="W797" s="9"/>
      <x:c r="X797" s="9"/>
      <x:c r="Y797" s="9"/>
      <x:c r="Z797" s="9"/>
    </x:row>
    <x:row r="798" ht="14.25" customHeight="1">
      <x:c r="K798" s="5"/>
      <x:c r="L798" s="5"/>
      <x:c r="M798" s="3"/>
      <x:c r="N798" s="3"/>
      <x:c r="O798" s="3"/>
      <x:c r="P798" s="9"/>
      <x:c r="Q798" s="9"/>
      <x:c r="R798" s="9"/>
      <x:c r="S798" s="9"/>
      <x:c r="T798" s="9"/>
      <x:c r="U798" s="9"/>
      <x:c r="V798" s="9"/>
      <x:c r="W798" s="9"/>
      <x:c r="X798" s="9"/>
      <x:c r="Y798" s="9"/>
      <x:c r="Z798" s="9"/>
    </x:row>
    <x:row r="799" ht="14.25" customHeight="1">
      <x:c r="K799" s="5"/>
      <x:c r="L799" s="5"/>
      <x:c r="M799" s="3"/>
      <x:c r="N799" s="3"/>
      <x:c r="O799" s="3"/>
      <x:c r="P799" s="9"/>
      <x:c r="Q799" s="9"/>
      <x:c r="R799" s="9"/>
      <x:c r="S799" s="9"/>
      <x:c r="T799" s="9"/>
      <x:c r="U799" s="9"/>
      <x:c r="V799" s="9"/>
      <x:c r="W799" s="9"/>
      <x:c r="X799" s="9"/>
      <x:c r="Y799" s="9"/>
      <x:c r="Z799" s="9"/>
    </x:row>
    <x:row r="800" ht="14.25" customHeight="1">
      <x:c r="K800" s="5"/>
      <x:c r="L800" s="5"/>
      <x:c r="M800" s="3"/>
      <x:c r="N800" s="3"/>
      <x:c r="O800" s="3"/>
      <x:c r="P800" s="9"/>
      <x:c r="Q800" s="9"/>
      <x:c r="R800" s="9"/>
      <x:c r="S800" s="9"/>
      <x:c r="T800" s="9"/>
      <x:c r="U800" s="9"/>
      <x:c r="V800" s="9"/>
      <x:c r="W800" s="9"/>
      <x:c r="X800" s="9"/>
      <x:c r="Y800" s="9"/>
      <x:c r="Z800" s="9"/>
    </x:row>
    <x:row r="801" ht="14.25" customHeight="1">
      <x:c r="K801" s="5"/>
      <x:c r="L801" s="5"/>
      <x:c r="M801" s="3"/>
      <x:c r="N801" s="3"/>
      <x:c r="O801" s="3"/>
      <x:c r="P801" s="9"/>
      <x:c r="Q801" s="9"/>
      <x:c r="R801" s="9"/>
      <x:c r="S801" s="9"/>
      <x:c r="T801" s="9"/>
      <x:c r="U801" s="9"/>
      <x:c r="V801" s="9"/>
      <x:c r="W801" s="9"/>
      <x:c r="X801" s="9"/>
      <x:c r="Y801" s="9"/>
      <x:c r="Z801" s="9"/>
    </x:row>
    <x:row r="802" ht="14.25" customHeight="1">
      <x:c r="K802" s="5"/>
      <x:c r="L802" s="5"/>
      <x:c r="M802" s="3"/>
      <x:c r="N802" s="3"/>
      <x:c r="O802" s="3"/>
      <x:c r="P802" s="9"/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</x:row>
    <x:row r="803" ht="14.25" customHeight="1">
      <x:c r="K803" s="5"/>
      <x:c r="L803" s="5"/>
      <x:c r="M803" s="3"/>
      <x:c r="N803" s="3"/>
      <x:c r="O803" s="3"/>
      <x:c r="P803" s="9"/>
      <x:c r="Q803" s="9"/>
      <x:c r="R803" s="9"/>
      <x:c r="S803" s="9"/>
      <x:c r="T803" s="9"/>
      <x:c r="U803" s="9"/>
      <x:c r="V803" s="9"/>
      <x:c r="W803" s="9"/>
      <x:c r="X803" s="9"/>
      <x:c r="Y803" s="9"/>
      <x:c r="Z803" s="9"/>
    </x:row>
    <x:row r="804" ht="14.25" customHeight="1">
      <x:c r="K804" s="5"/>
      <x:c r="L804" s="5"/>
      <x:c r="M804" s="3"/>
      <x:c r="N804" s="3"/>
      <x:c r="O804" s="3"/>
      <x:c r="P804" s="9"/>
      <x:c r="Q804" s="9"/>
      <x:c r="R804" s="9"/>
      <x:c r="S804" s="9"/>
      <x:c r="T804" s="9"/>
      <x:c r="U804" s="9"/>
      <x:c r="V804" s="9"/>
      <x:c r="W804" s="9"/>
      <x:c r="X804" s="9"/>
      <x:c r="Y804" s="9"/>
      <x:c r="Z804" s="9"/>
    </x:row>
    <x:row r="805" ht="14.25" customHeight="1">
      <x:c r="K805" s="5"/>
      <x:c r="L805" s="5"/>
      <x:c r="M805" s="3"/>
      <x:c r="N805" s="3"/>
      <x:c r="O805" s="3"/>
      <x:c r="P805" s="9"/>
      <x:c r="Q805" s="9"/>
      <x:c r="R805" s="9"/>
      <x:c r="S805" s="9"/>
      <x:c r="T805" s="9"/>
      <x:c r="U805" s="9"/>
      <x:c r="V805" s="9"/>
      <x:c r="W805" s="9"/>
      <x:c r="X805" s="9"/>
      <x:c r="Y805" s="9"/>
      <x:c r="Z805" s="9"/>
    </x:row>
    <x:row r="806" ht="14.25" customHeight="1">
      <x:c r="K806" s="5"/>
      <x:c r="L806" s="5"/>
      <x:c r="M806" s="3"/>
      <x:c r="N806" s="3"/>
      <x:c r="O806" s="3"/>
      <x:c r="P806" s="9"/>
      <x:c r="Q806" s="9"/>
      <x:c r="R806" s="9"/>
      <x:c r="S806" s="9"/>
      <x:c r="T806" s="9"/>
      <x:c r="U806" s="9"/>
      <x:c r="V806" s="9"/>
      <x:c r="W806" s="9"/>
      <x:c r="X806" s="9"/>
      <x:c r="Y806" s="9"/>
      <x:c r="Z806" s="9"/>
    </x:row>
    <x:row r="807" ht="14.25" customHeight="1">
      <x:c r="K807" s="5"/>
      <x:c r="L807" s="5"/>
      <x:c r="M807" s="3"/>
      <x:c r="N807" s="3"/>
      <x:c r="O807" s="3"/>
      <x:c r="P807" s="9"/>
      <x:c r="Q807" s="9"/>
      <x:c r="R807" s="9"/>
      <x:c r="S807" s="9"/>
      <x:c r="T807" s="9"/>
      <x:c r="U807" s="9"/>
      <x:c r="V807" s="9"/>
      <x:c r="W807" s="9"/>
      <x:c r="X807" s="9"/>
      <x:c r="Y807" s="9"/>
      <x:c r="Z807" s="9"/>
    </x:row>
    <x:row r="808" ht="14.25" customHeight="1">
      <x:c r="K808" s="5"/>
      <x:c r="L808" s="5"/>
      <x:c r="M808" s="3"/>
      <x:c r="N808" s="3"/>
      <x:c r="O808" s="3"/>
      <x:c r="P808" s="9"/>
      <x:c r="Q808" s="9"/>
      <x:c r="R808" s="9"/>
      <x:c r="S808" s="9"/>
      <x:c r="T808" s="9"/>
      <x:c r="U808" s="9"/>
      <x:c r="V808" s="9"/>
      <x:c r="W808" s="9"/>
      <x:c r="X808" s="9"/>
      <x:c r="Y808" s="9"/>
      <x:c r="Z808" s="9"/>
    </x:row>
    <x:row r="809" ht="14.25" customHeight="1">
      <x:c r="K809" s="5"/>
      <x:c r="L809" s="5"/>
      <x:c r="M809" s="3"/>
      <x:c r="N809" s="3"/>
      <x:c r="O809" s="3"/>
      <x:c r="P809" s="9"/>
      <x:c r="Q809" s="9"/>
      <x:c r="R809" s="9"/>
      <x:c r="S809" s="9"/>
      <x:c r="T809" s="9"/>
      <x:c r="U809" s="9"/>
      <x:c r="V809" s="9"/>
      <x:c r="W809" s="9"/>
      <x:c r="X809" s="9"/>
      <x:c r="Y809" s="9"/>
      <x:c r="Z809" s="9"/>
    </x:row>
    <x:row r="810" ht="14.25" customHeight="1">
      <x:c r="K810" s="5"/>
      <x:c r="L810" s="5"/>
      <x:c r="M810" s="3"/>
      <x:c r="N810" s="3"/>
      <x:c r="O810" s="3"/>
      <x:c r="P810" s="9"/>
      <x:c r="Q810" s="9"/>
      <x:c r="R810" s="9"/>
      <x:c r="S810" s="9"/>
      <x:c r="T810" s="9"/>
      <x:c r="U810" s="9"/>
      <x:c r="V810" s="9"/>
      <x:c r="W810" s="9"/>
      <x:c r="X810" s="9"/>
      <x:c r="Y810" s="9"/>
      <x:c r="Z810" s="9"/>
    </x:row>
    <x:row r="811" ht="14.25" customHeight="1">
      <x:c r="K811" s="5"/>
      <x:c r="L811" s="5"/>
      <x:c r="M811" s="3"/>
      <x:c r="N811" s="3"/>
      <x:c r="O811" s="3"/>
      <x:c r="P811" s="9"/>
      <x:c r="Q811" s="9"/>
      <x:c r="R811" s="9"/>
      <x:c r="S811" s="9"/>
      <x:c r="T811" s="9"/>
      <x:c r="U811" s="9"/>
      <x:c r="V811" s="9"/>
      <x:c r="W811" s="9"/>
      <x:c r="X811" s="9"/>
      <x:c r="Y811" s="9"/>
      <x:c r="Z811" s="9"/>
    </x:row>
    <x:row r="812" ht="14.25" customHeight="1">
      <x:c r="K812" s="5"/>
      <x:c r="L812" s="5"/>
      <x:c r="M812" s="3"/>
      <x:c r="N812" s="3"/>
      <x:c r="O812" s="3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</x:row>
    <x:row r="813" ht="14.25" customHeight="1">
      <x:c r="K813" s="5"/>
      <x:c r="L813" s="5"/>
      <x:c r="M813" s="3"/>
      <x:c r="N813" s="3"/>
      <x:c r="O813" s="3"/>
      <x:c r="P813" s="9"/>
      <x:c r="Q813" s="9"/>
      <x:c r="R813" s="9"/>
      <x:c r="S813" s="9"/>
      <x:c r="T813" s="9"/>
      <x:c r="U813" s="9"/>
      <x:c r="V813" s="9"/>
      <x:c r="W813" s="9"/>
      <x:c r="X813" s="9"/>
      <x:c r="Y813" s="9"/>
      <x:c r="Z813" s="9"/>
    </x:row>
    <x:row r="814" ht="14.25" customHeight="1">
      <x:c r="K814" s="5"/>
      <x:c r="L814" s="5"/>
      <x:c r="M814" s="3"/>
      <x:c r="N814" s="3"/>
      <x:c r="O814" s="3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</x:row>
    <x:row r="815" ht="14.25" customHeight="1">
      <x:c r="K815" s="5"/>
      <x:c r="L815" s="5"/>
      <x:c r="M815" s="3"/>
      <x:c r="N815" s="3"/>
      <x:c r="O815" s="3"/>
      <x:c r="P815" s="9"/>
      <x:c r="Q815" s="9"/>
      <x:c r="R815" s="9"/>
      <x:c r="S815" s="9"/>
      <x:c r="T815" s="9"/>
      <x:c r="U815" s="9"/>
      <x:c r="V815" s="9"/>
      <x:c r="W815" s="9"/>
      <x:c r="X815" s="9"/>
      <x:c r="Y815" s="9"/>
      <x:c r="Z815" s="9"/>
    </x:row>
    <x:row r="816" ht="14.25" customHeight="1">
      <x:c r="K816" s="5"/>
      <x:c r="L816" s="5"/>
      <x:c r="M816" s="3"/>
      <x:c r="N816" s="3"/>
      <x:c r="O816" s="3"/>
      <x:c r="P816" s="9"/>
      <x:c r="Q816" s="9"/>
      <x:c r="R816" s="9"/>
      <x:c r="S816" s="9"/>
      <x:c r="T816" s="9"/>
      <x:c r="U816" s="9"/>
      <x:c r="V816" s="9"/>
      <x:c r="W816" s="9"/>
      <x:c r="X816" s="9"/>
      <x:c r="Y816" s="9"/>
      <x:c r="Z816" s="9"/>
    </x:row>
    <x:row r="817" ht="14.25" customHeight="1">
      <x:c r="K817" s="5"/>
      <x:c r="L817" s="5"/>
      <x:c r="M817" s="3"/>
      <x:c r="N817" s="3"/>
      <x:c r="O817" s="3"/>
      <x:c r="P817" s="9"/>
      <x:c r="Q817" s="9"/>
      <x:c r="R817" s="9"/>
      <x:c r="S817" s="9"/>
      <x:c r="T817" s="9"/>
      <x:c r="U817" s="9"/>
      <x:c r="V817" s="9"/>
      <x:c r="W817" s="9"/>
      <x:c r="X817" s="9"/>
      <x:c r="Y817" s="9"/>
      <x:c r="Z817" s="9"/>
    </x:row>
    <x:row r="818" ht="14.25" customHeight="1">
      <x:c r="K818" s="5"/>
      <x:c r="L818" s="5"/>
      <x:c r="M818" s="3"/>
      <x:c r="N818" s="3"/>
      <x:c r="O818" s="3"/>
      <x:c r="P818" s="9"/>
      <x:c r="Q818" s="9"/>
      <x:c r="R818" s="9"/>
      <x:c r="S818" s="9"/>
      <x:c r="T818" s="9"/>
      <x:c r="U818" s="9"/>
      <x:c r="V818" s="9"/>
      <x:c r="W818" s="9"/>
      <x:c r="X818" s="9"/>
      <x:c r="Y818" s="9"/>
      <x:c r="Z818" s="9"/>
    </x:row>
    <x:row r="819" ht="14.25" customHeight="1">
      <x:c r="K819" s="5"/>
      <x:c r="L819" s="5"/>
      <x:c r="M819" s="3"/>
      <x:c r="N819" s="3"/>
      <x:c r="O819" s="3"/>
      <x:c r="P819" s="9"/>
      <x:c r="Q819" s="9"/>
      <x:c r="R819" s="9"/>
      <x:c r="S819" s="9"/>
      <x:c r="T819" s="9"/>
      <x:c r="U819" s="9"/>
      <x:c r="V819" s="9"/>
      <x:c r="W819" s="9"/>
      <x:c r="X819" s="9"/>
      <x:c r="Y819" s="9"/>
      <x:c r="Z819" s="9"/>
    </x:row>
    <x:row r="820" ht="14.25" customHeight="1">
      <x:c r="K820" s="5"/>
      <x:c r="L820" s="5"/>
      <x:c r="M820" s="3"/>
      <x:c r="N820" s="3"/>
      <x:c r="O820" s="3"/>
      <x:c r="P820" s="9"/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</x:row>
    <x:row r="821" ht="14.25" customHeight="1">
      <x:c r="K821" s="5"/>
      <x:c r="L821" s="5"/>
      <x:c r="M821" s="3"/>
      <x:c r="N821" s="3"/>
      <x:c r="O821" s="3"/>
      <x:c r="P821" s="9"/>
      <x:c r="Q821" s="9"/>
      <x:c r="R821" s="9"/>
      <x:c r="S821" s="9"/>
      <x:c r="T821" s="9"/>
      <x:c r="U821" s="9"/>
      <x:c r="V821" s="9"/>
      <x:c r="W821" s="9"/>
      <x:c r="X821" s="9"/>
      <x:c r="Y821" s="9"/>
      <x:c r="Z821" s="9"/>
    </x:row>
    <x:row r="822" ht="14.25" customHeight="1">
      <x:c r="K822" s="5"/>
      <x:c r="L822" s="5"/>
      <x:c r="M822" s="3"/>
      <x:c r="N822" s="3"/>
      <x:c r="O822" s="3"/>
      <x:c r="P822" s="9"/>
      <x:c r="Q822" s="9"/>
      <x:c r="R822" s="9"/>
      <x:c r="S822" s="9"/>
      <x:c r="T822" s="9"/>
      <x:c r="U822" s="9"/>
      <x:c r="V822" s="9"/>
      <x:c r="W822" s="9"/>
      <x:c r="X822" s="9"/>
      <x:c r="Y822" s="9"/>
      <x:c r="Z822" s="9"/>
    </x:row>
    <x:row r="823" ht="14.25" customHeight="1">
      <x:c r="K823" s="5"/>
      <x:c r="L823" s="5"/>
      <x:c r="M823" s="3"/>
      <x:c r="N823" s="3"/>
      <x:c r="O823" s="3"/>
      <x:c r="P823" s="9"/>
      <x:c r="Q823" s="9"/>
      <x:c r="R823" s="9"/>
      <x:c r="S823" s="9"/>
      <x:c r="T823" s="9"/>
      <x:c r="U823" s="9"/>
      <x:c r="V823" s="9"/>
      <x:c r="W823" s="9"/>
      <x:c r="X823" s="9"/>
      <x:c r="Y823" s="9"/>
      <x:c r="Z823" s="9"/>
    </x:row>
    <x:row r="824" ht="14.25" customHeight="1">
      <x:c r="K824" s="5"/>
      <x:c r="L824" s="5"/>
      <x:c r="M824" s="3"/>
      <x:c r="N824" s="3"/>
      <x:c r="O824" s="3"/>
      <x:c r="P824" s="9"/>
      <x:c r="Q824" s="9"/>
      <x:c r="R824" s="9"/>
      <x:c r="S824" s="9"/>
      <x:c r="T824" s="9"/>
      <x:c r="U824" s="9"/>
      <x:c r="V824" s="9"/>
      <x:c r="W824" s="9"/>
      <x:c r="X824" s="9"/>
      <x:c r="Y824" s="9"/>
      <x:c r="Z824" s="9"/>
    </x:row>
    <x:row r="825" ht="14.25" customHeight="1">
      <x:c r="K825" s="5"/>
      <x:c r="L825" s="5"/>
      <x:c r="M825" s="3"/>
      <x:c r="N825" s="3"/>
      <x:c r="O825" s="3"/>
      <x:c r="P825" s="9"/>
      <x:c r="Q825" s="9"/>
      <x:c r="R825" s="9"/>
      <x:c r="S825" s="9"/>
      <x:c r="T825" s="9"/>
      <x:c r="U825" s="9"/>
      <x:c r="V825" s="9"/>
      <x:c r="W825" s="9"/>
      <x:c r="X825" s="9"/>
      <x:c r="Y825" s="9"/>
      <x:c r="Z825" s="9"/>
    </x:row>
    <x:row r="826" ht="14.25" customHeight="1">
      <x:c r="K826" s="5"/>
      <x:c r="L826" s="5"/>
      <x:c r="M826" s="3"/>
      <x:c r="N826" s="3"/>
      <x:c r="O826" s="3"/>
      <x:c r="P826" s="9"/>
      <x:c r="Q826" s="9"/>
      <x:c r="R826" s="9"/>
      <x:c r="S826" s="9"/>
      <x:c r="T826" s="9"/>
      <x:c r="U826" s="9"/>
      <x:c r="V826" s="9"/>
      <x:c r="W826" s="9"/>
      <x:c r="X826" s="9"/>
      <x:c r="Y826" s="9"/>
      <x:c r="Z826" s="9"/>
    </x:row>
    <x:row r="827" ht="14.25" customHeight="1">
      <x:c r="K827" s="5"/>
      <x:c r="L827" s="5"/>
      <x:c r="M827" s="3"/>
      <x:c r="N827" s="3"/>
      <x:c r="O827" s="3"/>
      <x:c r="P827" s="9"/>
      <x:c r="Q827" s="9"/>
      <x:c r="R827" s="9"/>
      <x:c r="S827" s="9"/>
      <x:c r="T827" s="9"/>
      <x:c r="U827" s="9"/>
      <x:c r="V827" s="9"/>
      <x:c r="W827" s="9"/>
      <x:c r="X827" s="9"/>
      <x:c r="Y827" s="9"/>
      <x:c r="Z827" s="9"/>
    </x:row>
    <x:row r="828" ht="14.25" customHeight="1">
      <x:c r="K828" s="5"/>
      <x:c r="L828" s="5"/>
      <x:c r="M828" s="3"/>
      <x:c r="N828" s="3"/>
      <x:c r="O828" s="3"/>
      <x:c r="P828" s="9"/>
      <x:c r="Q828" s="9"/>
      <x:c r="R828" s="9"/>
      <x:c r="S828" s="9"/>
      <x:c r="T828" s="9"/>
      <x:c r="U828" s="9"/>
      <x:c r="V828" s="9"/>
      <x:c r="W828" s="9"/>
      <x:c r="X828" s="9"/>
      <x:c r="Y828" s="9"/>
      <x:c r="Z828" s="9"/>
    </x:row>
    <x:row r="829" ht="14.25" customHeight="1">
      <x:c r="K829" s="5"/>
      <x:c r="L829" s="5"/>
      <x:c r="M829" s="3"/>
      <x:c r="N829" s="3"/>
      <x:c r="O829" s="3"/>
      <x:c r="P829" s="9"/>
      <x:c r="Q829" s="9"/>
      <x:c r="R829" s="9"/>
      <x:c r="S829" s="9"/>
      <x:c r="T829" s="9"/>
      <x:c r="U829" s="9"/>
      <x:c r="V829" s="9"/>
      <x:c r="W829" s="9"/>
      <x:c r="X829" s="9"/>
      <x:c r="Y829" s="9"/>
      <x:c r="Z829" s="9"/>
    </x:row>
    <x:row r="830" ht="14.25" customHeight="1">
      <x:c r="K830" s="5"/>
      <x:c r="L830" s="5"/>
      <x:c r="M830" s="3"/>
      <x:c r="N830" s="3"/>
      <x:c r="O830" s="3"/>
      <x:c r="P830" s="9"/>
      <x:c r="Q830" s="9"/>
      <x:c r="R830" s="9"/>
      <x:c r="S830" s="9"/>
      <x:c r="T830" s="9"/>
      <x:c r="U830" s="9"/>
      <x:c r="V830" s="9"/>
      <x:c r="W830" s="9"/>
      <x:c r="X830" s="9"/>
      <x:c r="Y830" s="9"/>
      <x:c r="Z830" s="9"/>
    </x:row>
    <x:row r="831" ht="14.25" customHeight="1">
      <x:c r="K831" s="5"/>
      <x:c r="L831" s="5"/>
      <x:c r="M831" s="3"/>
      <x:c r="N831" s="3"/>
      <x:c r="O831" s="3"/>
      <x:c r="P831" s="9"/>
      <x:c r="Q831" s="9"/>
      <x:c r="R831" s="9"/>
      <x:c r="S831" s="9"/>
      <x:c r="T831" s="9"/>
      <x:c r="U831" s="9"/>
      <x:c r="V831" s="9"/>
      <x:c r="W831" s="9"/>
      <x:c r="X831" s="9"/>
      <x:c r="Y831" s="9"/>
      <x:c r="Z831" s="9"/>
    </x:row>
    <x:row r="832" ht="14.25" customHeight="1">
      <x:c r="K832" s="5"/>
      <x:c r="L832" s="5"/>
      <x:c r="M832" s="3"/>
      <x:c r="N832" s="3"/>
      <x:c r="O832" s="3"/>
      <x:c r="P832" s="9"/>
      <x:c r="Q832" s="9"/>
      <x:c r="R832" s="9"/>
      <x:c r="S832" s="9"/>
      <x:c r="T832" s="9"/>
      <x:c r="U832" s="9"/>
      <x:c r="V832" s="9"/>
      <x:c r="W832" s="9"/>
      <x:c r="X832" s="9"/>
      <x:c r="Y832" s="9"/>
      <x:c r="Z832" s="9"/>
    </x:row>
    <x:row r="833" ht="14.25" customHeight="1">
      <x:c r="K833" s="5"/>
      <x:c r="L833" s="5"/>
      <x:c r="M833" s="3"/>
      <x:c r="N833" s="3"/>
      <x:c r="O833" s="3"/>
      <x:c r="P833" s="9"/>
      <x:c r="Q833" s="9"/>
      <x:c r="R833" s="9"/>
      <x:c r="S833" s="9"/>
      <x:c r="T833" s="9"/>
      <x:c r="U833" s="9"/>
      <x:c r="V833" s="9"/>
      <x:c r="W833" s="9"/>
      <x:c r="X833" s="9"/>
      <x:c r="Y833" s="9"/>
      <x:c r="Z833" s="9"/>
    </x:row>
    <x:row r="834" ht="14.25" customHeight="1">
      <x:c r="K834" s="5"/>
      <x:c r="L834" s="5"/>
      <x:c r="M834" s="3"/>
      <x:c r="N834" s="3"/>
      <x:c r="O834" s="3"/>
      <x:c r="P834" s="9"/>
      <x:c r="Q834" s="9"/>
      <x:c r="R834" s="9"/>
      <x:c r="S834" s="9"/>
      <x:c r="T834" s="9"/>
      <x:c r="U834" s="9"/>
      <x:c r="V834" s="9"/>
      <x:c r="W834" s="9"/>
      <x:c r="X834" s="9"/>
      <x:c r="Y834" s="9"/>
      <x:c r="Z834" s="9"/>
    </x:row>
    <x:row r="835" ht="14.25" customHeight="1">
      <x:c r="K835" s="5"/>
      <x:c r="L835" s="5"/>
      <x:c r="M835" s="3"/>
      <x:c r="N835" s="3"/>
      <x:c r="O835" s="3"/>
      <x:c r="P835" s="9"/>
      <x:c r="Q835" s="9"/>
      <x:c r="R835" s="9"/>
      <x:c r="S835" s="9"/>
      <x:c r="T835" s="9"/>
      <x:c r="U835" s="9"/>
      <x:c r="V835" s="9"/>
      <x:c r="W835" s="9"/>
      <x:c r="X835" s="9"/>
      <x:c r="Y835" s="9"/>
      <x:c r="Z835" s="9"/>
    </x:row>
    <x:row r="836" ht="14.25" customHeight="1">
      <x:c r="K836" s="5"/>
      <x:c r="L836" s="5"/>
      <x:c r="M836" s="3"/>
      <x:c r="N836" s="3"/>
      <x:c r="O836" s="3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</x:row>
    <x:row r="837" ht="14.25" customHeight="1">
      <x:c r="K837" s="5"/>
      <x:c r="L837" s="5"/>
      <x:c r="M837" s="3"/>
      <x:c r="N837" s="3"/>
      <x:c r="O837" s="3"/>
      <x:c r="P837" s="9"/>
      <x:c r="Q837" s="9"/>
      <x:c r="R837" s="9"/>
      <x:c r="S837" s="9"/>
      <x:c r="T837" s="9"/>
      <x:c r="U837" s="9"/>
      <x:c r="V837" s="9"/>
      <x:c r="W837" s="9"/>
      <x:c r="X837" s="9"/>
      <x:c r="Y837" s="9"/>
      <x:c r="Z837" s="9"/>
    </x:row>
    <x:row r="838" ht="14.25" customHeight="1">
      <x:c r="K838" s="5"/>
      <x:c r="L838" s="5"/>
      <x:c r="M838" s="3"/>
      <x:c r="N838" s="3"/>
      <x:c r="O838" s="3"/>
      <x:c r="P838" s="9"/>
      <x:c r="Q838" s="9"/>
      <x:c r="R838" s="9"/>
      <x:c r="S838" s="9"/>
      <x:c r="T838" s="9"/>
      <x:c r="U838" s="9"/>
      <x:c r="V838" s="9"/>
      <x:c r="W838" s="9"/>
      <x:c r="X838" s="9"/>
      <x:c r="Y838" s="9"/>
      <x:c r="Z838" s="9"/>
    </x:row>
    <x:row r="839" ht="14.25" customHeight="1">
      <x:c r="K839" s="5"/>
      <x:c r="L839" s="5"/>
      <x:c r="M839" s="3"/>
      <x:c r="N839" s="3"/>
      <x:c r="O839" s="3"/>
      <x:c r="P839" s="9"/>
      <x:c r="Q839" s="9"/>
      <x:c r="R839" s="9"/>
      <x:c r="S839" s="9"/>
      <x:c r="T839" s="9"/>
      <x:c r="U839" s="9"/>
      <x:c r="V839" s="9"/>
      <x:c r="W839" s="9"/>
      <x:c r="X839" s="9"/>
      <x:c r="Y839" s="9"/>
      <x:c r="Z839" s="9"/>
    </x:row>
    <x:row r="840" ht="14.25" customHeight="1">
      <x:c r="K840" s="5"/>
      <x:c r="L840" s="5"/>
      <x:c r="M840" s="3"/>
      <x:c r="N840" s="3"/>
      <x:c r="O840" s="3"/>
      <x:c r="P840" s="9"/>
      <x:c r="Q840" s="9"/>
      <x:c r="R840" s="9"/>
      <x:c r="S840" s="9"/>
      <x:c r="T840" s="9"/>
      <x:c r="U840" s="9"/>
      <x:c r="V840" s="9"/>
      <x:c r="W840" s="9"/>
      <x:c r="X840" s="9"/>
      <x:c r="Y840" s="9"/>
      <x:c r="Z840" s="9"/>
    </x:row>
    <x:row r="841" ht="14.25" customHeight="1">
      <x:c r="K841" s="5"/>
      <x:c r="L841" s="5"/>
      <x:c r="M841" s="3"/>
      <x:c r="N841" s="3"/>
      <x:c r="O841" s="3"/>
      <x:c r="P841" s="9"/>
      <x:c r="Q841" s="9"/>
      <x:c r="R841" s="9"/>
      <x:c r="S841" s="9"/>
      <x:c r="T841" s="9"/>
      <x:c r="U841" s="9"/>
      <x:c r="V841" s="9"/>
      <x:c r="W841" s="9"/>
      <x:c r="X841" s="9"/>
      <x:c r="Y841" s="9"/>
      <x:c r="Z841" s="9"/>
    </x:row>
    <x:row r="842" ht="14.25" customHeight="1">
      <x:c r="K842" s="5"/>
      <x:c r="L842" s="5"/>
      <x:c r="M842" s="3"/>
      <x:c r="N842" s="3"/>
      <x:c r="O842" s="3"/>
      <x:c r="P842" s="9"/>
      <x:c r="Q842" s="9"/>
      <x:c r="R842" s="9"/>
      <x:c r="S842" s="9"/>
      <x:c r="T842" s="9"/>
      <x:c r="U842" s="9"/>
      <x:c r="V842" s="9"/>
      <x:c r="W842" s="9"/>
      <x:c r="X842" s="9"/>
      <x:c r="Y842" s="9"/>
      <x:c r="Z842" s="9"/>
    </x:row>
    <x:row r="843" ht="14.25" customHeight="1">
      <x:c r="K843" s="5"/>
      <x:c r="L843" s="5"/>
      <x:c r="M843" s="3"/>
      <x:c r="N843" s="3"/>
      <x:c r="O843" s="3"/>
      <x:c r="P843" s="9"/>
      <x:c r="Q843" s="9"/>
      <x:c r="R843" s="9"/>
      <x:c r="S843" s="9"/>
      <x:c r="T843" s="9"/>
      <x:c r="U843" s="9"/>
      <x:c r="V843" s="9"/>
      <x:c r="W843" s="9"/>
      <x:c r="X843" s="9"/>
      <x:c r="Y843" s="9"/>
      <x:c r="Z843" s="9"/>
    </x:row>
    <x:row r="844" ht="14.25" customHeight="1">
      <x:c r="K844" s="5"/>
      <x:c r="L844" s="5"/>
      <x:c r="M844" s="3"/>
      <x:c r="N844" s="3"/>
      <x:c r="O844" s="3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</x:row>
    <x:row r="845" ht="14.25" customHeight="1">
      <x:c r="K845" s="5"/>
      <x:c r="L845" s="5"/>
      <x:c r="M845" s="3"/>
      <x:c r="N845" s="3"/>
      <x:c r="O845" s="3"/>
      <x:c r="P845" s="9"/>
      <x:c r="Q845" s="9"/>
      <x:c r="R845" s="9"/>
      <x:c r="S845" s="9"/>
      <x:c r="T845" s="9"/>
      <x:c r="U845" s="9"/>
      <x:c r="V845" s="9"/>
      <x:c r="W845" s="9"/>
      <x:c r="X845" s="9"/>
      <x:c r="Y845" s="9"/>
      <x:c r="Z845" s="9"/>
    </x:row>
    <x:row r="846" ht="14.25" customHeight="1">
      <x:c r="K846" s="5"/>
      <x:c r="L846" s="5"/>
      <x:c r="M846" s="3"/>
      <x:c r="N846" s="3"/>
      <x:c r="O846" s="3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</x:row>
    <x:row r="847" ht="14.25" customHeight="1">
      <x:c r="K847" s="5"/>
      <x:c r="L847" s="5"/>
      <x:c r="M847" s="3"/>
      <x:c r="N847" s="3"/>
      <x:c r="O847" s="3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</x:row>
    <x:row r="848" ht="14.25" customHeight="1">
      <x:c r="K848" s="5"/>
      <x:c r="L848" s="5"/>
      <x:c r="M848" s="3"/>
      <x:c r="N848" s="3"/>
      <x:c r="O848" s="3"/>
      <x:c r="P848" s="9"/>
      <x:c r="Q848" s="9"/>
      <x:c r="R848" s="9"/>
      <x:c r="S848" s="9"/>
      <x:c r="T848" s="9"/>
      <x:c r="U848" s="9"/>
      <x:c r="V848" s="9"/>
      <x:c r="W848" s="9"/>
      <x:c r="X848" s="9"/>
      <x:c r="Y848" s="9"/>
      <x:c r="Z848" s="9"/>
    </x:row>
    <x:row r="849" ht="14.25" customHeight="1">
      <x:c r="K849" s="5"/>
      <x:c r="L849" s="5"/>
      <x:c r="M849" s="3"/>
      <x:c r="N849" s="3"/>
      <x:c r="O849" s="3"/>
      <x:c r="P849" s="9"/>
      <x:c r="Q849" s="9"/>
      <x:c r="R849" s="9"/>
      <x:c r="S849" s="9"/>
      <x:c r="T849" s="9"/>
      <x:c r="U849" s="9"/>
      <x:c r="V849" s="9"/>
      <x:c r="W849" s="9"/>
      <x:c r="X849" s="9"/>
      <x:c r="Y849" s="9"/>
      <x:c r="Z849" s="9"/>
    </x:row>
    <x:row r="850" ht="14.25" customHeight="1">
      <x:c r="K850" s="5"/>
      <x:c r="L850" s="5"/>
      <x:c r="M850" s="3"/>
      <x:c r="N850" s="3"/>
      <x:c r="O850" s="3"/>
      <x:c r="P850" s="9"/>
      <x:c r="Q850" s="9"/>
      <x:c r="R850" s="9"/>
      <x:c r="S850" s="9"/>
      <x:c r="T850" s="9"/>
      <x:c r="U850" s="9"/>
      <x:c r="V850" s="9"/>
      <x:c r="W850" s="9"/>
      <x:c r="X850" s="9"/>
      <x:c r="Y850" s="9"/>
      <x:c r="Z850" s="9"/>
    </x:row>
    <x:row r="851" ht="14.25" customHeight="1">
      <x:c r="K851" s="5"/>
      <x:c r="L851" s="5"/>
      <x:c r="M851" s="3"/>
      <x:c r="N851" s="3"/>
      <x:c r="O851" s="3"/>
      <x:c r="P851" s="9"/>
      <x:c r="Q851" s="9"/>
      <x:c r="R851" s="9"/>
      <x:c r="S851" s="9"/>
      <x:c r="T851" s="9"/>
      <x:c r="U851" s="9"/>
      <x:c r="V851" s="9"/>
      <x:c r="W851" s="9"/>
      <x:c r="X851" s="9"/>
      <x:c r="Y851" s="9"/>
      <x:c r="Z851" s="9"/>
    </x:row>
    <x:row r="852" ht="14.25" customHeight="1">
      <x:c r="K852" s="5"/>
      <x:c r="L852" s="5"/>
      <x:c r="M852" s="3"/>
      <x:c r="N852" s="3"/>
      <x:c r="O852" s="3"/>
      <x:c r="P852" s="9"/>
      <x:c r="Q852" s="9"/>
      <x:c r="R852" s="9"/>
      <x:c r="S852" s="9"/>
      <x:c r="T852" s="9"/>
      <x:c r="U852" s="9"/>
      <x:c r="V852" s="9"/>
      <x:c r="W852" s="9"/>
      <x:c r="X852" s="9"/>
      <x:c r="Y852" s="9"/>
      <x:c r="Z852" s="9"/>
    </x:row>
    <x:row r="853" ht="14.25" customHeight="1">
      <x:c r="K853" s="5"/>
      <x:c r="L853" s="5"/>
      <x:c r="M853" s="3"/>
      <x:c r="N853" s="3"/>
      <x:c r="O853" s="3"/>
      <x:c r="P853" s="9"/>
      <x:c r="Q853" s="9"/>
      <x:c r="R853" s="9"/>
      <x:c r="S853" s="9"/>
      <x:c r="T853" s="9"/>
      <x:c r="U853" s="9"/>
      <x:c r="V853" s="9"/>
      <x:c r="W853" s="9"/>
      <x:c r="X853" s="9"/>
      <x:c r="Y853" s="9"/>
      <x:c r="Z853" s="9"/>
    </x:row>
    <x:row r="854" ht="14.25" customHeight="1">
      <x:c r="K854" s="5"/>
      <x:c r="L854" s="5"/>
      <x:c r="M854" s="3"/>
      <x:c r="N854" s="3"/>
      <x:c r="O854" s="3"/>
      <x:c r="P854" s="9"/>
      <x:c r="Q854" s="9"/>
      <x:c r="R854" s="9"/>
      <x:c r="S854" s="9"/>
      <x:c r="T854" s="9"/>
      <x:c r="U854" s="9"/>
      <x:c r="V854" s="9"/>
      <x:c r="W854" s="9"/>
      <x:c r="X854" s="9"/>
      <x:c r="Y854" s="9"/>
      <x:c r="Z854" s="9"/>
    </x:row>
    <x:row r="855" ht="14.25" customHeight="1">
      <x:c r="K855" s="5"/>
      <x:c r="L855" s="5"/>
      <x:c r="M855" s="3"/>
      <x:c r="N855" s="3"/>
      <x:c r="O855" s="3"/>
      <x:c r="P855" s="9"/>
      <x:c r="Q855" s="9"/>
      <x:c r="R855" s="9"/>
      <x:c r="S855" s="9"/>
      <x:c r="T855" s="9"/>
      <x:c r="U855" s="9"/>
      <x:c r="V855" s="9"/>
      <x:c r="W855" s="9"/>
      <x:c r="X855" s="9"/>
      <x:c r="Y855" s="9"/>
      <x:c r="Z855" s="9"/>
    </x:row>
    <x:row r="856" ht="14.25" customHeight="1">
      <x:c r="K856" s="5"/>
      <x:c r="L856" s="5"/>
      <x:c r="M856" s="3"/>
      <x:c r="N856" s="3"/>
      <x:c r="O856" s="3"/>
      <x:c r="P856" s="9"/>
      <x:c r="Q856" s="9"/>
      <x:c r="R856" s="9"/>
      <x:c r="S856" s="9"/>
      <x:c r="T856" s="9"/>
      <x:c r="U856" s="9"/>
      <x:c r="V856" s="9"/>
      <x:c r="W856" s="9"/>
      <x:c r="X856" s="9"/>
      <x:c r="Y856" s="9"/>
      <x:c r="Z856" s="9"/>
    </x:row>
    <x:row r="857" ht="14.25" customHeight="1">
      <x:c r="K857" s="5"/>
      <x:c r="L857" s="5"/>
      <x:c r="M857" s="3"/>
      <x:c r="N857" s="3"/>
      <x:c r="O857" s="3"/>
      <x:c r="P857" s="9"/>
      <x:c r="Q857" s="9"/>
      <x:c r="R857" s="9"/>
      <x:c r="S857" s="9"/>
      <x:c r="T857" s="9"/>
      <x:c r="U857" s="9"/>
      <x:c r="V857" s="9"/>
      <x:c r="W857" s="9"/>
      <x:c r="X857" s="9"/>
      <x:c r="Y857" s="9"/>
      <x:c r="Z857" s="9"/>
    </x:row>
    <x:row r="858" ht="14.25" customHeight="1">
      <x:c r="K858" s="5"/>
      <x:c r="L858" s="5"/>
      <x:c r="M858" s="3"/>
      <x:c r="N858" s="3"/>
      <x:c r="O858" s="3"/>
      <x:c r="P858" s="9"/>
      <x:c r="Q858" s="9"/>
      <x:c r="R858" s="9"/>
      <x:c r="S858" s="9"/>
      <x:c r="T858" s="9"/>
      <x:c r="U858" s="9"/>
      <x:c r="V858" s="9"/>
      <x:c r="W858" s="9"/>
      <x:c r="X858" s="9"/>
      <x:c r="Y858" s="9"/>
      <x:c r="Z858" s="9"/>
    </x:row>
    <x:row r="859" ht="14.25" customHeight="1">
      <x:c r="K859" s="5"/>
      <x:c r="L859" s="5"/>
      <x:c r="M859" s="3"/>
      <x:c r="N859" s="3"/>
      <x:c r="O859" s="3"/>
      <x:c r="P859" s="9"/>
      <x:c r="Q859" s="9"/>
      <x:c r="R859" s="9"/>
      <x:c r="S859" s="9"/>
      <x:c r="T859" s="9"/>
      <x:c r="U859" s="9"/>
      <x:c r="V859" s="9"/>
      <x:c r="W859" s="9"/>
      <x:c r="X859" s="9"/>
      <x:c r="Y859" s="9"/>
      <x:c r="Z859" s="9"/>
    </x:row>
    <x:row r="860" ht="14.25" customHeight="1">
      <x:c r="K860" s="5"/>
      <x:c r="L860" s="5"/>
      <x:c r="M860" s="3"/>
      <x:c r="N860" s="3"/>
      <x:c r="O860" s="3"/>
      <x:c r="P860" s="9"/>
      <x:c r="Q860" s="9"/>
      <x:c r="R860" s="9"/>
      <x:c r="S860" s="9"/>
      <x:c r="T860" s="9"/>
      <x:c r="U860" s="9"/>
      <x:c r="V860" s="9"/>
      <x:c r="W860" s="9"/>
      <x:c r="X860" s="9"/>
      <x:c r="Y860" s="9"/>
      <x:c r="Z860" s="9"/>
    </x:row>
    <x:row r="861" ht="14.25" customHeight="1">
      <x:c r="K861" s="5"/>
      <x:c r="L861" s="5"/>
      <x:c r="M861" s="3"/>
      <x:c r="N861" s="3"/>
      <x:c r="O861" s="3"/>
      <x:c r="P861" s="9"/>
      <x:c r="Q861" s="9"/>
      <x:c r="R861" s="9"/>
      <x:c r="S861" s="9"/>
      <x:c r="T861" s="9"/>
      <x:c r="U861" s="9"/>
      <x:c r="V861" s="9"/>
      <x:c r="W861" s="9"/>
      <x:c r="X861" s="9"/>
      <x:c r="Y861" s="9"/>
      <x:c r="Z861" s="9"/>
    </x:row>
    <x:row r="862" ht="14.25" customHeight="1">
      <x:c r="K862" s="5"/>
      <x:c r="L862" s="5"/>
      <x:c r="M862" s="3"/>
      <x:c r="N862" s="3"/>
      <x:c r="O862" s="3"/>
      <x:c r="P862" s="9"/>
      <x:c r="Q862" s="9"/>
      <x:c r="R862" s="9"/>
      <x:c r="S862" s="9"/>
      <x:c r="T862" s="9"/>
      <x:c r="U862" s="9"/>
      <x:c r="V862" s="9"/>
      <x:c r="W862" s="9"/>
      <x:c r="X862" s="9"/>
      <x:c r="Y862" s="9"/>
      <x:c r="Z862" s="9"/>
    </x:row>
    <x:row r="863" ht="14.25" customHeight="1">
      <x:c r="K863" s="5"/>
      <x:c r="L863" s="5"/>
      <x:c r="M863" s="3"/>
      <x:c r="N863" s="3"/>
      <x:c r="O863" s="3"/>
      <x:c r="P863" s="9"/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</x:row>
    <x:row r="864" ht="14.25" customHeight="1">
      <x:c r="K864" s="5"/>
      <x:c r="L864" s="5"/>
      <x:c r="M864" s="3"/>
      <x:c r="N864" s="3"/>
      <x:c r="O864" s="3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</x:row>
    <x:row r="865" ht="14.25" customHeight="1">
      <x:c r="K865" s="5"/>
      <x:c r="L865" s="5"/>
      <x:c r="M865" s="3"/>
      <x:c r="N865" s="3"/>
      <x:c r="O865" s="3"/>
      <x:c r="P865" s="9"/>
      <x:c r="Q865" s="9"/>
      <x:c r="R865" s="9"/>
      <x:c r="S865" s="9"/>
      <x:c r="T865" s="9"/>
      <x:c r="U865" s="9"/>
      <x:c r="V865" s="9"/>
      <x:c r="W865" s="9"/>
      <x:c r="X865" s="9"/>
      <x:c r="Y865" s="9"/>
      <x:c r="Z865" s="9"/>
    </x:row>
    <x:row r="866" ht="14.25" customHeight="1">
      <x:c r="K866" s="5"/>
      <x:c r="L866" s="5"/>
      <x:c r="M866" s="3"/>
      <x:c r="N866" s="3"/>
      <x:c r="O866" s="3"/>
      <x:c r="P866" s="9"/>
      <x:c r="Q866" s="9"/>
      <x:c r="R866" s="9"/>
      <x:c r="S866" s="9"/>
      <x:c r="T866" s="9"/>
      <x:c r="U866" s="9"/>
      <x:c r="V866" s="9"/>
      <x:c r="W866" s="9"/>
      <x:c r="X866" s="9"/>
      <x:c r="Y866" s="9"/>
      <x:c r="Z866" s="9"/>
    </x:row>
    <x:row r="867" ht="14.25" customHeight="1">
      <x:c r="K867" s="5"/>
      <x:c r="L867" s="5"/>
      <x:c r="M867" s="3"/>
      <x:c r="N867" s="3"/>
      <x:c r="O867" s="3"/>
      <x:c r="P867" s="9"/>
      <x:c r="Q867" s="9"/>
      <x:c r="R867" s="9"/>
      <x:c r="S867" s="9"/>
      <x:c r="T867" s="9"/>
      <x:c r="U867" s="9"/>
      <x:c r="V867" s="9"/>
      <x:c r="W867" s="9"/>
      <x:c r="X867" s="9"/>
      <x:c r="Y867" s="9"/>
      <x:c r="Z867" s="9"/>
    </x:row>
    <x:row r="868" ht="14.25" customHeight="1">
      <x:c r="K868" s="5"/>
      <x:c r="L868" s="5"/>
      <x:c r="M868" s="3"/>
      <x:c r="N868" s="3"/>
      <x:c r="O868" s="3"/>
      <x:c r="P868" s="9"/>
      <x:c r="Q868" s="9"/>
      <x:c r="R868" s="9"/>
      <x:c r="S868" s="9"/>
      <x:c r="T868" s="9"/>
      <x:c r="U868" s="9"/>
      <x:c r="V868" s="9"/>
      <x:c r="W868" s="9"/>
      <x:c r="X868" s="9"/>
      <x:c r="Y868" s="9"/>
      <x:c r="Z868" s="9"/>
    </x:row>
    <x:row r="869" ht="14.25" customHeight="1">
      <x:c r="K869" s="5"/>
      <x:c r="L869" s="5"/>
      <x:c r="M869" s="3"/>
      <x:c r="N869" s="3"/>
      <x:c r="O869" s="3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</x:row>
    <x:row r="870" ht="14.25" customHeight="1">
      <x:c r="K870" s="5"/>
      <x:c r="L870" s="5"/>
      <x:c r="M870" s="3"/>
      <x:c r="N870" s="3"/>
      <x:c r="O870" s="3"/>
      <x:c r="P870" s="9"/>
      <x:c r="Q870" s="9"/>
      <x:c r="R870" s="9"/>
      <x:c r="S870" s="9"/>
      <x:c r="T870" s="9"/>
      <x:c r="U870" s="9"/>
      <x:c r="V870" s="9"/>
      <x:c r="W870" s="9"/>
      <x:c r="X870" s="9"/>
      <x:c r="Y870" s="9"/>
      <x:c r="Z870" s="9"/>
    </x:row>
    <x:row r="871" ht="14.25" customHeight="1">
      <x:c r="K871" s="5"/>
      <x:c r="L871" s="5"/>
      <x:c r="M871" s="3"/>
      <x:c r="N871" s="3"/>
      <x:c r="O871" s="3"/>
      <x:c r="P871" s="9"/>
      <x:c r="Q871" s="9"/>
      <x:c r="R871" s="9"/>
      <x:c r="S871" s="9"/>
      <x:c r="T871" s="9"/>
      <x:c r="U871" s="9"/>
      <x:c r="V871" s="9"/>
      <x:c r="W871" s="9"/>
      <x:c r="X871" s="9"/>
      <x:c r="Y871" s="9"/>
      <x:c r="Z871" s="9"/>
    </x:row>
    <x:row r="872" ht="14.25" customHeight="1">
      <x:c r="K872" s="5"/>
      <x:c r="L872" s="5"/>
      <x:c r="M872" s="3"/>
      <x:c r="N872" s="3"/>
      <x:c r="O872" s="3"/>
      <x:c r="P872" s="9"/>
      <x:c r="Q872" s="9"/>
      <x:c r="R872" s="9"/>
      <x:c r="S872" s="9"/>
      <x:c r="T872" s="9"/>
      <x:c r="U872" s="9"/>
      <x:c r="V872" s="9"/>
      <x:c r="W872" s="9"/>
      <x:c r="X872" s="9"/>
      <x:c r="Y872" s="9"/>
      <x:c r="Z872" s="9"/>
    </x:row>
    <x:row r="873" ht="14.25" customHeight="1">
      <x:c r="K873" s="5"/>
      <x:c r="L873" s="5"/>
      <x:c r="M873" s="3"/>
      <x:c r="N873" s="3"/>
      <x:c r="O873" s="3"/>
      <x:c r="P873" s="9"/>
      <x:c r="Q873" s="9"/>
      <x:c r="R873" s="9"/>
      <x:c r="S873" s="9"/>
      <x:c r="T873" s="9"/>
      <x:c r="U873" s="9"/>
      <x:c r="V873" s="9"/>
      <x:c r="W873" s="9"/>
      <x:c r="X873" s="9"/>
      <x:c r="Y873" s="9"/>
      <x:c r="Z873" s="9"/>
    </x:row>
    <x:row r="874" ht="14.25" customHeight="1">
      <x:c r="K874" s="5"/>
      <x:c r="L874" s="5"/>
      <x:c r="M874" s="3"/>
      <x:c r="N874" s="3"/>
      <x:c r="O874" s="3"/>
      <x:c r="P874" s="9"/>
      <x:c r="Q874" s="9"/>
      <x:c r="R874" s="9"/>
      <x:c r="S874" s="9"/>
      <x:c r="T874" s="9"/>
      <x:c r="U874" s="9"/>
      <x:c r="V874" s="9"/>
      <x:c r="W874" s="9"/>
      <x:c r="X874" s="9"/>
      <x:c r="Y874" s="9"/>
      <x:c r="Z874" s="9"/>
    </x:row>
    <x:row r="875" ht="14.25" customHeight="1">
      <x:c r="K875" s="5"/>
      <x:c r="L875" s="5"/>
      <x:c r="M875" s="3"/>
      <x:c r="N875" s="3"/>
      <x:c r="O875" s="3"/>
      <x:c r="P875" s="9"/>
      <x:c r="Q875" s="9"/>
      <x:c r="R875" s="9"/>
      <x:c r="S875" s="9"/>
      <x:c r="T875" s="9"/>
      <x:c r="U875" s="9"/>
      <x:c r="V875" s="9"/>
      <x:c r="W875" s="9"/>
      <x:c r="X875" s="9"/>
      <x:c r="Y875" s="9"/>
      <x:c r="Z875" s="9"/>
    </x:row>
    <x:row r="876" ht="14.25" customHeight="1">
      <x:c r="K876" s="5"/>
      <x:c r="L876" s="5"/>
      <x:c r="M876" s="3"/>
      <x:c r="N876" s="3"/>
      <x:c r="O876" s="3"/>
      <x:c r="P876" s="9"/>
      <x:c r="Q876" s="9"/>
      <x:c r="R876" s="9"/>
      <x:c r="S876" s="9"/>
      <x:c r="T876" s="9"/>
      <x:c r="U876" s="9"/>
      <x:c r="V876" s="9"/>
      <x:c r="W876" s="9"/>
      <x:c r="X876" s="9"/>
      <x:c r="Y876" s="9"/>
      <x:c r="Z876" s="9"/>
    </x:row>
    <x:row r="877" ht="14.25" customHeight="1">
      <x:c r="K877" s="5"/>
      <x:c r="L877" s="5"/>
      <x:c r="M877" s="3"/>
      <x:c r="N877" s="3"/>
      <x:c r="O877" s="3"/>
      <x:c r="P877" s="9"/>
      <x:c r="Q877" s="9"/>
      <x:c r="R877" s="9"/>
      <x:c r="S877" s="9"/>
      <x:c r="T877" s="9"/>
      <x:c r="U877" s="9"/>
      <x:c r="V877" s="9"/>
      <x:c r="W877" s="9"/>
      <x:c r="X877" s="9"/>
      <x:c r="Y877" s="9"/>
      <x:c r="Z877" s="9"/>
    </x:row>
    <x:row r="878" ht="14.25" customHeight="1">
      <x:c r="K878" s="5"/>
      <x:c r="L878" s="5"/>
      <x:c r="M878" s="3"/>
      <x:c r="N878" s="3"/>
      <x:c r="O878" s="3"/>
      <x:c r="P878" s="9"/>
      <x:c r="Q878" s="9"/>
      <x:c r="R878" s="9"/>
      <x:c r="S878" s="9"/>
      <x:c r="T878" s="9"/>
      <x:c r="U878" s="9"/>
      <x:c r="V878" s="9"/>
      <x:c r="W878" s="9"/>
      <x:c r="X878" s="9"/>
      <x:c r="Y878" s="9"/>
      <x:c r="Z878" s="9"/>
    </x:row>
    <x:row r="879" ht="14.25" customHeight="1">
      <x:c r="K879" s="5"/>
      <x:c r="L879" s="5"/>
      <x:c r="M879" s="3"/>
      <x:c r="N879" s="3"/>
      <x:c r="O879" s="3"/>
      <x:c r="P879" s="9"/>
      <x:c r="Q879" s="9"/>
      <x:c r="R879" s="9"/>
      <x:c r="S879" s="9"/>
      <x:c r="T879" s="9"/>
      <x:c r="U879" s="9"/>
      <x:c r="V879" s="9"/>
      <x:c r="W879" s="9"/>
      <x:c r="X879" s="9"/>
      <x:c r="Y879" s="9"/>
      <x:c r="Z879" s="9"/>
    </x:row>
    <x:row r="880" ht="14.25" customHeight="1">
      <x:c r="K880" s="5"/>
      <x:c r="L880" s="5"/>
      <x:c r="M880" s="3"/>
      <x:c r="N880" s="3"/>
      <x:c r="O880" s="3"/>
      <x:c r="P880" s="9"/>
      <x:c r="Q880" s="9"/>
      <x:c r="R880" s="9"/>
      <x:c r="S880" s="9"/>
      <x:c r="T880" s="9"/>
      <x:c r="U880" s="9"/>
      <x:c r="V880" s="9"/>
      <x:c r="W880" s="9"/>
      <x:c r="X880" s="9"/>
      <x:c r="Y880" s="9"/>
      <x:c r="Z880" s="9"/>
    </x:row>
    <x:row r="881" ht="14.25" customHeight="1">
      <x:c r="K881" s="5"/>
      <x:c r="L881" s="5"/>
      <x:c r="M881" s="3"/>
      <x:c r="N881" s="3"/>
      <x:c r="O881" s="3"/>
      <x:c r="P881" s="9"/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</x:row>
    <x:row r="882" ht="14.25" customHeight="1">
      <x:c r="K882" s="5"/>
      <x:c r="L882" s="5"/>
      <x:c r="M882" s="3"/>
      <x:c r="N882" s="3"/>
      <x:c r="O882" s="3"/>
      <x:c r="P882" s="9"/>
      <x:c r="Q882" s="9"/>
      <x:c r="R882" s="9"/>
      <x:c r="S882" s="9"/>
      <x:c r="T882" s="9"/>
      <x:c r="U882" s="9"/>
      <x:c r="V882" s="9"/>
      <x:c r="W882" s="9"/>
      <x:c r="X882" s="9"/>
      <x:c r="Y882" s="9"/>
      <x:c r="Z882" s="9"/>
    </x:row>
    <x:row r="883" ht="14.25" customHeight="1">
      <x:c r="K883" s="5"/>
      <x:c r="L883" s="5"/>
      <x:c r="M883" s="3"/>
      <x:c r="N883" s="3"/>
      <x:c r="O883" s="3"/>
      <x:c r="P883" s="9"/>
      <x:c r="Q883" s="9"/>
      <x:c r="R883" s="9"/>
      <x:c r="S883" s="9"/>
      <x:c r="T883" s="9"/>
      <x:c r="U883" s="9"/>
      <x:c r="V883" s="9"/>
      <x:c r="W883" s="9"/>
      <x:c r="X883" s="9"/>
      <x:c r="Y883" s="9"/>
      <x:c r="Z883" s="9"/>
    </x:row>
    <x:row r="884" ht="14.25" customHeight="1">
      <x:c r="K884" s="5"/>
      <x:c r="L884" s="5"/>
      <x:c r="M884" s="3"/>
      <x:c r="N884" s="3"/>
      <x:c r="O884" s="3"/>
      <x:c r="P884" s="9"/>
      <x:c r="Q884" s="9"/>
      <x:c r="R884" s="9"/>
      <x:c r="S884" s="9"/>
      <x:c r="T884" s="9"/>
      <x:c r="U884" s="9"/>
      <x:c r="V884" s="9"/>
      <x:c r="W884" s="9"/>
      <x:c r="X884" s="9"/>
      <x:c r="Y884" s="9"/>
      <x:c r="Z884" s="9"/>
    </x:row>
    <x:row r="885" ht="14.25" customHeight="1">
      <x:c r="K885" s="5"/>
      <x:c r="L885" s="5"/>
      <x:c r="M885" s="3"/>
      <x:c r="N885" s="3"/>
      <x:c r="O885" s="3"/>
      <x:c r="P885" s="9"/>
      <x:c r="Q885" s="9"/>
      <x:c r="R885" s="9"/>
      <x:c r="S885" s="9"/>
      <x:c r="T885" s="9"/>
      <x:c r="U885" s="9"/>
      <x:c r="V885" s="9"/>
      <x:c r="W885" s="9"/>
      <x:c r="X885" s="9"/>
      <x:c r="Y885" s="9"/>
      <x:c r="Z885" s="9"/>
    </x:row>
    <x:row r="886" ht="14.25" customHeight="1">
      <x:c r="K886" s="5"/>
      <x:c r="L886" s="5"/>
      <x:c r="M886" s="3"/>
      <x:c r="N886" s="3"/>
      <x:c r="O886" s="3"/>
      <x:c r="P886" s="9"/>
      <x:c r="Q886" s="9"/>
      <x:c r="R886" s="9"/>
      <x:c r="S886" s="9"/>
      <x:c r="T886" s="9"/>
      <x:c r="U886" s="9"/>
      <x:c r="V886" s="9"/>
      <x:c r="W886" s="9"/>
      <x:c r="X886" s="9"/>
      <x:c r="Y886" s="9"/>
      <x:c r="Z886" s="9"/>
    </x:row>
    <x:row r="887" ht="14.25" customHeight="1">
      <x:c r="K887" s="5"/>
      <x:c r="L887" s="5"/>
      <x:c r="M887" s="3"/>
      <x:c r="N887" s="3"/>
      <x:c r="O887" s="3"/>
      <x:c r="P887" s="9"/>
      <x:c r="Q887" s="9"/>
      <x:c r="R887" s="9"/>
      <x:c r="S887" s="9"/>
      <x:c r="T887" s="9"/>
      <x:c r="U887" s="9"/>
      <x:c r="V887" s="9"/>
      <x:c r="W887" s="9"/>
      <x:c r="X887" s="9"/>
      <x:c r="Y887" s="9"/>
      <x:c r="Z887" s="9"/>
    </x:row>
    <x:row r="888" ht="14.25" customHeight="1">
      <x:c r="K888" s="5"/>
      <x:c r="L888" s="5"/>
      <x:c r="M888" s="3"/>
      <x:c r="N888" s="3"/>
      <x:c r="O888" s="3"/>
      <x:c r="P888" s="9"/>
      <x:c r="Q888" s="9"/>
      <x:c r="R888" s="9"/>
      <x:c r="S888" s="9"/>
      <x:c r="T888" s="9"/>
      <x:c r="U888" s="9"/>
      <x:c r="V888" s="9"/>
      <x:c r="W888" s="9"/>
      <x:c r="X888" s="9"/>
      <x:c r="Y888" s="9"/>
      <x:c r="Z888" s="9"/>
    </x:row>
    <x:row r="889" ht="14.25" customHeight="1">
      <x:c r="K889" s="5"/>
      <x:c r="L889" s="5"/>
      <x:c r="M889" s="3"/>
      <x:c r="N889" s="3"/>
      <x:c r="O889" s="3"/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</x:row>
    <x:row r="890" ht="14.25" customHeight="1">
      <x:c r="K890" s="5"/>
      <x:c r="L890" s="5"/>
      <x:c r="M890" s="3"/>
      <x:c r="N890" s="3"/>
      <x:c r="O890" s="3"/>
      <x:c r="P890" s="9"/>
      <x:c r="Q890" s="9"/>
      <x:c r="R890" s="9"/>
      <x:c r="S890" s="9"/>
      <x:c r="T890" s="9"/>
      <x:c r="U890" s="9"/>
      <x:c r="V890" s="9"/>
      <x:c r="W890" s="9"/>
      <x:c r="X890" s="9"/>
      <x:c r="Y890" s="9"/>
      <x:c r="Z890" s="9"/>
    </x:row>
    <x:row r="891" ht="14.25" customHeight="1">
      <x:c r="K891" s="5"/>
      <x:c r="L891" s="5"/>
      <x:c r="M891" s="3"/>
      <x:c r="N891" s="3"/>
      <x:c r="O891" s="3"/>
      <x:c r="P891" s="9"/>
      <x:c r="Q891" s="9"/>
      <x:c r="R891" s="9"/>
      <x:c r="S891" s="9"/>
      <x:c r="T891" s="9"/>
      <x:c r="U891" s="9"/>
      <x:c r="V891" s="9"/>
      <x:c r="W891" s="9"/>
      <x:c r="X891" s="9"/>
      <x:c r="Y891" s="9"/>
      <x:c r="Z891" s="9"/>
    </x:row>
    <x:row r="892" ht="14.25" customHeight="1">
      <x:c r="K892" s="5"/>
      <x:c r="L892" s="5"/>
      <x:c r="M892" s="3"/>
      <x:c r="N892" s="3"/>
      <x:c r="O892" s="3"/>
      <x:c r="P892" s="9"/>
      <x:c r="Q892" s="9"/>
      <x:c r="R892" s="9"/>
      <x:c r="S892" s="9"/>
      <x:c r="T892" s="9"/>
      <x:c r="U892" s="9"/>
      <x:c r="V892" s="9"/>
      <x:c r="W892" s="9"/>
      <x:c r="X892" s="9"/>
      <x:c r="Y892" s="9"/>
      <x:c r="Z892" s="9"/>
    </x:row>
    <x:row r="893" ht="14.25" customHeight="1">
      <x:c r="K893" s="5"/>
      <x:c r="L893" s="5"/>
      <x:c r="M893" s="3"/>
      <x:c r="N893" s="3"/>
      <x:c r="O893" s="3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</x:row>
    <x:row r="894" ht="14.25" customHeight="1">
      <x:c r="K894" s="5"/>
      <x:c r="L894" s="5"/>
      <x:c r="M894" s="3"/>
      <x:c r="N894" s="3"/>
      <x:c r="O894" s="3"/>
      <x:c r="P894" s="9"/>
      <x:c r="Q894" s="9"/>
      <x:c r="R894" s="9"/>
      <x:c r="S894" s="9"/>
      <x:c r="T894" s="9"/>
      <x:c r="U894" s="9"/>
      <x:c r="V894" s="9"/>
      <x:c r="W894" s="9"/>
      <x:c r="X894" s="9"/>
      <x:c r="Y894" s="9"/>
      <x:c r="Z894" s="9"/>
    </x:row>
    <x:row r="895" ht="14.25" customHeight="1">
      <x:c r="K895" s="5"/>
      <x:c r="L895" s="5"/>
      <x:c r="M895" s="3"/>
      <x:c r="N895" s="3"/>
      <x:c r="O895" s="3"/>
      <x:c r="P895" s="9"/>
      <x:c r="Q895" s="9"/>
      <x:c r="R895" s="9"/>
      <x:c r="S895" s="9"/>
      <x:c r="T895" s="9"/>
      <x:c r="U895" s="9"/>
      <x:c r="V895" s="9"/>
      <x:c r="W895" s="9"/>
      <x:c r="X895" s="9"/>
      <x:c r="Y895" s="9"/>
      <x:c r="Z895" s="9"/>
    </x:row>
    <x:row r="896" ht="14.25" customHeight="1">
      <x:c r="K896" s="5"/>
      <x:c r="L896" s="5"/>
      <x:c r="M896" s="3"/>
      <x:c r="N896" s="3"/>
      <x:c r="O896" s="3"/>
      <x:c r="P896" s="9"/>
      <x:c r="Q896" s="9"/>
      <x:c r="R896" s="9"/>
      <x:c r="S896" s="9"/>
      <x:c r="T896" s="9"/>
      <x:c r="U896" s="9"/>
      <x:c r="V896" s="9"/>
      <x:c r="W896" s="9"/>
      <x:c r="X896" s="9"/>
      <x:c r="Y896" s="9"/>
      <x:c r="Z896" s="9"/>
    </x:row>
    <x:row r="897" ht="14.25" customHeight="1">
      <x:c r="K897" s="5"/>
      <x:c r="L897" s="5"/>
      <x:c r="M897" s="3"/>
      <x:c r="N897" s="3"/>
      <x:c r="O897" s="3"/>
      <x:c r="P897" s="9"/>
      <x:c r="Q897" s="9"/>
      <x:c r="R897" s="9"/>
      <x:c r="S897" s="9"/>
      <x:c r="T897" s="9"/>
      <x:c r="U897" s="9"/>
      <x:c r="V897" s="9"/>
      <x:c r="W897" s="9"/>
      <x:c r="X897" s="9"/>
      <x:c r="Y897" s="9"/>
      <x:c r="Z897" s="9"/>
    </x:row>
    <x:row r="898" ht="14.25" customHeight="1">
      <x:c r="K898" s="5"/>
      <x:c r="L898" s="5"/>
      <x:c r="M898" s="3"/>
      <x:c r="N898" s="3"/>
      <x:c r="O898" s="3"/>
      <x:c r="P898" s="9"/>
      <x:c r="Q898" s="9"/>
      <x:c r="R898" s="9"/>
      <x:c r="S898" s="9"/>
      <x:c r="T898" s="9"/>
      <x:c r="U898" s="9"/>
      <x:c r="V898" s="9"/>
      <x:c r="W898" s="9"/>
      <x:c r="X898" s="9"/>
      <x:c r="Y898" s="9"/>
      <x:c r="Z898" s="9"/>
    </x:row>
    <x:row r="899" ht="14.25" customHeight="1">
      <x:c r="K899" s="5"/>
      <x:c r="L899" s="5"/>
      <x:c r="M899" s="3"/>
      <x:c r="N899" s="3"/>
      <x:c r="O899" s="3"/>
      <x:c r="P899" s="9"/>
      <x:c r="Q899" s="9"/>
      <x:c r="R899" s="9"/>
      <x:c r="S899" s="9"/>
      <x:c r="T899" s="9"/>
      <x:c r="U899" s="9"/>
      <x:c r="V899" s="9"/>
      <x:c r="W899" s="9"/>
      <x:c r="X899" s="9"/>
      <x:c r="Y899" s="9"/>
      <x:c r="Z899" s="9"/>
    </x:row>
    <x:row r="900" ht="14.25" customHeight="1">
      <x:c r="K900" s="5"/>
      <x:c r="L900" s="5"/>
      <x:c r="M900" s="3"/>
      <x:c r="N900" s="3"/>
      <x:c r="O900" s="3"/>
      <x:c r="P900" s="9"/>
      <x:c r="Q900" s="9"/>
      <x:c r="R900" s="9"/>
      <x:c r="S900" s="9"/>
      <x:c r="T900" s="9"/>
      <x:c r="U900" s="9"/>
      <x:c r="V900" s="9"/>
      <x:c r="W900" s="9"/>
      <x:c r="X900" s="9"/>
      <x:c r="Y900" s="9"/>
      <x:c r="Z900" s="9"/>
    </x:row>
    <x:row r="901" ht="14.25" customHeight="1">
      <x:c r="K901" s="5"/>
      <x:c r="L901" s="5"/>
      <x:c r="M901" s="3"/>
      <x:c r="N901" s="3"/>
      <x:c r="O901" s="3"/>
      <x:c r="P901" s="9"/>
      <x:c r="Q901" s="9"/>
      <x:c r="R901" s="9"/>
      <x:c r="S901" s="9"/>
      <x:c r="T901" s="9"/>
      <x:c r="U901" s="9"/>
      <x:c r="V901" s="9"/>
      <x:c r="W901" s="9"/>
      <x:c r="X901" s="9"/>
      <x:c r="Y901" s="9"/>
      <x:c r="Z901" s="9"/>
    </x:row>
    <x:row r="902" ht="14.25" customHeight="1">
      <x:c r="K902" s="5"/>
      <x:c r="L902" s="5"/>
      <x:c r="M902" s="3"/>
      <x:c r="N902" s="3"/>
      <x:c r="O902" s="3"/>
      <x:c r="P902" s="9"/>
      <x:c r="Q902" s="9"/>
      <x:c r="R902" s="9"/>
      <x:c r="S902" s="9"/>
      <x:c r="T902" s="9"/>
      <x:c r="U902" s="9"/>
      <x:c r="V902" s="9"/>
      <x:c r="W902" s="9"/>
      <x:c r="X902" s="9"/>
      <x:c r="Y902" s="9"/>
      <x:c r="Z902" s="9"/>
    </x:row>
    <x:row r="903" ht="14.25" customHeight="1">
      <x:c r="K903" s="5"/>
      <x:c r="L903" s="5"/>
      <x:c r="M903" s="3"/>
      <x:c r="N903" s="3"/>
      <x:c r="O903" s="3"/>
      <x:c r="P903" s="9"/>
      <x:c r="Q903" s="9"/>
      <x:c r="R903" s="9"/>
      <x:c r="S903" s="9"/>
      <x:c r="T903" s="9"/>
      <x:c r="U903" s="9"/>
      <x:c r="V903" s="9"/>
      <x:c r="W903" s="9"/>
      <x:c r="X903" s="9"/>
      <x:c r="Y903" s="9"/>
      <x:c r="Z903" s="9"/>
    </x:row>
    <x:row r="904" ht="14.25" customHeight="1">
      <x:c r="K904" s="5"/>
      <x:c r="L904" s="5"/>
      <x:c r="M904" s="3"/>
      <x:c r="N904" s="3"/>
      <x:c r="O904" s="3"/>
      <x:c r="P904" s="9"/>
      <x:c r="Q904" s="9"/>
      <x:c r="R904" s="9"/>
      <x:c r="S904" s="9"/>
      <x:c r="T904" s="9"/>
      <x:c r="U904" s="9"/>
      <x:c r="V904" s="9"/>
      <x:c r="W904" s="9"/>
      <x:c r="X904" s="9"/>
      <x:c r="Y904" s="9"/>
      <x:c r="Z904" s="9"/>
    </x:row>
    <x:row r="905" ht="14.25" customHeight="1">
      <x:c r="K905" s="5"/>
      <x:c r="L905" s="5"/>
      <x:c r="M905" s="3"/>
      <x:c r="N905" s="3"/>
      <x:c r="O905" s="3"/>
      <x:c r="P905" s="9"/>
      <x:c r="Q905" s="9"/>
      <x:c r="R905" s="9"/>
      <x:c r="S905" s="9"/>
      <x:c r="T905" s="9"/>
      <x:c r="U905" s="9"/>
      <x:c r="V905" s="9"/>
      <x:c r="W905" s="9"/>
      <x:c r="X905" s="9"/>
      <x:c r="Y905" s="9"/>
      <x:c r="Z905" s="9"/>
    </x:row>
    <x:row r="906" ht="14.25" customHeight="1">
      <x:c r="K906" s="5"/>
      <x:c r="L906" s="5"/>
      <x:c r="M906" s="3"/>
      <x:c r="N906" s="3"/>
      <x:c r="O906" s="3"/>
      <x:c r="P906" s="9"/>
      <x:c r="Q906" s="9"/>
      <x:c r="R906" s="9"/>
      <x:c r="S906" s="9"/>
      <x:c r="T906" s="9"/>
      <x:c r="U906" s="9"/>
      <x:c r="V906" s="9"/>
      <x:c r="W906" s="9"/>
      <x:c r="X906" s="9"/>
      <x:c r="Y906" s="9"/>
      <x:c r="Z906" s="9"/>
    </x:row>
    <x:row r="907" ht="14.25" customHeight="1">
      <x:c r="K907" s="5"/>
      <x:c r="L907" s="5"/>
      <x:c r="M907" s="3"/>
      <x:c r="N907" s="3"/>
      <x:c r="O907" s="3"/>
      <x:c r="P907" s="9"/>
      <x:c r="Q907" s="9"/>
      <x:c r="R907" s="9"/>
      <x:c r="S907" s="9"/>
      <x:c r="T907" s="9"/>
      <x:c r="U907" s="9"/>
      <x:c r="V907" s="9"/>
      <x:c r="W907" s="9"/>
      <x:c r="X907" s="9"/>
      <x:c r="Y907" s="9"/>
      <x:c r="Z907" s="9"/>
    </x:row>
    <x:row r="908" ht="14.25" customHeight="1">
      <x:c r="K908" s="5"/>
      <x:c r="L908" s="5"/>
      <x:c r="M908" s="3"/>
      <x:c r="N908" s="3"/>
      <x:c r="O908" s="3"/>
      <x:c r="P908" s="9"/>
      <x:c r="Q908" s="9"/>
      <x:c r="R908" s="9"/>
      <x:c r="S908" s="9"/>
      <x:c r="T908" s="9"/>
      <x:c r="U908" s="9"/>
      <x:c r="V908" s="9"/>
      <x:c r="W908" s="9"/>
      <x:c r="X908" s="9"/>
      <x:c r="Y908" s="9"/>
      <x:c r="Z908" s="9"/>
    </x:row>
    <x:row r="909" ht="14.25" customHeight="1">
      <x:c r="K909" s="5"/>
      <x:c r="L909" s="5"/>
      <x:c r="M909" s="3"/>
      <x:c r="N909" s="3"/>
      <x:c r="O909" s="3"/>
      <x:c r="P909" s="9"/>
      <x:c r="Q909" s="9"/>
      <x:c r="R909" s="9"/>
      <x:c r="S909" s="9"/>
      <x:c r="T909" s="9"/>
      <x:c r="U909" s="9"/>
      <x:c r="V909" s="9"/>
      <x:c r="W909" s="9"/>
      <x:c r="X909" s="9"/>
      <x:c r="Y909" s="9"/>
      <x:c r="Z909" s="9"/>
    </x:row>
    <x:row r="910" ht="14.25" customHeight="1">
      <x:c r="K910" s="5"/>
      <x:c r="L910" s="5"/>
      <x:c r="M910" s="3"/>
      <x:c r="N910" s="3"/>
      <x:c r="O910" s="3"/>
      <x:c r="P910" s="9"/>
      <x:c r="Q910" s="9"/>
      <x:c r="R910" s="9"/>
      <x:c r="S910" s="9"/>
      <x:c r="T910" s="9"/>
      <x:c r="U910" s="9"/>
      <x:c r="V910" s="9"/>
      <x:c r="W910" s="9"/>
      <x:c r="X910" s="9"/>
      <x:c r="Y910" s="9"/>
      <x:c r="Z910" s="9"/>
    </x:row>
    <x:row r="911" ht="14.25" customHeight="1">
      <x:c r="K911" s="5"/>
      <x:c r="L911" s="5"/>
      <x:c r="M911" s="3"/>
      <x:c r="N911" s="3"/>
      <x:c r="O911" s="3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</x:row>
    <x:row r="912" ht="14.25" customHeight="1">
      <x:c r="K912" s="5"/>
      <x:c r="L912" s="5"/>
      <x:c r="M912" s="3"/>
      <x:c r="N912" s="3"/>
      <x:c r="O912" s="3"/>
      <x:c r="P912" s="9"/>
      <x:c r="Q912" s="9"/>
      <x:c r="R912" s="9"/>
      <x:c r="S912" s="9"/>
      <x:c r="T912" s="9"/>
      <x:c r="U912" s="9"/>
      <x:c r="V912" s="9"/>
      <x:c r="W912" s="9"/>
      <x:c r="X912" s="9"/>
      <x:c r="Y912" s="9"/>
      <x:c r="Z912" s="9"/>
    </x:row>
    <x:row r="913" ht="14.25" customHeight="1">
      <x:c r="K913" s="5"/>
      <x:c r="L913" s="5"/>
      <x:c r="M913" s="3"/>
      <x:c r="N913" s="3"/>
      <x:c r="O913" s="3"/>
      <x:c r="P913" s="9"/>
      <x:c r="Q913" s="9"/>
      <x:c r="R913" s="9"/>
      <x:c r="S913" s="9"/>
      <x:c r="T913" s="9"/>
      <x:c r="U913" s="9"/>
      <x:c r="V913" s="9"/>
      <x:c r="W913" s="9"/>
      <x:c r="X913" s="9"/>
      <x:c r="Y913" s="9"/>
      <x:c r="Z913" s="9"/>
    </x:row>
    <x:row r="914" ht="14.25" customHeight="1">
      <x:c r="K914" s="5"/>
      <x:c r="L914" s="5"/>
      <x:c r="M914" s="3"/>
      <x:c r="N914" s="3"/>
      <x:c r="O914" s="3"/>
      <x:c r="P914" s="9"/>
      <x:c r="Q914" s="9"/>
      <x:c r="R914" s="9"/>
      <x:c r="S914" s="9"/>
      <x:c r="T914" s="9"/>
      <x:c r="U914" s="9"/>
      <x:c r="V914" s="9"/>
      <x:c r="W914" s="9"/>
      <x:c r="X914" s="9"/>
      <x:c r="Y914" s="9"/>
      <x:c r="Z914" s="9"/>
    </x:row>
    <x:row r="915" ht="14.25" customHeight="1">
      <x:c r="K915" s="5"/>
      <x:c r="L915" s="5"/>
      <x:c r="M915" s="3"/>
      <x:c r="N915" s="3"/>
      <x:c r="O915" s="3"/>
      <x:c r="P915" s="9"/>
      <x:c r="Q915" s="9"/>
      <x:c r="R915" s="9"/>
      <x:c r="S915" s="9"/>
      <x:c r="T915" s="9"/>
      <x:c r="U915" s="9"/>
      <x:c r="V915" s="9"/>
      <x:c r="W915" s="9"/>
      <x:c r="X915" s="9"/>
      <x:c r="Y915" s="9"/>
      <x:c r="Z915" s="9"/>
    </x:row>
    <x:row r="916" ht="14.25" customHeight="1">
      <x:c r="K916" s="5"/>
      <x:c r="L916" s="5"/>
      <x:c r="M916" s="3"/>
      <x:c r="N916" s="3"/>
      <x:c r="O916" s="3"/>
      <x:c r="P916" s="9"/>
      <x:c r="Q916" s="9"/>
      <x:c r="R916" s="9"/>
      <x:c r="S916" s="9"/>
      <x:c r="T916" s="9"/>
      <x:c r="U916" s="9"/>
      <x:c r="V916" s="9"/>
      <x:c r="W916" s="9"/>
      <x:c r="X916" s="9"/>
      <x:c r="Y916" s="9"/>
      <x:c r="Z916" s="9"/>
    </x:row>
    <x:row r="917" ht="14.25" customHeight="1">
      <x:c r="K917" s="5"/>
      <x:c r="L917" s="5"/>
      <x:c r="M917" s="3"/>
      <x:c r="N917" s="3"/>
      <x:c r="O917" s="3"/>
      <x:c r="P917" s="9"/>
      <x:c r="Q917" s="9"/>
      <x:c r="R917" s="9"/>
      <x:c r="S917" s="9"/>
      <x:c r="T917" s="9"/>
      <x:c r="U917" s="9"/>
      <x:c r="V917" s="9"/>
      <x:c r="W917" s="9"/>
      <x:c r="X917" s="9"/>
      <x:c r="Y917" s="9"/>
      <x:c r="Z917" s="9"/>
    </x:row>
    <x:row r="918" ht="14.25" customHeight="1">
      <x:c r="K918" s="5"/>
      <x:c r="L918" s="5"/>
      <x:c r="M918" s="3"/>
      <x:c r="N918" s="3"/>
      <x:c r="O918" s="3"/>
      <x:c r="P918" s="9"/>
      <x:c r="Q918" s="9"/>
      <x:c r="R918" s="9"/>
      <x:c r="S918" s="9"/>
      <x:c r="T918" s="9"/>
      <x:c r="U918" s="9"/>
      <x:c r="V918" s="9"/>
      <x:c r="W918" s="9"/>
      <x:c r="X918" s="9"/>
      <x:c r="Y918" s="9"/>
      <x:c r="Z918" s="9"/>
    </x:row>
    <x:row r="919" ht="14.25" customHeight="1">
      <x:c r="K919" s="5"/>
      <x:c r="L919" s="5"/>
      <x:c r="M919" s="3"/>
      <x:c r="N919" s="3"/>
      <x:c r="O919" s="3"/>
      <x:c r="P919" s="9"/>
      <x:c r="Q919" s="9"/>
      <x:c r="R919" s="9"/>
      <x:c r="S919" s="9"/>
      <x:c r="T919" s="9"/>
      <x:c r="U919" s="9"/>
      <x:c r="V919" s="9"/>
      <x:c r="W919" s="9"/>
      <x:c r="X919" s="9"/>
      <x:c r="Y919" s="9"/>
      <x:c r="Z919" s="9"/>
    </x:row>
    <x:row r="920" ht="14.25" customHeight="1">
      <x:c r="K920" s="5"/>
      <x:c r="L920" s="5"/>
      <x:c r="M920" s="3"/>
      <x:c r="N920" s="3"/>
      <x:c r="O920" s="3"/>
      <x:c r="P920" s="9"/>
      <x:c r="Q920" s="9"/>
      <x:c r="R920" s="9"/>
      <x:c r="S920" s="9"/>
      <x:c r="T920" s="9"/>
      <x:c r="U920" s="9"/>
      <x:c r="V920" s="9"/>
      <x:c r="W920" s="9"/>
      <x:c r="X920" s="9"/>
      <x:c r="Y920" s="9"/>
      <x:c r="Z920" s="9"/>
    </x:row>
    <x:row r="921" ht="14.25" customHeight="1">
      <x:c r="K921" s="5"/>
      <x:c r="L921" s="5"/>
      <x:c r="M921" s="3"/>
      <x:c r="N921" s="3"/>
      <x:c r="O921" s="3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</x:row>
    <x:row r="922" ht="14.25" customHeight="1">
      <x:c r="K922" s="5"/>
      <x:c r="L922" s="5"/>
      <x:c r="M922" s="3"/>
      <x:c r="N922" s="3"/>
      <x:c r="O922" s="3"/>
      <x:c r="P922" s="9"/>
      <x:c r="Q922" s="9"/>
      <x:c r="R922" s="9"/>
      <x:c r="S922" s="9"/>
      <x:c r="T922" s="9"/>
      <x:c r="U922" s="9"/>
      <x:c r="V922" s="9"/>
      <x:c r="W922" s="9"/>
      <x:c r="X922" s="9"/>
      <x:c r="Y922" s="9"/>
      <x:c r="Z922" s="9"/>
    </x:row>
    <x:row r="923" ht="14.25" customHeight="1">
      <x:c r="K923" s="5"/>
      <x:c r="L923" s="5"/>
      <x:c r="M923" s="3"/>
      <x:c r="N923" s="3"/>
      <x:c r="O923" s="3"/>
      <x:c r="P923" s="9"/>
      <x:c r="Q923" s="9"/>
      <x:c r="R923" s="9"/>
      <x:c r="S923" s="9"/>
      <x:c r="T923" s="9"/>
      <x:c r="U923" s="9"/>
      <x:c r="V923" s="9"/>
      <x:c r="W923" s="9"/>
      <x:c r="X923" s="9"/>
      <x:c r="Y923" s="9"/>
      <x:c r="Z923" s="9"/>
    </x:row>
    <x:row r="924" ht="14.25" customHeight="1">
      <x:c r="K924" s="5"/>
      <x:c r="L924" s="5"/>
      <x:c r="M924" s="3"/>
      <x:c r="N924" s="3"/>
      <x:c r="O924" s="3"/>
      <x:c r="P924" s="9"/>
      <x:c r="Q924" s="9"/>
      <x:c r="R924" s="9"/>
      <x:c r="S924" s="9"/>
      <x:c r="T924" s="9"/>
      <x:c r="U924" s="9"/>
      <x:c r="V924" s="9"/>
      <x:c r="W924" s="9"/>
      <x:c r="X924" s="9"/>
      <x:c r="Y924" s="9"/>
      <x:c r="Z924" s="9"/>
    </x:row>
    <x:row r="925" ht="14.25" customHeight="1">
      <x:c r="K925" s="5"/>
      <x:c r="L925" s="5"/>
      <x:c r="M925" s="3"/>
      <x:c r="N925" s="3"/>
      <x:c r="O925" s="3"/>
      <x:c r="P925" s="9"/>
      <x:c r="Q925" s="9"/>
      <x:c r="R925" s="9"/>
      <x:c r="S925" s="9"/>
      <x:c r="T925" s="9"/>
      <x:c r="U925" s="9"/>
      <x:c r="V925" s="9"/>
      <x:c r="W925" s="9"/>
      <x:c r="X925" s="9"/>
      <x:c r="Y925" s="9"/>
      <x:c r="Z925" s="9"/>
    </x:row>
    <x:row r="926" ht="14.25" customHeight="1">
      <x:c r="K926" s="5"/>
      <x:c r="L926" s="5"/>
      <x:c r="M926" s="3"/>
      <x:c r="N926" s="3"/>
      <x:c r="O926" s="3"/>
      <x:c r="P926" s="9"/>
      <x:c r="Q926" s="9"/>
      <x:c r="R926" s="9"/>
      <x:c r="S926" s="9"/>
      <x:c r="T926" s="9"/>
      <x:c r="U926" s="9"/>
      <x:c r="V926" s="9"/>
      <x:c r="W926" s="9"/>
      <x:c r="X926" s="9"/>
      <x:c r="Y926" s="9"/>
      <x:c r="Z926" s="9"/>
    </x:row>
    <x:row r="927" ht="14.25" customHeight="1">
      <x:c r="K927" s="5"/>
      <x:c r="L927" s="5"/>
      <x:c r="M927" s="3"/>
      <x:c r="N927" s="3"/>
      <x:c r="O927" s="3"/>
      <x:c r="P927" s="9"/>
      <x:c r="Q927" s="9"/>
      <x:c r="R927" s="9"/>
      <x:c r="S927" s="9"/>
      <x:c r="T927" s="9"/>
      <x:c r="U927" s="9"/>
      <x:c r="V927" s="9"/>
      <x:c r="W927" s="9"/>
      <x:c r="X927" s="9"/>
      <x:c r="Y927" s="9"/>
      <x:c r="Z927" s="9"/>
    </x:row>
    <x:row r="928" ht="14.25" customHeight="1">
      <x:c r="K928" s="5"/>
      <x:c r="L928" s="5"/>
      <x:c r="M928" s="3"/>
      <x:c r="N928" s="3"/>
      <x:c r="O928" s="3"/>
      <x:c r="P928" s="9"/>
      <x:c r="Q928" s="9"/>
      <x:c r="R928" s="9"/>
      <x:c r="S928" s="9"/>
      <x:c r="T928" s="9"/>
      <x:c r="U928" s="9"/>
      <x:c r="V928" s="9"/>
      <x:c r="W928" s="9"/>
      <x:c r="X928" s="9"/>
      <x:c r="Y928" s="9"/>
      <x:c r="Z928" s="9"/>
    </x:row>
    <x:row r="929" ht="14.25" customHeight="1">
      <x:c r="K929" s="5"/>
      <x:c r="L929" s="5"/>
      <x:c r="M929" s="3"/>
      <x:c r="N929" s="3"/>
      <x:c r="O929" s="3"/>
      <x:c r="P929" s="9"/>
      <x:c r="Q929" s="9"/>
      <x:c r="R929" s="9"/>
      <x:c r="S929" s="9"/>
      <x:c r="T929" s="9"/>
      <x:c r="U929" s="9"/>
      <x:c r="V929" s="9"/>
      <x:c r="W929" s="9"/>
      <x:c r="X929" s="9"/>
      <x:c r="Y929" s="9"/>
      <x:c r="Z929" s="9"/>
    </x:row>
    <x:row r="930" ht="14.25" customHeight="1">
      <x:c r="K930" s="5"/>
      <x:c r="L930" s="5"/>
      <x:c r="M930" s="3"/>
      <x:c r="N930" s="3"/>
      <x:c r="O930" s="3"/>
      <x:c r="P930" s="9"/>
      <x:c r="Q930" s="9"/>
      <x:c r="R930" s="9"/>
      <x:c r="S930" s="9"/>
      <x:c r="T930" s="9"/>
      <x:c r="U930" s="9"/>
      <x:c r="V930" s="9"/>
      <x:c r="W930" s="9"/>
      <x:c r="X930" s="9"/>
      <x:c r="Y930" s="9"/>
      <x:c r="Z930" s="9"/>
    </x:row>
    <x:row r="931" ht="14.25" customHeight="1">
      <x:c r="K931" s="5"/>
      <x:c r="L931" s="5"/>
      <x:c r="M931" s="3"/>
      <x:c r="N931" s="3"/>
      <x:c r="O931" s="3"/>
      <x:c r="P931" s="9"/>
      <x:c r="Q931" s="9"/>
      <x:c r="R931" s="9"/>
      <x:c r="S931" s="9"/>
      <x:c r="T931" s="9"/>
      <x:c r="U931" s="9"/>
      <x:c r="V931" s="9"/>
      <x:c r="W931" s="9"/>
      <x:c r="X931" s="9"/>
      <x:c r="Y931" s="9"/>
      <x:c r="Z931" s="9"/>
    </x:row>
    <x:row r="932" ht="14.25" customHeight="1">
      <x:c r="K932" s="5"/>
      <x:c r="L932" s="5"/>
      <x:c r="M932" s="3"/>
      <x:c r="N932" s="3"/>
      <x:c r="O932" s="3"/>
      <x:c r="P932" s="9"/>
      <x:c r="Q932" s="9"/>
      <x:c r="R932" s="9"/>
      <x:c r="S932" s="9"/>
      <x:c r="T932" s="9"/>
      <x:c r="U932" s="9"/>
      <x:c r="V932" s="9"/>
      <x:c r="W932" s="9"/>
      <x:c r="X932" s="9"/>
      <x:c r="Y932" s="9"/>
      <x:c r="Z932" s="9"/>
    </x:row>
    <x:row r="933" ht="14.25" customHeight="1">
      <x:c r="K933" s="5"/>
      <x:c r="L933" s="5"/>
      <x:c r="M933" s="3"/>
      <x:c r="N933" s="3"/>
      <x:c r="O933" s="3"/>
      <x:c r="P933" s="9"/>
      <x:c r="Q933" s="9"/>
      <x:c r="R933" s="9"/>
      <x:c r="S933" s="9"/>
      <x:c r="T933" s="9"/>
      <x:c r="U933" s="9"/>
      <x:c r="V933" s="9"/>
      <x:c r="W933" s="9"/>
      <x:c r="X933" s="9"/>
      <x:c r="Y933" s="9"/>
      <x:c r="Z933" s="9"/>
    </x:row>
    <x:row r="934" ht="14.25" customHeight="1">
      <x:c r="K934" s="5"/>
      <x:c r="L934" s="5"/>
      <x:c r="M934" s="3"/>
      <x:c r="N934" s="3"/>
      <x:c r="O934" s="3"/>
      <x:c r="P934" s="9"/>
      <x:c r="Q934" s="9"/>
      <x:c r="R934" s="9"/>
      <x:c r="S934" s="9"/>
      <x:c r="T934" s="9"/>
      <x:c r="U934" s="9"/>
      <x:c r="V934" s="9"/>
      <x:c r="W934" s="9"/>
      <x:c r="X934" s="9"/>
      <x:c r="Y934" s="9"/>
      <x:c r="Z934" s="9"/>
    </x:row>
    <x:row r="935" ht="14.25" customHeight="1">
      <x:c r="K935" s="5"/>
      <x:c r="L935" s="5"/>
      <x:c r="M935" s="3"/>
      <x:c r="N935" s="3"/>
      <x:c r="O935" s="3"/>
      <x:c r="P935" s="9"/>
      <x:c r="Q935" s="9"/>
      <x:c r="R935" s="9"/>
      <x:c r="S935" s="9"/>
      <x:c r="T935" s="9"/>
      <x:c r="U935" s="9"/>
      <x:c r="V935" s="9"/>
      <x:c r="W935" s="9"/>
      <x:c r="X935" s="9"/>
      <x:c r="Y935" s="9"/>
      <x:c r="Z935" s="9"/>
    </x:row>
    <x:row r="936" ht="14.25" customHeight="1">
      <x:c r="K936" s="5"/>
      <x:c r="L936" s="5"/>
      <x:c r="M936" s="3"/>
      <x:c r="N936" s="3"/>
      <x:c r="O936" s="3"/>
      <x:c r="P936" s="9"/>
      <x:c r="Q936" s="9"/>
      <x:c r="R936" s="9"/>
      <x:c r="S936" s="9"/>
      <x:c r="T936" s="9"/>
      <x:c r="U936" s="9"/>
      <x:c r="V936" s="9"/>
      <x:c r="W936" s="9"/>
      <x:c r="X936" s="9"/>
      <x:c r="Y936" s="9"/>
      <x:c r="Z936" s="9"/>
    </x:row>
    <x:row r="937" ht="14.25" customHeight="1">
      <x:c r="K937" s="5"/>
      <x:c r="L937" s="5"/>
      <x:c r="M937" s="3"/>
      <x:c r="N937" s="3"/>
      <x:c r="O937" s="3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</x:row>
    <x:row r="938" ht="14.25" customHeight="1">
      <x:c r="K938" s="5"/>
      <x:c r="L938" s="5"/>
      <x:c r="M938" s="3"/>
      <x:c r="N938" s="3"/>
      <x:c r="O938" s="3"/>
      <x:c r="P938" s="9"/>
      <x:c r="Q938" s="9"/>
      <x:c r="R938" s="9"/>
      <x:c r="S938" s="9"/>
      <x:c r="T938" s="9"/>
      <x:c r="U938" s="9"/>
      <x:c r="V938" s="9"/>
      <x:c r="W938" s="9"/>
      <x:c r="X938" s="9"/>
      <x:c r="Y938" s="9"/>
      <x:c r="Z938" s="9"/>
    </x:row>
    <x:row r="939" ht="14.25" customHeight="1">
      <x:c r="K939" s="5"/>
      <x:c r="L939" s="5"/>
      <x:c r="M939" s="3"/>
      <x:c r="N939" s="3"/>
      <x:c r="O939" s="3"/>
      <x:c r="P939" s="9"/>
      <x:c r="Q939" s="9"/>
      <x:c r="R939" s="9"/>
      <x:c r="S939" s="9"/>
      <x:c r="T939" s="9"/>
      <x:c r="U939" s="9"/>
      <x:c r="V939" s="9"/>
      <x:c r="W939" s="9"/>
      <x:c r="X939" s="9"/>
      <x:c r="Y939" s="9"/>
      <x:c r="Z939" s="9"/>
    </x:row>
    <x:row r="940" ht="14.25" customHeight="1">
      <x:c r="K940" s="5"/>
      <x:c r="L940" s="5"/>
      <x:c r="M940" s="3"/>
      <x:c r="N940" s="3"/>
      <x:c r="O940" s="3"/>
      <x:c r="P940" s="9"/>
      <x:c r="Q940" s="9"/>
      <x:c r="R940" s="9"/>
      <x:c r="S940" s="9"/>
      <x:c r="T940" s="9"/>
      <x:c r="U940" s="9"/>
      <x:c r="V940" s="9"/>
      <x:c r="W940" s="9"/>
      <x:c r="X940" s="9"/>
      <x:c r="Y940" s="9"/>
      <x:c r="Z940" s="9"/>
    </x:row>
    <x:row r="941" ht="14.25" customHeight="1">
      <x:c r="K941" s="5"/>
      <x:c r="L941" s="5"/>
      <x:c r="M941" s="3"/>
      <x:c r="N941" s="3"/>
      <x:c r="O941" s="3"/>
      <x:c r="P941" s="9"/>
      <x:c r="Q941" s="9"/>
      <x:c r="R941" s="9"/>
      <x:c r="S941" s="9"/>
      <x:c r="T941" s="9"/>
      <x:c r="U941" s="9"/>
      <x:c r="V941" s="9"/>
      <x:c r="W941" s="9"/>
      <x:c r="X941" s="9"/>
      <x:c r="Y941" s="9"/>
      <x:c r="Z941" s="9"/>
    </x:row>
    <x:row r="942" ht="14.25" customHeight="1">
      <x:c r="K942" s="5"/>
      <x:c r="L942" s="5"/>
      <x:c r="M942" s="3"/>
      <x:c r="N942" s="3"/>
      <x:c r="O942" s="3"/>
      <x:c r="P942" s="9"/>
      <x:c r="Q942" s="9"/>
      <x:c r="R942" s="9"/>
      <x:c r="S942" s="9"/>
      <x:c r="T942" s="9"/>
      <x:c r="U942" s="9"/>
      <x:c r="V942" s="9"/>
      <x:c r="W942" s="9"/>
      <x:c r="X942" s="9"/>
      <x:c r="Y942" s="9"/>
      <x:c r="Z942" s="9"/>
    </x:row>
    <x:row r="943" ht="14.25" customHeight="1">
      <x:c r="K943" s="5"/>
      <x:c r="L943" s="5"/>
      <x:c r="M943" s="3"/>
      <x:c r="N943" s="3"/>
      <x:c r="O943" s="3"/>
      <x:c r="P943" s="9"/>
      <x:c r="Q943" s="9"/>
      <x:c r="R943" s="9"/>
      <x:c r="S943" s="9"/>
      <x:c r="T943" s="9"/>
      <x:c r="U943" s="9"/>
      <x:c r="V943" s="9"/>
      <x:c r="W943" s="9"/>
      <x:c r="X943" s="9"/>
      <x:c r="Y943" s="9"/>
      <x:c r="Z943" s="9"/>
    </x:row>
    <x:row r="944" ht="14.25" customHeight="1">
      <x:c r="K944" s="5"/>
      <x:c r="L944" s="5"/>
      <x:c r="M944" s="3"/>
      <x:c r="N944" s="3"/>
      <x:c r="O944" s="3"/>
      <x:c r="P944" s="9"/>
      <x:c r="Q944" s="9"/>
      <x:c r="R944" s="9"/>
      <x:c r="S944" s="9"/>
      <x:c r="T944" s="9"/>
      <x:c r="U944" s="9"/>
      <x:c r="V944" s="9"/>
      <x:c r="W944" s="9"/>
      <x:c r="X944" s="9"/>
      <x:c r="Y944" s="9"/>
      <x:c r="Z944" s="9"/>
    </x:row>
    <x:row r="945" ht="14.25" customHeight="1">
      <x:c r="K945" s="5"/>
      <x:c r="L945" s="5"/>
      <x:c r="M945" s="3"/>
      <x:c r="N945" s="3"/>
      <x:c r="O945" s="3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</x:row>
    <x:row r="946" ht="14.25" customHeight="1">
      <x:c r="K946" s="5"/>
      <x:c r="L946" s="5"/>
      <x:c r="M946" s="3"/>
      <x:c r="N946" s="3"/>
      <x:c r="O946" s="3"/>
      <x:c r="P946" s="9"/>
      <x:c r="Q946" s="9"/>
      <x:c r="R946" s="9"/>
      <x:c r="S946" s="9"/>
      <x:c r="T946" s="9"/>
      <x:c r="U946" s="9"/>
      <x:c r="V946" s="9"/>
      <x:c r="W946" s="9"/>
      <x:c r="X946" s="9"/>
      <x:c r="Y946" s="9"/>
      <x:c r="Z946" s="9"/>
    </x:row>
    <x:row r="947" ht="14.25" customHeight="1">
      <x:c r="K947" s="5"/>
      <x:c r="L947" s="5"/>
      <x:c r="M947" s="3"/>
      <x:c r="N947" s="3"/>
      <x:c r="O947" s="3"/>
      <x:c r="P947" s="9"/>
      <x:c r="Q947" s="9"/>
      <x:c r="R947" s="9"/>
      <x:c r="S947" s="9"/>
      <x:c r="T947" s="9"/>
      <x:c r="U947" s="9"/>
      <x:c r="V947" s="9"/>
      <x:c r="W947" s="9"/>
      <x:c r="X947" s="9"/>
      <x:c r="Y947" s="9"/>
      <x:c r="Z947" s="9"/>
    </x:row>
    <x:row r="948" ht="14.25" customHeight="1">
      <x:c r="K948" s="5"/>
      <x:c r="L948" s="5"/>
      <x:c r="M948" s="3"/>
      <x:c r="N948" s="3"/>
      <x:c r="O948" s="3"/>
      <x:c r="P948" s="9"/>
      <x:c r="Q948" s="9"/>
      <x:c r="R948" s="9"/>
      <x:c r="S948" s="9"/>
      <x:c r="T948" s="9"/>
      <x:c r="U948" s="9"/>
      <x:c r="V948" s="9"/>
      <x:c r="W948" s="9"/>
      <x:c r="X948" s="9"/>
      <x:c r="Y948" s="9"/>
      <x:c r="Z948" s="9"/>
    </x:row>
    <x:row r="949" ht="14.25" customHeight="1">
      <x:c r="K949" s="5"/>
      <x:c r="L949" s="5"/>
      <x:c r="M949" s="3"/>
      <x:c r="N949" s="3"/>
      <x:c r="O949" s="3"/>
      <x:c r="P949" s="9"/>
      <x:c r="Q949" s="9"/>
      <x:c r="R949" s="9"/>
      <x:c r="S949" s="9"/>
      <x:c r="T949" s="9"/>
      <x:c r="U949" s="9"/>
      <x:c r="V949" s="9"/>
      <x:c r="W949" s="9"/>
      <x:c r="X949" s="9"/>
      <x:c r="Y949" s="9"/>
      <x:c r="Z949" s="9"/>
    </x:row>
    <x:row r="950" ht="14.25" customHeight="1">
      <x:c r="K950" s="5"/>
      <x:c r="L950" s="5"/>
      <x:c r="M950" s="3"/>
      <x:c r="N950" s="3"/>
      <x:c r="O950" s="3"/>
      <x:c r="P950" s="9"/>
      <x:c r="Q950" s="9"/>
      <x:c r="R950" s="9"/>
      <x:c r="S950" s="9"/>
      <x:c r="T950" s="9"/>
      <x:c r="U950" s="9"/>
      <x:c r="V950" s="9"/>
      <x:c r="W950" s="9"/>
      <x:c r="X950" s="9"/>
      <x:c r="Y950" s="9"/>
      <x:c r="Z950" s="9"/>
    </x:row>
    <x:row r="951" ht="14.25" customHeight="1">
      <x:c r="K951" s="5"/>
      <x:c r="L951" s="5"/>
      <x:c r="M951" s="3"/>
      <x:c r="N951" s="3"/>
      <x:c r="O951" s="3"/>
      <x:c r="P951" s="9"/>
      <x:c r="Q951" s="9"/>
      <x:c r="R951" s="9"/>
      <x:c r="S951" s="9"/>
      <x:c r="T951" s="9"/>
      <x:c r="U951" s="9"/>
      <x:c r="V951" s="9"/>
      <x:c r="W951" s="9"/>
      <x:c r="X951" s="9"/>
      <x:c r="Y951" s="9"/>
      <x:c r="Z951" s="9"/>
    </x:row>
    <x:row r="952" ht="14.25" customHeight="1">
      <x:c r="K952" s="5"/>
      <x:c r="L952" s="5"/>
      <x:c r="M952" s="3"/>
      <x:c r="N952" s="3"/>
      <x:c r="O952" s="3"/>
      <x:c r="P952" s="9"/>
      <x:c r="Q952" s="9"/>
      <x:c r="R952" s="9"/>
      <x:c r="S952" s="9"/>
      <x:c r="T952" s="9"/>
      <x:c r="U952" s="9"/>
      <x:c r="V952" s="9"/>
      <x:c r="W952" s="9"/>
      <x:c r="X952" s="9"/>
      <x:c r="Y952" s="9"/>
      <x:c r="Z952" s="9"/>
    </x:row>
    <x:row r="953" ht="14.25" customHeight="1">
      <x:c r="K953" s="5"/>
      <x:c r="L953" s="5"/>
      <x:c r="M953" s="3"/>
      <x:c r="N953" s="3"/>
      <x:c r="O953" s="3"/>
      <x:c r="P953" s="9"/>
      <x:c r="Q953" s="9"/>
      <x:c r="R953" s="9"/>
      <x:c r="S953" s="9"/>
      <x:c r="T953" s="9"/>
      <x:c r="U953" s="9"/>
      <x:c r="V953" s="9"/>
      <x:c r="W953" s="9"/>
      <x:c r="X953" s="9"/>
      <x:c r="Y953" s="9"/>
      <x:c r="Z953" s="9"/>
    </x:row>
    <x:row r="954" ht="14.25" customHeight="1">
      <x:c r="K954" s="5"/>
      <x:c r="L954" s="5"/>
      <x:c r="M954" s="3"/>
      <x:c r="N954" s="3"/>
      <x:c r="O954" s="3"/>
      <x:c r="P954" s="9"/>
      <x:c r="Q954" s="9"/>
      <x:c r="R954" s="9"/>
      <x:c r="S954" s="9"/>
      <x:c r="T954" s="9"/>
      <x:c r="U954" s="9"/>
      <x:c r="V954" s="9"/>
      <x:c r="W954" s="9"/>
      <x:c r="X954" s="9"/>
      <x:c r="Y954" s="9"/>
      <x:c r="Z954" s="9"/>
    </x:row>
    <x:row r="955" ht="14.25" customHeight="1">
      <x:c r="K955" s="5"/>
      <x:c r="L955" s="5"/>
      <x:c r="M955" s="3"/>
      <x:c r="N955" s="3"/>
      <x:c r="O955" s="3"/>
      <x:c r="P955" s="9"/>
      <x:c r="Q955" s="9"/>
      <x:c r="R955" s="9"/>
      <x:c r="S955" s="9"/>
      <x:c r="T955" s="9"/>
      <x:c r="U955" s="9"/>
      <x:c r="V955" s="9"/>
      <x:c r="W955" s="9"/>
      <x:c r="X955" s="9"/>
      <x:c r="Y955" s="9"/>
      <x:c r="Z955" s="9"/>
    </x:row>
    <x:row r="956" ht="14.25" customHeight="1">
      <x:c r="K956" s="5"/>
      <x:c r="L956" s="5"/>
      <x:c r="M956" s="3"/>
      <x:c r="N956" s="3"/>
      <x:c r="O956" s="3"/>
      <x:c r="P956" s="9"/>
      <x:c r="Q956" s="9"/>
      <x:c r="R956" s="9"/>
      <x:c r="S956" s="9"/>
      <x:c r="T956" s="9"/>
      <x:c r="U956" s="9"/>
      <x:c r="V956" s="9"/>
      <x:c r="W956" s="9"/>
      <x:c r="X956" s="9"/>
      <x:c r="Y956" s="9"/>
      <x:c r="Z956" s="9"/>
    </x:row>
    <x:row r="957" ht="14.25" customHeight="1">
      <x:c r="K957" s="5"/>
      <x:c r="L957" s="5"/>
      <x:c r="M957" s="3"/>
      <x:c r="N957" s="3"/>
      <x:c r="O957" s="3"/>
      <x:c r="P957" s="9"/>
      <x:c r="Q957" s="9"/>
      <x:c r="R957" s="9"/>
      <x:c r="S957" s="9"/>
      <x:c r="T957" s="9"/>
      <x:c r="U957" s="9"/>
      <x:c r="V957" s="9"/>
      <x:c r="W957" s="9"/>
      <x:c r="X957" s="9"/>
      <x:c r="Y957" s="9"/>
      <x:c r="Z957" s="9"/>
    </x:row>
    <x:row r="958" ht="14.25" customHeight="1">
      <x:c r="K958" s="5"/>
      <x:c r="L958" s="5"/>
      <x:c r="M958" s="3"/>
      <x:c r="N958" s="3"/>
      <x:c r="O958" s="3"/>
      <x:c r="P958" s="9"/>
      <x:c r="Q958" s="9"/>
      <x:c r="R958" s="9"/>
      <x:c r="S958" s="9"/>
      <x:c r="T958" s="9"/>
      <x:c r="U958" s="9"/>
      <x:c r="V958" s="9"/>
      <x:c r="W958" s="9"/>
      <x:c r="X958" s="9"/>
      <x:c r="Y958" s="9"/>
      <x:c r="Z958" s="9"/>
    </x:row>
    <x:row r="959" ht="14.25" customHeight="1">
      <x:c r="K959" s="5"/>
      <x:c r="L959" s="5"/>
      <x:c r="M959" s="3"/>
      <x:c r="N959" s="3"/>
      <x:c r="O959" s="3"/>
      <x:c r="P959" s="9"/>
      <x:c r="Q959" s="9"/>
      <x:c r="R959" s="9"/>
      <x:c r="S959" s="9"/>
      <x:c r="T959" s="9"/>
      <x:c r="U959" s="9"/>
      <x:c r="V959" s="9"/>
      <x:c r="W959" s="9"/>
      <x:c r="X959" s="9"/>
      <x:c r="Y959" s="9"/>
      <x:c r="Z959" s="9"/>
    </x:row>
    <x:row r="960" ht="14.25" customHeight="1">
      <x:c r="K960" s="5"/>
      <x:c r="L960" s="5"/>
      <x:c r="M960" s="3"/>
      <x:c r="N960" s="3"/>
      <x:c r="O960" s="3"/>
      <x:c r="P960" s="9"/>
      <x:c r="Q960" s="9"/>
      <x:c r="R960" s="9"/>
      <x:c r="S960" s="9"/>
      <x:c r="T960" s="9"/>
      <x:c r="U960" s="9"/>
      <x:c r="V960" s="9"/>
      <x:c r="W960" s="9"/>
      <x:c r="X960" s="9"/>
      <x:c r="Y960" s="9"/>
      <x:c r="Z960" s="9"/>
    </x:row>
    <x:row r="961" ht="14.25" customHeight="1">
      <x:c r="K961" s="5"/>
      <x:c r="L961" s="5"/>
      <x:c r="M961" s="3"/>
      <x:c r="N961" s="3"/>
      <x:c r="O961" s="3"/>
      <x:c r="P961" s="9"/>
      <x:c r="Q961" s="9"/>
      <x:c r="R961" s="9"/>
      <x:c r="S961" s="9"/>
      <x:c r="T961" s="9"/>
      <x:c r="U961" s="9"/>
      <x:c r="V961" s="9"/>
      <x:c r="W961" s="9"/>
      <x:c r="X961" s="9"/>
      <x:c r="Y961" s="9"/>
      <x:c r="Z961" s="9"/>
    </x:row>
    <x:row r="962" ht="14.25" customHeight="1">
      <x:c r="K962" s="5"/>
      <x:c r="L962" s="5"/>
      <x:c r="M962" s="3"/>
      <x:c r="N962" s="3"/>
      <x:c r="O962" s="3"/>
      <x:c r="P962" s="9"/>
      <x:c r="Q962" s="9"/>
      <x:c r="R962" s="9"/>
      <x:c r="S962" s="9"/>
      <x:c r="T962" s="9"/>
      <x:c r="U962" s="9"/>
      <x:c r="V962" s="9"/>
      <x:c r="W962" s="9"/>
      <x:c r="X962" s="9"/>
      <x:c r="Y962" s="9"/>
      <x:c r="Z962" s="9"/>
    </x:row>
    <x:row r="963" ht="14.25" customHeight="1">
      <x:c r="K963" s="5"/>
      <x:c r="L963" s="5"/>
      <x:c r="M963" s="3"/>
      <x:c r="N963" s="3"/>
      <x:c r="O963" s="3"/>
      <x:c r="P963" s="9"/>
      <x:c r="Q963" s="9"/>
      <x:c r="R963" s="9"/>
      <x:c r="S963" s="9"/>
      <x:c r="T963" s="9"/>
      <x:c r="U963" s="9"/>
      <x:c r="V963" s="9"/>
      <x:c r="W963" s="9"/>
      <x:c r="X963" s="9"/>
      <x:c r="Y963" s="9"/>
      <x:c r="Z963" s="9"/>
    </x:row>
    <x:row r="964" ht="14.25" customHeight="1">
      <x:c r="K964" s="5"/>
      <x:c r="L964" s="5"/>
      <x:c r="M964" s="3"/>
      <x:c r="N964" s="3"/>
      <x:c r="O964" s="3"/>
      <x:c r="P964" s="9"/>
      <x:c r="Q964" s="9"/>
      <x:c r="R964" s="9"/>
      <x:c r="S964" s="9"/>
      <x:c r="T964" s="9"/>
      <x:c r="U964" s="9"/>
      <x:c r="V964" s="9"/>
      <x:c r="W964" s="9"/>
      <x:c r="X964" s="9"/>
      <x:c r="Y964" s="9"/>
      <x:c r="Z964" s="9"/>
    </x:row>
    <x:row r="965" ht="14.25" customHeight="1">
      <x:c r="K965" s="5"/>
      <x:c r="L965" s="5"/>
      <x:c r="M965" s="3"/>
      <x:c r="N965" s="3"/>
      <x:c r="O965" s="3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</x:row>
    <x:row r="966" ht="14.25" customHeight="1">
      <x:c r="K966" s="5"/>
      <x:c r="L966" s="5"/>
      <x:c r="M966" s="3"/>
      <x:c r="N966" s="3"/>
      <x:c r="O966" s="3"/>
      <x:c r="P966" s="9"/>
      <x:c r="Q966" s="9"/>
      <x:c r="R966" s="9"/>
      <x:c r="S966" s="9"/>
      <x:c r="T966" s="9"/>
      <x:c r="U966" s="9"/>
      <x:c r="V966" s="9"/>
      <x:c r="W966" s="9"/>
      <x:c r="X966" s="9"/>
      <x:c r="Y966" s="9"/>
      <x:c r="Z966" s="9"/>
    </x:row>
    <x:row r="967" ht="14.25" customHeight="1">
      <x:c r="K967" s="5"/>
      <x:c r="L967" s="5"/>
      <x:c r="M967" s="3"/>
      <x:c r="N967" s="3"/>
      <x:c r="O967" s="3"/>
      <x:c r="P967" s="9"/>
      <x:c r="Q967" s="9"/>
      <x:c r="R967" s="9"/>
      <x:c r="S967" s="9"/>
      <x:c r="T967" s="9"/>
      <x:c r="U967" s="9"/>
      <x:c r="V967" s="9"/>
      <x:c r="W967" s="9"/>
      <x:c r="X967" s="9"/>
      <x:c r="Y967" s="9"/>
      <x:c r="Z967" s="9"/>
    </x:row>
    <x:row r="968" ht="14.25" customHeight="1">
      <x:c r="K968" s="5"/>
      <x:c r="L968" s="5"/>
      <x:c r="M968" s="3"/>
      <x:c r="N968" s="3"/>
      <x:c r="O968" s="3"/>
      <x:c r="P968" s="9"/>
      <x:c r="Q968" s="9"/>
      <x:c r="R968" s="9"/>
      <x:c r="S968" s="9"/>
      <x:c r="T968" s="9"/>
      <x:c r="U968" s="9"/>
      <x:c r="V968" s="9"/>
      <x:c r="W968" s="9"/>
      <x:c r="X968" s="9"/>
      <x:c r="Y968" s="9"/>
      <x:c r="Z968" s="9"/>
    </x:row>
    <x:row r="969" ht="14.25" customHeight="1">
      <x:c r="K969" s="5"/>
      <x:c r="L969" s="5"/>
      <x:c r="M969" s="3"/>
      <x:c r="N969" s="3"/>
      <x:c r="O969" s="3"/>
      <x:c r="P969" s="9"/>
      <x:c r="Q969" s="9"/>
      <x:c r="R969" s="9"/>
      <x:c r="S969" s="9"/>
      <x:c r="T969" s="9"/>
      <x:c r="U969" s="9"/>
      <x:c r="V969" s="9"/>
      <x:c r="W969" s="9"/>
      <x:c r="X969" s="9"/>
      <x:c r="Y969" s="9"/>
      <x:c r="Z969" s="9"/>
    </x:row>
    <x:row r="970" ht="14.25" customHeight="1">
      <x:c r="K970" s="5"/>
      <x:c r="L970" s="5"/>
      <x:c r="M970" s="3"/>
      <x:c r="N970" s="3"/>
      <x:c r="O970" s="3"/>
      <x:c r="P970" s="9"/>
      <x:c r="Q970" s="9"/>
      <x:c r="R970" s="9"/>
      <x:c r="S970" s="9"/>
      <x:c r="T970" s="9"/>
      <x:c r="U970" s="9"/>
      <x:c r="V970" s="9"/>
      <x:c r="W970" s="9"/>
      <x:c r="X970" s="9"/>
      <x:c r="Y970" s="9"/>
      <x:c r="Z970" s="9"/>
    </x:row>
    <x:row r="971" ht="14.25" customHeight="1">
      <x:c r="K971" s="5"/>
      <x:c r="L971" s="5"/>
      <x:c r="M971" s="3"/>
      <x:c r="N971" s="3"/>
      <x:c r="O971" s="3"/>
      <x:c r="P971" s="9"/>
      <x:c r="Q971" s="9"/>
      <x:c r="R971" s="9"/>
      <x:c r="S971" s="9"/>
      <x:c r="T971" s="9"/>
      <x:c r="U971" s="9"/>
      <x:c r="V971" s="9"/>
      <x:c r="W971" s="9"/>
      <x:c r="X971" s="9"/>
      <x:c r="Y971" s="9"/>
      <x:c r="Z971" s="9"/>
    </x:row>
    <x:row r="972" ht="14.25" customHeight="1">
      <x:c r="K972" s="5"/>
      <x:c r="L972" s="5"/>
      <x:c r="M972" s="3"/>
      <x:c r="N972" s="3"/>
      <x:c r="O972" s="3"/>
      <x:c r="P972" s="9"/>
      <x:c r="Q972" s="9"/>
      <x:c r="R972" s="9"/>
      <x:c r="S972" s="9"/>
      <x:c r="T972" s="9"/>
      <x:c r="U972" s="9"/>
      <x:c r="V972" s="9"/>
      <x:c r="W972" s="9"/>
      <x:c r="X972" s="9"/>
      <x:c r="Y972" s="9"/>
      <x:c r="Z972" s="9"/>
    </x:row>
    <x:row r="973" ht="14.25" customHeight="1">
      <x:c r="K973" s="5"/>
      <x:c r="L973" s="5"/>
      <x:c r="M973" s="3"/>
      <x:c r="N973" s="3"/>
      <x:c r="O973" s="3"/>
      <x:c r="P973" s="9"/>
      <x:c r="Q973" s="9"/>
      <x:c r="R973" s="9"/>
      <x:c r="S973" s="9"/>
      <x:c r="T973" s="9"/>
      <x:c r="U973" s="9"/>
      <x:c r="V973" s="9"/>
      <x:c r="W973" s="9"/>
      <x:c r="X973" s="9"/>
      <x:c r="Y973" s="9"/>
      <x:c r="Z973" s="9"/>
    </x:row>
    <x:row r="974" ht="14.25" customHeight="1">
      <x:c r="K974" s="5"/>
      <x:c r="L974" s="5"/>
      <x:c r="M974" s="3"/>
      <x:c r="N974" s="3"/>
      <x:c r="O974" s="3"/>
      <x:c r="P974" s="9"/>
      <x:c r="Q974" s="9"/>
      <x:c r="R974" s="9"/>
      <x:c r="S974" s="9"/>
      <x:c r="T974" s="9"/>
      <x:c r="U974" s="9"/>
      <x:c r="V974" s="9"/>
      <x:c r="W974" s="9"/>
      <x:c r="X974" s="9"/>
      <x:c r="Y974" s="9"/>
      <x:c r="Z974" s="9"/>
    </x:row>
    <x:row r="975" ht="14.25" customHeight="1">
      <x:c r="K975" s="5"/>
      <x:c r="L975" s="5"/>
      <x:c r="M975" s="3"/>
      <x:c r="N975" s="3"/>
      <x:c r="O975" s="3"/>
      <x:c r="P975" s="9"/>
      <x:c r="Q975" s="9"/>
      <x:c r="R975" s="9"/>
      <x:c r="S975" s="9"/>
      <x:c r="T975" s="9"/>
      <x:c r="U975" s="9"/>
      <x:c r="V975" s="9"/>
      <x:c r="W975" s="9"/>
      <x:c r="X975" s="9"/>
      <x:c r="Y975" s="9"/>
      <x:c r="Z975" s="9"/>
    </x:row>
    <x:row r="976" ht="14.25" customHeight="1">
      <x:c r="K976" s="5"/>
      <x:c r="L976" s="5"/>
      <x:c r="M976" s="3"/>
      <x:c r="N976" s="3"/>
      <x:c r="O976" s="3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</x:row>
    <x:row r="977" ht="14.25" customHeight="1">
      <x:c r="K977" s="5"/>
      <x:c r="L977" s="5"/>
      <x:c r="M977" s="3"/>
      <x:c r="N977" s="3"/>
      <x:c r="O977" s="3"/>
      <x:c r="P977" s="9"/>
      <x:c r="Q977" s="9"/>
      <x:c r="R977" s="9"/>
      <x:c r="S977" s="9"/>
      <x:c r="T977" s="9"/>
      <x:c r="U977" s="9"/>
      <x:c r="V977" s="9"/>
      <x:c r="W977" s="9"/>
      <x:c r="X977" s="9"/>
      <x:c r="Y977" s="9"/>
      <x:c r="Z977" s="9"/>
    </x:row>
    <x:row r="978" ht="14.25" customHeight="1">
      <x:c r="K978" s="5"/>
      <x:c r="L978" s="5"/>
      <x:c r="M978" s="3"/>
      <x:c r="N978" s="3"/>
      <x:c r="O978" s="3"/>
      <x:c r="P978" s="9"/>
      <x:c r="Q978" s="9"/>
      <x:c r="R978" s="9"/>
      <x:c r="S978" s="9"/>
      <x:c r="T978" s="9"/>
      <x:c r="U978" s="9"/>
      <x:c r="V978" s="9"/>
      <x:c r="W978" s="9"/>
      <x:c r="X978" s="9"/>
      <x:c r="Y978" s="9"/>
      <x:c r="Z978" s="9"/>
    </x:row>
    <x:row r="979" ht="14.25" customHeight="1">
      <x:c r="K979" s="5"/>
      <x:c r="L979" s="5"/>
      <x:c r="M979" s="3"/>
      <x:c r="N979" s="3"/>
      <x:c r="O979" s="3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</x:row>
    <x:row r="980" ht="14.25" customHeight="1">
      <x:c r="K980" s="5"/>
      <x:c r="L980" s="5"/>
      <x:c r="M980" s="3"/>
      <x:c r="N980" s="3"/>
      <x:c r="O980" s="3"/>
      <x:c r="P980" s="9"/>
      <x:c r="Q980" s="9"/>
      <x:c r="R980" s="9"/>
      <x:c r="S980" s="9"/>
      <x:c r="T980" s="9"/>
      <x:c r="U980" s="9"/>
      <x:c r="V980" s="9"/>
      <x:c r="W980" s="9"/>
      <x:c r="X980" s="9"/>
      <x:c r="Y980" s="9"/>
      <x:c r="Z980" s="9"/>
    </x:row>
    <x:row r="981" ht="14.25" customHeight="1">
      <x:c r="K981" s="5"/>
      <x:c r="L981" s="5"/>
      <x:c r="M981" s="3"/>
      <x:c r="N981" s="3"/>
      <x:c r="O981" s="3"/>
      <x:c r="P981" s="9"/>
      <x:c r="Q981" s="9"/>
      <x:c r="R981" s="9"/>
      <x:c r="S981" s="9"/>
      <x:c r="T981" s="9"/>
      <x:c r="U981" s="9"/>
      <x:c r="V981" s="9"/>
      <x:c r="W981" s="9"/>
      <x:c r="X981" s="9"/>
      <x:c r="Y981" s="9"/>
      <x:c r="Z981" s="9"/>
    </x:row>
    <x:row r="982" ht="14.25" customHeight="1">
      <x:c r="K982" s="5"/>
      <x:c r="L982" s="5"/>
      <x:c r="M982" s="3"/>
      <x:c r="N982" s="3"/>
      <x:c r="O982" s="3"/>
      <x:c r="P982" s="9"/>
      <x:c r="Q982" s="9"/>
      <x:c r="R982" s="9"/>
      <x:c r="S982" s="9"/>
      <x:c r="T982" s="9"/>
      <x:c r="U982" s="9"/>
      <x:c r="V982" s="9"/>
      <x:c r="W982" s="9"/>
      <x:c r="X982" s="9"/>
      <x:c r="Y982" s="9"/>
      <x:c r="Z982" s="9"/>
    </x:row>
    <x:row r="983" ht="14.25" customHeight="1">
      <x:c r="K983" s="5"/>
      <x:c r="L983" s="5"/>
      <x:c r="M983" s="3"/>
      <x:c r="N983" s="3"/>
      <x:c r="O983" s="3"/>
      <x:c r="P983" s="9"/>
      <x:c r="Q983" s="9"/>
      <x:c r="R983" s="9"/>
      <x:c r="S983" s="9"/>
      <x:c r="T983" s="9"/>
      <x:c r="U983" s="9"/>
      <x:c r="V983" s="9"/>
      <x:c r="W983" s="9"/>
      <x:c r="X983" s="9"/>
      <x:c r="Y983" s="9"/>
      <x:c r="Z983" s="9"/>
    </x:row>
    <x:row r="984" ht="14.25" customHeight="1">
      <x:c r="K984" s="5"/>
      <x:c r="L984" s="5"/>
      <x:c r="M984" s="3"/>
      <x:c r="N984" s="3"/>
      <x:c r="O984" s="3"/>
      <x:c r="P984" s="9"/>
      <x:c r="Q984" s="9"/>
      <x:c r="R984" s="9"/>
      <x:c r="S984" s="9"/>
      <x:c r="T984" s="9"/>
      <x:c r="U984" s="9"/>
      <x:c r="V984" s="9"/>
      <x:c r="W984" s="9"/>
      <x:c r="X984" s="9"/>
      <x:c r="Y984" s="9"/>
      <x:c r="Z984" s="9"/>
    </x:row>
    <x:row r="985" ht="14.25" customHeight="1">
      <x:c r="K985" s="5"/>
      <x:c r="L985" s="5"/>
      <x:c r="M985" s="3"/>
      <x:c r="N985" s="3"/>
      <x:c r="O985" s="3"/>
      <x:c r="P985" s="9"/>
      <x:c r="Q985" s="9"/>
      <x:c r="R985" s="9"/>
      <x:c r="S985" s="9"/>
      <x:c r="T985" s="9"/>
      <x:c r="U985" s="9"/>
      <x:c r="V985" s="9"/>
      <x:c r="W985" s="9"/>
      <x:c r="X985" s="9"/>
      <x:c r="Y985" s="9"/>
      <x:c r="Z985" s="9"/>
    </x:row>
    <x:row r="986" ht="14.25" customHeight="1">
      <x:c r="K986" s="5"/>
      <x:c r="L986" s="5"/>
      <x:c r="M986" s="3"/>
      <x:c r="N986" s="3"/>
      <x:c r="O986" s="3"/>
      <x:c r="P986" s="9"/>
      <x:c r="Q986" s="9"/>
      <x:c r="R986" s="9"/>
      <x:c r="S986" s="9"/>
      <x:c r="T986" s="9"/>
      <x:c r="U986" s="9"/>
      <x:c r="V986" s="9"/>
      <x:c r="W986" s="9"/>
      <x:c r="X986" s="9"/>
      <x:c r="Y986" s="9"/>
      <x:c r="Z986" s="9"/>
    </x:row>
    <x:row r="987" ht="14.25" customHeight="1">
      <x:c r="K987" s="5"/>
      <x:c r="L987" s="5"/>
      <x:c r="M987" s="3"/>
      <x:c r="N987" s="3"/>
      <x:c r="O987" s="3"/>
      <x:c r="P987" s="9"/>
      <x:c r="Q987" s="9"/>
      <x:c r="R987" s="9"/>
      <x:c r="S987" s="9"/>
      <x:c r="T987" s="9"/>
      <x:c r="U987" s="9"/>
      <x:c r="V987" s="9"/>
      <x:c r="W987" s="9"/>
      <x:c r="X987" s="9"/>
      <x:c r="Y987" s="9"/>
      <x:c r="Z987" s="9"/>
    </x:row>
    <x:row r="988" ht="14.25" customHeight="1">
      <x:c r="K988" s="5"/>
      <x:c r="L988" s="5"/>
      <x:c r="M988" s="3"/>
      <x:c r="N988" s="3"/>
      <x:c r="O988" s="3"/>
      <x:c r="P988" s="9"/>
      <x:c r="Q988" s="9"/>
      <x:c r="R988" s="9"/>
      <x:c r="S988" s="9"/>
      <x:c r="T988" s="9"/>
      <x:c r="U988" s="9"/>
      <x:c r="V988" s="9"/>
      <x:c r="W988" s="9"/>
      <x:c r="X988" s="9"/>
      <x:c r="Y988" s="9"/>
      <x:c r="Z988" s="9"/>
    </x:row>
    <x:row r="989" ht="14.25" customHeight="1">
      <x:c r="K989" s="5"/>
      <x:c r="L989" s="5"/>
      <x:c r="M989" s="3"/>
      <x:c r="N989" s="3"/>
      <x:c r="O989" s="3"/>
      <x:c r="P989" s="9"/>
      <x:c r="Q989" s="9"/>
      <x:c r="R989" s="9"/>
      <x:c r="S989" s="9"/>
      <x:c r="T989" s="9"/>
      <x:c r="U989" s="9"/>
      <x:c r="V989" s="9"/>
      <x:c r="W989" s="9"/>
      <x:c r="X989" s="9"/>
      <x:c r="Y989" s="9"/>
      <x:c r="Z989" s="9"/>
    </x:row>
    <x:row r="990" ht="14.25" customHeight="1">
      <x:c r="K990" s="5"/>
      <x:c r="L990" s="5"/>
      <x:c r="M990" s="3"/>
      <x:c r="N990" s="3"/>
      <x:c r="O990" s="3"/>
      <x:c r="P990" s="9"/>
      <x:c r="Q990" s="9"/>
      <x:c r="R990" s="9"/>
      <x:c r="S990" s="9"/>
      <x:c r="T990" s="9"/>
      <x:c r="U990" s="9"/>
      <x:c r="V990" s="9"/>
      <x:c r="W990" s="9"/>
      <x:c r="X990" s="9"/>
      <x:c r="Y990" s="9"/>
      <x:c r="Z990" s="9"/>
    </x:row>
    <x:row r="991" ht="14.25" customHeight="1">
      <x:c r="K991" s="5"/>
      <x:c r="L991" s="5"/>
      <x:c r="M991" s="3"/>
      <x:c r="N991" s="3"/>
      <x:c r="O991" s="3"/>
      <x:c r="P991" s="9"/>
      <x:c r="Q991" s="9"/>
      <x:c r="R991" s="9"/>
      <x:c r="S991" s="9"/>
      <x:c r="T991" s="9"/>
      <x:c r="U991" s="9"/>
      <x:c r="V991" s="9"/>
      <x:c r="W991" s="9"/>
      <x:c r="X991" s="9"/>
      <x:c r="Y991" s="9"/>
      <x:c r="Z991" s="9"/>
    </x:row>
    <x:row r="992" ht="14.25" customHeight="1">
      <x:c r="K992" s="5"/>
      <x:c r="L992" s="5"/>
      <x:c r="M992" s="3"/>
      <x:c r="N992" s="3"/>
      <x:c r="O992" s="3"/>
      <x:c r="P992" s="9"/>
      <x:c r="Q992" s="9"/>
      <x:c r="R992" s="9"/>
      <x:c r="S992" s="9"/>
      <x:c r="T992" s="9"/>
      <x:c r="U992" s="9"/>
      <x:c r="V992" s="9"/>
      <x:c r="W992" s="9"/>
      <x:c r="X992" s="9"/>
      <x:c r="Y992" s="9"/>
      <x:c r="Z992" s="9"/>
    </x:row>
    <x:row r="993" ht="14.25" customHeight="1">
      <x:c r="K993" s="5"/>
      <x:c r="L993" s="5"/>
      <x:c r="M993" s="3"/>
      <x:c r="N993" s="3"/>
      <x:c r="O993" s="3"/>
      <x:c r="P993" s="9"/>
      <x:c r="Q993" s="9"/>
      <x:c r="R993" s="9"/>
      <x:c r="S993" s="9"/>
      <x:c r="T993" s="9"/>
      <x:c r="U993" s="9"/>
      <x:c r="V993" s="9"/>
      <x:c r="W993" s="9"/>
      <x:c r="X993" s="9"/>
      <x:c r="Y993" s="9"/>
      <x:c r="Z993" s="9"/>
    </x:row>
    <x:row r="994" ht="14.25" customHeight="1">
      <x:c r="K994" s="5"/>
      <x:c r="L994" s="5"/>
      <x:c r="M994" s="3"/>
      <x:c r="N994" s="3"/>
      <x:c r="O994" s="3"/>
      <x:c r="P994" s="9"/>
      <x:c r="Q994" s="9"/>
      <x:c r="R994" s="9"/>
      <x:c r="S994" s="9"/>
      <x:c r="T994" s="9"/>
      <x:c r="U994" s="9"/>
      <x:c r="V994" s="9"/>
      <x:c r="W994" s="9"/>
      <x:c r="X994" s="9"/>
      <x:c r="Y994" s="9"/>
      <x:c r="Z994" s="9"/>
    </x:row>
    <x:row r="995" ht="14.25" customHeight="1">
      <x:c r="K995" s="5"/>
      <x:c r="L995" s="5"/>
      <x:c r="M995" s="3"/>
      <x:c r="N995" s="3"/>
      <x:c r="O995" s="3"/>
      <x:c r="P995" s="9"/>
      <x:c r="Q995" s="9"/>
      <x:c r="R995" s="9"/>
      <x:c r="S995" s="9"/>
      <x:c r="T995" s="9"/>
      <x:c r="U995" s="9"/>
      <x:c r="V995" s="9"/>
      <x:c r="W995" s="9"/>
      <x:c r="X995" s="9"/>
      <x:c r="Y995" s="9"/>
      <x:c r="Z995" s="9"/>
    </x:row>
    <x:row r="996" ht="14.25" customHeight="1">
      <x:c r="K996" s="5"/>
      <x:c r="L996" s="5"/>
      <x:c r="M996" s="3"/>
      <x:c r="N996" s="3"/>
      <x:c r="O996" s="3"/>
      <x:c r="P996" s="9"/>
      <x:c r="Q996" s="9"/>
      <x:c r="R996" s="9"/>
      <x:c r="S996" s="9"/>
      <x:c r="T996" s="9"/>
      <x:c r="U996" s="9"/>
      <x:c r="V996" s="9"/>
      <x:c r="W996" s="9"/>
      <x:c r="X996" s="9"/>
      <x:c r="Y996" s="9"/>
      <x:c r="Z996" s="9"/>
    </x:row>
    <x:row r="997" ht="14.25" customHeight="1">
      <x:c r="K997" s="5"/>
      <x:c r="L997" s="5"/>
      <x:c r="M997" s="3"/>
      <x:c r="N997" s="3"/>
      <x:c r="O997" s="3"/>
      <x:c r="P997" s="9"/>
      <x:c r="Q997" s="9"/>
      <x:c r="R997" s="9"/>
      <x:c r="S997" s="9"/>
      <x:c r="T997" s="9"/>
      <x:c r="U997" s="9"/>
      <x:c r="V997" s="9"/>
      <x:c r="W997" s="9"/>
      <x:c r="X997" s="9"/>
      <x:c r="Y997" s="9"/>
      <x:c r="Z997" s="9"/>
    </x:row>
    <x:row r="998" ht="14.25" customHeight="1">
      <x:c r="K998" s="5"/>
      <x:c r="L998" s="5"/>
      <x:c r="M998" s="3"/>
      <x:c r="N998" s="3"/>
      <x:c r="O998" s="3"/>
      <x:c r="P998" s="9"/>
      <x:c r="Q998" s="9"/>
      <x:c r="R998" s="9"/>
      <x:c r="S998" s="9"/>
      <x:c r="T998" s="9"/>
      <x:c r="U998" s="9"/>
      <x:c r="V998" s="9"/>
      <x:c r="W998" s="9"/>
      <x:c r="X998" s="9"/>
      <x:c r="Y998" s="9"/>
      <x:c r="Z998" s="9"/>
    </x:row>
    <x:row r="999" ht="14.25" customHeight="1">
      <x:c r="K999" s="5"/>
      <x:c r="L999" s="5"/>
      <x:c r="M999" s="3"/>
      <x:c r="N999" s="3"/>
      <x:c r="O999" s="3"/>
      <x:c r="P999" s="9"/>
      <x:c r="Q999" s="9"/>
      <x:c r="R999" s="9"/>
      <x:c r="S999" s="9"/>
      <x:c r="T999" s="9"/>
      <x:c r="U999" s="9"/>
      <x:c r="V999" s="9"/>
      <x:c r="W999" s="9"/>
      <x:c r="X999" s="9"/>
      <x:c r="Y999" s="9"/>
      <x:c r="Z999" s="9"/>
    </x:row>
    <x:row r="1000" ht="14.25" customHeight="1">
      <x:c r="K1000" s="5"/>
      <x:c r="L1000" s="5"/>
      <x:c r="M1000" s="3"/>
      <x:c r="N1000" s="3"/>
      <x:c r="O1000" s="3"/>
      <x:c r="P1000" s="9"/>
      <x:c r="Q1000" s="9"/>
      <x:c r="R1000" s="9"/>
      <x:c r="S1000" s="9"/>
      <x:c r="T1000" s="9"/>
      <x:c r="U1000" s="9"/>
      <x:c r="V1000" s="9"/>
      <x:c r="W1000" s="9"/>
      <x:c r="X1000" s="9"/>
      <x:c r="Y1000" s="9"/>
      <x:c r="Z1000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0" width="8.880000114440918" customWidth="1"/>
    <x:col min="11" max="11" width="5.380000114440918" customWidth="1"/>
    <x:col min="12" max="12" width="6.380000114440918" customWidth="1"/>
    <x:col min="13" max="15" width="5.5" customWidth="1"/>
    <x:col min="16" max="26" width="8.880000114440918" customWidth="1"/>
  </x:cols>
  <x:sheetData>
    <x:row r="1" ht="14.25" customHeight="1">
      <x:c r="A1" s="1" t="s">
        <x:v>477</x:v>
      </x:c>
      <x:c r="B1" s="1" t="s">
        <x:v>100</x:v>
      </x:c>
      <x:c r="C1" s="1" t="s">
        <x:v>602</x:v>
      </x:c>
      <x:c r="D1" s="1" t="s">
        <x:v>480</x:v>
      </x:c>
      <x:c r="E1" s="1" t="s">
        <x:v>481</x:v>
      </x:c>
      <x:c r="F1" s="1" t="s">
        <x:v>478</x:v>
      </x:c>
      <x:c r="G1" s="1" t="s">
        <x:v>480</x:v>
      </x:c>
      <x:c r="H1" s="1" t="s">
        <x:v>481</x:v>
      </x:c>
      <x:c r="I1" s="1" t="s">
        <x:v>51</x:v>
      </x:c>
      <x:c r="J1" s="1" t="s">
        <x:v>482</x:v>
      </x:c>
      <x:c r="K1" s="5" t="s">
        <x:v>484</x:v>
      </x:c>
      <x:c r="L1" s="5" t="s">
        <x:v>57</x:v>
      </x:c>
      <x:c r="M1" s="52" t="s">
        <x:v>103</x:v>
      </x:c>
      <x:c r="N1" s="52" t="s">
        <x:v>104</x:v>
      </x:c>
      <x:c r="O1" s="52" t="s">
        <x:v>105</x:v>
      </x:c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14.25" customHeight="1">
      <x:c r="A2" s="1" t="s">
        <x:v>485</x:v>
      </x:c>
      <x:c r="K2" s="5"/>
      <x:c r="L2" s="5"/>
      <x:c r="M2" s="52"/>
      <x:c r="N2" s="52"/>
      <x:c r="O2" s="52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 ht="14.25" customHeight="1">
      <x:c r="A3" s="1" t="s">
        <x:v>733</x:v>
      </x:c>
      <x:c r="B3" s="1" t="s">
        <x:v>517</x:v>
      </x:c>
      <x:c r="C3" s="1">
        <x:v>117.0</x:v>
      </x:c>
      <x:c r="D3" s="1">
        <x:v>1539.0</x:v>
      </x:c>
      <x:c r="E3" s="1">
        <x:v>9.0</x:v>
      </x:c>
      <x:c r="F3" s="1">
        <x:v>13.6</x:v>
      </x:c>
      <x:c r="G3" s="1">
        <x:v>85.0</x:v>
      </x:c>
      <x:c r="H3" s="1">
        <x:v>1.4</x:v>
      </x:c>
      <x:c r="I3" s="1">
        <x:v>1.0</x:v>
      </x:c>
      <x:c r="J3" s="1">
        <x:v>339.8</x:v>
      </x:c>
      <x:c r="K3" s="18" t="n">
        <x:f t="shared" ref="K3:K698" si="1">IFERROR(G3/F3/6.89*0.427*F3,0)</x:f>
        <x:v>5.2677793904209</x:v>
      </x:c>
      <x:c r="L3" s="18" t="n">
        <x:f t="shared" ref="L3:L698" si="2">IFERROR(D3/C3/12.87*0.633*C3,0)</x:f>
        <x:v>75.69440559440558</x:v>
      </x:c>
      <x:c r="M3" s="119" t="n">
        <x:f>C5*Scoring!$B$34+D5/Scoring!$C$34+E5*Scoring!$D$34+WR!F5*Scoring!$E$34+WR!G5/Scoring!$F$34+WR!H5*Scoring!$G$34+WR!I5*Scoring!$H$34+K5*Scoring!$I$34+WR!L5*Scoring!$J$34+U3</x:f>
        <x:v>279.9</x:v>
      </x:c>
      <x:c r="N3" s="119" t="n">
        <x:f>C3*Scoring!$B$34+D3/Scoring!$C$34+E3*Scoring!$D$34+WR!F3*Scoring!$E$34+WR!G3/Scoring!$F$34+WR!H3*Scoring!$G$34+WR!I3*Scoring!$H$34+K3*Scoring!$I$34+WR!L3*Scoring!$J$34+U3</x:f>
        <x:v>282.29999999999995</x:v>
      </x:c>
      <x:c r="O3" s="119" t="n">
        <x:f>C4*Scoring!$B$34+D4/Scoring!$C$34+E4*Scoring!$D$34+WR!F4*Scoring!$E$34+WR!G4/Scoring!$F$34+WR!H4*Scoring!$G$34+WR!I4*Scoring!$H$34+K4*Scoring!$I$34+WR!L4*Scoring!$J$34+U3</x:f>
        <x:v>285.9</x:v>
      </x:c>
      <x:c r="P3" s="9" t="n">
        <x:f>IF(COUNTIF(Rookies!$A:$A,A3)&gt;0,1,0)</x:f>
        <x:v>0</x:v>
      </x:c>
      <x:c r="Q3" s="9"/>
      <x:c r="R3" s="9"/>
      <x:c r="S3" s="9" t="n">
        <x:f>V3/17</x:f>
        <x:v>16.605882352941173</x:v>
      </x:c>
      <x:c r="T3" s="9" t="n">
        <x:f>IF(P3=1,MAX(0,0.28*(12-S3)),0)</x:f>
        <x:v>0</x:v>
      </x:c>
      <x:c r="U3" s="9" t="n">
        <x:f>T3*17</x:f>
        <x:v>0</x:v>
      </x:c>
      <x:c r="V3" s="9" t="n">
        <x:f>C3*Scoring!$B$34+D3/Scoring!$C$34+E3*Scoring!$D$34+WR!F3*Scoring!$E$34+WR!G3/Scoring!$F$34+WR!H3*Scoring!$G$34+WR!I3*Scoring!$H$34+K3*Scoring!$I$34+WR!L3*Scoring!$J$34</x:f>
        <x:v>282.29999999999995</x:v>
      </x:c>
      <x:c r="W3" s="9"/>
      <x:c r="X3" s="9"/>
      <x:c r="Y3" s="9"/>
      <x:c r="Z3" s="9"/>
    </x:row>
    <x:row r="4" ht="14.25" customHeight="1">
      <x:c r="B4" s="1" t="s">
        <x:v>488</x:v>
      </x:c>
      <x:c r="C4" s="1">
        <x:v>117.0</x:v>
      </x:c>
      <x:c r="D4" s="1">
        <x:v>1539.0</x:v>
      </x:c>
      <x:c r="E4" s="1">
        <x:v>9.0</x:v>
      </x:c>
      <x:c r="F4" s="1">
        <x:v>15.9</x:v>
      </x:c>
      <x:c r="G4" s="1">
        <x:v>85.0</x:v>
      </x:c>
      <x:c r="H4" s="1">
        <x:v>2.0</x:v>
      </x:c>
      <x:c r="I4" s="1">
        <x:v>1.0</x:v>
      </x:c>
      <x:c r="J4" s="1">
        <x:v>343.5</x:v>
      </x:c>
      <x:c r="K4" s="18">
        <x:f t="shared" si="1"/>
        <x:v>5.26777939</x:v>
      </x:c>
      <x:c r="L4" s="18">
        <x:f t="shared" si="2"/>
        <x:v>75.69440559</x:v>
      </x:c>
      <x:c r="M4" s="121"/>
      <x:c r="N4" s="121"/>
      <x:c r="O4" s="121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</x:row>
    <x:row r="5" ht="14.25" customHeight="1">
      <x:c r="B5" s="1" t="s">
        <x:v>489</x:v>
      </x:c>
      <x:c r="C5" s="1">
        <x:v>117.0</x:v>
      </x:c>
      <x:c r="D5" s="1">
        <x:v>1539.0</x:v>
      </x:c>
      <x:c r="E5" s="1">
        <x:v>9.0</x:v>
      </x:c>
      <x:c r="F5" s="1">
        <x:v>10.0</x:v>
      </x:c>
      <x:c r="G5" s="1">
        <x:v>85.0</x:v>
      </x:c>
      <x:c r="H5" s="1">
        <x:v>1.0</x:v>
      </x:c>
      <x:c r="I5" s="1">
        <x:v>1.0</x:v>
      </x:c>
      <x:c r="J5" s="1">
        <x:v>337.4</x:v>
      </x:c>
      <x:c r="K5" s="18">
        <x:f t="shared" si="1"/>
        <x:v>5.26777939</x:v>
      </x:c>
      <x:c r="L5" s="18">
        <x:f t="shared" si="2"/>
        <x:v>75.69440559</x:v>
      </x:c>
      <x:c r="M5" s="121"/>
      <x:c r="N5" s="121"/>
      <x:c r="O5" s="121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</x:row>
    <x:row r="6" ht="14.25" customHeight="1">
      <x:c r="A6" s="1" t="s">
        <x:v>734</x:v>
      </x:c>
      <x:c r="B6" s="1" t="s">
        <x:v>499</x:v>
      </x:c>
      <x:c r="C6" s="1">
        <x:v>121.2</x:v>
      </x:c>
      <x:c r="D6" s="1">
        <x:v>1511.3</x:v>
      </x:c>
      <x:c r="E6" s="1">
        <x:v>10.6</x:v>
      </x:c>
      <x:c r="F6" s="1">
        <x:v>3.0</x:v>
      </x:c>
      <x:c r="G6" s="1">
        <x:v>17.0</x:v>
      </x:c>
      <x:c r="H6" s="1">
        <x:v>0.0</x:v>
      </x:c>
      <x:c r="I6" s="1">
        <x:v>1.0</x:v>
      </x:c>
      <x:c r="J6" s="1">
        <x:v>336.0</x:v>
      </x:c>
      <x:c r="K6" s="18">
        <x:f t="shared" si="1"/>
        <x:v>1.053555878</x:v>
      </x:c>
      <x:c r="L6" s="18">
        <x:f t="shared" si="2"/>
        <x:v>74.33200466</x:v>
      </x:c>
      <x:c r="M6" s="119" t="n">
        <x:f>C8*Scoring!$B$34+D8/Scoring!$C$34+E8*Scoring!$D$34+WR!F8*Scoring!$E$34+WR!G8/Scoring!$F$34+WR!H8*Scoring!$G$34+WR!I8*Scoring!$H$34+K8*Scoring!$I$34+WR!L8*Scoring!$J$34+U6</x:f>
        <x:v>265.5</x:v>
      </x:c>
      <x:c r="N6" s="119" t="n">
        <x:f>C6*Scoring!$B$34+D6/Scoring!$C$34+E6*Scoring!$D$34+WR!F6*Scoring!$E$34+WR!G6/Scoring!$F$34+WR!H6*Scoring!$G$34+WR!I6*Scoring!$H$34+K6*Scoring!$I$34+WR!L6*Scoring!$J$34+U6</x:f>
        <x:v>276.03</x:v>
      </x:c>
      <x:c r="O6" s="119" t="n">
        <x:f>C7*Scoring!$B$34+D7/Scoring!$C$34+E7*Scoring!$D$34+WR!F7*Scoring!$E$34+WR!G7/Scoring!$F$34+WR!H7*Scoring!$G$34+WR!I7*Scoring!$H$34+K7*Scoring!$I$34+WR!L7*Scoring!$J$34+U6</x:f>
        <x:v>286.89000000000004</x:v>
      </x:c>
      <x:c r="P6" s="9" t="n">
        <x:f>IF(COUNTIF(Rookies!$A:$A,A6)&gt;0,1,0)</x:f>
        <x:v>0</x:v>
      </x:c>
      <x:c r="Q6" s="9"/>
      <x:c r="R6" s="9"/>
      <x:c r="S6" s="9" t="n">
        <x:f>V6/17</x:f>
        <x:v>16.23705882352941</x:v>
      </x:c>
      <x:c r="T6" s="9" t="n">
        <x:f>IF(P6=1,MAX(0,0.28*(12-S6)),0)</x:f>
        <x:v>0</x:v>
      </x:c>
      <x:c r="U6" s="9" t="n">
        <x:f>T6*17</x:f>
        <x:v>0</x:v>
      </x:c>
      <x:c r="V6" s="9" t="n">
        <x:f>C6*Scoring!$B$34+D6/Scoring!$C$34+E6*Scoring!$D$34+WR!F6*Scoring!$E$34+WR!G6/Scoring!$F$34+WR!H6*Scoring!$G$34+WR!I6*Scoring!$H$34+K6*Scoring!$I$34+WR!L6*Scoring!$J$34</x:f>
        <x:v>276.03</x:v>
      </x:c>
      <x:c r="W6" s="9"/>
      <x:c r="X6" s="9"/>
      <x:c r="Y6" s="9"/>
      <x:c r="Z6" s="9"/>
    </x:row>
    <x:row r="7" ht="14.25" customHeight="1">
      <x:c r="B7" s="1" t="s">
        <x:v>488</x:v>
      </x:c>
      <x:c r="C7" s="1">
        <x:v>128.0</x:v>
      </x:c>
      <x:c r="D7" s="1">
        <x:v>1551.0</x:v>
      </x:c>
      <x:c r="E7" s="1">
        <x:v>11.0</x:v>
      </x:c>
      <x:c r="F7" s="1">
        <x:v>4.0</x:v>
      </x:c>
      <x:c r="G7" s="1">
        <x:v>20.9</x:v>
      </x:c>
      <x:c r="H7" s="1">
        <x:v>0.1</x:v>
      </x:c>
      <x:c r="I7" s="1">
        <x:v>0.9</x:v>
      </x:c>
      <x:c r="J7" s="1">
        <x:v>393.7</x:v>
      </x:c>
      <x:c r="K7" s="18">
        <x:f t="shared" si="1"/>
        <x:v>1.295253991</x:v>
      </x:c>
      <x:c r="L7" s="18">
        <x:f t="shared" si="2"/>
        <x:v>76.28461538</x:v>
      </x:c>
      <x:c r="M7" s="121"/>
      <x:c r="N7" s="121"/>
      <x:c r="O7" s="121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</x:row>
    <x:row r="8" ht="14.25" customHeight="1">
      <x:c r="B8" s="1" t="s">
        <x:v>489</x:v>
      </x:c>
      <x:c r="C8" s="1">
        <x:v>116.0</x:v>
      </x:c>
      <x:c r="D8" s="1">
        <x:v>1474.0</x:v>
      </x:c>
      <x:c r="E8" s="1">
        <x:v>10.0</x:v>
      </x:c>
      <x:c r="F8" s="1">
        <x:v>2.0</x:v>
      </x:c>
      <x:c r="G8" s="1">
        <x:v>11.0</x:v>
      </x:c>
      <x:c r="H8" s="1">
        <x:v>0.0</x:v>
      </x:c>
      <x:c r="I8" s="1">
        <x:v>1.0</x:v>
      </x:c>
      <x:c r="J8" s="1">
        <x:v>328.2</x:v>
      </x:c>
      <x:c r="K8" s="18">
        <x:f t="shared" si="1"/>
        <x:v>0.681712627</x:v>
      </x:c>
      <x:c r="L8" s="18">
        <x:f t="shared" si="2"/>
        <x:v>72.4974359</x:v>
      </x:c>
      <x:c r="M8" s="121"/>
      <x:c r="N8" s="121"/>
      <x:c r="O8" s="121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</x:row>
    <x:row r="9" ht="14.25" customHeight="1">
      <x:c r="A9" s="1" t="s">
        <x:v>735</x:v>
      </x:c>
      <x:c r="B9" s="1" t="s">
        <x:v>533</x:v>
      </x:c>
      <x:c r="C9" s="1">
        <x:v>110.9</x:v>
      </x:c>
      <x:c r="D9" s="1">
        <x:v>1570.0</x:v>
      </x:c>
      <x:c r="E9" s="1">
        <x:v>9.5</x:v>
      </x:c>
      <x:c r="F9" s="1">
        <x:v>5.5</x:v>
      </x:c>
      <x:c r="G9" s="1">
        <x:v>30.4</x:v>
      </x:c>
      <x:c r="H9" s="1">
        <x:v>0.1</x:v>
      </x:c>
      <x:c r="I9" s="1">
        <x:v>1.1</x:v>
      </x:c>
      <x:c r="J9" s="1">
        <x:v>326.2</x:v>
      </x:c>
      <x:c r="K9" s="18">
        <x:f t="shared" si="1"/>
        <x:v>1.884005806</x:v>
      </x:c>
      <x:c r="L9" s="18">
        <x:f t="shared" si="2"/>
        <x:v>77.21911422</x:v>
      </x:c>
      <x:c r="M9" s="119" t="n">
        <x:f>C11*Scoring!$B$34+D11/Scoring!$C$34+E11*Scoring!$D$34+WR!F11*Scoring!$E$34+WR!G11/Scoring!$F$34+WR!H11*Scoring!$G$34+WR!I11*Scoring!$H$34+K11*Scoring!$I$34+WR!L11*Scoring!$J$34+U9</x:f>
        <x:v>253.92000000000002</x:v>
      </x:c>
      <x:c r="N9" s="119" t="n">
        <x:f>C9*Scoring!$B$34+D9/Scoring!$C$34+E9*Scoring!$D$34+WR!F9*Scoring!$E$34+WR!G9/Scoring!$F$34+WR!H9*Scoring!$G$34+WR!I9*Scoring!$H$34+K9*Scoring!$I$34+WR!L9*Scoring!$J$34+U9</x:f>
        <x:v>271.99</x:v>
      </x:c>
      <x:c r="O9" s="119" t="n">
        <x:f>C10*Scoring!$B$34+D10/Scoring!$C$34+E10*Scoring!$D$34+WR!F10*Scoring!$E$34+WR!G10/Scoring!$F$34+WR!H10*Scoring!$G$34+WR!I10*Scoring!$H$34+K10*Scoring!$I$34+WR!L10*Scoring!$J$34+U9</x:f>
        <x:v>296.15000000000003</x:v>
      </x:c>
      <x:c r="P9" s="9" t="n">
        <x:f>IF(COUNTIF(Rookies!$A:$A,A9)&gt;0,1,0)</x:f>
        <x:v>0</x:v>
      </x:c>
      <x:c r="Q9" s="9"/>
      <x:c r="R9" s="9"/>
      <x:c r="S9" s="9" t="n">
        <x:f>V9/17</x:f>
        <x:v>15.999411764705883</x:v>
      </x:c>
      <x:c r="T9" s="9" t="n">
        <x:f>IF(P9=1,MAX(0,0.28*(12-S9)),0)</x:f>
        <x:v>0</x:v>
      </x:c>
      <x:c r="U9" s="9" t="n">
        <x:f>T9*17</x:f>
        <x:v>0</x:v>
      </x:c>
      <x:c r="V9" s="9" t="n">
        <x:f>C9*Scoring!$B$34+D9/Scoring!$C$34+E9*Scoring!$D$34+WR!F9*Scoring!$E$34+WR!G9/Scoring!$F$34+WR!H9*Scoring!$G$34+WR!I9*Scoring!$H$34+K9*Scoring!$I$34+WR!L9*Scoring!$J$34</x:f>
        <x:v>271.99</x:v>
      </x:c>
      <x:c r="W9" s="9"/>
      <x:c r="X9" s="9"/>
      <x:c r="Y9" s="9"/>
      <x:c r="Z9" s="9"/>
    </x:row>
    <x:row r="10" ht="14.25" customHeight="1">
      <x:c r="B10" s="1" t="s">
        <x:v>488</x:v>
      </x:c>
      <x:c r="C10" s="1">
        <x:v>116.7</x:v>
      </x:c>
      <x:c r="D10" s="1">
        <x:v>1620.0</x:v>
      </x:c>
      <x:c r="E10" s="1">
        <x:v>12.0</x:v>
      </x:c>
      <x:c r="F10" s="1">
        <x:v>7.0</x:v>
      </x:c>
      <x:c r="G10" s="1">
        <x:v>36.0</x:v>
      </x:c>
      <x:c r="H10" s="1">
        <x:v>0.2</x:v>
      </x:c>
      <x:c r="I10" s="1">
        <x:v>1.0</x:v>
      </x:c>
      <x:c r="J10" s="1">
        <x:v>366.5</x:v>
      </x:c>
      <x:c r="K10" s="18">
        <x:f t="shared" si="1"/>
        <x:v>2.231059507</x:v>
      </x:c>
      <x:c r="L10" s="18">
        <x:f t="shared" si="2"/>
        <x:v>79.67832168</x:v>
      </x:c>
      <x:c r="M10" s="121"/>
      <x:c r="N10" s="121"/>
      <x:c r="O10" s="121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</x:row>
    <x:row r="11" ht="14.25" customHeight="1">
      <x:c r="B11" s="1" t="s">
        <x:v>489</x:v>
      </x:c>
      <x:c r="C11" s="1">
        <x:v>105.0</x:v>
      </x:c>
      <x:c r="D11" s="1">
        <x:v>1521.0</x:v>
      </x:c>
      <x:c r="E11" s="1">
        <x:v>8.0</x:v>
      </x:c>
      <x:c r="F11" s="1">
        <x:v>4.6</x:v>
      </x:c>
      <x:c r="G11" s="1">
        <x:v>25.2</x:v>
      </x:c>
      <x:c r="H11" s="1">
        <x:v>0.0</x:v>
      </x:c>
      <x:c r="I11" s="1">
        <x:v>1.2</x:v>
      </x:c>
      <x:c r="J11" s="1">
        <x:v>320.9</x:v>
      </x:c>
      <x:c r="K11" s="18">
        <x:f t="shared" si="1"/>
        <x:v>1.561741655</x:v>
      </x:c>
      <x:c r="L11" s="18">
        <x:f t="shared" si="2"/>
        <x:v>74.80909091</x:v>
      </x:c>
      <x:c r="M11" s="121"/>
      <x:c r="N11" s="121"/>
      <x:c r="O11" s="121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</x:row>
    <x:row r="12" ht="14.25" customHeight="1">
      <x:c r="A12" s="1" t="s">
        <x:v>736</x:v>
      </x:c>
      <x:c r="B12" s="1" t="s">
        <x:v>519</x:v>
      </x:c>
      <x:c r="C12" s="1">
        <x:v>117.4</x:v>
      </x:c>
      <x:c r="D12" s="1">
        <x:v>1390.9</x:v>
      </x:c>
      <x:c r="E12" s="1">
        <x:v>10.5</x:v>
      </x:c>
      <x:c r="F12" s="1">
        <x:v>3.1</x:v>
      </x:c>
      <x:c r="G12" s="1">
        <x:v>11.8</x:v>
      </x:c>
      <x:c r="H12" s="1">
        <x:v>0.0</x:v>
      </x:c>
      <x:c r="I12" s="1">
        <x:v>0.4</x:v>
      </x:c>
      <x:c r="J12" s="1">
        <x:v>319.8</x:v>
      </x:c>
      <x:c r="K12" s="18">
        <x:f t="shared" si="1"/>
        <x:v>0.7312917271</x:v>
      </x:c>
      <x:c r="L12" s="18">
        <x:f t="shared" si="2"/>
        <x:v>68.4102331</x:v>
      </x:c>
      <x:c r="M12" s="119" t="n">
        <x:f>C14*Scoring!$B$34+D14/Scoring!$C$34+E14*Scoring!$D$34+WR!F14*Scoring!$E$34+WR!G14/Scoring!$F$34+WR!H14*Scoring!$G$34+WR!I14*Scoring!$H$34+K14*Scoring!$I$34+WR!L14*Scoring!$J$34+U12</x:f>
        <x:v>254.5</x:v>
      </x:c>
      <x:c r="N12" s="119" t="n">
        <x:f>C12*Scoring!$B$34+D12/Scoring!$C$34+E12*Scoring!$D$34+WR!F12*Scoring!$E$34+WR!G12/Scoring!$F$34+WR!H12*Scoring!$G$34+WR!I12*Scoring!$H$34+K12*Scoring!$I$34+WR!L12*Scoring!$J$34+U12</x:f>
        <x:v>261.57000000000005</x:v>
      </x:c>
      <x:c r="O12" s="119" t="n">
        <x:f>C13*Scoring!$B$34+D13/Scoring!$C$34+E13*Scoring!$D$34+WR!F13*Scoring!$E$34+WR!G13/Scoring!$F$34+WR!H13*Scoring!$G$34+WR!I13*Scoring!$H$34+K13*Scoring!$I$34+WR!L13*Scoring!$J$34+U12</x:f>
        <x:v>270.06</x:v>
      </x:c>
      <x:c r="P12" s="9" t="n">
        <x:f>IF(COUNTIF(Rookies!$A:$A,A12)&gt;0,1,0)</x:f>
        <x:v>0</x:v>
      </x:c>
      <x:c r="Q12" s="9"/>
      <x:c r="R12" s="9"/>
      <x:c r="S12" s="9" t="n">
        <x:f>V12/17</x:f>
        <x:v>15.386470588235298</x:v>
      </x:c>
      <x:c r="T12" s="9" t="n">
        <x:f>IF(P12=1,MAX(0,0.28*(12-S12)),0)</x:f>
        <x:v>0</x:v>
      </x:c>
      <x:c r="U12" s="9" t="n">
        <x:f>T12*17</x:f>
        <x:v>0</x:v>
      </x:c>
      <x:c r="V12" s="9" t="n">
        <x:f>C12*Scoring!$B$34+D12/Scoring!$C$34+E12*Scoring!$D$34+WR!F12*Scoring!$E$34+WR!G12/Scoring!$F$34+WR!H12*Scoring!$G$34+WR!I12*Scoring!$H$34+K12*Scoring!$I$34+WR!L12*Scoring!$J$34</x:f>
        <x:v>261.57000000000005</x:v>
      </x:c>
      <x:c r="W12" s="9"/>
      <x:c r="X12" s="9"/>
      <x:c r="Y12" s="9"/>
      <x:c r="Z12" s="9"/>
    </x:row>
    <x:row r="13" ht="14.25" customHeight="1">
      <x:c r="B13" s="1" t="s">
        <x:v>488</x:v>
      </x:c>
      <x:c r="C13" s="1">
        <x:v>119.0</x:v>
      </x:c>
      <x:c r="D13" s="1">
        <x:v>1425.6</x:v>
      </x:c>
      <x:c r="E13" s="1">
        <x:v>11.0</x:v>
      </x:c>
      <x:c r="F13" s="1">
        <x:v>4.0</x:v>
      </x:c>
      <x:c r="G13" s="1">
        <x:v>14.0</x:v>
      </x:c>
      <x:c r="H13" s="1">
        <x:v>0.1</x:v>
      </x:c>
      <x:c r="I13" s="1">
        <x:v>0.0</x:v>
      </x:c>
      <x:c r="J13" s="1">
        <x:v>376.0</x:v>
      </x:c>
      <x:c r="K13" s="18">
        <x:f t="shared" si="1"/>
        <x:v>0.8676342525</x:v>
      </x:c>
      <x:c r="L13" s="18">
        <x:f t="shared" si="2"/>
        <x:v>70.11692308</x:v>
      </x:c>
      <x:c r="M13" s="121"/>
      <x:c r="N13" s="121"/>
      <x:c r="O13" s="121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</x:row>
    <x:row r="14" ht="14.25" customHeight="1">
      <x:c r="B14" s="1" t="s">
        <x:v>489</x:v>
      </x:c>
      <x:c r="C14" s="1">
        <x:v>115.0</x:v>
      </x:c>
      <x:c r="D14" s="1">
        <x:v>1370.0</x:v>
      </x:c>
      <x:c r="E14" s="1">
        <x:v>10.0</x:v>
      </x:c>
      <x:c r="F14" s="1">
        <x:v>2.3</x:v>
      </x:c>
      <x:c r="G14" s="1">
        <x:v>8.0</x:v>
      </x:c>
      <x:c r="H14" s="1">
        <x:v>0.0</x:v>
      </x:c>
      <x:c r="I14" s="1">
        <x:v>0.8</x:v>
      </x:c>
      <x:c r="J14" s="1">
        <x:v>312.4</x:v>
      </x:c>
      <x:c r="K14" s="18">
        <x:f t="shared" si="1"/>
        <x:v>0.4957910015</x:v>
      </x:c>
      <x:c r="L14" s="18">
        <x:f t="shared" si="2"/>
        <x:v>67.38228438</x:v>
      </x:c>
      <x:c r="M14" s="121"/>
      <x:c r="N14" s="121"/>
      <x:c r="O14" s="121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</x:row>
    <x:row r="15" ht="14.25" customHeight="1">
      <x:c r="A15" s="1" t="s">
        <x:v>737</x:v>
      </x:c>
      <x:c r="B15" s="1" t="s">
        <x:v>551</x:v>
      </x:c>
      <x:c r="C15" s="1">
        <x:v>98.4</x:v>
      </x:c>
      <x:c r="D15" s="1">
        <x:v>1272.9</x:v>
      </x:c>
      <x:c r="E15" s="1">
        <x:v>8.0</x:v>
      </x:c>
      <x:c r="F15" s="1">
        <x:v>0.0</x:v>
      </x:c>
      <x:c r="G15" s="1">
        <x:v>0.0</x:v>
      </x:c>
      <x:c r="H15" s="1">
        <x:v>0.0</x:v>
      </x:c>
      <x:c r="I15" s="1">
        <x:v>1.0</x:v>
      </x:c>
      <x:c r="J15" s="1">
        <x:v>276.3</x:v>
      </x:c>
      <x:c r="K15" s="18">
        <x:f t="shared" si="1"/>
        <x:v>0</x:v>
      </x:c>
      <x:c r="L15" s="18">
        <x:f t="shared" si="2"/>
        <x:v>62.6065035</x:v>
      </x:c>
      <x:c r="M15" s="119" t="n">
        <x:f>C17*Scoring!$B$34+D17/Scoring!$C$34+E17*Scoring!$D$34+WR!F17*Scoring!$E$34+WR!G17/Scoring!$F$34+WR!H17*Scoring!$G$34+WR!I17*Scoring!$H$34+K17*Scoring!$I$34+WR!L17*Scoring!$J$34+U15</x:f>
        <x:v>212.97</x:v>
      </x:c>
      <x:c r="N15" s="119" t="n">
        <x:f>C15*Scoring!$B$34+D15/Scoring!$C$34+E15*Scoring!$D$34+WR!F15*Scoring!$E$34+WR!G15/Scoring!$F$34+WR!H15*Scoring!$G$34+WR!I15*Scoring!$H$34+K15*Scoring!$I$34+WR!L15*Scoring!$J$34+U15</x:f>
        <x:v>223.49</x:v>
      </x:c>
      <x:c r="O15" s="119" t="n">
        <x:f>C16*Scoring!$B$34+D16/Scoring!$C$34+E16*Scoring!$D$34+WR!F16*Scoring!$E$34+WR!G16/Scoring!$F$34+WR!H16*Scoring!$G$34+WR!I16*Scoring!$H$34+K16*Scoring!$I$34+WR!L16*Scoring!$J$34+U15</x:f>
        <x:v>227.5</x:v>
      </x:c>
      <x:c r="P15" s="9" t="n">
        <x:f>IF(COUNTIF(Rookies!$A:$A,A15)&gt;0,1,0)</x:f>
        <x:v>0</x:v>
      </x:c>
      <x:c r="Q15" s="9"/>
      <x:c r="R15" s="9"/>
      <x:c r="S15" s="9" t="n">
        <x:f>V15/17</x:f>
        <x:v>13.146470588235294</x:v>
      </x:c>
      <x:c r="T15" s="9" t="n">
        <x:f>IF(P15=1,MAX(0,0.28*(12-S15)),0)</x:f>
        <x:v>0</x:v>
      </x:c>
      <x:c r="U15" s="9" t="n">
        <x:f>T15*17</x:f>
        <x:v>0</x:v>
      </x:c>
      <x:c r="V15" s="9" t="n">
        <x:f>C15*Scoring!$B$34+D15/Scoring!$C$34+E15*Scoring!$D$34+WR!F15*Scoring!$E$34+WR!G15/Scoring!$F$34+WR!H15*Scoring!$G$34+WR!I15*Scoring!$H$34+K15*Scoring!$I$34+WR!L15*Scoring!$J$34</x:f>
        <x:v>223.49</x:v>
      </x:c>
      <x:c r="W15" s="9"/>
      <x:c r="X15" s="9"/>
      <x:c r="Y15" s="9"/>
      <x:c r="Z15" s="9"/>
    </x:row>
    <x:row r="16" ht="14.25" customHeight="1">
      <x:c r="B16" s="1" t="s">
        <x:v>488</x:v>
      </x:c>
      <x:c r="C16" s="1">
        <x:v>101.0</x:v>
      </x:c>
      <x:c r="D16" s="1">
        <x:v>1299.0</x:v>
      </x:c>
      <x:c r="E16" s="1">
        <x:v>8.0</x:v>
      </x:c>
      <x:c r="F16" s="1">
        <x:v>0.0</x:v>
      </x:c>
      <x:c r="G16" s="1">
        <x:v>0.0</x:v>
      </x:c>
      <x:c r="H16" s="1">
        <x:v>0.0</x:v>
      </x:c>
      <x:c r="I16" s="1">
        <x:v>0.9</x:v>
      </x:c>
      <x:c r="J16" s="1">
        <x:v>321.1</x:v>
      </x:c>
      <x:c r="K16" s="18">
        <x:f t="shared" si="1"/>
        <x:v>0</x:v>
      </x:c>
      <x:c r="L16" s="18">
        <x:f t="shared" si="2"/>
        <x:v>63.89020979</x:v>
      </x:c>
      <x:c r="M16" s="121"/>
      <x:c r="N16" s="121"/>
      <x:c r="O16" s="121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</x:row>
    <x:row r="17" ht="14.25" customHeight="1">
      <x:c r="B17" s="1" t="s">
        <x:v>489</x:v>
      </x:c>
      <x:c r="C17" s="1">
        <x:v>94.0</x:v>
      </x:c>
      <x:c r="D17" s="1">
        <x:v>1249.7</x:v>
      </x:c>
      <x:c r="E17" s="1">
        <x:v>7.0</x:v>
      </x:c>
      <x:c r="F17" s="1">
        <x:v>0.0</x:v>
      </x:c>
      <x:c r="G17" s="1">
        <x:v>0.0</x:v>
      </x:c>
      <x:c r="H17" s="1">
        <x:v>0.0</x:v>
      </x:c>
      <x:c r="I17" s="1">
        <x:v>1.0</x:v>
      </x:c>
      <x:c r="J17" s="1">
        <x:v>266.0</x:v>
      </x:c>
      <x:c r="K17" s="18">
        <x:f t="shared" si="1"/>
        <x:v>0</x:v>
      </x:c>
      <x:c r="L17" s="18">
        <x:f t="shared" si="2"/>
        <x:v>61.46543124</x:v>
      </x:c>
      <x:c r="M17" s="121"/>
      <x:c r="N17" s="121"/>
      <x:c r="O17" s="121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</x:row>
    <x:row r="18" ht="14.25" customHeight="1">
      <x:c r="A18" s="1" t="s">
        <x:v>738</x:v>
      </x:c>
      <x:c r="B18" s="1" t="s">
        <x:v>509</x:v>
      </x:c>
      <x:c r="C18" s="1">
        <x:v>99.1</x:v>
      </x:c>
      <x:c r="D18" s="1">
        <x:v>1101.0</x:v>
      </x:c>
      <x:c r="E18" s="1">
        <x:v>9.7</x:v>
      </x:c>
      <x:c r="F18" s="1">
        <x:v>5.4</x:v>
      </x:c>
      <x:c r="G18" s="1">
        <x:v>25.6</x:v>
      </x:c>
      <x:c r="H18" s="1">
        <x:v>0.9</x:v>
      </x:c>
      <x:c r="I18" s="1">
        <x:v>0.6</x:v>
      </x:c>
      <x:c r="J18" s="1">
        <x:v>274.1</x:v>
      </x:c>
      <x:c r="K18" s="18">
        <x:f t="shared" si="1"/>
        <x:v>1.586531205</x:v>
      </x:c>
      <x:c r="L18" s="18">
        <x:f t="shared" si="2"/>
        <x:v>54.15174825</x:v>
      </x:c>
      <x:c r="M18" s="119" t="n">
        <x:f>C20*Scoring!$B$34+D20/Scoring!$C$34+E20*Scoring!$D$34+WR!F20*Scoring!$E$34+WR!G20/Scoring!$F$34+WR!H20*Scoring!$G$34+WR!I20*Scoring!$H$34+K20*Scoring!$I$34+WR!L20*Scoring!$J$34+U18</x:f>
        <x:v>194</x:v>
      </x:c>
      <x:c r="N18" s="119" t="n">
        <x:f>C18*Scoring!$B$34+D18/Scoring!$C$34+E18*Scoring!$D$34+WR!F18*Scoring!$E$34+WR!G18/Scoring!$F$34+WR!H18*Scoring!$G$34+WR!I18*Scoring!$H$34+K18*Scoring!$I$34+WR!L18*Scoring!$J$34+U18</x:f>
        <x:v>225.20999999999998</x:v>
      </x:c>
      <x:c r="O18" s="119" t="n">
        <x:f>C19*Scoring!$B$34+D19/Scoring!$C$34+E19*Scoring!$D$34+WR!F19*Scoring!$E$34+WR!G19/Scoring!$F$34+WR!H19*Scoring!$G$34+WR!I19*Scoring!$H$34+K19*Scoring!$I$34+WR!L19*Scoring!$J$34+U18</x:f>
        <x:v>260.17</x:v>
      </x:c>
      <x:c r="P18" s="9" t="n">
        <x:f>IF(COUNTIF(Rookies!$A:$A,A18)&gt;0,1,0)</x:f>
        <x:v>0</x:v>
      </x:c>
      <x:c r="Q18" s="9"/>
      <x:c r="R18" s="9"/>
      <x:c r="S18" s="9" t="n">
        <x:f>V18/17</x:f>
        <x:v>13.247647058823528</x:v>
      </x:c>
      <x:c r="T18" s="9" t="n">
        <x:f>IF(P18=1,MAX(0,0.28*(12-S18)),0)</x:f>
        <x:v>0</x:v>
      </x:c>
      <x:c r="U18" s="9" t="n">
        <x:f>T18*17</x:f>
        <x:v>0</x:v>
      </x:c>
      <x:c r="V18" s="9" t="n">
        <x:f>C18*Scoring!$B$34+D18/Scoring!$C$34+E18*Scoring!$D$34+WR!F18*Scoring!$E$34+WR!G18/Scoring!$F$34+WR!H18*Scoring!$G$34+WR!I18*Scoring!$H$34+K18*Scoring!$I$34+WR!L18*Scoring!$J$34</x:f>
        <x:v>225.20999999999998</x:v>
      </x:c>
      <x:c r="W18" s="9"/>
      <x:c r="X18" s="9"/>
      <x:c r="Y18" s="9"/>
      <x:c r="Z18" s="9"/>
    </x:row>
    <x:row r="19" ht="14.25" customHeight="1">
      <x:c r="B19" s="1" t="s">
        <x:v>488</x:v>
      </x:c>
      <x:c r="C19" s="1">
        <x:v>105.0</x:v>
      </x:c>
      <x:c r="D19" s="1">
        <x:v>1133.9</x:v>
      </x:c>
      <x:c r="E19" s="1">
        <x:v>13.0</x:v>
      </x:c>
      <x:c r="F19" s="1">
        <x:v>8.3</x:v>
      </x:c>
      <x:c r="G19" s="1">
        <x:v>42.8</x:v>
      </x:c>
      <x:c r="H19" s="1">
        <x:v>2.0</x:v>
      </x:c>
      <x:c r="I19" s="1">
        <x:v>0.0</x:v>
      </x:c>
      <x:c r="J19" s="1">
        <x:v>300.8</x:v>
      </x:c>
      <x:c r="K19" s="18">
        <x:f t="shared" si="1"/>
        <x:v>2.652481858</x:v>
      </x:c>
      <x:c r="L19" s="18">
        <x:f t="shared" si="2"/>
        <x:v>55.76990676</x:v>
      </x:c>
      <x:c r="M19" s="121"/>
      <x:c r="N19" s="121"/>
      <x:c r="O19" s="121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</x:row>
    <x:row r="20" ht="14.25" customHeight="1">
      <x:c r="B20" s="1" t="s">
        <x:v>489</x:v>
      </x:c>
      <x:c r="C20" s="1">
        <x:v>96.0</x:v>
      </x:c>
      <x:c r="D20" s="1">
        <x:v>1052.0</x:v>
      </x:c>
      <x:c r="E20" s="1">
        <x:v>7.0</x:v>
      </x:c>
      <x:c r="F20" s="1">
        <x:v>0.0</x:v>
      </x:c>
      <x:c r="G20" s="1">
        <x:v>0.0</x:v>
      </x:c>
      <x:c r="H20" s="1">
        <x:v>0.0</x:v>
      </x:c>
      <x:c r="I20" s="1">
        <x:v>1.2</x:v>
      </x:c>
      <x:c r="J20" s="1">
        <x:v>273.8</x:v>
      </x:c>
      <x:c r="K20" s="18">
        <x:f t="shared" si="1"/>
        <x:v>0</x:v>
      </x:c>
      <x:c r="L20" s="18">
        <x:f t="shared" si="2"/>
        <x:v>51.74172494</x:v>
      </x:c>
      <x:c r="M20" s="121"/>
      <x:c r="N20" s="121"/>
      <x:c r="O20" s="121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</x:row>
    <x:row r="21" ht="14.25" customHeight="1">
      <x:c r="A21" s="1" t="s">
        <x:v>739</x:v>
      </x:c>
      <x:c r="B21" s="1" t="s">
        <x:v>507</x:v>
      </x:c>
      <x:c r="C21" s="1">
        <x:v>97.5</x:v>
      </x:c>
      <x:c r="D21" s="1">
        <x:v>1295.5</x:v>
      </x:c>
      <x:c r="E21" s="1">
        <x:v>7.5</x:v>
      </x:c>
      <x:c r="F21" s="1">
        <x:v>2.4</x:v>
      </x:c>
      <x:c r="G21" s="1">
        <x:v>12.6</x:v>
      </x:c>
      <x:c r="H21" s="1">
        <x:v>0.0</x:v>
      </x:c>
      <x:c r="I21" s="1">
        <x:v>0.3</x:v>
      </x:c>
      <x:c r="J21" s="1">
        <x:v>273.0</x:v>
      </x:c>
      <x:c r="K21" s="18">
        <x:f t="shared" si="1"/>
        <x:v>0.7808708273</x:v>
      </x:c>
      <x:c r="L21" s="18">
        <x:f t="shared" si="2"/>
        <x:v>63.71806527</x:v>
      </x:c>
      <x:c r="M21" s="119" t="n">
        <x:f>C23*Scoring!$B$34+D23/Scoring!$C$34+E23*Scoring!$D$34+WR!F23*Scoring!$E$34+WR!G23/Scoring!$F$34+WR!H23*Scoring!$G$34+WR!I23*Scoring!$H$34+K23*Scoring!$I$34+WR!L23*Scoring!$J$34+U21</x:f>
        <x:v>196.5</x:v>
      </x:c>
      <x:c r="N21" s="119" t="n">
        <x:f>C21*Scoring!$B$34+D21/Scoring!$C$34+E21*Scoring!$D$34+WR!F21*Scoring!$E$34+WR!G21/Scoring!$F$34+WR!H21*Scoring!$G$34+WR!I21*Scoring!$H$34+K21*Scoring!$I$34+WR!L21*Scoring!$J$34+U21</x:f>
        <x:v>224.26</x:v>
      </x:c>
      <x:c r="O21" s="119" t="n">
        <x:f>C22*Scoring!$B$34+D22/Scoring!$C$34+E22*Scoring!$D$34+WR!F22*Scoring!$E$34+WR!G22/Scoring!$F$34+WR!H22*Scoring!$G$34+WR!I22*Scoring!$H$34+K22*Scoring!$I$34+WR!L22*Scoring!$J$34+U21</x:f>
        <x:v>243.95</x:v>
      </x:c>
      <x:c r="P21" s="9" t="n">
        <x:f>IF(COUNTIF(Rookies!$A:$A,A21)&gt;0,1,0)</x:f>
        <x:v>0</x:v>
      </x:c>
      <x:c r="Q21" s="9"/>
      <x:c r="R21" s="9"/>
      <x:c r="S21" s="9" t="n">
        <x:f>V21/17</x:f>
        <x:v>13.191764705882353</x:v>
      </x:c>
      <x:c r="T21" s="9" t="n">
        <x:f>IF(P21=1,MAX(0,0.28*(12-S21)),0)</x:f>
        <x:v>0</x:v>
      </x:c>
      <x:c r="U21" s="9" t="n">
        <x:f>T21*17</x:f>
        <x:v>0</x:v>
      </x:c>
      <x:c r="V21" s="9" t="n">
        <x:f>C21*Scoring!$B$34+D21/Scoring!$C$34+E21*Scoring!$D$34+WR!F21*Scoring!$E$34+WR!G21/Scoring!$F$34+WR!H21*Scoring!$G$34+WR!I21*Scoring!$H$34+K21*Scoring!$I$34+WR!L21*Scoring!$J$34</x:f>
        <x:v>224.26</x:v>
      </x:c>
      <x:c r="W21" s="9"/>
      <x:c r="X21" s="9"/>
      <x:c r="Y21" s="9"/>
      <x:c r="Z21" s="9"/>
    </x:row>
    <x:row r="22" ht="14.25" customHeight="1">
      <x:c r="B22" s="1" t="s">
        <x:v>488</x:v>
      </x:c>
      <x:c r="C22" s="1">
        <x:v>103.4</x:v>
      </x:c>
      <x:c r="D22" s="1">
        <x:v>1375.5</x:v>
      </x:c>
      <x:c r="E22" s="1">
        <x:v>8.6</x:v>
      </x:c>
      <x:c r="F22" s="1">
        <x:v>5.0</x:v>
      </x:c>
      <x:c r="G22" s="1">
        <x:v>25.0</x:v>
      </x:c>
      <x:c r="H22" s="1">
        <x:v>0.1</x:v>
      </x:c>
      <x:c r="I22" s="1">
        <x:v>0.0</x:v>
      </x:c>
      <x:c r="J22" s="1">
        <x:v>306.7</x:v>
      </x:c>
      <x:c r="K22" s="18">
        <x:f t="shared" si="1"/>
        <x:v>1.54934688</x:v>
      </x:c>
      <x:c r="L22" s="18">
        <x:f t="shared" si="2"/>
        <x:v>67.6527972</x:v>
      </x:c>
      <x:c r="M22" s="121"/>
      <x:c r="N22" s="121"/>
      <x:c r="O22" s="121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</x:row>
    <x:row r="23" ht="14.25" customHeight="1">
      <x:c r="B23" s="1" t="s">
        <x:v>489</x:v>
      </x:c>
      <x:c r="C23" s="1">
        <x:v>87.0</x:v>
      </x:c>
      <x:c r="D23" s="1">
        <x:v>1177.0</x:v>
      </x:c>
      <x:c r="E23" s="1">
        <x:v>6.0</x:v>
      </x:c>
      <x:c r="F23" s="1">
        <x:v>0.0</x:v>
      </x:c>
      <x:c r="G23" s="1">
        <x:v>0.0</x:v>
      </x:c>
      <x:c r="H23" s="1">
        <x:v>0.0</x:v>
      </x:c>
      <x:c r="I23" s="1">
        <x:v>0.7</x:v>
      </x:c>
      <x:c r="J23" s="1">
        <x:v>258.5</x:v>
      </x:c>
      <x:c r="K23" s="18">
        <x:f t="shared" si="1"/>
        <x:v>0</x:v>
      </x:c>
      <x:c r="L23" s="18">
        <x:f t="shared" si="2"/>
        <x:v>57.88974359</x:v>
      </x:c>
      <x:c r="M23" s="121"/>
      <x:c r="N23" s="121"/>
      <x:c r="O23" s="121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</x:row>
    <x:row r="24" ht="14.25" customHeight="1">
      <x:c r="A24" s="1" t="s">
        <x:v>740</x:v>
      </x:c>
      <x:c r="B24" s="1" t="s">
        <x:v>525</x:v>
      </x:c>
      <x:c r="C24" s="1">
        <x:v>98.9</x:v>
      </x:c>
      <x:c r="D24" s="1">
        <x:v>1310.9</x:v>
      </x:c>
      <x:c r="E24" s="1">
        <x:v>7.1</x:v>
      </x:c>
      <x:c r="F24" s="1">
        <x:v>1.3</x:v>
      </x:c>
      <x:c r="G24" s="1">
        <x:v>5.5</x:v>
      </x:c>
      <x:c r="H24" s="1">
        <x:v>0.0</x:v>
      </x:c>
      <x:c r="I24" s="1">
        <x:v>0.3</x:v>
      </x:c>
      <x:c r="J24" s="1">
        <x:v>272.8</x:v>
      </x:c>
      <x:c r="K24" s="18">
        <x:f t="shared" si="1"/>
        <x:v>0.3408563135</x:v>
      </x:c>
      <x:c r="L24" s="18">
        <x:f t="shared" si="2"/>
        <x:v>64.47550117</x:v>
      </x:c>
      <x:c r="M24" s="119" t="n">
        <x:f>C26*Scoring!$B$34+D26/Scoring!$C$34+E26*Scoring!$D$34+WR!F26*Scoring!$E$34+WR!G26/Scoring!$F$34+WR!H26*Scoring!$G$34+WR!I26*Scoring!$H$34+K26*Scoring!$I$34+WR!L26*Scoring!$J$34+U24</x:f>
        <x:v>213.70000000000002</x:v>
      </x:c>
      <x:c r="N24" s="119" t="n">
        <x:f>C24*Scoring!$B$34+D24/Scoring!$C$34+E24*Scoring!$D$34+WR!F24*Scoring!$E$34+WR!G24/Scoring!$F$34+WR!H24*Scoring!$G$34+WR!I24*Scoring!$H$34+K24*Scoring!$I$34+WR!L24*Scoring!$J$34+U24</x:f>
        <x:v>223.39000000000001</x:v>
      </x:c>
      <x:c r="O24" s="119" t="n">
        <x:f>C25*Scoring!$B$34+D25/Scoring!$C$34+E25*Scoring!$D$34+WR!F25*Scoring!$E$34+WR!G25/Scoring!$F$34+WR!H25*Scoring!$G$34+WR!I25*Scoring!$H$34+K25*Scoring!$I$34+WR!L25*Scoring!$J$34+U24</x:f>
        <x:v>238.98</x:v>
      </x:c>
      <x:c r="P24" s="9" t="n">
        <x:f>IF(COUNTIF(Rookies!$A:$A,A24)&gt;0,1,0)</x:f>
        <x:v>0</x:v>
      </x:c>
      <x:c r="Q24" s="9"/>
      <x:c r="R24" s="9"/>
      <x:c r="S24" s="9" t="n">
        <x:f>V24/17</x:f>
        <x:v>13.140588235294118</x:v>
      </x:c>
      <x:c r="T24" s="9" t="n">
        <x:f>IF(P24=1,MAX(0,0.28*(12-S24)),0)</x:f>
        <x:v>0</x:v>
      </x:c>
      <x:c r="U24" s="9" t="n">
        <x:f>T24*17</x:f>
        <x:v>0</x:v>
      </x:c>
      <x:c r="V24" s="9" t="n">
        <x:f>C24*Scoring!$B$34+D24/Scoring!$C$34+E24*Scoring!$D$34+WR!F24*Scoring!$E$34+WR!G24/Scoring!$F$34+WR!H24*Scoring!$G$34+WR!I24*Scoring!$H$34+K24*Scoring!$I$34+WR!L24*Scoring!$J$34</x:f>
        <x:v>223.39000000000001</x:v>
      </x:c>
      <x:c r="W24" s="9"/>
      <x:c r="X24" s="9"/>
      <x:c r="Y24" s="9"/>
      <x:c r="Z24" s="9"/>
    </x:row>
    <x:row r="25" ht="14.25" customHeight="1">
      <x:c r="B25" s="1" t="s">
        <x:v>488</x:v>
      </x:c>
      <x:c r="C25" s="1">
        <x:v>110.7</x:v>
      </x:c>
      <x:c r="D25" s="1">
        <x:v>1375.7</x:v>
      </x:c>
      <x:c r="E25" s="1">
        <x:v>7.4</x:v>
      </x:c>
      <x:c r="F25" s="1">
        <x:v>2.0</x:v>
      </x:c>
      <x:c r="G25" s="1">
        <x:v>10.6</x:v>
      </x:c>
      <x:c r="H25" s="1">
        <x:v>0.1</x:v>
      </x:c>
      <x:c r="I25" s="1">
        <x:v>0.0</x:v>
      </x:c>
      <x:c r="J25" s="1">
        <x:v>317.2</x:v>
      </x:c>
      <x:c r="K25" s="18">
        <x:f t="shared" si="1"/>
        <x:v>0.6569230769</x:v>
      </x:c>
      <x:c r="L25" s="18">
        <x:f t="shared" si="2"/>
        <x:v>67.66263403</x:v>
      </x:c>
      <x:c r="M25" s="121"/>
      <x:c r="N25" s="121"/>
      <x:c r="O25" s="121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</x:row>
    <x:row r="26" ht="14.25" customHeight="1">
      <x:c r="B26" s="1" t="s">
        <x:v>489</x:v>
      </x:c>
      <x:c r="C26" s="1">
        <x:v>91.0</x:v>
      </x:c>
      <x:c r="D26" s="1">
        <x:v>1269.0</x:v>
      </x:c>
      <x:c r="E26" s="1">
        <x:v>7.0</x:v>
      </x:c>
      <x:c r="F26" s="1">
        <x:v>0.0</x:v>
      </x:c>
      <x:c r="G26" s="1">
        <x:v>0.0</x:v>
      </x:c>
      <x:c r="H26" s="1">
        <x:v>0.0</x:v>
      </x:c>
      <x:c r="I26" s="1">
        <x:v>0.7</x:v>
      </x:c>
      <x:c r="J26" s="1">
        <x:v>258.9</x:v>
      </x:c>
      <x:c r="K26" s="18">
        <x:f t="shared" si="1"/>
        <x:v>0</x:v>
      </x:c>
      <x:c r="L26" s="18">
        <x:f t="shared" si="2"/>
        <x:v>62.41468531</x:v>
      </x:c>
      <x:c r="M26" s="121"/>
      <x:c r="N26" s="121"/>
      <x:c r="O26" s="121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</x:row>
    <x:row r="27" ht="14.25" customHeight="1">
      <x:c r="A27" s="1" t="s">
        <x:v>741</x:v>
      </x:c>
      <x:c r="B27" s="1" t="s">
        <x:v>521</x:v>
      </x:c>
      <x:c r="C27" s="1">
        <x:v>95.8</x:v>
      </x:c>
      <x:c r="D27" s="1">
        <x:v>1195.5</x:v>
      </x:c>
      <x:c r="E27" s="1">
        <x:v>7.9</x:v>
      </x:c>
      <x:c r="F27" s="1">
        <x:v>0.3</x:v>
      </x:c>
      <x:c r="G27" s="1">
        <x:v>0.0</x:v>
      </x:c>
      <x:c r="H27" s="1">
        <x:v>0.0</x:v>
      </x:c>
      <x:c r="I27" s="1">
        <x:v>0.3</x:v>
      </x:c>
      <x:c r="J27" s="1">
        <x:v>262.0</x:v>
      </x:c>
      <x:c r="K27" s="18">
        <x:f t="shared" si="1"/>
        <x:v>0</x:v>
      </x:c>
      <x:c r="L27" s="18">
        <x:f t="shared" si="2"/>
        <x:v>58.79965035</x:v>
      </x:c>
      <x:c r="M27" s="119" t="n">
        <x:f>C29*Scoring!$B$34+D29/Scoring!$C$34+E29*Scoring!$D$34+WR!F29*Scoring!$E$34+WR!G29/Scoring!$F$34+WR!H29*Scoring!$G$34+WR!I29*Scoring!$H$34+K29*Scoring!$I$34+WR!L29*Scoring!$J$34+U27</x:f>
        <x:v>199.95000000000002</x:v>
      </x:c>
      <x:c r="N27" s="119" t="n">
        <x:f>C27*Scoring!$B$34+D27/Scoring!$C$34+E27*Scoring!$D$34+WR!F27*Scoring!$E$34+WR!G27/Scoring!$F$34+WR!H27*Scoring!$G$34+WR!I27*Scoring!$H$34+K27*Scoring!$I$34+WR!L27*Scoring!$J$34+U27</x:f>
        <x:v>214.54999999999998</x:v>
      </x:c>
      <x:c r="O27" s="119" t="n">
        <x:f>C28*Scoring!$B$34+D28/Scoring!$C$34+E28*Scoring!$D$34+WR!F28*Scoring!$E$34+WR!G28/Scoring!$F$34+WR!H28*Scoring!$G$34+WR!I28*Scoring!$H$34+K28*Scoring!$I$34+WR!L28*Scoring!$J$34+U27</x:f>
        <x:v>233.7</x:v>
      </x:c>
      <x:c r="P27" s="9" t="n">
        <x:f>IF(COUNTIF(Rookies!$A:$A,A27)&gt;0,1,0)</x:f>
        <x:v>0</x:v>
      </x:c>
      <x:c r="Q27" s="9"/>
      <x:c r="R27" s="9"/>
      <x:c r="S27" s="9" t="n">
        <x:f>V27/17</x:f>
        <x:v>12.620588235294116</x:v>
      </x:c>
      <x:c r="T27" s="9" t="n">
        <x:f>IF(P27=1,MAX(0,0.28*(12-S27)),0)</x:f>
        <x:v>0</x:v>
      </x:c>
      <x:c r="U27" s="9" t="n">
        <x:f>T27*17</x:f>
        <x:v>0</x:v>
      </x:c>
      <x:c r="V27" s="9" t="n">
        <x:f>C27*Scoring!$B$34+D27/Scoring!$C$34+E27*Scoring!$D$34+WR!F27*Scoring!$E$34+WR!G27/Scoring!$F$34+WR!H27*Scoring!$G$34+WR!I27*Scoring!$H$34+K27*Scoring!$I$34+WR!L27*Scoring!$J$34</x:f>
        <x:v>214.54999999999998</x:v>
      </x:c>
      <x:c r="W27" s="9"/>
      <x:c r="X27" s="9"/>
      <x:c r="Y27" s="9"/>
      <x:c r="Z27" s="9"/>
    </x:row>
    <x:row r="28" ht="14.25" customHeight="1">
      <x:c r="B28" s="1" t="s">
        <x:v>488</x:v>
      </x:c>
      <x:c r="C28" s="1">
        <x:v>99.0</x:v>
      </x:c>
      <x:c r="D28" s="1">
        <x:v>1242.0</x:v>
      </x:c>
      <x:c r="E28" s="1">
        <x:v>10.0</x:v>
      </x:c>
      <x:c r="F28" s="1">
        <x:v>1.0</x:v>
      </x:c>
      <x:c r="G28" s="1">
        <x:v>0.0</x:v>
      </x:c>
      <x:c r="H28" s="1">
        <x:v>0.0</x:v>
      </x:c>
      <x:c r="I28" s="1">
        <x:v>0.0</x:v>
      </x:c>
      <x:c r="J28" s="1">
        <x:v>301.0</x:v>
      </x:c>
      <x:c r="K28" s="18">
        <x:f t="shared" si="1"/>
        <x:v>0</x:v>
      </x:c>
      <x:c r="L28" s="18">
        <x:f t="shared" si="2"/>
        <x:v>61.08671329</x:v>
      </x:c>
      <x:c r="M28" s="121"/>
      <x:c r="N28" s="121"/>
      <x:c r="O28" s="121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</x:row>
    <x:row r="29" ht="14.25" customHeight="1">
      <x:c r="B29" s="1" t="s">
        <x:v>489</x:v>
      </x:c>
      <x:c r="C29" s="1">
        <x:v>91.3</x:v>
      </x:c>
      <x:c r="D29" s="1">
        <x:v>1147.0</x:v>
      </x:c>
      <x:c r="E29" s="1">
        <x:v>6.7</x:v>
      </x:c>
      <x:c r="F29" s="1">
        <x:v>0.0</x:v>
      </x:c>
      <x:c r="G29" s="1">
        <x:v>0.0</x:v>
      </x:c>
      <x:c r="H29" s="1">
        <x:v>0.0</x:v>
      </x:c>
      <x:c r="I29" s="1">
        <x:v>0.6</x:v>
      </x:c>
      <x:c r="J29" s="1">
        <x:v>254.9</x:v>
      </x:c>
      <x:c r="K29" s="18">
        <x:f t="shared" si="1"/>
        <x:v>0</x:v>
      </x:c>
      <x:c r="L29" s="18">
        <x:f t="shared" si="2"/>
        <x:v>56.41421911</x:v>
      </x:c>
      <x:c r="M29" s="121"/>
      <x:c r="N29" s="121"/>
      <x:c r="O29" s="121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</x:row>
    <x:row r="30" ht="14.25" customHeight="1">
      <x:c r="A30" s="1" t="s">
        <x:v>742</x:v>
      </x:c>
      <x:c r="B30" s="1" t="s">
        <x:v>493</x:v>
      </x:c>
      <x:c r="C30" s="1">
        <x:v>87.7</x:v>
      </x:c>
      <x:c r="D30" s="1">
        <x:v>1231.4</x:v>
      </x:c>
      <x:c r="E30" s="1">
        <x:v>7.7</x:v>
      </x:c>
      <x:c r="F30" s="1">
        <x:v>0.0</x:v>
      </x:c>
      <x:c r="G30" s="1">
        <x:v>0.0</x:v>
      </x:c>
      <x:c r="H30" s="1">
        <x:v>0.0</x:v>
      </x:c>
      <x:c r="I30" s="1">
        <x:v>0.3</x:v>
      </x:c>
      <x:c r="J30" s="1">
        <x:v>256.1</x:v>
      </x:c>
      <x:c r="K30" s="18">
        <x:f t="shared" si="1"/>
        <x:v>0</x:v>
      </x:c>
      <x:c r="L30" s="18">
        <x:f t="shared" si="2"/>
        <x:v>60.56536131</x:v>
      </x:c>
      <x:c r="M30" s="119" t="n">
        <x:f>C32*Scoring!$B$34+D32/Scoring!$C$34+E32*Scoring!$D$34+WR!F32*Scoring!$E$34+WR!G32/Scoring!$F$34+WR!H32*Scoring!$G$34+WR!I32*Scoring!$H$34+K32*Scoring!$I$34+WR!L32*Scoring!$J$34+U30</x:f>
        <x:v>199.9</x:v>
      </x:c>
      <x:c r="N30" s="119" t="n">
        <x:f>C30*Scoring!$B$34+D30/Scoring!$C$34+E30*Scoring!$D$34+WR!F30*Scoring!$E$34+WR!G30/Scoring!$F$34+WR!H30*Scoring!$G$34+WR!I30*Scoring!$H$34+K30*Scoring!$I$34+WR!L30*Scoring!$J$34+U30</x:f>
        <x:v>212.89</x:v>
      </x:c>
      <x:c r="O30" s="119" t="n">
        <x:f>C31*Scoring!$B$34+D31/Scoring!$C$34+E31*Scoring!$D$34+WR!F31*Scoring!$E$34+WR!G31/Scoring!$F$34+WR!H31*Scoring!$G$34+WR!I31*Scoring!$H$34+K31*Scoring!$I$34+WR!L31*Scoring!$J$34+U30</x:f>
        <x:v>232</x:v>
      </x:c>
      <x:c r="P30" s="9" t="n">
        <x:f>IF(COUNTIF(Rookies!$A:$A,A30)&gt;0,1,0)</x:f>
        <x:v>0</x:v>
      </x:c>
      <x:c r="Q30" s="9"/>
      <x:c r="R30" s="9"/>
      <x:c r="S30" s="9" t="n">
        <x:f>V30/17</x:f>
        <x:v>12.522941176470587</x:v>
      </x:c>
      <x:c r="T30" s="9" t="n">
        <x:f>IF(P30=1,MAX(0,0.28*(12-S30)),0)</x:f>
        <x:v>0</x:v>
      </x:c>
      <x:c r="U30" s="9" t="n">
        <x:f>T30*17</x:f>
        <x:v>0</x:v>
      </x:c>
      <x:c r="V30" s="9" t="n">
        <x:f>C30*Scoring!$B$34+D30/Scoring!$C$34+E30*Scoring!$D$34+WR!F30*Scoring!$E$34+WR!G30/Scoring!$F$34+WR!H30*Scoring!$G$34+WR!I30*Scoring!$H$34+K30*Scoring!$I$34+WR!L30*Scoring!$J$34</x:f>
        <x:v>212.89</x:v>
      </x:c>
      <x:c r="W30" s="9"/>
      <x:c r="X30" s="9"/>
      <x:c r="Y30" s="9"/>
      <x:c r="Z30" s="9"/>
    </x:row>
    <x:row r="31" ht="14.25" customHeight="1">
      <x:c r="B31" s="1" t="s">
        <x:v>488</x:v>
      </x:c>
      <x:c r="C31" s="1">
        <x:v>91.0</x:v>
      </x:c>
      <x:c r="D31" s="1">
        <x:v>1325.0</x:v>
      </x:c>
      <x:c r="E31" s="1">
        <x:v>9.0</x:v>
      </x:c>
      <x:c r="F31" s="1">
        <x:v>0.0</x:v>
      </x:c>
      <x:c r="G31" s="1">
        <x:v>0.0</x:v>
      </x:c>
      <x:c r="H31" s="1">
        <x:v>0.0</x:v>
      </x:c>
      <x:c r="I31" s="1">
        <x:v>0.0</x:v>
      </x:c>
      <x:c r="J31" s="1">
        <x:v>288.2</x:v>
      </x:c>
      <x:c r="K31" s="18">
        <x:f t="shared" si="1"/>
        <x:v>0</x:v>
      </x:c>
      <x:c r="L31" s="18">
        <x:f t="shared" si="2"/>
        <x:v>65.16899767</x:v>
      </x:c>
      <x:c r="M31" s="121"/>
      <x:c r="N31" s="121"/>
      <x:c r="O31" s="121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</x:row>
    <x:row r="32" ht="14.25" customHeight="1">
      <x:c r="B32" s="1" t="s">
        <x:v>489</x:v>
      </x:c>
      <x:c r="C32" s="1">
        <x:v>86.0</x:v>
      </x:c>
      <x:c r="D32" s="1">
        <x:v>1155.0</x:v>
      </x:c>
      <x:c r="E32" s="1">
        <x:v>7.0</x:v>
      </x:c>
      <x:c r="F32" s="1">
        <x:v>0.0</x:v>
      </x:c>
      <x:c r="G32" s="1">
        <x:v>0.0</x:v>
      </x:c>
      <x:c r="H32" s="1">
        <x:v>0.0</x:v>
      </x:c>
      <x:c r="I32" s="1">
        <x:v>0.6</x:v>
      </x:c>
      <x:c r="J32" s="1">
        <x:v>250.2</x:v>
      </x:c>
      <x:c r="K32" s="18">
        <x:f t="shared" si="1"/>
        <x:v>0</x:v>
      </x:c>
      <x:c r="L32" s="18">
        <x:f t="shared" si="2"/>
        <x:v>56.80769231</x:v>
      </x:c>
      <x:c r="M32" s="121"/>
      <x:c r="N32" s="121"/>
      <x:c r="O32" s="121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</x:row>
    <x:row r="33" ht="14.25" customHeight="1">
      <x:c r="A33" s="1" t="s">
        <x:v>743</x:v>
      </x:c>
      <x:c r="B33" s="1" t="s">
        <x:v>507</x:v>
      </x:c>
      <x:c r="C33" s="1">
        <x:v>82.5</x:v>
      </x:c>
      <x:c r="D33" s="1">
        <x:v>1200.5</x:v>
      </x:c>
      <x:c r="E33" s="1">
        <x:v>8.4</x:v>
      </x:c>
      <x:c r="F33" s="1">
        <x:v>0.3</x:v>
      </x:c>
      <x:c r="G33" s="1">
        <x:v>0.0</x:v>
      </x:c>
      <x:c r="H33" s="1">
        <x:v>0.0</x:v>
      </x:c>
      <x:c r="I33" s="1">
        <x:v>0.4</x:v>
      </x:c>
      <x:c r="J33" s="1">
        <x:v>252.0</x:v>
      </x:c>
      <x:c r="K33" s="18">
        <x:f t="shared" si="1"/>
        <x:v>0</x:v>
      </x:c>
      <x:c r="L33" s="18">
        <x:f t="shared" si="2"/>
        <x:v>59.0455711</x:v>
      </x:c>
      <x:c r="M33" s="119" t="n">
        <x:f>C35*Scoring!$B$34+D35/Scoring!$C$34+E35*Scoring!$D$34+WR!F35*Scoring!$E$34+WR!G35/Scoring!$F$34+WR!H35*Scoring!$G$34+WR!I35*Scoring!$H$34+K35*Scoring!$I$34+WR!L35*Scoring!$J$34+U33</x:f>
        <x:v>188.29999999999998</x:v>
      </x:c>
      <x:c r="N33" s="119" t="n">
        <x:f>C33*Scoring!$B$34+D33/Scoring!$C$34+E33*Scoring!$D$34+WR!F33*Scoring!$E$34+WR!G33/Scoring!$F$34+WR!H33*Scoring!$G$34+WR!I33*Scoring!$H$34+K33*Scoring!$I$34+WR!L33*Scoring!$J$34+U33</x:f>
        <x:v>211.3</x:v>
      </x:c>
      <x:c r="O33" s="119" t="n">
        <x:f>C34*Scoring!$B$34+D34/Scoring!$C$34+E34*Scoring!$D$34+WR!F34*Scoring!$E$34+WR!G34/Scoring!$F$34+WR!H34*Scoring!$G$34+WR!I34*Scoring!$H$34+K34*Scoring!$I$34+WR!L34*Scoring!$J$34+U33</x:f>
        <x:v>245.8</x:v>
      </x:c>
      <x:c r="P33" s="9" t="n">
        <x:f>IF(COUNTIF(Rookies!$A:$A,A33)&gt;0,1,0)</x:f>
        <x:v>0</x:v>
      </x:c>
      <x:c r="Q33" s="9"/>
      <x:c r="R33" s="9"/>
      <x:c r="S33" s="9" t="n">
        <x:f>V33/17</x:f>
        <x:v>12.429411764705883</x:v>
      </x:c>
      <x:c r="T33" s="9" t="n">
        <x:f>IF(P33=1,MAX(0,0.28*(12-S33)),0)</x:f>
        <x:v>0</x:v>
      </x:c>
      <x:c r="U33" s="9" t="n">
        <x:f>T33*17</x:f>
        <x:v>0</x:v>
      </x:c>
      <x:c r="V33" s="9" t="n">
        <x:f>C33*Scoring!$B$34+D33/Scoring!$C$34+E33*Scoring!$D$34+WR!F33*Scoring!$E$34+WR!G33/Scoring!$F$34+WR!H33*Scoring!$G$34+WR!I33*Scoring!$H$34+K33*Scoring!$I$34+WR!L33*Scoring!$J$34</x:f>
        <x:v>211.3</x:v>
      </x:c>
      <x:c r="W33" s="9"/>
      <x:c r="X33" s="9"/>
      <x:c r="Y33" s="9"/>
      <x:c r="Z33" s="9"/>
    </x:row>
    <x:row r="34" ht="14.25" customHeight="1">
      <x:c r="B34" s="1" t="s">
        <x:v>488</x:v>
      </x:c>
      <x:c r="C34" s="1">
        <x:v>94.0</x:v>
      </x:c>
      <x:c r="D34" s="1">
        <x:v>1388.0</x:v>
      </x:c>
      <x:c r="E34" s="1">
        <x:v>10.0</x:v>
      </x:c>
      <x:c r="F34" s="1">
        <x:v>1.0</x:v>
      </x:c>
      <x:c r="G34" s="1">
        <x:v>0.0</x:v>
      </x:c>
      <x:c r="H34" s="1">
        <x:v>0.0</x:v>
      </x:c>
      <x:c r="I34" s="1">
        <x:v>0.0</x:v>
      </x:c>
      <x:c r="J34" s="1">
        <x:v>273.5</x:v>
      </x:c>
      <x:c r="K34" s="18">
        <x:f t="shared" si="1"/>
        <x:v>0</x:v>
      </x:c>
      <x:c r="L34" s="18">
        <x:f t="shared" si="2"/>
        <x:v>68.26759907</x:v>
      </x:c>
      <x:c r="M34" s="121"/>
      <x:c r="N34" s="121"/>
      <x:c r="O34" s="121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</x:row>
    <x:row r="35" ht="14.25" customHeight="1">
      <x:c r="B35" s="1" t="s">
        <x:v>489</x:v>
      </x:c>
      <x:c r="C35" s="1">
        <x:v>74.0</x:v>
      </x:c>
      <x:c r="D35" s="1">
        <x:v>1102.0</x:v>
      </x:c>
      <x:c r="E35" s="1">
        <x:v>7.0</x:v>
      </x:c>
      <x:c r="F35" s="1">
        <x:v>0.0</x:v>
      </x:c>
      <x:c r="G35" s="1">
        <x:v>0.0</x:v>
      </x:c>
      <x:c r="H35" s="1">
        <x:v>0.0</x:v>
      </x:c>
      <x:c r="I35" s="1">
        <x:v>0.9</x:v>
      </x:c>
      <x:c r="J35" s="1">
        <x:v>241.5</x:v>
      </x:c>
      <x:c r="K35" s="18">
        <x:f t="shared" si="1"/>
        <x:v>0</x:v>
      </x:c>
      <x:c r="L35" s="18">
        <x:f t="shared" si="2"/>
        <x:v>54.2009324</x:v>
      </x:c>
      <x:c r="M35" s="121"/>
      <x:c r="N35" s="121"/>
      <x:c r="O35" s="121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</x:row>
    <x:row r="36" ht="14.25" customHeight="1">
      <x:c r="A36" s="1" t="s">
        <x:v>744</x:v>
      </x:c>
      <x:c r="B36" s="1" t="s">
        <x:v>535</x:v>
      </x:c>
      <x:c r="C36" s="1">
        <x:v>82.6</x:v>
      </x:c>
      <x:c r="D36" s="1">
        <x:v>1207.9</x:v>
      </x:c>
      <x:c r="E36" s="1">
        <x:v>7.3</x:v>
      </x:c>
      <x:c r="F36" s="1">
        <x:v>1.4</x:v>
      </x:c>
      <x:c r="G36" s="1">
        <x:v>8.3</x:v>
      </x:c>
      <x:c r="H36" s="1">
        <x:v>0.4</x:v>
      </x:c>
      <x:c r="I36" s="1">
        <x:v>0.8</x:v>
      </x:c>
      <x:c r="J36" s="1">
        <x:v>248.2</x:v>
      </x:c>
      <x:c r="K36" s="18">
        <x:f t="shared" si="1"/>
        <x:v>0.514383164</x:v>
      </x:c>
      <x:c r="L36" s="18">
        <x:f t="shared" si="2"/>
        <x:v>59.4095338</x:v>
      </x:c>
      <x:c r="M36" s="119" t="n">
        <x:f>C38*Scoring!$B$34+D38/Scoring!$C$34+E38*Scoring!$D$34+WR!F38*Scoring!$E$34+WR!G38/Scoring!$F$34+WR!H38*Scoring!$G$34+WR!I38*Scoring!$H$34+K38*Scoring!$I$34+WR!L38*Scoring!$J$34+U36</x:f>
        <x:v>197.89999999999998</x:v>
      </x:c>
      <x:c r="N36" s="119" t="n">
        <x:f>C36*Scoring!$B$34+D36/Scoring!$C$34+E36*Scoring!$D$34+WR!F36*Scoring!$E$34+WR!G36/Scoring!$F$34+WR!H36*Scoring!$G$34+WR!I36*Scoring!$H$34+K36*Scoring!$I$34+WR!L36*Scoring!$J$34+U36</x:f>
        <x:v>208.32</x:v>
      </x:c>
      <x:c r="O36" s="119" t="n">
        <x:f>C37*Scoring!$B$34+D37/Scoring!$C$34+E37*Scoring!$D$34+WR!F37*Scoring!$E$34+WR!G37/Scoring!$F$34+WR!H37*Scoring!$G$34+WR!I37*Scoring!$H$34+K37*Scoring!$I$34+WR!L37*Scoring!$J$34+U36</x:f>
        <x:v>221.15000000000003</x:v>
      </x:c>
      <x:c r="P36" s="9" t="n">
        <x:f>IF(COUNTIF(Rookies!$A:$A,A36)&gt;0,1,0)</x:f>
        <x:v>0</x:v>
      </x:c>
      <x:c r="Q36" s="9"/>
      <x:c r="R36" s="9"/>
      <x:c r="S36" s="9" t="n">
        <x:f>V36/17</x:f>
        <x:v>12.254117647058823</x:v>
      </x:c>
      <x:c r="T36" s="9" t="n">
        <x:f>IF(P36=1,MAX(0,0.28*(12-S36)),0)</x:f>
        <x:v>0</x:v>
      </x:c>
      <x:c r="U36" s="9" t="n">
        <x:f>T36*17</x:f>
        <x:v>0</x:v>
      </x:c>
      <x:c r="V36" s="9" t="n">
        <x:f>C36*Scoring!$B$34+D36/Scoring!$C$34+E36*Scoring!$D$34+WR!F36*Scoring!$E$34+WR!G36/Scoring!$F$34+WR!H36*Scoring!$G$34+WR!I36*Scoring!$H$34+K36*Scoring!$I$34+WR!L36*Scoring!$J$34</x:f>
        <x:v>208.32</x:v>
      </x:c>
      <x:c r="W36" s="9"/>
      <x:c r="X36" s="9"/>
      <x:c r="Y36" s="9"/>
      <x:c r="Z36" s="9"/>
    </x:row>
    <x:row r="37" ht="14.25" customHeight="1">
      <x:c r="B37" s="1" t="s">
        <x:v>488</x:v>
      </x:c>
      <x:c r="C37" s="1">
        <x:v>86.7</x:v>
      </x:c>
      <x:c r="D37" s="1">
        <x:v>1232.0</x:v>
      </x:c>
      <x:c r="E37" s="1">
        <x:v>8.0</x:v>
      </x:c>
      <x:c r="F37" s="1">
        <x:v>2.1</x:v>
      </x:c>
      <x:c r="G37" s="1">
        <x:v>13.0</x:v>
      </x:c>
      <x:c r="H37" s="1">
        <x:v>1.0</x:v>
      </x:c>
      <x:c r="I37" s="1">
        <x:v>0.7</x:v>
      </x:c>
      <x:c r="J37" s="1">
        <x:v>282.7</x:v>
      </x:c>
      <x:c r="K37" s="18">
        <x:f t="shared" si="1"/>
        <x:v>0.8056603774</x:v>
      </x:c>
      <x:c r="L37" s="18">
        <x:f t="shared" si="2"/>
        <x:v>60.59487179</x:v>
      </x:c>
      <x:c r="M37" s="121"/>
      <x:c r="N37" s="121"/>
      <x:c r="O37" s="121"/>
      <x:c r="P37" s="9"/>
      <x:c r="Q37" s="9"/>
      <x:c r="R37" s="9"/>
      <x:c r="S37" s="9"/>
      <x:c r="T37" s="9"/>
      <x:c r="U37" s="9"/>
      <x:c r="V37" s="9"/>
      <x:c r="W37" s="9"/>
      <x:c r="X37" s="9"/>
      <x:c r="Y37" s="9"/>
      <x:c r="Z37" s="9"/>
    </x:row>
    <x:row r="38" ht="14.25" customHeight="1">
      <x:c r="B38" s="1" t="s">
        <x:v>489</x:v>
      </x:c>
      <x:c r="C38" s="1">
        <x:v>79.0</x:v>
      </x:c>
      <x:c r="D38" s="1">
        <x:v>1186.0</x:v>
      </x:c>
      <x:c r="E38" s="1">
        <x:v>6.8</x:v>
      </x:c>
      <x:c r="F38" s="1">
        <x:v>0.0</x:v>
      </x:c>
      <x:c r="G38" s="1">
        <x:v>0.0</x:v>
      </x:c>
      <x:c r="H38" s="1">
        <x:v>0.0</x:v>
      </x:c>
      <x:c r="I38" s="1">
        <x:v>1.0</x:v>
      </x:c>
      <x:c r="J38" s="1">
        <x:v>244.9</x:v>
      </x:c>
      <x:c r="K38" s="18">
        <x:f t="shared" si="1"/>
        <x:v>0</x:v>
      </x:c>
      <x:c r="L38" s="18">
        <x:f t="shared" si="2"/>
        <x:v>58.33240093</x:v>
      </x:c>
      <x:c r="M38" s="121"/>
      <x:c r="N38" s="121"/>
      <x:c r="O38" s="121"/>
      <x:c r="P38" s="9"/>
      <x:c r="Q38" s="9"/>
      <x:c r="R38" s="9"/>
      <x:c r="S38" s="9"/>
      <x:c r="T38" s="9"/>
      <x:c r="U38" s="9"/>
      <x:c r="V38" s="9"/>
      <x:c r="W38" s="9"/>
      <x:c r="X38" s="9"/>
      <x:c r="Y38" s="9"/>
      <x:c r="Z38" s="9"/>
    </x:row>
    <x:row r="39" ht="14.25" customHeight="1">
      <x:c r="A39" s="1" t="s">
        <x:v>745</x:v>
      </x:c>
      <x:c r="B39" s="1" t="s">
        <x:v>539</x:v>
      </x:c>
      <x:c r="C39" s="1">
        <x:v>96.3</x:v>
      </x:c>
      <x:c r="D39" s="1">
        <x:v>1095.8</x:v>
      </x:c>
      <x:c r="E39" s="1">
        <x:v>6.4</x:v>
      </x:c>
      <x:c r="F39" s="1">
        <x:v>1.1</x:v>
      </x:c>
      <x:c r="G39" s="1">
        <x:v>4.3</x:v>
      </x:c>
      <x:c r="H39" s="1">
        <x:v>0.0</x:v>
      </x:c>
      <x:c r="I39" s="1">
        <x:v>1.0</x:v>
      </x:c>
      <x:c r="J39" s="1">
        <x:v>242.9</x:v>
      </x:c>
      <x:c r="K39" s="18">
        <x:f t="shared" si="1"/>
        <x:v>0.2664876633</x:v>
      </x:c>
      <x:c r="L39" s="18">
        <x:f t="shared" si="2"/>
        <x:v>53.89599068</x:v>
      </x:c>
      <x:c r="M39" s="119" t="n">
        <x:f>C41*Scoring!$B$34+D41/Scoring!$C$34+E41*Scoring!$D$34+WR!F41*Scoring!$E$34+WR!G41/Scoring!$F$34+WR!H41*Scoring!$G$34+WR!I41*Scoring!$H$34+K41*Scoring!$I$34+WR!L41*Scoring!$J$34+U39</x:f>
        <x:v>169</x:v>
      </x:c>
      <x:c r="N39" s="119" t="n">
        <x:f>C39*Scoring!$B$34+D39/Scoring!$C$34+E39*Scoring!$D$34+WR!F39*Scoring!$E$34+WR!G39/Scoring!$F$34+WR!H39*Scoring!$G$34+WR!I39*Scoring!$H$34+K39*Scoring!$I$34+WR!L39*Scoring!$J$34+U39</x:f>
        <x:v>195.56</x:v>
      </x:c>
      <x:c r="O39" s="119" t="n">
        <x:f>C40*Scoring!$B$34+D40/Scoring!$C$34+E40*Scoring!$D$34+WR!F40*Scoring!$E$34+WR!G40/Scoring!$F$34+WR!H40*Scoring!$G$34+WR!I40*Scoring!$H$34+K40*Scoring!$I$34+WR!L40*Scoring!$J$34+U39</x:f>
        <x:v>222.31</x:v>
      </x:c>
      <x:c r="P39" s="9" t="n">
        <x:f>IF(COUNTIF(Rookies!$A:$A,A39)&gt;0,1,0)</x:f>
        <x:v>0</x:v>
      </x:c>
      <x:c r="Q39" s="9"/>
      <x:c r="R39" s="9"/>
      <x:c r="S39" s="9" t="n">
        <x:f>V39/17</x:f>
        <x:v>11.503529411764706</x:v>
      </x:c>
      <x:c r="T39" s="9" t="n">
        <x:f>IF(P39=1,MAX(0,0.28*(12-S39)),0)</x:f>
        <x:v>0</x:v>
      </x:c>
      <x:c r="U39" s="9" t="n">
        <x:f>T39*17</x:f>
        <x:v>0</x:v>
      </x:c>
      <x:c r="V39" s="9" t="n">
        <x:f>C39*Scoring!$B$34+D39/Scoring!$C$34+E39*Scoring!$D$34+WR!F39*Scoring!$E$34+WR!G39/Scoring!$F$34+WR!H39*Scoring!$G$34+WR!I39*Scoring!$H$34+K39*Scoring!$I$34+WR!L39*Scoring!$J$34</x:f>
        <x:v>195.56</x:v>
      </x:c>
      <x:c r="W39" s="9"/>
      <x:c r="X39" s="9"/>
      <x:c r="Y39" s="9"/>
      <x:c r="Z39" s="9"/>
    </x:row>
    <x:row r="40" ht="14.25" customHeight="1">
      <x:c r="B40" s="1" t="s">
        <x:v>488</x:v>
      </x:c>
      <x:c r="C40" s="1">
        <x:v>100.0</x:v>
      </x:c>
      <x:c r="D40" s="1">
        <x:v>1176.3</x:v>
      </x:c>
      <x:c r="E40" s="1">
        <x:v>9.0</x:v>
      </x:c>
      <x:c r="F40" s="1">
        <x:v>2.2</x:v>
      </x:c>
      <x:c r="G40" s="1">
        <x:v>10.8</x:v>
      </x:c>
      <x:c r="H40" s="1">
        <x:v>0.1</x:v>
      </x:c>
      <x:c r="I40" s="1">
        <x:v>1.0</x:v>
      </x:c>
      <x:c r="J40" s="1">
        <x:v>291.8</x:v>
      </x:c>
      <x:c r="K40" s="18">
        <x:f t="shared" si="1"/>
        <x:v>0.669317852</x:v>
      </x:c>
      <x:c r="L40" s="18">
        <x:f t="shared" si="2"/>
        <x:v>57.85531469</x:v>
      </x:c>
      <x:c r="M40" s="121"/>
      <x:c r="N40" s="121"/>
      <x:c r="O40" s="121"/>
      <x:c r="P40" s="9"/>
      <x:c r="Q40" s="9"/>
      <x:c r="R40" s="9"/>
      <x:c r="S40" s="9"/>
      <x:c r="T40" s="9"/>
      <x:c r="U40" s="9"/>
      <x:c r="V40" s="9"/>
      <x:c r="W40" s="9"/>
      <x:c r="X40" s="9"/>
      <x:c r="Y40" s="9"/>
      <x:c r="Z40" s="9"/>
    </x:row>
    <x:row r="41" ht="14.25" customHeight="1">
      <x:c r="B41" s="1" t="s">
        <x:v>489</x:v>
      </x:c>
      <x:c r="C41" s="1">
        <x:v>89.0</x:v>
      </x:c>
      <x:c r="D41" s="1">
        <x:v>956.0</x:v>
      </x:c>
      <x:c r="E41" s="1">
        <x:v>5.0</x:v>
      </x:c>
      <x:c r="F41" s="1">
        <x:v>0.0</x:v>
      </x:c>
      <x:c r="G41" s="1">
        <x:v>0.0</x:v>
      </x:c>
      <x:c r="H41" s="1">
        <x:v>0.0</x:v>
      </x:c>
      <x:c r="I41" s="1">
        <x:v>1.1</x:v>
      </x:c>
      <x:c r="J41" s="1">
        <x:v>235.3</x:v>
      </x:c>
      <x:c r="K41" s="18">
        <x:f t="shared" si="1"/>
        <x:v>0</x:v>
      </x:c>
      <x:c r="L41" s="18">
        <x:f t="shared" si="2"/>
        <x:v>47.02004662</x:v>
      </x:c>
      <x:c r="M41" s="121"/>
      <x:c r="N41" s="121"/>
      <x:c r="O41" s="121"/>
      <x:c r="P41" s="9"/>
      <x:c r="Q41" s="9"/>
      <x:c r="R41" s="9"/>
      <x:c r="S41" s="9"/>
      <x:c r="T41" s="9"/>
      <x:c r="U41" s="9"/>
      <x:c r="V41" s="9"/>
      <x:c r="W41" s="9"/>
      <x:c r="X41" s="9"/>
      <x:c r="Y41" s="9"/>
      <x:c r="Z41" s="9"/>
    </x:row>
    <x:row r="42" ht="14.25" customHeight="1">
      <x:c r="A42" s="1" t="s">
        <x:v>746</x:v>
      </x:c>
      <x:c r="B42" s="1" t="s">
        <x:v>491</x:v>
      </x:c>
      <x:c r="C42" s="1">
        <x:v>81.2</x:v>
      </x:c>
      <x:c r="D42" s="1">
        <x:v>1157.5</x:v>
      </x:c>
      <x:c r="E42" s="1">
        <x:v>6.5</x:v>
      </x:c>
      <x:c r="F42" s="1">
        <x:v>9.9</x:v>
      </x:c>
      <x:c r="G42" s="1">
        <x:v>58.8</x:v>
      </x:c>
      <x:c r="H42" s="1">
        <x:v>0.5</x:v>
      </x:c>
      <x:c r="I42" s="1">
        <x:v>1.5</x:v>
      </x:c>
      <x:c r="J42" s="1">
        <x:v>241.8</x:v>
      </x:c>
      <x:c r="K42" s="18">
        <x:f t="shared" si="1"/>
        <x:v>3.644063861</x:v>
      </x:c>
      <x:c r="L42" s="18">
        <x:f t="shared" si="2"/>
        <x:v>56.93065268</x:v>
      </x:c>
      <x:c r="M42" s="119" t="n">
        <x:f>C44*Scoring!$B$34+D44/Scoring!$C$34+E44*Scoring!$D$34+WR!F44*Scoring!$E$34+WR!G44/Scoring!$F$34+WR!H44*Scoring!$G$34+WR!I44*Scoring!$H$34+K44*Scoring!$I$34+WR!L44*Scoring!$J$34+U42</x:f>
        <x:v>187.94</x:v>
      </x:c>
      <x:c r="N42" s="119" t="n">
        <x:f>C42*Scoring!$B$34+D42/Scoring!$C$34+E42*Scoring!$D$34+WR!F42*Scoring!$E$34+WR!G42/Scoring!$F$34+WR!H42*Scoring!$G$34+WR!I42*Scoring!$H$34+K42*Scoring!$I$34+WR!L42*Scoring!$J$34+U42</x:f>
        <x:v>202.73</x:v>
      </x:c>
      <x:c r="O42" s="119" t="n">
        <x:f>C43*Scoring!$B$34+D43/Scoring!$C$34+E43*Scoring!$D$34+WR!F43*Scoring!$E$34+WR!G43/Scoring!$F$34+WR!H43*Scoring!$G$34+WR!I43*Scoring!$H$34+K43*Scoring!$I$34+WR!L43*Scoring!$J$34+U42</x:f>
        <x:v>218.9</x:v>
      </x:c>
      <x:c r="P42" s="9" t="n">
        <x:f>IF(COUNTIF(Rookies!$A:$A,A42)&gt;0,1,0)</x:f>
        <x:v>0</x:v>
      </x:c>
      <x:c r="Q42" s="9"/>
      <x:c r="R42" s="9"/>
      <x:c r="S42" s="9" t="n">
        <x:f>V42/17</x:f>
        <x:v>11.925294117647057</x:v>
      </x:c>
      <x:c r="T42" s="9" t="n">
        <x:f>IF(P42=1,MAX(0,0.28*(12-S42)),0)</x:f>
        <x:v>0</x:v>
      </x:c>
      <x:c r="U42" s="9" t="n">
        <x:f>T42*17</x:f>
        <x:v>0</x:v>
      </x:c>
      <x:c r="V42" s="9" t="n">
        <x:f>C42*Scoring!$B$34+D42/Scoring!$C$34+E42*Scoring!$D$34+WR!F42*Scoring!$E$34+WR!G42/Scoring!$F$34+WR!H42*Scoring!$G$34+WR!I42*Scoring!$H$34+K42*Scoring!$I$34+WR!L42*Scoring!$J$34</x:f>
        <x:v>202.73</x:v>
      </x:c>
      <x:c r="W42" s="9"/>
      <x:c r="X42" s="9"/>
      <x:c r="Y42" s="9"/>
      <x:c r="Z42" s="9"/>
    </x:row>
    <x:row r="43" ht="14.25" customHeight="1">
      <x:c r="B43" s="1" t="s">
        <x:v>488</x:v>
      </x:c>
      <x:c r="C43" s="1">
        <x:v>83.0</x:v>
      </x:c>
      <x:c r="D43" s="1">
        <x:v>1184.0</x:v>
      </x:c>
      <x:c r="E43" s="1">
        <x:v>8.0</x:v>
      </x:c>
      <x:c r="F43" s="1">
        <x:v>10.0</x:v>
      </x:c>
      <x:c r="G43" s="1">
        <x:v>60.0</x:v>
      </x:c>
      <x:c r="H43" s="1">
        <x:v>1.0</x:v>
      </x:c>
      <x:c r="I43" s="1">
        <x:v>1.0</x:v>
      </x:c>
      <x:c r="J43" s="1">
        <x:v>274.3</x:v>
      </x:c>
      <x:c r="K43" s="18">
        <x:f t="shared" si="1"/>
        <x:v>3.718432511</x:v>
      </x:c>
      <x:c r="L43" s="18">
        <x:f t="shared" si="2"/>
        <x:v>58.23403263</x:v>
      </x:c>
      <x:c r="M43" s="121"/>
      <x:c r="N43" s="121"/>
      <x:c r="O43" s="121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</x:row>
    <x:row r="44" ht="14.25" customHeight="1">
      <x:c r="B44" s="1" t="s">
        <x:v>489</x:v>
      </x:c>
      <x:c r="C44" s="1">
        <x:v>79.0</x:v>
      </x:c>
      <x:c r="D44" s="1">
        <x:v>1117.0</x:v>
      </x:c>
      <x:c r="E44" s="1">
        <x:v>5.5</x:v>
      </x:c>
      <x:c r="F44" s="1">
        <x:v>9.8</x:v>
      </x:c>
      <x:c r="G44" s="1">
        <x:v>57.4</x:v>
      </x:c>
      <x:c r="H44" s="1">
        <x:v>0.0</x:v>
      </x:c>
      <x:c r="I44" s="1">
        <x:v>2.0</x:v>
      </x:c>
      <x:c r="J44" s="1">
        <x:v>238.3</x:v>
      </x:c>
      <x:c r="K44" s="18">
        <x:f t="shared" si="1"/>
        <x:v>3.557300435</x:v>
      </x:c>
      <x:c r="L44" s="18">
        <x:f t="shared" si="2"/>
        <x:v>54.93869464</x:v>
      </x:c>
      <x:c r="M44" s="121"/>
      <x:c r="N44" s="121"/>
      <x:c r="O44" s="121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</x:row>
    <x:row r="45" ht="14.25" customHeight="1">
      <x:c r="A45" s="1" t="s">
        <x:v>747</x:v>
      </x:c>
      <x:c r="B45" s="1" t="s">
        <x:v>501</x:v>
      </x:c>
      <x:c r="C45" s="1">
        <x:v>81.0</x:v>
      </x:c>
      <x:c r="D45" s="1">
        <x:v>1083.5</x:v>
      </x:c>
      <x:c r="E45" s="1">
        <x:v>8.4</x:v>
      </x:c>
      <x:c r="F45" s="1">
        <x:v>2.8</x:v>
      </x:c>
      <x:c r="G45" s="1">
        <x:v>8.3</x:v>
      </x:c>
      <x:c r="H45" s="1">
        <x:v>0.1</x:v>
      </x:c>
      <x:c r="I45" s="1">
        <x:v>0.4</x:v>
      </x:c>
      <x:c r="J45" s="1">
        <x:v>240.3</x:v>
      </x:c>
      <x:c r="K45" s="18">
        <x:f t="shared" si="1"/>
        <x:v>0.514383164</x:v>
      </x:c>
      <x:c r="L45" s="18">
        <x:f t="shared" si="2"/>
        <x:v>53.29102564</x:v>
      </x:c>
      <x:c r="M45" s="119" t="n">
        <x:f>C47*Scoring!$B$34+D47/Scoring!$C$34+E47*Scoring!$D$34+WR!F47*Scoring!$E$34+WR!G47/Scoring!$F$34+WR!H47*Scoring!$G$34+WR!I47*Scoring!$H$34+K47*Scoring!$I$34+WR!L47*Scoring!$J$34+U45</x:f>
        <x:v>182.89999999999998</x:v>
      </x:c>
      <x:c r="N45" s="119" t="n">
        <x:f>C45*Scoring!$B$34+D45/Scoring!$C$34+E45*Scoring!$D$34+WR!F45*Scoring!$E$34+WR!G45/Scoring!$F$34+WR!H45*Scoring!$G$34+WR!I45*Scoring!$H$34+K45*Scoring!$I$34+WR!L45*Scoring!$J$34+U45</x:f>
        <x:v>200.28</x:v>
      </x:c>
      <x:c r="O45" s="119" t="n">
        <x:f>C46*Scoring!$B$34+D46/Scoring!$C$34+E46*Scoring!$D$34+WR!F46*Scoring!$E$34+WR!G46/Scoring!$F$34+WR!H46*Scoring!$G$34+WR!I46*Scoring!$H$34+K46*Scoring!$I$34+WR!L46*Scoring!$J$34+U45</x:f>
        <x:v>226.17999999999998</x:v>
      </x:c>
      <x:c r="P45" s="9" t="n">
        <x:f>IF(COUNTIF(Rookies!$A:$A,A45)&gt;0,1,0)</x:f>
        <x:v>0</x:v>
      </x:c>
      <x:c r="Q45" s="9"/>
      <x:c r="R45" s="9"/>
      <x:c r="S45" s="9" t="n">
        <x:f>V45/17</x:f>
        <x:v>11.781176470588235</x:v>
      </x:c>
      <x:c r="T45" s="9" t="n">
        <x:f>IF(P45=1,MAX(0,0.28*(12-S45)),0)</x:f>
        <x:v>0</x:v>
      </x:c>
      <x:c r="U45" s="9" t="n">
        <x:f>T45*17</x:f>
        <x:v>0</x:v>
      </x:c>
      <x:c r="V45" s="9" t="n">
        <x:f>C45*Scoring!$B$34+D45/Scoring!$C$34+E45*Scoring!$D$34+WR!F45*Scoring!$E$34+WR!G45/Scoring!$F$34+WR!H45*Scoring!$G$34+WR!I45*Scoring!$H$34+K45*Scoring!$I$34+WR!L45*Scoring!$J$34</x:f>
        <x:v>200.28</x:v>
      </x:c>
      <x:c r="W45" s="9"/>
      <x:c r="X45" s="9"/>
      <x:c r="Y45" s="9"/>
      <x:c r="Z45" s="9"/>
    </x:row>
    <x:row r="46" ht="14.25" customHeight="1">
      <x:c r="B46" s="1" t="s">
        <x:v>488</x:v>
      </x:c>
      <x:c r="C46" s="1">
        <x:v>86.1</x:v>
      </x:c>
      <x:c r="D46" s="1">
        <x:v>1136.4</x:v>
      </x:c>
      <x:c r="E46" s="1">
        <x:v>11.0</x:v>
      </x:c>
      <x:c r="F46" s="1">
        <x:v>4.5</x:v>
      </x:c>
      <x:c r="G46" s="1">
        <x:v>22.9</x:v>
      </x:c>
      <x:c r="H46" s="1">
        <x:v>0.2</x:v>
      </x:c>
      <x:c r="I46" s="1">
        <x:v>0.0</x:v>
      </x:c>
      <x:c r="J46" s="1">
        <x:v>271.2</x:v>
      </x:c>
      <x:c r="K46" s="18">
        <x:f t="shared" si="1"/>
        <x:v>1.419201742</x:v>
      </x:c>
      <x:c r="L46" s="18">
        <x:f t="shared" si="2"/>
        <x:v>55.89286713</x:v>
      </x:c>
      <x:c r="M46" s="121"/>
      <x:c r="N46" s="121"/>
      <x:c r="O46" s="121"/>
      <x:c r="P46" s="9"/>
      <x:c r="Q46" s="9"/>
      <x:c r="R46" s="9"/>
      <x:c r="S46" s="9"/>
      <x:c r="T46" s="9"/>
      <x:c r="U46" s="9"/>
      <x:c r="V46" s="9"/>
      <x:c r="W46" s="9"/>
      <x:c r="X46" s="9"/>
      <x:c r="Y46" s="9"/>
      <x:c r="Z46" s="9"/>
    </x:row>
    <x:row r="47" ht="14.25" customHeight="1">
      <x:c r="B47" s="1" t="s">
        <x:v>489</x:v>
      </x:c>
      <x:c r="C47" s="1">
        <x:v>76.0</x:v>
      </x:c>
      <x:c r="D47" s="1">
        <x:v>1037.0</x:v>
      </x:c>
      <x:c r="E47" s="1">
        <x:v>7.0</x:v>
      </x:c>
      <x:c r="F47" s="1">
        <x:v>0.0</x:v>
      </x:c>
      <x:c r="G47" s="1">
        <x:v>0.0</x:v>
      </x:c>
      <x:c r="H47" s="1">
        <x:v>0.0</x:v>
      </x:c>
      <x:c r="I47" s="1">
        <x:v>0.8</x:v>
      </x:c>
      <x:c r="J47" s="1">
        <x:v>240.9</x:v>
      </x:c>
      <x:c r="K47" s="18">
        <x:f t="shared" si="1"/>
        <x:v>0</x:v>
      </x:c>
      <x:c r="L47" s="18">
        <x:f t="shared" si="2"/>
        <x:v>51.0039627</x:v>
      </x:c>
      <x:c r="M47" s="121"/>
      <x:c r="N47" s="121"/>
      <x:c r="O47" s="121"/>
      <x:c r="P47" s="9"/>
      <x:c r="Q47" s="9"/>
      <x:c r="R47" s="9"/>
      <x:c r="S47" s="9"/>
      <x:c r="T47" s="9"/>
      <x:c r="U47" s="9"/>
      <x:c r="V47" s="9"/>
      <x:c r="W47" s="9"/>
      <x:c r="X47" s="9"/>
      <x:c r="Y47" s="9"/>
      <x:c r="Z47" s="9"/>
    </x:row>
    <x:row r="48" ht="14.25" customHeight="1">
      <x:c r="A48" s="1" t="s">
        <x:v>748</x:v>
      </x:c>
      <x:c r="B48" s="1" t="s">
        <x:v>497</x:v>
      </x:c>
      <x:c r="C48" s="1">
        <x:v>87.8</x:v>
      </x:c>
      <x:c r="D48" s="1">
        <x:v>1135.0</x:v>
      </x:c>
      <x:c r="E48" s="1">
        <x:v>6.0</x:v>
      </x:c>
      <x:c r="F48" s="1">
        <x:v>0.0</x:v>
      </x:c>
      <x:c r="G48" s="1">
        <x:v>0.0</x:v>
      </x:c>
      <x:c r="H48" s="1">
        <x:v>0.0</x:v>
      </x:c>
      <x:c r="I48" s="1">
        <x:v>0.3</x:v>
      </x:c>
      <x:c r="J48" s="1">
        <x:v>236.9</x:v>
      </x:c>
      <x:c r="K48" s="18">
        <x:f t="shared" si="1"/>
        <x:v>0</x:v>
      </x:c>
      <x:c r="L48" s="18">
        <x:f t="shared" si="2"/>
        <x:v>55.82400932</x:v>
      </x:c>
      <x:c r="M48" s="119" t="n">
        <x:f>C50*Scoring!$B$34+D50/Scoring!$C$34+E50*Scoring!$D$34+WR!F50*Scoring!$E$34+WR!G50/Scoring!$F$34+WR!H50*Scoring!$G$34+WR!I50*Scoring!$H$34+K50*Scoring!$I$34+WR!L50*Scoring!$J$34+U48</x:f>
        <x:v>189.1</x:v>
      </x:c>
      <x:c r="N48" s="119" t="n">
        <x:f>C48*Scoring!$B$34+D48/Scoring!$C$34+E48*Scoring!$D$34+WR!F48*Scoring!$E$34+WR!G48/Scoring!$F$34+WR!H48*Scoring!$G$34+WR!I48*Scoring!$H$34+K48*Scoring!$I$34+WR!L48*Scoring!$J$34+U48</x:f>
        <x:v>193.1</x:v>
      </x:c>
      <x:c r="O48" s="119" t="n">
        <x:f>C49*Scoring!$B$34+D49/Scoring!$C$34+E49*Scoring!$D$34+WR!F49*Scoring!$E$34+WR!G49/Scoring!$F$34+WR!H49*Scoring!$G$34+WR!I49*Scoring!$H$34+K49*Scoring!$I$34+WR!L49*Scoring!$J$34+U48</x:f>
        <x:v>197.15</x:v>
      </x:c>
      <x:c r="P48" s="9" t="n">
        <x:f>IF(COUNTIF(Rookies!$A:$A,A48)&gt;0,1,0)</x:f>
        <x:v>0</x:v>
      </x:c>
      <x:c r="Q48" s="9"/>
      <x:c r="R48" s="9"/>
      <x:c r="S48" s="9" t="n">
        <x:f>V48/17</x:f>
        <x:v>11.358823529411765</x:v>
      </x:c>
      <x:c r="T48" s="9" t="n">
        <x:f>IF(P48=1,MAX(0,0.28*(12-S48)),0)</x:f>
        <x:v>0</x:v>
      </x:c>
      <x:c r="U48" s="9" t="n">
        <x:f>T48*17</x:f>
        <x:v>0</x:v>
      </x:c>
      <x:c r="V48" s="9" t="n">
        <x:f>C48*Scoring!$B$34+D48/Scoring!$C$34+E48*Scoring!$D$34+WR!F48*Scoring!$E$34+WR!G48/Scoring!$F$34+WR!H48*Scoring!$G$34+WR!I48*Scoring!$H$34+K48*Scoring!$I$34+WR!L48*Scoring!$J$34</x:f>
        <x:v>193.1</x:v>
      </x:c>
      <x:c r="W48" s="9"/>
      <x:c r="X48" s="9"/>
      <x:c r="Y48" s="9"/>
      <x:c r="Z48" s="9"/>
    </x:row>
    <x:row r="49" ht="14.25" customHeight="1">
      <x:c r="B49" s="1" t="s">
        <x:v>488</x:v>
      </x:c>
      <x:c r="C49" s="1">
        <x:v>90.5</x:v>
      </x:c>
      <x:c r="D49" s="1">
        <x:v>1153.0</x:v>
      </x:c>
      <x:c r="E49" s="1">
        <x:v>6.1</x:v>
      </x:c>
      <x:c r="F49" s="1">
        <x:v>0.0</x:v>
      </x:c>
      <x:c r="G49" s="1">
        <x:v>0.0</x:v>
      </x:c>
      <x:c r="H49" s="1">
        <x:v>0.0</x:v>
      </x:c>
      <x:c r="I49" s="1">
        <x:v>0.0</x:v>
      </x:c>
      <x:c r="J49" s="1">
        <x:v>277.5</x:v>
      </x:c>
      <x:c r="K49" s="18">
        <x:f t="shared" si="1"/>
        <x:v>0</x:v>
      </x:c>
      <x:c r="L49" s="18">
        <x:f t="shared" si="2"/>
        <x:v>56.70932401</x:v>
      </x:c>
      <x:c r="M49" s="121"/>
      <x:c r="N49" s="121"/>
      <x:c r="O49" s="121"/>
      <x:c r="P49" s="9"/>
      <x:c r="Q49" s="9"/>
      <x:c r="R49" s="9"/>
      <x:c r="S49" s="9"/>
      <x:c r="T49" s="9"/>
      <x:c r="U49" s="9"/>
      <x:c r="V49" s="9"/>
      <x:c r="W49" s="9"/>
      <x:c r="X49" s="9"/>
      <x:c r="Y49" s="9"/>
      <x:c r="Z49" s="9"/>
    </x:row>
    <x:row r="50" ht="14.25" customHeight="1">
      <x:c r="B50" s="1" t="s">
        <x:v>489</x:v>
      </x:c>
      <x:c r="C50" s="1">
        <x:v>83.0</x:v>
      </x:c>
      <x:c r="D50" s="1">
        <x:v>1122.0</x:v>
      </x:c>
      <x:c r="E50" s="1">
        <x:v>6.0</x:v>
      </x:c>
      <x:c r="F50" s="1">
        <x:v>0.0</x:v>
      </x:c>
      <x:c r="G50" s="1">
        <x:v>0.0</x:v>
      </x:c>
      <x:c r="H50" s="1">
        <x:v>0.0</x:v>
      </x:c>
      <x:c r="I50" s="1">
        <x:v>0.6</x:v>
      </x:c>
      <x:c r="J50" s="1">
        <x:v>229.8</x:v>
      </x:c>
      <x:c r="K50" s="18">
        <x:f t="shared" si="1"/>
        <x:v>0</x:v>
      </x:c>
      <x:c r="L50" s="18">
        <x:f t="shared" si="2"/>
        <x:v>55.18461538</x:v>
      </x:c>
      <x:c r="M50" s="121"/>
      <x:c r="N50" s="121"/>
      <x:c r="O50" s="121"/>
      <x:c r="P50" s="9"/>
      <x:c r="Q50" s="9"/>
      <x:c r="R50" s="9"/>
      <x:c r="S50" s="9"/>
      <x:c r="T50" s="9"/>
      <x:c r="U50" s="9"/>
      <x:c r="V50" s="9"/>
      <x:c r="W50" s="9"/>
      <x:c r="X50" s="9"/>
      <x:c r="Y50" s="9"/>
      <x:c r="Z50" s="9"/>
    </x:row>
    <x:row r="51" ht="14.25" customHeight="1">
      <x:c r="A51" s="1" t="s">
        <x:v>749</x:v>
      </x:c>
      <x:c r="B51" s="1" t="s">
        <x:v>537</x:v>
      </x:c>
      <x:c r="C51" s="1">
        <x:v>81.2</x:v>
      </x:c>
      <x:c r="D51" s="1">
        <x:v>1146.7</x:v>
      </x:c>
      <x:c r="E51" s="1">
        <x:v>6.6</x:v>
      </x:c>
      <x:c r="F51" s="1">
        <x:v>0.0</x:v>
      </x:c>
      <x:c r="G51" s="1">
        <x:v>0.0</x:v>
      </x:c>
      <x:c r="H51" s="1">
        <x:v>0.0</x:v>
      </x:c>
      <x:c r="I51" s="1">
        <x:v>0.9</x:v>
      </x:c>
      <x:c r="J51" s="1">
        <x:v>233.8</x:v>
      </x:c>
      <x:c r="K51" s="18">
        <x:f t="shared" si="1"/>
        <x:v>0</x:v>
      </x:c>
      <x:c r="L51" s="18">
        <x:f t="shared" si="2"/>
        <x:v>56.39946387</x:v>
      </x:c>
      <x:c r="M51" s="119" t="n">
        <x:f>C53*Scoring!$B$34+D53/Scoring!$C$34+E53*Scoring!$D$34+WR!F53*Scoring!$E$34+WR!G53/Scoring!$F$34+WR!H53*Scoring!$G$34+WR!I53*Scoring!$H$34+K53*Scoring!$I$34+WR!L53*Scoring!$J$34+U51</x:f>
        <x:v>181.5</x:v>
      </x:c>
      <x:c r="N51" s="119" t="n">
        <x:f>C51*Scoring!$B$34+D51/Scoring!$C$34+E51*Scoring!$D$34+WR!F51*Scoring!$E$34+WR!G51/Scoring!$F$34+WR!H51*Scoring!$G$34+WR!I51*Scoring!$H$34+K51*Scoring!$I$34+WR!L51*Scoring!$J$34+U51</x:f>
        <x:v>193.97</x:v>
      </x:c>
      <x:c r="O51" s="119" t="n">
        <x:f>C52*Scoring!$B$34+D52/Scoring!$C$34+E52*Scoring!$D$34+WR!F52*Scoring!$E$34+WR!G52/Scoring!$F$34+WR!H52*Scoring!$G$34+WR!I52*Scoring!$H$34+K52*Scoring!$I$34+WR!L52*Scoring!$J$34+U51</x:f>
        <x:v>207.5</x:v>
      </x:c>
      <x:c r="P51" s="9" t="n">
        <x:f>IF(COUNTIF(Rookies!$A:$A,A51)&gt;0,1,0)</x:f>
        <x:v>0</x:v>
      </x:c>
      <x:c r="Q51" s="9"/>
      <x:c r="R51" s="9"/>
      <x:c r="S51" s="9" t="n">
        <x:f>V51/17</x:f>
        <x:v>11.41</x:v>
      </x:c>
      <x:c r="T51" s="9" t="n">
        <x:f>IF(P51=1,MAX(0,0.28*(12-S51)),0)</x:f>
        <x:v>0</x:v>
      </x:c>
      <x:c r="U51" s="9" t="n">
        <x:f>T51*17</x:f>
        <x:v>0</x:v>
      </x:c>
      <x:c r="V51" s="9" t="n">
        <x:f>C51*Scoring!$B$34+D51/Scoring!$C$34+E51*Scoring!$D$34+WR!F51*Scoring!$E$34+WR!G51/Scoring!$F$34+WR!H51*Scoring!$G$34+WR!I51*Scoring!$H$34+K51*Scoring!$I$34+WR!L51*Scoring!$J$34</x:f>
        <x:v>193.97</x:v>
      </x:c>
      <x:c r="W51" s="9"/>
      <x:c r="X51" s="9"/>
      <x:c r="Y51" s="9"/>
      <x:c r="Z51" s="9"/>
    </x:row>
    <x:row r="52" ht="14.25" customHeight="1">
      <x:c r="B52" s="1" t="s">
        <x:v>488</x:v>
      </x:c>
      <x:c r="C52" s="1">
        <x:v>83.6</x:v>
      </x:c>
      <x:c r="D52" s="1">
        <x:v>1185.0</x:v>
      </x:c>
      <x:c r="E52" s="1">
        <x:v>8.0</x:v>
      </x:c>
      <x:c r="F52" s="1">
        <x:v>0.0</x:v>
      </x:c>
      <x:c r="G52" s="1">
        <x:v>0.0</x:v>
      </x:c>
      <x:c r="H52" s="1">
        <x:v>0.0</x:v>
      </x:c>
      <x:c r="I52" s="1">
        <x:v>0.8</x:v>
      </x:c>
      <x:c r="J52" s="1">
        <x:v>264.3</x:v>
      </x:c>
      <x:c r="K52" s="18">
        <x:f t="shared" si="1"/>
        <x:v>0</x:v>
      </x:c>
      <x:c r="L52" s="18">
        <x:f t="shared" si="2"/>
        <x:v>58.28321678</x:v>
      </x:c>
      <x:c r="M52" s="121"/>
      <x:c r="N52" s="121"/>
      <x:c r="O52" s="121"/>
      <x:c r="P52" s="9"/>
      <x:c r="Q52" s="9"/>
      <x:c r="R52" s="9"/>
      <x:c r="S52" s="9"/>
      <x:c r="T52" s="9"/>
      <x:c r="U52" s="9"/>
      <x:c r="V52" s="9"/>
      <x:c r="W52" s="9"/>
      <x:c r="X52" s="9"/>
      <x:c r="Y52" s="9"/>
      <x:c r="Z52" s="9"/>
    </x:row>
    <x:row r="53" ht="14.25" customHeight="1">
      <x:c r="B53" s="1" t="s">
        <x:v>489</x:v>
      </x:c>
      <x:c r="C53" s="1">
        <x:v>78.0</x:v>
      </x:c>
      <x:c r="D53" s="1">
        <x:v>1081.0</x:v>
      </x:c>
      <x:c r="E53" s="1">
        <x:v>5.9</x:v>
      </x:c>
      <x:c r="F53" s="1">
        <x:v>0.0</x:v>
      </x:c>
      <x:c r="G53" s="1">
        <x:v>0.0</x:v>
      </x:c>
      <x:c r="H53" s="1">
        <x:v>0.0</x:v>
      </x:c>
      <x:c r="I53" s="1">
        <x:v>1.0</x:v>
      </x:c>
      <x:c r="J53" s="1">
        <x:v>234.1</x:v>
      </x:c>
      <x:c r="K53" s="18">
        <x:f t="shared" si="1"/>
        <x:v>0</x:v>
      </x:c>
      <x:c r="L53" s="18">
        <x:f t="shared" si="2"/>
        <x:v>53.16806527</x:v>
      </x:c>
      <x:c r="M53" s="121"/>
      <x:c r="N53" s="121"/>
      <x:c r="O53" s="121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</x:row>
    <x:row r="54" ht="14.25" customHeight="1">
      <x:c r="A54" s="1" t="s">
        <x:v>750</x:v>
      </x:c>
      <x:c r="B54" s="1" t="s">
        <x:v>523</x:v>
      </x:c>
      <x:c r="C54" s="1">
        <x:v>73.2</x:v>
      </x:c>
      <x:c r="D54" s="1">
        <x:v>1097.8</x:v>
      </x:c>
      <x:c r="E54" s="1">
        <x:v>7.5</x:v>
      </x:c>
      <x:c r="F54" s="1">
        <x:v>1.4</x:v>
      </x:c>
      <x:c r="G54" s="1">
        <x:v>7.3</x:v>
      </x:c>
      <x:c r="H54" s="1">
        <x:v>0.0</x:v>
      </x:c>
      <x:c r="I54" s="1">
        <x:v>0.3</x:v>
      </x:c>
      <x:c r="J54" s="1">
        <x:v>228.3</x:v>
      </x:c>
      <x:c r="K54" s="18">
        <x:f t="shared" si="1"/>
        <x:v>0.4524092888</x:v>
      </x:c>
      <x:c r="L54" s="18">
        <x:f t="shared" si="2"/>
        <x:v>53.99435897</x:v>
      </x:c>
      <x:c r="M54" s="119" t="n">
        <x:f>C56*Scoring!$B$34+D56/Scoring!$C$34+E56*Scoring!$D$34+WR!F56*Scoring!$E$34+WR!G56/Scoring!$F$34+WR!H56*Scoring!$G$34+WR!I56*Scoring!$H$34+K56*Scoring!$I$34+WR!L56*Scoring!$J$34+U54</x:f>
        <x:v>180.79999999999998</x:v>
      </x:c>
      <x:c r="N54" s="119" t="n">
        <x:f>C54*Scoring!$B$34+D54/Scoring!$C$34+E54*Scoring!$D$34+WR!F54*Scoring!$E$34+WR!G54/Scoring!$F$34+WR!H54*Scoring!$G$34+WR!I54*Scoring!$H$34+K54*Scoring!$I$34+WR!L54*Scoring!$J$34+U54</x:f>
        <x:v>191.80999999999997</x:v>
      </x:c>
      <x:c r="O54" s="119" t="n">
        <x:f>C55*Scoring!$B$34+D55/Scoring!$C$34+E55*Scoring!$D$34+WR!F55*Scoring!$E$34+WR!G55/Scoring!$F$34+WR!H55*Scoring!$G$34+WR!I55*Scoring!$H$34+K55*Scoring!$I$34+WR!L55*Scoring!$J$34+U54</x:f>
        <x:v>201.51999999999998</x:v>
      </x:c>
      <x:c r="P54" s="9" t="n">
        <x:f>IF(COUNTIF(Rookies!$A:$A,A54)&gt;0,1,0)</x:f>
        <x:v>0</x:v>
      </x:c>
      <x:c r="Q54" s="9"/>
      <x:c r="R54" s="9"/>
      <x:c r="S54" s="9" t="n">
        <x:f>V54/17</x:f>
        <x:v>11.282941176470587</x:v>
      </x:c>
      <x:c r="T54" s="9" t="n">
        <x:f>IF(P54=1,MAX(0,0.28*(12-S54)),0)</x:f>
        <x:v>0</x:v>
      </x:c>
      <x:c r="U54" s="9" t="n">
        <x:f>T54*17</x:f>
        <x:v>0</x:v>
      </x:c>
      <x:c r="V54" s="9" t="n">
        <x:f>C54*Scoring!$B$34+D54/Scoring!$C$34+E54*Scoring!$D$34+WR!F54*Scoring!$E$34+WR!G54/Scoring!$F$34+WR!H54*Scoring!$G$34+WR!I54*Scoring!$H$34+K54*Scoring!$I$34+WR!L54*Scoring!$J$34</x:f>
        <x:v>191.80999999999997</x:v>
      </x:c>
      <x:c r="W54" s="9"/>
      <x:c r="X54" s="9"/>
      <x:c r="Y54" s="9"/>
      <x:c r="Z54" s="9"/>
    </x:row>
    <x:row r="55" ht="14.25" customHeight="1">
      <x:c r="B55" s="1" t="s">
        <x:v>488</x:v>
      </x:c>
      <x:c r="C55" s="1">
        <x:v>78.0</x:v>
      </x:c>
      <x:c r="D55" s="1">
        <x:v>1127.3</x:v>
      </x:c>
      <x:c r="E55" s="1">
        <x:v>8.0</x:v>
      </x:c>
      <x:c r="F55" s="1">
        <x:v>2.2</x:v>
      </x:c>
      <x:c r="G55" s="1">
        <x:v>11.9</x:v>
      </x:c>
      <x:c r="H55" s="1">
        <x:v>0.1</x:v>
      </x:c>
      <x:c r="I55" s="1">
        <x:v>0.0</x:v>
      </x:c>
      <x:c r="J55" s="1">
        <x:v>258.8</x:v>
      </x:c>
      <x:c r="K55" s="18">
        <x:f t="shared" si="1"/>
        <x:v>0.7374891147</x:v>
      </x:c>
      <x:c r="L55" s="18">
        <x:f t="shared" si="2"/>
        <x:v>55.44529138</x:v>
      </x:c>
      <x:c r="M55" s="121"/>
      <x:c r="N55" s="121"/>
      <x:c r="O55" s="121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</x:row>
    <x:row r="56" ht="14.25" customHeight="1">
      <x:c r="B56" s="1" t="s">
        <x:v>489</x:v>
      </x:c>
      <x:c r="C56" s="1">
        <x:v>69.6</x:v>
      </x:c>
      <x:c r="D56" s="1">
        <x:v>1046.0</x:v>
      </x:c>
      <x:c r="E56" s="1">
        <x:v>7.0</x:v>
      </x:c>
      <x:c r="F56" s="1">
        <x:v>0.0</x:v>
      </x:c>
      <x:c r="G56" s="1">
        <x:v>0.0</x:v>
      </x:c>
      <x:c r="H56" s="1">
        <x:v>0.0</x:v>
      </x:c>
      <x:c r="I56" s="1">
        <x:v>0.6</x:v>
      </x:c>
      <x:c r="J56" s="1">
        <x:v>224.2</x:v>
      </x:c>
      <x:c r="K56" s="18">
        <x:f t="shared" si="1"/>
        <x:v>0</x:v>
      </x:c>
      <x:c r="L56" s="18">
        <x:f t="shared" si="2"/>
        <x:v>51.44662005</x:v>
      </x:c>
      <x:c r="M56" s="121"/>
      <x:c r="N56" s="121"/>
      <x:c r="O56" s="121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</x:row>
    <x:row r="57" ht="14.25" customHeight="1">
      <x:c r="A57" s="1" t="s">
        <x:v>751</x:v>
      </x:c>
      <x:c r="B57" s="1" t="s">
        <x:v>517</x:v>
      </x:c>
      <x:c r="C57" s="1">
        <x:v>68.5</x:v>
      </x:c>
      <x:c r="D57" s="1">
        <x:v>926.2</x:v>
      </x:c>
      <x:c r="E57" s="1">
        <x:v>10.2</x:v>
      </x:c>
      <x:c r="F57" s="1">
        <x:v>0.0</x:v>
      </x:c>
      <x:c r="G57" s="1">
        <x:v>0.0</x:v>
      </x:c>
      <x:c r="H57" s="1">
        <x:v>0.0</x:v>
      </x:c>
      <x:c r="I57" s="1">
        <x:v>0.2</x:v>
      </x:c>
      <x:c r="J57" s="1">
        <x:v>221.9</x:v>
      </x:c>
      <x:c r="K57" s="18">
        <x:f t="shared" si="1"/>
        <x:v>0</x:v>
      </x:c>
      <x:c r="L57" s="18">
        <x:f t="shared" si="2"/>
        <x:v>45.55435897</x:v>
      </x:c>
      <x:c r="M57" s="119" t="n">
        <x:f>C59*Scoring!$B$34+D59/Scoring!$C$34+E59*Scoring!$D$34+WR!F59*Scoring!$E$34+WR!G59/Scoring!$F$34+WR!H59*Scoring!$G$34+WR!I59*Scoring!$H$34+K59*Scoring!$I$34+WR!L59*Scoring!$J$34+U57</x:f>
        <x:v>178.45</x:v>
      </x:c>
      <x:c r="N57" s="119" t="n">
        <x:f>C57*Scoring!$B$34+D57/Scoring!$C$34+E57*Scoring!$D$34+WR!F57*Scoring!$E$34+WR!G57/Scoring!$F$34+WR!H57*Scoring!$G$34+WR!I57*Scoring!$H$34+K57*Scoring!$I$34+WR!L57*Scoring!$J$34+U57</x:f>
        <x:v>187.87</x:v>
      </x:c>
      <x:c r="O57" s="119" t="n">
        <x:f>C58*Scoring!$B$34+D58/Scoring!$C$34+E58*Scoring!$D$34+WR!F58*Scoring!$E$34+WR!G58/Scoring!$F$34+WR!H58*Scoring!$G$34+WR!I58*Scoring!$H$34+K58*Scoring!$I$34+WR!L58*Scoring!$J$34+U57</x:f>
        <x:v>200.25</x:v>
      </x:c>
      <x:c r="P57" s="9" t="n">
        <x:f>IF(COUNTIF(Rookies!$A:$A,A57)&gt;0,1,0)</x:f>
        <x:v>0</x:v>
      </x:c>
      <x:c r="Q57" s="9"/>
      <x:c r="R57" s="9"/>
      <x:c r="S57" s="9" t="n">
        <x:f>V57/17</x:f>
        <x:v>11.051176470588235</x:v>
      </x:c>
      <x:c r="T57" s="9" t="n">
        <x:f>IF(P57=1,MAX(0,0.28*(12-S57)),0)</x:f>
        <x:v>0</x:v>
      </x:c>
      <x:c r="U57" s="9" t="n">
        <x:f>T57*17</x:f>
        <x:v>0</x:v>
      </x:c>
      <x:c r="V57" s="9" t="n">
        <x:f>C57*Scoring!$B$34+D57/Scoring!$C$34+E57*Scoring!$D$34+WR!F57*Scoring!$E$34+WR!G57/Scoring!$F$34+WR!H57*Scoring!$G$34+WR!I57*Scoring!$H$34+K57*Scoring!$I$34+WR!L57*Scoring!$J$34</x:f>
        <x:v>187.87</x:v>
      </x:c>
      <x:c r="W57" s="9"/>
      <x:c r="X57" s="9"/>
      <x:c r="Y57" s="9"/>
      <x:c r="Z57" s="9"/>
    </x:row>
    <x:row r="58" ht="14.25" customHeight="1">
      <x:c r="B58" s="1" t="s">
        <x:v>488</x:v>
      </x:c>
      <x:c r="C58" s="1">
        <x:v>70.0</x:v>
      </x:c>
      <x:c r="D58" s="1">
        <x:v>1016.5</x:v>
      </x:c>
      <x:c r="E58" s="1">
        <x:v>10.6</x:v>
      </x:c>
      <x:c r="F58" s="1">
        <x:v>0.0</x:v>
      </x:c>
      <x:c r="G58" s="1">
        <x:v>0.0</x:v>
      </x:c>
      <x:c r="H58" s="1">
        <x:v>0.0</x:v>
      </x:c>
      <x:c r="I58" s="1">
        <x:v>0.0</x:v>
      </x:c>
      <x:c r="J58" s="1">
        <x:v>254.6</x:v>
      </x:c>
      <x:c r="K58" s="18">
        <x:f t="shared" si="1"/>
        <x:v>0</x:v>
      </x:c>
      <x:c r="L58" s="18">
        <x:f t="shared" si="2"/>
        <x:v>49.99568765</x:v>
      </x:c>
      <x:c r="M58" s="121"/>
      <x:c r="N58" s="121"/>
      <x:c r="O58" s="121"/>
      <x:c r="P58" s="9"/>
      <x:c r="Q58" s="9"/>
      <x:c r="R58" s="9"/>
      <x:c r="S58" s="9"/>
      <x:c r="T58" s="9"/>
      <x:c r="U58" s="9"/>
      <x:c r="V58" s="9"/>
      <x:c r="W58" s="9"/>
      <x:c r="X58" s="9"/>
      <x:c r="Y58" s="9"/>
      <x:c r="Z58" s="9"/>
    </x:row>
    <x:row r="59" ht="14.25" customHeight="1">
      <x:c r="B59" s="1" t="s">
        <x:v>489</x:v>
      </x:c>
      <x:c r="C59" s="1">
        <x:v>67.5</x:v>
      </x:c>
      <x:c r="D59" s="1">
        <x:v>851.0</x:v>
      </x:c>
      <x:c r="E59" s="1">
        <x:v>10.0</x:v>
      </x:c>
      <x:c r="F59" s="1">
        <x:v>0.0</x:v>
      </x:c>
      <x:c r="G59" s="1">
        <x:v>0.0</x:v>
      </x:c>
      <x:c r="H59" s="1">
        <x:v>0.0</x:v>
      </x:c>
      <x:c r="I59" s="1">
        <x:v>0.4</x:v>
      </x:c>
      <x:c r="J59" s="1">
        <x:v>206.5</x:v>
      </x:c>
      <x:c r="K59" s="18">
        <x:f t="shared" si="1"/>
        <x:v>0</x:v>
      </x:c>
      <x:c r="L59" s="18">
        <x:f t="shared" si="2"/>
        <x:v>41.85571096</x:v>
      </x:c>
      <x:c r="M59" s="121"/>
      <x:c r="N59" s="121"/>
      <x:c r="O59" s="121"/>
      <x:c r="P59" s="9"/>
      <x:c r="Q59" s="9"/>
      <x:c r="R59" s="9"/>
      <x:c r="S59" s="9"/>
      <x:c r="T59" s="9"/>
      <x:c r="U59" s="9"/>
      <x:c r="V59" s="9"/>
      <x:c r="W59" s="9"/>
      <x:c r="X59" s="9"/>
      <x:c r="Y59" s="9"/>
      <x:c r="Z59" s="9"/>
    </x:row>
    <x:row r="60" ht="14.25" customHeight="1">
      <x:c r="A60" s="1" t="s">
        <x:v>752</x:v>
      </x:c>
      <x:c r="B60" s="1" t="s">
        <x:v>499</x:v>
      </x:c>
      <x:c r="C60" s="1">
        <x:v>70.8</x:v>
      </x:c>
      <x:c r="D60" s="1">
        <x:v>965.4</x:v>
      </x:c>
      <x:c r="E60" s="1">
        <x:v>9.1</x:v>
      </x:c>
      <x:c r="F60" s="1">
        <x:v>0.0</x:v>
      </x:c>
      <x:c r="G60" s="1">
        <x:v>0.0</x:v>
      </x:c>
      <x:c r="H60" s="1">
        <x:v>0.0</x:v>
      </x:c>
      <x:c r="I60" s="1">
        <x:v>0.2</x:v>
      </x:c>
      <x:c r="J60" s="1">
        <x:v>221.7</x:v>
      </x:c>
      <x:c r="K60" s="18">
        <x:f t="shared" si="1"/>
        <x:v>0</x:v>
      </x:c>
      <x:c r="L60" s="18">
        <x:f t="shared" si="2"/>
        <x:v>47.48237762</x:v>
      </x:c>
      <x:c r="M60" s="119" t="n">
        <x:f>C62*Scoring!$B$34+D62/Scoring!$C$34+E62*Scoring!$D$34+WR!F62*Scoring!$E$34+WR!G62/Scoring!$F$34+WR!H62*Scoring!$G$34+WR!I62*Scoring!$H$34+K62*Scoring!$I$34+WR!L62*Scoring!$J$34+U60</x:f>
        <x:v>170.7</x:v>
      </x:c>
      <x:c r="N60" s="119" t="n">
        <x:f>C60*Scoring!$B$34+D60/Scoring!$C$34+E60*Scoring!$D$34+WR!F60*Scoring!$E$34+WR!G60/Scoring!$F$34+WR!H60*Scoring!$G$34+WR!I60*Scoring!$H$34+K60*Scoring!$I$34+WR!L60*Scoring!$J$34+U60</x:f>
        <x:v>186.34</x:v>
      </x:c>
      <x:c r="O60" s="119" t="n">
        <x:f>C61*Scoring!$B$34+D61/Scoring!$C$34+E61*Scoring!$D$34+WR!F61*Scoring!$E$34+WR!G61/Scoring!$F$34+WR!H61*Scoring!$G$34+WR!I61*Scoring!$H$34+K61*Scoring!$I$34+WR!L61*Scoring!$J$34+U60</x:f>
        <x:v>206.4</x:v>
      </x:c>
      <x:c r="P60" s="9" t="n">
        <x:f>IF(COUNTIF(Rookies!$A:$A,A60)&gt;0,1,0)</x:f>
        <x:v>0</x:v>
      </x:c>
      <x:c r="Q60" s="9"/>
      <x:c r="R60" s="9"/>
      <x:c r="S60" s="9" t="n">
        <x:f>V60/17</x:f>
        <x:v>10.961176470588235</x:v>
      </x:c>
      <x:c r="T60" s="9" t="n">
        <x:f>IF(P60=1,MAX(0,0.28*(12-S60)),0)</x:f>
        <x:v>0</x:v>
      </x:c>
      <x:c r="U60" s="9" t="n">
        <x:f>T60*17</x:f>
        <x:v>0</x:v>
      </x:c>
      <x:c r="V60" s="9" t="n">
        <x:f>C60*Scoring!$B$34+D60/Scoring!$C$34+E60*Scoring!$D$34+WR!F60*Scoring!$E$34+WR!G60/Scoring!$F$34+WR!H60*Scoring!$G$34+WR!I60*Scoring!$H$34+K60*Scoring!$I$34+WR!L60*Scoring!$J$34</x:f>
        <x:v>186.34</x:v>
      </x:c>
      <x:c r="W60" s="9"/>
      <x:c r="X60" s="9"/>
      <x:c r="Y60" s="9"/>
      <x:c r="Z60" s="9"/>
    </x:row>
    <x:row r="61" ht="14.25" customHeight="1">
      <x:c r="B61" s="1" t="s">
        <x:v>488</x:v>
      </x:c>
      <x:c r="C61" s="1">
        <x:v>74.0</x:v>
      </x:c>
      <x:c r="D61" s="1">
        <x:v>1034.0</x:v>
      </x:c>
      <x:c r="E61" s="1">
        <x:v>11.0</x:v>
      </x:c>
      <x:c r="F61" s="1">
        <x:v>0.0</x:v>
      </x:c>
      <x:c r="G61" s="1">
        <x:v>0.0</x:v>
      </x:c>
      <x:c r="H61" s="1">
        <x:v>0.0</x:v>
      </x:c>
      <x:c r="I61" s="1">
        <x:v>0.0</x:v>
      </x:c>
      <x:c r="J61" s="1">
        <x:v>241.9</x:v>
      </x:c>
      <x:c r="K61" s="18">
        <x:f t="shared" si="1"/>
        <x:v>0</x:v>
      </x:c>
      <x:c r="L61" s="18">
        <x:f t="shared" si="2"/>
        <x:v>50.85641026</x:v>
      </x:c>
      <x:c r="M61" s="121"/>
      <x:c r="N61" s="121"/>
      <x:c r="O61" s="121"/>
      <x:c r="P61" s="9"/>
      <x:c r="Q61" s="9"/>
      <x:c r="R61" s="9"/>
      <x:c r="S61" s="9"/>
      <x:c r="T61" s="9"/>
      <x:c r="U61" s="9"/>
      <x:c r="V61" s="9"/>
      <x:c r="W61" s="9"/>
      <x:c r="X61" s="9"/>
      <x:c r="Y61" s="9"/>
      <x:c r="Z61" s="9"/>
    </x:row>
    <x:row r="62" ht="14.25" customHeight="1">
      <x:c r="B62" s="1" t="s">
        <x:v>489</x:v>
      </x:c>
      <x:c r="C62" s="1">
        <x:v>65.0</x:v>
      </x:c>
      <x:c r="D62" s="1">
        <x:v>906.0</x:v>
      </x:c>
      <x:c r="E62" s="1">
        <x:v>8.0</x:v>
      </x:c>
      <x:c r="F62" s="1">
        <x:v>0.0</x:v>
      </x:c>
      <x:c r="G62" s="1">
        <x:v>0.0</x:v>
      </x:c>
      <x:c r="H62" s="1">
        <x:v>0.0</x:v>
      </x:c>
      <x:c r="I62" s="1">
        <x:v>0.4</x:v>
      </x:c>
      <x:c r="J62" s="1">
        <x:v>216.9</x:v>
      </x:c>
      <x:c r="K62" s="18">
        <x:f t="shared" si="1"/>
        <x:v>0</x:v>
      </x:c>
      <x:c r="L62" s="18">
        <x:f t="shared" si="2"/>
        <x:v>44.56083916</x:v>
      </x:c>
      <x:c r="M62" s="121"/>
      <x:c r="N62" s="121"/>
      <x:c r="O62" s="121"/>
      <x:c r="P62" s="9"/>
      <x:c r="Q62" s="9"/>
      <x:c r="R62" s="9"/>
      <x:c r="S62" s="9"/>
      <x:c r="T62" s="9"/>
      <x:c r="U62" s="9"/>
      <x:c r="V62" s="9"/>
      <x:c r="W62" s="9"/>
      <x:c r="X62" s="9"/>
      <x:c r="Y62" s="9"/>
      <x:c r="Z62" s="9"/>
    </x:row>
    <x:row r="63" ht="14.25" customHeight="1">
      <x:c r="A63" s="1" t="s">
        <x:v>753</x:v>
      </x:c>
      <x:c r="B63" s="1" t="s">
        <x:v>513</x:v>
      </x:c>
      <x:c r="C63" s="1">
        <x:v>79.2</x:v>
      </x:c>
      <x:c r="D63" s="1">
        <x:v>1010.1</x:v>
      </x:c>
      <x:c r="E63" s="1">
        <x:v>6.8</x:v>
      </x:c>
      <x:c r="F63" s="1">
        <x:v>0.0</x:v>
      </x:c>
      <x:c r="G63" s="1">
        <x:v>0.0</x:v>
      </x:c>
      <x:c r="H63" s="1">
        <x:v>0.0</x:v>
      </x:c>
      <x:c r="I63" s="1">
        <x:v>0.3</x:v>
      </x:c>
      <x:c r="J63" s="1">
        <x:v>220.3</x:v>
      </x:c>
      <x:c r="K63" s="18">
        <x:f t="shared" si="1"/>
        <x:v>0</x:v>
      </x:c>
      <x:c r="L63" s="18">
        <x:f t="shared" si="2"/>
        <x:v>49.68090909</x:v>
      </x:c>
      <x:c r="M63" s="119" t="n">
        <x:f>C65*Scoring!$B$34+D65/Scoring!$C$34+E65*Scoring!$D$34+WR!F65*Scoring!$E$34+WR!G65/Scoring!$F$34+WR!H65*Scoring!$G$34+WR!I65*Scoring!$H$34+K65*Scoring!$I$34+WR!L65*Scoring!$J$34+U63</x:f>
        <x:v>169</x:v>
      </x:c>
      <x:c r="N63" s="119" t="n">
        <x:f>C63*Scoring!$B$34+D63/Scoring!$C$34+E63*Scoring!$D$34+WR!F63*Scoring!$E$34+WR!G63/Scoring!$F$34+WR!H63*Scoring!$G$34+WR!I63*Scoring!$H$34+K63*Scoring!$I$34+WR!L63*Scoring!$J$34+U63</x:f>
        <x:v>181.11</x:v>
      </x:c>
      <x:c r="O63" s="119" t="n">
        <x:f>C64*Scoring!$B$34+D64/Scoring!$C$34+E64*Scoring!$D$34+WR!F64*Scoring!$E$34+WR!G64/Scoring!$F$34+WR!H64*Scoring!$G$34+WR!I64*Scoring!$H$34+K64*Scoring!$I$34+WR!L64*Scoring!$J$34+U63</x:f>
        <x:v>192.94</x:v>
      </x:c>
      <x:c r="P63" s="9" t="n">
        <x:f>IF(COUNTIF(Rookies!$A:$A,A63)&gt;0,1,0)</x:f>
        <x:v>0</x:v>
      </x:c>
      <x:c r="Q63" s="9"/>
      <x:c r="R63" s="9"/>
      <x:c r="S63" s="9" t="n">
        <x:f>V63/17</x:f>
        <x:v>10.653529411764707</x:v>
      </x:c>
      <x:c r="T63" s="9" t="n">
        <x:f>IF(P63=1,MAX(0,0.28*(12-S63)),0)</x:f>
        <x:v>0</x:v>
      </x:c>
      <x:c r="U63" s="9" t="n">
        <x:f>T63*17</x:f>
        <x:v>0</x:v>
      </x:c>
      <x:c r="V63" s="9" t="n">
        <x:f>C63*Scoring!$B$34+D63/Scoring!$C$34+E63*Scoring!$D$34+WR!F63*Scoring!$E$34+WR!G63/Scoring!$F$34+WR!H63*Scoring!$G$34+WR!I63*Scoring!$H$34+K63*Scoring!$I$34+WR!L63*Scoring!$J$34</x:f>
        <x:v>181.11</x:v>
      </x:c>
      <x:c r="W63" s="9"/>
      <x:c r="X63" s="9"/>
      <x:c r="Y63" s="9"/>
      <x:c r="Z63" s="9"/>
    </x:row>
    <x:row r="64" ht="14.25" customHeight="1">
      <x:c r="B64" s="1" t="s">
        <x:v>488</x:v>
      </x:c>
      <x:c r="C64" s="1">
        <x:v>82.0</x:v>
      </x:c>
      <x:c r="D64" s="1">
        <x:v>1039.4</x:v>
      </x:c>
      <x:c r="E64" s="1">
        <x:v>8.0</x:v>
      </x:c>
      <x:c r="F64" s="1">
        <x:v>0.0</x:v>
      </x:c>
      <x:c r="G64" s="1">
        <x:v>0.0</x:v>
      </x:c>
      <x:c r="H64" s="1">
        <x:v>0.0</x:v>
      </x:c>
      <x:c r="I64" s="1">
        <x:v>0.0</x:v>
      </x:c>
      <x:c r="J64" s="1">
        <x:v>248.8</x:v>
      </x:c>
      <x:c r="K64" s="18">
        <x:f t="shared" si="1"/>
        <x:v>0</x:v>
      </x:c>
      <x:c r="L64" s="18">
        <x:f t="shared" si="2"/>
        <x:v>51.12200466</x:v>
      </x:c>
      <x:c r="M64" s="121"/>
      <x:c r="N64" s="121"/>
      <x:c r="O64" s="121"/>
      <x:c r="P64" s="9"/>
      <x:c r="Q64" s="9"/>
      <x:c r="R64" s="9"/>
      <x:c r="S64" s="9"/>
      <x:c r="T64" s="9"/>
      <x:c r="U64" s="9"/>
      <x:c r="V64" s="9"/>
      <x:c r="W64" s="9"/>
      <x:c r="X64" s="9"/>
      <x:c r="Y64" s="9"/>
      <x:c r="Z64" s="9"/>
    </x:row>
    <x:row r="65" ht="14.25" customHeight="1">
      <x:c r="B65" s="1" t="s">
        <x:v>489</x:v>
      </x:c>
      <x:c r="C65" s="1">
        <x:v>76.0</x:v>
      </x:c>
      <x:c r="D65" s="1">
        <x:v>956.0</x:v>
      </x:c>
      <x:c r="E65" s="1">
        <x:v>6.0</x:v>
      </x:c>
      <x:c r="F65" s="1">
        <x:v>0.0</x:v>
      </x:c>
      <x:c r="G65" s="1">
        <x:v>0.0</x:v>
      </x:c>
      <x:c r="H65" s="1">
        <x:v>0.0</x:v>
      </x:c>
      <x:c r="I65" s="1">
        <x:v>0.6</x:v>
      </x:c>
      <x:c r="J65" s="1">
        <x:v>220.6</x:v>
      </x:c>
      <x:c r="K65" s="18">
        <x:f t="shared" si="1"/>
        <x:v>0</x:v>
      </x:c>
      <x:c r="L65" s="18">
        <x:f t="shared" si="2"/>
        <x:v>47.02004662</x:v>
      </x:c>
      <x:c r="M65" s="121"/>
      <x:c r="N65" s="121"/>
      <x:c r="O65" s="121"/>
      <x:c r="P65" s="9"/>
      <x:c r="Q65" s="9"/>
      <x:c r="R65" s="9"/>
      <x:c r="S65" s="9"/>
      <x:c r="T65" s="9"/>
      <x:c r="U65" s="9"/>
      <x:c r="V65" s="9"/>
      <x:c r="W65" s="9"/>
      <x:c r="X65" s="9"/>
      <x:c r="Y65" s="9"/>
      <x:c r="Z65" s="9"/>
    </x:row>
    <x:row r="66" ht="14.25" customHeight="1">
      <x:c r="A66" s="1" t="s">
        <x:v>754</x:v>
      </x:c>
      <x:c r="B66" s="1" t="s">
        <x:v>519</x:v>
      </x:c>
      <x:c r="C66" s="1">
        <x:v>64.4</x:v>
      </x:c>
      <x:c r="D66" s="1">
        <x:v>1065.4</x:v>
      </x:c>
      <x:c r="E66" s="1">
        <x:v>6.6</x:v>
      </x:c>
      <x:c r="F66" s="1">
        <x:v>7.3</x:v>
      </x:c>
      <x:c r="G66" s="1">
        <x:v>42.0</x:v>
      </x:c>
      <x:c r="H66" s="1">
        <x:v>0.5</x:v>
      </x:c>
      <x:c r="I66" s="1">
        <x:v>0.2</x:v>
      </x:c>
      <x:c r="J66" s="1">
        <x:v>217.3</x:v>
      </x:c>
      <x:c r="K66" s="18">
        <x:f t="shared" si="1"/>
        <x:v>2.602902758</x:v>
      </x:c>
      <x:c r="L66" s="18">
        <x:f t="shared" si="2"/>
        <x:v>52.40079254</x:v>
      </x:c>
      <x:c r="M66" s="119" t="n">
        <x:f>C68*Scoring!$B$34+D68/Scoring!$C$34+E68*Scoring!$D$34+WR!F68*Scoring!$E$34+WR!G68/Scoring!$F$34+WR!H68*Scoring!$G$34+WR!I68*Scoring!$H$34+K68*Scoring!$I$34+WR!L68*Scoring!$J$34+U66</x:f>
        <x:v>171.82</x:v>
      </x:c>
      <x:c r="N66" s="119" t="n">
        <x:f>C66*Scoring!$B$34+D66/Scoring!$C$34+E66*Scoring!$D$34+WR!F66*Scoring!$E$34+WR!G66/Scoring!$F$34+WR!H66*Scoring!$G$34+WR!I66*Scoring!$H$34+K66*Scoring!$I$34+WR!L66*Scoring!$J$34+U66</x:f>
        <x:v>185.34</x:v>
      </x:c>
      <x:c r="O66" s="119" t="n">
        <x:f>C67*Scoring!$B$34+D67/Scoring!$C$34+E67*Scoring!$D$34+WR!F67*Scoring!$E$34+WR!G67/Scoring!$F$34+WR!H67*Scoring!$G$34+WR!I67*Scoring!$H$34+K67*Scoring!$I$34+WR!L67*Scoring!$J$34+U66</x:f>
        <x:v>194.31</x:v>
      </x:c>
      <x:c r="P66" s="9" t="n">
        <x:f>IF(COUNTIF(Rookies!$A:$A,A66)&gt;0,1,0)</x:f>
        <x:v>0</x:v>
      </x:c>
      <x:c r="Q66" s="9"/>
      <x:c r="R66" s="9"/>
      <x:c r="S66" s="9" t="n">
        <x:f>V66/17</x:f>
        <x:v>10.90235294117647</x:v>
      </x:c>
      <x:c r="T66" s="9" t="n">
        <x:f>IF(P66=1,MAX(0,0.28*(12-S66)),0)</x:f>
        <x:v>0</x:v>
      </x:c>
      <x:c r="U66" s="9" t="n">
        <x:f>T66*17</x:f>
        <x:v>0</x:v>
      </x:c>
      <x:c r="V66" s="9" t="n">
        <x:f>C66*Scoring!$B$34+D66/Scoring!$C$34+E66*Scoring!$D$34+WR!F66*Scoring!$E$34+WR!G66/Scoring!$F$34+WR!H66*Scoring!$G$34+WR!I66*Scoring!$H$34+K66*Scoring!$I$34+WR!L66*Scoring!$J$34</x:f>
        <x:v>185.34</x:v>
      </x:c>
      <x:c r="W66" s="9"/>
      <x:c r="X66" s="9"/>
      <x:c r="Y66" s="9"/>
      <x:c r="Z66" s="9"/>
    </x:row>
    <x:row r="67" ht="14.25" customHeight="1">
      <x:c r="B67" s="1" t="s">
        <x:v>488</x:v>
      </x:c>
      <x:c r="C67" s="1">
        <x:v>66.0</x:v>
      </x:c>
      <x:c r="D67" s="1">
        <x:v>1088.0</x:v>
      </x:c>
      <x:c r="E67" s="1">
        <x:v>7.0</x:v>
      </x:c>
      <x:c r="F67" s="1">
        <x:v>8.0</x:v>
      </x:c>
      <x:c r="G67" s="1">
        <x:v>45.1</x:v>
      </x:c>
      <x:c r="H67" s="1">
        <x:v>1.0</x:v>
      </x:c>
      <x:c r="I67" s="1">
        <x:v>0.0</x:v>
      </x:c>
      <x:c r="J67" s="1">
        <x:v>252.4</x:v>
      </x:c>
      <x:c r="K67" s="18">
        <x:f t="shared" si="1"/>
        <x:v>2.795021771</x:v>
      </x:c>
      <x:c r="L67" s="18">
        <x:f t="shared" si="2"/>
        <x:v>53.51235431</x:v>
      </x:c>
      <x:c r="M67" s="121"/>
      <x:c r="N67" s="121"/>
      <x:c r="O67" s="121"/>
      <x:c r="P67" s="9"/>
      <x:c r="Q67" s="9"/>
      <x:c r="R67" s="9"/>
      <x:c r="S67" s="9"/>
      <x:c r="T67" s="9"/>
      <x:c r="U67" s="9"/>
      <x:c r="V67" s="9"/>
      <x:c r="W67" s="9"/>
      <x:c r="X67" s="9"/>
      <x:c r="Y67" s="9"/>
      <x:c r="Z67" s="9"/>
    </x:row>
    <x:row r="68" ht="14.25" customHeight="1">
      <x:c r="B68" s="1" t="s">
        <x:v>489</x:v>
      </x:c>
      <x:c r="C68" s="1">
        <x:v>63.0</x:v>
      </x:c>
      <x:c r="D68" s="1">
        <x:v>1026.2</x:v>
      </x:c>
      <x:c r="E68" s="1">
        <x:v>5.7</x:v>
      </x:c>
      <x:c r="F68" s="1">
        <x:v>7.0</x:v>
      </x:c>
      <x:c r="G68" s="1">
        <x:v>39.0</x:v>
      </x:c>
      <x:c r="H68" s="1">
        <x:v>0.0</x:v>
      </x:c>
      <x:c r="I68" s="1">
        <x:v>0.4</x:v>
      </x:c>
      <x:c r="J68" s="1">
        <x:v>208.6</x:v>
      </x:c>
      <x:c r="K68" s="18">
        <x:f t="shared" si="1"/>
        <x:v>2.416981132</x:v>
      </x:c>
      <x:c r="L68" s="18">
        <x:f t="shared" si="2"/>
        <x:v>50.47277389</x:v>
      </x:c>
      <x:c r="M68" s="121"/>
      <x:c r="N68" s="121"/>
      <x:c r="O68" s="121"/>
      <x:c r="P68" s="9"/>
      <x:c r="Q68" s="9"/>
      <x:c r="R68" s="9"/>
      <x:c r="S68" s="9"/>
      <x:c r="T68" s="9"/>
      <x:c r="U68" s="9"/>
      <x:c r="V68" s="9"/>
      <x:c r="W68" s="9"/>
      <x:c r="X68" s="9"/>
      <x:c r="Y68" s="9"/>
      <x:c r="Z68" s="9"/>
    </x:row>
    <x:row r="69" ht="14.25" customHeight="1">
      <x:c r="A69" s="1" t="s">
        <x:v>755</x:v>
      </x:c>
      <x:c r="B69" s="1" t="s">
        <x:v>515</x:v>
      </x:c>
      <x:c r="C69" s="1">
        <x:v>74.2</x:v>
      </x:c>
      <x:c r="D69" s="1">
        <x:v>991.9</x:v>
      </x:c>
      <x:c r="E69" s="1">
        <x:v>6.0</x:v>
      </x:c>
      <x:c r="F69" s="1">
        <x:v>1.7</x:v>
      </x:c>
      <x:c r="G69" s="1">
        <x:v>12.4</x:v>
      </x:c>
      <x:c r="H69" s="1">
        <x:v>0.0</x:v>
      </x:c>
      <x:c r="I69" s="1">
        <x:v>0.3</x:v>
      </x:c>
      <x:c r="J69" s="1">
        <x:v>210.2</x:v>
      </x:c>
      <x:c r="K69" s="18">
        <x:f t="shared" si="1"/>
        <x:v>0.7684760522</x:v>
      </x:c>
      <x:c r="L69" s="18">
        <x:f t="shared" si="2"/>
        <x:v>48.78575758</x:v>
      </x:c>
      <x:c r="M69" s="119" t="n">
        <x:f>C71*Scoring!$B$34+D71/Scoring!$C$34+E71*Scoring!$D$34+WR!F71*Scoring!$E$34+WR!G71/Scoring!$F$34+WR!H71*Scoring!$G$34+WR!I71*Scoring!$H$34+K71*Scoring!$I$34+WR!L71*Scoring!$J$34+U69</x:f>
        <x:v>170</x:v>
      </x:c>
      <x:c r="N69" s="119" t="n">
        <x:f>C69*Scoring!$B$34+D69/Scoring!$C$34+E69*Scoring!$D$34+WR!F69*Scoring!$E$34+WR!G69/Scoring!$F$34+WR!H69*Scoring!$G$34+WR!I69*Scoring!$H$34+K69*Scoring!$I$34+WR!L69*Scoring!$J$34+U69</x:f>
        <x:v>173.23</x:v>
      </x:c>
      <x:c r="O69" s="119" t="n">
        <x:f>C70*Scoring!$B$34+D70/Scoring!$C$34+E70*Scoring!$D$34+WR!F70*Scoring!$E$34+WR!G70/Scoring!$F$34+WR!H70*Scoring!$G$34+WR!I70*Scoring!$H$34+K70*Scoring!$I$34+WR!L70*Scoring!$J$34+U69</x:f>
        <x:v>176.9</x:v>
      </x:c>
      <x:c r="P69" s="9" t="n">
        <x:f>IF(COUNTIF(Rookies!$A:$A,A69)&gt;0,1,0)</x:f>
        <x:v>0</x:v>
      </x:c>
      <x:c r="Q69" s="9"/>
      <x:c r="R69" s="9"/>
      <x:c r="S69" s="9" t="n">
        <x:f>V69/17</x:f>
        <x:v>10.19</x:v>
      </x:c>
      <x:c r="T69" s="9" t="n">
        <x:f>IF(P69=1,MAX(0,0.28*(12-S69)),0)</x:f>
        <x:v>0</x:v>
      </x:c>
      <x:c r="U69" s="9" t="n">
        <x:f>T69*17</x:f>
        <x:v>0</x:v>
      </x:c>
      <x:c r="V69" s="9" t="n">
        <x:f>C69*Scoring!$B$34+D69/Scoring!$C$34+E69*Scoring!$D$34+WR!F69*Scoring!$E$34+WR!G69/Scoring!$F$34+WR!H69*Scoring!$G$34+WR!I69*Scoring!$H$34+K69*Scoring!$I$34+WR!L69*Scoring!$J$34</x:f>
        <x:v>173.23</x:v>
      </x:c>
      <x:c r="W69" s="9"/>
      <x:c r="X69" s="9"/>
      <x:c r="Y69" s="9"/>
      <x:c r="Z69" s="9"/>
    </x:row>
    <x:row r="70" ht="14.25" customHeight="1">
      <x:c r="B70" s="1" t="s">
        <x:v>488</x:v>
      </x:c>
      <x:c r="C70" s="1">
        <x:v>76.6</x:v>
      </x:c>
      <x:c r="D70" s="1">
        <x:v>995.0</x:v>
      </x:c>
      <x:c r="E70" s="1">
        <x:v>6.0</x:v>
      </x:c>
      <x:c r="F70" s="1">
        <x:v>3.0</x:v>
      </x:c>
      <x:c r="G70" s="1">
        <x:v>25.0</x:v>
      </x:c>
      <x:c r="H70" s="1">
        <x:v>0.1</x:v>
      </x:c>
      <x:c r="I70" s="1">
        <x:v>0.0</x:v>
      </x:c>
      <x:c r="J70" s="1">
        <x:v>244.9</x:v>
      </x:c>
      <x:c r="K70" s="18">
        <x:f t="shared" si="1"/>
        <x:v>1.54934688</x:v>
      </x:c>
      <x:c r="L70" s="18">
        <x:f t="shared" si="2"/>
        <x:v>48.93822844</x:v>
      </x:c>
      <x:c r="M70" s="121"/>
      <x:c r="N70" s="121"/>
      <x:c r="O70" s="121"/>
      <x:c r="P70" s="9"/>
      <x:c r="Q70" s="9"/>
      <x:c r="R70" s="9"/>
      <x:c r="S70" s="9"/>
      <x:c r="T70" s="9"/>
      <x:c r="U70" s="9"/>
      <x:c r="V70" s="9"/>
      <x:c r="W70" s="9"/>
      <x:c r="X70" s="9"/>
      <x:c r="Y70" s="9"/>
      <x:c r="Z70" s="9"/>
    </x:row>
    <x:row r="71" ht="14.25" customHeight="1">
      <x:c r="B71" s="1" t="s">
        <x:v>489</x:v>
      </x:c>
      <x:c r="C71" s="1">
        <x:v>72.0</x:v>
      </x:c>
      <x:c r="D71" s="1">
        <x:v>987.0</x:v>
      </x:c>
      <x:c r="E71" s="1">
        <x:v>6.0</x:v>
      </x:c>
      <x:c r="F71" s="1">
        <x:v>0.0</x:v>
      </x:c>
      <x:c r="G71" s="1">
        <x:v>0.0</x:v>
      </x:c>
      <x:c r="H71" s="1">
        <x:v>0.0</x:v>
      </x:c>
      <x:c r="I71" s="1">
        <x:v>0.7</x:v>
      </x:c>
      <x:c r="J71" s="1">
        <x:v>201.2</x:v>
      </x:c>
      <x:c r="K71" s="18">
        <x:f t="shared" si="1"/>
        <x:v>0</x:v>
      </x:c>
      <x:c r="L71" s="18">
        <x:f t="shared" si="2"/>
        <x:v>48.54475524</x:v>
      </x:c>
      <x:c r="M71" s="121"/>
      <x:c r="N71" s="121"/>
      <x:c r="O71" s="121"/>
      <x:c r="P71" s="9"/>
      <x:c r="Q71" s="9"/>
      <x:c r="R71" s="9"/>
      <x:c r="S71" s="9"/>
      <x:c r="T71" s="9"/>
      <x:c r="U71" s="9"/>
      <x:c r="V71" s="9"/>
      <x:c r="W71" s="9"/>
      <x:c r="X71" s="9"/>
      <x:c r="Y71" s="9"/>
      <x:c r="Z71" s="9"/>
    </x:row>
    <x:row r="72" ht="14.25" customHeight="1">
      <x:c r="A72" s="1" t="s">
        <x:v>756</x:v>
      </x:c>
      <x:c r="B72" s="1" t="s">
        <x:v>495</x:v>
      </x:c>
      <x:c r="C72" s="1">
        <x:v>69.0</x:v>
      </x:c>
      <x:c r="D72" s="1">
        <x:v>972.1</x:v>
      </x:c>
      <x:c r="E72" s="1">
        <x:v>7.4</x:v>
      </x:c>
      <x:c r="F72" s="1">
        <x:v>0.3</x:v>
      </x:c>
      <x:c r="G72" s="1">
        <x:v>0.3</x:v>
      </x:c>
      <x:c r="H72" s="1">
        <x:v>0.0</x:v>
      </x:c>
      <x:c r="I72" s="1">
        <x:v>0.3</x:v>
      </x:c>
      <x:c r="J72" s="1">
        <x:v>209.8</x:v>
      </x:c>
      <x:c r="K72" s="18">
        <x:f t="shared" si="1"/>
        <x:v>0.01859216255</x:v>
      </x:c>
      <x:c r="L72" s="18">
        <x:f t="shared" si="2"/>
        <x:v>47.81191142</x:v>
      </x:c>
      <x:c r="M72" s="119" t="n">
        <x:f>C74*Scoring!$B$34+D74/Scoring!$C$34+E74*Scoring!$D$34+WR!F74*Scoring!$E$34+WR!G74/Scoring!$F$34+WR!H74*Scoring!$G$34+WR!I74*Scoring!$H$34+K74*Scoring!$I$34+WR!L74*Scoring!$J$34+U72</x:f>
        <x:v>160.5</x:v>
      </x:c>
      <x:c r="N72" s="119" t="n">
        <x:f>C72*Scoring!$B$34+D72/Scoring!$C$34+E72*Scoring!$D$34+WR!F72*Scoring!$E$34+WR!G72/Scoring!$F$34+WR!H72*Scoring!$G$34+WR!I72*Scoring!$H$34+K72*Scoring!$I$34+WR!L72*Scoring!$J$34+U72</x:f>
        <x:v>175.84</x:v>
      </x:c>
      <x:c r="O72" s="119" t="n">
        <x:f>C73*Scoring!$B$34+D73/Scoring!$C$34+E73*Scoring!$D$34+WR!F73*Scoring!$E$34+WR!G73/Scoring!$F$34+WR!H73*Scoring!$G$34+WR!I73*Scoring!$H$34+K73*Scoring!$I$34+WR!L73*Scoring!$J$34+U72</x:f>
        <x:v>203.94</x:v>
      </x:c>
      <x:c r="P72" s="9" t="n">
        <x:f>IF(COUNTIF(Rookies!$A:$A,A72)&gt;0,1,0)</x:f>
        <x:v>0</x:v>
      </x:c>
      <x:c r="Q72" s="9"/>
      <x:c r="R72" s="9"/>
      <x:c r="S72" s="9" t="n">
        <x:f>V72/17</x:f>
        <x:v>10.343529411764706</x:v>
      </x:c>
      <x:c r="T72" s="9" t="n">
        <x:f>IF(P72=1,MAX(0,0.28*(12-S72)),0)</x:f>
        <x:v>0</x:v>
      </x:c>
      <x:c r="U72" s="9" t="n">
        <x:f>T72*17</x:f>
        <x:v>0</x:v>
      </x:c>
      <x:c r="V72" s="9" t="n">
        <x:f>C72*Scoring!$B$34+D72/Scoring!$C$34+E72*Scoring!$D$34+WR!F72*Scoring!$E$34+WR!G72/Scoring!$F$34+WR!H72*Scoring!$G$34+WR!I72*Scoring!$H$34+K72*Scoring!$I$34+WR!L72*Scoring!$J$34</x:f>
        <x:v>175.84</x:v>
      </x:c>
      <x:c r="W72" s="9"/>
      <x:c r="X72" s="9"/>
      <x:c r="Y72" s="9"/>
      <x:c r="Z72" s="9"/>
    </x:row>
    <x:row r="73" ht="14.25" customHeight="1">
      <x:c r="B73" s="1" t="s">
        <x:v>488</x:v>
      </x:c>
      <x:c r="C73" s="1">
        <x:v>77.0</x:v>
      </x:c>
      <x:c r="D73" s="1">
        <x:v>1053.4</x:v>
      </x:c>
      <x:c r="E73" s="1">
        <x:v>10.0</x:v>
      </x:c>
      <x:c r="F73" s="1">
        <x:v>1.0</x:v>
      </x:c>
      <x:c r="G73" s="1">
        <x:v>1.0</x:v>
      </x:c>
      <x:c r="H73" s="1">
        <x:v>0.0</x:v>
      </x:c>
      <x:c r="I73" s="1">
        <x:v>0.0</x:v>
      </x:c>
      <x:c r="J73" s="1">
        <x:v>231.2</x:v>
      </x:c>
      <x:c r="K73" s="18">
        <x:f t="shared" si="1"/>
        <x:v>0.06197387518</x:v>
      </x:c>
      <x:c r="L73" s="18">
        <x:f t="shared" si="2"/>
        <x:v>51.81058275</x:v>
      </x:c>
      <x:c r="M73" s="121"/>
      <x:c r="N73" s="121"/>
      <x:c r="O73" s="121"/>
      <x:c r="P73" s="9"/>
      <x:c r="Q73" s="9"/>
      <x:c r="R73" s="9"/>
      <x:c r="S73" s="9"/>
      <x:c r="T73" s="9"/>
      <x:c r="U73" s="9"/>
      <x:c r="V73" s="9"/>
      <x:c r="W73" s="9"/>
      <x:c r="X73" s="9"/>
      <x:c r="Y73" s="9"/>
      <x:c r="Z73" s="9"/>
    </x:row>
    <x:row r="74" ht="14.25" customHeight="1">
      <x:c r="B74" s="1" t="s">
        <x:v>489</x:v>
      </x:c>
      <x:c r="C74" s="1">
        <x:v>65.0</x:v>
      </x:c>
      <x:c r="D74" s="1">
        <x:v>926.0</x:v>
      </x:c>
      <x:c r="E74" s="1">
        <x:v>6.0</x:v>
      </x:c>
      <x:c r="F74" s="1">
        <x:v>0.0</x:v>
      </x:c>
      <x:c r="G74" s="1">
        <x:v>0.0</x:v>
      </x:c>
      <x:c r="H74" s="1">
        <x:v>0.0</x:v>
      </x:c>
      <x:c r="I74" s="1">
        <x:v>0.6</x:v>
      </x:c>
      <x:c r="J74" s="1">
        <x:v>210.7</x:v>
      </x:c>
      <x:c r="K74" s="18">
        <x:f t="shared" si="1"/>
        <x:v>0</x:v>
      </x:c>
      <x:c r="L74" s="18">
        <x:f t="shared" si="2"/>
        <x:v>45.54452214</x:v>
      </x:c>
      <x:c r="M74" s="121"/>
      <x:c r="N74" s="121"/>
      <x:c r="O74" s="121"/>
      <x:c r="P74" s="9"/>
      <x:c r="Q74" s="9"/>
      <x:c r="R74" s="9"/>
      <x:c r="S74" s="9"/>
      <x:c r="T74" s="9"/>
      <x:c r="U74" s="9"/>
      <x:c r="V74" s="9"/>
      <x:c r="W74" s="9"/>
      <x:c r="X74" s="9"/>
      <x:c r="Y74" s="9"/>
      <x:c r="Z74" s="9"/>
    </x:row>
    <x:row r="75" ht="14.25" customHeight="1">
      <x:c r="A75" s="1" t="s">
        <x:v>757</x:v>
      </x:c>
      <x:c r="B75" s="1" t="s">
        <x:v>487</x:v>
      </x:c>
      <x:c r="C75" s="1">
        <x:v>69.4</x:v>
      </x:c>
      <x:c r="D75" s="1">
        <x:v>905.1</x:v>
      </x:c>
      <x:c r="E75" s="1">
        <x:v>7.0</x:v>
      </x:c>
      <x:c r="F75" s="1">
        <x:v>10.3</x:v>
      </x:c>
      <x:c r="G75" s="1">
        <x:v>54.0</x:v>
      </x:c>
      <x:c r="H75" s="1">
        <x:v>0.5</x:v>
      </x:c>
      <x:c r="I75" s="1">
        <x:v>0.8</x:v>
      </x:c>
      <x:c r="J75" s="1">
        <x:v>208.5</x:v>
      </x:c>
      <x:c r="K75" s="18">
        <x:f t="shared" si="1"/>
        <x:v>3.34658926</x:v>
      </x:c>
      <x:c r="L75" s="18">
        <x:f t="shared" si="2"/>
        <x:v>44.51657343</x:v>
      </x:c>
      <x:c r="M75" s="119" t="n">
        <x:f>C77*Scoring!$B$34+D77/Scoring!$C$34+E77*Scoring!$D$34+WR!F77*Scoring!$E$34+WR!G77/Scoring!$F$34+WR!H77*Scoring!$G$34+WR!I77*Scoring!$H$34+K77*Scoring!$I$34+WR!L77*Scoring!$J$34+U75</x:f>
        <x:v>153.7</x:v>
      </x:c>
      <x:c r="N75" s="119" t="n">
        <x:f>C75*Scoring!$B$34+D75/Scoring!$C$34+E75*Scoring!$D$34+WR!F75*Scoring!$E$34+WR!G75/Scoring!$F$34+WR!H75*Scoring!$G$34+WR!I75*Scoring!$H$34+K75*Scoring!$I$34+WR!L75*Scoring!$J$34+U75</x:f>
        <x:v>174.81</x:v>
      </x:c>
      <x:c r="O75" s="119" t="n">
        <x:f>C76*Scoring!$B$34+D76/Scoring!$C$34+E76*Scoring!$D$34+WR!F76*Scoring!$E$34+WR!G76/Scoring!$F$34+WR!H76*Scoring!$G$34+WR!I76*Scoring!$H$34+K76*Scoring!$I$34+WR!L76*Scoring!$J$34+U75</x:f>
        <x:v>192.5</x:v>
      </x:c>
      <x:c r="P75" s="9" t="n">
        <x:f>IF(COUNTIF(Rookies!$A:$A,A75)&gt;0,1,0)</x:f>
        <x:v>0</x:v>
      </x:c>
      <x:c r="Q75" s="9"/>
      <x:c r="R75" s="9"/>
      <x:c r="S75" s="9" t="n">
        <x:f>V75/17</x:f>
        <x:v>10.282941176470588</x:v>
      </x:c>
      <x:c r="T75" s="9" t="n">
        <x:f>IF(P75=1,MAX(0,0.28*(12-S75)),0)</x:f>
        <x:v>0</x:v>
      </x:c>
      <x:c r="U75" s="9" t="n">
        <x:f>T75*17</x:f>
        <x:v>0</x:v>
      </x:c>
      <x:c r="V75" s="9" t="n">
        <x:f>C75*Scoring!$B$34+D75/Scoring!$C$34+E75*Scoring!$D$34+WR!F75*Scoring!$E$34+WR!G75/Scoring!$F$34+WR!H75*Scoring!$G$34+WR!I75*Scoring!$H$34+K75*Scoring!$I$34+WR!L75*Scoring!$J$34</x:f>
        <x:v>174.81</x:v>
      </x:c>
      <x:c r="W75" s="9"/>
      <x:c r="X75" s="9"/>
      <x:c r="Y75" s="9"/>
      <x:c r="Z75" s="9"/>
    </x:row>
    <x:row r="76" ht="14.25" customHeight="1">
      <x:c r="B76" s="1" t="s">
        <x:v>488</x:v>
      </x:c>
      <x:c r="C76" s="1">
        <x:v>71.0</x:v>
      </x:c>
      <x:c r="D76" s="1">
        <x:v>955.0</x:v>
      </x:c>
      <x:c r="E76" s="1">
        <x:v>8.0</x:v>
      </x:c>
      <x:c r="F76" s="1">
        <x:v>16.0</x:v>
      </x:c>
      <x:c r="G76" s="1">
        <x:v>81.0</x:v>
      </x:c>
      <x:c r="H76" s="1">
        <x:v>1.0</x:v>
      </x:c>
      <x:c r="I76" s="1">
        <x:v>0.6</x:v>
      </x:c>
      <x:c r="J76" s="1">
        <x:v>240.9</x:v>
      </x:c>
      <x:c r="K76" s="18">
        <x:f t="shared" si="1"/>
        <x:v>5.01988389</x:v>
      </x:c>
      <x:c r="L76" s="18">
        <x:f t="shared" si="2"/>
        <x:v>46.97086247</x:v>
      </x:c>
      <x:c r="M76" s="121"/>
      <x:c r="N76" s="121"/>
      <x:c r="O76" s="121"/>
      <x:c r="P76" s="9"/>
      <x:c r="Q76" s="9"/>
      <x:c r="R76" s="9"/>
      <x:c r="S76" s="9"/>
      <x:c r="T76" s="9"/>
      <x:c r="U76" s="9"/>
      <x:c r="V76" s="9"/>
      <x:c r="W76" s="9"/>
      <x:c r="X76" s="9"/>
      <x:c r="Y76" s="9"/>
      <x:c r="Z76" s="9"/>
    </x:row>
    <x:row r="77" ht="14.25" customHeight="1">
      <x:c r="B77" s="1" t="s">
        <x:v>489</x:v>
      </x:c>
      <x:c r="C77" s="1">
        <x:v>67.2</x:v>
      </x:c>
      <x:c r="D77" s="1">
        <x:v>815.0</x:v>
      </x:c>
      <x:c r="E77" s="1">
        <x:v>6.0</x:v>
      </x:c>
      <x:c r="F77" s="1">
        <x:v>6.9</x:v>
      </x:c>
      <x:c r="G77" s="1">
        <x:v>36.0</x:v>
      </x:c>
      <x:c r="H77" s="1">
        <x:v>0.0</x:v>
      </x:c>
      <x:c r="I77" s="1">
        <x:v>1.0</x:v>
      </x:c>
      <x:c r="J77" s="1">
        <x:v>196.4</x:v>
      </x:c>
      <x:c r="K77" s="18">
        <x:f t="shared" si="1"/>
        <x:v>2.231059507</x:v>
      </x:c>
      <x:c r="L77" s="18">
        <x:f t="shared" si="2"/>
        <x:v>40.08508159</x:v>
      </x:c>
      <x:c r="M77" s="121"/>
      <x:c r="N77" s="121"/>
      <x:c r="O77" s="121"/>
      <x:c r="P77" s="9"/>
      <x:c r="Q77" s="9"/>
      <x:c r="R77" s="9"/>
      <x:c r="S77" s="9"/>
      <x:c r="T77" s="9"/>
      <x:c r="U77" s="9"/>
      <x:c r="V77" s="9"/>
      <x:c r="W77" s="9"/>
      <x:c r="X77" s="9"/>
      <x:c r="Y77" s="9"/>
      <x:c r="Z77" s="9"/>
    </x:row>
    <x:row r="78" ht="14.25" customHeight="1">
      <x:c r="A78" s="1" t="s">
        <x:v>758</x:v>
      </x:c>
      <x:c r="B78" s="1" t="s">
        <x:v>511</x:v>
      </x:c>
      <x:c r="C78" s="1">
        <x:v>72.7</x:v>
      </x:c>
      <x:c r="D78" s="1">
        <x:v>972.7</x:v>
      </x:c>
      <x:c r="E78" s="1">
        <x:v>5.7</x:v>
      </x:c>
      <x:c r="F78" s="1">
        <x:v>7.7</x:v>
      </x:c>
      <x:c r="G78" s="1">
        <x:v>38.2</x:v>
      </x:c>
      <x:c r="H78" s="1">
        <x:v>0.1</x:v>
      </x:c>
      <x:c r="I78" s="1">
        <x:v>0.3</x:v>
      </x:c>
      <x:c r="J78" s="1">
        <x:v>208.0</x:v>
      </x:c>
      <x:c r="K78" s="18">
        <x:f t="shared" si="1"/>
        <x:v>2.367402032</x:v>
      </x:c>
      <x:c r="L78" s="18">
        <x:f t="shared" si="2"/>
        <x:v>47.84142191</x:v>
      </x:c>
      <x:c r="M78" s="119" t="n">
        <x:f>C80*Scoring!$B$34+D80/Scoring!$C$34+E80*Scoring!$D$34+WR!F80*Scoring!$E$34+WR!G80/Scoring!$F$34+WR!H80*Scoring!$G$34+WR!I80*Scoring!$H$34+K80*Scoring!$I$34+WR!L80*Scoring!$J$34+U78</x:f>
        <x:v>160.7</x:v>
      </x:c>
      <x:c r="N78" s="119" t="n">
        <x:f>C78*Scoring!$B$34+D78/Scoring!$C$34+E78*Scoring!$D$34+WR!F78*Scoring!$E$34+WR!G78/Scoring!$F$34+WR!H78*Scoring!$G$34+WR!I78*Scoring!$H$34+K78*Scoring!$I$34+WR!L78*Scoring!$J$34+U78</x:f>
        <x:v>171.93999999999997</x:v>
      </x:c>
      <x:c r="O78" s="119" t="n">
        <x:f>C79*Scoring!$B$34+D79/Scoring!$C$34+E79*Scoring!$D$34+WR!F79*Scoring!$E$34+WR!G79/Scoring!$F$34+WR!H79*Scoring!$G$34+WR!I79*Scoring!$H$34+K79*Scoring!$I$34+WR!L79*Scoring!$J$34+U78</x:f>
        <x:v>186.4</x:v>
      </x:c>
      <x:c r="P78" s="9" t="n">
        <x:f>IF(COUNTIF(Rookies!$A:$A,A78)&gt;0,1,0)</x:f>
        <x:v>0</x:v>
      </x:c>
      <x:c r="Q78" s="9"/>
      <x:c r="R78" s="9"/>
      <x:c r="S78" s="9" t="n">
        <x:f>V78/17</x:f>
        <x:v>10.114117647058821</x:v>
      </x:c>
      <x:c r="T78" s="9" t="n">
        <x:f>IF(P78=1,MAX(0,0.28*(12-S78)),0)</x:f>
        <x:v>0</x:v>
      </x:c>
      <x:c r="U78" s="9" t="n">
        <x:f>T78*17</x:f>
        <x:v>0</x:v>
      </x:c>
      <x:c r="V78" s="9" t="n">
        <x:f>C78*Scoring!$B$34+D78/Scoring!$C$34+E78*Scoring!$D$34+WR!F78*Scoring!$E$34+WR!G78/Scoring!$F$34+WR!H78*Scoring!$G$34+WR!I78*Scoring!$H$34+K78*Scoring!$I$34+WR!L78*Scoring!$J$34</x:f>
        <x:v>171.93999999999997</x:v>
      </x:c>
      <x:c r="W78" s="9"/>
      <x:c r="X78" s="9"/>
      <x:c r="Y78" s="9"/>
      <x:c r="Z78" s="9"/>
    </x:row>
    <x:row r="79" ht="14.25" customHeight="1">
      <x:c r="B79" s="1" t="s">
        <x:v>488</x:v>
      </x:c>
      <x:c r="C79" s="1">
        <x:v>75.1</x:v>
      </x:c>
      <x:c r="D79" s="1">
        <x:v>1055.0</x:v>
      </x:c>
      <x:c r="E79" s="1">
        <x:v>6.0</x:v>
      </x:c>
      <x:c r="F79" s="1">
        <x:v>9.1</x:v>
      </x:c>
      <x:c r="G79" s="1">
        <x:v>49.5</x:v>
      </x:c>
      <x:c r="H79" s="1">
        <x:v>0.4</x:v>
      </x:c>
      <x:c r="I79" s="1">
        <x:v>0.0</x:v>
      </x:c>
      <x:c r="J79" s="1">
        <x:v>239.6</x:v>
      </x:c>
      <x:c r="K79" s="18">
        <x:f t="shared" si="1"/>
        <x:v>3.067706821</x:v>
      </x:c>
      <x:c r="L79" s="18">
        <x:f t="shared" si="2"/>
        <x:v>51.88927739</x:v>
      </x:c>
      <x:c r="M79" s="121"/>
      <x:c r="N79" s="121"/>
      <x:c r="O79" s="121"/>
      <x:c r="P79" s="9"/>
      <x:c r="Q79" s="9"/>
      <x:c r="R79" s="9"/>
      <x:c r="S79" s="9"/>
      <x:c r="T79" s="9"/>
      <x:c r="U79" s="9"/>
      <x:c r="V79" s="9"/>
      <x:c r="W79" s="9"/>
      <x:c r="X79" s="9"/>
      <x:c r="Y79" s="9"/>
      <x:c r="Z79" s="9"/>
    </x:row>
    <x:row r="80" ht="14.25" customHeight="1">
      <x:c r="B80" s="1" t="s">
        <x:v>489</x:v>
      </x:c>
      <x:c r="C80" s="1">
        <x:v>70.0</x:v>
      </x:c>
      <x:c r="D80" s="1">
        <x:v>926.0</x:v>
      </x:c>
      <x:c r="E80" s="1">
        <x:v>5.1</x:v>
      </x:c>
      <x:c r="F80" s="1">
        <x:v>6.0</x:v>
      </x:c>
      <x:c r="G80" s="1">
        <x:v>32.0</x:v>
      </x:c>
      <x:c r="H80" s="1">
        <x:v>0.0</x:v>
      </x:c>
      <x:c r="I80" s="1">
        <x:v>0.7</x:v>
      </x:c>
      <x:c r="J80" s="1">
        <x:v>203.5</x:v>
      </x:c>
      <x:c r="K80" s="18">
        <x:f t="shared" si="1"/>
        <x:v>1.983164006</x:v>
      </x:c>
      <x:c r="L80" s="18">
        <x:f t="shared" si="2"/>
        <x:v>45.54452214</x:v>
      </x:c>
      <x:c r="M80" s="121"/>
      <x:c r="N80" s="121"/>
      <x:c r="O80" s="121"/>
      <x:c r="P80" s="9"/>
      <x:c r="Q80" s="9"/>
      <x:c r="R80" s="9"/>
      <x:c r="S80" s="9"/>
      <x:c r="T80" s="9"/>
      <x:c r="U80" s="9"/>
      <x:c r="V80" s="9"/>
      <x:c r="W80" s="9"/>
      <x:c r="X80" s="9"/>
      <x:c r="Y80" s="9"/>
      <x:c r="Z80" s="9"/>
    </x:row>
    <x:row r="81" ht="14.25" customHeight="1">
      <x:c r="A81" s="1" t="s">
        <x:v>759</x:v>
      </x:c>
      <x:c r="B81" s="1" t="s">
        <x:v>511</x:v>
      </x:c>
      <x:c r="C81" s="1">
        <x:v>62.4</x:v>
      </x:c>
      <x:c r="D81" s="1">
        <x:v>963.3</x:v>
      </x:c>
      <x:c r="E81" s="1">
        <x:v>7.8</x:v>
      </x:c>
      <x:c r="F81" s="1">
        <x:v>0.3</x:v>
      </x:c>
      <x:c r="G81" s="1">
        <x:v>1.3</x:v>
      </x:c>
      <x:c r="H81" s="1">
        <x:v>0.0</x:v>
      </x:c>
      <x:c r="I81" s="1">
        <x:v>0.3</x:v>
      </x:c>
      <x:c r="J81" s="1">
        <x:v>205.1</x:v>
      </x:c>
      <x:c r="K81" s="18">
        <x:f t="shared" si="1"/>
        <x:v>0.08056603774</x:v>
      </x:c>
      <x:c r="L81" s="18">
        <x:f t="shared" si="2"/>
        <x:v>47.37909091</x:v>
      </x:c>
      <x:c r="M81" s="119" t="n">
        <x:f>C83*Scoring!$B$34+D83/Scoring!$C$34+E83*Scoring!$D$34+WR!F83*Scoring!$E$34+WR!G83/Scoring!$F$34+WR!H83*Scoring!$G$34+WR!I83*Scoring!$H$34+K83*Scoring!$I$34+WR!L83*Scoring!$J$34+U81</x:f>
        <x:v>162.65</x:v>
      </x:c>
      <x:c r="N81" s="119" t="n">
        <x:f>C81*Scoring!$B$34+D81/Scoring!$C$34+E81*Scoring!$D$34+WR!F81*Scoring!$E$34+WR!G81/Scoring!$F$34+WR!H81*Scoring!$G$34+WR!I81*Scoring!$H$34+K81*Scoring!$I$34+WR!L81*Scoring!$J$34+U81</x:f>
        <x:v>174.15999999999997</x:v>
      </x:c>
      <x:c r="O81" s="119" t="n">
        <x:f>C82*Scoring!$B$34+D82/Scoring!$C$34+E82*Scoring!$D$34+WR!F82*Scoring!$E$34+WR!G82/Scoring!$F$34+WR!H82*Scoring!$G$34+WR!I82*Scoring!$H$34+K82*Scoring!$I$34+WR!L82*Scoring!$J$34+U81</x:f>
        <x:v>186.20000000000002</x:v>
      </x:c>
      <x:c r="P81" s="9" t="n">
        <x:f>IF(COUNTIF(Rookies!$A:$A,A81)&gt;0,1,0)</x:f>
        <x:v>0</x:v>
      </x:c>
      <x:c r="Q81" s="9"/>
      <x:c r="R81" s="9"/>
      <x:c r="S81" s="9" t="n">
        <x:f>V81/17</x:f>
        <x:v>10.244705882352939</x:v>
      </x:c>
      <x:c r="T81" s="9" t="n">
        <x:f>IF(P81=1,MAX(0,0.28*(12-S81)),0)</x:f>
        <x:v>0</x:v>
      </x:c>
      <x:c r="U81" s="9" t="n">
        <x:f>T81*17</x:f>
        <x:v>0</x:v>
      </x:c>
      <x:c r="V81" s="9" t="n">
        <x:f>C81*Scoring!$B$34+D81/Scoring!$C$34+E81*Scoring!$D$34+WR!F81*Scoring!$E$34+WR!G81/Scoring!$F$34+WR!H81*Scoring!$G$34+WR!I81*Scoring!$H$34+K81*Scoring!$I$34+WR!L81*Scoring!$J$34</x:f>
        <x:v>174.15999999999997</x:v>
      </x:c>
      <x:c r="W81" s="9"/>
      <x:c r="X81" s="9"/>
      <x:c r="Y81" s="9"/>
      <x:c r="Z81" s="9"/>
    </x:row>
    <x:row r="82" ht="14.25" customHeight="1">
      <x:c r="B82" s="1" t="s">
        <x:v>488</x:v>
      </x:c>
      <x:c r="C82" s="1">
        <x:v>65.0</x:v>
      </x:c>
      <x:c r="D82" s="1">
        <x:v>1029.0</x:v>
      </x:c>
      <x:c r="E82" s="1">
        <x:v>8.4</x:v>
      </x:c>
      <x:c r="F82" s="1">
        <x:v>1.0</x:v>
      </x:c>
      <x:c r="G82" s="1">
        <x:v>4.0</x:v>
      </x:c>
      <x:c r="H82" s="1">
        <x:v>0.0</x:v>
      </x:c>
      <x:c r="I82" s="1">
        <x:v>0.0</x:v>
      </x:c>
      <x:c r="J82" s="1">
        <x:v>231.4</x:v>
      </x:c>
      <x:c r="K82" s="18">
        <x:f t="shared" si="1"/>
        <x:v>0.2478955007</x:v>
      </x:c>
      <x:c r="L82" s="18">
        <x:f t="shared" si="2"/>
        <x:v>50.61048951</x:v>
      </x:c>
      <x:c r="M82" s="121"/>
      <x:c r="N82" s="121"/>
      <x:c r="O82" s="121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</x:row>
    <x:row r="83" ht="14.25" customHeight="1">
      <x:c r="B83" s="1" t="s">
        <x:v>489</x:v>
      </x:c>
      <x:c r="C83" s="1">
        <x:v>59.3</x:v>
      </x:c>
      <x:c r="D83" s="1">
        <x:v>916.0</x:v>
      </x:c>
      <x:c r="E83" s="1">
        <x:v>7.0</x:v>
      </x:c>
      <x:c r="F83" s="1">
        <x:v>0.0</x:v>
      </x:c>
      <x:c r="G83" s="1">
        <x:v>0.0</x:v>
      </x:c>
      <x:c r="H83" s="1">
        <x:v>0.0</x:v>
      </x:c>
      <x:c r="I83" s="1">
        <x:v>0.6</x:v>
      </x:c>
      <x:c r="J83" s="1">
        <x:v>193.4</x:v>
      </x:c>
      <x:c r="K83" s="18">
        <x:f t="shared" si="1"/>
        <x:v>0</x:v>
      </x:c>
      <x:c r="L83" s="18">
        <x:f t="shared" si="2"/>
        <x:v>45.05268065</x:v>
      </x:c>
      <x:c r="M83" s="121"/>
      <x:c r="N83" s="121"/>
      <x:c r="O83" s="121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</x:row>
    <x:row r="84" ht="14.25" customHeight="1">
      <x:c r="A84" s="1" t="s">
        <x:v>760</x:v>
      </x:c>
      <x:c r="B84" s="1" t="s">
        <x:v>503</x:v>
      </x:c>
      <x:c r="C84" s="1">
        <x:v>67.4</x:v>
      </x:c>
      <x:c r="D84" s="1">
        <x:v>948.7</x:v>
      </x:c>
      <x:c r="E84" s="1">
        <x:v>7.0</x:v>
      </x:c>
      <x:c r="F84" s="1">
        <x:v>0.0</x:v>
      </x:c>
      <x:c r="G84" s="1">
        <x:v>0.0</x:v>
      </x:c>
      <x:c r="H84" s="1">
        <x:v>0.0</x:v>
      </x:c>
      <x:c r="I84" s="1">
        <x:v>0.2</x:v>
      </x:c>
      <x:c r="J84" s="1">
        <x:v>203.6</x:v>
      </x:c>
      <x:c r="K84" s="18">
        <x:f t="shared" si="1"/>
        <x:v>0</x:v>
      </x:c>
      <x:c r="L84" s="18">
        <x:f t="shared" si="2"/>
        <x:v>46.66100233</x:v>
      </x:c>
      <x:c r="M84" s="119" t="n">
        <x:f>C86*Scoring!$B$34+D86/Scoring!$C$34+E86*Scoring!$D$34+WR!F86*Scoring!$E$34+WR!G86/Scoring!$F$34+WR!H86*Scoring!$G$34+WR!I86*Scoring!$H$34+K86*Scoring!$I$34+WR!L86*Scoring!$J$34+U84</x:f>
        <x:v>153.87</x:v>
      </x:c>
      <x:c r="N84" s="119" t="n">
        <x:f>C84*Scoring!$B$34+D84/Scoring!$C$34+E84*Scoring!$D$34+WR!F84*Scoring!$E$34+WR!G84/Scoring!$F$34+WR!H84*Scoring!$G$34+WR!I84*Scoring!$H$34+K84*Scoring!$I$34+WR!L84*Scoring!$J$34+U84</x:f>
        <x:v>170.37</x:v>
      </x:c>
      <x:c r="O84" s="119" t="n">
        <x:f>C85*Scoring!$B$34+D85/Scoring!$C$34+E85*Scoring!$D$34+WR!F85*Scoring!$E$34+WR!G85/Scoring!$F$34+WR!H85*Scoring!$G$34+WR!I85*Scoring!$H$34+K85*Scoring!$I$34+WR!L85*Scoring!$J$34+U84</x:f>
        <x:v>184.8</x:v>
      </x:c>
      <x:c r="P84" s="9" t="n">
        <x:f>IF(COUNTIF(Rookies!$A:$A,A84)&gt;0,1,0)</x:f>
        <x:v>0</x:v>
      </x:c>
      <x:c r="Q84" s="9"/>
      <x:c r="R84" s="9"/>
      <x:c r="S84" s="9" t="n">
        <x:f>V84/17</x:f>
        <x:v>10.021764705882353</x:v>
      </x:c>
      <x:c r="T84" s="9" t="n">
        <x:f>IF(P84=1,MAX(0,0.28*(12-S84)),0)</x:f>
        <x:v>0</x:v>
      </x:c>
      <x:c r="U84" s="9" t="n">
        <x:f>T84*17</x:f>
        <x:v>0</x:v>
      </x:c>
      <x:c r="V84" s="9" t="n">
        <x:f>C84*Scoring!$B$34+D84/Scoring!$C$34+E84*Scoring!$D$34+WR!F84*Scoring!$E$34+WR!G84/Scoring!$F$34+WR!H84*Scoring!$G$34+WR!I84*Scoring!$H$34+K84*Scoring!$I$34+WR!L84*Scoring!$J$34</x:f>
        <x:v>170.37</x:v>
      </x:c>
      <x:c r="W84" s="9"/>
      <x:c r="X84" s="9"/>
      <x:c r="Y84" s="9"/>
      <x:c r="Z84" s="9"/>
    </x:row>
    <x:row r="85" ht="14.25" customHeight="1">
      <x:c r="B85" s="1" t="s">
        <x:v>488</x:v>
      </x:c>
      <x:c r="C85" s="1">
        <x:v>76.0</x:v>
      </x:c>
      <x:c r="D85" s="1">
        <x:v>988.0</x:v>
      </x:c>
      <x:c r="E85" s="1">
        <x:v>8.0</x:v>
      </x:c>
      <x:c r="F85" s="1">
        <x:v>0.0</x:v>
      </x:c>
      <x:c r="G85" s="1">
        <x:v>0.0</x:v>
      </x:c>
      <x:c r="H85" s="1">
        <x:v>0.0</x:v>
      </x:c>
      <x:c r="I85" s="1">
        <x:v>0.0</x:v>
      </x:c>
      <x:c r="J85" s="1">
        <x:v>239.4</x:v>
      </x:c>
      <x:c r="K85" s="18">
        <x:f t="shared" si="1"/>
        <x:v>0</x:v>
      </x:c>
      <x:c r="L85" s="18">
        <x:f t="shared" si="2"/>
        <x:v>48.59393939</x:v>
      </x:c>
      <x:c r="M85" s="121"/>
      <x:c r="N85" s="121"/>
      <x:c r="O85" s="121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</x:row>
    <x:row r="86" ht="14.25" customHeight="1">
      <x:c r="B86" s="1" t="s">
        <x:v>489</x:v>
      </x:c>
      <x:c r="C86" s="1">
        <x:v>57.1</x:v>
      </x:c>
      <x:c r="D86" s="1">
        <x:v>903.2</x:v>
      </x:c>
      <x:c r="E86" s="1">
        <x:v>5.9</x:v>
      </x:c>
      <x:c r="F86" s="1">
        <x:v>0.0</x:v>
      </x:c>
      <x:c r="G86" s="1">
        <x:v>0.0</x:v>
      </x:c>
      <x:c r="H86" s="1">
        <x:v>0.0</x:v>
      </x:c>
      <x:c r="I86" s="1">
        <x:v>0.4</x:v>
      </x:c>
      <x:c r="J86" s="1">
        <x:v>192.8</x:v>
      </x:c>
      <x:c r="K86" s="18">
        <x:f t="shared" si="1"/>
        <x:v>0</x:v>
      </x:c>
      <x:c r="L86" s="18">
        <x:f t="shared" si="2"/>
        <x:v>44.42312354</x:v>
      </x:c>
      <x:c r="M86" s="121"/>
      <x:c r="N86" s="121"/>
      <x:c r="O86" s="121"/>
      <x:c r="P86" s="9"/>
      <x:c r="Q86" s="9"/>
      <x:c r="R86" s="9"/>
      <x:c r="S86" s="9"/>
      <x:c r="T86" s="9"/>
      <x:c r="U86" s="9"/>
      <x:c r="V86" s="9"/>
      <x:c r="W86" s="9"/>
      <x:c r="X86" s="9"/>
      <x:c r="Y86" s="9"/>
      <x:c r="Z86" s="9"/>
    </x:row>
    <x:row r="87" ht="14.25" customHeight="1">
      <x:c r="A87" s="1" t="s">
        <x:v>761</x:v>
      </x:c>
      <x:c r="B87" s="1" t="s">
        <x:v>543</x:v>
      </x:c>
      <x:c r="C87" s="1">
        <x:v>67.3</x:v>
      </x:c>
      <x:c r="D87" s="1">
        <x:v>961.4</x:v>
      </x:c>
      <x:c r="E87" s="1">
        <x:v>6.0</x:v>
      </x:c>
      <x:c r="F87" s="1">
        <x:v>0.0</x:v>
      </x:c>
      <x:c r="G87" s="1">
        <x:v>0.0</x:v>
      </x:c>
      <x:c r="H87" s="1">
        <x:v>0.0</x:v>
      </x:c>
      <x:c r="I87" s="1">
        <x:v>0.3</x:v>
      </x:c>
      <x:c r="J87" s="1">
        <x:v>198.9</x:v>
      </x:c>
      <x:c r="K87" s="18">
        <x:f t="shared" si="1"/>
        <x:v>0</x:v>
      </x:c>
      <x:c r="L87" s="18">
        <x:f t="shared" si="2"/>
        <x:v>47.28564103</x:v>
      </x:c>
      <x:c r="M87" s="119" t="n">
        <x:f>C89*Scoring!$B$34+D89/Scoring!$C$34+E89*Scoring!$D$34+WR!F89*Scoring!$E$34+WR!G89/Scoring!$F$34+WR!H89*Scoring!$G$34+WR!I89*Scoring!$H$34+K89*Scoring!$I$34+WR!L89*Scoring!$J$34+U87</x:f>
        <x:v>154.70000000000002</x:v>
      </x:c>
      <x:c r="N87" s="119" t="n">
        <x:f>C87*Scoring!$B$34+D87/Scoring!$C$34+E87*Scoring!$D$34+WR!F87*Scoring!$E$34+WR!G87/Scoring!$F$34+WR!H87*Scoring!$G$34+WR!I87*Scoring!$H$34+K87*Scoring!$I$34+WR!L87*Scoring!$J$34+U87</x:f>
        <x:v>165.48999999999998</x:v>
      </x:c>
      <x:c r="O87" s="119" t="n">
        <x:f>C88*Scoring!$B$34+D88/Scoring!$C$34+E88*Scoring!$D$34+WR!F88*Scoring!$E$34+WR!G88/Scoring!$F$34+WR!H88*Scoring!$G$34+WR!I88*Scoring!$H$34+K88*Scoring!$I$34+WR!L88*Scoring!$J$34+U87</x:f>
        <x:v>176.2</x:v>
      </x:c>
      <x:c r="P87" s="9" t="n">
        <x:f>IF(COUNTIF(Rookies!$A:$A,A87)&gt;0,1,0)</x:f>
        <x:v>0</x:v>
      </x:c>
      <x:c r="Q87" s="9"/>
      <x:c r="R87" s="9"/>
      <x:c r="S87" s="9" t="n">
        <x:f>V87/17</x:f>
        <x:v>9.73470588235294</x:v>
      </x:c>
      <x:c r="T87" s="9" t="n">
        <x:f>IF(P87=1,MAX(0,0.28*(12-S87)),0)</x:f>
        <x:v>0</x:v>
      </x:c>
      <x:c r="U87" s="9" t="n">
        <x:f>T87*17</x:f>
        <x:v>0</x:v>
      </x:c>
      <x:c r="V87" s="9" t="n">
        <x:f>C87*Scoring!$B$34+D87/Scoring!$C$34+E87*Scoring!$D$34+WR!F87*Scoring!$E$34+WR!G87/Scoring!$F$34+WR!H87*Scoring!$G$34+WR!I87*Scoring!$H$34+K87*Scoring!$I$34+WR!L87*Scoring!$J$34</x:f>
        <x:v>165.48999999999998</x:v>
      </x:c>
      <x:c r="W87" s="9"/>
      <x:c r="X87" s="9"/>
      <x:c r="Y87" s="9"/>
      <x:c r="Z87" s="9"/>
    </x:row>
    <x:row r="88" ht="14.25" customHeight="1">
      <x:c r="B88" s="1" t="s">
        <x:v>488</x:v>
      </x:c>
      <x:c r="C88" s="1">
        <x:v>69.0</x:v>
      </x:c>
      <x:c r="D88" s="1">
        <x:v>997.0</x:v>
      </x:c>
      <x:c r="E88" s="1">
        <x:v>7.0</x:v>
      </x:c>
      <x:c r="F88" s="1">
        <x:v>0.0</x:v>
      </x:c>
      <x:c r="G88" s="1">
        <x:v>0.0</x:v>
      </x:c>
      <x:c r="H88" s="1">
        <x:v>0.0</x:v>
      </x:c>
      <x:c r="I88" s="1">
        <x:v>0.0</x:v>
      </x:c>
      <x:c r="J88" s="1">
        <x:v>228.6</x:v>
      </x:c>
      <x:c r="K88" s="18">
        <x:f t="shared" si="1"/>
        <x:v>0</x:v>
      </x:c>
      <x:c r="L88" s="18">
        <x:f t="shared" si="2"/>
        <x:v>49.03659674</x:v>
      </x:c>
      <x:c r="M88" s="121"/>
      <x:c r="N88" s="121"/>
      <x:c r="O88" s="121"/>
      <x:c r="P88" s="9"/>
      <x:c r="Q88" s="9"/>
      <x:c r="R88" s="9"/>
      <x:c r="S88" s="9"/>
      <x:c r="T88" s="9"/>
      <x:c r="U88" s="9"/>
      <x:c r="V88" s="9"/>
      <x:c r="W88" s="9"/>
      <x:c r="X88" s="9"/>
      <x:c r="Y88" s="9"/>
      <x:c r="Z88" s="9"/>
    </x:row>
    <x:row r="89" ht="14.25" customHeight="1">
      <x:c r="B89" s="1" t="s">
        <x:v>489</x:v>
      </x:c>
      <x:c r="C89" s="1">
        <x:v>64.0</x:v>
      </x:c>
      <x:c r="D89" s="1">
        <x:v>933.0</x:v>
      </x:c>
      <x:c r="E89" s="1">
        <x:v>5.0</x:v>
      </x:c>
      <x:c r="F89" s="1">
        <x:v>0.0</x:v>
      </x:c>
      <x:c r="G89" s="1">
        <x:v>0.0</x:v>
      </x:c>
      <x:c r="H89" s="1">
        <x:v>0.0</x:v>
      </x:c>
      <x:c r="I89" s="1">
        <x:v>0.6</x:v>
      </x:c>
      <x:c r="J89" s="1">
        <x:v>192.3</x:v>
      </x:c>
      <x:c r="K89" s="18">
        <x:f t="shared" si="1"/>
        <x:v>0</x:v>
      </x:c>
      <x:c r="L89" s="18">
        <x:f t="shared" si="2"/>
        <x:v>45.88881119</x:v>
      </x:c>
      <x:c r="M89" s="121"/>
      <x:c r="N89" s="121"/>
      <x:c r="O89" s="121"/>
      <x:c r="P89" s="9"/>
      <x:c r="Q89" s="9"/>
      <x:c r="R89" s="9"/>
      <x:c r="S89" s="9"/>
      <x:c r="T89" s="9"/>
      <x:c r="U89" s="9"/>
      <x:c r="V89" s="9"/>
      <x:c r="W89" s="9"/>
      <x:c r="X89" s="9"/>
      <x:c r="Y89" s="9"/>
      <x:c r="Z89" s="9"/>
    </x:row>
    <x:row r="90" ht="14.25" customHeight="1">
      <x:c r="A90" s="1" t="s">
        <x:v>762</x:v>
      </x:c>
      <x:c r="B90" s="1" t="s">
        <x:v>515</x:v>
      </x:c>
      <x:c r="C90" s="1">
        <x:v>67.4</x:v>
      </x:c>
      <x:c r="D90" s="1">
        <x:v>884.3</x:v>
      </x:c>
      <x:c r="E90" s="1">
        <x:v>7.2</x:v>
      </x:c>
      <x:c r="F90" s="1">
        <x:v>0.0</x:v>
      </x:c>
      <x:c r="G90" s="1">
        <x:v>0.0</x:v>
      </x:c>
      <x:c r="H90" s="1">
        <x:v>0.0</x:v>
      </x:c>
      <x:c r="I90" s="1">
        <x:v>0.2</x:v>
      </x:c>
      <x:c r="J90" s="1">
        <x:v>198.6</x:v>
      </x:c>
      <x:c r="K90" s="18">
        <x:f t="shared" si="1"/>
        <x:v>0</x:v>
      </x:c>
      <x:c r="L90" s="18">
        <x:f t="shared" si="2"/>
        <x:v>43.49354312</x:v>
      </x:c>
      <x:c r="M90" s="119" t="n">
        <x:f>C92*Scoring!$B$34+D92/Scoring!$C$34+E92*Scoring!$D$34+WR!F92*Scoring!$E$34+WR!G92/Scoring!$F$34+WR!H92*Scoring!$G$34+WR!I92*Scoring!$H$34+K92*Scoring!$I$34+WR!L92*Scoring!$J$34+U90</x:f>
        <x:v>157.8</x:v>
      </x:c>
      <x:c r="N90" s="119" t="n">
        <x:f>C90*Scoring!$B$34+D90/Scoring!$C$34+E90*Scoring!$D$34+WR!F90*Scoring!$E$34+WR!G90/Scoring!$F$34+WR!H90*Scoring!$G$34+WR!I90*Scoring!$H$34+K90*Scoring!$I$34+WR!L90*Scoring!$J$34+U90</x:f>
        <x:v>165.13</x:v>
      </x:c>
      <x:c r="O90" s="119" t="n">
        <x:f>C91*Scoring!$B$34+D91/Scoring!$C$34+E91*Scoring!$D$34+WR!F91*Scoring!$E$34+WR!G91/Scoring!$F$34+WR!H91*Scoring!$G$34+WR!I91*Scoring!$H$34+K91*Scoring!$I$34+WR!L91*Scoring!$J$34+U90</x:f>
        <x:v>171.6</x:v>
      </x:c>
      <x:c r="P90" s="9" t="n">
        <x:f>IF(COUNTIF(Rookies!$A:$A,A90)&gt;0,1,0)</x:f>
        <x:v>0</x:v>
      </x:c>
      <x:c r="Q90" s="9"/>
      <x:c r="R90" s="9"/>
      <x:c r="S90" s="9" t="n">
        <x:f>V90/17</x:f>
        <x:v>9.713529411764705</x:v>
      </x:c>
      <x:c r="T90" s="9" t="n">
        <x:f>IF(P90=1,MAX(0,0.28*(12-S90)),0)</x:f>
        <x:v>0</x:v>
      </x:c>
      <x:c r="U90" s="9" t="n">
        <x:f>T90*17</x:f>
        <x:v>0</x:v>
      </x:c>
      <x:c r="V90" s="9" t="n">
        <x:f>C90*Scoring!$B$34+D90/Scoring!$C$34+E90*Scoring!$D$34+WR!F90*Scoring!$E$34+WR!G90/Scoring!$F$34+WR!H90*Scoring!$G$34+WR!I90*Scoring!$H$34+K90*Scoring!$I$34+WR!L90*Scoring!$J$34</x:f>
        <x:v>165.13</x:v>
      </x:c>
      <x:c r="W90" s="9"/>
      <x:c r="X90" s="9"/>
      <x:c r="Y90" s="9"/>
      <x:c r="Z90" s="9"/>
    </x:row>
    <x:row r="91" ht="14.25" customHeight="1">
      <x:c r="B91" s="1" t="s">
        <x:v>488</x:v>
      </x:c>
      <x:c r="C91" s="1">
        <x:v>70.0</x:v>
      </x:c>
      <x:c r="D91" s="1">
        <x:v>910.0</x:v>
      </x:c>
      <x:c r="E91" s="1">
        <x:v>7.6</x:v>
      </x:c>
      <x:c r="F91" s="1">
        <x:v>0.0</x:v>
      </x:c>
      <x:c r="G91" s="1">
        <x:v>0.0</x:v>
      </x:c>
      <x:c r="H91" s="1">
        <x:v>0.0</x:v>
      </x:c>
      <x:c r="I91" s="1">
        <x:v>0.0</x:v>
      </x:c>
      <x:c r="J91" s="1">
        <x:v>225.7</x:v>
      </x:c>
      <x:c r="K91" s="18">
        <x:f t="shared" si="1"/>
        <x:v>0</x:v>
      </x:c>
      <x:c r="L91" s="18">
        <x:f t="shared" si="2"/>
        <x:v>44.75757576</x:v>
      </x:c>
      <x:c r="M91" s="121"/>
      <x:c r="N91" s="121"/>
      <x:c r="O91" s="121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</x:row>
    <x:row r="92" ht="14.25" customHeight="1">
      <x:c r="B92" s="1" t="s">
        <x:v>489</x:v>
      </x:c>
      <x:c r="C92" s="1">
        <x:v>63.0</x:v>
      </x:c>
      <x:c r="D92" s="1">
        <x:v>848.0</x:v>
      </x:c>
      <x:c r="E92" s="1">
        <x:v>7.0</x:v>
      </x:c>
      <x:c r="F92" s="1">
        <x:v>0.0</x:v>
      </x:c>
      <x:c r="G92" s="1">
        <x:v>0.0</x:v>
      </x:c>
      <x:c r="H92" s="1">
        <x:v>0.0</x:v>
      </x:c>
      <x:c r="I92" s="1">
        <x:v>0.5</x:v>
      </x:c>
      <x:c r="J92" s="1">
        <x:v>192.4</x:v>
      </x:c>
      <x:c r="K92" s="18">
        <x:f t="shared" si="1"/>
        <x:v>0</x:v>
      </x:c>
      <x:c r="L92" s="18">
        <x:f t="shared" si="2"/>
        <x:v>41.70815851</x:v>
      </x:c>
      <x:c r="M92" s="121"/>
      <x:c r="N92" s="121"/>
      <x:c r="O92" s="121"/>
      <x:c r="P92" s="9"/>
      <x:c r="Q92" s="9"/>
      <x:c r="R92" s="9"/>
      <x:c r="S92" s="9"/>
      <x:c r="T92" s="9"/>
      <x:c r="U92" s="9"/>
      <x:c r="V92" s="9"/>
      <x:c r="W92" s="9"/>
      <x:c r="X92" s="9"/>
      <x:c r="Y92" s="9"/>
      <x:c r="Z92" s="9"/>
    </x:row>
    <x:row r="93" ht="14.25" customHeight="1">
      <x:c r="A93" s="1" t="s">
        <x:v>763</x:v>
      </x:c>
      <x:c r="B93" s="1" t="s">
        <x:v>531</x:v>
      </x:c>
      <x:c r="C93" s="1">
        <x:v>57.9</x:v>
      </x:c>
      <x:c r="D93" s="1">
        <x:v>930.0</x:v>
      </x:c>
      <x:c r="E93" s="1">
        <x:v>7.3</x:v>
      </x:c>
      <x:c r="F93" s="1">
        <x:v>1.7</x:v>
      </x:c>
      <x:c r="G93" s="1">
        <x:v>8.0</x:v>
      </x:c>
      <x:c r="H93" s="1">
        <x:v>0.0</x:v>
      </x:c>
      <x:c r="I93" s="1">
        <x:v>0.3</x:v>
      </x:c>
      <x:c r="J93" s="1">
        <x:v>195.5</x:v>
      </x:c>
      <x:c r="K93" s="18">
        <x:f t="shared" si="1"/>
        <x:v>0.4957910015</x:v>
      </x:c>
      <x:c r="L93" s="18">
        <x:f t="shared" si="2"/>
        <x:v>45.74125874</x:v>
      </x:c>
      <x:c r="M93" s="119" t="n">
        <x:f>C95*Scoring!$B$34+D95/Scoring!$C$34+E95*Scoring!$D$34+WR!F95*Scoring!$E$34+WR!G95/Scoring!$F$34+WR!H95*Scoring!$G$34+WR!I95*Scoring!$H$34+K95*Scoring!$I$34+WR!L95*Scoring!$J$34+U93</x:f>
        <x:v>155.11</x:v>
      </x:c>
      <x:c r="N93" s="119" t="n">
        <x:f>C93*Scoring!$B$34+D93/Scoring!$C$34+E93*Scoring!$D$34+WR!F93*Scoring!$E$34+WR!G93/Scoring!$F$34+WR!H93*Scoring!$G$34+WR!I93*Scoring!$H$34+K93*Scoring!$I$34+WR!L93*Scoring!$J$34+U93</x:f>
        <x:v>166.25</x:v>
      </x:c>
      <x:c r="O93" s="119" t="n">
        <x:f>C94*Scoring!$B$34+D94/Scoring!$C$34+E94*Scoring!$D$34+WR!F94*Scoring!$E$34+WR!G94/Scoring!$F$34+WR!H94*Scoring!$G$34+WR!I94*Scoring!$H$34+K94*Scoring!$I$34+WR!L94*Scoring!$J$34+U93</x:f>
        <x:v>180.60999999999999</x:v>
      </x:c>
      <x:c r="P93" s="9" t="n">
        <x:f>IF(COUNTIF(Rookies!$A:$A,A93)&gt;0,1,0)</x:f>
        <x:v>0</x:v>
      </x:c>
      <x:c r="Q93" s="9"/>
      <x:c r="R93" s="9"/>
      <x:c r="S93" s="9" t="n">
        <x:f>V93/17</x:f>
        <x:v>9.779411764705882</x:v>
      </x:c>
      <x:c r="T93" s="9" t="n">
        <x:f>IF(P93=1,MAX(0,0.28*(12-S93)),0)</x:f>
        <x:v>0</x:v>
      </x:c>
      <x:c r="U93" s="9" t="n">
        <x:f>T93*17</x:f>
        <x:v>0</x:v>
      </x:c>
      <x:c r="V93" s="9" t="n">
        <x:f>C93*Scoring!$B$34+D93/Scoring!$C$34+E93*Scoring!$D$34+WR!F93*Scoring!$E$34+WR!G93/Scoring!$F$34+WR!H93*Scoring!$G$34+WR!I93*Scoring!$H$34+K93*Scoring!$I$34+WR!L93*Scoring!$J$34</x:f>
        <x:v>166.25</x:v>
      </x:c>
      <x:c r="W93" s="9"/>
      <x:c r="X93" s="9"/>
      <x:c r="Y93" s="9"/>
      <x:c r="Z93" s="9"/>
    </x:row>
    <x:row r="94" ht="14.25" customHeight="1">
      <x:c r="B94" s="1" t="s">
        <x:v>488</x:v>
      </x:c>
      <x:c r="C94" s="1">
        <x:v>65.0</x:v>
      </x:c>
      <x:c r="D94" s="1">
        <x:v>982.0</x:v>
      </x:c>
      <x:c r="E94" s="1">
        <x:v>8.0</x:v>
      </x:c>
      <x:c r="F94" s="1">
        <x:v>3.0</x:v>
      </x:c>
      <x:c r="G94" s="1">
        <x:v>13.1</x:v>
      </x:c>
      <x:c r="H94" s="1">
        <x:v>0.1</x:v>
      </x:c>
      <x:c r="I94" s="1">
        <x:v>0.0</x:v>
      </x:c>
      <x:c r="J94" s="1">
        <x:v>230.6</x:v>
      </x:c>
      <x:c r="K94" s="18">
        <x:f t="shared" si="1"/>
        <x:v>0.8118577649</x:v>
      </x:c>
      <x:c r="L94" s="18">
        <x:f t="shared" si="2"/>
        <x:v>48.2988345</x:v>
      </x:c>
      <x:c r="M94" s="121"/>
      <x:c r="N94" s="121"/>
      <x:c r="O94" s="121"/>
      <x:c r="P94" s="9"/>
      <x:c r="Q94" s="9"/>
      <x:c r="R94" s="9"/>
      <x:c r="S94" s="9"/>
      <x:c r="T94" s="9"/>
      <x:c r="U94" s="9"/>
      <x:c r="V94" s="9"/>
      <x:c r="W94" s="9"/>
      <x:c r="X94" s="9"/>
      <x:c r="Y94" s="9"/>
      <x:c r="Z94" s="9"/>
    </x:row>
    <x:row r="95" ht="14.25" customHeight="1">
      <x:c r="B95" s="1" t="s">
        <x:v>489</x:v>
      </x:c>
      <x:c r="C95" s="1">
        <x:v>54.0</x:v>
      </x:c>
      <x:c r="D95" s="1">
        <x:v>866.1</x:v>
      </x:c>
      <x:c r="E95" s="1">
        <x:v>7.0</x:v>
      </x:c>
      <x:c r="F95" s="1">
        <x:v>0.0</x:v>
      </x:c>
      <x:c r="G95" s="1">
        <x:v>0.0</x:v>
      </x:c>
      <x:c r="H95" s="1">
        <x:v>0.0</x:v>
      </x:c>
      <x:c r="I95" s="1">
        <x:v>0.5</x:v>
      </x:c>
      <x:c r="J95" s="1">
        <x:v>188.2</x:v>
      </x:c>
      <x:c r="K95" s="18">
        <x:f t="shared" si="1"/>
        <x:v>0</x:v>
      </x:c>
      <x:c r="L95" s="18">
        <x:f t="shared" si="2"/>
        <x:v>42.59839161</x:v>
      </x:c>
      <x:c r="M95" s="121"/>
      <x:c r="N95" s="121"/>
      <x:c r="O95" s="121"/>
      <x:c r="P95" s="9"/>
      <x:c r="Q95" s="9"/>
      <x:c r="R95" s="9"/>
      <x:c r="S95" s="9"/>
      <x:c r="T95" s="9"/>
      <x:c r="U95" s="9"/>
      <x:c r="V95" s="9"/>
      <x:c r="W95" s="9"/>
      <x:c r="X95" s="9"/>
      <x:c r="Y95" s="9"/>
      <x:c r="Z95" s="9"/>
    </x:row>
    <x:row r="96" ht="14.25" customHeight="1">
      <x:c r="A96" s="1" t="s">
        <x:v>764</x:v>
      </x:c>
      <x:c r="B96" s="1" t="s">
        <x:v>545</x:v>
      </x:c>
      <x:c r="C96" s="1">
        <x:v>64.3</x:v>
      </x:c>
      <x:c r="D96" s="1">
        <x:v>927.2</x:v>
      </x:c>
      <x:c r="E96" s="1">
        <x:v>6.1</x:v>
      </x:c>
      <x:c r="F96" s="1">
        <x:v>0.7</x:v>
      </x:c>
      <x:c r="G96" s="1">
        <x:v>3.3</x:v>
      </x:c>
      <x:c r="H96" s="1">
        <x:v>0.3</x:v>
      </x:c>
      <x:c r="I96" s="1">
        <x:v>0.2</x:v>
      </x:c>
      <x:c r="J96" s="1">
        <x:v>195.2</x:v>
      </x:c>
      <x:c r="K96" s="18">
        <x:f t="shared" si="1"/>
        <x:v>0.2045137881</x:v>
      </x:c>
      <x:c r="L96" s="18">
        <x:f t="shared" si="2"/>
        <x:v>45.60354312</x:v>
      </x:c>
      <x:c r="M96" s="119" t="n">
        <x:f>C98*Scoring!$B$34+D98/Scoring!$C$34+E98*Scoring!$D$34+WR!F98*Scoring!$E$34+WR!G98/Scoring!$F$34+WR!H98*Scoring!$G$34+WR!I98*Scoring!$H$34+K98*Scoring!$I$34+WR!L98*Scoring!$J$34+U96</x:f>
        <x:v>155.3</x:v>
      </x:c>
      <x:c r="N96" s="119" t="n">
        <x:f>C96*Scoring!$B$34+D96/Scoring!$C$34+E96*Scoring!$D$34+WR!F96*Scoring!$E$34+WR!G96/Scoring!$F$34+WR!H96*Scoring!$G$34+WR!I96*Scoring!$H$34+K96*Scoring!$I$34+WR!L96*Scoring!$J$34+U96</x:f>
        <x:v>163.40000000000003</x:v>
      </x:c>
      <x:c r="O96" s="119" t="n">
        <x:f>C97*Scoring!$B$34+D97/Scoring!$C$34+E97*Scoring!$D$34+WR!F97*Scoring!$E$34+WR!G97/Scoring!$F$34+WR!H97*Scoring!$G$34+WR!I97*Scoring!$H$34+K97*Scoring!$I$34+WR!L97*Scoring!$J$34+U96</x:f>
        <x:v>172.15</x:v>
      </x:c>
      <x:c r="P96" s="9" t="n">
        <x:f>IF(COUNTIF(Rookies!$A:$A,A96)&gt;0,1,0)</x:f>
        <x:v>0</x:v>
      </x:c>
      <x:c r="Q96" s="9"/>
      <x:c r="R96" s="9"/>
      <x:c r="S96" s="9" t="n">
        <x:f>V96/17</x:f>
        <x:v>9.611764705882354</x:v>
      </x:c>
      <x:c r="T96" s="9" t="n">
        <x:f>IF(P96=1,MAX(0,0.28*(12-S96)),0)</x:f>
        <x:v>0</x:v>
      </x:c>
      <x:c r="U96" s="9" t="n">
        <x:f>T96*17</x:f>
        <x:v>0</x:v>
      </x:c>
      <x:c r="V96" s="9" t="n">
        <x:f>C96*Scoring!$B$34+D96/Scoring!$C$34+E96*Scoring!$D$34+WR!F96*Scoring!$E$34+WR!G96/Scoring!$F$34+WR!H96*Scoring!$G$34+WR!I96*Scoring!$H$34+K96*Scoring!$I$34+WR!L96*Scoring!$J$34</x:f>
        <x:v>163.40000000000003</x:v>
      </x:c>
      <x:c r="W96" s="9"/>
      <x:c r="X96" s="9"/>
      <x:c r="Y96" s="9"/>
      <x:c r="Z96" s="9"/>
    </x:row>
    <x:row r="97" ht="14.25" customHeight="1">
      <x:c r="B97" s="1" t="s">
        <x:v>488</x:v>
      </x:c>
      <x:c r="C97" s="1">
        <x:v>67.0</x:v>
      </x:c>
      <x:c r="D97" s="1">
        <x:v>944.5</x:v>
      </x:c>
      <x:c r="E97" s="1">
        <x:v>6.2</x:v>
      </x:c>
      <x:c r="F97" s="1">
        <x:v>2.0</x:v>
      </x:c>
      <x:c r="G97" s="1">
        <x:v>10.0</x:v>
      </x:c>
      <x:c r="H97" s="1">
        <x:v>1.0</x:v>
      </x:c>
      <x:c r="I97" s="1">
        <x:v>0.0</x:v>
      </x:c>
      <x:c r="J97" s="1">
        <x:v>228.2</x:v>
      </x:c>
      <x:c r="K97" s="18">
        <x:f t="shared" si="1"/>
        <x:v>0.6197387518</x:v>
      </x:c>
      <x:c r="L97" s="18">
        <x:f t="shared" si="2"/>
        <x:v>46.4544289</x:v>
      </x:c>
      <x:c r="M97" s="121"/>
      <x:c r="N97" s="121"/>
      <x:c r="O97" s="121"/>
      <x:c r="P97" s="9"/>
      <x:c r="Q97" s="9"/>
      <x:c r="R97" s="9"/>
      <x:c r="S97" s="9"/>
      <x:c r="T97" s="9"/>
      <x:c r="U97" s="9"/>
      <x:c r="V97" s="9"/>
      <x:c r="W97" s="9"/>
      <x:c r="X97" s="9"/>
      <x:c r="Y97" s="9"/>
      <x:c r="Z97" s="9"/>
    </x:row>
    <x:row r="98" ht="14.25" customHeight="1">
      <x:c r="B98" s="1" t="s">
        <x:v>489</x:v>
      </x:c>
      <x:c r="C98" s="1">
        <x:v>61.0</x:v>
      </x:c>
      <x:c r="D98" s="1">
        <x:v>893.0</x:v>
      </x:c>
      <x:c r="E98" s="1">
        <x:v>6.0</x:v>
      </x:c>
      <x:c r="F98" s="1">
        <x:v>0.0</x:v>
      </x:c>
      <x:c r="G98" s="1">
        <x:v>0.0</x:v>
      </x:c>
      <x:c r="H98" s="1">
        <x:v>0.0</x:v>
      </x:c>
      <x:c r="I98" s="1">
        <x:v>0.5</x:v>
      </x:c>
      <x:c r="J98" s="1">
        <x:v>187.3</x:v>
      </x:c>
      <x:c r="K98" s="18">
        <x:f t="shared" si="1"/>
        <x:v>0</x:v>
      </x:c>
      <x:c r="L98" s="18">
        <x:f t="shared" si="2"/>
        <x:v>43.92144522</x:v>
      </x:c>
      <x:c r="M98" s="121"/>
      <x:c r="N98" s="121"/>
      <x:c r="O98" s="121"/>
      <x:c r="P98" s="9"/>
      <x:c r="Q98" s="9"/>
      <x:c r="R98" s="9"/>
      <x:c r="S98" s="9"/>
      <x:c r="T98" s="9"/>
      <x:c r="U98" s="9"/>
      <x:c r="V98" s="9"/>
      <x:c r="W98" s="9"/>
      <x:c r="X98" s="9"/>
      <x:c r="Y98" s="9"/>
      <x:c r="Z98" s="9"/>
    </x:row>
    <x:row r="99" ht="14.25" customHeight="1">
      <x:c r="A99" s="1" t="s">
        <x:v>765</x:v>
      </x:c>
      <x:c r="B99" s="1" t="s">
        <x:v>527</x:v>
      </x:c>
      <x:c r="C99" s="1">
        <x:v>56.5</x:v>
      </x:c>
      <x:c r="D99" s="1">
        <x:v>977.3</x:v>
      </x:c>
      <x:c r="E99" s="1">
        <x:v>6.4</x:v>
      </x:c>
      <x:c r="F99" s="1">
        <x:v>0.0</x:v>
      </x:c>
      <x:c r="G99" s="1">
        <x:v>0.0</x:v>
      </x:c>
      <x:c r="H99" s="1">
        <x:v>0.0</x:v>
      </x:c>
      <x:c r="I99" s="1">
        <x:v>0.3</x:v>
      </x:c>
      <x:c r="J99" s="1">
        <x:v>192.3</x:v>
      </x:c>
      <x:c r="K99" s="18">
        <x:f t="shared" si="1"/>
        <x:v>0</x:v>
      </x:c>
      <x:c r="L99" s="18">
        <x:f t="shared" si="2"/>
        <x:v>48.067669</x:v>
      </x:c>
      <x:c r="M99" s="119" t="n">
        <x:f>C101*Scoring!$B$34+D101/Scoring!$C$34+E101*Scoring!$D$34+WR!F101*Scoring!$E$34+WR!G101/Scoring!$F$34+WR!H101*Scoring!$G$34+WR!I101*Scoring!$H$34+K101*Scoring!$I$34+WR!L101*Scoring!$J$34+U99</x:f>
        <x:v>145.7</x:v>
      </x:c>
      <x:c r="N99" s="119" t="n">
        <x:f>C99*Scoring!$B$34+D99/Scoring!$C$34+E99*Scoring!$D$34+WR!F99*Scoring!$E$34+WR!G99/Scoring!$F$34+WR!H99*Scoring!$G$34+WR!I99*Scoring!$H$34+K99*Scoring!$I$34+WR!L99*Scoring!$J$34+U99</x:f>
        <x:v>164.07999999999998</x:v>
      </x:c>
      <x:c r="O99" s="119" t="n">
        <x:f>C100*Scoring!$B$34+D100/Scoring!$C$34+E100*Scoring!$D$34+WR!F100*Scoring!$E$34+WR!G100/Scoring!$F$34+WR!H100*Scoring!$G$34+WR!I100*Scoring!$H$34+K100*Scoring!$I$34+WR!L100*Scoring!$J$34+U99</x:f>
        <x:v>191</x:v>
      </x:c>
      <x:c r="P99" s="9" t="n">
        <x:f>IF(COUNTIF(Rookies!$A:$A,A99)&gt;0,1,0)</x:f>
        <x:v>0</x:v>
      </x:c>
      <x:c r="Q99" s="9"/>
      <x:c r="R99" s="9"/>
      <x:c r="S99" s="9" t="n">
        <x:f>V99/17</x:f>
        <x:v>9.651764705882352</x:v>
      </x:c>
      <x:c r="T99" s="9" t="n">
        <x:f>IF(P99=1,MAX(0,0.28*(12-S99)),0)</x:f>
        <x:v>0</x:v>
      </x:c>
      <x:c r="U99" s="9" t="n">
        <x:f>T99*17</x:f>
        <x:v>0</x:v>
      </x:c>
      <x:c r="V99" s="9" t="n">
        <x:f>C99*Scoring!$B$34+D99/Scoring!$C$34+E99*Scoring!$D$34+WR!F99*Scoring!$E$34+WR!G99/Scoring!$F$34+WR!H99*Scoring!$G$34+WR!I99*Scoring!$H$34+K99*Scoring!$I$34+WR!L99*Scoring!$J$34</x:f>
        <x:v>164.07999999999998</x:v>
      </x:c>
      <x:c r="W99" s="9"/>
      <x:c r="X99" s="9"/>
      <x:c r="Y99" s="9"/>
      <x:c r="Z99" s="9"/>
    </x:row>
    <x:row r="100" ht="14.25" customHeight="1">
      <x:c r="B100" s="1" t="s">
        <x:v>488</x:v>
      </x:c>
      <x:c r="C100" s="1">
        <x:v>60.6</x:v>
      </x:c>
      <x:c r="D100" s="1">
        <x:v>1067.0</x:v>
      </x:c>
      <x:c r="E100" s="1">
        <x:v>9.0</x:v>
      </x:c>
      <x:c r="F100" s="1">
        <x:v>0.0</x:v>
      </x:c>
      <x:c r="G100" s="1">
        <x:v>0.0</x:v>
      </x:c>
      <x:c r="H100" s="1">
        <x:v>0.0</x:v>
      </x:c>
      <x:c r="I100" s="1">
        <x:v>0.0</x:v>
      </x:c>
      <x:c r="J100" s="1">
        <x:v>208.5</x:v>
      </x:c>
      <x:c r="K100" s="18">
        <x:f t="shared" si="1"/>
        <x:v>0</x:v>
      </x:c>
      <x:c r="L100" s="18">
        <x:f t="shared" si="2"/>
        <x:v>52.47948718</x:v>
      </x:c>
      <x:c r="M100" s="121"/>
      <x:c r="N100" s="121"/>
      <x:c r="O100" s="121"/>
      <x:c r="P100" s="9"/>
      <x:c r="Q100" s="9"/>
      <x:c r="R100" s="9"/>
      <x:c r="S100" s="9"/>
      <x:c r="T100" s="9"/>
      <x:c r="U100" s="9"/>
      <x:c r="V100" s="9"/>
      <x:c r="W100" s="9"/>
      <x:c r="X100" s="9"/>
      <x:c r="Y100" s="9"/>
      <x:c r="Z100" s="9"/>
    </x:row>
    <x:row r="101" ht="14.25" customHeight="1">
      <x:c r="B101" s="1" t="s">
        <x:v>489</x:v>
      </x:c>
      <x:c r="C101" s="1">
        <x:v>49.0</x:v>
      </x:c>
      <x:c r="D101" s="1">
        <x:v>917.0</x:v>
      </x:c>
      <x:c r="E101" s="1">
        <x:v>5.0</x:v>
      </x:c>
      <x:c r="F101" s="1">
        <x:v>0.0</x:v>
      </x:c>
      <x:c r="G101" s="1">
        <x:v>0.0</x:v>
      </x:c>
      <x:c r="H101" s="1">
        <x:v>0.0</x:v>
      </x:c>
      <x:c r="I101" s="1">
        <x:v>0.5</x:v>
      </x:c>
      <x:c r="J101" s="1">
        <x:v>182.7</x:v>
      </x:c>
      <x:c r="K101" s="18">
        <x:f t="shared" si="1"/>
        <x:v>0</x:v>
      </x:c>
      <x:c r="L101" s="18">
        <x:f t="shared" si="2"/>
        <x:v>45.1018648</x:v>
      </x:c>
      <x:c r="M101" s="121"/>
      <x:c r="N101" s="121"/>
      <x:c r="O101" s="121"/>
      <x:c r="P101" s="9"/>
      <x:c r="Q101" s="9"/>
      <x:c r="R101" s="9"/>
      <x:c r="S101" s="9"/>
      <x:c r="T101" s="9"/>
      <x:c r="U101" s="9"/>
      <x:c r="V101" s="9"/>
      <x:c r="W101" s="9"/>
      <x:c r="X101" s="9"/>
      <x:c r="Y101" s="9"/>
      <x:c r="Z101" s="9"/>
    </x:row>
    <x:row r="102" ht="14.25" customHeight="1">
      <x:c r="A102" s="1" t="s">
        <x:v>766</x:v>
      </x:c>
      <x:c r="B102" s="1" t="s">
        <x:v>545</x:v>
      </x:c>
      <x:c r="C102" s="1">
        <x:v>80.5</x:v>
      </x:c>
      <x:c r="D102" s="1">
        <x:v>806.1</x:v>
      </x:c>
      <x:c r="E102" s="1">
        <x:v>5.0</x:v>
      </x:c>
      <x:c r="F102" s="1">
        <x:v>0.0</x:v>
      </x:c>
      <x:c r="G102" s="1">
        <x:v>0.0</x:v>
      </x:c>
      <x:c r="H102" s="1">
        <x:v>0.0</x:v>
      </x:c>
      <x:c r="I102" s="1">
        <x:v>0.3</x:v>
      </x:c>
      <x:c r="J102" s="1">
        <x:v>190.3</x:v>
      </x:c>
      <x:c r="K102" s="18">
        <x:f t="shared" si="1"/>
        <x:v>0</x:v>
      </x:c>
      <x:c r="L102" s="18">
        <x:f t="shared" si="2"/>
        <x:v>39.64734266</x:v>
      </x:c>
      <x:c r="M102" s="119" t="n">
        <x:f>C104*Scoring!$B$34+D104/Scoring!$C$34+E104*Scoring!$D$34+WR!F104*Scoring!$E$34+WR!G104/Scoring!$F$34+WR!H104*Scoring!$G$34+WR!I104*Scoring!$H$34+K104*Scoring!$I$34+WR!L104*Scoring!$J$34+U102</x:f>
        <x:v>128.5</x:v>
      </x:c>
      <x:c r="N102" s="119" t="n">
        <x:f>C102*Scoring!$B$34+D102/Scoring!$C$34+E102*Scoring!$D$34+WR!F102*Scoring!$E$34+WR!G102/Scoring!$F$34+WR!H102*Scoring!$G$34+WR!I102*Scoring!$H$34+K102*Scoring!$I$34+WR!L102*Scoring!$J$34+U102</x:f>
        <x:v>150.56</x:v>
      </x:c>
      <x:c r="O102" s="119" t="n">
        <x:f>C103*Scoring!$B$34+D103/Scoring!$C$34+E103*Scoring!$D$34+WR!F103*Scoring!$E$34+WR!G103/Scoring!$F$34+WR!H103*Scoring!$G$34+WR!I103*Scoring!$H$34+K103*Scoring!$I$34+WR!L103*Scoring!$J$34+U102</x:f>
        <x:v>167.9</x:v>
      </x:c>
      <x:c r="P102" s="9" t="n">
        <x:f>IF(COUNTIF(Rookies!$A:$A,A102)&gt;0,1,0)</x:f>
        <x:v>0</x:v>
      </x:c>
      <x:c r="Q102" s="9"/>
      <x:c r="R102" s="9"/>
      <x:c r="S102" s="9" t="n">
        <x:f>V102/17</x:f>
        <x:v>8.856470588235295</x:v>
      </x:c>
      <x:c r="T102" s="9" t="n">
        <x:f>IF(P102=1,MAX(0,0.28*(12-S102)),0)</x:f>
        <x:v>0</x:v>
      </x:c>
      <x:c r="U102" s="9" t="n">
        <x:f>T102*17</x:f>
        <x:v>0</x:v>
      </x:c>
      <x:c r="V102" s="9" t="n">
        <x:f>C102*Scoring!$B$34+D102/Scoring!$C$34+E102*Scoring!$D$34+WR!F102*Scoring!$E$34+WR!G102/Scoring!$F$34+WR!H102*Scoring!$G$34+WR!I102*Scoring!$H$34+K102*Scoring!$I$34+WR!L102*Scoring!$J$34</x:f>
        <x:v>150.56</x:v>
      </x:c>
      <x:c r="W102" s="9"/>
      <x:c r="X102" s="9"/>
      <x:c r="Y102" s="9"/>
      <x:c r="Z102" s="9"/>
    </x:row>
    <x:row r="103" ht="14.25" customHeight="1">
      <x:c r="B103" s="1" t="s">
        <x:v>488</x:v>
      </x:c>
      <x:c r="C103" s="1">
        <x:v>88.4</x:v>
      </x:c>
      <x:c r="D103" s="1">
        <x:v>877.0</x:v>
      </x:c>
      <x:c r="E103" s="1">
        <x:v>6.0</x:v>
      </x:c>
      <x:c r="F103" s="1">
        <x:v>0.0</x:v>
      </x:c>
      <x:c r="G103" s="1">
        <x:v>0.0</x:v>
      </x:c>
      <x:c r="H103" s="1">
        <x:v>0.0</x:v>
      </x:c>
      <x:c r="I103" s="1">
        <x:v>0.0</x:v>
      </x:c>
      <x:c r="J103" s="1">
        <x:v>236.2</x:v>
      </x:c>
      <x:c r="K103" s="18">
        <x:f t="shared" si="1"/>
        <x:v>0</x:v>
      </x:c>
      <x:c r="L103" s="18">
        <x:f t="shared" si="2"/>
        <x:v>43.13449883</x:v>
      </x:c>
      <x:c r="M103" s="121"/>
      <x:c r="N103" s="121"/>
      <x:c r="O103" s="121"/>
      <x:c r="P103" s="9"/>
      <x:c r="Q103" s="9"/>
      <x:c r="R103" s="9"/>
      <x:c r="S103" s="9"/>
      <x:c r="T103" s="9"/>
      <x:c r="U103" s="9"/>
      <x:c r="V103" s="9"/>
      <x:c r="W103" s="9"/>
      <x:c r="X103" s="9"/>
      <x:c r="Y103" s="9"/>
      <x:c r="Z103" s="9"/>
    </x:row>
    <x:row r="104" ht="14.25" customHeight="1">
      <x:c r="B104" s="1" t="s">
        <x:v>489</x:v>
      </x:c>
      <x:c r="C104" s="1">
        <x:v>76.0</x:v>
      </x:c>
      <x:c r="D104" s="1">
        <x:v>678.0</x:v>
      </x:c>
      <x:c r="E104" s="1">
        <x:v>3.9</x:v>
      </x:c>
      <x:c r="F104" s="1">
        <x:v>0.0</x:v>
      </x:c>
      <x:c r="G104" s="1">
        <x:v>0.0</x:v>
      </x:c>
      <x:c r="H104" s="1">
        <x:v>0.0</x:v>
      </x:c>
      <x:c r="I104" s="1">
        <x:v>0.7</x:v>
      </x:c>
      <x:c r="J104" s="1">
        <x:v>174.5</x:v>
      </x:c>
      <x:c r="K104" s="18">
        <x:f t="shared" si="1"/>
        <x:v>0</x:v>
      </x:c>
      <x:c r="L104" s="18">
        <x:f t="shared" si="2"/>
        <x:v>33.34685315</x:v>
      </x:c>
      <x:c r="M104" s="121"/>
      <x:c r="N104" s="121"/>
      <x:c r="O104" s="121"/>
      <x:c r="P104" s="9"/>
      <x:c r="Q104" s="9"/>
      <x:c r="R104" s="9"/>
      <x:c r="S104" s="9"/>
      <x:c r="T104" s="9"/>
      <x:c r="U104" s="9"/>
      <x:c r="V104" s="9"/>
      <x:c r="W104" s="9"/>
      <x:c r="X104" s="9"/>
      <x:c r="Y104" s="9"/>
      <x:c r="Z104" s="9"/>
    </x:row>
    <x:row r="105" ht="14.25" customHeight="1">
      <x:c r="A105" s="1" t="s">
        <x:v>767</x:v>
      </x:c>
      <x:c r="B105" s="1" t="s">
        <x:v>505</x:v>
      </x:c>
      <x:c r="C105" s="1">
        <x:v>62.6</x:v>
      </x:c>
      <x:c r="D105" s="1">
        <x:v>863.2</x:v>
      </x:c>
      <x:c r="E105" s="1">
        <x:v>5.7</x:v>
      </x:c>
      <x:c r="F105" s="1">
        <x:v>5.0</x:v>
      </x:c>
      <x:c r="G105" s="1">
        <x:v>13.6</x:v>
      </x:c>
      <x:c r="H105" s="1">
        <x:v>0.1</x:v>
      </x:c>
      <x:c r="I105" s="1">
        <x:v>0.4</x:v>
      </x:c>
      <x:c r="J105" s="1">
        <x:v>184.4</x:v>
      </x:c>
      <x:c r="K105" s="18">
        <x:f t="shared" si="1"/>
        <x:v>0.8428447025</x:v>
      </x:c>
      <x:c r="L105" s="18">
        <x:f t="shared" si="2"/>
        <x:v>42.45575758</x:v>
      </x:c>
      <x:c r="M105" s="119" t="n">
        <x:f>C107*Scoring!$B$34+D107/Scoring!$C$34+E107*Scoring!$D$34+WR!F107*Scoring!$E$34+WR!G107/Scoring!$F$34+WR!H107*Scoring!$G$34+WR!I107*Scoring!$H$34+K107*Scoring!$I$34+WR!L107*Scoring!$J$34+U105</x:f>
        <x:v>141.6</x:v>
      </x:c>
      <x:c r="N105" s="119" t="n">
        <x:f>C105*Scoring!$B$34+D105/Scoring!$C$34+E105*Scoring!$D$34+WR!F105*Scoring!$E$34+WR!G105/Scoring!$F$34+WR!H105*Scoring!$G$34+WR!I105*Scoring!$H$34+K105*Scoring!$I$34+WR!L105*Scoring!$J$34+U105</x:f>
        <x:v>153.38</x:v>
      </x:c>
      <x:c r="O105" s="119" t="n">
        <x:f>C106*Scoring!$B$34+D106/Scoring!$C$34+E106*Scoring!$D$34+WR!F106*Scoring!$E$34+WR!G106/Scoring!$F$34+WR!H106*Scoring!$G$34+WR!I106*Scoring!$H$34+K106*Scoring!$I$34+WR!L106*Scoring!$J$34+U105</x:f>
        <x:v>172.09</x:v>
      </x:c>
      <x:c r="P105" s="9" t="n">
        <x:f>IF(COUNTIF(Rookies!$A:$A,A105)&gt;0,1,0)</x:f>
        <x:v>0</x:v>
      </x:c>
      <x:c r="Q105" s="9"/>
      <x:c r="R105" s="9"/>
      <x:c r="S105" s="9" t="n">
        <x:f>V105/17</x:f>
        <x:v>9.02235294117647</x:v>
      </x:c>
      <x:c r="T105" s="9" t="n">
        <x:f>IF(P105=1,MAX(0,0.28*(12-S105)),0)</x:f>
        <x:v>0</x:v>
      </x:c>
      <x:c r="U105" s="9" t="n">
        <x:f>T105*17</x:f>
        <x:v>0</x:v>
      </x:c>
      <x:c r="V105" s="9" t="n">
        <x:f>C105*Scoring!$B$34+D105/Scoring!$C$34+E105*Scoring!$D$34+WR!F105*Scoring!$E$34+WR!G105/Scoring!$F$34+WR!H105*Scoring!$G$34+WR!I105*Scoring!$H$34+K105*Scoring!$I$34+WR!L105*Scoring!$J$34</x:f>
        <x:v>153.38</x:v>
      </x:c>
      <x:c r="W105" s="9"/>
      <x:c r="X105" s="9"/>
      <x:c r="Y105" s="9"/>
      <x:c r="Z105" s="9"/>
    </x:row>
    <x:row r="106" ht="14.25" customHeight="1">
      <x:c r="B106" s="1" t="s">
        <x:v>488</x:v>
      </x:c>
      <x:c r="C106" s="1">
        <x:v>63.8</x:v>
      </x:c>
      <x:c r="D106" s="1">
        <x:v>925.0</x:v>
      </x:c>
      <x:c r="E106" s="1">
        <x:v>7.0</x:v>
      </x:c>
      <x:c r="F106" s="1">
        <x:v>8.0</x:v>
      </x:c>
      <x:c r="G106" s="1">
        <x:v>38.9</x:v>
      </x:c>
      <x:c r="H106" s="1">
        <x:v>0.3</x:v>
      </x:c>
      <x:c r="I106" s="1">
        <x:v>0.0</x:v>
      </x:c>
      <x:c r="J106" s="1">
        <x:v>205.0</x:v>
      </x:c>
      <x:c r="K106" s="18">
        <x:f t="shared" si="1"/>
        <x:v>2.410783745</x:v>
      </x:c>
      <x:c r="L106" s="18">
        <x:f t="shared" si="2"/>
        <x:v>45.495338</x:v>
      </x:c>
      <x:c r="M106" s="121"/>
      <x:c r="N106" s="121"/>
      <x:c r="O106" s="121"/>
      <x:c r="P106" s="9"/>
      <x:c r="Q106" s="9"/>
      <x:c r="R106" s="9"/>
      <x:c r="S106" s="9"/>
      <x:c r="T106" s="9"/>
      <x:c r="U106" s="9"/>
      <x:c r="V106" s="9"/>
      <x:c r="W106" s="9"/>
      <x:c r="X106" s="9"/>
      <x:c r="Y106" s="9"/>
      <x:c r="Z106" s="9"/>
    </x:row>
    <x:row r="107" ht="14.25" customHeight="1">
      <x:c r="B107" s="1" t="s">
        <x:v>489</x:v>
      </x:c>
      <x:c r="C107" s="1">
        <x:v>62.0</x:v>
      </x:c>
      <x:c r="D107" s="1">
        <x:v>814.0</x:v>
      </x:c>
      <x:c r="E107" s="1">
        <x:v>5.0</x:v>
      </x:c>
      <x:c r="F107" s="1">
        <x:v>0.0</x:v>
      </x:c>
      <x:c r="G107" s="1">
        <x:v>0.0</x:v>
      </x:c>
      <x:c r="H107" s="1">
        <x:v>0.0</x:v>
      </x:c>
      <x:c r="I107" s="1">
        <x:v>0.8</x:v>
      </x:c>
      <x:c r="J107" s="1">
        <x:v>186.1</x:v>
      </x:c>
      <x:c r="K107" s="18">
        <x:f t="shared" si="1"/>
        <x:v>0</x:v>
      </x:c>
      <x:c r="L107" s="18">
        <x:f t="shared" si="2"/>
        <x:v>40.03589744</x:v>
      </x:c>
      <x:c r="M107" s="121"/>
      <x:c r="N107" s="121"/>
      <x:c r="O107" s="121"/>
      <x:c r="P107" s="9"/>
      <x:c r="Q107" s="9"/>
      <x:c r="R107" s="9"/>
      <x:c r="S107" s="9"/>
      <x:c r="T107" s="9"/>
      <x:c r="U107" s="9"/>
      <x:c r="V107" s="9"/>
      <x:c r="W107" s="9"/>
      <x:c r="X107" s="9"/>
      <x:c r="Y107" s="9"/>
      <x:c r="Z107" s="9"/>
    </x:row>
    <x:row r="108" ht="14.25" customHeight="1">
      <x:c r="A108" s="1" t="s">
        <x:v>768</x:v>
      </x:c>
      <x:c r="B108" s="1" t="s">
        <x:v>505</x:v>
      </x:c>
      <x:c r="C108" s="1">
        <x:v>58.0</x:v>
      </x:c>
      <x:c r="D108" s="1">
        <x:v>871.6</x:v>
      </x:c>
      <x:c r="E108" s="1">
        <x:v>5.4</x:v>
      </x:c>
      <x:c r="F108" s="1">
        <x:v>2.7</x:v>
      </x:c>
      <x:c r="G108" s="1">
        <x:v>17.7</x:v>
      </x:c>
      <x:c r="H108" s="1">
        <x:v>0.4</x:v>
      </x:c>
      <x:c r="I108" s="1">
        <x:v>0.2</x:v>
      </x:c>
      <x:c r="J108" s="1">
        <x:v>181.1</x:v>
      </x:c>
      <x:c r="K108" s="18">
        <x:f t="shared" si="1"/>
        <x:v>1.096937591</x:v>
      </x:c>
      <x:c r="L108" s="18">
        <x:f t="shared" si="2"/>
        <x:v>42.86890443</x:v>
      </x:c>
      <x:c r="M108" s="119" t="n">
        <x:f>C110*Scoring!$B$34+D110/Scoring!$C$34+E110*Scoring!$D$34+WR!F110*Scoring!$E$34+WR!G110/Scoring!$F$34+WR!H110*Scoring!$G$34+WR!I110*Scoring!$H$34+K110*Scoring!$I$34+WR!L110*Scoring!$J$34+U108</x:f>
        <x:v>138.89999999999998</x:v>
      </x:c>
      <x:c r="N108" s="119" t="n">
        <x:f>C108*Scoring!$B$34+D108/Scoring!$C$34+E108*Scoring!$D$34+WR!F108*Scoring!$E$34+WR!G108/Scoring!$F$34+WR!H108*Scoring!$G$34+WR!I108*Scoring!$H$34+K108*Scoring!$I$34+WR!L108*Scoring!$J$34+U108</x:f>
        <x:v>152.53000000000003</x:v>
      </x:c>
      <x:c r="O108" s="119" t="n">
        <x:f>C109*Scoring!$B$34+D109/Scoring!$C$34+E109*Scoring!$D$34+WR!F109*Scoring!$E$34+WR!G109/Scoring!$F$34+WR!H109*Scoring!$G$34+WR!I109*Scoring!$H$34+K109*Scoring!$I$34+WR!L109*Scoring!$J$34+U108</x:f>
        <x:v>169.7</x:v>
      </x:c>
      <x:c r="P108" s="9" t="n">
        <x:f>IF(COUNTIF(Rookies!$A:$A,A108)&gt;0,1,0)</x:f>
        <x:v>0</x:v>
      </x:c>
      <x:c r="Q108" s="9"/>
      <x:c r="R108" s="9"/>
      <x:c r="S108" s="9" t="n">
        <x:f>V108/17</x:f>
        <x:v>8.972352941176473</x:v>
      </x:c>
      <x:c r="T108" s="9" t="n">
        <x:f>IF(P108=1,MAX(0,0.28*(12-S108)),0)</x:f>
        <x:v>0</x:v>
      </x:c>
      <x:c r="U108" s="9" t="n">
        <x:f>T108*17</x:f>
        <x:v>0</x:v>
      </x:c>
      <x:c r="V108" s="9" t="n">
        <x:f>C108*Scoring!$B$34+D108/Scoring!$C$34+E108*Scoring!$D$34+WR!F108*Scoring!$E$34+WR!G108/Scoring!$F$34+WR!H108*Scoring!$G$34+WR!I108*Scoring!$H$34+K108*Scoring!$I$34+WR!L108*Scoring!$J$34</x:f>
        <x:v>152.53000000000003</x:v>
      </x:c>
      <x:c r="W108" s="9"/>
      <x:c r="X108" s="9"/>
      <x:c r="Y108" s="9"/>
      <x:c r="Z108" s="9"/>
    </x:row>
    <x:row r="109" ht="14.25" customHeight="1">
      <x:c r="B109" s="1" t="s">
        <x:v>488</x:v>
      </x:c>
      <x:c r="C109" s="1">
        <x:v>61.0</x:v>
      </x:c>
      <x:c r="D109" s="1">
        <x:v>942.0</x:v>
      </x:c>
      <x:c r="E109" s="1">
        <x:v>6.0</x:v>
      </x:c>
      <x:c r="F109" s="1">
        <x:v>4.0</x:v>
      </x:c>
      <x:c r="G109" s="1">
        <x:v>30.0</x:v>
      </x:c>
      <x:c r="H109" s="1">
        <x:v>1.0</x:v>
      </x:c>
      <x:c r="I109" s="1">
        <x:v>0.0</x:v>
      </x:c>
      <x:c r="J109" s="1">
        <x:v>197.2</x:v>
      </x:c>
      <x:c r="K109" s="18">
        <x:f t="shared" si="1"/>
        <x:v>1.859216255</x:v>
      </x:c>
      <x:c r="L109" s="18">
        <x:f t="shared" si="2"/>
        <x:v>46.33146853</x:v>
      </x:c>
      <x:c r="M109" s="121"/>
      <x:c r="N109" s="121"/>
      <x:c r="O109" s="121"/>
      <x:c r="P109" s="9"/>
      <x:c r="Q109" s="9"/>
      <x:c r="R109" s="9"/>
      <x:c r="S109" s="9"/>
      <x:c r="T109" s="9"/>
      <x:c r="U109" s="9"/>
      <x:c r="V109" s="9"/>
      <x:c r="W109" s="9"/>
      <x:c r="X109" s="9"/>
      <x:c r="Y109" s="9"/>
      <x:c r="Z109" s="9"/>
    </x:row>
    <x:row r="110" ht="14.25" customHeight="1">
      <x:c r="B110" s="1" t="s">
        <x:v>489</x:v>
      </x:c>
      <x:c r="C110" s="1">
        <x:v>56.0</x:v>
      </x:c>
      <x:c r="D110" s="1">
        <x:v>812.0</x:v>
      </x:c>
      <x:c r="E110" s="1">
        <x:v>5.0</x:v>
      </x:c>
      <x:c r="F110" s="1">
        <x:v>0.0</x:v>
      </x:c>
      <x:c r="G110" s="1">
        <x:v>0.0</x:v>
      </x:c>
      <x:c r="H110" s="1">
        <x:v>0.0</x:v>
      </x:c>
      <x:c r="I110" s="1">
        <x:v>0.3</x:v>
      </x:c>
      <x:c r="J110" s="1">
        <x:v>177.6</x:v>
      </x:c>
      <x:c r="K110" s="18">
        <x:f t="shared" si="1"/>
        <x:v>0</x:v>
      </x:c>
      <x:c r="L110" s="18">
        <x:f t="shared" si="2"/>
        <x:v>39.93752914</x:v>
      </x:c>
      <x:c r="M110" s="121"/>
      <x:c r="N110" s="121"/>
      <x:c r="O110" s="121"/>
      <x:c r="P110" s="9"/>
      <x:c r="Q110" s="9"/>
      <x:c r="R110" s="9"/>
      <x:c r="S110" s="9"/>
      <x:c r="T110" s="9"/>
      <x:c r="U110" s="9"/>
      <x:c r="V110" s="9"/>
      <x:c r="W110" s="9"/>
      <x:c r="X110" s="9"/>
      <x:c r="Y110" s="9"/>
      <x:c r="Z110" s="9"/>
    </x:row>
    <x:row r="111" ht="14.25" customHeight="1">
      <x:c r="A111" s="1" t="s">
        <x:v>769</x:v>
      </x:c>
      <x:c r="B111" s="1" t="s">
        <x:v>541</x:v>
      </x:c>
      <x:c r="C111" s="1">
        <x:v>79.9</x:v>
      </x:c>
      <x:c r="D111" s="1">
        <x:v>805.6</x:v>
      </x:c>
      <x:c r="E111" s="1">
        <x:v>3.0</x:v>
      </x:c>
      <x:c r="F111" s="1">
        <x:v>2.0</x:v>
      </x:c>
      <x:c r="G111" s="1">
        <x:v>9.5</x:v>
      </x:c>
      <x:c r="H111" s="1">
        <x:v>0.1</x:v>
      </x:c>
      <x:c r="I111" s="1">
        <x:v>0.3</x:v>
      </x:c>
      <x:c r="J111" s="1">
        <x:v>179.1</x:v>
      </x:c>
      <x:c r="K111" s="18">
        <x:f t="shared" si="1"/>
        <x:v>0.5887518142</x:v>
      </x:c>
      <x:c r="L111" s="18">
        <x:f t="shared" si="2"/>
        <x:v>39.62275058</x:v>
      </x:c>
      <x:c r="M111" s="119" t="n">
        <x:f>C113*Scoring!$B$34+D113/Scoring!$C$34+E113*Scoring!$D$34+WR!F113*Scoring!$E$34+WR!G113/Scoring!$F$34+WR!H113*Scoring!$G$34+WR!I113*Scoring!$H$34+K113*Scoring!$I$34+WR!L113*Scoring!$J$34+U111</x:f>
        <x:v>129.5</x:v>
      </x:c>
      <x:c r="N111" s="119" t="n">
        <x:f>C111*Scoring!$B$34+D111/Scoring!$C$34+E111*Scoring!$D$34+WR!F111*Scoring!$E$34+WR!G111/Scoring!$F$34+WR!H111*Scoring!$G$34+WR!I111*Scoring!$H$34+K111*Scoring!$I$34+WR!L111*Scoring!$J$34+U111</x:f>
        <x:v>139.75999999999996</x:v>
      </x:c>
      <x:c r="O111" s="119" t="n">
        <x:f>C112*Scoring!$B$34+D112/Scoring!$C$34+E112*Scoring!$D$34+WR!F112*Scoring!$E$34+WR!G112/Scoring!$F$34+WR!H112*Scoring!$G$34+WR!I112*Scoring!$H$34+K112*Scoring!$I$34+WR!L112*Scoring!$J$34+U111</x:f>
        <x:v>151.82999999999998</x:v>
      </x:c>
      <x:c r="P111" s="9" t="n">
        <x:f>IF(COUNTIF(Rookies!$A:$A,A111)&gt;0,1,0)</x:f>
        <x:v>0</x:v>
      </x:c>
      <x:c r="Q111" s="9"/>
      <x:c r="R111" s="9"/>
      <x:c r="S111" s="9" t="n">
        <x:f>V111/17</x:f>
        <x:v>8.221176470588233</x:v>
      </x:c>
      <x:c r="T111" s="9" t="n">
        <x:f>IF(P111=1,MAX(0,0.28*(12-S111)),0)</x:f>
        <x:v>0</x:v>
      </x:c>
      <x:c r="U111" s="9" t="n">
        <x:f>T111*17</x:f>
        <x:v>0</x:v>
      </x:c>
      <x:c r="V111" s="9" t="n">
        <x:f>C111*Scoring!$B$34+D111/Scoring!$C$34+E111*Scoring!$D$34+WR!F111*Scoring!$E$34+WR!G111/Scoring!$F$34+WR!H111*Scoring!$G$34+WR!I111*Scoring!$H$34+K111*Scoring!$I$34+WR!L111*Scoring!$J$34</x:f>
        <x:v>139.75999999999996</x:v>
      </x:c>
      <x:c r="W111" s="9"/>
      <x:c r="X111" s="9"/>
      <x:c r="Y111" s="9"/>
      <x:c r="Z111" s="9"/>
    </x:row>
    <x:row r="112" ht="14.25" customHeight="1">
      <x:c r="B112" s="1" t="s">
        <x:v>488</x:v>
      </x:c>
      <x:c r="C112" s="1">
        <x:v>84.0</x:v>
      </x:c>
      <x:c r="D112" s="1">
        <x:v>823.8</x:v>
      </x:c>
      <x:c r="E112" s="1">
        <x:v>4.0</x:v>
      </x:c>
      <x:c r="F112" s="1">
        <x:v>4.1</x:v>
      </x:c>
      <x:c r="G112" s="1">
        <x:v>22.5</x:v>
      </x:c>
      <x:c r="H112" s="1">
        <x:v>0.2</x:v>
      </x:c>
      <x:c r="I112" s="1">
        <x:v>0.0</x:v>
      </x:c>
      <x:c r="J112" s="1">
        <x:v>216.0</x:v>
      </x:c>
      <x:c r="K112" s="18">
        <x:f t="shared" si="1"/>
        <x:v>1.394412192</x:v>
      </x:c>
      <x:c r="L112" s="18">
        <x:f t="shared" si="2"/>
        <x:v>40.5179021</x:v>
      </x:c>
      <x:c r="M112" s="121"/>
      <x:c r="N112" s="121"/>
      <x:c r="O112" s="121"/>
      <x:c r="P112" s="9"/>
      <x:c r="Q112" s="9"/>
      <x:c r="R112" s="9"/>
      <x:c r="S112" s="9"/>
      <x:c r="T112" s="9"/>
      <x:c r="U112" s="9"/>
      <x:c r="V112" s="9"/>
      <x:c r="W112" s="9"/>
      <x:c r="X112" s="9"/>
      <x:c r="Y112" s="9"/>
      <x:c r="Z112" s="9"/>
    </x:row>
    <x:row r="113" ht="14.25" customHeight="1">
      <x:c r="B113" s="1" t="s">
        <x:v>489</x:v>
      </x:c>
      <x:c r="C113" s="1">
        <x:v>77.0</x:v>
      </x:c>
      <x:c r="D113" s="1">
        <x:v>796.0</x:v>
      </x:c>
      <x:c r="E113" s="1">
        <x:v>2.0</x:v>
      </x:c>
      <x:c r="F113" s="1">
        <x:v>0.0</x:v>
      </x:c>
      <x:c r="G113" s="1">
        <x:v>0.0</x:v>
      </x:c>
      <x:c r="H113" s="1">
        <x:v>0.0</x:v>
      </x:c>
      <x:c r="I113" s="1">
        <x:v>0.6</x:v>
      </x:c>
      <x:c r="J113" s="1">
        <x:v>173.9</x:v>
      </x:c>
      <x:c r="K113" s="18">
        <x:f t="shared" si="1"/>
        <x:v>0</x:v>
      </x:c>
      <x:c r="L113" s="18">
        <x:f t="shared" si="2"/>
        <x:v>39.15058275</x:v>
      </x:c>
      <x:c r="M113" s="121"/>
      <x:c r="N113" s="121"/>
      <x:c r="O113" s="121"/>
      <x:c r="P113" s="9"/>
      <x:c r="Q113" s="9"/>
      <x:c r="R113" s="9"/>
      <x:c r="S113" s="9"/>
      <x:c r="T113" s="9"/>
      <x:c r="U113" s="9"/>
      <x:c r="V113" s="9"/>
      <x:c r="W113" s="9"/>
      <x:c r="X113" s="9"/>
      <x:c r="Y113" s="9"/>
      <x:c r="Z113" s="9"/>
    </x:row>
    <x:row r="114" ht="14.25" customHeight="1">
      <x:c r="A114" s="1" t="s">
        <x:v>770</x:v>
      </x:c>
      <x:c r="B114" s="1" t="s">
        <x:v>505</x:v>
      </x:c>
      <x:c r="C114" s="1">
        <x:v>68.3</x:v>
      </x:c>
      <x:c r="D114" s="1">
        <x:v>787.7</x:v>
      </x:c>
      <x:c r="E114" s="1">
        <x:v>5.1</x:v>
      </x:c>
      <x:c r="F114" s="1">
        <x:v>4.3</x:v>
      </x:c>
      <x:c r="G114" s="1">
        <x:v>22.7</x:v>
      </x:c>
      <x:c r="H114" s="1">
        <x:v>0.1</x:v>
      </x:c>
      <x:c r="I114" s="1">
        <x:v>0.8</x:v>
      </x:c>
      <x:c r="J114" s="1">
        <x:v>178.7</x:v>
      </x:c>
      <x:c r="K114" s="18">
        <x:f t="shared" si="1"/>
        <x:v>1.406806967</x:v>
      </x:c>
      <x:c r="L114" s="18">
        <x:f t="shared" si="2"/>
        <x:v>38.74235431</x:v>
      </x:c>
      <x:c r="M114" s="119" t="n">
        <x:f>C116*Scoring!$B$34+D116/Scoring!$C$34+E116*Scoring!$D$34+WR!F116*Scoring!$E$34+WR!G116/Scoring!$F$34+WR!H116*Scoring!$G$34+WR!I116*Scoring!$H$34+K116*Scoring!$I$34+WR!L116*Scoring!$J$34+U114</x:f>
        <x:v>140.91</x:v>
      </x:c>
      <x:c r="N114" s="119" t="n">
        <x:f>C114*Scoring!$B$34+D114/Scoring!$C$34+E114*Scoring!$D$34+WR!F114*Scoring!$E$34+WR!G114/Scoring!$F$34+WR!H114*Scoring!$G$34+WR!I114*Scoring!$H$34+K114*Scoring!$I$34+WR!L114*Scoring!$J$34+U114</x:f>
        <x:v>145.59</x:v>
      </x:c>
      <x:c r="O114" s="119" t="n">
        <x:f>C115*Scoring!$B$34+D115/Scoring!$C$34+E115*Scoring!$D$34+WR!F115*Scoring!$E$34+WR!G115/Scoring!$F$34+WR!H115*Scoring!$G$34+WR!I115*Scoring!$H$34+K115*Scoring!$I$34+WR!L115*Scoring!$J$34+U114</x:f>
        <x:v>151.9</x:v>
      </x:c>
      <x:c r="P114" s="9" t="n">
        <x:f>IF(COUNTIF(Rookies!$A:$A,A114)&gt;0,1,0)</x:f>
        <x:v>0</x:v>
      </x:c>
      <x:c r="Q114" s="9"/>
      <x:c r="R114" s="9"/>
      <x:c r="S114" s="9" t="n">
        <x:f>V114/17</x:f>
        <x:v>8.564117647058824</x:v>
      </x:c>
      <x:c r="T114" s="9" t="n">
        <x:f>IF(P114=1,MAX(0,0.28*(12-S114)),0)</x:f>
        <x:v>0</x:v>
      </x:c>
      <x:c r="U114" s="9" t="n">
        <x:f>T114*17</x:f>
        <x:v>0</x:v>
      </x:c>
      <x:c r="V114" s="9" t="n">
        <x:f>C114*Scoring!$B$34+D114/Scoring!$C$34+E114*Scoring!$D$34+WR!F114*Scoring!$E$34+WR!G114/Scoring!$F$34+WR!H114*Scoring!$G$34+WR!I114*Scoring!$H$34+K114*Scoring!$I$34+WR!L114*Scoring!$J$34</x:f>
        <x:v>145.59</x:v>
      </x:c>
      <x:c r="W114" s="9"/>
      <x:c r="X114" s="9"/>
      <x:c r="Y114" s="9"/>
      <x:c r="Z114" s="9"/>
    </x:row>
    <x:row r="115" ht="14.25" customHeight="1">
      <x:c r="B115" s="1" t="s">
        <x:v>488</x:v>
      </x:c>
      <x:c r="C115" s="1">
        <x:v>69.8</x:v>
      </x:c>
      <x:c r="D115" s="1">
        <x:v>814.0</x:v>
      </x:c>
      <x:c r="E115" s="1">
        <x:v>5.2</x:v>
      </x:c>
      <x:c r="F115" s="1">
        <x:v>6.0</x:v>
      </x:c>
      <x:c r="G115" s="1">
        <x:v>32.0</x:v>
      </x:c>
      <x:c r="H115" s="1">
        <x:v>0.3</x:v>
      </x:c>
      <x:c r="I115" s="1">
        <x:v>0.6</x:v>
      </x:c>
      <x:c r="J115" s="1">
        <x:v>211.9</x:v>
      </x:c>
      <x:c r="K115" s="18">
        <x:f t="shared" si="1"/>
        <x:v>1.983164006</x:v>
      </x:c>
      <x:c r="L115" s="18">
        <x:f t="shared" si="2"/>
        <x:v>40.03589744</x:v>
      </x:c>
      <x:c r="M115" s="121"/>
      <x:c r="N115" s="121"/>
      <x:c r="O115" s="121"/>
      <x:c r="P115" s="9"/>
      <x:c r="Q115" s="9"/>
      <x:c r="R115" s="9"/>
      <x:c r="S115" s="9"/>
      <x:c r="T115" s="9"/>
      <x:c r="U115" s="9"/>
      <x:c r="V115" s="9"/>
      <x:c r="W115" s="9"/>
      <x:c r="X115" s="9"/>
      <x:c r="Y115" s="9"/>
      <x:c r="Z115" s="9"/>
    </x:row>
    <x:row r="116" ht="14.25" customHeight="1">
      <x:c r="B116" s="1" t="s">
        <x:v>489</x:v>
      </x:c>
      <x:c r="C116" s="1">
        <x:v>67.0</x:v>
      </x:c>
      <x:c r="D116" s="1">
        <x:v>767.1</x:v>
      </x:c>
      <x:c r="E116" s="1">
        <x:v>5.0</x:v>
      </x:c>
      <x:c r="F116" s="1">
        <x:v>3.0</x:v>
      </x:c>
      <x:c r="G116" s="1">
        <x:v>17.0</x:v>
      </x:c>
      <x:c r="H116" s="1">
        <x:v>0.0</x:v>
      </x:c>
      <x:c r="I116" s="1">
        <x:v>1.0</x:v>
      </x:c>
      <x:c r="J116" s="1">
        <x:v>169.3</x:v>
      </x:c>
      <x:c r="K116" s="18">
        <x:f t="shared" si="1"/>
        <x:v>1.053555878</x:v>
      </x:c>
      <x:c r="L116" s="18">
        <x:f t="shared" si="2"/>
        <x:v>37.72916084</x:v>
      </x:c>
      <x:c r="M116" s="121"/>
      <x:c r="N116" s="121"/>
      <x:c r="O116" s="121"/>
      <x:c r="P116" s="9"/>
      <x:c r="Q116" s="9"/>
      <x:c r="R116" s="9"/>
      <x:c r="S116" s="9"/>
      <x:c r="T116" s="9"/>
      <x:c r="U116" s="9"/>
      <x:c r="V116" s="9"/>
      <x:c r="W116" s="9"/>
      <x:c r="X116" s="9"/>
      <x:c r="Y116" s="9"/>
      <x:c r="Z116" s="9"/>
    </x:row>
    <x:row r="117" ht="14.25" customHeight="1">
      <x:c r="A117" s="1" t="s">
        <x:v>771</x:v>
      </x:c>
      <x:c r="B117" s="1" t="s">
        <x:v>541</x:v>
      </x:c>
      <x:c r="C117" s="1">
        <x:v>65.2</x:v>
      </x:c>
      <x:c r="D117" s="1">
        <x:v>887.6</x:v>
      </x:c>
      <x:c r="E117" s="1">
        <x:v>4.5</x:v>
      </x:c>
      <x:c r="F117" s="1">
        <x:v>0.7</x:v>
      </x:c>
      <x:c r="G117" s="1">
        <x:v>3.0</x:v>
      </x:c>
      <x:c r="H117" s="1">
        <x:v>0.0</x:v>
      </x:c>
      <x:c r="I117" s="1">
        <x:v>1.4</x:v>
      </x:c>
      <x:c r="J117" s="1">
        <x:v>178.4</x:v>
      </x:c>
      <x:c r="K117" s="18">
        <x:f t="shared" si="1"/>
        <x:v>0.1859216255</x:v>
      </x:c>
      <x:c r="L117" s="18">
        <x:f t="shared" si="2"/>
        <x:v>43.65585082</x:v>
      </x:c>
      <x:c r="M117" s="119" t="n">
        <x:f>C119*Scoring!$B$34+D119/Scoring!$C$34+E119*Scoring!$D$34+WR!F119*Scoring!$E$34+WR!G119/Scoring!$F$34+WR!H119*Scoring!$G$34+WR!I119*Scoring!$H$34+K119*Scoring!$I$34+WR!L119*Scoring!$J$34+U117</x:f>
        <x:v>143.0872</x:v>
      </x:c>
      <x:c r="N117" s="119" t="n">
        <x:f>C117*Scoring!$B$34+D117/Scoring!$C$34+E117*Scoring!$D$34+WR!F117*Scoring!$E$34+WR!G117/Scoring!$F$34+WR!H117*Scoring!$G$34+WR!I117*Scoring!$H$34+K117*Scoring!$I$34+WR!L117*Scoring!$J$34+U117</x:f>
        <x:v>163.14720000000003</x:v>
      </x:c>
      <x:c r="O117" s="119" t="n">
        <x:f>C118*Scoring!$B$34+D118/Scoring!$C$34+E118*Scoring!$D$34+WR!F118*Scoring!$E$34+WR!G118/Scoring!$F$34+WR!H118*Scoring!$G$34+WR!I118*Scoring!$H$34+K118*Scoring!$I$34+WR!L118*Scoring!$J$34+U117</x:f>
        <x:v>185.6072</x:v>
      </x:c>
      <x:c r="P117" s="9" t="n">
        <x:f>IF(COUNTIF(Rookies!$A:$A,A117)&gt;0,1,0)</x:f>
        <x:v>1</x:v>
      </x:c>
      <x:c r="Q117" s="9"/>
      <x:c r="R117" s="9"/>
      <x:c r="S117" s="9" t="n">
        <x:f>V117/17</x:f>
        <x:v>8.662352941176472</x:v>
      </x:c>
      <x:c r="T117" s="9" t="n">
        <x:f>IF(P117=1,MAX(0,0.28*(12-S117)),0)</x:f>
        <x:v>0.9345411764705879</x:v>
      </x:c>
      <x:c r="U117" s="9" t="n">
        <x:f>T117*17</x:f>
        <x:v>15.887199999999995</x:v>
      </x:c>
      <x:c r="V117" s="9" t="n">
        <x:f>C117*Scoring!$B$34+D117/Scoring!$C$34+E117*Scoring!$D$34+WR!F117*Scoring!$E$34+WR!G117/Scoring!$F$34+WR!H117*Scoring!$G$34+WR!I117*Scoring!$H$34+K117*Scoring!$I$34+WR!L117*Scoring!$J$34</x:f>
        <x:v>147.26000000000002</x:v>
      </x:c>
      <x:c r="W117" s="9"/>
      <x:c r="X117" s="9"/>
      <x:c r="Y117" s="9"/>
      <x:c r="Z117" s="9"/>
    </x:row>
    <x:row r="118" ht="14.25" customHeight="1">
      <x:c r="B118" s="1" t="s">
        <x:v>488</x:v>
      </x:c>
      <x:c r="C118" s="1">
        <x:v>74.5</x:v>
      </x:c>
      <x:c r="D118" s="1">
        <x:v>1023.7</x:v>
      </x:c>
      <x:c r="E118" s="1">
        <x:v>5.0</x:v>
      </x:c>
      <x:c r="F118" s="1">
        <x:v>2.0</x:v>
      </x:c>
      <x:c r="G118" s="1">
        <x:v>9.0</x:v>
      </x:c>
      <x:c r="H118" s="1">
        <x:v>0.0</x:v>
      </x:c>
      <x:c r="I118" s="1">
        <x:v>0.8</x:v>
      </x:c>
      <x:c r="J118" s="1">
        <x:v>214.4</x:v>
      </x:c>
      <x:c r="K118" s="18">
        <x:f t="shared" si="1"/>
        <x:v>0.5577648766</x:v>
      </x:c>
      <x:c r="L118" s="18">
        <x:f t="shared" si="2"/>
        <x:v>50.34981352</x:v>
      </x:c>
      <x:c r="M118" s="121"/>
      <x:c r="N118" s="121"/>
      <x:c r="O118" s="121"/>
      <x:c r="P118" s="9"/>
      <x:c r="Q118" s="9"/>
      <x:c r="R118" s="9"/>
      <x:c r="S118" s="9"/>
      <x:c r="T118" s="9"/>
      <x:c r="U118" s="9"/>
      <x:c r="V118" s="9"/>
      <x:c r="W118" s="9"/>
      <x:c r="X118" s="9"/>
      <x:c r="Y118" s="9"/>
      <x:c r="Z118" s="9"/>
    </x:row>
    <x:row r="119" ht="14.25" customHeight="1">
      <x:c r="B119" s="1" t="s">
        <x:v>489</x:v>
      </x:c>
      <x:c r="C119" s="1">
        <x:v>56.0</x:v>
      </x:c>
      <x:c r="D119" s="1">
        <x:v>772.0</x:v>
      </x:c>
      <x:c r="E119" s="1">
        <x:v>4.0</x:v>
      </x:c>
      <x:c r="F119" s="1">
        <x:v>0.0</x:v>
      </x:c>
      <x:c r="G119" s="1">
        <x:v>0.0</x:v>
      </x:c>
      <x:c r="H119" s="1">
        <x:v>0.0</x:v>
      </x:c>
      <x:c r="I119" s="1">
        <x:v>2.0</x:v>
      </x:c>
      <x:c r="J119" s="1">
        <x:v>154.2</x:v>
      </x:c>
      <x:c r="K119" s="18">
        <x:f t="shared" si="1"/>
        <x:v>0</x:v>
      </x:c>
      <x:c r="L119" s="18">
        <x:f t="shared" si="2"/>
        <x:v>37.97016317</x:v>
      </x:c>
      <x:c r="M119" s="121"/>
      <x:c r="N119" s="121"/>
      <x:c r="O119" s="121"/>
      <x:c r="P119" s="9"/>
      <x:c r="Q119" s="9"/>
      <x:c r="R119" s="9"/>
      <x:c r="S119" s="9"/>
      <x:c r="T119" s="9"/>
      <x:c r="U119" s="9"/>
      <x:c r="V119" s="9"/>
      <x:c r="W119" s="9"/>
      <x:c r="X119" s="9"/>
      <x:c r="Y119" s="9"/>
      <x:c r="Z119" s="9"/>
    </x:row>
    <x:row r="120" ht="14.25" customHeight="1">
      <x:c r="A120" s="1" t="s">
        <x:v>772</x:v>
      </x:c>
      <x:c r="B120" s="1" t="s">
        <x:v>543</x:v>
      </x:c>
      <x:c r="C120" s="1">
        <x:v>67.5</x:v>
      </x:c>
      <x:c r="D120" s="1">
        <x:v>839.8</x:v>
      </x:c>
      <x:c r="E120" s="1">
        <x:v>4.5</x:v>
      </x:c>
      <x:c r="F120" s="1">
        <x:v>0.0</x:v>
      </x:c>
      <x:c r="G120" s="1">
        <x:v>0.7</x:v>
      </x:c>
      <x:c r="H120" s="1">
        <x:v>0.0</x:v>
      </x:c>
      <x:c r="I120" s="1">
        <x:v>0.2</x:v>
      </x:c>
      <x:c r="J120" s="1">
        <x:v>177.9</x:v>
      </x:c>
      <x:c r="K120" s="18">
        <x:f t="shared" si="1"/>
        <x:v>0</x:v>
      </x:c>
      <x:c r="L120" s="18">
        <x:f t="shared" si="2"/>
        <x:v>41.30484848</x:v>
      </x:c>
      <x:c r="M120" s="119" t="n">
        <x:f>C122*Scoring!$B$34+D122/Scoring!$C$34+E122*Scoring!$D$34+WR!F122*Scoring!$E$34+WR!G122/Scoring!$F$34+WR!H122*Scoring!$G$34+WR!I122*Scoring!$H$34+K122*Scoring!$I$34+WR!L122*Scoring!$J$34+U120</x:f>
        <x:v>135.2</x:v>
      </x:c>
      <x:c r="N120" s="119" t="n">
        <x:f>C120*Scoring!$B$34+D120/Scoring!$C$34+E120*Scoring!$D$34+WR!F120*Scoring!$E$34+WR!G120/Scoring!$F$34+WR!H120*Scoring!$G$34+WR!I120*Scoring!$H$34+K120*Scoring!$I$34+WR!L120*Scoring!$J$34+U120</x:f>
        <x:v>144.6</x:v>
      </x:c>
      <x:c r="O120" s="119" t="n">
        <x:f>C121*Scoring!$B$34+D121/Scoring!$C$34+E121*Scoring!$D$34+WR!F121*Scoring!$E$34+WR!G121/Scoring!$F$34+WR!H121*Scoring!$G$34+WR!I121*Scoring!$H$34+K121*Scoring!$I$34+WR!L121*Scoring!$J$34+U120</x:f>
        <x:v>157.52999999999997</x:v>
      </x:c>
      <x:c r="P120" s="9" t="n">
        <x:f>IF(COUNTIF(Rookies!$A:$A,A120)&gt;0,1,0)</x:f>
        <x:v>0</x:v>
      </x:c>
      <x:c r="Q120" s="9"/>
      <x:c r="R120" s="9"/>
      <x:c r="S120" s="9" t="n">
        <x:f>V120/17</x:f>
        <x:v>8.505882352941176</x:v>
      </x:c>
      <x:c r="T120" s="9" t="n">
        <x:f>IF(P120=1,MAX(0,0.28*(12-S120)),0)</x:f>
        <x:v>0</x:v>
      </x:c>
      <x:c r="U120" s="9" t="n">
        <x:f>T120*17</x:f>
        <x:v>0</x:v>
      </x:c>
      <x:c r="V120" s="9" t="n">
        <x:f>C120*Scoring!$B$34+D120/Scoring!$C$34+E120*Scoring!$D$34+WR!F120*Scoring!$E$34+WR!G120/Scoring!$F$34+WR!H120*Scoring!$G$34+WR!I120*Scoring!$H$34+K120*Scoring!$I$34+WR!L120*Scoring!$J$34</x:f>
        <x:v>144.6</x:v>
      </x:c>
      <x:c r="W120" s="9"/>
      <x:c r="X120" s="9"/>
      <x:c r="Y120" s="9"/>
      <x:c r="Z120" s="9"/>
    </x:row>
    <x:row r="121" ht="14.25" customHeight="1">
      <x:c r="B121" s="1" t="s">
        <x:v>488</x:v>
      </x:c>
      <x:c r="C121" s="1">
        <x:v>70.6</x:v>
      </x:c>
      <x:c r="D121" s="1">
        <x:v>860.3</x:v>
      </x:c>
      <x:c r="E121" s="1">
        <x:v>6.0</x:v>
      </x:c>
      <x:c r="F121" s="1">
        <x:v>0.0</x:v>
      </x:c>
      <x:c r="G121" s="1">
        <x:v>2.0</x:v>
      </x:c>
      <x:c r="H121" s="1">
        <x:v>0.0</x:v>
      </x:c>
      <x:c r="I121" s="1">
        <x:v>0.0</x:v>
      </x:c>
      <x:c r="J121" s="1">
        <x:v>206.7</x:v>
      </x:c>
      <x:c r="K121" s="18">
        <x:f t="shared" si="1"/>
        <x:v>0</x:v>
      </x:c>
      <x:c r="L121" s="18">
        <x:f t="shared" si="2"/>
        <x:v>42.31312354</x:v>
      </x:c>
      <x:c r="M121" s="121"/>
      <x:c r="N121" s="121"/>
      <x:c r="O121" s="121"/>
      <x:c r="P121" s="9"/>
      <x:c r="Q121" s="9"/>
      <x:c r="R121" s="9"/>
      <x:c r="S121" s="9"/>
      <x:c r="T121" s="9"/>
      <x:c r="U121" s="9"/>
      <x:c r="V121" s="9"/>
      <x:c r="W121" s="9"/>
      <x:c r="X121" s="9"/>
      <x:c r="Y121" s="9"/>
      <x:c r="Z121" s="9"/>
    </x:row>
    <x:row r="122" ht="14.25" customHeight="1">
      <x:c r="B122" s="1" t="s">
        <x:v>489</x:v>
      </x:c>
      <x:c r="C122" s="1">
        <x:v>66.0</x:v>
      </x:c>
      <x:c r="D122" s="1">
        <x:v>822.0</x:v>
      </x:c>
      <x:c r="E122" s="1">
        <x:v>3.4</x:v>
      </x:c>
      <x:c r="F122" s="1">
        <x:v>0.0</x:v>
      </x:c>
      <x:c r="G122" s="1">
        <x:v>0.0</x:v>
      </x:c>
      <x:c r="H122" s="1">
        <x:v>0.0</x:v>
      </x:c>
      <x:c r="I122" s="1">
        <x:v>0.4</x:v>
      </x:c>
      <x:c r="J122" s="1">
        <x:v>173.5</x:v>
      </x:c>
      <x:c r="K122" s="18">
        <x:f t="shared" si="1"/>
        <x:v>0</x:v>
      </x:c>
      <x:c r="L122" s="18">
        <x:f t="shared" si="2"/>
        <x:v>40.42937063</x:v>
      </x:c>
      <x:c r="M122" s="121"/>
      <x:c r="N122" s="121"/>
      <x:c r="O122" s="121"/>
      <x:c r="P122" s="9"/>
      <x:c r="Q122" s="9"/>
      <x:c r="R122" s="9"/>
      <x:c r="S122" s="9"/>
      <x:c r="T122" s="9"/>
      <x:c r="U122" s="9"/>
      <x:c r="V122" s="9"/>
      <x:c r="W122" s="9"/>
      <x:c r="X122" s="9"/>
      <x:c r="Y122" s="9"/>
      <x:c r="Z122" s="9"/>
    </x:row>
    <x:row r="123" ht="14.25" customHeight="1">
      <x:c r="A123" s="1" t="s">
        <x:v>773</x:v>
      </x:c>
      <x:c r="B123" s="1" t="s">
        <x:v>531</x:v>
      </x:c>
      <x:c r="C123" s="1">
        <x:v>63.1</x:v>
      </x:c>
      <x:c r="D123" s="1">
        <x:v>757.7</x:v>
      </x:c>
      <x:c r="E123" s="1">
        <x:v>4.8</x:v>
      </x:c>
      <x:c r="F123" s="1">
        <x:v>12.0</x:v>
      </x:c>
      <x:c r="G123" s="1">
        <x:v>86.9</x:v>
      </x:c>
      <x:c r="H123" s="1">
        <x:v>0.1</x:v>
      </x:c>
      <x:c r="I123" s="1">
        <x:v>0.4</x:v>
      </x:c>
      <x:c r="J123" s="1">
        <x:v>176.3</x:v>
      </x:c>
      <x:c r="K123" s="18">
        <x:f t="shared" si="1"/>
        <x:v>5.385529753</x:v>
      </x:c>
      <x:c r="L123" s="18">
        <x:f t="shared" si="2"/>
        <x:v>37.26682984</x:v>
      </x:c>
      <x:c r="M123" s="119" t="n">
        <x:f>C125*Scoring!$B$34+D125/Scoring!$C$34+E125*Scoring!$D$34+WR!F125*Scoring!$E$34+WR!G125/Scoring!$F$34+WR!H125*Scoring!$G$34+WR!I125*Scoring!$H$34+K125*Scoring!$I$34+WR!L125*Scoring!$J$34+U123</x:f>
        <x:v>134.79999999999998</x:v>
      </x:c>
      <x:c r="N123" s="119" t="n">
        <x:f>C123*Scoring!$B$34+D123/Scoring!$C$34+E123*Scoring!$D$34+WR!F123*Scoring!$E$34+WR!G123/Scoring!$F$34+WR!H123*Scoring!$G$34+WR!I123*Scoring!$H$34+K123*Scoring!$I$34+WR!L123*Scoring!$J$34+U123</x:f>
        <x:v>145.01</x:v>
      </x:c>
      <x:c r="O123" s="119" t="n">
        <x:f>C124*Scoring!$B$34+D124/Scoring!$C$34+E124*Scoring!$D$34+WR!F124*Scoring!$E$34+WR!G124/Scoring!$F$34+WR!H124*Scoring!$G$34+WR!I124*Scoring!$H$34+K124*Scoring!$I$34+WR!L124*Scoring!$J$34+U123</x:f>
        <x:v>159.70000000000002</x:v>
      </x:c>
      <x:c r="P123" s="9" t="n">
        <x:f>IF(COUNTIF(Rookies!$A:$A,A123)&gt;0,1,0)</x:f>
        <x:v>0</x:v>
      </x:c>
      <x:c r="Q123" s="9"/>
      <x:c r="R123" s="9"/>
      <x:c r="S123" s="9" t="n">
        <x:f>V123/17</x:f>
        <x:v>8.53</x:v>
      </x:c>
      <x:c r="T123" s="9" t="n">
        <x:f>IF(P123=1,MAX(0,0.28*(12-S123)),0)</x:f>
        <x:v>0</x:v>
      </x:c>
      <x:c r="U123" s="9" t="n">
        <x:f>T123*17</x:f>
        <x:v>0</x:v>
      </x:c>
      <x:c r="V123" s="9" t="n">
        <x:f>C123*Scoring!$B$34+D123/Scoring!$C$34+E123*Scoring!$D$34+WR!F123*Scoring!$E$34+WR!G123/Scoring!$F$34+WR!H123*Scoring!$G$34+WR!I123*Scoring!$H$34+K123*Scoring!$I$34+WR!L123*Scoring!$J$34</x:f>
        <x:v>145.01</x:v>
      </x:c>
      <x:c r="W123" s="9"/>
      <x:c r="X123" s="9"/>
      <x:c r="Y123" s="9"/>
      <x:c r="Z123" s="9"/>
    </x:row>
    <x:row r="124" ht="14.25" customHeight="1">
      <x:c r="B124" s="1" t="s">
        <x:v>488</x:v>
      </x:c>
      <x:c r="C124" s="1">
        <x:v>66.0</x:v>
      </x:c>
      <x:c r="D124" s="1">
        <x:v>815.0</x:v>
      </x:c>
      <x:c r="E124" s="1">
        <x:v>5.0</x:v>
      </x:c>
      <x:c r="F124" s="1">
        <x:v>16.0</x:v>
      </x:c>
      <x:c r="G124" s="1">
        <x:v>128.0</x:v>
      </x:c>
      <x:c r="H124" s="1">
        <x:v>0.4</x:v>
      </x:c>
      <x:c r="I124" s="1">
        <x:v>0.0</x:v>
      </x:c>
      <x:c r="J124" s="1">
        <x:v>214.4</x:v>
      </x:c>
      <x:c r="K124" s="18">
        <x:f t="shared" si="1"/>
        <x:v>7.932656023</x:v>
      </x:c>
      <x:c r="L124" s="18">
        <x:f t="shared" si="2"/>
        <x:v>40.08508159</x:v>
      </x:c>
      <x:c r="M124" s="121"/>
      <x:c r="N124" s="121"/>
      <x:c r="O124" s="121"/>
      <x:c r="P124" s="9"/>
      <x:c r="Q124" s="9"/>
      <x:c r="R124" s="9"/>
      <x:c r="S124" s="9"/>
      <x:c r="T124" s="9"/>
      <x:c r="U124" s="9"/>
      <x:c r="V124" s="9"/>
      <x:c r="W124" s="9"/>
      <x:c r="X124" s="9"/>
      <x:c r="Y124" s="9"/>
      <x:c r="Z124" s="9"/>
    </x:row>
    <x:row r="125" ht="14.25" customHeight="1">
      <x:c r="B125" s="1" t="s">
        <x:v>489</x:v>
      </x:c>
      <x:c r="C125" s="1">
        <x:v>60.0</x:v>
      </x:c>
      <x:c r="D125" s="1">
        <x:v>727.2</x:v>
      </x:c>
      <x:c r="E125" s="1">
        <x:v>4.4</x:v>
      </x:c>
      <x:c r="F125" s="1">
        <x:v>9.0</x:v>
      </x:c>
      <x:c r="G125" s="1">
        <x:v>64.8</x:v>
      </x:c>
      <x:c r="H125" s="1">
        <x:v>0.0</x:v>
      </x:c>
      <x:c r="I125" s="1">
        <x:v>0.8</x:v>
      </x:c>
      <x:c r="J125" s="1">
        <x:v>164.1</x:v>
      </x:c>
      <x:c r="K125" s="18">
        <x:f t="shared" si="1"/>
        <x:v>4.015907112</x:v>
      </x:c>
      <x:c r="L125" s="18">
        <x:f t="shared" si="2"/>
        <x:v>35.76671329</x:v>
      </x:c>
      <x:c r="M125" s="121"/>
      <x:c r="N125" s="121"/>
      <x:c r="O125" s="121"/>
      <x:c r="P125" s="9"/>
      <x:c r="Q125" s="9"/>
      <x:c r="R125" s="9"/>
      <x:c r="S125" s="9"/>
      <x:c r="T125" s="9"/>
      <x:c r="U125" s="9"/>
      <x:c r="V125" s="9"/>
      <x:c r="W125" s="9"/>
      <x:c r="X125" s="9"/>
      <x:c r="Y125" s="9"/>
      <x:c r="Z125" s="9"/>
    </x:row>
    <x:row r="126" ht="14.25" customHeight="1">
      <x:c r="A126" s="1" t="s">
        <x:v>774</x:v>
      </x:c>
      <x:c r="B126" s="1" t="s">
        <x:v>523</x:v>
      </x:c>
      <x:c r="C126" s="1">
        <x:v>67.8</x:v>
      </x:c>
      <x:c r="D126" s="1">
        <x:v>773.9</x:v>
      </x:c>
      <x:c r="E126" s="1">
        <x:v>5.2</x:v>
      </x:c>
      <x:c r="F126" s="1">
        <x:v>0.3</x:v>
      </x:c>
      <x:c r="G126" s="1">
        <x:v>0.3</x:v>
      </x:c>
      <x:c r="H126" s="1">
        <x:v>0.0</x:v>
      </x:c>
      <x:c r="I126" s="1">
        <x:v>0.3</x:v>
      </x:c>
      <x:c r="J126" s="1">
        <x:v>175.7</x:v>
      </x:c>
      <x:c r="K126" s="18">
        <x:f t="shared" si="1"/>
        <x:v>0.01859216255</x:v>
      </x:c>
      <x:c r="L126" s="18">
        <x:f t="shared" si="2"/>
        <x:v>38.06361305</x:v>
      </x:c>
      <x:c r="M126" s="119" t="n">
        <x:f>C128*Scoring!$B$34+D128/Scoring!$C$34+E128*Scoring!$D$34+WR!F128*Scoring!$E$34+WR!G128/Scoring!$F$34+WR!H128*Scoring!$G$34+WR!I128*Scoring!$H$34+K128*Scoring!$I$34+WR!L128*Scoring!$J$34+U126</x:f>
        <x:v>126.67000000000002</x:v>
      </x:c>
      <x:c r="N126" s="119" t="n">
        <x:f>C126*Scoring!$B$34+D126/Scoring!$C$34+E126*Scoring!$D$34+WR!F126*Scoring!$E$34+WR!G126/Scoring!$F$34+WR!H126*Scoring!$G$34+WR!I126*Scoring!$H$34+K126*Scoring!$I$34+WR!L126*Scoring!$J$34+U126</x:f>
        <x:v>142.22</x:v>
      </x:c>
      <x:c r="O126" s="119" t="n">
        <x:f>C127*Scoring!$B$34+D127/Scoring!$C$34+E127*Scoring!$D$34+WR!F127*Scoring!$E$34+WR!G127/Scoring!$F$34+WR!H127*Scoring!$G$34+WR!I127*Scoring!$H$34+K127*Scoring!$I$34+WR!L127*Scoring!$J$34+U126</x:f>
        <x:v>157.79999999999998</x:v>
      </x:c>
      <x:c r="P126" s="9" t="n">
        <x:f>IF(COUNTIF(Rookies!$A:$A,A126)&gt;0,1,0)</x:f>
        <x:v>0</x:v>
      </x:c>
      <x:c r="Q126" s="9"/>
      <x:c r="R126" s="9"/>
      <x:c r="S126" s="9" t="n">
        <x:f>V126/17</x:f>
        <x:v>8.365882352941176</x:v>
      </x:c>
      <x:c r="T126" s="9" t="n">
        <x:f>IF(P126=1,MAX(0,0.28*(12-S126)),0)</x:f>
        <x:v>0</x:v>
      </x:c>
      <x:c r="U126" s="9" t="n">
        <x:f>T126*17</x:f>
        <x:v>0</x:v>
      </x:c>
      <x:c r="V126" s="9" t="n">
        <x:f>C126*Scoring!$B$34+D126/Scoring!$C$34+E126*Scoring!$D$34+WR!F126*Scoring!$E$34+WR!G126/Scoring!$F$34+WR!H126*Scoring!$G$34+WR!I126*Scoring!$H$34+K126*Scoring!$I$34+WR!L126*Scoring!$J$34</x:f>
        <x:v>142.22</x:v>
      </x:c>
      <x:c r="W126" s="9"/>
      <x:c r="X126" s="9"/>
      <x:c r="Y126" s="9"/>
      <x:c r="Z126" s="9"/>
    </x:row>
    <x:row r="127" ht="14.25" customHeight="1">
      <x:c r="B127" s="1" t="s">
        <x:v>488</x:v>
      </x:c>
      <x:c r="C127" s="1">
        <x:v>75.0</x:v>
      </x:c>
      <x:c r="D127" s="1">
        <x:v>842.0</x:v>
      </x:c>
      <x:c r="E127" s="1">
        <x:v>6.0</x:v>
      </x:c>
      <x:c r="F127" s="1">
        <x:v>1.0</x:v>
      </x:c>
      <x:c r="G127" s="1">
        <x:v>1.0</x:v>
      </x:c>
      <x:c r="H127" s="1">
        <x:v>0.0</x:v>
      </x:c>
      <x:c r="I127" s="1">
        <x:v>0.0</x:v>
      </x:c>
      <x:c r="J127" s="1">
        <x:v>209.7</x:v>
      </x:c>
      <x:c r="K127" s="18">
        <x:f t="shared" si="1"/>
        <x:v>0.06197387518</x:v>
      </x:c>
      <x:c r="L127" s="18">
        <x:f t="shared" si="2"/>
        <x:v>41.41305361</x:v>
      </x:c>
      <x:c r="M127" s="121"/>
      <x:c r="N127" s="121"/>
      <x:c r="O127" s="121"/>
      <x:c r="P127" s="9"/>
      <x:c r="Q127" s="9"/>
      <x:c r="R127" s="9"/>
      <x:c r="S127" s="9"/>
      <x:c r="T127" s="9"/>
      <x:c r="U127" s="9"/>
      <x:c r="V127" s="9"/>
      <x:c r="W127" s="9"/>
      <x:c r="X127" s="9"/>
      <x:c r="Y127" s="9"/>
      <x:c r="Z127" s="9"/>
    </x:row>
    <x:row r="128" ht="14.25" customHeight="1">
      <x:c r="B128" s="1" t="s">
        <x:v>489</x:v>
      </x:c>
      <x:c r="C128" s="1">
        <x:v>60.4</x:v>
      </x:c>
      <x:c r="D128" s="1">
        <x:v>700.7</x:v>
      </x:c>
      <x:c r="E128" s="1">
        <x:v>4.5</x:v>
      </x:c>
      <x:c r="F128" s="1">
        <x:v>0.0</x:v>
      </x:c>
      <x:c r="G128" s="1">
        <x:v>0.0</x:v>
      </x:c>
      <x:c r="H128" s="1">
        <x:v>0.0</x:v>
      </x:c>
      <x:c r="I128" s="1">
        <x:v>0.6</x:v>
      </x:c>
      <x:c r="J128" s="1">
        <x:v>164.8</x:v>
      </x:c>
      <x:c r="K128" s="18">
        <x:f t="shared" si="1"/>
        <x:v>0</x:v>
      </x:c>
      <x:c r="L128" s="18">
        <x:f t="shared" si="2"/>
        <x:v>34.46333333</x:v>
      </x:c>
      <x:c r="M128" s="121"/>
      <x:c r="N128" s="121"/>
      <x:c r="O128" s="121"/>
      <x:c r="P128" s="9"/>
      <x:c r="Q128" s="9"/>
      <x:c r="R128" s="9"/>
      <x:c r="S128" s="9"/>
      <x:c r="T128" s="9"/>
      <x:c r="U128" s="9"/>
      <x:c r="V128" s="9"/>
      <x:c r="W128" s="9"/>
      <x:c r="X128" s="9"/>
      <x:c r="Y128" s="9"/>
      <x:c r="Z128" s="9"/>
    </x:row>
    <x:row r="129" ht="14.25" customHeight="1">
      <x:c r="A129" s="1" t="s">
        <x:v>775</x:v>
      </x:c>
      <x:c r="B129" s="1" t="s">
        <x:v>513</x:v>
      </x:c>
      <x:c r="C129" s="1">
        <x:v>53.6</x:v>
      </x:c>
      <x:c r="D129" s="1">
        <x:v>757.3</x:v>
      </x:c>
      <x:c r="E129" s="1">
        <x:v>6.9</x:v>
      </x:c>
      <x:c r="F129" s="1">
        <x:v>1.7</x:v>
      </x:c>
      <x:c r="G129" s="1">
        <x:v>5.9</x:v>
      </x:c>
      <x:c r="H129" s="1">
        <x:v>0.0</x:v>
      </x:c>
      <x:c r="I129" s="1">
        <x:v>0.7</x:v>
      </x:c>
      <x:c r="J129" s="1">
        <x:v>169.9</x:v>
      </x:c>
      <x:c r="K129" s="18">
        <x:f t="shared" si="1"/>
        <x:v>0.3656458636</x:v>
      </x:c>
      <x:c r="L129" s="18">
        <x:f t="shared" si="2"/>
        <x:v>37.24715618</x:v>
      </x:c>
      <x:c r="M129" s="119" t="n">
        <x:f>C131*Scoring!$B$34+D131/Scoring!$C$34+E131*Scoring!$D$34+WR!F131*Scoring!$E$34+WR!G131/Scoring!$F$34+WR!H131*Scoring!$G$34+WR!I131*Scoring!$H$34+K131*Scoring!$I$34+WR!L131*Scoring!$J$34+U129</x:f>
        <x:v>128.3</x:v>
      </x:c>
      <x:c r="N129" s="119" t="n">
        <x:f>C129*Scoring!$B$34+D129/Scoring!$C$34+E129*Scoring!$D$34+WR!F129*Scoring!$E$34+WR!G129/Scoring!$F$34+WR!H129*Scoring!$G$34+WR!I129*Scoring!$H$34+K129*Scoring!$I$34+WR!L129*Scoring!$J$34+U129</x:f>
        <x:v>143.82000000000002</x:v>
      </x:c>
      <x:c r="O129" s="119" t="n">
        <x:f>C130*Scoring!$B$34+D130/Scoring!$C$34+E130*Scoring!$D$34+WR!F130*Scoring!$E$34+WR!G130/Scoring!$F$34+WR!H130*Scoring!$G$34+WR!I130*Scoring!$H$34+K130*Scoring!$I$34+WR!L130*Scoring!$J$34+U129</x:f>
        <x:v>162.88</x:v>
      </x:c>
      <x:c r="P129" s="9" t="n">
        <x:f>IF(COUNTIF(Rookies!$A:$A,A129)&gt;0,1,0)</x:f>
        <x:v>0</x:v>
      </x:c>
      <x:c r="Q129" s="9"/>
      <x:c r="R129" s="9"/>
      <x:c r="S129" s="9" t="n">
        <x:f>V129/17</x:f>
        <x:v>8.46</x:v>
      </x:c>
      <x:c r="T129" s="9" t="n">
        <x:f>IF(P129=1,MAX(0,0.28*(12-S129)),0)</x:f>
        <x:v>0</x:v>
      </x:c>
      <x:c r="U129" s="9" t="n">
        <x:f>T129*17</x:f>
        <x:v>0</x:v>
      </x:c>
      <x:c r="V129" s="9" t="n">
        <x:f>C129*Scoring!$B$34+D129/Scoring!$C$34+E129*Scoring!$D$34+WR!F129*Scoring!$E$34+WR!G129/Scoring!$F$34+WR!H129*Scoring!$G$34+WR!I129*Scoring!$H$34+K129*Scoring!$I$34+WR!L129*Scoring!$J$34</x:f>
        <x:v>143.82000000000002</x:v>
      </x:c>
      <x:c r="W129" s="9"/>
      <x:c r="X129" s="9"/>
      <x:c r="Y129" s="9"/>
      <x:c r="Z129" s="9"/>
    </x:row>
    <x:row r="130" ht="14.25" customHeight="1">
      <x:c r="B130" s="1" t="s">
        <x:v>488</x:v>
      </x:c>
      <x:c r="C130" s="1">
        <x:v>58.0</x:v>
      </x:c>
      <x:c r="D130" s="1">
        <x:v>787.0</x:v>
      </x:c>
      <x:c r="E130" s="1">
        <x:v>9.0</x:v>
      </x:c>
      <x:c r="F130" s="1">
        <x:v>3.0</x:v>
      </x:c>
      <x:c r="G130" s="1">
        <x:v>10.8</x:v>
      </x:c>
      <x:c r="H130" s="1">
        <x:v>0.1</x:v>
      </x:c>
      <x:c r="I130" s="1">
        <x:v>0.5</x:v>
      </x:c>
      <x:c r="J130" s="1">
        <x:v>185.3</x:v>
      </x:c>
      <x:c r="K130" s="18">
        <x:f t="shared" si="1"/>
        <x:v>0.669317852</x:v>
      </x:c>
      <x:c r="L130" s="18">
        <x:f t="shared" si="2"/>
        <x:v>38.70792541</x:v>
      </x:c>
      <x:c r="M130" s="121"/>
      <x:c r="N130" s="121"/>
      <x:c r="O130" s="121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</x:row>
    <x:row r="131" ht="14.25" customHeight="1">
      <x:c r="B131" s="1" t="s">
        <x:v>489</x:v>
      </x:c>
      <x:c r="C131" s="1">
        <x:v>50.0</x:v>
      </x:c>
      <x:c r="D131" s="1">
        <x:v>707.0</x:v>
      </x:c>
      <x:c r="E131" s="1">
        <x:v>5.6</x:v>
      </x:c>
      <x:c r="F131" s="1">
        <x:v>0.0</x:v>
      </x:c>
      <x:c r="G131" s="1">
        <x:v>0.0</x:v>
      </x:c>
      <x:c r="H131" s="1">
        <x:v>0.0</x:v>
      </x:c>
      <x:c r="I131" s="1">
        <x:v>1.0</x:v>
      </x:c>
      <x:c r="J131" s="1">
        <x:v>166.2</x:v>
      </x:c>
      <x:c r="K131" s="18">
        <x:f t="shared" si="1"/>
        <x:v>0</x:v>
      </x:c>
      <x:c r="L131" s="18">
        <x:f t="shared" si="2"/>
        <x:v>34.77319347</x:v>
      </x:c>
      <x:c r="M131" s="121"/>
      <x:c r="N131" s="121"/>
      <x:c r="O131" s="121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</x:row>
    <x:row r="132" ht="14.25" customHeight="1">
      <x:c r="A132" s="1" t="s">
        <x:v>776</x:v>
      </x:c>
      <x:c r="B132" s="1" t="s">
        <x:v>525</x:v>
      </x:c>
      <x:c r="C132" s="1">
        <x:v>55.2</x:v>
      </x:c>
      <x:c r="D132" s="1">
        <x:v>758.4</x:v>
      </x:c>
      <x:c r="E132" s="1">
        <x:v>5.4</x:v>
      </x:c>
      <x:c r="F132" s="1">
        <x:v>2.7</x:v>
      </x:c>
      <x:c r="G132" s="1">
        <x:v>37.1</x:v>
      </x:c>
      <x:c r="H132" s="1">
        <x:v>0.4</x:v>
      </x:c>
      <x:c r="I132" s="1">
        <x:v>0.2</x:v>
      </x:c>
      <x:c r="J132" s="1">
        <x:v>168.9</x:v>
      </x:c>
      <x:c r="K132" s="18">
        <x:f t="shared" si="1"/>
        <x:v>2.299230769</x:v>
      </x:c>
      <x:c r="L132" s="18">
        <x:f t="shared" si="2"/>
        <x:v>37.30125874</x:v>
      </x:c>
      <x:c r="M132" s="119" t="n">
        <x:f>C134*Scoring!$B$34+D134/Scoring!$C$34+E134*Scoring!$D$34+WR!F134*Scoring!$E$34+WR!G134/Scoring!$F$34+WR!H134*Scoring!$G$34+WR!I134*Scoring!$H$34+K134*Scoring!$I$34+WR!L134*Scoring!$J$34+U132</x:f>
        <x:v>129.64</x:v>
      </x:c>
      <x:c r="N132" s="119" t="n">
        <x:f>C132*Scoring!$B$34+D132/Scoring!$C$34+E132*Scoring!$D$34+WR!F132*Scoring!$E$34+WR!G132/Scoring!$F$34+WR!H132*Scoring!$G$34+WR!I132*Scoring!$H$34+K132*Scoring!$I$34+WR!L132*Scoring!$J$34+U132</x:f>
        <x:v>141.75000000000003</x:v>
      </x:c>
      <x:c r="O132" s="119" t="n">
        <x:f>C133*Scoring!$B$34+D133/Scoring!$C$34+E133*Scoring!$D$34+WR!F133*Scoring!$E$34+WR!G133/Scoring!$F$34+WR!H133*Scoring!$G$34+WR!I133*Scoring!$H$34+K133*Scoring!$I$34+WR!L133*Scoring!$J$34+U132</x:f>
        <x:v>157.08</x:v>
      </x:c>
      <x:c r="P132" s="9" t="n">
        <x:f>IF(COUNTIF(Rookies!$A:$A,A132)&gt;0,1,0)</x:f>
        <x:v>0</x:v>
      </x:c>
      <x:c r="Q132" s="9"/>
      <x:c r="R132" s="9"/>
      <x:c r="S132" s="9" t="n">
        <x:f>V132/17</x:f>
        <x:v>8.338235294117649</x:v>
      </x:c>
      <x:c r="T132" s="9" t="n">
        <x:f>IF(P132=1,MAX(0,0.28*(12-S132)),0)</x:f>
        <x:v>0</x:v>
      </x:c>
      <x:c r="U132" s="9" t="n">
        <x:f>T132*17</x:f>
        <x:v>0</x:v>
      </x:c>
      <x:c r="V132" s="9" t="n">
        <x:f>C132*Scoring!$B$34+D132/Scoring!$C$34+E132*Scoring!$D$34+WR!F132*Scoring!$E$34+WR!G132/Scoring!$F$34+WR!H132*Scoring!$G$34+WR!I132*Scoring!$H$34+K132*Scoring!$I$34+WR!L132*Scoring!$J$34</x:f>
        <x:v>141.75000000000003</x:v>
      </x:c>
      <x:c r="W132" s="9"/>
      <x:c r="X132" s="9"/>
      <x:c r="Y132" s="9"/>
      <x:c r="Z132" s="9"/>
    </x:row>
    <x:row r="133" ht="14.25" customHeight="1">
      <x:c r="B133" s="1" t="s">
        <x:v>488</x:v>
      </x:c>
      <x:c r="C133" s="1">
        <x:v>60.5</x:v>
      </x:c>
      <x:c r="D133" s="1">
        <x:v>770.3</x:v>
      </x:c>
      <x:c r="E133" s="1">
        <x:v>6.0</x:v>
      </x:c>
      <x:c r="F133" s="1">
        <x:v>3.0</x:v>
      </x:c>
      <x:c r="G133" s="1">
        <x:v>78.0</x:v>
      </x:c>
      <x:c r="H133" s="1">
        <x:v>1.0</x:v>
      </x:c>
      <x:c r="I133" s="1">
        <x:v>0.0</x:v>
      </x:c>
      <x:c r="J133" s="1">
        <x:v>191.5</x:v>
      </x:c>
      <x:c r="K133" s="18">
        <x:f t="shared" si="1"/>
        <x:v>4.833962264</x:v>
      </x:c>
      <x:c r="L133" s="18">
        <x:f t="shared" si="2"/>
        <x:v>37.88655012</x:v>
      </x:c>
      <x:c r="M133" s="121"/>
      <x:c r="N133" s="121"/>
      <x:c r="O133" s="121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</x:row>
    <x:row r="134" ht="14.25" customHeight="1">
      <x:c r="B134" s="1" t="s">
        <x:v>489</x:v>
      </x:c>
      <x:c r="C134" s="1">
        <x:v>50.0</x:v>
      </x:c>
      <x:c r="D134" s="1">
        <x:v>736.0</x:v>
      </x:c>
      <x:c r="E134" s="1">
        <x:v>5.0</x:v>
      </x:c>
      <x:c r="F134" s="1">
        <x:v>2.0</x:v>
      </x:c>
      <x:c r="G134" s="1">
        <x:v>14.4</x:v>
      </x:c>
      <x:c r="H134" s="1">
        <x:v>0.0</x:v>
      </x:c>
      <x:c r="I134" s="1">
        <x:v>0.4</x:v>
      </x:c>
      <x:c r="J134" s="1">
        <x:v>165.2</x:v>
      </x:c>
      <x:c r="K134" s="18">
        <x:f t="shared" si="1"/>
        <x:v>0.8924238026</x:v>
      </x:c>
      <x:c r="L134" s="18">
        <x:f t="shared" si="2"/>
        <x:v>36.1995338</x:v>
      </x:c>
      <x:c r="M134" s="121"/>
      <x:c r="N134" s="121"/>
      <x:c r="O134" s="121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</x:row>
    <x:row r="135" ht="14.25" customHeight="1">
      <x:c r="A135" s="1" t="s">
        <x:v>777</x:v>
      </x:c>
      <x:c r="B135" s="1" t="s">
        <x:v>503</x:v>
      </x:c>
      <x:c r="C135" s="1">
        <x:v>58.3</x:v>
      </x:c>
      <x:c r="D135" s="1">
        <x:v>664.2</x:v>
      </x:c>
      <x:c r="E135" s="1">
        <x:v>4.5</x:v>
      </x:c>
      <x:c r="F135" s="1">
        <x:v>29.1</x:v>
      </x:c>
      <x:c r="G135" s="1">
        <x:v>112.2</x:v>
      </x:c>
      <x:c r="H135" s="1">
        <x:v>1.1</x:v>
      </x:c>
      <x:c r="I135" s="1">
        <x:v>0.4</x:v>
      </x:c>
      <x:c r="J135" s="1">
        <x:v>168.6</x:v>
      </x:c>
      <x:c r="K135" s="18">
        <x:f t="shared" si="1"/>
        <x:v>6.953468795</x:v>
      </x:c>
      <x:c r="L135" s="18">
        <x:f t="shared" si="2"/>
        <x:v>32.66811189</x:v>
      </x:c>
      <x:c r="M135" s="119" t="n">
        <x:f>C137*Scoring!$B$34+D137/Scoring!$C$34+E137*Scoring!$D$34+WR!F137*Scoring!$E$34+WR!G137/Scoring!$F$34+WR!H137*Scoring!$G$34+WR!I137*Scoring!$H$34+K137*Scoring!$I$34+WR!L137*Scoring!$J$34+U135</x:f>
        <x:v>130.58999999999997</x:v>
      </x:c>
      <x:c r="N135" s="119" t="n">
        <x:f>C135*Scoring!$B$34+D135/Scoring!$C$34+E135*Scoring!$D$34+WR!F135*Scoring!$E$34+WR!G135/Scoring!$F$34+WR!H135*Scoring!$G$34+WR!I135*Scoring!$H$34+K135*Scoring!$I$34+WR!L135*Scoring!$J$34+U135</x:f>
        <x:v>139.98999999999998</x:v>
      </x:c>
      <x:c r="O135" s="119" t="n">
        <x:f>C136*Scoring!$B$34+D136/Scoring!$C$34+E136*Scoring!$D$34+WR!F136*Scoring!$E$34+WR!G136/Scoring!$F$34+WR!H136*Scoring!$G$34+WR!I136*Scoring!$H$34+K136*Scoring!$I$34+WR!L136*Scoring!$J$34+U135</x:f>
        <x:v>148.73999999999998</x:v>
      </x:c>
      <x:c r="P135" s="9" t="n">
        <x:f>IF(COUNTIF(Rookies!$A:$A,A135)&gt;0,1,0)</x:f>
        <x:v>0</x:v>
      </x:c>
      <x:c r="Q135" s="9"/>
      <x:c r="R135" s="9"/>
      <x:c r="S135" s="9" t="n">
        <x:f>V135/17</x:f>
        <x:v>8.23470588235294</x:v>
      </x:c>
      <x:c r="T135" s="9" t="n">
        <x:f>IF(P135=1,MAX(0,0.28*(12-S135)),0)</x:f>
        <x:v>0</x:v>
      </x:c>
      <x:c r="U135" s="9" t="n">
        <x:f>T135*17</x:f>
        <x:v>0</x:v>
      </x:c>
      <x:c r="V135" s="9" t="n">
        <x:f>C135*Scoring!$B$34+D135/Scoring!$C$34+E135*Scoring!$D$34+WR!F135*Scoring!$E$34+WR!G135/Scoring!$F$34+WR!H135*Scoring!$G$34+WR!I135*Scoring!$H$34+K135*Scoring!$I$34+WR!L135*Scoring!$J$34</x:f>
        <x:v>139.98999999999998</x:v>
      </x:c>
      <x:c r="W135" s="9"/>
      <x:c r="X135" s="9"/>
      <x:c r="Y135" s="9"/>
      <x:c r="Z135" s="9"/>
    </x:row>
    <x:row r="136" ht="14.25" customHeight="1">
      <x:c r="B136" s="1" t="s">
        <x:v>488</x:v>
      </x:c>
      <x:c r="C136" s="1">
        <x:v>65.0</x:v>
      </x:c>
      <x:c r="D136" s="1">
        <x:v>681.4</x:v>
      </x:c>
      <x:c r="E136" s="1">
        <x:v>5.0</x:v>
      </x:c>
      <x:c r="F136" s="1">
        <x:v>36.0</x:v>
      </x:c>
      <x:c r="G136" s="1">
        <x:v>115.0</x:v>
      </x:c>
      <x:c r="H136" s="1">
        <x:v>1.1</x:v>
      </x:c>
      <x:c r="I136" s="1">
        <x:v>0.0</x:v>
      </x:c>
      <x:c r="J136" s="1">
        <x:v>167.7</x:v>
      </x:c>
      <x:c r="K136" s="18">
        <x:f t="shared" si="1"/>
        <x:v>7.126995646</x:v>
      </x:c>
      <x:c r="L136" s="18">
        <x:f t="shared" si="2"/>
        <x:v>33.51407925</x:v>
      </x:c>
      <x:c r="M136" s="121"/>
      <x:c r="N136" s="121"/>
      <x:c r="O136" s="121"/>
      <x:c r="P136" s="9"/>
      <x:c r="Q136" s="9"/>
      <x:c r="R136" s="9"/>
      <x:c r="S136" s="9"/>
      <x:c r="T136" s="9"/>
      <x:c r="U136" s="9"/>
      <x:c r="V136" s="9"/>
      <x:c r="W136" s="9"/>
      <x:c r="X136" s="9"/>
      <x:c r="Y136" s="9"/>
      <x:c r="Z136" s="9"/>
    </x:row>
    <x:row r="137" ht="14.25" customHeight="1">
      <x:c r="B137" s="1" t="s">
        <x:v>489</x:v>
      </x:c>
      <x:c r="C137" s="1">
        <x:v>51.5</x:v>
      </x:c>
      <x:c r="D137" s="1">
        <x:v>647.0</x:v>
      </x:c>
      <x:c r="E137" s="1">
        <x:v>4.0</x:v>
      </x:c>
      <x:c r="F137" s="1">
        <x:v>22.1</x:v>
      </x:c>
      <x:c r="G137" s="1">
        <x:v>109.4</x:v>
      </x:c>
      <x:c r="H137" s="1">
        <x:v>1.0</x:v>
      </x:c>
      <x:c r="I137" s="1">
        <x:v>0.8</x:v>
      </x:c>
      <x:c r="J137" s="1">
        <x:v>154.3</x:v>
      </x:c>
      <x:c r="K137" s="18">
        <x:f t="shared" si="1"/>
        <x:v>6.779941945</x:v>
      </x:c>
      <x:c r="L137" s="18">
        <x:f t="shared" si="2"/>
        <x:v>31.82214452</x:v>
      </x:c>
      <x:c r="M137" s="121"/>
      <x:c r="N137" s="121"/>
      <x:c r="O137" s="121"/>
      <x:c r="P137" s="9"/>
      <x:c r="Q137" s="9"/>
      <x:c r="R137" s="9"/>
      <x:c r="S137" s="9"/>
      <x:c r="T137" s="9"/>
      <x:c r="U137" s="9"/>
      <x:c r="V137" s="9"/>
      <x:c r="W137" s="9"/>
      <x:c r="X137" s="9"/>
      <x:c r="Y137" s="9"/>
      <x:c r="Z137" s="9"/>
    </x:row>
    <x:row r="138" ht="14.25" customHeight="1">
      <x:c r="A138" s="1" t="s">
        <x:v>778</x:v>
      </x:c>
      <x:c r="B138" s="1" t="s">
        <x:v>509</x:v>
      </x:c>
      <x:c r="C138" s="1">
        <x:v>55.2</x:v>
      </x:c>
      <x:c r="D138" s="1">
        <x:v>722.7</x:v>
      </x:c>
      <x:c r="E138" s="1">
        <x:v>4.2</x:v>
      </x:c>
      <x:c r="F138" s="1">
        <x:v>15.5</x:v>
      </x:c>
      <x:c r="G138" s="1">
        <x:v>99.4</x:v>
      </x:c>
      <x:c r="H138" s="1">
        <x:v>0.9</x:v>
      </x:c>
      <x:c r="I138" s="1">
        <x:v>0.2</x:v>
      </x:c>
      <x:c r="J138" s="1">
        <x:v>167.5</x:v>
      </x:c>
      <x:c r="K138" s="18">
        <x:f t="shared" si="1"/>
        <x:v>6.160203193</x:v>
      </x:c>
      <x:c r="L138" s="18">
        <x:f t="shared" si="2"/>
        <x:v>35.54538462</x:v>
      </x:c>
      <x:c r="M138" s="119" t="n">
        <x:f>C140*Scoring!$B$34+D140/Scoring!$C$34+E140*Scoring!$D$34+WR!F140*Scoring!$E$34+WR!G140/Scoring!$F$34+WR!H140*Scoring!$G$34+WR!I140*Scoring!$H$34+K140*Scoring!$I$34+WR!L140*Scoring!$J$34+U138</x:f>
        <x:v>125.8</x:v>
      </x:c>
      <x:c r="N138" s="119" t="n">
        <x:f>C138*Scoring!$B$34+D138/Scoring!$C$34+E138*Scoring!$D$34+WR!F138*Scoring!$E$34+WR!G138/Scoring!$F$34+WR!H138*Scoring!$G$34+WR!I138*Scoring!$H$34+K138*Scoring!$I$34+WR!L138*Scoring!$J$34+U138</x:f>
        <x:v>140.21000000000004</x:v>
      </x:c>
      <x:c r="O138" s="119" t="n">
        <x:f>C139*Scoring!$B$34+D139/Scoring!$C$34+E139*Scoring!$D$34+WR!F139*Scoring!$E$34+WR!G139/Scoring!$F$34+WR!H139*Scoring!$G$34+WR!I139*Scoring!$H$34+K139*Scoring!$I$34+WR!L139*Scoring!$J$34+U138</x:f>
        <x:v>155.62</x:v>
      </x:c>
      <x:c r="P138" s="9" t="n">
        <x:f>IF(COUNTIF(Rookies!$A:$A,A138)&gt;0,1,0)</x:f>
        <x:v>0</x:v>
      </x:c>
      <x:c r="Q138" s="9"/>
      <x:c r="R138" s="9"/>
      <x:c r="S138" s="9" t="n">
        <x:f>V138/17</x:f>
        <x:v>8.247647058823532</x:v>
      </x:c>
      <x:c r="T138" s="9" t="n">
        <x:f>IF(P138=1,MAX(0,0.28*(12-S138)),0)</x:f>
        <x:v>0</x:v>
      </x:c>
      <x:c r="U138" s="9" t="n">
        <x:f>T138*17</x:f>
        <x:v>0</x:v>
      </x:c>
      <x:c r="V138" s="9" t="n">
        <x:f>C138*Scoring!$B$34+D138/Scoring!$C$34+E138*Scoring!$D$34+WR!F138*Scoring!$E$34+WR!G138/Scoring!$F$34+WR!H138*Scoring!$G$34+WR!I138*Scoring!$H$34+K138*Scoring!$I$34+WR!L138*Scoring!$J$34</x:f>
        <x:v>140.21000000000004</x:v>
      </x:c>
      <x:c r="W138" s="9"/>
      <x:c r="X138" s="9"/>
      <x:c r="Y138" s="9"/>
      <x:c r="Z138" s="9"/>
    </x:row>
    <x:row r="139" ht="14.25" customHeight="1">
      <x:c r="B139" s="1" t="s">
        <x:v>488</x:v>
      </x:c>
      <x:c r="C139" s="1">
        <x:v>57.0</x:v>
      </x:c>
      <x:c r="D139" s="1">
        <x:v>789.2</x:v>
      </x:c>
      <x:c r="E139" s="1">
        <x:v>4.6</x:v>
      </x:c>
      <x:c r="F139" s="1">
        <x:v>22.0</x:v>
      </x:c>
      <x:c r="G139" s="1">
        <x:v>146.0</x:v>
      </x:c>
      <x:c r="H139" s="1">
        <x:v>1.0</x:v>
      </x:c>
      <x:c r="I139" s="1">
        <x:v>0.0</x:v>
      </x:c>
      <x:c r="J139" s="1">
        <x:v>194.8</x:v>
      </x:c>
      <x:c r="K139" s="18">
        <x:f t="shared" si="1"/>
        <x:v>9.048185776</x:v>
      </x:c>
      <x:c r="L139" s="18">
        <x:f t="shared" si="2"/>
        <x:v>38.81613054</x:v>
      </x:c>
      <x:c r="M139" s="121"/>
      <x:c r="N139" s="121"/>
      <x:c r="O139" s="121"/>
      <x:c r="P139" s="9"/>
      <x:c r="Q139" s="9"/>
      <x:c r="R139" s="9"/>
      <x:c r="S139" s="9"/>
      <x:c r="T139" s="9"/>
      <x:c r="U139" s="9"/>
      <x:c r="V139" s="9"/>
      <x:c r="W139" s="9"/>
      <x:c r="X139" s="9"/>
      <x:c r="Y139" s="9"/>
      <x:c r="Z139" s="9"/>
    </x:row>
    <x:row r="140" ht="14.25" customHeight="1">
      <x:c r="B140" s="1" t="s">
        <x:v>489</x:v>
      </x:c>
      <x:c r="C140" s="1">
        <x:v>53.0</x:v>
      </x:c>
      <x:c r="D140" s="1">
        <x:v>644.0</x:v>
      </x:c>
      <x:c r="E140" s="1">
        <x:v>4.0</x:v>
      </x:c>
      <x:c r="F140" s="1">
        <x:v>12.0</x:v>
      </x:c>
      <x:c r="G140" s="1">
        <x:v>76.0</x:v>
      </x:c>
      <x:c r="H140" s="1">
        <x:v>0.6</x:v>
      </x:c>
      <x:c r="I140" s="1">
        <x:v>0.3</x:v>
      </x:c>
      <x:c r="J140" s="1">
        <x:v>146.2</x:v>
      </x:c>
      <x:c r="K140" s="18">
        <x:f t="shared" si="1"/>
        <x:v>4.710014514</x:v>
      </x:c>
      <x:c r="L140" s="18">
        <x:f t="shared" si="2"/>
        <x:v>31.67459207</x:v>
      </x:c>
      <x:c r="M140" s="121"/>
      <x:c r="N140" s="121"/>
      <x:c r="O140" s="121"/>
      <x:c r="P140" s="9"/>
      <x:c r="Q140" s="9"/>
      <x:c r="R140" s="9"/>
      <x:c r="S140" s="9"/>
      <x:c r="T140" s="9"/>
      <x:c r="U140" s="9"/>
      <x:c r="V140" s="9"/>
      <x:c r="W140" s="9"/>
      <x:c r="X140" s="9"/>
      <x:c r="Y140" s="9"/>
      <x:c r="Z140" s="9"/>
    </x:row>
    <x:row r="141" ht="14.25" customHeight="1">
      <x:c r="A141" s="1" t="s">
        <x:v>779</x:v>
      </x:c>
      <x:c r="B141" s="1" t="s">
        <x:v>495</x:v>
      </x:c>
      <x:c r="C141" s="1">
        <x:v>67.0</x:v>
      </x:c>
      <x:c r="D141" s="1">
        <x:v>747.1</x:v>
      </x:c>
      <x:c r="E141" s="1">
        <x:v>4.2</x:v>
      </x:c>
      <x:c r="F141" s="1">
        <x:v>0.3</x:v>
      </x:c>
      <x:c r="G141" s="1">
        <x:v>0.7</x:v>
      </x:c>
      <x:c r="H141" s="1">
        <x:v>0.0</x:v>
      </x:c>
      <x:c r="I141" s="1">
        <x:v>0.2</x:v>
      </x:c>
      <x:c r="J141" s="1">
        <x:v>166.2</x:v>
      </x:c>
      <x:c r="K141" s="18">
        <x:f t="shared" si="1"/>
        <x:v>0.04338171263</x:v>
      </x:c>
      <x:c r="L141" s="18">
        <x:f t="shared" si="2"/>
        <x:v>36.74547786</x:v>
      </x:c>
      <x:c r="M141" s="119" t="n">
        <x:f>C143*Scoring!$B$34+D143/Scoring!$C$34+E143*Scoring!$D$34+WR!F143*Scoring!$E$34+WR!G143/Scoring!$F$34+WR!H143*Scoring!$G$34+WR!I143*Scoring!$H$34+K143*Scoring!$I$34+WR!L143*Scoring!$J$34+U141</x:f>
        <x:v>124.14</x:v>
      </x:c>
      <x:c r="N141" s="119" t="n">
        <x:f>C141*Scoring!$B$34+D141/Scoring!$C$34+E141*Scoring!$D$34+WR!F141*Scoring!$E$34+WR!G141/Scoring!$F$34+WR!H141*Scoring!$G$34+WR!I141*Scoring!$H$34+K141*Scoring!$I$34+WR!L141*Scoring!$J$34+U141</x:f>
        <x:v>133.28000000000003</x:v>
      </x:c>
      <x:c r="O141" s="119" t="n">
        <x:f>C142*Scoring!$B$34+D142/Scoring!$C$34+E142*Scoring!$D$34+WR!F142*Scoring!$E$34+WR!G142/Scoring!$F$34+WR!H142*Scoring!$G$34+WR!I142*Scoring!$H$34+K142*Scoring!$I$34+WR!L142*Scoring!$J$34+U141</x:f>
        <x:v>142.34999999999997</x:v>
      </x:c>
      <x:c r="P141" s="9" t="n">
        <x:f>IF(COUNTIF(Rookies!$A:$A,A141)&gt;0,1,0)</x:f>
        <x:v>0</x:v>
      </x:c>
      <x:c r="Q141" s="9"/>
      <x:c r="R141" s="9"/>
      <x:c r="S141" s="9" t="n">
        <x:f>V141/17</x:f>
        <x:v>7.840000000000002</x:v>
      </x:c>
      <x:c r="T141" s="9" t="n">
        <x:f>IF(P141=1,MAX(0,0.28*(12-S141)),0)</x:f>
        <x:v>0</x:v>
      </x:c>
      <x:c r="U141" s="9" t="n">
        <x:f>T141*17</x:f>
        <x:v>0</x:v>
      </x:c>
      <x:c r="V141" s="9" t="n">
        <x:f>C141*Scoring!$B$34+D141/Scoring!$C$34+E141*Scoring!$D$34+WR!F141*Scoring!$E$34+WR!G141/Scoring!$F$34+WR!H141*Scoring!$G$34+WR!I141*Scoring!$H$34+K141*Scoring!$I$34+WR!L141*Scoring!$J$34</x:f>
        <x:v>133.28000000000003</x:v>
      </x:c>
      <x:c r="W141" s="9"/>
      <x:c r="X141" s="9"/>
      <x:c r="Y141" s="9"/>
      <x:c r="Z141" s="9"/>
    </x:row>
    <x:row r="142" ht="14.25" customHeight="1">
      <x:c r="B142" s="1" t="s">
        <x:v>488</x:v>
      </x:c>
      <x:c r="C142" s="1">
        <x:v>71.1</x:v>
      </x:c>
      <x:c r="D142" s="1">
        <x:v>766.0</x:v>
      </x:c>
      <x:c r="E142" s="1">
        <x:v>5.0</x:v>
      </x:c>
      <x:c r="F142" s="1">
        <x:v>1.0</x:v>
      </x:c>
      <x:c r="G142" s="1">
        <x:v>2.0</x:v>
      </x:c>
      <x:c r="H142" s="1">
        <x:v>0.0</x:v>
      </x:c>
      <x:c r="I142" s="1">
        <x:v>0.0</x:v>
      </x:c>
      <x:c r="J142" s="1">
        <x:v>204.6</x:v>
      </x:c>
      <x:c r="K142" s="18">
        <x:f t="shared" si="1"/>
        <x:v>0.1239477504</x:v>
      </x:c>
      <x:c r="L142" s="18">
        <x:f t="shared" si="2"/>
        <x:v>37.67505828</x:v>
      </x:c>
      <x:c r="M142" s="121"/>
      <x:c r="N142" s="121"/>
      <x:c r="O142" s="121"/>
      <x:c r="P142" s="9"/>
      <x:c r="Q142" s="9"/>
      <x:c r="R142" s="9"/>
      <x:c r="S142" s="9"/>
      <x:c r="T142" s="9"/>
      <x:c r="U142" s="9"/>
      <x:c r="V142" s="9"/>
      <x:c r="W142" s="9"/>
      <x:c r="X142" s="9"/>
      <x:c r="Y142" s="9"/>
      <x:c r="Z142" s="9"/>
    </x:row>
    <x:row r="143" ht="14.25" customHeight="1">
      <x:c r="B143" s="1" t="s">
        <x:v>489</x:v>
      </x:c>
      <x:c r="C143" s="1">
        <x:v>62.0</x:v>
      </x:c>
      <x:c r="D143" s="1">
        <x:v>726.4</x:v>
      </x:c>
      <x:c r="E143" s="1">
        <x:v>3.5</x:v>
      </x:c>
      <x:c r="F143" s="1">
        <x:v>0.0</x:v>
      </x:c>
      <x:c r="G143" s="1">
        <x:v>0.0</x:v>
      </x:c>
      <x:c r="H143" s="1">
        <x:v>0.0</x:v>
      </x:c>
      <x:c r="I143" s="1">
        <x:v>0.5</x:v>
      </x:c>
      <x:c r="J143" s="1">
        <x:v>158.0</x:v>
      </x:c>
      <x:c r="K143" s="18">
        <x:f t="shared" si="1"/>
        <x:v>0</x:v>
      </x:c>
      <x:c r="L143" s="18">
        <x:f t="shared" si="2"/>
        <x:v>35.72736597</x:v>
      </x:c>
      <x:c r="M143" s="121"/>
      <x:c r="N143" s="121"/>
      <x:c r="O143" s="121"/>
      <x:c r="P143" s="9"/>
      <x:c r="Q143" s="9"/>
      <x:c r="R143" s="9"/>
      <x:c r="S143" s="9"/>
      <x:c r="T143" s="9"/>
      <x:c r="U143" s="9"/>
      <x:c r="V143" s="9"/>
      <x:c r="W143" s="9"/>
      <x:c r="X143" s="9"/>
      <x:c r="Y143" s="9"/>
      <x:c r="Z143" s="9"/>
    </x:row>
    <x:row r="144" ht="14.25" customHeight="1">
      <x:c r="A144" s="1" t="s">
        <x:v>780</x:v>
      </x:c>
      <x:c r="B144" s="1" t="s">
        <x:v>487</x:v>
      </x:c>
      <x:c r="C144" s="1">
        <x:v>69.7</x:v>
      </x:c>
      <x:c r="D144" s="1">
        <x:v>726.3</x:v>
      </x:c>
      <x:c r="E144" s="1">
        <x:v>3.9</x:v>
      </x:c>
      <x:c r="F144" s="1">
        <x:v>1.1</x:v>
      </x:c>
      <x:c r="G144" s="1">
        <x:v>5.5</x:v>
      </x:c>
      <x:c r="H144" s="1">
        <x:v>0.0</x:v>
      </x:c>
      <x:c r="I144" s="1">
        <x:v>0.8</x:v>
      </x:c>
      <x:c r="J144" s="1">
        <x:v>164.9</x:v>
      </x:c>
      <x:c r="K144" s="18">
        <x:f t="shared" si="1"/>
        <x:v>0.3408563135</x:v>
      </x:c>
      <x:c r="L144" s="18">
        <x:f t="shared" si="2"/>
        <x:v>35.72244755</x:v>
      </x:c>
      <x:c r="M144" s="119" t="n">
        <x:f>C146*Scoring!$B$34+D146/Scoring!$C$34+E146*Scoring!$D$34+WR!F146*Scoring!$E$34+WR!G146/Scoring!$F$34+WR!H146*Scoring!$G$34+WR!I146*Scoring!$H$34+K146*Scoring!$I$34+WR!L146*Scoring!$J$34+U144</x:f>
        <x:v>119.5</x:v>
      </x:c>
      <x:c r="N144" s="119" t="n">
        <x:f>C144*Scoring!$B$34+D144/Scoring!$C$34+E144*Scoring!$D$34+WR!F144*Scoring!$E$34+WR!G144/Scoring!$F$34+WR!H144*Scoring!$G$34+WR!I144*Scoring!$H$34+K144*Scoring!$I$34+WR!L144*Scoring!$J$34+U144</x:f>
        <x:v>130.63</x:v>
      </x:c>
      <x:c r="O144" s="119" t="n">
        <x:f>C145*Scoring!$B$34+D145/Scoring!$C$34+E145*Scoring!$D$34+WR!F145*Scoring!$E$34+WR!G145/Scoring!$F$34+WR!H145*Scoring!$G$34+WR!I145*Scoring!$H$34+K145*Scoring!$I$34+WR!L145*Scoring!$J$34+U144</x:f>
        <x:v>137.85</x:v>
      </x:c>
      <x:c r="P144" s="9" t="n">
        <x:f>IF(COUNTIF(Rookies!$A:$A,A144)&gt;0,1,0)</x:f>
        <x:v>0</x:v>
      </x:c>
      <x:c r="Q144" s="9"/>
      <x:c r="R144" s="9"/>
      <x:c r="S144" s="9" t="n">
        <x:f>V144/17</x:f>
        <x:v>7.684117647058823</x:v>
      </x:c>
      <x:c r="T144" s="9" t="n">
        <x:f>IF(P144=1,MAX(0,0.28*(12-S144)),0)</x:f>
        <x:v>0</x:v>
      </x:c>
      <x:c r="U144" s="9" t="n">
        <x:f>T144*17</x:f>
        <x:v>0</x:v>
      </x:c>
      <x:c r="V144" s="9" t="n">
        <x:f>C144*Scoring!$B$34+D144/Scoring!$C$34+E144*Scoring!$D$34+WR!F144*Scoring!$E$34+WR!G144/Scoring!$F$34+WR!H144*Scoring!$G$34+WR!I144*Scoring!$H$34+K144*Scoring!$I$34+WR!L144*Scoring!$J$34</x:f>
        <x:v>130.63</x:v>
      </x:c>
      <x:c r="W144" s="9"/>
      <x:c r="X144" s="9"/>
      <x:c r="Y144" s="9"/>
      <x:c r="Z144" s="9"/>
    </x:row>
    <x:row r="145" ht="14.25" customHeight="1">
      <x:c r="B145" s="1" t="s">
        <x:v>488</x:v>
      </x:c>
      <x:c r="C145" s="1">
        <x:v>72.0</x:v>
      </x:c>
      <x:c r="D145" s="1">
        <x:v>766.0</x:v>
      </x:c>
      <x:c r="E145" s="1">
        <x:v>4.0</x:v>
      </x:c>
      <x:c r="F145" s="1">
        <x:v>2.3</x:v>
      </x:c>
      <x:c r="G145" s="1">
        <x:v>12.5</x:v>
      </x:c>
      <x:c r="H145" s="1">
        <x:v>0.1</x:v>
      </x:c>
      <x:c r="I145" s="1">
        <x:v>0.6</x:v>
      </x:c>
      <x:c r="J145" s="1">
        <x:v>206.3</x:v>
      </x:c>
      <x:c r="K145" s="18">
        <x:f t="shared" si="1"/>
        <x:v>0.7746734398</x:v>
      </x:c>
      <x:c r="L145" s="18">
        <x:f t="shared" si="2"/>
        <x:v>37.67505828</x:v>
      </x:c>
      <x:c r="M145" s="121"/>
      <x:c r="N145" s="121"/>
      <x:c r="O145" s="121"/>
      <x:c r="P145" s="9"/>
      <x:c r="Q145" s="9"/>
      <x:c r="R145" s="9"/>
      <x:c r="S145" s="9"/>
      <x:c r="T145" s="9"/>
      <x:c r="U145" s="9"/>
      <x:c r="V145" s="9"/>
      <x:c r="W145" s="9"/>
      <x:c r="X145" s="9"/>
      <x:c r="Y145" s="9"/>
      <x:c r="Z145" s="9"/>
    </x:row>
    <x:row r="146" ht="14.25" customHeight="1">
      <x:c r="B146" s="1" t="s">
        <x:v>489</x:v>
      </x:c>
      <x:c r="C146" s="1">
        <x:v>67.0</x:v>
      </x:c>
      <x:c r="D146" s="1">
        <x:v>648.0</x:v>
      </x:c>
      <x:c r="E146" s="1">
        <x:v>3.7</x:v>
      </x:c>
      <x:c r="F146" s="1">
        <x:v>0.0</x:v>
      </x:c>
      <x:c r="G146" s="1">
        <x:v>0.0</x:v>
      </x:c>
      <x:c r="H146" s="1">
        <x:v>0.0</x:v>
      </x:c>
      <x:c r="I146" s="1">
        <x:v>1.0</x:v>
      </x:c>
      <x:c r="J146" s="1">
        <x:v>147.7</x:v>
      </x:c>
      <x:c r="K146" s="18">
        <x:f t="shared" si="1"/>
        <x:v>0</x:v>
      </x:c>
      <x:c r="L146" s="18">
        <x:f t="shared" si="2"/>
        <x:v>31.87132867</x:v>
      </x:c>
      <x:c r="M146" s="121"/>
      <x:c r="N146" s="121"/>
      <x:c r="O146" s="121"/>
      <x:c r="P146" s="9"/>
      <x:c r="Q146" s="9"/>
      <x:c r="R146" s="9"/>
      <x:c r="S146" s="9"/>
      <x:c r="T146" s="9"/>
      <x:c r="U146" s="9"/>
      <x:c r="V146" s="9"/>
      <x:c r="W146" s="9"/>
      <x:c r="X146" s="9"/>
      <x:c r="Y146" s="9"/>
      <x:c r="Z146" s="9"/>
    </x:row>
    <x:row r="147" ht="14.25" customHeight="1">
      <x:c r="A147" s="1" t="s">
        <x:v>781</x:v>
      </x:c>
      <x:c r="B147" s="1" t="s">
        <x:v>527</x:v>
      </x:c>
      <x:c r="C147" s="1">
        <x:v>68.8</x:v>
      </x:c>
      <x:c r="D147" s="1">
        <x:v>704.9</x:v>
      </x:c>
      <x:c r="E147" s="1">
        <x:v>4.2</x:v>
      </x:c>
      <x:c r="F147" s="1">
        <x:v>1.4</x:v>
      </x:c>
      <x:c r="G147" s="1">
        <x:v>4.2</x:v>
      </x:c>
      <x:c r="H147" s="1">
        <x:v>0.0</x:v>
      </x:c>
      <x:c r="I147" s="1">
        <x:v>0.8</x:v>
      </x:c>
      <x:c r="J147" s="1">
        <x:v>163.7</x:v>
      </x:c>
      <x:c r="K147" s="18">
        <x:f t="shared" si="1"/>
        <x:v>0.2602902758</x:v>
      </x:c>
      <x:c r="L147" s="18">
        <x:f t="shared" si="2"/>
        <x:v>34.66990676</x:v>
      </x:c>
      <x:c r="M147" s="119" t="n">
        <x:f>C149*Scoring!$B$34+D149/Scoring!$C$34+E149*Scoring!$D$34+WR!F149*Scoring!$E$34+WR!G149/Scoring!$F$34+WR!H149*Scoring!$G$34+WR!I149*Scoring!$H$34+K149*Scoring!$I$34+WR!L149*Scoring!$J$34+U147</x:f>
        <x:v>118.88</x:v>
      </x:c>
      <x:c r="N147" s="119" t="n">
        <x:f>C147*Scoring!$B$34+D147/Scoring!$C$34+E147*Scoring!$D$34+WR!F147*Scoring!$E$34+WR!G147/Scoring!$F$34+WR!H147*Scoring!$G$34+WR!I147*Scoring!$H$34+K147*Scoring!$I$34+WR!L147*Scoring!$J$34+U147</x:f>
        <x:v>129.70999999999995</x:v>
      </x:c>
      <x:c r="O147" s="119" t="n">
        <x:f>C148*Scoring!$B$34+D148/Scoring!$C$34+E148*Scoring!$D$34+WR!F148*Scoring!$E$34+WR!G148/Scoring!$F$34+WR!H148*Scoring!$G$34+WR!I148*Scoring!$H$34+K148*Scoring!$I$34+WR!L148*Scoring!$J$34+U147</x:f>
        <x:v>143.42</x:v>
      </x:c>
      <x:c r="P147" s="9" t="n">
        <x:f>IF(COUNTIF(Rookies!$A:$A,A147)&gt;0,1,0)</x:f>
        <x:v>0</x:v>
      </x:c>
      <x:c r="Q147" s="9"/>
      <x:c r="R147" s="9"/>
      <x:c r="S147" s="9" t="n">
        <x:f>V147/17</x:f>
        <x:v>7.629999999999997</x:v>
      </x:c>
      <x:c r="T147" s="9" t="n">
        <x:f>IF(P147=1,MAX(0,0.28*(12-S147)),0)</x:f>
        <x:v>0</x:v>
      </x:c>
      <x:c r="U147" s="9" t="n">
        <x:f>T147*17</x:f>
        <x:v>0</x:v>
      </x:c>
      <x:c r="V147" s="9" t="n">
        <x:f>C147*Scoring!$B$34+D147/Scoring!$C$34+E147*Scoring!$D$34+WR!F147*Scoring!$E$34+WR!G147/Scoring!$F$34+WR!H147*Scoring!$G$34+WR!I147*Scoring!$H$34+K147*Scoring!$I$34+WR!L147*Scoring!$J$34</x:f>
        <x:v>129.70999999999995</x:v>
      </x:c>
      <x:c r="W147" s="9"/>
      <x:c r="X147" s="9"/>
      <x:c r="Y147" s="9"/>
      <x:c r="Z147" s="9"/>
    </x:row>
    <x:row r="148" ht="14.25" customHeight="1">
      <x:c r="B148" s="1" t="s">
        <x:v>488</x:v>
      </x:c>
      <x:c r="C148" s="1">
        <x:v>70.5</x:v>
      </x:c>
      <x:c r="D148" s="1">
        <x:v>711.0</x:v>
      </x:c>
      <x:c r="E148" s="1">
        <x:v>6.0</x:v>
      </x:c>
      <x:c r="F148" s="1">
        <x:v>2.1</x:v>
      </x:c>
      <x:c r="G148" s="1">
        <x:v>10.7</x:v>
      </x:c>
      <x:c r="H148" s="1">
        <x:v>0.1</x:v>
      </x:c>
      <x:c r="I148" s="1">
        <x:v>0.6</x:v>
      </x:c>
      <x:c r="J148" s="1">
        <x:v>197.5</x:v>
      </x:c>
      <x:c r="K148" s="18">
        <x:f t="shared" si="1"/>
        <x:v>0.6631204644</x:v>
      </x:c>
      <x:c r="L148" s="18">
        <x:f t="shared" si="2"/>
        <x:v>34.96993007</x:v>
      </x:c>
      <x:c r="M148" s="121"/>
      <x:c r="N148" s="121"/>
      <x:c r="O148" s="121"/>
      <x:c r="P148" s="9"/>
      <x:c r="Q148" s="9"/>
      <x:c r="R148" s="9"/>
      <x:c r="S148" s="9"/>
      <x:c r="T148" s="9"/>
      <x:c r="U148" s="9"/>
      <x:c r="V148" s="9"/>
      <x:c r="W148" s="9"/>
      <x:c r="X148" s="9"/>
      <x:c r="Y148" s="9"/>
      <x:c r="Z148" s="9"/>
    </x:row>
    <x:row r="149" ht="14.25" customHeight="1">
      <x:c r="B149" s="1" t="s">
        <x:v>489</x:v>
      </x:c>
      <x:c r="C149" s="1">
        <x:v>68.0</x:v>
      </x:c>
      <x:c r="D149" s="1">
        <x:v>696.8</x:v>
      </x:c>
      <x:c r="E149" s="1">
        <x:v>2.7</x:v>
      </x:c>
      <x:c r="F149" s="1">
        <x:v>0.0</x:v>
      </x:c>
      <x:c r="G149" s="1">
        <x:v>0.0</x:v>
      </x:c>
      <x:c r="H149" s="1">
        <x:v>0.0</x:v>
      </x:c>
      <x:c r="I149" s="1">
        <x:v>1.0</x:v>
      </x:c>
      <x:c r="J149" s="1">
        <x:v>156.1</x:v>
      </x:c>
      <x:c r="K149" s="18">
        <x:f t="shared" si="1"/>
        <x:v>0</x:v>
      </x:c>
      <x:c r="L149" s="18">
        <x:f t="shared" si="2"/>
        <x:v>34.27151515</x:v>
      </x:c>
      <x:c r="M149" s="121"/>
      <x:c r="N149" s="121"/>
      <x:c r="O149" s="121"/>
      <x:c r="P149" s="9"/>
      <x:c r="Q149" s="9"/>
      <x:c r="R149" s="9"/>
      <x:c r="S149" s="9"/>
      <x:c r="T149" s="9"/>
      <x:c r="U149" s="9"/>
      <x:c r="V149" s="9"/>
      <x:c r="W149" s="9"/>
      <x:c r="X149" s="9"/>
      <x:c r="Y149" s="9"/>
      <x:c r="Z149" s="9"/>
    </x:row>
    <x:row r="150" ht="14.25" customHeight="1">
      <x:c r="A150" s="1" t="s">
        <x:v>782</x:v>
      </x:c>
      <x:c r="B150" s="1" t="s">
        <x:v>493</x:v>
      </x:c>
      <x:c r="C150" s="1">
        <x:v>57.2</x:v>
      </x:c>
      <x:c r="D150" s="1">
        <x:v>744.3</x:v>
      </x:c>
      <x:c r="E150" s="1">
        <x:v>5.4</x:v>
      </x:c>
      <x:c r="F150" s="1">
        <x:v>0.0</x:v>
      </x:c>
      <x:c r="G150" s="1">
        <x:v>0.0</x:v>
      </x:c>
      <x:c r="H150" s="1">
        <x:v>0.0</x:v>
      </x:c>
      <x:c r="I150" s="1">
        <x:v>0.3</x:v>
      </x:c>
      <x:c r="J150" s="1">
        <x:v>163.7</x:v>
      </x:c>
      <x:c r="K150" s="18">
        <x:f t="shared" si="1"/>
        <x:v>0</x:v>
      </x:c>
      <x:c r="L150" s="18">
        <x:f t="shared" si="2"/>
        <x:v>36.60776224</x:v>
      </x:c>
      <x:c r="M150" s="119" t="n">
        <x:f>C152*Scoring!$B$34+D152/Scoring!$C$34+E152*Scoring!$D$34+WR!F152*Scoring!$E$34+WR!G152/Scoring!$F$34+WR!H152*Scoring!$G$34+WR!I152*Scoring!$H$34+K152*Scoring!$I$34+WR!L152*Scoring!$J$34+U150</x:f>
        <x:v>122.39</x:v>
      </x:c>
      <x:c r="N150" s="119" t="n">
        <x:f>C150*Scoring!$B$34+D150/Scoring!$C$34+E150*Scoring!$D$34+WR!F150*Scoring!$E$34+WR!G150/Scoring!$F$34+WR!H150*Scoring!$G$34+WR!I150*Scoring!$H$34+K150*Scoring!$I$34+WR!L150*Scoring!$J$34+U150</x:f>
        <x:v>135.13</x:v>
      </x:c>
      <x:c r="O150" s="119" t="n">
        <x:f>C151*Scoring!$B$34+D151/Scoring!$C$34+E151*Scoring!$D$34+WR!F151*Scoring!$E$34+WR!G151/Scoring!$F$34+WR!H151*Scoring!$G$34+WR!I151*Scoring!$H$34+K151*Scoring!$I$34+WR!L151*Scoring!$J$34+U150</x:f>
        <x:v>147.3</x:v>
      </x:c>
      <x:c r="P150" s="9" t="n">
        <x:f>IF(COUNTIF(Rookies!$A:$A,A150)&gt;0,1,0)</x:f>
        <x:v>0</x:v>
      </x:c>
      <x:c r="Q150" s="9"/>
      <x:c r="R150" s="9"/>
      <x:c r="S150" s="9" t="n">
        <x:f>V150/17</x:f>
        <x:v>7.948823529411764</x:v>
      </x:c>
      <x:c r="T150" s="9" t="n">
        <x:f>IF(P150=1,MAX(0,0.28*(12-S150)),0)</x:f>
        <x:v>0</x:v>
      </x:c>
      <x:c r="U150" s="9" t="n">
        <x:f>T150*17</x:f>
        <x:v>0</x:v>
      </x:c>
      <x:c r="V150" s="9" t="n">
        <x:f>C150*Scoring!$B$34+D150/Scoring!$C$34+E150*Scoring!$D$34+WR!F150*Scoring!$E$34+WR!G150/Scoring!$F$34+WR!H150*Scoring!$G$34+WR!I150*Scoring!$H$34+K150*Scoring!$I$34+WR!L150*Scoring!$J$34</x:f>
        <x:v>135.13</x:v>
      </x:c>
      <x:c r="W150" s="9"/>
      <x:c r="X150" s="9"/>
      <x:c r="Y150" s="9"/>
      <x:c r="Z150" s="9"/>
    </x:row>
    <x:row r="151" ht="14.25" customHeight="1">
      <x:c r="B151" s="1" t="s">
        <x:v>488</x:v>
      </x:c>
      <x:c r="C151" s="1">
        <x:v>61.0</x:v>
      </x:c>
      <x:c r="D151" s="1">
        <x:v>808.0</x:v>
      </x:c>
      <x:c r="E151" s="1">
        <x:v>6.0</x:v>
      </x:c>
      <x:c r="F151" s="1">
        <x:v>0.0</x:v>
      </x:c>
      <x:c r="G151" s="1">
        <x:v>0.0</x:v>
      </x:c>
      <x:c r="H151" s="1">
        <x:v>0.0</x:v>
      </x:c>
      <x:c r="I151" s="1">
        <x:v>0.0</x:v>
      </x:c>
      <x:c r="J151" s="1">
        <x:v>192.1</x:v>
      </x:c>
      <x:c r="K151" s="18">
        <x:f t="shared" si="1"/>
        <x:v>0</x:v>
      </x:c>
      <x:c r="L151" s="18">
        <x:f t="shared" si="2"/>
        <x:v>39.74079254</x:v>
      </x:c>
      <x:c r="M151" s="121"/>
      <x:c r="N151" s="121"/>
      <x:c r="O151" s="121"/>
      <x:c r="P151" s="9"/>
      <x:c r="Q151" s="9"/>
      <x:c r="R151" s="9"/>
      <x:c r="S151" s="9"/>
      <x:c r="T151" s="9"/>
      <x:c r="U151" s="9"/>
      <x:c r="V151" s="9"/>
      <x:c r="W151" s="9"/>
      <x:c r="X151" s="9"/>
      <x:c r="Y151" s="9"/>
      <x:c r="Z151" s="9"/>
    </x:row>
    <x:row r="152" ht="14.25" customHeight="1">
      <x:c r="B152" s="1" t="s">
        <x:v>489</x:v>
      </x:c>
      <x:c r="C152" s="1">
        <x:v>52.6</x:v>
      </x:c>
      <x:c r="D152" s="1">
        <x:v>665.9</x:v>
      </x:c>
      <x:c r="E152" s="1">
        <x:v>5.0</x:v>
      </x:c>
      <x:c r="F152" s="1">
        <x:v>0.0</x:v>
      </x:c>
      <x:c r="G152" s="1">
        <x:v>0.0</x:v>
      </x:c>
      <x:c r="H152" s="1">
        <x:v>0.0</x:v>
      </x:c>
      <x:c r="I152" s="1">
        <x:v>0.5</x:v>
      </x:c>
      <x:c r="J152" s="1">
        <x:v>154.8</x:v>
      </x:c>
      <x:c r="K152" s="18">
        <x:f t="shared" si="1"/>
        <x:v>0</x:v>
      </x:c>
      <x:c r="L152" s="18">
        <x:f t="shared" si="2"/>
        <x:v>32.75172494</x:v>
      </x:c>
      <x:c r="M152" s="121"/>
      <x:c r="N152" s="121"/>
      <x:c r="O152" s="121"/>
      <x:c r="P152" s="9"/>
      <x:c r="Q152" s="9"/>
      <x:c r="R152" s="9"/>
      <x:c r="S152" s="9"/>
      <x:c r="T152" s="9"/>
      <x:c r="U152" s="9"/>
      <x:c r="V152" s="9"/>
      <x:c r="W152" s="9"/>
      <x:c r="X152" s="9"/>
      <x:c r="Y152" s="9"/>
      <x:c r="Z152" s="9"/>
    </x:row>
    <x:row r="153" ht="14.25" customHeight="1">
      <x:c r="A153" s="1" t="s">
        <x:v>783</x:v>
      </x:c>
      <x:c r="B153" s="1" t="s">
        <x:v>531</x:v>
      </x:c>
      <x:c r="C153" s="1">
        <x:v>55.9</x:v>
      </x:c>
      <x:c r="D153" s="1">
        <x:v>758.7</x:v>
      </x:c>
      <x:c r="E153" s="1">
        <x:v>4.6</x:v>
      </x:c>
      <x:c r="F153" s="1">
        <x:v>5.5</x:v>
      </x:c>
      <x:c r="G153" s="1">
        <x:v>27.3</x:v>
      </x:c>
      <x:c r="H153" s="1">
        <x:v>0.1</x:v>
      </x:c>
      <x:c r="I153" s="1">
        <x:v>0.4</x:v>
      </x:c>
      <x:c r="J153" s="1">
        <x:v>161.5</x:v>
      </x:c>
      <x:c r="K153" s="18">
        <x:f t="shared" si="1"/>
        <x:v>1.691886792</x:v>
      </x:c>
      <x:c r="L153" s="18">
        <x:f t="shared" si="2"/>
        <x:v>37.31601399</x:v>
      </x:c>
      <x:c r="M153" s="119" t="n">
        <x:f>C155*Scoring!$B$34+D155/Scoring!$C$34+E155*Scoring!$D$34+WR!F155*Scoring!$E$34+WR!G155/Scoring!$F$34+WR!H155*Scoring!$G$34+WR!I155*Scoring!$H$34+K155*Scoring!$I$34+WR!L155*Scoring!$J$34+U153</x:f>
        <x:v>117</x:v>
      </x:c>
      <x:c r="N153" s="119" t="n">
        <x:f>C153*Scoring!$B$34+D153/Scoring!$C$34+E153*Scoring!$D$34+WR!F153*Scoring!$E$34+WR!G153/Scoring!$F$34+WR!H153*Scoring!$G$34+WR!I153*Scoring!$H$34+K153*Scoring!$I$34+WR!L153*Scoring!$J$34+U153</x:f>
        <x:v>134.35</x:v>
      </x:c>
      <x:c r="O153" s="119" t="n">
        <x:f>C154*Scoring!$B$34+D154/Scoring!$C$34+E154*Scoring!$D$34+WR!F154*Scoring!$E$34+WR!G154/Scoring!$F$34+WR!H154*Scoring!$G$34+WR!I154*Scoring!$H$34+K154*Scoring!$I$34+WR!L154*Scoring!$J$34+U153</x:f>
        <x:v>157.26</x:v>
      </x:c>
      <x:c r="P153" s="9" t="n">
        <x:f>IF(COUNTIF(Rookies!$A:$A,A153)&gt;0,1,0)</x:f>
        <x:v>0</x:v>
      </x:c>
      <x:c r="Q153" s="9"/>
      <x:c r="R153" s="9"/>
      <x:c r="S153" s="9" t="n">
        <x:f>V153/17</x:f>
        <x:v>7.902941176470588</x:v>
      </x:c>
      <x:c r="T153" s="9" t="n">
        <x:f>IF(P153=1,MAX(0,0.28*(12-S153)),0)</x:f>
        <x:v>0</x:v>
      </x:c>
      <x:c r="U153" s="9" t="n">
        <x:f>T153*17</x:f>
        <x:v>0</x:v>
      </x:c>
      <x:c r="V153" s="9" t="n">
        <x:f>C153*Scoring!$B$34+D153/Scoring!$C$34+E153*Scoring!$D$34+WR!F153*Scoring!$E$34+WR!G153/Scoring!$F$34+WR!H153*Scoring!$G$34+WR!I153*Scoring!$H$34+K153*Scoring!$I$34+WR!L153*Scoring!$J$34</x:f>
        <x:v>134.35</x:v>
      </x:c>
      <x:c r="W153" s="9"/>
      <x:c r="X153" s="9"/>
      <x:c r="Y153" s="9"/>
      <x:c r="Z153" s="9"/>
    </x:row>
    <x:row r="154" ht="14.25" customHeight="1">
      <x:c r="B154" s="1" t="s">
        <x:v>488</x:v>
      </x:c>
      <x:c r="C154" s="1">
        <x:v>66.7</x:v>
      </x:c>
      <x:c r="D154" s="1">
        <x:v>870.1</x:v>
      </x:c>
      <x:c r="E154" s="1">
        <x:v>5.0</x:v>
      </x:c>
      <x:c r="F154" s="1">
        <x:v>12.0</x:v>
      </x:c>
      <x:c r="G154" s="1">
        <x:v>57.0</x:v>
      </x:c>
      <x:c r="H154" s="1">
        <x:v>0.2</x:v>
      </x:c>
      <x:c r="I154" s="1">
        <x:v>0.0</x:v>
      </x:c>
      <x:c r="J154" s="1">
        <x:v>183.1</x:v>
      </x:c>
      <x:c r="K154" s="18">
        <x:f t="shared" si="1"/>
        <x:v>3.532510885</x:v>
      </x:c>
      <x:c r="L154" s="18">
        <x:f t="shared" si="2"/>
        <x:v>42.79512821</x:v>
      </x:c>
      <x:c r="M154" s="121"/>
      <x:c r="N154" s="121"/>
      <x:c r="O154" s="121"/>
      <x:c r="P154" s="9"/>
      <x:c r="Q154" s="9"/>
      <x:c r="R154" s="9"/>
      <x:c r="S154" s="9"/>
      <x:c r="T154" s="9"/>
      <x:c r="U154" s="9"/>
      <x:c r="V154" s="9"/>
      <x:c r="W154" s="9"/>
      <x:c r="X154" s="9"/>
      <x:c r="Y154" s="9"/>
      <x:c r="Z154" s="9"/>
    </x:row>
    <x:row r="155" ht="14.25" customHeight="1">
      <x:c r="B155" s="1" t="s">
        <x:v>489</x:v>
      </x:c>
      <x:c r="C155" s="1">
        <x:v>47.0</x:v>
      </x:c>
      <x:c r="D155" s="1">
        <x:v>702.0</x:v>
      </x:c>
      <x:c r="E155" s="1">
        <x:v>4.0</x:v>
      </x:c>
      <x:c r="F155" s="1">
        <x:v>0.0</x:v>
      </x:c>
      <x:c r="G155" s="1">
        <x:v>0.0</x:v>
      </x:c>
      <x:c r="H155" s="1">
        <x:v>0.0</x:v>
      </x:c>
      <x:c r="I155" s="1">
        <x:v>0.7</x:v>
      </x:c>
      <x:c r="J155" s="1">
        <x:v>144.9</x:v>
      </x:c>
      <x:c r="K155" s="18">
        <x:f t="shared" si="1"/>
        <x:v>0</x:v>
      </x:c>
      <x:c r="L155" s="18">
        <x:f t="shared" si="2"/>
        <x:v>34.52727273</x:v>
      </x:c>
      <x:c r="M155" s="121"/>
      <x:c r="N155" s="121"/>
      <x:c r="O155" s="121"/>
      <x:c r="P155" s="9"/>
      <x:c r="Q155" s="9"/>
      <x:c r="R155" s="9"/>
      <x:c r="S155" s="9"/>
      <x:c r="T155" s="9"/>
      <x:c r="U155" s="9"/>
      <x:c r="V155" s="9"/>
      <x:c r="W155" s="9"/>
      <x:c r="X155" s="9"/>
      <x:c r="Y155" s="9"/>
      <x:c r="Z155" s="9"/>
    </x:row>
    <x:row r="156" ht="14.25" customHeight="1">
      <x:c r="A156" s="1" t="s">
        <x:v>784</x:v>
      </x:c>
      <x:c r="B156" s="1" t="s">
        <x:v>549</x:v>
      </x:c>
      <x:c r="C156" s="1">
        <x:v>61.0</x:v>
      </x:c>
      <x:c r="D156" s="1">
        <x:v>778.6</x:v>
      </x:c>
      <x:c r="E156" s="1">
        <x:v>3.6</x:v>
      </x:c>
      <x:c r="F156" s="1">
        <x:v>4.2</x:v>
      </x:c>
      <x:c r="G156" s="1">
        <x:v>22.5</x:v>
      </x:c>
      <x:c r="H156" s="1">
        <x:v>0.1</x:v>
      </x:c>
      <x:c r="I156" s="1">
        <x:v>1.3</x:v>
      </x:c>
      <x:c r="J156" s="1">
        <x:v>160.6</x:v>
      </x:c>
      <x:c r="K156" s="18">
        <x:f t="shared" si="1"/>
        <x:v>1.394412192</x:v>
      </x:c>
      <x:c r="L156" s="18">
        <x:f t="shared" si="2"/>
        <x:v>38.29477855</x:v>
      </x:c>
      <x:c r="M156" s="119" t="n">
        <x:f>C158*Scoring!$B$34+D158/Scoring!$C$34+E158*Scoring!$D$34+WR!F158*Scoring!$E$34+WR!G158/Scoring!$F$34+WR!H158*Scoring!$G$34+WR!I158*Scoring!$H$34+K158*Scoring!$I$34+WR!L158*Scoring!$J$34+U156</x:f>
        <x:v>140.2672</x:v>
      </x:c>
      <x:c r="N156" s="119" t="n">
        <x:f>C156*Scoring!$B$34+D156/Scoring!$C$34+E156*Scoring!$D$34+WR!F156*Scoring!$E$34+WR!G156/Scoring!$F$34+WR!H156*Scoring!$G$34+WR!I156*Scoring!$H$34+K156*Scoring!$I$34+WR!L156*Scoring!$J$34+U156</x:f>
        <x:v>151.8072</x:v>
      </x:c>
      <x:c r="O156" s="119" t="n">
        <x:f>C157*Scoring!$B$34+D157/Scoring!$C$34+E157*Scoring!$D$34+WR!F157*Scoring!$E$34+WR!G157/Scoring!$F$34+WR!H157*Scoring!$G$34+WR!I157*Scoring!$H$34+K157*Scoring!$I$34+WR!L157*Scoring!$J$34+U156</x:f>
        <x:v>163.2972</x:v>
      </x:c>
      <x:c r="P156" s="9" t="n">
        <x:f>IF(COUNTIF(Rookies!$A:$A,A156)&gt;0,1,0)</x:f>
        <x:v>1</x:v>
      </x:c>
      <x:c r="Q156" s="9"/>
      <x:c r="R156" s="9"/>
      <x:c r="S156" s="9" t="n">
        <x:f>V156/17</x:f>
        <x:v>7.735882352941176</x:v>
      </x:c>
      <x:c r="T156" s="9" t="n">
        <x:f>IF(P156=1,MAX(0,0.28*(12-S156)),0)</x:f>
        <x:v>1.1939529411764709</x:v>
      </x:c>
      <x:c r="U156" s="9" t="n">
        <x:f>T156*17</x:f>
        <x:v>20.297200000000004</x:v>
      </x:c>
      <x:c r="V156" s="9" t="n">
        <x:f>C156*Scoring!$B$34+D156/Scoring!$C$34+E156*Scoring!$D$34+WR!F156*Scoring!$E$34+WR!G156/Scoring!$F$34+WR!H156*Scoring!$G$34+WR!I156*Scoring!$H$34+K156*Scoring!$I$34+WR!L156*Scoring!$J$34</x:f>
        <x:v>131.51</x:v>
      </x:c>
      <x:c r="W156" s="9"/>
      <x:c r="X156" s="9"/>
      <x:c r="Y156" s="9"/>
      <x:c r="Z156" s="9"/>
    </x:row>
    <x:row r="157" ht="14.25" customHeight="1">
      <x:c r="B157" s="1" t="s">
        <x:v>488</x:v>
      </x:c>
      <x:c r="C157" s="1">
        <x:v>64.0</x:v>
      </x:c>
      <x:c r="D157" s="1">
        <x:v>830.0</x:v>
      </x:c>
      <x:c r="E157" s="1">
        <x:v>4.0</x:v>
      </x:c>
      <x:c r="F157" s="1">
        <x:v>6.4</x:v>
      </x:c>
      <x:c r="G157" s="1">
        <x:v>35.0</x:v>
      </x:c>
      <x:c r="H157" s="1">
        <x:v>0.2</x:v>
      </x:c>
      <x:c r="I157" s="1">
        <x:v>0.7</x:v>
      </x:c>
      <x:c r="J157" s="1">
        <x:v>157.1</x:v>
      </x:c>
      <x:c r="K157" s="18">
        <x:f t="shared" si="1"/>
        <x:v>2.169085631</x:v>
      </x:c>
      <x:c r="L157" s="18">
        <x:f t="shared" si="2"/>
        <x:v>40.82284382</x:v>
      </x:c>
      <x:c r="M157" s="121"/>
      <x:c r="N157" s="121"/>
      <x:c r="O157" s="121"/>
      <x:c r="P157" s="9"/>
      <x:c r="Q157" s="9"/>
      <x:c r="R157" s="9"/>
      <x:c r="S157" s="9"/>
      <x:c r="T157" s="9"/>
      <x:c r="U157" s="9"/>
      <x:c r="V157" s="9"/>
      <x:c r="W157" s="9"/>
      <x:c r="X157" s="9"/>
      <x:c r="Y157" s="9"/>
      <x:c r="Z157" s="9"/>
    </x:row>
    <x:row r="158" ht="14.25" customHeight="1">
      <x:c r="B158" s="1" t="s">
        <x:v>489</x:v>
      </x:c>
      <x:c r="C158" s="1">
        <x:v>58.1</x:v>
      </x:c>
      <x:c r="D158" s="1">
        <x:v>727.2</x:v>
      </x:c>
      <x:c r="E158" s="1">
        <x:v>3.2</x:v>
      </x:c>
      <x:c r="F158" s="1">
        <x:v>2.0</x:v>
      </x:c>
      <x:c r="G158" s="1">
        <x:v>10.0</x:v>
      </x:c>
      <x:c r="H158" s="1">
        <x:v>0.0</x:v>
      </x:c>
      <x:c r="I158" s="1">
        <x:v>2.0</x:v>
      </x:c>
      <x:c r="J158" s="1">
        <x:v>154.0</x:v>
      </x:c>
      <x:c r="K158" s="18">
        <x:f t="shared" si="1"/>
        <x:v>0.6197387518</x:v>
      </x:c>
      <x:c r="L158" s="18">
        <x:f t="shared" si="2"/>
        <x:v>35.76671329</x:v>
      </x:c>
      <x:c r="M158" s="121"/>
      <x:c r="N158" s="121"/>
      <x:c r="O158" s="121"/>
      <x:c r="P158" s="9"/>
      <x:c r="Q158" s="9"/>
      <x:c r="R158" s="9"/>
      <x:c r="S158" s="9"/>
      <x:c r="T158" s="9"/>
      <x:c r="U158" s="9"/>
      <x:c r="V158" s="9"/>
      <x:c r="W158" s="9"/>
      <x:c r="X158" s="9"/>
      <x:c r="Y158" s="9"/>
      <x:c r="Z158" s="9"/>
    </x:row>
    <x:row r="159" ht="14.25" customHeight="1">
      <x:c r="A159" s="1" t="s">
        <x:v>785</x:v>
      </x:c>
      <x:c r="B159" s="1" t="s">
        <x:v>537</x:v>
      </x:c>
      <x:c r="C159" s="1">
        <x:v>60.7</x:v>
      </x:c>
      <x:c r="D159" s="1">
        <x:v>718.0</x:v>
      </x:c>
      <x:c r="E159" s="1">
        <x:v>4.5</x:v>
      </x:c>
      <x:c r="F159" s="1">
        <x:v>0.0</x:v>
      </x:c>
      <x:c r="G159" s="1">
        <x:v>0.0</x:v>
      </x:c>
      <x:c r="H159" s="1">
        <x:v>0.0</x:v>
      </x:c>
      <x:c r="I159" s="1">
        <x:v>0.8</x:v>
      </x:c>
      <x:c r="J159" s="1">
        <x:v>157.8</x:v>
      </x:c>
      <x:c r="K159" s="18">
        <x:f t="shared" si="1"/>
        <x:v>0</x:v>
      </x:c>
      <x:c r="L159" s="18">
        <x:f t="shared" si="2"/>
        <x:v>35.31421911</x:v>
      </x:c>
      <x:c r="M159" s="119" t="n">
        <x:f>C161*Scoring!$B$34+D161/Scoring!$C$34+E161*Scoring!$D$34+WR!F161*Scoring!$E$34+WR!G161/Scoring!$F$34+WR!H161*Scoring!$G$34+WR!I161*Scoring!$H$34+K161*Scoring!$I$34+WR!L161*Scoring!$J$34+U159</x:f>
        <x:v>115.9</x:v>
      </x:c>
      <x:c r="N159" s="119" t="n">
        <x:f>C159*Scoring!$B$34+D159/Scoring!$C$34+E159*Scoring!$D$34+WR!F159*Scoring!$E$34+WR!G159/Scoring!$F$34+WR!H159*Scoring!$G$34+WR!I159*Scoring!$H$34+K159*Scoring!$I$34+WR!L159*Scoring!$J$34+U159</x:f>
        <x:v>128.35</x:v>
      </x:c>
      <x:c r="O159" s="119" t="n">
        <x:f>C160*Scoring!$B$34+D160/Scoring!$C$34+E160*Scoring!$D$34+WR!F160*Scoring!$E$34+WR!G160/Scoring!$F$34+WR!H160*Scoring!$G$34+WR!I160*Scoring!$H$34+K160*Scoring!$I$34+WR!L160*Scoring!$J$34+U159</x:f>
        <x:v>140.8</x:v>
      </x:c>
      <x:c r="P159" s="9" t="n">
        <x:f>IF(COUNTIF(Rookies!$A:$A,A159)&gt;0,1,0)</x:f>
        <x:v>0</x:v>
      </x:c>
      <x:c r="Q159" s="9"/>
      <x:c r="R159" s="9"/>
      <x:c r="S159" s="9" t="n">
        <x:f>V159/17</x:f>
        <x:v>7.55</x:v>
      </x:c>
      <x:c r="T159" s="9" t="n">
        <x:f>IF(P159=1,MAX(0,0.28*(12-S159)),0)</x:f>
        <x:v>0</x:v>
      </x:c>
      <x:c r="U159" s="9" t="n">
        <x:f>T159*17</x:f>
        <x:v>0</x:v>
      </x:c>
      <x:c r="V159" s="9" t="n">
        <x:f>C159*Scoring!$B$34+D159/Scoring!$C$34+E159*Scoring!$D$34+WR!F159*Scoring!$E$34+WR!G159/Scoring!$F$34+WR!H159*Scoring!$G$34+WR!I159*Scoring!$H$34+K159*Scoring!$I$34+WR!L159*Scoring!$J$34</x:f>
        <x:v>128.35</x:v>
      </x:c>
      <x:c r="W159" s="9"/>
      <x:c r="X159" s="9"/>
      <x:c r="Y159" s="9"/>
      <x:c r="Z159" s="9"/>
    </x:row>
    <x:row r="160" ht="14.25" customHeight="1">
      <x:c r="B160" s="1" t="s">
        <x:v>488</x:v>
      </x:c>
      <x:c r="C160" s="1">
        <x:v>61.4</x:v>
      </x:c>
      <x:c r="D160" s="1">
        <x:v>747.0</x:v>
      </x:c>
      <x:c r="E160" s="1">
        <x:v>6.0</x:v>
      </x:c>
      <x:c r="F160" s="1">
        <x:v>0.0</x:v>
      </x:c>
      <x:c r="G160" s="1">
        <x:v>0.0</x:v>
      </x:c>
      <x:c r="H160" s="1">
        <x:v>0.0</x:v>
      </x:c>
      <x:c r="I160" s="1">
        <x:v>0.6</x:v>
      </x:c>
      <x:c r="J160" s="1">
        <x:v>160.7</x:v>
      </x:c>
      <x:c r="K160" s="18">
        <x:f t="shared" si="1"/>
        <x:v>0</x:v>
      </x:c>
      <x:c r="L160" s="18">
        <x:f t="shared" si="2"/>
        <x:v>36.74055944</x:v>
      </x:c>
      <x:c r="M160" s="121"/>
      <x:c r="N160" s="121"/>
      <x:c r="O160" s="121"/>
      <x:c r="P160" s="9"/>
      <x:c r="Q160" s="9"/>
      <x:c r="R160" s="9"/>
      <x:c r="S160" s="9"/>
      <x:c r="T160" s="9"/>
      <x:c r="U160" s="9"/>
      <x:c r="V160" s="9"/>
      <x:c r="W160" s="9"/>
      <x:c r="X160" s="9"/>
      <x:c r="Y160" s="9"/>
      <x:c r="Z160" s="9"/>
    </x:row>
    <x:row r="161" ht="14.25" customHeight="1">
      <x:c r="B161" s="1" t="s">
        <x:v>489</x:v>
      </x:c>
      <x:c r="C161" s="1">
        <x:v>60.0</x:v>
      </x:c>
      <x:c r="D161" s="1">
        <x:v>689.0</x:v>
      </x:c>
      <x:c r="E161" s="1">
        <x:v>3.0</x:v>
      </x:c>
      <x:c r="F161" s="1">
        <x:v>0.0</x:v>
      </x:c>
      <x:c r="G161" s="1">
        <x:v>0.0</x:v>
      </x:c>
      <x:c r="H161" s="1">
        <x:v>0.0</x:v>
      </x:c>
      <x:c r="I161" s="1">
        <x:v>1.0</x:v>
      </x:c>
      <x:c r="J161" s="1">
        <x:v>146.5</x:v>
      </x:c>
      <x:c r="K161" s="18">
        <x:f t="shared" si="1"/>
        <x:v>0</x:v>
      </x:c>
      <x:c r="L161" s="18">
        <x:f t="shared" si="2"/>
        <x:v>33.88787879</x:v>
      </x:c>
      <x:c r="M161" s="121"/>
      <x:c r="N161" s="121"/>
      <x:c r="O161" s="121"/>
      <x:c r="P161" s="9"/>
      <x:c r="Q161" s="9"/>
      <x:c r="R161" s="9"/>
      <x:c r="S161" s="9"/>
      <x:c r="T161" s="9"/>
      <x:c r="U161" s="9"/>
      <x:c r="V161" s="9"/>
      <x:c r="W161" s="9"/>
      <x:c r="X161" s="9"/>
      <x:c r="Y161" s="9"/>
      <x:c r="Z161" s="9"/>
    </x:row>
    <x:row r="162" ht="14.25" customHeight="1">
      <x:c r="A162" s="1" t="s">
        <x:v>786</x:v>
      </x:c>
      <x:c r="B162" s="1" t="s">
        <x:v>533</x:v>
      </x:c>
      <x:c r="C162" s="1">
        <x:v>49.9</x:v>
      </x:c>
      <x:c r="D162" s="1">
        <x:v>755.8</x:v>
      </x:c>
      <x:c r="E162" s="1">
        <x:v>3.8</x:v>
      </x:c>
      <x:c r="F162" s="1">
        <x:v>13.4</x:v>
      </x:c>
      <x:c r="G162" s="1">
        <x:v>88.9</x:v>
      </x:c>
      <x:c r="H162" s="1">
        <x:v>0.3</x:v>
      </x:c>
      <x:c r="I162" s="1">
        <x:v>0.8</x:v>
      </x:c>
      <x:c r="J162" s="1">
        <x:v>156.8</x:v>
      </x:c>
      <x:c r="K162" s="18">
        <x:f t="shared" si="1"/>
        <x:v>5.509477504</x:v>
      </x:c>
      <x:c r="L162" s="18">
        <x:f t="shared" si="2"/>
        <x:v>37.17337995</x:v>
      </x:c>
      <x:c r="M162" s="119" t="n">
        <x:f>C164*Scoring!$B$34+D164/Scoring!$C$34+E164*Scoring!$D$34+WR!F164*Scoring!$E$34+WR!G164/Scoring!$F$34+WR!H164*Scoring!$G$34+WR!I164*Scoring!$H$34+K164*Scoring!$I$34+WR!L164*Scoring!$J$34+U162</x:f>
        <x:v>114.72000000000001</x:v>
      </x:c>
      <x:c r="N162" s="119" t="n">
        <x:f>C162*Scoring!$B$34+D162/Scoring!$C$34+E162*Scoring!$D$34+WR!F162*Scoring!$E$34+WR!G162/Scoring!$F$34+WR!H162*Scoring!$G$34+WR!I162*Scoring!$H$34+K162*Scoring!$I$34+WR!L162*Scoring!$J$34+U162</x:f>
        <x:v>133.22</x:v>
      </x:c>
      <x:c r="O162" s="119" t="n">
        <x:f>C163*Scoring!$B$34+D163/Scoring!$C$34+E163*Scoring!$D$34+WR!F163*Scoring!$E$34+WR!G163/Scoring!$F$34+WR!H163*Scoring!$G$34+WR!I163*Scoring!$H$34+K163*Scoring!$I$34+WR!L163*Scoring!$J$34+U162</x:f>
        <x:v>150.5</x:v>
      </x:c>
      <x:c r="P162" s="9" t="n">
        <x:f>IF(COUNTIF(Rookies!$A:$A,A162)&gt;0,1,0)</x:f>
        <x:v>0</x:v>
      </x:c>
      <x:c r="Q162" s="9"/>
      <x:c r="R162" s="9"/>
      <x:c r="S162" s="9" t="n">
        <x:f>V162/17</x:f>
        <x:v>7.836470588235294</x:v>
      </x:c>
      <x:c r="T162" s="9" t="n">
        <x:f>IF(P162=1,MAX(0,0.28*(12-S162)),0)</x:f>
        <x:v>0</x:v>
      </x:c>
      <x:c r="U162" s="9" t="n">
        <x:f>T162*17</x:f>
        <x:v>0</x:v>
      </x:c>
      <x:c r="V162" s="9" t="n">
        <x:f>C162*Scoring!$B$34+D162/Scoring!$C$34+E162*Scoring!$D$34+WR!F162*Scoring!$E$34+WR!G162/Scoring!$F$34+WR!H162*Scoring!$G$34+WR!I162*Scoring!$H$34+K162*Scoring!$I$34+WR!L162*Scoring!$J$34</x:f>
        <x:v>133.22</x:v>
      </x:c>
      <x:c r="W162" s="9"/>
      <x:c r="X162" s="9"/>
      <x:c r="Y162" s="9"/>
      <x:c r="Z162" s="9"/>
    </x:row>
    <x:row r="163" ht="14.25" customHeight="1">
      <x:c r="B163" s="1" t="s">
        <x:v>488</x:v>
      </x:c>
      <x:c r="C163" s="1">
        <x:v>57.0</x:v>
      </x:c>
      <x:c r="D163" s="1">
        <x:v>865.0</x:v>
      </x:c>
      <x:c r="E163" s="1">
        <x:v>4.0</x:v>
      </x:c>
      <x:c r="F163" s="1">
        <x:v>13.8</x:v>
      </x:c>
      <x:c r="G163" s="1">
        <x:v>91.0</x:v>
      </x:c>
      <x:c r="H163" s="1">
        <x:v>0.5</x:v>
      </x:c>
      <x:c r="I163" s="1">
        <x:v>0.6</x:v>
      </x:c>
      <x:c r="J163" s="1">
        <x:v>153.9</x:v>
      </x:c>
      <x:c r="K163" s="18">
        <x:f t="shared" si="1"/>
        <x:v>5.639622642</x:v>
      </x:c>
      <x:c r="L163" s="18">
        <x:f t="shared" si="2"/>
        <x:v>42.54428904</x:v>
      </x:c>
      <x:c r="M163" s="121"/>
      <x:c r="N163" s="121"/>
      <x:c r="O163" s="121"/>
      <x:c r="P163" s="9"/>
      <x:c r="Q163" s="9"/>
      <x:c r="R163" s="9"/>
      <x:c r="S163" s="9"/>
      <x:c r="T163" s="9"/>
      <x:c r="U163" s="9"/>
      <x:c r="V163" s="9"/>
      <x:c r="W163" s="9"/>
      <x:c r="X163" s="9"/>
      <x:c r="Y163" s="9"/>
      <x:c r="Z163" s="9"/>
    </x:row>
    <x:row r="164" ht="14.25" customHeight="1">
      <x:c r="B164" s="1" t="s">
        <x:v>489</x:v>
      </x:c>
      <x:c r="C164" s="1">
        <x:v>42.8</x:v>
      </x:c>
      <x:c r="D164" s="1">
        <x:v>646.5</x:v>
      </x:c>
      <x:c r="E164" s="1">
        <x:v>3.5</x:v>
      </x:c>
      <x:c r="F164" s="1">
        <x:v>13.0</x:v>
      </x:c>
      <x:c r="G164" s="1">
        <x:v>86.7</x:v>
      </x:c>
      <x:c r="H164" s="1">
        <x:v>0.0</x:v>
      </x:c>
      <x:c r="I164" s="1">
        <x:v>1.0</x:v>
      </x:c>
      <x:c r="J164" s="1">
        <x:v>151.6</x:v>
      </x:c>
      <x:c r="K164" s="18">
        <x:f t="shared" si="1"/>
        <x:v>5.373134978</x:v>
      </x:c>
      <x:c r="L164" s="18">
        <x:f t="shared" si="2"/>
        <x:v>31.79755245</x:v>
      </x:c>
      <x:c r="M164" s="121"/>
      <x:c r="N164" s="121"/>
      <x:c r="O164" s="121"/>
      <x:c r="P164" s="9"/>
      <x:c r="Q164" s="9"/>
      <x:c r="R164" s="9"/>
      <x:c r="S164" s="9"/>
      <x:c r="T164" s="9"/>
      <x:c r="U164" s="9"/>
      <x:c r="V164" s="9"/>
      <x:c r="W164" s="9"/>
      <x:c r="X164" s="9"/>
      <x:c r="Y164" s="9"/>
      <x:c r="Z164" s="9"/>
    </x:row>
    <x:row r="165" ht="14.25" customHeight="1">
      <x:c r="A165" s="1" t="s">
        <x:v>787</x:v>
      </x:c>
      <x:c r="B165" s="1" t="s">
        <x:v>549</x:v>
      </x:c>
      <x:c r="C165" s="1">
        <x:v>58.4</x:v>
      </x:c>
      <x:c r="D165" s="1">
        <x:v>741.0</x:v>
      </x:c>
      <x:c r="E165" s="1">
        <x:v>3.5</x:v>
      </x:c>
      <x:c r="F165" s="1">
        <x:v>1.0</x:v>
      </x:c>
      <x:c r="G165" s="1">
        <x:v>5.0</x:v>
      </x:c>
      <x:c r="H165" s="1">
        <x:v>0.0</x:v>
      </x:c>
      <x:c r="I165" s="1">
        <x:v>1.3</x:v>
      </x:c>
      <x:c r="J165" s="1">
        <x:v>151.4</x:v>
      </x:c>
      <x:c r="K165" s="18">
        <x:f t="shared" si="1"/>
        <x:v>0.3098693759</x:v>
      </x:c>
      <x:c r="L165" s="18">
        <x:f t="shared" si="2"/>
        <x:v>36.44545455</x:v>
      </x:c>
      <x:c r="M165" s="119" t="n">
        <x:f>C167*Scoring!$B$34+D167/Scoring!$C$34+E167*Scoring!$D$34+WR!F167*Scoring!$E$34+WR!G167/Scoring!$F$34+WR!H167*Scoring!$G$34+WR!I167*Scoring!$H$34+K167*Scoring!$I$34+WR!L167*Scoring!$J$34+U165</x:f>
        <x:v>134.29</x:v>
      </x:c>
      <x:c r="N165" s="119" t="n">
        <x:f>C165*Scoring!$B$34+D165/Scoring!$C$34+E165*Scoring!$D$34+WR!F165*Scoring!$E$34+WR!G165/Scoring!$F$34+WR!H165*Scoring!$G$34+WR!I165*Scoring!$H$34+K165*Scoring!$I$34+WR!L165*Scoring!$J$34+U165</x:f>
        <x:v>146.04</x:v>
      </x:c>
      <x:c r="O165" s="119" t="n">
        <x:f>C166*Scoring!$B$34+D166/Scoring!$C$34+E166*Scoring!$D$34+WR!F166*Scoring!$E$34+WR!G166/Scoring!$F$34+WR!H166*Scoring!$G$34+WR!I166*Scoring!$H$34+K166*Scoring!$I$34+WR!L166*Scoring!$J$34+U165</x:f>
        <x:v>157.84</x:v>
      </x:c>
      <x:c r="P165" s="9" t="n">
        <x:f>IF(COUNTIF(Rookies!$A:$A,A165)&gt;0,1,0)</x:f>
        <x:v>1</x:v>
      </x:c>
      <x:c r="Q165" s="9"/>
      <x:c r="R165" s="9"/>
      <x:c r="S165" s="9" t="n">
        <x:f>V165/17</x:f>
        <x:v>7.264705882352941</x:v>
      </x:c>
      <x:c r="T165" s="9" t="n">
        <x:f>IF(P165=1,MAX(0,0.28*(12-S165)),0)</x:f>
        <x:v>1.3258823529411765</x:v>
      </x:c>
      <x:c r="U165" s="9" t="n">
        <x:f>T165*17</x:f>
        <x:v>22.54</x:v>
      </x:c>
      <x:c r="V165" s="9" t="n">
        <x:f>C165*Scoring!$B$34+D165/Scoring!$C$34+E165*Scoring!$D$34+WR!F165*Scoring!$E$34+WR!G165/Scoring!$F$34+WR!H165*Scoring!$G$34+WR!I165*Scoring!$H$34+K165*Scoring!$I$34+WR!L165*Scoring!$J$34</x:f>
        <x:v>123.5</x:v>
      </x:c>
      <x:c r="W165" s="9"/>
      <x:c r="X165" s="9"/>
      <x:c r="Y165" s="9"/>
      <x:c r="Z165" s="9"/>
    </x:row>
    <x:row r="166" ht="14.25" customHeight="1">
      <x:c r="B166" s="1" t="s">
        <x:v>488</x:v>
      </x:c>
      <x:c r="C166" s="1">
        <x:v>62.0</x:v>
      </x:c>
      <x:c r="D166" s="1">
        <x:v>799.0</x:v>
      </x:c>
      <x:c r="E166" s="1">
        <x:v>4.0</x:v>
      </x:c>
      <x:c r="F166" s="1">
        <x:v>2.0</x:v>
      </x:c>
      <x:c r="G166" s="1">
        <x:v>10.0</x:v>
      </x:c>
      <x:c r="H166" s="1">
        <x:v>0.0</x:v>
      </x:c>
      <x:c r="I166" s="1">
        <x:v>0.6</x:v>
      </x:c>
      <x:c r="J166" s="1">
        <x:v>150.4</x:v>
      </x:c>
      <x:c r="K166" s="18">
        <x:f t="shared" si="1"/>
        <x:v>0.6197387518</x:v>
      </x:c>
      <x:c r="L166" s="18">
        <x:f t="shared" si="2"/>
        <x:v>39.2981352</x:v>
      </x:c>
      <x:c r="M166" s="121"/>
      <x:c r="N166" s="121"/>
      <x:c r="O166" s="121"/>
      <x:c r="P166" s="9"/>
      <x:c r="Q166" s="9"/>
      <x:c r="R166" s="9"/>
      <x:c r="S166" s="9"/>
      <x:c r="T166" s="9"/>
      <x:c r="U166" s="9"/>
      <x:c r="V166" s="9"/>
      <x:c r="W166" s="9"/>
      <x:c r="X166" s="9"/>
      <x:c r="Y166" s="9"/>
      <x:c r="Z166" s="9"/>
    </x:row>
    <x:row r="167" ht="14.25" customHeight="1">
      <x:c r="B167" s="1" t="s">
        <x:v>489</x:v>
      </x:c>
      <x:c r="C167" s="1">
        <x:v>54.9</x:v>
      </x:c>
      <x:c r="D167" s="1">
        <x:v>683.0</x:v>
      </x:c>
      <x:c r="E167" s="1">
        <x:v>3.0</x:v>
      </x:c>
      <x:c r="F167" s="1">
        <x:v>0.0</x:v>
      </x:c>
      <x:c r="G167" s="1">
        <x:v>0.0</x:v>
      </x:c>
      <x:c r="H167" s="1">
        <x:v>0.0</x:v>
      </x:c>
      <x:c r="I167" s="1">
        <x:v>2.0</x:v>
      </x:c>
      <x:c r="J167" s="1">
        <x:v>144.3</x:v>
      </x:c>
      <x:c r="K167" s="18">
        <x:f t="shared" si="1"/>
        <x:v>0</x:v>
      </x:c>
      <x:c r="L167" s="18">
        <x:f t="shared" si="2"/>
        <x:v>33.59277389</x:v>
      </x:c>
      <x:c r="M167" s="121"/>
      <x:c r="N167" s="121"/>
      <x:c r="O167" s="121"/>
      <x:c r="P167" s="9"/>
      <x:c r="Q167" s="9"/>
      <x:c r="R167" s="9"/>
      <x:c r="S167" s="9"/>
      <x:c r="T167" s="9"/>
      <x:c r="U167" s="9"/>
      <x:c r="V167" s="9"/>
      <x:c r="W167" s="9"/>
      <x:c r="X167" s="9"/>
      <x:c r="Y167" s="9"/>
      <x:c r="Z167" s="9"/>
    </x:row>
    <x:row r="168" ht="14.25" customHeight="1">
      <x:c r="A168" s="1" t="s">
        <x:v>788</x:v>
      </x:c>
      <x:c r="B168" s="1" t="s">
        <x:v>497</x:v>
      </x:c>
      <x:c r="C168" s="1">
        <x:v>52.8</x:v>
      </x:c>
      <x:c r="D168" s="1">
        <x:v>738.2</x:v>
      </x:c>
      <x:c r="E168" s="1">
        <x:v>4.4</x:v>
      </x:c>
      <x:c r="F168" s="1">
        <x:v>1.5</x:v>
      </x:c>
      <x:c r="G168" s="1">
        <x:v>6.5</x:v>
      </x:c>
      <x:c r="H168" s="1">
        <x:v>0.0</x:v>
      </x:c>
      <x:c r="I168" s="1">
        <x:v>1.3</x:v>
      </x:c>
      <x:c r="J168" s="1">
        <x:v>150.8</x:v>
      </x:c>
      <x:c r="K168" s="18">
        <x:f t="shared" si="1"/>
        <x:v>0.4028301887</x:v>
      </x:c>
      <x:c r="L168" s="18">
        <x:f t="shared" si="2"/>
        <x:v>36.30773893</x:v>
      </x:c>
      <x:c r="M168" s="119" t="n">
        <x:f>C170*Scoring!$B$34+D170/Scoring!$C$34+E170*Scoring!$D$34+WR!F170*Scoring!$E$34+WR!G170/Scoring!$F$34+WR!H170*Scoring!$G$34+WR!I170*Scoring!$H$34+K170*Scoring!$I$34+WR!L170*Scoring!$J$34+U168</x:f>
        <x:v>143.5984</x:v>
      </x:c>
      <x:c r="N168" s="119" t="n">
        <x:f>C168*Scoring!$B$34+D168/Scoring!$C$34+E168*Scoring!$D$34+WR!F168*Scoring!$E$34+WR!G168/Scoring!$F$34+WR!H168*Scoring!$G$34+WR!I168*Scoring!$H$34+K168*Scoring!$I$34+WR!L168*Scoring!$J$34+U168</x:f>
        <x:v>147.8184</x:v>
      </x:c>
      <x:c r="O168" s="119" t="n">
        <x:f>C169*Scoring!$B$34+D169/Scoring!$C$34+E169*Scoring!$D$34+WR!F169*Scoring!$E$34+WR!G169/Scoring!$F$34+WR!H169*Scoring!$G$34+WR!I169*Scoring!$H$34+K169*Scoring!$I$34+WR!L169*Scoring!$J$34+U168</x:f>
        <x:v>151.4884</x:v>
      </x:c>
      <x:c r="P168" s="9" t="n">
        <x:f>IF(COUNTIF(Rookies!$A:$A,A168)&gt;0,1,0)</x:f>
        <x:v>1</x:v>
      </x:c>
      <x:c r="Q168" s="9"/>
      <x:c r="R168" s="9"/>
      <x:c r="S168" s="9" t="n">
        <x:f>V168/17</x:f>
        <x:v>7.410000000000001</x:v>
      </x:c>
      <x:c r="T168" s="9" t="n">
        <x:f>IF(P168=1,MAX(0,0.28*(12-S168)),0)</x:f>
        <x:v>1.2852</x:v>
      </x:c>
      <x:c r="U168" s="9" t="n">
        <x:f>T168*17</x:f>
        <x:v>21.848399999999998</x:v>
      </x:c>
      <x:c r="V168" s="9" t="n">
        <x:f>C168*Scoring!$B$34+D168/Scoring!$C$34+E168*Scoring!$D$34+WR!F168*Scoring!$E$34+WR!G168/Scoring!$F$34+WR!H168*Scoring!$G$34+WR!I168*Scoring!$H$34+K168*Scoring!$I$34+WR!L168*Scoring!$J$34</x:f>
        <x:v>125.97000000000001</x:v>
      </x:c>
      <x:c r="W168" s="9"/>
      <x:c r="X168" s="9"/>
      <x:c r="Y168" s="9"/>
      <x:c r="Z168" s="9"/>
    </x:row>
    <x:row r="169" ht="14.25" customHeight="1">
      <x:c r="B169" s="1" t="s">
        <x:v>488</x:v>
      </x:c>
      <x:c r="C169" s="1">
        <x:v>53.0</x:v>
      </x:c>
      <x:c r="D169" s="1">
        <x:v>741.4</x:v>
      </x:c>
      <x:c r="E169" s="1">
        <x:v>4.7</x:v>
      </x:c>
      <x:c r="F169" s="1">
        <x:v>3.0</x:v>
      </x:c>
      <x:c r="G169" s="1">
        <x:v>13.0</x:v>
      </x:c>
      <x:c r="H169" s="1">
        <x:v>0.0</x:v>
      </x:c>
      <x:c r="I169" s="1">
        <x:v>0.5</x:v>
      </x:c>
      <x:c r="J169" s="1">
        <x:v>154.9</x:v>
      </x:c>
      <x:c r="K169" s="18">
        <x:f t="shared" si="1"/>
        <x:v>0.8056603774</x:v>
      </x:c>
      <x:c r="L169" s="18">
        <x:f t="shared" si="2"/>
        <x:v>36.46512821</x:v>
      </x:c>
      <x:c r="M169" s="121"/>
      <x:c r="N169" s="121"/>
      <x:c r="O169" s="121"/>
      <x:c r="P169" s="9"/>
      <x:c r="Q169" s="9"/>
      <x:c r="R169" s="9"/>
      <x:c r="S169" s="9"/>
      <x:c r="T169" s="9"/>
      <x:c r="U169" s="9"/>
      <x:c r="V169" s="9"/>
      <x:c r="W169" s="9"/>
      <x:c r="X169" s="9"/>
      <x:c r="Y169" s="9"/>
      <x:c r="Z169" s="9"/>
    </x:row>
    <x:row r="170" ht="14.25" customHeight="1">
      <x:c r="B170" s="1" t="s">
        <x:v>489</x:v>
      </x:c>
      <x:c r="C170" s="1">
        <x:v>52.5</x:v>
      </x:c>
      <x:c r="D170" s="1">
        <x:v>735.0</x:v>
      </x:c>
      <x:c r="E170" s="1">
        <x:v>4.0</x:v>
      </x:c>
      <x:c r="F170" s="1">
        <x:v>0.0</x:v>
      </x:c>
      <x:c r="G170" s="1">
        <x:v>0.0</x:v>
      </x:c>
      <x:c r="H170" s="1">
        <x:v>0.0</x:v>
      </x:c>
      <x:c r="I170" s="1">
        <x:v>2.0</x:v>
      </x:c>
      <x:c r="J170" s="1">
        <x:v>138.8</x:v>
      </x:c>
      <x:c r="K170" s="18">
        <x:f t="shared" si="1"/>
        <x:v>0</x:v>
      </x:c>
      <x:c r="L170" s="18">
        <x:f t="shared" si="2"/>
        <x:v>36.15034965</x:v>
      </x:c>
      <x:c r="M170" s="121"/>
      <x:c r="N170" s="121"/>
      <x:c r="O170" s="121"/>
      <x:c r="P170" s="9"/>
      <x:c r="Q170" s="9"/>
      <x:c r="R170" s="9"/>
      <x:c r="S170" s="9"/>
      <x:c r="T170" s="9"/>
      <x:c r="U170" s="9"/>
      <x:c r="V170" s="9"/>
      <x:c r="W170" s="9"/>
      <x:c r="X170" s="9"/>
      <x:c r="Y170" s="9"/>
      <x:c r="Z170" s="9"/>
    </x:row>
    <x:row r="171" ht="14.25" customHeight="1">
      <x:c r="A171" s="1" t="s">
        <x:v>789</x:v>
      </x:c>
      <x:c r="B171" s="1" t="s">
        <x:v>503</x:v>
      </x:c>
      <x:c r="C171" s="1">
        <x:v>50.8</x:v>
      </x:c>
      <x:c r="D171" s="1">
        <x:v>749.0</x:v>
      </x:c>
      <x:c r="E171" s="1">
        <x:v>4.5</x:v>
      </x:c>
      <x:c r="F171" s="1">
        <x:v>1.5</x:v>
      </x:c>
      <x:c r="G171" s="1">
        <x:v>6.5</x:v>
      </x:c>
      <x:c r="H171" s="1">
        <x:v>0.0</x:v>
      </x:c>
      <x:c r="I171" s="1">
        <x:v>1.2</x:v>
      </x:c>
      <x:c r="J171" s="1">
        <x:v>150.7</x:v>
      </x:c>
      <x:c r="K171" s="18">
        <x:f t="shared" si="1"/>
        <x:v>0.4028301887</x:v>
      </x:c>
      <x:c r="L171" s="18">
        <x:f t="shared" si="2"/>
        <x:v>36.83892774</x:v>
      </x:c>
      <x:c r="M171" s="119" t="n">
        <x:f>C173*Scoring!$B$34+D173/Scoring!$C$34+E173*Scoring!$D$34+WR!F173*Scoring!$E$34+WR!G173/Scoring!$F$34+WR!H173*Scoring!$G$34+WR!I173*Scoring!$H$34+K173*Scoring!$I$34+WR!L173*Scoring!$J$34+U171</x:f>
        <x:v>128.99</x:v>
      </x:c>
      <x:c r="N171" s="119" t="n">
        <x:f>C171*Scoring!$B$34+D171/Scoring!$C$34+E171*Scoring!$D$34+WR!F171*Scoring!$E$34+WR!G171/Scoring!$F$34+WR!H171*Scoring!$G$34+WR!I171*Scoring!$H$34+K171*Scoring!$I$34+WR!L171*Scoring!$J$34+U171</x:f>
        <x:v>148.38000000000002</x:v>
      </x:c>
      <x:c r="O171" s="119" t="n">
        <x:f>C172*Scoring!$B$34+D172/Scoring!$C$34+E172*Scoring!$D$34+WR!F172*Scoring!$E$34+WR!G172/Scoring!$F$34+WR!H172*Scoring!$G$34+WR!I172*Scoring!$H$34+K172*Scoring!$I$34+WR!L172*Scoring!$J$34+U171</x:f>
        <x:v>167.23</x:v>
      </x:c>
      <x:c r="P171" s="9" t="n">
        <x:f>IF(COUNTIF(Rookies!$A:$A,A171)&gt;0,1,0)</x:f>
        <x:v>1</x:v>
      </x:c>
      <x:c r="Q171" s="9"/>
      <x:c r="R171" s="9"/>
      <x:c r="S171" s="9" t="n">
        <x:f>V171/17</x:f>
        <x:v>7.4558823529411775</x:v>
      </x:c>
      <x:c r="T171" s="9" t="n">
        <x:f>IF(P171=1,MAX(0,0.28*(12-S171)),0)</x:f>
        <x:v>1.2723529411764705</x:v>
      </x:c>
      <x:c r="U171" s="9" t="n">
        <x:f>T171*17</x:f>
        <x:v>21.63</x:v>
      </x:c>
      <x:c r="V171" s="9" t="n">
        <x:f>C171*Scoring!$B$34+D171/Scoring!$C$34+E171*Scoring!$D$34+WR!F171*Scoring!$E$34+WR!G171/Scoring!$F$34+WR!H171*Scoring!$G$34+WR!I171*Scoring!$H$34+K171*Scoring!$I$34+WR!L171*Scoring!$J$34</x:f>
        <x:v>126.75000000000001</x:v>
      </x:c>
      <x:c r="W171" s="9"/>
      <x:c r="X171" s="9"/>
      <x:c r="Y171" s="9"/>
      <x:c r="Z171" s="9"/>
    </x:row>
    <x:row r="172" ht="14.25" customHeight="1">
      <x:c r="B172" s="1" t="s">
        <x:v>488</x:v>
      </x:c>
      <x:c r="C172" s="1">
        <x:v>59.0</x:v>
      </x:c>
      <x:c r="D172" s="1">
        <x:v>852.0</x:v>
      </x:c>
      <x:c r="E172" s="1">
        <x:v>5.0</x:v>
      </x:c>
      <x:c r="F172" s="1">
        <x:v>3.0</x:v>
      </x:c>
      <x:c r="G172" s="1">
        <x:v>13.0</x:v>
      </x:c>
      <x:c r="H172" s="1">
        <x:v>0.0</x:v>
      </x:c>
      <x:c r="I172" s="1">
        <x:v>0.4</x:v>
      </x:c>
      <x:c r="J172" s="1">
        <x:v>154.8</x:v>
      </x:c>
      <x:c r="K172" s="18">
        <x:f t="shared" si="1"/>
        <x:v>0.8056603774</x:v>
      </x:c>
      <x:c r="L172" s="18">
        <x:f t="shared" si="2"/>
        <x:v>41.9048951</x:v>
      </x:c>
      <x:c r="M172" s="121"/>
      <x:c r="N172" s="121"/>
      <x:c r="O172" s="121"/>
      <x:c r="P172" s="9"/>
      <x:c r="Q172" s="9"/>
      <x:c r="R172" s="9"/>
      <x:c r="S172" s="9"/>
      <x:c r="T172" s="9"/>
      <x:c r="U172" s="9"/>
      <x:c r="V172" s="9"/>
      <x:c r="W172" s="9"/>
      <x:c r="X172" s="9"/>
      <x:c r="Y172" s="9"/>
      <x:c r="Z172" s="9"/>
    </x:row>
    <x:row r="173" ht="14.25" customHeight="1">
      <x:c r="B173" s="1" t="s">
        <x:v>489</x:v>
      </x:c>
      <x:c r="C173" s="1">
        <x:v>42.7</x:v>
      </x:c>
      <x:c r="D173" s="1">
        <x:v>646.1</x:v>
      </x:c>
      <x:c r="E173" s="1">
        <x:v>3.9</x:v>
      </x:c>
      <x:c r="F173" s="1">
        <x:v>0.0</x:v>
      </x:c>
      <x:c r="G173" s="1">
        <x:v>0.0</x:v>
      </x:c>
      <x:c r="H173" s="1">
        <x:v>0.0</x:v>
      </x:c>
      <x:c r="I173" s="1">
        <x:v>2.0</x:v>
      </x:c>
      <x:c r="J173" s="1">
        <x:v>138.5</x:v>
      </x:c>
      <x:c r="K173" s="18">
        <x:f t="shared" si="1"/>
        <x:v>0</x:v>
      </x:c>
      <x:c r="L173" s="18">
        <x:f t="shared" si="2"/>
        <x:v>31.77787879</x:v>
      </x:c>
      <x:c r="M173" s="121"/>
      <x:c r="N173" s="121"/>
      <x:c r="O173" s="121"/>
      <x:c r="P173" s="9"/>
      <x:c r="Q173" s="9"/>
      <x:c r="R173" s="9"/>
      <x:c r="S173" s="9"/>
      <x:c r="T173" s="9"/>
      <x:c r="U173" s="9"/>
      <x:c r="V173" s="9"/>
      <x:c r="W173" s="9"/>
      <x:c r="X173" s="9"/>
      <x:c r="Y173" s="9"/>
      <x:c r="Z173" s="9"/>
    </x:row>
    <x:row r="174" ht="14.25" customHeight="1">
      <x:c r="A174" s="1" t="s">
        <x:v>790</x:v>
      </x:c>
      <x:c r="B174" s="1" t="s">
        <x:v>541</x:v>
      </x:c>
      <x:c r="C174" s="1">
        <x:v>46.7</x:v>
      </x:c>
      <x:c r="D174" s="1">
        <x:v>762.4</x:v>
      </x:c>
      <x:c r="E174" s="1">
        <x:v>3.2</x:v>
      </x:c>
      <x:c r="F174" s="1">
        <x:v>4.5</x:v>
      </x:c>
      <x:c r="G174" s="1">
        <x:v>27.6</x:v>
      </x:c>
      <x:c r="H174" s="1">
        <x:v>0.6</x:v>
      </x:c>
      <x:c r="I174" s="1">
        <x:v>0.2</x:v>
      </x:c>
      <x:c r="J174" s="1">
        <x:v>148.1</x:v>
      </x:c>
      <x:c r="K174" s="18">
        <x:f t="shared" si="1"/>
        <x:v>1.710478955</x:v>
      </x:c>
      <x:c r="L174" s="18">
        <x:f t="shared" si="2"/>
        <x:v>37.49799534</x:v>
      </x:c>
      <x:c r="M174" s="119" t="n">
        <x:f>C176*Scoring!$B$34+D176/Scoring!$C$34+E176*Scoring!$D$34+WR!F176*Scoring!$E$34+WR!G176/Scoring!$F$34+WR!H176*Scoring!$G$34+WR!I176*Scoring!$H$34+K176*Scoring!$I$34+WR!L176*Scoring!$J$34+U174</x:f>
        <x:v>111.17999999999999</x:v>
      </x:c>
      <x:c r="N174" s="119" t="n">
        <x:f>C174*Scoring!$B$34+D174/Scoring!$C$34+E174*Scoring!$D$34+WR!F174*Scoring!$E$34+WR!G174/Scoring!$F$34+WR!H174*Scoring!$G$34+WR!I174*Scoring!$H$34+K174*Scoring!$I$34+WR!L174*Scoring!$J$34+U174</x:f>
        <x:v>124.95</x:v>
      </x:c>
      <x:c r="O174" s="119" t="n">
        <x:f>C175*Scoring!$B$34+D175/Scoring!$C$34+E175*Scoring!$D$34+WR!F175*Scoring!$E$34+WR!G175/Scoring!$F$34+WR!H175*Scoring!$G$34+WR!I175*Scoring!$H$34+K175*Scoring!$I$34+WR!L175*Scoring!$J$34+U174</x:f>
        <x:v>139.31</x:v>
      </x:c>
      <x:c r="P174" s="9" t="n">
        <x:f>IF(COUNTIF(Rookies!$A:$A,A174)&gt;0,1,0)</x:f>
        <x:v>0</x:v>
      </x:c>
      <x:c r="Q174" s="9"/>
      <x:c r="R174" s="9"/>
      <x:c r="S174" s="9" t="n">
        <x:f>V174/17</x:f>
        <x:v>7.3500000000000005</x:v>
      </x:c>
      <x:c r="T174" s="9" t="n">
        <x:f>IF(P174=1,MAX(0,0.28*(12-S174)),0)</x:f>
        <x:v>0</x:v>
      </x:c>
      <x:c r="U174" s="9" t="n">
        <x:f>T174*17</x:f>
        <x:v>0</x:v>
      </x:c>
      <x:c r="V174" s="9" t="n">
        <x:f>C174*Scoring!$B$34+D174/Scoring!$C$34+E174*Scoring!$D$34+WR!F174*Scoring!$E$34+WR!G174/Scoring!$F$34+WR!H174*Scoring!$G$34+WR!I174*Scoring!$H$34+K174*Scoring!$I$34+WR!L174*Scoring!$J$34</x:f>
        <x:v>124.95</x:v>
      </x:c>
      <x:c r="W174" s="9"/>
      <x:c r="X174" s="9"/>
      <x:c r="Y174" s="9"/>
      <x:c r="Z174" s="9"/>
    </x:row>
    <x:row r="175" ht="14.25" customHeight="1">
      <x:c r="B175" s="1" t="s">
        <x:v>488</x:v>
      </x:c>
      <x:c r="C175" s="1">
        <x:v>50.0</x:v>
      </x:c>
      <x:c r="D175" s="1">
        <x:v>847.0</x:v>
      </x:c>
      <x:c r="E175" s="1">
        <x:v>3.4</x:v>
      </x:c>
      <x:c r="F175" s="1">
        <x:v>6.1</x:v>
      </x:c>
      <x:c r="G175" s="1">
        <x:v>32.1</x:v>
      </x:c>
      <x:c r="H175" s="1">
        <x:v>1.0</x:v>
      </x:c>
      <x:c r="I175" s="1">
        <x:v>0.0</x:v>
      </x:c>
      <x:c r="J175" s="1">
        <x:v>146.7</x:v>
      </x:c>
      <x:c r="K175" s="18">
        <x:f t="shared" si="1"/>
        <x:v>1.989361393</x:v>
      </x:c>
      <x:c r="L175" s="18">
        <x:f t="shared" si="2"/>
        <x:v>41.65897436</x:v>
      </x:c>
      <x:c r="M175" s="121"/>
      <x:c r="N175" s="121"/>
      <x:c r="O175" s="121"/>
      <x:c r="P175" s="9"/>
      <x:c r="Q175" s="9"/>
      <x:c r="R175" s="9"/>
      <x:c r="S175" s="9"/>
      <x:c r="T175" s="9"/>
      <x:c r="U175" s="9"/>
      <x:c r="V175" s="9"/>
      <x:c r="W175" s="9"/>
      <x:c r="X175" s="9"/>
      <x:c r="Y175" s="9"/>
      <x:c r="Z175" s="9"/>
    </x:row>
    <x:row r="176" ht="14.25" customHeight="1">
      <x:c r="B176" s="1" t="s">
        <x:v>489</x:v>
      </x:c>
      <x:c r="C176" s="1">
        <x:v>43.4</x:v>
      </x:c>
      <x:c r="D176" s="1">
        <x:v>677.8</x:v>
      </x:c>
      <x:c r="E176" s="1">
        <x:v>3.0</x:v>
      </x:c>
      <x:c r="F176" s="1">
        <x:v>3.0</x:v>
      </x:c>
      <x:c r="G176" s="1">
        <x:v>23.0</x:v>
      </x:c>
      <x:c r="H176" s="1">
        <x:v>0.3</x:v>
      </x:c>
      <x:c r="I176" s="1">
        <x:v>0.4</x:v>
      </x:c>
      <x:c r="J176" s="1">
        <x:v>138.7</x:v>
      </x:c>
      <x:c r="K176" s="18">
        <x:f t="shared" si="1"/>
        <x:v>1.425399129</x:v>
      </x:c>
      <x:c r="L176" s="18">
        <x:f t="shared" si="2"/>
        <x:v>33.33701632</x:v>
      </x:c>
      <x:c r="M176" s="121"/>
      <x:c r="N176" s="121"/>
      <x:c r="O176" s="121"/>
      <x:c r="P176" s="9"/>
      <x:c r="Q176" s="9"/>
      <x:c r="R176" s="9"/>
      <x:c r="S176" s="9"/>
      <x:c r="T176" s="9"/>
      <x:c r="U176" s="9"/>
      <x:c r="V176" s="9"/>
      <x:c r="W176" s="9"/>
      <x:c r="X176" s="9"/>
      <x:c r="Y176" s="9"/>
      <x:c r="Z176" s="9"/>
    </x:row>
    <x:row r="177" ht="14.25" customHeight="1">
      <x:c r="A177" s="1" t="s">
        <x:v>791</x:v>
      </x:c>
      <x:c r="B177" s="1" t="s">
        <x:v>535</x:v>
      </x:c>
      <x:c r="C177" s="1">
        <x:v>52.7</x:v>
      </x:c>
      <x:c r="D177" s="1">
        <x:v>663.8</x:v>
      </x:c>
      <x:c r="E177" s="1">
        <x:v>3.9</x:v>
      </x:c>
      <x:c r="F177" s="1">
        <x:v>10.2</x:v>
      </x:c>
      <x:c r="G177" s="1">
        <x:v>48.8</x:v>
      </x:c>
      <x:c r="H177" s="1">
        <x:v>0.1</x:v>
      </x:c>
      <x:c r="I177" s="1">
        <x:v>0.3</x:v>
      </x:c>
      <x:c r="J177" s="1">
        <x:v>147.7</x:v>
      </x:c>
      <x:c r="K177" s="18">
        <x:f t="shared" si="1"/>
        <x:v>3.024325109</x:v>
      </x:c>
      <x:c r="L177" s="18">
        <x:f t="shared" si="2"/>
        <x:v>32.64843823</x:v>
      </x:c>
      <x:c r="M177" s="119" t="n">
        <x:f>C179*Scoring!$B$34+D179/Scoring!$C$34+E179*Scoring!$D$34+WR!F179*Scoring!$E$34+WR!G179/Scoring!$F$34+WR!H179*Scoring!$G$34+WR!I179*Scoring!$H$34+K179*Scoring!$I$34+WR!L179*Scoring!$J$34+U177</x:f>
        <x:v>116.27000000000001</x:v>
      </x:c>
      <x:c r="N177" s="119" t="n">
        <x:f>C177*Scoring!$B$34+D177/Scoring!$C$34+E177*Scoring!$D$34+WR!F177*Scoring!$E$34+WR!G177/Scoring!$F$34+WR!H177*Scoring!$G$34+WR!I177*Scoring!$H$34+K177*Scoring!$I$34+WR!L177*Scoring!$J$34+U177</x:f>
        <x:v>121.30999999999999</x:v>
      </x:c>
      <x:c r="O177" s="119" t="n">
        <x:f>C178*Scoring!$B$34+D178/Scoring!$C$34+E178*Scoring!$D$34+WR!F178*Scoring!$E$34+WR!G178/Scoring!$F$34+WR!H178*Scoring!$G$34+WR!I178*Scoring!$H$34+K178*Scoring!$I$34+WR!L178*Scoring!$J$34+U177</x:f>
        <x:v>127.07000000000001</x:v>
      </x:c>
      <x:c r="P177" s="9" t="n">
        <x:f>IF(COUNTIF(Rookies!$A:$A,A177)&gt;0,1,0)</x:f>
        <x:v>0</x:v>
      </x:c>
      <x:c r="Q177" s="9"/>
      <x:c r="R177" s="9"/>
      <x:c r="S177" s="9" t="n">
        <x:f>V177/17</x:f>
        <x:v>7.1358823529411755</x:v>
      </x:c>
      <x:c r="T177" s="9" t="n">
        <x:f>IF(P177=1,MAX(0,0.28*(12-S177)),0)</x:f>
        <x:v>0</x:v>
      </x:c>
      <x:c r="U177" s="9" t="n">
        <x:f>T177*17</x:f>
        <x:v>0</x:v>
      </x:c>
      <x:c r="V177" s="9" t="n">
        <x:f>C177*Scoring!$B$34+D177/Scoring!$C$34+E177*Scoring!$D$34+WR!F177*Scoring!$E$34+WR!G177/Scoring!$F$34+WR!H177*Scoring!$G$34+WR!I177*Scoring!$H$34+K177*Scoring!$I$34+WR!L177*Scoring!$J$34</x:f>
        <x:v>121.30999999999999</x:v>
      </x:c>
      <x:c r="W177" s="9"/>
      <x:c r="X177" s="9"/>
      <x:c r="Y177" s="9"/>
      <x:c r="Z177" s="9"/>
    </x:row>
    <x:row r="178" ht="14.25" customHeight="1">
      <x:c r="B178" s="1" t="s">
        <x:v>488</x:v>
      </x:c>
      <x:c r="C178" s="1">
        <x:v>55.4</x:v>
      </x:c>
      <x:c r="D178" s="1">
        <x:v>688.7</x:v>
      </x:c>
      <x:c r="E178" s="1">
        <x:v>4.0</x:v>
      </x:c>
      <x:c r="F178" s="1">
        <x:v>12.0</x:v>
      </x:c>
      <x:c r="G178" s="1">
        <x:v>53.0</x:v>
      </x:c>
      <x:c r="H178" s="1">
        <x:v>0.2</x:v>
      </x:c>
      <x:c r="I178" s="1">
        <x:v>0.0</x:v>
      </x:c>
      <x:c r="J178" s="1">
        <x:v>150.1</x:v>
      </x:c>
      <x:c r="K178" s="18">
        <x:f t="shared" si="1"/>
        <x:v>3.284615385</x:v>
      </x:c>
      <x:c r="L178" s="18">
        <x:f t="shared" si="2"/>
        <x:v>33.87312354</x:v>
      </x:c>
      <x:c r="M178" s="121"/>
      <x:c r="N178" s="121"/>
      <x:c r="O178" s="121"/>
      <x:c r="P178" s="9"/>
      <x:c r="Q178" s="9"/>
      <x:c r="R178" s="9"/>
      <x:c r="S178" s="9"/>
      <x:c r="T178" s="9"/>
      <x:c r="U178" s="9"/>
      <x:c r="V178" s="9"/>
      <x:c r="W178" s="9"/>
      <x:c r="X178" s="9"/>
      <x:c r="Y178" s="9"/>
      <x:c r="Z178" s="9"/>
    </x:row>
    <x:row r="179" ht="14.25" customHeight="1">
      <x:c r="B179" s="1" t="s">
        <x:v>489</x:v>
      </x:c>
      <x:c r="C179" s="1">
        <x:v>50.0</x:v>
      </x:c>
      <x:c r="D179" s="1">
        <x:v>639.0</x:v>
      </x:c>
      <x:c r="E179" s="1">
        <x:v>3.9</x:v>
      </x:c>
      <x:c r="F179" s="1">
        <x:v>8.4</x:v>
      </x:c>
      <x:c r="G179" s="1">
        <x:v>44.7</x:v>
      </x:c>
      <x:c r="H179" s="1">
        <x:v>0.0</x:v>
      </x:c>
      <x:c r="I179" s="1">
        <x:v>0.5</x:v>
      </x:c>
      <x:c r="J179" s="1">
        <x:v>133.7</x:v>
      </x:c>
      <x:c r="K179" s="18">
        <x:f t="shared" si="1"/>
        <x:v>2.770232221</x:v>
      </x:c>
      <x:c r="L179" s="18">
        <x:f t="shared" si="2"/>
        <x:v>31.42867133</x:v>
      </x:c>
      <x:c r="M179" s="121"/>
      <x:c r="N179" s="121"/>
      <x:c r="O179" s="121"/>
      <x:c r="P179" s="9"/>
      <x:c r="Q179" s="9"/>
      <x:c r="R179" s="9"/>
      <x:c r="S179" s="9"/>
      <x:c r="T179" s="9"/>
      <x:c r="U179" s="9"/>
      <x:c r="V179" s="9"/>
      <x:c r="W179" s="9"/>
      <x:c r="X179" s="9"/>
      <x:c r="Y179" s="9"/>
      <x:c r="Z179" s="9"/>
    </x:row>
    <x:row r="180" ht="14.25" customHeight="1">
      <x:c r="A180" s="1" t="s">
        <x:v>792</x:v>
      </x:c>
      <x:c r="B180" s="1" t="s">
        <x:v>549</x:v>
      </x:c>
      <x:c r="C180" s="1">
        <x:v>55.7</x:v>
      </x:c>
      <x:c r="D180" s="1">
        <x:v>746.9</x:v>
      </x:c>
      <x:c r="E180" s="1">
        <x:v>2.9</x:v>
      </x:c>
      <x:c r="F180" s="1">
        <x:v>0.5</x:v>
      </x:c>
      <x:c r="G180" s="1">
        <x:v>2.0</x:v>
      </x:c>
      <x:c r="H180" s="1">
        <x:v>0.0</x:v>
      </x:c>
      <x:c r="I180" s="1">
        <x:v>0.7</x:v>
      </x:c>
      <x:c r="J180" s="1">
        <x:v>146.4</x:v>
      </x:c>
      <x:c r="K180" s="18">
        <x:f t="shared" si="1"/>
        <x:v>0.1239477504</x:v>
      </x:c>
      <x:c r="L180" s="18">
        <x:f t="shared" si="2"/>
        <x:v>36.73564103</x:v>
      </x:c>
      <x:c r="M180" s="119" t="n">
        <x:f>C182*Scoring!$B$34+D182/Scoring!$C$34+E182*Scoring!$D$34+WR!F182*Scoring!$E$34+WR!G182/Scoring!$F$34+WR!H182*Scoring!$G$34+WR!I182*Scoring!$H$34+K182*Scoring!$I$34+WR!L182*Scoring!$J$34+U180</x:f>
        <x:v>112.47999999999999</x:v>
      </x:c>
      <x:c r="N180" s="119" t="n">
        <x:f>C180*Scoring!$B$34+D180/Scoring!$C$34+E180*Scoring!$D$34+WR!F180*Scoring!$E$34+WR!G180/Scoring!$F$34+WR!H180*Scoring!$G$34+WR!I180*Scoring!$H$34+K180*Scoring!$I$34+WR!L180*Scoring!$J$34+U180</x:f>
        <x:v>119.44</x:v>
      </x:c>
      <x:c r="O180" s="119" t="n">
        <x:f>C181*Scoring!$B$34+D181/Scoring!$C$34+E181*Scoring!$D$34+WR!F181*Scoring!$E$34+WR!G181/Scoring!$F$34+WR!H181*Scoring!$G$34+WR!I181*Scoring!$H$34+K181*Scoring!$I$34+WR!L181*Scoring!$J$34+U180</x:f>
        <x:v>126.30000000000001</x:v>
      </x:c>
      <x:c r="P180" s="9" t="n">
        <x:f>IF(COUNTIF(Rookies!$A:$A,A180)&gt;0,1,0)</x:f>
        <x:v>0</x:v>
      </x:c>
      <x:c r="Q180" s="9"/>
      <x:c r="R180" s="9"/>
      <x:c r="S180" s="9" t="n">
        <x:f>V180/17</x:f>
        <x:v>7.025882352941176</x:v>
      </x:c>
      <x:c r="T180" s="9" t="n">
        <x:f>IF(P180=1,MAX(0,0.28*(12-S180)),0)</x:f>
        <x:v>0</x:v>
      </x:c>
      <x:c r="U180" s="9" t="n">
        <x:f>T180*17</x:f>
        <x:v>0</x:v>
      </x:c>
      <x:c r="V180" s="9" t="n">
        <x:f>C180*Scoring!$B$34+D180/Scoring!$C$34+E180*Scoring!$D$34+WR!F180*Scoring!$E$34+WR!G180/Scoring!$F$34+WR!H180*Scoring!$G$34+WR!I180*Scoring!$H$34+K180*Scoring!$I$34+WR!L180*Scoring!$J$34</x:f>
        <x:v>119.44</x:v>
      </x:c>
      <x:c r="W180" s="9"/>
      <x:c r="X180" s="9"/>
      <x:c r="Y180" s="9"/>
      <x:c r="Z180" s="9"/>
    </x:row>
    <x:row r="181" ht="14.25" customHeight="1">
      <x:c r="B181" s="1" t="s">
        <x:v>488</x:v>
      </x:c>
      <x:c r="C181" s="1">
        <x:v>60.0</x:v>
      </x:c>
      <x:c r="D181" s="1">
        <x:v>784.0</x:v>
      </x:c>
      <x:c r="E181" s="1">
        <x:v>3.0</x:v>
      </x:c>
      <x:c r="F181" s="1">
        <x:v>1.0</x:v>
      </x:c>
      <x:c r="G181" s="1">
        <x:v>4.0</x:v>
      </x:c>
      <x:c r="H181" s="1">
        <x:v>0.0</x:v>
      </x:c>
      <x:c r="I181" s="1">
        <x:v>0.5</x:v>
      </x:c>
      <x:c r="J181" s="1">
        <x:v>142.7</x:v>
      </x:c>
      <x:c r="K181" s="18">
        <x:f t="shared" si="1"/>
        <x:v>0.2478955007</x:v>
      </x:c>
      <x:c r="L181" s="18">
        <x:f t="shared" si="2"/>
        <x:v>38.56037296</x:v>
      </x:c>
      <x:c r="M181" s="121"/>
      <x:c r="N181" s="121"/>
      <x:c r="O181" s="121"/>
      <x:c r="P181" s="9"/>
      <x:c r="Q181" s="9"/>
      <x:c r="R181" s="9"/>
      <x:c r="S181" s="9"/>
      <x:c r="T181" s="9"/>
      <x:c r="U181" s="9"/>
      <x:c r="V181" s="9"/>
      <x:c r="W181" s="9"/>
      <x:c r="X181" s="9"/>
      <x:c r="Y181" s="9"/>
      <x:c r="Z181" s="9"/>
    </x:row>
    <x:row r="182" ht="14.25" customHeight="1">
      <x:c r="B182" s="1" t="s">
        <x:v>489</x:v>
      </x:c>
      <x:c r="C182" s="1">
        <x:v>51.4</x:v>
      </x:c>
      <x:c r="D182" s="1">
        <x:v>709.8</x:v>
      </x:c>
      <x:c r="E182" s="1">
        <x:v>2.8</x:v>
      </x:c>
      <x:c r="F182" s="1">
        <x:v>0.0</x:v>
      </x:c>
      <x:c r="G182" s="1">
        <x:v>0.0</x:v>
      </x:c>
      <x:c r="H182" s="1">
        <x:v>0.0</x:v>
      </x:c>
      <x:c r="I182" s="1">
        <x:v>1.0</x:v>
      </x:c>
      <x:c r="J182" s="1">
        <x:v>141.7</x:v>
      </x:c>
      <x:c r="K182" s="18">
        <x:f t="shared" si="1"/>
        <x:v>0</x:v>
      </x:c>
      <x:c r="L182" s="18">
        <x:f t="shared" si="2"/>
        <x:v>34.91090909</x:v>
      </x:c>
      <x:c r="M182" s="121"/>
      <x:c r="N182" s="121"/>
      <x:c r="O182" s="121"/>
      <x:c r="P182" s="9"/>
      <x:c r="Q182" s="9"/>
      <x:c r="R182" s="9"/>
      <x:c r="S182" s="9"/>
      <x:c r="T182" s="9"/>
      <x:c r="U182" s="9"/>
      <x:c r="V182" s="9"/>
      <x:c r="W182" s="9"/>
      <x:c r="X182" s="9"/>
      <x:c r="Y182" s="9"/>
      <x:c r="Z182" s="9"/>
    </x:row>
    <x:row r="183" ht="14.25" customHeight="1">
      <x:c r="A183" s="1" t="s">
        <x:v>793</x:v>
      </x:c>
      <x:c r="B183" s="1" t="s">
        <x:v>547</x:v>
      </x:c>
      <x:c r="C183" s="1">
        <x:v>50.2</x:v>
      </x:c>
      <x:c r="D183" s="1">
        <x:v>631.6</x:v>
      </x:c>
      <x:c r="E183" s="1">
        <x:v>3.8</x:v>
      </x:c>
      <x:c r="F183" s="1">
        <x:v>11.2</x:v>
      </x:c>
      <x:c r="G183" s="1">
        <x:v>54.6</x:v>
      </x:c>
      <x:c r="H183" s="1">
        <x:v>0.2</x:v>
      </x:c>
      <x:c r="I183" s="1">
        <x:v>0.1</x:v>
      </x:c>
      <x:c r="J183" s="1">
        <x:v>142.1</x:v>
      </x:c>
      <x:c r="K183" s="18">
        <x:f t="shared" si="1"/>
        <x:v>3.383773585</x:v>
      </x:c>
      <x:c r="L183" s="18">
        <x:f t="shared" si="2"/>
        <x:v>31.06470862</x:v>
      </x:c>
      <x:c r="M183" s="119" t="n">
        <x:f>C185*Scoring!$B$34+D185/Scoring!$C$34+E185*Scoring!$D$34+WR!F185*Scoring!$E$34+WR!G185/Scoring!$F$34+WR!H185*Scoring!$G$34+WR!I185*Scoring!$H$34+K185*Scoring!$I$34+WR!L185*Scoring!$J$34+U183</x:f>
        <x:v>104.60000000000001</x:v>
      </x:c>
      <x:c r="N183" s="119" t="n">
        <x:f>C183*Scoring!$B$34+D183/Scoring!$C$34+E183*Scoring!$D$34+WR!F183*Scoring!$E$34+WR!G183/Scoring!$F$34+WR!H183*Scoring!$G$34+WR!I183*Scoring!$H$34+K183*Scoring!$I$34+WR!L183*Scoring!$J$34+U183</x:f>
        <x:v>117.62</x:v>
      </x:c>
      <x:c r="O183" s="119" t="n">
        <x:f>C184*Scoring!$B$34+D184/Scoring!$C$34+E184*Scoring!$D$34+WR!F184*Scoring!$E$34+WR!G184/Scoring!$F$34+WR!H184*Scoring!$G$34+WR!I184*Scoring!$H$34+K184*Scoring!$I$34+WR!L184*Scoring!$J$34+U183</x:f>
        <x:v>129.36</x:v>
      </x:c>
      <x:c r="P183" s="9" t="n">
        <x:f>IF(COUNTIF(Rookies!$A:$A,A183)&gt;0,1,0)</x:f>
        <x:v>0</x:v>
      </x:c>
      <x:c r="Q183" s="9"/>
      <x:c r="R183" s="9"/>
      <x:c r="S183" s="9" t="n">
        <x:f>V183/17</x:f>
        <x:v>6.918823529411765</x:v>
      </x:c>
      <x:c r="T183" s="9" t="n">
        <x:f>IF(P183=1,MAX(0,0.28*(12-S183)),0)</x:f>
        <x:v>0</x:v>
      </x:c>
      <x:c r="U183" s="9" t="n">
        <x:f>T183*17</x:f>
        <x:v>0</x:v>
      </x:c>
      <x:c r="V183" s="9" t="n">
        <x:f>C183*Scoring!$B$34+D183/Scoring!$C$34+E183*Scoring!$D$34+WR!F183*Scoring!$E$34+WR!G183/Scoring!$F$34+WR!H183*Scoring!$G$34+WR!I183*Scoring!$H$34+K183*Scoring!$I$34+WR!L183*Scoring!$J$34</x:f>
        <x:v>117.62</x:v>
      </x:c>
      <x:c r="W183" s="9"/>
      <x:c r="X183" s="9"/>
      <x:c r="Y183" s="9"/>
      <x:c r="Z183" s="9"/>
    </x:row>
    <x:row r="184" ht="14.25" customHeight="1">
      <x:c r="B184" s="1" t="s">
        <x:v>488</x:v>
      </x:c>
      <x:c r="C184" s="1">
        <x:v>52.0</x:v>
      </x:c>
      <x:c r="D184" s="1">
        <x:v>658.3</x:v>
      </x:c>
      <x:c r="E184" s="1">
        <x:v>5.0</x:v>
      </x:c>
      <x:c r="F184" s="1">
        <x:v>12.0</x:v>
      </x:c>
      <x:c r="G184" s="1">
        <x:v>57.3</x:v>
      </x:c>
      <x:c r="H184" s="1">
        <x:v>0.3</x:v>
      </x:c>
      <x:c r="I184" s="1">
        <x:v>0.0</x:v>
      </x:c>
      <x:c r="J184" s="1">
        <x:v>139.8</x:v>
      </x:c>
      <x:c r="K184" s="18">
        <x:f t="shared" si="1"/>
        <x:v>3.551103048</x:v>
      </x:c>
      <x:c r="L184" s="18">
        <x:f t="shared" si="2"/>
        <x:v>32.37792541</x:v>
      </x:c>
      <x:c r="M184" s="121"/>
      <x:c r="N184" s="121"/>
      <x:c r="O184" s="121"/>
      <x:c r="P184" s="9"/>
      <x:c r="Q184" s="9"/>
      <x:c r="R184" s="9"/>
      <x:c r="S184" s="9"/>
      <x:c r="T184" s="9"/>
      <x:c r="U184" s="9"/>
      <x:c r="V184" s="9"/>
      <x:c r="W184" s="9"/>
      <x:c r="X184" s="9"/>
      <x:c r="Y184" s="9"/>
      <x:c r="Z184" s="9"/>
    </x:row>
    <x:row r="185" ht="14.25" customHeight="1">
      <x:c r="B185" s="1" t="s">
        <x:v>489</x:v>
      </x:c>
      <x:c r="C185" s="1">
        <x:v>48.4</x:v>
      </x:c>
      <x:c r="D185" s="1">
        <x:v>605.0</x:v>
      </x:c>
      <x:c r="E185" s="1">
        <x:v>2.5</x:v>
      </x:c>
      <x:c r="F185" s="1">
        <x:v>10.4</x:v>
      </x:c>
      <x:c r="G185" s="1">
        <x:v>52.0</x:v>
      </x:c>
      <x:c r="H185" s="1">
        <x:v>0.0</x:v>
      </x:c>
      <x:c r="I185" s="1">
        <x:v>0.3</x:v>
      </x:c>
      <x:c r="J185" s="1">
        <x:v>134.2</x:v>
      </x:c>
      <x:c r="K185" s="18">
        <x:f t="shared" si="1"/>
        <x:v>3.222641509</x:v>
      </x:c>
      <x:c r="L185" s="18">
        <x:f t="shared" si="2"/>
        <x:v>29.75641026</x:v>
      </x:c>
      <x:c r="M185" s="121"/>
      <x:c r="N185" s="121"/>
      <x:c r="O185" s="121"/>
      <x:c r="P185" s="9"/>
      <x:c r="Q185" s="9"/>
      <x:c r="R185" s="9"/>
      <x:c r="S185" s="9"/>
      <x:c r="T185" s="9"/>
      <x:c r="U185" s="9"/>
      <x:c r="V185" s="9"/>
      <x:c r="W185" s="9"/>
      <x:c r="X185" s="9"/>
      <x:c r="Y185" s="9"/>
      <x:c r="Z185" s="9"/>
    </x:row>
    <x:row r="186" ht="14.25" customHeight="1">
      <x:c r="A186" s="1" t="s">
        <x:v>794</x:v>
      </x:c>
      <x:c r="B186" s="1" t="s">
        <x:v>527</x:v>
      </x:c>
      <x:c r="C186" s="1">
        <x:v>58.6</x:v>
      </x:c>
      <x:c r="D186" s="1">
        <x:v>607.3</x:v>
      </x:c>
      <x:c r="E186" s="1">
        <x:v>3.8</x:v>
      </x:c>
      <x:c r="F186" s="1">
        <x:v>0.0</x:v>
      </x:c>
      <x:c r="G186" s="1">
        <x:v>0.0</x:v>
      </x:c>
      <x:c r="H186" s="1">
        <x:v>0.0</x:v>
      </x:c>
      <x:c r="I186" s="1">
        <x:v>0.3</x:v>
      </x:c>
      <x:c r="J186" s="1">
        <x:v>141.7</x:v>
      </x:c>
      <x:c r="K186" s="18">
        <x:f t="shared" si="1"/>
        <x:v>0</x:v>
      </x:c>
      <x:c r="L186" s="18">
        <x:f t="shared" si="2"/>
        <x:v>29.8695338</x:v>
      </x:c>
      <x:c r="M186" s="119" t="n">
        <x:f>C188*Scoring!$B$34+D188/Scoring!$C$34+E188*Scoring!$D$34+WR!F188*Scoring!$E$34+WR!G188/Scoring!$F$34+WR!H188*Scoring!$G$34+WR!I188*Scoring!$H$34+K188*Scoring!$I$34+WR!L188*Scoring!$J$34+U186</x:f>
        <x:v>97.10000000000001</x:v>
      </x:c>
      <x:c r="N186" s="119" t="n">
        <x:f>C186*Scoring!$B$34+D186/Scoring!$C$34+E186*Scoring!$D$34+WR!F186*Scoring!$E$34+WR!G186/Scoring!$F$34+WR!H186*Scoring!$G$34+WR!I186*Scoring!$H$34+K186*Scoring!$I$34+WR!L186*Scoring!$J$34+U186</x:f>
        <x:v>112.53</x:v>
      </x:c>
      <x:c r="O186" s="119" t="n">
        <x:f>C187*Scoring!$B$34+D187/Scoring!$C$34+E187*Scoring!$D$34+WR!F187*Scoring!$E$34+WR!G187/Scoring!$F$34+WR!H187*Scoring!$G$34+WR!I187*Scoring!$H$34+K187*Scoring!$I$34+WR!L187*Scoring!$J$34+U186</x:f>
        <x:v>128.5</x:v>
      </x:c>
      <x:c r="P186" s="9" t="n">
        <x:f>IF(COUNTIF(Rookies!$A:$A,A186)&gt;0,1,0)</x:f>
        <x:v>0</x:v>
      </x:c>
      <x:c r="Q186" s="9"/>
      <x:c r="R186" s="9"/>
      <x:c r="S186" s="9" t="n">
        <x:f>V186/17</x:f>
        <x:v>6.619411764705882</x:v>
      </x:c>
      <x:c r="T186" s="9" t="n">
        <x:f>IF(P186=1,MAX(0,0.28*(12-S186)),0)</x:f>
        <x:v>0</x:v>
      </x:c>
      <x:c r="U186" s="9" t="n">
        <x:f>T186*17</x:f>
        <x:v>0</x:v>
      </x:c>
      <x:c r="V186" s="9" t="n">
        <x:f>C186*Scoring!$B$34+D186/Scoring!$C$34+E186*Scoring!$D$34+WR!F186*Scoring!$E$34+WR!G186/Scoring!$F$34+WR!H186*Scoring!$G$34+WR!I186*Scoring!$H$34+K186*Scoring!$I$34+WR!L186*Scoring!$J$34</x:f>
        <x:v>112.53</x:v>
      </x:c>
      <x:c r="W186" s="9"/>
      <x:c r="X186" s="9"/>
      <x:c r="Y186" s="9"/>
      <x:c r="Z186" s="9"/>
    </x:row>
    <x:row r="187" ht="14.25" customHeight="1">
      <x:c r="B187" s="1" t="s">
        <x:v>488</x:v>
      </x:c>
      <x:c r="C187" s="1">
        <x:v>62.0</x:v>
      </x:c>
      <x:c r="D187" s="1">
        <x:v>675.0</x:v>
      </x:c>
      <x:c r="E187" s="1">
        <x:v>5.0</x:v>
      </x:c>
      <x:c r="F187" s="1">
        <x:v>0.0</x:v>
      </x:c>
      <x:c r="G187" s="1">
        <x:v>0.0</x:v>
      </x:c>
      <x:c r="H187" s="1">
        <x:v>0.0</x:v>
      </x:c>
      <x:c r="I187" s="1">
        <x:v>0.0</x:v>
      </x:c>
      <x:c r="J187" s="1">
        <x:v>146.6</x:v>
      </x:c>
      <x:c r="K187" s="18">
        <x:f t="shared" si="1"/>
        <x:v>0</x:v>
      </x:c>
      <x:c r="L187" s="18">
        <x:f t="shared" si="2"/>
        <x:v>33.1993007</x:v>
      </x:c>
      <x:c r="M187" s="121"/>
      <x:c r="N187" s="121"/>
      <x:c r="O187" s="121"/>
      <x:c r="P187" s="9"/>
      <x:c r="Q187" s="9"/>
      <x:c r="R187" s="9"/>
      <x:c r="S187" s="9"/>
      <x:c r="T187" s="9"/>
      <x:c r="U187" s="9"/>
      <x:c r="V187" s="9"/>
      <x:c r="W187" s="9"/>
      <x:c r="X187" s="9"/>
      <x:c r="Y187" s="9"/>
      <x:c r="Z187" s="9"/>
    </x:row>
    <x:row r="188" ht="14.25" customHeight="1">
      <x:c r="B188" s="1" t="s">
        <x:v>489</x:v>
      </x:c>
      <x:c r="C188" s="1">
        <x:v>55.1</x:v>
      </x:c>
      <x:c r="D188" s="1">
        <x:v>539.5</x:v>
      </x:c>
      <x:c r="E188" s="1">
        <x:v>2.7</x:v>
      </x:c>
      <x:c r="F188" s="1">
        <x:v>0.0</x:v>
      </x:c>
      <x:c r="G188" s="1">
        <x:v>0.0</x:v>
      </x:c>
      <x:c r="H188" s="1">
        <x:v>0.0</x:v>
      </x:c>
      <x:c r="I188" s="1">
        <x:v>0.6</x:v>
      </x:c>
      <x:c r="J188" s="1">
        <x:v>127.9</x:v>
      </x:c>
      <x:c r="K188" s="18">
        <x:f t="shared" si="1"/>
        <x:v>0</x:v>
      </x:c>
      <x:c r="L188" s="18">
        <x:f t="shared" si="2"/>
        <x:v>26.53484848</x:v>
      </x:c>
      <x:c r="M188" s="121"/>
      <x:c r="N188" s="121"/>
      <x:c r="O188" s="121"/>
      <x:c r="P188" s="9"/>
      <x:c r="Q188" s="9"/>
      <x:c r="R188" s="9"/>
      <x:c r="S188" s="9"/>
      <x:c r="T188" s="9"/>
      <x:c r="U188" s="9"/>
      <x:c r="V188" s="9"/>
      <x:c r="W188" s="9"/>
      <x:c r="X188" s="9"/>
      <x:c r="Y188" s="9"/>
      <x:c r="Z188" s="9"/>
    </x:row>
    <x:row r="189" ht="14.25" customHeight="1">
      <x:c r="A189" s="1" t="s">
        <x:v>795</x:v>
      </x:c>
      <x:c r="B189" s="1" t="s">
        <x:v>491</x:v>
      </x:c>
      <x:c r="C189" s="1">
        <x:v>38.8</x:v>
      </x:c>
      <x:c r="D189" s="1">
        <x:v>598.6</x:v>
      </x:c>
      <x:c r="E189" s="1">
        <x:v>6.0</x:v>
      </x:c>
      <x:c r="F189" s="1">
        <x:v>0.0</x:v>
      </x:c>
      <x:c r="G189" s="1">
        <x:v>0.0</x:v>
      </x:c>
      <x:c r="H189" s="1">
        <x:v>0.0</x:v>
      </x:c>
      <x:c r="I189" s="1">
        <x:v>0.2</x:v>
      </x:c>
      <x:c r="J189" s="1">
        <x:v>134.3</x:v>
      </x:c>
      <x:c r="K189" s="18">
        <x:f t="shared" si="1"/>
        <x:v>0</x:v>
      </x:c>
      <x:c r="L189" s="18">
        <x:f t="shared" si="2"/>
        <x:v>29.4416317</x:v>
      </x:c>
      <x:c r="M189" s="119" t="n">
        <x:f>C191*Scoring!$B$34+D191/Scoring!$C$34+E191*Scoring!$D$34+WR!F191*Scoring!$E$34+WR!G191/Scoring!$F$34+WR!H191*Scoring!$G$34+WR!I191*Scoring!$H$34+K191*Scoring!$I$34+WR!L191*Scoring!$J$34+U189</x:f>
        <x:v>100.85000000000001</x:v>
      </x:c>
      <x:c r="N189" s="119" t="n">
        <x:f>C189*Scoring!$B$34+D189/Scoring!$C$34+E189*Scoring!$D$34+WR!F189*Scoring!$E$34+WR!G189/Scoring!$F$34+WR!H189*Scoring!$G$34+WR!I189*Scoring!$H$34+K189*Scoring!$I$34+WR!L189*Scoring!$J$34+U189</x:f>
        <x:v>115.05999999999999</x:v>
      </x:c>
      <x:c r="O189" s="119" t="n">
        <x:f>C190*Scoring!$B$34+D190/Scoring!$C$34+E190*Scoring!$D$34+WR!F190*Scoring!$E$34+WR!G190/Scoring!$F$34+WR!H190*Scoring!$G$34+WR!I190*Scoring!$H$34+K190*Scoring!$I$34+WR!L190*Scoring!$J$34+U189</x:f>
        <x:v>129.43</x:v>
      </x:c>
      <x:c r="P189" s="9" t="n">
        <x:f>IF(COUNTIF(Rookies!$A:$A,A189)&gt;0,1,0)</x:f>
        <x:v>0</x:v>
      </x:c>
      <x:c r="Q189" s="9"/>
      <x:c r="R189" s="9"/>
      <x:c r="S189" s="9" t="n">
        <x:f>V189/17</x:f>
        <x:v>6.7682352941176465</x:v>
      </x:c>
      <x:c r="T189" s="9" t="n">
        <x:f>IF(P189=1,MAX(0,0.28*(12-S189)),0)</x:f>
        <x:v>0</x:v>
      </x:c>
      <x:c r="U189" s="9" t="n">
        <x:f>T189*17</x:f>
        <x:v>0</x:v>
      </x:c>
      <x:c r="V189" s="9" t="n">
        <x:f>C189*Scoring!$B$34+D189/Scoring!$C$34+E189*Scoring!$D$34+WR!F189*Scoring!$E$34+WR!G189/Scoring!$F$34+WR!H189*Scoring!$G$34+WR!I189*Scoring!$H$34+K189*Scoring!$I$34+WR!L189*Scoring!$J$34</x:f>
        <x:v>115.05999999999999</x:v>
      </x:c>
      <x:c r="W189" s="9"/>
      <x:c r="X189" s="9"/>
      <x:c r="Y189" s="9"/>
      <x:c r="Z189" s="9"/>
    </x:row>
    <x:row r="190" ht="14.25" customHeight="1">
      <x:c r="B190" s="1" t="s">
        <x:v>488</x:v>
      </x:c>
      <x:c r="C190" s="1">
        <x:v>40.0</x:v>
      </x:c>
      <x:c r="D190" s="1">
        <x:v>614.3</x:v>
      </x:c>
      <x:c r="E190" s="1">
        <x:v>8.0</x:v>
      </x:c>
      <x:c r="F190" s="1">
        <x:v>0.0</x:v>
      </x:c>
      <x:c r="G190" s="1">
        <x:v>0.0</x:v>
      </x:c>
      <x:c r="H190" s="1">
        <x:v>0.0</x:v>
      </x:c>
      <x:c r="I190" s="1">
        <x:v>0.0</x:v>
      </x:c>
      <x:c r="J190" s="1">
        <x:v>136.8</x:v>
      </x:c>
      <x:c r="K190" s="18">
        <x:f t="shared" si="1"/>
        <x:v>0</x:v>
      </x:c>
      <x:c r="L190" s="18">
        <x:f t="shared" si="2"/>
        <x:v>30.21382284</x:v>
      </x:c>
      <x:c r="M190" s="121"/>
      <x:c r="N190" s="121"/>
      <x:c r="O190" s="121"/>
      <x:c r="P190" s="9"/>
      <x:c r="Q190" s="9"/>
      <x:c r="R190" s="9"/>
      <x:c r="S190" s="9"/>
      <x:c r="T190" s="9"/>
      <x:c r="U190" s="9"/>
      <x:c r="V190" s="9"/>
      <x:c r="W190" s="9"/>
      <x:c r="X190" s="9"/>
      <x:c r="Y190" s="9"/>
      <x:c r="Z190" s="9"/>
    </x:row>
    <x:row r="191" ht="14.25" customHeight="1">
      <x:c r="B191" s="1" t="s">
        <x:v>489</x:v>
      </x:c>
      <x:c r="C191" s="1">
        <x:v>37.7</x:v>
      </x:c>
      <x:c r="D191" s="1">
        <x:v>583.0</x:v>
      </x:c>
      <x:c r="E191" s="1">
        <x:v>4.0</x:v>
      </x:c>
      <x:c r="F191" s="1">
        <x:v>0.0</x:v>
      </x:c>
      <x:c r="G191" s="1">
        <x:v>0.0</x:v>
      </x:c>
      <x:c r="H191" s="1">
        <x:v>0.0</x:v>
      </x:c>
      <x:c r="I191" s="1">
        <x:v>0.3</x:v>
      </x:c>
      <x:c r="J191" s="1">
        <x:v>123.7</x:v>
      </x:c>
      <x:c r="K191" s="18">
        <x:f t="shared" si="1"/>
        <x:v>0</x:v>
      </x:c>
      <x:c r="L191" s="18">
        <x:f t="shared" si="2"/>
        <x:v>28.67435897</x:v>
      </x:c>
      <x:c r="M191" s="121"/>
      <x:c r="N191" s="121"/>
      <x:c r="O191" s="121"/>
      <x:c r="P191" s="9"/>
      <x:c r="Q191" s="9"/>
      <x:c r="R191" s="9"/>
      <x:c r="S191" s="9"/>
      <x:c r="T191" s="9"/>
      <x:c r="U191" s="9"/>
      <x:c r="V191" s="9"/>
      <x:c r="W191" s="9"/>
      <x:c r="X191" s="9"/>
      <x:c r="Y191" s="9"/>
      <x:c r="Z191" s="9"/>
    </x:row>
    <x:row r="192" ht="14.25" customHeight="1">
      <x:c r="A192" s="1" t="s">
        <x:v>796</x:v>
      </x:c>
      <x:c r="B192" s="1" t="s">
        <x:v>525</x:v>
      </x:c>
      <x:c r="C192" s="1">
        <x:v>48.7</x:v>
      </x:c>
      <x:c r="D192" s="1">
        <x:v>557.7</x:v>
      </x:c>
      <x:c r="E192" s="1">
        <x:v>5.2</x:v>
      </x:c>
      <x:c r="F192" s="1">
        <x:v>0.0</x:v>
      </x:c>
      <x:c r="G192" s="1">
        <x:v>0.0</x:v>
      </x:c>
      <x:c r="H192" s="1">
        <x:v>0.0</x:v>
      </x:c>
      <x:c r="I192" s="1">
        <x:v>0.7</x:v>
      </x:c>
      <x:c r="J192" s="1">
        <x:v>134.1</x:v>
      </x:c>
      <x:c r="K192" s="18">
        <x:f t="shared" si="1"/>
        <x:v>0</x:v>
      </x:c>
      <x:c r="L192" s="18">
        <x:f t="shared" si="2"/>
        <x:v>27.43</x:v>
      </x:c>
      <x:c r="M192" s="119" t="n">
        <x:f>C194*Scoring!$B$34+D194/Scoring!$C$34+E194*Scoring!$D$34+WR!F194*Scoring!$E$34+WR!G194/Scoring!$F$34+WR!H194*Scoring!$G$34+WR!I194*Scoring!$H$34+K194*Scoring!$I$34+WR!L194*Scoring!$J$34+U192</x:f>
        <x:v>90.67999999999999</x:v>
      </x:c>
      <x:c r="N192" s="119" t="n">
        <x:f>C192*Scoring!$B$34+D192/Scoring!$C$34+E192*Scoring!$D$34+WR!F192*Scoring!$E$34+WR!G192/Scoring!$F$34+WR!H192*Scoring!$G$34+WR!I192*Scoring!$H$34+K192*Scoring!$I$34+WR!L192*Scoring!$J$34+U192</x:f>
        <x:v>110.62</x:v>
      </x:c>
      <x:c r="O192" s="119" t="n">
        <x:f>C193*Scoring!$B$34+D193/Scoring!$C$34+E193*Scoring!$D$34+WR!F193*Scoring!$E$34+WR!G193/Scoring!$F$34+WR!H193*Scoring!$G$34+WR!I193*Scoring!$H$34+K193*Scoring!$I$34+WR!L193*Scoring!$J$34+U192</x:f>
        <x:v>129.9</x:v>
      </x:c>
      <x:c r="P192" s="9" t="n">
        <x:f>IF(COUNTIF(Rookies!$A:$A,A192)&gt;0,1,0)</x:f>
        <x:v>0</x:v>
      </x:c>
      <x:c r="Q192" s="9"/>
      <x:c r="R192" s="9"/>
      <x:c r="S192" s="9" t="n">
        <x:f>V192/17</x:f>
        <x:v>6.5070588235294125</x:v>
      </x:c>
      <x:c r="T192" s="9" t="n">
        <x:f>IF(P192=1,MAX(0,0.28*(12-S192)),0)</x:f>
        <x:v>0</x:v>
      </x:c>
      <x:c r="U192" s="9" t="n">
        <x:f>T192*17</x:f>
        <x:v>0</x:v>
      </x:c>
      <x:c r="V192" s="9" t="n">
        <x:f>C192*Scoring!$B$34+D192/Scoring!$C$34+E192*Scoring!$D$34+WR!F192*Scoring!$E$34+WR!G192/Scoring!$F$34+WR!H192*Scoring!$G$34+WR!I192*Scoring!$H$34+K192*Scoring!$I$34+WR!L192*Scoring!$J$34</x:f>
        <x:v>110.62</x:v>
      </x:c>
      <x:c r="W192" s="9"/>
      <x:c r="X192" s="9"/>
      <x:c r="Y192" s="9"/>
      <x:c r="Z192" s="9"/>
    </x:row>
    <x:row r="193" ht="14.25" customHeight="1">
      <x:c r="B193" s="1" t="s">
        <x:v>488</x:v>
      </x:c>
      <x:c r="C193" s="1">
        <x:v>51.0</x:v>
      </x:c>
      <x:c r="D193" s="1">
        <x:v>629.0</x:v>
      </x:c>
      <x:c r="E193" s="1">
        <x:v>7.0</x:v>
      </x:c>
      <x:c r="F193" s="1">
        <x:v>0.0</x:v>
      </x:c>
      <x:c r="G193" s="1">
        <x:v>0.0</x:v>
      </x:c>
      <x:c r="H193" s="1">
        <x:v>0.0</x:v>
      </x:c>
      <x:c r="I193" s="1">
        <x:v>0.5</x:v>
      </x:c>
      <x:c r="J193" s="1">
        <x:v>143.7</x:v>
      </x:c>
      <x:c r="K193" s="18">
        <x:f t="shared" si="1"/>
        <x:v>0</x:v>
      </x:c>
      <x:c r="L193" s="18">
        <x:f t="shared" si="2"/>
        <x:v>30.93682984</x:v>
      </x:c>
      <x:c r="M193" s="121"/>
      <x:c r="N193" s="121"/>
      <x:c r="O193" s="121"/>
      <x:c r="P193" s="9"/>
      <x:c r="Q193" s="9"/>
      <x:c r="R193" s="9"/>
      <x:c r="S193" s="9"/>
      <x:c r="T193" s="9"/>
      <x:c r="U193" s="9"/>
      <x:c r="V193" s="9"/>
      <x:c r="W193" s="9"/>
      <x:c r="X193" s="9"/>
      <x:c r="Y193" s="9"/>
      <x:c r="Z193" s="9"/>
    </x:row>
    <x:row r="194" ht="14.25" customHeight="1">
      <x:c r="B194" s="1" t="s">
        <x:v>489</x:v>
      </x:c>
      <x:c r="C194" s="1">
        <x:v>46.5</x:v>
      </x:c>
      <x:c r="D194" s="1">
        <x:v>486.3</x:v>
      </x:c>
      <x:c r="E194" s="1">
        <x:v>3.3</x:v>
      </x:c>
      <x:c r="F194" s="1">
        <x:v>0.0</x:v>
      </x:c>
      <x:c r="G194" s="1">
        <x:v>0.0</x:v>
      </x:c>
      <x:c r="H194" s="1">
        <x:v>0.0</x:v>
      </x:c>
      <x:c r="I194" s="1">
        <x:v>1.0</x:v>
      </x:c>
      <x:c r="J194" s="1">
        <x:v>116.9</x:v>
      </x:c>
      <x:c r="K194" s="18">
        <x:f t="shared" si="1"/>
        <x:v>0</x:v>
      </x:c>
      <x:c r="L194" s="18">
        <x:f t="shared" si="2"/>
        <x:v>23.91825175</x:v>
      </x:c>
      <x:c r="M194" s="121"/>
      <x:c r="N194" s="121"/>
      <x:c r="O194" s="121"/>
      <x:c r="P194" s="9"/>
      <x:c r="Q194" s="9"/>
      <x:c r="R194" s="9"/>
      <x:c r="S194" s="9"/>
      <x:c r="T194" s="9"/>
      <x:c r="U194" s="9"/>
      <x:c r="V194" s="9"/>
      <x:c r="W194" s="9"/>
      <x:c r="X194" s="9"/>
      <x:c r="Y194" s="9"/>
      <x:c r="Z194" s="9"/>
    </x:row>
    <x:row r="195" ht="14.25" customHeight="1">
      <x:c r="A195" s="1" t="s">
        <x:v>797</x:v>
      </x:c>
      <x:c r="B195" s="1" t="s">
        <x:v>523</x:v>
      </x:c>
      <x:c r="C195" s="1">
        <x:v>46.6</x:v>
      </x:c>
      <x:c r="D195" s="1">
        <x:v>607.3</x:v>
      </x:c>
      <x:c r="E195" s="1">
        <x:v>3.9</x:v>
      </x:c>
      <x:c r="F195" s="1">
        <x:v>4.7</x:v>
      </x:c>
      <x:c r="G195" s="1">
        <x:v>26.8</x:v>
      </x:c>
      <x:c r="H195" s="1">
        <x:v>0.1</x:v>
      </x:c>
      <x:c r="I195" s="1">
        <x:v>0.2</x:v>
      </x:c>
      <x:c r="J195" s="1">
        <x:v>133.8</x:v>
      </x:c>
      <x:c r="K195" s="18">
        <x:f t="shared" si="1"/>
        <x:v>1.660899855</x:v>
      </x:c>
      <x:c r="L195" s="18">
        <x:f t="shared" si="2"/>
        <x:v>29.8695338</x:v>
      </x:c>
      <x:c r="M195" s="119" t="n">
        <x:f>C197*Scoring!$B$34+D197/Scoring!$C$34+E197*Scoring!$D$34+WR!F197*Scoring!$E$34+WR!G197/Scoring!$F$34+WR!H197*Scoring!$G$34+WR!I197*Scoring!$H$34+K197*Scoring!$I$34+WR!L197*Scoring!$J$34+U195</x:f>
        <x:v>107.31999999999998</x:v>
      </x:c>
      <x:c r="N195" s="119" t="n">
        <x:f>C195*Scoring!$B$34+D195/Scoring!$C$34+E195*Scoring!$D$34+WR!F195*Scoring!$E$34+WR!G195/Scoring!$F$34+WR!H195*Scoring!$G$34+WR!I195*Scoring!$H$34+K195*Scoring!$I$34+WR!L195*Scoring!$J$34+U195</x:f>
        <x:v>110.51</x:v>
      </x:c>
      <x:c r="O195" s="119" t="n">
        <x:f>C196*Scoring!$B$34+D196/Scoring!$C$34+E196*Scoring!$D$34+WR!F196*Scoring!$E$34+WR!G196/Scoring!$F$34+WR!H196*Scoring!$G$34+WR!I196*Scoring!$H$34+K196*Scoring!$I$34+WR!L196*Scoring!$J$34+U195</x:f>
        <x:v>114.35000000000001</x:v>
      </x:c>
      <x:c r="P195" s="9" t="n">
        <x:f>IF(COUNTIF(Rookies!$A:$A,A195)&gt;0,1,0)</x:f>
        <x:v>0</x:v>
      </x:c>
      <x:c r="Q195" s="9"/>
      <x:c r="R195" s="9"/>
      <x:c r="S195" s="9" t="n">
        <x:f>V195/17</x:f>
        <x:v>6.500588235294118</x:v>
      </x:c>
      <x:c r="T195" s="9" t="n">
        <x:f>IF(P195=1,MAX(0,0.28*(12-S195)),0)</x:f>
        <x:v>0</x:v>
      </x:c>
      <x:c r="U195" s="9" t="n">
        <x:f>T195*17</x:f>
        <x:v>0</x:v>
      </x:c>
      <x:c r="V195" s="9" t="n">
        <x:f>C195*Scoring!$B$34+D195/Scoring!$C$34+E195*Scoring!$D$34+WR!F195*Scoring!$E$34+WR!G195/Scoring!$F$34+WR!H195*Scoring!$G$34+WR!I195*Scoring!$H$34+K195*Scoring!$I$34+WR!L195*Scoring!$J$34</x:f>
        <x:v>110.51</x:v>
      </x:c>
      <x:c r="W195" s="9"/>
      <x:c r="X195" s="9"/>
      <x:c r="Y195" s="9"/>
      <x:c r="Z195" s="9"/>
    </x:row>
    <x:row r="196" ht="14.25" customHeight="1">
      <x:c r="B196" s="1" t="s">
        <x:v>488</x:v>
      </x:c>
      <x:c r="C196" s="1">
        <x:v>47.3</x:v>
      </x:c>
      <x:c r="D196" s="1">
        <x:v>626.0</x:v>
      </x:c>
      <x:c r="E196" s="1">
        <x:v>4.0</x:v>
      </x:c>
      <x:c r="F196" s="1">
        <x:v>5.0</x:v>
      </x:c>
      <x:c r="G196" s="1">
        <x:v>29.0</x:v>
      </x:c>
      <x:c r="H196" s="1">
        <x:v>0.2</x:v>
      </x:c>
      <x:c r="I196" s="1">
        <x:v>0.0</x:v>
      </x:c>
      <x:c r="J196" s="1">
        <x:v>132.3</x:v>
      </x:c>
      <x:c r="K196" s="18">
        <x:f t="shared" si="1"/>
        <x:v>1.79724238</x:v>
      </x:c>
      <x:c r="L196" s="18">
        <x:f t="shared" si="2"/>
        <x:v>30.78927739</x:v>
      </x:c>
      <x:c r="M196" s="121"/>
      <x:c r="N196" s="121"/>
      <x:c r="O196" s="121"/>
      <x:c r="P196" s="9"/>
      <x:c r="Q196" s="9"/>
      <x:c r="R196" s="9"/>
      <x:c r="S196" s="9"/>
      <x:c r="T196" s="9"/>
      <x:c r="U196" s="9"/>
      <x:c r="V196" s="9"/>
      <x:c r="W196" s="9"/>
      <x:c r="X196" s="9"/>
      <x:c r="Y196" s="9"/>
      <x:c r="Z196" s="9"/>
    </x:row>
    <x:row r="197" ht="14.25" customHeight="1">
      <x:c r="B197" s="1" t="s">
        <x:v>489</x:v>
      </x:c>
      <x:c r="C197" s="1">
        <x:v>46.0</x:v>
      </x:c>
      <x:c r="D197" s="1">
        <x:v>588.6</x:v>
      </x:c>
      <x:c r="E197" s="1">
        <x:v>3.9</x:v>
      </x:c>
      <x:c r="F197" s="1">
        <x:v>4.4</x:v>
      </x:c>
      <x:c r="G197" s="1">
        <x:v>24.6</x:v>
      </x:c>
      <x:c r="H197" s="1">
        <x:v>0.0</x:v>
      </x:c>
      <x:c r="I197" s="1">
        <x:v>0.4</x:v>
      </x:c>
      <x:c r="J197" s="1">
        <x:v>124.6</x:v>
      </x:c>
      <x:c r="K197" s="18">
        <x:f t="shared" si="1"/>
        <x:v>1.524557329</x:v>
      </x:c>
      <x:c r="L197" s="18">
        <x:f t="shared" si="2"/>
        <x:v>28.94979021</x:v>
      </x:c>
      <x:c r="M197" s="121"/>
      <x:c r="N197" s="121"/>
      <x:c r="O197" s="121"/>
      <x:c r="P197" s="9"/>
      <x:c r="Q197" s="9"/>
      <x:c r="R197" s="9"/>
      <x:c r="S197" s="9"/>
      <x:c r="T197" s="9"/>
      <x:c r="U197" s="9"/>
      <x:c r="V197" s="9"/>
      <x:c r="W197" s="9"/>
      <x:c r="X197" s="9"/>
      <x:c r="Y197" s="9"/>
      <x:c r="Z197" s="9"/>
    </x:row>
    <x:row r="198" ht="14.25" customHeight="1">
      <x:c r="A198" s="1" t="s">
        <x:v>798</x:v>
      </x:c>
      <x:c r="B198" s="1" t="s">
        <x:v>547</x:v>
      </x:c>
      <x:c r="C198" s="1">
        <x:v>43.7</x:v>
      </x:c>
      <x:c r="D198" s="1">
        <x:v>587.7</x:v>
      </x:c>
      <x:c r="E198" s="1">
        <x:v>4.0</x:v>
      </x:c>
      <x:c r="F198" s="1">
        <x:v>2.0</x:v>
      </x:c>
      <x:c r="G198" s="1">
        <x:v>9.0</x:v>
      </x:c>
      <x:c r="H198" s="1">
        <x:v>0.0</x:v>
      </x:c>
      <x:c r="I198" s="1">
        <x:v>0.2</x:v>
      </x:c>
      <x:c r="J198" s="1">
        <x:v>127.2</x:v>
      </x:c>
      <x:c r="K198" s="18">
        <x:f t="shared" si="1"/>
        <x:v>0.5577648766</x:v>
      </x:c>
      <x:c r="L198" s="18">
        <x:f t="shared" si="2"/>
        <x:v>28.90552448</x:v>
      </x:c>
      <x:c r="M198" s="119" t="n">
        <x:f>C200*Scoring!$B$34+D200/Scoring!$C$34+E200*Scoring!$D$34+WR!F200*Scoring!$E$34+WR!G200/Scoring!$F$34+WR!H200*Scoring!$G$34+WR!I200*Scoring!$H$34+K200*Scoring!$I$34+WR!L200*Scoring!$J$34+U198</x:f>
        <x:v>96.6</x:v>
      </x:c>
      <x:c r="N198" s="119" t="n">
        <x:f>C198*Scoring!$B$34+D198/Scoring!$C$34+E198*Scoring!$D$34+WR!F198*Scoring!$E$34+WR!G198/Scoring!$F$34+WR!H198*Scoring!$G$34+WR!I198*Scoring!$H$34+K198*Scoring!$I$34+WR!L198*Scoring!$J$34+U198</x:f>
        <x:v>105.32000000000001</x:v>
      </x:c>
      <x:c r="O198" s="119" t="n">
        <x:f>C199*Scoring!$B$34+D199/Scoring!$C$34+E199*Scoring!$D$34+WR!F199*Scoring!$E$34+WR!G199/Scoring!$F$34+WR!H199*Scoring!$G$34+WR!I199*Scoring!$H$34+K199*Scoring!$I$34+WR!L199*Scoring!$J$34+U198</x:f>
        <x:v>114.58999999999997</x:v>
      </x:c>
      <x:c r="P198" s="9" t="n">
        <x:f>IF(COUNTIF(Rookies!$A:$A,A198)&gt;0,1,0)</x:f>
        <x:v>0</x:v>
      </x:c>
      <x:c r="Q198" s="9"/>
      <x:c r="R198" s="9"/>
      <x:c r="S198" s="9" t="n">
        <x:f>V198/17</x:f>
        <x:v>6.195294117647059</x:v>
      </x:c>
      <x:c r="T198" s="9" t="n">
        <x:f>IF(P198=1,MAX(0,0.28*(12-S198)),0)</x:f>
        <x:v>0</x:v>
      </x:c>
      <x:c r="U198" s="9" t="n">
        <x:f>T198*17</x:f>
        <x:v>0</x:v>
      </x:c>
      <x:c r="V198" s="9" t="n">
        <x:f>C198*Scoring!$B$34+D198/Scoring!$C$34+E198*Scoring!$D$34+WR!F198*Scoring!$E$34+WR!G198/Scoring!$F$34+WR!H198*Scoring!$G$34+WR!I198*Scoring!$H$34+K198*Scoring!$I$34+WR!L198*Scoring!$J$34</x:f>
        <x:v>105.32000000000001</x:v>
      </x:c>
      <x:c r="W198" s="9"/>
      <x:c r="X198" s="9"/>
      <x:c r="Y198" s="9"/>
      <x:c r="Z198" s="9"/>
    </x:row>
    <x:row r="199" ht="14.25" customHeight="1">
      <x:c r="B199" s="1" t="s">
        <x:v>488</x:v>
      </x:c>
      <x:c r="C199" s="1">
        <x:v>44.3</x:v>
      </x:c>
      <x:c r="D199" s="1">
        <x:v>607.4</x:v>
      </x:c>
      <x:c r="E199" s="1">
        <x:v>5.0</x:v>
      </x:c>
      <x:c r="F199" s="1">
        <x:v>2.1</x:v>
      </x:c>
      <x:c r="G199" s="1">
        <x:v>11.0</x:v>
      </x:c>
      <x:c r="H199" s="1">
        <x:v>0.1</x:v>
      </x:c>
      <x:c r="I199" s="1">
        <x:v>0.0</x:v>
      </x:c>
      <x:c r="J199" s="1">
        <x:v>123.6</x:v>
      </x:c>
      <x:c r="K199" s="18">
        <x:f t="shared" si="1"/>
        <x:v>0.681712627</x:v>
      </x:c>
      <x:c r="L199" s="18">
        <x:f t="shared" si="2"/>
        <x:v>29.87445221</x:v>
      </x:c>
      <x:c r="M199" s="121"/>
      <x:c r="N199" s="121"/>
      <x:c r="O199" s="121"/>
      <x:c r="P199" s="9"/>
      <x:c r="Q199" s="9"/>
      <x:c r="R199" s="9"/>
      <x:c r="S199" s="9"/>
      <x:c r="T199" s="9"/>
      <x:c r="U199" s="9"/>
      <x:c r="V199" s="9"/>
      <x:c r="W199" s="9"/>
      <x:c r="X199" s="9"/>
      <x:c r="Y199" s="9"/>
      <x:c r="Z199" s="9"/>
    </x:row>
    <x:row r="200" ht="14.25" customHeight="1">
      <x:c r="B200" s="1" t="s">
        <x:v>489</x:v>
      </x:c>
      <x:c r="C200" s="1">
        <x:v>43.0</x:v>
      </x:c>
      <x:c r="D200" s="1">
        <x:v>568.0</x:v>
      </x:c>
      <x:c r="E200" s="1">
        <x:v>3.0</x:v>
      </x:c>
      <x:c r="F200" s="1">
        <x:v>2.0</x:v>
      </x:c>
      <x:c r="G200" s="1">
        <x:v>7.0</x:v>
      </x:c>
      <x:c r="H200" s="1">
        <x:v>0.0</x:v>
      </x:c>
      <x:c r="I200" s="1">
        <x:v>0.4</x:v>
      </x:c>
      <x:c r="J200" s="1">
        <x:v>122.7</x:v>
      </x:c>
      <x:c r="K200" s="18">
        <x:f t="shared" si="1"/>
        <x:v>0.4338171263</x:v>
      </x:c>
      <x:c r="L200" s="18">
        <x:f t="shared" si="2"/>
        <x:v>27.93659674</x:v>
      </x:c>
      <x:c r="M200" s="121"/>
      <x:c r="N200" s="121"/>
      <x:c r="O200" s="121"/>
      <x:c r="P200" s="9"/>
      <x:c r="Q200" s="9"/>
      <x:c r="R200" s="9"/>
      <x:c r="S200" s="9"/>
      <x:c r="T200" s="9"/>
      <x:c r="U200" s="9"/>
      <x:c r="V200" s="9"/>
      <x:c r="W200" s="9"/>
      <x:c r="X200" s="9"/>
      <x:c r="Y200" s="9"/>
      <x:c r="Z200" s="9"/>
    </x:row>
    <x:row r="201" ht="14.25" customHeight="1">
      <x:c r="A201" s="1" t="s">
        <x:v>799</x:v>
      </x:c>
      <x:c r="B201" s="1" t="s">
        <x:v>521</x:v>
      </x:c>
      <x:c r="C201" s="1">
        <x:v>47.3</x:v>
      </x:c>
      <x:c r="D201" s="1">
        <x:v>567.7</x:v>
      </x:c>
      <x:c r="E201" s="1">
        <x:v>3.7</x:v>
      </x:c>
      <x:c r="F201" s="1">
        <x:v>0.0</x:v>
      </x:c>
      <x:c r="G201" s="1">
        <x:v>0.0</x:v>
      </x:c>
      <x:c r="H201" s="1">
        <x:v>0.0</x:v>
      </x:c>
      <x:c r="I201" s="1">
        <x:v>0.2</x:v>
      </x:c>
      <x:c r="J201" s="1">
        <x:v>125.8</x:v>
      </x:c>
      <x:c r="K201" s="18">
        <x:f t="shared" si="1"/>
        <x:v>0</x:v>
      </x:c>
      <x:c r="L201" s="18">
        <x:f t="shared" si="2"/>
        <x:v>27.92184149</x:v>
      </x:c>
      <x:c r="M201" s="119" t="n">
        <x:f>C203*Scoring!$B$34+D203/Scoring!$C$34+E203*Scoring!$D$34+WR!F203*Scoring!$E$34+WR!G203/Scoring!$F$34+WR!H203*Scoring!$G$34+WR!I203*Scoring!$H$34+K203*Scoring!$I$34+WR!L203*Scoring!$J$34+U201</x:f>
        <x:v>96.94</x:v>
      </x:c>
      <x:c r="N201" s="119" t="n">
        <x:f>C201*Scoring!$B$34+D201/Scoring!$C$34+E201*Scoring!$D$34+WR!F201*Scoring!$E$34+WR!G201/Scoring!$F$34+WR!H201*Scoring!$G$34+WR!I201*Scoring!$H$34+K201*Scoring!$I$34+WR!L201*Scoring!$J$34+U201</x:f>
        <x:v>102.42</x:v>
      </x:c>
      <x:c r="O201" s="119" t="n">
        <x:f>C202*Scoring!$B$34+D202/Scoring!$C$34+E202*Scoring!$D$34+WR!F202*Scoring!$E$34+WR!G202/Scoring!$F$34+WR!H202*Scoring!$G$34+WR!I202*Scoring!$H$34+K202*Scoring!$I$34+WR!L202*Scoring!$J$34+U201</x:f>
        <x:v>107.85</x:v>
      </x:c>
      <x:c r="P201" s="9" t="n">
        <x:f>IF(COUNTIF(Rookies!$A:$A,A201)&gt;0,1,0)</x:f>
        <x:v>0</x:v>
      </x:c>
      <x:c r="Q201" s="9"/>
      <x:c r="R201" s="9"/>
      <x:c r="S201" s="9" t="n">
        <x:f>V201/17</x:f>
        <x:v>6.024705882352941</x:v>
      </x:c>
      <x:c r="T201" s="9" t="n">
        <x:f>IF(P201=1,MAX(0,0.28*(12-S201)),0)</x:f>
        <x:v>0</x:v>
      </x:c>
      <x:c r="U201" s="9" t="n">
        <x:f>T201*17</x:f>
        <x:v>0</x:v>
      </x:c>
      <x:c r="V201" s="9" t="n">
        <x:f>C201*Scoring!$B$34+D201/Scoring!$C$34+E201*Scoring!$D$34+WR!F201*Scoring!$E$34+WR!G201/Scoring!$F$34+WR!H201*Scoring!$G$34+WR!I201*Scoring!$H$34+K201*Scoring!$I$34+WR!L201*Scoring!$J$34</x:f>
        <x:v>102.42</x:v>
      </x:c>
      <x:c r="W201" s="9"/>
      <x:c r="X201" s="9"/>
      <x:c r="Y201" s="9"/>
      <x:c r="Z201" s="9"/>
    </x:row>
    <x:row r="202" ht="14.25" customHeight="1">
      <x:c r="B202" s="1" t="s">
        <x:v>488</x:v>
      </x:c>
      <x:c r="C202" s="1">
        <x:v>49.5</x:v>
      </x:c>
      <x:c r="D202" s="1">
        <x:v>591.0</x:v>
      </x:c>
      <x:c r="E202" s="1">
        <x:v>4.0</x:v>
      </x:c>
      <x:c r="F202" s="1">
        <x:v>0.0</x:v>
      </x:c>
      <x:c r="G202" s="1">
        <x:v>0.0</x:v>
      </x:c>
      <x:c r="H202" s="1">
        <x:v>0.0</x:v>
      </x:c>
      <x:c r="I202" s="1">
        <x:v>0.0</x:v>
      </x:c>
      <x:c r="J202" s="1">
        <x:v>121.5</x:v>
      </x:c>
      <x:c r="K202" s="18">
        <x:f t="shared" si="1"/>
        <x:v>0</x:v>
      </x:c>
      <x:c r="L202" s="18">
        <x:f t="shared" si="2"/>
        <x:v>29.06783217</x:v>
      </x:c>
      <x:c r="M202" s="121"/>
      <x:c r="N202" s="121"/>
      <x:c r="O202" s="121"/>
      <x:c r="P202" s="9"/>
      <x:c r="Q202" s="9"/>
      <x:c r="R202" s="9"/>
      <x:c r="S202" s="9"/>
      <x:c r="T202" s="9"/>
      <x:c r="U202" s="9"/>
      <x:c r="V202" s="9"/>
      <x:c r="W202" s="9"/>
      <x:c r="X202" s="9"/>
      <x:c r="Y202" s="9"/>
      <x:c r="Z202" s="9"/>
    </x:row>
    <x:row r="203" ht="14.25" customHeight="1">
      <x:c r="B203" s="1" t="s">
        <x:v>489</x:v>
      </x:c>
      <x:c r="C203" s="1">
        <x:v>45.0</x:v>
      </x:c>
      <x:c r="D203" s="1">
        <x:v>544.4</x:v>
      </x:c>
      <x:c r="E203" s="1">
        <x:v>3.4</x:v>
      </x:c>
      <x:c r="F203" s="1">
        <x:v>0.0</x:v>
      </x:c>
      <x:c r="G203" s="1">
        <x:v>0.0</x:v>
      </x:c>
      <x:c r="H203" s="1">
        <x:v>0.0</x:v>
      </x:c>
      <x:c r="I203" s="1">
        <x:v>0.4</x:v>
      </x:c>
      <x:c r="J203" s="1">
        <x:v>121.3</x:v>
      </x:c>
      <x:c r="K203" s="18">
        <x:f t="shared" si="1"/>
        <x:v>0</x:v>
      </x:c>
      <x:c r="L203" s="18">
        <x:f t="shared" si="2"/>
        <x:v>26.77585082</x:v>
      </x:c>
      <x:c r="M203" s="121"/>
      <x:c r="N203" s="121"/>
      <x:c r="O203" s="121"/>
      <x:c r="P203" s="9"/>
      <x:c r="Q203" s="9"/>
      <x:c r="R203" s="9"/>
      <x:c r="S203" s="9"/>
      <x:c r="T203" s="9"/>
      <x:c r="U203" s="9"/>
      <x:c r="V203" s="9"/>
      <x:c r="W203" s="9"/>
      <x:c r="X203" s="9"/>
      <x:c r="Y203" s="9"/>
      <x:c r="Z203" s="9"/>
    </x:row>
    <x:row r="204" ht="14.25" customHeight="1">
      <x:c r="A204" s="1" t="s">
        <x:v>800</x:v>
      </x:c>
      <x:c r="B204" s="1" t="s">
        <x:v>491</x:v>
      </x:c>
      <x:c r="C204" s="1">
        <x:v>37.8</x:v>
      </x:c>
      <x:c r="D204" s="1">
        <x:v>569.3</x:v>
      </x:c>
      <x:c r="E204" s="1">
        <x:v>5.2</x:v>
      </x:c>
      <x:c r="F204" s="1">
        <x:v>1.5</x:v>
      </x:c>
      <x:c r="G204" s="1">
        <x:v>8.5</x:v>
      </x:c>
      <x:c r="H204" s="1">
        <x:v>0.0</x:v>
      </x:c>
      <x:c r="I204" s="1">
        <x:v>0.7</x:v>
      </x:c>
      <x:c r="J204" s="1">
        <x:v>125.7</x:v>
      </x:c>
      <x:c r="K204" s="18">
        <x:f t="shared" si="1"/>
        <x:v>0.526777939</x:v>
      </x:c>
      <x:c r="L204" s="18">
        <x:f t="shared" si="2"/>
        <x:v>28.00053613</x:v>
      </x:c>
      <x:c r="M204" s="119" t="n">
        <x:f>C206*Scoring!$B$34+D206/Scoring!$C$34+E206*Scoring!$D$34+WR!F206*Scoring!$E$34+WR!G206/Scoring!$F$34+WR!H206*Scoring!$G$34+WR!I206*Scoring!$H$34+K206*Scoring!$I$34+WR!L206*Scoring!$J$34+U204</x:f>
        <x:v>111.31960000000001</x:v>
      </x:c>
      <x:c r="N204" s="119" t="n">
        <x:f>C204*Scoring!$B$34+D204/Scoring!$C$34+E204*Scoring!$D$34+WR!F204*Scoring!$E$34+WR!G204/Scoring!$F$34+WR!H204*Scoring!$G$34+WR!I204*Scoring!$H$34+K204*Scoring!$I$34+WR!L204*Scoring!$J$34+U204</x:f>
        <x:v>134.28959999999998</x:v>
      </x:c>
      <x:c r="O204" s="119" t="n">
        <x:f>C205*Scoring!$B$34+D205/Scoring!$C$34+E205*Scoring!$D$34+WR!F205*Scoring!$E$34+WR!G205/Scoring!$F$34+WR!H205*Scoring!$G$34+WR!I205*Scoring!$H$34+K205*Scoring!$I$34+WR!L205*Scoring!$J$34+U204</x:f>
        <x:v>157.90959999999998</x:v>
      </x:c>
      <x:c r="P204" s="9" t="n">
        <x:f>IF(COUNTIF(Rookies!$A:$A,A204)&gt;0,1,0)</x:f>
        <x:v>1</x:v>
      </x:c>
      <x:c r="Q204" s="9"/>
      <x:c r="R204" s="9"/>
      <x:c r="S204" s="9" t="n">
        <x:f>V204/17</x:f>
        <x:v>6.30470588235294</x:v>
      </x:c>
      <x:c r="T204" s="9" t="n">
        <x:f>IF(P204=1,MAX(0,0.28*(12-S204)),0)</x:f>
        <x:v>1.5946823529411769</x:v>
      </x:c>
      <x:c r="U204" s="9" t="n">
        <x:f>T204*17</x:f>
        <x:v>27.109600000000007</x:v>
      </x:c>
      <x:c r="V204" s="9" t="n">
        <x:f>C204*Scoring!$B$34+D204/Scoring!$C$34+E204*Scoring!$D$34+WR!F204*Scoring!$E$34+WR!G204/Scoring!$F$34+WR!H204*Scoring!$G$34+WR!I204*Scoring!$H$34+K204*Scoring!$I$34+WR!L204*Scoring!$J$34</x:f>
        <x:v>107.17999999999998</x:v>
      </x:c>
      <x:c r="W204" s="9"/>
      <x:c r="X204" s="9"/>
      <x:c r="Y204" s="9"/>
      <x:c r="Z204" s="9"/>
    </x:row>
    <x:row r="205" ht="14.25" customHeight="1">
      <x:c r="B205" s="1" t="s">
        <x:v>488</x:v>
      </x:c>
      <x:c r="C205" s="1">
        <x:v>44.0</x:v>
      </x:c>
      <x:c r="D205" s="1">
        <x:v>654.0</x:v>
      </x:c>
      <x:c r="E205" s="1">
        <x:v>7.0</x:v>
      </x:c>
      <x:c r="F205" s="1">
        <x:v>3.0</x:v>
      </x:c>
      <x:c r="G205" s="1">
        <x:v>17.0</x:v>
      </x:c>
      <x:c r="H205" s="1">
        <x:v>0.0</x:v>
      </x:c>
      <x:c r="I205" s="1">
        <x:v>0.3</x:v>
      </x:c>
      <x:c r="J205" s="1">
        <x:v>134.8</x:v>
      </x:c>
      <x:c r="K205" s="18">
        <x:f t="shared" si="1"/>
        <x:v>1.053555878</x:v>
      </x:c>
      <x:c r="L205" s="18">
        <x:f t="shared" si="2"/>
        <x:v>32.16643357</x:v>
      </x:c>
      <x:c r="M205" s="121"/>
      <x:c r="N205" s="121"/>
      <x:c r="O205" s="121"/>
      <x:c r="P205" s="9"/>
      <x:c r="Q205" s="9"/>
      <x:c r="R205" s="9"/>
      <x:c r="S205" s="9"/>
      <x:c r="T205" s="9"/>
      <x:c r="U205" s="9"/>
      <x:c r="V205" s="9"/>
      <x:c r="W205" s="9"/>
      <x:c r="X205" s="9"/>
      <x:c r="Y205" s="9"/>
      <x:c r="Z205" s="9"/>
    </x:row>
    <x:row r="206" ht="14.25" customHeight="1">
      <x:c r="B206" s="1" t="s">
        <x:v>489</x:v>
      </x:c>
      <x:c r="C206" s="1">
        <x:v>31.5</x:v>
      </x:c>
      <x:c r="D206" s="1">
        <x:v>484.6</x:v>
      </x:c>
      <x:c r="E206" s="1">
        <x:v>3.5</x:v>
      </x:c>
      <x:c r="F206" s="1">
        <x:v>0.0</x:v>
      </x:c>
      <x:c r="G206" s="1">
        <x:v>0.0</x:v>
      </x:c>
      <x:c r="H206" s="1">
        <x:v>0.0</x:v>
      </x:c>
      <x:c r="I206" s="1">
        <x:v>1.0</x:v>
      </x:c>
      <x:c r="J206" s="1">
        <x:v>106.7</x:v>
      </x:c>
      <x:c r="K206" s="18">
        <x:f t="shared" si="1"/>
        <x:v>0</x:v>
      </x:c>
      <x:c r="L206" s="18">
        <x:f t="shared" si="2"/>
        <x:v>23.83463869</x:v>
      </x:c>
      <x:c r="M206" s="121"/>
      <x:c r="N206" s="121"/>
      <x:c r="O206" s="121"/>
      <x:c r="P206" s="9"/>
      <x:c r="Q206" s="9"/>
      <x:c r="R206" s="9"/>
      <x:c r="S206" s="9"/>
      <x:c r="T206" s="9"/>
      <x:c r="U206" s="9"/>
      <x:c r="V206" s="9"/>
      <x:c r="W206" s="9"/>
      <x:c r="X206" s="9"/>
      <x:c r="Y206" s="9"/>
      <x:c r="Z206" s="9"/>
    </x:row>
    <x:row r="207" ht="14.25" customHeight="1">
      <x:c r="A207" s="1" t="s">
        <x:v>801</x:v>
      </x:c>
      <x:c r="B207" s="1" t="s">
        <x:v>533</x:v>
      </x:c>
      <x:c r="C207" s="1">
        <x:v>47.4</x:v>
      </x:c>
      <x:c r="D207" s="1">
        <x:v>584.8</x:v>
      </x:c>
      <x:c r="E207" s="1">
        <x:v>3.4</x:v>
      </x:c>
      <x:c r="F207" s="1">
        <x:v>0.5</x:v>
      </x:c>
      <x:c r="G207" s="1">
        <x:v>1.5</x:v>
      </x:c>
      <x:c r="H207" s="1">
        <x:v>0.0</x:v>
      </x:c>
      <x:c r="I207" s="1">
        <x:v>0.7</x:v>
      </x:c>
      <x:c r="J207" s="1">
        <x:v>125.2</x:v>
      </x:c>
      <x:c r="K207" s="18">
        <x:f t="shared" si="1"/>
        <x:v>0.09296081277</x:v>
      </x:c>
      <x:c r="L207" s="18">
        <x:f t="shared" si="2"/>
        <x:v>28.76289044</x:v>
      </x:c>
      <x:c r="M207" s="119" t="n">
        <x:f>C209*Scoring!$B$34+D209/Scoring!$C$34+E209*Scoring!$D$34+WR!F209*Scoring!$E$34+WR!G209/Scoring!$F$34+WR!H209*Scoring!$G$34+WR!I209*Scoring!$H$34+K209*Scoring!$I$34+WR!L209*Scoring!$J$34+U207</x:f>
        <x:v>81.92</x:v>
      </x:c>
      <x:c r="N207" s="119" t="n">
        <x:f>C207*Scoring!$B$34+D207/Scoring!$C$34+E207*Scoring!$D$34+WR!F207*Scoring!$E$34+WR!G207/Scoring!$F$34+WR!H207*Scoring!$G$34+WR!I207*Scoring!$H$34+K207*Scoring!$I$34+WR!L207*Scoring!$J$34+U207</x:f>
        <x:v>102.02999999999999</x:v>
      </x:c>
      <x:c r="O207" s="119" t="n">
        <x:f>C208*Scoring!$B$34+D208/Scoring!$C$34+E208*Scoring!$D$34+WR!F208*Scoring!$E$34+WR!G208/Scoring!$F$34+WR!H208*Scoring!$G$34+WR!I208*Scoring!$H$34+K208*Scoring!$I$34+WR!L208*Scoring!$J$34+U207</x:f>
        <x:v>122.3</x:v>
      </x:c>
      <x:c r="P207" s="9" t="n">
        <x:f>IF(COUNTIF(Rookies!$A:$A,A207)&gt;0,1,0)</x:f>
        <x:v>0</x:v>
      </x:c>
      <x:c r="Q207" s="9"/>
      <x:c r="R207" s="9"/>
      <x:c r="S207" s="9" t="n">
        <x:f>V207/17</x:f>
        <x:v>6.001764705882352</x:v>
      </x:c>
      <x:c r="T207" s="9" t="n">
        <x:f>IF(P207=1,MAX(0,0.28*(12-S207)),0)</x:f>
        <x:v>0</x:v>
      </x:c>
      <x:c r="U207" s="9" t="n">
        <x:f>T207*17</x:f>
        <x:v>0</x:v>
      </x:c>
      <x:c r="V207" s="9" t="n">
        <x:f>C207*Scoring!$B$34+D207/Scoring!$C$34+E207*Scoring!$D$34+WR!F207*Scoring!$E$34+WR!G207/Scoring!$F$34+WR!H207*Scoring!$G$34+WR!I207*Scoring!$H$34+K207*Scoring!$I$34+WR!L207*Scoring!$J$34</x:f>
        <x:v>102.02999999999999</x:v>
      </x:c>
      <x:c r="W207" s="9"/>
      <x:c r="X207" s="9"/>
      <x:c r="Y207" s="9"/>
      <x:c r="Z207" s="9"/>
    </x:row>
    <x:row r="208" ht="14.25" customHeight="1">
      <x:c r="B208" s="1" t="s">
        <x:v>488</x:v>
      </x:c>
      <x:c r="C208" s="1">
        <x:v>57.0</x:v>
      </x:c>
      <x:c r="D208" s="1">
        <x:v>698.0</x:v>
      </x:c>
      <x:c r="E208" s="1">
        <x:v>4.0</x:v>
      </x:c>
      <x:c r="F208" s="1">
        <x:v>1.0</x:v>
      </x:c>
      <x:c r="G208" s="1">
        <x:v>3.0</x:v>
      </x:c>
      <x:c r="H208" s="1">
        <x:v>0.0</x:v>
      </x:c>
      <x:c r="I208" s="1">
        <x:v>0.3</x:v>
      </x:c>
      <x:c r="J208" s="1">
        <x:v>132.4</x:v>
      </x:c>
      <x:c r="K208" s="18">
        <x:f t="shared" si="1"/>
        <x:v>0.1859216255</x:v>
      </x:c>
      <x:c r="L208" s="18">
        <x:f t="shared" si="2"/>
        <x:v>34.33053613</x:v>
      </x:c>
      <x:c r="M208" s="121"/>
      <x:c r="N208" s="121"/>
      <x:c r="O208" s="121"/>
      <x:c r="P208" s="9"/>
      <x:c r="Q208" s="9"/>
      <x:c r="R208" s="9"/>
      <x:c r="S208" s="9"/>
      <x:c r="T208" s="9"/>
      <x:c r="U208" s="9"/>
      <x:c r="V208" s="9"/>
      <x:c r="W208" s="9"/>
      <x:c r="X208" s="9"/>
      <x:c r="Y208" s="9"/>
      <x:c r="Z208" s="9"/>
    </x:row>
    <x:row r="209" ht="14.25" customHeight="1">
      <x:c r="B209" s="1" t="s">
        <x:v>489</x:v>
      </x:c>
      <x:c r="C209" s="1">
        <x:v>37.9</x:v>
      </x:c>
      <x:c r="D209" s="1">
        <x:v>471.7</x:v>
      </x:c>
      <x:c r="E209" s="1">
        <x:v>2.8</x:v>
      </x:c>
      <x:c r="F209" s="1">
        <x:v>0.0</x:v>
      </x:c>
      <x:c r="G209" s="1">
        <x:v>0.0</x:v>
      </x:c>
      <x:c r="H209" s="1">
        <x:v>0.0</x:v>
      </x:c>
      <x:c r="I209" s="1">
        <x:v>1.0</x:v>
      </x:c>
      <x:c r="J209" s="1">
        <x:v>111.1</x:v>
      </x:c>
      <x:c r="K209" s="18">
        <x:f t="shared" si="1"/>
        <x:v>0</x:v>
      </x:c>
      <x:c r="L209" s="18">
        <x:f t="shared" si="2"/>
        <x:v>23.20016317</x:v>
      </x:c>
      <x:c r="M209" s="121"/>
      <x:c r="N209" s="121"/>
      <x:c r="O209" s="121"/>
      <x:c r="P209" s="9"/>
      <x:c r="Q209" s="9"/>
      <x:c r="R209" s="9"/>
      <x:c r="S209" s="9"/>
      <x:c r="T209" s="9"/>
      <x:c r="U209" s="9"/>
      <x:c r="V209" s="9"/>
      <x:c r="W209" s="9"/>
      <x:c r="X209" s="9"/>
      <x:c r="Y209" s="9"/>
      <x:c r="Z209" s="9"/>
    </x:row>
    <x:row r="210" ht="14.25" customHeight="1">
      <x:c r="A210" s="1" t="s">
        <x:v>802</x:v>
      </x:c>
      <x:c r="B210" s="1" t="s">
        <x:v>539</x:v>
      </x:c>
      <x:c r="C210" s="1">
        <x:v>39.7</x:v>
      </x:c>
      <x:c r="D210" s="1">
        <x:v>548.8</x:v>
      </x:c>
      <x:c r="E210" s="1">
        <x:v>3.3</x:v>
      </x:c>
      <x:c r="F210" s="1">
        <x:v>2.1</x:v>
      </x:c>
      <x:c r="G210" s="1">
        <x:v>5.1</x:v>
      </x:c>
      <x:c r="H210" s="1">
        <x:v>0.1</x:v>
      </x:c>
      <x:c r="I210" s="1">
        <x:v>0.7</x:v>
      </x:c>
      <x:c r="J210" s="1">
        <x:v>113.8</x:v>
      </x:c>
      <x:c r="K210" s="18">
        <x:f t="shared" si="1"/>
        <x:v>0.3160667634</x:v>
      </x:c>
      <x:c r="L210" s="18">
        <x:f t="shared" si="2"/>
        <x:v>26.99226107</x:v>
      </x:c>
      <x:c r="M210" s="119" t="n">
        <x:f>C212*Scoring!$B$34+D212/Scoring!$C$34+E212*Scoring!$D$34+WR!F212*Scoring!$E$34+WR!G212/Scoring!$F$34+WR!H212*Scoring!$G$34+WR!I212*Scoring!$H$34+K212*Scoring!$I$34+WR!L212*Scoring!$J$34+U210</x:f>
        <x:v>83.9</x:v>
      </x:c>
      <x:c r="N210" s="119" t="n">
        <x:f>C210*Scoring!$B$34+D210/Scoring!$C$34+E210*Scoring!$D$34+WR!F210*Scoring!$E$34+WR!G210/Scoring!$F$34+WR!H210*Scoring!$G$34+WR!I210*Scoring!$H$34+K210*Scoring!$I$34+WR!L210*Scoring!$J$34+U210</x:f>
        <x:v>94.93999999999998</x:v>
      </x:c>
      <x:c r="O210" s="119" t="n">
        <x:f>C211*Scoring!$B$34+D211/Scoring!$C$34+E211*Scoring!$D$34+WR!F211*Scoring!$E$34+WR!G211/Scoring!$F$34+WR!H211*Scoring!$G$34+WR!I211*Scoring!$H$34+K211*Scoring!$I$34+WR!L211*Scoring!$J$34+U210</x:f>
        <x:v>105.32</x:v>
      </x:c>
      <x:c r="P210" s="9" t="n">
        <x:f>IF(COUNTIF(Rookies!$A:$A,A210)&gt;0,1,0)</x:f>
        <x:v>0</x:v>
      </x:c>
      <x:c r="Q210" s="9"/>
      <x:c r="R210" s="9"/>
      <x:c r="S210" s="9" t="n">
        <x:f>V210/17</x:f>
        <x:v>5.5847058823529405</x:v>
      </x:c>
      <x:c r="T210" s="9" t="n">
        <x:f>IF(P210=1,MAX(0,0.28*(12-S210)),0)</x:f>
        <x:v>0</x:v>
      </x:c>
      <x:c r="U210" s="9" t="n">
        <x:f>T210*17</x:f>
        <x:v>0</x:v>
      </x:c>
      <x:c r="V210" s="9" t="n">
        <x:f>C210*Scoring!$B$34+D210/Scoring!$C$34+E210*Scoring!$D$34+WR!F210*Scoring!$E$34+WR!G210/Scoring!$F$34+WR!H210*Scoring!$G$34+WR!I210*Scoring!$H$34+K210*Scoring!$I$34+WR!L210*Scoring!$J$34</x:f>
        <x:v>94.93999999999998</x:v>
      </x:c>
      <x:c r="W210" s="9"/>
      <x:c r="X210" s="9"/>
      <x:c r="Y210" s="9"/>
      <x:c r="Z210" s="9"/>
    </x:row>
    <x:row r="211" ht="14.25" customHeight="1">
      <x:c r="B211" s="1" t="s">
        <x:v>488</x:v>
      </x:c>
      <x:c r="C211" s="1">
        <x:v>41.5</x:v>
      </x:c>
      <x:c r="D211" s="1">
        <x:v>617.5</x:v>
      </x:c>
      <x:c r="E211" s="1">
        <x:v>3.6</x:v>
      </x:c>
      <x:c r="F211" s="1">
        <x:v>2.2</x:v>
      </x:c>
      <x:c r="G211" s="1">
        <x:v>11.2</x:v>
      </x:c>
      <x:c r="H211" s="1">
        <x:v>0.1</x:v>
      </x:c>
      <x:c r="I211" s="1">
        <x:v>0.5</x:v>
      </x:c>
      <x:c r="J211" s="1">
        <x:v>124.9</x:v>
      </x:c>
      <x:c r="K211" s="18">
        <x:f t="shared" si="1"/>
        <x:v>0.694107402</x:v>
      </x:c>
      <x:c r="L211" s="18">
        <x:f t="shared" si="2"/>
        <x:v>30.37121212</x:v>
      </x:c>
      <x:c r="M211" s="121"/>
      <x:c r="N211" s="121"/>
      <x:c r="O211" s="121"/>
      <x:c r="P211" s="9"/>
      <x:c r="Q211" s="9"/>
      <x:c r="R211" s="9"/>
      <x:c r="S211" s="9"/>
      <x:c r="T211" s="9"/>
      <x:c r="U211" s="9"/>
      <x:c r="V211" s="9"/>
      <x:c r="W211" s="9"/>
      <x:c r="X211" s="9"/>
      <x:c r="Y211" s="9"/>
      <x:c r="Z211" s="9"/>
    </x:row>
    <x:row r="212" ht="14.25" customHeight="1">
      <x:c r="B212" s="1" t="s">
        <x:v>489</x:v>
      </x:c>
      <x:c r="C212" s="1">
        <x:v>38.0</x:v>
      </x:c>
      <x:c r="D212" s="1">
        <x:v>480.0</x:v>
      </x:c>
      <x:c r="E212" s="1">
        <x:v>3.0</x:v>
      </x:c>
      <x:c r="F212" s="1">
        <x:v>2.0</x:v>
      </x:c>
      <x:c r="G212" s="1">
        <x:v>-1.0</x:v>
      </x:c>
      <x:c r="H212" s="1">
        <x:v>0.0</x:v>
      </x:c>
      <x:c r="I212" s="1">
        <x:v>1.0</x:v>
      </x:c>
      <x:c r="J212" s="1">
        <x:v>94.7</x:v>
      </x:c>
      <x:c r="K212" s="18">
        <x:f t="shared" si="1"/>
        <x:v>-0.06197387518</x:v>
      </x:c>
      <x:c r="L212" s="18">
        <x:f t="shared" si="2"/>
        <x:v>23.60839161</x:v>
      </x:c>
      <x:c r="M212" s="121"/>
      <x:c r="N212" s="121"/>
      <x:c r="O212" s="121"/>
      <x:c r="P212" s="9"/>
      <x:c r="Q212" s="9"/>
      <x:c r="R212" s="9"/>
      <x:c r="S212" s="9"/>
      <x:c r="T212" s="9"/>
      <x:c r="U212" s="9"/>
      <x:c r="V212" s="9"/>
      <x:c r="W212" s="9"/>
      <x:c r="X212" s="9"/>
      <x:c r="Y212" s="9"/>
      <x:c r="Z212" s="9"/>
    </x:row>
    <x:row r="213" ht="14.25" customHeight="1">
      <x:c r="A213" s="1" t="s">
        <x:v>803</x:v>
      </x:c>
      <x:c r="B213" s="1" t="s">
        <x:v>529</x:v>
      </x:c>
      <x:c r="C213" s="1">
        <x:v>45.6</x:v>
      </x:c>
      <x:c r="D213" s="1">
        <x:v>414.2</x:v>
      </x:c>
      <x:c r="E213" s="1">
        <x:v>2.4</x:v>
      </x:c>
      <x:c r="F213" s="1">
        <x:v>13.5</x:v>
      </x:c>
      <x:c r="G213" s="1">
        <x:v>80.8</x:v>
      </x:c>
      <x:c r="H213" s="1">
        <x:v>0.7</x:v>
      </x:c>
      <x:c r="I213" s="1">
        <x:v>0.8</x:v>
      </x:c>
      <x:c r="J213" s="1">
        <x:v>112.1</x:v>
      </x:c>
      <x:c r="K213" s="18">
        <x:f t="shared" si="1"/>
        <x:v>5.007489115</x:v>
      </x:c>
      <x:c r="L213" s="18">
        <x:f t="shared" si="2"/>
        <x:v>20.37207459</x:v>
      </x:c>
      <x:c r="M213" s="119" t="n">
        <x:f>C215*Scoring!$B$34+D215/Scoring!$C$34+E215*Scoring!$D$34+WR!F215*Scoring!$E$34+WR!G215/Scoring!$F$34+WR!H215*Scoring!$G$34+WR!I215*Scoring!$H$34+K215*Scoring!$I$34+WR!L215*Scoring!$J$34+U213</x:f>
        <x:v>77.47</x:v>
      </x:c>
      <x:c r="N213" s="119" t="n">
        <x:f>C213*Scoring!$B$34+D213/Scoring!$C$34+E213*Scoring!$D$34+WR!F213*Scoring!$E$34+WR!G213/Scoring!$F$34+WR!H213*Scoring!$G$34+WR!I213*Scoring!$H$34+K213*Scoring!$I$34+WR!L213*Scoring!$J$34+U213</x:f>
        <x:v>90.10000000000001</x:v>
      </x:c>
      <x:c r="O213" s="119" t="n">
        <x:f>C214*Scoring!$B$34+D214/Scoring!$C$34+E214*Scoring!$D$34+WR!F214*Scoring!$E$34+WR!G214/Scoring!$F$34+WR!H214*Scoring!$G$34+WR!I214*Scoring!$H$34+K214*Scoring!$I$34+WR!L214*Scoring!$J$34+U213</x:f>
        <x:v>102.74000000000001</x:v>
      </x:c>
      <x:c r="P213" s="9" t="n">
        <x:f>IF(COUNTIF(Rookies!$A:$A,A213)&gt;0,1,0)</x:f>
        <x:v>0</x:v>
      </x:c>
      <x:c r="Q213" s="9"/>
      <x:c r="R213" s="9"/>
      <x:c r="S213" s="9" t="n">
        <x:f>V213/17</x:f>
        <x:v>5.300000000000001</x:v>
      </x:c>
      <x:c r="T213" s="9" t="n">
        <x:f>IF(P213=1,MAX(0,0.28*(12-S213)),0)</x:f>
        <x:v>0</x:v>
      </x:c>
      <x:c r="U213" s="9" t="n">
        <x:f>T213*17</x:f>
        <x:v>0</x:v>
      </x:c>
      <x:c r="V213" s="9" t="n">
        <x:f>C213*Scoring!$B$34+D213/Scoring!$C$34+E213*Scoring!$D$34+WR!F213*Scoring!$E$34+WR!G213/Scoring!$F$34+WR!H213*Scoring!$G$34+WR!I213*Scoring!$H$34+K213*Scoring!$I$34+WR!L213*Scoring!$J$34</x:f>
        <x:v>90.10000000000001</x:v>
      </x:c>
      <x:c r="W213" s="9"/>
      <x:c r="X213" s="9"/>
      <x:c r="Y213" s="9"/>
      <x:c r="Z213" s="9"/>
    </x:row>
    <x:row r="214" ht="14.25" customHeight="1">
      <x:c r="B214" s="1" t="s">
        <x:v>488</x:v>
      </x:c>
      <x:c r="C214" s="1">
        <x:v>46.0</x:v>
      </x:c>
      <x:c r="D214" s="1">
        <x:v>479.4</x:v>
      </x:c>
      <x:c r="E214" s="1">
        <x:v>3.0</x:v>
      </x:c>
      <x:c r="F214" s="1">
        <x:v>14.0</x:v>
      </x:c>
      <x:c r="G214" s="1">
        <x:v>84.0</x:v>
      </x:c>
      <x:c r="H214" s="1">
        <x:v>1.0</x:v>
      </x:c>
      <x:c r="I214" s="1">
        <x:v>0.6</x:v>
      </x:c>
      <x:c r="J214" s="1">
        <x:v>116.3</x:v>
      </x:c>
      <x:c r="K214" s="18">
        <x:f t="shared" si="1"/>
        <x:v>5.205805515</x:v>
      </x:c>
      <x:c r="L214" s="18">
        <x:f t="shared" si="2"/>
        <x:v>23.57888112</x:v>
      </x:c>
      <x:c r="M214" s="121"/>
      <x:c r="N214" s="121"/>
      <x:c r="O214" s="121"/>
      <x:c r="P214" s="9"/>
      <x:c r="Q214" s="9"/>
      <x:c r="R214" s="9"/>
      <x:c r="S214" s="9"/>
      <x:c r="T214" s="9"/>
      <x:c r="U214" s="9"/>
      <x:c r="V214" s="9"/>
      <x:c r="W214" s="9"/>
      <x:c r="X214" s="9"/>
      <x:c r="Y214" s="9"/>
      <x:c r="Z214" s="9"/>
    </x:row>
    <x:row r="215" ht="14.25" customHeight="1">
      <x:c r="B215" s="1" t="s">
        <x:v>489</x:v>
      </x:c>
      <x:c r="C215" s="1">
        <x:v>45.2</x:v>
      </x:c>
      <x:c r="D215" s="1">
        <x:v>349.0</x:v>
      </x:c>
      <x:c r="E215" s="1">
        <x:v>1.8</x:v>
      </x:c>
      <x:c r="F215" s="1">
        <x:v>12.9</x:v>
      </x:c>
      <x:c r="G215" s="1">
        <x:v>77.7</x:v>
      </x:c>
      <x:c r="H215" s="1">
        <x:v>0.4</x:v>
      </x:c>
      <x:c r="I215" s="1">
        <x:v>1.0</x:v>
      </x:c>
      <x:c r="J215" s="1">
        <x:v>97.6</x:v>
      </x:c>
      <x:c r="K215" s="18">
        <x:f t="shared" si="1"/>
        <x:v>4.815370102</x:v>
      </x:c>
      <x:c r="L215" s="18">
        <x:f t="shared" si="2"/>
        <x:v>17.16526807</x:v>
      </x:c>
      <x:c r="M215" s="121"/>
      <x:c r="N215" s="121"/>
      <x:c r="O215" s="121"/>
      <x:c r="P215" s="9"/>
      <x:c r="Q215" s="9"/>
      <x:c r="R215" s="9"/>
      <x:c r="S215" s="9"/>
      <x:c r="T215" s="9"/>
      <x:c r="U215" s="9"/>
      <x:c r="V215" s="9"/>
      <x:c r="W215" s="9"/>
      <x:c r="X215" s="9"/>
      <x:c r="Y215" s="9"/>
      <x:c r="Z215" s="9"/>
    </x:row>
    <x:row r="216" ht="14.25" customHeight="1">
      <x:c r="A216" s="1" t="s">
        <x:v>804</x:v>
      </x:c>
      <x:c r="B216" s="1" t="s">
        <x:v>505</x:v>
      </x:c>
      <x:c r="C216" s="1">
        <x:v>41.6</x:v>
      </x:c>
      <x:c r="D216" s="1">
        <x:v>496.6</x:v>
      </x:c>
      <x:c r="E216" s="1">
        <x:v>3.3</x:v>
      </x:c>
      <x:c r="F216" s="1">
        <x:v>2.0</x:v>
      </x:c>
      <x:c r="G216" s="1">
        <x:v>10.8</x:v>
      </x:c>
      <x:c r="H216" s="1">
        <x:v>0.1</x:v>
      </x:c>
      <x:c r="I216" s="1">
        <x:v>0.4</x:v>
      </x:c>
      <x:c r="J216" s="1">
        <x:v>111.8</x:v>
      </x:c>
      <x:c r="K216" s="18">
        <x:f t="shared" si="1"/>
        <x:v>0.669317852</x:v>
      </x:c>
      <x:c r="L216" s="18">
        <x:f t="shared" si="2"/>
        <x:v>24.42484848</x:v>
      </x:c>
      <x:c r="M216" s="119" t="n">
        <x:f>C218*Scoring!$B$34+D218/Scoring!$C$34+E218*Scoring!$D$34+WR!F218*Scoring!$E$34+WR!G218/Scoring!$F$34+WR!H218*Scoring!$G$34+WR!I218*Scoring!$H$34+K218*Scoring!$I$34+WR!L218*Scoring!$J$34+U216</x:f>
        <x:v>91.53999999999999</x:v>
      </x:c>
      <x:c r="N216" s="119" t="n">
        <x:f>C216*Scoring!$B$34+D216/Scoring!$C$34+E216*Scoring!$D$34+WR!F216*Scoring!$E$34+WR!G216/Scoring!$F$34+WR!H216*Scoring!$G$34+WR!I216*Scoring!$H$34+K216*Scoring!$I$34+WR!L216*Scoring!$J$34+U216</x:f>
        <x:v>91.53999999999999</x:v>
      </x:c>
      <x:c r="O216" s="119" t="n">
        <x:f>C217*Scoring!$B$34+D217/Scoring!$C$34+E217*Scoring!$D$34+WR!F217*Scoring!$E$34+WR!G217/Scoring!$F$34+WR!H217*Scoring!$G$34+WR!I217*Scoring!$H$34+K217*Scoring!$I$34+WR!L217*Scoring!$J$34+U216</x:f>
        <x:v>91.53999999999999</x:v>
      </x:c>
      <x:c r="P216" s="9" t="n">
        <x:f>IF(COUNTIF(Rookies!$A:$A,A216)&gt;0,1,0)</x:f>
        <x:v>0</x:v>
      </x:c>
      <x:c r="Q216" s="9"/>
      <x:c r="R216" s="9"/>
      <x:c r="S216" s="9" t="n">
        <x:f>V216/17</x:f>
        <x:v>5.38470588235294</x:v>
      </x:c>
      <x:c r="T216" s="9" t="n">
        <x:f>IF(P216=1,MAX(0,0.28*(12-S216)),0)</x:f>
        <x:v>0</x:v>
      </x:c>
      <x:c r="U216" s="9" t="n">
        <x:f>T216*17</x:f>
        <x:v>0</x:v>
      </x:c>
      <x:c r="V216" s="9" t="n">
        <x:f>C216*Scoring!$B$34+D216/Scoring!$C$34+E216*Scoring!$D$34+WR!F216*Scoring!$E$34+WR!G216/Scoring!$F$34+WR!H216*Scoring!$G$34+WR!I216*Scoring!$H$34+K216*Scoring!$I$34+WR!L216*Scoring!$J$34</x:f>
        <x:v>91.53999999999999</x:v>
      </x:c>
      <x:c r="W216" s="9"/>
      <x:c r="X216" s="9"/>
      <x:c r="Y216" s="9"/>
      <x:c r="Z216" s="9"/>
    </x:row>
    <x:row r="217" ht="14.25" customHeight="1">
      <x:c r="B217" s="1" t="s">
        <x:v>488</x:v>
      </x:c>
      <x:c r="C217" s="1">
        <x:v>41.6</x:v>
      </x:c>
      <x:c r="D217" s="1">
        <x:v>496.6</x:v>
      </x:c>
      <x:c r="E217" s="1">
        <x:v>3.3</x:v>
      </x:c>
      <x:c r="F217" s="1">
        <x:v>2.0</x:v>
      </x:c>
      <x:c r="G217" s="1">
        <x:v>10.8</x:v>
      </x:c>
      <x:c r="H217" s="1">
        <x:v>0.1</x:v>
      </x:c>
      <x:c r="I217" s="1">
        <x:v>0.4</x:v>
      </x:c>
      <x:c r="J217" s="1">
        <x:v>113.1</x:v>
      </x:c>
      <x:c r="K217" s="18">
        <x:f t="shared" si="1"/>
        <x:v>0.669317852</x:v>
      </x:c>
      <x:c r="L217" s="18">
        <x:f t="shared" si="2"/>
        <x:v>24.42484848</x:v>
      </x:c>
      <x:c r="M217" s="121"/>
      <x:c r="N217" s="121"/>
      <x:c r="O217" s="121"/>
      <x:c r="P217" s="9"/>
      <x:c r="Q217" s="9"/>
      <x:c r="R217" s="9"/>
      <x:c r="S217" s="9"/>
      <x:c r="T217" s="9"/>
      <x:c r="U217" s="9"/>
      <x:c r="V217" s="9"/>
      <x:c r="W217" s="9"/>
      <x:c r="X217" s="9"/>
      <x:c r="Y217" s="9"/>
      <x:c r="Z217" s="9"/>
    </x:row>
    <x:row r="218" ht="14.25" customHeight="1">
      <x:c r="B218" s="1" t="s">
        <x:v>489</x:v>
      </x:c>
      <x:c r="C218" s="1">
        <x:v>41.6</x:v>
      </x:c>
      <x:c r="D218" s="1">
        <x:v>496.6</x:v>
      </x:c>
      <x:c r="E218" s="1">
        <x:v>3.3</x:v>
      </x:c>
      <x:c r="F218" s="1">
        <x:v>2.0</x:v>
      </x:c>
      <x:c r="G218" s="1">
        <x:v>10.8</x:v>
      </x:c>
      <x:c r="H218" s="1">
        <x:v>0.1</x:v>
      </x:c>
      <x:c r="I218" s="1">
        <x:v>0.4</x:v>
      </x:c>
      <x:c r="J218" s="1">
        <x:v>113.1</x:v>
      </x:c>
      <x:c r="K218" s="18">
        <x:f t="shared" si="1"/>
        <x:v>0.669317852</x:v>
      </x:c>
      <x:c r="L218" s="18">
        <x:f t="shared" si="2"/>
        <x:v>24.42484848</x:v>
      </x:c>
      <x:c r="M218" s="121"/>
      <x:c r="N218" s="121"/>
      <x:c r="O218" s="121"/>
      <x:c r="P218" s="9"/>
      <x:c r="Q218" s="9"/>
      <x:c r="R218" s="9"/>
      <x:c r="S218" s="9"/>
      <x:c r="T218" s="9"/>
      <x:c r="U218" s="9"/>
      <x:c r="V218" s="9"/>
      <x:c r="W218" s="9"/>
      <x:c r="X218" s="9"/>
      <x:c r="Y218" s="9"/>
      <x:c r="Z218" s="9"/>
    </x:row>
    <x:row r="219" ht="14.25" customHeight="1">
      <x:c r="A219" s="1" t="s">
        <x:v>805</x:v>
      </x:c>
      <x:c r="B219" s="1" t="s">
        <x:v>535</x:v>
      </x:c>
      <x:c r="C219" s="1">
        <x:v>41.6</x:v>
      </x:c>
      <x:c r="D219" s="1">
        <x:v>472.3</x:v>
      </x:c>
      <x:c r="E219" s="1">
        <x:v>3.4</x:v>
      </x:c>
      <x:c r="F219" s="1">
        <x:v>5.1</x:v>
      </x:c>
      <x:c r="G219" s="1">
        <x:v>17.6</x:v>
      </x:c>
      <x:c r="H219" s="1">
        <x:v>0.1</x:v>
      </x:c>
      <x:c r="I219" s="1">
        <x:v>0.2</x:v>
      </x:c>
      <x:c r="J219" s="1">
        <x:v>110.7</x:v>
      </x:c>
      <x:c r="K219" s="18">
        <x:f t="shared" si="1"/>
        <x:v>1.090740203</x:v>
      </x:c>
      <x:c r="L219" s="18">
        <x:f t="shared" si="2"/>
        <x:v>23.22967366</x:v>
      </x:c>
      <x:c r="M219" s="119" t="n">
        <x:f>C221*Scoring!$B$34+D221/Scoring!$C$34+E221*Scoring!$D$34+WR!F221*Scoring!$E$34+WR!G221/Scoring!$F$34+WR!H221*Scoring!$G$34+WR!I221*Scoring!$H$34+K221*Scoring!$I$34+WR!L221*Scoring!$J$34+U219</x:f>
        <x:v>82.1</x:v>
      </x:c>
      <x:c r="N219" s="119" t="n">
        <x:f>C219*Scoring!$B$34+D219/Scoring!$C$34+E219*Scoring!$D$34+WR!F219*Scoring!$E$34+WR!G219/Scoring!$F$34+WR!H219*Scoring!$G$34+WR!I219*Scoring!$H$34+K219*Scoring!$I$34+WR!L219*Scoring!$J$34+U219</x:f>
        <x:v>90.59</x:v>
      </x:c>
      <x:c r="O219" s="119" t="n">
        <x:f>C220*Scoring!$B$34+D220/Scoring!$C$34+E220*Scoring!$D$34+WR!F220*Scoring!$E$34+WR!G220/Scoring!$F$34+WR!H220*Scoring!$G$34+WR!I220*Scoring!$H$34+K220*Scoring!$I$34+WR!L220*Scoring!$J$34+U219</x:f>
        <x:v>97.83999999999999</x:v>
      </x:c>
      <x:c r="P219" s="9" t="n">
        <x:f>IF(COUNTIF(Rookies!$A:$A,A219)&gt;0,1,0)</x:f>
        <x:v>0</x:v>
      </x:c>
      <x:c r="Q219" s="9"/>
      <x:c r="R219" s="9"/>
      <x:c r="S219" s="9" t="n">
        <x:f>V219/17</x:f>
        <x:v>5.328823529411765</x:v>
      </x:c>
      <x:c r="T219" s="9" t="n">
        <x:f>IF(P219=1,MAX(0,0.28*(12-S219)),0)</x:f>
        <x:v>0</x:v>
      </x:c>
      <x:c r="U219" s="9" t="n">
        <x:f>T219*17</x:f>
        <x:v>0</x:v>
      </x:c>
      <x:c r="V219" s="9" t="n">
        <x:f>C219*Scoring!$B$34+D219/Scoring!$C$34+E219*Scoring!$D$34+WR!F219*Scoring!$E$34+WR!G219/Scoring!$F$34+WR!H219*Scoring!$G$34+WR!I219*Scoring!$H$34+K219*Scoring!$I$34+WR!L219*Scoring!$J$34</x:f>
        <x:v>90.59</x:v>
      </x:c>
      <x:c r="W219" s="9"/>
      <x:c r="X219" s="9"/>
      <x:c r="Y219" s="9"/>
      <x:c r="Z219" s="9"/>
    </x:row>
    <x:row r="220" ht="14.25" customHeight="1">
      <x:c r="B220" s="1" t="s">
        <x:v>488</x:v>
      </x:c>
      <x:c r="C220" s="1">
        <x:v>43.3</x:v>
      </x:c>
      <x:c r="D220" s="1">
        <x:v>493.7</x:v>
      </x:c>
      <x:c r="E220" s="1">
        <x:v>4.0</x:v>
      </x:c>
      <x:c r="F220" s="1">
        <x:v>6.0</x:v>
      </x:c>
      <x:c r="G220" s="1">
        <x:v>22.2</x:v>
      </x:c>
      <x:c r="H220" s="1">
        <x:v>0.1</x:v>
      </x:c>
      <x:c r="I220" s="1">
        <x:v>0.0</x:v>
      </x:c>
      <x:c r="J220" s="1">
        <x:v>111.6</x:v>
      </x:c>
      <x:c r="K220" s="18">
        <x:f t="shared" si="1"/>
        <x:v>1.375820029</x:v>
      </x:c>
      <x:c r="L220" s="18">
        <x:f t="shared" si="2"/>
        <x:v>24.28221445</x:v>
      </x:c>
      <x:c r="M220" s="121"/>
      <x:c r="N220" s="121"/>
      <x:c r="O220" s="121"/>
      <x:c r="P220" s="9"/>
      <x:c r="Q220" s="9"/>
      <x:c r="R220" s="9"/>
      <x:c r="S220" s="9"/>
      <x:c r="T220" s="9"/>
      <x:c r="U220" s="9"/>
      <x:c r="V220" s="9"/>
      <x:c r="W220" s="9"/>
      <x:c r="X220" s="9"/>
      <x:c r="Y220" s="9"/>
      <x:c r="Z220" s="9"/>
    </x:row>
    <x:row r="221" ht="14.25" customHeight="1">
      <x:c r="B221" s="1" t="s">
        <x:v>489</x:v>
      </x:c>
      <x:c r="C221" s="1">
        <x:v>40.0</x:v>
      </x:c>
      <x:c r="D221" s="1">
        <x:v>451.0</x:v>
      </x:c>
      <x:c r="E221" s="1">
        <x:v>2.7</x:v>
      </x:c>
      <x:c r="F221" s="1">
        <x:v>4.2</x:v>
      </x:c>
      <x:c r="G221" s="1">
        <x:v>13.0</x:v>
      </x:c>
      <x:c r="H221" s="1">
        <x:v>0.0</x:v>
      </x:c>
      <x:c r="I221" s="1">
        <x:v>0.5</x:v>
      </x:c>
      <x:c r="J221" s="1">
        <x:v>101.6</x:v>
      </x:c>
      <x:c r="K221" s="18">
        <x:f t="shared" si="1"/>
        <x:v>0.8056603774</x:v>
      </x:c>
      <x:c r="L221" s="18">
        <x:f t="shared" si="2"/>
        <x:v>22.18205128</x:v>
      </x:c>
      <x:c r="M221" s="121"/>
      <x:c r="N221" s="121"/>
      <x:c r="O221" s="121"/>
      <x:c r="P221" s="9"/>
      <x:c r="Q221" s="9"/>
      <x:c r="R221" s="9"/>
      <x:c r="S221" s="9"/>
      <x:c r="T221" s="9"/>
      <x:c r="U221" s="9"/>
      <x:c r="V221" s="9"/>
      <x:c r="W221" s="9"/>
      <x:c r="X221" s="9"/>
      <x:c r="Y221" s="9"/>
      <x:c r="Z221" s="9"/>
    </x:row>
    <x:row r="222" ht="14.25" customHeight="1">
      <x:c r="A222" s="1" t="s">
        <x:v>806</x:v>
      </x:c>
      <x:c r="B222" s="1" t="s">
        <x:v>535</x:v>
      </x:c>
      <x:c r="C222" s="1">
        <x:v>34.7</x:v>
      </x:c>
      <x:c r="D222" s="1">
        <x:v>499.0</x:v>
      </x:c>
      <x:c r="E222" s="1">
        <x:v>4.3</x:v>
      </x:c>
      <x:c r="F222" s="1">
        <x:v>0.0</x:v>
      </x:c>
      <x:c r="G222" s="1">
        <x:v>0.0</x:v>
      </x:c>
      <x:c r="H222" s="1">
        <x:v>0.0</x:v>
      </x:c>
      <x:c r="I222" s="1">
        <x:v>0.1</x:v>
      </x:c>
      <x:c r="J222" s="1">
        <x:v>110.3</x:v>
      </x:c>
      <x:c r="K222" s="18">
        <x:f t="shared" si="1"/>
        <x:v>0</x:v>
      </x:c>
      <x:c r="L222" s="18">
        <x:f t="shared" si="2"/>
        <x:v>24.54289044</x:v>
      </x:c>
      <x:c r="M222" s="119" t="n">
        <x:f>C224*Scoring!$B$34+D224/Scoring!$C$34+E224*Scoring!$D$34+WR!F224*Scoring!$E$34+WR!G224/Scoring!$F$34+WR!H224*Scoring!$G$34+WR!I224*Scoring!$H$34+K224*Scoring!$I$34+WR!L224*Scoring!$J$34+U222</x:f>
        <x:v>72.45</x:v>
      </x:c>
      <x:c r="N222" s="119" t="n">
        <x:f>C222*Scoring!$B$34+D222/Scoring!$C$34+E222*Scoring!$D$34+WR!F222*Scoring!$E$34+WR!G222/Scoring!$F$34+WR!H222*Scoring!$G$34+WR!I222*Scoring!$H$34+K222*Scoring!$I$34+WR!L222*Scoring!$J$34+U222</x:f>
        <x:v>92.95</x:v>
      </x:c>
      <x:c r="O222" s="119" t="n">
        <x:f>C223*Scoring!$B$34+D223/Scoring!$C$34+E223*Scoring!$D$34+WR!F223*Scoring!$E$34+WR!G223/Scoring!$F$34+WR!H223*Scoring!$G$34+WR!I223*Scoring!$H$34+K223*Scoring!$I$34+WR!L223*Scoring!$J$34+U222</x:f>
        <x:v>113.9</x:v>
      </x:c>
      <x:c r="P222" s="9" t="n">
        <x:f>IF(COUNTIF(Rookies!$A:$A,A222)&gt;0,1,0)</x:f>
        <x:v>0</x:v>
      </x:c>
      <x:c r="Q222" s="9"/>
      <x:c r="R222" s="9"/>
      <x:c r="S222" s="9" t="n">
        <x:f>V222/17</x:f>
        <x:v>5.4676470588235295</x:v>
      </x:c>
      <x:c r="T222" s="9" t="n">
        <x:f>IF(P222=1,MAX(0,0.28*(12-S222)),0)</x:f>
        <x:v>0</x:v>
      </x:c>
      <x:c r="U222" s="9" t="n">
        <x:f>T222*17</x:f>
        <x:v>0</x:v>
      </x:c>
      <x:c r="V222" s="9" t="n">
        <x:f>C222*Scoring!$B$34+D222/Scoring!$C$34+E222*Scoring!$D$34+WR!F222*Scoring!$E$34+WR!G222/Scoring!$F$34+WR!H222*Scoring!$G$34+WR!I222*Scoring!$H$34+K222*Scoring!$I$34+WR!L222*Scoring!$J$34</x:f>
        <x:v>92.95</x:v>
      </x:c>
      <x:c r="W222" s="9"/>
      <x:c r="X222" s="9"/>
      <x:c r="Y222" s="9"/>
      <x:c r="Z222" s="9"/>
    </x:row>
    <x:row r="223" ht="14.25" customHeight="1">
      <x:c r="B223" s="1" t="s">
        <x:v>488</x:v>
      </x:c>
      <x:c r="C223" s="1">
        <x:v>39.0</x:v>
      </x:c>
      <x:c r="D223" s="1">
        <x:v>584.0</x:v>
      </x:c>
      <x:c r="E223" s="1">
        <x:v>6.0</x:v>
      </x:c>
      <x:c r="F223" s="1">
        <x:v>0.0</x:v>
      </x:c>
      <x:c r="G223" s="1">
        <x:v>0.0</x:v>
      </x:c>
      <x:c r="H223" s="1">
        <x:v>0.0</x:v>
      </x:c>
      <x:c r="I223" s="1">
        <x:v>0.0</x:v>
      </x:c>
      <x:c r="J223" s="1">
        <x:v>120.7</x:v>
      </x:c>
      <x:c r="K223" s="18">
        <x:f t="shared" si="1"/>
        <x:v>0</x:v>
      </x:c>
      <x:c r="L223" s="18">
        <x:f t="shared" si="2"/>
        <x:v>28.72354312</x:v>
      </x:c>
      <x:c r="M223" s="121"/>
      <x:c r="N223" s="121"/>
      <x:c r="O223" s="121"/>
      <x:c r="P223" s="9"/>
      <x:c r="Q223" s="9"/>
      <x:c r="R223" s="9"/>
      <x:c r="S223" s="9"/>
      <x:c r="T223" s="9"/>
      <x:c r="U223" s="9"/>
      <x:c r="V223" s="9"/>
      <x:c r="W223" s="9"/>
      <x:c r="X223" s="9"/>
      <x:c r="Y223" s="9"/>
      <x:c r="Z223" s="9"/>
    </x:row>
    <x:row r="224" ht="14.25" customHeight="1">
      <x:c r="B224" s="1" t="s">
        <x:v>489</x:v>
      </x:c>
      <x:c r="C224" s="1">
        <x:v>30.3</x:v>
      </x:c>
      <x:c r="D224" s="1">
        <x:v>414.0</x:v>
      </x:c>
      <x:c r="E224" s="1">
        <x:v>2.7</x:v>
      </x:c>
      <x:c r="F224" s="1">
        <x:v>0.0</x:v>
      </x:c>
      <x:c r="G224" s="1">
        <x:v>0.0</x:v>
      </x:c>
      <x:c r="H224" s="1">
        <x:v>0.0</x:v>
      </x:c>
      <x:c r="I224" s="1">
        <x:v>0.3</x:v>
      </x:c>
      <x:c r="J224" s="1">
        <x:v>91.8</x:v>
      </x:c>
      <x:c r="K224" s="18">
        <x:f t="shared" si="1"/>
        <x:v>0</x:v>
      </x:c>
      <x:c r="L224" s="18">
        <x:f t="shared" si="2"/>
        <x:v>20.36223776</x:v>
      </x:c>
      <x:c r="M224" s="121"/>
      <x:c r="N224" s="121"/>
      <x:c r="O224" s="121"/>
      <x:c r="P224" s="9"/>
      <x:c r="Q224" s="9"/>
      <x:c r="R224" s="9"/>
      <x:c r="S224" s="9"/>
      <x:c r="T224" s="9"/>
      <x:c r="U224" s="9"/>
      <x:c r="V224" s="9"/>
      <x:c r="W224" s="9"/>
      <x:c r="X224" s="9"/>
      <x:c r="Y224" s="9"/>
      <x:c r="Z224" s="9"/>
    </x:row>
    <x:row r="225" ht="14.25" customHeight="1">
      <x:c r="A225" s="1" t="s">
        <x:v>807</x:v>
      </x:c>
      <x:c r="B225" s="1" t="s">
        <x:v>545</x:v>
      </x:c>
      <x:c r="C225" s="1">
        <x:v>41.2</x:v>
      </x:c>
      <x:c r="D225" s="1">
        <x:v>508.2</x:v>
      </x:c>
      <x:c r="E225" s="1">
        <x:v>2.9</x:v>
      </x:c>
      <x:c r="F225" s="1">
        <x:v>2.1</x:v>
      </x:c>
      <x:c r="G225" s="1">
        <x:v>10.8</x:v>
      </x:c>
      <x:c r="H225" s="1">
        <x:v>0.0</x:v>
      </x:c>
      <x:c r="I225" s="1">
        <x:v>0.7</x:v>
      </x:c>
      <x:c r="J225" s="1">
        <x:v>109.2</x:v>
      </x:c>
      <x:c r="K225" s="18">
        <x:f t="shared" si="1"/>
        <x:v>0.669317852</x:v>
      </x:c>
      <x:c r="L225" s="18">
        <x:f t="shared" si="2"/>
        <x:v>24.99538462</x:v>
      </x:c>
      <x:c r="M225" s="119" t="n">
        <x:f>C227*Scoring!$B$34+D227/Scoring!$C$34+E227*Scoring!$D$34+WR!F227*Scoring!$E$34+WR!G227/Scoring!$F$34+WR!H227*Scoring!$G$34+WR!I227*Scoring!$H$34+K227*Scoring!$I$34+WR!L227*Scoring!$J$34+U225</x:f>
        <x:v>119.584</x:v>
      </x:c>
      <x:c r="N225" s="119" t="n">
        <x:f>C225*Scoring!$B$34+D225/Scoring!$C$34+E225*Scoring!$D$34+WR!F225*Scoring!$E$34+WR!G225/Scoring!$F$34+WR!H225*Scoring!$G$34+WR!I225*Scoring!$H$34+K225*Scoring!$I$34+WR!L225*Scoring!$J$34+U225</x:f>
        <x:v>121.344</x:v>
      </x:c>
      <x:c r="O225" s="119" t="n">
        <x:f>C226*Scoring!$B$34+D226/Scoring!$C$34+E226*Scoring!$D$34+WR!F226*Scoring!$E$34+WR!G226/Scoring!$F$34+WR!H226*Scoring!$G$34+WR!I226*Scoring!$H$34+K226*Scoring!$I$34+WR!L226*Scoring!$J$34+U225</x:f>
        <x:v>123.714</x:v>
      </x:c>
      <x:c r="P225" s="9" t="n">
        <x:f>IF(COUNTIF(Rookies!$A:$A,A225)&gt;0,1,0)</x:f>
        <x:v>1</x:v>
      </x:c>
      <x:c r="Q225" s="9"/>
      <x:c r="R225" s="9"/>
      <x:c r="S225" s="9" t="n">
        <x:f>V225/17</x:f>
        <x:v>5.247058823529411</x:v>
      </x:c>
      <x:c r="T225" s="9" t="n">
        <x:f>IF(P225=1,MAX(0,0.28*(12-S225)),0)</x:f>
        <x:v>1.8908235294117652</x:v>
      </x:c>
      <x:c r="U225" s="9" t="n">
        <x:f>T225*17</x:f>
        <x:v>32.144000000000005</x:v>
      </x:c>
      <x:c r="V225" s="9" t="n">
        <x:f>C225*Scoring!$B$34+D225/Scoring!$C$34+E225*Scoring!$D$34+WR!F225*Scoring!$E$34+WR!G225/Scoring!$F$34+WR!H225*Scoring!$G$34+WR!I225*Scoring!$H$34+K225*Scoring!$I$34+WR!L225*Scoring!$J$34</x:f>
        <x:v>89.19999999999999</x:v>
      </x:c>
      <x:c r="W225" s="9"/>
      <x:c r="X225" s="9"/>
      <x:c r="Y225" s="9"/>
      <x:c r="Z225" s="9"/>
    </x:row>
    <x:row r="226" ht="14.25" customHeight="1">
      <x:c r="B226" s="1" t="s">
        <x:v>488</x:v>
      </x:c>
      <x:c r="C226" s="1">
        <x:v>42.0</x:v>
      </x:c>
      <x:c r="D226" s="1">
        <x:v>512.0</x:v>
      </x:c>
      <x:c r="E226" s="1">
        <x:v>3.0</x:v>
      </x:c>
      <x:c r="F226" s="1">
        <x:v>2.2</x:v>
      </x:c>
      <x:c r="G226" s="1">
        <x:v>11.7</x:v>
      </x:c>
      <x:c r="H226" s="1">
        <x:v>0.1</x:v>
      </x:c>
      <x:c r="I226" s="1">
        <x:v>0.4</x:v>
      </x:c>
      <x:c r="J226" s="1">
        <x:v>109.6</x:v>
      </x:c>
      <x:c r="K226" s="18">
        <x:f t="shared" si="1"/>
        <x:v>0.7250943396</x:v>
      </x:c>
      <x:c r="L226" s="18">
        <x:f t="shared" si="2"/>
        <x:v>25.18228438</x:v>
      </x:c>
      <x:c r="M226" s="121"/>
      <x:c r="N226" s="121"/>
      <x:c r="O226" s="121"/>
      <x:c r="P226" s="9"/>
      <x:c r="Q226" s="9"/>
      <x:c r="R226" s="9"/>
      <x:c r="S226" s="9"/>
      <x:c r="T226" s="9"/>
      <x:c r="U226" s="9"/>
      <x:c r="V226" s="9"/>
      <x:c r="W226" s="9"/>
      <x:c r="X226" s="9"/>
      <x:c r="Y226" s="9"/>
      <x:c r="Z226" s="9"/>
    </x:row>
    <x:row r="227" ht="14.25" customHeight="1">
      <x:c r="B227" s="1" t="s">
        <x:v>489</x:v>
      </x:c>
      <x:c r="C227" s="1">
        <x:v>40.4</x:v>
      </x:c>
      <x:c r="D227" s="1">
        <x:v>504.4</x:v>
      </x:c>
      <x:c r="E227" s="1">
        <x:v>2.8</x:v>
      </x:c>
      <x:c r="F227" s="1">
        <x:v>2.0</x:v>
      </x:c>
      <x:c r="G227" s="1">
        <x:v>10.0</x:v>
      </x:c>
      <x:c r="H227" s="1">
        <x:v>0.0</x:v>
      </x:c>
      <x:c r="I227" s="1">
        <x:v>1.0</x:v>
      </x:c>
      <x:c r="J227" s="1">
        <x:v>101.2</x:v>
      </x:c>
      <x:c r="K227" s="18">
        <x:f t="shared" si="1"/>
        <x:v>0.6197387518</x:v>
      </x:c>
      <x:c r="L227" s="18">
        <x:f t="shared" si="2"/>
        <x:v>24.80848485</x:v>
      </x:c>
      <x:c r="M227" s="121"/>
      <x:c r="N227" s="121"/>
      <x:c r="O227" s="121"/>
      <x:c r="P227" s="9"/>
      <x:c r="Q227" s="9"/>
      <x:c r="R227" s="9"/>
      <x:c r="S227" s="9"/>
      <x:c r="T227" s="9"/>
      <x:c r="U227" s="9"/>
      <x:c r="V227" s="9"/>
      <x:c r="W227" s="9"/>
      <x:c r="X227" s="9"/>
      <x:c r="Y227" s="9"/>
      <x:c r="Z227" s="9"/>
    </x:row>
    <x:row r="228" ht="14.25" customHeight="1">
      <x:c r="A228" s="1" t="s">
        <x:v>808</x:v>
      </x:c>
      <x:c r="B228" s="1" t="s">
        <x:v>497</x:v>
      </x:c>
      <x:c r="C228" s="1">
        <x:v>39.5</x:v>
      </x:c>
      <x:c r="D228" s="1">
        <x:v>517.8</x:v>
      </x:c>
      <x:c r="E228" s="1">
        <x:v>2.9</x:v>
      </x:c>
      <x:c r="F228" s="1">
        <x:v>0.0</x:v>
      </x:c>
      <x:c r="G228" s="1">
        <x:v>0.0</x:v>
      </x:c>
      <x:c r="H228" s="1">
        <x:v>0.0</x:v>
      </x:c>
      <x:c r="I228" s="1">
        <x:v>0.4</x:v>
      </x:c>
      <x:c r="J228" s="1">
        <x:v>107.9</x:v>
      </x:c>
      <x:c r="K228" s="18">
        <x:f t="shared" si="1"/>
        <x:v>0</x:v>
      </x:c>
      <x:c r="L228" s="18">
        <x:f t="shared" si="2"/>
        <x:v>25.46755245</x:v>
      </x:c>
      <x:c r="M228" s="119" t="n">
        <x:f>C230*Scoring!$B$34+D230/Scoring!$C$34+E230*Scoring!$D$34+WR!F230*Scoring!$E$34+WR!G230/Scoring!$F$34+WR!H230*Scoring!$G$34+WR!I230*Scoring!$H$34+K230*Scoring!$I$34+WR!L230*Scoring!$J$34+U228</x:f>
        <x:v>88.53</x:v>
      </x:c>
      <x:c r="N228" s="119" t="n">
        <x:f>C228*Scoring!$B$34+D228/Scoring!$C$34+E228*Scoring!$D$34+WR!F228*Scoring!$E$34+WR!G228/Scoring!$F$34+WR!H228*Scoring!$G$34+WR!I228*Scoring!$H$34+K228*Scoring!$I$34+WR!L228*Scoring!$J$34+U228</x:f>
        <x:v>88.53</x:v>
      </x:c>
      <x:c r="O228" s="119" t="n">
        <x:f>C229*Scoring!$B$34+D229/Scoring!$C$34+E229*Scoring!$D$34+WR!F229*Scoring!$E$34+WR!G229/Scoring!$F$34+WR!H229*Scoring!$G$34+WR!I229*Scoring!$H$34+K229*Scoring!$I$34+WR!L229*Scoring!$J$34+U228</x:f>
        <x:v>88.53</x:v>
      </x:c>
      <x:c r="P228" s="9" t="n">
        <x:f>IF(COUNTIF(Rookies!$A:$A,A228)&gt;0,1,0)</x:f>
        <x:v>0</x:v>
      </x:c>
      <x:c r="Q228" s="9"/>
      <x:c r="R228" s="9"/>
      <x:c r="S228" s="9" t="n">
        <x:f>V228/17</x:f>
        <x:v>5.20764705882353</x:v>
      </x:c>
      <x:c r="T228" s="9" t="n">
        <x:f>IF(P228=1,MAX(0,0.28*(12-S228)),0)</x:f>
        <x:v>0</x:v>
      </x:c>
      <x:c r="U228" s="9" t="n">
        <x:f>T228*17</x:f>
        <x:v>0</x:v>
      </x:c>
      <x:c r="V228" s="9" t="n">
        <x:f>C228*Scoring!$B$34+D228/Scoring!$C$34+E228*Scoring!$D$34+WR!F228*Scoring!$E$34+WR!G228/Scoring!$F$34+WR!H228*Scoring!$G$34+WR!I228*Scoring!$H$34+K228*Scoring!$I$34+WR!L228*Scoring!$J$34</x:f>
        <x:v>88.53</x:v>
      </x:c>
      <x:c r="W228" s="9"/>
      <x:c r="X228" s="9"/>
      <x:c r="Y228" s="9"/>
      <x:c r="Z228" s="9"/>
    </x:row>
    <x:row r="229" ht="14.25" customHeight="1">
      <x:c r="B229" s="1" t="s">
        <x:v>488</x:v>
      </x:c>
      <x:c r="C229" s="1">
        <x:v>39.5</x:v>
      </x:c>
      <x:c r="D229" s="1">
        <x:v>517.8</x:v>
      </x:c>
      <x:c r="E229" s="1">
        <x:v>2.9</x:v>
      </x:c>
      <x:c r="F229" s="1">
        <x:v>0.0</x:v>
      </x:c>
      <x:c r="G229" s="1">
        <x:v>0.0</x:v>
      </x:c>
      <x:c r="H229" s="1">
        <x:v>0.0</x:v>
      </x:c>
      <x:c r="I229" s="1">
        <x:v>0.4</x:v>
      </x:c>
      <x:c r="J229" s="1">
        <x:v>108.2</x:v>
      </x:c>
      <x:c r="K229" s="18">
        <x:f t="shared" si="1"/>
        <x:v>0</x:v>
      </x:c>
      <x:c r="L229" s="18">
        <x:f t="shared" si="2"/>
        <x:v>25.46755245</x:v>
      </x:c>
      <x:c r="M229" s="121"/>
      <x:c r="N229" s="121"/>
      <x:c r="O229" s="121"/>
      <x:c r="P229" s="9"/>
      <x:c r="Q229" s="9"/>
      <x:c r="R229" s="9"/>
      <x:c r="S229" s="9"/>
      <x:c r="T229" s="9"/>
      <x:c r="U229" s="9"/>
      <x:c r="V229" s="9"/>
      <x:c r="W229" s="9"/>
      <x:c r="X229" s="9"/>
      <x:c r="Y229" s="9"/>
      <x:c r="Z229" s="9"/>
    </x:row>
    <x:row r="230" ht="14.25" customHeight="1">
      <x:c r="B230" s="1" t="s">
        <x:v>489</x:v>
      </x:c>
      <x:c r="C230" s="1">
        <x:v>39.5</x:v>
      </x:c>
      <x:c r="D230" s="1">
        <x:v>517.8</x:v>
      </x:c>
      <x:c r="E230" s="1">
        <x:v>2.9</x:v>
      </x:c>
      <x:c r="F230" s="1">
        <x:v>0.0</x:v>
      </x:c>
      <x:c r="G230" s="1">
        <x:v>0.0</x:v>
      </x:c>
      <x:c r="H230" s="1">
        <x:v>0.0</x:v>
      </x:c>
      <x:c r="I230" s="1">
        <x:v>0.4</x:v>
      </x:c>
      <x:c r="J230" s="1">
        <x:v>108.2</x:v>
      </x:c>
      <x:c r="K230" s="18">
        <x:f t="shared" si="1"/>
        <x:v>0</x:v>
      </x:c>
      <x:c r="L230" s="18">
        <x:f t="shared" si="2"/>
        <x:v>25.46755245</x:v>
      </x:c>
      <x:c r="M230" s="121"/>
      <x:c r="N230" s="121"/>
      <x:c r="O230" s="121"/>
      <x:c r="P230" s="9"/>
      <x:c r="Q230" s="9"/>
      <x:c r="R230" s="9"/>
      <x:c r="S230" s="9"/>
      <x:c r="T230" s="9"/>
      <x:c r="U230" s="9"/>
      <x:c r="V230" s="9"/>
      <x:c r="W230" s="9"/>
      <x:c r="X230" s="9"/>
      <x:c r="Y230" s="9"/>
      <x:c r="Z230" s="9"/>
    </x:row>
    <x:row r="231" ht="14.25" customHeight="1">
      <x:c r="A231" s="1" t="s">
        <x:v>809</x:v>
      </x:c>
      <x:c r="B231" s="1" t="s">
        <x:v>521</x:v>
      </x:c>
      <x:c r="C231" s="1">
        <x:v>37.8</x:v>
      </x:c>
      <x:c r="D231" s="1">
        <x:v>529.1</x:v>
      </x:c>
      <x:c r="E231" s="1">
        <x:v>2.9</x:v>
      </x:c>
      <x:c r="F231" s="1">
        <x:v>0.5</x:v>
      </x:c>
      <x:c r="G231" s="1">
        <x:v>3.5</x:v>
      </x:c>
      <x:c r="H231" s="1">
        <x:v>0.0</x:v>
      </x:c>
      <x:c r="I231" s="1">
        <x:v>0.7</x:v>
      </x:c>
      <x:c r="J231" s="1">
        <x:v>106.8</x:v>
      </x:c>
      <x:c r="K231" s="18">
        <x:f t="shared" si="1"/>
        <x:v>0.2169085631</x:v>
      </x:c>
      <x:c r="L231" s="18">
        <x:f t="shared" si="2"/>
        <x:v>26.02333333</x:v>
      </x:c>
      <x:c r="M231" s="119" t="n">
        <x:f>C233*Scoring!$B$34+D233/Scoring!$C$34+E233*Scoring!$D$34+WR!F233*Scoring!$E$34+WR!G233/Scoring!$F$34+WR!H233*Scoring!$G$34+WR!I233*Scoring!$H$34+K233*Scoring!$I$34+WR!L233*Scoring!$J$34+U231</x:f>
        <x:v>113.6592</x:v>
      </x:c>
      <x:c r="N231" s="119" t="n">
        <x:f>C231*Scoring!$B$34+D231/Scoring!$C$34+E231*Scoring!$D$34+WR!F231*Scoring!$E$34+WR!G231/Scoring!$F$34+WR!H231*Scoring!$G$34+WR!I231*Scoring!$H$34+K231*Scoring!$I$34+WR!L231*Scoring!$J$34+U231</x:f>
        <x:v>121.0992</x:v>
      </x:c>
      <x:c r="O231" s="119" t="n">
        <x:f>C232*Scoring!$B$34+D232/Scoring!$C$34+E232*Scoring!$D$34+WR!F232*Scoring!$E$34+WR!G232/Scoring!$F$34+WR!H232*Scoring!$G$34+WR!I232*Scoring!$H$34+K232*Scoring!$I$34+WR!L232*Scoring!$J$34+U231</x:f>
        <x:v>127.9392</x:v>
      </x:c>
      <x:c r="P231" s="9" t="n">
        <x:f>IF(COUNTIF(Rookies!$A:$A,A231)&gt;0,1,0)</x:f>
        <x:v>1</x:v>
      </x:c>
      <x:c r="Q231" s="9"/>
      <x:c r="R231" s="9"/>
      <x:c r="S231" s="9" t="n">
        <x:f>V231/17</x:f>
        <x:v>5.227058823529411</x:v>
      </x:c>
      <x:c r="T231" s="9" t="n">
        <x:f>IF(P231=1,MAX(0,0.28*(12-S231)),0)</x:f>
        <x:v>1.896423529411765</x:v>
      </x:c>
      <x:c r="U231" s="9" t="n">
        <x:f>T231*17</x:f>
        <x:v>32.239200000000004</x:v>
      </x:c>
      <x:c r="V231" s="9" t="n">
        <x:f>C231*Scoring!$B$34+D231/Scoring!$C$34+E231*Scoring!$D$34+WR!F231*Scoring!$E$34+WR!G231/Scoring!$F$34+WR!H231*Scoring!$G$34+WR!I231*Scoring!$H$34+K231*Scoring!$I$34+WR!L231*Scoring!$J$34</x:f>
        <x:v>88.86</x:v>
      </x:c>
      <x:c r="W231" s="9"/>
      <x:c r="X231" s="9"/>
      <x:c r="Y231" s="9"/>
      <x:c r="Z231" s="9"/>
    </x:row>
    <x:row r="232" ht="14.25" customHeight="1">
      <x:c r="B232" s="1" t="s">
        <x:v>488</x:v>
      </x:c>
      <x:c r="C232" s="1">
        <x:v>40.0</x:v>
      </x:c>
      <x:c r="D232" s="1">
        <x:v>574.0</x:v>
      </x:c>
      <x:c r="E232" s="1">
        <x:v>3.0</x:v>
      </x:c>
      <x:c r="F232" s="1">
        <x:v>1.0</x:v>
      </x:c>
      <x:c r="G232" s="1">
        <x:v>7.0</x:v>
      </x:c>
      <x:c r="H232" s="1">
        <x:v>0.0</x:v>
      </x:c>
      <x:c r="I232" s="1">
        <x:v>0.4</x:v>
      </x:c>
      <x:c r="J232" s="1">
        <x:v>102.0</x:v>
      </x:c>
      <x:c r="K232" s="18">
        <x:f t="shared" si="1"/>
        <x:v>0.4338171263</x:v>
      </x:c>
      <x:c r="L232" s="18">
        <x:f t="shared" si="2"/>
        <x:v>28.23170163</x:v>
      </x:c>
      <x:c r="M232" s="121"/>
      <x:c r="N232" s="121"/>
      <x:c r="O232" s="121"/>
      <x:c r="P232" s="9"/>
      <x:c r="Q232" s="9"/>
      <x:c r="R232" s="9"/>
      <x:c r="S232" s="9"/>
      <x:c r="T232" s="9"/>
      <x:c r="U232" s="9"/>
      <x:c r="V232" s="9"/>
      <x:c r="W232" s="9"/>
      <x:c r="X232" s="9"/>
      <x:c r="Y232" s="9"/>
      <x:c r="Z232" s="9"/>
    </x:row>
    <x:row r="233" ht="14.25" customHeight="1">
      <x:c r="B233" s="1" t="s">
        <x:v>489</x:v>
      </x:c>
      <x:c r="C233" s="1">
        <x:v>35.6</x:v>
      </x:c>
      <x:c r="D233" s="1">
        <x:v>484.2</x:v>
      </x:c>
      <x:c r="E233" s="1">
        <x:v>2.7</x:v>
      </x:c>
      <x:c r="F233" s="1">
        <x:v>0.0</x:v>
      </x:c>
      <x:c r="G233" s="1">
        <x:v>0.0</x:v>
      </x:c>
      <x:c r="H233" s="1">
        <x:v>0.0</x:v>
      </x:c>
      <x:c r="I233" s="1">
        <x:v>1.0</x:v>
      </x:c>
      <x:c r="J233" s="1">
        <x:v>101.8</x:v>
      </x:c>
      <x:c r="K233" s="18">
        <x:f t="shared" si="1"/>
        <x:v>0</x:v>
      </x:c>
      <x:c r="L233" s="18">
        <x:f t="shared" si="2"/>
        <x:v>23.81496503</x:v>
      </x:c>
      <x:c r="M233" s="121"/>
      <x:c r="N233" s="121"/>
      <x:c r="O233" s="121"/>
      <x:c r="P233" s="9"/>
      <x:c r="Q233" s="9"/>
      <x:c r="R233" s="9"/>
      <x:c r="S233" s="9"/>
      <x:c r="T233" s="9"/>
      <x:c r="U233" s="9"/>
      <x:c r="V233" s="9"/>
      <x:c r="W233" s="9"/>
      <x:c r="X233" s="9"/>
      <x:c r="Y233" s="9"/>
      <x:c r="Z233" s="9"/>
    </x:row>
    <x:row r="234" ht="14.25" customHeight="1">
      <x:c r="A234" s="1" t="s">
        <x:v>810</x:v>
      </x:c>
      <x:c r="B234" s="1" t="s">
        <x:v>521</x:v>
      </x:c>
      <x:c r="C234" s="1">
        <x:v>38.0</x:v>
      </x:c>
      <x:c r="D234" s="1">
        <x:v>519.0</x:v>
      </x:c>
      <x:c r="E234" s="1">
        <x:v>3.0</x:v>
      </x:c>
      <x:c r="F234" s="1">
        <x:v>1.0</x:v>
      </x:c>
      <x:c r="G234" s="1">
        <x:v>6.0</x:v>
      </x:c>
      <x:c r="H234" s="1">
        <x:v>0.0</x:v>
      </x:c>
      <x:c r="I234" s="1">
        <x:v>1.0</x:v>
      </x:c>
      <x:c r="J234" s="1">
        <x:v>106.5</x:v>
      </x:c>
      <x:c r="K234" s="18">
        <x:f t="shared" si="1"/>
        <x:v>0.3718432511</x:v>
      </x:c>
      <x:c r="L234" s="18">
        <x:f t="shared" si="2"/>
        <x:v>25.52657343</x:v>
      </x:c>
      <x:c r="M234" s="119" t="n">
        <x:f>C236*Scoring!$B$34+D236/Scoring!$C$34+E236*Scoring!$D$34+WR!F236*Scoring!$E$34+WR!G236/Scoring!$F$34+WR!H236*Scoring!$G$34+WR!I236*Scoring!$H$34+K236*Scoring!$I$34+WR!L236*Scoring!$J$34+U234</x:f>
        <x:v>88.5</x:v>
      </x:c>
      <x:c r="N234" s="119" t="n">
        <x:f>C234*Scoring!$B$34+D234/Scoring!$C$34+E234*Scoring!$D$34+WR!F234*Scoring!$E$34+WR!G234/Scoring!$F$34+WR!H234*Scoring!$G$34+WR!I234*Scoring!$H$34+K234*Scoring!$I$34+WR!L234*Scoring!$J$34+U234</x:f>
        <x:v>88.5</x:v>
      </x:c>
      <x:c r="O234" s="119" t="n">
        <x:f>C235*Scoring!$B$34+D235/Scoring!$C$34+E235*Scoring!$D$34+WR!F235*Scoring!$E$34+WR!G235/Scoring!$F$34+WR!H235*Scoring!$G$34+WR!I235*Scoring!$H$34+K235*Scoring!$I$34+WR!L235*Scoring!$J$34+U234</x:f>
        <x:v>88.5</x:v>
      </x:c>
      <x:c r="P234" s="9" t="n">
        <x:f>IF(COUNTIF(Rookies!$A:$A,A234)&gt;0,1,0)</x:f>
        <x:v>0</x:v>
      </x:c>
      <x:c r="Q234" s="9"/>
      <x:c r="R234" s="9"/>
      <x:c r="S234" s="9" t="n">
        <x:f>V234/17</x:f>
        <x:v>5.205882352941177</x:v>
      </x:c>
      <x:c r="T234" s="9" t="n">
        <x:f>IF(P234=1,MAX(0,0.28*(12-S234)),0)</x:f>
        <x:v>0</x:v>
      </x:c>
      <x:c r="U234" s="9" t="n">
        <x:f>T234*17</x:f>
        <x:v>0</x:v>
      </x:c>
      <x:c r="V234" s="9" t="n">
        <x:f>C234*Scoring!$B$34+D234/Scoring!$C$34+E234*Scoring!$D$34+WR!F234*Scoring!$E$34+WR!G234/Scoring!$F$34+WR!H234*Scoring!$G$34+WR!I234*Scoring!$H$34+K234*Scoring!$I$34+WR!L234*Scoring!$J$34</x:f>
        <x:v>88.5</x:v>
      </x:c>
      <x:c r="W234" s="9"/>
      <x:c r="X234" s="9"/>
      <x:c r="Y234" s="9"/>
      <x:c r="Z234" s="9"/>
    </x:row>
    <x:row r="235" ht="14.25" customHeight="1">
      <x:c r="B235" s="1" t="s">
        <x:v>488</x:v>
      </x:c>
      <x:c r="C235" s="1">
        <x:v>38.0</x:v>
      </x:c>
      <x:c r="D235" s="1">
        <x:v>519.0</x:v>
      </x:c>
      <x:c r="E235" s="1">
        <x:v>3.0</x:v>
      </x:c>
      <x:c r="F235" s="1">
        <x:v>1.0</x:v>
      </x:c>
      <x:c r="G235" s="1">
        <x:v>6.0</x:v>
      </x:c>
      <x:c r="H235" s="1">
        <x:v>0.0</x:v>
      </x:c>
      <x:c r="I235" s="1">
        <x:v>1.0</x:v>
      </x:c>
      <x:c r="J235" s="1">
        <x:v>98.0</x:v>
      </x:c>
      <x:c r="K235" s="18">
        <x:f t="shared" si="1"/>
        <x:v>0.3718432511</x:v>
      </x:c>
      <x:c r="L235" s="18">
        <x:f t="shared" si="2"/>
        <x:v>25.52657343</x:v>
      </x:c>
      <x:c r="M235" s="121"/>
      <x:c r="N235" s="121"/>
      <x:c r="O235" s="121"/>
      <x:c r="P235" s="9"/>
      <x:c r="Q235" s="9"/>
      <x:c r="R235" s="9"/>
      <x:c r="S235" s="9"/>
      <x:c r="T235" s="9"/>
      <x:c r="U235" s="9"/>
      <x:c r="V235" s="9"/>
      <x:c r="W235" s="9"/>
      <x:c r="X235" s="9"/>
      <x:c r="Y235" s="9"/>
      <x:c r="Z235" s="9"/>
    </x:row>
    <x:row r="236" ht="14.25" customHeight="1">
      <x:c r="B236" s="1" t="s">
        <x:v>489</x:v>
      </x:c>
      <x:c r="C236" s="1">
        <x:v>38.0</x:v>
      </x:c>
      <x:c r="D236" s="1">
        <x:v>519.0</x:v>
      </x:c>
      <x:c r="E236" s="1">
        <x:v>3.0</x:v>
      </x:c>
      <x:c r="F236" s="1">
        <x:v>1.0</x:v>
      </x:c>
      <x:c r="G236" s="1">
        <x:v>6.0</x:v>
      </x:c>
      <x:c r="H236" s="1">
        <x:v>0.0</x:v>
      </x:c>
      <x:c r="I236" s="1">
        <x:v>1.0</x:v>
      </x:c>
      <x:c r="J236" s="1">
        <x:v>98.0</x:v>
      </x:c>
      <x:c r="K236" s="18">
        <x:f t="shared" si="1"/>
        <x:v>0.3718432511</x:v>
      </x:c>
      <x:c r="L236" s="18">
        <x:f t="shared" si="2"/>
        <x:v>25.52657343</x:v>
      </x:c>
      <x:c r="M236" s="121"/>
      <x:c r="N236" s="121"/>
      <x:c r="O236" s="121"/>
      <x:c r="P236" s="9"/>
      <x:c r="Q236" s="9"/>
      <x:c r="R236" s="9"/>
      <x:c r="S236" s="9"/>
      <x:c r="T236" s="9"/>
      <x:c r="U236" s="9"/>
      <x:c r="V236" s="9"/>
      <x:c r="W236" s="9"/>
      <x:c r="X236" s="9"/>
      <x:c r="Y236" s="9"/>
      <x:c r="Z236" s="9"/>
    </x:row>
    <x:row r="237" ht="14.25" customHeight="1">
      <x:c r="A237" s="1" t="s">
        <x:v>811</x:v>
      </x:c>
      <x:c r="B237" s="1" t="s">
        <x:v>529</x:v>
      </x:c>
      <x:c r="C237" s="1">
        <x:v>39.6</x:v>
      </x:c>
      <x:c r="D237" s="1">
        <x:v>511.4</x:v>
      </x:c>
      <x:c r="E237" s="1">
        <x:v>2.6</x:v>
      </x:c>
      <x:c r="F237" s="1">
        <x:v>1.0</x:v>
      </x:c>
      <x:c r="G237" s="1">
        <x:v>5.5</x:v>
      </x:c>
      <x:c r="H237" s="1">
        <x:v>0.0</x:v>
      </x:c>
      <x:c r="I237" s="1">
        <x:v>0.7</x:v>
      </x:c>
      <x:c r="J237" s="1">
        <x:v>105.4</x:v>
      </x:c>
      <x:c r="K237" s="18">
        <x:f t="shared" si="1"/>
        <x:v>0.3408563135</x:v>
      </x:c>
      <x:c r="L237" s="18">
        <x:f t="shared" si="2"/>
        <x:v>25.15277389</x:v>
      </x:c>
      <x:c r="M237" s="119" t="n">
        <x:f>C239*Scoring!$B$34+D239/Scoring!$C$34+E239*Scoring!$D$34+WR!F239*Scoring!$E$34+WR!G239/Scoring!$F$34+WR!H239*Scoring!$G$34+WR!I239*Scoring!$H$34+K239*Scoring!$I$34+WR!L239*Scoring!$J$34+U237</x:f>
        <x:v>105.9308</x:v>
      </x:c>
      <x:c r="N237" s="119" t="n">
        <x:f>C237*Scoring!$B$34+D237/Scoring!$C$34+E237*Scoring!$D$34+WR!F237*Scoring!$E$34+WR!G237/Scoring!$F$34+WR!H237*Scoring!$G$34+WR!I237*Scoring!$H$34+K237*Scoring!$I$34+WR!L237*Scoring!$J$34+U237</x:f>
        <x:v>119.32079999999999</x:v>
      </x:c>
      <x:c r="O237" s="119" t="n">
        <x:f>C238*Scoring!$B$34+D238/Scoring!$C$34+E238*Scoring!$D$34+WR!F238*Scoring!$E$34+WR!G238/Scoring!$F$34+WR!H238*Scoring!$G$34+WR!I238*Scoring!$H$34+K238*Scoring!$I$34+WR!L238*Scoring!$J$34+U237</x:f>
        <x:v>132.6608</x:v>
      </x:c>
      <x:c r="P237" s="9" t="n">
        <x:f>IF(COUNTIF(Rookies!$A:$A,A237)&gt;0,1,0)</x:f>
        <x:v>1</x:v>
      </x:c>
      <x:c r="Q237" s="9"/>
      <x:c r="R237" s="9"/>
      <x:c r="S237" s="9" t="n">
        <x:f>V237/17</x:f>
        <x:v>5.081764705882352</x:v>
      </x:c>
      <x:c r="T237" s="9" t="n">
        <x:f>IF(P237=1,MAX(0,0.28*(12-S237)),0)</x:f>
        <x:v>1.9371058823529415</x:v>
      </x:c>
      <x:c r="U237" s="9" t="n">
        <x:f>T237*17</x:f>
        <x:v>32.930800000000005</x:v>
      </x:c>
      <x:c r="V237" s="9" t="n">
        <x:f>C237*Scoring!$B$34+D237/Scoring!$C$34+E237*Scoring!$D$34+WR!F237*Scoring!$E$34+WR!G237/Scoring!$F$34+WR!H237*Scoring!$G$34+WR!I237*Scoring!$H$34+K237*Scoring!$I$34+WR!L237*Scoring!$J$34</x:f>
        <x:v>86.38999999999999</x:v>
      </x:c>
      <x:c r="W237" s="9"/>
      <x:c r="X237" s="9"/>
      <x:c r="Y237" s="9"/>
      <x:c r="Z237" s="9"/>
    </x:row>
    <x:row r="238" ht="14.25" customHeight="1">
      <x:c r="B238" s="1" t="s">
        <x:v>488</x:v>
      </x:c>
      <x:c r="C238" s="1">
        <x:v>44.3</x:v>
      </x:c>
      <x:c r="D238" s="1">
        <x:v>589.8</x:v>
      </x:c>
      <x:c r="E238" s="1">
        <x:v>3.0</x:v>
      </x:c>
      <x:c r="F238" s="1">
        <x:v>2.0</x:v>
      </x:c>
      <x:c r="G238" s="1">
        <x:v>11.0</x:v>
      </x:c>
      <x:c r="H238" s="1">
        <x:v>0.0</x:v>
      </x:c>
      <x:c r="I238" s="1">
        <x:v>0.5</x:v>
      </x:c>
      <x:c r="J238" s="1">
        <x:v>111.0</x:v>
      </x:c>
      <x:c r="K238" s="18">
        <x:f t="shared" si="1"/>
        <x:v>0.681712627</x:v>
      </x:c>
      <x:c r="L238" s="18">
        <x:f t="shared" si="2"/>
        <x:v>29.00881119</x:v>
      </x:c>
      <x:c r="M238" s="121"/>
      <x:c r="N238" s="121"/>
      <x:c r="O238" s="121"/>
      <x:c r="P238" s="9"/>
      <x:c r="Q238" s="9"/>
      <x:c r="R238" s="9"/>
      <x:c r="S238" s="9"/>
      <x:c r="T238" s="9"/>
      <x:c r="U238" s="9"/>
      <x:c r="V238" s="9"/>
      <x:c r="W238" s="9"/>
      <x:c r="X238" s="9"/>
      <x:c r="Y238" s="9"/>
      <x:c r="Z238" s="9"/>
    </x:row>
    <x:row r="239" ht="14.25" customHeight="1">
      <x:c r="B239" s="1" t="s">
        <x:v>489</x:v>
      </x:c>
      <x:c r="C239" s="1">
        <x:v>35.0</x:v>
      </x:c>
      <x:c r="D239" s="1">
        <x:v>433.0</x:v>
      </x:c>
      <x:c r="E239" s="1">
        <x:v>2.2</x:v>
      </x:c>
      <x:c r="F239" s="1">
        <x:v>0.0</x:v>
      </x:c>
      <x:c r="G239" s="1">
        <x:v>0.0</x:v>
      </x:c>
      <x:c r="H239" s="1">
        <x:v>0.0</x:v>
      </x:c>
      <x:c r="I239" s="1">
        <x:v>1.0</x:v>
      </x:c>
      <x:c r="J239" s="1">
        <x:v>90.6</x:v>
      </x:c>
      <x:c r="K239" s="18">
        <x:f t="shared" si="1"/>
        <x:v>0</x:v>
      </x:c>
      <x:c r="L239" s="18">
        <x:f t="shared" si="2"/>
        <x:v>21.2967366</x:v>
      </x:c>
      <x:c r="M239" s="121"/>
      <x:c r="N239" s="121"/>
      <x:c r="O239" s="121"/>
      <x:c r="P239" s="9"/>
      <x:c r="Q239" s="9"/>
      <x:c r="R239" s="9"/>
      <x:c r="S239" s="9"/>
      <x:c r="T239" s="9"/>
      <x:c r="U239" s="9"/>
      <x:c r="V239" s="9"/>
      <x:c r="W239" s="9"/>
      <x:c r="X239" s="9"/>
      <x:c r="Y239" s="9"/>
      <x:c r="Z239" s="9"/>
    </x:row>
    <x:row r="240" ht="14.25" customHeight="1">
      <x:c r="A240" s="1" t="s">
        <x:v>812</x:v>
      </x:c>
      <x:c r="B240" s="1" t="s">
        <x:v>495</x:v>
      </x:c>
      <x:c r="C240" s="1">
        <x:v>35.5</x:v>
      </x:c>
      <x:c r="D240" s="1">
        <x:v>496.7</x:v>
      </x:c>
      <x:c r="E240" s="1">
        <x:v>3.1</x:v>
      </x:c>
      <x:c r="F240" s="1">
        <x:v>3.5</x:v>
      </x:c>
      <x:c r="G240" s="1">
        <x:v>18.7</x:v>
      </x:c>
      <x:c r="H240" s="1">
        <x:v>0.1</x:v>
      </x:c>
      <x:c r="I240" s="1">
        <x:v>1.2</x:v>
      </x:c>
      <x:c r="J240" s="1">
        <x:v>104.1</x:v>
      </x:c>
      <x:c r="K240" s="18">
        <x:f t="shared" si="1"/>
        <x:v>1.158911466</x:v>
      </x:c>
      <x:c r="L240" s="18">
        <x:f t="shared" si="2"/>
        <x:v>24.4297669</x:v>
      </x:c>
      <x:c r="M240" s="119" t="n">
        <x:f>C242*Scoring!$B$34+D242/Scoring!$C$34+E242*Scoring!$D$34+WR!F242*Scoring!$E$34+WR!G242/Scoring!$F$34+WR!H242*Scoring!$G$34+WR!I242*Scoring!$H$34+K242*Scoring!$I$34+WR!L242*Scoring!$J$34+U240</x:f>
        <x:v>93.37880000000001</x:v>
      </x:c>
      <x:c r="N240" s="119" t="n">
        <x:f>C240*Scoring!$B$34+D240/Scoring!$C$34+E240*Scoring!$D$34+WR!F240*Scoring!$E$34+WR!G240/Scoring!$F$34+WR!H240*Scoring!$G$34+WR!I240*Scoring!$H$34+K240*Scoring!$I$34+WR!L240*Scoring!$J$34+U240</x:f>
        <x:v>119.96880000000002</x:v>
      </x:c>
      <x:c r="O240" s="119" t="n">
        <x:f>C241*Scoring!$B$34+D241/Scoring!$C$34+E241*Scoring!$D$34+WR!F241*Scoring!$E$34+WR!G241/Scoring!$F$34+WR!H241*Scoring!$G$34+WR!I241*Scoring!$H$34+K241*Scoring!$I$34+WR!L241*Scoring!$J$34+U240</x:f>
        <x:v>147.21880000000002</x:v>
      </x:c>
      <x:c r="P240" s="9" t="n">
        <x:f>IF(COUNTIF(Rookies!$A:$A,A240)&gt;0,1,0)</x:f>
        <x:v>1</x:v>
      </x:c>
      <x:c r="Q240" s="9"/>
      <x:c r="R240" s="9"/>
      <x:c r="S240" s="9" t="n">
        <x:f>V240/17</x:f>
        <x:v>5.134705882352941</x:v>
      </x:c>
      <x:c r="T240" s="9" t="n">
        <x:f>IF(P240=1,MAX(0,0.28*(12-S240)),0)</x:f>
        <x:v>1.9222823529411766</x:v>
      </x:c>
      <x:c r="U240" s="9" t="n">
        <x:f>T240*17</x:f>
        <x:v>32.6788</x:v>
      </x:c>
      <x:c r="V240" s="9" t="n">
        <x:f>C240*Scoring!$B$34+D240/Scoring!$C$34+E240*Scoring!$D$34+WR!F240*Scoring!$E$34+WR!G240/Scoring!$F$34+WR!H240*Scoring!$G$34+WR!I240*Scoring!$H$34+K240*Scoring!$I$34+WR!L240*Scoring!$J$34</x:f>
        <x:v>87.29</x:v>
      </x:c>
      <x:c r="W240" s="9"/>
      <x:c r="X240" s="9"/>
      <x:c r="Y240" s="9"/>
      <x:c r="Z240" s="9"/>
    </x:row>
    <x:row r="241" ht="14.25" customHeight="1">
      <x:c r="B241" s="1" t="s">
        <x:v>488</x:v>
      </x:c>
      <x:c r="C241" s="1">
        <x:v>45.0</x:v>
      </x:c>
      <x:c r="D241" s="1">
        <x:v>649.0</x:v>
      </x:c>
      <x:c r="E241" s="1">
        <x:v>4.0</x:v>
      </x:c>
      <x:c r="F241" s="1">
        <x:v>4.1</x:v>
      </x:c>
      <x:c r="G241" s="1">
        <x:v>22.4</x:v>
      </x:c>
      <x:c r="H241" s="1">
        <x:v>0.2</x:v>
      </x:c>
      <x:c r="I241" s="1">
        <x:v>0.3</x:v>
      </x:c>
      <x:c r="J241" s="1">
        <x:v>111.5</x:v>
      </x:c>
      <x:c r="K241" s="18">
        <x:f t="shared" si="1"/>
        <x:v>1.388214804</x:v>
      </x:c>
      <x:c r="L241" s="18">
        <x:f t="shared" si="2"/>
        <x:v>31.92051282</x:v>
      </x:c>
      <x:c r="M241" s="121"/>
      <x:c r="N241" s="121"/>
      <x:c r="O241" s="121"/>
      <x:c r="P241" s="9"/>
      <x:c r="Q241" s="9"/>
      <x:c r="R241" s="9"/>
      <x:c r="S241" s="9"/>
      <x:c r="T241" s="9"/>
      <x:c r="U241" s="9"/>
      <x:c r="V241" s="9"/>
      <x:c r="W241" s="9"/>
      <x:c r="X241" s="9"/>
      <x:c r="Y241" s="9"/>
      <x:c r="Z241" s="9"/>
    </x:row>
    <x:row r="242" ht="14.25" customHeight="1">
      <x:c r="B242" s="1" t="s">
        <x:v>489</x:v>
      </x:c>
      <x:c r="C242" s="1">
        <x:v>25.9</x:v>
      </x:c>
      <x:c r="D242" s="1">
        <x:v>344.5</x:v>
      </x:c>
      <x:c r="E242" s="1">
        <x:v>2.3</x:v>
      </x:c>
      <x:c r="F242" s="1">
        <x:v>3.0</x:v>
      </x:c>
      <x:c r="G242" s="1">
        <x:v>15.0</x:v>
      </x:c>
      <x:c r="H242" s="1">
        <x:v>0.0</x:v>
      </x:c>
      <x:c r="I242" s="1">
        <x:v>2.0</x:v>
      </x:c>
      <x:c r="J242" s="1">
        <x:v>87.4</x:v>
      </x:c>
      <x:c r="K242" s="18">
        <x:f t="shared" si="1"/>
        <x:v>0.9296081277</x:v>
      </x:c>
      <x:c r="L242" s="18">
        <x:f t="shared" si="2"/>
        <x:v>16.94393939</x:v>
      </x:c>
      <x:c r="M242" s="121"/>
      <x:c r="N242" s="121"/>
      <x:c r="O242" s="121"/>
      <x:c r="P242" s="9"/>
      <x:c r="Q242" s="9"/>
      <x:c r="R242" s="9"/>
      <x:c r="S242" s="9"/>
      <x:c r="T242" s="9"/>
      <x:c r="U242" s="9"/>
      <x:c r="V242" s="9"/>
      <x:c r="W242" s="9"/>
      <x:c r="X242" s="9"/>
      <x:c r="Y242" s="9"/>
      <x:c r="Z242" s="9"/>
    </x:row>
    <x:row r="243" ht="14.25" customHeight="1">
      <x:c r="A243" s="1" t="s">
        <x:v>813</x:v>
      </x:c>
      <x:c r="B243" s="1" t="s">
        <x:v>515</x:v>
      </x:c>
      <x:c r="C243" s="1">
        <x:v>36.5</x:v>
      </x:c>
      <x:c r="D243" s="1">
        <x:v>402.7</x:v>
      </x:c>
      <x:c r="E243" s="1">
        <x:v>3.9</x:v>
      </x:c>
      <x:c r="F243" s="1">
        <x:v>3.0</x:v>
      </x:c>
      <x:c r="G243" s="1">
        <x:v>10.8</x:v>
      </x:c>
      <x:c r="H243" s="1">
        <x:v>0.0</x:v>
      </x:c>
      <x:c r="I243" s="1">
        <x:v>0.6</x:v>
      </x:c>
      <x:c r="J243" s="1">
        <x:v>100.3</x:v>
      </x:c>
      <x:c r="K243" s="18">
        <x:f t="shared" si="1"/>
        <x:v>0.669317852</x:v>
      </x:c>
      <x:c r="L243" s="18">
        <x:f t="shared" si="2"/>
        <x:v>19.80645688</x:v>
      </x:c>
      <x:c r="M243" s="119" t="n">
        <x:f>C245*Scoring!$B$34+D245/Scoring!$C$34+E245*Scoring!$D$34+WR!F245*Scoring!$E$34+WR!G245/Scoring!$F$34+WR!H245*Scoring!$G$34+WR!I245*Scoring!$H$34+K245*Scoring!$I$34+WR!L245*Scoring!$J$34+U243</x:f>
        <x:v>41</x:v>
      </x:c>
      <x:c r="N243" s="119" t="n">
        <x:f>C243*Scoring!$B$34+D243/Scoring!$C$34+E243*Scoring!$D$34+WR!F243*Scoring!$E$34+WR!G243/Scoring!$F$34+WR!H243*Scoring!$G$34+WR!I243*Scoring!$H$34+K243*Scoring!$I$34+WR!L243*Scoring!$J$34+U243</x:f>
        <x:v>82.39999999999999</x:v>
      </x:c>
      <x:c r="O243" s="119" t="n">
        <x:f>C244*Scoring!$B$34+D244/Scoring!$C$34+E244*Scoring!$D$34+WR!F244*Scoring!$E$34+WR!G244/Scoring!$F$34+WR!H244*Scoring!$G$34+WR!I244*Scoring!$H$34+K244*Scoring!$I$34+WR!L244*Scoring!$J$34+U243</x:f>
        <x:v>124.39999999999999</x:v>
      </x:c>
      <x:c r="P243" s="9" t="n">
        <x:f>IF(COUNTIF(Rookies!$A:$A,A243)&gt;0,1,0)</x:f>
        <x:v>0</x:v>
      </x:c>
      <x:c r="Q243" s="9"/>
      <x:c r="R243" s="9"/>
      <x:c r="S243" s="9" t="n">
        <x:f>V243/17</x:f>
        <x:v>4.847058823529411</x:v>
      </x:c>
      <x:c r="T243" s="9" t="n">
        <x:f>IF(P243=1,MAX(0,0.28*(12-S243)),0)</x:f>
        <x:v>0</x:v>
      </x:c>
      <x:c r="U243" s="9" t="n">
        <x:f>T243*17</x:f>
        <x:v>0</x:v>
      </x:c>
      <x:c r="V243" s="9" t="n">
        <x:f>C243*Scoring!$B$34+D243/Scoring!$C$34+E243*Scoring!$D$34+WR!F243*Scoring!$E$34+WR!G243/Scoring!$F$34+WR!H243*Scoring!$G$34+WR!I243*Scoring!$H$34+K243*Scoring!$I$34+WR!L243*Scoring!$J$34</x:f>
        <x:v>82.39999999999999</x:v>
      </x:c>
      <x:c r="W243" s="9"/>
      <x:c r="X243" s="9"/>
      <x:c r="Y243" s="9"/>
      <x:c r="Z243" s="9"/>
    </x:row>
    <x:row r="244" ht="14.25" customHeight="1">
      <x:c r="B244" s="1" t="s">
        <x:v>488</x:v>
      </x:c>
      <x:c r="C244" s="1">
        <x:v>56.0</x:v>
      </x:c>
      <x:c r="D244" s="1">
        <x:v>589.0</x:v>
      </x:c>
      <x:c r="E244" s="1">
        <x:v>6.0</x:v>
      </x:c>
      <x:c r="F244" s="1">
        <x:v>4.0</x:v>
      </x:c>
      <x:c r="G244" s="1">
        <x:v>11.0</x:v>
      </x:c>
      <x:c r="H244" s="1">
        <x:v>0.1</x:v>
      </x:c>
      <x:c r="I244" s="1">
        <x:v>0.2</x:v>
      </x:c>
      <x:c r="J244" s="1">
        <x:v>120.5</x:v>
      </x:c>
      <x:c r="K244" s="18">
        <x:f t="shared" si="1"/>
        <x:v>0.681712627</x:v>
      </x:c>
      <x:c r="L244" s="18">
        <x:f t="shared" si="2"/>
        <x:v>28.96946387</x:v>
      </x:c>
      <x:c r="M244" s="121"/>
      <x:c r="N244" s="121"/>
      <x:c r="O244" s="121"/>
      <x:c r="P244" s="9"/>
      <x:c r="Q244" s="9"/>
      <x:c r="R244" s="9"/>
      <x:c r="S244" s="9"/>
      <x:c r="T244" s="9"/>
      <x:c r="U244" s="9"/>
      <x:c r="V244" s="9"/>
      <x:c r="W244" s="9"/>
      <x:c r="X244" s="9"/>
      <x:c r="Y244" s="9"/>
      <x:c r="Z244" s="9"/>
    </x:row>
    <x:row r="245" ht="14.25" customHeight="1">
      <x:c r="B245" s="1" t="s">
        <x:v>489</x:v>
      </x:c>
      <x:c r="C245" s="1">
        <x:v>17.0</x:v>
      </x:c>
      <x:c r="D245" s="1">
        <x:v>216.4</x:v>
      </x:c>
      <x:c r="E245" s="1">
        <x:v>1.8</x:v>
      </x:c>
      <x:c r="F245" s="1">
        <x:v>2.1</x:v>
      </x:c>
      <x:c r="G245" s="1">
        <x:v>10.6</x:v>
      </x:c>
      <x:c r="H245" s="1">
        <x:v>0.0</x:v>
      </x:c>
      <x:c r="I245" s="1">
        <x:v>1.0</x:v>
      </x:c>
      <x:c r="J245" s="1">
        <x:v>70.3</x:v>
      </x:c>
      <x:c r="K245" s="18">
        <x:f t="shared" si="1"/>
        <x:v>0.6569230769</x:v>
      </x:c>
      <x:c r="L245" s="18">
        <x:f t="shared" si="2"/>
        <x:v>10.64344988</x:v>
      </x:c>
      <x:c r="M245" s="121"/>
      <x:c r="N245" s="121"/>
      <x:c r="O245" s="121"/>
      <x:c r="P245" s="9"/>
      <x:c r="Q245" s="9"/>
      <x:c r="R245" s="9"/>
      <x:c r="S245" s="9"/>
      <x:c r="T245" s="9"/>
      <x:c r="U245" s="9"/>
      <x:c r="V245" s="9"/>
      <x:c r="W245" s="9"/>
      <x:c r="X245" s="9"/>
      <x:c r="Y245" s="9"/>
      <x:c r="Z245" s="9"/>
    </x:row>
    <x:row r="246" ht="14.25" customHeight="1">
      <x:c r="A246" s="1" t="s">
        <x:v>814</x:v>
      </x:c>
      <x:c r="B246" s="1" t="s">
        <x:v>501</x:v>
      </x:c>
      <x:c r="C246" s="1">
        <x:v>35.8</x:v>
      </x:c>
      <x:c r="D246" s="1">
        <x:v>526.4</x:v>
      </x:c>
      <x:c r="E246" s="1">
        <x:v>2.0</x:v>
      </x:c>
      <x:c r="F246" s="1">
        <x:v>1.6</x:v>
      </x:c>
      <x:c r="G246" s="1">
        <x:v>8.6</x:v>
      </x:c>
      <x:c r="H246" s="1">
        <x:v>0.0</x:v>
      </x:c>
      <x:c r="I246" s="1">
        <x:v>0.7</x:v>
      </x:c>
      <x:c r="J246" s="1">
        <x:v>100.2</x:v>
      </x:c>
      <x:c r="K246" s="18">
        <x:f t="shared" si="1"/>
        <x:v>0.5329753266</x:v>
      </x:c>
      <x:c r="L246" s="18">
        <x:f t="shared" si="2"/>
        <x:v>25.89053613</x:v>
      </x:c>
      <x:c r="M246" s="119" t="n">
        <x:f>C248*Scoring!$B$34+D248/Scoring!$C$34+E248*Scoring!$D$34+WR!F248*Scoring!$E$34+WR!G248/Scoring!$F$34+WR!H248*Scoring!$G$34+WR!I248*Scoring!$H$34+K248*Scoring!$I$34+WR!L248*Scoring!$J$34+U246</x:f>
        <x:v>71.24</x:v>
      </x:c>
      <x:c r="N246" s="119" t="n">
        <x:f>C246*Scoring!$B$34+D246/Scoring!$C$34+E246*Scoring!$D$34+WR!F246*Scoring!$E$34+WR!G246/Scoring!$F$34+WR!H246*Scoring!$G$34+WR!I246*Scoring!$H$34+K246*Scoring!$I$34+WR!L246*Scoring!$J$34+U246</x:f>
        <x:v>82.69999999999999</x:v>
      </x:c>
      <x:c r="O246" s="119" t="n">
        <x:f>C247*Scoring!$B$34+D247/Scoring!$C$34+E247*Scoring!$D$34+WR!F247*Scoring!$E$34+WR!G247/Scoring!$F$34+WR!H247*Scoring!$G$34+WR!I247*Scoring!$H$34+K247*Scoring!$I$34+WR!L247*Scoring!$J$34+U246</x:f>
        <x:v>94.71999999999998</x:v>
      </x:c>
      <x:c r="P246" s="9" t="n">
        <x:f>IF(COUNTIF(Rookies!$A:$A,A246)&gt;0,1,0)</x:f>
        <x:v>0</x:v>
      </x:c>
      <x:c r="Q246" s="9"/>
      <x:c r="R246" s="9"/>
      <x:c r="S246" s="9" t="n">
        <x:f>V246/17</x:f>
        <x:v>4.864705882352941</x:v>
      </x:c>
      <x:c r="T246" s="9" t="n">
        <x:f>IF(P246=1,MAX(0,0.28*(12-S246)),0)</x:f>
        <x:v>0</x:v>
      </x:c>
      <x:c r="U246" s="9" t="n">
        <x:f>T246*17</x:f>
        <x:v>0</x:v>
      </x:c>
      <x:c r="V246" s="9" t="n">
        <x:f>C246*Scoring!$B$34+D246/Scoring!$C$34+E246*Scoring!$D$34+WR!F246*Scoring!$E$34+WR!G246/Scoring!$F$34+WR!H246*Scoring!$G$34+WR!I246*Scoring!$H$34+K246*Scoring!$I$34+WR!L246*Scoring!$J$34</x:f>
        <x:v>82.69999999999999</x:v>
      </x:c>
      <x:c r="W246" s="9"/>
      <x:c r="X246" s="9"/>
      <x:c r="Y246" s="9"/>
      <x:c r="Z246" s="9"/>
    </x:row>
    <x:row r="247" ht="14.25" customHeight="1">
      <x:c r="B247" s="1" t="s">
        <x:v>488</x:v>
      </x:c>
      <x:c r="C247" s="1">
        <x:v>40.0</x:v>
      </x:c>
      <x:c r="D247" s="1">
        <x:v>613.0</x:v>
      </x:c>
      <x:c r="E247" s="1">
        <x:v>2.0</x:v>
      </x:c>
      <x:c r="F247" s="1">
        <x:v>2.2</x:v>
      </x:c>
      <x:c r="G247" s="1">
        <x:v>12.2</x:v>
      </x:c>
      <x:c r="H247" s="1">
        <x:v>0.1</x:v>
      </x:c>
      <x:c r="I247" s="1">
        <x:v>0.4</x:v>
      </x:c>
      <x:c r="J247" s="1">
        <x:v>98.8</x:v>
      </x:c>
      <x:c r="K247" s="18">
        <x:f t="shared" si="1"/>
        <x:v>0.7560812772</x:v>
      </x:c>
      <x:c r="L247" s="18">
        <x:f t="shared" si="2"/>
        <x:v>30.14988345</x:v>
      </x:c>
      <x:c r="M247" s="121"/>
      <x:c r="N247" s="121"/>
      <x:c r="O247" s="121"/>
      <x:c r="P247" s="9"/>
      <x:c r="Q247" s="9"/>
      <x:c r="R247" s="9"/>
      <x:c r="S247" s="9"/>
      <x:c r="T247" s="9"/>
      <x:c r="U247" s="9"/>
      <x:c r="V247" s="9"/>
      <x:c r="W247" s="9"/>
      <x:c r="X247" s="9"/>
      <x:c r="Y247" s="9"/>
      <x:c r="Z247" s="9"/>
    </x:row>
    <x:row r="248" ht="14.25" customHeight="1">
      <x:c r="B248" s="1" t="s">
        <x:v>489</x:v>
      </x:c>
      <x:c r="C248" s="1">
        <x:v>31.5</x:v>
      </x:c>
      <x:c r="D248" s="1">
        <x:v>439.9</x:v>
      </x:c>
      <x:c r="E248" s="1">
        <x:v>2.0</x:v>
      </x:c>
      <x:c r="F248" s="1">
        <x:v>1.0</x:v>
      </x:c>
      <x:c r="G248" s="1">
        <x:v>5.0</x:v>
      </x:c>
      <x:c r="H248" s="1">
        <x:v>0.0</x:v>
      </x:c>
      <x:c r="I248" s="1">
        <x:v>1.0</x:v>
      </x:c>
      <x:c r="J248" s="1">
        <x:v>93.0</x:v>
      </x:c>
      <x:c r="K248" s="18">
        <x:f t="shared" si="1"/>
        <x:v>0.3098693759</x:v>
      </x:c>
      <x:c r="L248" s="18">
        <x:f t="shared" si="2"/>
        <x:v>21.63610723</x:v>
      </x:c>
      <x:c r="M248" s="121"/>
      <x:c r="N248" s="121"/>
      <x:c r="O248" s="121"/>
      <x:c r="P248" s="9"/>
      <x:c r="Q248" s="9"/>
      <x:c r="R248" s="9"/>
      <x:c r="S248" s="9"/>
      <x:c r="T248" s="9"/>
      <x:c r="U248" s="9"/>
      <x:c r="V248" s="9"/>
      <x:c r="W248" s="9"/>
      <x:c r="X248" s="9"/>
      <x:c r="Y248" s="9"/>
      <x:c r="Z248" s="9"/>
    </x:row>
    <x:row r="249" ht="14.25" customHeight="1">
      <x:c r="A249" s="1" t="s">
        <x:v>815</x:v>
      </x:c>
      <x:c r="B249" s="1" t="s">
        <x:v>533</x:v>
      </x:c>
      <x:c r="C249" s="1">
        <x:v>30.3</x:v>
      </x:c>
      <x:c r="D249" s="1">
        <x:v>401.5</x:v>
      </x:c>
      <x:c r="E249" s="1">
        <x:v>4.7</x:v>
      </x:c>
      <x:c r="F249" s="1">
        <x:v>0.5</x:v>
      </x:c>
      <x:c r="G249" s="1">
        <x:v>3.0</x:v>
      </x:c>
      <x:c r="H249" s="1">
        <x:v>0.0</x:v>
      </x:c>
      <x:c r="I249" s="1">
        <x:v>0.6</x:v>
      </x:c>
      <x:c r="J249" s="1">
        <x:v>97.5</x:v>
      </x:c>
      <x:c r="K249" s="18">
        <x:f t="shared" si="1"/>
        <x:v>0.1859216255</x:v>
      </x:c>
      <x:c r="L249" s="18">
        <x:f t="shared" si="2"/>
        <x:v>19.7474359</x:v>
      </x:c>
      <x:c r="M249" s="119" t="n">
        <x:f>C251*Scoring!$B$34+D251/Scoring!$C$34+E251*Scoring!$D$34+WR!F251*Scoring!$E$34+WR!G251/Scoring!$F$34+WR!H251*Scoring!$G$34+WR!I251*Scoring!$H$34+K251*Scoring!$I$34+WR!L251*Scoring!$J$34+U249</x:f>
        <x:v>53.5</x:v>
      </x:c>
      <x:c r="N249" s="119" t="n">
        <x:f>C249*Scoring!$B$34+D249/Scoring!$C$34+E249*Scoring!$D$34+WR!F249*Scoring!$E$34+WR!G249/Scoring!$F$34+WR!H249*Scoring!$G$34+WR!I249*Scoring!$H$34+K249*Scoring!$I$34+WR!L249*Scoring!$J$34+U249</x:f>
        <x:v>83.2</x:v>
      </x:c>
      <x:c r="O249" s="119" t="n">
        <x:f>C250*Scoring!$B$34+D250/Scoring!$C$34+E250*Scoring!$D$34+WR!F250*Scoring!$E$34+WR!G250/Scoring!$F$34+WR!H250*Scoring!$G$34+WR!I250*Scoring!$H$34+K250*Scoring!$I$34+WR!L250*Scoring!$J$34+U249</x:f>
        <x:v>112.3</x:v>
      </x:c>
      <x:c r="P249" s="9" t="n">
        <x:f>IF(COUNTIF(Rookies!$A:$A,A249)&gt;0,1,0)</x:f>
        <x:v>0</x:v>
      </x:c>
      <x:c r="Q249" s="9"/>
      <x:c r="R249" s="9"/>
      <x:c r="S249" s="9" t="n">
        <x:f>V249/17</x:f>
        <x:v>4.894117647058824</x:v>
      </x:c>
      <x:c r="T249" s="9" t="n">
        <x:f>IF(P249=1,MAX(0,0.28*(12-S249)),0)</x:f>
        <x:v>0</x:v>
      </x:c>
      <x:c r="U249" s="9" t="n">
        <x:f>T249*17</x:f>
        <x:v>0</x:v>
      </x:c>
      <x:c r="V249" s="9" t="n">
        <x:f>C249*Scoring!$B$34+D249/Scoring!$C$34+E249*Scoring!$D$34+WR!F249*Scoring!$E$34+WR!G249/Scoring!$F$34+WR!H249*Scoring!$G$34+WR!I249*Scoring!$H$34+K249*Scoring!$I$34+WR!L249*Scoring!$J$34</x:f>
        <x:v>83.2</x:v>
      </x:c>
      <x:c r="W249" s="9"/>
      <x:c r="X249" s="9"/>
      <x:c r="Y249" s="9"/>
      <x:c r="Z249" s="9"/>
    </x:row>
    <x:row r="250" ht="14.25" customHeight="1">
      <x:c r="B250" s="1" t="s">
        <x:v>488</x:v>
      </x:c>
      <x:c r="C250" s="1">
        <x:v>39.0</x:v>
      </x:c>
      <x:c r="D250" s="1">
        <x:v>504.0</x:v>
      </x:c>
      <x:c r="E250" s="1">
        <x:v>7.0</x:v>
      </x:c>
      <x:c r="F250" s="1">
        <x:v>1.0</x:v>
      </x:c>
      <x:c r="G250" s="1">
        <x:v>6.0</x:v>
      </x:c>
      <x:c r="H250" s="1">
        <x:v>0.0</x:v>
      </x:c>
      <x:c r="I250" s="1">
        <x:v>0.2</x:v>
      </x:c>
      <x:c r="J250" s="1">
        <x:v>111.3</x:v>
      </x:c>
      <x:c r="K250" s="18">
        <x:f t="shared" si="1"/>
        <x:v>0.3718432511</x:v>
      </x:c>
      <x:c r="L250" s="18">
        <x:f t="shared" si="2"/>
        <x:v>24.78881119</x:v>
      </x:c>
      <x:c r="M250" s="121"/>
      <x:c r="N250" s="121"/>
      <x:c r="O250" s="121"/>
      <x:c r="P250" s="9"/>
      <x:c r="Q250" s="9"/>
      <x:c r="R250" s="9"/>
      <x:c r="S250" s="9"/>
      <x:c r="T250" s="9"/>
      <x:c r="U250" s="9"/>
      <x:c r="V250" s="9"/>
      <x:c r="W250" s="9"/>
      <x:c r="X250" s="9"/>
      <x:c r="Y250" s="9"/>
      <x:c r="Z250" s="9"/>
    </x:row>
    <x:row r="251" ht="14.25" customHeight="1">
      <x:c r="B251" s="1" t="s">
        <x:v>489</x:v>
      </x:c>
      <x:c r="C251" s="1">
        <x:v>21.6</x:v>
      </x:c>
      <x:c r="D251" s="1">
        <x:v>299.0</x:v>
      </x:c>
      <x:c r="E251" s="1">
        <x:v>2.3</x:v>
      </x:c>
      <x:c r="F251" s="1">
        <x:v>0.0</x:v>
      </x:c>
      <x:c r="G251" s="1">
        <x:v>0.0</x:v>
      </x:c>
      <x:c r="H251" s="1">
        <x:v>0.0</x:v>
      </x:c>
      <x:c r="I251" s="1">
        <x:v>1.0</x:v>
      </x:c>
      <x:c r="J251" s="1">
        <x:v>74.2</x:v>
      </x:c>
      <x:c r="K251" s="18">
        <x:f t="shared" si="1"/>
        <x:v>0</x:v>
      </x:c>
      <x:c r="L251" s="18">
        <x:f t="shared" si="2"/>
        <x:v>14.70606061</x:v>
      </x:c>
      <x:c r="M251" s="121"/>
      <x:c r="N251" s="121"/>
      <x:c r="O251" s="121"/>
      <x:c r="P251" s="9"/>
      <x:c r="Q251" s="9"/>
      <x:c r="R251" s="9"/>
      <x:c r="S251" s="9"/>
      <x:c r="T251" s="9"/>
      <x:c r="U251" s="9"/>
      <x:c r="V251" s="9"/>
      <x:c r="W251" s="9"/>
      <x:c r="X251" s="9"/>
      <x:c r="Y251" s="9"/>
      <x:c r="Z251" s="9"/>
    </x:row>
    <x:row r="252" ht="14.25" customHeight="1">
      <x:c r="A252" s="1" t="s">
        <x:v>816</x:v>
      </x:c>
      <x:c r="B252" s="1" t="s">
        <x:v>529</x:v>
      </x:c>
      <x:c r="C252" s="1">
        <x:v>35.4</x:v>
      </x:c>
      <x:c r="D252" s="1">
        <x:v>445.9</x:v>
      </x:c>
      <x:c r="E252" s="1">
        <x:v>2.6</x:v>
      </x:c>
      <x:c r="F252" s="1">
        <x:v>1.0</x:v>
      </x:c>
      <x:c r="G252" s="1">
        <x:v>5.5</x:v>
      </x:c>
      <x:c r="H252" s="1">
        <x:v>0.0</x:v>
      </x:c>
      <x:c r="I252" s="1">
        <x:v>0.6</x:v>
      </x:c>
      <x:c r="J252" s="1">
        <x:v>94.8</x:v>
      </x:c>
      <x:c r="K252" s="18">
        <x:f t="shared" si="1"/>
        <x:v>0.3408563135</x:v>
      </x:c>
      <x:c r="L252" s="18">
        <x:f t="shared" si="2"/>
        <x:v>21.93121212</x:v>
      </x:c>
      <x:c r="M252" s="119" t="n">
        <x:f>C254*Scoring!$B$34+D254/Scoring!$C$34+E254*Scoring!$D$34+WR!F254*Scoring!$E$34+WR!G254/Scoring!$F$34+WR!H254*Scoring!$G$34+WR!I254*Scoring!$H$34+K254*Scoring!$I$34+WR!L254*Scoring!$J$34+U252</x:f>
        <x:v>84.40480000000001</x:v>
      </x:c>
      <x:c r="N252" s="119" t="n">
        <x:f>C252*Scoring!$B$34+D252/Scoring!$C$34+E252*Scoring!$D$34+WR!F252*Scoring!$E$34+WR!G252/Scoring!$F$34+WR!H252*Scoring!$G$34+WR!I252*Scoring!$H$34+K252*Scoring!$I$34+WR!L252*Scoring!$J$34+U252</x:f>
        <x:v>113.1648</x:v>
      </x:c>
      <x:c r="O252" s="119" t="n">
        <x:f>C253*Scoring!$B$34+D253/Scoring!$C$34+E253*Scoring!$D$34+WR!F253*Scoring!$E$34+WR!G253/Scoring!$F$34+WR!H253*Scoring!$G$34+WR!I253*Scoring!$H$34+K253*Scoring!$I$34+WR!L253*Scoring!$J$34+U252</x:f>
        <x:v>141.9248</x:v>
      </x:c>
      <x:c r="P252" s="9" t="n">
        <x:f>IF(COUNTIF(Rookies!$A:$A,A252)&gt;0,1,0)</x:f>
        <x:v>1</x:v>
      </x:c>
      <x:c r="Q252" s="9"/>
      <x:c r="R252" s="9"/>
      <x:c r="S252" s="9" t="n">
        <x:f>V252/17</x:f>
        <x:v>4.578823529411764</x:v>
      </x:c>
      <x:c r="T252" s="9" t="n">
        <x:f>IF(P252=1,MAX(0,0.28*(12-S252)),0)</x:f>
        <x:v>2.0779294117647065</x:v>
      </x:c>
      <x:c r="U252" s="9" t="n">
        <x:f>T252*17</x:f>
        <x:v>35.32480000000001</x:v>
      </x:c>
      <x:c r="V252" s="9" t="n">
        <x:f>C252*Scoring!$B$34+D252/Scoring!$C$34+E252*Scoring!$D$34+WR!F252*Scoring!$E$34+WR!G252/Scoring!$F$34+WR!H252*Scoring!$G$34+WR!I252*Scoring!$H$34+K252*Scoring!$I$34+WR!L252*Scoring!$J$34</x:f>
        <x:v>77.83999999999999</x:v>
      </x:c>
      <x:c r="W252" s="9"/>
      <x:c r="X252" s="9"/>
      <x:c r="Y252" s="9"/>
      <x:c r="Z252" s="9"/>
    </x:row>
    <x:row r="253" ht="14.25" customHeight="1">
      <x:c r="B253" s="1" t="s">
        <x:v>488</x:v>
      </x:c>
      <x:c r="C253" s="1">
        <x:v>47.0</x:v>
      </x:c>
      <x:c r="D253" s="1">
        <x:v>582.0</x:v>
      </x:c>
      <x:c r="E253" s="1">
        <x:v>4.0</x:v>
      </x:c>
      <x:c r="F253" s="1">
        <x:v>2.0</x:v>
      </x:c>
      <x:c r="G253" s="1">
        <x:v>11.0</x:v>
      </x:c>
      <x:c r="H253" s="1">
        <x:v>0.0</x:v>
      </x:c>
      <x:c r="I253" s="1">
        <x:v>0.2</x:v>
      </x:c>
      <x:c r="J253" s="1">
        <x:v>107.4</x:v>
      </x:c>
      <x:c r="K253" s="18">
        <x:f t="shared" si="1"/>
        <x:v>0.681712627</x:v>
      </x:c>
      <x:c r="L253" s="18">
        <x:f t="shared" si="2"/>
        <x:v>28.62517483</x:v>
      </x:c>
      <x:c r="M253" s="121"/>
      <x:c r="N253" s="121"/>
      <x:c r="O253" s="121"/>
      <x:c r="P253" s="9"/>
      <x:c r="Q253" s="9"/>
      <x:c r="R253" s="9"/>
      <x:c r="S253" s="9"/>
      <x:c r="T253" s="9"/>
      <x:c r="U253" s="9"/>
      <x:c r="V253" s="9"/>
      <x:c r="W253" s="9"/>
      <x:c r="X253" s="9"/>
      <x:c r="Y253" s="9"/>
      <x:c r="Z253" s="9"/>
    </x:row>
    <x:row r="254" ht="14.25" customHeight="1">
      <x:c r="B254" s="1" t="s">
        <x:v>489</x:v>
      </x:c>
      <x:c r="C254" s="1">
        <x:v>23.8</x:v>
      </x:c>
      <x:c r="D254" s="1">
        <x:v>309.8</x:v>
      </x:c>
      <x:c r="E254" s="1">
        <x:v>1.2</x:v>
      </x:c>
      <x:c r="F254" s="1">
        <x:v>0.0</x:v>
      </x:c>
      <x:c r="G254" s="1">
        <x:v>0.0</x:v>
      </x:c>
      <x:c r="H254" s="1">
        <x:v>0.0</x:v>
      </x:c>
      <x:c r="I254" s="1">
        <x:v>1.0</x:v>
      </x:c>
      <x:c r="J254" s="1">
        <x:v>73.0</x:v>
      </x:c>
      <x:c r="K254" s="18">
        <x:f t="shared" si="1"/>
        <x:v>0</x:v>
      </x:c>
      <x:c r="L254" s="18">
        <x:f t="shared" si="2"/>
        <x:v>15.23724942</x:v>
      </x:c>
      <x:c r="M254" s="121"/>
      <x:c r="N254" s="121"/>
      <x:c r="O254" s="121"/>
      <x:c r="P254" s="9"/>
      <x:c r="Q254" s="9"/>
      <x:c r="R254" s="9"/>
      <x:c r="S254" s="9"/>
      <x:c r="T254" s="9"/>
      <x:c r="U254" s="9"/>
      <x:c r="V254" s="9"/>
      <x:c r="W254" s="9"/>
      <x:c r="X254" s="9"/>
      <x:c r="Y254" s="9"/>
      <x:c r="Z254" s="9"/>
    </x:row>
    <x:row r="255" ht="14.25" customHeight="1">
      <x:c r="A255" s="1" t="s">
        <x:v>817</x:v>
      </x:c>
      <x:c r="B255" s="1" t="s">
        <x:v>537</x:v>
      </x:c>
      <x:c r="C255" s="1">
        <x:v>35.9</x:v>
      </x:c>
      <x:c r="D255" s="1">
        <x:v>417.5</x:v>
      </x:c>
      <x:c r="E255" s="1">
        <x:v>2.6</x:v>
      </x:c>
      <x:c r="F255" s="1">
        <x:v>2.1</x:v>
      </x:c>
      <x:c r="G255" s="1">
        <x:v>10.8</x:v>
      </x:c>
      <x:c r="H255" s="1">
        <x:v>0.1</x:v>
      </x:c>
      <x:c r="I255" s="1">
        <x:v>0.4</x:v>
      </x:c>
      <x:c r="J255" s="1">
        <x:v>93.8</x:v>
      </x:c>
      <x:c r="K255" s="18">
        <x:f t="shared" si="1"/>
        <x:v>0.669317852</x:v>
      </x:c>
      <x:c r="L255" s="18">
        <x:f t="shared" si="2"/>
        <x:v>20.53438228</x:v>
      </x:c>
      <x:c r="M255" s="119" t="n">
        <x:f>C257*Scoring!$B$34+D257/Scoring!$C$34+E257*Scoring!$D$34+WR!F257*Scoring!$E$34+WR!G257/Scoring!$F$34+WR!H257*Scoring!$G$34+WR!I257*Scoring!$H$34+K257*Scoring!$I$34+WR!L257*Scoring!$J$34+U255</x:f>
        <x:v>76.58</x:v>
      </x:c>
      <x:c r="N255" s="119" t="n">
        <x:f>C255*Scoring!$B$34+D255/Scoring!$C$34+E255*Scoring!$D$34+WR!F255*Scoring!$E$34+WR!G255/Scoring!$F$34+WR!H255*Scoring!$G$34+WR!I255*Scoring!$H$34+K255*Scoring!$I$34+WR!L255*Scoring!$J$34+U255</x:f>
        <x:v>76.58</x:v>
      </x:c>
      <x:c r="O255" s="119" t="n">
        <x:f>C256*Scoring!$B$34+D256/Scoring!$C$34+E256*Scoring!$D$34+WR!F256*Scoring!$E$34+WR!G256/Scoring!$F$34+WR!H256*Scoring!$G$34+WR!I256*Scoring!$H$34+K256*Scoring!$I$34+WR!L256*Scoring!$J$34+U255</x:f>
        <x:v>76.58</x:v>
      </x:c>
      <x:c r="P255" s="9" t="n">
        <x:f>IF(COUNTIF(Rookies!$A:$A,A255)&gt;0,1,0)</x:f>
        <x:v>0</x:v>
      </x:c>
      <x:c r="Q255" s="9"/>
      <x:c r="R255" s="9"/>
      <x:c r="S255" s="9" t="n">
        <x:f>V255/17</x:f>
        <x:v>4.504705882352941</x:v>
      </x:c>
      <x:c r="T255" s="9" t="n">
        <x:f>IF(P255=1,MAX(0,0.28*(12-S255)),0)</x:f>
        <x:v>0</x:v>
      </x:c>
      <x:c r="U255" s="9" t="n">
        <x:f>T255*17</x:f>
        <x:v>0</x:v>
      </x:c>
      <x:c r="V255" s="9" t="n">
        <x:f>C255*Scoring!$B$34+D255/Scoring!$C$34+E255*Scoring!$D$34+WR!F255*Scoring!$E$34+WR!G255/Scoring!$F$34+WR!H255*Scoring!$G$34+WR!I255*Scoring!$H$34+K255*Scoring!$I$34+WR!L255*Scoring!$J$34</x:f>
        <x:v>76.58</x:v>
      </x:c>
      <x:c r="W255" s="9"/>
      <x:c r="X255" s="9"/>
      <x:c r="Y255" s="9"/>
      <x:c r="Z255" s="9"/>
    </x:row>
    <x:row r="256" ht="14.25" customHeight="1">
      <x:c r="B256" s="1" t="s">
        <x:v>488</x:v>
      </x:c>
      <x:c r="C256" s="1">
        <x:v>35.9</x:v>
      </x:c>
      <x:c r="D256" s="1">
        <x:v>417.5</x:v>
      </x:c>
      <x:c r="E256" s="1">
        <x:v>2.6</x:v>
      </x:c>
      <x:c r="F256" s="1">
        <x:v>2.1</x:v>
      </x:c>
      <x:c r="G256" s="1">
        <x:v>10.8</x:v>
      </x:c>
      <x:c r="H256" s="1">
        <x:v>0.1</x:v>
      </x:c>
      <x:c r="I256" s="1">
        <x:v>0.4</x:v>
      </x:c>
      <x:c r="J256" s="1">
        <x:v>94.1</x:v>
      </x:c>
      <x:c r="K256" s="18">
        <x:f t="shared" si="1"/>
        <x:v>0.669317852</x:v>
      </x:c>
      <x:c r="L256" s="18">
        <x:f t="shared" si="2"/>
        <x:v>20.53438228</x:v>
      </x:c>
      <x:c r="M256" s="121"/>
      <x:c r="N256" s="121"/>
      <x:c r="O256" s="121"/>
      <x:c r="P256" s="9"/>
      <x:c r="Q256" s="9"/>
      <x:c r="R256" s="9"/>
      <x:c r="S256" s="9"/>
      <x:c r="T256" s="9"/>
      <x:c r="U256" s="9"/>
      <x:c r="V256" s="9"/>
      <x:c r="W256" s="9"/>
      <x:c r="X256" s="9"/>
      <x:c r="Y256" s="9"/>
      <x:c r="Z256" s="9"/>
    </x:row>
    <x:row r="257" ht="14.25" customHeight="1">
      <x:c r="B257" s="1" t="s">
        <x:v>489</x:v>
      </x:c>
      <x:c r="C257" s="1">
        <x:v>35.9</x:v>
      </x:c>
      <x:c r="D257" s="1">
        <x:v>417.5</x:v>
      </x:c>
      <x:c r="E257" s="1">
        <x:v>2.6</x:v>
      </x:c>
      <x:c r="F257" s="1">
        <x:v>2.1</x:v>
      </x:c>
      <x:c r="G257" s="1">
        <x:v>10.8</x:v>
      </x:c>
      <x:c r="H257" s="1">
        <x:v>0.1</x:v>
      </x:c>
      <x:c r="I257" s="1">
        <x:v>0.4</x:v>
      </x:c>
      <x:c r="J257" s="1">
        <x:v>94.1</x:v>
      </x:c>
      <x:c r="K257" s="18">
        <x:f t="shared" si="1"/>
        <x:v>0.669317852</x:v>
      </x:c>
      <x:c r="L257" s="18">
        <x:f t="shared" si="2"/>
        <x:v>20.53438228</x:v>
      </x:c>
      <x:c r="M257" s="121"/>
      <x:c r="N257" s="121"/>
      <x:c r="O257" s="121"/>
      <x:c r="P257" s="9"/>
      <x:c r="Q257" s="9"/>
      <x:c r="R257" s="9"/>
      <x:c r="S257" s="9"/>
      <x:c r="T257" s="9"/>
      <x:c r="U257" s="9"/>
      <x:c r="V257" s="9"/>
      <x:c r="W257" s="9"/>
      <x:c r="X257" s="9"/>
      <x:c r="Y257" s="9"/>
      <x:c r="Z257" s="9"/>
    </x:row>
    <x:row r="258" ht="14.25" customHeight="1">
      <x:c r="A258" s="1" t="s">
        <x:v>818</x:v>
      </x:c>
      <x:c r="B258" s="1" t="s">
        <x:v>539</x:v>
      </x:c>
      <x:c r="C258" s="1">
        <x:v>34.6</x:v>
      </x:c>
      <x:c r="D258" s="1">
        <x:v>410.8</x:v>
      </x:c>
      <x:c r="E258" s="1">
        <x:v>2.9</x:v>
      </x:c>
      <x:c r="F258" s="1">
        <x:v>2.1</x:v>
      </x:c>
      <x:c r="G258" s="1">
        <x:v>12.5</x:v>
      </x:c>
      <x:c r="H258" s="1">
        <x:v>0.1</x:v>
      </x:c>
      <x:c r="I258" s="1">
        <x:v>0.6</x:v>
      </x:c>
      <x:c r="J258" s="1">
        <x:v>93.1</x:v>
      </x:c>
      <x:c r="K258" s="18">
        <x:f t="shared" si="1"/>
        <x:v>0.7746734398</x:v>
      </x:c>
      <x:c r="L258" s="18">
        <x:f t="shared" si="2"/>
        <x:v>20.20484848</x:v>
      </x:c>
      <x:c r="M258" s="119" t="n">
        <x:f>C260*Scoring!$B$34+D260/Scoring!$C$34+E260*Scoring!$D$34+WR!F260*Scoring!$E$34+WR!G260/Scoring!$F$34+WR!H260*Scoring!$G$34+WR!I260*Scoring!$H$34+K260*Scoring!$I$34+WR!L260*Scoring!$J$34+U258</x:f>
        <x:v>88.62160000000002</x:v>
      </x:c>
      <x:c r="N258" s="119" t="n">
        <x:f>C258*Scoring!$B$34+D258/Scoring!$C$34+E258*Scoring!$D$34+WR!F258*Scoring!$E$34+WR!G258/Scoring!$F$34+WR!H258*Scoring!$G$34+WR!I258*Scoring!$H$34+K258*Scoring!$I$34+WR!L258*Scoring!$J$34+U258</x:f>
        <x:v>112.58160000000001</x:v>
      </x:c>
      <x:c r="O258" s="119" t="n">
        <x:f>C259*Scoring!$B$34+D259/Scoring!$C$34+E259*Scoring!$D$34+WR!F259*Scoring!$E$34+WR!G259/Scoring!$F$34+WR!H259*Scoring!$G$34+WR!I259*Scoring!$H$34+K259*Scoring!$I$34+WR!L259*Scoring!$J$34+U258</x:f>
        <x:v>135.2516</x:v>
      </x:c>
      <x:c r="P258" s="9" t="n">
        <x:f>IF(COUNTIF(Rookies!$A:$A,A258)&gt;0,1,0)</x:f>
        <x:v>1</x:v>
      </x:c>
      <x:c r="Q258" s="9"/>
      <x:c r="R258" s="9"/>
      <x:c r="S258" s="9" t="n">
        <x:f>V258/17</x:f>
        <x:v>4.531176470588235</x:v>
      </x:c>
      <x:c r="T258" s="9" t="n">
        <x:f>IF(P258=1,MAX(0,0.28*(12-S258)),0)</x:f>
        <x:v>2.0912705882352944</x:v>
      </x:c>
      <x:c r="U258" s="9" t="n">
        <x:f>T258*17</x:f>
        <x:v>35.55160000000001</x:v>
      </x:c>
      <x:c r="V258" s="9" t="n">
        <x:f>C258*Scoring!$B$34+D258/Scoring!$C$34+E258*Scoring!$D$34+WR!F258*Scoring!$E$34+WR!G258/Scoring!$F$34+WR!H258*Scoring!$G$34+WR!I258*Scoring!$H$34+K258*Scoring!$I$34+WR!L258*Scoring!$J$34</x:f>
        <x:v>77.03</x:v>
      </x:c>
      <x:c r="W258" s="9"/>
      <x:c r="X258" s="9"/>
      <x:c r="Y258" s="9"/>
      <x:c r="Z258" s="9"/>
    </x:row>
    <x:row r="259" ht="14.25" customHeight="1">
      <x:c r="B259" s="1" t="s">
        <x:v>488</x:v>
      </x:c>
      <x:c r="C259" s="1">
        <x:v>44.0</x:v>
      </x:c>
      <x:c r="D259" s="1">
        <x:v>521.0</x:v>
      </x:c>
      <x:c r="E259" s="1">
        <x:v>4.0</x:v>
      </x:c>
      <x:c r="F259" s="1">
        <x:v>2.2</x:v>
      </x:c>
      <x:c r="G259" s="1">
        <x:v>13.0</x:v>
      </x:c>
      <x:c r="H259" s="1">
        <x:v>0.1</x:v>
      </x:c>
      <x:c r="I259" s="1">
        <x:v>0.3</x:v>
      </x:c>
      <x:c r="J259" s="1">
        <x:v>100.6</x:v>
      </x:c>
      <x:c r="K259" s="18">
        <x:f t="shared" si="1"/>
        <x:v>0.8056603774</x:v>
      </x:c>
      <x:c r="L259" s="18">
        <x:f t="shared" si="2"/>
        <x:v>25.62494172</x:v>
      </x:c>
      <x:c r="M259" s="121"/>
      <x:c r="N259" s="121"/>
      <x:c r="O259" s="121"/>
      <x:c r="P259" s="9"/>
      <x:c r="Q259" s="9"/>
      <x:c r="R259" s="9"/>
      <x:c r="S259" s="9"/>
      <x:c r="T259" s="9"/>
      <x:c r="U259" s="9"/>
      <x:c r="V259" s="9"/>
      <x:c r="W259" s="9"/>
      <x:c r="X259" s="9"/>
      <x:c r="Y259" s="9"/>
      <x:c r="Z259" s="9"/>
    </x:row>
    <x:row r="260" ht="14.25" customHeight="1">
      <x:c r="B260" s="1" t="s">
        <x:v>489</x:v>
      </x:c>
      <x:c r="C260" s="1">
        <x:v>25.2</x:v>
      </x:c>
      <x:c r="D260" s="1">
        <x:v>300.7</x:v>
      </x:c>
      <x:c r="E260" s="1">
        <x:v>1.7</x:v>
      </x:c>
      <x:c r="F260" s="1">
        <x:v>2.0</x:v>
      </x:c>
      <x:c r="G260" s="1">
        <x:v>12.0</x:v>
      </x:c>
      <x:c r="H260" s="1">
        <x:v>0.0</x:v>
      </x:c>
      <x:c r="I260" s="1">
        <x:v>1.0</x:v>
      </x:c>
      <x:c r="J260" s="1">
        <x:v>76.7</x:v>
      </x:c>
      <x:c r="K260" s="18">
        <x:f t="shared" si="1"/>
        <x:v>0.7436865022</x:v>
      </x:c>
      <x:c r="L260" s="18">
        <x:f t="shared" si="2"/>
        <x:v>14.78967366</x:v>
      </x:c>
      <x:c r="M260" s="121"/>
      <x:c r="N260" s="121"/>
      <x:c r="O260" s="121"/>
      <x:c r="P260" s="9"/>
      <x:c r="Q260" s="9"/>
      <x:c r="R260" s="9"/>
      <x:c r="S260" s="9"/>
      <x:c r="T260" s="9"/>
      <x:c r="U260" s="9"/>
      <x:c r="V260" s="9"/>
      <x:c r="W260" s="9"/>
      <x:c r="X260" s="9"/>
      <x:c r="Y260" s="9"/>
      <x:c r="Z260" s="9"/>
    </x:row>
    <x:row r="261" ht="14.25" customHeight="1">
      <x:c r="A261" s="1" t="s">
        <x:v>819</x:v>
      </x:c>
      <x:c r="B261" s="1" t="s">
        <x:v>509</x:v>
      </x:c>
      <x:c r="C261" s="1">
        <x:v>25.4</x:v>
      </x:c>
      <x:c r="D261" s="1">
        <x:v>467.1</x:v>
      </x:c>
      <x:c r="E261" s="1">
        <x:v>3.5</x:v>
      </x:c>
      <x:c r="F261" s="1">
        <x:v>0.0</x:v>
      </x:c>
      <x:c r="G261" s="1">
        <x:v>0.0</x:v>
      </x:c>
      <x:c r="H261" s="1">
        <x:v>0.0</x:v>
      </x:c>
      <x:c r="I261" s="1">
        <x:v>0.1</x:v>
      </x:c>
      <x:c r="J261" s="1">
        <x:v>92.8</x:v>
      </x:c>
      <x:c r="K261" s="18">
        <x:f t="shared" si="1"/>
        <x:v>0</x:v>
      </x:c>
      <x:c r="L261" s="18">
        <x:f t="shared" si="2"/>
        <x:v>22.97391608</x:v>
      </x:c>
      <x:c r="M261" s="119" t="n">
        <x:f>C263*Scoring!$B$34+D263/Scoring!$C$34+E263*Scoring!$D$34+WR!F263*Scoring!$E$34+WR!G263/Scoring!$F$34+WR!H263*Scoring!$G$34+WR!I263*Scoring!$H$34+K263*Scoring!$I$34+WR!L263*Scoring!$J$34+U261</x:f>
        <x:v>65.63</x:v>
      </x:c>
      <x:c r="N261" s="119" t="n">
        <x:f>C261*Scoring!$B$34+D261/Scoring!$C$34+E261*Scoring!$D$34+WR!F261*Scoring!$E$34+WR!G261/Scoring!$F$34+WR!H261*Scoring!$G$34+WR!I261*Scoring!$H$34+K261*Scoring!$I$34+WR!L261*Scoring!$J$34+U261</x:f>
        <x:v>80.31</x:v>
      </x:c>
      <x:c r="O261" s="119" t="n">
        <x:f>C262*Scoring!$B$34+D262/Scoring!$C$34+E262*Scoring!$D$34+WR!F262*Scoring!$E$34+WR!G262/Scoring!$F$34+WR!H262*Scoring!$G$34+WR!I262*Scoring!$H$34+K262*Scoring!$I$34+WR!L262*Scoring!$J$34+U261</x:f>
        <x:v>95</x:v>
      </x:c>
      <x:c r="P261" s="9" t="n">
        <x:f>IF(COUNTIF(Rookies!$A:$A,A261)&gt;0,1,0)</x:f>
        <x:v>0</x:v>
      </x:c>
      <x:c r="Q261" s="9"/>
      <x:c r="R261" s="9"/>
      <x:c r="S261" s="9" t="n">
        <x:f>V261/17</x:f>
        <x:v>4.724117647058824</x:v>
      </x:c>
      <x:c r="T261" s="9" t="n">
        <x:f>IF(P261=1,MAX(0,0.28*(12-S261)),0)</x:f>
        <x:v>0</x:v>
      </x:c>
      <x:c r="U261" s="9" t="n">
        <x:f>T261*17</x:f>
        <x:v>0</x:v>
      </x:c>
      <x:c r="V261" s="9" t="n">
        <x:f>C261*Scoring!$B$34+D261/Scoring!$C$34+E261*Scoring!$D$34+WR!F261*Scoring!$E$34+WR!G261/Scoring!$F$34+WR!H261*Scoring!$G$34+WR!I261*Scoring!$H$34+K261*Scoring!$I$34+WR!L261*Scoring!$J$34</x:f>
        <x:v>80.31</x:v>
      </x:c>
      <x:c r="W261" s="9"/>
      <x:c r="X261" s="9"/>
      <x:c r="Y261" s="9"/>
      <x:c r="Z261" s="9"/>
    </x:row>
    <x:row r="262" ht="14.25" customHeight="1">
      <x:c r="B262" s="1" t="s">
        <x:v>488</x:v>
      </x:c>
      <x:c r="C262" s="1">
        <x:v>27.0</x:v>
      </x:c>
      <x:c r="D262" s="1">
        <x:v>575.0</x:v>
      </x:c>
      <x:c r="E262" s="1">
        <x:v>4.0</x:v>
      </x:c>
      <x:c r="F262" s="1">
        <x:v>0.0</x:v>
      </x:c>
      <x:c r="G262" s="1">
        <x:v>0.0</x:v>
      </x:c>
      <x:c r="H262" s="1">
        <x:v>0.0</x:v>
      </x:c>
      <x:c r="I262" s="1">
        <x:v>0.0</x:v>
      </x:c>
      <x:c r="J262" s="1">
        <x:v>98.4</x:v>
      </x:c>
      <x:c r="K262" s="18">
        <x:f t="shared" si="1"/>
        <x:v>0</x:v>
      </x:c>
      <x:c r="L262" s="18">
        <x:f t="shared" si="2"/>
        <x:v>28.28088578</x:v>
      </x:c>
      <x:c r="M262" s="121"/>
      <x:c r="N262" s="121"/>
      <x:c r="O262" s="121"/>
      <x:c r="P262" s="9"/>
      <x:c r="Q262" s="9"/>
      <x:c r="R262" s="9"/>
      <x:c r="S262" s="9"/>
      <x:c r="T262" s="9"/>
      <x:c r="U262" s="9"/>
      <x:c r="V262" s="9"/>
      <x:c r="W262" s="9"/>
      <x:c r="X262" s="9"/>
      <x:c r="Y262" s="9"/>
      <x:c r="Z262" s="9"/>
    </x:row>
    <x:row r="263" ht="14.25" customHeight="1">
      <x:c r="B263" s="1" t="s">
        <x:v>489</x:v>
      </x:c>
      <x:c r="C263" s="1">
        <x:v>23.8</x:v>
      </x:c>
      <x:c r="D263" s="1">
        <x:v>359.3</x:v>
      </x:c>
      <x:c r="E263" s="1">
        <x:v>3.0</x:v>
      </x:c>
      <x:c r="F263" s="1">
        <x:v>0.0</x:v>
      </x:c>
      <x:c r="G263" s="1">
        <x:v>0.0</x:v>
      </x:c>
      <x:c r="H263" s="1">
        <x:v>0.0</x:v>
      </x:c>
      <x:c r="I263" s="1">
        <x:v>0.2</x:v>
      </x:c>
      <x:c r="J263" s="1">
        <x:v>79.1</x:v>
      </x:c>
      <x:c r="K263" s="18">
        <x:f t="shared" si="1"/>
        <x:v>0</x:v>
      </x:c>
      <x:c r="L263" s="18">
        <x:f t="shared" si="2"/>
        <x:v>17.6718648</x:v>
      </x:c>
      <x:c r="M263" s="121"/>
      <x:c r="N263" s="121"/>
      <x:c r="O263" s="121"/>
      <x:c r="P263" s="9"/>
      <x:c r="Q263" s="9"/>
      <x:c r="R263" s="9"/>
      <x:c r="S263" s="9"/>
      <x:c r="T263" s="9"/>
      <x:c r="U263" s="9"/>
      <x:c r="V263" s="9"/>
      <x:c r="W263" s="9"/>
      <x:c r="X263" s="9"/>
      <x:c r="Y263" s="9"/>
      <x:c r="Z263" s="9"/>
    </x:row>
    <x:row r="264" ht="14.25" customHeight="1">
      <x:c r="A264" s="1" t="s">
        <x:v>820</x:v>
      </x:c>
      <x:c r="B264" s="1" t="s">
        <x:v>551</x:v>
      </x:c>
      <x:c r="C264" s="1">
        <x:v>35.2</x:v>
      </x:c>
      <x:c r="D264" s="1">
        <x:v>443.3</x:v>
      </x:c>
      <x:c r="E264" s="1">
        <x:v>2.3</x:v>
      </x:c>
      <x:c r="F264" s="1">
        <x:v>0.0</x:v>
      </x:c>
      <x:c r="G264" s="1">
        <x:v>0.0</x:v>
      </x:c>
      <x:c r="H264" s="1">
        <x:v>0.0</x:v>
      </x:c>
      <x:c r="I264" s="1">
        <x:v>0.3</x:v>
      </x:c>
      <x:c r="J264" s="1">
        <x:v>92.5</x:v>
      </x:c>
      <x:c r="K264" s="18">
        <x:f t="shared" si="1"/>
        <x:v>0</x:v>
      </x:c>
      <x:c r="L264" s="18">
        <x:f t="shared" si="2"/>
        <x:v>21.80333333</x:v>
      </x:c>
      <x:c r="M264" s="119" t="n">
        <x:f>C266*Scoring!$B$34+D266/Scoring!$C$34+E266*Scoring!$D$34+WR!F266*Scoring!$E$34+WR!G266/Scoring!$F$34+WR!H266*Scoring!$G$34+WR!I266*Scoring!$H$34+K266*Scoring!$I$34+WR!L266*Scoring!$J$34+U264</x:f>
        <x:v>75.43</x:v>
      </x:c>
      <x:c r="N264" s="119" t="n">
        <x:f>C264*Scoring!$B$34+D264/Scoring!$C$34+E264*Scoring!$D$34+WR!F264*Scoring!$E$34+WR!G264/Scoring!$F$34+WR!H264*Scoring!$G$34+WR!I264*Scoring!$H$34+K264*Scoring!$I$34+WR!L264*Scoring!$J$34+U264</x:f>
        <x:v>75.43</x:v>
      </x:c>
      <x:c r="O264" s="119" t="n">
        <x:f>C265*Scoring!$B$34+D265/Scoring!$C$34+E265*Scoring!$D$34+WR!F265*Scoring!$E$34+WR!G265/Scoring!$F$34+WR!H265*Scoring!$G$34+WR!I265*Scoring!$H$34+K265*Scoring!$I$34+WR!L265*Scoring!$J$34+U264</x:f>
        <x:v>75.43</x:v>
      </x:c>
      <x:c r="P264" s="9" t="n">
        <x:f>IF(COUNTIF(Rookies!$A:$A,A264)&gt;0,1,0)</x:f>
        <x:v>0</x:v>
      </x:c>
      <x:c r="Q264" s="9"/>
      <x:c r="R264" s="9"/>
      <x:c r="S264" s="9" t="n">
        <x:f>V264/17</x:f>
        <x:v>4.437058823529412</x:v>
      </x:c>
      <x:c r="T264" s="9" t="n">
        <x:f>IF(P264=1,MAX(0,0.28*(12-S264)),0)</x:f>
        <x:v>0</x:v>
      </x:c>
      <x:c r="U264" s="9" t="n">
        <x:f>T264*17</x:f>
        <x:v>0</x:v>
      </x:c>
      <x:c r="V264" s="9" t="n">
        <x:f>C264*Scoring!$B$34+D264/Scoring!$C$34+E264*Scoring!$D$34+WR!F264*Scoring!$E$34+WR!G264/Scoring!$F$34+WR!H264*Scoring!$G$34+WR!I264*Scoring!$H$34+K264*Scoring!$I$34+WR!L264*Scoring!$J$34</x:f>
        <x:v>75.43</x:v>
      </x:c>
      <x:c r="W264" s="9"/>
      <x:c r="X264" s="9"/>
      <x:c r="Y264" s="9"/>
      <x:c r="Z264" s="9"/>
    </x:row>
    <x:row r="265" ht="14.25" customHeight="1">
      <x:c r="B265" s="1" t="s">
        <x:v>488</x:v>
      </x:c>
      <x:c r="C265" s="1">
        <x:v>35.2</x:v>
      </x:c>
      <x:c r="D265" s="1">
        <x:v>443.3</x:v>
      </x:c>
      <x:c r="E265" s="1">
        <x:v>2.3</x:v>
      </x:c>
      <x:c r="F265" s="1">
        <x:v>0.0</x:v>
      </x:c>
      <x:c r="G265" s="1">
        <x:v>0.0</x:v>
      </x:c>
      <x:c r="H265" s="1">
        <x:v>0.0</x:v>
      </x:c>
      <x:c r="I265" s="1">
        <x:v>0.3</x:v>
      </x:c>
      <x:c r="J265" s="1">
        <x:v>92.8</x:v>
      </x:c>
      <x:c r="K265" s="18">
        <x:f t="shared" si="1"/>
        <x:v>0</x:v>
      </x:c>
      <x:c r="L265" s="18">
        <x:f t="shared" si="2"/>
        <x:v>21.80333333</x:v>
      </x:c>
      <x:c r="M265" s="121"/>
      <x:c r="N265" s="121"/>
      <x:c r="O265" s="121"/>
      <x:c r="P265" s="9"/>
      <x:c r="Q265" s="9"/>
      <x:c r="R265" s="9"/>
      <x:c r="S265" s="9"/>
      <x:c r="T265" s="9"/>
      <x:c r="U265" s="9"/>
      <x:c r="V265" s="9"/>
      <x:c r="W265" s="9"/>
      <x:c r="X265" s="9"/>
      <x:c r="Y265" s="9"/>
      <x:c r="Z265" s="9"/>
    </x:row>
    <x:row r="266" ht="14.25" customHeight="1">
      <x:c r="B266" s="1" t="s">
        <x:v>489</x:v>
      </x:c>
      <x:c r="C266" s="1">
        <x:v>35.2</x:v>
      </x:c>
      <x:c r="D266" s="1">
        <x:v>443.3</x:v>
      </x:c>
      <x:c r="E266" s="1">
        <x:v>2.3</x:v>
      </x:c>
      <x:c r="F266" s="1">
        <x:v>0.0</x:v>
      </x:c>
      <x:c r="G266" s="1">
        <x:v>0.0</x:v>
      </x:c>
      <x:c r="H266" s="1">
        <x:v>0.0</x:v>
      </x:c>
      <x:c r="I266" s="1">
        <x:v>0.3</x:v>
      </x:c>
      <x:c r="J266" s="1">
        <x:v>92.8</x:v>
      </x:c>
      <x:c r="K266" s="18">
        <x:f t="shared" si="1"/>
        <x:v>0</x:v>
      </x:c>
      <x:c r="L266" s="18">
        <x:f t="shared" si="2"/>
        <x:v>21.80333333</x:v>
      </x:c>
      <x:c r="M266" s="121"/>
      <x:c r="N266" s="121"/>
      <x:c r="O266" s="121"/>
      <x:c r="P266" s="9"/>
      <x:c r="Q266" s="9"/>
      <x:c r="R266" s="9"/>
      <x:c r="S266" s="9"/>
      <x:c r="T266" s="9"/>
      <x:c r="U266" s="9"/>
      <x:c r="V266" s="9"/>
      <x:c r="W266" s="9"/>
      <x:c r="X266" s="9"/>
      <x:c r="Y266" s="9"/>
      <x:c r="Z266" s="9"/>
    </x:row>
    <x:row r="267" ht="14.25" customHeight="1">
      <x:c r="A267" s="1" t="s">
        <x:v>821</x:v>
      </x:c>
      <x:c r="B267" s="1" t="s">
        <x:v>535</x:v>
      </x:c>
      <x:c r="C267" s="1">
        <x:v>34.0</x:v>
      </x:c>
      <x:c r="D267" s="1">
        <x:v>409.9</x:v>
      </x:c>
      <x:c r="E267" s="1">
        <x:v>2.2</x:v>
      </x:c>
      <x:c r="F267" s="1">
        <x:v>2.1</x:v>
      </x:c>
      <x:c r="G267" s="1">
        <x:v>14.2</x:v>
      </x:c>
      <x:c r="H267" s="1">
        <x:v>0.0</x:v>
      </x:c>
      <x:c r="I267" s="1">
        <x:v>0.1</x:v>
      </x:c>
      <x:c r="J267" s="1">
        <x:v>89.8</x:v>
      </x:c>
      <x:c r="K267" s="18">
        <x:f t="shared" si="1"/>
        <x:v>0.8800290276</x:v>
      </x:c>
      <x:c r="L267" s="18">
        <x:f t="shared" si="2"/>
        <x:v>20.16058275</x:v>
      </x:c>
      <x:c r="M267" s="119" t="n">
        <x:f>C269*Scoring!$B$34+D269/Scoring!$C$34+E269*Scoring!$D$34+WR!F269*Scoring!$E$34+WR!G269/Scoring!$F$34+WR!H269*Scoring!$G$34+WR!I269*Scoring!$H$34+K269*Scoring!$I$34+WR!L269*Scoring!$J$34+U267</x:f>
        <x:v>53.62</x:v>
      </x:c>
      <x:c r="N267" s="119" t="n">
        <x:f>C267*Scoring!$B$34+D267/Scoring!$C$34+E267*Scoring!$D$34+WR!F267*Scoring!$E$34+WR!G267/Scoring!$F$34+WR!H267*Scoring!$G$34+WR!I267*Scoring!$H$34+K267*Scoring!$I$34+WR!L267*Scoring!$J$34+U267</x:f>
        <x:v>72.51</x:v>
      </x:c>
      <x:c r="O267" s="119" t="n">
        <x:f>C268*Scoring!$B$34+D268/Scoring!$C$34+E268*Scoring!$D$34+WR!F268*Scoring!$E$34+WR!G268/Scoring!$F$34+WR!H268*Scoring!$G$34+WR!I268*Scoring!$H$34+K268*Scoring!$I$34+WR!L268*Scoring!$J$34+U267</x:f>
        <x:v>92.6</x:v>
      </x:c>
      <x:c r="P267" s="9" t="n">
        <x:f>IF(COUNTIF(Rookies!$A:$A,A267)&gt;0,1,0)</x:f>
        <x:v>0</x:v>
      </x:c>
      <x:c r="Q267" s="9"/>
      <x:c r="R267" s="9"/>
      <x:c r="S267" s="9" t="n">
        <x:f>V267/17</x:f>
        <x:v>4.265294117647059</x:v>
      </x:c>
      <x:c r="T267" s="9" t="n">
        <x:f>IF(P267=1,MAX(0,0.28*(12-S267)),0)</x:f>
        <x:v>0</x:v>
      </x:c>
      <x:c r="U267" s="9" t="n">
        <x:f>T267*17</x:f>
        <x:v>0</x:v>
      </x:c>
      <x:c r="V267" s="9" t="n">
        <x:f>C267*Scoring!$B$34+D267/Scoring!$C$34+E267*Scoring!$D$34+WR!F267*Scoring!$E$34+WR!G267/Scoring!$F$34+WR!H267*Scoring!$G$34+WR!I267*Scoring!$H$34+K267*Scoring!$I$34+WR!L267*Scoring!$J$34</x:f>
        <x:v>72.51</x:v>
      </x:c>
      <x:c r="W267" s="9"/>
      <x:c r="X267" s="9"/>
      <x:c r="Y267" s="9"/>
      <x:c r="Z267" s="9"/>
    </x:row>
    <x:row r="268" ht="14.25" customHeight="1">
      <x:c r="B268" s="1" t="s">
        <x:v>488</x:v>
      </x:c>
      <x:c r="C268" s="1">
        <x:v>43.0</x:v>
      </x:c>
      <x:c r="D268" s="1">
        <x:v>509.0</x:v>
      </x:c>
      <x:c r="E268" s="1">
        <x:v>3.0</x:v>
      </x:c>
      <x:c r="F268" s="1">
        <x:v>2.1</x:v>
      </x:c>
      <x:c r="G268" s="1">
        <x:v>16.0</x:v>
      </x:c>
      <x:c r="H268" s="1">
        <x:v>0.1</x:v>
      </x:c>
      <x:c r="I268" s="1">
        <x:v>0.0</x:v>
      </x:c>
      <x:c r="J268" s="1">
        <x:v>93.0</x:v>
      </x:c>
      <x:c r="K268" s="18">
        <x:f t="shared" si="1"/>
        <x:v>0.9915820029</x:v>
      </x:c>
      <x:c r="L268" s="18">
        <x:f t="shared" si="2"/>
        <x:v>25.03473193</x:v>
      </x:c>
      <x:c r="M268" s="121"/>
      <x:c r="N268" s="121"/>
      <x:c r="O268" s="121"/>
      <x:c r="P268" s="9"/>
      <x:c r="Q268" s="9"/>
      <x:c r="R268" s="9"/>
      <x:c r="S268" s="9"/>
      <x:c r="T268" s="9"/>
      <x:c r="U268" s="9"/>
      <x:c r="V268" s="9"/>
      <x:c r="W268" s="9"/>
      <x:c r="X268" s="9"/>
      <x:c r="Y268" s="9"/>
      <x:c r="Z268" s="9"/>
    </x:row>
    <x:row r="269" ht="14.25" customHeight="1">
      <x:c r="B269" s="1" t="s">
        <x:v>489</x:v>
      </x:c>
      <x:c r="C269" s="1">
        <x:v>25.0</x:v>
      </x:c>
      <x:c r="D269" s="1">
        <x:v>310.8</x:v>
      </x:c>
      <x:c r="E269" s="1">
        <x:v>1.5</x:v>
      </x:c>
      <x:c r="F269" s="1">
        <x:v>2.0</x:v>
      </x:c>
      <x:c r="G269" s="1">
        <x:v>12.4</x:v>
      </x:c>
      <x:c r="H269" s="1">
        <x:v>0.0</x:v>
      </x:c>
      <x:c r="I269" s="1">
        <x:v>0.2</x:v>
      </x:c>
      <x:c r="J269" s="1">
        <x:v>75.4</x:v>
      </x:c>
      <x:c r="K269" s="18">
        <x:f t="shared" si="1"/>
        <x:v>0.7684760522</x:v>
      </x:c>
      <x:c r="L269" s="18">
        <x:f t="shared" si="2"/>
        <x:v>15.28643357</x:v>
      </x:c>
      <x:c r="M269" s="121"/>
      <x:c r="N269" s="121"/>
      <x:c r="O269" s="121"/>
      <x:c r="P269" s="9"/>
      <x:c r="Q269" s="9"/>
      <x:c r="R269" s="9"/>
      <x:c r="S269" s="9"/>
      <x:c r="T269" s="9"/>
      <x:c r="U269" s="9"/>
      <x:c r="V269" s="9"/>
      <x:c r="W269" s="9"/>
      <x:c r="X269" s="9"/>
      <x:c r="Y269" s="9"/>
      <x:c r="Z269" s="9"/>
    </x:row>
    <x:row r="270" ht="14.25" customHeight="1">
      <x:c r="A270" s="1" t="s">
        <x:v>822</x:v>
      </x:c>
      <x:c r="B270" s="1" t="s">
        <x:v>513</x:v>
      </x:c>
      <x:c r="C270" s="1">
        <x:v>34.5</x:v>
      </x:c>
      <x:c r="D270" s="1">
        <x:v>410.5</x:v>
      </x:c>
      <x:c r="E270" s="1">
        <x:v>2.5</x:v>
      </x:c>
      <x:c r="F270" s="1">
        <x:v>0.0</x:v>
      </x:c>
      <x:c r="G270" s="1">
        <x:v>0.0</x:v>
      </x:c>
      <x:c r="H270" s="1">
        <x:v>0.0</x:v>
      </x:c>
      <x:c r="I270" s="1">
        <x:v>0.4</x:v>
      </x:c>
      <x:c r="J270" s="1">
        <x:v>89.8</x:v>
      </x:c>
      <x:c r="K270" s="18">
        <x:f t="shared" si="1"/>
        <x:v>0</x:v>
      </x:c>
      <x:c r="L270" s="18">
        <x:f t="shared" si="2"/>
        <x:v>20.19009324</x:v>
      </x:c>
      <x:c r="M270" s="119" t="n">
        <x:f>C272*Scoring!$B$34+D272/Scoring!$C$34+E272*Scoring!$D$34+WR!F272*Scoring!$E$34+WR!G272/Scoring!$F$34+WR!H272*Scoring!$G$34+WR!I272*Scoring!$H$34+K272*Scoring!$I$34+WR!L272*Scoring!$J$34+U270</x:f>
        <x:v>72.89999999999999</x:v>
      </x:c>
      <x:c r="N270" s="119" t="n">
        <x:f>C270*Scoring!$B$34+D270/Scoring!$C$34+E270*Scoring!$D$34+WR!F270*Scoring!$E$34+WR!G270/Scoring!$F$34+WR!H270*Scoring!$G$34+WR!I270*Scoring!$H$34+K270*Scoring!$I$34+WR!L270*Scoring!$J$34+U270</x:f>
        <x:v>72.89999999999999</x:v>
      </x:c>
      <x:c r="O270" s="119" t="n">
        <x:f>C271*Scoring!$B$34+D271/Scoring!$C$34+E271*Scoring!$D$34+WR!F271*Scoring!$E$34+WR!G271/Scoring!$F$34+WR!H271*Scoring!$G$34+WR!I271*Scoring!$H$34+K271*Scoring!$I$34+WR!L271*Scoring!$J$34+U270</x:f>
        <x:v>72.89999999999999</x:v>
      </x:c>
      <x:c r="P270" s="9" t="n">
        <x:f>IF(COUNTIF(Rookies!$A:$A,A270)&gt;0,1,0)</x:f>
        <x:v>0</x:v>
      </x:c>
      <x:c r="Q270" s="9"/>
      <x:c r="R270" s="9"/>
      <x:c r="S270" s="9" t="n">
        <x:f>V270/17</x:f>
        <x:v>4.288235294117647</x:v>
      </x:c>
      <x:c r="T270" s="9" t="n">
        <x:f>IF(P270=1,MAX(0,0.28*(12-S270)),0)</x:f>
        <x:v>0</x:v>
      </x:c>
      <x:c r="U270" s="9" t="n">
        <x:f>T270*17</x:f>
        <x:v>0</x:v>
      </x:c>
      <x:c r="V270" s="9" t="n">
        <x:f>C270*Scoring!$B$34+D270/Scoring!$C$34+E270*Scoring!$D$34+WR!F270*Scoring!$E$34+WR!G270/Scoring!$F$34+WR!H270*Scoring!$G$34+WR!I270*Scoring!$H$34+K270*Scoring!$I$34+WR!L270*Scoring!$J$34</x:f>
        <x:v>72.89999999999999</x:v>
      </x:c>
      <x:c r="W270" s="9"/>
      <x:c r="X270" s="9"/>
      <x:c r="Y270" s="9"/>
      <x:c r="Z270" s="9"/>
    </x:row>
    <x:row r="271" ht="14.25" customHeight="1">
      <x:c r="B271" s="1" t="s">
        <x:v>488</x:v>
      </x:c>
      <x:c r="C271" s="1">
        <x:v>34.5</x:v>
      </x:c>
      <x:c r="D271" s="1">
        <x:v>410.5</x:v>
      </x:c>
      <x:c r="E271" s="1">
        <x:v>2.5</x:v>
      </x:c>
      <x:c r="F271" s="1">
        <x:v>0.0</x:v>
      </x:c>
      <x:c r="G271" s="1">
        <x:v>0.0</x:v>
      </x:c>
      <x:c r="H271" s="1">
        <x:v>0.0</x:v>
      </x:c>
      <x:c r="I271" s="1">
        <x:v>0.4</x:v>
      </x:c>
      <x:c r="J271" s="1">
        <x:v>89.9</x:v>
      </x:c>
      <x:c r="K271" s="18">
        <x:f t="shared" si="1"/>
        <x:v>0</x:v>
      </x:c>
      <x:c r="L271" s="18">
        <x:f t="shared" si="2"/>
        <x:v>20.19009324</x:v>
      </x:c>
      <x:c r="M271" s="121"/>
      <x:c r="N271" s="121"/>
      <x:c r="O271" s="121"/>
      <x:c r="P271" s="9"/>
      <x:c r="Q271" s="9"/>
      <x:c r="R271" s="9"/>
      <x:c r="S271" s="9"/>
      <x:c r="T271" s="9"/>
      <x:c r="U271" s="9"/>
      <x:c r="V271" s="9"/>
      <x:c r="W271" s="9"/>
      <x:c r="X271" s="9"/>
      <x:c r="Y271" s="9"/>
      <x:c r="Z271" s="9"/>
    </x:row>
    <x:row r="272" ht="14.25" customHeight="1">
      <x:c r="B272" s="1" t="s">
        <x:v>489</x:v>
      </x:c>
      <x:c r="C272" s="1">
        <x:v>34.5</x:v>
      </x:c>
      <x:c r="D272" s="1">
        <x:v>410.5</x:v>
      </x:c>
      <x:c r="E272" s="1">
        <x:v>2.5</x:v>
      </x:c>
      <x:c r="F272" s="1">
        <x:v>0.0</x:v>
      </x:c>
      <x:c r="G272" s="1">
        <x:v>0.0</x:v>
      </x:c>
      <x:c r="H272" s="1">
        <x:v>0.0</x:v>
      </x:c>
      <x:c r="I272" s="1">
        <x:v>0.4</x:v>
      </x:c>
      <x:c r="J272" s="1">
        <x:v>89.9</x:v>
      </x:c>
      <x:c r="K272" s="18">
        <x:f t="shared" si="1"/>
        <x:v>0</x:v>
      </x:c>
      <x:c r="L272" s="18">
        <x:f t="shared" si="2"/>
        <x:v>20.19009324</x:v>
      </x:c>
      <x:c r="M272" s="121"/>
      <x:c r="N272" s="121"/>
      <x:c r="O272" s="121"/>
      <x:c r="P272" s="9"/>
      <x:c r="Q272" s="9"/>
      <x:c r="R272" s="9"/>
      <x:c r="S272" s="9"/>
      <x:c r="T272" s="9"/>
      <x:c r="U272" s="9"/>
      <x:c r="V272" s="9"/>
      <x:c r="W272" s="9"/>
      <x:c r="X272" s="9"/>
      <x:c r="Y272" s="9"/>
      <x:c r="Z272" s="9"/>
    </x:row>
    <x:row r="273" ht="14.25" customHeight="1">
      <x:c r="A273" s="1" t="s">
        <x:v>823</x:v>
      </x:c>
      <x:c r="B273" s="1" t="s">
        <x:v>503</x:v>
      </x:c>
      <x:c r="C273" s="1">
        <x:v>34.0</x:v>
      </x:c>
      <x:c r="D273" s="1">
        <x:v>404.4</x:v>
      </x:c>
      <x:c r="E273" s="1">
        <x:v>2.6</x:v>
      </x:c>
      <x:c r="F273" s="1">
        <x:v>0.0</x:v>
      </x:c>
      <x:c r="G273" s="1">
        <x:v>0.0</x:v>
      </x:c>
      <x:c r="H273" s="1">
        <x:v>0.0</x:v>
      </x:c>
      <x:c r="I273" s="1">
        <x:v>0.1</x:v>
      </x:c>
      <x:c r="J273" s="1">
        <x:v>89.7</x:v>
      </x:c>
      <x:c r="K273" s="18">
        <x:f t="shared" si="1"/>
        <x:v>0</x:v>
      </x:c>
      <x:c r="L273" s="18">
        <x:f t="shared" si="2"/>
        <x:v>19.89006993</x:v>
      </x:c>
      <x:c r="M273" s="119" t="n">
        <x:f>C275*Scoring!$B$34+D275/Scoring!$C$34+E275*Scoring!$D$34+WR!F275*Scoring!$E$34+WR!G275/Scoring!$F$34+WR!H275*Scoring!$G$34+WR!I275*Scoring!$H$34+K275*Scoring!$I$34+WR!L275*Scoring!$J$34+U273</x:f>
        <x:v>30.62</x:v>
      </x:c>
      <x:c r="N273" s="119" t="n">
        <x:f>C273*Scoring!$B$34+D273/Scoring!$C$34+E273*Scoring!$D$34+WR!F273*Scoring!$E$34+WR!G273/Scoring!$F$34+WR!H273*Scoring!$G$34+WR!I273*Scoring!$H$34+K273*Scoring!$I$34+WR!L273*Scoring!$J$34+U273</x:f>
        <x:v>72.94</x:v>
      </x:c>
      <x:c r="O273" s="119" t="n">
        <x:f>C274*Scoring!$B$34+D274/Scoring!$C$34+E274*Scoring!$D$34+WR!F274*Scoring!$E$34+WR!G274/Scoring!$F$34+WR!H274*Scoring!$G$34+WR!I274*Scoring!$H$34+K274*Scoring!$I$34+WR!L274*Scoring!$J$34+U273</x:f>
        <x:v>114.8</x:v>
      </x:c>
      <x:c r="P273" s="9" t="n">
        <x:f>IF(COUNTIF(Rookies!$A:$A,A273)&gt;0,1,0)</x:f>
        <x:v>0</x:v>
      </x:c>
      <x:c r="Q273" s="9"/>
      <x:c r="R273" s="9"/>
      <x:c r="S273" s="9" t="n">
        <x:f>V273/17</x:f>
        <x:v>4.290588235294117</x:v>
      </x:c>
      <x:c r="T273" s="9" t="n">
        <x:f>IF(P273=1,MAX(0,0.28*(12-S273)),0)</x:f>
        <x:v>0</x:v>
      </x:c>
      <x:c r="U273" s="9" t="n">
        <x:f>T273*17</x:f>
        <x:v>0</x:v>
      </x:c>
      <x:c r="V273" s="9" t="n">
        <x:f>C273*Scoring!$B$34+D273/Scoring!$C$34+E273*Scoring!$D$34+WR!F273*Scoring!$E$34+WR!G273/Scoring!$F$34+WR!H273*Scoring!$G$34+WR!I273*Scoring!$H$34+K273*Scoring!$I$34+WR!L273*Scoring!$J$34</x:f>
        <x:v>72.94</x:v>
      </x:c>
      <x:c r="W273" s="9"/>
      <x:c r="X273" s="9"/>
      <x:c r="Y273" s="9"/>
      <x:c r="Z273" s="9"/>
    </x:row>
    <x:row r="274" ht="14.25" customHeight="1">
      <x:c r="B274" s="1" t="s">
        <x:v>488</x:v>
      </x:c>
      <x:c r="C274" s="1">
        <x:v>55.0</x:v>
      </x:c>
      <x:c r="D274" s="1">
        <x:v>633.0</x:v>
      </x:c>
      <x:c r="E274" s="1">
        <x:v>4.0</x:v>
      </x:c>
      <x:c r="F274" s="1">
        <x:v>0.0</x:v>
      </x:c>
      <x:c r="G274" s="1">
        <x:v>0.0</x:v>
      </x:c>
      <x:c r="H274" s="1">
        <x:v>0.0</x:v>
      </x:c>
      <x:c r="I274" s="1">
        <x:v>0.0</x:v>
      </x:c>
      <x:c r="J274" s="1">
        <x:v>113.0</x:v>
      </x:c>
      <x:c r="K274" s="18">
        <x:f t="shared" si="1"/>
        <x:v>0</x:v>
      </x:c>
      <x:c r="L274" s="18">
        <x:f t="shared" si="2"/>
        <x:v>31.13356643</x:v>
      </x:c>
      <x:c r="M274" s="121"/>
      <x:c r="N274" s="121"/>
      <x:c r="O274" s="121"/>
      <x:c r="P274" s="9"/>
      <x:c r="Q274" s="9"/>
      <x:c r="R274" s="9"/>
      <x:c r="S274" s="9"/>
      <x:c r="T274" s="9"/>
      <x:c r="U274" s="9"/>
      <x:c r="V274" s="9"/>
      <x:c r="W274" s="9"/>
      <x:c r="X274" s="9"/>
      <x:c r="Y274" s="9"/>
      <x:c r="Z274" s="9"/>
    </x:row>
    <x:row r="275" ht="14.25" customHeight="1">
      <x:c r="B275" s="1" t="s">
        <x:v>489</x:v>
      </x:c>
      <x:c r="C275" s="1">
        <x:v>13.1</x:v>
      </x:c>
      <x:c r="D275" s="1">
        <x:v>175.7</x:v>
      </x:c>
      <x:c r="E275" s="1">
        <x:v>1.1</x:v>
      </x:c>
      <x:c r="F275" s="1">
        <x:v>0.0</x:v>
      </x:c>
      <x:c r="G275" s="1">
        <x:v>0.0</x:v>
      </x:c>
      <x:c r="H275" s="1">
        <x:v>0.0</x:v>
      </x:c>
      <x:c r="I275" s="1">
        <x:v>0.1</x:v>
      </x:c>
      <x:c r="J275" s="1">
        <x:v>58.2</x:v>
      </x:c>
      <x:c r="K275" s="18">
        <x:f t="shared" si="1"/>
        <x:v>0</x:v>
      </x:c>
      <x:c r="L275" s="18">
        <x:f t="shared" si="2"/>
        <x:v>8.641655012</x:v>
      </x:c>
      <x:c r="M275" s="121"/>
      <x:c r="N275" s="121"/>
      <x:c r="O275" s="121"/>
      <x:c r="P275" s="9"/>
      <x:c r="Q275" s="9"/>
      <x:c r="R275" s="9"/>
      <x:c r="S275" s="9"/>
      <x:c r="T275" s="9"/>
      <x:c r="U275" s="9"/>
      <x:c r="V275" s="9"/>
      <x:c r="W275" s="9"/>
      <x:c r="X275" s="9"/>
      <x:c r="Y275" s="9"/>
      <x:c r="Z275" s="9"/>
    </x:row>
    <x:row r="276" ht="14.25" customHeight="1">
      <x:c r="A276" s="1" t="s">
        <x:v>824</x:v>
      </x:c>
      <x:c r="B276" s="1" t="s">
        <x:v>507</x:v>
      </x:c>
      <x:c r="C276" s="1">
        <x:v>33.8</x:v>
      </x:c>
      <x:c r="D276" s="1">
        <x:v>383.0</x:v>
      </x:c>
      <x:c r="E276" s="1">
        <x:v>2.7</x:v>
      </x:c>
      <x:c r="F276" s="1">
        <x:v>2.2</x:v>
      </x:c>
      <x:c r="G276" s="1">
        <x:v>12.4</x:v>
      </x:c>
      <x:c r="H276" s="1">
        <x:v>0.1</x:v>
      </x:c>
      <x:c r="I276" s="1">
        <x:v>0.4</x:v>
      </x:c>
      <x:c r="J276" s="1">
        <x:v>89.2</x:v>
      </x:c>
      <x:c r="K276" s="18">
        <x:f t="shared" si="1"/>
        <x:v>0.7684760522</x:v>
      </x:c>
      <x:c r="L276" s="18">
        <x:f t="shared" si="2"/>
        <x:v>18.83752914</x:v>
      </x:c>
      <x:c r="M276" s="119" t="n">
        <x:f>C278*Scoring!$B$34+D278/Scoring!$C$34+E278*Scoring!$D$34+WR!F278*Scoring!$E$34+WR!G278/Scoring!$F$34+WR!H278*Scoring!$G$34+WR!I278*Scoring!$H$34+K278*Scoring!$I$34+WR!L278*Scoring!$J$34+U276</x:f>
        <x:v>72.83999999999999</x:v>
      </x:c>
      <x:c r="N276" s="119" t="n">
        <x:f>C276*Scoring!$B$34+D276/Scoring!$C$34+E276*Scoring!$D$34+WR!F276*Scoring!$E$34+WR!G276/Scoring!$F$34+WR!H276*Scoring!$G$34+WR!I276*Scoring!$H$34+K276*Scoring!$I$34+WR!L276*Scoring!$J$34+U276</x:f>
        <x:v>72.83999999999999</x:v>
      </x:c>
      <x:c r="O276" s="119" t="n">
        <x:f>C277*Scoring!$B$34+D277/Scoring!$C$34+E277*Scoring!$D$34+WR!F277*Scoring!$E$34+WR!G277/Scoring!$F$34+WR!H277*Scoring!$G$34+WR!I277*Scoring!$H$34+K277*Scoring!$I$34+WR!L277*Scoring!$J$34+U276</x:f>
        <x:v>72.83999999999999</x:v>
      </x:c>
      <x:c r="P276" s="9" t="n">
        <x:f>IF(COUNTIF(Rookies!$A:$A,A276)&gt;0,1,0)</x:f>
        <x:v>0</x:v>
      </x:c>
      <x:c r="Q276" s="9"/>
      <x:c r="R276" s="9"/>
      <x:c r="S276" s="9" t="n">
        <x:f>V276/17</x:f>
        <x:v>4.284705882352941</x:v>
      </x:c>
      <x:c r="T276" s="9" t="n">
        <x:f>IF(P276=1,MAX(0,0.28*(12-S276)),0)</x:f>
        <x:v>0</x:v>
      </x:c>
      <x:c r="U276" s="9" t="n">
        <x:f>T276*17</x:f>
        <x:v>0</x:v>
      </x:c>
      <x:c r="V276" s="9" t="n">
        <x:f>C276*Scoring!$B$34+D276/Scoring!$C$34+E276*Scoring!$D$34+WR!F276*Scoring!$E$34+WR!G276/Scoring!$F$34+WR!H276*Scoring!$G$34+WR!I276*Scoring!$H$34+K276*Scoring!$I$34+WR!L276*Scoring!$J$34</x:f>
        <x:v>72.83999999999999</x:v>
      </x:c>
      <x:c r="W276" s="9"/>
      <x:c r="X276" s="9"/>
      <x:c r="Y276" s="9"/>
      <x:c r="Z276" s="9"/>
    </x:row>
    <x:row r="277" ht="14.25" customHeight="1">
      <x:c r="B277" s="1" t="s">
        <x:v>488</x:v>
      </x:c>
      <x:c r="C277" s="1">
        <x:v>33.8</x:v>
      </x:c>
      <x:c r="D277" s="1">
        <x:v>383.0</x:v>
      </x:c>
      <x:c r="E277" s="1">
        <x:v>2.7</x:v>
      </x:c>
      <x:c r="F277" s="1">
        <x:v>2.2</x:v>
      </x:c>
      <x:c r="G277" s="1">
        <x:v>12.4</x:v>
      </x:c>
      <x:c r="H277" s="1">
        <x:v>0.1</x:v>
      </x:c>
      <x:c r="I277" s="1">
        <x:v>0.4</x:v>
      </x:c>
      <x:c r="J277" s="1">
        <x:v>89.3</x:v>
      </x:c>
      <x:c r="K277" s="18">
        <x:f t="shared" si="1"/>
        <x:v>0.7684760522</x:v>
      </x:c>
      <x:c r="L277" s="18">
        <x:f t="shared" si="2"/>
        <x:v>18.83752914</x:v>
      </x:c>
      <x:c r="M277" s="121"/>
      <x:c r="N277" s="121"/>
      <x:c r="O277" s="121"/>
      <x:c r="P277" s="9"/>
      <x:c r="Q277" s="9"/>
      <x:c r="R277" s="9"/>
      <x:c r="S277" s="9"/>
      <x:c r="T277" s="9"/>
      <x:c r="U277" s="9"/>
      <x:c r="V277" s="9"/>
      <x:c r="W277" s="9"/>
      <x:c r="X277" s="9"/>
      <x:c r="Y277" s="9"/>
      <x:c r="Z277" s="9"/>
    </x:row>
    <x:row r="278" ht="14.25" customHeight="1">
      <x:c r="B278" s="1" t="s">
        <x:v>489</x:v>
      </x:c>
      <x:c r="C278" s="1">
        <x:v>33.8</x:v>
      </x:c>
      <x:c r="D278" s="1">
        <x:v>383.0</x:v>
      </x:c>
      <x:c r="E278" s="1">
        <x:v>2.7</x:v>
      </x:c>
      <x:c r="F278" s="1">
        <x:v>2.2</x:v>
      </x:c>
      <x:c r="G278" s="1">
        <x:v>12.4</x:v>
      </x:c>
      <x:c r="H278" s="1">
        <x:v>0.1</x:v>
      </x:c>
      <x:c r="I278" s="1">
        <x:v>0.4</x:v>
      </x:c>
      <x:c r="J278" s="1">
        <x:v>89.3</x:v>
      </x:c>
      <x:c r="K278" s="18">
        <x:f t="shared" si="1"/>
        <x:v>0.7684760522</x:v>
      </x:c>
      <x:c r="L278" s="18">
        <x:f t="shared" si="2"/>
        <x:v>18.83752914</x:v>
      </x:c>
      <x:c r="M278" s="121"/>
      <x:c r="N278" s="121"/>
      <x:c r="O278" s="121"/>
      <x:c r="P278" s="9"/>
      <x:c r="Q278" s="9"/>
      <x:c r="R278" s="9"/>
      <x:c r="S278" s="9"/>
      <x:c r="T278" s="9"/>
      <x:c r="U278" s="9"/>
      <x:c r="V278" s="9"/>
      <x:c r="W278" s="9"/>
      <x:c r="X278" s="9"/>
      <x:c r="Y278" s="9"/>
      <x:c r="Z278" s="9"/>
    </x:row>
    <x:row r="279" ht="14.25" customHeight="1">
      <x:c r="A279" s="1" t="s">
        <x:v>825</x:v>
      </x:c>
      <x:c r="B279" s="1" t="s">
        <x:v>529</x:v>
      </x:c>
      <x:c r="C279" s="1">
        <x:v>33.9</x:v>
      </x:c>
      <x:c r="D279" s="1">
        <x:v>420.3</x:v>
      </x:c>
      <x:c r="E279" s="1">
        <x:v>1.7</x:v>
      </x:c>
      <x:c r="F279" s="1">
        <x:v>0.0</x:v>
      </x:c>
      <x:c r="G279" s="1">
        <x:v>0.0</x:v>
      </x:c>
      <x:c r="H279" s="1">
        <x:v>0.0</x:v>
      </x:c>
      <x:c r="I279" s="1">
        <x:v>0.3</x:v>
      </x:c>
      <x:c r="J279" s="1">
        <x:v>85.4</x:v>
      </x:c>
      <x:c r="K279" s="18">
        <x:f t="shared" si="1"/>
        <x:v>0</x:v>
      </x:c>
      <x:c r="L279" s="18">
        <x:f t="shared" si="2"/>
        <x:v>20.6720979</x:v>
      </x:c>
      <x:c r="M279" s="119" t="n">
        <x:f>C281*Scoring!$B$34+D281/Scoring!$C$34+E281*Scoring!$D$34+WR!F281*Scoring!$E$34+WR!G281/Scoring!$F$34+WR!H281*Scoring!$G$34+WR!I281*Scoring!$H$34+K281*Scoring!$I$34+WR!L281*Scoring!$J$34+U279</x:f>
        <x:v>68.88000000000001</x:v>
      </x:c>
      <x:c r="N279" s="119" t="n">
        <x:f>C279*Scoring!$B$34+D279/Scoring!$C$34+E279*Scoring!$D$34+WR!F279*Scoring!$E$34+WR!G279/Scoring!$F$34+WR!H279*Scoring!$G$34+WR!I279*Scoring!$H$34+K279*Scoring!$I$34+WR!L279*Scoring!$J$34+U279</x:f>
        <x:v>68.88000000000001</x:v>
      </x:c>
      <x:c r="O279" s="119" t="n">
        <x:f>C280*Scoring!$B$34+D280/Scoring!$C$34+E280*Scoring!$D$34+WR!F280*Scoring!$E$34+WR!G280/Scoring!$F$34+WR!H280*Scoring!$G$34+WR!I280*Scoring!$H$34+K280*Scoring!$I$34+WR!L280*Scoring!$J$34+U279</x:f>
        <x:v>68.88000000000001</x:v>
      </x:c>
      <x:c r="P279" s="9" t="n">
        <x:f>IF(COUNTIF(Rookies!$A:$A,A279)&gt;0,1,0)</x:f>
        <x:v>0</x:v>
      </x:c>
      <x:c r="Q279" s="9"/>
      <x:c r="R279" s="9"/>
      <x:c r="S279" s="9" t="n">
        <x:f>V279/17</x:f>
        <x:v>4.051764705882354</x:v>
      </x:c>
      <x:c r="T279" s="9" t="n">
        <x:f>IF(P279=1,MAX(0,0.28*(12-S279)),0)</x:f>
        <x:v>0</x:v>
      </x:c>
      <x:c r="U279" s="9" t="n">
        <x:f>T279*17</x:f>
        <x:v>0</x:v>
      </x:c>
      <x:c r="V279" s="9" t="n">
        <x:f>C279*Scoring!$B$34+D279/Scoring!$C$34+E279*Scoring!$D$34+WR!F279*Scoring!$E$34+WR!G279/Scoring!$F$34+WR!H279*Scoring!$G$34+WR!I279*Scoring!$H$34+K279*Scoring!$I$34+WR!L279*Scoring!$J$34</x:f>
        <x:v>68.88000000000001</x:v>
      </x:c>
      <x:c r="W279" s="9"/>
      <x:c r="X279" s="9"/>
      <x:c r="Y279" s="9"/>
      <x:c r="Z279" s="9"/>
    </x:row>
    <x:row r="280" ht="14.25" customHeight="1">
      <x:c r="B280" s="1" t="s">
        <x:v>488</x:v>
      </x:c>
      <x:c r="C280" s="1">
        <x:v>33.9</x:v>
      </x:c>
      <x:c r="D280" s="1">
        <x:v>420.3</x:v>
      </x:c>
      <x:c r="E280" s="1">
        <x:v>1.7</x:v>
      </x:c>
      <x:c r="F280" s="1">
        <x:v>0.0</x:v>
      </x:c>
      <x:c r="G280" s="1">
        <x:v>0.0</x:v>
      </x:c>
      <x:c r="H280" s="1">
        <x:v>0.0</x:v>
      </x:c>
      <x:c r="I280" s="1">
        <x:v>0.3</x:v>
      </x:c>
      <x:c r="J280" s="1">
        <x:v>85.6</x:v>
      </x:c>
      <x:c r="K280" s="18">
        <x:f t="shared" si="1"/>
        <x:v>0</x:v>
      </x:c>
      <x:c r="L280" s="18">
        <x:f t="shared" si="2"/>
        <x:v>20.6720979</x:v>
      </x:c>
      <x:c r="M280" s="121"/>
      <x:c r="N280" s="121"/>
      <x:c r="O280" s="121"/>
      <x:c r="P280" s="9"/>
      <x:c r="Q280" s="9"/>
      <x:c r="R280" s="9"/>
      <x:c r="S280" s="9"/>
      <x:c r="T280" s="9"/>
      <x:c r="U280" s="9"/>
      <x:c r="V280" s="9"/>
      <x:c r="W280" s="9"/>
      <x:c r="X280" s="9"/>
      <x:c r="Y280" s="9"/>
      <x:c r="Z280" s="9"/>
    </x:row>
    <x:row r="281" ht="14.25" customHeight="1">
      <x:c r="B281" s="1" t="s">
        <x:v>489</x:v>
      </x:c>
      <x:c r="C281" s="1">
        <x:v>33.9</x:v>
      </x:c>
      <x:c r="D281" s="1">
        <x:v>420.3</x:v>
      </x:c>
      <x:c r="E281" s="1">
        <x:v>1.7</x:v>
      </x:c>
      <x:c r="F281" s="1">
        <x:v>0.0</x:v>
      </x:c>
      <x:c r="G281" s="1">
        <x:v>0.0</x:v>
      </x:c>
      <x:c r="H281" s="1">
        <x:v>0.0</x:v>
      </x:c>
      <x:c r="I281" s="1">
        <x:v>0.3</x:v>
      </x:c>
      <x:c r="J281" s="1">
        <x:v>85.6</x:v>
      </x:c>
      <x:c r="K281" s="18">
        <x:f t="shared" si="1"/>
        <x:v>0</x:v>
      </x:c>
      <x:c r="L281" s="18">
        <x:f t="shared" si="2"/>
        <x:v>20.6720979</x:v>
      </x:c>
      <x:c r="M281" s="121"/>
      <x:c r="N281" s="121"/>
      <x:c r="O281" s="121"/>
      <x:c r="P281" s="9"/>
      <x:c r="Q281" s="9"/>
      <x:c r="R281" s="9"/>
      <x:c r="S281" s="9"/>
      <x:c r="T281" s="9"/>
      <x:c r="U281" s="9"/>
      <x:c r="V281" s="9"/>
      <x:c r="W281" s="9"/>
      <x:c r="X281" s="9"/>
      <x:c r="Y281" s="9"/>
      <x:c r="Z281" s="9"/>
    </x:row>
    <x:row r="282" ht="14.25" customHeight="1">
      <x:c r="A282" s="1" t="s">
        <x:v>826</x:v>
      </x:c>
      <x:c r="B282" s="1" t="s">
        <x:v>519</x:v>
      </x:c>
      <x:c r="C282" s="1">
        <x:v>25.4</x:v>
      </x:c>
      <x:c r="D282" s="1">
        <x:v>352.4</x:v>
      </x:c>
      <x:c r="E282" s="1">
        <x:v>4.1</x:v>
      </x:c>
      <x:c r="F282" s="1">
        <x:v>0.0</x:v>
      </x:c>
      <x:c r="G282" s="1">
        <x:v>0.0</x:v>
      </x:c>
      <x:c r="H282" s="1">
        <x:v>0.0</x:v>
      </x:c>
      <x:c r="I282" s="1">
        <x:v>0.1</x:v>
      </x:c>
      <x:c r="J282" s="1">
        <x:v>85.1</x:v>
      </x:c>
      <x:c r="K282" s="18">
        <x:f t="shared" si="1"/>
        <x:v>0</x:v>
      </x:c>
      <x:c r="L282" s="18">
        <x:f t="shared" si="2"/>
        <x:v>17.33249417</x:v>
      </x:c>
      <x:c r="M282" s="119" t="n">
        <x:f>C284*Scoring!$B$34+D284/Scoring!$C$34+E284*Scoring!$D$34+WR!F284*Scoring!$E$34+WR!G284/Scoring!$F$34+WR!H284*Scoring!$G$34+WR!I284*Scoring!$H$34+K284*Scoring!$I$34+WR!L284*Scoring!$J$34+U282</x:f>
        <x:v>60.97</x:v>
      </x:c>
      <x:c r="N282" s="119" t="n">
        <x:f>C282*Scoring!$B$34+D282/Scoring!$C$34+E282*Scoring!$D$34+WR!F282*Scoring!$E$34+WR!G282/Scoring!$F$34+WR!H282*Scoring!$G$34+WR!I282*Scoring!$H$34+K282*Scoring!$I$34+WR!L282*Scoring!$J$34+U282</x:f>
        <x:v>72.44</x:v>
      </x:c>
      <x:c r="O282" s="119" t="n">
        <x:f>C283*Scoring!$B$34+D283/Scoring!$C$34+E283*Scoring!$D$34+WR!F283*Scoring!$E$34+WR!G283/Scoring!$F$34+WR!H283*Scoring!$G$34+WR!I283*Scoring!$H$34+K283*Scoring!$I$34+WR!L283*Scoring!$J$34+U282</x:f>
        <x:v>83.9</x:v>
      </x:c>
      <x:c r="P282" s="9" t="n">
        <x:f>IF(COUNTIF(Rookies!$A:$A,A282)&gt;0,1,0)</x:f>
        <x:v>0</x:v>
      </x:c>
      <x:c r="Q282" s="9"/>
      <x:c r="R282" s="9"/>
      <x:c r="S282" s="9" t="n">
        <x:f>V282/17</x:f>
        <x:v>4.261176470588235</x:v>
      </x:c>
      <x:c r="T282" s="9" t="n">
        <x:f>IF(P282=1,MAX(0,0.28*(12-S282)),0)</x:f>
        <x:v>0</x:v>
      </x:c>
      <x:c r="U282" s="9" t="n">
        <x:f>T282*17</x:f>
        <x:v>0</x:v>
      </x:c>
      <x:c r="V282" s="9" t="n">
        <x:f>C282*Scoring!$B$34+D282/Scoring!$C$34+E282*Scoring!$D$34+WR!F282*Scoring!$E$34+WR!G282/Scoring!$F$34+WR!H282*Scoring!$G$34+WR!I282*Scoring!$H$34+K282*Scoring!$I$34+WR!L282*Scoring!$J$34</x:f>
        <x:v>72.44</x:v>
      </x:c>
      <x:c r="W282" s="9"/>
      <x:c r="X282" s="9"/>
      <x:c r="Y282" s="9"/>
      <x:c r="Z282" s="9"/>
    </x:row>
    <x:row r="283" ht="14.25" customHeight="1">
      <x:c r="B283" s="1" t="s">
        <x:v>488</x:v>
      </x:c>
      <x:c r="C283" s="1">
        <x:v>27.0</x:v>
      </x:c>
      <x:c r="D283" s="1">
        <x:v>404.0</x:v>
      </x:c>
      <x:c r="E283" s="1">
        <x:v>5.0</x:v>
      </x:c>
      <x:c r="F283" s="1">
        <x:v>0.0</x:v>
      </x:c>
      <x:c r="G283" s="1">
        <x:v>0.0</x:v>
      </x:c>
      <x:c r="H283" s="1">
        <x:v>0.0</x:v>
      </x:c>
      <x:c r="I283" s="1">
        <x:v>0.0</x:v>
      </x:c>
      <x:c r="J283" s="1">
        <x:v>87.4</x:v>
      </x:c>
      <x:c r="K283" s="18">
        <x:f t="shared" si="1"/>
        <x:v>0</x:v>
      </x:c>
      <x:c r="L283" s="18">
        <x:f t="shared" si="2"/>
        <x:v>19.87039627</x:v>
      </x:c>
      <x:c r="M283" s="121"/>
      <x:c r="N283" s="121"/>
      <x:c r="O283" s="121"/>
      <x:c r="P283" s="9"/>
      <x:c r="Q283" s="9"/>
      <x:c r="R283" s="9"/>
      <x:c r="S283" s="9"/>
      <x:c r="T283" s="9"/>
      <x:c r="U283" s="9"/>
      <x:c r="V283" s="9"/>
      <x:c r="W283" s="9"/>
      <x:c r="X283" s="9"/>
      <x:c r="Y283" s="9"/>
      <x:c r="Z283" s="9"/>
    </x:row>
    <x:row r="284" ht="14.25" customHeight="1">
      <x:c r="B284" s="1" t="s">
        <x:v>489</x:v>
      </x:c>
      <x:c r="C284" s="1">
        <x:v>23.8</x:v>
      </x:c>
      <x:c r="D284" s="1">
        <x:v>300.7</x:v>
      </x:c>
      <x:c r="E284" s="1">
        <x:v>3.2</x:v>
      </x:c>
      <x:c r="F284" s="1">
        <x:v>0.0</x:v>
      </x:c>
      <x:c r="G284" s="1">
        <x:v>0.0</x:v>
      </x:c>
      <x:c r="H284" s="1">
        <x:v>0.0</x:v>
      </x:c>
      <x:c r="I284" s="1">
        <x:v>0.2</x:v>
      </x:c>
      <x:c r="J284" s="1">
        <x:v>74.5</x:v>
      </x:c>
      <x:c r="K284" s="18">
        <x:f t="shared" si="1"/>
        <x:v>0</x:v>
      </x:c>
      <x:c r="L284" s="18">
        <x:f t="shared" si="2"/>
        <x:v>14.78967366</x:v>
      </x:c>
      <x:c r="M284" s="121"/>
      <x:c r="N284" s="121"/>
      <x:c r="O284" s="121"/>
      <x:c r="P284" s="9"/>
      <x:c r="Q284" s="9"/>
      <x:c r="R284" s="9"/>
      <x:c r="S284" s="9"/>
      <x:c r="T284" s="9"/>
      <x:c r="U284" s="9"/>
      <x:c r="V284" s="9"/>
      <x:c r="W284" s="9"/>
      <x:c r="X284" s="9"/>
      <x:c r="Y284" s="9"/>
      <x:c r="Z284" s="9"/>
    </x:row>
    <x:row r="285" ht="14.25" customHeight="1">
      <x:c r="A285" s="1" t="s">
        <x:v>827</x:v>
      </x:c>
      <x:c r="B285" s="1" t="s">
        <x:v>547</x:v>
      </x:c>
      <x:c r="C285" s="1">
        <x:v>33.2</x:v>
      </x:c>
      <x:c r="D285" s="1">
        <x:v>397.7</x:v>
      </x:c>
      <x:c r="E285" s="1">
        <x:v>1.9</x:v>
      </x:c>
      <x:c r="F285" s="1">
        <x:v>1.0</x:v>
      </x:c>
      <x:c r="G285" s="1">
        <x:v>4.0</x:v>
      </x:c>
      <x:c r="H285" s="1">
        <x:v>0.0</x:v>
      </x:c>
      <x:c r="I285" s="1">
        <x:v>0.6</x:v>
      </x:c>
      <x:c r="J285" s="1">
        <x:v>83.6</x:v>
      </x:c>
      <x:c r="K285" s="18">
        <x:f t="shared" si="1"/>
        <x:v>0.2478955007</x:v>
      </x:c>
      <x:c r="L285" s="18">
        <x:f t="shared" si="2"/>
        <x:v>19.56053613</x:v>
      </x:c>
      <x:c r="M285" s="119" t="n">
        <x:f>C287*Scoring!$B$34+D287/Scoring!$C$34+E287*Scoring!$D$34+WR!F287*Scoring!$E$34+WR!G287/Scoring!$F$34+WR!H287*Scoring!$G$34+WR!I287*Scoring!$H$34+K287*Scoring!$I$34+WR!L287*Scoring!$J$34+U285</x:f>
        <x:v>76.1404</x:v>
      </x:c>
      <x:c r="N285" s="119" t="n">
        <x:f>C285*Scoring!$B$34+D285/Scoring!$C$34+E285*Scoring!$D$34+WR!F285*Scoring!$E$34+WR!G285/Scoring!$F$34+WR!H285*Scoring!$G$34+WR!I285*Scoring!$H$34+K285*Scoring!$I$34+WR!L285*Scoring!$J$34+U285</x:f>
        <x:v>105.77040000000001</x:v>
      </x:c>
      <x:c r="O285" s="119" t="n">
        <x:f>C286*Scoring!$B$34+D286/Scoring!$C$34+E286*Scoring!$D$34+WR!F286*Scoring!$E$34+WR!G286/Scoring!$F$34+WR!H286*Scoring!$G$34+WR!I286*Scoring!$H$34+K286*Scoring!$I$34+WR!L286*Scoring!$J$34+U285</x:f>
        <x:v>135.4004</x:v>
      </x:c>
      <x:c r="P285" s="9" t="n">
        <x:f>IF(COUNTIF(Rookies!$A:$A,A285)&gt;0,1,0)</x:f>
        <x:v>1</x:v>
      </x:c>
      <x:c r="Q285" s="9"/>
      <x:c r="R285" s="9"/>
      <x:c r="S285" s="9" t="n">
        <x:f>V285/17</x:f>
        <x:v>3.9747058823529415</x:v>
      </x:c>
      <x:c r="T285" s="9" t="n">
        <x:f>IF(P285=1,MAX(0,0.28*(12-S285)),0)</x:f>
        <x:v>2.2470823529411765</x:v>
      </x:c>
      <x:c r="U285" s="9" t="n">
        <x:f>T285*17</x:f>
        <x:v>38.2004</x:v>
      </x:c>
      <x:c r="V285" s="9" t="n">
        <x:f>C285*Scoring!$B$34+D285/Scoring!$C$34+E285*Scoring!$D$34+WR!F285*Scoring!$E$34+WR!G285/Scoring!$F$34+WR!H285*Scoring!$G$34+WR!I285*Scoring!$H$34+K285*Scoring!$I$34+WR!L285*Scoring!$J$34</x:f>
        <x:v>67.57000000000001</x:v>
      </x:c>
      <x:c r="W285" s="9"/>
      <x:c r="X285" s="9"/>
      <x:c r="Y285" s="9"/>
      <x:c r="Z285" s="9"/>
    </x:row>
    <x:row r="286" ht="14.25" customHeight="1">
      <x:c r="B286" s="1" t="s">
        <x:v>488</x:v>
      </x:c>
      <x:c r="C286" s="1">
        <x:v>47.0</x:v>
      </x:c>
      <x:c r="D286" s="1">
        <x:v>551.0</x:v>
      </x:c>
      <x:c r="E286" s="1">
        <x:v>3.0</x:v>
      </x:c>
      <x:c r="F286" s="1">
        <x:v>2.0</x:v>
      </x:c>
      <x:c r="G286" s="1">
        <x:v>8.0</x:v>
      </x:c>
      <x:c r="H286" s="1">
        <x:v>0.0</x:v>
      </x:c>
      <x:c r="I286" s="1">
        <x:v>0.2</x:v>
      </x:c>
      <x:c r="J286" s="1">
        <x:v>96.2</x:v>
      </x:c>
      <x:c r="K286" s="18">
        <x:f t="shared" si="1"/>
        <x:v>0.4957910015</x:v>
      </x:c>
      <x:c r="L286" s="18">
        <x:f t="shared" si="2"/>
        <x:v>27.1004662</x:v>
      </x:c>
      <x:c r="M286" s="121"/>
      <x:c r="N286" s="121"/>
      <x:c r="O286" s="121"/>
      <x:c r="P286" s="9"/>
      <x:c r="Q286" s="9"/>
      <x:c r="R286" s="9"/>
      <x:c r="S286" s="9"/>
      <x:c r="T286" s="9"/>
      <x:c r="U286" s="9"/>
      <x:c r="V286" s="9"/>
      <x:c r="W286" s="9"/>
      <x:c r="X286" s="9"/>
      <x:c r="Y286" s="9"/>
      <x:c r="Z286" s="9"/>
    </x:row>
    <x:row r="287" ht="14.25" customHeight="1">
      <x:c r="B287" s="1" t="s">
        <x:v>489</x:v>
      </x:c>
      <x:c r="C287" s="1">
        <x:v>19.4</x:v>
      </x:c>
      <x:c r="D287" s="1">
        <x:v>244.4</x:v>
      </x:c>
      <x:c r="E287" s="1">
        <x:v>0.8</x:v>
      </x:c>
      <x:c r="F287" s="1">
        <x:v>0.0</x:v>
      </x:c>
      <x:c r="G287" s="1">
        <x:v>0.0</x:v>
      </x:c>
      <x:c r="H287" s="1">
        <x:v>0.0</x:v>
      </x:c>
      <x:c r="I287" s="1">
        <x:v>1.0</x:v>
      </x:c>
      <x:c r="J287" s="1">
        <x:v>62.1</x:v>
      </x:c>
      <x:c r="K287" s="18">
        <x:f t="shared" si="1"/>
        <x:v>0</x:v>
      </x:c>
      <x:c r="L287" s="18">
        <x:f t="shared" si="2"/>
        <x:v>12.02060606</x:v>
      </x:c>
      <x:c r="M287" s="121"/>
      <x:c r="N287" s="121"/>
      <x:c r="O287" s="121"/>
      <x:c r="P287" s="9"/>
      <x:c r="Q287" s="9"/>
      <x:c r="R287" s="9"/>
      <x:c r="S287" s="9"/>
      <x:c r="T287" s="9"/>
      <x:c r="U287" s="9"/>
      <x:c r="V287" s="9"/>
      <x:c r="W287" s="9"/>
      <x:c r="X287" s="9"/>
      <x:c r="Y287" s="9"/>
      <x:c r="Z287" s="9"/>
    </x:row>
    <x:row r="288" ht="14.25" customHeight="1">
      <x:c r="A288" s="1" t="s">
        <x:v>828</x:v>
      </x:c>
      <x:c r="B288" s="1" t="s">
        <x:v>523</x:v>
      </x:c>
      <x:c r="C288" s="1">
        <x:v>28.9</x:v>
      </x:c>
      <x:c r="D288" s="1">
        <x:v>389.9</x:v>
      </x:c>
      <x:c r="E288" s="1">
        <x:v>2.6</x:v>
      </x:c>
      <x:c r="F288" s="1">
        <x:v>1.0</x:v>
      </x:c>
      <x:c r="G288" s="1">
        <x:v>6.5</x:v>
      </x:c>
      <x:c r="H288" s="1">
        <x:v>0.0</x:v>
      </x:c>
      <x:c r="I288" s="1">
        <x:v>0.6</x:v>
      </x:c>
      <x:c r="J288" s="1">
        <x:v>82.7</x:v>
      </x:c>
      <x:c r="K288" s="18">
        <x:f t="shared" si="1"/>
        <x:v>0.4028301887</x:v>
      </x:c>
      <x:c r="L288" s="18">
        <x:f t="shared" si="2"/>
        <x:v>19.17689977</x:v>
      </x:c>
      <x:c r="M288" s="119" t="n">
        <x:f>C290*Scoring!$B$34+D290/Scoring!$C$34+E290*Scoring!$D$34+WR!F290*Scoring!$E$34+WR!G290/Scoring!$F$34+WR!H290*Scoring!$G$34+WR!I290*Scoring!$H$34+K290*Scoring!$I$34+WR!L290*Scoring!$J$34+U288</x:f>
        <x:v>90.2448</x:v>
      </x:c>
      <x:c r="N288" s="119" t="n">
        <x:f>C288*Scoring!$B$34+D288/Scoring!$C$34+E288*Scoring!$D$34+WR!F288*Scoring!$E$34+WR!G288/Scoring!$F$34+WR!H288*Scoring!$G$34+WR!I288*Scoring!$H$34+K288*Scoring!$I$34+WR!L288*Scoring!$J$34+U288</x:f>
        <x:v>106.8648</x:v>
      </x:c>
      <x:c r="O288" s="119" t="n">
        <x:f>C289*Scoring!$B$34+D289/Scoring!$C$34+E289*Scoring!$D$34+WR!F289*Scoring!$E$34+WR!G289/Scoring!$F$34+WR!H289*Scoring!$G$34+WR!I289*Scoring!$H$34+K289*Scoring!$I$34+WR!L289*Scoring!$J$34+U288</x:f>
        <x:v>122.8748</x:v>
      </x:c>
      <x:c r="P288" s="9" t="n">
        <x:f>IF(COUNTIF(Rookies!$A:$A,A288)&gt;0,1,0)</x:f>
        <x:v>1</x:v>
      </x:c>
      <x:c r="Q288" s="9"/>
      <x:c r="R288" s="9"/>
      <x:c r="S288" s="9" t="n">
        <x:f>V288/17</x:f>
        <x:v>4.064117647058824</x:v>
      </x:c>
      <x:c r="T288" s="9" t="n">
        <x:f>IF(P288=1,MAX(0,0.28*(12-S288)),0)</x:f>
        <x:v>2.2220470588235295</x:v>
      </x:c>
      <x:c r="U288" s="9" t="n">
        <x:f>T288*17</x:f>
        <x:v>37.7748</x:v>
      </x:c>
      <x:c r="V288" s="9" t="n">
        <x:f>C288*Scoring!$B$34+D288/Scoring!$C$34+E288*Scoring!$D$34+WR!F288*Scoring!$E$34+WR!G288/Scoring!$F$34+WR!H288*Scoring!$G$34+WR!I288*Scoring!$H$34+K288*Scoring!$I$34+WR!L288*Scoring!$J$34</x:f>
        <x:v>69.09</x:v>
      </x:c>
      <x:c r="W288" s="9"/>
      <x:c r="X288" s="9"/>
      <x:c r="Y288" s="9"/>
      <x:c r="Z288" s="9"/>
    </x:row>
    <x:row r="289" ht="14.25" customHeight="1">
      <x:c r="B289" s="1" t="s">
        <x:v>488</x:v>
      </x:c>
      <x:c r="C289" s="1">
        <x:v>35.0</x:v>
      </x:c>
      <x:c r="D289" s="1">
        <x:v>485.0</x:v>
      </x:c>
      <x:c r="E289" s="1">
        <x:v>3.0</x:v>
      </x:c>
      <x:c r="F289" s="1">
        <x:v>2.0</x:v>
      </x:c>
      <x:c r="G289" s="1">
        <x:v>13.0</x:v>
      </x:c>
      <x:c r="H289" s="1">
        <x:v>0.0</x:v>
      </x:c>
      <x:c r="I289" s="1">
        <x:v>0.2</x:v>
      </x:c>
      <x:c r="J289" s="1">
        <x:v>83.9</x:v>
      </x:c>
      <x:c r="K289" s="18">
        <x:f t="shared" si="1"/>
        <x:v>0.8056603774</x:v>
      </x:c>
      <x:c r="L289" s="18">
        <x:f t="shared" si="2"/>
        <x:v>23.85431235</x:v>
      </x:c>
      <x:c r="M289" s="121"/>
      <x:c r="N289" s="121"/>
      <x:c r="O289" s="121"/>
      <x:c r="P289" s="9"/>
      <x:c r="Q289" s="9"/>
      <x:c r="R289" s="9"/>
      <x:c r="S289" s="9"/>
      <x:c r="T289" s="9"/>
      <x:c r="U289" s="9"/>
      <x:c r="V289" s="9"/>
      <x:c r="W289" s="9"/>
      <x:c r="X289" s="9"/>
      <x:c r="Y289" s="9"/>
      <x:c r="Z289" s="9"/>
    </x:row>
    <x:row r="290" ht="14.25" customHeight="1">
      <x:c r="B290" s="1" t="s">
        <x:v>489</x:v>
      </x:c>
      <x:c r="C290" s="1">
        <x:v>22.8</x:v>
      </x:c>
      <x:c r="D290" s="1">
        <x:v>294.7</x:v>
      </x:c>
      <x:c r="E290" s="1">
        <x:v>2.1</x:v>
      </x:c>
      <x:c r="F290" s="1">
        <x:v>0.0</x:v>
      </x:c>
      <x:c r="G290" s="1">
        <x:v>0.0</x:v>
      </x:c>
      <x:c r="H290" s="1">
        <x:v>0.0</x:v>
      </x:c>
      <x:c r="I290" s="1">
        <x:v>1.0</x:v>
      </x:c>
      <x:c r="J290" s="1">
        <x:v>71.1</x:v>
      </x:c>
      <x:c r="K290" s="18">
        <x:f t="shared" si="1"/>
        <x:v>0</x:v>
      </x:c>
      <x:c r="L290" s="18">
        <x:f t="shared" si="2"/>
        <x:v>14.49456876</x:v>
      </x:c>
      <x:c r="M290" s="121"/>
      <x:c r="N290" s="121"/>
      <x:c r="O290" s="121"/>
      <x:c r="P290" s="9"/>
      <x:c r="Q290" s="9"/>
      <x:c r="R290" s="9"/>
      <x:c r="S290" s="9"/>
      <x:c r="T290" s="9"/>
      <x:c r="U290" s="9"/>
      <x:c r="V290" s="9"/>
      <x:c r="W290" s="9"/>
      <x:c r="X290" s="9"/>
      <x:c r="Y290" s="9"/>
      <x:c r="Z290" s="9"/>
    </x:row>
    <x:row r="291" ht="14.25" customHeight="1">
      <x:c r="A291" s="1" t="s">
        <x:v>829</x:v>
      </x:c>
      <x:c r="B291" s="1" t="s">
        <x:v>497</x:v>
      </x:c>
      <x:c r="C291" s="1">
        <x:v>28.2</x:v>
      </x:c>
      <x:c r="D291" s="1">
        <x:v>349.9</x:v>
      </x:c>
      <x:c r="E291" s="1">
        <x:v>3.0</x:v>
      </x:c>
      <x:c r="F291" s="1">
        <x:v>0.0</x:v>
      </x:c>
      <x:c r="G291" s="1">
        <x:v>0.0</x:v>
      </x:c>
      <x:c r="H291" s="1">
        <x:v>0.0</x:v>
      </x:c>
      <x:c r="I291" s="1">
        <x:v>0.1</x:v>
      </x:c>
      <x:c r="J291" s="1">
        <x:v>81.1</x:v>
      </x:c>
      <x:c r="K291" s="18">
        <x:f t="shared" si="1"/>
        <x:v>0</x:v>
      </x:c>
      <x:c r="L291" s="18">
        <x:f t="shared" si="2"/>
        <x:v>17.2095338</x:v>
      </x:c>
      <x:c r="M291" s="119" t="n">
        <x:f>C293*Scoring!$B$34+D293/Scoring!$C$34+E293*Scoring!$D$34+WR!F293*Scoring!$E$34+WR!G293/Scoring!$F$34+WR!H293*Scoring!$G$34+WR!I293*Scoring!$H$34+K293*Scoring!$I$34+WR!L293*Scoring!$J$34+U291</x:f>
        <x:v>27.48</x:v>
      </x:c>
      <x:c r="N291" s="119" t="n">
        <x:f>C291*Scoring!$B$34+D291/Scoring!$C$34+E291*Scoring!$D$34+WR!F291*Scoring!$E$34+WR!G291/Scoring!$F$34+WR!H291*Scoring!$G$34+WR!I291*Scoring!$H$34+K291*Scoring!$I$34+WR!L291*Scoring!$J$34+U291</x:f>
        <x:v>66.99000000000001</x:v>
      </x:c>
      <x:c r="O291" s="119" t="n">
        <x:f>C292*Scoring!$B$34+D292/Scoring!$C$34+E292*Scoring!$D$34+WR!F292*Scoring!$E$34+WR!G292/Scoring!$F$34+WR!H292*Scoring!$G$34+WR!I292*Scoring!$H$34+K292*Scoring!$I$34+WR!L292*Scoring!$J$34+U291</x:f>
        <x:v>106.6</x:v>
      </x:c>
      <x:c r="P291" s="9" t="n">
        <x:f>IF(COUNTIF(Rookies!$A:$A,A291)&gt;0,1,0)</x:f>
        <x:v>0</x:v>
      </x:c>
      <x:c r="Q291" s="9"/>
      <x:c r="R291" s="9"/>
      <x:c r="S291" s="9" t="n">
        <x:f>V291/17</x:f>
        <x:v>3.9405882352941184</x:v>
      </x:c>
      <x:c r="T291" s="9" t="n">
        <x:f>IF(P291=1,MAX(0,0.28*(12-S291)),0)</x:f>
        <x:v>0</x:v>
      </x:c>
      <x:c r="U291" s="9" t="n">
        <x:f>T291*17</x:f>
        <x:v>0</x:v>
      </x:c>
      <x:c r="V291" s="9" t="n">
        <x:f>C291*Scoring!$B$34+D291/Scoring!$C$34+E291*Scoring!$D$34+WR!F291*Scoring!$E$34+WR!G291/Scoring!$F$34+WR!H291*Scoring!$G$34+WR!I291*Scoring!$H$34+K291*Scoring!$I$34+WR!L291*Scoring!$J$34</x:f>
        <x:v>66.99000000000001</x:v>
      </x:c>
      <x:c r="W291" s="9"/>
      <x:c r="X291" s="9"/>
      <x:c r="Y291" s="9"/>
      <x:c r="Z291" s="9"/>
    </x:row>
    <x:row r="292" ht="14.25" customHeight="1">
      <x:c r="B292" s="1" t="s">
        <x:v>488</x:v>
      </x:c>
      <x:c r="C292" s="1">
        <x:v>44.0</x:v>
      </x:c>
      <x:c r="D292" s="1">
        <x:v>546.0</x:v>
      </x:c>
      <x:c r="E292" s="1">
        <x:v>5.0</x:v>
      </x:c>
      <x:c r="F292" s="1">
        <x:v>0.0</x:v>
      </x:c>
      <x:c r="G292" s="1">
        <x:v>0.0</x:v>
      </x:c>
      <x:c r="H292" s="1">
        <x:v>0.0</x:v>
      </x:c>
      <x:c r="I292" s="1">
        <x:v>0.0</x:v>
      </x:c>
      <x:c r="J292" s="1">
        <x:v>105.2</x:v>
      </x:c>
      <x:c r="K292" s="18">
        <x:f t="shared" si="1"/>
        <x:v>0</x:v>
      </x:c>
      <x:c r="L292" s="18">
        <x:f t="shared" si="2"/>
        <x:v>26.85454545</x:v>
      </x:c>
      <x:c r="M292" s="121"/>
      <x:c r="N292" s="121"/>
      <x:c r="O292" s="121"/>
      <x:c r="P292" s="9"/>
      <x:c r="Q292" s="9"/>
      <x:c r="R292" s="9"/>
      <x:c r="S292" s="9"/>
      <x:c r="T292" s="9"/>
      <x:c r="U292" s="9"/>
      <x:c r="V292" s="9"/>
      <x:c r="W292" s="9"/>
      <x:c r="X292" s="9"/>
      <x:c r="Y292" s="9"/>
      <x:c r="Z292" s="9"/>
    </x:row>
    <x:row r="293" ht="14.25" customHeight="1">
      <x:c r="B293" s="1" t="s">
        <x:v>489</x:v>
      </x:c>
      <x:c r="C293" s="1">
        <x:v>12.4</x:v>
      </x:c>
      <x:c r="D293" s="1">
        <x:v>153.8</x:v>
      </x:c>
      <x:c r="E293" s="1">
        <x:v>1.0</x:v>
      </x:c>
      <x:c r="F293" s="1">
        <x:v>0.0</x:v>
      </x:c>
      <x:c r="G293" s="1">
        <x:v>0.0</x:v>
      </x:c>
      <x:c r="H293" s="1">
        <x:v>0.0</x:v>
      </x:c>
      <x:c r="I293" s="1">
        <x:v>0.1</x:v>
      </x:c>
      <x:c r="J293" s="1">
        <x:v>49.5</x:v>
      </x:c>
      <x:c r="K293" s="18">
        <x:f t="shared" si="1"/>
        <x:v>0</x:v>
      </x:c>
      <x:c r="L293" s="18">
        <x:f t="shared" si="2"/>
        <x:v>7.564522145</x:v>
      </x:c>
      <x:c r="M293" s="121"/>
      <x:c r="N293" s="121"/>
      <x:c r="O293" s="121"/>
      <x:c r="P293" s="9"/>
      <x:c r="Q293" s="9"/>
      <x:c r="R293" s="9"/>
      <x:c r="S293" s="9"/>
      <x:c r="T293" s="9"/>
      <x:c r="U293" s="9"/>
      <x:c r="V293" s="9"/>
      <x:c r="W293" s="9"/>
      <x:c r="X293" s="9"/>
      <x:c r="Y293" s="9"/>
      <x:c r="Z293" s="9"/>
    </x:row>
    <x:row r="294" ht="14.25" customHeight="1">
      <x:c r="A294" s="1" t="s">
        <x:v>830</x:v>
      </x:c>
      <x:c r="B294" s="1" t="s">
        <x:v>551</x:v>
      </x:c>
      <x:c r="C294" s="1">
        <x:v>31.4</x:v>
      </x:c>
      <x:c r="D294" s="1">
        <x:v>381.7</x:v>
      </x:c>
      <x:c r="E294" s="1">
        <x:v>1.9</x:v>
      </x:c>
      <x:c r="F294" s="1">
        <x:v>0.0</x:v>
      </x:c>
      <x:c r="G294" s="1">
        <x:v>0.0</x:v>
      </x:c>
      <x:c r="H294" s="1">
        <x:v>0.0</x:v>
      </x:c>
      <x:c r="I294" s="1">
        <x:v>0.3</x:v>
      </x:c>
      <x:c r="J294" s="1">
        <x:v>80.3</x:v>
      </x:c>
      <x:c r="K294" s="18">
        <x:f t="shared" si="1"/>
        <x:v>0</x:v>
      </x:c>
      <x:c r="L294" s="18">
        <x:f t="shared" si="2"/>
        <x:v>18.77358974</x:v>
      </x:c>
      <x:c r="M294" s="119" t="n">
        <x:f>C296*Scoring!$B$34+D296/Scoring!$C$34+E296*Scoring!$D$34+WR!F296*Scoring!$E$34+WR!G296/Scoring!$F$34+WR!H296*Scoring!$G$34+WR!I296*Scoring!$H$34+K296*Scoring!$I$34+WR!L296*Scoring!$J$34+U294</x:f>
        <x:v>103.89840000000001</x:v>
      </x:c>
      <x:c r="N294" s="119" t="n">
        <x:f>C294*Scoring!$B$34+D294/Scoring!$C$34+E294*Scoring!$D$34+WR!F294*Scoring!$E$34+WR!G294/Scoring!$F$34+WR!H294*Scoring!$G$34+WR!I294*Scoring!$H$34+K294*Scoring!$I$34+WR!L294*Scoring!$J$34+U294</x:f>
        <x:v>103.89840000000001</x:v>
      </x:c>
      <x:c r="O294" s="119" t="n">
        <x:f>C295*Scoring!$B$34+D295/Scoring!$C$34+E295*Scoring!$D$34+WR!F295*Scoring!$E$34+WR!G295/Scoring!$F$34+WR!H295*Scoring!$G$34+WR!I295*Scoring!$H$34+K295*Scoring!$I$34+WR!L295*Scoring!$J$34+U294</x:f>
        <x:v>103.89840000000001</x:v>
      </x:c>
      <x:c r="P294" s="9" t="n">
        <x:f>IF(COUNTIF(Rookies!$A:$A,A294)&gt;0,1,0)</x:f>
        <x:v>1</x:v>
      </x:c>
      <x:c r="Q294" s="9"/>
      <x:c r="R294" s="9"/>
      <x:c r="S294" s="9" t="n">
        <x:f>V294/17</x:f>
        <x:v>3.821764705882354</x:v>
      </x:c>
      <x:c r="T294" s="9" t="n">
        <x:f>IF(P294=1,MAX(0,0.28*(12-S294)),0)</x:f>
        <x:v>2.2899058823529415</x:v>
      </x:c>
      <x:c r="U294" s="9" t="n">
        <x:f>T294*17</x:f>
        <x:v>38.9284</x:v>
      </x:c>
      <x:c r="V294" s="9" t="n">
        <x:f>C294*Scoring!$B$34+D294/Scoring!$C$34+E294*Scoring!$D$34+WR!F294*Scoring!$E$34+WR!G294/Scoring!$F$34+WR!H294*Scoring!$G$34+WR!I294*Scoring!$H$34+K294*Scoring!$I$34+WR!L294*Scoring!$J$34</x:f>
        <x:v>64.97000000000001</x:v>
      </x:c>
      <x:c r="W294" s="9"/>
      <x:c r="X294" s="9"/>
      <x:c r="Y294" s="9"/>
      <x:c r="Z294" s="9"/>
    </x:row>
    <x:row r="295" ht="14.25" customHeight="1">
      <x:c r="B295" s="1" t="s">
        <x:v>488</x:v>
      </x:c>
      <x:c r="C295" s="1">
        <x:v>31.4</x:v>
      </x:c>
      <x:c r="D295" s="1">
        <x:v>381.7</x:v>
      </x:c>
      <x:c r="E295" s="1">
        <x:v>1.9</x:v>
      </x:c>
      <x:c r="F295" s="1">
        <x:v>0.0</x:v>
      </x:c>
      <x:c r="G295" s="1">
        <x:v>0.0</x:v>
      </x:c>
      <x:c r="H295" s="1">
        <x:v>0.0</x:v>
      </x:c>
      <x:c r="I295" s="1">
        <x:v>0.3</x:v>
      </x:c>
      <x:c r="J295" s="1">
        <x:v>82.5</x:v>
      </x:c>
      <x:c r="K295" s="18">
        <x:f t="shared" si="1"/>
        <x:v>0</x:v>
      </x:c>
      <x:c r="L295" s="18">
        <x:f t="shared" si="2"/>
        <x:v>18.77358974</x:v>
      </x:c>
      <x:c r="M295" s="121"/>
      <x:c r="N295" s="121"/>
      <x:c r="O295" s="121"/>
      <x:c r="P295" s="9"/>
      <x:c r="Q295" s="9"/>
      <x:c r="R295" s="9"/>
      <x:c r="S295" s="9"/>
      <x:c r="T295" s="9"/>
      <x:c r="U295" s="9"/>
      <x:c r="V295" s="9"/>
      <x:c r="W295" s="9"/>
      <x:c r="X295" s="9"/>
      <x:c r="Y295" s="9"/>
      <x:c r="Z295" s="9"/>
    </x:row>
    <x:row r="296" ht="14.25" customHeight="1">
      <x:c r="B296" s="1" t="s">
        <x:v>489</x:v>
      </x:c>
      <x:c r="C296" s="1">
        <x:v>31.4</x:v>
      </x:c>
      <x:c r="D296" s="1">
        <x:v>381.7</x:v>
      </x:c>
      <x:c r="E296" s="1">
        <x:v>1.9</x:v>
      </x:c>
      <x:c r="F296" s="1">
        <x:v>0.0</x:v>
      </x:c>
      <x:c r="G296" s="1">
        <x:v>0.0</x:v>
      </x:c>
      <x:c r="H296" s="1">
        <x:v>0.0</x:v>
      </x:c>
      <x:c r="I296" s="1">
        <x:v>0.3</x:v>
      </x:c>
      <x:c r="J296" s="1">
        <x:v>82.5</x:v>
      </x:c>
      <x:c r="K296" s="18">
        <x:f t="shared" si="1"/>
        <x:v>0</x:v>
      </x:c>
      <x:c r="L296" s="18">
        <x:f t="shared" si="2"/>
        <x:v>18.77358974</x:v>
      </x:c>
      <x:c r="M296" s="121"/>
      <x:c r="N296" s="121"/>
      <x:c r="O296" s="121"/>
      <x:c r="P296" s="9"/>
      <x:c r="Q296" s="9"/>
      <x:c r="R296" s="9"/>
      <x:c r="S296" s="9"/>
      <x:c r="T296" s="9"/>
      <x:c r="U296" s="9"/>
      <x:c r="V296" s="9"/>
      <x:c r="W296" s="9"/>
      <x:c r="X296" s="9"/>
      <x:c r="Y296" s="9"/>
      <x:c r="Z296" s="9"/>
    </x:row>
    <x:row r="297" ht="14.25" customHeight="1">
      <x:c r="A297" s="1" t="s">
        <x:v>831</x:v>
      </x:c>
      <x:c r="B297" s="1" t="s">
        <x:v>499</x:v>
      </x:c>
      <x:c r="C297" s="1">
        <x:v>27.8</x:v>
      </x:c>
      <x:c r="D297" s="1">
        <x:v>352.4</x:v>
      </x:c>
      <x:c r="E297" s="1">
        <x:v>2.6</x:v>
      </x:c>
      <x:c r="F297" s="1">
        <x:v>2.5</x:v>
      </x:c>
      <x:c r="G297" s="1">
        <x:v>11.0</x:v>
      </x:c>
      <x:c r="H297" s="1">
        <x:v>0.0</x:v>
      </x:c>
      <x:c r="I297" s="1">
        <x:v>0.1</x:v>
      </x:c>
      <x:c r="J297" s="1">
        <x:v>79.5</x:v>
      </x:c>
      <x:c r="K297" s="18">
        <x:f t="shared" si="1"/>
        <x:v>0.681712627</x:v>
      </x:c>
      <x:c r="L297" s="18">
        <x:f t="shared" si="2"/>
        <x:v>17.33249417</x:v>
      </x:c>
      <x:c r="M297" s="119" t="n">
        <x:f>C299*Scoring!$B$34+D299/Scoring!$C$34+E299*Scoring!$D$34+WR!F299*Scoring!$E$34+WR!G299/Scoring!$F$34+WR!H299*Scoring!$G$34+WR!I299*Scoring!$H$34+K299*Scoring!$I$34+WR!L299*Scoring!$J$34+U297</x:f>
        <x:v>47.230000000000004</x:v>
      </x:c>
      <x:c r="N297" s="119" t="n">
        <x:f>C297*Scoring!$B$34+D297/Scoring!$C$34+E297*Scoring!$D$34+WR!F297*Scoring!$E$34+WR!G297/Scoring!$F$34+WR!H297*Scoring!$G$34+WR!I297*Scoring!$H$34+K297*Scoring!$I$34+WR!L297*Scoring!$J$34+U297</x:f>
        <x:v>65.74</x:v>
      </x:c>
      <x:c r="O297" s="119" t="n">
        <x:f>C298*Scoring!$B$34+D298/Scoring!$C$34+E298*Scoring!$D$34+WR!F298*Scoring!$E$34+WR!G298/Scoring!$F$34+WR!H298*Scoring!$G$34+WR!I298*Scoring!$H$34+K298*Scoring!$I$34+WR!L298*Scoring!$J$34+U297</x:f>
        <x:v>84.21</x:v>
      </x:c>
      <x:c r="P297" s="9" t="n">
        <x:f>IF(COUNTIF(Rookies!$A:$A,A297)&gt;0,1,0)</x:f>
        <x:v>0</x:v>
      </x:c>
      <x:c r="Q297" s="9"/>
      <x:c r="R297" s="9"/>
      <x:c r="S297" s="9" t="n">
        <x:f>V297/17</x:f>
        <x:v>3.8670588235294114</x:v>
      </x:c>
      <x:c r="T297" s="9" t="n">
        <x:f>IF(P297=1,MAX(0,0.28*(12-S297)),0)</x:f>
        <x:v>0</x:v>
      </x:c>
      <x:c r="U297" s="9" t="n">
        <x:f>T297*17</x:f>
        <x:v>0</x:v>
      </x:c>
      <x:c r="V297" s="9" t="n">
        <x:f>C297*Scoring!$B$34+D297/Scoring!$C$34+E297*Scoring!$D$34+WR!F297*Scoring!$E$34+WR!G297/Scoring!$F$34+WR!H297*Scoring!$G$34+WR!I297*Scoring!$H$34+K297*Scoring!$I$34+WR!L297*Scoring!$J$34</x:f>
        <x:v>65.74</x:v>
      </x:c>
      <x:c r="W297" s="9"/>
      <x:c r="X297" s="9"/>
      <x:c r="Y297" s="9"/>
      <x:c r="Z297" s="9"/>
    </x:row>
    <x:row r="298" ht="14.25" customHeight="1">
      <x:c r="B298" s="1" t="s">
        <x:v>488</x:v>
      </x:c>
      <x:c r="C298" s="1">
        <x:v>35.0</x:v>
      </x:c>
      <x:c r="D298" s="1">
        <x:v>470.0</x:v>
      </x:c>
      <x:c r="E298" s="1">
        <x:v>3.0</x:v>
      </x:c>
      <x:c r="F298" s="1">
        <x:v>3.0</x:v>
      </x:c>
      <x:c r="G298" s="1">
        <x:v>11.1</x:v>
      </x:c>
      <x:c r="H298" s="1">
        <x:v>0.1</x:v>
      </x:c>
      <x:c r="I298" s="1">
        <x:v>0.0</x:v>
      </x:c>
      <x:c r="J298" s="1">
        <x:v>83.8</x:v>
      </x:c>
      <x:c r="K298" s="18">
        <x:f t="shared" si="1"/>
        <x:v>0.6879100145</x:v>
      </x:c>
      <x:c r="L298" s="18">
        <x:f t="shared" si="2"/>
        <x:v>23.11655012</x:v>
      </x:c>
      <x:c r="M298" s="121"/>
      <x:c r="N298" s="121"/>
      <x:c r="O298" s="121"/>
      <x:c r="P298" s="9"/>
      <x:c r="Q298" s="9"/>
      <x:c r="R298" s="9"/>
      <x:c r="S298" s="9"/>
      <x:c r="T298" s="9"/>
      <x:c r="U298" s="9"/>
      <x:c r="V298" s="9"/>
      <x:c r="W298" s="9"/>
      <x:c r="X298" s="9"/>
      <x:c r="Y298" s="9"/>
      <x:c r="Z298" s="9"/>
    </x:row>
    <x:row r="299" ht="14.25" customHeight="1">
      <x:c r="B299" s="1" t="s">
        <x:v>489</x:v>
      </x:c>
      <x:c r="C299" s="1">
        <x:v>20.5</x:v>
      </x:c>
      <x:c r="D299" s="1">
        <x:v>234.8</x:v>
      </x:c>
      <x:c r="E299" s="1">
        <x:v>2.1</x:v>
      </x:c>
      <x:c r="F299" s="1">
        <x:v>2.0</x:v>
      </x:c>
      <x:c r="G299" s="1">
        <x:v>11.0</x:v>
      </x:c>
      <x:c r="H299" s="1">
        <x:v>0.0</x:v>
      </x:c>
      <x:c r="I299" s="1">
        <x:v>0.2</x:v>
      </x:c>
      <x:c r="J299" s="1">
        <x:v>65.4</x:v>
      </x:c>
      <x:c r="K299" s="18">
        <x:f t="shared" si="1"/>
        <x:v>0.681712627</x:v>
      </x:c>
      <x:c r="L299" s="18">
        <x:f t="shared" si="2"/>
        <x:v>11.54843823</x:v>
      </x:c>
      <x:c r="M299" s="121"/>
      <x:c r="N299" s="121"/>
      <x:c r="O299" s="121"/>
      <x:c r="P299" s="9"/>
      <x:c r="Q299" s="9"/>
      <x:c r="R299" s="9"/>
      <x:c r="S299" s="9"/>
      <x:c r="T299" s="9"/>
      <x:c r="U299" s="9"/>
      <x:c r="V299" s="9"/>
      <x:c r="W299" s="9"/>
      <x:c r="X299" s="9"/>
      <x:c r="Y299" s="9"/>
      <x:c r="Z299" s="9"/>
    </x:row>
    <x:row r="300" ht="14.25" customHeight="1">
      <x:c r="A300" s="1" t="s">
        <x:v>832</x:v>
      </x:c>
      <x:c r="B300" s="1" t="s">
        <x:v>541</x:v>
      </x:c>
      <x:c r="C300" s="1">
        <x:v>25.4</x:v>
      </x:c>
      <x:c r="D300" s="1">
        <x:v>342.8</x:v>
      </x:c>
      <x:c r="E300" s="1">
        <x:v>3.3</x:v>
      </x:c>
      <x:c r="F300" s="1">
        <x:v>0.0</x:v>
      </x:c>
      <x:c r="G300" s="1">
        <x:v>0.0</x:v>
      </x:c>
      <x:c r="H300" s="1">
        <x:v>0.0</x:v>
      </x:c>
      <x:c r="I300" s="1">
        <x:v>0.0</x:v>
      </x:c>
      <x:c r="J300" s="1">
        <x:v>79.5</x:v>
      </x:c>
      <x:c r="K300" s="18">
        <x:f t="shared" si="1"/>
        <x:v>0</x:v>
      </x:c>
      <x:c r="L300" s="18">
        <x:f t="shared" si="2"/>
        <x:v>16.86032634</x:v>
      </x:c>
      <x:c r="M300" s="119" t="n">
        <x:f>C302*Scoring!$B$34+D302/Scoring!$C$34+E302*Scoring!$D$34+WR!F302*Scoring!$E$34+WR!G302/Scoring!$F$34+WR!H302*Scoring!$G$34+WR!I302*Scoring!$H$34+K302*Scoring!$I$34+WR!L302*Scoring!$J$34+U300</x:f>
        <x:v>19.459999999999997</x:v>
      </x:c>
      <x:c r="N300" s="119" t="n">
        <x:f>C300*Scoring!$B$34+D300/Scoring!$C$34+E300*Scoring!$D$34+WR!F300*Scoring!$E$34+WR!G300/Scoring!$F$34+WR!H300*Scoring!$G$34+WR!I300*Scoring!$H$34+K300*Scoring!$I$34+WR!L300*Scoring!$J$34+U300</x:f>
        <x:v>66.78</x:v>
      </x:c>
      <x:c r="O300" s="119" t="n">
        <x:f>C301*Scoring!$B$34+D301/Scoring!$C$34+E301*Scoring!$D$34+WR!F301*Scoring!$E$34+WR!G301/Scoring!$F$34+WR!H301*Scoring!$G$34+WR!I301*Scoring!$H$34+K301*Scoring!$I$34+WR!L301*Scoring!$J$34+U300</x:f>
        <x:v>114</x:v>
      </x:c>
      <x:c r="P300" s="9" t="n">
        <x:f>IF(COUNTIF(Rookies!$A:$A,A300)&gt;0,1,0)</x:f>
        <x:v>0</x:v>
      </x:c>
      <x:c r="Q300" s="9"/>
      <x:c r="R300" s="9"/>
      <x:c r="S300" s="9" t="n">
        <x:f>V300/17</x:f>
        <x:v>3.928235294117647</x:v>
      </x:c>
      <x:c r="T300" s="9" t="n">
        <x:f>IF(P300=1,MAX(0,0.28*(12-S300)),0)</x:f>
        <x:v>0</x:v>
      </x:c>
      <x:c r="U300" s="9" t="n">
        <x:f>T300*17</x:f>
        <x:v>0</x:v>
      </x:c>
      <x:c r="V300" s="9" t="n">
        <x:f>C300*Scoring!$B$34+D300/Scoring!$C$34+E300*Scoring!$D$34+WR!F300*Scoring!$E$34+WR!G300/Scoring!$F$34+WR!H300*Scoring!$G$34+WR!I300*Scoring!$H$34+K300*Scoring!$I$34+WR!L300*Scoring!$J$34</x:f>
        <x:v>66.78</x:v>
      </x:c>
      <x:c r="W300" s="9"/>
      <x:c r="X300" s="9"/>
      <x:c r="Y300" s="9"/>
      <x:c r="Z300" s="9"/>
    </x:row>
    <x:row r="301" ht="14.25" customHeight="1">
      <x:c r="B301" s="1" t="s">
        <x:v>488</x:v>
      </x:c>
      <x:c r="C301" s="1">
        <x:v>42.0</x:v>
      </x:c>
      <x:c r="D301" s="1">
        <x:v>570.0</x:v>
      </x:c>
      <x:c r="E301" s="1">
        <x:v>6.0</x:v>
      </x:c>
      <x:c r="F301" s="1">
        <x:v>0.0</x:v>
      </x:c>
      <x:c r="G301" s="1">
        <x:v>0.0</x:v>
      </x:c>
      <x:c r="H301" s="1">
        <x:v>0.0</x:v>
      </x:c>
      <x:c r="I301" s="1">
        <x:v>0.0</x:v>
      </x:c>
      <x:c r="J301" s="1">
        <x:v>110.4</x:v>
      </x:c>
      <x:c r="K301" s="18">
        <x:f t="shared" si="1"/>
        <x:v>0</x:v>
      </x:c>
      <x:c r="L301" s="18">
        <x:f t="shared" si="2"/>
        <x:v>28.03496503</x:v>
      </x:c>
      <x:c r="M301" s="121"/>
      <x:c r="N301" s="121"/>
      <x:c r="O301" s="121"/>
      <x:c r="P301" s="9"/>
      <x:c r="Q301" s="9"/>
      <x:c r="R301" s="9"/>
      <x:c r="S301" s="9"/>
      <x:c r="T301" s="9"/>
      <x:c r="U301" s="9"/>
      <x:c r="V301" s="9"/>
      <x:c r="W301" s="9"/>
      <x:c r="X301" s="9"/>
      <x:c r="Y301" s="9"/>
      <x:c r="Z301" s="9"/>
    </x:row>
    <x:row r="302" ht="14.25" customHeight="1">
      <x:c r="B302" s="1" t="s">
        <x:v>489</x:v>
      </x:c>
      <x:c r="C302" s="1">
        <x:v>8.8</x:v>
      </x:c>
      <x:c r="D302" s="1">
        <x:v>115.6</x:v>
      </x:c>
      <x:c r="E302" s="1">
        <x:v>0.6</x:v>
      </x:c>
      <x:c r="F302" s="1">
        <x:v>0.0</x:v>
      </x:c>
      <x:c r="G302" s="1">
        <x:v>0.0</x:v>
      </x:c>
      <x:c r="H302" s="1">
        <x:v>0.0</x:v>
      </x:c>
      <x:c r="I302" s="1">
        <x:v>0.1</x:v>
      </x:c>
      <x:c r="J302" s="1">
        <x:v>40.5</x:v>
      </x:c>
      <x:c r="K302" s="18">
        <x:f t="shared" si="1"/>
        <x:v>0</x:v>
      </x:c>
      <x:c r="L302" s="18">
        <x:f t="shared" si="2"/>
        <x:v>5.685687646</x:v>
      </x:c>
      <x:c r="M302" s="121"/>
      <x:c r="N302" s="121"/>
      <x:c r="O302" s="121"/>
      <x:c r="P302" s="9"/>
      <x:c r="Q302" s="9"/>
      <x:c r="R302" s="9"/>
      <x:c r="S302" s="9"/>
      <x:c r="T302" s="9"/>
      <x:c r="U302" s="9"/>
      <x:c r="V302" s="9"/>
      <x:c r="W302" s="9"/>
      <x:c r="X302" s="9"/>
      <x:c r="Y302" s="9"/>
      <x:c r="Z302" s="9"/>
    </x:row>
    <x:row r="303" ht="14.25" customHeight="1">
      <x:c r="A303" s="1" t="s">
        <x:v>833</x:v>
      </x:c>
      <x:c r="B303" s="1" t="s">
        <x:v>541</x:v>
      </x:c>
      <x:c r="C303" s="1">
        <x:v>27.8</x:v>
      </x:c>
      <x:c r="D303" s="1">
        <x:v>271.6</x:v>
      </x:c>
      <x:c r="E303" s="1">
        <x:v>3.4</x:v>
      </x:c>
      <x:c r="F303" s="1">
        <x:v>10.1</x:v>
      </x:c>
      <x:c r="G303" s="1">
        <x:v>33.7</x:v>
      </x:c>
      <x:c r="H303" s="1">
        <x:v>0.3</x:v>
      </x:c>
      <x:c r="I303" s="1">
        <x:v>0.6</x:v>
      </x:c>
      <x:c r="J303" s="1">
        <x:v>79.2</x:v>
      </x:c>
      <x:c r="K303" s="18">
        <x:f t="shared" si="1"/>
        <x:v>2.088519594</x:v>
      </x:c>
      <x:c r="L303" s="18">
        <x:f t="shared" si="2"/>
        <x:v>13.35841492</x:v>
      </x:c>
      <x:c r="M303" s="119" t="n">
        <x:f>C305*Scoring!$B$34+D305/Scoring!$C$34+E305*Scoring!$D$34+WR!F305*Scoring!$E$34+WR!G305/Scoring!$F$34+WR!H305*Scoring!$G$34+WR!I305*Scoring!$H$34+K305*Scoring!$I$34+WR!L305*Scoring!$J$34+U303</x:f>
        <x:v>22.02</x:v>
      </x:c>
      <x:c r="N303" s="119" t="n">
        <x:f>C303*Scoring!$B$34+D303/Scoring!$C$34+E303*Scoring!$D$34+WR!F303*Scoring!$E$34+WR!G303/Scoring!$F$34+WR!H303*Scoring!$G$34+WR!I303*Scoring!$H$34+K303*Scoring!$I$34+WR!L303*Scoring!$J$34+U303</x:f>
        <x:v>66.03</x:v>
      </x:c>
      <x:c r="O303" s="119" t="n">
        <x:f>C304*Scoring!$B$34+D304/Scoring!$C$34+E304*Scoring!$D$34+WR!F304*Scoring!$E$34+WR!G304/Scoring!$F$34+WR!H304*Scoring!$G$34+WR!I304*Scoring!$H$34+K304*Scoring!$I$34+WR!L304*Scoring!$J$34+U303</x:f>
        <x:v>110.02999999999999</x:v>
      </x:c>
      <x:c r="P303" s="9" t="n">
        <x:f>IF(COUNTIF(Rookies!$A:$A,A303)&gt;0,1,0)</x:f>
        <x:v>0</x:v>
      </x:c>
      <x:c r="Q303" s="9"/>
      <x:c r="R303" s="9"/>
      <x:c r="S303" s="9" t="n">
        <x:f>V303/17</x:f>
        <x:v>3.8841176470588237</x:v>
      </x:c>
      <x:c r="T303" s="9" t="n">
        <x:f>IF(P303=1,MAX(0,0.28*(12-S303)),0)</x:f>
        <x:v>0</x:v>
      </x:c>
      <x:c r="U303" s="9" t="n">
        <x:f>T303*17</x:f>
        <x:v>0</x:v>
      </x:c>
      <x:c r="V303" s="9" t="n">
        <x:f>C303*Scoring!$B$34+D303/Scoring!$C$34+E303*Scoring!$D$34+WR!F303*Scoring!$E$34+WR!G303/Scoring!$F$34+WR!H303*Scoring!$G$34+WR!I303*Scoring!$H$34+K303*Scoring!$I$34+WR!L303*Scoring!$J$34</x:f>
        <x:v>66.03</x:v>
      </x:c>
      <x:c r="W303" s="9"/>
      <x:c r="X303" s="9"/>
      <x:c r="Y303" s="9"/>
      <x:c r="Z303" s="9"/>
    </x:row>
    <x:row r="304" ht="14.25" customHeight="1">
      <x:c r="B304" s="1" t="s">
        <x:v>488</x:v>
      </x:c>
      <x:c r="C304" s="1">
        <x:v>45.0</x:v>
      </x:c>
      <x:c r="D304" s="1">
        <x:v>431.0</x:v>
      </x:c>
      <x:c r="E304" s="1">
        <x:v>6.0</x:v>
      </x:c>
      <x:c r="F304" s="1">
        <x:v>10.2</x:v>
      </x:c>
      <x:c r="G304" s="1">
        <x:v>50.3</x:v>
      </x:c>
      <x:c r="H304" s="1">
        <x:v>0.6</x:v>
      </x:c>
      <x:c r="I304" s="1">
        <x:v>0.2</x:v>
      </x:c>
      <x:c r="J304" s="1">
        <x:v>97.8</x:v>
      </x:c>
      <x:c r="K304" s="18">
        <x:f t="shared" si="1"/>
        <x:v>3.117285922</x:v>
      </x:c>
      <x:c r="L304" s="18">
        <x:f t="shared" si="2"/>
        <x:v>21.1983683</x:v>
      </x:c>
      <x:c r="M304" s="121"/>
      <x:c r="N304" s="121"/>
      <x:c r="O304" s="121"/>
      <x:c r="P304" s="9"/>
      <x:c r="Q304" s="9"/>
      <x:c r="R304" s="9"/>
      <x:c r="S304" s="9"/>
      <x:c r="T304" s="9"/>
      <x:c r="U304" s="9"/>
      <x:c r="V304" s="9"/>
      <x:c r="W304" s="9"/>
      <x:c r="X304" s="9"/>
      <x:c r="Y304" s="9"/>
      <x:c r="Z304" s="9"/>
    </x:row>
    <x:row r="305" ht="14.25" customHeight="1">
      <x:c r="B305" s="1" t="s">
        <x:v>489</x:v>
      </x:c>
      <x:c r="C305" s="1">
        <x:v>10.6</x:v>
      </x:c>
      <x:c r="D305" s="1">
        <x:v>112.2</x:v>
      </x:c>
      <x:c r="E305" s="1">
        <x:v>0.8</x:v>
      </x:c>
      <x:c r="F305" s="1">
        <x:v>10.0</x:v>
      </x:c>
      <x:c r="G305" s="1">
        <x:v>17.0</x:v>
      </x:c>
      <x:c r="H305" s="1">
        <x:v>0.0</x:v>
      </x:c>
      <x:c r="I305" s="1">
        <x:v>1.0</x:v>
      </x:c>
      <x:c r="J305" s="1">
        <x:v>56.6</x:v>
      </x:c>
      <x:c r="K305" s="18">
        <x:f t="shared" si="1"/>
        <x:v>1.053555878</x:v>
      </x:c>
      <x:c r="L305" s="18">
        <x:f t="shared" si="2"/>
        <x:v>5.518461538</x:v>
      </x:c>
      <x:c r="M305" s="121"/>
      <x:c r="N305" s="121"/>
      <x:c r="O305" s="121"/>
      <x:c r="P305" s="9"/>
      <x:c r="Q305" s="9"/>
      <x:c r="R305" s="9"/>
      <x:c r="S305" s="9"/>
      <x:c r="T305" s="9"/>
      <x:c r="U305" s="9"/>
      <x:c r="V305" s="9"/>
      <x:c r="W305" s="9"/>
      <x:c r="X305" s="9"/>
      <x:c r="Y305" s="9"/>
      <x:c r="Z305" s="9"/>
    </x:row>
    <x:row r="306" ht="14.25" customHeight="1">
      <x:c r="A306" s="1" t="s">
        <x:v>834</x:v>
      </x:c>
      <x:c r="B306" s="1" t="s">
        <x:v>487</x:v>
      </x:c>
      <x:c r="C306" s="1">
        <x:v>24.4</x:v>
      </x:c>
      <x:c r="D306" s="1">
        <x:v>337.7</x:v>
      </x:c>
      <x:c r="E306" s="1">
        <x:v>2.8</x:v>
      </x:c>
      <x:c r="F306" s="1">
        <x:v>0.0</x:v>
      </x:c>
      <x:c r="G306" s="1">
        <x:v>0.0</x:v>
      </x:c>
      <x:c r="H306" s="1">
        <x:v>0.0</x:v>
      </x:c>
      <x:c r="I306" s="1">
        <x:v>0.2</x:v>
      </x:c>
      <x:c r="J306" s="1">
        <x:v>74.6</x:v>
      </x:c>
      <x:c r="K306" s="18">
        <x:f t="shared" si="1"/>
        <x:v>0</x:v>
      </x:c>
      <x:c r="L306" s="18">
        <x:f t="shared" si="2"/>
        <x:v>16.60948718</x:v>
      </x:c>
      <x:c r="M306" s="119" t="n">
        <x:f>C308*Scoring!$B$34+D308/Scoring!$C$34+E308*Scoring!$D$34+WR!F308*Scoring!$E$34+WR!G308/Scoring!$F$34+WR!H308*Scoring!$G$34+WR!I308*Scoring!$H$34+K308*Scoring!$I$34+WR!L308*Scoring!$J$34+U306</x:f>
        <x:v>62.56999999999999</x:v>
      </x:c>
      <x:c r="N306" s="119" t="n">
        <x:f>C306*Scoring!$B$34+D306/Scoring!$C$34+E306*Scoring!$D$34+WR!F306*Scoring!$E$34+WR!G306/Scoring!$F$34+WR!H306*Scoring!$G$34+WR!I306*Scoring!$H$34+K306*Scoring!$I$34+WR!L306*Scoring!$J$34+U306</x:f>
        <x:v>62.56999999999999</x:v>
      </x:c>
      <x:c r="O306" s="119" t="n">
        <x:f>C307*Scoring!$B$34+D307/Scoring!$C$34+E307*Scoring!$D$34+WR!F307*Scoring!$E$34+WR!G307/Scoring!$F$34+WR!H307*Scoring!$G$34+WR!I307*Scoring!$H$34+K307*Scoring!$I$34+WR!L307*Scoring!$J$34+U306</x:f>
        <x:v>62.56999999999999</x:v>
      </x:c>
      <x:c r="P306" s="9" t="n">
        <x:f>IF(COUNTIF(Rookies!$A:$A,A306)&gt;0,1,0)</x:f>
        <x:v>0</x:v>
      </x:c>
      <x:c r="Q306" s="9"/>
      <x:c r="R306" s="9"/>
      <x:c r="S306" s="9" t="n">
        <x:f>V306/17</x:f>
        <x:v>3.6805882352941173</x:v>
      </x:c>
      <x:c r="T306" s="9" t="n">
        <x:f>IF(P306=1,MAX(0,0.28*(12-S306)),0)</x:f>
        <x:v>0</x:v>
      </x:c>
      <x:c r="U306" s="9" t="n">
        <x:f>T306*17</x:f>
        <x:v>0</x:v>
      </x:c>
      <x:c r="V306" s="9" t="n">
        <x:f>C306*Scoring!$B$34+D306/Scoring!$C$34+E306*Scoring!$D$34+WR!F306*Scoring!$E$34+WR!G306/Scoring!$F$34+WR!H306*Scoring!$G$34+WR!I306*Scoring!$H$34+K306*Scoring!$I$34+WR!L306*Scoring!$J$34</x:f>
        <x:v>62.56999999999999</x:v>
      </x:c>
      <x:c r="W306" s="9"/>
      <x:c r="X306" s="9"/>
      <x:c r="Y306" s="9"/>
      <x:c r="Z306" s="9"/>
    </x:row>
    <x:row r="307" ht="14.25" customHeight="1">
      <x:c r="B307" s="1" t="s">
        <x:v>488</x:v>
      </x:c>
      <x:c r="C307" s="1">
        <x:v>24.4</x:v>
      </x:c>
      <x:c r="D307" s="1">
        <x:v>337.7</x:v>
      </x:c>
      <x:c r="E307" s="1">
        <x:v>2.8</x:v>
      </x:c>
      <x:c r="F307" s="1">
        <x:v>0.0</x:v>
      </x:c>
      <x:c r="G307" s="1">
        <x:v>0.0</x:v>
      </x:c>
      <x:c r="H307" s="1">
        <x:v>0.0</x:v>
      </x:c>
      <x:c r="I307" s="1">
        <x:v>0.2</x:v>
      </x:c>
      <x:c r="J307" s="1">
        <x:v>75.4</x:v>
      </x:c>
      <x:c r="K307" s="18">
        <x:f t="shared" si="1"/>
        <x:v>0</x:v>
      </x:c>
      <x:c r="L307" s="18">
        <x:f t="shared" si="2"/>
        <x:v>16.60948718</x:v>
      </x:c>
      <x:c r="M307" s="121"/>
      <x:c r="N307" s="121"/>
      <x:c r="O307" s="121"/>
      <x:c r="P307" s="9"/>
      <x:c r="Q307" s="9"/>
      <x:c r="R307" s="9"/>
      <x:c r="S307" s="9"/>
      <x:c r="T307" s="9"/>
      <x:c r="U307" s="9"/>
      <x:c r="V307" s="9"/>
      <x:c r="W307" s="9"/>
      <x:c r="X307" s="9"/>
      <x:c r="Y307" s="9"/>
      <x:c r="Z307" s="9"/>
    </x:row>
    <x:row r="308" ht="14.25" customHeight="1">
      <x:c r="B308" s="1" t="s">
        <x:v>489</x:v>
      </x:c>
      <x:c r="C308" s="1">
        <x:v>24.4</x:v>
      </x:c>
      <x:c r="D308" s="1">
        <x:v>337.7</x:v>
      </x:c>
      <x:c r="E308" s="1">
        <x:v>2.8</x:v>
      </x:c>
      <x:c r="F308" s="1">
        <x:v>0.0</x:v>
      </x:c>
      <x:c r="G308" s="1">
        <x:v>0.0</x:v>
      </x:c>
      <x:c r="H308" s="1">
        <x:v>0.0</x:v>
      </x:c>
      <x:c r="I308" s="1">
        <x:v>0.2</x:v>
      </x:c>
      <x:c r="J308" s="1">
        <x:v>75.4</x:v>
      </x:c>
      <x:c r="K308" s="18">
        <x:f t="shared" si="1"/>
        <x:v>0</x:v>
      </x:c>
      <x:c r="L308" s="18">
        <x:f t="shared" si="2"/>
        <x:v>16.60948718</x:v>
      </x:c>
      <x:c r="M308" s="121"/>
      <x:c r="N308" s="121"/>
      <x:c r="O308" s="121"/>
      <x:c r="P308" s="9"/>
      <x:c r="Q308" s="9"/>
      <x:c r="R308" s="9"/>
      <x:c r="S308" s="9"/>
      <x:c r="T308" s="9"/>
      <x:c r="U308" s="9"/>
      <x:c r="V308" s="9"/>
      <x:c r="W308" s="9"/>
      <x:c r="X308" s="9"/>
      <x:c r="Y308" s="9"/>
      <x:c r="Z308" s="9"/>
    </x:row>
    <x:row r="309" ht="14.25" customHeight="1">
      <x:c r="A309" s="1" t="s">
        <x:v>835</x:v>
      </x:c>
      <x:c r="B309" s="1" t="s">
        <x:v>515</x:v>
      </x:c>
      <x:c r="C309" s="1">
        <x:v>28.4</x:v>
      </x:c>
      <x:c r="D309" s="1">
        <x:v>320.5</x:v>
      </x:c>
      <x:c r="E309" s="1">
        <x:v>2.1</x:v>
      </x:c>
      <x:c r="F309" s="1">
        <x:v>0.0</x:v>
      </x:c>
      <x:c r="G309" s="1">
        <x:v>0.0</x:v>
      </x:c>
      <x:c r="H309" s="1">
        <x:v>0.0</x:v>
      </x:c>
      <x:c r="I309" s="1">
        <x:v>0.3</x:v>
      </x:c>
      <x:c r="J309" s="1">
        <x:v>72.6</x:v>
      </x:c>
      <x:c r="K309" s="18">
        <x:f t="shared" si="1"/>
        <x:v>0</x:v>
      </x:c>
      <x:c r="L309" s="18">
        <x:f t="shared" si="2"/>
        <x:v>15.76351981</x:v>
      </x:c>
      <x:c r="M309" s="119" t="n">
        <x:f>C311*Scoring!$B$34+D311/Scoring!$C$34+E311*Scoring!$D$34+WR!F311*Scoring!$E$34+WR!G311/Scoring!$F$34+WR!H311*Scoring!$G$34+WR!I311*Scoring!$H$34+K311*Scoring!$I$34+WR!L311*Scoring!$J$34+U309</x:f>
        <x:v>58.550000000000004</x:v>
      </x:c>
      <x:c r="N309" s="119" t="n">
        <x:f>C309*Scoring!$B$34+D309/Scoring!$C$34+E309*Scoring!$D$34+WR!F309*Scoring!$E$34+WR!G309/Scoring!$F$34+WR!H309*Scoring!$G$34+WR!I309*Scoring!$H$34+K309*Scoring!$I$34+WR!L309*Scoring!$J$34+U309</x:f>
        <x:v>58.550000000000004</x:v>
      </x:c>
      <x:c r="O309" s="119" t="n">
        <x:f>C310*Scoring!$B$34+D310/Scoring!$C$34+E310*Scoring!$D$34+WR!F310*Scoring!$E$34+WR!G310/Scoring!$F$34+WR!H310*Scoring!$G$34+WR!I310*Scoring!$H$34+K310*Scoring!$I$34+WR!L310*Scoring!$J$34+U309</x:f>
        <x:v>58.550000000000004</x:v>
      </x:c>
      <x:c r="P309" s="9" t="n">
        <x:f>IF(COUNTIF(Rookies!$A:$A,A309)&gt;0,1,0)</x:f>
        <x:v>0</x:v>
      </x:c>
      <x:c r="Q309" s="9"/>
      <x:c r="R309" s="9"/>
      <x:c r="S309" s="9" t="n">
        <x:f>V309/17</x:f>
        <x:v>3.4441176470588237</x:v>
      </x:c>
      <x:c r="T309" s="9" t="n">
        <x:f>IF(P309=1,MAX(0,0.28*(12-S309)),0)</x:f>
        <x:v>0</x:v>
      </x:c>
      <x:c r="U309" s="9" t="n">
        <x:f>T309*17</x:f>
        <x:v>0</x:v>
      </x:c>
      <x:c r="V309" s="9" t="n">
        <x:f>C309*Scoring!$B$34+D309/Scoring!$C$34+E309*Scoring!$D$34+WR!F309*Scoring!$E$34+WR!G309/Scoring!$F$34+WR!H309*Scoring!$G$34+WR!I309*Scoring!$H$34+K309*Scoring!$I$34+WR!L309*Scoring!$J$34</x:f>
        <x:v>58.550000000000004</x:v>
      </x:c>
      <x:c r="W309" s="9"/>
      <x:c r="X309" s="9"/>
      <x:c r="Y309" s="9"/>
      <x:c r="Z309" s="9"/>
    </x:row>
    <x:row r="310" ht="14.25" customHeight="1">
      <x:c r="B310" s="1" t="s">
        <x:v>488</x:v>
      </x:c>
      <x:c r="C310" s="1">
        <x:v>28.4</x:v>
      </x:c>
      <x:c r="D310" s="1">
        <x:v>320.5</x:v>
      </x:c>
      <x:c r="E310" s="1">
        <x:v>2.1</x:v>
      </x:c>
      <x:c r="F310" s="1">
        <x:v>0.0</x:v>
      </x:c>
      <x:c r="G310" s="1">
        <x:v>0.0</x:v>
      </x:c>
      <x:c r="H310" s="1">
        <x:v>0.0</x:v>
      </x:c>
      <x:c r="I310" s="1">
        <x:v>0.3</x:v>
      </x:c>
      <x:c r="J310" s="1">
        <x:v>72.8</x:v>
      </x:c>
      <x:c r="K310" s="18">
        <x:f t="shared" si="1"/>
        <x:v>0</x:v>
      </x:c>
      <x:c r="L310" s="18">
        <x:f t="shared" si="2"/>
        <x:v>15.76351981</x:v>
      </x:c>
      <x:c r="M310" s="121"/>
      <x:c r="N310" s="121"/>
      <x:c r="O310" s="121"/>
      <x:c r="P310" s="9"/>
      <x:c r="Q310" s="9"/>
      <x:c r="R310" s="9"/>
      <x:c r="S310" s="9"/>
      <x:c r="T310" s="9"/>
      <x:c r="U310" s="9"/>
      <x:c r="V310" s="9"/>
      <x:c r="W310" s="9"/>
      <x:c r="X310" s="9"/>
      <x:c r="Y310" s="9"/>
      <x:c r="Z310" s="9"/>
    </x:row>
    <x:row r="311" ht="14.25" customHeight="1">
      <x:c r="B311" s="1" t="s">
        <x:v>489</x:v>
      </x:c>
      <x:c r="C311" s="1">
        <x:v>28.4</x:v>
      </x:c>
      <x:c r="D311" s="1">
        <x:v>320.5</x:v>
      </x:c>
      <x:c r="E311" s="1">
        <x:v>2.1</x:v>
      </x:c>
      <x:c r="F311" s="1">
        <x:v>0.0</x:v>
      </x:c>
      <x:c r="G311" s="1">
        <x:v>0.0</x:v>
      </x:c>
      <x:c r="H311" s="1">
        <x:v>0.0</x:v>
      </x:c>
      <x:c r="I311" s="1">
        <x:v>0.3</x:v>
      </x:c>
      <x:c r="J311" s="1">
        <x:v>72.8</x:v>
      </x:c>
      <x:c r="K311" s="18">
        <x:f t="shared" si="1"/>
        <x:v>0</x:v>
      </x:c>
      <x:c r="L311" s="18">
        <x:f t="shared" si="2"/>
        <x:v>15.76351981</x:v>
      </x:c>
      <x:c r="M311" s="121"/>
      <x:c r="N311" s="121"/>
      <x:c r="O311" s="121"/>
      <x:c r="P311" s="9"/>
      <x:c r="Q311" s="9"/>
      <x:c r="R311" s="9"/>
      <x:c r="S311" s="9"/>
      <x:c r="T311" s="9"/>
      <x:c r="U311" s="9"/>
      <x:c r="V311" s="9"/>
      <x:c r="W311" s="9"/>
      <x:c r="X311" s="9"/>
      <x:c r="Y311" s="9"/>
      <x:c r="Z311" s="9"/>
    </x:row>
    <x:row r="312" ht="14.25" customHeight="1">
      <x:c r="A312" s="1" t="s">
        <x:v>836</x:v>
      </x:c>
      <x:c r="B312" s="1" t="s">
        <x:v>487</x:v>
      </x:c>
      <x:c r="C312" s="1">
        <x:v>25.9</x:v>
      </x:c>
      <x:c r="D312" s="1">
        <x:v>342.2</x:v>
      </x:c>
      <x:c r="E312" s="1">
        <x:v>1.6</x:v>
      </x:c>
      <x:c r="F312" s="1">
        <x:v>0.0</x:v>
      </x:c>
      <x:c r="G312" s="1">
        <x:v>0.0</x:v>
      </x:c>
      <x:c r="H312" s="1">
        <x:v>0.0</x:v>
      </x:c>
      <x:c r="I312" s="1">
        <x:v>0.1</x:v>
      </x:c>
      <x:c r="J312" s="1">
        <x:v>69.7</x:v>
      </x:c>
      <x:c r="K312" s="18">
        <x:f t="shared" si="1"/>
        <x:v>0</x:v>
      </x:c>
      <x:c r="L312" s="18">
        <x:f t="shared" si="2"/>
        <x:v>16.83081585</x:v>
      </x:c>
      <x:c r="M312" s="119" t="n">
        <x:f>C314*Scoring!$B$34+D314/Scoring!$C$34+E314*Scoring!$D$34+WR!F314*Scoring!$E$34+WR!G314/Scoring!$F$34+WR!H314*Scoring!$G$34+WR!I314*Scoring!$H$34+K314*Scoring!$I$34+WR!L314*Scoring!$J$34+U312</x:f>
        <x:v>35.989999999999995</x:v>
      </x:c>
      <x:c r="N312" s="119" t="n">
        <x:f>C312*Scoring!$B$34+D312/Scoring!$C$34+E312*Scoring!$D$34+WR!F312*Scoring!$E$34+WR!G312/Scoring!$F$34+WR!H312*Scoring!$G$34+WR!I312*Scoring!$H$34+K312*Scoring!$I$34+WR!L312*Scoring!$J$34+U312</x:f>
        <x:v>56.67</x:v>
      </x:c>
      <x:c r="O312" s="119" t="n">
        <x:f>C313*Scoring!$B$34+D313/Scoring!$C$34+E313*Scoring!$D$34+WR!F313*Scoring!$E$34+WR!G313/Scoring!$F$34+WR!H313*Scoring!$G$34+WR!I313*Scoring!$H$34+K313*Scoring!$I$34+WR!L313*Scoring!$J$34+U312</x:f>
        <x:v>77.4</x:v>
      </x:c>
      <x:c r="P312" s="9" t="n">
        <x:f>IF(COUNTIF(Rookies!$A:$A,A312)&gt;0,1,0)</x:f>
        <x:v>0</x:v>
      </x:c>
      <x:c r="Q312" s="9"/>
      <x:c r="R312" s="9"/>
      <x:c r="S312" s="9" t="n">
        <x:f>V312/17</x:f>
        <x:v>3.333529411764706</x:v>
      </x:c>
      <x:c r="T312" s="9" t="n">
        <x:f>IF(P312=1,MAX(0,0.28*(12-S312)),0)</x:f>
        <x:v>0</x:v>
      </x:c>
      <x:c r="U312" s="9" t="n">
        <x:f>T312*17</x:f>
        <x:v>0</x:v>
      </x:c>
      <x:c r="V312" s="9" t="n">
        <x:f>C312*Scoring!$B$34+D312/Scoring!$C$34+E312*Scoring!$D$34+WR!F312*Scoring!$E$34+WR!G312/Scoring!$F$34+WR!H312*Scoring!$G$34+WR!I312*Scoring!$H$34+K312*Scoring!$I$34+WR!L312*Scoring!$J$34</x:f>
        <x:v>56.67</x:v>
      </x:c>
      <x:c r="W312" s="9"/>
      <x:c r="X312" s="9"/>
      <x:c r="Y312" s="9"/>
      <x:c r="Z312" s="9"/>
    </x:row>
    <x:row r="313" ht="14.25" customHeight="1">
      <x:c r="B313" s="1" t="s">
        <x:v>488</x:v>
      </x:c>
      <x:c r="C313" s="1">
        <x:v>35.0</x:v>
      </x:c>
      <x:c r="D313" s="1">
        <x:v>479.0</x:v>
      </x:c>
      <x:c r="E313" s="1">
        <x:v>2.0</x:v>
      </x:c>
      <x:c r="F313" s="1">
        <x:v>0.0</x:v>
      </x:c>
      <x:c r="G313" s="1">
        <x:v>0.0</x:v>
      </x:c>
      <x:c r="H313" s="1">
        <x:v>0.0</x:v>
      </x:c>
      <x:c r="I313" s="1">
        <x:v>0.0</x:v>
      </x:c>
      <x:c r="J313" s="1">
        <x:v>76.9</x:v>
      </x:c>
      <x:c r="K313" s="18">
        <x:f t="shared" si="1"/>
        <x:v>0</x:v>
      </x:c>
      <x:c r="L313" s="18">
        <x:f t="shared" si="2"/>
        <x:v>23.55920746</x:v>
      </x:c>
      <x:c r="M313" s="121"/>
      <x:c r="N313" s="121"/>
      <x:c r="O313" s="121"/>
      <x:c r="P313" s="9"/>
      <x:c r="Q313" s="9"/>
      <x:c r="R313" s="9"/>
      <x:c r="S313" s="9"/>
      <x:c r="T313" s="9"/>
      <x:c r="U313" s="9"/>
      <x:c r="V313" s="9"/>
      <x:c r="W313" s="9"/>
      <x:c r="X313" s="9"/>
      <x:c r="Y313" s="9"/>
      <x:c r="Z313" s="9"/>
    </x:row>
    <x:row r="314" ht="14.25" customHeight="1">
      <x:c r="B314" s="1" t="s">
        <x:v>489</x:v>
      </x:c>
      <x:c r="C314" s="1">
        <x:v>16.9</x:v>
      </x:c>
      <x:c r="D314" s="1">
        <x:v>205.4</x:v>
      </x:c>
      <x:c r="E314" s="1">
        <x:v>1.2</x:v>
      </x:c>
      <x:c r="F314" s="1">
        <x:v>0.0</x:v>
      </x:c>
      <x:c r="G314" s="1">
        <x:v>0.0</x:v>
      </x:c>
      <x:c r="H314" s="1">
        <x:v>0.0</x:v>
      </x:c>
      <x:c r="I314" s="1">
        <x:v>0.2</x:v>
      </x:c>
      <x:c r="J314" s="1">
        <x:v>53.8</x:v>
      </x:c>
      <x:c r="K314" s="18">
        <x:f t="shared" si="1"/>
        <x:v>0</x:v>
      </x:c>
      <x:c r="L314" s="18">
        <x:f t="shared" si="2"/>
        <x:v>10.10242424</x:v>
      </x:c>
      <x:c r="M314" s="121"/>
      <x:c r="N314" s="121"/>
      <x:c r="O314" s="121"/>
      <x:c r="P314" s="9"/>
      <x:c r="Q314" s="9"/>
      <x:c r="R314" s="9"/>
      <x:c r="S314" s="9"/>
      <x:c r="T314" s="9"/>
      <x:c r="U314" s="9"/>
      <x:c r="V314" s="9"/>
      <x:c r="W314" s="9"/>
      <x:c r="X314" s="9"/>
      <x:c r="Y314" s="9"/>
      <x:c r="Z314" s="9"/>
    </x:row>
    <x:row r="315" ht="14.25" customHeight="1">
      <x:c r="A315" s="1" t="s">
        <x:v>837</x:v>
      </x:c>
      <x:c r="B315" s="1" t="s">
        <x:v>515</x:v>
      </x:c>
      <x:c r="C315" s="1">
        <x:v>24.1</x:v>
      </x:c>
      <x:c r="D315" s="1">
        <x:v>273.1</x:v>
      </x:c>
      <x:c r="E315" s="1">
        <x:v>1.6</x:v>
      </x:c>
      <x:c r="F315" s="1">
        <x:v>8.2</x:v>
      </x:c>
      <x:c r="G315" s="1">
        <x:v>45.2</x:v>
      </x:c>
      <x:c r="H315" s="1">
        <x:v>0.3</x:v>
      </x:c>
      <x:c r="I315" s="1">
        <x:v>0.4</x:v>
      </x:c>
      <x:c r="J315" s="1">
        <x:v>66.8</x:v>
      </x:c>
      <x:c r="K315" s="18">
        <x:f t="shared" si="1"/>
        <x:v>2.801219158</x:v>
      </x:c>
      <x:c r="L315" s="18">
        <x:f t="shared" si="2"/>
        <x:v>13.43219114</x:v>
      </x:c>
      <x:c r="M315" s="119" t="n">
        <x:f>C317*Scoring!$B$34+D317/Scoring!$C$34+E317*Scoring!$D$34+WR!F317*Scoring!$E$34+WR!G317/Scoring!$F$34+WR!H317*Scoring!$G$34+WR!I317*Scoring!$H$34+K317*Scoring!$I$34+WR!L317*Scoring!$J$34+U315</x:f>
        <x:v>54.88</x:v>
      </x:c>
      <x:c r="N315" s="119" t="n">
        <x:f>C315*Scoring!$B$34+D315/Scoring!$C$34+E315*Scoring!$D$34+WR!F315*Scoring!$E$34+WR!G315/Scoring!$F$34+WR!H315*Scoring!$G$34+WR!I315*Scoring!$H$34+K315*Scoring!$I$34+WR!L315*Scoring!$J$34+U315</x:f>
        <x:v>54.88</x:v>
      </x:c>
      <x:c r="O315" s="119" t="n">
        <x:f>C316*Scoring!$B$34+D316/Scoring!$C$34+E316*Scoring!$D$34+WR!F316*Scoring!$E$34+WR!G316/Scoring!$F$34+WR!H316*Scoring!$G$34+WR!I316*Scoring!$H$34+K316*Scoring!$I$34+WR!L316*Scoring!$J$34+U315</x:f>
        <x:v>54.88</x:v>
      </x:c>
      <x:c r="P315" s="9" t="n">
        <x:f>IF(COUNTIF(Rookies!$A:$A,A315)&gt;0,1,0)</x:f>
        <x:v>0</x:v>
      </x:c>
      <x:c r="Q315" s="9"/>
      <x:c r="R315" s="9"/>
      <x:c r="S315" s="9" t="n">
        <x:f>V315/17</x:f>
        <x:v>3.2282352941176473</x:v>
      </x:c>
      <x:c r="T315" s="9" t="n">
        <x:f>IF(P315=1,MAX(0,0.28*(12-S315)),0)</x:f>
        <x:v>0</x:v>
      </x:c>
      <x:c r="U315" s="9" t="n">
        <x:f>T315*17</x:f>
        <x:v>0</x:v>
      </x:c>
      <x:c r="V315" s="9" t="n">
        <x:f>C315*Scoring!$B$34+D315/Scoring!$C$34+E315*Scoring!$D$34+WR!F315*Scoring!$E$34+WR!G315/Scoring!$F$34+WR!H315*Scoring!$G$34+WR!I315*Scoring!$H$34+K315*Scoring!$I$34+WR!L315*Scoring!$J$34</x:f>
        <x:v>54.88</x:v>
      </x:c>
      <x:c r="W315" s="9"/>
      <x:c r="X315" s="9"/>
      <x:c r="Y315" s="9"/>
      <x:c r="Z315" s="9"/>
    </x:row>
    <x:row r="316" ht="14.25" customHeight="1">
      <x:c r="B316" s="1" t="s">
        <x:v>488</x:v>
      </x:c>
      <x:c r="C316" s="1">
        <x:v>24.1</x:v>
      </x:c>
      <x:c r="D316" s="1">
        <x:v>273.1</x:v>
      </x:c>
      <x:c r="E316" s="1">
        <x:v>1.6</x:v>
      </x:c>
      <x:c r="F316" s="1">
        <x:v>8.2</x:v>
      </x:c>
      <x:c r="G316" s="1">
        <x:v>45.2</x:v>
      </x:c>
      <x:c r="H316" s="1">
        <x:v>0.3</x:v>
      </x:c>
      <x:c r="I316" s="1">
        <x:v>0.4</x:v>
      </x:c>
      <x:c r="J316" s="1">
        <x:v>69.9</x:v>
      </x:c>
      <x:c r="K316" s="18">
        <x:f t="shared" si="1"/>
        <x:v>2.801219158</x:v>
      </x:c>
      <x:c r="L316" s="18">
        <x:f t="shared" si="2"/>
        <x:v>13.43219114</x:v>
      </x:c>
      <x:c r="M316" s="121"/>
      <x:c r="N316" s="121"/>
      <x:c r="O316" s="121"/>
      <x:c r="P316" s="9"/>
      <x:c r="Q316" s="9"/>
      <x:c r="R316" s="9"/>
      <x:c r="S316" s="9"/>
      <x:c r="T316" s="9"/>
      <x:c r="U316" s="9"/>
      <x:c r="V316" s="9"/>
      <x:c r="W316" s="9"/>
      <x:c r="X316" s="9"/>
      <x:c r="Y316" s="9"/>
      <x:c r="Z316" s="9"/>
    </x:row>
    <x:row r="317" ht="14.25" customHeight="1">
      <x:c r="B317" s="1" t="s">
        <x:v>489</x:v>
      </x:c>
      <x:c r="C317" s="1">
        <x:v>24.1</x:v>
      </x:c>
      <x:c r="D317" s="1">
        <x:v>273.1</x:v>
      </x:c>
      <x:c r="E317" s="1">
        <x:v>1.6</x:v>
      </x:c>
      <x:c r="F317" s="1">
        <x:v>8.2</x:v>
      </x:c>
      <x:c r="G317" s="1">
        <x:v>45.2</x:v>
      </x:c>
      <x:c r="H317" s="1">
        <x:v>0.3</x:v>
      </x:c>
      <x:c r="I317" s="1">
        <x:v>0.4</x:v>
      </x:c>
      <x:c r="J317" s="1">
        <x:v>69.9</x:v>
      </x:c>
      <x:c r="K317" s="18">
        <x:f t="shared" si="1"/>
        <x:v>2.801219158</x:v>
      </x:c>
      <x:c r="L317" s="18">
        <x:f t="shared" si="2"/>
        <x:v>13.43219114</x:v>
      </x:c>
      <x:c r="M317" s="121"/>
      <x:c r="N317" s="121"/>
      <x:c r="O317" s="121"/>
      <x:c r="P317" s="9"/>
      <x:c r="Q317" s="9"/>
      <x:c r="R317" s="9"/>
      <x:c r="S317" s="9"/>
      <x:c r="T317" s="9"/>
      <x:c r="U317" s="9"/>
      <x:c r="V317" s="9"/>
      <x:c r="W317" s="9"/>
      <x:c r="X317" s="9"/>
      <x:c r="Y317" s="9"/>
      <x:c r="Z317" s="9"/>
    </x:row>
    <x:row r="318" ht="14.25" customHeight="1">
      <x:c r="A318" s="1" t="s">
        <x:v>838</x:v>
      </x:c>
      <x:c r="B318" s="1" t="s">
        <x:v>547</x:v>
      </x:c>
      <x:c r="C318" s="1">
        <x:v>27.7</x:v>
      </x:c>
      <x:c r="D318" s="1">
        <x:v>315.0</x:v>
      </x:c>
      <x:c r="E318" s="1">
        <x:v>1.2</x:v>
      </x:c>
      <x:c r="F318" s="1">
        <x:v>0.0</x:v>
      </x:c>
      <x:c r="G318" s="1">
        <x:v>0.0</x:v>
      </x:c>
      <x:c r="H318" s="1">
        <x:v>0.0</x:v>
      </x:c>
      <x:c r="I318" s="1">
        <x:v>0.3</x:v>
      </x:c>
      <x:c r="J318" s="1">
        <x:v>65.8</x:v>
      </x:c>
      <x:c r="K318" s="18">
        <x:f t="shared" si="1"/>
        <x:v>0</x:v>
      </x:c>
      <x:c r="L318" s="18">
        <x:f t="shared" si="2"/>
        <x:v>15.49300699</x:v>
      </x:c>
      <x:c r="M318" s="119" t="n">
        <x:f>C320*Scoring!$B$34+D320/Scoring!$C$34+E320*Scoring!$D$34+WR!F320*Scoring!$E$34+WR!G320/Scoring!$F$34+WR!H320*Scoring!$G$34+WR!I320*Scoring!$H$34+K320*Scoring!$I$34+WR!L320*Scoring!$J$34+U318</x:f>
        <x:v>52.25</x:v>
      </x:c>
      <x:c r="N318" s="119" t="n">
        <x:f>C318*Scoring!$B$34+D318/Scoring!$C$34+E318*Scoring!$D$34+WR!F318*Scoring!$E$34+WR!G318/Scoring!$F$34+WR!H318*Scoring!$G$34+WR!I318*Scoring!$H$34+K318*Scoring!$I$34+WR!L318*Scoring!$J$34+U318</x:f>
        <x:v>52.25</x:v>
      </x:c>
      <x:c r="O318" s="119" t="n">
        <x:f>C319*Scoring!$B$34+D319/Scoring!$C$34+E319*Scoring!$D$34+WR!F319*Scoring!$E$34+WR!G319/Scoring!$F$34+WR!H319*Scoring!$G$34+WR!I319*Scoring!$H$34+K319*Scoring!$I$34+WR!L319*Scoring!$J$34+U318</x:f>
        <x:v>52.25</x:v>
      </x:c>
      <x:c r="P318" s="9" t="n">
        <x:f>IF(COUNTIF(Rookies!$A:$A,A318)&gt;0,1,0)</x:f>
        <x:v>0</x:v>
      </x:c>
      <x:c r="Q318" s="9"/>
      <x:c r="R318" s="9"/>
      <x:c r="S318" s="9" t="n">
        <x:f>V318/17</x:f>
        <x:v>3.073529411764706</x:v>
      </x:c>
      <x:c r="T318" s="9" t="n">
        <x:f>IF(P318=1,MAX(0,0.28*(12-S318)),0)</x:f>
        <x:v>0</x:v>
      </x:c>
      <x:c r="U318" s="9" t="n">
        <x:f>T318*17</x:f>
        <x:v>0</x:v>
      </x:c>
      <x:c r="V318" s="9" t="n">
        <x:f>C318*Scoring!$B$34+D318/Scoring!$C$34+E318*Scoring!$D$34+WR!F318*Scoring!$E$34+WR!G318/Scoring!$F$34+WR!H318*Scoring!$G$34+WR!I318*Scoring!$H$34+K318*Scoring!$I$34+WR!L318*Scoring!$J$34</x:f>
        <x:v>52.25</x:v>
      </x:c>
      <x:c r="W318" s="9"/>
      <x:c r="X318" s="9"/>
      <x:c r="Y318" s="9"/>
      <x:c r="Z318" s="9"/>
    </x:row>
    <x:row r="319" ht="14.25" customHeight="1">
      <x:c r="B319" s="1" t="s">
        <x:v>488</x:v>
      </x:c>
      <x:c r="C319" s="1">
        <x:v>27.7</x:v>
      </x:c>
      <x:c r="D319" s="1">
        <x:v>315.0</x:v>
      </x:c>
      <x:c r="E319" s="1">
        <x:v>1.2</x:v>
      </x:c>
      <x:c r="F319" s="1">
        <x:v>0.0</x:v>
      </x:c>
      <x:c r="G319" s="1">
        <x:v>0.0</x:v>
      </x:c>
      <x:c r="H319" s="1">
        <x:v>0.0</x:v>
      </x:c>
      <x:c r="I319" s="1">
        <x:v>0.3</x:v>
      </x:c>
      <x:c r="J319" s="1">
        <x:v>66.0</x:v>
      </x:c>
      <x:c r="K319" s="18">
        <x:f t="shared" si="1"/>
        <x:v>0</x:v>
      </x:c>
      <x:c r="L319" s="18">
        <x:f t="shared" si="2"/>
        <x:v>15.49300699</x:v>
      </x:c>
      <x:c r="M319" s="121"/>
      <x:c r="N319" s="121"/>
      <x:c r="O319" s="121"/>
      <x:c r="P319" s="9"/>
      <x:c r="Q319" s="9"/>
      <x:c r="R319" s="9"/>
      <x:c r="S319" s="9"/>
      <x:c r="T319" s="9"/>
      <x:c r="U319" s="9"/>
      <x:c r="V319" s="9"/>
      <x:c r="W319" s="9"/>
      <x:c r="X319" s="9"/>
      <x:c r="Y319" s="9"/>
      <x:c r="Z319" s="9"/>
    </x:row>
    <x:row r="320" ht="14.25" customHeight="1">
      <x:c r="B320" s="1" t="s">
        <x:v>489</x:v>
      </x:c>
      <x:c r="C320" s="1">
        <x:v>27.7</x:v>
      </x:c>
      <x:c r="D320" s="1">
        <x:v>315.0</x:v>
      </x:c>
      <x:c r="E320" s="1">
        <x:v>1.2</x:v>
      </x:c>
      <x:c r="F320" s="1">
        <x:v>0.0</x:v>
      </x:c>
      <x:c r="G320" s="1">
        <x:v>0.0</x:v>
      </x:c>
      <x:c r="H320" s="1">
        <x:v>0.0</x:v>
      </x:c>
      <x:c r="I320" s="1">
        <x:v>0.3</x:v>
      </x:c>
      <x:c r="J320" s="1">
        <x:v>66.0</x:v>
      </x:c>
      <x:c r="K320" s="18">
        <x:f t="shared" si="1"/>
        <x:v>0</x:v>
      </x:c>
      <x:c r="L320" s="18">
        <x:f t="shared" si="2"/>
        <x:v>15.49300699</x:v>
      </x:c>
      <x:c r="M320" s="121"/>
      <x:c r="N320" s="121"/>
      <x:c r="O320" s="121"/>
      <x:c r="P320" s="9"/>
      <x:c r="Q320" s="9"/>
      <x:c r="R320" s="9"/>
      <x:c r="S320" s="9"/>
      <x:c r="T320" s="9"/>
      <x:c r="U320" s="9"/>
      <x:c r="V320" s="9"/>
      <x:c r="W320" s="9"/>
      <x:c r="X320" s="9"/>
      <x:c r="Y320" s="9"/>
      <x:c r="Z320" s="9"/>
    </x:row>
    <x:row r="321" ht="14.25" customHeight="1">
      <x:c r="A321" s="1" t="s">
        <x:v>839</x:v>
      </x:c>
      <x:c r="B321" s="1" t="s">
        <x:v>527</x:v>
      </x:c>
      <x:c r="C321" s="1">
        <x:v>17.5</x:v>
      </x:c>
      <x:c r="D321" s="1">
        <x:v>338.3</x:v>
      </x:c>
      <x:c r="E321" s="1">
        <x:v>1.3</x:v>
      </x:c>
      <x:c r="F321" s="1">
        <x:v>5.1</x:v>
      </x:c>
      <x:c r="G321" s="1">
        <x:v>46.1</x:v>
      </x:c>
      <x:c r="H321" s="1">
        <x:v>0.1</x:v>
      </x:c>
      <x:c r="I321" s="1">
        <x:v>0.1</x:v>
      </x:c>
      <x:c r="J321" s="1">
        <x:v>64.1</x:v>
      </x:c>
      <x:c r="K321" s="18">
        <x:f t="shared" si="1"/>
        <x:v>2.856995646</x:v>
      </x:c>
      <x:c r="L321" s="18">
        <x:f t="shared" si="2"/>
        <x:v>16.63899767</x:v>
      </x:c>
      <x:c r="M321" s="119" t="n">
        <x:f>C323*Scoring!$B$34+D323/Scoring!$C$34+E323*Scoring!$D$34+WR!F323*Scoring!$E$34+WR!G323/Scoring!$F$34+WR!H323*Scoring!$G$34+WR!I323*Scoring!$H$34+K323*Scoring!$I$34+WR!L323*Scoring!$J$34+U321</x:f>
        <x:v>23.679999999999996</x:v>
      </x:c>
      <x:c r="N321" s="119" t="n">
        <x:f>C321*Scoring!$B$34+D321/Scoring!$C$34+E321*Scoring!$D$34+WR!F321*Scoring!$E$34+WR!G321/Scoring!$F$34+WR!H321*Scoring!$G$34+WR!I321*Scoring!$H$34+K321*Scoring!$I$34+WR!L321*Scoring!$J$34+U321</x:f>
        <x:v>55.489999999999995</x:v>
      </x:c>
      <x:c r="O321" s="119" t="n">
        <x:f>C322*Scoring!$B$34+D322/Scoring!$C$34+E322*Scoring!$D$34+WR!F322*Scoring!$E$34+WR!G322/Scoring!$F$34+WR!H322*Scoring!$G$34+WR!I322*Scoring!$H$34+K322*Scoring!$I$34+WR!L322*Scoring!$J$34+U321</x:f>
        <x:v>87.39999999999999</x:v>
      </x:c>
      <x:c r="P321" s="9" t="n">
        <x:f>IF(COUNTIF(Rookies!$A:$A,A321)&gt;0,1,0)</x:f>
        <x:v>0</x:v>
      </x:c>
      <x:c r="Q321" s="9"/>
      <x:c r="R321" s="9"/>
      <x:c r="S321" s="9" t="n">
        <x:f>V321/17</x:f>
        <x:v>3.264117647058823</x:v>
      </x:c>
      <x:c r="T321" s="9" t="n">
        <x:f>IF(P321=1,MAX(0,0.28*(12-S321)),0)</x:f>
        <x:v>0</x:v>
      </x:c>
      <x:c r="U321" s="9" t="n">
        <x:f>T321*17</x:f>
        <x:v>0</x:v>
      </x:c>
      <x:c r="V321" s="9" t="n">
        <x:f>C321*Scoring!$B$34+D321/Scoring!$C$34+E321*Scoring!$D$34+WR!F321*Scoring!$E$34+WR!G321/Scoring!$F$34+WR!H321*Scoring!$G$34+WR!I321*Scoring!$H$34+K321*Scoring!$I$34+WR!L321*Scoring!$J$34</x:f>
        <x:v>55.489999999999995</x:v>
      </x:c>
      <x:c r="W321" s="9"/>
      <x:c r="X321" s="9"/>
      <x:c r="Y321" s="9"/>
      <x:c r="Z321" s="9"/>
    </x:row>
    <x:row r="322" ht="14.25" customHeight="1">
      <x:c r="B322" s="1" t="s">
        <x:v>488</x:v>
      </x:c>
      <x:c r="C322" s="1">
        <x:v>25.0</x:v>
      </x:c>
      <x:c r="D322" s="1">
        <x:v>551.0</x:v>
      </x:c>
      <x:c r="E322" s="1">
        <x:v>2.0</x:v>
      </x:c>
      <x:c r="F322" s="1">
        <x:v>6.0</x:v>
      </x:c>
      <x:c r="G322" s="1">
        <x:v>66.0</x:v>
      </x:c>
      <x:c r="H322" s="1">
        <x:v>0.2</x:v>
      </x:c>
      <x:c r="I322" s="1">
        <x:v>0.0</x:v>
      </x:c>
      <x:c r="J322" s="1">
        <x:v>78.5</x:v>
      </x:c>
      <x:c r="K322" s="18">
        <x:f t="shared" si="1"/>
        <x:v>4.090275762</x:v>
      </x:c>
      <x:c r="L322" s="18">
        <x:f t="shared" si="2"/>
        <x:v>27.1004662</x:v>
      </x:c>
      <x:c r="M322" s="121"/>
      <x:c r="N322" s="121"/>
      <x:c r="O322" s="121"/>
      <x:c r="P322" s="9"/>
      <x:c r="Q322" s="9"/>
      <x:c r="R322" s="9"/>
      <x:c r="S322" s="9"/>
      <x:c r="T322" s="9"/>
      <x:c r="U322" s="9"/>
      <x:c r="V322" s="9"/>
      <x:c r="W322" s="9"/>
      <x:c r="X322" s="9"/>
      <x:c r="Y322" s="9"/>
      <x:c r="Z322" s="9"/>
    </x:row>
    <x:row r="323" ht="14.25" customHeight="1">
      <x:c r="B323" s="1" t="s">
        <x:v>489</x:v>
      </x:c>
      <x:c r="C323" s="1">
        <x:v>10.0</x:v>
      </x:c>
      <x:c r="D323" s="1">
        <x:v>125.5</x:v>
      </x:c>
      <x:c r="E323" s="1">
        <x:v>0.6</x:v>
      </x:c>
      <x:c r="F323" s="1">
        <x:v>4.2</x:v>
      </x:c>
      <x:c r="G323" s="1">
        <x:v>26.3</x:v>
      </x:c>
      <x:c r="H323" s="1">
        <x:v>0.0</x:v>
      </x:c>
      <x:c r="I323" s="1">
        <x:v>0.1</x:v>
      </x:c>
      <x:c r="J323" s="1">
        <x:v>37.4</x:v>
      </x:c>
      <x:c r="K323" s="18">
        <x:f t="shared" si="1"/>
        <x:v>1.629912917</x:v>
      </x:c>
      <x:c r="L323" s="18">
        <x:f t="shared" si="2"/>
        <x:v>6.172610723</x:v>
      </x:c>
      <x:c r="M323" s="121"/>
      <x:c r="N323" s="121"/>
      <x:c r="O323" s="121"/>
      <x:c r="P323" s="9"/>
      <x:c r="Q323" s="9"/>
      <x:c r="R323" s="9"/>
      <x:c r="S323" s="9"/>
      <x:c r="T323" s="9"/>
      <x:c r="U323" s="9"/>
      <x:c r="V323" s="9"/>
      <x:c r="W323" s="9"/>
      <x:c r="X323" s="9"/>
      <x:c r="Y323" s="9"/>
      <x:c r="Z323" s="9"/>
    </x:row>
    <x:row r="324" ht="14.25" customHeight="1">
      <x:c r="A324" s="1" t="s">
        <x:v>840</x:v>
      </x:c>
      <x:c r="B324" s="1" t="s">
        <x:v>501</x:v>
      </x:c>
      <x:c r="C324" s="1">
        <x:v>21.4</x:v>
      </x:c>
      <x:c r="D324" s="1">
        <x:v>309.0</x:v>
      </x:c>
      <x:c r="E324" s="1">
        <x:v>1.7</x:v>
      </x:c>
      <x:c r="F324" s="1">
        <x:v>2.2</x:v>
      </x:c>
      <x:c r="G324" s="1">
        <x:v>11.9</x:v>
      </x:c>
      <x:c r="H324" s="1">
        <x:v>0.1</x:v>
      </x:c>
      <x:c r="I324" s="1">
        <x:v>0.2</x:v>
      </x:c>
      <x:c r="J324" s="1">
        <x:v>63.6</x:v>
      </x:c>
      <x:c r="K324" s="18">
        <x:f t="shared" si="1"/>
        <x:v>0.7374891147</x:v>
      </x:c>
      <x:c r="L324" s="18">
        <x:f t="shared" si="2"/>
        <x:v>15.1979021</x:v>
      </x:c>
      <x:c r="M324" s="119" t="n">
        <x:f>C326*Scoring!$B$34+D326/Scoring!$C$34+E326*Scoring!$D$34+WR!F326*Scoring!$E$34+WR!G326/Scoring!$F$34+WR!H326*Scoring!$G$34+WR!I326*Scoring!$H$34+K326*Scoring!$I$34+WR!L326*Scoring!$J$34+U324</x:f>
        <x:v>53.38999999999999</x:v>
      </x:c>
      <x:c r="N324" s="119" t="n">
        <x:f>C324*Scoring!$B$34+D324/Scoring!$C$34+E324*Scoring!$D$34+WR!F324*Scoring!$E$34+WR!G324/Scoring!$F$34+WR!H324*Scoring!$G$34+WR!I324*Scoring!$H$34+K324*Scoring!$I$34+WR!L324*Scoring!$J$34+U324</x:f>
        <x:v>53.38999999999999</x:v>
      </x:c>
      <x:c r="O324" s="119" t="n">
        <x:f>C325*Scoring!$B$34+D325/Scoring!$C$34+E325*Scoring!$D$34+WR!F325*Scoring!$E$34+WR!G325/Scoring!$F$34+WR!H325*Scoring!$G$34+WR!I325*Scoring!$H$34+K325*Scoring!$I$34+WR!L325*Scoring!$J$34+U324</x:f>
        <x:v>53.38999999999999</x:v>
      </x:c>
      <x:c r="P324" s="9" t="n">
        <x:f>IF(COUNTIF(Rookies!$A:$A,A324)&gt;0,1,0)</x:f>
        <x:v>0</x:v>
      </x:c>
      <x:c r="Q324" s="9"/>
      <x:c r="R324" s="9"/>
      <x:c r="S324" s="9" t="n">
        <x:f>V324/17</x:f>
        <x:v>3.1405882352941172</x:v>
      </x:c>
      <x:c r="T324" s="9" t="n">
        <x:f>IF(P324=1,MAX(0,0.28*(12-S324)),0)</x:f>
        <x:v>0</x:v>
      </x:c>
      <x:c r="U324" s="9" t="n">
        <x:f>T324*17</x:f>
        <x:v>0</x:v>
      </x:c>
      <x:c r="V324" s="9" t="n">
        <x:f>C324*Scoring!$B$34+D324/Scoring!$C$34+E324*Scoring!$D$34+WR!F324*Scoring!$E$34+WR!G324/Scoring!$F$34+WR!H324*Scoring!$G$34+WR!I324*Scoring!$H$34+K324*Scoring!$I$34+WR!L324*Scoring!$J$34</x:f>
        <x:v>53.38999999999999</x:v>
      </x:c>
      <x:c r="W324" s="9"/>
      <x:c r="X324" s="9"/>
      <x:c r="Y324" s="9"/>
      <x:c r="Z324" s="9"/>
    </x:row>
    <x:row r="325" ht="14.25" customHeight="1">
      <x:c r="B325" s="1" t="s">
        <x:v>488</x:v>
      </x:c>
      <x:c r="C325" s="1">
        <x:v>21.4</x:v>
      </x:c>
      <x:c r="D325" s="1">
        <x:v>309.0</x:v>
      </x:c>
      <x:c r="E325" s="1">
        <x:v>1.7</x:v>
      </x:c>
      <x:c r="F325" s="1">
        <x:v>2.2</x:v>
      </x:c>
      <x:c r="G325" s="1">
        <x:v>11.9</x:v>
      </x:c>
      <x:c r="H325" s="1">
        <x:v>0.1</x:v>
      </x:c>
      <x:c r="I325" s="1">
        <x:v>0.2</x:v>
      </x:c>
      <x:c r="J325" s="1">
        <x:v>63.8</x:v>
      </x:c>
      <x:c r="K325" s="18">
        <x:f t="shared" si="1"/>
        <x:v>0.7374891147</x:v>
      </x:c>
      <x:c r="L325" s="18">
        <x:f t="shared" si="2"/>
        <x:v>15.1979021</x:v>
      </x:c>
      <x:c r="M325" s="121"/>
      <x:c r="N325" s="121"/>
      <x:c r="O325" s="121"/>
      <x:c r="P325" s="9"/>
      <x:c r="Q325" s="9"/>
      <x:c r="R325" s="9"/>
      <x:c r="S325" s="9"/>
      <x:c r="T325" s="9"/>
      <x:c r="U325" s="9"/>
      <x:c r="V325" s="9"/>
      <x:c r="W325" s="9"/>
      <x:c r="X325" s="9"/>
      <x:c r="Y325" s="9"/>
      <x:c r="Z325" s="9"/>
    </x:row>
    <x:row r="326" ht="14.25" customHeight="1">
      <x:c r="B326" s="1" t="s">
        <x:v>489</x:v>
      </x:c>
      <x:c r="C326" s="1">
        <x:v>21.4</x:v>
      </x:c>
      <x:c r="D326" s="1">
        <x:v>309.0</x:v>
      </x:c>
      <x:c r="E326" s="1">
        <x:v>1.7</x:v>
      </x:c>
      <x:c r="F326" s="1">
        <x:v>2.2</x:v>
      </x:c>
      <x:c r="G326" s="1">
        <x:v>11.9</x:v>
      </x:c>
      <x:c r="H326" s="1">
        <x:v>0.1</x:v>
      </x:c>
      <x:c r="I326" s="1">
        <x:v>0.2</x:v>
      </x:c>
      <x:c r="J326" s="1">
        <x:v>63.8</x:v>
      </x:c>
      <x:c r="K326" s="18">
        <x:f t="shared" si="1"/>
        <x:v>0.7374891147</x:v>
      </x:c>
      <x:c r="L326" s="18">
        <x:f t="shared" si="2"/>
        <x:v>15.1979021</x:v>
      </x:c>
      <x:c r="M326" s="121"/>
      <x:c r="N326" s="121"/>
      <x:c r="O326" s="121"/>
      <x:c r="P326" s="9"/>
      <x:c r="Q326" s="9"/>
      <x:c r="R326" s="9"/>
      <x:c r="S326" s="9"/>
      <x:c r="T326" s="9"/>
      <x:c r="U326" s="9"/>
      <x:c r="V326" s="9"/>
      <x:c r="W326" s="9"/>
      <x:c r="X326" s="9"/>
      <x:c r="Y326" s="9"/>
      <x:c r="Z326" s="9"/>
    </x:row>
    <x:row r="327" ht="14.25" customHeight="1">
      <x:c r="A327" s="1" t="s">
        <x:v>841</x:v>
      </x:c>
      <x:c r="B327" s="1" t="s">
        <x:v>507</x:v>
      </x:c>
      <x:c r="C327" s="1">
        <x:v>18.1</x:v>
      </x:c>
      <x:c r="D327" s="1">
        <x:v>229.5</x:v>
      </x:c>
      <x:c r="E327" s="1">
        <x:v>1.7</x:v>
      </x:c>
      <x:c r="F327" s="1">
        <x:v>17.8</x:v>
      </x:c>
      <x:c r="G327" s="1">
        <x:v>103.2</x:v>
      </x:c>
      <x:c r="H327" s="1">
        <x:v>0.4</x:v>
      </x:c>
      <x:c r="I327" s="1">
        <x:v>0.4</x:v>
      </x:c>
      <x:c r="J327" s="1">
        <x:v>63.5</x:v>
      </x:c>
      <x:c r="K327" s="18">
        <x:f t="shared" si="1"/>
        <x:v>6.395703919</x:v>
      </x:c>
      <x:c r="L327" s="18">
        <x:f t="shared" si="2"/>
        <x:v>11.28776224</x:v>
      </x:c>
      <x:c r="M327" s="119" t="n">
        <x:f>C329*Scoring!$B$34+D329/Scoring!$C$34+E329*Scoring!$D$34+WR!F329*Scoring!$E$34+WR!G329/Scoring!$F$34+WR!H329*Scoring!$G$34+WR!I329*Scoring!$H$34+K329*Scoring!$I$34+WR!L329*Scoring!$J$34+U327</x:f>
        <x:v>54.52</x:v>
      </x:c>
      <x:c r="N327" s="119" t="n">
        <x:f>C327*Scoring!$B$34+D327/Scoring!$C$34+E327*Scoring!$D$34+WR!F327*Scoring!$E$34+WR!G327/Scoring!$F$34+WR!H327*Scoring!$G$34+WR!I327*Scoring!$H$34+K327*Scoring!$I$34+WR!L327*Scoring!$J$34+U327</x:f>
        <x:v>54.52</x:v>
      </x:c>
      <x:c r="O327" s="119" t="n">
        <x:f>C328*Scoring!$B$34+D328/Scoring!$C$34+E328*Scoring!$D$34+WR!F328*Scoring!$E$34+WR!G328/Scoring!$F$34+WR!H328*Scoring!$G$34+WR!I328*Scoring!$H$34+K328*Scoring!$I$34+WR!L328*Scoring!$J$34+U327</x:f>
        <x:v>54.52</x:v>
      </x:c>
      <x:c r="P327" s="9" t="n">
        <x:f>IF(COUNTIF(Rookies!$A:$A,A327)&gt;0,1,0)</x:f>
        <x:v>0</x:v>
      </x:c>
      <x:c r="Q327" s="9"/>
      <x:c r="R327" s="9"/>
      <x:c r="S327" s="9" t="n">
        <x:f>V327/17</x:f>
        <x:v>3.2070588235294117</x:v>
      </x:c>
      <x:c r="T327" s="9" t="n">
        <x:f>IF(P327=1,MAX(0,0.28*(12-S327)),0)</x:f>
        <x:v>0</x:v>
      </x:c>
      <x:c r="U327" s="9" t="n">
        <x:f>T327*17</x:f>
        <x:v>0</x:v>
      </x:c>
      <x:c r="V327" s="9" t="n">
        <x:f>C327*Scoring!$B$34+D327/Scoring!$C$34+E327*Scoring!$D$34+WR!F327*Scoring!$E$34+WR!G327/Scoring!$F$34+WR!H327*Scoring!$G$34+WR!I327*Scoring!$H$34+K327*Scoring!$I$34+WR!L327*Scoring!$J$34</x:f>
        <x:v>54.52</x:v>
      </x:c>
      <x:c r="W327" s="9"/>
      <x:c r="X327" s="9"/>
      <x:c r="Y327" s="9"/>
      <x:c r="Z327" s="9"/>
    </x:row>
    <x:row r="328" ht="14.25" customHeight="1">
      <x:c r="B328" s="1" t="s">
        <x:v>488</x:v>
      </x:c>
      <x:c r="C328" s="1">
        <x:v>18.1</x:v>
      </x:c>
      <x:c r="D328" s="1">
        <x:v>229.5</x:v>
      </x:c>
      <x:c r="E328" s="1">
        <x:v>1.7</x:v>
      </x:c>
      <x:c r="F328" s="1">
        <x:v>17.8</x:v>
      </x:c>
      <x:c r="G328" s="1">
        <x:v>103.2</x:v>
      </x:c>
      <x:c r="H328" s="1">
        <x:v>0.4</x:v>
      </x:c>
      <x:c r="I328" s="1">
        <x:v>0.4</x:v>
      </x:c>
      <x:c r="J328" s="1">
        <x:v>66.8</x:v>
      </x:c>
      <x:c r="K328" s="18">
        <x:f t="shared" si="1"/>
        <x:v>6.395703919</x:v>
      </x:c>
      <x:c r="L328" s="18">
        <x:f t="shared" si="2"/>
        <x:v>11.28776224</x:v>
      </x:c>
      <x:c r="M328" s="121"/>
      <x:c r="N328" s="121"/>
      <x:c r="O328" s="121"/>
      <x:c r="P328" s="9"/>
      <x:c r="Q328" s="9"/>
      <x:c r="R328" s="9"/>
      <x:c r="S328" s="9"/>
      <x:c r="T328" s="9"/>
      <x:c r="U328" s="9"/>
      <x:c r="V328" s="9"/>
      <x:c r="W328" s="9"/>
      <x:c r="X328" s="9"/>
      <x:c r="Y328" s="9"/>
      <x:c r="Z328" s="9"/>
    </x:row>
    <x:row r="329" ht="14.25" customHeight="1">
      <x:c r="B329" s="1" t="s">
        <x:v>489</x:v>
      </x:c>
      <x:c r="C329" s="1">
        <x:v>18.1</x:v>
      </x:c>
      <x:c r="D329" s="1">
        <x:v>229.5</x:v>
      </x:c>
      <x:c r="E329" s="1">
        <x:v>1.7</x:v>
      </x:c>
      <x:c r="F329" s="1">
        <x:v>17.8</x:v>
      </x:c>
      <x:c r="G329" s="1">
        <x:v>103.2</x:v>
      </x:c>
      <x:c r="H329" s="1">
        <x:v>0.4</x:v>
      </x:c>
      <x:c r="I329" s="1">
        <x:v>0.4</x:v>
      </x:c>
      <x:c r="J329" s="1">
        <x:v>66.8</x:v>
      </x:c>
      <x:c r="K329" s="18">
        <x:f t="shared" si="1"/>
        <x:v>6.395703919</x:v>
      </x:c>
      <x:c r="L329" s="18">
        <x:f t="shared" si="2"/>
        <x:v>11.28776224</x:v>
      </x:c>
      <x:c r="M329" s="121"/>
      <x:c r="N329" s="121"/>
      <x:c r="O329" s="121"/>
      <x:c r="P329" s="9"/>
      <x:c r="Q329" s="9"/>
      <x:c r="R329" s="9"/>
      <x:c r="S329" s="9"/>
      <x:c r="T329" s="9"/>
      <x:c r="U329" s="9"/>
      <x:c r="V329" s="9"/>
      <x:c r="W329" s="9"/>
      <x:c r="X329" s="9"/>
      <x:c r="Y329" s="9"/>
      <x:c r="Z329" s="9"/>
    </x:row>
    <x:row r="330" ht="14.25" customHeight="1">
      <x:c r="A330" s="1" t="s">
        <x:v>842</x:v>
      </x:c>
      <x:c r="B330" s="1" t="s">
        <x:v>493</x:v>
      </x:c>
      <x:c r="C330" s="1">
        <x:v>22.7</x:v>
      </x:c>
      <x:c r="D330" s="1">
        <x:v>270.9</x:v>
      </x:c>
      <x:c r="E330" s="1">
        <x:v>1.5</x:v>
      </x:c>
      <x:c r="F330" s="1">
        <x:v>4.1</x:v>
      </x:c>
      <x:c r="G330" s="1">
        <x:v>21.4</x:v>
      </x:c>
      <x:c r="H330" s="1">
        <x:v>0.2</x:v>
      </x:c>
      <x:c r="I330" s="1">
        <x:v>0.3</x:v>
      </x:c>
      <x:c r="J330" s="1">
        <x:v>61.3</x:v>
      </x:c>
      <x:c r="K330" s="18">
        <x:f t="shared" si="1"/>
        <x:v>1.326240929</x:v>
      </x:c>
      <x:c r="L330" s="18">
        <x:f t="shared" si="2"/>
        <x:v>13.32398601</x:v>
      </x:c>
      <x:c r="M330" s="119" t="n">
        <x:f>C332*Scoring!$B$34+D332/Scoring!$C$34+E332*Scoring!$D$34+WR!F332*Scoring!$E$34+WR!G332/Scoring!$F$34+WR!H332*Scoring!$G$34+WR!I332*Scoring!$H$34+K332*Scoring!$I$34+WR!L332*Scoring!$J$34+U330</x:f>
        <x:v>50.480000000000004</x:v>
      </x:c>
      <x:c r="N330" s="119" t="n">
        <x:f>C330*Scoring!$B$34+D330/Scoring!$C$34+E330*Scoring!$D$34+WR!F330*Scoring!$E$34+WR!G330/Scoring!$F$34+WR!H330*Scoring!$G$34+WR!I330*Scoring!$H$34+K330*Scoring!$I$34+WR!L330*Scoring!$J$34+U330</x:f>
        <x:v>50.480000000000004</x:v>
      </x:c>
      <x:c r="O330" s="119" t="n">
        <x:f>C331*Scoring!$B$34+D331/Scoring!$C$34+E331*Scoring!$D$34+WR!F331*Scoring!$E$34+WR!G331/Scoring!$F$34+WR!H331*Scoring!$G$34+WR!I331*Scoring!$H$34+K331*Scoring!$I$34+WR!L331*Scoring!$J$34+U330</x:f>
        <x:v>50.480000000000004</x:v>
      </x:c>
      <x:c r="P330" s="9" t="n">
        <x:f>IF(COUNTIF(Rookies!$A:$A,A330)&gt;0,1,0)</x:f>
        <x:v>0</x:v>
      </x:c>
      <x:c r="Q330" s="9"/>
      <x:c r="R330" s="9"/>
      <x:c r="S330" s="9" t="n">
        <x:f>V330/17</x:f>
        <x:v>2.9694117647058826</x:v>
      </x:c>
      <x:c r="T330" s="9" t="n">
        <x:f>IF(P330=1,MAX(0,0.28*(12-S330)),0)</x:f>
        <x:v>0</x:v>
      </x:c>
      <x:c r="U330" s="9" t="n">
        <x:f>T330*17</x:f>
        <x:v>0</x:v>
      </x:c>
      <x:c r="V330" s="9" t="n">
        <x:f>C330*Scoring!$B$34+D330/Scoring!$C$34+E330*Scoring!$D$34+WR!F330*Scoring!$E$34+WR!G330/Scoring!$F$34+WR!H330*Scoring!$G$34+WR!I330*Scoring!$H$34+K330*Scoring!$I$34+WR!L330*Scoring!$J$34</x:f>
        <x:v>50.480000000000004</x:v>
      </x:c>
      <x:c r="W330" s="9"/>
      <x:c r="X330" s="9"/>
      <x:c r="Y330" s="9"/>
      <x:c r="Z330" s="9"/>
    </x:row>
    <x:row r="331" ht="14.25" customHeight="1">
      <x:c r="B331" s="1" t="s">
        <x:v>488</x:v>
      </x:c>
      <x:c r="C331" s="1">
        <x:v>22.7</x:v>
      </x:c>
      <x:c r="D331" s="1">
        <x:v>270.9</x:v>
      </x:c>
      <x:c r="E331" s="1">
        <x:v>1.5</x:v>
      </x:c>
      <x:c r="F331" s="1">
        <x:v>4.1</x:v>
      </x:c>
      <x:c r="G331" s="1">
        <x:v>21.4</x:v>
      </x:c>
      <x:c r="H331" s="1">
        <x:v>0.2</x:v>
      </x:c>
      <x:c r="I331" s="1">
        <x:v>0.3</x:v>
      </x:c>
      <x:c r="J331" s="1">
        <x:v>61.5</x:v>
      </x:c>
      <x:c r="K331" s="18">
        <x:f t="shared" si="1"/>
        <x:v>1.326240929</x:v>
      </x:c>
      <x:c r="L331" s="18">
        <x:f t="shared" si="2"/>
        <x:v>13.32398601</x:v>
      </x:c>
      <x:c r="M331" s="121"/>
      <x:c r="N331" s="121"/>
      <x:c r="O331" s="121"/>
      <x:c r="P331" s="9"/>
      <x:c r="Q331" s="9"/>
      <x:c r="R331" s="9"/>
      <x:c r="S331" s="9"/>
      <x:c r="T331" s="9"/>
      <x:c r="U331" s="9"/>
      <x:c r="V331" s="9"/>
      <x:c r="W331" s="9"/>
      <x:c r="X331" s="9"/>
      <x:c r="Y331" s="9"/>
      <x:c r="Z331" s="9"/>
    </x:row>
    <x:row r="332" ht="14.25" customHeight="1">
      <x:c r="B332" s="1" t="s">
        <x:v>489</x:v>
      </x:c>
      <x:c r="C332" s="1">
        <x:v>22.7</x:v>
      </x:c>
      <x:c r="D332" s="1">
        <x:v>270.9</x:v>
      </x:c>
      <x:c r="E332" s="1">
        <x:v>1.5</x:v>
      </x:c>
      <x:c r="F332" s="1">
        <x:v>4.1</x:v>
      </x:c>
      <x:c r="G332" s="1">
        <x:v>21.4</x:v>
      </x:c>
      <x:c r="H332" s="1">
        <x:v>0.2</x:v>
      </x:c>
      <x:c r="I332" s="1">
        <x:v>0.3</x:v>
      </x:c>
      <x:c r="J332" s="1">
        <x:v>61.5</x:v>
      </x:c>
      <x:c r="K332" s="18">
        <x:f t="shared" si="1"/>
        <x:v>1.326240929</x:v>
      </x:c>
      <x:c r="L332" s="18">
        <x:f t="shared" si="2"/>
        <x:v>13.32398601</x:v>
      </x:c>
      <x:c r="M332" s="121"/>
      <x:c r="N332" s="121"/>
      <x:c r="O332" s="121"/>
      <x:c r="P332" s="9"/>
      <x:c r="Q332" s="9"/>
      <x:c r="R332" s="9"/>
      <x:c r="S332" s="9"/>
      <x:c r="T332" s="9"/>
      <x:c r="U332" s="9"/>
      <x:c r="V332" s="9"/>
      <x:c r="W332" s="9"/>
      <x:c r="X332" s="9"/>
      <x:c r="Y332" s="9"/>
      <x:c r="Z332" s="9"/>
    </x:row>
    <x:row r="333" ht="14.25" customHeight="1">
      <x:c r="A333" s="1" t="s">
        <x:v>843</x:v>
      </x:c>
      <x:c r="B333" s="1" t="s">
        <x:v>531</x:v>
      </x:c>
      <x:c r="C333" s="1">
        <x:v>20.5</x:v>
      </x:c>
      <x:c r="D333" s="1">
        <x:v>230.8</x:v>
      </x:c>
      <x:c r="E333" s="1">
        <x:v>1.7</x:v>
      </x:c>
      <x:c r="F333" s="1">
        <x:v>9.0</x:v>
      </x:c>
      <x:c r="G333" s="1">
        <x:v>46.9</x:v>
      </x:c>
      <x:c r="H333" s="1">
        <x:v>0.3</x:v>
      </x:c>
      <x:c r="I333" s="1">
        <x:v>0.3</x:v>
      </x:c>
      <x:c r="J333" s="1">
        <x:v>59.8</x:v>
      </x:c>
      <x:c r="K333" s="18">
        <x:f t="shared" si="1"/>
        <x:v>2.906574746</x:v>
      </x:c>
      <x:c r="L333" s="18">
        <x:f t="shared" si="2"/>
        <x:v>11.35170163</x:v>
      </x:c>
      <x:c r="M333" s="119" t="n">
        <x:f>C335*Scoring!$B$34+D335/Scoring!$C$34+E335*Scoring!$D$34+WR!F335*Scoring!$E$34+WR!G335/Scoring!$F$34+WR!H335*Scoring!$G$34+WR!I335*Scoring!$H$34+K335*Scoring!$I$34+WR!L335*Scoring!$J$34+U333</x:f>
        <x:v>49.72</x:v>
      </x:c>
      <x:c r="N333" s="119" t="n">
        <x:f>C333*Scoring!$B$34+D333/Scoring!$C$34+E333*Scoring!$D$34+WR!F333*Scoring!$E$34+WR!G333/Scoring!$F$34+WR!H333*Scoring!$G$34+WR!I333*Scoring!$H$34+K333*Scoring!$I$34+WR!L333*Scoring!$J$34+U333</x:f>
        <x:v>49.72</x:v>
      </x:c>
      <x:c r="O333" s="119" t="n">
        <x:f>C334*Scoring!$B$34+D334/Scoring!$C$34+E334*Scoring!$D$34+WR!F334*Scoring!$E$34+WR!G334/Scoring!$F$34+WR!H334*Scoring!$G$34+WR!I334*Scoring!$H$34+K334*Scoring!$I$34+WR!L334*Scoring!$J$34+U333</x:f>
        <x:v>49.72</x:v>
      </x:c>
      <x:c r="P333" s="9" t="n">
        <x:f>IF(COUNTIF(Rookies!$A:$A,A333)&gt;0,1,0)</x:f>
        <x:v>0</x:v>
      </x:c>
      <x:c r="Q333" s="9"/>
      <x:c r="R333" s="9"/>
      <x:c r="S333" s="9" t="n">
        <x:f>V333/17</x:f>
        <x:v>2.9247058823529413</x:v>
      </x:c>
      <x:c r="T333" s="9" t="n">
        <x:f>IF(P333=1,MAX(0,0.28*(12-S333)),0)</x:f>
        <x:v>0</x:v>
      </x:c>
      <x:c r="U333" s="9" t="n">
        <x:f>T333*17</x:f>
        <x:v>0</x:v>
      </x:c>
      <x:c r="V333" s="9" t="n">
        <x:f>C333*Scoring!$B$34+D333/Scoring!$C$34+E333*Scoring!$D$34+WR!F333*Scoring!$E$34+WR!G333/Scoring!$F$34+WR!H333*Scoring!$G$34+WR!I333*Scoring!$H$34+K333*Scoring!$I$34+WR!L333*Scoring!$J$34</x:f>
        <x:v>49.72</x:v>
      </x:c>
      <x:c r="W333" s="9"/>
      <x:c r="X333" s="9"/>
      <x:c r="Y333" s="9"/>
      <x:c r="Z333" s="9"/>
    </x:row>
    <x:row r="334" ht="14.25" customHeight="1">
      <x:c r="B334" s="1" t="s">
        <x:v>488</x:v>
      </x:c>
      <x:c r="C334" s="1">
        <x:v>20.5</x:v>
      </x:c>
      <x:c r="D334" s="1">
        <x:v>230.8</x:v>
      </x:c>
      <x:c r="E334" s="1">
        <x:v>1.7</x:v>
      </x:c>
      <x:c r="F334" s="1">
        <x:v>9.0</x:v>
      </x:c>
      <x:c r="G334" s="1">
        <x:v>46.9</x:v>
      </x:c>
      <x:c r="H334" s="1">
        <x:v>0.3</x:v>
      </x:c>
      <x:c r="I334" s="1">
        <x:v>0.3</x:v>
      </x:c>
      <x:c r="J334" s="1">
        <x:v>60.6</x:v>
      </x:c>
      <x:c r="K334" s="18">
        <x:f t="shared" si="1"/>
        <x:v>2.906574746</x:v>
      </x:c>
      <x:c r="L334" s="18">
        <x:f t="shared" si="2"/>
        <x:v>11.35170163</x:v>
      </x:c>
      <x:c r="M334" s="121"/>
      <x:c r="N334" s="121"/>
      <x:c r="O334" s="121"/>
      <x:c r="P334" s="9"/>
      <x:c r="Q334" s="9"/>
      <x:c r="R334" s="9"/>
      <x:c r="S334" s="9"/>
      <x:c r="T334" s="9"/>
      <x:c r="U334" s="9"/>
      <x:c r="V334" s="9"/>
      <x:c r="W334" s="9"/>
      <x:c r="X334" s="9"/>
      <x:c r="Y334" s="9"/>
      <x:c r="Z334" s="9"/>
    </x:row>
    <x:row r="335" ht="14.25" customHeight="1">
      <x:c r="B335" s="1" t="s">
        <x:v>489</x:v>
      </x:c>
      <x:c r="C335" s="1">
        <x:v>20.5</x:v>
      </x:c>
      <x:c r="D335" s="1">
        <x:v>230.8</x:v>
      </x:c>
      <x:c r="E335" s="1">
        <x:v>1.7</x:v>
      </x:c>
      <x:c r="F335" s="1">
        <x:v>9.0</x:v>
      </x:c>
      <x:c r="G335" s="1">
        <x:v>46.9</x:v>
      </x:c>
      <x:c r="H335" s="1">
        <x:v>0.3</x:v>
      </x:c>
      <x:c r="I335" s="1">
        <x:v>0.3</x:v>
      </x:c>
      <x:c r="J335" s="1">
        <x:v>60.6</x:v>
      </x:c>
      <x:c r="K335" s="18">
        <x:f t="shared" si="1"/>
        <x:v>2.906574746</x:v>
      </x:c>
      <x:c r="L335" s="18">
        <x:f t="shared" si="2"/>
        <x:v>11.35170163</x:v>
      </x:c>
      <x:c r="M335" s="121"/>
      <x:c r="N335" s="121"/>
      <x:c r="O335" s="121"/>
      <x:c r="P335" s="9"/>
      <x:c r="Q335" s="9"/>
      <x:c r="R335" s="9"/>
      <x:c r="S335" s="9"/>
      <x:c r="T335" s="9"/>
      <x:c r="U335" s="9"/>
      <x:c r="V335" s="9"/>
      <x:c r="W335" s="9"/>
      <x:c r="X335" s="9"/>
      <x:c r="Y335" s="9"/>
      <x:c r="Z335" s="9"/>
    </x:row>
    <x:row r="336" ht="14.25" customHeight="1">
      <x:c r="A336" s="1" t="s">
        <x:v>844</x:v>
      </x:c>
      <x:c r="B336" s="1" t="s">
        <x:v>501</x:v>
      </x:c>
      <x:c r="C336" s="1">
        <x:v>23.0</x:v>
      </x:c>
      <x:c r="D336" s="1">
        <x:v>279.9</x:v>
      </x:c>
      <x:c r="E336" s="1">
        <x:v>1.5</x:v>
      </x:c>
      <x:c r="F336" s="1">
        <x:v>0.0</x:v>
      </x:c>
      <x:c r="G336" s="1">
        <x:v>0.0</x:v>
      </x:c>
      <x:c r="H336" s="1">
        <x:v>0.0</x:v>
      </x:c>
      <x:c r="I336" s="1">
        <x:v>0.2</x:v>
      </x:c>
      <x:c r="J336" s="1">
        <x:v>59.7</x:v>
      </x:c>
      <x:c r="K336" s="18">
        <x:f t="shared" si="1"/>
        <x:v>0</x:v>
      </x:c>
      <x:c r="L336" s="18">
        <x:f t="shared" si="2"/>
        <x:v>13.76664336</x:v>
      </x:c>
      <x:c r="M336" s="119" t="n">
        <x:f>C338*Scoring!$B$34+D338/Scoring!$C$34+E338*Scoring!$D$34+WR!F338*Scoring!$E$34+WR!G338/Scoring!$F$34+WR!H338*Scoring!$G$34+WR!I338*Scoring!$H$34+K338*Scoring!$I$34+WR!L338*Scoring!$J$34+U336</x:f>
        <x:v>91.8888</x:v>
      </x:c>
      <x:c r="N336" s="119" t="n">
        <x:f>C336*Scoring!$B$34+D336/Scoring!$C$34+E336*Scoring!$D$34+WR!F336*Scoring!$E$34+WR!G336/Scoring!$F$34+WR!H336*Scoring!$G$34+WR!I336*Scoring!$H$34+K336*Scoring!$I$34+WR!L336*Scoring!$J$34+U336</x:f>
        <x:v>91.8888</x:v>
      </x:c>
      <x:c r="O336" s="119" t="n">
        <x:f>C337*Scoring!$B$34+D337/Scoring!$C$34+E337*Scoring!$D$34+WR!F337*Scoring!$E$34+WR!G337/Scoring!$F$34+WR!H337*Scoring!$G$34+WR!I337*Scoring!$H$34+K337*Scoring!$I$34+WR!L337*Scoring!$J$34+U336</x:f>
        <x:v>91.8888</x:v>
      </x:c>
      <x:c r="P336" s="9" t="n">
        <x:f>IF(COUNTIF(Rookies!$A:$A,A336)&gt;0,1,0)</x:f>
        <x:v>1</x:v>
      </x:c>
      <x:c r="Q336" s="9"/>
      <x:c r="R336" s="9"/>
      <x:c r="S336" s="9" t="n">
        <x:f>V336/17</x:f>
        <x:v>2.840588235294117</x:v>
      </x:c>
      <x:c r="T336" s="9" t="n">
        <x:f>IF(P336=1,MAX(0,0.28*(12-S336)),0)</x:f>
        <x:v>2.5646352941176476</x:v>
      </x:c>
      <x:c r="U336" s="9" t="n">
        <x:f>T336*17</x:f>
        <x:v>43.59880000000001</x:v>
      </x:c>
      <x:c r="V336" s="9" t="n">
        <x:f>C336*Scoring!$B$34+D336/Scoring!$C$34+E336*Scoring!$D$34+WR!F336*Scoring!$E$34+WR!G336/Scoring!$F$34+WR!H336*Scoring!$G$34+WR!I336*Scoring!$H$34+K336*Scoring!$I$34+WR!L336*Scoring!$J$34</x:f>
        <x:v>48.28999999999999</x:v>
      </x:c>
      <x:c r="W336" s="9"/>
      <x:c r="X336" s="9"/>
      <x:c r="Y336" s="9"/>
      <x:c r="Z336" s="9"/>
    </x:row>
    <x:row r="337" ht="14.25" customHeight="1">
      <x:c r="B337" s="1" t="s">
        <x:v>488</x:v>
      </x:c>
      <x:c r="C337" s="1">
        <x:v>23.0</x:v>
      </x:c>
      <x:c r="D337" s="1">
        <x:v>279.9</x:v>
      </x:c>
      <x:c r="E337" s="1">
        <x:v>1.5</x:v>
      </x:c>
      <x:c r="F337" s="1">
        <x:v>0.0</x:v>
      </x:c>
      <x:c r="G337" s="1">
        <x:v>0.0</x:v>
      </x:c>
      <x:c r="H337" s="1">
        <x:v>0.0</x:v>
      </x:c>
      <x:c r="I337" s="1">
        <x:v>0.2</x:v>
      </x:c>
      <x:c r="J337" s="1">
        <x:v>59.9</x:v>
      </x:c>
      <x:c r="K337" s="18">
        <x:f t="shared" si="1"/>
        <x:v>0</x:v>
      </x:c>
      <x:c r="L337" s="18">
        <x:f t="shared" si="2"/>
        <x:v>13.76664336</x:v>
      </x:c>
      <x:c r="M337" s="121"/>
      <x:c r="N337" s="121"/>
      <x:c r="O337" s="121"/>
      <x:c r="P337" s="9"/>
      <x:c r="Q337" s="9"/>
      <x:c r="R337" s="9"/>
      <x:c r="S337" s="9"/>
      <x:c r="T337" s="9"/>
      <x:c r="U337" s="9"/>
      <x:c r="V337" s="9"/>
      <x:c r="W337" s="9"/>
      <x:c r="X337" s="9"/>
      <x:c r="Y337" s="9"/>
      <x:c r="Z337" s="9"/>
    </x:row>
    <x:row r="338" ht="14.25" customHeight="1">
      <x:c r="B338" s="1" t="s">
        <x:v>489</x:v>
      </x:c>
      <x:c r="C338" s="1">
        <x:v>23.0</x:v>
      </x:c>
      <x:c r="D338" s="1">
        <x:v>279.9</x:v>
      </x:c>
      <x:c r="E338" s="1">
        <x:v>1.5</x:v>
      </x:c>
      <x:c r="F338" s="1">
        <x:v>0.0</x:v>
      </x:c>
      <x:c r="G338" s="1">
        <x:v>0.0</x:v>
      </x:c>
      <x:c r="H338" s="1">
        <x:v>0.0</x:v>
      </x:c>
      <x:c r="I338" s="1">
        <x:v>0.2</x:v>
      </x:c>
      <x:c r="J338" s="1">
        <x:v>59.9</x:v>
      </x:c>
      <x:c r="K338" s="18">
        <x:f t="shared" si="1"/>
        <x:v>0</x:v>
      </x:c>
      <x:c r="L338" s="18">
        <x:f t="shared" si="2"/>
        <x:v>13.76664336</x:v>
      </x:c>
      <x:c r="M338" s="121"/>
      <x:c r="N338" s="121"/>
      <x:c r="O338" s="121"/>
      <x:c r="P338" s="9"/>
      <x:c r="Q338" s="9"/>
      <x:c r="R338" s="9"/>
      <x:c r="S338" s="9"/>
      <x:c r="T338" s="9"/>
      <x:c r="U338" s="9"/>
      <x:c r="V338" s="9"/>
      <x:c r="W338" s="9"/>
      <x:c r="X338" s="9"/>
      <x:c r="Y338" s="9"/>
      <x:c r="Z338" s="9"/>
    </x:row>
    <x:row r="339" ht="14.25" customHeight="1">
      <x:c r="A339" s="1" t="s">
        <x:v>845</x:v>
      </x:c>
      <x:c r="B339" s="1" t="s">
        <x:v>501</x:v>
      </x:c>
      <x:c r="C339" s="1">
        <x:v>19.6</x:v>
      </x:c>
      <x:c r="D339" s="1">
        <x:v>262.2</x:v>
      </x:c>
      <x:c r="E339" s="1">
        <x:v>2.2</x:v>
      </x:c>
      <x:c r="F339" s="1">
        <x:v>0.0</x:v>
      </x:c>
      <x:c r="G339" s="1">
        <x:v>0.0</x:v>
      </x:c>
      <x:c r="H339" s="1">
        <x:v>0.0</x:v>
      </x:c>
      <x:c r="I339" s="1">
        <x:v>0.0</x:v>
      </x:c>
      <x:c r="J339" s="1">
        <x:v>58.8</x:v>
      </x:c>
      <x:c r="K339" s="18">
        <x:f t="shared" si="1"/>
        <x:v>0</x:v>
      </x:c>
      <x:c r="L339" s="18">
        <x:f t="shared" si="2"/>
        <x:v>12.89608392</x:v>
      </x:c>
      <x:c r="M339" s="119" t="n">
        <x:f>C341*Scoring!$B$34+D341/Scoring!$C$34+E341*Scoring!$D$34+WR!F341*Scoring!$E$34+WR!G341/Scoring!$F$34+WR!H341*Scoring!$G$34+WR!I341*Scoring!$H$34+K341*Scoring!$I$34+WR!L341*Scoring!$J$34+U339</x:f>
        <x:v>12.790000000000001</x:v>
      </x:c>
      <x:c r="N339" s="119" t="n">
        <x:f>C339*Scoring!$B$34+D339/Scoring!$C$34+E339*Scoring!$D$34+WR!F339*Scoring!$E$34+WR!G339/Scoring!$F$34+WR!H339*Scoring!$G$34+WR!I339*Scoring!$H$34+K339*Scoring!$I$34+WR!L339*Scoring!$J$34+U339</x:f>
        <x:v>49.22</x:v>
      </x:c>
      <x:c r="O339" s="119" t="n">
        <x:f>C340*Scoring!$B$34+D340/Scoring!$C$34+E340*Scoring!$D$34+WR!F340*Scoring!$E$34+WR!G340/Scoring!$F$34+WR!H340*Scoring!$G$34+WR!I340*Scoring!$H$34+K340*Scoring!$I$34+WR!L340*Scoring!$J$34+U339</x:f>
        <x:v>85.5</x:v>
      </x:c>
      <x:c r="P339" s="9" t="n">
        <x:f>IF(COUNTIF(Rookies!$A:$A,A339)&gt;0,1,0)</x:f>
        <x:v>0</x:v>
      </x:c>
      <x:c r="Q339" s="9"/>
      <x:c r="R339" s="9"/>
      <x:c r="S339" s="9" t="n">
        <x:f>V339/17</x:f>
        <x:v>2.8952941176470586</x:v>
      </x:c>
      <x:c r="T339" s="9" t="n">
        <x:f>IF(P339=1,MAX(0,0.28*(12-S339)),0)</x:f>
        <x:v>0</x:v>
      </x:c>
      <x:c r="U339" s="9" t="n">
        <x:f>T339*17</x:f>
        <x:v>0</x:v>
      </x:c>
      <x:c r="V339" s="9" t="n">
        <x:f>C339*Scoring!$B$34+D339/Scoring!$C$34+E339*Scoring!$D$34+WR!F339*Scoring!$E$34+WR!G339/Scoring!$F$34+WR!H339*Scoring!$G$34+WR!I339*Scoring!$H$34+K339*Scoring!$I$34+WR!L339*Scoring!$J$34</x:f>
        <x:v>49.22</x:v>
      </x:c>
      <x:c r="W339" s="9"/>
      <x:c r="X339" s="9"/>
      <x:c r="Y339" s="9"/>
      <x:c r="Z339" s="9"/>
    </x:row>
    <x:row r="340" ht="14.25" customHeight="1">
      <x:c r="B340" s="1" t="s">
        <x:v>488</x:v>
      </x:c>
      <x:c r="C340" s="1">
        <x:v>33.0</x:v>
      </x:c>
      <x:c r="D340" s="1">
        <x:v>450.0</x:v>
      </x:c>
      <x:c r="E340" s="1">
        <x:v>4.0</x:v>
      </x:c>
      <x:c r="F340" s="1">
        <x:v>0.0</x:v>
      </x:c>
      <x:c r="G340" s="1">
        <x:v>0.0</x:v>
      </x:c>
      <x:c r="H340" s="1">
        <x:v>0.0</x:v>
      </x:c>
      <x:c r="I340" s="1">
        <x:v>0.0</x:v>
      </x:c>
      <x:c r="J340" s="1">
        <x:v>79.6</x:v>
      </x:c>
      <x:c r="K340" s="18">
        <x:f t="shared" si="1"/>
        <x:v>0</x:v>
      </x:c>
      <x:c r="L340" s="18">
        <x:f t="shared" si="2"/>
        <x:v>22.13286713</x:v>
      </x:c>
      <x:c r="M340" s="121"/>
      <x:c r="N340" s="121"/>
      <x:c r="O340" s="121"/>
      <x:c r="P340" s="9"/>
      <x:c r="Q340" s="9"/>
      <x:c r="R340" s="9"/>
      <x:c r="S340" s="9"/>
      <x:c r="T340" s="9"/>
      <x:c r="U340" s="9"/>
      <x:c r="V340" s="9"/>
      <x:c r="W340" s="9"/>
      <x:c r="X340" s="9"/>
      <x:c r="Y340" s="9"/>
      <x:c r="Z340" s="9"/>
    </x:row>
    <x:row r="341" ht="14.25" customHeight="1">
      <x:c r="B341" s="1" t="s">
        <x:v>489</x:v>
      </x:c>
      <x:c r="C341" s="1">
        <x:v>6.1</x:v>
      </x:c>
      <x:c r="D341" s="1">
        <x:v>74.4</x:v>
      </x:c>
      <x:c r="E341" s="1">
        <x:v>0.4</x:v>
      </x:c>
      <x:c r="F341" s="1">
        <x:v>0.0</x:v>
      </x:c>
      <x:c r="G341" s="1">
        <x:v>0.0</x:v>
      </x:c>
      <x:c r="H341" s="1">
        <x:v>0.0</x:v>
      </x:c>
      <x:c r="I341" s="1">
        <x:v>0.1</x:v>
      </x:c>
      <x:c r="J341" s="1">
        <x:v>29.5</x:v>
      </x:c>
      <x:c r="K341" s="18">
        <x:f t="shared" si="1"/>
        <x:v>0</x:v>
      </x:c>
      <x:c r="L341" s="18">
        <x:f t="shared" si="2"/>
        <x:v>3.659300699</x:v>
      </x:c>
      <x:c r="M341" s="121"/>
      <x:c r="N341" s="121"/>
      <x:c r="O341" s="121"/>
      <x:c r="P341" s="9"/>
      <x:c r="Q341" s="9"/>
      <x:c r="R341" s="9"/>
      <x:c r="S341" s="9"/>
      <x:c r="T341" s="9"/>
      <x:c r="U341" s="9"/>
      <x:c r="V341" s="9"/>
      <x:c r="W341" s="9"/>
      <x:c r="X341" s="9"/>
      <x:c r="Y341" s="9"/>
      <x:c r="Z341" s="9"/>
    </x:row>
    <x:row r="342" ht="14.25" customHeight="1">
      <x:c r="A342" s="1" t="s">
        <x:v>846</x:v>
      </x:c>
      <x:c r="B342" s="1" t="s">
        <x:v>511</x:v>
      </x:c>
      <x:c r="C342" s="1">
        <x:v>17.6</x:v>
      </x:c>
      <x:c r="D342" s="1">
        <x:v>232.8</x:v>
      </x:c>
      <x:c r="E342" s="1">
        <x:v>2.7</x:v>
      </x:c>
      <x:c r="F342" s="1">
        <x:v>0.5</x:v>
      </x:c>
      <x:c r="G342" s="1">
        <x:v>3.5</x:v>
      </x:c>
      <x:c r="H342" s="1">
        <x:v>0.0</x:v>
      </x:c>
      <x:c r="I342" s="1">
        <x:v>0.0</x:v>
      </x:c>
      <x:c r="J342" s="1">
        <x:v>57.2</x:v>
      </x:c>
      <x:c r="K342" s="18">
        <x:f t="shared" si="1"/>
        <x:v>0.2169085631</x:v>
      </x:c>
      <x:c r="L342" s="18">
        <x:f t="shared" si="2"/>
        <x:v>11.45006993</x:v>
      </x:c>
      <x:c r="M342" s="119" t="n">
        <x:f>C344*Scoring!$B$34+D344/Scoring!$C$34+E344*Scoring!$D$34+WR!F344*Scoring!$E$34+WR!G344/Scoring!$F$34+WR!H344*Scoring!$G$34+WR!I344*Scoring!$H$34+K344*Scoring!$I$34+WR!L344*Scoring!$J$34+U342</x:f>
        <x:v>6.95</x:v>
      </x:c>
      <x:c r="N342" s="119" t="n">
        <x:f>C342*Scoring!$B$34+D342/Scoring!$C$34+E342*Scoring!$D$34+WR!F342*Scoring!$E$34+WR!G342/Scoring!$F$34+WR!H342*Scoring!$G$34+WR!I342*Scoring!$H$34+K342*Scoring!$I$34+WR!L342*Scoring!$J$34+U342</x:f>
        <x:v>48.63</x:v>
      </x:c>
      <x:c r="O342" s="119" t="n">
        <x:f>C343*Scoring!$B$34+D343/Scoring!$C$34+E343*Scoring!$D$34+WR!F343*Scoring!$E$34+WR!G343/Scoring!$F$34+WR!H343*Scoring!$G$34+WR!I343*Scoring!$H$34+K343*Scoring!$I$34+WR!L343*Scoring!$J$34+U342</x:f>
        <x:v>89.7</x:v>
      </x:c>
      <x:c r="P342" s="9" t="n">
        <x:f>IF(COUNTIF(Rookies!$A:$A,A342)&gt;0,1,0)</x:f>
        <x:v>0</x:v>
      </x:c>
      <x:c r="Q342" s="9"/>
      <x:c r="R342" s="9"/>
      <x:c r="S342" s="9" t="n">
        <x:f>V342/17</x:f>
        <x:v>2.860588235294118</x:v>
      </x:c>
      <x:c r="T342" s="9" t="n">
        <x:f>IF(P342=1,MAX(0,0.28*(12-S342)),0)</x:f>
        <x:v>0</x:v>
      </x:c>
      <x:c r="U342" s="9" t="n">
        <x:f>T342*17</x:f>
        <x:v>0</x:v>
      </x:c>
      <x:c r="V342" s="9" t="n">
        <x:f>C342*Scoring!$B$34+D342/Scoring!$C$34+E342*Scoring!$D$34+WR!F342*Scoring!$E$34+WR!G342/Scoring!$F$34+WR!H342*Scoring!$G$34+WR!I342*Scoring!$H$34+K342*Scoring!$I$34+WR!L342*Scoring!$J$34</x:f>
        <x:v>48.63</x:v>
      </x:c>
      <x:c r="W342" s="9"/>
      <x:c r="X342" s="9"/>
      <x:c r="Y342" s="9"/>
      <x:c r="Z342" s="9"/>
    </x:row>
    <x:row r="343" ht="14.25" customHeight="1">
      <x:c r="B343" s="1" t="s">
        <x:v>488</x:v>
      </x:c>
      <x:c r="C343" s="1">
        <x:v>32.0</x:v>
      </x:c>
      <x:c r="D343" s="1">
        <x:v>430.0</x:v>
      </x:c>
      <x:c r="E343" s="1">
        <x:v>5.0</x:v>
      </x:c>
      <x:c r="F343" s="1">
        <x:v>1.0</x:v>
      </x:c>
      <x:c r="G343" s="1">
        <x:v>7.0</x:v>
      </x:c>
      <x:c r="H343" s="1">
        <x:v>0.0</x:v>
      </x:c>
      <x:c r="I343" s="1">
        <x:v>0.0</x:v>
      </x:c>
      <x:c r="J343" s="1">
        <x:v>82.6</x:v>
      </x:c>
      <x:c r="K343" s="18">
        <x:f t="shared" si="1"/>
        <x:v>0.4338171263</x:v>
      </x:c>
      <x:c r="L343" s="18">
        <x:f t="shared" si="2"/>
        <x:v>21.14918415</x:v>
      </x:c>
      <x:c r="M343" s="121"/>
      <x:c r="N343" s="121"/>
      <x:c r="O343" s="121"/>
      <x:c r="P343" s="9"/>
      <x:c r="Q343" s="9"/>
      <x:c r="R343" s="9"/>
      <x:c r="S343" s="9"/>
      <x:c r="T343" s="9"/>
      <x:c r="U343" s="9"/>
      <x:c r="V343" s="9"/>
      <x:c r="W343" s="9"/>
      <x:c r="X343" s="9"/>
      <x:c r="Y343" s="9"/>
      <x:c r="Z343" s="9"/>
    </x:row>
    <x:row r="344" ht="14.25" customHeight="1">
      <x:c r="B344" s="1" t="s">
        <x:v>489</x:v>
      </x:c>
      <x:c r="C344" s="1">
        <x:v>3.2</x:v>
      </x:c>
      <x:c r="D344" s="1">
        <x:v>35.5</x:v>
      </x:c>
      <x:c r="E344" s="1">
        <x:v>0.3</x:v>
      </x:c>
      <x:c r="F344" s="1">
        <x:v>0.0</x:v>
      </x:c>
      <x:c r="G344" s="1">
        <x:v>0.0</x:v>
      </x:c>
      <x:c r="H344" s="1">
        <x:v>0.0</x:v>
      </x:c>
      <x:c r="I344" s="1">
        <x:v>0.0</x:v>
      </x:c>
      <x:c r="J344" s="1">
        <x:v>23.1</x:v>
      </x:c>
      <x:c r="K344" s="18">
        <x:f t="shared" si="1"/>
        <x:v>0</x:v>
      </x:c>
      <x:c r="L344" s="18">
        <x:f t="shared" si="2"/>
        <x:v>1.746037296</x:v>
      </x:c>
      <x:c r="M344" s="121"/>
      <x:c r="N344" s="121"/>
      <x:c r="O344" s="121"/>
      <x:c r="P344" s="9"/>
      <x:c r="Q344" s="9"/>
      <x:c r="R344" s="9"/>
      <x:c r="S344" s="9"/>
      <x:c r="T344" s="9"/>
      <x:c r="U344" s="9"/>
      <x:c r="V344" s="9"/>
      <x:c r="W344" s="9"/>
      <x:c r="X344" s="9"/>
      <x:c r="Y344" s="9"/>
      <x:c r="Z344" s="9"/>
    </x:row>
    <x:row r="345" ht="14.25" customHeight="1">
      <x:c r="A345" s="1" t="s">
        <x:v>847</x:v>
      </x:c>
      <x:c r="B345" s="1" t="s">
        <x:v>529</x:v>
      </x:c>
      <x:c r="C345" s="1">
        <x:v>21.8</x:v>
      </x:c>
      <x:c r="D345" s="1">
        <x:v>311.6</x:v>
      </x:c>
      <x:c r="E345" s="1">
        <x:v>0.5</x:v>
      </x:c>
      <x:c r="F345" s="1">
        <x:v>2.2</x:v>
      </x:c>
      <x:c r="G345" s="1">
        <x:v>11.4</x:v>
      </x:c>
      <x:c r="H345" s="1">
        <x:v>0.1</x:v>
      </x:c>
      <x:c r="I345" s="1">
        <x:v>0.2</x:v>
      </x:c>
      <x:c r="J345" s="1">
        <x:v>57.0</x:v>
      </x:c>
      <x:c r="K345" s="18">
        <x:f t="shared" si="1"/>
        <x:v>0.7065021771</x:v>
      </x:c>
      <x:c r="L345" s="18">
        <x:f t="shared" si="2"/>
        <x:v>15.32578089</x:v>
      </x:c>
      <x:c r="M345" s="119" t="n">
        <x:f>C347*Scoring!$B$34+D347/Scoring!$C$34+E347*Scoring!$D$34+WR!F347*Scoring!$E$34+WR!G347/Scoring!$F$34+WR!H347*Scoring!$G$34+WR!I347*Scoring!$H$34+K347*Scoring!$I$34+WR!L347*Scoring!$J$34+U345</x:f>
        <x:v>46.6</x:v>
      </x:c>
      <x:c r="N345" s="119" t="n">
        <x:f>C345*Scoring!$B$34+D345/Scoring!$C$34+E345*Scoring!$D$34+WR!F345*Scoring!$E$34+WR!G345/Scoring!$F$34+WR!H345*Scoring!$G$34+WR!I345*Scoring!$H$34+K345*Scoring!$I$34+WR!L345*Scoring!$J$34+U345</x:f>
        <x:v>46.6</x:v>
      </x:c>
      <x:c r="O345" s="119" t="n">
        <x:f>C346*Scoring!$B$34+D346/Scoring!$C$34+E346*Scoring!$D$34+WR!F346*Scoring!$E$34+WR!G346/Scoring!$F$34+WR!H346*Scoring!$G$34+WR!I346*Scoring!$H$34+K346*Scoring!$I$34+WR!L346*Scoring!$J$34+U345</x:f>
        <x:v>46.6</x:v>
      </x:c>
      <x:c r="P345" s="9" t="n">
        <x:f>IF(COUNTIF(Rookies!$A:$A,A345)&gt;0,1,0)</x:f>
        <x:v>0</x:v>
      </x:c>
      <x:c r="Q345" s="9"/>
      <x:c r="R345" s="9"/>
      <x:c r="S345" s="9" t="n">
        <x:f>V345/17</x:f>
        <x:v>2.7411764705882353</x:v>
      </x:c>
      <x:c r="T345" s="9" t="n">
        <x:f>IF(P345=1,MAX(0,0.28*(12-S345)),0)</x:f>
        <x:v>0</x:v>
      </x:c>
      <x:c r="U345" s="9" t="n">
        <x:f>T345*17</x:f>
        <x:v>0</x:v>
      </x:c>
      <x:c r="V345" s="9" t="n">
        <x:f>C345*Scoring!$B$34+D345/Scoring!$C$34+E345*Scoring!$D$34+WR!F345*Scoring!$E$34+WR!G345/Scoring!$F$34+WR!H345*Scoring!$G$34+WR!I345*Scoring!$H$34+K345*Scoring!$I$34+WR!L345*Scoring!$J$34</x:f>
        <x:v>46.6</x:v>
      </x:c>
      <x:c r="W345" s="9"/>
      <x:c r="X345" s="9"/>
      <x:c r="Y345" s="9"/>
      <x:c r="Z345" s="9"/>
    </x:row>
    <x:row r="346" ht="14.25" customHeight="1">
      <x:c r="B346" s="1" t="s">
        <x:v>488</x:v>
      </x:c>
      <x:c r="C346" s="1">
        <x:v>21.8</x:v>
      </x:c>
      <x:c r="D346" s="1">
        <x:v>311.6</x:v>
      </x:c>
      <x:c r="E346" s="1">
        <x:v>0.5</x:v>
      </x:c>
      <x:c r="F346" s="1">
        <x:v>2.2</x:v>
      </x:c>
      <x:c r="G346" s="1">
        <x:v>11.4</x:v>
      </x:c>
      <x:c r="H346" s="1">
        <x:v>0.1</x:v>
      </x:c>
      <x:c r="I346" s="1">
        <x:v>0.2</x:v>
      </x:c>
      <x:c r="J346" s="1">
        <x:v>57.0</x:v>
      </x:c>
      <x:c r="K346" s="18">
        <x:f t="shared" si="1"/>
        <x:v>0.7065021771</x:v>
      </x:c>
      <x:c r="L346" s="18">
        <x:f t="shared" si="2"/>
        <x:v>15.32578089</x:v>
      </x:c>
      <x:c r="M346" s="121"/>
      <x:c r="N346" s="121"/>
      <x:c r="O346" s="121"/>
      <x:c r="P346" s="9"/>
      <x:c r="Q346" s="9"/>
      <x:c r="R346" s="9"/>
      <x:c r="S346" s="9"/>
      <x:c r="T346" s="9"/>
      <x:c r="U346" s="9"/>
      <x:c r="V346" s="9"/>
      <x:c r="W346" s="9"/>
      <x:c r="X346" s="9"/>
      <x:c r="Y346" s="9"/>
      <x:c r="Z346" s="9"/>
    </x:row>
    <x:row r="347" ht="14.25" customHeight="1">
      <x:c r="B347" s="1" t="s">
        <x:v>489</x:v>
      </x:c>
      <x:c r="C347" s="1">
        <x:v>21.8</x:v>
      </x:c>
      <x:c r="D347" s="1">
        <x:v>311.6</x:v>
      </x:c>
      <x:c r="E347" s="1">
        <x:v>0.5</x:v>
      </x:c>
      <x:c r="F347" s="1">
        <x:v>2.2</x:v>
      </x:c>
      <x:c r="G347" s="1">
        <x:v>11.4</x:v>
      </x:c>
      <x:c r="H347" s="1">
        <x:v>0.1</x:v>
      </x:c>
      <x:c r="I347" s="1">
        <x:v>0.2</x:v>
      </x:c>
      <x:c r="J347" s="1">
        <x:v>57.0</x:v>
      </x:c>
      <x:c r="K347" s="18">
        <x:f t="shared" si="1"/>
        <x:v>0.7065021771</x:v>
      </x:c>
      <x:c r="L347" s="18">
        <x:f t="shared" si="2"/>
        <x:v>15.32578089</x:v>
      </x:c>
      <x:c r="M347" s="121"/>
      <x:c r="N347" s="121"/>
      <x:c r="O347" s="121"/>
      <x:c r="P347" s="9"/>
      <x:c r="Q347" s="9"/>
      <x:c r="R347" s="9"/>
      <x:c r="S347" s="9"/>
      <x:c r="T347" s="9"/>
      <x:c r="U347" s="9"/>
      <x:c r="V347" s="9"/>
      <x:c r="W347" s="9"/>
      <x:c r="X347" s="9"/>
      <x:c r="Y347" s="9"/>
      <x:c r="Z347" s="9"/>
    </x:row>
    <x:row r="348" ht="14.25" customHeight="1">
      <x:c r="A348" s="1" t="s">
        <x:v>848</x:v>
      </x:c>
      <x:c r="B348" s="1" t="s">
        <x:v>549</x:v>
      </x:c>
      <x:c r="C348" s="1">
        <x:v>19.0</x:v>
      </x:c>
      <x:c r="D348" s="1">
        <x:v>235.1</x:v>
      </x:c>
      <x:c r="E348" s="1">
        <x:v>2.1</x:v>
      </x:c>
      <x:c r="F348" s="1">
        <x:v>0.0</x:v>
      </x:c>
      <x:c r="G348" s="1">
        <x:v>-0.5</x:v>
      </x:c>
      <x:c r="H348" s="1">
        <x:v>0.0</x:v>
      </x:c>
      <x:c r="I348" s="1">
        <x:v>0.0</x:v>
      </x:c>
      <x:c r="J348" s="1">
        <x:v>55.0</x:v>
      </x:c>
      <x:c r="K348" s="18">
        <x:f t="shared" si="1"/>
        <x:v>0</x:v>
      </x:c>
      <x:c r="L348" s="18">
        <x:f t="shared" si="2"/>
        <x:v>11.56319347</x:v>
      </x:c>
      <x:c r="M348" s="119" t="n">
        <x:f>C350*Scoring!$B$34+D350/Scoring!$C$34+E350*Scoring!$D$34+WR!F350*Scoring!$E$34+WR!G350/Scoring!$F$34+WR!H350*Scoring!$G$34+WR!I350*Scoring!$H$34+K350*Scoring!$I$34+WR!L350*Scoring!$J$34+U348</x:f>
        <x:v>5.920000000000001</x:v>
      </x:c>
      <x:c r="N348" s="119" t="n">
        <x:f>C348*Scoring!$B$34+D348/Scoring!$C$34+E348*Scoring!$D$34+WR!F348*Scoring!$E$34+WR!G348/Scoring!$F$34+WR!H348*Scoring!$G$34+WR!I348*Scoring!$H$34+K348*Scoring!$I$34+WR!L348*Scoring!$J$34+U348</x:f>
        <x:v>45.56</x:v>
      </x:c>
      <x:c r="O348" s="119" t="n">
        <x:f>C349*Scoring!$B$34+D349/Scoring!$C$34+E349*Scoring!$D$34+WR!F349*Scoring!$E$34+WR!G349/Scoring!$F$34+WR!H349*Scoring!$G$34+WR!I349*Scoring!$H$34+K349*Scoring!$I$34+WR!L349*Scoring!$J$34+U348</x:f>
        <x:v>85.2</x:v>
      </x:c>
      <x:c r="P348" s="9" t="n">
        <x:f>IF(COUNTIF(Rookies!$A:$A,A348)&gt;0,1,0)</x:f>
        <x:v>0</x:v>
      </x:c>
      <x:c r="Q348" s="9"/>
      <x:c r="R348" s="9"/>
      <x:c r="S348" s="9" t="n">
        <x:f>V348/17</x:f>
        <x:v>2.68</x:v>
      </x:c>
      <x:c r="T348" s="9" t="n">
        <x:f>IF(P348=1,MAX(0,0.28*(12-S348)),0)</x:f>
        <x:v>0</x:v>
      </x:c>
      <x:c r="U348" s="9" t="n">
        <x:f>T348*17</x:f>
        <x:v>0</x:v>
      </x:c>
      <x:c r="V348" s="9" t="n">
        <x:f>C348*Scoring!$B$34+D348/Scoring!$C$34+E348*Scoring!$D$34+WR!F348*Scoring!$E$34+WR!G348/Scoring!$F$34+WR!H348*Scoring!$G$34+WR!I348*Scoring!$H$34+K348*Scoring!$I$34+WR!L348*Scoring!$J$34</x:f>
        <x:v>45.56</x:v>
      </x:c>
      <x:c r="W348" s="9"/>
      <x:c r="X348" s="9"/>
      <x:c r="Y348" s="9"/>
      <x:c r="Z348" s="9"/>
    </x:row>
    <x:row r="349" ht="14.25" customHeight="1">
      <x:c r="B349" s="1" t="s">
        <x:v>488</x:v>
      </x:c>
      <x:c r="C349" s="1">
        <x:v>35.0</x:v>
      </x:c>
      <x:c r="D349" s="1">
        <x:v>437.0</x:v>
      </x:c>
      <x:c r="E349" s="1">
        <x:v>4.0</x:v>
      </x:c>
      <x:c r="F349" s="1">
        <x:v>0.0</x:v>
      </x:c>
      <x:c r="G349" s="1">
        <x:v>0.0</x:v>
      </x:c>
      <x:c r="H349" s="1">
        <x:v>0.0</x:v>
      </x:c>
      <x:c r="I349" s="1">
        <x:v>0.0</x:v>
      </x:c>
      <x:c r="J349" s="1">
        <x:v>78.0</x:v>
      </x:c>
      <x:c r="K349" s="18">
        <x:f t="shared" si="1"/>
        <x:v>0</x:v>
      </x:c>
      <x:c r="L349" s="18">
        <x:f t="shared" si="2"/>
        <x:v>21.49347319</x:v>
      </x:c>
      <x:c r="M349" s="121"/>
      <x:c r="N349" s="121"/>
      <x:c r="O349" s="121"/>
      <x:c r="P349" s="9"/>
      <x:c r="Q349" s="9"/>
      <x:c r="R349" s="9"/>
      <x:c r="S349" s="9"/>
      <x:c r="T349" s="9"/>
      <x:c r="U349" s="9"/>
      <x:c r="V349" s="9"/>
      <x:c r="W349" s="9"/>
      <x:c r="X349" s="9"/>
      <x:c r="Y349" s="9"/>
      <x:c r="Z349" s="9"/>
    </x:row>
    <x:row r="350" ht="14.25" customHeight="1">
      <x:c r="B350" s="1" t="s">
        <x:v>489</x:v>
      </x:c>
      <x:c r="C350" s="1">
        <x:v>3.0</x:v>
      </x:c>
      <x:c r="D350" s="1">
        <x:v>33.2</x:v>
      </x:c>
      <x:c r="E350" s="1">
        <x:v>0.2</x:v>
      </x:c>
      <x:c r="F350" s="1">
        <x:v>0.0</x:v>
      </x:c>
      <x:c r="G350" s="1">
        <x:v>-1.0</x:v>
      </x:c>
      <x:c r="H350" s="1">
        <x:v>0.0</x:v>
      </x:c>
      <x:c r="I350" s="1">
        <x:v>0.0</x:v>
      </x:c>
      <x:c r="J350" s="1">
        <x:v>23.4</x:v>
      </x:c>
      <x:c r="K350" s="18">
        <x:f t="shared" si="1"/>
        <x:v>0</x:v>
      </x:c>
      <x:c r="L350" s="18">
        <x:f t="shared" si="2"/>
        <x:v>1.632913753</x:v>
      </x:c>
      <x:c r="M350" s="121"/>
      <x:c r="N350" s="121"/>
      <x:c r="O350" s="121"/>
      <x:c r="P350" s="9"/>
      <x:c r="Q350" s="9"/>
      <x:c r="R350" s="9"/>
      <x:c r="S350" s="9"/>
      <x:c r="T350" s="9"/>
      <x:c r="U350" s="9"/>
      <x:c r="V350" s="9"/>
      <x:c r="W350" s="9"/>
      <x:c r="X350" s="9"/>
      <x:c r="Y350" s="9"/>
      <x:c r="Z350" s="9"/>
    </x:row>
    <x:row r="351" ht="14.25" customHeight="1">
      <x:c r="A351" s="1" t="s">
        <x:v>849</x:v>
      </x:c>
      <x:c r="B351" s="1" t="s">
        <x:v>503</x:v>
      </x:c>
      <x:c r="C351" s="1">
        <x:v>17.6</x:v>
      </x:c>
      <x:c r="D351" s="1">
        <x:v>251.5</x:v>
      </x:c>
      <x:c r="E351" s="1">
        <x:v>1.7</x:v>
      </x:c>
      <x:c r="F351" s="1">
        <x:v>0.5</x:v>
      </x:c>
      <x:c r="G351" s="1">
        <x:v>2.5</x:v>
      </x:c>
      <x:c r="H351" s="1">
        <x:v>0.0</x:v>
      </x:c>
      <x:c r="I351" s="1">
        <x:v>0.0</x:v>
      </x:c>
      <x:c r="J351" s="1">
        <x:v>52.9</x:v>
      </x:c>
      <x:c r="K351" s="18">
        <x:f t="shared" si="1"/>
        <x:v>0.154934688</x:v>
      </x:c>
      <x:c r="L351" s="18">
        <x:f t="shared" si="2"/>
        <x:v>12.36981352</x:v>
      </x:c>
      <x:c r="M351" s="119" t="n">
        <x:f>C353*Scoring!$B$34+D353/Scoring!$C$34+E353*Scoring!$D$34+WR!F353*Scoring!$E$34+WR!G353/Scoring!$F$34+WR!H353*Scoring!$G$34+WR!I353*Scoring!$H$34+K353*Scoring!$I$34+WR!L353*Scoring!$J$34+U351</x:f>
        <x:v>7.86</x:v>
      </x:c>
      <x:c r="N351" s="119" t="n">
        <x:f>C351*Scoring!$B$34+D351/Scoring!$C$34+E351*Scoring!$D$34+WR!F351*Scoring!$E$34+WR!G351/Scoring!$F$34+WR!H351*Scoring!$G$34+WR!I351*Scoring!$H$34+K351*Scoring!$I$34+WR!L351*Scoring!$J$34+U351</x:f>
        <x:v>44.400000000000006</x:v>
      </x:c>
      <x:c r="O351" s="119" t="n">
        <x:f>C352*Scoring!$B$34+D352/Scoring!$C$34+E352*Scoring!$D$34+WR!F352*Scoring!$E$34+WR!G352/Scoring!$F$34+WR!H352*Scoring!$G$34+WR!I352*Scoring!$H$34+K352*Scoring!$I$34+WR!L352*Scoring!$J$34+U351</x:f>
        <x:v>80.4</x:v>
      </x:c>
      <x:c r="P351" s="9" t="n">
        <x:f>IF(COUNTIF(Rookies!$A:$A,A351)&gt;0,1,0)</x:f>
        <x:v>0</x:v>
      </x:c>
      <x:c r="Q351" s="9"/>
      <x:c r="R351" s="9"/>
      <x:c r="S351" s="9" t="n">
        <x:f>V351/17</x:f>
        <x:v>2.6117647058823534</x:v>
      </x:c>
      <x:c r="T351" s="9" t="n">
        <x:f>IF(P351=1,MAX(0,0.28*(12-S351)),0)</x:f>
        <x:v>0</x:v>
      </x:c>
      <x:c r="U351" s="9" t="n">
        <x:f>T351*17</x:f>
        <x:v>0</x:v>
      </x:c>
      <x:c r="V351" s="9" t="n">
        <x:f>C351*Scoring!$B$34+D351/Scoring!$C$34+E351*Scoring!$D$34+WR!F351*Scoring!$E$34+WR!G351/Scoring!$F$34+WR!H351*Scoring!$G$34+WR!I351*Scoring!$H$34+K351*Scoring!$I$34+WR!L351*Scoring!$J$34</x:f>
        <x:v>44.400000000000006</x:v>
      </x:c>
      <x:c r="W351" s="9"/>
      <x:c r="X351" s="9"/>
      <x:c r="Y351" s="9"/>
      <x:c r="Z351" s="9"/>
    </x:row>
    <x:row r="352" ht="14.25" customHeight="1">
      <x:c r="B352" s="1" t="s">
        <x:v>488</x:v>
      </x:c>
      <x:c r="C352" s="1">
        <x:v>32.0</x:v>
      </x:c>
      <x:c r="D352" s="1">
        <x:v>459.0</x:v>
      </x:c>
      <x:c r="E352" s="1">
        <x:v>3.0</x:v>
      </x:c>
      <x:c r="F352" s="1">
        <x:v>1.0</x:v>
      </x:c>
      <x:c r="G352" s="1">
        <x:v>5.0</x:v>
      </x:c>
      <x:c r="H352" s="1">
        <x:v>0.0</x:v>
      </x:c>
      <x:c r="I352" s="1">
        <x:v>0.0</x:v>
      </x:c>
      <x:c r="J352" s="1">
        <x:v>73.6</x:v>
      </x:c>
      <x:c r="K352" s="18">
        <x:f t="shared" si="1"/>
        <x:v>0.3098693759</x:v>
      </x:c>
      <x:c r="L352" s="18">
        <x:f t="shared" si="2"/>
        <x:v>22.57552448</x:v>
      </x:c>
      <x:c r="M352" s="121"/>
      <x:c r="N352" s="121"/>
      <x:c r="O352" s="121"/>
      <x:c r="P352" s="9"/>
      <x:c r="Q352" s="9"/>
      <x:c r="R352" s="9"/>
      <x:c r="S352" s="9"/>
      <x:c r="T352" s="9"/>
      <x:c r="U352" s="9"/>
      <x:c r="V352" s="9"/>
      <x:c r="W352" s="9"/>
      <x:c r="X352" s="9"/>
      <x:c r="Y352" s="9"/>
      <x:c r="Z352" s="9"/>
    </x:row>
    <x:row r="353" ht="14.25" customHeight="1">
      <x:c r="B353" s="1" t="s">
        <x:v>489</x:v>
      </x:c>
      <x:c r="C353" s="1">
        <x:v>3.3</x:v>
      </x:c>
      <x:c r="D353" s="1">
        <x:v>44.1</x:v>
      </x:c>
      <x:c r="E353" s="1">
        <x:v>0.3</x:v>
      </x:c>
      <x:c r="F353" s="1">
        <x:v>0.0</x:v>
      </x:c>
      <x:c r="G353" s="1">
        <x:v>0.0</x:v>
      </x:c>
      <x:c r="H353" s="1">
        <x:v>0.0</x:v>
      </x:c>
      <x:c r="I353" s="1">
        <x:v>0.0</x:v>
      </x:c>
      <x:c r="J353" s="1">
        <x:v>23.9</x:v>
      </x:c>
      <x:c r="K353" s="18">
        <x:f t="shared" si="1"/>
        <x:v>0</x:v>
      </x:c>
      <x:c r="L353" s="18">
        <x:f t="shared" si="2"/>
        <x:v>2.169020979</x:v>
      </x:c>
      <x:c r="M353" s="121"/>
      <x:c r="N353" s="121"/>
      <x:c r="O353" s="121"/>
      <x:c r="P353" s="9"/>
      <x:c r="Q353" s="9"/>
      <x:c r="R353" s="9"/>
      <x:c r="S353" s="9"/>
      <x:c r="T353" s="9"/>
      <x:c r="U353" s="9"/>
      <x:c r="V353" s="9"/>
      <x:c r="W353" s="9"/>
      <x:c r="X353" s="9"/>
      <x:c r="Y353" s="9"/>
      <x:c r="Z353" s="9"/>
    </x:row>
    <x:row r="354" ht="14.25" customHeight="1">
      <x:c r="A354" s="1" t="s">
        <x:v>850</x:v>
      </x:c>
      <x:c r="B354" s="1" t="s">
        <x:v>543</x:v>
      </x:c>
      <x:c r="C354" s="1">
        <x:v>22.8</x:v>
      </x:c>
      <x:c r="D354" s="1">
        <x:v>239.2</x:v>
      </x:c>
      <x:c r="E354" s="1">
        <x:v>0.7</x:v>
      </x:c>
      <x:c r="F354" s="1">
        <x:v>0.0</x:v>
      </x:c>
      <x:c r="G354" s="1">
        <x:v>0.0</x:v>
      </x:c>
      <x:c r="H354" s="1">
        <x:v>0.0</x:v>
      </x:c>
      <x:c r="I354" s="1">
        <x:v>0.2</x:v>
      </x:c>
      <x:c r="J354" s="1">
        <x:v>50.2</x:v>
      </x:c>
      <x:c r="K354" s="18">
        <x:f t="shared" si="1"/>
        <x:v>0</x:v>
      </x:c>
      <x:c r="L354" s="18">
        <x:f t="shared" si="2"/>
        <x:v>11.76484848</x:v>
      </x:c>
      <x:c r="M354" s="119" t="n">
        <x:f>C356*Scoring!$B$34+D356/Scoring!$C$34+E356*Scoring!$D$34+WR!F356*Scoring!$E$34+WR!G356/Scoring!$F$34+WR!H356*Scoring!$G$34+WR!I356*Scoring!$H$34+K356*Scoring!$I$34+WR!L356*Scoring!$J$34+U354</x:f>
        <x:v>39.31999999999999</x:v>
      </x:c>
      <x:c r="N354" s="119" t="n">
        <x:f>C354*Scoring!$B$34+D354/Scoring!$C$34+E354*Scoring!$D$34+WR!F354*Scoring!$E$34+WR!G354/Scoring!$F$34+WR!H354*Scoring!$G$34+WR!I354*Scoring!$H$34+K354*Scoring!$I$34+WR!L354*Scoring!$J$34+U354</x:f>
        <x:v>39.31999999999999</x:v>
      </x:c>
      <x:c r="O354" s="119" t="n">
        <x:f>C355*Scoring!$B$34+D355/Scoring!$C$34+E355*Scoring!$D$34+WR!F355*Scoring!$E$34+WR!G355/Scoring!$F$34+WR!H355*Scoring!$G$34+WR!I355*Scoring!$H$34+K355*Scoring!$I$34+WR!L355*Scoring!$J$34+U354</x:f>
        <x:v>39.31999999999999</x:v>
      </x:c>
      <x:c r="P354" s="9" t="n">
        <x:f>IF(COUNTIF(Rookies!$A:$A,A354)&gt;0,1,0)</x:f>
        <x:v>0</x:v>
      </x:c>
      <x:c r="Q354" s="9"/>
      <x:c r="R354" s="9"/>
      <x:c r="S354" s="9" t="n">
        <x:f>V354/17</x:f>
        <x:v>2.312941176470588</x:v>
      </x:c>
      <x:c r="T354" s="9" t="n">
        <x:f>IF(P354=1,MAX(0,0.28*(12-S354)),0)</x:f>
        <x:v>0</x:v>
      </x:c>
      <x:c r="U354" s="9" t="n">
        <x:f>T354*17</x:f>
        <x:v>0</x:v>
      </x:c>
      <x:c r="V354" s="9" t="n">
        <x:f>C354*Scoring!$B$34+D354/Scoring!$C$34+E354*Scoring!$D$34+WR!F354*Scoring!$E$34+WR!G354/Scoring!$F$34+WR!H354*Scoring!$G$34+WR!I354*Scoring!$H$34+K354*Scoring!$I$34+WR!L354*Scoring!$J$34</x:f>
        <x:v>39.31999999999999</x:v>
      </x:c>
      <x:c r="W354" s="9"/>
      <x:c r="X354" s="9"/>
      <x:c r="Y354" s="9"/>
      <x:c r="Z354" s="9"/>
    </x:row>
    <x:row r="355" ht="14.25" customHeight="1">
      <x:c r="B355" s="1" t="s">
        <x:v>488</x:v>
      </x:c>
      <x:c r="C355" s="1">
        <x:v>22.8</x:v>
      </x:c>
      <x:c r="D355" s="1">
        <x:v>239.2</x:v>
      </x:c>
      <x:c r="E355" s="1">
        <x:v>0.7</x:v>
      </x:c>
      <x:c r="F355" s="1">
        <x:v>0.0</x:v>
      </x:c>
      <x:c r="G355" s="1">
        <x:v>0.0</x:v>
      </x:c>
      <x:c r="H355" s="1">
        <x:v>0.0</x:v>
      </x:c>
      <x:c r="I355" s="1">
        <x:v>0.2</x:v>
      </x:c>
      <x:c r="J355" s="1">
        <x:v>50.3</x:v>
      </x:c>
      <x:c r="K355" s="18">
        <x:f t="shared" si="1"/>
        <x:v>0</x:v>
      </x:c>
      <x:c r="L355" s="18">
        <x:f t="shared" si="2"/>
        <x:v>11.76484848</x:v>
      </x:c>
      <x:c r="M355" s="121"/>
      <x:c r="N355" s="121"/>
      <x:c r="O355" s="121"/>
      <x:c r="P355" s="9"/>
      <x:c r="Q355" s="9"/>
      <x:c r="R355" s="9"/>
      <x:c r="S355" s="9"/>
      <x:c r="T355" s="9"/>
      <x:c r="U355" s="9"/>
      <x:c r="V355" s="9"/>
      <x:c r="W355" s="9"/>
      <x:c r="X355" s="9"/>
      <x:c r="Y355" s="9"/>
      <x:c r="Z355" s="9"/>
    </x:row>
    <x:row r="356" ht="14.25" customHeight="1">
      <x:c r="B356" s="1" t="s">
        <x:v>489</x:v>
      </x:c>
      <x:c r="C356" s="1">
        <x:v>22.8</x:v>
      </x:c>
      <x:c r="D356" s="1">
        <x:v>239.2</x:v>
      </x:c>
      <x:c r="E356" s="1">
        <x:v>0.7</x:v>
      </x:c>
      <x:c r="F356" s="1">
        <x:v>0.0</x:v>
      </x:c>
      <x:c r="G356" s="1">
        <x:v>0.0</x:v>
      </x:c>
      <x:c r="H356" s="1">
        <x:v>0.0</x:v>
      </x:c>
      <x:c r="I356" s="1">
        <x:v>0.2</x:v>
      </x:c>
      <x:c r="J356" s="1">
        <x:v>50.3</x:v>
      </x:c>
      <x:c r="K356" s="18">
        <x:f t="shared" si="1"/>
        <x:v>0</x:v>
      </x:c>
      <x:c r="L356" s="18">
        <x:f t="shared" si="2"/>
        <x:v>11.76484848</x:v>
      </x:c>
      <x:c r="M356" s="121"/>
      <x:c r="N356" s="121"/>
      <x:c r="O356" s="121"/>
      <x:c r="P356" s="9"/>
      <x:c r="Q356" s="9"/>
      <x:c r="R356" s="9"/>
      <x:c r="S356" s="9"/>
      <x:c r="T356" s="9"/>
      <x:c r="U356" s="9"/>
      <x:c r="V356" s="9"/>
      <x:c r="W356" s="9"/>
      <x:c r="X356" s="9"/>
      <x:c r="Y356" s="9"/>
      <x:c r="Z356" s="9"/>
    </x:row>
    <x:row r="357" ht="14.25" customHeight="1">
      <x:c r="A357" s="1" t="s">
        <x:v>851</x:v>
      </x:c>
      <x:c r="B357" s="1" t="s">
        <x:v>495</x:v>
      </x:c>
      <x:c r="C357" s="1">
        <x:v>14.4</x:v>
      </x:c>
      <x:c r="D357" s="1">
        <x:v>221.1</x:v>
      </x:c>
      <x:c r="E357" s="1">
        <x:v>2.3</x:v>
      </x:c>
      <x:c r="F357" s="1">
        <x:v>0.0</x:v>
      </x:c>
      <x:c r="G357" s="1">
        <x:v>0.0</x:v>
      </x:c>
      <x:c r="H357" s="1">
        <x:v>0.0</x:v>
      </x:c>
      <x:c r="I357" s="1">
        <x:v>0.0</x:v>
      </x:c>
      <x:c r="J357" s="1">
        <x:v>49.9</x:v>
      </x:c>
      <x:c r="K357" s="18">
        <x:f t="shared" si="1"/>
        <x:v>0</x:v>
      </x:c>
      <x:c r="L357" s="18">
        <x:f t="shared" si="2"/>
        <x:v>10.87461538</x:v>
      </x:c>
      <x:c r="M357" s="119" t="n">
        <x:f>C359*Scoring!$B$34+D359/Scoring!$C$34+E359*Scoring!$D$34+WR!F359*Scoring!$E$34+WR!G359/Scoring!$F$34+WR!H359*Scoring!$G$34+WR!I359*Scoring!$H$34+K359*Scoring!$I$34+WR!L359*Scoring!$J$34+U357</x:f>
        <x:v>14.28</x:v>
      </x:c>
      <x:c r="N357" s="119" t="n">
        <x:f>C357*Scoring!$B$34+D357/Scoring!$C$34+E357*Scoring!$D$34+WR!F357*Scoring!$E$34+WR!G357/Scoring!$F$34+WR!H357*Scoring!$G$34+WR!I357*Scoring!$H$34+K357*Scoring!$I$34+WR!L357*Scoring!$J$34+U357</x:f>
        <x:v>43.11</x:v>
      </x:c>
      <x:c r="O357" s="119" t="n">
        <x:f>C358*Scoring!$B$34+D358/Scoring!$C$34+E358*Scoring!$D$34+WR!F358*Scoring!$E$34+WR!G358/Scoring!$F$34+WR!H358*Scoring!$G$34+WR!I358*Scoring!$H$34+K358*Scoring!$I$34+WR!L358*Scoring!$J$34+U357</x:f>
        <x:v>71.2</x:v>
      </x:c>
      <x:c r="P357" s="9" t="n">
        <x:f>IF(COUNTIF(Rookies!$A:$A,A357)&gt;0,1,0)</x:f>
        <x:v>0</x:v>
      </x:c>
      <x:c r="Q357" s="9"/>
      <x:c r="R357" s="9"/>
      <x:c r="S357" s="9" t="n">
        <x:f>V357/17</x:f>
        <x:v>2.5358823529411763</x:v>
      </x:c>
      <x:c r="T357" s="9" t="n">
        <x:f>IF(P357=1,MAX(0,0.28*(12-S357)),0)</x:f>
        <x:v>0</x:v>
      </x:c>
      <x:c r="U357" s="9" t="n">
        <x:f>T357*17</x:f>
        <x:v>0</x:v>
      </x:c>
      <x:c r="V357" s="9" t="n">
        <x:f>C357*Scoring!$B$34+D357/Scoring!$C$34+E357*Scoring!$D$34+WR!F357*Scoring!$E$34+WR!G357/Scoring!$F$34+WR!H357*Scoring!$G$34+WR!I357*Scoring!$H$34+K357*Scoring!$I$34+WR!L357*Scoring!$J$34</x:f>
        <x:v>43.11</x:v>
      </x:c>
      <x:c r="W357" s="9"/>
      <x:c r="X357" s="9"/>
      <x:c r="Y357" s="9"/>
      <x:c r="Z357" s="9"/>
    </x:row>
    <x:row r="358" ht="14.25" customHeight="1">
      <x:c r="B358" s="1" t="s">
        <x:v>488</x:v>
      </x:c>
      <x:c r="C358" s="1">
        <x:v>22.0</x:v>
      </x:c>
      <x:c r="D358" s="1">
        <x:v>362.0</x:v>
      </x:c>
      <x:c r="E358" s="1">
        <x:v>4.0</x:v>
      </x:c>
      <x:c r="F358" s="1">
        <x:v>0.0</x:v>
      </x:c>
      <x:c r="G358" s="1">
        <x:v>0.0</x:v>
      </x:c>
      <x:c r="H358" s="1">
        <x:v>0.0</x:v>
      </x:c>
      <x:c r="I358" s="1">
        <x:v>0.0</x:v>
      </x:c>
      <x:c r="J358" s="1">
        <x:v>67.4</x:v>
      </x:c>
      <x:c r="K358" s="18">
        <x:f t="shared" si="1"/>
        <x:v>0</x:v>
      </x:c>
      <x:c r="L358" s="18">
        <x:f t="shared" si="2"/>
        <x:v>17.804662</x:v>
      </x:c>
      <x:c r="M358" s="121"/>
      <x:c r="N358" s="121"/>
      <x:c r="O358" s="121"/>
      <x:c r="P358" s="9"/>
      <x:c r="Q358" s="9"/>
      <x:c r="R358" s="9"/>
      <x:c r="S358" s="9"/>
      <x:c r="T358" s="9"/>
      <x:c r="U358" s="9"/>
      <x:c r="V358" s="9"/>
      <x:c r="W358" s="9"/>
      <x:c r="X358" s="9"/>
      <x:c r="Y358" s="9"/>
      <x:c r="Z358" s="9"/>
    </x:row>
    <x:row r="359" ht="14.25" customHeight="1">
      <x:c r="B359" s="1" t="s">
        <x:v>489</x:v>
      </x:c>
      <x:c r="C359" s="1">
        <x:v>6.7</x:v>
      </x:c>
      <x:c r="D359" s="1">
        <x:v>80.3</x:v>
      </x:c>
      <x:c r="E359" s="1">
        <x:v>0.5</x:v>
      </x:c>
      <x:c r="F359" s="1">
        <x:v>0.0</x:v>
      </x:c>
      <x:c r="G359" s="1">
        <x:v>0.0</x:v>
      </x:c>
      <x:c r="H359" s="1">
        <x:v>0.0</x:v>
      </x:c>
      <x:c r="I359" s="1">
        <x:v>0.1</x:v>
      </x:c>
      <x:c r="J359" s="1">
        <x:v>26.1</x:v>
      </x:c>
      <x:c r="K359" s="18">
        <x:f t="shared" si="1"/>
        <x:v>0</x:v>
      </x:c>
      <x:c r="L359" s="18">
        <x:f t="shared" si="2"/>
        <x:v>3.949487179</x:v>
      </x:c>
      <x:c r="M359" s="121"/>
      <x:c r="N359" s="121"/>
      <x:c r="O359" s="121"/>
      <x:c r="P359" s="9"/>
      <x:c r="Q359" s="9"/>
      <x:c r="R359" s="9"/>
      <x:c r="S359" s="9"/>
      <x:c r="T359" s="9"/>
      <x:c r="U359" s="9"/>
      <x:c r="V359" s="9"/>
      <x:c r="W359" s="9"/>
      <x:c r="X359" s="9"/>
      <x:c r="Y359" s="9"/>
      <x:c r="Z359" s="9"/>
    </x:row>
    <x:row r="360" ht="14.25" customHeight="1">
      <x:c r="A360" s="1" t="s">
        <x:v>852</x:v>
      </x:c>
      <x:c r="B360" s="1" t="s">
        <x:v>529</x:v>
      </x:c>
      <x:c r="C360" s="1">
        <x:v>16.0</x:v>
      </x:c>
      <x:c r="D360" s="1">
        <x:v>233.0</x:v>
      </x:c>
      <x:c r="E360" s="1">
        <x:v>1.3</x:v>
      </x:c>
      <x:c r="F360" s="1">
        <x:v>0.0</x:v>
      </x:c>
      <x:c r="G360" s="1">
        <x:v>0.0</x:v>
      </x:c>
      <x:c r="H360" s="1">
        <x:v>0.0</x:v>
      </x:c>
      <x:c r="I360" s="1">
        <x:v>0.0</x:v>
      </x:c>
      <x:c r="J360" s="1">
        <x:v>47.1</x:v>
      </x:c>
      <x:c r="K360" s="18">
        <x:f t="shared" si="1"/>
        <x:v>0</x:v>
      </x:c>
      <x:c r="L360" s="18">
        <x:f t="shared" si="2"/>
        <x:v>11.45990676</x:v>
      </x:c>
      <x:c r="M360" s="119" t="n">
        <x:f>C362*Scoring!$B$34+D362/Scoring!$C$34+E362*Scoring!$D$34+WR!F362*Scoring!$E$34+WR!G362/Scoring!$F$34+WR!H362*Scoring!$G$34+WR!I362*Scoring!$H$34+K362*Scoring!$I$34+WR!L362*Scoring!$J$34+U360</x:f>
        <x:v>39.1</x:v>
      </x:c>
      <x:c r="N360" s="119" t="n">
        <x:f>C360*Scoring!$B$34+D360/Scoring!$C$34+E360*Scoring!$D$34+WR!F360*Scoring!$E$34+WR!G360/Scoring!$F$34+WR!H360*Scoring!$G$34+WR!I360*Scoring!$H$34+K360*Scoring!$I$34+WR!L360*Scoring!$J$34+U360</x:f>
        <x:v>39.1</x:v>
      </x:c>
      <x:c r="O360" s="119" t="n">
        <x:f>C361*Scoring!$B$34+D361/Scoring!$C$34+E361*Scoring!$D$34+WR!F361*Scoring!$E$34+WR!G361/Scoring!$F$34+WR!H361*Scoring!$G$34+WR!I361*Scoring!$H$34+K361*Scoring!$I$34+WR!L361*Scoring!$J$34+U360</x:f>
        <x:v>39.1</x:v>
      </x:c>
      <x:c r="P360" s="9" t="n">
        <x:f>IF(COUNTIF(Rookies!$A:$A,A360)&gt;0,1,0)</x:f>
        <x:v>0</x:v>
      </x:c>
      <x:c r="Q360" s="9"/>
      <x:c r="R360" s="9"/>
      <x:c r="S360" s="9" t="n">
        <x:f>V360/17</x:f>
        <x:v>2.3000000000000003</x:v>
      </x:c>
      <x:c r="T360" s="9" t="n">
        <x:f>IF(P360=1,MAX(0,0.28*(12-S360)),0)</x:f>
        <x:v>0</x:v>
      </x:c>
      <x:c r="U360" s="9" t="n">
        <x:f>T360*17</x:f>
        <x:v>0</x:v>
      </x:c>
      <x:c r="V360" s="9" t="n">
        <x:f>C360*Scoring!$B$34+D360/Scoring!$C$34+E360*Scoring!$D$34+WR!F360*Scoring!$E$34+WR!G360/Scoring!$F$34+WR!H360*Scoring!$G$34+WR!I360*Scoring!$H$34+K360*Scoring!$I$34+WR!L360*Scoring!$J$34</x:f>
        <x:v>39.1</x:v>
      </x:c>
      <x:c r="W360" s="9"/>
      <x:c r="X360" s="9"/>
      <x:c r="Y360" s="9"/>
      <x:c r="Z360" s="9"/>
    </x:row>
    <x:row r="361" ht="14.25" customHeight="1">
      <x:c r="B361" s="1" t="s">
        <x:v>488</x:v>
      </x:c>
      <x:c r="C361" s="1">
        <x:v>16.0</x:v>
      </x:c>
      <x:c r="D361" s="1">
        <x:v>233.0</x:v>
      </x:c>
      <x:c r="E361" s="1">
        <x:v>1.3</x:v>
      </x:c>
      <x:c r="F361" s="1">
        <x:v>0.0</x:v>
      </x:c>
      <x:c r="G361" s="1">
        <x:v>0.0</x:v>
      </x:c>
      <x:c r="H361" s="1">
        <x:v>0.0</x:v>
      </x:c>
      <x:c r="I361" s="1">
        <x:v>0.0</x:v>
      </x:c>
      <x:c r="J361" s="1">
        <x:v>47.1</x:v>
      </x:c>
      <x:c r="K361" s="18">
        <x:f t="shared" si="1"/>
        <x:v>0</x:v>
      </x:c>
      <x:c r="L361" s="18">
        <x:f t="shared" si="2"/>
        <x:v>11.45990676</x:v>
      </x:c>
      <x:c r="M361" s="121"/>
      <x:c r="N361" s="121"/>
      <x:c r="O361" s="121"/>
      <x:c r="P361" s="9"/>
      <x:c r="Q361" s="9"/>
      <x:c r="R361" s="9"/>
      <x:c r="S361" s="9"/>
      <x:c r="T361" s="9"/>
      <x:c r="U361" s="9"/>
      <x:c r="V361" s="9"/>
      <x:c r="W361" s="9"/>
      <x:c r="X361" s="9"/>
      <x:c r="Y361" s="9"/>
      <x:c r="Z361" s="9"/>
    </x:row>
    <x:row r="362" ht="14.25" customHeight="1">
      <x:c r="B362" s="1" t="s">
        <x:v>489</x:v>
      </x:c>
      <x:c r="C362" s="1">
        <x:v>16.0</x:v>
      </x:c>
      <x:c r="D362" s="1">
        <x:v>233.0</x:v>
      </x:c>
      <x:c r="E362" s="1">
        <x:v>1.3</x:v>
      </x:c>
      <x:c r="F362" s="1">
        <x:v>0.0</x:v>
      </x:c>
      <x:c r="G362" s="1">
        <x:v>0.0</x:v>
      </x:c>
      <x:c r="H362" s="1">
        <x:v>0.0</x:v>
      </x:c>
      <x:c r="I362" s="1">
        <x:v>0.0</x:v>
      </x:c>
      <x:c r="J362" s="1">
        <x:v>47.1</x:v>
      </x:c>
      <x:c r="K362" s="18">
        <x:f t="shared" si="1"/>
        <x:v>0</x:v>
      </x:c>
      <x:c r="L362" s="18">
        <x:f t="shared" si="2"/>
        <x:v>11.45990676</x:v>
      </x:c>
      <x:c r="M362" s="121"/>
      <x:c r="N362" s="121"/>
      <x:c r="O362" s="121"/>
      <x:c r="P362" s="9"/>
      <x:c r="Q362" s="9"/>
      <x:c r="R362" s="9"/>
      <x:c r="S362" s="9"/>
      <x:c r="T362" s="9"/>
      <x:c r="U362" s="9"/>
      <x:c r="V362" s="9"/>
      <x:c r="W362" s="9"/>
      <x:c r="X362" s="9"/>
      <x:c r="Y362" s="9"/>
      <x:c r="Z362" s="9"/>
    </x:row>
    <x:row r="363" ht="14.25" customHeight="1">
      <x:c r="A363" s="1" t="s">
        <x:v>853</x:v>
      </x:c>
      <x:c r="B363" s="1" t="s">
        <x:v>495</x:v>
      </x:c>
      <x:c r="C363" s="1">
        <x:v>15.9</x:v>
      </x:c>
      <x:c r="D363" s="1">
        <x:v>216.9</x:v>
      </x:c>
      <x:c r="E363" s="1">
        <x:v>1.6</x:v>
      </x:c>
      <x:c r="F363" s="1">
        <x:v>0.0</x:v>
      </x:c>
      <x:c r="G363" s="1">
        <x:v>0.0</x:v>
      </x:c>
      <x:c r="H363" s="1">
        <x:v>0.0</x:v>
      </x:c>
      <x:c r="I363" s="1">
        <x:v>0.2</x:v>
      </x:c>
      <x:c r="J363" s="1">
        <x:v>46.7</x:v>
      </x:c>
      <x:c r="K363" s="18">
        <x:f t="shared" si="1"/>
        <x:v>0</x:v>
      </x:c>
      <x:c r="L363" s="18">
        <x:f t="shared" si="2"/>
        <x:v>10.66804196</x:v>
      </x:c>
      <x:c r="M363" s="119" t="n">
        <x:f>C365*Scoring!$B$34+D365/Scoring!$C$34+E365*Scoring!$D$34+WR!F365*Scoring!$E$34+WR!G365/Scoring!$F$34+WR!H365*Scoring!$G$34+WR!I365*Scoring!$H$34+K365*Scoring!$I$34+WR!L365*Scoring!$J$34+U363</x:f>
        <x:v>39.04</x:v>
      </x:c>
      <x:c r="N363" s="119" t="n">
        <x:f>C363*Scoring!$B$34+D363/Scoring!$C$34+E363*Scoring!$D$34+WR!F363*Scoring!$E$34+WR!G363/Scoring!$F$34+WR!H363*Scoring!$G$34+WR!I363*Scoring!$H$34+K363*Scoring!$I$34+WR!L363*Scoring!$J$34+U363</x:f>
        <x:v>39.04</x:v>
      </x:c>
      <x:c r="O363" s="119" t="n">
        <x:f>C364*Scoring!$B$34+D364/Scoring!$C$34+E364*Scoring!$D$34+WR!F364*Scoring!$E$34+WR!G364/Scoring!$F$34+WR!H364*Scoring!$G$34+WR!I364*Scoring!$H$34+K364*Scoring!$I$34+WR!L364*Scoring!$J$34+U363</x:f>
        <x:v>39.04</x:v>
      </x:c>
      <x:c r="P363" s="9" t="n">
        <x:f>IF(COUNTIF(Rookies!$A:$A,A363)&gt;0,1,0)</x:f>
        <x:v>0</x:v>
      </x:c>
      <x:c r="Q363" s="9"/>
      <x:c r="R363" s="9"/>
      <x:c r="S363" s="9" t="n">
        <x:f>V363/17</x:f>
        <x:v>2.296470588235294</x:v>
      </x:c>
      <x:c r="T363" s="9" t="n">
        <x:f>IF(P363=1,MAX(0,0.28*(12-S363)),0)</x:f>
        <x:v>0</x:v>
      </x:c>
      <x:c r="U363" s="9" t="n">
        <x:f>T363*17</x:f>
        <x:v>0</x:v>
      </x:c>
      <x:c r="V363" s="9" t="n">
        <x:f>C363*Scoring!$B$34+D363/Scoring!$C$34+E363*Scoring!$D$34+WR!F363*Scoring!$E$34+WR!G363/Scoring!$F$34+WR!H363*Scoring!$G$34+WR!I363*Scoring!$H$34+K363*Scoring!$I$34+WR!L363*Scoring!$J$34</x:f>
        <x:v>39.04</x:v>
      </x:c>
      <x:c r="W363" s="9"/>
      <x:c r="X363" s="9"/>
      <x:c r="Y363" s="9"/>
      <x:c r="Z363" s="9"/>
    </x:row>
    <x:row r="364" ht="14.25" customHeight="1">
      <x:c r="B364" s="1" t="s">
        <x:v>488</x:v>
      </x:c>
      <x:c r="C364" s="1">
        <x:v>15.9</x:v>
      </x:c>
      <x:c r="D364" s="1">
        <x:v>216.9</x:v>
      </x:c>
      <x:c r="E364" s="1">
        <x:v>1.6</x:v>
      </x:c>
      <x:c r="F364" s="1">
        <x:v>0.0</x:v>
      </x:c>
      <x:c r="G364" s="1">
        <x:v>0.0</x:v>
      </x:c>
      <x:c r="H364" s="1">
        <x:v>0.0</x:v>
      </x:c>
      <x:c r="I364" s="1">
        <x:v>0.2</x:v>
      </x:c>
      <x:c r="J364" s="1">
        <x:v>47.0</x:v>
      </x:c>
      <x:c r="K364" s="18">
        <x:f t="shared" si="1"/>
        <x:v>0</x:v>
      </x:c>
      <x:c r="L364" s="18">
        <x:f t="shared" si="2"/>
        <x:v>10.66804196</x:v>
      </x:c>
      <x:c r="M364" s="121"/>
      <x:c r="N364" s="121"/>
      <x:c r="O364" s="121"/>
      <x:c r="P364" s="9"/>
      <x:c r="Q364" s="9"/>
      <x:c r="R364" s="9"/>
      <x:c r="S364" s="9"/>
      <x:c r="T364" s="9"/>
      <x:c r="U364" s="9"/>
      <x:c r="V364" s="9"/>
      <x:c r="W364" s="9"/>
      <x:c r="X364" s="9"/>
      <x:c r="Y364" s="9"/>
      <x:c r="Z364" s="9"/>
    </x:row>
    <x:row r="365" ht="14.25" customHeight="1">
      <x:c r="B365" s="1" t="s">
        <x:v>489</x:v>
      </x:c>
      <x:c r="C365" s="1">
        <x:v>15.9</x:v>
      </x:c>
      <x:c r="D365" s="1">
        <x:v>216.9</x:v>
      </x:c>
      <x:c r="E365" s="1">
        <x:v>1.6</x:v>
      </x:c>
      <x:c r="F365" s="1">
        <x:v>0.0</x:v>
      </x:c>
      <x:c r="G365" s="1">
        <x:v>0.0</x:v>
      </x:c>
      <x:c r="H365" s="1">
        <x:v>0.0</x:v>
      </x:c>
      <x:c r="I365" s="1">
        <x:v>0.2</x:v>
      </x:c>
      <x:c r="J365" s="1">
        <x:v>47.0</x:v>
      </x:c>
      <x:c r="K365" s="18">
        <x:f t="shared" si="1"/>
        <x:v>0</x:v>
      </x:c>
      <x:c r="L365" s="18">
        <x:f t="shared" si="2"/>
        <x:v>10.66804196</x:v>
      </x:c>
      <x:c r="M365" s="121"/>
      <x:c r="N365" s="121"/>
      <x:c r="O365" s="121"/>
      <x:c r="P365" s="9"/>
      <x:c r="Q365" s="9"/>
      <x:c r="R365" s="9"/>
      <x:c r="S365" s="9"/>
      <x:c r="T365" s="9"/>
      <x:c r="U365" s="9"/>
      <x:c r="V365" s="9"/>
      <x:c r="W365" s="9"/>
      <x:c r="X365" s="9"/>
      <x:c r="Y365" s="9"/>
      <x:c r="Z365" s="9"/>
    </x:row>
    <x:row r="366" ht="14.25" customHeight="1">
      <x:c r="A366" s="1" t="s">
        <x:v>854</x:v>
      </x:c>
      <x:c r="B366" s="1" t="s">
        <x:v>511</x:v>
      </x:c>
      <x:c r="C366" s="1">
        <x:v>19.2</x:v>
      </x:c>
      <x:c r="D366" s="1">
        <x:v>186.9</x:v>
      </x:c>
      <x:c r="E366" s="1">
        <x:v>0.9</x:v>
      </x:c>
      <x:c r="F366" s="1">
        <x:v>4.6</x:v>
      </x:c>
      <x:c r="G366" s="1">
        <x:v>27.2</x:v>
      </x:c>
      <x:c r="H366" s="1">
        <x:v>0.2</x:v>
      </x:c>
      <x:c r="I366" s="1">
        <x:v>0.2</x:v>
      </x:c>
      <x:c r="J366" s="1">
        <x:v>46.4</x:v>
      </x:c>
      <x:c r="K366" s="18">
        <x:f t="shared" si="1"/>
        <x:v>1.685689405</x:v>
      </x:c>
      <x:c r="L366" s="18">
        <x:f t="shared" si="2"/>
        <x:v>9.192517483</x:v>
      </x:c>
      <x:c r="M366" s="119" t="n">
        <x:f>C368*Scoring!$B$34+D368/Scoring!$C$34+E368*Scoring!$D$34+WR!F368*Scoring!$E$34+WR!G368/Scoring!$F$34+WR!H368*Scoring!$G$34+WR!I368*Scoring!$H$34+K368*Scoring!$I$34+WR!L368*Scoring!$J$34+U366</x:f>
        <x:v>37.41</x:v>
      </x:c>
      <x:c r="N366" s="119" t="n">
        <x:f>C366*Scoring!$B$34+D366/Scoring!$C$34+E366*Scoring!$D$34+WR!F366*Scoring!$E$34+WR!G366/Scoring!$F$34+WR!H366*Scoring!$G$34+WR!I366*Scoring!$H$34+K366*Scoring!$I$34+WR!L366*Scoring!$J$34+U366</x:f>
        <x:v>37.41</x:v>
      </x:c>
      <x:c r="O366" s="119" t="n">
        <x:f>C367*Scoring!$B$34+D367/Scoring!$C$34+E367*Scoring!$D$34+WR!F367*Scoring!$E$34+WR!G367/Scoring!$F$34+WR!H367*Scoring!$G$34+WR!I367*Scoring!$H$34+K367*Scoring!$I$34+WR!L367*Scoring!$J$34+U366</x:f>
        <x:v>37.41</x:v>
      </x:c>
      <x:c r="P366" s="9" t="n">
        <x:f>IF(COUNTIF(Rookies!$A:$A,A366)&gt;0,1,0)</x:f>
        <x:v>0</x:v>
      </x:c>
      <x:c r="Q366" s="9"/>
      <x:c r="R366" s="9"/>
      <x:c r="S366" s="9" t="n">
        <x:f>V366/17</x:f>
        <x:v>2.2005882352941173</x:v>
      </x:c>
      <x:c r="T366" s="9" t="n">
        <x:f>IF(P366=1,MAX(0,0.28*(12-S366)),0)</x:f>
        <x:v>0</x:v>
      </x:c>
      <x:c r="U366" s="9" t="n">
        <x:f>T366*17</x:f>
        <x:v>0</x:v>
      </x:c>
      <x:c r="V366" s="9" t="n">
        <x:f>C366*Scoring!$B$34+D366/Scoring!$C$34+E366*Scoring!$D$34+WR!F366*Scoring!$E$34+WR!G366/Scoring!$F$34+WR!H366*Scoring!$G$34+WR!I366*Scoring!$H$34+K366*Scoring!$I$34+WR!L366*Scoring!$J$34</x:f>
        <x:v>37.41</x:v>
      </x:c>
      <x:c r="W366" s="9"/>
      <x:c r="X366" s="9"/>
      <x:c r="Y366" s="9"/>
      <x:c r="Z366" s="9"/>
    </x:row>
    <x:row r="367" ht="14.25" customHeight="1">
      <x:c r="B367" s="1" t="s">
        <x:v>488</x:v>
      </x:c>
      <x:c r="C367" s="1">
        <x:v>19.2</x:v>
      </x:c>
      <x:c r="D367" s="1">
        <x:v>186.9</x:v>
      </x:c>
      <x:c r="E367" s="1">
        <x:v>0.9</x:v>
      </x:c>
      <x:c r="F367" s="1">
        <x:v>4.6</x:v>
      </x:c>
      <x:c r="G367" s="1">
        <x:v>27.2</x:v>
      </x:c>
      <x:c r="H367" s="1">
        <x:v>0.2</x:v>
      </x:c>
      <x:c r="I367" s="1">
        <x:v>0.2</x:v>
      </x:c>
      <x:c r="J367" s="1">
        <x:v>48.0</x:v>
      </x:c>
      <x:c r="K367" s="18">
        <x:f t="shared" si="1"/>
        <x:v>1.685689405</x:v>
      </x:c>
      <x:c r="L367" s="18">
        <x:f t="shared" si="2"/>
        <x:v>9.192517483</x:v>
      </x:c>
      <x:c r="M367" s="121"/>
      <x:c r="N367" s="121"/>
      <x:c r="O367" s="121"/>
      <x:c r="P367" s="9"/>
      <x:c r="Q367" s="9"/>
      <x:c r="R367" s="9"/>
      <x:c r="S367" s="9"/>
      <x:c r="T367" s="9"/>
      <x:c r="U367" s="9"/>
      <x:c r="V367" s="9"/>
      <x:c r="W367" s="9"/>
      <x:c r="X367" s="9"/>
      <x:c r="Y367" s="9"/>
      <x:c r="Z367" s="9"/>
    </x:row>
    <x:row r="368" ht="14.25" customHeight="1">
      <x:c r="B368" s="1" t="s">
        <x:v>489</x:v>
      </x:c>
      <x:c r="C368" s="1">
        <x:v>19.2</x:v>
      </x:c>
      <x:c r="D368" s="1">
        <x:v>186.9</x:v>
      </x:c>
      <x:c r="E368" s="1">
        <x:v>0.9</x:v>
      </x:c>
      <x:c r="F368" s="1">
        <x:v>4.6</x:v>
      </x:c>
      <x:c r="G368" s="1">
        <x:v>27.2</x:v>
      </x:c>
      <x:c r="H368" s="1">
        <x:v>0.2</x:v>
      </x:c>
      <x:c r="I368" s="1">
        <x:v>0.2</x:v>
      </x:c>
      <x:c r="J368" s="1">
        <x:v>48.0</x:v>
      </x:c>
      <x:c r="K368" s="18">
        <x:f t="shared" si="1"/>
        <x:v>1.685689405</x:v>
      </x:c>
      <x:c r="L368" s="18">
        <x:f t="shared" si="2"/>
        <x:v>9.192517483</x:v>
      </x:c>
      <x:c r="M368" s="121"/>
      <x:c r="N368" s="121"/>
      <x:c r="O368" s="121"/>
      <x:c r="P368" s="9"/>
      <x:c r="Q368" s="9"/>
      <x:c r="R368" s="9"/>
      <x:c r="S368" s="9"/>
      <x:c r="T368" s="9"/>
      <x:c r="U368" s="9"/>
      <x:c r="V368" s="9"/>
      <x:c r="W368" s="9"/>
      <x:c r="X368" s="9"/>
      <x:c r="Y368" s="9"/>
      <x:c r="Z368" s="9"/>
    </x:row>
    <x:row r="369" ht="14.25" customHeight="1">
      <x:c r="A369" s="1" t="s">
        <x:v>855</x:v>
      </x:c>
      <x:c r="B369" s="1" t="s">
        <x:v>495</x:v>
      </x:c>
      <x:c r="C369" s="1">
        <x:v>15.0</x:v>
      </x:c>
      <x:c r="D369" s="1">
        <x:v>217.8</x:v>
      </x:c>
      <x:c r="E369" s="1">
        <x:v>1.4</x:v>
      </x:c>
      <x:c r="F369" s="1">
        <x:v>0.0</x:v>
      </x:c>
      <x:c r="G369" s="1">
        <x:v>0.0</x:v>
      </x:c>
      <x:c r="H369" s="1">
        <x:v>0.0</x:v>
      </x:c>
      <x:c r="I369" s="1">
        <x:v>0.1</x:v>
      </x:c>
      <x:c r="J369" s="1">
        <x:v>44.7</x:v>
      </x:c>
      <x:c r="K369" s="18">
        <x:f t="shared" si="1"/>
        <x:v>0</x:v>
      </x:c>
      <x:c r="L369" s="18">
        <x:f t="shared" si="2"/>
        <x:v>10.71230769</x:v>
      </x:c>
      <x:c r="M369" s="119" t="n">
        <x:f>C371*Scoring!$B$34+D371/Scoring!$C$34+E371*Scoring!$D$34+WR!F371*Scoring!$E$34+WR!G371/Scoring!$F$34+WR!H371*Scoring!$G$34+WR!I371*Scoring!$H$34+K371*Scoring!$I$34+WR!L371*Scoring!$J$34+U369</x:f>
        <x:v>37.58</x:v>
      </x:c>
      <x:c r="N369" s="119" t="n">
        <x:f>C369*Scoring!$B$34+D369/Scoring!$C$34+E369*Scoring!$D$34+WR!F369*Scoring!$E$34+WR!G369/Scoring!$F$34+WR!H369*Scoring!$G$34+WR!I369*Scoring!$H$34+K369*Scoring!$I$34+WR!L369*Scoring!$J$34+U369</x:f>
        <x:v>37.58</x:v>
      </x:c>
      <x:c r="O369" s="119" t="n">
        <x:f>C370*Scoring!$B$34+D370/Scoring!$C$34+E370*Scoring!$D$34+WR!F370*Scoring!$E$34+WR!G370/Scoring!$F$34+WR!H370*Scoring!$G$34+WR!I370*Scoring!$H$34+K370*Scoring!$I$34+WR!L370*Scoring!$J$34+U369</x:f>
        <x:v>37.58</x:v>
      </x:c>
      <x:c r="P369" s="9" t="n">
        <x:f>IF(COUNTIF(Rookies!$A:$A,A369)&gt;0,1,0)</x:f>
        <x:v>0</x:v>
      </x:c>
      <x:c r="Q369" s="9"/>
      <x:c r="R369" s="9"/>
      <x:c r="S369" s="9" t="n">
        <x:f>V369/17</x:f>
        <x:v>2.2105882352941175</x:v>
      </x:c>
      <x:c r="T369" s="9" t="n">
        <x:f>IF(P369=1,MAX(0,0.28*(12-S369)),0)</x:f>
        <x:v>0</x:v>
      </x:c>
      <x:c r="U369" s="9" t="n">
        <x:f>T369*17</x:f>
        <x:v>0</x:v>
      </x:c>
      <x:c r="V369" s="9" t="n">
        <x:f>C369*Scoring!$B$34+D369/Scoring!$C$34+E369*Scoring!$D$34+WR!F369*Scoring!$E$34+WR!G369/Scoring!$F$34+WR!H369*Scoring!$G$34+WR!I369*Scoring!$H$34+K369*Scoring!$I$34+WR!L369*Scoring!$J$34</x:f>
        <x:v>37.58</x:v>
      </x:c>
      <x:c r="W369" s="9"/>
      <x:c r="X369" s="9"/>
      <x:c r="Y369" s="9"/>
      <x:c r="Z369" s="9"/>
    </x:row>
    <x:row r="370" ht="14.25" customHeight="1">
      <x:c r="B370" s="1" t="s">
        <x:v>488</x:v>
      </x:c>
      <x:c r="C370" s="1">
        <x:v>15.0</x:v>
      </x:c>
      <x:c r="D370" s="1">
        <x:v>217.8</x:v>
      </x:c>
      <x:c r="E370" s="1">
        <x:v>1.4</x:v>
      </x:c>
      <x:c r="F370" s="1">
        <x:v>0.0</x:v>
      </x:c>
      <x:c r="G370" s="1">
        <x:v>0.0</x:v>
      </x:c>
      <x:c r="H370" s="1">
        <x:v>0.0</x:v>
      </x:c>
      <x:c r="I370" s="1">
        <x:v>0.1</x:v>
      </x:c>
      <x:c r="J370" s="1">
        <x:v>45.0</x:v>
      </x:c>
      <x:c r="K370" s="18">
        <x:f t="shared" si="1"/>
        <x:v>0</x:v>
      </x:c>
      <x:c r="L370" s="18">
        <x:f t="shared" si="2"/>
        <x:v>10.71230769</x:v>
      </x:c>
      <x:c r="M370" s="121"/>
      <x:c r="N370" s="121"/>
      <x:c r="O370" s="121"/>
      <x:c r="P370" s="9"/>
      <x:c r="Q370" s="9"/>
      <x:c r="R370" s="9"/>
      <x:c r="S370" s="9"/>
      <x:c r="T370" s="9"/>
      <x:c r="U370" s="9"/>
      <x:c r="V370" s="9"/>
      <x:c r="W370" s="9"/>
      <x:c r="X370" s="9"/>
      <x:c r="Y370" s="9"/>
      <x:c r="Z370" s="9"/>
    </x:row>
    <x:row r="371" ht="14.25" customHeight="1">
      <x:c r="B371" s="1" t="s">
        <x:v>489</x:v>
      </x:c>
      <x:c r="C371" s="1">
        <x:v>15.0</x:v>
      </x:c>
      <x:c r="D371" s="1">
        <x:v>217.8</x:v>
      </x:c>
      <x:c r="E371" s="1">
        <x:v>1.4</x:v>
      </x:c>
      <x:c r="F371" s="1">
        <x:v>0.0</x:v>
      </x:c>
      <x:c r="G371" s="1">
        <x:v>0.0</x:v>
      </x:c>
      <x:c r="H371" s="1">
        <x:v>0.0</x:v>
      </x:c>
      <x:c r="I371" s="1">
        <x:v>0.1</x:v>
      </x:c>
      <x:c r="J371" s="1">
        <x:v>45.0</x:v>
      </x:c>
      <x:c r="K371" s="18">
        <x:f t="shared" si="1"/>
        <x:v>0</x:v>
      </x:c>
      <x:c r="L371" s="18">
        <x:f t="shared" si="2"/>
        <x:v>10.71230769</x:v>
      </x:c>
      <x:c r="M371" s="121"/>
      <x:c r="N371" s="121"/>
      <x:c r="O371" s="121"/>
      <x:c r="P371" s="9"/>
      <x:c r="Q371" s="9"/>
      <x:c r="R371" s="9"/>
      <x:c r="S371" s="9"/>
      <x:c r="T371" s="9"/>
      <x:c r="U371" s="9"/>
      <x:c r="V371" s="9"/>
      <x:c r="W371" s="9"/>
      <x:c r="X371" s="9"/>
      <x:c r="Y371" s="9"/>
      <x:c r="Z371" s="9"/>
    </x:row>
    <x:row r="372" ht="14.25" customHeight="1">
      <x:c r="A372" s="1" t="s">
        <x:v>856</x:v>
      </x:c>
      <x:c r="B372" s="1" t="s">
        <x:v>491</x:v>
      </x:c>
      <x:c r="C372" s="1">
        <x:v>14.5</x:v>
      </x:c>
      <x:c r="D372" s="1">
        <x:v>208.8</x:v>
      </x:c>
      <x:c r="E372" s="1">
        <x:v>1.5</x:v>
      </x:c>
      <x:c r="F372" s="1">
        <x:v>0.0</x:v>
      </x:c>
      <x:c r="G372" s="1">
        <x:v>0.0</x:v>
      </x:c>
      <x:c r="H372" s="1">
        <x:v>0.0</x:v>
      </x:c>
      <x:c r="I372" s="1">
        <x:v>0.2</x:v>
      </x:c>
      <x:c r="J372" s="1">
        <x:v>43.8</x:v>
      </x:c>
      <x:c r="K372" s="18">
        <x:f t="shared" si="1"/>
        <x:v>0</x:v>
      </x:c>
      <x:c r="L372" s="18">
        <x:f t="shared" si="2"/>
        <x:v>10.26965035</x:v>
      </x:c>
      <x:c r="M372" s="119" t="n">
        <x:f>C374*Scoring!$B$34+D374/Scoring!$C$34+E374*Scoring!$D$34+WR!F374*Scoring!$E$34+WR!G374/Scoring!$F$34+WR!H374*Scoring!$G$34+WR!I374*Scoring!$H$34+K374*Scoring!$I$34+WR!L374*Scoring!$J$34+U372</x:f>
        <x:v>36.93</x:v>
      </x:c>
      <x:c r="N372" s="119" t="n">
        <x:f>C372*Scoring!$B$34+D372/Scoring!$C$34+E372*Scoring!$D$34+WR!F372*Scoring!$E$34+WR!G372/Scoring!$F$34+WR!H372*Scoring!$G$34+WR!I372*Scoring!$H$34+K372*Scoring!$I$34+WR!L372*Scoring!$J$34+U372</x:f>
        <x:v>36.93</x:v>
      </x:c>
      <x:c r="O372" s="119" t="n">
        <x:f>C373*Scoring!$B$34+D373/Scoring!$C$34+E373*Scoring!$D$34+WR!F373*Scoring!$E$34+WR!G373/Scoring!$F$34+WR!H373*Scoring!$G$34+WR!I373*Scoring!$H$34+K373*Scoring!$I$34+WR!L373*Scoring!$J$34+U372</x:f>
        <x:v>36.93</x:v>
      </x:c>
      <x:c r="P372" s="9" t="n">
        <x:f>IF(COUNTIF(Rookies!$A:$A,A372)&gt;0,1,0)</x:f>
        <x:v>0</x:v>
      </x:c>
      <x:c r="Q372" s="9"/>
      <x:c r="R372" s="9"/>
      <x:c r="S372" s="9" t="n">
        <x:f>V372/17</x:f>
        <x:v>2.1723529411764706</x:v>
      </x:c>
      <x:c r="T372" s="9" t="n">
        <x:f>IF(P372=1,MAX(0,0.28*(12-S372)),0)</x:f>
        <x:v>0</x:v>
      </x:c>
      <x:c r="U372" s="9" t="n">
        <x:f>T372*17</x:f>
        <x:v>0</x:v>
      </x:c>
      <x:c r="V372" s="9" t="n">
        <x:f>C372*Scoring!$B$34+D372/Scoring!$C$34+E372*Scoring!$D$34+WR!F372*Scoring!$E$34+WR!G372/Scoring!$F$34+WR!H372*Scoring!$G$34+WR!I372*Scoring!$H$34+K372*Scoring!$I$34+WR!L372*Scoring!$J$34</x:f>
        <x:v>36.93</x:v>
      </x:c>
      <x:c r="W372" s="9"/>
      <x:c r="X372" s="9"/>
      <x:c r="Y372" s="9"/>
      <x:c r="Z372" s="9"/>
    </x:row>
    <x:row r="373" ht="14.25" customHeight="1">
      <x:c r="B373" s="1" t="s">
        <x:v>488</x:v>
      </x:c>
      <x:c r="C373" s="1">
        <x:v>14.5</x:v>
      </x:c>
      <x:c r="D373" s="1">
        <x:v>208.8</x:v>
      </x:c>
      <x:c r="E373" s="1">
        <x:v>1.5</x:v>
      </x:c>
      <x:c r="F373" s="1">
        <x:v>0.0</x:v>
      </x:c>
      <x:c r="G373" s="1">
        <x:v>0.0</x:v>
      </x:c>
      <x:c r="H373" s="1">
        <x:v>0.0</x:v>
      </x:c>
      <x:c r="I373" s="1">
        <x:v>0.2</x:v>
      </x:c>
      <x:c r="J373" s="1">
        <x:v>44.0</x:v>
      </x:c>
      <x:c r="K373" s="18">
        <x:f t="shared" si="1"/>
        <x:v>0</x:v>
      </x:c>
      <x:c r="L373" s="18">
        <x:f t="shared" si="2"/>
        <x:v>10.26965035</x:v>
      </x:c>
      <x:c r="M373" s="121"/>
      <x:c r="N373" s="121"/>
      <x:c r="O373" s="121"/>
      <x:c r="P373" s="9"/>
      <x:c r="Q373" s="9"/>
      <x:c r="R373" s="9"/>
      <x:c r="S373" s="9"/>
      <x:c r="T373" s="9"/>
      <x:c r="U373" s="9"/>
      <x:c r="V373" s="9"/>
      <x:c r="W373" s="9"/>
      <x:c r="X373" s="9"/>
      <x:c r="Y373" s="9"/>
      <x:c r="Z373" s="9"/>
    </x:row>
    <x:row r="374" ht="14.25" customHeight="1">
      <x:c r="B374" s="1" t="s">
        <x:v>489</x:v>
      </x:c>
      <x:c r="C374" s="1">
        <x:v>14.5</x:v>
      </x:c>
      <x:c r="D374" s="1">
        <x:v>208.8</x:v>
      </x:c>
      <x:c r="E374" s="1">
        <x:v>1.5</x:v>
      </x:c>
      <x:c r="F374" s="1">
        <x:v>0.0</x:v>
      </x:c>
      <x:c r="G374" s="1">
        <x:v>0.0</x:v>
      </x:c>
      <x:c r="H374" s="1">
        <x:v>0.0</x:v>
      </x:c>
      <x:c r="I374" s="1">
        <x:v>0.2</x:v>
      </x:c>
      <x:c r="J374" s="1">
        <x:v>44.0</x:v>
      </x:c>
      <x:c r="K374" s="18">
        <x:f t="shared" si="1"/>
        <x:v>0</x:v>
      </x:c>
      <x:c r="L374" s="18">
        <x:f t="shared" si="2"/>
        <x:v>10.26965035</x:v>
      </x:c>
      <x:c r="M374" s="121"/>
      <x:c r="N374" s="121"/>
      <x:c r="O374" s="121"/>
      <x:c r="P374" s="9"/>
      <x:c r="Q374" s="9"/>
      <x:c r="R374" s="9"/>
      <x:c r="S374" s="9"/>
      <x:c r="T374" s="9"/>
      <x:c r="U374" s="9"/>
      <x:c r="V374" s="9"/>
      <x:c r="W374" s="9"/>
      <x:c r="X374" s="9"/>
      <x:c r="Y374" s="9"/>
      <x:c r="Z374" s="9"/>
    </x:row>
    <x:row r="375" ht="14.25" customHeight="1">
      <x:c r="A375" s="1" t="s">
        <x:v>857</x:v>
      </x:c>
      <x:c r="B375" s="1" t="s">
        <x:v>509</x:v>
      </x:c>
      <x:c r="C375" s="1">
        <x:v>16.2</x:v>
      </x:c>
      <x:c r="D375" s="1">
        <x:v>203.2</x:v>
      </x:c>
      <x:c r="E375" s="1">
        <x:v>1.3</x:v>
      </x:c>
      <x:c r="F375" s="1">
        <x:v>0.0</x:v>
      </x:c>
      <x:c r="G375" s="1">
        <x:v>0.0</x:v>
      </x:c>
      <x:c r="H375" s="1">
        <x:v>0.0</x:v>
      </x:c>
      <x:c r="I375" s="1">
        <x:v>0.2</x:v>
      </x:c>
      <x:c r="J375" s="1">
        <x:v>43.8</x:v>
      </x:c>
      <x:c r="K375" s="18">
        <x:f t="shared" si="1"/>
        <x:v>0</x:v>
      </x:c>
      <x:c r="L375" s="18">
        <x:f t="shared" si="2"/>
        <x:v>9.994219114</x:v>
      </x:c>
      <x:c r="M375" s="119" t="n">
        <x:f>C377*Scoring!$B$34+D377/Scoring!$C$34+E377*Scoring!$D$34+WR!F377*Scoring!$E$34+WR!G377/Scoring!$F$34+WR!H377*Scoring!$G$34+WR!I377*Scoring!$H$34+K377*Scoring!$I$34+WR!L377*Scoring!$J$34+U375</x:f>
        <x:v>83.0544</x:v>
      </x:c>
      <x:c r="N375" s="119" t="n">
        <x:f>C375*Scoring!$B$34+D375/Scoring!$C$34+E375*Scoring!$D$34+WR!F375*Scoring!$E$34+WR!G375/Scoring!$F$34+WR!H375*Scoring!$G$34+WR!I375*Scoring!$H$34+K375*Scoring!$I$34+WR!L375*Scoring!$J$34+U375</x:f>
        <x:v>83.0544</x:v>
      </x:c>
      <x:c r="O375" s="119" t="n">
        <x:f>C376*Scoring!$B$34+D376/Scoring!$C$34+E376*Scoring!$D$34+WR!F376*Scoring!$E$34+WR!G376/Scoring!$F$34+WR!H376*Scoring!$G$34+WR!I376*Scoring!$H$34+K376*Scoring!$I$34+WR!L376*Scoring!$J$34+U375</x:f>
        <x:v>83.0544</x:v>
      </x:c>
      <x:c r="P375" s="9" t="n">
        <x:f>IF(COUNTIF(Rookies!$A:$A,A375)&gt;0,1,0)</x:f>
        <x:v>1</x:v>
      </x:c>
      <x:c r="Q375" s="9"/>
      <x:c r="R375" s="9"/>
      <x:c r="S375" s="9" t="n">
        <x:f>V375/17</x:f>
        <x:v>2.1188235294117646</x:v>
      </x:c>
      <x:c r="T375" s="9" t="n">
        <x:f>IF(P375=1,MAX(0,0.28*(12-S375)),0)</x:f>
        <x:v>2.766729411764706</x:v>
      </x:c>
      <x:c r="U375" s="9" t="n">
        <x:f>T375*17</x:f>
        <x:v>47.034400000000005</x:v>
      </x:c>
      <x:c r="V375" s="9" t="n">
        <x:f>C375*Scoring!$B$34+D375/Scoring!$C$34+E375*Scoring!$D$34+WR!F375*Scoring!$E$34+WR!G375/Scoring!$F$34+WR!H375*Scoring!$G$34+WR!I375*Scoring!$H$34+K375*Scoring!$I$34+WR!L375*Scoring!$J$34</x:f>
        <x:v>36.019999999999996</x:v>
      </x:c>
      <x:c r="W375" s="9"/>
      <x:c r="X375" s="9"/>
      <x:c r="Y375" s="9"/>
      <x:c r="Z375" s="9"/>
    </x:row>
    <x:row r="376" ht="14.25" customHeight="1">
      <x:c r="B376" s="1" t="s">
        <x:v>488</x:v>
      </x:c>
      <x:c r="C376" s="1">
        <x:v>16.2</x:v>
      </x:c>
      <x:c r="D376" s="1">
        <x:v>203.2</x:v>
      </x:c>
      <x:c r="E376" s="1">
        <x:v>1.3</x:v>
      </x:c>
      <x:c r="F376" s="1">
        <x:v>0.0</x:v>
      </x:c>
      <x:c r="G376" s="1">
        <x:v>0.0</x:v>
      </x:c>
      <x:c r="H376" s="1">
        <x:v>0.0</x:v>
      </x:c>
      <x:c r="I376" s="1">
        <x:v>0.2</x:v>
      </x:c>
      <x:c r="J376" s="1">
        <x:v>44.0</x:v>
      </x:c>
      <x:c r="K376" s="18">
        <x:f t="shared" si="1"/>
        <x:v>0</x:v>
      </x:c>
      <x:c r="L376" s="18">
        <x:f t="shared" si="2"/>
        <x:v>9.994219114</x:v>
      </x:c>
      <x:c r="M376" s="121"/>
      <x:c r="N376" s="121"/>
      <x:c r="O376" s="121"/>
      <x:c r="P376" s="9"/>
      <x:c r="Q376" s="9"/>
      <x:c r="R376" s="9"/>
      <x:c r="S376" s="9"/>
      <x:c r="T376" s="9"/>
      <x:c r="U376" s="9"/>
      <x:c r="V376" s="9"/>
      <x:c r="W376" s="9"/>
      <x:c r="X376" s="9"/>
      <x:c r="Y376" s="9"/>
      <x:c r="Z376" s="9"/>
    </x:row>
    <x:row r="377" ht="14.25" customHeight="1">
      <x:c r="B377" s="1" t="s">
        <x:v>489</x:v>
      </x:c>
      <x:c r="C377" s="1">
        <x:v>16.2</x:v>
      </x:c>
      <x:c r="D377" s="1">
        <x:v>203.2</x:v>
      </x:c>
      <x:c r="E377" s="1">
        <x:v>1.3</x:v>
      </x:c>
      <x:c r="F377" s="1">
        <x:v>0.0</x:v>
      </x:c>
      <x:c r="G377" s="1">
        <x:v>0.0</x:v>
      </x:c>
      <x:c r="H377" s="1">
        <x:v>0.0</x:v>
      </x:c>
      <x:c r="I377" s="1">
        <x:v>0.2</x:v>
      </x:c>
      <x:c r="J377" s="1">
        <x:v>44.0</x:v>
      </x:c>
      <x:c r="K377" s="18">
        <x:f t="shared" si="1"/>
        <x:v>0</x:v>
      </x:c>
      <x:c r="L377" s="18">
        <x:f t="shared" si="2"/>
        <x:v>9.994219114</x:v>
      </x:c>
      <x:c r="M377" s="121"/>
      <x:c r="N377" s="121"/>
      <x:c r="O377" s="121"/>
      <x:c r="P377" s="9"/>
      <x:c r="Q377" s="9"/>
      <x:c r="R377" s="9"/>
      <x:c r="S377" s="9"/>
      <x:c r="T377" s="9"/>
      <x:c r="U377" s="9"/>
      <x:c r="V377" s="9"/>
      <x:c r="W377" s="9"/>
      <x:c r="X377" s="9"/>
      <x:c r="Y377" s="9"/>
      <x:c r="Z377" s="9"/>
    </x:row>
    <x:row r="378" ht="14.25" customHeight="1">
      <x:c r="A378" s="1" t="s">
        <x:v>858</x:v>
      </x:c>
      <x:c r="B378" s="1" t="s">
        <x:v>539</x:v>
      </x:c>
      <x:c r="C378" s="1">
        <x:v>18.8</x:v>
      </x:c>
      <x:c r="D378" s="1">
        <x:v>185.9</x:v>
      </x:c>
      <x:c r="E378" s="1">
        <x:v>0.7</x:v>
      </x:c>
      <x:c r="F378" s="1">
        <x:v>2.2</x:v>
      </x:c>
      <x:c r="G378" s="1">
        <x:v>12.7</x:v>
      </x:c>
      <x:c r="H378" s="1">
        <x:v>0.1</x:v>
      </x:c>
      <x:c r="I378" s="1">
        <x:v>0.2</x:v>
      </x:c>
      <x:c r="J378" s="1">
        <x:v>43.1</x:v>
      </x:c>
      <x:c r="K378" s="18">
        <x:f t="shared" si="1"/>
        <x:v>0.7870682148</x:v>
      </x:c>
      <x:c r="L378" s="18">
        <x:f t="shared" si="2"/>
        <x:v>9.143333333</x:v>
      </x:c>
      <x:c r="M378" s="119" t="n">
        <x:f>C380*Scoring!$B$34+D380/Scoring!$C$34+E380*Scoring!$D$34+WR!F380*Scoring!$E$34+WR!G380/Scoring!$F$34+WR!H380*Scoring!$G$34+WR!I380*Scoring!$H$34+K380*Scoring!$I$34+WR!L380*Scoring!$J$34+U378</x:f>
        <x:v>33.86</x:v>
      </x:c>
      <x:c r="N378" s="119" t="n">
        <x:f>C378*Scoring!$B$34+D378/Scoring!$C$34+E378*Scoring!$D$34+WR!F378*Scoring!$E$34+WR!G378/Scoring!$F$34+WR!H378*Scoring!$G$34+WR!I378*Scoring!$H$34+K378*Scoring!$I$34+WR!L378*Scoring!$J$34+U378</x:f>
        <x:v>33.86</x:v>
      </x:c>
      <x:c r="O378" s="119" t="n">
        <x:f>C379*Scoring!$B$34+D379/Scoring!$C$34+E379*Scoring!$D$34+WR!F379*Scoring!$E$34+WR!G379/Scoring!$F$34+WR!H379*Scoring!$G$34+WR!I379*Scoring!$H$34+K379*Scoring!$I$34+WR!L379*Scoring!$J$34+U378</x:f>
        <x:v>33.86</x:v>
      </x:c>
      <x:c r="P378" s="9" t="n">
        <x:f>IF(COUNTIF(Rookies!$A:$A,A378)&gt;0,1,0)</x:f>
        <x:v>0</x:v>
      </x:c>
      <x:c r="Q378" s="9"/>
      <x:c r="R378" s="9"/>
      <x:c r="S378" s="9" t="n">
        <x:f>V378/17</x:f>
        <x:v>1.9917647058823529</x:v>
      </x:c>
      <x:c r="T378" s="9" t="n">
        <x:f>IF(P378=1,MAX(0,0.28*(12-S378)),0)</x:f>
        <x:v>0</x:v>
      </x:c>
      <x:c r="U378" s="9" t="n">
        <x:f>T378*17</x:f>
        <x:v>0</x:v>
      </x:c>
      <x:c r="V378" s="9" t="n">
        <x:f>C378*Scoring!$B$34+D378/Scoring!$C$34+E378*Scoring!$D$34+WR!F378*Scoring!$E$34+WR!G378/Scoring!$F$34+WR!H378*Scoring!$G$34+WR!I378*Scoring!$H$34+K378*Scoring!$I$34+WR!L378*Scoring!$J$34</x:f>
        <x:v>33.86</x:v>
      </x:c>
      <x:c r="W378" s="9"/>
      <x:c r="X378" s="9"/>
      <x:c r="Y378" s="9"/>
      <x:c r="Z378" s="9"/>
    </x:row>
    <x:row r="379" ht="14.25" customHeight="1">
      <x:c r="B379" s="1" t="s">
        <x:v>488</x:v>
      </x:c>
      <x:c r="C379" s="1">
        <x:v>18.8</x:v>
      </x:c>
      <x:c r="D379" s="1">
        <x:v>185.9</x:v>
      </x:c>
      <x:c r="E379" s="1">
        <x:v>0.7</x:v>
      </x:c>
      <x:c r="F379" s="1">
        <x:v>2.2</x:v>
      </x:c>
      <x:c r="G379" s="1">
        <x:v>12.7</x:v>
      </x:c>
      <x:c r="H379" s="1">
        <x:v>0.1</x:v>
      </x:c>
      <x:c r="I379" s="1">
        <x:v>0.2</x:v>
      </x:c>
      <x:c r="J379" s="1">
        <x:v>46.8</x:v>
      </x:c>
      <x:c r="K379" s="18">
        <x:f t="shared" si="1"/>
        <x:v>0.7870682148</x:v>
      </x:c>
      <x:c r="L379" s="18">
        <x:f t="shared" si="2"/>
        <x:v>9.143333333</x:v>
      </x:c>
      <x:c r="M379" s="121"/>
      <x:c r="N379" s="121"/>
      <x:c r="O379" s="121"/>
      <x:c r="P379" s="9"/>
      <x:c r="Q379" s="9"/>
      <x:c r="R379" s="9"/>
      <x:c r="S379" s="9"/>
      <x:c r="T379" s="9"/>
      <x:c r="U379" s="9"/>
      <x:c r="V379" s="9"/>
      <x:c r="W379" s="9"/>
      <x:c r="X379" s="9"/>
      <x:c r="Y379" s="9"/>
      <x:c r="Z379" s="9"/>
    </x:row>
    <x:row r="380" ht="14.25" customHeight="1">
      <x:c r="B380" s="1" t="s">
        <x:v>489</x:v>
      </x:c>
      <x:c r="C380" s="1">
        <x:v>18.8</x:v>
      </x:c>
      <x:c r="D380" s="1">
        <x:v>185.9</x:v>
      </x:c>
      <x:c r="E380" s="1">
        <x:v>0.7</x:v>
      </x:c>
      <x:c r="F380" s="1">
        <x:v>2.2</x:v>
      </x:c>
      <x:c r="G380" s="1">
        <x:v>12.7</x:v>
      </x:c>
      <x:c r="H380" s="1">
        <x:v>0.1</x:v>
      </x:c>
      <x:c r="I380" s="1">
        <x:v>0.2</x:v>
      </x:c>
      <x:c r="J380" s="1">
        <x:v>46.8</x:v>
      </x:c>
      <x:c r="K380" s="18">
        <x:f t="shared" si="1"/>
        <x:v>0.7870682148</x:v>
      </x:c>
      <x:c r="L380" s="18">
        <x:f t="shared" si="2"/>
        <x:v>9.143333333</x:v>
      </x:c>
      <x:c r="M380" s="121"/>
      <x:c r="N380" s="121"/>
      <x:c r="O380" s="121"/>
      <x:c r="P380" s="9"/>
      <x:c r="Q380" s="9"/>
      <x:c r="R380" s="9"/>
      <x:c r="S380" s="9"/>
      <x:c r="T380" s="9"/>
      <x:c r="U380" s="9"/>
      <x:c r="V380" s="9"/>
      <x:c r="W380" s="9"/>
      <x:c r="X380" s="9"/>
      <x:c r="Y380" s="9"/>
      <x:c r="Z380" s="9"/>
    </x:row>
    <x:row r="381" ht="14.25" customHeight="1">
      <x:c r="A381" s="1" t="s">
        <x:v>859</x:v>
      </x:c>
      <x:c r="B381" s="1" t="s">
        <x:v>499</x:v>
      </x:c>
      <x:c r="C381" s="1">
        <x:v>14.1</x:v>
      </x:c>
      <x:c r="D381" s="1">
        <x:v>176.3</x:v>
      </x:c>
      <x:c r="E381" s="1">
        <x:v>1.3</x:v>
      </x:c>
      <x:c r="F381" s="1">
        <x:v>0.0</x:v>
      </x:c>
      <x:c r="G381" s="1">
        <x:v>0.0</x:v>
      </x:c>
      <x:c r="H381" s="1">
        <x:v>0.0</x:v>
      </x:c>
      <x:c r="I381" s="1">
        <x:v>0.1</x:v>
      </x:c>
      <x:c r="J381" s="1">
        <x:v>39.5</x:v>
      </x:c>
      <x:c r="K381" s="18">
        <x:f t="shared" si="1"/>
        <x:v>0</x:v>
      </x:c>
      <x:c r="L381" s="18">
        <x:f t="shared" si="2"/>
        <x:v>8.671165501</x:v>
      </x:c>
      <x:c r="M381" s="119" t="n">
        <x:f>C383*Scoring!$B$34+D383/Scoring!$C$34+E383*Scoring!$D$34+WR!F383*Scoring!$E$34+WR!G383/Scoring!$F$34+WR!H383*Scoring!$G$34+WR!I383*Scoring!$H$34+K383*Scoring!$I$34+WR!L383*Scoring!$J$34+U381</x:f>
        <x:v>80.43360000000001</x:v>
      </x:c>
      <x:c r="N381" s="119" t="n">
        <x:f>C381*Scoring!$B$34+D381/Scoring!$C$34+E381*Scoring!$D$34+WR!F381*Scoring!$E$34+WR!G381/Scoring!$F$34+WR!H381*Scoring!$G$34+WR!I381*Scoring!$H$34+K381*Scoring!$I$34+WR!L381*Scoring!$J$34+U381</x:f>
        <x:v>80.43360000000001</x:v>
      </x:c>
      <x:c r="O381" s="119" t="n">
        <x:f>C382*Scoring!$B$34+D382/Scoring!$C$34+E382*Scoring!$D$34+WR!F382*Scoring!$E$34+WR!G382/Scoring!$F$34+WR!H382*Scoring!$G$34+WR!I382*Scoring!$H$34+K382*Scoring!$I$34+WR!L382*Scoring!$J$34+U381</x:f>
        <x:v>80.43360000000001</x:v>
      </x:c>
      <x:c r="P381" s="9" t="n">
        <x:f>IF(COUNTIF(Rookies!$A:$A,A381)&gt;0,1,0)</x:f>
        <x:v>1</x:v>
      </x:c>
      <x:c r="Q381" s="9"/>
      <x:c r="R381" s="9"/>
      <x:c r="S381" s="9" t="n">
        <x:f>V381/17</x:f>
        <x:v>1.9047058823529412</x:v>
      </x:c>
      <x:c r="T381" s="9" t="n">
        <x:f>IF(P381=1,MAX(0,0.28*(12-S381)),0)</x:f>
        <x:v>2.8266823529411766</x:v>
      </x:c>
      <x:c r="U381" s="9" t="n">
        <x:f>T381*17</x:f>
        <x:v>48.0536</x:v>
      </x:c>
      <x:c r="V381" s="9" t="n">
        <x:f>C381*Scoring!$B$34+D381/Scoring!$C$34+E381*Scoring!$D$34+WR!F381*Scoring!$E$34+WR!G381/Scoring!$F$34+WR!H381*Scoring!$G$34+WR!I381*Scoring!$H$34+K381*Scoring!$I$34+WR!L381*Scoring!$J$34</x:f>
        <x:v>32.38</x:v>
      </x:c>
      <x:c r="W381" s="9"/>
      <x:c r="X381" s="9"/>
      <x:c r="Y381" s="9"/>
      <x:c r="Z381" s="9"/>
    </x:row>
    <x:row r="382" ht="14.25" customHeight="1">
      <x:c r="B382" s="1" t="s">
        <x:v>488</x:v>
      </x:c>
      <x:c r="C382" s="1">
        <x:v>14.1</x:v>
      </x:c>
      <x:c r="D382" s="1">
        <x:v>176.3</x:v>
      </x:c>
      <x:c r="E382" s="1">
        <x:v>1.3</x:v>
      </x:c>
      <x:c r="F382" s="1">
        <x:v>0.0</x:v>
      </x:c>
      <x:c r="G382" s="1">
        <x:v>0.0</x:v>
      </x:c>
      <x:c r="H382" s="1">
        <x:v>0.0</x:v>
      </x:c>
      <x:c r="I382" s="1">
        <x:v>0.1</x:v>
      </x:c>
      <x:c r="J382" s="1">
        <x:v>39.6</x:v>
      </x:c>
      <x:c r="K382" s="18">
        <x:f t="shared" si="1"/>
        <x:v>0</x:v>
      </x:c>
      <x:c r="L382" s="18">
        <x:f t="shared" si="2"/>
        <x:v>8.671165501</x:v>
      </x:c>
      <x:c r="M382" s="121"/>
      <x:c r="N382" s="121"/>
      <x:c r="O382" s="121"/>
      <x:c r="P382" s="9"/>
      <x:c r="Q382" s="9"/>
      <x:c r="R382" s="9"/>
      <x:c r="S382" s="9"/>
      <x:c r="T382" s="9"/>
      <x:c r="U382" s="9"/>
      <x:c r="V382" s="9"/>
      <x:c r="W382" s="9"/>
      <x:c r="X382" s="9"/>
      <x:c r="Y382" s="9"/>
      <x:c r="Z382" s="9"/>
    </x:row>
    <x:row r="383" ht="14.25" customHeight="1">
      <x:c r="B383" s="1" t="s">
        <x:v>489</x:v>
      </x:c>
      <x:c r="C383" s="1">
        <x:v>14.1</x:v>
      </x:c>
      <x:c r="D383" s="1">
        <x:v>176.3</x:v>
      </x:c>
      <x:c r="E383" s="1">
        <x:v>1.3</x:v>
      </x:c>
      <x:c r="F383" s="1">
        <x:v>0.0</x:v>
      </x:c>
      <x:c r="G383" s="1">
        <x:v>0.0</x:v>
      </x:c>
      <x:c r="H383" s="1">
        <x:v>0.0</x:v>
      </x:c>
      <x:c r="I383" s="1">
        <x:v>0.1</x:v>
      </x:c>
      <x:c r="J383" s="1">
        <x:v>39.6</x:v>
      </x:c>
      <x:c r="K383" s="18">
        <x:f t="shared" si="1"/>
        <x:v>0</x:v>
      </x:c>
      <x:c r="L383" s="18">
        <x:f t="shared" si="2"/>
        <x:v>8.671165501</x:v>
      </x:c>
      <x:c r="M383" s="121"/>
      <x:c r="N383" s="121"/>
      <x:c r="O383" s="121"/>
      <x:c r="P383" s="9"/>
      <x:c r="Q383" s="9"/>
      <x:c r="R383" s="9"/>
      <x:c r="S383" s="9"/>
      <x:c r="T383" s="9"/>
      <x:c r="U383" s="9"/>
      <x:c r="V383" s="9"/>
      <x:c r="W383" s="9"/>
      <x:c r="X383" s="9"/>
      <x:c r="Y383" s="9"/>
      <x:c r="Z383" s="9"/>
    </x:row>
    <x:row r="384" ht="14.25" customHeight="1">
      <x:c r="A384" s="1" t="s">
        <x:v>860</x:v>
      </x:c>
      <x:c r="B384" s="1" t="s">
        <x:v>521</x:v>
      </x:c>
      <x:c r="C384" s="1">
        <x:v>15.1</x:v>
      </x:c>
      <x:c r="D384" s="1">
        <x:v>193.2</x:v>
      </x:c>
      <x:c r="E384" s="1">
        <x:v>0.9</x:v>
      </x:c>
      <x:c r="F384" s="1">
        <x:v>0.0</x:v>
      </x:c>
      <x:c r="G384" s="1">
        <x:v>0.0</x:v>
      </x:c>
      <x:c r="H384" s="1">
        <x:v>0.0</x:v>
      </x:c>
      <x:c r="I384" s="1">
        <x:v>0.2</x:v>
      </x:c>
      <x:c r="J384" s="1">
        <x:v>39.5</x:v>
      </x:c>
      <x:c r="K384" s="18">
        <x:f t="shared" si="1"/>
        <x:v>0</x:v>
      </x:c>
      <x:c r="L384" s="18">
        <x:f t="shared" si="2"/>
        <x:v>9.502377622</x:v>
      </x:c>
      <x:c r="M384" s="119" t="n">
        <x:f>C386*Scoring!$B$34+D386/Scoring!$C$34+E386*Scoring!$D$34+WR!F386*Scoring!$E$34+WR!G386/Scoring!$F$34+WR!H386*Scoring!$G$34+WR!I386*Scoring!$H$34+K386*Scoring!$I$34+WR!L386*Scoring!$J$34+U384</x:f>
        <x:v>80.2104</x:v>
      </x:c>
      <x:c r="N384" s="119" t="n">
        <x:f>C384*Scoring!$B$34+D384/Scoring!$C$34+E384*Scoring!$D$34+WR!F384*Scoring!$E$34+WR!G384/Scoring!$F$34+WR!H384*Scoring!$G$34+WR!I384*Scoring!$H$34+K384*Scoring!$I$34+WR!L384*Scoring!$J$34+U384</x:f>
        <x:v>80.2104</x:v>
      </x:c>
      <x:c r="O384" s="119" t="n">
        <x:f>C385*Scoring!$B$34+D385/Scoring!$C$34+E385*Scoring!$D$34+WR!F385*Scoring!$E$34+WR!G385/Scoring!$F$34+WR!H385*Scoring!$G$34+WR!I385*Scoring!$H$34+K385*Scoring!$I$34+WR!L385*Scoring!$J$34+U384</x:f>
        <x:v>80.2104</x:v>
      </x:c>
      <x:c r="P384" s="9" t="n">
        <x:f>IF(COUNTIF(Rookies!$A:$A,A384)&gt;0,1,0)</x:f>
        <x:v>1</x:v>
      </x:c>
      <x:c r="Q384" s="9"/>
      <x:c r="R384" s="9"/>
      <x:c r="S384" s="9" t="n">
        <x:f>V384/17</x:f>
        <x:v>1.8864705882352941</x:v>
      </x:c>
      <x:c r="T384" s="9" t="n">
        <x:f>IF(P384=1,MAX(0,0.28*(12-S384)),0)</x:f>
        <x:v>2.831788235294118</x:v>
      </x:c>
      <x:c r="U384" s="9" t="n">
        <x:f>T384*17</x:f>
        <x:v>48.14040000000001</x:v>
      </x:c>
      <x:c r="V384" s="9" t="n">
        <x:f>C384*Scoring!$B$34+D384/Scoring!$C$34+E384*Scoring!$D$34+WR!F384*Scoring!$E$34+WR!G384/Scoring!$F$34+WR!H384*Scoring!$G$34+WR!I384*Scoring!$H$34+K384*Scoring!$I$34+WR!L384*Scoring!$J$34</x:f>
        <x:v>32.07</x:v>
      </x:c>
      <x:c r="W384" s="9"/>
      <x:c r="X384" s="9"/>
      <x:c r="Y384" s="9"/>
      <x:c r="Z384" s="9"/>
    </x:row>
    <x:row r="385" ht="14.25" customHeight="1">
      <x:c r="B385" s="1" t="s">
        <x:v>488</x:v>
      </x:c>
      <x:c r="C385" s="1">
        <x:v>15.1</x:v>
      </x:c>
      <x:c r="D385" s="1">
        <x:v>193.2</x:v>
      </x:c>
      <x:c r="E385" s="1">
        <x:v>0.9</x:v>
      </x:c>
      <x:c r="F385" s="1">
        <x:v>0.0</x:v>
      </x:c>
      <x:c r="G385" s="1">
        <x:v>0.0</x:v>
      </x:c>
      <x:c r="H385" s="1">
        <x:v>0.0</x:v>
      </x:c>
      <x:c r="I385" s="1">
        <x:v>0.2</x:v>
      </x:c>
      <x:c r="J385" s="1">
        <x:v>39.5</x:v>
      </x:c>
      <x:c r="K385" s="18">
        <x:f t="shared" si="1"/>
        <x:v>0</x:v>
      </x:c>
      <x:c r="L385" s="18">
        <x:f t="shared" si="2"/>
        <x:v>9.502377622</x:v>
      </x:c>
      <x:c r="M385" s="121"/>
      <x:c r="N385" s="121"/>
      <x:c r="O385" s="121"/>
      <x:c r="P385" s="9"/>
      <x:c r="Q385" s="9"/>
      <x:c r="R385" s="9"/>
      <x:c r="S385" s="9"/>
      <x:c r="T385" s="9"/>
      <x:c r="U385" s="9"/>
      <x:c r="V385" s="9"/>
      <x:c r="W385" s="9"/>
      <x:c r="X385" s="9"/>
      <x:c r="Y385" s="9"/>
      <x:c r="Z385" s="9"/>
    </x:row>
    <x:row r="386" ht="14.25" customHeight="1">
      <x:c r="B386" s="1" t="s">
        <x:v>489</x:v>
      </x:c>
      <x:c r="C386" s="1">
        <x:v>15.1</x:v>
      </x:c>
      <x:c r="D386" s="1">
        <x:v>193.2</x:v>
      </x:c>
      <x:c r="E386" s="1">
        <x:v>0.9</x:v>
      </x:c>
      <x:c r="F386" s="1">
        <x:v>0.0</x:v>
      </x:c>
      <x:c r="G386" s="1">
        <x:v>0.0</x:v>
      </x:c>
      <x:c r="H386" s="1">
        <x:v>0.0</x:v>
      </x:c>
      <x:c r="I386" s="1">
        <x:v>0.2</x:v>
      </x:c>
      <x:c r="J386" s="1">
        <x:v>39.5</x:v>
      </x:c>
      <x:c r="K386" s="18">
        <x:f t="shared" si="1"/>
        <x:v>0</x:v>
      </x:c>
      <x:c r="L386" s="18">
        <x:f t="shared" si="2"/>
        <x:v>9.502377622</x:v>
      </x:c>
      <x:c r="M386" s="121"/>
      <x:c r="N386" s="121"/>
      <x:c r="O386" s="121"/>
      <x:c r="P386" s="9"/>
      <x:c r="Q386" s="9"/>
      <x:c r="R386" s="9"/>
      <x:c r="S386" s="9"/>
      <x:c r="T386" s="9"/>
      <x:c r="U386" s="9"/>
      <x:c r="V386" s="9"/>
      <x:c r="W386" s="9"/>
      <x:c r="X386" s="9"/>
      <x:c r="Y386" s="9"/>
      <x:c r="Z386" s="9"/>
    </x:row>
    <x:row r="387" ht="14.25" customHeight="1">
      <x:c r="A387" s="1" t="s">
        <x:v>861</x:v>
      </x:c>
      <x:c r="B387" s="1" t="s">
        <x:v>511</x:v>
      </x:c>
      <x:c r="C387" s="1">
        <x:v>12.5</x:v>
      </x:c>
      <x:c r="D387" s="1">
        <x:v>153.5</x:v>
      </x:c>
      <x:c r="E387" s="1">
        <x:v>1.2</x:v>
      </x:c>
      <x:c r="F387" s="1">
        <x:v>0.0</x:v>
      </x:c>
      <x:c r="G387" s="1">
        <x:v>0.0</x:v>
      </x:c>
      <x:c r="H387" s="1">
        <x:v>0.0</x:v>
      </x:c>
      <x:c r="I387" s="1">
        <x:v>0.1</x:v>
      </x:c>
      <x:c r="J387" s="1">
        <x:v>34.9</x:v>
      </x:c>
      <x:c r="K387" s="18">
        <x:f t="shared" si="1"/>
        <x:v>0</x:v>
      </x:c>
      <x:c r="L387" s="18">
        <x:f t="shared" si="2"/>
        <x:v>7.5497669</x:v>
      </x:c>
      <x:c r="M387" s="119" t="n">
        <x:f>C389*Scoring!$B$34+D389/Scoring!$C$34+E389*Scoring!$D$34+WR!F389*Scoring!$E$34+WR!G389/Scoring!$F$34+WR!H389*Scoring!$G$34+WR!I389*Scoring!$H$34+K389*Scoring!$I$34+WR!L389*Scoring!$J$34+U387</x:f>
        <x:v>77.784</x:v>
      </x:c>
      <x:c r="N387" s="119" t="n">
        <x:f>C387*Scoring!$B$34+D387/Scoring!$C$34+E387*Scoring!$D$34+WR!F387*Scoring!$E$34+WR!G387/Scoring!$F$34+WR!H387*Scoring!$G$34+WR!I387*Scoring!$H$34+K387*Scoring!$I$34+WR!L387*Scoring!$J$34+U387</x:f>
        <x:v>77.784</x:v>
      </x:c>
      <x:c r="O387" s="119" t="n">
        <x:f>C388*Scoring!$B$34+D388/Scoring!$C$34+E388*Scoring!$D$34+WR!F388*Scoring!$E$34+WR!G388/Scoring!$F$34+WR!H388*Scoring!$G$34+WR!I388*Scoring!$H$34+K388*Scoring!$I$34+WR!L388*Scoring!$J$34+U387</x:f>
        <x:v>77.784</x:v>
      </x:c>
      <x:c r="P387" s="9" t="n">
        <x:f>IF(COUNTIF(Rookies!$A:$A,A387)&gt;0,1,0)</x:f>
        <x:v>1</x:v>
      </x:c>
      <x:c r="Q387" s="9"/>
      <x:c r="R387" s="9"/>
      <x:c r="S387" s="9" t="n">
        <x:f>V387/17</x:f>
        <x:v>1.688235294117647</x:v>
      </x:c>
      <x:c r="T387" s="9" t="n">
        <x:f>IF(P387=1,MAX(0,0.28*(12-S387)),0)</x:f>
        <x:v>2.8872941176470595</x:v>
      </x:c>
      <x:c r="U387" s="9" t="n">
        <x:f>T387*17</x:f>
        <x:v>49.08400000000001</x:v>
      </x:c>
      <x:c r="V387" s="9" t="n">
        <x:f>C387*Scoring!$B$34+D387/Scoring!$C$34+E387*Scoring!$D$34+WR!F387*Scoring!$E$34+WR!G387/Scoring!$F$34+WR!H387*Scoring!$G$34+WR!I387*Scoring!$H$34+K387*Scoring!$I$34+WR!L387*Scoring!$J$34</x:f>
        <x:v>28.7</x:v>
      </x:c>
      <x:c r="W387" s="9"/>
      <x:c r="X387" s="9"/>
      <x:c r="Y387" s="9"/>
      <x:c r="Z387" s="9"/>
    </x:row>
    <x:row r="388" ht="14.25" customHeight="1">
      <x:c r="B388" s="1" t="s">
        <x:v>488</x:v>
      </x:c>
      <x:c r="C388" s="1">
        <x:v>12.5</x:v>
      </x:c>
      <x:c r="D388" s="1">
        <x:v>153.5</x:v>
      </x:c>
      <x:c r="E388" s="1">
        <x:v>1.2</x:v>
      </x:c>
      <x:c r="F388" s="1">
        <x:v>0.0</x:v>
      </x:c>
      <x:c r="G388" s="1">
        <x:v>0.0</x:v>
      </x:c>
      <x:c r="H388" s="1">
        <x:v>0.0</x:v>
      </x:c>
      <x:c r="I388" s="1">
        <x:v>0.1</x:v>
      </x:c>
      <x:c r="J388" s="1">
        <x:v>36.2</x:v>
      </x:c>
      <x:c r="K388" s="18">
        <x:f t="shared" si="1"/>
        <x:v>0</x:v>
      </x:c>
      <x:c r="L388" s="18">
        <x:f t="shared" si="2"/>
        <x:v>7.5497669</x:v>
      </x:c>
      <x:c r="M388" s="121"/>
      <x:c r="N388" s="121"/>
      <x:c r="O388" s="121"/>
      <x:c r="P388" s="9"/>
      <x:c r="Q388" s="9"/>
      <x:c r="R388" s="9"/>
      <x:c r="S388" s="9"/>
      <x:c r="T388" s="9"/>
      <x:c r="U388" s="9"/>
      <x:c r="V388" s="9"/>
      <x:c r="W388" s="9"/>
      <x:c r="X388" s="9"/>
      <x:c r="Y388" s="9"/>
      <x:c r="Z388" s="9"/>
    </x:row>
    <x:row r="389" ht="14.25" customHeight="1">
      <x:c r="B389" s="1" t="s">
        <x:v>489</x:v>
      </x:c>
      <x:c r="C389" s="1">
        <x:v>12.5</x:v>
      </x:c>
      <x:c r="D389" s="1">
        <x:v>153.5</x:v>
      </x:c>
      <x:c r="E389" s="1">
        <x:v>1.2</x:v>
      </x:c>
      <x:c r="F389" s="1">
        <x:v>0.0</x:v>
      </x:c>
      <x:c r="G389" s="1">
        <x:v>0.0</x:v>
      </x:c>
      <x:c r="H389" s="1">
        <x:v>0.0</x:v>
      </x:c>
      <x:c r="I389" s="1">
        <x:v>0.1</x:v>
      </x:c>
      <x:c r="J389" s="1">
        <x:v>36.2</x:v>
      </x:c>
      <x:c r="K389" s="18">
        <x:f t="shared" si="1"/>
        <x:v>0</x:v>
      </x:c>
      <x:c r="L389" s="18">
        <x:f t="shared" si="2"/>
        <x:v>7.5497669</x:v>
      </x:c>
      <x:c r="M389" s="121"/>
      <x:c r="N389" s="121"/>
      <x:c r="O389" s="121"/>
      <x:c r="P389" s="9"/>
      <x:c r="Q389" s="9"/>
      <x:c r="R389" s="9"/>
      <x:c r="S389" s="9"/>
      <x:c r="T389" s="9"/>
      <x:c r="U389" s="9"/>
      <x:c r="V389" s="9"/>
      <x:c r="W389" s="9"/>
      <x:c r="X389" s="9"/>
      <x:c r="Y389" s="9"/>
      <x:c r="Z389" s="9"/>
    </x:row>
    <x:row r="390" ht="14.25" customHeight="1">
      <x:c r="A390" s="1" t="s">
        <x:v>862</x:v>
      </x:c>
      <x:c r="B390" s="1" t="s">
        <x:v>495</x:v>
      </x:c>
      <x:c r="C390" s="1">
        <x:v>12.4</x:v>
      </x:c>
      <x:c r="D390" s="1">
        <x:v>159.5</x:v>
      </x:c>
      <x:c r="E390" s="1">
        <x:v>1.1</x:v>
      </x:c>
      <x:c r="F390" s="1">
        <x:v>0.0</x:v>
      </x:c>
      <x:c r="G390" s="1">
        <x:v>0.0</x:v>
      </x:c>
      <x:c r="H390" s="1">
        <x:v>0.0</x:v>
      </x:c>
      <x:c r="I390" s="1">
        <x:v>0.1</x:v>
      </x:c>
      <x:c r="J390" s="1">
        <x:v>34.7</x:v>
      </x:c>
      <x:c r="K390" s="18">
        <x:f t="shared" si="1"/>
        <x:v>0</x:v>
      </x:c>
      <x:c r="L390" s="18">
        <x:f t="shared" si="2"/>
        <x:v>7.844871795</x:v>
      </x:c>
      <x:c r="M390" s="119" t="n">
        <x:f>C392*Scoring!$B$34+D392/Scoring!$C$34+E392*Scoring!$D$34+WR!F392*Scoring!$E$34+WR!G392/Scoring!$F$34+WR!H392*Scoring!$G$34+WR!I392*Scoring!$H$34+K392*Scoring!$I$34+WR!L392*Scoring!$J$34+U390</x:f>
        <x:v>28.65</x:v>
      </x:c>
      <x:c r="N390" s="119" t="n">
        <x:f>C390*Scoring!$B$34+D390/Scoring!$C$34+E390*Scoring!$D$34+WR!F390*Scoring!$E$34+WR!G390/Scoring!$F$34+WR!H390*Scoring!$G$34+WR!I390*Scoring!$H$34+K390*Scoring!$I$34+WR!L390*Scoring!$J$34+U390</x:f>
        <x:v>28.65</x:v>
      </x:c>
      <x:c r="O390" s="119" t="n">
        <x:f>C391*Scoring!$B$34+D391/Scoring!$C$34+E391*Scoring!$D$34+WR!F391*Scoring!$E$34+WR!G391/Scoring!$F$34+WR!H391*Scoring!$G$34+WR!I391*Scoring!$H$34+K391*Scoring!$I$34+WR!L391*Scoring!$J$34+U390</x:f>
        <x:v>28.65</x:v>
      </x:c>
      <x:c r="P390" s="9" t="n">
        <x:f>IF(COUNTIF(Rookies!$A:$A,A390)&gt;0,1,0)</x:f>
        <x:v>0</x:v>
      </x:c>
      <x:c r="Q390" s="9"/>
      <x:c r="R390" s="9"/>
      <x:c r="S390" s="9" t="n">
        <x:f>V390/17</x:f>
        <x:v>1.6852941176470588</x:v>
      </x:c>
      <x:c r="T390" s="9" t="n">
        <x:f>IF(P390=1,MAX(0,0.28*(12-S390)),0)</x:f>
        <x:v>0</x:v>
      </x:c>
      <x:c r="U390" s="9" t="n">
        <x:f>T390*17</x:f>
        <x:v>0</x:v>
      </x:c>
      <x:c r="V390" s="9" t="n">
        <x:f>C390*Scoring!$B$34+D390/Scoring!$C$34+E390*Scoring!$D$34+WR!F390*Scoring!$E$34+WR!G390/Scoring!$F$34+WR!H390*Scoring!$G$34+WR!I390*Scoring!$H$34+K390*Scoring!$I$34+WR!L390*Scoring!$J$34</x:f>
        <x:v>28.65</x:v>
      </x:c>
      <x:c r="W390" s="9"/>
      <x:c r="X390" s="9"/>
      <x:c r="Y390" s="9"/>
      <x:c r="Z390" s="9"/>
    </x:row>
    <x:row r="391" ht="14.25" customHeight="1">
      <x:c r="B391" s="1" t="s">
        <x:v>488</x:v>
      </x:c>
      <x:c r="C391" s="1">
        <x:v>12.4</x:v>
      </x:c>
      <x:c r="D391" s="1">
        <x:v>159.5</x:v>
      </x:c>
      <x:c r="E391" s="1">
        <x:v>1.1</x:v>
      </x:c>
      <x:c r="F391" s="1">
        <x:v>0.0</x:v>
      </x:c>
      <x:c r="G391" s="1">
        <x:v>0.0</x:v>
      </x:c>
      <x:c r="H391" s="1">
        <x:v>0.0</x:v>
      </x:c>
      <x:c r="I391" s="1">
        <x:v>0.1</x:v>
      </x:c>
      <x:c r="J391" s="1">
        <x:v>37.3</x:v>
      </x:c>
      <x:c r="K391" s="18">
        <x:f t="shared" si="1"/>
        <x:v>0</x:v>
      </x:c>
      <x:c r="L391" s="18">
        <x:f t="shared" si="2"/>
        <x:v>7.844871795</x:v>
      </x:c>
      <x:c r="M391" s="121"/>
      <x:c r="N391" s="121"/>
      <x:c r="O391" s="121"/>
      <x:c r="P391" s="9"/>
      <x:c r="Q391" s="9"/>
      <x:c r="R391" s="9"/>
      <x:c r="S391" s="9"/>
      <x:c r="T391" s="9"/>
      <x:c r="U391" s="9"/>
      <x:c r="V391" s="9"/>
      <x:c r="W391" s="9"/>
      <x:c r="X391" s="9"/>
      <x:c r="Y391" s="9"/>
      <x:c r="Z391" s="9"/>
    </x:row>
    <x:row r="392" ht="14.25" customHeight="1">
      <x:c r="B392" s="1" t="s">
        <x:v>489</x:v>
      </x:c>
      <x:c r="C392" s="1">
        <x:v>12.4</x:v>
      </x:c>
      <x:c r="D392" s="1">
        <x:v>159.5</x:v>
      </x:c>
      <x:c r="E392" s="1">
        <x:v>1.1</x:v>
      </x:c>
      <x:c r="F392" s="1">
        <x:v>0.0</x:v>
      </x:c>
      <x:c r="G392" s="1">
        <x:v>0.0</x:v>
      </x:c>
      <x:c r="H392" s="1">
        <x:v>0.0</x:v>
      </x:c>
      <x:c r="I392" s="1">
        <x:v>0.1</x:v>
      </x:c>
      <x:c r="J392" s="1">
        <x:v>37.3</x:v>
      </x:c>
      <x:c r="K392" s="18">
        <x:f t="shared" si="1"/>
        <x:v>0</x:v>
      </x:c>
      <x:c r="L392" s="18">
        <x:f t="shared" si="2"/>
        <x:v>7.844871795</x:v>
      </x:c>
      <x:c r="M392" s="121"/>
      <x:c r="N392" s="121"/>
      <x:c r="O392" s="121"/>
      <x:c r="P392" s="9"/>
      <x:c r="Q392" s="9"/>
      <x:c r="R392" s="9"/>
      <x:c r="S392" s="9"/>
      <x:c r="T392" s="9"/>
      <x:c r="U392" s="9"/>
      <x:c r="V392" s="9"/>
      <x:c r="W392" s="9"/>
      <x:c r="X392" s="9"/>
      <x:c r="Y392" s="9"/>
      <x:c r="Z392" s="9"/>
    </x:row>
    <x:row r="393" ht="14.25" customHeight="1">
      <x:c r="A393" s="1" t="s">
        <x:v>863</x:v>
      </x:c>
      <x:c r="B393" s="1" t="s">
        <x:v>491</x:v>
      </x:c>
      <x:c r="C393" s="1">
        <x:v>11.1</x:v>
      </x:c>
      <x:c r="D393" s="1">
        <x:v>165.8</x:v>
      </x:c>
      <x:c r="E393" s="1">
        <x:v>1.0</x:v>
      </x:c>
      <x:c r="F393" s="1">
        <x:v>0.0</x:v>
      </x:c>
      <x:c r="G393" s="1">
        <x:v>0.0</x:v>
      </x:c>
      <x:c r="H393" s="1">
        <x:v>0.0</x:v>
      </x:c>
      <x:c r="I393" s="1">
        <x:v>0.1</x:v>
      </x:c>
      <x:c r="J393" s="1">
        <x:v>33.5</x:v>
      </x:c>
      <x:c r="K393" s="18">
        <x:f t="shared" si="1"/>
        <x:v>0</x:v>
      </x:c>
      <x:c r="L393" s="18">
        <x:f t="shared" si="2"/>
        <x:v>8.154731935</x:v>
      </x:c>
      <x:c r="M393" s="119" t="n">
        <x:f>C395*Scoring!$B$34+D395/Scoring!$C$34+E395*Scoring!$D$34+WR!F395*Scoring!$E$34+WR!G395/Scoring!$F$34+WR!H395*Scoring!$G$34+WR!I395*Scoring!$H$34+K395*Scoring!$I$34+WR!L395*Scoring!$J$34+U393</x:f>
        <x:v>77.30160000000001</x:v>
      </x:c>
      <x:c r="N393" s="119" t="n">
        <x:f>C393*Scoring!$B$34+D393/Scoring!$C$34+E393*Scoring!$D$34+WR!F393*Scoring!$E$34+WR!G393/Scoring!$F$34+WR!H393*Scoring!$G$34+WR!I393*Scoring!$H$34+K393*Scoring!$I$34+WR!L393*Scoring!$J$34+U393</x:f>
        <x:v>77.30160000000001</x:v>
      </x:c>
      <x:c r="O393" s="119" t="n">
        <x:f>C394*Scoring!$B$34+D394/Scoring!$C$34+E394*Scoring!$D$34+WR!F394*Scoring!$E$34+WR!G394/Scoring!$F$34+WR!H394*Scoring!$G$34+WR!I394*Scoring!$H$34+K394*Scoring!$I$34+WR!L394*Scoring!$J$34+U393</x:f>
        <x:v>77.30160000000001</x:v>
      </x:c>
      <x:c r="P393" s="9" t="n">
        <x:f>IF(COUNTIF(Rookies!$A:$A,A393)&gt;0,1,0)</x:f>
        <x:v>1</x:v>
      </x:c>
      <x:c r="Q393" s="9"/>
      <x:c r="R393" s="9"/>
      <x:c r="S393" s="9" t="n">
        <x:f>V393/17</x:f>
        <x:v>1.6488235294117648</x:v>
      </x:c>
      <x:c r="T393" s="9" t="n">
        <x:f>IF(P393=1,MAX(0,0.28*(12-S393)),0)</x:f>
        <x:v>2.8983294117647063</x:v>
      </x:c>
      <x:c r="U393" s="9" t="n">
        <x:f>T393*17</x:f>
        <x:v>49.27160000000001</x:v>
      </x:c>
      <x:c r="V393" s="9" t="n">
        <x:f>C393*Scoring!$B$34+D393/Scoring!$C$34+E393*Scoring!$D$34+WR!F393*Scoring!$E$34+WR!G393/Scoring!$F$34+WR!H393*Scoring!$G$34+WR!I393*Scoring!$H$34+K393*Scoring!$I$34+WR!L393*Scoring!$J$34</x:f>
        <x:v>28.03</x:v>
      </x:c>
      <x:c r="W393" s="9"/>
      <x:c r="X393" s="9"/>
      <x:c r="Y393" s="9"/>
      <x:c r="Z393" s="9"/>
    </x:row>
    <x:row r="394" ht="14.25" customHeight="1">
      <x:c r="B394" s="1" t="s">
        <x:v>488</x:v>
      </x:c>
      <x:c r="C394" s="1">
        <x:v>11.1</x:v>
      </x:c>
      <x:c r="D394" s="1">
        <x:v>165.8</x:v>
      </x:c>
      <x:c r="E394" s="1">
        <x:v>1.0</x:v>
      </x:c>
      <x:c r="F394" s="1">
        <x:v>0.0</x:v>
      </x:c>
      <x:c r="G394" s="1">
        <x:v>0.0</x:v>
      </x:c>
      <x:c r="H394" s="1">
        <x:v>0.0</x:v>
      </x:c>
      <x:c r="I394" s="1">
        <x:v>0.1</x:v>
      </x:c>
      <x:c r="J394" s="1">
        <x:v>33.6</x:v>
      </x:c>
      <x:c r="K394" s="18">
        <x:f t="shared" si="1"/>
        <x:v>0</x:v>
      </x:c>
      <x:c r="L394" s="18">
        <x:f t="shared" si="2"/>
        <x:v>8.154731935</x:v>
      </x:c>
      <x:c r="M394" s="121"/>
      <x:c r="N394" s="121"/>
      <x:c r="O394" s="121"/>
      <x:c r="P394" s="9"/>
      <x:c r="Q394" s="9"/>
      <x:c r="R394" s="9"/>
      <x:c r="S394" s="9"/>
      <x:c r="T394" s="9"/>
      <x:c r="U394" s="9"/>
      <x:c r="V394" s="9"/>
      <x:c r="W394" s="9"/>
      <x:c r="X394" s="9"/>
      <x:c r="Y394" s="9"/>
      <x:c r="Z394" s="9"/>
    </x:row>
    <x:row r="395" ht="14.25" customHeight="1">
      <x:c r="B395" s="1" t="s">
        <x:v>489</x:v>
      </x:c>
      <x:c r="C395" s="1">
        <x:v>11.1</x:v>
      </x:c>
      <x:c r="D395" s="1">
        <x:v>165.8</x:v>
      </x:c>
      <x:c r="E395" s="1">
        <x:v>1.0</x:v>
      </x:c>
      <x:c r="F395" s="1">
        <x:v>0.0</x:v>
      </x:c>
      <x:c r="G395" s="1">
        <x:v>0.0</x:v>
      </x:c>
      <x:c r="H395" s="1">
        <x:v>0.0</x:v>
      </x:c>
      <x:c r="I395" s="1">
        <x:v>0.1</x:v>
      </x:c>
      <x:c r="J395" s="1">
        <x:v>33.6</x:v>
      </x:c>
      <x:c r="K395" s="18">
        <x:f t="shared" si="1"/>
        <x:v>0</x:v>
      </x:c>
      <x:c r="L395" s="18">
        <x:f t="shared" si="2"/>
        <x:v>8.154731935</x:v>
      </x:c>
      <x:c r="M395" s="121"/>
      <x:c r="N395" s="121"/>
      <x:c r="O395" s="121"/>
      <x:c r="P395" s="9"/>
      <x:c r="Q395" s="9"/>
      <x:c r="R395" s="9"/>
      <x:c r="S395" s="9"/>
      <x:c r="T395" s="9"/>
      <x:c r="U395" s="9"/>
      <x:c r="V395" s="9"/>
      <x:c r="W395" s="9"/>
      <x:c r="X395" s="9"/>
      <x:c r="Y395" s="9"/>
      <x:c r="Z395" s="9"/>
    </x:row>
    <x:row r="396" ht="14.25" customHeight="1">
      <x:c r="A396" s="1" t="s">
        <x:v>864</x:v>
      </x:c>
      <x:c r="B396" s="1" t="s">
        <x:v>529</x:v>
      </x:c>
      <x:c r="C396" s="1">
        <x:v>13.5</x:v>
      </x:c>
      <x:c r="D396" s="1">
        <x:v>170.2</x:v>
      </x:c>
      <x:c r="E396" s="1">
        <x:v>0.4</x:v>
      </x:c>
      <x:c r="F396" s="1">
        <x:v>0.0</x:v>
      </x:c>
      <x:c r="G396" s="1">
        <x:v>0.0</x:v>
      </x:c>
      <x:c r="H396" s="1">
        <x:v>0.0</x:v>
      </x:c>
      <x:c r="I396" s="1">
        <x:v>0.1</x:v>
      </x:c>
      <x:c r="J396" s="1">
        <x:v>32.8</x:v>
      </x:c>
      <x:c r="K396" s="18">
        <x:f t="shared" si="1"/>
        <x:v>0</x:v>
      </x:c>
      <x:c r="L396" s="18">
        <x:f t="shared" si="2"/>
        <x:v>8.371142191</x:v>
      </x:c>
      <x:c r="M396" s="119" t="n">
        <x:f>C398*Scoring!$B$34+D398/Scoring!$C$34+E398*Scoring!$D$34+WR!F398*Scoring!$E$34+WR!G398/Scoring!$F$34+WR!H398*Scoring!$G$34+WR!I398*Scoring!$H$34+K398*Scoring!$I$34+WR!L398*Scoring!$J$34+U396</x:f>
        <x:v>75.8904</x:v>
      </x:c>
      <x:c r="N396" s="119" t="n">
        <x:f>C396*Scoring!$B$34+D396/Scoring!$C$34+E396*Scoring!$D$34+WR!F396*Scoring!$E$34+WR!G396/Scoring!$F$34+WR!H396*Scoring!$G$34+WR!I396*Scoring!$H$34+K396*Scoring!$I$34+WR!L396*Scoring!$J$34+U396</x:f>
        <x:v>75.8904</x:v>
      </x:c>
      <x:c r="O396" s="119" t="n">
        <x:f>C397*Scoring!$B$34+D397/Scoring!$C$34+E397*Scoring!$D$34+WR!F397*Scoring!$E$34+WR!G397/Scoring!$F$34+WR!H397*Scoring!$G$34+WR!I397*Scoring!$H$34+K397*Scoring!$I$34+WR!L397*Scoring!$J$34+U396</x:f>
        <x:v>75.8904</x:v>
      </x:c>
      <x:c r="P396" s="9" t="n">
        <x:f>IF(COUNTIF(Rookies!$A:$A,A396)&gt;0,1,0)</x:f>
        <x:v>1</x:v>
      </x:c>
      <x:c r="Q396" s="9"/>
      <x:c r="R396" s="9"/>
      <x:c r="S396" s="9" t="n">
        <x:f>V396/17</x:f>
        <x:v>1.5335294117647058</x:v>
      </x:c>
      <x:c r="T396" s="9" t="n">
        <x:f>IF(P396=1,MAX(0,0.28*(12-S396)),0)</x:f>
        <x:v>2.930611764705883</x:v>
      </x:c>
      <x:c r="U396" s="9" t="n">
        <x:f>T396*17</x:f>
        <x:v>49.82040000000001</x:v>
      </x:c>
      <x:c r="V396" s="9" t="n">
        <x:f>C396*Scoring!$B$34+D396/Scoring!$C$34+E396*Scoring!$D$34+WR!F396*Scoring!$E$34+WR!G396/Scoring!$F$34+WR!H396*Scoring!$G$34+WR!I396*Scoring!$H$34+K396*Scoring!$I$34+WR!L396*Scoring!$J$34</x:f>
        <x:v>26.07</x:v>
      </x:c>
      <x:c r="W396" s="9"/>
      <x:c r="X396" s="9"/>
      <x:c r="Y396" s="9"/>
      <x:c r="Z396" s="9"/>
    </x:row>
    <x:row r="397" ht="14.25" customHeight="1">
      <x:c r="B397" s="1" t="s">
        <x:v>488</x:v>
      </x:c>
      <x:c r="C397" s="1">
        <x:v>13.5</x:v>
      </x:c>
      <x:c r="D397" s="1">
        <x:v>170.2</x:v>
      </x:c>
      <x:c r="E397" s="1">
        <x:v>0.4</x:v>
      </x:c>
      <x:c r="F397" s="1">
        <x:v>0.0</x:v>
      </x:c>
      <x:c r="G397" s="1">
        <x:v>0.0</x:v>
      </x:c>
      <x:c r="H397" s="1">
        <x:v>0.0</x:v>
      </x:c>
      <x:c r="I397" s="1">
        <x:v>0.1</x:v>
      </x:c>
      <x:c r="J397" s="1">
        <x:v>32.9</x:v>
      </x:c>
      <x:c r="K397" s="18">
        <x:f t="shared" si="1"/>
        <x:v>0</x:v>
      </x:c>
      <x:c r="L397" s="18">
        <x:f t="shared" si="2"/>
        <x:v>8.371142191</x:v>
      </x:c>
      <x:c r="M397" s="121"/>
      <x:c r="N397" s="121"/>
      <x:c r="O397" s="121"/>
      <x:c r="P397" s="9"/>
      <x:c r="Q397" s="9"/>
      <x:c r="R397" s="9"/>
      <x:c r="S397" s="9"/>
      <x:c r="T397" s="9"/>
      <x:c r="U397" s="9"/>
      <x:c r="V397" s="9"/>
      <x:c r="W397" s="9"/>
      <x:c r="X397" s="9"/>
      <x:c r="Y397" s="9"/>
      <x:c r="Z397" s="9"/>
    </x:row>
    <x:row r="398" ht="14.25" customHeight="1">
      <x:c r="B398" s="1" t="s">
        <x:v>489</x:v>
      </x:c>
      <x:c r="C398" s="1">
        <x:v>13.5</x:v>
      </x:c>
      <x:c r="D398" s="1">
        <x:v>170.2</x:v>
      </x:c>
      <x:c r="E398" s="1">
        <x:v>0.4</x:v>
      </x:c>
      <x:c r="F398" s="1">
        <x:v>0.0</x:v>
      </x:c>
      <x:c r="G398" s="1">
        <x:v>0.0</x:v>
      </x:c>
      <x:c r="H398" s="1">
        <x:v>0.0</x:v>
      </x:c>
      <x:c r="I398" s="1">
        <x:v>0.1</x:v>
      </x:c>
      <x:c r="J398" s="1">
        <x:v>32.9</x:v>
      </x:c>
      <x:c r="K398" s="18">
        <x:f t="shared" si="1"/>
        <x:v>0</x:v>
      </x:c>
      <x:c r="L398" s="18">
        <x:f t="shared" si="2"/>
        <x:v>8.371142191</x:v>
      </x:c>
      <x:c r="M398" s="121"/>
      <x:c r="N398" s="121"/>
      <x:c r="O398" s="121"/>
      <x:c r="P398" s="9"/>
      <x:c r="Q398" s="9"/>
      <x:c r="R398" s="9"/>
      <x:c r="S398" s="9"/>
      <x:c r="T398" s="9"/>
      <x:c r="U398" s="9"/>
      <x:c r="V398" s="9"/>
      <x:c r="W398" s="9"/>
      <x:c r="X398" s="9"/>
      <x:c r="Y398" s="9"/>
      <x:c r="Z398" s="9"/>
    </x:row>
    <x:row r="399" ht="14.25" customHeight="1">
      <x:c r="A399" s="1" t="s">
        <x:v>865</x:v>
      </x:c>
      <x:c r="B399" s="1" t="s">
        <x:v>551</x:v>
      </x:c>
      <x:c r="C399" s="1">
        <x:v>14.3</x:v>
      </x:c>
      <x:c r="D399" s="1">
        <x:v>142.3</x:v>
      </x:c>
      <x:c r="E399" s="1">
        <x:v>0.6</x:v>
      </x:c>
      <x:c r="F399" s="1">
        <x:v>0.0</x:v>
      </x:c>
      <x:c r="G399" s="1">
        <x:v>0.0</x:v>
      </x:c>
      <x:c r="H399" s="1">
        <x:v>0.0</x:v>
      </x:c>
      <x:c r="I399" s="1">
        <x:v>0.2</x:v>
      </x:c>
      <x:c r="J399" s="1">
        <x:v>32.0</x:v>
      </x:c>
      <x:c r="K399" s="18">
        <x:f t="shared" si="1"/>
        <x:v>0</x:v>
      </x:c>
      <x:c r="L399" s="18">
        <x:f t="shared" si="2"/>
        <x:v>6.998904429</x:v>
      </x:c>
      <x:c r="M399" s="119" t="n">
        <x:f>C401*Scoring!$B$34+D401/Scoring!$C$34+E401*Scoring!$D$34+WR!F401*Scoring!$E$34+WR!G401/Scoring!$F$34+WR!H401*Scoring!$G$34+WR!I401*Scoring!$H$34+K401*Scoring!$I$34+WR!L401*Scoring!$J$34+U399</x:f>
        <x:v>24.780000000000005</x:v>
      </x:c>
      <x:c r="N399" s="119" t="n">
        <x:f>C399*Scoring!$B$34+D399/Scoring!$C$34+E399*Scoring!$D$34+WR!F399*Scoring!$E$34+WR!G399/Scoring!$F$34+WR!H399*Scoring!$G$34+WR!I399*Scoring!$H$34+K399*Scoring!$I$34+WR!L399*Scoring!$J$34+U399</x:f>
        <x:v>24.780000000000005</x:v>
      </x:c>
      <x:c r="O399" s="119" t="n">
        <x:f>C400*Scoring!$B$34+D400/Scoring!$C$34+E400*Scoring!$D$34+WR!F400*Scoring!$E$34+WR!G400/Scoring!$F$34+WR!H400*Scoring!$G$34+WR!I400*Scoring!$H$34+K400*Scoring!$I$34+WR!L400*Scoring!$J$34+U399</x:f>
        <x:v>24.780000000000005</x:v>
      </x:c>
      <x:c r="P399" s="9" t="n">
        <x:f>IF(COUNTIF(Rookies!$A:$A,A399)&gt;0,1,0)</x:f>
        <x:v>0</x:v>
      </x:c>
      <x:c r="Q399" s="9"/>
      <x:c r="R399" s="9"/>
      <x:c r="S399" s="9" t="n">
        <x:f>V399/17</x:f>
        <x:v>1.4576470588235297</x:v>
      </x:c>
      <x:c r="T399" s="9" t="n">
        <x:f>IF(P399=1,MAX(0,0.28*(12-S399)),0)</x:f>
        <x:v>0</x:v>
      </x:c>
      <x:c r="U399" s="9" t="n">
        <x:f>T399*17</x:f>
        <x:v>0</x:v>
      </x:c>
      <x:c r="V399" s="9" t="n">
        <x:f>C399*Scoring!$B$34+D399/Scoring!$C$34+E399*Scoring!$D$34+WR!F399*Scoring!$E$34+WR!G399/Scoring!$F$34+WR!H399*Scoring!$G$34+WR!I399*Scoring!$H$34+K399*Scoring!$I$34+WR!L399*Scoring!$J$34</x:f>
        <x:v>24.780000000000005</x:v>
      </x:c>
      <x:c r="W399" s="9"/>
      <x:c r="X399" s="9"/>
      <x:c r="Y399" s="9"/>
      <x:c r="Z399" s="9"/>
    </x:row>
    <x:row r="400" ht="14.25" customHeight="1">
      <x:c r="B400" s="1" t="s">
        <x:v>488</x:v>
      </x:c>
      <x:c r="C400" s="1">
        <x:v>14.3</x:v>
      </x:c>
      <x:c r="D400" s="1">
        <x:v>142.3</x:v>
      </x:c>
      <x:c r="E400" s="1">
        <x:v>0.6</x:v>
      </x:c>
      <x:c r="F400" s="1">
        <x:v>0.0</x:v>
      </x:c>
      <x:c r="G400" s="1">
        <x:v>0.0</x:v>
      </x:c>
      <x:c r="H400" s="1">
        <x:v>0.0</x:v>
      </x:c>
      <x:c r="I400" s="1">
        <x:v>0.2</x:v>
      </x:c>
      <x:c r="J400" s="1">
        <x:v>32.3</x:v>
      </x:c>
      <x:c r="K400" s="18">
        <x:f t="shared" si="1"/>
        <x:v>0</x:v>
      </x:c>
      <x:c r="L400" s="18">
        <x:f t="shared" si="2"/>
        <x:v>6.998904429</x:v>
      </x:c>
      <x:c r="M400" s="121"/>
      <x:c r="N400" s="121"/>
      <x:c r="O400" s="121"/>
      <x:c r="P400" s="9"/>
      <x:c r="Q400" s="9"/>
      <x:c r="R400" s="9"/>
      <x:c r="S400" s="9"/>
      <x:c r="T400" s="9"/>
      <x:c r="U400" s="9"/>
      <x:c r="V400" s="9"/>
      <x:c r="W400" s="9"/>
      <x:c r="X400" s="9"/>
      <x:c r="Y400" s="9"/>
      <x:c r="Z400" s="9"/>
    </x:row>
    <x:row r="401" ht="14.25" customHeight="1">
      <x:c r="B401" s="1" t="s">
        <x:v>489</x:v>
      </x:c>
      <x:c r="C401" s="1">
        <x:v>14.3</x:v>
      </x:c>
      <x:c r="D401" s="1">
        <x:v>142.3</x:v>
      </x:c>
      <x:c r="E401" s="1">
        <x:v>0.6</x:v>
      </x:c>
      <x:c r="F401" s="1">
        <x:v>0.0</x:v>
      </x:c>
      <x:c r="G401" s="1">
        <x:v>0.0</x:v>
      </x:c>
      <x:c r="H401" s="1">
        <x:v>0.0</x:v>
      </x:c>
      <x:c r="I401" s="1">
        <x:v>0.2</x:v>
      </x:c>
      <x:c r="J401" s="1">
        <x:v>32.3</x:v>
      </x:c>
      <x:c r="K401" s="18">
        <x:f t="shared" si="1"/>
        <x:v>0</x:v>
      </x:c>
      <x:c r="L401" s="18">
        <x:f t="shared" si="2"/>
        <x:v>6.998904429</x:v>
      </x:c>
      <x:c r="M401" s="121"/>
      <x:c r="N401" s="121"/>
      <x:c r="O401" s="121"/>
      <x:c r="P401" s="9"/>
      <x:c r="Q401" s="9"/>
      <x:c r="R401" s="9"/>
      <x:c r="S401" s="9"/>
      <x:c r="T401" s="9"/>
      <x:c r="U401" s="9"/>
      <x:c r="V401" s="9"/>
      <x:c r="W401" s="9"/>
      <x:c r="X401" s="9"/>
      <x:c r="Y401" s="9"/>
      <x:c r="Z401" s="9"/>
    </x:row>
    <x:row r="402" ht="14.25" customHeight="1">
      <x:c r="A402" s="1" t="s">
        <x:v>866</x:v>
      </x:c>
      <x:c r="B402" s="1" t="s">
        <x:v>517</x:v>
      </x:c>
      <x:c r="C402" s="1">
        <x:v>11.3</x:v>
      </x:c>
      <x:c r="D402" s="1">
        <x:v>128.2</x:v>
      </x:c>
      <x:c r="E402" s="1">
        <x:v>0.9</x:v>
      </x:c>
      <x:c r="F402" s="1">
        <x:v>2.3</x:v>
      </x:c>
      <x:c r="G402" s="1">
        <x:v>12.1</x:v>
      </x:c>
      <x:c r="H402" s="1">
        <x:v>0.1</x:v>
      </x:c>
      <x:c r="I402" s="1">
        <x:v>0.1</x:v>
      </x:c>
      <x:c r="J402" s="1">
        <x:v>31.2</x:v>
      </x:c>
      <x:c r="K402" s="18">
        <x:f t="shared" si="1"/>
        <x:v>0.7498838897</x:v>
      </x:c>
      <x:c r="L402" s="18">
        <x:f t="shared" si="2"/>
        <x:v>6.305407925</x:v>
      </x:c>
      <x:c r="M402" s="119" t="n">
        <x:f>C404*Scoring!$B$34+D404/Scoring!$C$34+E404*Scoring!$D$34+WR!F404*Scoring!$E$34+WR!G404/Scoring!$F$34+WR!H404*Scoring!$G$34+WR!I404*Scoring!$H$34+K404*Scoring!$I$34+WR!L404*Scoring!$J$34+U402</x:f>
        <x:v>25.58</x:v>
      </x:c>
      <x:c r="N402" s="119" t="n">
        <x:f>C402*Scoring!$B$34+D402/Scoring!$C$34+E402*Scoring!$D$34+WR!F402*Scoring!$E$34+WR!G402/Scoring!$F$34+WR!H402*Scoring!$G$34+WR!I402*Scoring!$H$34+K402*Scoring!$I$34+WR!L402*Scoring!$J$34+U402</x:f>
        <x:v>25.58</x:v>
      </x:c>
      <x:c r="O402" s="119" t="n">
        <x:f>C403*Scoring!$B$34+D403/Scoring!$C$34+E403*Scoring!$D$34+WR!F403*Scoring!$E$34+WR!G403/Scoring!$F$34+WR!H403*Scoring!$G$34+WR!I403*Scoring!$H$34+K403*Scoring!$I$34+WR!L403*Scoring!$J$34+U402</x:f>
        <x:v>25.58</x:v>
      </x:c>
      <x:c r="P402" s="9" t="n">
        <x:f>IF(COUNTIF(Rookies!$A:$A,A402)&gt;0,1,0)</x:f>
        <x:v>0</x:v>
      </x:c>
      <x:c r="Q402" s="9"/>
      <x:c r="R402" s="9"/>
      <x:c r="S402" s="9" t="n">
        <x:f>V402/17</x:f>
        <x:v>1.5047058823529411</x:v>
      </x:c>
      <x:c r="T402" s="9" t="n">
        <x:f>IF(P402=1,MAX(0,0.28*(12-S402)),0)</x:f>
        <x:v>0</x:v>
      </x:c>
      <x:c r="U402" s="9" t="n">
        <x:f>T402*17</x:f>
        <x:v>0</x:v>
      </x:c>
      <x:c r="V402" s="9" t="n">
        <x:f>C402*Scoring!$B$34+D402/Scoring!$C$34+E402*Scoring!$D$34+WR!F402*Scoring!$E$34+WR!G402/Scoring!$F$34+WR!H402*Scoring!$G$34+WR!I402*Scoring!$H$34+K402*Scoring!$I$34+WR!L402*Scoring!$J$34</x:f>
        <x:v>25.58</x:v>
      </x:c>
      <x:c r="W402" s="9"/>
      <x:c r="X402" s="9"/>
      <x:c r="Y402" s="9"/>
      <x:c r="Z402" s="9"/>
    </x:row>
    <x:row r="403" ht="14.25" customHeight="1">
      <x:c r="B403" s="1" t="s">
        <x:v>488</x:v>
      </x:c>
      <x:c r="C403" s="1">
        <x:v>11.3</x:v>
      </x:c>
      <x:c r="D403" s="1">
        <x:v>128.2</x:v>
      </x:c>
      <x:c r="E403" s="1">
        <x:v>0.9</x:v>
      </x:c>
      <x:c r="F403" s="1">
        <x:v>2.3</x:v>
      </x:c>
      <x:c r="G403" s="1">
        <x:v>12.1</x:v>
      </x:c>
      <x:c r="H403" s="1">
        <x:v>0.1</x:v>
      </x:c>
      <x:c r="I403" s="1">
        <x:v>0.1</x:v>
      </x:c>
      <x:c r="J403" s="1">
        <x:v>31.7</x:v>
      </x:c>
      <x:c r="K403" s="18">
        <x:f t="shared" si="1"/>
        <x:v>0.7498838897</x:v>
      </x:c>
      <x:c r="L403" s="18">
        <x:f t="shared" si="2"/>
        <x:v>6.305407925</x:v>
      </x:c>
      <x:c r="M403" s="121"/>
      <x:c r="N403" s="121"/>
      <x:c r="O403" s="121"/>
      <x:c r="P403" s="9"/>
      <x:c r="Q403" s="9"/>
      <x:c r="R403" s="9"/>
      <x:c r="S403" s="9"/>
      <x:c r="T403" s="9"/>
      <x:c r="U403" s="9"/>
      <x:c r="V403" s="9"/>
      <x:c r="W403" s="9"/>
      <x:c r="X403" s="9"/>
      <x:c r="Y403" s="9"/>
      <x:c r="Z403" s="9"/>
    </x:row>
    <x:row r="404" ht="14.25" customHeight="1">
      <x:c r="B404" s="1" t="s">
        <x:v>489</x:v>
      </x:c>
      <x:c r="C404" s="1">
        <x:v>11.3</x:v>
      </x:c>
      <x:c r="D404" s="1">
        <x:v>128.2</x:v>
      </x:c>
      <x:c r="E404" s="1">
        <x:v>0.9</x:v>
      </x:c>
      <x:c r="F404" s="1">
        <x:v>2.3</x:v>
      </x:c>
      <x:c r="G404" s="1">
        <x:v>12.1</x:v>
      </x:c>
      <x:c r="H404" s="1">
        <x:v>0.1</x:v>
      </x:c>
      <x:c r="I404" s="1">
        <x:v>0.1</x:v>
      </x:c>
      <x:c r="J404" s="1">
        <x:v>31.7</x:v>
      </x:c>
      <x:c r="K404" s="18">
        <x:f t="shared" si="1"/>
        <x:v>0.7498838897</x:v>
      </x:c>
      <x:c r="L404" s="18">
        <x:f t="shared" si="2"/>
        <x:v>6.305407925</x:v>
      </x:c>
      <x:c r="M404" s="121"/>
      <x:c r="N404" s="121"/>
      <x:c r="O404" s="121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</x:row>
    <x:row r="405" ht="14.25" customHeight="1">
      <x:c r="A405" s="1" t="s">
        <x:v>867</x:v>
      </x:c>
      <x:c r="B405" s="1" t="s">
        <x:v>549</x:v>
      </x:c>
      <x:c r="C405" s="1">
        <x:v>9.9</x:v>
      </x:c>
      <x:c r="D405" s="1">
        <x:v>130.3</x:v>
      </x:c>
      <x:c r="E405" s="1">
        <x:v>0.8</x:v>
      </x:c>
      <x:c r="F405" s="1">
        <x:v>4.3</x:v>
      </x:c>
      <x:c r="G405" s="1">
        <x:v>23.6</x:v>
      </x:c>
      <x:c r="H405" s="1">
        <x:v>0.1</x:v>
      </x:c>
      <x:c r="I405" s="1">
        <x:v>0.1</x:v>
      </x:c>
      <x:c r="J405" s="1">
        <x:v>30.4</x:v>
      </x:c>
      <x:c r="K405" s="18">
        <x:f t="shared" si="1"/>
        <x:v>1.462583454</x:v>
      </x:c>
      <x:c r="L405" s="18">
        <x:f t="shared" si="2"/>
        <x:v>6.408694639</x:v>
      </x:c>
      <x:c r="M405" s="119" t="n">
        <x:f>C407*Scoring!$B$34+D407/Scoring!$C$34+E407*Scoring!$D$34+WR!F407*Scoring!$E$34+WR!G407/Scoring!$F$34+WR!H407*Scoring!$G$34+WR!I407*Scoring!$H$34+K407*Scoring!$I$34+WR!L407*Scoring!$J$34+U405</x:f>
        <x:v>25.64</x:v>
      </x:c>
      <x:c r="N405" s="119" t="n">
        <x:f>C405*Scoring!$B$34+D405/Scoring!$C$34+E405*Scoring!$D$34+WR!F405*Scoring!$E$34+WR!G405/Scoring!$F$34+WR!H405*Scoring!$G$34+WR!I405*Scoring!$H$34+K405*Scoring!$I$34+WR!L405*Scoring!$J$34+U405</x:f>
        <x:v>25.64</x:v>
      </x:c>
      <x:c r="O405" s="119" t="n">
        <x:f>C406*Scoring!$B$34+D406/Scoring!$C$34+E406*Scoring!$D$34+WR!F406*Scoring!$E$34+WR!G406/Scoring!$F$34+WR!H406*Scoring!$G$34+WR!I406*Scoring!$H$34+K406*Scoring!$I$34+WR!L406*Scoring!$J$34+U405</x:f>
        <x:v>25.64</x:v>
      </x:c>
      <x:c r="P405" s="9" t="n">
        <x:f>IF(COUNTIF(Rookies!$A:$A,A405)&gt;0,1,0)</x:f>
        <x:v>0</x:v>
      </x:c>
      <x:c r="Q405" s="9"/>
      <x:c r="R405" s="9"/>
      <x:c r="S405" s="9" t="n">
        <x:f>V405/17</x:f>
        <x:v>1.5082352941176471</x:v>
      </x:c>
      <x:c r="T405" s="9" t="n">
        <x:f>IF(P405=1,MAX(0,0.28*(12-S405)),0)</x:f>
        <x:v>0</x:v>
      </x:c>
      <x:c r="U405" s="9" t="n">
        <x:f>T405*17</x:f>
        <x:v>0</x:v>
      </x:c>
      <x:c r="V405" s="9" t="n">
        <x:f>C405*Scoring!$B$34+D405/Scoring!$C$34+E405*Scoring!$D$34+WR!F405*Scoring!$E$34+WR!G405/Scoring!$F$34+WR!H405*Scoring!$G$34+WR!I405*Scoring!$H$34+K405*Scoring!$I$34+WR!L405*Scoring!$J$34</x:f>
        <x:v>25.64</x:v>
      </x:c>
      <x:c r="W405" s="9"/>
      <x:c r="X405" s="9"/>
      <x:c r="Y405" s="9"/>
      <x:c r="Z405" s="9"/>
    </x:row>
    <x:row r="406" ht="14.25" customHeight="1">
      <x:c r="B406" s="1" t="s">
        <x:v>488</x:v>
      </x:c>
      <x:c r="C406" s="1">
        <x:v>9.9</x:v>
      </x:c>
      <x:c r="D406" s="1">
        <x:v>130.3</x:v>
      </x:c>
      <x:c r="E406" s="1">
        <x:v>0.8</x:v>
      </x:c>
      <x:c r="F406" s="1">
        <x:v>4.3</x:v>
      </x:c>
      <x:c r="G406" s="1">
        <x:v>23.6</x:v>
      </x:c>
      <x:c r="H406" s="1">
        <x:v>0.1</x:v>
      </x:c>
      <x:c r="I406" s="1">
        <x:v>0.1</x:v>
      </x:c>
      <x:c r="J406" s="1">
        <x:v>30.6</x:v>
      </x:c>
      <x:c r="K406" s="18">
        <x:f t="shared" si="1"/>
        <x:v>1.462583454</x:v>
      </x:c>
      <x:c r="L406" s="18">
        <x:f t="shared" si="2"/>
        <x:v>6.408694639</x:v>
      </x:c>
      <x:c r="M406" s="121"/>
      <x:c r="N406" s="121"/>
      <x:c r="O406" s="121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</x:row>
    <x:row r="407" ht="14.25" customHeight="1">
      <x:c r="B407" s="1" t="s">
        <x:v>489</x:v>
      </x:c>
      <x:c r="C407" s="1">
        <x:v>9.9</x:v>
      </x:c>
      <x:c r="D407" s="1">
        <x:v>130.3</x:v>
      </x:c>
      <x:c r="E407" s="1">
        <x:v>0.8</x:v>
      </x:c>
      <x:c r="F407" s="1">
        <x:v>4.3</x:v>
      </x:c>
      <x:c r="G407" s="1">
        <x:v>23.6</x:v>
      </x:c>
      <x:c r="H407" s="1">
        <x:v>0.1</x:v>
      </x:c>
      <x:c r="I407" s="1">
        <x:v>0.1</x:v>
      </x:c>
      <x:c r="J407" s="1">
        <x:v>30.6</x:v>
      </x:c>
      <x:c r="K407" s="18">
        <x:f t="shared" si="1"/>
        <x:v>1.462583454</x:v>
      </x:c>
      <x:c r="L407" s="18">
        <x:f t="shared" si="2"/>
        <x:v>6.408694639</x:v>
      </x:c>
      <x:c r="M407" s="121"/>
      <x:c r="N407" s="121"/>
      <x:c r="O407" s="121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</x:row>
    <x:row r="408" ht="14.25" customHeight="1">
      <x:c r="A408" s="1" t="s">
        <x:v>868</x:v>
      </x:c>
      <x:c r="B408" s="1" t="s">
        <x:v>517</x:v>
      </x:c>
      <x:c r="C408" s="1">
        <x:v>9.9</x:v>
      </x:c>
      <x:c r="D408" s="1">
        <x:v>126.7</x:v>
      </x:c>
      <x:c r="E408" s="1">
        <x:v>1.1</x:v>
      </x:c>
      <x:c r="F408" s="1">
        <x:v>0.0</x:v>
      </x:c>
      <x:c r="G408" s="1">
        <x:v>0.0</x:v>
      </x:c>
      <x:c r="H408" s="1">
        <x:v>0.0</x:v>
      </x:c>
      <x:c r="I408" s="1">
        <x:v>0.1</x:v>
      </x:c>
      <x:c r="J408" s="1">
        <x:v>29.2</x:v>
      </x:c>
      <x:c r="K408" s="18">
        <x:f t="shared" si="1"/>
        <x:v>0</x:v>
      </x:c>
      <x:c r="L408" s="18">
        <x:f t="shared" si="2"/>
        <x:v>6.231631702</x:v>
      </x:c>
      <x:c r="M408" s="119" t="n">
        <x:f>C410*Scoring!$B$34+D410/Scoring!$C$34+E410*Scoring!$D$34+WR!F410*Scoring!$E$34+WR!G410/Scoring!$F$34+WR!H410*Scoring!$G$34+WR!I410*Scoring!$H$34+K410*Scoring!$I$34+WR!L410*Scoring!$J$34+U408</x:f>
        <x:v>24.12</x:v>
      </x:c>
      <x:c r="N408" s="119" t="n">
        <x:f>C408*Scoring!$B$34+D408/Scoring!$C$34+E408*Scoring!$D$34+WR!F408*Scoring!$E$34+WR!G408/Scoring!$F$34+WR!H408*Scoring!$G$34+WR!I408*Scoring!$H$34+K408*Scoring!$I$34+WR!L408*Scoring!$J$34+U408</x:f>
        <x:v>24.12</x:v>
      </x:c>
      <x:c r="O408" s="119" t="n">
        <x:f>C409*Scoring!$B$34+D409/Scoring!$C$34+E409*Scoring!$D$34+WR!F409*Scoring!$E$34+WR!G409/Scoring!$F$34+WR!H409*Scoring!$G$34+WR!I409*Scoring!$H$34+K409*Scoring!$I$34+WR!L409*Scoring!$J$34+U408</x:f>
        <x:v>24.12</x:v>
      </x:c>
      <x:c r="P408" s="9" t="n">
        <x:f>IF(COUNTIF(Rookies!$A:$A,A408)&gt;0,1,0)</x:f>
        <x:v>0</x:v>
      </x:c>
      <x:c r="Q408" s="9"/>
      <x:c r="R408" s="9"/>
      <x:c r="S408" s="9" t="n">
        <x:f>V408/17</x:f>
        <x:v>1.4188235294117648</x:v>
      </x:c>
      <x:c r="T408" s="9" t="n">
        <x:f>IF(P408=1,MAX(0,0.28*(12-S408)),0)</x:f>
        <x:v>0</x:v>
      </x:c>
      <x:c r="U408" s="9" t="n">
        <x:f>T408*17</x:f>
        <x:v>0</x:v>
      </x:c>
      <x:c r="V408" s="9" t="n">
        <x:f>C408*Scoring!$B$34+D408/Scoring!$C$34+E408*Scoring!$D$34+WR!F408*Scoring!$E$34+WR!G408/Scoring!$F$34+WR!H408*Scoring!$G$34+WR!I408*Scoring!$H$34+K408*Scoring!$I$34+WR!L408*Scoring!$J$34</x:f>
        <x:v>24.12</x:v>
      </x:c>
      <x:c r="W408" s="9"/>
      <x:c r="X408" s="9"/>
      <x:c r="Y408" s="9"/>
      <x:c r="Z408" s="9"/>
    </x:row>
    <x:row r="409" ht="14.25" customHeight="1">
      <x:c r="B409" s="1" t="s">
        <x:v>488</x:v>
      </x:c>
      <x:c r="C409" s="1">
        <x:v>9.9</x:v>
      </x:c>
      <x:c r="D409" s="1">
        <x:v>126.7</x:v>
      </x:c>
      <x:c r="E409" s="1">
        <x:v>1.1</x:v>
      </x:c>
      <x:c r="F409" s="1">
        <x:v>0.0</x:v>
      </x:c>
      <x:c r="G409" s="1">
        <x:v>0.0</x:v>
      </x:c>
      <x:c r="H409" s="1">
        <x:v>0.0</x:v>
      </x:c>
      <x:c r="I409" s="1">
        <x:v>0.1</x:v>
      </x:c>
      <x:c r="J409" s="1">
        <x:v>29.2</x:v>
      </x:c>
      <x:c r="K409" s="18">
        <x:f t="shared" si="1"/>
        <x:v>0</x:v>
      </x:c>
      <x:c r="L409" s="18">
        <x:f t="shared" si="2"/>
        <x:v>6.231631702</x:v>
      </x:c>
      <x:c r="M409" s="121"/>
      <x:c r="N409" s="121"/>
      <x:c r="O409" s="121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</x:row>
    <x:row r="410" ht="14.25" customHeight="1">
      <x:c r="B410" s="1" t="s">
        <x:v>489</x:v>
      </x:c>
      <x:c r="C410" s="1">
        <x:v>9.9</x:v>
      </x:c>
      <x:c r="D410" s="1">
        <x:v>126.7</x:v>
      </x:c>
      <x:c r="E410" s="1">
        <x:v>1.1</x:v>
      </x:c>
      <x:c r="F410" s="1">
        <x:v>0.0</x:v>
      </x:c>
      <x:c r="G410" s="1">
        <x:v>0.0</x:v>
      </x:c>
      <x:c r="H410" s="1">
        <x:v>0.0</x:v>
      </x:c>
      <x:c r="I410" s="1">
        <x:v>0.1</x:v>
      </x:c>
      <x:c r="J410" s="1">
        <x:v>29.2</x:v>
      </x:c>
      <x:c r="K410" s="18">
        <x:f t="shared" si="1"/>
        <x:v>0</x:v>
      </x:c>
      <x:c r="L410" s="18">
        <x:f t="shared" si="2"/>
        <x:v>6.231631702</x:v>
      </x:c>
      <x:c r="M410" s="121"/>
      <x:c r="N410" s="121"/>
      <x:c r="O410" s="121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</x:row>
    <x:row r="411" ht="14.25" customHeight="1">
      <x:c r="A411" s="1" t="s">
        <x:v>869</x:v>
      </x:c>
      <x:c r="B411" s="1" t="s">
        <x:v>545</x:v>
      </x:c>
      <x:c r="C411" s="1">
        <x:v>11.8</x:v>
      </x:c>
      <x:c r="D411" s="1">
        <x:v>135.1</x:v>
      </x:c>
      <x:c r="E411" s="1">
        <x:v>0.6</x:v>
      </x:c>
      <x:c r="F411" s="1">
        <x:v>0.0</x:v>
      </x:c>
      <x:c r="G411" s="1">
        <x:v>0.0</x:v>
      </x:c>
      <x:c r="H411" s="1">
        <x:v>0.0</x:v>
      </x:c>
      <x:c r="I411" s="1">
        <x:v>0.1</x:v>
      </x:c>
      <x:c r="J411" s="1">
        <x:v>28.8</x:v>
      </x:c>
      <x:c r="K411" s="18">
        <x:f t="shared" si="1"/>
        <x:v>0</x:v>
      </x:c>
      <x:c r="L411" s="18">
        <x:f t="shared" si="2"/>
        <x:v>6.644778555</x:v>
      </x:c>
      <x:c r="M411" s="119" t="n">
        <x:f>C413*Scoring!$B$34+D413/Scoring!$C$34+E413*Scoring!$D$34+WR!F413*Scoring!$E$34+WR!G413/Scoring!$F$34+WR!H413*Scoring!$G$34+WR!I413*Scoring!$H$34+K413*Scoring!$I$34+WR!L413*Scoring!$J$34+U411</x:f>
        <x:v>22.909999999999997</x:v>
      </x:c>
      <x:c r="N411" s="119" t="n">
        <x:f>C411*Scoring!$B$34+D411/Scoring!$C$34+E411*Scoring!$D$34+WR!F411*Scoring!$E$34+WR!G411/Scoring!$F$34+WR!H411*Scoring!$G$34+WR!I411*Scoring!$H$34+K411*Scoring!$I$34+WR!L411*Scoring!$J$34+U411</x:f>
        <x:v>22.909999999999997</x:v>
      </x:c>
      <x:c r="O411" s="119" t="n">
        <x:f>C412*Scoring!$B$34+D412/Scoring!$C$34+E412*Scoring!$D$34+WR!F412*Scoring!$E$34+WR!G412/Scoring!$F$34+WR!H412*Scoring!$G$34+WR!I412*Scoring!$H$34+K412*Scoring!$I$34+WR!L412*Scoring!$J$34+U411</x:f>
        <x:v>22.909999999999997</x:v>
      </x:c>
      <x:c r="P411" s="9" t="n">
        <x:f>IF(COUNTIF(Rookies!$A:$A,A411)&gt;0,1,0)</x:f>
        <x:v>0</x:v>
      </x:c>
      <x:c r="Q411" s="9"/>
      <x:c r="R411" s="9"/>
      <x:c r="S411" s="9" t="n">
        <x:f>V411/17</x:f>
        <x:v>1.3476470588235292</x:v>
      </x:c>
      <x:c r="T411" s="9" t="n">
        <x:f>IF(P411=1,MAX(0,0.28*(12-S411)),0)</x:f>
        <x:v>0</x:v>
      </x:c>
      <x:c r="U411" s="9" t="n">
        <x:f>T411*17</x:f>
        <x:v>0</x:v>
      </x:c>
      <x:c r="V411" s="9" t="n">
        <x:f>C411*Scoring!$B$34+D411/Scoring!$C$34+E411*Scoring!$D$34+WR!F411*Scoring!$E$34+WR!G411/Scoring!$F$34+WR!H411*Scoring!$G$34+WR!I411*Scoring!$H$34+K411*Scoring!$I$34+WR!L411*Scoring!$J$34</x:f>
        <x:v>22.909999999999997</x:v>
      </x:c>
      <x:c r="W411" s="9"/>
      <x:c r="X411" s="9"/>
      <x:c r="Y411" s="9"/>
      <x:c r="Z411" s="9"/>
    </x:row>
    <x:row r="412" ht="14.25" customHeight="1">
      <x:c r="B412" s="1" t="s">
        <x:v>488</x:v>
      </x:c>
      <x:c r="C412" s="1">
        <x:v>11.8</x:v>
      </x:c>
      <x:c r="D412" s="1">
        <x:v>135.1</x:v>
      </x:c>
      <x:c r="E412" s="1">
        <x:v>0.6</x:v>
      </x:c>
      <x:c r="F412" s="1">
        <x:v>0.0</x:v>
      </x:c>
      <x:c r="G412" s="1">
        <x:v>0.0</x:v>
      </x:c>
      <x:c r="H412" s="1">
        <x:v>0.0</x:v>
      </x:c>
      <x:c r="I412" s="1">
        <x:v>0.1</x:v>
      </x:c>
      <x:c r="J412" s="1">
        <x:v>28.9</x:v>
      </x:c>
      <x:c r="K412" s="18">
        <x:f t="shared" si="1"/>
        <x:v>0</x:v>
      </x:c>
      <x:c r="L412" s="18">
        <x:f t="shared" si="2"/>
        <x:v>6.644778555</x:v>
      </x:c>
      <x:c r="M412" s="121"/>
      <x:c r="N412" s="121"/>
      <x:c r="O412" s="121"/>
      <x:c r="P412" s="9"/>
      <x:c r="Q412" s="9"/>
      <x:c r="R412" s="9"/>
      <x:c r="S412" s="9"/>
      <x:c r="T412" s="9"/>
      <x:c r="U412" s="9"/>
      <x:c r="V412" s="9"/>
      <x:c r="W412" s="9"/>
      <x:c r="X412" s="9"/>
      <x:c r="Y412" s="9"/>
      <x:c r="Z412" s="9"/>
    </x:row>
    <x:row r="413" ht="14.25" customHeight="1">
      <x:c r="B413" s="1" t="s">
        <x:v>489</x:v>
      </x:c>
      <x:c r="C413" s="1">
        <x:v>11.8</x:v>
      </x:c>
      <x:c r="D413" s="1">
        <x:v>135.1</x:v>
      </x:c>
      <x:c r="E413" s="1">
        <x:v>0.6</x:v>
      </x:c>
      <x:c r="F413" s="1">
        <x:v>0.0</x:v>
      </x:c>
      <x:c r="G413" s="1">
        <x:v>0.0</x:v>
      </x:c>
      <x:c r="H413" s="1">
        <x:v>0.0</x:v>
      </x:c>
      <x:c r="I413" s="1">
        <x:v>0.1</x:v>
      </x:c>
      <x:c r="J413" s="1">
        <x:v>28.9</x:v>
      </x:c>
      <x:c r="K413" s="18">
        <x:f t="shared" si="1"/>
        <x:v>0</x:v>
      </x:c>
      <x:c r="L413" s="18">
        <x:f t="shared" si="2"/>
        <x:v>6.644778555</x:v>
      </x:c>
      <x:c r="M413" s="121"/>
      <x:c r="N413" s="121"/>
      <x:c r="O413" s="121"/>
      <x:c r="P413" s="9"/>
      <x:c r="Q413" s="9"/>
      <x:c r="R413" s="9"/>
      <x:c r="S413" s="9"/>
      <x:c r="T413" s="9"/>
      <x:c r="U413" s="9"/>
      <x:c r="V413" s="9"/>
      <x:c r="W413" s="9"/>
      <x:c r="X413" s="9"/>
      <x:c r="Y413" s="9"/>
      <x:c r="Z413" s="9"/>
    </x:row>
    <x:row r="414" ht="14.25" customHeight="1">
      <x:c r="A414" s="1" t="s">
        <x:v>870</x:v>
      </x:c>
      <x:c r="B414" s="1" t="s">
        <x:v>487</x:v>
      </x:c>
      <x:c r="C414" s="1">
        <x:v>10.1</x:v>
      </x:c>
      <x:c r="D414" s="1">
        <x:v>136.5</x:v>
      </x:c>
      <x:c r="E414" s="1">
        <x:v>0.8</x:v>
      </x:c>
      <x:c r="F414" s="1">
        <x:v>0.0</x:v>
      </x:c>
      <x:c r="G414" s="1">
        <x:v>0.0</x:v>
      </x:c>
      <x:c r="H414" s="1">
        <x:v>0.0</x:v>
      </x:c>
      <x:c r="I414" s="1">
        <x:v>0.1</x:v>
      </x:c>
      <x:c r="J414" s="1">
        <x:v>28.4</x:v>
      </x:c>
      <x:c r="K414" s="18">
        <x:f t="shared" si="1"/>
        <x:v>0</x:v>
      </x:c>
      <x:c r="L414" s="18">
        <x:f t="shared" si="2"/>
        <x:v>6.713636364</x:v>
      </x:c>
      <x:c r="M414" s="119" t="n">
        <x:f>C416*Scoring!$B$34+D416/Scoring!$C$34+E416*Scoring!$D$34+WR!F416*Scoring!$E$34+WR!G416/Scoring!$F$34+WR!H416*Scoring!$G$34+WR!I416*Scoring!$H$34+K416*Scoring!$I$34+WR!L416*Scoring!$J$34+U414</x:f>
        <x:v>73.968</x:v>
      </x:c>
      <x:c r="N414" s="119" t="n">
        <x:f>C414*Scoring!$B$34+D414/Scoring!$C$34+E414*Scoring!$D$34+WR!F414*Scoring!$E$34+WR!G414/Scoring!$F$34+WR!H414*Scoring!$G$34+WR!I414*Scoring!$H$34+K414*Scoring!$I$34+WR!L414*Scoring!$J$34+U414</x:f>
        <x:v>73.968</x:v>
      </x:c>
      <x:c r="O414" s="119" t="n">
        <x:f>C415*Scoring!$B$34+D415/Scoring!$C$34+E415*Scoring!$D$34+WR!F415*Scoring!$E$34+WR!G415/Scoring!$F$34+WR!H415*Scoring!$G$34+WR!I415*Scoring!$H$34+K415*Scoring!$I$34+WR!L415*Scoring!$J$34+U414</x:f>
        <x:v>73.968</x:v>
      </x:c>
      <x:c r="P414" s="9" t="n">
        <x:f>IF(COUNTIF(Rookies!$A:$A,A414)&gt;0,1,0)</x:f>
        <x:v>1</x:v>
      </x:c>
      <x:c r="Q414" s="9"/>
      <x:c r="R414" s="9"/>
      <x:c r="S414" s="9" t="n">
        <x:f>V414/17</x:f>
        <x:v>1.3764705882352941</x:v>
      </x:c>
      <x:c r="T414" s="9" t="n">
        <x:f>IF(P414=1,MAX(0,0.28*(12-S414)),0)</x:f>
        <x:v>2.9745882352941178</x:v>
      </x:c>
      <x:c r="U414" s="9" t="n">
        <x:f>T414*17</x:f>
        <x:v>50.568000000000005</x:v>
      </x:c>
      <x:c r="V414" s="9" t="n">
        <x:f>C414*Scoring!$B$34+D414/Scoring!$C$34+E414*Scoring!$D$34+WR!F414*Scoring!$E$34+WR!G414/Scoring!$F$34+WR!H414*Scoring!$G$34+WR!I414*Scoring!$H$34+K414*Scoring!$I$34+WR!L414*Scoring!$J$34</x:f>
        <x:v>23.4</x:v>
      </x:c>
      <x:c r="W414" s="9"/>
      <x:c r="X414" s="9"/>
      <x:c r="Y414" s="9"/>
      <x:c r="Z414" s="9"/>
    </x:row>
    <x:row r="415" ht="14.25" customHeight="1">
      <x:c r="B415" s="1" t="s">
        <x:v>488</x:v>
      </x:c>
      <x:c r="C415" s="1">
        <x:v>10.1</x:v>
      </x:c>
      <x:c r="D415" s="1">
        <x:v>136.5</x:v>
      </x:c>
      <x:c r="E415" s="1">
        <x:v>0.8</x:v>
      </x:c>
      <x:c r="F415" s="1">
        <x:v>0.0</x:v>
      </x:c>
      <x:c r="G415" s="1">
        <x:v>0.0</x:v>
      </x:c>
      <x:c r="H415" s="1">
        <x:v>0.0</x:v>
      </x:c>
      <x:c r="I415" s="1">
        <x:v>0.1</x:v>
      </x:c>
      <x:c r="J415" s="1">
        <x:v>28.5</x:v>
      </x:c>
      <x:c r="K415" s="18">
        <x:f t="shared" si="1"/>
        <x:v>0</x:v>
      </x:c>
      <x:c r="L415" s="18">
        <x:f t="shared" si="2"/>
        <x:v>6.713636364</x:v>
      </x:c>
      <x:c r="M415" s="121"/>
      <x:c r="N415" s="121"/>
      <x:c r="O415" s="121"/>
      <x:c r="P415" s="9"/>
      <x:c r="Q415" s="9"/>
      <x:c r="R415" s="9"/>
      <x:c r="S415" s="9"/>
      <x:c r="T415" s="9"/>
      <x:c r="U415" s="9"/>
      <x:c r="V415" s="9"/>
      <x:c r="W415" s="9"/>
      <x:c r="X415" s="9"/>
      <x:c r="Y415" s="9"/>
      <x:c r="Z415" s="9"/>
    </x:row>
    <x:row r="416" ht="14.25" customHeight="1">
      <x:c r="B416" s="1" t="s">
        <x:v>489</x:v>
      </x:c>
      <x:c r="C416" s="1">
        <x:v>10.1</x:v>
      </x:c>
      <x:c r="D416" s="1">
        <x:v>136.5</x:v>
      </x:c>
      <x:c r="E416" s="1">
        <x:v>0.8</x:v>
      </x:c>
      <x:c r="F416" s="1">
        <x:v>0.0</x:v>
      </x:c>
      <x:c r="G416" s="1">
        <x:v>0.0</x:v>
      </x:c>
      <x:c r="H416" s="1">
        <x:v>0.0</x:v>
      </x:c>
      <x:c r="I416" s="1">
        <x:v>0.1</x:v>
      </x:c>
      <x:c r="J416" s="1">
        <x:v>28.5</x:v>
      </x:c>
      <x:c r="K416" s="18">
        <x:f t="shared" si="1"/>
        <x:v>0</x:v>
      </x:c>
      <x:c r="L416" s="18">
        <x:f t="shared" si="2"/>
        <x:v>6.713636364</x:v>
      </x:c>
      <x:c r="M416" s="121"/>
      <x:c r="N416" s="121"/>
      <x:c r="O416" s="121"/>
      <x:c r="P416" s="9"/>
      <x:c r="Q416" s="9"/>
      <x:c r="R416" s="9"/>
      <x:c r="S416" s="9"/>
      <x:c r="T416" s="9"/>
      <x:c r="U416" s="9"/>
      <x:c r="V416" s="9"/>
      <x:c r="W416" s="9"/>
      <x:c r="X416" s="9"/>
      <x:c r="Y416" s="9"/>
      <x:c r="Z416" s="9"/>
    </x:row>
    <x:row r="417" ht="14.25" customHeight="1">
      <x:c r="A417" s="1" t="s">
        <x:v>871</x:v>
      </x:c>
      <x:c r="B417" s="1" t="s">
        <x:v>493</x:v>
      </x:c>
      <x:c r="C417" s="1">
        <x:v>10.8</x:v>
      </x:c>
      <x:c r="D417" s="1">
        <x:v>126.6</x:v>
      </x:c>
      <x:c r="E417" s="1">
        <x:v>0.8</x:v>
      </x:c>
      <x:c r="F417" s="1">
        <x:v>0.0</x:v>
      </x:c>
      <x:c r="G417" s="1">
        <x:v>0.0</x:v>
      </x:c>
      <x:c r="H417" s="1">
        <x:v>0.0</x:v>
      </x:c>
      <x:c r="I417" s="1">
        <x:v>0.1</x:v>
      </x:c>
      <x:c r="J417" s="1">
        <x:v>28.0</x:v>
      </x:c>
      <x:c r="K417" s="18">
        <x:f t="shared" si="1"/>
        <x:v>0</x:v>
      </x:c>
      <x:c r="L417" s="18">
        <x:f t="shared" si="2"/>
        <x:v>6.226713287</x:v>
      </x:c>
      <x:c r="M417" s="119" t="n">
        <x:f>C419*Scoring!$B$34+D419/Scoring!$C$34+E419*Scoring!$D$34+WR!F419*Scoring!$E$34+WR!G419/Scoring!$F$34+WR!H419*Scoring!$G$34+WR!I419*Scoring!$H$34+K419*Scoring!$I$34+WR!L419*Scoring!$J$34+U417</x:f>
        <x:v>22.76</x:v>
      </x:c>
      <x:c r="N417" s="119" t="n">
        <x:f>C417*Scoring!$B$34+D417/Scoring!$C$34+E417*Scoring!$D$34+WR!F417*Scoring!$E$34+WR!G417/Scoring!$F$34+WR!H417*Scoring!$G$34+WR!I417*Scoring!$H$34+K417*Scoring!$I$34+WR!L417*Scoring!$J$34+U417</x:f>
        <x:v>22.76</x:v>
      </x:c>
      <x:c r="O417" s="119" t="n">
        <x:f>C418*Scoring!$B$34+D418/Scoring!$C$34+E418*Scoring!$D$34+WR!F418*Scoring!$E$34+WR!G418/Scoring!$F$34+WR!H418*Scoring!$G$34+WR!I418*Scoring!$H$34+K418*Scoring!$I$34+WR!L418*Scoring!$J$34+U417</x:f>
        <x:v>22.76</x:v>
      </x:c>
      <x:c r="P417" s="9" t="n">
        <x:f>IF(COUNTIF(Rookies!$A:$A,A417)&gt;0,1,0)</x:f>
        <x:v>0</x:v>
      </x:c>
      <x:c r="Q417" s="9"/>
      <x:c r="R417" s="9"/>
      <x:c r="S417" s="9" t="n">
        <x:f>V417/17</x:f>
        <x:v>1.3388235294117647</x:v>
      </x:c>
      <x:c r="T417" s="9" t="n">
        <x:f>IF(P417=1,MAX(0,0.28*(12-S417)),0)</x:f>
        <x:v>0</x:v>
      </x:c>
      <x:c r="U417" s="9" t="n">
        <x:f>T417*17</x:f>
        <x:v>0</x:v>
      </x:c>
      <x:c r="V417" s="9" t="n">
        <x:f>C417*Scoring!$B$34+D417/Scoring!$C$34+E417*Scoring!$D$34+WR!F417*Scoring!$E$34+WR!G417/Scoring!$F$34+WR!H417*Scoring!$G$34+WR!I417*Scoring!$H$34+K417*Scoring!$I$34+WR!L417*Scoring!$J$34</x:f>
        <x:v>22.76</x:v>
      </x:c>
      <x:c r="W417" s="9"/>
      <x:c r="X417" s="9"/>
      <x:c r="Y417" s="9"/>
      <x:c r="Z417" s="9"/>
    </x:row>
    <x:row r="418" ht="14.25" customHeight="1">
      <x:c r="B418" s="1" t="s">
        <x:v>488</x:v>
      </x:c>
      <x:c r="C418" s="1">
        <x:v>10.8</x:v>
      </x:c>
      <x:c r="D418" s="1">
        <x:v>126.6</x:v>
      </x:c>
      <x:c r="E418" s="1">
        <x:v>0.8</x:v>
      </x:c>
      <x:c r="F418" s="1">
        <x:v>0.0</x:v>
      </x:c>
      <x:c r="G418" s="1">
        <x:v>0.0</x:v>
      </x:c>
      <x:c r="H418" s="1">
        <x:v>0.0</x:v>
      </x:c>
      <x:c r="I418" s="1">
        <x:v>0.1</x:v>
      </x:c>
      <x:c r="J418" s="1">
        <x:v>28.1</x:v>
      </x:c>
      <x:c r="K418" s="18">
        <x:f t="shared" si="1"/>
        <x:v>0</x:v>
      </x:c>
      <x:c r="L418" s="18">
        <x:f t="shared" si="2"/>
        <x:v>6.226713287</x:v>
      </x:c>
      <x:c r="M418" s="121"/>
      <x:c r="N418" s="121"/>
      <x:c r="O418" s="121"/>
      <x:c r="P418" s="9"/>
      <x:c r="Q418" s="9"/>
      <x:c r="R418" s="9"/>
      <x:c r="S418" s="9"/>
      <x:c r="T418" s="9"/>
      <x:c r="U418" s="9"/>
      <x:c r="V418" s="9"/>
      <x:c r="W418" s="9"/>
      <x:c r="X418" s="9"/>
      <x:c r="Y418" s="9"/>
      <x:c r="Z418" s="9"/>
    </x:row>
    <x:row r="419" ht="14.25" customHeight="1">
      <x:c r="B419" s="1" t="s">
        <x:v>489</x:v>
      </x:c>
      <x:c r="C419" s="1">
        <x:v>10.8</x:v>
      </x:c>
      <x:c r="D419" s="1">
        <x:v>126.6</x:v>
      </x:c>
      <x:c r="E419" s="1">
        <x:v>0.8</x:v>
      </x:c>
      <x:c r="F419" s="1">
        <x:v>0.0</x:v>
      </x:c>
      <x:c r="G419" s="1">
        <x:v>0.0</x:v>
      </x:c>
      <x:c r="H419" s="1">
        <x:v>0.0</x:v>
      </x:c>
      <x:c r="I419" s="1">
        <x:v>0.1</x:v>
      </x:c>
      <x:c r="J419" s="1">
        <x:v>28.1</x:v>
      </x:c>
      <x:c r="K419" s="18">
        <x:f t="shared" si="1"/>
        <x:v>0</x:v>
      </x:c>
      <x:c r="L419" s="18">
        <x:f t="shared" si="2"/>
        <x:v>6.226713287</x:v>
      </x:c>
      <x:c r="M419" s="121"/>
      <x:c r="N419" s="121"/>
      <x:c r="O419" s="121"/>
      <x:c r="P419" s="9"/>
      <x:c r="Q419" s="9"/>
      <x:c r="R419" s="9"/>
      <x:c r="S419" s="9"/>
      <x:c r="T419" s="9"/>
      <x:c r="U419" s="9"/>
      <x:c r="V419" s="9"/>
      <x:c r="W419" s="9"/>
      <x:c r="X419" s="9"/>
      <x:c r="Y419" s="9"/>
      <x:c r="Z419" s="9"/>
    </x:row>
    <x:row r="420" ht="14.25" customHeight="1">
      <x:c r="A420" s="1" t="s">
        <x:v>872</x:v>
      </x:c>
      <x:c r="B420" s="1" t="s">
        <x:v>513</x:v>
      </x:c>
      <x:c r="C420" s="1">
        <x:v>9.5</x:v>
      </x:c>
      <x:c r="D420" s="1">
        <x:v>121.7</x:v>
      </x:c>
      <x:c r="E420" s="1">
        <x:v>0.7</x:v>
      </x:c>
      <x:c r="F420" s="1">
        <x:v>2.1</x:v>
      </x:c>
      <x:c r="G420" s="1">
        <x:v>11.3</x:v>
      </x:c>
      <x:c r="H420" s="1">
        <x:v>0.1</x:v>
      </x:c>
      <x:c r="I420" s="1">
        <x:v>0.1</x:v>
      </x:c>
      <x:c r="J420" s="1">
        <x:v>27.5</x:v>
      </x:c>
      <x:c r="K420" s="18">
        <x:f t="shared" si="1"/>
        <x:v>0.7003047896</x:v>
      </x:c>
      <x:c r="L420" s="18">
        <x:f t="shared" si="2"/>
        <x:v>5.985710956</x:v>
      </x:c>
      <x:c r="M420" s="119" t="n">
        <x:f>C422*Scoring!$B$34+D422/Scoring!$C$34+E422*Scoring!$D$34+WR!F422*Scoring!$E$34+WR!G422/Scoring!$F$34+WR!H422*Scoring!$G$34+WR!I422*Scoring!$H$34+K422*Scoring!$I$34+WR!L422*Scoring!$J$34+U420</x:f>
        <x:v>73.5</x:v>
      </x:c>
      <x:c r="N420" s="119" t="n">
        <x:f>C420*Scoring!$B$34+D420/Scoring!$C$34+E420*Scoring!$D$34+WR!F420*Scoring!$E$34+WR!G420/Scoring!$F$34+WR!H420*Scoring!$G$34+WR!I420*Scoring!$H$34+K420*Scoring!$I$34+WR!L420*Scoring!$J$34+U420</x:f>
        <x:v>73.5</x:v>
      </x:c>
      <x:c r="O420" s="119" t="n">
        <x:f>C421*Scoring!$B$34+D421/Scoring!$C$34+E421*Scoring!$D$34+WR!F421*Scoring!$E$34+WR!G421/Scoring!$F$34+WR!H421*Scoring!$G$34+WR!I421*Scoring!$H$34+K421*Scoring!$I$34+WR!L421*Scoring!$J$34+U420</x:f>
        <x:v>73.5</x:v>
      </x:c>
      <x:c r="P420" s="9" t="n">
        <x:f>IF(COUNTIF(Rookies!$A:$A,A420)&gt;0,1,0)</x:f>
        <x:v>1</x:v>
      </x:c>
      <x:c r="Q420" s="9"/>
      <x:c r="R420" s="9"/>
      <x:c r="S420" s="9" t="n">
        <x:f>V420/17</x:f>
        <x:v>1.338235294117647</x:v>
      </x:c>
      <x:c r="T420" s="9" t="n">
        <x:f>IF(P420=1,MAX(0,0.28*(12-S420)),0)</x:f>
        <x:v>2.9852941176470593</x:v>
      </x:c>
      <x:c r="U420" s="9" t="n">
        <x:f>T420*17</x:f>
        <x:v>50.75000000000001</x:v>
      </x:c>
      <x:c r="V420" s="9" t="n">
        <x:f>C420*Scoring!$B$34+D420/Scoring!$C$34+E420*Scoring!$D$34+WR!F420*Scoring!$E$34+WR!G420/Scoring!$F$34+WR!H420*Scoring!$G$34+WR!I420*Scoring!$H$34+K420*Scoring!$I$34+WR!L420*Scoring!$J$34</x:f>
        <x:v>22.75</x:v>
      </x:c>
      <x:c r="W420" s="9"/>
      <x:c r="X420" s="9"/>
      <x:c r="Y420" s="9"/>
      <x:c r="Z420" s="9"/>
    </x:row>
    <x:row r="421" ht="14.25" customHeight="1">
      <x:c r="B421" s="1" t="s">
        <x:v>488</x:v>
      </x:c>
      <x:c r="C421" s="1">
        <x:v>9.5</x:v>
      </x:c>
      <x:c r="D421" s="1">
        <x:v>121.7</x:v>
      </x:c>
      <x:c r="E421" s="1">
        <x:v>0.7</x:v>
      </x:c>
      <x:c r="F421" s="1">
        <x:v>2.1</x:v>
      </x:c>
      <x:c r="G421" s="1">
        <x:v>11.3</x:v>
      </x:c>
      <x:c r="H421" s="1">
        <x:v>0.1</x:v>
      </x:c>
      <x:c r="I421" s="1">
        <x:v>0.1</x:v>
      </x:c>
      <x:c r="J421" s="1">
        <x:v>27.5</x:v>
      </x:c>
      <x:c r="K421" s="18">
        <x:f t="shared" si="1"/>
        <x:v>0.7003047896</x:v>
      </x:c>
      <x:c r="L421" s="18">
        <x:f t="shared" si="2"/>
        <x:v>5.985710956</x:v>
      </x:c>
      <x:c r="M421" s="121"/>
      <x:c r="N421" s="121"/>
      <x:c r="O421" s="121"/>
      <x:c r="P421" s="9"/>
      <x:c r="Q421" s="9"/>
      <x:c r="R421" s="9"/>
      <x:c r="S421" s="9"/>
      <x:c r="T421" s="9"/>
      <x:c r="U421" s="9"/>
      <x:c r="V421" s="9"/>
      <x:c r="W421" s="9"/>
      <x:c r="X421" s="9"/>
      <x:c r="Y421" s="9"/>
      <x:c r="Z421" s="9"/>
    </x:row>
    <x:row r="422" ht="14.25" customHeight="1">
      <x:c r="B422" s="1" t="s">
        <x:v>489</x:v>
      </x:c>
      <x:c r="C422" s="1">
        <x:v>9.5</x:v>
      </x:c>
      <x:c r="D422" s="1">
        <x:v>121.7</x:v>
      </x:c>
      <x:c r="E422" s="1">
        <x:v>0.7</x:v>
      </x:c>
      <x:c r="F422" s="1">
        <x:v>2.1</x:v>
      </x:c>
      <x:c r="G422" s="1">
        <x:v>11.3</x:v>
      </x:c>
      <x:c r="H422" s="1">
        <x:v>0.1</x:v>
      </x:c>
      <x:c r="I422" s="1">
        <x:v>0.1</x:v>
      </x:c>
      <x:c r="J422" s="1">
        <x:v>27.5</x:v>
      </x:c>
      <x:c r="K422" s="18">
        <x:f t="shared" si="1"/>
        <x:v>0.7003047896</x:v>
      </x:c>
      <x:c r="L422" s="18">
        <x:f t="shared" si="2"/>
        <x:v>5.985710956</x:v>
      </x:c>
      <x:c r="M422" s="121"/>
      <x:c r="N422" s="121"/>
      <x:c r="O422" s="121"/>
      <x:c r="P422" s="9"/>
      <x:c r="Q422" s="9"/>
      <x:c r="R422" s="9"/>
      <x:c r="S422" s="9"/>
      <x:c r="T422" s="9"/>
      <x:c r="U422" s="9"/>
      <x:c r="V422" s="9"/>
      <x:c r="W422" s="9"/>
      <x:c r="X422" s="9"/>
      <x:c r="Y422" s="9"/>
      <x:c r="Z422" s="9"/>
    </x:row>
    <x:row r="423" ht="14.25" customHeight="1">
      <x:c r="A423" s="1" t="s">
        <x:v>873</x:v>
      </x:c>
      <x:c r="B423" s="1" t="s">
        <x:v>535</x:v>
      </x:c>
      <x:c r="C423" s="1">
        <x:v>9.3</x:v>
      </x:c>
      <x:c r="D423" s="1">
        <x:v>125.6</x:v>
      </x:c>
      <x:c r="E423" s="1">
        <x:v>0.7</x:v>
      </x:c>
      <x:c r="F423" s="1">
        <x:v>0.0</x:v>
      </x:c>
      <x:c r="G423" s="1">
        <x:v>0.0</x:v>
      </x:c>
      <x:c r="H423" s="1">
        <x:v>0.0</x:v>
      </x:c>
      <x:c r="I423" s="1">
        <x:v>0.1</x:v>
      </x:c>
      <x:c r="J423" s="1">
        <x:v>25.7</x:v>
      </x:c>
      <x:c r="K423" s="18">
        <x:f t="shared" si="1"/>
        <x:v>0</x:v>
      </x:c>
      <x:c r="L423" s="18">
        <x:f t="shared" si="2"/>
        <x:v>6.177529138</x:v>
      </x:c>
      <x:c r="M423" s="119" t="n">
        <x:f>C425*Scoring!$B$34+D425/Scoring!$C$34+E425*Scoring!$D$34+WR!F425*Scoring!$E$34+WR!G425/Scoring!$F$34+WR!H425*Scoring!$G$34+WR!I425*Scoring!$H$34+K425*Scoring!$I$34+WR!L425*Scoring!$J$34+U423</x:f>
        <x:v>21.31</x:v>
      </x:c>
      <x:c r="N423" s="119" t="n">
        <x:f>C423*Scoring!$B$34+D423/Scoring!$C$34+E423*Scoring!$D$34+WR!F423*Scoring!$E$34+WR!G423/Scoring!$F$34+WR!H423*Scoring!$G$34+WR!I423*Scoring!$H$34+K423*Scoring!$I$34+WR!L423*Scoring!$J$34+U423</x:f>
        <x:v>21.31</x:v>
      </x:c>
      <x:c r="O423" s="119" t="n">
        <x:f>C424*Scoring!$B$34+D424/Scoring!$C$34+E424*Scoring!$D$34+WR!F424*Scoring!$E$34+WR!G424/Scoring!$F$34+WR!H424*Scoring!$G$34+WR!I424*Scoring!$H$34+K424*Scoring!$I$34+WR!L424*Scoring!$J$34+U423</x:f>
        <x:v>21.31</x:v>
      </x:c>
      <x:c r="P423" s="9" t="n">
        <x:f>IF(COUNTIF(Rookies!$A:$A,A423)&gt;0,1,0)</x:f>
        <x:v>0</x:v>
      </x:c>
      <x:c r="Q423" s="9"/>
      <x:c r="R423" s="9"/>
      <x:c r="S423" s="9" t="n">
        <x:f>V423/17</x:f>
        <x:v>1.2535294117647058</x:v>
      </x:c>
      <x:c r="T423" s="9" t="n">
        <x:f>IF(P423=1,MAX(0,0.28*(12-S423)),0)</x:f>
        <x:v>0</x:v>
      </x:c>
      <x:c r="U423" s="9" t="n">
        <x:f>T423*17</x:f>
        <x:v>0</x:v>
      </x:c>
      <x:c r="V423" s="9" t="n">
        <x:f>C423*Scoring!$B$34+D423/Scoring!$C$34+E423*Scoring!$D$34+WR!F423*Scoring!$E$34+WR!G423/Scoring!$F$34+WR!H423*Scoring!$G$34+WR!I423*Scoring!$H$34+K423*Scoring!$I$34+WR!L423*Scoring!$J$34</x:f>
        <x:v>21.31</x:v>
      </x:c>
      <x:c r="W423" s="9"/>
      <x:c r="X423" s="9"/>
      <x:c r="Y423" s="9"/>
      <x:c r="Z423" s="9"/>
    </x:row>
    <x:row r="424" ht="14.25" customHeight="1">
      <x:c r="B424" s="1" t="s">
        <x:v>488</x:v>
      </x:c>
      <x:c r="C424" s="1">
        <x:v>9.3</x:v>
      </x:c>
      <x:c r="D424" s="1">
        <x:v>125.6</x:v>
      </x:c>
      <x:c r="E424" s="1">
        <x:v>0.7</x:v>
      </x:c>
      <x:c r="F424" s="1">
        <x:v>0.0</x:v>
      </x:c>
      <x:c r="G424" s="1">
        <x:v>0.0</x:v>
      </x:c>
      <x:c r="H424" s="1">
        <x:v>0.0</x:v>
      </x:c>
      <x:c r="I424" s="1">
        <x:v>0.1</x:v>
      </x:c>
      <x:c r="J424" s="1">
        <x:v>25.8</x:v>
      </x:c>
      <x:c r="K424" s="18">
        <x:f t="shared" si="1"/>
        <x:v>0</x:v>
      </x:c>
      <x:c r="L424" s="18">
        <x:f t="shared" si="2"/>
        <x:v>6.177529138</x:v>
      </x:c>
      <x:c r="M424" s="121"/>
      <x:c r="N424" s="121"/>
      <x:c r="O424" s="121"/>
      <x:c r="P424" s="9"/>
      <x:c r="Q424" s="9"/>
      <x:c r="R424" s="9"/>
      <x:c r="S424" s="9"/>
      <x:c r="T424" s="9"/>
      <x:c r="U424" s="9"/>
      <x:c r="V424" s="9"/>
      <x:c r="W424" s="9"/>
      <x:c r="X424" s="9"/>
      <x:c r="Y424" s="9"/>
      <x:c r="Z424" s="9"/>
    </x:row>
    <x:row r="425" ht="14.25" customHeight="1">
      <x:c r="B425" s="1" t="s">
        <x:v>489</x:v>
      </x:c>
      <x:c r="C425" s="1">
        <x:v>9.3</x:v>
      </x:c>
      <x:c r="D425" s="1">
        <x:v>125.6</x:v>
      </x:c>
      <x:c r="E425" s="1">
        <x:v>0.7</x:v>
      </x:c>
      <x:c r="F425" s="1">
        <x:v>0.0</x:v>
      </x:c>
      <x:c r="G425" s="1">
        <x:v>0.0</x:v>
      </x:c>
      <x:c r="H425" s="1">
        <x:v>0.0</x:v>
      </x:c>
      <x:c r="I425" s="1">
        <x:v>0.1</x:v>
      </x:c>
      <x:c r="J425" s="1">
        <x:v>25.8</x:v>
      </x:c>
      <x:c r="K425" s="18">
        <x:f t="shared" si="1"/>
        <x:v>0</x:v>
      </x:c>
      <x:c r="L425" s="18">
        <x:f t="shared" si="2"/>
        <x:v>6.177529138</x:v>
      </x:c>
      <x:c r="M425" s="121"/>
      <x:c r="N425" s="121"/>
      <x:c r="O425" s="121"/>
      <x:c r="P425" s="9"/>
      <x:c r="Q425" s="9"/>
      <x:c r="R425" s="9"/>
      <x:c r="S425" s="9"/>
      <x:c r="T425" s="9"/>
      <x:c r="U425" s="9"/>
      <x:c r="V425" s="9"/>
      <x:c r="W425" s="9"/>
      <x:c r="X425" s="9"/>
      <x:c r="Y425" s="9"/>
      <x:c r="Z425" s="9"/>
    </x:row>
    <x:row r="426" ht="14.25" customHeight="1">
      <x:c r="A426" s="1" t="s">
        <x:v>874</x:v>
      </x:c>
      <x:c r="B426" s="1" t="s">
        <x:v>501</x:v>
      </x:c>
      <x:c r="C426" s="1">
        <x:v>9.2</x:v>
      </x:c>
      <x:c r="D426" s="1">
        <x:v>113.3</x:v>
      </x:c>
      <x:c r="E426" s="1">
        <x:v>0.6</x:v>
      </x:c>
      <x:c r="F426" s="1">
        <x:v>0.0</x:v>
      </x:c>
      <x:c r="G426" s="1">
        <x:v>0.0</x:v>
      </x:c>
      <x:c r="H426" s="1">
        <x:v>0.0</x:v>
      </x:c>
      <x:c r="I426" s="1">
        <x:v>0.1</x:v>
      </x:c>
      <x:c r="J426" s="1">
        <x:v>24.1</x:v>
      </x:c>
      <x:c r="K426" s="18">
        <x:f t="shared" si="1"/>
        <x:v>0</x:v>
      </x:c>
      <x:c r="L426" s="18">
        <x:f t="shared" si="2"/>
        <x:v>5.572564103</x:v>
      </x:c>
      <x:c r="M426" s="119" t="n">
        <x:f>C428*Scoring!$B$34+D428/Scoring!$C$34+E428*Scoring!$D$34+WR!F428*Scoring!$E$34+WR!G428/Scoring!$F$34+WR!H428*Scoring!$G$34+WR!I428*Scoring!$H$34+K428*Scoring!$I$34+WR!L428*Scoring!$J$34+U426</x:f>
        <x:v>19.43</x:v>
      </x:c>
      <x:c r="N426" s="119" t="n">
        <x:f>C426*Scoring!$B$34+D426/Scoring!$C$34+E426*Scoring!$D$34+WR!F426*Scoring!$E$34+WR!G426/Scoring!$F$34+WR!H426*Scoring!$G$34+WR!I426*Scoring!$H$34+K426*Scoring!$I$34+WR!L426*Scoring!$J$34+U426</x:f>
        <x:v>19.43</x:v>
      </x:c>
      <x:c r="O426" s="119" t="n">
        <x:f>C427*Scoring!$B$34+D427/Scoring!$C$34+E427*Scoring!$D$34+WR!F427*Scoring!$E$34+WR!G427/Scoring!$F$34+WR!H427*Scoring!$G$34+WR!I427*Scoring!$H$34+K427*Scoring!$I$34+WR!L427*Scoring!$J$34+U426</x:f>
        <x:v>19.43</x:v>
      </x:c>
      <x:c r="P426" s="9" t="n">
        <x:f>IF(COUNTIF(Rookies!$A:$A,A426)&gt;0,1,0)</x:f>
        <x:v>0</x:v>
      </x:c>
      <x:c r="Q426" s="9"/>
      <x:c r="R426" s="9"/>
      <x:c r="S426" s="9" t="n">
        <x:f>V426/17</x:f>
        <x:v>1.1429411764705881</x:v>
      </x:c>
      <x:c r="T426" s="9" t="n">
        <x:f>IF(P426=1,MAX(0,0.28*(12-S426)),0)</x:f>
        <x:v>0</x:v>
      </x:c>
      <x:c r="U426" s="9" t="n">
        <x:f>T426*17</x:f>
        <x:v>0</x:v>
      </x:c>
      <x:c r="V426" s="9" t="n">
        <x:f>C426*Scoring!$B$34+D426/Scoring!$C$34+E426*Scoring!$D$34+WR!F426*Scoring!$E$34+WR!G426/Scoring!$F$34+WR!H426*Scoring!$G$34+WR!I426*Scoring!$H$34+K426*Scoring!$I$34+WR!L426*Scoring!$J$34</x:f>
        <x:v>19.43</x:v>
      </x:c>
      <x:c r="W426" s="9"/>
      <x:c r="X426" s="9"/>
      <x:c r="Y426" s="9"/>
      <x:c r="Z426" s="9"/>
    </x:row>
    <x:row r="427" ht="14.25" customHeight="1">
      <x:c r="B427" s="1" t="s">
        <x:v>488</x:v>
      </x:c>
      <x:c r="C427" s="1">
        <x:v>9.2</x:v>
      </x:c>
      <x:c r="D427" s="1">
        <x:v>113.3</x:v>
      </x:c>
      <x:c r="E427" s="1">
        <x:v>0.6</x:v>
      </x:c>
      <x:c r="F427" s="1">
        <x:v>0.0</x:v>
      </x:c>
      <x:c r="G427" s="1">
        <x:v>0.0</x:v>
      </x:c>
      <x:c r="H427" s="1">
        <x:v>0.0</x:v>
      </x:c>
      <x:c r="I427" s="1">
        <x:v>0.1</x:v>
      </x:c>
      <x:c r="J427" s="1">
        <x:v>24.1</x:v>
      </x:c>
      <x:c r="K427" s="18">
        <x:f t="shared" si="1"/>
        <x:v>0</x:v>
      </x:c>
      <x:c r="L427" s="18">
        <x:f t="shared" si="2"/>
        <x:v>5.572564103</x:v>
      </x:c>
      <x:c r="M427" s="121"/>
      <x:c r="N427" s="121"/>
      <x:c r="O427" s="121"/>
      <x:c r="P427" s="9"/>
      <x:c r="Q427" s="9"/>
      <x:c r="R427" s="9"/>
      <x:c r="S427" s="9"/>
      <x:c r="T427" s="9"/>
      <x:c r="U427" s="9"/>
      <x:c r="V427" s="9"/>
      <x:c r="W427" s="9"/>
      <x:c r="X427" s="9"/>
      <x:c r="Y427" s="9"/>
      <x:c r="Z427" s="9"/>
    </x:row>
    <x:row r="428" ht="14.25" customHeight="1">
      <x:c r="B428" s="1" t="s">
        <x:v>489</x:v>
      </x:c>
      <x:c r="C428" s="1">
        <x:v>9.2</x:v>
      </x:c>
      <x:c r="D428" s="1">
        <x:v>113.3</x:v>
      </x:c>
      <x:c r="E428" s="1">
        <x:v>0.6</x:v>
      </x:c>
      <x:c r="F428" s="1">
        <x:v>0.0</x:v>
      </x:c>
      <x:c r="G428" s="1">
        <x:v>0.0</x:v>
      </x:c>
      <x:c r="H428" s="1">
        <x:v>0.0</x:v>
      </x:c>
      <x:c r="I428" s="1">
        <x:v>0.1</x:v>
      </x:c>
      <x:c r="J428" s="1">
        <x:v>24.1</x:v>
      </x:c>
      <x:c r="K428" s="18">
        <x:f t="shared" si="1"/>
        <x:v>0</x:v>
      </x:c>
      <x:c r="L428" s="18">
        <x:f t="shared" si="2"/>
        <x:v>5.572564103</x:v>
      </x:c>
      <x:c r="M428" s="121"/>
      <x:c r="N428" s="121"/>
      <x:c r="O428" s="121"/>
      <x:c r="P428" s="9"/>
      <x:c r="Q428" s="9"/>
      <x:c r="R428" s="9"/>
      <x:c r="S428" s="9"/>
      <x:c r="T428" s="9"/>
      <x:c r="U428" s="9"/>
      <x:c r="V428" s="9"/>
      <x:c r="W428" s="9"/>
      <x:c r="X428" s="9"/>
      <x:c r="Y428" s="9"/>
      <x:c r="Z428" s="9"/>
    </x:row>
    <x:row r="429" ht="14.25" customHeight="1">
      <x:c r="A429" s="1" t="s">
        <x:v>875</x:v>
      </x:c>
      <x:c r="B429" s="1" t="s">
        <x:v>493</x:v>
      </x:c>
      <x:c r="C429" s="1">
        <x:v>6.4</x:v>
      </x:c>
      <x:c r="D429" s="1">
        <x:v>91.4</x:v>
      </x:c>
      <x:c r="E429" s="1">
        <x:v>0.6</x:v>
      </x:c>
      <x:c r="F429" s="1">
        <x:v>4.1</x:v>
      </x:c>
      <x:c r="G429" s="1">
        <x:v>22.4</x:v>
      </x:c>
      <x:c r="H429" s="1">
        <x:v>0.2</x:v>
      </x:c>
      <x:c r="I429" s="1">
        <x:v>0.1</x:v>
      </x:c>
      <x:c r="J429" s="1">
        <x:v>22.1</x:v>
      </x:c>
      <x:c r="K429" s="18">
        <x:f t="shared" si="1"/>
        <x:v>1.388214804</x:v>
      </x:c>
      <x:c r="L429" s="18">
        <x:f t="shared" si="2"/>
        <x:v>4.495431235</x:v>
      </x:c>
      <x:c r="M429" s="119" t="n">
        <x:f>C431*Scoring!$B$34+D431/Scoring!$C$34+E431*Scoring!$D$34+WR!F431*Scoring!$E$34+WR!G431/Scoring!$F$34+WR!H431*Scoring!$G$34+WR!I431*Scoring!$H$34+K431*Scoring!$I$34+WR!L431*Scoring!$J$34+U429</x:f>
        <x:v>19.279999999999998</x:v>
      </x:c>
      <x:c r="N429" s="119" t="n">
        <x:f>C429*Scoring!$B$34+D429/Scoring!$C$34+E429*Scoring!$D$34+WR!F429*Scoring!$E$34+WR!G429/Scoring!$F$34+WR!H429*Scoring!$G$34+WR!I429*Scoring!$H$34+K429*Scoring!$I$34+WR!L429*Scoring!$J$34+U429</x:f>
        <x:v>19.279999999999998</x:v>
      </x:c>
      <x:c r="O429" s="119" t="n">
        <x:f>C430*Scoring!$B$34+D430/Scoring!$C$34+E430*Scoring!$D$34+WR!F430*Scoring!$E$34+WR!G430/Scoring!$F$34+WR!H430*Scoring!$G$34+WR!I430*Scoring!$H$34+K430*Scoring!$I$34+WR!L430*Scoring!$J$34+U429</x:f>
        <x:v>19.279999999999998</x:v>
      </x:c>
      <x:c r="P429" s="9" t="n">
        <x:f>IF(COUNTIF(Rookies!$A:$A,A429)&gt;0,1,0)</x:f>
        <x:v>0</x:v>
      </x:c>
      <x:c r="Q429" s="9"/>
      <x:c r="R429" s="9"/>
      <x:c r="S429" s="9" t="n">
        <x:f>V429/17</x:f>
        <x:v>1.1341176470588235</x:v>
      </x:c>
      <x:c r="T429" s="9" t="n">
        <x:f>IF(P429=1,MAX(0,0.28*(12-S429)),0)</x:f>
        <x:v>0</x:v>
      </x:c>
      <x:c r="U429" s="9" t="n">
        <x:f>T429*17</x:f>
        <x:v>0</x:v>
      </x:c>
      <x:c r="V429" s="9" t="n">
        <x:f>C429*Scoring!$B$34+D429/Scoring!$C$34+E429*Scoring!$D$34+WR!F429*Scoring!$E$34+WR!G429/Scoring!$F$34+WR!H429*Scoring!$G$34+WR!I429*Scoring!$H$34+K429*Scoring!$I$34+WR!L429*Scoring!$J$34</x:f>
        <x:v>19.279999999999998</x:v>
      </x:c>
      <x:c r="W429" s="9"/>
      <x:c r="X429" s="9"/>
      <x:c r="Y429" s="9"/>
      <x:c r="Z429" s="9"/>
    </x:row>
    <x:row r="430" ht="14.25" customHeight="1">
      <x:c r="B430" s="1" t="s">
        <x:v>488</x:v>
      </x:c>
      <x:c r="C430" s="1">
        <x:v>6.4</x:v>
      </x:c>
      <x:c r="D430" s="1">
        <x:v>91.4</x:v>
      </x:c>
      <x:c r="E430" s="1">
        <x:v>0.6</x:v>
      </x:c>
      <x:c r="F430" s="1">
        <x:v>4.1</x:v>
      </x:c>
      <x:c r="G430" s="1">
        <x:v>22.4</x:v>
      </x:c>
      <x:c r="H430" s="1">
        <x:v>0.2</x:v>
      </x:c>
      <x:c r="I430" s="1">
        <x:v>0.1</x:v>
      </x:c>
      <x:c r="J430" s="1">
        <x:v>22.6</x:v>
      </x:c>
      <x:c r="K430" s="18">
        <x:f t="shared" si="1"/>
        <x:v>1.388214804</x:v>
      </x:c>
      <x:c r="L430" s="18">
        <x:f t="shared" si="2"/>
        <x:v>4.495431235</x:v>
      </x:c>
      <x:c r="M430" s="121"/>
      <x:c r="N430" s="121"/>
      <x:c r="O430" s="121"/>
      <x:c r="P430" s="9"/>
      <x:c r="Q430" s="9"/>
      <x:c r="R430" s="9"/>
      <x:c r="S430" s="9"/>
      <x:c r="T430" s="9"/>
      <x:c r="U430" s="9"/>
      <x:c r="V430" s="9"/>
      <x:c r="W430" s="9"/>
      <x:c r="X430" s="9"/>
      <x:c r="Y430" s="9"/>
      <x:c r="Z430" s="9"/>
    </x:row>
    <x:row r="431" ht="14.25" customHeight="1">
      <x:c r="B431" s="1" t="s">
        <x:v>489</x:v>
      </x:c>
      <x:c r="C431" s="1">
        <x:v>6.4</x:v>
      </x:c>
      <x:c r="D431" s="1">
        <x:v>91.4</x:v>
      </x:c>
      <x:c r="E431" s="1">
        <x:v>0.6</x:v>
      </x:c>
      <x:c r="F431" s="1">
        <x:v>4.1</x:v>
      </x:c>
      <x:c r="G431" s="1">
        <x:v>22.4</x:v>
      </x:c>
      <x:c r="H431" s="1">
        <x:v>0.2</x:v>
      </x:c>
      <x:c r="I431" s="1">
        <x:v>0.1</x:v>
      </x:c>
      <x:c r="J431" s="1">
        <x:v>22.6</x:v>
      </x:c>
      <x:c r="K431" s="18">
        <x:f t="shared" si="1"/>
        <x:v>1.388214804</x:v>
      </x:c>
      <x:c r="L431" s="18">
        <x:f t="shared" si="2"/>
        <x:v>4.495431235</x:v>
      </x:c>
      <x:c r="M431" s="121"/>
      <x:c r="N431" s="121"/>
      <x:c r="O431" s="121"/>
      <x:c r="P431" s="9"/>
      <x:c r="Q431" s="9"/>
      <x:c r="R431" s="9"/>
      <x:c r="S431" s="9"/>
      <x:c r="T431" s="9"/>
      <x:c r="U431" s="9"/>
      <x:c r="V431" s="9"/>
      <x:c r="W431" s="9"/>
      <x:c r="X431" s="9"/>
      <x:c r="Y431" s="9"/>
      <x:c r="Z431" s="9"/>
    </x:row>
    <x:row r="432" ht="14.25" customHeight="1">
      <x:c r="A432" s="1" t="s">
        <x:v>876</x:v>
      </x:c>
      <x:c r="B432" s="1" t="s">
        <x:v>523</x:v>
      </x:c>
      <x:c r="C432" s="1">
        <x:v>6.7</x:v>
      </x:c>
      <x:c r="D432" s="1">
        <x:v>77.5</x:v>
      </x:c>
      <x:c r="E432" s="1">
        <x:v>0.6</x:v>
      </x:c>
      <x:c r="F432" s="1">
        <x:v>4.4</x:v>
      </x:c>
      <x:c r="G432" s="1">
        <x:v>23.2</x:v>
      </x:c>
      <x:c r="H432" s="1">
        <x:v>0.2</x:v>
      </x:c>
      <x:c r="I432" s="1">
        <x:v>0.1</x:v>
      </x:c>
      <x:c r="J432" s="1">
        <x:v>21.4</x:v>
      </x:c>
      <x:c r="K432" s="18">
        <x:f t="shared" si="1"/>
        <x:v>1.437793904</x:v>
      </x:c>
      <x:c r="L432" s="18">
        <x:f t="shared" si="2"/>
        <x:v>3.811771562</x:v>
      </x:c>
      <x:c r="M432" s="119" t="n">
        <x:f>C434*Scoring!$B$34+D434/Scoring!$C$34+E434*Scoring!$D$34+WR!F434*Scoring!$E$34+WR!G434/Scoring!$F$34+WR!H434*Scoring!$G$34+WR!I434*Scoring!$H$34+K434*Scoring!$I$34+WR!L434*Scoring!$J$34+U432</x:f>
        <x:v>18.119999999999997</x:v>
      </x:c>
      <x:c r="N432" s="119" t="n">
        <x:f>C432*Scoring!$B$34+D432/Scoring!$C$34+E432*Scoring!$D$34+WR!F432*Scoring!$E$34+WR!G432/Scoring!$F$34+WR!H432*Scoring!$G$34+WR!I432*Scoring!$H$34+K432*Scoring!$I$34+WR!L432*Scoring!$J$34+U432</x:f>
        <x:v>18.119999999999997</x:v>
      </x:c>
      <x:c r="O432" s="119" t="n">
        <x:f>C433*Scoring!$B$34+D433/Scoring!$C$34+E433*Scoring!$D$34+WR!F433*Scoring!$E$34+WR!G433/Scoring!$F$34+WR!H433*Scoring!$G$34+WR!I433*Scoring!$H$34+K433*Scoring!$I$34+WR!L433*Scoring!$J$34+U432</x:f>
        <x:v>18.119999999999997</x:v>
      </x:c>
      <x:c r="P432" s="9" t="n">
        <x:f>IF(COUNTIF(Rookies!$A:$A,A432)&gt;0,1,0)</x:f>
        <x:v>0</x:v>
      </x:c>
      <x:c r="Q432" s="9"/>
      <x:c r="R432" s="9"/>
      <x:c r="S432" s="9" t="n">
        <x:f>V432/17</x:f>
        <x:v>1.0658823529411763</x:v>
      </x:c>
      <x:c r="T432" s="9" t="n">
        <x:f>IF(P432=1,MAX(0,0.28*(12-S432)),0)</x:f>
        <x:v>0</x:v>
      </x:c>
      <x:c r="U432" s="9" t="n">
        <x:f>T432*17</x:f>
        <x:v>0</x:v>
      </x:c>
      <x:c r="V432" s="9" t="n">
        <x:f>C432*Scoring!$B$34+D432/Scoring!$C$34+E432*Scoring!$D$34+WR!F432*Scoring!$E$34+WR!G432/Scoring!$F$34+WR!H432*Scoring!$G$34+WR!I432*Scoring!$H$34+K432*Scoring!$I$34+WR!L432*Scoring!$J$34</x:f>
        <x:v>18.119999999999997</x:v>
      </x:c>
      <x:c r="W432" s="9"/>
      <x:c r="X432" s="9"/>
      <x:c r="Y432" s="9"/>
      <x:c r="Z432" s="9"/>
    </x:row>
    <x:row r="433" ht="14.25" customHeight="1">
      <x:c r="B433" s="1" t="s">
        <x:v>488</x:v>
      </x:c>
      <x:c r="C433" s="1">
        <x:v>6.7</x:v>
      </x:c>
      <x:c r="D433" s="1">
        <x:v>77.5</x:v>
      </x:c>
      <x:c r="E433" s="1">
        <x:v>0.6</x:v>
      </x:c>
      <x:c r="F433" s="1">
        <x:v>4.4</x:v>
      </x:c>
      <x:c r="G433" s="1">
        <x:v>23.2</x:v>
      </x:c>
      <x:c r="H433" s="1">
        <x:v>0.2</x:v>
      </x:c>
      <x:c r="I433" s="1">
        <x:v>0.1</x:v>
      </x:c>
      <x:c r="J433" s="1">
        <x:v>21.6</x:v>
      </x:c>
      <x:c r="K433" s="18">
        <x:f t="shared" si="1"/>
        <x:v>1.437793904</x:v>
      </x:c>
      <x:c r="L433" s="18">
        <x:f t="shared" si="2"/>
        <x:v>3.811771562</x:v>
      </x:c>
      <x:c r="M433" s="121"/>
      <x:c r="N433" s="121"/>
      <x:c r="O433" s="121"/>
      <x:c r="P433" s="9"/>
      <x:c r="Q433" s="9"/>
      <x:c r="R433" s="9"/>
      <x:c r="S433" s="9"/>
      <x:c r="T433" s="9"/>
      <x:c r="U433" s="9"/>
      <x:c r="V433" s="9"/>
      <x:c r="W433" s="9"/>
      <x:c r="X433" s="9"/>
      <x:c r="Y433" s="9"/>
      <x:c r="Z433" s="9"/>
    </x:row>
    <x:row r="434" ht="14.25" customHeight="1">
      <x:c r="B434" s="1" t="s">
        <x:v>489</x:v>
      </x:c>
      <x:c r="C434" s="1">
        <x:v>6.7</x:v>
      </x:c>
      <x:c r="D434" s="1">
        <x:v>77.5</x:v>
      </x:c>
      <x:c r="E434" s="1">
        <x:v>0.6</x:v>
      </x:c>
      <x:c r="F434" s="1">
        <x:v>4.4</x:v>
      </x:c>
      <x:c r="G434" s="1">
        <x:v>23.2</x:v>
      </x:c>
      <x:c r="H434" s="1">
        <x:v>0.2</x:v>
      </x:c>
      <x:c r="I434" s="1">
        <x:v>0.1</x:v>
      </x:c>
      <x:c r="J434" s="1">
        <x:v>21.6</x:v>
      </x:c>
      <x:c r="K434" s="18">
        <x:f t="shared" si="1"/>
        <x:v>1.437793904</x:v>
      </x:c>
      <x:c r="L434" s="18">
        <x:f t="shared" si="2"/>
        <x:v>3.811771562</x:v>
      </x:c>
      <x:c r="M434" s="121"/>
      <x:c r="N434" s="121"/>
      <x:c r="O434" s="121"/>
      <x:c r="P434" s="9"/>
      <x:c r="Q434" s="9"/>
      <x:c r="R434" s="9"/>
      <x:c r="S434" s="9"/>
      <x:c r="T434" s="9"/>
      <x:c r="U434" s="9"/>
      <x:c r="V434" s="9"/>
      <x:c r="W434" s="9"/>
      <x:c r="X434" s="9"/>
      <x:c r="Y434" s="9"/>
      <x:c r="Z434" s="9"/>
    </x:row>
    <x:row r="435" ht="14.25" customHeight="1">
      <x:c r="A435" s="1" t="s">
        <x:v>877</x:v>
      </x:c>
      <x:c r="B435" s="1" t="s">
        <x:v>537</x:v>
      </x:c>
      <x:c r="C435" s="1">
        <x:v>6.7</x:v>
      </x:c>
      <x:c r="D435" s="1">
        <x:v>75.6</x:v>
      </x:c>
      <x:c r="E435" s="1">
        <x:v>0.4</x:v>
      </x:c>
      <x:c r="F435" s="1">
        <x:v>6.2</x:v>
      </x:c>
      <x:c r="G435" s="1">
        <x:v>36.7</x:v>
      </x:c>
      <x:c r="H435" s="1">
        <x:v>0.2</x:v>
      </x:c>
      <x:c r="I435" s="1">
        <x:v>0.1</x:v>
      </x:c>
      <x:c r="J435" s="1">
        <x:v>21.1</x:v>
      </x:c>
      <x:c r="K435" s="18">
        <x:f t="shared" si="1"/>
        <x:v>2.274441219</x:v>
      </x:c>
      <x:c r="L435" s="18">
        <x:f t="shared" si="2"/>
        <x:v>3.718321678</x:v>
      </x:c>
      <x:c r="M435" s="119" t="n">
        <x:f>C437*Scoring!$B$34+D437/Scoring!$C$34+E437*Scoring!$D$34+WR!F437*Scoring!$E$34+WR!G437/Scoring!$F$34+WR!H437*Scoring!$G$34+WR!I437*Scoring!$H$34+K437*Scoring!$I$34+WR!L437*Scoring!$J$34+U435</x:f>
        <x:v>18.08</x:v>
      </x:c>
      <x:c r="N435" s="119" t="n">
        <x:f>C435*Scoring!$B$34+D435/Scoring!$C$34+E435*Scoring!$D$34+WR!F435*Scoring!$E$34+WR!G435/Scoring!$F$34+WR!H435*Scoring!$G$34+WR!I435*Scoring!$H$34+K435*Scoring!$I$34+WR!L435*Scoring!$J$34+U435</x:f>
        <x:v>18.08</x:v>
      </x:c>
      <x:c r="O435" s="119" t="n">
        <x:f>C436*Scoring!$B$34+D436/Scoring!$C$34+E436*Scoring!$D$34+WR!F436*Scoring!$E$34+WR!G436/Scoring!$F$34+WR!H436*Scoring!$G$34+WR!I436*Scoring!$H$34+K436*Scoring!$I$34+WR!L436*Scoring!$J$34+U435</x:f>
        <x:v>18.08</x:v>
      </x:c>
      <x:c r="P435" s="9" t="n">
        <x:f>IF(COUNTIF(Rookies!$A:$A,A435)&gt;0,1,0)</x:f>
        <x:v>0</x:v>
      </x:c>
      <x:c r="Q435" s="9"/>
      <x:c r="R435" s="9"/>
      <x:c r="S435" s="9" t="n">
        <x:f>V435/17</x:f>
        <x:v>1.0635294117647058</x:v>
      </x:c>
      <x:c r="T435" s="9" t="n">
        <x:f>IF(P435=1,MAX(0,0.28*(12-S435)),0)</x:f>
        <x:v>0</x:v>
      </x:c>
      <x:c r="U435" s="9" t="n">
        <x:f>T435*17</x:f>
        <x:v>0</x:v>
      </x:c>
      <x:c r="V435" s="9" t="n">
        <x:f>C435*Scoring!$B$34+D435/Scoring!$C$34+E435*Scoring!$D$34+WR!F435*Scoring!$E$34+WR!G435/Scoring!$F$34+WR!H435*Scoring!$G$34+WR!I435*Scoring!$H$34+K435*Scoring!$I$34+WR!L435*Scoring!$J$34</x:f>
        <x:v>18.08</x:v>
      </x:c>
      <x:c r="W435" s="9"/>
      <x:c r="X435" s="9"/>
      <x:c r="Y435" s="9"/>
      <x:c r="Z435" s="9"/>
    </x:row>
    <x:row r="436" ht="14.25" customHeight="1">
      <x:c r="B436" s="1" t="s">
        <x:v>488</x:v>
      </x:c>
      <x:c r="C436" s="1">
        <x:v>6.7</x:v>
      </x:c>
      <x:c r="D436" s="1">
        <x:v>75.6</x:v>
      </x:c>
      <x:c r="E436" s="1">
        <x:v>0.4</x:v>
      </x:c>
      <x:c r="F436" s="1">
        <x:v>6.2</x:v>
      </x:c>
      <x:c r="G436" s="1">
        <x:v>36.7</x:v>
      </x:c>
      <x:c r="H436" s="1">
        <x:v>0.2</x:v>
      </x:c>
      <x:c r="I436" s="1">
        <x:v>0.1</x:v>
      </x:c>
      <x:c r="J436" s="1">
        <x:v>21.2</x:v>
      </x:c>
      <x:c r="K436" s="18">
        <x:f t="shared" si="1"/>
        <x:v>2.274441219</x:v>
      </x:c>
      <x:c r="L436" s="18">
        <x:f t="shared" si="2"/>
        <x:v>3.718321678</x:v>
      </x:c>
      <x:c r="M436" s="121"/>
      <x:c r="N436" s="121"/>
      <x:c r="O436" s="121"/>
      <x:c r="P436" s="9"/>
      <x:c r="Q436" s="9"/>
      <x:c r="R436" s="9"/>
      <x:c r="S436" s="9"/>
      <x:c r="T436" s="9"/>
      <x:c r="U436" s="9"/>
      <x:c r="V436" s="9"/>
      <x:c r="W436" s="9"/>
      <x:c r="X436" s="9"/>
      <x:c r="Y436" s="9"/>
      <x:c r="Z436" s="9"/>
    </x:row>
    <x:row r="437" ht="14.25" customHeight="1">
      <x:c r="B437" s="1" t="s">
        <x:v>489</x:v>
      </x:c>
      <x:c r="C437" s="1">
        <x:v>6.7</x:v>
      </x:c>
      <x:c r="D437" s="1">
        <x:v>75.6</x:v>
      </x:c>
      <x:c r="E437" s="1">
        <x:v>0.4</x:v>
      </x:c>
      <x:c r="F437" s="1">
        <x:v>6.2</x:v>
      </x:c>
      <x:c r="G437" s="1">
        <x:v>36.7</x:v>
      </x:c>
      <x:c r="H437" s="1">
        <x:v>0.2</x:v>
      </x:c>
      <x:c r="I437" s="1">
        <x:v>0.1</x:v>
      </x:c>
      <x:c r="J437" s="1">
        <x:v>21.2</x:v>
      </x:c>
      <x:c r="K437" s="18">
        <x:f t="shared" si="1"/>
        <x:v>2.274441219</x:v>
      </x:c>
      <x:c r="L437" s="18">
        <x:f t="shared" si="2"/>
        <x:v>3.718321678</x:v>
      </x:c>
      <x:c r="M437" s="121"/>
      <x:c r="N437" s="121"/>
      <x:c r="O437" s="121"/>
      <x:c r="P437" s="9"/>
      <x:c r="Q437" s="9"/>
      <x:c r="R437" s="9"/>
      <x:c r="S437" s="9"/>
      <x:c r="T437" s="9"/>
      <x:c r="U437" s="9"/>
      <x:c r="V437" s="9"/>
      <x:c r="W437" s="9"/>
      <x:c r="X437" s="9"/>
      <x:c r="Y437" s="9"/>
      <x:c r="Z437" s="9"/>
    </x:row>
    <x:row r="438" ht="14.25" customHeight="1">
      <x:c r="A438" s="1" t="s">
        <x:v>878</x:v>
      </x:c>
      <x:c r="B438" s="1" t="s">
        <x:v>509</x:v>
      </x:c>
      <x:c r="C438" s="1">
        <x:v>6.8</x:v>
      </x:c>
      <x:c r="D438" s="1">
        <x:v>78.2</x:v>
      </x:c>
      <x:c r="E438" s="1">
        <x:v>0.6</x:v>
      </x:c>
      <x:c r="F438" s="1">
        <x:v>0.0</x:v>
      </x:c>
      <x:c r="G438" s="1">
        <x:v>0.0</x:v>
      </x:c>
      <x:c r="H438" s="1">
        <x:v>0.0</x:v>
      </x:c>
      <x:c r="I438" s="1">
        <x:v>0.1</x:v>
      </x:c>
      <x:c r="J438" s="1">
        <x:v>18.3</x:v>
      </x:c>
      <x:c r="K438" s="18">
        <x:f t="shared" si="1"/>
        <x:v>0</x:v>
      </x:c>
      <x:c r="L438" s="18">
        <x:f t="shared" si="2"/>
        <x:v>3.846200466</x:v>
      </x:c>
      <x:c r="M438" s="119" t="n">
        <x:f>C440*Scoring!$B$34+D440/Scoring!$C$34+E440*Scoring!$D$34+WR!F440*Scoring!$E$34+WR!G440/Scoring!$F$34+WR!H440*Scoring!$G$34+WR!I440*Scoring!$H$34+K440*Scoring!$I$34+WR!L440*Scoring!$J$34+U438</x:f>
        <x:v>14.72</x:v>
      </x:c>
      <x:c r="N438" s="119" t="n">
        <x:f>C438*Scoring!$B$34+D438/Scoring!$C$34+E438*Scoring!$D$34+WR!F438*Scoring!$E$34+WR!G438/Scoring!$F$34+WR!H438*Scoring!$G$34+WR!I438*Scoring!$H$34+K438*Scoring!$I$34+WR!L438*Scoring!$J$34+U438</x:f>
        <x:v>14.72</x:v>
      </x:c>
      <x:c r="O438" s="119" t="n">
        <x:f>C439*Scoring!$B$34+D439/Scoring!$C$34+E439*Scoring!$D$34+WR!F439*Scoring!$E$34+WR!G439/Scoring!$F$34+WR!H439*Scoring!$G$34+WR!I439*Scoring!$H$34+K439*Scoring!$I$34+WR!L439*Scoring!$J$34+U438</x:f>
        <x:v>14.72</x:v>
      </x:c>
      <x:c r="P438" s="9" t="n">
        <x:f>IF(COUNTIF(Rookies!$A:$A,A438)&gt;0,1,0)</x:f>
        <x:v>0</x:v>
      </x:c>
      <x:c r="Q438" s="9"/>
      <x:c r="R438" s="9"/>
      <x:c r="S438" s="9" t="n">
        <x:f>V438/17</x:f>
        <x:v>0.8658823529411765</x:v>
      </x:c>
      <x:c r="T438" s="9" t="n">
        <x:f>IF(P438=1,MAX(0,0.28*(12-S438)),0)</x:f>
        <x:v>0</x:v>
      </x:c>
      <x:c r="U438" s="9" t="n">
        <x:f>T438*17</x:f>
        <x:v>0</x:v>
      </x:c>
      <x:c r="V438" s="9" t="n">
        <x:f>C438*Scoring!$B$34+D438/Scoring!$C$34+E438*Scoring!$D$34+WR!F438*Scoring!$E$34+WR!G438/Scoring!$F$34+WR!H438*Scoring!$G$34+WR!I438*Scoring!$H$34+K438*Scoring!$I$34+WR!L438*Scoring!$J$34</x:f>
        <x:v>14.72</x:v>
      </x:c>
      <x:c r="W438" s="9"/>
      <x:c r="X438" s="9"/>
      <x:c r="Y438" s="9"/>
      <x:c r="Z438" s="9"/>
    </x:row>
    <x:row r="439" ht="14.25" customHeight="1">
      <x:c r="B439" s="1" t="s">
        <x:v>488</x:v>
      </x:c>
      <x:c r="C439" s="1">
        <x:v>6.8</x:v>
      </x:c>
      <x:c r="D439" s="1">
        <x:v>78.2</x:v>
      </x:c>
      <x:c r="E439" s="1">
        <x:v>0.6</x:v>
      </x:c>
      <x:c r="F439" s="1">
        <x:v>0.0</x:v>
      </x:c>
      <x:c r="G439" s="1">
        <x:v>0.0</x:v>
      </x:c>
      <x:c r="H439" s="1">
        <x:v>0.0</x:v>
      </x:c>
      <x:c r="I439" s="1">
        <x:v>0.1</x:v>
      </x:c>
      <x:c r="J439" s="1">
        <x:v>18.4</x:v>
      </x:c>
      <x:c r="K439" s="18">
        <x:f t="shared" si="1"/>
        <x:v>0</x:v>
      </x:c>
      <x:c r="L439" s="18">
        <x:f t="shared" si="2"/>
        <x:v>3.846200466</x:v>
      </x:c>
      <x:c r="M439" s="121"/>
      <x:c r="N439" s="121"/>
      <x:c r="O439" s="121"/>
      <x:c r="P439" s="9"/>
      <x:c r="Q439" s="9"/>
      <x:c r="R439" s="9"/>
      <x:c r="S439" s="9"/>
      <x:c r="T439" s="9"/>
      <x:c r="U439" s="9"/>
      <x:c r="V439" s="9"/>
      <x:c r="W439" s="9"/>
      <x:c r="X439" s="9"/>
      <x:c r="Y439" s="9"/>
      <x:c r="Z439" s="9"/>
    </x:row>
    <x:row r="440" ht="14.25" customHeight="1">
      <x:c r="B440" s="1" t="s">
        <x:v>489</x:v>
      </x:c>
      <x:c r="C440" s="1">
        <x:v>6.8</x:v>
      </x:c>
      <x:c r="D440" s="1">
        <x:v>78.2</x:v>
      </x:c>
      <x:c r="E440" s="1">
        <x:v>0.6</x:v>
      </x:c>
      <x:c r="F440" s="1">
        <x:v>0.0</x:v>
      </x:c>
      <x:c r="G440" s="1">
        <x:v>0.0</x:v>
      </x:c>
      <x:c r="H440" s="1">
        <x:v>0.0</x:v>
      </x:c>
      <x:c r="I440" s="1">
        <x:v>0.1</x:v>
      </x:c>
      <x:c r="J440" s="1">
        <x:v>18.4</x:v>
      </x:c>
      <x:c r="K440" s="18">
        <x:f t="shared" si="1"/>
        <x:v>0</x:v>
      </x:c>
      <x:c r="L440" s="18">
        <x:f t="shared" si="2"/>
        <x:v>3.846200466</x:v>
      </x:c>
      <x:c r="M440" s="121"/>
      <x:c r="N440" s="121"/>
      <x:c r="O440" s="121"/>
      <x:c r="P440" s="9"/>
      <x:c r="Q440" s="9"/>
      <x:c r="R440" s="9"/>
      <x:c r="S440" s="9"/>
      <x:c r="T440" s="9"/>
      <x:c r="U440" s="9"/>
      <x:c r="V440" s="9"/>
      <x:c r="W440" s="9"/>
      <x:c r="X440" s="9"/>
      <x:c r="Y440" s="9"/>
      <x:c r="Z440" s="9"/>
    </x:row>
    <x:row r="441" ht="14.25" customHeight="1">
      <x:c r="A441" s="1" t="s">
        <x:v>879</x:v>
      </x:c>
      <x:c r="B441" s="1" t="s">
        <x:v>513</x:v>
      </x:c>
      <x:c r="C441" s="1">
        <x:v>6.4</x:v>
      </x:c>
      <x:c r="D441" s="1">
        <x:v>80.6</x:v>
      </x:c>
      <x:c r="E441" s="1">
        <x:v>0.6</x:v>
      </x:c>
      <x:c r="F441" s="1">
        <x:v>0.0</x:v>
      </x:c>
      <x:c r="G441" s="1">
        <x:v>0.0</x:v>
      </x:c>
      <x:c r="H441" s="1">
        <x:v>0.0</x:v>
      </x:c>
      <x:c r="I441" s="1">
        <x:v>0.1</x:v>
      </x:c>
      <x:c r="J441" s="1">
        <x:v>17.8</x:v>
      </x:c>
      <x:c r="K441" s="18">
        <x:f t="shared" si="1"/>
        <x:v>0</x:v>
      </x:c>
      <x:c r="L441" s="18">
        <x:f t="shared" si="2"/>
        <x:v>3.964242424</x:v>
      </x:c>
      <x:c r="M441" s="119" t="n">
        <x:f>C443*Scoring!$B$34+D443/Scoring!$C$34+E443*Scoring!$D$34+WR!F443*Scoring!$E$34+WR!G443/Scoring!$F$34+WR!H443*Scoring!$G$34+WR!I443*Scoring!$H$34+K443*Scoring!$I$34+WR!L443*Scoring!$J$34+U441</x:f>
        <x:v>14.759999999999998</x:v>
      </x:c>
      <x:c r="N441" s="119" t="n">
        <x:f>C441*Scoring!$B$34+D441/Scoring!$C$34+E441*Scoring!$D$34+WR!F441*Scoring!$E$34+WR!G441/Scoring!$F$34+WR!H441*Scoring!$G$34+WR!I441*Scoring!$H$34+K441*Scoring!$I$34+WR!L441*Scoring!$J$34+U441</x:f>
        <x:v>14.759999999999998</x:v>
      </x:c>
      <x:c r="O441" s="119" t="n">
        <x:f>C442*Scoring!$B$34+D442/Scoring!$C$34+E442*Scoring!$D$34+WR!F442*Scoring!$E$34+WR!G442/Scoring!$F$34+WR!H442*Scoring!$G$34+WR!I442*Scoring!$H$34+K442*Scoring!$I$34+WR!L442*Scoring!$J$34+U441</x:f>
        <x:v>14.759999999999998</x:v>
      </x:c>
      <x:c r="P441" s="9" t="n">
        <x:f>IF(COUNTIF(Rookies!$A:$A,A441)&gt;0,1,0)</x:f>
        <x:v>0</x:v>
      </x:c>
      <x:c r="Q441" s="9"/>
      <x:c r="R441" s="9"/>
      <x:c r="S441" s="9" t="n">
        <x:f>V441/17</x:f>
        <x:v>0.868235294117647</x:v>
      </x:c>
      <x:c r="T441" s="9" t="n">
        <x:f>IF(P441=1,MAX(0,0.28*(12-S441)),0)</x:f>
        <x:v>0</x:v>
      </x:c>
      <x:c r="U441" s="9" t="n">
        <x:f>T441*17</x:f>
        <x:v>0</x:v>
      </x:c>
      <x:c r="V441" s="9" t="n">
        <x:f>C441*Scoring!$B$34+D441/Scoring!$C$34+E441*Scoring!$D$34+WR!F441*Scoring!$E$34+WR!G441/Scoring!$F$34+WR!H441*Scoring!$G$34+WR!I441*Scoring!$H$34+K441*Scoring!$I$34+WR!L441*Scoring!$J$34</x:f>
        <x:v>14.759999999999998</x:v>
      </x:c>
      <x:c r="W441" s="9"/>
      <x:c r="X441" s="9"/>
      <x:c r="Y441" s="9"/>
      <x:c r="Z441" s="9"/>
    </x:row>
    <x:row r="442" ht="14.25" customHeight="1">
      <x:c r="B442" s="1" t="s">
        <x:v>488</x:v>
      </x:c>
      <x:c r="C442" s="1">
        <x:v>6.4</x:v>
      </x:c>
      <x:c r="D442" s="1">
        <x:v>80.6</x:v>
      </x:c>
      <x:c r="E442" s="1">
        <x:v>0.6</x:v>
      </x:c>
      <x:c r="F442" s="1">
        <x:v>0.0</x:v>
      </x:c>
      <x:c r="G442" s="1">
        <x:v>0.0</x:v>
      </x:c>
      <x:c r="H442" s="1">
        <x:v>0.0</x:v>
      </x:c>
      <x:c r="I442" s="1">
        <x:v>0.1</x:v>
      </x:c>
      <x:c r="J442" s="1">
        <x:v>18.1</x:v>
      </x:c>
      <x:c r="K442" s="18">
        <x:f t="shared" si="1"/>
        <x:v>0</x:v>
      </x:c>
      <x:c r="L442" s="18">
        <x:f t="shared" si="2"/>
        <x:v>3.964242424</x:v>
      </x:c>
      <x:c r="M442" s="121"/>
      <x:c r="N442" s="121"/>
      <x:c r="O442" s="121"/>
      <x:c r="P442" s="9"/>
      <x:c r="Q442" s="9"/>
      <x:c r="R442" s="9"/>
      <x:c r="S442" s="9"/>
      <x:c r="T442" s="9"/>
      <x:c r="U442" s="9"/>
      <x:c r="V442" s="9"/>
      <x:c r="W442" s="9"/>
      <x:c r="X442" s="9"/>
      <x:c r="Y442" s="9"/>
      <x:c r="Z442" s="9"/>
    </x:row>
    <x:row r="443" ht="14.25" customHeight="1">
      <x:c r="B443" s="1" t="s">
        <x:v>489</x:v>
      </x:c>
      <x:c r="C443" s="1">
        <x:v>6.4</x:v>
      </x:c>
      <x:c r="D443" s="1">
        <x:v>80.6</x:v>
      </x:c>
      <x:c r="E443" s="1">
        <x:v>0.6</x:v>
      </x:c>
      <x:c r="F443" s="1">
        <x:v>0.0</x:v>
      </x:c>
      <x:c r="G443" s="1">
        <x:v>0.0</x:v>
      </x:c>
      <x:c r="H443" s="1">
        <x:v>0.0</x:v>
      </x:c>
      <x:c r="I443" s="1">
        <x:v>0.1</x:v>
      </x:c>
      <x:c r="J443" s="1">
        <x:v>18.1</x:v>
      </x:c>
      <x:c r="K443" s="18">
        <x:f t="shared" si="1"/>
        <x:v>0</x:v>
      </x:c>
      <x:c r="L443" s="18">
        <x:f t="shared" si="2"/>
        <x:v>3.964242424</x:v>
      </x:c>
      <x:c r="M443" s="121"/>
      <x:c r="N443" s="121"/>
      <x:c r="O443" s="121"/>
      <x:c r="P443" s="9"/>
      <x:c r="Q443" s="9"/>
      <x:c r="R443" s="9"/>
      <x:c r="S443" s="9"/>
      <x:c r="T443" s="9"/>
      <x:c r="U443" s="9"/>
      <x:c r="V443" s="9"/>
      <x:c r="W443" s="9"/>
      <x:c r="X443" s="9"/>
      <x:c r="Y443" s="9"/>
      <x:c r="Z443" s="9"/>
    </x:row>
    <x:row r="444" ht="14.25" customHeight="1">
      <x:c r="A444" s="1" t="s">
        <x:v>880</x:v>
      </x:c>
      <x:c r="B444" s="1" t="s">
        <x:v>527</x:v>
      </x:c>
      <x:c r="C444" s="1">
        <x:v>6.1</x:v>
      </x:c>
      <x:c r="D444" s="1">
        <x:v>76.6</x:v>
      </x:c>
      <x:c r="E444" s="1">
        <x:v>0.6</x:v>
      </x:c>
      <x:c r="F444" s="1">
        <x:v>0.0</x:v>
      </x:c>
      <x:c r="G444" s="1">
        <x:v>0.0</x:v>
      </x:c>
      <x:c r="H444" s="1">
        <x:v>0.0</x:v>
      </x:c>
      <x:c r="I444" s="1">
        <x:v>0.1</x:v>
      </x:c>
      <x:c r="J444" s="1">
        <x:v>17.2</x:v>
      </x:c>
      <x:c r="K444" s="18">
        <x:f t="shared" si="1"/>
        <x:v>0</x:v>
      </x:c>
      <x:c r="L444" s="18">
        <x:f t="shared" si="2"/>
        <x:v>3.767505828</x:v>
      </x:c>
      <x:c r="M444" s="119" t="n">
        <x:f>C446*Scoring!$B$34+D446/Scoring!$C$34+E446*Scoring!$D$34+WR!F446*Scoring!$E$34+WR!G446/Scoring!$F$34+WR!H446*Scoring!$G$34+WR!I446*Scoring!$H$34+K446*Scoring!$I$34+WR!L446*Scoring!$J$34+U444</x:f>
        <x:v>14.209999999999999</x:v>
      </x:c>
      <x:c r="N444" s="119" t="n">
        <x:f>C444*Scoring!$B$34+D444/Scoring!$C$34+E444*Scoring!$D$34+WR!F444*Scoring!$E$34+WR!G444/Scoring!$F$34+WR!H444*Scoring!$G$34+WR!I444*Scoring!$H$34+K444*Scoring!$I$34+WR!L444*Scoring!$J$34+U444</x:f>
        <x:v>14.209999999999999</x:v>
      </x:c>
      <x:c r="O444" s="119" t="n">
        <x:f>C445*Scoring!$B$34+D445/Scoring!$C$34+E445*Scoring!$D$34+WR!F445*Scoring!$E$34+WR!G445/Scoring!$F$34+WR!H445*Scoring!$G$34+WR!I445*Scoring!$H$34+K445*Scoring!$I$34+WR!L445*Scoring!$J$34+U444</x:f>
        <x:v>14.209999999999999</x:v>
      </x:c>
      <x:c r="P444" s="9" t="n">
        <x:f>IF(COUNTIF(Rookies!$A:$A,A444)&gt;0,1,0)</x:f>
        <x:v>0</x:v>
      </x:c>
      <x:c r="Q444" s="9"/>
      <x:c r="R444" s="9"/>
      <x:c r="S444" s="9" t="n">
        <x:f>V444/17</x:f>
        <x:v>0.8358823529411764</x:v>
      </x:c>
      <x:c r="T444" s="9" t="n">
        <x:f>IF(P444=1,MAX(0,0.28*(12-S444)),0)</x:f>
        <x:v>0</x:v>
      </x:c>
      <x:c r="U444" s="9" t="n">
        <x:f>T444*17</x:f>
        <x:v>0</x:v>
      </x:c>
      <x:c r="V444" s="9" t="n">
        <x:f>C444*Scoring!$B$34+D444/Scoring!$C$34+E444*Scoring!$D$34+WR!F444*Scoring!$E$34+WR!G444/Scoring!$F$34+WR!H444*Scoring!$G$34+WR!I444*Scoring!$H$34+K444*Scoring!$I$34+WR!L444*Scoring!$J$34</x:f>
        <x:v>14.209999999999999</x:v>
      </x:c>
      <x:c r="W444" s="9"/>
      <x:c r="X444" s="9"/>
      <x:c r="Y444" s="9"/>
      <x:c r="Z444" s="9"/>
    </x:row>
    <x:row r="445" ht="14.25" customHeight="1">
      <x:c r="B445" s="1" t="s">
        <x:v>488</x:v>
      </x:c>
      <x:c r="C445" s="1">
        <x:v>6.1</x:v>
      </x:c>
      <x:c r="D445" s="1">
        <x:v>76.6</x:v>
      </x:c>
      <x:c r="E445" s="1">
        <x:v>0.6</x:v>
      </x:c>
      <x:c r="F445" s="1">
        <x:v>0.0</x:v>
      </x:c>
      <x:c r="G445" s="1">
        <x:v>0.0</x:v>
      </x:c>
      <x:c r="H445" s="1">
        <x:v>0.0</x:v>
      </x:c>
      <x:c r="I445" s="1">
        <x:v>0.1</x:v>
      </x:c>
      <x:c r="J445" s="1">
        <x:v>17.3</x:v>
      </x:c>
      <x:c r="K445" s="18">
        <x:f t="shared" si="1"/>
        <x:v>0</x:v>
      </x:c>
      <x:c r="L445" s="18">
        <x:f t="shared" si="2"/>
        <x:v>3.767505828</x:v>
      </x:c>
      <x:c r="M445" s="121"/>
      <x:c r="N445" s="121"/>
      <x:c r="O445" s="121"/>
      <x:c r="P445" s="9"/>
      <x:c r="Q445" s="9"/>
      <x:c r="R445" s="9"/>
      <x:c r="S445" s="9"/>
      <x:c r="T445" s="9"/>
      <x:c r="U445" s="9"/>
      <x:c r="V445" s="9"/>
      <x:c r="W445" s="9"/>
      <x:c r="X445" s="9"/>
      <x:c r="Y445" s="9"/>
      <x:c r="Z445" s="9"/>
    </x:row>
    <x:row r="446" ht="14.25" customHeight="1">
      <x:c r="B446" s="1" t="s">
        <x:v>489</x:v>
      </x:c>
      <x:c r="C446" s="1">
        <x:v>6.1</x:v>
      </x:c>
      <x:c r="D446" s="1">
        <x:v>76.6</x:v>
      </x:c>
      <x:c r="E446" s="1">
        <x:v>0.6</x:v>
      </x:c>
      <x:c r="F446" s="1">
        <x:v>0.0</x:v>
      </x:c>
      <x:c r="G446" s="1">
        <x:v>0.0</x:v>
      </x:c>
      <x:c r="H446" s="1">
        <x:v>0.0</x:v>
      </x:c>
      <x:c r="I446" s="1">
        <x:v>0.1</x:v>
      </x:c>
      <x:c r="J446" s="1">
        <x:v>17.3</x:v>
      </x:c>
      <x:c r="K446" s="18">
        <x:f t="shared" si="1"/>
        <x:v>0</x:v>
      </x:c>
      <x:c r="L446" s="18">
        <x:f t="shared" si="2"/>
        <x:v>3.767505828</x:v>
      </x:c>
      <x:c r="M446" s="121"/>
      <x:c r="N446" s="121"/>
      <x:c r="O446" s="121"/>
      <x:c r="P446" s="9"/>
      <x:c r="Q446" s="9"/>
      <x:c r="R446" s="9"/>
      <x:c r="S446" s="9"/>
      <x:c r="T446" s="9"/>
      <x:c r="U446" s="9"/>
      <x:c r="V446" s="9"/>
      <x:c r="W446" s="9"/>
      <x:c r="X446" s="9"/>
      <x:c r="Y446" s="9"/>
      <x:c r="Z446" s="9"/>
    </x:row>
    <x:row r="447" ht="14.25" customHeight="1">
      <x:c r="A447" s="1" t="s">
        <x:v>881</x:v>
      </x:c>
      <x:c r="B447" s="1" t="s">
        <x:v>521</x:v>
      </x:c>
      <x:c r="C447" s="1">
        <x:v>6.8</x:v>
      </x:c>
      <x:c r="D447" s="1">
        <x:v>80.5</x:v>
      </x:c>
      <x:c r="E447" s="1">
        <x:v>0.3</x:v>
      </x:c>
      <x:c r="F447" s="1">
        <x:v>0.0</x:v>
      </x:c>
      <x:c r="G447" s="1">
        <x:v>0.0</x:v>
      </x:c>
      <x:c r="H447" s="1">
        <x:v>0.0</x:v>
      </x:c>
      <x:c r="I447" s="1">
        <x:v>0.1</x:v>
      </x:c>
      <x:c r="J447" s="1">
        <x:v>16.7</x:v>
      </x:c>
      <x:c r="K447" s="18">
        <x:f t="shared" si="1"/>
        <x:v>0</x:v>
      </x:c>
      <x:c r="L447" s="18">
        <x:f t="shared" si="2"/>
        <x:v>3.959324009</x:v>
      </x:c>
      <x:c r="M447" s="119" t="n">
        <x:f>C449*Scoring!$B$34+D449/Scoring!$C$34+E449*Scoring!$D$34+WR!F449*Scoring!$E$34+WR!G449/Scoring!$F$34+WR!H449*Scoring!$G$34+WR!I449*Scoring!$H$34+K449*Scoring!$I$34+WR!L449*Scoring!$J$34+U447</x:f>
        <x:v>13.15</x:v>
      </x:c>
      <x:c r="N447" s="119" t="n">
        <x:f>C447*Scoring!$B$34+D447/Scoring!$C$34+E447*Scoring!$D$34+WR!F447*Scoring!$E$34+WR!G447/Scoring!$F$34+WR!H447*Scoring!$G$34+WR!I447*Scoring!$H$34+K447*Scoring!$I$34+WR!L447*Scoring!$J$34+U447</x:f>
        <x:v>13.15</x:v>
      </x:c>
      <x:c r="O447" s="119" t="n">
        <x:f>C448*Scoring!$B$34+D448/Scoring!$C$34+E448*Scoring!$D$34+WR!F448*Scoring!$E$34+WR!G448/Scoring!$F$34+WR!H448*Scoring!$G$34+WR!I448*Scoring!$H$34+K448*Scoring!$I$34+WR!L448*Scoring!$J$34+U447</x:f>
        <x:v>13.15</x:v>
      </x:c>
      <x:c r="P447" s="9" t="n">
        <x:f>IF(COUNTIF(Rookies!$A:$A,A447)&gt;0,1,0)</x:f>
        <x:v>0</x:v>
      </x:c>
      <x:c r="Q447" s="9"/>
      <x:c r="R447" s="9"/>
      <x:c r="S447" s="9" t="n">
        <x:f>V447/17</x:f>
        <x:v>0.7735294117647059</x:v>
      </x:c>
      <x:c r="T447" s="9" t="n">
        <x:f>IF(P447=1,MAX(0,0.28*(12-S447)),0)</x:f>
        <x:v>0</x:v>
      </x:c>
      <x:c r="U447" s="9" t="n">
        <x:f>T447*17</x:f>
        <x:v>0</x:v>
      </x:c>
      <x:c r="V447" s="9" t="n">
        <x:f>C447*Scoring!$B$34+D447/Scoring!$C$34+E447*Scoring!$D$34+WR!F447*Scoring!$E$34+WR!G447/Scoring!$F$34+WR!H447*Scoring!$G$34+WR!I447*Scoring!$H$34+K447*Scoring!$I$34+WR!L447*Scoring!$J$34</x:f>
        <x:v>13.15</x:v>
      </x:c>
      <x:c r="W447" s="9"/>
      <x:c r="X447" s="9"/>
      <x:c r="Y447" s="9"/>
      <x:c r="Z447" s="9"/>
    </x:row>
    <x:row r="448" ht="14.25" customHeight="1">
      <x:c r="B448" s="1" t="s">
        <x:v>488</x:v>
      </x:c>
      <x:c r="C448" s="1">
        <x:v>6.8</x:v>
      </x:c>
      <x:c r="D448" s="1">
        <x:v>80.5</x:v>
      </x:c>
      <x:c r="E448" s="1">
        <x:v>0.3</x:v>
      </x:c>
      <x:c r="F448" s="1">
        <x:v>0.0</x:v>
      </x:c>
      <x:c r="G448" s="1">
        <x:v>0.0</x:v>
      </x:c>
      <x:c r="H448" s="1">
        <x:v>0.0</x:v>
      </x:c>
      <x:c r="I448" s="1">
        <x:v>0.1</x:v>
      </x:c>
      <x:c r="J448" s="1">
        <x:v>17.4</x:v>
      </x:c>
      <x:c r="K448" s="18">
        <x:f t="shared" si="1"/>
        <x:v>0</x:v>
      </x:c>
      <x:c r="L448" s="18">
        <x:f t="shared" si="2"/>
        <x:v>3.959324009</x:v>
      </x:c>
      <x:c r="M448" s="121"/>
      <x:c r="N448" s="121"/>
      <x:c r="O448" s="121"/>
      <x:c r="P448" s="9"/>
      <x:c r="Q448" s="9"/>
      <x:c r="R448" s="9"/>
      <x:c r="S448" s="9"/>
      <x:c r="T448" s="9"/>
      <x:c r="U448" s="9"/>
      <x:c r="V448" s="9"/>
      <x:c r="W448" s="9"/>
      <x:c r="X448" s="9"/>
      <x:c r="Y448" s="9"/>
      <x:c r="Z448" s="9"/>
    </x:row>
    <x:row r="449" ht="14.25" customHeight="1">
      <x:c r="B449" s="1" t="s">
        <x:v>489</x:v>
      </x:c>
      <x:c r="C449" s="1">
        <x:v>6.8</x:v>
      </x:c>
      <x:c r="D449" s="1">
        <x:v>80.5</x:v>
      </x:c>
      <x:c r="E449" s="1">
        <x:v>0.3</x:v>
      </x:c>
      <x:c r="F449" s="1">
        <x:v>0.0</x:v>
      </x:c>
      <x:c r="G449" s="1">
        <x:v>0.0</x:v>
      </x:c>
      <x:c r="H449" s="1">
        <x:v>0.0</x:v>
      </x:c>
      <x:c r="I449" s="1">
        <x:v>0.1</x:v>
      </x:c>
      <x:c r="J449" s="1">
        <x:v>17.4</x:v>
      </x:c>
      <x:c r="K449" s="18">
        <x:f t="shared" si="1"/>
        <x:v>0</x:v>
      </x:c>
      <x:c r="L449" s="18">
        <x:f t="shared" si="2"/>
        <x:v>3.959324009</x:v>
      </x:c>
      <x:c r="M449" s="121"/>
      <x:c r="N449" s="121"/>
      <x:c r="O449" s="121"/>
      <x:c r="P449" s="9"/>
      <x:c r="Q449" s="9"/>
      <x:c r="R449" s="9"/>
      <x:c r="S449" s="9"/>
      <x:c r="T449" s="9"/>
      <x:c r="U449" s="9"/>
      <x:c r="V449" s="9"/>
      <x:c r="W449" s="9"/>
      <x:c r="X449" s="9"/>
      <x:c r="Y449" s="9"/>
      <x:c r="Z449" s="9"/>
    </x:row>
    <x:row r="450" ht="14.25" customHeight="1">
      <x:c r="A450" s="1" t="s">
        <x:v>882</x:v>
      </x:c>
      <x:c r="B450" s="1" t="s">
        <x:v>547</x:v>
      </x:c>
      <x:c r="C450" s="1">
        <x:v>6.0</x:v>
      </x:c>
      <x:c r="D450" s="1">
        <x:v>83.0</x:v>
      </x:c>
      <x:c r="E450" s="1">
        <x:v>0.3</x:v>
      </x:c>
      <x:c r="F450" s="1">
        <x:v>0.0</x:v>
      </x:c>
      <x:c r="G450" s="1">
        <x:v>0.0</x:v>
      </x:c>
      <x:c r="H450" s="1">
        <x:v>0.0</x:v>
      </x:c>
      <x:c r="I450" s="1">
        <x:v>0.1</x:v>
      </x:c>
      <x:c r="J450" s="1">
        <x:v>16.0</x:v>
      </x:c>
      <x:c r="K450" s="18">
        <x:f t="shared" si="1"/>
        <x:v>0</x:v>
      </x:c>
      <x:c r="L450" s="18">
        <x:f t="shared" si="2"/>
        <x:v>4.082284382</x:v>
      </x:c>
      <x:c r="M450" s="119" t="n">
        <x:f>C452*Scoring!$B$34+D452/Scoring!$C$34+E452*Scoring!$D$34+WR!F452*Scoring!$E$34+WR!G452/Scoring!$F$34+WR!H452*Scoring!$G$34+WR!I452*Scoring!$H$34+K452*Scoring!$I$34+WR!L452*Scoring!$J$34+U450</x:f>
        <x:v>13.000000000000002</x:v>
      </x:c>
      <x:c r="N450" s="119" t="n">
        <x:f>C450*Scoring!$B$34+D450/Scoring!$C$34+E450*Scoring!$D$34+WR!F450*Scoring!$E$34+WR!G450/Scoring!$F$34+WR!H450*Scoring!$G$34+WR!I450*Scoring!$H$34+K450*Scoring!$I$34+WR!L450*Scoring!$J$34+U450</x:f>
        <x:v>13.000000000000002</x:v>
      </x:c>
      <x:c r="O450" s="119" t="n">
        <x:f>C451*Scoring!$B$34+D451/Scoring!$C$34+E451*Scoring!$D$34+WR!F451*Scoring!$E$34+WR!G451/Scoring!$F$34+WR!H451*Scoring!$G$34+WR!I451*Scoring!$H$34+K451*Scoring!$I$34+WR!L451*Scoring!$J$34+U450</x:f>
        <x:v>13.000000000000002</x:v>
      </x:c>
      <x:c r="P450" s="9" t="n">
        <x:f>IF(COUNTIF(Rookies!$A:$A,A450)&gt;0,1,0)</x:f>
        <x:v>0</x:v>
      </x:c>
      <x:c r="Q450" s="9"/>
      <x:c r="R450" s="9"/>
      <x:c r="S450" s="9" t="n">
        <x:f>V450/17</x:f>
        <x:v>0.7647058823529412</x:v>
      </x:c>
      <x:c r="T450" s="9" t="n">
        <x:f>IF(P450=1,MAX(0,0.28*(12-S450)),0)</x:f>
        <x:v>0</x:v>
      </x:c>
      <x:c r="U450" s="9" t="n">
        <x:f>T450*17</x:f>
        <x:v>0</x:v>
      </x:c>
      <x:c r="V450" s="9" t="n">
        <x:f>C450*Scoring!$B$34+D450/Scoring!$C$34+E450*Scoring!$D$34+WR!F450*Scoring!$E$34+WR!G450/Scoring!$F$34+WR!H450*Scoring!$G$34+WR!I450*Scoring!$H$34+K450*Scoring!$I$34+WR!L450*Scoring!$J$34</x:f>
        <x:v>13.000000000000002</x:v>
      </x:c>
      <x:c r="W450" s="9"/>
      <x:c r="X450" s="9"/>
      <x:c r="Y450" s="9"/>
      <x:c r="Z450" s="9"/>
    </x:row>
    <x:row r="451" ht="14.25" customHeight="1">
      <x:c r="B451" s="1" t="s">
        <x:v>488</x:v>
      </x:c>
      <x:c r="C451" s="1">
        <x:v>6.0</x:v>
      </x:c>
      <x:c r="D451" s="1">
        <x:v>83.0</x:v>
      </x:c>
      <x:c r="E451" s="1">
        <x:v>0.3</x:v>
      </x:c>
      <x:c r="F451" s="1">
        <x:v>0.0</x:v>
      </x:c>
      <x:c r="G451" s="1">
        <x:v>0.0</x:v>
      </x:c>
      <x:c r="H451" s="1">
        <x:v>0.0</x:v>
      </x:c>
      <x:c r="I451" s="1">
        <x:v>0.1</x:v>
      </x:c>
      <x:c r="J451" s="1">
        <x:v>16.1</x:v>
      </x:c>
      <x:c r="K451" s="18">
        <x:f t="shared" si="1"/>
        <x:v>0</x:v>
      </x:c>
      <x:c r="L451" s="18">
        <x:f t="shared" si="2"/>
        <x:v>4.082284382</x:v>
      </x:c>
      <x:c r="M451" s="121"/>
      <x:c r="N451" s="121"/>
      <x:c r="O451" s="121"/>
      <x:c r="P451" s="9"/>
      <x:c r="Q451" s="9"/>
      <x:c r="R451" s="9"/>
      <x:c r="S451" s="9"/>
      <x:c r="T451" s="9"/>
      <x:c r="U451" s="9"/>
      <x:c r="V451" s="9"/>
      <x:c r="W451" s="9"/>
      <x:c r="X451" s="9"/>
      <x:c r="Y451" s="9"/>
      <x:c r="Z451" s="9"/>
    </x:row>
    <x:row r="452" ht="14.25" customHeight="1">
      <x:c r="B452" s="1" t="s">
        <x:v>489</x:v>
      </x:c>
      <x:c r="C452" s="1">
        <x:v>6.0</x:v>
      </x:c>
      <x:c r="D452" s="1">
        <x:v>83.0</x:v>
      </x:c>
      <x:c r="E452" s="1">
        <x:v>0.3</x:v>
      </x:c>
      <x:c r="F452" s="1">
        <x:v>0.0</x:v>
      </x:c>
      <x:c r="G452" s="1">
        <x:v>0.0</x:v>
      </x:c>
      <x:c r="H452" s="1">
        <x:v>0.0</x:v>
      </x:c>
      <x:c r="I452" s="1">
        <x:v>0.1</x:v>
      </x:c>
      <x:c r="J452" s="1">
        <x:v>16.1</x:v>
      </x:c>
      <x:c r="K452" s="18">
        <x:f t="shared" si="1"/>
        <x:v>0</x:v>
      </x:c>
      <x:c r="L452" s="18">
        <x:f t="shared" si="2"/>
        <x:v>4.082284382</x:v>
      </x:c>
      <x:c r="M452" s="121"/>
      <x:c r="N452" s="121"/>
      <x:c r="O452" s="121"/>
      <x:c r="P452" s="9"/>
      <x:c r="Q452" s="9"/>
      <x:c r="R452" s="9"/>
      <x:c r="S452" s="9"/>
      <x:c r="T452" s="9"/>
      <x:c r="U452" s="9"/>
      <x:c r="V452" s="9"/>
      <x:c r="W452" s="9"/>
      <x:c r="X452" s="9"/>
      <x:c r="Y452" s="9"/>
      <x:c r="Z452" s="9"/>
    </x:row>
    <x:row r="453" ht="14.25" customHeight="1">
      <x:c r="A453" s="1" t="s">
        <x:v>883</x:v>
      </x:c>
      <x:c r="B453" s="1" t="s">
        <x:v>519</x:v>
      </x:c>
      <x:c r="C453" s="1">
        <x:v>4.1</x:v>
      </x:c>
      <x:c r="D453" s="1">
        <x:v>39.7</x:v>
      </x:c>
      <x:c r="E453" s="1">
        <x:v>0.3</x:v>
      </x:c>
      <x:c r="F453" s="1">
        <x:v>4.6</x:v>
      </x:c>
      <x:c r="G453" s="1">
        <x:v>24.0</x:v>
      </x:c>
      <x:c r="H453" s="1">
        <x:v>0.4</x:v>
      </x:c>
      <x:c r="I453" s="1">
        <x:v>0.1</x:v>
      </x:c>
      <x:c r="J453" s="1">
        <x:v>14.1</x:v>
      </x:c>
      <x:c r="K453" s="18">
        <x:f t="shared" si="1"/>
        <x:v>1.487373004</x:v>
      </x:c>
      <x:c r="L453" s="18">
        <x:f t="shared" si="2"/>
        <x:v>1.952610723</x:v>
      </x:c>
      <x:c r="M453" s="119" t="n">
        <x:f>C455*Scoring!$B$34+D455/Scoring!$C$34+E455*Scoring!$D$34+WR!F455*Scoring!$E$34+WR!G455/Scoring!$F$34+WR!H455*Scoring!$G$34+WR!I455*Scoring!$H$34+K455*Scoring!$I$34+WR!L455*Scoring!$J$34+U453</x:f>
        <x:v>12.52</x:v>
      </x:c>
      <x:c r="N453" s="119" t="n">
        <x:f>C453*Scoring!$B$34+D453/Scoring!$C$34+E453*Scoring!$D$34+WR!F453*Scoring!$E$34+WR!G453/Scoring!$F$34+WR!H453*Scoring!$G$34+WR!I453*Scoring!$H$34+K453*Scoring!$I$34+WR!L453*Scoring!$J$34+U453</x:f>
        <x:v>12.52</x:v>
      </x:c>
      <x:c r="O453" s="119" t="n">
        <x:f>C454*Scoring!$B$34+D454/Scoring!$C$34+E454*Scoring!$D$34+WR!F454*Scoring!$E$34+WR!G454/Scoring!$F$34+WR!H454*Scoring!$G$34+WR!I454*Scoring!$H$34+K454*Scoring!$I$34+WR!L454*Scoring!$J$34+U453</x:f>
        <x:v>12.52</x:v>
      </x:c>
      <x:c r="P453" s="9" t="n">
        <x:f>IF(COUNTIF(Rookies!$A:$A,A453)&gt;0,1,0)</x:f>
        <x:v>0</x:v>
      </x:c>
      <x:c r="Q453" s="9"/>
      <x:c r="R453" s="9"/>
      <x:c r="S453" s="9" t="n">
        <x:f>V453/17</x:f>
        <x:v>0.7364705882352941</x:v>
      </x:c>
      <x:c r="T453" s="9" t="n">
        <x:f>IF(P453=1,MAX(0,0.28*(12-S453)),0)</x:f>
        <x:v>0</x:v>
      </x:c>
      <x:c r="U453" s="9" t="n">
        <x:f>T453*17</x:f>
        <x:v>0</x:v>
      </x:c>
      <x:c r="V453" s="9" t="n">
        <x:f>C453*Scoring!$B$34+D453/Scoring!$C$34+E453*Scoring!$D$34+WR!F453*Scoring!$E$34+WR!G453/Scoring!$F$34+WR!H453*Scoring!$G$34+WR!I453*Scoring!$H$34+K453*Scoring!$I$34+WR!L453*Scoring!$J$34</x:f>
        <x:v>12.52</x:v>
      </x:c>
      <x:c r="W453" s="9"/>
      <x:c r="X453" s="9"/>
      <x:c r="Y453" s="9"/>
      <x:c r="Z453" s="9"/>
    </x:row>
    <x:row r="454" ht="14.25" customHeight="1">
      <x:c r="B454" s="1" t="s">
        <x:v>488</x:v>
      </x:c>
      <x:c r="C454" s="1">
        <x:v>4.1</x:v>
      </x:c>
      <x:c r="D454" s="1">
        <x:v>39.7</x:v>
      </x:c>
      <x:c r="E454" s="1">
        <x:v>0.3</x:v>
      </x:c>
      <x:c r="F454" s="1">
        <x:v>4.6</x:v>
      </x:c>
      <x:c r="G454" s="1">
        <x:v>24.0</x:v>
      </x:c>
      <x:c r="H454" s="1">
        <x:v>0.4</x:v>
      </x:c>
      <x:c r="I454" s="1">
        <x:v>0.1</x:v>
      </x:c>
      <x:c r="J454" s="1">
        <x:v>16.0</x:v>
      </x:c>
      <x:c r="K454" s="18">
        <x:f t="shared" si="1"/>
        <x:v>1.487373004</x:v>
      </x:c>
      <x:c r="L454" s="18">
        <x:f t="shared" si="2"/>
        <x:v>1.952610723</x:v>
      </x:c>
      <x:c r="M454" s="121"/>
      <x:c r="N454" s="121"/>
      <x:c r="O454" s="121"/>
      <x:c r="P454" s="9"/>
      <x:c r="Q454" s="9"/>
      <x:c r="R454" s="9"/>
      <x:c r="S454" s="9"/>
      <x:c r="T454" s="9"/>
      <x:c r="U454" s="9"/>
      <x:c r="V454" s="9"/>
      <x:c r="W454" s="9"/>
      <x:c r="X454" s="9"/>
      <x:c r="Y454" s="9"/>
      <x:c r="Z454" s="9"/>
    </x:row>
    <x:row r="455" ht="14.25" customHeight="1">
      <x:c r="B455" s="1" t="s">
        <x:v>489</x:v>
      </x:c>
      <x:c r="C455" s="1">
        <x:v>4.1</x:v>
      </x:c>
      <x:c r="D455" s="1">
        <x:v>39.7</x:v>
      </x:c>
      <x:c r="E455" s="1">
        <x:v>0.3</x:v>
      </x:c>
      <x:c r="F455" s="1">
        <x:v>4.6</x:v>
      </x:c>
      <x:c r="G455" s="1">
        <x:v>24.0</x:v>
      </x:c>
      <x:c r="H455" s="1">
        <x:v>0.4</x:v>
      </x:c>
      <x:c r="I455" s="1">
        <x:v>0.1</x:v>
      </x:c>
      <x:c r="J455" s="1">
        <x:v>16.0</x:v>
      </x:c>
      <x:c r="K455" s="18">
        <x:f t="shared" si="1"/>
        <x:v>1.487373004</x:v>
      </x:c>
      <x:c r="L455" s="18">
        <x:f t="shared" si="2"/>
        <x:v>1.952610723</x:v>
      </x:c>
      <x:c r="M455" s="121"/>
      <x:c r="N455" s="121"/>
      <x:c r="O455" s="121"/>
      <x:c r="P455" s="9"/>
      <x:c r="Q455" s="9"/>
      <x:c r="R455" s="9"/>
      <x:c r="S455" s="9"/>
      <x:c r="T455" s="9"/>
      <x:c r="U455" s="9"/>
      <x:c r="V455" s="9"/>
      <x:c r="W455" s="9"/>
      <x:c r="X455" s="9"/>
      <x:c r="Y455" s="9"/>
      <x:c r="Z455" s="9"/>
    </x:row>
    <x:row r="456" ht="14.25" customHeight="1">
      <x:c r="A456" s="1" t="s">
        <x:v>884</x:v>
      </x:c>
      <x:c r="B456" s="1" t="s">
        <x:v>521</x:v>
      </x:c>
      <x:c r="C456" s="1">
        <x:v>4.6</x:v>
      </x:c>
      <x:c r="D456" s="1">
        <x:v>57.3</x:v>
      </x:c>
      <x:c r="E456" s="1">
        <x:v>0.3</x:v>
      </x:c>
      <x:c r="F456" s="1">
        <x:v>0.0</x:v>
      </x:c>
      <x:c r="G456" s="1">
        <x:v>0.0</x:v>
      </x:c>
      <x:c r="H456" s="1">
        <x:v>0.0</x:v>
      </x:c>
      <x:c r="I456" s="1">
        <x:v>0.1</x:v>
      </x:c>
      <x:c r="J456" s="1">
        <x:v>11.8</x:v>
      </x:c>
      <x:c r="K456" s="18">
        <x:f t="shared" si="1"/>
        <x:v>0</x:v>
      </x:c>
      <x:c r="L456" s="18">
        <x:f t="shared" si="2"/>
        <x:v>2.818251748</x:v>
      </x:c>
      <x:c r="M456" s="119" t="n">
        <x:f>C458*Scoring!$B$34+D458/Scoring!$C$34+E458*Scoring!$D$34+WR!F458*Scoring!$E$34+WR!G458/Scoring!$F$34+WR!H458*Scoring!$G$34+WR!I458*Scoring!$H$34+K458*Scoring!$I$34+WR!L458*Scoring!$J$34+U456</x:f>
        <x:v>64.1256</x:v>
      </x:c>
      <x:c r="N456" s="119" t="n">
        <x:f>C456*Scoring!$B$34+D456/Scoring!$C$34+E456*Scoring!$D$34+WR!F456*Scoring!$E$34+WR!G456/Scoring!$F$34+WR!H456*Scoring!$G$34+WR!I456*Scoring!$H$34+K456*Scoring!$I$34+WR!L456*Scoring!$J$34+U456</x:f>
        <x:v>64.1256</x:v>
      </x:c>
      <x:c r="O456" s="119" t="n">
        <x:f>C457*Scoring!$B$34+D457/Scoring!$C$34+E457*Scoring!$D$34+WR!F457*Scoring!$E$34+WR!G457/Scoring!$F$34+WR!H457*Scoring!$G$34+WR!I457*Scoring!$H$34+K457*Scoring!$I$34+WR!L457*Scoring!$J$34+U456</x:f>
        <x:v>64.1256</x:v>
      </x:c>
      <x:c r="P456" s="9" t="n">
        <x:f>IF(COUNTIF(Rookies!$A:$A,A456)&gt;0,1,0)</x:f>
        <x:v>1</x:v>
      </x:c>
      <x:c r="Q456" s="9"/>
      <x:c r="R456" s="9"/>
      <x:c r="S456" s="9" t="n">
        <x:f>V456/17</x:f>
        <x:v>0.5723529411764705</x:v>
      </x:c>
      <x:c r="T456" s="9" t="n">
        <x:f>IF(P456=1,MAX(0,0.28*(12-S456)),0)</x:f>
        <x:v>3.1997411764705888</x:v>
      </x:c>
      <x:c r="U456" s="9" t="n">
        <x:f>T456*17</x:f>
        <x:v>54.39560000000001</x:v>
      </x:c>
      <x:c r="V456" s="9" t="n">
        <x:f>C456*Scoring!$B$34+D456/Scoring!$C$34+E456*Scoring!$D$34+WR!F456*Scoring!$E$34+WR!G456/Scoring!$F$34+WR!H456*Scoring!$G$34+WR!I456*Scoring!$H$34+K456*Scoring!$I$34+WR!L456*Scoring!$J$34</x:f>
        <x:v>9.729999999999999</x:v>
      </x:c>
      <x:c r="W456" s="9"/>
      <x:c r="X456" s="9"/>
      <x:c r="Y456" s="9"/>
      <x:c r="Z456" s="9"/>
    </x:row>
    <x:row r="457" ht="14.25" customHeight="1">
      <x:c r="B457" s="1" t="s">
        <x:v>488</x:v>
      </x:c>
      <x:c r="C457" s="1">
        <x:v>4.6</x:v>
      </x:c>
      <x:c r="D457" s="1">
        <x:v>57.3</x:v>
      </x:c>
      <x:c r="E457" s="1">
        <x:v>0.3</x:v>
      </x:c>
      <x:c r="F457" s="1">
        <x:v>0.0</x:v>
      </x:c>
      <x:c r="G457" s="1">
        <x:v>0.0</x:v>
      </x:c>
      <x:c r="H457" s="1">
        <x:v>0.0</x:v>
      </x:c>
      <x:c r="I457" s="1">
        <x:v>0.1</x:v>
      </x:c>
      <x:c r="J457" s="1">
        <x:v>13.2</x:v>
      </x:c>
      <x:c r="K457" s="18">
        <x:f t="shared" si="1"/>
        <x:v>0</x:v>
      </x:c>
      <x:c r="L457" s="18">
        <x:f t="shared" si="2"/>
        <x:v>2.818251748</x:v>
      </x:c>
      <x:c r="M457" s="121"/>
      <x:c r="N457" s="121"/>
      <x:c r="O457" s="121"/>
      <x:c r="P457" s="9"/>
      <x:c r="Q457" s="9"/>
      <x:c r="R457" s="9"/>
      <x:c r="S457" s="9"/>
      <x:c r="T457" s="9"/>
      <x:c r="U457" s="9"/>
      <x:c r="V457" s="9"/>
      <x:c r="W457" s="9"/>
      <x:c r="X457" s="9"/>
      <x:c r="Y457" s="9"/>
      <x:c r="Z457" s="9"/>
    </x:row>
    <x:row r="458" ht="14.25" customHeight="1">
      <x:c r="B458" s="1" t="s">
        <x:v>489</x:v>
      </x:c>
      <x:c r="C458" s="1">
        <x:v>4.6</x:v>
      </x:c>
      <x:c r="D458" s="1">
        <x:v>57.3</x:v>
      </x:c>
      <x:c r="E458" s="1">
        <x:v>0.3</x:v>
      </x:c>
      <x:c r="F458" s="1">
        <x:v>0.0</x:v>
      </x:c>
      <x:c r="G458" s="1">
        <x:v>0.0</x:v>
      </x:c>
      <x:c r="H458" s="1">
        <x:v>0.0</x:v>
      </x:c>
      <x:c r="I458" s="1">
        <x:v>0.1</x:v>
      </x:c>
      <x:c r="J458" s="1">
        <x:v>13.2</x:v>
      </x:c>
      <x:c r="K458" s="18">
        <x:f t="shared" si="1"/>
        <x:v>0</x:v>
      </x:c>
      <x:c r="L458" s="18">
        <x:f t="shared" si="2"/>
        <x:v>2.818251748</x:v>
      </x:c>
      <x:c r="M458" s="121"/>
      <x:c r="N458" s="121"/>
      <x:c r="O458" s="121"/>
      <x:c r="P458" s="9"/>
      <x:c r="Q458" s="9"/>
      <x:c r="R458" s="9"/>
      <x:c r="S458" s="9"/>
      <x:c r="T458" s="9"/>
      <x:c r="U458" s="9"/>
      <x:c r="V458" s="9"/>
      <x:c r="W458" s="9"/>
      <x:c r="X458" s="9"/>
      <x:c r="Y458" s="9"/>
      <x:c r="Z458" s="9"/>
    </x:row>
    <x:row r="459" ht="14.25" customHeight="1">
      <x:c r="A459" s="1" t="s">
        <x:v>885</x:v>
      </x:c>
      <x:c r="B459" s="1" t="s">
        <x:v>531</x:v>
      </x:c>
      <x:c r="C459" s="1">
        <x:v>2.9</x:v>
      </x:c>
      <x:c r="D459" s="1">
        <x:v>37.4</x:v>
      </x:c>
      <x:c r="E459" s="1">
        <x:v>0.3</x:v>
      </x:c>
      <x:c r="F459" s="1">
        <x:v>4.5</x:v>
      </x:c>
      <x:c r="G459" s="1">
        <x:v>25.9</x:v>
      </x:c>
      <x:c r="H459" s="1">
        <x:v>0.1</x:v>
      </x:c>
      <x:c r="I459" s="1">
        <x:v>0.1</x:v>
      </x:c>
      <x:c r="J459" s="1">
        <x:v>11.5</x:v>
      </x:c>
      <x:c r="K459" s="18">
        <x:f t="shared" si="1"/>
        <x:v>1.605123367</x:v>
      </x:c>
      <x:c r="L459" s="18">
        <x:f t="shared" si="2"/>
        <x:v>1.839487179</x:v>
      </x:c>
      <x:c r="M459" s="119" t="n">
        <x:f>C461*Scoring!$B$34+D461/Scoring!$C$34+E461*Scoring!$D$34+WR!F461*Scoring!$E$34+WR!G461/Scoring!$F$34+WR!H461*Scoring!$G$34+WR!I461*Scoring!$H$34+K461*Scoring!$I$34+WR!L461*Scoring!$J$34+U459</x:f>
        <x:v>10.079999999999998</x:v>
      </x:c>
      <x:c r="N459" s="119" t="n">
        <x:f>C459*Scoring!$B$34+D459/Scoring!$C$34+E459*Scoring!$D$34+WR!F459*Scoring!$E$34+WR!G459/Scoring!$F$34+WR!H459*Scoring!$G$34+WR!I459*Scoring!$H$34+K459*Scoring!$I$34+WR!L459*Scoring!$J$34+U459</x:f>
        <x:v>10.079999999999998</x:v>
      </x:c>
      <x:c r="O459" s="119" t="n">
        <x:f>C460*Scoring!$B$34+D460/Scoring!$C$34+E460*Scoring!$D$34+WR!F460*Scoring!$E$34+WR!G460/Scoring!$F$34+WR!H460*Scoring!$G$34+WR!I460*Scoring!$H$34+K460*Scoring!$I$34+WR!L460*Scoring!$J$34+U459</x:f>
        <x:v>10.079999999999998</x:v>
      </x:c>
      <x:c r="P459" s="9" t="n">
        <x:f>IF(COUNTIF(Rookies!$A:$A,A459)&gt;0,1,0)</x:f>
        <x:v>0</x:v>
      </x:c>
      <x:c r="Q459" s="9"/>
      <x:c r="R459" s="9"/>
      <x:c r="S459" s="9" t="n">
        <x:f>V459/17</x:f>
        <x:v>0.5929411764705881</x:v>
      </x:c>
      <x:c r="T459" s="9" t="n">
        <x:f>IF(P459=1,MAX(0,0.28*(12-S459)),0)</x:f>
        <x:v>0</x:v>
      </x:c>
      <x:c r="U459" s="9" t="n">
        <x:f>T459*17</x:f>
        <x:v>0</x:v>
      </x:c>
      <x:c r="V459" s="9" t="n">
        <x:f>C459*Scoring!$B$34+D459/Scoring!$C$34+E459*Scoring!$D$34+WR!F459*Scoring!$E$34+WR!G459/Scoring!$F$34+WR!H459*Scoring!$G$34+WR!I459*Scoring!$H$34+K459*Scoring!$I$34+WR!L459*Scoring!$J$34</x:f>
        <x:v>10.079999999999998</x:v>
      </x:c>
      <x:c r="W459" s="9"/>
      <x:c r="X459" s="9"/>
      <x:c r="Y459" s="9"/>
      <x:c r="Z459" s="9"/>
    </x:row>
    <x:row r="460" ht="14.25" customHeight="1">
      <x:c r="B460" s="1" t="s">
        <x:v>488</x:v>
      </x:c>
      <x:c r="C460" s="1">
        <x:v>2.9</x:v>
      </x:c>
      <x:c r="D460" s="1">
        <x:v>37.4</x:v>
      </x:c>
      <x:c r="E460" s="1">
        <x:v>0.3</x:v>
      </x:c>
      <x:c r="F460" s="1">
        <x:v>4.5</x:v>
      </x:c>
      <x:c r="G460" s="1">
        <x:v>25.9</x:v>
      </x:c>
      <x:c r="H460" s="1">
        <x:v>0.1</x:v>
      </x:c>
      <x:c r="I460" s="1">
        <x:v>0.1</x:v>
      </x:c>
      <x:c r="J460" s="1">
        <x:v>11.7</x:v>
      </x:c>
      <x:c r="K460" s="18">
        <x:f t="shared" si="1"/>
        <x:v>1.605123367</x:v>
      </x:c>
      <x:c r="L460" s="18">
        <x:f t="shared" si="2"/>
        <x:v>1.839487179</x:v>
      </x:c>
      <x:c r="M460" s="121"/>
      <x:c r="N460" s="121"/>
      <x:c r="O460" s="121"/>
      <x:c r="P460" s="9"/>
      <x:c r="Q460" s="9"/>
      <x:c r="R460" s="9"/>
      <x:c r="S460" s="9"/>
      <x:c r="T460" s="9"/>
      <x:c r="U460" s="9"/>
      <x:c r="V460" s="9"/>
      <x:c r="W460" s="9"/>
      <x:c r="X460" s="9"/>
      <x:c r="Y460" s="9"/>
      <x:c r="Z460" s="9"/>
    </x:row>
    <x:row r="461" ht="14.25" customHeight="1">
      <x:c r="B461" s="1" t="s">
        <x:v>489</x:v>
      </x:c>
      <x:c r="C461" s="1">
        <x:v>2.9</x:v>
      </x:c>
      <x:c r="D461" s="1">
        <x:v>37.4</x:v>
      </x:c>
      <x:c r="E461" s="1">
        <x:v>0.3</x:v>
      </x:c>
      <x:c r="F461" s="1">
        <x:v>4.5</x:v>
      </x:c>
      <x:c r="G461" s="1">
        <x:v>25.9</x:v>
      </x:c>
      <x:c r="H461" s="1">
        <x:v>0.1</x:v>
      </x:c>
      <x:c r="I461" s="1">
        <x:v>0.1</x:v>
      </x:c>
      <x:c r="J461" s="1">
        <x:v>11.7</x:v>
      </x:c>
      <x:c r="K461" s="18">
        <x:f t="shared" si="1"/>
        <x:v>1.605123367</x:v>
      </x:c>
      <x:c r="L461" s="18">
        <x:f t="shared" si="2"/>
        <x:v>1.839487179</x:v>
      </x:c>
      <x:c r="M461" s="121"/>
      <x:c r="N461" s="121"/>
      <x:c r="O461" s="121"/>
      <x:c r="P461" s="9"/>
      <x:c r="Q461" s="9"/>
      <x:c r="R461" s="9"/>
      <x:c r="S461" s="9"/>
      <x:c r="T461" s="9"/>
      <x:c r="U461" s="9"/>
      <x:c r="V461" s="9"/>
      <x:c r="W461" s="9"/>
      <x:c r="X461" s="9"/>
      <x:c r="Y461" s="9"/>
      <x:c r="Z461" s="9"/>
    </x:row>
    <x:row r="462" ht="14.25" customHeight="1">
      <x:c r="A462" s="1" t="s">
        <x:v>886</x:v>
      </x:c>
      <x:c r="B462" s="1" t="s">
        <x:v>487</x:v>
      </x:c>
      <x:c r="C462" s="1">
        <x:v>4.0</x:v>
      </x:c>
      <x:c r="D462" s="1">
        <x:v>52.1</x:v>
      </x:c>
      <x:c r="E462" s="1">
        <x:v>0.3</x:v>
      </x:c>
      <x:c r="F462" s="1">
        <x:v>0.0</x:v>
      </x:c>
      <x:c r="G462" s="1">
        <x:v>0.0</x:v>
      </x:c>
      <x:c r="H462" s="1">
        <x:v>0.0</x:v>
      </x:c>
      <x:c r="I462" s="1">
        <x:v>0.0</x:v>
      </x:c>
      <x:c r="J462" s="1">
        <x:v>10.9</x:v>
      </x:c>
      <x:c r="K462" s="18">
        <x:f t="shared" si="1"/>
        <x:v>0</x:v>
      </x:c>
      <x:c r="L462" s="18">
        <x:f t="shared" si="2"/>
        <x:v>2.562494172</x:v>
      </x:c>
      <x:c r="M462" s="119" t="n">
        <x:f>C464*Scoring!$B$34+D464/Scoring!$C$34+E464*Scoring!$D$34+WR!F464*Scoring!$E$34+WR!G464/Scoring!$F$34+WR!H464*Scoring!$G$34+WR!I464*Scoring!$H$34+K464*Scoring!$I$34+WR!L464*Scoring!$J$34+U462</x:f>
        <x:v>9.01</x:v>
      </x:c>
      <x:c r="N462" s="119" t="n">
        <x:f>C462*Scoring!$B$34+D462/Scoring!$C$34+E462*Scoring!$D$34+WR!F462*Scoring!$E$34+WR!G462/Scoring!$F$34+WR!H462*Scoring!$G$34+WR!I462*Scoring!$H$34+K462*Scoring!$I$34+WR!L462*Scoring!$J$34+U462</x:f>
        <x:v>9.01</x:v>
      </x:c>
      <x:c r="O462" s="119" t="n">
        <x:f>C463*Scoring!$B$34+D463/Scoring!$C$34+E463*Scoring!$D$34+WR!F463*Scoring!$E$34+WR!G463/Scoring!$F$34+WR!H463*Scoring!$G$34+WR!I463*Scoring!$H$34+K463*Scoring!$I$34+WR!L463*Scoring!$J$34+U462</x:f>
        <x:v>9.01</x:v>
      </x:c>
      <x:c r="P462" s="9" t="n">
        <x:f>IF(COUNTIF(Rookies!$A:$A,A462)&gt;0,1,0)</x:f>
        <x:v>0</x:v>
      </x:c>
      <x:c r="Q462" s="9"/>
      <x:c r="R462" s="9"/>
      <x:c r="S462" s="9" t="n">
        <x:f>V462/17</x:f>
        <x:v>0.53</x:v>
      </x:c>
      <x:c r="T462" s="9" t="n">
        <x:f>IF(P462=1,MAX(0,0.28*(12-S462)),0)</x:f>
        <x:v>0</x:v>
      </x:c>
      <x:c r="U462" s="9" t="n">
        <x:f>T462*17</x:f>
        <x:v>0</x:v>
      </x:c>
      <x:c r="V462" s="9" t="n">
        <x:f>C462*Scoring!$B$34+D462/Scoring!$C$34+E462*Scoring!$D$34+WR!F462*Scoring!$E$34+WR!G462/Scoring!$F$34+WR!H462*Scoring!$G$34+WR!I462*Scoring!$H$34+K462*Scoring!$I$34+WR!L462*Scoring!$J$34</x:f>
        <x:v>9.01</x:v>
      </x:c>
      <x:c r="W462" s="9"/>
      <x:c r="X462" s="9"/>
      <x:c r="Y462" s="9"/>
      <x:c r="Z462" s="9"/>
    </x:row>
    <x:row r="463" ht="14.25" customHeight="1">
      <x:c r="B463" s="1" t="s">
        <x:v>488</x:v>
      </x:c>
      <x:c r="C463" s="1">
        <x:v>4.0</x:v>
      </x:c>
      <x:c r="D463" s="1">
        <x:v>52.1</x:v>
      </x:c>
      <x:c r="E463" s="1">
        <x:v>0.3</x:v>
      </x:c>
      <x:c r="F463" s="1">
        <x:v>0.0</x:v>
      </x:c>
      <x:c r="G463" s="1">
        <x:v>0.0</x:v>
      </x:c>
      <x:c r="H463" s="1">
        <x:v>0.0</x:v>
      </x:c>
      <x:c r="I463" s="1">
        <x:v>0.0</x:v>
      </x:c>
      <x:c r="J463" s="1">
        <x:v>11.0</x:v>
      </x:c>
      <x:c r="K463" s="18">
        <x:f t="shared" si="1"/>
        <x:v>0</x:v>
      </x:c>
      <x:c r="L463" s="18">
        <x:f t="shared" si="2"/>
        <x:v>2.562494172</x:v>
      </x:c>
      <x:c r="M463" s="121"/>
      <x:c r="N463" s="121"/>
      <x:c r="O463" s="121"/>
      <x:c r="P463" s="9"/>
      <x:c r="Q463" s="9"/>
      <x:c r="R463" s="9"/>
      <x:c r="S463" s="9"/>
      <x:c r="T463" s="9"/>
      <x:c r="U463" s="9"/>
      <x:c r="V463" s="9"/>
      <x:c r="W463" s="9"/>
      <x:c r="X463" s="9"/>
      <x:c r="Y463" s="9"/>
      <x:c r="Z463" s="9"/>
    </x:row>
    <x:row r="464" ht="14.25" customHeight="1">
      <x:c r="B464" s="1" t="s">
        <x:v>489</x:v>
      </x:c>
      <x:c r="C464" s="1">
        <x:v>4.0</x:v>
      </x:c>
      <x:c r="D464" s="1">
        <x:v>52.1</x:v>
      </x:c>
      <x:c r="E464" s="1">
        <x:v>0.3</x:v>
      </x:c>
      <x:c r="F464" s="1">
        <x:v>0.0</x:v>
      </x:c>
      <x:c r="G464" s="1">
        <x:v>0.0</x:v>
      </x:c>
      <x:c r="H464" s="1">
        <x:v>0.0</x:v>
      </x:c>
      <x:c r="I464" s="1">
        <x:v>0.0</x:v>
      </x:c>
      <x:c r="J464" s="1">
        <x:v>11.0</x:v>
      </x:c>
      <x:c r="K464" s="18">
        <x:f t="shared" si="1"/>
        <x:v>0</x:v>
      </x:c>
      <x:c r="L464" s="18">
        <x:f t="shared" si="2"/>
        <x:v>2.562494172</x:v>
      </x:c>
      <x:c r="M464" s="121"/>
      <x:c r="N464" s="121"/>
      <x:c r="O464" s="121"/>
      <x:c r="P464" s="9"/>
      <x:c r="Q464" s="9"/>
      <x:c r="R464" s="9"/>
      <x:c r="S464" s="9"/>
      <x:c r="T464" s="9"/>
      <x:c r="U464" s="9"/>
      <x:c r="V464" s="9"/>
      <x:c r="W464" s="9"/>
      <x:c r="X464" s="9"/>
      <x:c r="Y464" s="9"/>
      <x:c r="Z464" s="9"/>
    </x:row>
    <x:row r="465" ht="14.25" customHeight="1">
      <x:c r="A465" s="1" t="s">
        <x:v>887</x:v>
      </x:c>
      <x:c r="B465" s="1" t="s">
        <x:v>513</x:v>
      </x:c>
      <x:c r="C465" s="1">
        <x:v>3.5</x:v>
      </x:c>
      <x:c r="D465" s="1">
        <x:v>38.1</x:v>
      </x:c>
      <x:c r="E465" s="1">
        <x:v>0.3</x:v>
      </x:c>
      <x:c r="F465" s="1">
        <x:v>2.1</x:v>
      </x:c>
      <x:c r="G465" s="1">
        <x:v>11.0</x:v>
      </x:c>
      <x:c r="H465" s="1">
        <x:v>0.1</x:v>
      </x:c>
      <x:c r="I465" s="1">
        <x:v>0.1</x:v>
      </x:c>
      <x:c r="J465" s="1">
        <x:v>10.3</x:v>
      </x:c>
      <x:c r="K465" s="18">
        <x:f t="shared" si="1"/>
        <x:v>0.681712627</x:v>
      </x:c>
      <x:c r="L465" s="18">
        <x:f t="shared" si="2"/>
        <x:v>1.873916084</x:v>
      </x:c>
      <x:c r="M465" s="119" t="n">
        <x:f>C467*Scoring!$B$34+D467/Scoring!$C$34+E467*Scoring!$D$34+WR!F467*Scoring!$E$34+WR!G467/Scoring!$F$34+WR!H467*Scoring!$G$34+WR!I467*Scoring!$H$34+K467*Scoring!$I$34+WR!L467*Scoring!$J$34+U465</x:f>
        <x:v>8.96</x:v>
      </x:c>
      <x:c r="N465" s="119" t="n">
        <x:f>C465*Scoring!$B$34+D465/Scoring!$C$34+E465*Scoring!$D$34+WR!F465*Scoring!$E$34+WR!G465/Scoring!$F$34+WR!H465*Scoring!$G$34+WR!I465*Scoring!$H$34+K465*Scoring!$I$34+WR!L465*Scoring!$J$34+U465</x:f>
        <x:v>8.96</x:v>
      </x:c>
      <x:c r="O465" s="119" t="n">
        <x:f>C466*Scoring!$B$34+D466/Scoring!$C$34+E466*Scoring!$D$34+WR!F466*Scoring!$E$34+WR!G466/Scoring!$F$34+WR!H466*Scoring!$G$34+WR!I466*Scoring!$H$34+K466*Scoring!$I$34+WR!L466*Scoring!$J$34+U465</x:f>
        <x:v>8.96</x:v>
      </x:c>
      <x:c r="P465" s="9" t="n">
        <x:f>IF(COUNTIF(Rookies!$A:$A,A465)&gt;0,1,0)</x:f>
        <x:v>0</x:v>
      </x:c>
      <x:c r="Q465" s="9"/>
      <x:c r="R465" s="9"/>
      <x:c r="S465" s="9" t="n">
        <x:f>V465/17</x:f>
        <x:v>0.5270588235294118</x:v>
      </x:c>
      <x:c r="T465" s="9" t="n">
        <x:f>IF(P465=1,MAX(0,0.28*(12-S465)),0)</x:f>
        <x:v>0</x:v>
      </x:c>
      <x:c r="U465" s="9" t="n">
        <x:f>T465*17</x:f>
        <x:v>0</x:v>
      </x:c>
      <x:c r="V465" s="9" t="n">
        <x:f>C465*Scoring!$B$34+D465/Scoring!$C$34+E465*Scoring!$D$34+WR!F465*Scoring!$E$34+WR!G465/Scoring!$F$34+WR!H465*Scoring!$G$34+WR!I465*Scoring!$H$34+K465*Scoring!$I$34+WR!L465*Scoring!$J$34</x:f>
        <x:v>8.96</x:v>
      </x:c>
      <x:c r="W465" s="9"/>
      <x:c r="X465" s="9"/>
      <x:c r="Y465" s="9"/>
      <x:c r="Z465" s="9"/>
    </x:row>
    <x:row r="466" ht="14.25" customHeight="1">
      <x:c r="B466" s="1" t="s">
        <x:v>488</x:v>
      </x:c>
      <x:c r="C466" s="1">
        <x:v>3.5</x:v>
      </x:c>
      <x:c r="D466" s="1">
        <x:v>38.1</x:v>
      </x:c>
      <x:c r="E466" s="1">
        <x:v>0.3</x:v>
      </x:c>
      <x:c r="F466" s="1">
        <x:v>2.1</x:v>
      </x:c>
      <x:c r="G466" s="1">
        <x:v>11.0</x:v>
      </x:c>
      <x:c r="H466" s="1">
        <x:v>0.1</x:v>
      </x:c>
      <x:c r="I466" s="1">
        <x:v>0.1</x:v>
      </x:c>
      <x:c r="J466" s="1">
        <x:v>11.7</x:v>
      </x:c>
      <x:c r="K466" s="18">
        <x:f t="shared" si="1"/>
        <x:v>0.681712627</x:v>
      </x:c>
      <x:c r="L466" s="18">
        <x:f t="shared" si="2"/>
        <x:v>1.873916084</x:v>
      </x:c>
      <x:c r="M466" s="121"/>
      <x:c r="N466" s="121"/>
      <x:c r="O466" s="121"/>
      <x:c r="P466" s="9"/>
      <x:c r="Q466" s="9"/>
      <x:c r="R466" s="9"/>
      <x:c r="S466" s="9"/>
      <x:c r="T466" s="9"/>
      <x:c r="U466" s="9"/>
      <x:c r="V466" s="9"/>
      <x:c r="W466" s="9"/>
      <x:c r="X466" s="9"/>
      <x:c r="Y466" s="9"/>
      <x:c r="Z466" s="9"/>
    </x:row>
    <x:row r="467" ht="14.25" customHeight="1">
      <x:c r="B467" s="1" t="s">
        <x:v>489</x:v>
      </x:c>
      <x:c r="C467" s="1">
        <x:v>3.5</x:v>
      </x:c>
      <x:c r="D467" s="1">
        <x:v>38.1</x:v>
      </x:c>
      <x:c r="E467" s="1">
        <x:v>0.3</x:v>
      </x:c>
      <x:c r="F467" s="1">
        <x:v>2.1</x:v>
      </x:c>
      <x:c r="G467" s="1">
        <x:v>11.0</x:v>
      </x:c>
      <x:c r="H467" s="1">
        <x:v>0.1</x:v>
      </x:c>
      <x:c r="I467" s="1">
        <x:v>0.1</x:v>
      </x:c>
      <x:c r="J467" s="1">
        <x:v>11.7</x:v>
      </x:c>
      <x:c r="K467" s="18">
        <x:f t="shared" si="1"/>
        <x:v>0.681712627</x:v>
      </x:c>
      <x:c r="L467" s="18">
        <x:f t="shared" si="2"/>
        <x:v>1.873916084</x:v>
      </x:c>
      <x:c r="M467" s="121"/>
      <x:c r="N467" s="121"/>
      <x:c r="O467" s="121"/>
      <x:c r="P467" s="9"/>
      <x:c r="Q467" s="9"/>
      <x:c r="R467" s="9"/>
      <x:c r="S467" s="9"/>
      <x:c r="T467" s="9"/>
      <x:c r="U467" s="9"/>
      <x:c r="V467" s="9"/>
      <x:c r="W467" s="9"/>
      <x:c r="X467" s="9"/>
      <x:c r="Y467" s="9"/>
      <x:c r="Z467" s="9"/>
    </x:row>
    <x:row r="468" ht="14.25" customHeight="1">
      <x:c r="A468" s="1" t="s">
        <x:v>888</x:v>
      </x:c>
      <x:c r="B468" s="1" t="s">
        <x:v>517</x:v>
      </x:c>
      <x:c r="C468" s="1">
        <x:v>3.6</x:v>
      </x:c>
      <x:c r="D468" s="1">
        <x:v>44.4</x:v>
      </x:c>
      <x:c r="E468" s="1">
        <x:v>0.3</x:v>
      </x:c>
      <x:c r="F468" s="1">
        <x:v>0.0</x:v>
      </x:c>
      <x:c r="G468" s="1">
        <x:v>0.0</x:v>
      </x:c>
      <x:c r="H468" s="1">
        <x:v>0.0</x:v>
      </x:c>
      <x:c r="I468" s="1">
        <x:v>0.0</x:v>
      </x:c>
      <x:c r="J468" s="1">
        <x:v>9.9</x:v>
      </x:c>
      <x:c r="K468" s="18">
        <x:f t="shared" si="1"/>
        <x:v>0</x:v>
      </x:c>
      <x:c r="L468" s="18">
        <x:f t="shared" si="2"/>
        <x:v>2.183776224</x:v>
      </x:c>
      <x:c r="M468" s="119" t="n">
        <x:f>C470*Scoring!$B$34+D470/Scoring!$C$34+E470*Scoring!$D$34+WR!F470*Scoring!$E$34+WR!G470/Scoring!$F$34+WR!H470*Scoring!$G$34+WR!I470*Scoring!$H$34+K470*Scoring!$I$34+WR!L470*Scoring!$J$34+U468</x:f>
        <x:v>8.04</x:v>
      </x:c>
      <x:c r="N468" s="119" t="n">
        <x:f>C468*Scoring!$B$34+D468/Scoring!$C$34+E468*Scoring!$D$34+WR!F468*Scoring!$E$34+WR!G468/Scoring!$F$34+WR!H468*Scoring!$G$34+WR!I468*Scoring!$H$34+K468*Scoring!$I$34+WR!L468*Scoring!$J$34+U468</x:f>
        <x:v>8.04</x:v>
      </x:c>
      <x:c r="O468" s="119" t="n">
        <x:f>C469*Scoring!$B$34+D469/Scoring!$C$34+E469*Scoring!$D$34+WR!F469*Scoring!$E$34+WR!G469/Scoring!$F$34+WR!H469*Scoring!$G$34+WR!I469*Scoring!$H$34+K469*Scoring!$I$34+WR!L469*Scoring!$J$34+U468</x:f>
        <x:v>8.04</x:v>
      </x:c>
      <x:c r="P468" s="9" t="n">
        <x:f>IF(COUNTIF(Rookies!$A:$A,A468)&gt;0,1,0)</x:f>
        <x:v>0</x:v>
      </x:c>
      <x:c r="Q468" s="9"/>
      <x:c r="R468" s="9"/>
      <x:c r="S468" s="9" t="n">
        <x:f>V468/17</x:f>
        <x:v>0.4729411764705882</x:v>
      </x:c>
      <x:c r="T468" s="9" t="n">
        <x:f>IF(P468=1,MAX(0,0.28*(12-S468)),0)</x:f>
        <x:v>0</x:v>
      </x:c>
      <x:c r="U468" s="9" t="n">
        <x:f>T468*17</x:f>
        <x:v>0</x:v>
      </x:c>
      <x:c r="V468" s="9" t="n">
        <x:f>C468*Scoring!$B$34+D468/Scoring!$C$34+E468*Scoring!$D$34+WR!F468*Scoring!$E$34+WR!G468/Scoring!$F$34+WR!H468*Scoring!$G$34+WR!I468*Scoring!$H$34+K468*Scoring!$I$34+WR!L468*Scoring!$J$34</x:f>
        <x:v>8.04</x:v>
      </x:c>
      <x:c r="W468" s="9"/>
      <x:c r="X468" s="9"/>
      <x:c r="Y468" s="9"/>
      <x:c r="Z468" s="9"/>
    </x:row>
    <x:row r="469" ht="14.25" customHeight="1">
      <x:c r="B469" s="1" t="s">
        <x:v>488</x:v>
      </x:c>
      <x:c r="C469" s="1">
        <x:v>3.6</x:v>
      </x:c>
      <x:c r="D469" s="1">
        <x:v>44.4</x:v>
      </x:c>
      <x:c r="E469" s="1">
        <x:v>0.3</x:v>
      </x:c>
      <x:c r="F469" s="1">
        <x:v>0.0</x:v>
      </x:c>
      <x:c r="G469" s="1">
        <x:v>0.0</x:v>
      </x:c>
      <x:c r="H469" s="1">
        <x:v>0.0</x:v>
      </x:c>
      <x:c r="I469" s="1">
        <x:v>0.0</x:v>
      </x:c>
      <x:c r="J469" s="1">
        <x:v>11.6</x:v>
      </x:c>
      <x:c r="K469" s="18">
        <x:f t="shared" si="1"/>
        <x:v>0</x:v>
      </x:c>
      <x:c r="L469" s="18">
        <x:f t="shared" si="2"/>
        <x:v>2.183776224</x:v>
      </x:c>
      <x:c r="M469" s="121"/>
      <x:c r="N469" s="121"/>
      <x:c r="O469" s="121"/>
      <x:c r="P469" s="9"/>
      <x:c r="Q469" s="9"/>
      <x:c r="R469" s="9"/>
      <x:c r="S469" s="9"/>
      <x:c r="T469" s="9"/>
      <x:c r="U469" s="9"/>
      <x:c r="V469" s="9"/>
      <x:c r="W469" s="9"/>
      <x:c r="X469" s="9"/>
      <x:c r="Y469" s="9"/>
      <x:c r="Z469" s="9"/>
    </x:row>
    <x:row r="470" ht="14.25" customHeight="1">
      <x:c r="B470" s="1" t="s">
        <x:v>489</x:v>
      </x:c>
      <x:c r="C470" s="1">
        <x:v>3.6</x:v>
      </x:c>
      <x:c r="D470" s="1">
        <x:v>44.4</x:v>
      </x:c>
      <x:c r="E470" s="1">
        <x:v>0.3</x:v>
      </x:c>
      <x:c r="F470" s="1">
        <x:v>0.0</x:v>
      </x:c>
      <x:c r="G470" s="1">
        <x:v>0.0</x:v>
      </x:c>
      <x:c r="H470" s="1">
        <x:v>0.0</x:v>
      </x:c>
      <x:c r="I470" s="1">
        <x:v>0.0</x:v>
      </x:c>
      <x:c r="J470" s="1">
        <x:v>11.6</x:v>
      </x:c>
      <x:c r="K470" s="18">
        <x:f t="shared" si="1"/>
        <x:v>0</x:v>
      </x:c>
      <x:c r="L470" s="18">
        <x:f t="shared" si="2"/>
        <x:v>2.183776224</x:v>
      </x:c>
      <x:c r="M470" s="121"/>
      <x:c r="N470" s="121"/>
      <x:c r="O470" s="121"/>
      <x:c r="P470" s="9"/>
      <x:c r="Q470" s="9"/>
      <x:c r="R470" s="9"/>
      <x:c r="S470" s="9"/>
      <x:c r="T470" s="9"/>
      <x:c r="U470" s="9"/>
      <x:c r="V470" s="9"/>
      <x:c r="W470" s="9"/>
      <x:c r="X470" s="9"/>
      <x:c r="Y470" s="9"/>
      <x:c r="Z470" s="9"/>
    </x:row>
    <x:row r="471" ht="14.25" customHeight="1">
      <x:c r="A471" s="1" t="s">
        <x:v>889</x:v>
      </x:c>
      <x:c r="B471" s="1" t="s">
        <x:v>499</x:v>
      </x:c>
      <x:c r="C471" s="1">
        <x:v>3.3</x:v>
      </x:c>
      <x:c r="D471" s="1">
        <x:v>41.8</x:v>
      </x:c>
      <x:c r="E471" s="1">
        <x:v>0.4</x:v>
      </x:c>
      <x:c r="F471" s="1">
        <x:v>0.0</x:v>
      </x:c>
      <x:c r="G471" s="1">
        <x:v>0.0</x:v>
      </x:c>
      <x:c r="H471" s="1">
        <x:v>0.0</x:v>
      </x:c>
      <x:c r="I471" s="1">
        <x:v>0.0</x:v>
      </x:c>
      <x:c r="J471" s="1">
        <x:v>9.7</x:v>
      </x:c>
      <x:c r="K471" s="18">
        <x:f t="shared" si="1"/>
        <x:v>0</x:v>
      </x:c>
      <x:c r="L471" s="18">
        <x:f t="shared" si="2"/>
        <x:v>2.055897436</x:v>
      </x:c>
      <x:c r="M471" s="119" t="n">
        <x:f>C473*Scoring!$B$34+D473/Scoring!$C$34+E473*Scoring!$D$34+WR!F473*Scoring!$E$34+WR!G473/Scoring!$F$34+WR!H473*Scoring!$G$34+WR!I473*Scoring!$H$34+K473*Scoring!$I$34+WR!L473*Scoring!$J$34+U471</x:f>
        <x:v>8.23</x:v>
      </x:c>
      <x:c r="N471" s="119" t="n">
        <x:f>C471*Scoring!$B$34+D471/Scoring!$C$34+E471*Scoring!$D$34+WR!F471*Scoring!$E$34+WR!G471/Scoring!$F$34+WR!H471*Scoring!$G$34+WR!I471*Scoring!$H$34+K471*Scoring!$I$34+WR!L471*Scoring!$J$34+U471</x:f>
        <x:v>8.23</x:v>
      </x:c>
      <x:c r="O471" s="119" t="n">
        <x:f>C472*Scoring!$B$34+D472/Scoring!$C$34+E472*Scoring!$D$34+WR!F472*Scoring!$E$34+WR!G472/Scoring!$F$34+WR!H472*Scoring!$G$34+WR!I472*Scoring!$H$34+K472*Scoring!$I$34+WR!L472*Scoring!$J$34+U471</x:f>
        <x:v>8.23</x:v>
      </x:c>
      <x:c r="P471" s="9" t="n">
        <x:f>IF(COUNTIF(Rookies!$A:$A,A471)&gt;0,1,0)</x:f>
        <x:v>0</x:v>
      </x:c>
      <x:c r="Q471" s="9"/>
      <x:c r="R471" s="9"/>
      <x:c r="S471" s="9" t="n">
        <x:f>V471/17</x:f>
        <x:v>0.48411764705882354</x:v>
      </x:c>
      <x:c r="T471" s="9" t="n">
        <x:f>IF(P471=1,MAX(0,0.28*(12-S471)),0)</x:f>
        <x:v>0</x:v>
      </x:c>
      <x:c r="U471" s="9" t="n">
        <x:f>T471*17</x:f>
        <x:v>0</x:v>
      </x:c>
      <x:c r="V471" s="9" t="n">
        <x:f>C471*Scoring!$B$34+D471/Scoring!$C$34+E471*Scoring!$D$34+WR!F471*Scoring!$E$34+WR!G471/Scoring!$F$34+WR!H471*Scoring!$G$34+WR!I471*Scoring!$H$34+K471*Scoring!$I$34+WR!L471*Scoring!$J$34</x:f>
        <x:v>8.23</x:v>
      </x:c>
      <x:c r="W471" s="9"/>
      <x:c r="X471" s="9"/>
      <x:c r="Y471" s="9"/>
      <x:c r="Z471" s="9"/>
    </x:row>
    <x:row r="472" ht="14.25" customHeight="1">
      <x:c r="B472" s="1" t="s">
        <x:v>488</x:v>
      </x:c>
      <x:c r="C472" s="1">
        <x:v>3.3</x:v>
      </x:c>
      <x:c r="D472" s="1">
        <x:v>41.8</x:v>
      </x:c>
      <x:c r="E472" s="1">
        <x:v>0.4</x:v>
      </x:c>
      <x:c r="F472" s="1">
        <x:v>0.0</x:v>
      </x:c>
      <x:c r="G472" s="1">
        <x:v>0.0</x:v>
      </x:c>
      <x:c r="H472" s="1">
        <x:v>0.0</x:v>
      </x:c>
      <x:c r="I472" s="1">
        <x:v>0.0</x:v>
      </x:c>
      <x:c r="J472" s="1">
        <x:v>9.8</x:v>
      </x:c>
      <x:c r="K472" s="18">
        <x:f t="shared" si="1"/>
        <x:v>0</x:v>
      </x:c>
      <x:c r="L472" s="18">
        <x:f t="shared" si="2"/>
        <x:v>2.055897436</x:v>
      </x:c>
      <x:c r="M472" s="121"/>
      <x:c r="N472" s="121"/>
      <x:c r="O472" s="121"/>
      <x:c r="P472" s="9"/>
      <x:c r="Q472" s="9"/>
      <x:c r="R472" s="9"/>
      <x:c r="S472" s="9"/>
      <x:c r="T472" s="9"/>
      <x:c r="U472" s="9"/>
      <x:c r="V472" s="9"/>
      <x:c r="W472" s="9"/>
      <x:c r="X472" s="9"/>
      <x:c r="Y472" s="9"/>
      <x:c r="Z472" s="9"/>
    </x:row>
    <x:row r="473" ht="14.25" customHeight="1">
      <x:c r="B473" s="1" t="s">
        <x:v>489</x:v>
      </x:c>
      <x:c r="C473" s="1">
        <x:v>3.3</x:v>
      </x:c>
      <x:c r="D473" s="1">
        <x:v>41.8</x:v>
      </x:c>
      <x:c r="E473" s="1">
        <x:v>0.4</x:v>
      </x:c>
      <x:c r="F473" s="1">
        <x:v>0.0</x:v>
      </x:c>
      <x:c r="G473" s="1">
        <x:v>0.0</x:v>
      </x:c>
      <x:c r="H473" s="1">
        <x:v>0.0</x:v>
      </x:c>
      <x:c r="I473" s="1">
        <x:v>0.0</x:v>
      </x:c>
      <x:c r="J473" s="1">
        <x:v>9.8</x:v>
      </x:c>
      <x:c r="K473" s="18">
        <x:f t="shared" si="1"/>
        <x:v>0</x:v>
      </x:c>
      <x:c r="L473" s="18">
        <x:f t="shared" si="2"/>
        <x:v>2.055897436</x:v>
      </x:c>
      <x:c r="M473" s="121"/>
      <x:c r="N473" s="121"/>
      <x:c r="O473" s="121"/>
      <x:c r="P473" s="9"/>
      <x:c r="Q473" s="9"/>
      <x:c r="R473" s="9"/>
      <x:c r="S473" s="9"/>
      <x:c r="T473" s="9"/>
      <x:c r="U473" s="9"/>
      <x:c r="V473" s="9"/>
      <x:c r="W473" s="9"/>
      <x:c r="X473" s="9"/>
      <x:c r="Y473" s="9"/>
      <x:c r="Z473" s="9"/>
    </x:row>
    <x:row r="474" ht="14.25" customHeight="1">
      <x:c r="A474" s="1" t="s">
        <x:v>890</x:v>
      </x:c>
      <x:c r="B474" s="1" t="s">
        <x:v>517</x:v>
      </x:c>
      <x:c r="C474" s="1">
        <x:v>3.4</x:v>
      </x:c>
      <x:c r="D474" s="1">
        <x:v>42.8</x:v>
      </x:c>
      <x:c r="E474" s="1">
        <x:v>0.3</x:v>
      </x:c>
      <x:c r="F474" s="1">
        <x:v>0.0</x:v>
      </x:c>
      <x:c r="G474" s="1">
        <x:v>0.0</x:v>
      </x:c>
      <x:c r="H474" s="1">
        <x:v>0.0</x:v>
      </x:c>
      <x:c r="I474" s="1">
        <x:v>0.0</x:v>
      </x:c>
      <x:c r="J474" s="1">
        <x:v>9.6</x:v>
      </x:c>
      <x:c r="K474" s="18">
        <x:f t="shared" si="1"/>
        <x:v>0</x:v>
      </x:c>
      <x:c r="L474" s="18">
        <x:f t="shared" si="2"/>
        <x:v>2.105081585</x:v>
      </x:c>
      <x:c r="M474" s="119" t="n">
        <x:f>C476*Scoring!$B$34+D476/Scoring!$C$34+E476*Scoring!$D$34+WR!F476*Scoring!$E$34+WR!G476/Scoring!$F$34+WR!H476*Scoring!$G$34+WR!I476*Scoring!$H$34+K476*Scoring!$I$34+WR!L476*Scoring!$J$34+U474</x:f>
        <x:v>62.72160000000001</x:v>
      </x:c>
      <x:c r="N474" s="119" t="n">
        <x:f>C474*Scoring!$B$34+D474/Scoring!$C$34+E474*Scoring!$D$34+WR!F474*Scoring!$E$34+WR!G474/Scoring!$F$34+WR!H474*Scoring!$G$34+WR!I474*Scoring!$H$34+K474*Scoring!$I$34+WR!L474*Scoring!$J$34+U474</x:f>
        <x:v>62.72160000000001</x:v>
      </x:c>
      <x:c r="O474" s="119" t="n">
        <x:f>C475*Scoring!$B$34+D475/Scoring!$C$34+E475*Scoring!$D$34+WR!F475*Scoring!$E$34+WR!G475/Scoring!$F$34+WR!H475*Scoring!$G$34+WR!I475*Scoring!$H$34+K475*Scoring!$I$34+WR!L475*Scoring!$J$34+U474</x:f>
        <x:v>62.72160000000001</x:v>
      </x:c>
      <x:c r="P474" s="9" t="n">
        <x:f>IF(COUNTIF(Rookies!$A:$A,A474)&gt;0,1,0)</x:f>
        <x:v>1</x:v>
      </x:c>
      <x:c r="Q474" s="9"/>
      <x:c r="R474" s="9"/>
      <x:c r="S474" s="9" t="n">
        <x:f>V474/17</x:f>
        <x:v>0.45764705882352935</x:v>
      </x:c>
      <x:c r="T474" s="9" t="n">
        <x:f>IF(P474=1,MAX(0,0.28*(12-S474)),0)</x:f>
        <x:v>3.231858823529412</x:v>
      </x:c>
      <x:c r="U474" s="9" t="n">
        <x:f>T474*17</x:f>
        <x:v>54.94160000000001</x:v>
      </x:c>
      <x:c r="V474" s="9" t="n">
        <x:f>C474*Scoring!$B$34+D474/Scoring!$C$34+E474*Scoring!$D$34+WR!F474*Scoring!$E$34+WR!G474/Scoring!$F$34+WR!H474*Scoring!$G$34+WR!I474*Scoring!$H$34+K474*Scoring!$I$34+WR!L474*Scoring!$J$34</x:f>
        <x:v>7.779999999999999</x:v>
      </x:c>
      <x:c r="W474" s="9"/>
      <x:c r="X474" s="9"/>
      <x:c r="Y474" s="9"/>
      <x:c r="Z474" s="9"/>
    </x:row>
    <x:row r="475" ht="14.25" customHeight="1">
      <x:c r="B475" s="1" t="s">
        <x:v>488</x:v>
      </x:c>
      <x:c r="C475" s="1">
        <x:v>3.4</x:v>
      </x:c>
      <x:c r="D475" s="1">
        <x:v>42.8</x:v>
      </x:c>
      <x:c r="E475" s="1">
        <x:v>0.3</x:v>
      </x:c>
      <x:c r="F475" s="1">
        <x:v>0.0</x:v>
      </x:c>
      <x:c r="G475" s="1">
        <x:v>0.0</x:v>
      </x:c>
      <x:c r="H475" s="1">
        <x:v>0.0</x:v>
      </x:c>
      <x:c r="I475" s="1">
        <x:v>0.0</x:v>
      </x:c>
      <x:c r="J475" s="1">
        <x:v>9.6</x:v>
      </x:c>
      <x:c r="K475" s="18">
        <x:f t="shared" si="1"/>
        <x:v>0</x:v>
      </x:c>
      <x:c r="L475" s="18">
        <x:f t="shared" si="2"/>
        <x:v>2.105081585</x:v>
      </x:c>
      <x:c r="M475" s="121"/>
      <x:c r="N475" s="121"/>
      <x:c r="O475" s="121"/>
      <x:c r="P475" s="9"/>
      <x:c r="Q475" s="9"/>
      <x:c r="R475" s="9"/>
      <x:c r="S475" s="9"/>
      <x:c r="T475" s="9"/>
      <x:c r="U475" s="9"/>
      <x:c r="V475" s="9"/>
      <x:c r="W475" s="9"/>
      <x:c r="X475" s="9"/>
      <x:c r="Y475" s="9"/>
      <x:c r="Z475" s="9"/>
    </x:row>
    <x:row r="476" ht="14.25" customHeight="1">
      <x:c r="B476" s="1" t="s">
        <x:v>489</x:v>
      </x:c>
      <x:c r="C476" s="1">
        <x:v>3.4</x:v>
      </x:c>
      <x:c r="D476" s="1">
        <x:v>42.8</x:v>
      </x:c>
      <x:c r="E476" s="1">
        <x:v>0.3</x:v>
      </x:c>
      <x:c r="F476" s="1">
        <x:v>0.0</x:v>
      </x:c>
      <x:c r="G476" s="1">
        <x:v>0.0</x:v>
      </x:c>
      <x:c r="H476" s="1">
        <x:v>0.0</x:v>
      </x:c>
      <x:c r="I476" s="1">
        <x:v>0.0</x:v>
      </x:c>
      <x:c r="J476" s="1">
        <x:v>9.6</x:v>
      </x:c>
      <x:c r="K476" s="18">
        <x:f t="shared" si="1"/>
        <x:v>0</x:v>
      </x:c>
      <x:c r="L476" s="18">
        <x:f t="shared" si="2"/>
        <x:v>2.105081585</x:v>
      </x:c>
      <x:c r="M476" s="121"/>
      <x:c r="N476" s="121"/>
      <x:c r="O476" s="121"/>
      <x:c r="P476" s="9"/>
      <x:c r="Q476" s="9"/>
      <x:c r="R476" s="9"/>
      <x:c r="S476" s="9"/>
      <x:c r="T476" s="9"/>
      <x:c r="U476" s="9"/>
      <x:c r="V476" s="9"/>
      <x:c r="W476" s="9"/>
      <x:c r="X476" s="9"/>
      <x:c r="Y476" s="9"/>
      <x:c r="Z476" s="9"/>
    </x:row>
    <x:row r="477" ht="14.25" customHeight="1">
      <x:c r="A477" s="1" t="s">
        <x:v>891</x:v>
      </x:c>
      <x:c r="B477" s="1" t="s">
        <x:v>549</x:v>
      </x:c>
      <x:c r="C477" s="1">
        <x:v>1.7</x:v>
      </x:c>
      <x:c r="D477" s="1">
        <x:v>16.5</x:v>
      </x:c>
      <x:c r="E477" s="1">
        <x:v>0.1</x:v>
      </x:c>
      <x:c r="F477" s="1">
        <x:v>6.4</x:v>
      </x:c>
      <x:c r="G477" s="1">
        <x:v>44.0</x:v>
      </x:c>
      <x:c r="H477" s="1">
        <x:v>0.2</x:v>
      </x:c>
      <x:c r="I477" s="1">
        <x:v>0.1</x:v>
      </x:c>
      <x:c r="J477" s="1">
        <x:v>9.1</x:v>
      </x:c>
      <x:c r="K477" s="18">
        <x:f t="shared" si="1"/>
        <x:v>2.726850508</x:v>
      </x:c>
      <x:c r="L477" s="18">
        <x:f t="shared" si="2"/>
        <x:v>0.8115384615</x:v>
      </x:c>
      <x:c r="M477" s="119" t="n">
        <x:f>C479*Scoring!$B$34+D479/Scoring!$C$34+E479*Scoring!$D$34+WR!F479*Scoring!$E$34+WR!G479/Scoring!$F$34+WR!H479*Scoring!$G$34+WR!I479*Scoring!$H$34+K479*Scoring!$I$34+WR!L479*Scoring!$J$34+U477</x:f>
        <x:v>8.6</x:v>
      </x:c>
      <x:c r="N477" s="119" t="n">
        <x:f>C477*Scoring!$B$34+D477/Scoring!$C$34+E477*Scoring!$D$34+WR!F477*Scoring!$E$34+WR!G477/Scoring!$F$34+WR!H477*Scoring!$G$34+WR!I477*Scoring!$H$34+K477*Scoring!$I$34+WR!L477*Scoring!$J$34+U477</x:f>
        <x:v>8.6</x:v>
      </x:c>
      <x:c r="O477" s="119" t="n">
        <x:f>C478*Scoring!$B$34+D478/Scoring!$C$34+E478*Scoring!$D$34+WR!F478*Scoring!$E$34+WR!G478/Scoring!$F$34+WR!H478*Scoring!$G$34+WR!I478*Scoring!$H$34+K478*Scoring!$I$34+WR!L478*Scoring!$J$34+U477</x:f>
        <x:v>8.6</x:v>
      </x:c>
      <x:c r="P477" s="9" t="n">
        <x:f>IF(COUNTIF(Rookies!$A:$A,A477)&gt;0,1,0)</x:f>
        <x:v>0</x:v>
      </x:c>
      <x:c r="Q477" s="9"/>
      <x:c r="R477" s="9"/>
      <x:c r="S477" s="9" t="n">
        <x:f>V477/17</x:f>
        <x:v>0.5058823529411764</x:v>
      </x:c>
      <x:c r="T477" s="9" t="n">
        <x:f>IF(P477=1,MAX(0,0.28*(12-S477)),0)</x:f>
        <x:v>0</x:v>
      </x:c>
      <x:c r="U477" s="9" t="n">
        <x:f>T477*17</x:f>
        <x:v>0</x:v>
      </x:c>
      <x:c r="V477" s="9" t="n">
        <x:f>C477*Scoring!$B$34+D477/Scoring!$C$34+E477*Scoring!$D$34+WR!F477*Scoring!$E$34+WR!G477/Scoring!$F$34+WR!H477*Scoring!$G$34+WR!I477*Scoring!$H$34+K477*Scoring!$I$34+WR!L477*Scoring!$J$34</x:f>
        <x:v>8.6</x:v>
      </x:c>
      <x:c r="W477" s="9"/>
      <x:c r="X477" s="9"/>
      <x:c r="Y477" s="9"/>
      <x:c r="Z477" s="9"/>
    </x:row>
    <x:row r="478" ht="14.25" customHeight="1">
      <x:c r="B478" s="1" t="s">
        <x:v>488</x:v>
      </x:c>
      <x:c r="C478" s="1">
        <x:v>1.7</x:v>
      </x:c>
      <x:c r="D478" s="1">
        <x:v>16.5</x:v>
      </x:c>
      <x:c r="E478" s="1">
        <x:v>0.1</x:v>
      </x:c>
      <x:c r="F478" s="1">
        <x:v>6.4</x:v>
      </x:c>
      <x:c r="G478" s="1">
        <x:v>44.0</x:v>
      </x:c>
      <x:c r="H478" s="1">
        <x:v>0.2</x:v>
      </x:c>
      <x:c r="I478" s="1">
        <x:v>0.1</x:v>
      </x:c>
      <x:c r="J478" s="1">
        <x:v>9.5</x:v>
      </x:c>
      <x:c r="K478" s="18">
        <x:f t="shared" si="1"/>
        <x:v>2.726850508</x:v>
      </x:c>
      <x:c r="L478" s="18">
        <x:f t="shared" si="2"/>
        <x:v>0.8115384615</x:v>
      </x:c>
      <x:c r="M478" s="121"/>
      <x:c r="N478" s="121"/>
      <x:c r="O478" s="121"/>
      <x:c r="P478" s="9"/>
      <x:c r="Q478" s="9"/>
      <x:c r="R478" s="9"/>
      <x:c r="S478" s="9"/>
      <x:c r="T478" s="9"/>
      <x:c r="U478" s="9"/>
      <x:c r="V478" s="9"/>
      <x:c r="W478" s="9"/>
      <x:c r="X478" s="9"/>
      <x:c r="Y478" s="9"/>
      <x:c r="Z478" s="9"/>
    </x:row>
    <x:row r="479" ht="14.25" customHeight="1">
      <x:c r="B479" s="1" t="s">
        <x:v>489</x:v>
      </x:c>
      <x:c r="C479" s="1">
        <x:v>1.7</x:v>
      </x:c>
      <x:c r="D479" s="1">
        <x:v>16.5</x:v>
      </x:c>
      <x:c r="E479" s="1">
        <x:v>0.1</x:v>
      </x:c>
      <x:c r="F479" s="1">
        <x:v>6.4</x:v>
      </x:c>
      <x:c r="G479" s="1">
        <x:v>44.0</x:v>
      </x:c>
      <x:c r="H479" s="1">
        <x:v>0.2</x:v>
      </x:c>
      <x:c r="I479" s="1">
        <x:v>0.1</x:v>
      </x:c>
      <x:c r="J479" s="1">
        <x:v>9.5</x:v>
      </x:c>
      <x:c r="K479" s="18">
        <x:f t="shared" si="1"/>
        <x:v>2.726850508</x:v>
      </x:c>
      <x:c r="L479" s="18">
        <x:f t="shared" si="2"/>
        <x:v>0.8115384615</x:v>
      </x:c>
      <x:c r="M479" s="121"/>
      <x:c r="N479" s="121"/>
      <x:c r="O479" s="121"/>
      <x:c r="P479" s="9"/>
      <x:c r="Q479" s="9"/>
      <x:c r="R479" s="9"/>
      <x:c r="S479" s="9"/>
      <x:c r="T479" s="9"/>
      <x:c r="U479" s="9"/>
      <x:c r="V479" s="9"/>
      <x:c r="W479" s="9"/>
      <x:c r="X479" s="9"/>
      <x:c r="Y479" s="9"/>
      <x:c r="Z479" s="9"/>
    </x:row>
    <x:row r="480" ht="14.25" customHeight="1">
      <x:c r="A480" s="1" t="s">
        <x:v>892</x:v>
      </x:c>
      <x:c r="B480" s="1" t="s">
        <x:v>525</x:v>
      </x:c>
      <x:c r="C480" s="1">
        <x:v>3.7</x:v>
      </x:c>
      <x:c r="D480" s="1">
        <x:v>37.1</x:v>
      </x:c>
      <x:c r="E480" s="1">
        <x:v>0.2</x:v>
      </x:c>
      <x:c r="F480" s="1">
        <x:v>0.0</x:v>
      </x:c>
      <x:c r="G480" s="1">
        <x:v>0.0</x:v>
      </x:c>
      <x:c r="H480" s="1">
        <x:v>0.0</x:v>
      </x:c>
      <x:c r="I480" s="1">
        <x:v>0.0</x:v>
      </x:c>
      <x:c r="J480" s="1">
        <x:v>8.8</x:v>
      </x:c>
      <x:c r="K480" s="18">
        <x:f t="shared" si="1"/>
        <x:v>0</x:v>
      </x:c>
      <x:c r="L480" s="18">
        <x:f t="shared" si="2"/>
        <x:v>1.824731935</x:v>
      </x:c>
      <x:c r="M480" s="119" t="n">
        <x:f>C482*Scoring!$B$34+D482/Scoring!$C$34+E482*Scoring!$D$34+WR!F482*Scoring!$E$34+WR!G482/Scoring!$F$34+WR!H482*Scoring!$G$34+WR!I482*Scoring!$H$34+K482*Scoring!$I$34+WR!L482*Scoring!$J$34+U480</x:f>
        <x:v>6.760000000000001</x:v>
      </x:c>
      <x:c r="N480" s="119" t="n">
        <x:f>C480*Scoring!$B$34+D480/Scoring!$C$34+E480*Scoring!$D$34+WR!F480*Scoring!$E$34+WR!G480/Scoring!$F$34+WR!H480*Scoring!$G$34+WR!I480*Scoring!$H$34+K480*Scoring!$I$34+WR!L480*Scoring!$J$34+U480</x:f>
        <x:v>6.760000000000001</x:v>
      </x:c>
      <x:c r="O480" s="119" t="n">
        <x:f>C481*Scoring!$B$34+D481/Scoring!$C$34+E481*Scoring!$D$34+WR!F481*Scoring!$E$34+WR!G481/Scoring!$F$34+WR!H481*Scoring!$G$34+WR!I481*Scoring!$H$34+K481*Scoring!$I$34+WR!L481*Scoring!$J$34+U480</x:f>
        <x:v>6.760000000000001</x:v>
      </x:c>
      <x:c r="P480" s="9" t="n">
        <x:f>IF(COUNTIF(Rookies!$A:$A,A480)&gt;0,1,0)</x:f>
        <x:v>0</x:v>
      </x:c>
      <x:c r="Q480" s="9"/>
      <x:c r="R480" s="9"/>
      <x:c r="S480" s="9" t="n">
        <x:f>V480/17</x:f>
        <x:v>0.39764705882352946</x:v>
      </x:c>
      <x:c r="T480" s="9" t="n">
        <x:f>IF(P480=1,MAX(0,0.28*(12-S480)),0)</x:f>
        <x:v>0</x:v>
      </x:c>
      <x:c r="U480" s="9" t="n">
        <x:f>T480*17</x:f>
        <x:v>0</x:v>
      </x:c>
      <x:c r="V480" s="9" t="n">
        <x:f>C480*Scoring!$B$34+D480/Scoring!$C$34+E480*Scoring!$D$34+WR!F480*Scoring!$E$34+WR!G480/Scoring!$F$34+WR!H480*Scoring!$G$34+WR!I480*Scoring!$H$34+K480*Scoring!$I$34+WR!L480*Scoring!$J$34</x:f>
        <x:v>6.760000000000001</x:v>
      </x:c>
      <x:c r="W480" s="9"/>
      <x:c r="X480" s="9"/>
      <x:c r="Y480" s="9"/>
      <x:c r="Z480" s="9"/>
    </x:row>
    <x:row r="481" ht="14.25" customHeight="1">
      <x:c r="B481" s="1" t="s">
        <x:v>488</x:v>
      </x:c>
      <x:c r="C481" s="1">
        <x:v>3.7</x:v>
      </x:c>
      <x:c r="D481" s="1">
        <x:v>37.1</x:v>
      </x:c>
      <x:c r="E481" s="1">
        <x:v>0.2</x:v>
      </x:c>
      <x:c r="F481" s="1">
        <x:v>0.0</x:v>
      </x:c>
      <x:c r="G481" s="1">
        <x:v>0.0</x:v>
      </x:c>
      <x:c r="H481" s="1">
        <x:v>0.0</x:v>
      </x:c>
      <x:c r="I481" s="1">
        <x:v>0.0</x:v>
      </x:c>
      <x:c r="J481" s="1">
        <x:v>9.0</x:v>
      </x:c>
      <x:c r="K481" s="18">
        <x:f t="shared" si="1"/>
        <x:v>0</x:v>
      </x:c>
      <x:c r="L481" s="18">
        <x:f t="shared" si="2"/>
        <x:v>1.824731935</x:v>
      </x:c>
      <x:c r="M481" s="121"/>
      <x:c r="N481" s="121"/>
      <x:c r="O481" s="121"/>
      <x:c r="P481" s="9"/>
      <x:c r="Q481" s="9"/>
      <x:c r="R481" s="9"/>
      <x:c r="S481" s="9"/>
      <x:c r="T481" s="9"/>
      <x:c r="U481" s="9"/>
      <x:c r="V481" s="9"/>
      <x:c r="W481" s="9"/>
      <x:c r="X481" s="9"/>
      <x:c r="Y481" s="9"/>
      <x:c r="Z481" s="9"/>
    </x:row>
    <x:row r="482" ht="14.25" customHeight="1">
      <x:c r="B482" s="1" t="s">
        <x:v>489</x:v>
      </x:c>
      <x:c r="C482" s="1">
        <x:v>3.7</x:v>
      </x:c>
      <x:c r="D482" s="1">
        <x:v>37.1</x:v>
      </x:c>
      <x:c r="E482" s="1">
        <x:v>0.2</x:v>
      </x:c>
      <x:c r="F482" s="1">
        <x:v>0.0</x:v>
      </x:c>
      <x:c r="G482" s="1">
        <x:v>0.0</x:v>
      </x:c>
      <x:c r="H482" s="1">
        <x:v>0.0</x:v>
      </x:c>
      <x:c r="I482" s="1">
        <x:v>0.0</x:v>
      </x:c>
      <x:c r="J482" s="1">
        <x:v>9.0</x:v>
      </x:c>
      <x:c r="K482" s="18">
        <x:f t="shared" si="1"/>
        <x:v>0</x:v>
      </x:c>
      <x:c r="L482" s="18">
        <x:f t="shared" si="2"/>
        <x:v>1.824731935</x:v>
      </x:c>
      <x:c r="M482" s="121"/>
      <x:c r="N482" s="121"/>
      <x:c r="O482" s="121"/>
      <x:c r="P482" s="9"/>
      <x:c r="Q482" s="9"/>
      <x:c r="R482" s="9"/>
      <x:c r="S482" s="9"/>
      <x:c r="T482" s="9"/>
      <x:c r="U482" s="9"/>
      <x:c r="V482" s="9"/>
      <x:c r="W482" s="9"/>
      <x:c r="X482" s="9"/>
      <x:c r="Y482" s="9"/>
      <x:c r="Z482" s="9"/>
    </x:row>
    <x:row r="483" ht="14.25" customHeight="1">
      <x:c r="A483" s="1" t="s">
        <x:v>893</x:v>
      </x:c>
      <x:c r="B483" s="1" t="s">
        <x:v>497</x:v>
      </x:c>
      <x:c r="C483" s="1">
        <x:v>3.3</x:v>
      </x:c>
      <x:c r="D483" s="1">
        <x:v>37.7</x:v>
      </x:c>
      <x:c r="E483" s="1">
        <x:v>0.3</x:v>
      </x:c>
      <x:c r="F483" s="1">
        <x:v>0.0</x:v>
      </x:c>
      <x:c r="G483" s="1">
        <x:v>0.0</x:v>
      </x:c>
      <x:c r="H483" s="1">
        <x:v>0.0</x:v>
      </x:c>
      <x:c r="I483" s="1">
        <x:v>0.0</x:v>
      </x:c>
      <x:c r="J483" s="1">
        <x:v>8.5</x:v>
      </x:c>
      <x:c r="K483" s="18">
        <x:f t="shared" si="1"/>
        <x:v>0</x:v>
      </x:c>
      <x:c r="L483" s="18">
        <x:f t="shared" si="2"/>
        <x:v>1.854242424</x:v>
      </x:c>
      <x:c r="M483" s="119" t="n">
        <x:f>C485*Scoring!$B$34+D485/Scoring!$C$34+E485*Scoring!$D$34+WR!F485*Scoring!$E$34+WR!G485/Scoring!$F$34+WR!H485*Scoring!$G$34+WR!I485*Scoring!$H$34+K485*Scoring!$I$34+WR!L485*Scoring!$J$34+U483</x:f>
        <x:v>7.22</x:v>
      </x:c>
      <x:c r="N483" s="119" t="n">
        <x:f>C483*Scoring!$B$34+D483/Scoring!$C$34+E483*Scoring!$D$34+WR!F483*Scoring!$E$34+WR!G483/Scoring!$F$34+WR!H483*Scoring!$G$34+WR!I483*Scoring!$H$34+K483*Scoring!$I$34+WR!L483*Scoring!$J$34+U483</x:f>
        <x:v>7.22</x:v>
      </x:c>
      <x:c r="O483" s="119" t="n">
        <x:f>C484*Scoring!$B$34+D484/Scoring!$C$34+E484*Scoring!$D$34+WR!F484*Scoring!$E$34+WR!G484/Scoring!$F$34+WR!H484*Scoring!$G$34+WR!I484*Scoring!$H$34+K484*Scoring!$I$34+WR!L484*Scoring!$J$34+U483</x:f>
        <x:v>7.22</x:v>
      </x:c>
      <x:c r="P483" s="9" t="n">
        <x:f>IF(COUNTIF(Rookies!$A:$A,A483)&gt;0,1,0)</x:f>
        <x:v>0</x:v>
      </x:c>
      <x:c r="Q483" s="9"/>
      <x:c r="R483" s="9"/>
      <x:c r="S483" s="9" t="n">
        <x:f>V483/17</x:f>
        <x:v>0.42470588235294116</x:v>
      </x:c>
      <x:c r="T483" s="9" t="n">
        <x:f>IF(P483=1,MAX(0,0.28*(12-S483)),0)</x:f>
        <x:v>0</x:v>
      </x:c>
      <x:c r="U483" s="9" t="n">
        <x:f>T483*17</x:f>
        <x:v>0</x:v>
      </x:c>
      <x:c r="V483" s="9" t="n">
        <x:f>C483*Scoring!$B$34+D483/Scoring!$C$34+E483*Scoring!$D$34+WR!F483*Scoring!$E$34+WR!G483/Scoring!$F$34+WR!H483*Scoring!$G$34+WR!I483*Scoring!$H$34+K483*Scoring!$I$34+WR!L483*Scoring!$J$34</x:f>
        <x:v>7.22</x:v>
      </x:c>
      <x:c r="W483" s="9"/>
      <x:c r="X483" s="9"/>
      <x:c r="Y483" s="9"/>
      <x:c r="Z483" s="9"/>
    </x:row>
    <x:row r="484" ht="14.25" customHeight="1">
      <x:c r="B484" s="1" t="s">
        <x:v>488</x:v>
      </x:c>
      <x:c r="C484" s="1">
        <x:v>3.3</x:v>
      </x:c>
      <x:c r="D484" s="1">
        <x:v>37.7</x:v>
      </x:c>
      <x:c r="E484" s="1">
        <x:v>0.3</x:v>
      </x:c>
      <x:c r="F484" s="1">
        <x:v>0.0</x:v>
      </x:c>
      <x:c r="G484" s="1">
        <x:v>0.0</x:v>
      </x:c>
      <x:c r="H484" s="1">
        <x:v>0.0</x:v>
      </x:c>
      <x:c r="I484" s="1">
        <x:v>0.0</x:v>
      </x:c>
      <x:c r="J484" s="1">
        <x:v>8.5</x:v>
      </x:c>
      <x:c r="K484" s="18">
        <x:f t="shared" si="1"/>
        <x:v>0</x:v>
      </x:c>
      <x:c r="L484" s="18">
        <x:f t="shared" si="2"/>
        <x:v>1.854242424</x:v>
      </x:c>
      <x:c r="M484" s="121"/>
      <x:c r="N484" s="121"/>
      <x:c r="O484" s="121"/>
      <x:c r="P484" s="9"/>
      <x:c r="Q484" s="9"/>
      <x:c r="R484" s="9"/>
      <x:c r="S484" s="9"/>
      <x:c r="T484" s="9"/>
      <x:c r="U484" s="9"/>
      <x:c r="V484" s="9"/>
      <x:c r="W484" s="9"/>
      <x:c r="X484" s="9"/>
      <x:c r="Y484" s="9"/>
      <x:c r="Z484" s="9"/>
    </x:row>
    <x:row r="485" ht="14.25" customHeight="1">
      <x:c r="B485" s="1" t="s">
        <x:v>489</x:v>
      </x:c>
      <x:c r="C485" s="1">
        <x:v>3.3</x:v>
      </x:c>
      <x:c r="D485" s="1">
        <x:v>37.7</x:v>
      </x:c>
      <x:c r="E485" s="1">
        <x:v>0.3</x:v>
      </x:c>
      <x:c r="F485" s="1">
        <x:v>0.0</x:v>
      </x:c>
      <x:c r="G485" s="1">
        <x:v>0.0</x:v>
      </x:c>
      <x:c r="H485" s="1">
        <x:v>0.0</x:v>
      </x:c>
      <x:c r="I485" s="1">
        <x:v>0.0</x:v>
      </x:c>
      <x:c r="J485" s="1">
        <x:v>8.5</x:v>
      </x:c>
      <x:c r="K485" s="18">
        <x:f t="shared" si="1"/>
        <x:v>0</x:v>
      </x:c>
      <x:c r="L485" s="18">
        <x:f t="shared" si="2"/>
        <x:v>1.854242424</x:v>
      </x:c>
      <x:c r="M485" s="121"/>
      <x:c r="N485" s="121"/>
      <x:c r="O485" s="121"/>
      <x:c r="P485" s="9"/>
      <x:c r="Q485" s="9"/>
      <x:c r="R485" s="9"/>
      <x:c r="S485" s="9"/>
      <x:c r="T485" s="9"/>
      <x:c r="U485" s="9"/>
      <x:c r="V485" s="9"/>
      <x:c r="W485" s="9"/>
      <x:c r="X485" s="9"/>
      <x:c r="Y485" s="9"/>
      <x:c r="Z485" s="9"/>
    </x:row>
    <x:row r="486" ht="14.25" customHeight="1">
      <x:c r="A486" s="1" t="s">
        <x:v>894</x:v>
      </x:c>
      <x:c r="B486" s="1" t="s">
        <x:v>507</x:v>
      </x:c>
      <x:c r="C486" s="1">
        <x:v>2.9</x:v>
      </x:c>
      <x:c r="D486" s="1">
        <x:v>40.6</x:v>
      </x:c>
      <x:c r="E486" s="1">
        <x:v>0.3</x:v>
      </x:c>
      <x:c r="F486" s="1">
        <x:v>0.0</x:v>
      </x:c>
      <x:c r="G486" s="1">
        <x:v>0.0</x:v>
      </x:c>
      <x:c r="H486" s="1">
        <x:v>0.0</x:v>
      </x:c>
      <x:c r="I486" s="1">
        <x:v>0.0</x:v>
      </x:c>
      <x:c r="J486" s="1">
        <x:v>8.4</x:v>
      </x:c>
      <x:c r="K486" s="18">
        <x:f t="shared" si="1"/>
        <x:v>0</x:v>
      </x:c>
      <x:c r="L486" s="18">
        <x:f t="shared" si="2"/>
        <x:v>1.996876457</x:v>
      </x:c>
      <x:c r="M486" s="119" t="n">
        <x:f>C488*Scoring!$B$34+D488/Scoring!$C$34+E488*Scoring!$D$34+WR!F488*Scoring!$E$34+WR!G488/Scoring!$F$34+WR!H488*Scoring!$G$34+WR!I488*Scoring!$H$34+K488*Scoring!$I$34+WR!L488*Scoring!$J$34+U486</x:f>
        <x:v>7.3100000000000005</x:v>
      </x:c>
      <x:c r="N486" s="119" t="n">
        <x:f>C486*Scoring!$B$34+D486/Scoring!$C$34+E486*Scoring!$D$34+WR!F486*Scoring!$E$34+WR!G486/Scoring!$F$34+WR!H486*Scoring!$G$34+WR!I486*Scoring!$H$34+K486*Scoring!$I$34+WR!L486*Scoring!$J$34+U486</x:f>
        <x:v>7.3100000000000005</x:v>
      </x:c>
      <x:c r="O486" s="119" t="n">
        <x:f>C487*Scoring!$B$34+D487/Scoring!$C$34+E487*Scoring!$D$34+WR!F487*Scoring!$E$34+WR!G487/Scoring!$F$34+WR!H487*Scoring!$G$34+WR!I487*Scoring!$H$34+K487*Scoring!$I$34+WR!L487*Scoring!$J$34+U486</x:f>
        <x:v>7.3100000000000005</x:v>
      </x:c>
      <x:c r="P486" s="9" t="n">
        <x:f>IF(COUNTIF(Rookies!$A:$A,A486)&gt;0,1,0)</x:f>
        <x:v>0</x:v>
      </x:c>
      <x:c r="Q486" s="9"/>
      <x:c r="R486" s="9"/>
      <x:c r="S486" s="9" t="n">
        <x:f>V486/17</x:f>
        <x:v>0.43000000000000005</x:v>
      </x:c>
      <x:c r="T486" s="9" t="n">
        <x:f>IF(P486=1,MAX(0,0.28*(12-S486)),0)</x:f>
        <x:v>0</x:v>
      </x:c>
      <x:c r="U486" s="9" t="n">
        <x:f>T486*17</x:f>
        <x:v>0</x:v>
      </x:c>
      <x:c r="V486" s="9" t="n">
        <x:f>C486*Scoring!$B$34+D486/Scoring!$C$34+E486*Scoring!$D$34+WR!F486*Scoring!$E$34+WR!G486/Scoring!$F$34+WR!H486*Scoring!$G$34+WR!I486*Scoring!$H$34+K486*Scoring!$I$34+WR!L486*Scoring!$J$34</x:f>
        <x:v>7.3100000000000005</x:v>
      </x:c>
      <x:c r="W486" s="9"/>
      <x:c r="X486" s="9"/>
      <x:c r="Y486" s="9"/>
      <x:c r="Z486" s="9"/>
    </x:row>
    <x:row r="487" ht="14.25" customHeight="1">
      <x:c r="B487" s="1" t="s">
        <x:v>488</x:v>
      </x:c>
      <x:c r="C487" s="1">
        <x:v>2.9</x:v>
      </x:c>
      <x:c r="D487" s="1">
        <x:v>40.6</x:v>
      </x:c>
      <x:c r="E487" s="1">
        <x:v>0.3</x:v>
      </x:c>
      <x:c r="F487" s="1">
        <x:v>0.0</x:v>
      </x:c>
      <x:c r="G487" s="1">
        <x:v>0.0</x:v>
      </x:c>
      <x:c r="H487" s="1">
        <x:v>0.0</x:v>
      </x:c>
      <x:c r="I487" s="1">
        <x:v>0.0</x:v>
      </x:c>
      <x:c r="J487" s="1">
        <x:v>8.4</x:v>
      </x:c>
      <x:c r="K487" s="18">
        <x:f t="shared" si="1"/>
        <x:v>0</x:v>
      </x:c>
      <x:c r="L487" s="18">
        <x:f t="shared" si="2"/>
        <x:v>1.996876457</x:v>
      </x:c>
      <x:c r="M487" s="121"/>
      <x:c r="N487" s="121"/>
      <x:c r="O487" s="121"/>
      <x:c r="P487" s="9"/>
      <x:c r="Q487" s="9"/>
      <x:c r="R487" s="9"/>
      <x:c r="S487" s="9"/>
      <x:c r="T487" s="9"/>
      <x:c r="U487" s="9"/>
      <x:c r="V487" s="9"/>
      <x:c r="W487" s="9"/>
      <x:c r="X487" s="9"/>
      <x:c r="Y487" s="9"/>
      <x:c r="Z487" s="9"/>
    </x:row>
    <x:row r="488" ht="14.25" customHeight="1">
      <x:c r="B488" s="1" t="s">
        <x:v>489</x:v>
      </x:c>
      <x:c r="C488" s="1">
        <x:v>2.9</x:v>
      </x:c>
      <x:c r="D488" s="1">
        <x:v>40.6</x:v>
      </x:c>
      <x:c r="E488" s="1">
        <x:v>0.3</x:v>
      </x:c>
      <x:c r="F488" s="1">
        <x:v>0.0</x:v>
      </x:c>
      <x:c r="G488" s="1">
        <x:v>0.0</x:v>
      </x:c>
      <x:c r="H488" s="1">
        <x:v>0.0</x:v>
      </x:c>
      <x:c r="I488" s="1">
        <x:v>0.0</x:v>
      </x:c>
      <x:c r="J488" s="1">
        <x:v>8.4</x:v>
      </x:c>
      <x:c r="K488" s="18">
        <x:f t="shared" si="1"/>
        <x:v>0</x:v>
      </x:c>
      <x:c r="L488" s="18">
        <x:f t="shared" si="2"/>
        <x:v>1.996876457</x:v>
      </x:c>
      <x:c r="M488" s="121"/>
      <x:c r="N488" s="121"/>
      <x:c r="O488" s="121"/>
      <x:c r="P488" s="9"/>
      <x:c r="Q488" s="9"/>
      <x:c r="R488" s="9"/>
      <x:c r="S488" s="9"/>
      <x:c r="T488" s="9"/>
      <x:c r="U488" s="9"/>
      <x:c r="V488" s="9"/>
      <x:c r="W488" s="9"/>
      <x:c r="X488" s="9"/>
      <x:c r="Y488" s="9"/>
      <x:c r="Z488" s="9"/>
    </x:row>
    <x:row r="489" ht="14.25" customHeight="1">
      <x:c r="A489" s="1" t="s">
        <x:v>895</x:v>
      </x:c>
      <x:c r="B489" s="1" t="s">
        <x:v>535</x:v>
      </x:c>
      <x:c r="C489" s="1">
        <x:v>3.3</x:v>
      </x:c>
      <x:c r="D489" s="1">
        <x:v>39.7</x:v>
      </x:c>
      <x:c r="E489" s="1">
        <x:v>0.2</x:v>
      </x:c>
      <x:c r="F489" s="1">
        <x:v>0.0</x:v>
      </x:c>
      <x:c r="G489" s="1">
        <x:v>0.0</x:v>
      </x:c>
      <x:c r="H489" s="1">
        <x:v>0.0</x:v>
      </x:c>
      <x:c r="I489" s="1">
        <x:v>0.0</x:v>
      </x:c>
      <x:c r="J489" s="1">
        <x:v>8.3</x:v>
      </x:c>
      <x:c r="K489" s="18">
        <x:f t="shared" si="1"/>
        <x:v>0</x:v>
      </x:c>
      <x:c r="L489" s="18">
        <x:f t="shared" si="2"/>
        <x:v>1.952610723</x:v>
      </x:c>
      <x:c r="M489" s="119" t="n">
        <x:f>C491*Scoring!$B$34+D491/Scoring!$C$34+E491*Scoring!$D$34+WR!F491*Scoring!$E$34+WR!G491/Scoring!$F$34+WR!H491*Scoring!$G$34+WR!I491*Scoring!$H$34+K491*Scoring!$I$34+WR!L491*Scoring!$J$34+U489</x:f>
        <x:v>62.03040000000001</x:v>
      </x:c>
      <x:c r="N489" s="119" t="n">
        <x:f>C489*Scoring!$B$34+D489/Scoring!$C$34+E489*Scoring!$D$34+WR!F489*Scoring!$E$34+WR!G489/Scoring!$F$34+WR!H489*Scoring!$G$34+WR!I489*Scoring!$H$34+K489*Scoring!$I$34+WR!L489*Scoring!$J$34+U489</x:f>
        <x:v>62.03040000000001</x:v>
      </x:c>
      <x:c r="O489" s="119" t="n">
        <x:f>C490*Scoring!$B$34+D490/Scoring!$C$34+E490*Scoring!$D$34+WR!F490*Scoring!$E$34+WR!G490/Scoring!$F$34+WR!H490*Scoring!$G$34+WR!I490*Scoring!$H$34+K490*Scoring!$I$34+WR!L490*Scoring!$J$34+U489</x:f>
        <x:v>62.03040000000001</x:v>
      </x:c>
      <x:c r="P489" s="9" t="n">
        <x:f>IF(COUNTIF(Rookies!$A:$A,A489)&gt;0,1,0)</x:f>
        <x:v>1</x:v>
      </x:c>
      <x:c r="Q489" s="9"/>
      <x:c r="R489" s="9"/>
      <x:c r="S489" s="9" t="n">
        <x:f>V489/17</x:f>
        <x:v>0.4011764705882353</x:v>
      </x:c>
      <x:c r="T489" s="9" t="n">
        <x:f>IF(P489=1,MAX(0,0.28*(12-S489)),0)</x:f>
        <x:v>3.2476705882352945</x:v>
      </x:c>
      <x:c r="U489" s="9" t="n">
        <x:f>T489*17</x:f>
        <x:v>55.21040000000001</x:v>
      </x:c>
      <x:c r="V489" s="9" t="n">
        <x:f>C489*Scoring!$B$34+D489/Scoring!$C$34+E489*Scoring!$D$34+WR!F489*Scoring!$E$34+WR!G489/Scoring!$F$34+WR!H489*Scoring!$G$34+WR!I489*Scoring!$H$34+K489*Scoring!$I$34+WR!L489*Scoring!$J$34</x:f>
        <x:v>6.82</x:v>
      </x:c>
      <x:c r="W489" s="9"/>
      <x:c r="X489" s="9"/>
      <x:c r="Y489" s="9"/>
      <x:c r="Z489" s="9"/>
    </x:row>
    <x:row r="490" ht="14.25" customHeight="1">
      <x:c r="B490" s="1" t="s">
        <x:v>488</x:v>
      </x:c>
      <x:c r="C490" s="1">
        <x:v>3.3</x:v>
      </x:c>
      <x:c r="D490" s="1">
        <x:v>39.7</x:v>
      </x:c>
      <x:c r="E490" s="1">
        <x:v>0.2</x:v>
      </x:c>
      <x:c r="F490" s="1">
        <x:v>0.0</x:v>
      </x:c>
      <x:c r="G490" s="1">
        <x:v>0.0</x:v>
      </x:c>
      <x:c r="H490" s="1">
        <x:v>0.0</x:v>
      </x:c>
      <x:c r="I490" s="1">
        <x:v>0.0</x:v>
      </x:c>
      <x:c r="J490" s="1">
        <x:v>8.3</x:v>
      </x:c>
      <x:c r="K490" s="18">
        <x:f t="shared" si="1"/>
        <x:v>0</x:v>
      </x:c>
      <x:c r="L490" s="18">
        <x:f t="shared" si="2"/>
        <x:v>1.952610723</x:v>
      </x:c>
      <x:c r="M490" s="121"/>
      <x:c r="N490" s="121"/>
      <x:c r="O490" s="121"/>
      <x:c r="P490" s="9"/>
      <x:c r="Q490" s="9"/>
      <x:c r="R490" s="9"/>
      <x:c r="S490" s="9"/>
      <x:c r="T490" s="9"/>
      <x:c r="U490" s="9"/>
      <x:c r="V490" s="9"/>
      <x:c r="W490" s="9"/>
      <x:c r="X490" s="9"/>
      <x:c r="Y490" s="9"/>
      <x:c r="Z490" s="9"/>
    </x:row>
    <x:row r="491" ht="14.25" customHeight="1">
      <x:c r="B491" s="1" t="s">
        <x:v>489</x:v>
      </x:c>
      <x:c r="C491" s="1">
        <x:v>3.3</x:v>
      </x:c>
      <x:c r="D491" s="1">
        <x:v>39.7</x:v>
      </x:c>
      <x:c r="E491" s="1">
        <x:v>0.2</x:v>
      </x:c>
      <x:c r="F491" s="1">
        <x:v>0.0</x:v>
      </x:c>
      <x:c r="G491" s="1">
        <x:v>0.0</x:v>
      </x:c>
      <x:c r="H491" s="1">
        <x:v>0.0</x:v>
      </x:c>
      <x:c r="I491" s="1">
        <x:v>0.0</x:v>
      </x:c>
      <x:c r="J491" s="1">
        <x:v>8.3</x:v>
      </x:c>
      <x:c r="K491" s="18">
        <x:f t="shared" si="1"/>
        <x:v>0</x:v>
      </x:c>
      <x:c r="L491" s="18">
        <x:f t="shared" si="2"/>
        <x:v>1.952610723</x:v>
      </x:c>
      <x:c r="M491" s="121"/>
      <x:c r="N491" s="121"/>
      <x:c r="O491" s="121"/>
      <x:c r="P491" s="9"/>
      <x:c r="Q491" s="9"/>
      <x:c r="R491" s="9"/>
      <x:c r="S491" s="9"/>
      <x:c r="T491" s="9"/>
      <x:c r="U491" s="9"/>
      <x:c r="V491" s="9"/>
      <x:c r="W491" s="9"/>
      <x:c r="X491" s="9"/>
      <x:c r="Y491" s="9"/>
      <x:c r="Z491" s="9"/>
    </x:row>
    <x:row r="492" ht="14.25" customHeight="1">
      <x:c r="A492" s="1" t="s">
        <x:v>896</x:v>
      </x:c>
      <x:c r="B492" s="1" t="s">
        <x:v>543</x:v>
      </x:c>
      <x:c r="C492" s="1">
        <x:v>3.4</x:v>
      </x:c>
      <x:c r="D492" s="1">
        <x:v>39.3</x:v>
      </x:c>
      <x:c r="E492" s="1">
        <x:v>0.1</x:v>
      </x:c>
      <x:c r="F492" s="1">
        <x:v>0.0</x:v>
      </x:c>
      <x:c r="G492" s="1">
        <x:v>0.0</x:v>
      </x:c>
      <x:c r="H492" s="1">
        <x:v>0.0</x:v>
      </x:c>
      <x:c r="I492" s="1">
        <x:v>0.0</x:v>
      </x:c>
      <x:c r="J492" s="1">
        <x:v>8.1</x:v>
      </x:c>
      <x:c r="K492" s="18">
        <x:f t="shared" si="1"/>
        <x:v>0</x:v>
      </x:c>
      <x:c r="L492" s="18">
        <x:f t="shared" si="2"/>
        <x:v>1.932937063</x:v>
      </x:c>
      <x:c r="M492" s="119" t="n">
        <x:f>C494*Scoring!$B$34+D494/Scoring!$C$34+E494*Scoring!$D$34+WR!F494*Scoring!$E$34+WR!G494/Scoring!$F$34+WR!H494*Scoring!$G$34+WR!I494*Scoring!$H$34+K494*Scoring!$I$34+WR!L494*Scoring!$J$34+U492</x:f>
        <x:v>61.605599999999995</x:v>
      </x:c>
      <x:c r="N492" s="119" t="n">
        <x:f>C492*Scoring!$B$34+D492/Scoring!$C$34+E492*Scoring!$D$34+WR!F492*Scoring!$E$34+WR!G492/Scoring!$F$34+WR!H492*Scoring!$G$34+WR!I492*Scoring!$H$34+K492*Scoring!$I$34+WR!L492*Scoring!$J$34+U492</x:f>
        <x:v>61.605599999999995</x:v>
      </x:c>
      <x:c r="O492" s="119" t="n">
        <x:f>C493*Scoring!$B$34+D493/Scoring!$C$34+E493*Scoring!$D$34+WR!F493*Scoring!$E$34+WR!G493/Scoring!$F$34+WR!H493*Scoring!$G$34+WR!I493*Scoring!$H$34+K493*Scoring!$I$34+WR!L493*Scoring!$J$34+U492</x:f>
        <x:v>61.605599999999995</x:v>
      </x:c>
      <x:c r="P492" s="9" t="n">
        <x:f>IF(COUNTIF(Rookies!$A:$A,A492)&gt;0,1,0)</x:f>
        <x:v>1</x:v>
      </x:c>
      <x:c r="Q492" s="9"/>
      <x:c r="R492" s="9"/>
      <x:c r="S492" s="9" t="n">
        <x:f>V492/17</x:f>
        <x:v>0.36647058823529416</x:v>
      </x:c>
      <x:c r="T492" s="9" t="n">
        <x:f>IF(P492=1,MAX(0,0.28*(12-S492)),0)</x:f>
        <x:v>3.2573882352941177</x:v>
      </x:c>
      <x:c r="U492" s="9" t="n">
        <x:f>T492*17</x:f>
        <x:v>55.3756</x:v>
      </x:c>
      <x:c r="V492" s="9" t="n">
        <x:f>C492*Scoring!$B$34+D492/Scoring!$C$34+E492*Scoring!$D$34+WR!F492*Scoring!$E$34+WR!G492/Scoring!$F$34+WR!H492*Scoring!$G$34+WR!I492*Scoring!$H$34+K492*Scoring!$I$34+WR!L492*Scoring!$J$34</x:f>
        <x:v>6.23</x:v>
      </x:c>
      <x:c r="W492" s="9"/>
      <x:c r="X492" s="9"/>
      <x:c r="Y492" s="9"/>
      <x:c r="Z492" s="9"/>
    </x:row>
    <x:row r="493" ht="14.25" customHeight="1">
      <x:c r="B493" s="1" t="s">
        <x:v>488</x:v>
      </x:c>
      <x:c r="C493" s="1">
        <x:v>3.4</x:v>
      </x:c>
      <x:c r="D493" s="1">
        <x:v>39.3</x:v>
      </x:c>
      <x:c r="E493" s="1">
        <x:v>0.1</x:v>
      </x:c>
      <x:c r="F493" s="1">
        <x:v>0.0</x:v>
      </x:c>
      <x:c r="G493" s="1">
        <x:v>0.0</x:v>
      </x:c>
      <x:c r="H493" s="1">
        <x:v>0.0</x:v>
      </x:c>
      <x:c r="I493" s="1">
        <x:v>0.0</x:v>
      </x:c>
      <x:c r="J493" s="1">
        <x:v>8.1</x:v>
      </x:c>
      <x:c r="K493" s="18">
        <x:f t="shared" si="1"/>
        <x:v>0</x:v>
      </x:c>
      <x:c r="L493" s="18">
        <x:f t="shared" si="2"/>
        <x:v>1.932937063</x:v>
      </x:c>
      <x:c r="M493" s="121"/>
      <x:c r="N493" s="121"/>
      <x:c r="O493" s="121"/>
      <x:c r="P493" s="9"/>
      <x:c r="Q493" s="9"/>
      <x:c r="R493" s="9"/>
      <x:c r="S493" s="9"/>
      <x:c r="T493" s="9"/>
      <x:c r="U493" s="9"/>
      <x:c r="V493" s="9"/>
      <x:c r="W493" s="9"/>
      <x:c r="X493" s="9"/>
      <x:c r="Y493" s="9"/>
      <x:c r="Z493" s="9"/>
    </x:row>
    <x:row r="494" ht="14.25" customHeight="1">
      <x:c r="B494" s="1" t="s">
        <x:v>489</x:v>
      </x:c>
      <x:c r="C494" s="1">
        <x:v>3.4</x:v>
      </x:c>
      <x:c r="D494" s="1">
        <x:v>39.3</x:v>
      </x:c>
      <x:c r="E494" s="1">
        <x:v>0.1</x:v>
      </x:c>
      <x:c r="F494" s="1">
        <x:v>0.0</x:v>
      </x:c>
      <x:c r="G494" s="1">
        <x:v>0.0</x:v>
      </x:c>
      <x:c r="H494" s="1">
        <x:v>0.0</x:v>
      </x:c>
      <x:c r="I494" s="1">
        <x:v>0.0</x:v>
      </x:c>
      <x:c r="J494" s="1">
        <x:v>8.1</x:v>
      </x:c>
      <x:c r="K494" s="18">
        <x:f t="shared" si="1"/>
        <x:v>0</x:v>
      </x:c>
      <x:c r="L494" s="18">
        <x:f t="shared" si="2"/>
        <x:v>1.932937063</x:v>
      </x:c>
      <x:c r="M494" s="121"/>
      <x:c r="N494" s="121"/>
      <x:c r="O494" s="121"/>
      <x:c r="P494" s="9"/>
      <x:c r="Q494" s="9"/>
      <x:c r="R494" s="9"/>
      <x:c r="S494" s="9"/>
      <x:c r="T494" s="9"/>
      <x:c r="U494" s="9"/>
      <x:c r="V494" s="9"/>
      <x:c r="W494" s="9"/>
      <x:c r="X494" s="9"/>
      <x:c r="Y494" s="9"/>
      <x:c r="Z494" s="9"/>
    </x:row>
    <x:row r="495" ht="14.25" customHeight="1">
      <x:c r="A495" s="1" t="s">
        <x:v>897</x:v>
      </x:c>
      <x:c r="B495" s="1" t="s">
        <x:v>537</x:v>
      </x:c>
      <x:c r="C495" s="1">
        <x:v>3.3</x:v>
      </x:c>
      <x:c r="D495" s="1">
        <x:v>36.1</x:v>
      </x:c>
      <x:c r="E495" s="1">
        <x:v>0.2</x:v>
      </x:c>
      <x:c r="F495" s="1">
        <x:v>0.0</x:v>
      </x:c>
      <x:c r="G495" s="1">
        <x:v>0.0</x:v>
      </x:c>
      <x:c r="H495" s="1">
        <x:v>0.0</x:v>
      </x:c>
      <x:c r="I495" s="1">
        <x:v>0.0</x:v>
      </x:c>
      <x:c r="J495" s="1">
        <x:v>7.8</x:v>
      </x:c>
      <x:c r="K495" s="18">
        <x:f t="shared" si="1"/>
        <x:v>0</x:v>
      </x:c>
      <x:c r="L495" s="18">
        <x:f t="shared" si="2"/>
        <x:v>1.775547786</x:v>
      </x:c>
      <x:c r="M495" s="119" t="n">
        <x:f>C497*Scoring!$B$34+D497/Scoring!$C$34+E497*Scoring!$D$34+WR!F497*Scoring!$E$34+WR!G497/Scoring!$F$34+WR!H497*Scoring!$G$34+WR!I497*Scoring!$H$34+K497*Scoring!$I$34+WR!L497*Scoring!$J$34+U495</x:f>
        <x:v>6.46</x:v>
      </x:c>
      <x:c r="N495" s="119" t="n">
        <x:f>C495*Scoring!$B$34+D495/Scoring!$C$34+E495*Scoring!$D$34+WR!F495*Scoring!$E$34+WR!G495/Scoring!$F$34+WR!H495*Scoring!$G$34+WR!I495*Scoring!$H$34+K495*Scoring!$I$34+WR!L495*Scoring!$J$34+U495</x:f>
        <x:v>6.46</x:v>
      </x:c>
      <x:c r="O495" s="119" t="n">
        <x:f>C496*Scoring!$B$34+D496/Scoring!$C$34+E496*Scoring!$D$34+WR!F496*Scoring!$E$34+WR!G496/Scoring!$F$34+WR!H496*Scoring!$G$34+WR!I496*Scoring!$H$34+K496*Scoring!$I$34+WR!L496*Scoring!$J$34+U495</x:f>
        <x:v>6.46</x:v>
      </x:c>
      <x:c r="P495" s="9" t="n">
        <x:f>IF(COUNTIF(Rookies!$A:$A,A495)&gt;0,1,0)</x:f>
        <x:v>0</x:v>
      </x:c>
      <x:c r="Q495" s="9"/>
      <x:c r="R495" s="9"/>
      <x:c r="S495" s="9" t="n">
        <x:f>V495/17</x:f>
        <x:v>0.38</x:v>
      </x:c>
      <x:c r="T495" s="9" t="n">
        <x:f>IF(P495=1,MAX(0,0.28*(12-S495)),0)</x:f>
        <x:v>0</x:v>
      </x:c>
      <x:c r="U495" s="9" t="n">
        <x:f>T495*17</x:f>
        <x:v>0</x:v>
      </x:c>
      <x:c r="V495" s="9" t="n">
        <x:f>C495*Scoring!$B$34+D495/Scoring!$C$34+E495*Scoring!$D$34+WR!F495*Scoring!$E$34+WR!G495/Scoring!$F$34+WR!H495*Scoring!$G$34+WR!I495*Scoring!$H$34+K495*Scoring!$I$34+WR!L495*Scoring!$J$34</x:f>
        <x:v>6.46</x:v>
      </x:c>
      <x:c r="W495" s="9"/>
      <x:c r="X495" s="9"/>
      <x:c r="Y495" s="9"/>
      <x:c r="Z495" s="9"/>
    </x:row>
    <x:row r="496" ht="14.25" customHeight="1">
      <x:c r="B496" s="1" t="s">
        <x:v>488</x:v>
      </x:c>
      <x:c r="C496" s="1">
        <x:v>3.3</x:v>
      </x:c>
      <x:c r="D496" s="1">
        <x:v>36.1</x:v>
      </x:c>
      <x:c r="E496" s="1">
        <x:v>0.2</x:v>
      </x:c>
      <x:c r="F496" s="1">
        <x:v>0.0</x:v>
      </x:c>
      <x:c r="G496" s="1">
        <x:v>0.0</x:v>
      </x:c>
      <x:c r="H496" s="1">
        <x:v>0.0</x:v>
      </x:c>
      <x:c r="I496" s="1">
        <x:v>0.0</x:v>
      </x:c>
      <x:c r="J496" s="1">
        <x:v>8.0</x:v>
      </x:c>
      <x:c r="K496" s="18">
        <x:f t="shared" si="1"/>
        <x:v>0</x:v>
      </x:c>
      <x:c r="L496" s="18">
        <x:f t="shared" si="2"/>
        <x:v>1.775547786</x:v>
      </x:c>
      <x:c r="M496" s="121"/>
      <x:c r="N496" s="121"/>
      <x:c r="O496" s="121"/>
      <x:c r="P496" s="9"/>
      <x:c r="Q496" s="9"/>
      <x:c r="R496" s="9"/>
      <x:c r="S496" s="9"/>
      <x:c r="T496" s="9"/>
      <x:c r="U496" s="9"/>
      <x:c r="V496" s="9"/>
      <x:c r="W496" s="9"/>
      <x:c r="X496" s="9"/>
      <x:c r="Y496" s="9"/>
      <x:c r="Z496" s="9"/>
    </x:row>
    <x:row r="497" ht="14.25" customHeight="1">
      <x:c r="B497" s="1" t="s">
        <x:v>489</x:v>
      </x:c>
      <x:c r="C497" s="1">
        <x:v>3.3</x:v>
      </x:c>
      <x:c r="D497" s="1">
        <x:v>36.1</x:v>
      </x:c>
      <x:c r="E497" s="1">
        <x:v>0.2</x:v>
      </x:c>
      <x:c r="F497" s="1">
        <x:v>0.0</x:v>
      </x:c>
      <x:c r="G497" s="1">
        <x:v>0.0</x:v>
      </x:c>
      <x:c r="H497" s="1">
        <x:v>0.0</x:v>
      </x:c>
      <x:c r="I497" s="1">
        <x:v>0.0</x:v>
      </x:c>
      <x:c r="J497" s="1">
        <x:v>8.0</x:v>
      </x:c>
      <x:c r="K497" s="18">
        <x:f t="shared" si="1"/>
        <x:v>0</x:v>
      </x:c>
      <x:c r="L497" s="18">
        <x:f t="shared" si="2"/>
        <x:v>1.775547786</x:v>
      </x:c>
      <x:c r="M497" s="121"/>
      <x:c r="N497" s="121"/>
      <x:c r="O497" s="121"/>
      <x:c r="P497" s="9"/>
      <x:c r="Q497" s="9"/>
      <x:c r="R497" s="9"/>
      <x:c r="S497" s="9"/>
      <x:c r="T497" s="9"/>
      <x:c r="U497" s="9"/>
      <x:c r="V497" s="9"/>
      <x:c r="W497" s="9"/>
      <x:c r="X497" s="9"/>
      <x:c r="Y497" s="9"/>
      <x:c r="Z497" s="9"/>
    </x:row>
    <x:row r="498" ht="14.25" customHeight="1">
      <x:c r="A498" s="1" t="s">
        <x:v>898</x:v>
      </x:c>
      <x:c r="B498" s="1" t="s">
        <x:v>545</x:v>
      </x:c>
      <x:c r="C498" s="1">
        <x:v>1.8</x:v>
      </x:c>
      <x:c r="D498" s="1">
        <x:v>17.0</x:v>
      </x:c>
      <x:c r="E498" s="1">
        <x:v>0.1</x:v>
      </x:c>
      <x:c r="F498" s="1">
        <x:v>0.0</x:v>
      </x:c>
      <x:c r="G498" s="1">
        <x:v>0.0</x:v>
      </x:c>
      <x:c r="H498" s="1">
        <x:v>0.0</x:v>
      </x:c>
      <x:c r="I498" s="1">
        <x:v>0.0</x:v>
      </x:c>
      <x:c r="J498" s="1">
        <x:v>3.9</x:v>
      </x:c>
      <x:c r="K498" s="18">
        <x:f t="shared" si="1"/>
        <x:v>0</x:v>
      </x:c>
      <x:c r="L498" s="18">
        <x:f t="shared" si="2"/>
        <x:v>0.8361305361</x:v>
      </x:c>
      <x:c r="M498" s="119" t="n">
        <x:f>C500*Scoring!$B$34+D500/Scoring!$C$34+E500*Scoring!$D$34+WR!F500*Scoring!$E$34+WR!G500/Scoring!$F$34+WR!H500*Scoring!$G$34+WR!I500*Scoring!$H$34+K500*Scoring!$I$34+WR!L500*Scoring!$J$34+U498</x:f>
        <x:v>3.2</x:v>
      </x:c>
      <x:c r="N498" s="119" t="n">
        <x:f>C498*Scoring!$B$34+D498/Scoring!$C$34+E498*Scoring!$D$34+WR!F498*Scoring!$E$34+WR!G498/Scoring!$F$34+WR!H498*Scoring!$G$34+WR!I498*Scoring!$H$34+K498*Scoring!$I$34+WR!L498*Scoring!$J$34+U498</x:f>
        <x:v>3.2</x:v>
      </x:c>
      <x:c r="O498" s="119" t="n">
        <x:f>C499*Scoring!$B$34+D499/Scoring!$C$34+E499*Scoring!$D$34+WR!F499*Scoring!$E$34+WR!G499/Scoring!$F$34+WR!H499*Scoring!$G$34+WR!I499*Scoring!$H$34+K499*Scoring!$I$34+WR!L499*Scoring!$J$34+U498</x:f>
        <x:v>3.2</x:v>
      </x:c>
      <x:c r="P498" s="9" t="n">
        <x:f>IF(COUNTIF(Rookies!$A:$A,A498)&gt;0,1,0)</x:f>
        <x:v>0</x:v>
      </x:c>
      <x:c r="Q498" s="9"/>
      <x:c r="R498" s="9"/>
      <x:c r="S498" s="9" t="n">
        <x:f>V498/17</x:f>
        <x:v>0.18823529411764706</x:v>
      </x:c>
      <x:c r="T498" s="9" t="n">
        <x:f>IF(P498=1,MAX(0,0.28*(12-S498)),0)</x:f>
        <x:v>0</x:v>
      </x:c>
      <x:c r="U498" s="9" t="n">
        <x:f>T498*17</x:f>
        <x:v>0</x:v>
      </x:c>
      <x:c r="V498" s="9" t="n">
        <x:f>C498*Scoring!$B$34+D498/Scoring!$C$34+E498*Scoring!$D$34+WR!F498*Scoring!$E$34+WR!G498/Scoring!$F$34+WR!H498*Scoring!$G$34+WR!I498*Scoring!$H$34+K498*Scoring!$I$34+WR!L498*Scoring!$J$34</x:f>
        <x:v>3.2</x:v>
      </x:c>
      <x:c r="W498" s="9"/>
      <x:c r="X498" s="9"/>
      <x:c r="Y498" s="9"/>
      <x:c r="Z498" s="9"/>
    </x:row>
    <x:row r="499" ht="14.25" customHeight="1">
      <x:c r="B499" s="1" t="s">
        <x:v>488</x:v>
      </x:c>
      <x:c r="C499" s="1">
        <x:v>1.8</x:v>
      </x:c>
      <x:c r="D499" s="1">
        <x:v>17.0</x:v>
      </x:c>
      <x:c r="E499" s="1">
        <x:v>0.1</x:v>
      </x:c>
      <x:c r="F499" s="1">
        <x:v>0.0</x:v>
      </x:c>
      <x:c r="G499" s="1">
        <x:v>0.0</x:v>
      </x:c>
      <x:c r="H499" s="1">
        <x:v>0.0</x:v>
      </x:c>
      <x:c r="I499" s="1">
        <x:v>0.0</x:v>
      </x:c>
      <x:c r="J499" s="1">
        <x:v>3.9</x:v>
      </x:c>
      <x:c r="K499" s="18">
        <x:f t="shared" si="1"/>
        <x:v>0</x:v>
      </x:c>
      <x:c r="L499" s="18">
        <x:f t="shared" si="2"/>
        <x:v>0.8361305361</x:v>
      </x:c>
      <x:c r="M499" s="121"/>
      <x:c r="N499" s="121"/>
      <x:c r="O499" s="121"/>
      <x:c r="P499" s="9"/>
      <x:c r="Q499" s="9"/>
      <x:c r="R499" s="9"/>
      <x:c r="S499" s="9"/>
      <x:c r="T499" s="9"/>
      <x:c r="U499" s="9"/>
      <x:c r="V499" s="9"/>
      <x:c r="W499" s="9"/>
      <x:c r="X499" s="9"/>
      <x:c r="Y499" s="9"/>
      <x:c r="Z499" s="9"/>
    </x:row>
    <x:row r="500" ht="14.25" customHeight="1">
      <x:c r="B500" s="1" t="s">
        <x:v>489</x:v>
      </x:c>
      <x:c r="C500" s="1">
        <x:v>1.8</x:v>
      </x:c>
      <x:c r="D500" s="1">
        <x:v>17.0</x:v>
      </x:c>
      <x:c r="E500" s="1">
        <x:v>0.1</x:v>
      </x:c>
      <x:c r="F500" s="1">
        <x:v>0.0</x:v>
      </x:c>
      <x:c r="G500" s="1">
        <x:v>0.0</x:v>
      </x:c>
      <x:c r="H500" s="1">
        <x:v>0.0</x:v>
      </x:c>
      <x:c r="I500" s="1">
        <x:v>0.0</x:v>
      </x:c>
      <x:c r="J500" s="1">
        <x:v>3.9</x:v>
      </x:c>
      <x:c r="K500" s="18">
        <x:f t="shared" si="1"/>
        <x:v>0</x:v>
      </x:c>
      <x:c r="L500" s="18">
        <x:f t="shared" si="2"/>
        <x:v>0.8361305361</x:v>
      </x:c>
      <x:c r="M500" s="121"/>
      <x:c r="N500" s="121"/>
      <x:c r="O500" s="121"/>
      <x:c r="P500" s="9"/>
      <x:c r="Q500" s="9"/>
      <x:c r="R500" s="9"/>
      <x:c r="S500" s="9"/>
      <x:c r="T500" s="9"/>
      <x:c r="U500" s="9"/>
      <x:c r="V500" s="9"/>
      <x:c r="W500" s="9"/>
      <x:c r="X500" s="9"/>
      <x:c r="Y500" s="9"/>
      <x:c r="Z500" s="9"/>
    </x:row>
    <x:row r="501" ht="14.25" customHeight="1">
      <x:c r="A501" s="1" t="s">
        <x:v>899</x:v>
      </x:c>
      <x:c r="B501" s="1" t="s">
        <x:v>539</x:v>
      </x:c>
      <x:c r="C501" s="1">
        <x:v>0.0</x:v>
      </x:c>
      <x:c r="D501" s="1">
        <x:v>0.0</x:v>
      </x:c>
      <x:c r="E501" s="1">
        <x:v>0.0</x:v>
      </x:c>
      <x:c r="F501" s="1">
        <x:v>4.4</x:v>
      </x:c>
      <x:c r="G501" s="1">
        <x:v>23.7</x:v>
      </x:c>
      <x:c r="H501" s="1">
        <x:v>0.2</x:v>
      </x:c>
      <x:c r="I501" s="1">
        <x:v>0.0</x:v>
      </x:c>
      <x:c r="J501" s="1">
        <x:v>3.5</x:v>
      </x:c>
      <x:c r="K501" s="18">
        <x:f t="shared" si="1"/>
        <x:v>1.468780842</x:v>
      </x:c>
      <x:c r="L501" s="18">
        <x:f t="shared" si="2"/>
        <x:v>0</x:v>
      </x:c>
      <x:c r="M501" s="119" t="n">
        <x:f>C503*Scoring!$B$34+D503/Scoring!$C$34+E503*Scoring!$D$34+WR!F503*Scoring!$E$34+WR!G503/Scoring!$F$34+WR!H503*Scoring!$G$34+WR!I503*Scoring!$H$34+K503*Scoring!$I$34+WR!L503*Scoring!$J$34+U501</x:f>
        <x:v>3.5700000000000003</x:v>
      </x:c>
      <x:c r="N501" s="119" t="n">
        <x:f>C501*Scoring!$B$34+D501/Scoring!$C$34+E501*Scoring!$D$34+WR!F501*Scoring!$E$34+WR!G501/Scoring!$F$34+WR!H501*Scoring!$G$34+WR!I501*Scoring!$H$34+K501*Scoring!$I$34+WR!L501*Scoring!$J$34+U501</x:f>
        <x:v>3.5700000000000003</x:v>
      </x:c>
      <x:c r="O501" s="119" t="n">
        <x:f>C502*Scoring!$B$34+D502/Scoring!$C$34+E502*Scoring!$D$34+WR!F502*Scoring!$E$34+WR!G502/Scoring!$F$34+WR!H502*Scoring!$G$34+WR!I502*Scoring!$H$34+K502*Scoring!$I$34+WR!L502*Scoring!$J$34+U501</x:f>
        <x:v>3.5700000000000003</x:v>
      </x:c>
      <x:c r="P501" s="9" t="n">
        <x:f>IF(COUNTIF(Rookies!$A:$A,A501)&gt;0,1,0)</x:f>
        <x:v>0</x:v>
      </x:c>
      <x:c r="Q501" s="9"/>
      <x:c r="R501" s="9"/>
      <x:c r="S501" s="9" t="n">
        <x:f>V501/17</x:f>
        <x:v>0.21000000000000002</x:v>
      </x:c>
      <x:c r="T501" s="9" t="n">
        <x:f>IF(P501=1,MAX(0,0.28*(12-S501)),0)</x:f>
        <x:v>0</x:v>
      </x:c>
      <x:c r="U501" s="9" t="n">
        <x:f>T501*17</x:f>
        <x:v>0</x:v>
      </x:c>
      <x:c r="V501" s="9" t="n">
        <x:f>C501*Scoring!$B$34+D501/Scoring!$C$34+E501*Scoring!$D$34+WR!F501*Scoring!$E$34+WR!G501/Scoring!$F$34+WR!H501*Scoring!$G$34+WR!I501*Scoring!$H$34+K501*Scoring!$I$34+WR!L501*Scoring!$J$34</x:f>
        <x:v>3.5700000000000003</x:v>
      </x:c>
      <x:c r="W501" s="9"/>
      <x:c r="X501" s="9"/>
      <x:c r="Y501" s="9"/>
      <x:c r="Z501" s="9"/>
    </x:row>
    <x:row r="502" ht="14.25" customHeight="1">
      <x:c r="B502" s="1" t="s">
        <x:v>488</x:v>
      </x:c>
      <x:c r="C502" s="1">
        <x:v>0.0</x:v>
      </x:c>
      <x:c r="D502" s="1">
        <x:v>0.0</x:v>
      </x:c>
      <x:c r="E502" s="1">
        <x:v>0.0</x:v>
      </x:c>
      <x:c r="F502" s="1">
        <x:v>4.4</x:v>
      </x:c>
      <x:c r="G502" s="1">
        <x:v>23.7</x:v>
      </x:c>
      <x:c r="H502" s="1">
        <x:v>0.2</x:v>
      </x:c>
      <x:c r="I502" s="1">
        <x:v>0.0</x:v>
      </x:c>
      <x:c r="J502" s="1">
        <x:v>3.5</x:v>
      </x:c>
      <x:c r="K502" s="18">
        <x:f t="shared" si="1"/>
        <x:v>1.468780842</x:v>
      </x:c>
      <x:c r="L502" s="18">
        <x:f t="shared" si="2"/>
        <x:v>0</x:v>
      </x:c>
      <x:c r="M502" s="121"/>
      <x:c r="N502" s="121"/>
      <x:c r="O502" s="121"/>
      <x:c r="P502" s="9"/>
      <x:c r="Q502" s="9"/>
      <x:c r="R502" s="9"/>
      <x:c r="S502" s="9"/>
      <x:c r="T502" s="9"/>
      <x:c r="U502" s="9"/>
      <x:c r="V502" s="9"/>
      <x:c r="W502" s="9"/>
      <x:c r="X502" s="9"/>
      <x:c r="Y502" s="9"/>
      <x:c r="Z502" s="9"/>
    </x:row>
    <x:row r="503" ht="14.25" customHeight="1">
      <x:c r="B503" s="1" t="s">
        <x:v>489</x:v>
      </x:c>
      <x:c r="C503" s="1">
        <x:v>0.0</x:v>
      </x:c>
      <x:c r="D503" s="1">
        <x:v>0.0</x:v>
      </x:c>
      <x:c r="E503" s="1">
        <x:v>0.0</x:v>
      </x:c>
      <x:c r="F503" s="1">
        <x:v>4.4</x:v>
      </x:c>
      <x:c r="G503" s="1">
        <x:v>23.7</x:v>
      </x:c>
      <x:c r="H503" s="1">
        <x:v>0.2</x:v>
      </x:c>
      <x:c r="I503" s="1">
        <x:v>0.0</x:v>
      </x:c>
      <x:c r="J503" s="1">
        <x:v>3.5</x:v>
      </x:c>
      <x:c r="K503" s="18">
        <x:f t="shared" si="1"/>
        <x:v>1.468780842</x:v>
      </x:c>
      <x:c r="L503" s="18">
        <x:f t="shared" si="2"/>
        <x:v>0</x:v>
      </x:c>
      <x:c r="M503" s="121"/>
      <x:c r="N503" s="121"/>
      <x:c r="O503" s="121"/>
      <x:c r="P503" s="9"/>
      <x:c r="Q503" s="9"/>
      <x:c r="R503" s="9"/>
      <x:c r="S503" s="9"/>
      <x:c r="T503" s="9"/>
      <x:c r="U503" s="9"/>
      <x:c r="V503" s="9"/>
      <x:c r="W503" s="9"/>
      <x:c r="X503" s="9"/>
      <x:c r="Y503" s="9"/>
      <x:c r="Z503" s="9"/>
    </x:row>
    <x:row r="504" ht="14.25" customHeight="1">
      <x:c r="A504" s="1" t="s">
        <x:v>900</x:v>
      </x:c>
      <x:c r="B504" s="1" t="s">
        <x:v>529</x:v>
      </x:c>
      <x:c r="C504" s="1">
        <x:v>1.4</x:v>
      </x:c>
      <x:c r="D504" s="1">
        <x:v>17.7</x:v>
      </x:c>
      <x:c r="E504" s="1">
        <x:v>0.1</x:v>
      </x:c>
      <x:c r="F504" s="1">
        <x:v>0.0</x:v>
      </x:c>
      <x:c r="G504" s="1">
        <x:v>0.0</x:v>
      </x:c>
      <x:c r="H504" s="1">
        <x:v>0.0</x:v>
      </x:c>
      <x:c r="I504" s="1">
        <x:v>0.0</x:v>
      </x:c>
      <x:c r="J504" s="1">
        <x:v>3.4</x:v>
      </x:c>
      <x:c r="K504" s="18">
        <x:f t="shared" si="1"/>
        <x:v>0</x:v>
      </x:c>
      <x:c r="L504" s="18">
        <x:f t="shared" si="2"/>
        <x:v>0.8705594406</x:v>
      </x:c>
      <x:c r="M504" s="119" t="n">
        <x:f>C506*Scoring!$B$34+D506/Scoring!$C$34+E506*Scoring!$D$34+WR!F506*Scoring!$E$34+WR!G506/Scoring!$F$34+WR!H506*Scoring!$G$34+WR!I506*Scoring!$H$34+K506*Scoring!$I$34+WR!L506*Scoring!$J$34+U504</x:f>
        <x:v>3.07</x:v>
      </x:c>
      <x:c r="N504" s="119" t="n">
        <x:f>C504*Scoring!$B$34+D504/Scoring!$C$34+E504*Scoring!$D$34+WR!F504*Scoring!$E$34+WR!G504/Scoring!$F$34+WR!H504*Scoring!$G$34+WR!I504*Scoring!$H$34+K504*Scoring!$I$34+WR!L504*Scoring!$J$34+U504</x:f>
        <x:v>3.07</x:v>
      </x:c>
      <x:c r="O504" s="119" t="n">
        <x:f>C505*Scoring!$B$34+D505/Scoring!$C$34+E505*Scoring!$D$34+WR!F505*Scoring!$E$34+WR!G505/Scoring!$F$34+WR!H505*Scoring!$G$34+WR!I505*Scoring!$H$34+K505*Scoring!$I$34+WR!L505*Scoring!$J$34+U504</x:f>
        <x:v>3.07</x:v>
      </x:c>
      <x:c r="P504" s="9" t="n">
        <x:f>IF(COUNTIF(Rookies!$A:$A,A504)&gt;0,1,0)</x:f>
        <x:v>0</x:v>
      </x:c>
      <x:c r="Q504" s="9"/>
      <x:c r="R504" s="9"/>
      <x:c r="S504" s="9" t="n">
        <x:f>V504/17</x:f>
        <x:v>0.18058823529411763</x:v>
      </x:c>
      <x:c r="T504" s="9" t="n">
        <x:f>IF(P504=1,MAX(0,0.28*(12-S504)),0)</x:f>
        <x:v>0</x:v>
      </x:c>
      <x:c r="U504" s="9" t="n">
        <x:f>T504*17</x:f>
        <x:v>0</x:v>
      </x:c>
      <x:c r="V504" s="9" t="n">
        <x:f>C504*Scoring!$B$34+D504/Scoring!$C$34+E504*Scoring!$D$34+WR!F504*Scoring!$E$34+WR!G504/Scoring!$F$34+WR!H504*Scoring!$G$34+WR!I504*Scoring!$H$34+K504*Scoring!$I$34+WR!L504*Scoring!$J$34</x:f>
        <x:v>3.07</x:v>
      </x:c>
      <x:c r="W504" s="9"/>
      <x:c r="X504" s="9"/>
      <x:c r="Y504" s="9"/>
      <x:c r="Z504" s="9"/>
    </x:row>
    <x:row r="505" ht="14.25" customHeight="1">
      <x:c r="B505" s="1" t="s">
        <x:v>488</x:v>
      </x:c>
      <x:c r="C505" s="1">
        <x:v>1.4</x:v>
      </x:c>
      <x:c r="D505" s="1">
        <x:v>17.7</x:v>
      </x:c>
      <x:c r="E505" s="1">
        <x:v>0.1</x:v>
      </x:c>
      <x:c r="F505" s="1">
        <x:v>0.0</x:v>
      </x:c>
      <x:c r="G505" s="1">
        <x:v>0.0</x:v>
      </x:c>
      <x:c r="H505" s="1">
        <x:v>0.0</x:v>
      </x:c>
      <x:c r="I505" s="1">
        <x:v>0.0</x:v>
      </x:c>
      <x:c r="J505" s="1">
        <x:v>3.4</x:v>
      </x:c>
      <x:c r="K505" s="18">
        <x:f t="shared" si="1"/>
        <x:v>0</x:v>
      </x:c>
      <x:c r="L505" s="18">
        <x:f t="shared" si="2"/>
        <x:v>0.8705594406</x:v>
      </x:c>
      <x:c r="M505" s="121"/>
      <x:c r="N505" s="121"/>
      <x:c r="O505" s="121"/>
      <x:c r="P505" s="9"/>
      <x:c r="Q505" s="9"/>
      <x:c r="R505" s="9"/>
      <x:c r="S505" s="9"/>
      <x:c r="T505" s="9"/>
      <x:c r="U505" s="9"/>
      <x:c r="V505" s="9"/>
      <x:c r="W505" s="9"/>
      <x:c r="X505" s="9"/>
      <x:c r="Y505" s="9"/>
      <x:c r="Z505" s="9"/>
    </x:row>
    <x:row r="506" ht="14.25" customHeight="1">
      <x:c r="B506" s="1" t="s">
        <x:v>489</x:v>
      </x:c>
      <x:c r="C506" s="1">
        <x:v>1.4</x:v>
      </x:c>
      <x:c r="D506" s="1">
        <x:v>17.7</x:v>
      </x:c>
      <x:c r="E506" s="1">
        <x:v>0.1</x:v>
      </x:c>
      <x:c r="F506" s="1">
        <x:v>0.0</x:v>
      </x:c>
      <x:c r="G506" s="1">
        <x:v>0.0</x:v>
      </x:c>
      <x:c r="H506" s="1">
        <x:v>0.0</x:v>
      </x:c>
      <x:c r="I506" s="1">
        <x:v>0.0</x:v>
      </x:c>
      <x:c r="J506" s="1">
        <x:v>3.4</x:v>
      </x:c>
      <x:c r="K506" s="18">
        <x:f t="shared" si="1"/>
        <x:v>0</x:v>
      </x:c>
      <x:c r="L506" s="18">
        <x:f t="shared" si="2"/>
        <x:v>0.8705594406</x:v>
      </x:c>
      <x:c r="M506" s="121"/>
      <x:c r="N506" s="121"/>
      <x:c r="O506" s="121"/>
      <x:c r="P506" s="9"/>
      <x:c r="Q506" s="9"/>
      <x:c r="R506" s="9"/>
      <x:c r="S506" s="9"/>
      <x:c r="T506" s="9"/>
      <x:c r="U506" s="9"/>
      <x:c r="V506" s="9"/>
      <x:c r="W506" s="9"/>
      <x:c r="X506" s="9"/>
      <x:c r="Y506" s="9"/>
      <x:c r="Z506" s="9"/>
    </x:row>
    <x:row r="507" ht="14.25" customHeight="1">
      <x:c r="A507" s="1" t="s">
        <x:v>901</x:v>
      </x:c>
      <x:c r="B507" s="1" t="s">
        <x:v>523</x:v>
      </x:c>
      <x:c r="C507" s="1">
        <x:v>0.0</x:v>
      </x:c>
      <x:c r="D507" s="1">
        <x:v>0.0</x:v>
      </x:c>
      <x:c r="E507" s="1">
        <x:v>0.0</x:v>
      </x:c>
      <x:c r="F507" s="1">
        <x:v>2.2</x:v>
      </x:c>
      <x:c r="G507" s="1">
        <x:v>12.1</x:v>
      </x:c>
      <x:c r="H507" s="1">
        <x:v>0.1</x:v>
      </x:c>
      <x:c r="I507" s="1">
        <x:v>0.0</x:v>
      </x:c>
      <x:c r="J507" s="1">
        <x:v>1.8</x:v>
      </x:c>
      <x:c r="K507" s="18">
        <x:f t="shared" si="1"/>
        <x:v>0.7498838897</x:v>
      </x:c>
      <x:c r="L507" s="18">
        <x:f t="shared" si="2"/>
        <x:v>0</x:v>
      </x:c>
      <x:c r="M507" s="119" t="n">
        <x:f>C509*Scoring!$B$34+D509/Scoring!$C$34+E509*Scoring!$D$34+WR!F509*Scoring!$E$34+WR!G509/Scoring!$F$34+WR!H509*Scoring!$G$34+WR!I509*Scoring!$H$34+K509*Scoring!$I$34+WR!L509*Scoring!$J$34+U507</x:f>
        <x:v>1.81</x:v>
      </x:c>
      <x:c r="N507" s="119" t="n">
        <x:f>C507*Scoring!$B$34+D507/Scoring!$C$34+E507*Scoring!$D$34+WR!F507*Scoring!$E$34+WR!G507/Scoring!$F$34+WR!H507*Scoring!$G$34+WR!I507*Scoring!$H$34+K507*Scoring!$I$34+WR!L507*Scoring!$J$34+U507</x:f>
        <x:v>1.81</x:v>
      </x:c>
      <x:c r="O507" s="119" t="n">
        <x:f>C508*Scoring!$B$34+D508/Scoring!$C$34+E508*Scoring!$D$34+WR!F508*Scoring!$E$34+WR!G508/Scoring!$F$34+WR!H508*Scoring!$G$34+WR!I508*Scoring!$H$34+K508*Scoring!$I$34+WR!L508*Scoring!$J$34+U507</x:f>
        <x:v>1.81</x:v>
      </x:c>
      <x:c r="P507" s="9" t="n">
        <x:f>IF(COUNTIF(Rookies!$A:$A,A507)&gt;0,1,0)</x:f>
        <x:v>0</x:v>
      </x:c>
      <x:c r="Q507" s="9"/>
      <x:c r="R507" s="9"/>
      <x:c r="S507" s="9" t="n">
        <x:f>V507/17</x:f>
        <x:v>0.10647058823529412</x:v>
      </x:c>
      <x:c r="T507" s="9" t="n">
        <x:f>IF(P507=1,MAX(0,0.28*(12-S507)),0)</x:f>
        <x:v>0</x:v>
      </x:c>
      <x:c r="U507" s="9" t="n">
        <x:f>T507*17</x:f>
        <x:v>0</x:v>
      </x:c>
      <x:c r="V507" s="9" t="n">
        <x:f>C507*Scoring!$B$34+D507/Scoring!$C$34+E507*Scoring!$D$34+WR!F507*Scoring!$E$34+WR!G507/Scoring!$F$34+WR!H507*Scoring!$G$34+WR!I507*Scoring!$H$34+K507*Scoring!$I$34+WR!L507*Scoring!$J$34</x:f>
        <x:v>1.81</x:v>
      </x:c>
      <x:c r="W507" s="9"/>
      <x:c r="X507" s="9"/>
      <x:c r="Y507" s="9"/>
      <x:c r="Z507" s="9"/>
    </x:row>
    <x:row r="508" ht="14.25" customHeight="1">
      <x:c r="B508" s="1" t="s">
        <x:v>488</x:v>
      </x:c>
      <x:c r="C508" s="1">
        <x:v>0.0</x:v>
      </x:c>
      <x:c r="D508" s="1">
        <x:v>0.0</x:v>
      </x:c>
      <x:c r="E508" s="1">
        <x:v>0.0</x:v>
      </x:c>
      <x:c r="F508" s="1">
        <x:v>2.2</x:v>
      </x:c>
      <x:c r="G508" s="1">
        <x:v>12.1</x:v>
      </x:c>
      <x:c r="H508" s="1">
        <x:v>0.1</x:v>
      </x:c>
      <x:c r="I508" s="1">
        <x:v>0.0</x:v>
      </x:c>
      <x:c r="J508" s="1">
        <x:v>3.6</x:v>
      </x:c>
      <x:c r="K508" s="18">
        <x:f t="shared" si="1"/>
        <x:v>0.7498838897</x:v>
      </x:c>
      <x:c r="L508" s="18">
        <x:f t="shared" si="2"/>
        <x:v>0</x:v>
      </x:c>
      <x:c r="M508" s="121"/>
      <x:c r="N508" s="121"/>
      <x:c r="O508" s="121"/>
      <x:c r="P508" s="9"/>
      <x:c r="Q508" s="9"/>
      <x:c r="R508" s="9"/>
      <x:c r="S508" s="9"/>
      <x:c r="T508" s="9"/>
      <x:c r="U508" s="9"/>
      <x:c r="V508" s="9"/>
      <x:c r="W508" s="9"/>
      <x:c r="X508" s="9"/>
      <x:c r="Y508" s="9"/>
      <x:c r="Z508" s="9"/>
    </x:row>
    <x:row r="509" ht="14.25" customHeight="1">
      <x:c r="B509" s="1" t="s">
        <x:v>489</x:v>
      </x:c>
      <x:c r="C509" s="1">
        <x:v>0.0</x:v>
      </x:c>
      <x:c r="D509" s="1">
        <x:v>0.0</x:v>
      </x:c>
      <x:c r="E509" s="1">
        <x:v>0.0</x:v>
      </x:c>
      <x:c r="F509" s="1">
        <x:v>2.2</x:v>
      </x:c>
      <x:c r="G509" s="1">
        <x:v>12.1</x:v>
      </x:c>
      <x:c r="H509" s="1">
        <x:v>0.1</x:v>
      </x:c>
      <x:c r="I509" s="1">
        <x:v>0.0</x:v>
      </x:c>
      <x:c r="J509" s="1">
        <x:v>3.6</x:v>
      </x:c>
      <x:c r="K509" s="18">
        <x:f t="shared" si="1"/>
        <x:v>0.7498838897</x:v>
      </x:c>
      <x:c r="L509" s="18">
        <x:f t="shared" si="2"/>
        <x:v>0</x:v>
      </x:c>
      <x:c r="M509" s="121"/>
      <x:c r="N509" s="121"/>
      <x:c r="O509" s="121"/>
      <x:c r="P509" s="9"/>
      <x:c r="Q509" s="9"/>
      <x:c r="R509" s="9"/>
      <x:c r="S509" s="9"/>
      <x:c r="T509" s="9"/>
      <x:c r="U509" s="9"/>
      <x:c r="V509" s="9"/>
      <x:c r="W509" s="9"/>
      <x:c r="X509" s="9"/>
      <x:c r="Y509" s="9"/>
      <x:c r="Z509" s="9"/>
    </x:row>
    <x:row r="510" ht="14.25" customHeight="1">
      <x:c r="A510" s="1" t="s">
        <x:v>902</x:v>
      </x:c>
      <x:c r="B510" s="1" t="s">
        <x:v>545</x:v>
      </x:c>
      <x:c r="C510" s="1">
        <x:v>0.0</x:v>
      </x:c>
      <x:c r="D510" s="1">
        <x:v>0.0</x:v>
      </x:c>
      <x:c r="E510" s="1">
        <x:v>0.0</x:v>
      </x:c>
      <x:c r="F510" s="1">
        <x:v>2.2</x:v>
      </x:c>
      <x:c r="G510" s="1">
        <x:v>11.7</x:v>
      </x:c>
      <x:c r="H510" s="1">
        <x:v>0.1</x:v>
      </x:c>
      <x:c r="I510" s="1">
        <x:v>0.0</x:v>
      </x:c>
      <x:c r="J510" s="1">
        <x:v>1.6</x:v>
      </x:c>
      <x:c r="K510" s="18">
        <x:f t="shared" si="1"/>
        <x:v>0.7250943396</x:v>
      </x:c>
      <x:c r="L510" s="18">
        <x:f t="shared" si="2"/>
        <x:v>0</x:v>
      </x:c>
      <x:c r="M510" s="119" t="n">
        <x:f>C512*Scoring!$B$34+D512/Scoring!$C$34+E512*Scoring!$D$34+WR!F512*Scoring!$E$34+WR!G512/Scoring!$F$34+WR!H512*Scoring!$G$34+WR!I512*Scoring!$H$34+K512*Scoring!$I$34+WR!L512*Scoring!$J$34+U510</x:f>
        <x:v>58.39440000000001</x:v>
      </x:c>
      <x:c r="N510" s="119" t="n">
        <x:f>C510*Scoring!$B$34+D510/Scoring!$C$34+E510*Scoring!$D$34+WR!F510*Scoring!$E$34+WR!G510/Scoring!$F$34+WR!H510*Scoring!$G$34+WR!I510*Scoring!$H$34+K510*Scoring!$I$34+WR!L510*Scoring!$J$34+U510</x:f>
        <x:v>58.39440000000001</x:v>
      </x:c>
      <x:c r="O510" s="119" t="n">
        <x:f>C511*Scoring!$B$34+D511/Scoring!$C$34+E511*Scoring!$D$34+WR!F511*Scoring!$E$34+WR!G511/Scoring!$F$34+WR!H511*Scoring!$G$34+WR!I511*Scoring!$H$34+K511*Scoring!$I$34+WR!L511*Scoring!$J$34+U510</x:f>
        <x:v>58.39440000000001</x:v>
      </x:c>
      <x:c r="P510" s="9" t="n">
        <x:f>IF(COUNTIF(Rookies!$A:$A,A510)&gt;0,1,0)</x:f>
        <x:v>1</x:v>
      </x:c>
      <x:c r="Q510" s="9"/>
      <x:c r="R510" s="9"/>
      <x:c r="S510" s="9" t="n">
        <x:f>V510/17</x:f>
        <x:v>0.10411764705882354</x:v>
      </x:c>
      <x:c r="T510" s="9" t="n">
        <x:f>IF(P510=1,MAX(0,0.28*(12-S510)),0)</x:f>
        <x:v>3.33084705882353</x:v>
      </x:c>
      <x:c r="U510" s="9" t="n">
        <x:f>T510*17</x:f>
        <x:v>56.62440000000001</x:v>
      </x:c>
      <x:c r="V510" s="9" t="n">
        <x:f>C510*Scoring!$B$34+D510/Scoring!$C$34+E510*Scoring!$D$34+WR!F510*Scoring!$E$34+WR!G510/Scoring!$F$34+WR!H510*Scoring!$G$34+WR!I510*Scoring!$H$34+K510*Scoring!$I$34+WR!L510*Scoring!$J$34</x:f>
        <x:v>1.77</x:v>
      </x:c>
      <x:c r="W510" s="9"/>
      <x:c r="X510" s="9"/>
      <x:c r="Y510" s="9"/>
      <x:c r="Z510" s="9"/>
    </x:row>
    <x:row r="511" ht="14.25" customHeight="1">
      <x:c r="B511" s="1" t="s">
        <x:v>488</x:v>
      </x:c>
      <x:c r="C511" s="1">
        <x:v>0.0</x:v>
      </x:c>
      <x:c r="D511" s="1">
        <x:v>0.0</x:v>
      </x:c>
      <x:c r="E511" s="1">
        <x:v>0.0</x:v>
      </x:c>
      <x:c r="F511" s="1">
        <x:v>2.2</x:v>
      </x:c>
      <x:c r="G511" s="1">
        <x:v>11.7</x:v>
      </x:c>
      <x:c r="H511" s="1">
        <x:v>0.1</x:v>
      </x:c>
      <x:c r="I511" s="1">
        <x:v>0.0</x:v>
      </x:c>
      <x:c r="J511" s="1">
        <x:v>4.1</x:v>
      </x:c>
      <x:c r="K511" s="18">
        <x:f t="shared" si="1"/>
        <x:v>0.7250943396</x:v>
      </x:c>
      <x:c r="L511" s="18">
        <x:f t="shared" si="2"/>
        <x:v>0</x:v>
      </x:c>
      <x:c r="M511" s="121"/>
      <x:c r="N511" s="121"/>
      <x:c r="O511" s="121"/>
      <x:c r="P511" s="9"/>
      <x:c r="Q511" s="9"/>
      <x:c r="R511" s="9"/>
      <x:c r="S511" s="9"/>
      <x:c r="T511" s="9"/>
      <x:c r="U511" s="9"/>
      <x:c r="V511" s="9"/>
      <x:c r="W511" s="9"/>
      <x:c r="X511" s="9"/>
      <x:c r="Y511" s="9"/>
      <x:c r="Z511" s="9"/>
    </x:row>
    <x:row r="512" ht="14.25" customHeight="1">
      <x:c r="B512" s="1" t="s">
        <x:v>489</x:v>
      </x:c>
      <x:c r="C512" s="1">
        <x:v>0.0</x:v>
      </x:c>
      <x:c r="D512" s="1">
        <x:v>0.0</x:v>
      </x:c>
      <x:c r="E512" s="1">
        <x:v>0.0</x:v>
      </x:c>
      <x:c r="F512" s="1">
        <x:v>2.2</x:v>
      </x:c>
      <x:c r="G512" s="1">
        <x:v>11.7</x:v>
      </x:c>
      <x:c r="H512" s="1">
        <x:v>0.1</x:v>
      </x:c>
      <x:c r="I512" s="1">
        <x:v>0.0</x:v>
      </x:c>
      <x:c r="J512" s="1">
        <x:v>4.1</x:v>
      </x:c>
      <x:c r="K512" s="18">
        <x:f t="shared" si="1"/>
        <x:v>0.7250943396</x:v>
      </x:c>
      <x:c r="L512" s="18">
        <x:f t="shared" si="2"/>
        <x:v>0</x:v>
      </x:c>
      <x:c r="M512" s="121"/>
      <x:c r="N512" s="121"/>
      <x:c r="O512" s="121"/>
      <x:c r="P512" s="9"/>
      <x:c r="Q512" s="9"/>
      <x:c r="R512" s="9"/>
      <x:c r="S512" s="9"/>
      <x:c r="T512" s="9"/>
      <x:c r="U512" s="9"/>
      <x:c r="V512" s="9"/>
      <x:c r="W512" s="9"/>
      <x:c r="X512" s="9"/>
      <x:c r="Y512" s="9"/>
      <x:c r="Z512" s="9"/>
    </x:row>
    <x:row r="513" ht="14.25" customHeight="1">
      <x:c r="A513" s="1" t="s">
        <x:v>903</x:v>
      </x:c>
      <x:c r="B513" s="1" t="s">
        <x:v>527</x:v>
      </x:c>
      <x:c r="C513" s="1">
        <x:v>0.0</x:v>
      </x:c>
      <x:c r="D513" s="1">
        <x:v>0.0</x:v>
      </x:c>
      <x:c r="E513" s="1">
        <x:v>0.0</x:v>
      </x:c>
      <x:c r="F513" s="1">
        <x:v>0.0</x:v>
      </x:c>
      <x:c r="G513" s="1">
        <x:v>0.0</x:v>
      </x:c>
      <x:c r="H513" s="1">
        <x:v>0.0</x:v>
      </x:c>
      <x:c r="I513" s="1">
        <x:v>0.0</x:v>
      </x:c>
      <x:c r="J513" s="1">
        <x:v>0.0</x:v>
      </x:c>
      <x:c r="K513" s="18">
        <x:f t="shared" si="1"/>
        <x:v>0</x:v>
      </x:c>
      <x:c r="L513" s="18">
        <x:f t="shared" si="2"/>
        <x:v>0</x:v>
      </x:c>
      <x:c r="M513" s="119" t="n">
        <x:f>C515*Scoring!$B$34+D515/Scoring!$C$34+E515*Scoring!$D$34+WR!F515*Scoring!$E$34+WR!G515/Scoring!$F$34+WR!H515*Scoring!$G$34+WR!I515*Scoring!$H$34+K515*Scoring!$I$34+WR!L515*Scoring!$J$34+U513</x:f>
        <x:v>0</x:v>
      </x:c>
      <x:c r="N513" s="119" t="n">
        <x:f>C513*Scoring!$B$34+D513/Scoring!$C$34+E513*Scoring!$D$34+WR!F513*Scoring!$E$34+WR!G513/Scoring!$F$34+WR!H513*Scoring!$G$34+WR!I513*Scoring!$H$34+K513*Scoring!$I$34+WR!L513*Scoring!$J$34+U513</x:f>
        <x:v>0</x:v>
      </x:c>
      <x:c r="O513" s="119" t="n">
        <x:f>C514*Scoring!$B$34+D514/Scoring!$C$34+E514*Scoring!$D$34+WR!F514*Scoring!$E$34+WR!G514/Scoring!$F$34+WR!H514*Scoring!$G$34+WR!I514*Scoring!$H$34+K514*Scoring!$I$34+WR!L514*Scoring!$J$34+U513</x:f>
        <x:v>0</x:v>
      </x:c>
      <x:c r="P513" s="9" t="n">
        <x:f>IF(COUNTIF(Rookies!$A:$A,A513)&gt;0,1,0)</x:f>
        <x:v>0</x:v>
      </x:c>
      <x:c r="Q513" s="9"/>
      <x:c r="R513" s="9"/>
      <x:c r="S513" s="9" t="n">
        <x:f>V513/17</x:f>
        <x:v>0</x:v>
      </x:c>
      <x:c r="T513" s="9" t="n">
        <x:f>IF(P513=1,MAX(0,0.28*(12-S513)),0)</x:f>
        <x:v>0</x:v>
      </x:c>
      <x:c r="U513" s="9" t="n">
        <x:f>T513*17</x:f>
        <x:v>0</x:v>
      </x:c>
      <x:c r="V513" s="9" t="n">
        <x:f>C513*Scoring!$B$34+D513/Scoring!$C$34+E513*Scoring!$D$34+WR!F513*Scoring!$E$34+WR!G513/Scoring!$F$34+WR!H513*Scoring!$G$34+WR!I513*Scoring!$H$34+K513*Scoring!$I$34+WR!L513*Scoring!$J$34</x:f>
        <x:v>0</x:v>
      </x:c>
      <x:c r="W513" s="9"/>
      <x:c r="X513" s="9"/>
      <x:c r="Y513" s="9"/>
      <x:c r="Z513" s="9"/>
    </x:row>
    <x:row r="514" ht="14.25" customHeight="1">
      <x:c r="B514" s="1" t="s">
        <x:v>488</x:v>
      </x:c>
      <x:c r="C514" s="1">
        <x:v>0.0</x:v>
      </x:c>
      <x:c r="D514" s="1">
        <x:v>0.0</x:v>
      </x:c>
      <x:c r="E514" s="1">
        <x:v>0.0</x:v>
      </x:c>
      <x:c r="F514" s="1">
        <x:v>0.0</x:v>
      </x:c>
      <x:c r="G514" s="1">
        <x:v>0.0</x:v>
      </x:c>
      <x:c r="H514" s="1">
        <x:v>0.0</x:v>
      </x:c>
      <x:c r="I514" s="1">
        <x:v>0.0</x:v>
      </x:c>
      <x:c r="J514" s="1">
        <x:v>0.0</x:v>
      </x:c>
      <x:c r="K514" s="18">
        <x:f t="shared" si="1"/>
        <x:v>0</x:v>
      </x:c>
      <x:c r="L514" s="18">
        <x:f t="shared" si="2"/>
        <x:v>0</x:v>
      </x:c>
      <x:c r="M514" s="121"/>
      <x:c r="N514" s="121"/>
      <x:c r="O514" s="121"/>
      <x:c r="P514" s="9"/>
      <x:c r="Q514" s="9"/>
      <x:c r="R514" s="9"/>
      <x:c r="S514" s="9"/>
      <x:c r="T514" s="9"/>
      <x:c r="U514" s="9"/>
      <x:c r="V514" s="9"/>
      <x:c r="W514" s="9"/>
      <x:c r="X514" s="9"/>
      <x:c r="Y514" s="9"/>
      <x:c r="Z514" s="9"/>
    </x:row>
    <x:row r="515" ht="14.25" customHeight="1">
      <x:c r="B515" s="1" t="s">
        <x:v>489</x:v>
      </x:c>
      <x:c r="C515" s="1">
        <x:v>0.0</x:v>
      </x:c>
      <x:c r="D515" s="1">
        <x:v>0.0</x:v>
      </x:c>
      <x:c r="E515" s="1">
        <x:v>0.0</x:v>
      </x:c>
      <x:c r="F515" s="1">
        <x:v>0.0</x:v>
      </x:c>
      <x:c r="G515" s="1">
        <x:v>0.0</x:v>
      </x:c>
      <x:c r="H515" s="1">
        <x:v>0.0</x:v>
      </x:c>
      <x:c r="I515" s="1">
        <x:v>0.0</x:v>
      </x:c>
      <x:c r="J515" s="1">
        <x:v>0.0</x:v>
      </x:c>
      <x:c r="K515" s="18">
        <x:f t="shared" si="1"/>
        <x:v>0</x:v>
      </x:c>
      <x:c r="L515" s="18">
        <x:f t="shared" si="2"/>
        <x:v>0</x:v>
      </x:c>
      <x:c r="M515" s="121"/>
      <x:c r="N515" s="121"/>
      <x:c r="O515" s="121"/>
      <x:c r="P515" s="9"/>
      <x:c r="Q515" s="9"/>
      <x:c r="R515" s="9"/>
      <x:c r="S515" s="9"/>
      <x:c r="T515" s="9"/>
      <x:c r="U515" s="9"/>
      <x:c r="V515" s="9"/>
      <x:c r="W515" s="9"/>
      <x:c r="X515" s="9"/>
      <x:c r="Y515" s="9"/>
      <x:c r="Z515" s="9"/>
    </x:row>
    <x:row r="516" ht="14.25" customHeight="1">
      <x:c r="A516" s="1" t="s">
        <x:v>904</x:v>
      </x:c>
      <x:c r="B516" s="1" t="s">
        <x:v>537</x:v>
      </x:c>
      <x:c r="C516" s="1">
        <x:v>0.0</x:v>
      </x:c>
      <x:c r="D516" s="1">
        <x:v>0.0</x:v>
      </x:c>
      <x:c r="E516" s="1">
        <x:v>0.0</x:v>
      </x:c>
      <x:c r="F516" s="1">
        <x:v>0.0</x:v>
      </x:c>
      <x:c r="G516" s="1">
        <x:v>0.0</x:v>
      </x:c>
      <x:c r="H516" s="1">
        <x:v>0.0</x:v>
      </x:c>
      <x:c r="I516" s="1">
        <x:v>0.0</x:v>
      </x:c>
      <x:c r="J516" s="1">
        <x:v>0.0</x:v>
      </x:c>
      <x:c r="K516" s="18">
        <x:f t="shared" si="1"/>
        <x:v>0</x:v>
      </x:c>
      <x:c r="L516" s="18">
        <x:f t="shared" si="2"/>
        <x:v>0</x:v>
      </x:c>
      <x:c r="M516" s="119" t="n">
        <x:f>C518*Scoring!$B$34+D518/Scoring!$C$34+E518*Scoring!$D$34+WR!F518*Scoring!$E$34+WR!G518/Scoring!$F$34+WR!H518*Scoring!$G$34+WR!I518*Scoring!$H$34+K518*Scoring!$I$34+WR!L518*Scoring!$J$34+U516</x:f>
        <x:v>0</x:v>
      </x:c>
      <x:c r="N516" s="119" t="n">
        <x:f>C516*Scoring!$B$34+D516/Scoring!$C$34+E516*Scoring!$D$34+WR!F516*Scoring!$E$34+WR!G516/Scoring!$F$34+WR!H516*Scoring!$G$34+WR!I516*Scoring!$H$34+K516*Scoring!$I$34+WR!L516*Scoring!$J$34+U516</x:f>
        <x:v>0</x:v>
      </x:c>
      <x:c r="O516" s="119" t="n">
        <x:f>C517*Scoring!$B$34+D517/Scoring!$C$34+E517*Scoring!$D$34+WR!F517*Scoring!$E$34+WR!G517/Scoring!$F$34+WR!H517*Scoring!$G$34+WR!I517*Scoring!$H$34+K517*Scoring!$I$34+WR!L517*Scoring!$J$34+U516</x:f>
        <x:v>0</x:v>
      </x:c>
      <x:c r="P516" s="9" t="n">
        <x:f>IF(COUNTIF(Rookies!$A:$A,A516)&gt;0,1,0)</x:f>
        <x:v>0</x:v>
      </x:c>
      <x:c r="Q516" s="9"/>
      <x:c r="R516" s="9"/>
      <x:c r="S516" s="9" t="n">
        <x:f>V516/17</x:f>
        <x:v>0</x:v>
      </x:c>
      <x:c r="T516" s="9" t="n">
        <x:f>IF(P516=1,MAX(0,0.28*(12-S516)),0)</x:f>
        <x:v>0</x:v>
      </x:c>
      <x:c r="U516" s="9" t="n">
        <x:f>T516*17</x:f>
        <x:v>0</x:v>
      </x:c>
      <x:c r="V516" s="9" t="n">
        <x:f>C516*Scoring!$B$34+D516/Scoring!$C$34+E516*Scoring!$D$34+WR!F516*Scoring!$E$34+WR!G516/Scoring!$F$34+WR!H516*Scoring!$G$34+WR!I516*Scoring!$H$34+K516*Scoring!$I$34+WR!L516*Scoring!$J$34</x:f>
        <x:v>0</x:v>
      </x:c>
      <x:c r="W516" s="9"/>
      <x:c r="X516" s="9"/>
      <x:c r="Y516" s="9"/>
      <x:c r="Z516" s="9"/>
    </x:row>
    <x:row r="517" ht="14.25" customHeight="1">
      <x:c r="B517" s="1" t="s">
        <x:v>488</x:v>
      </x:c>
      <x:c r="C517" s="1">
        <x:v>0.0</x:v>
      </x:c>
      <x:c r="D517" s="1">
        <x:v>0.0</x:v>
      </x:c>
      <x:c r="E517" s="1">
        <x:v>0.0</x:v>
      </x:c>
      <x:c r="F517" s="1">
        <x:v>0.0</x:v>
      </x:c>
      <x:c r="G517" s="1">
        <x:v>0.0</x:v>
      </x:c>
      <x:c r="H517" s="1">
        <x:v>0.0</x:v>
      </x:c>
      <x:c r="I517" s="1">
        <x:v>0.0</x:v>
      </x:c>
      <x:c r="J517" s="1">
        <x:v>0.0</x:v>
      </x:c>
      <x:c r="K517" s="18">
        <x:f t="shared" si="1"/>
        <x:v>0</x:v>
      </x:c>
      <x:c r="L517" s="18">
        <x:f t="shared" si="2"/>
        <x:v>0</x:v>
      </x:c>
      <x:c r="M517" s="121"/>
      <x:c r="N517" s="121"/>
      <x:c r="O517" s="121"/>
      <x:c r="P517" s="9"/>
      <x:c r="Q517" s="9"/>
      <x:c r="R517" s="9"/>
      <x:c r="S517" s="9"/>
      <x:c r="T517" s="9"/>
      <x:c r="U517" s="9"/>
      <x:c r="V517" s="9"/>
      <x:c r="W517" s="9"/>
      <x:c r="X517" s="9"/>
      <x:c r="Y517" s="9"/>
      <x:c r="Z517" s="9"/>
    </x:row>
    <x:row r="518" ht="14.25" customHeight="1">
      <x:c r="B518" s="1" t="s">
        <x:v>489</x:v>
      </x:c>
      <x:c r="C518" s="1">
        <x:v>0.0</x:v>
      </x:c>
      <x:c r="D518" s="1">
        <x:v>0.0</x:v>
      </x:c>
      <x:c r="E518" s="1">
        <x:v>0.0</x:v>
      </x:c>
      <x:c r="F518" s="1">
        <x:v>0.0</x:v>
      </x:c>
      <x:c r="G518" s="1">
        <x:v>0.0</x:v>
      </x:c>
      <x:c r="H518" s="1">
        <x:v>0.0</x:v>
      </x:c>
      <x:c r="I518" s="1">
        <x:v>0.0</x:v>
      </x:c>
      <x:c r="J518" s="1">
        <x:v>0.0</x:v>
      </x:c>
      <x:c r="K518" s="18">
        <x:f t="shared" si="1"/>
        <x:v>0</x:v>
      </x:c>
      <x:c r="L518" s="18">
        <x:f t="shared" si="2"/>
        <x:v>0</x:v>
      </x:c>
      <x:c r="M518" s="121"/>
      <x:c r="N518" s="121"/>
      <x:c r="O518" s="121"/>
      <x:c r="P518" s="9"/>
      <x:c r="Q518" s="9"/>
      <x:c r="R518" s="9"/>
      <x:c r="S518" s="9"/>
      <x:c r="T518" s="9"/>
      <x:c r="U518" s="9"/>
      <x:c r="V518" s="9"/>
      <x:c r="W518" s="9"/>
      <x:c r="X518" s="9"/>
      <x:c r="Y518" s="9"/>
      <x:c r="Z518" s="9"/>
    </x:row>
    <x:row r="519" ht="14.25" customHeight="1">
      <x:c r="A519" s="1" t="s">
        <x:v>905</x:v>
      </x:c>
      <x:c r="B519" s="1" t="s">
        <x:v>501</x:v>
      </x:c>
      <x:c r="C519" s="1">
        <x:v>0.0</x:v>
      </x:c>
      <x:c r="D519" s="1">
        <x:v>0.0</x:v>
      </x:c>
      <x:c r="E519" s="1">
        <x:v>0.0</x:v>
      </x:c>
      <x:c r="F519" s="1">
        <x:v>0.0</x:v>
      </x:c>
      <x:c r="G519" s="1">
        <x:v>0.0</x:v>
      </x:c>
      <x:c r="H519" s="1">
        <x:v>0.0</x:v>
      </x:c>
      <x:c r="I519" s="1">
        <x:v>0.0</x:v>
      </x:c>
      <x:c r="J519" s="1">
        <x:v>0.0</x:v>
      </x:c>
      <x:c r="K519" s="18">
        <x:f t="shared" si="1"/>
        <x:v>0</x:v>
      </x:c>
      <x:c r="L519" s="18">
        <x:f t="shared" si="2"/>
        <x:v>0</x:v>
      </x:c>
      <x:c r="M519" s="119" t="n">
        <x:f>C521*Scoring!$B$34+D521/Scoring!$C$34+E521*Scoring!$D$34+WR!F521*Scoring!$E$34+WR!G521/Scoring!$F$34+WR!H521*Scoring!$G$34+WR!I521*Scoring!$H$34+K521*Scoring!$I$34+WR!L521*Scoring!$J$34+U519</x:f>
        <x:v>0</x:v>
      </x:c>
      <x:c r="N519" s="119" t="n">
        <x:f>C519*Scoring!$B$34+D519/Scoring!$C$34+E519*Scoring!$D$34+WR!F519*Scoring!$E$34+WR!G519/Scoring!$F$34+WR!H519*Scoring!$G$34+WR!I519*Scoring!$H$34+K519*Scoring!$I$34+WR!L519*Scoring!$J$34+U519</x:f>
        <x:v>0</x:v>
      </x:c>
      <x:c r="O519" s="119" t="n">
        <x:f>C520*Scoring!$B$34+D520/Scoring!$C$34+E520*Scoring!$D$34+WR!F520*Scoring!$E$34+WR!G520/Scoring!$F$34+WR!H520*Scoring!$G$34+WR!I520*Scoring!$H$34+K520*Scoring!$I$34+WR!L520*Scoring!$J$34+U519</x:f>
        <x:v>0</x:v>
      </x:c>
      <x:c r="P519" s="9" t="n">
        <x:f>IF(COUNTIF(Rookies!$A:$A,A519)&gt;0,1,0)</x:f>
        <x:v>0</x:v>
      </x:c>
      <x:c r="Q519" s="9"/>
      <x:c r="R519" s="9"/>
      <x:c r="S519" s="9" t="n">
        <x:f>V519/17</x:f>
        <x:v>0</x:v>
      </x:c>
      <x:c r="T519" s="9" t="n">
        <x:f>IF(P519=1,MAX(0,0.28*(12-S519)),0)</x:f>
        <x:v>0</x:v>
      </x:c>
      <x:c r="U519" s="9" t="n">
        <x:f>T519*17</x:f>
        <x:v>0</x:v>
      </x:c>
      <x:c r="V519" s="9" t="n">
        <x:f>C519*Scoring!$B$34+D519/Scoring!$C$34+E519*Scoring!$D$34+WR!F519*Scoring!$E$34+WR!G519/Scoring!$F$34+WR!H519*Scoring!$G$34+WR!I519*Scoring!$H$34+K519*Scoring!$I$34+WR!L519*Scoring!$J$34</x:f>
        <x:v>0</x:v>
      </x:c>
      <x:c r="W519" s="9"/>
      <x:c r="X519" s="9"/>
      <x:c r="Y519" s="9"/>
      <x:c r="Z519" s="9"/>
    </x:row>
    <x:row r="520" ht="14.25" customHeight="1">
      <x:c r="B520" s="1" t="s">
        <x:v>488</x:v>
      </x:c>
      <x:c r="C520" s="1">
        <x:v>0.0</x:v>
      </x:c>
      <x:c r="D520" s="1">
        <x:v>0.0</x:v>
      </x:c>
      <x:c r="E520" s="1">
        <x:v>0.0</x:v>
      </x:c>
      <x:c r="F520" s="1">
        <x:v>0.0</x:v>
      </x:c>
      <x:c r="G520" s="1">
        <x:v>0.0</x:v>
      </x:c>
      <x:c r="H520" s="1">
        <x:v>0.0</x:v>
      </x:c>
      <x:c r="I520" s="1">
        <x:v>0.0</x:v>
      </x:c>
      <x:c r="J520" s="1">
        <x:v>2.5</x:v>
      </x:c>
      <x:c r="K520" s="18">
        <x:f t="shared" si="1"/>
        <x:v>0</x:v>
      </x:c>
      <x:c r="L520" s="18">
        <x:f t="shared" si="2"/>
        <x:v>0</x:v>
      </x:c>
      <x:c r="M520" s="121"/>
      <x:c r="N520" s="121"/>
      <x:c r="O520" s="121"/>
      <x:c r="P520" s="9"/>
      <x:c r="Q520" s="9"/>
      <x:c r="R520" s="9"/>
      <x:c r="S520" s="9"/>
      <x:c r="T520" s="9"/>
      <x:c r="U520" s="9"/>
      <x:c r="V520" s="9"/>
      <x:c r="W520" s="9"/>
      <x:c r="X520" s="9"/>
      <x:c r="Y520" s="9"/>
      <x:c r="Z520" s="9"/>
    </x:row>
    <x:row r="521" ht="14.25" customHeight="1">
      <x:c r="B521" s="1" t="s">
        <x:v>489</x:v>
      </x:c>
      <x:c r="C521" s="1">
        <x:v>0.0</x:v>
      </x:c>
      <x:c r="D521" s="1">
        <x:v>0.0</x:v>
      </x:c>
      <x:c r="E521" s="1">
        <x:v>0.0</x:v>
      </x:c>
      <x:c r="F521" s="1">
        <x:v>0.0</x:v>
      </x:c>
      <x:c r="G521" s="1">
        <x:v>0.0</x:v>
      </x:c>
      <x:c r="H521" s="1">
        <x:v>0.0</x:v>
      </x:c>
      <x:c r="I521" s="1">
        <x:v>0.0</x:v>
      </x:c>
      <x:c r="J521" s="1">
        <x:v>2.5</x:v>
      </x:c>
      <x:c r="K521" s="18">
        <x:f t="shared" si="1"/>
        <x:v>0</x:v>
      </x:c>
      <x:c r="L521" s="18">
        <x:f t="shared" si="2"/>
        <x:v>0</x:v>
      </x:c>
      <x:c r="M521" s="121"/>
      <x:c r="N521" s="121"/>
      <x:c r="O521" s="121"/>
      <x:c r="P521" s="9"/>
      <x:c r="Q521" s="9"/>
      <x:c r="R521" s="9"/>
      <x:c r="S521" s="9"/>
      <x:c r="T521" s="9"/>
      <x:c r="U521" s="9"/>
      <x:c r="V521" s="9"/>
      <x:c r="W521" s="9"/>
      <x:c r="X521" s="9"/>
      <x:c r="Y521" s="9"/>
      <x:c r="Z521" s="9"/>
    </x:row>
    <x:row r="522" ht="14.25" customHeight="1">
      <x:c r="A522" s="1" t="s">
        <x:v>906</x:v>
      </x:c>
      <x:c r="B522" s="1" t="s">
        <x:v>543</x:v>
      </x:c>
      <x:c r="C522" s="1">
        <x:v>0.0</x:v>
      </x:c>
      <x:c r="D522" s="1">
        <x:v>0.0</x:v>
      </x:c>
      <x:c r="E522" s="1">
        <x:v>0.0</x:v>
      </x:c>
      <x:c r="F522" s="1">
        <x:v>0.0</x:v>
      </x:c>
      <x:c r="G522" s="1">
        <x:v>0.0</x:v>
      </x:c>
      <x:c r="H522" s="1">
        <x:v>0.0</x:v>
      </x:c>
      <x:c r="I522" s="1">
        <x:v>0.0</x:v>
      </x:c>
      <x:c r="J522" s="1">
        <x:v>0.0</x:v>
      </x:c>
      <x:c r="K522" s="18">
        <x:f t="shared" si="1"/>
        <x:v>0</x:v>
      </x:c>
      <x:c r="L522" s="18">
        <x:f t="shared" si="2"/>
        <x:v>0</x:v>
      </x:c>
      <x:c r="M522" s="119" t="n">
        <x:f>C524*Scoring!$B$34+D524/Scoring!$C$34+E524*Scoring!$D$34+WR!F524*Scoring!$E$34+WR!G524/Scoring!$F$34+WR!H524*Scoring!$G$34+WR!I524*Scoring!$H$34+K524*Scoring!$I$34+WR!L524*Scoring!$J$34+U522</x:f>
        <x:v>0</x:v>
      </x:c>
      <x:c r="N522" s="119" t="n">
        <x:f>C522*Scoring!$B$34+D522/Scoring!$C$34+E522*Scoring!$D$34+WR!F522*Scoring!$E$34+WR!G522/Scoring!$F$34+WR!H522*Scoring!$G$34+WR!I522*Scoring!$H$34+K522*Scoring!$I$34+WR!L522*Scoring!$J$34+U522</x:f>
        <x:v>0</x:v>
      </x:c>
      <x:c r="O522" s="119" t="n">
        <x:f>C523*Scoring!$B$34+D523/Scoring!$C$34+E523*Scoring!$D$34+WR!F523*Scoring!$E$34+WR!G523/Scoring!$F$34+WR!H523*Scoring!$G$34+WR!I523*Scoring!$H$34+K523*Scoring!$I$34+WR!L523*Scoring!$J$34+U522</x:f>
        <x:v>0</x:v>
      </x:c>
      <x:c r="P522" s="9" t="n">
        <x:f>IF(COUNTIF(Rookies!$A:$A,A522)&gt;0,1,0)</x:f>
        <x:v>0</x:v>
      </x:c>
      <x:c r="Q522" s="9"/>
      <x:c r="R522" s="9"/>
      <x:c r="S522" s="9" t="n">
        <x:f>V522/17</x:f>
        <x:v>0</x:v>
      </x:c>
      <x:c r="T522" s="9" t="n">
        <x:f>IF(P522=1,MAX(0,0.28*(12-S522)),0)</x:f>
        <x:v>0</x:v>
      </x:c>
      <x:c r="U522" s="9" t="n">
        <x:f>T522*17</x:f>
        <x:v>0</x:v>
      </x:c>
      <x:c r="V522" s="9" t="n">
        <x:f>C522*Scoring!$B$34+D522/Scoring!$C$34+E522*Scoring!$D$34+WR!F522*Scoring!$E$34+WR!G522/Scoring!$F$34+WR!H522*Scoring!$G$34+WR!I522*Scoring!$H$34+K522*Scoring!$I$34+WR!L522*Scoring!$J$34</x:f>
        <x:v>0</x:v>
      </x:c>
      <x:c r="W522" s="9"/>
      <x:c r="X522" s="9"/>
      <x:c r="Y522" s="9"/>
      <x:c r="Z522" s="9"/>
    </x:row>
    <x:row r="523" ht="14.25" customHeight="1">
      <x:c r="B523" s="1" t="s">
        <x:v>488</x:v>
      </x:c>
      <x:c r="C523" s="1">
        <x:v>0.0</x:v>
      </x:c>
      <x:c r="D523" s="1">
        <x:v>0.0</x:v>
      </x:c>
      <x:c r="E523" s="1">
        <x:v>0.0</x:v>
      </x:c>
      <x:c r="F523" s="1">
        <x:v>0.0</x:v>
      </x:c>
      <x:c r="G523" s="1">
        <x:v>0.0</x:v>
      </x:c>
      <x:c r="H523" s="1">
        <x:v>0.0</x:v>
      </x:c>
      <x:c r="I523" s="1">
        <x:v>0.0</x:v>
      </x:c>
      <x:c r="J523" s="1">
        <x:v>0.8</x:v>
      </x:c>
      <x:c r="K523" s="18">
        <x:f t="shared" si="1"/>
        <x:v>0</x:v>
      </x:c>
      <x:c r="L523" s="18">
        <x:f t="shared" si="2"/>
        <x:v>0</x:v>
      </x:c>
      <x:c r="M523" s="121"/>
      <x:c r="N523" s="121"/>
      <x:c r="O523" s="121"/>
      <x:c r="P523" s="9"/>
      <x:c r="Q523" s="9"/>
      <x:c r="R523" s="9"/>
      <x:c r="S523" s="9"/>
      <x:c r="T523" s="9"/>
      <x:c r="U523" s="9"/>
      <x:c r="V523" s="9"/>
      <x:c r="W523" s="9"/>
      <x:c r="X523" s="9"/>
      <x:c r="Y523" s="9"/>
      <x:c r="Z523" s="9"/>
    </x:row>
    <x:row r="524" ht="14.25" customHeight="1">
      <x:c r="B524" s="1" t="s">
        <x:v>489</x:v>
      </x:c>
      <x:c r="C524" s="1">
        <x:v>0.0</x:v>
      </x:c>
      <x:c r="D524" s="1">
        <x:v>0.0</x:v>
      </x:c>
      <x:c r="E524" s="1">
        <x:v>0.0</x:v>
      </x:c>
      <x:c r="F524" s="1">
        <x:v>0.0</x:v>
      </x:c>
      <x:c r="G524" s="1">
        <x:v>0.0</x:v>
      </x:c>
      <x:c r="H524" s="1">
        <x:v>0.0</x:v>
      </x:c>
      <x:c r="I524" s="1">
        <x:v>0.0</x:v>
      </x:c>
      <x:c r="J524" s="1">
        <x:v>0.8</x:v>
      </x:c>
      <x:c r="K524" s="18">
        <x:f t="shared" si="1"/>
        <x:v>0</x:v>
      </x:c>
      <x:c r="L524" s="18">
        <x:f t="shared" si="2"/>
        <x:v>0</x:v>
      </x:c>
      <x:c r="M524" s="121"/>
      <x:c r="N524" s="121"/>
      <x:c r="O524" s="121"/>
      <x:c r="P524" s="9"/>
      <x:c r="Q524" s="9"/>
      <x:c r="R524" s="9"/>
      <x:c r="S524" s="9"/>
      <x:c r="T524" s="9"/>
      <x:c r="U524" s="9"/>
      <x:c r="V524" s="9"/>
      <x:c r="W524" s="9"/>
      <x:c r="X524" s="9"/>
      <x:c r="Y524" s="9"/>
      <x:c r="Z524" s="9"/>
    </x:row>
    <x:row r="525" ht="14.25" customHeight="1">
      <x:c r="A525" s="1" t="s">
        <x:v>907</x:v>
      </x:c>
      <x:c r="B525" s="1" t="s">
        <x:v>541</x:v>
      </x:c>
      <x:c r="C525" s="1">
        <x:v>0.0</x:v>
      </x:c>
      <x:c r="D525" s="1">
        <x:v>0.0</x:v>
      </x:c>
      <x:c r="E525" s="1">
        <x:v>0.0</x:v>
      </x:c>
      <x:c r="F525" s="1">
        <x:v>0.0</x:v>
      </x:c>
      <x:c r="G525" s="1">
        <x:v>0.0</x:v>
      </x:c>
      <x:c r="H525" s="1">
        <x:v>0.0</x:v>
      </x:c>
      <x:c r="I525" s="1">
        <x:v>0.0</x:v>
      </x:c>
      <x:c r="J525" s="1">
        <x:v>0.0</x:v>
      </x:c>
      <x:c r="K525" s="18">
        <x:f t="shared" si="1"/>
        <x:v>0</x:v>
      </x:c>
      <x:c r="L525" s="18">
        <x:f t="shared" si="2"/>
        <x:v>0</x:v>
      </x:c>
      <x:c r="M525" s="119" t="n">
        <x:f>C527*Scoring!$B$34+D527/Scoring!$C$34+E527*Scoring!$D$34+WR!F527*Scoring!$E$34+WR!G527/Scoring!$F$34+WR!H527*Scoring!$G$34+WR!I527*Scoring!$H$34+K527*Scoring!$I$34+WR!L527*Scoring!$J$34+U525</x:f>
        <x:v>0</x:v>
      </x:c>
      <x:c r="N525" s="119" t="n">
        <x:f>C525*Scoring!$B$34+D525/Scoring!$C$34+E525*Scoring!$D$34+WR!F525*Scoring!$E$34+WR!G525/Scoring!$F$34+WR!H525*Scoring!$G$34+WR!I525*Scoring!$H$34+K525*Scoring!$I$34+WR!L525*Scoring!$J$34+U525</x:f>
        <x:v>0</x:v>
      </x:c>
      <x:c r="O525" s="119" t="n">
        <x:f>C526*Scoring!$B$34+D526/Scoring!$C$34+E526*Scoring!$D$34+WR!F526*Scoring!$E$34+WR!G526/Scoring!$F$34+WR!H526*Scoring!$G$34+WR!I526*Scoring!$H$34+K526*Scoring!$I$34+WR!L526*Scoring!$J$34+U525</x:f>
        <x:v>0</x:v>
      </x:c>
      <x:c r="P525" s="9" t="n">
        <x:f>IF(COUNTIF(Rookies!$A:$A,A525)&gt;0,1,0)</x:f>
        <x:v>0</x:v>
      </x:c>
      <x:c r="Q525" s="9"/>
      <x:c r="R525" s="9"/>
      <x:c r="S525" s="9" t="n">
        <x:f>V525/17</x:f>
        <x:v>0</x:v>
      </x:c>
      <x:c r="T525" s="9" t="n">
        <x:f>IF(P525=1,MAX(0,0.28*(12-S525)),0)</x:f>
        <x:v>0</x:v>
      </x:c>
      <x:c r="U525" s="9" t="n">
        <x:f>T525*17</x:f>
        <x:v>0</x:v>
      </x:c>
      <x:c r="V525" s="9" t="n">
        <x:f>C525*Scoring!$B$34+D525/Scoring!$C$34+E525*Scoring!$D$34+WR!F525*Scoring!$E$34+WR!G525/Scoring!$F$34+WR!H525*Scoring!$G$34+WR!I525*Scoring!$H$34+K525*Scoring!$I$34+WR!L525*Scoring!$J$34</x:f>
        <x:v>0</x:v>
      </x:c>
      <x:c r="W525" s="9"/>
      <x:c r="X525" s="9"/>
      <x:c r="Y525" s="9"/>
      <x:c r="Z525" s="9"/>
    </x:row>
    <x:row r="526" ht="14.25" customHeight="1">
      <x:c r="B526" s="1" t="s">
        <x:v>488</x:v>
      </x:c>
      <x:c r="C526" s="1">
        <x:v>0.0</x:v>
      </x:c>
      <x:c r="D526" s="1">
        <x:v>0.0</x:v>
      </x:c>
      <x:c r="E526" s="1">
        <x:v>0.0</x:v>
      </x:c>
      <x:c r="F526" s="1">
        <x:v>0.0</x:v>
      </x:c>
      <x:c r="G526" s="1">
        <x:v>0.0</x:v>
      </x:c>
      <x:c r="H526" s="1">
        <x:v>0.0</x:v>
      </x:c>
      <x:c r="I526" s="1">
        <x:v>0.0</x:v>
      </x:c>
      <x:c r="J526" s="1">
        <x:v>0.1</x:v>
      </x:c>
      <x:c r="K526" s="18">
        <x:f t="shared" si="1"/>
        <x:v>0</x:v>
      </x:c>
      <x:c r="L526" s="18">
        <x:f t="shared" si="2"/>
        <x:v>0</x:v>
      </x:c>
      <x:c r="M526" s="121"/>
      <x:c r="N526" s="121"/>
      <x:c r="O526" s="121"/>
      <x:c r="P526" s="9"/>
      <x:c r="Q526" s="9"/>
      <x:c r="R526" s="9"/>
      <x:c r="S526" s="9"/>
      <x:c r="T526" s="9"/>
      <x:c r="U526" s="9"/>
      <x:c r="V526" s="9"/>
      <x:c r="W526" s="9"/>
      <x:c r="X526" s="9"/>
      <x:c r="Y526" s="9"/>
      <x:c r="Z526" s="9"/>
    </x:row>
    <x:row r="527" ht="14.25" customHeight="1">
      <x:c r="B527" s="1" t="s">
        <x:v>489</x:v>
      </x:c>
      <x:c r="C527" s="1">
        <x:v>0.0</x:v>
      </x:c>
      <x:c r="D527" s="1">
        <x:v>0.0</x:v>
      </x:c>
      <x:c r="E527" s="1">
        <x:v>0.0</x:v>
      </x:c>
      <x:c r="F527" s="1">
        <x:v>0.0</x:v>
      </x:c>
      <x:c r="G527" s="1">
        <x:v>0.0</x:v>
      </x:c>
      <x:c r="H527" s="1">
        <x:v>0.0</x:v>
      </x:c>
      <x:c r="I527" s="1">
        <x:v>0.0</x:v>
      </x:c>
      <x:c r="J527" s="1">
        <x:v>0.1</x:v>
      </x:c>
      <x:c r="K527" s="18">
        <x:f t="shared" si="1"/>
        <x:v>0</x:v>
      </x:c>
      <x:c r="L527" s="18">
        <x:f t="shared" si="2"/>
        <x:v>0</x:v>
      </x:c>
      <x:c r="M527" s="121"/>
      <x:c r="N527" s="121"/>
      <x:c r="O527" s="121"/>
      <x:c r="P527" s="9"/>
      <x:c r="Q527" s="9"/>
      <x:c r="R527" s="9"/>
      <x:c r="S527" s="9"/>
      <x:c r="T527" s="9"/>
      <x:c r="U527" s="9"/>
      <x:c r="V527" s="9"/>
      <x:c r="W527" s="9"/>
      <x:c r="X527" s="9"/>
      <x:c r="Y527" s="9"/>
      <x:c r="Z527" s="9"/>
    </x:row>
    <x:row r="528" ht="14.25" customHeight="1">
      <x:c r="A528" s="1" t="s">
        <x:v>908</x:v>
      </x:c>
      <x:c r="B528" s="1" t="s">
        <x:v>515</x:v>
      </x:c>
      <x:c r="C528" s="1">
        <x:v>0.0</x:v>
      </x:c>
      <x:c r="D528" s="1">
        <x:v>0.0</x:v>
      </x:c>
      <x:c r="E528" s="1">
        <x:v>0.0</x:v>
      </x:c>
      <x:c r="F528" s="1">
        <x:v>0.0</x:v>
      </x:c>
      <x:c r="G528" s="1">
        <x:v>0.0</x:v>
      </x:c>
      <x:c r="H528" s="1">
        <x:v>0.0</x:v>
      </x:c>
      <x:c r="I528" s="1">
        <x:v>0.0</x:v>
      </x:c>
      <x:c r="J528" s="1">
        <x:v>0.0</x:v>
      </x:c>
      <x:c r="K528" s="18">
        <x:f t="shared" si="1"/>
        <x:v>0</x:v>
      </x:c>
      <x:c r="L528" s="18">
        <x:f t="shared" si="2"/>
        <x:v>0</x:v>
      </x:c>
      <x:c r="M528" s="119" t="n">
        <x:f>C530*Scoring!$B$34+D530/Scoring!$C$34+E530*Scoring!$D$34+WR!F530*Scoring!$E$34+WR!G530/Scoring!$F$34+WR!H530*Scoring!$G$34+WR!I530*Scoring!$H$34+K530*Scoring!$I$34+WR!L530*Scoring!$J$34+U528</x:f>
        <x:v>0</x:v>
      </x:c>
      <x:c r="N528" s="119" t="n">
        <x:f>C528*Scoring!$B$34+D528/Scoring!$C$34+E528*Scoring!$D$34+WR!F528*Scoring!$E$34+WR!G528/Scoring!$F$34+WR!H528*Scoring!$G$34+WR!I528*Scoring!$H$34+K528*Scoring!$I$34+WR!L528*Scoring!$J$34+U528</x:f>
        <x:v>0</x:v>
      </x:c>
      <x:c r="O528" s="119" t="n">
        <x:f>C529*Scoring!$B$34+D529/Scoring!$C$34+E529*Scoring!$D$34+WR!F529*Scoring!$E$34+WR!G529/Scoring!$F$34+WR!H529*Scoring!$G$34+WR!I529*Scoring!$H$34+K529*Scoring!$I$34+WR!L529*Scoring!$J$34+U528</x:f>
        <x:v>0</x:v>
      </x:c>
      <x:c r="P528" s="9" t="n">
        <x:f>IF(COUNTIF(Rookies!$A:$A,A528)&gt;0,1,0)</x:f>
        <x:v>0</x:v>
      </x:c>
      <x:c r="Q528" s="9"/>
      <x:c r="R528" s="9"/>
      <x:c r="S528" s="9" t="n">
        <x:f>V528/17</x:f>
        <x:v>0</x:v>
      </x:c>
      <x:c r="T528" s="9" t="n">
        <x:f>IF(P528=1,MAX(0,0.28*(12-S528)),0)</x:f>
        <x:v>0</x:v>
      </x:c>
      <x:c r="U528" s="9" t="n">
        <x:f>T528*17</x:f>
        <x:v>0</x:v>
      </x:c>
      <x:c r="V528" s="9" t="n">
        <x:f>C528*Scoring!$B$34+D528/Scoring!$C$34+E528*Scoring!$D$34+WR!F528*Scoring!$E$34+WR!G528/Scoring!$F$34+WR!H528*Scoring!$G$34+WR!I528*Scoring!$H$34+K528*Scoring!$I$34+WR!L528*Scoring!$J$34</x:f>
        <x:v>0</x:v>
      </x:c>
      <x:c r="W528" s="9"/>
      <x:c r="X528" s="9"/>
      <x:c r="Y528" s="9"/>
      <x:c r="Z528" s="9"/>
    </x:row>
    <x:row r="529" ht="14.25" customHeight="1">
      <x:c r="B529" s="1" t="s">
        <x:v>488</x:v>
      </x:c>
      <x:c r="C529" s="1">
        <x:v>0.0</x:v>
      </x:c>
      <x:c r="D529" s="1">
        <x:v>0.0</x:v>
      </x:c>
      <x:c r="E529" s="1">
        <x:v>0.0</x:v>
      </x:c>
      <x:c r="F529" s="1">
        <x:v>0.0</x:v>
      </x:c>
      <x:c r="G529" s="1">
        <x:v>0.0</x:v>
      </x:c>
      <x:c r="H529" s="1">
        <x:v>0.0</x:v>
      </x:c>
      <x:c r="I529" s="1">
        <x:v>0.0</x:v>
      </x:c>
      <x:c r="J529" s="1">
        <x:v>0.2</x:v>
      </x:c>
      <x:c r="K529" s="18">
        <x:f t="shared" si="1"/>
        <x:v>0</x:v>
      </x:c>
      <x:c r="L529" s="18">
        <x:f t="shared" si="2"/>
        <x:v>0</x:v>
      </x:c>
      <x:c r="M529" s="121"/>
      <x:c r="N529" s="121"/>
      <x:c r="O529" s="121"/>
      <x:c r="P529" s="9"/>
      <x:c r="Q529" s="9"/>
      <x:c r="R529" s="9"/>
      <x:c r="S529" s="9"/>
      <x:c r="T529" s="9"/>
      <x:c r="U529" s="9"/>
      <x:c r="V529" s="9"/>
      <x:c r="W529" s="9"/>
      <x:c r="X529" s="9"/>
      <x:c r="Y529" s="9"/>
      <x:c r="Z529" s="9"/>
    </x:row>
    <x:row r="530" ht="14.25" customHeight="1">
      <x:c r="B530" s="1" t="s">
        <x:v>489</x:v>
      </x:c>
      <x:c r="C530" s="1">
        <x:v>0.0</x:v>
      </x:c>
      <x:c r="D530" s="1">
        <x:v>0.0</x:v>
      </x:c>
      <x:c r="E530" s="1">
        <x:v>0.0</x:v>
      </x:c>
      <x:c r="F530" s="1">
        <x:v>0.0</x:v>
      </x:c>
      <x:c r="G530" s="1">
        <x:v>0.0</x:v>
      </x:c>
      <x:c r="H530" s="1">
        <x:v>0.0</x:v>
      </x:c>
      <x:c r="I530" s="1">
        <x:v>0.0</x:v>
      </x:c>
      <x:c r="J530" s="1">
        <x:v>0.2</x:v>
      </x:c>
      <x:c r="K530" s="18">
        <x:f t="shared" si="1"/>
        <x:v>0</x:v>
      </x:c>
      <x:c r="L530" s="18">
        <x:f t="shared" si="2"/>
        <x:v>0</x:v>
      </x:c>
      <x:c r="M530" s="121"/>
      <x:c r="N530" s="121"/>
      <x:c r="O530" s="121"/>
      <x:c r="P530" s="9"/>
      <x:c r="Q530" s="9"/>
      <x:c r="R530" s="9"/>
      <x:c r="S530" s="9"/>
      <x:c r="T530" s="9"/>
      <x:c r="U530" s="9"/>
      <x:c r="V530" s="9"/>
      <x:c r="W530" s="9"/>
      <x:c r="X530" s="9"/>
      <x:c r="Y530" s="9"/>
      <x:c r="Z530" s="9"/>
    </x:row>
    <x:row r="531" ht="14.25" customHeight="1">
      <x:c r="A531" s="1" t="s">
        <x:v>909</x:v>
      </x:c>
      <x:c r="B531" s="1" t="s">
        <x:v>531</x:v>
      </x:c>
      <x:c r="C531" s="1">
        <x:v>0.0</x:v>
      </x:c>
      <x:c r="D531" s="1">
        <x:v>0.0</x:v>
      </x:c>
      <x:c r="E531" s="1">
        <x:v>0.0</x:v>
      </x:c>
      <x:c r="F531" s="1">
        <x:v>0.0</x:v>
      </x:c>
      <x:c r="G531" s="1">
        <x:v>0.0</x:v>
      </x:c>
      <x:c r="H531" s="1">
        <x:v>0.0</x:v>
      </x:c>
      <x:c r="I531" s="1">
        <x:v>0.0</x:v>
      </x:c>
      <x:c r="J531" s="1">
        <x:v>0.0</x:v>
      </x:c>
      <x:c r="K531" s="18">
        <x:f t="shared" si="1"/>
        <x:v>0</x:v>
      </x:c>
      <x:c r="L531" s="18">
        <x:f t="shared" si="2"/>
        <x:v>0</x:v>
      </x:c>
      <x:c r="M531" s="119" t="n">
        <x:f>C533*Scoring!$B$34+D533/Scoring!$C$34+E533*Scoring!$D$34+WR!F533*Scoring!$E$34+WR!G533/Scoring!$F$34+WR!H533*Scoring!$G$34+WR!I533*Scoring!$H$34+K533*Scoring!$I$34+WR!L533*Scoring!$J$34+U531</x:f>
        <x:v>0</x:v>
      </x:c>
      <x:c r="N531" s="119" t="n">
        <x:f>C531*Scoring!$B$34+D531/Scoring!$C$34+E531*Scoring!$D$34+WR!F531*Scoring!$E$34+WR!G531/Scoring!$F$34+WR!H531*Scoring!$G$34+WR!I531*Scoring!$H$34+K531*Scoring!$I$34+WR!L531*Scoring!$J$34+U531</x:f>
        <x:v>0</x:v>
      </x:c>
      <x:c r="O531" s="119" t="n">
        <x:f>C532*Scoring!$B$34+D532/Scoring!$C$34+E532*Scoring!$D$34+WR!F532*Scoring!$E$34+WR!G532/Scoring!$F$34+WR!H532*Scoring!$G$34+WR!I532*Scoring!$H$34+K532*Scoring!$I$34+WR!L532*Scoring!$J$34+U531</x:f>
        <x:v>0</x:v>
      </x:c>
      <x:c r="P531" s="9" t="n">
        <x:f>IF(COUNTIF(Rookies!$A:$A,A531)&gt;0,1,0)</x:f>
        <x:v>0</x:v>
      </x:c>
      <x:c r="Q531" s="9"/>
      <x:c r="R531" s="9"/>
      <x:c r="S531" s="9" t="n">
        <x:f>V531/17</x:f>
        <x:v>0</x:v>
      </x:c>
      <x:c r="T531" s="9" t="n">
        <x:f>IF(P531=1,MAX(0,0.28*(12-S531)),0)</x:f>
        <x:v>0</x:v>
      </x:c>
      <x:c r="U531" s="9" t="n">
        <x:f>T531*17</x:f>
        <x:v>0</x:v>
      </x:c>
      <x:c r="V531" s="9" t="n">
        <x:f>C531*Scoring!$B$34+D531/Scoring!$C$34+E531*Scoring!$D$34+WR!F531*Scoring!$E$34+WR!G531/Scoring!$F$34+WR!H531*Scoring!$G$34+WR!I531*Scoring!$H$34+K531*Scoring!$I$34+WR!L531*Scoring!$J$34</x:f>
        <x:v>0</x:v>
      </x:c>
      <x:c r="W531" s="9"/>
      <x:c r="X531" s="9"/>
      <x:c r="Y531" s="9"/>
      <x:c r="Z531" s="9"/>
    </x:row>
    <x:row r="532" ht="14.25" customHeight="1">
      <x:c r="B532" s="1" t="s">
        <x:v>488</x:v>
      </x:c>
      <x:c r="C532" s="1">
        <x:v>0.0</x:v>
      </x:c>
      <x:c r="D532" s="1">
        <x:v>0.0</x:v>
      </x:c>
      <x:c r="E532" s="1">
        <x:v>0.0</x:v>
      </x:c>
      <x:c r="F532" s="1">
        <x:v>0.0</x:v>
      </x:c>
      <x:c r="G532" s="1">
        <x:v>0.0</x:v>
      </x:c>
      <x:c r="H532" s="1">
        <x:v>0.0</x:v>
      </x:c>
      <x:c r="I532" s="1">
        <x:v>0.0</x:v>
      </x:c>
      <x:c r="J532" s="1">
        <x:v>0.4</x:v>
      </x:c>
      <x:c r="K532" s="18">
        <x:f t="shared" si="1"/>
        <x:v>0</x:v>
      </x:c>
      <x:c r="L532" s="18">
        <x:f t="shared" si="2"/>
        <x:v>0</x:v>
      </x:c>
      <x:c r="M532" s="121"/>
      <x:c r="N532" s="121"/>
      <x:c r="O532" s="121"/>
      <x:c r="P532" s="9"/>
      <x:c r="Q532" s="9"/>
      <x:c r="R532" s="9"/>
      <x:c r="S532" s="9"/>
      <x:c r="T532" s="9"/>
      <x:c r="U532" s="9"/>
      <x:c r="V532" s="9"/>
      <x:c r="W532" s="9"/>
      <x:c r="X532" s="9"/>
      <x:c r="Y532" s="9"/>
      <x:c r="Z532" s="9"/>
    </x:row>
    <x:row r="533" ht="14.25" customHeight="1">
      <x:c r="B533" s="1" t="s">
        <x:v>489</x:v>
      </x:c>
      <x:c r="C533" s="1">
        <x:v>0.0</x:v>
      </x:c>
      <x:c r="D533" s="1">
        <x:v>0.0</x:v>
      </x:c>
      <x:c r="E533" s="1">
        <x:v>0.0</x:v>
      </x:c>
      <x:c r="F533" s="1">
        <x:v>0.0</x:v>
      </x:c>
      <x:c r="G533" s="1">
        <x:v>0.0</x:v>
      </x:c>
      <x:c r="H533" s="1">
        <x:v>0.0</x:v>
      </x:c>
      <x:c r="I533" s="1">
        <x:v>0.0</x:v>
      </x:c>
      <x:c r="J533" s="1">
        <x:v>0.4</x:v>
      </x:c>
      <x:c r="K533" s="18">
        <x:f t="shared" si="1"/>
        <x:v>0</x:v>
      </x:c>
      <x:c r="L533" s="18">
        <x:f t="shared" si="2"/>
        <x:v>0</x:v>
      </x:c>
      <x:c r="M533" s="121"/>
      <x:c r="N533" s="121"/>
      <x:c r="O533" s="121"/>
      <x:c r="P533" s="9"/>
      <x:c r="Q533" s="9"/>
      <x:c r="R533" s="9"/>
      <x:c r="S533" s="9"/>
      <x:c r="T533" s="9"/>
      <x:c r="U533" s="9"/>
      <x:c r="V533" s="9"/>
      <x:c r="W533" s="9"/>
      <x:c r="X533" s="9"/>
      <x:c r="Y533" s="9"/>
      <x:c r="Z533" s="9"/>
    </x:row>
    <x:row r="534" ht="14.25" customHeight="1">
      <x:c r="A534" s="1" t="s">
        <x:v>910</x:v>
      </x:c>
      <x:c r="B534" s="1" t="s">
        <x:v>497</x:v>
      </x:c>
      <x:c r="C534" s="1">
        <x:v>0.0</x:v>
      </x:c>
      <x:c r="D534" s="1">
        <x:v>0.0</x:v>
      </x:c>
      <x:c r="E534" s="1">
        <x:v>0.0</x:v>
      </x:c>
      <x:c r="F534" s="1">
        <x:v>0.0</x:v>
      </x:c>
      <x:c r="G534" s="1">
        <x:v>0.0</x:v>
      </x:c>
      <x:c r="H534" s="1">
        <x:v>0.0</x:v>
      </x:c>
      <x:c r="I534" s="1">
        <x:v>0.0</x:v>
      </x:c>
      <x:c r="J534" s="1">
        <x:v>0.0</x:v>
      </x:c>
      <x:c r="K534" s="18">
        <x:f t="shared" si="1"/>
        <x:v>0</x:v>
      </x:c>
      <x:c r="L534" s="18">
        <x:f t="shared" si="2"/>
        <x:v>0</x:v>
      </x:c>
      <x:c r="M534" s="119" t="n">
        <x:f>C536*Scoring!$B$34+D536/Scoring!$C$34+E536*Scoring!$D$34+WR!F536*Scoring!$E$34+WR!G536/Scoring!$F$34+WR!H536*Scoring!$G$34+WR!I536*Scoring!$H$34+K536*Scoring!$I$34+WR!L536*Scoring!$J$34+U534</x:f>
        <x:v>0</x:v>
      </x:c>
      <x:c r="N534" s="119" t="n">
        <x:f>C534*Scoring!$B$34+D534/Scoring!$C$34+E534*Scoring!$D$34+WR!F534*Scoring!$E$34+WR!G534/Scoring!$F$34+WR!H534*Scoring!$G$34+WR!I534*Scoring!$H$34+K534*Scoring!$I$34+WR!L534*Scoring!$J$34+U534</x:f>
        <x:v>0</x:v>
      </x:c>
      <x:c r="O534" s="119" t="n">
        <x:f>C535*Scoring!$B$34+D535/Scoring!$C$34+E535*Scoring!$D$34+WR!F535*Scoring!$E$34+WR!G535/Scoring!$F$34+WR!H535*Scoring!$G$34+WR!I535*Scoring!$H$34+K535*Scoring!$I$34+WR!L535*Scoring!$J$34+U534</x:f>
        <x:v>0</x:v>
      </x:c>
      <x:c r="P534" s="9" t="n">
        <x:f>IF(COUNTIF(Rookies!$A:$A,A534)&gt;0,1,0)</x:f>
        <x:v>0</x:v>
      </x:c>
      <x:c r="Q534" s="9"/>
      <x:c r="R534" s="9"/>
      <x:c r="S534" s="9" t="n">
        <x:f>V534/17</x:f>
        <x:v>0</x:v>
      </x:c>
      <x:c r="T534" s="9" t="n">
        <x:f>IF(P534=1,MAX(0,0.28*(12-S534)),0)</x:f>
        <x:v>0</x:v>
      </x:c>
      <x:c r="U534" s="9" t="n">
        <x:f>T534*17</x:f>
        <x:v>0</x:v>
      </x:c>
      <x:c r="V534" s="9" t="n">
        <x:f>C534*Scoring!$B$34+D534/Scoring!$C$34+E534*Scoring!$D$34+WR!F534*Scoring!$E$34+WR!G534/Scoring!$F$34+WR!H534*Scoring!$G$34+WR!I534*Scoring!$H$34+K534*Scoring!$I$34+WR!L534*Scoring!$J$34</x:f>
        <x:v>0</x:v>
      </x:c>
      <x:c r="W534" s="9"/>
      <x:c r="X534" s="9"/>
      <x:c r="Y534" s="9"/>
      <x:c r="Z534" s="9"/>
    </x:row>
    <x:row r="535" ht="14.25" customHeight="1">
      <x:c r="B535" s="1" t="s">
        <x:v>488</x:v>
      </x:c>
      <x:c r="C535" s="1">
        <x:v>0.0</x:v>
      </x:c>
      <x:c r="D535" s="1">
        <x:v>0.0</x:v>
      </x:c>
      <x:c r="E535" s="1">
        <x:v>0.0</x:v>
      </x:c>
      <x:c r="F535" s="1">
        <x:v>0.0</x:v>
      </x:c>
      <x:c r="G535" s="1">
        <x:v>0.0</x:v>
      </x:c>
      <x:c r="H535" s="1">
        <x:v>0.0</x:v>
      </x:c>
      <x:c r="I535" s="1">
        <x:v>0.0</x:v>
      </x:c>
      <x:c r="J535" s="1">
        <x:v>1.7</x:v>
      </x:c>
      <x:c r="K535" s="18">
        <x:f t="shared" si="1"/>
        <x:v>0</x:v>
      </x:c>
      <x:c r="L535" s="18">
        <x:f t="shared" si="2"/>
        <x:v>0</x:v>
      </x:c>
      <x:c r="M535" s="121"/>
      <x:c r="N535" s="121"/>
      <x:c r="O535" s="121"/>
      <x:c r="P535" s="9"/>
      <x:c r="Q535" s="9"/>
      <x:c r="R535" s="9"/>
      <x:c r="S535" s="9"/>
      <x:c r="T535" s="9"/>
      <x:c r="U535" s="9"/>
      <x:c r="V535" s="9"/>
      <x:c r="W535" s="9"/>
      <x:c r="X535" s="9"/>
      <x:c r="Y535" s="9"/>
      <x:c r="Z535" s="9"/>
    </x:row>
    <x:row r="536" ht="14.25" customHeight="1">
      <x:c r="B536" s="1" t="s">
        <x:v>489</x:v>
      </x:c>
      <x:c r="C536" s="1">
        <x:v>0.0</x:v>
      </x:c>
      <x:c r="D536" s="1">
        <x:v>0.0</x:v>
      </x:c>
      <x:c r="E536" s="1">
        <x:v>0.0</x:v>
      </x:c>
      <x:c r="F536" s="1">
        <x:v>0.0</x:v>
      </x:c>
      <x:c r="G536" s="1">
        <x:v>0.0</x:v>
      </x:c>
      <x:c r="H536" s="1">
        <x:v>0.0</x:v>
      </x:c>
      <x:c r="I536" s="1">
        <x:v>0.0</x:v>
      </x:c>
      <x:c r="J536" s="1">
        <x:v>1.7</x:v>
      </x:c>
      <x:c r="K536" s="18">
        <x:f t="shared" si="1"/>
        <x:v>0</x:v>
      </x:c>
      <x:c r="L536" s="18">
        <x:f t="shared" si="2"/>
        <x:v>0</x:v>
      </x:c>
      <x:c r="M536" s="121"/>
      <x:c r="N536" s="121"/>
      <x:c r="O536" s="121"/>
      <x:c r="P536" s="9"/>
      <x:c r="Q536" s="9"/>
      <x:c r="R536" s="9"/>
      <x:c r="S536" s="9"/>
      <x:c r="T536" s="9"/>
      <x:c r="U536" s="9"/>
      <x:c r="V536" s="9"/>
      <x:c r="W536" s="9"/>
      <x:c r="X536" s="9"/>
      <x:c r="Y536" s="9"/>
      <x:c r="Z536" s="9"/>
    </x:row>
    <x:row r="537" ht="14.25" customHeight="1">
      <x:c r="A537" s="1" t="s">
        <x:v>911</x:v>
      </x:c>
      <x:c r="B537" s="1" t="s">
        <x:v>547</x:v>
      </x:c>
      <x:c r="C537" s="1">
        <x:v>0.0</x:v>
      </x:c>
      <x:c r="D537" s="1">
        <x:v>0.0</x:v>
      </x:c>
      <x:c r="E537" s="1">
        <x:v>0.0</x:v>
      </x:c>
      <x:c r="F537" s="1">
        <x:v>0.0</x:v>
      </x:c>
      <x:c r="G537" s="1">
        <x:v>0.0</x:v>
      </x:c>
      <x:c r="H537" s="1">
        <x:v>0.0</x:v>
      </x:c>
      <x:c r="I537" s="1">
        <x:v>0.0</x:v>
      </x:c>
      <x:c r="J537" s="1">
        <x:v>0.0</x:v>
      </x:c>
      <x:c r="K537" s="18">
        <x:f t="shared" si="1"/>
        <x:v>0</x:v>
      </x:c>
      <x:c r="L537" s="18">
        <x:f t="shared" si="2"/>
        <x:v>0</x:v>
      </x:c>
      <x:c r="M537" s="119" t="n">
        <x:f>C539*Scoring!$B$34+D539/Scoring!$C$34+E539*Scoring!$D$34+WR!F539*Scoring!$E$34+WR!G539/Scoring!$F$34+WR!H539*Scoring!$G$34+WR!I539*Scoring!$H$34+K539*Scoring!$I$34+WR!L539*Scoring!$J$34+U537</x:f>
        <x:v>0</x:v>
      </x:c>
      <x:c r="N537" s="119" t="n">
        <x:f>C537*Scoring!$B$34+D537/Scoring!$C$34+E537*Scoring!$D$34+WR!F537*Scoring!$E$34+WR!G537/Scoring!$F$34+WR!H537*Scoring!$G$34+WR!I537*Scoring!$H$34+K537*Scoring!$I$34+WR!L537*Scoring!$J$34+U537</x:f>
        <x:v>0</x:v>
      </x:c>
      <x:c r="O537" s="119" t="n">
        <x:f>C538*Scoring!$B$34+D538/Scoring!$C$34+E538*Scoring!$D$34+WR!F538*Scoring!$E$34+WR!G538/Scoring!$F$34+WR!H538*Scoring!$G$34+WR!I538*Scoring!$H$34+K538*Scoring!$I$34+WR!L538*Scoring!$J$34+U537</x:f>
        <x:v>0</x:v>
      </x:c>
      <x:c r="P537" s="9" t="n">
        <x:f>IF(COUNTIF(Rookies!$A:$A,A537)&gt;0,1,0)</x:f>
        <x:v>0</x:v>
      </x:c>
      <x:c r="Q537" s="9"/>
      <x:c r="R537" s="9"/>
      <x:c r="S537" s="9" t="n">
        <x:f>V537/17</x:f>
        <x:v>0</x:v>
      </x:c>
      <x:c r="T537" s="9" t="n">
        <x:f>IF(P537=1,MAX(0,0.28*(12-S537)),0)</x:f>
        <x:v>0</x:v>
      </x:c>
      <x:c r="U537" s="9" t="n">
        <x:f>T537*17</x:f>
        <x:v>0</x:v>
      </x:c>
      <x:c r="V537" s="9" t="n">
        <x:f>C537*Scoring!$B$34+D537/Scoring!$C$34+E537*Scoring!$D$34+WR!F537*Scoring!$E$34+WR!G537/Scoring!$F$34+WR!H537*Scoring!$G$34+WR!I537*Scoring!$H$34+K537*Scoring!$I$34+WR!L537*Scoring!$J$34</x:f>
        <x:v>0</x:v>
      </x:c>
      <x:c r="W537" s="9"/>
      <x:c r="X537" s="9"/>
      <x:c r="Y537" s="9"/>
      <x:c r="Z537" s="9"/>
    </x:row>
    <x:row r="538" ht="14.25" customHeight="1">
      <x:c r="B538" s="1" t="s">
        <x:v>488</x:v>
      </x:c>
      <x:c r="C538" s="1">
        <x:v>0.0</x:v>
      </x:c>
      <x:c r="D538" s="1">
        <x:v>0.0</x:v>
      </x:c>
      <x:c r="E538" s="1">
        <x:v>0.0</x:v>
      </x:c>
      <x:c r="F538" s="1">
        <x:v>0.0</x:v>
      </x:c>
      <x:c r="G538" s="1">
        <x:v>0.0</x:v>
      </x:c>
      <x:c r="H538" s="1">
        <x:v>0.0</x:v>
      </x:c>
      <x:c r="I538" s="1">
        <x:v>0.0</x:v>
      </x:c>
      <x:c r="J538" s="1">
        <x:v>0.4</x:v>
      </x:c>
      <x:c r="K538" s="18">
        <x:f t="shared" si="1"/>
        <x:v>0</x:v>
      </x:c>
      <x:c r="L538" s="18">
        <x:f t="shared" si="2"/>
        <x:v>0</x:v>
      </x:c>
      <x:c r="M538" s="121"/>
      <x:c r="N538" s="121"/>
      <x:c r="O538" s="121"/>
      <x:c r="P538" s="9"/>
      <x:c r="Q538" s="9"/>
      <x:c r="R538" s="9"/>
      <x:c r="S538" s="9"/>
      <x:c r="T538" s="9"/>
      <x:c r="U538" s="9"/>
      <x:c r="V538" s="9"/>
      <x:c r="W538" s="9"/>
      <x:c r="X538" s="9"/>
      <x:c r="Y538" s="9"/>
      <x:c r="Z538" s="9"/>
    </x:row>
    <x:row r="539" ht="14.25" customHeight="1">
      <x:c r="B539" s="1" t="s">
        <x:v>489</x:v>
      </x:c>
      <x:c r="C539" s="1">
        <x:v>0.0</x:v>
      </x:c>
      <x:c r="D539" s="1">
        <x:v>0.0</x:v>
      </x:c>
      <x:c r="E539" s="1">
        <x:v>0.0</x:v>
      </x:c>
      <x:c r="F539" s="1">
        <x:v>0.0</x:v>
      </x:c>
      <x:c r="G539" s="1">
        <x:v>0.0</x:v>
      </x:c>
      <x:c r="H539" s="1">
        <x:v>0.0</x:v>
      </x:c>
      <x:c r="I539" s="1">
        <x:v>0.0</x:v>
      </x:c>
      <x:c r="J539" s="1">
        <x:v>0.4</x:v>
      </x:c>
      <x:c r="K539" s="18">
        <x:f t="shared" si="1"/>
        <x:v>0</x:v>
      </x:c>
      <x:c r="L539" s="18">
        <x:f t="shared" si="2"/>
        <x:v>0</x:v>
      </x:c>
      <x:c r="M539" s="121"/>
      <x:c r="N539" s="121"/>
      <x:c r="O539" s="121"/>
      <x:c r="P539" s="9"/>
      <x:c r="Q539" s="9"/>
      <x:c r="R539" s="9"/>
      <x:c r="S539" s="9"/>
      <x:c r="T539" s="9"/>
      <x:c r="U539" s="9"/>
      <x:c r="V539" s="9"/>
      <x:c r="W539" s="9"/>
      <x:c r="X539" s="9"/>
      <x:c r="Y539" s="9"/>
      <x:c r="Z539" s="9"/>
    </x:row>
    <x:row r="540" ht="14.25" customHeight="1">
      <x:c r="A540" s="1" t="s">
        <x:v>912</x:v>
      </x:c>
      <x:c r="B540" s="1" t="s">
        <x:v>503</x:v>
      </x:c>
      <x:c r="C540" s="1">
        <x:v>0.0</x:v>
      </x:c>
      <x:c r="D540" s="1">
        <x:v>0.0</x:v>
      </x:c>
      <x:c r="E540" s="1">
        <x:v>0.0</x:v>
      </x:c>
      <x:c r="F540" s="1">
        <x:v>0.0</x:v>
      </x:c>
      <x:c r="G540" s="1">
        <x:v>0.0</x:v>
      </x:c>
      <x:c r="H540" s="1">
        <x:v>0.0</x:v>
      </x:c>
      <x:c r="I540" s="1">
        <x:v>0.0</x:v>
      </x:c>
      <x:c r="J540" s="1">
        <x:v>0.0</x:v>
      </x:c>
      <x:c r="K540" s="18">
        <x:f t="shared" si="1"/>
        <x:v>0</x:v>
      </x:c>
      <x:c r="L540" s="18">
        <x:f t="shared" si="2"/>
        <x:v>0</x:v>
      </x:c>
      <x:c r="M540" s="119" t="n">
        <x:f>C542*Scoring!$B$34+D542/Scoring!$C$34+E542*Scoring!$D$34+WR!F542*Scoring!$E$34+WR!G542/Scoring!$F$34+WR!H542*Scoring!$G$34+WR!I542*Scoring!$H$34+K542*Scoring!$I$34+WR!L542*Scoring!$J$34+U540</x:f>
        <x:v>0</x:v>
      </x:c>
      <x:c r="N540" s="119" t="n">
        <x:f>C540*Scoring!$B$34+D540/Scoring!$C$34+E540*Scoring!$D$34+WR!F540*Scoring!$E$34+WR!G540/Scoring!$F$34+WR!H540*Scoring!$G$34+WR!I540*Scoring!$H$34+K540*Scoring!$I$34+WR!L540*Scoring!$J$34+U540</x:f>
        <x:v>0</x:v>
      </x:c>
      <x:c r="O540" s="119" t="n">
        <x:f>C541*Scoring!$B$34+D541/Scoring!$C$34+E541*Scoring!$D$34+WR!F541*Scoring!$E$34+WR!G541/Scoring!$F$34+WR!H541*Scoring!$G$34+WR!I541*Scoring!$H$34+K541*Scoring!$I$34+WR!L541*Scoring!$J$34+U540</x:f>
        <x:v>0</x:v>
      </x:c>
      <x:c r="P540" s="9" t="n">
        <x:f>IF(COUNTIF(Rookies!$A:$A,A540)&gt;0,1,0)</x:f>
        <x:v>0</x:v>
      </x:c>
      <x:c r="Q540" s="9"/>
      <x:c r="R540" s="9"/>
      <x:c r="S540" s="9" t="n">
        <x:f>V540/17</x:f>
        <x:v>0</x:v>
      </x:c>
      <x:c r="T540" s="9" t="n">
        <x:f>IF(P540=1,MAX(0,0.28*(12-S540)),0)</x:f>
        <x:v>0</x:v>
      </x:c>
      <x:c r="U540" s="9" t="n">
        <x:f>T540*17</x:f>
        <x:v>0</x:v>
      </x:c>
      <x:c r="V540" s="9" t="n">
        <x:f>C540*Scoring!$B$34+D540/Scoring!$C$34+E540*Scoring!$D$34+WR!F540*Scoring!$E$34+WR!G540/Scoring!$F$34+WR!H540*Scoring!$G$34+WR!I540*Scoring!$H$34+K540*Scoring!$I$34+WR!L540*Scoring!$J$34</x:f>
        <x:v>0</x:v>
      </x:c>
      <x:c r="W540" s="9"/>
      <x:c r="X540" s="9"/>
      <x:c r="Y540" s="9"/>
      <x:c r="Z540" s="9"/>
    </x:row>
    <x:row r="541" ht="14.25" customHeight="1">
      <x:c r="B541" s="1" t="s">
        <x:v>488</x:v>
      </x:c>
      <x:c r="C541" s="1">
        <x:v>0.0</x:v>
      </x:c>
      <x:c r="D541" s="1">
        <x:v>0.0</x:v>
      </x:c>
      <x:c r="E541" s="1">
        <x:v>0.0</x:v>
      </x:c>
      <x:c r="F541" s="1">
        <x:v>0.0</x:v>
      </x:c>
      <x:c r="G541" s="1">
        <x:v>0.0</x:v>
      </x:c>
      <x:c r="H541" s="1">
        <x:v>0.0</x:v>
      </x:c>
      <x:c r="I541" s="1">
        <x:v>0.0</x:v>
      </x:c>
      <x:c r="J541" s="1">
        <x:v>1.1</x:v>
      </x:c>
      <x:c r="K541" s="18">
        <x:f t="shared" si="1"/>
        <x:v>0</x:v>
      </x:c>
      <x:c r="L541" s="18">
        <x:f t="shared" si="2"/>
        <x:v>0</x:v>
      </x:c>
      <x:c r="M541" s="121"/>
      <x:c r="N541" s="121"/>
      <x:c r="O541" s="121"/>
      <x:c r="P541" s="9"/>
      <x:c r="Q541" s="9"/>
      <x:c r="R541" s="9"/>
      <x:c r="S541" s="9"/>
      <x:c r="T541" s="9"/>
      <x:c r="U541" s="9"/>
      <x:c r="V541" s="9"/>
      <x:c r="W541" s="9"/>
      <x:c r="X541" s="9"/>
      <x:c r="Y541" s="9"/>
      <x:c r="Z541" s="9"/>
    </x:row>
    <x:row r="542" ht="14.25" customHeight="1">
      <x:c r="B542" s="1" t="s">
        <x:v>489</x:v>
      </x:c>
      <x:c r="C542" s="1">
        <x:v>0.0</x:v>
      </x:c>
      <x:c r="D542" s="1">
        <x:v>0.0</x:v>
      </x:c>
      <x:c r="E542" s="1">
        <x:v>0.0</x:v>
      </x:c>
      <x:c r="F542" s="1">
        <x:v>0.0</x:v>
      </x:c>
      <x:c r="G542" s="1">
        <x:v>0.0</x:v>
      </x:c>
      <x:c r="H542" s="1">
        <x:v>0.0</x:v>
      </x:c>
      <x:c r="I542" s="1">
        <x:v>0.0</x:v>
      </x:c>
      <x:c r="J542" s="1">
        <x:v>1.1</x:v>
      </x:c>
      <x:c r="K542" s="18">
        <x:f t="shared" si="1"/>
        <x:v>0</x:v>
      </x:c>
      <x:c r="L542" s="18">
        <x:f t="shared" si="2"/>
        <x:v>0</x:v>
      </x:c>
      <x:c r="M542" s="121"/>
      <x:c r="N542" s="121"/>
      <x:c r="O542" s="121"/>
      <x:c r="P542" s="9"/>
      <x:c r="Q542" s="9"/>
      <x:c r="R542" s="9"/>
      <x:c r="S542" s="9"/>
      <x:c r="T542" s="9"/>
      <x:c r="U542" s="9"/>
      <x:c r="V542" s="9"/>
      <x:c r="W542" s="9"/>
      <x:c r="X542" s="9"/>
      <x:c r="Y542" s="9"/>
      <x:c r="Z542" s="9"/>
    </x:row>
    <x:row r="543" ht="14.25" customHeight="1">
      <x:c r="A543" s="1" t="s">
        <x:v>913</x:v>
      </x:c>
      <x:c r="B543" s="1" t="s">
        <x:v>499</x:v>
      </x:c>
      <x:c r="C543" s="1">
        <x:v>0.0</x:v>
      </x:c>
      <x:c r="D543" s="1">
        <x:v>0.0</x:v>
      </x:c>
      <x:c r="E543" s="1">
        <x:v>0.0</x:v>
      </x:c>
      <x:c r="F543" s="1">
        <x:v>0.0</x:v>
      </x:c>
      <x:c r="G543" s="1">
        <x:v>0.0</x:v>
      </x:c>
      <x:c r="H543" s="1">
        <x:v>0.0</x:v>
      </x:c>
      <x:c r="I543" s="1">
        <x:v>0.0</x:v>
      </x:c>
      <x:c r="J543" s="1">
        <x:v>0.0</x:v>
      </x:c>
      <x:c r="K543" s="18">
        <x:f t="shared" si="1"/>
        <x:v>0</x:v>
      </x:c>
      <x:c r="L543" s="18">
        <x:f t="shared" si="2"/>
        <x:v>0</x:v>
      </x:c>
      <x:c r="M543" s="119" t="n">
        <x:f>C545*Scoring!$B$34+D545/Scoring!$C$34+E545*Scoring!$D$34+WR!F545*Scoring!$E$34+WR!G545/Scoring!$F$34+WR!H545*Scoring!$G$34+WR!I545*Scoring!$H$34+K545*Scoring!$I$34+WR!L545*Scoring!$J$34+U543</x:f>
        <x:v>0</x:v>
      </x:c>
      <x:c r="N543" s="119" t="n">
        <x:f>C543*Scoring!$B$34+D543/Scoring!$C$34+E543*Scoring!$D$34+WR!F543*Scoring!$E$34+WR!G543/Scoring!$F$34+WR!H543*Scoring!$G$34+WR!I543*Scoring!$H$34+K543*Scoring!$I$34+WR!L543*Scoring!$J$34+U543</x:f>
        <x:v>0</x:v>
      </x:c>
      <x:c r="O543" s="119" t="n">
        <x:f>C544*Scoring!$B$34+D544/Scoring!$C$34+E544*Scoring!$D$34+WR!F544*Scoring!$E$34+WR!G544/Scoring!$F$34+WR!H544*Scoring!$G$34+WR!I544*Scoring!$H$34+K544*Scoring!$I$34+WR!L544*Scoring!$J$34+U543</x:f>
        <x:v>0</x:v>
      </x:c>
      <x:c r="P543" s="9" t="n">
        <x:f>IF(COUNTIF(Rookies!$A:$A,A543)&gt;0,1,0)</x:f>
        <x:v>0</x:v>
      </x:c>
      <x:c r="Q543" s="9"/>
      <x:c r="R543" s="9"/>
      <x:c r="S543" s="9" t="n">
        <x:f>V543/17</x:f>
        <x:v>0</x:v>
      </x:c>
      <x:c r="T543" s="9" t="n">
        <x:f>IF(P543=1,MAX(0,0.28*(12-S543)),0)</x:f>
        <x:v>0</x:v>
      </x:c>
      <x:c r="U543" s="9" t="n">
        <x:f>T543*17</x:f>
        <x:v>0</x:v>
      </x:c>
      <x:c r="V543" s="9" t="n">
        <x:f>C543*Scoring!$B$34+D543/Scoring!$C$34+E543*Scoring!$D$34+WR!F543*Scoring!$E$34+WR!G543/Scoring!$F$34+WR!H543*Scoring!$G$34+WR!I543*Scoring!$H$34+K543*Scoring!$I$34+WR!L543*Scoring!$J$34</x:f>
        <x:v>0</x:v>
      </x:c>
      <x:c r="W543" s="9"/>
      <x:c r="X543" s="9"/>
      <x:c r="Y543" s="9"/>
      <x:c r="Z543" s="9"/>
    </x:row>
    <x:row r="544" ht="14.25" customHeight="1">
      <x:c r="B544" s="1" t="s">
        <x:v>488</x:v>
      </x:c>
      <x:c r="C544" s="1">
        <x:v>0.0</x:v>
      </x:c>
      <x:c r="D544" s="1">
        <x:v>0.0</x:v>
      </x:c>
      <x:c r="E544" s="1">
        <x:v>0.0</x:v>
      </x:c>
      <x:c r="F544" s="1">
        <x:v>0.0</x:v>
      </x:c>
      <x:c r="G544" s="1">
        <x:v>0.0</x:v>
      </x:c>
      <x:c r="H544" s="1">
        <x:v>0.0</x:v>
      </x:c>
      <x:c r="I544" s="1">
        <x:v>0.0</x:v>
      </x:c>
      <x:c r="J544" s="1">
        <x:v>2.5</x:v>
      </x:c>
      <x:c r="K544" s="18">
        <x:f t="shared" si="1"/>
        <x:v>0</x:v>
      </x:c>
      <x:c r="L544" s="18">
        <x:f t="shared" si="2"/>
        <x:v>0</x:v>
      </x:c>
      <x:c r="M544" s="121"/>
      <x:c r="N544" s="121"/>
      <x:c r="O544" s="121"/>
      <x:c r="P544" s="9"/>
      <x:c r="Q544" s="9"/>
      <x:c r="R544" s="9"/>
      <x:c r="S544" s="9"/>
      <x:c r="T544" s="9"/>
      <x:c r="U544" s="9"/>
      <x:c r="V544" s="9"/>
      <x:c r="W544" s="9"/>
      <x:c r="X544" s="9"/>
      <x:c r="Y544" s="9"/>
      <x:c r="Z544" s="9"/>
    </x:row>
    <x:row r="545" ht="14.25" customHeight="1">
      <x:c r="B545" s="1" t="s">
        <x:v>489</x:v>
      </x:c>
      <x:c r="C545" s="1">
        <x:v>0.0</x:v>
      </x:c>
      <x:c r="D545" s="1">
        <x:v>0.0</x:v>
      </x:c>
      <x:c r="E545" s="1">
        <x:v>0.0</x:v>
      </x:c>
      <x:c r="F545" s="1">
        <x:v>0.0</x:v>
      </x:c>
      <x:c r="G545" s="1">
        <x:v>0.0</x:v>
      </x:c>
      <x:c r="H545" s="1">
        <x:v>0.0</x:v>
      </x:c>
      <x:c r="I545" s="1">
        <x:v>0.0</x:v>
      </x:c>
      <x:c r="J545" s="1">
        <x:v>2.5</x:v>
      </x:c>
      <x:c r="K545" s="18">
        <x:f t="shared" si="1"/>
        <x:v>0</x:v>
      </x:c>
      <x:c r="L545" s="18">
        <x:f t="shared" si="2"/>
        <x:v>0</x:v>
      </x:c>
      <x:c r="M545" s="121"/>
      <x:c r="N545" s="121"/>
      <x:c r="O545" s="121"/>
      <x:c r="P545" s="9"/>
      <x:c r="Q545" s="9"/>
      <x:c r="R545" s="9"/>
      <x:c r="S545" s="9"/>
      <x:c r="T545" s="9"/>
      <x:c r="U545" s="9"/>
      <x:c r="V545" s="9"/>
      <x:c r="W545" s="9"/>
      <x:c r="X545" s="9"/>
      <x:c r="Y545" s="9"/>
      <x:c r="Z545" s="9"/>
    </x:row>
    <x:row r="546" ht="14.25" customHeight="1">
      <x:c r="A546" s="1" t="s">
        <x:v>914</x:v>
      </x:c>
      <x:c r="B546" s="1" t="s">
        <x:v>543</x:v>
      </x:c>
      <x:c r="C546" s="1">
        <x:v>0.0</x:v>
      </x:c>
      <x:c r="D546" s="1">
        <x:v>0.0</x:v>
      </x:c>
      <x:c r="E546" s="1">
        <x:v>0.0</x:v>
      </x:c>
      <x:c r="F546" s="1">
        <x:v>0.0</x:v>
      </x:c>
      <x:c r="G546" s="1">
        <x:v>0.0</x:v>
      </x:c>
      <x:c r="H546" s="1">
        <x:v>0.0</x:v>
      </x:c>
      <x:c r="I546" s="1">
        <x:v>0.0</x:v>
      </x:c>
      <x:c r="J546" s="1">
        <x:v>0.0</x:v>
      </x:c>
      <x:c r="K546" s="18">
        <x:f t="shared" si="1"/>
        <x:v>0</x:v>
      </x:c>
      <x:c r="L546" s="18">
        <x:f t="shared" si="2"/>
        <x:v>0</x:v>
      </x:c>
      <x:c r="M546" s="119" t="n">
        <x:f>C548*Scoring!$B$34+D548/Scoring!$C$34+E548*Scoring!$D$34+WR!F548*Scoring!$E$34+WR!G548/Scoring!$F$34+WR!H548*Scoring!$G$34+WR!I548*Scoring!$H$34+K548*Scoring!$I$34+WR!L548*Scoring!$J$34+U546</x:f>
        <x:v>0</x:v>
      </x:c>
      <x:c r="N546" s="119" t="n">
        <x:f>C546*Scoring!$B$34+D546/Scoring!$C$34+E546*Scoring!$D$34+WR!F546*Scoring!$E$34+WR!G546/Scoring!$F$34+WR!H546*Scoring!$G$34+WR!I546*Scoring!$H$34+K546*Scoring!$I$34+WR!L546*Scoring!$J$34+U546</x:f>
        <x:v>0</x:v>
      </x:c>
      <x:c r="O546" s="119" t="n">
        <x:f>C547*Scoring!$B$34+D547/Scoring!$C$34+E547*Scoring!$D$34+WR!F547*Scoring!$E$34+WR!G547/Scoring!$F$34+WR!H547*Scoring!$G$34+WR!I547*Scoring!$H$34+K547*Scoring!$I$34+WR!L547*Scoring!$J$34+U546</x:f>
        <x:v>0</x:v>
      </x:c>
      <x:c r="P546" s="9" t="n">
        <x:f>IF(COUNTIF(Rookies!$A:$A,A546)&gt;0,1,0)</x:f>
        <x:v>0</x:v>
      </x:c>
      <x:c r="Q546" s="9"/>
      <x:c r="R546" s="9"/>
      <x:c r="S546" s="9" t="n">
        <x:f>V546/17</x:f>
        <x:v>0</x:v>
      </x:c>
      <x:c r="T546" s="9" t="n">
        <x:f>IF(P546=1,MAX(0,0.28*(12-S546)),0)</x:f>
        <x:v>0</x:v>
      </x:c>
      <x:c r="U546" s="9" t="n">
        <x:f>T546*17</x:f>
        <x:v>0</x:v>
      </x:c>
      <x:c r="V546" s="9" t="n">
        <x:f>C546*Scoring!$B$34+D546/Scoring!$C$34+E546*Scoring!$D$34+WR!F546*Scoring!$E$34+WR!G546/Scoring!$F$34+WR!H546*Scoring!$G$34+WR!I546*Scoring!$H$34+K546*Scoring!$I$34+WR!L546*Scoring!$J$34</x:f>
        <x:v>0</x:v>
      </x:c>
      <x:c r="W546" s="9"/>
      <x:c r="X546" s="9"/>
      <x:c r="Y546" s="9"/>
      <x:c r="Z546" s="9"/>
    </x:row>
    <x:row r="547" ht="14.25" customHeight="1">
      <x:c r="B547" s="1" t="s">
        <x:v>488</x:v>
      </x:c>
      <x:c r="C547" s="1">
        <x:v>0.0</x:v>
      </x:c>
      <x:c r="D547" s="1">
        <x:v>0.0</x:v>
      </x:c>
      <x:c r="E547" s="1">
        <x:v>0.0</x:v>
      </x:c>
      <x:c r="F547" s="1">
        <x:v>0.0</x:v>
      </x:c>
      <x:c r="G547" s="1">
        <x:v>0.0</x:v>
      </x:c>
      <x:c r="H547" s="1">
        <x:v>0.0</x:v>
      </x:c>
      <x:c r="I547" s="1">
        <x:v>0.0</x:v>
      </x:c>
      <x:c r="J547" s="1">
        <x:v>0.3</x:v>
      </x:c>
      <x:c r="K547" s="18">
        <x:f t="shared" si="1"/>
        <x:v>0</x:v>
      </x:c>
      <x:c r="L547" s="18">
        <x:f t="shared" si="2"/>
        <x:v>0</x:v>
      </x:c>
      <x:c r="M547" s="121"/>
      <x:c r="N547" s="121"/>
      <x:c r="O547" s="121"/>
      <x:c r="P547" s="9"/>
      <x:c r="Q547" s="9"/>
      <x:c r="R547" s="9"/>
      <x:c r="S547" s="9"/>
      <x:c r="T547" s="9"/>
      <x:c r="U547" s="9"/>
      <x:c r="V547" s="9"/>
      <x:c r="W547" s="9"/>
      <x:c r="X547" s="9"/>
      <x:c r="Y547" s="9"/>
      <x:c r="Z547" s="9"/>
    </x:row>
    <x:row r="548" ht="14.25" customHeight="1">
      <x:c r="B548" s="1" t="s">
        <x:v>489</x:v>
      </x:c>
      <x:c r="C548" s="1">
        <x:v>0.0</x:v>
      </x:c>
      <x:c r="D548" s="1">
        <x:v>0.0</x:v>
      </x:c>
      <x:c r="E548" s="1">
        <x:v>0.0</x:v>
      </x:c>
      <x:c r="F548" s="1">
        <x:v>0.0</x:v>
      </x:c>
      <x:c r="G548" s="1">
        <x:v>0.0</x:v>
      </x:c>
      <x:c r="H548" s="1">
        <x:v>0.0</x:v>
      </x:c>
      <x:c r="I548" s="1">
        <x:v>0.0</x:v>
      </x:c>
      <x:c r="J548" s="1">
        <x:v>0.3</x:v>
      </x:c>
      <x:c r="K548" s="18">
        <x:f t="shared" si="1"/>
        <x:v>0</x:v>
      </x:c>
      <x:c r="L548" s="18">
        <x:f t="shared" si="2"/>
        <x:v>0</x:v>
      </x:c>
      <x:c r="M548" s="121"/>
      <x:c r="N548" s="121"/>
      <x:c r="O548" s="121"/>
      <x:c r="P548" s="9"/>
      <x:c r="Q548" s="9"/>
      <x:c r="R548" s="9"/>
      <x:c r="S548" s="9"/>
      <x:c r="T548" s="9"/>
      <x:c r="U548" s="9"/>
      <x:c r="V548" s="9"/>
      <x:c r="W548" s="9"/>
      <x:c r="X548" s="9"/>
      <x:c r="Y548" s="9"/>
      <x:c r="Z548" s="9"/>
    </x:row>
    <x:row r="549" ht="14.25" customHeight="1">
      <x:c r="A549" s="1" t="s">
        <x:v>915</x:v>
      </x:c>
      <x:c r="B549" s="1" t="s">
        <x:v>509</x:v>
      </x:c>
      <x:c r="C549" s="1">
        <x:v>0.0</x:v>
      </x:c>
      <x:c r="D549" s="1">
        <x:v>0.0</x:v>
      </x:c>
      <x:c r="E549" s="1">
        <x:v>0.0</x:v>
      </x:c>
      <x:c r="F549" s="1">
        <x:v>0.0</x:v>
      </x:c>
      <x:c r="G549" s="1">
        <x:v>0.0</x:v>
      </x:c>
      <x:c r="H549" s="1">
        <x:v>0.0</x:v>
      </x:c>
      <x:c r="I549" s="1">
        <x:v>0.0</x:v>
      </x:c>
      <x:c r="J549" s="1">
        <x:v>0.0</x:v>
      </x:c>
      <x:c r="K549" s="18">
        <x:f t="shared" si="1"/>
        <x:v>0</x:v>
      </x:c>
      <x:c r="L549" s="18">
        <x:f t="shared" si="2"/>
        <x:v>0</x:v>
      </x:c>
      <x:c r="M549" s="119" t="n">
        <x:f>C551*Scoring!$B$34+D551/Scoring!$C$34+E551*Scoring!$D$34+WR!F551*Scoring!$E$34+WR!G551/Scoring!$F$34+WR!H551*Scoring!$G$34+WR!I551*Scoring!$H$34+K551*Scoring!$I$34+WR!L551*Scoring!$J$34+U549</x:f>
        <x:v>0</x:v>
      </x:c>
      <x:c r="N549" s="119" t="n">
        <x:f>C549*Scoring!$B$34+D549/Scoring!$C$34+E549*Scoring!$D$34+WR!F549*Scoring!$E$34+WR!G549/Scoring!$F$34+WR!H549*Scoring!$G$34+WR!I549*Scoring!$H$34+K549*Scoring!$I$34+WR!L549*Scoring!$J$34+U549</x:f>
        <x:v>0</x:v>
      </x:c>
      <x:c r="O549" s="119" t="n">
        <x:f>C550*Scoring!$B$34+D550/Scoring!$C$34+E550*Scoring!$D$34+WR!F550*Scoring!$E$34+WR!G550/Scoring!$F$34+WR!H550*Scoring!$G$34+WR!I550*Scoring!$H$34+K550*Scoring!$I$34+WR!L550*Scoring!$J$34+U549</x:f>
        <x:v>0</x:v>
      </x:c>
      <x:c r="P549" s="9" t="n">
        <x:f>IF(COUNTIF(Rookies!$A:$A,A549)&gt;0,1,0)</x:f>
        <x:v>0</x:v>
      </x:c>
      <x:c r="Q549" s="9"/>
      <x:c r="R549" s="9"/>
      <x:c r="S549" s="9" t="n">
        <x:f>V549/17</x:f>
        <x:v>0</x:v>
      </x:c>
      <x:c r="T549" s="9" t="n">
        <x:f>IF(P549=1,MAX(0,0.28*(12-S549)),0)</x:f>
        <x:v>0</x:v>
      </x:c>
      <x:c r="U549" s="9" t="n">
        <x:f>T549*17</x:f>
        <x:v>0</x:v>
      </x:c>
      <x:c r="V549" s="9" t="n">
        <x:f>C549*Scoring!$B$34+D549/Scoring!$C$34+E549*Scoring!$D$34+WR!F549*Scoring!$E$34+WR!G549/Scoring!$F$34+WR!H549*Scoring!$G$34+WR!I549*Scoring!$H$34+K549*Scoring!$I$34+WR!L549*Scoring!$J$34</x:f>
        <x:v>0</x:v>
      </x:c>
      <x:c r="W549" s="9"/>
      <x:c r="X549" s="9"/>
      <x:c r="Y549" s="9"/>
      <x:c r="Z549" s="9"/>
    </x:row>
    <x:row r="550" ht="14.25" customHeight="1">
      <x:c r="B550" s="1" t="s">
        <x:v>488</x:v>
      </x:c>
      <x:c r="C550" s="1">
        <x:v>0.0</x:v>
      </x:c>
      <x:c r="D550" s="1">
        <x:v>0.0</x:v>
      </x:c>
      <x:c r="E550" s="1">
        <x:v>0.0</x:v>
      </x:c>
      <x:c r="F550" s="1">
        <x:v>0.0</x:v>
      </x:c>
      <x:c r="G550" s="1">
        <x:v>0.0</x:v>
      </x:c>
      <x:c r="H550" s="1">
        <x:v>0.0</x:v>
      </x:c>
      <x:c r="I550" s="1">
        <x:v>0.0</x:v>
      </x:c>
      <x:c r="J550" s="1">
        <x:v>1.4</x:v>
      </x:c>
      <x:c r="K550" s="18">
        <x:f t="shared" si="1"/>
        <x:v>0</x:v>
      </x:c>
      <x:c r="L550" s="18">
        <x:f t="shared" si="2"/>
        <x:v>0</x:v>
      </x:c>
      <x:c r="M550" s="121"/>
      <x:c r="N550" s="121"/>
      <x:c r="O550" s="121"/>
      <x:c r="P550" s="9"/>
      <x:c r="Q550" s="9"/>
      <x:c r="R550" s="9"/>
      <x:c r="S550" s="9"/>
      <x:c r="T550" s="9"/>
      <x:c r="U550" s="9"/>
      <x:c r="V550" s="9"/>
      <x:c r="W550" s="9"/>
      <x:c r="X550" s="9"/>
      <x:c r="Y550" s="9"/>
      <x:c r="Z550" s="9"/>
    </x:row>
    <x:row r="551" ht="14.25" customHeight="1">
      <x:c r="B551" s="1" t="s">
        <x:v>489</x:v>
      </x:c>
      <x:c r="C551" s="1">
        <x:v>0.0</x:v>
      </x:c>
      <x:c r="D551" s="1">
        <x:v>0.0</x:v>
      </x:c>
      <x:c r="E551" s="1">
        <x:v>0.0</x:v>
      </x:c>
      <x:c r="F551" s="1">
        <x:v>0.0</x:v>
      </x:c>
      <x:c r="G551" s="1">
        <x:v>0.0</x:v>
      </x:c>
      <x:c r="H551" s="1">
        <x:v>0.0</x:v>
      </x:c>
      <x:c r="I551" s="1">
        <x:v>0.0</x:v>
      </x:c>
      <x:c r="J551" s="1">
        <x:v>1.4</x:v>
      </x:c>
      <x:c r="K551" s="18">
        <x:f t="shared" si="1"/>
        <x:v>0</x:v>
      </x:c>
      <x:c r="L551" s="18">
        <x:f t="shared" si="2"/>
        <x:v>0</x:v>
      </x:c>
      <x:c r="M551" s="121"/>
      <x:c r="N551" s="121"/>
      <x:c r="O551" s="121"/>
      <x:c r="P551" s="9"/>
      <x:c r="Q551" s="9"/>
      <x:c r="R551" s="9"/>
      <x:c r="S551" s="9"/>
      <x:c r="T551" s="9"/>
      <x:c r="U551" s="9"/>
      <x:c r="V551" s="9"/>
      <x:c r="W551" s="9"/>
      <x:c r="X551" s="9"/>
      <x:c r="Y551" s="9"/>
      <x:c r="Z551" s="9"/>
    </x:row>
    <x:row r="552" ht="14.25" customHeight="1">
      <x:c r="A552" s="1" t="s">
        <x:v>916</x:v>
      </x:c>
      <x:c r="B552" s="1" t="s">
        <x:v>527</x:v>
      </x:c>
      <x:c r="C552" s="1">
        <x:v>0.0</x:v>
      </x:c>
      <x:c r="D552" s="1">
        <x:v>0.0</x:v>
      </x:c>
      <x:c r="E552" s="1">
        <x:v>0.0</x:v>
      </x:c>
      <x:c r="F552" s="1">
        <x:v>0.0</x:v>
      </x:c>
      <x:c r="G552" s="1">
        <x:v>0.0</x:v>
      </x:c>
      <x:c r="H552" s="1">
        <x:v>0.0</x:v>
      </x:c>
      <x:c r="I552" s="1">
        <x:v>0.0</x:v>
      </x:c>
      <x:c r="J552" s="1">
        <x:v>0.0</x:v>
      </x:c>
      <x:c r="K552" s="18">
        <x:f t="shared" si="1"/>
        <x:v>0</x:v>
      </x:c>
      <x:c r="L552" s="18">
        <x:f t="shared" si="2"/>
        <x:v>0</x:v>
      </x:c>
      <x:c r="M552" s="119" t="n">
        <x:f>C554*Scoring!$B$34+D554/Scoring!$C$34+E554*Scoring!$D$34+WR!F554*Scoring!$E$34+WR!G554/Scoring!$F$34+WR!H554*Scoring!$G$34+WR!I554*Scoring!$H$34+K554*Scoring!$I$34+WR!L554*Scoring!$J$34+U552</x:f>
        <x:v>0</x:v>
      </x:c>
      <x:c r="N552" s="119" t="n">
        <x:f>C552*Scoring!$B$34+D552/Scoring!$C$34+E552*Scoring!$D$34+WR!F552*Scoring!$E$34+WR!G552/Scoring!$F$34+WR!H552*Scoring!$G$34+WR!I552*Scoring!$H$34+K552*Scoring!$I$34+WR!L552*Scoring!$J$34+U552</x:f>
        <x:v>0</x:v>
      </x:c>
      <x:c r="O552" s="119" t="n">
        <x:f>C553*Scoring!$B$34+D553/Scoring!$C$34+E553*Scoring!$D$34+WR!F553*Scoring!$E$34+WR!G553/Scoring!$F$34+WR!H553*Scoring!$G$34+WR!I553*Scoring!$H$34+K553*Scoring!$I$34+WR!L553*Scoring!$J$34+U552</x:f>
        <x:v>0</x:v>
      </x:c>
      <x:c r="P552" s="9" t="n">
        <x:f>IF(COUNTIF(Rookies!$A:$A,A552)&gt;0,1,0)</x:f>
        <x:v>0</x:v>
      </x:c>
      <x:c r="Q552" s="9"/>
      <x:c r="R552" s="9"/>
      <x:c r="S552" s="9" t="n">
        <x:f>V552/17</x:f>
        <x:v>0</x:v>
      </x:c>
      <x:c r="T552" s="9" t="n">
        <x:f>IF(P552=1,MAX(0,0.28*(12-S552)),0)</x:f>
        <x:v>0</x:v>
      </x:c>
      <x:c r="U552" s="9" t="n">
        <x:f>T552*17</x:f>
        <x:v>0</x:v>
      </x:c>
      <x:c r="V552" s="9" t="n">
        <x:f>C552*Scoring!$B$34+D552/Scoring!$C$34+E552*Scoring!$D$34+WR!F552*Scoring!$E$34+WR!G552/Scoring!$F$34+WR!H552*Scoring!$G$34+WR!I552*Scoring!$H$34+K552*Scoring!$I$34+WR!L552*Scoring!$J$34</x:f>
        <x:v>0</x:v>
      </x:c>
      <x:c r="W552" s="9"/>
      <x:c r="X552" s="9"/>
      <x:c r="Y552" s="9"/>
      <x:c r="Z552" s="9"/>
    </x:row>
    <x:row r="553" ht="14.25" customHeight="1">
      <x:c r="B553" s="1" t="s">
        <x:v>488</x:v>
      </x:c>
      <x:c r="C553" s="1">
        <x:v>0.0</x:v>
      </x:c>
      <x:c r="D553" s="1">
        <x:v>0.0</x:v>
      </x:c>
      <x:c r="E553" s="1">
        <x:v>0.0</x:v>
      </x:c>
      <x:c r="F553" s="1">
        <x:v>0.0</x:v>
      </x:c>
      <x:c r="G553" s="1">
        <x:v>0.0</x:v>
      </x:c>
      <x:c r="H553" s="1">
        <x:v>0.0</x:v>
      </x:c>
      <x:c r="I553" s="1">
        <x:v>0.0</x:v>
      </x:c>
      <x:c r="J553" s="1">
        <x:v>1.4</x:v>
      </x:c>
      <x:c r="K553" s="18">
        <x:f t="shared" si="1"/>
        <x:v>0</x:v>
      </x:c>
      <x:c r="L553" s="18">
        <x:f t="shared" si="2"/>
        <x:v>0</x:v>
      </x:c>
      <x:c r="M553" s="121"/>
      <x:c r="N553" s="121"/>
      <x:c r="O553" s="121"/>
      <x:c r="P553" s="9"/>
      <x:c r="Q553" s="9"/>
      <x:c r="R553" s="9"/>
      <x:c r="S553" s="9"/>
      <x:c r="T553" s="9"/>
      <x:c r="U553" s="9"/>
      <x:c r="V553" s="9"/>
      <x:c r="W553" s="9"/>
      <x:c r="X553" s="9"/>
      <x:c r="Y553" s="9"/>
      <x:c r="Z553" s="9"/>
    </x:row>
    <x:row r="554" ht="14.25" customHeight="1">
      <x:c r="B554" s="1" t="s">
        <x:v>489</x:v>
      </x:c>
      <x:c r="C554" s="1">
        <x:v>0.0</x:v>
      </x:c>
      <x:c r="D554" s="1">
        <x:v>0.0</x:v>
      </x:c>
      <x:c r="E554" s="1">
        <x:v>0.0</x:v>
      </x:c>
      <x:c r="F554" s="1">
        <x:v>0.0</x:v>
      </x:c>
      <x:c r="G554" s="1">
        <x:v>0.0</x:v>
      </x:c>
      <x:c r="H554" s="1">
        <x:v>0.0</x:v>
      </x:c>
      <x:c r="I554" s="1">
        <x:v>0.0</x:v>
      </x:c>
      <x:c r="J554" s="1">
        <x:v>1.4</x:v>
      </x:c>
      <x:c r="K554" s="18">
        <x:f t="shared" si="1"/>
        <x:v>0</x:v>
      </x:c>
      <x:c r="L554" s="18">
        <x:f t="shared" si="2"/>
        <x:v>0</x:v>
      </x:c>
      <x:c r="M554" s="121"/>
      <x:c r="N554" s="121"/>
      <x:c r="O554" s="121"/>
      <x:c r="P554" s="9"/>
      <x:c r="Q554" s="9"/>
      <x:c r="R554" s="9"/>
      <x:c r="S554" s="9"/>
      <x:c r="T554" s="9"/>
      <x:c r="U554" s="9"/>
      <x:c r="V554" s="9"/>
      <x:c r="W554" s="9"/>
      <x:c r="X554" s="9"/>
      <x:c r="Y554" s="9"/>
      <x:c r="Z554" s="9"/>
    </x:row>
    <x:row r="555" ht="14.25" customHeight="1">
      <x:c r="A555" s="1" t="s">
        <x:v>917</x:v>
      </x:c>
      <x:c r="B555" s="1" t="s">
        <x:v>525</x:v>
      </x:c>
      <x:c r="C555" s="1">
        <x:v>0.0</x:v>
      </x:c>
      <x:c r="D555" s="1">
        <x:v>0.0</x:v>
      </x:c>
      <x:c r="E555" s="1">
        <x:v>0.0</x:v>
      </x:c>
      <x:c r="F555" s="1">
        <x:v>0.0</x:v>
      </x:c>
      <x:c r="G555" s="1">
        <x:v>0.0</x:v>
      </x:c>
      <x:c r="H555" s="1">
        <x:v>0.0</x:v>
      </x:c>
      <x:c r="I555" s="1">
        <x:v>0.0</x:v>
      </x:c>
      <x:c r="J555" s="1">
        <x:v>0.0</x:v>
      </x:c>
      <x:c r="K555" s="18">
        <x:f t="shared" si="1"/>
        <x:v>0</x:v>
      </x:c>
      <x:c r="L555" s="18">
        <x:f t="shared" si="2"/>
        <x:v>0</x:v>
      </x:c>
      <x:c r="M555" s="119" t="n">
        <x:f>C557*Scoring!$B$34+D557/Scoring!$C$34+E557*Scoring!$D$34+WR!F557*Scoring!$E$34+WR!G557/Scoring!$F$34+WR!H557*Scoring!$G$34+WR!I557*Scoring!$H$34+K557*Scoring!$I$34+WR!L557*Scoring!$J$34+U555</x:f>
        <x:v>0</x:v>
      </x:c>
      <x:c r="N555" s="119" t="n">
        <x:f>C555*Scoring!$B$34+D555/Scoring!$C$34+E555*Scoring!$D$34+WR!F555*Scoring!$E$34+WR!G555/Scoring!$F$34+WR!H555*Scoring!$G$34+WR!I555*Scoring!$H$34+K555*Scoring!$I$34+WR!L555*Scoring!$J$34+U555</x:f>
        <x:v>0</x:v>
      </x:c>
      <x:c r="O555" s="119" t="n">
        <x:f>C556*Scoring!$B$34+D556/Scoring!$C$34+E556*Scoring!$D$34+WR!F556*Scoring!$E$34+WR!G556/Scoring!$F$34+WR!H556*Scoring!$G$34+WR!I556*Scoring!$H$34+K556*Scoring!$I$34+WR!L556*Scoring!$J$34+U555</x:f>
        <x:v>0</x:v>
      </x:c>
      <x:c r="P555" s="9" t="n">
        <x:f>IF(COUNTIF(Rookies!$A:$A,A555)&gt;0,1,0)</x:f>
        <x:v>0</x:v>
      </x:c>
      <x:c r="Q555" s="9"/>
      <x:c r="R555" s="9"/>
      <x:c r="S555" s="9" t="n">
        <x:f>V555/17</x:f>
        <x:v>0</x:v>
      </x:c>
      <x:c r="T555" s="9" t="n">
        <x:f>IF(P555=1,MAX(0,0.28*(12-S555)),0)</x:f>
        <x:v>0</x:v>
      </x:c>
      <x:c r="U555" s="9" t="n">
        <x:f>T555*17</x:f>
        <x:v>0</x:v>
      </x:c>
      <x:c r="V555" s="9" t="n">
        <x:f>C555*Scoring!$B$34+D555/Scoring!$C$34+E555*Scoring!$D$34+WR!F555*Scoring!$E$34+WR!G555/Scoring!$F$34+WR!H555*Scoring!$G$34+WR!I555*Scoring!$H$34+K555*Scoring!$I$34+WR!L555*Scoring!$J$34</x:f>
        <x:v>0</x:v>
      </x:c>
      <x:c r="W555" s="9"/>
      <x:c r="X555" s="9"/>
      <x:c r="Y555" s="9"/>
      <x:c r="Z555" s="9"/>
    </x:row>
    <x:row r="556" ht="14.25" customHeight="1">
      <x:c r="B556" s="1" t="s">
        <x:v>488</x:v>
      </x:c>
      <x:c r="C556" s="1">
        <x:v>0.0</x:v>
      </x:c>
      <x:c r="D556" s="1">
        <x:v>0.0</x:v>
      </x:c>
      <x:c r="E556" s="1">
        <x:v>0.0</x:v>
      </x:c>
      <x:c r="F556" s="1">
        <x:v>0.0</x:v>
      </x:c>
      <x:c r="G556" s="1">
        <x:v>0.0</x:v>
      </x:c>
      <x:c r="H556" s="1">
        <x:v>0.0</x:v>
      </x:c>
      <x:c r="I556" s="1">
        <x:v>0.0</x:v>
      </x:c>
      <x:c r="J556" s="1">
        <x:v>0.1</x:v>
      </x:c>
      <x:c r="K556" s="18">
        <x:f t="shared" si="1"/>
        <x:v>0</x:v>
      </x:c>
      <x:c r="L556" s="18">
        <x:f t="shared" si="2"/>
        <x:v>0</x:v>
      </x:c>
      <x:c r="M556" s="121"/>
      <x:c r="N556" s="121"/>
      <x:c r="O556" s="121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</x:row>
    <x:row r="557" ht="14.25" customHeight="1">
      <x:c r="B557" s="1" t="s">
        <x:v>489</x:v>
      </x:c>
      <x:c r="C557" s="1">
        <x:v>0.0</x:v>
      </x:c>
      <x:c r="D557" s="1">
        <x:v>0.0</x:v>
      </x:c>
      <x:c r="E557" s="1">
        <x:v>0.0</x:v>
      </x:c>
      <x:c r="F557" s="1">
        <x:v>0.0</x:v>
      </x:c>
      <x:c r="G557" s="1">
        <x:v>0.0</x:v>
      </x:c>
      <x:c r="H557" s="1">
        <x:v>0.0</x:v>
      </x:c>
      <x:c r="I557" s="1">
        <x:v>0.0</x:v>
      </x:c>
      <x:c r="J557" s="1">
        <x:v>0.1</x:v>
      </x:c>
      <x:c r="K557" s="18">
        <x:f t="shared" si="1"/>
        <x:v>0</x:v>
      </x:c>
      <x:c r="L557" s="18">
        <x:f t="shared" si="2"/>
        <x:v>0</x:v>
      </x:c>
      <x:c r="M557" s="121"/>
      <x:c r="N557" s="121"/>
      <x:c r="O557" s="121"/>
      <x:c r="P557" s="9"/>
      <x:c r="Q557" s="9"/>
      <x:c r="R557" s="9"/>
      <x:c r="S557" s="9"/>
      <x:c r="T557" s="9"/>
      <x:c r="U557" s="9"/>
      <x:c r="V557" s="9"/>
      <x:c r="W557" s="9"/>
      <x:c r="X557" s="9"/>
      <x:c r="Y557" s="9"/>
      <x:c r="Z557" s="9"/>
    </x:row>
    <x:row r="558" ht="14.25" customHeight="1">
      <x:c r="A558" s="1" t="s">
        <x:v>918</x:v>
      </x:c>
      <x:c r="B558" s="1" t="s">
        <x:v>493</x:v>
      </x:c>
      <x:c r="C558" s="1">
        <x:v>0.0</x:v>
      </x:c>
      <x:c r="D558" s="1">
        <x:v>0.0</x:v>
      </x:c>
      <x:c r="E558" s="1">
        <x:v>0.0</x:v>
      </x:c>
      <x:c r="F558" s="1">
        <x:v>0.0</x:v>
      </x:c>
      <x:c r="G558" s="1">
        <x:v>0.0</x:v>
      </x:c>
      <x:c r="H558" s="1">
        <x:v>0.0</x:v>
      </x:c>
      <x:c r="I558" s="1">
        <x:v>0.0</x:v>
      </x:c>
      <x:c r="J558" s="1">
        <x:v>0.0</x:v>
      </x:c>
      <x:c r="K558" s="18">
        <x:f t="shared" si="1"/>
        <x:v>0</x:v>
      </x:c>
      <x:c r="L558" s="18">
        <x:f t="shared" si="2"/>
        <x:v>0</x:v>
      </x:c>
      <x:c r="M558" s="119" t="n">
        <x:f>C560*Scoring!$B$34+D560/Scoring!$C$34+E560*Scoring!$D$34+WR!F560*Scoring!$E$34+WR!G560/Scoring!$F$34+WR!H560*Scoring!$G$34+WR!I560*Scoring!$H$34+K560*Scoring!$I$34+WR!L560*Scoring!$J$34+U558</x:f>
        <x:v>0</x:v>
      </x:c>
      <x:c r="N558" s="119" t="n">
        <x:f>C558*Scoring!$B$34+D558/Scoring!$C$34+E558*Scoring!$D$34+WR!F558*Scoring!$E$34+WR!G558/Scoring!$F$34+WR!H558*Scoring!$G$34+WR!I558*Scoring!$H$34+K558*Scoring!$I$34+WR!L558*Scoring!$J$34+U558</x:f>
        <x:v>0</x:v>
      </x:c>
      <x:c r="O558" s="119" t="n">
        <x:f>C559*Scoring!$B$34+D559/Scoring!$C$34+E559*Scoring!$D$34+WR!F559*Scoring!$E$34+WR!G559/Scoring!$F$34+WR!H559*Scoring!$G$34+WR!I559*Scoring!$H$34+K559*Scoring!$I$34+WR!L559*Scoring!$J$34+U558</x:f>
        <x:v>0</x:v>
      </x:c>
      <x:c r="P558" s="9" t="n">
        <x:f>IF(COUNTIF(Rookies!$A:$A,A558)&gt;0,1,0)</x:f>
        <x:v>0</x:v>
      </x:c>
      <x:c r="Q558" s="9"/>
      <x:c r="R558" s="9"/>
      <x:c r="S558" s="9" t="n">
        <x:f>V558/17</x:f>
        <x:v>0</x:v>
      </x:c>
      <x:c r="T558" s="9" t="n">
        <x:f>IF(P558=1,MAX(0,0.28*(12-S558)),0)</x:f>
        <x:v>0</x:v>
      </x:c>
      <x:c r="U558" s="9" t="n">
        <x:f>T558*17</x:f>
        <x:v>0</x:v>
      </x:c>
      <x:c r="V558" s="9" t="n">
        <x:f>C558*Scoring!$B$34+D558/Scoring!$C$34+E558*Scoring!$D$34+WR!F558*Scoring!$E$34+WR!G558/Scoring!$F$34+WR!H558*Scoring!$G$34+WR!I558*Scoring!$H$34+K558*Scoring!$I$34+WR!L558*Scoring!$J$34</x:f>
        <x:v>0</x:v>
      </x:c>
      <x:c r="W558" s="9"/>
      <x:c r="X558" s="9"/>
      <x:c r="Y558" s="9"/>
      <x:c r="Z558" s="9"/>
    </x:row>
    <x:row r="559" ht="14.25" customHeight="1">
      <x:c r="B559" s="1" t="s">
        <x:v>488</x:v>
      </x:c>
      <x:c r="C559" s="1">
        <x:v>0.0</x:v>
      </x:c>
      <x:c r="D559" s="1">
        <x:v>0.0</x:v>
      </x:c>
      <x:c r="E559" s="1">
        <x:v>0.0</x:v>
      </x:c>
      <x:c r="F559" s="1">
        <x:v>0.0</x:v>
      </x:c>
      <x:c r="G559" s="1">
        <x:v>0.0</x:v>
      </x:c>
      <x:c r="H559" s="1">
        <x:v>0.0</x:v>
      </x:c>
      <x:c r="I559" s="1">
        <x:v>0.0</x:v>
      </x:c>
      <x:c r="J559" s="1">
        <x:v>0.5</x:v>
      </x:c>
      <x:c r="K559" s="18">
        <x:f t="shared" si="1"/>
        <x:v>0</x:v>
      </x:c>
      <x:c r="L559" s="18">
        <x:f t="shared" si="2"/>
        <x:v>0</x:v>
      </x:c>
      <x:c r="M559" s="121"/>
      <x:c r="N559" s="121"/>
      <x:c r="O559" s="121"/>
      <x:c r="P559" s="9"/>
      <x:c r="Q559" s="9"/>
      <x:c r="R559" s="9"/>
      <x:c r="S559" s="9"/>
      <x:c r="T559" s="9"/>
      <x:c r="U559" s="9"/>
      <x:c r="V559" s="9"/>
      <x:c r="W559" s="9"/>
      <x:c r="X559" s="9"/>
      <x:c r="Y559" s="9"/>
      <x:c r="Z559" s="9"/>
    </x:row>
    <x:row r="560" ht="14.25" customHeight="1">
      <x:c r="B560" s="1" t="s">
        <x:v>489</x:v>
      </x:c>
      <x:c r="C560" s="1">
        <x:v>0.0</x:v>
      </x:c>
      <x:c r="D560" s="1">
        <x:v>0.0</x:v>
      </x:c>
      <x:c r="E560" s="1">
        <x:v>0.0</x:v>
      </x:c>
      <x:c r="F560" s="1">
        <x:v>0.0</x:v>
      </x:c>
      <x:c r="G560" s="1">
        <x:v>0.0</x:v>
      </x:c>
      <x:c r="H560" s="1">
        <x:v>0.0</x:v>
      </x:c>
      <x:c r="I560" s="1">
        <x:v>0.0</x:v>
      </x:c>
      <x:c r="J560" s="1">
        <x:v>0.5</x:v>
      </x:c>
      <x:c r="K560" s="18">
        <x:f t="shared" si="1"/>
        <x:v>0</x:v>
      </x:c>
      <x:c r="L560" s="18">
        <x:f t="shared" si="2"/>
        <x:v>0</x:v>
      </x:c>
      <x:c r="M560" s="121"/>
      <x:c r="N560" s="121"/>
      <x:c r="O560" s="121"/>
      <x:c r="P560" s="9"/>
      <x:c r="Q560" s="9"/>
      <x:c r="R560" s="9"/>
      <x:c r="S560" s="9"/>
      <x:c r="T560" s="9"/>
      <x:c r="U560" s="9"/>
      <x:c r="V560" s="9"/>
      <x:c r="W560" s="9"/>
      <x:c r="X560" s="9"/>
      <x:c r="Y560" s="9"/>
      <x:c r="Z560" s="9"/>
    </x:row>
    <x:row r="561" ht="14.25" customHeight="1">
      <x:c r="A561" s="1" t="s">
        <x:v>919</x:v>
      </x:c>
      <x:c r="B561" s="1" t="s">
        <x:v>491</x:v>
      </x:c>
      <x:c r="C561" s="1">
        <x:v>0.0</x:v>
      </x:c>
      <x:c r="D561" s="1">
        <x:v>0.0</x:v>
      </x:c>
      <x:c r="E561" s="1">
        <x:v>0.0</x:v>
      </x:c>
      <x:c r="F561" s="1">
        <x:v>0.0</x:v>
      </x:c>
      <x:c r="G561" s="1">
        <x:v>0.0</x:v>
      </x:c>
      <x:c r="H561" s="1">
        <x:v>0.0</x:v>
      </x:c>
      <x:c r="I561" s="1">
        <x:v>0.0</x:v>
      </x:c>
      <x:c r="J561" s="1">
        <x:v>0.0</x:v>
      </x:c>
      <x:c r="K561" s="18">
        <x:f t="shared" si="1"/>
        <x:v>0</x:v>
      </x:c>
      <x:c r="L561" s="18">
        <x:f t="shared" si="2"/>
        <x:v>0</x:v>
      </x:c>
      <x:c r="M561" s="119" t="n">
        <x:f>C563*Scoring!$B$34+D563/Scoring!$C$34+E563*Scoring!$D$34+WR!F563*Scoring!$E$34+WR!G563/Scoring!$F$34+WR!H563*Scoring!$G$34+WR!I563*Scoring!$H$34+K563*Scoring!$I$34+WR!L563*Scoring!$J$34+U561</x:f>
        <x:v>0</x:v>
      </x:c>
      <x:c r="N561" s="119" t="n">
        <x:f>C561*Scoring!$B$34+D561/Scoring!$C$34+E561*Scoring!$D$34+WR!F561*Scoring!$E$34+WR!G561/Scoring!$F$34+WR!H561*Scoring!$G$34+WR!I561*Scoring!$H$34+K561*Scoring!$I$34+WR!L561*Scoring!$J$34+U561</x:f>
        <x:v>0</x:v>
      </x:c>
      <x:c r="O561" s="119" t="n">
        <x:f>C562*Scoring!$B$34+D562/Scoring!$C$34+E562*Scoring!$D$34+WR!F562*Scoring!$E$34+WR!G562/Scoring!$F$34+WR!H562*Scoring!$G$34+WR!I562*Scoring!$H$34+K562*Scoring!$I$34+WR!L562*Scoring!$J$34+U561</x:f>
        <x:v>0</x:v>
      </x:c>
      <x:c r="P561" s="9" t="n">
        <x:f>IF(COUNTIF(Rookies!$A:$A,A561)&gt;0,1,0)</x:f>
        <x:v>0</x:v>
      </x:c>
      <x:c r="Q561" s="9"/>
      <x:c r="R561" s="9"/>
      <x:c r="S561" s="9" t="n">
        <x:f>V561/17</x:f>
        <x:v>0</x:v>
      </x:c>
      <x:c r="T561" s="9" t="n">
        <x:f>IF(P561=1,MAX(0,0.28*(12-S561)),0)</x:f>
        <x:v>0</x:v>
      </x:c>
      <x:c r="U561" s="9" t="n">
        <x:f>T561*17</x:f>
        <x:v>0</x:v>
      </x:c>
      <x:c r="V561" s="9" t="n">
        <x:f>C561*Scoring!$B$34+D561/Scoring!$C$34+E561*Scoring!$D$34+WR!F561*Scoring!$E$34+WR!G561/Scoring!$F$34+WR!H561*Scoring!$G$34+WR!I561*Scoring!$H$34+K561*Scoring!$I$34+WR!L561*Scoring!$J$34</x:f>
        <x:v>0</x:v>
      </x:c>
      <x:c r="W561" s="9"/>
      <x:c r="X561" s="9"/>
      <x:c r="Y561" s="9"/>
      <x:c r="Z561" s="9"/>
    </x:row>
    <x:row r="562" ht="14.25" customHeight="1">
      <x:c r="B562" s="1" t="s">
        <x:v>488</x:v>
      </x:c>
      <x:c r="C562" s="1">
        <x:v>0.0</x:v>
      </x:c>
      <x:c r="D562" s="1">
        <x:v>0.0</x:v>
      </x:c>
      <x:c r="E562" s="1">
        <x:v>0.0</x:v>
      </x:c>
      <x:c r="F562" s="1">
        <x:v>0.0</x:v>
      </x:c>
      <x:c r="G562" s="1">
        <x:v>0.0</x:v>
      </x:c>
      <x:c r="H562" s="1">
        <x:v>0.0</x:v>
      </x:c>
      <x:c r="I562" s="1">
        <x:v>0.0</x:v>
      </x:c>
      <x:c r="J562" s="1">
        <x:v>1.9</x:v>
      </x:c>
      <x:c r="K562" s="18">
        <x:f t="shared" si="1"/>
        <x:v>0</x:v>
      </x:c>
      <x:c r="L562" s="18">
        <x:f t="shared" si="2"/>
        <x:v>0</x:v>
      </x:c>
      <x:c r="M562" s="121"/>
      <x:c r="N562" s="121"/>
      <x:c r="O562" s="121"/>
      <x:c r="P562" s="9"/>
      <x:c r="Q562" s="9"/>
      <x:c r="R562" s="9"/>
      <x:c r="S562" s="9"/>
      <x:c r="T562" s="9"/>
      <x:c r="U562" s="9"/>
      <x:c r="V562" s="9"/>
      <x:c r="W562" s="9"/>
      <x:c r="X562" s="9"/>
      <x:c r="Y562" s="9"/>
      <x:c r="Z562" s="9"/>
    </x:row>
    <x:row r="563" ht="14.25" customHeight="1">
      <x:c r="B563" s="1" t="s">
        <x:v>489</x:v>
      </x:c>
      <x:c r="C563" s="1">
        <x:v>0.0</x:v>
      </x:c>
      <x:c r="D563" s="1">
        <x:v>0.0</x:v>
      </x:c>
      <x:c r="E563" s="1">
        <x:v>0.0</x:v>
      </x:c>
      <x:c r="F563" s="1">
        <x:v>0.0</x:v>
      </x:c>
      <x:c r="G563" s="1">
        <x:v>0.0</x:v>
      </x:c>
      <x:c r="H563" s="1">
        <x:v>0.0</x:v>
      </x:c>
      <x:c r="I563" s="1">
        <x:v>0.0</x:v>
      </x:c>
      <x:c r="J563" s="1">
        <x:v>1.9</x:v>
      </x:c>
      <x:c r="K563" s="18">
        <x:f t="shared" si="1"/>
        <x:v>0</x:v>
      </x:c>
      <x:c r="L563" s="18">
        <x:f t="shared" si="2"/>
        <x:v>0</x:v>
      </x:c>
      <x:c r="M563" s="121"/>
      <x:c r="N563" s="121"/>
      <x:c r="O563" s="121"/>
      <x:c r="P563" s="9"/>
      <x:c r="Q563" s="9"/>
      <x:c r="R563" s="9"/>
      <x:c r="S563" s="9"/>
      <x:c r="T563" s="9"/>
      <x:c r="U563" s="9"/>
      <x:c r="V563" s="9"/>
      <x:c r="W563" s="9"/>
      <x:c r="X563" s="9"/>
      <x:c r="Y563" s="9"/>
      <x:c r="Z563" s="9"/>
    </x:row>
    <x:row r="564" ht="14.25" customHeight="1">
      <x:c r="A564" s="1" t="s">
        <x:v>920</x:v>
      </x:c>
      <x:c r="B564" s="1" t="s">
        <x:v>499</x:v>
      </x:c>
      <x:c r="C564" s="1">
        <x:v>0.0</x:v>
      </x:c>
      <x:c r="D564" s="1">
        <x:v>0.0</x:v>
      </x:c>
      <x:c r="E564" s="1">
        <x:v>0.0</x:v>
      </x:c>
      <x:c r="F564" s="1">
        <x:v>0.0</x:v>
      </x:c>
      <x:c r="G564" s="1">
        <x:v>0.0</x:v>
      </x:c>
      <x:c r="H564" s="1">
        <x:v>0.0</x:v>
      </x:c>
      <x:c r="I564" s="1">
        <x:v>0.0</x:v>
      </x:c>
      <x:c r="J564" s="1">
        <x:v>0.0</x:v>
      </x:c>
      <x:c r="K564" s="18">
        <x:f t="shared" si="1"/>
        <x:v>0</x:v>
      </x:c>
      <x:c r="L564" s="18">
        <x:f t="shared" si="2"/>
        <x:v>0</x:v>
      </x:c>
      <x:c r="M564" s="119" t="n">
        <x:f>C566*Scoring!$B$34+D566/Scoring!$C$34+E566*Scoring!$D$34+WR!F566*Scoring!$E$34+WR!G566/Scoring!$F$34+WR!H566*Scoring!$G$34+WR!I566*Scoring!$H$34+K566*Scoring!$I$34+WR!L566*Scoring!$J$34+U564</x:f>
        <x:v>0</x:v>
      </x:c>
      <x:c r="N564" s="119" t="n">
        <x:f>C564*Scoring!$B$34+D564/Scoring!$C$34+E564*Scoring!$D$34+WR!F564*Scoring!$E$34+WR!G564/Scoring!$F$34+WR!H564*Scoring!$G$34+WR!I564*Scoring!$H$34+K564*Scoring!$I$34+WR!L564*Scoring!$J$34+U564</x:f>
        <x:v>0</x:v>
      </x:c>
      <x:c r="O564" s="119" t="n">
        <x:f>C565*Scoring!$B$34+D565/Scoring!$C$34+E565*Scoring!$D$34+WR!F565*Scoring!$E$34+WR!G565/Scoring!$F$34+WR!H565*Scoring!$G$34+WR!I565*Scoring!$H$34+K565*Scoring!$I$34+WR!L565*Scoring!$J$34+U564</x:f>
        <x:v>0</x:v>
      </x:c>
      <x:c r="P564" s="9" t="n">
        <x:f>IF(COUNTIF(Rookies!$A:$A,A564)&gt;0,1,0)</x:f>
        <x:v>0</x:v>
      </x:c>
      <x:c r="Q564" s="9"/>
      <x:c r="R564" s="9"/>
      <x:c r="S564" s="9" t="n">
        <x:f>V564/17</x:f>
        <x:v>0</x:v>
      </x:c>
      <x:c r="T564" s="9" t="n">
        <x:f>IF(P564=1,MAX(0,0.28*(12-S564)),0)</x:f>
        <x:v>0</x:v>
      </x:c>
      <x:c r="U564" s="9" t="n">
        <x:f>T564*17</x:f>
        <x:v>0</x:v>
      </x:c>
      <x:c r="V564" s="9" t="n">
        <x:f>C564*Scoring!$B$34+D564/Scoring!$C$34+E564*Scoring!$D$34+WR!F564*Scoring!$E$34+WR!G564/Scoring!$F$34+WR!H564*Scoring!$G$34+WR!I564*Scoring!$H$34+K564*Scoring!$I$34+WR!L564*Scoring!$J$34</x:f>
        <x:v>0</x:v>
      </x:c>
      <x:c r="W564" s="9"/>
      <x:c r="X564" s="9"/>
      <x:c r="Y564" s="9"/>
      <x:c r="Z564" s="9"/>
    </x:row>
    <x:row r="565" ht="14.25" customHeight="1">
      <x:c r="B565" s="1" t="s">
        <x:v>488</x:v>
      </x:c>
      <x:c r="C565" s="1">
        <x:v>0.0</x:v>
      </x:c>
      <x:c r="D565" s="1">
        <x:v>0.0</x:v>
      </x:c>
      <x:c r="E565" s="1">
        <x:v>0.0</x:v>
      </x:c>
      <x:c r="F565" s="1">
        <x:v>0.0</x:v>
      </x:c>
      <x:c r="G565" s="1">
        <x:v>0.0</x:v>
      </x:c>
      <x:c r="H565" s="1">
        <x:v>0.0</x:v>
      </x:c>
      <x:c r="I565" s="1">
        <x:v>0.0</x:v>
      </x:c>
      <x:c r="J565" s="1">
        <x:v>1.0</x:v>
      </x:c>
      <x:c r="K565" s="18">
        <x:f t="shared" si="1"/>
        <x:v>0</x:v>
      </x:c>
      <x:c r="L565" s="18">
        <x:f t="shared" si="2"/>
        <x:v>0</x:v>
      </x:c>
      <x:c r="M565" s="121"/>
      <x:c r="N565" s="121"/>
      <x:c r="O565" s="121"/>
      <x:c r="P565" s="9"/>
      <x:c r="Q565" s="9"/>
      <x:c r="R565" s="9"/>
      <x:c r="S565" s="9"/>
      <x:c r="T565" s="9"/>
      <x:c r="U565" s="9"/>
      <x:c r="V565" s="9"/>
      <x:c r="W565" s="9"/>
      <x:c r="X565" s="9"/>
      <x:c r="Y565" s="9"/>
      <x:c r="Z565" s="9"/>
    </x:row>
    <x:row r="566" ht="14.25" customHeight="1">
      <x:c r="B566" s="1" t="s">
        <x:v>489</x:v>
      </x:c>
      <x:c r="C566" s="1">
        <x:v>0.0</x:v>
      </x:c>
      <x:c r="D566" s="1">
        <x:v>0.0</x:v>
      </x:c>
      <x:c r="E566" s="1">
        <x:v>0.0</x:v>
      </x:c>
      <x:c r="F566" s="1">
        <x:v>0.0</x:v>
      </x:c>
      <x:c r="G566" s="1">
        <x:v>0.0</x:v>
      </x:c>
      <x:c r="H566" s="1">
        <x:v>0.0</x:v>
      </x:c>
      <x:c r="I566" s="1">
        <x:v>0.0</x:v>
      </x:c>
      <x:c r="J566" s="1">
        <x:v>1.0</x:v>
      </x:c>
      <x:c r="K566" s="18">
        <x:f t="shared" si="1"/>
        <x:v>0</x:v>
      </x:c>
      <x:c r="L566" s="18">
        <x:f t="shared" si="2"/>
        <x:v>0</x:v>
      </x:c>
      <x:c r="M566" s="121"/>
      <x:c r="N566" s="121"/>
      <x:c r="O566" s="121"/>
      <x:c r="P566" s="9"/>
      <x:c r="Q566" s="9"/>
      <x:c r="R566" s="9"/>
      <x:c r="S566" s="9"/>
      <x:c r="T566" s="9"/>
      <x:c r="U566" s="9"/>
      <x:c r="V566" s="9"/>
      <x:c r="W566" s="9"/>
      <x:c r="X566" s="9"/>
      <x:c r="Y566" s="9"/>
      <x:c r="Z566" s="9"/>
    </x:row>
    <x:row r="567" ht="14.25" customHeight="1">
      <x:c r="A567" s="1" t="s">
        <x:v>921</x:v>
      </x:c>
      <x:c r="B567" s="1" t="s">
        <x:v>525</x:v>
      </x:c>
      <x:c r="C567" s="1">
        <x:v>0.0</x:v>
      </x:c>
      <x:c r="D567" s="1">
        <x:v>0.0</x:v>
      </x:c>
      <x:c r="E567" s="1">
        <x:v>0.0</x:v>
      </x:c>
      <x:c r="F567" s="1">
        <x:v>0.0</x:v>
      </x:c>
      <x:c r="G567" s="1">
        <x:v>0.0</x:v>
      </x:c>
      <x:c r="H567" s="1">
        <x:v>0.0</x:v>
      </x:c>
      <x:c r="I567" s="1">
        <x:v>0.0</x:v>
      </x:c>
      <x:c r="J567" s="1">
        <x:v>0.0</x:v>
      </x:c>
      <x:c r="K567" s="18">
        <x:f t="shared" si="1"/>
        <x:v>0</x:v>
      </x:c>
      <x:c r="L567" s="18">
        <x:f t="shared" si="2"/>
        <x:v>0</x:v>
      </x:c>
      <x:c r="M567" s="119" t="n">
        <x:f>C569*Scoring!$B$34+D569/Scoring!$C$34+E569*Scoring!$D$34+WR!F569*Scoring!$E$34+WR!G569/Scoring!$F$34+WR!H569*Scoring!$G$34+WR!I569*Scoring!$H$34+K569*Scoring!$I$34+WR!L569*Scoring!$J$34+U567</x:f>
        <x:v>0</x:v>
      </x:c>
      <x:c r="N567" s="119" t="n">
        <x:f>C567*Scoring!$B$34+D567/Scoring!$C$34+E567*Scoring!$D$34+WR!F567*Scoring!$E$34+WR!G567/Scoring!$F$34+WR!H567*Scoring!$G$34+WR!I567*Scoring!$H$34+K567*Scoring!$I$34+WR!L567*Scoring!$J$34+U567</x:f>
        <x:v>0</x:v>
      </x:c>
      <x:c r="O567" s="119" t="n">
        <x:f>C568*Scoring!$B$34+D568/Scoring!$C$34+E568*Scoring!$D$34+WR!F568*Scoring!$E$34+WR!G568/Scoring!$F$34+WR!H568*Scoring!$G$34+WR!I568*Scoring!$H$34+K568*Scoring!$I$34+WR!L568*Scoring!$J$34+U567</x:f>
        <x:v>0</x:v>
      </x:c>
      <x:c r="P567" s="9" t="n">
        <x:f>IF(COUNTIF(Rookies!$A:$A,A567)&gt;0,1,0)</x:f>
        <x:v>0</x:v>
      </x:c>
      <x:c r="Q567" s="9"/>
      <x:c r="R567" s="9"/>
      <x:c r="S567" s="9" t="n">
        <x:f>V567/17</x:f>
        <x:v>0</x:v>
      </x:c>
      <x:c r="T567" s="9" t="n">
        <x:f>IF(P567=1,MAX(0,0.28*(12-S567)),0)</x:f>
        <x:v>0</x:v>
      </x:c>
      <x:c r="U567" s="9" t="n">
        <x:f>T567*17</x:f>
        <x:v>0</x:v>
      </x:c>
      <x:c r="V567" s="9" t="n">
        <x:f>C567*Scoring!$B$34+D567/Scoring!$C$34+E567*Scoring!$D$34+WR!F567*Scoring!$E$34+WR!G567/Scoring!$F$34+WR!H567*Scoring!$G$34+WR!I567*Scoring!$H$34+K567*Scoring!$I$34+WR!L567*Scoring!$J$34</x:f>
        <x:v>0</x:v>
      </x:c>
      <x:c r="W567" s="9"/>
      <x:c r="X567" s="9"/>
      <x:c r="Y567" s="9"/>
      <x:c r="Z567" s="9"/>
    </x:row>
    <x:row r="568" ht="14.25" customHeight="1">
      <x:c r="B568" s="1" t="s">
        <x:v>488</x:v>
      </x:c>
      <x:c r="C568" s="1">
        <x:v>0.0</x:v>
      </x:c>
      <x:c r="D568" s="1">
        <x:v>0.0</x:v>
      </x:c>
      <x:c r="E568" s="1">
        <x:v>0.0</x:v>
      </x:c>
      <x:c r="F568" s="1">
        <x:v>0.0</x:v>
      </x:c>
      <x:c r="G568" s="1">
        <x:v>0.0</x:v>
      </x:c>
      <x:c r="H568" s="1">
        <x:v>0.0</x:v>
      </x:c>
      <x:c r="I568" s="1">
        <x:v>0.0</x:v>
      </x:c>
      <x:c r="J568" s="1">
        <x:v>2.0</x:v>
      </x:c>
      <x:c r="K568" s="18">
        <x:f t="shared" si="1"/>
        <x:v>0</x:v>
      </x:c>
      <x:c r="L568" s="18">
        <x:f t="shared" si="2"/>
        <x:v>0</x:v>
      </x:c>
      <x:c r="M568" s="121"/>
      <x:c r="N568" s="121"/>
      <x:c r="O568" s="121"/>
      <x:c r="P568" s="9"/>
      <x:c r="Q568" s="9"/>
      <x:c r="R568" s="9"/>
      <x:c r="S568" s="9"/>
      <x:c r="T568" s="9"/>
      <x:c r="U568" s="9"/>
      <x:c r="V568" s="9"/>
      <x:c r="W568" s="9"/>
      <x:c r="X568" s="9"/>
      <x:c r="Y568" s="9"/>
      <x:c r="Z568" s="9"/>
    </x:row>
    <x:row r="569" ht="14.25" customHeight="1">
      <x:c r="B569" s="1" t="s">
        <x:v>489</x:v>
      </x:c>
      <x:c r="C569" s="1">
        <x:v>0.0</x:v>
      </x:c>
      <x:c r="D569" s="1">
        <x:v>0.0</x:v>
      </x:c>
      <x:c r="E569" s="1">
        <x:v>0.0</x:v>
      </x:c>
      <x:c r="F569" s="1">
        <x:v>0.0</x:v>
      </x:c>
      <x:c r="G569" s="1">
        <x:v>0.0</x:v>
      </x:c>
      <x:c r="H569" s="1">
        <x:v>0.0</x:v>
      </x:c>
      <x:c r="I569" s="1">
        <x:v>0.0</x:v>
      </x:c>
      <x:c r="J569" s="1">
        <x:v>2.0</x:v>
      </x:c>
      <x:c r="K569" s="18">
        <x:f t="shared" si="1"/>
        <x:v>0</x:v>
      </x:c>
      <x:c r="L569" s="18">
        <x:f t="shared" si="2"/>
        <x:v>0</x:v>
      </x:c>
      <x:c r="M569" s="121"/>
      <x:c r="N569" s="121"/>
      <x:c r="O569" s="121"/>
      <x:c r="P569" s="9"/>
      <x:c r="Q569" s="9"/>
      <x:c r="R569" s="9"/>
      <x:c r="S569" s="9"/>
      <x:c r="T569" s="9"/>
      <x:c r="U569" s="9"/>
      <x:c r="V569" s="9"/>
      <x:c r="W569" s="9"/>
      <x:c r="X569" s="9"/>
      <x:c r="Y569" s="9"/>
      <x:c r="Z569" s="9"/>
    </x:row>
    <x:row r="570" ht="14.25" customHeight="1">
      <x:c r="A570" s="1" t="s">
        <x:v>922</x:v>
      </x:c>
      <x:c r="B570" s="1" t="s">
        <x:v>549</x:v>
      </x:c>
      <x:c r="C570" s="1">
        <x:v>0.0</x:v>
      </x:c>
      <x:c r="D570" s="1">
        <x:v>0.0</x:v>
      </x:c>
      <x:c r="E570" s="1">
        <x:v>0.0</x:v>
      </x:c>
      <x:c r="F570" s="1">
        <x:v>0.0</x:v>
      </x:c>
      <x:c r="G570" s="1">
        <x:v>0.0</x:v>
      </x:c>
      <x:c r="H570" s="1">
        <x:v>0.0</x:v>
      </x:c>
      <x:c r="I570" s="1">
        <x:v>0.0</x:v>
      </x:c>
      <x:c r="J570" s="1">
        <x:v>0.0</x:v>
      </x:c>
      <x:c r="K570" s="18">
        <x:f t="shared" si="1"/>
        <x:v>0</x:v>
      </x:c>
      <x:c r="L570" s="18">
        <x:f t="shared" si="2"/>
        <x:v>0</x:v>
      </x:c>
      <x:c r="M570" s="119" t="n">
        <x:f>C572*Scoring!$B$34+D572/Scoring!$C$34+E572*Scoring!$D$34+WR!F572*Scoring!$E$34+WR!G572/Scoring!$F$34+WR!H572*Scoring!$G$34+WR!I572*Scoring!$H$34+K572*Scoring!$I$34+WR!L572*Scoring!$J$34+U570</x:f>
        <x:v>0</x:v>
      </x:c>
      <x:c r="N570" s="119" t="n">
        <x:f>C570*Scoring!$B$34+D570/Scoring!$C$34+E570*Scoring!$D$34+WR!F570*Scoring!$E$34+WR!G570/Scoring!$F$34+WR!H570*Scoring!$G$34+WR!I570*Scoring!$H$34+K570*Scoring!$I$34+WR!L570*Scoring!$J$34+U570</x:f>
        <x:v>0</x:v>
      </x:c>
      <x:c r="O570" s="119" t="n">
        <x:f>C571*Scoring!$B$34+D571/Scoring!$C$34+E571*Scoring!$D$34+WR!F571*Scoring!$E$34+WR!G571/Scoring!$F$34+WR!H571*Scoring!$G$34+WR!I571*Scoring!$H$34+K571*Scoring!$I$34+WR!L571*Scoring!$J$34+U570</x:f>
        <x:v>0</x:v>
      </x:c>
      <x:c r="P570" s="9" t="n">
        <x:f>IF(COUNTIF(Rookies!$A:$A,A570)&gt;0,1,0)</x:f>
        <x:v>0</x:v>
      </x:c>
      <x:c r="Q570" s="9"/>
      <x:c r="R570" s="9"/>
      <x:c r="S570" s="9" t="n">
        <x:f>V570/17</x:f>
        <x:v>0</x:v>
      </x:c>
      <x:c r="T570" s="9" t="n">
        <x:f>IF(P570=1,MAX(0,0.28*(12-S570)),0)</x:f>
        <x:v>0</x:v>
      </x:c>
      <x:c r="U570" s="9" t="n">
        <x:f>T570*17</x:f>
        <x:v>0</x:v>
      </x:c>
      <x:c r="V570" s="9" t="n">
        <x:f>C570*Scoring!$B$34+D570/Scoring!$C$34+E570*Scoring!$D$34+WR!F570*Scoring!$E$34+WR!G570/Scoring!$F$34+WR!H570*Scoring!$G$34+WR!I570*Scoring!$H$34+K570*Scoring!$I$34+WR!L570*Scoring!$J$34</x:f>
        <x:v>0</x:v>
      </x:c>
      <x:c r="W570" s="9"/>
      <x:c r="X570" s="9"/>
      <x:c r="Y570" s="9"/>
      <x:c r="Z570" s="9"/>
    </x:row>
    <x:row r="571" ht="14.25" customHeight="1">
      <x:c r="B571" s="1" t="s">
        <x:v>488</x:v>
      </x:c>
      <x:c r="C571" s="1">
        <x:v>0.0</x:v>
      </x:c>
      <x:c r="D571" s="1">
        <x:v>0.0</x:v>
      </x:c>
      <x:c r="E571" s="1">
        <x:v>0.0</x:v>
      </x:c>
      <x:c r="F571" s="1">
        <x:v>0.0</x:v>
      </x:c>
      <x:c r="G571" s="1">
        <x:v>0.0</x:v>
      </x:c>
      <x:c r="H571" s="1">
        <x:v>0.0</x:v>
      </x:c>
      <x:c r="I571" s="1">
        <x:v>0.0</x:v>
      </x:c>
      <x:c r="J571" s="1">
        <x:v>0.7</x:v>
      </x:c>
      <x:c r="K571" s="18">
        <x:f t="shared" si="1"/>
        <x:v>0</x:v>
      </x:c>
      <x:c r="L571" s="18">
        <x:f t="shared" si="2"/>
        <x:v>0</x:v>
      </x:c>
      <x:c r="M571" s="121"/>
      <x:c r="N571" s="121"/>
      <x:c r="O571" s="121"/>
      <x:c r="P571" s="9"/>
      <x:c r="Q571" s="9"/>
      <x:c r="R571" s="9"/>
      <x:c r="S571" s="9"/>
      <x:c r="T571" s="9"/>
      <x:c r="U571" s="9"/>
      <x:c r="V571" s="9"/>
      <x:c r="W571" s="9"/>
      <x:c r="X571" s="9"/>
      <x:c r="Y571" s="9"/>
      <x:c r="Z571" s="9"/>
    </x:row>
    <x:row r="572" ht="14.25" customHeight="1">
      <x:c r="B572" s="1" t="s">
        <x:v>489</x:v>
      </x:c>
      <x:c r="C572" s="1">
        <x:v>0.0</x:v>
      </x:c>
      <x:c r="D572" s="1">
        <x:v>0.0</x:v>
      </x:c>
      <x:c r="E572" s="1">
        <x:v>0.0</x:v>
      </x:c>
      <x:c r="F572" s="1">
        <x:v>0.0</x:v>
      </x:c>
      <x:c r="G572" s="1">
        <x:v>0.0</x:v>
      </x:c>
      <x:c r="H572" s="1">
        <x:v>0.0</x:v>
      </x:c>
      <x:c r="I572" s="1">
        <x:v>0.0</x:v>
      </x:c>
      <x:c r="J572" s="1">
        <x:v>0.7</x:v>
      </x:c>
      <x:c r="K572" s="18">
        <x:f t="shared" si="1"/>
        <x:v>0</x:v>
      </x:c>
      <x:c r="L572" s="18">
        <x:f t="shared" si="2"/>
        <x:v>0</x:v>
      </x:c>
      <x:c r="M572" s="121"/>
      <x:c r="N572" s="121"/>
      <x:c r="O572" s="121"/>
      <x:c r="P572" s="9"/>
      <x:c r="Q572" s="9"/>
      <x:c r="R572" s="9"/>
      <x:c r="S572" s="9"/>
      <x:c r="T572" s="9"/>
      <x:c r="U572" s="9"/>
      <x:c r="V572" s="9"/>
      <x:c r="W572" s="9"/>
      <x:c r="X572" s="9"/>
      <x:c r="Y572" s="9"/>
      <x:c r="Z572" s="9"/>
    </x:row>
    <x:row r="573" ht="14.25" customHeight="1">
      <x:c r="A573" s="1" t="s">
        <x:v>923</x:v>
      </x:c>
      <x:c r="B573" s="1" t="s">
        <x:v>505</x:v>
      </x:c>
      <x:c r="C573" s="1">
        <x:v>0.0</x:v>
      </x:c>
      <x:c r="D573" s="1">
        <x:v>0.0</x:v>
      </x:c>
      <x:c r="E573" s="1">
        <x:v>0.0</x:v>
      </x:c>
      <x:c r="F573" s="1">
        <x:v>0.0</x:v>
      </x:c>
      <x:c r="G573" s="1">
        <x:v>0.0</x:v>
      </x:c>
      <x:c r="H573" s="1">
        <x:v>0.0</x:v>
      </x:c>
      <x:c r="I573" s="1">
        <x:v>0.0</x:v>
      </x:c>
      <x:c r="J573" s="1">
        <x:v>0.0</x:v>
      </x:c>
      <x:c r="K573" s="18">
        <x:f t="shared" si="1"/>
        <x:v>0</x:v>
      </x:c>
      <x:c r="L573" s="18">
        <x:f t="shared" si="2"/>
        <x:v>0</x:v>
      </x:c>
      <x:c r="M573" s="119" t="n">
        <x:f>C575*Scoring!$B$34+D575/Scoring!$C$34+E575*Scoring!$D$34+WR!F575*Scoring!$E$34+WR!G575/Scoring!$F$34+WR!H575*Scoring!$G$34+WR!I575*Scoring!$H$34+K575*Scoring!$I$34+WR!L575*Scoring!$J$34+U573</x:f>
        <x:v>57.120000000000005</x:v>
      </x:c>
      <x:c r="N573" s="119" t="n">
        <x:f>C573*Scoring!$B$34+D573/Scoring!$C$34+E573*Scoring!$D$34+WR!F573*Scoring!$E$34+WR!G573/Scoring!$F$34+WR!H573*Scoring!$G$34+WR!I573*Scoring!$H$34+K573*Scoring!$I$34+WR!L573*Scoring!$J$34+U573</x:f>
        <x:v>57.120000000000005</x:v>
      </x:c>
      <x:c r="O573" s="119" t="n">
        <x:f>C574*Scoring!$B$34+D574/Scoring!$C$34+E574*Scoring!$D$34+WR!F574*Scoring!$E$34+WR!G574/Scoring!$F$34+WR!H574*Scoring!$G$34+WR!I574*Scoring!$H$34+K574*Scoring!$I$34+WR!L574*Scoring!$J$34+U573</x:f>
        <x:v>57.120000000000005</x:v>
      </x:c>
      <x:c r="P573" s="9" t="n">
        <x:f>IF(COUNTIF(Rookies!$A:$A,A573)&gt;0,1,0)</x:f>
        <x:v>1</x:v>
      </x:c>
      <x:c r="Q573" s="9"/>
      <x:c r="R573" s="9"/>
      <x:c r="S573" s="9" t="n">
        <x:f>V573/17</x:f>
        <x:v>0</x:v>
      </x:c>
      <x:c r="T573" s="9" t="n">
        <x:f>IF(P573=1,MAX(0,0.28*(12-S573)),0)</x:f>
        <x:v>3.3600000000000003</x:v>
      </x:c>
      <x:c r="U573" s="9" t="n">
        <x:f>T573*17</x:f>
        <x:v>57.120000000000005</x:v>
      </x:c>
      <x:c r="V573" s="9" t="n">
        <x:f>C573*Scoring!$B$34+D573/Scoring!$C$34+E573*Scoring!$D$34+WR!F573*Scoring!$E$34+WR!G573/Scoring!$F$34+WR!H573*Scoring!$G$34+WR!I573*Scoring!$H$34+K573*Scoring!$I$34+WR!L573*Scoring!$J$34</x:f>
        <x:v>0</x:v>
      </x:c>
      <x:c r="W573" s="9"/>
      <x:c r="X573" s="9"/>
      <x:c r="Y573" s="9"/>
      <x:c r="Z573" s="9"/>
    </x:row>
    <x:row r="574" ht="14.25" customHeight="1">
      <x:c r="B574" s="1" t="s">
        <x:v>488</x:v>
      </x:c>
      <x:c r="C574" s="1">
        <x:v>0.0</x:v>
      </x:c>
      <x:c r="D574" s="1">
        <x:v>0.0</x:v>
      </x:c>
      <x:c r="E574" s="1">
        <x:v>0.0</x:v>
      </x:c>
      <x:c r="F574" s="1">
        <x:v>0.0</x:v>
      </x:c>
      <x:c r="G574" s="1">
        <x:v>0.0</x:v>
      </x:c>
      <x:c r="H574" s="1">
        <x:v>0.0</x:v>
      </x:c>
      <x:c r="I574" s="1">
        <x:v>0.0</x:v>
      </x:c>
      <x:c r="J574" s="1">
        <x:v>0.3</x:v>
      </x:c>
      <x:c r="K574" s="18">
        <x:f t="shared" si="1"/>
        <x:v>0</x:v>
      </x:c>
      <x:c r="L574" s="18">
        <x:f t="shared" si="2"/>
        <x:v>0</x:v>
      </x:c>
      <x:c r="M574" s="121"/>
      <x:c r="N574" s="121"/>
      <x:c r="O574" s="121"/>
      <x:c r="P574" s="9"/>
      <x:c r="Q574" s="9"/>
      <x:c r="R574" s="9"/>
      <x:c r="S574" s="9"/>
      <x:c r="T574" s="9"/>
      <x:c r="U574" s="9"/>
      <x:c r="V574" s="9"/>
      <x:c r="W574" s="9"/>
      <x:c r="X574" s="9"/>
      <x:c r="Y574" s="9"/>
      <x:c r="Z574" s="9"/>
    </x:row>
    <x:row r="575" ht="14.25" customHeight="1">
      <x:c r="B575" s="1" t="s">
        <x:v>489</x:v>
      </x:c>
      <x:c r="C575" s="1">
        <x:v>0.0</x:v>
      </x:c>
      <x:c r="D575" s="1">
        <x:v>0.0</x:v>
      </x:c>
      <x:c r="E575" s="1">
        <x:v>0.0</x:v>
      </x:c>
      <x:c r="F575" s="1">
        <x:v>0.0</x:v>
      </x:c>
      <x:c r="G575" s="1">
        <x:v>0.0</x:v>
      </x:c>
      <x:c r="H575" s="1">
        <x:v>0.0</x:v>
      </x:c>
      <x:c r="I575" s="1">
        <x:v>0.0</x:v>
      </x:c>
      <x:c r="J575" s="1">
        <x:v>0.3</x:v>
      </x:c>
      <x:c r="K575" s="18">
        <x:f t="shared" si="1"/>
        <x:v>0</x:v>
      </x:c>
      <x:c r="L575" s="18">
        <x:f t="shared" si="2"/>
        <x:v>0</x:v>
      </x:c>
      <x:c r="M575" s="121"/>
      <x:c r="N575" s="121"/>
      <x:c r="O575" s="121"/>
      <x:c r="P575" s="9"/>
      <x:c r="Q575" s="9"/>
      <x:c r="R575" s="9"/>
      <x:c r="S575" s="9"/>
      <x:c r="T575" s="9"/>
      <x:c r="U575" s="9"/>
      <x:c r="V575" s="9"/>
      <x:c r="W575" s="9"/>
      <x:c r="X575" s="9"/>
      <x:c r="Y575" s="9"/>
      <x:c r="Z575" s="9"/>
    </x:row>
    <x:row r="576" ht="14.25" customHeight="1">
      <x:c r="K576" s="18">
        <x:f t="shared" si="1"/>
        <x:v>0</x:v>
      </x:c>
      <x:c r="L576" s="18">
        <x:f t="shared" si="2"/>
        <x:v>0</x:v>
      </x:c>
      <x:c r="M576" s="119" t="n">
        <x:f>C578*Scoring!$B$34+D578/Scoring!$C$34+E578*Scoring!$D$34+WR!F578*Scoring!$E$34+WR!G578/Scoring!$F$34+WR!H578*Scoring!$G$34+WR!I578*Scoring!$H$34+K578*Scoring!$I$34+WR!L578*Scoring!$J$34+U576</x:f>
        <x:v>0</x:v>
      </x:c>
      <x:c r="N576" s="119" t="n">
        <x:f>C576*Scoring!$B$34+D576/Scoring!$C$34+E576*Scoring!$D$34+WR!F576*Scoring!$E$34+WR!G576/Scoring!$F$34+WR!H576*Scoring!$G$34+WR!I576*Scoring!$H$34+K576*Scoring!$I$34+WR!L576*Scoring!$J$34+U576</x:f>
        <x:v>0</x:v>
      </x:c>
      <x:c r="O576" s="119" t="n">
        <x:f>C577*Scoring!$B$34+D577/Scoring!$C$34+E577*Scoring!$D$34+WR!F577*Scoring!$E$34+WR!G577/Scoring!$F$34+WR!H577*Scoring!$G$34+WR!I577*Scoring!$H$34+K577*Scoring!$I$34+WR!L577*Scoring!$J$34+U576</x:f>
        <x:v>0</x:v>
      </x:c>
      <x:c r="P576" s="9" t="n">
        <x:f>IF(COUNTIF(Rookies!$A:$A,A576)&gt;0,1,0)</x:f>
        <x:v>0</x:v>
      </x:c>
      <x:c r="Q576" s="9"/>
      <x:c r="R576" s="9"/>
      <x:c r="S576" s="9" t="n">
        <x:f>V576/17</x:f>
        <x:v>0</x:v>
      </x:c>
      <x:c r="T576" s="9" t="n">
        <x:f>IF(P576=1,MAX(0,0.28*(12-S576)),0)</x:f>
        <x:v>0</x:v>
      </x:c>
      <x:c r="U576" s="9" t="n">
        <x:f>T576*17</x:f>
        <x:v>0</x:v>
      </x:c>
      <x:c r="V576" s="9" t="n">
        <x:f>C576*Scoring!$B$34+D576/Scoring!$C$34+E576*Scoring!$D$34+WR!F576*Scoring!$E$34+WR!G576/Scoring!$F$34+WR!H576*Scoring!$G$34+WR!I576*Scoring!$H$34+K576*Scoring!$I$34+WR!L576*Scoring!$J$34</x:f>
        <x:v>0</x:v>
      </x:c>
      <x:c r="W576" s="9"/>
      <x:c r="X576" s="9"/>
      <x:c r="Y576" s="9"/>
      <x:c r="Z576" s="9"/>
    </x:row>
    <x:row r="577" ht="14.25" customHeight="1">
      <x:c r="K577" s="18">
        <x:f t="shared" si="1"/>
        <x:v>0</x:v>
      </x:c>
      <x:c r="L577" s="18">
        <x:f t="shared" si="2"/>
        <x:v>0</x:v>
      </x:c>
      <x:c r="M577" s="121"/>
      <x:c r="N577" s="121"/>
      <x:c r="O577" s="121"/>
      <x:c r="P577" s="9"/>
      <x:c r="Q577" s="9"/>
      <x:c r="R577" s="9"/>
      <x:c r="S577" s="9"/>
      <x:c r="T577" s="9"/>
      <x:c r="U577" s="9"/>
      <x:c r="V577" s="9"/>
      <x:c r="W577" s="9"/>
      <x:c r="X577" s="9"/>
      <x:c r="Y577" s="9"/>
      <x:c r="Z577" s="9"/>
    </x:row>
    <x:row r="578" ht="14.25" customHeight="1">
      <x:c r="K578" s="18">
        <x:f t="shared" si="1"/>
        <x:v>0</x:v>
      </x:c>
      <x:c r="L578" s="18">
        <x:f t="shared" si="2"/>
        <x:v>0</x:v>
      </x:c>
      <x:c r="M578" s="121"/>
      <x:c r="N578" s="121"/>
      <x:c r="O578" s="121"/>
      <x:c r="P578" s="9"/>
      <x:c r="Q578" s="9"/>
      <x:c r="R578" s="9"/>
      <x:c r="S578" s="9"/>
      <x:c r="T578" s="9"/>
      <x:c r="U578" s="9"/>
      <x:c r="V578" s="9"/>
      <x:c r="W578" s="9"/>
      <x:c r="X578" s="9"/>
      <x:c r="Y578" s="9"/>
      <x:c r="Z578" s="9"/>
    </x:row>
    <x:row r="579" ht="14.25" customHeight="1">
      <x:c r="K579" s="18">
        <x:f t="shared" si="1"/>
        <x:v>0</x:v>
      </x:c>
      <x:c r="L579" s="18">
        <x:f t="shared" si="2"/>
        <x:v>0</x:v>
      </x:c>
      <x:c r="M579" s="119" t="n">
        <x:f>C581*Scoring!$B$34+D581/Scoring!$C$34+E581*Scoring!$D$34+WR!F581*Scoring!$E$34+WR!G581/Scoring!$F$34+WR!H581*Scoring!$G$34+WR!I581*Scoring!$H$34+K581*Scoring!$I$34+WR!L581*Scoring!$J$34+U579</x:f>
        <x:v>0</x:v>
      </x:c>
      <x:c r="N579" s="119" t="n">
        <x:f>C579*Scoring!$B$34+D579/Scoring!$C$34+E579*Scoring!$D$34+WR!F579*Scoring!$E$34+WR!G579/Scoring!$F$34+WR!H579*Scoring!$G$34+WR!I579*Scoring!$H$34+K579*Scoring!$I$34+WR!L579*Scoring!$J$34+U579</x:f>
        <x:v>0</x:v>
      </x:c>
      <x:c r="O579" s="119" t="n">
        <x:f>C580*Scoring!$B$34+D580/Scoring!$C$34+E580*Scoring!$D$34+WR!F580*Scoring!$E$34+WR!G580/Scoring!$F$34+WR!H580*Scoring!$G$34+WR!I580*Scoring!$H$34+K580*Scoring!$I$34+WR!L580*Scoring!$J$34+U579</x:f>
        <x:v>0</x:v>
      </x:c>
      <x:c r="P579" s="9" t="n">
        <x:f>IF(COUNTIF(Rookies!$A:$A,A579)&gt;0,1,0)</x:f>
        <x:v>0</x:v>
      </x:c>
      <x:c r="Q579" s="9"/>
      <x:c r="R579" s="9"/>
      <x:c r="S579" s="9" t="n">
        <x:f>V579/17</x:f>
        <x:v>0</x:v>
      </x:c>
      <x:c r="T579" s="9" t="n">
        <x:f>IF(P579=1,MAX(0,0.28*(12-S579)),0)</x:f>
        <x:v>0</x:v>
      </x:c>
      <x:c r="U579" s="9" t="n">
        <x:f>T579*17</x:f>
        <x:v>0</x:v>
      </x:c>
      <x:c r="V579" s="9" t="n">
        <x:f>C579*Scoring!$B$34+D579/Scoring!$C$34+E579*Scoring!$D$34+WR!F579*Scoring!$E$34+WR!G579/Scoring!$F$34+WR!H579*Scoring!$G$34+WR!I579*Scoring!$H$34+K579*Scoring!$I$34+WR!L579*Scoring!$J$34</x:f>
        <x:v>0</x:v>
      </x:c>
      <x:c r="W579" s="9"/>
      <x:c r="X579" s="9"/>
      <x:c r="Y579" s="9"/>
      <x:c r="Z579" s="9"/>
    </x:row>
    <x:row r="580" ht="14.25" customHeight="1">
      <x:c r="K580" s="18">
        <x:f t="shared" si="1"/>
        <x:v>0</x:v>
      </x:c>
      <x:c r="L580" s="18">
        <x:f t="shared" si="2"/>
        <x:v>0</x:v>
      </x:c>
      <x:c r="M580" s="121"/>
      <x:c r="N580" s="121"/>
      <x:c r="O580" s="121"/>
      <x:c r="P580" s="9"/>
      <x:c r="Q580" s="9"/>
      <x:c r="R580" s="9"/>
      <x:c r="S580" s="9"/>
      <x:c r="T580" s="9"/>
      <x:c r="U580" s="9"/>
      <x:c r="V580" s="9"/>
      <x:c r="W580" s="9"/>
      <x:c r="X580" s="9"/>
      <x:c r="Y580" s="9"/>
      <x:c r="Z580" s="9"/>
    </x:row>
    <x:row r="581" ht="14.25" customHeight="1">
      <x:c r="K581" s="18">
        <x:f t="shared" si="1"/>
        <x:v>0</x:v>
      </x:c>
      <x:c r="L581" s="18">
        <x:f t="shared" si="2"/>
        <x:v>0</x:v>
      </x:c>
      <x:c r="M581" s="121"/>
      <x:c r="N581" s="121"/>
      <x:c r="O581" s="121"/>
      <x:c r="P581" s="9"/>
      <x:c r="Q581" s="9"/>
      <x:c r="R581" s="9"/>
      <x:c r="S581" s="9"/>
      <x:c r="T581" s="9"/>
      <x:c r="U581" s="9"/>
      <x:c r="V581" s="9"/>
      <x:c r="W581" s="9"/>
      <x:c r="X581" s="9"/>
      <x:c r="Y581" s="9"/>
      <x:c r="Z581" s="9"/>
    </x:row>
    <x:row r="582" ht="14.25" customHeight="1">
      <x:c r="K582" s="18">
        <x:f t="shared" si="1"/>
        <x:v>0</x:v>
      </x:c>
      <x:c r="L582" s="18">
        <x:f t="shared" si="2"/>
        <x:v>0</x:v>
      </x:c>
      <x:c r="M582" s="119" t="n">
        <x:f>C584*Scoring!$B$34+D584/Scoring!$C$34+E584*Scoring!$D$34+WR!F584*Scoring!$E$34+WR!G584/Scoring!$F$34+WR!H584*Scoring!$G$34+WR!I584*Scoring!$H$34+K584*Scoring!$I$34+WR!L584*Scoring!$J$34+U582</x:f>
        <x:v>0</x:v>
      </x:c>
      <x:c r="N582" s="119" t="n">
        <x:f>C582*Scoring!$B$34+D582/Scoring!$C$34+E582*Scoring!$D$34+WR!F582*Scoring!$E$34+WR!G582/Scoring!$F$34+WR!H582*Scoring!$G$34+WR!I582*Scoring!$H$34+K582*Scoring!$I$34+WR!L582*Scoring!$J$34+U582</x:f>
        <x:v>0</x:v>
      </x:c>
      <x:c r="O582" s="119" t="n">
        <x:f>C583*Scoring!$B$34+D583/Scoring!$C$34+E583*Scoring!$D$34+WR!F583*Scoring!$E$34+WR!G583/Scoring!$F$34+WR!H583*Scoring!$G$34+WR!I583*Scoring!$H$34+K583*Scoring!$I$34+WR!L583*Scoring!$J$34+U582</x:f>
        <x:v>0</x:v>
      </x:c>
      <x:c r="P582" s="9" t="n">
        <x:f>IF(COUNTIF(Rookies!$A:$A,A582)&gt;0,1,0)</x:f>
        <x:v>0</x:v>
      </x:c>
      <x:c r="Q582" s="9"/>
      <x:c r="R582" s="9"/>
      <x:c r="S582" s="9" t="n">
        <x:f>V582/17</x:f>
        <x:v>0</x:v>
      </x:c>
      <x:c r="T582" s="9" t="n">
        <x:f>IF(P582=1,MAX(0,0.28*(12-S582)),0)</x:f>
        <x:v>0</x:v>
      </x:c>
      <x:c r="U582" s="9" t="n">
        <x:f>T582*17</x:f>
        <x:v>0</x:v>
      </x:c>
      <x:c r="V582" s="9" t="n">
        <x:f>C582*Scoring!$B$34+D582/Scoring!$C$34+E582*Scoring!$D$34+WR!F582*Scoring!$E$34+WR!G582/Scoring!$F$34+WR!H582*Scoring!$G$34+WR!I582*Scoring!$H$34+K582*Scoring!$I$34+WR!L582*Scoring!$J$34</x:f>
        <x:v>0</x:v>
      </x:c>
      <x:c r="W582" s="9"/>
      <x:c r="X582" s="9"/>
      <x:c r="Y582" s="9"/>
      <x:c r="Z582" s="9"/>
    </x:row>
    <x:row r="583" ht="14.25" customHeight="1">
      <x:c r="K583" s="18">
        <x:f t="shared" si="1"/>
        <x:v>0</x:v>
      </x:c>
      <x:c r="L583" s="18">
        <x:f t="shared" si="2"/>
        <x:v>0</x:v>
      </x:c>
      <x:c r="M583" s="121"/>
      <x:c r="N583" s="121"/>
      <x:c r="O583" s="121"/>
      <x:c r="P583" s="9"/>
      <x:c r="Q583" s="9"/>
      <x:c r="R583" s="9"/>
      <x:c r="S583" s="9"/>
      <x:c r="T583" s="9"/>
      <x:c r="U583" s="9"/>
      <x:c r="V583" s="9"/>
      <x:c r="W583" s="9"/>
      <x:c r="X583" s="9"/>
      <x:c r="Y583" s="9"/>
      <x:c r="Z583" s="9"/>
    </x:row>
    <x:row r="584" ht="14.25" customHeight="1">
      <x:c r="K584" s="18">
        <x:f t="shared" si="1"/>
        <x:v>0</x:v>
      </x:c>
      <x:c r="L584" s="18">
        <x:f t="shared" si="2"/>
        <x:v>0</x:v>
      </x:c>
      <x:c r="M584" s="121"/>
      <x:c r="N584" s="121"/>
      <x:c r="O584" s="121"/>
      <x:c r="P584" s="9"/>
      <x:c r="Q584" s="9"/>
      <x:c r="R584" s="9"/>
      <x:c r="S584" s="9"/>
      <x:c r="T584" s="9"/>
      <x:c r="U584" s="9"/>
      <x:c r="V584" s="9"/>
      <x:c r="W584" s="9"/>
      <x:c r="X584" s="9"/>
      <x:c r="Y584" s="9"/>
      <x:c r="Z584" s="9"/>
    </x:row>
    <x:row r="585" ht="14.25" customHeight="1">
      <x:c r="K585" s="18">
        <x:f t="shared" si="1"/>
        <x:v>0</x:v>
      </x:c>
      <x:c r="L585" s="18">
        <x:f t="shared" si="2"/>
        <x:v>0</x:v>
      </x:c>
      <x:c r="M585" s="119" t="n">
        <x:f>C587*Scoring!$B$34+D587/Scoring!$C$34+E587*Scoring!$D$34+WR!F587*Scoring!$E$34+WR!G587/Scoring!$F$34+WR!H587*Scoring!$G$34+WR!I587*Scoring!$H$34+K587*Scoring!$I$34+WR!L587*Scoring!$J$34+U585</x:f>
        <x:v>0</x:v>
      </x:c>
      <x:c r="N585" s="119" t="n">
        <x:f>C585*Scoring!$B$34+D585/Scoring!$C$34+E585*Scoring!$D$34+WR!F585*Scoring!$E$34+WR!G585/Scoring!$F$34+WR!H585*Scoring!$G$34+WR!I585*Scoring!$H$34+K585*Scoring!$I$34+WR!L585*Scoring!$J$34+U585</x:f>
        <x:v>0</x:v>
      </x:c>
      <x:c r="O585" s="119" t="n">
        <x:f>C586*Scoring!$B$34+D586/Scoring!$C$34+E586*Scoring!$D$34+WR!F586*Scoring!$E$34+WR!G586/Scoring!$F$34+WR!H586*Scoring!$G$34+WR!I586*Scoring!$H$34+K586*Scoring!$I$34+WR!L586*Scoring!$J$34+U585</x:f>
        <x:v>0</x:v>
      </x:c>
      <x:c r="P585" s="9" t="n">
        <x:f>IF(COUNTIF(Rookies!$A:$A,A585)&gt;0,1,0)</x:f>
        <x:v>0</x:v>
      </x:c>
      <x:c r="Q585" s="9"/>
      <x:c r="R585" s="9"/>
      <x:c r="S585" s="9" t="n">
        <x:f>V585/17</x:f>
        <x:v>0</x:v>
      </x:c>
      <x:c r="T585" s="9" t="n">
        <x:f>IF(P585=1,MAX(0,0.28*(12-S585)),0)</x:f>
        <x:v>0</x:v>
      </x:c>
      <x:c r="U585" s="9" t="n">
        <x:f>T585*17</x:f>
        <x:v>0</x:v>
      </x:c>
      <x:c r="V585" s="9" t="n">
        <x:f>C585*Scoring!$B$34+D585/Scoring!$C$34+E585*Scoring!$D$34+WR!F585*Scoring!$E$34+WR!G585/Scoring!$F$34+WR!H585*Scoring!$G$34+WR!I585*Scoring!$H$34+K585*Scoring!$I$34+WR!L585*Scoring!$J$34</x:f>
        <x:v>0</x:v>
      </x:c>
      <x:c r="W585" s="9"/>
      <x:c r="X585" s="9"/>
      <x:c r="Y585" s="9"/>
      <x:c r="Z585" s="9"/>
    </x:row>
    <x:row r="586" ht="14.25" customHeight="1">
      <x:c r="K586" s="18">
        <x:f t="shared" si="1"/>
        <x:v>0</x:v>
      </x:c>
      <x:c r="L586" s="18">
        <x:f t="shared" si="2"/>
        <x:v>0</x:v>
      </x:c>
      <x:c r="M586" s="121"/>
      <x:c r="N586" s="121"/>
      <x:c r="O586" s="121"/>
      <x:c r="P586" s="9"/>
      <x:c r="Q586" s="9"/>
      <x:c r="R586" s="9"/>
      <x:c r="S586" s="9"/>
      <x:c r="T586" s="9"/>
      <x:c r="U586" s="9"/>
      <x:c r="V586" s="9"/>
      <x:c r="W586" s="9"/>
      <x:c r="X586" s="9"/>
      <x:c r="Y586" s="9"/>
      <x:c r="Z586" s="9"/>
    </x:row>
    <x:row r="587" ht="14.25" customHeight="1">
      <x:c r="K587" s="18">
        <x:f t="shared" si="1"/>
        <x:v>0</x:v>
      </x:c>
      <x:c r="L587" s="18">
        <x:f t="shared" si="2"/>
        <x:v>0</x:v>
      </x:c>
      <x:c r="M587" s="121"/>
      <x:c r="N587" s="121"/>
      <x:c r="O587" s="121"/>
      <x:c r="P587" s="9"/>
      <x:c r="Q587" s="9"/>
      <x:c r="R587" s="9"/>
      <x:c r="S587" s="9"/>
      <x:c r="T587" s="9"/>
      <x:c r="U587" s="9"/>
      <x:c r="V587" s="9"/>
      <x:c r="W587" s="9"/>
      <x:c r="X587" s="9"/>
      <x:c r="Y587" s="9"/>
      <x:c r="Z587" s="9"/>
    </x:row>
    <x:row r="588" ht="14.25" customHeight="1">
      <x:c r="K588" s="18">
        <x:f t="shared" si="1"/>
        <x:v>0</x:v>
      </x:c>
      <x:c r="L588" s="18">
        <x:f t="shared" si="2"/>
        <x:v>0</x:v>
      </x:c>
      <x:c r="M588" s="119" t="n">
        <x:f>C590*Scoring!$B$34+D590/Scoring!$C$34+E590*Scoring!$D$34+WR!F590*Scoring!$E$34+WR!G590/Scoring!$F$34+WR!H590*Scoring!$G$34+WR!I590*Scoring!$H$34+K590*Scoring!$I$34+WR!L590*Scoring!$J$34+U588</x:f>
        <x:v>0</x:v>
      </x:c>
      <x:c r="N588" s="119" t="n">
        <x:f>C588*Scoring!$B$34+D588/Scoring!$C$34+E588*Scoring!$D$34+WR!F588*Scoring!$E$34+WR!G588/Scoring!$F$34+WR!H588*Scoring!$G$34+WR!I588*Scoring!$H$34+K588*Scoring!$I$34+WR!L588*Scoring!$J$34+U588</x:f>
        <x:v>0</x:v>
      </x:c>
      <x:c r="O588" s="119" t="n">
        <x:f>C589*Scoring!$B$34+D589/Scoring!$C$34+E589*Scoring!$D$34+WR!F589*Scoring!$E$34+WR!G589/Scoring!$F$34+WR!H589*Scoring!$G$34+WR!I589*Scoring!$H$34+K589*Scoring!$I$34+WR!L589*Scoring!$J$34+U588</x:f>
        <x:v>0</x:v>
      </x:c>
      <x:c r="P588" s="9" t="n">
        <x:f>IF(COUNTIF(Rookies!$A:$A,A588)&gt;0,1,0)</x:f>
        <x:v>0</x:v>
      </x:c>
      <x:c r="Q588" s="9"/>
      <x:c r="R588" s="9"/>
      <x:c r="S588" s="9" t="n">
        <x:f>V588/17</x:f>
        <x:v>0</x:v>
      </x:c>
      <x:c r="T588" s="9" t="n">
        <x:f>IF(P588=1,MAX(0,0.28*(12-S588)),0)</x:f>
        <x:v>0</x:v>
      </x:c>
      <x:c r="U588" s="9" t="n">
        <x:f>T588*17</x:f>
        <x:v>0</x:v>
      </x:c>
      <x:c r="V588" s="9" t="n">
        <x:f>C588*Scoring!$B$34+D588/Scoring!$C$34+E588*Scoring!$D$34+WR!F588*Scoring!$E$34+WR!G588/Scoring!$F$34+WR!H588*Scoring!$G$34+WR!I588*Scoring!$H$34+K588*Scoring!$I$34+WR!L588*Scoring!$J$34</x:f>
        <x:v>0</x:v>
      </x:c>
      <x:c r="W588" s="9"/>
      <x:c r="X588" s="9"/>
      <x:c r="Y588" s="9"/>
      <x:c r="Z588" s="9"/>
    </x:row>
    <x:row r="589" ht="14.25" customHeight="1">
      <x:c r="K589" s="18">
        <x:f t="shared" si="1"/>
        <x:v>0</x:v>
      </x:c>
      <x:c r="L589" s="18">
        <x:f t="shared" si="2"/>
        <x:v>0</x:v>
      </x:c>
      <x:c r="M589" s="121"/>
      <x:c r="N589" s="121"/>
      <x:c r="O589" s="121"/>
      <x:c r="P589" s="9"/>
      <x:c r="Q589" s="9"/>
      <x:c r="R589" s="9"/>
      <x:c r="S589" s="9"/>
      <x:c r="T589" s="9"/>
      <x:c r="U589" s="9"/>
      <x:c r="V589" s="9"/>
      <x:c r="W589" s="9"/>
      <x:c r="X589" s="9"/>
      <x:c r="Y589" s="9"/>
      <x:c r="Z589" s="9"/>
    </x:row>
    <x:row r="590" ht="14.25" customHeight="1">
      <x:c r="K590" s="18">
        <x:f t="shared" si="1"/>
        <x:v>0</x:v>
      </x:c>
      <x:c r="L590" s="18">
        <x:f t="shared" si="2"/>
        <x:v>0</x:v>
      </x:c>
      <x:c r="M590" s="121"/>
      <x:c r="N590" s="121"/>
      <x:c r="O590" s="121"/>
      <x:c r="P590" s="9"/>
      <x:c r="Q590" s="9"/>
      <x:c r="R590" s="9"/>
      <x:c r="S590" s="9"/>
      <x:c r="T590" s="9"/>
      <x:c r="U590" s="9"/>
      <x:c r="V590" s="9"/>
      <x:c r="W590" s="9"/>
      <x:c r="X590" s="9"/>
      <x:c r="Y590" s="9"/>
      <x:c r="Z590" s="9"/>
    </x:row>
    <x:row r="591" ht="14.25" customHeight="1">
      <x:c r="K591" s="18">
        <x:f t="shared" si="1"/>
        <x:v>0</x:v>
      </x:c>
      <x:c r="L591" s="18">
        <x:f t="shared" si="2"/>
        <x:v>0</x:v>
      </x:c>
      <x:c r="M591" s="119" t="n">
        <x:f>C593*Scoring!$B$34+D593/Scoring!$C$34+E593*Scoring!$D$34+WR!F593*Scoring!$E$34+WR!G593/Scoring!$F$34+WR!H593*Scoring!$G$34+WR!I593*Scoring!$H$34+K593*Scoring!$I$34+WR!L593*Scoring!$J$34+U591</x:f>
        <x:v>0</x:v>
      </x:c>
      <x:c r="N591" s="119" t="n">
        <x:f>C591*Scoring!$B$34+D591/Scoring!$C$34+E591*Scoring!$D$34+WR!F591*Scoring!$E$34+WR!G591/Scoring!$F$34+WR!H591*Scoring!$G$34+WR!I591*Scoring!$H$34+K591*Scoring!$I$34+WR!L591*Scoring!$J$34+U591</x:f>
        <x:v>0</x:v>
      </x:c>
      <x:c r="O591" s="119" t="n">
        <x:f>C592*Scoring!$B$34+D592/Scoring!$C$34+E592*Scoring!$D$34+WR!F592*Scoring!$E$34+WR!G592/Scoring!$F$34+WR!H592*Scoring!$G$34+WR!I592*Scoring!$H$34+K592*Scoring!$I$34+WR!L592*Scoring!$J$34+U591</x:f>
        <x:v>0</x:v>
      </x:c>
      <x:c r="P591" s="9" t="n">
        <x:f>IF(COUNTIF(Rookies!$A:$A,A591)&gt;0,1,0)</x:f>
        <x:v>0</x:v>
      </x:c>
      <x:c r="Q591" s="9"/>
      <x:c r="R591" s="9"/>
      <x:c r="S591" s="9" t="n">
        <x:f>V591/17</x:f>
        <x:v>0</x:v>
      </x:c>
      <x:c r="T591" s="9" t="n">
        <x:f>IF(P591=1,MAX(0,0.28*(12-S591)),0)</x:f>
        <x:v>0</x:v>
      </x:c>
      <x:c r="U591" s="9" t="n">
        <x:f>T591*17</x:f>
        <x:v>0</x:v>
      </x:c>
      <x:c r="V591" s="9" t="n">
        <x:f>C591*Scoring!$B$34+D591/Scoring!$C$34+E591*Scoring!$D$34+WR!F591*Scoring!$E$34+WR!G591/Scoring!$F$34+WR!H591*Scoring!$G$34+WR!I591*Scoring!$H$34+K591*Scoring!$I$34+WR!L591*Scoring!$J$34</x:f>
        <x:v>0</x:v>
      </x:c>
      <x:c r="W591" s="9"/>
      <x:c r="X591" s="9"/>
      <x:c r="Y591" s="9"/>
      <x:c r="Z591" s="9"/>
    </x:row>
    <x:row r="592" ht="14.25" customHeight="1">
      <x:c r="K592" s="18">
        <x:f t="shared" si="1"/>
        <x:v>0</x:v>
      </x:c>
      <x:c r="L592" s="18">
        <x:f t="shared" si="2"/>
        <x:v>0</x:v>
      </x:c>
      <x:c r="M592" s="121"/>
      <x:c r="N592" s="121"/>
      <x:c r="O592" s="121"/>
      <x:c r="P592" s="9"/>
      <x:c r="Q592" s="9"/>
      <x:c r="R592" s="9"/>
      <x:c r="S592" s="9"/>
      <x:c r="T592" s="9"/>
      <x:c r="U592" s="9"/>
      <x:c r="V592" s="9"/>
      <x:c r="W592" s="9"/>
      <x:c r="X592" s="9"/>
      <x:c r="Y592" s="9"/>
      <x:c r="Z592" s="9"/>
    </x:row>
    <x:row r="593" ht="14.25" customHeight="1">
      <x:c r="K593" s="18">
        <x:f t="shared" si="1"/>
        <x:v>0</x:v>
      </x:c>
      <x:c r="L593" s="18">
        <x:f t="shared" si="2"/>
        <x:v>0</x:v>
      </x:c>
      <x:c r="M593" s="121"/>
      <x:c r="N593" s="121"/>
      <x:c r="O593" s="121"/>
      <x:c r="P593" s="9"/>
      <x:c r="Q593" s="9"/>
      <x:c r="R593" s="9"/>
      <x:c r="S593" s="9"/>
      <x:c r="T593" s="9"/>
      <x:c r="U593" s="9"/>
      <x:c r="V593" s="9"/>
      <x:c r="W593" s="9"/>
      <x:c r="X593" s="9"/>
      <x:c r="Y593" s="9"/>
      <x:c r="Z593" s="9"/>
    </x:row>
    <x:row r="594" ht="14.25" customHeight="1">
      <x:c r="K594" s="18">
        <x:f t="shared" si="1"/>
        <x:v>0</x:v>
      </x:c>
      <x:c r="L594" s="18">
        <x:f t="shared" si="2"/>
        <x:v>0</x:v>
      </x:c>
      <x:c r="M594" s="119" t="n">
        <x:f>C596*Scoring!$B$34+D596/Scoring!$C$34+E596*Scoring!$D$34+WR!F596*Scoring!$E$34+WR!G596/Scoring!$F$34+WR!H596*Scoring!$G$34+WR!I596*Scoring!$H$34+K596*Scoring!$I$34+WR!L596*Scoring!$J$34+U594</x:f>
        <x:v>0</x:v>
      </x:c>
      <x:c r="N594" s="119" t="n">
        <x:f>C594*Scoring!$B$34+D594/Scoring!$C$34+E594*Scoring!$D$34+WR!F594*Scoring!$E$34+WR!G594/Scoring!$F$34+WR!H594*Scoring!$G$34+WR!I594*Scoring!$H$34+K594*Scoring!$I$34+WR!L594*Scoring!$J$34+U594</x:f>
        <x:v>0</x:v>
      </x:c>
      <x:c r="O594" s="119" t="n">
        <x:f>C595*Scoring!$B$34+D595/Scoring!$C$34+E595*Scoring!$D$34+WR!F595*Scoring!$E$34+WR!G595/Scoring!$F$34+WR!H595*Scoring!$G$34+WR!I595*Scoring!$H$34+K595*Scoring!$I$34+WR!L595*Scoring!$J$34+U594</x:f>
        <x:v>0</x:v>
      </x:c>
      <x:c r="P594" s="9" t="n">
        <x:f>IF(COUNTIF(Rookies!$A:$A,A594)&gt;0,1,0)</x:f>
        <x:v>0</x:v>
      </x:c>
      <x:c r="Q594" s="9"/>
      <x:c r="R594" s="9"/>
      <x:c r="S594" s="9" t="n">
        <x:f>V594/17</x:f>
        <x:v>0</x:v>
      </x:c>
      <x:c r="T594" s="9" t="n">
        <x:f>IF(P594=1,MAX(0,0.28*(12-S594)),0)</x:f>
        <x:v>0</x:v>
      </x:c>
      <x:c r="U594" s="9" t="n">
        <x:f>T594*17</x:f>
        <x:v>0</x:v>
      </x:c>
      <x:c r="V594" s="9" t="n">
        <x:f>C594*Scoring!$B$34+D594/Scoring!$C$34+E594*Scoring!$D$34+WR!F594*Scoring!$E$34+WR!G594/Scoring!$F$34+WR!H594*Scoring!$G$34+WR!I594*Scoring!$H$34+K594*Scoring!$I$34+WR!L594*Scoring!$J$34</x:f>
        <x:v>0</x:v>
      </x:c>
      <x:c r="W594" s="9"/>
      <x:c r="X594" s="9"/>
      <x:c r="Y594" s="9"/>
      <x:c r="Z594" s="9"/>
    </x:row>
    <x:row r="595" ht="14.25" customHeight="1">
      <x:c r="K595" s="18">
        <x:f t="shared" si="1"/>
        <x:v>0</x:v>
      </x:c>
      <x:c r="L595" s="18">
        <x:f t="shared" si="2"/>
        <x:v>0</x:v>
      </x:c>
      <x:c r="M595" s="121"/>
      <x:c r="N595" s="121"/>
      <x:c r="O595" s="121"/>
      <x:c r="P595" s="9"/>
      <x:c r="Q595" s="9"/>
      <x:c r="R595" s="9"/>
      <x:c r="S595" s="9"/>
      <x:c r="T595" s="9"/>
      <x:c r="U595" s="9"/>
      <x:c r="V595" s="9"/>
      <x:c r="W595" s="9"/>
      <x:c r="X595" s="9"/>
      <x:c r="Y595" s="9"/>
      <x:c r="Z595" s="9"/>
    </x:row>
    <x:row r="596" ht="14.25" customHeight="1">
      <x:c r="K596" s="18">
        <x:f t="shared" si="1"/>
        <x:v>0</x:v>
      </x:c>
      <x:c r="L596" s="18">
        <x:f t="shared" si="2"/>
        <x:v>0</x:v>
      </x:c>
      <x:c r="M596" s="121"/>
      <x:c r="N596" s="121"/>
      <x:c r="O596" s="121"/>
      <x:c r="P596" s="9"/>
      <x:c r="Q596" s="9"/>
      <x:c r="R596" s="9"/>
      <x:c r="S596" s="9"/>
      <x:c r="T596" s="9"/>
      <x:c r="U596" s="9"/>
      <x:c r="V596" s="9"/>
      <x:c r="W596" s="9"/>
      <x:c r="X596" s="9"/>
      <x:c r="Y596" s="9"/>
      <x:c r="Z596" s="9"/>
    </x:row>
    <x:row r="597" ht="14.25" customHeight="1">
      <x:c r="K597" s="18">
        <x:f t="shared" si="1"/>
        <x:v>0</x:v>
      </x:c>
      <x:c r="L597" s="18">
        <x:f t="shared" si="2"/>
        <x:v>0</x:v>
      </x:c>
      <x:c r="M597" s="119" t="n">
        <x:f>C599*Scoring!$B$34+D599/Scoring!$C$34+E599*Scoring!$D$34+WR!F599*Scoring!$E$34+WR!G599/Scoring!$F$34+WR!H599*Scoring!$G$34+WR!I599*Scoring!$H$34+K599*Scoring!$I$34+WR!L599*Scoring!$J$34+U597</x:f>
        <x:v>0</x:v>
      </x:c>
      <x:c r="N597" s="119" t="n">
        <x:f>C597*Scoring!$B$34+D597/Scoring!$C$34+E597*Scoring!$D$34+WR!F597*Scoring!$E$34+WR!G597/Scoring!$F$34+WR!H597*Scoring!$G$34+WR!I597*Scoring!$H$34+K597*Scoring!$I$34+WR!L597*Scoring!$J$34+U597</x:f>
        <x:v>0</x:v>
      </x:c>
      <x:c r="O597" s="119" t="n">
        <x:f>C598*Scoring!$B$34+D598/Scoring!$C$34+E598*Scoring!$D$34+WR!F598*Scoring!$E$34+WR!G598/Scoring!$F$34+WR!H598*Scoring!$G$34+WR!I598*Scoring!$H$34+K598*Scoring!$I$34+WR!L598*Scoring!$J$34+U597</x:f>
        <x:v>0</x:v>
      </x:c>
      <x:c r="P597" s="9" t="n">
        <x:f>IF(COUNTIF(Rookies!$A:$A,A597)&gt;0,1,0)</x:f>
        <x:v>0</x:v>
      </x:c>
      <x:c r="Q597" s="9"/>
      <x:c r="R597" s="9"/>
      <x:c r="S597" s="9" t="n">
        <x:f>V597/17</x:f>
        <x:v>0</x:v>
      </x:c>
      <x:c r="T597" s="9" t="n">
        <x:f>IF(P597=1,MAX(0,0.28*(12-S597)),0)</x:f>
        <x:v>0</x:v>
      </x:c>
      <x:c r="U597" s="9" t="n">
        <x:f>T597*17</x:f>
        <x:v>0</x:v>
      </x:c>
      <x:c r="V597" s="9" t="n">
        <x:f>C597*Scoring!$B$34+D597/Scoring!$C$34+E597*Scoring!$D$34+WR!F597*Scoring!$E$34+WR!G597/Scoring!$F$34+WR!H597*Scoring!$G$34+WR!I597*Scoring!$H$34+K597*Scoring!$I$34+WR!L597*Scoring!$J$34</x:f>
        <x:v>0</x:v>
      </x:c>
      <x:c r="W597" s="9"/>
      <x:c r="X597" s="9"/>
      <x:c r="Y597" s="9"/>
      <x:c r="Z597" s="9"/>
    </x:row>
    <x:row r="598" ht="14.25" customHeight="1">
      <x:c r="K598" s="18">
        <x:f t="shared" si="1"/>
        <x:v>0</x:v>
      </x:c>
      <x:c r="L598" s="18">
        <x:f t="shared" si="2"/>
        <x:v>0</x:v>
      </x:c>
      <x:c r="M598" s="121"/>
      <x:c r="N598" s="121"/>
      <x:c r="O598" s="121"/>
      <x:c r="P598" s="9"/>
      <x:c r="Q598" s="9"/>
      <x:c r="R598" s="9"/>
      <x:c r="S598" s="9"/>
      <x:c r="T598" s="9"/>
      <x:c r="U598" s="9"/>
      <x:c r="V598" s="9"/>
      <x:c r="W598" s="9"/>
      <x:c r="X598" s="9"/>
      <x:c r="Y598" s="9"/>
      <x:c r="Z598" s="9"/>
    </x:row>
    <x:row r="599" ht="14.25" customHeight="1">
      <x:c r="K599" s="18">
        <x:f t="shared" si="1"/>
        <x:v>0</x:v>
      </x:c>
      <x:c r="L599" s="18">
        <x:f t="shared" si="2"/>
        <x:v>0</x:v>
      </x:c>
      <x:c r="M599" s="121"/>
      <x:c r="N599" s="121"/>
      <x:c r="O599" s="121"/>
      <x:c r="P599" s="9"/>
      <x:c r="Q599" s="9"/>
      <x:c r="R599" s="9"/>
      <x:c r="S599" s="9"/>
      <x:c r="T599" s="9"/>
      <x:c r="U599" s="9"/>
      <x:c r="V599" s="9"/>
      <x:c r="W599" s="9"/>
      <x:c r="X599" s="9"/>
      <x:c r="Y599" s="9"/>
      <x:c r="Z599" s="9"/>
    </x:row>
    <x:row r="600" ht="14.25" customHeight="1">
      <x:c r="K600" s="18">
        <x:f t="shared" si="1"/>
        <x:v>0</x:v>
      </x:c>
      <x:c r="L600" s="18">
        <x:f t="shared" si="2"/>
        <x:v>0</x:v>
      </x:c>
      <x:c r="M600" s="119" t="n">
        <x:f>C602*Scoring!$B$34+D602/Scoring!$C$34+E602*Scoring!$D$34+WR!F602*Scoring!$E$34+WR!G602/Scoring!$F$34+WR!H602*Scoring!$G$34+WR!I602*Scoring!$H$34+K602*Scoring!$I$34+WR!L602*Scoring!$J$34+U600</x:f>
        <x:v>0</x:v>
      </x:c>
      <x:c r="N600" s="119" t="n">
        <x:f>C600*Scoring!$B$34+D600/Scoring!$C$34+E600*Scoring!$D$34+WR!F600*Scoring!$E$34+WR!G600/Scoring!$F$34+WR!H600*Scoring!$G$34+WR!I600*Scoring!$H$34+K600*Scoring!$I$34+WR!L600*Scoring!$J$34+U600</x:f>
        <x:v>0</x:v>
      </x:c>
      <x:c r="O600" s="119" t="n">
        <x:f>C601*Scoring!$B$34+D601/Scoring!$C$34+E601*Scoring!$D$34+WR!F601*Scoring!$E$34+WR!G601/Scoring!$F$34+WR!H601*Scoring!$G$34+WR!I601*Scoring!$H$34+K601*Scoring!$I$34+WR!L601*Scoring!$J$34+U600</x:f>
        <x:v>0</x:v>
      </x:c>
      <x:c r="P600" s="9" t="n">
        <x:f>IF(COUNTIF(Rookies!$A:$A,A600)&gt;0,1,0)</x:f>
        <x:v>0</x:v>
      </x:c>
      <x:c r="Q600" s="9"/>
      <x:c r="R600" s="9"/>
      <x:c r="S600" s="9" t="n">
        <x:f>V600/17</x:f>
        <x:v>0</x:v>
      </x:c>
      <x:c r="T600" s="9" t="n">
        <x:f>IF(P600=1,MAX(0,0.28*(12-S600)),0)</x:f>
        <x:v>0</x:v>
      </x:c>
      <x:c r="U600" s="9" t="n">
        <x:f>T600*17</x:f>
        <x:v>0</x:v>
      </x:c>
      <x:c r="V600" s="9" t="n">
        <x:f>C600*Scoring!$B$34+D600/Scoring!$C$34+E600*Scoring!$D$34+WR!F600*Scoring!$E$34+WR!G600/Scoring!$F$34+WR!H600*Scoring!$G$34+WR!I600*Scoring!$H$34+K600*Scoring!$I$34+WR!L600*Scoring!$J$34</x:f>
        <x:v>0</x:v>
      </x:c>
      <x:c r="W600" s="9"/>
      <x:c r="X600" s="9"/>
      <x:c r="Y600" s="9"/>
      <x:c r="Z600" s="9"/>
    </x:row>
    <x:row r="601" ht="14.25" customHeight="1">
      <x:c r="K601" s="18">
        <x:f t="shared" si="1"/>
        <x:v>0</x:v>
      </x:c>
      <x:c r="L601" s="18">
        <x:f t="shared" si="2"/>
        <x:v>0</x:v>
      </x:c>
      <x:c r="M601" s="121"/>
      <x:c r="N601" s="121"/>
      <x:c r="O601" s="121"/>
      <x:c r="P601" s="9"/>
      <x:c r="Q601" s="9"/>
      <x:c r="R601" s="9"/>
      <x:c r="S601" s="9"/>
      <x:c r="T601" s="9"/>
      <x:c r="U601" s="9"/>
      <x:c r="V601" s="9"/>
      <x:c r="W601" s="9"/>
      <x:c r="X601" s="9"/>
      <x:c r="Y601" s="9"/>
      <x:c r="Z601" s="9"/>
    </x:row>
    <x:row r="602" ht="14.25" customHeight="1">
      <x:c r="K602" s="18">
        <x:f t="shared" si="1"/>
        <x:v>0</x:v>
      </x:c>
      <x:c r="L602" s="18">
        <x:f t="shared" si="2"/>
        <x:v>0</x:v>
      </x:c>
      <x:c r="M602" s="121"/>
      <x:c r="N602" s="121"/>
      <x:c r="O602" s="121"/>
      <x:c r="P602" s="9"/>
      <x:c r="Q602" s="9"/>
      <x:c r="R602" s="9"/>
      <x:c r="S602" s="9"/>
      <x:c r="T602" s="9"/>
      <x:c r="U602" s="9"/>
      <x:c r="V602" s="9"/>
      <x:c r="W602" s="9"/>
      <x:c r="X602" s="9"/>
      <x:c r="Y602" s="9"/>
      <x:c r="Z602" s="9"/>
    </x:row>
    <x:row r="603" ht="14.25" customHeight="1">
      <x:c r="K603" s="18">
        <x:f t="shared" si="1"/>
        <x:v>0</x:v>
      </x:c>
      <x:c r="L603" s="18">
        <x:f t="shared" si="2"/>
        <x:v>0</x:v>
      </x:c>
      <x:c r="M603" s="119" t="n">
        <x:f>C605*Scoring!$B$34+D605/Scoring!$C$34+E605*Scoring!$D$34+WR!F605*Scoring!$E$34+WR!G605/Scoring!$F$34+WR!H605*Scoring!$G$34+WR!I605*Scoring!$H$34+K605*Scoring!$I$34+WR!L605*Scoring!$J$34+U603</x:f>
        <x:v>0</x:v>
      </x:c>
      <x:c r="N603" s="119" t="n">
        <x:f>C603*Scoring!$B$34+D603/Scoring!$C$34+E603*Scoring!$D$34+WR!F603*Scoring!$E$34+WR!G603/Scoring!$F$34+WR!H603*Scoring!$G$34+WR!I603*Scoring!$H$34+K603*Scoring!$I$34+WR!L603*Scoring!$J$34+U603</x:f>
        <x:v>0</x:v>
      </x:c>
      <x:c r="O603" s="119" t="n">
        <x:f>C604*Scoring!$B$34+D604/Scoring!$C$34+E604*Scoring!$D$34+WR!F604*Scoring!$E$34+WR!G604/Scoring!$F$34+WR!H604*Scoring!$G$34+WR!I604*Scoring!$H$34+K604*Scoring!$I$34+WR!L604*Scoring!$J$34+U603</x:f>
        <x:v>0</x:v>
      </x:c>
      <x:c r="P603" s="9" t="n">
        <x:f>IF(COUNTIF(Rookies!$A:$A,A603)&gt;0,1,0)</x:f>
        <x:v>0</x:v>
      </x:c>
      <x:c r="Q603" s="9"/>
      <x:c r="R603" s="9"/>
      <x:c r="S603" s="9" t="n">
        <x:f>V603/17</x:f>
        <x:v>0</x:v>
      </x:c>
      <x:c r="T603" s="9" t="n">
        <x:f>IF(P603=1,MAX(0,0.28*(12-S603)),0)</x:f>
        <x:v>0</x:v>
      </x:c>
      <x:c r="U603" s="9" t="n">
        <x:f>T603*17</x:f>
        <x:v>0</x:v>
      </x:c>
      <x:c r="V603" s="9" t="n">
        <x:f>C603*Scoring!$B$34+D603/Scoring!$C$34+E603*Scoring!$D$34+WR!F603*Scoring!$E$34+WR!G603/Scoring!$F$34+WR!H603*Scoring!$G$34+WR!I603*Scoring!$H$34+K603*Scoring!$I$34+WR!L603*Scoring!$J$34</x:f>
        <x:v>0</x:v>
      </x:c>
      <x:c r="W603" s="9"/>
      <x:c r="X603" s="9"/>
      <x:c r="Y603" s="9"/>
      <x:c r="Z603" s="9"/>
    </x:row>
    <x:row r="604" ht="14.25" customHeight="1">
      <x:c r="K604" s="18">
        <x:f t="shared" si="1"/>
        <x:v>0</x:v>
      </x:c>
      <x:c r="L604" s="18">
        <x:f t="shared" si="2"/>
        <x:v>0</x:v>
      </x:c>
      <x:c r="M604" s="121"/>
      <x:c r="N604" s="121"/>
      <x:c r="O604" s="121"/>
      <x:c r="P604" s="9"/>
      <x:c r="Q604" s="9"/>
      <x:c r="R604" s="9"/>
      <x:c r="S604" s="9"/>
      <x:c r="T604" s="9"/>
      <x:c r="U604" s="9"/>
      <x:c r="V604" s="9"/>
      <x:c r="W604" s="9"/>
      <x:c r="X604" s="9"/>
      <x:c r="Y604" s="9"/>
      <x:c r="Z604" s="9"/>
    </x:row>
    <x:row r="605" ht="14.25" customHeight="1">
      <x:c r="K605" s="18">
        <x:f t="shared" si="1"/>
        <x:v>0</x:v>
      </x:c>
      <x:c r="L605" s="18">
        <x:f t="shared" si="2"/>
        <x:v>0</x:v>
      </x:c>
      <x:c r="M605" s="121"/>
      <x:c r="N605" s="121"/>
      <x:c r="O605" s="121"/>
      <x:c r="P605" s="9"/>
      <x:c r="Q605" s="9"/>
      <x:c r="R605" s="9"/>
      <x:c r="S605" s="9"/>
      <x:c r="T605" s="9"/>
      <x:c r="U605" s="9"/>
      <x:c r="V605" s="9"/>
      <x:c r="W605" s="9"/>
      <x:c r="X605" s="9"/>
      <x:c r="Y605" s="9"/>
      <x:c r="Z605" s="9"/>
    </x:row>
    <x:row r="606" ht="14.25" customHeight="1">
      <x:c r="K606" s="18">
        <x:f t="shared" si="1"/>
        <x:v>0</x:v>
      </x:c>
      <x:c r="L606" s="18">
        <x:f t="shared" si="2"/>
        <x:v>0</x:v>
      </x:c>
      <x:c r="M606" s="119" t="n">
        <x:f>C608*Scoring!$B$34+D608/Scoring!$C$34+E608*Scoring!$D$34+WR!F608*Scoring!$E$34+WR!G608/Scoring!$F$34+WR!H608*Scoring!$G$34+WR!I608*Scoring!$H$34+K608*Scoring!$I$34+WR!L608*Scoring!$J$34+U606</x:f>
        <x:v>0</x:v>
      </x:c>
      <x:c r="N606" s="119" t="n">
        <x:f>C606*Scoring!$B$34+D606/Scoring!$C$34+E606*Scoring!$D$34+WR!F606*Scoring!$E$34+WR!G606/Scoring!$F$34+WR!H606*Scoring!$G$34+WR!I606*Scoring!$H$34+K606*Scoring!$I$34+WR!L606*Scoring!$J$34+U606</x:f>
        <x:v>0</x:v>
      </x:c>
      <x:c r="O606" s="119" t="n">
        <x:f>C607*Scoring!$B$34+D607/Scoring!$C$34+E607*Scoring!$D$34+WR!F607*Scoring!$E$34+WR!G607/Scoring!$F$34+WR!H607*Scoring!$G$34+WR!I607*Scoring!$H$34+K607*Scoring!$I$34+WR!L607*Scoring!$J$34+U606</x:f>
        <x:v>0</x:v>
      </x:c>
      <x:c r="P606" s="9" t="n">
        <x:f>IF(COUNTIF(Rookies!$A:$A,A606)&gt;0,1,0)</x:f>
        <x:v>0</x:v>
      </x:c>
      <x:c r="Q606" s="9"/>
      <x:c r="R606" s="9"/>
      <x:c r="S606" s="9" t="n">
        <x:f>V606/17</x:f>
        <x:v>0</x:v>
      </x:c>
      <x:c r="T606" s="9" t="n">
        <x:f>IF(P606=1,MAX(0,0.28*(12-S606)),0)</x:f>
        <x:v>0</x:v>
      </x:c>
      <x:c r="U606" s="9" t="n">
        <x:f>T606*17</x:f>
        <x:v>0</x:v>
      </x:c>
      <x:c r="V606" s="9" t="n">
        <x:f>C606*Scoring!$B$34+D606/Scoring!$C$34+E606*Scoring!$D$34+WR!F606*Scoring!$E$34+WR!G606/Scoring!$F$34+WR!H606*Scoring!$G$34+WR!I606*Scoring!$H$34+K606*Scoring!$I$34+WR!L606*Scoring!$J$34</x:f>
        <x:v>0</x:v>
      </x:c>
      <x:c r="W606" s="9"/>
      <x:c r="X606" s="9"/>
      <x:c r="Y606" s="9"/>
      <x:c r="Z606" s="9"/>
    </x:row>
    <x:row r="607" ht="14.25" customHeight="1">
      <x:c r="K607" s="18">
        <x:f t="shared" si="1"/>
        <x:v>0</x:v>
      </x:c>
      <x:c r="L607" s="18">
        <x:f t="shared" si="2"/>
        <x:v>0</x:v>
      </x:c>
      <x:c r="M607" s="121"/>
      <x:c r="N607" s="121"/>
      <x:c r="O607" s="121"/>
      <x:c r="P607" s="9"/>
      <x:c r="Q607" s="9"/>
      <x:c r="R607" s="9"/>
      <x:c r="S607" s="9"/>
      <x:c r="T607" s="9"/>
      <x:c r="U607" s="9"/>
      <x:c r="V607" s="9"/>
      <x:c r="W607" s="9"/>
      <x:c r="X607" s="9"/>
      <x:c r="Y607" s="9"/>
      <x:c r="Z607" s="9"/>
    </x:row>
    <x:row r="608" ht="14.25" customHeight="1">
      <x:c r="K608" s="18">
        <x:f t="shared" si="1"/>
        <x:v>0</x:v>
      </x:c>
      <x:c r="L608" s="18">
        <x:f t="shared" si="2"/>
        <x:v>0</x:v>
      </x:c>
      <x:c r="M608" s="121"/>
      <x:c r="N608" s="121"/>
      <x:c r="O608" s="121"/>
      <x:c r="P608" s="9"/>
      <x:c r="Q608" s="9"/>
      <x:c r="R608" s="9"/>
      <x:c r="S608" s="9"/>
      <x:c r="T608" s="9"/>
      <x:c r="U608" s="9"/>
      <x:c r="V608" s="9"/>
      <x:c r="W608" s="9"/>
      <x:c r="X608" s="9"/>
      <x:c r="Y608" s="9"/>
      <x:c r="Z608" s="9"/>
    </x:row>
    <x:row r="609" ht="14.25" customHeight="1">
      <x:c r="K609" s="18">
        <x:f t="shared" si="1"/>
        <x:v>0</x:v>
      </x:c>
      <x:c r="L609" s="18">
        <x:f t="shared" si="2"/>
        <x:v>0</x:v>
      </x:c>
      <x:c r="M609" s="119" t="n">
        <x:f>C611*Scoring!$B$34+D611/Scoring!$C$34+E611*Scoring!$D$34+WR!F611*Scoring!$E$34+WR!G611/Scoring!$F$34+WR!H611*Scoring!$G$34+WR!I611*Scoring!$H$34+K611*Scoring!$I$34+WR!L611*Scoring!$J$34+U609</x:f>
        <x:v>0</x:v>
      </x:c>
      <x:c r="N609" s="119" t="n">
        <x:f>C609*Scoring!$B$34+D609/Scoring!$C$34+E609*Scoring!$D$34+WR!F609*Scoring!$E$34+WR!G609/Scoring!$F$34+WR!H609*Scoring!$G$34+WR!I609*Scoring!$H$34+K609*Scoring!$I$34+WR!L609*Scoring!$J$34+U609</x:f>
        <x:v>0</x:v>
      </x:c>
      <x:c r="O609" s="119" t="n">
        <x:f>C610*Scoring!$B$34+D610/Scoring!$C$34+E610*Scoring!$D$34+WR!F610*Scoring!$E$34+WR!G610/Scoring!$F$34+WR!H610*Scoring!$G$34+WR!I610*Scoring!$H$34+K610*Scoring!$I$34+WR!L610*Scoring!$J$34+U609</x:f>
        <x:v>0</x:v>
      </x:c>
      <x:c r="P609" s="9" t="n">
        <x:f>IF(COUNTIF(Rookies!$A:$A,A609)&gt;0,1,0)</x:f>
        <x:v>0</x:v>
      </x:c>
      <x:c r="Q609" s="9"/>
      <x:c r="R609" s="9"/>
      <x:c r="S609" s="9" t="n">
        <x:f>V609/17</x:f>
        <x:v>0</x:v>
      </x:c>
      <x:c r="T609" s="9" t="n">
        <x:f>IF(P609=1,MAX(0,0.28*(12-S609)),0)</x:f>
        <x:v>0</x:v>
      </x:c>
      <x:c r="U609" s="9" t="n">
        <x:f>T609*17</x:f>
        <x:v>0</x:v>
      </x:c>
      <x:c r="V609" s="9" t="n">
        <x:f>C609*Scoring!$B$34+D609/Scoring!$C$34+E609*Scoring!$D$34+WR!F609*Scoring!$E$34+WR!G609/Scoring!$F$34+WR!H609*Scoring!$G$34+WR!I609*Scoring!$H$34+K609*Scoring!$I$34+WR!L609*Scoring!$J$34</x:f>
        <x:v>0</x:v>
      </x:c>
      <x:c r="W609" s="9"/>
      <x:c r="X609" s="9"/>
      <x:c r="Y609" s="9"/>
      <x:c r="Z609" s="9"/>
    </x:row>
    <x:row r="610" ht="14.25" customHeight="1">
      <x:c r="K610" s="18">
        <x:f t="shared" si="1"/>
        <x:v>0</x:v>
      </x:c>
      <x:c r="L610" s="18">
        <x:f t="shared" si="2"/>
        <x:v>0</x:v>
      </x:c>
      <x:c r="M610" s="121"/>
      <x:c r="N610" s="121"/>
      <x:c r="O610" s="121"/>
      <x:c r="P610" s="9"/>
      <x:c r="Q610" s="9"/>
      <x:c r="R610" s="9"/>
      <x:c r="S610" s="9"/>
      <x:c r="T610" s="9"/>
      <x:c r="U610" s="9"/>
      <x:c r="V610" s="9"/>
      <x:c r="W610" s="9"/>
      <x:c r="X610" s="9"/>
      <x:c r="Y610" s="9"/>
      <x:c r="Z610" s="9"/>
    </x:row>
    <x:row r="611" ht="14.25" customHeight="1">
      <x:c r="K611" s="18">
        <x:f t="shared" si="1"/>
        <x:v>0</x:v>
      </x:c>
      <x:c r="L611" s="18">
        <x:f t="shared" si="2"/>
        <x:v>0</x:v>
      </x:c>
      <x:c r="M611" s="121"/>
      <x:c r="N611" s="121"/>
      <x:c r="O611" s="121"/>
      <x:c r="P611" s="9"/>
      <x:c r="Q611" s="9"/>
      <x:c r="R611" s="9"/>
      <x:c r="S611" s="9"/>
      <x:c r="T611" s="9"/>
      <x:c r="U611" s="9"/>
      <x:c r="V611" s="9"/>
      <x:c r="W611" s="9"/>
      <x:c r="X611" s="9"/>
      <x:c r="Y611" s="9"/>
      <x:c r="Z611" s="9"/>
    </x:row>
    <x:row r="612" ht="14.25" customHeight="1">
      <x:c r="K612" s="18">
        <x:f t="shared" si="1"/>
        <x:v>0</x:v>
      </x:c>
      <x:c r="L612" s="18">
        <x:f t="shared" si="2"/>
        <x:v>0</x:v>
      </x:c>
      <x:c r="M612" s="119" t="n">
        <x:f>C614*Scoring!$B$34+D614/Scoring!$C$34+E614*Scoring!$D$34+WR!F614*Scoring!$E$34+WR!G614/Scoring!$F$34+WR!H614*Scoring!$G$34+WR!I614*Scoring!$H$34+K614*Scoring!$I$34+WR!L614*Scoring!$J$34+U612</x:f>
        <x:v>0</x:v>
      </x:c>
      <x:c r="N612" s="119" t="n">
        <x:f>C612*Scoring!$B$34+D612/Scoring!$C$34+E612*Scoring!$D$34+WR!F612*Scoring!$E$34+WR!G612/Scoring!$F$34+WR!H612*Scoring!$G$34+WR!I612*Scoring!$H$34+K612*Scoring!$I$34+WR!L612*Scoring!$J$34+U612</x:f>
        <x:v>0</x:v>
      </x:c>
      <x:c r="O612" s="119" t="n">
        <x:f>C613*Scoring!$B$34+D613/Scoring!$C$34+E613*Scoring!$D$34+WR!F613*Scoring!$E$34+WR!G613/Scoring!$F$34+WR!H613*Scoring!$G$34+WR!I613*Scoring!$H$34+K613*Scoring!$I$34+WR!L613*Scoring!$J$34+U612</x:f>
        <x:v>0</x:v>
      </x:c>
      <x:c r="P612" s="9" t="n">
        <x:f>IF(COUNTIF(Rookies!$A:$A,A612)&gt;0,1,0)</x:f>
        <x:v>0</x:v>
      </x:c>
      <x:c r="Q612" s="9"/>
      <x:c r="R612" s="9"/>
      <x:c r="S612" s="9" t="n">
        <x:f>V612/17</x:f>
        <x:v>0</x:v>
      </x:c>
      <x:c r="T612" s="9" t="n">
        <x:f>IF(P612=1,MAX(0,0.28*(12-S612)),0)</x:f>
        <x:v>0</x:v>
      </x:c>
      <x:c r="U612" s="9" t="n">
        <x:f>T612*17</x:f>
        <x:v>0</x:v>
      </x:c>
      <x:c r="V612" s="9" t="n">
        <x:f>C612*Scoring!$B$34+D612/Scoring!$C$34+E612*Scoring!$D$34+WR!F612*Scoring!$E$34+WR!G612/Scoring!$F$34+WR!H612*Scoring!$G$34+WR!I612*Scoring!$H$34+K612*Scoring!$I$34+WR!L612*Scoring!$J$34</x:f>
        <x:v>0</x:v>
      </x:c>
      <x:c r="W612" s="9"/>
      <x:c r="X612" s="9"/>
      <x:c r="Y612" s="9"/>
      <x:c r="Z612" s="9"/>
    </x:row>
    <x:row r="613" ht="14.25" customHeight="1">
      <x:c r="K613" s="18">
        <x:f t="shared" si="1"/>
        <x:v>0</x:v>
      </x:c>
      <x:c r="L613" s="18">
        <x:f t="shared" si="2"/>
        <x:v>0</x:v>
      </x:c>
      <x:c r="M613" s="121"/>
      <x:c r="N613" s="121"/>
      <x:c r="O613" s="121"/>
      <x:c r="P613" s="9"/>
      <x:c r="Q613" s="9"/>
      <x:c r="R613" s="9"/>
      <x:c r="S613" s="9"/>
      <x:c r="T613" s="9"/>
      <x:c r="U613" s="9"/>
      <x:c r="V613" s="9"/>
      <x:c r="W613" s="9"/>
      <x:c r="X613" s="9"/>
      <x:c r="Y613" s="9"/>
      <x:c r="Z613" s="9"/>
    </x:row>
    <x:row r="614" ht="14.25" customHeight="1">
      <x:c r="K614" s="18">
        <x:f t="shared" si="1"/>
        <x:v>0</x:v>
      </x:c>
      <x:c r="L614" s="18">
        <x:f t="shared" si="2"/>
        <x:v>0</x:v>
      </x:c>
      <x:c r="M614" s="121"/>
      <x:c r="N614" s="121"/>
      <x:c r="O614" s="121"/>
      <x:c r="P614" s="9"/>
      <x:c r="Q614" s="9"/>
      <x:c r="R614" s="9"/>
      <x:c r="S614" s="9"/>
      <x:c r="T614" s="9"/>
      <x:c r="U614" s="9"/>
      <x:c r="V614" s="9"/>
      <x:c r="W614" s="9"/>
      <x:c r="X614" s="9"/>
      <x:c r="Y614" s="9"/>
      <x:c r="Z614" s="9"/>
    </x:row>
    <x:row r="615" ht="14.25" customHeight="1">
      <x:c r="K615" s="18">
        <x:f t="shared" si="1"/>
        <x:v>0</x:v>
      </x:c>
      <x:c r="L615" s="18">
        <x:f t="shared" si="2"/>
        <x:v>0</x:v>
      </x:c>
      <x:c r="M615" s="119" t="n">
        <x:f>C617*Scoring!$B$34+D617/Scoring!$C$34+E617*Scoring!$D$34+WR!F617*Scoring!$E$34+WR!G617/Scoring!$F$34+WR!H617*Scoring!$G$34+WR!I617*Scoring!$H$34+K617*Scoring!$I$34+WR!L617*Scoring!$J$34+U615</x:f>
        <x:v>0</x:v>
      </x:c>
      <x:c r="N615" s="119" t="n">
        <x:f>C615*Scoring!$B$34+D615/Scoring!$C$34+E615*Scoring!$D$34+WR!F615*Scoring!$E$34+WR!G615/Scoring!$F$34+WR!H615*Scoring!$G$34+WR!I615*Scoring!$H$34+K615*Scoring!$I$34+WR!L615*Scoring!$J$34+U615</x:f>
        <x:v>0</x:v>
      </x:c>
      <x:c r="O615" s="119" t="n">
        <x:f>C616*Scoring!$B$34+D616/Scoring!$C$34+E616*Scoring!$D$34+WR!F616*Scoring!$E$34+WR!G616/Scoring!$F$34+WR!H616*Scoring!$G$34+WR!I616*Scoring!$H$34+K616*Scoring!$I$34+WR!L616*Scoring!$J$34+U615</x:f>
        <x:v>0</x:v>
      </x:c>
      <x:c r="P615" s="9" t="n">
        <x:f>IF(COUNTIF(Rookies!$A:$A,A615)&gt;0,1,0)</x:f>
        <x:v>0</x:v>
      </x:c>
      <x:c r="Q615" s="9"/>
      <x:c r="R615" s="9"/>
      <x:c r="S615" s="9" t="n">
        <x:f>V615/17</x:f>
        <x:v>0</x:v>
      </x:c>
      <x:c r="T615" s="9" t="n">
        <x:f>IF(P615=1,MAX(0,0.28*(12-S615)),0)</x:f>
        <x:v>0</x:v>
      </x:c>
      <x:c r="U615" s="9" t="n">
        <x:f>T615*17</x:f>
        <x:v>0</x:v>
      </x:c>
      <x:c r="V615" s="9" t="n">
        <x:f>C615*Scoring!$B$34+D615/Scoring!$C$34+E615*Scoring!$D$34+WR!F615*Scoring!$E$34+WR!G615/Scoring!$F$34+WR!H615*Scoring!$G$34+WR!I615*Scoring!$H$34+K615*Scoring!$I$34+WR!L615*Scoring!$J$34</x:f>
        <x:v>0</x:v>
      </x:c>
      <x:c r="W615" s="9"/>
      <x:c r="X615" s="9"/>
      <x:c r="Y615" s="9"/>
      <x:c r="Z615" s="9"/>
    </x:row>
    <x:row r="616" ht="14.25" customHeight="1">
      <x:c r="K616" s="18">
        <x:f t="shared" si="1"/>
        <x:v>0</x:v>
      </x:c>
      <x:c r="L616" s="18">
        <x:f t="shared" si="2"/>
        <x:v>0</x:v>
      </x:c>
      <x:c r="M616" s="121"/>
      <x:c r="N616" s="121"/>
      <x:c r="O616" s="121"/>
      <x:c r="P616" s="9"/>
      <x:c r="Q616" s="9"/>
      <x:c r="R616" s="9"/>
      <x:c r="S616" s="9"/>
      <x:c r="T616" s="9"/>
      <x:c r="U616" s="9"/>
      <x:c r="V616" s="9"/>
      <x:c r="W616" s="9"/>
      <x:c r="X616" s="9"/>
      <x:c r="Y616" s="9"/>
      <x:c r="Z616" s="9"/>
    </x:row>
    <x:row r="617" ht="14.25" customHeight="1">
      <x:c r="K617" s="18">
        <x:f t="shared" si="1"/>
        <x:v>0</x:v>
      </x:c>
      <x:c r="L617" s="18">
        <x:f t="shared" si="2"/>
        <x:v>0</x:v>
      </x:c>
      <x:c r="M617" s="121"/>
      <x:c r="N617" s="121"/>
      <x:c r="O617" s="121"/>
      <x:c r="P617" s="9"/>
      <x:c r="Q617" s="9"/>
      <x:c r="R617" s="9"/>
      <x:c r="S617" s="9"/>
      <x:c r="T617" s="9"/>
      <x:c r="U617" s="9"/>
      <x:c r="V617" s="9"/>
      <x:c r="W617" s="9"/>
      <x:c r="X617" s="9"/>
      <x:c r="Y617" s="9"/>
      <x:c r="Z617" s="9"/>
    </x:row>
    <x:row r="618" ht="14.25" customHeight="1">
      <x:c r="K618" s="18">
        <x:f t="shared" si="1"/>
        <x:v>0</x:v>
      </x:c>
      <x:c r="L618" s="18">
        <x:f t="shared" si="2"/>
        <x:v>0</x:v>
      </x:c>
      <x:c r="M618" s="119" t="n">
        <x:f>C620*Scoring!$B$34+D620/Scoring!$C$34+E620*Scoring!$D$34+WR!F620*Scoring!$E$34+WR!G620/Scoring!$F$34+WR!H620*Scoring!$G$34+WR!I620*Scoring!$H$34+K620*Scoring!$I$34+WR!L620*Scoring!$J$34+U618</x:f>
        <x:v>0</x:v>
      </x:c>
      <x:c r="N618" s="119" t="n">
        <x:f>C618*Scoring!$B$34+D618/Scoring!$C$34+E618*Scoring!$D$34+WR!F618*Scoring!$E$34+WR!G618/Scoring!$F$34+WR!H618*Scoring!$G$34+WR!I618*Scoring!$H$34+K618*Scoring!$I$34+WR!L618*Scoring!$J$34+U618</x:f>
        <x:v>0</x:v>
      </x:c>
      <x:c r="O618" s="119" t="n">
        <x:f>C619*Scoring!$B$34+D619/Scoring!$C$34+E619*Scoring!$D$34+WR!F619*Scoring!$E$34+WR!G619/Scoring!$F$34+WR!H619*Scoring!$G$34+WR!I619*Scoring!$H$34+K619*Scoring!$I$34+WR!L619*Scoring!$J$34+U618</x:f>
        <x:v>0</x:v>
      </x:c>
      <x:c r="P618" s="9" t="n">
        <x:f>IF(COUNTIF(Rookies!$A:$A,A618)&gt;0,1,0)</x:f>
        <x:v>0</x:v>
      </x:c>
      <x:c r="Q618" s="9"/>
      <x:c r="R618" s="9"/>
      <x:c r="S618" s="9" t="n">
        <x:f>V618/17</x:f>
        <x:v>0</x:v>
      </x:c>
      <x:c r="T618" s="9" t="n">
        <x:f>IF(P618=1,MAX(0,0.28*(12-S618)),0)</x:f>
        <x:v>0</x:v>
      </x:c>
      <x:c r="U618" s="9" t="n">
        <x:f>T618*17</x:f>
        <x:v>0</x:v>
      </x:c>
      <x:c r="V618" s="9" t="n">
        <x:f>C618*Scoring!$B$34+D618/Scoring!$C$34+E618*Scoring!$D$34+WR!F618*Scoring!$E$34+WR!G618/Scoring!$F$34+WR!H618*Scoring!$G$34+WR!I618*Scoring!$H$34+K618*Scoring!$I$34+WR!L618*Scoring!$J$34</x:f>
        <x:v>0</x:v>
      </x:c>
      <x:c r="W618" s="9"/>
      <x:c r="X618" s="9"/>
      <x:c r="Y618" s="9"/>
      <x:c r="Z618" s="9"/>
    </x:row>
    <x:row r="619" ht="14.25" customHeight="1">
      <x:c r="K619" s="18">
        <x:f t="shared" si="1"/>
        <x:v>0</x:v>
      </x:c>
      <x:c r="L619" s="18">
        <x:f t="shared" si="2"/>
        <x:v>0</x:v>
      </x:c>
      <x:c r="M619" s="121"/>
      <x:c r="N619" s="121"/>
      <x:c r="O619" s="121"/>
      <x:c r="P619" s="9"/>
      <x:c r="Q619" s="9"/>
      <x:c r="R619" s="9"/>
      <x:c r="S619" s="9"/>
      <x:c r="T619" s="9"/>
      <x:c r="U619" s="9"/>
      <x:c r="V619" s="9"/>
      <x:c r="W619" s="9"/>
      <x:c r="X619" s="9"/>
      <x:c r="Y619" s="9"/>
      <x:c r="Z619" s="9"/>
    </x:row>
    <x:row r="620" ht="14.25" customHeight="1">
      <x:c r="K620" s="18">
        <x:f t="shared" si="1"/>
        <x:v>0</x:v>
      </x:c>
      <x:c r="L620" s="18">
        <x:f t="shared" si="2"/>
        <x:v>0</x:v>
      </x:c>
      <x:c r="M620" s="121"/>
      <x:c r="N620" s="121"/>
      <x:c r="O620" s="121"/>
      <x:c r="P620" s="9"/>
      <x:c r="Q620" s="9"/>
      <x:c r="R620" s="9"/>
      <x:c r="S620" s="9"/>
      <x:c r="T620" s="9"/>
      <x:c r="U620" s="9"/>
      <x:c r="V620" s="9"/>
      <x:c r="W620" s="9"/>
      <x:c r="X620" s="9"/>
      <x:c r="Y620" s="9"/>
      <x:c r="Z620" s="9"/>
    </x:row>
    <x:row r="621" ht="14.25" customHeight="1">
      <x:c r="K621" s="18">
        <x:f t="shared" si="1"/>
        <x:v>0</x:v>
      </x:c>
      <x:c r="L621" s="18">
        <x:f t="shared" si="2"/>
        <x:v>0</x:v>
      </x:c>
      <x:c r="M621" s="119" t="n">
        <x:f>C623*Scoring!$B$34+D623/Scoring!$C$34+E623*Scoring!$D$34+WR!F623*Scoring!$E$34+WR!G623/Scoring!$F$34+WR!H623*Scoring!$G$34+WR!I623*Scoring!$H$34+K623*Scoring!$I$34+WR!L623*Scoring!$J$34+U621</x:f>
        <x:v>0</x:v>
      </x:c>
      <x:c r="N621" s="119" t="n">
        <x:f>C621*Scoring!$B$34+D621/Scoring!$C$34+E621*Scoring!$D$34+WR!F621*Scoring!$E$34+WR!G621/Scoring!$F$34+WR!H621*Scoring!$G$34+WR!I621*Scoring!$H$34+K621*Scoring!$I$34+WR!L621*Scoring!$J$34+U621</x:f>
        <x:v>0</x:v>
      </x:c>
      <x:c r="O621" s="119" t="n">
        <x:f>C622*Scoring!$B$34+D622/Scoring!$C$34+E622*Scoring!$D$34+WR!F622*Scoring!$E$34+WR!G622/Scoring!$F$34+WR!H622*Scoring!$G$34+WR!I622*Scoring!$H$34+K622*Scoring!$I$34+WR!L622*Scoring!$J$34+U621</x:f>
        <x:v>0</x:v>
      </x:c>
      <x:c r="P621" s="9" t="n">
        <x:f>IF(COUNTIF(Rookies!$A:$A,A621)&gt;0,1,0)</x:f>
        <x:v>0</x:v>
      </x:c>
      <x:c r="Q621" s="9"/>
      <x:c r="R621" s="9"/>
      <x:c r="S621" s="9" t="n">
        <x:f>V621/17</x:f>
        <x:v>0</x:v>
      </x:c>
      <x:c r="T621" s="9" t="n">
        <x:f>IF(P621=1,MAX(0,0.28*(12-S621)),0)</x:f>
        <x:v>0</x:v>
      </x:c>
      <x:c r="U621" s="9" t="n">
        <x:f>T621*17</x:f>
        <x:v>0</x:v>
      </x:c>
      <x:c r="V621" s="9" t="n">
        <x:f>C621*Scoring!$B$34+D621/Scoring!$C$34+E621*Scoring!$D$34+WR!F621*Scoring!$E$34+WR!G621/Scoring!$F$34+WR!H621*Scoring!$G$34+WR!I621*Scoring!$H$34+K621*Scoring!$I$34+WR!L621*Scoring!$J$34</x:f>
        <x:v>0</x:v>
      </x:c>
      <x:c r="W621" s="9"/>
      <x:c r="X621" s="9"/>
      <x:c r="Y621" s="9"/>
      <x:c r="Z621" s="9"/>
    </x:row>
    <x:row r="622" ht="14.25" customHeight="1">
      <x:c r="K622" s="18">
        <x:f t="shared" si="1"/>
        <x:v>0</x:v>
      </x:c>
      <x:c r="L622" s="18">
        <x:f t="shared" si="2"/>
        <x:v>0</x:v>
      </x:c>
      <x:c r="M622" s="121"/>
      <x:c r="N622" s="121"/>
      <x:c r="O622" s="121"/>
      <x:c r="P622" s="9"/>
      <x:c r="Q622" s="9"/>
      <x:c r="R622" s="9"/>
      <x:c r="S622" s="9"/>
      <x:c r="T622" s="9"/>
      <x:c r="U622" s="9"/>
      <x:c r="V622" s="9"/>
      <x:c r="W622" s="9"/>
      <x:c r="X622" s="9"/>
      <x:c r="Y622" s="9"/>
      <x:c r="Z622" s="9"/>
    </x:row>
    <x:row r="623" ht="14.25" customHeight="1">
      <x:c r="K623" s="18">
        <x:f t="shared" si="1"/>
        <x:v>0</x:v>
      </x:c>
      <x:c r="L623" s="18">
        <x:f t="shared" si="2"/>
        <x:v>0</x:v>
      </x:c>
      <x:c r="M623" s="121"/>
      <x:c r="N623" s="121"/>
      <x:c r="O623" s="121"/>
      <x:c r="P623" s="9"/>
      <x:c r="Q623" s="9"/>
      <x:c r="R623" s="9"/>
      <x:c r="S623" s="9"/>
      <x:c r="T623" s="9"/>
      <x:c r="U623" s="9"/>
      <x:c r="V623" s="9"/>
      <x:c r="W623" s="9"/>
      <x:c r="X623" s="9"/>
      <x:c r="Y623" s="9"/>
      <x:c r="Z623" s="9"/>
    </x:row>
    <x:row r="624" ht="14.25" customHeight="1">
      <x:c r="K624" s="18">
        <x:f t="shared" si="1"/>
        <x:v>0</x:v>
      </x:c>
      <x:c r="L624" s="18">
        <x:f t="shared" si="2"/>
        <x:v>0</x:v>
      </x:c>
      <x:c r="M624" s="119" t="n">
        <x:f>C626*Scoring!$B$34+D626/Scoring!$C$34+E626*Scoring!$D$34+WR!F626*Scoring!$E$34+WR!G626/Scoring!$F$34+WR!H626*Scoring!$G$34+WR!I626*Scoring!$H$34+K626*Scoring!$I$34+WR!L626*Scoring!$J$34+U624</x:f>
        <x:v>0</x:v>
      </x:c>
      <x:c r="N624" s="119" t="n">
        <x:f>C624*Scoring!$B$34+D624/Scoring!$C$34+E624*Scoring!$D$34+WR!F624*Scoring!$E$34+WR!G624/Scoring!$F$34+WR!H624*Scoring!$G$34+WR!I624*Scoring!$H$34+K624*Scoring!$I$34+WR!L624*Scoring!$J$34+U624</x:f>
        <x:v>0</x:v>
      </x:c>
      <x:c r="O624" s="119" t="n">
        <x:f>C625*Scoring!$B$34+D625/Scoring!$C$34+E625*Scoring!$D$34+WR!F625*Scoring!$E$34+WR!G625/Scoring!$F$34+WR!H625*Scoring!$G$34+WR!I625*Scoring!$H$34+K625*Scoring!$I$34+WR!L625*Scoring!$J$34+U624</x:f>
        <x:v>0</x:v>
      </x:c>
      <x:c r="P624" s="9" t="n">
        <x:f>IF(COUNTIF(Rookies!$A:$A,A624)&gt;0,1,0)</x:f>
        <x:v>0</x:v>
      </x:c>
      <x:c r="Q624" s="9"/>
      <x:c r="R624" s="9"/>
      <x:c r="S624" s="9" t="n">
        <x:f>V624/17</x:f>
        <x:v>0</x:v>
      </x:c>
      <x:c r="T624" s="9" t="n">
        <x:f>IF(P624=1,MAX(0,0.28*(12-S624)),0)</x:f>
        <x:v>0</x:v>
      </x:c>
      <x:c r="U624" s="9" t="n">
        <x:f>T624*17</x:f>
        <x:v>0</x:v>
      </x:c>
      <x:c r="V624" s="9" t="n">
        <x:f>C624*Scoring!$B$34+D624/Scoring!$C$34+E624*Scoring!$D$34+WR!F624*Scoring!$E$34+WR!G624/Scoring!$F$34+WR!H624*Scoring!$G$34+WR!I624*Scoring!$H$34+K624*Scoring!$I$34+WR!L624*Scoring!$J$34</x:f>
        <x:v>0</x:v>
      </x:c>
      <x:c r="W624" s="9"/>
      <x:c r="X624" s="9"/>
      <x:c r="Y624" s="9"/>
      <x:c r="Z624" s="9"/>
    </x:row>
    <x:row r="625" ht="14.25" customHeight="1">
      <x:c r="K625" s="18">
        <x:f t="shared" si="1"/>
        <x:v>0</x:v>
      </x:c>
      <x:c r="L625" s="18">
        <x:f t="shared" si="2"/>
        <x:v>0</x:v>
      </x:c>
      <x:c r="M625" s="121"/>
      <x:c r="N625" s="121"/>
      <x:c r="O625" s="121"/>
      <x:c r="P625" s="9"/>
      <x:c r="Q625" s="9"/>
      <x:c r="R625" s="9"/>
      <x:c r="S625" s="9"/>
      <x:c r="T625" s="9"/>
      <x:c r="U625" s="9"/>
      <x:c r="V625" s="9"/>
      <x:c r="W625" s="9"/>
      <x:c r="X625" s="9"/>
      <x:c r="Y625" s="9"/>
      <x:c r="Z625" s="9"/>
    </x:row>
    <x:row r="626" ht="14.25" customHeight="1">
      <x:c r="K626" s="18">
        <x:f t="shared" si="1"/>
        <x:v>0</x:v>
      </x:c>
      <x:c r="L626" s="18">
        <x:f t="shared" si="2"/>
        <x:v>0</x:v>
      </x:c>
      <x:c r="M626" s="121"/>
      <x:c r="N626" s="121"/>
      <x:c r="O626" s="121"/>
      <x:c r="P626" s="9"/>
      <x:c r="Q626" s="9"/>
      <x:c r="R626" s="9"/>
      <x:c r="S626" s="9"/>
      <x:c r="T626" s="9"/>
      <x:c r="U626" s="9"/>
      <x:c r="V626" s="9"/>
      <x:c r="W626" s="9"/>
      <x:c r="X626" s="9"/>
      <x:c r="Y626" s="9"/>
      <x:c r="Z626" s="9"/>
    </x:row>
    <x:row r="627" ht="14.25" customHeight="1">
      <x:c r="K627" s="18">
        <x:f t="shared" si="1"/>
        <x:v>0</x:v>
      </x:c>
      <x:c r="L627" s="18">
        <x:f t="shared" si="2"/>
        <x:v>0</x:v>
      </x:c>
      <x:c r="M627" s="119" t="n">
        <x:f>C629*Scoring!$B$34+D629/Scoring!$C$34+E629*Scoring!$D$34+WR!F629*Scoring!$E$34+WR!G629/Scoring!$F$34+WR!H629*Scoring!$G$34+WR!I629*Scoring!$H$34+K629*Scoring!$I$34+WR!L629*Scoring!$J$34+U627</x:f>
        <x:v>0</x:v>
      </x:c>
      <x:c r="N627" s="119" t="n">
        <x:f>C627*Scoring!$B$34+D627/Scoring!$C$34+E627*Scoring!$D$34+WR!F627*Scoring!$E$34+WR!G627/Scoring!$F$34+WR!H627*Scoring!$G$34+WR!I627*Scoring!$H$34+K627*Scoring!$I$34+WR!L627*Scoring!$J$34+U627</x:f>
        <x:v>0</x:v>
      </x:c>
      <x:c r="O627" s="119" t="n">
        <x:f>C628*Scoring!$B$34+D628/Scoring!$C$34+E628*Scoring!$D$34+WR!F628*Scoring!$E$34+WR!G628/Scoring!$F$34+WR!H628*Scoring!$G$34+WR!I628*Scoring!$H$34+K628*Scoring!$I$34+WR!L628*Scoring!$J$34+U627</x:f>
        <x:v>0</x:v>
      </x:c>
      <x:c r="P627" s="9" t="n">
        <x:f>IF(COUNTIF(Rookies!$A:$A,A627)&gt;0,1,0)</x:f>
        <x:v>0</x:v>
      </x:c>
      <x:c r="Q627" s="9"/>
      <x:c r="R627" s="9"/>
      <x:c r="S627" s="9" t="n">
        <x:f>V627/17</x:f>
        <x:v>0</x:v>
      </x:c>
      <x:c r="T627" s="9" t="n">
        <x:f>IF(P627=1,MAX(0,0.28*(12-S627)),0)</x:f>
        <x:v>0</x:v>
      </x:c>
      <x:c r="U627" s="9" t="n">
        <x:f>T627*17</x:f>
        <x:v>0</x:v>
      </x:c>
      <x:c r="V627" s="9" t="n">
        <x:f>C627*Scoring!$B$34+D627/Scoring!$C$34+E627*Scoring!$D$34+WR!F627*Scoring!$E$34+WR!G627/Scoring!$F$34+WR!H627*Scoring!$G$34+WR!I627*Scoring!$H$34+K627*Scoring!$I$34+WR!L627*Scoring!$J$34</x:f>
        <x:v>0</x:v>
      </x:c>
      <x:c r="W627" s="9"/>
      <x:c r="X627" s="9"/>
      <x:c r="Y627" s="9"/>
      <x:c r="Z627" s="9"/>
    </x:row>
    <x:row r="628" ht="14.25" customHeight="1">
      <x:c r="K628" s="18">
        <x:f t="shared" si="1"/>
        <x:v>0</x:v>
      </x:c>
      <x:c r="L628" s="18">
        <x:f t="shared" si="2"/>
        <x:v>0</x:v>
      </x:c>
      <x:c r="M628" s="121"/>
      <x:c r="N628" s="121"/>
      <x:c r="O628" s="121"/>
      <x:c r="P628" s="9"/>
      <x:c r="Q628" s="9"/>
      <x:c r="R628" s="9"/>
      <x:c r="S628" s="9"/>
      <x:c r="T628" s="9"/>
      <x:c r="U628" s="9"/>
      <x:c r="V628" s="9"/>
      <x:c r="W628" s="9"/>
      <x:c r="X628" s="9"/>
      <x:c r="Y628" s="9"/>
      <x:c r="Z628" s="9"/>
    </x:row>
    <x:row r="629" ht="14.25" customHeight="1">
      <x:c r="K629" s="18">
        <x:f t="shared" si="1"/>
        <x:v>0</x:v>
      </x:c>
      <x:c r="L629" s="18">
        <x:f t="shared" si="2"/>
        <x:v>0</x:v>
      </x:c>
      <x:c r="M629" s="121"/>
      <x:c r="N629" s="121"/>
      <x:c r="O629" s="121"/>
      <x:c r="P629" s="9"/>
      <x:c r="Q629" s="9"/>
      <x:c r="R629" s="9"/>
      <x:c r="S629" s="9"/>
      <x:c r="T629" s="9"/>
      <x:c r="U629" s="9"/>
      <x:c r="V629" s="9"/>
      <x:c r="W629" s="9"/>
      <x:c r="X629" s="9"/>
      <x:c r="Y629" s="9"/>
      <x:c r="Z629" s="9"/>
    </x:row>
    <x:row r="630" ht="14.25" customHeight="1">
      <x:c r="K630" s="18">
        <x:f t="shared" si="1"/>
        <x:v>0</x:v>
      </x:c>
      <x:c r="L630" s="18">
        <x:f t="shared" si="2"/>
        <x:v>0</x:v>
      </x:c>
      <x:c r="M630" s="119" t="n">
        <x:f>C632*Scoring!$B$34+D632/Scoring!$C$34+E632*Scoring!$D$34+WR!F632*Scoring!$E$34+WR!G632/Scoring!$F$34+WR!H632*Scoring!$G$34+WR!I632*Scoring!$H$34+K632*Scoring!$I$34+WR!L632*Scoring!$J$34+U630</x:f>
        <x:v>0</x:v>
      </x:c>
      <x:c r="N630" s="119" t="n">
        <x:f>C630*Scoring!$B$34+D630/Scoring!$C$34+E630*Scoring!$D$34+WR!F630*Scoring!$E$34+WR!G630/Scoring!$F$34+WR!H630*Scoring!$G$34+WR!I630*Scoring!$H$34+K630*Scoring!$I$34+WR!L630*Scoring!$J$34+U630</x:f>
        <x:v>0</x:v>
      </x:c>
      <x:c r="O630" s="119" t="n">
        <x:f>C631*Scoring!$B$34+D631/Scoring!$C$34+E631*Scoring!$D$34+WR!F631*Scoring!$E$34+WR!G631/Scoring!$F$34+WR!H631*Scoring!$G$34+WR!I631*Scoring!$H$34+K631*Scoring!$I$34+WR!L631*Scoring!$J$34+U630</x:f>
        <x:v>0</x:v>
      </x:c>
      <x:c r="P630" s="9" t="n">
        <x:f>IF(COUNTIF(Rookies!$A:$A,A630)&gt;0,1,0)</x:f>
        <x:v>0</x:v>
      </x:c>
      <x:c r="Q630" s="9"/>
      <x:c r="R630" s="9"/>
      <x:c r="S630" s="9" t="n">
        <x:f>V630/17</x:f>
        <x:v>0</x:v>
      </x:c>
      <x:c r="T630" s="9" t="n">
        <x:f>IF(P630=1,MAX(0,0.28*(12-S630)),0)</x:f>
        <x:v>0</x:v>
      </x:c>
      <x:c r="U630" s="9" t="n">
        <x:f>T630*17</x:f>
        <x:v>0</x:v>
      </x:c>
      <x:c r="V630" s="9" t="n">
        <x:f>C630*Scoring!$B$34+D630/Scoring!$C$34+E630*Scoring!$D$34+WR!F630*Scoring!$E$34+WR!G630/Scoring!$F$34+WR!H630*Scoring!$G$34+WR!I630*Scoring!$H$34+K630*Scoring!$I$34+WR!L630*Scoring!$J$34</x:f>
        <x:v>0</x:v>
      </x:c>
      <x:c r="W630" s="9"/>
      <x:c r="X630" s="9"/>
      <x:c r="Y630" s="9"/>
      <x:c r="Z630" s="9"/>
    </x:row>
    <x:row r="631" ht="14.25" customHeight="1">
      <x:c r="K631" s="18">
        <x:f t="shared" si="1"/>
        <x:v>0</x:v>
      </x:c>
      <x:c r="L631" s="18">
        <x:f t="shared" si="2"/>
        <x:v>0</x:v>
      </x:c>
      <x:c r="M631" s="121"/>
      <x:c r="N631" s="121"/>
      <x:c r="O631" s="121"/>
      <x:c r="P631" s="9"/>
      <x:c r="Q631" s="9"/>
      <x:c r="R631" s="9"/>
      <x:c r="S631" s="9"/>
      <x:c r="T631" s="9"/>
      <x:c r="U631" s="9"/>
      <x:c r="V631" s="9"/>
      <x:c r="W631" s="9"/>
      <x:c r="X631" s="9"/>
      <x:c r="Y631" s="9"/>
      <x:c r="Z631" s="9"/>
    </x:row>
    <x:row r="632" ht="14.25" customHeight="1">
      <x:c r="K632" s="18">
        <x:f t="shared" si="1"/>
        <x:v>0</x:v>
      </x:c>
      <x:c r="L632" s="18">
        <x:f t="shared" si="2"/>
        <x:v>0</x:v>
      </x:c>
      <x:c r="M632" s="121"/>
      <x:c r="N632" s="121"/>
      <x:c r="O632" s="121"/>
      <x:c r="P632" s="9"/>
      <x:c r="Q632" s="9"/>
      <x:c r="R632" s="9"/>
      <x:c r="S632" s="9"/>
      <x:c r="T632" s="9"/>
      <x:c r="U632" s="9"/>
      <x:c r="V632" s="9"/>
      <x:c r="W632" s="9"/>
      <x:c r="X632" s="9"/>
      <x:c r="Y632" s="9"/>
      <x:c r="Z632" s="9"/>
    </x:row>
    <x:row r="633" ht="14.25" customHeight="1">
      <x:c r="K633" s="18">
        <x:f t="shared" si="1"/>
        <x:v>0</x:v>
      </x:c>
      <x:c r="L633" s="18">
        <x:f t="shared" si="2"/>
        <x:v>0</x:v>
      </x:c>
      <x:c r="M633" s="119" t="n">
        <x:f>C635*Scoring!$B$34+D635/Scoring!$C$34+E635*Scoring!$D$34+WR!F635*Scoring!$E$34+WR!G635/Scoring!$F$34+WR!H635*Scoring!$G$34+WR!I635*Scoring!$H$34+K635*Scoring!$I$34+WR!L635*Scoring!$J$34+U633</x:f>
        <x:v>0</x:v>
      </x:c>
      <x:c r="N633" s="119" t="n">
        <x:f>C633*Scoring!$B$34+D633/Scoring!$C$34+E633*Scoring!$D$34+WR!F633*Scoring!$E$34+WR!G633/Scoring!$F$34+WR!H633*Scoring!$G$34+WR!I633*Scoring!$H$34+K633*Scoring!$I$34+WR!L633*Scoring!$J$34+U633</x:f>
        <x:v>0</x:v>
      </x:c>
      <x:c r="O633" s="119" t="n">
        <x:f>C634*Scoring!$B$34+D634/Scoring!$C$34+E634*Scoring!$D$34+WR!F634*Scoring!$E$34+WR!G634/Scoring!$F$34+WR!H634*Scoring!$G$34+WR!I634*Scoring!$H$34+K634*Scoring!$I$34+WR!L634*Scoring!$J$34+U633</x:f>
        <x:v>0</x:v>
      </x:c>
      <x:c r="P633" s="9" t="n">
        <x:f>IF(COUNTIF(Rookies!$A:$A,A633)&gt;0,1,0)</x:f>
        <x:v>0</x:v>
      </x:c>
      <x:c r="Q633" s="9"/>
      <x:c r="R633" s="9"/>
      <x:c r="S633" s="9" t="n">
        <x:f>V633/17</x:f>
        <x:v>0</x:v>
      </x:c>
      <x:c r="T633" s="9" t="n">
        <x:f>IF(P633=1,MAX(0,0.28*(12-S633)),0)</x:f>
        <x:v>0</x:v>
      </x:c>
      <x:c r="U633" s="9" t="n">
        <x:f>T633*17</x:f>
        <x:v>0</x:v>
      </x:c>
      <x:c r="V633" s="9" t="n">
        <x:f>C633*Scoring!$B$34+D633/Scoring!$C$34+E633*Scoring!$D$34+WR!F633*Scoring!$E$34+WR!G633/Scoring!$F$34+WR!H633*Scoring!$G$34+WR!I633*Scoring!$H$34+K633*Scoring!$I$34+WR!L633*Scoring!$J$34</x:f>
        <x:v>0</x:v>
      </x:c>
      <x:c r="W633" s="9"/>
      <x:c r="X633" s="9"/>
      <x:c r="Y633" s="9"/>
      <x:c r="Z633" s="9"/>
    </x:row>
    <x:row r="634" ht="14.25" customHeight="1">
      <x:c r="K634" s="18">
        <x:f t="shared" si="1"/>
        <x:v>0</x:v>
      </x:c>
      <x:c r="L634" s="18">
        <x:f t="shared" si="2"/>
        <x:v>0</x:v>
      </x:c>
      <x:c r="M634" s="121"/>
      <x:c r="N634" s="121"/>
      <x:c r="O634" s="121"/>
      <x:c r="P634" s="9"/>
      <x:c r="Q634" s="9"/>
      <x:c r="R634" s="9"/>
      <x:c r="S634" s="9"/>
      <x:c r="T634" s="9"/>
      <x:c r="U634" s="9"/>
      <x:c r="V634" s="9"/>
      <x:c r="W634" s="9"/>
      <x:c r="X634" s="9"/>
      <x:c r="Y634" s="9"/>
      <x:c r="Z634" s="9"/>
    </x:row>
    <x:row r="635" ht="14.25" customHeight="1">
      <x:c r="K635" s="18">
        <x:f t="shared" si="1"/>
        <x:v>0</x:v>
      </x:c>
      <x:c r="L635" s="18">
        <x:f t="shared" si="2"/>
        <x:v>0</x:v>
      </x:c>
      <x:c r="M635" s="121"/>
      <x:c r="N635" s="121"/>
      <x:c r="O635" s="121"/>
      <x:c r="P635" s="9"/>
      <x:c r="Q635" s="9"/>
      <x:c r="R635" s="9"/>
      <x:c r="S635" s="9"/>
      <x:c r="T635" s="9"/>
      <x:c r="U635" s="9"/>
      <x:c r="V635" s="9"/>
      <x:c r="W635" s="9"/>
      <x:c r="X635" s="9"/>
      <x:c r="Y635" s="9"/>
      <x:c r="Z635" s="9"/>
    </x:row>
    <x:row r="636" ht="14.25" customHeight="1">
      <x:c r="K636" s="18">
        <x:f t="shared" si="1"/>
        <x:v>0</x:v>
      </x:c>
      <x:c r="L636" s="18">
        <x:f t="shared" si="2"/>
        <x:v>0</x:v>
      </x:c>
      <x:c r="M636" s="119" t="n">
        <x:f>C638*Scoring!$B$34+D638/Scoring!$C$34+E638*Scoring!$D$34+WR!F638*Scoring!$E$34+WR!G638/Scoring!$F$34+WR!H638*Scoring!$G$34+WR!I638*Scoring!$H$34+K638*Scoring!$I$34+WR!L638*Scoring!$J$34+U636</x:f>
        <x:v>0</x:v>
      </x:c>
      <x:c r="N636" s="119" t="n">
        <x:f>C636*Scoring!$B$34+D636/Scoring!$C$34+E636*Scoring!$D$34+WR!F636*Scoring!$E$34+WR!G636/Scoring!$F$34+WR!H636*Scoring!$G$34+WR!I636*Scoring!$H$34+K636*Scoring!$I$34+WR!L636*Scoring!$J$34+U636</x:f>
        <x:v>0</x:v>
      </x:c>
      <x:c r="O636" s="119" t="n">
        <x:f>C637*Scoring!$B$34+D637/Scoring!$C$34+E637*Scoring!$D$34+WR!F637*Scoring!$E$34+WR!G637/Scoring!$F$34+WR!H637*Scoring!$G$34+WR!I637*Scoring!$H$34+K637*Scoring!$I$34+WR!L637*Scoring!$J$34+U636</x:f>
        <x:v>0</x:v>
      </x:c>
      <x:c r="P636" s="9" t="n">
        <x:f>IF(COUNTIF(Rookies!$A:$A,A636)&gt;0,1,0)</x:f>
        <x:v>0</x:v>
      </x:c>
      <x:c r="Q636" s="9"/>
      <x:c r="R636" s="9"/>
      <x:c r="S636" s="9" t="n">
        <x:f>V636/17</x:f>
        <x:v>0</x:v>
      </x:c>
      <x:c r="T636" s="9" t="n">
        <x:f>IF(P636=1,MAX(0,0.28*(12-S636)),0)</x:f>
        <x:v>0</x:v>
      </x:c>
      <x:c r="U636" s="9" t="n">
        <x:f>T636*17</x:f>
        <x:v>0</x:v>
      </x:c>
      <x:c r="V636" s="9" t="n">
        <x:f>C636*Scoring!$B$34+D636/Scoring!$C$34+E636*Scoring!$D$34+WR!F636*Scoring!$E$34+WR!G636/Scoring!$F$34+WR!H636*Scoring!$G$34+WR!I636*Scoring!$H$34+K636*Scoring!$I$34+WR!L636*Scoring!$J$34</x:f>
        <x:v>0</x:v>
      </x:c>
      <x:c r="W636" s="9"/>
      <x:c r="X636" s="9"/>
      <x:c r="Y636" s="9"/>
      <x:c r="Z636" s="9"/>
    </x:row>
    <x:row r="637" ht="14.25" customHeight="1">
      <x:c r="K637" s="18">
        <x:f t="shared" si="1"/>
        <x:v>0</x:v>
      </x:c>
      <x:c r="L637" s="18">
        <x:f t="shared" si="2"/>
        <x:v>0</x:v>
      </x:c>
      <x:c r="M637" s="121"/>
      <x:c r="N637" s="121"/>
      <x:c r="O637" s="121"/>
      <x:c r="P637" s="9"/>
      <x:c r="Q637" s="9"/>
      <x:c r="R637" s="9"/>
      <x:c r="S637" s="9"/>
      <x:c r="T637" s="9"/>
      <x:c r="U637" s="9"/>
      <x:c r="V637" s="9"/>
      <x:c r="W637" s="9"/>
      <x:c r="X637" s="9"/>
      <x:c r="Y637" s="9"/>
      <x:c r="Z637" s="9"/>
    </x:row>
    <x:row r="638" ht="14.25" customHeight="1">
      <x:c r="K638" s="18">
        <x:f t="shared" si="1"/>
        <x:v>0</x:v>
      </x:c>
      <x:c r="L638" s="18">
        <x:f t="shared" si="2"/>
        <x:v>0</x:v>
      </x:c>
      <x:c r="M638" s="121"/>
      <x:c r="N638" s="121"/>
      <x:c r="O638" s="121"/>
      <x:c r="P638" s="9"/>
      <x:c r="Q638" s="9"/>
      <x:c r="R638" s="9"/>
      <x:c r="S638" s="9"/>
      <x:c r="T638" s="9"/>
      <x:c r="U638" s="9"/>
      <x:c r="V638" s="9"/>
      <x:c r="W638" s="9"/>
      <x:c r="X638" s="9"/>
      <x:c r="Y638" s="9"/>
      <x:c r="Z638" s="9"/>
    </x:row>
    <x:row r="639" ht="14.25" customHeight="1">
      <x:c r="K639" s="18">
        <x:f t="shared" si="1"/>
        <x:v>0</x:v>
      </x:c>
      <x:c r="L639" s="18">
        <x:f t="shared" si="2"/>
        <x:v>0</x:v>
      </x:c>
      <x:c r="M639" s="119" t="n">
        <x:f>C641*Scoring!$B$34+D641/Scoring!$C$34+E641*Scoring!$D$34+WR!F641*Scoring!$E$34+WR!G641/Scoring!$F$34+WR!H641*Scoring!$G$34+WR!I641*Scoring!$H$34+K641*Scoring!$I$34+WR!L641*Scoring!$J$34+U639</x:f>
        <x:v>0</x:v>
      </x:c>
      <x:c r="N639" s="119" t="n">
        <x:f>C639*Scoring!$B$34+D639/Scoring!$C$34+E639*Scoring!$D$34+WR!F639*Scoring!$E$34+WR!G639/Scoring!$F$34+WR!H639*Scoring!$G$34+WR!I639*Scoring!$H$34+K639*Scoring!$I$34+WR!L639*Scoring!$J$34+U639</x:f>
        <x:v>0</x:v>
      </x:c>
      <x:c r="O639" s="119" t="n">
        <x:f>C640*Scoring!$B$34+D640/Scoring!$C$34+E640*Scoring!$D$34+WR!F640*Scoring!$E$34+WR!G640/Scoring!$F$34+WR!H640*Scoring!$G$34+WR!I640*Scoring!$H$34+K640*Scoring!$I$34+WR!L640*Scoring!$J$34+U639</x:f>
        <x:v>0</x:v>
      </x:c>
      <x:c r="P639" s="9" t="n">
        <x:f>IF(COUNTIF(Rookies!$A:$A,A639)&gt;0,1,0)</x:f>
        <x:v>0</x:v>
      </x:c>
      <x:c r="Q639" s="9"/>
      <x:c r="R639" s="9"/>
      <x:c r="S639" s="9" t="n">
        <x:f>V639/17</x:f>
        <x:v>0</x:v>
      </x:c>
      <x:c r="T639" s="9" t="n">
        <x:f>IF(P639=1,MAX(0,0.28*(12-S639)),0)</x:f>
        <x:v>0</x:v>
      </x:c>
      <x:c r="U639" s="9" t="n">
        <x:f>T639*17</x:f>
        <x:v>0</x:v>
      </x:c>
      <x:c r="V639" s="9" t="n">
        <x:f>C639*Scoring!$B$34+D639/Scoring!$C$34+E639*Scoring!$D$34+WR!F639*Scoring!$E$34+WR!G639/Scoring!$F$34+WR!H639*Scoring!$G$34+WR!I639*Scoring!$H$34+K639*Scoring!$I$34+WR!L639*Scoring!$J$34</x:f>
        <x:v>0</x:v>
      </x:c>
      <x:c r="W639" s="9"/>
      <x:c r="X639" s="9"/>
      <x:c r="Y639" s="9"/>
      <x:c r="Z639" s="9"/>
    </x:row>
    <x:row r="640" ht="14.25" customHeight="1">
      <x:c r="K640" s="18">
        <x:f t="shared" si="1"/>
        <x:v>0</x:v>
      </x:c>
      <x:c r="L640" s="18">
        <x:f t="shared" si="2"/>
        <x:v>0</x:v>
      </x:c>
      <x:c r="M640" s="121"/>
      <x:c r="N640" s="121"/>
      <x:c r="O640" s="121"/>
      <x:c r="P640" s="9"/>
      <x:c r="Q640" s="9"/>
      <x:c r="R640" s="9"/>
      <x:c r="S640" s="9"/>
      <x:c r="T640" s="9"/>
      <x:c r="U640" s="9"/>
      <x:c r="V640" s="9"/>
      <x:c r="W640" s="9"/>
      <x:c r="X640" s="9"/>
      <x:c r="Y640" s="9"/>
      <x:c r="Z640" s="9"/>
    </x:row>
    <x:row r="641" ht="14.25" customHeight="1">
      <x:c r="K641" s="18">
        <x:f t="shared" si="1"/>
        <x:v>0</x:v>
      </x:c>
      <x:c r="L641" s="18">
        <x:f t="shared" si="2"/>
        <x:v>0</x:v>
      </x:c>
      <x:c r="M641" s="121"/>
      <x:c r="N641" s="121"/>
      <x:c r="O641" s="121"/>
      <x:c r="P641" s="9"/>
      <x:c r="Q641" s="9"/>
      <x:c r="R641" s="9"/>
      <x:c r="S641" s="9"/>
      <x:c r="T641" s="9"/>
      <x:c r="U641" s="9"/>
      <x:c r="V641" s="9"/>
      <x:c r="W641" s="9"/>
      <x:c r="X641" s="9"/>
      <x:c r="Y641" s="9"/>
      <x:c r="Z641" s="9"/>
    </x:row>
    <x:row r="642" ht="14.25" customHeight="1">
      <x:c r="K642" s="18">
        <x:f t="shared" si="1"/>
        <x:v>0</x:v>
      </x:c>
      <x:c r="L642" s="18">
        <x:f t="shared" si="2"/>
        <x:v>0</x:v>
      </x:c>
      <x:c r="M642" s="119" t="n">
        <x:f>C644*Scoring!$B$34+D644/Scoring!$C$34+E644*Scoring!$D$34+WR!F644*Scoring!$E$34+WR!G644/Scoring!$F$34+WR!H644*Scoring!$G$34+WR!I644*Scoring!$H$34+K644*Scoring!$I$34+WR!L644*Scoring!$J$34</x:f>
        <x:v>0</x:v>
      </x:c>
      <x:c r="N642" s="119" t="n">
        <x:f>C642*Scoring!$B$34+D642/Scoring!$C$34+E642*Scoring!$D$34+WR!F642*Scoring!$E$34+WR!G642/Scoring!$F$34+WR!H642*Scoring!$G$34+WR!I642*Scoring!$H$34+K642*Scoring!$I$34+WR!L642*Scoring!$J$34</x:f>
        <x:v>0</x:v>
      </x:c>
      <x:c r="O642" s="119" t="n">
        <x:f>C643*Scoring!$B$34+D643/Scoring!$C$34+E643*Scoring!$D$34+WR!F643*Scoring!$E$34+WR!G643/Scoring!$F$34+WR!H643*Scoring!$G$34+WR!I643*Scoring!$H$34+K643*Scoring!$I$34+WR!L643*Scoring!$J$34</x:f>
        <x:v>0</x:v>
      </x:c>
      <x:c r="P642" s="9"/>
      <x:c r="Q642" s="9"/>
      <x:c r="R642" s="9"/>
      <x:c r="S642" s="9"/>
      <x:c r="T642" s="9"/>
      <x:c r="U642" s="9"/>
      <x:c r="V642" s="9"/>
      <x:c r="W642" s="9"/>
      <x:c r="X642" s="9"/>
      <x:c r="Y642" s="9"/>
      <x:c r="Z642" s="9"/>
    </x:row>
    <x:row r="643" ht="14.25" customHeight="1">
      <x:c r="K643" s="18">
        <x:f t="shared" si="1"/>
        <x:v>0</x:v>
      </x:c>
      <x:c r="L643" s="18">
        <x:f t="shared" si="2"/>
        <x:v>0</x:v>
      </x:c>
      <x:c r="M643" s="121"/>
      <x:c r="N643" s="121"/>
      <x:c r="O643" s="121"/>
      <x:c r="P643" s="9"/>
      <x:c r="Q643" s="9"/>
      <x:c r="R643" s="9"/>
      <x:c r="S643" s="9"/>
      <x:c r="T643" s="9"/>
      <x:c r="U643" s="9"/>
      <x:c r="V643" s="9"/>
      <x:c r="W643" s="9"/>
      <x:c r="X643" s="9"/>
      <x:c r="Y643" s="9"/>
      <x:c r="Z643" s="9"/>
    </x:row>
    <x:row r="644" ht="14.25" customHeight="1">
      <x:c r="K644" s="18">
        <x:f t="shared" si="1"/>
        <x:v>0</x:v>
      </x:c>
      <x:c r="L644" s="18">
        <x:f t="shared" si="2"/>
        <x:v>0</x:v>
      </x:c>
      <x:c r="M644" s="121"/>
      <x:c r="N644" s="121"/>
      <x:c r="O644" s="121"/>
      <x:c r="P644" s="9"/>
      <x:c r="Q644" s="9"/>
      <x:c r="R644" s="9"/>
      <x:c r="S644" s="9"/>
      <x:c r="T644" s="9"/>
      <x:c r="U644" s="9"/>
      <x:c r="V644" s="9"/>
      <x:c r="W644" s="9"/>
      <x:c r="X644" s="9"/>
      <x:c r="Y644" s="9"/>
      <x:c r="Z644" s="9"/>
    </x:row>
    <x:row r="645" ht="14.25" customHeight="1">
      <x:c r="K645" s="18">
        <x:f t="shared" si="1"/>
        <x:v>0</x:v>
      </x:c>
      <x:c r="L645" s="18">
        <x:f t="shared" si="2"/>
        <x:v>0</x:v>
      </x:c>
      <x:c r="M645" s="119" t="n">
        <x:f>C647*Scoring!$B$34+D647/Scoring!$C$34+E647*Scoring!$D$34+WR!F647*Scoring!$E$34+WR!G647/Scoring!$F$34+WR!H647*Scoring!$G$34+WR!I647*Scoring!$H$34+K647*Scoring!$I$34+WR!L647*Scoring!$J$34</x:f>
        <x:v>0</x:v>
      </x:c>
      <x:c r="N645" s="119" t="n">
        <x:f>C645*Scoring!$B$34+D645/Scoring!$C$34+E645*Scoring!$D$34+WR!F645*Scoring!$E$34+WR!G645/Scoring!$F$34+WR!H645*Scoring!$G$34+WR!I645*Scoring!$H$34+K645*Scoring!$I$34+WR!L645*Scoring!$J$34</x:f>
        <x:v>0</x:v>
      </x:c>
      <x:c r="O645" s="119" t="n">
        <x:f>C646*Scoring!$B$34+D646/Scoring!$C$34+E646*Scoring!$D$34+WR!F646*Scoring!$E$34+WR!G646/Scoring!$F$34+WR!H646*Scoring!$G$34+WR!I646*Scoring!$H$34+K646*Scoring!$I$34+WR!L646*Scoring!$J$34</x:f>
        <x:v>0</x:v>
      </x:c>
      <x:c r="P645" s="9"/>
      <x:c r="Q645" s="9"/>
      <x:c r="R645" s="9"/>
      <x:c r="S645" s="9"/>
      <x:c r="T645" s="9"/>
      <x:c r="U645" s="9"/>
      <x:c r="V645" s="9"/>
      <x:c r="W645" s="9"/>
      <x:c r="X645" s="9"/>
      <x:c r="Y645" s="9"/>
      <x:c r="Z645" s="9"/>
    </x:row>
    <x:row r="646" ht="14.25" customHeight="1">
      <x:c r="K646" s="18">
        <x:f t="shared" si="1"/>
        <x:v>0</x:v>
      </x:c>
      <x:c r="L646" s="18">
        <x:f t="shared" si="2"/>
        <x:v>0</x:v>
      </x:c>
      <x:c r="M646" s="121"/>
      <x:c r="N646" s="121"/>
      <x:c r="O646" s="121"/>
      <x:c r="P646" s="9"/>
      <x:c r="Q646" s="9"/>
      <x:c r="R646" s="9"/>
      <x:c r="S646" s="9"/>
      <x:c r="T646" s="9"/>
      <x:c r="U646" s="9"/>
      <x:c r="V646" s="9"/>
      <x:c r="W646" s="9"/>
      <x:c r="X646" s="9"/>
      <x:c r="Y646" s="9"/>
      <x:c r="Z646" s="9"/>
    </x:row>
    <x:row r="647" ht="14.25" customHeight="1">
      <x:c r="K647" s="18">
        <x:f t="shared" si="1"/>
        <x:v>0</x:v>
      </x:c>
      <x:c r="L647" s="18">
        <x:f t="shared" si="2"/>
        <x:v>0</x:v>
      </x:c>
      <x:c r="M647" s="121"/>
      <x:c r="N647" s="121"/>
      <x:c r="O647" s="121"/>
      <x:c r="P647" s="9"/>
      <x:c r="Q647" s="9"/>
      <x:c r="R647" s="9"/>
      <x:c r="S647" s="9"/>
      <x:c r="T647" s="9"/>
      <x:c r="U647" s="9"/>
      <x:c r="V647" s="9"/>
      <x:c r="W647" s="9"/>
      <x:c r="X647" s="9"/>
      <x:c r="Y647" s="9"/>
      <x:c r="Z647" s="9"/>
    </x:row>
    <x:row r="648" ht="14.25" customHeight="1">
      <x:c r="K648" s="18">
        <x:f t="shared" si="1"/>
        <x:v>0</x:v>
      </x:c>
      <x:c r="L648" s="18">
        <x:f t="shared" si="2"/>
        <x:v>0</x:v>
      </x:c>
      <x:c r="M648" s="119" t="n">
        <x:f>C650*Scoring!$B$34+D650/Scoring!$C$34+E650*Scoring!$D$34+WR!F650*Scoring!$E$34+WR!G650/Scoring!$F$34+WR!H650*Scoring!$G$34+WR!I650*Scoring!$H$34+K650*Scoring!$I$34+WR!L650*Scoring!$J$34</x:f>
        <x:v>0</x:v>
      </x:c>
      <x:c r="N648" s="119" t="n">
        <x:f>C648*Scoring!$B$34+D648/Scoring!$C$34+E648*Scoring!$D$34+WR!F648*Scoring!$E$34+WR!G648/Scoring!$F$34+WR!H648*Scoring!$G$34+WR!I648*Scoring!$H$34+K648*Scoring!$I$34+WR!L648*Scoring!$J$34</x:f>
        <x:v>0</x:v>
      </x:c>
      <x:c r="O648" s="119" t="n">
        <x:f>C649*Scoring!$B$34+D649/Scoring!$C$34+E649*Scoring!$D$34+WR!F649*Scoring!$E$34+WR!G649/Scoring!$F$34+WR!H649*Scoring!$G$34+WR!I649*Scoring!$H$34+K649*Scoring!$I$34+WR!L649*Scoring!$J$34</x:f>
        <x:v>0</x:v>
      </x:c>
      <x:c r="P648" s="9"/>
      <x:c r="Q648" s="9"/>
      <x:c r="R648" s="9"/>
      <x:c r="S648" s="9"/>
      <x:c r="T648" s="9"/>
      <x:c r="U648" s="9"/>
      <x:c r="V648" s="9"/>
      <x:c r="W648" s="9"/>
      <x:c r="X648" s="9"/>
      <x:c r="Y648" s="9"/>
      <x:c r="Z648" s="9"/>
    </x:row>
    <x:row r="649" ht="14.25" customHeight="1">
      <x:c r="K649" s="18">
        <x:f t="shared" si="1"/>
        <x:v>0</x:v>
      </x:c>
      <x:c r="L649" s="18">
        <x:f t="shared" si="2"/>
        <x:v>0</x:v>
      </x:c>
      <x:c r="M649" s="121"/>
      <x:c r="N649" s="121"/>
      <x:c r="O649" s="121"/>
      <x:c r="P649" s="9"/>
      <x:c r="Q649" s="9"/>
      <x:c r="R649" s="9"/>
      <x:c r="S649" s="9"/>
      <x:c r="T649" s="9"/>
      <x:c r="U649" s="9"/>
      <x:c r="V649" s="9"/>
      <x:c r="W649" s="9"/>
      <x:c r="X649" s="9"/>
      <x:c r="Y649" s="9"/>
      <x:c r="Z649" s="9"/>
    </x:row>
    <x:row r="650" ht="14.25" customHeight="1">
      <x:c r="K650" s="18">
        <x:f t="shared" si="1"/>
        <x:v>0</x:v>
      </x:c>
      <x:c r="L650" s="18">
        <x:f t="shared" si="2"/>
        <x:v>0</x:v>
      </x:c>
      <x:c r="M650" s="121"/>
      <x:c r="N650" s="121"/>
      <x:c r="O650" s="121"/>
      <x:c r="P650" s="9"/>
      <x:c r="Q650" s="9"/>
      <x:c r="R650" s="9"/>
      <x:c r="S650" s="9"/>
      <x:c r="T650" s="9"/>
      <x:c r="U650" s="9"/>
      <x:c r="V650" s="9"/>
      <x:c r="W650" s="9"/>
      <x:c r="X650" s="9"/>
      <x:c r="Y650" s="9"/>
      <x:c r="Z650" s="9"/>
    </x:row>
    <x:row r="651" ht="14.25" customHeight="1">
      <x:c r="K651" s="18">
        <x:f t="shared" si="1"/>
        <x:v>0</x:v>
      </x:c>
      <x:c r="L651" s="18">
        <x:f t="shared" si="2"/>
        <x:v>0</x:v>
      </x:c>
      <x:c r="M651" s="119" t="n">
        <x:f>C653*Scoring!$B$34+D653/Scoring!$C$34+E653*Scoring!$D$34+WR!F653*Scoring!$E$34+WR!G653/Scoring!$F$34+WR!H653*Scoring!$G$34+WR!I653*Scoring!$H$34+K653*Scoring!$I$34+WR!L653*Scoring!$J$34</x:f>
        <x:v>0</x:v>
      </x:c>
      <x:c r="N651" s="119" t="n">
        <x:f>C651*Scoring!$B$34+D651/Scoring!$C$34+E651*Scoring!$D$34+WR!F651*Scoring!$E$34+WR!G651/Scoring!$F$34+WR!H651*Scoring!$G$34+WR!I651*Scoring!$H$34+K651*Scoring!$I$34+WR!L651*Scoring!$J$34</x:f>
        <x:v>0</x:v>
      </x:c>
      <x:c r="O651" s="119" t="n">
        <x:f>C652*Scoring!$B$34+D652/Scoring!$C$34+E652*Scoring!$D$34+WR!F652*Scoring!$E$34+WR!G652/Scoring!$F$34+WR!H652*Scoring!$G$34+WR!I652*Scoring!$H$34+K652*Scoring!$I$34+WR!L652*Scoring!$J$34</x:f>
        <x:v>0</x:v>
      </x:c>
      <x:c r="P651" s="9"/>
      <x:c r="Q651" s="9"/>
      <x:c r="R651" s="9"/>
      <x:c r="S651" s="9"/>
      <x:c r="T651" s="9"/>
      <x:c r="U651" s="9"/>
      <x:c r="V651" s="9"/>
      <x:c r="W651" s="9"/>
      <x:c r="X651" s="9"/>
      <x:c r="Y651" s="9"/>
      <x:c r="Z651" s="9"/>
    </x:row>
    <x:row r="652" ht="14.25" customHeight="1">
      <x:c r="K652" s="18">
        <x:f t="shared" si="1"/>
        <x:v>0</x:v>
      </x:c>
      <x:c r="L652" s="18">
        <x:f t="shared" si="2"/>
        <x:v>0</x:v>
      </x:c>
      <x:c r="M652" s="121"/>
      <x:c r="N652" s="121"/>
      <x:c r="O652" s="121"/>
      <x:c r="P652" s="9"/>
      <x:c r="Q652" s="9"/>
      <x:c r="R652" s="9"/>
      <x:c r="S652" s="9"/>
      <x:c r="T652" s="9"/>
      <x:c r="U652" s="9"/>
      <x:c r="V652" s="9"/>
      <x:c r="W652" s="9"/>
      <x:c r="X652" s="9"/>
      <x:c r="Y652" s="9"/>
      <x:c r="Z652" s="9"/>
    </x:row>
    <x:row r="653" ht="14.25" customHeight="1">
      <x:c r="K653" s="18">
        <x:f t="shared" si="1"/>
        <x:v>0</x:v>
      </x:c>
      <x:c r="L653" s="18">
        <x:f t="shared" si="2"/>
        <x:v>0</x:v>
      </x:c>
      <x:c r="M653" s="121"/>
      <x:c r="N653" s="121"/>
      <x:c r="O653" s="121"/>
      <x:c r="P653" s="9"/>
      <x:c r="Q653" s="9"/>
      <x:c r="R653" s="9"/>
      <x:c r="S653" s="9"/>
      <x:c r="T653" s="9"/>
      <x:c r="U653" s="9"/>
      <x:c r="V653" s="9"/>
      <x:c r="W653" s="9"/>
      <x:c r="X653" s="9"/>
      <x:c r="Y653" s="9"/>
      <x:c r="Z653" s="9"/>
    </x:row>
    <x:row r="654" ht="14.25" customHeight="1">
      <x:c r="K654" s="18">
        <x:f t="shared" si="1"/>
        <x:v>0</x:v>
      </x:c>
      <x:c r="L654" s="18">
        <x:f t="shared" si="2"/>
        <x:v>0</x:v>
      </x:c>
      <x:c r="M654" s="119" t="n">
        <x:f>C656*Scoring!$B$34+D656/Scoring!$C$34+E656*Scoring!$D$34+WR!F656*Scoring!$E$34+WR!G656/Scoring!$F$34+WR!H656*Scoring!$G$34+WR!I656*Scoring!$H$34+K656*Scoring!$I$34+WR!L656*Scoring!$J$34</x:f>
        <x:v>0</x:v>
      </x:c>
      <x:c r="N654" s="119" t="n">
        <x:f>C654*Scoring!$B$34+D654/Scoring!$C$34+E654*Scoring!$D$34+WR!F654*Scoring!$E$34+WR!G654/Scoring!$F$34+WR!H654*Scoring!$G$34+WR!I654*Scoring!$H$34+K654*Scoring!$I$34+WR!L654*Scoring!$J$34</x:f>
        <x:v>0</x:v>
      </x:c>
      <x:c r="O654" s="119" t="n">
        <x:f>C655*Scoring!$B$34+D655/Scoring!$C$34+E655*Scoring!$D$34+WR!F655*Scoring!$E$34+WR!G655/Scoring!$F$34+WR!H655*Scoring!$G$34+WR!I655*Scoring!$H$34+K655*Scoring!$I$34+WR!L655*Scoring!$J$34</x:f>
        <x:v>0</x:v>
      </x:c>
      <x:c r="P654" s="9"/>
      <x:c r="Q654" s="9"/>
      <x:c r="R654" s="9"/>
      <x:c r="S654" s="9"/>
      <x:c r="T654" s="9"/>
      <x:c r="U654" s="9"/>
      <x:c r="V654" s="9"/>
      <x:c r="W654" s="9"/>
      <x:c r="X654" s="9"/>
      <x:c r="Y654" s="9"/>
      <x:c r="Z654" s="9"/>
    </x:row>
    <x:row r="655" ht="14.25" customHeight="1">
      <x:c r="K655" s="18">
        <x:f t="shared" si="1"/>
        <x:v>0</x:v>
      </x:c>
      <x:c r="L655" s="18">
        <x:f t="shared" si="2"/>
        <x:v>0</x:v>
      </x:c>
      <x:c r="M655" s="121"/>
      <x:c r="N655" s="121"/>
      <x:c r="O655" s="121"/>
      <x:c r="P655" s="9"/>
      <x:c r="Q655" s="9"/>
      <x:c r="R655" s="9"/>
      <x:c r="S655" s="9"/>
      <x:c r="T655" s="9"/>
      <x:c r="U655" s="9"/>
      <x:c r="V655" s="9"/>
      <x:c r="W655" s="9"/>
      <x:c r="X655" s="9"/>
      <x:c r="Y655" s="9"/>
      <x:c r="Z655" s="9"/>
    </x:row>
    <x:row r="656" ht="14.25" customHeight="1">
      <x:c r="K656" s="18">
        <x:f t="shared" si="1"/>
        <x:v>0</x:v>
      </x:c>
      <x:c r="L656" s="18">
        <x:f t="shared" si="2"/>
        <x:v>0</x:v>
      </x:c>
      <x:c r="M656" s="121"/>
      <x:c r="N656" s="121"/>
      <x:c r="O656" s="121"/>
      <x:c r="P656" s="9"/>
      <x:c r="Q656" s="9"/>
      <x:c r="R656" s="9"/>
      <x:c r="S656" s="9"/>
      <x:c r="T656" s="9"/>
      <x:c r="U656" s="9"/>
      <x:c r="V656" s="9"/>
      <x:c r="W656" s="9"/>
      <x:c r="X656" s="9"/>
      <x:c r="Y656" s="9"/>
      <x:c r="Z656" s="9"/>
    </x:row>
    <x:row r="657" ht="14.25" customHeight="1">
      <x:c r="K657" s="18">
        <x:f t="shared" si="1"/>
        <x:v>0</x:v>
      </x:c>
      <x:c r="L657" s="18">
        <x:f t="shared" si="2"/>
        <x:v>0</x:v>
      </x:c>
      <x:c r="M657" s="119" t="n">
        <x:f>C659*Scoring!$B$34+D659/Scoring!$C$34+E659*Scoring!$D$34+WR!F659*Scoring!$E$34+WR!G659/Scoring!$F$34+WR!H659*Scoring!$G$34+WR!I659*Scoring!$H$34+K659*Scoring!$I$34+WR!L659*Scoring!$J$34</x:f>
        <x:v>0</x:v>
      </x:c>
      <x:c r="N657" s="119" t="n">
        <x:f>C657*Scoring!$B$34+D657/Scoring!$C$34+E657*Scoring!$D$34+WR!F657*Scoring!$E$34+WR!G657/Scoring!$F$34+WR!H657*Scoring!$G$34+WR!I657*Scoring!$H$34+K657*Scoring!$I$34+WR!L657*Scoring!$J$34</x:f>
        <x:v>0</x:v>
      </x:c>
      <x:c r="O657" s="119" t="n">
        <x:f>C658*Scoring!$B$34+D658/Scoring!$C$34+E658*Scoring!$D$34+WR!F658*Scoring!$E$34+WR!G658/Scoring!$F$34+WR!H658*Scoring!$G$34+WR!I658*Scoring!$H$34+K658*Scoring!$I$34+WR!L658*Scoring!$J$34</x:f>
        <x:v>0</x:v>
      </x:c>
      <x:c r="P657" s="9"/>
      <x:c r="Q657" s="9"/>
      <x:c r="R657" s="9"/>
      <x:c r="S657" s="9"/>
      <x:c r="T657" s="9"/>
      <x:c r="U657" s="9"/>
      <x:c r="V657" s="9"/>
      <x:c r="W657" s="9"/>
      <x:c r="X657" s="9"/>
      <x:c r="Y657" s="9"/>
      <x:c r="Z657" s="9"/>
    </x:row>
    <x:row r="658" ht="14.25" customHeight="1">
      <x:c r="K658" s="18">
        <x:f t="shared" si="1"/>
        <x:v>0</x:v>
      </x:c>
      <x:c r="L658" s="18">
        <x:f t="shared" si="2"/>
        <x:v>0</x:v>
      </x:c>
      <x:c r="M658" s="121"/>
      <x:c r="N658" s="121"/>
      <x:c r="O658" s="121"/>
      <x:c r="P658" s="9"/>
      <x:c r="Q658" s="9"/>
      <x:c r="R658" s="9"/>
      <x:c r="S658" s="9"/>
      <x:c r="T658" s="9"/>
      <x:c r="U658" s="9"/>
      <x:c r="V658" s="9"/>
      <x:c r="W658" s="9"/>
      <x:c r="X658" s="9"/>
      <x:c r="Y658" s="9"/>
      <x:c r="Z658" s="9"/>
    </x:row>
    <x:row r="659" ht="14.25" customHeight="1">
      <x:c r="K659" s="18">
        <x:f t="shared" si="1"/>
        <x:v>0</x:v>
      </x:c>
      <x:c r="L659" s="18">
        <x:f t="shared" si="2"/>
        <x:v>0</x:v>
      </x:c>
      <x:c r="M659" s="121"/>
      <x:c r="N659" s="121"/>
      <x:c r="O659" s="121"/>
      <x:c r="P659" s="9"/>
      <x:c r="Q659" s="9"/>
      <x:c r="R659" s="9"/>
      <x:c r="S659" s="9"/>
      <x:c r="T659" s="9"/>
      <x:c r="U659" s="9"/>
      <x:c r="V659" s="9"/>
      <x:c r="W659" s="9"/>
      <x:c r="X659" s="9"/>
      <x:c r="Y659" s="9"/>
      <x:c r="Z659" s="9"/>
    </x:row>
    <x:row r="660" ht="14.25" customHeight="1">
      <x:c r="K660" s="18">
        <x:f t="shared" si="1"/>
        <x:v>0</x:v>
      </x:c>
      <x:c r="L660" s="18">
        <x:f t="shared" si="2"/>
        <x:v>0</x:v>
      </x:c>
      <x:c r="M660" s="119" t="n">
        <x:f>C662*Scoring!$B$34+D662/Scoring!$C$34+E662*Scoring!$D$34+WR!F662*Scoring!$E$34+WR!G662/Scoring!$F$34+WR!H662*Scoring!$G$34+WR!I662*Scoring!$H$34+K662*Scoring!$I$34+WR!L662*Scoring!$J$34</x:f>
        <x:v>0</x:v>
      </x:c>
      <x:c r="N660" s="119" t="n">
        <x:f>C660*Scoring!$B$34+D660/Scoring!$C$34+E660*Scoring!$D$34+WR!F660*Scoring!$E$34+WR!G660/Scoring!$F$34+WR!H660*Scoring!$G$34+WR!I660*Scoring!$H$34+K660*Scoring!$I$34+WR!L660*Scoring!$J$34</x:f>
        <x:v>0</x:v>
      </x:c>
      <x:c r="O660" s="119" t="n">
        <x:f>C661*Scoring!$B$34+D661/Scoring!$C$34+E661*Scoring!$D$34+WR!F661*Scoring!$E$34+WR!G661/Scoring!$F$34+WR!H661*Scoring!$G$34+WR!I661*Scoring!$H$34+K661*Scoring!$I$34+WR!L661*Scoring!$J$34</x:f>
        <x:v>0</x:v>
      </x:c>
      <x:c r="P660" s="9"/>
      <x:c r="Q660" s="9"/>
      <x:c r="R660" s="9"/>
      <x:c r="S660" s="9"/>
      <x:c r="T660" s="9"/>
      <x:c r="U660" s="9"/>
      <x:c r="V660" s="9"/>
      <x:c r="W660" s="9"/>
      <x:c r="X660" s="9"/>
      <x:c r="Y660" s="9"/>
      <x:c r="Z660" s="9"/>
    </x:row>
    <x:row r="661" ht="14.25" customHeight="1">
      <x:c r="K661" s="18">
        <x:f t="shared" si="1"/>
        <x:v>0</x:v>
      </x:c>
      <x:c r="L661" s="18">
        <x:f t="shared" si="2"/>
        <x:v>0</x:v>
      </x:c>
      <x:c r="M661" s="121"/>
      <x:c r="N661" s="121"/>
      <x:c r="O661" s="121"/>
      <x:c r="P661" s="9"/>
      <x:c r="Q661" s="9"/>
      <x:c r="R661" s="9"/>
      <x:c r="S661" s="9"/>
      <x:c r="T661" s="9"/>
      <x:c r="U661" s="9"/>
      <x:c r="V661" s="9"/>
      <x:c r="W661" s="9"/>
      <x:c r="X661" s="9"/>
      <x:c r="Y661" s="9"/>
      <x:c r="Z661" s="9"/>
    </x:row>
    <x:row r="662" ht="14.25" customHeight="1">
      <x:c r="K662" s="18">
        <x:f t="shared" si="1"/>
        <x:v>0</x:v>
      </x:c>
      <x:c r="L662" s="18">
        <x:f t="shared" si="2"/>
        <x:v>0</x:v>
      </x:c>
      <x:c r="M662" s="121"/>
      <x:c r="N662" s="121"/>
      <x:c r="O662" s="121"/>
      <x:c r="P662" s="9"/>
      <x:c r="Q662" s="9"/>
      <x:c r="R662" s="9"/>
      <x:c r="S662" s="9"/>
      <x:c r="T662" s="9"/>
      <x:c r="U662" s="9"/>
      <x:c r="V662" s="9"/>
      <x:c r="W662" s="9"/>
      <x:c r="X662" s="9"/>
      <x:c r="Y662" s="9"/>
      <x:c r="Z662" s="9"/>
    </x:row>
    <x:row r="663" ht="14.25" customHeight="1">
      <x:c r="K663" s="18">
        <x:f t="shared" si="1"/>
        <x:v>0</x:v>
      </x:c>
      <x:c r="L663" s="18">
        <x:f t="shared" si="2"/>
        <x:v>0</x:v>
      </x:c>
      <x:c r="M663" s="119" t="n">
        <x:f>C665*Scoring!$B$34+D665/Scoring!$C$34+E665*Scoring!$D$34+WR!F665*Scoring!$E$34+WR!G665/Scoring!$F$34+WR!H665*Scoring!$G$34+WR!I665*Scoring!$H$34+K665*Scoring!$I$34+WR!L665*Scoring!$J$34</x:f>
        <x:v>0</x:v>
      </x:c>
      <x:c r="N663" s="119" t="n">
        <x:f>C663*Scoring!$B$34+D663/Scoring!$C$34+E663*Scoring!$D$34+WR!F663*Scoring!$E$34+WR!G663/Scoring!$F$34+WR!H663*Scoring!$G$34+WR!I663*Scoring!$H$34+K663*Scoring!$I$34+WR!L663*Scoring!$J$34</x:f>
        <x:v>0</x:v>
      </x:c>
      <x:c r="O663" s="119" t="n">
        <x:f>C664*Scoring!$B$34+D664/Scoring!$C$34+E664*Scoring!$D$34+WR!F664*Scoring!$E$34+WR!G664/Scoring!$F$34+WR!H664*Scoring!$G$34+WR!I664*Scoring!$H$34+K664*Scoring!$I$34+WR!L664*Scoring!$J$34</x:f>
        <x:v>0</x:v>
      </x:c>
      <x:c r="P663" s="9"/>
      <x:c r="Q663" s="9"/>
      <x:c r="R663" s="9"/>
      <x:c r="S663" s="9"/>
      <x:c r="T663" s="9"/>
      <x:c r="U663" s="9"/>
      <x:c r="V663" s="9"/>
      <x:c r="W663" s="9"/>
      <x:c r="X663" s="9"/>
      <x:c r="Y663" s="9"/>
      <x:c r="Z663" s="9"/>
    </x:row>
    <x:row r="664" ht="14.25" customHeight="1">
      <x:c r="K664" s="18">
        <x:f t="shared" si="1"/>
        <x:v>0</x:v>
      </x:c>
      <x:c r="L664" s="18">
        <x:f t="shared" si="2"/>
        <x:v>0</x:v>
      </x:c>
      <x:c r="M664" s="121"/>
      <x:c r="N664" s="121"/>
      <x:c r="O664" s="121"/>
      <x:c r="P664" s="9"/>
      <x:c r="Q664" s="9"/>
      <x:c r="R664" s="9"/>
      <x:c r="S664" s="9"/>
      <x:c r="T664" s="9"/>
      <x:c r="U664" s="9"/>
      <x:c r="V664" s="9"/>
      <x:c r="W664" s="9"/>
      <x:c r="X664" s="9"/>
      <x:c r="Y664" s="9"/>
      <x:c r="Z664" s="9"/>
    </x:row>
    <x:row r="665" ht="14.25" customHeight="1">
      <x:c r="K665" s="18">
        <x:f t="shared" si="1"/>
        <x:v>0</x:v>
      </x:c>
      <x:c r="L665" s="18">
        <x:f t="shared" si="2"/>
        <x:v>0</x:v>
      </x:c>
      <x:c r="M665" s="121"/>
      <x:c r="N665" s="121"/>
      <x:c r="O665" s="121"/>
      <x:c r="P665" s="9"/>
      <x:c r="Q665" s="9"/>
      <x:c r="R665" s="9"/>
      <x:c r="S665" s="9"/>
      <x:c r="T665" s="9"/>
      <x:c r="U665" s="9"/>
      <x:c r="V665" s="9"/>
      <x:c r="W665" s="9"/>
      <x:c r="X665" s="9"/>
      <x:c r="Y665" s="9"/>
      <x:c r="Z665" s="9"/>
    </x:row>
    <x:row r="666" ht="14.25" customHeight="1">
      <x:c r="K666" s="18">
        <x:f t="shared" si="1"/>
        <x:v>0</x:v>
      </x:c>
      <x:c r="L666" s="18">
        <x:f t="shared" si="2"/>
        <x:v>0</x:v>
      </x:c>
      <x:c r="M666" s="119" t="n">
        <x:f>C668*Scoring!$B$34+D668/Scoring!$C$34+E668*Scoring!$D$34+WR!F668*Scoring!$E$34+WR!G668/Scoring!$F$34+WR!H668*Scoring!$G$34+WR!I668*Scoring!$H$34+K668*Scoring!$I$34+WR!L668*Scoring!$J$34</x:f>
        <x:v>0</x:v>
      </x:c>
      <x:c r="N666" s="119" t="n">
        <x:f>C666*Scoring!$B$34+D666/Scoring!$C$34+E666*Scoring!$D$34+WR!F666*Scoring!$E$34+WR!G666/Scoring!$F$34+WR!H666*Scoring!$G$34+WR!I666*Scoring!$H$34+K666*Scoring!$I$34+WR!L666*Scoring!$J$34</x:f>
        <x:v>0</x:v>
      </x:c>
      <x:c r="O666" s="119" t="n">
        <x:f>C667*Scoring!$B$34+D667/Scoring!$C$34+E667*Scoring!$D$34+WR!F667*Scoring!$E$34+WR!G667/Scoring!$F$34+WR!H667*Scoring!$G$34+WR!I667*Scoring!$H$34+K667*Scoring!$I$34+WR!L667*Scoring!$J$34</x:f>
        <x:v>0</x:v>
      </x:c>
      <x:c r="P666" s="9"/>
      <x:c r="Q666" s="9"/>
      <x:c r="R666" s="9"/>
      <x:c r="S666" s="9"/>
      <x:c r="T666" s="9"/>
      <x:c r="U666" s="9"/>
      <x:c r="V666" s="9"/>
      <x:c r="W666" s="9"/>
      <x:c r="X666" s="9"/>
      <x:c r="Y666" s="9"/>
      <x:c r="Z666" s="9"/>
    </x:row>
    <x:row r="667" ht="14.25" customHeight="1">
      <x:c r="K667" s="18">
        <x:f t="shared" si="1"/>
        <x:v>0</x:v>
      </x:c>
      <x:c r="L667" s="18">
        <x:f t="shared" si="2"/>
        <x:v>0</x:v>
      </x:c>
      <x:c r="M667" s="121"/>
      <x:c r="N667" s="121"/>
      <x:c r="O667" s="121"/>
      <x:c r="P667" s="9"/>
      <x:c r="Q667" s="9"/>
      <x:c r="R667" s="9"/>
      <x:c r="S667" s="9"/>
      <x:c r="T667" s="9"/>
      <x:c r="U667" s="9"/>
      <x:c r="V667" s="9"/>
      <x:c r="W667" s="9"/>
      <x:c r="X667" s="9"/>
      <x:c r="Y667" s="9"/>
      <x:c r="Z667" s="9"/>
    </x:row>
    <x:row r="668" ht="14.25" customHeight="1">
      <x:c r="K668" s="18">
        <x:f t="shared" si="1"/>
        <x:v>0</x:v>
      </x:c>
      <x:c r="L668" s="18">
        <x:f t="shared" si="2"/>
        <x:v>0</x:v>
      </x:c>
      <x:c r="M668" s="121"/>
      <x:c r="N668" s="121"/>
      <x:c r="O668" s="121"/>
      <x:c r="P668" s="9"/>
      <x:c r="Q668" s="9"/>
      <x:c r="R668" s="9"/>
      <x:c r="S668" s="9"/>
      <x:c r="T668" s="9"/>
      <x:c r="U668" s="9"/>
      <x:c r="V668" s="9"/>
      <x:c r="W668" s="9"/>
      <x:c r="X668" s="9"/>
      <x:c r="Y668" s="9"/>
      <x:c r="Z668" s="9"/>
    </x:row>
    <x:row r="669" ht="14.25" customHeight="1">
      <x:c r="K669" s="18">
        <x:f t="shared" si="1"/>
        <x:v>0</x:v>
      </x:c>
      <x:c r="L669" s="18">
        <x:f t="shared" si="2"/>
        <x:v>0</x:v>
      </x:c>
      <x:c r="M669" s="119" t="n">
        <x:f>C671*Scoring!$B$34+D671/Scoring!$C$34+E671*Scoring!$D$34+WR!F671*Scoring!$E$34+WR!G671/Scoring!$F$34+WR!H671*Scoring!$G$34+WR!I671*Scoring!$H$34+K671*Scoring!$I$34+WR!L671*Scoring!$J$34</x:f>
        <x:v>0</x:v>
      </x:c>
      <x:c r="N669" s="119" t="n">
        <x:f>C669*Scoring!$B$34+D669/Scoring!$C$34+E669*Scoring!$D$34+WR!F669*Scoring!$E$34+WR!G669/Scoring!$F$34+WR!H669*Scoring!$G$34+WR!I669*Scoring!$H$34+K669*Scoring!$I$34+WR!L669*Scoring!$J$34</x:f>
        <x:v>0</x:v>
      </x:c>
      <x:c r="O669" s="119" t="n">
        <x:f>C670*Scoring!$B$34+D670/Scoring!$C$34+E670*Scoring!$D$34+WR!F670*Scoring!$E$34+WR!G670/Scoring!$F$34+WR!H670*Scoring!$G$34+WR!I670*Scoring!$H$34+K670*Scoring!$I$34+WR!L670*Scoring!$J$34</x:f>
        <x:v>0</x:v>
      </x:c>
      <x:c r="P669" s="9"/>
      <x:c r="Q669" s="9"/>
      <x:c r="R669" s="9"/>
      <x:c r="S669" s="9"/>
      <x:c r="T669" s="9"/>
      <x:c r="U669" s="9"/>
      <x:c r="V669" s="9"/>
      <x:c r="W669" s="9"/>
      <x:c r="X669" s="9"/>
      <x:c r="Y669" s="9"/>
      <x:c r="Z669" s="9"/>
    </x:row>
    <x:row r="670" ht="14.25" customHeight="1">
      <x:c r="K670" s="18">
        <x:f t="shared" si="1"/>
        <x:v>0</x:v>
      </x:c>
      <x:c r="L670" s="18">
        <x:f t="shared" si="2"/>
        <x:v>0</x:v>
      </x:c>
      <x:c r="M670" s="121"/>
      <x:c r="N670" s="121"/>
      <x:c r="O670" s="121"/>
      <x:c r="P670" s="9"/>
      <x:c r="Q670" s="9"/>
      <x:c r="R670" s="9"/>
      <x:c r="S670" s="9"/>
      <x:c r="T670" s="9"/>
      <x:c r="U670" s="9"/>
      <x:c r="V670" s="9"/>
      <x:c r="W670" s="9"/>
      <x:c r="X670" s="9"/>
      <x:c r="Y670" s="9"/>
      <x:c r="Z670" s="9"/>
    </x:row>
    <x:row r="671" ht="14.25" customHeight="1">
      <x:c r="K671" s="18">
        <x:f t="shared" si="1"/>
        <x:v>0</x:v>
      </x:c>
      <x:c r="L671" s="18">
        <x:f t="shared" si="2"/>
        <x:v>0</x:v>
      </x:c>
      <x:c r="M671" s="121"/>
      <x:c r="N671" s="121"/>
      <x:c r="O671" s="121"/>
      <x:c r="P671" s="9"/>
      <x:c r="Q671" s="9"/>
      <x:c r="R671" s="9"/>
      <x:c r="S671" s="9"/>
      <x:c r="T671" s="9"/>
      <x:c r="U671" s="9"/>
      <x:c r="V671" s="9"/>
      <x:c r="W671" s="9"/>
      <x:c r="X671" s="9"/>
      <x:c r="Y671" s="9"/>
      <x:c r="Z671" s="9"/>
    </x:row>
    <x:row r="672" ht="14.25" customHeight="1">
      <x:c r="K672" s="18">
        <x:f t="shared" si="1"/>
        <x:v>0</x:v>
      </x:c>
      <x:c r="L672" s="18">
        <x:f t="shared" si="2"/>
        <x:v>0</x:v>
      </x:c>
      <x:c r="M672" s="119" t="n">
        <x:f>C674*Scoring!$B$34+D674/Scoring!$C$34+E674*Scoring!$D$34+WR!F674*Scoring!$E$34+WR!G674/Scoring!$F$34+WR!H674*Scoring!$G$34+WR!I674*Scoring!$H$34+K674*Scoring!$I$34+WR!L674*Scoring!$J$34</x:f>
        <x:v>0</x:v>
      </x:c>
      <x:c r="N672" s="119" t="n">
        <x:f>C672*Scoring!$B$34+D672/Scoring!$C$34+E672*Scoring!$D$34+WR!F672*Scoring!$E$34+WR!G672/Scoring!$F$34+WR!H672*Scoring!$G$34+WR!I672*Scoring!$H$34+K672*Scoring!$I$34+WR!L672*Scoring!$J$34</x:f>
        <x:v>0</x:v>
      </x:c>
      <x:c r="O672" s="119" t="n">
        <x:f>C673*Scoring!$B$34+D673/Scoring!$C$34+E673*Scoring!$D$34+WR!F673*Scoring!$E$34+WR!G673/Scoring!$F$34+WR!H673*Scoring!$G$34+WR!I673*Scoring!$H$34+K673*Scoring!$I$34+WR!L673*Scoring!$J$34</x:f>
        <x:v>0</x:v>
      </x:c>
      <x:c r="P672" s="9"/>
      <x:c r="Q672" s="9"/>
      <x:c r="R672" s="9"/>
      <x:c r="S672" s="9"/>
      <x:c r="T672" s="9"/>
      <x:c r="U672" s="9"/>
      <x:c r="V672" s="9"/>
      <x:c r="W672" s="9"/>
      <x:c r="X672" s="9"/>
      <x:c r="Y672" s="9"/>
      <x:c r="Z672" s="9"/>
    </x:row>
    <x:row r="673" ht="14.25" customHeight="1">
      <x:c r="K673" s="18">
        <x:f t="shared" si="1"/>
        <x:v>0</x:v>
      </x:c>
      <x:c r="L673" s="18">
        <x:f t="shared" si="2"/>
        <x:v>0</x:v>
      </x:c>
      <x:c r="M673" s="121"/>
      <x:c r="N673" s="121"/>
      <x:c r="O673" s="121"/>
      <x:c r="P673" s="9"/>
      <x:c r="Q673" s="9"/>
      <x:c r="R673" s="9"/>
      <x:c r="S673" s="9"/>
      <x:c r="T673" s="9"/>
      <x:c r="U673" s="9"/>
      <x:c r="V673" s="9"/>
      <x:c r="W673" s="9"/>
      <x:c r="X673" s="9"/>
      <x:c r="Y673" s="9"/>
      <x:c r="Z673" s="9"/>
    </x:row>
    <x:row r="674" ht="14.25" customHeight="1">
      <x:c r="K674" s="18">
        <x:f t="shared" si="1"/>
        <x:v>0</x:v>
      </x:c>
      <x:c r="L674" s="18">
        <x:f t="shared" si="2"/>
        <x:v>0</x:v>
      </x:c>
      <x:c r="M674" s="121"/>
      <x:c r="N674" s="121"/>
      <x:c r="O674" s="121"/>
      <x:c r="P674" s="9"/>
      <x:c r="Q674" s="9"/>
      <x:c r="R674" s="9"/>
      <x:c r="S674" s="9"/>
      <x:c r="T674" s="9"/>
      <x:c r="U674" s="9"/>
      <x:c r="V674" s="9"/>
      <x:c r="W674" s="9"/>
      <x:c r="X674" s="9"/>
      <x:c r="Y674" s="9"/>
      <x:c r="Z674" s="9"/>
    </x:row>
    <x:row r="675" ht="14.25" customHeight="1">
      <x:c r="K675" s="18">
        <x:f t="shared" si="1"/>
        <x:v>0</x:v>
      </x:c>
      <x:c r="L675" s="18">
        <x:f t="shared" si="2"/>
        <x:v>0</x:v>
      </x:c>
      <x:c r="M675" s="119" t="n">
        <x:f>C677*Scoring!$B$34+D677/Scoring!$C$34+E677*Scoring!$D$34+WR!F677*Scoring!$E$34+WR!G677/Scoring!$F$34+WR!H677*Scoring!$G$34+WR!I677*Scoring!$H$34+K677*Scoring!$I$34+WR!L677*Scoring!$J$34</x:f>
        <x:v>0</x:v>
      </x:c>
      <x:c r="N675" s="119" t="n">
        <x:f>C675*Scoring!$B$34+D675/Scoring!$C$34+E675*Scoring!$D$34+WR!F675*Scoring!$E$34+WR!G675/Scoring!$F$34+WR!H675*Scoring!$G$34+WR!I675*Scoring!$H$34+K675*Scoring!$I$34+WR!L675*Scoring!$J$34</x:f>
        <x:v>0</x:v>
      </x:c>
      <x:c r="O675" s="119" t="n">
        <x:f>C676*Scoring!$B$34+D676/Scoring!$C$34+E676*Scoring!$D$34+WR!F676*Scoring!$E$34+WR!G676/Scoring!$F$34+WR!H676*Scoring!$G$34+WR!I676*Scoring!$H$34+K676*Scoring!$I$34+WR!L676*Scoring!$J$34</x:f>
        <x:v>0</x:v>
      </x:c>
      <x:c r="P675" s="9"/>
      <x:c r="Q675" s="9"/>
      <x:c r="R675" s="9"/>
      <x:c r="S675" s="9"/>
      <x:c r="T675" s="9"/>
      <x:c r="U675" s="9"/>
      <x:c r="V675" s="9"/>
      <x:c r="W675" s="9"/>
      <x:c r="X675" s="9"/>
      <x:c r="Y675" s="9"/>
      <x:c r="Z675" s="9"/>
    </x:row>
    <x:row r="676" ht="14.25" customHeight="1">
      <x:c r="K676" s="18">
        <x:f t="shared" si="1"/>
        <x:v>0</x:v>
      </x:c>
      <x:c r="L676" s="18">
        <x:f t="shared" si="2"/>
        <x:v>0</x:v>
      </x:c>
      <x:c r="M676" s="121"/>
      <x:c r="N676" s="121"/>
      <x:c r="O676" s="121"/>
      <x:c r="P676" s="9"/>
      <x:c r="Q676" s="9"/>
      <x:c r="R676" s="9"/>
      <x:c r="S676" s="9"/>
      <x:c r="T676" s="9"/>
      <x:c r="U676" s="9"/>
      <x:c r="V676" s="9"/>
      <x:c r="W676" s="9"/>
      <x:c r="X676" s="9"/>
      <x:c r="Y676" s="9"/>
      <x:c r="Z676" s="9"/>
    </x:row>
    <x:row r="677" ht="14.25" customHeight="1">
      <x:c r="K677" s="18">
        <x:f t="shared" si="1"/>
        <x:v>0</x:v>
      </x:c>
      <x:c r="L677" s="18">
        <x:f t="shared" si="2"/>
        <x:v>0</x:v>
      </x:c>
      <x:c r="M677" s="121"/>
      <x:c r="N677" s="121"/>
      <x:c r="O677" s="121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</x:row>
    <x:row r="678" ht="14.25" customHeight="1">
      <x:c r="K678" s="18">
        <x:f t="shared" si="1"/>
        <x:v>0</x:v>
      </x:c>
      <x:c r="L678" s="18">
        <x:f t="shared" si="2"/>
        <x:v>0</x:v>
      </x:c>
      <x:c r="M678" s="119" t="n">
        <x:f>C680*Scoring!$B$34+D680/Scoring!$C$34+E680*Scoring!$D$34+WR!F680*Scoring!$E$34+WR!G680/Scoring!$F$34+WR!H680*Scoring!$G$34+WR!I680*Scoring!$H$34+K680*Scoring!$I$34+WR!L680*Scoring!$J$34</x:f>
        <x:v>0</x:v>
      </x:c>
      <x:c r="N678" s="119" t="n">
        <x:f>C678*Scoring!$B$34+D678/Scoring!$C$34+E678*Scoring!$D$34+WR!F678*Scoring!$E$34+WR!G678/Scoring!$F$34+WR!H678*Scoring!$G$34+WR!I678*Scoring!$H$34+K678*Scoring!$I$34+WR!L678*Scoring!$J$34</x:f>
        <x:v>0</x:v>
      </x:c>
      <x:c r="O678" s="119" t="n">
        <x:f>C679*Scoring!$B$34+D679/Scoring!$C$34+E679*Scoring!$D$34+WR!F679*Scoring!$E$34+WR!G679/Scoring!$F$34+WR!H679*Scoring!$G$34+WR!I679*Scoring!$H$34+K679*Scoring!$I$34+WR!L679*Scoring!$J$34</x:f>
        <x:v>0</x:v>
      </x:c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</x:row>
    <x:row r="679" ht="14.25" customHeight="1">
      <x:c r="K679" s="18">
        <x:f t="shared" si="1"/>
        <x:v>0</x:v>
      </x:c>
      <x:c r="L679" s="18">
        <x:f t="shared" si="2"/>
        <x:v>0</x:v>
      </x:c>
      <x:c r="M679" s="121"/>
      <x:c r="N679" s="121"/>
      <x:c r="O679" s="121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</x:row>
    <x:row r="680" ht="14.25" customHeight="1">
      <x:c r="K680" s="18">
        <x:f t="shared" si="1"/>
        <x:v>0</x:v>
      </x:c>
      <x:c r="L680" s="18">
        <x:f t="shared" si="2"/>
        <x:v>0</x:v>
      </x:c>
      <x:c r="M680" s="121"/>
      <x:c r="N680" s="121"/>
      <x:c r="O680" s="121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</x:row>
    <x:row r="681" ht="14.25" customHeight="1">
      <x:c r="K681" s="18">
        <x:f t="shared" si="1"/>
        <x:v>0</x:v>
      </x:c>
      <x:c r="L681" s="18">
        <x:f t="shared" si="2"/>
        <x:v>0</x:v>
      </x:c>
      <x:c r="M681" s="119" t="n">
        <x:f>C683*Scoring!$B$34+D683/Scoring!$C$34+E683*Scoring!$D$34+WR!F683*Scoring!$E$34+WR!G683/Scoring!$F$34+WR!H683*Scoring!$G$34+WR!I683*Scoring!$H$34+K683*Scoring!$I$34+WR!L683*Scoring!$J$34</x:f>
        <x:v>0</x:v>
      </x:c>
      <x:c r="N681" s="119" t="n">
        <x:f>C681*Scoring!$B$34+D681/Scoring!$C$34+E681*Scoring!$D$34+WR!F681*Scoring!$E$34+WR!G681/Scoring!$F$34+WR!H681*Scoring!$G$34+WR!I681*Scoring!$H$34+K681*Scoring!$I$34+WR!L681*Scoring!$J$34</x:f>
        <x:v>0</x:v>
      </x:c>
      <x:c r="O681" s="119" t="n">
        <x:f>C682*Scoring!$B$34+D682/Scoring!$C$34+E682*Scoring!$D$34+WR!F682*Scoring!$E$34+WR!G682/Scoring!$F$34+WR!H682*Scoring!$G$34+WR!I682*Scoring!$H$34+K682*Scoring!$I$34+WR!L682*Scoring!$J$34</x:f>
        <x:v>0</x:v>
      </x:c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</x:row>
    <x:row r="682" ht="14.25" customHeight="1">
      <x:c r="K682" s="18">
        <x:f t="shared" si="1"/>
        <x:v>0</x:v>
      </x:c>
      <x:c r="L682" s="18">
        <x:f t="shared" si="2"/>
        <x:v>0</x:v>
      </x:c>
      <x:c r="M682" s="121"/>
      <x:c r="N682" s="121"/>
      <x:c r="O682" s="121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</x:row>
    <x:row r="683" ht="14.25" customHeight="1">
      <x:c r="K683" s="18">
        <x:f t="shared" si="1"/>
        <x:v>0</x:v>
      </x:c>
      <x:c r="L683" s="18">
        <x:f t="shared" si="2"/>
        <x:v>0</x:v>
      </x:c>
      <x:c r="M683" s="121"/>
      <x:c r="N683" s="121"/>
      <x:c r="O683" s="121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</x:row>
    <x:row r="684" ht="14.25" customHeight="1">
      <x:c r="K684" s="18">
        <x:f t="shared" si="1"/>
        <x:v>0</x:v>
      </x:c>
      <x:c r="L684" s="18">
        <x:f t="shared" si="2"/>
        <x:v>0</x:v>
      </x:c>
      <x:c r="M684" s="119" t="n">
        <x:f>C686*Scoring!$B$34+D686/Scoring!$C$34+E686*Scoring!$D$34+WR!F686*Scoring!$E$34+WR!G686/Scoring!$F$34+WR!H686*Scoring!$G$34+WR!I686*Scoring!$H$34+K686*Scoring!$I$34+WR!L686*Scoring!$J$34</x:f>
        <x:v>0</x:v>
      </x:c>
      <x:c r="N684" s="119" t="n">
        <x:f>C684*Scoring!$B$34+D684/Scoring!$C$34+E684*Scoring!$D$34+WR!F684*Scoring!$E$34+WR!G684/Scoring!$F$34+WR!H684*Scoring!$G$34+WR!I684*Scoring!$H$34+K684*Scoring!$I$34+WR!L684*Scoring!$J$34</x:f>
        <x:v>0</x:v>
      </x:c>
      <x:c r="O684" s="119" t="n">
        <x:f>C685*Scoring!$B$34+D685/Scoring!$C$34+E685*Scoring!$D$34+WR!F685*Scoring!$E$34+WR!G685/Scoring!$F$34+WR!H685*Scoring!$G$34+WR!I685*Scoring!$H$34+K685*Scoring!$I$34+WR!L685*Scoring!$J$34</x:f>
        <x:v>0</x:v>
      </x:c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</x:row>
    <x:row r="685" ht="14.25" customHeight="1">
      <x:c r="K685" s="18">
        <x:f t="shared" si="1"/>
        <x:v>0</x:v>
      </x:c>
      <x:c r="L685" s="18">
        <x:f t="shared" si="2"/>
        <x:v>0</x:v>
      </x:c>
      <x:c r="M685" s="121"/>
      <x:c r="N685" s="121"/>
      <x:c r="O685" s="121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</x:row>
    <x:row r="686" ht="14.25" customHeight="1">
      <x:c r="K686" s="18">
        <x:f t="shared" si="1"/>
        <x:v>0</x:v>
      </x:c>
      <x:c r="L686" s="18">
        <x:f t="shared" si="2"/>
        <x:v>0</x:v>
      </x:c>
      <x:c r="M686" s="121"/>
      <x:c r="N686" s="121"/>
      <x:c r="O686" s="121"/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</x:row>
    <x:row r="687" ht="14.25" customHeight="1">
      <x:c r="K687" s="18">
        <x:f t="shared" si="1"/>
        <x:v>0</x:v>
      </x:c>
      <x:c r="L687" s="18">
        <x:f t="shared" si="2"/>
        <x:v>0</x:v>
      </x:c>
      <x:c r="M687" s="119" t="n">
        <x:f>C689*Scoring!$B$34+D689/Scoring!$C$34+E689*Scoring!$D$34+WR!F689*Scoring!$E$34+WR!G689/Scoring!$F$34+WR!H689*Scoring!$G$34+WR!I689*Scoring!$H$34+K689*Scoring!$I$34+WR!L689*Scoring!$J$34</x:f>
        <x:v>0</x:v>
      </x:c>
      <x:c r="N687" s="119" t="n">
        <x:f>C687*Scoring!$B$34+D687/Scoring!$C$34+E687*Scoring!$D$34+WR!F687*Scoring!$E$34+WR!G687/Scoring!$F$34+WR!H687*Scoring!$G$34+WR!I687*Scoring!$H$34+K687*Scoring!$I$34+WR!L687*Scoring!$J$34</x:f>
        <x:v>0</x:v>
      </x:c>
      <x:c r="O687" s="119" t="n">
        <x:f>C688*Scoring!$B$34+D688/Scoring!$C$34+E688*Scoring!$D$34+WR!F688*Scoring!$E$34+WR!G688/Scoring!$F$34+WR!H688*Scoring!$G$34+WR!I688*Scoring!$H$34+K688*Scoring!$I$34+WR!L688*Scoring!$J$34</x:f>
        <x:v>0</x:v>
      </x:c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</x:row>
    <x:row r="688" ht="14.25" customHeight="1">
      <x:c r="K688" s="18">
        <x:f t="shared" si="1"/>
        <x:v>0</x:v>
      </x:c>
      <x:c r="L688" s="18">
        <x:f t="shared" si="2"/>
        <x:v>0</x:v>
      </x:c>
      <x:c r="M688" s="121"/>
      <x:c r="N688" s="121"/>
      <x:c r="O688" s="121"/>
      <x:c r="P688" s="9"/>
      <x:c r="Q688" s="9"/>
      <x:c r="R688" s="9"/>
      <x:c r="S688" s="9"/>
      <x:c r="T688" s="9"/>
      <x:c r="U688" s="9"/>
      <x:c r="V688" s="9"/>
      <x:c r="W688" s="9"/>
      <x:c r="X688" s="9"/>
      <x:c r="Y688" s="9"/>
      <x:c r="Z688" s="9"/>
    </x:row>
    <x:row r="689" ht="14.25" customHeight="1">
      <x:c r="K689" s="18">
        <x:f t="shared" si="1"/>
        <x:v>0</x:v>
      </x:c>
      <x:c r="L689" s="18">
        <x:f t="shared" si="2"/>
        <x:v>0</x:v>
      </x:c>
      <x:c r="M689" s="121"/>
      <x:c r="N689" s="121"/>
      <x:c r="O689" s="121"/>
      <x:c r="P689" s="9"/>
      <x:c r="Q689" s="9"/>
      <x:c r="R689" s="9"/>
      <x:c r="S689" s="9"/>
      <x:c r="T689" s="9"/>
      <x:c r="U689" s="9"/>
      <x:c r="V689" s="9"/>
      <x:c r="W689" s="9"/>
      <x:c r="X689" s="9"/>
      <x:c r="Y689" s="9"/>
      <x:c r="Z689" s="9"/>
    </x:row>
    <x:row r="690" ht="14.25" customHeight="1">
      <x:c r="K690" s="18">
        <x:f t="shared" si="1"/>
        <x:v>0</x:v>
      </x:c>
      <x:c r="L690" s="18">
        <x:f t="shared" si="2"/>
        <x:v>0</x:v>
      </x:c>
      <x:c r="M690" s="119" t="n">
        <x:f>C692*Scoring!$B$34+D692/Scoring!$C$34+E692*Scoring!$D$34+WR!F692*Scoring!$E$34+WR!G692/Scoring!$F$34+WR!H692*Scoring!$G$34+WR!I692*Scoring!$H$34+K692*Scoring!$I$34+WR!L692*Scoring!$J$34</x:f>
        <x:v>0</x:v>
      </x:c>
      <x:c r="N690" s="119" t="n">
        <x:f>C690*Scoring!$B$34+D690/Scoring!$C$34+E690*Scoring!$D$34+WR!F690*Scoring!$E$34+WR!G690/Scoring!$F$34+WR!H690*Scoring!$G$34+WR!I690*Scoring!$H$34+K690*Scoring!$I$34+WR!L690*Scoring!$J$34</x:f>
        <x:v>0</x:v>
      </x:c>
      <x:c r="O690" s="119" t="n">
        <x:f>C691*Scoring!$B$34+D691/Scoring!$C$34+E691*Scoring!$D$34+WR!F691*Scoring!$E$34+WR!G691/Scoring!$F$34+WR!H691*Scoring!$G$34+WR!I691*Scoring!$H$34+K691*Scoring!$I$34+WR!L691*Scoring!$J$34</x:f>
        <x:v>0</x:v>
      </x:c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</x:row>
    <x:row r="691" ht="14.25" customHeight="1">
      <x:c r="K691" s="18">
        <x:f t="shared" si="1"/>
        <x:v>0</x:v>
      </x:c>
      <x:c r="L691" s="18">
        <x:f t="shared" si="2"/>
        <x:v>0</x:v>
      </x:c>
      <x:c r="M691" s="121"/>
      <x:c r="N691" s="121"/>
      <x:c r="O691" s="121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</x:row>
    <x:row r="692" ht="14.25" customHeight="1">
      <x:c r="K692" s="18">
        <x:f t="shared" si="1"/>
        <x:v>0</x:v>
      </x:c>
      <x:c r="L692" s="18">
        <x:f t="shared" si="2"/>
        <x:v>0</x:v>
      </x:c>
      <x:c r="M692" s="121"/>
      <x:c r="N692" s="121"/>
      <x:c r="O692" s="121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</x:row>
    <x:row r="693" ht="14.25" customHeight="1">
      <x:c r="K693" s="18">
        <x:f t="shared" si="1"/>
        <x:v>0</x:v>
      </x:c>
      <x:c r="L693" s="18">
        <x:f t="shared" si="2"/>
        <x:v>0</x:v>
      </x:c>
      <x:c r="M693" s="119" t="n">
        <x:f>C695*Scoring!$B$34+D695/Scoring!$C$34+E695*Scoring!$D$34+WR!F695*Scoring!$E$34+WR!G695/Scoring!$F$34+WR!H695*Scoring!$G$34+WR!I695*Scoring!$H$34+K695*Scoring!$I$34+WR!L695*Scoring!$J$34</x:f>
        <x:v>0</x:v>
      </x:c>
      <x:c r="N693" s="119" t="n">
        <x:f>C693*Scoring!$B$34+D693/Scoring!$C$34+E693*Scoring!$D$34+WR!F693*Scoring!$E$34+WR!G693/Scoring!$F$34+WR!H693*Scoring!$G$34+WR!I693*Scoring!$H$34+K693*Scoring!$I$34+WR!L693*Scoring!$J$34</x:f>
        <x:v>0</x:v>
      </x:c>
      <x:c r="O693" s="119" t="n">
        <x:f>C694*Scoring!$B$34+D694/Scoring!$C$34+E694*Scoring!$D$34+WR!F694*Scoring!$E$34+WR!G694/Scoring!$F$34+WR!H694*Scoring!$G$34+WR!I694*Scoring!$H$34+K694*Scoring!$I$34+WR!L694*Scoring!$J$34</x:f>
        <x:v>0</x:v>
      </x:c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</x:row>
    <x:row r="694" ht="14.25" customHeight="1">
      <x:c r="K694" s="18">
        <x:f t="shared" si="1"/>
        <x:v>0</x:v>
      </x:c>
      <x:c r="L694" s="18">
        <x:f t="shared" si="2"/>
        <x:v>0</x:v>
      </x:c>
      <x:c r="M694" s="121"/>
      <x:c r="N694" s="121"/>
      <x:c r="O694" s="121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</x:row>
    <x:row r="695" ht="14.25" customHeight="1">
      <x:c r="K695" s="18">
        <x:f t="shared" si="1"/>
        <x:v>0</x:v>
      </x:c>
      <x:c r="L695" s="18">
        <x:f t="shared" si="2"/>
        <x:v>0</x:v>
      </x:c>
      <x:c r="M695" s="121"/>
      <x:c r="N695" s="121"/>
      <x:c r="O695" s="121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</x:row>
    <x:row r="696" ht="14.25" customHeight="1">
      <x:c r="K696" s="18">
        <x:f t="shared" si="1"/>
        <x:v>0</x:v>
      </x:c>
      <x:c r="L696" s="18">
        <x:f t="shared" si="2"/>
        <x:v>0</x:v>
      </x:c>
      <x:c r="M696" s="119" t="n">
        <x:f>C698*Scoring!$B$34+D698/Scoring!$C$34+E698*Scoring!$D$34+WR!F698*Scoring!$E$34+WR!G698/Scoring!$F$34+WR!H698*Scoring!$G$34+WR!I698*Scoring!$H$34+K698*Scoring!$I$34+WR!L698*Scoring!$J$34</x:f>
        <x:v>0</x:v>
      </x:c>
      <x:c r="N696" s="119" t="n">
        <x:f>C696*Scoring!$B$34+D696/Scoring!$C$34+E696*Scoring!$D$34+WR!F696*Scoring!$E$34+WR!G696/Scoring!$F$34+WR!H696*Scoring!$G$34+WR!I696*Scoring!$H$34+K696*Scoring!$I$34+WR!L696*Scoring!$J$34</x:f>
        <x:v>0</x:v>
      </x:c>
      <x:c r="O696" s="119" t="n">
        <x:f>C697*Scoring!$B$34+D697/Scoring!$C$34+E697*Scoring!$D$34+WR!F697*Scoring!$E$34+WR!G697/Scoring!$F$34+WR!H697*Scoring!$G$34+WR!I697*Scoring!$H$34+K697*Scoring!$I$34+WR!L697*Scoring!$J$34</x:f>
        <x:v>0</x:v>
      </x:c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</x:row>
    <x:row r="697" ht="14.25" customHeight="1">
      <x:c r="K697" s="18">
        <x:f t="shared" si="1"/>
        <x:v>0</x:v>
      </x:c>
      <x:c r="L697" s="18">
        <x:f t="shared" si="2"/>
        <x:v>0</x:v>
      </x:c>
      <x:c r="M697" s="121"/>
      <x:c r="N697" s="121"/>
      <x:c r="O697" s="121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</x:row>
    <x:row r="698" ht="14.25" customHeight="1">
      <x:c r="K698" s="18">
        <x:f t="shared" si="1"/>
        <x:v>0</x:v>
      </x:c>
      <x:c r="L698" s="18">
        <x:f t="shared" si="2"/>
        <x:v>0</x:v>
      </x:c>
      <x:c r="M698" s="121"/>
      <x:c r="N698" s="121"/>
      <x:c r="O698" s="121"/>
      <x:c r="P698" s="9"/>
      <x:c r="Q698" s="9"/>
      <x:c r="R698" s="9"/>
      <x:c r="S698" s="9"/>
      <x:c r="T698" s="9"/>
      <x:c r="U698" s="9"/>
      <x:c r="V698" s="9"/>
      <x:c r="W698" s="9"/>
      <x:c r="X698" s="9"/>
      <x:c r="Y698" s="9"/>
      <x:c r="Z698" s="9"/>
    </x:row>
    <x:row r="699" ht="14.25" customHeight="1">
      <x:c r="K699" s="5"/>
      <x:c r="L699" s="5"/>
      <x:c r="M699" s="9"/>
      <x:c r="N699" s="9"/>
      <x:c r="O699" s="9"/>
      <x:c r="P699" s="9"/>
      <x:c r="Q699" s="9"/>
      <x:c r="R699" s="9"/>
      <x:c r="S699" s="9"/>
      <x:c r="T699" s="9"/>
      <x:c r="U699" s="9"/>
      <x:c r="V699" s="9"/>
      <x:c r="W699" s="9"/>
      <x:c r="X699" s="9"/>
      <x:c r="Y699" s="9"/>
      <x:c r="Z699" s="9"/>
    </x:row>
    <x:row r="700" ht="14.25" customHeight="1">
      <x:c r="K700" s="5"/>
      <x:c r="L700" s="5"/>
      <x:c r="M700" s="9"/>
      <x:c r="N700" s="9"/>
      <x:c r="O700" s="9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</x:row>
    <x:row r="701" ht="14.25" customHeight="1">
      <x:c r="K701" s="5"/>
      <x:c r="L701" s="5"/>
      <x:c r="M701" s="9"/>
      <x:c r="N701" s="9"/>
      <x:c r="O701" s="9"/>
      <x:c r="P701" s="9"/>
      <x:c r="Q701" s="9"/>
      <x:c r="R701" s="9"/>
      <x:c r="S701" s="9"/>
      <x:c r="T701" s="9"/>
      <x:c r="U701" s="9"/>
      <x:c r="V701" s="9"/>
      <x:c r="W701" s="9"/>
      <x:c r="X701" s="9"/>
      <x:c r="Y701" s="9"/>
      <x:c r="Z701" s="9"/>
    </x:row>
    <x:row r="702" ht="14.25" customHeight="1">
      <x:c r="K702" s="5"/>
      <x:c r="L702" s="5"/>
      <x:c r="M702" s="9"/>
      <x:c r="N702" s="9"/>
      <x:c r="O702" s="9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</x:row>
    <x:row r="703" ht="14.25" customHeight="1">
      <x:c r="K703" s="5"/>
      <x:c r="L703" s="5"/>
      <x:c r="M703" s="9"/>
      <x:c r="N703" s="9"/>
      <x:c r="O703" s="9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</x:row>
    <x:row r="704" ht="14.25" customHeight="1">
      <x:c r="K704" s="5"/>
      <x:c r="L704" s="5"/>
      <x:c r="M704" s="9"/>
      <x:c r="N704" s="9"/>
      <x:c r="O704" s="9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</x:row>
    <x:row r="705" ht="14.25" customHeight="1">
      <x:c r="K705" s="5"/>
      <x:c r="L705" s="5"/>
      <x:c r="M705" s="9"/>
      <x:c r="N705" s="9"/>
      <x:c r="O705" s="9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</x:row>
    <x:row r="706" ht="14.25" customHeight="1">
      <x:c r="K706" s="5"/>
      <x:c r="L706" s="5"/>
      <x:c r="M706" s="9"/>
      <x:c r="N706" s="9"/>
      <x:c r="O706" s="9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</x:row>
    <x:row r="707" ht="14.25" customHeight="1">
      <x:c r="K707" s="5"/>
      <x:c r="L707" s="5"/>
      <x:c r="M707" s="9"/>
      <x:c r="N707" s="9"/>
      <x:c r="O707" s="9"/>
      <x:c r="P707" s="9"/>
      <x:c r="Q707" s="9"/>
      <x:c r="R707" s="9"/>
      <x:c r="S707" s="9"/>
      <x:c r="T707" s="9"/>
      <x:c r="U707" s="9"/>
      <x:c r="V707" s="9"/>
      <x:c r="W707" s="9"/>
      <x:c r="X707" s="9"/>
      <x:c r="Y707" s="9"/>
      <x:c r="Z707" s="9"/>
    </x:row>
    <x:row r="708" ht="14.25" customHeight="1">
      <x:c r="K708" s="5"/>
      <x:c r="L708" s="5"/>
      <x:c r="M708" s="9"/>
      <x:c r="N708" s="9"/>
      <x:c r="O708" s="9"/>
      <x:c r="P708" s="9"/>
      <x:c r="Q708" s="9"/>
      <x:c r="R708" s="9"/>
      <x:c r="S708" s="9"/>
      <x:c r="T708" s="9"/>
      <x:c r="U708" s="9"/>
      <x:c r="V708" s="9"/>
      <x:c r="W708" s="9"/>
      <x:c r="X708" s="9"/>
      <x:c r="Y708" s="9"/>
      <x:c r="Z708" s="9"/>
    </x:row>
    <x:row r="709" ht="14.25" customHeight="1">
      <x:c r="K709" s="5"/>
      <x:c r="L709" s="5"/>
      <x:c r="M709" s="9"/>
      <x:c r="N709" s="9"/>
      <x:c r="O709" s="9"/>
      <x:c r="P709" s="9"/>
      <x:c r="Q709" s="9"/>
      <x:c r="R709" s="9"/>
      <x:c r="S709" s="9"/>
      <x:c r="T709" s="9"/>
      <x:c r="U709" s="9"/>
      <x:c r="V709" s="9"/>
      <x:c r="W709" s="9"/>
      <x:c r="X709" s="9"/>
      <x:c r="Y709" s="9"/>
      <x:c r="Z709" s="9"/>
    </x:row>
    <x:row r="710" ht="14.25" customHeight="1">
      <x:c r="K710" s="5"/>
      <x:c r="L710" s="5"/>
      <x:c r="M710" s="9"/>
      <x:c r="N710" s="9"/>
      <x:c r="O710" s="9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</x:row>
    <x:row r="711" ht="14.25" customHeight="1">
      <x:c r="K711" s="5"/>
      <x:c r="L711" s="5"/>
      <x:c r="M711" s="9"/>
      <x:c r="N711" s="9"/>
      <x:c r="O711" s="9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</x:row>
    <x:row r="712" ht="14.25" customHeight="1">
      <x:c r="K712" s="5"/>
      <x:c r="L712" s="5"/>
      <x:c r="M712" s="9"/>
      <x:c r="N712" s="9"/>
      <x:c r="O712" s="9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</x:row>
    <x:row r="713" ht="14.25" customHeight="1">
      <x:c r="K713" s="5"/>
      <x:c r="L713" s="5"/>
      <x:c r="M713" s="9"/>
      <x:c r="N713" s="9"/>
      <x:c r="O713" s="9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</x:row>
    <x:row r="714" ht="14.25" customHeight="1">
      <x:c r="K714" s="5"/>
      <x:c r="L714" s="5"/>
      <x:c r="M714" s="9"/>
      <x:c r="N714" s="9"/>
      <x:c r="O714" s="9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</x:row>
    <x:row r="715" ht="14.25" customHeight="1">
      <x:c r="K715" s="5"/>
      <x:c r="L715" s="5"/>
      <x:c r="M715" s="9"/>
      <x:c r="N715" s="9"/>
      <x:c r="O715" s="9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</x:row>
    <x:row r="716" ht="14.25" customHeight="1">
      <x:c r="K716" s="5"/>
      <x:c r="L716" s="5"/>
      <x:c r="M716" s="9"/>
      <x:c r="N716" s="9"/>
      <x:c r="O716" s="9"/>
      <x:c r="P716" s="9"/>
      <x:c r="Q716" s="9"/>
      <x:c r="R716" s="9"/>
      <x:c r="S716" s="9"/>
      <x:c r="T716" s="9"/>
      <x:c r="U716" s="9"/>
      <x:c r="V716" s="9"/>
      <x:c r="W716" s="9"/>
      <x:c r="X716" s="9"/>
      <x:c r="Y716" s="9"/>
      <x:c r="Z716" s="9"/>
    </x:row>
    <x:row r="717" ht="14.25" customHeight="1">
      <x:c r="K717" s="5"/>
      <x:c r="L717" s="5"/>
      <x:c r="M717" s="9"/>
      <x:c r="N717" s="9"/>
      <x:c r="O717" s="9"/>
      <x:c r="P717" s="9"/>
      <x:c r="Q717" s="9"/>
      <x:c r="R717" s="9"/>
      <x:c r="S717" s="9"/>
      <x:c r="T717" s="9"/>
      <x:c r="U717" s="9"/>
      <x:c r="V717" s="9"/>
      <x:c r="W717" s="9"/>
      <x:c r="X717" s="9"/>
      <x:c r="Y717" s="9"/>
      <x:c r="Z717" s="9"/>
    </x:row>
    <x:row r="718" ht="14.25" customHeight="1">
      <x:c r="K718" s="5"/>
      <x:c r="L718" s="5"/>
      <x:c r="M718" s="9"/>
      <x:c r="N718" s="9"/>
      <x:c r="O718" s="9"/>
      <x:c r="P718" s="9"/>
      <x:c r="Q718" s="9"/>
      <x:c r="R718" s="9"/>
      <x:c r="S718" s="9"/>
      <x:c r="T718" s="9"/>
      <x:c r="U718" s="9"/>
      <x:c r="V718" s="9"/>
      <x:c r="W718" s="9"/>
      <x:c r="X718" s="9"/>
      <x:c r="Y718" s="9"/>
      <x:c r="Z718" s="9"/>
    </x:row>
    <x:row r="719" ht="14.25" customHeight="1">
      <x:c r="K719" s="5"/>
      <x:c r="L719" s="5"/>
      <x:c r="M719" s="9"/>
      <x:c r="N719" s="9"/>
      <x:c r="O719" s="9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</x:row>
    <x:row r="720" ht="14.25" customHeight="1">
      <x:c r="K720" s="5"/>
      <x:c r="L720" s="5"/>
      <x:c r="M720" s="9"/>
      <x:c r="N720" s="9"/>
      <x:c r="O720" s="9"/>
      <x:c r="P720" s="9"/>
      <x:c r="Q720" s="9"/>
      <x:c r="R720" s="9"/>
      <x:c r="S720" s="9"/>
      <x:c r="T720" s="9"/>
      <x:c r="U720" s="9"/>
      <x:c r="V720" s="9"/>
      <x:c r="W720" s="9"/>
      <x:c r="X720" s="9"/>
      <x:c r="Y720" s="9"/>
      <x:c r="Z720" s="9"/>
    </x:row>
    <x:row r="721" ht="14.25" customHeight="1">
      <x:c r="K721" s="5"/>
      <x:c r="L721" s="5"/>
      <x:c r="M721" s="9"/>
      <x:c r="N721" s="9"/>
      <x:c r="O721" s="9"/>
      <x:c r="P721" s="9"/>
      <x:c r="Q721" s="9"/>
      <x:c r="R721" s="9"/>
      <x:c r="S721" s="9"/>
      <x:c r="T721" s="9"/>
      <x:c r="U721" s="9"/>
      <x:c r="V721" s="9"/>
      <x:c r="W721" s="9"/>
      <x:c r="X721" s="9"/>
      <x:c r="Y721" s="9"/>
      <x:c r="Z721" s="9"/>
    </x:row>
    <x:row r="722" ht="14.25" customHeight="1">
      <x:c r="K722" s="5"/>
      <x:c r="L722" s="5"/>
      <x:c r="M722" s="9"/>
      <x:c r="N722" s="9"/>
      <x:c r="O722" s="9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</x:row>
    <x:row r="723" ht="14.25" customHeight="1">
      <x:c r="K723" s="5"/>
      <x:c r="L723" s="5"/>
      <x:c r="M723" s="9"/>
      <x:c r="N723" s="9"/>
      <x:c r="O723" s="9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</x:row>
    <x:row r="724" ht="14.25" customHeight="1">
      <x:c r="K724" s="5"/>
      <x:c r="L724" s="5"/>
      <x:c r="M724" s="9"/>
      <x:c r="N724" s="9"/>
      <x:c r="O724" s="9"/>
      <x:c r="P724" s="9"/>
      <x:c r="Q724" s="9"/>
      <x:c r="R724" s="9"/>
      <x:c r="S724" s="9"/>
      <x:c r="T724" s="9"/>
      <x:c r="U724" s="9"/>
      <x:c r="V724" s="9"/>
      <x:c r="W724" s="9"/>
      <x:c r="X724" s="9"/>
      <x:c r="Y724" s="9"/>
      <x:c r="Z724" s="9"/>
    </x:row>
    <x:row r="725" ht="14.25" customHeight="1">
      <x:c r="K725" s="5"/>
      <x:c r="L725" s="5"/>
      <x:c r="M725" s="9"/>
      <x:c r="N725" s="9"/>
      <x:c r="O725" s="9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</x:row>
    <x:row r="726" ht="14.25" customHeight="1">
      <x:c r="K726" s="5"/>
      <x:c r="L726" s="5"/>
      <x:c r="M726" s="9"/>
      <x:c r="N726" s="9"/>
      <x:c r="O726" s="9"/>
      <x:c r="P726" s="9"/>
      <x:c r="Q726" s="9"/>
      <x:c r="R726" s="9"/>
      <x:c r="S726" s="9"/>
      <x:c r="T726" s="9"/>
      <x:c r="U726" s="9"/>
      <x:c r="V726" s="9"/>
      <x:c r="W726" s="9"/>
      <x:c r="X726" s="9"/>
      <x:c r="Y726" s="9"/>
      <x:c r="Z726" s="9"/>
    </x:row>
    <x:row r="727" ht="14.25" customHeight="1">
      <x:c r="K727" s="5"/>
      <x:c r="L727" s="5"/>
      <x:c r="M727" s="9"/>
      <x:c r="N727" s="9"/>
      <x:c r="O727" s="9"/>
      <x:c r="P727" s="9"/>
      <x:c r="Q727" s="9"/>
      <x:c r="R727" s="9"/>
      <x:c r="S727" s="9"/>
      <x:c r="T727" s="9"/>
      <x:c r="U727" s="9"/>
      <x:c r="V727" s="9"/>
      <x:c r="W727" s="9"/>
      <x:c r="X727" s="9"/>
      <x:c r="Y727" s="9"/>
      <x:c r="Z727" s="9"/>
    </x:row>
    <x:row r="728" ht="14.25" customHeight="1">
      <x:c r="K728" s="5"/>
      <x:c r="L728" s="5"/>
      <x:c r="M728" s="9"/>
      <x:c r="N728" s="9"/>
      <x:c r="O728" s="9"/>
      <x:c r="P728" s="9"/>
      <x:c r="Q728" s="9"/>
      <x:c r="R728" s="9"/>
      <x:c r="S728" s="9"/>
      <x:c r="T728" s="9"/>
      <x:c r="U728" s="9"/>
      <x:c r="V728" s="9"/>
      <x:c r="W728" s="9"/>
      <x:c r="X728" s="9"/>
      <x:c r="Y728" s="9"/>
      <x:c r="Z728" s="9"/>
    </x:row>
    <x:row r="729" ht="14.25" customHeight="1">
      <x:c r="K729" s="5"/>
      <x:c r="L729" s="5"/>
      <x:c r="M729" s="9"/>
      <x:c r="N729" s="9"/>
      <x:c r="O729" s="9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</x:row>
    <x:row r="730" ht="14.25" customHeight="1">
      <x:c r="K730" s="5"/>
      <x:c r="L730" s="5"/>
      <x:c r="M730" s="9"/>
      <x:c r="N730" s="9"/>
      <x:c r="O730" s="9"/>
      <x:c r="P730" s="9"/>
      <x:c r="Q730" s="9"/>
      <x:c r="R730" s="9"/>
      <x:c r="S730" s="9"/>
      <x:c r="T730" s="9"/>
      <x:c r="U730" s="9"/>
      <x:c r="V730" s="9"/>
      <x:c r="W730" s="9"/>
      <x:c r="X730" s="9"/>
      <x:c r="Y730" s="9"/>
      <x:c r="Z730" s="9"/>
    </x:row>
    <x:row r="731" ht="14.25" customHeight="1">
      <x:c r="K731" s="5"/>
      <x:c r="L731" s="5"/>
      <x:c r="M731" s="9"/>
      <x:c r="N731" s="9"/>
      <x:c r="O731" s="9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</x:row>
    <x:row r="732" ht="14.25" customHeight="1">
      <x:c r="K732" s="5"/>
      <x:c r="L732" s="5"/>
      <x:c r="M732" s="9"/>
      <x:c r="N732" s="9"/>
      <x:c r="O732" s="9"/>
      <x:c r="P732" s="9"/>
      <x:c r="Q732" s="9"/>
      <x:c r="R732" s="9"/>
      <x:c r="S732" s="9"/>
      <x:c r="T732" s="9"/>
      <x:c r="U732" s="9"/>
      <x:c r="V732" s="9"/>
      <x:c r="W732" s="9"/>
      <x:c r="X732" s="9"/>
      <x:c r="Y732" s="9"/>
      <x:c r="Z732" s="9"/>
    </x:row>
    <x:row r="733" ht="14.25" customHeight="1">
      <x:c r="K733" s="5"/>
      <x:c r="L733" s="5"/>
      <x:c r="M733" s="9"/>
      <x:c r="N733" s="9"/>
      <x:c r="O733" s="9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</x:row>
    <x:row r="734" ht="14.25" customHeight="1">
      <x:c r="K734" s="5"/>
      <x:c r="L734" s="5"/>
      <x:c r="M734" s="9"/>
      <x:c r="N734" s="9"/>
      <x:c r="O734" s="9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</x:row>
    <x:row r="735" ht="14.25" customHeight="1">
      <x:c r="K735" s="5"/>
      <x:c r="L735" s="5"/>
      <x:c r="M735" s="9"/>
      <x:c r="N735" s="9"/>
      <x:c r="O735" s="9"/>
      <x:c r="P735" s="9"/>
      <x:c r="Q735" s="9"/>
      <x:c r="R735" s="9"/>
      <x:c r="S735" s="9"/>
      <x:c r="T735" s="9"/>
      <x:c r="U735" s="9"/>
      <x:c r="V735" s="9"/>
      <x:c r="W735" s="9"/>
      <x:c r="X735" s="9"/>
      <x:c r="Y735" s="9"/>
      <x:c r="Z735" s="9"/>
    </x:row>
    <x:row r="736" ht="14.25" customHeight="1">
      <x:c r="K736" s="5"/>
      <x:c r="L736" s="5"/>
      <x:c r="M736" s="9"/>
      <x:c r="N736" s="9"/>
      <x:c r="O736" s="9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</x:row>
    <x:row r="737" ht="14.25" customHeight="1">
      <x:c r="K737" s="5"/>
      <x:c r="L737" s="5"/>
      <x:c r="M737" s="9"/>
      <x:c r="N737" s="9"/>
      <x:c r="O737" s="9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</x:row>
    <x:row r="738" ht="14.25" customHeight="1">
      <x:c r="K738" s="5"/>
      <x:c r="L738" s="5"/>
      <x:c r="M738" s="9"/>
      <x:c r="N738" s="9"/>
      <x:c r="O738" s="9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/>
    </x:row>
    <x:row r="739" ht="14.25" customHeight="1">
      <x:c r="K739" s="5"/>
      <x:c r="L739" s="5"/>
      <x:c r="M739" s="9"/>
      <x:c r="N739" s="9"/>
      <x:c r="O739" s="9"/>
      <x:c r="P739" s="9"/>
      <x:c r="Q739" s="9"/>
      <x:c r="R739" s="9"/>
      <x:c r="S739" s="9"/>
      <x:c r="T739" s="9"/>
      <x:c r="U739" s="9"/>
      <x:c r="V739" s="9"/>
      <x:c r="W739" s="9"/>
      <x:c r="X739" s="9"/>
      <x:c r="Y739" s="9"/>
      <x:c r="Z739" s="9"/>
    </x:row>
    <x:row r="740" ht="14.25" customHeight="1">
      <x:c r="K740" s="5"/>
      <x:c r="L740" s="5"/>
      <x:c r="M740" s="9"/>
      <x:c r="N740" s="9"/>
      <x:c r="O740" s="9"/>
      <x:c r="P740" s="9"/>
      <x:c r="Q740" s="9"/>
      <x:c r="R740" s="9"/>
      <x:c r="S740" s="9"/>
      <x:c r="T740" s="9"/>
      <x:c r="U740" s="9"/>
      <x:c r="V740" s="9"/>
      <x:c r="W740" s="9"/>
      <x:c r="X740" s="9"/>
      <x:c r="Y740" s="9"/>
      <x:c r="Z740" s="9"/>
    </x:row>
    <x:row r="741" ht="14.25" customHeight="1">
      <x:c r="K741" s="5"/>
      <x:c r="L741" s="5"/>
      <x:c r="M741" s="9"/>
      <x:c r="N741" s="9"/>
      <x:c r="O741" s="9"/>
      <x:c r="P741" s="9"/>
      <x:c r="Q741" s="9"/>
      <x:c r="R741" s="9"/>
      <x:c r="S741" s="9"/>
      <x:c r="T741" s="9"/>
      <x:c r="U741" s="9"/>
      <x:c r="V741" s="9"/>
      <x:c r="W741" s="9"/>
      <x:c r="X741" s="9"/>
      <x:c r="Y741" s="9"/>
      <x:c r="Z741" s="9"/>
    </x:row>
    <x:row r="742" ht="14.25" customHeight="1">
      <x:c r="K742" s="5"/>
      <x:c r="L742" s="5"/>
      <x:c r="M742" s="9"/>
      <x:c r="N742" s="9"/>
      <x:c r="O742" s="9"/>
      <x:c r="P742" s="9"/>
      <x:c r="Q742" s="9"/>
      <x:c r="R742" s="9"/>
      <x:c r="S742" s="9"/>
      <x:c r="T742" s="9"/>
      <x:c r="U742" s="9"/>
      <x:c r="V742" s="9"/>
      <x:c r="W742" s="9"/>
      <x:c r="X742" s="9"/>
      <x:c r="Y742" s="9"/>
      <x:c r="Z742" s="9"/>
    </x:row>
    <x:row r="743" ht="14.25" customHeight="1">
      <x:c r="K743" s="5"/>
      <x:c r="L743" s="5"/>
      <x:c r="M743" s="9"/>
      <x:c r="N743" s="9"/>
      <x:c r="O743" s="9"/>
      <x:c r="P743" s="9"/>
      <x:c r="Q743" s="9"/>
      <x:c r="R743" s="9"/>
      <x:c r="S743" s="9"/>
      <x:c r="T743" s="9"/>
      <x:c r="U743" s="9"/>
      <x:c r="V743" s="9"/>
      <x:c r="W743" s="9"/>
      <x:c r="X743" s="9"/>
      <x:c r="Y743" s="9"/>
      <x:c r="Z743" s="9"/>
    </x:row>
    <x:row r="744" ht="14.25" customHeight="1">
      <x:c r="K744" s="5"/>
      <x:c r="L744" s="5"/>
      <x:c r="M744" s="9"/>
      <x:c r="N744" s="9"/>
      <x:c r="O744" s="9"/>
      <x:c r="P744" s="9"/>
      <x:c r="Q744" s="9"/>
      <x:c r="R744" s="9"/>
      <x:c r="S744" s="9"/>
      <x:c r="T744" s="9"/>
      <x:c r="U744" s="9"/>
      <x:c r="V744" s="9"/>
      <x:c r="W744" s="9"/>
      <x:c r="X744" s="9"/>
      <x:c r="Y744" s="9"/>
      <x:c r="Z744" s="9"/>
    </x:row>
    <x:row r="745" ht="14.25" customHeight="1">
      <x:c r="K745" s="5"/>
      <x:c r="L745" s="5"/>
      <x:c r="M745" s="9"/>
      <x:c r="N745" s="9"/>
      <x:c r="O745" s="9"/>
      <x:c r="P745" s="9"/>
      <x:c r="Q745" s="9"/>
      <x:c r="R745" s="9"/>
      <x:c r="S745" s="9"/>
      <x:c r="T745" s="9"/>
      <x:c r="U745" s="9"/>
      <x:c r="V745" s="9"/>
      <x:c r="W745" s="9"/>
      <x:c r="X745" s="9"/>
      <x:c r="Y745" s="9"/>
      <x:c r="Z745" s="9"/>
    </x:row>
    <x:row r="746" ht="14.25" customHeight="1">
      <x:c r="K746" s="5"/>
      <x:c r="L746" s="5"/>
      <x:c r="M746" s="9"/>
      <x:c r="N746" s="9"/>
      <x:c r="O746" s="9"/>
      <x:c r="P746" s="9"/>
      <x:c r="Q746" s="9"/>
      <x:c r="R746" s="9"/>
      <x:c r="S746" s="9"/>
      <x:c r="T746" s="9"/>
      <x:c r="U746" s="9"/>
      <x:c r="V746" s="9"/>
      <x:c r="W746" s="9"/>
      <x:c r="X746" s="9"/>
      <x:c r="Y746" s="9"/>
      <x:c r="Z746" s="9"/>
    </x:row>
    <x:row r="747" ht="14.25" customHeight="1">
      <x:c r="K747" s="5"/>
      <x:c r="L747" s="5"/>
      <x:c r="M747" s="9"/>
      <x:c r="N747" s="9"/>
      <x:c r="O747" s="9"/>
      <x:c r="P747" s="9"/>
      <x:c r="Q747" s="9"/>
      <x:c r="R747" s="9"/>
      <x:c r="S747" s="9"/>
      <x:c r="T747" s="9"/>
      <x:c r="U747" s="9"/>
      <x:c r="V747" s="9"/>
      <x:c r="W747" s="9"/>
      <x:c r="X747" s="9"/>
      <x:c r="Y747" s="9"/>
      <x:c r="Z747" s="9"/>
    </x:row>
    <x:row r="748" ht="14.25" customHeight="1">
      <x:c r="K748" s="5"/>
      <x:c r="L748" s="5"/>
      <x:c r="M748" s="9"/>
      <x:c r="N748" s="9"/>
      <x:c r="O748" s="9"/>
      <x:c r="P748" s="9"/>
      <x:c r="Q748" s="9"/>
      <x:c r="R748" s="9"/>
      <x:c r="S748" s="9"/>
      <x:c r="T748" s="9"/>
      <x:c r="U748" s="9"/>
      <x:c r="V748" s="9"/>
      <x:c r="W748" s="9"/>
      <x:c r="X748" s="9"/>
      <x:c r="Y748" s="9"/>
      <x:c r="Z748" s="9"/>
    </x:row>
    <x:row r="749" ht="14.25" customHeight="1">
      <x:c r="K749" s="5"/>
      <x:c r="L749" s="5"/>
      <x:c r="M749" s="9"/>
      <x:c r="N749" s="9"/>
      <x:c r="O749" s="9"/>
      <x:c r="P749" s="9"/>
      <x:c r="Q749" s="9"/>
      <x:c r="R749" s="9"/>
      <x:c r="S749" s="9"/>
      <x:c r="T749" s="9"/>
      <x:c r="U749" s="9"/>
      <x:c r="V749" s="9"/>
      <x:c r="W749" s="9"/>
      <x:c r="X749" s="9"/>
      <x:c r="Y749" s="9"/>
      <x:c r="Z749" s="9"/>
    </x:row>
    <x:row r="750" ht="14.25" customHeight="1">
      <x:c r="K750" s="5"/>
      <x:c r="L750" s="5"/>
      <x:c r="M750" s="9"/>
      <x:c r="N750" s="9"/>
      <x:c r="O750" s="9"/>
      <x:c r="P750" s="9"/>
      <x:c r="Q750" s="9"/>
      <x:c r="R750" s="9"/>
      <x:c r="S750" s="9"/>
      <x:c r="T750" s="9"/>
      <x:c r="U750" s="9"/>
      <x:c r="V750" s="9"/>
      <x:c r="W750" s="9"/>
      <x:c r="X750" s="9"/>
      <x:c r="Y750" s="9"/>
      <x:c r="Z750" s="9"/>
    </x:row>
    <x:row r="751" ht="14.25" customHeight="1">
      <x:c r="K751" s="5"/>
      <x:c r="L751" s="5"/>
      <x:c r="M751" s="9"/>
      <x:c r="N751" s="9"/>
      <x:c r="O751" s="9"/>
      <x:c r="P751" s="9"/>
      <x:c r="Q751" s="9"/>
      <x:c r="R751" s="9"/>
      <x:c r="S751" s="9"/>
      <x:c r="T751" s="9"/>
      <x:c r="U751" s="9"/>
      <x:c r="V751" s="9"/>
      <x:c r="W751" s="9"/>
      <x:c r="X751" s="9"/>
      <x:c r="Y751" s="9"/>
      <x:c r="Z751" s="9"/>
    </x:row>
    <x:row r="752" ht="14.25" customHeight="1">
      <x:c r="K752" s="5"/>
      <x:c r="L752" s="5"/>
      <x:c r="M752" s="9"/>
      <x:c r="N752" s="9"/>
      <x:c r="O752" s="9"/>
      <x:c r="P752" s="9"/>
      <x:c r="Q752" s="9"/>
      <x:c r="R752" s="9"/>
      <x:c r="S752" s="9"/>
      <x:c r="T752" s="9"/>
      <x:c r="U752" s="9"/>
      <x:c r="V752" s="9"/>
      <x:c r="W752" s="9"/>
      <x:c r="X752" s="9"/>
      <x:c r="Y752" s="9"/>
      <x:c r="Z752" s="9"/>
    </x:row>
    <x:row r="753" ht="14.25" customHeight="1">
      <x:c r="K753" s="5"/>
      <x:c r="L753" s="5"/>
      <x:c r="M753" s="9"/>
      <x:c r="N753" s="9"/>
      <x:c r="O753" s="9"/>
      <x:c r="P753" s="9"/>
      <x:c r="Q753" s="9"/>
      <x:c r="R753" s="9"/>
      <x:c r="S753" s="9"/>
      <x:c r="T753" s="9"/>
      <x:c r="U753" s="9"/>
      <x:c r="V753" s="9"/>
      <x:c r="W753" s="9"/>
      <x:c r="X753" s="9"/>
      <x:c r="Y753" s="9"/>
      <x:c r="Z753" s="9"/>
    </x:row>
    <x:row r="754" ht="14.25" customHeight="1">
      <x:c r="K754" s="5"/>
      <x:c r="L754" s="5"/>
      <x:c r="M754" s="9"/>
      <x:c r="N754" s="9"/>
      <x:c r="O754" s="9"/>
      <x:c r="P754" s="9"/>
      <x:c r="Q754" s="9"/>
      <x:c r="R754" s="9"/>
      <x:c r="S754" s="9"/>
      <x:c r="T754" s="9"/>
      <x:c r="U754" s="9"/>
      <x:c r="V754" s="9"/>
      <x:c r="W754" s="9"/>
      <x:c r="X754" s="9"/>
      <x:c r="Y754" s="9"/>
      <x:c r="Z754" s="9"/>
    </x:row>
    <x:row r="755" ht="14.25" customHeight="1">
      <x:c r="K755" s="5"/>
      <x:c r="L755" s="5"/>
      <x:c r="M755" s="9"/>
      <x:c r="N755" s="9"/>
      <x:c r="O755" s="9"/>
      <x:c r="P755" s="9"/>
      <x:c r="Q755" s="9"/>
      <x:c r="R755" s="9"/>
      <x:c r="S755" s="9"/>
      <x:c r="T755" s="9"/>
      <x:c r="U755" s="9"/>
      <x:c r="V755" s="9"/>
      <x:c r="W755" s="9"/>
      <x:c r="X755" s="9"/>
      <x:c r="Y755" s="9"/>
      <x:c r="Z755" s="9"/>
    </x:row>
    <x:row r="756" ht="14.25" customHeight="1">
      <x:c r="K756" s="5"/>
      <x:c r="L756" s="5"/>
      <x:c r="M756" s="9"/>
      <x:c r="N756" s="9"/>
      <x:c r="O756" s="9"/>
      <x:c r="P756" s="9"/>
      <x:c r="Q756" s="9"/>
      <x:c r="R756" s="9"/>
      <x:c r="S756" s="9"/>
      <x:c r="T756" s="9"/>
      <x:c r="U756" s="9"/>
      <x:c r="V756" s="9"/>
      <x:c r="W756" s="9"/>
      <x:c r="X756" s="9"/>
      <x:c r="Y756" s="9"/>
      <x:c r="Z756" s="9"/>
    </x:row>
    <x:row r="757" ht="14.25" customHeight="1">
      <x:c r="K757" s="5"/>
      <x:c r="L757" s="5"/>
      <x:c r="M757" s="9"/>
      <x:c r="N757" s="9"/>
      <x:c r="O757" s="9"/>
      <x:c r="P757" s="9"/>
      <x:c r="Q757" s="9"/>
      <x:c r="R757" s="9"/>
      <x:c r="S757" s="9"/>
      <x:c r="T757" s="9"/>
      <x:c r="U757" s="9"/>
      <x:c r="V757" s="9"/>
      <x:c r="W757" s="9"/>
      <x:c r="X757" s="9"/>
      <x:c r="Y757" s="9"/>
      <x:c r="Z757" s="9"/>
    </x:row>
    <x:row r="758" ht="14.25" customHeight="1">
      <x:c r="K758" s="5"/>
      <x:c r="L758" s="5"/>
      <x:c r="M758" s="9"/>
      <x:c r="N758" s="9"/>
      <x:c r="O758" s="9"/>
      <x:c r="P758" s="9"/>
      <x:c r="Q758" s="9"/>
      <x:c r="R758" s="9"/>
      <x:c r="S758" s="9"/>
      <x:c r="T758" s="9"/>
      <x:c r="U758" s="9"/>
      <x:c r="V758" s="9"/>
      <x:c r="W758" s="9"/>
      <x:c r="X758" s="9"/>
      <x:c r="Y758" s="9"/>
      <x:c r="Z758" s="9"/>
    </x:row>
    <x:row r="759" ht="14.25" customHeight="1">
      <x:c r="K759" s="5"/>
      <x:c r="L759" s="5"/>
      <x:c r="M759" s="9"/>
      <x:c r="N759" s="9"/>
      <x:c r="O759" s="9"/>
      <x:c r="P759" s="9"/>
      <x:c r="Q759" s="9"/>
      <x:c r="R759" s="9"/>
      <x:c r="S759" s="9"/>
      <x:c r="T759" s="9"/>
      <x:c r="U759" s="9"/>
      <x:c r="V759" s="9"/>
      <x:c r="W759" s="9"/>
      <x:c r="X759" s="9"/>
      <x:c r="Y759" s="9"/>
      <x:c r="Z759" s="9"/>
    </x:row>
    <x:row r="760" ht="14.25" customHeight="1">
      <x:c r="K760" s="5"/>
      <x:c r="L760" s="5"/>
      <x:c r="M760" s="9"/>
      <x:c r="N760" s="9"/>
      <x:c r="O760" s="9"/>
      <x:c r="P760" s="9"/>
      <x:c r="Q760" s="9"/>
      <x:c r="R760" s="9"/>
      <x:c r="S760" s="9"/>
      <x:c r="T760" s="9"/>
      <x:c r="U760" s="9"/>
      <x:c r="V760" s="9"/>
      <x:c r="W760" s="9"/>
      <x:c r="X760" s="9"/>
      <x:c r="Y760" s="9"/>
      <x:c r="Z760" s="9"/>
    </x:row>
    <x:row r="761" ht="14.25" customHeight="1">
      <x:c r="K761" s="5"/>
      <x:c r="L761" s="5"/>
      <x:c r="M761" s="9"/>
      <x:c r="N761" s="9"/>
      <x:c r="O761" s="9"/>
      <x:c r="P761" s="9"/>
      <x:c r="Q761" s="9"/>
      <x:c r="R761" s="9"/>
      <x:c r="S761" s="9"/>
      <x:c r="T761" s="9"/>
      <x:c r="U761" s="9"/>
      <x:c r="V761" s="9"/>
      <x:c r="W761" s="9"/>
      <x:c r="X761" s="9"/>
      <x:c r="Y761" s="9"/>
      <x:c r="Z761" s="9"/>
    </x:row>
    <x:row r="762" ht="14.25" customHeight="1">
      <x:c r="K762" s="5"/>
      <x:c r="L762" s="5"/>
      <x:c r="M762" s="9"/>
      <x:c r="N762" s="9"/>
      <x:c r="O762" s="9"/>
      <x:c r="P762" s="9"/>
      <x:c r="Q762" s="9"/>
      <x:c r="R762" s="9"/>
      <x:c r="S762" s="9"/>
      <x:c r="T762" s="9"/>
      <x:c r="U762" s="9"/>
      <x:c r="V762" s="9"/>
      <x:c r="W762" s="9"/>
      <x:c r="X762" s="9"/>
      <x:c r="Y762" s="9"/>
      <x:c r="Z762" s="9"/>
    </x:row>
    <x:row r="763" ht="14.25" customHeight="1">
      <x:c r="K763" s="5"/>
      <x:c r="L763" s="5"/>
      <x:c r="M763" s="9"/>
      <x:c r="N763" s="9"/>
      <x:c r="O763" s="9"/>
      <x:c r="P763" s="9"/>
      <x:c r="Q763" s="9"/>
      <x:c r="R763" s="9"/>
      <x:c r="S763" s="9"/>
      <x:c r="T763" s="9"/>
      <x:c r="U763" s="9"/>
      <x:c r="V763" s="9"/>
      <x:c r="W763" s="9"/>
      <x:c r="X763" s="9"/>
      <x:c r="Y763" s="9"/>
      <x:c r="Z763" s="9"/>
    </x:row>
    <x:row r="764" ht="14.25" customHeight="1">
      <x:c r="K764" s="5"/>
      <x:c r="L764" s="5"/>
      <x:c r="M764" s="9"/>
      <x:c r="N764" s="9"/>
      <x:c r="O764" s="9"/>
      <x:c r="P764" s="9"/>
      <x:c r="Q764" s="9"/>
      <x:c r="R764" s="9"/>
      <x:c r="S764" s="9"/>
      <x:c r="T764" s="9"/>
      <x:c r="U764" s="9"/>
      <x:c r="V764" s="9"/>
      <x:c r="W764" s="9"/>
      <x:c r="X764" s="9"/>
      <x:c r="Y764" s="9"/>
      <x:c r="Z764" s="9"/>
    </x:row>
    <x:row r="765" ht="14.25" customHeight="1">
      <x:c r="K765" s="5"/>
      <x:c r="L765" s="5"/>
      <x:c r="M765" s="9"/>
      <x:c r="N765" s="9"/>
      <x:c r="O765" s="9"/>
      <x:c r="P765" s="9"/>
      <x:c r="Q765" s="9"/>
      <x:c r="R765" s="9"/>
      <x:c r="S765" s="9"/>
      <x:c r="T765" s="9"/>
      <x:c r="U765" s="9"/>
      <x:c r="V765" s="9"/>
      <x:c r="W765" s="9"/>
      <x:c r="X765" s="9"/>
      <x:c r="Y765" s="9"/>
      <x:c r="Z765" s="9"/>
    </x:row>
    <x:row r="766" ht="14.25" customHeight="1">
      <x:c r="K766" s="5"/>
      <x:c r="L766" s="5"/>
      <x:c r="M766" s="9"/>
      <x:c r="N766" s="9"/>
      <x:c r="O766" s="9"/>
      <x:c r="P766" s="9"/>
      <x:c r="Q766" s="9"/>
      <x:c r="R766" s="9"/>
      <x:c r="S766" s="9"/>
      <x:c r="T766" s="9"/>
      <x:c r="U766" s="9"/>
      <x:c r="V766" s="9"/>
      <x:c r="W766" s="9"/>
      <x:c r="X766" s="9"/>
      <x:c r="Y766" s="9"/>
      <x:c r="Z766" s="9"/>
    </x:row>
    <x:row r="767" ht="14.25" customHeight="1">
      <x:c r="K767" s="5"/>
      <x:c r="L767" s="5"/>
      <x:c r="M767" s="9"/>
      <x:c r="N767" s="9"/>
      <x:c r="O767" s="9"/>
      <x:c r="P767" s="9"/>
      <x:c r="Q767" s="9"/>
      <x:c r="R767" s="9"/>
      <x:c r="S767" s="9"/>
      <x:c r="T767" s="9"/>
      <x:c r="U767" s="9"/>
      <x:c r="V767" s="9"/>
      <x:c r="W767" s="9"/>
      <x:c r="X767" s="9"/>
      <x:c r="Y767" s="9"/>
      <x:c r="Z767" s="9"/>
    </x:row>
    <x:row r="768" ht="14.25" customHeight="1">
      <x:c r="K768" s="5"/>
      <x:c r="L768" s="5"/>
      <x:c r="M768" s="9"/>
      <x:c r="N768" s="9"/>
      <x:c r="O768" s="9"/>
      <x:c r="P768" s="9"/>
      <x:c r="Q768" s="9"/>
      <x:c r="R768" s="9"/>
      <x:c r="S768" s="9"/>
      <x:c r="T768" s="9"/>
      <x:c r="U768" s="9"/>
      <x:c r="V768" s="9"/>
      <x:c r="W768" s="9"/>
      <x:c r="X768" s="9"/>
      <x:c r="Y768" s="9"/>
      <x:c r="Z768" s="9"/>
    </x:row>
    <x:row r="769" ht="14.25" customHeight="1">
      <x:c r="K769" s="5"/>
      <x:c r="L769" s="5"/>
      <x:c r="M769" s="9"/>
      <x:c r="N769" s="9"/>
      <x:c r="O769" s="9"/>
      <x:c r="P769" s="9"/>
      <x:c r="Q769" s="9"/>
      <x:c r="R769" s="9"/>
      <x:c r="S769" s="9"/>
      <x:c r="T769" s="9"/>
      <x:c r="U769" s="9"/>
      <x:c r="V769" s="9"/>
      <x:c r="W769" s="9"/>
      <x:c r="X769" s="9"/>
      <x:c r="Y769" s="9"/>
      <x:c r="Z769" s="9"/>
    </x:row>
    <x:row r="770" ht="14.25" customHeight="1">
      <x:c r="K770" s="5"/>
      <x:c r="L770" s="5"/>
      <x:c r="M770" s="9"/>
      <x:c r="N770" s="9"/>
      <x:c r="O770" s="9"/>
      <x:c r="P770" s="9"/>
      <x:c r="Q770" s="9"/>
      <x:c r="R770" s="9"/>
      <x:c r="S770" s="9"/>
      <x:c r="T770" s="9"/>
      <x:c r="U770" s="9"/>
      <x:c r="V770" s="9"/>
      <x:c r="W770" s="9"/>
      <x:c r="X770" s="9"/>
      <x:c r="Y770" s="9"/>
      <x:c r="Z770" s="9"/>
    </x:row>
    <x:row r="771" ht="14.25" customHeight="1">
      <x:c r="K771" s="5"/>
      <x:c r="L771" s="5"/>
      <x:c r="M771" s="9"/>
      <x:c r="N771" s="9"/>
      <x:c r="O771" s="9"/>
      <x:c r="P771" s="9"/>
      <x:c r="Q771" s="9"/>
      <x:c r="R771" s="9"/>
      <x:c r="S771" s="9"/>
      <x:c r="T771" s="9"/>
      <x:c r="U771" s="9"/>
      <x:c r="V771" s="9"/>
      <x:c r="W771" s="9"/>
      <x:c r="X771" s="9"/>
      <x:c r="Y771" s="9"/>
      <x:c r="Z771" s="9"/>
    </x:row>
    <x:row r="772" ht="14.25" customHeight="1">
      <x:c r="K772" s="5"/>
      <x:c r="L772" s="5"/>
      <x:c r="M772" s="9"/>
      <x:c r="N772" s="9"/>
      <x:c r="O772" s="9"/>
      <x:c r="P772" s="9"/>
      <x:c r="Q772" s="9"/>
      <x:c r="R772" s="9"/>
      <x:c r="S772" s="9"/>
      <x:c r="T772" s="9"/>
      <x:c r="U772" s="9"/>
      <x:c r="V772" s="9"/>
      <x:c r="W772" s="9"/>
      <x:c r="X772" s="9"/>
      <x:c r="Y772" s="9"/>
      <x:c r="Z772" s="9"/>
    </x:row>
    <x:row r="773" ht="14.25" customHeight="1">
      <x:c r="K773" s="5"/>
      <x:c r="L773" s="5"/>
      <x:c r="M773" s="9"/>
      <x:c r="N773" s="9"/>
      <x:c r="O773" s="9"/>
      <x:c r="P773" s="9"/>
      <x:c r="Q773" s="9"/>
      <x:c r="R773" s="9"/>
      <x:c r="S773" s="9"/>
      <x:c r="T773" s="9"/>
      <x:c r="U773" s="9"/>
      <x:c r="V773" s="9"/>
      <x:c r="W773" s="9"/>
      <x:c r="X773" s="9"/>
      <x:c r="Y773" s="9"/>
      <x:c r="Z773" s="9"/>
    </x:row>
    <x:row r="774" ht="14.25" customHeight="1">
      <x:c r="K774" s="5"/>
      <x:c r="L774" s="5"/>
      <x:c r="M774" s="9"/>
      <x:c r="N774" s="9"/>
      <x:c r="O774" s="9"/>
      <x:c r="P774" s="9"/>
      <x:c r="Q774" s="9"/>
      <x:c r="R774" s="9"/>
      <x:c r="S774" s="9"/>
      <x:c r="T774" s="9"/>
      <x:c r="U774" s="9"/>
      <x:c r="V774" s="9"/>
      <x:c r="W774" s="9"/>
      <x:c r="X774" s="9"/>
      <x:c r="Y774" s="9"/>
      <x:c r="Z774" s="9"/>
    </x:row>
    <x:row r="775" ht="14.25" customHeight="1">
      <x:c r="K775" s="5"/>
      <x:c r="L775" s="5"/>
      <x:c r="M775" s="9"/>
      <x:c r="N775" s="9"/>
      <x:c r="O775" s="9"/>
      <x:c r="P775" s="9"/>
      <x:c r="Q775" s="9"/>
      <x:c r="R775" s="9"/>
      <x:c r="S775" s="9"/>
      <x:c r="T775" s="9"/>
      <x:c r="U775" s="9"/>
      <x:c r="V775" s="9"/>
      <x:c r="W775" s="9"/>
      <x:c r="X775" s="9"/>
      <x:c r="Y775" s="9"/>
      <x:c r="Z775" s="9"/>
    </x:row>
    <x:row r="776" ht="14.25" customHeight="1">
      <x:c r="K776" s="5"/>
      <x:c r="L776" s="5"/>
      <x:c r="M776" s="9"/>
      <x:c r="N776" s="9"/>
      <x:c r="O776" s="9"/>
      <x:c r="P776" s="9"/>
      <x:c r="Q776" s="9"/>
      <x:c r="R776" s="9"/>
      <x:c r="S776" s="9"/>
      <x:c r="T776" s="9"/>
      <x:c r="U776" s="9"/>
      <x:c r="V776" s="9"/>
      <x:c r="W776" s="9"/>
      <x:c r="X776" s="9"/>
      <x:c r="Y776" s="9"/>
      <x:c r="Z776" s="9"/>
    </x:row>
    <x:row r="777" ht="14.25" customHeight="1">
      <x:c r="K777" s="5"/>
      <x:c r="L777" s="5"/>
      <x:c r="M777" s="9"/>
      <x:c r="N777" s="9"/>
      <x:c r="O777" s="9"/>
      <x:c r="P777" s="9"/>
      <x:c r="Q777" s="9"/>
      <x:c r="R777" s="9"/>
      <x:c r="S777" s="9"/>
      <x:c r="T777" s="9"/>
      <x:c r="U777" s="9"/>
      <x:c r="V777" s="9"/>
      <x:c r="W777" s="9"/>
      <x:c r="X777" s="9"/>
      <x:c r="Y777" s="9"/>
      <x:c r="Z777" s="9"/>
    </x:row>
    <x:row r="778" ht="14.25" customHeight="1">
      <x:c r="K778" s="5"/>
      <x:c r="L778" s="5"/>
      <x:c r="M778" s="9"/>
      <x:c r="N778" s="9"/>
      <x:c r="O778" s="9"/>
      <x:c r="P778" s="9"/>
      <x:c r="Q778" s="9"/>
      <x:c r="R778" s="9"/>
      <x:c r="S778" s="9"/>
      <x:c r="T778" s="9"/>
      <x:c r="U778" s="9"/>
      <x:c r="V778" s="9"/>
      <x:c r="W778" s="9"/>
      <x:c r="X778" s="9"/>
      <x:c r="Y778" s="9"/>
      <x:c r="Z778" s="9"/>
    </x:row>
    <x:row r="779" ht="14.25" customHeight="1">
      <x:c r="K779" s="5"/>
      <x:c r="L779" s="5"/>
      <x:c r="M779" s="9"/>
      <x:c r="N779" s="9"/>
      <x:c r="O779" s="9"/>
      <x:c r="P779" s="9"/>
      <x:c r="Q779" s="9"/>
      <x:c r="R779" s="9"/>
      <x:c r="S779" s="9"/>
      <x:c r="T779" s="9"/>
      <x:c r="U779" s="9"/>
      <x:c r="V779" s="9"/>
      <x:c r="W779" s="9"/>
      <x:c r="X779" s="9"/>
      <x:c r="Y779" s="9"/>
      <x:c r="Z779" s="9"/>
    </x:row>
    <x:row r="780" ht="14.25" customHeight="1">
      <x:c r="K780" s="5"/>
      <x:c r="L780" s="5"/>
      <x:c r="M780" s="9"/>
      <x:c r="N780" s="9"/>
      <x:c r="O780" s="9"/>
      <x:c r="P780" s="9"/>
      <x:c r="Q780" s="9"/>
      <x:c r="R780" s="9"/>
      <x:c r="S780" s="9"/>
      <x:c r="T780" s="9"/>
      <x:c r="U780" s="9"/>
      <x:c r="V780" s="9"/>
      <x:c r="W780" s="9"/>
      <x:c r="X780" s="9"/>
      <x:c r="Y780" s="9"/>
      <x:c r="Z780" s="9"/>
    </x:row>
    <x:row r="781" ht="14.25" customHeight="1">
      <x:c r="K781" s="5"/>
      <x:c r="L781" s="5"/>
      <x:c r="M781" s="9"/>
      <x:c r="N781" s="9"/>
      <x:c r="O781" s="9"/>
      <x:c r="P781" s="9"/>
      <x:c r="Q781" s="9"/>
      <x:c r="R781" s="9"/>
      <x:c r="S781" s="9"/>
      <x:c r="T781" s="9"/>
      <x:c r="U781" s="9"/>
      <x:c r="V781" s="9"/>
      <x:c r="W781" s="9"/>
      <x:c r="X781" s="9"/>
      <x:c r="Y781" s="9"/>
      <x:c r="Z781" s="9"/>
    </x:row>
    <x:row r="782" ht="14.25" customHeight="1">
      <x:c r="K782" s="5"/>
      <x:c r="L782" s="5"/>
      <x:c r="M782" s="9"/>
      <x:c r="N782" s="9"/>
      <x:c r="O782" s="9"/>
      <x:c r="P782" s="9"/>
      <x:c r="Q782" s="9"/>
      <x:c r="R782" s="9"/>
      <x:c r="S782" s="9"/>
      <x:c r="T782" s="9"/>
      <x:c r="U782" s="9"/>
      <x:c r="V782" s="9"/>
      <x:c r="W782" s="9"/>
      <x:c r="X782" s="9"/>
      <x:c r="Y782" s="9"/>
      <x:c r="Z782" s="9"/>
    </x:row>
    <x:row r="783" ht="14.25" customHeight="1">
      <x:c r="K783" s="5"/>
      <x:c r="L783" s="5"/>
      <x:c r="M783" s="9"/>
      <x:c r="N783" s="9"/>
      <x:c r="O783" s="9"/>
      <x:c r="P783" s="9"/>
      <x:c r="Q783" s="9"/>
      <x:c r="R783" s="9"/>
      <x:c r="S783" s="9"/>
      <x:c r="T783" s="9"/>
      <x:c r="U783" s="9"/>
      <x:c r="V783" s="9"/>
      <x:c r="W783" s="9"/>
      <x:c r="X783" s="9"/>
      <x:c r="Y783" s="9"/>
      <x:c r="Z783" s="9"/>
    </x:row>
    <x:row r="784" ht="14.25" customHeight="1">
      <x:c r="K784" s="5"/>
      <x:c r="L784" s="5"/>
      <x:c r="M784" s="9"/>
      <x:c r="N784" s="9"/>
      <x:c r="O784" s="9"/>
      <x:c r="P784" s="9"/>
      <x:c r="Q784" s="9"/>
      <x:c r="R784" s="9"/>
      <x:c r="S784" s="9"/>
      <x:c r="T784" s="9"/>
      <x:c r="U784" s="9"/>
      <x:c r="V784" s="9"/>
      <x:c r="W784" s="9"/>
      <x:c r="X784" s="9"/>
      <x:c r="Y784" s="9"/>
      <x:c r="Z784" s="9"/>
    </x:row>
    <x:row r="785" ht="14.25" customHeight="1">
      <x:c r="K785" s="5"/>
      <x:c r="L785" s="5"/>
      <x:c r="M785" s="9"/>
      <x:c r="N785" s="9"/>
      <x:c r="O785" s="9"/>
      <x:c r="P785" s="9"/>
      <x:c r="Q785" s="9"/>
      <x:c r="R785" s="9"/>
      <x:c r="S785" s="9"/>
      <x:c r="T785" s="9"/>
      <x:c r="U785" s="9"/>
      <x:c r="V785" s="9"/>
      <x:c r="W785" s="9"/>
      <x:c r="X785" s="9"/>
      <x:c r="Y785" s="9"/>
      <x:c r="Z785" s="9"/>
    </x:row>
    <x:row r="786" ht="14.25" customHeight="1">
      <x:c r="K786" s="5"/>
      <x:c r="L786" s="5"/>
      <x:c r="M786" s="9"/>
      <x:c r="N786" s="9"/>
      <x:c r="O786" s="9"/>
      <x:c r="P786" s="9"/>
      <x:c r="Q786" s="9"/>
      <x:c r="R786" s="9"/>
      <x:c r="S786" s="9"/>
      <x:c r="T786" s="9"/>
      <x:c r="U786" s="9"/>
      <x:c r="V786" s="9"/>
      <x:c r="W786" s="9"/>
      <x:c r="X786" s="9"/>
      <x:c r="Y786" s="9"/>
      <x:c r="Z786" s="9"/>
    </x:row>
    <x:row r="787" ht="14.25" customHeight="1">
      <x:c r="K787" s="5"/>
      <x:c r="L787" s="5"/>
      <x:c r="M787" s="9"/>
      <x:c r="N787" s="9"/>
      <x:c r="O787" s="9"/>
      <x:c r="P787" s="9"/>
      <x:c r="Q787" s="9"/>
      <x:c r="R787" s="9"/>
      <x:c r="S787" s="9"/>
      <x:c r="T787" s="9"/>
      <x:c r="U787" s="9"/>
      <x:c r="V787" s="9"/>
      <x:c r="W787" s="9"/>
      <x:c r="X787" s="9"/>
      <x:c r="Y787" s="9"/>
      <x:c r="Z787" s="9"/>
    </x:row>
    <x:row r="788" ht="14.25" customHeight="1">
      <x:c r="K788" s="5"/>
      <x:c r="L788" s="5"/>
      <x:c r="M788" s="9"/>
      <x:c r="N788" s="9"/>
      <x:c r="O788" s="9"/>
      <x:c r="P788" s="9"/>
      <x:c r="Q788" s="9"/>
      <x:c r="R788" s="9"/>
      <x:c r="S788" s="9"/>
      <x:c r="T788" s="9"/>
      <x:c r="U788" s="9"/>
      <x:c r="V788" s="9"/>
      <x:c r="W788" s="9"/>
      <x:c r="X788" s="9"/>
      <x:c r="Y788" s="9"/>
      <x:c r="Z788" s="9"/>
    </x:row>
    <x:row r="789" ht="14.25" customHeight="1">
      <x:c r="K789" s="5"/>
      <x:c r="L789" s="5"/>
      <x:c r="M789" s="9"/>
      <x:c r="N789" s="9"/>
      <x:c r="O789" s="9"/>
      <x:c r="P789" s="9"/>
      <x:c r="Q789" s="9"/>
      <x:c r="R789" s="9"/>
      <x:c r="S789" s="9"/>
      <x:c r="T789" s="9"/>
      <x:c r="U789" s="9"/>
      <x:c r="V789" s="9"/>
      <x:c r="W789" s="9"/>
      <x:c r="X789" s="9"/>
      <x:c r="Y789" s="9"/>
      <x:c r="Z789" s="9"/>
    </x:row>
    <x:row r="790" ht="14.25" customHeight="1">
      <x:c r="K790" s="5"/>
      <x:c r="L790" s="5"/>
      <x:c r="M790" s="9"/>
      <x:c r="N790" s="9"/>
      <x:c r="O790" s="9"/>
      <x:c r="P790" s="9"/>
      <x:c r="Q790" s="9"/>
      <x:c r="R790" s="9"/>
      <x:c r="S790" s="9"/>
      <x:c r="T790" s="9"/>
      <x:c r="U790" s="9"/>
      <x:c r="V790" s="9"/>
      <x:c r="W790" s="9"/>
      <x:c r="X790" s="9"/>
      <x:c r="Y790" s="9"/>
      <x:c r="Z790" s="9"/>
    </x:row>
    <x:row r="791" ht="14.25" customHeight="1">
      <x:c r="K791" s="5"/>
      <x:c r="L791" s="5"/>
      <x:c r="M791" s="9"/>
      <x:c r="N791" s="9"/>
      <x:c r="O791" s="9"/>
      <x:c r="P791" s="9"/>
      <x:c r="Q791" s="9"/>
      <x:c r="R791" s="9"/>
      <x:c r="S791" s="9"/>
      <x:c r="T791" s="9"/>
      <x:c r="U791" s="9"/>
      <x:c r="V791" s="9"/>
      <x:c r="W791" s="9"/>
      <x:c r="X791" s="9"/>
      <x:c r="Y791" s="9"/>
      <x:c r="Z791" s="9"/>
    </x:row>
    <x:row r="792" ht="14.25" customHeight="1">
      <x:c r="K792" s="5"/>
      <x:c r="L792" s="5"/>
      <x:c r="M792" s="9"/>
      <x:c r="N792" s="9"/>
      <x:c r="O792" s="9"/>
      <x:c r="P792" s="9"/>
      <x:c r="Q792" s="9"/>
      <x:c r="R792" s="9"/>
      <x:c r="S792" s="9"/>
      <x:c r="T792" s="9"/>
      <x:c r="U792" s="9"/>
      <x:c r="V792" s="9"/>
      <x:c r="W792" s="9"/>
      <x:c r="X792" s="9"/>
      <x:c r="Y792" s="9"/>
      <x:c r="Z792" s="9"/>
    </x:row>
    <x:row r="793" ht="14.25" customHeight="1">
      <x:c r="K793" s="5"/>
      <x:c r="L793" s="5"/>
      <x:c r="M793" s="9"/>
      <x:c r="N793" s="9"/>
      <x:c r="O793" s="9"/>
      <x:c r="P793" s="9"/>
      <x:c r="Q793" s="9"/>
      <x:c r="R793" s="9"/>
      <x:c r="S793" s="9"/>
      <x:c r="T793" s="9"/>
      <x:c r="U793" s="9"/>
      <x:c r="V793" s="9"/>
      <x:c r="W793" s="9"/>
      <x:c r="X793" s="9"/>
      <x:c r="Y793" s="9"/>
      <x:c r="Z793" s="9"/>
    </x:row>
    <x:row r="794" ht="14.25" customHeight="1">
      <x:c r="K794" s="5"/>
      <x:c r="L794" s="5"/>
      <x:c r="M794" s="9"/>
      <x:c r="N794" s="9"/>
      <x:c r="O794" s="9"/>
      <x:c r="P794" s="9"/>
      <x:c r="Q794" s="9"/>
      <x:c r="R794" s="9"/>
      <x:c r="S794" s="9"/>
      <x:c r="T794" s="9"/>
      <x:c r="U794" s="9"/>
      <x:c r="V794" s="9"/>
      <x:c r="W794" s="9"/>
      <x:c r="X794" s="9"/>
      <x:c r="Y794" s="9"/>
      <x:c r="Z794" s="9"/>
    </x:row>
    <x:row r="795" ht="14.25" customHeight="1">
      <x:c r="K795" s="5"/>
      <x:c r="L795" s="5"/>
      <x:c r="M795" s="9"/>
      <x:c r="N795" s="9"/>
      <x:c r="O795" s="9"/>
      <x:c r="P795" s="9"/>
      <x:c r="Q795" s="9"/>
      <x:c r="R795" s="9"/>
      <x:c r="S795" s="9"/>
      <x:c r="T795" s="9"/>
      <x:c r="U795" s="9"/>
      <x:c r="V795" s="9"/>
      <x:c r="W795" s="9"/>
      <x:c r="X795" s="9"/>
      <x:c r="Y795" s="9"/>
      <x:c r="Z795" s="9"/>
    </x:row>
    <x:row r="796" ht="14.25" customHeight="1">
      <x:c r="K796" s="5"/>
      <x:c r="L796" s="5"/>
      <x:c r="M796" s="9"/>
      <x:c r="N796" s="9"/>
      <x:c r="O796" s="9"/>
      <x:c r="P796" s="9"/>
      <x:c r="Q796" s="9"/>
      <x:c r="R796" s="9"/>
      <x:c r="S796" s="9"/>
      <x:c r="T796" s="9"/>
      <x:c r="U796" s="9"/>
      <x:c r="V796" s="9"/>
      <x:c r="W796" s="9"/>
      <x:c r="X796" s="9"/>
      <x:c r="Y796" s="9"/>
      <x:c r="Z796" s="9"/>
    </x:row>
    <x:row r="797" ht="14.25" customHeight="1">
      <x:c r="K797" s="5"/>
      <x:c r="L797" s="5"/>
      <x:c r="M797" s="9"/>
      <x:c r="N797" s="9"/>
      <x:c r="O797" s="9"/>
      <x:c r="P797" s="9"/>
      <x:c r="Q797" s="9"/>
      <x:c r="R797" s="9"/>
      <x:c r="S797" s="9"/>
      <x:c r="T797" s="9"/>
      <x:c r="U797" s="9"/>
      <x:c r="V797" s="9"/>
      <x:c r="W797" s="9"/>
      <x:c r="X797" s="9"/>
      <x:c r="Y797" s="9"/>
      <x:c r="Z797" s="9"/>
    </x:row>
    <x:row r="798" ht="14.25" customHeight="1">
      <x:c r="K798" s="5"/>
      <x:c r="L798" s="5"/>
      <x:c r="M798" s="9"/>
      <x:c r="N798" s="9"/>
      <x:c r="O798" s="9"/>
      <x:c r="P798" s="9"/>
      <x:c r="Q798" s="9"/>
      <x:c r="R798" s="9"/>
      <x:c r="S798" s="9"/>
      <x:c r="T798" s="9"/>
      <x:c r="U798" s="9"/>
      <x:c r="V798" s="9"/>
      <x:c r="W798" s="9"/>
      <x:c r="X798" s="9"/>
      <x:c r="Y798" s="9"/>
      <x:c r="Z798" s="9"/>
    </x:row>
    <x:row r="799" ht="14.25" customHeight="1">
      <x:c r="K799" s="5"/>
      <x:c r="L799" s="5"/>
      <x:c r="M799" s="9"/>
      <x:c r="N799" s="9"/>
      <x:c r="O799" s="9"/>
      <x:c r="P799" s="9"/>
      <x:c r="Q799" s="9"/>
      <x:c r="R799" s="9"/>
      <x:c r="S799" s="9"/>
      <x:c r="T799" s="9"/>
      <x:c r="U799" s="9"/>
      <x:c r="V799" s="9"/>
      <x:c r="W799" s="9"/>
      <x:c r="X799" s="9"/>
      <x:c r="Y799" s="9"/>
      <x:c r="Z799" s="9"/>
    </x:row>
    <x:row r="800" ht="14.25" customHeight="1">
      <x:c r="K800" s="5"/>
      <x:c r="L800" s="5"/>
      <x:c r="M800" s="9"/>
      <x:c r="N800" s="9"/>
      <x:c r="O800" s="9"/>
      <x:c r="P800" s="9"/>
      <x:c r="Q800" s="9"/>
      <x:c r="R800" s="9"/>
      <x:c r="S800" s="9"/>
      <x:c r="T800" s="9"/>
      <x:c r="U800" s="9"/>
      <x:c r="V800" s="9"/>
      <x:c r="W800" s="9"/>
      <x:c r="X800" s="9"/>
      <x:c r="Y800" s="9"/>
      <x:c r="Z800" s="9"/>
    </x:row>
    <x:row r="801" ht="14.25" customHeight="1">
      <x:c r="K801" s="5"/>
      <x:c r="L801" s="5"/>
      <x:c r="M801" s="9"/>
      <x:c r="N801" s="9"/>
      <x:c r="O801" s="9"/>
      <x:c r="P801" s="9"/>
      <x:c r="Q801" s="9"/>
      <x:c r="R801" s="9"/>
      <x:c r="S801" s="9"/>
      <x:c r="T801" s="9"/>
      <x:c r="U801" s="9"/>
      <x:c r="V801" s="9"/>
      <x:c r="W801" s="9"/>
      <x:c r="X801" s="9"/>
      <x:c r="Y801" s="9"/>
      <x:c r="Z801" s="9"/>
    </x:row>
    <x:row r="802" ht="14.25" customHeight="1">
      <x:c r="K802" s="5"/>
      <x:c r="L802" s="5"/>
      <x:c r="M802" s="9"/>
      <x:c r="N802" s="9"/>
      <x:c r="O802" s="9"/>
      <x:c r="P802" s="9"/>
      <x:c r="Q802" s="9"/>
      <x:c r="R802" s="9"/>
      <x:c r="S802" s="9"/>
      <x:c r="T802" s="9"/>
      <x:c r="U802" s="9"/>
      <x:c r="V802" s="9"/>
      <x:c r="W802" s="9"/>
      <x:c r="X802" s="9"/>
      <x:c r="Y802" s="9"/>
      <x:c r="Z802" s="9"/>
    </x:row>
    <x:row r="803" ht="14.25" customHeight="1">
      <x:c r="K803" s="5"/>
      <x:c r="L803" s="5"/>
      <x:c r="M803" s="9"/>
      <x:c r="N803" s="9"/>
      <x:c r="O803" s="9"/>
      <x:c r="P803" s="9"/>
      <x:c r="Q803" s="9"/>
      <x:c r="R803" s="9"/>
      <x:c r="S803" s="9"/>
      <x:c r="T803" s="9"/>
      <x:c r="U803" s="9"/>
      <x:c r="V803" s="9"/>
      <x:c r="W803" s="9"/>
      <x:c r="X803" s="9"/>
      <x:c r="Y803" s="9"/>
      <x:c r="Z803" s="9"/>
    </x:row>
    <x:row r="804" ht="14.25" customHeight="1">
      <x:c r="K804" s="5"/>
      <x:c r="L804" s="5"/>
      <x:c r="M804" s="9"/>
      <x:c r="N804" s="9"/>
      <x:c r="O804" s="9"/>
      <x:c r="P804" s="9"/>
      <x:c r="Q804" s="9"/>
      <x:c r="R804" s="9"/>
      <x:c r="S804" s="9"/>
      <x:c r="T804" s="9"/>
      <x:c r="U804" s="9"/>
      <x:c r="V804" s="9"/>
      <x:c r="W804" s="9"/>
      <x:c r="X804" s="9"/>
      <x:c r="Y804" s="9"/>
      <x:c r="Z804" s="9"/>
    </x:row>
    <x:row r="805" ht="14.25" customHeight="1">
      <x:c r="K805" s="5"/>
      <x:c r="L805" s="5"/>
      <x:c r="M805" s="9"/>
      <x:c r="N805" s="9"/>
      <x:c r="O805" s="9"/>
      <x:c r="P805" s="9"/>
      <x:c r="Q805" s="9"/>
      <x:c r="R805" s="9"/>
      <x:c r="S805" s="9"/>
      <x:c r="T805" s="9"/>
      <x:c r="U805" s="9"/>
      <x:c r="V805" s="9"/>
      <x:c r="W805" s="9"/>
      <x:c r="X805" s="9"/>
      <x:c r="Y805" s="9"/>
      <x:c r="Z805" s="9"/>
    </x:row>
    <x:row r="806" ht="14.25" customHeight="1">
      <x:c r="K806" s="5"/>
      <x:c r="L806" s="5"/>
      <x:c r="M806" s="9"/>
      <x:c r="N806" s="9"/>
      <x:c r="O806" s="9"/>
      <x:c r="P806" s="9"/>
      <x:c r="Q806" s="9"/>
      <x:c r="R806" s="9"/>
      <x:c r="S806" s="9"/>
      <x:c r="T806" s="9"/>
      <x:c r="U806" s="9"/>
      <x:c r="V806" s="9"/>
      <x:c r="W806" s="9"/>
      <x:c r="X806" s="9"/>
      <x:c r="Y806" s="9"/>
      <x:c r="Z806" s="9"/>
    </x:row>
    <x:row r="807" ht="14.25" customHeight="1">
      <x:c r="K807" s="5"/>
      <x:c r="L807" s="5"/>
      <x:c r="M807" s="9"/>
      <x:c r="N807" s="9"/>
      <x:c r="O807" s="9"/>
      <x:c r="P807" s="9"/>
      <x:c r="Q807" s="9"/>
      <x:c r="R807" s="9"/>
      <x:c r="S807" s="9"/>
      <x:c r="T807" s="9"/>
      <x:c r="U807" s="9"/>
      <x:c r="V807" s="9"/>
      <x:c r="W807" s="9"/>
      <x:c r="X807" s="9"/>
      <x:c r="Y807" s="9"/>
      <x:c r="Z807" s="9"/>
    </x:row>
    <x:row r="808" ht="14.25" customHeight="1">
      <x:c r="K808" s="5"/>
      <x:c r="L808" s="5"/>
      <x:c r="M808" s="9"/>
      <x:c r="N808" s="9"/>
      <x:c r="O808" s="9"/>
      <x:c r="P808" s="9"/>
      <x:c r="Q808" s="9"/>
      <x:c r="R808" s="9"/>
      <x:c r="S808" s="9"/>
      <x:c r="T808" s="9"/>
      <x:c r="U808" s="9"/>
      <x:c r="V808" s="9"/>
      <x:c r="W808" s="9"/>
      <x:c r="X808" s="9"/>
      <x:c r="Y808" s="9"/>
      <x:c r="Z808" s="9"/>
    </x:row>
    <x:row r="809" ht="14.25" customHeight="1">
      <x:c r="K809" s="5"/>
      <x:c r="L809" s="5"/>
      <x:c r="M809" s="9"/>
      <x:c r="N809" s="9"/>
      <x:c r="O809" s="9"/>
      <x:c r="P809" s="9"/>
      <x:c r="Q809" s="9"/>
      <x:c r="R809" s="9"/>
      <x:c r="S809" s="9"/>
      <x:c r="T809" s="9"/>
      <x:c r="U809" s="9"/>
      <x:c r="V809" s="9"/>
      <x:c r="W809" s="9"/>
      <x:c r="X809" s="9"/>
      <x:c r="Y809" s="9"/>
      <x:c r="Z809" s="9"/>
    </x:row>
    <x:row r="810" ht="14.25" customHeight="1">
      <x:c r="K810" s="5"/>
      <x:c r="L810" s="5"/>
      <x:c r="M810" s="9"/>
      <x:c r="N810" s="9"/>
      <x:c r="O810" s="9"/>
      <x:c r="P810" s="9"/>
      <x:c r="Q810" s="9"/>
      <x:c r="R810" s="9"/>
      <x:c r="S810" s="9"/>
      <x:c r="T810" s="9"/>
      <x:c r="U810" s="9"/>
      <x:c r="V810" s="9"/>
      <x:c r="W810" s="9"/>
      <x:c r="X810" s="9"/>
      <x:c r="Y810" s="9"/>
      <x:c r="Z810" s="9"/>
    </x:row>
    <x:row r="811" ht="14.25" customHeight="1">
      <x:c r="K811" s="5"/>
      <x:c r="L811" s="5"/>
      <x:c r="M811" s="9"/>
      <x:c r="N811" s="9"/>
      <x:c r="O811" s="9"/>
      <x:c r="P811" s="9"/>
      <x:c r="Q811" s="9"/>
      <x:c r="R811" s="9"/>
      <x:c r="S811" s="9"/>
      <x:c r="T811" s="9"/>
      <x:c r="U811" s="9"/>
      <x:c r="V811" s="9"/>
      <x:c r="W811" s="9"/>
      <x:c r="X811" s="9"/>
      <x:c r="Y811" s="9"/>
      <x:c r="Z811" s="9"/>
    </x:row>
    <x:row r="812" ht="14.25" customHeight="1">
      <x:c r="K812" s="5"/>
      <x:c r="L812" s="5"/>
      <x:c r="M812" s="9"/>
      <x:c r="N812" s="9"/>
      <x:c r="O812" s="9"/>
      <x:c r="P812" s="9"/>
      <x:c r="Q812" s="9"/>
      <x:c r="R812" s="9"/>
      <x:c r="S812" s="9"/>
      <x:c r="T812" s="9"/>
      <x:c r="U812" s="9"/>
      <x:c r="V812" s="9"/>
      <x:c r="W812" s="9"/>
      <x:c r="X812" s="9"/>
      <x:c r="Y812" s="9"/>
      <x:c r="Z812" s="9"/>
    </x:row>
    <x:row r="813" ht="14.25" customHeight="1">
      <x:c r="K813" s="5"/>
      <x:c r="L813" s="5"/>
      <x:c r="M813" s="9"/>
      <x:c r="N813" s="9"/>
      <x:c r="O813" s="9"/>
      <x:c r="P813" s="9"/>
      <x:c r="Q813" s="9"/>
      <x:c r="R813" s="9"/>
      <x:c r="S813" s="9"/>
      <x:c r="T813" s="9"/>
      <x:c r="U813" s="9"/>
      <x:c r="V813" s="9"/>
      <x:c r="W813" s="9"/>
      <x:c r="X813" s="9"/>
      <x:c r="Y813" s="9"/>
      <x:c r="Z813" s="9"/>
    </x:row>
    <x:row r="814" ht="14.25" customHeight="1">
      <x:c r="K814" s="5"/>
      <x:c r="L814" s="5"/>
      <x:c r="M814" s="9"/>
      <x:c r="N814" s="9"/>
      <x:c r="O814" s="9"/>
      <x:c r="P814" s="9"/>
      <x:c r="Q814" s="9"/>
      <x:c r="R814" s="9"/>
      <x:c r="S814" s="9"/>
      <x:c r="T814" s="9"/>
      <x:c r="U814" s="9"/>
      <x:c r="V814" s="9"/>
      <x:c r="W814" s="9"/>
      <x:c r="X814" s="9"/>
      <x:c r="Y814" s="9"/>
      <x:c r="Z814" s="9"/>
    </x:row>
    <x:row r="815" ht="14.25" customHeight="1">
      <x:c r="K815" s="5"/>
      <x:c r="L815" s="5"/>
      <x:c r="M815" s="9"/>
      <x:c r="N815" s="9"/>
      <x:c r="O815" s="9"/>
      <x:c r="P815" s="9"/>
      <x:c r="Q815" s="9"/>
      <x:c r="R815" s="9"/>
      <x:c r="S815" s="9"/>
      <x:c r="T815" s="9"/>
      <x:c r="U815" s="9"/>
      <x:c r="V815" s="9"/>
      <x:c r="W815" s="9"/>
      <x:c r="X815" s="9"/>
      <x:c r="Y815" s="9"/>
      <x:c r="Z815" s="9"/>
    </x:row>
    <x:row r="816" ht="14.25" customHeight="1">
      <x:c r="K816" s="5"/>
      <x:c r="L816" s="5"/>
      <x:c r="M816" s="9"/>
      <x:c r="N816" s="9"/>
      <x:c r="O816" s="9"/>
      <x:c r="P816" s="9"/>
      <x:c r="Q816" s="9"/>
      <x:c r="R816" s="9"/>
      <x:c r="S816" s="9"/>
      <x:c r="T816" s="9"/>
      <x:c r="U816" s="9"/>
      <x:c r="V816" s="9"/>
      <x:c r="W816" s="9"/>
      <x:c r="X816" s="9"/>
      <x:c r="Y816" s="9"/>
      <x:c r="Z816" s="9"/>
    </x:row>
    <x:row r="817" ht="14.25" customHeight="1">
      <x:c r="K817" s="5"/>
      <x:c r="L817" s="5"/>
      <x:c r="M817" s="9"/>
      <x:c r="N817" s="9"/>
      <x:c r="O817" s="9"/>
      <x:c r="P817" s="9"/>
      <x:c r="Q817" s="9"/>
      <x:c r="R817" s="9"/>
      <x:c r="S817" s="9"/>
      <x:c r="T817" s="9"/>
      <x:c r="U817" s="9"/>
      <x:c r="V817" s="9"/>
      <x:c r="W817" s="9"/>
      <x:c r="X817" s="9"/>
      <x:c r="Y817" s="9"/>
      <x:c r="Z817" s="9"/>
    </x:row>
    <x:row r="818" ht="14.25" customHeight="1">
      <x:c r="K818" s="5"/>
      <x:c r="L818" s="5"/>
      <x:c r="M818" s="9"/>
      <x:c r="N818" s="9"/>
      <x:c r="O818" s="9"/>
      <x:c r="P818" s="9"/>
      <x:c r="Q818" s="9"/>
      <x:c r="R818" s="9"/>
      <x:c r="S818" s="9"/>
      <x:c r="T818" s="9"/>
      <x:c r="U818" s="9"/>
      <x:c r="V818" s="9"/>
      <x:c r="W818" s="9"/>
      <x:c r="X818" s="9"/>
      <x:c r="Y818" s="9"/>
      <x:c r="Z818" s="9"/>
    </x:row>
    <x:row r="819" ht="14.25" customHeight="1">
      <x:c r="K819" s="5"/>
      <x:c r="L819" s="5"/>
      <x:c r="M819" s="9"/>
      <x:c r="N819" s="9"/>
      <x:c r="O819" s="9"/>
      <x:c r="P819" s="9"/>
      <x:c r="Q819" s="9"/>
      <x:c r="R819" s="9"/>
      <x:c r="S819" s="9"/>
      <x:c r="T819" s="9"/>
      <x:c r="U819" s="9"/>
      <x:c r="V819" s="9"/>
      <x:c r="W819" s="9"/>
      <x:c r="X819" s="9"/>
      <x:c r="Y819" s="9"/>
      <x:c r="Z819" s="9"/>
    </x:row>
    <x:row r="820" ht="14.25" customHeight="1">
      <x:c r="K820" s="5"/>
      <x:c r="L820" s="5"/>
      <x:c r="M820" s="9"/>
      <x:c r="N820" s="9"/>
      <x:c r="O820" s="9"/>
      <x:c r="P820" s="9"/>
      <x:c r="Q820" s="9"/>
      <x:c r="R820" s="9"/>
      <x:c r="S820" s="9"/>
      <x:c r="T820" s="9"/>
      <x:c r="U820" s="9"/>
      <x:c r="V820" s="9"/>
      <x:c r="W820" s="9"/>
      <x:c r="X820" s="9"/>
      <x:c r="Y820" s="9"/>
      <x:c r="Z820" s="9"/>
    </x:row>
    <x:row r="821" ht="14.25" customHeight="1">
      <x:c r="K821" s="5"/>
      <x:c r="L821" s="5"/>
      <x:c r="M821" s="9"/>
      <x:c r="N821" s="9"/>
      <x:c r="O821" s="9"/>
      <x:c r="P821" s="9"/>
      <x:c r="Q821" s="9"/>
      <x:c r="R821" s="9"/>
      <x:c r="S821" s="9"/>
      <x:c r="T821" s="9"/>
      <x:c r="U821" s="9"/>
      <x:c r="V821" s="9"/>
      <x:c r="W821" s="9"/>
      <x:c r="X821" s="9"/>
      <x:c r="Y821" s="9"/>
      <x:c r="Z821" s="9"/>
    </x:row>
    <x:row r="822" ht="14.25" customHeight="1">
      <x:c r="K822" s="5"/>
      <x:c r="L822" s="5"/>
      <x:c r="M822" s="9"/>
      <x:c r="N822" s="9"/>
      <x:c r="O822" s="9"/>
      <x:c r="P822" s="9"/>
      <x:c r="Q822" s="9"/>
      <x:c r="R822" s="9"/>
      <x:c r="S822" s="9"/>
      <x:c r="T822" s="9"/>
      <x:c r="U822" s="9"/>
      <x:c r="V822" s="9"/>
      <x:c r="W822" s="9"/>
      <x:c r="X822" s="9"/>
      <x:c r="Y822" s="9"/>
      <x:c r="Z822" s="9"/>
    </x:row>
    <x:row r="823" ht="14.25" customHeight="1">
      <x:c r="K823" s="5"/>
      <x:c r="L823" s="5"/>
      <x:c r="M823" s="9"/>
      <x:c r="N823" s="9"/>
      <x:c r="O823" s="9"/>
      <x:c r="P823" s="9"/>
      <x:c r="Q823" s="9"/>
      <x:c r="R823" s="9"/>
      <x:c r="S823" s="9"/>
      <x:c r="T823" s="9"/>
      <x:c r="U823" s="9"/>
      <x:c r="V823" s="9"/>
      <x:c r="W823" s="9"/>
      <x:c r="X823" s="9"/>
      <x:c r="Y823" s="9"/>
      <x:c r="Z823" s="9"/>
    </x:row>
    <x:row r="824" ht="14.25" customHeight="1">
      <x:c r="K824" s="5"/>
      <x:c r="L824" s="5"/>
      <x:c r="M824" s="9"/>
      <x:c r="N824" s="9"/>
      <x:c r="O824" s="9"/>
      <x:c r="P824" s="9"/>
      <x:c r="Q824" s="9"/>
      <x:c r="R824" s="9"/>
      <x:c r="S824" s="9"/>
      <x:c r="T824" s="9"/>
      <x:c r="U824" s="9"/>
      <x:c r="V824" s="9"/>
      <x:c r="W824" s="9"/>
      <x:c r="X824" s="9"/>
      <x:c r="Y824" s="9"/>
      <x:c r="Z824" s="9"/>
    </x:row>
    <x:row r="825" ht="14.25" customHeight="1">
      <x:c r="K825" s="5"/>
      <x:c r="L825" s="5"/>
      <x:c r="M825" s="9"/>
      <x:c r="N825" s="9"/>
      <x:c r="O825" s="9"/>
      <x:c r="P825" s="9"/>
      <x:c r="Q825" s="9"/>
      <x:c r="R825" s="9"/>
      <x:c r="S825" s="9"/>
      <x:c r="T825" s="9"/>
      <x:c r="U825" s="9"/>
      <x:c r="V825" s="9"/>
      <x:c r="W825" s="9"/>
      <x:c r="X825" s="9"/>
      <x:c r="Y825" s="9"/>
      <x:c r="Z825" s="9"/>
    </x:row>
    <x:row r="826" ht="14.25" customHeight="1">
      <x:c r="K826" s="5"/>
      <x:c r="L826" s="5"/>
      <x:c r="M826" s="9"/>
      <x:c r="N826" s="9"/>
      <x:c r="O826" s="9"/>
      <x:c r="P826" s="9"/>
      <x:c r="Q826" s="9"/>
      <x:c r="R826" s="9"/>
      <x:c r="S826" s="9"/>
      <x:c r="T826" s="9"/>
      <x:c r="U826" s="9"/>
      <x:c r="V826" s="9"/>
      <x:c r="W826" s="9"/>
      <x:c r="X826" s="9"/>
      <x:c r="Y826" s="9"/>
      <x:c r="Z826" s="9"/>
    </x:row>
    <x:row r="827" ht="14.25" customHeight="1">
      <x:c r="K827" s="5"/>
      <x:c r="L827" s="5"/>
      <x:c r="M827" s="9"/>
      <x:c r="N827" s="9"/>
      <x:c r="O827" s="9"/>
      <x:c r="P827" s="9"/>
      <x:c r="Q827" s="9"/>
      <x:c r="R827" s="9"/>
      <x:c r="S827" s="9"/>
      <x:c r="T827" s="9"/>
      <x:c r="U827" s="9"/>
      <x:c r="V827" s="9"/>
      <x:c r="W827" s="9"/>
      <x:c r="X827" s="9"/>
      <x:c r="Y827" s="9"/>
      <x:c r="Z827" s="9"/>
    </x:row>
    <x:row r="828" ht="14.25" customHeight="1">
      <x:c r="K828" s="5"/>
      <x:c r="L828" s="5"/>
      <x:c r="M828" s="9"/>
      <x:c r="N828" s="9"/>
      <x:c r="O828" s="9"/>
      <x:c r="P828" s="9"/>
      <x:c r="Q828" s="9"/>
      <x:c r="R828" s="9"/>
      <x:c r="S828" s="9"/>
      <x:c r="T828" s="9"/>
      <x:c r="U828" s="9"/>
      <x:c r="V828" s="9"/>
      <x:c r="W828" s="9"/>
      <x:c r="X828" s="9"/>
      <x:c r="Y828" s="9"/>
      <x:c r="Z828" s="9"/>
    </x:row>
    <x:row r="829" ht="14.25" customHeight="1">
      <x:c r="K829" s="5"/>
      <x:c r="L829" s="5"/>
      <x:c r="M829" s="9"/>
      <x:c r="N829" s="9"/>
      <x:c r="O829" s="9"/>
      <x:c r="P829" s="9"/>
      <x:c r="Q829" s="9"/>
      <x:c r="R829" s="9"/>
      <x:c r="S829" s="9"/>
      <x:c r="T829" s="9"/>
      <x:c r="U829" s="9"/>
      <x:c r="V829" s="9"/>
      <x:c r="W829" s="9"/>
      <x:c r="X829" s="9"/>
      <x:c r="Y829" s="9"/>
      <x:c r="Z829" s="9"/>
    </x:row>
    <x:row r="830" ht="14.25" customHeight="1">
      <x:c r="K830" s="5"/>
      <x:c r="L830" s="5"/>
      <x:c r="M830" s="9"/>
      <x:c r="N830" s="9"/>
      <x:c r="O830" s="9"/>
      <x:c r="P830" s="9"/>
      <x:c r="Q830" s="9"/>
      <x:c r="R830" s="9"/>
      <x:c r="S830" s="9"/>
      <x:c r="T830" s="9"/>
      <x:c r="U830" s="9"/>
      <x:c r="V830" s="9"/>
      <x:c r="W830" s="9"/>
      <x:c r="X830" s="9"/>
      <x:c r="Y830" s="9"/>
      <x:c r="Z830" s="9"/>
    </x:row>
    <x:row r="831" ht="14.25" customHeight="1">
      <x:c r="K831" s="5"/>
      <x:c r="L831" s="5"/>
      <x:c r="M831" s="9"/>
      <x:c r="N831" s="9"/>
      <x:c r="O831" s="9"/>
      <x:c r="P831" s="9"/>
      <x:c r="Q831" s="9"/>
      <x:c r="R831" s="9"/>
      <x:c r="S831" s="9"/>
      <x:c r="T831" s="9"/>
      <x:c r="U831" s="9"/>
      <x:c r="V831" s="9"/>
      <x:c r="W831" s="9"/>
      <x:c r="X831" s="9"/>
      <x:c r="Y831" s="9"/>
      <x:c r="Z831" s="9"/>
    </x:row>
    <x:row r="832" ht="14.25" customHeight="1">
      <x:c r="K832" s="5"/>
      <x:c r="L832" s="5"/>
      <x:c r="M832" s="9"/>
      <x:c r="N832" s="9"/>
      <x:c r="O832" s="9"/>
      <x:c r="P832" s="9"/>
      <x:c r="Q832" s="9"/>
      <x:c r="R832" s="9"/>
      <x:c r="S832" s="9"/>
      <x:c r="T832" s="9"/>
      <x:c r="U832" s="9"/>
      <x:c r="V832" s="9"/>
      <x:c r="W832" s="9"/>
      <x:c r="X832" s="9"/>
      <x:c r="Y832" s="9"/>
      <x:c r="Z832" s="9"/>
    </x:row>
    <x:row r="833" ht="14.25" customHeight="1">
      <x:c r="K833" s="5"/>
      <x:c r="L833" s="5"/>
      <x:c r="M833" s="9"/>
      <x:c r="N833" s="9"/>
      <x:c r="O833" s="9"/>
      <x:c r="P833" s="9"/>
      <x:c r="Q833" s="9"/>
      <x:c r="R833" s="9"/>
      <x:c r="S833" s="9"/>
      <x:c r="T833" s="9"/>
      <x:c r="U833" s="9"/>
      <x:c r="V833" s="9"/>
      <x:c r="W833" s="9"/>
      <x:c r="X833" s="9"/>
      <x:c r="Y833" s="9"/>
      <x:c r="Z833" s="9"/>
    </x:row>
    <x:row r="834" ht="14.25" customHeight="1">
      <x:c r="K834" s="5"/>
      <x:c r="L834" s="5"/>
      <x:c r="M834" s="9"/>
      <x:c r="N834" s="9"/>
      <x:c r="O834" s="9"/>
      <x:c r="P834" s="9"/>
      <x:c r="Q834" s="9"/>
      <x:c r="R834" s="9"/>
      <x:c r="S834" s="9"/>
      <x:c r="T834" s="9"/>
      <x:c r="U834" s="9"/>
      <x:c r="V834" s="9"/>
      <x:c r="W834" s="9"/>
      <x:c r="X834" s="9"/>
      <x:c r="Y834" s="9"/>
      <x:c r="Z834" s="9"/>
    </x:row>
    <x:row r="835" ht="14.25" customHeight="1">
      <x:c r="K835" s="5"/>
      <x:c r="L835" s="5"/>
      <x:c r="M835" s="9"/>
      <x:c r="N835" s="9"/>
      <x:c r="O835" s="9"/>
      <x:c r="P835" s="9"/>
      <x:c r="Q835" s="9"/>
      <x:c r="R835" s="9"/>
      <x:c r="S835" s="9"/>
      <x:c r="T835" s="9"/>
      <x:c r="U835" s="9"/>
      <x:c r="V835" s="9"/>
      <x:c r="W835" s="9"/>
      <x:c r="X835" s="9"/>
      <x:c r="Y835" s="9"/>
      <x:c r="Z835" s="9"/>
    </x:row>
    <x:row r="836" ht="14.25" customHeight="1">
      <x:c r="K836" s="5"/>
      <x:c r="L836" s="5"/>
      <x:c r="M836" s="9"/>
      <x:c r="N836" s="9"/>
      <x:c r="O836" s="9"/>
      <x:c r="P836" s="9"/>
      <x:c r="Q836" s="9"/>
      <x:c r="R836" s="9"/>
      <x:c r="S836" s="9"/>
      <x:c r="T836" s="9"/>
      <x:c r="U836" s="9"/>
      <x:c r="V836" s="9"/>
      <x:c r="W836" s="9"/>
      <x:c r="X836" s="9"/>
      <x:c r="Y836" s="9"/>
      <x:c r="Z836" s="9"/>
    </x:row>
    <x:row r="837" ht="14.25" customHeight="1">
      <x:c r="K837" s="5"/>
      <x:c r="L837" s="5"/>
      <x:c r="M837" s="9"/>
      <x:c r="N837" s="9"/>
      <x:c r="O837" s="9"/>
      <x:c r="P837" s="9"/>
      <x:c r="Q837" s="9"/>
      <x:c r="R837" s="9"/>
      <x:c r="S837" s="9"/>
      <x:c r="T837" s="9"/>
      <x:c r="U837" s="9"/>
      <x:c r="V837" s="9"/>
      <x:c r="W837" s="9"/>
      <x:c r="X837" s="9"/>
      <x:c r="Y837" s="9"/>
      <x:c r="Z837" s="9"/>
    </x:row>
    <x:row r="838" ht="14.25" customHeight="1">
      <x:c r="K838" s="5"/>
      <x:c r="L838" s="5"/>
      <x:c r="M838" s="9"/>
      <x:c r="N838" s="9"/>
      <x:c r="O838" s="9"/>
      <x:c r="P838" s="9"/>
      <x:c r="Q838" s="9"/>
      <x:c r="R838" s="9"/>
      <x:c r="S838" s="9"/>
      <x:c r="T838" s="9"/>
      <x:c r="U838" s="9"/>
      <x:c r="V838" s="9"/>
      <x:c r="W838" s="9"/>
      <x:c r="X838" s="9"/>
      <x:c r="Y838" s="9"/>
      <x:c r="Z838" s="9"/>
    </x:row>
    <x:row r="839" ht="14.25" customHeight="1">
      <x:c r="K839" s="5"/>
      <x:c r="L839" s="5"/>
      <x:c r="M839" s="9"/>
      <x:c r="N839" s="9"/>
      <x:c r="O839" s="9"/>
      <x:c r="P839" s="9"/>
      <x:c r="Q839" s="9"/>
      <x:c r="R839" s="9"/>
      <x:c r="S839" s="9"/>
      <x:c r="T839" s="9"/>
      <x:c r="U839" s="9"/>
      <x:c r="V839" s="9"/>
      <x:c r="W839" s="9"/>
      <x:c r="X839" s="9"/>
      <x:c r="Y839" s="9"/>
      <x:c r="Z839" s="9"/>
    </x:row>
    <x:row r="840" ht="14.25" customHeight="1">
      <x:c r="K840" s="5"/>
      <x:c r="L840" s="5"/>
      <x:c r="M840" s="9"/>
      <x:c r="N840" s="9"/>
      <x:c r="O840" s="9"/>
      <x:c r="P840" s="9"/>
      <x:c r="Q840" s="9"/>
      <x:c r="R840" s="9"/>
      <x:c r="S840" s="9"/>
      <x:c r="T840" s="9"/>
      <x:c r="U840" s="9"/>
      <x:c r="V840" s="9"/>
      <x:c r="W840" s="9"/>
      <x:c r="X840" s="9"/>
      <x:c r="Y840" s="9"/>
      <x:c r="Z840" s="9"/>
    </x:row>
    <x:row r="841" ht="14.25" customHeight="1">
      <x:c r="K841" s="5"/>
      <x:c r="L841" s="5"/>
      <x:c r="M841" s="9"/>
      <x:c r="N841" s="9"/>
      <x:c r="O841" s="9"/>
      <x:c r="P841" s="9"/>
      <x:c r="Q841" s="9"/>
      <x:c r="R841" s="9"/>
      <x:c r="S841" s="9"/>
      <x:c r="T841" s="9"/>
      <x:c r="U841" s="9"/>
      <x:c r="V841" s="9"/>
      <x:c r="W841" s="9"/>
      <x:c r="X841" s="9"/>
      <x:c r="Y841" s="9"/>
      <x:c r="Z841" s="9"/>
    </x:row>
    <x:row r="842" ht="14.25" customHeight="1">
      <x:c r="K842" s="5"/>
      <x:c r="L842" s="5"/>
      <x:c r="M842" s="9"/>
      <x:c r="N842" s="9"/>
      <x:c r="O842" s="9"/>
      <x:c r="P842" s="9"/>
      <x:c r="Q842" s="9"/>
      <x:c r="R842" s="9"/>
      <x:c r="S842" s="9"/>
      <x:c r="T842" s="9"/>
      <x:c r="U842" s="9"/>
      <x:c r="V842" s="9"/>
      <x:c r="W842" s="9"/>
      <x:c r="X842" s="9"/>
      <x:c r="Y842" s="9"/>
      <x:c r="Z842" s="9"/>
    </x:row>
    <x:row r="843" ht="14.25" customHeight="1">
      <x:c r="K843" s="5"/>
      <x:c r="L843" s="5"/>
      <x:c r="M843" s="9"/>
      <x:c r="N843" s="9"/>
      <x:c r="O843" s="9"/>
      <x:c r="P843" s="9"/>
      <x:c r="Q843" s="9"/>
      <x:c r="R843" s="9"/>
      <x:c r="S843" s="9"/>
      <x:c r="T843" s="9"/>
      <x:c r="U843" s="9"/>
      <x:c r="V843" s="9"/>
      <x:c r="W843" s="9"/>
      <x:c r="X843" s="9"/>
      <x:c r="Y843" s="9"/>
      <x:c r="Z843" s="9"/>
    </x:row>
    <x:row r="844" ht="14.25" customHeight="1">
      <x:c r="K844" s="5"/>
      <x:c r="L844" s="5"/>
      <x:c r="M844" s="9"/>
      <x:c r="N844" s="9"/>
      <x:c r="O844" s="9"/>
      <x:c r="P844" s="9"/>
      <x:c r="Q844" s="9"/>
      <x:c r="R844" s="9"/>
      <x:c r="S844" s="9"/>
      <x:c r="T844" s="9"/>
      <x:c r="U844" s="9"/>
      <x:c r="V844" s="9"/>
      <x:c r="W844" s="9"/>
      <x:c r="X844" s="9"/>
      <x:c r="Y844" s="9"/>
      <x:c r="Z844" s="9"/>
    </x:row>
    <x:row r="845" ht="14.25" customHeight="1">
      <x:c r="K845" s="5"/>
      <x:c r="L845" s="5"/>
      <x:c r="M845" s="9"/>
      <x:c r="N845" s="9"/>
      <x:c r="O845" s="9"/>
      <x:c r="P845" s="9"/>
      <x:c r="Q845" s="9"/>
      <x:c r="R845" s="9"/>
      <x:c r="S845" s="9"/>
      <x:c r="T845" s="9"/>
      <x:c r="U845" s="9"/>
      <x:c r="V845" s="9"/>
      <x:c r="W845" s="9"/>
      <x:c r="X845" s="9"/>
      <x:c r="Y845" s="9"/>
      <x:c r="Z845" s="9"/>
    </x:row>
    <x:row r="846" ht="14.25" customHeight="1">
      <x:c r="K846" s="5"/>
      <x:c r="L846" s="5"/>
      <x:c r="M846" s="9"/>
      <x:c r="N846" s="9"/>
      <x:c r="O846" s="9"/>
      <x:c r="P846" s="9"/>
      <x:c r="Q846" s="9"/>
      <x:c r="R846" s="9"/>
      <x:c r="S846" s="9"/>
      <x:c r="T846" s="9"/>
      <x:c r="U846" s="9"/>
      <x:c r="V846" s="9"/>
      <x:c r="W846" s="9"/>
      <x:c r="X846" s="9"/>
      <x:c r="Y846" s="9"/>
      <x:c r="Z846" s="9"/>
    </x:row>
    <x:row r="847" ht="14.25" customHeight="1">
      <x:c r="K847" s="5"/>
      <x:c r="L847" s="5"/>
      <x:c r="M847" s="9"/>
      <x:c r="N847" s="9"/>
      <x:c r="O847" s="9"/>
      <x:c r="P847" s="9"/>
      <x:c r="Q847" s="9"/>
      <x:c r="R847" s="9"/>
      <x:c r="S847" s="9"/>
      <x:c r="T847" s="9"/>
      <x:c r="U847" s="9"/>
      <x:c r="V847" s="9"/>
      <x:c r="W847" s="9"/>
      <x:c r="X847" s="9"/>
      <x:c r="Y847" s="9"/>
      <x:c r="Z847" s="9"/>
    </x:row>
    <x:row r="848" ht="14.25" customHeight="1">
      <x:c r="K848" s="5"/>
      <x:c r="L848" s="5"/>
      <x:c r="M848" s="9"/>
      <x:c r="N848" s="9"/>
      <x:c r="O848" s="9"/>
      <x:c r="P848" s="9"/>
      <x:c r="Q848" s="9"/>
      <x:c r="R848" s="9"/>
      <x:c r="S848" s="9"/>
      <x:c r="T848" s="9"/>
      <x:c r="U848" s="9"/>
      <x:c r="V848" s="9"/>
      <x:c r="W848" s="9"/>
      <x:c r="X848" s="9"/>
      <x:c r="Y848" s="9"/>
      <x:c r="Z848" s="9"/>
    </x:row>
    <x:row r="849" ht="14.25" customHeight="1">
      <x:c r="K849" s="5"/>
      <x:c r="L849" s="5"/>
      <x:c r="M849" s="9"/>
      <x:c r="N849" s="9"/>
      <x:c r="O849" s="9"/>
      <x:c r="P849" s="9"/>
      <x:c r="Q849" s="9"/>
      <x:c r="R849" s="9"/>
      <x:c r="S849" s="9"/>
      <x:c r="T849" s="9"/>
      <x:c r="U849" s="9"/>
      <x:c r="V849" s="9"/>
      <x:c r="W849" s="9"/>
      <x:c r="X849" s="9"/>
      <x:c r="Y849" s="9"/>
      <x:c r="Z849" s="9"/>
    </x:row>
    <x:row r="850" ht="14.25" customHeight="1">
      <x:c r="K850" s="5"/>
      <x:c r="L850" s="5"/>
      <x:c r="M850" s="9"/>
      <x:c r="N850" s="9"/>
      <x:c r="O850" s="9"/>
      <x:c r="P850" s="9"/>
      <x:c r="Q850" s="9"/>
      <x:c r="R850" s="9"/>
      <x:c r="S850" s="9"/>
      <x:c r="T850" s="9"/>
      <x:c r="U850" s="9"/>
      <x:c r="V850" s="9"/>
      <x:c r="W850" s="9"/>
      <x:c r="X850" s="9"/>
      <x:c r="Y850" s="9"/>
      <x:c r="Z850" s="9"/>
    </x:row>
    <x:row r="851" ht="14.25" customHeight="1">
      <x:c r="K851" s="5"/>
      <x:c r="L851" s="5"/>
      <x:c r="M851" s="9"/>
      <x:c r="N851" s="9"/>
      <x:c r="O851" s="9"/>
      <x:c r="P851" s="9"/>
      <x:c r="Q851" s="9"/>
      <x:c r="R851" s="9"/>
      <x:c r="S851" s="9"/>
      <x:c r="T851" s="9"/>
      <x:c r="U851" s="9"/>
      <x:c r="V851" s="9"/>
      <x:c r="W851" s="9"/>
      <x:c r="X851" s="9"/>
      <x:c r="Y851" s="9"/>
      <x:c r="Z851" s="9"/>
    </x:row>
    <x:row r="852" ht="14.25" customHeight="1">
      <x:c r="K852" s="5"/>
      <x:c r="L852" s="5"/>
      <x:c r="M852" s="9"/>
      <x:c r="N852" s="9"/>
      <x:c r="O852" s="9"/>
      <x:c r="P852" s="9"/>
      <x:c r="Q852" s="9"/>
      <x:c r="R852" s="9"/>
      <x:c r="S852" s="9"/>
      <x:c r="T852" s="9"/>
      <x:c r="U852" s="9"/>
      <x:c r="V852" s="9"/>
      <x:c r="W852" s="9"/>
      <x:c r="X852" s="9"/>
      <x:c r="Y852" s="9"/>
      <x:c r="Z852" s="9"/>
    </x:row>
    <x:row r="853" ht="14.25" customHeight="1">
      <x:c r="K853" s="5"/>
      <x:c r="L853" s="5"/>
      <x:c r="M853" s="9"/>
      <x:c r="N853" s="9"/>
      <x:c r="O853" s="9"/>
      <x:c r="P853" s="9"/>
      <x:c r="Q853" s="9"/>
      <x:c r="R853" s="9"/>
      <x:c r="S853" s="9"/>
      <x:c r="T853" s="9"/>
      <x:c r="U853" s="9"/>
      <x:c r="V853" s="9"/>
      <x:c r="W853" s="9"/>
      <x:c r="X853" s="9"/>
      <x:c r="Y853" s="9"/>
      <x:c r="Z853" s="9"/>
    </x:row>
    <x:row r="854" ht="14.25" customHeight="1">
      <x:c r="K854" s="5"/>
      <x:c r="L854" s="5"/>
      <x:c r="M854" s="9"/>
      <x:c r="N854" s="9"/>
      <x:c r="O854" s="9"/>
      <x:c r="P854" s="9"/>
      <x:c r="Q854" s="9"/>
      <x:c r="R854" s="9"/>
      <x:c r="S854" s="9"/>
      <x:c r="T854" s="9"/>
      <x:c r="U854" s="9"/>
      <x:c r="V854" s="9"/>
      <x:c r="W854" s="9"/>
      <x:c r="X854" s="9"/>
      <x:c r="Y854" s="9"/>
      <x:c r="Z854" s="9"/>
    </x:row>
    <x:row r="855" ht="14.25" customHeight="1">
      <x:c r="K855" s="5"/>
      <x:c r="L855" s="5"/>
      <x:c r="M855" s="9"/>
      <x:c r="N855" s="9"/>
      <x:c r="O855" s="9"/>
      <x:c r="P855" s="9"/>
      <x:c r="Q855" s="9"/>
      <x:c r="R855" s="9"/>
      <x:c r="S855" s="9"/>
      <x:c r="T855" s="9"/>
      <x:c r="U855" s="9"/>
      <x:c r="V855" s="9"/>
      <x:c r="W855" s="9"/>
      <x:c r="X855" s="9"/>
      <x:c r="Y855" s="9"/>
      <x:c r="Z855" s="9"/>
    </x:row>
    <x:row r="856" ht="14.25" customHeight="1">
      <x:c r="K856" s="5"/>
      <x:c r="L856" s="5"/>
      <x:c r="M856" s="9"/>
      <x:c r="N856" s="9"/>
      <x:c r="O856" s="9"/>
      <x:c r="P856" s="9"/>
      <x:c r="Q856" s="9"/>
      <x:c r="R856" s="9"/>
      <x:c r="S856" s="9"/>
      <x:c r="T856" s="9"/>
      <x:c r="U856" s="9"/>
      <x:c r="V856" s="9"/>
      <x:c r="W856" s="9"/>
      <x:c r="X856" s="9"/>
      <x:c r="Y856" s="9"/>
      <x:c r="Z856" s="9"/>
    </x:row>
    <x:row r="857" ht="14.25" customHeight="1">
      <x:c r="K857" s="5"/>
      <x:c r="L857" s="5"/>
      <x:c r="M857" s="9"/>
      <x:c r="N857" s="9"/>
      <x:c r="O857" s="9"/>
      <x:c r="P857" s="9"/>
      <x:c r="Q857" s="9"/>
      <x:c r="R857" s="9"/>
      <x:c r="S857" s="9"/>
      <x:c r="T857" s="9"/>
      <x:c r="U857" s="9"/>
      <x:c r="V857" s="9"/>
      <x:c r="W857" s="9"/>
      <x:c r="X857" s="9"/>
      <x:c r="Y857" s="9"/>
      <x:c r="Z857" s="9"/>
    </x:row>
    <x:row r="858" ht="14.25" customHeight="1">
      <x:c r="K858" s="5"/>
      <x:c r="L858" s="5"/>
      <x:c r="M858" s="9"/>
      <x:c r="N858" s="9"/>
      <x:c r="O858" s="9"/>
      <x:c r="P858" s="9"/>
      <x:c r="Q858" s="9"/>
      <x:c r="R858" s="9"/>
      <x:c r="S858" s="9"/>
      <x:c r="T858" s="9"/>
      <x:c r="U858" s="9"/>
      <x:c r="V858" s="9"/>
      <x:c r="W858" s="9"/>
      <x:c r="X858" s="9"/>
      <x:c r="Y858" s="9"/>
      <x:c r="Z858" s="9"/>
    </x:row>
    <x:row r="859" ht="14.25" customHeight="1">
      <x:c r="K859" s="5"/>
      <x:c r="L859" s="5"/>
      <x:c r="M859" s="9"/>
      <x:c r="N859" s="9"/>
      <x:c r="O859" s="9"/>
      <x:c r="P859" s="9"/>
      <x:c r="Q859" s="9"/>
      <x:c r="R859" s="9"/>
      <x:c r="S859" s="9"/>
      <x:c r="T859" s="9"/>
      <x:c r="U859" s="9"/>
      <x:c r="V859" s="9"/>
      <x:c r="W859" s="9"/>
      <x:c r="X859" s="9"/>
      <x:c r="Y859" s="9"/>
      <x:c r="Z859" s="9"/>
    </x:row>
    <x:row r="860" ht="14.25" customHeight="1">
      <x:c r="K860" s="5"/>
      <x:c r="L860" s="5"/>
      <x:c r="M860" s="9"/>
      <x:c r="N860" s="9"/>
      <x:c r="O860" s="9"/>
      <x:c r="P860" s="9"/>
      <x:c r="Q860" s="9"/>
      <x:c r="R860" s="9"/>
      <x:c r="S860" s="9"/>
      <x:c r="T860" s="9"/>
      <x:c r="U860" s="9"/>
      <x:c r="V860" s="9"/>
      <x:c r="W860" s="9"/>
      <x:c r="X860" s="9"/>
      <x:c r="Y860" s="9"/>
      <x:c r="Z860" s="9"/>
    </x:row>
    <x:row r="861" ht="14.25" customHeight="1">
      <x:c r="K861" s="5"/>
      <x:c r="L861" s="5"/>
      <x:c r="M861" s="9"/>
      <x:c r="N861" s="9"/>
      <x:c r="O861" s="9"/>
      <x:c r="P861" s="9"/>
      <x:c r="Q861" s="9"/>
      <x:c r="R861" s="9"/>
      <x:c r="S861" s="9"/>
      <x:c r="T861" s="9"/>
      <x:c r="U861" s="9"/>
      <x:c r="V861" s="9"/>
      <x:c r="W861" s="9"/>
      <x:c r="X861" s="9"/>
      <x:c r="Y861" s="9"/>
      <x:c r="Z861" s="9"/>
    </x:row>
    <x:row r="862" ht="14.25" customHeight="1">
      <x:c r="K862" s="5"/>
      <x:c r="L862" s="5"/>
      <x:c r="M862" s="9"/>
      <x:c r="N862" s="9"/>
      <x:c r="O862" s="9"/>
      <x:c r="P862" s="9"/>
      <x:c r="Q862" s="9"/>
      <x:c r="R862" s="9"/>
      <x:c r="S862" s="9"/>
      <x:c r="T862" s="9"/>
      <x:c r="U862" s="9"/>
      <x:c r="V862" s="9"/>
      <x:c r="W862" s="9"/>
      <x:c r="X862" s="9"/>
      <x:c r="Y862" s="9"/>
      <x:c r="Z862" s="9"/>
    </x:row>
    <x:row r="863" ht="14.25" customHeight="1">
      <x:c r="K863" s="5"/>
      <x:c r="L863" s="5"/>
      <x:c r="M863" s="9"/>
      <x:c r="N863" s="9"/>
      <x:c r="O863" s="9"/>
      <x:c r="P863" s="9"/>
      <x:c r="Q863" s="9"/>
      <x:c r="R863" s="9"/>
      <x:c r="S863" s="9"/>
      <x:c r="T863" s="9"/>
      <x:c r="U863" s="9"/>
      <x:c r="V863" s="9"/>
      <x:c r="W863" s="9"/>
      <x:c r="X863" s="9"/>
      <x:c r="Y863" s="9"/>
      <x:c r="Z863" s="9"/>
    </x:row>
    <x:row r="864" ht="14.25" customHeight="1">
      <x:c r="K864" s="5"/>
      <x:c r="L864" s="5"/>
      <x:c r="M864" s="9"/>
      <x:c r="N864" s="9"/>
      <x:c r="O864" s="9"/>
      <x:c r="P864" s="9"/>
      <x:c r="Q864" s="9"/>
      <x:c r="R864" s="9"/>
      <x:c r="S864" s="9"/>
      <x:c r="T864" s="9"/>
      <x:c r="U864" s="9"/>
      <x:c r="V864" s="9"/>
      <x:c r="W864" s="9"/>
      <x:c r="X864" s="9"/>
      <x:c r="Y864" s="9"/>
      <x:c r="Z864" s="9"/>
    </x:row>
    <x:row r="865" ht="14.25" customHeight="1">
      <x:c r="K865" s="5"/>
      <x:c r="L865" s="5"/>
      <x:c r="M865" s="9"/>
      <x:c r="N865" s="9"/>
      <x:c r="O865" s="9"/>
      <x:c r="P865" s="9"/>
      <x:c r="Q865" s="9"/>
      <x:c r="R865" s="9"/>
      <x:c r="S865" s="9"/>
      <x:c r="T865" s="9"/>
      <x:c r="U865" s="9"/>
      <x:c r="V865" s="9"/>
      <x:c r="W865" s="9"/>
      <x:c r="X865" s="9"/>
      <x:c r="Y865" s="9"/>
      <x:c r="Z865" s="9"/>
    </x:row>
    <x:row r="866" ht="14.25" customHeight="1">
      <x:c r="K866" s="5"/>
      <x:c r="L866" s="5"/>
      <x:c r="M866" s="9"/>
      <x:c r="N866" s="9"/>
      <x:c r="O866" s="9"/>
      <x:c r="P866" s="9"/>
      <x:c r="Q866" s="9"/>
      <x:c r="R866" s="9"/>
      <x:c r="S866" s="9"/>
      <x:c r="T866" s="9"/>
      <x:c r="U866" s="9"/>
      <x:c r="V866" s="9"/>
      <x:c r="W866" s="9"/>
      <x:c r="X866" s="9"/>
      <x:c r="Y866" s="9"/>
      <x:c r="Z866" s="9"/>
    </x:row>
    <x:row r="867" ht="14.25" customHeight="1">
      <x:c r="K867" s="5"/>
      <x:c r="L867" s="5"/>
      <x:c r="M867" s="9"/>
      <x:c r="N867" s="9"/>
      <x:c r="O867" s="9"/>
      <x:c r="P867" s="9"/>
      <x:c r="Q867" s="9"/>
      <x:c r="R867" s="9"/>
      <x:c r="S867" s="9"/>
      <x:c r="T867" s="9"/>
      <x:c r="U867" s="9"/>
      <x:c r="V867" s="9"/>
      <x:c r="W867" s="9"/>
      <x:c r="X867" s="9"/>
      <x:c r="Y867" s="9"/>
      <x:c r="Z867" s="9"/>
    </x:row>
    <x:row r="868" ht="14.25" customHeight="1">
      <x:c r="K868" s="5"/>
      <x:c r="L868" s="5"/>
      <x:c r="M868" s="9"/>
      <x:c r="N868" s="9"/>
      <x:c r="O868" s="9"/>
      <x:c r="P868" s="9"/>
      <x:c r="Q868" s="9"/>
      <x:c r="R868" s="9"/>
      <x:c r="S868" s="9"/>
      <x:c r="T868" s="9"/>
      <x:c r="U868" s="9"/>
      <x:c r="V868" s="9"/>
      <x:c r="W868" s="9"/>
      <x:c r="X868" s="9"/>
      <x:c r="Y868" s="9"/>
      <x:c r="Z868" s="9"/>
    </x:row>
    <x:row r="869" ht="14.25" customHeight="1">
      <x:c r="K869" s="5"/>
      <x:c r="L869" s="5"/>
      <x:c r="M869" s="9"/>
      <x:c r="N869" s="9"/>
      <x:c r="O869" s="9"/>
      <x:c r="P869" s="9"/>
      <x:c r="Q869" s="9"/>
      <x:c r="R869" s="9"/>
      <x:c r="S869" s="9"/>
      <x:c r="T869" s="9"/>
      <x:c r="U869" s="9"/>
      <x:c r="V869" s="9"/>
      <x:c r="W869" s="9"/>
      <x:c r="X869" s="9"/>
      <x:c r="Y869" s="9"/>
      <x:c r="Z869" s="9"/>
    </x:row>
    <x:row r="870" ht="14.25" customHeight="1">
      <x:c r="K870" s="5"/>
      <x:c r="L870" s="5"/>
      <x:c r="M870" s="9"/>
      <x:c r="N870" s="9"/>
      <x:c r="O870" s="9"/>
      <x:c r="P870" s="9"/>
      <x:c r="Q870" s="9"/>
      <x:c r="R870" s="9"/>
      <x:c r="S870" s="9"/>
      <x:c r="T870" s="9"/>
      <x:c r="U870" s="9"/>
      <x:c r="V870" s="9"/>
      <x:c r="W870" s="9"/>
      <x:c r="X870" s="9"/>
      <x:c r="Y870" s="9"/>
      <x:c r="Z870" s="9"/>
    </x:row>
    <x:row r="871" ht="14.25" customHeight="1">
      <x:c r="K871" s="5"/>
      <x:c r="L871" s="5"/>
      <x:c r="M871" s="9"/>
      <x:c r="N871" s="9"/>
      <x:c r="O871" s="9"/>
      <x:c r="P871" s="9"/>
      <x:c r="Q871" s="9"/>
      <x:c r="R871" s="9"/>
      <x:c r="S871" s="9"/>
      <x:c r="T871" s="9"/>
      <x:c r="U871" s="9"/>
      <x:c r="V871" s="9"/>
      <x:c r="W871" s="9"/>
      <x:c r="X871" s="9"/>
      <x:c r="Y871" s="9"/>
      <x:c r="Z871" s="9"/>
    </x:row>
    <x:row r="872" ht="14.25" customHeight="1">
      <x:c r="K872" s="5"/>
      <x:c r="L872" s="5"/>
      <x:c r="M872" s="9"/>
      <x:c r="N872" s="9"/>
      <x:c r="O872" s="9"/>
      <x:c r="P872" s="9"/>
      <x:c r="Q872" s="9"/>
      <x:c r="R872" s="9"/>
      <x:c r="S872" s="9"/>
      <x:c r="T872" s="9"/>
      <x:c r="U872" s="9"/>
      <x:c r="V872" s="9"/>
      <x:c r="W872" s="9"/>
      <x:c r="X872" s="9"/>
      <x:c r="Y872" s="9"/>
      <x:c r="Z872" s="9"/>
    </x:row>
    <x:row r="873" ht="14.25" customHeight="1">
      <x:c r="K873" s="5"/>
      <x:c r="L873" s="5"/>
      <x:c r="M873" s="9"/>
      <x:c r="N873" s="9"/>
      <x:c r="O873" s="9"/>
      <x:c r="P873" s="9"/>
      <x:c r="Q873" s="9"/>
      <x:c r="R873" s="9"/>
      <x:c r="S873" s="9"/>
      <x:c r="T873" s="9"/>
      <x:c r="U873" s="9"/>
      <x:c r="V873" s="9"/>
      <x:c r="W873" s="9"/>
      <x:c r="X873" s="9"/>
      <x:c r="Y873" s="9"/>
      <x:c r="Z873" s="9"/>
    </x:row>
    <x:row r="874" ht="14.25" customHeight="1">
      <x:c r="K874" s="5"/>
      <x:c r="L874" s="5"/>
      <x:c r="M874" s="9"/>
      <x:c r="N874" s="9"/>
      <x:c r="O874" s="9"/>
      <x:c r="P874" s="9"/>
      <x:c r="Q874" s="9"/>
      <x:c r="R874" s="9"/>
      <x:c r="S874" s="9"/>
      <x:c r="T874" s="9"/>
      <x:c r="U874" s="9"/>
      <x:c r="V874" s="9"/>
      <x:c r="W874" s="9"/>
      <x:c r="X874" s="9"/>
      <x:c r="Y874" s="9"/>
      <x:c r="Z874" s="9"/>
    </x:row>
    <x:row r="875" ht="14.25" customHeight="1">
      <x:c r="K875" s="5"/>
      <x:c r="L875" s="5"/>
      <x:c r="M875" s="9"/>
      <x:c r="N875" s="9"/>
      <x:c r="O875" s="9"/>
      <x:c r="P875" s="9"/>
      <x:c r="Q875" s="9"/>
      <x:c r="R875" s="9"/>
      <x:c r="S875" s="9"/>
      <x:c r="T875" s="9"/>
      <x:c r="U875" s="9"/>
      <x:c r="V875" s="9"/>
      <x:c r="W875" s="9"/>
      <x:c r="X875" s="9"/>
      <x:c r="Y875" s="9"/>
      <x:c r="Z875" s="9"/>
    </x:row>
    <x:row r="876" ht="14.25" customHeight="1">
      <x:c r="K876" s="5"/>
      <x:c r="L876" s="5"/>
      <x:c r="M876" s="9"/>
      <x:c r="N876" s="9"/>
      <x:c r="O876" s="9"/>
      <x:c r="P876" s="9"/>
      <x:c r="Q876" s="9"/>
      <x:c r="R876" s="9"/>
      <x:c r="S876" s="9"/>
      <x:c r="T876" s="9"/>
      <x:c r="U876" s="9"/>
      <x:c r="V876" s="9"/>
      <x:c r="W876" s="9"/>
      <x:c r="X876" s="9"/>
      <x:c r="Y876" s="9"/>
      <x:c r="Z876" s="9"/>
    </x:row>
    <x:row r="877" ht="14.25" customHeight="1">
      <x:c r="K877" s="5"/>
      <x:c r="L877" s="5"/>
      <x:c r="M877" s="9"/>
      <x:c r="N877" s="9"/>
      <x:c r="O877" s="9"/>
      <x:c r="P877" s="9"/>
      <x:c r="Q877" s="9"/>
      <x:c r="R877" s="9"/>
      <x:c r="S877" s="9"/>
      <x:c r="T877" s="9"/>
      <x:c r="U877" s="9"/>
      <x:c r="V877" s="9"/>
      <x:c r="W877" s="9"/>
      <x:c r="X877" s="9"/>
      <x:c r="Y877" s="9"/>
      <x:c r="Z877" s="9"/>
    </x:row>
    <x:row r="878" ht="14.25" customHeight="1">
      <x:c r="K878" s="5"/>
      <x:c r="L878" s="5"/>
      <x:c r="M878" s="9"/>
      <x:c r="N878" s="9"/>
      <x:c r="O878" s="9"/>
      <x:c r="P878" s="9"/>
      <x:c r="Q878" s="9"/>
      <x:c r="R878" s="9"/>
      <x:c r="S878" s="9"/>
      <x:c r="T878" s="9"/>
      <x:c r="U878" s="9"/>
      <x:c r="V878" s="9"/>
      <x:c r="W878" s="9"/>
      <x:c r="X878" s="9"/>
      <x:c r="Y878" s="9"/>
      <x:c r="Z878" s="9"/>
    </x:row>
    <x:row r="879" ht="14.25" customHeight="1">
      <x:c r="K879" s="5"/>
      <x:c r="L879" s="5"/>
      <x:c r="M879" s="9"/>
      <x:c r="N879" s="9"/>
      <x:c r="O879" s="9"/>
      <x:c r="P879" s="9"/>
      <x:c r="Q879" s="9"/>
      <x:c r="R879" s="9"/>
      <x:c r="S879" s="9"/>
      <x:c r="T879" s="9"/>
      <x:c r="U879" s="9"/>
      <x:c r="V879" s="9"/>
      <x:c r="W879" s="9"/>
      <x:c r="X879" s="9"/>
      <x:c r="Y879" s="9"/>
      <x:c r="Z879" s="9"/>
    </x:row>
    <x:row r="880" ht="14.25" customHeight="1">
      <x:c r="K880" s="5"/>
      <x:c r="L880" s="5"/>
      <x:c r="M880" s="9"/>
      <x:c r="N880" s="9"/>
      <x:c r="O880" s="9"/>
      <x:c r="P880" s="9"/>
      <x:c r="Q880" s="9"/>
      <x:c r="R880" s="9"/>
      <x:c r="S880" s="9"/>
      <x:c r="T880" s="9"/>
      <x:c r="U880" s="9"/>
      <x:c r="V880" s="9"/>
      <x:c r="W880" s="9"/>
      <x:c r="X880" s="9"/>
      <x:c r="Y880" s="9"/>
      <x:c r="Z880" s="9"/>
    </x:row>
    <x:row r="881" ht="14.25" customHeight="1">
      <x:c r="K881" s="5"/>
      <x:c r="L881" s="5"/>
      <x:c r="M881" s="9"/>
      <x:c r="N881" s="9"/>
      <x:c r="O881" s="9"/>
      <x:c r="P881" s="9"/>
      <x:c r="Q881" s="9"/>
      <x:c r="R881" s="9"/>
      <x:c r="S881" s="9"/>
      <x:c r="T881" s="9"/>
      <x:c r="U881" s="9"/>
      <x:c r="V881" s="9"/>
      <x:c r="W881" s="9"/>
      <x:c r="X881" s="9"/>
      <x:c r="Y881" s="9"/>
      <x:c r="Z881" s="9"/>
    </x:row>
    <x:row r="882" ht="14.25" customHeight="1">
      <x:c r="K882" s="5"/>
      <x:c r="L882" s="5"/>
      <x:c r="M882" s="9"/>
      <x:c r="N882" s="9"/>
      <x:c r="O882" s="9"/>
      <x:c r="P882" s="9"/>
      <x:c r="Q882" s="9"/>
      <x:c r="R882" s="9"/>
      <x:c r="S882" s="9"/>
      <x:c r="T882" s="9"/>
      <x:c r="U882" s="9"/>
      <x:c r="V882" s="9"/>
      <x:c r="W882" s="9"/>
      <x:c r="X882" s="9"/>
      <x:c r="Y882" s="9"/>
      <x:c r="Z882" s="9"/>
    </x:row>
    <x:row r="883" ht="14.25" customHeight="1">
      <x:c r="K883" s="5"/>
      <x:c r="L883" s="5"/>
      <x:c r="M883" s="9"/>
      <x:c r="N883" s="9"/>
      <x:c r="O883" s="9"/>
      <x:c r="P883" s="9"/>
      <x:c r="Q883" s="9"/>
      <x:c r="R883" s="9"/>
      <x:c r="S883" s="9"/>
      <x:c r="T883" s="9"/>
      <x:c r="U883" s="9"/>
      <x:c r="V883" s="9"/>
      <x:c r="W883" s="9"/>
      <x:c r="X883" s="9"/>
      <x:c r="Y883" s="9"/>
      <x:c r="Z883" s="9"/>
    </x:row>
    <x:row r="884" ht="14.25" customHeight="1">
      <x:c r="K884" s="5"/>
      <x:c r="L884" s="5"/>
      <x:c r="M884" s="9"/>
      <x:c r="N884" s="9"/>
      <x:c r="O884" s="9"/>
      <x:c r="P884" s="9"/>
      <x:c r="Q884" s="9"/>
      <x:c r="R884" s="9"/>
      <x:c r="S884" s="9"/>
      <x:c r="T884" s="9"/>
      <x:c r="U884" s="9"/>
      <x:c r="V884" s="9"/>
      <x:c r="W884" s="9"/>
      <x:c r="X884" s="9"/>
      <x:c r="Y884" s="9"/>
      <x:c r="Z884" s="9"/>
    </x:row>
    <x:row r="885" ht="14.25" customHeight="1">
      <x:c r="K885" s="5"/>
      <x:c r="L885" s="5"/>
      <x:c r="M885" s="9"/>
      <x:c r="N885" s="9"/>
      <x:c r="O885" s="9"/>
      <x:c r="P885" s="9"/>
      <x:c r="Q885" s="9"/>
      <x:c r="R885" s="9"/>
      <x:c r="S885" s="9"/>
      <x:c r="T885" s="9"/>
      <x:c r="U885" s="9"/>
      <x:c r="V885" s="9"/>
      <x:c r="W885" s="9"/>
      <x:c r="X885" s="9"/>
      <x:c r="Y885" s="9"/>
      <x:c r="Z885" s="9"/>
    </x:row>
    <x:row r="886" ht="14.25" customHeight="1">
      <x:c r="K886" s="5"/>
      <x:c r="L886" s="5"/>
      <x:c r="M886" s="9"/>
      <x:c r="N886" s="9"/>
      <x:c r="O886" s="9"/>
      <x:c r="P886" s="9"/>
      <x:c r="Q886" s="9"/>
      <x:c r="R886" s="9"/>
      <x:c r="S886" s="9"/>
      <x:c r="T886" s="9"/>
      <x:c r="U886" s="9"/>
      <x:c r="V886" s="9"/>
      <x:c r="W886" s="9"/>
      <x:c r="X886" s="9"/>
      <x:c r="Y886" s="9"/>
      <x:c r="Z886" s="9"/>
    </x:row>
    <x:row r="887" ht="14.25" customHeight="1">
      <x:c r="K887" s="5"/>
      <x:c r="L887" s="5"/>
      <x:c r="M887" s="9"/>
      <x:c r="N887" s="9"/>
      <x:c r="O887" s="9"/>
      <x:c r="P887" s="9"/>
      <x:c r="Q887" s="9"/>
      <x:c r="R887" s="9"/>
      <x:c r="S887" s="9"/>
      <x:c r="T887" s="9"/>
      <x:c r="U887" s="9"/>
      <x:c r="V887" s="9"/>
      <x:c r="W887" s="9"/>
      <x:c r="X887" s="9"/>
      <x:c r="Y887" s="9"/>
      <x:c r="Z887" s="9"/>
    </x:row>
    <x:row r="888" ht="14.25" customHeight="1">
      <x:c r="K888" s="5"/>
      <x:c r="L888" s="5"/>
      <x:c r="M888" s="9"/>
      <x:c r="N888" s="9"/>
      <x:c r="O888" s="9"/>
      <x:c r="P888" s="9"/>
      <x:c r="Q888" s="9"/>
      <x:c r="R888" s="9"/>
      <x:c r="S888" s="9"/>
      <x:c r="T888" s="9"/>
      <x:c r="U888" s="9"/>
      <x:c r="V888" s="9"/>
      <x:c r="W888" s="9"/>
      <x:c r="X888" s="9"/>
      <x:c r="Y888" s="9"/>
      <x:c r="Z888" s="9"/>
    </x:row>
    <x:row r="889" ht="14.25" customHeight="1">
      <x:c r="K889" s="5"/>
      <x:c r="L889" s="5"/>
      <x:c r="M889" s="9"/>
      <x:c r="N889" s="9"/>
      <x:c r="O889" s="9"/>
      <x:c r="P889" s="9"/>
      <x:c r="Q889" s="9"/>
      <x:c r="R889" s="9"/>
      <x:c r="S889" s="9"/>
      <x:c r="T889" s="9"/>
      <x:c r="U889" s="9"/>
      <x:c r="V889" s="9"/>
      <x:c r="W889" s="9"/>
      <x:c r="X889" s="9"/>
      <x:c r="Y889" s="9"/>
      <x:c r="Z889" s="9"/>
    </x:row>
    <x:row r="890" ht="14.25" customHeight="1">
      <x:c r="K890" s="5"/>
      <x:c r="L890" s="5"/>
      <x:c r="M890" s="9"/>
      <x:c r="N890" s="9"/>
      <x:c r="O890" s="9"/>
      <x:c r="P890" s="9"/>
      <x:c r="Q890" s="9"/>
      <x:c r="R890" s="9"/>
      <x:c r="S890" s="9"/>
      <x:c r="T890" s="9"/>
      <x:c r="U890" s="9"/>
      <x:c r="V890" s="9"/>
      <x:c r="W890" s="9"/>
      <x:c r="X890" s="9"/>
      <x:c r="Y890" s="9"/>
      <x:c r="Z890" s="9"/>
    </x:row>
    <x:row r="891" ht="14.25" customHeight="1">
      <x:c r="K891" s="5"/>
      <x:c r="L891" s="5"/>
      <x:c r="M891" s="9"/>
      <x:c r="N891" s="9"/>
      <x:c r="O891" s="9"/>
      <x:c r="P891" s="9"/>
      <x:c r="Q891" s="9"/>
      <x:c r="R891" s="9"/>
      <x:c r="S891" s="9"/>
      <x:c r="T891" s="9"/>
      <x:c r="U891" s="9"/>
      <x:c r="V891" s="9"/>
      <x:c r="W891" s="9"/>
      <x:c r="X891" s="9"/>
      <x:c r="Y891" s="9"/>
      <x:c r="Z891" s="9"/>
    </x:row>
    <x:row r="892" ht="14.25" customHeight="1">
      <x:c r="K892" s="5"/>
      <x:c r="L892" s="5"/>
      <x:c r="M892" s="9"/>
      <x:c r="N892" s="9"/>
      <x:c r="O892" s="9"/>
      <x:c r="P892" s="9"/>
      <x:c r="Q892" s="9"/>
      <x:c r="R892" s="9"/>
      <x:c r="S892" s="9"/>
      <x:c r="T892" s="9"/>
      <x:c r="U892" s="9"/>
      <x:c r="V892" s="9"/>
      <x:c r="W892" s="9"/>
      <x:c r="X892" s="9"/>
      <x:c r="Y892" s="9"/>
      <x:c r="Z892" s="9"/>
    </x:row>
    <x:row r="893" ht="14.25" customHeight="1">
      <x:c r="K893" s="5"/>
      <x:c r="L893" s="5"/>
      <x:c r="M893" s="9"/>
      <x:c r="N893" s="9"/>
      <x:c r="O893" s="9"/>
      <x:c r="P893" s="9"/>
      <x:c r="Q893" s="9"/>
      <x:c r="R893" s="9"/>
      <x:c r="S893" s="9"/>
      <x:c r="T893" s="9"/>
      <x:c r="U893" s="9"/>
      <x:c r="V893" s="9"/>
      <x:c r="W893" s="9"/>
      <x:c r="X893" s="9"/>
      <x:c r="Y893" s="9"/>
      <x:c r="Z893" s="9"/>
    </x:row>
    <x:row r="894" ht="14.25" customHeight="1">
      <x:c r="K894" s="5"/>
      <x:c r="L894" s="5"/>
      <x:c r="M894" s="9"/>
      <x:c r="N894" s="9"/>
      <x:c r="O894" s="9"/>
      <x:c r="P894" s="9"/>
      <x:c r="Q894" s="9"/>
      <x:c r="R894" s="9"/>
      <x:c r="S894" s="9"/>
      <x:c r="T894" s="9"/>
      <x:c r="U894" s="9"/>
      <x:c r="V894" s="9"/>
      <x:c r="W894" s="9"/>
      <x:c r="X894" s="9"/>
      <x:c r="Y894" s="9"/>
      <x:c r="Z894" s="9"/>
    </x:row>
    <x:row r="895" ht="14.25" customHeight="1">
      <x:c r="K895" s="5"/>
      <x:c r="L895" s="5"/>
      <x:c r="M895" s="9"/>
      <x:c r="N895" s="9"/>
      <x:c r="O895" s="9"/>
      <x:c r="P895" s="9"/>
      <x:c r="Q895" s="9"/>
      <x:c r="R895" s="9"/>
      <x:c r="S895" s="9"/>
      <x:c r="T895" s="9"/>
      <x:c r="U895" s="9"/>
      <x:c r="V895" s="9"/>
      <x:c r="W895" s="9"/>
      <x:c r="X895" s="9"/>
      <x:c r="Y895" s="9"/>
      <x:c r="Z895" s="9"/>
    </x:row>
    <x:row r="896" ht="14.25" customHeight="1">
      <x:c r="K896" s="5"/>
      <x:c r="L896" s="5"/>
      <x:c r="M896" s="9"/>
      <x:c r="N896" s="9"/>
      <x:c r="O896" s="9"/>
      <x:c r="P896" s="9"/>
      <x:c r="Q896" s="9"/>
      <x:c r="R896" s="9"/>
      <x:c r="S896" s="9"/>
      <x:c r="T896" s="9"/>
      <x:c r="U896" s="9"/>
      <x:c r="V896" s="9"/>
      <x:c r="W896" s="9"/>
      <x:c r="X896" s="9"/>
      <x:c r="Y896" s="9"/>
      <x:c r="Z896" s="9"/>
    </x:row>
    <x:row r="897" ht="14.25" customHeight="1">
      <x:c r="K897" s="5"/>
      <x:c r="L897" s="5"/>
      <x:c r="M897" s="9"/>
      <x:c r="N897" s="9"/>
      <x:c r="O897" s="9"/>
      <x:c r="P897" s="9"/>
      <x:c r="Q897" s="9"/>
      <x:c r="R897" s="9"/>
      <x:c r="S897" s="9"/>
      <x:c r="T897" s="9"/>
      <x:c r="U897" s="9"/>
      <x:c r="V897" s="9"/>
      <x:c r="W897" s="9"/>
      <x:c r="X897" s="9"/>
      <x:c r="Y897" s="9"/>
      <x:c r="Z897" s="9"/>
    </x:row>
    <x:row r="898" ht="14.25" customHeight="1">
      <x:c r="K898" s="5"/>
      <x:c r="L898" s="5"/>
      <x:c r="M898" s="9"/>
      <x:c r="N898" s="9"/>
      <x:c r="O898" s="9"/>
      <x:c r="P898" s="9"/>
      <x:c r="Q898" s="9"/>
      <x:c r="R898" s="9"/>
      <x:c r="S898" s="9"/>
      <x:c r="T898" s="9"/>
      <x:c r="U898" s="9"/>
      <x:c r="V898" s="9"/>
      <x:c r="W898" s="9"/>
      <x:c r="X898" s="9"/>
      <x:c r="Y898" s="9"/>
      <x:c r="Z898" s="9"/>
    </x:row>
    <x:row r="899" ht="14.25" customHeight="1">
      <x:c r="K899" s="5"/>
      <x:c r="L899" s="5"/>
      <x:c r="M899" s="9"/>
      <x:c r="N899" s="9"/>
      <x:c r="O899" s="9"/>
      <x:c r="P899" s="9"/>
      <x:c r="Q899" s="9"/>
      <x:c r="R899" s="9"/>
      <x:c r="S899" s="9"/>
      <x:c r="T899" s="9"/>
      <x:c r="U899" s="9"/>
      <x:c r="V899" s="9"/>
      <x:c r="W899" s="9"/>
      <x:c r="X899" s="9"/>
      <x:c r="Y899" s="9"/>
      <x:c r="Z899" s="9"/>
    </x:row>
    <x:row r="900" ht="14.25" customHeight="1">
      <x:c r="K900" s="5"/>
      <x:c r="L900" s="5"/>
      <x:c r="M900" s="9"/>
      <x:c r="N900" s="9"/>
      <x:c r="O900" s="9"/>
      <x:c r="P900" s="9"/>
      <x:c r="Q900" s="9"/>
      <x:c r="R900" s="9"/>
      <x:c r="S900" s="9"/>
      <x:c r="T900" s="9"/>
      <x:c r="U900" s="9"/>
      <x:c r="V900" s="9"/>
      <x:c r="W900" s="9"/>
      <x:c r="X900" s="9"/>
      <x:c r="Y900" s="9"/>
      <x:c r="Z900" s="9"/>
    </x:row>
    <x:row r="901" ht="14.25" customHeight="1">
      <x:c r="K901" s="5"/>
      <x:c r="L901" s="5"/>
      <x:c r="M901" s="9"/>
      <x:c r="N901" s="9"/>
      <x:c r="O901" s="9"/>
      <x:c r="P901" s="9"/>
      <x:c r="Q901" s="9"/>
      <x:c r="R901" s="9"/>
      <x:c r="S901" s="9"/>
      <x:c r="T901" s="9"/>
      <x:c r="U901" s="9"/>
      <x:c r="V901" s="9"/>
      <x:c r="W901" s="9"/>
      <x:c r="X901" s="9"/>
      <x:c r="Y901" s="9"/>
      <x:c r="Z901" s="9"/>
    </x:row>
    <x:row r="902" ht="14.25" customHeight="1">
      <x:c r="K902" s="5"/>
      <x:c r="L902" s="5"/>
      <x:c r="M902" s="9"/>
      <x:c r="N902" s="9"/>
      <x:c r="O902" s="9"/>
      <x:c r="P902" s="9"/>
      <x:c r="Q902" s="9"/>
      <x:c r="R902" s="9"/>
      <x:c r="S902" s="9"/>
      <x:c r="T902" s="9"/>
      <x:c r="U902" s="9"/>
      <x:c r="V902" s="9"/>
      <x:c r="W902" s="9"/>
      <x:c r="X902" s="9"/>
      <x:c r="Y902" s="9"/>
      <x:c r="Z902" s="9"/>
    </x:row>
    <x:row r="903" ht="14.25" customHeight="1">
      <x:c r="K903" s="5"/>
      <x:c r="L903" s="5"/>
      <x:c r="M903" s="9"/>
      <x:c r="N903" s="9"/>
      <x:c r="O903" s="9"/>
      <x:c r="P903" s="9"/>
      <x:c r="Q903" s="9"/>
      <x:c r="R903" s="9"/>
      <x:c r="S903" s="9"/>
      <x:c r="T903" s="9"/>
      <x:c r="U903" s="9"/>
      <x:c r="V903" s="9"/>
      <x:c r="W903" s="9"/>
      <x:c r="X903" s="9"/>
      <x:c r="Y903" s="9"/>
      <x:c r="Z903" s="9"/>
    </x:row>
    <x:row r="904" ht="14.25" customHeight="1">
      <x:c r="K904" s="5"/>
      <x:c r="L904" s="5"/>
      <x:c r="M904" s="9"/>
      <x:c r="N904" s="9"/>
      <x:c r="O904" s="9"/>
      <x:c r="P904" s="9"/>
      <x:c r="Q904" s="9"/>
      <x:c r="R904" s="9"/>
      <x:c r="S904" s="9"/>
      <x:c r="T904" s="9"/>
      <x:c r="U904" s="9"/>
      <x:c r="V904" s="9"/>
      <x:c r="W904" s="9"/>
      <x:c r="X904" s="9"/>
      <x:c r="Y904" s="9"/>
      <x:c r="Z904" s="9"/>
    </x:row>
    <x:row r="905" ht="14.25" customHeight="1">
      <x:c r="K905" s="5"/>
      <x:c r="L905" s="5"/>
      <x:c r="M905" s="9"/>
      <x:c r="N905" s="9"/>
      <x:c r="O905" s="9"/>
      <x:c r="P905" s="9"/>
      <x:c r="Q905" s="9"/>
      <x:c r="R905" s="9"/>
      <x:c r="S905" s="9"/>
      <x:c r="T905" s="9"/>
      <x:c r="U905" s="9"/>
      <x:c r="V905" s="9"/>
      <x:c r="W905" s="9"/>
      <x:c r="X905" s="9"/>
      <x:c r="Y905" s="9"/>
      <x:c r="Z905" s="9"/>
    </x:row>
    <x:row r="906" ht="14.25" customHeight="1">
      <x:c r="K906" s="5"/>
      <x:c r="L906" s="5"/>
      <x:c r="M906" s="9"/>
      <x:c r="N906" s="9"/>
      <x:c r="O906" s="9"/>
      <x:c r="P906" s="9"/>
      <x:c r="Q906" s="9"/>
      <x:c r="R906" s="9"/>
      <x:c r="S906" s="9"/>
      <x:c r="T906" s="9"/>
      <x:c r="U906" s="9"/>
      <x:c r="V906" s="9"/>
      <x:c r="W906" s="9"/>
      <x:c r="X906" s="9"/>
      <x:c r="Y906" s="9"/>
      <x:c r="Z906" s="9"/>
    </x:row>
    <x:row r="907" ht="14.25" customHeight="1">
      <x:c r="K907" s="5"/>
      <x:c r="L907" s="5"/>
      <x:c r="M907" s="9"/>
      <x:c r="N907" s="9"/>
      <x:c r="O907" s="9"/>
      <x:c r="P907" s="9"/>
      <x:c r="Q907" s="9"/>
      <x:c r="R907" s="9"/>
      <x:c r="S907" s="9"/>
      <x:c r="T907" s="9"/>
      <x:c r="U907" s="9"/>
      <x:c r="V907" s="9"/>
      <x:c r="W907" s="9"/>
      <x:c r="X907" s="9"/>
      <x:c r="Y907" s="9"/>
      <x:c r="Z907" s="9"/>
    </x:row>
    <x:row r="908" ht="14.25" customHeight="1">
      <x:c r="K908" s="5"/>
      <x:c r="L908" s="5"/>
      <x:c r="M908" s="9"/>
      <x:c r="N908" s="9"/>
      <x:c r="O908" s="9"/>
      <x:c r="P908" s="9"/>
      <x:c r="Q908" s="9"/>
      <x:c r="R908" s="9"/>
      <x:c r="S908" s="9"/>
      <x:c r="T908" s="9"/>
      <x:c r="U908" s="9"/>
      <x:c r="V908" s="9"/>
      <x:c r="W908" s="9"/>
      <x:c r="X908" s="9"/>
      <x:c r="Y908" s="9"/>
      <x:c r="Z908" s="9"/>
    </x:row>
    <x:row r="909" ht="14.25" customHeight="1">
      <x:c r="K909" s="5"/>
      <x:c r="L909" s="5"/>
      <x:c r="M909" s="9"/>
      <x:c r="N909" s="9"/>
      <x:c r="O909" s="9"/>
      <x:c r="P909" s="9"/>
      <x:c r="Q909" s="9"/>
      <x:c r="R909" s="9"/>
      <x:c r="S909" s="9"/>
      <x:c r="T909" s="9"/>
      <x:c r="U909" s="9"/>
      <x:c r="V909" s="9"/>
      <x:c r="W909" s="9"/>
      <x:c r="X909" s="9"/>
      <x:c r="Y909" s="9"/>
      <x:c r="Z909" s="9"/>
    </x:row>
    <x:row r="910" ht="14.25" customHeight="1">
      <x:c r="K910" s="5"/>
      <x:c r="L910" s="5"/>
      <x:c r="M910" s="9"/>
      <x:c r="N910" s="9"/>
      <x:c r="O910" s="9"/>
      <x:c r="P910" s="9"/>
      <x:c r="Q910" s="9"/>
      <x:c r="R910" s="9"/>
      <x:c r="S910" s="9"/>
      <x:c r="T910" s="9"/>
      <x:c r="U910" s="9"/>
      <x:c r="V910" s="9"/>
      <x:c r="W910" s="9"/>
      <x:c r="X910" s="9"/>
      <x:c r="Y910" s="9"/>
      <x:c r="Z910" s="9"/>
    </x:row>
    <x:row r="911" ht="14.25" customHeight="1">
      <x:c r="K911" s="5"/>
      <x:c r="L911" s="5"/>
      <x:c r="M911" s="9"/>
      <x:c r="N911" s="9"/>
      <x:c r="O911" s="9"/>
      <x:c r="P911" s="9"/>
      <x:c r="Q911" s="9"/>
      <x:c r="R911" s="9"/>
      <x:c r="S911" s="9"/>
      <x:c r="T911" s="9"/>
      <x:c r="U911" s="9"/>
      <x:c r="V911" s="9"/>
      <x:c r="W911" s="9"/>
      <x:c r="X911" s="9"/>
      <x:c r="Y911" s="9"/>
      <x:c r="Z911" s="9"/>
    </x:row>
    <x:row r="912" ht="14.25" customHeight="1">
      <x:c r="K912" s="5"/>
      <x:c r="L912" s="5"/>
      <x:c r="M912" s="9"/>
      <x:c r="N912" s="9"/>
      <x:c r="O912" s="9"/>
      <x:c r="P912" s="9"/>
      <x:c r="Q912" s="9"/>
      <x:c r="R912" s="9"/>
      <x:c r="S912" s="9"/>
      <x:c r="T912" s="9"/>
      <x:c r="U912" s="9"/>
      <x:c r="V912" s="9"/>
      <x:c r="W912" s="9"/>
      <x:c r="X912" s="9"/>
      <x:c r="Y912" s="9"/>
      <x:c r="Z912" s="9"/>
    </x:row>
    <x:row r="913" ht="14.25" customHeight="1">
      <x:c r="K913" s="5"/>
      <x:c r="L913" s="5"/>
      <x:c r="M913" s="9"/>
      <x:c r="N913" s="9"/>
      <x:c r="O913" s="9"/>
      <x:c r="P913" s="9"/>
      <x:c r="Q913" s="9"/>
      <x:c r="R913" s="9"/>
      <x:c r="S913" s="9"/>
      <x:c r="T913" s="9"/>
      <x:c r="U913" s="9"/>
      <x:c r="V913" s="9"/>
      <x:c r="W913" s="9"/>
      <x:c r="X913" s="9"/>
      <x:c r="Y913" s="9"/>
      <x:c r="Z913" s="9"/>
    </x:row>
    <x:row r="914" ht="14.25" customHeight="1">
      <x:c r="K914" s="5"/>
      <x:c r="L914" s="5"/>
      <x:c r="M914" s="9"/>
      <x:c r="N914" s="9"/>
      <x:c r="O914" s="9"/>
      <x:c r="P914" s="9"/>
      <x:c r="Q914" s="9"/>
      <x:c r="R914" s="9"/>
      <x:c r="S914" s="9"/>
      <x:c r="T914" s="9"/>
      <x:c r="U914" s="9"/>
      <x:c r="V914" s="9"/>
      <x:c r="W914" s="9"/>
      <x:c r="X914" s="9"/>
      <x:c r="Y914" s="9"/>
      <x:c r="Z914" s="9"/>
    </x:row>
    <x:row r="915" ht="14.25" customHeight="1">
      <x:c r="K915" s="5"/>
      <x:c r="L915" s="5"/>
      <x:c r="M915" s="9"/>
      <x:c r="N915" s="9"/>
      <x:c r="O915" s="9"/>
      <x:c r="P915" s="9"/>
      <x:c r="Q915" s="9"/>
      <x:c r="R915" s="9"/>
      <x:c r="S915" s="9"/>
      <x:c r="T915" s="9"/>
      <x:c r="U915" s="9"/>
      <x:c r="V915" s="9"/>
      <x:c r="W915" s="9"/>
      <x:c r="X915" s="9"/>
      <x:c r="Y915" s="9"/>
      <x:c r="Z915" s="9"/>
    </x:row>
    <x:row r="916" ht="14.25" customHeight="1">
      <x:c r="K916" s="5"/>
      <x:c r="L916" s="5"/>
      <x:c r="M916" s="9"/>
      <x:c r="N916" s="9"/>
      <x:c r="O916" s="9"/>
      <x:c r="P916" s="9"/>
      <x:c r="Q916" s="9"/>
      <x:c r="R916" s="9"/>
      <x:c r="S916" s="9"/>
      <x:c r="T916" s="9"/>
      <x:c r="U916" s="9"/>
      <x:c r="V916" s="9"/>
      <x:c r="W916" s="9"/>
      <x:c r="X916" s="9"/>
      <x:c r="Y916" s="9"/>
      <x:c r="Z916" s="9"/>
    </x:row>
    <x:row r="917" ht="14.25" customHeight="1">
      <x:c r="K917" s="5"/>
      <x:c r="L917" s="5"/>
      <x:c r="M917" s="9"/>
      <x:c r="N917" s="9"/>
      <x:c r="O917" s="9"/>
      <x:c r="P917" s="9"/>
      <x:c r="Q917" s="9"/>
      <x:c r="R917" s="9"/>
      <x:c r="S917" s="9"/>
      <x:c r="T917" s="9"/>
      <x:c r="U917" s="9"/>
      <x:c r="V917" s="9"/>
      <x:c r="W917" s="9"/>
      <x:c r="X917" s="9"/>
      <x:c r="Y917" s="9"/>
      <x:c r="Z917" s="9"/>
    </x:row>
    <x:row r="918" ht="14.25" customHeight="1">
      <x:c r="K918" s="5"/>
      <x:c r="L918" s="5"/>
      <x:c r="M918" s="9"/>
      <x:c r="N918" s="9"/>
      <x:c r="O918" s="9"/>
      <x:c r="P918" s="9"/>
      <x:c r="Q918" s="9"/>
      <x:c r="R918" s="9"/>
      <x:c r="S918" s="9"/>
      <x:c r="T918" s="9"/>
      <x:c r="U918" s="9"/>
      <x:c r="V918" s="9"/>
      <x:c r="W918" s="9"/>
      <x:c r="X918" s="9"/>
      <x:c r="Y918" s="9"/>
      <x:c r="Z918" s="9"/>
    </x:row>
    <x:row r="919" ht="14.25" customHeight="1">
      <x:c r="K919" s="5"/>
      <x:c r="L919" s="5"/>
      <x:c r="M919" s="9"/>
      <x:c r="N919" s="9"/>
      <x:c r="O919" s="9"/>
      <x:c r="P919" s="9"/>
      <x:c r="Q919" s="9"/>
      <x:c r="R919" s="9"/>
      <x:c r="S919" s="9"/>
      <x:c r="T919" s="9"/>
      <x:c r="U919" s="9"/>
      <x:c r="V919" s="9"/>
      <x:c r="W919" s="9"/>
      <x:c r="X919" s="9"/>
      <x:c r="Y919" s="9"/>
      <x:c r="Z919" s="9"/>
    </x:row>
    <x:row r="920" ht="14.25" customHeight="1">
      <x:c r="K920" s="5"/>
      <x:c r="L920" s="5"/>
      <x:c r="M920" s="9"/>
      <x:c r="N920" s="9"/>
      <x:c r="O920" s="9"/>
      <x:c r="P920" s="9"/>
      <x:c r="Q920" s="9"/>
      <x:c r="R920" s="9"/>
      <x:c r="S920" s="9"/>
      <x:c r="T920" s="9"/>
      <x:c r="U920" s="9"/>
      <x:c r="V920" s="9"/>
      <x:c r="W920" s="9"/>
      <x:c r="X920" s="9"/>
      <x:c r="Y920" s="9"/>
      <x:c r="Z920" s="9"/>
    </x:row>
    <x:row r="921" ht="14.25" customHeight="1">
      <x:c r="K921" s="5"/>
      <x:c r="L921" s="5"/>
      <x:c r="M921" s="9"/>
      <x:c r="N921" s="9"/>
      <x:c r="O921" s="9"/>
      <x:c r="P921" s="9"/>
      <x:c r="Q921" s="9"/>
      <x:c r="R921" s="9"/>
      <x:c r="S921" s="9"/>
      <x:c r="T921" s="9"/>
      <x:c r="U921" s="9"/>
      <x:c r="V921" s="9"/>
      <x:c r="W921" s="9"/>
      <x:c r="X921" s="9"/>
      <x:c r="Y921" s="9"/>
      <x:c r="Z921" s="9"/>
    </x:row>
    <x:row r="922" ht="14.25" customHeight="1">
      <x:c r="K922" s="5"/>
      <x:c r="L922" s="5"/>
      <x:c r="M922" s="9"/>
      <x:c r="N922" s="9"/>
      <x:c r="O922" s="9"/>
      <x:c r="P922" s="9"/>
      <x:c r="Q922" s="9"/>
      <x:c r="R922" s="9"/>
      <x:c r="S922" s="9"/>
      <x:c r="T922" s="9"/>
      <x:c r="U922" s="9"/>
      <x:c r="V922" s="9"/>
      <x:c r="W922" s="9"/>
      <x:c r="X922" s="9"/>
      <x:c r="Y922" s="9"/>
      <x:c r="Z922" s="9"/>
    </x:row>
    <x:row r="923" ht="14.25" customHeight="1">
      <x:c r="K923" s="5"/>
      <x:c r="L923" s="5"/>
      <x:c r="M923" s="9"/>
      <x:c r="N923" s="9"/>
      <x:c r="O923" s="9"/>
      <x:c r="P923" s="9"/>
      <x:c r="Q923" s="9"/>
      <x:c r="R923" s="9"/>
      <x:c r="S923" s="9"/>
      <x:c r="T923" s="9"/>
      <x:c r="U923" s="9"/>
      <x:c r="V923" s="9"/>
      <x:c r="W923" s="9"/>
      <x:c r="X923" s="9"/>
      <x:c r="Y923" s="9"/>
      <x:c r="Z923" s="9"/>
    </x:row>
    <x:row r="924" ht="14.25" customHeight="1">
      <x:c r="K924" s="5"/>
      <x:c r="L924" s="5"/>
      <x:c r="M924" s="9"/>
      <x:c r="N924" s="9"/>
      <x:c r="O924" s="9"/>
      <x:c r="P924" s="9"/>
      <x:c r="Q924" s="9"/>
      <x:c r="R924" s="9"/>
      <x:c r="S924" s="9"/>
      <x:c r="T924" s="9"/>
      <x:c r="U924" s="9"/>
      <x:c r="V924" s="9"/>
      <x:c r="W924" s="9"/>
      <x:c r="X924" s="9"/>
      <x:c r="Y924" s="9"/>
      <x:c r="Z924" s="9"/>
    </x:row>
    <x:row r="925" ht="14.25" customHeight="1">
      <x:c r="K925" s="5"/>
      <x:c r="L925" s="5"/>
      <x:c r="M925" s="9"/>
      <x:c r="N925" s="9"/>
      <x:c r="O925" s="9"/>
      <x:c r="P925" s="9"/>
      <x:c r="Q925" s="9"/>
      <x:c r="R925" s="9"/>
      <x:c r="S925" s="9"/>
      <x:c r="T925" s="9"/>
      <x:c r="U925" s="9"/>
      <x:c r="V925" s="9"/>
      <x:c r="W925" s="9"/>
      <x:c r="X925" s="9"/>
      <x:c r="Y925" s="9"/>
      <x:c r="Z925" s="9"/>
    </x:row>
    <x:row r="926" ht="14.25" customHeight="1">
      <x:c r="K926" s="5"/>
      <x:c r="L926" s="5"/>
      <x:c r="M926" s="9"/>
      <x:c r="N926" s="9"/>
      <x:c r="O926" s="9"/>
      <x:c r="P926" s="9"/>
      <x:c r="Q926" s="9"/>
      <x:c r="R926" s="9"/>
      <x:c r="S926" s="9"/>
      <x:c r="T926" s="9"/>
      <x:c r="U926" s="9"/>
      <x:c r="V926" s="9"/>
      <x:c r="W926" s="9"/>
      <x:c r="X926" s="9"/>
      <x:c r="Y926" s="9"/>
      <x:c r="Z926" s="9"/>
    </x:row>
    <x:row r="927" ht="14.25" customHeight="1">
      <x:c r="K927" s="5"/>
      <x:c r="L927" s="5"/>
      <x:c r="M927" s="9"/>
      <x:c r="N927" s="9"/>
      <x:c r="O927" s="9"/>
      <x:c r="P927" s="9"/>
      <x:c r="Q927" s="9"/>
      <x:c r="R927" s="9"/>
      <x:c r="S927" s="9"/>
      <x:c r="T927" s="9"/>
      <x:c r="U927" s="9"/>
      <x:c r="V927" s="9"/>
      <x:c r="W927" s="9"/>
      <x:c r="X927" s="9"/>
      <x:c r="Y927" s="9"/>
      <x:c r="Z927" s="9"/>
    </x:row>
    <x:row r="928" ht="14.25" customHeight="1">
      <x:c r="K928" s="5"/>
      <x:c r="L928" s="5"/>
      <x:c r="M928" s="9"/>
      <x:c r="N928" s="9"/>
      <x:c r="O928" s="9"/>
      <x:c r="P928" s="9"/>
      <x:c r="Q928" s="9"/>
      <x:c r="R928" s="9"/>
      <x:c r="S928" s="9"/>
      <x:c r="T928" s="9"/>
      <x:c r="U928" s="9"/>
      <x:c r="V928" s="9"/>
      <x:c r="W928" s="9"/>
      <x:c r="X928" s="9"/>
      <x:c r="Y928" s="9"/>
      <x:c r="Z928" s="9"/>
    </x:row>
    <x:row r="929" ht="14.25" customHeight="1">
      <x:c r="K929" s="5"/>
      <x:c r="L929" s="5"/>
      <x:c r="M929" s="9"/>
      <x:c r="N929" s="9"/>
      <x:c r="O929" s="9"/>
      <x:c r="P929" s="9"/>
      <x:c r="Q929" s="9"/>
      <x:c r="R929" s="9"/>
      <x:c r="S929" s="9"/>
      <x:c r="T929" s="9"/>
      <x:c r="U929" s="9"/>
      <x:c r="V929" s="9"/>
      <x:c r="W929" s="9"/>
      <x:c r="X929" s="9"/>
      <x:c r="Y929" s="9"/>
      <x:c r="Z929" s="9"/>
    </x:row>
    <x:row r="930" ht="14.25" customHeight="1">
      <x:c r="K930" s="5"/>
      <x:c r="L930" s="5"/>
      <x:c r="M930" s="9"/>
      <x:c r="N930" s="9"/>
      <x:c r="O930" s="9"/>
      <x:c r="P930" s="9"/>
      <x:c r="Q930" s="9"/>
      <x:c r="R930" s="9"/>
      <x:c r="S930" s="9"/>
      <x:c r="T930" s="9"/>
      <x:c r="U930" s="9"/>
      <x:c r="V930" s="9"/>
      <x:c r="W930" s="9"/>
      <x:c r="X930" s="9"/>
      <x:c r="Y930" s="9"/>
      <x:c r="Z930" s="9"/>
    </x:row>
    <x:row r="931" ht="14.25" customHeight="1">
      <x:c r="K931" s="5"/>
      <x:c r="L931" s="5"/>
      <x:c r="M931" s="9"/>
      <x:c r="N931" s="9"/>
      <x:c r="O931" s="9"/>
      <x:c r="P931" s="9"/>
      <x:c r="Q931" s="9"/>
      <x:c r="R931" s="9"/>
      <x:c r="S931" s="9"/>
      <x:c r="T931" s="9"/>
      <x:c r="U931" s="9"/>
      <x:c r="V931" s="9"/>
      <x:c r="W931" s="9"/>
      <x:c r="X931" s="9"/>
      <x:c r="Y931" s="9"/>
      <x:c r="Z931" s="9"/>
    </x:row>
    <x:row r="932" ht="14.25" customHeight="1">
      <x:c r="K932" s="5"/>
      <x:c r="L932" s="5"/>
      <x:c r="M932" s="9"/>
      <x:c r="N932" s="9"/>
      <x:c r="O932" s="9"/>
      <x:c r="P932" s="9"/>
      <x:c r="Q932" s="9"/>
      <x:c r="R932" s="9"/>
      <x:c r="S932" s="9"/>
      <x:c r="T932" s="9"/>
      <x:c r="U932" s="9"/>
      <x:c r="V932" s="9"/>
      <x:c r="W932" s="9"/>
      <x:c r="X932" s="9"/>
      <x:c r="Y932" s="9"/>
      <x:c r="Z932" s="9"/>
    </x:row>
    <x:row r="933" ht="14.25" customHeight="1">
      <x:c r="K933" s="5"/>
      <x:c r="L933" s="5"/>
      <x:c r="M933" s="9"/>
      <x:c r="N933" s="9"/>
      <x:c r="O933" s="9"/>
      <x:c r="P933" s="9"/>
      <x:c r="Q933" s="9"/>
      <x:c r="R933" s="9"/>
      <x:c r="S933" s="9"/>
      <x:c r="T933" s="9"/>
      <x:c r="U933" s="9"/>
      <x:c r="V933" s="9"/>
      <x:c r="W933" s="9"/>
      <x:c r="X933" s="9"/>
      <x:c r="Y933" s="9"/>
      <x:c r="Z933" s="9"/>
    </x:row>
    <x:row r="934" ht="14.25" customHeight="1">
      <x:c r="K934" s="5"/>
      <x:c r="L934" s="5"/>
      <x:c r="M934" s="9"/>
      <x:c r="N934" s="9"/>
      <x:c r="O934" s="9"/>
      <x:c r="P934" s="9"/>
      <x:c r="Q934" s="9"/>
      <x:c r="R934" s="9"/>
      <x:c r="S934" s="9"/>
      <x:c r="T934" s="9"/>
      <x:c r="U934" s="9"/>
      <x:c r="V934" s="9"/>
      <x:c r="W934" s="9"/>
      <x:c r="X934" s="9"/>
      <x:c r="Y934" s="9"/>
      <x:c r="Z934" s="9"/>
    </x:row>
    <x:row r="935" ht="14.25" customHeight="1">
      <x:c r="K935" s="5"/>
      <x:c r="L935" s="5"/>
      <x:c r="M935" s="9"/>
      <x:c r="N935" s="9"/>
      <x:c r="O935" s="9"/>
      <x:c r="P935" s="9"/>
      <x:c r="Q935" s="9"/>
      <x:c r="R935" s="9"/>
      <x:c r="S935" s="9"/>
      <x:c r="T935" s="9"/>
      <x:c r="U935" s="9"/>
      <x:c r="V935" s="9"/>
      <x:c r="W935" s="9"/>
      <x:c r="X935" s="9"/>
      <x:c r="Y935" s="9"/>
      <x:c r="Z935" s="9"/>
    </x:row>
    <x:row r="936" ht="14.25" customHeight="1">
      <x:c r="K936" s="5"/>
      <x:c r="L936" s="5"/>
      <x:c r="M936" s="9"/>
      <x:c r="N936" s="9"/>
      <x:c r="O936" s="9"/>
      <x:c r="P936" s="9"/>
      <x:c r="Q936" s="9"/>
      <x:c r="R936" s="9"/>
      <x:c r="S936" s="9"/>
      <x:c r="T936" s="9"/>
      <x:c r="U936" s="9"/>
      <x:c r="V936" s="9"/>
      <x:c r="W936" s="9"/>
      <x:c r="X936" s="9"/>
      <x:c r="Y936" s="9"/>
      <x:c r="Z936" s="9"/>
    </x:row>
    <x:row r="937" ht="14.25" customHeight="1">
      <x:c r="K937" s="5"/>
      <x:c r="L937" s="5"/>
      <x:c r="M937" s="9"/>
      <x:c r="N937" s="9"/>
      <x:c r="O937" s="9"/>
      <x:c r="P937" s="9"/>
      <x:c r="Q937" s="9"/>
      <x:c r="R937" s="9"/>
      <x:c r="S937" s="9"/>
      <x:c r="T937" s="9"/>
      <x:c r="U937" s="9"/>
      <x:c r="V937" s="9"/>
      <x:c r="W937" s="9"/>
      <x:c r="X937" s="9"/>
      <x:c r="Y937" s="9"/>
      <x:c r="Z937" s="9"/>
    </x:row>
    <x:row r="938" ht="14.25" customHeight="1">
      <x:c r="K938" s="5"/>
      <x:c r="L938" s="5"/>
      <x:c r="M938" s="9"/>
      <x:c r="N938" s="9"/>
      <x:c r="O938" s="9"/>
      <x:c r="P938" s="9"/>
      <x:c r="Q938" s="9"/>
      <x:c r="R938" s="9"/>
      <x:c r="S938" s="9"/>
      <x:c r="T938" s="9"/>
      <x:c r="U938" s="9"/>
      <x:c r="V938" s="9"/>
      <x:c r="W938" s="9"/>
      <x:c r="X938" s="9"/>
      <x:c r="Y938" s="9"/>
      <x:c r="Z938" s="9"/>
    </x:row>
    <x:row r="939" ht="14.25" customHeight="1">
      <x:c r="K939" s="5"/>
      <x:c r="L939" s="5"/>
      <x:c r="M939" s="9"/>
      <x:c r="N939" s="9"/>
      <x:c r="O939" s="9"/>
      <x:c r="P939" s="9"/>
      <x:c r="Q939" s="9"/>
      <x:c r="R939" s="9"/>
      <x:c r="S939" s="9"/>
      <x:c r="T939" s="9"/>
      <x:c r="U939" s="9"/>
      <x:c r="V939" s="9"/>
      <x:c r="W939" s="9"/>
      <x:c r="X939" s="9"/>
      <x:c r="Y939" s="9"/>
      <x:c r="Z939" s="9"/>
    </x:row>
    <x:row r="940" ht="14.25" customHeight="1">
      <x:c r="K940" s="5"/>
      <x:c r="L940" s="5"/>
      <x:c r="M940" s="9"/>
      <x:c r="N940" s="9"/>
      <x:c r="O940" s="9"/>
      <x:c r="P940" s="9"/>
      <x:c r="Q940" s="9"/>
      <x:c r="R940" s="9"/>
      <x:c r="S940" s="9"/>
      <x:c r="T940" s="9"/>
      <x:c r="U940" s="9"/>
      <x:c r="V940" s="9"/>
      <x:c r="W940" s="9"/>
      <x:c r="X940" s="9"/>
      <x:c r="Y940" s="9"/>
      <x:c r="Z940" s="9"/>
    </x:row>
    <x:row r="941" ht="14.25" customHeight="1">
      <x:c r="K941" s="5"/>
      <x:c r="L941" s="5"/>
      <x:c r="M941" s="9"/>
      <x:c r="N941" s="9"/>
      <x:c r="O941" s="9"/>
      <x:c r="P941" s="9"/>
      <x:c r="Q941" s="9"/>
      <x:c r="R941" s="9"/>
      <x:c r="S941" s="9"/>
      <x:c r="T941" s="9"/>
      <x:c r="U941" s="9"/>
      <x:c r="V941" s="9"/>
      <x:c r="W941" s="9"/>
      <x:c r="X941" s="9"/>
      <x:c r="Y941" s="9"/>
      <x:c r="Z941" s="9"/>
    </x:row>
    <x:row r="942" ht="14.25" customHeight="1">
      <x:c r="K942" s="5"/>
      <x:c r="L942" s="5"/>
      <x:c r="M942" s="9"/>
      <x:c r="N942" s="9"/>
      <x:c r="O942" s="9"/>
      <x:c r="P942" s="9"/>
      <x:c r="Q942" s="9"/>
      <x:c r="R942" s="9"/>
      <x:c r="S942" s="9"/>
      <x:c r="T942" s="9"/>
      <x:c r="U942" s="9"/>
      <x:c r="V942" s="9"/>
      <x:c r="W942" s="9"/>
      <x:c r="X942" s="9"/>
      <x:c r="Y942" s="9"/>
      <x:c r="Z942" s="9"/>
    </x:row>
    <x:row r="943" ht="14.25" customHeight="1">
      <x:c r="K943" s="5"/>
      <x:c r="L943" s="5"/>
      <x:c r="M943" s="9"/>
      <x:c r="N943" s="9"/>
      <x:c r="O943" s="9"/>
      <x:c r="P943" s="9"/>
      <x:c r="Q943" s="9"/>
      <x:c r="R943" s="9"/>
      <x:c r="S943" s="9"/>
      <x:c r="T943" s="9"/>
      <x:c r="U943" s="9"/>
      <x:c r="V943" s="9"/>
      <x:c r="W943" s="9"/>
      <x:c r="X943" s="9"/>
      <x:c r="Y943" s="9"/>
      <x:c r="Z943" s="9"/>
    </x:row>
    <x:row r="944" ht="14.25" customHeight="1">
      <x:c r="K944" s="5"/>
      <x:c r="L944" s="5"/>
      <x:c r="M944" s="9"/>
      <x:c r="N944" s="9"/>
      <x:c r="O944" s="9"/>
      <x:c r="P944" s="9"/>
      <x:c r="Q944" s="9"/>
      <x:c r="R944" s="9"/>
      <x:c r="S944" s="9"/>
      <x:c r="T944" s="9"/>
      <x:c r="U944" s="9"/>
      <x:c r="V944" s="9"/>
      <x:c r="W944" s="9"/>
      <x:c r="X944" s="9"/>
      <x:c r="Y944" s="9"/>
      <x:c r="Z944" s="9"/>
    </x:row>
    <x:row r="945" ht="14.25" customHeight="1">
      <x:c r="K945" s="5"/>
      <x:c r="L945" s="5"/>
      <x:c r="M945" s="9"/>
      <x:c r="N945" s="9"/>
      <x:c r="O945" s="9"/>
      <x:c r="P945" s="9"/>
      <x:c r="Q945" s="9"/>
      <x:c r="R945" s="9"/>
      <x:c r="S945" s="9"/>
      <x:c r="T945" s="9"/>
      <x:c r="U945" s="9"/>
      <x:c r="V945" s="9"/>
      <x:c r="W945" s="9"/>
      <x:c r="X945" s="9"/>
      <x:c r="Y945" s="9"/>
      <x:c r="Z945" s="9"/>
    </x:row>
    <x:row r="946" ht="14.25" customHeight="1">
      <x:c r="K946" s="5"/>
      <x:c r="L946" s="5"/>
      <x:c r="M946" s="9"/>
      <x:c r="N946" s="9"/>
      <x:c r="O946" s="9"/>
      <x:c r="P946" s="9"/>
      <x:c r="Q946" s="9"/>
      <x:c r="R946" s="9"/>
      <x:c r="S946" s="9"/>
      <x:c r="T946" s="9"/>
      <x:c r="U946" s="9"/>
      <x:c r="V946" s="9"/>
      <x:c r="W946" s="9"/>
      <x:c r="X946" s="9"/>
      <x:c r="Y946" s="9"/>
      <x:c r="Z946" s="9"/>
    </x:row>
    <x:row r="947" ht="14.25" customHeight="1">
      <x:c r="K947" s="5"/>
      <x:c r="L947" s="5"/>
      <x:c r="M947" s="9"/>
      <x:c r="N947" s="9"/>
      <x:c r="O947" s="9"/>
      <x:c r="P947" s="9"/>
      <x:c r="Q947" s="9"/>
      <x:c r="R947" s="9"/>
      <x:c r="S947" s="9"/>
      <x:c r="T947" s="9"/>
      <x:c r="U947" s="9"/>
      <x:c r="V947" s="9"/>
      <x:c r="W947" s="9"/>
      <x:c r="X947" s="9"/>
      <x:c r="Y947" s="9"/>
      <x:c r="Z947" s="9"/>
    </x:row>
    <x:row r="948" ht="14.25" customHeight="1">
      <x:c r="K948" s="5"/>
      <x:c r="L948" s="5"/>
      <x:c r="M948" s="9"/>
      <x:c r="N948" s="9"/>
      <x:c r="O948" s="9"/>
      <x:c r="P948" s="9"/>
      <x:c r="Q948" s="9"/>
      <x:c r="R948" s="9"/>
      <x:c r="S948" s="9"/>
      <x:c r="T948" s="9"/>
      <x:c r="U948" s="9"/>
      <x:c r="V948" s="9"/>
      <x:c r="W948" s="9"/>
      <x:c r="X948" s="9"/>
      <x:c r="Y948" s="9"/>
      <x:c r="Z948" s="9"/>
    </x:row>
    <x:row r="949" ht="14.25" customHeight="1">
      <x:c r="K949" s="5"/>
      <x:c r="L949" s="5"/>
      <x:c r="M949" s="9"/>
      <x:c r="N949" s="9"/>
      <x:c r="O949" s="9"/>
      <x:c r="P949" s="9"/>
      <x:c r="Q949" s="9"/>
      <x:c r="R949" s="9"/>
      <x:c r="S949" s="9"/>
      <x:c r="T949" s="9"/>
      <x:c r="U949" s="9"/>
      <x:c r="V949" s="9"/>
      <x:c r="W949" s="9"/>
      <x:c r="X949" s="9"/>
      <x:c r="Y949" s="9"/>
      <x:c r="Z949" s="9"/>
    </x:row>
    <x:row r="950" ht="14.25" customHeight="1">
      <x:c r="K950" s="5"/>
      <x:c r="L950" s="5"/>
      <x:c r="M950" s="9"/>
      <x:c r="N950" s="9"/>
      <x:c r="O950" s="9"/>
      <x:c r="P950" s="9"/>
      <x:c r="Q950" s="9"/>
      <x:c r="R950" s="9"/>
      <x:c r="S950" s="9"/>
      <x:c r="T950" s="9"/>
      <x:c r="U950" s="9"/>
      <x:c r="V950" s="9"/>
      <x:c r="W950" s="9"/>
      <x:c r="X950" s="9"/>
      <x:c r="Y950" s="9"/>
      <x:c r="Z950" s="9"/>
    </x:row>
    <x:row r="951" ht="14.25" customHeight="1">
      <x:c r="K951" s="5"/>
      <x:c r="L951" s="5"/>
      <x:c r="M951" s="9"/>
      <x:c r="N951" s="9"/>
      <x:c r="O951" s="9"/>
      <x:c r="P951" s="9"/>
      <x:c r="Q951" s="9"/>
      <x:c r="R951" s="9"/>
      <x:c r="S951" s="9"/>
      <x:c r="T951" s="9"/>
      <x:c r="U951" s="9"/>
      <x:c r="V951" s="9"/>
      <x:c r="W951" s="9"/>
      <x:c r="X951" s="9"/>
      <x:c r="Y951" s="9"/>
      <x:c r="Z951" s="9"/>
    </x:row>
    <x:row r="952" ht="14.25" customHeight="1">
      <x:c r="K952" s="5"/>
      <x:c r="L952" s="5"/>
      <x:c r="M952" s="9"/>
      <x:c r="N952" s="9"/>
      <x:c r="O952" s="9"/>
      <x:c r="P952" s="9"/>
      <x:c r="Q952" s="9"/>
      <x:c r="R952" s="9"/>
      <x:c r="S952" s="9"/>
      <x:c r="T952" s="9"/>
      <x:c r="U952" s="9"/>
      <x:c r="V952" s="9"/>
      <x:c r="W952" s="9"/>
      <x:c r="X952" s="9"/>
      <x:c r="Y952" s="9"/>
      <x:c r="Z952" s="9"/>
    </x:row>
    <x:row r="953" ht="14.25" customHeight="1">
      <x:c r="K953" s="5"/>
      <x:c r="L953" s="5"/>
      <x:c r="M953" s="9"/>
      <x:c r="N953" s="9"/>
      <x:c r="O953" s="9"/>
      <x:c r="P953" s="9"/>
      <x:c r="Q953" s="9"/>
      <x:c r="R953" s="9"/>
      <x:c r="S953" s="9"/>
      <x:c r="T953" s="9"/>
      <x:c r="U953" s="9"/>
      <x:c r="V953" s="9"/>
      <x:c r="W953" s="9"/>
      <x:c r="X953" s="9"/>
      <x:c r="Y953" s="9"/>
      <x:c r="Z953" s="9"/>
    </x:row>
    <x:row r="954" ht="14.25" customHeight="1">
      <x:c r="K954" s="5"/>
      <x:c r="L954" s="5"/>
      <x:c r="M954" s="9"/>
      <x:c r="N954" s="9"/>
      <x:c r="O954" s="9"/>
      <x:c r="P954" s="9"/>
      <x:c r="Q954" s="9"/>
      <x:c r="R954" s="9"/>
      <x:c r="S954" s="9"/>
      <x:c r="T954" s="9"/>
      <x:c r="U954" s="9"/>
      <x:c r="V954" s="9"/>
      <x:c r="W954" s="9"/>
      <x:c r="X954" s="9"/>
      <x:c r="Y954" s="9"/>
      <x:c r="Z954" s="9"/>
    </x:row>
    <x:row r="955" ht="14.25" customHeight="1">
      <x:c r="K955" s="5"/>
      <x:c r="L955" s="5"/>
      <x:c r="M955" s="9"/>
      <x:c r="N955" s="9"/>
      <x:c r="O955" s="9"/>
      <x:c r="P955" s="9"/>
      <x:c r="Q955" s="9"/>
      <x:c r="R955" s="9"/>
      <x:c r="S955" s="9"/>
      <x:c r="T955" s="9"/>
      <x:c r="U955" s="9"/>
      <x:c r="V955" s="9"/>
      <x:c r="W955" s="9"/>
      <x:c r="X955" s="9"/>
      <x:c r="Y955" s="9"/>
      <x:c r="Z955" s="9"/>
    </x:row>
    <x:row r="956" ht="14.25" customHeight="1">
      <x:c r="K956" s="5"/>
      <x:c r="L956" s="5"/>
      <x:c r="M956" s="9"/>
      <x:c r="N956" s="9"/>
      <x:c r="O956" s="9"/>
      <x:c r="P956" s="9"/>
      <x:c r="Q956" s="9"/>
      <x:c r="R956" s="9"/>
      <x:c r="S956" s="9"/>
      <x:c r="T956" s="9"/>
      <x:c r="U956" s="9"/>
      <x:c r="V956" s="9"/>
      <x:c r="W956" s="9"/>
      <x:c r="X956" s="9"/>
      <x:c r="Y956" s="9"/>
      <x:c r="Z956" s="9"/>
    </x:row>
    <x:row r="957" ht="14.25" customHeight="1">
      <x:c r="K957" s="5"/>
      <x:c r="L957" s="5"/>
      <x:c r="M957" s="9"/>
      <x:c r="N957" s="9"/>
      <x:c r="O957" s="9"/>
      <x:c r="P957" s="9"/>
      <x:c r="Q957" s="9"/>
      <x:c r="R957" s="9"/>
      <x:c r="S957" s="9"/>
      <x:c r="T957" s="9"/>
      <x:c r="U957" s="9"/>
      <x:c r="V957" s="9"/>
      <x:c r="W957" s="9"/>
      <x:c r="X957" s="9"/>
      <x:c r="Y957" s="9"/>
      <x:c r="Z957" s="9"/>
    </x:row>
    <x:row r="958" ht="14.25" customHeight="1">
      <x:c r="K958" s="5"/>
      <x:c r="L958" s="5"/>
      <x:c r="M958" s="9"/>
      <x:c r="N958" s="9"/>
      <x:c r="O958" s="9"/>
      <x:c r="P958" s="9"/>
      <x:c r="Q958" s="9"/>
      <x:c r="R958" s="9"/>
      <x:c r="S958" s="9"/>
      <x:c r="T958" s="9"/>
      <x:c r="U958" s="9"/>
      <x:c r="V958" s="9"/>
      <x:c r="W958" s="9"/>
      <x:c r="X958" s="9"/>
      <x:c r="Y958" s="9"/>
      <x:c r="Z958" s="9"/>
    </x:row>
    <x:row r="959" ht="14.25" customHeight="1">
      <x:c r="K959" s="5"/>
      <x:c r="L959" s="5"/>
      <x:c r="M959" s="9"/>
      <x:c r="N959" s="9"/>
      <x:c r="O959" s="9"/>
      <x:c r="P959" s="9"/>
      <x:c r="Q959" s="9"/>
      <x:c r="R959" s="9"/>
      <x:c r="S959" s="9"/>
      <x:c r="T959" s="9"/>
      <x:c r="U959" s="9"/>
      <x:c r="V959" s="9"/>
      <x:c r="W959" s="9"/>
      <x:c r="X959" s="9"/>
      <x:c r="Y959" s="9"/>
      <x:c r="Z959" s="9"/>
    </x:row>
    <x:row r="960" ht="14.25" customHeight="1">
      <x:c r="K960" s="5"/>
      <x:c r="L960" s="5"/>
      <x:c r="M960" s="9"/>
      <x:c r="N960" s="9"/>
      <x:c r="O960" s="9"/>
      <x:c r="P960" s="9"/>
      <x:c r="Q960" s="9"/>
      <x:c r="R960" s="9"/>
      <x:c r="S960" s="9"/>
      <x:c r="T960" s="9"/>
      <x:c r="U960" s="9"/>
      <x:c r="V960" s="9"/>
      <x:c r="W960" s="9"/>
      <x:c r="X960" s="9"/>
      <x:c r="Y960" s="9"/>
      <x:c r="Z960" s="9"/>
    </x:row>
    <x:row r="961" ht="14.25" customHeight="1">
      <x:c r="K961" s="5"/>
      <x:c r="L961" s="5"/>
      <x:c r="M961" s="9"/>
      <x:c r="N961" s="9"/>
      <x:c r="O961" s="9"/>
      <x:c r="P961" s="9"/>
      <x:c r="Q961" s="9"/>
      <x:c r="R961" s="9"/>
      <x:c r="S961" s="9"/>
      <x:c r="T961" s="9"/>
      <x:c r="U961" s="9"/>
      <x:c r="V961" s="9"/>
      <x:c r="W961" s="9"/>
      <x:c r="X961" s="9"/>
      <x:c r="Y961" s="9"/>
      <x:c r="Z961" s="9"/>
    </x:row>
    <x:row r="962" ht="14.25" customHeight="1">
      <x:c r="K962" s="5"/>
      <x:c r="L962" s="5"/>
      <x:c r="M962" s="9"/>
      <x:c r="N962" s="9"/>
      <x:c r="O962" s="9"/>
      <x:c r="P962" s="9"/>
      <x:c r="Q962" s="9"/>
      <x:c r="R962" s="9"/>
      <x:c r="S962" s="9"/>
      <x:c r="T962" s="9"/>
      <x:c r="U962" s="9"/>
      <x:c r="V962" s="9"/>
      <x:c r="W962" s="9"/>
      <x:c r="X962" s="9"/>
      <x:c r="Y962" s="9"/>
      <x:c r="Z962" s="9"/>
    </x:row>
    <x:row r="963" ht="14.25" customHeight="1">
      <x:c r="K963" s="5"/>
      <x:c r="L963" s="5"/>
      <x:c r="M963" s="9"/>
      <x:c r="N963" s="9"/>
      <x:c r="O963" s="9"/>
      <x:c r="P963" s="9"/>
      <x:c r="Q963" s="9"/>
      <x:c r="R963" s="9"/>
      <x:c r="S963" s="9"/>
      <x:c r="T963" s="9"/>
      <x:c r="U963" s="9"/>
      <x:c r="V963" s="9"/>
      <x:c r="W963" s="9"/>
      <x:c r="X963" s="9"/>
      <x:c r="Y963" s="9"/>
      <x:c r="Z963" s="9"/>
    </x:row>
    <x:row r="964" ht="14.25" customHeight="1">
      <x:c r="K964" s="5"/>
      <x:c r="L964" s="5"/>
      <x:c r="M964" s="9"/>
      <x:c r="N964" s="9"/>
      <x:c r="O964" s="9"/>
      <x:c r="P964" s="9"/>
      <x:c r="Q964" s="9"/>
      <x:c r="R964" s="9"/>
      <x:c r="S964" s="9"/>
      <x:c r="T964" s="9"/>
      <x:c r="U964" s="9"/>
      <x:c r="V964" s="9"/>
      <x:c r="W964" s="9"/>
      <x:c r="X964" s="9"/>
      <x:c r="Y964" s="9"/>
      <x:c r="Z964" s="9"/>
    </x:row>
    <x:row r="965" ht="14.25" customHeight="1">
      <x:c r="K965" s="5"/>
      <x:c r="L965" s="5"/>
      <x:c r="M965" s="9"/>
      <x:c r="N965" s="9"/>
      <x:c r="O965" s="9"/>
      <x:c r="P965" s="9"/>
      <x:c r="Q965" s="9"/>
      <x:c r="R965" s="9"/>
      <x:c r="S965" s="9"/>
      <x:c r="T965" s="9"/>
      <x:c r="U965" s="9"/>
      <x:c r="V965" s="9"/>
      <x:c r="W965" s="9"/>
      <x:c r="X965" s="9"/>
      <x:c r="Y965" s="9"/>
      <x:c r="Z965" s="9"/>
    </x:row>
    <x:row r="966" ht="14.25" customHeight="1">
      <x:c r="K966" s="5"/>
      <x:c r="L966" s="5"/>
      <x:c r="M966" s="9"/>
      <x:c r="N966" s="9"/>
      <x:c r="O966" s="9"/>
      <x:c r="P966" s="9"/>
      <x:c r="Q966" s="9"/>
      <x:c r="R966" s="9"/>
      <x:c r="S966" s="9"/>
      <x:c r="T966" s="9"/>
      <x:c r="U966" s="9"/>
      <x:c r="V966" s="9"/>
      <x:c r="W966" s="9"/>
      <x:c r="X966" s="9"/>
      <x:c r="Y966" s="9"/>
      <x:c r="Z966" s="9"/>
    </x:row>
    <x:row r="967" ht="14.25" customHeight="1">
      <x:c r="K967" s="5"/>
      <x:c r="L967" s="5"/>
      <x:c r="M967" s="9"/>
      <x:c r="N967" s="9"/>
      <x:c r="O967" s="9"/>
      <x:c r="P967" s="9"/>
      <x:c r="Q967" s="9"/>
      <x:c r="R967" s="9"/>
      <x:c r="S967" s="9"/>
      <x:c r="T967" s="9"/>
      <x:c r="U967" s="9"/>
      <x:c r="V967" s="9"/>
      <x:c r="W967" s="9"/>
      <x:c r="X967" s="9"/>
      <x:c r="Y967" s="9"/>
      <x:c r="Z967" s="9"/>
    </x:row>
    <x:row r="968" ht="14.25" customHeight="1">
      <x:c r="K968" s="5"/>
      <x:c r="L968" s="5"/>
      <x:c r="M968" s="9"/>
      <x:c r="N968" s="9"/>
      <x:c r="O968" s="9"/>
      <x:c r="P968" s="9"/>
      <x:c r="Q968" s="9"/>
      <x:c r="R968" s="9"/>
      <x:c r="S968" s="9"/>
      <x:c r="T968" s="9"/>
      <x:c r="U968" s="9"/>
      <x:c r="V968" s="9"/>
      <x:c r="W968" s="9"/>
      <x:c r="X968" s="9"/>
      <x:c r="Y968" s="9"/>
      <x:c r="Z968" s="9"/>
    </x:row>
    <x:row r="969" ht="14.25" customHeight="1">
      <x:c r="K969" s="5"/>
      <x:c r="L969" s="5"/>
      <x:c r="M969" s="9"/>
      <x:c r="N969" s="9"/>
      <x:c r="O969" s="9"/>
      <x:c r="P969" s="9"/>
      <x:c r="Q969" s="9"/>
      <x:c r="R969" s="9"/>
      <x:c r="S969" s="9"/>
      <x:c r="T969" s="9"/>
      <x:c r="U969" s="9"/>
      <x:c r="V969" s="9"/>
      <x:c r="W969" s="9"/>
      <x:c r="X969" s="9"/>
      <x:c r="Y969" s="9"/>
      <x:c r="Z969" s="9"/>
    </x:row>
    <x:row r="970" ht="14.25" customHeight="1">
      <x:c r="K970" s="5"/>
      <x:c r="L970" s="5"/>
      <x:c r="M970" s="9"/>
      <x:c r="N970" s="9"/>
      <x:c r="O970" s="9"/>
      <x:c r="P970" s="9"/>
      <x:c r="Q970" s="9"/>
      <x:c r="R970" s="9"/>
      <x:c r="S970" s="9"/>
      <x:c r="T970" s="9"/>
      <x:c r="U970" s="9"/>
      <x:c r="V970" s="9"/>
      <x:c r="W970" s="9"/>
      <x:c r="X970" s="9"/>
      <x:c r="Y970" s="9"/>
      <x:c r="Z970" s="9"/>
    </x:row>
    <x:row r="971" ht="14.25" customHeight="1">
      <x:c r="K971" s="5"/>
      <x:c r="L971" s="5"/>
      <x:c r="M971" s="9"/>
      <x:c r="N971" s="9"/>
      <x:c r="O971" s="9"/>
      <x:c r="P971" s="9"/>
      <x:c r="Q971" s="9"/>
      <x:c r="R971" s="9"/>
      <x:c r="S971" s="9"/>
      <x:c r="T971" s="9"/>
      <x:c r="U971" s="9"/>
      <x:c r="V971" s="9"/>
      <x:c r="W971" s="9"/>
      <x:c r="X971" s="9"/>
      <x:c r="Y971" s="9"/>
      <x:c r="Z971" s="9"/>
    </x:row>
    <x:row r="972" ht="14.25" customHeight="1">
      <x:c r="K972" s="5"/>
      <x:c r="L972" s="5"/>
      <x:c r="M972" s="9"/>
      <x:c r="N972" s="9"/>
      <x:c r="O972" s="9"/>
      <x:c r="P972" s="9"/>
      <x:c r="Q972" s="9"/>
      <x:c r="R972" s="9"/>
      <x:c r="S972" s="9"/>
      <x:c r="T972" s="9"/>
      <x:c r="U972" s="9"/>
      <x:c r="V972" s="9"/>
      <x:c r="W972" s="9"/>
      <x:c r="X972" s="9"/>
      <x:c r="Y972" s="9"/>
      <x:c r="Z972" s="9"/>
    </x:row>
    <x:row r="973" ht="14.25" customHeight="1">
      <x:c r="K973" s="5"/>
      <x:c r="L973" s="5"/>
      <x:c r="M973" s="9"/>
      <x:c r="N973" s="9"/>
      <x:c r="O973" s="9"/>
      <x:c r="P973" s="9"/>
      <x:c r="Q973" s="9"/>
      <x:c r="R973" s="9"/>
      <x:c r="S973" s="9"/>
      <x:c r="T973" s="9"/>
      <x:c r="U973" s="9"/>
      <x:c r="V973" s="9"/>
      <x:c r="W973" s="9"/>
      <x:c r="X973" s="9"/>
      <x:c r="Y973" s="9"/>
      <x:c r="Z973" s="9"/>
    </x:row>
    <x:row r="974" ht="14.25" customHeight="1">
      <x:c r="K974" s="5"/>
      <x:c r="L974" s="5"/>
      <x:c r="M974" s="9"/>
      <x:c r="N974" s="9"/>
      <x:c r="O974" s="9"/>
      <x:c r="P974" s="9"/>
      <x:c r="Q974" s="9"/>
      <x:c r="R974" s="9"/>
      <x:c r="S974" s="9"/>
      <x:c r="T974" s="9"/>
      <x:c r="U974" s="9"/>
      <x:c r="V974" s="9"/>
      <x:c r="W974" s="9"/>
      <x:c r="X974" s="9"/>
      <x:c r="Y974" s="9"/>
      <x:c r="Z974" s="9"/>
    </x:row>
    <x:row r="975" ht="14.25" customHeight="1">
      <x:c r="K975" s="5"/>
      <x:c r="L975" s="5"/>
      <x:c r="M975" s="9"/>
      <x:c r="N975" s="9"/>
      <x:c r="O975" s="9"/>
      <x:c r="P975" s="9"/>
      <x:c r="Q975" s="9"/>
      <x:c r="R975" s="9"/>
      <x:c r="S975" s="9"/>
      <x:c r="T975" s="9"/>
      <x:c r="U975" s="9"/>
      <x:c r="V975" s="9"/>
      <x:c r="W975" s="9"/>
      <x:c r="X975" s="9"/>
      <x:c r="Y975" s="9"/>
      <x:c r="Z975" s="9"/>
    </x:row>
    <x:row r="976" ht="14.25" customHeight="1">
      <x:c r="K976" s="5"/>
      <x:c r="L976" s="5"/>
      <x:c r="M976" s="9"/>
      <x:c r="N976" s="9"/>
      <x:c r="O976" s="9"/>
      <x:c r="P976" s="9"/>
      <x:c r="Q976" s="9"/>
      <x:c r="R976" s="9"/>
      <x:c r="S976" s="9"/>
      <x:c r="T976" s="9"/>
      <x:c r="U976" s="9"/>
      <x:c r="V976" s="9"/>
      <x:c r="W976" s="9"/>
      <x:c r="X976" s="9"/>
      <x:c r="Y976" s="9"/>
      <x:c r="Z976" s="9"/>
    </x:row>
    <x:row r="977" ht="14.25" customHeight="1">
      <x:c r="K977" s="5"/>
      <x:c r="L977" s="5"/>
      <x:c r="M977" s="9"/>
      <x:c r="N977" s="9"/>
      <x:c r="O977" s="9"/>
      <x:c r="P977" s="9"/>
      <x:c r="Q977" s="9"/>
      <x:c r="R977" s="9"/>
      <x:c r="S977" s="9"/>
      <x:c r="T977" s="9"/>
      <x:c r="U977" s="9"/>
      <x:c r="V977" s="9"/>
      <x:c r="W977" s="9"/>
      <x:c r="X977" s="9"/>
      <x:c r="Y977" s="9"/>
      <x:c r="Z977" s="9"/>
    </x:row>
    <x:row r="978" ht="14.25" customHeight="1">
      <x:c r="K978" s="5"/>
      <x:c r="L978" s="5"/>
      <x:c r="M978" s="9"/>
      <x:c r="N978" s="9"/>
      <x:c r="O978" s="9"/>
      <x:c r="P978" s="9"/>
      <x:c r="Q978" s="9"/>
      <x:c r="R978" s="9"/>
      <x:c r="S978" s="9"/>
      <x:c r="T978" s="9"/>
      <x:c r="U978" s="9"/>
      <x:c r="V978" s="9"/>
      <x:c r="W978" s="9"/>
      <x:c r="X978" s="9"/>
      <x:c r="Y978" s="9"/>
      <x:c r="Z978" s="9"/>
    </x:row>
    <x:row r="979" ht="14.25" customHeight="1">
      <x:c r="K979" s="5"/>
      <x:c r="L979" s="5"/>
      <x:c r="M979" s="9"/>
      <x:c r="N979" s="9"/>
      <x:c r="O979" s="9"/>
      <x:c r="P979" s="9"/>
      <x:c r="Q979" s="9"/>
      <x:c r="R979" s="9"/>
      <x:c r="S979" s="9"/>
      <x:c r="T979" s="9"/>
      <x:c r="U979" s="9"/>
      <x:c r="V979" s="9"/>
      <x:c r="W979" s="9"/>
      <x:c r="X979" s="9"/>
      <x:c r="Y979" s="9"/>
      <x:c r="Z979" s="9"/>
    </x:row>
    <x:row r="980" ht="14.25" customHeight="1">
      <x:c r="K980" s="5"/>
      <x:c r="L980" s="5"/>
      <x:c r="M980" s="9"/>
      <x:c r="N980" s="9"/>
      <x:c r="O980" s="9"/>
      <x:c r="P980" s="9"/>
      <x:c r="Q980" s="9"/>
      <x:c r="R980" s="9"/>
      <x:c r="S980" s="9"/>
      <x:c r="T980" s="9"/>
      <x:c r="U980" s="9"/>
      <x:c r="V980" s="9"/>
      <x:c r="W980" s="9"/>
      <x:c r="X980" s="9"/>
      <x:c r="Y980" s="9"/>
      <x:c r="Z980" s="9"/>
    </x:row>
    <x:row r="981" ht="14.25" customHeight="1">
      <x:c r="K981" s="5"/>
      <x:c r="L981" s="5"/>
      <x:c r="M981" s="9"/>
      <x:c r="N981" s="9"/>
      <x:c r="O981" s="9"/>
      <x:c r="P981" s="9"/>
      <x:c r="Q981" s="9"/>
      <x:c r="R981" s="9"/>
      <x:c r="S981" s="9"/>
      <x:c r="T981" s="9"/>
      <x:c r="U981" s="9"/>
      <x:c r="V981" s="9"/>
      <x:c r="W981" s="9"/>
      <x:c r="X981" s="9"/>
      <x:c r="Y981" s="9"/>
      <x:c r="Z981" s="9"/>
    </x:row>
    <x:row r="982" ht="14.25" customHeight="1">
      <x:c r="K982" s="5"/>
      <x:c r="L982" s="5"/>
      <x:c r="M982" s="9"/>
      <x:c r="N982" s="9"/>
      <x:c r="O982" s="9"/>
      <x:c r="P982" s="9"/>
      <x:c r="Q982" s="9"/>
      <x:c r="R982" s="9"/>
      <x:c r="S982" s="9"/>
      <x:c r="T982" s="9"/>
      <x:c r="U982" s="9"/>
      <x:c r="V982" s="9"/>
      <x:c r="W982" s="9"/>
      <x:c r="X982" s="9"/>
      <x:c r="Y982" s="9"/>
      <x:c r="Z982" s="9"/>
    </x:row>
    <x:row r="983" ht="14.25" customHeight="1">
      <x:c r="K983" s="5"/>
      <x:c r="L983" s="5"/>
      <x:c r="M983" s="9"/>
      <x:c r="N983" s="9"/>
      <x:c r="O983" s="9"/>
      <x:c r="P983" s="9"/>
      <x:c r="Q983" s="9"/>
      <x:c r="R983" s="9"/>
      <x:c r="S983" s="9"/>
      <x:c r="T983" s="9"/>
      <x:c r="U983" s="9"/>
      <x:c r="V983" s="9"/>
      <x:c r="W983" s="9"/>
      <x:c r="X983" s="9"/>
      <x:c r="Y983" s="9"/>
      <x:c r="Z983" s="9"/>
    </x:row>
    <x:row r="984" ht="14.25" customHeight="1">
      <x:c r="K984" s="5"/>
      <x:c r="L984" s="5"/>
      <x:c r="M984" s="9"/>
      <x:c r="N984" s="9"/>
      <x:c r="O984" s="9"/>
      <x:c r="P984" s="9"/>
      <x:c r="Q984" s="9"/>
      <x:c r="R984" s="9"/>
      <x:c r="S984" s="9"/>
      <x:c r="T984" s="9"/>
      <x:c r="U984" s="9"/>
      <x:c r="V984" s="9"/>
      <x:c r="W984" s="9"/>
      <x:c r="X984" s="9"/>
      <x:c r="Y984" s="9"/>
      <x:c r="Z984" s="9"/>
    </x:row>
    <x:row r="985" ht="14.25" customHeight="1">
      <x:c r="K985" s="5"/>
      <x:c r="L985" s="5"/>
      <x:c r="M985" s="9"/>
      <x:c r="N985" s="9"/>
      <x:c r="O985" s="9"/>
      <x:c r="P985" s="9"/>
      <x:c r="Q985" s="9"/>
      <x:c r="R985" s="9"/>
      <x:c r="S985" s="9"/>
      <x:c r="T985" s="9"/>
      <x:c r="U985" s="9"/>
      <x:c r="V985" s="9"/>
      <x:c r="W985" s="9"/>
      <x:c r="X985" s="9"/>
      <x:c r="Y985" s="9"/>
      <x:c r="Z985" s="9"/>
    </x:row>
    <x:row r="986" ht="14.25" customHeight="1">
      <x:c r="K986" s="5"/>
      <x:c r="L986" s="5"/>
      <x:c r="M986" s="9"/>
      <x:c r="N986" s="9"/>
      <x:c r="O986" s="9"/>
      <x:c r="P986" s="9"/>
      <x:c r="Q986" s="9"/>
      <x:c r="R986" s="9"/>
      <x:c r="S986" s="9"/>
      <x:c r="T986" s="9"/>
      <x:c r="U986" s="9"/>
      <x:c r="V986" s="9"/>
      <x:c r="W986" s="9"/>
      <x:c r="X986" s="9"/>
      <x:c r="Y986" s="9"/>
      <x:c r="Z986" s="9"/>
    </x:row>
    <x:row r="987" ht="14.25" customHeight="1">
      <x:c r="K987" s="5"/>
      <x:c r="L987" s="5"/>
      <x:c r="M987" s="9"/>
      <x:c r="N987" s="9"/>
      <x:c r="O987" s="9"/>
      <x:c r="P987" s="9"/>
      <x:c r="Q987" s="9"/>
      <x:c r="R987" s="9"/>
      <x:c r="S987" s="9"/>
      <x:c r="T987" s="9"/>
      <x:c r="U987" s="9"/>
      <x:c r="V987" s="9"/>
      <x:c r="W987" s="9"/>
      <x:c r="X987" s="9"/>
      <x:c r="Y987" s="9"/>
      <x:c r="Z987" s="9"/>
    </x:row>
    <x:row r="988" ht="14.25" customHeight="1">
      <x:c r="K988" s="5"/>
      <x:c r="L988" s="5"/>
      <x:c r="M988" s="9"/>
      <x:c r="N988" s="9"/>
      <x:c r="O988" s="9"/>
      <x:c r="P988" s="9"/>
      <x:c r="Q988" s="9"/>
      <x:c r="R988" s="9"/>
      <x:c r="S988" s="9"/>
      <x:c r="T988" s="9"/>
      <x:c r="U988" s="9"/>
      <x:c r="V988" s="9"/>
      <x:c r="W988" s="9"/>
      <x:c r="X988" s="9"/>
      <x:c r="Y988" s="9"/>
      <x:c r="Z988" s="9"/>
    </x:row>
    <x:row r="989" ht="14.25" customHeight="1">
      <x:c r="K989" s="5"/>
      <x:c r="L989" s="5"/>
      <x:c r="M989" s="9"/>
      <x:c r="N989" s="9"/>
      <x:c r="O989" s="9"/>
      <x:c r="P989" s="9"/>
      <x:c r="Q989" s="9"/>
      <x:c r="R989" s="9"/>
      <x:c r="S989" s="9"/>
      <x:c r="T989" s="9"/>
      <x:c r="U989" s="9"/>
      <x:c r="V989" s="9"/>
      <x:c r="W989" s="9"/>
      <x:c r="X989" s="9"/>
      <x:c r="Y989" s="9"/>
      <x:c r="Z989" s="9"/>
    </x:row>
    <x:row r="990" ht="14.25" customHeight="1">
      <x:c r="K990" s="5"/>
      <x:c r="L990" s="5"/>
      <x:c r="M990" s="9"/>
      <x:c r="N990" s="9"/>
      <x:c r="O990" s="9"/>
      <x:c r="P990" s="9"/>
      <x:c r="Q990" s="9"/>
      <x:c r="R990" s="9"/>
      <x:c r="S990" s="9"/>
      <x:c r="T990" s="9"/>
      <x:c r="U990" s="9"/>
      <x:c r="V990" s="9"/>
      <x:c r="W990" s="9"/>
      <x:c r="X990" s="9"/>
      <x:c r="Y990" s="9"/>
      <x:c r="Z990" s="9"/>
    </x:row>
    <x:row r="991" ht="14.25" customHeight="1">
      <x:c r="K991" s="5"/>
      <x:c r="L991" s="5"/>
      <x:c r="M991" s="9"/>
      <x:c r="N991" s="9"/>
      <x:c r="O991" s="9"/>
      <x:c r="P991" s="9"/>
      <x:c r="Q991" s="9"/>
      <x:c r="R991" s="9"/>
      <x:c r="S991" s="9"/>
      <x:c r="T991" s="9"/>
      <x:c r="U991" s="9"/>
      <x:c r="V991" s="9"/>
      <x:c r="W991" s="9"/>
      <x:c r="X991" s="9"/>
      <x:c r="Y991" s="9"/>
      <x:c r="Z991" s="9"/>
    </x:row>
    <x:row r="992" ht="14.25" customHeight="1">
      <x:c r="K992" s="5"/>
      <x:c r="L992" s="5"/>
      <x:c r="M992" s="9"/>
      <x:c r="N992" s="9"/>
      <x:c r="O992" s="9"/>
      <x:c r="P992" s="9"/>
      <x:c r="Q992" s="9"/>
      <x:c r="R992" s="9"/>
      <x:c r="S992" s="9"/>
      <x:c r="T992" s="9"/>
      <x:c r="U992" s="9"/>
      <x:c r="V992" s="9"/>
      <x:c r="W992" s="9"/>
      <x:c r="X992" s="9"/>
      <x:c r="Y992" s="9"/>
      <x:c r="Z992" s="9"/>
    </x:row>
    <x:row r="993" ht="14.25" customHeight="1">
      <x:c r="K993" s="5"/>
      <x:c r="L993" s="5"/>
      <x:c r="M993" s="9"/>
      <x:c r="N993" s="9"/>
      <x:c r="O993" s="9"/>
      <x:c r="P993" s="9"/>
      <x:c r="Q993" s="9"/>
      <x:c r="R993" s="9"/>
      <x:c r="S993" s="9"/>
      <x:c r="T993" s="9"/>
      <x:c r="U993" s="9"/>
      <x:c r="V993" s="9"/>
      <x:c r="W993" s="9"/>
      <x:c r="X993" s="9"/>
      <x:c r="Y993" s="9"/>
      <x:c r="Z993" s="9"/>
    </x:row>
    <x:row r="994" ht="14.25" customHeight="1">
      <x:c r="K994" s="5"/>
      <x:c r="L994" s="5"/>
      <x:c r="M994" s="9"/>
      <x:c r="N994" s="9"/>
      <x:c r="O994" s="9"/>
      <x:c r="P994" s="9"/>
      <x:c r="Q994" s="9"/>
      <x:c r="R994" s="9"/>
      <x:c r="S994" s="9"/>
      <x:c r="T994" s="9"/>
      <x:c r="U994" s="9"/>
      <x:c r="V994" s="9"/>
      <x:c r="W994" s="9"/>
      <x:c r="X994" s="9"/>
      <x:c r="Y994" s="9"/>
      <x:c r="Z994" s="9"/>
    </x:row>
    <x:row r="995" ht="14.25" customHeight="1">
      <x:c r="K995" s="5"/>
      <x:c r="L995" s="5"/>
      <x:c r="M995" s="9"/>
      <x:c r="N995" s="9"/>
      <x:c r="O995" s="9"/>
      <x:c r="P995" s="9"/>
      <x:c r="Q995" s="9"/>
      <x:c r="R995" s="9"/>
      <x:c r="S995" s="9"/>
      <x:c r="T995" s="9"/>
      <x:c r="U995" s="9"/>
      <x:c r="V995" s="9"/>
      <x:c r="W995" s="9"/>
      <x:c r="X995" s="9"/>
      <x:c r="Y995" s="9"/>
      <x:c r="Z995" s="9"/>
    </x:row>
    <x:row r="996" ht="14.25" customHeight="1">
      <x:c r="K996" s="5"/>
      <x:c r="L996" s="5"/>
      <x:c r="M996" s="9"/>
      <x:c r="N996" s="9"/>
      <x:c r="O996" s="9"/>
      <x:c r="P996" s="9"/>
      <x:c r="Q996" s="9"/>
      <x:c r="R996" s="9"/>
      <x:c r="S996" s="9"/>
      <x:c r="T996" s="9"/>
      <x:c r="U996" s="9"/>
      <x:c r="V996" s="9"/>
      <x:c r="W996" s="9"/>
      <x:c r="X996" s="9"/>
      <x:c r="Y996" s="9"/>
      <x:c r="Z996" s="9"/>
    </x:row>
    <x:row r="997" ht="14.25" customHeight="1">
      <x:c r="K997" s="5"/>
      <x:c r="L997" s="5"/>
      <x:c r="M997" s="9"/>
      <x:c r="N997" s="9"/>
      <x:c r="O997" s="9"/>
      <x:c r="P997" s="9"/>
      <x:c r="Q997" s="9"/>
      <x:c r="R997" s="9"/>
      <x:c r="S997" s="9"/>
      <x:c r="T997" s="9"/>
      <x:c r="U997" s="9"/>
      <x:c r="V997" s="9"/>
      <x:c r="W997" s="9"/>
      <x:c r="X997" s="9"/>
      <x:c r="Y997" s="9"/>
      <x:c r="Z997" s="9"/>
    </x:row>
    <x:row r="998" ht="14.25" customHeight="1">
      <x:c r="K998" s="5"/>
      <x:c r="L998" s="5"/>
      <x:c r="M998" s="9"/>
      <x:c r="N998" s="9"/>
      <x:c r="O998" s="9"/>
      <x:c r="P998" s="9"/>
      <x:c r="Q998" s="9"/>
      <x:c r="R998" s="9"/>
      <x:c r="S998" s="9"/>
      <x:c r="T998" s="9"/>
      <x:c r="U998" s="9"/>
      <x:c r="V998" s="9"/>
      <x:c r="W998" s="9"/>
      <x:c r="X998" s="9"/>
      <x:c r="Y998" s="9"/>
      <x:c r="Z998" s="9"/>
    </x:row>
    <x:row r="999" ht="14.25" customHeight="1">
      <x:c r="K999" s="5"/>
      <x:c r="L999" s="5"/>
      <x:c r="M999" s="9"/>
      <x:c r="N999" s="9"/>
      <x:c r="O999" s="9"/>
      <x:c r="P999" s="9"/>
      <x:c r="Q999" s="9"/>
      <x:c r="R999" s="9"/>
      <x:c r="S999" s="9"/>
      <x:c r="T999" s="9"/>
      <x:c r="U999" s="9"/>
      <x:c r="V999" s="9"/>
      <x:c r="W999" s="9"/>
      <x:c r="X999" s="9"/>
      <x:c r="Y999" s="9"/>
      <x:c r="Z999" s="9"/>
    </x:row>
    <x:row r="1000" ht="14.25" customHeight="1">
      <x:c r="K1000" s="5"/>
      <x:c r="L1000" s="5"/>
      <x:c r="M1000" s="9"/>
      <x:c r="N1000" s="9"/>
      <x:c r="O1000" s="9"/>
      <x:c r="P1000" s="9"/>
      <x:c r="Q1000" s="9"/>
      <x:c r="R1000" s="9"/>
      <x:c r="S1000" s="9"/>
      <x:c r="T1000" s="9"/>
      <x:c r="U1000" s="9"/>
      <x:c r="V1000" s="9"/>
      <x:c r="W1000" s="9"/>
      <x:c r="X1000" s="9"/>
      <x:c r="Y1000" s="9"/>
      <x:c r="Z1000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7" width="8.5" customWidth="1"/>
    <x:col min="8" max="8" width="6.380000114440918" customWidth="1"/>
    <x:col min="9" max="11" width="5.5" customWidth="1"/>
    <x:col min="12" max="26" width="8.5" customWidth="1"/>
  </x:cols>
  <x:sheetData>
    <x:row r="1" ht="14.25" customHeight="1">
      <x:c r="A1" s="1" t="s">
        <x:v>477</x:v>
      </x:c>
      <x:c r="B1" s="1" t="s">
        <x:v>100</x:v>
      </x:c>
      <x:c r="C1" s="1" t="s">
        <x:v>602</x:v>
      </x:c>
      <x:c r="D1" s="1" t="s">
        <x:v>480</x:v>
      </x:c>
      <x:c r="E1" s="1" t="s">
        <x:v>481</x:v>
      </x:c>
      <x:c r="F1" s="1" t="s">
        <x:v>51</x:v>
      </x:c>
      <x:c r="G1" s="1" t="s">
        <x:v>482</x:v>
      </x:c>
      <x:c r="H1" s="5" t="s">
        <x:v>57</x:v>
      </x:c>
      <x:c r="I1" s="52" t="s">
        <x:v>103</x:v>
      </x:c>
      <x:c r="J1" s="52" t="s">
        <x:v>104</x:v>
      </x:c>
      <x:c r="K1" s="52" t="s">
        <x:v>105</x:v>
      </x:c>
    </x:row>
    <x:row r="2" ht="14.25" customHeight="1">
      <x:c r="A2" s="1" t="s">
        <x:v>485</x:v>
      </x:c>
      <x:c r="H2" s="5"/>
      <x:c r="I2" s="52"/>
      <x:c r="J2" s="52"/>
      <x:c r="K2" s="52"/>
    </x:row>
    <x:row r="3" ht="14.25" customHeight="1">
      <x:c r="A3" s="1" t="s">
        <x:v>924</x:v>
      </x:c>
      <x:c r="B3" s="1" t="s">
        <x:v>543</x:v>
      </x:c>
      <x:c r="C3" s="1">
        <x:v>108.9</x:v>
      </x:c>
      <x:c r="D3" s="1">
        <x:v>1069.1</x:v>
      </x:c>
      <x:c r="E3" s="1">
        <x:v>6.8</x:v>
      </x:c>
      <x:c r="F3" s="1">
        <x:v>0.2</x:v>
      </x:c>
      <x:c r="G3" s="1">
        <x:v>256.1</x:v>
      </x:c>
      <x:c r="H3" s="18" t="n">
        <x:f t="shared" ref="H3:H470" si="1">IFERROR(D3/C3/11.1*0.585*C3,0)</x:f>
        <x:v>56.34445945945946</x:v>
      </x:c>
      <x:c r="I3" s="119" t="n">
        <x:f>C5*Scoring!$B$36+TE!D5/Scoring!$C$36+TE!E5*Scoring!$D$36+TE!F5*Scoring!$E$36+H5*Scoring!$F$36</x:f>
        <x:v>186.23</x:v>
      </x:c>
      <x:c r="J3" s="119" t="n">
        <x:f>C3*Scoring!$B$36+TE!D3/Scoring!$C$36+TE!E3*Scoring!$D$36+TE!F3*Scoring!$E$36+H3*Scoring!$F$36</x:f>
        <x:v>201.96000000000004</x:v>
      </x:c>
      <x:c r="K3" s="119" t="n">
        <x:f>C4*Scoring!$B$36+TE!D4/Scoring!$C$36+TE!E4*Scoring!$D$36+TE!F4*Scoring!$E$36+H4*Scoring!$F$36</x:f>
        <x:v>219</x:v>
      </x:c>
    </x:row>
    <x:row r="4" ht="14.25" customHeight="1">
      <x:c r="B4" s="1" t="s">
        <x:v>488</x:v>
      </x:c>
      <x:c r="C4" s="1">
        <x:v>115.0</x:v>
      </x:c>
      <x:c r="D4" s="1">
        <x:v>1135.0</x:v>
      </x:c>
      <x:c r="E4" s="1">
        <x:v>8.0</x:v>
      </x:c>
      <x:c r="F4" s="1">
        <x:v>0.0</x:v>
      </x:c>
      <x:c r="G4" s="1">
        <x:v>307.8</x:v>
      </x:c>
      <x:c r="H4" s="18">
        <x:f t="shared" si="1"/>
        <x:v>59.81756757</x:v>
      </x:c>
      <x:c r="I4" s="122"/>
      <x:c r="J4" s="122"/>
      <x:c r="K4" s="122"/>
    </x:row>
    <x:row r="5" ht="14.25" customHeight="1">
      <x:c r="B5" s="1" t="s">
        <x:v>489</x:v>
      </x:c>
      <x:c r="C5" s="1">
        <x:v>104.0</x:v>
      </x:c>
      <x:c r="D5" s="1">
        <x:v>1023.3</x:v>
      </x:c>
      <x:c r="E5" s="1">
        <x:v>5.4</x:v>
      </x:c>
      <x:c r="F5" s="1">
        <x:v>0.5</x:v>
      </x:c>
      <x:c r="G5" s="1">
        <x:v>243.0</x:v>
      </x:c>
      <x:c r="H5" s="18">
        <x:f t="shared" si="1"/>
        <x:v>53.93067568</x:v>
      </x:c>
      <x:c r="I5" s="122"/>
      <x:c r="J5" s="122"/>
      <x:c r="K5" s="122"/>
    </x:row>
    <x:row r="6" ht="14.25" customHeight="1">
      <x:c r="A6" s="1" t="s">
        <x:v>925</x:v>
      </x:c>
      <x:c r="B6" s="1" t="s">
        <x:v>547</x:v>
      </x:c>
      <x:c r="C6" s="1">
        <x:v>103.0</x:v>
      </x:c>
      <x:c r="D6" s="1">
        <x:v>1088.0</x:v>
      </x:c>
      <x:c r="E6" s="1">
        <x:v>7.5</x:v>
      </x:c>
      <x:c r="F6" s="1">
        <x:v>0.2</x:v>
      </x:c>
      <x:c r="G6" s="1">
        <x:v>243.7</x:v>
      </x:c>
      <x:c r="H6" s="18">
        <x:f t="shared" si="1"/>
        <x:v>57.34054054</x:v>
      </x:c>
      <x:c r="I6" s="119" t="n">
        <x:f>C8*Scoring!$B$36+TE!D8/Scoring!$C$36+TE!E8*Scoring!$D$36+TE!F8*Scoring!$E$36+H8*Scoring!$F$36</x:f>
        <x:v>181.39999999999998</x:v>
      </x:c>
      <x:c r="J6" s="119" t="n">
        <x:f>C6*Scoring!$B$36+TE!D6/Scoring!$C$36+TE!E6*Scoring!$D$36+TE!F6*Scoring!$E$36+H6*Scoring!$F$36</x:f>
        <x:v>205.10000000000002</x:v>
      </x:c>
      <x:c r="K6" s="119" t="n">
        <x:f>C7*Scoring!$B$36+TE!D7/Scoring!$C$36+TE!E7*Scoring!$D$36+TE!F7*Scoring!$E$36+H7*Scoring!$F$36</x:f>
        <x:v>220.7</x:v>
      </x:c>
    </x:row>
    <x:row r="7" ht="14.25" customHeight="1">
      <x:c r="B7" s="1" t="s">
        <x:v>488</x:v>
      </x:c>
      <x:c r="C7" s="1">
        <x:v>106.0</x:v>
      </x:c>
      <x:c r="D7" s="1">
        <x:v>1137.0</x:v>
      </x:c>
      <x:c r="E7" s="1">
        <x:v>9.0</x:v>
      </x:c>
      <x:c r="F7" s="1">
        <x:v>0.0</x:v>
      </x:c>
      <x:c r="G7" s="1">
        <x:v>298.9</x:v>
      </x:c>
      <x:c r="H7" s="18">
        <x:f t="shared" si="1"/>
        <x:v>59.92297297</x:v>
      </x:c>
      <x:c r="I7" s="122"/>
      <x:c r="J7" s="122"/>
      <x:c r="K7" s="122"/>
    </x:row>
    <x:row r="8" ht="14.25" customHeight="1">
      <x:c r="B8" s="1" t="s">
        <x:v>489</x:v>
      </x:c>
      <x:c r="C8" s="1">
        <x:v>88.0</x:v>
      </x:c>
      <x:c r="D8" s="1">
        <x:v>982.0</x:v>
      </x:c>
      <x:c r="E8" s="1">
        <x:v>6.6</x:v>
      </x:c>
      <x:c r="F8" s="1">
        <x:v>0.4</x:v>
      </x:c>
      <x:c r="G8" s="1">
        <x:v>238.7</x:v>
      </x:c>
      <x:c r="H8" s="18">
        <x:f t="shared" si="1"/>
        <x:v>51.75405405</x:v>
      </x:c>
      <x:c r="I8" s="122"/>
      <x:c r="J8" s="122"/>
      <x:c r="K8" s="122"/>
    </x:row>
    <x:row r="9" ht="14.25" customHeight="1">
      <x:c r="A9" s="1" t="s">
        <x:v>926</x:v>
      </x:c>
      <x:c r="B9" s="1" t="s">
        <x:v>511</x:v>
      </x:c>
      <x:c r="C9" s="1">
        <x:v>79.1</x:v>
      </x:c>
      <x:c r="D9" s="1">
        <x:v>927.1</x:v>
      </x:c>
      <x:c r="E9" s="1">
        <x:v>6.7</x:v>
      </x:c>
      <x:c r="F9" s="1">
        <x:v>0.2</x:v>
      </x:c>
      <x:c r="G9" s="1">
        <x:v>211.4</x:v>
      </x:c>
      <x:c r="H9" s="18">
        <x:f t="shared" si="1"/>
        <x:v>48.86067568</x:v>
      </x:c>
      <x:c r="I9" s="119" t="n">
        <x:f>C11*Scoring!$B$36+TE!D11/Scoring!$C$36+TE!E11*Scoring!$D$36+TE!F11*Scoring!$E$36+H11*Scoring!$F$36</x:f>
        <x:v>156.9</x:v>
      </x:c>
      <x:c r="J9" s="119" t="n">
        <x:f>C9*Scoring!$B$36+TE!D9/Scoring!$C$36+TE!E9*Scoring!$D$36+TE!F9*Scoring!$E$36+H9*Scoring!$F$36</x:f>
        <x:v>172.26</x:v>
      </x:c>
      <x:c r="K9" s="119" t="n">
        <x:f>C10*Scoring!$B$36+TE!D10/Scoring!$C$36+TE!E10*Scoring!$D$36+TE!F10*Scoring!$E$36+H10*Scoring!$F$36</x:f>
        <x:v>193.6</x:v>
      </x:c>
    </x:row>
    <x:row r="10" ht="14.25" customHeight="1">
      <x:c r="B10" s="1" t="s">
        <x:v>488</x:v>
      </x:c>
      <x:c r="C10" s="1">
        <x:v>84.0</x:v>
      </x:c>
      <x:c r="D10" s="1">
        <x:v>1036.0</x:v>
      </x:c>
      <x:c r="E10" s="1">
        <x:v>8.0</x:v>
      </x:c>
      <x:c r="F10" s="1">
        <x:v>0.0</x:v>
      </x:c>
      <x:c r="G10" s="1">
        <x:v>236.4</x:v>
      </x:c>
      <x:c r="H10" s="18">
        <x:f t="shared" si="1"/>
        <x:v>54.6</x:v>
      </x:c>
      <x:c r="I10" s="122"/>
      <x:c r="J10" s="122"/>
      <x:c r="K10" s="122"/>
    </x:row>
    <x:row r="11" ht="14.25" customHeight="1">
      <x:c r="B11" s="1" t="s">
        <x:v>489</x:v>
      </x:c>
      <x:c r="C11" s="1">
        <x:v>73.0</x:v>
      </x:c>
      <x:c r="D11" s="1">
        <x:v>848.0</x:v>
      </x:c>
      <x:c r="E11" s="1">
        <x:v>6.0</x:v>
      </x:c>
      <x:c r="F11" s="1">
        <x:v>0.4</x:v>
      </x:c>
      <x:c r="G11" s="1">
        <x:v>204.8</x:v>
      </x:c>
      <x:c r="H11" s="18">
        <x:f t="shared" si="1"/>
        <x:v>44.69189189</x:v>
      </x:c>
      <x:c r="I11" s="122"/>
      <x:c r="J11" s="122"/>
      <x:c r="K11" s="122"/>
    </x:row>
    <x:row r="12" ht="14.25" customHeight="1">
      <x:c r="A12" s="1" t="s">
        <x:v>927</x:v>
      </x:c>
      <x:c r="B12" s="1" t="s">
        <x:v>527</x:v>
      </x:c>
      <x:c r="C12" s="1">
        <x:v>79.0</x:v>
      </x:c>
      <x:c r="D12" s="1">
        <x:v>878.5</x:v>
      </x:c>
      <x:c r="E12" s="1">
        <x:v>5.5</x:v>
      </x:c>
      <x:c r="F12" s="1">
        <x:v>0.3</x:v>
      </x:c>
      <x:c r="G12" s="1">
        <x:v>199.2</x:v>
      </x:c>
      <x:c r="H12" s="18">
        <x:f t="shared" si="1"/>
        <x:v>46.29932432</x:v>
      </x:c>
      <x:c r="I12" s="119" t="n">
        <x:f>C14*Scoring!$B$36+TE!D14/Scoring!$C$36+TE!E14*Scoring!$D$36+TE!F14*Scoring!$E$36+H14*Scoring!$F$36</x:f>
        <x:v>150</x:v>
      </x:c>
      <x:c r="J12" s="119" t="n">
        <x:f>C12*Scoring!$B$36+TE!D12/Scoring!$C$36+TE!E12*Scoring!$D$36+TE!F12*Scoring!$E$36+H12*Scoring!$F$36</x:f>
        <x:v>160.04999999999998</x:v>
      </x:c>
      <x:c r="K12" s="119" t="n">
        <x:f>C13*Scoring!$B$36+TE!D13/Scoring!$C$36+TE!E13*Scoring!$D$36+TE!F13*Scoring!$E$36+H13*Scoring!$F$36</x:f>
        <x:v>169</x:v>
      </x:c>
    </x:row>
    <x:row r="13" ht="14.25" customHeight="1">
      <x:c r="B13" s="1" t="s">
        <x:v>488</x:v>
      </x:c>
      <x:c r="C13" s="1">
        <x:v>85.0</x:v>
      </x:c>
      <x:c r="D13" s="1">
        <x:v>905.0</x:v>
      </x:c>
      <x:c r="E13" s="1">
        <x:v>6.0</x:v>
      </x:c>
      <x:c r="F13" s="1">
        <x:v>0.0</x:v>
      </x:c>
      <x:c r="G13" s="1">
        <x:v>231.6</x:v>
      </x:c>
      <x:c r="H13" s="18">
        <x:f t="shared" si="1"/>
        <x:v>47.69594595</x:v>
      </x:c>
      <x:c r="I13" s="122"/>
      <x:c r="J13" s="122"/>
      <x:c r="K13" s="122"/>
    </x:row>
    <x:row r="14" ht="14.25" customHeight="1">
      <x:c r="B14" s="1" t="s">
        <x:v>489</x:v>
      </x:c>
      <x:c r="C14" s="1">
        <x:v>74.0</x:v>
      </x:c>
      <x:c r="D14" s="1">
        <x:v>836.0</x:v>
      </x:c>
      <x:c r="E14" s="1">
        <x:v>5.0</x:v>
      </x:c>
      <x:c r="F14" s="1">
        <x:v>0.6</x:v>
      </x:c>
      <x:c r="G14" s="1">
        <x:v>204.0</x:v>
      </x:c>
      <x:c r="H14" s="18">
        <x:f t="shared" si="1"/>
        <x:v>44.05945946</x:v>
      </x:c>
      <x:c r="I14" s="122"/>
      <x:c r="J14" s="122"/>
      <x:c r="K14" s="122"/>
    </x:row>
    <x:row r="15" ht="14.25" customHeight="1">
      <x:c r="A15" s="1" t="s">
        <x:v>928</x:v>
      </x:c>
      <x:c r="B15" s="1" t="s">
        <x:v>549</x:v>
      </x:c>
      <x:c r="C15" s="1">
        <x:v>79.7</x:v>
      </x:c>
      <x:c r="D15" s="1">
        <x:v>816.3</x:v>
      </x:c>
      <x:c r="E15" s="1">
        <x:v>5.4</x:v>
      </x:c>
      <x:c r="F15" s="1">
        <x:v>0.8</x:v>
      </x:c>
      <x:c r="G15" s="1">
        <x:v>192.1</x:v>
      </x:c>
      <x:c r="H15" s="18">
        <x:f t="shared" si="1"/>
        <x:v>43.02121622</x:v>
      </x:c>
      <x:c r="I15" s="119" t="n">
        <x:f>C17*Scoring!$B$36+TE!D17/Scoring!$C$36+TE!E17*Scoring!$D$36+TE!F17*Scoring!$E$36+H17*Scoring!$F$36</x:f>
        <x:v>136.8</x:v>
      </x:c>
      <x:c r="J15" s="119" t="n">
        <x:f>C15*Scoring!$B$36+TE!D15/Scoring!$C$36+TE!E15*Scoring!$D$36+TE!F15*Scoring!$E$36+H15*Scoring!$F$36</x:f>
        <x:v>153.07999999999998</x:v>
      </x:c>
      <x:c r="K15" s="119" t="n">
        <x:f>C16*Scoring!$B$36+TE!D16/Scoring!$C$36+TE!E16*Scoring!$D$36+TE!F16*Scoring!$E$36+H16*Scoring!$F$36</x:f>
        <x:v>171.8</x:v>
      </x:c>
    </x:row>
    <x:row r="16" ht="14.25" customHeight="1">
      <x:c r="B16" s="1" t="s">
        <x:v>488</x:v>
      </x:c>
      <x:c r="C16" s="1">
        <x:v>83.0</x:v>
      </x:c>
      <x:c r="D16" s="1">
        <x:v>829.0</x:v>
      </x:c>
      <x:c r="E16" s="1">
        <x:v>8.0</x:v>
      </x:c>
      <x:c r="F16" s="1">
        <x:v>0.6</x:v>
      </x:c>
      <x:c r="G16" s="1">
        <x:v>228.3</x:v>
      </x:c>
      <x:c r="H16" s="18">
        <x:f t="shared" si="1"/>
        <x:v>43.69054054</x:v>
      </x:c>
      <x:c r="I16" s="122"/>
      <x:c r="J16" s="122"/>
      <x:c r="K16" s="122"/>
    </x:row>
    <x:row r="17" ht="14.25" customHeight="1">
      <x:c r="B17" s="1" t="s">
        <x:v>489</x:v>
      </x:c>
      <x:c r="C17" s="1">
        <x:v>77.0</x:v>
      </x:c>
      <x:c r="D17" s="1">
        <x:v>801.0</x:v>
      </x:c>
      <x:c r="E17" s="1">
        <x:v>3.2</x:v>
      </x:c>
      <x:c r="F17" s="1">
        <x:v>1.0</x:v>
      </x:c>
      <x:c r="G17" s="1">
        <x:v>184.3</x:v>
      </x:c>
      <x:c r="H17" s="18">
        <x:f t="shared" si="1"/>
        <x:v>42.21486486</x:v>
      </x:c>
      <x:c r="I17" s="122"/>
      <x:c r="J17" s="122"/>
      <x:c r="K17" s="122"/>
    </x:row>
    <x:row r="18" ht="14.25" customHeight="1">
      <x:c r="A18" s="1" t="s">
        <x:v>929</x:v>
      </x:c>
      <x:c r="B18" s="1" t="s">
        <x:v>551</x:v>
      </x:c>
      <x:c r="C18" s="1">
        <x:v>77.2</x:v>
      </x:c>
      <x:c r="D18" s="1">
        <x:v>845.2</x:v>
      </x:c>
      <x:c r="E18" s="1">
        <x:v>4.4</x:v>
      </x:c>
      <x:c r="F18" s="1">
        <x:v>0.1</x:v>
      </x:c>
      <x:c r="G18" s="1">
        <x:v>187.8</x:v>
      </x:c>
      <x:c r="H18" s="18">
        <x:f t="shared" si="1"/>
        <x:v>44.54432432</x:v>
      </x:c>
      <x:c r="I18" s="119" t="n">
        <x:f>C20*Scoring!$B$36+TE!D20/Scoring!$C$36+TE!E20*Scoring!$D$36+TE!F20*Scoring!$E$36+H20*Scoring!$F$36</x:f>
        <x:v>138.6</x:v>
      </x:c>
      <x:c r="J18" s="119" t="n">
        <x:f>C18*Scoring!$B$36+TE!D18/Scoring!$C$36+TE!E18*Scoring!$D$36+TE!F18*Scoring!$E$36+H18*Scoring!$F$36</x:f>
        <x:v>149.42000000000002</x:v>
      </x:c>
      <x:c r="K18" s="119" t="n">
        <x:f>C19*Scoring!$B$36+TE!D19/Scoring!$C$36+TE!E19*Scoring!$D$36+TE!F19*Scoring!$E$36+H19*Scoring!$F$36</x:f>
        <x:v>162.01</x:v>
      </x:c>
    </x:row>
    <x:row r="19" ht="14.25" customHeight="1">
      <x:c r="B19" s="1" t="s">
        <x:v>488</x:v>
      </x:c>
      <x:c r="C19" s="1">
        <x:v>80.5</x:v>
      </x:c>
      <x:c r="D19" s="1">
        <x:v>857.6</x:v>
      </x:c>
      <x:c r="E19" s="1">
        <x:v>6.0</x:v>
      </x:c>
      <x:c r="F19" s="1">
        <x:v>0.0</x:v>
      </x:c>
      <x:c r="G19" s="1">
        <x:v>224.8</x:v>
      </x:c>
      <x:c r="H19" s="18">
        <x:f t="shared" si="1"/>
        <x:v>45.19783784</x:v>
      </x:c>
      <x:c r="I19" s="122"/>
      <x:c r="J19" s="122"/>
      <x:c r="K19" s="122"/>
    </x:row>
    <x:row r="20" ht="14.25" customHeight="1">
      <x:c r="B20" s="1" t="s">
        <x:v>489</x:v>
      </x:c>
      <x:c r="C20" s="1">
        <x:v>75.0</x:v>
      </x:c>
      <x:c r="D20" s="1">
        <x:v>822.0</x:v>
      </x:c>
      <x:c r="E20" s="1">
        <x:v>3.2</x:v>
      </x:c>
      <x:c r="F20" s="1">
        <x:v>0.3</x:v>
      </x:c>
      <x:c r="G20" s="1">
        <x:v>181.8</x:v>
      </x:c>
      <x:c r="H20" s="18">
        <x:f t="shared" si="1"/>
        <x:v>43.32162162</x:v>
      </x:c>
      <x:c r="I20" s="122"/>
      <x:c r="J20" s="122"/>
      <x:c r="K20" s="122"/>
    </x:row>
    <x:row r="21" ht="14.25" customHeight="1">
      <x:c r="A21" s="1" t="s">
        <x:v>930</x:v>
      </x:c>
      <x:c r="B21" s="1" t="s">
        <x:v>519</x:v>
      </x:c>
      <x:c r="C21" s="1">
        <x:v>70.4</x:v>
      </x:c>
      <x:c r="D21" s="1">
        <x:v>813.9</x:v>
      </x:c>
      <x:c r="E21" s="1">
        <x:v>5.5</x:v>
      </x:c>
      <x:c r="F21" s="1">
        <x:v>0.2</x:v>
      </x:c>
      <x:c r="G21" s="1">
        <x:v>184.1</x:v>
      </x:c>
      <x:c r="H21" s="18">
        <x:f t="shared" si="1"/>
        <x:v>42.89472973</x:v>
      </x:c>
      <x:c r="I21" s="119" t="n">
        <x:f>C23*Scoring!$B$36+TE!D23/Scoring!$C$36+TE!E23*Scoring!$D$36+TE!F23*Scoring!$E$36+H23*Scoring!$F$36</x:f>
        <x:v>134.6</x:v>
      </x:c>
      <x:c r="J21" s="119" t="n">
        <x:f>C21*Scoring!$B$36+TE!D21/Scoring!$C$36+TE!E21*Scoring!$D$36+TE!F21*Scoring!$E$36+H21*Scoring!$F$36</x:f>
        <x:v>149.39000000000001</x:v>
      </x:c>
      <x:c r="K21" s="119" t="n">
        <x:f>C22*Scoring!$B$36+TE!D22/Scoring!$C$36+TE!E22*Scoring!$D$36+TE!F22*Scoring!$E$36+H22*Scoring!$F$36</x:f>
        <x:v>166.15</x:v>
      </x:c>
    </x:row>
    <x:row r="22" ht="14.25" customHeight="1">
      <x:c r="B22" s="1" t="s">
        <x:v>488</x:v>
      </x:c>
      <x:c r="C22" s="1">
        <x:v>78.3</x:v>
      </x:c>
      <x:c r="D22" s="1">
        <x:v>910.0</x:v>
      </x:c>
      <x:c r="E22" s="1">
        <x:v>6.0</x:v>
      </x:c>
      <x:c r="F22" s="1">
        <x:v>0.0</x:v>
      </x:c>
      <x:c r="G22" s="1">
        <x:v>205.4</x:v>
      </x:c>
      <x:c r="H22" s="18">
        <x:f t="shared" si="1"/>
        <x:v>47.95945946</x:v>
      </x:c>
      <x:c r="I22" s="122"/>
      <x:c r="J22" s="122"/>
      <x:c r="K22" s="122"/>
    </x:row>
    <x:row r="23" ht="14.25" customHeight="1">
      <x:c r="B23" s="1" t="s">
        <x:v>489</x:v>
      </x:c>
      <x:c r="C23" s="1">
        <x:v>61.0</x:v>
      </x:c>
      <x:c r="D23" s="1">
        <x:v>745.0</x:v>
      </x:c>
      <x:c r="E23" s="1">
        <x:v>5.0</x:v>
      </x:c>
      <x:c r="F23" s="1">
        <x:v>0.4</x:v>
      </x:c>
      <x:c r="G23" s="1">
        <x:v>180.7</x:v>
      </x:c>
      <x:c r="H23" s="18">
        <x:f t="shared" si="1"/>
        <x:v>39.26351351</x:v>
      </x:c>
      <x:c r="I23" s="122"/>
      <x:c r="J23" s="122"/>
      <x:c r="K23" s="122"/>
    </x:row>
    <x:row r="24" ht="14.25" customHeight="1">
      <x:c r="A24" s="1" t="s">
        <x:v>931</x:v>
      </x:c>
      <x:c r="B24" s="1" t="s">
        <x:v>509</x:v>
      </x:c>
      <x:c r="C24" s="1">
        <x:v>75.3</x:v>
      </x:c>
      <x:c r="D24" s="1">
        <x:v>785.7</x:v>
      </x:c>
      <x:c r="E24" s="1">
        <x:v>4.8</x:v>
      </x:c>
      <x:c r="F24" s="1">
        <x:v>0.3</x:v>
      </x:c>
      <x:c r="G24" s="1">
        <x:v>182.4</x:v>
      </x:c>
      <x:c r="H24" s="18">
        <x:f t="shared" si="1"/>
        <x:v>41.40851351</x:v>
      </x:c>
      <x:c r="I24" s="119" t="n">
        <x:f>C26*Scoring!$B$36+TE!D26/Scoring!$C$36+TE!E26*Scoring!$D$36+TE!F26*Scoring!$E$36+H26*Scoring!$F$36</x:f>
        <x:v>137.1</x:v>
      </x:c>
      <x:c r="J24" s="119" t="n">
        <x:f>C24*Scoring!$B$36+TE!D24/Scoring!$C$36+TE!E24*Scoring!$D$36+TE!F24*Scoring!$E$36+H24*Scoring!$F$36</x:f>
        <x:v>144.71999999999997</x:v>
      </x:c>
      <x:c r="K24" s="119" t="n">
        <x:f>C25*Scoring!$B$36+TE!D25/Scoring!$C$36+TE!E25*Scoring!$D$36+TE!F25*Scoring!$E$36+H25*Scoring!$F$36</x:f>
        <x:v>157</x:v>
      </x:c>
    </x:row>
    <x:row r="25" ht="14.25" customHeight="1">
      <x:c r="B25" s="1" t="s">
        <x:v>488</x:v>
      </x:c>
      <x:c r="C25" s="1">
        <x:v>79.0</x:v>
      </x:c>
      <x:c r="D25" s="1">
        <x:v>815.0</x:v>
      </x:c>
      <x:c r="E25" s="1">
        <x:v>6.0</x:v>
      </x:c>
      <x:c r="F25" s="1">
        <x:v>0.0</x:v>
      </x:c>
      <x:c r="G25" s="1">
        <x:v>212.9</x:v>
      </x:c>
      <x:c r="H25" s="18">
        <x:f t="shared" si="1"/>
        <x:v>42.9527027</x:v>
      </x:c>
      <x:c r="I25" s="122"/>
      <x:c r="J25" s="122"/>
      <x:c r="K25" s="122"/>
    </x:row>
    <x:row r="26" ht="14.25" customHeight="1">
      <x:c r="B26" s="1" t="s">
        <x:v>489</x:v>
      </x:c>
      <x:c r="C26" s="1">
        <x:v>73.0</x:v>
      </x:c>
      <x:c r="D26" s="1">
        <x:v>771.0</x:v>
      </x:c>
      <x:c r="E26" s="1">
        <x:v>4.0</x:v>
      </x:c>
      <x:c r="F26" s="1">
        <x:v>0.5</x:v>
      </x:c>
      <x:c r="G26" s="1">
        <x:v>179.0</x:v>
      </x:c>
      <x:c r="H26" s="18">
        <x:f t="shared" si="1"/>
        <x:v>40.63378378</x:v>
      </x:c>
      <x:c r="I26" s="122"/>
      <x:c r="J26" s="122"/>
      <x:c r="K26" s="122"/>
    </x:row>
    <x:row r="27" ht="14.25" customHeight="1">
      <x:c r="A27" s="1" t="s">
        <x:v>932</x:v>
      </x:c>
      <x:c r="B27" s="1" t="s">
        <x:v>503</x:v>
      </x:c>
      <x:c r="C27" s="1">
        <x:v>67.9</x:v>
      </x:c>
      <x:c r="D27" s="1">
        <x:v>771.1</x:v>
      </x:c>
      <x:c r="E27" s="1">
        <x:v>6.1</x:v>
      </x:c>
      <x:c r="F27" s="1">
        <x:v>0.2</x:v>
      </x:c>
      <x:c r="G27" s="1">
        <x:v>181.1</x:v>
      </x:c>
      <x:c r="H27" s="18">
        <x:f t="shared" si="1"/>
        <x:v>40.63905405</x:v>
      </x:c>
      <x:c r="I27" s="119" t="n">
        <x:f>C29*Scoring!$B$36+TE!D29/Scoring!$C$36+TE!E29*Scoring!$D$36+TE!F29*Scoring!$E$36+H29*Scoring!$F$36</x:f>
        <x:v>123.7</x:v>
      </x:c>
      <x:c r="J27" s="119" t="n">
        <x:f>C27*Scoring!$B$36+TE!D27/Scoring!$C$36+TE!E27*Scoring!$D$36+TE!F27*Scoring!$E$36+H27*Scoring!$F$36</x:f>
        <x:v>147.46</x:v>
      </x:c>
      <x:c r="K27" s="119" t="n">
        <x:f>C28*Scoring!$B$36+TE!D28/Scoring!$C$36+TE!E28*Scoring!$D$36+TE!F28*Scoring!$E$36+H28*Scoring!$F$36</x:f>
        <x:v>176.3</x:v>
      </x:c>
    </x:row>
    <x:row r="28" ht="14.25" customHeight="1">
      <x:c r="B28" s="1" t="s">
        <x:v>488</x:v>
      </x:c>
      <x:c r="C28" s="1">
        <x:v>77.0</x:v>
      </x:c>
      <x:c r="D28" s="1">
        <x:v>898.0</x:v>
      </x:c>
      <x:c r="E28" s="1">
        <x:v>8.0</x:v>
      </x:c>
      <x:c r="F28" s="1">
        <x:v>0.0</x:v>
      </x:c>
      <x:c r="G28" s="1">
        <x:v>196.9</x:v>
      </x:c>
      <x:c r="H28" s="18">
        <x:f t="shared" si="1"/>
        <x:v>47.32702703</x:v>
      </x:c>
      <x:c r="I28" s="122"/>
      <x:c r="J28" s="122"/>
      <x:c r="K28" s="122"/>
    </x:row>
    <x:row r="29" ht="14.25" customHeight="1">
      <x:c r="B29" s="1" t="s">
        <x:v>489</x:v>
      </x:c>
      <x:c r="C29" s="1">
        <x:v>57.0</x:v>
      </x:c>
      <x:c r="D29" s="1">
        <x:v>655.0</x:v>
      </x:c>
      <x:c r="E29" s="1">
        <x:v>5.0</x:v>
      </x:c>
      <x:c r="F29" s="1">
        <x:v>0.3</x:v>
      </x:c>
      <x:c r="G29" s="1">
        <x:v>175.0</x:v>
      </x:c>
      <x:c r="H29" s="18">
        <x:f t="shared" si="1"/>
        <x:v>34.52027027</x:v>
      </x:c>
      <x:c r="I29" s="122"/>
      <x:c r="J29" s="122"/>
      <x:c r="K29" s="122"/>
    </x:row>
    <x:row r="30" ht="14.25" customHeight="1">
      <x:c r="A30" s="1" t="s">
        <x:v>933</x:v>
      </x:c>
      <x:c r="B30" s="1" t="s">
        <x:v>497</x:v>
      </x:c>
      <x:c r="C30" s="1">
        <x:v>65.5</x:v>
      </x:c>
      <x:c r="D30" s="1">
        <x:v>689.2</x:v>
      </x:c>
      <x:c r="E30" s="1">
        <x:v>7.6</x:v>
      </x:c>
      <x:c r="F30" s="1">
        <x:v>0.2</x:v>
      </x:c>
      <x:c r="G30" s="1">
        <x:v>179.5</x:v>
      </x:c>
      <x:c r="H30" s="18">
        <x:f t="shared" si="1"/>
        <x:v>36.3227027</x:v>
      </x:c>
      <x:c r="I30" s="119" t="n">
        <x:f>C32*Scoring!$B$36+TE!D32/Scoring!$C$36+TE!E32*Scoring!$D$36+TE!F32*Scoring!$E$36+H32*Scoring!$F$36</x:f>
        <x:v>125.3</x:v>
      </x:c>
      <x:c r="J30" s="119" t="n">
        <x:f>C30*Scoring!$B$36+TE!D30/Scoring!$C$36+TE!E30*Scoring!$D$36+TE!F30*Scoring!$E$36+H30*Scoring!$F$36</x:f>
        <x:v>147.07</x:v>
      </x:c>
      <x:c r="K30" s="119" t="n">
        <x:f>C31*Scoring!$B$36+TE!D31/Scoring!$C$36+TE!E31*Scoring!$D$36+TE!F31*Scoring!$E$36+H31*Scoring!$F$36</x:f>
        <x:v>173.87</x:v>
      </x:c>
    </x:row>
    <x:row r="31" ht="14.25" customHeight="1">
      <x:c r="B31" s="1" t="s">
        <x:v>488</x:v>
      </x:c>
      <x:c r="C31" s="1">
        <x:v>70.6</x:v>
      </x:c>
      <x:c r="D31" s="1">
        <x:v>725.7</x:v>
      </x:c>
      <x:c r="E31" s="1">
        <x:v>11.0</x:v>
      </x:c>
      <x:c r="F31" s="1">
        <x:v>0.0</x:v>
      </x:c>
      <x:c r="G31" s="1">
        <x:v>201.5</x:v>
      </x:c>
      <x:c r="H31" s="18">
        <x:f t="shared" si="1"/>
        <x:v>38.24635135</x:v>
      </x:c>
      <x:c r="I31" s="122"/>
      <x:c r="J31" s="122"/>
      <x:c r="K31" s="122"/>
    </x:row>
    <x:row r="32" ht="14.25" customHeight="1">
      <x:c r="B32" s="1" t="s">
        <x:v>489</x:v>
      </x:c>
      <x:c r="C32" s="1">
        <x:v>58.0</x:v>
      </x:c>
      <x:c r="D32" s="1">
        <x:v>625.0</x:v>
      </x:c>
      <x:c r="E32" s="1">
        <x:v>5.7</x:v>
      </x:c>
      <x:c r="F32" s="1">
        <x:v>0.4</x:v>
      </x:c>
      <x:c r="G32" s="1">
        <x:v>172.0</x:v>
      </x:c>
      <x:c r="H32" s="18">
        <x:f t="shared" si="1"/>
        <x:v>32.93918919</x:v>
      </x:c>
      <x:c r="I32" s="122"/>
      <x:c r="J32" s="122"/>
      <x:c r="K32" s="122"/>
    </x:row>
    <x:row r="33" ht="14.25" customHeight="1">
      <x:c r="A33" s="1" t="s">
        <x:v>934</x:v>
      </x:c>
      <x:c r="B33" s="1" t="s">
        <x:v>531</x:v>
      </x:c>
      <x:c r="C33" s="1">
        <x:v>61.5</x:v>
      </x:c>
      <x:c r="D33" s="1">
        <x:v>785.8</x:v>
      </x:c>
      <x:c r="E33" s="1">
        <x:v>6.5</x:v>
      </x:c>
      <x:c r="F33" s="1">
        <x:v>0.2</x:v>
      </x:c>
      <x:c r="G33" s="1">
        <x:v>178.4</x:v>
      </x:c>
      <x:c r="H33" s="18">
        <x:f t="shared" si="1"/>
        <x:v>41.41378378</x:v>
      </x:c>
      <x:c r="I33" s="119" t="n">
        <x:f>C35*Scoring!$B$36+TE!D35/Scoring!$C$36+TE!E35*Scoring!$D$36+TE!F35*Scoring!$E$36+H35*Scoring!$F$36</x:f>
        <x:v>126.30000000000001</x:v>
      </x:c>
      <x:c r="J33" s="119" t="n">
        <x:f>C33*Scoring!$B$36+TE!D33/Scoring!$C$36+TE!E33*Scoring!$D$36+TE!F33*Scoring!$E$36+H33*Scoring!$F$36</x:f>
        <x:v>148.13</x:v>
      </x:c>
      <x:c r="K33" s="119" t="n">
        <x:f>C34*Scoring!$B$36+TE!D34/Scoring!$C$36+TE!E34*Scoring!$D$36+TE!F34*Scoring!$E$36+H34*Scoring!$F$36</x:f>
        <x:v>177.54000000000002</x:v>
      </x:c>
    </x:row>
    <x:row r="34" ht="14.25" customHeight="1">
      <x:c r="B34" s="1" t="s">
        <x:v>488</x:v>
      </x:c>
      <x:c r="C34" s="1">
        <x:v>71.4</x:v>
      </x:c>
      <x:c r="D34" s="1">
        <x:v>818.4</x:v>
      </x:c>
      <x:c r="E34" s="1">
        <x:v>10.0</x:v>
      </x:c>
      <x:c r="F34" s="1">
        <x:v>0.0</x:v>
      </x:c>
      <x:c r="G34" s="1">
        <x:v>193.5</x:v>
      </x:c>
      <x:c r="H34" s="18">
        <x:f t="shared" si="1"/>
        <x:v>43.13189189</x:v>
      </x:c>
      <x:c r="I34" s="122"/>
      <x:c r="J34" s="122"/>
      <x:c r="K34" s="122"/>
    </x:row>
    <x:row r="35" ht="14.25" customHeight="1">
      <x:c r="B35" s="1" t="s">
        <x:v>489</x:v>
      </x:c>
      <x:c r="C35" s="1">
        <x:v>56.0</x:v>
      </x:c>
      <x:c r="D35" s="1">
        <x:v>724.0</x:v>
      </x:c>
      <x:c r="E35" s="1">
        <x:v>4.4</x:v>
      </x:c>
      <x:c r="F35" s="1">
        <x:v>0.5</x:v>
      </x:c>
      <x:c r="G35" s="1">
        <x:v>170.8</x:v>
      </x:c>
      <x:c r="H35" s="18">
        <x:f t="shared" si="1"/>
        <x:v>38.15675676</x:v>
      </x:c>
      <x:c r="I35" s="122"/>
      <x:c r="J35" s="122"/>
      <x:c r="K35" s="122"/>
    </x:row>
    <x:row r="36" ht="14.25" customHeight="1">
      <x:c r="A36" s="1" t="s">
        <x:v>935</x:v>
      </x:c>
      <x:c r="B36" s="1" t="s">
        <x:v>507</x:v>
      </x:c>
      <x:c r="C36" s="1">
        <x:v>73.9</x:v>
      </x:c>
      <x:c r="D36" s="1">
        <x:v>606.4</x:v>
      </x:c>
      <x:c r="E36" s="1">
        <x:v>5.9</x:v>
      </x:c>
      <x:c r="F36" s="1">
        <x:v>1.4</x:v>
      </x:c>
      <x:c r="G36" s="1">
        <x:v>167.4</x:v>
      </x:c>
      <x:c r="H36" s="18">
        <x:f t="shared" si="1"/>
        <x:v>31.95891892</x:v>
      </x:c>
      <x:c r="I36" s="119" t="n">
        <x:f>C38*Scoring!$B$36+TE!D38/Scoring!$C$36+TE!E38*Scoring!$D$36+TE!F38*Scoring!$E$36+H38*Scoring!$F$36</x:f>
        <x:v>122</x:v>
      </x:c>
      <x:c r="J36" s="119" t="n">
        <x:f>C36*Scoring!$B$36+TE!D36/Scoring!$C$36+TE!E36*Scoring!$D$36+TE!F36*Scoring!$E$36+H36*Scoring!$F$36</x:f>
        <x:v>131.59</x:v>
      </x:c>
      <x:c r="K36" s="119" t="n">
        <x:f>C37*Scoring!$B$36+TE!D37/Scoring!$C$36+TE!E37*Scoring!$D$36+TE!F37*Scoring!$E$36+H37*Scoring!$F$36</x:f>
        <x:v>143.79999999999998</x:v>
      </x:c>
    </x:row>
    <x:row r="37" ht="14.25" customHeight="1">
      <x:c r="B37" s="1" t="s">
        <x:v>488</x:v>
      </x:c>
      <x:c r="C37" s="1">
        <x:v>78.0</x:v>
      </x:c>
      <x:c r="D37" s="1">
        <x:v>636.0</x:v>
      </x:c>
      <x:c r="E37" s="1">
        <x:v>7.0</x:v>
      </x:c>
      <x:c r="F37" s="1">
        <x:v>0.8</x:v>
      </x:c>
      <x:c r="G37" s="1">
        <x:v>197.9</x:v>
      </x:c>
      <x:c r="H37" s="18">
        <x:f t="shared" si="1"/>
        <x:v>33.51891892</x:v>
      </x:c>
      <x:c r="I37" s="122"/>
      <x:c r="J37" s="122"/>
      <x:c r="K37" s="122"/>
    </x:row>
    <x:row r="38" ht="14.25" customHeight="1">
      <x:c r="B38" s="1" t="s">
        <x:v>489</x:v>
      </x:c>
      <x:c r="C38" s="1">
        <x:v>71.0</x:v>
      </x:c>
      <x:c r="D38" s="1">
        <x:v>585.0</x:v>
      </x:c>
      <x:c r="E38" s="1">
        <x:v>5.0</x:v>
      </x:c>
      <x:c r="F38" s="1">
        <x:v>2.0</x:v>
      </x:c>
      <x:c r="G38" s="1">
        <x:v>166.9</x:v>
      </x:c>
      <x:c r="H38" s="18">
        <x:f t="shared" si="1"/>
        <x:v>30.83108108</x:v>
      </x:c>
      <x:c r="I38" s="122"/>
      <x:c r="J38" s="122"/>
      <x:c r="K38" s="122"/>
    </x:row>
    <x:row r="39" ht="14.25" customHeight="1">
      <x:c r="A39" s="1" t="s">
        <x:v>936</x:v>
      </x:c>
      <x:c r="B39" s="1" t="s">
        <x:v>491</x:v>
      </x:c>
      <x:c r="C39" s="1">
        <x:v>59.7</x:v>
      </x:c>
      <x:c r="D39" s="1">
        <x:v>618.9</x:v>
      </x:c>
      <x:c r="E39" s="1">
        <x:v>7.7</x:v>
      </x:c>
      <x:c r="F39" s="1">
        <x:v>0.3</x:v>
      </x:c>
      <x:c r="G39" s="1">
        <x:v>167.2</x:v>
      </x:c>
      <x:c r="H39" s="18">
        <x:f t="shared" si="1"/>
        <x:v>32.6177027</x:v>
      </x:c>
      <x:c r="I39" s="119" t="n">
        <x:f>C41*Scoring!$B$36+TE!D41/Scoring!$C$36+TE!E41*Scoring!$D$36+TE!F41*Scoring!$E$36+H41*Scoring!$F$36</x:f>
        <x:v>123.9</x:v>
      </x:c>
      <x:c r="J39" s="119" t="n">
        <x:f>C39*Scoring!$B$36+TE!D39/Scoring!$C$36+TE!E39*Scoring!$D$36+TE!F39*Scoring!$E$36+H39*Scoring!$F$36</x:f>
        <x:v>137.64</x:v>
      </x:c>
      <x:c r="K39" s="119" t="n">
        <x:f>C40*Scoring!$B$36+TE!D40/Scoring!$C$36+TE!E40*Scoring!$D$36+TE!F40*Scoring!$E$36+H40*Scoring!$F$36</x:f>
        <x:v>155</x:v>
      </x:c>
    </x:row>
    <x:row r="40" ht="14.25" customHeight="1">
      <x:c r="B40" s="1" t="s">
        <x:v>488</x:v>
      </x:c>
      <x:c r="C40" s="1">
        <x:v>61.0</x:v>
      </x:c>
      <x:c r="D40" s="1">
        <x:v>645.0</x:v>
      </x:c>
      <x:c r="E40" s="1">
        <x:v>10.0</x:v>
      </x:c>
      <x:c r="F40" s="1">
        <x:v>0.0</x:v>
      </x:c>
      <x:c r="G40" s="1">
        <x:v>190.7</x:v>
      </x:c>
      <x:c r="H40" s="18">
        <x:f t="shared" si="1"/>
        <x:v>33.99324324</x:v>
      </x:c>
      <x:c r="I40" s="122"/>
      <x:c r="J40" s="122"/>
      <x:c r="K40" s="122"/>
    </x:row>
    <x:row r="41" ht="14.25" customHeight="1">
      <x:c r="B41" s="1" t="s">
        <x:v>489</x:v>
      </x:c>
      <x:c r="C41" s="1">
        <x:v>58.0</x:v>
      </x:c>
      <x:c r="D41" s="1">
        <x:v>594.0</x:v>
      </x:c>
      <x:c r="E41" s="1">
        <x:v>6.0</x:v>
      </x:c>
      <x:c r="F41" s="1">
        <x:v>0.5</x:v>
      </x:c>
      <x:c r="G41" s="1">
        <x:v>171.0</x:v>
      </x:c>
      <x:c r="H41" s="18">
        <x:f t="shared" si="1"/>
        <x:v>31.30540541</x:v>
      </x:c>
      <x:c r="I41" s="122"/>
      <x:c r="J41" s="122"/>
      <x:c r="K41" s="122"/>
    </x:row>
    <x:row r="42" ht="14.25" customHeight="1">
      <x:c r="A42" s="1" t="s">
        <x:v>937</x:v>
      </x:c>
      <x:c r="B42" s="1" t="s">
        <x:v>501</x:v>
      </x:c>
      <x:c r="C42" s="1">
        <x:v>62.4</x:v>
      </x:c>
      <x:c r="D42" s="1">
        <x:v>745.6</x:v>
      </x:c>
      <x:c r="E42" s="1">
        <x:v>5.0</x:v>
      </x:c>
      <x:c r="F42" s="1">
        <x:v>1.3</x:v>
      </x:c>
      <x:c r="G42" s="1">
        <x:v>164.7</x:v>
      </x:c>
      <x:c r="H42" s="18">
        <x:f t="shared" si="1"/>
        <x:v>39.29513514</x:v>
      </x:c>
      <x:c r="I42" s="119" t="n">
        <x:f>C44*Scoring!$B$36+TE!D44/Scoring!$C$36+TE!E44*Scoring!$D$36+TE!F44*Scoring!$E$36+H44*Scoring!$F$36</x:f>
        <x:v>115.6</x:v>
      </x:c>
      <x:c r="J42" s="119" t="n">
        <x:f>C42*Scoring!$B$36+TE!D42/Scoring!$C$36+TE!E42*Scoring!$D$36+TE!F42*Scoring!$E$36+H42*Scoring!$F$36</x:f>
        <x:v>134.45999999999998</x:v>
      </x:c>
      <x:c r="K42" s="119" t="n">
        <x:f>C43*Scoring!$B$36+TE!D43/Scoring!$C$36+TE!E43*Scoring!$D$36+TE!F43*Scoring!$E$36+H43*Scoring!$F$36</x:f>
        <x:v>165.2</x:v>
      </x:c>
    </x:row>
    <x:row r="43" ht="14.25" customHeight="1">
      <x:c r="B43" s="1" t="s">
        <x:v>488</x:v>
      </x:c>
      <x:c r="C43" s="1">
        <x:v>68.0</x:v>
      </x:c>
      <x:c r="D43" s="1">
        <x:v>897.0</x:v>
      </x:c>
      <x:c r="E43" s="1">
        <x:v>7.0</x:v>
      </x:c>
      <x:c r="F43" s="1">
        <x:v>0.5</x:v>
      </x:c>
      <x:c r="G43" s="1">
        <x:v>181.4</x:v>
      </x:c>
      <x:c r="H43" s="18">
        <x:f t="shared" si="1"/>
        <x:v>47.27432432</x:v>
      </x:c>
      <x:c r="I43" s="122"/>
      <x:c r="J43" s="122"/>
      <x:c r="K43" s="122"/>
    </x:row>
    <x:row r="44" ht="14.25" customHeight="1">
      <x:c r="B44" s="1" t="s">
        <x:v>489</x:v>
      </x:c>
      <x:c r="C44" s="1">
        <x:v>56.0</x:v>
      </x:c>
      <x:c r="D44" s="1">
        <x:v>656.0</x:v>
      </x:c>
      <x:c r="E44" s="1">
        <x:v>4.0</x:v>
      </x:c>
      <x:c r="F44" s="1">
        <x:v>2.0</x:v>
      </x:c>
      <x:c r="G44" s="1">
        <x:v>154.8</x:v>
      </x:c>
      <x:c r="H44" s="18">
        <x:f t="shared" si="1"/>
        <x:v>34.57297297</x:v>
      </x:c>
      <x:c r="I44" s="122"/>
      <x:c r="J44" s="122"/>
      <x:c r="K44" s="122"/>
    </x:row>
    <x:row r="45" ht="14.25" customHeight="1">
      <x:c r="A45" s="1" t="s">
        <x:v>938</x:v>
      </x:c>
      <x:c r="B45" s="1" t="s">
        <x:v>487</x:v>
      </x:c>
      <x:c r="C45" s="1">
        <x:v>57.1</x:v>
      </x:c>
      <x:c r="D45" s="1">
        <x:v>706.8</x:v>
      </x:c>
      <x:c r="E45" s="1">
        <x:v>5.5</x:v>
      </x:c>
      <x:c r="F45" s="1">
        <x:v>0.2</x:v>
      </x:c>
      <x:c r="G45" s="1">
        <x:v>160.2</x:v>
      </x:c>
      <x:c r="H45" s="18">
        <x:f t="shared" si="1"/>
        <x:v>37.25027027</x:v>
      </x:c>
      <x:c r="I45" s="119" t="n">
        <x:f>C47*Scoring!$B$36+TE!D47/Scoring!$C$36+TE!E47*Scoring!$D$36+TE!F47*Scoring!$E$36+H47*Scoring!$F$36</x:f>
        <x:v>116.4</x:v>
      </x:c>
      <x:c r="J45" s="119" t="n">
        <x:f>C45*Scoring!$B$36+TE!D45/Scoring!$C$36+TE!E45*Scoring!$D$36+TE!F45*Scoring!$E$36+H45*Scoring!$F$36</x:f>
        <x:v>132.03</x:v>
      </x:c>
      <x:c r="K45" s="119" t="n">
        <x:f>C46*Scoring!$B$36+TE!D46/Scoring!$C$36+TE!E46*Scoring!$D$36+TE!F46*Scoring!$E$36+H46*Scoring!$F$36</x:f>
        <x:v>149.8</x:v>
      </x:c>
    </x:row>
    <x:row r="46" ht="14.25" customHeight="1">
      <x:c r="B46" s="1" t="s">
        <x:v>488</x:v>
      </x:c>
      <x:c r="C46" s="1">
        <x:v>60.0</x:v>
      </x:c>
      <x:c r="D46" s="1">
        <x:v>778.0</x:v>
      </x:c>
      <x:c r="E46" s="1">
        <x:v>7.0</x:v>
      </x:c>
      <x:c r="F46" s="1">
        <x:v>0.0</x:v>
      </x:c>
      <x:c r="G46" s="1">
        <x:v>177.6</x:v>
      </x:c>
      <x:c r="H46" s="18">
        <x:f t="shared" si="1"/>
        <x:v>41.0027027</x:v>
      </x:c>
      <x:c r="I46" s="122"/>
      <x:c r="J46" s="122"/>
      <x:c r="K46" s="122"/>
    </x:row>
    <x:row r="47" ht="14.25" customHeight="1">
      <x:c r="B47" s="1" t="s">
        <x:v>489</x:v>
      </x:c>
      <x:c r="C47" s="1">
        <x:v>52.0</x:v>
      </x:c>
      <x:c r="D47" s="1">
        <x:v>645.0</x:v>
      </x:c>
      <x:c r="E47" s="1">
        <x:v>4.4</x:v>
      </x:c>
      <x:c r="F47" s="1">
        <x:v>0.5</x:v>
      </x:c>
      <x:c r="G47" s="1">
        <x:v>153.2</x:v>
      </x:c>
      <x:c r="H47" s="18">
        <x:f t="shared" si="1"/>
        <x:v>33.99324324</x:v>
      </x:c>
      <x:c r="I47" s="122"/>
      <x:c r="J47" s="122"/>
      <x:c r="K47" s="122"/>
    </x:row>
    <x:row r="48" ht="14.25" customHeight="1">
      <x:c r="A48" s="1" t="s">
        <x:v>939</x:v>
      </x:c>
      <x:c r="B48" s="1" t="s">
        <x:v>521</x:v>
      </x:c>
      <x:c r="C48" s="1">
        <x:v>64.7</x:v>
      </x:c>
      <x:c r="D48" s="1">
        <x:v>730.3</x:v>
      </x:c>
      <x:c r="E48" s="1">
        <x:v>3.3</x:v>
      </x:c>
      <x:c r="F48" s="1">
        <x:v>1.3</x:v>
      </x:c>
      <x:c r="G48" s="1">
        <x:v>154.7</x:v>
      </x:c>
      <x:c r="H48" s="18">
        <x:f t="shared" si="1"/>
        <x:v>38.48878378</x:v>
      </x:c>
      <x:c r="I48" s="119" t="n">
        <x:f>C50*Scoring!$B$36+TE!D50/Scoring!$C$36+TE!E50*Scoring!$D$36+TE!F50*Scoring!$E$36+H50*Scoring!$F$36</x:f>
        <x:v>109.27999999999999</x:v>
      </x:c>
      <x:c r="J48" s="119" t="n">
        <x:f>C48*Scoring!$B$36+TE!D48/Scoring!$C$36+TE!E48*Scoring!$D$36+TE!F48*Scoring!$E$36+H48*Scoring!$F$36</x:f>
        <x:v>123.88</x:v>
      </x:c>
      <x:c r="K48" s="119" t="n">
        <x:f>C49*Scoring!$B$36+TE!D49/Scoring!$C$36+TE!E49*Scoring!$D$36+TE!F49*Scoring!$E$36+H49*Scoring!$F$36</x:f>
        <x:v>145.9</x:v>
      </x:c>
    </x:row>
    <x:row r="49" ht="14.25" customHeight="1">
      <x:c r="B49" s="1" t="s">
        <x:v>488</x:v>
      </x:c>
      <x:c r="C49" s="1">
        <x:v>71.0</x:v>
      </x:c>
      <x:c r="D49" s="1">
        <x:v>870.0</x:v>
      </x:c>
      <x:c r="E49" s="1">
        <x:v>4.0</x:v>
      </x:c>
      <x:c r="F49" s="1">
        <x:v>0.6</x:v>
      </x:c>
      <x:c r="G49" s="1">
        <x:v>180.3</x:v>
      </x:c>
      <x:c r="H49" s="18">
        <x:f t="shared" si="1"/>
        <x:v>45.85135135</x:v>
      </x:c>
      <x:c r="I49" s="122"/>
      <x:c r="J49" s="122"/>
      <x:c r="K49" s="122"/>
    </x:row>
    <x:row r="50" ht="14.25" customHeight="1">
      <x:c r="B50" s="1" t="s">
        <x:v>489</x:v>
      </x:c>
      <x:c r="C50" s="1">
        <x:v>60.0</x:v>
      </x:c>
      <x:c r="D50" s="1">
        <x:v>644.8</x:v>
      </x:c>
      <x:c r="E50" s="1">
        <x:v>2.8</x:v>
      </x:c>
      <x:c r="F50" s="1">
        <x:v>2.0</x:v>
      </x:c>
      <x:c r="G50" s="1">
        <x:v>145.1</x:v>
      </x:c>
      <x:c r="H50" s="18">
        <x:f t="shared" si="1"/>
        <x:v>33.9827027</x:v>
      </x:c>
      <x:c r="I50" s="122"/>
      <x:c r="J50" s="122"/>
      <x:c r="K50" s="122"/>
    </x:row>
    <x:row r="51" ht="14.25" customHeight="1">
      <x:c r="A51" s="1" t="s">
        <x:v>940</x:v>
      </x:c>
      <x:c r="B51" s="1" t="s">
        <x:v>493</x:v>
      </x:c>
      <x:c r="C51" s="1">
        <x:v>55.6</x:v>
      </x:c>
      <x:c r="D51" s="1">
        <x:v>650.2</x:v>
      </x:c>
      <x:c r="E51" s="1">
        <x:v>5.4</x:v>
      </x:c>
      <x:c r="F51" s="1">
        <x:v>0.1</x:v>
      </x:c>
      <x:c r="G51" s="1">
        <x:v>152.9</x:v>
      </x:c>
      <x:c r="H51" s="18">
        <x:f t="shared" si="1"/>
        <x:v>34.2672973</x:v>
      </x:c>
      <x:c r="I51" s="119" t="n">
        <x:f>C53*Scoring!$B$36+TE!D53/Scoring!$C$36+TE!E53*Scoring!$D$36+TE!F53*Scoring!$E$36+H53*Scoring!$F$36</x:f>
        <x:v>119.7</x:v>
      </x:c>
      <x:c r="J51" s="119" t="n">
        <x:f>C51*Scoring!$B$36+TE!D51/Scoring!$C$36+TE!E51*Scoring!$D$36+TE!F51*Scoring!$E$36+H51*Scoring!$F$36</x:f>
        <x:v>125.12000000000002</x:v>
      </x:c>
      <x:c r="K51" s="119" t="n">
        <x:f>C52*Scoring!$B$36+TE!D52/Scoring!$C$36+TE!E52*Scoring!$D$36+TE!F52*Scoring!$E$36+H52*Scoring!$F$36</x:f>
        <x:v>133.9</x:v>
      </x:c>
    </x:row>
    <x:row r="52" ht="14.25" customHeight="1">
      <x:c r="B52" s="1" t="s">
        <x:v>488</x:v>
      </x:c>
      <x:c r="C52" s="1">
        <x:v>56.0</x:v>
      </x:c>
      <x:c r="D52" s="1">
        <x:v>699.0</x:v>
      </x:c>
      <x:c r="E52" s="1">
        <x:v>6.0</x:v>
      </x:c>
      <x:c r="F52" s="1">
        <x:v>0.0</x:v>
      </x:c>
      <x:c r="G52" s="1">
        <x:v>175.5</x:v>
      </x:c>
      <x:c r="H52" s="18">
        <x:f t="shared" si="1"/>
        <x:v>36.83918919</x:v>
      </x:c>
      <x:c r="I52" s="122"/>
      <x:c r="J52" s="122"/>
      <x:c r="K52" s="122"/>
    </x:row>
    <x:row r="53" ht="14.25" customHeight="1">
      <x:c r="B53" s="1" t="s">
        <x:v>489</x:v>
      </x:c>
      <x:c r="C53" s="1">
        <x:v>55.0</x:v>
      </x:c>
      <x:c r="D53" s="1">
        <x:v>624.0</x:v>
      </x:c>
      <x:c r="E53" s="1">
        <x:v>5.0</x:v>
      </x:c>
      <x:c r="F53" s="1">
        <x:v>0.2</x:v>
      </x:c>
      <x:c r="G53" s="1">
        <x:v>149.7</x:v>
      </x:c>
      <x:c r="H53" s="18">
        <x:f t="shared" si="1"/>
        <x:v>32.88648649</x:v>
      </x:c>
      <x:c r="I53" s="122"/>
      <x:c r="J53" s="122"/>
      <x:c r="K53" s="122"/>
    </x:row>
    <x:row r="54" ht="14.25" customHeight="1">
      <x:c r="A54" s="1" t="s">
        <x:v>941</x:v>
      </x:c>
      <x:c r="B54" s="1" t="s">
        <x:v>505</x:v>
      </x:c>
      <x:c r="C54" s="1">
        <x:v>60.0</x:v>
      </x:c>
      <x:c r="D54" s="1">
        <x:v>661.2</x:v>
      </x:c>
      <x:c r="E54" s="1">
        <x:v>4.3</x:v>
      </x:c>
      <x:c r="F54" s="1">
        <x:v>0.2</x:v>
      </x:c>
      <x:c r="G54" s="1">
        <x:v>151.8</x:v>
      </x:c>
      <x:c r="H54" s="18">
        <x:f t="shared" si="1"/>
        <x:v>34.84702703</x:v>
      </x:c>
      <x:c r="I54" s="119" t="n">
        <x:f>C56*Scoring!$B$36+TE!D56/Scoring!$C$36+TE!E56*Scoring!$D$36+TE!F56*Scoring!$E$36+H56*Scoring!$F$36</x:f>
        <x:v>106.19999999999999</x:v>
      </x:c>
      <x:c r="J54" s="119" t="n">
        <x:f>C54*Scoring!$B$36+TE!D54/Scoring!$C$36+TE!E54*Scoring!$D$36+TE!F54*Scoring!$E$36+H54*Scoring!$F$36</x:f>
        <x:v>121.72</x:v>
      </x:c>
      <x:c r="K54" s="119" t="n">
        <x:f>C55*Scoring!$B$36+TE!D55/Scoring!$C$36+TE!E55*Scoring!$D$36+TE!F55*Scoring!$E$36+H55*Scoring!$F$36</x:f>
        <x:v>146.4</x:v>
      </x:c>
    </x:row>
    <x:row r="55" ht="14.25" customHeight="1">
      <x:c r="B55" s="1" t="s">
        <x:v>488</x:v>
      </x:c>
      <x:c r="C55" s="1">
        <x:v>70.0</x:v>
      </x:c>
      <x:c r="D55" s="1">
        <x:v>814.0</x:v>
      </x:c>
      <x:c r="E55" s="1">
        <x:v>5.0</x:v>
      </x:c>
      <x:c r="F55" s="1">
        <x:v>0.0</x:v>
      </x:c>
      <x:c r="G55" s="1">
        <x:v>166.6</x:v>
      </x:c>
      <x:c r="H55" s="18">
        <x:f t="shared" si="1"/>
        <x:v>42.9</x:v>
      </x:c>
      <x:c r="I55" s="122"/>
      <x:c r="J55" s="122"/>
      <x:c r="K55" s="122"/>
    </x:row>
    <x:row r="56" ht="14.25" customHeight="1">
      <x:c r="B56" s="1" t="s">
        <x:v>489</x:v>
      </x:c>
      <x:c r="C56" s="1">
        <x:v>51.0</x:v>
      </x:c>
      <x:c r="D56" s="1">
        <x:v>571.0</x:v>
      </x:c>
      <x:c r="E56" s="1">
        <x:v>4.0</x:v>
      </x:c>
      <x:c r="F56" s="1">
        <x:v>0.4</x:v>
      </x:c>
      <x:c r="G56" s="1">
        <x:v>143.4</x:v>
      </x:c>
      <x:c r="H56" s="18">
        <x:f t="shared" si="1"/>
        <x:v>30.09324324</x:v>
      </x:c>
      <x:c r="I56" s="122"/>
      <x:c r="J56" s="122"/>
      <x:c r="K56" s="122"/>
    </x:row>
    <x:row r="57" ht="14.25" customHeight="1">
      <x:c r="A57" s="1" t="s">
        <x:v>942</x:v>
      </x:c>
      <x:c r="B57" s="1" t="s">
        <x:v>535</x:v>
      </x:c>
      <x:c r="C57" s="1">
        <x:v>65.9</x:v>
      </x:c>
      <x:c r="D57" s="1">
        <x:v>627.5</x:v>
      </x:c>
      <x:c r="E57" s="1">
        <x:v>3.4</x:v>
      </x:c>
      <x:c r="F57" s="1">
        <x:v>0.2</x:v>
      </x:c>
      <x:c r="G57" s="1">
        <x:v>148.5</x:v>
      </x:c>
      <x:c r="H57" s="18">
        <x:f t="shared" si="1"/>
        <x:v>33.07094595</x:v>
      </x:c>
      <x:c r="I57" s="119" t="n">
        <x:f>C59*Scoring!$B$36+TE!D59/Scoring!$C$36+TE!E59*Scoring!$D$36+TE!F59*Scoring!$E$36+H59*Scoring!$F$36</x:f>
        <x:v>102.75</x:v>
      </x:c>
      <x:c r="J57" s="119" t="n">
        <x:f>C57*Scoring!$B$36+TE!D57/Scoring!$C$36+TE!E57*Scoring!$D$36+TE!F57*Scoring!$E$36+H57*Scoring!$F$36</x:f>
        <x:v>115.89999999999999</x:v>
      </x:c>
      <x:c r="K57" s="119" t="n">
        <x:f>C58*Scoring!$B$36+TE!D58/Scoring!$C$36+TE!E58*Scoring!$D$36+TE!F58*Scoring!$E$36+H58*Scoring!$F$36</x:f>
        <x:v>127.8</x:v>
      </x:c>
    </x:row>
    <x:row r="58" ht="14.25" customHeight="1">
      <x:c r="B58" s="1" t="s">
        <x:v>488</x:v>
      </x:c>
      <x:c r="C58" s="1">
        <x:v>71.0</x:v>
      </x:c>
      <x:c r="D58" s="1">
        <x:v>683.0</x:v>
      </x:c>
      <x:c r="E58" s="1">
        <x:v>4.0</x:v>
      </x:c>
      <x:c r="F58" s="1">
        <x:v>0.0</x:v>
      </x:c>
      <x:c r="G58" s="1">
        <x:v>182.0</x:v>
      </x:c>
      <x:c r="H58" s="18">
        <x:f t="shared" si="1"/>
        <x:v>35.99594595</x:v>
      </x:c>
      <x:c r="I58" s="122"/>
      <x:c r="J58" s="122"/>
      <x:c r="K58" s="122"/>
    </x:row>
    <x:row r="59" ht="14.25" customHeight="1">
      <x:c r="B59" s="1" t="s">
        <x:v>489</x:v>
      </x:c>
      <x:c r="C59" s="1">
        <x:v>59.6</x:v>
      </x:c>
      <x:c r="D59" s="1">
        <x:v>553.5</x:v>
      </x:c>
      <x:c r="E59" s="1">
        <x:v>3.0</x:v>
      </x:c>
      <x:c r="F59" s="1">
        <x:v>0.4</x:v>
      </x:c>
      <x:c r="G59" s="1">
        <x:v>139.5</x:v>
      </x:c>
      <x:c r="H59" s="18">
        <x:f t="shared" si="1"/>
        <x:v>29.17094595</x:v>
      </x:c>
      <x:c r="I59" s="122"/>
      <x:c r="J59" s="122"/>
      <x:c r="K59" s="122"/>
    </x:row>
    <x:row r="60" ht="14.25" customHeight="1">
      <x:c r="A60" s="1" t="s">
        <x:v>943</x:v>
      </x:c>
      <x:c r="B60" s="1" t="s">
        <x:v>525</x:v>
      </x:c>
      <x:c r="C60" s="1">
        <x:v>63.9</x:v>
      </x:c>
      <x:c r="D60" s="1">
        <x:v>574.5</x:v>
      </x:c>
      <x:c r="E60" s="1">
        <x:v>3.3</x:v>
      </x:c>
      <x:c r="F60" s="1">
        <x:v>0.2</x:v>
      </x:c>
      <x:c r="G60" s="1">
        <x:v>140.6</x:v>
      </x:c>
      <x:c r="H60" s="18">
        <x:f t="shared" si="1"/>
        <x:v>30.2777027</x:v>
      </x:c>
      <x:c r="I60" s="119" t="n">
        <x:f>C62*Scoring!$B$36+TE!D62/Scoring!$C$36+TE!E62*Scoring!$D$36+TE!F62*Scoring!$E$36+H62*Scoring!$F$36</x:f>
        <x:v>95.6</x:v>
      </x:c>
      <x:c r="J60" s="119" t="n">
        <x:f>C60*Scoring!$B$36+TE!D60/Scoring!$C$36+TE!E60*Scoring!$D$36+TE!F60*Scoring!$E$36+H60*Scoring!$F$36</x:f>
        <x:v>109</x:v>
      </x:c>
      <x:c r="K60" s="119" t="n">
        <x:f>C61*Scoring!$B$36+TE!D61/Scoring!$C$36+TE!E61*Scoring!$D$36+TE!F61*Scoring!$E$36+H61*Scoring!$F$36</x:f>
        <x:v>126.78999999999999</x:v>
      </x:c>
    </x:row>
    <x:row r="61" ht="14.25" customHeight="1">
      <x:c r="B61" s="1" t="s">
        <x:v>488</x:v>
      </x:c>
      <x:c r="C61" s="1">
        <x:v>77.7</x:v>
      </x:c>
      <x:c r="D61" s="1">
        <x:v>639.4</x:v>
      </x:c>
      <x:c r="E61" s="1">
        <x:v>4.0</x:v>
      </x:c>
      <x:c r="F61" s="1">
        <x:v>0.0</x:v>
      </x:c>
      <x:c r="G61" s="1">
        <x:v>168.2</x:v>
      </x:c>
      <x:c r="H61" s="18">
        <x:f t="shared" si="1"/>
        <x:v>33.69810811</x:v>
      </x:c>
      <x:c r="I61" s="122"/>
      <x:c r="J61" s="122"/>
      <x:c r="K61" s="122"/>
    </x:row>
    <x:row r="62" ht="14.25" customHeight="1">
      <x:c r="B62" s="1" t="s">
        <x:v>489</x:v>
      </x:c>
      <x:c r="C62" s="1">
        <x:v>55.0</x:v>
      </x:c>
      <x:c r="D62" s="1">
        <x:v>516.0</x:v>
      </x:c>
      <x:c r="E62" s="1">
        <x:v>2.8</x:v>
      </x:c>
      <x:c r="F62" s="1">
        <x:v>0.3</x:v>
      </x:c>
      <x:c r="G62" s="1">
        <x:v>131.9</x:v>
      </x:c>
      <x:c r="H62" s="18">
        <x:f t="shared" si="1"/>
        <x:v>27.19459459</x:v>
      </x:c>
      <x:c r="I62" s="122"/>
      <x:c r="J62" s="122"/>
      <x:c r="K62" s="122"/>
    </x:row>
    <x:row r="63" ht="14.25" customHeight="1">
      <x:c r="A63" s="1" t="s">
        <x:v>944</x:v>
      </x:c>
      <x:c r="B63" s="1" t="s">
        <x:v>545</x:v>
      </x:c>
      <x:c r="C63" s="1">
        <x:v>53.0</x:v>
      </x:c>
      <x:c r="D63" s="1">
        <x:v>560.0</x:v>
      </x:c>
      <x:c r="E63" s="1">
        <x:v>4.3</x:v>
      </x:c>
      <x:c r="F63" s="1">
        <x:v>0.2</x:v>
      </x:c>
      <x:c r="G63" s="1">
        <x:v>134.1</x:v>
      </x:c>
      <x:c r="H63" s="18">
        <x:f t="shared" si="1"/>
        <x:v>29.51351351</x:v>
      </x:c>
      <x:c r="I63" s="119" t="n">
        <x:f>C65*Scoring!$B$36+TE!D65/Scoring!$C$36+TE!E65*Scoring!$D$36+TE!F65*Scoring!$E$36+H65*Scoring!$F$36</x:f>
        <x:v>90.39999999999999</x:v>
      </x:c>
      <x:c r="J63" s="119" t="n">
        <x:f>C63*Scoring!$B$36+TE!D63/Scoring!$C$36+TE!E63*Scoring!$D$36+TE!F63*Scoring!$E$36+H63*Scoring!$F$36</x:f>
        <x:v>108.1</x:v>
      </x:c>
      <x:c r="K63" s="119" t="n">
        <x:f>C64*Scoring!$B$36+TE!D64/Scoring!$C$36+TE!E64*Scoring!$D$36+TE!F64*Scoring!$E$36+H64*Scoring!$F$36</x:f>
        <x:v>120.25</x:v>
      </x:c>
    </x:row>
    <x:row r="64" ht="14.25" customHeight="1">
      <x:c r="B64" s="1" t="s">
        <x:v>488</x:v>
      </x:c>
      <x:c r="C64" s="1">
        <x:v>59.9</x:v>
      </x:c>
      <x:c r="D64" s="1">
        <x:v>603.0</x:v>
      </x:c>
      <x:c r="E64" s="1">
        <x:v>5.0</x:v>
      </x:c>
      <x:c r="F64" s="1">
        <x:v>0.0</x:v>
      </x:c>
      <x:c r="G64" s="1">
        <x:v>166.1</x:v>
      </x:c>
      <x:c r="H64" s="18">
        <x:f t="shared" si="1"/>
        <x:v>31.77972973</x:v>
      </x:c>
      <x:c r="I64" s="122"/>
      <x:c r="J64" s="122"/>
      <x:c r="K64" s="122"/>
    </x:row>
    <x:row r="65" ht="14.25" customHeight="1">
      <x:c r="B65" s="1" t="s">
        <x:v>489</x:v>
      </x:c>
      <x:c r="C65" s="1">
        <x:v>46.0</x:v>
      </x:c>
      <x:c r="D65" s="1">
        <x:v>511.0</x:v>
      </x:c>
      <x:c r="E65" s="1">
        <x:v>2.8</x:v>
      </x:c>
      <x:c r="F65" s="1">
        <x:v>0.5</x:v>
      </x:c>
      <x:c r="G65" s="1">
        <x:v>127.0</x:v>
      </x:c>
      <x:c r="H65" s="18">
        <x:f t="shared" si="1"/>
        <x:v>26.93108108</x:v>
      </x:c>
      <x:c r="I65" s="122"/>
      <x:c r="J65" s="122"/>
      <x:c r="K65" s="122"/>
    </x:row>
    <x:row r="66" ht="14.25" customHeight="1">
      <x:c r="A66" s="1" t="s">
        <x:v>945</x:v>
      </x:c>
      <x:c r="B66" s="1" t="s">
        <x:v>529</x:v>
      </x:c>
      <x:c r="C66" s="1">
        <x:v>54.6</x:v>
      </x:c>
      <x:c r="D66" s="1">
        <x:v>620.0</x:v>
      </x:c>
      <x:c r="E66" s="1">
        <x:v>3.2</x:v>
      </x:c>
      <x:c r="F66" s="1">
        <x:v>1.2</x:v>
      </x:c>
      <x:c r="G66" s="1">
        <x:v>133.5</x:v>
      </x:c>
      <x:c r="H66" s="18">
        <x:f t="shared" si="1"/>
        <x:v>32.67567568</x:v>
      </x:c>
      <x:c r="I66" s="119" t="n">
        <x:f>C68*Scoring!$B$36+TE!D68/Scoring!$C$36+TE!E68*Scoring!$D$36+TE!F68*Scoring!$E$36+H68*Scoring!$F$36</x:f>
        <x:v>92.05</x:v>
      </x:c>
      <x:c r="J66" s="119" t="n">
        <x:f>C66*Scoring!$B$36+TE!D66/Scoring!$C$36+TE!E66*Scoring!$D$36+TE!F66*Scoring!$E$36+H66*Scoring!$F$36</x:f>
        <x:v>107.3</x:v>
      </x:c>
      <x:c r="K66" s="119" t="n">
        <x:f>C67*Scoring!$B$36+TE!D67/Scoring!$C$36+TE!E67*Scoring!$D$36+TE!F67*Scoring!$E$36+H67*Scoring!$F$36</x:f>
        <x:v>120</x:v>
      </x:c>
    </x:row>
    <x:row r="67" ht="14.25" customHeight="1">
      <x:c r="B67" s="1" t="s">
        <x:v>488</x:v>
      </x:c>
      <x:c r="C67" s="1">
        <x:v>58.0</x:v>
      </x:c>
      <x:c r="D67" s="1">
        <x:v>674.0</x:v>
      </x:c>
      <x:c r="E67" s="1">
        <x:v>4.0</x:v>
      </x:c>
      <x:c r="F67" s="1">
        <x:v>0.4</x:v>
      </x:c>
      <x:c r="G67" s="1">
        <x:v>166.2</x:v>
      </x:c>
      <x:c r="H67" s="18">
        <x:f t="shared" si="1"/>
        <x:v>35.52162162</x:v>
      </x:c>
      <x:c r="I67" s="122"/>
      <x:c r="J67" s="122"/>
      <x:c r="K67" s="122"/>
    </x:row>
    <x:row r="68" ht="14.25" customHeight="1">
      <x:c r="B68" s="1" t="s">
        <x:v>489</x:v>
      </x:c>
      <x:c r="C68" s="1">
        <x:v>51.7</x:v>
      </x:c>
      <x:c r="D68" s="1">
        <x:v>580.0</x:v>
      </x:c>
      <x:c r="E68" s="1">
        <x:v>1.7</x:v>
      </x:c>
      <x:c r="F68" s="1">
        <x:v>2.0</x:v>
      </x:c>
      <x:c r="G68" s="1">
        <x:v>122.0</x:v>
      </x:c>
      <x:c r="H68" s="18">
        <x:f t="shared" si="1"/>
        <x:v>30.56756757</x:v>
      </x:c>
      <x:c r="I68" s="122"/>
      <x:c r="J68" s="122"/>
      <x:c r="K68" s="122"/>
    </x:row>
    <x:row r="69" ht="14.25" customHeight="1">
      <x:c r="A69" s="1" t="s">
        <x:v>946</x:v>
      </x:c>
      <x:c r="B69" s="1" t="s">
        <x:v>523</x:v>
      </x:c>
      <x:c r="C69" s="1">
        <x:v>54.8</x:v>
      </x:c>
      <x:c r="D69" s="1">
        <x:v>557.4</x:v>
      </x:c>
      <x:c r="E69" s="1">
        <x:v>3.1</x:v>
      </x:c>
      <x:c r="F69" s="1">
        <x:v>0.1</x:v>
      </x:c>
      <x:c r="G69" s="1">
        <x:v>128.9</x:v>
      </x:c>
      <x:c r="H69" s="18">
        <x:f t="shared" si="1"/>
        <x:v>29.37648649</x:v>
      </x:c>
      <x:c r="I69" s="119" t="n">
        <x:f>C71*Scoring!$B$36+TE!D71/Scoring!$C$36+TE!E71*Scoring!$D$36+TE!F71*Scoring!$E$36+H71*Scoring!$F$36</x:f>
        <x:v>79.77</x:v>
      </x:c>
      <x:c r="J69" s="119" t="n">
        <x:f>C69*Scoring!$B$36+TE!D69/Scoring!$C$36+TE!E69*Scoring!$D$36+TE!F69*Scoring!$E$36+H69*Scoring!$F$36</x:f>
        <x:v>101.63999999999999</x:v>
      </x:c>
      <x:c r="K69" s="119" t="n">
        <x:f>C70*Scoring!$B$36+TE!D70/Scoring!$C$36+TE!E70*Scoring!$D$36+TE!F70*Scoring!$E$36+H70*Scoring!$F$36</x:f>
        <x:v>128.2</x:v>
      </x:c>
    </x:row>
    <x:row r="70" ht="14.25" customHeight="1">
      <x:c r="B70" s="1" t="s">
        <x:v>488</x:v>
      </x:c>
      <x:c r="C70" s="1">
        <x:v>67.0</x:v>
      </x:c>
      <x:c r="D70" s="1">
        <x:v>707.0</x:v>
      </x:c>
      <x:c r="E70" s="1">
        <x:v>4.0</x:v>
      </x:c>
      <x:c r="F70" s="1">
        <x:v>0.0</x:v>
      </x:c>
      <x:c r="G70" s="1">
        <x:v>151.8</x:v>
      </x:c>
      <x:c r="H70" s="18">
        <x:f t="shared" si="1"/>
        <x:v>37.26081081</x:v>
      </x:c>
      <x:c r="I70" s="122"/>
      <x:c r="J70" s="122"/>
      <x:c r="K70" s="122"/>
    </x:row>
    <x:row r="71" ht="14.25" customHeight="1">
      <x:c r="B71" s="1" t="s">
        <x:v>489</x:v>
      </x:c>
      <x:c r="C71" s="1">
        <x:v>44.5</x:v>
      </x:c>
      <x:c r="D71" s="1">
        <x:v>440.2</x:v>
      </x:c>
      <x:c r="E71" s="1">
        <x:v>2.3</x:v>
      </x:c>
      <x:c r="F71" s="1">
        <x:v>0.3</x:v>
      </x:c>
      <x:c r="G71" s="1">
        <x:v>112.4</x:v>
      </x:c>
      <x:c r="H71" s="18">
        <x:f t="shared" si="1"/>
        <x:v>23.19972973</x:v>
      </x:c>
      <x:c r="I71" s="122"/>
      <x:c r="J71" s="122"/>
      <x:c r="K71" s="122"/>
    </x:row>
    <x:row r="72" ht="14.25" customHeight="1">
      <x:c r="A72" s="1" t="s">
        <x:v>947</x:v>
      </x:c>
      <x:c r="B72" s="1" t="s">
        <x:v>539</x:v>
      </x:c>
      <x:c r="C72" s="1">
        <x:v>49.7</x:v>
      </x:c>
      <x:c r="D72" s="1">
        <x:v>546.6</x:v>
      </x:c>
      <x:c r="E72" s="1">
        <x:v>4.1</x:v>
      </x:c>
      <x:c r="F72" s="1">
        <x:v>0.7</x:v>
      </x:c>
      <x:c r="G72" s="1">
        <x:v>127.3</x:v>
      </x:c>
      <x:c r="H72" s="18">
        <x:f t="shared" si="1"/>
        <x:v>28.8072973</x:v>
      </x:c>
      <x:c r="I72" s="119" t="n">
        <x:f>C74*Scoring!$B$36+TE!D74/Scoring!$C$36+TE!E74*Scoring!$D$36+TE!F74*Scoring!$E$36+H74*Scoring!$F$36</x:f>
        <x:v>76</x:v>
      </x:c>
      <x:c r="J72" s="119" t="n">
        <x:f>C72*Scoring!$B$36+TE!D72/Scoring!$C$36+TE!E72*Scoring!$D$36+TE!F72*Scoring!$E$36+H72*Scoring!$F$36</x:f>
        <x:v>103.41</x:v>
      </x:c>
      <x:c r="K72" s="119" t="n">
        <x:f>C73*Scoring!$B$36+TE!D73/Scoring!$C$36+TE!E73*Scoring!$D$36+TE!F73*Scoring!$E$36+H73*Scoring!$F$36</x:f>
        <x:v>132.88</x:v>
      </x:c>
    </x:row>
    <x:row r="73" ht="14.25" customHeight="1">
      <x:c r="B73" s="1" t="s">
        <x:v>488</x:v>
      </x:c>
      <x:c r="C73" s="1">
        <x:v>63.2</x:v>
      </x:c>
      <x:c r="D73" s="1">
        <x:v>656.8</x:v>
      </x:c>
      <x:c r="E73" s="1">
        <x:v>6.0</x:v>
      </x:c>
      <x:c r="F73" s="1">
        <x:v>0.4</x:v>
      </x:c>
      <x:c r="G73" s="1">
        <x:v>140.6</x:v>
      </x:c>
      <x:c r="H73" s="18">
        <x:f t="shared" si="1"/>
        <x:v>34.61513514</x:v>
      </x:c>
      <x:c r="I73" s="122"/>
      <x:c r="J73" s="122"/>
      <x:c r="K73" s="122"/>
    </x:row>
    <x:row r="74" ht="14.25" customHeight="1">
      <x:c r="B74" s="1" t="s">
        <x:v>489</x:v>
      </x:c>
      <x:c r="C74" s="1">
        <x:v>39.0</x:v>
      </x:c>
      <x:c r="D74" s="1">
        <x:v>455.0</x:v>
      </x:c>
      <x:c r="E74" s="1">
        <x:v>2.0</x:v>
      </x:c>
      <x:c r="F74" s="1">
        <x:v>1.0</x:v>
      </x:c>
      <x:c r="G74" s="1">
        <x:v>126.7</x:v>
      </x:c>
      <x:c r="H74" s="18">
        <x:f t="shared" si="1"/>
        <x:v>23.97972973</x:v>
      </x:c>
      <x:c r="I74" s="122"/>
      <x:c r="J74" s="122"/>
      <x:c r="K74" s="122"/>
    </x:row>
    <x:row r="75" ht="14.25" customHeight="1">
      <x:c r="A75" s="1" t="s">
        <x:v>948</x:v>
      </x:c>
      <x:c r="B75" s="1" t="s">
        <x:v>495</x:v>
      </x:c>
      <x:c r="C75" s="1">
        <x:v>52.8</x:v>
      </x:c>
      <x:c r="D75" s="1">
        <x:v>569.5</x:v>
      </x:c>
      <x:c r="E75" s="1">
        <x:v>2.8</x:v>
      </x:c>
      <x:c r="F75" s="1">
        <x:v>0.1</x:v>
      </x:c>
      <x:c r="G75" s="1">
        <x:v>126.2</x:v>
      </x:c>
      <x:c r="H75" s="18">
        <x:f t="shared" si="1"/>
        <x:v>30.01418919</x:v>
      </x:c>
      <x:c r="I75" s="119" t="n">
        <x:f>C77*Scoring!$B$36+TE!D77/Scoring!$C$36+TE!E77*Scoring!$D$36+TE!F77*Scoring!$E$36+H77*Scoring!$F$36</x:f>
        <x:v>91.64999999999999</x:v>
      </x:c>
      <x:c r="J75" s="119" t="n">
        <x:f>C75*Scoring!$B$36+TE!D75/Scoring!$C$36+TE!E75*Scoring!$D$36+TE!F75*Scoring!$E$36+H75*Scoring!$F$36</x:f>
        <x:v>100.05</x:v>
      </x:c>
      <x:c r="K75" s="119" t="n">
        <x:f>C76*Scoring!$B$36+TE!D76/Scoring!$C$36+TE!E76*Scoring!$D$36+TE!F76*Scoring!$E$36+H76*Scoring!$F$36</x:f>
        <x:v>107.9</x:v>
      </x:c>
    </x:row>
    <x:row r="76" ht="14.25" customHeight="1">
      <x:c r="B76" s="1" t="s">
        <x:v>488</x:v>
      </x:c>
      <x:c r="C76" s="1">
        <x:v>54.0</x:v>
      </x:c>
      <x:c r="D76" s="1">
        <x:v>629.0</x:v>
      </x:c>
      <x:c r="E76" s="1">
        <x:v>3.0</x:v>
      </x:c>
      <x:c r="F76" s="1">
        <x:v>0.0</x:v>
      </x:c>
      <x:c r="G76" s="1">
        <x:v>149.7</x:v>
      </x:c>
      <x:c r="H76" s="18">
        <x:f t="shared" si="1"/>
        <x:v>33.15</x:v>
      </x:c>
      <x:c r="I76" s="122"/>
      <x:c r="J76" s="122"/>
      <x:c r="K76" s="122"/>
    </x:row>
    <x:row r="77" ht="14.25" customHeight="1">
      <x:c r="B77" s="1" t="s">
        <x:v>489</x:v>
      </x:c>
      <x:c r="C77" s="1">
        <x:v>51.3</x:v>
      </x:c>
      <x:c r="D77" s="1">
        <x:v>519.0</x:v>
      </x:c>
      <x:c r="E77" s="1">
        <x:v>2.4</x:v>
      </x:c>
      <x:c r="F77" s="1">
        <x:v>0.3</x:v>
      </x:c>
      <x:c r="G77" s="1">
        <x:v>122.7</x:v>
      </x:c>
      <x:c r="H77" s="18">
        <x:f t="shared" si="1"/>
        <x:v>27.3527027</x:v>
      </x:c>
      <x:c r="I77" s="122"/>
      <x:c r="J77" s="122"/>
      <x:c r="K77" s="122"/>
    </x:row>
    <x:row r="78" ht="14.25" customHeight="1">
      <x:c r="A78" s="1" t="s">
        <x:v>949</x:v>
      </x:c>
      <x:c r="B78" s="1" t="s">
        <x:v>533</x:v>
      </x:c>
      <x:c r="C78" s="1">
        <x:v>48.6</x:v>
      </x:c>
      <x:c r="D78" s="1">
        <x:v>469.9</x:v>
      </x:c>
      <x:c r="E78" s="1">
        <x:v>4.9</x:v>
      </x:c>
      <x:c r="F78" s="1">
        <x:v>0.2</x:v>
      </x:c>
      <x:c r="G78" s="1">
        <x:v>124.4</x:v>
      </x:c>
      <x:c r="H78" s="18">
        <x:f t="shared" si="1"/>
        <x:v>24.765</x:v>
      </x:c>
      <x:c r="I78" s="119" t="n">
        <x:f>C80*Scoring!$B$36+TE!D80/Scoring!$C$36+TE!E80*Scoring!$D$36+TE!F80*Scoring!$E$36+H80*Scoring!$F$36</x:f>
        <x:v>86.72</x:v>
      </x:c>
      <x:c r="J78" s="119" t="n">
        <x:f>C78*Scoring!$B$36+TE!D78/Scoring!$C$36+TE!E78*Scoring!$D$36+TE!F78*Scoring!$E$36+H78*Scoring!$F$36</x:f>
        <x:v>100.49</x:v>
      </x:c>
      <x:c r="K78" s="119" t="n">
        <x:f>C79*Scoring!$B$36+TE!D79/Scoring!$C$36+TE!E79*Scoring!$D$36+TE!F79*Scoring!$E$36+H79*Scoring!$F$36</x:f>
        <x:v>119.4</x:v>
      </x:c>
    </x:row>
    <x:row r="79" ht="14.25" customHeight="1">
      <x:c r="B79" s="1" t="s">
        <x:v>488</x:v>
      </x:c>
      <x:c r="C79" s="1">
        <x:v>54.0</x:v>
      </x:c>
      <x:c r="D79" s="1">
        <x:v>504.0</x:v>
      </x:c>
      <x:c r="E79" s="1">
        <x:v>7.0</x:v>
      </x:c>
      <x:c r="F79" s="1">
        <x:v>0.0</x:v>
      </x:c>
      <x:c r="G79" s="1">
        <x:v>150.0</x:v>
      </x:c>
      <x:c r="H79" s="18">
        <x:f t="shared" si="1"/>
        <x:v>26.56216216</x:v>
      </x:c>
      <x:c r="I79" s="122"/>
      <x:c r="J79" s="122"/>
      <x:c r="K79" s="122"/>
    </x:row>
    <x:row r="80" ht="14.25" customHeight="1">
      <x:c r="B80" s="1" t="s">
        <x:v>489</x:v>
      </x:c>
      <x:c r="C80" s="1">
        <x:v>44.7</x:v>
      </x:c>
      <x:c r="D80" s="1">
        <x:v>432.7</x:v>
      </x:c>
      <x:c r="E80" s="1">
        <x:v>3.6</x:v>
      </x:c>
      <x:c r="F80" s="1">
        <x:v>0.5</x:v>
      </x:c>
      <x:c r="G80" s="1">
        <x:v>117.6</x:v>
      </x:c>
      <x:c r="H80" s="18">
        <x:f t="shared" si="1"/>
        <x:v>22.80445946</x:v>
      </x:c>
      <x:c r="I80" s="122"/>
      <x:c r="J80" s="122"/>
      <x:c r="K80" s="122"/>
    </x:row>
    <x:row r="81" ht="14.25" customHeight="1">
      <x:c r="A81" s="1" t="s">
        <x:v>950</x:v>
      </x:c>
      <x:c r="B81" s="1" t="s">
        <x:v>517</x:v>
      </x:c>
      <x:c r="C81" s="1">
        <x:v>38.3</x:v>
      </x:c>
      <x:c r="D81" s="1">
        <x:v>526.8</x:v>
      </x:c>
      <x:c r="E81" s="1">
        <x:v>5.1</x:v>
      </x:c>
      <x:c r="F81" s="1">
        <x:v>0.2</x:v>
      </x:c>
      <x:c r="G81" s="1">
        <x:v>121.4</x:v>
      </x:c>
      <x:c r="H81" s="18">
        <x:f t="shared" si="1"/>
        <x:v>27.76378378</x:v>
      </x:c>
      <x:c r="I81" s="119" t="n">
        <x:f>C83*Scoring!$B$36+TE!D83/Scoring!$C$36+TE!E83*Scoring!$D$36+TE!F83*Scoring!$E$36+H83*Scoring!$F$36</x:f>
        <x:v>91.2</x:v>
      </x:c>
      <x:c r="J81" s="119" t="n">
        <x:f>C81*Scoring!$B$36+TE!D81/Scoring!$C$36+TE!E81*Scoring!$D$36+TE!F81*Scoring!$E$36+H81*Scoring!$F$36</x:f>
        <x:v>102.22999999999998</x:v>
      </x:c>
      <x:c r="K81" s="119" t="n">
        <x:f>C82*Scoring!$B$36+TE!D82/Scoring!$C$36+TE!E82*Scoring!$D$36+TE!F82*Scoring!$E$36+H82*Scoring!$F$36</x:f>
        <x:v>113.38</x:v>
      </x:c>
    </x:row>
    <x:row r="82" ht="14.25" customHeight="1">
      <x:c r="B82" s="1" t="s">
        <x:v>488</x:v>
      </x:c>
      <x:c r="C82" s="1">
        <x:v>45.9</x:v>
      </x:c>
      <x:c r="D82" s="1">
        <x:v>580.3</x:v>
      </x:c>
      <x:c r="E82" s="1">
        <x:v>5.4</x:v>
      </x:c>
      <x:c r="F82" s="1">
        <x:v>0.0</x:v>
      </x:c>
      <x:c r="G82" s="1">
        <x:v>135.3</x:v>
      </x:c>
      <x:c r="H82" s="18">
        <x:f t="shared" si="1"/>
        <x:v>30.58337838</x:v>
      </x:c>
      <x:c r="I82" s="122"/>
      <x:c r="J82" s="122"/>
      <x:c r="K82" s="122"/>
    </x:row>
    <x:row r="83" ht="14.25" customHeight="1">
      <x:c r="B83" s="1" t="s">
        <x:v>489</x:v>
      </x:c>
      <x:c r="C83" s="1">
        <x:v>29.0</x:v>
      </x:c>
      <x:c r="D83" s="1">
        <x:v>470.0</x:v>
      </x:c>
      <x:c r="E83" s="1">
        <x:v>5.0</x:v>
      </x:c>
      <x:c r="F83" s="1">
        <x:v>0.3</x:v>
      </x:c>
      <x:c r="G83" s="1">
        <x:v>114.3</x:v>
      </x:c>
      <x:c r="H83" s="18">
        <x:f t="shared" si="1"/>
        <x:v>24.77027027</x:v>
      </x:c>
      <x:c r="I83" s="122"/>
      <x:c r="J83" s="122"/>
      <x:c r="K83" s="122"/>
    </x:row>
    <x:row r="84" ht="14.25" customHeight="1">
      <x:c r="A84" s="1" t="s">
        <x:v>951</x:v>
      </x:c>
      <x:c r="B84" s="1" t="s">
        <x:v>515</x:v>
      </x:c>
      <x:c r="C84" s="1">
        <x:v>53.4</x:v>
      </x:c>
      <x:c r="D84" s="1">
        <x:v>475.9</x:v>
      </x:c>
      <x:c r="E84" s="1">
        <x:v>2.7</x:v>
      </x:c>
      <x:c r="F84" s="1">
        <x:v>0.1</x:v>
      </x:c>
      <x:c r="G84" s="1">
        <x:v>117.1</x:v>
      </x:c>
      <x:c r="H84" s="18">
        <x:f t="shared" si="1"/>
        <x:v>25.08121622</x:v>
      </x:c>
      <x:c r="I84" s="119" t="n">
        <x:f>C86*Scoring!$B$36+TE!D86/Scoring!$C$36+TE!E86*Scoring!$D$36+TE!F86*Scoring!$E$36+H86*Scoring!$F$36</x:f>
        <x:v>83.03</x:v>
      </x:c>
      <x:c r="J84" s="119" t="n">
        <x:f>C84*Scoring!$B$36+TE!D84/Scoring!$C$36+TE!E84*Scoring!$D$36+TE!F84*Scoring!$E$36+H84*Scoring!$F$36</x:f>
        <x:v>90.39</x:v>
      </x:c>
      <x:c r="K84" s="119" t="n">
        <x:f>C85*Scoring!$B$36+TE!D85/Scoring!$C$36+TE!E85*Scoring!$D$36+TE!F85*Scoring!$E$36+H85*Scoring!$F$36</x:f>
        <x:v>94.9</x:v>
      </x:c>
    </x:row>
    <x:row r="85" ht="14.25" customHeight="1">
      <x:c r="B85" s="1" t="s">
        <x:v>488</x:v>
      </x:c>
      <x:c r="C85" s="1">
        <x:v>57.0</x:v>
      </x:c>
      <x:c r="D85" s="1">
        <x:v>484.0</x:v>
      </x:c>
      <x:c r="E85" s="1">
        <x:v>3.0</x:v>
      </x:c>
      <x:c r="F85" s="1">
        <x:v>0.0</x:v>
      </x:c>
      <x:c r="G85" s="1">
        <x:v>148.3</x:v>
      </x:c>
      <x:c r="H85" s="18">
        <x:f t="shared" si="1"/>
        <x:v>25.50810811</x:v>
      </x:c>
      <x:c r="I85" s="122"/>
      <x:c r="J85" s="122"/>
      <x:c r="K85" s="122"/>
    </x:row>
    <x:row r="86" ht="14.25" customHeight="1">
      <x:c r="B86" s="1" t="s">
        <x:v>489</x:v>
      </x:c>
      <x:c r="C86" s="1">
        <x:v>47.3</x:v>
      </x:c>
      <x:c r="D86" s="1">
        <x:v>464.8</x:v>
      </x:c>
      <x:c r="E86" s="1">
        <x:v>2.2</x:v>
      </x:c>
      <x:c r="F86" s="1">
        <x:v>0.3</x:v>
      </x:c>
      <x:c r="G86" s="1">
        <x:v>110.4</x:v>
      </x:c>
      <x:c r="H86" s="18">
        <x:f t="shared" si="1"/>
        <x:v>24.49621622</x:v>
      </x:c>
      <x:c r="I86" s="122"/>
      <x:c r="J86" s="122"/>
      <x:c r="K86" s="122"/>
    </x:row>
    <x:row r="87" ht="14.25" customHeight="1">
      <x:c r="A87" s="1" t="s">
        <x:v>952</x:v>
      </x:c>
      <x:c r="B87" s="1" t="s">
        <x:v>537</x:v>
      </x:c>
      <x:c r="C87" s="1">
        <x:v>41.4</x:v>
      </x:c>
      <x:c r="D87" s="1">
        <x:v>426.5</x:v>
      </x:c>
      <x:c r="E87" s="1">
        <x:v>4.7</x:v>
      </x:c>
      <x:c r="F87" s="1">
        <x:v>0.1</x:v>
      </x:c>
      <x:c r="G87" s="1">
        <x:v>111.8</x:v>
      </x:c>
      <x:c r="H87" s="18">
        <x:f t="shared" si="1"/>
        <x:v>22.4777027</x:v>
      </x:c>
      <x:c r="I87" s="119" t="n">
        <x:f>C89*Scoring!$B$36+TE!D89/Scoring!$C$36+TE!E89*Scoring!$D$36+TE!F89*Scoring!$E$36+H89*Scoring!$F$36</x:f>
        <x:v>75</x:v>
      </x:c>
      <x:c r="J87" s="119" t="n">
        <x:f>C87*Scoring!$B$36+TE!D87/Scoring!$C$36+TE!E87*Scoring!$D$36+TE!F87*Scoring!$E$36+H87*Scoring!$F$36</x:f>
        <x:v>91.45</x:v>
      </x:c>
      <x:c r="K87" s="119" t="n">
        <x:f>C88*Scoring!$B$36+TE!D88/Scoring!$C$36+TE!E88*Scoring!$D$36+TE!F88*Scoring!$E$36+H88*Scoring!$F$36</x:f>
        <x:v>106.34</x:v>
      </x:c>
    </x:row>
    <x:row r="88" ht="14.25" customHeight="1">
      <x:c r="B88" s="1" t="s">
        <x:v>488</x:v>
      </x:c>
      <x:c r="C88" s="1">
        <x:v>46.0</x:v>
      </x:c>
      <x:c r="D88" s="1">
        <x:v>473.4</x:v>
      </x:c>
      <x:c r="E88" s="1">
        <x:v>6.0</x:v>
      </x:c>
      <x:c r="F88" s="1">
        <x:v>0.0</x:v>
      </x:c>
      <x:c r="G88" s="1">
        <x:v>116.6</x:v>
      </x:c>
      <x:c r="H88" s="18">
        <x:f t="shared" si="1"/>
        <x:v>24.94945946</x:v>
      </x:c>
      <x:c r="I88" s="122"/>
      <x:c r="J88" s="122"/>
      <x:c r="K88" s="122"/>
    </x:row>
    <x:row r="89" ht="14.25" customHeight="1">
      <x:c r="B89" s="1" t="s">
        <x:v>489</x:v>
      </x:c>
      <x:c r="C89" s="1">
        <x:v>35.0</x:v>
      </x:c>
      <x:c r="D89" s="1">
        <x:v>337.0</x:v>
      </x:c>
      <x:c r="E89" s="1">
        <x:v>4.0</x:v>
      </x:c>
      <x:c r="F89" s="1">
        <x:v>0.2</x:v>
      </x:c>
      <x:c r="G89" s="1">
        <x:v>112.9</x:v>
      </x:c>
      <x:c r="H89" s="18">
        <x:f t="shared" si="1"/>
        <x:v>17.76081081</x:v>
      </x:c>
      <x:c r="I89" s="122"/>
      <x:c r="J89" s="122"/>
      <x:c r="K89" s="122"/>
    </x:row>
    <x:row r="90" ht="14.25" customHeight="1">
      <x:c r="A90" s="1" t="s">
        <x:v>953</x:v>
      </x:c>
      <x:c r="B90" s="1" t="s">
        <x:v>541</x:v>
      </x:c>
      <x:c r="C90" s="1">
        <x:v>48.9</x:v>
      </x:c>
      <x:c r="D90" s="1">
        <x:v>444.1</x:v>
      </x:c>
      <x:c r="E90" s="1">
        <x:v>3.1</x:v>
      </x:c>
      <x:c r="F90" s="1">
        <x:v>0.2</x:v>
      </x:c>
      <x:c r="G90" s="1">
        <x:v>111.6</x:v>
      </x:c>
      <x:c r="H90" s="18">
        <x:f t="shared" si="1"/>
        <x:v>23.40527027</x:v>
      </x:c>
      <x:c r="I90" s="119" t="n">
        <x:f>C92*Scoring!$B$36+TE!D92/Scoring!$C$36+TE!E92*Scoring!$D$36+TE!F92*Scoring!$E$36+H92*Scoring!$F$36</x:f>
        <x:v>77.39999999999999</x:v>
      </x:c>
      <x:c r="J90" s="119" t="n">
        <x:f>C90*Scoring!$B$36+TE!D90/Scoring!$C$36+TE!E90*Scoring!$D$36+TE!F90*Scoring!$E$36+H90*Scoring!$F$36</x:f>
        <x:v>87.26</x:v>
      </x:c>
      <x:c r="K90" s="119" t="n">
        <x:f>C91*Scoring!$B$36+TE!D91/Scoring!$C$36+TE!E91*Scoring!$D$36+TE!F91*Scoring!$E$36+H91*Scoring!$F$36</x:f>
        <x:v>98.57000000000001</x:v>
      </x:c>
    </x:row>
    <x:row r="91" ht="14.25" customHeight="1">
      <x:c r="B91" s="1" t="s">
        <x:v>488</x:v>
      </x:c>
      <x:c r="C91" s="1">
        <x:v>57.7</x:v>
      </x:c>
      <x:c r="D91" s="1">
        <x:v>499.2</x:v>
      </x:c>
      <x:c r="E91" s="1">
        <x:v>3.3</x:v>
      </x:c>
      <x:c r="F91" s="1">
        <x:v>0.0</x:v>
      </x:c>
      <x:c r="G91" s="1">
        <x:v>134.9</x:v>
      </x:c>
      <x:c r="H91" s="18">
        <x:f t="shared" si="1"/>
        <x:v>26.30918919</x:v>
      </x:c>
      <x:c r="I91" s="122"/>
      <x:c r="J91" s="122"/>
      <x:c r="K91" s="122"/>
    </x:row>
    <x:row r="92" ht="14.25" customHeight="1">
      <x:c r="B92" s="1" t="s">
        <x:v>489</x:v>
      </x:c>
      <x:c r="C92" s="1">
        <x:v>44.0</x:v>
      </x:c>
      <x:c r="D92" s="1">
        <x:v>378.0</x:v>
      </x:c>
      <x:c r="E92" s="1">
        <x:v>3.0</x:v>
      </x:c>
      <x:c r="F92" s="1">
        <x:v>0.4</x:v>
      </x:c>
      <x:c r="G92" s="1">
        <x:v>96.9</x:v>
      </x:c>
      <x:c r="H92" s="18">
        <x:f t="shared" si="1"/>
        <x:v>19.92162162</x:v>
      </x:c>
      <x:c r="I92" s="122"/>
      <x:c r="J92" s="122"/>
      <x:c r="K92" s="122"/>
    </x:row>
    <x:row r="93" ht="14.25" customHeight="1">
      <x:c r="A93" s="1" t="s">
        <x:v>954</x:v>
      </x:c>
      <x:c r="B93" s="1" t="s">
        <x:v>513</x:v>
      </x:c>
      <x:c r="C93" s="1">
        <x:v>42.3</x:v>
      </x:c>
      <x:c r="D93" s="1">
        <x:v>396.6</x:v>
      </x:c>
      <x:c r="E93" s="1">
        <x:v>4.3</x:v>
      </x:c>
      <x:c r="F93" s="1">
        <x:v>0.1</x:v>
      </x:c>
      <x:c r="G93" s="1">
        <x:v>107.4</x:v>
      </x:c>
      <x:c r="H93" s="18">
        <x:f t="shared" si="1"/>
        <x:v>20.90189189</x:v>
      </x:c>
      <x:c r="I93" s="119" t="n">
        <x:f>C95*Scoring!$B$36+TE!D95/Scoring!$C$36+TE!E95*Scoring!$D$36+TE!F95*Scoring!$E$36+H95*Scoring!$F$36</x:f>
        <x:v>74.55</x:v>
      </x:c>
      <x:c r="J93" s="119" t="n">
        <x:f>C93*Scoring!$B$36+TE!D93/Scoring!$C$36+TE!E93*Scoring!$D$36+TE!F93*Scoring!$E$36+H93*Scoring!$F$36</x:f>
        <x:v>86.51</x:v>
      </x:c>
      <x:c r="K93" s="119" t="n">
        <x:f>C94*Scoring!$B$36+TE!D94/Scoring!$C$36+TE!E94*Scoring!$D$36+TE!F94*Scoring!$E$36+H94*Scoring!$F$36</x:f>
        <x:v>100.17</x:v>
      </x:c>
    </x:row>
    <x:row r="94" ht="14.25" customHeight="1">
      <x:c r="B94" s="1" t="s">
        <x:v>488</x:v>
      </x:c>
      <x:c r="C94" s="1">
        <x:v>45.0</x:v>
      </x:c>
      <x:c r="D94" s="1">
        <x:v>416.7</x:v>
      </x:c>
      <x:c r="E94" s="1">
        <x:v>6.0</x:v>
      </x:c>
      <x:c r="F94" s="1">
        <x:v>0.0</x:v>
      </x:c>
      <x:c r="G94" s="1">
        <x:v>119.7</x:v>
      </x:c>
      <x:c r="H94" s="18">
        <x:f t="shared" si="1"/>
        <x:v>21.96121622</x:v>
      </x:c>
      <x:c r="I94" s="122"/>
      <x:c r="J94" s="122"/>
      <x:c r="K94" s="122"/>
    </x:row>
    <x:row r="95" ht="14.25" customHeight="1">
      <x:c r="B95" s="1" t="s">
        <x:v>489</x:v>
      </x:c>
      <x:c r="C95" s="1">
        <x:v>39.9</x:v>
      </x:c>
      <x:c r="D95" s="1">
        <x:v>369.0</x:v>
      </x:c>
      <x:c r="E95" s="1">
        <x:v>3.0</x:v>
      </x:c>
      <x:c r="F95" s="1">
        <x:v>0.3</x:v>
      </x:c>
      <x:c r="G95" s="1">
        <x:v>106.8</x:v>
      </x:c>
      <x:c r="H95" s="18">
        <x:f t="shared" si="1"/>
        <x:v>19.4472973</x:v>
      </x:c>
      <x:c r="I95" s="122"/>
      <x:c r="J95" s="122"/>
      <x:c r="K95" s="122"/>
    </x:row>
    <x:row r="96" ht="14.25" customHeight="1">
      <x:c r="A96" s="1" t="s">
        <x:v>955</x:v>
      </x:c>
      <x:c r="B96" s="1" t="s">
        <x:v>499</x:v>
      </x:c>
      <x:c r="C96" s="1">
        <x:v>41.4</x:v>
      </x:c>
      <x:c r="D96" s="1">
        <x:v>434.3</x:v>
      </x:c>
      <x:c r="E96" s="1">
        <x:v>3.6</x:v>
      </x:c>
      <x:c r="F96" s="1">
        <x:v>0.1</x:v>
      </x:c>
      <x:c r="G96" s="1">
        <x:v>106.1</x:v>
      </x:c>
      <x:c r="H96" s="18">
        <x:f t="shared" si="1"/>
        <x:v>22.88878378</x:v>
      </x:c>
      <x:c r="I96" s="119" t="n">
        <x:f>C98*Scoring!$B$36+TE!D98/Scoring!$C$36+TE!E98*Scoring!$D$36+TE!F98*Scoring!$E$36+H98*Scoring!$F$36</x:f>
        <x:v>65.19</x:v>
      </x:c>
      <x:c r="J96" s="119" t="n">
        <x:f>C96*Scoring!$B$36+TE!D96/Scoring!$C$36+TE!E96*Scoring!$D$36+TE!F96*Scoring!$E$36+H96*Scoring!$F$36</x:f>
        <x:v>85.63</x:v>
      </x:c>
      <x:c r="K96" s="119" t="n">
        <x:f>C97*Scoring!$B$36+TE!D97/Scoring!$C$36+TE!E97*Scoring!$D$36+TE!F97*Scoring!$E$36+H97*Scoring!$F$36</x:f>
        <x:v>102.5</x:v>
      </x:c>
    </x:row>
    <x:row r="97" ht="14.25" customHeight="1">
      <x:c r="B97" s="1" t="s">
        <x:v>488</x:v>
      </x:c>
      <x:c r="C97" s="1">
        <x:v>49.0</x:v>
      </x:c>
      <x:c r="D97" s="1">
        <x:v>540.0</x:v>
      </x:c>
      <x:c r="E97" s="1">
        <x:v>4.0</x:v>
      </x:c>
      <x:c r="F97" s="1">
        <x:v>0.0</x:v>
      </x:c>
      <x:c r="G97" s="1">
        <x:v>131.9</x:v>
      </x:c>
      <x:c r="H97" s="18">
        <x:f t="shared" si="1"/>
        <x:v>28.45945946</x:v>
      </x:c>
      <x:c r="I97" s="122"/>
      <x:c r="J97" s="122"/>
      <x:c r="K97" s="122"/>
    </x:row>
    <x:row r="98" ht="14.25" customHeight="1">
      <x:c r="B98" s="1" t="s">
        <x:v>489</x:v>
      </x:c>
      <x:c r="C98" s="1">
        <x:v>32.2</x:v>
      </x:c>
      <x:c r="D98" s="1">
        <x:v>312.9</x:v>
      </x:c>
      <x:c r="E98" s="1">
        <x:v>3.0</x:v>
      </x:c>
      <x:c r="F98" s="1">
        <x:v>0.2</x:v>
      </x:c>
      <x:c r="G98" s="1">
        <x:v>95.0</x:v>
      </x:c>
      <x:c r="H98" s="18">
        <x:f t="shared" si="1"/>
        <x:v>16.49067568</x:v>
      </x:c>
      <x:c r="I98" s="122"/>
      <x:c r="J98" s="122"/>
      <x:c r="K98" s="122"/>
    </x:row>
    <x:row r="99" ht="14.25" customHeight="1">
      <x:c r="A99" s="1" t="s">
        <x:v>956</x:v>
      </x:c>
      <x:c r="B99" s="1" t="s">
        <x:v>513</x:v>
      </x:c>
      <x:c r="C99" s="1">
        <x:v>37.8</x:v>
      </x:c>
      <x:c r="D99" s="1">
        <x:v>474.9</x:v>
      </x:c>
      <x:c r="E99" s="1">
        <x:v>2.8</x:v>
      </x:c>
      <x:c r="F99" s="1">
        <x:v>0.6</x:v>
      </x:c>
      <x:c r="G99" s="1">
        <x:v>101.1</x:v>
      </x:c>
      <x:c r="H99" s="18">
        <x:f t="shared" si="1"/>
        <x:v>25.02851351</x:v>
      </x:c>
      <x:c r="I99" s="119" t="n">
        <x:f>C101*Scoring!$B$36+TE!D101/Scoring!$C$36+TE!E101*Scoring!$D$36+TE!F101*Scoring!$E$36+H101*Scoring!$F$36</x:f>
        <x:v>61.32</x:v>
      </x:c>
      <x:c r="J99" s="119" t="n">
        <x:f>C99*Scoring!$B$36+TE!D99/Scoring!$C$36+TE!E99*Scoring!$D$36+TE!F99*Scoring!$E$36+H99*Scoring!$F$36</x:f>
        <x:v>82.58999999999999</x:v>
      </x:c>
      <x:c r="K99" s="119" t="n">
        <x:f>C100*Scoring!$B$36+TE!D100/Scoring!$C$36+TE!E100*Scoring!$D$36+TE!F100*Scoring!$E$36+H100*Scoring!$F$36</x:f>
        <x:v>111.2</x:v>
      </x:c>
    </x:row>
    <x:row r="100" ht="14.25" customHeight="1">
      <x:c r="B100" s="1" t="s">
        <x:v>488</x:v>
      </x:c>
      <x:c r="C100" s="1">
        <x:v>49.0</x:v>
      </x:c>
      <x:c r="D100" s="1">
        <x:v>689.0</x:v>
      </x:c>
      <x:c r="E100" s="1">
        <x:v>3.0</x:v>
      </x:c>
      <x:c r="F100" s="1">
        <x:v>0.2</x:v>
      </x:c>
      <x:c r="G100" s="1">
        <x:v>114.8</x:v>
      </x:c>
      <x:c r="H100" s="18">
        <x:f t="shared" si="1"/>
        <x:v>36.31216216</x:v>
      </x:c>
      <x:c r="I100" s="122"/>
      <x:c r="J100" s="122"/>
      <x:c r="K100" s="122"/>
    </x:row>
    <x:row r="101" ht="14.25" customHeight="1">
      <x:c r="B101" s="1" t="s">
        <x:v>489</x:v>
      </x:c>
      <x:c r="C101" s="1">
        <x:v>30.3</x:v>
      </x:c>
      <x:c r="D101" s="1">
        <x:v>321.7</x:v>
      </x:c>
      <x:c r="E101" s="1">
        <x:v>2.5</x:v>
      </x:c>
      <x:c r="F101" s="1">
        <x:v>1.0</x:v>
      </x:c>
      <x:c r="G101" s="1">
        <x:v>84.8</x:v>
      </x:c>
      <x:c r="H101" s="18">
        <x:f t="shared" si="1"/>
        <x:v>16.95445946</x:v>
      </x:c>
      <x:c r="I101" s="122"/>
      <x:c r="J101" s="122"/>
      <x:c r="K101" s="122"/>
    </x:row>
    <x:row r="102" ht="14.25" customHeight="1">
      <x:c r="A102" s="1" t="s">
        <x:v>957</x:v>
      </x:c>
      <x:c r="B102" s="1" t="s">
        <x:v>539</x:v>
      </x:c>
      <x:c r="C102" s="1">
        <x:v>45.8</x:v>
      </x:c>
      <x:c r="D102" s="1">
        <x:v>403.5</x:v>
      </x:c>
      <x:c r="E102" s="1">
        <x:v>2.4</x:v>
      </x:c>
      <x:c r="F102" s="1">
        <x:v>0.1</x:v>
      </x:c>
      <x:c r="G102" s="1">
        <x:v>100.6</x:v>
      </x:c>
      <x:c r="H102" s="18">
        <x:f t="shared" si="1"/>
        <x:v>21.26554054</x:v>
      </x:c>
      <x:c r="I102" s="119" t="n">
        <x:f>C104*Scoring!$B$36+TE!D104/Scoring!$C$36+TE!E104*Scoring!$D$36+TE!F104*Scoring!$E$36+H104*Scoring!$F$36</x:f>
        <x:v>50.2</x:v>
      </x:c>
      <x:c r="J102" s="119" t="n">
        <x:f>C102*Scoring!$B$36+TE!D102/Scoring!$C$36+TE!E102*Scoring!$D$36+TE!F102*Scoring!$E$36+H102*Scoring!$F$36</x:f>
        <x:v>77.55000000000001</x:v>
      </x:c>
      <x:c r="K102" s="119" t="n">
        <x:f>C103*Scoring!$B$36+TE!D103/Scoring!$C$36+TE!E103*Scoring!$D$36+TE!F103*Scoring!$E$36+H103*Scoring!$F$36</x:f>
        <x:v>100.1</x:v>
      </x:c>
    </x:row>
    <x:row r="103" ht="14.25" customHeight="1">
      <x:c r="B103" s="1" t="s">
        <x:v>488</x:v>
      </x:c>
      <x:c r="C103" s="1">
        <x:v>56.0</x:v>
      </x:c>
      <x:c r="D103" s="1">
        <x:v>481.0</x:v>
      </x:c>
      <x:c r="E103" s="1">
        <x:v>4.0</x:v>
      </x:c>
      <x:c r="F103" s="1">
        <x:v>0.0</x:v>
      </x:c>
      <x:c r="G103" s="1">
        <x:v>130.9</x:v>
      </x:c>
      <x:c r="H103" s="18">
        <x:f t="shared" si="1"/>
        <x:v>25.35</x:v>
      </x:c>
      <x:c r="I103" s="122"/>
      <x:c r="J103" s="122"/>
      <x:c r="K103" s="122"/>
    </x:row>
    <x:row r="104" ht="14.25" customHeight="1">
      <x:c r="B104" s="1" t="s">
        <x:v>489</x:v>
      </x:c>
      <x:c r="C104" s="1">
        <x:v>31.5</x:v>
      </x:c>
      <x:c r="D104" s="1">
        <x:v>268.5</x:v>
      </x:c>
      <x:c r="E104" s="1">
        <x:v>1.3</x:v>
      </x:c>
      <x:c r="F104" s="1">
        <x:v>0.2</x:v>
      </x:c>
      <x:c r="G104" s="1">
        <x:v>80.6</x:v>
      </x:c>
      <x:c r="H104" s="18">
        <x:f t="shared" si="1"/>
        <x:v>14.15067568</x:v>
      </x:c>
      <x:c r="I104" s="122"/>
      <x:c r="J104" s="122"/>
      <x:c r="K104" s="122"/>
    </x:row>
    <x:row r="105" ht="14.25" customHeight="1">
      <x:c r="A105" s="1" t="s">
        <x:v>958</x:v>
      </x:c>
      <x:c r="B105" s="1" t="s">
        <x:v>517</x:v>
      </x:c>
      <x:c r="C105" s="1">
        <x:v>34.0</x:v>
      </x:c>
      <x:c r="D105" s="1">
        <x:v>349.2</x:v>
      </x:c>
      <x:c r="E105" s="1">
        <x:v>4.0</x:v>
      </x:c>
      <x:c r="F105" s="1">
        <x:v>0.6</x:v>
      </x:c>
      <x:c r="G105" s="1">
        <x:v>91.8</x:v>
      </x:c>
      <x:c r="H105" s="18">
        <x:f t="shared" si="1"/>
        <x:v>18.40378378</x:v>
      </x:c>
      <x:c r="I105" s="119" t="n">
        <x:f>C107*Scoring!$B$36+TE!D107/Scoring!$C$36+TE!E107*Scoring!$D$36+TE!F107*Scoring!$E$36+H107*Scoring!$F$36</x:f>
        <x:v>60.15</x:v>
      </x:c>
      <x:c r="J105" s="119" t="n">
        <x:f>C105*Scoring!$B$36+TE!D105/Scoring!$C$36+TE!E105*Scoring!$D$36+TE!F105*Scoring!$E$36+H105*Scoring!$F$36</x:f>
        <x:v>75.32000000000001</x:v>
      </x:c>
      <x:c r="K105" s="119" t="n">
        <x:f>C106*Scoring!$B$36+TE!D106/Scoring!$C$36+TE!E106*Scoring!$D$36+TE!F106*Scoring!$E$36+H106*Scoring!$F$36</x:f>
        <x:v>99.7</x:v>
      </x:c>
    </x:row>
    <x:row r="106" ht="14.25" customHeight="1">
      <x:c r="B106" s="1" t="s">
        <x:v>488</x:v>
      </x:c>
      <x:c r="C106" s="1">
        <x:v>41.0</x:v>
      </x:c>
      <x:c r="D106" s="1">
        <x:v>435.0</x:v>
      </x:c>
      <x:c r="E106" s="1">
        <x:v>6.0</x:v>
      </x:c>
      <x:c r="F106" s="1">
        <x:v>0.3</x:v>
      </x:c>
      <x:c r="G106" s="1">
        <x:v>103.0</x:v>
      </x:c>
      <x:c r="H106" s="18">
        <x:f t="shared" si="1"/>
        <x:v>22.92567568</x:v>
      </x:c>
      <x:c r="I106" s="122"/>
      <x:c r="J106" s="122"/>
      <x:c r="K106" s="122"/>
    </x:row>
    <x:row r="107" ht="14.25" customHeight="1">
      <x:c r="B107" s="1" t="s">
        <x:v>489</x:v>
      </x:c>
      <x:c r="C107" s="1">
        <x:v>28.0</x:v>
      </x:c>
      <x:c r="D107" s="1">
        <x:v>291.5</x:v>
      </x:c>
      <x:c r="E107" s="1">
        <x:v>3.0</x:v>
      </x:c>
      <x:c r="F107" s="1">
        <x:v>1.0</x:v>
      </x:c>
      <x:c r="G107" s="1">
        <x:v>81.4</x:v>
      </x:c>
      <x:c r="H107" s="18">
        <x:f t="shared" si="1"/>
        <x:v>15.36283784</x:v>
      </x:c>
      <x:c r="I107" s="122"/>
      <x:c r="J107" s="122"/>
      <x:c r="K107" s="122"/>
    </x:row>
    <x:row r="108" ht="14.25" customHeight="1">
      <x:c r="A108" s="1" t="s">
        <x:v>959</x:v>
      </x:c>
      <x:c r="B108" s="1" t="s">
        <x:v>547</x:v>
      </x:c>
      <x:c r="C108" s="1">
        <x:v>40.0</x:v>
      </x:c>
      <x:c r="D108" s="1">
        <x:v>376.3</x:v>
      </x:c>
      <x:c r="E108" s="1">
        <x:v>2.1</x:v>
      </x:c>
      <x:c r="F108" s="1">
        <x:v>0.1</x:v>
      </x:c>
      <x:c r="G108" s="1">
        <x:v>90.0</x:v>
      </x:c>
      <x:c r="H108" s="18">
        <x:f t="shared" si="1"/>
        <x:v>19.83202703</x:v>
      </x:c>
      <x:c r="I108" s="119" t="n">
        <x:f>C110*Scoring!$B$36+TE!D110/Scoring!$C$36+TE!E110*Scoring!$D$36+TE!F110*Scoring!$E$36+H110*Scoring!$F$36</x:f>
        <x:v>60.5</x:v>
      </x:c>
      <x:c r="J108" s="119" t="n">
        <x:f>C108*Scoring!$B$36+TE!D108/Scoring!$C$36+TE!E108*Scoring!$D$36+TE!F108*Scoring!$E$36+H108*Scoring!$F$36</x:f>
        <x:v>70.13000000000001</x:v>
      </x:c>
      <x:c r="K108" s="119" t="n">
        <x:f>C109*Scoring!$B$36+TE!D109/Scoring!$C$36+TE!E109*Scoring!$D$36+TE!F109*Scoring!$E$36+H109*Scoring!$F$36</x:f>
        <x:v>81.5</x:v>
      </x:c>
    </x:row>
    <x:row r="109" ht="14.25" customHeight="1">
      <x:c r="B109" s="1" t="s">
        <x:v>488</x:v>
      </x:c>
      <x:c r="C109" s="1">
        <x:v>43.0</x:v>
      </x:c>
      <x:c r="D109" s="1">
        <x:v>420.0</x:v>
      </x:c>
      <x:c r="E109" s="1">
        <x:v>3.0</x:v>
      </x:c>
      <x:c r="F109" s="1">
        <x:v>0.0</x:v>
      </x:c>
      <x:c r="G109" s="1">
        <x:v>121.5</x:v>
      </x:c>
      <x:c r="H109" s="18">
        <x:f t="shared" si="1"/>
        <x:v>22.13513514</x:v>
      </x:c>
      <x:c r="I109" s="122"/>
      <x:c r="J109" s="122"/>
      <x:c r="K109" s="122"/>
    </x:row>
    <x:row r="110" ht="14.25" customHeight="1">
      <x:c r="B110" s="1" t="s">
        <x:v>489</x:v>
      </x:c>
      <x:c r="C110" s="1">
        <x:v>37.0</x:v>
      </x:c>
      <x:c r="D110" s="1">
        <x:v>345.0</x:v>
      </x:c>
      <x:c r="E110" s="1">
        <x:v>1.3</x:v>
      </x:c>
      <x:c r="F110" s="1">
        <x:v>0.3</x:v>
      </x:c>
      <x:c r="G110" s="1">
        <x:v>79.0</x:v>
      </x:c>
      <x:c r="H110" s="18">
        <x:f t="shared" si="1"/>
        <x:v>18.18243243</x:v>
      </x:c>
      <x:c r="I110" s="122"/>
      <x:c r="J110" s="122"/>
      <x:c r="K110" s="122"/>
    </x:row>
    <x:row r="111" ht="14.25" customHeight="1">
      <x:c r="A111" s="1" t="s">
        <x:v>960</x:v>
      </x:c>
      <x:c r="B111" s="1" t="s">
        <x:v>487</x:v>
      </x:c>
      <x:c r="C111" s="1">
        <x:v>28.6</x:v>
      </x:c>
      <x:c r="D111" s="1">
        <x:v>331.7</x:v>
      </x:c>
      <x:c r="E111" s="1">
        <x:v>2.9</x:v>
      </x:c>
      <x:c r="F111" s="1">
        <x:v>0.1</x:v>
      </x:c>
      <x:c r="G111" s="1">
        <x:v>79.2</x:v>
      </x:c>
      <x:c r="H111" s="18">
        <x:f t="shared" si="1"/>
        <x:v>17.48148649</x:v>
      </x:c>
      <x:c r="I111" s="119" t="n">
        <x:f>C113*Scoring!$B$36+TE!D113/Scoring!$C$36+TE!E113*Scoring!$D$36+TE!F113*Scoring!$E$36+H113*Scoring!$F$36</x:f>
        <x:v>55.65</x:v>
      </x:c>
      <x:c r="J111" s="119" t="n">
        <x:f>C111*Scoring!$B$36+TE!D111/Scoring!$C$36+TE!E111*Scoring!$D$36+TE!F111*Scoring!$E$36+H111*Scoring!$F$36</x:f>
        <x:v>64.77000000000001</x:v>
      </x:c>
      <x:c r="K111" s="119" t="n">
        <x:f>C112*Scoring!$B$36+TE!D112/Scoring!$C$36+TE!E112*Scoring!$D$36+TE!F112*Scoring!$E$36+H112*Scoring!$F$36</x:f>
        <x:v>75.6</x:v>
      </x:c>
    </x:row>
    <x:row r="112" ht="14.25" customHeight="1">
      <x:c r="B112" s="1" t="s">
        <x:v>488</x:v>
      </x:c>
      <x:c r="C112" s="1">
        <x:v>35.0</x:v>
      </x:c>
      <x:c r="D112" s="1">
        <x:v>401.0</x:v>
      </x:c>
      <x:c r="E112" s="1">
        <x:v>3.0</x:v>
      </x:c>
      <x:c r="F112" s="1">
        <x:v>0.0</x:v>
      </x:c>
      <x:c r="G112" s="1">
        <x:v>92.5</x:v>
      </x:c>
      <x:c r="H112" s="18">
        <x:f t="shared" si="1"/>
        <x:v>21.13378378</x:v>
      </x:c>
      <x:c r="I112" s="122"/>
      <x:c r="J112" s="122"/>
      <x:c r="K112" s="122"/>
    </x:row>
    <x:row r="113" ht="14.25" customHeight="1">
      <x:c r="B113" s="1" t="s">
        <x:v>489</x:v>
      </x:c>
      <x:c r="C113" s="1">
        <x:v>24.9</x:v>
      </x:c>
      <x:c r="D113" s="1">
        <x:v>265.0</x:v>
      </x:c>
      <x:c r="E113" s="1">
        <x:v>2.8</x:v>
      </x:c>
      <x:c r="F113" s="1">
        <x:v>0.1</x:v>
      </x:c>
      <x:c r="G113" s="1">
        <x:v>71.9</x:v>
      </x:c>
      <x:c r="H113" s="18">
        <x:f t="shared" si="1"/>
        <x:v>13.96621622</x:v>
      </x:c>
      <x:c r="I113" s="122"/>
      <x:c r="J113" s="122"/>
      <x:c r="K113" s="122"/>
    </x:row>
    <x:row r="114" ht="14.25" customHeight="1">
      <x:c r="A114" s="1" t="s">
        <x:v>961</x:v>
      </x:c>
      <x:c r="B114" s="1" t="s">
        <x:v>501</x:v>
      </x:c>
      <x:c r="C114" s="1">
        <x:v>27.5</x:v>
      </x:c>
      <x:c r="D114" s="1">
        <x:v>313.8</x:v>
      </x:c>
      <x:c r="E114" s="1">
        <x:v>2.9</x:v>
      </x:c>
      <x:c r="F114" s="1">
        <x:v>0.1</x:v>
      </x:c>
      <x:c r="G114" s="1">
        <x:v>75.9</x:v>
      </x:c>
      <x:c r="H114" s="18">
        <x:f t="shared" si="1"/>
        <x:v>16.53810811</x:v>
      </x:c>
      <x:c r="I114" s="119" t="n">
        <x:f>C116*Scoring!$B$36+TE!D116/Scoring!$C$36+TE!E116*Scoring!$D$36+TE!F116*Scoring!$E$36+H116*Scoring!$F$36</x:f>
        <x:v>48.44</x:v>
      </x:c>
      <x:c r="J114" s="119" t="n">
        <x:f>C114*Scoring!$B$36+TE!D114/Scoring!$C$36+TE!E114*Scoring!$D$36+TE!F114*Scoring!$E$36+H114*Scoring!$F$36</x:f>
        <x:v>62.43</x:v>
      </x:c>
      <x:c r="K114" s="119" t="n">
        <x:f>C115*Scoring!$B$36+TE!D115/Scoring!$C$36+TE!E115*Scoring!$D$36+TE!F115*Scoring!$E$36+H115*Scoring!$F$36</x:f>
        <x:v>85.5</x:v>
      </x:c>
    </x:row>
    <x:row r="115" ht="14.25" customHeight="1">
      <x:c r="B115" s="1" t="s">
        <x:v>488</x:v>
      </x:c>
      <x:c r="C115" s="1">
        <x:v>33.0</x:v>
      </x:c>
      <x:c r="D115" s="1">
        <x:v>390.0</x:v>
      </x:c>
      <x:c r="E115" s="1">
        <x:v>5.0</x:v>
      </x:c>
      <x:c r="F115" s="1">
        <x:v>0.0</x:v>
      </x:c>
      <x:c r="G115" s="1">
        <x:v>87.5</x:v>
      </x:c>
      <x:c r="H115" s="18">
        <x:f t="shared" si="1"/>
        <x:v>20.55405405</x:v>
      </x:c>
      <x:c r="I115" s="122"/>
      <x:c r="J115" s="122"/>
      <x:c r="K115" s="122"/>
    </x:row>
    <x:row r="116" ht="14.25" customHeight="1">
      <x:c r="B116" s="1" t="s">
        <x:v>489</x:v>
      </x:c>
      <x:c r="C116" s="1">
        <x:v>24.0</x:v>
      </x:c>
      <x:c r="D116" s="1">
        <x:v>269.4</x:v>
      </x:c>
      <x:c r="E116" s="1">
        <x:v>1.6</x:v>
      </x:c>
      <x:c r="F116" s="1">
        <x:v>0.1</x:v>
      </x:c>
      <x:c r="G116" s="1">
        <x:v>63.8</x:v>
      </x:c>
      <x:c r="H116" s="18">
        <x:f t="shared" si="1"/>
        <x:v>14.19810811</x:v>
      </x:c>
      <x:c r="I116" s="122"/>
      <x:c r="J116" s="122"/>
      <x:c r="K116" s="122"/>
    </x:row>
    <x:row r="117" ht="14.25" customHeight="1">
      <x:c r="A117" s="1" t="s">
        <x:v>962</x:v>
      </x:c>
      <x:c r="B117" s="1" t="s">
        <x:v>545</x:v>
      </x:c>
      <x:c r="C117" s="1">
        <x:v>30.7</x:v>
      </x:c>
      <x:c r="D117" s="1">
        <x:v>329.1</x:v>
      </x:c>
      <x:c r="E117" s="1">
        <x:v>2.0</x:v>
      </x:c>
      <x:c r="F117" s="1">
        <x:v>0.6</x:v>
      </x:c>
      <x:c r="G117" s="1">
        <x:v>74.1</x:v>
      </x:c>
      <x:c r="H117" s="18">
        <x:f t="shared" si="1"/>
        <x:v>17.34445946</x:v>
      </x:c>
      <x:c r="I117" s="119" t="n">
        <x:f>C119*Scoring!$B$36+TE!D119/Scoring!$C$36+TE!E119*Scoring!$D$36+TE!F119*Scoring!$E$36+H119*Scoring!$F$36</x:f>
        <x:v>53.3</x:v>
      </x:c>
      <x:c r="J117" s="119" t="n">
        <x:f>C117*Scoring!$B$36+TE!D117/Scoring!$C$36+TE!E117*Scoring!$D$36+TE!F117*Scoring!$E$36+H117*Scoring!$F$36</x:f>
        <x:v>59.660000000000004</x:v>
      </x:c>
      <x:c r="K117" s="119" t="n">
        <x:f>C118*Scoring!$B$36+TE!D118/Scoring!$C$36+TE!E118*Scoring!$D$36+TE!F118*Scoring!$E$36+H118*Scoring!$F$36</x:f>
        <x:v>67.5</x:v>
      </x:c>
    </x:row>
    <x:row r="118" ht="14.25" customHeight="1">
      <x:c r="B118" s="1" t="s">
        <x:v>488</x:v>
      </x:c>
      <x:c r="C118" s="1">
        <x:v>35.0</x:v>
      </x:c>
      <x:c r="D118" s="1">
        <x:v>383.0</x:v>
      </x:c>
      <x:c r="E118" s="1">
        <x:v>2.0</x:v>
      </x:c>
      <x:c r="F118" s="1">
        <x:v>0.3</x:v>
      </x:c>
      <x:c r="G118" s="1">
        <x:v>85.6</x:v>
      </x:c>
      <x:c r="H118" s="18">
        <x:f t="shared" si="1"/>
        <x:v>20.18513514</x:v>
      </x:c>
      <x:c r="I118" s="122"/>
      <x:c r="J118" s="122"/>
      <x:c r="K118" s="122"/>
    </x:row>
    <x:row r="119" ht="14.25" customHeight="1">
      <x:c r="B119" s="1" t="s">
        <x:v>489</x:v>
      </x:c>
      <x:c r="C119" s="1">
        <x:v>26.0</x:v>
      </x:c>
      <x:c r="D119" s="1">
        <x:v>299.0</x:v>
      </x:c>
      <x:c r="E119" s="1">
        <x:v>1.9</x:v>
      </x:c>
      <x:c r="F119" s="1">
        <x:v>1.0</x:v>
      </x:c>
      <x:c r="G119" s="1">
        <x:v>70.7</x:v>
      </x:c>
      <x:c r="H119" s="18">
        <x:f t="shared" si="1"/>
        <x:v>15.75810811</x:v>
      </x:c>
      <x:c r="I119" s="122"/>
      <x:c r="J119" s="122"/>
      <x:c r="K119" s="122"/>
    </x:row>
    <x:row r="120" ht="14.25" customHeight="1">
      <x:c r="A120" s="1" t="s">
        <x:v>963</x:v>
      </x:c>
      <x:c r="B120" s="1" t="s">
        <x:v>517</x:v>
      </x:c>
      <x:c r="C120" s="1">
        <x:v>25.1</x:v>
      </x:c>
      <x:c r="D120" s="1">
        <x:v>296.5</x:v>
      </x:c>
      <x:c r="E120" s="1">
        <x:v>2.4</x:v>
      </x:c>
      <x:c r="F120" s="1">
        <x:v>0.0</x:v>
      </x:c>
      <x:c r="G120" s="1">
        <x:v>69.2</x:v>
      </x:c>
      <x:c r="H120" s="18">
        <x:f t="shared" si="1"/>
        <x:v>15.62635135</x:v>
      </x:c>
      <x:c r="I120" s="119" t="n">
        <x:f>C122*Scoring!$B$36+TE!D122/Scoring!$C$36+TE!E122*Scoring!$D$36+TE!F122*Scoring!$E$36+H122*Scoring!$F$36</x:f>
        <x:v>30.790000000000003</x:v>
      </x:c>
      <x:c r="J120" s="119" t="n">
        <x:f>C120*Scoring!$B$36+TE!D120/Scoring!$C$36+TE!E120*Scoring!$D$36+TE!F120*Scoring!$E$36+H120*Scoring!$F$36</x:f>
        <x:v>56.6</x:v>
      </x:c>
      <x:c r="K120" s="119" t="n">
        <x:f>C121*Scoring!$B$36+TE!D121/Scoring!$C$36+TE!E121*Scoring!$D$36+TE!F121*Scoring!$E$36+H121*Scoring!$F$36</x:f>
        <x:v>93.9</x:v>
      </x:c>
    </x:row>
    <x:row r="121" ht="14.25" customHeight="1">
      <x:c r="B121" s="1" t="s">
        <x:v>488</x:v>
      </x:c>
      <x:c r="C121" s="1">
        <x:v>40.0</x:v>
      </x:c>
      <x:c r="D121" s="1">
        <x:v>499.0</x:v>
      </x:c>
      <x:c r="E121" s="1">
        <x:v>4.0</x:v>
      </x:c>
      <x:c r="F121" s="1">
        <x:v>0.0</x:v>
      </x:c>
      <x:c r="G121" s="1">
        <x:v>90.1</x:v>
      </x:c>
      <x:c r="H121" s="18">
        <x:f t="shared" si="1"/>
        <x:v>26.29864865</x:v>
      </x:c>
      <x:c r="I121" s="122"/>
      <x:c r="J121" s="122"/>
      <x:c r="K121" s="122"/>
    </x:row>
    <x:row r="122" ht="14.25" customHeight="1">
      <x:c r="B122" s="1" t="s">
        <x:v>489</x:v>
      </x:c>
      <x:c r="C122" s="1">
        <x:v>15.3</x:v>
      </x:c>
      <x:c r="D122" s="1">
        <x:v>154.4</x:v>
      </x:c>
      <x:c r="E122" s="1">
        <x:v>1.3</x:v>
      </x:c>
      <x:c r="F122" s="1">
        <x:v>0.1</x:v>
      </x:c>
      <x:c r="G122" s="1">
        <x:v>47.9</x:v>
      </x:c>
      <x:c r="H122" s="18">
        <x:f t="shared" si="1"/>
        <x:v>8.137297297</x:v>
      </x:c>
      <x:c r="I122" s="122"/>
      <x:c r="J122" s="122"/>
      <x:c r="K122" s="122"/>
    </x:row>
    <x:row r="123" ht="14.25" customHeight="1">
      <x:c r="A123" s="1" t="s">
        <x:v>964</x:v>
      </x:c>
      <x:c r="B123" s="1" t="s">
        <x:v>499</x:v>
      </x:c>
      <x:c r="C123" s="1">
        <x:v>30.5</x:v>
      </x:c>
      <x:c r="D123" s="1">
        <x:v>268.1</x:v>
      </x:c>
      <x:c r="E123" s="1">
        <x:v>1.9</x:v>
      </x:c>
      <x:c r="F123" s="1">
        <x:v>0.1</x:v>
      </x:c>
      <x:c r="G123" s="1">
        <x:v>68.7</x:v>
      </x:c>
      <x:c r="H123" s="18">
        <x:f t="shared" si="1"/>
        <x:v>14.12959459</x:v>
      </x:c>
      <x:c r="I123" s="119" t="n">
        <x:f>C125*Scoring!$B$36+TE!D125/Scoring!$C$36+TE!E125*Scoring!$D$36+TE!F125*Scoring!$E$36+H125*Scoring!$F$36</x:f>
        <x:v>47.669999999999995</x:v>
      </x:c>
      <x:c r="J123" s="119" t="n">
        <x:f>C123*Scoring!$B$36+TE!D123/Scoring!$C$36+TE!E123*Scoring!$D$36+TE!F123*Scoring!$E$36+H123*Scoring!$F$36</x:f>
        <x:v>53.36</x:v>
      </x:c>
      <x:c r="K123" s="119" t="n">
        <x:f>C124*Scoring!$B$36+TE!D124/Scoring!$C$36+TE!E124*Scoring!$D$36+TE!F124*Scoring!$E$36+H124*Scoring!$F$36</x:f>
        <x:v>59.6</x:v>
      </x:c>
    </x:row>
    <x:row r="124" ht="14.25" customHeight="1">
      <x:c r="B124" s="1" t="s">
        <x:v>488</x:v>
      </x:c>
      <x:c r="C124" s="1">
        <x:v>35.0</x:v>
      </x:c>
      <x:c r="D124" s="1">
        <x:v>301.0</x:v>
      </x:c>
      <x:c r="E124" s="1">
        <x:v>2.0</x:v>
      </x:c>
      <x:c r="F124" s="1">
        <x:v>0.0</x:v>
      </x:c>
      <x:c r="G124" s="1">
        <x:v>65.1</x:v>
      </x:c>
      <x:c r="H124" s="18">
        <x:f t="shared" si="1"/>
        <x:v>15.86351351</x:v>
      </x:c>
      <x:c r="I124" s="122"/>
      <x:c r="J124" s="122"/>
      <x:c r="K124" s="122"/>
    </x:row>
    <x:row r="125" ht="14.25" customHeight="1">
      <x:c r="B125" s="1" t="s">
        <x:v>489</x:v>
      </x:c>
      <x:c r="C125" s="1">
        <x:v>25.9</x:v>
      </x:c>
      <x:c r="D125" s="1">
        <x:v>235.2</x:v>
      </x:c>
      <x:c r="E125" s="1">
        <x:v>1.9</x:v>
      </x:c>
      <x:c r="F125" s="1">
        <x:v>0.2</x:v>
      </x:c>
      <x:c r="G125" s="1">
        <x:v>63.5</x:v>
      </x:c>
      <x:c r="H125" s="18">
        <x:f t="shared" si="1"/>
        <x:v>12.39567568</x:v>
      </x:c>
      <x:c r="I125" s="122"/>
      <x:c r="J125" s="122"/>
      <x:c r="K125" s="122"/>
    </x:row>
    <x:row r="126" ht="14.25" customHeight="1">
      <x:c r="A126" s="1" t="s">
        <x:v>965</x:v>
      </x:c>
      <x:c r="B126" s="1" t="s">
        <x:v>511</x:v>
      </x:c>
      <x:c r="C126" s="1">
        <x:v>26.2</x:v>
      </x:c>
      <x:c r="D126" s="1">
        <x:v>274.1</x:v>
      </x:c>
      <x:c r="E126" s="1">
        <x:v>2.2</x:v>
      </x:c>
      <x:c r="F126" s="1">
        <x:v>0.1</x:v>
      </x:c>
      <x:c r="G126" s="1">
        <x:v>66.8</x:v>
      </x:c>
      <x:c r="H126" s="18">
        <x:f t="shared" si="1"/>
        <x:v>14.44581081</x:v>
      </x:c>
      <x:c r="I126" s="119" t="n">
        <x:f>C128*Scoring!$B$36+TE!D128/Scoring!$C$36+TE!E128*Scoring!$D$36+TE!F128*Scoring!$E$36+H128*Scoring!$F$36</x:f>
        <x:v>42.87</x:v>
      </x:c>
      <x:c r="J126" s="119" t="n">
        <x:f>C126*Scoring!$B$36+TE!D126/Scoring!$C$36+TE!E126*Scoring!$D$36+TE!F126*Scoring!$E$36+H126*Scoring!$F$36</x:f>
        <x:v>53.61000000000001</x:v>
      </x:c>
      <x:c r="K126" s="119" t="n">
        <x:f>C127*Scoring!$B$36+TE!D127/Scoring!$C$36+TE!E127*Scoring!$D$36+TE!F127*Scoring!$E$36+H127*Scoring!$F$36</x:f>
        <x:v>72.9</x:v>
      </x:c>
    </x:row>
    <x:row r="127" ht="14.25" customHeight="1">
      <x:c r="B127" s="1" t="s">
        <x:v>488</x:v>
      </x:c>
      <x:c r="C127" s="1">
        <x:v>35.0</x:v>
      </x:c>
      <x:c r="D127" s="1">
        <x:v>374.0</x:v>
      </x:c>
      <x:c r="E127" s="1">
        <x:v>3.0</x:v>
      </x:c>
      <x:c r="F127" s="1">
        <x:v>0.0</x:v>
      </x:c>
      <x:c r="G127" s="1">
        <x:v>99.1</x:v>
      </x:c>
      <x:c r="H127" s="18">
        <x:f t="shared" si="1"/>
        <x:v>19.71081081</x:v>
      </x:c>
      <x:c r="I127" s="122"/>
      <x:c r="J127" s="122"/>
      <x:c r="K127" s="122"/>
    </x:row>
    <x:row r="128" ht="14.25" customHeight="1">
      <x:c r="B128" s="1" t="s">
        <x:v>489</x:v>
      </x:c>
      <x:c r="C128" s="1">
        <x:v>21.7</x:v>
      </x:c>
      <x:c r="D128" s="1">
        <x:v>219.2</x:v>
      </x:c>
      <x:c r="E128" s="1">
        <x:v>1.7</x:v>
      </x:c>
      <x:c r="F128" s="1">
        <x:v>0.1</x:v>
      </x:c>
      <x:c r="G128" s="1">
        <x:v>53.2</x:v>
      </x:c>
      <x:c r="H128" s="18">
        <x:f t="shared" si="1"/>
        <x:v>11.55243243</x:v>
      </x:c>
      <x:c r="I128" s="122"/>
      <x:c r="J128" s="122"/>
      <x:c r="K128" s="122"/>
    </x:row>
    <x:row r="129" ht="14.25" customHeight="1">
      <x:c r="A129" s="1" t="s">
        <x:v>966</x:v>
      </x:c>
      <x:c r="B129" s="1" t="s">
        <x:v>521</x:v>
      </x:c>
      <x:c r="C129" s="1">
        <x:v>29.3</x:v>
      </x:c>
      <x:c r="D129" s="1">
        <x:v>274.4</x:v>
      </x:c>
      <x:c r="E129" s="1">
        <x:v>1.6</x:v>
      </x:c>
      <x:c r="F129" s="1">
        <x:v>1.6</x:v>
      </x:c>
      <x:c r="G129" s="1">
        <x:v>63.2</x:v>
      </x:c>
      <x:c r="H129" s="18">
        <x:f t="shared" si="1"/>
        <x:v>14.46162162</x:v>
      </x:c>
      <x:c r="I129" s="119" t="n">
        <x:f>C131*Scoring!$B$36+TE!D131/Scoring!$C$36+TE!E131*Scoring!$D$36+TE!F131*Scoring!$E$36+H131*Scoring!$F$36</x:f>
        <x:v>24.78</x:v>
      </x:c>
      <x:c r="J129" s="119" t="n">
        <x:f>C129*Scoring!$B$36+TE!D129/Scoring!$C$36+TE!E129*Scoring!$D$36+TE!F129*Scoring!$E$36+H129*Scoring!$F$36</x:f>
        <x:v>50.089999999999996</x:v>
      </x:c>
      <x:c r="K129" s="119" t="n">
        <x:f>C130*Scoring!$B$36+TE!D130/Scoring!$C$36+TE!E130*Scoring!$D$36+TE!F130*Scoring!$E$36+H130*Scoring!$F$36</x:f>
        <x:v>76.2</x:v>
      </x:c>
    </x:row>
    <x:row r="130" ht="14.25" customHeight="1">
      <x:c r="B130" s="1" t="s">
        <x:v>488</x:v>
      </x:c>
      <x:c r="C130" s="1">
        <x:v>44.0</x:v>
      </x:c>
      <x:c r="D130" s="1">
        <x:v>423.0</x:v>
      </x:c>
      <x:c r="E130" s="1">
        <x:v>2.0</x:v>
      </x:c>
      <x:c r="F130" s="1">
        <x:v>0.1</x:v>
      </x:c>
      <x:c r="G130" s="1">
        <x:v>80.3</x:v>
      </x:c>
      <x:c r="H130" s="18">
        <x:f t="shared" si="1"/>
        <x:v>22.29324324</x:v>
      </x:c>
      <x:c r="I130" s="122"/>
      <x:c r="J130" s="122"/>
      <x:c r="K130" s="122"/>
    </x:row>
    <x:row r="131" ht="14.25" customHeight="1">
      <x:c r="B131" s="1" t="s">
        <x:v>489</x:v>
      </x:c>
      <x:c r="C131" s="1">
        <x:v>16.9</x:v>
      </x:c>
      <x:c r="D131" s="1">
        <x:v>145.3</x:v>
      </x:c>
      <x:c r="E131" s="1">
        <x:v>0.8</x:v>
      </x:c>
      <x:c r="F131" s="1">
        <x:v>3.0</x:v>
      </x:c>
      <x:c r="G131" s="1">
        <x:v>48.5</x:v>
      </x:c>
      <x:c r="H131" s="18">
        <x:f t="shared" si="1"/>
        <x:v>7.657702703</x:v>
      </x:c>
      <x:c r="I131" s="122"/>
      <x:c r="J131" s="122"/>
      <x:c r="K131" s="122"/>
    </x:row>
    <x:row r="132" ht="14.25" customHeight="1">
      <x:c r="A132" s="1" t="s">
        <x:v>967</x:v>
      </x:c>
      <x:c r="B132" s="1" t="s">
        <x:v>529</x:v>
      </x:c>
      <x:c r="C132" s="1">
        <x:v>26.6</x:v>
      </x:c>
      <x:c r="D132" s="1">
        <x:v>250.7</x:v>
      </x:c>
      <x:c r="E132" s="1">
        <x:v>1.9</x:v>
      </x:c>
      <x:c r="F132" s="1">
        <x:v>0.6</x:v>
      </x:c>
      <x:c r="G132" s="1">
        <x:v>61.8</x:v>
      </x:c>
      <x:c r="H132" s="18">
        <x:f t="shared" si="1"/>
        <x:v>13.21256757</x:v>
      </x:c>
      <x:c r="I132" s="119" t="n">
        <x:f>C134*Scoring!$B$36+TE!D134/Scoring!$C$36+TE!E134*Scoring!$D$36+TE!F134*Scoring!$E$36+H134*Scoring!$F$36</x:f>
        <x:v>30.290000000000003</x:v>
      </x:c>
      <x:c r="J132" s="119" t="n">
        <x:f>C132*Scoring!$B$36+TE!D132/Scoring!$C$36+TE!E132*Scoring!$D$36+TE!F132*Scoring!$E$36+H132*Scoring!$F$36</x:f>
        <x:v>49.17</x:v>
      </x:c>
      <x:c r="K132" s="119" t="n">
        <x:f>C133*Scoring!$B$36+TE!D133/Scoring!$C$36+TE!E133*Scoring!$D$36+TE!F133*Scoring!$E$36+H133*Scoring!$F$36</x:f>
        <x:v>68.10000000000001</x:v>
      </x:c>
    </x:row>
    <x:row r="133" ht="14.25" customHeight="1">
      <x:c r="B133" s="1" t="s">
        <x:v>488</x:v>
      </x:c>
      <x:c r="C133" s="1">
        <x:v>35.0</x:v>
      </x:c>
      <x:c r="D133" s="1">
        <x:v>327.0</x:v>
      </x:c>
      <x:c r="E133" s="1">
        <x:v>3.0</x:v>
      </x:c>
      <x:c r="F133" s="1">
        <x:v>0.1</x:v>
      </x:c>
      <x:c r="G133" s="1">
        <x:v>66.6</x:v>
      </x:c>
      <x:c r="H133" s="18">
        <x:f t="shared" si="1"/>
        <x:v>17.23378378</x:v>
      </x:c>
      <x:c r="I133" s="122"/>
      <x:c r="J133" s="122"/>
      <x:c r="K133" s="122"/>
    </x:row>
    <x:row r="134" ht="14.25" customHeight="1">
      <x:c r="B134" s="1" t="s">
        <x:v>489</x:v>
      </x:c>
      <x:c r="C134" s="1">
        <x:v>18.1</x:v>
      </x:c>
      <x:c r="D134" s="1">
        <x:v>174.4</x:v>
      </x:c>
      <x:c r="E134" s="1">
        <x:v>0.8</x:v>
      </x:c>
      <x:c r="F134" s="1">
        <x:v>1.0</x:v>
      </x:c>
      <x:c r="G134" s="1">
        <x:v>48.4</x:v>
      </x:c>
      <x:c r="H134" s="18">
        <x:f t="shared" si="1"/>
        <x:v>9.191351351</x:v>
      </x:c>
      <x:c r="I134" s="122"/>
      <x:c r="J134" s="122"/>
      <x:c r="K134" s="122"/>
    </x:row>
    <x:row r="135" ht="14.25" customHeight="1">
      <x:c r="A135" s="1" t="s">
        <x:v>968</x:v>
      </x:c>
      <x:c r="B135" s="1" t="s">
        <x:v>533</x:v>
      </x:c>
      <x:c r="C135" s="1">
        <x:v>23.6</x:v>
      </x:c>
      <x:c r="D135" s="1">
        <x:v>240.1</x:v>
      </x:c>
      <x:c r="E135" s="1">
        <x:v>1.9</x:v>
      </x:c>
      <x:c r="F135" s="1">
        <x:v>0.2</x:v>
      </x:c>
      <x:c r="G135" s="1">
        <x:v>58.4</x:v>
      </x:c>
      <x:c r="H135" s="18">
        <x:f t="shared" si="1"/>
        <x:v>12.65391892</x:v>
      </x:c>
      <x:c r="I135" s="119" t="n">
        <x:f>C137*Scoring!$B$36+TE!D137/Scoring!$C$36+TE!E137*Scoring!$D$36+TE!F137*Scoring!$E$36+H137*Scoring!$F$36</x:f>
        <x:v>43.099999999999994</x:v>
      </x:c>
      <x:c r="J135" s="119" t="n">
        <x:f>C135*Scoring!$B$36+TE!D135/Scoring!$C$36+TE!E135*Scoring!$D$36+TE!F135*Scoring!$E$36+H135*Scoring!$F$36</x:f>
        <x:v>47.01</x:v>
      </x:c>
      <x:c r="K135" s="119" t="n">
        <x:f>C136*Scoring!$B$36+TE!D136/Scoring!$C$36+TE!E136*Scoring!$D$36+TE!F136*Scoring!$E$36+H136*Scoring!$F$36</x:f>
        <x:v>50.269999999999996</x:v>
      </x:c>
    </x:row>
    <x:row r="136" ht="14.25" customHeight="1">
      <x:c r="B136" s="1" t="s">
        <x:v>488</x:v>
      </x:c>
      <x:c r="C136" s="1">
        <x:v>24.1</x:v>
      </x:c>
      <x:c r="D136" s="1">
        <x:v>264.2</x:v>
      </x:c>
      <x:c r="E136" s="1">
        <x:v>2.0</x:v>
      </x:c>
      <x:c r="F136" s="1">
        <x:v>0.2</x:v>
      </x:c>
      <x:c r="G136" s="1">
        <x:v>68.7</x:v>
      </x:c>
      <x:c r="H136" s="18">
        <x:f t="shared" si="1"/>
        <x:v>13.92405405</x:v>
      </x:c>
      <x:c r="I136" s="122"/>
      <x:c r="J136" s="122"/>
      <x:c r="K136" s="122"/>
    </x:row>
    <x:row r="137" ht="14.25" customHeight="1">
      <x:c r="B137" s="1" t="s">
        <x:v>489</x:v>
      </x:c>
      <x:c r="C137" s="1">
        <x:v>23.0</x:v>
      </x:c>
      <x:c r="D137" s="1">
        <x:v>216.0</x:v>
      </x:c>
      <x:c r="E137" s="1">
        <x:v>1.7</x:v>
      </x:c>
      <x:c r="F137" s="1">
        <x:v>0.2</x:v>
      </x:c>
      <x:c r="G137" s="1">
        <x:v>60.1</x:v>
      </x:c>
      <x:c r="H137" s="18">
        <x:f t="shared" si="1"/>
        <x:v>11.38378378</x:v>
      </x:c>
      <x:c r="I137" s="122"/>
      <x:c r="J137" s="122"/>
      <x:c r="K137" s="122"/>
    </x:row>
    <x:row r="138" ht="14.25" customHeight="1">
      <x:c r="A138" s="1" t="s">
        <x:v>969</x:v>
      </x:c>
      <x:c r="B138" s="1" t="s">
        <x:v>513</x:v>
      </x:c>
      <x:c r="C138" s="1">
        <x:v>20.2</x:v>
      </x:c>
      <x:c r="D138" s="1">
        <x:v>230.3</x:v>
      </x:c>
      <x:c r="E138" s="1">
        <x:v>2.0</x:v>
      </x:c>
      <x:c r="F138" s="1">
        <x:v>0.1</x:v>
      </x:c>
      <x:c r="G138" s="1">
        <x:v>55.4</x:v>
      </x:c>
      <x:c r="H138" s="18">
        <x:f t="shared" si="1"/>
        <x:v>12.13743243</x:v>
      </x:c>
      <x:c r="I138" s="119" t="n">
        <x:f>C140*Scoring!$B$36+TE!D140/Scoring!$C$36+TE!E140*Scoring!$D$36+TE!F140*Scoring!$E$36+H140*Scoring!$F$36</x:f>
        <x:v>28.13</x:v>
      </x:c>
      <x:c r="J138" s="119" t="n">
        <x:f>C138*Scoring!$B$36+TE!D138/Scoring!$C$36+TE!E138*Scoring!$D$36+TE!F138*Scoring!$E$36+H138*Scoring!$F$36</x:f>
        <x:v>45.03</x:v>
      </x:c>
      <x:c r="K138" s="119" t="n">
        <x:f>C139*Scoring!$B$36+TE!D139/Scoring!$C$36+TE!E139*Scoring!$D$36+TE!F139*Scoring!$E$36+H139*Scoring!$F$36</x:f>
        <x:v>69.8</x:v>
      </x:c>
    </x:row>
    <x:row r="139" ht="14.25" customHeight="1">
      <x:c r="B139" s="1" t="s">
        <x:v>488</x:v>
      </x:c>
      <x:c r="C139" s="1">
        <x:v>25.0</x:v>
      </x:c>
      <x:c r="D139" s="1">
        <x:v>333.0</x:v>
      </x:c>
      <x:c r="E139" s="1">
        <x:v>4.0</x:v>
      </x:c>
      <x:c r="F139" s="1">
        <x:v>0.0</x:v>
      </x:c>
      <x:c r="G139" s="1">
        <x:v>68.2</x:v>
      </x:c>
      <x:c r="H139" s="18">
        <x:f t="shared" si="1"/>
        <x:v>17.55</x:v>
      </x:c>
      <x:c r="I139" s="122"/>
      <x:c r="J139" s="122"/>
      <x:c r="K139" s="122"/>
    </x:row>
    <x:row r="140" ht="14.25" customHeight="1">
      <x:c r="B140" s="1" t="s">
        <x:v>489</x:v>
      </x:c>
      <x:c r="C140" s="1">
        <x:v>14.7</x:v>
      </x:c>
      <x:c r="D140" s="1">
        <x:v>148.8</x:v>
      </x:c>
      <x:c r="E140" s="1">
        <x:v>1.0</x:v>
      </x:c>
      <x:c r="F140" s="1">
        <x:v>0.1</x:v>
      </x:c>
      <x:c r="G140" s="1">
        <x:v>41.8</x:v>
      </x:c>
      <x:c r="H140" s="18">
        <x:f t="shared" si="1"/>
        <x:v>7.842162162</x:v>
      </x:c>
      <x:c r="I140" s="122"/>
      <x:c r="J140" s="122"/>
      <x:c r="K140" s="122"/>
    </x:row>
    <x:row r="141" ht="14.25" customHeight="1">
      <x:c r="A141" s="1" t="s">
        <x:v>970</x:v>
      </x:c>
      <x:c r="B141" s="1" t="s">
        <x:v>519</x:v>
      </x:c>
      <x:c r="C141" s="1">
        <x:v>20.9</x:v>
      </x:c>
      <x:c r="D141" s="1">
        <x:v>187.6</x:v>
      </x:c>
      <x:c r="E141" s="1">
        <x:v>2.3</x:v>
      </x:c>
      <x:c r="F141" s="1">
        <x:v>0.0</x:v>
      </x:c>
      <x:c r="G141" s="1">
        <x:v>53.4</x:v>
      </x:c>
      <x:c r="H141" s="18">
        <x:f t="shared" si="1"/>
        <x:v>9.887027027</x:v>
      </x:c>
      <x:c r="I141" s="119" t="n">
        <x:f>C143*Scoring!$B$36+TE!D143/Scoring!$C$36+TE!E143*Scoring!$D$36+TE!F143*Scoring!$E$36+H143*Scoring!$F$36</x:f>
        <x:v>14.67</x:v>
      </x:c>
      <x:c r="J141" s="119" t="n">
        <x:f>C141*Scoring!$B$36+TE!D141/Scoring!$C$36+TE!E141*Scoring!$D$36+TE!F141*Scoring!$E$36+H141*Scoring!$F$36</x:f>
        <x:v>43.01</x:v>
      </x:c>
      <x:c r="K141" s="119" t="n">
        <x:f>C142*Scoring!$B$36+TE!D142/Scoring!$C$36+TE!E142*Scoring!$D$36+TE!F142*Scoring!$E$36+H142*Scoring!$F$36</x:f>
        <x:v>71.3</x:v>
      </x:c>
    </x:row>
    <x:row r="142" ht="14.25" customHeight="1">
      <x:c r="B142" s="1" t="s">
        <x:v>488</x:v>
      </x:c>
      <x:c r="C142" s="1">
        <x:v>34.0</x:v>
      </x:c>
      <x:c r="D142" s="1">
        <x:v>303.0</x:v>
      </x:c>
      <x:c r="E142" s="1">
        <x:v>4.0</x:v>
      </x:c>
      <x:c r="F142" s="1">
        <x:v>0.0</x:v>
      </x:c>
      <x:c r="G142" s="1">
        <x:v>65.9</x:v>
      </x:c>
      <x:c r="H142" s="18">
        <x:f t="shared" si="1"/>
        <x:v>15.96891892</x:v>
      </x:c>
      <x:c r="I142" s="122"/>
      <x:c r="J142" s="122"/>
      <x:c r="K142" s="122"/>
    </x:row>
    <x:row r="143" ht="14.25" customHeight="1">
      <x:c r="B143" s="1" t="s">
        <x:v>489</x:v>
      </x:c>
      <x:c r="C143" s="1">
        <x:v>7.7</x:v>
      </x:c>
      <x:c r="D143" s="1">
        <x:v>72.2</x:v>
      </x:c>
      <x:c r="E143" s="1">
        <x:v>0.6</x:v>
      </x:c>
      <x:c r="F143" s="1">
        <x:v>0.0</x:v>
      </x:c>
      <x:c r="G143" s="1">
        <x:v>31.7</x:v>
      </x:c>
      <x:c r="H143" s="18">
        <x:f t="shared" si="1"/>
        <x:v>3.805135135</x:v>
      </x:c>
      <x:c r="I143" s="122"/>
      <x:c r="J143" s="122"/>
      <x:c r="K143" s="122"/>
    </x:row>
    <x:row r="144" ht="14.25" customHeight="1">
      <x:c r="A144" s="1" t="s">
        <x:v>971</x:v>
      </x:c>
      <x:c r="B144" s="1" t="s">
        <x:v>525</x:v>
      </x:c>
      <x:c r="C144" s="1">
        <x:v>18.6</x:v>
      </x:c>
      <x:c r="D144" s="1">
        <x:v>194.3</x:v>
      </x:c>
      <x:c r="E144" s="1">
        <x:v>2.4</x:v>
      </x:c>
      <x:c r="F144" s="1">
        <x:v>0.1</x:v>
      </x:c>
      <x:c r="G144" s="1">
        <x:v>52.1</x:v>
      </x:c>
      <x:c r="H144" s="18">
        <x:f t="shared" si="1"/>
        <x:v>10.24013514</x:v>
      </x:c>
      <x:c r="I144" s="119" t="n">
        <x:f>C146*Scoring!$B$36+TE!D146/Scoring!$C$36+TE!E146*Scoring!$D$36+TE!F146*Scoring!$E$36+H146*Scoring!$F$36</x:f>
        <x:v>29.93</x:v>
      </x:c>
      <x:c r="J144" s="119" t="n">
        <x:f>C144*Scoring!$B$36+TE!D144/Scoring!$C$36+TE!E144*Scoring!$D$36+TE!F144*Scoring!$E$36+H144*Scoring!$F$36</x:f>
        <x:v>43.029999999999994</x:v>
      </x:c>
      <x:c r="K144" s="119" t="n">
        <x:f>C145*Scoring!$B$36+TE!D145/Scoring!$C$36+TE!E145*Scoring!$D$36+TE!F145*Scoring!$E$36+H145*Scoring!$F$36</x:f>
        <x:v>59.4</x:v>
      </x:c>
    </x:row>
    <x:row r="145" ht="14.25" customHeight="1">
      <x:c r="B145" s="1" t="s">
        <x:v>488</x:v>
      </x:c>
      <x:c r="C145" s="1">
        <x:v>22.0</x:v>
      </x:c>
      <x:c r="D145" s="1">
        <x:v>244.0</x:v>
      </x:c>
      <x:c r="E145" s="1">
        <x:v>4.0</x:v>
      </x:c>
      <x:c r="F145" s="1">
        <x:v>0.0</x:v>
      </x:c>
      <x:c r="G145" s="1">
        <x:v>58.6</x:v>
      </x:c>
      <x:c r="H145" s="18">
        <x:f t="shared" si="1"/>
        <x:v>12.85945946</x:v>
      </x:c>
      <x:c r="I145" s="122"/>
      <x:c r="J145" s="122"/>
      <x:c r="K145" s="122"/>
    </x:row>
    <x:row r="146" ht="14.25" customHeight="1">
      <x:c r="B146" s="1" t="s">
        <x:v>489</x:v>
      </x:c>
      <x:c r="C146" s="1">
        <x:v>16.7</x:v>
      </x:c>
      <x:c r="D146" s="1">
        <x:v>150.8</x:v>
      </x:c>
      <x:c r="E146" s="1">
        <x:v>1.1</x:v>
      </x:c>
      <x:c r="F146" s="1">
        <x:v>0.1</x:v>
      </x:c>
      <x:c r="G146" s="1">
        <x:v>40.3</x:v>
      </x:c>
      <x:c r="H146" s="18">
        <x:f t="shared" si="1"/>
        <x:v>7.947567568</x:v>
      </x:c>
      <x:c r="I146" s="122"/>
      <x:c r="J146" s="122"/>
      <x:c r="K146" s="122"/>
    </x:row>
    <x:row r="147" ht="14.25" customHeight="1">
      <x:c r="A147" s="1" t="s">
        <x:v>972</x:v>
      </x:c>
      <x:c r="B147" s="1" t="s">
        <x:v>541</x:v>
      </x:c>
      <x:c r="C147" s="1">
        <x:v>19.3</x:v>
      </x:c>
      <x:c r="D147" s="1">
        <x:v>222.3</x:v>
      </x:c>
      <x:c r="E147" s="1">
        <x:v>1.8</x:v>
      </x:c>
      <x:c r="F147" s="1">
        <x:v>0.0</x:v>
      </x:c>
      <x:c r="G147" s="1">
        <x:v>52.0</x:v>
      </x:c>
      <x:c r="H147" s="18">
        <x:f t="shared" si="1"/>
        <x:v>11.71581081</x:v>
      </x:c>
      <x:c r="I147" s="119" t="n">
        <x:f>C149*Scoring!$B$36+TE!D149/Scoring!$C$36+TE!E149*Scoring!$D$36+TE!F149*Scoring!$E$36+H149*Scoring!$F$36</x:f>
        <x:v>20.509999999999998</x:v>
      </x:c>
      <x:c r="J147" s="119" t="n">
        <x:f>C147*Scoring!$B$36+TE!D147/Scoring!$C$36+TE!E147*Scoring!$D$36+TE!F147*Scoring!$E$36+H147*Scoring!$F$36</x:f>
        <x:v>42.68000000000001</x:v>
      </x:c>
      <x:c r="K147" s="119" t="n">
        <x:f>C148*Scoring!$B$36+TE!D148/Scoring!$C$36+TE!E148*Scoring!$D$36+TE!F148*Scoring!$E$36+H148*Scoring!$F$36</x:f>
        <x:v>64.2</x:v>
      </x:c>
    </x:row>
    <x:row r="148" ht="14.25" customHeight="1">
      <x:c r="B148" s="1" t="s">
        <x:v>488</x:v>
      </x:c>
      <x:c r="C148" s="1">
        <x:v>26.0</x:v>
      </x:c>
      <x:c r="D148" s="1">
        <x:v>332.0</x:v>
      </x:c>
      <x:c r="E148" s="1">
        <x:v>3.0</x:v>
      </x:c>
      <x:c r="F148" s="1">
        <x:v>0.0</x:v>
      </x:c>
      <x:c r="G148" s="1">
        <x:v>61.3</x:v>
      </x:c>
      <x:c r="H148" s="18">
        <x:f t="shared" si="1"/>
        <x:v>17.4972973</x:v>
      </x:c>
      <x:c r="I148" s="122"/>
      <x:c r="J148" s="122"/>
      <x:c r="K148" s="122"/>
    </x:row>
    <x:row r="149" ht="14.25" customHeight="1">
      <x:c r="B149" s="1" t="s">
        <x:v>489</x:v>
      </x:c>
      <x:c r="C149" s="1">
        <x:v>12.7</x:v>
      </x:c>
      <x:c r="D149" s="1">
        <x:v>112.6</x:v>
      </x:c>
      <x:c r="E149" s="1">
        <x:v>0.5</x:v>
      </x:c>
      <x:c r="F149" s="1">
        <x:v>0.1</x:v>
      </x:c>
      <x:c r="G149" s="1">
        <x:v>33.4</x:v>
      </x:c>
      <x:c r="H149" s="18">
        <x:f t="shared" si="1"/>
        <x:v>5.934324324</x:v>
      </x:c>
      <x:c r="I149" s="122"/>
      <x:c r="J149" s="122"/>
      <x:c r="K149" s="122"/>
    </x:row>
    <x:row r="150" ht="14.25" customHeight="1">
      <x:c r="A150" s="1" t="s">
        <x:v>973</x:v>
      </x:c>
      <x:c r="B150" s="1" t="s">
        <x:v>551</x:v>
      </x:c>
      <x:c r="C150" s="1">
        <x:v>21.9</x:v>
      </x:c>
      <x:c r="D150" s="1">
        <x:v>225.4</x:v>
      </x:c>
      <x:c r="E150" s="1">
        <x:v>1.3</x:v>
      </x:c>
      <x:c r="F150" s="1">
        <x:v>0.1</x:v>
      </x:c>
      <x:c r="G150" s="1">
        <x:v>51.9</x:v>
      </x:c>
      <x:c r="H150" s="18">
        <x:f t="shared" si="1"/>
        <x:v>11.87918919</x:v>
      </x:c>
      <x:c r="I150" s="119" t="n">
        <x:f>C152*Scoring!$B$36+TE!D152/Scoring!$C$36+TE!E152*Scoring!$D$36+TE!F152*Scoring!$E$36+H152*Scoring!$F$36</x:f>
        <x:v>33.12</x:v>
      </x:c>
      <x:c r="J150" s="119" t="n">
        <x:f>C150*Scoring!$B$36+TE!D150/Scoring!$C$36+TE!E150*Scoring!$D$36+TE!F150*Scoring!$E$36+H150*Scoring!$F$36</x:f>
        <x:v>41.18999999999999</x:v>
      </x:c>
      <x:c r="K150" s="119" t="n">
        <x:f>C151*Scoring!$B$36+TE!D151/Scoring!$C$36+TE!E151*Scoring!$D$36+TE!F151*Scoring!$E$36+H151*Scoring!$F$36</x:f>
        <x:v>48.5</x:v>
      </x:c>
    </x:row>
    <x:row r="151" ht="14.25" customHeight="1">
      <x:c r="B151" s="1" t="s">
        <x:v>488</x:v>
      </x:c>
      <x:c r="C151" s="1">
        <x:v>23.0</x:v>
      </x:c>
      <x:c r="D151" s="1">
        <x:v>250.0</x:v>
      </x:c>
      <x:c r="E151" s="1">
        <x:v>2.0</x:v>
      </x:c>
      <x:c r="F151" s="1">
        <x:v>0.0</x:v>
      </x:c>
      <x:c r="G151" s="1">
        <x:v>69.4</x:v>
      </x:c>
      <x:c r="H151" s="18">
        <x:f t="shared" si="1"/>
        <x:v>13.17567568</x:v>
      </x:c>
      <x:c r="I151" s="122"/>
      <x:c r="J151" s="122"/>
      <x:c r="K151" s="122"/>
    </x:row>
    <x:row r="152" ht="14.25" customHeight="1">
      <x:c r="B152" s="1" t="s">
        <x:v>489</x:v>
      </x:c>
      <x:c r="C152" s="1">
        <x:v>20.6</x:v>
      </x:c>
      <x:c r="D152" s="1">
        <x:v>181.2</x:v>
      </x:c>
      <x:c r="E152" s="1">
        <x:v>0.8</x:v>
      </x:c>
      <x:c r="F152" s="1">
        <x:v>0.1</x:v>
      </x:c>
      <x:c r="G152" s="1">
        <x:v>43.9</x:v>
      </x:c>
      <x:c r="H152" s="18">
        <x:f t="shared" si="1"/>
        <x:v>9.54972973</x:v>
      </x:c>
      <x:c r="I152" s="122"/>
      <x:c r="J152" s="122"/>
      <x:c r="K152" s="122"/>
    </x:row>
    <x:row r="153" ht="14.25" customHeight="1">
      <x:c r="A153" s="1" t="s">
        <x:v>974</x:v>
      </x:c>
      <x:c r="B153" s="1" t="s">
        <x:v>509</x:v>
      </x:c>
      <x:c r="C153" s="1">
        <x:v>21.0</x:v>
      </x:c>
      <x:c r="D153" s="1">
        <x:v>211.8</x:v>
      </x:c>
      <x:c r="E153" s="1">
        <x:v>1.5</x:v>
      </x:c>
      <x:c r="F153" s="1">
        <x:v>0.1</x:v>
      </x:c>
      <x:c r="G153" s="1">
        <x:v>51.0</x:v>
      </x:c>
      <x:c r="H153" s="18">
        <x:f t="shared" si="1"/>
        <x:v>11.16243243</x:v>
      </x:c>
      <x:c r="I153" s="119" t="n">
        <x:f>C155*Scoring!$B$36+TE!D155/Scoring!$C$36+TE!E155*Scoring!$D$36+TE!F155*Scoring!$E$36+H155*Scoring!$F$36</x:f>
        <x:v>27.299999999999997</x:v>
      </x:c>
      <x:c r="J153" s="119" t="n">
        <x:f>C153*Scoring!$B$36+TE!D153/Scoring!$C$36+TE!E153*Scoring!$D$36+TE!F153*Scoring!$E$36+H153*Scoring!$F$36</x:f>
        <x:v>40.58</x:v>
      </x:c>
      <x:c r="K153" s="119" t="n">
        <x:f>C154*Scoring!$B$36+TE!D154/Scoring!$C$36+TE!E154*Scoring!$D$36+TE!F154*Scoring!$E$36+H154*Scoring!$F$36</x:f>
        <x:v>51.28</x:v>
      </x:c>
    </x:row>
    <x:row r="154" ht="14.25" customHeight="1">
      <x:c r="B154" s="1" t="s">
        <x:v>488</x:v>
      </x:c>
      <x:c r="C154" s="1">
        <x:v>26.1</x:v>
      </x:c>
      <x:c r="D154" s="1">
        <x:v>262.3</x:v>
      </x:c>
      <x:c r="E154" s="1">
        <x:v>2.0</x:v>
      </x:c>
      <x:c r="F154" s="1">
        <x:v>0.0</x:v>
      </x:c>
      <x:c r="G154" s="1">
        <x:v>67.4</x:v>
      </x:c>
      <x:c r="H154" s="18">
        <x:f t="shared" si="1"/>
        <x:v>13.82391892</x:v>
      </x:c>
      <x:c r="I154" s="122"/>
      <x:c r="J154" s="122"/>
      <x:c r="K154" s="122"/>
    </x:row>
    <x:row r="155" ht="14.25" customHeight="1">
      <x:c r="B155" s="1" t="s">
        <x:v>489</x:v>
      </x:c>
      <x:c r="C155" s="1">
        <x:v>15.0</x:v>
      </x:c>
      <x:c r="D155" s="1">
        <x:v>139.0</x:v>
      </x:c>
      <x:c r="E155" s="1">
        <x:v>1.0</x:v>
      </x:c>
      <x:c r="F155" s="1">
        <x:v>0.1</x:v>
      </x:c>
      <x:c r="G155" s="1">
        <x:v>33.0</x:v>
      </x:c>
      <x:c r="H155" s="18">
        <x:f t="shared" si="1"/>
        <x:v>7.325675676</x:v>
      </x:c>
      <x:c r="I155" s="122"/>
      <x:c r="J155" s="122"/>
      <x:c r="K155" s="122"/>
    </x:row>
    <x:row r="156" ht="14.25" customHeight="1">
      <x:c r="A156" s="1" t="s">
        <x:v>975</x:v>
      </x:c>
      <x:c r="B156" s="1" t="s">
        <x:v>497</x:v>
      </x:c>
      <x:c r="C156" s="1">
        <x:v>20.9</x:v>
      </x:c>
      <x:c r="D156" s="1">
        <x:v>214.5</x:v>
      </x:c>
      <x:c r="E156" s="1">
        <x:v>1.4</x:v>
      </x:c>
      <x:c r="F156" s="1">
        <x:v>0.6</x:v>
      </x:c>
      <x:c r="G156" s="1">
        <x:v>49.6</x:v>
      </x:c>
      <x:c r="H156" s="18">
        <x:f t="shared" si="1"/>
        <x:v>11.30472973</x:v>
      </x:c>
      <x:c r="I156" s="119" t="n">
        <x:f>C158*Scoring!$B$36+TE!D158/Scoring!$C$36+TE!E158*Scoring!$D$36+TE!F158*Scoring!$E$36+H158*Scoring!$F$36</x:f>
        <x:v>19.890000000000004</x:v>
      </x:c>
      <x:c r="J156" s="119" t="n">
        <x:f>C156*Scoring!$B$36+TE!D156/Scoring!$C$36+TE!E156*Scoring!$D$36+TE!F156*Scoring!$E$36+H156*Scoring!$F$36</x:f>
        <x:v>39.699999999999996</x:v>
      </x:c>
      <x:c r="K156" s="119" t="n">
        <x:f>C157*Scoring!$B$36+TE!D157/Scoring!$C$36+TE!E157*Scoring!$D$36+TE!F157*Scoring!$E$36+H157*Scoring!$F$36</x:f>
        <x:v>59.6</x:v>
      </x:c>
    </x:row>
    <x:row r="157" ht="14.25" customHeight="1">
      <x:c r="B157" s="1" t="s">
        <x:v>488</x:v>
      </x:c>
      <x:c r="C157" s="1">
        <x:v>31.0</x:v>
      </x:c>
      <x:c r="D157" s="1">
        <x:v>322.0</x:v>
      </x:c>
      <x:c r="E157" s="1">
        <x:v>2.0</x:v>
      </x:c>
      <x:c r="F157" s="1">
        <x:v>0.1</x:v>
      </x:c>
      <x:c r="G157" s="1">
        <x:v>52.9</x:v>
      </x:c>
      <x:c r="H157" s="18">
        <x:f t="shared" si="1"/>
        <x:v>16.97027027</x:v>
      </x:c>
      <x:c r="I157" s="122"/>
      <x:c r="J157" s="122"/>
      <x:c r="K157" s="122"/>
    </x:row>
    <x:row r="158" ht="14.25" customHeight="1">
      <x:c r="B158" s="1" t="s">
        <x:v>489</x:v>
      </x:c>
      <x:c r="C158" s="1">
        <x:v>10.8</x:v>
      </x:c>
      <x:c r="D158" s="1">
        <x:v>106.9</x:v>
      </x:c>
      <x:c r="E158" s="1">
        <x:v>0.8</x:v>
      </x:c>
      <x:c r="F158" s="1">
        <x:v>1.0</x:v>
      </x:c>
      <x:c r="G158" s="1">
        <x:v>39.1</x:v>
      </x:c>
      <x:c r="H158" s="18">
        <x:f t="shared" si="1"/>
        <x:v>5.633918919</x:v>
      </x:c>
      <x:c r="I158" s="122"/>
      <x:c r="J158" s="122"/>
      <x:c r="K158" s="122"/>
    </x:row>
    <x:row r="159" ht="14.25" customHeight="1">
      <x:c r="A159" s="1" t="s">
        <x:v>976</x:v>
      </x:c>
      <x:c r="B159" s="1" t="s">
        <x:v>537</x:v>
      </x:c>
      <x:c r="C159" s="1">
        <x:v>21.1</x:v>
      </x:c>
      <x:c r="D159" s="1">
        <x:v>197.8</x:v>
      </x:c>
      <x:c r="E159" s="1">
        <x:v>1.4</x:v>
      </x:c>
      <x:c r="F159" s="1">
        <x:v>0.1</x:v>
      </x:c>
      <x:c r="G159" s="1">
        <x:v>49.4</x:v>
      </x:c>
      <x:c r="H159" s="18">
        <x:f t="shared" si="1"/>
        <x:v>10.42459459</x:v>
      </x:c>
      <x:c r="I159" s="119" t="n">
        <x:f>C161*Scoring!$B$36+TE!D161/Scoring!$C$36+TE!E161*Scoring!$D$36+TE!F161*Scoring!$E$36+H161*Scoring!$F$36</x:f>
        <x:v>32.74999999999999</x:v>
      </x:c>
      <x:c r="J159" s="119" t="n">
        <x:f>C159*Scoring!$B$36+TE!D159/Scoring!$C$36+TE!E159*Scoring!$D$36+TE!F159*Scoring!$E$36+H159*Scoring!$F$36</x:f>
        <x:v>38.63</x:v>
      </x:c>
      <x:c r="K159" s="119" t="n">
        <x:f>C160*Scoring!$B$36+TE!D160/Scoring!$C$36+TE!E160*Scoring!$D$36+TE!F160*Scoring!$E$36+H160*Scoring!$F$36</x:f>
        <x:v>45</x:v>
      </x:c>
    </x:row>
    <x:row r="160" ht="14.25" customHeight="1">
      <x:c r="B160" s="1" t="s">
        <x:v>488</x:v>
      </x:c>
      <x:c r="C160" s="1">
        <x:v>23.0</x:v>
      </x:c>
      <x:c r="D160" s="1">
        <x:v>215.0</x:v>
      </x:c>
      <x:c r="E160" s="1">
        <x:v>2.0</x:v>
      </x:c>
      <x:c r="F160" s="1">
        <x:v>0.0</x:v>
      </x:c>
      <x:c r="G160" s="1">
        <x:v>59.6</x:v>
      </x:c>
      <x:c r="H160" s="18">
        <x:f t="shared" si="1"/>
        <x:v>11.33108108</x:v>
      </x:c>
      <x:c r="I160" s="122"/>
      <x:c r="J160" s="122"/>
      <x:c r="K160" s="122"/>
    </x:row>
    <x:row r="161" ht="14.25" customHeight="1">
      <x:c r="B161" s="1" t="s">
        <x:v>489</x:v>
      </x:c>
      <x:c r="C161" s="1">
        <x:v>18.4</x:v>
      </x:c>
      <x:c r="D161" s="1">
        <x:v>176.5</x:v>
      </x:c>
      <x:c r="E161" s="1">
        <x:v>1.0</x:v>
      </x:c>
      <x:c r="F161" s="1">
        <x:v>0.1</x:v>
      </x:c>
      <x:c r="G161" s="1">
        <x:v>45.1</x:v>
      </x:c>
      <x:c r="H161" s="18">
        <x:f t="shared" si="1"/>
        <x:v>9.302027027</x:v>
      </x:c>
      <x:c r="I161" s="122"/>
      <x:c r="J161" s="122"/>
      <x:c r="K161" s="122"/>
    </x:row>
    <x:row r="162" ht="14.25" customHeight="1">
      <x:c r="A162" s="1" t="s">
        <x:v>977</x:v>
      </x:c>
      <x:c r="B162" s="1" t="s">
        <x:v>503</x:v>
      </x:c>
      <x:c r="C162" s="1">
        <x:v>19.1</x:v>
      </x:c>
      <x:c r="D162" s="1">
        <x:v>199.9</x:v>
      </x:c>
      <x:c r="E162" s="1">
        <x:v>1.5</x:v>
      </x:c>
      <x:c r="F162" s="1">
        <x:v>0.1</x:v>
      </x:c>
      <x:c r="G162" s="1">
        <x:v>48.0</x:v>
      </x:c>
      <x:c r="H162" s="18">
        <x:f t="shared" si="1"/>
        <x:v>10.53527027</x:v>
      </x:c>
      <x:c r="I162" s="119" t="n">
        <x:f>C164*Scoring!$B$36+TE!D164/Scoring!$C$36+TE!E164*Scoring!$D$36+TE!F164*Scoring!$E$36+H164*Scoring!$F$36</x:f>
        <x:v>25.97</x:v>
      </x:c>
      <x:c r="J162" s="119" t="n">
        <x:f>C162*Scoring!$B$36+TE!D162/Scoring!$C$36+TE!E162*Scoring!$D$36+TE!F162*Scoring!$E$36+H162*Scoring!$F$36</x:f>
        <x:v>38.440000000000005</x:v>
      </x:c>
      <x:c r="K162" s="119" t="n">
        <x:f>C163*Scoring!$B$36+TE!D163/Scoring!$C$36+TE!E163*Scoring!$D$36+TE!F163*Scoring!$E$36+H163*Scoring!$F$36</x:f>
        <x:v>50.9</x:v>
      </x:c>
    </x:row>
    <x:row r="163" ht="14.25" customHeight="1">
      <x:c r="B163" s="1" t="s">
        <x:v>488</x:v>
      </x:c>
      <x:c r="C163" s="1">
        <x:v>25.0</x:v>
      </x:c>
      <x:c r="D163" s="1">
        <x:v>265.0</x:v>
      </x:c>
      <x:c r="E163" s="1">
        <x:v>2.0</x:v>
      </x:c>
      <x:c r="F163" s="1">
        <x:v>0.1</x:v>
      </x:c>
      <x:c r="G163" s="1">
        <x:v>70.1</x:v>
      </x:c>
      <x:c r="H163" s="18">
        <x:f t="shared" si="1"/>
        <x:v>13.96621622</x:v>
      </x:c>
      <x:c r="I163" s="122"/>
      <x:c r="J163" s="122"/>
      <x:c r="K163" s="122"/>
    </x:row>
    <x:row r="164" ht="14.25" customHeight="1">
      <x:c r="B164" s="1" t="s">
        <x:v>489</x:v>
      </x:c>
      <x:c r="C164" s="1">
        <x:v>13.2</x:v>
      </x:c>
      <x:c r="D164" s="1">
        <x:v>134.7</x:v>
      </x:c>
      <x:c r="E164" s="1">
        <x:v>1.0</x:v>
      </x:c>
      <x:c r="F164" s="1">
        <x:v>0.1</x:v>
      </x:c>
      <x:c r="G164" s="1">
        <x:v>38.7</x:v>
      </x:c>
      <x:c r="H164" s="18">
        <x:f t="shared" si="1"/>
        <x:v>7.099054054</x:v>
      </x:c>
      <x:c r="I164" s="122"/>
      <x:c r="J164" s="122"/>
      <x:c r="K164" s="122"/>
    </x:row>
    <x:row r="165" ht="14.25" customHeight="1">
      <x:c r="A165" s="1" t="s">
        <x:v>978</x:v>
      </x:c>
      <x:c r="B165" s="1" t="s">
        <x:v>515</x:v>
      </x:c>
      <x:c r="C165" s="1">
        <x:v>19.3</x:v>
      </x:c>
      <x:c r="D165" s="1">
        <x:v>197.2</x:v>
      </x:c>
      <x:c r="E165" s="1">
        <x:v>1.5</x:v>
      </x:c>
      <x:c r="F165" s="1">
        <x:v>0.0</x:v>
      </x:c>
      <x:c r="G165" s="1">
        <x:v>47.9</x:v>
      </x:c>
      <x:c r="H165" s="18">
        <x:f t="shared" si="1"/>
        <x:v>10.39297297</x:v>
      </x:c>
      <x:c r="I165" s="119" t="n">
        <x:f>C167*Scoring!$B$36+TE!D167/Scoring!$C$36+TE!E167*Scoring!$D$36+TE!F167*Scoring!$E$36+H167*Scoring!$F$36</x:f>
        <x:v>23.08</x:v>
      </x:c>
      <x:c r="J165" s="119" t="n">
        <x:f>C165*Scoring!$B$36+TE!D165/Scoring!$C$36+TE!E165*Scoring!$D$36+TE!F165*Scoring!$E$36+H165*Scoring!$F$36</x:f>
        <x:v>38.37</x:v>
      </x:c>
      <x:c r="K165" s="119" t="n">
        <x:f>C166*Scoring!$B$36+TE!D166/Scoring!$C$36+TE!E166*Scoring!$D$36+TE!F166*Scoring!$E$36+H166*Scoring!$F$36</x:f>
        <x:v>53.6</x:v>
      </x:c>
    </x:row>
    <x:row r="166" ht="14.25" customHeight="1">
      <x:c r="B166" s="1" t="s">
        <x:v>488</x:v>
      </x:c>
      <x:c r="C166" s="1">
        <x:v>27.0</x:v>
      </x:c>
      <x:c r="D166" s="1">
        <x:v>281.0</x:v>
      </x:c>
      <x:c r="E166" s="1">
        <x:v>2.0</x:v>
      </x:c>
      <x:c r="F166" s="1">
        <x:v>0.0</x:v>
      </x:c>
      <x:c r="G166" s="1">
        <x:v>50.3</x:v>
      </x:c>
      <x:c r="H166" s="18">
        <x:f t="shared" si="1"/>
        <x:v>14.80945946</x:v>
      </x:c>
      <x:c r="I166" s="122"/>
      <x:c r="J166" s="122"/>
      <x:c r="K166" s="122"/>
    </x:row>
    <x:row r="167" ht="14.25" customHeight="1">
      <x:c r="B167" s="1" t="s">
        <x:v>489</x:v>
      </x:c>
      <x:c r="C167" s="1">
        <x:v>11.7</x:v>
      </x:c>
      <x:c r="D167" s="1">
        <x:v>113.3</x:v>
      </x:c>
      <x:c r="E167" s="1">
        <x:v>1.0</x:v>
      </x:c>
      <x:c r="F167" s="1">
        <x:v>0.1</x:v>
      </x:c>
      <x:c r="G167" s="1">
        <x:v>36.5</x:v>
      </x:c>
      <x:c r="H167" s="18">
        <x:f t="shared" si="1"/>
        <x:v>5.971216216</x:v>
      </x:c>
      <x:c r="I167" s="122"/>
      <x:c r="J167" s="122"/>
      <x:c r="K167" s="122"/>
    </x:row>
    <x:row r="168" ht="14.25" customHeight="1">
      <x:c r="A168" s="1" t="s">
        <x:v>979</x:v>
      </x:c>
      <x:c r="B168" s="1" t="s">
        <x:v>531</x:v>
      </x:c>
      <x:c r="C168" s="1">
        <x:v>20.5</x:v>
      </x:c>
      <x:c r="D168" s="1">
        <x:v>200.5</x:v>
      </x:c>
      <x:c r="E168" s="1">
        <x:v>1.1</x:v>
      </x:c>
      <x:c r="F168" s="1">
        <x:v>0.0</x:v>
      </x:c>
      <x:c r="G168" s="1">
        <x:v>47.2</x:v>
      </x:c>
      <x:c r="H168" s="18">
        <x:f t="shared" si="1"/>
        <x:v>10.56689189</x:v>
      </x:c>
      <x:c r="I168" s="119" t="n">
        <x:f>C170*Scoring!$B$36+TE!D170/Scoring!$C$36+TE!E170*Scoring!$D$36+TE!F170*Scoring!$E$36+H170*Scoring!$F$36</x:f>
        <x:v>12.790000000000001</x:v>
      </x:c>
      <x:c r="J168" s="119" t="n">
        <x:f>C168*Scoring!$B$36+TE!D168/Scoring!$C$36+TE!E168*Scoring!$D$36+TE!F168*Scoring!$E$36+H168*Scoring!$F$36</x:f>
        <x:v>36.9</x:v>
      </x:c>
      <x:c r="K168" s="119" t="n">
        <x:f>C169*Scoring!$B$36+TE!D169/Scoring!$C$36+TE!E169*Scoring!$D$36+TE!F169*Scoring!$E$36+H169*Scoring!$F$36</x:f>
        <x:v>52.9</x:v>
      </x:c>
    </x:row>
    <x:row r="169" ht="14.25" customHeight="1">
      <x:c r="B169" s="1" t="s">
        <x:v>488</x:v>
      </x:c>
      <x:c r="C169" s="1">
        <x:v>28.0</x:v>
      </x:c>
      <x:c r="D169" s="1">
        <x:v>269.0</x:v>
      </x:c>
      <x:c r="E169" s="1">
        <x:v>2.0</x:v>
      </x:c>
      <x:c r="F169" s="1">
        <x:v>0.0</x:v>
      </x:c>
      <x:c r="G169" s="1">
        <x:v>67.4</x:v>
      </x:c>
      <x:c r="H169" s="18">
        <x:f t="shared" si="1"/>
        <x:v>14.17702703</x:v>
      </x:c>
      <x:c r="I169" s="122"/>
      <x:c r="J169" s="122"/>
      <x:c r="K169" s="122"/>
    </x:row>
    <x:row r="170" ht="14.25" customHeight="1">
      <x:c r="B170" s="1" t="s">
        <x:v>489</x:v>
      </x:c>
      <x:c r="C170" s="1">
        <x:v>7.5</x:v>
      </x:c>
      <x:c r="D170" s="1">
        <x:v>67.4</x:v>
      </x:c>
      <x:c r="E170" s="1">
        <x:v>0.4</x:v>
      </x:c>
      <x:c r="F170" s="1">
        <x:v>0.1</x:v>
      </x:c>
      <x:c r="G170" s="1">
        <x:v>29.2</x:v>
      </x:c>
      <x:c r="H170" s="18">
        <x:f t="shared" si="1"/>
        <x:v>3.552162162</x:v>
      </x:c>
      <x:c r="I170" s="122"/>
      <x:c r="J170" s="122"/>
      <x:c r="K170" s="122"/>
    </x:row>
    <x:row r="171" ht="14.25" customHeight="1">
      <x:c r="A171" s="1" t="s">
        <x:v>980</x:v>
      </x:c>
      <x:c r="B171" s="1" t="s">
        <x:v>493</x:v>
      </x:c>
      <x:c r="C171" s="1">
        <x:v>18.8</x:v>
      </x:c>
      <x:c r="D171" s="1">
        <x:v>195.3</x:v>
      </x:c>
      <x:c r="E171" s="1">
        <x:v>1.5</x:v>
      </x:c>
      <x:c r="F171" s="1">
        <x:v>0.6</x:v>
      </x:c>
      <x:c r="G171" s="1">
        <x:v>46.5</x:v>
      </x:c>
      <x:c r="H171" s="18">
        <x:f t="shared" si="1"/>
        <x:v>10.29283784</x:v>
      </x:c>
      <x:c r="I171" s="119" t="n">
        <x:f>C173*Scoring!$B$36+TE!D173/Scoring!$C$36+TE!E173*Scoring!$D$36+TE!F173*Scoring!$E$36+H173*Scoring!$F$36</x:f>
        <x:v>28.450000000000003</x:v>
      </x:c>
      <x:c r="J171" s="119" t="n">
        <x:f>C171*Scoring!$B$36+TE!D171/Scoring!$C$36+TE!E171*Scoring!$D$36+TE!F171*Scoring!$E$36+H171*Scoring!$F$36</x:f>
        <x:v>37.33</x:v>
      </x:c>
      <x:c r="K171" s="119" t="n">
        <x:f>C172*Scoring!$B$36+TE!D172/Scoring!$C$36+TE!E172*Scoring!$D$36+TE!F172*Scoring!$E$36+H172*Scoring!$F$36</x:f>
        <x:v>46.9</x:v>
      </x:c>
    </x:row>
    <x:row r="172" ht="14.25" customHeight="1">
      <x:c r="B172" s="1" t="s">
        <x:v>488</x:v>
      </x:c>
      <x:c r="C172" s="1">
        <x:v>22.0</x:v>
      </x:c>
      <x:c r="D172" s="1">
        <x:v>240.0</x:v>
      </x:c>
      <x:c r="E172" s="1">
        <x:v>2.0</x:v>
      </x:c>
      <x:c r="F172" s="1">
        <x:v>0.1</x:v>
      </x:c>
      <x:c r="G172" s="1">
        <x:v>44.8</x:v>
      </x:c>
      <x:c r="H172" s="18">
        <x:f t="shared" si="1"/>
        <x:v>12.64864865</x:v>
      </x:c>
      <x:c r="I172" s="122"/>
      <x:c r="J172" s="122"/>
      <x:c r="K172" s="122"/>
    </x:row>
    <x:row r="173" ht="14.25" customHeight="1">
      <x:c r="B173" s="1" t="s">
        <x:v>489</x:v>
      </x:c>
      <x:c r="C173" s="1">
        <x:v>15.6</x:v>
      </x:c>
      <x:c r="D173" s="1">
        <x:v>150.5</x:v>
      </x:c>
      <x:c r="E173" s="1">
        <x:v>1.1</x:v>
      </x:c>
      <x:c r="F173" s="1">
        <x:v>1.0</x:v>
      </x:c>
      <x:c r="G173" s="1">
        <x:v>40.3</x:v>
      </x:c>
      <x:c r="H173" s="18">
        <x:f t="shared" si="1"/>
        <x:v>7.931756757</x:v>
      </x:c>
      <x:c r="I173" s="122"/>
      <x:c r="J173" s="122"/>
      <x:c r="K173" s="122"/>
    </x:row>
    <x:row r="174" ht="14.25" customHeight="1">
      <x:c r="A174" s="1" t="s">
        <x:v>981</x:v>
      </x:c>
      <x:c r="B174" s="1" t="s">
        <x:v>537</x:v>
      </x:c>
      <x:c r="C174" s="1">
        <x:v>22.3</x:v>
      </x:c>
      <x:c r="D174" s="1">
        <x:v>178.1</x:v>
      </x:c>
      <x:c r="E174" s="1">
        <x:v>1.0</x:v>
      </x:c>
      <x:c r="F174" s="1">
        <x:v>0.1</x:v>
      </x:c>
      <x:c r="G174" s="1">
        <x:v>46.2</x:v>
      </x:c>
      <x:c r="H174" s="18">
        <x:f t="shared" si="1"/>
        <x:v>9.386351351</x:v>
      </x:c>
      <x:c r="I174" s="119" t="n">
        <x:f>C176*Scoring!$B$36+TE!D176/Scoring!$C$36+TE!E176*Scoring!$D$36+TE!F176*Scoring!$E$36+H176*Scoring!$F$36</x:f>
        <x:v>32.08</x:v>
      </x:c>
      <x:c r="J174" s="119" t="n">
        <x:f>C174*Scoring!$B$36+TE!D174/Scoring!$C$36+TE!E174*Scoring!$D$36+TE!F174*Scoring!$E$36+H174*Scoring!$F$36</x:f>
        <x:v>34.86</x:v>
      </x:c>
      <x:c r="K174" s="119" t="n">
        <x:f>C175*Scoring!$B$36+TE!D175/Scoring!$C$36+TE!E175*Scoring!$D$36+TE!F175*Scoring!$E$36+H175*Scoring!$F$36</x:f>
        <x:v>38.3</x:v>
      </x:c>
    </x:row>
    <x:row r="175" ht="14.25" customHeight="1">
      <x:c r="B175" s="1" t="s">
        <x:v>488</x:v>
      </x:c>
      <x:c r="C175" s="1">
        <x:v>25.0</x:v>
      </x:c>
      <x:c r="D175" s="1">
        <x:v>192.0</x:v>
      </x:c>
      <x:c r="E175" s="1">
        <x:v>1.1</x:v>
      </x:c>
      <x:c r="F175" s="1">
        <x:v>0.0</x:v>
      </x:c>
      <x:c r="G175" s="1">
        <x:v>45.0</x:v>
      </x:c>
      <x:c r="H175" s="18">
        <x:f t="shared" si="1"/>
        <x:v>10.11891892</x:v>
      </x:c>
      <x:c r="I175" s="122"/>
      <x:c r="J175" s="122"/>
      <x:c r="K175" s="122"/>
    </x:row>
    <x:row r="176" ht="14.25" customHeight="1">
      <x:c r="B176" s="1" t="s">
        <x:v>489</x:v>
      </x:c>
      <x:c r="C176" s="1">
        <x:v>19.5</x:v>
      </x:c>
      <x:c r="D176" s="1">
        <x:v>164.3</x:v>
      </x:c>
      <x:c r="E176" s="1">
        <x:v>1.0</x:v>
      </x:c>
      <x:c r="F176" s="1">
        <x:v>0.1</x:v>
      </x:c>
      <x:c r="G176" s="1">
        <x:v>40.3</x:v>
      </x:c>
      <x:c r="H176" s="18">
        <x:f t="shared" si="1"/>
        <x:v>8.659054054</x:v>
      </x:c>
      <x:c r="I176" s="122"/>
      <x:c r="J176" s="122"/>
      <x:c r="K176" s="122"/>
    </x:row>
    <x:row r="177" ht="14.25" customHeight="1">
      <x:c r="A177" s="1" t="s">
        <x:v>982</x:v>
      </x:c>
      <x:c r="B177" s="1" t="s">
        <x:v>543</x:v>
      </x:c>
      <x:c r="C177" s="1">
        <x:v>22.0</x:v>
      </x:c>
      <x:c r="D177" s="1">
        <x:v>201.5</x:v>
      </x:c>
      <x:c r="E177" s="1">
        <x:v>0.8</x:v>
      </x:c>
      <x:c r="F177" s="1">
        <x:v>0.6</x:v>
      </x:c>
      <x:c r="G177" s="1">
        <x:v>46.0</x:v>
      </x:c>
      <x:c r="H177" s="18">
        <x:f t="shared" si="1"/>
        <x:v>10.61959459</x:v>
      </x:c>
      <x:c r="I177" s="119" t="n">
        <x:f>C179*Scoring!$B$36+TE!D179/Scoring!$C$36+TE!E179*Scoring!$D$36+TE!F179*Scoring!$E$36+H179*Scoring!$F$36</x:f>
        <x:v>31.86</x:v>
      </x:c>
      <x:c r="J177" s="119" t="n">
        <x:f>C177*Scoring!$B$36+TE!D177/Scoring!$C$36+TE!E177*Scoring!$D$36+TE!F177*Scoring!$E$36+H177*Scoring!$F$36</x:f>
        <x:v>35.35</x:v>
      </x:c>
      <x:c r="K177" s="119" t="n">
        <x:f>C178*Scoring!$B$36+TE!D178/Scoring!$C$36+TE!E178*Scoring!$D$36+TE!F178*Scoring!$E$36+H178*Scoring!$F$36</x:f>
        <x:v>39.4</x:v>
      </x:c>
    </x:row>
    <x:row r="178" ht="14.25" customHeight="1">
      <x:c r="B178" s="1" t="s">
        <x:v>488</x:v>
      </x:c>
      <x:c r="C178" s="1">
        <x:v>23.0</x:v>
      </x:c>
      <x:c r="D178" s="1">
        <x:v>221.0</x:v>
      </x:c>
      <x:c r="E178" s="1">
        <x:v>1.0</x:v>
      </x:c>
      <x:c r="F178" s="1">
        <x:v>0.2</x:v>
      </x:c>
      <x:c r="G178" s="1">
        <x:v>44.0</x:v>
      </x:c>
      <x:c r="H178" s="18">
        <x:f t="shared" si="1"/>
        <x:v>11.6472973</x:v>
      </x:c>
      <x:c r="I178" s="122"/>
      <x:c r="J178" s="122"/>
      <x:c r="K178" s="122"/>
    </x:row>
    <x:row r="179" ht="14.25" customHeight="1">
      <x:c r="B179" s="1" t="s">
        <x:v>489</x:v>
      </x:c>
      <x:c r="C179" s="1">
        <x:v>20.9</x:v>
      </x:c>
      <x:c r="D179" s="1">
        <x:v>182.1</x:v>
      </x:c>
      <x:c r="E179" s="1">
        <x:v>0.7</x:v>
      </x:c>
      <x:c r="F179" s="1">
        <x:v>1.0</x:v>
      </x:c>
      <x:c r="G179" s="1">
        <x:v>41.0</x:v>
      </x:c>
      <x:c r="H179" s="18">
        <x:f t="shared" si="1"/>
        <x:v>9.597162162</x:v>
      </x:c>
      <x:c r="I179" s="122"/>
      <x:c r="J179" s="122"/>
      <x:c r="K179" s="122"/>
    </x:row>
    <x:row r="180" ht="14.25" customHeight="1">
      <x:c r="A180" s="1" t="s">
        <x:v>983</x:v>
      </x:c>
      <x:c r="B180" s="1" t="s">
        <x:v>529</x:v>
      </x:c>
      <x:c r="C180" s="1">
        <x:v>19.5</x:v>
      </x:c>
      <x:c r="D180" s="1">
        <x:v>184.6</x:v>
      </x:c>
      <x:c r="E180" s="1">
        <x:v>1.2</x:v>
      </x:c>
      <x:c r="F180" s="1">
        <x:v>0.0</x:v>
      </x:c>
      <x:c r="G180" s="1">
        <x:v>44.9</x:v>
      </x:c>
      <x:c r="H180" s="18">
        <x:f t="shared" si="1"/>
        <x:v>9.728918919</x:v>
      </x:c>
      <x:c r="I180" s="119" t="n">
        <x:f>C182*Scoring!$B$36+TE!D182/Scoring!$C$36+TE!E182*Scoring!$D$36+TE!F182*Scoring!$E$36+H182*Scoring!$F$36</x:f>
        <x:v>11.729999999999999</x:v>
      </x:c>
      <x:c r="J180" s="119" t="n">
        <x:f>C180*Scoring!$B$36+TE!D180/Scoring!$C$36+TE!E180*Scoring!$D$36+TE!F180*Scoring!$E$36+H180*Scoring!$F$36</x:f>
        <x:v>35.41</x:v>
      </x:c>
      <x:c r="K180" s="119" t="n">
        <x:f>C181*Scoring!$B$36+TE!D181/Scoring!$C$36+TE!E181*Scoring!$D$36+TE!F181*Scoring!$E$36+H181*Scoring!$F$36</x:f>
        <x:v>58.4</x:v>
      </x:c>
    </x:row>
    <x:row r="181" ht="14.25" customHeight="1">
      <x:c r="B181" s="1" t="s">
        <x:v>488</x:v>
      </x:c>
      <x:c r="C181" s="1">
        <x:v>32.0</x:v>
      </x:c>
      <x:c r="D181" s="1">
        <x:v>304.0</x:v>
      </x:c>
      <x:c r="E181" s="1">
        <x:v>2.0</x:v>
      </x:c>
      <x:c r="F181" s="1">
        <x:v>0.0</x:v>
      </x:c>
      <x:c r="G181" s="1">
        <x:v>52.5</x:v>
      </x:c>
      <x:c r="H181" s="18">
        <x:f t="shared" si="1"/>
        <x:v>16.02162162</x:v>
      </x:c>
      <x:c r="I181" s="122"/>
      <x:c r="J181" s="122"/>
      <x:c r="K181" s="122"/>
    </x:row>
    <x:row r="182" ht="14.25" customHeight="1">
      <x:c r="B182" s="1" t="s">
        <x:v>489</x:v>
      </x:c>
      <x:c r="C182" s="1">
        <x:v>7.0</x:v>
      </x:c>
      <x:c r="D182" s="1">
        <x:v>65.3</x:v>
      </x:c>
      <x:c r="E182" s="1">
        <x:v>0.3</x:v>
      </x:c>
      <x:c r="F182" s="1">
        <x:v>0.1</x:v>
      </x:c>
      <x:c r="G182" s="1">
        <x:v>27.9</x:v>
      </x:c>
      <x:c r="H182" s="18">
        <x:f t="shared" si="1"/>
        <x:v>3.441486486</x:v>
      </x:c>
      <x:c r="I182" s="122"/>
      <x:c r="J182" s="122"/>
      <x:c r="K182" s="122"/>
    </x:row>
    <x:row r="183" ht="14.25" customHeight="1">
      <x:c r="A183" s="1" t="s">
        <x:v>984</x:v>
      </x:c>
      <x:c r="B183" s="1" t="s">
        <x:v>535</x:v>
      </x:c>
      <x:c r="C183" s="1">
        <x:v>19.5</x:v>
      </x:c>
      <x:c r="D183" s="1">
        <x:v>192.6</x:v>
      </x:c>
      <x:c r="E183" s="1">
        <x:v>1.1</x:v>
      </x:c>
      <x:c r="F183" s="1">
        <x:v>0.5</x:v>
      </x:c>
      <x:c r="G183" s="1">
        <x:v>44.4</x:v>
      </x:c>
      <x:c r="H183" s="18">
        <x:f t="shared" si="1"/>
        <x:v>10.15054054</x:v>
      </x:c>
      <x:c r="I183" s="119" t="n">
        <x:f>C185*Scoring!$B$36+TE!D185/Scoring!$C$36+TE!E185*Scoring!$D$36+TE!F185*Scoring!$E$36+H185*Scoring!$F$36</x:f>
        <x:v>5.8100000000000005</x:v>
      </x:c>
      <x:c r="J183" s="119" t="n">
        <x:f>C183*Scoring!$B$36+TE!D183/Scoring!$C$36+TE!E183*Scoring!$D$36+TE!F183*Scoring!$E$36+H183*Scoring!$F$36</x:f>
        <x:v>35.11</x:v>
      </x:c>
      <x:c r="K183" s="119" t="n">
        <x:f>C184*Scoring!$B$36+TE!D184/Scoring!$C$36+TE!E184*Scoring!$D$36+TE!F184*Scoring!$E$36+H184*Scoring!$F$36</x:f>
        <x:v>64.4</x:v>
      </x:c>
    </x:row>
    <x:row r="184" ht="14.25" customHeight="1">
      <x:c r="B184" s="1" t="s">
        <x:v>488</x:v>
      </x:c>
      <x:c r="C184" s="1">
        <x:v>35.0</x:v>
      </x:c>
      <x:c r="D184" s="1">
        <x:v>349.0</x:v>
      </x:c>
      <x:c r="E184" s="1">
        <x:v>2.0</x:v>
      </x:c>
      <x:c r="F184" s="1">
        <x:v>0.0</x:v>
      </x:c>
      <x:c r="G184" s="1">
        <x:v>56.5</x:v>
      </x:c>
      <x:c r="H184" s="18">
        <x:f t="shared" si="1"/>
        <x:v>18.39324324</x:v>
      </x:c>
      <x:c r="I184" s="122"/>
      <x:c r="J184" s="122"/>
      <x:c r="K184" s="122"/>
    </x:row>
    <x:row r="185" ht="14.25" customHeight="1">
      <x:c r="B185" s="1" t="s">
        <x:v>489</x:v>
      </x:c>
      <x:c r="C185" s="1">
        <x:v>4.0</x:v>
      </x:c>
      <x:c r="D185" s="1">
        <x:v>36.1</x:v>
      </x:c>
      <x:c r="E185" s="1">
        <x:v>0.2</x:v>
      </x:c>
      <x:c r="F185" s="1">
        <x:v>1.0</x:v>
      </x:c>
      <x:c r="G185" s="1">
        <x:v>24.4</x:v>
      </x:c>
      <x:c r="H185" s="18">
        <x:f t="shared" si="1"/>
        <x:v>1.902567568</x:v>
      </x:c>
      <x:c r="I185" s="122"/>
      <x:c r="J185" s="122"/>
      <x:c r="K185" s="122"/>
    </x:row>
    <x:row r="186" ht="14.25" customHeight="1">
      <x:c r="A186" s="1" t="s">
        <x:v>985</x:v>
      </x:c>
      <x:c r="B186" s="1" t="s">
        <x:v>517</x:v>
      </x:c>
      <x:c r="C186" s="1">
        <x:v>16.9</x:v>
      </x:c>
      <x:c r="D186" s="1">
        <x:v>157.3</x:v>
      </x:c>
      <x:c r="E186" s="1">
        <x:v>1.9</x:v>
      </x:c>
      <x:c r="F186" s="1">
        <x:v>0.0</x:v>
      </x:c>
      <x:c r="G186" s="1">
        <x:v>43.8</x:v>
      </x:c>
      <x:c r="H186" s="18">
        <x:f t="shared" si="1"/>
        <x:v>8.290135135</x:v>
      </x:c>
      <x:c r="I186" s="119" t="n">
        <x:f>C188*Scoring!$B$36+TE!D188/Scoring!$C$36+TE!E188*Scoring!$D$36+TE!F188*Scoring!$E$36+H188*Scoring!$F$36</x:f>
        <x:v>15.37</x:v>
      </x:c>
      <x:c r="J186" s="119" t="n">
        <x:f>C186*Scoring!$B$36+TE!D186/Scoring!$C$36+TE!E186*Scoring!$D$36+TE!F186*Scoring!$E$36+H186*Scoring!$F$36</x:f>
        <x:v>35.58</x:v>
      </x:c>
      <x:c r="K186" s="119" t="n">
        <x:f>C187*Scoring!$B$36+TE!D187/Scoring!$C$36+TE!E187*Scoring!$D$36+TE!F187*Scoring!$E$36+H187*Scoring!$F$36</x:f>
        <x:v>55.1</x:v>
      </x:c>
    </x:row>
    <x:row r="187" ht="14.25" customHeight="1">
      <x:c r="B187" s="1" t="s">
        <x:v>488</x:v>
      </x:c>
      <x:c r="C187" s="1">
        <x:v>26.0</x:v>
      </x:c>
      <x:c r="D187" s="1">
        <x:v>241.0</x:v>
      </x:c>
      <x:c r="E187" s="1">
        <x:v>3.0</x:v>
      </x:c>
      <x:c r="F187" s="1">
        <x:v>0.0</x:v>
      </x:c>
      <x:c r="G187" s="1">
        <x:v>50.9</x:v>
      </x:c>
      <x:c r="H187" s="18">
        <x:f t="shared" si="1"/>
        <x:v>12.70135135</x:v>
      </x:c>
      <x:c r="I187" s="122"/>
      <x:c r="J187" s="122"/>
      <x:c r="K187" s="122"/>
    </x:row>
    <x:row r="188" ht="14.25" customHeight="1">
      <x:c r="B188" s="1" t="s">
        <x:v>489</x:v>
      </x:c>
      <x:c r="C188" s="1">
        <x:v>7.8</x:v>
      </x:c>
      <x:c r="D188" s="1">
        <x:v>73.7</x:v>
      </x:c>
      <x:c r="E188" s="1">
        <x:v>0.7</x:v>
      </x:c>
      <x:c r="F188" s="1">
        <x:v>0.1</x:v>
      </x:c>
      <x:c r="G188" s="1">
        <x:v>28.6</x:v>
      </x:c>
      <x:c r="H188" s="18">
        <x:f t="shared" si="1"/>
        <x:v>3.884189189</x:v>
      </x:c>
      <x:c r="I188" s="122"/>
      <x:c r="J188" s="122"/>
      <x:c r="K188" s="122"/>
    </x:row>
    <x:row r="189" ht="14.25" customHeight="1">
      <x:c r="A189" s="1" t="s">
        <x:v>986</x:v>
      </x:c>
      <x:c r="B189" s="1" t="s">
        <x:v>495</x:v>
      </x:c>
      <x:c r="C189" s="1">
        <x:v>17.1</x:v>
      </x:c>
      <x:c r="D189" s="1">
        <x:v>169.9</x:v>
      </x:c>
      <x:c r="E189" s="1">
        <x:v>1.6</x:v>
      </x:c>
      <x:c r="F189" s="1">
        <x:v>0.6</x:v>
      </x:c>
      <x:c r="G189" s="1">
        <x:v>42.4</x:v>
      </x:c>
      <x:c r="H189" s="18">
        <x:f t="shared" si="1"/>
        <x:v>8.954189189</x:v>
      </x:c>
      <x:c r="I189" s="119" t="n">
        <x:f>C191*Scoring!$B$36+TE!D191/Scoring!$C$36+TE!E191*Scoring!$D$36+TE!F191*Scoring!$E$36+H191*Scoring!$F$36</x:f>
        <x:v>26.830000000000002</x:v>
      </x:c>
      <x:c r="J189" s="119" t="n">
        <x:f>C189*Scoring!$B$36+TE!D189/Scoring!$C$36+TE!E189*Scoring!$D$36+TE!F189*Scoring!$E$36+H189*Scoring!$F$36</x:f>
        <x:v>34.54</x:v>
      </x:c>
      <x:c r="K189" s="119" t="n">
        <x:f>C190*Scoring!$B$36+TE!D190/Scoring!$C$36+TE!E190*Scoring!$D$36+TE!F190*Scoring!$E$36+H190*Scoring!$F$36</x:f>
        <x:v>42.3</x:v>
      </x:c>
    </x:row>
    <x:row r="190" ht="14.25" customHeight="1">
      <x:c r="B190" s="1" t="s">
        <x:v>488</x:v>
      </x:c>
      <x:c r="C190" s="1">
        <x:v>20.0</x:v>
      </x:c>
      <x:c r="D190" s="1">
        <x:v>204.0</x:v>
      </x:c>
      <x:c r="E190" s="1">
        <x:v>2.0</x:v>
      </x:c>
      <x:c r="F190" s="1">
        <x:v>0.1</x:v>
      </x:c>
      <x:c r="G190" s="1">
        <x:v>40.1</x:v>
      </x:c>
      <x:c r="H190" s="18">
        <x:f t="shared" si="1"/>
        <x:v>10.75135135</x:v>
      </x:c>
      <x:c r="I190" s="122"/>
      <x:c r="J190" s="122"/>
      <x:c r="K190" s="122"/>
    </x:row>
    <x:row r="191" ht="14.25" customHeight="1">
      <x:c r="B191" s="1" t="s">
        <x:v>489</x:v>
      </x:c>
      <x:c r="C191" s="1">
        <x:v>14.1</x:v>
      </x:c>
      <x:c r="D191" s="1">
        <x:v>135.8</x:v>
      </x:c>
      <x:c r="E191" s="1">
        <x:v>1.2</x:v>
      </x:c>
      <x:c r="F191" s="1">
        <x:v>1.0</x:v>
      </x:c>
      <x:c r="G191" s="1">
        <x:v>37.5</x:v>
      </x:c>
      <x:c r="H191" s="18">
        <x:f t="shared" si="1"/>
        <x:v>7.157027027</x:v>
      </x:c>
      <x:c r="I191" s="122"/>
      <x:c r="J191" s="122"/>
      <x:c r="K191" s="122"/>
    </x:row>
    <x:row r="192" ht="14.25" customHeight="1">
      <x:c r="A192" s="1" t="s">
        <x:v>987</x:v>
      </x:c>
      <x:c r="B192" s="1" t="s">
        <x:v>539</x:v>
      </x:c>
      <x:c r="C192" s="1">
        <x:v>19.7</x:v>
      </x:c>
      <x:c r="D192" s="1">
        <x:v>146.3</x:v>
      </x:c>
      <x:c r="E192" s="1">
        <x:v>1.3</x:v>
      </x:c>
      <x:c r="F192" s="1">
        <x:v>0.0</x:v>
      </x:c>
      <x:c r="G192" s="1">
        <x:v>41.9</x:v>
      </x:c>
      <x:c r="H192" s="18">
        <x:f t="shared" si="1"/>
        <x:v>7.710405405</x:v>
      </x:c>
      <x:c r="I192" s="119" t="n">
        <x:f>C194*Scoring!$B$36+TE!D194/Scoring!$C$36+TE!E194*Scoring!$D$36+TE!F194*Scoring!$E$36+H194*Scoring!$F$36</x:f>
        <x:v>19.369999999999997</x:v>
      </x:c>
      <x:c r="J192" s="119" t="n">
        <x:f>C192*Scoring!$B$36+TE!D192/Scoring!$C$36+TE!E192*Scoring!$D$36+TE!F192*Scoring!$E$36+H192*Scoring!$F$36</x:f>
        <x:v>32.28</x:v>
      </x:c>
      <x:c r="K192" s="119" t="n">
        <x:f>C193*Scoring!$B$36+TE!D193/Scoring!$C$36+TE!E193*Scoring!$D$36+TE!F193*Scoring!$E$36+H193*Scoring!$F$36</x:f>
        <x:v>45.1</x:v>
      </x:c>
    </x:row>
    <x:row r="193" ht="14.25" customHeight="1">
      <x:c r="B193" s="1" t="s">
        <x:v>488</x:v>
      </x:c>
      <x:c r="C193" s="1">
        <x:v>27.0</x:v>
      </x:c>
      <x:c r="D193" s="1">
        <x:v>196.0</x:v>
      </x:c>
      <x:c r="E193" s="1">
        <x:v>2.0</x:v>
      </x:c>
      <x:c r="F193" s="1">
        <x:v>0.0</x:v>
      </x:c>
      <x:c r="G193" s="1">
        <x:v>43.7</x:v>
      </x:c>
      <x:c r="H193" s="18">
        <x:f t="shared" si="1"/>
        <x:v>10.32972973</x:v>
      </x:c>
      <x:c r="I193" s="122"/>
      <x:c r="J193" s="122"/>
      <x:c r="K193" s="122"/>
    </x:row>
    <x:row r="194" ht="14.25" customHeight="1">
      <x:c r="B194" s="1" t="s">
        <x:v>489</x:v>
      </x:c>
      <x:c r="C194" s="1">
        <x:v>12.4</x:v>
      </x:c>
      <x:c r="D194" s="1">
        <x:v>96.7</x:v>
      </x:c>
      <x:c r="E194" s="1">
        <x:v>0.6</x:v>
      </x:c>
      <x:c r="F194" s="1">
        <x:v>0.1</x:v>
      </x:c>
      <x:c r="G194" s="1">
        <x:v>32.6</x:v>
      </x:c>
      <x:c r="H194" s="18">
        <x:f t="shared" si="1"/>
        <x:v>5.096351351</x:v>
      </x:c>
      <x:c r="I194" s="122"/>
      <x:c r="J194" s="122"/>
      <x:c r="K194" s="122"/>
    </x:row>
    <x:row r="195" ht="14.25" customHeight="1">
      <x:c r="A195" s="1" t="s">
        <x:v>988</x:v>
      </x:c>
      <x:c r="B195" s="1" t="s">
        <x:v>499</x:v>
      </x:c>
      <x:c r="C195" s="1">
        <x:v>17.3</x:v>
      </x:c>
      <x:c r="D195" s="1">
        <x:v>146.3</x:v>
      </x:c>
      <x:c r="E195" s="1">
        <x:v>1.2</x:v>
      </x:c>
      <x:c r="F195" s="1">
        <x:v>0.1</x:v>
      </x:c>
      <x:c r="G195" s="1">
        <x:v>38.7</x:v>
      </x:c>
      <x:c r="H195" s="18">
        <x:f t="shared" si="1"/>
        <x:v>7.710405405</x:v>
      </x:c>
      <x:c r="I195" s="119" t="n">
        <x:f>C197*Scoring!$B$36+TE!D197/Scoring!$C$36+TE!E197*Scoring!$D$36+TE!F197*Scoring!$E$36+H197*Scoring!$F$36</x:f>
        <x:v>30.38</x:v>
      </x:c>
      <x:c r="J195" s="119" t="n">
        <x:f>C195*Scoring!$B$36+TE!D195/Scoring!$C$36+TE!E195*Scoring!$D$36+TE!F195*Scoring!$E$36+H195*Scoring!$F$36</x:f>
        <x:v>30.38</x:v>
      </x:c>
      <x:c r="K195" s="119" t="n">
        <x:f>C196*Scoring!$B$36+TE!D196/Scoring!$C$36+TE!E196*Scoring!$D$36+TE!F196*Scoring!$E$36+H196*Scoring!$F$36</x:f>
        <x:v>30.38</x:v>
      </x:c>
    </x:row>
    <x:row r="196" ht="14.25" customHeight="1">
      <x:c r="B196" s="1" t="s">
        <x:v>488</x:v>
      </x:c>
      <x:c r="C196" s="1">
        <x:v>17.3</x:v>
      </x:c>
      <x:c r="D196" s="1">
        <x:v>146.3</x:v>
      </x:c>
      <x:c r="E196" s="1">
        <x:v>1.2</x:v>
      </x:c>
      <x:c r="F196" s="1">
        <x:v>0.1</x:v>
      </x:c>
      <x:c r="G196" s="1">
        <x:v>38.8</x:v>
      </x:c>
      <x:c r="H196" s="18">
        <x:f t="shared" si="1"/>
        <x:v>7.710405405</x:v>
      </x:c>
      <x:c r="I196" s="122"/>
      <x:c r="J196" s="122"/>
      <x:c r="K196" s="122"/>
    </x:row>
    <x:row r="197" ht="14.25" customHeight="1">
      <x:c r="B197" s="1" t="s">
        <x:v>489</x:v>
      </x:c>
      <x:c r="C197" s="1">
        <x:v>17.3</x:v>
      </x:c>
      <x:c r="D197" s="1">
        <x:v>146.3</x:v>
      </x:c>
      <x:c r="E197" s="1">
        <x:v>1.2</x:v>
      </x:c>
      <x:c r="F197" s="1">
        <x:v>0.1</x:v>
      </x:c>
      <x:c r="G197" s="1">
        <x:v>38.8</x:v>
      </x:c>
      <x:c r="H197" s="18">
        <x:f t="shared" si="1"/>
        <x:v>7.710405405</x:v>
      </x:c>
      <x:c r="I197" s="122"/>
      <x:c r="J197" s="122"/>
      <x:c r="K197" s="122"/>
    </x:row>
    <x:row r="198" ht="14.25" customHeight="1">
      <x:c r="A198" s="1" t="s">
        <x:v>989</x:v>
      </x:c>
      <x:c r="B198" s="1" t="s">
        <x:v>505</x:v>
      </x:c>
      <x:c r="C198" s="1">
        <x:v>14.9</x:v>
      </x:c>
      <x:c r="D198" s="1">
        <x:v>156.8</x:v>
      </x:c>
      <x:c r="E198" s="1">
        <x:v>1.3</x:v>
      </x:c>
      <x:c r="F198" s="1">
        <x:v>0.5</x:v>
      </x:c>
      <x:c r="G198" s="1">
        <x:v>37.2</x:v>
      </x:c>
      <x:c r="H198" s="18">
        <x:f t="shared" si="1"/>
        <x:v>8.263783784</x:v>
      </x:c>
      <x:c r="I198" s="119" t="n">
        <x:f>C200*Scoring!$B$36+TE!D200/Scoring!$C$36+TE!E200*Scoring!$D$36+TE!F200*Scoring!$E$36+H200*Scoring!$F$36</x:f>
        <x:v>13.86</x:v>
      </x:c>
      <x:c r="J198" s="119" t="n">
        <x:f>C198*Scoring!$B$36+TE!D198/Scoring!$C$36+TE!E198*Scoring!$D$36+TE!F198*Scoring!$E$36+H198*Scoring!$F$36</x:f>
        <x:v>30.430000000000003</x:v>
      </x:c>
      <x:c r="K198" s="119" t="n">
        <x:f>C199*Scoring!$B$36+TE!D199/Scoring!$C$36+TE!E199*Scoring!$D$36+TE!F199*Scoring!$E$36+H199*Scoring!$F$36</x:f>
        <x:v>46.9</x:v>
      </x:c>
    </x:row>
    <x:row r="199" ht="14.25" customHeight="1">
      <x:c r="B199" s="1" t="s">
        <x:v>488</x:v>
      </x:c>
      <x:c r="C199" s="1">
        <x:v>22.0</x:v>
      </x:c>
      <x:c r="D199" s="1">
        <x:v>240.0</x:v>
      </x:c>
      <x:c r="E199" s="1">
        <x:v>2.0</x:v>
      </x:c>
      <x:c r="F199" s="1">
        <x:v>0.1</x:v>
      </x:c>
      <x:c r="G199" s="1">
        <x:v>40.9</x:v>
      </x:c>
      <x:c r="H199" s="18">
        <x:f t="shared" si="1"/>
        <x:v>12.64864865</x:v>
      </x:c>
      <x:c r="I199" s="122"/>
      <x:c r="J199" s="122"/>
      <x:c r="K199" s="122"/>
    </x:row>
    <x:row r="200" ht="14.25" customHeight="1">
      <x:c r="B200" s="1" t="s">
        <x:v>489</x:v>
      </x:c>
      <x:c r="C200" s="1">
        <x:v>7.8</x:v>
      </x:c>
      <x:c r="D200" s="1">
        <x:v>73.6</x:v>
      </x:c>
      <x:c r="E200" s="1">
        <x:v>0.6</x:v>
      </x:c>
      <x:c r="F200" s="1">
        <x:v>1.0</x:v>
      </x:c>
      <x:c r="G200" s="1">
        <x:v>25.6</x:v>
      </x:c>
      <x:c r="H200" s="18">
        <x:f t="shared" si="1"/>
        <x:v>3.878918919</x:v>
      </x:c>
      <x:c r="I200" s="122"/>
      <x:c r="J200" s="122"/>
      <x:c r="K200" s="122"/>
    </x:row>
    <x:row r="201" ht="14.25" customHeight="1">
      <x:c r="A201" s="1" t="s">
        <x:v>714</x:v>
      </x:c>
      <x:c r="B201" s="1" t="s">
        <x:v>547</x:v>
      </x:c>
      <x:c r="C201" s="1">
        <x:v>14.0</x:v>
      </x:c>
      <x:c r="D201" s="1">
        <x:v>102.0</x:v>
      </x:c>
      <x:c r="E201" s="1">
        <x:v>2.0</x:v>
      </x:c>
      <x:c r="F201" s="1">
        <x:v>0.0</x:v>
      </x:c>
      <x:c r="G201" s="1">
        <x:v>36.2</x:v>
      </x:c>
      <x:c r="H201" s="18">
        <x:f t="shared" si="1"/>
        <x:v>5.375675676</x:v>
      </x:c>
      <x:c r="I201" s="119" t="n">
        <x:f>C203*Scoring!$B$36+TE!D203/Scoring!$C$36+TE!E203*Scoring!$D$36+TE!F203*Scoring!$E$36+H203*Scoring!$F$36</x:f>
        <x:v>29.2</x:v>
      </x:c>
      <x:c r="J201" s="119" t="n">
        <x:f>C201*Scoring!$B$36+TE!D201/Scoring!$C$36+TE!E201*Scoring!$D$36+TE!F201*Scoring!$E$36+H201*Scoring!$F$36</x:f>
        <x:v>29.2</x:v>
      </x:c>
      <x:c r="K201" s="119" t="n">
        <x:f>C202*Scoring!$B$36+TE!D202/Scoring!$C$36+TE!E202*Scoring!$D$36+TE!F202*Scoring!$E$36+H202*Scoring!$F$36</x:f>
        <x:v>29.2</x:v>
      </x:c>
    </x:row>
    <x:row r="202" ht="14.25" customHeight="1">
      <x:c r="B202" s="1" t="s">
        <x:v>488</x:v>
      </x:c>
      <x:c r="C202" s="1">
        <x:v>14.0</x:v>
      </x:c>
      <x:c r="D202" s="1">
        <x:v>102.0</x:v>
      </x:c>
      <x:c r="E202" s="1">
        <x:v>2.0</x:v>
      </x:c>
      <x:c r="F202" s="1">
        <x:v>0.0</x:v>
      </x:c>
      <x:c r="G202" s="1">
        <x:v>37.0</x:v>
      </x:c>
      <x:c r="H202" s="18">
        <x:f t="shared" si="1"/>
        <x:v>5.375675676</x:v>
      </x:c>
      <x:c r="I202" s="122"/>
      <x:c r="J202" s="122"/>
      <x:c r="K202" s="122"/>
    </x:row>
    <x:row r="203" ht="14.25" customHeight="1">
      <x:c r="B203" s="1" t="s">
        <x:v>489</x:v>
      </x:c>
      <x:c r="C203" s="1">
        <x:v>14.0</x:v>
      </x:c>
      <x:c r="D203" s="1">
        <x:v>102.0</x:v>
      </x:c>
      <x:c r="E203" s="1">
        <x:v>2.0</x:v>
      </x:c>
      <x:c r="F203" s="1">
        <x:v>0.0</x:v>
      </x:c>
      <x:c r="G203" s="1">
        <x:v>37.0</x:v>
      </x:c>
      <x:c r="H203" s="18">
        <x:f t="shared" si="1"/>
        <x:v>5.375675676</x:v>
      </x:c>
      <x:c r="I203" s="122"/>
      <x:c r="J203" s="122"/>
      <x:c r="K203" s="122"/>
    </x:row>
    <x:row r="204" ht="14.25" customHeight="1">
      <x:c r="A204" s="1" t="s">
        <x:v>990</x:v>
      </x:c>
      <x:c r="B204" s="1" t="s">
        <x:v>535</x:v>
      </x:c>
      <x:c r="C204" s="1">
        <x:v>15.3</x:v>
      </x:c>
      <x:c r="D204" s="1">
        <x:v>127.8</x:v>
      </x:c>
      <x:c r="E204" s="1">
        <x:v>0.9</x:v>
      </x:c>
      <x:c r="F204" s="1">
        <x:v>0.1</x:v>
      </x:c>
      <x:c r="G204" s="1">
        <x:v>33.1</x:v>
      </x:c>
      <x:c r="H204" s="18">
        <x:f t="shared" si="1"/>
        <x:v>6.735405405</x:v>
      </x:c>
      <x:c r="I204" s="119" t="n">
        <x:f>C206*Scoring!$B$36+TE!D206/Scoring!$C$36+TE!E206*Scoring!$D$36+TE!F206*Scoring!$E$36+H206*Scoring!$F$36</x:f>
        <x:v>23.799999999999997</x:v>
      </x:c>
      <x:c r="J204" s="119" t="n">
        <x:f>C204*Scoring!$B$36+TE!D204/Scoring!$C$36+TE!E204*Scoring!$D$36+TE!F204*Scoring!$E$36+H204*Scoring!$F$36</x:f>
        <x:v>25.729999999999997</x:v>
      </x:c>
      <x:c r="K204" s="119" t="n">
        <x:f>C205*Scoring!$B$36+TE!D205/Scoring!$C$36+TE!E205*Scoring!$D$36+TE!F205*Scoring!$E$36+H205*Scoring!$F$36</x:f>
        <x:v>27.119999999999997</x:v>
      </x:c>
    </x:row>
    <x:row r="205" ht="14.25" customHeight="1">
      <x:c r="B205" s="1" t="s">
        <x:v>488</x:v>
      </x:c>
      <x:c r="C205" s="1">
        <x:v>15.5</x:v>
      </x:c>
      <x:c r="D205" s="1">
        <x:v>133.7</x:v>
      </x:c>
      <x:c r="E205" s="1">
        <x:v>1.0</x:v>
      </x:c>
      <x:c r="F205" s="1">
        <x:v>0.0</x:v>
      </x:c>
      <x:c r="G205" s="1">
        <x:v>34.5</x:v>
      </x:c>
      <x:c r="H205" s="18">
        <x:f t="shared" si="1"/>
        <x:v>7.046351351</x:v>
      </x:c>
      <x:c r="I205" s="122"/>
      <x:c r="J205" s="122"/>
      <x:c r="K205" s="122"/>
    </x:row>
    <x:row r="206" ht="14.25" customHeight="1">
      <x:c r="B206" s="1" t="s">
        <x:v>489</x:v>
      </x:c>
      <x:c r="C206" s="1">
        <x:v>15.0</x:v>
      </x:c>
      <x:c r="D206" s="1">
        <x:v>122.0</x:v>
      </x:c>
      <x:c r="E206" s="1">
        <x:v>0.7</x:v>
      </x:c>
      <x:c r="F206" s="1">
        <x:v>0.1</x:v>
      </x:c>
      <x:c r="G206" s="1">
        <x:v>27.3</x:v>
      </x:c>
      <x:c r="H206" s="18">
        <x:f t="shared" si="1"/>
        <x:v>6.42972973</x:v>
      </x:c>
      <x:c r="I206" s="122"/>
      <x:c r="J206" s="122"/>
      <x:c r="K206" s="122"/>
    </x:row>
    <x:row r="207" ht="14.25" customHeight="1">
      <x:c r="A207" s="1" t="s">
        <x:v>991</x:v>
      </x:c>
      <x:c r="B207" s="1" t="s">
        <x:v>515</x:v>
      </x:c>
      <x:c r="C207" s="1">
        <x:v>11.9</x:v>
      </x:c>
      <x:c r="D207" s="1">
        <x:v>88.4</x:v>
      </x:c>
      <x:c r="E207" s="1">
        <x:v>1.8</x:v>
      </x:c>
      <x:c r="F207" s="1">
        <x:v>0.0</x:v>
      </x:c>
      <x:c r="G207" s="1">
        <x:v>31.7</x:v>
      </x:c>
      <x:c r="H207" s="18">
        <x:f t="shared" si="1"/>
        <x:v>4.658918919</x:v>
      </x:c>
      <x:c r="I207" s="119" t="n">
        <x:f>C209*Scoring!$B$36+TE!D209/Scoring!$C$36+TE!E209*Scoring!$D$36+TE!F209*Scoring!$E$36+H209*Scoring!$F$36</x:f>
        <x:v>14.879999999999999</x:v>
      </x:c>
      <x:c r="J207" s="119" t="n">
        <x:f>C207*Scoring!$B$36+TE!D207/Scoring!$C$36+TE!E207*Scoring!$D$36+TE!F207*Scoring!$E$36+H207*Scoring!$F$36</x:f>
        <x:v>25.59</x:v>
      </x:c>
      <x:c r="K207" s="119" t="n">
        <x:f>C208*Scoring!$B$36+TE!D208/Scoring!$C$36+TE!E208*Scoring!$D$36+TE!F208*Scoring!$E$36+H208*Scoring!$F$36</x:f>
        <x:v>36.8</x:v>
      </x:c>
    </x:row>
    <x:row r="208" ht="14.25" customHeight="1">
      <x:c r="B208" s="1" t="s">
        <x:v>488</x:v>
      </x:c>
      <x:c r="C208" s="1">
        <x:v>16.0</x:v>
      </x:c>
      <x:c r="D208" s="1">
        <x:v>108.0</x:v>
      </x:c>
      <x:c r="E208" s="1">
        <x:v>3.0</x:v>
      </x:c>
      <x:c r="F208" s="1">
        <x:v>0.0</x:v>
      </x:c>
      <x:c r="G208" s="1">
        <x:v>33.9</x:v>
      </x:c>
      <x:c r="H208" s="18">
        <x:f t="shared" si="1"/>
        <x:v>5.691891892</x:v>
      </x:c>
      <x:c r="I208" s="122"/>
      <x:c r="J208" s="122"/>
      <x:c r="K208" s="122"/>
    </x:row>
    <x:row r="209" ht="14.25" customHeight="1">
      <x:c r="B209" s="1" t="s">
        <x:v>489</x:v>
      </x:c>
      <x:c r="C209" s="1">
        <x:v>7.8</x:v>
      </x:c>
      <x:c r="D209" s="1">
        <x:v>68.8</x:v>
      </x:c>
      <x:c r="E209" s="1">
        <x:v>0.7</x:v>
      </x:c>
      <x:c r="F209" s="1">
        <x:v>0.1</x:v>
      </x:c>
      <x:c r="G209" s="1">
        <x:v>22.8</x:v>
      </x:c>
      <x:c r="H209" s="18">
        <x:f t="shared" si="1"/>
        <x:v>3.625945946</x:v>
      </x:c>
      <x:c r="I209" s="122"/>
      <x:c r="J209" s="122"/>
      <x:c r="K209" s="122"/>
    </x:row>
    <x:row r="210" ht="14.25" customHeight="1">
      <x:c r="A210" s="1" t="s">
        <x:v>992</x:v>
      </x:c>
      <x:c r="B210" s="1" t="s">
        <x:v>533</x:v>
      </x:c>
      <x:c r="C210" s="1">
        <x:v>10.0</x:v>
      </x:c>
      <x:c r="D210" s="1">
        <x:v>95.0</x:v>
      </x:c>
      <x:c r="E210" s="1">
        <x:v>2.0</x:v>
      </x:c>
      <x:c r="F210" s="1">
        <x:v>0.0</x:v>
      </x:c>
      <x:c r="G210" s="1">
        <x:v>31.5</x:v>
      </x:c>
      <x:c r="H210" s="18">
        <x:f t="shared" si="1"/>
        <x:v>5.006756757</x:v>
      </x:c>
      <x:c r="I210" s="119" t="n">
        <x:f>C212*Scoring!$B$36+TE!D212/Scoring!$C$36+TE!E212*Scoring!$D$36+TE!F212*Scoring!$E$36+H212*Scoring!$F$36</x:f>
        <x:v>26.5</x:v>
      </x:c>
      <x:c r="J210" s="119" t="n">
        <x:f>C210*Scoring!$B$36+TE!D210/Scoring!$C$36+TE!E210*Scoring!$D$36+TE!F210*Scoring!$E$36+H210*Scoring!$F$36</x:f>
        <x:v>26.5</x:v>
      </x:c>
      <x:c r="K210" s="119" t="n">
        <x:f>C211*Scoring!$B$36+TE!D211/Scoring!$C$36+TE!E211*Scoring!$D$36+TE!F211*Scoring!$E$36+H211*Scoring!$F$36</x:f>
        <x:v>26.5</x:v>
      </x:c>
    </x:row>
    <x:row r="211" ht="14.25" customHeight="1">
      <x:c r="B211" s="1" t="s">
        <x:v>488</x:v>
      </x:c>
      <x:c r="C211" s="1">
        <x:v>10.0</x:v>
      </x:c>
      <x:c r="D211" s="1">
        <x:v>95.0</x:v>
      </x:c>
      <x:c r="E211" s="1">
        <x:v>2.0</x:v>
      </x:c>
      <x:c r="F211" s="1">
        <x:v>0.0</x:v>
      </x:c>
      <x:c r="G211" s="1">
        <x:v>26.0</x:v>
      </x:c>
      <x:c r="H211" s="18">
        <x:f t="shared" si="1"/>
        <x:v>5.006756757</x:v>
      </x:c>
      <x:c r="I211" s="122"/>
      <x:c r="J211" s="122"/>
      <x:c r="K211" s="122"/>
    </x:row>
    <x:row r="212" ht="14.25" customHeight="1">
      <x:c r="B212" s="1" t="s">
        <x:v>489</x:v>
      </x:c>
      <x:c r="C212" s="1">
        <x:v>10.0</x:v>
      </x:c>
      <x:c r="D212" s="1">
        <x:v>95.0</x:v>
      </x:c>
      <x:c r="E212" s="1">
        <x:v>2.0</x:v>
      </x:c>
      <x:c r="F212" s="1">
        <x:v>0.0</x:v>
      </x:c>
      <x:c r="G212" s="1">
        <x:v>26.0</x:v>
      </x:c>
      <x:c r="H212" s="18">
        <x:f t="shared" si="1"/>
        <x:v>5.006756757</x:v>
      </x:c>
      <x:c r="I212" s="122"/>
      <x:c r="J212" s="122"/>
      <x:c r="K212" s="122"/>
    </x:row>
    <x:row r="213" ht="14.25" customHeight="1">
      <x:c r="A213" s="1" t="s">
        <x:v>993</x:v>
      </x:c>
      <x:c r="B213" s="1" t="s">
        <x:v>499</x:v>
      </x:c>
      <x:c r="C213" s="1">
        <x:v>13.0</x:v>
      </x:c>
      <x:c r="D213" s="1">
        <x:v>123.0</x:v>
      </x:c>
      <x:c r="E213" s="1">
        <x:v>1.0</x:v>
      </x:c>
      <x:c r="F213" s="1">
        <x:v>0.0</x:v>
      </x:c>
      <x:c r="G213" s="1">
        <x:v>31.3</x:v>
      </x:c>
      <x:c r="H213" s="18">
        <x:f t="shared" si="1"/>
        <x:v>6.482432432</x:v>
      </x:c>
      <x:c r="I213" s="119" t="n">
        <x:f>C215*Scoring!$B$36+TE!D215/Scoring!$C$36+TE!E215*Scoring!$D$36+TE!F215*Scoring!$E$36+H215*Scoring!$F$36</x:f>
        <x:v>24.8</x:v>
      </x:c>
      <x:c r="J213" s="119" t="n">
        <x:f>C213*Scoring!$B$36+TE!D213/Scoring!$C$36+TE!E213*Scoring!$D$36+TE!F213*Scoring!$E$36+H213*Scoring!$F$36</x:f>
        <x:v>24.8</x:v>
      </x:c>
      <x:c r="K213" s="119" t="n">
        <x:f>C214*Scoring!$B$36+TE!D214/Scoring!$C$36+TE!E214*Scoring!$D$36+TE!F214*Scoring!$E$36+H214*Scoring!$F$36</x:f>
        <x:v>24.8</x:v>
      </x:c>
    </x:row>
    <x:row r="214" ht="14.25" customHeight="1">
      <x:c r="B214" s="1" t="s">
        <x:v>488</x:v>
      </x:c>
      <x:c r="C214" s="1">
        <x:v>13.0</x:v>
      </x:c>
      <x:c r="D214" s="1">
        <x:v>123.0</x:v>
      </x:c>
      <x:c r="E214" s="1">
        <x:v>1.0</x:v>
      </x:c>
      <x:c r="F214" s="1">
        <x:v>0.0</x:v>
      </x:c>
      <x:c r="G214" s="1">
        <x:v>24.0</x:v>
      </x:c>
      <x:c r="H214" s="18">
        <x:f t="shared" si="1"/>
        <x:v>6.482432432</x:v>
      </x:c>
      <x:c r="I214" s="122"/>
      <x:c r="J214" s="122"/>
      <x:c r="K214" s="122"/>
    </x:row>
    <x:row r="215" ht="14.25" customHeight="1">
      <x:c r="B215" s="1" t="s">
        <x:v>489</x:v>
      </x:c>
      <x:c r="C215" s="1">
        <x:v>13.0</x:v>
      </x:c>
      <x:c r="D215" s="1">
        <x:v>123.0</x:v>
      </x:c>
      <x:c r="E215" s="1">
        <x:v>1.0</x:v>
      </x:c>
      <x:c r="F215" s="1">
        <x:v>0.0</x:v>
      </x:c>
      <x:c r="G215" s="1">
        <x:v>24.0</x:v>
      </x:c>
      <x:c r="H215" s="18">
        <x:f t="shared" si="1"/>
        <x:v>6.482432432</x:v>
      </x:c>
      <x:c r="I215" s="122"/>
      <x:c r="J215" s="122"/>
      <x:c r="K215" s="122"/>
    </x:row>
    <x:row r="216" ht="14.25" customHeight="1">
      <x:c r="A216" s="1" t="s">
        <x:v>994</x:v>
      </x:c>
      <x:c r="B216" s="1" t="s">
        <x:v>507</x:v>
      </x:c>
      <x:c r="C216" s="1">
        <x:v>13.2</x:v>
      </x:c>
      <x:c r="D216" s="1">
        <x:v>121.5</x:v>
      </x:c>
      <x:c r="E216" s="1">
        <x:v>0.9</x:v>
      </x:c>
      <x:c r="F216" s="1">
        <x:v>0.0</x:v>
      </x:c>
      <x:c r="G216" s="1">
        <x:v>30.9</x:v>
      </x:c>
      <x:c r="H216" s="18">
        <x:f t="shared" si="1"/>
        <x:v>6.403378378</x:v>
      </x:c>
      <x:c r="I216" s="119" t="n">
        <x:f>C218*Scoring!$B$36+TE!D218/Scoring!$C$36+TE!E218*Scoring!$D$36+TE!F218*Scoring!$E$36+H218*Scoring!$F$36</x:f>
        <x:v>22</x:v>
      </x:c>
      <x:c r="J216" s="119" t="n">
        <x:f>C216*Scoring!$B$36+TE!D216/Scoring!$C$36+TE!E216*Scoring!$D$36+TE!F216*Scoring!$E$36+H216*Scoring!$F$36</x:f>
        <x:v>24.15</x:v>
      </x:c>
      <x:c r="K216" s="119" t="n">
        <x:f>C217*Scoring!$B$36+TE!D217/Scoring!$C$36+TE!E217*Scoring!$D$36+TE!F217*Scoring!$E$36+H217*Scoring!$F$36</x:f>
        <x:v>26.8</x:v>
      </x:c>
    </x:row>
    <x:row r="217" ht="14.25" customHeight="1">
      <x:c r="B217" s="1" t="s">
        <x:v>488</x:v>
      </x:c>
      <x:c r="C217" s="1">
        <x:v>15.0</x:v>
      </x:c>
      <x:c r="D217" s="1">
        <x:v>133.0</x:v>
      </x:c>
      <x:c r="E217" s="1">
        <x:v>1.0</x:v>
      </x:c>
      <x:c r="F217" s="1">
        <x:v>0.0</x:v>
      </x:c>
      <x:c r="G217" s="1">
        <x:v>29.5</x:v>
      </x:c>
      <x:c r="H217" s="18">
        <x:f t="shared" si="1"/>
        <x:v>7.009459459</x:v>
      </x:c>
      <x:c r="I217" s="122"/>
      <x:c r="J217" s="122"/>
      <x:c r="K217" s="122"/>
    </x:row>
    <x:row r="218" ht="14.25" customHeight="1">
      <x:c r="B218" s="1" t="s">
        <x:v>489</x:v>
      </x:c>
      <x:c r="C218" s="1">
        <x:v>11.4</x:v>
      </x:c>
      <x:c r="D218" s="1">
        <x:v>110.0</x:v>
      </x:c>
      <x:c r="E218" s="1">
        <x:v>0.9</x:v>
      </x:c>
      <x:c r="F218" s="1">
        <x:v>0.1</x:v>
      </x:c>
      <x:c r="G218" s="1">
        <x:v>24.2</x:v>
      </x:c>
      <x:c r="H218" s="18">
        <x:f t="shared" si="1"/>
        <x:v>5.797297297</x:v>
      </x:c>
      <x:c r="I218" s="122"/>
      <x:c r="J218" s="122"/>
      <x:c r="K218" s="122"/>
    </x:row>
    <x:row r="219" ht="14.25" customHeight="1">
      <x:c r="A219" s="1" t="s">
        <x:v>995</x:v>
      </x:c>
      <x:c r="B219" s="1" t="s">
        <x:v>495</x:v>
      </x:c>
      <x:c r="C219" s="1">
        <x:v>11.1</x:v>
      </x:c>
      <x:c r="D219" s="1">
        <x:v>114.4</x:v>
      </x:c>
      <x:c r="E219" s="1">
        <x:v>1.4</x:v>
      </x:c>
      <x:c r="F219" s="1">
        <x:v>0.0</x:v>
      </x:c>
      <x:c r="G219" s="1">
        <x:v>30.8</x:v>
      </x:c>
      <x:c r="H219" s="18">
        <x:f t="shared" si="1"/>
        <x:v>6.029189189</x:v>
      </x:c>
      <x:c r="I219" s="119" t="n">
        <x:f>C221*Scoring!$B$36+TE!D221/Scoring!$C$36+TE!E221*Scoring!$D$36+TE!F221*Scoring!$E$36+H221*Scoring!$F$36</x:f>
        <x:v>20.87</x:v>
      </x:c>
      <x:c r="J219" s="119" t="n">
        <x:f>C219*Scoring!$B$36+TE!D219/Scoring!$C$36+TE!E219*Scoring!$D$36+TE!F219*Scoring!$E$36+H219*Scoring!$F$36</x:f>
        <x:v>25.39</x:v>
      </x:c>
      <x:c r="K219" s="119" t="n">
        <x:f>C220*Scoring!$B$36+TE!D220/Scoring!$C$36+TE!E220*Scoring!$D$36+TE!F220*Scoring!$E$36+H220*Scoring!$F$36</x:f>
        <x:v>29.75</x:v>
      </x:c>
    </x:row>
    <x:row r="220" ht="14.25" customHeight="1">
      <x:c r="B220" s="1" t="s">
        <x:v>488</x:v>
      </x:c>
      <x:c r="C220" s="1">
        <x:v>11.1</x:v>
      </x:c>
      <x:c r="D220" s="1">
        <x:v>122.0</x:v>
      </x:c>
      <x:c r="E220" s="1">
        <x:v>2.0</x:v>
      </x:c>
      <x:c r="F220" s="1">
        <x:v>0.0</x:v>
      </x:c>
      <x:c r="G220" s="1">
        <x:v>28.1</x:v>
      </x:c>
      <x:c r="H220" s="18">
        <x:f t="shared" si="1"/>
        <x:v>6.42972973</x:v>
      </x:c>
      <x:c r="I220" s="122"/>
      <x:c r="J220" s="122"/>
      <x:c r="K220" s="122"/>
    </x:row>
    <x:row r="221" ht="14.25" customHeight="1">
      <x:c r="B221" s="1" t="s">
        <x:v>489</x:v>
      </x:c>
      <x:c r="C221" s="1">
        <x:v>11.0</x:v>
      </x:c>
      <x:c r="D221" s="1">
        <x:v>106.7</x:v>
      </x:c>
      <x:c r="E221" s="1">
        <x:v>0.8</x:v>
      </x:c>
      <x:c r="F221" s="1">
        <x:v>0.1</x:v>
      </x:c>
      <x:c r="G221" s="1">
        <x:v>26.6</x:v>
      </x:c>
      <x:c r="H221" s="18">
        <x:f t="shared" si="1"/>
        <x:v>5.623378378</x:v>
      </x:c>
      <x:c r="I221" s="122"/>
      <x:c r="J221" s="122"/>
      <x:c r="K221" s="122"/>
    </x:row>
    <x:row r="222" ht="14.25" customHeight="1">
      <x:c r="A222" s="1" t="s">
        <x:v>996</x:v>
      </x:c>
      <x:c r="B222" s="1" t="s">
        <x:v>507</x:v>
      </x:c>
      <x:c r="C222" s="1">
        <x:v>12.0</x:v>
      </x:c>
      <x:c r="D222" s="1">
        <x:v>128.0</x:v>
      </x:c>
      <x:c r="E222" s="1">
        <x:v>1.0</x:v>
      </x:c>
      <x:c r="F222" s="1">
        <x:v>0.0</x:v>
      </x:c>
      <x:c r="G222" s="1">
        <x:v>30.8</x:v>
      </x:c>
      <x:c r="H222" s="18">
        <x:f t="shared" si="1"/>
        <x:v>6.745945946</x:v>
      </x:c>
      <x:c r="I222" s="119" t="n">
        <x:f>C224*Scoring!$B$36+TE!D224/Scoring!$C$36+TE!E224*Scoring!$D$36+TE!F224*Scoring!$E$36+H224*Scoring!$F$36</x:f>
        <x:v>24.8</x:v>
      </x:c>
      <x:c r="J222" s="119" t="n">
        <x:f>C222*Scoring!$B$36+TE!D222/Scoring!$C$36+TE!E222*Scoring!$D$36+TE!F222*Scoring!$E$36+H222*Scoring!$F$36</x:f>
        <x:v>24.8</x:v>
      </x:c>
      <x:c r="K222" s="119" t="n">
        <x:f>C223*Scoring!$B$36+TE!D223/Scoring!$C$36+TE!E223*Scoring!$D$36+TE!F223*Scoring!$E$36+H223*Scoring!$F$36</x:f>
        <x:v>24.8</x:v>
      </x:c>
    </x:row>
    <x:row r="223" ht="14.25" customHeight="1">
      <x:c r="B223" s="1" t="s">
        <x:v>488</x:v>
      </x:c>
      <x:c r="C223" s="1">
        <x:v>12.0</x:v>
      </x:c>
      <x:c r="D223" s="1">
        <x:v>128.0</x:v>
      </x:c>
      <x:c r="E223" s="1">
        <x:v>1.0</x:v>
      </x:c>
      <x:c r="F223" s="1">
        <x:v>0.0</x:v>
      </x:c>
      <x:c r="G223" s="1">
        <x:v>23.0</x:v>
      </x:c>
      <x:c r="H223" s="18">
        <x:f t="shared" si="1"/>
        <x:v>6.745945946</x:v>
      </x:c>
      <x:c r="I223" s="122"/>
      <x:c r="J223" s="122"/>
      <x:c r="K223" s="122"/>
    </x:row>
    <x:row r="224" ht="14.25" customHeight="1">
      <x:c r="B224" s="1" t="s">
        <x:v>489</x:v>
      </x:c>
      <x:c r="C224" s="1">
        <x:v>12.0</x:v>
      </x:c>
      <x:c r="D224" s="1">
        <x:v>128.0</x:v>
      </x:c>
      <x:c r="E224" s="1">
        <x:v>1.0</x:v>
      </x:c>
      <x:c r="F224" s="1">
        <x:v>0.0</x:v>
      </x:c>
      <x:c r="G224" s="1">
        <x:v>23.0</x:v>
      </x:c>
      <x:c r="H224" s="18">
        <x:f t="shared" si="1"/>
        <x:v>6.745945946</x:v>
      </x:c>
      <x:c r="I224" s="122"/>
      <x:c r="J224" s="122"/>
      <x:c r="K224" s="122"/>
    </x:row>
    <x:row r="225" ht="14.25" customHeight="1">
      <x:c r="A225" s="1" t="s">
        <x:v>997</x:v>
      </x:c>
      <x:c r="B225" s="1" t="s">
        <x:v>487</x:v>
      </x:c>
      <x:c r="C225" s="1">
        <x:v>10.5</x:v>
      </x:c>
      <x:c r="D225" s="1">
        <x:v>115.1</x:v>
      </x:c>
      <x:c r="E225" s="1">
        <x:v>1.4</x:v>
      </x:c>
      <x:c r="F225" s="1">
        <x:v>0.0</x:v>
      </x:c>
      <x:c r="G225" s="1">
        <x:v>30.6</x:v>
      </x:c>
      <x:c r="H225" s="18">
        <x:f t="shared" si="1"/>
        <x:v>6.066081081</x:v>
      </x:c>
      <x:c r="I225" s="119" t="n">
        <x:f>C227*Scoring!$B$36+TE!D227/Scoring!$C$36+TE!E227*Scoring!$D$36+TE!F227*Scoring!$E$36+H227*Scoring!$F$36</x:f>
        <x:v>21.309999999999995</x:v>
      </x:c>
      <x:c r="J225" s="119" t="n">
        <x:f>C225*Scoring!$B$36+TE!D225/Scoring!$C$36+TE!E225*Scoring!$D$36+TE!F225*Scoring!$E$36+H225*Scoring!$F$36</x:f>
        <x:v>25.159999999999997</x:v>
      </x:c>
      <x:c r="K225" s="119" t="n">
        <x:f>C226*Scoring!$B$36+TE!D226/Scoring!$C$36+TE!E226*Scoring!$D$36+TE!F226*Scoring!$E$36+H226*Scoring!$F$36</x:f>
        <x:v>29.55</x:v>
      </x:c>
    </x:row>
    <x:row r="226" ht="14.25" customHeight="1">
      <x:c r="B226" s="1" t="s">
        <x:v>488</x:v>
      </x:c>
      <x:c r="C226" s="1">
        <x:v>11.1</x:v>
      </x:c>
      <x:c r="D226" s="1">
        <x:v>120.0</x:v>
      </x:c>
      <x:c r="E226" s="1">
        <x:v>2.0</x:v>
      </x:c>
      <x:c r="F226" s="1">
        <x:v>0.0</x:v>
      </x:c>
      <x:c r="G226" s="1">
        <x:v>27.5</x:v>
      </x:c>
      <x:c r="H226" s="18">
        <x:f t="shared" si="1"/>
        <x:v>6.324324324</x:v>
      </x:c>
      <x:c r="I226" s="122"/>
      <x:c r="J226" s="122"/>
      <x:c r="K226" s="122"/>
    </x:row>
    <x:row r="227" ht="14.25" customHeight="1">
      <x:c r="B227" s="1" t="s">
        <x:v>489</x:v>
      </x:c>
      <x:c r="C227" s="1">
        <x:v>10.0</x:v>
      </x:c>
      <x:c r="D227" s="1">
        <x:v>110.1</x:v>
      </x:c>
      <x:c r="E227" s="1">
        <x:v>0.9</x:v>
      </x:c>
      <x:c r="F227" s="1">
        <x:v>0.1</x:v>
      </x:c>
      <x:c r="G227" s="1">
        <x:v>26.9</x:v>
      </x:c>
      <x:c r="H227" s="18">
        <x:f t="shared" si="1"/>
        <x:v>5.802567568</x:v>
      </x:c>
      <x:c r="I227" s="122"/>
      <x:c r="J227" s="122"/>
      <x:c r="K227" s="122"/>
    </x:row>
    <x:row r="228" ht="14.25" customHeight="1">
      <x:c r="A228" s="1" t="s">
        <x:v>998</x:v>
      </x:c>
      <x:c r="B228" s="1" t="s">
        <x:v>503</x:v>
      </x:c>
      <x:c r="C228" s="1">
        <x:v>12.0</x:v>
      </x:c>
      <x:c r="D228" s="1">
        <x:v>118.0</x:v>
      </x:c>
      <x:c r="E228" s="1">
        <x:v>1.0</x:v>
      </x:c>
      <x:c r="F228" s="1">
        <x:v>0.0</x:v>
      </x:c>
      <x:c r="G228" s="1">
        <x:v>29.8</x:v>
      </x:c>
      <x:c r="H228" s="18">
        <x:f t="shared" si="1"/>
        <x:v>6.218918919</x:v>
      </x:c>
      <x:c r="I228" s="119" t="n">
        <x:f>C230*Scoring!$B$36+TE!D230/Scoring!$C$36+TE!E230*Scoring!$D$36+TE!F230*Scoring!$E$36+H230*Scoring!$F$36</x:f>
        <x:v>23.8</x:v>
      </x:c>
      <x:c r="J228" s="119" t="n">
        <x:f>C228*Scoring!$B$36+TE!D228/Scoring!$C$36+TE!E228*Scoring!$D$36+TE!F228*Scoring!$E$36+H228*Scoring!$F$36</x:f>
        <x:v>23.8</x:v>
      </x:c>
      <x:c r="K228" s="119" t="n">
        <x:f>C229*Scoring!$B$36+TE!D229/Scoring!$C$36+TE!E229*Scoring!$D$36+TE!F229*Scoring!$E$36+H229*Scoring!$F$36</x:f>
        <x:v>23.8</x:v>
      </x:c>
    </x:row>
    <x:row r="229" ht="14.25" customHeight="1">
      <x:c r="B229" s="1" t="s">
        <x:v>488</x:v>
      </x:c>
      <x:c r="C229" s="1">
        <x:v>12.0</x:v>
      </x:c>
      <x:c r="D229" s="1">
        <x:v>118.0</x:v>
      </x:c>
      <x:c r="E229" s="1">
        <x:v>1.0</x:v>
      </x:c>
      <x:c r="F229" s="1">
        <x:v>0.0</x:v>
      </x:c>
      <x:c r="G229" s="1">
        <x:v>22.0</x:v>
      </x:c>
      <x:c r="H229" s="18">
        <x:f t="shared" si="1"/>
        <x:v>6.218918919</x:v>
      </x:c>
      <x:c r="I229" s="122"/>
      <x:c r="J229" s="122"/>
      <x:c r="K229" s="122"/>
    </x:row>
    <x:row r="230" ht="14.25" customHeight="1">
      <x:c r="B230" s="1" t="s">
        <x:v>489</x:v>
      </x:c>
      <x:c r="C230" s="1">
        <x:v>12.0</x:v>
      </x:c>
      <x:c r="D230" s="1">
        <x:v>118.0</x:v>
      </x:c>
      <x:c r="E230" s="1">
        <x:v>1.0</x:v>
      </x:c>
      <x:c r="F230" s="1">
        <x:v>0.0</x:v>
      </x:c>
      <x:c r="G230" s="1">
        <x:v>22.0</x:v>
      </x:c>
      <x:c r="H230" s="18">
        <x:f t="shared" si="1"/>
        <x:v>6.218918919</x:v>
      </x:c>
      <x:c r="I230" s="122"/>
      <x:c r="J230" s="122"/>
      <x:c r="K230" s="122"/>
    </x:row>
    <x:row r="231" ht="14.25" customHeight="1">
      <x:c r="A231" s="1" t="s">
        <x:v>999</x:v>
      </x:c>
      <x:c r="B231" s="1" t="s">
        <x:v>527</x:v>
      </x:c>
      <x:c r="C231" s="1">
        <x:v>11.0</x:v>
      </x:c>
      <x:c r="D231" s="1">
        <x:v>125.0</x:v>
      </x:c>
      <x:c r="E231" s="1">
        <x:v>1.0</x:v>
      </x:c>
      <x:c r="F231" s="1">
        <x:v>0.0</x:v>
      </x:c>
      <x:c r="G231" s="1">
        <x:v>29.5</x:v>
      </x:c>
      <x:c r="H231" s="18">
        <x:f t="shared" si="1"/>
        <x:v>6.587837838</x:v>
      </x:c>
      <x:c r="I231" s="119" t="n">
        <x:f>C233*Scoring!$B$36+TE!D233/Scoring!$C$36+TE!E233*Scoring!$D$36+TE!F233*Scoring!$E$36+H233*Scoring!$F$36</x:f>
        <x:v>24</x:v>
      </x:c>
      <x:c r="J231" s="119" t="n">
        <x:f>C231*Scoring!$B$36+TE!D231/Scoring!$C$36+TE!E231*Scoring!$D$36+TE!F231*Scoring!$E$36+H231*Scoring!$F$36</x:f>
        <x:v>24</x:v>
      </x:c>
      <x:c r="K231" s="119" t="n">
        <x:f>C232*Scoring!$B$36+TE!D232/Scoring!$C$36+TE!E232*Scoring!$D$36+TE!F232*Scoring!$E$36+H232*Scoring!$F$36</x:f>
        <x:v>24</x:v>
      </x:c>
    </x:row>
    <x:row r="232" ht="14.25" customHeight="1">
      <x:c r="B232" s="1" t="s">
        <x:v>488</x:v>
      </x:c>
      <x:c r="C232" s="1">
        <x:v>11.0</x:v>
      </x:c>
      <x:c r="D232" s="1">
        <x:v>125.0</x:v>
      </x:c>
      <x:c r="E232" s="1">
        <x:v>1.0</x:v>
      </x:c>
      <x:c r="F232" s="1">
        <x:v>0.0</x:v>
      </x:c>
      <x:c r="G232" s="1">
        <x:v>22.0</x:v>
      </x:c>
      <x:c r="H232" s="18">
        <x:f t="shared" si="1"/>
        <x:v>6.587837838</x:v>
      </x:c>
      <x:c r="I232" s="122"/>
      <x:c r="J232" s="122"/>
      <x:c r="K232" s="122"/>
    </x:row>
    <x:row r="233" ht="14.25" customHeight="1">
      <x:c r="B233" s="1" t="s">
        <x:v>489</x:v>
      </x:c>
      <x:c r="C233" s="1">
        <x:v>11.0</x:v>
      </x:c>
      <x:c r="D233" s="1">
        <x:v>125.0</x:v>
      </x:c>
      <x:c r="E233" s="1">
        <x:v>1.0</x:v>
      </x:c>
      <x:c r="F233" s="1">
        <x:v>0.0</x:v>
      </x:c>
      <x:c r="G233" s="1">
        <x:v>22.0</x:v>
      </x:c>
      <x:c r="H233" s="18">
        <x:f t="shared" si="1"/>
        <x:v>6.587837838</x:v>
      </x:c>
      <x:c r="I233" s="122"/>
      <x:c r="J233" s="122"/>
      <x:c r="K233" s="122"/>
    </x:row>
    <x:row r="234" ht="14.25" customHeight="1">
      <x:c r="A234" s="1" t="s">
        <x:v>1000</x:v>
      </x:c>
      <x:c r="B234" s="1" t="s">
        <x:v>499</x:v>
      </x:c>
      <x:c r="C234" s="1">
        <x:v>13.1</x:v>
      </x:c>
      <x:c r="D234" s="1">
        <x:v>110.3</x:v>
      </x:c>
      <x:c r="E234" s="1">
        <x:v>0.9</x:v>
      </x:c>
      <x:c r="F234" s="1">
        <x:v>0.1</x:v>
      </x:c>
      <x:c r="G234" s="1">
        <x:v>29.3</x:v>
      </x:c>
      <x:c r="H234" s="18">
        <x:f t="shared" si="1"/>
        <x:v>5.813108108</x:v>
      </x:c>
      <x:c r="I234" s="119" t="n">
        <x:f>C236*Scoring!$B$36+TE!D236/Scoring!$C$36+TE!E236*Scoring!$D$36+TE!F236*Scoring!$E$36+H236*Scoring!$F$36</x:f>
        <x:v>22.879999999999995</x:v>
      </x:c>
      <x:c r="J234" s="119" t="n">
        <x:f>C234*Scoring!$B$36+TE!D234/Scoring!$C$36+TE!E234*Scoring!$D$36+TE!F234*Scoring!$E$36+H234*Scoring!$F$36</x:f>
        <x:v>22.879999999999995</x:v>
      </x:c>
      <x:c r="K234" s="119" t="n">
        <x:f>C235*Scoring!$B$36+TE!D235/Scoring!$C$36+TE!E235*Scoring!$D$36+TE!F235*Scoring!$E$36+H235*Scoring!$F$36</x:f>
        <x:v>22.879999999999995</x:v>
      </x:c>
    </x:row>
    <x:row r="235" ht="14.25" customHeight="1">
      <x:c r="B235" s="1" t="s">
        <x:v>488</x:v>
      </x:c>
      <x:c r="C235" s="1">
        <x:v>13.1</x:v>
      </x:c>
      <x:c r="D235" s="1">
        <x:v>110.3</x:v>
      </x:c>
      <x:c r="E235" s="1">
        <x:v>0.9</x:v>
      </x:c>
      <x:c r="F235" s="1">
        <x:v>0.1</x:v>
      </x:c>
      <x:c r="G235" s="1">
        <x:v>29.4</x:v>
      </x:c>
      <x:c r="H235" s="18">
        <x:f t="shared" si="1"/>
        <x:v>5.813108108</x:v>
      </x:c>
      <x:c r="I235" s="122"/>
      <x:c r="J235" s="122"/>
      <x:c r="K235" s="122"/>
    </x:row>
    <x:row r="236" ht="14.25" customHeight="1">
      <x:c r="B236" s="1" t="s">
        <x:v>489</x:v>
      </x:c>
      <x:c r="C236" s="1">
        <x:v>13.1</x:v>
      </x:c>
      <x:c r="D236" s="1">
        <x:v>110.3</x:v>
      </x:c>
      <x:c r="E236" s="1">
        <x:v>0.9</x:v>
      </x:c>
      <x:c r="F236" s="1">
        <x:v>0.1</x:v>
      </x:c>
      <x:c r="G236" s="1">
        <x:v>29.4</x:v>
      </x:c>
      <x:c r="H236" s="18">
        <x:f t="shared" si="1"/>
        <x:v>5.813108108</x:v>
      </x:c>
      <x:c r="I236" s="122"/>
      <x:c r="J236" s="122"/>
      <x:c r="K236" s="122"/>
    </x:row>
    <x:row r="237" ht="14.25" customHeight="1">
      <x:c r="A237" s="1" t="s">
        <x:v>1001</x:v>
      </x:c>
      <x:c r="B237" s="1" t="s">
        <x:v>499</x:v>
      </x:c>
      <x:c r="C237" s="1">
        <x:v>13.0</x:v>
      </x:c>
      <x:c r="D237" s="1">
        <x:v>100.0</x:v>
      </x:c>
      <x:c r="E237" s="1">
        <x:v>1.0</x:v>
      </x:c>
      <x:c r="F237" s="1">
        <x:v>0.0</x:v>
      </x:c>
      <x:c r="G237" s="1">
        <x:v>29.0</x:v>
      </x:c>
      <x:c r="H237" s="18">
        <x:f t="shared" si="1"/>
        <x:v>5.27027027</x:v>
      </x:c>
      <x:c r="I237" s="119" t="n">
        <x:f>C239*Scoring!$B$36+TE!D239/Scoring!$C$36+TE!E239*Scoring!$D$36+TE!F239*Scoring!$E$36+H239*Scoring!$F$36</x:f>
        <x:v>22.5</x:v>
      </x:c>
      <x:c r="J237" s="119" t="n">
        <x:f>C237*Scoring!$B$36+TE!D237/Scoring!$C$36+TE!E237*Scoring!$D$36+TE!F237*Scoring!$E$36+H237*Scoring!$F$36</x:f>
        <x:v>22.5</x:v>
      </x:c>
      <x:c r="K237" s="119" t="n">
        <x:f>C238*Scoring!$B$36+TE!D238/Scoring!$C$36+TE!E238*Scoring!$D$36+TE!F238*Scoring!$E$36+H238*Scoring!$F$36</x:f>
        <x:v>22.5</x:v>
      </x:c>
    </x:row>
    <x:row r="238" ht="14.25" customHeight="1">
      <x:c r="B238" s="1" t="s">
        <x:v>488</x:v>
      </x:c>
      <x:c r="C238" s="1">
        <x:v>13.0</x:v>
      </x:c>
      <x:c r="D238" s="1">
        <x:v>100.0</x:v>
      </x:c>
      <x:c r="E238" s="1">
        <x:v>1.0</x:v>
      </x:c>
      <x:c r="F238" s="1">
        <x:v>0.0</x:v>
      </x:c>
      <x:c r="G238" s="1">
        <x:v>23.0</x:v>
      </x:c>
      <x:c r="H238" s="18">
        <x:f t="shared" si="1"/>
        <x:v>5.27027027</x:v>
      </x:c>
      <x:c r="I238" s="122"/>
      <x:c r="J238" s="122"/>
      <x:c r="K238" s="122"/>
    </x:row>
    <x:row r="239" ht="14.25" customHeight="1">
      <x:c r="B239" s="1" t="s">
        <x:v>489</x:v>
      </x:c>
      <x:c r="C239" s="1">
        <x:v>13.0</x:v>
      </x:c>
      <x:c r="D239" s="1">
        <x:v>100.0</x:v>
      </x:c>
      <x:c r="E239" s="1">
        <x:v>1.0</x:v>
      </x:c>
      <x:c r="F239" s="1">
        <x:v>0.0</x:v>
      </x:c>
      <x:c r="G239" s="1">
        <x:v>23.0</x:v>
      </x:c>
      <x:c r="H239" s="18">
        <x:f t="shared" si="1"/>
        <x:v>5.27027027</x:v>
      </x:c>
      <x:c r="I239" s="122"/>
      <x:c r="J239" s="122"/>
      <x:c r="K239" s="122"/>
    </x:row>
    <x:row r="240" ht="14.25" customHeight="1">
      <x:c r="A240" s="1" t="s">
        <x:v>1002</x:v>
      </x:c>
      <x:c r="B240" s="1" t="s">
        <x:v>497</x:v>
      </x:c>
      <x:c r="C240" s="1">
        <x:v>11.0</x:v>
      </x:c>
      <x:c r="D240" s="1">
        <x:v>115.0</x:v>
      </x:c>
      <x:c r="E240" s="1">
        <x:v>1.0</x:v>
      </x:c>
      <x:c r="F240" s="1">
        <x:v>0.0</x:v>
      </x:c>
      <x:c r="G240" s="1">
        <x:v>28.5</x:v>
      </x:c>
      <x:c r="H240" s="18">
        <x:f t="shared" si="1"/>
        <x:v>6.060810811</x:v>
      </x:c>
      <x:c r="I240" s="119" t="n">
        <x:f>C242*Scoring!$B$36+TE!D242/Scoring!$C$36+TE!E242*Scoring!$D$36+TE!F242*Scoring!$E$36+H242*Scoring!$F$36</x:f>
        <x:v>0</x:v>
      </x:c>
      <x:c r="J240" s="119" t="n">
        <x:f>C240*Scoring!$B$36+TE!D240/Scoring!$C$36+TE!E240*Scoring!$D$36+TE!F240*Scoring!$E$36+H240*Scoring!$F$36</x:f>
        <x:v>23</x:v>
      </x:c>
      <x:c r="K240" s="119" t="n">
        <x:f>C241*Scoring!$B$36+TE!D241/Scoring!$C$36+TE!E241*Scoring!$D$36+TE!F241*Scoring!$E$36+H241*Scoring!$F$36</x:f>
        <x:v>46</x:v>
      </x:c>
    </x:row>
    <x:row r="241" ht="14.25" customHeight="1">
      <x:c r="B241" s="1" t="s">
        <x:v>488</x:v>
      </x:c>
      <x:c r="C241" s="1">
        <x:v>22.0</x:v>
      </x:c>
      <x:c r="D241" s="1">
        <x:v>230.0</x:v>
      </x:c>
      <x:c r="E241" s="1">
        <x:v>2.0</x:v>
      </x:c>
      <x:c r="F241" s="1">
        <x:v>0.0</x:v>
      </x:c>
      <x:c r="G241" s="1">
        <x:v>38.0</x:v>
      </x:c>
      <x:c r="H241" s="18">
        <x:f t="shared" si="1"/>
        <x:v>12.12162162</x:v>
      </x:c>
      <x:c r="I241" s="122"/>
      <x:c r="J241" s="122"/>
      <x:c r="K241" s="122"/>
    </x:row>
    <x:row r="242" ht="14.25" customHeight="1">
      <x:c r="B242" s="1" t="s">
        <x:v>489</x:v>
      </x:c>
      <x:c r="C242" s="1">
        <x:v>0.0</x:v>
      </x:c>
      <x:c r="D242" s="1">
        <x:v>0.0</x:v>
      </x:c>
      <x:c r="E242" s="1">
        <x:v>0.0</x:v>
      </x:c>
      <x:c r="F242" s="1">
        <x:v>0.0</x:v>
      </x:c>
      <x:c r="G242" s="1">
        <x:v>11.0</x:v>
      </x:c>
      <x:c r="H242" s="18">
        <x:f t="shared" si="1"/>
        <x:v>0</x:v>
      </x:c>
      <x:c r="I242" s="122"/>
      <x:c r="J242" s="122"/>
      <x:c r="K242" s="122"/>
    </x:row>
    <x:row r="243" ht="14.25" customHeight="1">
      <x:c r="A243" s="1" t="s">
        <x:v>1003</x:v>
      </x:c>
      <x:c r="B243" s="1" t="s">
        <x:v>515</x:v>
      </x:c>
      <x:c r="C243" s="1">
        <x:v>12.0</x:v>
      </x:c>
      <x:c r="D243" s="1">
        <x:v>105.0</x:v>
      </x:c>
      <x:c r="E243" s="1">
        <x:v>1.0</x:v>
      </x:c>
      <x:c r="F243" s="1">
        <x:v>0.0</x:v>
      </x:c>
      <x:c r="G243" s="1">
        <x:v>28.5</x:v>
      </x:c>
      <x:c r="H243" s="18">
        <x:f t="shared" si="1"/>
        <x:v>5.533783784</x:v>
      </x:c>
      <x:c r="I243" s="119" t="n">
        <x:f>C245*Scoring!$B$36+TE!D245/Scoring!$C$36+TE!E245*Scoring!$D$36+TE!F245*Scoring!$E$36+H245*Scoring!$F$36</x:f>
        <x:v>22.5</x:v>
      </x:c>
      <x:c r="J243" s="119" t="n">
        <x:f>C243*Scoring!$B$36+TE!D243/Scoring!$C$36+TE!E243*Scoring!$D$36+TE!F243*Scoring!$E$36+H243*Scoring!$F$36</x:f>
        <x:v>22.5</x:v>
      </x:c>
      <x:c r="K243" s="119" t="n">
        <x:f>C244*Scoring!$B$36+TE!D244/Scoring!$C$36+TE!E244*Scoring!$D$36+TE!F244*Scoring!$E$36+H244*Scoring!$F$36</x:f>
        <x:v>22.5</x:v>
      </x:c>
    </x:row>
    <x:row r="244" ht="14.25" customHeight="1">
      <x:c r="B244" s="1" t="s">
        <x:v>488</x:v>
      </x:c>
      <x:c r="C244" s="1">
        <x:v>12.0</x:v>
      </x:c>
      <x:c r="D244" s="1">
        <x:v>105.0</x:v>
      </x:c>
      <x:c r="E244" s="1">
        <x:v>1.0</x:v>
      </x:c>
      <x:c r="F244" s="1">
        <x:v>0.0</x:v>
      </x:c>
      <x:c r="G244" s="1">
        <x:v>22.0</x:v>
      </x:c>
      <x:c r="H244" s="18">
        <x:f t="shared" si="1"/>
        <x:v>5.533783784</x:v>
      </x:c>
      <x:c r="I244" s="122"/>
      <x:c r="J244" s="122"/>
      <x:c r="K244" s="122"/>
    </x:row>
    <x:row r="245" ht="14.25" customHeight="1">
      <x:c r="B245" s="1" t="s">
        <x:v>489</x:v>
      </x:c>
      <x:c r="C245" s="1">
        <x:v>12.0</x:v>
      </x:c>
      <x:c r="D245" s="1">
        <x:v>105.0</x:v>
      </x:c>
      <x:c r="E245" s="1">
        <x:v>1.0</x:v>
      </x:c>
      <x:c r="F245" s="1">
        <x:v>0.0</x:v>
      </x:c>
      <x:c r="G245" s="1">
        <x:v>22.0</x:v>
      </x:c>
      <x:c r="H245" s="18">
        <x:f t="shared" si="1"/>
        <x:v>5.533783784</x:v>
      </x:c>
      <x:c r="I245" s="122"/>
      <x:c r="J245" s="122"/>
      <x:c r="K245" s="122"/>
    </x:row>
    <x:row r="246" ht="14.25" customHeight="1">
      <x:c r="A246" s="1" t="s">
        <x:v>1004</x:v>
      </x:c>
      <x:c r="B246" s="1" t="s">
        <x:v>551</x:v>
      </x:c>
      <x:c r="C246" s="1">
        <x:v>13.5</x:v>
      </x:c>
      <x:c r="D246" s="1">
        <x:v>114.4</x:v>
      </x:c>
      <x:c r="E246" s="1">
        <x:v>0.6</x:v>
      </x:c>
      <x:c r="F246" s="1">
        <x:v>0.0</x:v>
      </x:c>
      <x:c r="G246" s="1">
        <x:v>28.4</x:v>
      </x:c>
      <x:c r="H246" s="18">
        <x:f t="shared" si="1"/>
        <x:v>6.029189189</x:v>
      </x:c>
      <x:c r="I246" s="119" t="n">
        <x:f>C248*Scoring!$B$36+TE!D248/Scoring!$C$36+TE!E248*Scoring!$D$36+TE!F248*Scoring!$E$36+H248*Scoring!$F$36</x:f>
        <x:v>6.420000000000001</x:v>
      </x:c>
      <x:c r="J246" s="119" t="n">
        <x:f>C246*Scoring!$B$36+TE!D246/Scoring!$C$36+TE!E246*Scoring!$D$36+TE!F246*Scoring!$E$36+H246*Scoring!$F$36</x:f>
        <x:v>21.79</x:v>
      </x:c>
      <x:c r="K246" s="119" t="n">
        <x:f>C247*Scoring!$B$36+TE!D247/Scoring!$C$36+TE!E247*Scoring!$D$36+TE!F247*Scoring!$E$36+H247*Scoring!$F$36</x:f>
        <x:v>37.1</x:v>
      </x:c>
    </x:row>
    <x:row r="247" ht="14.25" customHeight="1">
      <x:c r="B247" s="1" t="s">
        <x:v>488</x:v>
      </x:c>
      <x:c r="C247" s="1">
        <x:v>23.0</x:v>
      </x:c>
      <x:c r="D247" s="1">
        <x:v>196.0</x:v>
      </x:c>
      <x:c r="E247" s="1">
        <x:v>1.0</x:v>
      </x:c>
      <x:c r="F247" s="1">
        <x:v>0.0</x:v>
      </x:c>
      <x:c r="G247" s="1">
        <x:v>31.5</x:v>
      </x:c>
      <x:c r="H247" s="18">
        <x:f t="shared" si="1"/>
        <x:v>10.32972973</x:v>
      </x:c>
      <x:c r="I247" s="122"/>
      <x:c r="J247" s="122"/>
      <x:c r="K247" s="122"/>
    </x:row>
    <x:row r="248" ht="14.25" customHeight="1">
      <x:c r="B248" s="1" t="s">
        <x:v>489</x:v>
      </x:c>
      <x:c r="C248" s="1">
        <x:v>3.9</x:v>
      </x:c>
      <x:c r="D248" s="1">
        <x:v>32.7</x:v>
      </x:c>
      <x:c r="E248" s="1">
        <x:v>0.2</x:v>
      </x:c>
      <x:c r="F248" s="1">
        <x:v>0.0</x:v>
      </x:c>
      <x:c r="G248" s="1">
        <x:v>17.8</x:v>
      </x:c>
      <x:c r="H248" s="18">
        <x:f t="shared" si="1"/>
        <x:v>1.723378378</x:v>
      </x:c>
      <x:c r="I248" s="122"/>
      <x:c r="J248" s="122"/>
      <x:c r="K248" s="122"/>
    </x:row>
    <x:row r="249" ht="14.25" customHeight="1">
      <x:c r="A249" s="1" t="s">
        <x:v>1005</x:v>
      </x:c>
      <x:c r="B249" s="1" t="s">
        <x:v>523</x:v>
      </x:c>
      <x:c r="C249" s="1">
        <x:v>11.0</x:v>
      </x:c>
      <x:c r="D249" s="1">
        <x:v>113.0</x:v>
      </x:c>
      <x:c r="E249" s="1">
        <x:v>1.0</x:v>
      </x:c>
      <x:c r="F249" s="1">
        <x:v>0.0</x:v>
      </x:c>
      <x:c r="G249" s="1">
        <x:v>28.3</x:v>
      </x:c>
      <x:c r="H249" s="18">
        <x:f t="shared" si="1"/>
        <x:v>5.955405405</x:v>
      </x:c>
      <x:c r="I249" s="119" t="n">
        <x:f>C251*Scoring!$B$36+TE!D251/Scoring!$C$36+TE!E251*Scoring!$D$36+TE!F251*Scoring!$E$36+H251*Scoring!$F$36</x:f>
        <x:v>22.8</x:v>
      </x:c>
      <x:c r="J249" s="119" t="n">
        <x:f>C249*Scoring!$B$36+TE!D249/Scoring!$C$36+TE!E249*Scoring!$D$36+TE!F249*Scoring!$E$36+H249*Scoring!$F$36</x:f>
        <x:v>22.8</x:v>
      </x:c>
      <x:c r="K249" s="119" t="n">
        <x:f>C250*Scoring!$B$36+TE!D250/Scoring!$C$36+TE!E250*Scoring!$D$36+TE!F250*Scoring!$E$36+H250*Scoring!$F$36</x:f>
        <x:v>22.8</x:v>
      </x:c>
    </x:row>
    <x:row r="250" ht="14.25" customHeight="1">
      <x:c r="B250" s="1" t="s">
        <x:v>488</x:v>
      </x:c>
      <x:c r="C250" s="1">
        <x:v>11.0</x:v>
      </x:c>
      <x:c r="D250" s="1">
        <x:v>113.0</x:v>
      </x:c>
      <x:c r="E250" s="1">
        <x:v>1.0</x:v>
      </x:c>
      <x:c r="F250" s="1">
        <x:v>0.0</x:v>
      </x:c>
      <x:c r="G250" s="1">
        <x:v>21.0</x:v>
      </x:c>
      <x:c r="H250" s="18">
        <x:f t="shared" si="1"/>
        <x:v>5.955405405</x:v>
      </x:c>
      <x:c r="I250" s="122"/>
      <x:c r="J250" s="122"/>
      <x:c r="K250" s="122"/>
    </x:row>
    <x:row r="251" ht="14.25" customHeight="1">
      <x:c r="B251" s="1" t="s">
        <x:v>489</x:v>
      </x:c>
      <x:c r="C251" s="1">
        <x:v>11.0</x:v>
      </x:c>
      <x:c r="D251" s="1">
        <x:v>113.0</x:v>
      </x:c>
      <x:c r="E251" s="1">
        <x:v>1.0</x:v>
      </x:c>
      <x:c r="F251" s="1">
        <x:v>0.0</x:v>
      </x:c>
      <x:c r="G251" s="1">
        <x:v>21.0</x:v>
      </x:c>
      <x:c r="H251" s="18">
        <x:f t="shared" si="1"/>
        <x:v>5.955405405</x:v>
      </x:c>
      <x:c r="I251" s="122"/>
      <x:c r="J251" s="122"/>
      <x:c r="K251" s="122"/>
    </x:row>
    <x:row r="252" ht="14.25" customHeight="1">
      <x:c r="A252" s="1" t="s">
        <x:v>1006</x:v>
      </x:c>
      <x:c r="B252" s="1" t="s">
        <x:v>521</x:v>
      </x:c>
      <x:c r="C252" s="1">
        <x:v>11.0</x:v>
      </x:c>
      <x:c r="D252" s="1">
        <x:v>108.0</x:v>
      </x:c>
      <x:c r="E252" s="1">
        <x:v>1.0</x:v>
      </x:c>
      <x:c r="F252" s="1">
        <x:v>0.0</x:v>
      </x:c>
      <x:c r="G252" s="1">
        <x:v>27.8</x:v>
      </x:c>
      <x:c r="H252" s="18">
        <x:f t="shared" si="1"/>
        <x:v>5.691891892</x:v>
      </x:c>
      <x:c r="I252" s="119" t="n">
        <x:f>C254*Scoring!$B$36+TE!D254/Scoring!$C$36+TE!E254*Scoring!$D$36+TE!F254*Scoring!$E$36+H254*Scoring!$F$36</x:f>
        <x:v>22.3</x:v>
      </x:c>
      <x:c r="J252" s="119" t="n">
        <x:f>C252*Scoring!$B$36+TE!D252/Scoring!$C$36+TE!E252*Scoring!$D$36+TE!F252*Scoring!$E$36+H252*Scoring!$F$36</x:f>
        <x:v>22.3</x:v>
      </x:c>
      <x:c r="K252" s="119" t="n">
        <x:f>C253*Scoring!$B$36+TE!D253/Scoring!$C$36+TE!E253*Scoring!$D$36+TE!F253*Scoring!$E$36+H253*Scoring!$F$36</x:f>
        <x:v>22.3</x:v>
      </x:c>
    </x:row>
    <x:row r="253" ht="14.25" customHeight="1">
      <x:c r="B253" s="1" t="s">
        <x:v>488</x:v>
      </x:c>
      <x:c r="C253" s="1">
        <x:v>11.0</x:v>
      </x:c>
      <x:c r="D253" s="1">
        <x:v>108.0</x:v>
      </x:c>
      <x:c r="E253" s="1">
        <x:v>1.0</x:v>
      </x:c>
      <x:c r="F253" s="1">
        <x:v>0.0</x:v>
      </x:c>
      <x:c r="G253" s="1">
        <x:v>21.0</x:v>
      </x:c>
      <x:c r="H253" s="18">
        <x:f t="shared" si="1"/>
        <x:v>5.691891892</x:v>
      </x:c>
      <x:c r="I253" s="122"/>
      <x:c r="J253" s="122"/>
      <x:c r="K253" s="122"/>
    </x:row>
    <x:row r="254" ht="14.25" customHeight="1">
      <x:c r="B254" s="1" t="s">
        <x:v>489</x:v>
      </x:c>
      <x:c r="C254" s="1">
        <x:v>11.0</x:v>
      </x:c>
      <x:c r="D254" s="1">
        <x:v>108.0</x:v>
      </x:c>
      <x:c r="E254" s="1">
        <x:v>1.0</x:v>
      </x:c>
      <x:c r="F254" s="1">
        <x:v>0.0</x:v>
      </x:c>
      <x:c r="G254" s="1">
        <x:v>21.0</x:v>
      </x:c>
      <x:c r="H254" s="18">
        <x:f t="shared" si="1"/>
        <x:v>5.691891892</x:v>
      </x:c>
      <x:c r="I254" s="122"/>
      <x:c r="J254" s="122"/>
      <x:c r="K254" s="122"/>
    </x:row>
    <x:row r="255" ht="14.25" customHeight="1">
      <x:c r="A255" s="1" t="s">
        <x:v>1007</x:v>
      </x:c>
      <x:c r="B255" s="1" t="s">
        <x:v>535</x:v>
      </x:c>
      <x:c r="C255" s="1">
        <x:v>9.3</x:v>
      </x:c>
      <x:c r="D255" s="1">
        <x:v>105.5</x:v>
      </x:c>
      <x:c r="E255" s="1">
        <x:v>1.3</x:v>
      </x:c>
      <x:c r="F255" s="1">
        <x:v>0.0</x:v>
      </x:c>
      <x:c r="G255" s="1">
        <x:v>27.6</x:v>
      </x:c>
      <x:c r="H255" s="18">
        <x:f t="shared" si="1"/>
        <x:v>5.560135135</x:v>
      </x:c>
      <x:c r="I255" s="119" t="n">
        <x:f>C257*Scoring!$B$36+TE!D257/Scoring!$C$36+TE!E257*Scoring!$D$36+TE!F257*Scoring!$E$36+H257*Scoring!$F$36</x:f>
        <x:v>15.25</x:v>
      </x:c>
      <x:c r="J255" s="119" t="n">
        <x:f>C255*Scoring!$B$36+TE!D255/Scoring!$C$36+TE!E255*Scoring!$D$36+TE!F255*Scoring!$E$36+H255*Scoring!$F$36</x:f>
        <x:v>23</x:v>
      </x:c>
      <x:c r="K255" s="119" t="n">
        <x:f>C256*Scoring!$B$36+TE!D256/Scoring!$C$36+TE!E256*Scoring!$D$36+TE!F256*Scoring!$E$36+H256*Scoring!$F$36</x:f>
        <x:v>30.7</x:v>
      </x:c>
    </x:row>
    <x:row r="256" ht="14.25" customHeight="1">
      <x:c r="B256" s="1" t="s">
        <x:v>488</x:v>
      </x:c>
      <x:c r="C256" s="1">
        <x:v>11.0</x:v>
      </x:c>
      <x:c r="D256" s="1">
        <x:v>132.0</x:v>
      </x:c>
      <x:c r="E256" s="1">
        <x:v>2.0</x:v>
      </x:c>
      <x:c r="F256" s="1">
        <x:v>0.0</x:v>
      </x:c>
      <x:c r="G256" s="1">
        <x:v>26.3</x:v>
      </x:c>
      <x:c r="H256" s="18">
        <x:f t="shared" si="1"/>
        <x:v>6.956756757</x:v>
      </x:c>
      <x:c r="I256" s="122"/>
      <x:c r="J256" s="122"/>
      <x:c r="K256" s="122"/>
    </x:row>
    <x:row r="257" ht="14.25" customHeight="1">
      <x:c r="B257" s="1" t="s">
        <x:v>489</x:v>
      </x:c>
      <x:c r="C257" s="1">
        <x:v>7.7</x:v>
      </x:c>
      <x:c r="D257" s="1">
        <x:v>79.0</x:v>
      </x:c>
      <x:c r="E257" s="1">
        <x:v>0.6</x:v>
      </x:c>
      <x:c r="F257" s="1">
        <x:v>0.1</x:v>
      </x:c>
      <x:c r="G257" s="1">
        <x:v>20.7</x:v>
      </x:c>
      <x:c r="H257" s="18">
        <x:f t="shared" si="1"/>
        <x:v>4.163513514</x:v>
      </x:c>
      <x:c r="I257" s="122"/>
      <x:c r="J257" s="122"/>
      <x:c r="K257" s="122"/>
    </x:row>
    <x:row r="258" ht="14.25" customHeight="1">
      <x:c r="A258" s="1" t="s">
        <x:v>1008</x:v>
      </x:c>
      <x:c r="B258" s="1" t="s">
        <x:v>527</x:v>
      </x:c>
      <x:c r="C258" s="1">
        <x:v>10.7</x:v>
      </x:c>
      <x:c r="D258" s="1">
        <x:v>113.9</x:v>
      </x:c>
      <x:c r="E258" s="1">
        <x:v>0.9</x:v>
      </x:c>
      <x:c r="F258" s="1">
        <x:v>0.1</x:v>
      </x:c>
      <x:c r="G258" s="1">
        <x:v>27.4</x:v>
      </x:c>
      <x:c r="H258" s="18">
        <x:f t="shared" si="1"/>
        <x:v>6.002837838</x:v>
      </x:c>
      <x:c r="I258" s="119" t="n">
        <x:f>C260*Scoring!$B$36+TE!D260/Scoring!$C$36+TE!E260*Scoring!$D$36+TE!F260*Scoring!$E$36+H260*Scoring!$F$36</x:f>
        <x:v>22.04</x:v>
      </x:c>
      <x:c r="J258" s="119" t="n">
        <x:f>C258*Scoring!$B$36+TE!D258/Scoring!$C$36+TE!E258*Scoring!$D$36+TE!F258*Scoring!$E$36+H258*Scoring!$F$36</x:f>
        <x:v>22.04</x:v>
      </x:c>
      <x:c r="K258" s="119" t="n">
        <x:f>C259*Scoring!$B$36+TE!D259/Scoring!$C$36+TE!E259*Scoring!$D$36+TE!F259*Scoring!$E$36+H259*Scoring!$F$36</x:f>
        <x:v>22.04</x:v>
      </x:c>
    </x:row>
    <x:row r="259" ht="14.25" customHeight="1">
      <x:c r="B259" s="1" t="s">
        <x:v>488</x:v>
      </x:c>
      <x:c r="C259" s="1">
        <x:v>10.7</x:v>
      </x:c>
      <x:c r="D259" s="1">
        <x:v>113.9</x:v>
      </x:c>
      <x:c r="E259" s="1">
        <x:v>0.9</x:v>
      </x:c>
      <x:c r="F259" s="1">
        <x:v>0.1</x:v>
      </x:c>
      <x:c r="G259" s="1">
        <x:v>27.6</x:v>
      </x:c>
      <x:c r="H259" s="18">
        <x:f t="shared" si="1"/>
        <x:v>6.002837838</x:v>
      </x:c>
      <x:c r="I259" s="122"/>
      <x:c r="J259" s="122"/>
      <x:c r="K259" s="122"/>
    </x:row>
    <x:row r="260" ht="14.25" customHeight="1">
      <x:c r="B260" s="1" t="s">
        <x:v>489</x:v>
      </x:c>
      <x:c r="C260" s="1">
        <x:v>10.7</x:v>
      </x:c>
      <x:c r="D260" s="1">
        <x:v>113.9</x:v>
      </x:c>
      <x:c r="E260" s="1">
        <x:v>0.9</x:v>
      </x:c>
      <x:c r="F260" s="1">
        <x:v>0.1</x:v>
      </x:c>
      <x:c r="G260" s="1">
        <x:v>27.6</x:v>
      </x:c>
      <x:c r="H260" s="18">
        <x:f t="shared" si="1"/>
        <x:v>6.002837838</x:v>
      </x:c>
      <x:c r="I260" s="122"/>
      <x:c r="J260" s="122"/>
      <x:c r="K260" s="122"/>
    </x:row>
    <x:row r="261" ht="14.25" customHeight="1">
      <x:c r="A261" s="1" t="s">
        <x:v>1009</x:v>
      </x:c>
      <x:c r="B261" s="1" t="s">
        <x:v>501</x:v>
      </x:c>
      <x:c r="C261" s="1">
        <x:v>10.0</x:v>
      </x:c>
      <x:c r="D261" s="1">
        <x:v>113.0</x:v>
      </x:c>
      <x:c r="E261" s="1">
        <x:v>1.0</x:v>
      </x:c>
      <x:c r="F261" s="1">
        <x:v>0.0</x:v>
      </x:c>
      <x:c r="G261" s="1">
        <x:v>27.3</x:v>
      </x:c>
      <x:c r="H261" s="18">
        <x:f t="shared" si="1"/>
        <x:v>5.955405405</x:v>
      </x:c>
      <x:c r="I261" s="119" t="n">
        <x:f>C263*Scoring!$B$36+TE!D263/Scoring!$C$36+TE!E263*Scoring!$D$36+TE!F263*Scoring!$E$36+H263*Scoring!$F$36</x:f>
        <x:v>22.3</x:v>
      </x:c>
      <x:c r="J261" s="119" t="n">
        <x:f>C261*Scoring!$B$36+TE!D261/Scoring!$C$36+TE!E261*Scoring!$D$36+TE!F261*Scoring!$E$36+H261*Scoring!$F$36</x:f>
        <x:v>22.3</x:v>
      </x:c>
      <x:c r="K261" s="119" t="n">
        <x:f>C262*Scoring!$B$36+TE!D262/Scoring!$C$36+TE!E262*Scoring!$D$36+TE!F262*Scoring!$E$36+H262*Scoring!$F$36</x:f>
        <x:v>22.3</x:v>
      </x:c>
    </x:row>
    <x:row r="262" ht="14.25" customHeight="1">
      <x:c r="B262" s="1" t="s">
        <x:v>488</x:v>
      </x:c>
      <x:c r="C262" s="1">
        <x:v>10.0</x:v>
      </x:c>
      <x:c r="D262" s="1">
        <x:v>113.0</x:v>
      </x:c>
      <x:c r="E262" s="1">
        <x:v>1.0</x:v>
      </x:c>
      <x:c r="F262" s="1">
        <x:v>0.0</x:v>
      </x:c>
      <x:c r="G262" s="1">
        <x:v>20.0</x:v>
      </x:c>
      <x:c r="H262" s="18">
        <x:f t="shared" si="1"/>
        <x:v>5.955405405</x:v>
      </x:c>
      <x:c r="I262" s="122"/>
      <x:c r="J262" s="122"/>
      <x:c r="K262" s="122"/>
    </x:row>
    <x:row r="263" ht="14.25" customHeight="1">
      <x:c r="B263" s="1" t="s">
        <x:v>489</x:v>
      </x:c>
      <x:c r="C263" s="1">
        <x:v>10.0</x:v>
      </x:c>
      <x:c r="D263" s="1">
        <x:v>113.0</x:v>
      </x:c>
      <x:c r="E263" s="1">
        <x:v>1.0</x:v>
      </x:c>
      <x:c r="F263" s="1">
        <x:v>0.0</x:v>
      </x:c>
      <x:c r="G263" s="1">
        <x:v>20.0</x:v>
      </x:c>
      <x:c r="H263" s="18">
        <x:f t="shared" si="1"/>
        <x:v>5.955405405</x:v>
      </x:c>
      <x:c r="I263" s="122"/>
      <x:c r="J263" s="122"/>
      <x:c r="K263" s="122"/>
    </x:row>
    <x:row r="264" ht="14.25" customHeight="1">
      <x:c r="A264" s="1" t="s">
        <x:v>1010</x:v>
      </x:c>
      <x:c r="B264" s="1" t="s">
        <x:v>545</x:v>
      </x:c>
      <x:c r="C264" s="1">
        <x:v>10.0</x:v>
      </x:c>
      <x:c r="D264" s="1">
        <x:v>98.0</x:v>
      </x:c>
      <x:c r="E264" s="1">
        <x:v>1.0</x:v>
      </x:c>
      <x:c r="F264" s="1">
        <x:v>0.0</x:v>
      </x:c>
      <x:c r="G264" s="1">
        <x:v>25.8</x:v>
      </x:c>
      <x:c r="H264" s="18">
        <x:f t="shared" si="1"/>
        <x:v>5.164864865</x:v>
      </x:c>
      <x:c r="I264" s="119" t="n">
        <x:f>C266*Scoring!$B$36+TE!D266/Scoring!$C$36+TE!E266*Scoring!$D$36+TE!F266*Scoring!$E$36+H266*Scoring!$F$36</x:f>
        <x:v>20.8</x:v>
      </x:c>
      <x:c r="J264" s="119" t="n">
        <x:f>C264*Scoring!$B$36+TE!D264/Scoring!$C$36+TE!E264*Scoring!$D$36+TE!F264*Scoring!$E$36+H264*Scoring!$F$36</x:f>
        <x:v>20.8</x:v>
      </x:c>
      <x:c r="K264" s="119" t="n">
        <x:f>C265*Scoring!$B$36+TE!D265/Scoring!$C$36+TE!E265*Scoring!$D$36+TE!F265*Scoring!$E$36+H265*Scoring!$F$36</x:f>
        <x:v>20.8</x:v>
      </x:c>
    </x:row>
    <x:row r="265" ht="14.25" customHeight="1">
      <x:c r="B265" s="1" t="s">
        <x:v>488</x:v>
      </x:c>
      <x:c r="C265" s="1">
        <x:v>10.0</x:v>
      </x:c>
      <x:c r="D265" s="1">
        <x:v>98.0</x:v>
      </x:c>
      <x:c r="E265" s="1">
        <x:v>1.0</x:v>
      </x:c>
      <x:c r="F265" s="1">
        <x:v>0.0</x:v>
      </x:c>
      <x:c r="G265" s="1">
        <x:v>20.0</x:v>
      </x:c>
      <x:c r="H265" s="18">
        <x:f t="shared" si="1"/>
        <x:v>5.164864865</x:v>
      </x:c>
      <x:c r="I265" s="122"/>
      <x:c r="J265" s="122"/>
      <x:c r="K265" s="122"/>
    </x:row>
    <x:row r="266" ht="14.25" customHeight="1">
      <x:c r="B266" s="1" t="s">
        <x:v>489</x:v>
      </x:c>
      <x:c r="C266" s="1">
        <x:v>10.0</x:v>
      </x:c>
      <x:c r="D266" s="1">
        <x:v>98.0</x:v>
      </x:c>
      <x:c r="E266" s="1">
        <x:v>1.0</x:v>
      </x:c>
      <x:c r="F266" s="1">
        <x:v>0.0</x:v>
      </x:c>
      <x:c r="G266" s="1">
        <x:v>20.0</x:v>
      </x:c>
      <x:c r="H266" s="18">
        <x:f t="shared" si="1"/>
        <x:v>5.164864865</x:v>
      </x:c>
      <x:c r="I266" s="122"/>
      <x:c r="J266" s="122"/>
      <x:c r="K266" s="122"/>
    </x:row>
    <x:row r="267" ht="14.25" customHeight="1">
      <x:c r="A267" s="1" t="s">
        <x:v>1011</x:v>
      </x:c>
      <x:c r="B267" s="1" t="s">
        <x:v>531</x:v>
      </x:c>
      <x:c r="C267" s="1">
        <x:v>10.0</x:v>
      </x:c>
      <x:c r="D267" s="1">
        <x:v>95.0</x:v>
      </x:c>
      <x:c r="E267" s="1">
        <x:v>1.0</x:v>
      </x:c>
      <x:c r="F267" s="1">
        <x:v>0.0</x:v>
      </x:c>
      <x:c r="G267" s="1">
        <x:v>25.5</x:v>
      </x:c>
      <x:c r="H267" s="18">
        <x:f t="shared" si="1"/>
        <x:v>5.006756757</x:v>
      </x:c>
      <x:c r="I267" s="119" t="n">
        <x:f>C269*Scoring!$B$36+TE!D269/Scoring!$C$36+TE!E269*Scoring!$D$36+TE!F269*Scoring!$E$36+H269*Scoring!$F$36</x:f>
        <x:v>20.5</x:v>
      </x:c>
      <x:c r="J267" s="119" t="n">
        <x:f>C267*Scoring!$B$36+TE!D267/Scoring!$C$36+TE!E267*Scoring!$D$36+TE!F267*Scoring!$E$36+H267*Scoring!$F$36</x:f>
        <x:v>20.5</x:v>
      </x:c>
      <x:c r="K267" s="119" t="n">
        <x:f>C268*Scoring!$B$36+TE!D268/Scoring!$C$36+TE!E268*Scoring!$D$36+TE!F268*Scoring!$E$36+H268*Scoring!$F$36</x:f>
        <x:v>20.5</x:v>
      </x:c>
    </x:row>
    <x:row r="268" ht="14.25" customHeight="1">
      <x:c r="B268" s="1" t="s">
        <x:v>488</x:v>
      </x:c>
      <x:c r="C268" s="1">
        <x:v>10.0</x:v>
      </x:c>
      <x:c r="D268" s="1">
        <x:v>95.0</x:v>
      </x:c>
      <x:c r="E268" s="1">
        <x:v>1.0</x:v>
      </x:c>
      <x:c r="F268" s="1">
        <x:v>0.0</x:v>
      </x:c>
      <x:c r="G268" s="1">
        <x:v>20.0</x:v>
      </x:c>
      <x:c r="H268" s="18">
        <x:f t="shared" si="1"/>
        <x:v>5.006756757</x:v>
      </x:c>
      <x:c r="I268" s="122"/>
      <x:c r="J268" s="122"/>
      <x:c r="K268" s="122"/>
    </x:row>
    <x:row r="269" ht="14.25" customHeight="1">
      <x:c r="B269" s="1" t="s">
        <x:v>489</x:v>
      </x:c>
      <x:c r="C269" s="1">
        <x:v>10.0</x:v>
      </x:c>
      <x:c r="D269" s="1">
        <x:v>95.0</x:v>
      </x:c>
      <x:c r="E269" s="1">
        <x:v>1.0</x:v>
      </x:c>
      <x:c r="F269" s="1">
        <x:v>0.0</x:v>
      </x:c>
      <x:c r="G269" s="1">
        <x:v>20.0</x:v>
      </x:c>
      <x:c r="H269" s="18">
        <x:f t="shared" si="1"/>
        <x:v>5.006756757</x:v>
      </x:c>
      <x:c r="I269" s="122"/>
      <x:c r="J269" s="122"/>
      <x:c r="K269" s="122"/>
    </x:row>
    <x:row r="270" ht="14.25" customHeight="1">
      <x:c r="A270" s="1" t="s">
        <x:v>1012</x:v>
      </x:c>
      <x:c r="B270" s="1" t="s">
        <x:v>529</x:v>
      </x:c>
      <x:c r="C270" s="1">
        <x:v>9.0</x:v>
      </x:c>
      <x:c r="D270" s="1">
        <x:v>88.0</x:v>
      </x:c>
      <x:c r="E270" s="1">
        <x:v>1.0</x:v>
      </x:c>
      <x:c r="F270" s="1">
        <x:v>0.0</x:v>
      </x:c>
      <x:c r="G270" s="1">
        <x:v>23.8</x:v>
      </x:c>
      <x:c r="H270" s="18">
        <x:f t="shared" si="1"/>
        <x:v>4.637837838</x:v>
      </x:c>
      <x:c r="I270" s="119" t="n">
        <x:f>C272*Scoring!$B$36+TE!D272/Scoring!$C$36+TE!E272*Scoring!$D$36+TE!F272*Scoring!$E$36+H272*Scoring!$F$36</x:f>
        <x:v>19.3</x:v>
      </x:c>
      <x:c r="J270" s="119" t="n">
        <x:f>C270*Scoring!$B$36+TE!D270/Scoring!$C$36+TE!E270*Scoring!$D$36+TE!F270*Scoring!$E$36+H270*Scoring!$F$36</x:f>
        <x:v>19.3</x:v>
      </x:c>
      <x:c r="K270" s="119" t="n">
        <x:f>C271*Scoring!$B$36+TE!D271/Scoring!$C$36+TE!E271*Scoring!$D$36+TE!F271*Scoring!$E$36+H271*Scoring!$F$36</x:f>
        <x:v>19.3</x:v>
      </x:c>
    </x:row>
    <x:row r="271" ht="14.25" customHeight="1">
      <x:c r="B271" s="1" t="s">
        <x:v>488</x:v>
      </x:c>
      <x:c r="C271" s="1">
        <x:v>9.0</x:v>
      </x:c>
      <x:c r="D271" s="1">
        <x:v>88.0</x:v>
      </x:c>
      <x:c r="E271" s="1">
        <x:v>1.0</x:v>
      </x:c>
      <x:c r="F271" s="1">
        <x:v>0.0</x:v>
      </x:c>
      <x:c r="G271" s="1">
        <x:v>19.0</x:v>
      </x:c>
      <x:c r="H271" s="18">
        <x:f t="shared" si="1"/>
        <x:v>4.637837838</x:v>
      </x:c>
      <x:c r="I271" s="122"/>
      <x:c r="J271" s="122"/>
      <x:c r="K271" s="122"/>
    </x:row>
    <x:row r="272" ht="14.25" customHeight="1">
      <x:c r="B272" s="1" t="s">
        <x:v>489</x:v>
      </x:c>
      <x:c r="C272" s="1">
        <x:v>9.0</x:v>
      </x:c>
      <x:c r="D272" s="1">
        <x:v>88.0</x:v>
      </x:c>
      <x:c r="E272" s="1">
        <x:v>1.0</x:v>
      </x:c>
      <x:c r="F272" s="1">
        <x:v>0.0</x:v>
      </x:c>
      <x:c r="G272" s="1">
        <x:v>19.0</x:v>
      </x:c>
      <x:c r="H272" s="18">
        <x:f t="shared" si="1"/>
        <x:v>4.637837838</x:v>
      </x:c>
      <x:c r="I272" s="122"/>
      <x:c r="J272" s="122"/>
      <x:c r="K272" s="122"/>
    </x:row>
    <x:row r="273" ht="14.25" customHeight="1">
      <x:c r="A273" s="1" t="s">
        <x:v>1013</x:v>
      </x:c>
      <x:c r="B273" s="1" t="s">
        <x:v>491</x:v>
      </x:c>
      <x:c r="C273" s="1">
        <x:v>9.8</x:v>
      </x:c>
      <x:c r="D273" s="1">
        <x:v>94.0</x:v>
      </x:c>
      <x:c r="E273" s="1">
        <x:v>0.7</x:v>
      </x:c>
      <x:c r="F273" s="1">
        <x:v>0.1</x:v>
      </x:c>
      <x:c r="G273" s="1">
        <x:v>23.5</x:v>
      </x:c>
      <x:c r="H273" s="18">
        <x:f t="shared" si="1"/>
        <x:v>4.954054054</x:v>
      </x:c>
      <x:c r="I273" s="119" t="n">
        <x:f>C275*Scoring!$B$36+TE!D275/Scoring!$C$36+TE!E275*Scoring!$D$36+TE!F275*Scoring!$E$36+H275*Scoring!$F$36</x:f>
        <x:v>18.4</x:v>
      </x:c>
      <x:c r="J273" s="119" t="n">
        <x:f>C273*Scoring!$B$36+TE!D273/Scoring!$C$36+TE!E273*Scoring!$D$36+TE!F273*Scoring!$E$36+H273*Scoring!$F$36</x:f>
        <x:v>18.4</x:v>
      </x:c>
      <x:c r="K273" s="119" t="n">
        <x:f>C274*Scoring!$B$36+TE!D274/Scoring!$C$36+TE!E274*Scoring!$D$36+TE!F274*Scoring!$E$36+H274*Scoring!$F$36</x:f>
        <x:v>18.4</x:v>
      </x:c>
    </x:row>
    <x:row r="274" ht="14.25" customHeight="1">
      <x:c r="B274" s="1" t="s">
        <x:v>488</x:v>
      </x:c>
      <x:c r="C274" s="1">
        <x:v>9.8</x:v>
      </x:c>
      <x:c r="D274" s="1">
        <x:v>94.0</x:v>
      </x:c>
      <x:c r="E274" s="1">
        <x:v>0.7</x:v>
      </x:c>
      <x:c r="F274" s="1">
        <x:v>0.1</x:v>
      </x:c>
      <x:c r="G274" s="1">
        <x:v>23.6</x:v>
      </x:c>
      <x:c r="H274" s="18">
        <x:f t="shared" si="1"/>
        <x:v>4.954054054</x:v>
      </x:c>
      <x:c r="I274" s="122"/>
      <x:c r="J274" s="122"/>
      <x:c r="K274" s="122"/>
    </x:row>
    <x:row r="275" ht="14.25" customHeight="1">
      <x:c r="B275" s="1" t="s">
        <x:v>489</x:v>
      </x:c>
      <x:c r="C275" s="1">
        <x:v>9.8</x:v>
      </x:c>
      <x:c r="D275" s="1">
        <x:v>94.0</x:v>
      </x:c>
      <x:c r="E275" s="1">
        <x:v>0.7</x:v>
      </x:c>
      <x:c r="F275" s="1">
        <x:v>0.1</x:v>
      </x:c>
      <x:c r="G275" s="1">
        <x:v>23.6</x:v>
      </x:c>
      <x:c r="H275" s="18">
        <x:f t="shared" si="1"/>
        <x:v>4.954054054</x:v>
      </x:c>
      <x:c r="I275" s="122"/>
      <x:c r="J275" s="122"/>
      <x:c r="K275" s="122"/>
    </x:row>
    <x:row r="276" ht="14.25" customHeight="1">
      <x:c r="A276" s="1" t="s">
        <x:v>1014</x:v>
      </x:c>
      <x:c r="B276" s="1" t="s">
        <x:v>521</x:v>
      </x:c>
      <x:c r="C276" s="1">
        <x:v>9.4</x:v>
      </x:c>
      <x:c r="D276" s="1">
        <x:v>95.1</x:v>
      </x:c>
      <x:c r="E276" s="1">
        <x:v>0.7</x:v>
      </x:c>
      <x:c r="F276" s="1">
        <x:v>0.0</x:v>
      </x:c>
      <x:c r="G276" s="1">
        <x:v>23.3</x:v>
      </x:c>
      <x:c r="H276" s="18">
        <x:f t="shared" si="1"/>
        <x:v>5.012027027</x:v>
      </x:c>
      <x:c r="I276" s="119" t="n">
        <x:f>C278*Scoring!$B$36+TE!D278/Scoring!$C$36+TE!E278*Scoring!$D$36+TE!F278*Scoring!$E$36+H278*Scoring!$F$36</x:f>
        <x:v>14.209999999999999</x:v>
      </x:c>
      <x:c r="J276" s="119" t="n">
        <x:f>C276*Scoring!$B$36+TE!D276/Scoring!$C$36+TE!E276*Scoring!$D$36+TE!F276*Scoring!$E$36+H276*Scoring!$F$36</x:f>
        <x:v>18.41</x:v>
      </x:c>
      <x:c r="K276" s="119" t="n">
        <x:f>C277*Scoring!$B$36+TE!D277/Scoring!$C$36+TE!E277*Scoring!$D$36+TE!F277*Scoring!$E$36+H277*Scoring!$F$36</x:f>
        <x:v>23.1</x:v>
      </x:c>
    </x:row>
    <x:row r="277" ht="14.25" customHeight="1">
      <x:c r="B277" s="1" t="s">
        <x:v>488</x:v>
      </x:c>
      <x:c r="C277" s="1">
        <x:v>11.0</x:v>
      </x:c>
      <x:c r="D277" s="1">
        <x:v>116.0</x:v>
      </x:c>
      <x:c r="E277" s="1">
        <x:v>1.0</x:v>
      </x:c>
      <x:c r="F277" s="1">
        <x:v>0.0</x:v>
      </x:c>
      <x:c r="G277" s="1">
        <x:v>19.6</x:v>
      </x:c>
      <x:c r="H277" s="18">
        <x:f t="shared" si="1"/>
        <x:v>6.113513514</x:v>
      </x:c>
      <x:c r="I277" s="122"/>
      <x:c r="J277" s="122"/>
      <x:c r="K277" s="122"/>
    </x:row>
    <x:row r="278" ht="14.25" customHeight="1">
      <x:c r="B278" s="1" t="s">
        <x:v>489</x:v>
      </x:c>
      <x:c r="C278" s="1">
        <x:v>7.8</x:v>
      </x:c>
      <x:c r="D278" s="1">
        <x:v>74.1</x:v>
      </x:c>
      <x:c r="E278" s="1">
        <x:v>0.5</x:v>
      </x:c>
      <x:c r="F278" s="1">
        <x:v>0.1</x:v>
      </x:c>
      <x:c r="G278" s="1">
        <x:v>19.4</x:v>
      </x:c>
      <x:c r="H278" s="18">
        <x:f t="shared" si="1"/>
        <x:v>3.90527027</x:v>
      </x:c>
      <x:c r="I278" s="122"/>
      <x:c r="J278" s="122"/>
      <x:c r="K278" s="122"/>
    </x:row>
    <x:row r="279" ht="14.25" customHeight="1">
      <x:c r="A279" s="1" t="s">
        <x:v>1015</x:v>
      </x:c>
      <x:c r="B279" s="1" t="s">
        <x:v>537</x:v>
      </x:c>
      <x:c r="C279" s="1">
        <x:v>8.0</x:v>
      </x:c>
      <x:c r="D279" s="1">
        <x:v>71.5</x:v>
      </x:c>
      <x:c r="E279" s="1">
        <x:v>1.0</x:v>
      </x:c>
      <x:c r="F279" s="1">
        <x:v>0.0</x:v>
      </x:c>
      <x:c r="G279" s="1">
        <x:v>21.2</x:v>
      </x:c>
      <x:c r="H279" s="18">
        <x:f t="shared" si="1"/>
        <x:v>3.768243243</x:v>
      </x:c>
      <x:c r="I279" s="119" t="n">
        <x:f>C281*Scoring!$B$36+TE!D281/Scoring!$C$36+TE!E281*Scoring!$D$36+TE!F281*Scoring!$E$36+H281*Scoring!$F$36</x:f>
        <x:v>0</x:v>
      </x:c>
      <x:c r="J279" s="119" t="n">
        <x:f>C279*Scoring!$B$36+TE!D279/Scoring!$C$36+TE!E279*Scoring!$D$36+TE!F279*Scoring!$E$36+H279*Scoring!$F$36</x:f>
        <x:v>17.15</x:v>
      </x:c>
      <x:c r="K279" s="119" t="n">
        <x:f>C280*Scoring!$B$36+TE!D280/Scoring!$C$36+TE!E280*Scoring!$D$36+TE!F280*Scoring!$E$36+H280*Scoring!$F$36</x:f>
        <x:v>34.3</x:v>
      </x:c>
    </x:row>
    <x:row r="280" ht="14.25" customHeight="1">
      <x:c r="B280" s="1" t="s">
        <x:v>488</x:v>
      </x:c>
      <x:c r="C280" s="1">
        <x:v>16.0</x:v>
      </x:c>
      <x:c r="D280" s="1">
        <x:v>143.0</x:v>
      </x:c>
      <x:c r="E280" s="1">
        <x:v>2.0</x:v>
      </x:c>
      <x:c r="F280" s="1">
        <x:v>0.0</x:v>
      </x:c>
      <x:c r="G280" s="1">
        <x:v>26.0</x:v>
      </x:c>
      <x:c r="H280" s="18">
        <x:f t="shared" si="1"/>
        <x:v>7.536486486</x:v>
      </x:c>
      <x:c r="I280" s="122"/>
      <x:c r="J280" s="122"/>
      <x:c r="K280" s="122"/>
    </x:row>
    <x:row r="281" ht="14.25" customHeight="1">
      <x:c r="B281" s="1" t="s">
        <x:v>489</x:v>
      </x:c>
      <x:c r="C281" s="1">
        <x:v>0.0</x:v>
      </x:c>
      <x:c r="D281" s="1">
        <x:v>0.0</x:v>
      </x:c>
      <x:c r="E281" s="1">
        <x:v>0.0</x:v>
      </x:c>
      <x:c r="F281" s="1">
        <x:v>0.0</x:v>
      </x:c>
      <x:c r="G281" s="1">
        <x:v>8.0</x:v>
      </x:c>
      <x:c r="H281" s="18">
        <x:f t="shared" si="1"/>
        <x:v>0</x:v>
      </x:c>
      <x:c r="I281" s="122"/>
      <x:c r="J281" s="122"/>
      <x:c r="K281" s="122"/>
    </x:row>
    <x:row r="282" ht="14.25" customHeight="1">
      <x:c r="A282" s="1" t="s">
        <x:v>1016</x:v>
      </x:c>
      <x:c r="B282" s="1" t="s">
        <x:v>523</x:v>
      </x:c>
      <x:c r="C282" s="1">
        <x:v>7.6</x:v>
      </x:c>
      <x:c r="D282" s="1">
        <x:v>80.8</x:v>
      </x:c>
      <x:c r="E282" s="1">
        <x:v>0.8</x:v>
      </x:c>
      <x:c r="F282" s="1">
        <x:v>0.0</x:v>
      </x:c>
      <x:c r="G282" s="1">
        <x:v>20.5</x:v>
      </x:c>
      <x:c r="H282" s="18">
        <x:f t="shared" si="1"/>
        <x:v>4.258378378</x:v>
      </x:c>
      <x:c r="I282" s="119" t="n">
        <x:f>C284*Scoring!$B$36+TE!D284/Scoring!$C$36+TE!E284*Scoring!$D$36+TE!F284*Scoring!$E$36+H284*Scoring!$F$36</x:f>
        <x:v>14.16</x:v>
      </x:c>
      <x:c r="J282" s="119" t="n">
        <x:f>C282*Scoring!$B$36+TE!D282/Scoring!$C$36+TE!E282*Scoring!$D$36+TE!F282*Scoring!$E$36+H282*Scoring!$F$36</x:f>
        <x:v>16.68</x:v>
      </x:c>
      <x:c r="K282" s="119" t="n">
        <x:f>C283*Scoring!$B$36+TE!D283/Scoring!$C$36+TE!E283*Scoring!$D$36+TE!F283*Scoring!$E$36+H283*Scoring!$F$36</x:f>
        <x:v>19.1</x:v>
      </x:c>
    </x:row>
    <x:row r="283" ht="14.25" customHeight="1">
      <x:c r="B283" s="1" t="s">
        <x:v>488</x:v>
      </x:c>
      <x:c r="C283" s="1">
        <x:v>8.0</x:v>
      </x:c>
      <x:c r="D283" s="1">
        <x:v>91.0</x:v>
      </x:c>
      <x:c r="E283" s="1">
        <x:v>1.0</x:v>
      </x:c>
      <x:c r="F283" s="1">
        <x:v>0.0</x:v>
      </x:c>
      <x:c r="G283" s="1">
        <x:v>18.5</x:v>
      </x:c>
      <x:c r="H283" s="18">
        <x:f t="shared" si="1"/>
        <x:v>4.795945946</x:v>
      </x:c>
      <x:c r="I283" s="122"/>
      <x:c r="J283" s="122"/>
      <x:c r="K283" s="122"/>
    </x:row>
    <x:row r="284" ht="14.25" customHeight="1">
      <x:c r="B284" s="1" t="s">
        <x:v>489</x:v>
      </x:c>
      <x:c r="C284" s="1">
        <x:v>7.2</x:v>
      </x:c>
      <x:c r="D284" s="1">
        <x:v>70.6</x:v>
      </x:c>
      <x:c r="E284" s="1">
        <x:v>0.6</x:v>
      </x:c>
      <x:c r="F284" s="1">
        <x:v>0.1</x:v>
      </x:c>
      <x:c r="G284" s="1">
        <x:v>17.6</x:v>
      </x:c>
      <x:c r="H284" s="18">
        <x:f t="shared" si="1"/>
        <x:v>3.720810811</x:v>
      </x:c>
      <x:c r="I284" s="122"/>
      <x:c r="J284" s="122"/>
      <x:c r="K284" s="122"/>
    </x:row>
    <x:row r="285" ht="14.25" customHeight="1">
      <x:c r="A285" s="1" t="s">
        <x:v>1017</x:v>
      </x:c>
      <x:c r="B285" s="1" t="s">
        <x:v>517</x:v>
      </x:c>
      <x:c r="C285" s="1">
        <x:v>8.0</x:v>
      </x:c>
      <x:c r="D285" s="1">
        <x:v>82.6</x:v>
      </x:c>
      <x:c r="E285" s="1">
        <x:v>0.7</x:v>
      </x:c>
      <x:c r="F285" s="1">
        <x:v>0.0</x:v>
      </x:c>
      <x:c r="G285" s="1">
        <x:v>20.3</x:v>
      </x:c>
      <x:c r="H285" s="18">
        <x:f t="shared" si="1"/>
        <x:v>4.353243243</x:v>
      </x:c>
      <x:c r="I285" s="119" t="n">
        <x:f>C287*Scoring!$B$36+TE!D287/Scoring!$C$36+TE!E287*Scoring!$D$36+TE!F287*Scoring!$E$36+H287*Scoring!$F$36</x:f>
        <x:v>8.22</x:v>
      </x:c>
      <x:c r="J285" s="119" t="n">
        <x:f>C285*Scoring!$B$36+TE!D285/Scoring!$C$36+TE!E285*Scoring!$D$36+TE!F285*Scoring!$E$36+H285*Scoring!$F$36</x:f>
        <x:v>16.46</x:v>
      </x:c>
      <x:c r="K285" s="119" t="n">
        <x:f>C286*Scoring!$B$36+TE!D286/Scoring!$C$36+TE!E286*Scoring!$D$36+TE!F286*Scoring!$E$36+H286*Scoring!$F$36</x:f>
        <x:v>24.7</x:v>
      </x:c>
    </x:row>
    <x:row r="286" ht="14.25" customHeight="1">
      <x:c r="B286" s="1" t="s">
        <x:v>488</x:v>
      </x:c>
      <x:c r="C286" s="1">
        <x:v>12.0</x:v>
      </x:c>
      <x:c r="D286" s="1">
        <x:v>127.0</x:v>
      </x:c>
      <x:c r="E286" s="1">
        <x:v>1.0</x:v>
      </x:c>
      <x:c r="F286" s="1">
        <x:v>0.0</x:v>
      </x:c>
      <x:c r="G286" s="1">
        <x:v>19.0</x:v>
      </x:c>
      <x:c r="H286" s="18">
        <x:f t="shared" si="1"/>
        <x:v>6.693243243</x:v>
      </x:c>
      <x:c r="I286" s="122"/>
      <x:c r="J286" s="122"/>
      <x:c r="K286" s="122"/>
    </x:row>
    <x:row r="287" ht="14.25" customHeight="1">
      <x:c r="B287" s="1" t="s">
        <x:v>489</x:v>
      </x:c>
      <x:c r="C287" s="1">
        <x:v>4.0</x:v>
      </x:c>
      <x:c r="D287" s="1">
        <x:v>38.2</x:v>
      </x:c>
      <x:c r="E287" s="1">
        <x:v>0.4</x:v>
      </x:c>
      <x:c r="F287" s="1">
        <x:v>0.0</x:v>
      </x:c>
      <x:c r="G287" s="1">
        <x:v>13.9</x:v>
      </x:c>
      <x:c r="H287" s="18">
        <x:f t="shared" si="1"/>
        <x:v>2.013243243</x:v>
      </x:c>
      <x:c r="I287" s="122"/>
      <x:c r="J287" s="122"/>
      <x:c r="K287" s="122"/>
    </x:row>
    <x:row r="288" ht="14.25" customHeight="1">
      <x:c r="A288" s="1" t="s">
        <x:v>1018</x:v>
      </x:c>
      <x:c r="B288" s="1" t="s">
        <x:v>515</x:v>
      </x:c>
      <x:c r="C288" s="1">
        <x:v>8.0</x:v>
      </x:c>
      <x:c r="D288" s="1">
        <x:v>71.4</x:v>
      </x:c>
      <x:c r="E288" s="1">
        <x:v>0.7</x:v>
      </x:c>
      <x:c r="F288" s="1">
        <x:v>0.0</x:v>
      </x:c>
      <x:c r="G288" s="1">
        <x:v>19.0</x:v>
      </x:c>
      <x:c r="H288" s="18">
        <x:f t="shared" si="1"/>
        <x:v>3.762972973</x:v>
      </x:c>
      <x:c r="I288" s="119" t="n">
        <x:f>C290*Scoring!$B$36+TE!D290/Scoring!$C$36+TE!E290*Scoring!$D$36+TE!F290*Scoring!$E$36+H290*Scoring!$F$36</x:f>
        <x:v>7.59</x:v>
      </x:c>
      <x:c r="J288" s="119" t="n">
        <x:f>C288*Scoring!$B$36+TE!D288/Scoring!$C$36+TE!E288*Scoring!$D$36+TE!F288*Scoring!$E$36+H288*Scoring!$F$36</x:f>
        <x:v>15.34</x:v>
      </x:c>
      <x:c r="K288" s="119" t="n">
        <x:f>C289*Scoring!$B$36+TE!D289/Scoring!$C$36+TE!E289*Scoring!$D$36+TE!F289*Scoring!$E$36+H289*Scoring!$F$36</x:f>
        <x:v>22.5</x:v>
      </x:c>
    </x:row>
    <x:row r="289" ht="14.25" customHeight="1">
      <x:c r="B289" s="1" t="s">
        <x:v>488</x:v>
      </x:c>
      <x:c r="C289" s="1">
        <x:v>12.0</x:v>
      </x:c>
      <x:c r="D289" s="1">
        <x:v>105.0</x:v>
      </x:c>
      <x:c r="E289" s="1">
        <x:v>1.0</x:v>
      </x:c>
      <x:c r="F289" s="1">
        <x:v>0.0</x:v>
      </x:c>
      <x:c r="G289" s="1">
        <x:v>18.0</x:v>
      </x:c>
      <x:c r="H289" s="18">
        <x:f t="shared" si="1"/>
        <x:v>5.533783784</x:v>
      </x:c>
      <x:c r="I289" s="122"/>
      <x:c r="J289" s="122"/>
      <x:c r="K289" s="122"/>
    </x:row>
    <x:row r="290" ht="14.25" customHeight="1">
      <x:c r="B290" s="1" t="s">
        <x:v>489</x:v>
      </x:c>
      <x:c r="C290" s="1">
        <x:v>4.0</x:v>
      </x:c>
      <x:c r="D290" s="1">
        <x:v>37.9</x:v>
      </x:c>
      <x:c r="E290" s="1">
        <x:v>0.3</x:v>
      </x:c>
      <x:c r="F290" s="1">
        <x:v>0.0</x:v>
      </x:c>
      <x:c r="G290" s="1">
        <x:v>13.6</x:v>
      </x:c>
      <x:c r="H290" s="18">
        <x:f t="shared" si="1"/>
        <x:v>1.997432432</x:v>
      </x:c>
      <x:c r="I290" s="122"/>
      <x:c r="J290" s="122"/>
      <x:c r="K290" s="122"/>
    </x:row>
    <x:row r="291" ht="14.25" customHeight="1">
      <x:c r="A291" s="1" t="s">
        <x:v>1019</x:v>
      </x:c>
      <x:c r="B291" s="1" t="s">
        <x:v>507</x:v>
      </x:c>
      <x:c r="C291" s="1">
        <x:v>7.4</x:v>
      </x:c>
      <x:c r="D291" s="1">
        <x:v>71.4</x:v>
      </x:c>
      <x:c r="E291" s="1">
        <x:v>0.7</x:v>
      </x:c>
      <x:c r="F291" s="1">
        <x:v>0.0</x:v>
      </x:c>
      <x:c r="G291" s="1">
        <x:v>18.5</x:v>
      </x:c>
      <x:c r="H291" s="18">
        <x:f t="shared" si="1"/>
        <x:v>3.762972973</x:v>
      </x:c>
      <x:c r="I291" s="119" t="n">
        <x:f>C293*Scoring!$B$36+TE!D293/Scoring!$C$36+TE!E293*Scoring!$D$36+TE!F293*Scoring!$E$36+H293*Scoring!$F$36</x:f>
        <x:v>7.42</x:v>
      </x:c>
      <x:c r="J291" s="119" t="n">
        <x:f>C291*Scoring!$B$36+TE!D291/Scoring!$C$36+TE!E291*Scoring!$D$36+TE!F291*Scoring!$E$36+H291*Scoring!$F$36</x:f>
        <x:v>15.04</x:v>
      </x:c>
      <x:c r="K291" s="119" t="n">
        <x:f>C292*Scoring!$B$36+TE!D292/Scoring!$C$36+TE!E292*Scoring!$D$36+TE!F292*Scoring!$E$36+H292*Scoring!$F$36</x:f>
        <x:v>22.1</x:v>
      </x:c>
    </x:row>
    <x:row r="292" ht="14.25" customHeight="1">
      <x:c r="B292" s="1" t="s">
        <x:v>488</x:v>
      </x:c>
      <x:c r="C292" s="1">
        <x:v>11.0</x:v>
      </x:c>
      <x:c r="D292" s="1">
        <x:v>106.0</x:v>
      </x:c>
      <x:c r="E292" s="1">
        <x:v>1.0</x:v>
      </x:c>
      <x:c r="F292" s="1">
        <x:v>0.0</x:v>
      </x:c>
      <x:c r="G292" s="1">
        <x:v>17.4</x:v>
      </x:c>
      <x:c r="H292" s="18">
        <x:f t="shared" si="1"/>
        <x:v>5.586486486</x:v>
      </x:c>
      <x:c r="I292" s="122"/>
      <x:c r="J292" s="122"/>
      <x:c r="K292" s="122"/>
    </x:row>
    <x:row r="293" ht="14.25" customHeight="1">
      <x:c r="B293" s="1" t="s">
        <x:v>489</x:v>
      </x:c>
      <x:c r="C293" s="1">
        <x:v>3.9</x:v>
      </x:c>
      <x:c r="D293" s="1">
        <x:v>36.7</x:v>
      </x:c>
      <x:c r="E293" s="1">
        <x:v>0.3</x:v>
      </x:c>
      <x:c r="F293" s="1">
        <x:v>0.0</x:v>
      </x:c>
      <x:c r="G293" s="1">
        <x:v>13.0</x:v>
      </x:c>
      <x:c r="H293" s="18">
        <x:f t="shared" si="1"/>
        <x:v>1.934189189</x:v>
      </x:c>
      <x:c r="I293" s="122"/>
      <x:c r="J293" s="122"/>
      <x:c r="K293" s="122"/>
    </x:row>
    <x:row r="294" ht="14.25" customHeight="1">
      <x:c r="A294" s="1" t="s">
        <x:v>1020</x:v>
      </x:c>
      <x:c r="B294" s="1" t="s">
        <x:v>505</x:v>
      </x:c>
      <x:c r="C294" s="1">
        <x:v>7.0</x:v>
      </x:c>
      <x:c r="D294" s="1">
        <x:v>73.8</x:v>
      </x:c>
      <x:c r="E294" s="1">
        <x:v>0.6</x:v>
      </x:c>
      <x:c r="F294" s="1">
        <x:v>0.0</x:v>
      </x:c>
      <x:c r="G294" s="1">
        <x:v>18.1</x:v>
      </x:c>
      <x:c r="H294" s="18">
        <x:f t="shared" si="1"/>
        <x:v>3.889459459</x:v>
      </x:c>
      <x:c r="I294" s="119" t="n">
        <x:f>C296*Scoring!$B$36+TE!D296/Scoring!$C$36+TE!E296*Scoring!$D$36+TE!F296*Scoring!$E$36+H296*Scoring!$F$36</x:f>
        <x:v>7.42</x:v>
      </x:c>
      <x:c r="J294" s="119" t="n">
        <x:f>C294*Scoring!$B$36+TE!D294/Scoring!$C$36+TE!E294*Scoring!$D$36+TE!F294*Scoring!$E$36+H294*Scoring!$F$36</x:f>
        <x:v>14.479999999999999</x:v>
      </x:c>
      <x:c r="K294" s="119" t="n">
        <x:f>C295*Scoring!$B$36+TE!D295/Scoring!$C$36+TE!E295*Scoring!$D$36+TE!F295*Scoring!$E$36+H295*Scoring!$F$36</x:f>
        <x:v>22.1</x:v>
      </x:c>
    </x:row>
    <x:row r="295" ht="14.25" customHeight="1">
      <x:c r="B295" s="1" t="s">
        <x:v>488</x:v>
      </x:c>
      <x:c r="C295" s="1">
        <x:v>10.0</x:v>
      </x:c>
      <x:c r="D295" s="1">
        <x:v>111.0</x:v>
      </x:c>
      <x:c r="E295" s="1">
        <x:v>1.0</x:v>
      </x:c>
      <x:c r="F295" s="1">
        <x:v>0.0</x:v>
      </x:c>
      <x:c r="G295" s="1">
        <x:v>17.0</x:v>
      </x:c>
      <x:c r="H295" s="18">
        <x:f t="shared" si="1"/>
        <x:v>5.85</x:v>
      </x:c>
      <x:c r="I295" s="122"/>
      <x:c r="J295" s="122"/>
      <x:c r="K295" s="122"/>
    </x:row>
    <x:row r="296" ht="14.25" customHeight="1">
      <x:c r="B296" s="1" t="s">
        <x:v>489</x:v>
      </x:c>
      <x:c r="C296" s="1">
        <x:v>3.9</x:v>
      </x:c>
      <x:c r="D296" s="1">
        <x:v>36.7</x:v>
      </x:c>
      <x:c r="E296" s="1">
        <x:v>0.3</x:v>
      </x:c>
      <x:c r="F296" s="1">
        <x:v>0.0</x:v>
      </x:c>
      <x:c r="G296" s="1">
        <x:v>12.3</x:v>
      </x:c>
      <x:c r="H296" s="18">
        <x:f t="shared" si="1"/>
        <x:v>1.934189189</x:v>
      </x:c>
      <x:c r="I296" s="122"/>
      <x:c r="J296" s="122"/>
      <x:c r="K296" s="122"/>
    </x:row>
    <x:row r="297" ht="14.25" customHeight="1">
      <x:c r="A297" s="1" t="s">
        <x:v>1021</x:v>
      </x:c>
      <x:c r="B297" s="1" t="s">
        <x:v>511</x:v>
      </x:c>
      <x:c r="C297" s="1">
        <x:v>6.8</x:v>
      </x:c>
      <x:c r="D297" s="1">
        <x:v>72.4</x:v>
      </x:c>
      <x:c r="E297" s="1">
        <x:v>0.6</x:v>
      </x:c>
      <x:c r="F297" s="1">
        <x:v>0.0</x:v>
      </x:c>
      <x:c r="G297" s="1">
        <x:v>17.9</x:v>
      </x:c>
      <x:c r="H297" s="18">
        <x:f t="shared" si="1"/>
        <x:v>3.815675676</x:v>
      </x:c>
      <x:c r="I297" s="119" t="n">
        <x:f>C299*Scoring!$B$36+TE!D299/Scoring!$C$36+TE!E299*Scoring!$D$36+TE!F299*Scoring!$E$36+H299*Scoring!$F$36</x:f>
        <x:v>7.03</x:v>
      </x:c>
      <x:c r="J297" s="119" t="n">
        <x:f>C297*Scoring!$B$36+TE!D297/Scoring!$C$36+TE!E297*Scoring!$D$36+TE!F297*Scoring!$E$36+H297*Scoring!$F$36</x:f>
        <x:v>14.24</x:v>
      </x:c>
      <x:c r="K297" s="119" t="n">
        <x:f>C298*Scoring!$B$36+TE!D298/Scoring!$C$36+TE!E298*Scoring!$D$36+TE!F298*Scoring!$E$36+H298*Scoring!$F$36</x:f>
        <x:v>22.1</x:v>
      </x:c>
    </x:row>
    <x:row r="298" ht="14.25" customHeight="1">
      <x:c r="B298" s="1" t="s">
        <x:v>488</x:v>
      </x:c>
      <x:c r="C298" s="1">
        <x:v>10.0</x:v>
      </x:c>
      <x:c r="D298" s="1">
        <x:v>111.0</x:v>
      </x:c>
      <x:c r="E298" s="1">
        <x:v>1.0</x:v>
      </x:c>
      <x:c r="F298" s="1">
        <x:v>0.0</x:v>
      </x:c>
      <x:c r="G298" s="1">
        <x:v>16.8</x:v>
      </x:c>
      <x:c r="H298" s="18">
        <x:f t="shared" si="1"/>
        <x:v>5.85</x:v>
      </x:c>
      <x:c r="I298" s="122"/>
      <x:c r="J298" s="122"/>
      <x:c r="K298" s="122"/>
    </x:row>
    <x:row r="299" ht="14.25" customHeight="1">
      <x:c r="B299" s="1" t="s">
        <x:v>489</x:v>
      </x:c>
      <x:c r="C299" s="1">
        <x:v>3.7</x:v>
      </x:c>
      <x:c r="D299" s="1">
        <x:v>33.8</x:v>
      </x:c>
      <x:c r="E299" s="1">
        <x:v>0.3</x:v>
      </x:c>
      <x:c r="F299" s="1">
        <x:v>0.0</x:v>
      </x:c>
      <x:c r="G299" s="1">
        <x:v>11.9</x:v>
      </x:c>
      <x:c r="H299" s="18">
        <x:f t="shared" si="1"/>
        <x:v>1.781351351</x:v>
      </x:c>
      <x:c r="I299" s="122"/>
      <x:c r="J299" s="122"/>
      <x:c r="K299" s="122"/>
    </x:row>
    <x:row r="300" ht="14.25" customHeight="1">
      <x:c r="A300" s="1" t="s">
        <x:v>1022</x:v>
      </x:c>
      <x:c r="B300" s="1" t="s">
        <x:v>523</x:v>
      </x:c>
      <x:c r="C300" s="1">
        <x:v>5.5</x:v>
      </x:c>
      <x:c r="D300" s="1">
        <x:v>59.0</x:v>
      </x:c>
      <x:c r="E300" s="1">
        <x:v>1.0</x:v>
      </x:c>
      <x:c r="F300" s="1">
        <x:v>0.0</x:v>
      </x:c>
      <x:c r="G300" s="1">
        <x:v>17.4</x:v>
      </x:c>
      <x:c r="H300" s="18">
        <x:f t="shared" si="1"/>
        <x:v>3.109459459</x:v>
      </x:c>
      <x:c r="I300" s="119" t="n">
        <x:f>C302*Scoring!$B$36+TE!D302/Scoring!$C$36+TE!E302*Scoring!$D$36+TE!F302*Scoring!$E$36+H302*Scoring!$F$36</x:f>
        <x:v>0</x:v>
      </x:c>
      <x:c r="J300" s="119" t="n">
        <x:f>C300*Scoring!$B$36+TE!D300/Scoring!$C$36+TE!E300*Scoring!$D$36+TE!F300*Scoring!$E$36+H300*Scoring!$F$36</x:f>
        <x:v>14.65</x:v>
      </x:c>
      <x:c r="K300" s="119" t="n">
        <x:f>C301*Scoring!$B$36+TE!D301/Scoring!$C$36+TE!E301*Scoring!$D$36+TE!F301*Scoring!$E$36+H301*Scoring!$F$36</x:f>
        <x:v>29.3</x:v>
      </x:c>
    </x:row>
    <x:row r="301" ht="14.25" customHeight="1">
      <x:c r="B301" s="1" t="s">
        <x:v>488</x:v>
      </x:c>
      <x:c r="C301" s="1">
        <x:v>11.0</x:v>
      </x:c>
      <x:c r="D301" s="1">
        <x:v>118.0</x:v>
      </x:c>
      <x:c r="E301" s="1">
        <x:v>2.0</x:v>
      </x:c>
      <x:c r="F301" s="1">
        <x:v>0.0</x:v>
      </x:c>
      <x:c r="G301" s="1">
        <x:v>21.5</x:v>
      </x:c>
      <x:c r="H301" s="18">
        <x:f t="shared" si="1"/>
        <x:v>6.218918919</x:v>
      </x:c>
      <x:c r="I301" s="122"/>
      <x:c r="J301" s="122"/>
      <x:c r="K301" s="122"/>
    </x:row>
    <x:row r="302" ht="14.25" customHeight="1">
      <x:c r="B302" s="1" t="s">
        <x:v>489</x:v>
      </x:c>
      <x:c r="C302" s="1">
        <x:v>0.0</x:v>
      </x:c>
      <x:c r="D302" s="1">
        <x:v>0.0</x:v>
      </x:c>
      <x:c r="E302" s="1">
        <x:v>0.0</x:v>
      </x:c>
      <x:c r="F302" s="1">
        <x:v>0.0</x:v>
      </x:c>
      <x:c r="G302" s="1">
        <x:v>5.5</x:v>
      </x:c>
      <x:c r="H302" s="18">
        <x:f t="shared" si="1"/>
        <x:v>0</x:v>
      </x:c>
      <x:c r="I302" s="122"/>
      <x:c r="J302" s="122"/>
      <x:c r="K302" s="122"/>
    </x:row>
    <x:row r="303" ht="14.25" customHeight="1">
      <x:c r="A303" s="1" t="s">
        <x:v>1023</x:v>
      </x:c>
      <x:c r="B303" s="1" t="s">
        <x:v>549</x:v>
      </x:c>
      <x:c r="C303" s="1">
        <x:v>7.5</x:v>
      </x:c>
      <x:c r="D303" s="1">
        <x:v>67.4</x:v>
      </x:c>
      <x:c r="E303" s="1">
        <x:v>0.3</x:v>
      </x:c>
      <x:c r="F303" s="1">
        <x:v>0.1</x:v>
      </x:c>
      <x:c r="G303" s="1">
        <x:v>16.2</x:v>
      </x:c>
      <x:c r="H303" s="18">
        <x:f t="shared" si="1"/>
        <x:v>3.552162162</x:v>
      </x:c>
      <x:c r="I303" s="119" t="n">
        <x:f>C305*Scoring!$B$36+TE!D305/Scoring!$C$36+TE!E305*Scoring!$D$36+TE!F305*Scoring!$E$36+H305*Scoring!$F$36</x:f>
        <x:v>12.19</x:v>
      </x:c>
      <x:c r="J303" s="119" t="n">
        <x:f>C303*Scoring!$B$36+TE!D303/Scoring!$C$36+TE!E303*Scoring!$D$36+TE!F303*Scoring!$E$36+H303*Scoring!$F$36</x:f>
        <x:v>12.19</x:v>
      </x:c>
      <x:c r="K303" s="119" t="n">
        <x:f>C304*Scoring!$B$36+TE!D304/Scoring!$C$36+TE!E304*Scoring!$D$36+TE!F304*Scoring!$E$36+H304*Scoring!$F$36</x:f>
        <x:v>12.19</x:v>
      </x:c>
    </x:row>
    <x:row r="304" ht="14.25" customHeight="1">
      <x:c r="B304" s="1" t="s">
        <x:v>488</x:v>
      </x:c>
      <x:c r="C304" s="1">
        <x:v>7.5</x:v>
      </x:c>
      <x:c r="D304" s="1">
        <x:v>67.4</x:v>
      </x:c>
      <x:c r="E304" s="1">
        <x:v>0.3</x:v>
      </x:c>
      <x:c r="F304" s="1">
        <x:v>0.1</x:v>
      </x:c>
      <x:c r="G304" s="1">
        <x:v>16.3</x:v>
      </x:c>
      <x:c r="H304" s="18">
        <x:f t="shared" si="1"/>
        <x:v>3.552162162</x:v>
      </x:c>
      <x:c r="I304" s="122"/>
      <x:c r="J304" s="122"/>
      <x:c r="K304" s="122"/>
    </x:row>
    <x:row r="305" ht="14.25" customHeight="1">
      <x:c r="B305" s="1" t="s">
        <x:v>489</x:v>
      </x:c>
      <x:c r="C305" s="1">
        <x:v>7.5</x:v>
      </x:c>
      <x:c r="D305" s="1">
        <x:v>67.4</x:v>
      </x:c>
      <x:c r="E305" s="1">
        <x:v>0.3</x:v>
      </x:c>
      <x:c r="F305" s="1">
        <x:v>0.1</x:v>
      </x:c>
      <x:c r="G305" s="1">
        <x:v>16.3</x:v>
      </x:c>
      <x:c r="H305" s="18">
        <x:f t="shared" si="1"/>
        <x:v>3.552162162</x:v>
      </x:c>
      <x:c r="I305" s="122"/>
      <x:c r="J305" s="122"/>
      <x:c r="K305" s="122"/>
    </x:row>
    <x:row r="306" ht="14.25" customHeight="1">
      <x:c r="A306" s="1" t="s">
        <x:v>1024</x:v>
      </x:c>
      <x:c r="B306" s="1" t="s">
        <x:v>491</x:v>
      </x:c>
      <x:c r="C306" s="1">
        <x:v>5.7</x:v>
      </x:c>
      <x:c r="D306" s="1">
        <x:v>66.4</x:v>
      </x:c>
      <x:c r="E306" s="1">
        <x:v>0.6</x:v>
      </x:c>
      <x:c r="F306" s="1">
        <x:v>0.0</x:v>
      </x:c>
      <x:c r="G306" s="1">
        <x:v>16.2</x:v>
      </x:c>
      <x:c r="H306" s="18">
        <x:f t="shared" si="1"/>
        <x:v>3.499459459</x:v>
      </x:c>
      <x:c r="I306" s="119" t="n">
        <x:f>C308*Scoring!$B$36+TE!D308/Scoring!$C$36+TE!E308*Scoring!$D$36+TE!F308*Scoring!$E$36+H308*Scoring!$F$36</x:f>
        <x:v>7.029999999999999</x:v>
      </x:c>
      <x:c r="J306" s="119" t="n">
        <x:f>C306*Scoring!$B$36+TE!D306/Scoring!$C$36+TE!E306*Scoring!$D$36+TE!F306*Scoring!$E$36+H306*Scoring!$F$36</x:f>
        <x:v>13.09</x:v>
      </x:c>
      <x:c r="K306" s="119" t="n">
        <x:f>C307*Scoring!$B$36+TE!D307/Scoring!$C$36+TE!E307*Scoring!$D$36+TE!F307*Scoring!$E$36+H307*Scoring!$F$36</x:f>
        <x:v>19.7</x:v>
      </x:c>
    </x:row>
    <x:row r="307" ht="14.25" customHeight="1">
      <x:c r="B307" s="1" t="s">
        <x:v>488</x:v>
      </x:c>
      <x:c r="C307" s="1">
        <x:v>8.0</x:v>
      </x:c>
      <x:c r="D307" s="1">
        <x:v>97.0</x:v>
      </x:c>
      <x:c r="E307" s="1">
        <x:v>1.0</x:v>
      </x:c>
      <x:c r="F307" s="1">
        <x:v>0.0</x:v>
      </x:c>
      <x:c r="G307" s="1">
        <x:v>15.7</x:v>
      </x:c>
      <x:c r="H307" s="18">
        <x:f t="shared" si="1"/>
        <x:v>5.112162162</x:v>
      </x:c>
      <x:c r="I307" s="122"/>
      <x:c r="J307" s="122"/>
      <x:c r="K307" s="122"/>
    </x:row>
    <x:row r="308" ht="14.25" customHeight="1">
      <x:c r="B308" s="1" t="s">
        <x:v>489</x:v>
      </x:c>
      <x:c r="C308" s="1">
        <x:v>3.3</x:v>
      </x:c>
      <x:c r="D308" s="1">
        <x:v>35.8</x:v>
      </x:c>
      <x:c r="E308" s="1">
        <x:v>0.3</x:v>
      </x:c>
      <x:c r="F308" s="1">
        <x:v>0.0</x:v>
      </x:c>
      <x:c r="G308" s="1">
        <x:v>11.0</x:v>
      </x:c>
      <x:c r="H308" s="18">
        <x:f t="shared" si="1"/>
        <x:v>1.886756757</x:v>
      </x:c>
      <x:c r="I308" s="122"/>
      <x:c r="J308" s="122"/>
      <x:c r="K308" s="122"/>
    </x:row>
    <x:row r="309" ht="14.25" customHeight="1">
      <x:c r="A309" s="1" t="s">
        <x:v>1025</x:v>
      </x:c>
      <x:c r="B309" s="1" t="s">
        <x:v>505</x:v>
      </x:c>
      <x:c r="C309" s="1">
        <x:v>5.0</x:v>
      </x:c>
      <x:c r="D309" s="1">
        <x:v>45.0</x:v>
      </x:c>
      <x:c r="E309" s="1">
        <x:v>1.0</x:v>
      </x:c>
      <x:c r="F309" s="1">
        <x:v>0.0</x:v>
      </x:c>
      <x:c r="G309" s="1">
        <x:v>15.5</x:v>
      </x:c>
      <x:c r="H309" s="18">
        <x:f t="shared" si="1"/>
        <x:v>2.371621622</x:v>
      </x:c>
      <x:c r="I309" s="119" t="n">
        <x:f>C311*Scoring!$B$36+TE!D311/Scoring!$C$36+TE!E311*Scoring!$D$36+TE!F311*Scoring!$E$36+H311*Scoring!$F$36</x:f>
        <x:v>0</x:v>
      </x:c>
      <x:c r="J309" s="119" t="n">
        <x:f>C309*Scoring!$B$36+TE!D309/Scoring!$C$36+TE!E309*Scoring!$D$36+TE!F309*Scoring!$E$36+H309*Scoring!$F$36</x:f>
        <x:v>13</x:v>
      </x:c>
      <x:c r="K309" s="119" t="n">
        <x:f>C310*Scoring!$B$36+TE!D310/Scoring!$C$36+TE!E310*Scoring!$D$36+TE!F310*Scoring!$E$36+H310*Scoring!$F$36</x:f>
        <x:v>26</x:v>
      </x:c>
    </x:row>
    <x:row r="310" ht="14.25" customHeight="1">
      <x:c r="B310" s="1" t="s">
        <x:v>488</x:v>
      </x:c>
      <x:c r="C310" s="1">
        <x:v>10.0</x:v>
      </x:c>
      <x:c r="D310" s="1">
        <x:v>90.0</x:v>
      </x:c>
      <x:c r="E310" s="1">
        <x:v>2.0</x:v>
      </x:c>
      <x:c r="F310" s="1">
        <x:v>0.0</x:v>
      </x:c>
      <x:c r="G310" s="1">
        <x:v>21.0</x:v>
      </x:c>
      <x:c r="H310" s="18">
        <x:f t="shared" si="1"/>
        <x:v>4.743243243</x:v>
      </x:c>
      <x:c r="I310" s="122"/>
      <x:c r="J310" s="122"/>
      <x:c r="K310" s="122"/>
    </x:row>
    <x:row r="311" ht="14.25" customHeight="1">
      <x:c r="B311" s="1" t="s">
        <x:v>489</x:v>
      </x:c>
      <x:c r="C311" s="1">
        <x:v>0.0</x:v>
      </x:c>
      <x:c r="D311" s="1">
        <x:v>0.0</x:v>
      </x:c>
      <x:c r="E311" s="1">
        <x:v>0.0</x:v>
      </x:c>
      <x:c r="F311" s="1">
        <x:v>0.0</x:v>
      </x:c>
      <x:c r="G311" s="1">
        <x:v>5.0</x:v>
      </x:c>
      <x:c r="H311" s="18">
        <x:f t="shared" si="1"/>
        <x:v>0</x:v>
      </x:c>
      <x:c r="I311" s="122"/>
      <x:c r="J311" s="122"/>
      <x:c r="K311" s="122"/>
    </x:row>
    <x:row r="312" ht="14.25" customHeight="1">
      <x:c r="A312" s="1" t="s">
        <x:v>1026</x:v>
      </x:c>
      <x:c r="B312" s="1" t="s">
        <x:v>515</x:v>
      </x:c>
      <x:c r="C312" s="1">
        <x:v>6.0</x:v>
      </x:c>
      <x:c r="D312" s="1">
        <x:v>44.5</x:v>
      </x:c>
      <x:c r="E312" s="1">
        <x:v>0.5</x:v>
      </x:c>
      <x:c r="F312" s="1">
        <x:v>0.0</x:v>
      </x:c>
      <x:c r="G312" s="1">
        <x:v>13.5</x:v>
      </x:c>
      <x:c r="H312" s="18">
        <x:f t="shared" si="1"/>
        <x:v>2.34527027</x:v>
      </x:c>
      <x:c r="I312" s="119" t="n">
        <x:f>C314*Scoring!$B$36+TE!D314/Scoring!$C$36+TE!E314*Scoring!$D$36+TE!F314*Scoring!$E$36+H314*Scoring!$F$36</x:f>
        <x:v>0</x:v>
      </x:c>
      <x:c r="J312" s="119" t="n">
        <x:f>C312*Scoring!$B$36+TE!D312/Scoring!$C$36+TE!E312*Scoring!$D$36+TE!F312*Scoring!$E$36+H312*Scoring!$F$36</x:f>
        <x:v>10.45</x:v>
      </x:c>
      <x:c r="K312" s="119" t="n">
        <x:f>C313*Scoring!$B$36+TE!D313/Scoring!$C$36+TE!E313*Scoring!$D$36+TE!F313*Scoring!$E$36+H313*Scoring!$F$36</x:f>
        <x:v>20.9</x:v>
      </x:c>
    </x:row>
    <x:row r="313" ht="14.25" customHeight="1">
      <x:c r="B313" s="1" t="s">
        <x:v>488</x:v>
      </x:c>
      <x:c r="C313" s="1">
        <x:v>12.0</x:v>
      </x:c>
      <x:c r="D313" s="1">
        <x:v>89.0</x:v>
      </x:c>
      <x:c r="E313" s="1">
        <x:v>1.0</x:v>
      </x:c>
      <x:c r="F313" s="1">
        <x:v>0.0</x:v>
      </x:c>
      <x:c r="G313" s="1">
        <x:v>16.0</x:v>
      </x:c>
      <x:c r="H313" s="18">
        <x:f t="shared" si="1"/>
        <x:v>4.690540541</x:v>
      </x:c>
      <x:c r="I313" s="122"/>
      <x:c r="J313" s="122"/>
      <x:c r="K313" s="122"/>
    </x:row>
    <x:row r="314" ht="14.25" customHeight="1">
      <x:c r="B314" s="1" t="s">
        <x:v>489</x:v>
      </x:c>
      <x:c r="C314" s="1">
        <x:v>0.0</x:v>
      </x:c>
      <x:c r="D314" s="1">
        <x:v>0.0</x:v>
      </x:c>
      <x:c r="E314" s="1">
        <x:v>0.0</x:v>
      </x:c>
      <x:c r="F314" s="1">
        <x:v>0.0</x:v>
      </x:c>
      <x:c r="G314" s="1">
        <x:v>6.0</x:v>
      </x:c>
      <x:c r="H314" s="18">
        <x:f t="shared" si="1"/>
        <x:v>0</x:v>
      </x:c>
      <x:c r="I314" s="122"/>
      <x:c r="J314" s="122"/>
      <x:c r="K314" s="122"/>
    </x:row>
    <x:row r="315" ht="14.25" customHeight="1">
      <x:c r="A315" s="1" t="s">
        <x:v>1027</x:v>
      </x:c>
      <x:c r="B315" s="1" t="s">
        <x:v>503</x:v>
      </x:c>
      <x:c r="C315" s="1">
        <x:v>4.2</x:v>
      </x:c>
      <x:c r="D315" s="1">
        <x:v>40.7</x:v>
      </x:c>
      <x:c r="E315" s="1">
        <x:v>0.3</x:v>
      </x:c>
      <x:c r="F315" s="1">
        <x:v>0.0</x:v>
      </x:c>
      <x:c r="G315" s="1">
        <x:v>9.9</x:v>
      </x:c>
      <x:c r="H315" s="18">
        <x:f t="shared" si="1"/>
        <x:v>2.145</x:v>
      </x:c>
      <x:c r="I315" s="119" t="n">
        <x:f>C317*Scoring!$B$36+TE!D317/Scoring!$C$36+TE!E317*Scoring!$D$36+TE!F317*Scoring!$E$36+H317*Scoring!$F$36</x:f>
        <x:v>7.97</x:v>
      </x:c>
      <x:c r="J315" s="119" t="n">
        <x:f>C315*Scoring!$B$36+TE!D315/Scoring!$C$36+TE!E315*Scoring!$D$36+TE!F315*Scoring!$E$36+H315*Scoring!$F$36</x:f>
        <x:v>7.97</x:v>
      </x:c>
      <x:c r="K315" s="119" t="n">
        <x:f>C316*Scoring!$B$36+TE!D316/Scoring!$C$36+TE!E316*Scoring!$D$36+TE!F316*Scoring!$E$36+H316*Scoring!$F$36</x:f>
        <x:v>7.97</x:v>
      </x:c>
    </x:row>
    <x:row r="316" ht="14.25" customHeight="1">
      <x:c r="B316" s="1" t="s">
        <x:v>488</x:v>
      </x:c>
      <x:c r="C316" s="1">
        <x:v>4.2</x:v>
      </x:c>
      <x:c r="D316" s="1">
        <x:v>40.7</x:v>
      </x:c>
      <x:c r="E316" s="1">
        <x:v>0.3</x:v>
      </x:c>
      <x:c r="F316" s="1">
        <x:v>0.0</x:v>
      </x:c>
      <x:c r="G316" s="1">
        <x:v>10.0</x:v>
      </x:c>
      <x:c r="H316" s="18">
        <x:f t="shared" si="1"/>
        <x:v>2.145</x:v>
      </x:c>
      <x:c r="I316" s="122"/>
      <x:c r="J316" s="122"/>
      <x:c r="K316" s="122"/>
    </x:row>
    <x:row r="317" ht="14.25" customHeight="1">
      <x:c r="B317" s="1" t="s">
        <x:v>489</x:v>
      </x:c>
      <x:c r="C317" s="1">
        <x:v>4.2</x:v>
      </x:c>
      <x:c r="D317" s="1">
        <x:v>40.7</x:v>
      </x:c>
      <x:c r="E317" s="1">
        <x:v>0.3</x:v>
      </x:c>
      <x:c r="F317" s="1">
        <x:v>0.0</x:v>
      </x:c>
      <x:c r="G317" s="1">
        <x:v>10.0</x:v>
      </x:c>
      <x:c r="H317" s="18">
        <x:f t="shared" si="1"/>
        <x:v>2.145</x:v>
      </x:c>
      <x:c r="I317" s="122"/>
      <x:c r="J317" s="122"/>
      <x:c r="K317" s="122"/>
    </x:row>
    <x:row r="318" ht="14.25" customHeight="1">
      <x:c r="A318" s="1" t="s">
        <x:v>1028</x:v>
      </x:c>
      <x:c r="B318" s="1" t="s">
        <x:v>493</x:v>
      </x:c>
      <x:c r="C318" s="1">
        <x:v>3.9</x:v>
      </x:c>
      <x:c r="D318" s="1">
        <x:v>37.3</x:v>
      </x:c>
      <x:c r="E318" s="1">
        <x:v>0.3</x:v>
      </x:c>
      <x:c r="F318" s="1">
        <x:v>0.0</x:v>
      </x:c>
      <x:c r="G318" s="1">
        <x:v>9.2</x:v>
      </x:c>
      <x:c r="H318" s="18">
        <x:f t="shared" si="1"/>
        <x:v>1.965810811</x:v>
      </x:c>
      <x:c r="I318" s="119" t="n">
        <x:f>C320*Scoring!$B$36+TE!D320/Scoring!$C$36+TE!E320*Scoring!$D$36+TE!F320*Scoring!$E$36+H320*Scoring!$F$36</x:f>
        <x:v>7.4799999999999995</x:v>
      </x:c>
      <x:c r="J318" s="119" t="n">
        <x:f>C318*Scoring!$B$36+TE!D318/Scoring!$C$36+TE!E318*Scoring!$D$36+TE!F318*Scoring!$E$36+H318*Scoring!$F$36</x:f>
        <x:v>7.4799999999999995</x:v>
      </x:c>
      <x:c r="K318" s="119" t="n">
        <x:f>C319*Scoring!$B$36+TE!D319/Scoring!$C$36+TE!E319*Scoring!$D$36+TE!F319*Scoring!$E$36+H319*Scoring!$F$36</x:f>
        <x:v>7.4799999999999995</x:v>
      </x:c>
    </x:row>
    <x:row r="319" ht="14.25" customHeight="1">
      <x:c r="B319" s="1" t="s">
        <x:v>488</x:v>
      </x:c>
      <x:c r="C319" s="1">
        <x:v>3.9</x:v>
      </x:c>
      <x:c r="D319" s="1">
        <x:v>37.3</x:v>
      </x:c>
      <x:c r="E319" s="1">
        <x:v>0.3</x:v>
      </x:c>
      <x:c r="F319" s="1">
        <x:v>0.0</x:v>
      </x:c>
      <x:c r="G319" s="1">
        <x:v>9.2</x:v>
      </x:c>
      <x:c r="H319" s="18">
        <x:f t="shared" si="1"/>
        <x:v>1.965810811</x:v>
      </x:c>
      <x:c r="I319" s="122"/>
      <x:c r="J319" s="122"/>
      <x:c r="K319" s="122"/>
    </x:row>
    <x:row r="320" ht="14.25" customHeight="1">
      <x:c r="B320" s="1" t="s">
        <x:v>489</x:v>
      </x:c>
      <x:c r="C320" s="1">
        <x:v>3.9</x:v>
      </x:c>
      <x:c r="D320" s="1">
        <x:v>37.3</x:v>
      </x:c>
      <x:c r="E320" s="1">
        <x:v>0.3</x:v>
      </x:c>
      <x:c r="F320" s="1">
        <x:v>0.0</x:v>
      </x:c>
      <x:c r="G320" s="1">
        <x:v>9.2</x:v>
      </x:c>
      <x:c r="H320" s="18">
        <x:f t="shared" si="1"/>
        <x:v>1.965810811</x:v>
      </x:c>
      <x:c r="I320" s="122"/>
      <x:c r="J320" s="122"/>
      <x:c r="K320" s="122"/>
    </x:row>
    <x:row r="321" ht="14.25" customHeight="1">
      <x:c r="A321" s="1" t="s">
        <x:v>1029</x:v>
      </x:c>
      <x:c r="B321" s="1" t="s">
        <x:v>523</x:v>
      </x:c>
      <x:c r="C321" s="1">
        <x:v>3.7</x:v>
      </x:c>
      <x:c r="D321" s="1">
        <x:v>36.1</x:v>
      </x:c>
      <x:c r="E321" s="1">
        <x:v>0.3</x:v>
      </x:c>
      <x:c r="F321" s="1">
        <x:v>0.0</x:v>
      </x:c>
      <x:c r="G321" s="1">
        <x:v>9.0</x:v>
      </x:c>
      <x:c r="H321" s="18">
        <x:f t="shared" si="1"/>
        <x:v>1.902567568</x:v>
      </x:c>
      <x:c r="I321" s="119" t="n">
        <x:f>C323*Scoring!$B$36+TE!D323/Scoring!$C$36+TE!E323*Scoring!$D$36+TE!F323*Scoring!$E$36+H323*Scoring!$F$36</x:f>
        <x:v>7.260000000000001</x:v>
      </x:c>
      <x:c r="J321" s="119" t="n">
        <x:f>C321*Scoring!$B$36+TE!D321/Scoring!$C$36+TE!E321*Scoring!$D$36+TE!F321*Scoring!$E$36+H321*Scoring!$F$36</x:f>
        <x:v>7.260000000000001</x:v>
      </x:c>
      <x:c r="K321" s="119" t="n">
        <x:f>C322*Scoring!$B$36+TE!D322/Scoring!$C$36+TE!E322*Scoring!$D$36+TE!F322*Scoring!$E$36+H322*Scoring!$F$36</x:f>
        <x:v>7.260000000000001</x:v>
      </x:c>
    </x:row>
    <x:row r="322" ht="14.25" customHeight="1">
      <x:c r="B322" s="1" t="s">
        <x:v>488</x:v>
      </x:c>
      <x:c r="C322" s="1">
        <x:v>3.7</x:v>
      </x:c>
      <x:c r="D322" s="1">
        <x:v>36.1</x:v>
      </x:c>
      <x:c r="E322" s="1">
        <x:v>0.3</x:v>
      </x:c>
      <x:c r="F322" s="1">
        <x:v>0.0</x:v>
      </x:c>
      <x:c r="G322" s="1">
        <x:v>9.1</x:v>
      </x:c>
      <x:c r="H322" s="18">
        <x:f t="shared" si="1"/>
        <x:v>1.902567568</x:v>
      </x:c>
      <x:c r="I322" s="122"/>
      <x:c r="J322" s="122"/>
      <x:c r="K322" s="122"/>
    </x:row>
    <x:row r="323" ht="14.25" customHeight="1">
      <x:c r="B323" s="1" t="s">
        <x:v>489</x:v>
      </x:c>
      <x:c r="C323" s="1">
        <x:v>3.7</x:v>
      </x:c>
      <x:c r="D323" s="1">
        <x:v>36.1</x:v>
      </x:c>
      <x:c r="E323" s="1">
        <x:v>0.3</x:v>
      </x:c>
      <x:c r="F323" s="1">
        <x:v>0.0</x:v>
      </x:c>
      <x:c r="G323" s="1">
        <x:v>9.1</x:v>
      </x:c>
      <x:c r="H323" s="18">
        <x:f t="shared" si="1"/>
        <x:v>1.902567568</x:v>
      </x:c>
      <x:c r="I323" s="122"/>
      <x:c r="J323" s="122"/>
      <x:c r="K323" s="122"/>
    </x:row>
    <x:row r="324" ht="14.25" customHeight="1">
      <x:c r="A324" s="1" t="s">
        <x:v>1030</x:v>
      </x:c>
      <x:c r="B324" s="1" t="s">
        <x:v>519</x:v>
      </x:c>
      <x:c r="C324" s="1">
        <x:v>3.7</x:v>
      </x:c>
      <x:c r="D324" s="1">
        <x:v>37.9</x:v>
      </x:c>
      <x:c r="E324" s="1">
        <x:v>0.3</x:v>
      </x:c>
      <x:c r="F324" s="1">
        <x:v>0.0</x:v>
      </x:c>
      <x:c r="G324" s="1">
        <x:v>8.9</x:v>
      </x:c>
      <x:c r="H324" s="18">
        <x:f t="shared" si="1"/>
        <x:v>1.997432432</x:v>
      </x:c>
      <x:c r="I324" s="119" t="n">
        <x:f>C326*Scoring!$B$36+TE!D326/Scoring!$C$36+TE!E326*Scoring!$D$36+TE!F326*Scoring!$E$36+H326*Scoring!$F$36</x:f>
        <x:v>7.44</x:v>
      </x:c>
      <x:c r="J324" s="119" t="n">
        <x:f>C324*Scoring!$B$36+TE!D324/Scoring!$C$36+TE!E324*Scoring!$D$36+TE!F324*Scoring!$E$36+H324*Scoring!$F$36</x:f>
        <x:v>7.44</x:v>
      </x:c>
      <x:c r="K324" s="119" t="n">
        <x:f>C325*Scoring!$B$36+TE!D325/Scoring!$C$36+TE!E325*Scoring!$D$36+TE!F325*Scoring!$E$36+H325*Scoring!$F$36</x:f>
        <x:v>7.44</x:v>
      </x:c>
    </x:row>
    <x:row r="325" ht="14.25" customHeight="1">
      <x:c r="B325" s="1" t="s">
        <x:v>488</x:v>
      </x:c>
      <x:c r="C325" s="1">
        <x:v>3.7</x:v>
      </x:c>
      <x:c r="D325" s="1">
        <x:v>37.9</x:v>
      </x:c>
      <x:c r="E325" s="1">
        <x:v>0.3</x:v>
      </x:c>
      <x:c r="F325" s="1">
        <x:v>0.0</x:v>
      </x:c>
      <x:c r="G325" s="1">
        <x:v>8.9</x:v>
      </x:c>
      <x:c r="H325" s="18">
        <x:f t="shared" si="1"/>
        <x:v>1.997432432</x:v>
      </x:c>
      <x:c r="I325" s="122"/>
      <x:c r="J325" s="122"/>
      <x:c r="K325" s="122"/>
    </x:row>
    <x:row r="326" ht="14.25" customHeight="1">
      <x:c r="B326" s="1" t="s">
        <x:v>489</x:v>
      </x:c>
      <x:c r="C326" s="1">
        <x:v>3.7</x:v>
      </x:c>
      <x:c r="D326" s="1">
        <x:v>37.9</x:v>
      </x:c>
      <x:c r="E326" s="1">
        <x:v>0.3</x:v>
      </x:c>
      <x:c r="F326" s="1">
        <x:v>0.0</x:v>
      </x:c>
      <x:c r="G326" s="1">
        <x:v>8.9</x:v>
      </x:c>
      <x:c r="H326" s="18">
        <x:f t="shared" si="1"/>
        <x:v>1.997432432</x:v>
      </x:c>
      <x:c r="I326" s="122"/>
      <x:c r="J326" s="122"/>
      <x:c r="K326" s="122"/>
    </x:row>
    <x:row r="327" ht="14.25" customHeight="1">
      <x:c r="A327" s="1" t="s">
        <x:v>1031</x:v>
      </x:c>
      <x:c r="B327" s="1" t="s">
        <x:v>527</x:v>
      </x:c>
      <x:c r="C327" s="1">
        <x:v>3.6</x:v>
      </x:c>
      <x:c r="D327" s="1">
        <x:v>36.3</x:v>
      </x:c>
      <x:c r="E327" s="1">
        <x:v>0.3</x:v>
      </x:c>
      <x:c r="F327" s="1">
        <x:v>0.0</x:v>
      </x:c>
      <x:c r="G327" s="1">
        <x:v>8.8</x:v>
      </x:c>
      <x:c r="H327" s="18">
        <x:f t="shared" si="1"/>
        <x:v>1.913108108</x:v>
      </x:c>
      <x:c r="I327" s="119" t="n">
        <x:f>C329*Scoring!$B$36+TE!D329/Scoring!$C$36+TE!E329*Scoring!$D$36+TE!F329*Scoring!$E$36+H329*Scoring!$F$36</x:f>
        <x:v>7.2299999999999995</x:v>
      </x:c>
      <x:c r="J327" s="119" t="n">
        <x:f>C327*Scoring!$B$36+TE!D327/Scoring!$C$36+TE!E327*Scoring!$D$36+TE!F327*Scoring!$E$36+H327*Scoring!$F$36</x:f>
        <x:v>7.2299999999999995</x:v>
      </x:c>
      <x:c r="K327" s="119" t="n">
        <x:f>C328*Scoring!$B$36+TE!D328/Scoring!$C$36+TE!E328*Scoring!$D$36+TE!F328*Scoring!$E$36+H328*Scoring!$F$36</x:f>
        <x:v>7.2299999999999995</x:v>
      </x:c>
    </x:row>
    <x:row r="328" ht="14.25" customHeight="1">
      <x:c r="B328" s="1" t="s">
        <x:v>488</x:v>
      </x:c>
      <x:c r="C328" s="1">
        <x:v>3.6</x:v>
      </x:c>
      <x:c r="D328" s="1">
        <x:v>36.3</x:v>
      </x:c>
      <x:c r="E328" s="1">
        <x:v>0.3</x:v>
      </x:c>
      <x:c r="F328" s="1">
        <x:v>0.0</x:v>
      </x:c>
      <x:c r="G328" s="1">
        <x:v>8.8</x:v>
      </x:c>
      <x:c r="H328" s="18">
        <x:f t="shared" si="1"/>
        <x:v>1.913108108</x:v>
      </x:c>
      <x:c r="I328" s="122"/>
      <x:c r="J328" s="122"/>
      <x:c r="K328" s="122"/>
    </x:row>
    <x:row r="329" ht="14.25" customHeight="1">
      <x:c r="B329" s="1" t="s">
        <x:v>489</x:v>
      </x:c>
      <x:c r="C329" s="1">
        <x:v>3.6</x:v>
      </x:c>
      <x:c r="D329" s="1">
        <x:v>36.3</x:v>
      </x:c>
      <x:c r="E329" s="1">
        <x:v>0.3</x:v>
      </x:c>
      <x:c r="F329" s="1">
        <x:v>0.0</x:v>
      </x:c>
      <x:c r="G329" s="1">
        <x:v>8.8</x:v>
      </x:c>
      <x:c r="H329" s="18">
        <x:f t="shared" si="1"/>
        <x:v>1.913108108</x:v>
      </x:c>
      <x:c r="I329" s="122"/>
      <x:c r="J329" s="122"/>
      <x:c r="K329" s="122"/>
    </x:row>
    <x:row r="330" ht="14.25" customHeight="1">
      <x:c r="A330" s="1" t="s">
        <x:v>1032</x:v>
      </x:c>
      <x:c r="B330" s="1" t="s">
        <x:v>531</x:v>
      </x:c>
      <x:c r="C330" s="1">
        <x:v>3.6</x:v>
      </x:c>
      <x:c r="D330" s="1">
        <x:v>33.0</x:v>
      </x:c>
      <x:c r="E330" s="1">
        <x:v>0.3</x:v>
      </x:c>
      <x:c r="F330" s="1">
        <x:v>0.0</x:v>
      </x:c>
      <x:c r="G330" s="1">
        <x:v>8.8</x:v>
      </x:c>
      <x:c r="H330" s="18">
        <x:f t="shared" si="1"/>
        <x:v>1.739189189</x:v>
      </x:c>
      <x:c r="I330" s="119" t="n">
        <x:f>C332*Scoring!$B$36+TE!D332/Scoring!$C$36+TE!E332*Scoring!$D$36+TE!F332*Scoring!$E$36+H332*Scoring!$F$36</x:f>
        <x:v>6.8999999999999995</x:v>
      </x:c>
      <x:c r="J330" s="119" t="n">
        <x:f>C330*Scoring!$B$36+TE!D330/Scoring!$C$36+TE!E330*Scoring!$D$36+TE!F330*Scoring!$E$36+H330*Scoring!$F$36</x:f>
        <x:v>6.8999999999999995</x:v>
      </x:c>
      <x:c r="K330" s="119" t="n">
        <x:f>C331*Scoring!$B$36+TE!D331/Scoring!$C$36+TE!E331*Scoring!$D$36+TE!F331*Scoring!$E$36+H331*Scoring!$F$36</x:f>
        <x:v>6.8999999999999995</x:v>
      </x:c>
    </x:row>
    <x:row r="331" ht="14.25" customHeight="1">
      <x:c r="B331" s="1" t="s">
        <x:v>488</x:v>
      </x:c>
      <x:c r="C331" s="1">
        <x:v>3.6</x:v>
      </x:c>
      <x:c r="D331" s="1">
        <x:v>33.0</x:v>
      </x:c>
      <x:c r="E331" s="1">
        <x:v>0.3</x:v>
      </x:c>
      <x:c r="F331" s="1">
        <x:v>0.0</x:v>
      </x:c>
      <x:c r="G331" s="1">
        <x:v>8.8</x:v>
      </x:c>
      <x:c r="H331" s="18">
        <x:f t="shared" si="1"/>
        <x:v>1.739189189</x:v>
      </x:c>
      <x:c r="I331" s="122"/>
      <x:c r="J331" s="122"/>
      <x:c r="K331" s="122"/>
    </x:row>
    <x:row r="332" ht="14.25" customHeight="1">
      <x:c r="B332" s="1" t="s">
        <x:v>489</x:v>
      </x:c>
      <x:c r="C332" s="1">
        <x:v>3.6</x:v>
      </x:c>
      <x:c r="D332" s="1">
        <x:v>33.0</x:v>
      </x:c>
      <x:c r="E332" s="1">
        <x:v>0.3</x:v>
      </x:c>
      <x:c r="F332" s="1">
        <x:v>0.0</x:v>
      </x:c>
      <x:c r="G332" s="1">
        <x:v>8.8</x:v>
      </x:c>
      <x:c r="H332" s="18">
        <x:f t="shared" si="1"/>
        <x:v>1.739189189</x:v>
      </x:c>
      <x:c r="I332" s="122"/>
      <x:c r="J332" s="122"/>
      <x:c r="K332" s="122"/>
    </x:row>
    <x:row r="333" ht="14.25" customHeight="1">
      <x:c r="A333" s="1" t="s">
        <x:v>1033</x:v>
      </x:c>
      <x:c r="B333" s="1" t="s">
        <x:v>533</x:v>
      </x:c>
      <x:c r="C333" s="1">
        <x:v>3.4</x:v>
      </x:c>
      <x:c r="D333" s="1">
        <x:v>34.4</x:v>
      </x:c>
      <x:c r="E333" s="1">
        <x:v>0.3</x:v>
      </x:c>
      <x:c r="F333" s="1">
        <x:v>0.0</x:v>
      </x:c>
      <x:c r="G333" s="1">
        <x:v>8.6</x:v>
      </x:c>
      <x:c r="H333" s="18">
        <x:f t="shared" si="1"/>
        <x:v>1.812972973</x:v>
      </x:c>
      <x:c r="I333" s="119" t="n">
        <x:f>C335*Scoring!$B$36+TE!D335/Scoring!$C$36+TE!E335*Scoring!$D$36+TE!F335*Scoring!$E$36+H335*Scoring!$F$36</x:f>
        <x:v>6.9399999999999995</x:v>
      </x:c>
      <x:c r="J333" s="119" t="n">
        <x:f>C333*Scoring!$B$36+TE!D333/Scoring!$C$36+TE!E333*Scoring!$D$36+TE!F333*Scoring!$E$36+H333*Scoring!$F$36</x:f>
        <x:v>6.9399999999999995</x:v>
      </x:c>
      <x:c r="K333" s="119" t="n">
        <x:f>C334*Scoring!$B$36+TE!D334/Scoring!$C$36+TE!E334*Scoring!$D$36+TE!F334*Scoring!$E$36+H334*Scoring!$F$36</x:f>
        <x:v>6.9399999999999995</x:v>
      </x:c>
    </x:row>
    <x:row r="334" ht="14.25" customHeight="1">
      <x:c r="B334" s="1" t="s">
        <x:v>488</x:v>
      </x:c>
      <x:c r="C334" s="1">
        <x:v>3.4</x:v>
      </x:c>
      <x:c r="D334" s="1">
        <x:v>34.4</x:v>
      </x:c>
      <x:c r="E334" s="1">
        <x:v>0.3</x:v>
      </x:c>
      <x:c r="F334" s="1">
        <x:v>0.0</x:v>
      </x:c>
      <x:c r="G334" s="1">
        <x:v>8.6</x:v>
      </x:c>
      <x:c r="H334" s="18">
        <x:f t="shared" si="1"/>
        <x:v>1.812972973</x:v>
      </x:c>
      <x:c r="I334" s="122"/>
      <x:c r="J334" s="122"/>
      <x:c r="K334" s="122"/>
    </x:row>
    <x:row r="335" ht="14.25" customHeight="1">
      <x:c r="B335" s="1" t="s">
        <x:v>489</x:v>
      </x:c>
      <x:c r="C335" s="1">
        <x:v>3.4</x:v>
      </x:c>
      <x:c r="D335" s="1">
        <x:v>34.4</x:v>
      </x:c>
      <x:c r="E335" s="1">
        <x:v>0.3</x:v>
      </x:c>
      <x:c r="F335" s="1">
        <x:v>0.0</x:v>
      </x:c>
      <x:c r="G335" s="1">
        <x:v>8.6</x:v>
      </x:c>
      <x:c r="H335" s="18">
        <x:f t="shared" si="1"/>
        <x:v>1.812972973</x:v>
      </x:c>
      <x:c r="I335" s="122"/>
      <x:c r="J335" s="122"/>
      <x:c r="K335" s="122"/>
    </x:row>
    <x:row r="336" ht="14.25" customHeight="1">
      <x:c r="A336" s="1" t="s">
        <x:v>1034</x:v>
      </x:c>
      <x:c r="B336" s="1" t="s">
        <x:v>543</x:v>
      </x:c>
      <x:c r="C336" s="1">
        <x:v>3.8</x:v>
      </x:c>
      <x:c r="D336" s="1">
        <x:v>34.4</x:v>
      </x:c>
      <x:c r="E336" s="1">
        <x:v>0.2</x:v>
      </x:c>
      <x:c r="F336" s="1">
        <x:v>0.0</x:v>
      </x:c>
      <x:c r="G336" s="1">
        <x:v>8.4</x:v>
      </x:c>
      <x:c r="H336" s="18">
        <x:f t="shared" si="1"/>
        <x:v>1.812972973</x:v>
      </x:c>
      <x:c r="I336" s="119" t="n">
        <x:f>C338*Scoring!$B$36+TE!D338/Scoring!$C$36+TE!E338*Scoring!$D$36+TE!F338*Scoring!$E$36+H338*Scoring!$F$36</x:f>
        <x:v>6.54</x:v>
      </x:c>
      <x:c r="J336" s="119" t="n">
        <x:f>C336*Scoring!$B$36+TE!D336/Scoring!$C$36+TE!E336*Scoring!$D$36+TE!F336*Scoring!$E$36+H336*Scoring!$F$36</x:f>
        <x:v>6.54</x:v>
      </x:c>
      <x:c r="K336" s="119" t="n">
        <x:f>C337*Scoring!$B$36+TE!D337/Scoring!$C$36+TE!E337*Scoring!$D$36+TE!F337*Scoring!$E$36+H337*Scoring!$F$36</x:f>
        <x:v>6.54</x:v>
      </x:c>
    </x:row>
    <x:row r="337" ht="14.25" customHeight="1">
      <x:c r="B337" s="1" t="s">
        <x:v>488</x:v>
      </x:c>
      <x:c r="C337" s="1">
        <x:v>3.8</x:v>
      </x:c>
      <x:c r="D337" s="1">
        <x:v>34.4</x:v>
      </x:c>
      <x:c r="E337" s="1">
        <x:v>0.2</x:v>
      </x:c>
      <x:c r="F337" s="1">
        <x:v>0.0</x:v>
      </x:c>
      <x:c r="G337" s="1">
        <x:v>8.4</x:v>
      </x:c>
      <x:c r="H337" s="18">
        <x:f t="shared" si="1"/>
        <x:v>1.812972973</x:v>
      </x:c>
      <x:c r="I337" s="122"/>
      <x:c r="J337" s="122"/>
      <x:c r="K337" s="122"/>
    </x:row>
    <x:row r="338" ht="14.25" customHeight="1">
      <x:c r="B338" s="1" t="s">
        <x:v>489</x:v>
      </x:c>
      <x:c r="C338" s="1">
        <x:v>3.8</x:v>
      </x:c>
      <x:c r="D338" s="1">
        <x:v>34.4</x:v>
      </x:c>
      <x:c r="E338" s="1">
        <x:v>0.2</x:v>
      </x:c>
      <x:c r="F338" s="1">
        <x:v>0.0</x:v>
      </x:c>
      <x:c r="G338" s="1">
        <x:v>8.4</x:v>
      </x:c>
      <x:c r="H338" s="18">
        <x:f t="shared" si="1"/>
        <x:v>1.812972973</x:v>
      </x:c>
      <x:c r="I338" s="122"/>
      <x:c r="J338" s="122"/>
      <x:c r="K338" s="122"/>
    </x:row>
    <x:row r="339" ht="14.25" customHeight="1">
      <x:c r="A339" s="1" t="s">
        <x:v>1035</x:v>
      </x:c>
      <x:c r="B339" s="1" t="s">
        <x:v>547</x:v>
      </x:c>
      <x:c r="C339" s="1">
        <x:v>3.8</x:v>
      </x:c>
      <x:c r="D339" s="1">
        <x:v>36.0</x:v>
      </x:c>
      <x:c r="E339" s="1">
        <x:v>0.2</x:v>
      </x:c>
      <x:c r="F339" s="1">
        <x:v>0.0</x:v>
      </x:c>
      <x:c r="G339" s="1">
        <x:v>8.3</x:v>
      </x:c>
      <x:c r="H339" s="18">
        <x:f t="shared" si="1"/>
        <x:v>1.897297297</x:v>
      </x:c>
      <x:c r="I339" s="119" t="n">
        <x:f>C341*Scoring!$B$36+TE!D341/Scoring!$C$36+TE!E341*Scoring!$D$36+TE!F341*Scoring!$E$36+H341*Scoring!$F$36</x:f>
        <x:v>6.7</x:v>
      </x:c>
      <x:c r="J339" s="119" t="n">
        <x:f>C339*Scoring!$B$36+TE!D339/Scoring!$C$36+TE!E339*Scoring!$D$36+TE!F339*Scoring!$E$36+H339*Scoring!$F$36</x:f>
        <x:v>6.7</x:v>
      </x:c>
      <x:c r="K339" s="119" t="n">
        <x:f>C340*Scoring!$B$36+TE!D340/Scoring!$C$36+TE!E340*Scoring!$D$36+TE!F340*Scoring!$E$36+H340*Scoring!$F$36</x:f>
        <x:v>6.7</x:v>
      </x:c>
    </x:row>
    <x:row r="340" ht="14.25" customHeight="1">
      <x:c r="B340" s="1" t="s">
        <x:v>488</x:v>
      </x:c>
      <x:c r="C340" s="1">
        <x:v>3.8</x:v>
      </x:c>
      <x:c r="D340" s="1">
        <x:v>36.0</x:v>
      </x:c>
      <x:c r="E340" s="1">
        <x:v>0.2</x:v>
      </x:c>
      <x:c r="F340" s="1">
        <x:v>0.0</x:v>
      </x:c>
      <x:c r="G340" s="1">
        <x:v>8.3</x:v>
      </x:c>
      <x:c r="H340" s="18">
        <x:f t="shared" si="1"/>
        <x:v>1.897297297</x:v>
      </x:c>
      <x:c r="I340" s="122"/>
      <x:c r="J340" s="122"/>
      <x:c r="K340" s="122"/>
    </x:row>
    <x:row r="341" ht="14.25" customHeight="1">
      <x:c r="B341" s="1" t="s">
        <x:v>489</x:v>
      </x:c>
      <x:c r="C341" s="1">
        <x:v>3.8</x:v>
      </x:c>
      <x:c r="D341" s="1">
        <x:v>36.0</x:v>
      </x:c>
      <x:c r="E341" s="1">
        <x:v>0.2</x:v>
      </x:c>
      <x:c r="F341" s="1">
        <x:v>0.0</x:v>
      </x:c>
      <x:c r="G341" s="1">
        <x:v>8.3</x:v>
      </x:c>
      <x:c r="H341" s="18">
        <x:f t="shared" si="1"/>
        <x:v>1.897297297</x:v>
      </x:c>
      <x:c r="I341" s="122"/>
      <x:c r="J341" s="122"/>
      <x:c r="K341" s="122"/>
    </x:row>
    <x:row r="342" ht="14.25" customHeight="1">
      <x:c r="A342" s="1" t="s">
        <x:v>1036</x:v>
      </x:c>
      <x:c r="B342" s="1" t="s">
        <x:v>497</x:v>
      </x:c>
      <x:c r="C342" s="1">
        <x:v>3.5</x:v>
      </x:c>
      <x:c r="D342" s="1">
        <x:v>35.4</x:v>
      </x:c>
      <x:c r="E342" s="1">
        <x:v>0.2</x:v>
      </x:c>
      <x:c r="F342" s="1">
        <x:v>0.0</x:v>
      </x:c>
      <x:c r="G342" s="1">
        <x:v>8.2</x:v>
      </x:c>
      <x:c r="H342" s="18">
        <x:f t="shared" si="1"/>
        <x:v>1.865675676</x:v>
      </x:c>
      <x:c r="I342" s="119" t="n">
        <x:f>C344*Scoring!$B$36+TE!D344/Scoring!$C$36+TE!E344*Scoring!$D$36+TE!F344*Scoring!$E$36+H344*Scoring!$F$36</x:f>
        <x:v>6.49</x:v>
      </x:c>
      <x:c r="J342" s="119" t="n">
        <x:f>C342*Scoring!$B$36+TE!D342/Scoring!$C$36+TE!E342*Scoring!$D$36+TE!F342*Scoring!$E$36+H342*Scoring!$F$36</x:f>
        <x:v>6.49</x:v>
      </x:c>
      <x:c r="K342" s="119" t="n">
        <x:f>C343*Scoring!$B$36+TE!D343/Scoring!$C$36+TE!E343*Scoring!$D$36+TE!F343*Scoring!$E$36+H343*Scoring!$F$36</x:f>
        <x:v>6.49</x:v>
      </x:c>
    </x:row>
    <x:row r="343" ht="14.25" customHeight="1">
      <x:c r="B343" s="1" t="s">
        <x:v>488</x:v>
      </x:c>
      <x:c r="C343" s="1">
        <x:v>3.5</x:v>
      </x:c>
      <x:c r="D343" s="1">
        <x:v>35.4</x:v>
      </x:c>
      <x:c r="E343" s="1">
        <x:v>0.2</x:v>
      </x:c>
      <x:c r="F343" s="1">
        <x:v>0.0</x:v>
      </x:c>
      <x:c r="G343" s="1">
        <x:v>8.2</x:v>
      </x:c>
      <x:c r="H343" s="18">
        <x:f t="shared" si="1"/>
        <x:v>1.865675676</x:v>
      </x:c>
      <x:c r="I343" s="122"/>
      <x:c r="J343" s="122"/>
      <x:c r="K343" s="122"/>
    </x:row>
    <x:row r="344" ht="14.25" customHeight="1">
      <x:c r="B344" s="1" t="s">
        <x:v>489</x:v>
      </x:c>
      <x:c r="C344" s="1">
        <x:v>3.5</x:v>
      </x:c>
      <x:c r="D344" s="1">
        <x:v>35.4</x:v>
      </x:c>
      <x:c r="E344" s="1">
        <x:v>0.2</x:v>
      </x:c>
      <x:c r="F344" s="1">
        <x:v>0.0</x:v>
      </x:c>
      <x:c r="G344" s="1">
        <x:v>8.2</x:v>
      </x:c>
      <x:c r="H344" s="18">
        <x:f t="shared" si="1"/>
        <x:v>1.865675676</x:v>
      </x:c>
      <x:c r="I344" s="122"/>
      <x:c r="J344" s="122"/>
      <x:c r="K344" s="122"/>
    </x:row>
    <x:row r="345" ht="14.25" customHeight="1">
      <x:c r="A345" s="1" t="s">
        <x:v>1037</x:v>
      </x:c>
      <x:c r="B345" s="1" t="s">
        <x:v>549</x:v>
      </x:c>
      <x:c r="C345" s="1">
        <x:v>3.6</x:v>
      </x:c>
      <x:c r="D345" s="1">
        <x:v>30.4</x:v>
      </x:c>
      <x:c r="E345" s="1">
        <x:v>0.2</x:v>
      </x:c>
      <x:c r="F345" s="1">
        <x:v>0.0</x:v>
      </x:c>
      <x:c r="G345" s="1">
        <x:v>7.5</x:v>
      </x:c>
      <x:c r="H345" s="18">
        <x:f t="shared" si="1"/>
        <x:v>1.602162162</x:v>
      </x:c>
      <x:c r="I345" s="119" t="n">
        <x:f>C347*Scoring!$B$36+TE!D347/Scoring!$C$36+TE!E347*Scoring!$D$36+TE!F347*Scoring!$E$36+H347*Scoring!$F$36</x:f>
        <x:v>6.04</x:v>
      </x:c>
      <x:c r="J345" s="119" t="n">
        <x:f>C345*Scoring!$B$36+TE!D345/Scoring!$C$36+TE!E345*Scoring!$D$36+TE!F345*Scoring!$E$36+H345*Scoring!$F$36</x:f>
        <x:v>6.04</x:v>
      </x:c>
      <x:c r="K345" s="119" t="n">
        <x:f>C346*Scoring!$B$36+TE!D346/Scoring!$C$36+TE!E346*Scoring!$D$36+TE!F346*Scoring!$E$36+H346*Scoring!$F$36</x:f>
        <x:v>6.04</x:v>
      </x:c>
    </x:row>
    <x:row r="346" ht="14.25" customHeight="1">
      <x:c r="B346" s="1" t="s">
        <x:v>488</x:v>
      </x:c>
      <x:c r="C346" s="1">
        <x:v>3.6</x:v>
      </x:c>
      <x:c r="D346" s="1">
        <x:v>30.4</x:v>
      </x:c>
      <x:c r="E346" s="1">
        <x:v>0.2</x:v>
      </x:c>
      <x:c r="F346" s="1">
        <x:v>0.0</x:v>
      </x:c>
      <x:c r="G346" s="1">
        <x:v>7.6</x:v>
      </x:c>
      <x:c r="H346" s="18">
        <x:f t="shared" si="1"/>
        <x:v>1.602162162</x:v>
      </x:c>
      <x:c r="I346" s="122"/>
      <x:c r="J346" s="122"/>
      <x:c r="K346" s="122"/>
    </x:row>
    <x:row r="347" ht="14.25" customHeight="1">
      <x:c r="B347" s="1" t="s">
        <x:v>489</x:v>
      </x:c>
      <x:c r="C347" s="1">
        <x:v>3.6</x:v>
      </x:c>
      <x:c r="D347" s="1">
        <x:v>30.4</x:v>
      </x:c>
      <x:c r="E347" s="1">
        <x:v>0.2</x:v>
      </x:c>
      <x:c r="F347" s="1">
        <x:v>0.0</x:v>
      </x:c>
      <x:c r="G347" s="1">
        <x:v>7.6</x:v>
      </x:c>
      <x:c r="H347" s="18">
        <x:f t="shared" si="1"/>
        <x:v>1.602162162</x:v>
      </x:c>
      <x:c r="I347" s="122"/>
      <x:c r="J347" s="122"/>
      <x:c r="K347" s="122"/>
    </x:row>
    <x:row r="348" ht="14.25" customHeight="1">
      <x:c r="A348" s="1" t="s">
        <x:v>1038</x:v>
      </x:c>
      <x:c r="B348" s="1" t="s">
        <x:v>501</x:v>
      </x:c>
      <x:c r="C348" s="1">
        <x:v>1.8</x:v>
      </x:c>
      <x:c r="D348" s="1">
        <x:v>16.3</x:v>
      </x:c>
      <x:c r="E348" s="1">
        <x:v>0.1</x:v>
      </x:c>
      <x:c r="F348" s="1">
        <x:v>0.0</x:v>
      </x:c>
      <x:c r="G348" s="1">
        <x:v>4.2</x:v>
      </x:c>
      <x:c r="H348" s="18">
        <x:f t="shared" si="1"/>
        <x:v>0.8590540541</x:v>
      </x:c>
      <x:c r="I348" s="119" t="n">
        <x:f>C350*Scoring!$B$36+TE!D350/Scoring!$C$36+TE!E350*Scoring!$D$36+TE!F350*Scoring!$E$36+H350*Scoring!$F$36</x:f>
        <x:v>3.1300000000000003</x:v>
      </x:c>
      <x:c r="J348" s="119" t="n">
        <x:f>C348*Scoring!$B$36+TE!D348/Scoring!$C$36+TE!E348*Scoring!$D$36+TE!F348*Scoring!$E$36+H348*Scoring!$F$36</x:f>
        <x:v>3.1300000000000003</x:v>
      </x:c>
      <x:c r="K348" s="119" t="n">
        <x:f>C349*Scoring!$B$36+TE!D349/Scoring!$C$36+TE!E349*Scoring!$D$36+TE!F349*Scoring!$E$36+H349*Scoring!$F$36</x:f>
        <x:v>3.1300000000000003</x:v>
      </x:c>
    </x:row>
    <x:row r="349" ht="14.25" customHeight="1">
      <x:c r="B349" s="1" t="s">
        <x:v>488</x:v>
      </x:c>
      <x:c r="C349" s="1">
        <x:v>1.8</x:v>
      </x:c>
      <x:c r="D349" s="1">
        <x:v>16.3</x:v>
      </x:c>
      <x:c r="E349" s="1">
        <x:v>0.1</x:v>
      </x:c>
      <x:c r="F349" s="1">
        <x:v>0.0</x:v>
      </x:c>
      <x:c r="G349" s="1">
        <x:v>4.2</x:v>
      </x:c>
      <x:c r="H349" s="18">
        <x:f t="shared" si="1"/>
        <x:v>0.8590540541</x:v>
      </x:c>
      <x:c r="I349" s="122"/>
      <x:c r="J349" s="122"/>
      <x:c r="K349" s="122"/>
    </x:row>
    <x:row r="350" ht="14.25" customHeight="1">
      <x:c r="B350" s="1" t="s">
        <x:v>489</x:v>
      </x:c>
      <x:c r="C350" s="1">
        <x:v>1.8</x:v>
      </x:c>
      <x:c r="D350" s="1">
        <x:v>16.3</x:v>
      </x:c>
      <x:c r="E350" s="1">
        <x:v>0.1</x:v>
      </x:c>
      <x:c r="F350" s="1">
        <x:v>0.0</x:v>
      </x:c>
      <x:c r="G350" s="1">
        <x:v>4.2</x:v>
      </x:c>
      <x:c r="H350" s="18">
        <x:f t="shared" si="1"/>
        <x:v>0.8590540541</x:v>
      </x:c>
      <x:c r="I350" s="122"/>
      <x:c r="J350" s="122"/>
      <x:c r="K350" s="122"/>
    </x:row>
    <x:row r="351" ht="14.25" customHeight="1">
      <x:c r="A351" s="1" t="s">
        <x:v>1039</x:v>
      </x:c>
      <x:c r="B351" s="1" t="s">
        <x:v>505</x:v>
      </x:c>
      <x:c r="C351" s="1">
        <x:v>0.0</x:v>
      </x:c>
      <x:c r="D351" s="1">
        <x:v>0.0</x:v>
      </x:c>
      <x:c r="E351" s="1">
        <x:v>0.0</x:v>
      </x:c>
      <x:c r="F351" s="1">
        <x:v>0.0</x:v>
      </x:c>
      <x:c r="G351" s="1">
        <x:v>0.0</x:v>
      </x:c>
      <x:c r="H351" s="18">
        <x:f t="shared" si="1"/>
        <x:v>0</x:v>
      </x:c>
      <x:c r="I351" s="119" t="n">
        <x:f>C353*Scoring!$B$36+TE!D353/Scoring!$C$36+TE!E353*Scoring!$D$36+TE!F353*Scoring!$E$36+H353*Scoring!$F$36</x:f>
        <x:v>0</x:v>
      </x:c>
      <x:c r="J351" s="119" t="n">
        <x:f>C351*Scoring!$B$36+TE!D351/Scoring!$C$36+TE!E351*Scoring!$D$36+TE!F351*Scoring!$E$36+H351*Scoring!$F$36</x:f>
        <x:v>0</x:v>
      </x:c>
      <x:c r="K351" s="119" t="n">
        <x:f>C352*Scoring!$B$36+TE!D352/Scoring!$C$36+TE!E352*Scoring!$D$36+TE!F352*Scoring!$E$36+H352*Scoring!$F$36</x:f>
        <x:v>0</x:v>
      </x:c>
    </x:row>
    <x:row r="352" ht="14.25" customHeight="1">
      <x:c r="B352" s="1" t="s">
        <x:v>488</x:v>
      </x:c>
      <x:c r="C352" s="1">
        <x:v>0.0</x:v>
      </x:c>
      <x:c r="D352" s="1">
        <x:v>0.0</x:v>
      </x:c>
      <x:c r="E352" s="1">
        <x:v>0.0</x:v>
      </x:c>
      <x:c r="F352" s="1">
        <x:v>0.0</x:v>
      </x:c>
      <x:c r="G352" s="1">
        <x:v>0.0</x:v>
      </x:c>
      <x:c r="H352" s="18">
        <x:f t="shared" si="1"/>
        <x:v>0</x:v>
      </x:c>
      <x:c r="I352" s="122"/>
      <x:c r="J352" s="122"/>
      <x:c r="K352" s="122"/>
    </x:row>
    <x:row r="353" ht="14.25" customHeight="1">
      <x:c r="B353" s="1" t="s">
        <x:v>489</x:v>
      </x:c>
      <x:c r="C353" s="1">
        <x:v>0.0</x:v>
      </x:c>
      <x:c r="D353" s="1">
        <x:v>0.0</x:v>
      </x:c>
      <x:c r="E353" s="1">
        <x:v>0.0</x:v>
      </x:c>
      <x:c r="F353" s="1">
        <x:v>0.0</x:v>
      </x:c>
      <x:c r="G353" s="1">
        <x:v>0.0</x:v>
      </x:c>
      <x:c r="H353" s="18">
        <x:f t="shared" si="1"/>
        <x:v>0</x:v>
      </x:c>
      <x:c r="I353" s="122"/>
      <x:c r="J353" s="122"/>
      <x:c r="K353" s="122"/>
    </x:row>
    <x:row r="354" ht="14.25" customHeight="1">
      <x:c r="A354" s="1" t="s">
        <x:v>1040</x:v>
      </x:c>
      <x:c r="B354" s="1" t="s">
        <x:v>529</x:v>
      </x:c>
      <x:c r="C354" s="1">
        <x:v>0.0</x:v>
      </x:c>
      <x:c r="D354" s="1">
        <x:v>0.0</x:v>
      </x:c>
      <x:c r="E354" s="1">
        <x:v>0.0</x:v>
      </x:c>
      <x:c r="F354" s="1">
        <x:v>0.0</x:v>
      </x:c>
      <x:c r="G354" s="1">
        <x:v>0.0</x:v>
      </x:c>
      <x:c r="H354" s="18">
        <x:f t="shared" si="1"/>
        <x:v>0</x:v>
      </x:c>
      <x:c r="I354" s="119" t="n">
        <x:f>C356*Scoring!$B$36+TE!D356/Scoring!$C$36+TE!E356*Scoring!$D$36+TE!F356*Scoring!$E$36+H356*Scoring!$F$36</x:f>
        <x:v>0</x:v>
      </x:c>
      <x:c r="J354" s="119" t="n">
        <x:f>C354*Scoring!$B$36+TE!D354/Scoring!$C$36+TE!E354*Scoring!$D$36+TE!F354*Scoring!$E$36+H354*Scoring!$F$36</x:f>
        <x:v>0</x:v>
      </x:c>
      <x:c r="K354" s="119" t="n">
        <x:f>C355*Scoring!$B$36+TE!D355/Scoring!$C$36+TE!E355*Scoring!$D$36+TE!F355*Scoring!$E$36+H355*Scoring!$F$36</x:f>
        <x:v>0</x:v>
      </x:c>
    </x:row>
    <x:row r="355" ht="14.25" customHeight="1">
      <x:c r="B355" s="1" t="s">
        <x:v>488</x:v>
      </x:c>
      <x:c r="C355" s="1">
        <x:v>0.0</x:v>
      </x:c>
      <x:c r="D355" s="1">
        <x:v>0.0</x:v>
      </x:c>
      <x:c r="E355" s="1">
        <x:v>0.0</x:v>
      </x:c>
      <x:c r="F355" s="1">
        <x:v>0.0</x:v>
      </x:c>
      <x:c r="G355" s="1">
        <x:v>0.0</x:v>
      </x:c>
      <x:c r="H355" s="18">
        <x:f t="shared" si="1"/>
        <x:v>0</x:v>
      </x:c>
      <x:c r="I355" s="122"/>
      <x:c r="J355" s="122"/>
      <x:c r="K355" s="122"/>
    </x:row>
    <x:row r="356" ht="14.25" customHeight="1">
      <x:c r="B356" s="1" t="s">
        <x:v>489</x:v>
      </x:c>
      <x:c r="C356" s="1">
        <x:v>0.0</x:v>
      </x:c>
      <x:c r="D356" s="1">
        <x:v>0.0</x:v>
      </x:c>
      <x:c r="E356" s="1">
        <x:v>0.0</x:v>
      </x:c>
      <x:c r="F356" s="1">
        <x:v>0.0</x:v>
      </x:c>
      <x:c r="G356" s="1">
        <x:v>0.0</x:v>
      </x:c>
      <x:c r="H356" s="18">
        <x:f t="shared" si="1"/>
        <x:v>0</x:v>
      </x:c>
      <x:c r="I356" s="122"/>
      <x:c r="J356" s="122"/>
      <x:c r="K356" s="122"/>
    </x:row>
    <x:row r="357" ht="14.25" customHeight="1">
      <x:c r="A357" s="1" t="s">
        <x:v>1041</x:v>
      </x:c>
      <x:c r="B357" s="1" t="s">
        <x:v>539</x:v>
      </x:c>
      <x:c r="C357" s="1">
        <x:v>0.0</x:v>
      </x:c>
      <x:c r="D357" s="1">
        <x:v>0.0</x:v>
      </x:c>
      <x:c r="E357" s="1">
        <x:v>0.0</x:v>
      </x:c>
      <x:c r="F357" s="1">
        <x:v>0.0</x:v>
      </x:c>
      <x:c r="G357" s="1">
        <x:v>0.0</x:v>
      </x:c>
      <x:c r="H357" s="18">
        <x:f t="shared" si="1"/>
        <x:v>0</x:v>
      </x:c>
      <x:c r="I357" s="119" t="n">
        <x:f>C359*Scoring!$B$36+TE!D359/Scoring!$C$36+TE!E359*Scoring!$D$36+TE!F359*Scoring!$E$36+H359*Scoring!$F$36</x:f>
        <x:v>0</x:v>
      </x:c>
      <x:c r="J357" s="119" t="n">
        <x:f>C357*Scoring!$B$36+TE!D357/Scoring!$C$36+TE!E357*Scoring!$D$36+TE!F357*Scoring!$E$36+H357*Scoring!$F$36</x:f>
        <x:v>0</x:v>
      </x:c>
      <x:c r="K357" s="119" t="n">
        <x:f>C358*Scoring!$B$36+TE!D358/Scoring!$C$36+TE!E358*Scoring!$D$36+TE!F358*Scoring!$E$36+H358*Scoring!$F$36</x:f>
        <x:v>0</x:v>
      </x:c>
    </x:row>
    <x:row r="358" ht="14.25" customHeight="1">
      <x:c r="B358" s="1" t="s">
        <x:v>488</x:v>
      </x:c>
      <x:c r="C358" s="1">
        <x:v>0.0</x:v>
      </x:c>
      <x:c r="D358" s="1">
        <x:v>0.0</x:v>
      </x:c>
      <x:c r="E358" s="1">
        <x:v>0.0</x:v>
      </x:c>
      <x:c r="F358" s="1">
        <x:v>0.0</x:v>
      </x:c>
      <x:c r="G358" s="1">
        <x:v>0.0</x:v>
      </x:c>
      <x:c r="H358" s="18">
        <x:f t="shared" si="1"/>
        <x:v>0</x:v>
      </x:c>
      <x:c r="I358" s="122"/>
      <x:c r="J358" s="122"/>
      <x:c r="K358" s="122"/>
    </x:row>
    <x:row r="359" ht="14.25" customHeight="1">
      <x:c r="B359" s="1" t="s">
        <x:v>489</x:v>
      </x:c>
      <x:c r="C359" s="1">
        <x:v>0.0</x:v>
      </x:c>
      <x:c r="D359" s="1">
        <x:v>0.0</x:v>
      </x:c>
      <x:c r="E359" s="1">
        <x:v>0.0</x:v>
      </x:c>
      <x:c r="F359" s="1">
        <x:v>0.0</x:v>
      </x:c>
      <x:c r="G359" s="1">
        <x:v>0.0</x:v>
      </x:c>
      <x:c r="H359" s="18">
        <x:f t="shared" si="1"/>
        <x:v>0</x:v>
      </x:c>
      <x:c r="I359" s="122"/>
      <x:c r="J359" s="122"/>
      <x:c r="K359" s="122"/>
    </x:row>
    <x:row r="360" ht="14.25" customHeight="1">
      <x:c r="A360" s="1" t="s">
        <x:v>1042</x:v>
      </x:c>
      <x:c r="B360" s="1" t="s">
        <x:v>549</x:v>
      </x:c>
      <x:c r="C360" s="1">
        <x:v>0.0</x:v>
      </x:c>
      <x:c r="D360" s="1">
        <x:v>0.0</x:v>
      </x:c>
      <x:c r="E360" s="1">
        <x:v>0.0</x:v>
      </x:c>
      <x:c r="F360" s="1">
        <x:v>0.0</x:v>
      </x:c>
      <x:c r="G360" s="1">
        <x:v>0.0</x:v>
      </x:c>
      <x:c r="H360" s="18">
        <x:f t="shared" si="1"/>
        <x:v>0</x:v>
      </x:c>
      <x:c r="I360" s="119" t="n">
        <x:f>C362*Scoring!$B$36+TE!D362/Scoring!$C$36+TE!E362*Scoring!$D$36+TE!F362*Scoring!$E$36+H362*Scoring!$F$36</x:f>
        <x:v>0</x:v>
      </x:c>
      <x:c r="J360" s="119" t="n">
        <x:f>C360*Scoring!$B$36+TE!D360/Scoring!$C$36+TE!E360*Scoring!$D$36+TE!F360*Scoring!$E$36+H360*Scoring!$F$36</x:f>
        <x:v>0</x:v>
      </x:c>
      <x:c r="K360" s="119" t="n">
        <x:f>C361*Scoring!$B$36+TE!D361/Scoring!$C$36+TE!E361*Scoring!$D$36+TE!F361*Scoring!$E$36+H361*Scoring!$F$36</x:f>
        <x:v>0</x:v>
      </x:c>
    </x:row>
    <x:row r="361" ht="14.25" customHeight="1">
      <x:c r="B361" s="1" t="s">
        <x:v>488</x:v>
      </x:c>
      <x:c r="C361" s="1">
        <x:v>0.0</x:v>
      </x:c>
      <x:c r="D361" s="1">
        <x:v>0.0</x:v>
      </x:c>
      <x:c r="E361" s="1">
        <x:v>0.0</x:v>
      </x:c>
      <x:c r="F361" s="1">
        <x:v>0.0</x:v>
      </x:c>
      <x:c r="G361" s="1">
        <x:v>0.0</x:v>
      </x:c>
      <x:c r="H361" s="18">
        <x:f t="shared" si="1"/>
        <x:v>0</x:v>
      </x:c>
      <x:c r="I361" s="122"/>
      <x:c r="J361" s="122"/>
      <x:c r="K361" s="122"/>
    </x:row>
    <x:row r="362" ht="14.25" customHeight="1">
      <x:c r="B362" s="1" t="s">
        <x:v>489</x:v>
      </x:c>
      <x:c r="C362" s="1">
        <x:v>0.0</x:v>
      </x:c>
      <x:c r="D362" s="1">
        <x:v>0.0</x:v>
      </x:c>
      <x:c r="E362" s="1">
        <x:v>0.0</x:v>
      </x:c>
      <x:c r="F362" s="1">
        <x:v>0.0</x:v>
      </x:c>
      <x:c r="G362" s="1">
        <x:v>0.0</x:v>
      </x:c>
      <x:c r="H362" s="18">
        <x:f t="shared" si="1"/>
        <x:v>0</x:v>
      </x:c>
      <x:c r="I362" s="122"/>
      <x:c r="J362" s="122"/>
      <x:c r="K362" s="122"/>
    </x:row>
    <x:row r="363" ht="14.25" customHeight="1">
      <x:c r="A363" s="1" t="s">
        <x:v>1043</x:v>
      </x:c>
      <x:c r="B363" s="1" t="s">
        <x:v>493</x:v>
      </x:c>
      <x:c r="C363" s="1">
        <x:v>0.0</x:v>
      </x:c>
      <x:c r="D363" s="1">
        <x:v>0.0</x:v>
      </x:c>
      <x:c r="E363" s="1">
        <x:v>0.0</x:v>
      </x:c>
      <x:c r="F363" s="1">
        <x:v>0.0</x:v>
      </x:c>
      <x:c r="G363" s="1">
        <x:v>0.0</x:v>
      </x:c>
      <x:c r="H363" s="18">
        <x:f t="shared" si="1"/>
        <x:v>0</x:v>
      </x:c>
      <x:c r="I363" s="119" t="n">
        <x:f>C365*Scoring!$B$36+TE!D365/Scoring!$C$36+TE!E365*Scoring!$D$36+TE!F365*Scoring!$E$36+H365*Scoring!$F$36</x:f>
        <x:v>0</x:v>
      </x:c>
      <x:c r="J363" s="119" t="n">
        <x:f>C363*Scoring!$B$36+TE!D363/Scoring!$C$36+TE!E363*Scoring!$D$36+TE!F363*Scoring!$E$36+H363*Scoring!$F$36</x:f>
        <x:v>0</x:v>
      </x:c>
      <x:c r="K363" s="119" t="n">
        <x:f>C364*Scoring!$B$36+TE!D364/Scoring!$C$36+TE!E364*Scoring!$D$36+TE!F364*Scoring!$E$36+H364*Scoring!$F$36</x:f>
        <x:v>0</x:v>
      </x:c>
    </x:row>
    <x:row r="364" ht="14.25" customHeight="1">
      <x:c r="B364" s="1" t="s">
        <x:v>488</x:v>
      </x:c>
      <x:c r="C364" s="1">
        <x:v>0.0</x:v>
      </x:c>
      <x:c r="D364" s="1">
        <x:v>0.0</x:v>
      </x:c>
      <x:c r="E364" s="1">
        <x:v>0.0</x:v>
      </x:c>
      <x:c r="F364" s="1">
        <x:v>0.0</x:v>
      </x:c>
      <x:c r="G364" s="1">
        <x:v>0.0</x:v>
      </x:c>
      <x:c r="H364" s="18">
        <x:f t="shared" si="1"/>
        <x:v>0</x:v>
      </x:c>
      <x:c r="I364" s="122"/>
      <x:c r="J364" s="122"/>
      <x:c r="K364" s="122"/>
    </x:row>
    <x:row r="365" ht="14.25" customHeight="1">
      <x:c r="B365" s="1" t="s">
        <x:v>489</x:v>
      </x:c>
      <x:c r="C365" s="1">
        <x:v>0.0</x:v>
      </x:c>
      <x:c r="D365" s="1">
        <x:v>0.0</x:v>
      </x:c>
      <x:c r="E365" s="1">
        <x:v>0.0</x:v>
      </x:c>
      <x:c r="F365" s="1">
        <x:v>0.0</x:v>
      </x:c>
      <x:c r="G365" s="1">
        <x:v>0.0</x:v>
      </x:c>
      <x:c r="H365" s="18">
        <x:f t="shared" si="1"/>
        <x:v>0</x:v>
      </x:c>
      <x:c r="I365" s="122"/>
      <x:c r="J365" s="122"/>
      <x:c r="K365" s="122"/>
    </x:row>
    <x:row r="366" ht="14.25" customHeight="1">
      <x:c r="H366" s="18">
        <x:f t="shared" si="1"/>
        <x:v>0</x:v>
      </x:c>
      <x:c r="I366" s="119" t="n">
        <x:f>C368*Scoring!$B$36+TE!D368/Scoring!$C$36+TE!E368*Scoring!$D$36+TE!F368*Scoring!$E$36+H368*Scoring!$F$36</x:f>
        <x:v>0</x:v>
      </x:c>
      <x:c r="J366" s="119" t="n">
        <x:f>C366*Scoring!$B$36+TE!D366/Scoring!$C$36+TE!E366*Scoring!$D$36+TE!F366*Scoring!$E$36+H366*Scoring!$F$36</x:f>
        <x:v>0</x:v>
      </x:c>
      <x:c r="K366" s="119" t="n">
        <x:f>C367*Scoring!$B$36+TE!D367/Scoring!$C$36+TE!E367*Scoring!$D$36+TE!F367*Scoring!$E$36+H367*Scoring!$F$36</x:f>
        <x:v>0</x:v>
      </x:c>
    </x:row>
    <x:row r="367" ht="14.25" customHeight="1">
      <x:c r="H367" s="18">
        <x:f t="shared" si="1"/>
        <x:v>0</x:v>
      </x:c>
      <x:c r="I367" s="122"/>
      <x:c r="J367" s="122"/>
      <x:c r="K367" s="122"/>
    </x:row>
    <x:row r="368" ht="14.25" customHeight="1">
      <x:c r="H368" s="18">
        <x:f t="shared" si="1"/>
        <x:v>0</x:v>
      </x:c>
      <x:c r="I368" s="122"/>
      <x:c r="J368" s="122"/>
      <x:c r="K368" s="122"/>
    </x:row>
    <x:row r="369" ht="14.25" customHeight="1">
      <x:c r="H369" s="18">
        <x:f t="shared" si="1"/>
        <x:v>0</x:v>
      </x:c>
      <x:c r="I369" s="119" t="n">
        <x:f>C371*Scoring!$B$36+TE!D371/Scoring!$C$36+TE!E371*Scoring!$D$36+TE!F371*Scoring!$E$36+H371*Scoring!$F$36</x:f>
        <x:v>0</x:v>
      </x:c>
      <x:c r="J369" s="119" t="n">
        <x:f>C369*Scoring!$B$36+TE!D369/Scoring!$C$36+TE!E369*Scoring!$D$36+TE!F369*Scoring!$E$36+H369*Scoring!$F$36</x:f>
        <x:v>0</x:v>
      </x:c>
      <x:c r="K369" s="119" t="n">
        <x:f>C370*Scoring!$B$36+TE!D370/Scoring!$C$36+TE!E370*Scoring!$D$36+TE!F370*Scoring!$E$36+H370*Scoring!$F$36</x:f>
        <x:v>0</x:v>
      </x:c>
    </x:row>
    <x:row r="370" ht="14.25" customHeight="1">
      <x:c r="H370" s="18">
        <x:f t="shared" si="1"/>
        <x:v>0</x:v>
      </x:c>
      <x:c r="I370" s="122"/>
      <x:c r="J370" s="122"/>
      <x:c r="K370" s="122"/>
    </x:row>
    <x:row r="371" ht="14.25" customHeight="1">
      <x:c r="H371" s="18">
        <x:f t="shared" si="1"/>
        <x:v>0</x:v>
      </x:c>
      <x:c r="I371" s="122"/>
      <x:c r="J371" s="122"/>
      <x:c r="K371" s="122"/>
    </x:row>
    <x:row r="372" ht="14.25" customHeight="1">
      <x:c r="H372" s="18">
        <x:f t="shared" si="1"/>
        <x:v>0</x:v>
      </x:c>
      <x:c r="I372" s="119" t="n">
        <x:f>C374*Scoring!$B$36+TE!D374/Scoring!$C$36+TE!E374*Scoring!$D$36+TE!F374*Scoring!$E$36+H374*Scoring!$F$36</x:f>
        <x:v>0</x:v>
      </x:c>
      <x:c r="J372" s="119" t="n">
        <x:f>C372*Scoring!$B$36+TE!D372/Scoring!$C$36+TE!E372*Scoring!$D$36+TE!F372*Scoring!$E$36+H372*Scoring!$F$36</x:f>
        <x:v>0</x:v>
      </x:c>
      <x:c r="K372" s="119" t="n">
        <x:f>C373*Scoring!$B$36+TE!D373/Scoring!$C$36+TE!E373*Scoring!$D$36+TE!F373*Scoring!$E$36+H373*Scoring!$F$36</x:f>
        <x:v>0</x:v>
      </x:c>
    </x:row>
    <x:row r="373" ht="14.25" customHeight="1">
      <x:c r="H373" s="18">
        <x:f t="shared" si="1"/>
        <x:v>0</x:v>
      </x:c>
      <x:c r="I373" s="122"/>
      <x:c r="J373" s="122"/>
      <x:c r="K373" s="122"/>
    </x:row>
    <x:row r="374" ht="14.25" customHeight="1">
      <x:c r="H374" s="18">
        <x:f t="shared" si="1"/>
        <x:v>0</x:v>
      </x:c>
      <x:c r="I374" s="122"/>
      <x:c r="J374" s="122"/>
      <x:c r="K374" s="122"/>
    </x:row>
    <x:row r="375" ht="14.25" customHeight="1">
      <x:c r="H375" s="18">
        <x:f t="shared" si="1"/>
        <x:v>0</x:v>
      </x:c>
      <x:c r="I375" s="119" t="n">
        <x:f>C377*Scoring!$B$36+TE!D377/Scoring!$C$36+TE!E377*Scoring!$D$36+TE!F377*Scoring!$E$36+H377*Scoring!$F$36</x:f>
        <x:v>0</x:v>
      </x:c>
      <x:c r="J375" s="119" t="n">
        <x:f>C375*Scoring!$B$36+TE!D375/Scoring!$C$36+TE!E375*Scoring!$D$36+TE!F375*Scoring!$E$36+H375*Scoring!$F$36</x:f>
        <x:v>0</x:v>
      </x:c>
      <x:c r="K375" s="119" t="n">
        <x:f>C376*Scoring!$B$36+TE!D376/Scoring!$C$36+TE!E376*Scoring!$D$36+TE!F376*Scoring!$E$36+H376*Scoring!$F$36</x:f>
        <x:v>0</x:v>
      </x:c>
    </x:row>
    <x:row r="376" ht="14.25" customHeight="1">
      <x:c r="H376" s="18">
        <x:f t="shared" si="1"/>
        <x:v>0</x:v>
      </x:c>
      <x:c r="I376" s="122"/>
      <x:c r="J376" s="122"/>
      <x:c r="K376" s="122"/>
    </x:row>
    <x:row r="377" ht="14.25" customHeight="1">
      <x:c r="H377" s="18">
        <x:f t="shared" si="1"/>
        <x:v>0</x:v>
      </x:c>
      <x:c r="I377" s="122"/>
      <x:c r="J377" s="122"/>
      <x:c r="K377" s="122"/>
    </x:row>
    <x:row r="378" ht="14.25" customHeight="1">
      <x:c r="H378" s="18">
        <x:f t="shared" si="1"/>
        <x:v>0</x:v>
      </x:c>
      <x:c r="I378" s="119" t="n">
        <x:f>C380*Scoring!$B$36+TE!D380/Scoring!$C$36+TE!E380*Scoring!$D$36+TE!F380*Scoring!$E$36+H380*Scoring!$F$36</x:f>
        <x:v>0</x:v>
      </x:c>
      <x:c r="J378" s="119" t="n">
        <x:f>C378*Scoring!$B$36+TE!D378/Scoring!$C$36+TE!E378*Scoring!$D$36+TE!F378*Scoring!$E$36+H378*Scoring!$F$36</x:f>
        <x:v>0</x:v>
      </x:c>
      <x:c r="K378" s="119" t="n">
        <x:f>C379*Scoring!$B$36+TE!D379/Scoring!$C$36+TE!E379*Scoring!$D$36+TE!F379*Scoring!$E$36+H379*Scoring!$F$36</x:f>
        <x:v>0</x:v>
      </x:c>
    </x:row>
    <x:row r="379" ht="14.25" customHeight="1">
      <x:c r="H379" s="18">
        <x:f t="shared" si="1"/>
        <x:v>0</x:v>
      </x:c>
      <x:c r="I379" s="122"/>
      <x:c r="J379" s="122"/>
      <x:c r="K379" s="122"/>
    </x:row>
    <x:row r="380" ht="14.25" customHeight="1">
      <x:c r="H380" s="18">
        <x:f t="shared" si="1"/>
        <x:v>0</x:v>
      </x:c>
      <x:c r="I380" s="122"/>
      <x:c r="J380" s="122"/>
      <x:c r="K380" s="122"/>
    </x:row>
    <x:row r="381" ht="14.25" customHeight="1">
      <x:c r="H381" s="18">
        <x:f t="shared" si="1"/>
        <x:v>0</x:v>
      </x:c>
      <x:c r="I381" s="119" t="n">
        <x:f>C383*Scoring!$B$36+TE!D383/Scoring!$C$36+TE!E383*Scoring!$D$36+TE!F383*Scoring!$E$36+H383*Scoring!$F$36</x:f>
        <x:v>0</x:v>
      </x:c>
      <x:c r="J381" s="119" t="n">
        <x:f>C381*Scoring!$B$36+TE!D381/Scoring!$C$36+TE!E381*Scoring!$D$36+TE!F381*Scoring!$E$36+H381*Scoring!$F$36</x:f>
        <x:v>0</x:v>
      </x:c>
      <x:c r="K381" s="119" t="n">
        <x:f>C382*Scoring!$B$36+TE!D382/Scoring!$C$36+TE!E382*Scoring!$D$36+TE!F382*Scoring!$E$36+H382*Scoring!$F$36</x:f>
        <x:v>0</x:v>
      </x:c>
    </x:row>
    <x:row r="382" ht="14.25" customHeight="1">
      <x:c r="H382" s="18">
        <x:f t="shared" si="1"/>
        <x:v>0</x:v>
      </x:c>
      <x:c r="I382" s="122"/>
      <x:c r="J382" s="122"/>
      <x:c r="K382" s="122"/>
    </x:row>
    <x:row r="383" ht="14.25" customHeight="1">
      <x:c r="H383" s="18">
        <x:f t="shared" si="1"/>
        <x:v>0</x:v>
      </x:c>
      <x:c r="I383" s="122"/>
      <x:c r="J383" s="122"/>
      <x:c r="K383" s="122"/>
    </x:row>
    <x:row r="384" ht="14.25" customHeight="1">
      <x:c r="H384" s="18">
        <x:f t="shared" si="1"/>
        <x:v>0</x:v>
      </x:c>
      <x:c r="I384" s="119" t="n">
        <x:f>C386*Scoring!$B$36+TE!D386/Scoring!$C$36+TE!E386*Scoring!$D$36+TE!F386*Scoring!$E$36+H386*Scoring!$F$36</x:f>
        <x:v>0</x:v>
      </x:c>
      <x:c r="J384" s="119" t="n">
        <x:f>C384*Scoring!$B$36+TE!D384/Scoring!$C$36+TE!E384*Scoring!$D$36+TE!F384*Scoring!$E$36+H384*Scoring!$F$36</x:f>
        <x:v>0</x:v>
      </x:c>
      <x:c r="K384" s="119" t="n">
        <x:f>C385*Scoring!$B$36+TE!D385/Scoring!$C$36+TE!E385*Scoring!$D$36+TE!F385*Scoring!$E$36+H385*Scoring!$F$36</x:f>
        <x:v>0</x:v>
      </x:c>
    </x:row>
    <x:row r="385" ht="14.25" customHeight="1">
      <x:c r="H385" s="18">
        <x:f t="shared" si="1"/>
        <x:v>0</x:v>
      </x:c>
      <x:c r="I385" s="122"/>
      <x:c r="J385" s="122"/>
      <x:c r="K385" s="122"/>
    </x:row>
    <x:row r="386" ht="14.25" customHeight="1">
      <x:c r="H386" s="18">
        <x:f t="shared" si="1"/>
        <x:v>0</x:v>
      </x:c>
      <x:c r="I386" s="122"/>
      <x:c r="J386" s="122"/>
      <x:c r="K386" s="122"/>
    </x:row>
    <x:row r="387" ht="14.25" customHeight="1">
      <x:c r="H387" s="18">
        <x:f t="shared" si="1"/>
        <x:v>0</x:v>
      </x:c>
      <x:c r="I387" s="119" t="n">
        <x:f>C389*Scoring!$B$36+TE!D389/Scoring!$C$36+TE!E389*Scoring!$D$36+TE!F389*Scoring!$E$36+H389*Scoring!$F$36</x:f>
        <x:v>0</x:v>
      </x:c>
      <x:c r="J387" s="119" t="n">
        <x:f>C387*Scoring!$B$36+TE!D387/Scoring!$C$36+TE!E387*Scoring!$D$36+TE!F387*Scoring!$E$36+H387*Scoring!$F$36</x:f>
        <x:v>0</x:v>
      </x:c>
      <x:c r="K387" s="119" t="n">
        <x:f>C388*Scoring!$B$36+TE!D388/Scoring!$C$36+TE!E388*Scoring!$D$36+TE!F388*Scoring!$E$36+H388*Scoring!$F$36</x:f>
        <x:v>0</x:v>
      </x:c>
    </x:row>
    <x:row r="388" ht="14.25" customHeight="1">
      <x:c r="H388" s="18">
        <x:f t="shared" si="1"/>
        <x:v>0</x:v>
      </x:c>
      <x:c r="I388" s="122"/>
      <x:c r="J388" s="122"/>
      <x:c r="K388" s="122"/>
    </x:row>
    <x:row r="389" ht="14.25" customHeight="1">
      <x:c r="H389" s="18">
        <x:f t="shared" si="1"/>
        <x:v>0</x:v>
      </x:c>
      <x:c r="I389" s="122"/>
      <x:c r="J389" s="122"/>
      <x:c r="K389" s="122"/>
    </x:row>
    <x:row r="390" ht="14.25" customHeight="1">
      <x:c r="H390" s="18">
        <x:f t="shared" si="1"/>
        <x:v>0</x:v>
      </x:c>
      <x:c r="I390" s="119" t="n">
        <x:f>C392*Scoring!$B$36+TE!D392/Scoring!$C$36+TE!E392*Scoring!$D$36+TE!F392*Scoring!$E$36+H392*Scoring!$F$36</x:f>
        <x:v>0</x:v>
      </x:c>
      <x:c r="J390" s="119" t="n">
        <x:f>C390*Scoring!$B$36+TE!D390/Scoring!$C$36+TE!E390*Scoring!$D$36+TE!F390*Scoring!$E$36+H390*Scoring!$F$36</x:f>
        <x:v>0</x:v>
      </x:c>
      <x:c r="K390" s="119" t="n">
        <x:f>C391*Scoring!$B$36+TE!D391/Scoring!$C$36+TE!E391*Scoring!$D$36+TE!F391*Scoring!$E$36+H391*Scoring!$F$36</x:f>
        <x:v>0</x:v>
      </x:c>
    </x:row>
    <x:row r="391" ht="14.25" customHeight="1">
      <x:c r="H391" s="18">
        <x:f t="shared" si="1"/>
        <x:v>0</x:v>
      </x:c>
      <x:c r="I391" s="122"/>
      <x:c r="J391" s="122"/>
      <x:c r="K391" s="122"/>
    </x:row>
    <x:row r="392" ht="14.25" customHeight="1">
      <x:c r="H392" s="18">
        <x:f t="shared" si="1"/>
        <x:v>0</x:v>
      </x:c>
      <x:c r="I392" s="122"/>
      <x:c r="J392" s="122"/>
      <x:c r="K392" s="122"/>
    </x:row>
    <x:row r="393" ht="14.25" customHeight="1">
      <x:c r="H393" s="18">
        <x:f t="shared" si="1"/>
        <x:v>0</x:v>
      </x:c>
      <x:c r="I393" s="119" t="n">
        <x:f>C395*Scoring!$B$36+TE!D395/Scoring!$C$36+TE!E395*Scoring!$D$36+TE!F395*Scoring!$E$36+H395*Scoring!$F$36</x:f>
        <x:v>0</x:v>
      </x:c>
      <x:c r="J393" s="119" t="n">
        <x:f>C393*Scoring!$B$36+TE!D393/Scoring!$C$36+TE!E393*Scoring!$D$36+TE!F393*Scoring!$E$36+H393*Scoring!$F$36</x:f>
        <x:v>0</x:v>
      </x:c>
      <x:c r="K393" s="119" t="n">
        <x:f>C394*Scoring!$B$36+TE!D394/Scoring!$C$36+TE!E394*Scoring!$D$36+TE!F394*Scoring!$E$36+H394*Scoring!$F$36</x:f>
        <x:v>0</x:v>
      </x:c>
    </x:row>
    <x:row r="394" ht="14.25" customHeight="1">
      <x:c r="H394" s="18">
        <x:f t="shared" si="1"/>
        <x:v>0</x:v>
      </x:c>
      <x:c r="I394" s="122"/>
      <x:c r="J394" s="122"/>
      <x:c r="K394" s="122"/>
    </x:row>
    <x:row r="395" ht="14.25" customHeight="1">
      <x:c r="H395" s="18">
        <x:f t="shared" si="1"/>
        <x:v>0</x:v>
      </x:c>
      <x:c r="I395" s="122"/>
      <x:c r="J395" s="122"/>
      <x:c r="K395" s="122"/>
    </x:row>
    <x:row r="396" ht="14.25" customHeight="1">
      <x:c r="H396" s="18">
        <x:f t="shared" si="1"/>
        <x:v>0</x:v>
      </x:c>
      <x:c r="I396" s="119" t="n">
        <x:f>C398*Scoring!$B$36+TE!D398/Scoring!$C$36+TE!E398*Scoring!$D$36+TE!F398*Scoring!$E$36+H398*Scoring!$F$36</x:f>
        <x:v>0</x:v>
      </x:c>
      <x:c r="J396" s="119" t="n">
        <x:f>C396*Scoring!$B$36+TE!D396/Scoring!$C$36+TE!E396*Scoring!$D$36+TE!F396*Scoring!$E$36+H396*Scoring!$F$36</x:f>
        <x:v>0</x:v>
      </x:c>
      <x:c r="K396" s="119" t="n">
        <x:f>C397*Scoring!$B$36+TE!D397/Scoring!$C$36+TE!E397*Scoring!$D$36+TE!F397*Scoring!$E$36+H397*Scoring!$F$36</x:f>
        <x:v>0</x:v>
      </x:c>
    </x:row>
    <x:row r="397" ht="14.25" customHeight="1">
      <x:c r="H397" s="18">
        <x:f t="shared" si="1"/>
        <x:v>0</x:v>
      </x:c>
      <x:c r="I397" s="122"/>
      <x:c r="J397" s="122"/>
      <x:c r="K397" s="122"/>
    </x:row>
    <x:row r="398" ht="14.25" customHeight="1">
      <x:c r="H398" s="18">
        <x:f t="shared" si="1"/>
        <x:v>0</x:v>
      </x:c>
      <x:c r="I398" s="122"/>
      <x:c r="J398" s="122"/>
      <x:c r="K398" s="122"/>
    </x:row>
    <x:row r="399" ht="14.25" customHeight="1">
      <x:c r="H399" s="18">
        <x:f t="shared" si="1"/>
        <x:v>0</x:v>
      </x:c>
      <x:c r="I399" s="119" t="n">
        <x:f>C401*Scoring!$B$36+TE!D401/Scoring!$C$36+TE!E401*Scoring!$D$36+TE!F401*Scoring!$E$36+H401*Scoring!$F$36</x:f>
        <x:v>0</x:v>
      </x:c>
      <x:c r="J399" s="119" t="n">
        <x:f>C399*Scoring!$B$36+TE!D399/Scoring!$C$36+TE!E399*Scoring!$D$36+TE!F399*Scoring!$E$36+H399*Scoring!$F$36</x:f>
        <x:v>0</x:v>
      </x:c>
      <x:c r="K399" s="119" t="n">
        <x:f>C400*Scoring!$B$36+TE!D400/Scoring!$C$36+TE!E400*Scoring!$D$36+TE!F400*Scoring!$E$36+H400*Scoring!$F$36</x:f>
        <x:v>0</x:v>
      </x:c>
    </x:row>
    <x:row r="400" ht="14.25" customHeight="1">
      <x:c r="H400" s="18">
        <x:f t="shared" si="1"/>
        <x:v>0</x:v>
      </x:c>
      <x:c r="I400" s="122"/>
      <x:c r="J400" s="122"/>
      <x:c r="K400" s="122"/>
    </x:row>
    <x:row r="401" ht="14.25" customHeight="1">
      <x:c r="H401" s="18">
        <x:f t="shared" si="1"/>
        <x:v>0</x:v>
      </x:c>
      <x:c r="I401" s="122"/>
      <x:c r="J401" s="122"/>
      <x:c r="K401" s="122"/>
    </x:row>
    <x:row r="402" ht="14.25" customHeight="1">
      <x:c r="H402" s="18">
        <x:f t="shared" si="1"/>
        <x:v>0</x:v>
      </x:c>
      <x:c r="I402" s="119" t="n">
        <x:f>C404*Scoring!$B$36+TE!D404/Scoring!$C$36+TE!E404*Scoring!$D$36+TE!F404*Scoring!$E$36+H404*Scoring!$F$36</x:f>
        <x:v>0</x:v>
      </x:c>
      <x:c r="J402" s="119" t="n">
        <x:f>C402*Scoring!$B$36+TE!D402/Scoring!$C$36+TE!E402*Scoring!$D$36+TE!F402*Scoring!$E$36+H402*Scoring!$F$36</x:f>
        <x:v>0</x:v>
      </x:c>
      <x:c r="K402" s="119" t="n">
        <x:f>C403*Scoring!$B$36+TE!D403/Scoring!$C$36+TE!E403*Scoring!$D$36+TE!F403*Scoring!$E$36+H403*Scoring!$F$36</x:f>
        <x:v>0</x:v>
      </x:c>
    </x:row>
    <x:row r="403" ht="14.25" customHeight="1">
      <x:c r="H403" s="18">
        <x:f t="shared" si="1"/>
        <x:v>0</x:v>
      </x:c>
      <x:c r="I403" s="122"/>
      <x:c r="J403" s="122"/>
      <x:c r="K403" s="122"/>
    </x:row>
    <x:row r="404" ht="14.25" customHeight="1">
      <x:c r="H404" s="18">
        <x:f t="shared" si="1"/>
        <x:v>0</x:v>
      </x:c>
      <x:c r="I404" s="122"/>
      <x:c r="J404" s="122"/>
      <x:c r="K404" s="122"/>
    </x:row>
    <x:row r="405" ht="14.25" customHeight="1">
      <x:c r="H405" s="18">
        <x:f t="shared" si="1"/>
        <x:v>0</x:v>
      </x:c>
      <x:c r="I405" s="119" t="n">
        <x:f>C407*Scoring!$B$36+TE!D407/Scoring!$C$36+TE!E407*Scoring!$D$36+TE!F407*Scoring!$E$36+H407*Scoring!$F$36</x:f>
        <x:v>0</x:v>
      </x:c>
      <x:c r="J405" s="119" t="n">
        <x:f>C405*Scoring!$B$36+TE!D405/Scoring!$C$36+TE!E405*Scoring!$D$36+TE!F405*Scoring!$E$36+H405*Scoring!$F$36</x:f>
        <x:v>0</x:v>
      </x:c>
      <x:c r="K405" s="119" t="n">
        <x:f>C406*Scoring!$B$36+TE!D406/Scoring!$C$36+TE!E406*Scoring!$D$36+TE!F406*Scoring!$E$36+H406*Scoring!$F$36</x:f>
        <x:v>0</x:v>
      </x:c>
    </x:row>
    <x:row r="406" ht="14.25" customHeight="1">
      <x:c r="H406" s="18">
        <x:f t="shared" si="1"/>
        <x:v>0</x:v>
      </x:c>
      <x:c r="I406" s="122"/>
      <x:c r="J406" s="122"/>
      <x:c r="K406" s="122"/>
    </x:row>
    <x:row r="407" ht="14.25" customHeight="1">
      <x:c r="H407" s="18">
        <x:f t="shared" si="1"/>
        <x:v>0</x:v>
      </x:c>
      <x:c r="I407" s="122"/>
      <x:c r="J407" s="122"/>
      <x:c r="K407" s="122"/>
    </x:row>
    <x:row r="408" ht="14.25" customHeight="1">
      <x:c r="H408" s="18">
        <x:f t="shared" si="1"/>
        <x:v>0</x:v>
      </x:c>
      <x:c r="I408" s="119" t="n">
        <x:f>C410*Scoring!$B$36+TE!D410/Scoring!$C$36+TE!E410*Scoring!$D$36+TE!F410*Scoring!$E$36+H410*Scoring!$F$36</x:f>
        <x:v>0</x:v>
      </x:c>
      <x:c r="J408" s="119" t="n">
        <x:f>C408*Scoring!$B$36+TE!D408/Scoring!$C$36+TE!E408*Scoring!$D$36+TE!F408*Scoring!$E$36+H408*Scoring!$F$36</x:f>
        <x:v>0</x:v>
      </x:c>
      <x:c r="K408" s="119" t="n">
        <x:f>C409*Scoring!$B$36+TE!D409/Scoring!$C$36+TE!E409*Scoring!$D$36+TE!F409*Scoring!$E$36+H409*Scoring!$F$36</x:f>
        <x:v>0</x:v>
      </x:c>
    </x:row>
    <x:row r="409" ht="14.25" customHeight="1">
      <x:c r="H409" s="18">
        <x:f t="shared" si="1"/>
        <x:v>0</x:v>
      </x:c>
      <x:c r="I409" s="122"/>
      <x:c r="J409" s="122"/>
      <x:c r="K409" s="122"/>
    </x:row>
    <x:row r="410" ht="14.25" customHeight="1">
      <x:c r="H410" s="18">
        <x:f t="shared" si="1"/>
        <x:v>0</x:v>
      </x:c>
      <x:c r="I410" s="122"/>
      <x:c r="J410" s="122"/>
      <x:c r="K410" s="122"/>
    </x:row>
    <x:row r="411" ht="14.25" customHeight="1">
      <x:c r="H411" s="18">
        <x:f t="shared" si="1"/>
        <x:v>0</x:v>
      </x:c>
      <x:c r="I411" s="119" t="n">
        <x:f>C413*Scoring!$B$36+TE!D413/Scoring!$C$36+TE!E413*Scoring!$D$36+TE!F413*Scoring!$E$36+H413*Scoring!$F$36</x:f>
        <x:v>0</x:v>
      </x:c>
      <x:c r="J411" s="119" t="n">
        <x:f>C411*Scoring!$B$36+TE!D411/Scoring!$C$36+TE!E411*Scoring!$D$36+TE!F411*Scoring!$E$36+H411*Scoring!$F$36</x:f>
        <x:v>0</x:v>
      </x:c>
      <x:c r="K411" s="119" t="n">
        <x:f>C412*Scoring!$B$36+TE!D412/Scoring!$C$36+TE!E412*Scoring!$D$36+TE!F412*Scoring!$E$36+H412*Scoring!$F$36</x:f>
        <x:v>0</x:v>
      </x:c>
    </x:row>
    <x:row r="412" ht="14.25" customHeight="1">
      <x:c r="H412" s="18">
        <x:f t="shared" si="1"/>
        <x:v>0</x:v>
      </x:c>
      <x:c r="I412" s="122"/>
      <x:c r="J412" s="122"/>
      <x:c r="K412" s="122"/>
    </x:row>
    <x:row r="413" ht="14.25" customHeight="1">
      <x:c r="H413" s="18">
        <x:f t="shared" si="1"/>
        <x:v>0</x:v>
      </x:c>
      <x:c r="I413" s="122"/>
      <x:c r="J413" s="122"/>
      <x:c r="K413" s="122"/>
    </x:row>
    <x:row r="414" ht="14.25" customHeight="1">
      <x:c r="H414" s="18">
        <x:f t="shared" si="1"/>
        <x:v>0</x:v>
      </x:c>
      <x:c r="I414" s="119" t="n">
        <x:f>C416*Scoring!$B$36+TE!D416/Scoring!$C$36+TE!E416*Scoring!$D$36+TE!F416*Scoring!$E$36+H416*Scoring!$F$36</x:f>
        <x:v>0</x:v>
      </x:c>
      <x:c r="J414" s="119" t="n">
        <x:f>C414*Scoring!$B$36+TE!D414/Scoring!$C$36+TE!E414*Scoring!$D$36+TE!F414*Scoring!$E$36+H414*Scoring!$F$36</x:f>
        <x:v>0</x:v>
      </x:c>
      <x:c r="K414" s="119" t="n">
        <x:f>C415*Scoring!$B$36+TE!D415/Scoring!$C$36+TE!E415*Scoring!$D$36+TE!F415*Scoring!$E$36+H415*Scoring!$F$36</x:f>
        <x:v>0</x:v>
      </x:c>
    </x:row>
    <x:row r="415" ht="14.25" customHeight="1">
      <x:c r="H415" s="18">
        <x:f t="shared" si="1"/>
        <x:v>0</x:v>
      </x:c>
      <x:c r="I415" s="122"/>
      <x:c r="J415" s="122"/>
      <x:c r="K415" s="122"/>
    </x:row>
    <x:row r="416" ht="14.25" customHeight="1">
      <x:c r="H416" s="18">
        <x:f t="shared" si="1"/>
        <x:v>0</x:v>
      </x:c>
      <x:c r="I416" s="122"/>
      <x:c r="J416" s="122"/>
      <x:c r="K416" s="122"/>
    </x:row>
    <x:row r="417" ht="14.25" customHeight="1">
      <x:c r="H417" s="18">
        <x:f t="shared" si="1"/>
        <x:v>0</x:v>
      </x:c>
      <x:c r="I417" s="119" t="n">
        <x:f>C419*Scoring!$B$36+TE!D419/Scoring!$C$36+TE!E419*Scoring!$D$36+TE!F419*Scoring!$E$36+H419*Scoring!$F$36</x:f>
        <x:v>0</x:v>
      </x:c>
      <x:c r="J417" s="119" t="n">
        <x:f>C417*Scoring!$B$36+TE!D417/Scoring!$C$36+TE!E417*Scoring!$D$36+TE!F417*Scoring!$E$36+H417*Scoring!$F$36</x:f>
        <x:v>0</x:v>
      </x:c>
      <x:c r="K417" s="119" t="n">
        <x:f>C418*Scoring!$B$36+TE!D418/Scoring!$C$36+TE!E418*Scoring!$D$36+TE!F418*Scoring!$E$36+H418*Scoring!$F$36</x:f>
        <x:v>0</x:v>
      </x:c>
    </x:row>
    <x:row r="418" ht="14.25" customHeight="1">
      <x:c r="H418" s="18">
        <x:f t="shared" si="1"/>
        <x:v>0</x:v>
      </x:c>
      <x:c r="I418" s="122"/>
      <x:c r="J418" s="122"/>
      <x:c r="K418" s="122"/>
    </x:row>
    <x:row r="419" ht="14.25" customHeight="1">
      <x:c r="H419" s="18">
        <x:f t="shared" si="1"/>
        <x:v>0</x:v>
      </x:c>
      <x:c r="I419" s="122"/>
      <x:c r="J419" s="122"/>
      <x:c r="K419" s="122"/>
    </x:row>
    <x:row r="420" ht="14.25" customHeight="1">
      <x:c r="H420" s="18">
        <x:f t="shared" si="1"/>
        <x:v>0</x:v>
      </x:c>
      <x:c r="I420" s="119" t="n">
        <x:f>C422*Scoring!$B$36+TE!D422/Scoring!$C$36+TE!E422*Scoring!$D$36+TE!F422*Scoring!$E$36+H422*Scoring!$F$36</x:f>
        <x:v>0</x:v>
      </x:c>
      <x:c r="J420" s="119" t="n">
        <x:f>C420*Scoring!$B$36+TE!D420/Scoring!$C$36+TE!E420*Scoring!$D$36+TE!F420*Scoring!$E$36+H420*Scoring!$F$36</x:f>
        <x:v>0</x:v>
      </x:c>
      <x:c r="K420" s="119" t="n">
        <x:f>C421*Scoring!$B$36+TE!D421/Scoring!$C$36+TE!E421*Scoring!$D$36+TE!F421*Scoring!$E$36+H421*Scoring!$F$36</x:f>
        <x:v>0</x:v>
      </x:c>
    </x:row>
    <x:row r="421" ht="14.25" customHeight="1">
      <x:c r="H421" s="18">
        <x:f t="shared" si="1"/>
        <x:v>0</x:v>
      </x:c>
      <x:c r="I421" s="122"/>
      <x:c r="J421" s="122"/>
      <x:c r="K421" s="122"/>
    </x:row>
    <x:row r="422" ht="14.25" customHeight="1">
      <x:c r="H422" s="18">
        <x:f t="shared" si="1"/>
        <x:v>0</x:v>
      </x:c>
      <x:c r="I422" s="122"/>
      <x:c r="J422" s="122"/>
      <x:c r="K422" s="122"/>
    </x:row>
    <x:row r="423" ht="14.25" customHeight="1">
      <x:c r="H423" s="18">
        <x:f t="shared" si="1"/>
        <x:v>0</x:v>
      </x:c>
      <x:c r="I423" s="119" t="n">
        <x:f>C425*Scoring!$B$36+TE!D425/Scoring!$C$36+TE!E425*Scoring!$D$36+TE!F425*Scoring!$E$36+H425*Scoring!$F$36</x:f>
        <x:v>0</x:v>
      </x:c>
      <x:c r="J423" s="119" t="n">
        <x:f>C423*Scoring!$B$36+TE!D423/Scoring!$C$36+TE!E423*Scoring!$D$36+TE!F423*Scoring!$E$36+H423*Scoring!$F$36</x:f>
        <x:v>0</x:v>
      </x:c>
      <x:c r="K423" s="119" t="n">
        <x:f>C424*Scoring!$B$36+TE!D424/Scoring!$C$36+TE!E424*Scoring!$D$36+TE!F424*Scoring!$E$36+H424*Scoring!$F$36</x:f>
        <x:v>0</x:v>
      </x:c>
    </x:row>
    <x:row r="424" ht="14.25" customHeight="1">
      <x:c r="H424" s="18">
        <x:f t="shared" si="1"/>
        <x:v>0</x:v>
      </x:c>
      <x:c r="I424" s="122"/>
      <x:c r="J424" s="122"/>
      <x:c r="K424" s="122"/>
    </x:row>
    <x:row r="425" ht="14.25" customHeight="1">
      <x:c r="H425" s="18">
        <x:f t="shared" si="1"/>
        <x:v>0</x:v>
      </x:c>
      <x:c r="I425" s="122"/>
      <x:c r="J425" s="122"/>
      <x:c r="K425" s="122"/>
    </x:row>
    <x:row r="426" ht="14.25" customHeight="1">
      <x:c r="H426" s="18">
        <x:f t="shared" si="1"/>
        <x:v>0</x:v>
      </x:c>
      <x:c r="I426" s="119" t="n">
        <x:f>C428*Scoring!$B$36+TE!D428/Scoring!$C$36+TE!E428*Scoring!$D$36+TE!F428*Scoring!$E$36+H428*Scoring!$F$36</x:f>
        <x:v>0</x:v>
      </x:c>
      <x:c r="J426" s="119" t="n">
        <x:f>C426*Scoring!$B$36+TE!D426/Scoring!$C$36+TE!E426*Scoring!$D$36+TE!F426*Scoring!$E$36+H426*Scoring!$F$36</x:f>
        <x:v>0</x:v>
      </x:c>
      <x:c r="K426" s="119" t="n">
        <x:f>C427*Scoring!$B$36+TE!D427/Scoring!$C$36+TE!E427*Scoring!$D$36+TE!F427*Scoring!$E$36+H427*Scoring!$F$36</x:f>
        <x:v>0</x:v>
      </x:c>
    </x:row>
    <x:row r="427" ht="14.25" customHeight="1">
      <x:c r="H427" s="18">
        <x:f t="shared" si="1"/>
        <x:v>0</x:v>
      </x:c>
      <x:c r="I427" s="122"/>
      <x:c r="J427" s="122"/>
      <x:c r="K427" s="122"/>
    </x:row>
    <x:row r="428" ht="14.25" customHeight="1">
      <x:c r="H428" s="18">
        <x:f t="shared" si="1"/>
        <x:v>0</x:v>
      </x:c>
      <x:c r="I428" s="122"/>
      <x:c r="J428" s="122"/>
      <x:c r="K428" s="122"/>
    </x:row>
    <x:row r="429" ht="14.25" customHeight="1">
      <x:c r="H429" s="18">
        <x:f t="shared" si="1"/>
        <x:v>0</x:v>
      </x:c>
      <x:c r="I429" s="119" t="n">
        <x:f>C431*Scoring!$B$36+TE!D431/Scoring!$C$36+TE!E431*Scoring!$D$36+TE!F431*Scoring!$E$36+H431*Scoring!$F$36</x:f>
        <x:v>0</x:v>
      </x:c>
      <x:c r="J429" s="119" t="n">
        <x:f>C429*Scoring!$B$36+TE!D429/Scoring!$C$36+TE!E429*Scoring!$D$36+TE!F429*Scoring!$E$36+H429*Scoring!$F$36</x:f>
        <x:v>0</x:v>
      </x:c>
      <x:c r="K429" s="119" t="n">
        <x:f>C430*Scoring!$B$36+TE!D430/Scoring!$C$36+TE!E430*Scoring!$D$36+TE!F430*Scoring!$E$36+H430*Scoring!$F$36</x:f>
        <x:v>0</x:v>
      </x:c>
    </x:row>
    <x:row r="430" ht="14.25" customHeight="1">
      <x:c r="H430" s="18">
        <x:f t="shared" si="1"/>
        <x:v>0</x:v>
      </x:c>
      <x:c r="I430" s="122"/>
      <x:c r="J430" s="122"/>
      <x:c r="K430" s="122"/>
    </x:row>
    <x:row r="431" ht="14.25" customHeight="1">
      <x:c r="H431" s="18">
        <x:f t="shared" si="1"/>
        <x:v>0</x:v>
      </x:c>
      <x:c r="I431" s="122"/>
      <x:c r="J431" s="122"/>
      <x:c r="K431" s="122"/>
    </x:row>
    <x:row r="432" ht="14.25" customHeight="1">
      <x:c r="H432" s="18">
        <x:f t="shared" si="1"/>
        <x:v>0</x:v>
      </x:c>
      <x:c r="I432" s="119" t="n">
        <x:f>C434*Scoring!$B$36+TE!D434/Scoring!$C$36+TE!E434*Scoring!$D$36+TE!F434*Scoring!$E$36+H434*Scoring!$F$36</x:f>
        <x:v>0</x:v>
      </x:c>
      <x:c r="J432" s="119" t="n">
        <x:f>C432*Scoring!$B$36+TE!D432/Scoring!$C$36+TE!E432*Scoring!$D$36+TE!F432*Scoring!$E$36+H432*Scoring!$F$36</x:f>
        <x:v>0</x:v>
      </x:c>
      <x:c r="K432" s="119" t="n">
        <x:f>C433*Scoring!$B$36+TE!D433/Scoring!$C$36+TE!E433*Scoring!$D$36+TE!F433*Scoring!$E$36+H433*Scoring!$F$36</x:f>
        <x:v>0</x:v>
      </x:c>
    </x:row>
    <x:row r="433" ht="14.25" customHeight="1">
      <x:c r="H433" s="18">
        <x:f t="shared" si="1"/>
        <x:v>0</x:v>
      </x:c>
      <x:c r="I433" s="122"/>
      <x:c r="J433" s="122"/>
      <x:c r="K433" s="122"/>
    </x:row>
    <x:row r="434" ht="14.25" customHeight="1">
      <x:c r="H434" s="18">
        <x:f t="shared" si="1"/>
        <x:v>0</x:v>
      </x:c>
      <x:c r="I434" s="122"/>
      <x:c r="J434" s="122"/>
      <x:c r="K434" s="122"/>
    </x:row>
    <x:row r="435" ht="14.25" customHeight="1">
      <x:c r="H435" s="18">
        <x:f t="shared" si="1"/>
        <x:v>0</x:v>
      </x:c>
      <x:c r="I435" s="119" t="n">
        <x:f>C437*Scoring!$B$36+TE!D437/Scoring!$C$36+TE!E437*Scoring!$D$36+TE!F437*Scoring!$E$36+H437*Scoring!$F$36</x:f>
        <x:v>0</x:v>
      </x:c>
      <x:c r="J435" s="119" t="n">
        <x:f>C435*Scoring!$B$36+TE!D435/Scoring!$C$36+TE!E435*Scoring!$D$36+TE!F435*Scoring!$E$36+H435*Scoring!$F$36</x:f>
        <x:v>0</x:v>
      </x:c>
      <x:c r="K435" s="119" t="n">
        <x:f>C436*Scoring!$B$36+TE!D436/Scoring!$C$36+TE!E436*Scoring!$D$36+TE!F436*Scoring!$E$36+H436*Scoring!$F$36</x:f>
        <x:v>0</x:v>
      </x:c>
    </x:row>
    <x:row r="436" ht="14.25" customHeight="1">
      <x:c r="H436" s="18">
        <x:f t="shared" si="1"/>
        <x:v>0</x:v>
      </x:c>
      <x:c r="I436" s="122"/>
      <x:c r="J436" s="122"/>
      <x:c r="K436" s="122"/>
    </x:row>
    <x:row r="437" ht="14.25" customHeight="1">
      <x:c r="H437" s="18">
        <x:f t="shared" si="1"/>
        <x:v>0</x:v>
      </x:c>
      <x:c r="I437" s="122"/>
      <x:c r="J437" s="122"/>
      <x:c r="K437" s="122"/>
    </x:row>
    <x:row r="438" ht="14.25" customHeight="1">
      <x:c r="H438" s="18">
        <x:f t="shared" si="1"/>
        <x:v>0</x:v>
      </x:c>
      <x:c r="I438" s="119" t="n">
        <x:f>C440*Scoring!$B$36+TE!D440/Scoring!$C$36+TE!E440*Scoring!$D$36+TE!F440*Scoring!$E$36+H440*Scoring!$F$36</x:f>
        <x:v>0</x:v>
      </x:c>
      <x:c r="J438" s="119" t="n">
        <x:f>C438*Scoring!$B$36+TE!D438/Scoring!$C$36+TE!E438*Scoring!$D$36+TE!F438*Scoring!$E$36+H438*Scoring!$F$36</x:f>
        <x:v>0</x:v>
      </x:c>
      <x:c r="K438" s="119" t="n">
        <x:f>C439*Scoring!$B$36+TE!D439/Scoring!$C$36+TE!E439*Scoring!$D$36+TE!F439*Scoring!$E$36+H439*Scoring!$F$36</x:f>
        <x:v>0</x:v>
      </x:c>
    </x:row>
    <x:row r="439" ht="14.25" customHeight="1">
      <x:c r="H439" s="18">
        <x:f t="shared" si="1"/>
        <x:v>0</x:v>
      </x:c>
      <x:c r="I439" s="122"/>
      <x:c r="J439" s="122"/>
      <x:c r="K439" s="122"/>
    </x:row>
    <x:row r="440" ht="14.25" customHeight="1">
      <x:c r="H440" s="18">
        <x:f t="shared" si="1"/>
        <x:v>0</x:v>
      </x:c>
      <x:c r="I440" s="122"/>
      <x:c r="J440" s="122"/>
      <x:c r="K440" s="122"/>
    </x:row>
    <x:row r="441" ht="14.25" customHeight="1">
      <x:c r="H441" s="18">
        <x:f t="shared" si="1"/>
        <x:v>0</x:v>
      </x:c>
      <x:c r="I441" s="119" t="n">
        <x:f>C443*Scoring!$B$36+TE!D443/Scoring!$C$36+TE!E443*Scoring!$D$36+TE!F443*Scoring!$E$36+H443*Scoring!$F$36</x:f>
        <x:v>0</x:v>
      </x:c>
      <x:c r="J441" s="119" t="n">
        <x:f>C441*Scoring!$B$36+TE!D441/Scoring!$C$36+TE!E441*Scoring!$D$36+TE!F441*Scoring!$E$36+H441*Scoring!$F$36</x:f>
        <x:v>0</x:v>
      </x:c>
      <x:c r="K441" s="119" t="n">
        <x:f>C442*Scoring!$B$36+TE!D442/Scoring!$C$36+TE!E442*Scoring!$D$36+TE!F442*Scoring!$E$36+H442*Scoring!$F$36</x:f>
        <x:v>0</x:v>
      </x:c>
    </x:row>
    <x:row r="442" ht="14.25" customHeight="1">
      <x:c r="H442" s="18">
        <x:f t="shared" si="1"/>
        <x:v>0</x:v>
      </x:c>
      <x:c r="I442" s="122"/>
      <x:c r="J442" s="122"/>
      <x:c r="K442" s="122"/>
    </x:row>
    <x:row r="443" ht="14.25" customHeight="1">
      <x:c r="H443" s="18">
        <x:f t="shared" si="1"/>
        <x:v>0</x:v>
      </x:c>
      <x:c r="I443" s="122"/>
      <x:c r="J443" s="122"/>
      <x:c r="K443" s="122"/>
    </x:row>
    <x:row r="444" ht="14.25" customHeight="1">
      <x:c r="H444" s="18">
        <x:f t="shared" si="1"/>
        <x:v>0</x:v>
      </x:c>
      <x:c r="I444" s="119" t="n">
        <x:f>C446*Scoring!$B$36+TE!D446/Scoring!$C$36+TE!E446*Scoring!$D$36+TE!F446*Scoring!$E$36+H446*Scoring!$F$36</x:f>
        <x:v>0</x:v>
      </x:c>
      <x:c r="J444" s="119" t="n">
        <x:f>C444*Scoring!$B$36+TE!D444/Scoring!$C$36+TE!E444*Scoring!$D$36+TE!F444*Scoring!$E$36+H444*Scoring!$F$36</x:f>
        <x:v>0</x:v>
      </x:c>
      <x:c r="K444" s="119" t="n">
        <x:f>C445*Scoring!$B$36+TE!D445/Scoring!$C$36+TE!E445*Scoring!$D$36+TE!F445*Scoring!$E$36+H445*Scoring!$F$36</x:f>
        <x:v>0</x:v>
      </x:c>
    </x:row>
    <x:row r="445" ht="14.25" customHeight="1">
      <x:c r="H445" s="18">
        <x:f t="shared" si="1"/>
        <x:v>0</x:v>
      </x:c>
      <x:c r="I445" s="122"/>
      <x:c r="J445" s="122"/>
      <x:c r="K445" s="122"/>
    </x:row>
    <x:row r="446" ht="14.25" customHeight="1">
      <x:c r="H446" s="18">
        <x:f t="shared" si="1"/>
        <x:v>0</x:v>
      </x:c>
      <x:c r="I446" s="122"/>
      <x:c r="J446" s="122"/>
      <x:c r="K446" s="122"/>
    </x:row>
    <x:row r="447" ht="14.25" customHeight="1">
      <x:c r="H447" s="18">
        <x:f t="shared" si="1"/>
        <x:v>0</x:v>
      </x:c>
      <x:c r="I447" s="119" t="n">
        <x:f>C449*Scoring!$B$36+TE!D449/Scoring!$C$36+TE!E449*Scoring!$D$36+TE!F449*Scoring!$E$36+H449*Scoring!$F$36</x:f>
        <x:v>0</x:v>
      </x:c>
      <x:c r="J447" s="119" t="n">
        <x:f>C447*Scoring!$B$36+TE!D447/Scoring!$C$36+TE!E447*Scoring!$D$36+TE!F447*Scoring!$E$36+H447*Scoring!$F$36</x:f>
        <x:v>0</x:v>
      </x:c>
      <x:c r="K447" s="119" t="n">
        <x:f>C448*Scoring!$B$36+TE!D448/Scoring!$C$36+TE!E448*Scoring!$D$36+TE!F448*Scoring!$E$36+H448*Scoring!$F$36</x:f>
        <x:v>0</x:v>
      </x:c>
    </x:row>
    <x:row r="448" ht="14.25" customHeight="1">
      <x:c r="H448" s="18">
        <x:f t="shared" si="1"/>
        <x:v>0</x:v>
      </x:c>
      <x:c r="I448" s="122"/>
      <x:c r="J448" s="122"/>
      <x:c r="K448" s="122"/>
    </x:row>
    <x:row r="449" ht="14.25" customHeight="1">
      <x:c r="H449" s="18">
        <x:f t="shared" si="1"/>
        <x:v>0</x:v>
      </x:c>
      <x:c r="I449" s="122"/>
      <x:c r="J449" s="122"/>
      <x:c r="K449" s="122"/>
    </x:row>
    <x:row r="450" ht="14.25" customHeight="1">
      <x:c r="H450" s="18">
        <x:f t="shared" si="1"/>
        <x:v>0</x:v>
      </x:c>
      <x:c r="I450" s="119" t="n">
        <x:f>C452*Scoring!$B$36+TE!D452/Scoring!$C$36+TE!E452*Scoring!$D$36+TE!F452*Scoring!$E$36+H452*Scoring!$F$36</x:f>
        <x:v>0</x:v>
      </x:c>
      <x:c r="J450" s="119" t="n">
        <x:f>C450*Scoring!$B$36+TE!D450/Scoring!$C$36+TE!E450*Scoring!$D$36+TE!F450*Scoring!$E$36+H450*Scoring!$F$36</x:f>
        <x:v>0</x:v>
      </x:c>
      <x:c r="K450" s="119" t="n">
        <x:f>C451*Scoring!$B$36+TE!D451/Scoring!$C$36+TE!E451*Scoring!$D$36+TE!F451*Scoring!$E$36+H451*Scoring!$F$36</x:f>
        <x:v>0</x:v>
      </x:c>
    </x:row>
    <x:row r="451" ht="14.25" customHeight="1">
      <x:c r="H451" s="18">
        <x:f t="shared" si="1"/>
        <x:v>0</x:v>
      </x:c>
      <x:c r="I451" s="122"/>
      <x:c r="J451" s="122"/>
      <x:c r="K451" s="122"/>
    </x:row>
    <x:row r="452" ht="14.25" customHeight="1">
      <x:c r="H452" s="18">
        <x:f t="shared" si="1"/>
        <x:v>0</x:v>
      </x:c>
      <x:c r="I452" s="122"/>
      <x:c r="J452" s="122"/>
      <x:c r="K452" s="122"/>
    </x:row>
    <x:row r="453" ht="14.25" customHeight="1">
      <x:c r="H453" s="18">
        <x:f t="shared" si="1"/>
        <x:v>0</x:v>
      </x:c>
      <x:c r="I453" s="119" t="n">
        <x:f>C455*Scoring!$B$36+TE!D455/Scoring!$C$36+TE!E455*Scoring!$D$36+TE!F455*Scoring!$E$36+H455*Scoring!$F$36</x:f>
        <x:v>0</x:v>
      </x:c>
      <x:c r="J453" s="119" t="n">
        <x:f>C453*Scoring!$B$36+TE!D453/Scoring!$C$36+TE!E453*Scoring!$D$36+TE!F453*Scoring!$E$36+H453*Scoring!$F$36</x:f>
        <x:v>0</x:v>
      </x:c>
      <x:c r="K453" s="119" t="n">
        <x:f>C454*Scoring!$B$36+TE!D454/Scoring!$C$36+TE!E454*Scoring!$D$36+TE!F454*Scoring!$E$36+H454*Scoring!$F$36</x:f>
        <x:v>0</x:v>
      </x:c>
    </x:row>
    <x:row r="454" ht="14.25" customHeight="1">
      <x:c r="H454" s="18">
        <x:f t="shared" si="1"/>
        <x:v>0</x:v>
      </x:c>
      <x:c r="I454" s="122"/>
      <x:c r="J454" s="122"/>
      <x:c r="K454" s="122"/>
    </x:row>
    <x:row r="455" ht="14.25" customHeight="1">
      <x:c r="H455" s="18">
        <x:f t="shared" si="1"/>
        <x:v>0</x:v>
      </x:c>
      <x:c r="I455" s="122"/>
      <x:c r="J455" s="122"/>
      <x:c r="K455" s="122"/>
    </x:row>
    <x:row r="456" ht="14.25" customHeight="1">
      <x:c r="H456" s="18">
        <x:f t="shared" si="1"/>
        <x:v>0</x:v>
      </x:c>
      <x:c r="I456" s="119" t="n">
        <x:f>C458*Scoring!$B$36+TE!D458/Scoring!$C$36+TE!E458*Scoring!$D$36+TE!F458*Scoring!$E$36+H458*Scoring!$F$36</x:f>
        <x:v>0</x:v>
      </x:c>
      <x:c r="J456" s="119" t="n">
        <x:f>C456*Scoring!$B$36+TE!D456/Scoring!$C$36+TE!E456*Scoring!$D$36+TE!F456*Scoring!$E$36+H456*Scoring!$F$36</x:f>
        <x:v>0</x:v>
      </x:c>
      <x:c r="K456" s="119" t="n">
        <x:f>C457*Scoring!$B$36+TE!D457/Scoring!$C$36+TE!E457*Scoring!$D$36+TE!F457*Scoring!$E$36+H457*Scoring!$F$36</x:f>
        <x:v>0</x:v>
      </x:c>
    </x:row>
    <x:row r="457" ht="14.25" customHeight="1">
      <x:c r="H457" s="18">
        <x:f t="shared" si="1"/>
        <x:v>0</x:v>
      </x:c>
      <x:c r="I457" s="122"/>
      <x:c r="J457" s="122"/>
      <x:c r="K457" s="122"/>
    </x:row>
    <x:row r="458" ht="14.25" customHeight="1">
      <x:c r="H458" s="18">
        <x:f t="shared" si="1"/>
        <x:v>0</x:v>
      </x:c>
      <x:c r="I458" s="122"/>
      <x:c r="J458" s="122"/>
      <x:c r="K458" s="122"/>
    </x:row>
    <x:row r="459" ht="14.25" customHeight="1">
      <x:c r="H459" s="18">
        <x:f t="shared" si="1"/>
        <x:v>0</x:v>
      </x:c>
      <x:c r="I459" s="119" t="n">
        <x:f>C461*Scoring!$B$36+TE!D461/Scoring!$C$36+TE!E461*Scoring!$D$36+TE!F461*Scoring!$E$36+H461*Scoring!$F$36</x:f>
        <x:v>0</x:v>
      </x:c>
      <x:c r="J459" s="119" t="n">
        <x:f>C459*Scoring!$B$36+TE!D459/Scoring!$C$36+TE!E459*Scoring!$D$36+TE!F459*Scoring!$E$36+H459*Scoring!$F$36</x:f>
        <x:v>0</x:v>
      </x:c>
      <x:c r="K459" s="119" t="n">
        <x:f>C460*Scoring!$B$36+TE!D460/Scoring!$C$36+TE!E460*Scoring!$D$36+TE!F460*Scoring!$E$36+H460*Scoring!$F$36</x:f>
        <x:v>0</x:v>
      </x:c>
    </x:row>
    <x:row r="460" ht="14.25" customHeight="1">
      <x:c r="H460" s="18">
        <x:f t="shared" si="1"/>
        <x:v>0</x:v>
      </x:c>
      <x:c r="I460" s="122"/>
      <x:c r="J460" s="122"/>
      <x:c r="K460" s="122"/>
    </x:row>
    <x:row r="461" ht="14.25" customHeight="1">
      <x:c r="H461" s="18">
        <x:f t="shared" si="1"/>
        <x:v>0</x:v>
      </x:c>
      <x:c r="I461" s="122"/>
      <x:c r="J461" s="122"/>
      <x:c r="K461" s="122"/>
    </x:row>
    <x:row r="462" ht="14.25" customHeight="1">
      <x:c r="H462" s="18">
        <x:f t="shared" si="1"/>
        <x:v>0</x:v>
      </x:c>
      <x:c r="I462" s="119" t="n">
        <x:f>C464*Scoring!$B$36+TE!D464/Scoring!$C$36+TE!E464*Scoring!$D$36+TE!F464*Scoring!$E$36+H464*Scoring!$F$36</x:f>
        <x:v>0</x:v>
      </x:c>
      <x:c r="J462" s="119" t="n">
        <x:f>C462*Scoring!$B$36+TE!D462/Scoring!$C$36+TE!E462*Scoring!$D$36+TE!F462*Scoring!$E$36+H462*Scoring!$F$36</x:f>
        <x:v>0</x:v>
      </x:c>
      <x:c r="K462" s="119" t="n">
        <x:f>C463*Scoring!$B$36+TE!D463/Scoring!$C$36+TE!E463*Scoring!$D$36+TE!F463*Scoring!$E$36+H463*Scoring!$F$36</x:f>
        <x:v>0</x:v>
      </x:c>
    </x:row>
    <x:row r="463" ht="14.25" customHeight="1">
      <x:c r="H463" s="18">
        <x:f t="shared" si="1"/>
        <x:v>0</x:v>
      </x:c>
      <x:c r="I463" s="122"/>
      <x:c r="J463" s="122"/>
      <x:c r="K463" s="122"/>
    </x:row>
    <x:row r="464" ht="14.25" customHeight="1">
      <x:c r="H464" s="18">
        <x:f t="shared" si="1"/>
        <x:v>0</x:v>
      </x:c>
      <x:c r="I464" s="122"/>
      <x:c r="J464" s="122"/>
      <x:c r="K464" s="122"/>
    </x:row>
    <x:row r="465" ht="14.25" customHeight="1">
      <x:c r="H465" s="18">
        <x:f t="shared" si="1"/>
        <x:v>0</x:v>
      </x:c>
      <x:c r="I465" s="119" t="n">
        <x:f>C467*Scoring!$B$36+TE!D467/Scoring!$C$36+TE!E467*Scoring!$D$36+TE!F467*Scoring!$E$36+H467*Scoring!$F$36</x:f>
        <x:v>0</x:v>
      </x:c>
      <x:c r="J465" s="119" t="n">
        <x:f>C465*Scoring!$B$36+TE!D465/Scoring!$C$36+TE!E465*Scoring!$D$36+TE!F465*Scoring!$E$36+H465*Scoring!$F$36</x:f>
        <x:v>0</x:v>
      </x:c>
      <x:c r="K465" s="119" t="n">
        <x:f>C466*Scoring!$B$36+TE!D466/Scoring!$C$36+TE!E466*Scoring!$D$36+TE!F466*Scoring!$E$36+H466*Scoring!$F$36</x:f>
        <x:v>0</x:v>
      </x:c>
    </x:row>
    <x:row r="466" ht="14.25" customHeight="1">
      <x:c r="H466" s="18">
        <x:f t="shared" si="1"/>
        <x:v>0</x:v>
      </x:c>
      <x:c r="I466" s="122"/>
      <x:c r="J466" s="122"/>
      <x:c r="K466" s="122"/>
    </x:row>
    <x:row r="467" ht="14.25" customHeight="1">
      <x:c r="H467" s="18">
        <x:f t="shared" si="1"/>
        <x:v>0</x:v>
      </x:c>
      <x:c r="I467" s="122"/>
      <x:c r="J467" s="122"/>
      <x:c r="K467" s="122"/>
    </x:row>
    <x:row r="468" ht="14.25" customHeight="1">
      <x:c r="H468" s="18">
        <x:f t="shared" si="1"/>
        <x:v>0</x:v>
      </x:c>
      <x:c r="I468" s="119" t="n">
        <x:f>C470*Scoring!$B$36+TE!D470/Scoring!$C$36+TE!E470*Scoring!$D$36+TE!F470*Scoring!$E$36+H470*Scoring!$F$36</x:f>
        <x:v>0</x:v>
      </x:c>
      <x:c r="J468" s="119" t="n">
        <x:f>C468*Scoring!$B$36+TE!D468/Scoring!$C$36+TE!E468*Scoring!$D$36+TE!F468*Scoring!$E$36+H468*Scoring!$F$36</x:f>
        <x:v>0</x:v>
      </x:c>
      <x:c r="K468" s="119" t="n">
        <x:f>C469*Scoring!$B$36+TE!D469/Scoring!$C$36+TE!E469*Scoring!$D$36+TE!F469*Scoring!$E$36+H469*Scoring!$F$36</x:f>
        <x:v>0</x:v>
      </x:c>
    </x:row>
    <x:row r="469" ht="14.25" customHeight="1">
      <x:c r="H469" s="18">
        <x:f t="shared" si="1"/>
        <x:v>0</x:v>
      </x:c>
      <x:c r="I469" s="122"/>
      <x:c r="J469" s="122"/>
      <x:c r="K469" s="122"/>
    </x:row>
    <x:row r="470" ht="14.25" customHeight="1">
      <x:c r="H470" s="18">
        <x:f t="shared" si="1"/>
        <x:v>0</x:v>
      </x:c>
      <x:c r="I470" s="122"/>
      <x:c r="J470" s="122"/>
      <x:c r="K470" s="122"/>
    </x:row>
    <x:row r="471" ht="14.25" customHeight="1">
      <x:c r="H471" s="5"/>
    </x:row>
    <x:row r="472" ht="14.25" customHeight="1">
      <x:c r="H472" s="5"/>
    </x:row>
    <x:row r="473" ht="14.25" customHeight="1">
      <x:c r="H473" s="5"/>
    </x:row>
    <x:row r="474" ht="14.25" customHeight="1">
      <x:c r="H474" s="5"/>
    </x:row>
    <x:row r="475" ht="14.25" customHeight="1">
      <x:c r="H475" s="5"/>
    </x:row>
    <x:row r="476" ht="14.25" customHeight="1">
      <x:c r="H476" s="5"/>
    </x:row>
    <x:row r="477" ht="14.25" customHeight="1">
      <x:c r="H477" s="5"/>
    </x:row>
    <x:row r="478" ht="14.25" customHeight="1">
      <x:c r="H478" s="5"/>
    </x:row>
    <x:row r="479" ht="14.25" customHeight="1">
      <x:c r="H479" s="5"/>
    </x:row>
    <x:row r="480" ht="14.25" customHeight="1">
      <x:c r="H480" s="5"/>
    </x:row>
    <x:row r="481" ht="14.25" customHeight="1">
      <x:c r="H481" s="5"/>
    </x:row>
    <x:row r="482" ht="14.25" customHeight="1">
      <x:c r="H482" s="5"/>
    </x:row>
    <x:row r="483" ht="14.25" customHeight="1">
      <x:c r="H483" s="5"/>
    </x:row>
    <x:row r="484" ht="14.25" customHeight="1">
      <x:c r="H484" s="5"/>
    </x:row>
    <x:row r="485" ht="14.25" customHeight="1">
      <x:c r="H485" s="5"/>
    </x:row>
    <x:row r="486" ht="14.25" customHeight="1">
      <x:c r="H486" s="5"/>
    </x:row>
    <x:row r="487" ht="14.25" customHeight="1">
      <x:c r="H487" s="5"/>
    </x:row>
    <x:row r="488" ht="14.25" customHeight="1">
      <x:c r="H488" s="5"/>
    </x:row>
    <x:row r="489" ht="14.25" customHeight="1">
      <x:c r="H489" s="5"/>
    </x:row>
    <x:row r="490" ht="14.25" customHeight="1">
      <x:c r="H490" s="5"/>
    </x:row>
    <x:row r="491" ht="14.25" customHeight="1">
      <x:c r="H491" s="5"/>
    </x:row>
    <x:row r="492" ht="14.25" customHeight="1">
      <x:c r="H492" s="5"/>
    </x:row>
    <x:row r="493" ht="14.25" customHeight="1">
      <x:c r="H493" s="5"/>
    </x:row>
    <x:row r="494" ht="14.25" customHeight="1">
      <x:c r="H494" s="5"/>
    </x:row>
    <x:row r="495" ht="14.25" customHeight="1">
      <x:c r="H495" s="5"/>
    </x:row>
    <x:row r="496" ht="14.25" customHeight="1">
      <x:c r="H496" s="5"/>
    </x:row>
    <x:row r="497" ht="14.25" customHeight="1">
      <x:c r="H497" s="5"/>
    </x:row>
    <x:row r="498" ht="14.25" customHeight="1">
      <x:c r="H498" s="5"/>
    </x:row>
    <x:row r="499" ht="14.25" customHeight="1">
      <x:c r="H499" s="5"/>
    </x:row>
    <x:row r="500" ht="14.25" customHeight="1">
      <x:c r="H500" s="5"/>
    </x:row>
    <x:row r="501" ht="14.25" customHeight="1">
      <x:c r="H501" s="5"/>
    </x:row>
    <x:row r="502" ht="14.25" customHeight="1">
      <x:c r="H502" s="5"/>
    </x:row>
    <x:row r="503" ht="14.25" customHeight="1">
      <x:c r="H503" s="5"/>
    </x:row>
    <x:row r="504" ht="14.25" customHeight="1">
      <x:c r="H504" s="5"/>
    </x:row>
    <x:row r="505" ht="14.25" customHeight="1">
      <x:c r="H505" s="5"/>
    </x:row>
    <x:row r="506" ht="14.25" customHeight="1">
      <x:c r="H506" s="5"/>
    </x:row>
    <x:row r="507" ht="14.25" customHeight="1">
      <x:c r="H507" s="5"/>
    </x:row>
    <x:row r="508" ht="14.25" customHeight="1">
      <x:c r="H508" s="5"/>
    </x:row>
    <x:row r="509" ht="14.25" customHeight="1">
      <x:c r="H509" s="5"/>
    </x:row>
    <x:row r="510" ht="14.25" customHeight="1">
      <x:c r="H510" s="5"/>
    </x:row>
    <x:row r="511" ht="14.25" customHeight="1">
      <x:c r="H511" s="5"/>
    </x:row>
    <x:row r="512" ht="14.25" customHeight="1">
      <x:c r="H512" s="5"/>
    </x:row>
    <x:row r="513" ht="14.25" customHeight="1">
      <x:c r="H513" s="5"/>
    </x:row>
    <x:row r="514" ht="14.25" customHeight="1">
      <x:c r="H514" s="5"/>
    </x:row>
    <x:row r="515" ht="14.25" customHeight="1">
      <x:c r="H515" s="5"/>
    </x:row>
    <x:row r="516" ht="14.25" customHeight="1">
      <x:c r="H516" s="5"/>
    </x:row>
    <x:row r="517" ht="14.25" customHeight="1">
      <x:c r="H517" s="5"/>
    </x:row>
    <x:row r="518" ht="14.25" customHeight="1">
      <x:c r="H518" s="5"/>
    </x:row>
    <x:row r="519" ht="14.25" customHeight="1">
      <x:c r="H519" s="5"/>
    </x:row>
    <x:row r="520" ht="14.25" customHeight="1">
      <x:c r="H520" s="5"/>
    </x:row>
    <x:row r="521" ht="14.25" customHeight="1">
      <x:c r="H521" s="5"/>
    </x:row>
    <x:row r="522" ht="14.25" customHeight="1">
      <x:c r="H522" s="5"/>
    </x:row>
    <x:row r="523" ht="14.25" customHeight="1">
      <x:c r="H523" s="5"/>
    </x:row>
    <x:row r="524" ht="14.25" customHeight="1">
      <x:c r="H524" s="5"/>
    </x:row>
    <x:row r="525" ht="14.25" customHeight="1">
      <x:c r="H525" s="5"/>
    </x:row>
    <x:row r="526" ht="14.25" customHeight="1">
      <x:c r="H526" s="5"/>
    </x:row>
    <x:row r="527" ht="14.25" customHeight="1">
      <x:c r="H527" s="5"/>
    </x:row>
    <x:row r="528" ht="14.25" customHeight="1">
      <x:c r="H528" s="5"/>
    </x:row>
    <x:row r="529" ht="14.25" customHeight="1">
      <x:c r="H529" s="5"/>
    </x:row>
    <x:row r="530" ht="14.25" customHeight="1">
      <x:c r="H530" s="5"/>
    </x:row>
    <x:row r="531" ht="14.25" customHeight="1">
      <x:c r="H531" s="5"/>
    </x:row>
    <x:row r="532" ht="14.25" customHeight="1">
      <x:c r="H532" s="5"/>
    </x:row>
    <x:row r="533" ht="14.25" customHeight="1">
      <x:c r="H533" s="5"/>
    </x:row>
    <x:row r="534" ht="14.25" customHeight="1">
      <x:c r="H534" s="5"/>
    </x:row>
    <x:row r="535" ht="14.25" customHeight="1">
      <x:c r="H535" s="5"/>
    </x:row>
    <x:row r="536" ht="14.25" customHeight="1">
      <x:c r="H536" s="5"/>
    </x:row>
    <x:row r="537" ht="14.25" customHeight="1">
      <x:c r="H537" s="5"/>
    </x:row>
    <x:row r="538" ht="14.25" customHeight="1">
      <x:c r="H538" s="5"/>
    </x:row>
    <x:row r="539" ht="14.25" customHeight="1">
      <x:c r="H539" s="5"/>
    </x:row>
    <x:row r="540" ht="14.25" customHeight="1">
      <x:c r="H540" s="5"/>
    </x:row>
    <x:row r="541" ht="14.25" customHeight="1">
      <x:c r="H541" s="5"/>
    </x:row>
    <x:row r="542" ht="14.25" customHeight="1">
      <x:c r="H542" s="5"/>
    </x:row>
    <x:row r="543" ht="14.25" customHeight="1">
      <x:c r="H543" s="5"/>
    </x:row>
    <x:row r="544" ht="14.25" customHeight="1">
      <x:c r="H544" s="5"/>
    </x:row>
    <x:row r="545" ht="14.25" customHeight="1">
      <x:c r="H545" s="5"/>
    </x:row>
    <x:row r="546" ht="14.25" customHeight="1">
      <x:c r="H546" s="5"/>
    </x:row>
    <x:row r="547" ht="14.25" customHeight="1">
      <x:c r="H547" s="5"/>
    </x:row>
    <x:row r="548" ht="14.25" customHeight="1">
      <x:c r="H548" s="5"/>
    </x:row>
    <x:row r="549" ht="14.25" customHeight="1">
      <x:c r="H549" s="5"/>
    </x:row>
    <x:row r="550" ht="14.25" customHeight="1">
      <x:c r="H550" s="5"/>
    </x:row>
    <x:row r="551" ht="14.25" customHeight="1">
      <x:c r="H551" s="5"/>
    </x:row>
    <x:row r="552" ht="14.25" customHeight="1">
      <x:c r="H552" s="5"/>
    </x:row>
    <x:row r="553" ht="14.25" customHeight="1">
      <x:c r="H553" s="5"/>
    </x:row>
    <x:row r="554" ht="14.25" customHeight="1">
      <x:c r="H554" s="5"/>
    </x:row>
    <x:row r="555" ht="14.25" customHeight="1">
      <x:c r="H555" s="5"/>
    </x:row>
    <x:row r="556" ht="14.25" customHeight="1">
      <x:c r="H556" s="5"/>
    </x:row>
    <x:row r="557" ht="14.25" customHeight="1">
      <x:c r="H557" s="5"/>
    </x:row>
    <x:row r="558" ht="14.25" customHeight="1">
      <x:c r="H558" s="5"/>
    </x:row>
    <x:row r="559" ht="14.25" customHeight="1">
      <x:c r="H559" s="5"/>
    </x:row>
    <x:row r="560" ht="14.25" customHeight="1">
      <x:c r="H560" s="5"/>
    </x:row>
    <x:row r="561" ht="14.25" customHeight="1">
      <x:c r="H561" s="5"/>
    </x:row>
    <x:row r="562" ht="14.25" customHeight="1">
      <x:c r="H562" s="5"/>
    </x:row>
    <x:row r="563" ht="14.25" customHeight="1">
      <x:c r="H563" s="5"/>
    </x:row>
    <x:row r="564" ht="14.25" customHeight="1">
      <x:c r="H564" s="5"/>
    </x:row>
    <x:row r="565" ht="14.25" customHeight="1">
      <x:c r="H565" s="5"/>
    </x:row>
    <x:row r="566" ht="14.25" customHeight="1">
      <x:c r="H566" s="5"/>
    </x:row>
    <x:row r="567" ht="14.25" customHeight="1">
      <x:c r="H567" s="5"/>
    </x:row>
    <x:row r="568" ht="14.25" customHeight="1">
      <x:c r="H568" s="5"/>
    </x:row>
    <x:row r="569" ht="14.25" customHeight="1">
      <x:c r="H569" s="5"/>
    </x:row>
    <x:row r="570" ht="14.25" customHeight="1">
      <x:c r="H570" s="5"/>
    </x:row>
    <x:row r="571" ht="14.25" customHeight="1">
      <x:c r="H571" s="5"/>
    </x:row>
    <x:row r="572" ht="14.25" customHeight="1">
      <x:c r="H572" s="5"/>
    </x:row>
    <x:row r="573" ht="14.25" customHeight="1">
      <x:c r="H573" s="5"/>
    </x:row>
    <x:row r="574" ht="14.25" customHeight="1">
      <x:c r="H574" s="5"/>
    </x:row>
    <x:row r="575" ht="14.25" customHeight="1">
      <x:c r="H575" s="5"/>
    </x:row>
    <x:row r="576" ht="14.25" customHeight="1">
      <x:c r="H576" s="5"/>
    </x:row>
    <x:row r="577" ht="14.25" customHeight="1">
      <x:c r="H577" s="5"/>
    </x:row>
    <x:row r="578" ht="14.25" customHeight="1">
      <x:c r="H578" s="5"/>
    </x:row>
    <x:row r="579" ht="14.25" customHeight="1">
      <x:c r="H579" s="5"/>
    </x:row>
    <x:row r="580" ht="14.25" customHeight="1">
      <x:c r="H580" s="5"/>
    </x:row>
    <x:row r="581" ht="14.25" customHeight="1">
      <x:c r="H581" s="5"/>
    </x:row>
    <x:row r="582" ht="14.25" customHeight="1">
      <x:c r="H582" s="5"/>
    </x:row>
    <x:row r="583" ht="14.25" customHeight="1">
      <x:c r="H583" s="5"/>
    </x:row>
    <x:row r="584" ht="14.25" customHeight="1">
      <x:c r="H584" s="5"/>
    </x:row>
    <x:row r="585" ht="14.25" customHeight="1">
      <x:c r="H585" s="5"/>
    </x:row>
    <x:row r="586" ht="14.25" customHeight="1">
      <x:c r="H586" s="5"/>
    </x:row>
    <x:row r="587" ht="14.25" customHeight="1">
      <x:c r="H587" s="5"/>
    </x:row>
    <x:row r="588" ht="14.25" customHeight="1">
      <x:c r="H588" s="5"/>
    </x:row>
    <x:row r="589" ht="14.25" customHeight="1">
      <x:c r="H589" s="5"/>
    </x:row>
    <x:row r="590" ht="14.25" customHeight="1">
      <x:c r="H590" s="5"/>
    </x:row>
    <x:row r="591" ht="14.25" customHeight="1">
      <x:c r="H591" s="5"/>
    </x:row>
    <x:row r="592" ht="14.25" customHeight="1">
      <x:c r="H592" s="5"/>
    </x:row>
    <x:row r="593" ht="14.25" customHeight="1">
      <x:c r="H593" s="5"/>
    </x:row>
    <x:row r="594" ht="14.25" customHeight="1">
      <x:c r="H594" s="5"/>
    </x:row>
    <x:row r="595" ht="14.25" customHeight="1">
      <x:c r="H595" s="5"/>
    </x:row>
    <x:row r="596" ht="14.25" customHeight="1">
      <x:c r="H596" s="5"/>
    </x:row>
    <x:row r="597" ht="14.25" customHeight="1">
      <x:c r="H597" s="5"/>
    </x:row>
    <x:row r="598" ht="14.25" customHeight="1">
      <x:c r="H598" s="5"/>
    </x:row>
    <x:row r="599" ht="14.25" customHeight="1">
      <x:c r="H599" s="5"/>
    </x:row>
    <x:row r="600" ht="14.25" customHeight="1">
      <x:c r="H600" s="5"/>
    </x:row>
    <x:row r="601" ht="14.25" customHeight="1">
      <x:c r="H601" s="5"/>
    </x:row>
    <x:row r="602" ht="14.25" customHeight="1">
      <x:c r="H602" s="5"/>
    </x:row>
    <x:row r="603" ht="14.25" customHeight="1">
      <x:c r="H603" s="5"/>
    </x:row>
    <x:row r="604" ht="14.25" customHeight="1">
      <x:c r="H604" s="5"/>
    </x:row>
    <x:row r="605" ht="14.25" customHeight="1">
      <x:c r="H605" s="5"/>
    </x:row>
    <x:row r="606" ht="14.25" customHeight="1">
      <x:c r="H606" s="5"/>
    </x:row>
    <x:row r="607" ht="14.25" customHeight="1">
      <x:c r="H607" s="5"/>
    </x:row>
    <x:row r="608" ht="14.25" customHeight="1">
      <x:c r="H608" s="5"/>
    </x:row>
    <x:row r="609" ht="14.25" customHeight="1">
      <x:c r="H609" s="5"/>
    </x:row>
    <x:row r="610" ht="14.25" customHeight="1">
      <x:c r="H610" s="5"/>
    </x:row>
    <x:row r="611" ht="14.25" customHeight="1">
      <x:c r="H611" s="5"/>
    </x:row>
    <x:row r="612" ht="14.25" customHeight="1">
      <x:c r="H612" s="5"/>
    </x:row>
    <x:row r="613" ht="14.25" customHeight="1">
      <x:c r="H613" s="5"/>
    </x:row>
    <x:row r="614" ht="14.25" customHeight="1">
      <x:c r="H614" s="5"/>
    </x:row>
    <x:row r="615" ht="14.25" customHeight="1">
      <x:c r="H615" s="5"/>
    </x:row>
    <x:row r="616" ht="14.25" customHeight="1">
      <x:c r="H616" s="5"/>
    </x:row>
    <x:row r="617" ht="14.25" customHeight="1">
      <x:c r="H617" s="5"/>
    </x:row>
    <x:row r="618" ht="14.25" customHeight="1">
      <x:c r="H618" s="5"/>
    </x:row>
    <x:row r="619" ht="14.25" customHeight="1">
      <x:c r="H619" s="5"/>
    </x:row>
    <x:row r="620" ht="14.25" customHeight="1">
      <x:c r="H620" s="5"/>
    </x:row>
    <x:row r="621" ht="14.25" customHeight="1">
      <x:c r="H621" s="5"/>
    </x:row>
    <x:row r="622" ht="14.25" customHeight="1">
      <x:c r="H622" s="5"/>
    </x:row>
    <x:row r="623" ht="14.25" customHeight="1">
      <x:c r="H623" s="5"/>
    </x:row>
    <x:row r="624" ht="14.25" customHeight="1">
      <x:c r="H624" s="5"/>
    </x:row>
    <x:row r="625" ht="14.25" customHeight="1">
      <x:c r="H625" s="5"/>
    </x:row>
    <x:row r="626" ht="14.25" customHeight="1">
      <x:c r="H626" s="5"/>
    </x:row>
    <x:row r="627" ht="14.25" customHeight="1">
      <x:c r="H627" s="5"/>
    </x:row>
    <x:row r="628" ht="14.25" customHeight="1">
      <x:c r="H628" s="5"/>
    </x:row>
    <x:row r="629" ht="14.25" customHeight="1">
      <x:c r="H629" s="5"/>
    </x:row>
    <x:row r="630" ht="14.25" customHeight="1">
      <x:c r="H630" s="5"/>
    </x:row>
    <x:row r="631" ht="14.25" customHeight="1">
      <x:c r="H631" s="5"/>
    </x:row>
    <x:row r="632" ht="14.25" customHeight="1">
      <x:c r="H632" s="5"/>
    </x:row>
    <x:row r="633" ht="14.25" customHeight="1">
      <x:c r="H633" s="5"/>
    </x:row>
    <x:row r="634" ht="14.25" customHeight="1">
      <x:c r="H634" s="5"/>
    </x:row>
    <x:row r="635" ht="14.25" customHeight="1">
      <x:c r="H635" s="5"/>
    </x:row>
    <x:row r="636" ht="14.25" customHeight="1">
      <x:c r="H636" s="5"/>
    </x:row>
    <x:row r="637" ht="14.25" customHeight="1">
      <x:c r="H637" s="5"/>
    </x:row>
    <x:row r="638" ht="14.25" customHeight="1">
      <x:c r="H638" s="5"/>
    </x:row>
    <x:row r="639" ht="14.25" customHeight="1">
      <x:c r="H639" s="5"/>
    </x:row>
    <x:row r="640" ht="14.25" customHeight="1">
      <x:c r="H640" s="5"/>
    </x:row>
    <x:row r="641" ht="14.25" customHeight="1">
      <x:c r="H641" s="5"/>
    </x:row>
    <x:row r="642" ht="14.25" customHeight="1">
      <x:c r="H642" s="5"/>
    </x:row>
    <x:row r="643" ht="14.25" customHeight="1">
      <x:c r="H643" s="5"/>
    </x:row>
    <x:row r="644" ht="14.25" customHeight="1">
      <x:c r="H644" s="5"/>
    </x:row>
    <x:row r="645" ht="14.25" customHeight="1">
      <x:c r="H645" s="5"/>
    </x:row>
    <x:row r="646" ht="14.25" customHeight="1">
      <x:c r="H646" s="5"/>
    </x:row>
    <x:row r="647" ht="14.25" customHeight="1">
      <x:c r="H647" s="5"/>
    </x:row>
    <x:row r="648" ht="14.25" customHeight="1">
      <x:c r="H648" s="5"/>
    </x:row>
    <x:row r="649" ht="14.25" customHeight="1">
      <x:c r="H649" s="5"/>
    </x:row>
    <x:row r="650" ht="14.25" customHeight="1">
      <x:c r="H650" s="5"/>
    </x:row>
    <x:row r="651" ht="14.25" customHeight="1">
      <x:c r="H651" s="5"/>
    </x:row>
    <x:row r="652" ht="14.25" customHeight="1">
      <x:c r="H652" s="5"/>
    </x:row>
    <x:row r="653" ht="14.25" customHeight="1">
      <x:c r="H653" s="5"/>
    </x:row>
    <x:row r="654" ht="14.25" customHeight="1">
      <x:c r="H654" s="5"/>
    </x:row>
    <x:row r="655" ht="14.25" customHeight="1">
      <x:c r="H655" s="5"/>
    </x:row>
    <x:row r="656" ht="14.25" customHeight="1">
      <x:c r="H656" s="5"/>
    </x:row>
    <x:row r="657" ht="14.25" customHeight="1">
      <x:c r="H657" s="5"/>
    </x:row>
    <x:row r="658" ht="14.25" customHeight="1">
      <x:c r="H658" s="5"/>
    </x:row>
    <x:row r="659" ht="14.25" customHeight="1">
      <x:c r="H659" s="5"/>
    </x:row>
    <x:row r="660" ht="14.25" customHeight="1">
      <x:c r="H660" s="5"/>
    </x:row>
    <x:row r="661" ht="14.25" customHeight="1">
      <x:c r="H661" s="5"/>
    </x:row>
    <x:row r="662" ht="14.25" customHeight="1">
      <x:c r="H662" s="5"/>
    </x:row>
    <x:row r="663" ht="14.25" customHeight="1">
      <x:c r="H663" s="5"/>
    </x:row>
    <x:row r="664" ht="14.25" customHeight="1">
      <x:c r="H664" s="5"/>
    </x:row>
    <x:row r="665" ht="14.25" customHeight="1">
      <x:c r="H665" s="5"/>
    </x:row>
    <x:row r="666" ht="14.25" customHeight="1">
      <x:c r="H666" s="5"/>
    </x:row>
    <x:row r="667" ht="14.25" customHeight="1">
      <x:c r="H667" s="5"/>
    </x:row>
    <x:row r="668" ht="14.25" customHeight="1">
      <x:c r="H668" s="5"/>
    </x:row>
    <x:row r="669" ht="14.25" customHeight="1">
      <x:c r="H669" s="5"/>
    </x:row>
    <x:row r="670" ht="14.25" customHeight="1">
      <x:c r="H670" s="5"/>
    </x:row>
    <x:row r="671" ht="14.25" customHeight="1">
      <x:c r="H671" s="5"/>
    </x:row>
    <x:row r="672" ht="14.25" customHeight="1">
      <x:c r="H672" s="5"/>
    </x:row>
    <x:row r="673" ht="14.25" customHeight="1">
      <x:c r="H673" s="5"/>
    </x:row>
    <x:row r="674" ht="14.25" customHeight="1">
      <x:c r="H674" s="5"/>
    </x:row>
    <x:row r="675" ht="14.25" customHeight="1">
      <x:c r="H675" s="5"/>
    </x:row>
    <x:row r="676" ht="14.25" customHeight="1">
      <x:c r="H676" s="5"/>
    </x:row>
    <x:row r="677" ht="14.25" customHeight="1">
      <x:c r="H677" s="5"/>
    </x:row>
    <x:row r="678" ht="14.25" customHeight="1">
      <x:c r="H678" s="5"/>
    </x:row>
    <x:row r="679" ht="14.25" customHeight="1">
      <x:c r="H679" s="5"/>
    </x:row>
    <x:row r="680" ht="14.25" customHeight="1">
      <x:c r="H680" s="5"/>
    </x:row>
    <x:row r="681" ht="14.25" customHeight="1">
      <x:c r="H681" s="5"/>
    </x:row>
    <x:row r="682" ht="14.25" customHeight="1">
      <x:c r="H682" s="5"/>
    </x:row>
    <x:row r="683" ht="14.25" customHeight="1">
      <x:c r="H683" s="5"/>
    </x:row>
    <x:row r="684" ht="14.25" customHeight="1">
      <x:c r="H684" s="5"/>
    </x:row>
    <x:row r="685" ht="14.25" customHeight="1">
      <x:c r="H685" s="5"/>
    </x:row>
    <x:row r="686" ht="14.25" customHeight="1">
      <x:c r="H686" s="5"/>
    </x:row>
    <x:row r="687" ht="14.25" customHeight="1">
      <x:c r="H687" s="5"/>
    </x:row>
    <x:row r="688" ht="14.25" customHeight="1">
      <x:c r="H688" s="5"/>
    </x:row>
    <x:row r="689" ht="14.25" customHeight="1">
      <x:c r="H689" s="5"/>
    </x:row>
    <x:row r="690" ht="14.25" customHeight="1">
      <x:c r="H690" s="5"/>
    </x:row>
    <x:row r="691" ht="14.25" customHeight="1">
      <x:c r="H691" s="5"/>
    </x:row>
    <x:row r="692" ht="14.25" customHeight="1">
      <x:c r="H692" s="5"/>
    </x:row>
    <x:row r="693" ht="14.25" customHeight="1">
      <x:c r="H693" s="5"/>
    </x:row>
    <x:row r="694" ht="14.25" customHeight="1">
      <x:c r="H694" s="5"/>
    </x:row>
    <x:row r="695" ht="14.25" customHeight="1">
      <x:c r="H695" s="5"/>
    </x:row>
    <x:row r="696" ht="14.25" customHeight="1">
      <x:c r="H696" s="5"/>
    </x:row>
    <x:row r="697" ht="14.25" customHeight="1">
      <x:c r="H697" s="5"/>
    </x:row>
    <x:row r="698" ht="14.25" customHeight="1">
      <x:c r="H698" s="5"/>
    </x:row>
    <x:row r="699" ht="14.25" customHeight="1">
      <x:c r="H699" s="5"/>
    </x:row>
    <x:row r="700" ht="14.25" customHeight="1">
      <x:c r="H700" s="5"/>
    </x:row>
    <x:row r="701" ht="14.25" customHeight="1">
      <x:c r="H701" s="5"/>
    </x:row>
    <x:row r="702" ht="14.25" customHeight="1">
      <x:c r="H702" s="5"/>
    </x:row>
    <x:row r="703" ht="14.25" customHeight="1">
      <x:c r="H703" s="5"/>
    </x:row>
    <x:row r="704" ht="14.25" customHeight="1">
      <x:c r="H704" s="5"/>
    </x:row>
    <x:row r="705" ht="14.25" customHeight="1">
      <x:c r="H705" s="5"/>
    </x:row>
    <x:row r="706" ht="14.25" customHeight="1">
      <x:c r="H706" s="5"/>
    </x:row>
    <x:row r="707" ht="14.25" customHeight="1">
      <x:c r="H707" s="5"/>
    </x:row>
    <x:row r="708" ht="14.25" customHeight="1">
      <x:c r="H708" s="5"/>
    </x:row>
    <x:row r="709" ht="14.25" customHeight="1">
      <x:c r="H709" s="5"/>
    </x:row>
    <x:row r="710" ht="14.25" customHeight="1">
      <x:c r="H710" s="5"/>
    </x:row>
    <x:row r="711" ht="14.25" customHeight="1">
      <x:c r="H711" s="5"/>
    </x:row>
    <x:row r="712" ht="14.25" customHeight="1">
      <x:c r="H712" s="5"/>
    </x:row>
    <x:row r="713" ht="14.25" customHeight="1">
      <x:c r="H713" s="5"/>
    </x:row>
    <x:row r="714" ht="14.25" customHeight="1">
      <x:c r="H714" s="5"/>
    </x:row>
    <x:row r="715" ht="14.25" customHeight="1">
      <x:c r="H715" s="5"/>
    </x:row>
    <x:row r="716" ht="14.25" customHeight="1">
      <x:c r="H716" s="5"/>
    </x:row>
    <x:row r="717" ht="14.25" customHeight="1">
      <x:c r="H717" s="5"/>
    </x:row>
    <x:row r="718" ht="14.25" customHeight="1">
      <x:c r="H718" s="5"/>
    </x:row>
    <x:row r="719" ht="14.25" customHeight="1">
      <x:c r="H719" s="5"/>
    </x:row>
    <x:row r="720" ht="14.25" customHeight="1">
      <x:c r="H720" s="5"/>
    </x:row>
    <x:row r="721" ht="14.25" customHeight="1">
      <x:c r="H721" s="5"/>
    </x:row>
    <x:row r="722" ht="14.25" customHeight="1">
      <x:c r="H722" s="5"/>
    </x:row>
    <x:row r="723" ht="14.25" customHeight="1">
      <x:c r="H723" s="5"/>
    </x:row>
    <x:row r="724" ht="14.25" customHeight="1">
      <x:c r="H724" s="5"/>
    </x:row>
    <x:row r="725" ht="14.25" customHeight="1">
      <x:c r="H725" s="5"/>
    </x:row>
    <x:row r="726" ht="14.25" customHeight="1">
      <x:c r="H726" s="5"/>
    </x:row>
    <x:row r="727" ht="14.25" customHeight="1">
      <x:c r="H727" s="5"/>
    </x:row>
    <x:row r="728" ht="14.25" customHeight="1">
      <x:c r="H728" s="5"/>
    </x:row>
    <x:row r="729" ht="14.25" customHeight="1">
      <x:c r="H729" s="5"/>
    </x:row>
    <x:row r="730" ht="14.25" customHeight="1">
      <x:c r="H730" s="5"/>
    </x:row>
    <x:row r="731" ht="14.25" customHeight="1">
      <x:c r="H731" s="5"/>
    </x:row>
    <x:row r="732" ht="14.25" customHeight="1">
      <x:c r="H732" s="5"/>
    </x:row>
    <x:row r="733" ht="14.25" customHeight="1">
      <x:c r="H733" s="5"/>
    </x:row>
    <x:row r="734" ht="14.25" customHeight="1">
      <x:c r="H734" s="5"/>
    </x:row>
    <x:row r="735" ht="14.25" customHeight="1">
      <x:c r="H735" s="5"/>
    </x:row>
    <x:row r="736" ht="14.25" customHeight="1">
      <x:c r="H736" s="5"/>
    </x:row>
    <x:row r="737" ht="14.25" customHeight="1">
      <x:c r="H737" s="5"/>
    </x:row>
    <x:row r="738" ht="14.25" customHeight="1">
      <x:c r="H738" s="5"/>
    </x:row>
    <x:row r="739" ht="14.25" customHeight="1">
      <x:c r="H739" s="5"/>
    </x:row>
    <x:row r="740" ht="14.25" customHeight="1">
      <x:c r="H740" s="5"/>
    </x:row>
    <x:row r="741" ht="14.25" customHeight="1">
      <x:c r="H741" s="5"/>
    </x:row>
    <x:row r="742" ht="14.25" customHeight="1">
      <x:c r="H742" s="5"/>
    </x:row>
    <x:row r="743" ht="14.25" customHeight="1">
      <x:c r="H743" s="5"/>
    </x:row>
    <x:row r="744" ht="14.25" customHeight="1">
      <x:c r="H744" s="5"/>
    </x:row>
    <x:row r="745" ht="14.25" customHeight="1">
      <x:c r="H745" s="5"/>
    </x:row>
    <x:row r="746" ht="14.25" customHeight="1">
      <x:c r="H746" s="5"/>
    </x:row>
    <x:row r="747" ht="14.25" customHeight="1">
      <x:c r="H747" s="5"/>
    </x:row>
    <x:row r="748" ht="14.25" customHeight="1">
      <x:c r="H748" s="5"/>
    </x:row>
    <x:row r="749" ht="14.25" customHeight="1">
      <x:c r="H749" s="5"/>
    </x:row>
    <x:row r="750" ht="14.25" customHeight="1">
      <x:c r="H750" s="5"/>
    </x:row>
    <x:row r="751" ht="14.25" customHeight="1">
      <x:c r="H751" s="5"/>
    </x:row>
    <x:row r="752" ht="14.25" customHeight="1">
      <x:c r="H752" s="5"/>
    </x:row>
    <x:row r="753" ht="14.25" customHeight="1">
      <x:c r="H753" s="5"/>
    </x:row>
    <x:row r="754" ht="14.25" customHeight="1">
      <x:c r="H754" s="5"/>
    </x:row>
    <x:row r="755" ht="14.25" customHeight="1">
      <x:c r="H755" s="5"/>
    </x:row>
    <x:row r="756" ht="14.25" customHeight="1">
      <x:c r="H756" s="5"/>
    </x:row>
    <x:row r="757" ht="14.25" customHeight="1">
      <x:c r="H757" s="5"/>
    </x:row>
    <x:row r="758" ht="14.25" customHeight="1">
      <x:c r="H758" s="5"/>
    </x:row>
    <x:row r="759" ht="14.25" customHeight="1">
      <x:c r="H759" s="5"/>
    </x:row>
    <x:row r="760" ht="14.25" customHeight="1">
      <x:c r="H760" s="5"/>
    </x:row>
    <x:row r="761" ht="14.25" customHeight="1">
      <x:c r="H761" s="5"/>
    </x:row>
    <x:row r="762" ht="14.25" customHeight="1">
      <x:c r="H762" s="5"/>
    </x:row>
    <x:row r="763" ht="14.25" customHeight="1">
      <x:c r="H763" s="5"/>
    </x:row>
    <x:row r="764" ht="14.25" customHeight="1">
      <x:c r="H764" s="5"/>
    </x:row>
    <x:row r="765" ht="14.25" customHeight="1">
      <x:c r="H765" s="5"/>
    </x:row>
    <x:row r="766" ht="14.25" customHeight="1">
      <x:c r="H766" s="5"/>
    </x:row>
    <x:row r="767" ht="14.25" customHeight="1">
      <x:c r="H767" s="5"/>
    </x:row>
    <x:row r="768" ht="14.25" customHeight="1">
      <x:c r="H768" s="5"/>
    </x:row>
    <x:row r="769" ht="14.25" customHeight="1">
      <x:c r="H769" s="5"/>
    </x:row>
    <x:row r="770" ht="14.25" customHeight="1">
      <x:c r="H770" s="5"/>
    </x:row>
    <x:row r="771" ht="14.25" customHeight="1">
      <x:c r="H771" s="5"/>
    </x:row>
    <x:row r="772" ht="14.25" customHeight="1">
      <x:c r="H772" s="5"/>
    </x:row>
    <x:row r="773" ht="14.25" customHeight="1">
      <x:c r="H773" s="5"/>
    </x:row>
    <x:row r="774" ht="14.25" customHeight="1">
      <x:c r="H774" s="5"/>
    </x:row>
    <x:row r="775" ht="14.25" customHeight="1">
      <x:c r="H775" s="5"/>
    </x:row>
    <x:row r="776" ht="14.25" customHeight="1">
      <x:c r="H776" s="5"/>
    </x:row>
    <x:row r="777" ht="14.25" customHeight="1">
      <x:c r="H777" s="5"/>
    </x:row>
    <x:row r="778" ht="14.25" customHeight="1">
      <x:c r="H778" s="5"/>
    </x:row>
    <x:row r="779" ht="14.25" customHeight="1">
      <x:c r="H779" s="5"/>
    </x:row>
    <x:row r="780" ht="14.25" customHeight="1">
      <x:c r="H780" s="5"/>
    </x:row>
    <x:row r="781" ht="14.25" customHeight="1">
      <x:c r="H781" s="5"/>
    </x:row>
    <x:row r="782" ht="14.25" customHeight="1">
      <x:c r="H782" s="5"/>
    </x:row>
    <x:row r="783" ht="14.25" customHeight="1">
      <x:c r="H783" s="5"/>
    </x:row>
    <x:row r="784" ht="14.25" customHeight="1">
      <x:c r="H784" s="5"/>
    </x:row>
    <x:row r="785" ht="14.25" customHeight="1">
      <x:c r="H785" s="5"/>
    </x:row>
    <x:row r="786" ht="14.25" customHeight="1">
      <x:c r="H786" s="5"/>
    </x:row>
    <x:row r="787" ht="14.25" customHeight="1">
      <x:c r="H787" s="5"/>
    </x:row>
    <x:row r="788" ht="14.25" customHeight="1">
      <x:c r="H788" s="5"/>
    </x:row>
    <x:row r="789" ht="14.25" customHeight="1">
      <x:c r="H789" s="5"/>
    </x:row>
    <x:row r="790" ht="14.25" customHeight="1">
      <x:c r="H790" s="5"/>
    </x:row>
    <x:row r="791" ht="14.25" customHeight="1">
      <x:c r="H791" s="5"/>
    </x:row>
    <x:row r="792" ht="14.25" customHeight="1">
      <x:c r="H792" s="5"/>
    </x:row>
    <x:row r="793" ht="14.25" customHeight="1">
      <x:c r="H793" s="5"/>
    </x:row>
    <x:row r="794" ht="14.25" customHeight="1">
      <x:c r="H794" s="5"/>
    </x:row>
    <x:row r="795" ht="14.25" customHeight="1">
      <x:c r="H795" s="5"/>
    </x:row>
    <x:row r="796" ht="14.25" customHeight="1">
      <x:c r="H796" s="5"/>
    </x:row>
    <x:row r="797" ht="14.25" customHeight="1">
      <x:c r="H797" s="5"/>
    </x:row>
    <x:row r="798" ht="14.25" customHeight="1">
      <x:c r="H798" s="5"/>
    </x:row>
    <x:row r="799" ht="14.25" customHeight="1">
      <x:c r="H799" s="5"/>
    </x:row>
    <x:row r="800" ht="14.25" customHeight="1">
      <x:c r="H800" s="5"/>
    </x:row>
    <x:row r="801" ht="14.25" customHeight="1">
      <x:c r="H801" s="5"/>
    </x:row>
    <x:row r="802" ht="14.25" customHeight="1">
      <x:c r="H802" s="5"/>
    </x:row>
    <x:row r="803" ht="14.25" customHeight="1">
      <x:c r="H803" s="5"/>
    </x:row>
    <x:row r="804" ht="14.25" customHeight="1">
      <x:c r="H804" s="5"/>
    </x:row>
    <x:row r="805" ht="14.25" customHeight="1">
      <x:c r="H805" s="5"/>
    </x:row>
    <x:row r="806" ht="14.25" customHeight="1">
      <x:c r="H806" s="5"/>
    </x:row>
    <x:row r="807" ht="14.25" customHeight="1">
      <x:c r="H807" s="5"/>
    </x:row>
    <x:row r="808" ht="14.25" customHeight="1">
      <x:c r="H808" s="5"/>
    </x:row>
    <x:row r="809" ht="14.25" customHeight="1">
      <x:c r="H809" s="5"/>
    </x:row>
    <x:row r="810" ht="14.25" customHeight="1">
      <x:c r="H810" s="5"/>
    </x:row>
    <x:row r="811" ht="14.25" customHeight="1">
      <x:c r="H811" s="5"/>
    </x:row>
    <x:row r="812" ht="14.25" customHeight="1">
      <x:c r="H812" s="5"/>
    </x:row>
    <x:row r="813" ht="14.25" customHeight="1">
      <x:c r="H813" s="5"/>
    </x:row>
    <x:row r="814" ht="14.25" customHeight="1">
      <x:c r="H814" s="5"/>
    </x:row>
    <x:row r="815" ht="14.25" customHeight="1">
      <x:c r="H815" s="5"/>
    </x:row>
    <x:row r="816" ht="14.25" customHeight="1">
      <x:c r="H816" s="5"/>
    </x:row>
    <x:row r="817" ht="14.25" customHeight="1">
      <x:c r="H817" s="5"/>
    </x:row>
    <x:row r="818" ht="14.25" customHeight="1">
      <x:c r="H818" s="5"/>
    </x:row>
    <x:row r="819" ht="14.25" customHeight="1">
      <x:c r="H819" s="5"/>
    </x:row>
    <x:row r="820" ht="14.25" customHeight="1">
      <x:c r="H820" s="5"/>
    </x:row>
    <x:row r="821" ht="14.25" customHeight="1">
      <x:c r="H821" s="5"/>
    </x:row>
    <x:row r="822" ht="14.25" customHeight="1">
      <x:c r="H822" s="5"/>
    </x:row>
    <x:row r="823" ht="14.25" customHeight="1">
      <x:c r="H823" s="5"/>
    </x:row>
    <x:row r="824" ht="14.25" customHeight="1">
      <x:c r="H824" s="5"/>
    </x:row>
    <x:row r="825" ht="14.25" customHeight="1">
      <x:c r="H825" s="5"/>
    </x:row>
    <x:row r="826" ht="14.25" customHeight="1">
      <x:c r="H826" s="5"/>
    </x:row>
    <x:row r="827" ht="14.25" customHeight="1">
      <x:c r="H827" s="5"/>
    </x:row>
    <x:row r="828" ht="14.25" customHeight="1">
      <x:c r="H828" s="5"/>
    </x:row>
    <x:row r="829" ht="14.25" customHeight="1">
      <x:c r="H829" s="5"/>
    </x:row>
    <x:row r="830" ht="14.25" customHeight="1">
      <x:c r="H830" s="5"/>
    </x:row>
    <x:row r="831" ht="14.25" customHeight="1">
      <x:c r="H831" s="5"/>
    </x:row>
    <x:row r="832" ht="14.25" customHeight="1">
      <x:c r="H832" s="5"/>
    </x:row>
    <x:row r="833" ht="14.25" customHeight="1">
      <x:c r="H833" s="5"/>
    </x:row>
    <x:row r="834" ht="14.25" customHeight="1">
      <x:c r="H834" s="5"/>
    </x:row>
    <x:row r="835" ht="14.25" customHeight="1">
      <x:c r="H835" s="5"/>
    </x:row>
    <x:row r="836" ht="14.25" customHeight="1">
      <x:c r="H836" s="5"/>
    </x:row>
    <x:row r="837" ht="14.25" customHeight="1">
      <x:c r="H837" s="5"/>
    </x:row>
    <x:row r="838" ht="14.25" customHeight="1">
      <x:c r="H838" s="5"/>
    </x:row>
    <x:row r="839" ht="14.25" customHeight="1">
      <x:c r="H839" s="5"/>
    </x:row>
    <x:row r="840" ht="14.25" customHeight="1">
      <x:c r="H840" s="5"/>
    </x:row>
    <x:row r="841" ht="14.25" customHeight="1">
      <x:c r="H841" s="5"/>
    </x:row>
    <x:row r="842" ht="14.25" customHeight="1">
      <x:c r="H842" s="5"/>
    </x:row>
    <x:row r="843" ht="14.25" customHeight="1">
      <x:c r="H843" s="5"/>
    </x:row>
    <x:row r="844" ht="14.25" customHeight="1">
      <x:c r="H844" s="5"/>
    </x:row>
    <x:row r="845" ht="14.25" customHeight="1">
      <x:c r="H845" s="5"/>
    </x:row>
    <x:row r="846" ht="14.25" customHeight="1">
      <x:c r="H846" s="5"/>
    </x:row>
    <x:row r="847" ht="14.25" customHeight="1">
      <x:c r="H847" s="5"/>
    </x:row>
    <x:row r="848" ht="14.25" customHeight="1">
      <x:c r="H848" s="5"/>
    </x:row>
    <x:row r="849" ht="14.25" customHeight="1">
      <x:c r="H849" s="5"/>
    </x:row>
    <x:row r="850" ht="14.25" customHeight="1">
      <x:c r="H850" s="5"/>
    </x:row>
    <x:row r="851" ht="14.25" customHeight="1">
      <x:c r="H851" s="5"/>
    </x:row>
    <x:row r="852" ht="14.25" customHeight="1">
      <x:c r="H852" s="5"/>
    </x:row>
    <x:row r="853" ht="14.25" customHeight="1">
      <x:c r="H853" s="5"/>
    </x:row>
    <x:row r="854" ht="14.25" customHeight="1">
      <x:c r="H854" s="5"/>
    </x:row>
    <x:row r="855" ht="14.25" customHeight="1">
      <x:c r="H855" s="5"/>
    </x:row>
    <x:row r="856" ht="14.25" customHeight="1">
      <x:c r="H856" s="5"/>
    </x:row>
    <x:row r="857" ht="14.25" customHeight="1">
      <x:c r="H857" s="5"/>
    </x:row>
    <x:row r="858" ht="14.25" customHeight="1">
      <x:c r="H858" s="5"/>
    </x:row>
    <x:row r="859" ht="14.25" customHeight="1">
      <x:c r="H859" s="5"/>
    </x:row>
    <x:row r="860" ht="14.25" customHeight="1">
      <x:c r="H860" s="5"/>
    </x:row>
    <x:row r="861" ht="14.25" customHeight="1">
      <x:c r="H861" s="5"/>
    </x:row>
    <x:row r="862" ht="14.25" customHeight="1">
      <x:c r="H862" s="5"/>
    </x:row>
    <x:row r="863" ht="14.25" customHeight="1">
      <x:c r="H863" s="5"/>
    </x:row>
    <x:row r="864" ht="14.25" customHeight="1">
      <x:c r="H864" s="5"/>
    </x:row>
    <x:row r="865" ht="14.25" customHeight="1">
      <x:c r="H865" s="5"/>
    </x:row>
    <x:row r="866" ht="14.25" customHeight="1">
      <x:c r="H866" s="5"/>
    </x:row>
    <x:row r="867" ht="14.25" customHeight="1">
      <x:c r="H867" s="5"/>
    </x:row>
    <x:row r="868" ht="14.25" customHeight="1">
      <x:c r="H868" s="5"/>
    </x:row>
    <x:row r="869" ht="14.25" customHeight="1">
      <x:c r="H869" s="5"/>
    </x:row>
    <x:row r="870" ht="14.25" customHeight="1">
      <x:c r="H870" s="5"/>
    </x:row>
    <x:row r="871" ht="14.25" customHeight="1">
      <x:c r="H871" s="5"/>
    </x:row>
    <x:row r="872" ht="14.25" customHeight="1">
      <x:c r="H872" s="5"/>
    </x:row>
    <x:row r="873" ht="14.25" customHeight="1">
      <x:c r="H873" s="5"/>
    </x:row>
    <x:row r="874" ht="14.25" customHeight="1">
      <x:c r="H874" s="5"/>
    </x:row>
    <x:row r="875" ht="14.25" customHeight="1">
      <x:c r="H875" s="5"/>
    </x:row>
    <x:row r="876" ht="14.25" customHeight="1">
      <x:c r="H876" s="5"/>
    </x:row>
    <x:row r="877" ht="14.25" customHeight="1">
      <x:c r="H877" s="5"/>
    </x:row>
    <x:row r="878" ht="14.25" customHeight="1">
      <x:c r="H878" s="5"/>
    </x:row>
    <x:row r="879" ht="14.25" customHeight="1">
      <x:c r="H879" s="5"/>
    </x:row>
    <x:row r="880" ht="14.25" customHeight="1">
      <x:c r="H880" s="5"/>
    </x:row>
    <x:row r="881" ht="14.25" customHeight="1">
      <x:c r="H881" s="5"/>
    </x:row>
    <x:row r="882" ht="14.25" customHeight="1">
      <x:c r="H882" s="5"/>
    </x:row>
    <x:row r="883" ht="14.25" customHeight="1">
      <x:c r="H883" s="5"/>
    </x:row>
    <x:row r="884" ht="14.25" customHeight="1">
      <x:c r="H884" s="5"/>
    </x:row>
    <x:row r="885" ht="14.25" customHeight="1">
      <x:c r="H885" s="5"/>
    </x:row>
    <x:row r="886" ht="14.25" customHeight="1">
      <x:c r="H886" s="5"/>
    </x:row>
    <x:row r="887" ht="14.25" customHeight="1">
      <x:c r="H887" s="5"/>
    </x:row>
    <x:row r="888" ht="14.25" customHeight="1">
      <x:c r="H888" s="5"/>
    </x:row>
    <x:row r="889" ht="14.25" customHeight="1">
      <x:c r="H889" s="5"/>
    </x:row>
    <x:row r="890" ht="14.25" customHeight="1">
      <x:c r="H890" s="5"/>
    </x:row>
    <x:row r="891" ht="14.25" customHeight="1">
      <x:c r="H891" s="5"/>
    </x:row>
    <x:row r="892" ht="14.25" customHeight="1">
      <x:c r="H892" s="5"/>
    </x:row>
    <x:row r="893" ht="14.25" customHeight="1">
      <x:c r="H893" s="5"/>
    </x:row>
    <x:row r="894" ht="14.25" customHeight="1">
      <x:c r="H894" s="5"/>
    </x:row>
    <x:row r="895" ht="14.25" customHeight="1">
      <x:c r="H895" s="5"/>
    </x:row>
    <x:row r="896" ht="14.25" customHeight="1">
      <x:c r="H896" s="5"/>
    </x:row>
    <x:row r="897" ht="14.25" customHeight="1">
      <x:c r="H897" s="5"/>
    </x:row>
    <x:row r="898" ht="14.25" customHeight="1">
      <x:c r="H898" s="5"/>
    </x:row>
    <x:row r="899" ht="14.25" customHeight="1">
      <x:c r="H899" s="5"/>
    </x:row>
    <x:row r="900" ht="14.25" customHeight="1">
      <x:c r="H900" s="5"/>
    </x:row>
    <x:row r="901" ht="14.25" customHeight="1">
      <x:c r="H901" s="5"/>
    </x:row>
    <x:row r="902" ht="14.25" customHeight="1">
      <x:c r="H902" s="5"/>
    </x:row>
    <x:row r="903" ht="14.25" customHeight="1">
      <x:c r="H903" s="5"/>
    </x:row>
    <x:row r="904" ht="14.25" customHeight="1">
      <x:c r="H904" s="5"/>
    </x:row>
    <x:row r="905" ht="14.25" customHeight="1">
      <x:c r="H905" s="5"/>
    </x:row>
    <x:row r="906" ht="14.25" customHeight="1">
      <x:c r="H906" s="5"/>
    </x:row>
    <x:row r="907" ht="14.25" customHeight="1">
      <x:c r="H907" s="5"/>
    </x:row>
    <x:row r="908" ht="14.25" customHeight="1">
      <x:c r="H908" s="5"/>
    </x:row>
    <x:row r="909" ht="14.25" customHeight="1">
      <x:c r="H909" s="5"/>
    </x:row>
    <x:row r="910" ht="14.25" customHeight="1">
      <x:c r="H910" s="5"/>
    </x:row>
    <x:row r="911" ht="14.25" customHeight="1">
      <x:c r="H911" s="5"/>
    </x:row>
    <x:row r="912" ht="14.25" customHeight="1">
      <x:c r="H912" s="5"/>
    </x:row>
    <x:row r="913" ht="14.25" customHeight="1">
      <x:c r="H913" s="5"/>
    </x:row>
    <x:row r="914" ht="14.25" customHeight="1">
      <x:c r="H914" s="5"/>
    </x:row>
    <x:row r="915" ht="14.25" customHeight="1">
      <x:c r="H915" s="5"/>
    </x:row>
    <x:row r="916" ht="14.25" customHeight="1">
      <x:c r="H916" s="5"/>
    </x:row>
    <x:row r="917" ht="14.25" customHeight="1">
      <x:c r="H917" s="5"/>
    </x:row>
    <x:row r="918" ht="14.25" customHeight="1">
      <x:c r="H918" s="5"/>
    </x:row>
    <x:row r="919" ht="14.25" customHeight="1">
      <x:c r="H919" s="5"/>
    </x:row>
    <x:row r="920" ht="14.25" customHeight="1">
      <x:c r="H920" s="5"/>
    </x:row>
    <x:row r="921" ht="14.25" customHeight="1">
      <x:c r="H921" s="5"/>
    </x:row>
    <x:row r="922" ht="14.25" customHeight="1">
      <x:c r="H922" s="5"/>
    </x:row>
    <x:row r="923" ht="14.25" customHeight="1">
      <x:c r="H923" s="5"/>
    </x:row>
    <x:row r="924" ht="14.25" customHeight="1">
      <x:c r="H924" s="5"/>
    </x:row>
    <x:row r="925" ht="14.25" customHeight="1">
      <x:c r="H925" s="5"/>
    </x:row>
    <x:row r="926" ht="14.25" customHeight="1">
      <x:c r="H926" s="5"/>
    </x:row>
    <x:row r="927" ht="14.25" customHeight="1">
      <x:c r="H927" s="5"/>
    </x:row>
    <x:row r="928" ht="14.25" customHeight="1">
      <x:c r="H928" s="5"/>
    </x:row>
    <x:row r="929" ht="14.25" customHeight="1">
      <x:c r="H929" s="5"/>
    </x:row>
    <x:row r="930" ht="14.25" customHeight="1">
      <x:c r="H930" s="5"/>
    </x:row>
    <x:row r="931" ht="14.25" customHeight="1">
      <x:c r="H931" s="5"/>
    </x:row>
    <x:row r="932" ht="14.25" customHeight="1">
      <x:c r="H932" s="5"/>
    </x:row>
    <x:row r="933" ht="14.25" customHeight="1">
      <x:c r="H933" s="5"/>
    </x:row>
    <x:row r="934" ht="14.25" customHeight="1">
      <x:c r="H934" s="5"/>
    </x:row>
    <x:row r="935" ht="14.25" customHeight="1">
      <x:c r="H935" s="5"/>
    </x:row>
    <x:row r="936" ht="14.25" customHeight="1">
      <x:c r="H936" s="5"/>
    </x:row>
    <x:row r="937" ht="14.25" customHeight="1">
      <x:c r="H937" s="5"/>
    </x:row>
    <x:row r="938" ht="14.25" customHeight="1">
      <x:c r="H938" s="5"/>
    </x:row>
    <x:row r="939" ht="14.25" customHeight="1">
      <x:c r="H939" s="5"/>
    </x:row>
    <x:row r="940" ht="14.25" customHeight="1">
      <x:c r="H940" s="5"/>
    </x:row>
    <x:row r="941" ht="14.25" customHeight="1">
      <x:c r="H941" s="5"/>
    </x:row>
    <x:row r="942" ht="14.25" customHeight="1">
      <x:c r="H942" s="5"/>
    </x:row>
    <x:row r="943" ht="14.25" customHeight="1">
      <x:c r="H943" s="5"/>
    </x:row>
    <x:row r="944" ht="14.25" customHeight="1">
      <x:c r="H944" s="5"/>
    </x:row>
    <x:row r="945" ht="14.25" customHeight="1">
      <x:c r="H945" s="5"/>
    </x:row>
    <x:row r="946" ht="14.25" customHeight="1">
      <x:c r="H946" s="5"/>
    </x:row>
    <x:row r="947" ht="14.25" customHeight="1">
      <x:c r="H947" s="5"/>
    </x:row>
    <x:row r="948" ht="14.25" customHeight="1">
      <x:c r="H948" s="5"/>
    </x:row>
    <x:row r="949" ht="14.25" customHeight="1">
      <x:c r="H949" s="5"/>
    </x:row>
    <x:row r="950" ht="14.25" customHeight="1">
      <x:c r="H950" s="5"/>
    </x:row>
    <x:row r="951" ht="14.25" customHeight="1">
      <x:c r="H951" s="5"/>
    </x:row>
    <x:row r="952" ht="14.25" customHeight="1">
      <x:c r="H952" s="5"/>
    </x:row>
    <x:row r="953" ht="14.25" customHeight="1">
      <x:c r="H953" s="5"/>
    </x:row>
    <x:row r="954" ht="14.25" customHeight="1">
      <x:c r="H954" s="5"/>
    </x:row>
    <x:row r="955" ht="14.25" customHeight="1">
      <x:c r="H955" s="5"/>
    </x:row>
    <x:row r="956" ht="14.25" customHeight="1">
      <x:c r="H956" s="5"/>
    </x:row>
    <x:row r="957" ht="14.25" customHeight="1">
      <x:c r="H957" s="5"/>
    </x:row>
    <x:row r="958" ht="14.25" customHeight="1">
      <x:c r="H958" s="5"/>
    </x:row>
    <x:row r="959" ht="14.25" customHeight="1">
      <x:c r="H959" s="5"/>
    </x:row>
    <x:row r="960" ht="14.25" customHeight="1">
      <x:c r="H960" s="5"/>
    </x:row>
    <x:row r="961" ht="14.25" customHeight="1">
      <x:c r="H961" s="5"/>
    </x:row>
    <x:row r="962" ht="14.25" customHeight="1">
      <x:c r="H962" s="5"/>
    </x:row>
    <x:row r="963" ht="14.25" customHeight="1">
      <x:c r="H963" s="5"/>
    </x:row>
    <x:row r="964" ht="14.25" customHeight="1">
      <x:c r="H964" s="5"/>
    </x:row>
    <x:row r="965" ht="14.25" customHeight="1">
      <x:c r="H965" s="5"/>
    </x:row>
    <x:row r="966" ht="14.25" customHeight="1">
      <x:c r="H966" s="5"/>
    </x:row>
    <x:row r="967" ht="14.25" customHeight="1">
      <x:c r="H967" s="5"/>
    </x:row>
    <x:row r="968" ht="14.25" customHeight="1">
      <x:c r="H968" s="5"/>
    </x:row>
    <x:row r="969" ht="14.25" customHeight="1">
      <x:c r="H969" s="5"/>
    </x:row>
    <x:row r="970" ht="14.25" customHeight="1">
      <x:c r="H970" s="5"/>
    </x:row>
    <x:row r="971" ht="14.25" customHeight="1">
      <x:c r="H971" s="5"/>
    </x:row>
    <x:row r="972" ht="14.25" customHeight="1">
      <x:c r="H972" s="5"/>
    </x:row>
    <x:row r="973" ht="14.25" customHeight="1">
      <x:c r="H973" s="5"/>
    </x:row>
    <x:row r="974" ht="14.25" customHeight="1">
      <x:c r="H974" s="5"/>
    </x:row>
    <x:row r="975" ht="14.25" customHeight="1">
      <x:c r="H975" s="5"/>
    </x:row>
    <x:row r="976" ht="14.25" customHeight="1">
      <x:c r="H976" s="5"/>
    </x:row>
    <x:row r="977" ht="14.25" customHeight="1">
      <x:c r="H977" s="5"/>
    </x:row>
    <x:row r="978" ht="14.25" customHeight="1">
      <x:c r="H978" s="5"/>
    </x:row>
    <x:row r="979" ht="14.25" customHeight="1">
      <x:c r="H979" s="5"/>
    </x:row>
    <x:row r="980" ht="14.25" customHeight="1">
      <x:c r="H980" s="5"/>
    </x:row>
    <x:row r="981" ht="14.25" customHeight="1">
      <x:c r="H981" s="5"/>
    </x:row>
    <x:row r="982" ht="14.25" customHeight="1">
      <x:c r="H982" s="5"/>
    </x:row>
    <x:row r="983" ht="14.25" customHeight="1">
      <x:c r="H983" s="5"/>
    </x:row>
    <x:row r="984" ht="14.25" customHeight="1">
      <x:c r="H984" s="5"/>
    </x:row>
    <x:row r="985" ht="14.25" customHeight="1">
      <x:c r="H985" s="5"/>
    </x:row>
    <x:row r="986" ht="14.25" customHeight="1">
      <x:c r="H986" s="5"/>
    </x:row>
    <x:row r="987" ht="14.25" customHeight="1">
      <x:c r="H987" s="5"/>
    </x:row>
    <x:row r="988" ht="14.25" customHeight="1">
      <x:c r="H988" s="5"/>
    </x:row>
    <x:row r="989" ht="14.25" customHeight="1">
      <x:c r="H989" s="5"/>
    </x:row>
    <x:row r="990" ht="14.25" customHeight="1">
      <x:c r="H990" s="5"/>
    </x:row>
    <x:row r="991" ht="14.25" customHeight="1">
      <x:c r="H991" s="5"/>
    </x:row>
    <x:row r="992" ht="14.25" customHeight="1">
      <x:c r="H992" s="5"/>
    </x:row>
    <x:row r="993" ht="14.25" customHeight="1">
      <x:c r="H993" s="5"/>
    </x:row>
    <x:row r="994" ht="14.25" customHeight="1">
      <x:c r="H994" s="5"/>
    </x:row>
    <x:row r="995" ht="14.25" customHeight="1">
      <x:c r="H995" s="5"/>
    </x:row>
    <x:row r="996" ht="14.25" customHeight="1">
      <x:c r="H996" s="5"/>
    </x:row>
    <x:row r="997" ht="14.25" customHeight="1">
      <x:c r="H997" s="5"/>
    </x:row>
    <x:row r="998" ht="14.25" customHeight="1">
      <x:c r="H998" s="5"/>
    </x:row>
    <x:row r="999" ht="14.25" customHeight="1">
      <x:c r="H999" s="5"/>
    </x:row>
    <x:row r="1000" ht="14.25" customHeight="1">
      <x:c r="H1000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26" width="8.5" customWidth="1"/>
  </x:cols>
  <x:sheetData>
    <x:row r="1" ht="14.25" customHeight="1">
      <x:c r="A1" s="9" t="str">
        <x:f>"RB"&amp;Scoring!C40*Scoring!$A$40+1</x:f>
        <x:v>RB25</x:v>
      </x:c>
      <x:c r="B1" s="118" t="n">
        <x:f>VLOOKUP(A1,ECR!Q:R,2,FALSE)</x:f>
        <x:v>138.4348712</x:v>
      </x:c>
      <x:c r="C1" s="9" t="str">
        <x:f t="array" ref="C1">LEFT(INDEX($A$1:$A$52,MATCH(LARGE($B$1:$B$52,1),$B$1:$B$52,0)),2)</x:f>
        <x:v>RB</x:v>
      </x:c>
      <x:c r="D1" s="6" t="s">
        <x:v>8</x:v>
      </x:c>
      <x:c r="E1" s="6" t="n">
        <x:f t="array" ref="E1">COUNTIF(INDEX($C$1:$C$50,1):INDEX($C$1:$C$50,Scoring!F41),"RB")</x:f>
        <x:v>0</x:v>
      </x:c>
      <x:c r="F1" s="6" t="s">
        <x:v>9</x:v>
      </x:c>
      <x:c r="G1" s="6" t="n">
        <x:f t="array" ref="G1">COUNTIF(INDEX($C$1:$C$50,1):INDEX($C$1:$C$50,Scoring!F41),"WR")</x:f>
        <x:v>0</x:v>
      </x:c>
      <x:c r="H1" s="6" t="s">
        <x:v>10</x:v>
      </x:c>
      <x:c r="I1" s="6" t="n">
        <x:f t="array" ref="I1">COUNTIF(INDEX($C$1:$C$50,1):INDEX($C$1:$C$50,Scoring!F41),"TE")</x:f>
        <x:v>0</x:v>
      </x:c>
    </x:row>
    <x:row r="2" ht="14.25" customHeight="1">
      <x:c r="A2" s="9" t="str">
        <x:f>"RB"&amp;Scoring!C40*Scoring!$A$40+2</x:f>
        <x:v>RB26</x:v>
      </x:c>
      <x:c r="B2" s="118" t="n">
        <x:f>VLOOKUP(A2,ECR!Q:R,2,FALSE)</x:f>
        <x:v>133.2649353</x:v>
      </x:c>
      <x:c r="C2" s="9" t="str">
        <x:f t="array" ref="C2">LEFT(INDEX($A$1:$A$52,MATCH(LARGE($B$1:$B$52,2),$B$1:$B$52,0)),2)</x:f>
        <x:v>RB</x:v>
      </x:c>
      <x:c r="D2" s="9"/>
      <x:c r="E2" s="9"/>
      <x:c r="F2" s="9"/>
      <x:c r="G2" s="9"/>
      <x:c r="H2" s="9"/>
    </x:row>
    <x:row r="3" ht="14.25" customHeight="1">
      <x:c r="A3" s="9" t="str">
        <x:f>"RB"&amp;Scoring!C40*Scoring!$A$40+3</x:f>
        <x:v>RB27</x:v>
      </x:c>
      <x:c r="B3" s="118" t="n">
        <x:f>VLOOKUP(A3,ECR!Q:R,2,FALSE)</x:f>
        <x:v>130.8193205</x:v>
      </x:c>
      <x:c r="C3" s="9" t="str">
        <x:f t="array" ref="C3">LEFT(INDEX($A$1:$A$52,MATCH(LARGE($B$1:$B$52,3),$B$1:$B$52,0)),2)</x:f>
        <x:v>RB</x:v>
      </x:c>
      <x:c r="D3" s="9"/>
      <x:c r="E3" s="9"/>
      <x:c r="F3" s="9"/>
      <x:c r="G3" s="9"/>
      <x:c r="H3" s="9"/>
    </x:row>
    <x:row r="4" ht="14.25" customHeight="1">
      <x:c r="A4" s="9" t="str">
        <x:f>"RB"&amp;Scoring!C40*Scoring!$A$40+4</x:f>
        <x:v>RB28</x:v>
      </x:c>
      <x:c r="B4" s="118" t="n">
        <x:f>VLOOKUP(A4,ECR!Q:R,2,FALSE)</x:f>
        <x:v>130.77045</x:v>
      </x:c>
      <x:c r="C4" s="9" t="str">
        <x:f t="array" ref="C4">LEFT(INDEX($A$1:$A$52,MATCH(LARGE($B$1:$B$52,4),$B$1:$B$52,0)),2)</x:f>
        <x:v>RB</x:v>
      </x:c>
      <x:c r="D4" s="9"/>
      <x:c r="E4" s="9"/>
      <x:c r="F4" s="9"/>
      <x:c r="G4" s="9"/>
      <x:c r="H4" s="9"/>
    </x:row>
    <x:row r="5" ht="14.25" customHeight="1">
      <x:c r="A5" s="9" t="str">
        <x:f>"RB"&amp;Scoring!C40*Scoring!$A$40+5</x:f>
        <x:v>RB29</x:v>
      </x:c>
      <x:c r="B5" s="118" t="n">
        <x:f>VLOOKUP(A5,ECR!Q:R,2,FALSE)</x:f>
        <x:v>130.4134456</x:v>
      </x:c>
      <x:c r="C5" s="9" t="str">
        <x:f t="array" ref="C5">LEFT(INDEX($A$1:$A$52,MATCH(LARGE($B$1:$B$52,5),$B$1:$B$52,0)),2)</x:f>
        <x:v>RB</x:v>
      </x:c>
      <x:c r="D5" s="9"/>
      <x:c r="E5" s="9"/>
      <x:c r="F5" s="9"/>
      <x:c r="G5" s="9"/>
      <x:c r="H5" s="9"/>
    </x:row>
    <x:row r="6" ht="14.25" customHeight="1">
      <x:c r="A6" s="9" t="str">
        <x:f>"RB"&amp;Scoring!C40*Scoring!$A$40+6</x:f>
        <x:v>RB30</x:v>
      </x:c>
      <x:c r="B6" s="118" t="n">
        <x:f>VLOOKUP(A6,ECR!Q:R,2,FALSE)</x:f>
        <x:v>125.501372</x:v>
      </x:c>
      <x:c r="C6" s="9" t="str">
        <x:f t="array" ref="C6">LEFT(INDEX($A$1:$A$52,MATCH(LARGE($B$1:$B$52,6),$B$1:$B$52,0)),2)</x:f>
        <x:v>RB</x:v>
      </x:c>
      <x:c r="D6" s="9"/>
      <x:c r="E6" s="9"/>
      <x:c r="F6" s="9"/>
      <x:c r="G6" s="9"/>
      <x:c r="H6" s="9"/>
    </x:row>
    <x:row r="7" ht="14.25" customHeight="1">
      <x:c r="A7" s="9" t="str">
        <x:f>"RB"&amp;Scoring!C40*Scoring!$A$40+7</x:f>
        <x:v>RB31</x:v>
      </x:c>
      <x:c r="B7" s="118" t="n">
        <x:f>VLOOKUP(A7,ECR!Q:R,2,FALSE)</x:f>
        <x:v>124.0165271</x:v>
      </x:c>
      <x:c r="C7" s="9" t="str">
        <x:f t="array" ref="C7">LEFT(INDEX($A$1:$A$52,MATCH(LARGE($B$1:$B$52,7),$B$1:$B$52,0)),2)</x:f>
        <x:v>RB</x:v>
      </x:c>
      <x:c r="D7" s="9"/>
      <x:c r="E7" s="9"/>
      <x:c r="F7" s="9"/>
      <x:c r="G7" s="9"/>
      <x:c r="H7" s="9"/>
    </x:row>
    <x:row r="8" ht="14.25" customHeight="1">
      <x:c r="A8" s="9" t="str">
        <x:f>"RB"&amp;Scoring!C40*Scoring!$A$40+8</x:f>
        <x:v>RB32</x:v>
      </x:c>
      <x:c r="B8" s="118" t="n">
        <x:f>VLOOKUP(A8,ECR!Q:R,2,FALSE)</x:f>
        <x:v>117.0613249</x:v>
      </x:c>
      <x:c r="C8" s="9" t="str">
        <x:f t="array" ref="C8">LEFT(INDEX($A$1:$A$52,MATCH(LARGE($B$1:$B$52,8),$B$1:$B$52,0)),2)</x:f>
        <x:v>RB</x:v>
      </x:c>
      <x:c r="D8" s="9"/>
      <x:c r="E8" s="9"/>
      <x:c r="F8" s="9"/>
      <x:c r="G8" s="9"/>
      <x:c r="H8" s="9"/>
    </x:row>
    <x:row r="9" ht="14.25" customHeight="1">
      <x:c r="A9" s="9" t="str">
        <x:f>"RB"&amp;Scoring!C40*Scoring!$A$40+9</x:f>
        <x:v>RB33</x:v>
      </x:c>
      <x:c r="B9" s="118" t="n">
        <x:f>VLOOKUP(A9,ECR!Q:R,2,FALSE)</x:f>
        <x:v>112.7395895</x:v>
      </x:c>
      <x:c r="C9" s="9" t="str">
        <x:f t="array" ref="C9">LEFT(INDEX($A$1:$A$52,MATCH(LARGE($B$1:$B$52,9),$B$1:$B$52,0)),2)</x:f>
        <x:v>RB</x:v>
      </x:c>
      <x:c r="D9" s="9"/>
      <x:c r="E9" s="9"/>
      <x:c r="F9" s="9"/>
      <x:c r="G9" s="9"/>
      <x:c r="H9" s="9"/>
    </x:row>
    <x:row r="10" ht="14.25" customHeight="1">
      <x:c r="A10" s="9" t="str">
        <x:f>"RB"&amp;Scoring!C40*Scoring!$A$40+10</x:f>
        <x:v>RB34</x:v>
      </x:c>
      <x:c r="B10" s="118" t="n">
        <x:f>VLOOKUP(A10,ECR!Q:R,2,FALSE)</x:f>
        <x:v>107.7063765</x:v>
      </x:c>
      <x:c r="C10" s="9" t="str">
        <x:f t="array" ref="C10">LEFT(INDEX($A$1:$A$52,MATCH(LARGE($B$1:$B$52,10),$B$1:$B$52,0)),2)</x:f>
        <x:v>WR</x:v>
      </x:c>
      <x:c r="D10" s="9"/>
      <x:c r="E10" s="9"/>
      <x:c r="F10" s="9"/>
      <x:c r="G10" s="9"/>
      <x:c r="H10" s="9"/>
    </x:row>
    <x:row r="11" ht="14.25" customHeight="1">
      <x:c r="A11" s="9" t="str">
        <x:f>"RB"&amp;Scoring!C40*Scoring!$A$40+11</x:f>
        <x:v>RB35</x:v>
      </x:c>
      <x:c r="B11" s="118" t="n">
        <x:f>VLOOKUP(A11,ECR!Q:R,2,FALSE)</x:f>
        <x:v>106.7404</x:v>
      </x:c>
      <x:c r="C11" s="9" t="str">
        <x:f t="array" ref="C11">LEFT(INDEX($A$1:$A$52,MATCH(LARGE($B$1:$B$52,11),$B$1:$B$52,0)),2)</x:f>
        <x:v>WR</x:v>
      </x:c>
      <x:c r="D11" s="9"/>
      <x:c r="E11" s="9"/>
      <x:c r="F11" s="9"/>
      <x:c r="G11" s="9"/>
      <x:c r="H11" s="9"/>
    </x:row>
    <x:row r="12" ht="14.25" customHeight="1">
      <x:c r="A12" s="9" t="str">
        <x:f>"RB"&amp;Scoring!C40*Scoring!$A$40+12</x:f>
        <x:v>RB36</x:v>
      </x:c>
      <x:c r="B12" s="118" t="n">
        <x:f>VLOOKUP(A12,ECR!Q:R,2,FALSE)</x:f>
        <x:v>106.6512329</x:v>
      </x:c>
      <x:c r="C12" s="9" t="str">
        <x:f t="array" ref="C12">LEFT(INDEX($A$1:$A$52,MATCH(LARGE($B$1:$B$52,12),$B$1:$B$52,0)),2)</x:f>
        <x:v>RB</x:v>
      </x:c>
      <x:c r="D12" s="9"/>
      <x:c r="E12" s="9"/>
      <x:c r="F12" s="9"/>
      <x:c r="G12" s="9"/>
      <x:c r="H12" s="9"/>
    </x:row>
    <x:row r="13" ht="14.25" customHeight="1">
      <x:c r="A13" s="9" t="str">
        <x:f>"RB"&amp;Scoring!C40*Scoring!$A$40+13</x:f>
        <x:v>RB37</x:v>
      </x:c>
      <x:c r="B13" s="118" t="n">
        <x:f>VLOOKUP(A13,ECR!Q:R,2,FALSE)</x:f>
        <x:v>105.5677</x:v>
      </x:c>
      <x:c r="C13" s="9" t="str">
        <x:f t="array" ref="C13">LEFT(INDEX($A$1:$A$52,MATCH(LARGE($B$1:$B$52,13),$B$1:$B$52,0)),2)</x:f>
        <x:v>RB</x:v>
      </x:c>
      <x:c r="D13" s="9"/>
      <x:c r="E13" s="9"/>
      <x:c r="F13" s="9"/>
      <x:c r="G13" s="9"/>
      <x:c r="H13" s="9"/>
    </x:row>
    <x:row r="14" ht="14.25" customHeight="1">
      <x:c r="A14" s="9" t="str">
        <x:f>"RB"&amp;Scoring!C40*Scoring!$A$40+14</x:f>
        <x:v>RB38</x:v>
      </x:c>
      <x:c r="B14" s="118" t="n">
        <x:f>VLOOKUP(A14,ECR!Q:R,2,FALSE)</x:f>
        <x:v>104.8456</x:v>
      </x:c>
      <x:c r="C14" s="9" t="str">
        <x:f t="array" ref="C14">LEFT(INDEX($A$1:$A$52,MATCH(LARGE($B$1:$B$52,14),$B$1:$B$52,0)),2)</x:f>
        <x:v>WR</x:v>
      </x:c>
      <x:c r="D14" s="9"/>
      <x:c r="E14" s="9"/>
      <x:c r="F14" s="9"/>
      <x:c r="G14" s="9"/>
      <x:c r="H14" s="9"/>
    </x:row>
    <x:row r="15" ht="14.25" customHeight="1">
      <x:c r="A15" s="9" t="str">
        <x:f>"RB"&amp;Scoring!C40*Scoring!$A$40+15</x:f>
        <x:v>RB39</x:v>
      </x:c>
      <x:c r="B15" s="118" t="n">
        <x:f>VLOOKUP(A15,ECR!Q:R,2,FALSE)</x:f>
        <x:v>104.1477311</x:v>
      </x:c>
      <x:c r="C15" s="9" t="str">
        <x:f t="array" ref="C15">LEFT(INDEX($A$1:$A$52,MATCH(LARGE($B$1:$B$52,15),$B$1:$B$52,0)),2)</x:f>
        <x:v>RB</x:v>
      </x:c>
      <x:c r="D15" s="9"/>
      <x:c r="E15" s="9"/>
      <x:c r="F15" s="9"/>
      <x:c r="G15" s="9"/>
      <x:c r="H15" s="9"/>
    </x:row>
    <x:row r="16" ht="14.25" customHeight="1">
      <x:c r="A16" s="9" t="str">
        <x:f>"RB"&amp;Scoring!C40*Scoring!$A$40+16</x:f>
        <x:v>RB40</x:v>
      </x:c>
      <x:c r="B16" s="118" t="n">
        <x:f>VLOOKUP(A16,ECR!Q:R,2,FALSE)</x:f>
        <x:v>102.52008</x:v>
      </x:c>
      <x:c r="C16" s="9" t="str">
        <x:f t="array" ref="C16">LEFT(INDEX($A$1:$A$52,MATCH(LARGE($B$1:$B$52,16),$B$1:$B$52,0)),2)</x:f>
        <x:v>WR</x:v>
      </x:c>
      <x:c r="D16" s="9"/>
      <x:c r="E16" s="9"/>
      <x:c r="F16" s="9"/>
      <x:c r="G16" s="9"/>
      <x:c r="H16" s="9"/>
    </x:row>
    <x:row r="17" ht="14.25" customHeight="1">
      <x:c r="A17" s="9" t="str">
        <x:f>"RB"&amp;Scoring!C40*Scoring!$A$40+17</x:f>
        <x:v>RB41</x:v>
      </x:c>
      <x:c r="B17" s="118" t="n">
        <x:f>VLOOKUP(A17,ECR!Q:R,2,FALSE)</x:f>
        <x:v>99.24877224</x:v>
      </x:c>
      <x:c r="C17" s="9" t="str">
        <x:f t="array" ref="C17">LEFT(INDEX($A$1:$A$52,MATCH(LARGE($B$1:$B$52,17),$B$1:$B$52,0)),2)</x:f>
        <x:v>RB</x:v>
      </x:c>
      <x:c r="D17" s="9"/>
      <x:c r="E17" s="9"/>
      <x:c r="F17" s="9"/>
      <x:c r="G17" s="9"/>
      <x:c r="H17" s="9"/>
    </x:row>
    <x:row r="18" ht="14.25" customHeight="1">
      <x:c r="A18" s="9" t="str">
        <x:f>"RB"&amp;Scoring!C40*Scoring!$A$40+18</x:f>
        <x:v>RB42</x:v>
      </x:c>
      <x:c r="B18" s="118" t="n">
        <x:f>VLOOKUP(A18,ECR!Q:R,2,FALSE)</x:f>
        <x:v>99.12421053</x:v>
      </x:c>
      <x:c r="C18" s="9" t="str">
        <x:f t="array" ref="C18">LEFT(INDEX($A$1:$A$52,MATCH(LARGE($B$1:$B$52,18),$B$1:$B$52,0)),2)</x:f>
        <x:v>WR</x:v>
      </x:c>
      <x:c r="D18" s="9"/>
      <x:c r="E18" s="9"/>
      <x:c r="F18" s="9"/>
      <x:c r="G18" s="9"/>
      <x:c r="H18" s="9"/>
    </x:row>
    <x:row r="19" ht="14.25" customHeight="1">
      <x:c r="A19" s="9" t="str">
        <x:f>"RB"&amp;Scoring!C40*Scoring!$A$40+19</x:f>
        <x:v>RB43</x:v>
      </x:c>
      <x:c r="B19" s="118" t="n">
        <x:f>VLOOKUP(A19,ECR!Q:R,2,FALSE)</x:f>
        <x:v>94.58108944</x:v>
      </x:c>
      <x:c r="C19" s="9" t="str">
        <x:f t="array" ref="C19">LEFT(INDEX($A$1:$A$52,MATCH(LARGE($B$1:$B$52,19),$B$1:$B$52,0)),2)</x:f>
        <x:v>RB</x:v>
      </x:c>
      <x:c r="D19" s="9"/>
      <x:c r="E19" s="9"/>
      <x:c r="F19" s="9"/>
      <x:c r="G19" s="9"/>
      <x:c r="H19" s="9"/>
    </x:row>
    <x:row r="20" ht="14.25" customHeight="1">
      <x:c r="A20" s="9" t="str">
        <x:f>"RB"&amp;Scoring!C40*Scoring!$A$40+20</x:f>
        <x:v>RB44</x:v>
      </x:c>
      <x:c r="B20" s="118" t="n">
        <x:f>VLOOKUP(A20,ECR!Q:R,2,FALSE)</x:f>
        <x:v>85.68954353</x:v>
      </x:c>
      <x:c r="C20" s="9" t="str">
        <x:f t="array" ref="C20">LEFT(INDEX($A$1:$A$52,MATCH(LARGE($B$1:$B$52,20),$B$1:$B$52,0)),2)</x:f>
        <x:v>WR</x:v>
      </x:c>
      <x:c r="D20" s="9"/>
      <x:c r="E20" s="9"/>
      <x:c r="F20" s="9"/>
      <x:c r="G20" s="9"/>
      <x:c r="H20" s="9"/>
    </x:row>
    <x:row r="21" ht="14.25" customHeight="1">
      <x:c r="A21" s="9" t="str">
        <x:f>"WR"&amp;Scoring!D40*Scoring!$A$40+1</x:f>
        <x:v>WR37</x:v>
      </x:c>
      <x:c r="B21" s="118" t="n">
        <x:f>VLOOKUP(A21,ECR!Q:R,2,FALSE)</x:f>
        <x:v>109.1597506</x:v>
      </x:c>
      <x:c r="C21" s="9" t="str">
        <x:f t="array" ref="C21">LEFT(INDEX($A$1:$A$52,MATCH(LARGE($B$1:$B$52,21),$B$1:$B$52,0)),2)</x:f>
        <x:v>WR</x:v>
      </x:c>
      <x:c r="D21" s="9"/>
      <x:c r="E21" s="9"/>
      <x:c r="F21" s="9"/>
      <x:c r="G21" s="9"/>
      <x:c r="H21" s="9"/>
    </x:row>
    <x:row r="22" ht="14.25" customHeight="1">
      <x:c r="A22" s="9" t="str">
        <x:f>"WR"&amp;Scoring!D40*Scoring!$A$40+2</x:f>
        <x:v>WR38</x:v>
      </x:c>
      <x:c r="B22" s="118" t="n">
        <x:f>VLOOKUP(A22,ECR!Q:R,2,FALSE)</x:f>
        <x:v>108.7175294</x:v>
      </x:c>
      <x:c r="C22" s="9" t="str">
        <x:f t="array" ref="C22">LEFT(INDEX($A$1:$A$52,MATCH(LARGE($B$1:$B$52,22),$B$1:$B$52,0)),2)</x:f>
        <x:v>WR</x:v>
      </x:c>
      <x:c r="D22" s="9"/>
      <x:c r="E22" s="9"/>
      <x:c r="F22" s="9"/>
      <x:c r="G22" s="9"/>
      <x:c r="H22" s="9"/>
    </x:row>
    <x:row r="23" ht="14.25" customHeight="1">
      <x:c r="A23" s="9" t="str">
        <x:f>"WR"&amp;Scoring!D40*Scoring!$A$40+3</x:f>
        <x:v>WR39</x:v>
      </x:c>
      <x:c r="B23" s="118" t="n">
        <x:f>VLOOKUP(A23,ECR!Q:R,2,FALSE)</x:f>
        <x:v>106.7321647</x:v>
      </x:c>
      <x:c r="C23" s="9" t="str">
        <x:f t="array" ref="C23">LEFT(INDEX($A$1:$A$52,MATCH(LARGE($B$1:$B$52,23),$B$1:$B$52,0)),2)</x:f>
        <x:v>RB</x:v>
      </x:c>
      <x:c r="D23" s="9"/>
      <x:c r="E23" s="9"/>
      <x:c r="F23" s="9"/>
      <x:c r="G23" s="9"/>
      <x:c r="H23" s="9"/>
    </x:row>
    <x:row r="24" ht="14.25" customHeight="1">
      <x:c r="A24" s="9" t="str">
        <x:f>"WR"&amp;Scoring!D40*Scoring!$A$40+4</x:f>
        <x:v>WR40</x:v>
      </x:c>
      <x:c r="B24" s="118" t="n">
        <x:f>VLOOKUP(A24,ECR!Q:R,2,FALSE)</x:f>
        <x:v>106.2737365</x:v>
      </x:c>
      <x:c r="C24" s="9" t="str">
        <x:f t="array" ref="C24">LEFT(INDEX($A$1:$A$52,MATCH(LARGE($B$1:$B$52,24),$B$1:$B$52,0)),2)</x:f>
        <x:v>WR</x:v>
      </x:c>
      <x:c r="D24" s="9"/>
      <x:c r="E24" s="9"/>
      <x:c r="F24" s="9"/>
      <x:c r="G24" s="9"/>
      <x:c r="H24" s="9"/>
    </x:row>
    <x:row r="25" ht="14.25" customHeight="1">
      <x:c r="A25" s="9" t="str">
        <x:f>"WR"&amp;Scoring!D40*Scoring!$A$40+5</x:f>
        <x:v>WR41</x:v>
      </x:c>
      <x:c r="B25" s="118" t="n">
        <x:f>VLOOKUP(A25,ECR!Q:R,2,FALSE)</x:f>
        <x:v>104.9870118</x:v>
      </x:c>
      <x:c r="C25" s="9" t="str">
        <x:f t="array" ref="C25">LEFT(INDEX($A$1:$A$52,MATCH(LARGE($B$1:$B$52,25),$B$1:$B$52,0)),2)</x:f>
        <x:v>TE</x:v>
      </x:c>
      <x:c r="D25" s="9"/>
      <x:c r="E25" s="9"/>
      <x:c r="F25" s="9"/>
      <x:c r="G25" s="9"/>
      <x:c r="H25" s="9"/>
    </x:row>
    <x:row r="26" ht="14.25" customHeight="1">
      <x:c r="A26" s="9" t="str">
        <x:f>"WR"&amp;Scoring!D40*Scoring!$A$40+6</x:f>
        <x:v>WR42</x:v>
      </x:c>
      <x:c r="B26" s="118" t="n">
        <x:f>VLOOKUP(A26,ECR!Q:R,2,FALSE)</x:f>
        <x:v>104.7598235</x:v>
      </x:c>
      <x:c r="C26" s="9" t="str">
        <x:f t="array" ref="C26">LEFT(INDEX($A$1:$A$52,MATCH(LARGE($B$1:$B$52,26),$B$1:$B$52,0)),2)</x:f>
        <x:v>WR</x:v>
      </x:c>
      <x:c r="D26" s="9"/>
      <x:c r="E26" s="9"/>
      <x:c r="F26" s="9"/>
      <x:c r="G26" s="9"/>
      <x:c r="H26" s="9"/>
    </x:row>
    <x:row r="27" ht="14.25" customHeight="1">
      <x:c r="A27" s="9" t="str">
        <x:f>"WR"&amp;Scoring!D40*Scoring!$A$40+7</x:f>
        <x:v>WR43</x:v>
      </x:c>
      <x:c r="B27" s="118" t="n">
        <x:f>VLOOKUP(A27,ECR!Q:R,2,FALSE)</x:f>
        <x:v>104.6295882</x:v>
      </x:c>
      <x:c r="C27" s="9" t="str">
        <x:f t="array" ref="C27">LEFT(INDEX($A$1:$A$52,MATCH(LARGE($B$1:$B$52,27),$B$1:$B$52,0)),2)</x:f>
        <x:v>RB</x:v>
      </x:c>
      <x:c r="D27" s="9"/>
      <x:c r="E27" s="9"/>
      <x:c r="F27" s="9"/>
      <x:c r="G27" s="9"/>
      <x:c r="H27" s="9"/>
    </x:row>
    <x:row r="28" ht="14.25" customHeight="1">
      <x:c r="A28" s="9" t="str">
        <x:f>"WR"&amp;Scoring!D40*Scoring!$A$40+8</x:f>
        <x:v>WR44</x:v>
      </x:c>
      <x:c r="B28" s="118" t="n">
        <x:f>VLOOKUP(A28,ECR!Q:R,2,FALSE)</x:f>
        <x:v>104.4776471</x:v>
      </x:c>
      <x:c r="C28" s="9" t="str">
        <x:f t="array" ref="C28">LEFT(INDEX($A$1:$A$52,MATCH(LARGE($B$1:$B$52,28),$B$1:$B$52,0)),2)</x:f>
        <x:v>TE</x:v>
      </x:c>
      <x:c r="D28" s="9"/>
      <x:c r="E28" s="9"/>
      <x:c r="F28" s="9"/>
      <x:c r="G28" s="9"/>
      <x:c r="H28" s="9"/>
    </x:row>
    <x:row r="29" ht="14.25" customHeight="1">
      <x:c r="A29" s="9" t="str">
        <x:f>"WR"&amp;Scoring!D40*Scoring!$A$40+9</x:f>
        <x:v>WR45</x:v>
      </x:c>
      <x:c r="B29" s="118" t="n">
        <x:f>VLOOKUP(A29,ECR!Q:R,2,FALSE)</x:f>
        <x:v>103.5515294</x:v>
      </x:c>
      <x:c r="C29" s="9" t="str">
        <x:f t="array" ref="C29">LEFT(INDEX($A$1:$A$52,MATCH(LARGE($B$1:$B$52,29),$B$1:$B$52,0)),2)</x:f>
        <x:v>WR</x:v>
      </x:c>
      <x:c r="D29" s="9"/>
      <x:c r="E29" s="9"/>
      <x:c r="F29" s="9"/>
      <x:c r="G29" s="9"/>
      <x:c r="H29" s="9"/>
    </x:row>
    <x:row r="30" ht="14.25" customHeight="1">
      <x:c r="A30" s="9" t="str">
        <x:f>"WR"&amp;Scoring!D40*Scoring!$A$40+10</x:f>
        <x:v>WR46</x:v>
      </x:c>
      <x:c r="B30" s="118" t="n">
        <x:f>VLOOKUP(A30,ECR!Q:R,2,FALSE)</x:f>
        <x:v>102.6832941</x:v>
      </x:c>
      <x:c r="C30" s="9" t="str">
        <x:f t="array" ref="C30">LEFT(INDEX($A$1:$A$52,MATCH(LARGE($B$1:$B$52,30),$B$1:$B$52,0)),2)</x:f>
        <x:v>WR</x:v>
      </x:c>
      <x:c r="D30" s="9"/>
      <x:c r="E30" s="9"/>
      <x:c r="F30" s="9"/>
      <x:c r="G30" s="9"/>
      <x:c r="H30" s="9"/>
    </x:row>
    <x:row r="31" ht="14.25" customHeight="1">
      <x:c r="A31" s="9" t="str">
        <x:f>"WR"&amp;Scoring!D40*Scoring!$A$40+11</x:f>
        <x:v>WR47</x:v>
      </x:c>
      <x:c r="B31" s="118" t="n">
        <x:f>VLOOKUP(A31,ECR!Q:R,2,FALSE)</x:f>
        <x:v>102.4155882</x:v>
      </x:c>
      <x:c r="C31" s="9" t="str">
        <x:f t="array" ref="C31">LEFT(INDEX($A$1:$A$52,MATCH(LARGE($B$1:$B$52,31),$B$1:$B$52,0)),2)</x:f>
        <x:v>WR</x:v>
      </x:c>
      <x:c r="D31" s="9"/>
      <x:c r="E31" s="9"/>
      <x:c r="F31" s="9"/>
      <x:c r="G31" s="9"/>
      <x:c r="H31" s="9"/>
    </x:row>
    <x:row r="32" ht="14.25" customHeight="1">
      <x:c r="A32" s="9" t="str">
        <x:f>"WR"&amp;Scoring!D40*Scoring!$A$40+12</x:f>
        <x:v>WR48</x:v>
      </x:c>
      <x:c r="B32" s="118" t="n">
        <x:f>VLOOKUP(A32,ECR!Q:R,2,FALSE)</x:f>
        <x:v>101.3013529</x:v>
      </x:c>
      <x:c r="C32" s="9" t="str">
        <x:f t="array" ref="C32">LEFT(INDEX($A$1:$A$52,MATCH(LARGE($B$1:$B$52,32),$B$1:$B$52,0)),2)</x:f>
        <x:v>TE</x:v>
      </x:c>
      <x:c r="D32" s="9"/>
      <x:c r="E32" s="9"/>
      <x:c r="F32" s="9"/>
      <x:c r="G32" s="9"/>
      <x:c r="H32" s="9"/>
    </x:row>
    <x:row r="33" ht="14.25" customHeight="1">
      <x:c r="A33" s="9" t="str">
        <x:f>"WR"&amp;Scoring!D40*Scoring!$A$40+13</x:f>
        <x:v>WR49</x:v>
      </x:c>
      <x:c r="B33" s="118" t="n">
        <x:f>VLOOKUP(A33,ECR!Q:R,2,FALSE)</x:f>
        <x:v>100.9974706</x:v>
      </x:c>
      <x:c r="C33" s="9" t="str">
        <x:f t="array" ref="C33">LEFT(INDEX($A$1:$A$52,MATCH(LARGE($B$1:$B$52,33),$B$1:$B$52,0)),2)</x:f>
        <x:v>WR</x:v>
      </x:c>
      <x:c r="D33" s="9"/>
      <x:c r="E33" s="9"/>
      <x:c r="F33" s="9"/>
      <x:c r="G33" s="9"/>
      <x:c r="H33" s="9"/>
    </x:row>
    <x:row r="34" ht="14.25" customHeight="1">
      <x:c r="A34" s="9" t="str">
        <x:f>"WR"&amp;Scoring!D40*Scoring!$A$40+14</x:f>
        <x:v>WR50</x:v>
      </x:c>
      <x:c r="B34" s="118" t="n">
        <x:f>VLOOKUP(A34,ECR!Q:R,2,FALSE)</x:f>
        <x:v>100.9034118</x:v>
      </x:c>
      <x:c r="C34" s="9" t="str">
        <x:f t="array" ref="C34">LEFT(INDEX($A$1:$A$52,MATCH(LARGE($B$1:$B$52,34),$B$1:$B$52,0)),2)</x:f>
        <x:v>RB</x:v>
      </x:c>
      <x:c r="D34" s="9"/>
      <x:c r="E34" s="9"/>
      <x:c r="F34" s="9"/>
      <x:c r="G34" s="9"/>
      <x:c r="H34" s="9"/>
    </x:row>
    <x:row r="35" ht="14.25" customHeight="1">
      <x:c r="A35" s="9" t="str">
        <x:f>"WR"&amp;Scoring!D40*Scoring!$A$40+15</x:f>
        <x:v>WR51</x:v>
      </x:c>
      <x:c r="B35" s="118" t="n">
        <x:f>VLOOKUP(A35,ECR!Q:R,2,FALSE)</x:f>
        <x:v>97.55347059</x:v>
      </x:c>
      <x:c r="C35" s="9" t="str">
        <x:f t="array" ref="C35">LEFT(INDEX($A$1:$A$52,MATCH(LARGE($B$1:$B$52,35),$B$1:$B$52,0)),2)</x:f>
        <x:v>RB</x:v>
      </x:c>
      <x:c r="D35" s="9"/>
      <x:c r="E35" s="9"/>
      <x:c r="F35" s="9"/>
      <x:c r="G35" s="9"/>
      <x:c r="H35" s="9"/>
    </x:row>
    <x:row r="36" ht="14.25" customHeight="1">
      <x:c r="A36" s="9" t="str">
        <x:f>"WR"&amp;Scoring!D40*Scoring!$A$40+16</x:f>
        <x:v>WR52</x:v>
      </x:c>
      <x:c r="B36" s="118" t="n">
        <x:f>VLOOKUP(A36,ECR!Q:R,2,FALSE)</x:f>
        <x:v>96.91676471</x:v>
      </x:c>
      <x:c r="C36" s="9" t="str">
        <x:f t="array" ref="C36">LEFT(INDEX($A$1:$A$52,MATCH(LARGE($B$1:$B$52,36),$B$1:$B$52,0)),2)</x:f>
        <x:v>WR</x:v>
      </x:c>
      <x:c r="D36" s="9"/>
      <x:c r="E36" s="9"/>
      <x:c r="F36" s="9"/>
      <x:c r="G36" s="9"/>
      <x:c r="H36" s="9"/>
    </x:row>
    <x:row r="37" ht="14.25" customHeight="1">
      <x:c r="A37" s="9" t="str">
        <x:f>"WR"&amp;Scoring!D40*Scoring!$A$40+17</x:f>
        <x:v>WR53</x:v>
      </x:c>
      <x:c r="B37" s="118" t="n">
        <x:f>VLOOKUP(A37,ECR!Q:R,2,FALSE)</x:f>
        <x:v>96.79781647</x:v>
      </x:c>
      <x:c r="C37" s="9" t="str">
        <x:f t="array" ref="C37">LEFT(INDEX($A$1:$A$52,MATCH(LARGE($B$1:$B$52,37),$B$1:$B$52,0)),2)</x:f>
        <x:v>TE</x:v>
      </x:c>
      <x:c r="D37" s="9"/>
      <x:c r="E37" s="9"/>
      <x:c r="F37" s="9"/>
      <x:c r="G37" s="9"/>
      <x:c r="H37" s="9"/>
    </x:row>
    <x:row r="38" ht="14.25" customHeight="1">
      <x:c r="A38" s="9" t="str">
        <x:f>"WR"&amp;Scoring!D40*Scoring!$A$40+18</x:f>
        <x:v>WR54</x:v>
      </x:c>
      <x:c r="B38" s="118" t="n">
        <x:f>VLOOKUP(A38,ECR!Q:R,2,FALSE)</x:f>
        <x:v>96.28729412</x:v>
      </x:c>
      <x:c r="C38" s="9" t="str">
        <x:f t="array" ref="C38">LEFT(INDEX($A$1:$A$52,MATCH(LARGE($B$1:$B$52,38),$B$1:$B$52,0)),2)</x:f>
        <x:v>WR</x:v>
      </x:c>
      <x:c r="D38" s="9"/>
      <x:c r="E38" s="9"/>
      <x:c r="F38" s="9"/>
      <x:c r="G38" s="9"/>
      <x:c r="H38" s="9"/>
    </x:row>
    <x:row r="39" ht="14.25" customHeight="1">
      <x:c r="A39" s="9" t="str">
        <x:f>"WR"&amp;Scoring!D40*Scoring!$A$40+19</x:f>
        <x:v>WR55</x:v>
      </x:c>
      <x:c r="B39" s="118" t="n">
        <x:f>VLOOKUP(A39,ECR!Q:R,2,FALSE)</x:f>
        <x:v>95.80976471</x:v>
      </x:c>
      <x:c r="C39" s="9" t="str">
        <x:f t="array" ref="C39">LEFT(INDEX($A$1:$A$52,MATCH(LARGE($B$1:$B$52,39),$B$1:$B$52,0)),2)</x:f>
        <x:v>WR</x:v>
      </x:c>
      <x:c r="D39" s="9"/>
      <x:c r="E39" s="9"/>
      <x:c r="F39" s="9"/>
      <x:c r="G39" s="9"/>
      <x:c r="H39" s="9"/>
    </x:row>
    <x:row r="40" ht="14.25" customHeight="1">
      <x:c r="A40" s="9" t="str">
        <x:f>"WR"&amp;Scoring!D40*Scoring!$A$40+20</x:f>
        <x:v>WR56</x:v>
      </x:c>
      <x:c r="B40" s="118" t="n">
        <x:f>VLOOKUP(A40,ECR!Q:R,2,FALSE)</x:f>
        <x:v>93.93582353</x:v>
      </x:c>
      <x:c r="C40" s="9" t="str">
        <x:f t="array" ref="C40">LEFT(INDEX($A$1:$A$52,MATCH(LARGE($B$1:$B$52,40),$B$1:$B$52,0)),2)</x:f>
        <x:v>WR</x:v>
      </x:c>
      <x:c r="D40" s="9"/>
      <x:c r="E40" s="9"/>
      <x:c r="F40" s="9"/>
      <x:c r="G40" s="9"/>
      <x:c r="H40" s="9"/>
    </x:row>
    <x:row r="41" ht="14.25" customHeight="1">
      <x:c r="A41" s="9" t="str">
        <x:f>"TE"&amp;Scoring!E40*Scoring!$A$40+1</x:f>
        <x:v>TE13</x:v>
      </x:c>
      <x:c r="B41" s="118" t="n">
        <x:f>VLOOKUP(A41,ECR!Q:R,2,FALSE)</x:f>
        <x:v>103.2671466</x:v>
      </x:c>
      <x:c r="C41" s="9" t="str">
        <x:f t="array" ref="C41">LEFT(INDEX($A$1:$A$52,MATCH(LARGE($B$1:$B$52,41),$B$1:$B$52,0)),2)</x:f>
        <x:v>WR</x:v>
      </x:c>
      <x:c r="D41" s="9"/>
      <x:c r="E41" s="9"/>
      <x:c r="F41" s="9"/>
      <x:c r="G41" s="9"/>
      <x:c r="H41" s="9"/>
    </x:row>
    <x:row r="42" ht="14.25" customHeight="1">
      <x:c r="A42" s="9" t="str">
        <x:f>"TE"&amp;Scoring!E40*Scoring!$A$40+2</x:f>
        <x:v>TE14</x:v>
      </x:c>
      <x:c r="B42" s="118" t="n">
        <x:f>VLOOKUP(A42,ECR!Q:R,2,FALSE)</x:f>
        <x:v>102.4357874</x:v>
      </x:c>
      <x:c r="C42" s="9" t="str">
        <x:f t="array" ref="C42">LEFT(INDEX($A$1:$A$52,MATCH(LARGE($B$1:$B$52,42),$B$1:$B$52,0)),2)</x:f>
        <x:v>TE</x:v>
      </x:c>
      <x:c r="D42" s="9"/>
      <x:c r="E42" s="9"/>
      <x:c r="F42" s="9"/>
      <x:c r="G42" s="9"/>
      <x:c r="H42" s="9"/>
    </x:row>
    <x:row r="43" ht="14.25" customHeight="1">
      <x:c r="A43" s="9" t="str">
        <x:f>"TE"&amp;Scoring!E40*Scoring!$A$40+3</x:f>
        <x:v>TE15</x:v>
      </x:c>
      <x:c r="B43" s="118" t="n">
        <x:f>VLOOKUP(A43,ECR!Q:R,2,FALSE)</x:f>
        <x:v>100.962345</x:v>
      </x:c>
      <x:c r="C43" s="9" t="str">
        <x:f t="array" ref="C43">LEFT(INDEX($A$1:$A$52,MATCH(LARGE($B$1:$B$52,43),$B$1:$B$52,0)),2)</x:f>
        <x:v>RB</x:v>
      </x:c>
      <x:c r="D43" s="9"/>
      <x:c r="E43" s="9"/>
      <x:c r="F43" s="9"/>
      <x:c r="G43" s="9"/>
      <x:c r="H43" s="9"/>
    </x:row>
    <x:row r="44" ht="14.25" customHeight="1">
      <x:c r="A44" s="9" t="str">
        <x:f>"TE"&amp;Scoring!E40*Scoring!$A$40+4</x:f>
        <x:v>TE16</x:v>
      </x:c>
      <x:c r="B44" s="118" t="n">
        <x:f>VLOOKUP(A44,ECR!Q:R,2,FALSE)</x:f>
        <x:v>97.13980459</x:v>
      </x:c>
      <x:c r="C44" s="9" t="str">
        <x:f t="array" ref="C44">LEFT(INDEX($A$1:$A$52,MATCH(LARGE($B$1:$B$52,44),$B$1:$B$52,0)),2)</x:f>
        <x:v>TE</x:v>
      </x:c>
      <x:c r="D44" s="9"/>
      <x:c r="E44" s="9"/>
      <x:c r="F44" s="9"/>
      <x:c r="G44" s="9"/>
      <x:c r="H44" s="9"/>
    </x:row>
    <x:row r="45" ht="14.25" customHeight="1">
      <x:c r="A45" s="9" t="str">
        <x:f>"TE"&amp;Scoring!E40*Scoring!$A$40+5</x:f>
        <x:v>TE17</x:v>
      </x:c>
      <x:c r="B45" s="118" t="n">
        <x:f>VLOOKUP(A45,ECR!Q:R,2,FALSE)</x:f>
        <x:v>95.12929059</x:v>
      </x:c>
      <x:c r="C45" s="9" t="str">
        <x:f t="array" ref="C45">LEFT(INDEX($A$1:$A$52,MATCH(LARGE($B$1:$B$52,45),$B$1:$B$52,0)),2)</x:f>
        <x:v>WR</x:v>
      </x:c>
      <x:c r="D45" s="9"/>
      <x:c r="E45" s="9"/>
      <x:c r="F45" s="9"/>
      <x:c r="G45" s="9"/>
      <x:c r="H45" s="9"/>
    </x:row>
    <x:row r="46" ht="14.25" customHeight="1">
      <x:c r="A46" s="9" t="str">
        <x:f>"TE"&amp;Scoring!E40*Scoring!$A$40+6</x:f>
        <x:v>TE18</x:v>
      </x:c>
      <x:c r="B46" s="118" t="n">
        <x:f>VLOOKUP(A46,ECR!Q:R,2,FALSE)</x:f>
        <x:v>94.57973082</x:v>
      </x:c>
      <x:c r="C46" s="9" t="str">
        <x:f t="array" ref="C46">LEFT(INDEX($A$1:$A$52,MATCH(LARGE($B$1:$B$52,46),$B$1:$B$52,0)),2)</x:f>
        <x:v>TE</x:v>
      </x:c>
      <x:c r="D46" s="9"/>
      <x:c r="E46" s="9"/>
      <x:c r="F46" s="9"/>
      <x:c r="G46" s="9"/>
      <x:c r="H46" s="9"/>
    </x:row>
    <x:row r="47" ht="14.25" customHeight="1">
      <x:c r="A47" s="9" t="str">
        <x:f>"TE"&amp;Scoring!E40*Scoring!$A$40+7</x:f>
        <x:v>TE19</x:v>
      </x:c>
      <x:c r="B47" s="118" t="n">
        <x:f>VLOOKUP(A47,ECR!Q:R,2,FALSE)</x:f>
        <x:v>90.48420588</x:v>
      </x:c>
      <x:c r="C47" s="9" t="str">
        <x:f t="array" ref="C47">LEFT(INDEX($A$1:$A$52,MATCH(LARGE($B$1:$B$52,47),$B$1:$B$52,0)),2)</x:f>
        <x:v>TE</x:v>
      </x:c>
      <x:c r="D47" s="9"/>
      <x:c r="E47" s="9"/>
      <x:c r="F47" s="9"/>
      <x:c r="G47" s="9"/>
      <x:c r="H47" s="9"/>
    </x:row>
    <x:row r="48" ht="14.25" customHeight="1">
      <x:c r="A48" s="9" t="str">
        <x:f>"TE"&amp;Scoring!E40*Scoring!$A$40+8</x:f>
        <x:v>TE20</x:v>
      </x:c>
      <x:c r="B48" s="118" t="n">
        <x:f>VLOOKUP(A48,ECR!Q:R,2,FALSE)</x:f>
        <x:v>87.62876353</x:v>
      </x:c>
      <x:c r="C48" s="9" t="str">
        <x:f t="array" ref="C48">LEFT(INDEX($A$1:$A$52,MATCH(LARGE($B$1:$B$52,48),$B$1:$B$52,0)),2)</x:f>
        <x:v>TE</x:v>
      </x:c>
      <x:c r="D48" s="9"/>
      <x:c r="E48" s="9"/>
      <x:c r="F48" s="9"/>
      <x:c r="G48" s="9"/>
      <x:c r="H48" s="9"/>
    </x:row>
    <x:row r="49" ht="14.25" customHeight="1">
      <x:c r="A49" s="9" t="str">
        <x:f>"TE"&amp;Scoring!E40*Scoring!$A$40+9</x:f>
        <x:v>TE21</x:v>
      </x:c>
      <x:c r="B49" s="118" t="n">
        <x:f>VLOOKUP(A49,ECR!Q:R,2,FALSE)</x:f>
        <x:v>86.16693059</x:v>
      </x:c>
      <x:c r="C49" s="9" t="str">
        <x:f t="array" ref="C49">LEFT(INDEX($A$1:$A$52,MATCH(LARGE($B$1:$B$52,49),$B$1:$B$52,0)),2)</x:f>
        <x:v>RB</x:v>
      </x:c>
      <x:c r="D49" s="9"/>
      <x:c r="E49" s="9"/>
      <x:c r="F49" s="9"/>
      <x:c r="G49" s="9"/>
      <x:c r="H49" s="9"/>
    </x:row>
    <x:row r="50" ht="14.25" customHeight="1">
      <x:c r="A50" s="9" t="str">
        <x:f>"TE"&amp;Scoring!E40*Scoring!$A$40+10</x:f>
        <x:v>TE22</x:v>
      </x:c>
      <x:c r="B50" s="118" t="n">
        <x:f>VLOOKUP(A50,ECR!Q:R,2,FALSE)</x:f>
        <x:v>85.66016</x:v>
      </x:c>
      <x:c r="C50" s="9" t="str">
        <x:f t="array" ref="C50">LEFT(INDEX($A$1:$A$52,MATCH(LARGE($B$1:$B$52,50),$B$1:$B$52,0)),2)</x:f>
        <x:v>TE</x:v>
      </x:c>
      <x:c r="D50" s="9"/>
      <x:c r="E50" s="9"/>
      <x:c r="F50" s="9"/>
      <x:c r="G50" s="9"/>
      <x:c r="H50" s="9"/>
    </x:row>
    <x:row r="51" ht="14.25" customHeight="1">
      <x:c r="A51" s="9" t="str">
        <x:f>"TE"&amp;Scoring!E40*Scoring!$A$40+11</x:f>
        <x:v>TE23</x:v>
      </x:c>
      <x:c r="B51" s="118" t="n">
        <x:f>VLOOKUP(A51,ECR!Q:R,2,FALSE)</x:f>
        <x:v>81.96560088</x:v>
      </x:c>
      <x:c r="C51" s="9" t="str">
        <x:f t="array" ref="C51">LEFT(INDEX($A$1:$A$52,MATCH(LARGE($B$1:$B$52,51),$B$1:$B$52,0)),2)</x:f>
        <x:v>TE</x:v>
      </x:c>
      <x:c r="D51" s="9"/>
      <x:c r="E51" s="9"/>
      <x:c r="F51" s="9"/>
      <x:c r="G51" s="9"/>
      <x:c r="H51" s="9"/>
    </x:row>
    <x:row r="52" ht="14.25" customHeight="1">
      <x:c r="A52" s="9" t="str">
        <x:f>"TE"&amp;Scoring!E40*Scoring!$A$40+12</x:f>
        <x:v>TE24</x:v>
      </x:c>
      <x:c r="B52" s="118" t="n">
        <x:f>VLOOKUP(A52,ECR!Q:R,2,FALSE)</x:f>
        <x:v>81.94815565</x:v>
      </x:c>
      <x:c r="C52" s="9" t="str">
        <x:f t="array" ref="C52">LEFT(INDEX($A$1:$A$52,MATCH(LARGE($B$1:$B$52,52),$B$1:$B$52,0)),2)</x:f>
        <x:v>TE</x:v>
      </x:c>
      <x:c r="D52" s="9"/>
      <x:c r="E52" s="9"/>
      <x:c r="F52" s="9"/>
      <x:c r="G52" s="9"/>
      <x:c r="H52" s="9"/>
    </x:row>
    <x:row r="53" ht="14.25" customHeight="1">
      <x:c r="A53" s="9"/>
      <x:c r="B53" s="9"/>
      <x:c r="C53" s="9"/>
      <x:c r="D53" s="9"/>
      <x:c r="E53" s="9"/>
      <x:c r="F53" s="9"/>
      <x:c r="G53" s="9"/>
      <x:c r="H53" s="9"/>
    </x:row>
    <x:row r="54" ht="14.25" customHeight="1">
      <x:c r="A54" s="9"/>
      <x:c r="B54" s="9"/>
      <x:c r="C54" s="9"/>
      <x:c r="D54" s="9"/>
      <x:c r="E54" s="9"/>
      <x:c r="F54" s="9"/>
      <x:c r="G54" s="9"/>
      <x:c r="H54" s="9"/>
    </x:row>
    <x:row r="55" ht="14.25" customHeight="1">
      <x:c r="A55" s="9"/>
      <x:c r="B55" s="9"/>
      <x:c r="C55" s="9"/>
      <x:c r="D55" s="9"/>
      <x:c r="E55" s="9"/>
      <x:c r="F55" s="9"/>
      <x:c r="G55" s="9"/>
      <x:c r="H55" s="9"/>
    </x:row>
    <x:row r="56" ht="14.25" customHeight="1">
      <x:c r="A56" s="9"/>
      <x:c r="B56" s="9"/>
      <x:c r="C56" s="9"/>
      <x:c r="D56" s="9"/>
      <x:c r="E56" s="9"/>
      <x:c r="F56" s="9"/>
      <x:c r="G56" s="9"/>
      <x:c r="H56" s="9"/>
    </x:row>
    <x:row r="57" ht="14.25" customHeight="1">
      <x:c r="A57" s="9"/>
      <x:c r="B57" s="9"/>
      <x:c r="C57" s="9"/>
      <x:c r="D57" s="9"/>
      <x:c r="E57" s="9"/>
      <x:c r="F57" s="9"/>
      <x:c r="G57" s="9"/>
      <x:c r="H57" s="9"/>
    </x:row>
    <x:row r="58" ht="14.25" customHeight="1">
      <x:c r="A58" s="9"/>
      <x:c r="B58" s="9"/>
      <x:c r="C58" s="9"/>
      <x:c r="D58" s="9"/>
      <x:c r="E58" s="9"/>
      <x:c r="F58" s="9"/>
      <x:c r="G58" s="9"/>
      <x:c r="H58" s="9"/>
    </x:row>
    <x:row r="59" ht="14.25" customHeight="1">
      <x:c r="A59" s="9"/>
      <x:c r="B59" s="9"/>
      <x:c r="C59" s="9"/>
      <x:c r="D59" s="9"/>
      <x:c r="E59" s="9"/>
      <x:c r="F59" s="9"/>
      <x:c r="G59" s="9"/>
      <x:c r="H59" s="9"/>
    </x:row>
    <x:row r="60" ht="14.25" customHeight="1">
      <x:c r="A60" s="9"/>
      <x:c r="B60" s="9"/>
      <x:c r="C60" s="9"/>
      <x:c r="D60" s="9"/>
      <x:c r="E60" s="9"/>
      <x:c r="F60" s="9"/>
      <x:c r="G60" s="9"/>
      <x:c r="H60" s="9"/>
    </x:row>
    <x:row r="61" ht="14.25" customHeight="1">
      <x:c r="A61" s="9"/>
      <x:c r="B61" s="9"/>
      <x:c r="C61" s="9"/>
      <x:c r="D61" s="9"/>
      <x:c r="E61" s="9"/>
      <x:c r="F61" s="9"/>
      <x:c r="G61" s="9"/>
      <x:c r="H61" s="9"/>
    </x:row>
    <x:row r="62" ht="14.25" customHeight="1">
      <x:c r="A62" s="9"/>
      <x:c r="B62" s="9"/>
      <x:c r="C62" s="9"/>
      <x:c r="D62" s="9"/>
      <x:c r="E62" s="9"/>
      <x:c r="F62" s="9"/>
      <x:c r="G62" s="9"/>
      <x:c r="H62" s="9"/>
    </x:row>
    <x:row r="63" ht="14.25" customHeight="1">
      <x:c r="A63" s="9"/>
      <x:c r="B63" s="9"/>
      <x:c r="C63" s="9"/>
      <x:c r="D63" s="9"/>
      <x:c r="E63" s="9"/>
      <x:c r="F63" s="9"/>
      <x:c r="G63" s="9"/>
      <x:c r="H63" s="9"/>
    </x:row>
    <x:row r="64" ht="14.25" customHeight="1">
      <x:c r="A64" s="9"/>
      <x:c r="B64" s="9"/>
      <x:c r="C64" s="9"/>
      <x:c r="D64" s="9"/>
      <x:c r="E64" s="9"/>
      <x:c r="F64" s="9"/>
      <x:c r="G64" s="9"/>
      <x:c r="H64" s="9"/>
    </x:row>
    <x:row r="65" ht="14.25" customHeight="1">
      <x:c r="A65" s="9"/>
      <x:c r="B65" s="9"/>
      <x:c r="C65" s="9"/>
      <x:c r="D65" s="9"/>
      <x:c r="E65" s="9"/>
      <x:c r="F65" s="9"/>
      <x:c r="G65" s="9"/>
      <x:c r="H65" s="9"/>
    </x:row>
    <x:row r="66" ht="14.25" customHeight="1">
      <x:c r="A66" s="9"/>
      <x:c r="B66" s="9"/>
      <x:c r="C66" s="9"/>
      <x:c r="D66" s="9"/>
      <x:c r="E66" s="9"/>
      <x:c r="F66" s="9"/>
      <x:c r="G66" s="9"/>
      <x:c r="H66" s="9"/>
    </x:row>
    <x:row r="67" ht="14.25" customHeight="1">
      <x:c r="A67" s="9"/>
      <x:c r="B67" s="9"/>
      <x:c r="C67" s="9"/>
      <x:c r="D67" s="9"/>
      <x:c r="E67" s="9"/>
      <x:c r="F67" s="9"/>
      <x:c r="G67" s="9"/>
      <x:c r="H67" s="9"/>
    </x:row>
    <x:row r="68" ht="14.25" customHeight="1">
      <x:c r="A68" s="9"/>
      <x:c r="B68" s="9"/>
      <x:c r="C68" s="9"/>
      <x:c r="D68" s="9"/>
      <x:c r="E68" s="9"/>
      <x:c r="F68" s="9"/>
      <x:c r="G68" s="9"/>
      <x:c r="H68" s="9"/>
    </x:row>
    <x:row r="69" ht="14.25" customHeight="1">
      <x:c r="A69" s="9"/>
      <x:c r="B69" s="9"/>
      <x:c r="C69" s="9"/>
      <x:c r="D69" s="9"/>
      <x:c r="E69" s="9"/>
      <x:c r="F69" s="9"/>
      <x:c r="G69" s="9"/>
      <x:c r="H69" s="9"/>
    </x:row>
    <x:row r="70" ht="14.25" customHeight="1">
      <x:c r="A70" s="9"/>
      <x:c r="B70" s="9"/>
      <x:c r="C70" s="9"/>
      <x:c r="D70" s="9"/>
      <x:c r="E70" s="9"/>
      <x:c r="F70" s="9"/>
      <x:c r="G70" s="9"/>
      <x:c r="H70" s="9"/>
    </x:row>
    <x:row r="71" ht="14.25" customHeight="1">
      <x:c r="A71" s="9"/>
      <x:c r="B71" s="9"/>
      <x:c r="C71" s="9"/>
      <x:c r="D71" s="9"/>
      <x:c r="E71" s="9"/>
      <x:c r="F71" s="9"/>
      <x:c r="G71" s="9"/>
      <x:c r="H71" s="9"/>
    </x:row>
    <x:row r="72" ht="14.25" customHeight="1">
      <x:c r="A72" s="9"/>
      <x:c r="B72" s="9"/>
      <x:c r="C72" s="9"/>
      <x:c r="D72" s="9"/>
      <x:c r="E72" s="9"/>
      <x:c r="F72" s="9"/>
      <x:c r="G72" s="9"/>
      <x:c r="H72" s="9"/>
    </x:row>
    <x:row r="73" ht="14.25" customHeight="1">
      <x:c r="A73" s="9"/>
      <x:c r="B73" s="9"/>
      <x:c r="C73" s="9"/>
      <x:c r="D73" s="9"/>
      <x:c r="E73" s="9"/>
      <x:c r="F73" s="9"/>
      <x:c r="G73" s="9"/>
      <x:c r="H73" s="9"/>
    </x:row>
    <x:row r="74" ht="14.25" customHeight="1">
      <x:c r="A74" s="9"/>
      <x:c r="B74" s="9"/>
      <x:c r="C74" s="9"/>
      <x:c r="D74" s="9"/>
      <x:c r="E74" s="9"/>
      <x:c r="F74" s="9"/>
      <x:c r="G74" s="9"/>
      <x:c r="H74" s="9"/>
    </x:row>
    <x:row r="75" ht="14.25" customHeight="1">
      <x:c r="A75" s="9"/>
      <x:c r="B75" s="9"/>
      <x:c r="C75" s="9"/>
      <x:c r="D75" s="9"/>
      <x:c r="E75" s="9"/>
      <x:c r="F75" s="9"/>
      <x:c r="G75" s="9"/>
      <x:c r="H75" s="9"/>
    </x:row>
    <x:row r="76" ht="14.25" customHeight="1">
      <x:c r="A76" s="9"/>
      <x:c r="B76" s="9"/>
      <x:c r="C76" s="9"/>
      <x:c r="D76" s="9"/>
      <x:c r="E76" s="9"/>
      <x:c r="F76" s="9"/>
      <x:c r="G76" s="9"/>
      <x:c r="H76" s="9"/>
    </x:row>
    <x:row r="77" ht="14.25" customHeight="1">
      <x:c r="A77" s="9"/>
      <x:c r="B77" s="9"/>
      <x:c r="C77" s="9"/>
      <x:c r="D77" s="9"/>
      <x:c r="E77" s="9"/>
      <x:c r="F77" s="9"/>
      <x:c r="G77" s="9"/>
      <x:c r="H77" s="9"/>
    </x:row>
    <x:row r="78" ht="14.25" customHeight="1">
      <x:c r="A78" s="9"/>
      <x:c r="B78" s="9"/>
      <x:c r="C78" s="9"/>
      <x:c r="D78" s="9"/>
      <x:c r="E78" s="9"/>
      <x:c r="F78" s="9"/>
      <x:c r="G78" s="9"/>
      <x:c r="H78" s="9"/>
    </x:row>
    <x:row r="79" ht="14.25" customHeight="1">
      <x:c r="A79" s="9"/>
      <x:c r="B79" s="9"/>
      <x:c r="C79" s="9"/>
      <x:c r="D79" s="9"/>
      <x:c r="E79" s="9"/>
      <x:c r="F79" s="9"/>
      <x:c r="G79" s="9"/>
      <x:c r="H79" s="9"/>
    </x:row>
    <x:row r="80" ht="14.25" customHeight="1">
      <x:c r="A80" s="9"/>
      <x:c r="B80" s="9"/>
      <x:c r="C80" s="9"/>
      <x:c r="D80" s="9"/>
      <x:c r="E80" s="9"/>
      <x:c r="F80" s="9"/>
      <x:c r="G80" s="9"/>
      <x:c r="H80" s="9"/>
    </x:row>
    <x:row r="81" ht="14.25" customHeight="1">
      <x:c r="A81" s="9"/>
      <x:c r="B81" s="9"/>
      <x:c r="C81" s="9"/>
      <x:c r="D81" s="9"/>
      <x:c r="E81" s="9"/>
      <x:c r="F81" s="9"/>
      <x:c r="G81" s="9"/>
      <x:c r="H81" s="9"/>
    </x:row>
    <x:row r="82" ht="14.25" customHeight="1">
      <x:c r="A82" s="9"/>
      <x:c r="B82" s="9"/>
      <x:c r="C82" s="9"/>
      <x:c r="D82" s="9"/>
      <x:c r="E82" s="9"/>
      <x:c r="F82" s="9"/>
      <x:c r="G82" s="9"/>
      <x:c r="H82" s="9"/>
    </x:row>
    <x:row r="83" ht="14.25" customHeight="1">
      <x:c r="A83" s="9"/>
      <x:c r="B83" s="9"/>
      <x:c r="C83" s="9"/>
      <x:c r="D83" s="9"/>
      <x:c r="E83" s="9"/>
      <x:c r="F83" s="9"/>
      <x:c r="G83" s="9"/>
      <x:c r="H83" s="9"/>
    </x:row>
    <x:row r="84" ht="14.25" customHeight="1">
      <x:c r="A84" s="9"/>
      <x:c r="B84" s="9"/>
      <x:c r="C84" s="9"/>
      <x:c r="D84" s="9"/>
      <x:c r="E84" s="9"/>
      <x:c r="F84" s="9"/>
      <x:c r="G84" s="9"/>
      <x:c r="H84" s="9"/>
    </x:row>
    <x:row r="85" ht="14.25" customHeight="1">
      <x:c r="A85" s="9"/>
      <x:c r="B85" s="9"/>
      <x:c r="C85" s="9"/>
      <x:c r="D85" s="9"/>
      <x:c r="E85" s="9"/>
      <x:c r="F85" s="9"/>
      <x:c r="G85" s="9"/>
      <x:c r="H85" s="9"/>
    </x:row>
    <x:row r="86" ht="14.25" customHeight="1">
      <x:c r="A86" s="9"/>
      <x:c r="B86" s="9"/>
      <x:c r="C86" s="9"/>
      <x:c r="D86" s="9"/>
      <x:c r="E86" s="9"/>
      <x:c r="F86" s="9"/>
      <x:c r="G86" s="9"/>
      <x:c r="H86" s="9"/>
    </x:row>
    <x:row r="87" ht="14.25" customHeight="1">
      <x:c r="A87" s="9"/>
      <x:c r="B87" s="9"/>
      <x:c r="C87" s="9"/>
      <x:c r="D87" s="9"/>
      <x:c r="E87" s="9"/>
      <x:c r="F87" s="9"/>
      <x:c r="G87" s="9"/>
      <x:c r="H87" s="9"/>
    </x:row>
    <x:row r="88" ht="14.25" customHeight="1">
      <x:c r="A88" s="9"/>
      <x:c r="B88" s="9"/>
      <x:c r="C88" s="9"/>
      <x:c r="D88" s="9"/>
      <x:c r="E88" s="9"/>
      <x:c r="F88" s="9"/>
      <x:c r="G88" s="9"/>
      <x:c r="H88" s="9"/>
    </x:row>
    <x:row r="89" ht="14.25" customHeight="1">
      <x:c r="A89" s="9"/>
      <x:c r="B89" s="9"/>
      <x:c r="C89" s="9"/>
      <x:c r="D89" s="9"/>
      <x:c r="E89" s="9"/>
      <x:c r="F89" s="9"/>
      <x:c r="G89" s="9"/>
      <x:c r="H89" s="9"/>
    </x:row>
    <x:row r="90" ht="14.25" customHeight="1">
      <x:c r="A90" s="9"/>
      <x:c r="B90" s="9"/>
      <x:c r="C90" s="9"/>
      <x:c r="D90" s="9"/>
      <x:c r="E90" s="9"/>
      <x:c r="F90" s="9"/>
      <x:c r="G90" s="9"/>
      <x:c r="H90" s="9"/>
    </x:row>
    <x:row r="91" ht="14.25" customHeight="1">
      <x:c r="A91" s="9"/>
      <x:c r="B91" s="9"/>
      <x:c r="C91" s="9"/>
      <x:c r="D91" s="9"/>
      <x:c r="E91" s="9"/>
      <x:c r="F91" s="9"/>
      <x:c r="G91" s="9"/>
      <x:c r="H91" s="9"/>
    </x:row>
    <x:row r="92" ht="14.25" customHeight="1">
      <x:c r="A92" s="9"/>
      <x:c r="B92" s="9"/>
      <x:c r="C92" s="9"/>
      <x:c r="D92" s="9"/>
      <x:c r="E92" s="9"/>
      <x:c r="F92" s="9"/>
      <x:c r="G92" s="9"/>
      <x:c r="H92" s="9"/>
    </x:row>
    <x:row r="93" ht="14.25" customHeight="1">
      <x:c r="A93" s="9"/>
      <x:c r="B93" s="9"/>
      <x:c r="C93" s="9"/>
      <x:c r="D93" s="9"/>
      <x:c r="E93" s="9"/>
      <x:c r="F93" s="9"/>
      <x:c r="G93" s="9"/>
      <x:c r="H93" s="9"/>
    </x:row>
    <x:row r="94" ht="14.25" customHeight="1">
      <x:c r="A94" s="9"/>
      <x:c r="B94" s="9"/>
      <x:c r="C94" s="9"/>
      <x:c r="D94" s="9"/>
      <x:c r="E94" s="9"/>
      <x:c r="F94" s="9"/>
      <x:c r="G94" s="9"/>
      <x:c r="H94" s="9"/>
    </x:row>
    <x:row r="95" ht="14.25" customHeight="1">
      <x:c r="A95" s="9"/>
      <x:c r="B95" s="9"/>
      <x:c r="C95" s="9"/>
      <x:c r="D95" s="9"/>
      <x:c r="E95" s="9"/>
      <x:c r="F95" s="9"/>
      <x:c r="G95" s="9"/>
      <x:c r="H95" s="9"/>
    </x:row>
    <x:row r="96" ht="14.25" customHeight="1">
      <x:c r="A96" s="9"/>
      <x:c r="B96" s="9"/>
      <x:c r="C96" s="9"/>
      <x:c r="D96" s="9"/>
      <x:c r="E96" s="9"/>
      <x:c r="F96" s="9"/>
      <x:c r="G96" s="9"/>
      <x:c r="H96" s="9"/>
    </x:row>
    <x:row r="97" ht="14.25" customHeight="1">
      <x:c r="A97" s="9"/>
      <x:c r="B97" s="9"/>
      <x:c r="C97" s="9"/>
      <x:c r="D97" s="9"/>
      <x:c r="E97" s="9"/>
      <x:c r="F97" s="9"/>
      <x:c r="G97" s="9"/>
      <x:c r="H97" s="9"/>
    </x:row>
    <x:row r="98" ht="14.25" customHeight="1">
      <x:c r="A98" s="9"/>
      <x:c r="B98" s="9"/>
      <x:c r="C98" s="9"/>
      <x:c r="D98" s="9"/>
      <x:c r="E98" s="9"/>
      <x:c r="F98" s="9"/>
      <x:c r="G98" s="9"/>
      <x:c r="H98" s="9"/>
    </x:row>
    <x:row r="99" ht="14.25" customHeight="1">
      <x:c r="A99" s="9"/>
      <x:c r="B99" s="9"/>
      <x:c r="C99" s="9"/>
      <x:c r="D99" s="9"/>
      <x:c r="E99" s="9"/>
      <x:c r="F99" s="9"/>
      <x:c r="G99" s="9"/>
      <x:c r="H99" s="9"/>
    </x:row>
    <x:row r="100" ht="14.25" customHeight="1">
      <x:c r="A100" s="9"/>
      <x:c r="B100" s="9"/>
      <x:c r="C100" s="9"/>
      <x:c r="D100" s="9"/>
      <x:c r="E100" s="9"/>
      <x:c r="F100" s="9"/>
      <x:c r="G100" s="9"/>
      <x:c r="H100" s="9"/>
    </x:row>
    <x:row r="101" ht="14.25" customHeight="1">
      <x:c r="A101" s="9"/>
      <x:c r="B101" s="9"/>
      <x:c r="C101" s="9"/>
      <x:c r="D101" s="9"/>
      <x:c r="E101" s="9"/>
      <x:c r="F101" s="9"/>
      <x:c r="G101" s="9"/>
      <x:c r="H101" s="9"/>
    </x:row>
    <x:row r="102" ht="14.25" customHeight="1">
      <x:c r="A102" s="9"/>
      <x:c r="B102" s="9"/>
      <x:c r="C102" s="9"/>
      <x:c r="D102" s="9"/>
      <x:c r="E102" s="9"/>
      <x:c r="F102" s="9"/>
      <x:c r="G102" s="9"/>
      <x:c r="H102" s="9"/>
    </x:row>
    <x:row r="103" ht="14.25" customHeight="1">
      <x:c r="A103" s="9"/>
      <x:c r="B103" s="9"/>
      <x:c r="C103" s="9"/>
      <x:c r="D103" s="9"/>
      <x:c r="E103" s="9"/>
      <x:c r="F103" s="9"/>
      <x:c r="G103" s="9"/>
      <x:c r="H103" s="9"/>
    </x:row>
    <x:row r="104" ht="14.25" customHeight="1">
      <x:c r="A104" s="9"/>
      <x:c r="B104" s="9"/>
      <x:c r="C104" s="9"/>
      <x:c r="D104" s="9"/>
      <x:c r="E104" s="9"/>
      <x:c r="F104" s="9"/>
      <x:c r="G104" s="9"/>
      <x:c r="H104" s="9"/>
    </x:row>
    <x:row r="105" ht="14.25" customHeight="1">
      <x:c r="A105" s="9"/>
      <x:c r="B105" s="9"/>
      <x:c r="C105" s="9"/>
      <x:c r="D105" s="9"/>
      <x:c r="E105" s="9"/>
      <x:c r="F105" s="9"/>
      <x:c r="G105" s="9"/>
      <x:c r="H105" s="9"/>
    </x:row>
    <x:row r="106" ht="14.25" customHeight="1">
      <x:c r="A106" s="9"/>
      <x:c r="B106" s="9"/>
      <x:c r="C106" s="9"/>
      <x:c r="D106" s="9"/>
      <x:c r="E106" s="9"/>
      <x:c r="F106" s="9"/>
      <x:c r="G106" s="9"/>
      <x:c r="H106" s="9"/>
    </x:row>
    <x:row r="107" ht="14.25" customHeight="1">
      <x:c r="A107" s="9"/>
      <x:c r="B107" s="9"/>
      <x:c r="C107" s="9"/>
      <x:c r="D107" s="9"/>
      <x:c r="E107" s="9"/>
      <x:c r="F107" s="9"/>
      <x:c r="G107" s="9"/>
      <x:c r="H107" s="9"/>
    </x:row>
    <x:row r="108" ht="14.25" customHeight="1">
      <x:c r="A108" s="9"/>
      <x:c r="B108" s="9"/>
      <x:c r="C108" s="9"/>
      <x:c r="D108" s="9"/>
      <x:c r="E108" s="9"/>
      <x:c r="F108" s="9"/>
      <x:c r="G108" s="9"/>
      <x:c r="H108" s="9"/>
    </x:row>
    <x:row r="109" ht="14.25" customHeight="1">
      <x:c r="A109" s="9"/>
      <x:c r="B109" s="9"/>
      <x:c r="C109" s="9"/>
      <x:c r="D109" s="9"/>
      <x:c r="E109" s="9"/>
      <x:c r="F109" s="9"/>
      <x:c r="G109" s="9"/>
      <x:c r="H109" s="9"/>
    </x:row>
    <x:row r="110" ht="14.25" customHeight="1">
      <x:c r="A110" s="9"/>
      <x:c r="B110" s="9"/>
      <x:c r="C110" s="9"/>
      <x:c r="D110" s="9"/>
      <x:c r="E110" s="9"/>
      <x:c r="F110" s="9"/>
      <x:c r="G110" s="9"/>
      <x:c r="H110" s="9"/>
    </x:row>
    <x:row r="111" ht="14.25" customHeight="1">
      <x:c r="A111" s="9"/>
      <x:c r="B111" s="9"/>
      <x:c r="C111" s="9"/>
      <x:c r="D111" s="9"/>
      <x:c r="E111" s="9"/>
      <x:c r="F111" s="9"/>
      <x:c r="G111" s="9"/>
      <x:c r="H111" s="9"/>
    </x:row>
    <x:row r="112" ht="14.25" customHeight="1">
      <x:c r="A112" s="9"/>
      <x:c r="B112" s="9"/>
      <x:c r="C112" s="9"/>
      <x:c r="D112" s="9"/>
      <x:c r="E112" s="9"/>
      <x:c r="F112" s="9"/>
      <x:c r="G112" s="9"/>
      <x:c r="H112" s="9"/>
    </x:row>
    <x:row r="113" ht="14.25" customHeight="1">
      <x:c r="A113" s="9"/>
      <x:c r="B113" s="9"/>
      <x:c r="C113" s="9"/>
      <x:c r="D113" s="9"/>
      <x:c r="E113" s="9"/>
      <x:c r="F113" s="9"/>
      <x:c r="G113" s="9"/>
      <x:c r="H113" s="9"/>
    </x:row>
    <x:row r="114" ht="14.25" customHeight="1">
      <x:c r="A114" s="9"/>
      <x:c r="B114" s="9"/>
      <x:c r="C114" s="9"/>
      <x:c r="D114" s="9"/>
      <x:c r="E114" s="9"/>
      <x:c r="F114" s="9"/>
      <x:c r="G114" s="9"/>
      <x:c r="H114" s="9"/>
    </x:row>
    <x:row r="115" ht="14.25" customHeight="1">
      <x:c r="A115" s="9"/>
      <x:c r="B115" s="9"/>
      <x:c r="C115" s="9"/>
      <x:c r="D115" s="9"/>
      <x:c r="E115" s="9"/>
      <x:c r="F115" s="9"/>
      <x:c r="G115" s="9"/>
      <x:c r="H115" s="9"/>
    </x:row>
    <x:row r="116" ht="14.25" customHeight="1">
      <x:c r="A116" s="9"/>
      <x:c r="B116" s="9"/>
      <x:c r="C116" s="9"/>
      <x:c r="D116" s="9"/>
      <x:c r="E116" s="9"/>
      <x:c r="F116" s="9"/>
      <x:c r="G116" s="9"/>
      <x:c r="H116" s="9"/>
    </x:row>
    <x:row r="117" ht="14.25" customHeight="1">
      <x:c r="A117" s="9"/>
      <x:c r="B117" s="9"/>
      <x:c r="C117" s="9"/>
      <x:c r="D117" s="9"/>
      <x:c r="E117" s="9"/>
      <x:c r="F117" s="9"/>
      <x:c r="G117" s="9"/>
      <x:c r="H117" s="9"/>
    </x:row>
    <x:row r="118" ht="14.25" customHeight="1">
      <x:c r="A118" s="9"/>
      <x:c r="B118" s="9"/>
      <x:c r="C118" s="9"/>
      <x:c r="D118" s="9"/>
      <x:c r="E118" s="9"/>
      <x:c r="F118" s="9"/>
      <x:c r="G118" s="9"/>
      <x:c r="H118" s="9"/>
    </x:row>
    <x:row r="119" ht="14.25" customHeight="1">
      <x:c r="A119" s="9"/>
      <x:c r="B119" s="9"/>
      <x:c r="C119" s="9"/>
      <x:c r="D119" s="9"/>
      <x:c r="E119" s="9"/>
      <x:c r="F119" s="9"/>
      <x:c r="G119" s="9"/>
      <x:c r="H119" s="9"/>
    </x:row>
    <x:row r="120" ht="14.25" customHeight="1">
      <x:c r="A120" s="9"/>
      <x:c r="B120" s="9"/>
      <x:c r="C120" s="9"/>
      <x:c r="D120" s="9"/>
      <x:c r="E120" s="9"/>
      <x:c r="F120" s="9"/>
      <x:c r="G120" s="9"/>
      <x:c r="H120" s="9"/>
    </x:row>
    <x:row r="121" ht="14.25" customHeight="1">
      <x:c r="A121" s="9"/>
      <x:c r="B121" s="9"/>
      <x:c r="C121" s="9"/>
      <x:c r="D121" s="9"/>
      <x:c r="E121" s="9"/>
      <x:c r="F121" s="9"/>
      <x:c r="G121" s="9"/>
      <x:c r="H121" s="9"/>
    </x:row>
    <x:row r="122" ht="14.25" customHeight="1">
      <x:c r="A122" s="9"/>
      <x:c r="B122" s="9"/>
      <x:c r="C122" s="9"/>
      <x:c r="D122" s="9"/>
      <x:c r="E122" s="9"/>
      <x:c r="F122" s="9"/>
      <x:c r="G122" s="9"/>
      <x:c r="H122" s="9"/>
    </x:row>
    <x:row r="123" ht="14.25" customHeight="1">
      <x:c r="A123" s="9"/>
      <x:c r="B123" s="9"/>
      <x:c r="C123" s="9"/>
      <x:c r="D123" s="9"/>
      <x:c r="E123" s="9"/>
      <x:c r="F123" s="9"/>
      <x:c r="G123" s="9"/>
      <x:c r="H123" s="9"/>
    </x:row>
    <x:row r="124" ht="14.25" customHeight="1">
      <x:c r="A124" s="9"/>
      <x:c r="B124" s="9"/>
      <x:c r="C124" s="9"/>
      <x:c r="D124" s="9"/>
      <x:c r="E124" s="9"/>
      <x:c r="F124" s="9"/>
      <x:c r="G124" s="9"/>
      <x:c r="H124" s="9"/>
    </x:row>
    <x:row r="125" ht="14.25" customHeight="1">
      <x:c r="A125" s="9"/>
      <x:c r="B125" s="9"/>
      <x:c r="C125" s="9"/>
      <x:c r="D125" s="9"/>
      <x:c r="E125" s="9"/>
      <x:c r="F125" s="9"/>
      <x:c r="G125" s="9"/>
      <x:c r="H125" s="9"/>
    </x:row>
    <x:row r="126" ht="14.25" customHeight="1">
      <x:c r="A126" s="9"/>
      <x:c r="B126" s="9"/>
      <x:c r="C126" s="9"/>
      <x:c r="D126" s="9"/>
      <x:c r="E126" s="9"/>
      <x:c r="F126" s="9"/>
      <x:c r="G126" s="9"/>
      <x:c r="H126" s="9"/>
    </x:row>
    <x:row r="127" ht="14.25" customHeight="1">
      <x:c r="A127" s="9"/>
      <x:c r="B127" s="9"/>
      <x:c r="C127" s="9"/>
      <x:c r="D127" s="9"/>
      <x:c r="E127" s="9"/>
      <x:c r="F127" s="9"/>
      <x:c r="G127" s="9"/>
      <x:c r="H127" s="9"/>
    </x:row>
    <x:row r="128" ht="14.25" customHeight="1">
      <x:c r="A128" s="9"/>
      <x:c r="B128" s="9"/>
      <x:c r="C128" s="9"/>
      <x:c r="D128" s="9"/>
      <x:c r="E128" s="9"/>
      <x:c r="F128" s="9"/>
      <x:c r="G128" s="9"/>
      <x:c r="H128" s="9"/>
    </x:row>
    <x:row r="129" ht="14.25" customHeight="1">
      <x:c r="A129" s="9"/>
      <x:c r="B129" s="9"/>
      <x:c r="C129" s="9"/>
      <x:c r="D129" s="9"/>
      <x:c r="E129" s="9"/>
      <x:c r="F129" s="9"/>
      <x:c r="G129" s="9"/>
      <x:c r="H129" s="9"/>
    </x:row>
    <x:row r="130" ht="14.25" customHeight="1">
      <x:c r="A130" s="9"/>
      <x:c r="B130" s="9"/>
      <x:c r="C130" s="9"/>
      <x:c r="D130" s="9"/>
      <x:c r="E130" s="9"/>
      <x:c r="F130" s="9"/>
      <x:c r="G130" s="9"/>
      <x:c r="H130" s="9"/>
    </x:row>
    <x:row r="131" ht="14.25" customHeight="1">
      <x:c r="A131" s="9"/>
      <x:c r="B131" s="9"/>
      <x:c r="C131" s="9"/>
      <x:c r="D131" s="9"/>
      <x:c r="E131" s="9"/>
      <x:c r="F131" s="9"/>
      <x:c r="G131" s="9"/>
      <x:c r="H131" s="9"/>
    </x:row>
    <x:row r="132" ht="14.25" customHeight="1">
      <x:c r="A132" s="9"/>
      <x:c r="B132" s="9"/>
      <x:c r="C132" s="9"/>
      <x:c r="D132" s="9"/>
      <x:c r="E132" s="9"/>
      <x:c r="F132" s="9"/>
      <x:c r="G132" s="9"/>
      <x:c r="H132" s="9"/>
    </x:row>
    <x:row r="133" ht="14.25" customHeight="1">
      <x:c r="A133" s="9"/>
      <x:c r="B133" s="9"/>
      <x:c r="C133" s="9"/>
      <x:c r="D133" s="9"/>
      <x:c r="E133" s="9"/>
      <x:c r="F133" s="9"/>
      <x:c r="G133" s="9"/>
      <x:c r="H133" s="9"/>
    </x:row>
    <x:row r="134" ht="14.25" customHeight="1">
      <x:c r="A134" s="9"/>
      <x:c r="B134" s="9"/>
      <x:c r="C134" s="9"/>
      <x:c r="D134" s="9"/>
      <x:c r="E134" s="9"/>
      <x:c r="F134" s="9"/>
      <x:c r="G134" s="9"/>
      <x:c r="H134" s="9"/>
    </x:row>
    <x:row r="135" ht="14.25" customHeight="1">
      <x:c r="A135" s="9"/>
      <x:c r="B135" s="9"/>
      <x:c r="C135" s="9"/>
      <x:c r="D135" s="9"/>
      <x:c r="E135" s="9"/>
      <x:c r="F135" s="9"/>
      <x:c r="G135" s="9"/>
      <x:c r="H135" s="9"/>
    </x:row>
    <x:row r="136" ht="14.25" customHeight="1">
      <x:c r="A136" s="9"/>
      <x:c r="B136" s="9"/>
      <x:c r="C136" s="9"/>
      <x:c r="D136" s="9"/>
      <x:c r="E136" s="9"/>
      <x:c r="F136" s="9"/>
      <x:c r="G136" s="9"/>
      <x:c r="H136" s="9"/>
    </x:row>
    <x:row r="137" ht="14.25" customHeight="1">
      <x:c r="A137" s="9"/>
      <x:c r="B137" s="9"/>
      <x:c r="C137" s="9"/>
      <x:c r="D137" s="9"/>
      <x:c r="E137" s="9"/>
      <x:c r="F137" s="9"/>
      <x:c r="G137" s="9"/>
      <x:c r="H137" s="9"/>
    </x:row>
    <x:row r="138" ht="14.25" customHeight="1">
      <x:c r="A138" s="9"/>
      <x:c r="B138" s="9"/>
      <x:c r="C138" s="9"/>
      <x:c r="D138" s="9"/>
      <x:c r="E138" s="9"/>
      <x:c r="F138" s="9"/>
      <x:c r="G138" s="9"/>
      <x:c r="H138" s="9"/>
    </x:row>
    <x:row r="139" ht="14.25" customHeight="1">
      <x:c r="A139" s="9"/>
      <x:c r="B139" s="9"/>
      <x:c r="C139" s="9"/>
      <x:c r="D139" s="9"/>
      <x:c r="E139" s="9"/>
      <x:c r="F139" s="9"/>
      <x:c r="G139" s="9"/>
      <x:c r="H139" s="9"/>
    </x:row>
    <x:row r="140" ht="14.25" customHeight="1">
      <x:c r="A140" s="9"/>
      <x:c r="B140" s="9"/>
      <x:c r="C140" s="9"/>
      <x:c r="D140" s="9"/>
      <x:c r="E140" s="9"/>
      <x:c r="F140" s="9"/>
      <x:c r="G140" s="9"/>
      <x:c r="H140" s="9"/>
    </x:row>
    <x:row r="141" ht="14.25" customHeight="1">
      <x:c r="A141" s="9"/>
      <x:c r="B141" s="9"/>
      <x:c r="C141" s="9"/>
      <x:c r="D141" s="9"/>
      <x:c r="E141" s="9"/>
      <x:c r="F141" s="9"/>
      <x:c r="G141" s="9"/>
      <x:c r="H141" s="9"/>
    </x:row>
    <x:row r="142" ht="14.25" customHeight="1">
      <x:c r="A142" s="9"/>
      <x:c r="B142" s="9"/>
      <x:c r="C142" s="9"/>
      <x:c r="D142" s="9"/>
      <x:c r="E142" s="9"/>
      <x:c r="F142" s="9"/>
      <x:c r="G142" s="9"/>
      <x:c r="H142" s="9"/>
    </x:row>
    <x:row r="143" ht="14.25" customHeight="1">
      <x:c r="A143" s="9"/>
      <x:c r="B143" s="9"/>
      <x:c r="C143" s="9"/>
      <x:c r="D143" s="9"/>
      <x:c r="E143" s="9"/>
      <x:c r="F143" s="9"/>
      <x:c r="G143" s="9"/>
      <x:c r="H143" s="9"/>
    </x:row>
    <x:row r="144" ht="14.25" customHeight="1">
      <x:c r="A144" s="9"/>
      <x:c r="B144" s="9"/>
      <x:c r="C144" s="9"/>
      <x:c r="D144" s="9"/>
      <x:c r="E144" s="9"/>
      <x:c r="F144" s="9"/>
      <x:c r="G144" s="9"/>
      <x:c r="H144" s="9"/>
    </x:row>
    <x:row r="145" ht="14.25" customHeight="1">
      <x:c r="A145" s="9"/>
      <x:c r="B145" s="9"/>
      <x:c r="C145" s="9"/>
      <x:c r="D145" s="9"/>
      <x:c r="E145" s="9"/>
      <x:c r="F145" s="9"/>
      <x:c r="G145" s="9"/>
      <x:c r="H145" s="9"/>
    </x:row>
    <x:row r="146" ht="14.25" customHeight="1">
      <x:c r="A146" s="9"/>
      <x:c r="B146" s="9"/>
      <x:c r="C146" s="9"/>
      <x:c r="D146" s="9"/>
      <x:c r="E146" s="9"/>
      <x:c r="F146" s="9"/>
      <x:c r="G146" s="9"/>
      <x:c r="H146" s="9"/>
    </x:row>
    <x:row r="147" ht="14.25" customHeight="1">
      <x:c r="A147" s="9"/>
      <x:c r="B147" s="9"/>
      <x:c r="C147" s="9"/>
      <x:c r="D147" s="9"/>
      <x:c r="E147" s="9"/>
      <x:c r="F147" s="9"/>
      <x:c r="G147" s="9"/>
      <x:c r="H147" s="9"/>
    </x:row>
    <x:row r="148" ht="14.25" customHeight="1">
      <x:c r="A148" s="9"/>
      <x:c r="B148" s="9"/>
      <x:c r="C148" s="9"/>
      <x:c r="D148" s="9"/>
      <x:c r="E148" s="9"/>
      <x:c r="F148" s="9"/>
      <x:c r="G148" s="9"/>
      <x:c r="H148" s="9"/>
    </x:row>
    <x:row r="149" ht="14.25" customHeight="1">
      <x:c r="A149" s="9"/>
      <x:c r="B149" s="9"/>
      <x:c r="C149" s="9"/>
      <x:c r="D149" s="9"/>
      <x:c r="E149" s="9"/>
      <x:c r="F149" s="9"/>
      <x:c r="G149" s="9"/>
      <x:c r="H149" s="9"/>
    </x:row>
    <x:row r="150" ht="14.25" customHeight="1">
      <x:c r="A150" s="9"/>
      <x:c r="B150" s="9"/>
      <x:c r="C150" s="9"/>
      <x:c r="D150" s="9"/>
      <x:c r="E150" s="9"/>
      <x:c r="F150" s="9"/>
      <x:c r="G150" s="9"/>
      <x:c r="H150" s="9"/>
    </x:row>
    <x:row r="151" ht="14.25" customHeight="1">
      <x:c r="A151" s="9"/>
      <x:c r="B151" s="9"/>
      <x:c r="C151" s="9"/>
      <x:c r="D151" s="9"/>
      <x:c r="E151" s="9"/>
      <x:c r="F151" s="9"/>
      <x:c r="G151" s="9"/>
      <x:c r="H151" s="9"/>
    </x:row>
    <x:row r="152" ht="14.25" customHeight="1">
      <x:c r="A152" s="9"/>
      <x:c r="B152" s="9"/>
      <x:c r="C152" s="9"/>
      <x:c r="D152" s="9"/>
      <x:c r="E152" s="9"/>
      <x:c r="F152" s="9"/>
      <x:c r="G152" s="9"/>
      <x:c r="H152" s="9"/>
    </x:row>
    <x:row r="153" ht="14.25" customHeight="1">
      <x:c r="A153" s="9"/>
      <x:c r="B153" s="9"/>
      <x:c r="C153" s="9"/>
      <x:c r="D153" s="9"/>
      <x:c r="E153" s="9"/>
      <x:c r="F153" s="9"/>
      <x:c r="G153" s="9"/>
      <x:c r="H153" s="9"/>
    </x:row>
    <x:row r="154" ht="14.25" customHeight="1">
      <x:c r="A154" s="9"/>
      <x:c r="B154" s="9"/>
      <x:c r="C154" s="9"/>
      <x:c r="D154" s="9"/>
      <x:c r="E154" s="9"/>
      <x:c r="F154" s="9"/>
      <x:c r="G154" s="9"/>
      <x:c r="H154" s="9"/>
    </x:row>
    <x:row r="155" ht="14.25" customHeight="1">
      <x:c r="A155" s="9"/>
      <x:c r="B155" s="9"/>
      <x:c r="C155" s="9"/>
      <x:c r="D155" s="9"/>
      <x:c r="E155" s="9"/>
      <x:c r="F155" s="9"/>
      <x:c r="G155" s="9"/>
      <x:c r="H155" s="9"/>
    </x:row>
    <x:row r="156" ht="14.25" customHeight="1">
      <x:c r="A156" s="9"/>
      <x:c r="B156" s="9"/>
      <x:c r="C156" s="9"/>
      <x:c r="D156" s="9"/>
      <x:c r="E156" s="9"/>
      <x:c r="F156" s="9"/>
      <x:c r="G156" s="9"/>
      <x:c r="H156" s="9"/>
    </x:row>
    <x:row r="157" ht="14.25" customHeight="1">
      <x:c r="A157" s="9"/>
      <x:c r="B157" s="9"/>
      <x:c r="C157" s="9"/>
      <x:c r="D157" s="9"/>
      <x:c r="E157" s="9"/>
      <x:c r="F157" s="9"/>
      <x:c r="G157" s="9"/>
      <x:c r="H157" s="9"/>
    </x:row>
    <x:row r="158" ht="14.25" customHeight="1">
      <x:c r="A158" s="9"/>
      <x:c r="B158" s="9"/>
      <x:c r="C158" s="9"/>
      <x:c r="D158" s="9"/>
      <x:c r="E158" s="9"/>
      <x:c r="F158" s="9"/>
      <x:c r="G158" s="9"/>
      <x:c r="H158" s="9"/>
    </x:row>
    <x:row r="159" ht="14.25" customHeight="1">
      <x:c r="A159" s="9"/>
      <x:c r="B159" s="9"/>
      <x:c r="C159" s="9"/>
      <x:c r="D159" s="9"/>
      <x:c r="E159" s="9"/>
      <x:c r="F159" s="9"/>
      <x:c r="G159" s="9"/>
      <x:c r="H159" s="9"/>
    </x:row>
    <x:row r="160" ht="14.25" customHeight="1">
      <x:c r="A160" s="9"/>
      <x:c r="B160" s="9"/>
      <x:c r="C160" s="9"/>
      <x:c r="D160" s="9"/>
      <x:c r="E160" s="9"/>
      <x:c r="F160" s="9"/>
      <x:c r="G160" s="9"/>
      <x:c r="H160" s="9"/>
    </x:row>
    <x:row r="161" ht="14.25" customHeight="1">
      <x:c r="A161" s="9"/>
      <x:c r="B161" s="9"/>
      <x:c r="C161" s="9"/>
      <x:c r="D161" s="9"/>
      <x:c r="E161" s="9"/>
      <x:c r="F161" s="9"/>
      <x:c r="G161" s="9"/>
      <x:c r="H161" s="9"/>
    </x:row>
    <x:row r="162" ht="14.25" customHeight="1">
      <x:c r="A162" s="9"/>
      <x:c r="B162" s="9"/>
      <x:c r="C162" s="9"/>
      <x:c r="D162" s="9"/>
      <x:c r="E162" s="9"/>
      <x:c r="F162" s="9"/>
      <x:c r="G162" s="9"/>
      <x:c r="H162" s="9"/>
    </x:row>
    <x:row r="163" ht="14.25" customHeight="1">
      <x:c r="A163" s="9"/>
      <x:c r="B163" s="9"/>
      <x:c r="C163" s="9"/>
      <x:c r="D163" s="9"/>
      <x:c r="E163" s="9"/>
      <x:c r="F163" s="9"/>
      <x:c r="G163" s="9"/>
      <x:c r="H163" s="9"/>
    </x:row>
    <x:row r="164" ht="14.25" customHeight="1">
      <x:c r="A164" s="9"/>
      <x:c r="B164" s="9"/>
      <x:c r="C164" s="9"/>
      <x:c r="D164" s="9"/>
      <x:c r="E164" s="9"/>
      <x:c r="F164" s="9"/>
      <x:c r="G164" s="9"/>
      <x:c r="H164" s="9"/>
    </x:row>
    <x:row r="165" ht="14.25" customHeight="1">
      <x:c r="A165" s="9"/>
      <x:c r="B165" s="9"/>
      <x:c r="C165" s="9"/>
      <x:c r="D165" s="9"/>
      <x:c r="E165" s="9"/>
      <x:c r="F165" s="9"/>
      <x:c r="G165" s="9"/>
      <x:c r="H165" s="9"/>
    </x:row>
    <x:row r="166" ht="14.25" customHeight="1">
      <x:c r="A166" s="9"/>
      <x:c r="B166" s="9"/>
      <x:c r="C166" s="9"/>
      <x:c r="D166" s="9"/>
      <x:c r="E166" s="9"/>
      <x:c r="F166" s="9"/>
      <x:c r="G166" s="9"/>
      <x:c r="H166" s="9"/>
    </x:row>
    <x:row r="167" ht="14.25" customHeight="1">
      <x:c r="A167" s="9"/>
      <x:c r="B167" s="9"/>
      <x:c r="C167" s="9"/>
      <x:c r="D167" s="9"/>
      <x:c r="E167" s="9"/>
      <x:c r="F167" s="9"/>
      <x:c r="G167" s="9"/>
      <x:c r="H167" s="9"/>
    </x:row>
    <x:row r="168" ht="14.25" customHeight="1">
      <x:c r="A168" s="9"/>
      <x:c r="B168" s="9"/>
      <x:c r="C168" s="9"/>
      <x:c r="D168" s="9"/>
      <x:c r="E168" s="9"/>
      <x:c r="F168" s="9"/>
      <x:c r="G168" s="9"/>
      <x:c r="H168" s="9"/>
    </x:row>
    <x:row r="169" ht="14.25" customHeight="1">
      <x:c r="A169" s="9"/>
      <x:c r="B169" s="9"/>
      <x:c r="C169" s="9"/>
      <x:c r="D169" s="9"/>
      <x:c r="E169" s="9"/>
      <x:c r="F169" s="9"/>
      <x:c r="G169" s="9"/>
      <x:c r="H169" s="9"/>
    </x:row>
    <x:row r="170" ht="14.25" customHeight="1">
      <x:c r="A170" s="9"/>
      <x:c r="B170" s="9"/>
      <x:c r="C170" s="9"/>
      <x:c r="D170" s="9"/>
      <x:c r="E170" s="9"/>
      <x:c r="F170" s="9"/>
      <x:c r="G170" s="9"/>
      <x:c r="H170" s="9"/>
    </x:row>
    <x:row r="171" ht="14.25" customHeight="1">
      <x:c r="A171" s="9"/>
      <x:c r="B171" s="9"/>
      <x:c r="C171" s="9"/>
      <x:c r="D171" s="9"/>
      <x:c r="E171" s="9"/>
      <x:c r="F171" s="9"/>
      <x:c r="G171" s="9"/>
      <x:c r="H171" s="9"/>
    </x:row>
    <x:row r="172" ht="14.25" customHeight="1">
      <x:c r="A172" s="9"/>
      <x:c r="B172" s="9"/>
      <x:c r="C172" s="9"/>
      <x:c r="D172" s="9"/>
      <x:c r="E172" s="9"/>
      <x:c r="F172" s="9"/>
      <x:c r="G172" s="9"/>
      <x:c r="H172" s="9"/>
    </x:row>
    <x:row r="173" ht="14.25" customHeight="1">
      <x:c r="A173" s="9"/>
      <x:c r="B173" s="9"/>
      <x:c r="C173" s="9"/>
      <x:c r="D173" s="9"/>
      <x:c r="E173" s="9"/>
      <x:c r="F173" s="9"/>
      <x:c r="G173" s="9"/>
      <x:c r="H173" s="9"/>
    </x:row>
    <x:row r="174" ht="14.25" customHeight="1">
      <x:c r="A174" s="9"/>
      <x:c r="B174" s="9"/>
      <x:c r="C174" s="9"/>
      <x:c r="D174" s="9"/>
      <x:c r="E174" s="9"/>
      <x:c r="F174" s="9"/>
      <x:c r="G174" s="9"/>
      <x:c r="H174" s="9"/>
    </x:row>
    <x:row r="175" ht="14.25" customHeight="1">
      <x:c r="A175" s="9"/>
      <x:c r="B175" s="9"/>
      <x:c r="C175" s="9"/>
      <x:c r="D175" s="9"/>
      <x:c r="E175" s="9"/>
      <x:c r="F175" s="9"/>
      <x:c r="G175" s="9"/>
      <x:c r="H175" s="9"/>
    </x:row>
    <x:row r="176" ht="14.25" customHeight="1">
      <x:c r="A176" s="9"/>
      <x:c r="B176" s="9"/>
      <x:c r="C176" s="9"/>
      <x:c r="D176" s="9"/>
      <x:c r="E176" s="9"/>
      <x:c r="F176" s="9"/>
      <x:c r="G176" s="9"/>
      <x:c r="H176" s="9"/>
    </x:row>
    <x:row r="177" ht="14.25" customHeight="1">
      <x:c r="A177" s="9"/>
      <x:c r="B177" s="9"/>
      <x:c r="C177" s="9"/>
      <x:c r="D177" s="9"/>
      <x:c r="E177" s="9"/>
      <x:c r="F177" s="9"/>
      <x:c r="G177" s="9"/>
      <x:c r="H177" s="9"/>
    </x:row>
    <x:row r="178" ht="14.25" customHeight="1">
      <x:c r="A178" s="9"/>
      <x:c r="B178" s="9"/>
      <x:c r="C178" s="9"/>
      <x:c r="D178" s="9"/>
      <x:c r="E178" s="9"/>
      <x:c r="F178" s="9"/>
      <x:c r="G178" s="9"/>
      <x:c r="H178" s="9"/>
    </x:row>
    <x:row r="179" ht="14.25" customHeight="1">
      <x:c r="A179" s="9"/>
      <x:c r="B179" s="9"/>
      <x:c r="C179" s="9"/>
      <x:c r="D179" s="9"/>
      <x:c r="E179" s="9"/>
      <x:c r="F179" s="9"/>
      <x:c r="G179" s="9"/>
      <x:c r="H179" s="9"/>
    </x:row>
    <x:row r="180" ht="14.25" customHeight="1">
      <x:c r="A180" s="9"/>
      <x:c r="B180" s="9"/>
      <x:c r="C180" s="9"/>
      <x:c r="D180" s="9"/>
      <x:c r="E180" s="9"/>
      <x:c r="F180" s="9"/>
      <x:c r="G180" s="9"/>
      <x:c r="H180" s="9"/>
    </x:row>
    <x:row r="181" ht="14.25" customHeight="1">
      <x:c r="A181" s="9"/>
      <x:c r="B181" s="9"/>
      <x:c r="C181" s="9"/>
      <x:c r="D181" s="9"/>
      <x:c r="E181" s="9"/>
      <x:c r="F181" s="9"/>
      <x:c r="G181" s="9"/>
      <x:c r="H181" s="9"/>
    </x:row>
    <x:row r="182" ht="14.25" customHeight="1">
      <x:c r="A182" s="9"/>
      <x:c r="B182" s="9"/>
      <x:c r="C182" s="9"/>
      <x:c r="D182" s="9"/>
      <x:c r="E182" s="9"/>
      <x:c r="F182" s="9"/>
      <x:c r="G182" s="9"/>
      <x:c r="H182" s="9"/>
    </x:row>
    <x:row r="183" ht="14.25" customHeight="1">
      <x:c r="A183" s="9"/>
      <x:c r="B183" s="9"/>
      <x:c r="C183" s="9"/>
      <x:c r="D183" s="9"/>
      <x:c r="E183" s="9"/>
      <x:c r="F183" s="9"/>
      <x:c r="G183" s="9"/>
      <x:c r="H183" s="9"/>
    </x:row>
    <x:row r="184" ht="14.25" customHeight="1">
      <x:c r="A184" s="9"/>
      <x:c r="B184" s="9"/>
      <x:c r="C184" s="9"/>
      <x:c r="D184" s="9"/>
      <x:c r="E184" s="9"/>
      <x:c r="F184" s="9"/>
      <x:c r="G184" s="9"/>
      <x:c r="H184" s="9"/>
    </x:row>
    <x:row r="185" ht="14.25" customHeight="1">
      <x:c r="A185" s="9"/>
      <x:c r="B185" s="9"/>
      <x:c r="C185" s="9"/>
      <x:c r="D185" s="9"/>
      <x:c r="E185" s="9"/>
      <x:c r="F185" s="9"/>
      <x:c r="G185" s="9"/>
      <x:c r="H185" s="9"/>
    </x:row>
    <x:row r="186" ht="14.25" customHeight="1">
      <x:c r="A186" s="9"/>
      <x:c r="B186" s="9"/>
      <x:c r="C186" s="9"/>
      <x:c r="D186" s="9"/>
      <x:c r="E186" s="9"/>
      <x:c r="F186" s="9"/>
      <x:c r="G186" s="9"/>
      <x:c r="H186" s="9"/>
    </x:row>
    <x:row r="187" ht="14.25" customHeight="1">
      <x:c r="A187" s="9"/>
      <x:c r="B187" s="9"/>
      <x:c r="C187" s="9"/>
      <x:c r="D187" s="9"/>
      <x:c r="E187" s="9"/>
      <x:c r="F187" s="9"/>
      <x:c r="G187" s="9"/>
      <x:c r="H187" s="9"/>
    </x:row>
    <x:row r="188" ht="14.25" customHeight="1">
      <x:c r="A188" s="9"/>
      <x:c r="B188" s="9"/>
      <x:c r="C188" s="9"/>
      <x:c r="D188" s="9"/>
      <x:c r="E188" s="9"/>
      <x:c r="F188" s="9"/>
      <x:c r="G188" s="9"/>
      <x:c r="H188" s="9"/>
    </x:row>
    <x:row r="189" ht="14.25" customHeight="1">
      <x:c r="A189" s="9"/>
      <x:c r="B189" s="9"/>
      <x:c r="C189" s="9"/>
      <x:c r="D189" s="9"/>
      <x:c r="E189" s="9"/>
      <x:c r="F189" s="9"/>
      <x:c r="G189" s="9"/>
      <x:c r="H189" s="9"/>
    </x:row>
    <x:row r="190" ht="14.25" customHeight="1">
      <x:c r="A190" s="9"/>
      <x:c r="B190" s="9"/>
      <x:c r="C190" s="9"/>
      <x:c r="D190" s="9"/>
      <x:c r="E190" s="9"/>
      <x:c r="F190" s="9"/>
      <x:c r="G190" s="9"/>
      <x:c r="H190" s="9"/>
    </x:row>
    <x:row r="191" ht="14.25" customHeight="1">
      <x:c r="A191" s="9"/>
      <x:c r="B191" s="9"/>
      <x:c r="C191" s="9"/>
      <x:c r="D191" s="9"/>
      <x:c r="E191" s="9"/>
      <x:c r="F191" s="9"/>
      <x:c r="G191" s="9"/>
      <x:c r="H191" s="9"/>
    </x:row>
    <x:row r="192" ht="14.25" customHeight="1">
      <x:c r="A192" s="9"/>
      <x:c r="B192" s="9"/>
      <x:c r="C192" s="9"/>
      <x:c r="D192" s="9"/>
      <x:c r="E192" s="9"/>
      <x:c r="F192" s="9"/>
      <x:c r="G192" s="9"/>
      <x:c r="H192" s="9"/>
    </x:row>
    <x:row r="193" ht="14.25" customHeight="1">
      <x:c r="A193" s="9"/>
      <x:c r="B193" s="9"/>
      <x:c r="C193" s="9"/>
      <x:c r="D193" s="9"/>
      <x:c r="E193" s="9"/>
      <x:c r="F193" s="9"/>
      <x:c r="G193" s="9"/>
      <x:c r="H193" s="9"/>
    </x:row>
    <x:row r="194" ht="14.25" customHeight="1">
      <x:c r="A194" s="9"/>
      <x:c r="B194" s="9"/>
      <x:c r="C194" s="9"/>
      <x:c r="D194" s="9"/>
      <x:c r="E194" s="9"/>
      <x:c r="F194" s="9"/>
      <x:c r="G194" s="9"/>
      <x:c r="H194" s="9"/>
    </x:row>
    <x:row r="195" ht="14.25" customHeight="1">
      <x:c r="A195" s="9"/>
      <x:c r="B195" s="9"/>
      <x:c r="C195" s="9"/>
      <x:c r="D195" s="9"/>
      <x:c r="E195" s="9"/>
      <x:c r="F195" s="9"/>
      <x:c r="G195" s="9"/>
      <x:c r="H195" s="9"/>
    </x:row>
    <x:row r="196" ht="14.25" customHeight="1">
      <x:c r="A196" s="9"/>
      <x:c r="B196" s="9"/>
      <x:c r="C196" s="9"/>
      <x:c r="D196" s="9"/>
      <x:c r="E196" s="9"/>
      <x:c r="F196" s="9"/>
      <x:c r="G196" s="9"/>
      <x:c r="H196" s="9"/>
    </x:row>
    <x:row r="197" ht="14.25" customHeight="1">
      <x:c r="A197" s="9"/>
      <x:c r="B197" s="9"/>
      <x:c r="C197" s="9"/>
      <x:c r="D197" s="9"/>
      <x:c r="E197" s="9"/>
      <x:c r="F197" s="9"/>
      <x:c r="G197" s="9"/>
      <x:c r="H197" s="9"/>
    </x:row>
    <x:row r="198" ht="14.25" customHeight="1">
      <x:c r="A198" s="9"/>
      <x:c r="B198" s="9"/>
      <x:c r="C198" s="9"/>
      <x:c r="D198" s="9"/>
      <x:c r="E198" s="9"/>
      <x:c r="F198" s="9"/>
      <x:c r="G198" s="9"/>
      <x:c r="H198" s="9"/>
    </x:row>
    <x:row r="199" ht="14.25" customHeight="1">
      <x:c r="A199" s="9"/>
      <x:c r="B199" s="9"/>
      <x:c r="C199" s="9"/>
      <x:c r="D199" s="9"/>
      <x:c r="E199" s="9"/>
      <x:c r="F199" s="9"/>
      <x:c r="G199" s="9"/>
      <x:c r="H199" s="9"/>
    </x:row>
    <x:row r="200" ht="14.25" customHeight="1">
      <x:c r="A200" s="9"/>
      <x:c r="B200" s="9"/>
      <x:c r="C200" s="9"/>
      <x:c r="D200" s="9"/>
      <x:c r="E200" s="9"/>
      <x:c r="F200" s="9"/>
      <x:c r="G200" s="9"/>
      <x:c r="H200" s="9"/>
    </x:row>
    <x:row r="201" ht="14.25" customHeight="1">
      <x:c r="A201" s="9"/>
      <x:c r="B201" s="9"/>
      <x:c r="C201" s="9"/>
      <x:c r="D201" s="9"/>
      <x:c r="E201" s="9"/>
      <x:c r="F201" s="9"/>
      <x:c r="G201" s="9"/>
      <x:c r="H201" s="9"/>
    </x:row>
    <x:row r="202" ht="14.25" customHeight="1">
      <x:c r="A202" s="9"/>
      <x:c r="B202" s="9"/>
      <x:c r="C202" s="9"/>
      <x:c r="D202" s="9"/>
      <x:c r="E202" s="9"/>
      <x:c r="F202" s="9"/>
      <x:c r="G202" s="9"/>
      <x:c r="H202" s="9"/>
    </x:row>
    <x:row r="203" ht="14.25" customHeight="1">
      <x:c r="A203" s="9"/>
      <x:c r="B203" s="9"/>
      <x:c r="C203" s="9"/>
      <x:c r="D203" s="9"/>
      <x:c r="E203" s="9"/>
      <x:c r="F203" s="9"/>
      <x:c r="G203" s="9"/>
      <x:c r="H203" s="9"/>
    </x:row>
    <x:row r="204" ht="14.25" customHeight="1">
      <x:c r="A204" s="9"/>
      <x:c r="B204" s="9"/>
      <x:c r="C204" s="9"/>
      <x:c r="D204" s="9"/>
      <x:c r="E204" s="9"/>
      <x:c r="F204" s="9"/>
      <x:c r="G204" s="9"/>
      <x:c r="H204" s="9"/>
    </x:row>
    <x:row r="205" ht="14.25" customHeight="1">
      <x:c r="A205" s="9"/>
      <x:c r="B205" s="9"/>
      <x:c r="C205" s="9"/>
      <x:c r="D205" s="9"/>
      <x:c r="E205" s="9"/>
      <x:c r="F205" s="9"/>
      <x:c r="G205" s="9"/>
      <x:c r="H205" s="9"/>
    </x:row>
    <x:row r="206" ht="14.25" customHeight="1">
      <x:c r="A206" s="9"/>
      <x:c r="B206" s="9"/>
      <x:c r="C206" s="9"/>
      <x:c r="D206" s="9"/>
      <x:c r="E206" s="9"/>
      <x:c r="F206" s="9"/>
      <x:c r="G206" s="9"/>
      <x:c r="H206" s="9"/>
    </x:row>
    <x:row r="207" ht="14.25" customHeight="1">
      <x:c r="A207" s="9"/>
      <x:c r="B207" s="9"/>
      <x:c r="C207" s="9"/>
      <x:c r="D207" s="9"/>
      <x:c r="E207" s="9"/>
      <x:c r="F207" s="9"/>
      <x:c r="G207" s="9"/>
      <x:c r="H207" s="9"/>
    </x:row>
    <x:row r="208" ht="14.25" customHeight="1">
      <x:c r="A208" s="9"/>
      <x:c r="B208" s="9"/>
      <x:c r="C208" s="9"/>
      <x:c r="D208" s="9"/>
      <x:c r="E208" s="9"/>
      <x:c r="F208" s="9"/>
      <x:c r="G208" s="9"/>
      <x:c r="H208" s="9"/>
    </x:row>
    <x:row r="209" ht="14.25" customHeight="1">
      <x:c r="A209" s="9"/>
      <x:c r="B209" s="9"/>
      <x:c r="C209" s="9"/>
      <x:c r="D209" s="9"/>
      <x:c r="E209" s="9"/>
      <x:c r="F209" s="9"/>
      <x:c r="G209" s="9"/>
      <x:c r="H209" s="9"/>
    </x:row>
    <x:row r="210" ht="14.25" customHeight="1">
      <x:c r="A210" s="9"/>
      <x:c r="B210" s="9"/>
      <x:c r="C210" s="9"/>
      <x:c r="D210" s="9"/>
      <x:c r="E210" s="9"/>
      <x:c r="F210" s="9"/>
      <x:c r="G210" s="9"/>
      <x:c r="H210" s="9"/>
    </x:row>
    <x:row r="211" ht="14.25" customHeight="1">
      <x:c r="A211" s="9"/>
      <x:c r="B211" s="9"/>
      <x:c r="C211" s="9"/>
      <x:c r="D211" s="9"/>
      <x:c r="E211" s="9"/>
      <x:c r="F211" s="9"/>
      <x:c r="G211" s="9"/>
      <x:c r="H211" s="9"/>
    </x:row>
    <x:row r="212" ht="14.25" customHeight="1">
      <x:c r="A212" s="9"/>
      <x:c r="B212" s="9"/>
      <x:c r="C212" s="9"/>
      <x:c r="D212" s="9"/>
      <x:c r="E212" s="9"/>
      <x:c r="F212" s="9"/>
      <x:c r="G212" s="9"/>
      <x:c r="H212" s="9"/>
    </x:row>
    <x:row r="213" ht="14.25" customHeight="1">
      <x:c r="A213" s="9"/>
      <x:c r="B213" s="9"/>
      <x:c r="C213" s="9"/>
      <x:c r="D213" s="9"/>
      <x:c r="E213" s="9"/>
      <x:c r="F213" s="9"/>
      <x:c r="G213" s="9"/>
      <x:c r="H213" s="9"/>
    </x:row>
    <x:row r="214" ht="14.25" customHeight="1">
      <x:c r="A214" s="9"/>
      <x:c r="B214" s="9"/>
      <x:c r="C214" s="9"/>
      <x:c r="D214" s="9"/>
      <x:c r="E214" s="9"/>
      <x:c r="F214" s="9"/>
      <x:c r="G214" s="9"/>
      <x:c r="H214" s="9"/>
    </x:row>
    <x:row r="215" ht="14.25" customHeight="1">
      <x:c r="A215" s="9"/>
      <x:c r="B215" s="9"/>
      <x:c r="C215" s="9"/>
      <x:c r="D215" s="9"/>
      <x:c r="E215" s="9"/>
      <x:c r="F215" s="9"/>
      <x:c r="G215" s="9"/>
      <x:c r="H215" s="9"/>
    </x:row>
    <x:row r="216" ht="14.25" customHeight="1">
      <x:c r="A216" s="9"/>
      <x:c r="B216" s="9"/>
      <x:c r="C216" s="9"/>
      <x:c r="D216" s="9"/>
      <x:c r="E216" s="9"/>
      <x:c r="F216" s="9"/>
      <x:c r="G216" s="9"/>
      <x:c r="H216" s="9"/>
    </x:row>
    <x:row r="217" ht="14.25" customHeight="1">
      <x:c r="A217" s="9"/>
      <x:c r="B217" s="9"/>
      <x:c r="C217" s="9"/>
      <x:c r="D217" s="9"/>
      <x:c r="E217" s="9"/>
      <x:c r="F217" s="9"/>
      <x:c r="G217" s="9"/>
      <x:c r="H217" s="9"/>
    </x:row>
    <x:row r="218" ht="14.25" customHeight="1">
      <x:c r="A218" s="9"/>
      <x:c r="B218" s="9"/>
      <x:c r="C218" s="9"/>
      <x:c r="D218" s="9"/>
      <x:c r="E218" s="9"/>
      <x:c r="F218" s="9"/>
      <x:c r="G218" s="9"/>
      <x:c r="H218" s="9"/>
    </x:row>
    <x:row r="219" ht="14.25" customHeight="1">
      <x:c r="A219" s="9"/>
      <x:c r="B219" s="9"/>
      <x:c r="C219" s="9"/>
      <x:c r="D219" s="9"/>
      <x:c r="E219" s="9"/>
      <x:c r="F219" s="9"/>
      <x:c r="G219" s="9"/>
      <x:c r="H219" s="9"/>
    </x:row>
    <x:row r="220" ht="14.25" customHeight="1">
      <x:c r="A220" s="9"/>
      <x:c r="B220" s="9"/>
      <x:c r="C220" s="9"/>
      <x:c r="D220" s="9"/>
      <x:c r="E220" s="9"/>
      <x:c r="F220" s="9"/>
      <x:c r="G220" s="9"/>
      <x:c r="H220" s="9"/>
    </x:row>
    <x:row r="221" ht="14.25" customHeight="1">
      <x:c r="A221" s="9"/>
      <x:c r="B221" s="9"/>
      <x:c r="C221" s="9"/>
      <x:c r="D221" s="9"/>
      <x:c r="E221" s="9"/>
      <x:c r="F221" s="9"/>
      <x:c r="G221" s="9"/>
      <x:c r="H221" s="9"/>
    </x:row>
    <x:row r="222" ht="14.25" customHeight="1">
      <x:c r="A222" s="9"/>
      <x:c r="B222" s="9"/>
      <x:c r="C222" s="9"/>
      <x:c r="D222" s="9"/>
      <x:c r="E222" s="9"/>
      <x:c r="F222" s="9"/>
      <x:c r="G222" s="9"/>
      <x:c r="H222" s="9"/>
    </x:row>
    <x:row r="223" ht="14.25" customHeight="1">
      <x:c r="A223" s="9"/>
      <x:c r="B223" s="9"/>
      <x:c r="C223" s="9"/>
      <x:c r="D223" s="9"/>
      <x:c r="E223" s="9"/>
      <x:c r="F223" s="9"/>
      <x:c r="G223" s="9"/>
      <x:c r="H223" s="9"/>
    </x:row>
    <x:row r="224" ht="14.25" customHeight="1">
      <x:c r="A224" s="9"/>
      <x:c r="B224" s="9"/>
      <x:c r="C224" s="9"/>
      <x:c r="D224" s="9"/>
      <x:c r="E224" s="9"/>
      <x:c r="F224" s="9"/>
      <x:c r="G224" s="9"/>
      <x:c r="H224" s="9"/>
    </x:row>
    <x:row r="225" ht="14.25" customHeight="1">
      <x:c r="A225" s="9"/>
      <x:c r="B225" s="9"/>
      <x:c r="C225" s="9"/>
      <x:c r="D225" s="9"/>
      <x:c r="E225" s="9"/>
      <x:c r="F225" s="9"/>
      <x:c r="G225" s="9"/>
      <x:c r="H225" s="9"/>
    </x:row>
    <x:row r="226" ht="14.25" customHeight="1">
      <x:c r="A226" s="9"/>
      <x:c r="B226" s="9"/>
      <x:c r="C226" s="9"/>
      <x:c r="D226" s="9"/>
      <x:c r="E226" s="9"/>
      <x:c r="F226" s="9"/>
      <x:c r="G226" s="9"/>
      <x:c r="H226" s="9"/>
    </x:row>
    <x:row r="227" ht="14.25" customHeight="1">
      <x:c r="A227" s="9"/>
      <x:c r="B227" s="9"/>
      <x:c r="C227" s="9"/>
      <x:c r="D227" s="9"/>
      <x:c r="E227" s="9"/>
      <x:c r="F227" s="9"/>
      <x:c r="G227" s="9"/>
      <x:c r="H227" s="9"/>
    </x:row>
    <x:row r="228" ht="14.25" customHeight="1">
      <x:c r="A228" s="9"/>
      <x:c r="B228" s="9"/>
      <x:c r="C228" s="9"/>
      <x:c r="D228" s="9"/>
      <x:c r="E228" s="9"/>
      <x:c r="F228" s="9"/>
      <x:c r="G228" s="9"/>
      <x:c r="H228" s="9"/>
    </x:row>
    <x:row r="229" ht="14.25" customHeight="1">
      <x:c r="A229" s="9"/>
      <x:c r="B229" s="9"/>
      <x:c r="C229" s="9"/>
      <x:c r="D229" s="9"/>
      <x:c r="E229" s="9"/>
      <x:c r="F229" s="9"/>
      <x:c r="G229" s="9"/>
      <x:c r="H229" s="9"/>
    </x:row>
    <x:row r="230" ht="14.25" customHeight="1">
      <x:c r="A230" s="9"/>
      <x:c r="B230" s="9"/>
      <x:c r="C230" s="9"/>
      <x:c r="D230" s="9"/>
      <x:c r="E230" s="9"/>
      <x:c r="F230" s="9"/>
      <x:c r="G230" s="9"/>
      <x:c r="H230" s="9"/>
    </x:row>
    <x:row r="231" ht="14.25" customHeight="1">
      <x:c r="A231" s="9"/>
      <x:c r="B231" s="9"/>
      <x:c r="C231" s="9"/>
      <x:c r="D231" s="9"/>
      <x:c r="E231" s="9"/>
      <x:c r="F231" s="9"/>
      <x:c r="G231" s="9"/>
      <x:c r="H231" s="9"/>
    </x:row>
    <x:row r="232" ht="14.25" customHeight="1">
      <x:c r="A232" s="9"/>
      <x:c r="B232" s="9"/>
      <x:c r="C232" s="9"/>
      <x:c r="D232" s="9"/>
      <x:c r="E232" s="9"/>
      <x:c r="F232" s="9"/>
      <x:c r="G232" s="9"/>
      <x:c r="H232" s="9"/>
    </x:row>
    <x:row r="233" ht="14.25" customHeight="1">
      <x:c r="A233" s="9"/>
      <x:c r="B233" s="9"/>
      <x:c r="C233" s="9"/>
      <x:c r="D233" s="9"/>
      <x:c r="E233" s="9"/>
      <x:c r="F233" s="9"/>
      <x:c r="G233" s="9"/>
      <x:c r="H233" s="9"/>
    </x:row>
    <x:row r="234" ht="14.25" customHeight="1">
      <x:c r="A234" s="9"/>
      <x:c r="B234" s="9"/>
      <x:c r="C234" s="9"/>
      <x:c r="D234" s="9"/>
      <x:c r="E234" s="9"/>
      <x:c r="F234" s="9"/>
      <x:c r="G234" s="9"/>
      <x:c r="H234" s="9"/>
    </x:row>
    <x:row r="235" ht="14.25" customHeight="1">
      <x:c r="A235" s="9"/>
      <x:c r="B235" s="9"/>
      <x:c r="C235" s="9"/>
      <x:c r="D235" s="9"/>
      <x:c r="E235" s="9"/>
      <x:c r="F235" s="9"/>
      <x:c r="G235" s="9"/>
      <x:c r="H235" s="9"/>
    </x:row>
    <x:row r="236" ht="14.25" customHeight="1">
      <x:c r="A236" s="9"/>
      <x:c r="B236" s="9"/>
      <x:c r="C236" s="9"/>
      <x:c r="D236" s="9"/>
      <x:c r="E236" s="9"/>
      <x:c r="F236" s="9"/>
      <x:c r="G236" s="9"/>
      <x:c r="H236" s="9"/>
    </x:row>
    <x:row r="237" ht="14.25" customHeight="1">
      <x:c r="A237" s="9"/>
      <x:c r="B237" s="9"/>
      <x:c r="C237" s="9"/>
      <x:c r="D237" s="9"/>
      <x:c r="E237" s="9"/>
      <x:c r="F237" s="9"/>
      <x:c r="G237" s="9"/>
      <x:c r="H237" s="9"/>
    </x:row>
    <x:row r="238" ht="14.25" customHeight="1">
      <x:c r="A238" s="9"/>
      <x:c r="B238" s="9"/>
      <x:c r="C238" s="9"/>
      <x:c r="D238" s="9"/>
      <x:c r="E238" s="9"/>
      <x:c r="F238" s="9"/>
      <x:c r="G238" s="9"/>
      <x:c r="H238" s="9"/>
    </x:row>
    <x:row r="239" ht="14.25" customHeight="1">
      <x:c r="A239" s="9"/>
      <x:c r="B239" s="9"/>
      <x:c r="C239" s="9"/>
      <x:c r="D239" s="9"/>
      <x:c r="E239" s="9"/>
      <x:c r="F239" s="9"/>
      <x:c r="G239" s="9"/>
      <x:c r="H239" s="9"/>
    </x:row>
    <x:row r="240" ht="14.25" customHeight="1">
      <x:c r="A240" s="9"/>
      <x:c r="B240" s="9"/>
      <x:c r="C240" s="9"/>
      <x:c r="D240" s="9"/>
      <x:c r="E240" s="9"/>
      <x:c r="F240" s="9"/>
      <x:c r="G240" s="9"/>
      <x:c r="H240" s="9"/>
    </x:row>
    <x:row r="241" ht="14.25" customHeight="1">
      <x:c r="A241" s="9"/>
      <x:c r="B241" s="9"/>
      <x:c r="C241" s="9"/>
      <x:c r="D241" s="9"/>
      <x:c r="E241" s="9"/>
      <x:c r="F241" s="9"/>
      <x:c r="G241" s="9"/>
      <x:c r="H241" s="9"/>
    </x:row>
    <x:row r="242" ht="14.25" customHeight="1">
      <x:c r="A242" s="9"/>
      <x:c r="B242" s="9"/>
      <x:c r="C242" s="9"/>
      <x:c r="D242" s="9"/>
      <x:c r="E242" s="9"/>
      <x:c r="F242" s="9"/>
      <x:c r="G242" s="9"/>
      <x:c r="H242" s="9"/>
    </x:row>
    <x:row r="243" ht="14.25" customHeight="1">
      <x:c r="A243" s="9"/>
      <x:c r="B243" s="9"/>
      <x:c r="C243" s="9"/>
      <x:c r="D243" s="9"/>
      <x:c r="E243" s="9"/>
      <x:c r="F243" s="9"/>
      <x:c r="G243" s="9"/>
      <x:c r="H243" s="9"/>
    </x:row>
    <x:row r="244" ht="14.25" customHeight="1">
      <x:c r="A244" s="9"/>
      <x:c r="B244" s="9"/>
      <x:c r="C244" s="9"/>
      <x:c r="D244" s="9"/>
      <x:c r="E244" s="9"/>
      <x:c r="F244" s="9"/>
      <x:c r="G244" s="9"/>
      <x:c r="H244" s="9"/>
    </x:row>
    <x:row r="245" ht="14.25" customHeight="1">
      <x:c r="A245" s="9"/>
      <x:c r="B245" s="9"/>
      <x:c r="C245" s="9"/>
      <x:c r="D245" s="9"/>
      <x:c r="E245" s="9"/>
      <x:c r="F245" s="9"/>
      <x:c r="G245" s="9"/>
      <x:c r="H245" s="9"/>
    </x:row>
    <x:row r="246" ht="14.25" customHeight="1">
      <x:c r="A246" s="9"/>
      <x:c r="B246" s="9"/>
      <x:c r="C246" s="9"/>
      <x:c r="D246" s="9"/>
      <x:c r="E246" s="9"/>
      <x:c r="F246" s="9"/>
      <x:c r="G246" s="9"/>
      <x:c r="H246" s="9"/>
    </x:row>
    <x:row r="247" ht="14.25" customHeight="1">
      <x:c r="A247" s="9"/>
      <x:c r="B247" s="9"/>
      <x:c r="C247" s="9"/>
      <x:c r="D247" s="9"/>
      <x:c r="E247" s="9"/>
      <x:c r="F247" s="9"/>
      <x:c r="G247" s="9"/>
      <x:c r="H247" s="9"/>
    </x:row>
    <x:row r="248" ht="14.25" customHeight="1">
      <x:c r="A248" s="9"/>
      <x:c r="B248" s="9"/>
      <x:c r="C248" s="9"/>
      <x:c r="D248" s="9"/>
      <x:c r="E248" s="9"/>
      <x:c r="F248" s="9"/>
      <x:c r="G248" s="9"/>
      <x:c r="H248" s="9"/>
    </x:row>
    <x:row r="249" ht="14.25" customHeight="1">
      <x:c r="A249" s="9"/>
      <x:c r="B249" s="9"/>
      <x:c r="C249" s="9"/>
      <x:c r="D249" s="9"/>
      <x:c r="E249" s="9"/>
      <x:c r="F249" s="9"/>
      <x:c r="G249" s="9"/>
      <x:c r="H249" s="9"/>
    </x:row>
    <x:row r="250" ht="14.25" customHeight="1">
      <x:c r="A250" s="9"/>
      <x:c r="B250" s="9"/>
      <x:c r="C250" s="9"/>
      <x:c r="D250" s="9"/>
      <x:c r="E250" s="9"/>
      <x:c r="F250" s="9"/>
      <x:c r="G250" s="9"/>
      <x:c r="H250" s="9"/>
    </x:row>
    <x:row r="251" ht="14.25" customHeight="1">
      <x:c r="A251" s="9"/>
      <x:c r="B251" s="9"/>
      <x:c r="C251" s="9"/>
      <x:c r="D251" s="9"/>
      <x:c r="E251" s="9"/>
      <x:c r="F251" s="9"/>
      <x:c r="G251" s="9"/>
      <x:c r="H251" s="9"/>
    </x:row>
    <x:row r="252" ht="14.25" customHeight="1">
      <x:c r="A252" s="9"/>
      <x:c r="B252" s="9"/>
      <x:c r="C252" s="9"/>
      <x:c r="D252" s="9"/>
      <x:c r="E252" s="9"/>
      <x:c r="F252" s="9"/>
      <x:c r="G252" s="9"/>
      <x:c r="H252" s="9"/>
    </x:row>
    <x:row r="253" ht="14.25" customHeight="1">
      <x:c r="A253" s="9"/>
      <x:c r="B253" s="9"/>
      <x:c r="C253" s="9"/>
      <x:c r="D253" s="9"/>
      <x:c r="E253" s="9"/>
      <x:c r="F253" s="9"/>
      <x:c r="G253" s="9"/>
      <x:c r="H253" s="9"/>
    </x:row>
    <x:row r="254" ht="14.25" customHeight="1">
      <x:c r="A254" s="9"/>
      <x:c r="B254" s="9"/>
      <x:c r="C254" s="9"/>
      <x:c r="D254" s="9"/>
      <x:c r="E254" s="9"/>
      <x:c r="F254" s="9"/>
      <x:c r="G254" s="9"/>
      <x:c r="H254" s="9"/>
    </x:row>
    <x:row r="255" ht="14.25" customHeight="1">
      <x:c r="A255" s="9"/>
      <x:c r="B255" s="9"/>
      <x:c r="C255" s="9"/>
      <x:c r="D255" s="9"/>
      <x:c r="E255" s="9"/>
      <x:c r="F255" s="9"/>
      <x:c r="G255" s="9"/>
      <x:c r="H255" s="9"/>
    </x:row>
    <x:row r="256" ht="14.25" customHeight="1">
      <x:c r="A256" s="9"/>
      <x:c r="B256" s="9"/>
      <x:c r="C256" s="9"/>
      <x:c r="D256" s="9"/>
      <x:c r="E256" s="9"/>
      <x:c r="F256" s="9"/>
      <x:c r="G256" s="9"/>
      <x:c r="H256" s="9"/>
    </x:row>
    <x:row r="257" ht="14.25" customHeight="1">
      <x:c r="A257" s="9"/>
      <x:c r="B257" s="9"/>
      <x:c r="C257" s="9"/>
      <x:c r="D257" s="9"/>
      <x:c r="E257" s="9"/>
      <x:c r="F257" s="9"/>
      <x:c r="G257" s="9"/>
      <x:c r="H257" s="9"/>
    </x:row>
    <x:row r="258" ht="14.25" customHeight="1">
      <x:c r="A258" s="9"/>
      <x:c r="B258" s="9"/>
      <x:c r="C258" s="9"/>
      <x:c r="D258" s="9"/>
      <x:c r="E258" s="9"/>
      <x:c r="F258" s="9"/>
      <x:c r="G258" s="9"/>
      <x:c r="H258" s="9"/>
    </x:row>
    <x:row r="259" ht="14.25" customHeight="1">
      <x:c r="A259" s="9"/>
      <x:c r="B259" s="9"/>
      <x:c r="C259" s="9"/>
      <x:c r="D259" s="9"/>
      <x:c r="E259" s="9"/>
      <x:c r="F259" s="9"/>
      <x:c r="G259" s="9"/>
      <x:c r="H259" s="9"/>
    </x:row>
    <x:row r="260" ht="14.25" customHeight="1">
      <x:c r="A260" s="9"/>
      <x:c r="B260" s="9"/>
      <x:c r="C260" s="9"/>
      <x:c r="D260" s="9"/>
      <x:c r="E260" s="9"/>
      <x:c r="F260" s="9"/>
      <x:c r="G260" s="9"/>
      <x:c r="H260" s="9"/>
    </x:row>
    <x:row r="261" ht="14.25" customHeight="1">
      <x:c r="A261" s="9"/>
      <x:c r="B261" s="9"/>
      <x:c r="C261" s="9"/>
      <x:c r="D261" s="9"/>
      <x:c r="E261" s="9"/>
      <x:c r="F261" s="9"/>
      <x:c r="G261" s="9"/>
      <x:c r="H261" s="9"/>
    </x:row>
    <x:row r="262" ht="14.25" customHeight="1">
      <x:c r="A262" s="9"/>
      <x:c r="B262" s="9"/>
      <x:c r="C262" s="9"/>
      <x:c r="D262" s="9"/>
      <x:c r="E262" s="9"/>
      <x:c r="F262" s="9"/>
      <x:c r="G262" s="9"/>
      <x:c r="H262" s="9"/>
    </x:row>
    <x:row r="263" ht="14.25" customHeight="1">
      <x:c r="A263" s="9"/>
      <x:c r="B263" s="9"/>
      <x:c r="C263" s="9"/>
      <x:c r="D263" s="9"/>
      <x:c r="E263" s="9"/>
      <x:c r="F263" s="9"/>
      <x:c r="G263" s="9"/>
      <x:c r="H263" s="9"/>
    </x:row>
    <x:row r="264" ht="14.25" customHeight="1">
      <x:c r="A264" s="9"/>
      <x:c r="B264" s="9"/>
      <x:c r="C264" s="9"/>
      <x:c r="D264" s="9"/>
      <x:c r="E264" s="9"/>
      <x:c r="F264" s="9"/>
      <x:c r="G264" s="9"/>
      <x:c r="H264" s="9"/>
    </x:row>
    <x:row r="265" ht="14.25" customHeight="1">
      <x:c r="A265" s="9"/>
      <x:c r="B265" s="9"/>
      <x:c r="C265" s="9"/>
      <x:c r="D265" s="9"/>
      <x:c r="E265" s="9"/>
      <x:c r="F265" s="9"/>
      <x:c r="G265" s="9"/>
      <x:c r="H265" s="9"/>
    </x:row>
    <x:row r="266" ht="14.25" customHeight="1">
      <x:c r="A266" s="9"/>
      <x:c r="B266" s="9"/>
      <x:c r="C266" s="9"/>
      <x:c r="D266" s="9"/>
      <x:c r="E266" s="9"/>
      <x:c r="F266" s="9"/>
      <x:c r="G266" s="9"/>
      <x:c r="H266" s="9"/>
    </x:row>
    <x:row r="267" ht="14.25" customHeight="1">
      <x:c r="A267" s="9"/>
      <x:c r="B267" s="9"/>
      <x:c r="C267" s="9"/>
      <x:c r="D267" s="9"/>
      <x:c r="E267" s="9"/>
      <x:c r="F267" s="9"/>
      <x:c r="G267" s="9"/>
      <x:c r="H267" s="9"/>
    </x:row>
    <x:row r="268" ht="14.25" customHeight="1">
      <x:c r="A268" s="9"/>
      <x:c r="B268" s="9"/>
      <x:c r="C268" s="9"/>
      <x:c r="D268" s="9"/>
      <x:c r="E268" s="9"/>
      <x:c r="F268" s="9"/>
      <x:c r="G268" s="9"/>
      <x:c r="H268" s="9"/>
    </x:row>
    <x:row r="269" ht="14.25" customHeight="1">
      <x:c r="A269" s="9"/>
      <x:c r="B269" s="9"/>
      <x:c r="C269" s="9"/>
      <x:c r="D269" s="9"/>
      <x:c r="E269" s="9"/>
      <x:c r="F269" s="9"/>
      <x:c r="G269" s="9"/>
      <x:c r="H269" s="9"/>
    </x:row>
    <x:row r="270" ht="14.25" customHeight="1">
      <x:c r="A270" s="9"/>
      <x:c r="B270" s="9"/>
      <x:c r="C270" s="9"/>
      <x:c r="D270" s="9"/>
      <x:c r="E270" s="9"/>
      <x:c r="F270" s="9"/>
      <x:c r="G270" s="9"/>
      <x:c r="H270" s="9"/>
    </x:row>
    <x:row r="271" ht="14.25" customHeight="1">
      <x:c r="A271" s="9"/>
      <x:c r="B271" s="9"/>
      <x:c r="C271" s="9"/>
      <x:c r="D271" s="9"/>
      <x:c r="E271" s="9"/>
      <x:c r="F271" s="9"/>
      <x:c r="G271" s="9"/>
      <x:c r="H271" s="9"/>
    </x:row>
    <x:row r="272" ht="14.25" customHeight="1">
      <x:c r="A272" s="9"/>
      <x:c r="B272" s="9"/>
      <x:c r="C272" s="9"/>
      <x:c r="D272" s="9"/>
      <x:c r="E272" s="9"/>
      <x:c r="F272" s="9"/>
      <x:c r="G272" s="9"/>
      <x:c r="H272" s="9"/>
    </x:row>
    <x:row r="273" ht="14.25" customHeight="1">
      <x:c r="A273" s="9"/>
      <x:c r="B273" s="9"/>
      <x:c r="C273" s="9"/>
      <x:c r="D273" s="9"/>
      <x:c r="E273" s="9"/>
      <x:c r="F273" s="9"/>
      <x:c r="G273" s="9"/>
      <x:c r="H273" s="9"/>
    </x:row>
    <x:row r="274" ht="14.25" customHeight="1">
      <x:c r="A274" s="9"/>
      <x:c r="B274" s="9"/>
      <x:c r="C274" s="9"/>
      <x:c r="D274" s="9"/>
      <x:c r="E274" s="9"/>
      <x:c r="F274" s="9"/>
      <x:c r="G274" s="9"/>
      <x:c r="H274" s="9"/>
    </x:row>
    <x:row r="275" ht="14.25" customHeight="1">
      <x:c r="A275" s="9"/>
      <x:c r="B275" s="9"/>
      <x:c r="C275" s="9"/>
      <x:c r="D275" s="9"/>
      <x:c r="E275" s="9"/>
      <x:c r="F275" s="9"/>
      <x:c r="G275" s="9"/>
      <x:c r="H275" s="9"/>
    </x:row>
    <x:row r="276" ht="14.25" customHeight="1">
      <x:c r="A276" s="9"/>
      <x:c r="B276" s="9"/>
      <x:c r="C276" s="9"/>
      <x:c r="D276" s="9"/>
      <x:c r="E276" s="9"/>
      <x:c r="F276" s="9"/>
      <x:c r="G276" s="9"/>
      <x:c r="H276" s="9"/>
    </x:row>
    <x:row r="277" ht="14.25" customHeight="1">
      <x:c r="A277" s="9"/>
      <x:c r="B277" s="9"/>
      <x:c r="C277" s="9"/>
      <x:c r="D277" s="9"/>
      <x:c r="E277" s="9"/>
      <x:c r="F277" s="9"/>
      <x:c r="G277" s="9"/>
      <x:c r="H277" s="9"/>
    </x:row>
    <x:row r="278" ht="14.25" customHeight="1">
      <x:c r="A278" s="9"/>
      <x:c r="B278" s="9"/>
      <x:c r="C278" s="9"/>
      <x:c r="D278" s="9"/>
      <x:c r="E278" s="9"/>
      <x:c r="F278" s="9"/>
      <x:c r="G278" s="9"/>
      <x:c r="H278" s="9"/>
    </x:row>
    <x:row r="279" ht="14.25" customHeight="1">
      <x:c r="A279" s="9"/>
      <x:c r="B279" s="9"/>
      <x:c r="C279" s="9"/>
      <x:c r="D279" s="9"/>
      <x:c r="E279" s="9"/>
      <x:c r="F279" s="9"/>
      <x:c r="G279" s="9"/>
      <x:c r="H279" s="9"/>
    </x:row>
    <x:row r="280" ht="14.25" customHeight="1">
      <x:c r="A280" s="9"/>
      <x:c r="B280" s="9"/>
      <x:c r="C280" s="9"/>
      <x:c r="D280" s="9"/>
      <x:c r="E280" s="9"/>
      <x:c r="F280" s="9"/>
      <x:c r="G280" s="9"/>
      <x:c r="H280" s="9"/>
    </x:row>
    <x:row r="281" ht="14.25" customHeight="1">
      <x:c r="A281" s="9"/>
      <x:c r="B281" s="9"/>
      <x:c r="C281" s="9"/>
      <x:c r="D281" s="9"/>
      <x:c r="E281" s="9"/>
      <x:c r="F281" s="9"/>
      <x:c r="G281" s="9"/>
      <x:c r="H281" s="9"/>
    </x:row>
    <x:row r="282" ht="14.25" customHeight="1">
      <x:c r="A282" s="9"/>
      <x:c r="B282" s="9"/>
      <x:c r="C282" s="9"/>
      <x:c r="D282" s="9"/>
      <x:c r="E282" s="9"/>
      <x:c r="F282" s="9"/>
      <x:c r="G282" s="9"/>
      <x:c r="H282" s="9"/>
    </x:row>
    <x:row r="283" ht="14.25" customHeight="1">
      <x:c r="A283" s="9"/>
      <x:c r="B283" s="9"/>
      <x:c r="C283" s="9"/>
      <x:c r="D283" s="9"/>
      <x:c r="E283" s="9"/>
      <x:c r="F283" s="9"/>
      <x:c r="G283" s="9"/>
      <x:c r="H283" s="9"/>
    </x:row>
    <x:row r="284" ht="14.25" customHeight="1">
      <x:c r="A284" s="9"/>
      <x:c r="B284" s="9"/>
      <x:c r="C284" s="9"/>
      <x:c r="D284" s="9"/>
      <x:c r="E284" s="9"/>
      <x:c r="F284" s="9"/>
      <x:c r="G284" s="9"/>
      <x:c r="H284" s="9"/>
    </x:row>
    <x:row r="285" ht="14.25" customHeight="1">
      <x:c r="A285" s="9"/>
      <x:c r="B285" s="9"/>
      <x:c r="C285" s="9"/>
      <x:c r="D285" s="9"/>
      <x:c r="E285" s="9"/>
      <x:c r="F285" s="9"/>
      <x:c r="G285" s="9"/>
      <x:c r="H285" s="9"/>
    </x:row>
    <x:row r="286" ht="14.25" customHeight="1">
      <x:c r="A286" s="9"/>
      <x:c r="B286" s="9"/>
      <x:c r="C286" s="9"/>
      <x:c r="D286" s="9"/>
      <x:c r="E286" s="9"/>
      <x:c r="F286" s="9"/>
      <x:c r="G286" s="9"/>
      <x:c r="H286" s="9"/>
    </x:row>
    <x:row r="287" ht="14.25" customHeight="1">
      <x:c r="A287" s="9"/>
      <x:c r="B287" s="9"/>
      <x:c r="C287" s="9"/>
      <x:c r="D287" s="9"/>
      <x:c r="E287" s="9"/>
      <x:c r="F287" s="9"/>
      <x:c r="G287" s="9"/>
      <x:c r="H287" s="9"/>
    </x:row>
    <x:row r="288" ht="14.25" customHeight="1">
      <x:c r="A288" s="9"/>
      <x:c r="B288" s="9"/>
      <x:c r="C288" s="9"/>
      <x:c r="D288" s="9"/>
      <x:c r="E288" s="9"/>
      <x:c r="F288" s="9"/>
      <x:c r="G288" s="9"/>
      <x:c r="H288" s="9"/>
    </x:row>
    <x:row r="289" ht="14.25" customHeight="1">
      <x:c r="A289" s="9"/>
      <x:c r="B289" s="9"/>
      <x:c r="C289" s="9"/>
      <x:c r="D289" s="9"/>
      <x:c r="E289" s="9"/>
      <x:c r="F289" s="9"/>
      <x:c r="G289" s="9"/>
      <x:c r="H289" s="9"/>
    </x:row>
    <x:row r="290" ht="14.25" customHeight="1">
      <x:c r="A290" s="9"/>
      <x:c r="B290" s="9"/>
      <x:c r="C290" s="9"/>
      <x:c r="D290" s="9"/>
      <x:c r="E290" s="9"/>
      <x:c r="F290" s="9"/>
      <x:c r="G290" s="9"/>
      <x:c r="H290" s="9"/>
    </x:row>
    <x:row r="291" ht="14.25" customHeight="1">
      <x:c r="A291" s="9"/>
      <x:c r="B291" s="9"/>
      <x:c r="C291" s="9"/>
      <x:c r="D291" s="9"/>
      <x:c r="E291" s="9"/>
      <x:c r="F291" s="9"/>
      <x:c r="G291" s="9"/>
      <x:c r="H291" s="9"/>
    </x:row>
    <x:row r="292" ht="14.25" customHeight="1">
      <x:c r="A292" s="9"/>
      <x:c r="B292" s="9"/>
      <x:c r="C292" s="9"/>
      <x:c r="D292" s="9"/>
      <x:c r="E292" s="9"/>
      <x:c r="F292" s="9"/>
      <x:c r="G292" s="9"/>
      <x:c r="H292" s="9"/>
    </x:row>
    <x:row r="293" ht="14.25" customHeight="1">
      <x:c r="A293" s="9"/>
      <x:c r="B293" s="9"/>
      <x:c r="C293" s="9"/>
      <x:c r="D293" s="9"/>
      <x:c r="E293" s="9"/>
      <x:c r="F293" s="9"/>
      <x:c r="G293" s="9"/>
      <x:c r="H293" s="9"/>
    </x:row>
    <x:row r="294" ht="14.25" customHeight="1">
      <x:c r="A294" s="9"/>
      <x:c r="B294" s="9"/>
      <x:c r="C294" s="9"/>
      <x:c r="D294" s="9"/>
      <x:c r="E294" s="9"/>
      <x:c r="F294" s="9"/>
      <x:c r="G294" s="9"/>
      <x:c r="H294" s="9"/>
    </x:row>
    <x:row r="295" ht="14.25" customHeight="1">
      <x:c r="A295" s="9"/>
      <x:c r="B295" s="9"/>
      <x:c r="C295" s="9"/>
      <x:c r="D295" s="9"/>
      <x:c r="E295" s="9"/>
      <x:c r="F295" s="9"/>
      <x:c r="G295" s="9"/>
      <x:c r="H295" s="9"/>
    </x:row>
    <x:row r="296" ht="14.25" customHeight="1">
      <x:c r="A296" s="9"/>
      <x:c r="B296" s="9"/>
      <x:c r="C296" s="9"/>
      <x:c r="D296" s="9"/>
      <x:c r="E296" s="9"/>
      <x:c r="F296" s="9"/>
      <x:c r="G296" s="9"/>
      <x:c r="H296" s="9"/>
    </x:row>
    <x:row r="297" ht="14.25" customHeight="1">
      <x:c r="A297" s="9"/>
      <x:c r="B297" s="9"/>
      <x:c r="C297" s="9"/>
      <x:c r="D297" s="9"/>
      <x:c r="E297" s="9"/>
      <x:c r="F297" s="9"/>
      <x:c r="G297" s="9"/>
      <x:c r="H297" s="9"/>
    </x:row>
    <x:row r="298" ht="14.25" customHeight="1">
      <x:c r="A298" s="9"/>
      <x:c r="B298" s="9"/>
      <x:c r="C298" s="9"/>
      <x:c r="D298" s="9"/>
      <x:c r="E298" s="9"/>
      <x:c r="F298" s="9"/>
      <x:c r="G298" s="9"/>
      <x:c r="H298" s="9"/>
    </x:row>
    <x:row r="299" ht="14.25" customHeight="1">
      <x:c r="A299" s="9"/>
      <x:c r="B299" s="9"/>
      <x:c r="C299" s="9"/>
      <x:c r="D299" s="9"/>
      <x:c r="E299" s="9"/>
      <x:c r="F299" s="9"/>
      <x:c r="G299" s="9"/>
      <x:c r="H299" s="9"/>
    </x:row>
    <x:row r="300" ht="14.25" customHeight="1">
      <x:c r="A300" s="9"/>
      <x:c r="B300" s="9"/>
      <x:c r="C300" s="9"/>
      <x:c r="D300" s="9"/>
      <x:c r="E300" s="9"/>
      <x:c r="F300" s="9"/>
      <x:c r="G300" s="9"/>
      <x:c r="H300" s="9"/>
    </x:row>
    <x:row r="301" ht="14.25" customHeight="1">
      <x:c r="A301" s="9"/>
      <x:c r="B301" s="9"/>
      <x:c r="C301" s="9"/>
      <x:c r="D301" s="9"/>
      <x:c r="E301" s="9"/>
      <x:c r="F301" s="9"/>
      <x:c r="G301" s="9"/>
      <x:c r="H301" s="9"/>
    </x:row>
    <x:row r="302" ht="14.25" customHeight="1">
      <x:c r="A302" s="9"/>
      <x:c r="B302" s="9"/>
      <x:c r="C302" s="9"/>
      <x:c r="D302" s="9"/>
      <x:c r="E302" s="9"/>
      <x:c r="F302" s="9"/>
      <x:c r="G302" s="9"/>
      <x:c r="H302" s="9"/>
    </x:row>
    <x:row r="303" ht="14.25" customHeight="1">
      <x:c r="A303" s="9"/>
      <x:c r="B303" s="9"/>
      <x:c r="C303" s="9"/>
      <x:c r="D303" s="9"/>
      <x:c r="E303" s="9"/>
      <x:c r="F303" s="9"/>
      <x:c r="G303" s="9"/>
      <x:c r="H303" s="9"/>
    </x:row>
    <x:row r="304" ht="14.25" customHeight="1">
      <x:c r="A304" s="9"/>
      <x:c r="B304" s="9"/>
      <x:c r="C304" s="9"/>
      <x:c r="D304" s="9"/>
      <x:c r="E304" s="9"/>
      <x:c r="F304" s="9"/>
      <x:c r="G304" s="9"/>
      <x:c r="H304" s="9"/>
    </x:row>
    <x:row r="305" ht="14.25" customHeight="1">
      <x:c r="A305" s="9"/>
      <x:c r="B305" s="9"/>
      <x:c r="C305" s="9"/>
      <x:c r="D305" s="9"/>
      <x:c r="E305" s="9"/>
      <x:c r="F305" s="9"/>
      <x:c r="G305" s="9"/>
      <x:c r="H305" s="9"/>
    </x:row>
    <x:row r="306" ht="14.25" customHeight="1">
      <x:c r="A306" s="9"/>
      <x:c r="B306" s="9"/>
      <x:c r="C306" s="9"/>
      <x:c r="D306" s="9"/>
      <x:c r="E306" s="9"/>
      <x:c r="F306" s="9"/>
      <x:c r="G306" s="9"/>
      <x:c r="H306" s="9"/>
    </x:row>
    <x:row r="307" ht="14.25" customHeight="1">
      <x:c r="A307" s="9"/>
      <x:c r="B307" s="9"/>
      <x:c r="C307" s="9"/>
      <x:c r="D307" s="9"/>
      <x:c r="E307" s="9"/>
      <x:c r="F307" s="9"/>
      <x:c r="G307" s="9"/>
      <x:c r="H307" s="9"/>
    </x:row>
    <x:row r="308" ht="14.25" customHeight="1">
      <x:c r="A308" s="9"/>
      <x:c r="B308" s="9"/>
      <x:c r="C308" s="9"/>
      <x:c r="D308" s="9"/>
      <x:c r="E308" s="9"/>
      <x:c r="F308" s="9"/>
      <x:c r="G308" s="9"/>
      <x:c r="H308" s="9"/>
    </x:row>
    <x:row r="309" ht="14.25" customHeight="1">
      <x:c r="A309" s="9"/>
      <x:c r="B309" s="9"/>
      <x:c r="C309" s="9"/>
      <x:c r="D309" s="9"/>
      <x:c r="E309" s="9"/>
      <x:c r="F309" s="9"/>
      <x:c r="G309" s="9"/>
      <x:c r="H309" s="9"/>
    </x:row>
    <x:row r="310" ht="14.25" customHeight="1">
      <x:c r="A310" s="9"/>
      <x:c r="B310" s="9"/>
      <x:c r="C310" s="9"/>
      <x:c r="D310" s="9"/>
      <x:c r="E310" s="9"/>
      <x:c r="F310" s="9"/>
      <x:c r="G310" s="9"/>
      <x:c r="H310" s="9"/>
    </x:row>
    <x:row r="311" ht="14.25" customHeight="1">
      <x:c r="A311" s="9"/>
      <x:c r="B311" s="9"/>
      <x:c r="C311" s="9"/>
      <x:c r="D311" s="9"/>
      <x:c r="E311" s="9"/>
      <x:c r="F311" s="9"/>
      <x:c r="G311" s="9"/>
      <x:c r="H311" s="9"/>
    </x:row>
    <x:row r="312" ht="14.25" customHeight="1">
      <x:c r="A312" s="9"/>
      <x:c r="B312" s="9"/>
      <x:c r="C312" s="9"/>
      <x:c r="D312" s="9"/>
      <x:c r="E312" s="9"/>
      <x:c r="F312" s="9"/>
      <x:c r="G312" s="9"/>
      <x:c r="H312" s="9"/>
    </x:row>
    <x:row r="313" ht="14.25" customHeight="1">
      <x:c r="A313" s="9"/>
      <x:c r="B313" s="9"/>
      <x:c r="C313" s="9"/>
      <x:c r="D313" s="9"/>
      <x:c r="E313" s="9"/>
      <x:c r="F313" s="9"/>
      <x:c r="G313" s="9"/>
      <x:c r="H313" s="9"/>
    </x:row>
    <x:row r="314" ht="14.25" customHeight="1">
      <x:c r="A314" s="9"/>
      <x:c r="B314" s="9"/>
      <x:c r="C314" s="9"/>
      <x:c r="D314" s="9"/>
      <x:c r="E314" s="9"/>
      <x:c r="F314" s="9"/>
      <x:c r="G314" s="9"/>
      <x:c r="H314" s="9"/>
    </x:row>
    <x:row r="315" ht="14.25" customHeight="1">
      <x:c r="A315" s="9"/>
      <x:c r="B315" s="9"/>
      <x:c r="C315" s="9"/>
      <x:c r="D315" s="9"/>
      <x:c r="E315" s="9"/>
      <x:c r="F315" s="9"/>
      <x:c r="G315" s="9"/>
      <x:c r="H315" s="9"/>
    </x:row>
    <x:row r="316" ht="14.25" customHeight="1">
      <x:c r="A316" s="9"/>
      <x:c r="B316" s="9"/>
      <x:c r="C316" s="9"/>
      <x:c r="D316" s="9"/>
      <x:c r="E316" s="9"/>
      <x:c r="F316" s="9"/>
      <x:c r="G316" s="9"/>
      <x:c r="H316" s="9"/>
    </x:row>
    <x:row r="317" ht="14.25" customHeight="1">
      <x:c r="A317" s="9"/>
      <x:c r="B317" s="9"/>
      <x:c r="C317" s="9"/>
      <x:c r="D317" s="9"/>
      <x:c r="E317" s="9"/>
      <x:c r="F317" s="9"/>
      <x:c r="G317" s="9"/>
      <x:c r="H317" s="9"/>
    </x:row>
    <x:row r="318" ht="14.25" customHeight="1">
      <x:c r="A318" s="9"/>
      <x:c r="B318" s="9"/>
      <x:c r="C318" s="9"/>
      <x:c r="D318" s="9"/>
      <x:c r="E318" s="9"/>
      <x:c r="F318" s="9"/>
      <x:c r="G318" s="9"/>
      <x:c r="H318" s="9"/>
    </x:row>
    <x:row r="319" ht="14.25" customHeight="1">
      <x:c r="A319" s="9"/>
      <x:c r="B319" s="9"/>
      <x:c r="C319" s="9"/>
      <x:c r="D319" s="9"/>
      <x:c r="E319" s="9"/>
      <x:c r="F319" s="9"/>
      <x:c r="G319" s="9"/>
      <x:c r="H319" s="9"/>
    </x:row>
    <x:row r="320" ht="14.25" customHeight="1">
      <x:c r="A320" s="9"/>
      <x:c r="B320" s="9"/>
      <x:c r="C320" s="9"/>
      <x:c r="D320" s="9"/>
      <x:c r="E320" s="9"/>
      <x:c r="F320" s="9"/>
      <x:c r="G320" s="9"/>
      <x:c r="H320" s="9"/>
    </x:row>
    <x:row r="321" ht="14.25" customHeight="1">
      <x:c r="A321" s="9"/>
      <x:c r="B321" s="9"/>
      <x:c r="C321" s="9"/>
      <x:c r="D321" s="9"/>
      <x:c r="E321" s="9"/>
      <x:c r="F321" s="9"/>
      <x:c r="G321" s="9"/>
      <x:c r="H321" s="9"/>
    </x:row>
    <x:row r="322" ht="14.25" customHeight="1">
      <x:c r="A322" s="9"/>
      <x:c r="B322" s="9"/>
      <x:c r="C322" s="9"/>
      <x:c r="D322" s="9"/>
      <x:c r="E322" s="9"/>
      <x:c r="F322" s="9"/>
      <x:c r="G322" s="9"/>
      <x:c r="H322" s="9"/>
    </x:row>
    <x:row r="323" ht="14.25" customHeight="1">
      <x:c r="A323" s="9"/>
      <x:c r="B323" s="9"/>
      <x:c r="C323" s="9"/>
      <x:c r="D323" s="9"/>
      <x:c r="E323" s="9"/>
      <x:c r="F323" s="9"/>
      <x:c r="G323" s="9"/>
      <x:c r="H323" s="9"/>
    </x:row>
    <x:row r="324" ht="14.25" customHeight="1">
      <x:c r="A324" s="9"/>
      <x:c r="B324" s="9"/>
      <x:c r="C324" s="9"/>
      <x:c r="D324" s="9"/>
      <x:c r="E324" s="9"/>
      <x:c r="F324" s="9"/>
      <x:c r="G324" s="9"/>
      <x:c r="H324" s="9"/>
    </x:row>
    <x:row r="325" ht="14.25" customHeight="1">
      <x:c r="A325" s="9"/>
      <x:c r="B325" s="9"/>
      <x:c r="C325" s="9"/>
      <x:c r="D325" s="9"/>
      <x:c r="E325" s="9"/>
      <x:c r="F325" s="9"/>
      <x:c r="G325" s="9"/>
      <x:c r="H325" s="9"/>
    </x:row>
    <x:row r="326" ht="14.25" customHeight="1">
      <x:c r="A326" s="9"/>
      <x:c r="B326" s="9"/>
      <x:c r="C326" s="9"/>
      <x:c r="D326" s="9"/>
      <x:c r="E326" s="9"/>
      <x:c r="F326" s="9"/>
      <x:c r="G326" s="9"/>
      <x:c r="H326" s="9"/>
    </x:row>
    <x:row r="327" ht="14.25" customHeight="1">
      <x:c r="A327" s="9"/>
      <x:c r="B327" s="9"/>
      <x:c r="C327" s="9"/>
      <x:c r="D327" s="9"/>
      <x:c r="E327" s="9"/>
      <x:c r="F327" s="9"/>
      <x:c r="G327" s="9"/>
      <x:c r="H327" s="9"/>
    </x:row>
    <x:row r="328" ht="14.25" customHeight="1">
      <x:c r="A328" s="9"/>
      <x:c r="B328" s="9"/>
      <x:c r="C328" s="9"/>
      <x:c r="D328" s="9"/>
      <x:c r="E328" s="9"/>
      <x:c r="F328" s="9"/>
      <x:c r="G328" s="9"/>
      <x:c r="H328" s="9"/>
    </x:row>
    <x:row r="329" ht="14.25" customHeight="1">
      <x:c r="A329" s="9"/>
      <x:c r="B329" s="9"/>
      <x:c r="C329" s="9"/>
      <x:c r="D329" s="9"/>
      <x:c r="E329" s="9"/>
      <x:c r="F329" s="9"/>
      <x:c r="G329" s="9"/>
      <x:c r="H329" s="9"/>
    </x:row>
    <x:row r="330" ht="14.25" customHeight="1">
      <x:c r="A330" s="9"/>
      <x:c r="B330" s="9"/>
      <x:c r="C330" s="9"/>
      <x:c r="D330" s="9"/>
      <x:c r="E330" s="9"/>
      <x:c r="F330" s="9"/>
      <x:c r="G330" s="9"/>
      <x:c r="H330" s="9"/>
    </x:row>
    <x:row r="331" ht="14.25" customHeight="1">
      <x:c r="A331" s="9"/>
      <x:c r="B331" s="9"/>
      <x:c r="C331" s="9"/>
      <x:c r="D331" s="9"/>
      <x:c r="E331" s="9"/>
      <x:c r="F331" s="9"/>
      <x:c r="G331" s="9"/>
      <x:c r="H331" s="9"/>
    </x:row>
    <x:row r="332" ht="14.25" customHeight="1">
      <x:c r="A332" s="9"/>
      <x:c r="B332" s="9"/>
      <x:c r="C332" s="9"/>
      <x:c r="D332" s="9"/>
      <x:c r="E332" s="9"/>
      <x:c r="F332" s="9"/>
      <x:c r="G332" s="9"/>
      <x:c r="H332" s="9"/>
    </x:row>
    <x:row r="333" ht="14.25" customHeight="1">
      <x:c r="A333" s="9"/>
      <x:c r="B333" s="9"/>
      <x:c r="C333" s="9"/>
      <x:c r="D333" s="9"/>
      <x:c r="E333" s="9"/>
      <x:c r="F333" s="9"/>
      <x:c r="G333" s="9"/>
      <x:c r="H333" s="9"/>
    </x:row>
    <x:row r="334" ht="14.25" customHeight="1">
      <x:c r="A334" s="9"/>
      <x:c r="B334" s="9"/>
      <x:c r="C334" s="9"/>
      <x:c r="D334" s="9"/>
      <x:c r="E334" s="9"/>
      <x:c r="F334" s="9"/>
      <x:c r="G334" s="9"/>
      <x:c r="H334" s="9"/>
    </x:row>
    <x:row r="335" ht="14.25" customHeight="1">
      <x:c r="A335" s="9"/>
      <x:c r="B335" s="9"/>
      <x:c r="C335" s="9"/>
      <x:c r="D335" s="9"/>
      <x:c r="E335" s="9"/>
      <x:c r="F335" s="9"/>
      <x:c r="G335" s="9"/>
      <x:c r="H335" s="9"/>
    </x:row>
    <x:row r="336" ht="14.25" customHeight="1">
      <x:c r="A336" s="9"/>
      <x:c r="B336" s="9"/>
      <x:c r="C336" s="9"/>
      <x:c r="D336" s="9"/>
      <x:c r="E336" s="9"/>
      <x:c r="F336" s="9"/>
      <x:c r="G336" s="9"/>
      <x:c r="H336" s="9"/>
    </x:row>
    <x:row r="337" ht="14.25" customHeight="1">
      <x:c r="A337" s="9"/>
      <x:c r="B337" s="9"/>
      <x:c r="C337" s="9"/>
      <x:c r="D337" s="9"/>
      <x:c r="E337" s="9"/>
      <x:c r="F337" s="9"/>
      <x:c r="G337" s="9"/>
      <x:c r="H337" s="9"/>
    </x:row>
    <x:row r="338" ht="14.25" customHeight="1">
      <x:c r="A338" s="9"/>
      <x:c r="B338" s="9"/>
      <x:c r="C338" s="9"/>
      <x:c r="D338" s="9"/>
      <x:c r="E338" s="9"/>
      <x:c r="F338" s="9"/>
      <x:c r="G338" s="9"/>
      <x:c r="H338" s="9"/>
    </x:row>
    <x:row r="339" ht="14.25" customHeight="1">
      <x:c r="A339" s="9"/>
      <x:c r="B339" s="9"/>
      <x:c r="C339" s="9"/>
      <x:c r="D339" s="9"/>
      <x:c r="E339" s="9"/>
      <x:c r="F339" s="9"/>
      <x:c r="G339" s="9"/>
      <x:c r="H339" s="9"/>
    </x:row>
    <x:row r="340" ht="14.25" customHeight="1">
      <x:c r="A340" s="9"/>
      <x:c r="B340" s="9"/>
      <x:c r="C340" s="9"/>
      <x:c r="D340" s="9"/>
      <x:c r="E340" s="9"/>
      <x:c r="F340" s="9"/>
      <x:c r="G340" s="9"/>
      <x:c r="H340" s="9"/>
    </x:row>
    <x:row r="341" ht="14.25" customHeight="1">
      <x:c r="A341" s="9"/>
      <x:c r="B341" s="9"/>
      <x:c r="C341" s="9"/>
      <x:c r="D341" s="9"/>
      <x:c r="E341" s="9"/>
      <x:c r="F341" s="9"/>
      <x:c r="G341" s="9"/>
      <x:c r="H341" s="9"/>
    </x:row>
    <x:row r="342" ht="14.25" customHeight="1">
      <x:c r="A342" s="9"/>
      <x:c r="B342" s="9"/>
      <x:c r="C342" s="9"/>
      <x:c r="D342" s="9"/>
      <x:c r="E342" s="9"/>
      <x:c r="F342" s="9"/>
      <x:c r="G342" s="9"/>
      <x:c r="H342" s="9"/>
    </x:row>
    <x:row r="343" ht="14.25" customHeight="1">
      <x:c r="A343" s="9"/>
      <x:c r="B343" s="9"/>
      <x:c r="C343" s="9"/>
      <x:c r="D343" s="9"/>
      <x:c r="E343" s="9"/>
      <x:c r="F343" s="9"/>
      <x:c r="G343" s="9"/>
      <x:c r="H343" s="9"/>
    </x:row>
    <x:row r="344" ht="14.25" customHeight="1">
      <x:c r="A344" s="9"/>
      <x:c r="B344" s="9"/>
      <x:c r="C344" s="9"/>
      <x:c r="D344" s="9"/>
      <x:c r="E344" s="9"/>
      <x:c r="F344" s="9"/>
      <x:c r="G344" s="9"/>
      <x:c r="H344" s="9"/>
    </x:row>
    <x:row r="345" ht="14.25" customHeight="1">
      <x:c r="A345" s="9"/>
      <x:c r="B345" s="9"/>
      <x:c r="C345" s="9"/>
      <x:c r="D345" s="9"/>
      <x:c r="E345" s="9"/>
      <x:c r="F345" s="9"/>
      <x:c r="G345" s="9"/>
      <x:c r="H345" s="9"/>
    </x:row>
    <x:row r="346" ht="14.25" customHeight="1">
      <x:c r="A346" s="9"/>
      <x:c r="B346" s="9"/>
      <x:c r="C346" s="9"/>
      <x:c r="D346" s="9"/>
      <x:c r="E346" s="9"/>
      <x:c r="F346" s="9"/>
      <x:c r="G346" s="9"/>
      <x:c r="H346" s="9"/>
    </x:row>
    <x:row r="347" ht="14.25" customHeight="1">
      <x:c r="A347" s="9"/>
      <x:c r="B347" s="9"/>
      <x:c r="C347" s="9"/>
      <x:c r="D347" s="9"/>
      <x:c r="E347" s="9"/>
      <x:c r="F347" s="9"/>
      <x:c r="G347" s="9"/>
      <x:c r="H347" s="9"/>
    </x:row>
    <x:row r="348" ht="14.25" customHeight="1">
      <x:c r="A348" s="9"/>
      <x:c r="B348" s="9"/>
      <x:c r="C348" s="9"/>
      <x:c r="D348" s="9"/>
      <x:c r="E348" s="9"/>
      <x:c r="F348" s="9"/>
      <x:c r="G348" s="9"/>
      <x:c r="H348" s="9"/>
    </x:row>
    <x:row r="349" ht="14.25" customHeight="1">
      <x:c r="A349" s="9"/>
      <x:c r="B349" s="9"/>
      <x:c r="C349" s="9"/>
      <x:c r="D349" s="9"/>
      <x:c r="E349" s="9"/>
      <x:c r="F349" s="9"/>
      <x:c r="G349" s="9"/>
      <x:c r="H349" s="9"/>
    </x:row>
    <x:row r="350" ht="14.25" customHeight="1">
      <x:c r="A350" s="9"/>
      <x:c r="B350" s="9"/>
      <x:c r="C350" s="9"/>
      <x:c r="D350" s="9"/>
      <x:c r="E350" s="9"/>
      <x:c r="F350" s="9"/>
      <x:c r="G350" s="9"/>
      <x:c r="H350" s="9"/>
    </x:row>
    <x:row r="351" ht="14.25" customHeight="1">
      <x:c r="A351" s="9"/>
      <x:c r="B351" s="9"/>
      <x:c r="C351" s="9"/>
      <x:c r="D351" s="9"/>
      <x:c r="E351" s="9"/>
      <x:c r="F351" s="9"/>
      <x:c r="G351" s="9"/>
      <x:c r="H351" s="9"/>
    </x:row>
    <x:row r="352" ht="14.25" customHeight="1">
      <x:c r="A352" s="9"/>
      <x:c r="B352" s="9"/>
      <x:c r="C352" s="9"/>
      <x:c r="D352" s="9"/>
      <x:c r="E352" s="9"/>
      <x:c r="F352" s="9"/>
      <x:c r="G352" s="9"/>
      <x:c r="H352" s="9"/>
    </x:row>
    <x:row r="353" ht="14.25" customHeight="1">
      <x:c r="A353" s="9"/>
      <x:c r="B353" s="9"/>
      <x:c r="C353" s="9"/>
      <x:c r="D353" s="9"/>
      <x:c r="E353" s="9"/>
      <x:c r="F353" s="9"/>
      <x:c r="G353" s="9"/>
      <x:c r="H353" s="9"/>
    </x:row>
    <x:row r="354" ht="14.25" customHeight="1">
      <x:c r="A354" s="9"/>
      <x:c r="B354" s="9"/>
      <x:c r="C354" s="9"/>
      <x:c r="D354" s="9"/>
      <x:c r="E354" s="9"/>
      <x:c r="F354" s="9"/>
      <x:c r="G354" s="9"/>
      <x:c r="H354" s="9"/>
    </x:row>
    <x:row r="355" ht="14.25" customHeight="1">
      <x:c r="A355" s="9"/>
      <x:c r="B355" s="9"/>
      <x:c r="C355" s="9"/>
      <x:c r="D355" s="9"/>
      <x:c r="E355" s="9"/>
      <x:c r="F355" s="9"/>
      <x:c r="G355" s="9"/>
      <x:c r="H355" s="9"/>
    </x:row>
    <x:row r="356" ht="14.25" customHeight="1">
      <x:c r="A356" s="9"/>
      <x:c r="B356" s="9"/>
      <x:c r="C356" s="9"/>
      <x:c r="D356" s="9"/>
      <x:c r="E356" s="9"/>
      <x:c r="F356" s="9"/>
      <x:c r="G356" s="9"/>
      <x:c r="H356" s="9"/>
    </x:row>
    <x:row r="357" ht="14.25" customHeight="1">
      <x:c r="A357" s="9"/>
      <x:c r="B357" s="9"/>
      <x:c r="C357" s="9"/>
      <x:c r="D357" s="9"/>
      <x:c r="E357" s="9"/>
      <x:c r="F357" s="9"/>
      <x:c r="G357" s="9"/>
      <x:c r="H357" s="9"/>
    </x:row>
    <x:row r="358" ht="14.25" customHeight="1">
      <x:c r="A358" s="9"/>
      <x:c r="B358" s="9"/>
      <x:c r="C358" s="9"/>
      <x:c r="D358" s="9"/>
      <x:c r="E358" s="9"/>
      <x:c r="F358" s="9"/>
      <x:c r="G358" s="9"/>
      <x:c r="H358" s="9"/>
    </x:row>
    <x:row r="359" ht="14.25" customHeight="1">
      <x:c r="A359" s="9"/>
      <x:c r="B359" s="9"/>
      <x:c r="C359" s="9"/>
      <x:c r="D359" s="9"/>
      <x:c r="E359" s="9"/>
      <x:c r="F359" s="9"/>
      <x:c r="G359" s="9"/>
      <x:c r="H359" s="9"/>
    </x:row>
    <x:row r="360" ht="14.25" customHeight="1">
      <x:c r="A360" s="9"/>
      <x:c r="B360" s="9"/>
      <x:c r="C360" s="9"/>
      <x:c r="D360" s="9"/>
      <x:c r="E360" s="9"/>
      <x:c r="F360" s="9"/>
      <x:c r="G360" s="9"/>
      <x:c r="H360" s="9"/>
    </x:row>
    <x:row r="361" ht="14.25" customHeight="1">
      <x:c r="A361" s="9"/>
      <x:c r="B361" s="9"/>
      <x:c r="C361" s="9"/>
      <x:c r="D361" s="9"/>
      <x:c r="E361" s="9"/>
      <x:c r="F361" s="9"/>
      <x:c r="G361" s="9"/>
      <x:c r="H361" s="9"/>
    </x:row>
    <x:row r="362" ht="14.25" customHeight="1">
      <x:c r="A362" s="9"/>
      <x:c r="B362" s="9"/>
      <x:c r="C362" s="9"/>
      <x:c r="D362" s="9"/>
      <x:c r="E362" s="9"/>
      <x:c r="F362" s="9"/>
      <x:c r="G362" s="9"/>
      <x:c r="H362" s="9"/>
    </x:row>
    <x:row r="363" ht="14.25" customHeight="1">
      <x:c r="A363" s="9"/>
      <x:c r="B363" s="9"/>
      <x:c r="C363" s="9"/>
      <x:c r="D363" s="9"/>
      <x:c r="E363" s="9"/>
      <x:c r="F363" s="9"/>
      <x:c r="G363" s="9"/>
      <x:c r="H363" s="9"/>
    </x:row>
    <x:row r="364" ht="14.25" customHeight="1">
      <x:c r="A364" s="9"/>
      <x:c r="B364" s="9"/>
      <x:c r="C364" s="9"/>
      <x:c r="D364" s="9"/>
      <x:c r="E364" s="9"/>
      <x:c r="F364" s="9"/>
      <x:c r="G364" s="9"/>
      <x:c r="H364" s="9"/>
    </x:row>
    <x:row r="365" ht="14.25" customHeight="1">
      <x:c r="A365" s="9"/>
      <x:c r="B365" s="9"/>
      <x:c r="C365" s="9"/>
      <x:c r="D365" s="9"/>
      <x:c r="E365" s="9"/>
      <x:c r="F365" s="9"/>
      <x:c r="G365" s="9"/>
      <x:c r="H365" s="9"/>
    </x:row>
    <x:row r="366" ht="14.25" customHeight="1">
      <x:c r="A366" s="9"/>
      <x:c r="B366" s="9"/>
      <x:c r="C366" s="9"/>
      <x:c r="D366" s="9"/>
      <x:c r="E366" s="9"/>
      <x:c r="F366" s="9"/>
      <x:c r="G366" s="9"/>
      <x:c r="H366" s="9"/>
    </x:row>
    <x:row r="367" ht="14.25" customHeight="1">
      <x:c r="A367" s="9"/>
      <x:c r="B367" s="9"/>
      <x:c r="C367" s="9"/>
      <x:c r="D367" s="9"/>
      <x:c r="E367" s="9"/>
      <x:c r="F367" s="9"/>
      <x:c r="G367" s="9"/>
      <x:c r="H367" s="9"/>
    </x:row>
    <x:row r="368" ht="14.25" customHeight="1">
      <x:c r="A368" s="9"/>
      <x:c r="B368" s="9"/>
      <x:c r="C368" s="9"/>
      <x:c r="D368" s="9"/>
      <x:c r="E368" s="9"/>
      <x:c r="F368" s="9"/>
      <x:c r="G368" s="9"/>
      <x:c r="H368" s="9"/>
    </x:row>
    <x:row r="369" ht="14.25" customHeight="1">
      <x:c r="A369" s="9"/>
      <x:c r="B369" s="9"/>
      <x:c r="C369" s="9"/>
      <x:c r="D369" s="9"/>
      <x:c r="E369" s="9"/>
      <x:c r="F369" s="9"/>
      <x:c r="G369" s="9"/>
      <x:c r="H369" s="9"/>
    </x:row>
    <x:row r="370" ht="14.25" customHeight="1">
      <x:c r="A370" s="9"/>
      <x:c r="B370" s="9"/>
      <x:c r="C370" s="9"/>
      <x:c r="D370" s="9"/>
      <x:c r="E370" s="9"/>
      <x:c r="F370" s="9"/>
      <x:c r="G370" s="9"/>
      <x:c r="H370" s="9"/>
    </x:row>
    <x:row r="371" ht="14.25" customHeight="1">
      <x:c r="A371" s="9"/>
      <x:c r="B371" s="9"/>
      <x:c r="C371" s="9"/>
      <x:c r="D371" s="9"/>
      <x:c r="E371" s="9"/>
      <x:c r="F371" s="9"/>
      <x:c r="G371" s="9"/>
      <x:c r="H371" s="9"/>
    </x:row>
    <x:row r="372" ht="14.25" customHeight="1">
      <x:c r="A372" s="9"/>
      <x:c r="B372" s="9"/>
      <x:c r="C372" s="9"/>
      <x:c r="D372" s="9"/>
      <x:c r="E372" s="9"/>
      <x:c r="F372" s="9"/>
      <x:c r="G372" s="9"/>
      <x:c r="H372" s="9"/>
    </x:row>
    <x:row r="373" ht="14.25" customHeight="1">
      <x:c r="A373" s="9"/>
      <x:c r="B373" s="9"/>
      <x:c r="C373" s="9"/>
      <x:c r="D373" s="9"/>
      <x:c r="E373" s="9"/>
      <x:c r="F373" s="9"/>
      <x:c r="G373" s="9"/>
      <x:c r="H373" s="9"/>
    </x:row>
    <x:row r="374" ht="14.25" customHeight="1">
      <x:c r="A374" s="9"/>
      <x:c r="B374" s="9"/>
      <x:c r="C374" s="9"/>
      <x:c r="D374" s="9"/>
      <x:c r="E374" s="9"/>
      <x:c r="F374" s="9"/>
      <x:c r="G374" s="9"/>
      <x:c r="H374" s="9"/>
    </x:row>
    <x:row r="375" ht="14.25" customHeight="1">
      <x:c r="A375" s="9"/>
      <x:c r="B375" s="9"/>
      <x:c r="C375" s="9"/>
      <x:c r="D375" s="9"/>
      <x:c r="E375" s="9"/>
      <x:c r="F375" s="9"/>
      <x:c r="G375" s="9"/>
      <x:c r="H375" s="9"/>
    </x:row>
    <x:row r="376" ht="14.25" customHeight="1">
      <x:c r="A376" s="9"/>
      <x:c r="B376" s="9"/>
      <x:c r="C376" s="9"/>
      <x:c r="D376" s="9"/>
      <x:c r="E376" s="9"/>
      <x:c r="F376" s="9"/>
      <x:c r="G376" s="9"/>
      <x:c r="H376" s="9"/>
    </x:row>
    <x:row r="377" ht="14.25" customHeight="1">
      <x:c r="A377" s="9"/>
      <x:c r="B377" s="9"/>
      <x:c r="C377" s="9"/>
      <x:c r="D377" s="9"/>
      <x:c r="E377" s="9"/>
      <x:c r="F377" s="9"/>
      <x:c r="G377" s="9"/>
      <x:c r="H377" s="9"/>
    </x:row>
    <x:row r="378" ht="14.25" customHeight="1">
      <x:c r="A378" s="9"/>
      <x:c r="B378" s="9"/>
      <x:c r="C378" s="9"/>
      <x:c r="D378" s="9"/>
      <x:c r="E378" s="9"/>
      <x:c r="F378" s="9"/>
      <x:c r="G378" s="9"/>
      <x:c r="H378" s="9"/>
    </x:row>
    <x:row r="379" ht="14.25" customHeight="1">
      <x:c r="A379" s="9"/>
      <x:c r="B379" s="9"/>
      <x:c r="C379" s="9"/>
      <x:c r="D379" s="9"/>
      <x:c r="E379" s="9"/>
      <x:c r="F379" s="9"/>
      <x:c r="G379" s="9"/>
      <x:c r="H379" s="9"/>
    </x:row>
    <x:row r="380" ht="14.25" customHeight="1">
      <x:c r="A380" s="9"/>
      <x:c r="B380" s="9"/>
      <x:c r="C380" s="9"/>
      <x:c r="D380" s="9"/>
      <x:c r="E380" s="9"/>
      <x:c r="F380" s="9"/>
      <x:c r="G380" s="9"/>
      <x:c r="H380" s="9"/>
    </x:row>
    <x:row r="381" ht="14.25" customHeight="1">
      <x:c r="A381" s="9"/>
      <x:c r="B381" s="9"/>
      <x:c r="C381" s="9"/>
      <x:c r="D381" s="9"/>
      <x:c r="E381" s="9"/>
      <x:c r="F381" s="9"/>
      <x:c r="G381" s="9"/>
      <x:c r="H381" s="9"/>
    </x:row>
    <x:row r="382" ht="14.25" customHeight="1">
      <x:c r="A382" s="9"/>
      <x:c r="B382" s="9"/>
      <x:c r="C382" s="9"/>
      <x:c r="D382" s="9"/>
      <x:c r="E382" s="9"/>
      <x:c r="F382" s="9"/>
      <x:c r="G382" s="9"/>
      <x:c r="H382" s="9"/>
    </x:row>
    <x:row r="383" ht="14.25" customHeight="1">
      <x:c r="A383" s="9"/>
      <x:c r="B383" s="9"/>
      <x:c r="C383" s="9"/>
      <x:c r="D383" s="9"/>
      <x:c r="E383" s="9"/>
      <x:c r="F383" s="9"/>
      <x:c r="G383" s="9"/>
      <x:c r="H383" s="9"/>
    </x:row>
    <x:row r="384" ht="14.25" customHeight="1">
      <x:c r="A384" s="9"/>
      <x:c r="B384" s="9"/>
      <x:c r="C384" s="9"/>
      <x:c r="D384" s="9"/>
      <x:c r="E384" s="9"/>
      <x:c r="F384" s="9"/>
      <x:c r="G384" s="9"/>
      <x:c r="H384" s="9"/>
    </x:row>
    <x:row r="385" ht="14.25" customHeight="1">
      <x:c r="A385" s="9"/>
      <x:c r="B385" s="9"/>
      <x:c r="C385" s="9"/>
      <x:c r="D385" s="9"/>
      <x:c r="E385" s="9"/>
      <x:c r="F385" s="9"/>
      <x:c r="G385" s="9"/>
      <x:c r="H385" s="9"/>
    </x:row>
    <x:row r="386" ht="14.25" customHeight="1">
      <x:c r="A386" s="9"/>
      <x:c r="B386" s="9"/>
      <x:c r="C386" s="9"/>
      <x:c r="D386" s="9"/>
      <x:c r="E386" s="9"/>
      <x:c r="F386" s="9"/>
      <x:c r="G386" s="9"/>
      <x:c r="H386" s="9"/>
    </x:row>
    <x:row r="387" ht="14.25" customHeight="1">
      <x:c r="A387" s="9"/>
      <x:c r="B387" s="9"/>
      <x:c r="C387" s="9"/>
      <x:c r="D387" s="9"/>
      <x:c r="E387" s="9"/>
      <x:c r="F387" s="9"/>
      <x:c r="G387" s="9"/>
      <x:c r="H387" s="9"/>
    </x:row>
    <x:row r="388" ht="14.25" customHeight="1">
      <x:c r="A388" s="9"/>
      <x:c r="B388" s="9"/>
      <x:c r="C388" s="9"/>
      <x:c r="D388" s="9"/>
      <x:c r="E388" s="9"/>
      <x:c r="F388" s="9"/>
      <x:c r="G388" s="9"/>
      <x:c r="H388" s="9"/>
    </x:row>
    <x:row r="389" ht="14.25" customHeight="1">
      <x:c r="A389" s="9"/>
      <x:c r="B389" s="9"/>
      <x:c r="C389" s="9"/>
      <x:c r="D389" s="9"/>
      <x:c r="E389" s="9"/>
      <x:c r="F389" s="9"/>
      <x:c r="G389" s="9"/>
      <x:c r="H389" s="9"/>
    </x:row>
    <x:row r="390" ht="14.25" customHeight="1">
      <x:c r="A390" s="9"/>
      <x:c r="B390" s="9"/>
      <x:c r="C390" s="9"/>
      <x:c r="D390" s="9"/>
      <x:c r="E390" s="9"/>
      <x:c r="F390" s="9"/>
      <x:c r="G390" s="9"/>
      <x:c r="H390" s="9"/>
    </x:row>
    <x:row r="391" ht="14.25" customHeight="1">
      <x:c r="A391" s="9"/>
      <x:c r="B391" s="9"/>
      <x:c r="C391" s="9"/>
      <x:c r="D391" s="9"/>
      <x:c r="E391" s="9"/>
      <x:c r="F391" s="9"/>
      <x:c r="G391" s="9"/>
      <x:c r="H391" s="9"/>
    </x:row>
    <x:row r="392" ht="14.25" customHeight="1">
      <x:c r="A392" s="9"/>
      <x:c r="B392" s="9"/>
      <x:c r="C392" s="9"/>
      <x:c r="D392" s="9"/>
      <x:c r="E392" s="9"/>
      <x:c r="F392" s="9"/>
      <x:c r="G392" s="9"/>
      <x:c r="H392" s="9"/>
    </x:row>
    <x:row r="393" ht="14.25" customHeight="1">
      <x:c r="A393" s="9"/>
      <x:c r="B393" s="9"/>
      <x:c r="C393" s="9"/>
      <x:c r="D393" s="9"/>
      <x:c r="E393" s="9"/>
      <x:c r="F393" s="9"/>
      <x:c r="G393" s="9"/>
      <x:c r="H393" s="9"/>
    </x:row>
    <x:row r="394" ht="14.25" customHeight="1">
      <x:c r="A394" s="9"/>
      <x:c r="B394" s="9"/>
      <x:c r="C394" s="9"/>
      <x:c r="D394" s="9"/>
      <x:c r="E394" s="9"/>
      <x:c r="F394" s="9"/>
      <x:c r="G394" s="9"/>
      <x:c r="H394" s="9"/>
    </x:row>
    <x:row r="395" ht="14.25" customHeight="1">
      <x:c r="A395" s="9"/>
      <x:c r="B395" s="9"/>
      <x:c r="C395" s="9"/>
      <x:c r="D395" s="9"/>
      <x:c r="E395" s="9"/>
      <x:c r="F395" s="9"/>
      <x:c r="G395" s="9"/>
      <x:c r="H395" s="9"/>
    </x:row>
    <x:row r="396" ht="14.25" customHeight="1">
      <x:c r="A396" s="9"/>
      <x:c r="B396" s="9"/>
      <x:c r="C396" s="9"/>
      <x:c r="D396" s="9"/>
      <x:c r="E396" s="9"/>
      <x:c r="F396" s="9"/>
      <x:c r="G396" s="9"/>
      <x:c r="H396" s="9"/>
    </x:row>
    <x:row r="397" ht="14.25" customHeight="1">
      <x:c r="A397" s="9"/>
      <x:c r="B397" s="9"/>
      <x:c r="C397" s="9"/>
      <x:c r="D397" s="9"/>
      <x:c r="E397" s="9"/>
      <x:c r="F397" s="9"/>
      <x:c r="G397" s="9"/>
      <x:c r="H397" s="9"/>
    </x:row>
    <x:row r="398" ht="14.25" customHeight="1">
      <x:c r="A398" s="9"/>
      <x:c r="B398" s="9"/>
      <x:c r="C398" s="9"/>
      <x:c r="D398" s="9"/>
      <x:c r="E398" s="9"/>
      <x:c r="F398" s="9"/>
      <x:c r="G398" s="9"/>
      <x:c r="H398" s="9"/>
    </x:row>
    <x:row r="399" ht="14.25" customHeight="1">
      <x:c r="A399" s="9"/>
      <x:c r="B399" s="9"/>
      <x:c r="C399" s="9"/>
      <x:c r="D399" s="9"/>
      <x:c r="E399" s="9"/>
      <x:c r="F399" s="9"/>
      <x:c r="G399" s="9"/>
      <x:c r="H399" s="9"/>
    </x:row>
    <x:row r="400" ht="14.25" customHeight="1">
      <x:c r="A400" s="9"/>
      <x:c r="B400" s="9"/>
      <x:c r="C400" s="9"/>
      <x:c r="D400" s="9"/>
      <x:c r="E400" s="9"/>
      <x:c r="F400" s="9"/>
      <x:c r="G400" s="9"/>
      <x:c r="H400" s="9"/>
    </x:row>
    <x:row r="401" ht="14.25" customHeight="1">
      <x:c r="A401" s="9"/>
      <x:c r="B401" s="9"/>
      <x:c r="C401" s="9"/>
      <x:c r="D401" s="9"/>
      <x:c r="E401" s="9"/>
      <x:c r="F401" s="9"/>
      <x:c r="G401" s="9"/>
      <x:c r="H401" s="9"/>
    </x:row>
    <x:row r="402" ht="14.25" customHeight="1">
      <x:c r="A402" s="9"/>
      <x:c r="B402" s="9"/>
      <x:c r="C402" s="9"/>
      <x:c r="D402" s="9"/>
      <x:c r="E402" s="9"/>
      <x:c r="F402" s="9"/>
      <x:c r="G402" s="9"/>
      <x:c r="H402" s="9"/>
    </x:row>
    <x:row r="403" ht="14.25" customHeight="1">
      <x:c r="A403" s="9"/>
      <x:c r="B403" s="9"/>
      <x:c r="C403" s="9"/>
      <x:c r="D403" s="9"/>
      <x:c r="E403" s="9"/>
      <x:c r="F403" s="9"/>
      <x:c r="G403" s="9"/>
      <x:c r="H403" s="9"/>
    </x:row>
    <x:row r="404" ht="14.25" customHeight="1">
      <x:c r="A404" s="9"/>
      <x:c r="B404" s="9"/>
      <x:c r="C404" s="9"/>
      <x:c r="D404" s="9"/>
      <x:c r="E404" s="9"/>
      <x:c r="F404" s="9"/>
      <x:c r="G404" s="9"/>
      <x:c r="H404" s="9"/>
    </x:row>
    <x:row r="405" ht="14.25" customHeight="1">
      <x:c r="A405" s="9"/>
      <x:c r="B405" s="9"/>
      <x:c r="C405" s="9"/>
      <x:c r="D405" s="9"/>
      <x:c r="E405" s="9"/>
      <x:c r="F405" s="9"/>
      <x:c r="G405" s="9"/>
      <x:c r="H405" s="9"/>
    </x:row>
    <x:row r="406" ht="14.25" customHeight="1">
      <x:c r="A406" s="9"/>
      <x:c r="B406" s="9"/>
      <x:c r="C406" s="9"/>
      <x:c r="D406" s="9"/>
      <x:c r="E406" s="9"/>
      <x:c r="F406" s="9"/>
      <x:c r="G406" s="9"/>
      <x:c r="H406" s="9"/>
    </x:row>
    <x:row r="407" ht="14.25" customHeight="1">
      <x:c r="A407" s="9"/>
      <x:c r="B407" s="9"/>
      <x:c r="C407" s="9"/>
      <x:c r="D407" s="9"/>
      <x:c r="E407" s="9"/>
      <x:c r="F407" s="9"/>
      <x:c r="G407" s="9"/>
      <x:c r="H407" s="9"/>
    </x:row>
    <x:row r="408" ht="14.25" customHeight="1">
      <x:c r="A408" s="9"/>
      <x:c r="B408" s="9"/>
      <x:c r="C408" s="9"/>
      <x:c r="D408" s="9"/>
      <x:c r="E408" s="9"/>
      <x:c r="F408" s="9"/>
      <x:c r="G408" s="9"/>
      <x:c r="H408" s="9"/>
    </x:row>
    <x:row r="409" ht="14.25" customHeight="1">
      <x:c r="A409" s="9"/>
      <x:c r="B409" s="9"/>
      <x:c r="C409" s="9"/>
      <x:c r="D409" s="9"/>
      <x:c r="E409" s="9"/>
      <x:c r="F409" s="9"/>
      <x:c r="G409" s="9"/>
      <x:c r="H409" s="9"/>
    </x:row>
    <x:row r="410" ht="14.25" customHeight="1">
      <x:c r="A410" s="9"/>
      <x:c r="B410" s="9"/>
      <x:c r="C410" s="9"/>
      <x:c r="D410" s="9"/>
      <x:c r="E410" s="9"/>
      <x:c r="F410" s="9"/>
      <x:c r="G410" s="9"/>
      <x:c r="H410" s="9"/>
    </x:row>
    <x:row r="411" ht="14.25" customHeight="1">
      <x:c r="A411" s="9"/>
      <x:c r="B411" s="9"/>
      <x:c r="C411" s="9"/>
      <x:c r="D411" s="9"/>
      <x:c r="E411" s="9"/>
      <x:c r="F411" s="9"/>
      <x:c r="G411" s="9"/>
      <x:c r="H411" s="9"/>
    </x:row>
    <x:row r="412" ht="14.25" customHeight="1">
      <x:c r="A412" s="9"/>
      <x:c r="B412" s="9"/>
      <x:c r="C412" s="9"/>
      <x:c r="D412" s="9"/>
      <x:c r="E412" s="9"/>
      <x:c r="F412" s="9"/>
      <x:c r="G412" s="9"/>
      <x:c r="H412" s="9"/>
    </x:row>
    <x:row r="413" ht="14.25" customHeight="1">
      <x:c r="A413" s="9"/>
      <x:c r="B413" s="9"/>
      <x:c r="C413" s="9"/>
      <x:c r="D413" s="9"/>
      <x:c r="E413" s="9"/>
      <x:c r="F413" s="9"/>
      <x:c r="G413" s="9"/>
      <x:c r="H413" s="9"/>
    </x:row>
    <x:row r="414" ht="14.25" customHeight="1">
      <x:c r="A414" s="9"/>
      <x:c r="B414" s="9"/>
      <x:c r="C414" s="9"/>
      <x:c r="D414" s="9"/>
      <x:c r="E414" s="9"/>
      <x:c r="F414" s="9"/>
      <x:c r="G414" s="9"/>
      <x:c r="H414" s="9"/>
    </x:row>
    <x:row r="415" ht="14.25" customHeight="1">
      <x:c r="A415" s="9"/>
      <x:c r="B415" s="9"/>
      <x:c r="C415" s="9"/>
      <x:c r="D415" s="9"/>
      <x:c r="E415" s="9"/>
      <x:c r="F415" s="9"/>
      <x:c r="G415" s="9"/>
      <x:c r="H415" s="9"/>
    </x:row>
    <x:row r="416" ht="14.25" customHeight="1">
      <x:c r="A416" s="9"/>
      <x:c r="B416" s="9"/>
      <x:c r="C416" s="9"/>
      <x:c r="D416" s="9"/>
      <x:c r="E416" s="9"/>
      <x:c r="F416" s="9"/>
      <x:c r="G416" s="9"/>
      <x:c r="H416" s="9"/>
    </x:row>
    <x:row r="417" ht="14.25" customHeight="1">
      <x:c r="A417" s="9"/>
      <x:c r="B417" s="9"/>
      <x:c r="C417" s="9"/>
      <x:c r="D417" s="9"/>
      <x:c r="E417" s="9"/>
      <x:c r="F417" s="9"/>
      <x:c r="G417" s="9"/>
      <x:c r="H417" s="9"/>
    </x:row>
    <x:row r="418" ht="14.25" customHeight="1">
      <x:c r="A418" s="9"/>
      <x:c r="B418" s="9"/>
      <x:c r="C418" s="9"/>
      <x:c r="D418" s="9"/>
      <x:c r="E418" s="9"/>
      <x:c r="F418" s="9"/>
      <x:c r="G418" s="9"/>
      <x:c r="H418" s="9"/>
    </x:row>
    <x:row r="419" ht="14.25" customHeight="1">
      <x:c r="A419" s="9"/>
      <x:c r="B419" s="9"/>
      <x:c r="C419" s="9"/>
      <x:c r="D419" s="9"/>
      <x:c r="E419" s="9"/>
      <x:c r="F419" s="9"/>
      <x:c r="G419" s="9"/>
      <x:c r="H419" s="9"/>
    </x:row>
    <x:row r="420" ht="14.25" customHeight="1">
      <x:c r="A420" s="9"/>
      <x:c r="B420" s="9"/>
      <x:c r="C420" s="9"/>
      <x:c r="D420" s="9"/>
      <x:c r="E420" s="9"/>
      <x:c r="F420" s="9"/>
      <x:c r="G420" s="9"/>
      <x:c r="H420" s="9"/>
    </x:row>
    <x:row r="421" ht="14.25" customHeight="1">
      <x:c r="A421" s="9"/>
      <x:c r="B421" s="9"/>
      <x:c r="C421" s="9"/>
      <x:c r="D421" s="9"/>
      <x:c r="E421" s="9"/>
      <x:c r="F421" s="9"/>
      <x:c r="G421" s="9"/>
      <x:c r="H421" s="9"/>
    </x:row>
    <x:row r="422" ht="14.25" customHeight="1">
      <x:c r="A422" s="9"/>
      <x:c r="B422" s="9"/>
      <x:c r="C422" s="9"/>
      <x:c r="D422" s="9"/>
      <x:c r="E422" s="9"/>
      <x:c r="F422" s="9"/>
      <x:c r="G422" s="9"/>
      <x:c r="H422" s="9"/>
    </x:row>
    <x:row r="423" ht="14.25" customHeight="1">
      <x:c r="A423" s="9"/>
      <x:c r="B423" s="9"/>
      <x:c r="C423" s="9"/>
      <x:c r="D423" s="9"/>
      <x:c r="E423" s="9"/>
      <x:c r="F423" s="9"/>
      <x:c r="G423" s="9"/>
      <x:c r="H423" s="9"/>
    </x:row>
    <x:row r="424" ht="14.25" customHeight="1">
      <x:c r="A424" s="9"/>
      <x:c r="B424" s="9"/>
      <x:c r="C424" s="9"/>
      <x:c r="D424" s="9"/>
      <x:c r="E424" s="9"/>
      <x:c r="F424" s="9"/>
      <x:c r="G424" s="9"/>
      <x:c r="H424" s="9"/>
    </x:row>
    <x:row r="425" ht="14.25" customHeight="1">
      <x:c r="A425" s="9"/>
      <x:c r="B425" s="9"/>
      <x:c r="C425" s="9"/>
      <x:c r="D425" s="9"/>
      <x:c r="E425" s="9"/>
      <x:c r="F425" s="9"/>
      <x:c r="G425" s="9"/>
      <x:c r="H425" s="9"/>
    </x:row>
    <x:row r="426" ht="14.25" customHeight="1">
      <x:c r="A426" s="9"/>
      <x:c r="B426" s="9"/>
      <x:c r="C426" s="9"/>
      <x:c r="D426" s="9"/>
      <x:c r="E426" s="9"/>
      <x:c r="F426" s="9"/>
      <x:c r="G426" s="9"/>
      <x:c r="H426" s="9"/>
    </x:row>
    <x:row r="427" ht="14.25" customHeight="1">
      <x:c r="A427" s="9"/>
      <x:c r="B427" s="9"/>
      <x:c r="C427" s="9"/>
      <x:c r="D427" s="9"/>
      <x:c r="E427" s="9"/>
      <x:c r="F427" s="9"/>
      <x:c r="G427" s="9"/>
      <x:c r="H427" s="9"/>
    </x:row>
    <x:row r="428" ht="14.25" customHeight="1">
      <x:c r="A428" s="9"/>
      <x:c r="B428" s="9"/>
      <x:c r="C428" s="9"/>
      <x:c r="D428" s="9"/>
      <x:c r="E428" s="9"/>
      <x:c r="F428" s="9"/>
      <x:c r="G428" s="9"/>
      <x:c r="H428" s="9"/>
    </x:row>
    <x:row r="429" ht="14.25" customHeight="1">
      <x:c r="A429" s="9"/>
      <x:c r="B429" s="9"/>
      <x:c r="C429" s="9"/>
      <x:c r="D429" s="9"/>
      <x:c r="E429" s="9"/>
      <x:c r="F429" s="9"/>
      <x:c r="G429" s="9"/>
      <x:c r="H429" s="9"/>
    </x:row>
    <x:row r="430" ht="14.25" customHeight="1">
      <x:c r="A430" s="9"/>
      <x:c r="B430" s="9"/>
      <x:c r="C430" s="9"/>
      <x:c r="D430" s="9"/>
      <x:c r="E430" s="9"/>
      <x:c r="F430" s="9"/>
      <x:c r="G430" s="9"/>
      <x:c r="H430" s="9"/>
    </x:row>
    <x:row r="431" ht="14.25" customHeight="1">
      <x:c r="A431" s="9"/>
      <x:c r="B431" s="9"/>
      <x:c r="C431" s="9"/>
      <x:c r="D431" s="9"/>
      <x:c r="E431" s="9"/>
      <x:c r="F431" s="9"/>
      <x:c r="G431" s="9"/>
      <x:c r="H431" s="9"/>
    </x:row>
    <x:row r="432" ht="14.25" customHeight="1">
      <x:c r="A432" s="9"/>
      <x:c r="B432" s="9"/>
      <x:c r="C432" s="9"/>
      <x:c r="D432" s="9"/>
      <x:c r="E432" s="9"/>
      <x:c r="F432" s="9"/>
      <x:c r="G432" s="9"/>
      <x:c r="H432" s="9"/>
    </x:row>
    <x:row r="433" ht="14.25" customHeight="1">
      <x:c r="A433" s="9"/>
      <x:c r="B433" s="9"/>
      <x:c r="C433" s="9"/>
      <x:c r="D433" s="9"/>
      <x:c r="E433" s="9"/>
      <x:c r="F433" s="9"/>
      <x:c r="G433" s="9"/>
      <x:c r="H433" s="9"/>
    </x:row>
    <x:row r="434" ht="14.25" customHeight="1">
      <x:c r="A434" s="9"/>
      <x:c r="B434" s="9"/>
      <x:c r="C434" s="9"/>
      <x:c r="D434" s="9"/>
      <x:c r="E434" s="9"/>
      <x:c r="F434" s="9"/>
      <x:c r="G434" s="9"/>
      <x:c r="H434" s="9"/>
    </x:row>
    <x:row r="435" ht="14.25" customHeight="1">
      <x:c r="A435" s="9"/>
      <x:c r="B435" s="9"/>
      <x:c r="C435" s="9"/>
      <x:c r="D435" s="9"/>
      <x:c r="E435" s="9"/>
      <x:c r="F435" s="9"/>
      <x:c r="G435" s="9"/>
      <x:c r="H435" s="9"/>
    </x:row>
    <x:row r="436" ht="14.25" customHeight="1">
      <x:c r="A436" s="9"/>
      <x:c r="B436" s="9"/>
      <x:c r="C436" s="9"/>
      <x:c r="D436" s="9"/>
      <x:c r="E436" s="9"/>
      <x:c r="F436" s="9"/>
      <x:c r="G436" s="9"/>
      <x:c r="H436" s="9"/>
    </x:row>
    <x:row r="437" ht="14.25" customHeight="1">
      <x:c r="A437" s="9"/>
      <x:c r="B437" s="9"/>
      <x:c r="C437" s="9"/>
      <x:c r="D437" s="9"/>
      <x:c r="E437" s="9"/>
      <x:c r="F437" s="9"/>
      <x:c r="G437" s="9"/>
      <x:c r="H437" s="9"/>
    </x:row>
    <x:row r="438" ht="14.25" customHeight="1">
      <x:c r="A438" s="9"/>
      <x:c r="B438" s="9"/>
      <x:c r="C438" s="9"/>
      <x:c r="D438" s="9"/>
      <x:c r="E438" s="9"/>
      <x:c r="F438" s="9"/>
      <x:c r="G438" s="9"/>
      <x:c r="H438" s="9"/>
    </x:row>
    <x:row r="439" ht="14.25" customHeight="1">
      <x:c r="A439" s="9"/>
      <x:c r="B439" s="9"/>
      <x:c r="C439" s="9"/>
      <x:c r="D439" s="9"/>
      <x:c r="E439" s="9"/>
      <x:c r="F439" s="9"/>
      <x:c r="G439" s="9"/>
      <x:c r="H439" s="9"/>
    </x:row>
    <x:row r="440" ht="14.25" customHeight="1">
      <x:c r="A440" s="9"/>
      <x:c r="B440" s="9"/>
      <x:c r="C440" s="9"/>
      <x:c r="D440" s="9"/>
      <x:c r="E440" s="9"/>
      <x:c r="F440" s="9"/>
      <x:c r="G440" s="9"/>
      <x:c r="H440" s="9"/>
    </x:row>
    <x:row r="441" ht="14.25" customHeight="1">
      <x:c r="A441" s="9"/>
      <x:c r="B441" s="9"/>
      <x:c r="C441" s="9"/>
      <x:c r="D441" s="9"/>
      <x:c r="E441" s="9"/>
      <x:c r="F441" s="9"/>
      <x:c r="G441" s="9"/>
      <x:c r="H441" s="9"/>
    </x:row>
    <x:row r="442" ht="14.25" customHeight="1">
      <x:c r="A442" s="9"/>
      <x:c r="B442" s="9"/>
      <x:c r="C442" s="9"/>
      <x:c r="D442" s="9"/>
      <x:c r="E442" s="9"/>
      <x:c r="F442" s="9"/>
      <x:c r="G442" s="9"/>
      <x:c r="H442" s="9"/>
    </x:row>
    <x:row r="443" ht="14.25" customHeight="1">
      <x:c r="A443" s="9"/>
      <x:c r="B443" s="9"/>
      <x:c r="C443" s="9"/>
      <x:c r="D443" s="9"/>
      <x:c r="E443" s="9"/>
      <x:c r="F443" s="9"/>
      <x:c r="G443" s="9"/>
      <x:c r="H443" s="9"/>
    </x:row>
    <x:row r="444" ht="14.25" customHeight="1">
      <x:c r="A444" s="9"/>
      <x:c r="B444" s="9"/>
      <x:c r="C444" s="9"/>
      <x:c r="D444" s="9"/>
      <x:c r="E444" s="9"/>
      <x:c r="F444" s="9"/>
      <x:c r="G444" s="9"/>
      <x:c r="H444" s="9"/>
    </x:row>
    <x:row r="445" ht="14.25" customHeight="1">
      <x:c r="A445" s="9"/>
      <x:c r="B445" s="9"/>
      <x:c r="C445" s="9"/>
      <x:c r="D445" s="9"/>
      <x:c r="E445" s="9"/>
      <x:c r="F445" s="9"/>
      <x:c r="G445" s="9"/>
      <x:c r="H445" s="9"/>
    </x:row>
    <x:row r="446" ht="14.25" customHeight="1">
      <x:c r="A446" s="9"/>
      <x:c r="B446" s="9"/>
      <x:c r="C446" s="9"/>
      <x:c r="D446" s="9"/>
      <x:c r="E446" s="9"/>
      <x:c r="F446" s="9"/>
      <x:c r="G446" s="9"/>
      <x:c r="H446" s="9"/>
    </x:row>
    <x:row r="447" ht="14.25" customHeight="1">
      <x:c r="A447" s="9"/>
      <x:c r="B447" s="9"/>
      <x:c r="C447" s="9"/>
      <x:c r="D447" s="9"/>
      <x:c r="E447" s="9"/>
      <x:c r="F447" s="9"/>
      <x:c r="G447" s="9"/>
      <x:c r="H447" s="9"/>
    </x:row>
    <x:row r="448" ht="14.25" customHeight="1">
      <x:c r="A448" s="9"/>
      <x:c r="B448" s="9"/>
      <x:c r="C448" s="9"/>
      <x:c r="D448" s="9"/>
      <x:c r="E448" s="9"/>
      <x:c r="F448" s="9"/>
      <x:c r="G448" s="9"/>
      <x:c r="H448" s="9"/>
    </x:row>
    <x:row r="449" ht="14.25" customHeight="1">
      <x:c r="A449" s="9"/>
      <x:c r="B449" s="9"/>
      <x:c r="C449" s="9"/>
      <x:c r="D449" s="9"/>
      <x:c r="E449" s="9"/>
      <x:c r="F449" s="9"/>
      <x:c r="G449" s="9"/>
      <x:c r="H449" s="9"/>
    </x:row>
    <x:row r="450" ht="14.25" customHeight="1">
      <x:c r="A450" s="9"/>
      <x:c r="B450" s="9"/>
      <x:c r="C450" s="9"/>
      <x:c r="D450" s="9"/>
      <x:c r="E450" s="9"/>
      <x:c r="F450" s="9"/>
      <x:c r="G450" s="9"/>
      <x:c r="H450" s="9"/>
    </x:row>
    <x:row r="451" ht="14.25" customHeight="1">
      <x:c r="A451" s="9"/>
      <x:c r="B451" s="9"/>
      <x:c r="C451" s="9"/>
      <x:c r="D451" s="9"/>
      <x:c r="E451" s="9"/>
      <x:c r="F451" s="9"/>
      <x:c r="G451" s="9"/>
      <x:c r="H451" s="9"/>
    </x:row>
    <x:row r="452" ht="14.25" customHeight="1">
      <x:c r="A452" s="9"/>
      <x:c r="B452" s="9"/>
      <x:c r="C452" s="9"/>
      <x:c r="D452" s="9"/>
      <x:c r="E452" s="9"/>
      <x:c r="F452" s="9"/>
      <x:c r="G452" s="9"/>
      <x:c r="H452" s="9"/>
    </x:row>
    <x:row r="453" ht="14.25" customHeight="1">
      <x:c r="A453" s="9"/>
      <x:c r="B453" s="9"/>
      <x:c r="C453" s="9"/>
      <x:c r="D453" s="9"/>
      <x:c r="E453" s="9"/>
      <x:c r="F453" s="9"/>
      <x:c r="G453" s="9"/>
      <x:c r="H453" s="9"/>
    </x:row>
    <x:row r="454" ht="14.25" customHeight="1">
      <x:c r="A454" s="9"/>
      <x:c r="B454" s="9"/>
      <x:c r="C454" s="9"/>
      <x:c r="D454" s="9"/>
      <x:c r="E454" s="9"/>
      <x:c r="F454" s="9"/>
      <x:c r="G454" s="9"/>
      <x:c r="H454" s="9"/>
    </x:row>
    <x:row r="455" ht="14.25" customHeight="1">
      <x:c r="A455" s="9"/>
      <x:c r="B455" s="9"/>
      <x:c r="C455" s="9"/>
      <x:c r="D455" s="9"/>
      <x:c r="E455" s="9"/>
      <x:c r="F455" s="9"/>
      <x:c r="G455" s="9"/>
      <x:c r="H455" s="9"/>
    </x:row>
    <x:row r="456" ht="14.25" customHeight="1">
      <x:c r="A456" s="9"/>
      <x:c r="B456" s="9"/>
      <x:c r="C456" s="9"/>
      <x:c r="D456" s="9"/>
      <x:c r="E456" s="9"/>
      <x:c r="F456" s="9"/>
      <x:c r="G456" s="9"/>
      <x:c r="H456" s="9"/>
    </x:row>
    <x:row r="457" ht="14.25" customHeight="1">
      <x:c r="A457" s="9"/>
      <x:c r="B457" s="9"/>
      <x:c r="C457" s="9"/>
      <x:c r="D457" s="9"/>
      <x:c r="E457" s="9"/>
      <x:c r="F457" s="9"/>
      <x:c r="G457" s="9"/>
      <x:c r="H457" s="9"/>
    </x:row>
    <x:row r="458" ht="14.25" customHeight="1">
      <x:c r="A458" s="9"/>
      <x:c r="B458" s="9"/>
      <x:c r="C458" s="9"/>
      <x:c r="D458" s="9"/>
      <x:c r="E458" s="9"/>
      <x:c r="F458" s="9"/>
      <x:c r="G458" s="9"/>
      <x:c r="H458" s="9"/>
    </x:row>
    <x:row r="459" ht="14.25" customHeight="1">
      <x:c r="A459" s="9"/>
      <x:c r="B459" s="9"/>
      <x:c r="C459" s="9"/>
      <x:c r="D459" s="9"/>
      <x:c r="E459" s="9"/>
      <x:c r="F459" s="9"/>
      <x:c r="G459" s="9"/>
      <x:c r="H459" s="9"/>
    </x:row>
    <x:row r="460" ht="14.25" customHeight="1">
      <x:c r="A460" s="9"/>
      <x:c r="B460" s="9"/>
      <x:c r="C460" s="9"/>
      <x:c r="D460" s="9"/>
      <x:c r="E460" s="9"/>
      <x:c r="F460" s="9"/>
      <x:c r="G460" s="9"/>
      <x:c r="H460" s="9"/>
    </x:row>
    <x:row r="461" ht="14.25" customHeight="1">
      <x:c r="A461" s="9"/>
      <x:c r="B461" s="9"/>
      <x:c r="C461" s="9"/>
      <x:c r="D461" s="9"/>
      <x:c r="E461" s="9"/>
      <x:c r="F461" s="9"/>
      <x:c r="G461" s="9"/>
      <x:c r="H461" s="9"/>
    </x:row>
    <x:row r="462" ht="14.25" customHeight="1">
      <x:c r="A462" s="9"/>
      <x:c r="B462" s="9"/>
      <x:c r="C462" s="9"/>
      <x:c r="D462" s="9"/>
      <x:c r="E462" s="9"/>
      <x:c r="F462" s="9"/>
      <x:c r="G462" s="9"/>
      <x:c r="H462" s="9"/>
    </x:row>
    <x:row r="463" ht="14.25" customHeight="1">
      <x:c r="A463" s="9"/>
      <x:c r="B463" s="9"/>
      <x:c r="C463" s="9"/>
      <x:c r="D463" s="9"/>
      <x:c r="E463" s="9"/>
      <x:c r="F463" s="9"/>
      <x:c r="G463" s="9"/>
      <x:c r="H463" s="9"/>
    </x:row>
    <x:row r="464" ht="14.25" customHeight="1">
      <x:c r="A464" s="9"/>
      <x:c r="B464" s="9"/>
      <x:c r="C464" s="9"/>
      <x:c r="D464" s="9"/>
      <x:c r="E464" s="9"/>
      <x:c r="F464" s="9"/>
      <x:c r="G464" s="9"/>
      <x:c r="H464" s="9"/>
    </x:row>
    <x:row r="465" ht="14.25" customHeight="1">
      <x:c r="A465" s="9"/>
      <x:c r="B465" s="9"/>
      <x:c r="C465" s="9"/>
      <x:c r="D465" s="9"/>
      <x:c r="E465" s="9"/>
      <x:c r="F465" s="9"/>
      <x:c r="G465" s="9"/>
      <x:c r="H465" s="9"/>
    </x:row>
    <x:row r="466" ht="14.25" customHeight="1">
      <x:c r="A466" s="9"/>
      <x:c r="B466" s="9"/>
      <x:c r="C466" s="9"/>
      <x:c r="D466" s="9"/>
      <x:c r="E466" s="9"/>
      <x:c r="F466" s="9"/>
      <x:c r="G466" s="9"/>
      <x:c r="H466" s="9"/>
    </x:row>
    <x:row r="467" ht="14.25" customHeight="1">
      <x:c r="A467" s="9"/>
      <x:c r="B467" s="9"/>
      <x:c r="C467" s="9"/>
      <x:c r="D467" s="9"/>
      <x:c r="E467" s="9"/>
      <x:c r="F467" s="9"/>
      <x:c r="G467" s="9"/>
      <x:c r="H467" s="9"/>
    </x:row>
    <x:row r="468" ht="14.25" customHeight="1">
      <x:c r="A468" s="9"/>
      <x:c r="B468" s="9"/>
      <x:c r="C468" s="9"/>
      <x:c r="D468" s="9"/>
      <x:c r="E468" s="9"/>
      <x:c r="F468" s="9"/>
      <x:c r="G468" s="9"/>
      <x:c r="H468" s="9"/>
    </x:row>
    <x:row r="469" ht="14.25" customHeight="1">
      <x:c r="A469" s="9"/>
      <x:c r="B469" s="9"/>
      <x:c r="C469" s="9"/>
      <x:c r="D469" s="9"/>
      <x:c r="E469" s="9"/>
      <x:c r="F469" s="9"/>
      <x:c r="G469" s="9"/>
      <x:c r="H469" s="9"/>
    </x:row>
    <x:row r="470" ht="14.25" customHeight="1">
      <x:c r="A470" s="9"/>
      <x:c r="B470" s="9"/>
      <x:c r="C470" s="9"/>
      <x:c r="D470" s="9"/>
      <x:c r="E470" s="9"/>
      <x:c r="F470" s="9"/>
      <x:c r="G470" s="9"/>
      <x:c r="H470" s="9"/>
    </x:row>
    <x:row r="471" ht="14.25" customHeight="1">
      <x:c r="A471" s="9"/>
      <x:c r="B471" s="9"/>
      <x:c r="C471" s="9"/>
      <x:c r="D471" s="9"/>
      <x:c r="E471" s="9"/>
      <x:c r="F471" s="9"/>
      <x:c r="G471" s="9"/>
      <x:c r="H471" s="9"/>
    </x:row>
    <x:row r="472" ht="14.25" customHeight="1">
      <x:c r="A472" s="9"/>
      <x:c r="B472" s="9"/>
      <x:c r="C472" s="9"/>
      <x:c r="D472" s="9"/>
      <x:c r="E472" s="9"/>
      <x:c r="F472" s="9"/>
      <x:c r="G472" s="9"/>
      <x:c r="H472" s="9"/>
    </x:row>
    <x:row r="473" ht="14.25" customHeight="1">
      <x:c r="A473" s="9"/>
      <x:c r="B473" s="9"/>
      <x:c r="C473" s="9"/>
      <x:c r="D473" s="9"/>
      <x:c r="E473" s="9"/>
      <x:c r="F473" s="9"/>
      <x:c r="G473" s="9"/>
      <x:c r="H473" s="9"/>
    </x:row>
    <x:row r="474" ht="14.25" customHeight="1">
      <x:c r="A474" s="9"/>
      <x:c r="B474" s="9"/>
      <x:c r="C474" s="9"/>
      <x:c r="D474" s="9"/>
      <x:c r="E474" s="9"/>
      <x:c r="F474" s="9"/>
      <x:c r="G474" s="9"/>
      <x:c r="H474" s="9"/>
    </x:row>
    <x:row r="475" ht="14.25" customHeight="1">
      <x:c r="A475" s="9"/>
      <x:c r="B475" s="9"/>
      <x:c r="C475" s="9"/>
      <x:c r="D475" s="9"/>
      <x:c r="E475" s="9"/>
      <x:c r="F475" s="9"/>
      <x:c r="G475" s="9"/>
      <x:c r="H475" s="9"/>
    </x:row>
    <x:row r="476" ht="14.25" customHeight="1">
      <x:c r="A476" s="9"/>
      <x:c r="B476" s="9"/>
      <x:c r="C476" s="9"/>
      <x:c r="D476" s="9"/>
      <x:c r="E476" s="9"/>
      <x:c r="F476" s="9"/>
      <x:c r="G476" s="9"/>
      <x:c r="H476" s="9"/>
    </x:row>
    <x:row r="477" ht="14.25" customHeight="1">
      <x:c r="A477" s="9"/>
      <x:c r="B477" s="9"/>
      <x:c r="C477" s="9"/>
      <x:c r="D477" s="9"/>
      <x:c r="E477" s="9"/>
      <x:c r="F477" s="9"/>
      <x:c r="G477" s="9"/>
      <x:c r="H477" s="9"/>
    </x:row>
    <x:row r="478" ht="14.25" customHeight="1">
      <x:c r="A478" s="9"/>
      <x:c r="B478" s="9"/>
      <x:c r="C478" s="9"/>
      <x:c r="D478" s="9"/>
      <x:c r="E478" s="9"/>
      <x:c r="F478" s="9"/>
      <x:c r="G478" s="9"/>
      <x:c r="H478" s="9"/>
    </x:row>
    <x:row r="479" ht="14.25" customHeight="1">
      <x:c r="A479" s="9"/>
      <x:c r="B479" s="9"/>
      <x:c r="C479" s="9"/>
      <x:c r="D479" s="9"/>
      <x:c r="E479" s="9"/>
      <x:c r="F479" s="9"/>
      <x:c r="G479" s="9"/>
      <x:c r="H479" s="9"/>
    </x:row>
    <x:row r="480" ht="14.25" customHeight="1">
      <x:c r="A480" s="9"/>
      <x:c r="B480" s="9"/>
      <x:c r="C480" s="9"/>
      <x:c r="D480" s="9"/>
      <x:c r="E480" s="9"/>
      <x:c r="F480" s="9"/>
      <x:c r="G480" s="9"/>
      <x:c r="H480" s="9"/>
    </x:row>
    <x:row r="481" ht="14.25" customHeight="1">
      <x:c r="A481" s="9"/>
      <x:c r="B481" s="9"/>
      <x:c r="C481" s="9"/>
      <x:c r="D481" s="9"/>
      <x:c r="E481" s="9"/>
      <x:c r="F481" s="9"/>
      <x:c r="G481" s="9"/>
      <x:c r="H481" s="9"/>
    </x:row>
    <x:row r="482" ht="14.25" customHeight="1">
      <x:c r="A482" s="9"/>
      <x:c r="B482" s="9"/>
      <x:c r="C482" s="9"/>
      <x:c r="D482" s="9"/>
      <x:c r="E482" s="9"/>
      <x:c r="F482" s="9"/>
      <x:c r="G482" s="9"/>
      <x:c r="H482" s="9"/>
    </x:row>
    <x:row r="483" ht="14.25" customHeight="1">
      <x:c r="A483" s="9"/>
      <x:c r="B483" s="9"/>
      <x:c r="C483" s="9"/>
      <x:c r="D483" s="9"/>
      <x:c r="E483" s="9"/>
      <x:c r="F483" s="9"/>
      <x:c r="G483" s="9"/>
      <x:c r="H483" s="9"/>
    </x:row>
    <x:row r="484" ht="14.25" customHeight="1">
      <x:c r="A484" s="9"/>
      <x:c r="B484" s="9"/>
      <x:c r="C484" s="9"/>
      <x:c r="D484" s="9"/>
      <x:c r="E484" s="9"/>
      <x:c r="F484" s="9"/>
      <x:c r="G484" s="9"/>
      <x:c r="H484" s="9"/>
    </x:row>
    <x:row r="485" ht="14.25" customHeight="1">
      <x:c r="A485" s="9"/>
      <x:c r="B485" s="9"/>
      <x:c r="C485" s="9"/>
      <x:c r="D485" s="9"/>
      <x:c r="E485" s="9"/>
      <x:c r="F485" s="9"/>
      <x:c r="G485" s="9"/>
      <x:c r="H485" s="9"/>
    </x:row>
    <x:row r="486" ht="14.25" customHeight="1">
      <x:c r="A486" s="9"/>
      <x:c r="B486" s="9"/>
      <x:c r="C486" s="9"/>
      <x:c r="D486" s="9"/>
      <x:c r="E486" s="9"/>
      <x:c r="F486" s="9"/>
      <x:c r="G486" s="9"/>
      <x:c r="H486" s="9"/>
    </x:row>
    <x:row r="487" ht="14.25" customHeight="1">
      <x:c r="A487" s="9"/>
      <x:c r="B487" s="9"/>
      <x:c r="C487" s="9"/>
      <x:c r="D487" s="9"/>
      <x:c r="E487" s="9"/>
      <x:c r="F487" s="9"/>
      <x:c r="G487" s="9"/>
      <x:c r="H487" s="9"/>
    </x:row>
    <x:row r="488" ht="14.25" customHeight="1">
      <x:c r="A488" s="9"/>
      <x:c r="B488" s="9"/>
      <x:c r="C488" s="9"/>
      <x:c r="D488" s="9"/>
      <x:c r="E488" s="9"/>
      <x:c r="F488" s="9"/>
      <x:c r="G488" s="9"/>
      <x:c r="H488" s="9"/>
    </x:row>
    <x:row r="489" ht="14.25" customHeight="1">
      <x:c r="A489" s="9"/>
      <x:c r="B489" s="9"/>
      <x:c r="C489" s="9"/>
      <x:c r="D489" s="9"/>
      <x:c r="E489" s="9"/>
      <x:c r="F489" s="9"/>
      <x:c r="G489" s="9"/>
      <x:c r="H489" s="9"/>
    </x:row>
    <x:row r="490" ht="14.25" customHeight="1">
      <x:c r="A490" s="9"/>
      <x:c r="B490" s="9"/>
      <x:c r="C490" s="9"/>
      <x:c r="D490" s="9"/>
      <x:c r="E490" s="9"/>
      <x:c r="F490" s="9"/>
      <x:c r="G490" s="9"/>
      <x:c r="H490" s="9"/>
    </x:row>
    <x:row r="491" ht="14.25" customHeight="1">
      <x:c r="A491" s="9"/>
      <x:c r="B491" s="9"/>
      <x:c r="C491" s="9"/>
      <x:c r="D491" s="9"/>
      <x:c r="E491" s="9"/>
      <x:c r="F491" s="9"/>
      <x:c r="G491" s="9"/>
      <x:c r="H491" s="9"/>
    </x:row>
    <x:row r="492" ht="14.25" customHeight="1">
      <x:c r="A492" s="9"/>
      <x:c r="B492" s="9"/>
      <x:c r="C492" s="9"/>
      <x:c r="D492" s="9"/>
      <x:c r="E492" s="9"/>
      <x:c r="F492" s="9"/>
      <x:c r="G492" s="9"/>
      <x:c r="H492" s="9"/>
    </x:row>
    <x:row r="493" ht="14.25" customHeight="1">
      <x:c r="A493" s="9"/>
      <x:c r="B493" s="9"/>
      <x:c r="C493" s="9"/>
      <x:c r="D493" s="9"/>
      <x:c r="E493" s="9"/>
      <x:c r="F493" s="9"/>
      <x:c r="G493" s="9"/>
      <x:c r="H493" s="9"/>
    </x:row>
    <x:row r="494" ht="14.25" customHeight="1">
      <x:c r="A494" s="9"/>
      <x:c r="B494" s="9"/>
      <x:c r="C494" s="9"/>
      <x:c r="D494" s="9"/>
      <x:c r="E494" s="9"/>
      <x:c r="F494" s="9"/>
      <x:c r="G494" s="9"/>
      <x:c r="H494" s="9"/>
    </x:row>
    <x:row r="495" ht="14.25" customHeight="1">
      <x:c r="A495" s="9"/>
      <x:c r="B495" s="9"/>
      <x:c r="C495" s="9"/>
      <x:c r="D495" s="9"/>
      <x:c r="E495" s="9"/>
      <x:c r="F495" s="9"/>
      <x:c r="G495" s="9"/>
      <x:c r="H495" s="9"/>
    </x:row>
    <x:row r="496" ht="14.25" customHeight="1">
      <x:c r="A496" s="9"/>
      <x:c r="B496" s="9"/>
      <x:c r="C496" s="9"/>
      <x:c r="D496" s="9"/>
      <x:c r="E496" s="9"/>
      <x:c r="F496" s="9"/>
      <x:c r="G496" s="9"/>
      <x:c r="H496" s="9"/>
    </x:row>
    <x:row r="497" ht="14.25" customHeight="1">
      <x:c r="A497" s="9"/>
      <x:c r="B497" s="9"/>
      <x:c r="C497" s="9"/>
      <x:c r="D497" s="9"/>
      <x:c r="E497" s="9"/>
      <x:c r="F497" s="9"/>
      <x:c r="G497" s="9"/>
      <x:c r="H497" s="9"/>
    </x:row>
    <x:row r="498" ht="14.25" customHeight="1">
      <x:c r="A498" s="9"/>
      <x:c r="B498" s="9"/>
      <x:c r="C498" s="9"/>
      <x:c r="D498" s="9"/>
      <x:c r="E498" s="9"/>
      <x:c r="F498" s="9"/>
      <x:c r="G498" s="9"/>
      <x:c r="H498" s="9"/>
    </x:row>
    <x:row r="499" ht="14.25" customHeight="1">
      <x:c r="A499" s="9"/>
      <x:c r="B499" s="9"/>
      <x:c r="C499" s="9"/>
      <x:c r="D499" s="9"/>
      <x:c r="E499" s="9"/>
      <x:c r="F499" s="9"/>
      <x:c r="G499" s="9"/>
      <x:c r="H499" s="9"/>
    </x:row>
    <x:row r="500" ht="14.25" customHeight="1">
      <x:c r="A500" s="9"/>
      <x:c r="B500" s="9"/>
      <x:c r="C500" s="9"/>
      <x:c r="D500" s="9"/>
      <x:c r="E500" s="9"/>
      <x:c r="F500" s="9"/>
      <x:c r="G500" s="9"/>
      <x:c r="H500" s="9"/>
    </x:row>
    <x:row r="501" ht="14.25" customHeight="1">
      <x:c r="A501" s="9"/>
      <x:c r="B501" s="9"/>
      <x:c r="C501" s="9"/>
      <x:c r="D501" s="9"/>
      <x:c r="E501" s="9"/>
      <x:c r="F501" s="9"/>
      <x:c r="G501" s="9"/>
      <x:c r="H501" s="9"/>
    </x:row>
    <x:row r="502" ht="14.25" customHeight="1">
      <x:c r="A502" s="9"/>
      <x:c r="B502" s="9"/>
      <x:c r="C502" s="9"/>
      <x:c r="D502" s="9"/>
      <x:c r="E502" s="9"/>
      <x:c r="F502" s="9"/>
      <x:c r="G502" s="9"/>
      <x:c r="H502" s="9"/>
    </x:row>
    <x:row r="503" ht="14.25" customHeight="1">
      <x:c r="A503" s="9"/>
      <x:c r="B503" s="9"/>
      <x:c r="C503" s="9"/>
      <x:c r="D503" s="9"/>
      <x:c r="E503" s="9"/>
      <x:c r="F503" s="9"/>
      <x:c r="G503" s="9"/>
      <x:c r="H503" s="9"/>
    </x:row>
    <x:row r="504" ht="14.25" customHeight="1">
      <x:c r="A504" s="9"/>
      <x:c r="B504" s="9"/>
      <x:c r="C504" s="9"/>
      <x:c r="D504" s="9"/>
      <x:c r="E504" s="9"/>
      <x:c r="F504" s="9"/>
      <x:c r="G504" s="9"/>
      <x:c r="H504" s="9"/>
    </x:row>
    <x:row r="505" ht="14.25" customHeight="1">
      <x:c r="A505" s="9"/>
      <x:c r="B505" s="9"/>
      <x:c r="C505" s="9"/>
      <x:c r="D505" s="9"/>
      <x:c r="E505" s="9"/>
      <x:c r="F505" s="9"/>
      <x:c r="G505" s="9"/>
      <x:c r="H505" s="9"/>
    </x:row>
    <x:row r="506" ht="14.25" customHeight="1">
      <x:c r="A506" s="9"/>
      <x:c r="B506" s="9"/>
      <x:c r="C506" s="9"/>
      <x:c r="D506" s="9"/>
      <x:c r="E506" s="9"/>
      <x:c r="F506" s="9"/>
      <x:c r="G506" s="9"/>
      <x:c r="H506" s="9"/>
    </x:row>
    <x:row r="507" ht="14.25" customHeight="1">
      <x:c r="A507" s="9"/>
      <x:c r="B507" s="9"/>
      <x:c r="C507" s="9"/>
      <x:c r="D507" s="9"/>
      <x:c r="E507" s="9"/>
      <x:c r="F507" s="9"/>
      <x:c r="G507" s="9"/>
      <x:c r="H507" s="9"/>
    </x:row>
    <x:row r="508" ht="14.25" customHeight="1">
      <x:c r="A508" s="9"/>
      <x:c r="B508" s="9"/>
      <x:c r="C508" s="9"/>
      <x:c r="D508" s="9"/>
      <x:c r="E508" s="9"/>
      <x:c r="F508" s="9"/>
      <x:c r="G508" s="9"/>
      <x:c r="H508" s="9"/>
    </x:row>
    <x:row r="509" ht="14.25" customHeight="1">
      <x:c r="A509" s="9"/>
      <x:c r="B509" s="9"/>
      <x:c r="C509" s="9"/>
      <x:c r="D509" s="9"/>
      <x:c r="E509" s="9"/>
      <x:c r="F509" s="9"/>
      <x:c r="G509" s="9"/>
      <x:c r="H509" s="9"/>
    </x:row>
    <x:row r="510" ht="14.25" customHeight="1">
      <x:c r="A510" s="9"/>
      <x:c r="B510" s="9"/>
      <x:c r="C510" s="9"/>
      <x:c r="D510" s="9"/>
      <x:c r="E510" s="9"/>
      <x:c r="F510" s="9"/>
      <x:c r="G510" s="9"/>
      <x:c r="H510" s="9"/>
    </x:row>
    <x:row r="511" ht="14.25" customHeight="1">
      <x:c r="A511" s="9"/>
      <x:c r="B511" s="9"/>
      <x:c r="C511" s="9"/>
      <x:c r="D511" s="9"/>
      <x:c r="E511" s="9"/>
      <x:c r="F511" s="9"/>
      <x:c r="G511" s="9"/>
      <x:c r="H511" s="9"/>
    </x:row>
    <x:row r="512" ht="14.25" customHeight="1">
      <x:c r="A512" s="9"/>
      <x:c r="B512" s="9"/>
      <x:c r="C512" s="9"/>
      <x:c r="D512" s="9"/>
      <x:c r="E512" s="9"/>
      <x:c r="F512" s="9"/>
      <x:c r="G512" s="9"/>
      <x:c r="H512" s="9"/>
    </x:row>
    <x:row r="513" ht="14.25" customHeight="1">
      <x:c r="A513" s="9"/>
      <x:c r="B513" s="9"/>
      <x:c r="C513" s="9"/>
      <x:c r="D513" s="9"/>
      <x:c r="E513" s="9"/>
      <x:c r="F513" s="9"/>
      <x:c r="G513" s="9"/>
      <x:c r="H513" s="9"/>
    </x:row>
    <x:row r="514" ht="14.25" customHeight="1">
      <x:c r="A514" s="9"/>
      <x:c r="B514" s="9"/>
      <x:c r="C514" s="9"/>
      <x:c r="D514" s="9"/>
      <x:c r="E514" s="9"/>
      <x:c r="F514" s="9"/>
      <x:c r="G514" s="9"/>
      <x:c r="H514" s="9"/>
    </x:row>
    <x:row r="515" ht="14.25" customHeight="1">
      <x:c r="A515" s="9"/>
      <x:c r="B515" s="9"/>
      <x:c r="C515" s="9"/>
      <x:c r="D515" s="9"/>
      <x:c r="E515" s="9"/>
      <x:c r="F515" s="9"/>
      <x:c r="G515" s="9"/>
      <x:c r="H515" s="9"/>
    </x:row>
    <x:row r="516" ht="14.25" customHeight="1">
      <x:c r="A516" s="9"/>
      <x:c r="B516" s="9"/>
      <x:c r="C516" s="9"/>
      <x:c r="D516" s="9"/>
      <x:c r="E516" s="9"/>
      <x:c r="F516" s="9"/>
      <x:c r="G516" s="9"/>
      <x:c r="H516" s="9"/>
    </x:row>
    <x:row r="517" ht="14.25" customHeight="1">
      <x:c r="A517" s="9"/>
      <x:c r="B517" s="9"/>
      <x:c r="C517" s="9"/>
      <x:c r="D517" s="9"/>
      <x:c r="E517" s="9"/>
      <x:c r="F517" s="9"/>
      <x:c r="G517" s="9"/>
      <x:c r="H517" s="9"/>
    </x:row>
    <x:row r="518" ht="14.25" customHeight="1">
      <x:c r="A518" s="9"/>
      <x:c r="B518" s="9"/>
      <x:c r="C518" s="9"/>
      <x:c r="D518" s="9"/>
      <x:c r="E518" s="9"/>
      <x:c r="F518" s="9"/>
      <x:c r="G518" s="9"/>
      <x:c r="H518" s="9"/>
    </x:row>
    <x:row r="519" ht="14.25" customHeight="1">
      <x:c r="A519" s="9"/>
      <x:c r="B519" s="9"/>
      <x:c r="C519" s="9"/>
      <x:c r="D519" s="9"/>
      <x:c r="E519" s="9"/>
      <x:c r="F519" s="9"/>
      <x:c r="G519" s="9"/>
      <x:c r="H519" s="9"/>
    </x:row>
    <x:row r="520" ht="14.25" customHeight="1">
      <x:c r="A520" s="9"/>
      <x:c r="B520" s="9"/>
      <x:c r="C520" s="9"/>
      <x:c r="D520" s="9"/>
      <x:c r="E520" s="9"/>
      <x:c r="F520" s="9"/>
      <x:c r="G520" s="9"/>
      <x:c r="H520" s="9"/>
    </x:row>
    <x:row r="521" ht="14.25" customHeight="1">
      <x:c r="A521" s="9"/>
      <x:c r="B521" s="9"/>
      <x:c r="C521" s="9"/>
      <x:c r="D521" s="9"/>
      <x:c r="E521" s="9"/>
      <x:c r="F521" s="9"/>
      <x:c r="G521" s="9"/>
      <x:c r="H521" s="9"/>
    </x:row>
    <x:row r="522" ht="14.25" customHeight="1">
      <x:c r="A522" s="9"/>
      <x:c r="B522" s="9"/>
      <x:c r="C522" s="9"/>
      <x:c r="D522" s="9"/>
      <x:c r="E522" s="9"/>
      <x:c r="F522" s="9"/>
      <x:c r="G522" s="9"/>
      <x:c r="H522" s="9"/>
    </x:row>
    <x:row r="523" ht="14.25" customHeight="1">
      <x:c r="A523" s="9"/>
      <x:c r="B523" s="9"/>
      <x:c r="C523" s="9"/>
      <x:c r="D523" s="9"/>
      <x:c r="E523" s="9"/>
      <x:c r="F523" s="9"/>
      <x:c r="G523" s="9"/>
      <x:c r="H523" s="9"/>
    </x:row>
    <x:row r="524" ht="14.25" customHeight="1">
      <x:c r="A524" s="9"/>
      <x:c r="B524" s="9"/>
      <x:c r="C524" s="9"/>
      <x:c r="D524" s="9"/>
      <x:c r="E524" s="9"/>
      <x:c r="F524" s="9"/>
      <x:c r="G524" s="9"/>
      <x:c r="H524" s="9"/>
    </x:row>
    <x:row r="525" ht="14.25" customHeight="1">
      <x:c r="A525" s="9"/>
      <x:c r="B525" s="9"/>
      <x:c r="C525" s="9"/>
      <x:c r="D525" s="9"/>
      <x:c r="E525" s="9"/>
      <x:c r="F525" s="9"/>
      <x:c r="G525" s="9"/>
      <x:c r="H525" s="9"/>
    </x:row>
    <x:row r="526" ht="14.25" customHeight="1">
      <x:c r="A526" s="9"/>
      <x:c r="B526" s="9"/>
      <x:c r="C526" s="9"/>
      <x:c r="D526" s="9"/>
      <x:c r="E526" s="9"/>
      <x:c r="F526" s="9"/>
      <x:c r="G526" s="9"/>
      <x:c r="H526" s="9"/>
    </x:row>
    <x:row r="527" ht="14.25" customHeight="1">
      <x:c r="A527" s="9"/>
      <x:c r="B527" s="9"/>
      <x:c r="C527" s="9"/>
      <x:c r="D527" s="9"/>
      <x:c r="E527" s="9"/>
      <x:c r="F527" s="9"/>
      <x:c r="G527" s="9"/>
      <x:c r="H527" s="9"/>
    </x:row>
    <x:row r="528" ht="14.25" customHeight="1">
      <x:c r="A528" s="9"/>
      <x:c r="B528" s="9"/>
      <x:c r="C528" s="9"/>
      <x:c r="D528" s="9"/>
      <x:c r="E528" s="9"/>
      <x:c r="F528" s="9"/>
      <x:c r="G528" s="9"/>
      <x:c r="H528" s="9"/>
    </x:row>
    <x:row r="529" ht="14.25" customHeight="1">
      <x:c r="A529" s="9"/>
      <x:c r="B529" s="9"/>
      <x:c r="C529" s="9"/>
      <x:c r="D529" s="9"/>
      <x:c r="E529" s="9"/>
      <x:c r="F529" s="9"/>
      <x:c r="G529" s="9"/>
      <x:c r="H529" s="9"/>
    </x:row>
    <x:row r="530" ht="14.25" customHeight="1">
      <x:c r="A530" s="9"/>
      <x:c r="B530" s="9"/>
      <x:c r="C530" s="9"/>
      <x:c r="D530" s="9"/>
      <x:c r="E530" s="9"/>
      <x:c r="F530" s="9"/>
      <x:c r="G530" s="9"/>
      <x:c r="H530" s="9"/>
    </x:row>
    <x:row r="531" ht="14.25" customHeight="1">
      <x:c r="A531" s="9"/>
      <x:c r="B531" s="9"/>
      <x:c r="C531" s="9"/>
      <x:c r="D531" s="9"/>
      <x:c r="E531" s="9"/>
      <x:c r="F531" s="9"/>
      <x:c r="G531" s="9"/>
      <x:c r="H531" s="9"/>
    </x:row>
    <x:row r="532" ht="14.25" customHeight="1">
      <x:c r="A532" s="9"/>
      <x:c r="B532" s="9"/>
      <x:c r="C532" s="9"/>
      <x:c r="D532" s="9"/>
      <x:c r="E532" s="9"/>
      <x:c r="F532" s="9"/>
      <x:c r="G532" s="9"/>
      <x:c r="H532" s="9"/>
    </x:row>
    <x:row r="533" ht="14.25" customHeight="1">
      <x:c r="A533" s="9"/>
      <x:c r="B533" s="9"/>
      <x:c r="C533" s="9"/>
      <x:c r="D533" s="9"/>
      <x:c r="E533" s="9"/>
      <x:c r="F533" s="9"/>
      <x:c r="G533" s="9"/>
      <x:c r="H533" s="9"/>
    </x:row>
    <x:row r="534" ht="14.25" customHeight="1">
      <x:c r="A534" s="9"/>
      <x:c r="B534" s="9"/>
      <x:c r="C534" s="9"/>
      <x:c r="D534" s="9"/>
      <x:c r="E534" s="9"/>
      <x:c r="F534" s="9"/>
      <x:c r="G534" s="9"/>
      <x:c r="H534" s="9"/>
    </x:row>
    <x:row r="535" ht="14.25" customHeight="1">
      <x:c r="A535" s="9"/>
      <x:c r="B535" s="9"/>
      <x:c r="C535" s="9"/>
      <x:c r="D535" s="9"/>
      <x:c r="E535" s="9"/>
      <x:c r="F535" s="9"/>
      <x:c r="G535" s="9"/>
      <x:c r="H535" s="9"/>
    </x:row>
    <x:row r="536" ht="14.25" customHeight="1">
      <x:c r="A536" s="9"/>
      <x:c r="B536" s="9"/>
      <x:c r="C536" s="9"/>
      <x:c r="D536" s="9"/>
      <x:c r="E536" s="9"/>
      <x:c r="F536" s="9"/>
      <x:c r="G536" s="9"/>
      <x:c r="H536" s="9"/>
    </x:row>
    <x:row r="537" ht="14.25" customHeight="1">
      <x:c r="A537" s="9"/>
      <x:c r="B537" s="9"/>
      <x:c r="C537" s="9"/>
      <x:c r="D537" s="9"/>
      <x:c r="E537" s="9"/>
      <x:c r="F537" s="9"/>
      <x:c r="G537" s="9"/>
      <x:c r="H537" s="9"/>
    </x:row>
    <x:row r="538" ht="14.25" customHeight="1">
      <x:c r="A538" s="9"/>
      <x:c r="B538" s="9"/>
      <x:c r="C538" s="9"/>
      <x:c r="D538" s="9"/>
      <x:c r="E538" s="9"/>
      <x:c r="F538" s="9"/>
      <x:c r="G538" s="9"/>
      <x:c r="H538" s="9"/>
    </x:row>
    <x:row r="539" ht="14.25" customHeight="1">
      <x:c r="A539" s="9"/>
      <x:c r="B539" s="9"/>
      <x:c r="C539" s="9"/>
      <x:c r="D539" s="9"/>
      <x:c r="E539" s="9"/>
      <x:c r="F539" s="9"/>
      <x:c r="G539" s="9"/>
      <x:c r="H539" s="9"/>
    </x:row>
    <x:row r="540" ht="14.25" customHeight="1">
      <x:c r="A540" s="9"/>
      <x:c r="B540" s="9"/>
      <x:c r="C540" s="9"/>
      <x:c r="D540" s="9"/>
      <x:c r="E540" s="9"/>
      <x:c r="F540" s="9"/>
      <x:c r="G540" s="9"/>
      <x:c r="H540" s="9"/>
    </x:row>
    <x:row r="541" ht="14.25" customHeight="1">
      <x:c r="A541" s="9"/>
      <x:c r="B541" s="9"/>
      <x:c r="C541" s="9"/>
      <x:c r="D541" s="9"/>
      <x:c r="E541" s="9"/>
      <x:c r="F541" s="9"/>
      <x:c r="G541" s="9"/>
      <x:c r="H541" s="9"/>
    </x:row>
    <x:row r="542" ht="14.25" customHeight="1">
      <x:c r="A542" s="9"/>
      <x:c r="B542" s="9"/>
      <x:c r="C542" s="9"/>
      <x:c r="D542" s="9"/>
      <x:c r="E542" s="9"/>
      <x:c r="F542" s="9"/>
      <x:c r="G542" s="9"/>
      <x:c r="H542" s="9"/>
    </x:row>
    <x:row r="543" ht="14.25" customHeight="1">
      <x:c r="A543" s="9"/>
      <x:c r="B543" s="9"/>
      <x:c r="C543" s="9"/>
      <x:c r="D543" s="9"/>
      <x:c r="E543" s="9"/>
      <x:c r="F543" s="9"/>
      <x:c r="G543" s="9"/>
      <x:c r="H543" s="9"/>
    </x:row>
    <x:row r="544" ht="14.25" customHeight="1">
      <x:c r="A544" s="9"/>
      <x:c r="B544" s="9"/>
      <x:c r="C544" s="9"/>
      <x:c r="D544" s="9"/>
      <x:c r="E544" s="9"/>
      <x:c r="F544" s="9"/>
      <x:c r="G544" s="9"/>
      <x:c r="H544" s="9"/>
    </x:row>
    <x:row r="545" ht="14.25" customHeight="1">
      <x:c r="A545" s="9"/>
      <x:c r="B545" s="9"/>
      <x:c r="C545" s="9"/>
      <x:c r="D545" s="9"/>
      <x:c r="E545" s="9"/>
      <x:c r="F545" s="9"/>
      <x:c r="G545" s="9"/>
      <x:c r="H545" s="9"/>
    </x:row>
    <x:row r="546" ht="14.25" customHeight="1">
      <x:c r="A546" s="9"/>
      <x:c r="B546" s="9"/>
      <x:c r="C546" s="9"/>
      <x:c r="D546" s="9"/>
      <x:c r="E546" s="9"/>
      <x:c r="F546" s="9"/>
      <x:c r="G546" s="9"/>
      <x:c r="H546" s="9"/>
    </x:row>
    <x:row r="547" ht="14.25" customHeight="1">
      <x:c r="A547" s="9"/>
      <x:c r="B547" s="9"/>
      <x:c r="C547" s="9"/>
      <x:c r="D547" s="9"/>
      <x:c r="E547" s="9"/>
      <x:c r="F547" s="9"/>
      <x:c r="G547" s="9"/>
      <x:c r="H547" s="9"/>
    </x:row>
    <x:row r="548" ht="14.25" customHeight="1">
      <x:c r="A548" s="9"/>
      <x:c r="B548" s="9"/>
      <x:c r="C548" s="9"/>
      <x:c r="D548" s="9"/>
      <x:c r="E548" s="9"/>
      <x:c r="F548" s="9"/>
      <x:c r="G548" s="9"/>
      <x:c r="H548" s="9"/>
    </x:row>
    <x:row r="549" ht="14.25" customHeight="1">
      <x:c r="A549" s="9"/>
      <x:c r="B549" s="9"/>
      <x:c r="C549" s="9"/>
      <x:c r="D549" s="9"/>
      <x:c r="E549" s="9"/>
      <x:c r="F549" s="9"/>
      <x:c r="G549" s="9"/>
      <x:c r="H549" s="9"/>
    </x:row>
    <x:row r="550" ht="14.25" customHeight="1">
      <x:c r="A550" s="9"/>
      <x:c r="B550" s="9"/>
      <x:c r="C550" s="9"/>
      <x:c r="D550" s="9"/>
      <x:c r="E550" s="9"/>
      <x:c r="F550" s="9"/>
      <x:c r="G550" s="9"/>
      <x:c r="H550" s="9"/>
    </x:row>
    <x:row r="551" ht="14.25" customHeight="1">
      <x:c r="A551" s="9"/>
      <x:c r="B551" s="9"/>
      <x:c r="C551" s="9"/>
      <x:c r="D551" s="9"/>
      <x:c r="E551" s="9"/>
      <x:c r="F551" s="9"/>
      <x:c r="G551" s="9"/>
      <x:c r="H551" s="9"/>
    </x:row>
    <x:row r="552" ht="14.25" customHeight="1">
      <x:c r="A552" s="9"/>
      <x:c r="B552" s="9"/>
      <x:c r="C552" s="9"/>
      <x:c r="D552" s="9"/>
      <x:c r="E552" s="9"/>
      <x:c r="F552" s="9"/>
      <x:c r="G552" s="9"/>
      <x:c r="H552" s="9"/>
    </x:row>
    <x:row r="553" ht="14.25" customHeight="1">
      <x:c r="A553" s="9"/>
      <x:c r="B553" s="9"/>
      <x:c r="C553" s="9"/>
      <x:c r="D553" s="9"/>
      <x:c r="E553" s="9"/>
      <x:c r="F553" s="9"/>
      <x:c r="G553" s="9"/>
      <x:c r="H553" s="9"/>
    </x:row>
    <x:row r="554" ht="14.25" customHeight="1">
      <x:c r="A554" s="9"/>
      <x:c r="B554" s="9"/>
      <x:c r="C554" s="9"/>
      <x:c r="D554" s="9"/>
      <x:c r="E554" s="9"/>
      <x:c r="F554" s="9"/>
      <x:c r="G554" s="9"/>
      <x:c r="H554" s="9"/>
    </x:row>
    <x:row r="555" ht="14.25" customHeight="1">
      <x:c r="A555" s="9"/>
      <x:c r="B555" s="9"/>
      <x:c r="C555" s="9"/>
      <x:c r="D555" s="9"/>
      <x:c r="E555" s="9"/>
      <x:c r="F555" s="9"/>
      <x:c r="G555" s="9"/>
      <x:c r="H555" s="9"/>
    </x:row>
    <x:row r="556" ht="14.25" customHeight="1">
      <x:c r="A556" s="9"/>
      <x:c r="B556" s="9"/>
      <x:c r="C556" s="9"/>
      <x:c r="D556" s="9"/>
      <x:c r="E556" s="9"/>
      <x:c r="F556" s="9"/>
      <x:c r="G556" s="9"/>
      <x:c r="H556" s="9"/>
    </x:row>
    <x:row r="557" ht="14.25" customHeight="1">
      <x:c r="A557" s="9"/>
      <x:c r="B557" s="9"/>
      <x:c r="C557" s="9"/>
      <x:c r="D557" s="9"/>
      <x:c r="E557" s="9"/>
      <x:c r="F557" s="9"/>
      <x:c r="G557" s="9"/>
      <x:c r="H557" s="9"/>
    </x:row>
    <x:row r="558" ht="14.25" customHeight="1">
      <x:c r="A558" s="9"/>
      <x:c r="B558" s="9"/>
      <x:c r="C558" s="9"/>
      <x:c r="D558" s="9"/>
      <x:c r="E558" s="9"/>
      <x:c r="F558" s="9"/>
      <x:c r="G558" s="9"/>
      <x:c r="H558" s="9"/>
    </x:row>
    <x:row r="559" ht="14.25" customHeight="1">
      <x:c r="A559" s="9"/>
      <x:c r="B559" s="9"/>
      <x:c r="C559" s="9"/>
      <x:c r="D559" s="9"/>
      <x:c r="E559" s="9"/>
      <x:c r="F559" s="9"/>
      <x:c r="G559" s="9"/>
      <x:c r="H559" s="9"/>
    </x:row>
    <x:row r="560" ht="14.25" customHeight="1">
      <x:c r="A560" s="9"/>
      <x:c r="B560" s="9"/>
      <x:c r="C560" s="9"/>
      <x:c r="D560" s="9"/>
      <x:c r="E560" s="9"/>
      <x:c r="F560" s="9"/>
      <x:c r="G560" s="9"/>
      <x:c r="H560" s="9"/>
    </x:row>
    <x:row r="561" ht="14.25" customHeight="1">
      <x:c r="A561" s="9"/>
      <x:c r="B561" s="9"/>
      <x:c r="C561" s="9"/>
      <x:c r="D561" s="9"/>
      <x:c r="E561" s="9"/>
      <x:c r="F561" s="9"/>
      <x:c r="G561" s="9"/>
      <x:c r="H561" s="9"/>
    </x:row>
    <x:row r="562" ht="14.25" customHeight="1">
      <x:c r="A562" s="9"/>
      <x:c r="B562" s="9"/>
      <x:c r="C562" s="9"/>
      <x:c r="D562" s="9"/>
      <x:c r="E562" s="9"/>
      <x:c r="F562" s="9"/>
      <x:c r="G562" s="9"/>
      <x:c r="H562" s="9"/>
    </x:row>
    <x:row r="563" ht="14.25" customHeight="1">
      <x:c r="A563" s="9"/>
      <x:c r="B563" s="9"/>
      <x:c r="C563" s="9"/>
      <x:c r="D563" s="9"/>
      <x:c r="E563" s="9"/>
      <x:c r="F563" s="9"/>
      <x:c r="G563" s="9"/>
      <x:c r="H563" s="9"/>
    </x:row>
    <x:row r="564" ht="14.25" customHeight="1">
      <x:c r="A564" s="9"/>
      <x:c r="B564" s="9"/>
      <x:c r="C564" s="9"/>
      <x:c r="D564" s="9"/>
      <x:c r="E564" s="9"/>
      <x:c r="F564" s="9"/>
      <x:c r="G564" s="9"/>
      <x:c r="H564" s="9"/>
    </x:row>
    <x:row r="565" ht="14.25" customHeight="1">
      <x:c r="A565" s="9"/>
      <x:c r="B565" s="9"/>
      <x:c r="C565" s="9"/>
      <x:c r="D565" s="9"/>
      <x:c r="E565" s="9"/>
      <x:c r="F565" s="9"/>
      <x:c r="G565" s="9"/>
      <x:c r="H565" s="9"/>
    </x:row>
    <x:row r="566" ht="14.25" customHeight="1">
      <x:c r="A566" s="9"/>
      <x:c r="B566" s="9"/>
      <x:c r="C566" s="9"/>
      <x:c r="D566" s="9"/>
      <x:c r="E566" s="9"/>
      <x:c r="F566" s="9"/>
      <x:c r="G566" s="9"/>
      <x:c r="H566" s="9"/>
    </x:row>
    <x:row r="567" ht="14.25" customHeight="1">
      <x:c r="A567" s="9"/>
      <x:c r="B567" s="9"/>
      <x:c r="C567" s="9"/>
      <x:c r="D567" s="9"/>
      <x:c r="E567" s="9"/>
      <x:c r="F567" s="9"/>
      <x:c r="G567" s="9"/>
      <x:c r="H567" s="9"/>
    </x:row>
    <x:row r="568" ht="14.25" customHeight="1">
      <x:c r="A568" s="9"/>
      <x:c r="B568" s="9"/>
      <x:c r="C568" s="9"/>
      <x:c r="D568" s="9"/>
      <x:c r="E568" s="9"/>
      <x:c r="F568" s="9"/>
      <x:c r="G568" s="9"/>
      <x:c r="H568" s="9"/>
    </x:row>
    <x:row r="569" ht="14.25" customHeight="1">
      <x:c r="A569" s="9"/>
      <x:c r="B569" s="9"/>
      <x:c r="C569" s="9"/>
      <x:c r="D569" s="9"/>
      <x:c r="E569" s="9"/>
      <x:c r="F569" s="9"/>
      <x:c r="G569" s="9"/>
      <x:c r="H569" s="9"/>
    </x:row>
    <x:row r="570" ht="14.25" customHeight="1">
      <x:c r="A570" s="9"/>
      <x:c r="B570" s="9"/>
      <x:c r="C570" s="9"/>
      <x:c r="D570" s="9"/>
      <x:c r="E570" s="9"/>
      <x:c r="F570" s="9"/>
      <x:c r="G570" s="9"/>
      <x:c r="H570" s="9"/>
    </x:row>
    <x:row r="571" ht="14.25" customHeight="1">
      <x:c r="A571" s="9"/>
      <x:c r="B571" s="9"/>
      <x:c r="C571" s="9"/>
      <x:c r="D571" s="9"/>
      <x:c r="E571" s="9"/>
      <x:c r="F571" s="9"/>
      <x:c r="G571" s="9"/>
      <x:c r="H571" s="9"/>
    </x:row>
    <x:row r="572" ht="14.25" customHeight="1">
      <x:c r="A572" s="9"/>
      <x:c r="B572" s="9"/>
      <x:c r="C572" s="9"/>
      <x:c r="D572" s="9"/>
      <x:c r="E572" s="9"/>
      <x:c r="F572" s="9"/>
      <x:c r="G572" s="9"/>
      <x:c r="H572" s="9"/>
    </x:row>
    <x:row r="573" ht="14.25" customHeight="1">
      <x:c r="A573" s="9"/>
      <x:c r="B573" s="9"/>
      <x:c r="C573" s="9"/>
      <x:c r="D573" s="9"/>
      <x:c r="E573" s="9"/>
      <x:c r="F573" s="9"/>
      <x:c r="G573" s="9"/>
      <x:c r="H573" s="9"/>
    </x:row>
    <x:row r="574" ht="14.25" customHeight="1">
      <x:c r="A574" s="9"/>
      <x:c r="B574" s="9"/>
      <x:c r="C574" s="9"/>
      <x:c r="D574" s="9"/>
      <x:c r="E574" s="9"/>
      <x:c r="F574" s="9"/>
      <x:c r="G574" s="9"/>
      <x:c r="H574" s="9"/>
    </x:row>
    <x:row r="575" ht="14.25" customHeight="1">
      <x:c r="A575" s="9"/>
      <x:c r="B575" s="9"/>
      <x:c r="C575" s="9"/>
      <x:c r="D575" s="9"/>
      <x:c r="E575" s="9"/>
      <x:c r="F575" s="9"/>
      <x:c r="G575" s="9"/>
      <x:c r="H575" s="9"/>
    </x:row>
    <x:row r="576" ht="14.25" customHeight="1">
      <x:c r="A576" s="9"/>
      <x:c r="B576" s="9"/>
      <x:c r="C576" s="9"/>
      <x:c r="D576" s="9"/>
      <x:c r="E576" s="9"/>
      <x:c r="F576" s="9"/>
      <x:c r="G576" s="9"/>
      <x:c r="H576" s="9"/>
    </x:row>
    <x:row r="577" ht="14.25" customHeight="1">
      <x:c r="A577" s="9"/>
      <x:c r="B577" s="9"/>
      <x:c r="C577" s="9"/>
      <x:c r="D577" s="9"/>
      <x:c r="E577" s="9"/>
      <x:c r="F577" s="9"/>
      <x:c r="G577" s="9"/>
      <x:c r="H577" s="9"/>
    </x:row>
    <x:row r="578" ht="14.25" customHeight="1">
      <x:c r="A578" s="9"/>
      <x:c r="B578" s="9"/>
      <x:c r="C578" s="9"/>
      <x:c r="D578" s="9"/>
      <x:c r="E578" s="9"/>
      <x:c r="F578" s="9"/>
      <x:c r="G578" s="9"/>
      <x:c r="H578" s="9"/>
    </x:row>
    <x:row r="579" ht="14.25" customHeight="1">
      <x:c r="A579" s="9"/>
      <x:c r="B579" s="9"/>
      <x:c r="C579" s="9"/>
      <x:c r="D579" s="9"/>
      <x:c r="E579" s="9"/>
      <x:c r="F579" s="9"/>
      <x:c r="G579" s="9"/>
      <x:c r="H579" s="9"/>
    </x:row>
    <x:row r="580" ht="14.25" customHeight="1">
      <x:c r="A580" s="9"/>
      <x:c r="B580" s="9"/>
      <x:c r="C580" s="9"/>
      <x:c r="D580" s="9"/>
      <x:c r="E580" s="9"/>
      <x:c r="F580" s="9"/>
      <x:c r="G580" s="9"/>
      <x:c r="H580" s="9"/>
    </x:row>
    <x:row r="581" ht="14.25" customHeight="1">
      <x:c r="A581" s="9"/>
      <x:c r="B581" s="9"/>
      <x:c r="C581" s="9"/>
      <x:c r="D581" s="9"/>
      <x:c r="E581" s="9"/>
      <x:c r="F581" s="9"/>
      <x:c r="G581" s="9"/>
      <x:c r="H581" s="9"/>
    </x:row>
    <x:row r="582" ht="14.25" customHeight="1">
      <x:c r="A582" s="9"/>
      <x:c r="B582" s="9"/>
      <x:c r="C582" s="9"/>
      <x:c r="D582" s="9"/>
      <x:c r="E582" s="9"/>
      <x:c r="F582" s="9"/>
      <x:c r="G582" s="9"/>
      <x:c r="H582" s="9"/>
    </x:row>
    <x:row r="583" ht="14.25" customHeight="1">
      <x:c r="A583" s="9"/>
      <x:c r="B583" s="9"/>
      <x:c r="C583" s="9"/>
      <x:c r="D583" s="9"/>
      <x:c r="E583" s="9"/>
      <x:c r="F583" s="9"/>
      <x:c r="G583" s="9"/>
      <x:c r="H583" s="9"/>
    </x:row>
    <x:row r="584" ht="14.25" customHeight="1">
      <x:c r="A584" s="9"/>
      <x:c r="B584" s="9"/>
      <x:c r="C584" s="9"/>
      <x:c r="D584" s="9"/>
      <x:c r="E584" s="9"/>
      <x:c r="F584" s="9"/>
      <x:c r="G584" s="9"/>
      <x:c r="H584" s="9"/>
    </x:row>
    <x:row r="585" ht="14.25" customHeight="1">
      <x:c r="A585" s="9"/>
      <x:c r="B585" s="9"/>
      <x:c r="C585" s="9"/>
      <x:c r="D585" s="9"/>
      <x:c r="E585" s="9"/>
      <x:c r="F585" s="9"/>
      <x:c r="G585" s="9"/>
      <x:c r="H585" s="9"/>
    </x:row>
    <x:row r="586" ht="14.25" customHeight="1">
      <x:c r="A586" s="9"/>
      <x:c r="B586" s="9"/>
      <x:c r="C586" s="9"/>
      <x:c r="D586" s="9"/>
      <x:c r="E586" s="9"/>
      <x:c r="F586" s="9"/>
      <x:c r="G586" s="9"/>
      <x:c r="H586" s="9"/>
    </x:row>
    <x:row r="587" ht="14.25" customHeight="1">
      <x:c r="A587" s="9"/>
      <x:c r="B587" s="9"/>
      <x:c r="C587" s="9"/>
      <x:c r="D587" s="9"/>
      <x:c r="E587" s="9"/>
      <x:c r="F587" s="9"/>
      <x:c r="G587" s="9"/>
      <x:c r="H587" s="9"/>
    </x:row>
    <x:row r="588" ht="14.25" customHeight="1">
      <x:c r="A588" s="9"/>
      <x:c r="B588" s="9"/>
      <x:c r="C588" s="9"/>
      <x:c r="D588" s="9"/>
      <x:c r="E588" s="9"/>
      <x:c r="F588" s="9"/>
      <x:c r="G588" s="9"/>
      <x:c r="H588" s="9"/>
    </x:row>
    <x:row r="589" ht="14.25" customHeight="1">
      <x:c r="A589" s="9"/>
      <x:c r="B589" s="9"/>
      <x:c r="C589" s="9"/>
      <x:c r="D589" s="9"/>
      <x:c r="E589" s="9"/>
      <x:c r="F589" s="9"/>
      <x:c r="G589" s="9"/>
      <x:c r="H589" s="9"/>
    </x:row>
    <x:row r="590" ht="14.25" customHeight="1">
      <x:c r="A590" s="9"/>
      <x:c r="B590" s="9"/>
      <x:c r="C590" s="9"/>
      <x:c r="D590" s="9"/>
      <x:c r="E590" s="9"/>
      <x:c r="F590" s="9"/>
      <x:c r="G590" s="9"/>
      <x:c r="H590" s="9"/>
    </x:row>
    <x:row r="591" ht="14.25" customHeight="1">
      <x:c r="A591" s="9"/>
      <x:c r="B591" s="9"/>
      <x:c r="C591" s="9"/>
      <x:c r="D591" s="9"/>
      <x:c r="E591" s="9"/>
      <x:c r="F591" s="9"/>
      <x:c r="G591" s="9"/>
      <x:c r="H591" s="9"/>
    </x:row>
    <x:row r="592" ht="14.25" customHeight="1">
      <x:c r="A592" s="9"/>
      <x:c r="B592" s="9"/>
      <x:c r="C592" s="9"/>
      <x:c r="D592" s="9"/>
      <x:c r="E592" s="9"/>
      <x:c r="F592" s="9"/>
      <x:c r="G592" s="9"/>
      <x:c r="H592" s="9"/>
    </x:row>
    <x:row r="593" ht="14.25" customHeight="1">
      <x:c r="A593" s="9"/>
      <x:c r="B593" s="9"/>
      <x:c r="C593" s="9"/>
      <x:c r="D593" s="9"/>
      <x:c r="E593" s="9"/>
      <x:c r="F593" s="9"/>
      <x:c r="G593" s="9"/>
      <x:c r="H593" s="9"/>
    </x:row>
    <x:row r="594" ht="14.25" customHeight="1">
      <x:c r="A594" s="9"/>
      <x:c r="B594" s="9"/>
      <x:c r="C594" s="9"/>
      <x:c r="D594" s="9"/>
      <x:c r="E594" s="9"/>
      <x:c r="F594" s="9"/>
      <x:c r="G594" s="9"/>
      <x:c r="H594" s="9"/>
    </x:row>
    <x:row r="595" ht="14.25" customHeight="1">
      <x:c r="A595" s="9"/>
      <x:c r="B595" s="9"/>
      <x:c r="C595" s="9"/>
      <x:c r="D595" s="9"/>
      <x:c r="E595" s="9"/>
      <x:c r="F595" s="9"/>
      <x:c r="G595" s="9"/>
      <x:c r="H595" s="9"/>
    </x:row>
    <x:row r="596" ht="14.25" customHeight="1">
      <x:c r="A596" s="9"/>
      <x:c r="B596" s="9"/>
      <x:c r="C596" s="9"/>
      <x:c r="D596" s="9"/>
      <x:c r="E596" s="9"/>
      <x:c r="F596" s="9"/>
      <x:c r="G596" s="9"/>
      <x:c r="H596" s="9"/>
    </x:row>
    <x:row r="597" ht="14.25" customHeight="1">
      <x:c r="A597" s="9"/>
      <x:c r="B597" s="9"/>
      <x:c r="C597" s="9"/>
      <x:c r="D597" s="9"/>
      <x:c r="E597" s="9"/>
      <x:c r="F597" s="9"/>
      <x:c r="G597" s="9"/>
      <x:c r="H597" s="9"/>
    </x:row>
    <x:row r="598" ht="14.25" customHeight="1">
      <x:c r="A598" s="9"/>
      <x:c r="B598" s="9"/>
      <x:c r="C598" s="9"/>
      <x:c r="D598" s="9"/>
      <x:c r="E598" s="9"/>
      <x:c r="F598" s="9"/>
      <x:c r="G598" s="9"/>
      <x:c r="H598" s="9"/>
    </x:row>
    <x:row r="599" ht="14.25" customHeight="1">
      <x:c r="A599" s="9"/>
      <x:c r="B599" s="9"/>
      <x:c r="C599" s="9"/>
      <x:c r="D599" s="9"/>
      <x:c r="E599" s="9"/>
      <x:c r="F599" s="9"/>
      <x:c r="G599" s="9"/>
      <x:c r="H599" s="9"/>
    </x:row>
    <x:row r="600" ht="14.25" customHeight="1">
      <x:c r="A600" s="9"/>
      <x:c r="B600" s="9"/>
      <x:c r="C600" s="9"/>
      <x:c r="D600" s="9"/>
      <x:c r="E600" s="9"/>
      <x:c r="F600" s="9"/>
      <x:c r="G600" s="9"/>
      <x:c r="H600" s="9"/>
    </x:row>
    <x:row r="601" ht="14.25" customHeight="1">
      <x:c r="A601" s="9"/>
      <x:c r="B601" s="9"/>
      <x:c r="C601" s="9"/>
      <x:c r="D601" s="9"/>
      <x:c r="E601" s="9"/>
      <x:c r="F601" s="9"/>
      <x:c r="G601" s="9"/>
      <x:c r="H601" s="9"/>
    </x:row>
    <x:row r="602" ht="14.25" customHeight="1">
      <x:c r="A602" s="9"/>
      <x:c r="B602" s="9"/>
      <x:c r="C602" s="9"/>
      <x:c r="D602" s="9"/>
      <x:c r="E602" s="9"/>
      <x:c r="F602" s="9"/>
      <x:c r="G602" s="9"/>
      <x:c r="H602" s="9"/>
    </x:row>
    <x:row r="603" ht="14.25" customHeight="1">
      <x:c r="A603" s="9"/>
      <x:c r="B603" s="9"/>
      <x:c r="C603" s="9"/>
      <x:c r="D603" s="9"/>
      <x:c r="E603" s="9"/>
      <x:c r="F603" s="9"/>
      <x:c r="G603" s="9"/>
      <x:c r="H603" s="9"/>
    </x:row>
    <x:row r="604" ht="14.25" customHeight="1">
      <x:c r="A604" s="9"/>
      <x:c r="B604" s="9"/>
      <x:c r="C604" s="9"/>
      <x:c r="D604" s="9"/>
      <x:c r="E604" s="9"/>
      <x:c r="F604" s="9"/>
      <x:c r="G604" s="9"/>
      <x:c r="H604" s="9"/>
    </x:row>
    <x:row r="605" ht="14.25" customHeight="1">
      <x:c r="A605" s="9"/>
      <x:c r="B605" s="9"/>
      <x:c r="C605" s="9"/>
      <x:c r="D605" s="9"/>
      <x:c r="E605" s="9"/>
      <x:c r="F605" s="9"/>
      <x:c r="G605" s="9"/>
      <x:c r="H605" s="9"/>
    </x:row>
    <x:row r="606" ht="14.25" customHeight="1">
      <x:c r="A606" s="9"/>
      <x:c r="B606" s="9"/>
      <x:c r="C606" s="9"/>
      <x:c r="D606" s="9"/>
      <x:c r="E606" s="9"/>
      <x:c r="F606" s="9"/>
      <x:c r="G606" s="9"/>
      <x:c r="H606" s="9"/>
    </x:row>
    <x:row r="607" ht="14.25" customHeight="1">
      <x:c r="A607" s="9"/>
      <x:c r="B607" s="9"/>
      <x:c r="C607" s="9"/>
      <x:c r="D607" s="9"/>
      <x:c r="E607" s="9"/>
      <x:c r="F607" s="9"/>
      <x:c r="G607" s="9"/>
      <x:c r="H607" s="9"/>
    </x:row>
    <x:row r="608" ht="14.25" customHeight="1">
      <x:c r="A608" s="9"/>
      <x:c r="B608" s="9"/>
      <x:c r="C608" s="9"/>
      <x:c r="D608" s="9"/>
      <x:c r="E608" s="9"/>
      <x:c r="F608" s="9"/>
      <x:c r="G608" s="9"/>
      <x:c r="H608" s="9"/>
    </x:row>
    <x:row r="609" ht="14.25" customHeight="1">
      <x:c r="A609" s="9"/>
      <x:c r="B609" s="9"/>
      <x:c r="C609" s="9"/>
      <x:c r="D609" s="9"/>
      <x:c r="E609" s="9"/>
      <x:c r="F609" s="9"/>
      <x:c r="G609" s="9"/>
      <x:c r="H609" s="9"/>
    </x:row>
    <x:row r="610" ht="14.25" customHeight="1">
      <x:c r="A610" s="9"/>
      <x:c r="B610" s="9"/>
      <x:c r="C610" s="9"/>
      <x:c r="D610" s="9"/>
      <x:c r="E610" s="9"/>
      <x:c r="F610" s="9"/>
      <x:c r="G610" s="9"/>
      <x:c r="H610" s="9"/>
    </x:row>
    <x:row r="611" ht="14.25" customHeight="1">
      <x:c r="A611" s="9"/>
      <x:c r="B611" s="9"/>
      <x:c r="C611" s="9"/>
      <x:c r="D611" s="9"/>
      <x:c r="E611" s="9"/>
      <x:c r="F611" s="9"/>
      <x:c r="G611" s="9"/>
      <x:c r="H611" s="9"/>
    </x:row>
    <x:row r="612" ht="14.25" customHeight="1">
      <x:c r="A612" s="9"/>
      <x:c r="B612" s="9"/>
      <x:c r="C612" s="9"/>
      <x:c r="D612" s="9"/>
      <x:c r="E612" s="9"/>
      <x:c r="F612" s="9"/>
      <x:c r="G612" s="9"/>
      <x:c r="H612" s="9"/>
    </x:row>
    <x:row r="613" ht="14.25" customHeight="1">
      <x:c r="A613" s="9"/>
      <x:c r="B613" s="9"/>
      <x:c r="C613" s="9"/>
      <x:c r="D613" s="9"/>
      <x:c r="E613" s="9"/>
      <x:c r="F613" s="9"/>
      <x:c r="G613" s="9"/>
      <x:c r="H613" s="9"/>
    </x:row>
    <x:row r="614" ht="14.25" customHeight="1">
      <x:c r="A614" s="9"/>
      <x:c r="B614" s="9"/>
      <x:c r="C614" s="9"/>
      <x:c r="D614" s="9"/>
      <x:c r="E614" s="9"/>
      <x:c r="F614" s="9"/>
      <x:c r="G614" s="9"/>
      <x:c r="H614" s="9"/>
    </x:row>
    <x:row r="615" ht="14.25" customHeight="1">
      <x:c r="A615" s="9"/>
      <x:c r="B615" s="9"/>
      <x:c r="C615" s="9"/>
      <x:c r="D615" s="9"/>
      <x:c r="E615" s="9"/>
      <x:c r="F615" s="9"/>
      <x:c r="G615" s="9"/>
      <x:c r="H615" s="9"/>
    </x:row>
    <x:row r="616" ht="14.25" customHeight="1">
      <x:c r="A616" s="9"/>
      <x:c r="B616" s="9"/>
      <x:c r="C616" s="9"/>
      <x:c r="D616" s="9"/>
      <x:c r="E616" s="9"/>
      <x:c r="F616" s="9"/>
      <x:c r="G616" s="9"/>
      <x:c r="H616" s="9"/>
    </x:row>
    <x:row r="617" ht="14.25" customHeight="1">
      <x:c r="A617" s="9"/>
      <x:c r="B617" s="9"/>
      <x:c r="C617" s="9"/>
      <x:c r="D617" s="9"/>
      <x:c r="E617" s="9"/>
      <x:c r="F617" s="9"/>
      <x:c r="G617" s="9"/>
      <x:c r="H617" s="9"/>
    </x:row>
    <x:row r="618" ht="14.25" customHeight="1">
      <x:c r="A618" s="9"/>
      <x:c r="B618" s="9"/>
      <x:c r="C618" s="9"/>
      <x:c r="D618" s="9"/>
      <x:c r="E618" s="9"/>
      <x:c r="F618" s="9"/>
      <x:c r="G618" s="9"/>
      <x:c r="H618" s="9"/>
    </x:row>
    <x:row r="619" ht="14.25" customHeight="1">
      <x:c r="A619" s="9"/>
      <x:c r="B619" s="9"/>
      <x:c r="C619" s="9"/>
      <x:c r="D619" s="9"/>
      <x:c r="E619" s="9"/>
      <x:c r="F619" s="9"/>
      <x:c r="G619" s="9"/>
      <x:c r="H619" s="9"/>
    </x:row>
    <x:row r="620" ht="14.25" customHeight="1">
      <x:c r="A620" s="9"/>
      <x:c r="B620" s="9"/>
      <x:c r="C620" s="9"/>
      <x:c r="D620" s="9"/>
      <x:c r="E620" s="9"/>
      <x:c r="F620" s="9"/>
      <x:c r="G620" s="9"/>
      <x:c r="H620" s="9"/>
    </x:row>
    <x:row r="621" ht="14.25" customHeight="1">
      <x:c r="A621" s="9"/>
      <x:c r="B621" s="9"/>
      <x:c r="C621" s="9"/>
      <x:c r="D621" s="9"/>
      <x:c r="E621" s="9"/>
      <x:c r="F621" s="9"/>
      <x:c r="G621" s="9"/>
      <x:c r="H621" s="9"/>
    </x:row>
    <x:row r="622" ht="14.25" customHeight="1">
      <x:c r="A622" s="9"/>
      <x:c r="B622" s="9"/>
      <x:c r="C622" s="9"/>
      <x:c r="D622" s="9"/>
      <x:c r="E622" s="9"/>
      <x:c r="F622" s="9"/>
      <x:c r="G622" s="9"/>
      <x:c r="H622" s="9"/>
    </x:row>
    <x:row r="623" ht="14.25" customHeight="1">
      <x:c r="A623" s="9"/>
      <x:c r="B623" s="9"/>
      <x:c r="C623" s="9"/>
      <x:c r="D623" s="9"/>
      <x:c r="E623" s="9"/>
      <x:c r="F623" s="9"/>
      <x:c r="G623" s="9"/>
      <x:c r="H623" s="9"/>
    </x:row>
    <x:row r="624" ht="14.25" customHeight="1">
      <x:c r="A624" s="9"/>
      <x:c r="B624" s="9"/>
      <x:c r="C624" s="9"/>
      <x:c r="D624" s="9"/>
      <x:c r="E624" s="9"/>
      <x:c r="F624" s="9"/>
      <x:c r="G624" s="9"/>
      <x:c r="H624" s="9"/>
    </x:row>
    <x:row r="625" ht="14.25" customHeight="1">
      <x:c r="A625" s="9"/>
      <x:c r="B625" s="9"/>
      <x:c r="C625" s="9"/>
      <x:c r="D625" s="9"/>
      <x:c r="E625" s="9"/>
      <x:c r="F625" s="9"/>
      <x:c r="G625" s="9"/>
      <x:c r="H625" s="9"/>
    </x:row>
    <x:row r="626" ht="14.25" customHeight="1">
      <x:c r="A626" s="9"/>
      <x:c r="B626" s="9"/>
      <x:c r="C626" s="9"/>
      <x:c r="D626" s="9"/>
      <x:c r="E626" s="9"/>
      <x:c r="F626" s="9"/>
      <x:c r="G626" s="9"/>
      <x:c r="H626" s="9"/>
    </x:row>
    <x:row r="627" ht="14.25" customHeight="1">
      <x:c r="A627" s="9"/>
      <x:c r="B627" s="9"/>
      <x:c r="C627" s="9"/>
      <x:c r="D627" s="9"/>
      <x:c r="E627" s="9"/>
      <x:c r="F627" s="9"/>
      <x:c r="G627" s="9"/>
      <x:c r="H627" s="9"/>
    </x:row>
    <x:row r="628" ht="14.25" customHeight="1">
      <x:c r="A628" s="9"/>
      <x:c r="B628" s="9"/>
      <x:c r="C628" s="9"/>
      <x:c r="D628" s="9"/>
      <x:c r="E628" s="9"/>
      <x:c r="F628" s="9"/>
      <x:c r="G628" s="9"/>
      <x:c r="H628" s="9"/>
    </x:row>
    <x:row r="629" ht="14.25" customHeight="1">
      <x:c r="A629" s="9"/>
      <x:c r="B629" s="9"/>
      <x:c r="C629" s="9"/>
      <x:c r="D629" s="9"/>
      <x:c r="E629" s="9"/>
      <x:c r="F629" s="9"/>
      <x:c r="G629" s="9"/>
      <x:c r="H629" s="9"/>
    </x:row>
    <x:row r="630" ht="14.25" customHeight="1">
      <x:c r="A630" s="9"/>
      <x:c r="B630" s="9"/>
      <x:c r="C630" s="9"/>
      <x:c r="D630" s="9"/>
      <x:c r="E630" s="9"/>
      <x:c r="F630" s="9"/>
      <x:c r="G630" s="9"/>
      <x:c r="H630" s="9"/>
    </x:row>
    <x:row r="631" ht="14.25" customHeight="1">
      <x:c r="A631" s="9"/>
      <x:c r="B631" s="9"/>
      <x:c r="C631" s="9"/>
      <x:c r="D631" s="9"/>
      <x:c r="E631" s="9"/>
      <x:c r="F631" s="9"/>
      <x:c r="G631" s="9"/>
      <x:c r="H631" s="9"/>
    </x:row>
    <x:row r="632" ht="14.25" customHeight="1">
      <x:c r="A632" s="9"/>
      <x:c r="B632" s="9"/>
      <x:c r="C632" s="9"/>
      <x:c r="D632" s="9"/>
      <x:c r="E632" s="9"/>
      <x:c r="F632" s="9"/>
      <x:c r="G632" s="9"/>
      <x:c r="H632" s="9"/>
    </x:row>
    <x:row r="633" ht="14.25" customHeight="1">
      <x:c r="A633" s="9"/>
      <x:c r="B633" s="9"/>
      <x:c r="C633" s="9"/>
      <x:c r="D633" s="9"/>
      <x:c r="E633" s="9"/>
      <x:c r="F633" s="9"/>
      <x:c r="G633" s="9"/>
      <x:c r="H633" s="9"/>
    </x:row>
    <x:row r="634" ht="14.25" customHeight="1">
      <x:c r="A634" s="9"/>
      <x:c r="B634" s="9"/>
      <x:c r="C634" s="9"/>
      <x:c r="D634" s="9"/>
      <x:c r="E634" s="9"/>
      <x:c r="F634" s="9"/>
      <x:c r="G634" s="9"/>
      <x:c r="H634" s="9"/>
    </x:row>
    <x:row r="635" ht="14.25" customHeight="1">
      <x:c r="A635" s="9"/>
      <x:c r="B635" s="9"/>
      <x:c r="C635" s="9"/>
      <x:c r="D635" s="9"/>
      <x:c r="E635" s="9"/>
      <x:c r="F635" s="9"/>
      <x:c r="G635" s="9"/>
      <x:c r="H635" s="9"/>
    </x:row>
    <x:row r="636" ht="14.25" customHeight="1">
      <x:c r="A636" s="9"/>
      <x:c r="B636" s="9"/>
      <x:c r="C636" s="9"/>
      <x:c r="D636" s="9"/>
      <x:c r="E636" s="9"/>
      <x:c r="F636" s="9"/>
      <x:c r="G636" s="9"/>
      <x:c r="H636" s="9"/>
    </x:row>
    <x:row r="637" ht="14.25" customHeight="1">
      <x:c r="A637" s="9"/>
      <x:c r="B637" s="9"/>
      <x:c r="C637" s="9"/>
      <x:c r="D637" s="9"/>
      <x:c r="E637" s="9"/>
      <x:c r="F637" s="9"/>
      <x:c r="G637" s="9"/>
      <x:c r="H637" s="9"/>
    </x:row>
    <x:row r="638" ht="14.25" customHeight="1">
      <x:c r="A638" s="9"/>
      <x:c r="B638" s="9"/>
      <x:c r="C638" s="9"/>
      <x:c r="D638" s="9"/>
      <x:c r="E638" s="9"/>
      <x:c r="F638" s="9"/>
      <x:c r="G638" s="9"/>
      <x:c r="H638" s="9"/>
    </x:row>
    <x:row r="639" ht="14.25" customHeight="1">
      <x:c r="A639" s="9"/>
      <x:c r="B639" s="9"/>
      <x:c r="C639" s="9"/>
      <x:c r="D639" s="9"/>
      <x:c r="E639" s="9"/>
      <x:c r="F639" s="9"/>
      <x:c r="G639" s="9"/>
      <x:c r="H639" s="9"/>
    </x:row>
    <x:row r="640" ht="14.25" customHeight="1">
      <x:c r="A640" s="9"/>
      <x:c r="B640" s="9"/>
      <x:c r="C640" s="9"/>
      <x:c r="D640" s="9"/>
      <x:c r="E640" s="9"/>
      <x:c r="F640" s="9"/>
      <x:c r="G640" s="9"/>
      <x:c r="H640" s="9"/>
    </x:row>
    <x:row r="641" ht="14.25" customHeight="1">
      <x:c r="A641" s="9"/>
      <x:c r="B641" s="9"/>
      <x:c r="C641" s="9"/>
      <x:c r="D641" s="9"/>
      <x:c r="E641" s="9"/>
      <x:c r="F641" s="9"/>
      <x:c r="G641" s="9"/>
      <x:c r="H641" s="9"/>
    </x:row>
    <x:row r="642" ht="14.25" customHeight="1">
      <x:c r="A642" s="9"/>
      <x:c r="B642" s="9"/>
      <x:c r="C642" s="9"/>
      <x:c r="D642" s="9"/>
      <x:c r="E642" s="9"/>
      <x:c r="F642" s="9"/>
      <x:c r="G642" s="9"/>
      <x:c r="H642" s="9"/>
    </x:row>
    <x:row r="643" ht="14.25" customHeight="1">
      <x:c r="A643" s="9"/>
      <x:c r="B643" s="9"/>
      <x:c r="C643" s="9"/>
      <x:c r="D643" s="9"/>
      <x:c r="E643" s="9"/>
      <x:c r="F643" s="9"/>
      <x:c r="G643" s="9"/>
      <x:c r="H643" s="9"/>
    </x:row>
    <x:row r="644" ht="14.25" customHeight="1">
      <x:c r="A644" s="9"/>
      <x:c r="B644" s="9"/>
      <x:c r="C644" s="9"/>
      <x:c r="D644" s="9"/>
      <x:c r="E644" s="9"/>
      <x:c r="F644" s="9"/>
      <x:c r="G644" s="9"/>
      <x:c r="H644" s="9"/>
    </x:row>
    <x:row r="645" ht="14.25" customHeight="1">
      <x:c r="A645" s="9"/>
      <x:c r="B645" s="9"/>
      <x:c r="C645" s="9"/>
      <x:c r="D645" s="9"/>
      <x:c r="E645" s="9"/>
      <x:c r="F645" s="9"/>
      <x:c r="G645" s="9"/>
      <x:c r="H645" s="9"/>
    </x:row>
    <x:row r="646" ht="14.25" customHeight="1">
      <x:c r="A646" s="9"/>
      <x:c r="B646" s="9"/>
      <x:c r="C646" s="9"/>
      <x:c r="D646" s="9"/>
      <x:c r="E646" s="9"/>
      <x:c r="F646" s="9"/>
      <x:c r="G646" s="9"/>
      <x:c r="H646" s="9"/>
    </x:row>
    <x:row r="647" ht="14.25" customHeight="1">
      <x:c r="A647" s="9"/>
      <x:c r="B647" s="9"/>
      <x:c r="C647" s="9"/>
      <x:c r="D647" s="9"/>
      <x:c r="E647" s="9"/>
      <x:c r="F647" s="9"/>
      <x:c r="G647" s="9"/>
      <x:c r="H647" s="9"/>
    </x:row>
    <x:row r="648" ht="14.25" customHeight="1">
      <x:c r="A648" s="9"/>
      <x:c r="B648" s="9"/>
      <x:c r="C648" s="9"/>
      <x:c r="D648" s="9"/>
      <x:c r="E648" s="9"/>
      <x:c r="F648" s="9"/>
      <x:c r="G648" s="9"/>
      <x:c r="H648" s="9"/>
    </x:row>
    <x:row r="649" ht="14.25" customHeight="1">
      <x:c r="A649" s="9"/>
      <x:c r="B649" s="9"/>
      <x:c r="C649" s="9"/>
      <x:c r="D649" s="9"/>
      <x:c r="E649" s="9"/>
      <x:c r="F649" s="9"/>
      <x:c r="G649" s="9"/>
      <x:c r="H649" s="9"/>
    </x:row>
    <x:row r="650" ht="14.25" customHeight="1">
      <x:c r="A650" s="9"/>
      <x:c r="B650" s="9"/>
      <x:c r="C650" s="9"/>
      <x:c r="D650" s="9"/>
      <x:c r="E650" s="9"/>
      <x:c r="F650" s="9"/>
      <x:c r="G650" s="9"/>
      <x:c r="H650" s="9"/>
    </x:row>
    <x:row r="651" ht="14.25" customHeight="1">
      <x:c r="A651" s="9"/>
      <x:c r="B651" s="9"/>
      <x:c r="C651" s="9"/>
      <x:c r="D651" s="9"/>
      <x:c r="E651" s="9"/>
      <x:c r="F651" s="9"/>
      <x:c r="G651" s="9"/>
      <x:c r="H651" s="9"/>
    </x:row>
    <x:row r="652" ht="14.25" customHeight="1">
      <x:c r="A652" s="9"/>
      <x:c r="B652" s="9"/>
      <x:c r="C652" s="9"/>
      <x:c r="D652" s="9"/>
      <x:c r="E652" s="9"/>
      <x:c r="F652" s="9"/>
      <x:c r="G652" s="9"/>
      <x:c r="H652" s="9"/>
    </x:row>
    <x:row r="653" ht="14.25" customHeight="1">
      <x:c r="A653" s="9"/>
      <x:c r="B653" s="9"/>
      <x:c r="C653" s="9"/>
      <x:c r="D653" s="9"/>
      <x:c r="E653" s="9"/>
      <x:c r="F653" s="9"/>
      <x:c r="G653" s="9"/>
      <x:c r="H653" s="9"/>
    </x:row>
    <x:row r="654" ht="14.25" customHeight="1">
      <x:c r="A654" s="9"/>
      <x:c r="B654" s="9"/>
      <x:c r="C654" s="9"/>
      <x:c r="D654" s="9"/>
      <x:c r="E654" s="9"/>
      <x:c r="F654" s="9"/>
      <x:c r="G654" s="9"/>
      <x:c r="H654" s="9"/>
    </x:row>
    <x:row r="655" ht="14.25" customHeight="1">
      <x:c r="A655" s="9"/>
      <x:c r="B655" s="9"/>
      <x:c r="C655" s="9"/>
      <x:c r="D655" s="9"/>
      <x:c r="E655" s="9"/>
      <x:c r="F655" s="9"/>
      <x:c r="G655" s="9"/>
      <x:c r="H655" s="9"/>
    </x:row>
    <x:row r="656" ht="14.25" customHeight="1">
      <x:c r="A656" s="9"/>
      <x:c r="B656" s="9"/>
      <x:c r="C656" s="9"/>
      <x:c r="D656" s="9"/>
      <x:c r="E656" s="9"/>
      <x:c r="F656" s="9"/>
      <x:c r="G656" s="9"/>
      <x:c r="H656" s="9"/>
    </x:row>
    <x:row r="657" ht="14.25" customHeight="1">
      <x:c r="A657" s="9"/>
      <x:c r="B657" s="9"/>
      <x:c r="C657" s="9"/>
      <x:c r="D657" s="9"/>
      <x:c r="E657" s="9"/>
      <x:c r="F657" s="9"/>
      <x:c r="G657" s="9"/>
      <x:c r="H657" s="9"/>
    </x:row>
    <x:row r="658" ht="14.25" customHeight="1">
      <x:c r="A658" s="9"/>
      <x:c r="B658" s="9"/>
      <x:c r="C658" s="9"/>
      <x:c r="D658" s="9"/>
      <x:c r="E658" s="9"/>
      <x:c r="F658" s="9"/>
      <x:c r="G658" s="9"/>
      <x:c r="H658" s="9"/>
    </x:row>
    <x:row r="659" ht="14.25" customHeight="1">
      <x:c r="A659" s="9"/>
      <x:c r="B659" s="9"/>
      <x:c r="C659" s="9"/>
      <x:c r="D659" s="9"/>
      <x:c r="E659" s="9"/>
      <x:c r="F659" s="9"/>
      <x:c r="G659" s="9"/>
      <x:c r="H659" s="9"/>
    </x:row>
    <x:row r="660" ht="14.25" customHeight="1">
      <x:c r="A660" s="9"/>
      <x:c r="B660" s="9"/>
      <x:c r="C660" s="9"/>
      <x:c r="D660" s="9"/>
      <x:c r="E660" s="9"/>
      <x:c r="F660" s="9"/>
      <x:c r="G660" s="9"/>
      <x:c r="H660" s="9"/>
    </x:row>
    <x:row r="661" ht="14.25" customHeight="1">
      <x:c r="A661" s="9"/>
      <x:c r="B661" s="9"/>
      <x:c r="C661" s="9"/>
      <x:c r="D661" s="9"/>
      <x:c r="E661" s="9"/>
      <x:c r="F661" s="9"/>
      <x:c r="G661" s="9"/>
      <x:c r="H661" s="9"/>
    </x:row>
    <x:row r="662" ht="14.25" customHeight="1">
      <x:c r="A662" s="9"/>
      <x:c r="B662" s="9"/>
      <x:c r="C662" s="9"/>
      <x:c r="D662" s="9"/>
      <x:c r="E662" s="9"/>
      <x:c r="F662" s="9"/>
      <x:c r="G662" s="9"/>
      <x:c r="H662" s="9"/>
    </x:row>
    <x:row r="663" ht="14.25" customHeight="1">
      <x:c r="A663" s="9"/>
      <x:c r="B663" s="9"/>
      <x:c r="C663" s="9"/>
      <x:c r="D663" s="9"/>
      <x:c r="E663" s="9"/>
      <x:c r="F663" s="9"/>
      <x:c r="G663" s="9"/>
      <x:c r="H663" s="9"/>
    </x:row>
    <x:row r="664" ht="14.25" customHeight="1">
      <x:c r="A664" s="9"/>
      <x:c r="B664" s="9"/>
      <x:c r="C664" s="9"/>
      <x:c r="D664" s="9"/>
      <x:c r="E664" s="9"/>
      <x:c r="F664" s="9"/>
      <x:c r="G664" s="9"/>
      <x:c r="H664" s="9"/>
    </x:row>
    <x:row r="665" ht="14.25" customHeight="1">
      <x:c r="A665" s="9"/>
      <x:c r="B665" s="9"/>
      <x:c r="C665" s="9"/>
      <x:c r="D665" s="9"/>
      <x:c r="E665" s="9"/>
      <x:c r="F665" s="9"/>
      <x:c r="G665" s="9"/>
      <x:c r="H665" s="9"/>
    </x:row>
    <x:row r="666" ht="14.25" customHeight="1">
      <x:c r="A666" s="9"/>
      <x:c r="B666" s="9"/>
      <x:c r="C666" s="9"/>
      <x:c r="D666" s="9"/>
      <x:c r="E666" s="9"/>
      <x:c r="F666" s="9"/>
      <x:c r="G666" s="9"/>
      <x:c r="H666" s="9"/>
    </x:row>
    <x:row r="667" ht="14.25" customHeight="1">
      <x:c r="A667" s="9"/>
      <x:c r="B667" s="9"/>
      <x:c r="C667" s="9"/>
      <x:c r="D667" s="9"/>
      <x:c r="E667" s="9"/>
      <x:c r="F667" s="9"/>
      <x:c r="G667" s="9"/>
      <x:c r="H667" s="9"/>
    </x:row>
    <x:row r="668" ht="14.25" customHeight="1">
      <x:c r="A668" s="9"/>
      <x:c r="B668" s="9"/>
      <x:c r="C668" s="9"/>
      <x:c r="D668" s="9"/>
      <x:c r="E668" s="9"/>
      <x:c r="F668" s="9"/>
      <x:c r="G668" s="9"/>
      <x:c r="H668" s="9"/>
    </x:row>
    <x:row r="669" ht="14.25" customHeight="1">
      <x:c r="A669" s="9"/>
      <x:c r="B669" s="9"/>
      <x:c r="C669" s="9"/>
      <x:c r="D669" s="9"/>
      <x:c r="E669" s="9"/>
      <x:c r="F669" s="9"/>
      <x:c r="G669" s="9"/>
      <x:c r="H669" s="9"/>
    </x:row>
    <x:row r="670" ht="14.25" customHeight="1">
      <x:c r="A670" s="9"/>
      <x:c r="B670" s="9"/>
      <x:c r="C670" s="9"/>
      <x:c r="D670" s="9"/>
      <x:c r="E670" s="9"/>
      <x:c r="F670" s="9"/>
      <x:c r="G670" s="9"/>
      <x:c r="H670" s="9"/>
    </x:row>
    <x:row r="671" ht="14.25" customHeight="1">
      <x:c r="A671" s="9"/>
      <x:c r="B671" s="9"/>
      <x:c r="C671" s="9"/>
      <x:c r="D671" s="9"/>
      <x:c r="E671" s="9"/>
      <x:c r="F671" s="9"/>
      <x:c r="G671" s="9"/>
      <x:c r="H671" s="9"/>
    </x:row>
    <x:row r="672" ht="14.25" customHeight="1">
      <x:c r="A672" s="9"/>
      <x:c r="B672" s="9"/>
      <x:c r="C672" s="9"/>
      <x:c r="D672" s="9"/>
      <x:c r="E672" s="9"/>
      <x:c r="F672" s="9"/>
      <x:c r="G672" s="9"/>
      <x:c r="H672" s="9"/>
    </x:row>
    <x:row r="673" ht="14.25" customHeight="1">
      <x:c r="A673" s="9"/>
      <x:c r="B673" s="9"/>
      <x:c r="C673" s="9"/>
      <x:c r="D673" s="9"/>
      <x:c r="E673" s="9"/>
      <x:c r="F673" s="9"/>
      <x:c r="G673" s="9"/>
      <x:c r="H673" s="9"/>
    </x:row>
    <x:row r="674" ht="14.25" customHeight="1">
      <x:c r="A674" s="9"/>
      <x:c r="B674" s="9"/>
      <x:c r="C674" s="9"/>
      <x:c r="D674" s="9"/>
      <x:c r="E674" s="9"/>
      <x:c r="F674" s="9"/>
      <x:c r="G674" s="9"/>
      <x:c r="H674" s="9"/>
    </x:row>
    <x:row r="675" ht="14.25" customHeight="1">
      <x:c r="A675" s="9"/>
      <x:c r="B675" s="9"/>
      <x:c r="C675" s="9"/>
      <x:c r="D675" s="9"/>
      <x:c r="E675" s="9"/>
      <x:c r="F675" s="9"/>
      <x:c r="G675" s="9"/>
      <x:c r="H675" s="9"/>
    </x:row>
    <x:row r="676" ht="14.25" customHeight="1">
      <x:c r="A676" s="9"/>
      <x:c r="B676" s="9"/>
      <x:c r="C676" s="9"/>
      <x:c r="D676" s="9"/>
      <x:c r="E676" s="9"/>
      <x:c r="F676" s="9"/>
      <x:c r="G676" s="9"/>
      <x:c r="H676" s="9"/>
    </x:row>
    <x:row r="677" ht="14.25" customHeight="1">
      <x:c r="A677" s="9"/>
      <x:c r="B677" s="9"/>
      <x:c r="C677" s="9"/>
      <x:c r="D677" s="9"/>
      <x:c r="E677" s="9"/>
      <x:c r="F677" s="9"/>
      <x:c r="G677" s="9"/>
      <x:c r="H677" s="9"/>
    </x:row>
    <x:row r="678" ht="14.25" customHeight="1">
      <x:c r="A678" s="9"/>
      <x:c r="B678" s="9"/>
      <x:c r="C678" s="9"/>
      <x:c r="D678" s="9"/>
      <x:c r="E678" s="9"/>
      <x:c r="F678" s="9"/>
      <x:c r="G678" s="9"/>
      <x:c r="H678" s="9"/>
    </x:row>
    <x:row r="679" ht="14.25" customHeight="1">
      <x:c r="A679" s="9"/>
      <x:c r="B679" s="9"/>
      <x:c r="C679" s="9"/>
      <x:c r="D679" s="9"/>
      <x:c r="E679" s="9"/>
      <x:c r="F679" s="9"/>
      <x:c r="G679" s="9"/>
      <x:c r="H679" s="9"/>
    </x:row>
    <x:row r="680" ht="14.25" customHeight="1">
      <x:c r="A680" s="9"/>
      <x:c r="B680" s="9"/>
      <x:c r="C680" s="9"/>
      <x:c r="D680" s="9"/>
      <x:c r="E680" s="9"/>
      <x:c r="F680" s="9"/>
      <x:c r="G680" s="9"/>
      <x:c r="H680" s="9"/>
    </x:row>
    <x:row r="681" ht="14.25" customHeight="1">
      <x:c r="A681" s="9"/>
      <x:c r="B681" s="9"/>
      <x:c r="C681" s="9"/>
      <x:c r="D681" s="9"/>
      <x:c r="E681" s="9"/>
      <x:c r="F681" s="9"/>
      <x:c r="G681" s="9"/>
      <x:c r="H681" s="9"/>
    </x:row>
    <x:row r="682" ht="14.25" customHeight="1">
      <x:c r="A682" s="9"/>
      <x:c r="B682" s="9"/>
      <x:c r="C682" s="9"/>
      <x:c r="D682" s="9"/>
      <x:c r="E682" s="9"/>
      <x:c r="F682" s="9"/>
      <x:c r="G682" s="9"/>
      <x:c r="H682" s="9"/>
    </x:row>
    <x:row r="683" ht="14.25" customHeight="1">
      <x:c r="A683" s="9"/>
      <x:c r="B683" s="9"/>
      <x:c r="C683" s="9"/>
      <x:c r="D683" s="9"/>
      <x:c r="E683" s="9"/>
      <x:c r="F683" s="9"/>
      <x:c r="G683" s="9"/>
      <x:c r="H683" s="9"/>
    </x:row>
    <x:row r="684" ht="14.25" customHeight="1">
      <x:c r="A684" s="9"/>
      <x:c r="B684" s="9"/>
      <x:c r="C684" s="9"/>
      <x:c r="D684" s="9"/>
      <x:c r="E684" s="9"/>
      <x:c r="F684" s="9"/>
      <x:c r="G684" s="9"/>
      <x:c r="H684" s="9"/>
    </x:row>
    <x:row r="685" ht="14.25" customHeight="1">
      <x:c r="A685" s="9"/>
      <x:c r="B685" s="9"/>
      <x:c r="C685" s="9"/>
      <x:c r="D685" s="9"/>
      <x:c r="E685" s="9"/>
      <x:c r="F685" s="9"/>
      <x:c r="G685" s="9"/>
      <x:c r="H685" s="9"/>
    </x:row>
    <x:row r="686" ht="14.25" customHeight="1">
      <x:c r="A686" s="9"/>
      <x:c r="B686" s="9"/>
      <x:c r="C686" s="9"/>
      <x:c r="D686" s="9"/>
      <x:c r="E686" s="9"/>
      <x:c r="F686" s="9"/>
      <x:c r="G686" s="9"/>
      <x:c r="H686" s="9"/>
    </x:row>
    <x:row r="687" ht="14.25" customHeight="1">
      <x:c r="A687" s="9"/>
      <x:c r="B687" s="9"/>
      <x:c r="C687" s="9"/>
      <x:c r="D687" s="9"/>
      <x:c r="E687" s="9"/>
      <x:c r="F687" s="9"/>
      <x:c r="G687" s="9"/>
      <x:c r="H687" s="9"/>
    </x:row>
    <x:row r="688" ht="14.25" customHeight="1">
      <x:c r="A688" s="9"/>
      <x:c r="B688" s="9"/>
      <x:c r="C688" s="9"/>
      <x:c r="D688" s="9"/>
      <x:c r="E688" s="9"/>
      <x:c r="F688" s="9"/>
      <x:c r="G688" s="9"/>
      <x:c r="H688" s="9"/>
    </x:row>
    <x:row r="689" ht="14.25" customHeight="1">
      <x:c r="A689" s="9"/>
      <x:c r="B689" s="9"/>
      <x:c r="C689" s="9"/>
      <x:c r="D689" s="9"/>
      <x:c r="E689" s="9"/>
      <x:c r="F689" s="9"/>
      <x:c r="G689" s="9"/>
      <x:c r="H689" s="9"/>
    </x:row>
    <x:row r="690" ht="14.25" customHeight="1">
      <x:c r="A690" s="9"/>
      <x:c r="B690" s="9"/>
      <x:c r="C690" s="9"/>
      <x:c r="D690" s="9"/>
      <x:c r="E690" s="9"/>
      <x:c r="F690" s="9"/>
      <x:c r="G690" s="9"/>
      <x:c r="H690" s="9"/>
    </x:row>
    <x:row r="691" ht="14.25" customHeight="1">
      <x:c r="A691" s="9"/>
      <x:c r="B691" s="9"/>
      <x:c r="C691" s="9"/>
      <x:c r="D691" s="9"/>
      <x:c r="E691" s="9"/>
      <x:c r="F691" s="9"/>
      <x:c r="G691" s="9"/>
      <x:c r="H691" s="9"/>
    </x:row>
    <x:row r="692" ht="14.25" customHeight="1">
      <x:c r="A692" s="9"/>
      <x:c r="B692" s="9"/>
      <x:c r="C692" s="9"/>
      <x:c r="D692" s="9"/>
      <x:c r="E692" s="9"/>
      <x:c r="F692" s="9"/>
      <x:c r="G692" s="9"/>
      <x:c r="H692" s="9"/>
    </x:row>
    <x:row r="693" ht="14.25" customHeight="1">
      <x:c r="A693" s="9"/>
      <x:c r="B693" s="9"/>
      <x:c r="C693" s="9"/>
      <x:c r="D693" s="9"/>
      <x:c r="E693" s="9"/>
      <x:c r="F693" s="9"/>
      <x:c r="G693" s="9"/>
      <x:c r="H693" s="9"/>
    </x:row>
    <x:row r="694" ht="14.25" customHeight="1">
      <x:c r="A694" s="9"/>
      <x:c r="B694" s="9"/>
      <x:c r="C694" s="9"/>
      <x:c r="D694" s="9"/>
      <x:c r="E694" s="9"/>
      <x:c r="F694" s="9"/>
      <x:c r="G694" s="9"/>
      <x:c r="H694" s="9"/>
    </x:row>
    <x:row r="695" ht="14.25" customHeight="1">
      <x:c r="A695" s="9"/>
      <x:c r="B695" s="9"/>
      <x:c r="C695" s="9"/>
      <x:c r="D695" s="9"/>
      <x:c r="E695" s="9"/>
      <x:c r="F695" s="9"/>
      <x:c r="G695" s="9"/>
      <x:c r="H695" s="9"/>
    </x:row>
    <x:row r="696" ht="14.25" customHeight="1">
      <x:c r="A696" s="9"/>
      <x:c r="B696" s="9"/>
      <x:c r="C696" s="9"/>
      <x:c r="D696" s="9"/>
      <x:c r="E696" s="9"/>
      <x:c r="F696" s="9"/>
      <x:c r="G696" s="9"/>
      <x:c r="H696" s="9"/>
    </x:row>
    <x:row r="697" ht="14.25" customHeight="1">
      <x:c r="A697" s="9"/>
      <x:c r="B697" s="9"/>
      <x:c r="C697" s="9"/>
      <x:c r="D697" s="9"/>
      <x:c r="E697" s="9"/>
      <x:c r="F697" s="9"/>
      <x:c r="G697" s="9"/>
      <x:c r="H697" s="9"/>
    </x:row>
    <x:row r="698" ht="14.25" customHeight="1">
      <x:c r="A698" s="9"/>
      <x:c r="B698" s="9"/>
      <x:c r="C698" s="9"/>
      <x:c r="D698" s="9"/>
      <x:c r="E698" s="9"/>
      <x:c r="F698" s="9"/>
      <x:c r="G698" s="9"/>
      <x:c r="H698" s="9"/>
    </x:row>
    <x:row r="699" ht="14.25" customHeight="1">
      <x:c r="A699" s="9"/>
      <x:c r="B699" s="9"/>
      <x:c r="C699" s="9"/>
      <x:c r="D699" s="9"/>
      <x:c r="E699" s="9"/>
      <x:c r="F699" s="9"/>
      <x:c r="G699" s="9"/>
      <x:c r="H699" s="9"/>
    </x:row>
    <x:row r="700" ht="14.25" customHeight="1">
      <x:c r="A700" s="9"/>
      <x:c r="B700" s="9"/>
      <x:c r="C700" s="9"/>
      <x:c r="D700" s="9"/>
      <x:c r="E700" s="9"/>
      <x:c r="F700" s="9"/>
      <x:c r="G700" s="9"/>
      <x:c r="H700" s="9"/>
    </x:row>
    <x:row r="701" ht="14.25" customHeight="1">
      <x:c r="A701" s="9"/>
      <x:c r="B701" s="9"/>
      <x:c r="C701" s="9"/>
      <x:c r="D701" s="9"/>
      <x:c r="E701" s="9"/>
      <x:c r="F701" s="9"/>
      <x:c r="G701" s="9"/>
      <x:c r="H701" s="9"/>
    </x:row>
    <x:row r="702" ht="14.25" customHeight="1">
      <x:c r="A702" s="9"/>
      <x:c r="B702" s="9"/>
      <x:c r="C702" s="9"/>
      <x:c r="D702" s="9"/>
      <x:c r="E702" s="9"/>
      <x:c r="F702" s="9"/>
      <x:c r="G702" s="9"/>
      <x:c r="H702" s="9"/>
    </x:row>
    <x:row r="703" ht="14.25" customHeight="1">
      <x:c r="A703" s="9"/>
      <x:c r="B703" s="9"/>
      <x:c r="C703" s="9"/>
      <x:c r="D703" s="9"/>
      <x:c r="E703" s="9"/>
      <x:c r="F703" s="9"/>
      <x:c r="G703" s="9"/>
      <x:c r="H703" s="9"/>
    </x:row>
    <x:row r="704" ht="14.25" customHeight="1">
      <x:c r="A704" s="9"/>
      <x:c r="B704" s="9"/>
      <x:c r="C704" s="9"/>
      <x:c r="D704" s="9"/>
      <x:c r="E704" s="9"/>
      <x:c r="F704" s="9"/>
      <x:c r="G704" s="9"/>
      <x:c r="H704" s="9"/>
    </x:row>
    <x:row r="705" ht="14.25" customHeight="1">
      <x:c r="A705" s="9"/>
      <x:c r="B705" s="9"/>
      <x:c r="C705" s="9"/>
      <x:c r="D705" s="9"/>
      <x:c r="E705" s="9"/>
      <x:c r="F705" s="9"/>
      <x:c r="G705" s="9"/>
      <x:c r="H705" s="9"/>
    </x:row>
    <x:row r="706" ht="14.25" customHeight="1">
      <x:c r="A706" s="9"/>
      <x:c r="B706" s="9"/>
      <x:c r="C706" s="9"/>
      <x:c r="D706" s="9"/>
      <x:c r="E706" s="9"/>
      <x:c r="F706" s="9"/>
      <x:c r="G706" s="9"/>
      <x:c r="H706" s="9"/>
    </x:row>
    <x:row r="707" ht="14.25" customHeight="1">
      <x:c r="A707" s="9"/>
      <x:c r="B707" s="9"/>
      <x:c r="C707" s="9"/>
      <x:c r="D707" s="9"/>
      <x:c r="E707" s="9"/>
      <x:c r="F707" s="9"/>
      <x:c r="G707" s="9"/>
      <x:c r="H707" s="9"/>
    </x:row>
    <x:row r="708" ht="14.25" customHeight="1">
      <x:c r="A708" s="9"/>
      <x:c r="B708" s="9"/>
      <x:c r="C708" s="9"/>
      <x:c r="D708" s="9"/>
      <x:c r="E708" s="9"/>
      <x:c r="F708" s="9"/>
      <x:c r="G708" s="9"/>
      <x:c r="H708" s="9"/>
    </x:row>
    <x:row r="709" ht="14.25" customHeight="1">
      <x:c r="A709" s="9"/>
      <x:c r="B709" s="9"/>
      <x:c r="C709" s="9"/>
      <x:c r="D709" s="9"/>
      <x:c r="E709" s="9"/>
      <x:c r="F709" s="9"/>
      <x:c r="G709" s="9"/>
      <x:c r="H709" s="9"/>
    </x:row>
    <x:row r="710" ht="14.25" customHeight="1">
      <x:c r="A710" s="9"/>
      <x:c r="B710" s="9"/>
      <x:c r="C710" s="9"/>
      <x:c r="D710" s="9"/>
      <x:c r="E710" s="9"/>
      <x:c r="F710" s="9"/>
      <x:c r="G710" s="9"/>
      <x:c r="H710" s="9"/>
    </x:row>
    <x:row r="711" ht="14.25" customHeight="1">
      <x:c r="A711" s="9"/>
      <x:c r="B711" s="9"/>
      <x:c r="C711" s="9"/>
      <x:c r="D711" s="9"/>
      <x:c r="E711" s="9"/>
      <x:c r="F711" s="9"/>
      <x:c r="G711" s="9"/>
      <x:c r="H711" s="9"/>
    </x:row>
    <x:row r="712" ht="14.25" customHeight="1">
      <x:c r="A712" s="9"/>
      <x:c r="B712" s="9"/>
      <x:c r="C712" s="9"/>
      <x:c r="D712" s="9"/>
      <x:c r="E712" s="9"/>
      <x:c r="F712" s="9"/>
      <x:c r="G712" s="9"/>
      <x:c r="H712" s="9"/>
    </x:row>
    <x:row r="713" ht="14.25" customHeight="1">
      <x:c r="A713" s="9"/>
      <x:c r="B713" s="9"/>
      <x:c r="C713" s="9"/>
      <x:c r="D713" s="9"/>
      <x:c r="E713" s="9"/>
      <x:c r="F713" s="9"/>
      <x:c r="G713" s="9"/>
      <x:c r="H713" s="9"/>
    </x:row>
    <x:row r="714" ht="14.25" customHeight="1">
      <x:c r="A714" s="9"/>
      <x:c r="B714" s="9"/>
      <x:c r="C714" s="9"/>
      <x:c r="D714" s="9"/>
      <x:c r="E714" s="9"/>
      <x:c r="F714" s="9"/>
      <x:c r="G714" s="9"/>
      <x:c r="H714" s="9"/>
    </x:row>
    <x:row r="715" ht="14.25" customHeight="1">
      <x:c r="A715" s="9"/>
      <x:c r="B715" s="9"/>
      <x:c r="C715" s="9"/>
      <x:c r="D715" s="9"/>
      <x:c r="E715" s="9"/>
      <x:c r="F715" s="9"/>
      <x:c r="G715" s="9"/>
      <x:c r="H715" s="9"/>
    </x:row>
    <x:row r="716" ht="14.25" customHeight="1">
      <x:c r="A716" s="9"/>
      <x:c r="B716" s="9"/>
      <x:c r="C716" s="9"/>
      <x:c r="D716" s="9"/>
      <x:c r="E716" s="9"/>
      <x:c r="F716" s="9"/>
      <x:c r="G716" s="9"/>
      <x:c r="H716" s="9"/>
    </x:row>
    <x:row r="717" ht="14.25" customHeight="1">
      <x:c r="A717" s="9"/>
      <x:c r="B717" s="9"/>
      <x:c r="C717" s="9"/>
      <x:c r="D717" s="9"/>
      <x:c r="E717" s="9"/>
      <x:c r="F717" s="9"/>
      <x:c r="G717" s="9"/>
      <x:c r="H717" s="9"/>
    </x:row>
    <x:row r="718" ht="14.25" customHeight="1">
      <x:c r="A718" s="9"/>
      <x:c r="B718" s="9"/>
      <x:c r="C718" s="9"/>
      <x:c r="D718" s="9"/>
      <x:c r="E718" s="9"/>
      <x:c r="F718" s="9"/>
      <x:c r="G718" s="9"/>
      <x:c r="H718" s="9"/>
    </x:row>
    <x:row r="719" ht="14.25" customHeight="1">
      <x:c r="A719" s="9"/>
      <x:c r="B719" s="9"/>
      <x:c r="C719" s="9"/>
      <x:c r="D719" s="9"/>
      <x:c r="E719" s="9"/>
      <x:c r="F719" s="9"/>
      <x:c r="G719" s="9"/>
      <x:c r="H719" s="9"/>
    </x:row>
    <x:row r="720" ht="14.25" customHeight="1">
      <x:c r="A720" s="9"/>
      <x:c r="B720" s="9"/>
      <x:c r="C720" s="9"/>
      <x:c r="D720" s="9"/>
      <x:c r="E720" s="9"/>
      <x:c r="F720" s="9"/>
      <x:c r="G720" s="9"/>
      <x:c r="H720" s="9"/>
    </x:row>
    <x:row r="721" ht="14.25" customHeight="1">
      <x:c r="A721" s="9"/>
      <x:c r="B721" s="9"/>
      <x:c r="C721" s="9"/>
      <x:c r="D721" s="9"/>
      <x:c r="E721" s="9"/>
      <x:c r="F721" s="9"/>
      <x:c r="G721" s="9"/>
      <x:c r="H721" s="9"/>
    </x:row>
    <x:row r="722" ht="14.25" customHeight="1">
      <x:c r="A722" s="9"/>
      <x:c r="B722" s="9"/>
      <x:c r="C722" s="9"/>
      <x:c r="D722" s="9"/>
      <x:c r="E722" s="9"/>
      <x:c r="F722" s="9"/>
      <x:c r="G722" s="9"/>
      <x:c r="H722" s="9"/>
    </x:row>
    <x:row r="723" ht="14.25" customHeight="1">
      <x:c r="A723" s="9"/>
      <x:c r="B723" s="9"/>
      <x:c r="C723" s="9"/>
      <x:c r="D723" s="9"/>
      <x:c r="E723" s="9"/>
      <x:c r="F723" s="9"/>
      <x:c r="G723" s="9"/>
      <x:c r="H723" s="9"/>
    </x:row>
    <x:row r="724" ht="14.25" customHeight="1">
      <x:c r="A724" s="9"/>
      <x:c r="B724" s="9"/>
      <x:c r="C724" s="9"/>
      <x:c r="D724" s="9"/>
      <x:c r="E724" s="9"/>
      <x:c r="F724" s="9"/>
      <x:c r="G724" s="9"/>
      <x:c r="H724" s="9"/>
    </x:row>
    <x:row r="725" ht="14.25" customHeight="1">
      <x:c r="A725" s="9"/>
      <x:c r="B725" s="9"/>
      <x:c r="C725" s="9"/>
      <x:c r="D725" s="9"/>
      <x:c r="E725" s="9"/>
      <x:c r="F725" s="9"/>
      <x:c r="G725" s="9"/>
      <x:c r="H725" s="9"/>
    </x:row>
    <x:row r="726" ht="14.25" customHeight="1">
      <x:c r="A726" s="9"/>
      <x:c r="B726" s="9"/>
      <x:c r="C726" s="9"/>
      <x:c r="D726" s="9"/>
      <x:c r="E726" s="9"/>
      <x:c r="F726" s="9"/>
      <x:c r="G726" s="9"/>
      <x:c r="H726" s="9"/>
    </x:row>
    <x:row r="727" ht="14.25" customHeight="1">
      <x:c r="A727" s="9"/>
      <x:c r="B727" s="9"/>
      <x:c r="C727" s="9"/>
      <x:c r="D727" s="9"/>
      <x:c r="E727" s="9"/>
      <x:c r="F727" s="9"/>
      <x:c r="G727" s="9"/>
      <x:c r="H727" s="9"/>
    </x:row>
    <x:row r="728" ht="14.25" customHeight="1">
      <x:c r="A728" s="9"/>
      <x:c r="B728" s="9"/>
      <x:c r="C728" s="9"/>
      <x:c r="D728" s="9"/>
      <x:c r="E728" s="9"/>
      <x:c r="F728" s="9"/>
      <x:c r="G728" s="9"/>
      <x:c r="H728" s="9"/>
    </x:row>
    <x:row r="729" ht="14.25" customHeight="1">
      <x:c r="A729" s="9"/>
      <x:c r="B729" s="9"/>
      <x:c r="C729" s="9"/>
      <x:c r="D729" s="9"/>
      <x:c r="E729" s="9"/>
      <x:c r="F729" s="9"/>
      <x:c r="G729" s="9"/>
      <x:c r="H729" s="9"/>
    </x:row>
    <x:row r="730" ht="14.25" customHeight="1">
      <x:c r="A730" s="9"/>
      <x:c r="B730" s="9"/>
      <x:c r="C730" s="9"/>
      <x:c r="D730" s="9"/>
      <x:c r="E730" s="9"/>
      <x:c r="F730" s="9"/>
      <x:c r="G730" s="9"/>
      <x:c r="H730" s="9"/>
    </x:row>
    <x:row r="731" ht="14.25" customHeight="1">
      <x:c r="A731" s="9"/>
      <x:c r="B731" s="9"/>
      <x:c r="C731" s="9"/>
      <x:c r="D731" s="9"/>
      <x:c r="E731" s="9"/>
      <x:c r="F731" s="9"/>
      <x:c r="G731" s="9"/>
      <x:c r="H731" s="9"/>
    </x:row>
    <x:row r="732" ht="14.25" customHeight="1">
      <x:c r="A732" s="9"/>
      <x:c r="B732" s="9"/>
      <x:c r="C732" s="9"/>
      <x:c r="D732" s="9"/>
      <x:c r="E732" s="9"/>
      <x:c r="F732" s="9"/>
      <x:c r="G732" s="9"/>
      <x:c r="H732" s="9"/>
    </x:row>
    <x:row r="733" ht="14.25" customHeight="1">
      <x:c r="A733" s="9"/>
      <x:c r="B733" s="9"/>
      <x:c r="C733" s="9"/>
      <x:c r="D733" s="9"/>
      <x:c r="E733" s="9"/>
      <x:c r="F733" s="9"/>
      <x:c r="G733" s="9"/>
      <x:c r="H733" s="9"/>
    </x:row>
    <x:row r="734" ht="14.25" customHeight="1">
      <x:c r="A734" s="9"/>
      <x:c r="B734" s="9"/>
      <x:c r="C734" s="9"/>
      <x:c r="D734" s="9"/>
      <x:c r="E734" s="9"/>
      <x:c r="F734" s="9"/>
      <x:c r="G734" s="9"/>
      <x:c r="H734" s="9"/>
    </x:row>
    <x:row r="735" ht="14.25" customHeight="1">
      <x:c r="A735" s="9"/>
      <x:c r="B735" s="9"/>
      <x:c r="C735" s="9"/>
      <x:c r="D735" s="9"/>
      <x:c r="E735" s="9"/>
      <x:c r="F735" s="9"/>
      <x:c r="G735" s="9"/>
      <x:c r="H735" s="9"/>
    </x:row>
    <x:row r="736" ht="14.25" customHeight="1">
      <x:c r="A736" s="9"/>
      <x:c r="B736" s="9"/>
      <x:c r="C736" s="9"/>
      <x:c r="D736" s="9"/>
      <x:c r="E736" s="9"/>
      <x:c r="F736" s="9"/>
      <x:c r="G736" s="9"/>
      <x:c r="H736" s="9"/>
    </x:row>
    <x:row r="737" ht="14.25" customHeight="1">
      <x:c r="A737" s="9"/>
      <x:c r="B737" s="9"/>
      <x:c r="C737" s="9"/>
      <x:c r="D737" s="9"/>
      <x:c r="E737" s="9"/>
      <x:c r="F737" s="9"/>
      <x:c r="G737" s="9"/>
      <x:c r="H737" s="9"/>
    </x:row>
    <x:row r="738" ht="14.25" customHeight="1">
      <x:c r="A738" s="9"/>
      <x:c r="B738" s="9"/>
      <x:c r="C738" s="9"/>
      <x:c r="D738" s="9"/>
      <x:c r="E738" s="9"/>
      <x:c r="F738" s="9"/>
      <x:c r="G738" s="9"/>
      <x:c r="H738" s="9"/>
    </x:row>
    <x:row r="739" ht="14.25" customHeight="1">
      <x:c r="A739" s="9"/>
      <x:c r="B739" s="9"/>
      <x:c r="C739" s="9"/>
      <x:c r="D739" s="9"/>
      <x:c r="E739" s="9"/>
      <x:c r="F739" s="9"/>
      <x:c r="G739" s="9"/>
      <x:c r="H739" s="9"/>
    </x:row>
    <x:row r="740" ht="14.25" customHeight="1">
      <x:c r="A740" s="9"/>
      <x:c r="B740" s="9"/>
      <x:c r="C740" s="9"/>
      <x:c r="D740" s="9"/>
      <x:c r="E740" s="9"/>
      <x:c r="F740" s="9"/>
      <x:c r="G740" s="9"/>
      <x:c r="H740" s="9"/>
    </x:row>
    <x:row r="741" ht="14.25" customHeight="1">
      <x:c r="A741" s="9"/>
      <x:c r="B741" s="9"/>
      <x:c r="C741" s="9"/>
      <x:c r="D741" s="9"/>
      <x:c r="E741" s="9"/>
      <x:c r="F741" s="9"/>
      <x:c r="G741" s="9"/>
      <x:c r="H741" s="9"/>
    </x:row>
    <x:row r="742" ht="14.25" customHeight="1">
      <x:c r="A742" s="9"/>
      <x:c r="B742" s="9"/>
      <x:c r="C742" s="9"/>
      <x:c r="D742" s="9"/>
      <x:c r="E742" s="9"/>
      <x:c r="F742" s="9"/>
      <x:c r="G742" s="9"/>
      <x:c r="H742" s="9"/>
    </x:row>
    <x:row r="743" ht="14.25" customHeight="1">
      <x:c r="A743" s="9"/>
      <x:c r="B743" s="9"/>
      <x:c r="C743" s="9"/>
      <x:c r="D743" s="9"/>
      <x:c r="E743" s="9"/>
      <x:c r="F743" s="9"/>
      <x:c r="G743" s="9"/>
      <x:c r="H743" s="9"/>
    </x:row>
    <x:row r="744" ht="14.25" customHeight="1">
      <x:c r="A744" s="9"/>
      <x:c r="B744" s="9"/>
      <x:c r="C744" s="9"/>
      <x:c r="D744" s="9"/>
      <x:c r="E744" s="9"/>
      <x:c r="F744" s="9"/>
      <x:c r="G744" s="9"/>
      <x:c r="H744" s="9"/>
    </x:row>
    <x:row r="745" ht="14.25" customHeight="1">
      <x:c r="A745" s="9"/>
      <x:c r="B745" s="9"/>
      <x:c r="C745" s="9"/>
      <x:c r="D745" s="9"/>
      <x:c r="E745" s="9"/>
      <x:c r="F745" s="9"/>
      <x:c r="G745" s="9"/>
      <x:c r="H745" s="9"/>
    </x:row>
    <x:row r="746" ht="14.25" customHeight="1">
      <x:c r="A746" s="9"/>
      <x:c r="B746" s="9"/>
      <x:c r="C746" s="9"/>
      <x:c r="D746" s="9"/>
      <x:c r="E746" s="9"/>
      <x:c r="F746" s="9"/>
      <x:c r="G746" s="9"/>
      <x:c r="H746" s="9"/>
    </x:row>
    <x:row r="747" ht="14.25" customHeight="1">
      <x:c r="A747" s="9"/>
      <x:c r="B747" s="9"/>
      <x:c r="C747" s="9"/>
      <x:c r="D747" s="9"/>
      <x:c r="E747" s="9"/>
      <x:c r="F747" s="9"/>
      <x:c r="G747" s="9"/>
      <x:c r="H747" s="9"/>
    </x:row>
    <x:row r="748" ht="14.25" customHeight="1">
      <x:c r="A748" s="9"/>
      <x:c r="B748" s="9"/>
      <x:c r="C748" s="9"/>
      <x:c r="D748" s="9"/>
      <x:c r="E748" s="9"/>
      <x:c r="F748" s="9"/>
      <x:c r="G748" s="9"/>
      <x:c r="H748" s="9"/>
    </x:row>
    <x:row r="749" ht="14.25" customHeight="1">
      <x:c r="A749" s="9"/>
      <x:c r="B749" s="9"/>
      <x:c r="C749" s="9"/>
      <x:c r="D749" s="9"/>
      <x:c r="E749" s="9"/>
      <x:c r="F749" s="9"/>
      <x:c r="G749" s="9"/>
      <x:c r="H749" s="9"/>
    </x:row>
    <x:row r="750" ht="14.25" customHeight="1">
      <x:c r="A750" s="9"/>
      <x:c r="B750" s="9"/>
      <x:c r="C750" s="9"/>
      <x:c r="D750" s="9"/>
      <x:c r="E750" s="9"/>
      <x:c r="F750" s="9"/>
      <x:c r="G750" s="9"/>
      <x:c r="H750" s="9"/>
    </x:row>
    <x:row r="751" ht="14.25" customHeight="1">
      <x:c r="A751" s="9"/>
      <x:c r="B751" s="9"/>
      <x:c r="C751" s="9"/>
      <x:c r="D751" s="9"/>
      <x:c r="E751" s="9"/>
      <x:c r="F751" s="9"/>
      <x:c r="G751" s="9"/>
      <x:c r="H751" s="9"/>
    </x:row>
    <x:row r="752" ht="14.25" customHeight="1">
      <x:c r="A752" s="9"/>
      <x:c r="B752" s="9"/>
      <x:c r="C752" s="9"/>
      <x:c r="D752" s="9"/>
      <x:c r="E752" s="9"/>
      <x:c r="F752" s="9"/>
      <x:c r="G752" s="9"/>
      <x:c r="H752" s="9"/>
    </x:row>
    <x:row r="753" ht="14.25" customHeight="1">
      <x:c r="A753" s="9"/>
      <x:c r="B753" s="9"/>
      <x:c r="C753" s="9"/>
      <x:c r="D753" s="9"/>
      <x:c r="E753" s="9"/>
      <x:c r="F753" s="9"/>
      <x:c r="G753" s="9"/>
      <x:c r="H753" s="9"/>
    </x:row>
    <x:row r="754" ht="14.25" customHeight="1">
      <x:c r="A754" s="9"/>
      <x:c r="B754" s="9"/>
      <x:c r="C754" s="9"/>
      <x:c r="D754" s="9"/>
      <x:c r="E754" s="9"/>
      <x:c r="F754" s="9"/>
      <x:c r="G754" s="9"/>
      <x:c r="H754" s="9"/>
    </x:row>
    <x:row r="755" ht="14.25" customHeight="1">
      <x:c r="A755" s="9"/>
      <x:c r="B755" s="9"/>
      <x:c r="C755" s="9"/>
      <x:c r="D755" s="9"/>
      <x:c r="E755" s="9"/>
      <x:c r="F755" s="9"/>
      <x:c r="G755" s="9"/>
      <x:c r="H755" s="9"/>
    </x:row>
    <x:row r="756" ht="14.25" customHeight="1">
      <x:c r="A756" s="9"/>
      <x:c r="B756" s="9"/>
      <x:c r="C756" s="9"/>
      <x:c r="D756" s="9"/>
      <x:c r="E756" s="9"/>
      <x:c r="F756" s="9"/>
      <x:c r="G756" s="9"/>
      <x:c r="H756" s="9"/>
    </x:row>
    <x:row r="757" ht="14.25" customHeight="1">
      <x:c r="A757" s="9"/>
      <x:c r="B757" s="9"/>
      <x:c r="C757" s="9"/>
      <x:c r="D757" s="9"/>
      <x:c r="E757" s="9"/>
      <x:c r="F757" s="9"/>
      <x:c r="G757" s="9"/>
      <x:c r="H757" s="9"/>
    </x:row>
    <x:row r="758" ht="14.25" customHeight="1">
      <x:c r="A758" s="9"/>
      <x:c r="B758" s="9"/>
      <x:c r="C758" s="9"/>
      <x:c r="D758" s="9"/>
      <x:c r="E758" s="9"/>
      <x:c r="F758" s="9"/>
      <x:c r="G758" s="9"/>
      <x:c r="H758" s="9"/>
    </x:row>
    <x:row r="759" ht="14.25" customHeight="1">
      <x:c r="A759" s="9"/>
      <x:c r="B759" s="9"/>
      <x:c r="C759" s="9"/>
      <x:c r="D759" s="9"/>
      <x:c r="E759" s="9"/>
      <x:c r="F759" s="9"/>
      <x:c r="G759" s="9"/>
      <x:c r="H759" s="9"/>
    </x:row>
    <x:row r="760" ht="14.25" customHeight="1">
      <x:c r="A760" s="9"/>
      <x:c r="B760" s="9"/>
      <x:c r="C760" s="9"/>
      <x:c r="D760" s="9"/>
      <x:c r="E760" s="9"/>
      <x:c r="F760" s="9"/>
      <x:c r="G760" s="9"/>
      <x:c r="H760" s="9"/>
    </x:row>
    <x:row r="761" ht="14.25" customHeight="1">
      <x:c r="A761" s="9"/>
      <x:c r="B761" s="9"/>
      <x:c r="C761" s="9"/>
      <x:c r="D761" s="9"/>
      <x:c r="E761" s="9"/>
      <x:c r="F761" s="9"/>
      <x:c r="G761" s="9"/>
      <x:c r="H761" s="9"/>
    </x:row>
    <x:row r="762" ht="14.25" customHeight="1">
      <x:c r="A762" s="9"/>
      <x:c r="B762" s="9"/>
      <x:c r="C762" s="9"/>
      <x:c r="D762" s="9"/>
      <x:c r="E762" s="9"/>
      <x:c r="F762" s="9"/>
      <x:c r="G762" s="9"/>
      <x:c r="H762" s="9"/>
    </x:row>
    <x:row r="763" ht="14.25" customHeight="1">
      <x:c r="A763" s="9"/>
      <x:c r="B763" s="9"/>
      <x:c r="C763" s="9"/>
      <x:c r="D763" s="9"/>
      <x:c r="E763" s="9"/>
      <x:c r="F763" s="9"/>
      <x:c r="G763" s="9"/>
      <x:c r="H763" s="9"/>
    </x:row>
    <x:row r="764" ht="14.25" customHeight="1">
      <x:c r="A764" s="9"/>
      <x:c r="B764" s="9"/>
      <x:c r="C764" s="9"/>
      <x:c r="D764" s="9"/>
      <x:c r="E764" s="9"/>
      <x:c r="F764" s="9"/>
      <x:c r="G764" s="9"/>
      <x:c r="H764" s="9"/>
    </x:row>
    <x:row r="765" ht="14.25" customHeight="1">
      <x:c r="A765" s="9"/>
      <x:c r="B765" s="9"/>
      <x:c r="C765" s="9"/>
      <x:c r="D765" s="9"/>
      <x:c r="E765" s="9"/>
      <x:c r="F765" s="9"/>
      <x:c r="G765" s="9"/>
      <x:c r="H765" s="9"/>
    </x:row>
    <x:row r="766" ht="14.25" customHeight="1">
      <x:c r="A766" s="9"/>
      <x:c r="B766" s="9"/>
      <x:c r="C766" s="9"/>
      <x:c r="D766" s="9"/>
      <x:c r="E766" s="9"/>
      <x:c r="F766" s="9"/>
      <x:c r="G766" s="9"/>
      <x:c r="H766" s="9"/>
    </x:row>
    <x:row r="767" ht="14.25" customHeight="1">
      <x:c r="A767" s="9"/>
      <x:c r="B767" s="9"/>
      <x:c r="C767" s="9"/>
      <x:c r="D767" s="9"/>
      <x:c r="E767" s="9"/>
      <x:c r="F767" s="9"/>
      <x:c r="G767" s="9"/>
      <x:c r="H767" s="9"/>
    </x:row>
    <x:row r="768" ht="14.25" customHeight="1">
      <x:c r="A768" s="9"/>
      <x:c r="B768" s="9"/>
      <x:c r="C768" s="9"/>
      <x:c r="D768" s="9"/>
      <x:c r="E768" s="9"/>
      <x:c r="F768" s="9"/>
      <x:c r="G768" s="9"/>
      <x:c r="H768" s="9"/>
    </x:row>
    <x:row r="769" ht="14.25" customHeight="1">
      <x:c r="A769" s="9"/>
      <x:c r="B769" s="9"/>
      <x:c r="C769" s="9"/>
      <x:c r="D769" s="9"/>
      <x:c r="E769" s="9"/>
      <x:c r="F769" s="9"/>
      <x:c r="G769" s="9"/>
      <x:c r="H769" s="9"/>
    </x:row>
    <x:row r="770" ht="14.25" customHeight="1">
      <x:c r="A770" s="9"/>
      <x:c r="B770" s="9"/>
      <x:c r="C770" s="9"/>
      <x:c r="D770" s="9"/>
      <x:c r="E770" s="9"/>
      <x:c r="F770" s="9"/>
      <x:c r="G770" s="9"/>
      <x:c r="H770" s="9"/>
    </x:row>
    <x:row r="771" ht="14.25" customHeight="1">
      <x:c r="A771" s="9"/>
      <x:c r="B771" s="9"/>
      <x:c r="C771" s="9"/>
      <x:c r="D771" s="9"/>
      <x:c r="E771" s="9"/>
      <x:c r="F771" s="9"/>
      <x:c r="G771" s="9"/>
      <x:c r="H771" s="9"/>
    </x:row>
    <x:row r="772" ht="14.25" customHeight="1">
      <x:c r="A772" s="9"/>
      <x:c r="B772" s="9"/>
      <x:c r="C772" s="9"/>
      <x:c r="D772" s="9"/>
      <x:c r="E772" s="9"/>
      <x:c r="F772" s="9"/>
      <x:c r="G772" s="9"/>
      <x:c r="H772" s="9"/>
    </x:row>
    <x:row r="773" ht="14.25" customHeight="1">
      <x:c r="A773" s="9"/>
      <x:c r="B773" s="9"/>
      <x:c r="C773" s="9"/>
      <x:c r="D773" s="9"/>
      <x:c r="E773" s="9"/>
      <x:c r="F773" s="9"/>
      <x:c r="G773" s="9"/>
      <x:c r="H773" s="9"/>
    </x:row>
    <x:row r="774" ht="14.25" customHeight="1">
      <x:c r="A774" s="9"/>
      <x:c r="B774" s="9"/>
      <x:c r="C774" s="9"/>
      <x:c r="D774" s="9"/>
      <x:c r="E774" s="9"/>
      <x:c r="F774" s="9"/>
      <x:c r="G774" s="9"/>
      <x:c r="H774" s="9"/>
    </x:row>
    <x:row r="775" ht="14.25" customHeight="1">
      <x:c r="A775" s="9"/>
      <x:c r="B775" s="9"/>
      <x:c r="C775" s="9"/>
      <x:c r="D775" s="9"/>
      <x:c r="E775" s="9"/>
      <x:c r="F775" s="9"/>
      <x:c r="G775" s="9"/>
      <x:c r="H775" s="9"/>
    </x:row>
    <x:row r="776" ht="14.25" customHeight="1">
      <x:c r="A776" s="9"/>
      <x:c r="B776" s="9"/>
      <x:c r="C776" s="9"/>
      <x:c r="D776" s="9"/>
      <x:c r="E776" s="9"/>
      <x:c r="F776" s="9"/>
      <x:c r="G776" s="9"/>
      <x:c r="H776" s="9"/>
    </x:row>
    <x:row r="777" ht="14.25" customHeight="1">
      <x:c r="A777" s="9"/>
      <x:c r="B777" s="9"/>
      <x:c r="C777" s="9"/>
      <x:c r="D777" s="9"/>
      <x:c r="E777" s="9"/>
      <x:c r="F777" s="9"/>
      <x:c r="G777" s="9"/>
      <x:c r="H777" s="9"/>
    </x:row>
    <x:row r="778" ht="14.25" customHeight="1">
      <x:c r="A778" s="9"/>
      <x:c r="B778" s="9"/>
      <x:c r="C778" s="9"/>
      <x:c r="D778" s="9"/>
      <x:c r="E778" s="9"/>
      <x:c r="F778" s="9"/>
      <x:c r="G778" s="9"/>
      <x:c r="H778" s="9"/>
    </x:row>
    <x:row r="779" ht="14.25" customHeight="1">
      <x:c r="A779" s="9"/>
      <x:c r="B779" s="9"/>
      <x:c r="C779" s="9"/>
      <x:c r="D779" s="9"/>
      <x:c r="E779" s="9"/>
      <x:c r="F779" s="9"/>
      <x:c r="G779" s="9"/>
      <x:c r="H779" s="9"/>
    </x:row>
    <x:row r="780" ht="14.25" customHeight="1">
      <x:c r="A780" s="9"/>
      <x:c r="B780" s="9"/>
      <x:c r="C780" s="9"/>
      <x:c r="D780" s="9"/>
      <x:c r="E780" s="9"/>
      <x:c r="F780" s="9"/>
      <x:c r="G780" s="9"/>
      <x:c r="H780" s="9"/>
    </x:row>
    <x:row r="781" ht="14.25" customHeight="1">
      <x:c r="A781" s="9"/>
      <x:c r="B781" s="9"/>
      <x:c r="C781" s="9"/>
      <x:c r="D781" s="9"/>
      <x:c r="E781" s="9"/>
      <x:c r="F781" s="9"/>
      <x:c r="G781" s="9"/>
      <x:c r="H781" s="9"/>
    </x:row>
    <x:row r="782" ht="14.25" customHeight="1">
      <x:c r="A782" s="9"/>
      <x:c r="B782" s="9"/>
      <x:c r="C782" s="9"/>
      <x:c r="D782" s="9"/>
      <x:c r="E782" s="9"/>
      <x:c r="F782" s="9"/>
      <x:c r="G782" s="9"/>
      <x:c r="H782" s="9"/>
    </x:row>
    <x:row r="783" ht="14.25" customHeight="1">
      <x:c r="A783" s="9"/>
      <x:c r="B783" s="9"/>
      <x:c r="C783" s="9"/>
      <x:c r="D783" s="9"/>
      <x:c r="E783" s="9"/>
      <x:c r="F783" s="9"/>
      <x:c r="G783" s="9"/>
      <x:c r="H783" s="9"/>
    </x:row>
    <x:row r="784" ht="14.25" customHeight="1">
      <x:c r="A784" s="9"/>
      <x:c r="B784" s="9"/>
      <x:c r="C784" s="9"/>
      <x:c r="D784" s="9"/>
      <x:c r="E784" s="9"/>
      <x:c r="F784" s="9"/>
      <x:c r="G784" s="9"/>
      <x:c r="H784" s="9"/>
    </x:row>
    <x:row r="785" ht="14.25" customHeight="1">
      <x:c r="A785" s="9"/>
      <x:c r="B785" s="9"/>
      <x:c r="C785" s="9"/>
      <x:c r="D785" s="9"/>
      <x:c r="E785" s="9"/>
      <x:c r="F785" s="9"/>
      <x:c r="G785" s="9"/>
      <x:c r="H785" s="9"/>
    </x:row>
    <x:row r="786" ht="14.25" customHeight="1">
      <x:c r="A786" s="9"/>
      <x:c r="B786" s="9"/>
      <x:c r="C786" s="9"/>
      <x:c r="D786" s="9"/>
      <x:c r="E786" s="9"/>
      <x:c r="F786" s="9"/>
      <x:c r="G786" s="9"/>
      <x:c r="H786" s="9"/>
    </x:row>
    <x:row r="787" ht="14.25" customHeight="1">
      <x:c r="A787" s="9"/>
      <x:c r="B787" s="9"/>
      <x:c r="C787" s="9"/>
      <x:c r="D787" s="9"/>
      <x:c r="E787" s="9"/>
      <x:c r="F787" s="9"/>
      <x:c r="G787" s="9"/>
      <x:c r="H787" s="9"/>
    </x:row>
    <x:row r="788" ht="14.25" customHeight="1">
      <x:c r="A788" s="9"/>
      <x:c r="B788" s="9"/>
      <x:c r="C788" s="9"/>
      <x:c r="D788" s="9"/>
      <x:c r="E788" s="9"/>
      <x:c r="F788" s="9"/>
      <x:c r="G788" s="9"/>
      <x:c r="H788" s="9"/>
    </x:row>
    <x:row r="789" ht="14.25" customHeight="1">
      <x:c r="A789" s="9"/>
      <x:c r="B789" s="9"/>
      <x:c r="C789" s="9"/>
      <x:c r="D789" s="9"/>
      <x:c r="E789" s="9"/>
      <x:c r="F789" s="9"/>
      <x:c r="G789" s="9"/>
      <x:c r="H789" s="9"/>
    </x:row>
    <x:row r="790" ht="14.25" customHeight="1">
      <x:c r="A790" s="9"/>
      <x:c r="B790" s="9"/>
      <x:c r="C790" s="9"/>
      <x:c r="D790" s="9"/>
      <x:c r="E790" s="9"/>
      <x:c r="F790" s="9"/>
      <x:c r="G790" s="9"/>
      <x:c r="H790" s="9"/>
    </x:row>
    <x:row r="791" ht="14.25" customHeight="1">
      <x:c r="A791" s="9"/>
      <x:c r="B791" s="9"/>
      <x:c r="C791" s="9"/>
      <x:c r="D791" s="9"/>
      <x:c r="E791" s="9"/>
      <x:c r="F791" s="9"/>
      <x:c r="G791" s="9"/>
      <x:c r="H791" s="9"/>
    </x:row>
    <x:row r="792" ht="14.25" customHeight="1">
      <x:c r="A792" s="9"/>
      <x:c r="B792" s="9"/>
      <x:c r="C792" s="9"/>
      <x:c r="D792" s="9"/>
      <x:c r="E792" s="9"/>
      <x:c r="F792" s="9"/>
      <x:c r="G792" s="9"/>
      <x:c r="H792" s="9"/>
    </x:row>
    <x:row r="793" ht="14.25" customHeight="1">
      <x:c r="A793" s="9"/>
      <x:c r="B793" s="9"/>
      <x:c r="C793" s="9"/>
      <x:c r="D793" s="9"/>
      <x:c r="E793" s="9"/>
      <x:c r="F793" s="9"/>
      <x:c r="G793" s="9"/>
      <x:c r="H793" s="9"/>
    </x:row>
    <x:row r="794" ht="14.25" customHeight="1">
      <x:c r="A794" s="9"/>
      <x:c r="B794" s="9"/>
      <x:c r="C794" s="9"/>
      <x:c r="D794" s="9"/>
      <x:c r="E794" s="9"/>
      <x:c r="F794" s="9"/>
      <x:c r="G794" s="9"/>
      <x:c r="H794" s="9"/>
    </x:row>
    <x:row r="795" ht="14.25" customHeight="1">
      <x:c r="A795" s="9"/>
      <x:c r="B795" s="9"/>
      <x:c r="C795" s="9"/>
      <x:c r="D795" s="9"/>
      <x:c r="E795" s="9"/>
      <x:c r="F795" s="9"/>
      <x:c r="G795" s="9"/>
      <x:c r="H795" s="9"/>
    </x:row>
    <x:row r="796" ht="14.25" customHeight="1">
      <x:c r="A796" s="9"/>
      <x:c r="B796" s="9"/>
      <x:c r="C796" s="9"/>
      <x:c r="D796" s="9"/>
      <x:c r="E796" s="9"/>
      <x:c r="F796" s="9"/>
      <x:c r="G796" s="9"/>
      <x:c r="H796" s="9"/>
    </x:row>
    <x:row r="797" ht="14.25" customHeight="1">
      <x:c r="A797" s="9"/>
      <x:c r="B797" s="9"/>
      <x:c r="C797" s="9"/>
      <x:c r="D797" s="9"/>
      <x:c r="E797" s="9"/>
      <x:c r="F797" s="9"/>
      <x:c r="G797" s="9"/>
      <x:c r="H797" s="9"/>
    </x:row>
    <x:row r="798" ht="14.25" customHeight="1">
      <x:c r="A798" s="9"/>
      <x:c r="B798" s="9"/>
      <x:c r="C798" s="9"/>
      <x:c r="D798" s="9"/>
      <x:c r="E798" s="9"/>
      <x:c r="F798" s="9"/>
      <x:c r="G798" s="9"/>
      <x:c r="H798" s="9"/>
    </x:row>
    <x:row r="799" ht="14.25" customHeight="1">
      <x:c r="A799" s="9"/>
      <x:c r="B799" s="9"/>
      <x:c r="C799" s="9"/>
      <x:c r="D799" s="9"/>
      <x:c r="E799" s="9"/>
      <x:c r="F799" s="9"/>
      <x:c r="G799" s="9"/>
      <x:c r="H799" s="9"/>
    </x:row>
    <x:row r="800" ht="14.25" customHeight="1">
      <x:c r="A800" s="9"/>
      <x:c r="B800" s="9"/>
      <x:c r="C800" s="9"/>
      <x:c r="D800" s="9"/>
      <x:c r="E800" s="9"/>
      <x:c r="F800" s="9"/>
      <x:c r="G800" s="9"/>
      <x:c r="H800" s="9"/>
    </x:row>
    <x:row r="801" ht="14.25" customHeight="1">
      <x:c r="A801" s="9"/>
      <x:c r="B801" s="9"/>
      <x:c r="C801" s="9"/>
      <x:c r="D801" s="9"/>
      <x:c r="E801" s="9"/>
      <x:c r="F801" s="9"/>
      <x:c r="G801" s="9"/>
      <x:c r="H801" s="9"/>
    </x:row>
    <x:row r="802" ht="14.25" customHeight="1">
      <x:c r="A802" s="9"/>
      <x:c r="B802" s="9"/>
      <x:c r="C802" s="9"/>
      <x:c r="D802" s="9"/>
      <x:c r="E802" s="9"/>
      <x:c r="F802" s="9"/>
      <x:c r="G802" s="9"/>
      <x:c r="H802" s="9"/>
    </x:row>
    <x:row r="803" ht="14.25" customHeight="1">
      <x:c r="A803" s="9"/>
      <x:c r="B803" s="9"/>
      <x:c r="C803" s="9"/>
      <x:c r="D803" s="9"/>
      <x:c r="E803" s="9"/>
      <x:c r="F803" s="9"/>
      <x:c r="G803" s="9"/>
      <x:c r="H803" s="9"/>
    </x:row>
    <x:row r="804" ht="14.25" customHeight="1">
      <x:c r="A804" s="9"/>
      <x:c r="B804" s="9"/>
      <x:c r="C804" s="9"/>
      <x:c r="D804" s="9"/>
      <x:c r="E804" s="9"/>
      <x:c r="F804" s="9"/>
      <x:c r="G804" s="9"/>
      <x:c r="H804" s="9"/>
    </x:row>
    <x:row r="805" ht="14.25" customHeight="1">
      <x:c r="A805" s="9"/>
      <x:c r="B805" s="9"/>
      <x:c r="C805" s="9"/>
      <x:c r="D805" s="9"/>
      <x:c r="E805" s="9"/>
      <x:c r="F805" s="9"/>
      <x:c r="G805" s="9"/>
      <x:c r="H805" s="9"/>
    </x:row>
    <x:row r="806" ht="14.25" customHeight="1">
      <x:c r="A806" s="9"/>
      <x:c r="B806" s="9"/>
      <x:c r="C806" s="9"/>
      <x:c r="D806" s="9"/>
      <x:c r="E806" s="9"/>
      <x:c r="F806" s="9"/>
      <x:c r="G806" s="9"/>
      <x:c r="H806" s="9"/>
    </x:row>
    <x:row r="807" ht="14.25" customHeight="1">
      <x:c r="A807" s="9"/>
      <x:c r="B807" s="9"/>
      <x:c r="C807" s="9"/>
      <x:c r="D807" s="9"/>
      <x:c r="E807" s="9"/>
      <x:c r="F807" s="9"/>
      <x:c r="G807" s="9"/>
      <x:c r="H807" s="9"/>
    </x:row>
    <x:row r="808" ht="14.25" customHeight="1">
      <x:c r="A808" s="9"/>
      <x:c r="B808" s="9"/>
      <x:c r="C808" s="9"/>
      <x:c r="D808" s="9"/>
      <x:c r="E808" s="9"/>
      <x:c r="F808" s="9"/>
      <x:c r="G808" s="9"/>
      <x:c r="H808" s="9"/>
    </x:row>
    <x:row r="809" ht="14.25" customHeight="1">
      <x:c r="A809" s="9"/>
      <x:c r="B809" s="9"/>
      <x:c r="C809" s="9"/>
      <x:c r="D809" s="9"/>
      <x:c r="E809" s="9"/>
      <x:c r="F809" s="9"/>
      <x:c r="G809" s="9"/>
      <x:c r="H809" s="9"/>
    </x:row>
    <x:row r="810" ht="14.25" customHeight="1">
      <x:c r="A810" s="9"/>
      <x:c r="B810" s="9"/>
      <x:c r="C810" s="9"/>
      <x:c r="D810" s="9"/>
      <x:c r="E810" s="9"/>
      <x:c r="F810" s="9"/>
      <x:c r="G810" s="9"/>
      <x:c r="H810" s="9"/>
    </x:row>
    <x:row r="811" ht="14.25" customHeight="1">
      <x:c r="A811" s="9"/>
      <x:c r="B811" s="9"/>
      <x:c r="C811" s="9"/>
      <x:c r="D811" s="9"/>
      <x:c r="E811" s="9"/>
      <x:c r="F811" s="9"/>
      <x:c r="G811" s="9"/>
      <x:c r="H811" s="9"/>
    </x:row>
    <x:row r="812" ht="14.25" customHeight="1">
      <x:c r="A812" s="9"/>
      <x:c r="B812" s="9"/>
      <x:c r="C812" s="9"/>
      <x:c r="D812" s="9"/>
      <x:c r="E812" s="9"/>
      <x:c r="F812" s="9"/>
      <x:c r="G812" s="9"/>
      <x:c r="H812" s="9"/>
    </x:row>
    <x:row r="813" ht="14.25" customHeight="1">
      <x:c r="A813" s="9"/>
      <x:c r="B813" s="9"/>
      <x:c r="C813" s="9"/>
      <x:c r="D813" s="9"/>
      <x:c r="E813" s="9"/>
      <x:c r="F813" s="9"/>
      <x:c r="G813" s="9"/>
      <x:c r="H813" s="9"/>
    </x:row>
    <x:row r="814" ht="14.25" customHeight="1">
      <x:c r="A814" s="9"/>
      <x:c r="B814" s="9"/>
      <x:c r="C814" s="9"/>
      <x:c r="D814" s="9"/>
      <x:c r="E814" s="9"/>
      <x:c r="F814" s="9"/>
      <x:c r="G814" s="9"/>
      <x:c r="H814" s="9"/>
    </x:row>
    <x:row r="815" ht="14.25" customHeight="1">
      <x:c r="A815" s="9"/>
      <x:c r="B815" s="9"/>
      <x:c r="C815" s="9"/>
      <x:c r="D815" s="9"/>
      <x:c r="E815" s="9"/>
      <x:c r="F815" s="9"/>
      <x:c r="G815" s="9"/>
      <x:c r="H815" s="9"/>
    </x:row>
    <x:row r="816" ht="14.25" customHeight="1">
      <x:c r="A816" s="9"/>
      <x:c r="B816" s="9"/>
      <x:c r="C816" s="9"/>
      <x:c r="D816" s="9"/>
      <x:c r="E816" s="9"/>
      <x:c r="F816" s="9"/>
      <x:c r="G816" s="9"/>
      <x:c r="H816" s="9"/>
    </x:row>
    <x:row r="817" ht="14.25" customHeight="1">
      <x:c r="A817" s="9"/>
      <x:c r="B817" s="9"/>
      <x:c r="C817" s="9"/>
      <x:c r="D817" s="9"/>
      <x:c r="E817" s="9"/>
      <x:c r="F817" s="9"/>
      <x:c r="G817" s="9"/>
      <x:c r="H817" s="9"/>
    </x:row>
    <x:row r="818" ht="14.25" customHeight="1">
      <x:c r="A818" s="9"/>
      <x:c r="B818" s="9"/>
      <x:c r="C818" s="9"/>
      <x:c r="D818" s="9"/>
      <x:c r="E818" s="9"/>
      <x:c r="F818" s="9"/>
      <x:c r="G818" s="9"/>
      <x:c r="H818" s="9"/>
    </x:row>
    <x:row r="819" ht="14.25" customHeight="1">
      <x:c r="A819" s="9"/>
      <x:c r="B819" s="9"/>
      <x:c r="C819" s="9"/>
      <x:c r="D819" s="9"/>
      <x:c r="E819" s="9"/>
      <x:c r="F819" s="9"/>
      <x:c r="G819" s="9"/>
      <x:c r="H819" s="9"/>
    </x:row>
    <x:row r="820" ht="14.25" customHeight="1">
      <x:c r="A820" s="9"/>
      <x:c r="B820" s="9"/>
      <x:c r="C820" s="9"/>
      <x:c r="D820" s="9"/>
      <x:c r="E820" s="9"/>
      <x:c r="F820" s="9"/>
      <x:c r="G820" s="9"/>
      <x:c r="H820" s="9"/>
    </x:row>
    <x:row r="821" ht="14.25" customHeight="1">
      <x:c r="A821" s="9"/>
      <x:c r="B821" s="9"/>
      <x:c r="C821" s="9"/>
      <x:c r="D821" s="9"/>
      <x:c r="E821" s="9"/>
      <x:c r="F821" s="9"/>
      <x:c r="G821" s="9"/>
      <x:c r="H821" s="9"/>
    </x:row>
    <x:row r="822" ht="14.25" customHeight="1">
      <x:c r="A822" s="9"/>
      <x:c r="B822" s="9"/>
      <x:c r="C822" s="9"/>
      <x:c r="D822" s="9"/>
      <x:c r="E822" s="9"/>
      <x:c r="F822" s="9"/>
      <x:c r="G822" s="9"/>
      <x:c r="H822" s="9"/>
    </x:row>
    <x:row r="823" ht="14.25" customHeight="1">
      <x:c r="A823" s="9"/>
      <x:c r="B823" s="9"/>
      <x:c r="C823" s="9"/>
      <x:c r="D823" s="9"/>
      <x:c r="E823" s="9"/>
      <x:c r="F823" s="9"/>
      <x:c r="G823" s="9"/>
      <x:c r="H823" s="9"/>
    </x:row>
    <x:row r="824" ht="14.25" customHeight="1">
      <x:c r="A824" s="9"/>
      <x:c r="B824" s="9"/>
      <x:c r="C824" s="9"/>
      <x:c r="D824" s="9"/>
      <x:c r="E824" s="9"/>
      <x:c r="F824" s="9"/>
      <x:c r="G824" s="9"/>
      <x:c r="H824" s="9"/>
    </x:row>
    <x:row r="825" ht="14.25" customHeight="1">
      <x:c r="A825" s="9"/>
      <x:c r="B825" s="9"/>
      <x:c r="C825" s="9"/>
      <x:c r="D825" s="9"/>
      <x:c r="E825" s="9"/>
      <x:c r="F825" s="9"/>
      <x:c r="G825" s="9"/>
      <x:c r="H825" s="9"/>
    </x:row>
    <x:row r="826" ht="14.25" customHeight="1">
      <x:c r="A826" s="9"/>
      <x:c r="B826" s="9"/>
      <x:c r="C826" s="9"/>
      <x:c r="D826" s="9"/>
      <x:c r="E826" s="9"/>
      <x:c r="F826" s="9"/>
      <x:c r="G826" s="9"/>
      <x:c r="H826" s="9"/>
    </x:row>
    <x:row r="827" ht="14.25" customHeight="1">
      <x:c r="A827" s="9"/>
      <x:c r="B827" s="9"/>
      <x:c r="C827" s="9"/>
      <x:c r="D827" s="9"/>
      <x:c r="E827" s="9"/>
      <x:c r="F827" s="9"/>
      <x:c r="G827" s="9"/>
      <x:c r="H827" s="9"/>
    </x:row>
    <x:row r="828" ht="14.25" customHeight="1">
      <x:c r="A828" s="9"/>
      <x:c r="B828" s="9"/>
      <x:c r="C828" s="9"/>
      <x:c r="D828" s="9"/>
      <x:c r="E828" s="9"/>
      <x:c r="F828" s="9"/>
      <x:c r="G828" s="9"/>
      <x:c r="H828" s="9"/>
    </x:row>
    <x:row r="829" ht="14.25" customHeight="1">
      <x:c r="A829" s="9"/>
      <x:c r="B829" s="9"/>
      <x:c r="C829" s="9"/>
      <x:c r="D829" s="9"/>
      <x:c r="E829" s="9"/>
      <x:c r="F829" s="9"/>
      <x:c r="G829" s="9"/>
      <x:c r="H829" s="9"/>
    </x:row>
    <x:row r="830" ht="14.25" customHeight="1">
      <x:c r="A830" s="9"/>
      <x:c r="B830" s="9"/>
      <x:c r="C830" s="9"/>
      <x:c r="D830" s="9"/>
      <x:c r="E830" s="9"/>
      <x:c r="F830" s="9"/>
      <x:c r="G830" s="9"/>
      <x:c r="H830" s="9"/>
    </x:row>
    <x:row r="831" ht="14.25" customHeight="1">
      <x:c r="A831" s="9"/>
      <x:c r="B831" s="9"/>
      <x:c r="C831" s="9"/>
      <x:c r="D831" s="9"/>
      <x:c r="E831" s="9"/>
      <x:c r="F831" s="9"/>
      <x:c r="G831" s="9"/>
      <x:c r="H831" s="9"/>
    </x:row>
    <x:row r="832" ht="14.25" customHeight="1">
      <x:c r="A832" s="9"/>
      <x:c r="B832" s="9"/>
      <x:c r="C832" s="9"/>
      <x:c r="D832" s="9"/>
      <x:c r="E832" s="9"/>
      <x:c r="F832" s="9"/>
      <x:c r="G832" s="9"/>
      <x:c r="H832" s="9"/>
    </x:row>
    <x:row r="833" ht="14.25" customHeight="1">
      <x:c r="A833" s="9"/>
      <x:c r="B833" s="9"/>
      <x:c r="C833" s="9"/>
      <x:c r="D833" s="9"/>
      <x:c r="E833" s="9"/>
      <x:c r="F833" s="9"/>
      <x:c r="G833" s="9"/>
      <x:c r="H833" s="9"/>
    </x:row>
    <x:row r="834" ht="14.25" customHeight="1">
      <x:c r="A834" s="9"/>
      <x:c r="B834" s="9"/>
      <x:c r="C834" s="9"/>
      <x:c r="D834" s="9"/>
      <x:c r="E834" s="9"/>
      <x:c r="F834" s="9"/>
      <x:c r="G834" s="9"/>
      <x:c r="H834" s="9"/>
    </x:row>
    <x:row r="835" ht="14.25" customHeight="1">
      <x:c r="A835" s="9"/>
      <x:c r="B835" s="9"/>
      <x:c r="C835" s="9"/>
      <x:c r="D835" s="9"/>
      <x:c r="E835" s="9"/>
      <x:c r="F835" s="9"/>
      <x:c r="G835" s="9"/>
      <x:c r="H835" s="9"/>
    </x:row>
    <x:row r="836" ht="14.25" customHeight="1">
      <x:c r="A836" s="9"/>
      <x:c r="B836" s="9"/>
      <x:c r="C836" s="9"/>
      <x:c r="D836" s="9"/>
      <x:c r="E836" s="9"/>
      <x:c r="F836" s="9"/>
      <x:c r="G836" s="9"/>
      <x:c r="H836" s="9"/>
    </x:row>
    <x:row r="837" ht="14.25" customHeight="1">
      <x:c r="A837" s="9"/>
      <x:c r="B837" s="9"/>
      <x:c r="C837" s="9"/>
      <x:c r="D837" s="9"/>
      <x:c r="E837" s="9"/>
      <x:c r="F837" s="9"/>
      <x:c r="G837" s="9"/>
      <x:c r="H837" s="9"/>
    </x:row>
    <x:row r="838" ht="14.25" customHeight="1">
      <x:c r="A838" s="9"/>
      <x:c r="B838" s="9"/>
      <x:c r="C838" s="9"/>
      <x:c r="D838" s="9"/>
      <x:c r="E838" s="9"/>
      <x:c r="F838" s="9"/>
      <x:c r="G838" s="9"/>
      <x:c r="H838" s="9"/>
    </x:row>
    <x:row r="839" ht="14.25" customHeight="1">
      <x:c r="A839" s="9"/>
      <x:c r="B839" s="9"/>
      <x:c r="C839" s="9"/>
      <x:c r="D839" s="9"/>
      <x:c r="E839" s="9"/>
      <x:c r="F839" s="9"/>
      <x:c r="G839" s="9"/>
      <x:c r="H839" s="9"/>
    </x:row>
    <x:row r="840" ht="14.25" customHeight="1">
      <x:c r="A840" s="9"/>
      <x:c r="B840" s="9"/>
      <x:c r="C840" s="9"/>
      <x:c r="D840" s="9"/>
      <x:c r="E840" s="9"/>
      <x:c r="F840" s="9"/>
      <x:c r="G840" s="9"/>
      <x:c r="H840" s="9"/>
    </x:row>
    <x:row r="841" ht="14.25" customHeight="1">
      <x:c r="A841" s="9"/>
      <x:c r="B841" s="9"/>
      <x:c r="C841" s="9"/>
      <x:c r="D841" s="9"/>
      <x:c r="E841" s="9"/>
      <x:c r="F841" s="9"/>
      <x:c r="G841" s="9"/>
      <x:c r="H841" s="9"/>
    </x:row>
    <x:row r="842" ht="14.25" customHeight="1">
      <x:c r="A842" s="9"/>
      <x:c r="B842" s="9"/>
      <x:c r="C842" s="9"/>
      <x:c r="D842" s="9"/>
      <x:c r="E842" s="9"/>
      <x:c r="F842" s="9"/>
      <x:c r="G842" s="9"/>
      <x:c r="H842" s="9"/>
    </x:row>
    <x:row r="843" ht="14.25" customHeight="1">
      <x:c r="A843" s="9"/>
      <x:c r="B843" s="9"/>
      <x:c r="C843" s="9"/>
      <x:c r="D843" s="9"/>
      <x:c r="E843" s="9"/>
      <x:c r="F843" s="9"/>
      <x:c r="G843" s="9"/>
      <x:c r="H843" s="9"/>
    </x:row>
    <x:row r="844" ht="14.25" customHeight="1">
      <x:c r="A844" s="9"/>
      <x:c r="B844" s="9"/>
      <x:c r="C844" s="9"/>
      <x:c r="D844" s="9"/>
      <x:c r="E844" s="9"/>
      <x:c r="F844" s="9"/>
      <x:c r="G844" s="9"/>
      <x:c r="H844" s="9"/>
    </x:row>
    <x:row r="845" ht="14.25" customHeight="1">
      <x:c r="A845" s="9"/>
      <x:c r="B845" s="9"/>
      <x:c r="C845" s="9"/>
      <x:c r="D845" s="9"/>
      <x:c r="E845" s="9"/>
      <x:c r="F845" s="9"/>
      <x:c r="G845" s="9"/>
      <x:c r="H845" s="9"/>
    </x:row>
    <x:row r="846" ht="14.25" customHeight="1">
      <x:c r="A846" s="9"/>
      <x:c r="B846" s="9"/>
      <x:c r="C846" s="9"/>
      <x:c r="D846" s="9"/>
      <x:c r="E846" s="9"/>
      <x:c r="F846" s="9"/>
      <x:c r="G846" s="9"/>
      <x:c r="H846" s="9"/>
    </x:row>
    <x:row r="847" ht="14.25" customHeight="1">
      <x:c r="A847" s="9"/>
      <x:c r="B847" s="9"/>
      <x:c r="C847" s="9"/>
      <x:c r="D847" s="9"/>
      <x:c r="E847" s="9"/>
      <x:c r="F847" s="9"/>
      <x:c r="G847" s="9"/>
      <x:c r="H847" s="9"/>
    </x:row>
    <x:row r="848" ht="14.25" customHeight="1">
      <x:c r="A848" s="9"/>
      <x:c r="B848" s="9"/>
      <x:c r="C848" s="9"/>
      <x:c r="D848" s="9"/>
      <x:c r="E848" s="9"/>
      <x:c r="F848" s="9"/>
      <x:c r="G848" s="9"/>
      <x:c r="H848" s="9"/>
    </x:row>
    <x:row r="849" ht="14.25" customHeight="1">
      <x:c r="A849" s="9"/>
      <x:c r="B849" s="9"/>
      <x:c r="C849" s="9"/>
      <x:c r="D849" s="9"/>
      <x:c r="E849" s="9"/>
      <x:c r="F849" s="9"/>
      <x:c r="G849" s="9"/>
      <x:c r="H849" s="9"/>
    </x:row>
    <x:row r="850" ht="14.25" customHeight="1">
      <x:c r="A850" s="9"/>
      <x:c r="B850" s="9"/>
      <x:c r="C850" s="9"/>
      <x:c r="D850" s="9"/>
      <x:c r="E850" s="9"/>
      <x:c r="F850" s="9"/>
      <x:c r="G850" s="9"/>
      <x:c r="H850" s="9"/>
    </x:row>
    <x:row r="851" ht="14.25" customHeight="1">
      <x:c r="A851" s="9"/>
      <x:c r="B851" s="9"/>
      <x:c r="C851" s="9"/>
      <x:c r="D851" s="9"/>
      <x:c r="E851" s="9"/>
      <x:c r="F851" s="9"/>
      <x:c r="G851" s="9"/>
      <x:c r="H851" s="9"/>
    </x:row>
    <x:row r="852" ht="14.25" customHeight="1">
      <x:c r="A852" s="9"/>
      <x:c r="B852" s="9"/>
      <x:c r="C852" s="9"/>
      <x:c r="D852" s="9"/>
      <x:c r="E852" s="9"/>
      <x:c r="F852" s="9"/>
      <x:c r="G852" s="9"/>
      <x:c r="H852" s="9"/>
    </x:row>
    <x:row r="853" ht="14.25" customHeight="1">
      <x:c r="A853" s="9"/>
      <x:c r="B853" s="9"/>
      <x:c r="C853" s="9"/>
      <x:c r="D853" s="9"/>
      <x:c r="E853" s="9"/>
      <x:c r="F853" s="9"/>
      <x:c r="G853" s="9"/>
      <x:c r="H853" s="9"/>
    </x:row>
    <x:row r="854" ht="14.25" customHeight="1">
      <x:c r="A854" s="9"/>
      <x:c r="B854" s="9"/>
      <x:c r="C854" s="9"/>
      <x:c r="D854" s="9"/>
      <x:c r="E854" s="9"/>
      <x:c r="F854" s="9"/>
      <x:c r="G854" s="9"/>
      <x:c r="H854" s="9"/>
    </x:row>
    <x:row r="855" ht="14.25" customHeight="1">
      <x:c r="A855" s="9"/>
      <x:c r="B855" s="9"/>
      <x:c r="C855" s="9"/>
      <x:c r="D855" s="9"/>
      <x:c r="E855" s="9"/>
      <x:c r="F855" s="9"/>
      <x:c r="G855" s="9"/>
      <x:c r="H855" s="9"/>
    </x:row>
    <x:row r="856" ht="14.25" customHeight="1">
      <x:c r="A856" s="9"/>
      <x:c r="B856" s="9"/>
      <x:c r="C856" s="9"/>
      <x:c r="D856" s="9"/>
      <x:c r="E856" s="9"/>
      <x:c r="F856" s="9"/>
      <x:c r="G856" s="9"/>
      <x:c r="H856" s="9"/>
    </x:row>
    <x:row r="857" ht="14.25" customHeight="1">
      <x:c r="A857" s="9"/>
      <x:c r="B857" s="9"/>
      <x:c r="C857" s="9"/>
      <x:c r="D857" s="9"/>
      <x:c r="E857" s="9"/>
      <x:c r="F857" s="9"/>
      <x:c r="G857" s="9"/>
      <x:c r="H857" s="9"/>
    </x:row>
    <x:row r="858" ht="14.25" customHeight="1">
      <x:c r="A858" s="9"/>
      <x:c r="B858" s="9"/>
      <x:c r="C858" s="9"/>
      <x:c r="D858" s="9"/>
      <x:c r="E858" s="9"/>
      <x:c r="F858" s="9"/>
      <x:c r="G858" s="9"/>
      <x:c r="H858" s="9"/>
    </x:row>
    <x:row r="859" ht="14.25" customHeight="1">
      <x:c r="A859" s="9"/>
      <x:c r="B859" s="9"/>
      <x:c r="C859" s="9"/>
      <x:c r="D859" s="9"/>
      <x:c r="E859" s="9"/>
      <x:c r="F859" s="9"/>
      <x:c r="G859" s="9"/>
      <x:c r="H859" s="9"/>
    </x:row>
    <x:row r="860" ht="14.25" customHeight="1">
      <x:c r="A860" s="9"/>
      <x:c r="B860" s="9"/>
      <x:c r="C860" s="9"/>
      <x:c r="D860" s="9"/>
      <x:c r="E860" s="9"/>
      <x:c r="F860" s="9"/>
      <x:c r="G860" s="9"/>
      <x:c r="H860" s="9"/>
    </x:row>
    <x:row r="861" ht="14.25" customHeight="1">
      <x:c r="A861" s="9"/>
      <x:c r="B861" s="9"/>
      <x:c r="C861" s="9"/>
      <x:c r="D861" s="9"/>
      <x:c r="E861" s="9"/>
      <x:c r="F861" s="9"/>
      <x:c r="G861" s="9"/>
      <x:c r="H861" s="9"/>
    </x:row>
    <x:row r="862" ht="14.25" customHeight="1">
      <x:c r="A862" s="9"/>
      <x:c r="B862" s="9"/>
      <x:c r="C862" s="9"/>
      <x:c r="D862" s="9"/>
      <x:c r="E862" s="9"/>
      <x:c r="F862" s="9"/>
      <x:c r="G862" s="9"/>
      <x:c r="H862" s="9"/>
    </x:row>
    <x:row r="863" ht="14.25" customHeight="1">
      <x:c r="A863" s="9"/>
      <x:c r="B863" s="9"/>
      <x:c r="C863" s="9"/>
      <x:c r="D863" s="9"/>
      <x:c r="E863" s="9"/>
      <x:c r="F863" s="9"/>
      <x:c r="G863" s="9"/>
      <x:c r="H863" s="9"/>
    </x:row>
    <x:row r="864" ht="14.25" customHeight="1">
      <x:c r="A864" s="9"/>
      <x:c r="B864" s="9"/>
      <x:c r="C864" s="9"/>
      <x:c r="D864" s="9"/>
      <x:c r="E864" s="9"/>
      <x:c r="F864" s="9"/>
      <x:c r="G864" s="9"/>
      <x:c r="H864" s="9"/>
    </x:row>
    <x:row r="865" ht="14.25" customHeight="1">
      <x:c r="A865" s="9"/>
      <x:c r="B865" s="9"/>
      <x:c r="C865" s="9"/>
      <x:c r="D865" s="9"/>
      <x:c r="E865" s="9"/>
      <x:c r="F865" s="9"/>
      <x:c r="G865" s="9"/>
      <x:c r="H865" s="9"/>
    </x:row>
    <x:row r="866" ht="14.25" customHeight="1">
      <x:c r="A866" s="9"/>
      <x:c r="B866" s="9"/>
      <x:c r="C866" s="9"/>
      <x:c r="D866" s="9"/>
      <x:c r="E866" s="9"/>
      <x:c r="F866" s="9"/>
      <x:c r="G866" s="9"/>
      <x:c r="H866" s="9"/>
    </x:row>
    <x:row r="867" ht="14.25" customHeight="1">
      <x:c r="A867" s="9"/>
      <x:c r="B867" s="9"/>
      <x:c r="C867" s="9"/>
      <x:c r="D867" s="9"/>
      <x:c r="E867" s="9"/>
      <x:c r="F867" s="9"/>
      <x:c r="G867" s="9"/>
      <x:c r="H867" s="9"/>
    </x:row>
    <x:row r="868" ht="14.25" customHeight="1">
      <x:c r="A868" s="9"/>
      <x:c r="B868" s="9"/>
      <x:c r="C868" s="9"/>
      <x:c r="D868" s="9"/>
      <x:c r="E868" s="9"/>
      <x:c r="F868" s="9"/>
      <x:c r="G868" s="9"/>
      <x:c r="H868" s="9"/>
    </x:row>
    <x:row r="869" ht="14.25" customHeight="1">
      <x:c r="A869" s="9"/>
      <x:c r="B869" s="9"/>
      <x:c r="C869" s="9"/>
      <x:c r="D869" s="9"/>
      <x:c r="E869" s="9"/>
      <x:c r="F869" s="9"/>
      <x:c r="G869" s="9"/>
      <x:c r="H869" s="9"/>
    </x:row>
    <x:row r="870" ht="14.25" customHeight="1">
      <x:c r="A870" s="9"/>
      <x:c r="B870" s="9"/>
      <x:c r="C870" s="9"/>
      <x:c r="D870" s="9"/>
      <x:c r="E870" s="9"/>
      <x:c r="F870" s="9"/>
      <x:c r="G870" s="9"/>
      <x:c r="H870" s="9"/>
    </x:row>
    <x:row r="871" ht="14.25" customHeight="1">
      <x:c r="A871" s="9"/>
      <x:c r="B871" s="9"/>
      <x:c r="C871" s="9"/>
      <x:c r="D871" s="9"/>
      <x:c r="E871" s="9"/>
      <x:c r="F871" s="9"/>
      <x:c r="G871" s="9"/>
      <x:c r="H871" s="9"/>
    </x:row>
    <x:row r="872" ht="14.25" customHeight="1">
      <x:c r="A872" s="9"/>
      <x:c r="B872" s="9"/>
      <x:c r="C872" s="9"/>
      <x:c r="D872" s="9"/>
      <x:c r="E872" s="9"/>
      <x:c r="F872" s="9"/>
      <x:c r="G872" s="9"/>
      <x:c r="H872" s="9"/>
    </x:row>
    <x:row r="873" ht="14.25" customHeight="1">
      <x:c r="A873" s="9"/>
      <x:c r="B873" s="9"/>
      <x:c r="C873" s="9"/>
      <x:c r="D873" s="9"/>
      <x:c r="E873" s="9"/>
      <x:c r="F873" s="9"/>
      <x:c r="G873" s="9"/>
      <x:c r="H873" s="9"/>
    </x:row>
    <x:row r="874" ht="14.25" customHeight="1">
      <x:c r="A874" s="9"/>
      <x:c r="B874" s="9"/>
      <x:c r="C874" s="9"/>
      <x:c r="D874" s="9"/>
      <x:c r="E874" s="9"/>
      <x:c r="F874" s="9"/>
      <x:c r="G874" s="9"/>
      <x:c r="H874" s="9"/>
    </x:row>
    <x:row r="875" ht="14.25" customHeight="1">
      <x:c r="A875" s="9"/>
      <x:c r="B875" s="9"/>
      <x:c r="C875" s="9"/>
      <x:c r="D875" s="9"/>
      <x:c r="E875" s="9"/>
      <x:c r="F875" s="9"/>
      <x:c r="G875" s="9"/>
      <x:c r="H875" s="9"/>
    </x:row>
    <x:row r="876" ht="14.25" customHeight="1">
      <x:c r="A876" s="9"/>
      <x:c r="B876" s="9"/>
      <x:c r="C876" s="9"/>
      <x:c r="D876" s="9"/>
      <x:c r="E876" s="9"/>
      <x:c r="F876" s="9"/>
      <x:c r="G876" s="9"/>
      <x:c r="H876" s="9"/>
    </x:row>
    <x:row r="877" ht="14.25" customHeight="1">
      <x:c r="A877" s="9"/>
      <x:c r="B877" s="9"/>
      <x:c r="C877" s="9"/>
      <x:c r="D877" s="9"/>
      <x:c r="E877" s="9"/>
      <x:c r="F877" s="9"/>
      <x:c r="G877" s="9"/>
      <x:c r="H877" s="9"/>
    </x:row>
    <x:row r="878" ht="14.25" customHeight="1">
      <x:c r="A878" s="9"/>
      <x:c r="B878" s="9"/>
      <x:c r="C878" s="9"/>
      <x:c r="D878" s="9"/>
      <x:c r="E878" s="9"/>
      <x:c r="F878" s="9"/>
      <x:c r="G878" s="9"/>
      <x:c r="H878" s="9"/>
    </x:row>
    <x:row r="879" ht="14.25" customHeight="1">
      <x:c r="A879" s="9"/>
      <x:c r="B879" s="9"/>
      <x:c r="C879" s="9"/>
      <x:c r="D879" s="9"/>
      <x:c r="E879" s="9"/>
      <x:c r="F879" s="9"/>
      <x:c r="G879" s="9"/>
      <x:c r="H879" s="9"/>
    </x:row>
    <x:row r="880" ht="14.25" customHeight="1">
      <x:c r="A880" s="9"/>
      <x:c r="B880" s="9"/>
      <x:c r="C880" s="9"/>
      <x:c r="D880" s="9"/>
      <x:c r="E880" s="9"/>
      <x:c r="F880" s="9"/>
      <x:c r="G880" s="9"/>
      <x:c r="H880" s="9"/>
    </x:row>
    <x:row r="881" ht="14.25" customHeight="1">
      <x:c r="A881" s="9"/>
      <x:c r="B881" s="9"/>
      <x:c r="C881" s="9"/>
      <x:c r="D881" s="9"/>
      <x:c r="E881" s="9"/>
      <x:c r="F881" s="9"/>
      <x:c r="G881" s="9"/>
      <x:c r="H881" s="9"/>
    </x:row>
    <x:row r="882" ht="14.25" customHeight="1">
      <x:c r="A882" s="9"/>
      <x:c r="B882" s="9"/>
      <x:c r="C882" s="9"/>
      <x:c r="D882" s="9"/>
      <x:c r="E882" s="9"/>
      <x:c r="F882" s="9"/>
      <x:c r="G882" s="9"/>
      <x:c r="H882" s="9"/>
    </x:row>
    <x:row r="883" ht="14.25" customHeight="1">
      <x:c r="A883" s="9"/>
      <x:c r="B883" s="9"/>
      <x:c r="C883" s="9"/>
      <x:c r="D883" s="9"/>
      <x:c r="E883" s="9"/>
      <x:c r="F883" s="9"/>
      <x:c r="G883" s="9"/>
      <x:c r="H883" s="9"/>
    </x:row>
    <x:row r="884" ht="14.25" customHeight="1">
      <x:c r="A884" s="9"/>
      <x:c r="B884" s="9"/>
      <x:c r="C884" s="9"/>
      <x:c r="D884" s="9"/>
      <x:c r="E884" s="9"/>
      <x:c r="F884" s="9"/>
      <x:c r="G884" s="9"/>
      <x:c r="H884" s="9"/>
    </x:row>
    <x:row r="885" ht="14.25" customHeight="1">
      <x:c r="A885" s="9"/>
      <x:c r="B885" s="9"/>
      <x:c r="C885" s="9"/>
      <x:c r="D885" s="9"/>
      <x:c r="E885" s="9"/>
      <x:c r="F885" s="9"/>
      <x:c r="G885" s="9"/>
      <x:c r="H885" s="9"/>
    </x:row>
    <x:row r="886" ht="14.25" customHeight="1">
      <x:c r="A886" s="9"/>
      <x:c r="B886" s="9"/>
      <x:c r="C886" s="9"/>
      <x:c r="D886" s="9"/>
      <x:c r="E886" s="9"/>
      <x:c r="F886" s="9"/>
      <x:c r="G886" s="9"/>
      <x:c r="H886" s="9"/>
    </x:row>
    <x:row r="887" ht="14.25" customHeight="1">
      <x:c r="A887" s="9"/>
      <x:c r="B887" s="9"/>
      <x:c r="C887" s="9"/>
      <x:c r="D887" s="9"/>
      <x:c r="E887" s="9"/>
      <x:c r="F887" s="9"/>
      <x:c r="G887" s="9"/>
      <x:c r="H887" s="9"/>
    </x:row>
    <x:row r="888" ht="14.25" customHeight="1">
      <x:c r="A888" s="9"/>
      <x:c r="B888" s="9"/>
      <x:c r="C888" s="9"/>
      <x:c r="D888" s="9"/>
      <x:c r="E888" s="9"/>
      <x:c r="F888" s="9"/>
      <x:c r="G888" s="9"/>
      <x:c r="H888" s="9"/>
    </x:row>
    <x:row r="889" ht="14.25" customHeight="1">
      <x:c r="A889" s="9"/>
      <x:c r="B889" s="9"/>
      <x:c r="C889" s="9"/>
      <x:c r="D889" s="9"/>
      <x:c r="E889" s="9"/>
      <x:c r="F889" s="9"/>
      <x:c r="G889" s="9"/>
      <x:c r="H889" s="9"/>
    </x:row>
    <x:row r="890" ht="14.25" customHeight="1">
      <x:c r="A890" s="9"/>
      <x:c r="B890" s="9"/>
      <x:c r="C890" s="9"/>
      <x:c r="D890" s="9"/>
      <x:c r="E890" s="9"/>
      <x:c r="F890" s="9"/>
      <x:c r="G890" s="9"/>
      <x:c r="H890" s="9"/>
    </x:row>
    <x:row r="891" ht="14.25" customHeight="1">
      <x:c r="A891" s="9"/>
      <x:c r="B891" s="9"/>
      <x:c r="C891" s="9"/>
      <x:c r="D891" s="9"/>
      <x:c r="E891" s="9"/>
      <x:c r="F891" s="9"/>
      <x:c r="G891" s="9"/>
      <x:c r="H891" s="9"/>
    </x:row>
    <x:row r="892" ht="14.25" customHeight="1">
      <x:c r="A892" s="9"/>
      <x:c r="B892" s="9"/>
      <x:c r="C892" s="9"/>
      <x:c r="D892" s="9"/>
      <x:c r="E892" s="9"/>
      <x:c r="F892" s="9"/>
      <x:c r="G892" s="9"/>
      <x:c r="H892" s="9"/>
    </x:row>
    <x:row r="893" ht="14.25" customHeight="1">
      <x:c r="A893" s="9"/>
      <x:c r="B893" s="9"/>
      <x:c r="C893" s="9"/>
      <x:c r="D893" s="9"/>
      <x:c r="E893" s="9"/>
      <x:c r="F893" s="9"/>
      <x:c r="G893" s="9"/>
      <x:c r="H893" s="9"/>
    </x:row>
    <x:row r="894" ht="14.25" customHeight="1">
      <x:c r="A894" s="9"/>
      <x:c r="B894" s="9"/>
      <x:c r="C894" s="9"/>
      <x:c r="D894" s="9"/>
      <x:c r="E894" s="9"/>
      <x:c r="F894" s="9"/>
      <x:c r="G894" s="9"/>
      <x:c r="H894" s="9"/>
    </x:row>
    <x:row r="895" ht="14.25" customHeight="1">
      <x:c r="A895" s="9"/>
      <x:c r="B895" s="9"/>
      <x:c r="C895" s="9"/>
      <x:c r="D895" s="9"/>
      <x:c r="E895" s="9"/>
      <x:c r="F895" s="9"/>
      <x:c r="G895" s="9"/>
      <x:c r="H895" s="9"/>
    </x:row>
    <x:row r="896" ht="14.25" customHeight="1">
      <x:c r="A896" s="9"/>
      <x:c r="B896" s="9"/>
      <x:c r="C896" s="9"/>
      <x:c r="D896" s="9"/>
      <x:c r="E896" s="9"/>
      <x:c r="F896" s="9"/>
      <x:c r="G896" s="9"/>
      <x:c r="H896" s="9"/>
    </x:row>
    <x:row r="897" ht="14.25" customHeight="1">
      <x:c r="A897" s="9"/>
      <x:c r="B897" s="9"/>
      <x:c r="C897" s="9"/>
      <x:c r="D897" s="9"/>
      <x:c r="E897" s="9"/>
      <x:c r="F897" s="9"/>
      <x:c r="G897" s="9"/>
      <x:c r="H897" s="9"/>
    </x:row>
    <x:row r="898" ht="14.25" customHeight="1">
      <x:c r="A898" s="9"/>
      <x:c r="B898" s="9"/>
      <x:c r="C898" s="9"/>
      <x:c r="D898" s="9"/>
      <x:c r="E898" s="9"/>
      <x:c r="F898" s="9"/>
      <x:c r="G898" s="9"/>
      <x:c r="H898" s="9"/>
    </x:row>
    <x:row r="899" ht="14.25" customHeight="1">
      <x:c r="A899" s="9"/>
      <x:c r="B899" s="9"/>
      <x:c r="C899" s="9"/>
      <x:c r="D899" s="9"/>
      <x:c r="E899" s="9"/>
      <x:c r="F899" s="9"/>
      <x:c r="G899" s="9"/>
      <x:c r="H899" s="9"/>
    </x:row>
    <x:row r="900" ht="14.25" customHeight="1">
      <x:c r="A900" s="9"/>
      <x:c r="B900" s="9"/>
      <x:c r="C900" s="9"/>
      <x:c r="D900" s="9"/>
      <x:c r="E900" s="9"/>
      <x:c r="F900" s="9"/>
      <x:c r="G900" s="9"/>
      <x:c r="H900" s="9"/>
    </x:row>
    <x:row r="901" ht="14.25" customHeight="1">
      <x:c r="A901" s="9"/>
      <x:c r="B901" s="9"/>
      <x:c r="C901" s="9"/>
      <x:c r="D901" s="9"/>
      <x:c r="E901" s="9"/>
      <x:c r="F901" s="9"/>
      <x:c r="G901" s="9"/>
      <x:c r="H901" s="9"/>
    </x:row>
    <x:row r="902" ht="14.25" customHeight="1">
      <x:c r="A902" s="9"/>
      <x:c r="B902" s="9"/>
      <x:c r="C902" s="9"/>
      <x:c r="D902" s="9"/>
      <x:c r="E902" s="9"/>
      <x:c r="F902" s="9"/>
      <x:c r="G902" s="9"/>
      <x:c r="H902" s="9"/>
    </x:row>
    <x:row r="903" ht="14.25" customHeight="1">
      <x:c r="A903" s="9"/>
      <x:c r="B903" s="9"/>
      <x:c r="C903" s="9"/>
      <x:c r="D903" s="9"/>
      <x:c r="E903" s="9"/>
      <x:c r="F903" s="9"/>
      <x:c r="G903" s="9"/>
      <x:c r="H903" s="9"/>
    </x:row>
    <x:row r="904" ht="14.25" customHeight="1">
      <x:c r="A904" s="9"/>
      <x:c r="B904" s="9"/>
      <x:c r="C904" s="9"/>
      <x:c r="D904" s="9"/>
      <x:c r="E904" s="9"/>
      <x:c r="F904" s="9"/>
      <x:c r="G904" s="9"/>
      <x:c r="H904" s="9"/>
    </x:row>
    <x:row r="905" ht="14.25" customHeight="1">
      <x:c r="A905" s="9"/>
      <x:c r="B905" s="9"/>
      <x:c r="C905" s="9"/>
      <x:c r="D905" s="9"/>
      <x:c r="E905" s="9"/>
      <x:c r="F905" s="9"/>
      <x:c r="G905" s="9"/>
      <x:c r="H905" s="9"/>
    </x:row>
    <x:row r="906" ht="14.25" customHeight="1">
      <x:c r="A906" s="9"/>
      <x:c r="B906" s="9"/>
      <x:c r="C906" s="9"/>
      <x:c r="D906" s="9"/>
      <x:c r="E906" s="9"/>
      <x:c r="F906" s="9"/>
      <x:c r="G906" s="9"/>
      <x:c r="H906" s="9"/>
    </x:row>
    <x:row r="907" ht="14.25" customHeight="1">
      <x:c r="A907" s="9"/>
      <x:c r="B907" s="9"/>
      <x:c r="C907" s="9"/>
      <x:c r="D907" s="9"/>
      <x:c r="E907" s="9"/>
      <x:c r="F907" s="9"/>
      <x:c r="G907" s="9"/>
      <x:c r="H907" s="9"/>
    </x:row>
    <x:row r="908" ht="14.25" customHeight="1">
      <x:c r="A908" s="9"/>
      <x:c r="B908" s="9"/>
      <x:c r="C908" s="9"/>
      <x:c r="D908" s="9"/>
      <x:c r="E908" s="9"/>
      <x:c r="F908" s="9"/>
      <x:c r="G908" s="9"/>
      <x:c r="H908" s="9"/>
    </x:row>
    <x:row r="909" ht="14.25" customHeight="1">
      <x:c r="A909" s="9"/>
      <x:c r="B909" s="9"/>
      <x:c r="C909" s="9"/>
      <x:c r="D909" s="9"/>
      <x:c r="E909" s="9"/>
      <x:c r="F909" s="9"/>
      <x:c r="G909" s="9"/>
      <x:c r="H909" s="9"/>
    </x:row>
    <x:row r="910" ht="14.25" customHeight="1">
      <x:c r="A910" s="9"/>
      <x:c r="B910" s="9"/>
      <x:c r="C910" s="9"/>
      <x:c r="D910" s="9"/>
      <x:c r="E910" s="9"/>
      <x:c r="F910" s="9"/>
      <x:c r="G910" s="9"/>
      <x:c r="H910" s="9"/>
    </x:row>
    <x:row r="911" ht="14.25" customHeight="1">
      <x:c r="A911" s="9"/>
      <x:c r="B911" s="9"/>
      <x:c r="C911" s="9"/>
      <x:c r="D911" s="9"/>
      <x:c r="E911" s="9"/>
      <x:c r="F911" s="9"/>
      <x:c r="G911" s="9"/>
      <x:c r="H911" s="9"/>
    </x:row>
    <x:row r="912" ht="14.25" customHeight="1">
      <x:c r="A912" s="9"/>
      <x:c r="B912" s="9"/>
      <x:c r="C912" s="9"/>
      <x:c r="D912" s="9"/>
      <x:c r="E912" s="9"/>
      <x:c r="F912" s="9"/>
      <x:c r="G912" s="9"/>
      <x:c r="H912" s="9"/>
    </x:row>
    <x:row r="913" ht="14.25" customHeight="1">
      <x:c r="A913" s="9"/>
      <x:c r="B913" s="9"/>
      <x:c r="C913" s="9"/>
      <x:c r="D913" s="9"/>
      <x:c r="E913" s="9"/>
      <x:c r="F913" s="9"/>
      <x:c r="G913" s="9"/>
      <x:c r="H913" s="9"/>
    </x:row>
    <x:row r="914" ht="14.25" customHeight="1">
      <x:c r="A914" s="9"/>
      <x:c r="B914" s="9"/>
      <x:c r="C914" s="9"/>
      <x:c r="D914" s="9"/>
      <x:c r="E914" s="9"/>
      <x:c r="F914" s="9"/>
      <x:c r="G914" s="9"/>
      <x:c r="H914" s="9"/>
    </x:row>
    <x:row r="915" ht="14.25" customHeight="1">
      <x:c r="A915" s="9"/>
      <x:c r="B915" s="9"/>
      <x:c r="C915" s="9"/>
      <x:c r="D915" s="9"/>
      <x:c r="E915" s="9"/>
      <x:c r="F915" s="9"/>
      <x:c r="G915" s="9"/>
      <x:c r="H915" s="9"/>
    </x:row>
    <x:row r="916" ht="14.25" customHeight="1">
      <x:c r="A916" s="9"/>
      <x:c r="B916" s="9"/>
      <x:c r="C916" s="9"/>
      <x:c r="D916" s="9"/>
      <x:c r="E916" s="9"/>
      <x:c r="F916" s="9"/>
      <x:c r="G916" s="9"/>
      <x:c r="H916" s="9"/>
    </x:row>
    <x:row r="917" ht="14.25" customHeight="1">
      <x:c r="A917" s="9"/>
      <x:c r="B917" s="9"/>
      <x:c r="C917" s="9"/>
      <x:c r="D917" s="9"/>
      <x:c r="E917" s="9"/>
      <x:c r="F917" s="9"/>
      <x:c r="G917" s="9"/>
      <x:c r="H917" s="9"/>
    </x:row>
    <x:row r="918" ht="14.25" customHeight="1">
      <x:c r="A918" s="9"/>
      <x:c r="B918" s="9"/>
      <x:c r="C918" s="9"/>
      <x:c r="D918" s="9"/>
      <x:c r="E918" s="9"/>
      <x:c r="F918" s="9"/>
      <x:c r="G918" s="9"/>
      <x:c r="H918" s="9"/>
    </x:row>
    <x:row r="919" ht="14.25" customHeight="1">
      <x:c r="A919" s="9"/>
      <x:c r="B919" s="9"/>
      <x:c r="C919" s="9"/>
      <x:c r="D919" s="9"/>
      <x:c r="E919" s="9"/>
      <x:c r="F919" s="9"/>
      <x:c r="G919" s="9"/>
      <x:c r="H919" s="9"/>
    </x:row>
    <x:row r="920" ht="14.25" customHeight="1">
      <x:c r="A920" s="9"/>
      <x:c r="B920" s="9"/>
      <x:c r="C920" s="9"/>
      <x:c r="D920" s="9"/>
      <x:c r="E920" s="9"/>
      <x:c r="F920" s="9"/>
      <x:c r="G920" s="9"/>
      <x:c r="H920" s="9"/>
    </x:row>
    <x:row r="921" ht="14.25" customHeight="1">
      <x:c r="A921" s="9"/>
      <x:c r="B921" s="9"/>
      <x:c r="C921" s="9"/>
      <x:c r="D921" s="9"/>
      <x:c r="E921" s="9"/>
      <x:c r="F921" s="9"/>
      <x:c r="G921" s="9"/>
      <x:c r="H921" s="9"/>
    </x:row>
    <x:row r="922" ht="14.25" customHeight="1">
      <x:c r="A922" s="9"/>
      <x:c r="B922" s="9"/>
      <x:c r="C922" s="9"/>
      <x:c r="D922" s="9"/>
      <x:c r="E922" s="9"/>
      <x:c r="F922" s="9"/>
      <x:c r="G922" s="9"/>
      <x:c r="H922" s="9"/>
    </x:row>
    <x:row r="923" ht="14.25" customHeight="1">
      <x:c r="A923" s="9"/>
      <x:c r="B923" s="9"/>
      <x:c r="C923" s="9"/>
      <x:c r="D923" s="9"/>
      <x:c r="E923" s="9"/>
      <x:c r="F923" s="9"/>
      <x:c r="G923" s="9"/>
      <x:c r="H923" s="9"/>
    </x:row>
    <x:row r="924" ht="14.25" customHeight="1">
      <x:c r="A924" s="9"/>
      <x:c r="B924" s="9"/>
      <x:c r="C924" s="9"/>
      <x:c r="D924" s="9"/>
      <x:c r="E924" s="9"/>
      <x:c r="F924" s="9"/>
      <x:c r="G924" s="9"/>
      <x:c r="H924" s="9"/>
    </x:row>
    <x:row r="925" ht="14.25" customHeight="1">
      <x:c r="A925" s="9"/>
      <x:c r="B925" s="9"/>
      <x:c r="C925" s="9"/>
      <x:c r="D925" s="9"/>
      <x:c r="E925" s="9"/>
      <x:c r="F925" s="9"/>
      <x:c r="G925" s="9"/>
      <x:c r="H925" s="9"/>
    </x:row>
    <x:row r="926" ht="14.25" customHeight="1">
      <x:c r="A926" s="9"/>
      <x:c r="B926" s="9"/>
      <x:c r="C926" s="9"/>
      <x:c r="D926" s="9"/>
      <x:c r="E926" s="9"/>
      <x:c r="F926" s="9"/>
      <x:c r="G926" s="9"/>
      <x:c r="H926" s="9"/>
    </x:row>
    <x:row r="927" ht="14.25" customHeight="1">
      <x:c r="A927" s="9"/>
      <x:c r="B927" s="9"/>
      <x:c r="C927" s="9"/>
      <x:c r="D927" s="9"/>
      <x:c r="E927" s="9"/>
      <x:c r="F927" s="9"/>
      <x:c r="G927" s="9"/>
      <x:c r="H927" s="9"/>
    </x:row>
    <x:row r="928" ht="14.25" customHeight="1">
      <x:c r="A928" s="9"/>
      <x:c r="B928" s="9"/>
      <x:c r="C928" s="9"/>
      <x:c r="D928" s="9"/>
      <x:c r="E928" s="9"/>
      <x:c r="F928" s="9"/>
      <x:c r="G928" s="9"/>
      <x:c r="H928" s="9"/>
    </x:row>
    <x:row r="929" ht="14.25" customHeight="1">
      <x:c r="A929" s="9"/>
      <x:c r="B929" s="9"/>
      <x:c r="C929" s="9"/>
      <x:c r="D929" s="9"/>
      <x:c r="E929" s="9"/>
      <x:c r="F929" s="9"/>
      <x:c r="G929" s="9"/>
      <x:c r="H929" s="9"/>
    </x:row>
    <x:row r="930" ht="14.25" customHeight="1">
      <x:c r="A930" s="9"/>
      <x:c r="B930" s="9"/>
      <x:c r="C930" s="9"/>
      <x:c r="D930" s="9"/>
      <x:c r="E930" s="9"/>
      <x:c r="F930" s="9"/>
      <x:c r="G930" s="9"/>
      <x:c r="H930" s="9"/>
    </x:row>
    <x:row r="931" ht="14.25" customHeight="1">
      <x:c r="A931" s="9"/>
      <x:c r="B931" s="9"/>
      <x:c r="C931" s="9"/>
      <x:c r="D931" s="9"/>
      <x:c r="E931" s="9"/>
      <x:c r="F931" s="9"/>
      <x:c r="G931" s="9"/>
      <x:c r="H931" s="9"/>
    </x:row>
    <x:row r="932" ht="14.25" customHeight="1">
      <x:c r="A932" s="9"/>
      <x:c r="B932" s="9"/>
      <x:c r="C932" s="9"/>
      <x:c r="D932" s="9"/>
      <x:c r="E932" s="9"/>
      <x:c r="F932" s="9"/>
      <x:c r="G932" s="9"/>
      <x:c r="H932" s="9"/>
    </x:row>
    <x:row r="933" ht="14.25" customHeight="1">
      <x:c r="A933" s="9"/>
      <x:c r="B933" s="9"/>
      <x:c r="C933" s="9"/>
      <x:c r="D933" s="9"/>
      <x:c r="E933" s="9"/>
      <x:c r="F933" s="9"/>
      <x:c r="G933" s="9"/>
      <x:c r="H933" s="9"/>
    </x:row>
    <x:row r="934" ht="14.25" customHeight="1">
      <x:c r="A934" s="9"/>
      <x:c r="B934" s="9"/>
      <x:c r="C934" s="9"/>
      <x:c r="D934" s="9"/>
      <x:c r="E934" s="9"/>
      <x:c r="F934" s="9"/>
      <x:c r="G934" s="9"/>
      <x:c r="H934" s="9"/>
    </x:row>
    <x:row r="935" ht="14.25" customHeight="1">
      <x:c r="A935" s="9"/>
      <x:c r="B935" s="9"/>
      <x:c r="C935" s="9"/>
      <x:c r="D935" s="9"/>
      <x:c r="E935" s="9"/>
      <x:c r="F935" s="9"/>
      <x:c r="G935" s="9"/>
      <x:c r="H935" s="9"/>
    </x:row>
    <x:row r="936" ht="14.25" customHeight="1">
      <x:c r="A936" s="9"/>
      <x:c r="B936" s="9"/>
      <x:c r="C936" s="9"/>
      <x:c r="D936" s="9"/>
      <x:c r="E936" s="9"/>
      <x:c r="F936" s="9"/>
      <x:c r="G936" s="9"/>
      <x:c r="H936" s="9"/>
    </x:row>
    <x:row r="937" ht="14.25" customHeight="1">
      <x:c r="A937" s="9"/>
      <x:c r="B937" s="9"/>
      <x:c r="C937" s="9"/>
      <x:c r="D937" s="9"/>
      <x:c r="E937" s="9"/>
      <x:c r="F937" s="9"/>
      <x:c r="G937" s="9"/>
      <x:c r="H937" s="9"/>
    </x:row>
    <x:row r="938" ht="14.25" customHeight="1">
      <x:c r="A938" s="9"/>
      <x:c r="B938" s="9"/>
      <x:c r="C938" s="9"/>
      <x:c r="D938" s="9"/>
      <x:c r="E938" s="9"/>
      <x:c r="F938" s="9"/>
      <x:c r="G938" s="9"/>
      <x:c r="H938" s="9"/>
    </x:row>
    <x:row r="939" ht="14.25" customHeight="1">
      <x:c r="A939" s="9"/>
      <x:c r="B939" s="9"/>
      <x:c r="C939" s="9"/>
      <x:c r="D939" s="9"/>
      <x:c r="E939" s="9"/>
      <x:c r="F939" s="9"/>
      <x:c r="G939" s="9"/>
      <x:c r="H939" s="9"/>
    </x:row>
    <x:row r="940" ht="14.25" customHeight="1">
      <x:c r="A940" s="9"/>
      <x:c r="B940" s="9"/>
      <x:c r="C940" s="9"/>
      <x:c r="D940" s="9"/>
      <x:c r="E940" s="9"/>
      <x:c r="F940" s="9"/>
      <x:c r="G940" s="9"/>
      <x:c r="H940" s="9"/>
    </x:row>
    <x:row r="941" ht="14.25" customHeight="1">
      <x:c r="A941" s="9"/>
      <x:c r="B941" s="9"/>
      <x:c r="C941" s="9"/>
      <x:c r="D941" s="9"/>
      <x:c r="E941" s="9"/>
      <x:c r="F941" s="9"/>
      <x:c r="G941" s="9"/>
      <x:c r="H941" s="9"/>
    </x:row>
    <x:row r="942" ht="14.25" customHeight="1">
      <x:c r="A942" s="9"/>
      <x:c r="B942" s="9"/>
      <x:c r="C942" s="9"/>
      <x:c r="D942" s="9"/>
      <x:c r="E942" s="9"/>
      <x:c r="F942" s="9"/>
      <x:c r="G942" s="9"/>
      <x:c r="H942" s="9"/>
    </x:row>
    <x:row r="943" ht="14.25" customHeight="1">
      <x:c r="A943" s="9"/>
      <x:c r="B943" s="9"/>
      <x:c r="C943" s="9"/>
      <x:c r="D943" s="9"/>
      <x:c r="E943" s="9"/>
      <x:c r="F943" s="9"/>
      <x:c r="G943" s="9"/>
      <x:c r="H943" s="9"/>
    </x:row>
    <x:row r="944" ht="14.25" customHeight="1">
      <x:c r="A944" s="9"/>
      <x:c r="B944" s="9"/>
      <x:c r="C944" s="9"/>
      <x:c r="D944" s="9"/>
      <x:c r="E944" s="9"/>
      <x:c r="F944" s="9"/>
      <x:c r="G944" s="9"/>
      <x:c r="H944" s="9"/>
    </x:row>
    <x:row r="945" ht="14.25" customHeight="1">
      <x:c r="A945" s="9"/>
      <x:c r="B945" s="9"/>
      <x:c r="C945" s="9"/>
      <x:c r="D945" s="9"/>
      <x:c r="E945" s="9"/>
      <x:c r="F945" s="9"/>
      <x:c r="G945" s="9"/>
      <x:c r="H945" s="9"/>
    </x:row>
    <x:row r="946" ht="14.25" customHeight="1">
      <x:c r="A946" s="9"/>
      <x:c r="B946" s="9"/>
      <x:c r="C946" s="9"/>
      <x:c r="D946" s="9"/>
      <x:c r="E946" s="9"/>
      <x:c r="F946" s="9"/>
      <x:c r="G946" s="9"/>
      <x:c r="H946" s="9"/>
    </x:row>
    <x:row r="947" ht="14.25" customHeight="1">
      <x:c r="A947" s="9"/>
      <x:c r="B947" s="9"/>
      <x:c r="C947" s="9"/>
      <x:c r="D947" s="9"/>
      <x:c r="E947" s="9"/>
      <x:c r="F947" s="9"/>
      <x:c r="G947" s="9"/>
      <x:c r="H947" s="9"/>
    </x:row>
    <x:row r="948" ht="14.25" customHeight="1">
      <x:c r="A948" s="9"/>
      <x:c r="B948" s="9"/>
      <x:c r="C948" s="9"/>
      <x:c r="D948" s="9"/>
      <x:c r="E948" s="9"/>
      <x:c r="F948" s="9"/>
      <x:c r="G948" s="9"/>
      <x:c r="H948" s="9"/>
    </x:row>
    <x:row r="949" ht="14.25" customHeight="1">
      <x:c r="A949" s="9"/>
      <x:c r="B949" s="9"/>
      <x:c r="C949" s="9"/>
      <x:c r="D949" s="9"/>
      <x:c r="E949" s="9"/>
      <x:c r="F949" s="9"/>
      <x:c r="G949" s="9"/>
      <x:c r="H949" s="9"/>
    </x:row>
    <x:row r="950" ht="14.25" customHeight="1">
      <x:c r="A950" s="9"/>
      <x:c r="B950" s="9"/>
      <x:c r="C950" s="9"/>
      <x:c r="D950" s="9"/>
      <x:c r="E950" s="9"/>
      <x:c r="F950" s="9"/>
      <x:c r="G950" s="9"/>
      <x:c r="H950" s="9"/>
    </x:row>
    <x:row r="951" ht="14.25" customHeight="1">
      <x:c r="A951" s="9"/>
      <x:c r="B951" s="9"/>
      <x:c r="C951" s="9"/>
      <x:c r="D951" s="9"/>
      <x:c r="E951" s="9"/>
      <x:c r="F951" s="9"/>
      <x:c r="G951" s="9"/>
      <x:c r="H951" s="9"/>
    </x:row>
    <x:row r="952" ht="14.25" customHeight="1">
      <x:c r="A952" s="9"/>
      <x:c r="B952" s="9"/>
      <x:c r="C952" s="9"/>
      <x:c r="D952" s="9"/>
      <x:c r="E952" s="9"/>
      <x:c r="F952" s="9"/>
      <x:c r="G952" s="9"/>
      <x:c r="H952" s="9"/>
    </x:row>
    <x:row r="953" ht="14.25" customHeight="1">
      <x:c r="A953" s="9"/>
      <x:c r="B953" s="9"/>
      <x:c r="C953" s="9"/>
      <x:c r="D953" s="9"/>
      <x:c r="E953" s="9"/>
      <x:c r="F953" s="9"/>
      <x:c r="G953" s="9"/>
      <x:c r="H953" s="9"/>
    </x:row>
    <x:row r="954" ht="14.25" customHeight="1">
      <x:c r="A954" s="9"/>
      <x:c r="B954" s="9"/>
      <x:c r="C954" s="9"/>
      <x:c r="D954" s="9"/>
      <x:c r="E954" s="9"/>
      <x:c r="F954" s="9"/>
      <x:c r="G954" s="9"/>
      <x:c r="H954" s="9"/>
    </x:row>
    <x:row r="955" ht="14.25" customHeight="1">
      <x:c r="A955" s="9"/>
      <x:c r="B955" s="9"/>
      <x:c r="C955" s="9"/>
      <x:c r="D955" s="9"/>
      <x:c r="E955" s="9"/>
      <x:c r="F955" s="9"/>
      <x:c r="G955" s="9"/>
      <x:c r="H955" s="9"/>
    </x:row>
    <x:row r="956" ht="14.25" customHeight="1">
      <x:c r="A956" s="9"/>
      <x:c r="B956" s="9"/>
      <x:c r="C956" s="9"/>
      <x:c r="D956" s="9"/>
      <x:c r="E956" s="9"/>
      <x:c r="F956" s="9"/>
      <x:c r="G956" s="9"/>
      <x:c r="H956" s="9"/>
    </x:row>
    <x:row r="957" ht="14.25" customHeight="1">
      <x:c r="A957" s="9"/>
      <x:c r="B957" s="9"/>
      <x:c r="C957" s="9"/>
      <x:c r="D957" s="9"/>
      <x:c r="E957" s="9"/>
      <x:c r="F957" s="9"/>
      <x:c r="G957" s="9"/>
      <x:c r="H957" s="9"/>
    </x:row>
    <x:row r="958" ht="14.25" customHeight="1">
      <x:c r="A958" s="9"/>
      <x:c r="B958" s="9"/>
      <x:c r="C958" s="9"/>
      <x:c r="D958" s="9"/>
      <x:c r="E958" s="9"/>
      <x:c r="F958" s="9"/>
      <x:c r="G958" s="9"/>
      <x:c r="H958" s="9"/>
    </x:row>
    <x:row r="959" ht="14.25" customHeight="1">
      <x:c r="A959" s="9"/>
      <x:c r="B959" s="9"/>
      <x:c r="C959" s="9"/>
      <x:c r="D959" s="9"/>
      <x:c r="E959" s="9"/>
      <x:c r="F959" s="9"/>
      <x:c r="G959" s="9"/>
      <x:c r="H959" s="9"/>
    </x:row>
    <x:row r="960" ht="14.25" customHeight="1">
      <x:c r="A960" s="9"/>
      <x:c r="B960" s="9"/>
      <x:c r="C960" s="9"/>
      <x:c r="D960" s="9"/>
      <x:c r="E960" s="9"/>
      <x:c r="F960" s="9"/>
      <x:c r="G960" s="9"/>
      <x:c r="H960" s="9"/>
    </x:row>
    <x:row r="961" ht="14.25" customHeight="1">
      <x:c r="A961" s="9"/>
      <x:c r="B961" s="9"/>
      <x:c r="C961" s="9"/>
      <x:c r="D961" s="9"/>
      <x:c r="E961" s="9"/>
      <x:c r="F961" s="9"/>
      <x:c r="G961" s="9"/>
      <x:c r="H961" s="9"/>
    </x:row>
    <x:row r="962" ht="14.25" customHeight="1">
      <x:c r="A962" s="9"/>
      <x:c r="B962" s="9"/>
      <x:c r="C962" s="9"/>
      <x:c r="D962" s="9"/>
      <x:c r="E962" s="9"/>
      <x:c r="F962" s="9"/>
      <x:c r="G962" s="9"/>
      <x:c r="H962" s="9"/>
    </x:row>
    <x:row r="963" ht="14.25" customHeight="1">
      <x:c r="A963" s="9"/>
      <x:c r="B963" s="9"/>
      <x:c r="C963" s="9"/>
      <x:c r="D963" s="9"/>
      <x:c r="E963" s="9"/>
      <x:c r="F963" s="9"/>
      <x:c r="G963" s="9"/>
      <x:c r="H963" s="9"/>
    </x:row>
    <x:row r="964" ht="14.25" customHeight="1">
      <x:c r="A964" s="9"/>
      <x:c r="B964" s="9"/>
      <x:c r="C964" s="9"/>
      <x:c r="D964" s="9"/>
      <x:c r="E964" s="9"/>
      <x:c r="F964" s="9"/>
      <x:c r="G964" s="9"/>
      <x:c r="H964" s="9"/>
    </x:row>
    <x:row r="965" ht="14.25" customHeight="1">
      <x:c r="A965" s="9"/>
      <x:c r="B965" s="9"/>
      <x:c r="C965" s="9"/>
      <x:c r="D965" s="9"/>
      <x:c r="E965" s="9"/>
      <x:c r="F965" s="9"/>
      <x:c r="G965" s="9"/>
      <x:c r="H965" s="9"/>
    </x:row>
    <x:row r="966" ht="14.25" customHeight="1">
      <x:c r="A966" s="9"/>
      <x:c r="B966" s="9"/>
      <x:c r="C966" s="9"/>
      <x:c r="D966" s="9"/>
      <x:c r="E966" s="9"/>
      <x:c r="F966" s="9"/>
      <x:c r="G966" s="9"/>
      <x:c r="H966" s="9"/>
    </x:row>
    <x:row r="967" ht="14.25" customHeight="1">
      <x:c r="A967" s="9"/>
      <x:c r="B967" s="9"/>
      <x:c r="C967" s="9"/>
      <x:c r="D967" s="9"/>
      <x:c r="E967" s="9"/>
      <x:c r="F967" s="9"/>
      <x:c r="G967" s="9"/>
      <x:c r="H967" s="9"/>
    </x:row>
    <x:row r="968" ht="14.25" customHeight="1">
      <x:c r="A968" s="9"/>
      <x:c r="B968" s="9"/>
      <x:c r="C968" s="9"/>
      <x:c r="D968" s="9"/>
      <x:c r="E968" s="9"/>
      <x:c r="F968" s="9"/>
      <x:c r="G968" s="9"/>
      <x:c r="H968" s="9"/>
    </x:row>
    <x:row r="969" ht="14.25" customHeight="1">
      <x:c r="A969" s="9"/>
      <x:c r="B969" s="9"/>
      <x:c r="C969" s="9"/>
      <x:c r="D969" s="9"/>
      <x:c r="E969" s="9"/>
      <x:c r="F969" s="9"/>
      <x:c r="G969" s="9"/>
      <x:c r="H969" s="9"/>
    </x:row>
    <x:row r="970" ht="14.25" customHeight="1">
      <x:c r="A970" s="9"/>
      <x:c r="B970" s="9"/>
      <x:c r="C970" s="9"/>
      <x:c r="D970" s="9"/>
      <x:c r="E970" s="9"/>
      <x:c r="F970" s="9"/>
      <x:c r="G970" s="9"/>
      <x:c r="H970" s="9"/>
    </x:row>
    <x:row r="971" ht="14.25" customHeight="1">
      <x:c r="A971" s="9"/>
      <x:c r="B971" s="9"/>
      <x:c r="C971" s="9"/>
      <x:c r="D971" s="9"/>
      <x:c r="E971" s="9"/>
      <x:c r="F971" s="9"/>
      <x:c r="G971" s="9"/>
      <x:c r="H971" s="9"/>
    </x:row>
    <x:row r="972" ht="14.25" customHeight="1">
      <x:c r="A972" s="9"/>
      <x:c r="B972" s="9"/>
      <x:c r="C972" s="9"/>
      <x:c r="D972" s="9"/>
      <x:c r="E972" s="9"/>
      <x:c r="F972" s="9"/>
      <x:c r="G972" s="9"/>
      <x:c r="H972" s="9"/>
    </x:row>
    <x:row r="973" ht="14.25" customHeight="1">
      <x:c r="A973" s="9"/>
      <x:c r="B973" s="9"/>
      <x:c r="C973" s="9"/>
      <x:c r="D973" s="9"/>
      <x:c r="E973" s="9"/>
      <x:c r="F973" s="9"/>
      <x:c r="G973" s="9"/>
      <x:c r="H973" s="9"/>
    </x:row>
    <x:row r="974" ht="14.25" customHeight="1">
      <x:c r="A974" s="9"/>
      <x:c r="B974" s="9"/>
      <x:c r="C974" s="9"/>
      <x:c r="D974" s="9"/>
      <x:c r="E974" s="9"/>
      <x:c r="F974" s="9"/>
      <x:c r="G974" s="9"/>
      <x:c r="H974" s="9"/>
    </x:row>
    <x:row r="975" ht="14.25" customHeight="1">
      <x:c r="A975" s="9"/>
      <x:c r="B975" s="9"/>
      <x:c r="C975" s="9"/>
      <x:c r="D975" s="9"/>
      <x:c r="E975" s="9"/>
      <x:c r="F975" s="9"/>
      <x:c r="G975" s="9"/>
      <x:c r="H975" s="9"/>
    </x:row>
    <x:row r="976" ht="14.25" customHeight="1">
      <x:c r="A976" s="9"/>
      <x:c r="B976" s="9"/>
      <x:c r="C976" s="9"/>
      <x:c r="D976" s="9"/>
      <x:c r="E976" s="9"/>
      <x:c r="F976" s="9"/>
      <x:c r="G976" s="9"/>
      <x:c r="H976" s="9"/>
    </x:row>
    <x:row r="977" ht="14.25" customHeight="1">
      <x:c r="A977" s="9"/>
      <x:c r="B977" s="9"/>
      <x:c r="C977" s="9"/>
      <x:c r="D977" s="9"/>
      <x:c r="E977" s="9"/>
      <x:c r="F977" s="9"/>
      <x:c r="G977" s="9"/>
      <x:c r="H977" s="9"/>
    </x:row>
    <x:row r="978" ht="14.25" customHeight="1">
      <x:c r="A978" s="9"/>
      <x:c r="B978" s="9"/>
      <x:c r="C978" s="9"/>
      <x:c r="D978" s="9"/>
      <x:c r="E978" s="9"/>
      <x:c r="F978" s="9"/>
      <x:c r="G978" s="9"/>
      <x:c r="H978" s="9"/>
    </x:row>
    <x:row r="979" ht="14.25" customHeight="1">
      <x:c r="A979" s="9"/>
      <x:c r="B979" s="9"/>
      <x:c r="C979" s="9"/>
      <x:c r="D979" s="9"/>
      <x:c r="E979" s="9"/>
      <x:c r="F979" s="9"/>
      <x:c r="G979" s="9"/>
      <x:c r="H979" s="9"/>
    </x:row>
    <x:row r="980" ht="14.25" customHeight="1">
      <x:c r="A980" s="9"/>
      <x:c r="B980" s="9"/>
      <x:c r="C980" s="9"/>
      <x:c r="D980" s="9"/>
      <x:c r="E980" s="9"/>
      <x:c r="F980" s="9"/>
      <x:c r="G980" s="9"/>
      <x:c r="H980" s="9"/>
    </x:row>
    <x:row r="981" ht="14.25" customHeight="1">
      <x:c r="A981" s="9"/>
      <x:c r="B981" s="9"/>
      <x:c r="C981" s="9"/>
      <x:c r="D981" s="9"/>
      <x:c r="E981" s="9"/>
      <x:c r="F981" s="9"/>
      <x:c r="G981" s="9"/>
      <x:c r="H981" s="9"/>
    </x:row>
    <x:row r="982" ht="14.25" customHeight="1">
      <x:c r="A982" s="9"/>
      <x:c r="B982" s="9"/>
      <x:c r="C982" s="9"/>
      <x:c r="D982" s="9"/>
      <x:c r="E982" s="9"/>
      <x:c r="F982" s="9"/>
      <x:c r="G982" s="9"/>
      <x:c r="H982" s="9"/>
    </x:row>
    <x:row r="983" ht="14.25" customHeight="1">
      <x:c r="A983" s="9"/>
      <x:c r="B983" s="9"/>
      <x:c r="C983" s="9"/>
      <x:c r="D983" s="9"/>
      <x:c r="E983" s="9"/>
      <x:c r="F983" s="9"/>
      <x:c r="G983" s="9"/>
      <x:c r="H983" s="9"/>
    </x:row>
    <x:row r="984" ht="14.25" customHeight="1">
      <x:c r="A984" s="9"/>
      <x:c r="B984" s="9"/>
      <x:c r="C984" s="9"/>
      <x:c r="D984" s="9"/>
      <x:c r="E984" s="9"/>
      <x:c r="F984" s="9"/>
      <x:c r="G984" s="9"/>
      <x:c r="H984" s="9"/>
    </x:row>
    <x:row r="985" ht="14.25" customHeight="1">
      <x:c r="A985" s="9"/>
      <x:c r="B985" s="9"/>
      <x:c r="C985" s="9"/>
      <x:c r="D985" s="9"/>
      <x:c r="E985" s="9"/>
      <x:c r="F985" s="9"/>
      <x:c r="G985" s="9"/>
      <x:c r="H985" s="9"/>
    </x:row>
    <x:row r="986" ht="14.25" customHeight="1">
      <x:c r="A986" s="9"/>
      <x:c r="B986" s="9"/>
      <x:c r="C986" s="9"/>
      <x:c r="D986" s="9"/>
      <x:c r="E986" s="9"/>
      <x:c r="F986" s="9"/>
      <x:c r="G986" s="9"/>
      <x:c r="H986" s="9"/>
    </x:row>
    <x:row r="987" ht="14.25" customHeight="1">
      <x:c r="A987" s="9"/>
      <x:c r="B987" s="9"/>
      <x:c r="C987" s="9"/>
      <x:c r="D987" s="9"/>
      <x:c r="E987" s="9"/>
      <x:c r="F987" s="9"/>
      <x:c r="G987" s="9"/>
      <x:c r="H987" s="9"/>
    </x:row>
    <x:row r="988" ht="14.25" customHeight="1">
      <x:c r="A988" s="9"/>
      <x:c r="B988" s="9"/>
      <x:c r="C988" s="9"/>
      <x:c r="D988" s="9"/>
      <x:c r="E988" s="9"/>
      <x:c r="F988" s="9"/>
      <x:c r="G988" s="9"/>
      <x:c r="H988" s="9"/>
    </x:row>
    <x:row r="989" ht="14.25" customHeight="1">
      <x:c r="A989" s="9"/>
      <x:c r="B989" s="9"/>
      <x:c r="C989" s="9"/>
      <x:c r="D989" s="9"/>
      <x:c r="E989" s="9"/>
      <x:c r="F989" s="9"/>
      <x:c r="G989" s="9"/>
      <x:c r="H989" s="9"/>
    </x:row>
    <x:row r="990" ht="14.25" customHeight="1">
      <x:c r="A990" s="9"/>
      <x:c r="B990" s="9"/>
      <x:c r="C990" s="9"/>
      <x:c r="D990" s="9"/>
      <x:c r="E990" s="9"/>
      <x:c r="F990" s="9"/>
      <x:c r="G990" s="9"/>
      <x:c r="H990" s="9"/>
    </x:row>
    <x:row r="991" ht="14.25" customHeight="1">
      <x:c r="A991" s="9"/>
      <x:c r="B991" s="9"/>
      <x:c r="C991" s="9"/>
      <x:c r="D991" s="9"/>
      <x:c r="E991" s="9"/>
      <x:c r="F991" s="9"/>
      <x:c r="G991" s="9"/>
      <x:c r="H991" s="9"/>
    </x:row>
    <x:row r="992" ht="14.25" customHeight="1">
      <x:c r="A992" s="9"/>
      <x:c r="B992" s="9"/>
      <x:c r="C992" s="9"/>
      <x:c r="D992" s="9"/>
      <x:c r="E992" s="9"/>
      <x:c r="F992" s="9"/>
      <x:c r="G992" s="9"/>
      <x:c r="H992" s="9"/>
    </x:row>
    <x:row r="993" ht="14.25" customHeight="1">
      <x:c r="A993" s="9"/>
      <x:c r="B993" s="9"/>
      <x:c r="C993" s="9"/>
      <x:c r="D993" s="9"/>
      <x:c r="E993" s="9"/>
      <x:c r="F993" s="9"/>
      <x:c r="G993" s="9"/>
      <x:c r="H993" s="9"/>
    </x:row>
    <x:row r="994" ht="14.25" customHeight="1">
      <x:c r="A994" s="9"/>
      <x:c r="B994" s="9"/>
      <x:c r="C994" s="9"/>
      <x:c r="D994" s="9"/>
      <x:c r="E994" s="9"/>
      <x:c r="F994" s="9"/>
      <x:c r="G994" s="9"/>
      <x:c r="H994" s="9"/>
    </x:row>
    <x:row r="995" ht="14.25" customHeight="1">
      <x:c r="A995" s="9"/>
      <x:c r="B995" s="9"/>
      <x:c r="C995" s="9"/>
      <x:c r="D995" s="9"/>
      <x:c r="E995" s="9"/>
      <x:c r="F995" s="9"/>
      <x:c r="G995" s="9"/>
      <x:c r="H995" s="9"/>
    </x:row>
    <x:row r="996" ht="14.25" customHeight="1">
      <x:c r="A996" s="9"/>
      <x:c r="B996" s="9"/>
      <x:c r="C996" s="9"/>
      <x:c r="D996" s="9"/>
      <x:c r="E996" s="9"/>
      <x:c r="F996" s="9"/>
      <x:c r="G996" s="9"/>
      <x:c r="H996" s="9"/>
    </x:row>
    <x:row r="997" ht="14.25" customHeight="1">
      <x:c r="A997" s="9"/>
      <x:c r="B997" s="9"/>
      <x:c r="C997" s="9"/>
      <x:c r="D997" s="9"/>
      <x:c r="E997" s="9"/>
      <x:c r="F997" s="9"/>
      <x:c r="G997" s="9"/>
      <x:c r="H997" s="9"/>
    </x:row>
    <x:row r="998" ht="14.25" customHeight="1">
      <x:c r="A998" s="9"/>
      <x:c r="B998" s="9"/>
      <x:c r="C998" s="9"/>
      <x:c r="D998" s="9"/>
      <x:c r="E998" s="9"/>
      <x:c r="F998" s="9"/>
      <x:c r="G998" s="9"/>
      <x:c r="H998" s="9"/>
    </x:row>
    <x:row r="999" ht="14.25" customHeight="1">
      <x:c r="A999" s="9"/>
      <x:c r="B999" s="9"/>
      <x:c r="C999" s="9"/>
      <x:c r="D999" s="9"/>
      <x:c r="E999" s="9"/>
      <x:c r="F999" s="9"/>
      <x:c r="G999" s="9"/>
      <x:c r="H999" s="9"/>
    </x:row>
    <x:row r="1000" ht="14.25" customHeight="1">
      <x:c r="A1000" s="9"/>
      <x:c r="B1000" s="9"/>
      <x:c r="C1000" s="9"/>
      <x:c r="D1000" s="9"/>
      <x:c r="E1000" s="9"/>
      <x:c r="F1000" s="9"/>
      <x:c r="G1000" s="9"/>
      <x:c r="H1000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4" customWidth="1"/>
    <x:col min="2" max="2" width="5.5" customWidth="1"/>
    <x:col min="3" max="3" width="22" customWidth="1"/>
    <x:col min="4" max="4" width="5.5" customWidth="1"/>
    <x:col min="5" max="5" width="6.75" customWidth="1"/>
    <x:col min="6" max="6" width="9.130000114440918" customWidth="1"/>
    <x:col min="7" max="8" width="8.130000114440918" customWidth="1"/>
    <x:col min="9" max="9" width="12.5" customWidth="1"/>
    <x:col min="10" max="10" width="11.130000114440918" customWidth="1"/>
    <x:col min="11" max="11" width="4" customWidth="1"/>
    <x:col min="12" max="12" width="22" customWidth="1"/>
    <x:col min="13" max="13" width="10.25" customWidth="1"/>
    <x:col min="14" max="14" width="5.130000114440918" customWidth="1"/>
    <x:col min="15" max="16" width="8.5" customWidth="1"/>
    <x:col min="17" max="17" width="6.75" customWidth="1"/>
    <x:col min="18" max="18" width="4" customWidth="1"/>
    <x:col min="19" max="26" width="8.5" customWidth="1"/>
  </x:cols>
  <x:sheetData>
    <x:row r="1" ht="14.25" customHeight="1">
      <x:c r="A1" s="1" t="s">
        <x:v>1044</x:v>
      </x:c>
      <x:c r="B1" s="1" t="s">
        <x:v>1045</x:v>
      </x:c>
      <x:c r="C1" s="1" t="s">
        <x:v>1046</x:v>
      </x:c>
      <x:c r="D1" s="1" t="s">
        <x:v>1047</x:v>
      </x:c>
      <x:c r="E1" s="1" t="s">
        <x:v>1048</x:v>
      </x:c>
      <x:c r="F1" s="1" t="s">
        <x:v>1049</x:v>
      </x:c>
      <x:c r="G1" s="1" t="s">
        <x:v>1050</x:v>
      </x:c>
      <x:c r="H1" s="1" t="s">
        <x:v>1051</x:v>
      </x:c>
      <x:c r="I1" s="1" t="s">
        <x:v>1052</x:v>
      </x:c>
      <x:c r="J1" s="1" t="s">
        <x:v>1053</x:v>
      </x:c>
      <x:c r="K1" s="1" t="s">
        <x:v>1044</x:v>
      </x:c>
      <x:c r="L1" s="1" t="s">
        <x:v>1054</x:v>
      </x:c>
      <x:c r="M1" s="9" t="s">
        <x:v>1055</x:v>
      </x:c>
      <x:c r="N1" s="9" t="s">
        <x:v>1056</x:v>
      </x:c>
      <x:c r="Q1" s="9" t="s">
        <x:v>129</x:v>
      </x:c>
      <x:c r="R1" s="118" t="n">
        <x:f>Aggregate!BG3</x:f>
        <x:v>305.05824458823525</x:v>
      </x:c>
      <x:c r="S1" s="9"/>
      <x:c r="T1" s="9"/>
    </x:row>
    <x:row r="2" ht="14.25" customHeight="1">
      <x:c r="A2" s="1">
        <x:v>1.0</x:v>
      </x:c>
      <x:c r="B2" s="1">
        <x:v>1.0</x:v>
      </x:c>
      <x:c r="C2" s="1" t="s">
        <x:v>603</x:v>
      </x:c>
      <x:c r="D2" s="1" t="s">
        <x:v>519</x:v>
      </x:c>
      <x:c r="E2" s="1" t="s">
        <x:v>130</x:v>
      </x:c>
      <x:c r="F2" s="1">
        <x:v>6.0</x:v>
      </x:c>
      <x:c r="G2" s="1" t="s">
        <x:v>1057</x:v>
      </x:c>
      <x:c r="H2" s="1" t="s">
        <x:v>1058</x:v>
      </x:c>
      <x:c r="I2" s="1" t="s">
        <x:v>1059</x:v>
      </x:c>
      <x:c r="J2" s="1">
        <x:v>0.0</x:v>
      </x:c>
      <x:c r="K2" s="1">
        <x:v>1.0</x:v>
      </x:c>
      <x:c r="L2" s="1" t="str">
        <x:f t="shared" ref="L2:L825" si="1">C2</x:f>
        <x:v>Jahmyr Gibbs</x:v>
      </x:c>
      <x:c r="M2" s="127" t="n">
        <x:f>IFERROR(VLOOKUP(E2,RISK!A:B,2,FALSE()),"")</x:f>
        <x:v>3</x:v>
      </x:c>
      <x:c r="N2" s="118" t="n">
        <x:f t="shared" ref="N2:N886" si="2">VLOOKUP(E2,Q:R,2,FALSE)</x:f>
        <x:v>257.8588235</x:v>
      </x:c>
      <x:c r="Q2" s="9" t="s">
        <x:v>133</x:v>
      </x:c>
      <x:c r="R2" s="118" t="n">
        <x:f>Aggregate!BG4</x:f>
        <x:v>271.7521112</x:v>
      </x:c>
      <x:c r="S2" s="9"/>
      <x:c r="T2" s="9"/>
    </x:row>
    <x:row r="3" ht="14.25" customHeight="1">
      <x:c r="A3" s="1">
        <x:v>2.0</x:v>
      </x:c>
      <x:c r="B3" s="1">
        <x:v>1.0</x:v>
      </x:c>
      <x:c r="C3" s="1" t="s">
        <x:v>604</x:v>
      </x:c>
      <x:c r="D3" s="1" t="s">
        <x:v>551</x:v>
      </x:c>
      <x:c r="E3" s="1" t="s">
        <x:v>134</x:v>
      </x:c>
      <x:c r="F3" s="1">
        <x:v>11.0</x:v>
      </x:c>
      <x:c r="G3" s="1" t="s">
        <x:v>1057</x:v>
      </x:c>
      <x:c r="H3" s="1" t="s">
        <x:v>1058</x:v>
      </x:c>
      <x:c r="I3" s="1" t="s">
        <x:v>1060</x:v>
      </x:c>
      <x:c r="J3" s="1">
        <x:v>0.0</x:v>
      </x:c>
      <x:c r="K3" s="1">
        <x:v>2.0</x:v>
      </x:c>
      <x:c r="L3" s="1" t="str">
        <x:f t="shared" si="1"/>
        <x:v>Bijan Robinson</x:v>
      </x:c>
      <x:c r="M3" s="127" t="n">
        <x:f>IFERROR(VLOOKUP(E3,RISK!A:B,2,FALSE()),"")</x:f>
        <x:v>3</x:v>
      </x:c>
      <x:c r="N3" s="118">
        <x:f t="shared" si="2"/>
        <x:v>243.62</x:v>
      </x:c>
      <x:c r="Q3" s="9" t="s">
        <x:v>137</x:v>
      </x:c>
      <x:c r="R3" s="118" t="n">
        <x:f>Aggregate!BG5</x:f>
        <x:v>270.9074582</x:v>
      </x:c>
      <x:c r="S3" s="9"/>
      <x:c r="T3" s="9"/>
    </x:row>
    <x:row r="4" ht="14.25" customHeight="1">
      <x:c r="A4" s="1">
        <x:v>3.0</x:v>
      </x:c>
      <x:c r="B4" s="1">
        <x:v>1.0</x:v>
      </x:c>
      <x:c r="C4" s="1" t="s">
        <x:v>734</x:v>
      </x:c>
      <x:c r="D4" s="1" t="s">
        <x:v>499</x:v>
      </x:c>
      <x:c r="E4" s="1" t="s">
        <x:v>131</x:v>
      </x:c>
      <x:c r="F4" s="1">
        <x:v>6.0</x:v>
      </x:c>
      <x:c r="G4" s="1" t="s">
        <x:v>1057</x:v>
      </x:c>
      <x:c r="H4" s="1" t="s">
        <x:v>1058</x:v>
      </x:c>
      <x:c r="I4" s="1" t="s">
        <x:v>1061</x:v>
      </x:c>
      <x:c r="J4" s="1">
        <x:v>0.0</x:v>
      </x:c>
      <x:c r="K4" s="1">
        <x:v>3.0</x:v>
      </x:c>
      <x:c r="L4" s="1" t="str">
        <x:f t="shared" si="1"/>
        <x:v>Ja'Marr Chase</x:v>
      </x:c>
      <x:c r="M4" s="127" t="n">
        <x:f>IFERROR(VLOOKUP(E4,RISK!A:B,2,FALSE()),"")</x:f>
        <x:v>1.5954999999999995</x:v>
      </x:c>
      <x:c r="N4" s="118">
        <x:f t="shared" si="2"/>
        <x:v>237.0664024</x:v>
      </x:c>
      <x:c r="Q4" s="9" t="s">
        <x:v>141</x:v>
      </x:c>
      <x:c r="R4" s="118" t="n">
        <x:f>Aggregate!BG6</x:f>
        <x:v>269.3390206</x:v>
      </x:c>
      <x:c r="S4" s="9"/>
      <x:c r="T4" s="9"/>
    </x:row>
    <x:row r="5" ht="14.25" customHeight="1">
      <x:c r="A5" s="1">
        <x:v>4.0</x:v>
      </x:c>
      <x:c r="B5" s="1">
        <x:v>1.0</x:v>
      </x:c>
      <x:c r="C5" s="1" t="s">
        <x:v>733</x:v>
      </x:c>
      <x:c r="D5" s="1" t="s">
        <x:v>517</x:v>
      </x:c>
      <x:c r="E5" s="1" t="s">
        <x:v>135</x:v>
      </x:c>
      <x:c r="F5" s="1">
        <x:v>11.0</x:v>
      </x:c>
      <x:c r="G5" s="1" t="s">
        <x:v>1057</x:v>
      </x:c>
      <x:c r="H5" s="1" t="s">
        <x:v>1062</x:v>
      </x:c>
      <x:c r="I5" s="1" t="s">
        <x:v>1063</x:v>
      </x:c>
      <x:c r="J5" s="1">
        <x:v>0.0</x:v>
      </x:c>
      <x:c r="K5" s="1">
        <x:v>4.0</x:v>
      </x:c>
      <x:c r="L5" s="1" t="str">
        <x:f t="shared" si="1"/>
        <x:v>Puka Nacua</x:v>
      </x:c>
      <x:c r="M5" s="127" t="n">
        <x:f>IFERROR(VLOOKUP(E5,RISK!A:B,2,FALSE()),"")</x:f>
        <x:v>1.6731999999999996</x:v>
      </x:c>
      <x:c r="N5" s="118">
        <x:f t="shared" si="2"/>
        <x:v>233.0393903</x:v>
      </x:c>
      <x:c r="Q5" s="9" t="s">
        <x:v>145</x:v>
      </x:c>
      <x:c r="R5" s="118" t="n">
        <x:f>Aggregate!BG7</x:f>
        <x:v>269.2811311</x:v>
      </x:c>
      <x:c r="S5" s="9"/>
      <x:c r="T5" s="9"/>
    </x:row>
    <x:row r="6" ht="14.25" customHeight="1">
      <x:c r="A6" s="1">
        <x:v>5.0</x:v>
      </x:c>
      <x:c r="B6" s="1">
        <x:v>1.0</x:v>
      </x:c>
      <x:c r="C6" s="1" t="s">
        <x:v>735</x:v>
      </x:c>
      <x:c r="D6" s="1" t="s">
        <x:v>533</x:v>
      </x:c>
      <x:c r="E6" s="1" t="s">
        <x:v>139</x:v>
      </x:c>
      <x:c r="F6" s="1">
        <x:v>11.0</x:v>
      </x:c>
      <x:c r="G6" s="1" t="s">
        <x:v>1057</x:v>
      </x:c>
      <x:c r="H6" s="1" t="s">
        <x:v>1062</x:v>
      </x:c>
      <x:c r="I6" s="1" t="s">
        <x:v>1064</x:v>
      </x:c>
      <x:c r="J6" s="1">
        <x:v>1.0</x:v>
      </x:c>
      <x:c r="K6" s="1">
        <x:v>5.0</x:v>
      </x:c>
      <x:c r="L6" s="1" t="str">
        <x:f t="shared" si="1"/>
        <x:v>Jaxon Smith-Njigba</x:v>
      </x:c>
      <x:c r="M6" s="127" t="n">
        <x:f>IFERROR(VLOOKUP(E6,RISK!A:B,2,FALSE()),"")</x:f>
        <x:v>1.7500999999999998</x:v>
      </x:c>
      <x:c r="N6" s="118">
        <x:f t="shared" si="2"/>
        <x:v>227.0679654</x:v>
      </x:c>
      <x:c r="Q6" s="9" t="s">
        <x:v>149</x:v>
      </x:c>
      <x:c r="R6" s="118" t="n">
        <x:f>Aggregate!BG8</x:f>
        <x:v>261.1744984</x:v>
      </x:c>
      <x:c r="S6" s="9"/>
      <x:c r="T6" s="9"/>
    </x:row>
    <x:row r="7" ht="14.25" customHeight="1">
      <x:c r="A7" s="1">
        <x:v>6.0</x:v>
      </x:c>
      <x:c r="B7" s="1">
        <x:v>1.0</x:v>
      </x:c>
      <x:c r="C7" s="1" t="s">
        <x:v>736</x:v>
      </x:c>
      <x:c r="D7" s="1" t="s">
        <x:v>519</x:v>
      </x:c>
      <x:c r="E7" s="1" t="s">
        <x:v>143</x:v>
      </x:c>
      <x:c r="F7" s="1">
        <x:v>6.0</x:v>
      </x:c>
      <x:c r="G7" s="1" t="s">
        <x:v>1057</x:v>
      </x:c>
      <x:c r="H7" s="1" t="s">
        <x:v>1058</x:v>
      </x:c>
      <x:c r="I7" s="1" t="s">
        <x:v>1061</x:v>
      </x:c>
      <x:c r="J7" s="1">
        <x:v>2.0</x:v>
      </x:c>
      <x:c r="K7" s="1">
        <x:v>6.0</x:v>
      </x:c>
      <x:c r="L7" s="1" t="str">
        <x:f t="shared" si="1"/>
        <x:v>Amon-Ra St. Brown</x:v>
      </x:c>
      <x:c r="M7" s="127" t="n">
        <x:f>IFERROR(VLOOKUP(E7,RISK!A:B,2,FALSE()),"")</x:f>
        <x:v>1.8262</x:v>
      </x:c>
      <x:c r="N7" s="118">
        <x:f t="shared" si="2"/>
        <x:v>217.7512556</x:v>
      </x:c>
      <x:c r="Q7" s="9" t="s">
        <x:v>153</x:v>
      </x:c>
      <x:c r="R7" s="118" t="n">
        <x:f>Aggregate!BG9</x:f>
        <x:v>256.0328216</x:v>
      </x:c>
      <x:c r="S7" s="9"/>
      <x:c r="T7" s="9"/>
    </x:row>
    <x:row r="8" ht="14.25" customHeight="1">
      <x:c r="A8" s="1">
        <x:v>7.0</x:v>
      </x:c>
      <x:c r="B8" s="1">
        <x:v>1.0</x:v>
      </x:c>
      <x:c r="C8" s="1" t="s">
        <x:v>605</x:v>
      </x:c>
      <x:c r="D8" s="1" t="s">
        <x:v>503</x:v>
      </x:c>
      <x:c r="E8" s="1" t="s">
        <x:v>138</x:v>
      </x:c>
      <x:c r="F8" s="1">
        <x:v>8.0</x:v>
      </x:c>
      <x:c r="G8" s="1" t="s">
        <x:v>1065</x:v>
      </x:c>
      <x:c r="H8" s="1" t="s">
        <x:v>1065</x:v>
      </x:c>
      <x:c r="I8" s="1" t="s">
        <x:v>1060</x:v>
      </x:c>
      <x:c r="J8" s="1">
        <x:v>-2.0</x:v>
      </x:c>
      <x:c r="K8" s="1">
        <x:v>7.0</x:v>
      </x:c>
      <x:c r="L8" s="1" t="str">
        <x:f t="shared" si="1"/>
        <x:v>Christian McCaffrey</x:v>
      </x:c>
      <x:c r="M8" s="127" t="n">
        <x:f>IFERROR(VLOOKUP(E8,RISK!A:B,2,FALSE()),"")</x:f>
        <x:v>3</x:v>
      </x:c>
      <x:c r="N8" s="118">
        <x:f t="shared" si="2"/>
        <x:v>225.9858824</x:v>
      </x:c>
      <x:c r="Q8" s="9" t="s">
        <x:v>157</x:v>
      </x:c>
      <x:c r="R8" s="118" t="n">
        <x:f>Aggregate!BG10</x:f>
        <x:v>255.7788181</x:v>
      </x:c>
      <x:c r="S8" s="9"/>
      <x:c r="T8" s="9"/>
    </x:row>
    <x:row r="9" ht="14.25" customHeight="1">
      <x:c r="A9" s="1">
        <x:v>8.0</x:v>
      </x:c>
      <x:c r="B9" s="1">
        <x:v>1.0</x:v>
      </x:c>
      <x:c r="C9" s="1" t="s">
        <x:v>606</x:v>
      </x:c>
      <x:c r="D9" s="1" t="s">
        <x:v>527</x:v>
      </x:c>
      <x:c r="E9" s="1" t="s">
        <x:v>142</x:v>
      </x:c>
      <x:c r="F9" s="1">
        <x:v>13.0</x:v>
      </x:c>
      <x:c r="G9" s="1" t="s">
        <x:v>1065</x:v>
      </x:c>
      <x:c r="H9" s="1" t="s">
        <x:v>1066</x:v>
      </x:c>
      <x:c r="I9" s="1" t="s">
        <x:v>1061</x:v>
      </x:c>
      <x:c r="J9" s="1">
        <x:v>-1.0</x:v>
      </x:c>
      <x:c r="K9" s="1">
        <x:v>8.0</x:v>
      </x:c>
      <x:c r="L9" s="1" t="str">
        <x:f t="shared" si="1"/>
        <x:v>Jonathan Taylor</x:v>
      </x:c>
      <x:c r="M9" s="127" t="n">
        <x:f>IFERROR(VLOOKUP(E9,RISK!A:B,2,FALSE()),"")</x:f>
        <x:v>3</x:v>
      </x:c>
      <x:c r="N9" s="118">
        <x:f t="shared" si="2"/>
        <x:v>221.0458824</x:v>
      </x:c>
      <x:c r="Q9" s="9" t="s">
        <x:v>161</x:v>
      </x:c>
      <x:c r="R9" s="118" t="n">
        <x:f>Aggregate!BG11</x:f>
        <x:v>255.1148765</x:v>
      </x:c>
      <x:c r="S9" s="9"/>
      <x:c r="T9" s="9"/>
    </x:row>
    <x:row r="10" ht="14.25" customHeight="1">
      <x:c r="A10" s="1">
        <x:v>9.0</x:v>
      </x:c>
      <x:c r="B10" s="1">
        <x:v>2.0</x:v>
      </x:c>
      <x:c r="C10" s="1" t="s">
        <x:v>739</x:v>
      </x:c>
      <x:c r="D10" s="1" t="s">
        <x:v>507</x:v>
      </x:c>
      <x:c r="E10" s="1" t="s">
        <x:v>147</x:v>
      </x:c>
      <x:c r="F10" s="1">
        <x:v>14.0</x:v>
      </x:c>
      <x:c r="G10" s="1" t="s">
        <x:v>1065</x:v>
      </x:c>
      <x:c r="H10" s="1" t="s">
        <x:v>1062</x:v>
      </x:c>
      <x:c r="I10" s="1" t="s">
        <x:v>1060</x:v>
      </x:c>
      <x:c r="J10" s="1">
        <x:v>1.0</x:v>
      </x:c>
      <x:c r="K10" s="1">
        <x:v>9.0</x:v>
      </x:c>
      <x:c r="L10" s="1" t="str">
        <x:f t="shared" si="1"/>
        <x:v>CeeDee Lamb</x:v>
      </x:c>
      <x:c r="M10" s="128" t="n">
        <x:f>IFERROR(VLOOKUP(E10,RISK!A:B,2,FALSE()),"")</x:f>
        <x:v>1.9014999999999986</x:v>
      </x:c>
      <x:c r="N10" s="118">
        <x:f t="shared" si="2"/>
        <x:v>185.7352976</x:v>
      </x:c>
      <x:c r="Q10" s="9" t="s">
        <x:v>165</x:v>
      </x:c>
      <x:c r="R10" s="118" t="n">
        <x:f>Aggregate!BG12</x:f>
        <x:v>254.804704</x:v>
      </x:c>
      <x:c r="S10" s="9"/>
      <x:c r="T10" s="9"/>
    </x:row>
    <x:row r="11" ht="14.25" customHeight="1">
      <x:c r="A11" s="1">
        <x:v>10.0</x:v>
      </x:c>
      <x:c r="B11" s="1">
        <x:v>2.0</x:v>
      </x:c>
      <x:c r="C11" s="1" t="s">
        <x:v>610</x:v>
      </x:c>
      <x:c r="D11" s="1" t="s">
        <x:v>487</x:v>
      </x:c>
      <x:c r="E11" s="1" t="s">
        <x:v>146</x:v>
      </x:c>
      <x:c r="F11" s="1">
        <x:v>7.0</x:v>
      </x:c>
      <x:c r="G11" s="1" t="s">
        <x:v>1057</x:v>
      </x:c>
      <x:c r="H11" s="1" t="s">
        <x:v>1062</x:v>
      </x:c>
      <x:c r="I11" s="1" t="s">
        <x:v>1060</x:v>
      </x:c>
      <x:c r="J11" s="1">
        <x:v>-1.0</x:v>
      </x:c>
      <x:c r="K11" s="1">
        <x:v>10.0</x:v>
      </x:c>
      <x:c r="L11" s="1" t="str">
        <x:f t="shared" si="1"/>
        <x:v>James Cook III</x:v>
      </x:c>
      <x:c r="M11" s="128" t="n">
        <x:f>IFERROR(VLOOKUP(E11,RISK!A:B,2,FALSE()),"")</x:f>
        <x:v>3</x:v>
      </x:c>
      <x:c r="N11" s="118">
        <x:f t="shared" si="2"/>
        <x:v>202.4482353</x:v>
      </x:c>
      <x:c r="Q11" s="9" t="s">
        <x:v>169</x:v>
      </x:c>
      <x:c r="R11" s="118" t="n">
        <x:f>Aggregate!BG13</x:f>
        <x:v>252.8474348</x:v>
      </x:c>
      <x:c r="S11" s="9"/>
      <x:c r="T11" s="9"/>
    </x:row>
    <x:row r="12" ht="14.25" customHeight="1">
      <x:c r="A12" s="1">
        <x:v>11.0</x:v>
      </x:c>
      <x:c r="B12" s="1">
        <x:v>2.0</x:v>
      </x:c>
      <x:c r="C12" s="1" t="s">
        <x:v>740</x:v>
      </x:c>
      <x:c r="D12" s="1" t="s">
        <x:v>525</x:v>
      </x:c>
      <x:c r="E12" s="1" t="s">
        <x:v>151</x:v>
      </x:c>
      <x:c r="F12" s="1">
        <x:v>6.0</x:v>
      </x:c>
      <x:c r="G12" s="1" t="s">
        <x:v>1065</x:v>
      </x:c>
      <x:c r="H12" s="1" t="s">
        <x:v>1062</x:v>
      </x:c>
      <x:c r="I12" s="1" t="s">
        <x:v>1059</x:v>
      </x:c>
      <x:c r="J12" s="1">
        <x:v>1.0</x:v>
      </x:c>
      <x:c r="K12" s="1">
        <x:v>11.0</x:v>
      </x:c>
      <x:c r="L12" s="1" t="str">
        <x:f t="shared" si="1"/>
        <x:v>Justin Jefferson</x:v>
      </x:c>
      <x:c r="M12" s="127" t="n">
        <x:f>IFERROR(VLOOKUP(E12,RISK!A:B,2,FALSE()),"")</x:f>
        <x:v>1.975999999999999</x:v>
      </x:c>
      <x:c r="N12" s="118">
        <x:f t="shared" si="2"/>
        <x:v>184.0361271</x:v>
      </x:c>
      <x:c r="Q12" s="9" t="s">
        <x:v>173</x:v>
      </x:c>
      <x:c r="R12" s="118" t="n">
        <x:f>Aggregate!BG14</x:f>
        <x:v>250.7757158</x:v>
      </x:c>
      <x:c r="S12" s="9"/>
      <x:c r="T12" s="9"/>
    </x:row>
    <x:row r="13" ht="14.25" customHeight="1">
      <x:c r="A13" s="1">
        <x:v>12.0</x:v>
      </x:c>
      <x:c r="B13" s="1">
        <x:v>2.0</x:v>
      </x:c>
      <x:c r="C13" s="1" t="s">
        <x:v>608</x:v>
      </x:c>
      <x:c r="D13" s="1" t="s">
        <x:v>499</x:v>
      </x:c>
      <x:c r="E13" s="1" t="s">
        <x:v>150</x:v>
      </x:c>
      <x:c r="F13" s="1">
        <x:v>6.0</x:v>
      </x:c>
      <x:c r="G13" s="1" t="s">
        <x:v>1057</x:v>
      </x:c>
      <x:c r="H13" s="1" t="s">
        <x:v>1062</x:v>
      </x:c>
      <x:c r="I13" s="1" t="s">
        <x:v>1060</x:v>
      </x:c>
      <x:c r="J13" s="1">
        <x:v>3.0</x:v>
      </x:c>
      <x:c r="K13" s="1">
        <x:v>12.0</x:v>
      </x:c>
      <x:c r="L13" s="1" t="str">
        <x:f t="shared" si="1"/>
        <x:v>Chase Brown</x:v>
      </x:c>
      <x:c r="M13" s="127" t="n">
        <x:f>IFERROR(VLOOKUP(E13,RISK!A:B,2,FALSE()),"")</x:f>
        <x:v>3</x:v>
      </x:c>
      <x:c r="N13" s="118">
        <x:f t="shared" si="2"/>
        <x:v>198.6247059</x:v>
      </x:c>
      <x:c r="Q13" s="9" t="s">
        <x:v>177</x:v>
      </x:c>
      <x:c r="R13" s="118" t="n">
        <x:f>Aggregate!BG15</x:f>
        <x:v>247.4283779</x:v>
      </x:c>
      <x:c r="S13" s="9"/>
      <x:c r="T13" s="9"/>
    </x:row>
    <x:row r="14" ht="14.25" customHeight="1">
      <x:c r="A14" s="1">
        <x:v>13.0</x:v>
      </x:c>
      <x:c r="B14" s="1">
        <x:v>2.0</x:v>
      </x:c>
      <x:c r="C14" s="1" t="s">
        <x:v>737</x:v>
      </x:c>
      <x:c r="D14" s="1" t="s">
        <x:v>551</x:v>
      </x:c>
      <x:c r="E14" s="1" t="s">
        <x:v>155</x:v>
      </x:c>
      <x:c r="F14" s="1">
        <x:v>11.0</x:v>
      </x:c>
      <x:c r="G14" s="1" t="s">
        <x:v>1065</x:v>
      </x:c>
      <x:c r="H14" s="1" t="s">
        <x:v>1066</x:v>
      </x:c>
      <x:c r="I14" s="1" t="s">
        <x:v>1064</x:v>
      </x:c>
      <x:c r="J14" s="1">
        <x:v>7.0</x:v>
      </x:c>
      <x:c r="K14" s="1">
        <x:v>13.0</x:v>
      </x:c>
      <x:c r="L14" s="1" t="str">
        <x:f t="shared" si="1"/>
        <x:v>Drake London</x:v>
      </x:c>
      <x:c r="M14" s="128" t="n">
        <x:f>IFERROR(VLOOKUP(E14,RISK!A:B,2,FALSE()),"")</x:f>
        <x:v>2.0496999999999996</x:v>
      </x:c>
      <x:c r="N14" s="118">
        <x:f t="shared" si="2"/>
        <x:v>182.5766028</x:v>
      </x:c>
      <x:c r="Q14" s="9" t="s">
        <x:v>181</x:v>
      </x:c>
      <x:c r="R14" s="118" t="n">
        <x:f>Aggregate!BG16</x:f>
        <x:v>245.2411883</x:v>
      </x:c>
      <x:c r="S14" s="9"/>
      <x:c r="T14" s="9"/>
    </x:row>
    <x:row r="15" ht="14.25" customHeight="1">
      <x:c r="A15" s="1">
        <x:v>14.0</x:v>
      </x:c>
      <x:c r="B15" s="1">
        <x:v>2.0</x:v>
      </x:c>
      <x:c r="C15" s="1" t="s">
        <x:v>611</x:v>
      </x:c>
      <x:c r="D15" s="1" t="s">
        <x:v>497</x:v>
      </x:c>
      <x:c r="E15" s="1" t="s">
        <x:v>154</x:v>
      </x:c>
      <x:c r="F15" s="1">
        <x:v>10.0</x:v>
      </x:c>
      <x:c r="G15" s="1" t="s">
        <x:v>1065</x:v>
      </x:c>
      <x:c r="H15" s="1" t="s">
        <x:v>1066</x:v>
      </x:c>
      <x:c r="I15" s="1" t="s">
        <x:v>1061</x:v>
      </x:c>
      <x:c r="J15" s="1">
        <x:v>-1.0</x:v>
      </x:c>
      <x:c r="K15" s="1">
        <x:v>14.0</x:v>
      </x:c>
      <x:c r="L15" s="1" t="str">
        <x:f t="shared" si="1"/>
        <x:v>Saquon Barkley</x:v>
      </x:c>
      <x:c r="M15" s="127" t="n">
        <x:f>IFERROR(VLOOKUP(E15,RISK!A:B,2,FALSE()),"")</x:f>
        <x:v>3</x:v>
      </x:c>
      <x:c r="N15" s="118">
        <x:f t="shared" si="2"/>
        <x:v>194.1817647</x:v>
      </x:c>
      <x:c r="Q15" s="9" t="s">
        <x:v>185</x:v>
      </x:c>
      <x:c r="R15" s="118" t="n">
        <x:f>Aggregate!BG17</x:f>
        <x:v>238.6484726</x:v>
      </x:c>
      <x:c r="S15" s="9"/>
      <x:c r="T15" s="9"/>
    </x:row>
    <x:row r="16" ht="14.25" customHeight="1">
      <x:c r="A16" s="1">
        <x:v>15.0</x:v>
      </x:c>
      <x:c r="B16" s="1">
        <x:v>2.0</x:v>
      </x:c>
      <x:c r="C16" s="1" t="s">
        <x:v>742</x:v>
      </x:c>
      <x:c r="D16" s="1" t="s">
        <x:v>493</x:v>
      </x:c>
      <x:c r="E16" s="1" t="s">
        <x:v>159</x:v>
      </x:c>
      <x:c r="F16" s="1">
        <x:v>11.0</x:v>
      </x:c>
      <x:c r="G16" s="1" t="s">
        <x:v>1057</x:v>
      </x:c>
      <x:c r="H16" s="1" t="s">
        <x:v>1062</x:v>
      </x:c>
      <x:c r="I16" s="1" t="s">
        <x:v>1060</x:v>
      </x:c>
      <x:c r="J16" s="1">
        <x:v>6.0</x:v>
      </x:c>
      <x:c r="K16" s="1">
        <x:v>15.0</x:v>
      </x:c>
      <x:c r="L16" s="1" t="str">
        <x:f t="shared" si="1"/>
        <x:v>A.J. Brown</x:v>
      </x:c>
      <x:c r="M16" s="127" t="n">
        <x:f>IFERROR(VLOOKUP(E16,RISK!A:B,2,FALSE()),"")</x:f>
        <x:v>2.1226000000000003</x:v>
      </x:c>
      <x:c r="N16" s="118">
        <x:f t="shared" si="2"/>
        <x:v>178.6957523</x:v>
      </x:c>
      <x:c r="Q16" s="9" t="s">
        <x:v>189</x:v>
      </x:c>
      <x:c r="R16" s="118" t="n">
        <x:f>Aggregate!BG18</x:f>
        <x:v>231.91844</x:v>
      </x:c>
      <x:c r="S16" s="9"/>
      <x:c r="T16" s="9"/>
    </x:row>
    <x:row r="17" ht="14.25" customHeight="1">
      <x:c r="A17" s="1">
        <x:v>16.0</x:v>
      </x:c>
      <x:c r="B17" s="1">
        <x:v>2.0</x:v>
      </x:c>
      <x:c r="C17" s="1" t="s">
        <x:v>607</x:v>
      </x:c>
      <x:c r="D17" s="1" t="s">
        <x:v>529</x:v>
      </x:c>
      <x:c r="E17" s="1" t="s">
        <x:v>158</x:v>
      </x:c>
      <x:c r="F17" s="1">
        <x:v>6.0</x:v>
      </x:c>
      <x:c r="G17" s="1" t="s">
        <x:v>1065</x:v>
      </x:c>
      <x:c r="H17" s="1" t="s">
        <x:v>1065</x:v>
      </x:c>
      <x:c r="I17" s="1" t="s">
        <x:v>1064</x:v>
      </x:c>
      <x:c r="J17" s="1">
        <x:v>-2.0</x:v>
      </x:c>
      <x:c r="K17" s="1">
        <x:v>16.0</x:v>
      </x:c>
      <x:c r="L17" s="1" t="str">
        <x:f t="shared" si="1"/>
        <x:v>De'Von Achane</x:v>
      </x:c>
      <x:c r="M17" s="127" t="n">
        <x:f>IFERROR(VLOOKUP(E17,RISK!A:B,2,FALSE()),"")</x:f>
        <x:v>3</x:v>
      </x:c>
      <x:c r="N17" s="118">
        <x:f t="shared" si="2"/>
        <x:v>188.89</x:v>
      </x:c>
      <x:c r="Q17" s="9" t="s">
        <x:v>193</x:v>
      </x:c>
      <x:c r="R17" s="118" t="n">
        <x:f>Aggregate!BG19</x:f>
        <x:v>225.6031533</x:v>
      </x:c>
      <x:c r="S17" s="9"/>
      <x:c r="T17" s="9"/>
    </x:row>
    <x:row r="18" ht="14.25" customHeight="1">
      <x:c r="A18" s="1">
        <x:v>17.0</x:v>
      </x:c>
      <x:c r="B18" s="1">
        <x:v>2.0</x:v>
      </x:c>
      <x:c r="C18" s="1" t="s">
        <x:v>744</x:v>
      </x:c>
      <x:c r="D18" s="1" t="s">
        <x:v>535</x:v>
      </x:c>
      <x:c r="E18" s="1" t="s">
        <x:v>163</x:v>
      </x:c>
      <x:c r="F18" s="1">
        <x:v>8.0</x:v>
      </x:c>
      <x:c r="G18" s="1" t="s">
        <x:v>1065</x:v>
      </x:c>
      <x:c r="H18" s="1" t="s">
        <x:v>1062</x:v>
      </x:c>
      <x:c r="I18" s="1" t="s">
        <x:v>1064</x:v>
      </x:c>
      <x:c r="J18" s="1">
        <x:v>7.0</x:v>
      </x:c>
      <x:c r="K18" s="1">
        <x:v>17.0</x:v>
      </x:c>
      <x:c r="L18" s="1" t="str">
        <x:f t="shared" si="1"/>
        <x:v>Nico Collins</x:v>
      </x:c>
      <x:c r="M18" s="127" t="n">
        <x:f>IFERROR(VLOOKUP(E18,RISK!A:B,2,FALSE()),"")</x:f>
        <x:v>2.194699999999999</x:v>
      </x:c>
      <x:c r="N18" s="118">
        <x:f t="shared" si="2"/>
        <x:v>173.5409686</x:v>
      </x:c>
      <x:c r="Q18" s="9" t="s">
        <x:v>197</x:v>
      </x:c>
      <x:c r="R18" s="118" t="n">
        <x:f>Aggregate!BG20</x:f>
        <x:v>222.2310713</x:v>
      </x:c>
      <x:c r="S18" s="9"/>
      <x:c r="T18" s="9"/>
    </x:row>
    <x:row r="19" ht="14.25" customHeight="1">
      <x:c r="A19" s="1">
        <x:v>18.0</x:v>
      </x:c>
      <x:c r="B19" s="1">
        <x:v>2.0</x:v>
      </x:c>
      <x:c r="C19" s="1" t="s">
        <x:v>925</x:v>
      </x:c>
      <x:c r="D19" s="1" t="s">
        <x:v>547</x:v>
      </x:c>
      <x:c r="E19" s="1" t="s">
        <x:v>132</x:v>
      </x:c>
      <x:c r="F19" s="1">
        <x:v>13.0</x:v>
      </x:c>
      <x:c r="G19" s="1" t="s">
        <x:v>1057</x:v>
      </x:c>
      <x:c r="H19" s="1" t="s">
        <x:v>1062</x:v>
      </x:c>
      <x:c r="I19" s="1" t="s">
        <x:v>1064</x:v>
      </x:c>
      <x:c r="J19" s="1">
        <x:v>4.0</x:v>
      </x:c>
      <x:c r="K19" s="1">
        <x:v>18.0</x:v>
      </x:c>
      <x:c r="L19" s="1" t="str">
        <x:f t="shared" si="1"/>
        <x:v>Brock Bowers</x:v>
      </x:c>
      <x:c r="M19" s="127" t="n">
        <x:f>IFERROR(VLOOKUP(E19,RISK!A:B,2,FALSE()),"")</x:f>
        <x:v>2.2775</x:v>
      </x:c>
      <x:c r="N19" s="118">
        <x:f t="shared" si="2"/>
        <x:v>165.3964853</x:v>
      </x:c>
      <x:c r="Q19" s="9" t="s">
        <x:v>201</x:v>
      </x:c>
      <x:c r="R19" s="118" t="n">
        <x:f>Aggregate!BG21</x:f>
        <x:v>221.7650635</x:v>
      </x:c>
      <x:c r="S19" s="9"/>
      <x:c r="T19" s="9"/>
    </x:row>
    <x:row r="20" ht="14.25" customHeight="1">
      <x:c r="A20" s="1">
        <x:v>19.0</x:v>
      </x:c>
      <x:c r="B20" s="1">
        <x:v>2.0</x:v>
      </x:c>
      <x:c r="C20" s="1" t="s">
        <x:v>615</x:v>
      </x:c>
      <x:c r="D20" s="1" t="s">
        <x:v>513</x:v>
      </x:c>
      <x:c r="E20" s="1" t="s">
        <x:v>162</x:v>
      </x:c>
      <x:c r="F20" s="1">
        <x:v>7.0</x:v>
      </x:c>
      <x:c r="G20" s="1" t="s">
        <x:v>1057</x:v>
      </x:c>
      <x:c r="H20" s="1" t="s">
        <x:v>1062</x:v>
      </x:c>
      <x:c r="I20" s="1" t="s">
        <x:v>1064</x:v>
      </x:c>
      <x:c r="J20" s="1">
        <x:v>-3.0</x:v>
      </x:c>
      <x:c r="K20" s="1">
        <x:v>19.0</x:v>
      </x:c>
      <x:c r="L20" s="1" t="str">
        <x:f t="shared" si="1"/>
        <x:v>Omarion Hampton</x:v>
      </x:c>
      <x:c r="M20" s="127" t="n">
        <x:f>IFERROR(VLOOKUP(E20,RISK!A:B,2,FALSE()),"")</x:f>
        <x:v>3</x:v>
      </x:c>
      <x:c r="N20" s="118">
        <x:f t="shared" si="2"/>
        <x:v>186.2823529</x:v>
      </x:c>
      <x:c r="Q20" s="9" t="s">
        <x:v>205</x:v>
      </x:c>
      <x:c r="R20" s="118" t="n">
        <x:f>Aggregate!BG22</x:f>
        <x:v>209.9842812</x:v>
      </x:c>
      <x:c r="S20" s="9"/>
      <x:c r="T20" s="9"/>
    </x:row>
    <x:row r="21" ht="14.25" customHeight="1">
      <x:c r="A21" s="1">
        <x:v>20.0</x:v>
      </x:c>
      <x:c r="B21" s="1">
        <x:v>2.0</x:v>
      </x:c>
      <x:c r="C21" s="1" t="s">
        <x:v>609</x:v>
      </x:c>
      <x:c r="D21" s="1" t="s">
        <x:v>491</x:v>
      </x:c>
      <x:c r="E21" s="1" t="s">
        <x:v>166</x:v>
      </x:c>
      <x:c r="F21" s="1">
        <x:v>13.0</x:v>
      </x:c>
      <x:c r="G21" s="1" t="s">
        <x:v>1065</x:v>
      </x:c>
      <x:c r="H21" s="1" t="s">
        <x:v>1062</x:v>
      </x:c>
      <x:c r="I21" s="1" t="s">
        <x:v>1064</x:v>
      </x:c>
      <x:c r="J21" s="1">
        <x:v>-2.0</x:v>
      </x:c>
      <x:c r="K21" s="1">
        <x:v>20.0</x:v>
      </x:c>
      <x:c r="L21" s="1" t="str">
        <x:f t="shared" si="1"/>
        <x:v>Derrick Henry</x:v>
      </x:c>
      <x:c r="M21" s="127" t="n">
        <x:f>IFERROR(VLOOKUP(E21,RISK!A:B,2,FALSE()),"")</x:f>
        <x:v>3</x:v>
      </x:c>
      <x:c r="N21" s="118">
        <x:f t="shared" si="2"/>
        <x:v>179.7211765</x:v>
      </x:c>
      <x:c r="Q21" s="9" t="s">
        <x:v>209</x:v>
      </x:c>
      <x:c r="R21" s="118" t="n">
        <x:f>Aggregate!BG23</x:f>
        <x:v>207.1953928</x:v>
      </x:c>
      <x:c r="S21" s="9"/>
      <x:c r="T21" s="9"/>
    </x:row>
    <x:row r="22" ht="14.25" customHeight="1">
      <x:c r="A22" s="1">
        <x:v>21.0</x:v>
      </x:c>
      <x:c r="B22" s="1">
        <x:v>2.0</x:v>
      </x:c>
      <x:c r="C22" s="1" t="s">
        <x:v>613</x:v>
      </x:c>
      <x:c r="D22" s="1" t="s">
        <x:v>509</x:v>
      </x:c>
      <x:c r="E22" s="1" t="s">
        <x:v>170</x:v>
      </x:c>
      <x:c r="F22" s="1">
        <x:v>5.0</x:v>
      </x:c>
      <x:c r="G22" s="1" t="s">
        <x:v>1057</x:v>
      </x:c>
      <x:c r="H22" s="1" t="s">
        <x:v>1066</x:v>
      </x:c>
      <x:c r="I22" s="1" t="s">
        <x:v>1064</x:v>
      </x:c>
      <x:c r="J22" s="1">
        <x:v>-4.0</x:v>
      </x:c>
      <x:c r="K22" s="1">
        <x:v>21.0</x:v>
      </x:c>
      <x:c r="L22" s="1" t="str">
        <x:f t="shared" si="1"/>
        <x:v>Kenneth Walker III</x:v>
      </x:c>
      <x:c r="M22" s="127" t="n">
        <x:f>IFERROR(VLOOKUP(E22,RISK!A:B,2,FALSE()),"")</x:f>
        <x:v>3</x:v>
      </x:c>
      <x:c r="N22" s="118">
        <x:f t="shared" si="2"/>
        <x:v>179.6565588</x:v>
      </x:c>
      <x:c r="Q22" s="9" t="s">
        <x:v>213</x:v>
      </x:c>
      <x:c r="R22" s="118" t="n">
        <x:f>Aggregate!BG24</x:f>
        <x:v>206.7049412</x:v>
      </x:c>
      <x:c r="S22" s="9"/>
      <x:c r="T22" s="9"/>
    </x:row>
    <x:row r="23" ht="14.25" customHeight="1">
      <x:c r="A23" s="1">
        <x:v>22.0</x:v>
      </x:c>
      <x:c r="B23" s="1">
        <x:v>3.0</x:v>
      </x:c>
      <x:c r="C23" s="1" t="s">
        <x:v>612</x:v>
      </x:c>
      <x:c r="D23" s="1" t="s">
        <x:v>547</x:v>
      </x:c>
      <x:c r="E23" s="1" t="s">
        <x:v>174</x:v>
      </x:c>
      <x:c r="F23" s="1">
        <x:v>13.0</x:v>
      </x:c>
      <x:c r="G23" s="1" t="s">
        <x:v>1065</x:v>
      </x:c>
      <x:c r="H23" s="1" t="s">
        <x:v>1065</x:v>
      </x:c>
      <x:c r="I23" s="1" t="s">
        <x:v>1060</x:v>
      </x:c>
      <x:c r="J23" s="1">
        <x:v>-11.0</x:v>
      </x:c>
      <x:c r="K23" s="1">
        <x:v>22.0</x:v>
      </x:c>
      <x:c r="L23" s="1" t="str">
        <x:f t="shared" si="1"/>
        <x:v>Ashton Jeanty</x:v>
      </x:c>
      <x:c r="M23" s="127" t="n">
        <x:f>IFERROR(VLOOKUP(E23,RISK!A:B,2,FALSE()),"")</x:f>
        <x:v>3</x:v>
      </x:c>
      <x:c r="N23" s="118">
        <x:f t="shared" si="2"/>
        <x:v>178.4058824</x:v>
      </x:c>
      <x:c r="Q23" s="9" t="s">
        <x:v>217</x:v>
      </x:c>
      <x:c r="R23" s="118" t="n">
        <x:f>Aggregate!BG25</x:f>
        <x:v>201.9930094</x:v>
      </x:c>
      <x:c r="S23" s="9"/>
      <x:c r="T23" s="9"/>
    </x:row>
    <x:row r="24" ht="14.25" customHeight="1">
      <x:c r="A24" s="1">
        <x:v>23.0</x:v>
      </x:c>
      <x:c r="B24" s="1">
        <x:v>3.0</x:v>
      </x:c>
      <x:c r="C24" s="1" t="s">
        <x:v>743</x:v>
      </x:c>
      <x:c r="D24" s="1" t="s">
        <x:v>507</x:v>
      </x:c>
      <x:c r="E24" s="1" t="s">
        <x:v>167</x:v>
      </x:c>
      <x:c r="F24" s="1">
        <x:v>14.0</x:v>
      </x:c>
      <x:c r="G24" s="1" t="s">
        <x:v>1065</x:v>
      </x:c>
      <x:c r="H24" s="1" t="s">
        <x:v>1065</x:v>
      </x:c>
      <x:c r="I24" s="1" t="s">
        <x:v>1060</x:v>
      </x:c>
      <x:c r="J24" s="1">
        <x:v>2.0</x:v>
      </x:c>
      <x:c r="K24" s="1">
        <x:v>23.0</x:v>
      </x:c>
      <x:c r="L24" s="1" t="str">
        <x:f t="shared" si="1"/>
        <x:v>George Pickens</x:v>
      </x:c>
      <x:c r="M24" s="127" t="n">
        <x:f>IFERROR(VLOOKUP(E24,RISK!A:B,2,FALSE()),"")</x:f>
        <x:v>2.266</x:v>
      </x:c>
      <x:c r="N24" s="118">
        <x:f t="shared" si="2"/>
        <x:v>172.2002868</x:v>
      </x:c>
      <x:c r="Q24" s="9" t="s">
        <x:v>221</x:v>
      </x:c>
      <x:c r="R24" s="118" t="n">
        <x:f>Aggregate!BG26</x:f>
        <x:v>196.2074353</x:v>
      </x:c>
      <x:c r="S24" s="9"/>
      <x:c r="T24" s="9"/>
    </x:row>
    <x:row r="25" ht="14.25" customHeight="1">
      <x:c r="A25" s="1">
        <x:v>24.0</x:v>
      </x:c>
      <x:c r="B25" s="1">
        <x:v>3.0</x:v>
      </x:c>
      <x:c r="C25" s="1" t="s">
        <x:v>741</x:v>
      </x:c>
      <x:c r="D25" s="1" t="s">
        <x:v>521</x:v>
      </x:c>
      <x:c r="E25" s="1" t="s">
        <x:v>171</x:v>
      </x:c>
      <x:c r="F25" s="1">
        <x:v>8.0</x:v>
      </x:c>
      <x:c r="G25" s="1" t="s">
        <x:v>1065</x:v>
      </x:c>
      <x:c r="H25" s="1" t="s">
        <x:v>1065</x:v>
      </x:c>
      <x:c r="I25" s="1" t="s">
        <x:v>1064</x:v>
      </x:c>
      <x:c r="J25" s="1">
        <x:v>4.0</x:v>
      </x:c>
      <x:c r="K25" s="1">
        <x:v>24.0</x:v>
      </x:c>
      <x:c r="L25" s="1" t="str">
        <x:f t="shared" si="1"/>
        <x:v>Chris Olave</x:v>
      </x:c>
      <x:c r="M25" s="127" t="n">
        <x:f>IFERROR(VLOOKUP(E25,RISK!A:B,2,FALSE()),"")</x:f>
        <x:v>2.336499999999999</x:v>
      </x:c>
      <x:c r="N25" s="118">
        <x:f t="shared" si="2"/>
        <x:v>170.3823882</x:v>
      </x:c>
      <x:c r="Q25" s="9" t="s">
        <x:v>225</x:v>
      </x:c>
      <x:c r="R25" s="118" t="n">
        <x:f>Aggregate!BG27</x:f>
        <x:v>192.5360941</x:v>
      </x:c>
      <x:c r="S25" s="9"/>
      <x:c r="T25" s="9"/>
    </x:row>
    <x:row r="26" ht="14.25" customHeight="1">
      <x:c r="A26" s="1">
        <x:v>25.0</x:v>
      </x:c>
      <x:c r="B26" s="1">
        <x:v>3.0</x:v>
      </x:c>
      <x:c r="C26" s="1" t="s">
        <x:v>924</x:v>
      </x:c>
      <x:c r="D26" s="1" t="s">
        <x:v>543</x:v>
      </x:c>
      <x:c r="E26" s="1" t="s">
        <x:v>136</x:v>
      </x:c>
      <x:c r="F26" s="1">
        <x:v>14.0</x:v>
      </x:c>
      <x:c r="G26" s="1" t="s">
        <x:v>1065</x:v>
      </x:c>
      <x:c r="H26" s="1" t="s">
        <x:v>1062</x:v>
      </x:c>
      <x:c r="I26" s="1" t="s">
        <x:v>1060</x:v>
      </x:c>
      <x:c r="J26" s="1">
        <x:v>-2.0</x:v>
      </x:c>
      <x:c r="K26" s="1">
        <x:v>25.0</x:v>
      </x:c>
      <x:c r="L26" s="1" t="str">
        <x:f t="shared" si="1"/>
        <x:v>Trey McBride</x:v>
      </x:c>
      <x:c r="M26" s="127" t="n">
        <x:f>IFERROR(VLOOKUP(E26,RISK!A:B,2,FALSE()),"")</x:f>
        <x:v>2.3576000000000015</x:v>
      </x:c>
      <x:c r="N26" s="118">
        <x:f t="shared" si="2"/>
        <x:v>161.9112132</x:v>
      </x:c>
      <x:c r="Q26" s="9" t="s">
        <x:v>229</x:v>
      </x:c>
      <x:c r="R26" s="118" t="n">
        <x:f>Aggregate!BG28</x:f>
        <x:v>176.6746353</x:v>
      </x:c>
      <x:c r="S26" s="9"/>
      <x:c r="T26" s="9"/>
    </x:row>
    <x:row r="27" ht="14.25" customHeight="1">
      <x:c r="A27" s="1">
        <x:v>26.0</x:v>
      </x:c>
      <x:c r="B27" s="1">
        <x:v>3.0</x:v>
      </x:c>
      <x:c r="C27" s="1" t="s">
        <x:v>486</x:v>
      </x:c>
      <x:c r="D27" s="1" t="s">
        <x:v>487</x:v>
      </x:c>
      <x:c r="E27" s="1" t="s">
        <x:v>129</x:v>
      </x:c>
      <x:c r="F27" s="1">
        <x:v>7.0</x:v>
      </x:c>
      <x:c r="G27" s="1" t="s">
        <x:v>1057</x:v>
      </x:c>
      <x:c r="H27" s="1" t="s">
        <x:v>1058</x:v>
      </x:c>
      <x:c r="I27" s="1" t="s">
        <x:v>1064</x:v>
      </x:c>
      <x:c r="J27" s="1">
        <x:v>-7.0</x:v>
      </x:c>
      <x:c r="K27" s="1">
        <x:v>26.0</x:v>
      </x:c>
      <x:c r="L27" s="1" t="str">
        <x:f t="shared" si="1"/>
        <x:v>Josh Allen</x:v>
      </x:c>
      <x:c r="M27" s="127" t="n">
        <x:f>IFERROR(VLOOKUP(E27,RISK!A:B,2,FALSE()),"")</x:f>
        <x:v>1.7985000000000007</x:v>
      </x:c>
      <x:c r="N27" s="118">
        <x:f t="shared" si="2"/>
        <x:v>310.9894593</x:v>
      </x:c>
      <x:c r="Q27" s="9" t="s">
        <x:v>233</x:v>
      </x:c>
      <x:c r="R27" s="118" t="n">
        <x:f>Aggregate!BG29</x:f>
        <x:v>175.0091294</x:v>
      </x:c>
      <x:c r="S27" s="9"/>
      <x:c r="T27" s="9"/>
    </x:row>
    <x:row r="28" ht="14.25" customHeight="1">
      <x:c r="B28" s="1">
        <x:v>3.0</x:v>
      </x:c>
      <x:c r="K28" s="1">
        <x:v>27.0</x:v>
      </x:c>
      <x:c r="L28" s="1" t="str">
        <x:f t="shared" si="1"/>
      </x:c>
      <x:c r="M28" s="127" t="str">
        <x:f>IFERROR(VLOOKUP(E28,RISK!A:B,2,FALSE()),"")</x:f>
      </x:c>
      <x:c r="N28" s="118" t="str">
        <x:f t="shared" si="2"/>
        <x:v>#N/A</x:v>
      </x:c>
      <x:c r="Q28" s="9" t="s">
        <x:v>237</x:v>
      </x:c>
      <x:c r="R28" s="118" t="n">
        <x:f>Aggregate!BG30</x:f>
        <x:v>173.6749176</x:v>
      </x:c>
      <x:c r="S28" s="9"/>
      <x:c r="T28" s="9"/>
    </x:row>
    <x:row r="29" ht="14.25" customHeight="1">
      <x:c r="A29" s="1">
        <x:v>27.0</x:v>
      </x:c>
      <x:c r="B29" s="1">
        <x:v>3.0</x:v>
      </x:c>
      <x:c r="C29" s="1" t="s">
        <x:v>747</x:v>
      </x:c>
      <x:c r="D29" s="1" t="s">
        <x:v>501</x:v>
      </x:c>
      <x:c r="E29" s="1" t="s">
        <x:v>175</x:v>
      </x:c>
      <x:c r="F29" s="1">
        <x:v>8.0</x:v>
      </x:c>
      <x:c r="G29" s="1" t="s">
        <x:v>1065</x:v>
      </x:c>
      <x:c r="H29" s="1" t="s">
        <x:v>1065</x:v>
      </x:c>
      <x:c r="I29" s="1" t="s">
        <x:v>1061</x:v>
      </x:c>
      <x:c r="J29" s="1">
        <x:v>2.0</x:v>
      </x:c>
      <x:c r="K29" s="1">
        <x:v>28.0</x:v>
      </x:c>
      <x:c r="L29" s="1" t="str">
        <x:f t="shared" si="1"/>
        <x:v>Malik Nabers</x:v>
      </x:c>
      <x:c r="M29" s="127" t="n">
        <x:f>IFERROR(VLOOKUP(E29,RISK!A:B,2,FALSE()),"")</x:f>
        <x:v>2.4062</x:v>
      </x:c>
      <x:c r="N29" s="118">
        <x:f t="shared" si="2"/>
        <x:v>168.5221092</x:v>
      </x:c>
      <x:c r="Q29" s="9" t="s">
        <x:v>241</x:v>
      </x:c>
      <x:c r="R29" s="118" t="n">
        <x:f>Aggregate!BG31</x:f>
        <x:v>168.1167059</x:v>
      </x:c>
      <x:c r="S29" s="9"/>
      <x:c r="T29" s="9"/>
    </x:row>
    <x:row r="30" ht="14.25" customHeight="1">
      <x:c r="A30" s="1">
        <x:v>28.0</x:v>
      </x:c>
      <x:c r="B30" s="1">
        <x:v>3.0</x:v>
      </x:c>
      <x:c r="C30" s="1" t="s">
        <x:v>738</x:v>
      </x:c>
      <x:c r="D30" s="1" t="s">
        <x:v>509</x:v>
      </x:c>
      <x:c r="E30" s="1" t="s">
        <x:v>179</x:v>
      </x:c>
      <x:c r="F30" s="1">
        <x:v>5.0</x:v>
      </x:c>
      <x:c r="G30" s="1" t="s">
        <x:v>1065</x:v>
      </x:c>
      <x:c r="H30" s="1" t="s">
        <x:v>1065</x:v>
      </x:c>
      <x:c r="I30" s="1" t="s">
        <x:v>1060</x:v>
      </x:c>
      <x:c r="J30" s="1">
        <x:v>4.0</x:v>
      </x:c>
      <x:c r="K30" s="1">
        <x:v>29.0</x:v>
      </x:c>
      <x:c r="L30" s="1" t="str">
        <x:f t="shared" si="1"/>
        <x:v>Rashee Rice</x:v>
      </x:c>
      <x:c r="M30" s="127" t="n">
        <x:f>IFERROR(VLOOKUP(E30,RISK!A:B,2,FALSE()),"")</x:f>
        <x:v>2.4750999999999994</x:v>
      </x:c>
      <x:c r="N30" s="118">
        <x:f t="shared" si="2"/>
        <x:v>159.8311026</x:v>
      </x:c>
      <x:c r="Q30" s="9" t="s">
        <x:v>245</x:v>
      </x:c>
      <x:c r="R30" s="118" t="n">
        <x:f>Aggregate!BG32</x:f>
        <x:v>144.2785882</x:v>
      </x:c>
      <x:c r="S30" s="9"/>
      <x:c r="T30" s="9"/>
    </x:row>
    <x:row r="31" ht="14.25" customHeight="1">
      <x:c r="A31" s="1">
        <x:v>29.0</x:v>
      </x:c>
      <x:c r="B31" s="1">
        <x:v>3.0</x:v>
      </x:c>
      <x:c r="C31" s="1" t="s">
        <x:v>748</x:v>
      </x:c>
      <x:c r="D31" s="1" t="s">
        <x:v>497</x:v>
      </x:c>
      <x:c r="E31" s="1" t="s">
        <x:v>183</x:v>
      </x:c>
      <x:c r="F31" s="1">
        <x:v>10.0</x:v>
      </x:c>
      <x:c r="G31" s="1" t="s">
        <x:v>1065</x:v>
      </x:c>
      <x:c r="H31" s="1" t="s">
        <x:v>1062</x:v>
      </x:c>
      <x:c r="I31" s="1" t="s">
        <x:v>1061</x:v>
      </x:c>
      <x:c r="J31" s="1">
        <x:v>4.0</x:v>
      </x:c>
      <x:c r="K31" s="1">
        <x:v>30.0</x:v>
      </x:c>
      <x:c r="L31" s="1" t="str">
        <x:f t="shared" si="1"/>
        <x:v>DeVonta Smith</x:v>
      </x:c>
      <x:c r="M31" s="127" t="n">
        <x:f>IFERROR(VLOOKUP(E31,RISK!A:B,2,FALSE()),"")</x:f>
        <x:v>2.543199999999999</x:v>
      </x:c>
      <x:c r="N31" s="118">
        <x:f t="shared" si="2"/>
        <x:v>158.4922991</x:v>
      </x:c>
      <x:c r="Q31" s="9" t="s">
        <x:v>249</x:v>
      </x:c>
      <x:c r="R31" s="118" t="n">
        <x:f>Aggregate!BG33</x:f>
        <x:v>113.5375059</x:v>
      </x:c>
      <x:c r="S31" s="9"/>
      <x:c r="T31" s="9"/>
    </x:row>
    <x:row r="32" ht="14.25" customHeight="1">
      <x:c r="A32" s="1">
        <x:v>30.0</x:v>
      </x:c>
      <x:c r="B32" s="1">
        <x:v>3.0</x:v>
      </x:c>
      <x:c r="C32" s="1" t="s">
        <x:v>746</x:v>
      </x:c>
      <x:c r="D32" s="1" t="s">
        <x:v>491</x:v>
      </x:c>
      <x:c r="E32" s="1" t="s">
        <x:v>187</x:v>
      </x:c>
      <x:c r="F32" s="1">
        <x:v>13.0</x:v>
      </x:c>
      <x:c r="G32" s="1" t="s">
        <x:v>1065</x:v>
      </x:c>
      <x:c r="H32" s="1" t="s">
        <x:v>1062</x:v>
      </x:c>
      <x:c r="I32" s="1" t="s">
        <x:v>1061</x:v>
      </x:c>
      <x:c r="J32" s="1">
        <x:v>5.0</x:v>
      </x:c>
      <x:c r="K32" s="1">
        <x:v>31.0</x:v>
      </x:c>
      <x:c r="L32" s="1" t="str">
        <x:f t="shared" si="1"/>
        <x:v>Zay Flowers</x:v>
      </x:c>
      <x:c r="M32" s="127" t="n">
        <x:f>IFERROR(VLOOKUP(E32,RISK!A:B,2,FALSE()),"")</x:f>
        <x:v>2.6105</x:v>
      </x:c>
      <x:c r="N32" s="118">
        <x:f t="shared" si="2"/>
        <x:v>152.6159435</x:v>
      </x:c>
      <x:c r="Q32" s="9" t="s">
        <x:v>253</x:v>
      </x:c>
      <x:c r="R32" s="118" t="n">
        <x:f>Aggregate!BG34</x:f>
        <x:v>90.9312</x:v>
      </x:c>
      <x:c r="S32" s="9"/>
      <x:c r="T32" s="9"/>
    </x:row>
    <x:row r="33" ht="14.25" customHeight="1">
      <x:c r="A33" s="1">
        <x:v>31.0</x:v>
      </x:c>
      <x:c r="B33" s="1">
        <x:v>3.0</x:v>
      </x:c>
      <x:c r="C33" s="1" t="s">
        <x:v>618</x:v>
      </x:c>
      <x:c r="D33" s="1" t="s">
        <x:v>517</x:v>
      </x:c>
      <x:c r="E33" s="1" t="s">
        <x:v>178</x:v>
      </x:c>
      <x:c r="F33" s="1">
        <x:v>11.0</x:v>
      </x:c>
      <x:c r="G33" s="1" t="s">
        <x:v>1065</x:v>
      </x:c>
      <x:c r="H33" s="1" t="s">
        <x:v>1062</x:v>
      </x:c>
      <x:c r="I33" s="1" t="s">
        <x:v>1059</x:v>
      </x:c>
      <x:c r="J33" s="1">
        <x:v>-5.0</x:v>
      </x:c>
      <x:c r="K33" s="1">
        <x:v>32.0</x:v>
      </x:c>
      <x:c r="L33" s="1" t="str">
        <x:f t="shared" si="1"/>
        <x:v>Kyren Williams</x:v>
      </x:c>
      <x:c r="M33" s="127" t="n">
        <x:f>IFERROR(VLOOKUP(E33,RISK!A:B,2,FALSE()),"")</x:f>
        <x:v>3</x:v>
      </x:c>
      <x:c r="N33" s="118">
        <x:f t="shared" si="2"/>
        <x:v>176.3947059</x:v>
      </x:c>
      <x:c r="Q33" s="9" t="s">
        <x:v>257</x:v>
      </x:c>
      <x:c r="R33" s="118" t="n">
        <x:f>Aggregate!BG35</x:f>
        <x:v>89.36056471</x:v>
      </x:c>
      <x:c r="S33" s="9"/>
      <x:c r="T33" s="9"/>
    </x:row>
    <x:row r="34" ht="14.25" customHeight="1">
      <x:c r="A34" s="1">
        <x:v>32.0</x:v>
      </x:c>
      <x:c r="B34" s="1">
        <x:v>3.0</x:v>
      </x:c>
      <x:c r="C34" s="1" t="s">
        <x:v>752</x:v>
      </x:c>
      <x:c r="D34" s="1" t="s">
        <x:v>499</x:v>
      </x:c>
      <x:c r="E34" s="1" t="s">
        <x:v>191</x:v>
      </x:c>
      <x:c r="F34" s="1">
        <x:v>6.0</x:v>
      </x:c>
      <x:c r="G34" s="1" t="s">
        <x:v>1057</x:v>
      </x:c>
      <x:c r="H34" s="1" t="s">
        <x:v>1062</x:v>
      </x:c>
      <x:c r="I34" s="1" t="s">
        <x:v>1061</x:v>
      </x:c>
      <x:c r="J34" s="1">
        <x:v>6.0</x:v>
      </x:c>
      <x:c r="K34" s="1">
        <x:v>33.0</x:v>
      </x:c>
      <x:c r="L34" s="1" t="str">
        <x:f t="shared" si="1"/>
        <x:v>Tee Higgins</x:v>
      </x:c>
      <x:c r="M34" s="127" t="n">
        <x:f>IFERROR(VLOOKUP(E34,RISK!A:B,2,FALSE()),"")</x:f>
        <x:v>2.6769999999999996</x:v>
      </x:c>
      <x:c r="N34" s="118">
        <x:f t="shared" si="2"/>
        <x:v>150.9831379</x:v>
      </x:c>
      <x:c r="Q34" s="9" t="s">
        <x:v>261</x:v>
      </x:c>
      <x:c r="R34" s="118" t="n">
        <x:f>Aggregate!BG36</x:f>
        <x:v>67.98607059</x:v>
      </x:c>
      <x:c r="S34" s="9"/>
      <x:c r="T34" s="9"/>
    </x:row>
    <x:row r="35" ht="14.25" customHeight="1">
      <x:c r="A35" s="1">
        <x:v>33.0</x:v>
      </x:c>
      <x:c r="B35" s="1">
        <x:v>3.0</x:v>
      </x:c>
      <x:c r="C35" s="1" t="s">
        <x:v>621</x:v>
      </x:c>
      <x:c r="D35" s="1" t="s">
        <x:v>507</x:v>
      </x:c>
      <x:c r="E35" s="1" t="s">
        <x:v>182</x:v>
      </x:c>
      <x:c r="F35" s="1">
        <x:v>14.0</x:v>
      </x:c>
      <x:c r="G35" s="1" t="s">
        <x:v>1065</x:v>
      </x:c>
      <x:c r="H35" s="1" t="s">
        <x:v>1065</x:v>
      </x:c>
      <x:c r="I35" s="1" t="s">
        <x:v>1061</x:v>
      </x:c>
      <x:c r="J35" s="1">
        <x:v>-2.0</x:v>
      </x:c>
      <x:c r="K35" s="1">
        <x:v>34.0</x:v>
      </x:c>
      <x:c r="L35" s="1" t="str">
        <x:f t="shared" si="1"/>
        <x:v>Javonte Williams</x:v>
      </x:c>
      <x:c r="M35" s="127" t="n">
        <x:f>IFERROR(VLOOKUP(E35,RISK!A:B,2,FALSE()),"")</x:f>
        <x:v>3</x:v>
      </x:c>
      <x:c r="N35" s="118">
        <x:f t="shared" si="2"/>
        <x:v>175.3164706</x:v>
      </x:c>
      <x:c r="Q35" s="9" t="s">
        <x:v>265</x:v>
      </x:c>
      <x:c r="R35" s="118" t="n">
        <x:f>Aggregate!BG37</x:f>
        <x:v>35.41232941</x:v>
      </x:c>
      <x:c r="S35" s="9"/>
      <x:c r="T35" s="9"/>
    </x:row>
    <x:row r="36" ht="14.25" customHeight="1">
      <x:c r="A36" s="1">
        <x:v>34.0</x:v>
      </x:c>
      <x:c r="B36" s="1">
        <x:v>3.0</x:v>
      </x:c>
      <x:c r="C36" s="1" t="s">
        <x:v>749</x:v>
      </x:c>
      <x:c r="D36" s="1" t="s">
        <x:v>537</x:v>
      </x:c>
      <x:c r="E36" s="1" t="s">
        <x:v>195</x:v>
      </x:c>
      <x:c r="F36" s="1">
        <x:v>5.0</x:v>
      </x:c>
      <x:c r="G36" s="1" t="s">
        <x:v>1065</x:v>
      </x:c>
      <x:c r="H36" s="1" t="s">
        <x:v>1066</x:v>
      </x:c>
      <x:c r="I36" s="1" t="s">
        <x:v>1060</x:v>
      </x:c>
      <x:c r="J36" s="1">
        <x:v>5.0</x:v>
      </x:c>
      <x:c r="K36" s="1">
        <x:v>35.0</x:v>
      </x:c>
      <x:c r="L36" s="1" t="str">
        <x:f t="shared" si="1"/>
        <x:v>Tetairoa McMillan</x:v>
      </x:c>
      <x:c r="M36" s="127" t="n">
        <x:f>IFERROR(VLOOKUP(E36,RISK!A:B,2,FALSE()),"")</x:f>
        <x:v>2.7426999999999992</x:v>
      </x:c>
      <x:c r="N36" s="118">
        <x:f t="shared" si="2"/>
        <x:v>150.5639359</x:v>
      </x:c>
      <x:c r="Q36" s="9" t="s">
        <x:v>269</x:v>
      </x:c>
      <x:c r="R36" s="118" t="n">
        <x:f>Aggregate!BG38</x:f>
        <x:v>17.57214118</x:v>
      </x:c>
      <x:c r="S36" s="9"/>
      <x:c r="T36" s="9"/>
    </x:row>
    <x:row r="37" ht="14.25" customHeight="1">
      <x:c r="A37" s="1">
        <x:v>35.0</x:v>
      </x:c>
      <x:c r="B37" s="1">
        <x:v>3.0</x:v>
      </x:c>
      <x:c r="C37" s="1" t="s">
        <x:v>617</x:v>
      </x:c>
      <x:c r="D37" s="1" t="s">
        <x:v>539</x:v>
      </x:c>
      <x:c r="E37" s="1" t="s">
        <x:v>186</x:v>
      </x:c>
      <x:c r="F37" s="1">
        <x:v>13.0</x:v>
      </x:c>
      <x:c r="G37" s="1" t="s">
        <x:v>1065</x:v>
      </x:c>
      <x:c r="H37" s="1" t="s">
        <x:v>1065</x:v>
      </x:c>
      <x:c r="I37" s="1" t="s">
        <x:v>1064</x:v>
      </x:c>
      <x:c r="J37" s="1">
        <x:v>-1.0</x:v>
      </x:c>
      <x:c r="K37" s="1">
        <x:v>36.0</x:v>
      </x:c>
      <x:c r="L37" s="1" t="str">
        <x:f t="shared" si="1"/>
        <x:v>Breece Hall</x:v>
      </x:c>
      <x:c r="M37" s="127" t="n">
        <x:f>IFERROR(VLOOKUP(E37,RISK!A:B,2,FALSE()),"")</x:f>
        <x:v>3</x:v>
      </x:c>
      <x:c r="N37" s="118">
        <x:f t="shared" si="2"/>
        <x:v>170.9117647</x:v>
      </x:c>
      <x:c r="Q37" s="9" t="s">
        <x:v>273</x:v>
      </x:c>
      <x:c r="R37" s="118" t="n">
        <x:f>Aggregate!BG39</x:f>
        <x:v>17.44414118</x:v>
      </x:c>
      <x:c r="S37" s="9"/>
      <x:c r="T37" s="9"/>
    </x:row>
    <x:row r="38" ht="14.25" customHeight="1">
      <x:c r="A38" s="1">
        <x:v>36.0</x:v>
      </x:c>
      <x:c r="B38" s="1">
        <x:v>3.0</x:v>
      </x:c>
      <x:c r="C38" s="1" t="s">
        <x:v>490</x:v>
      </x:c>
      <x:c r="D38" s="1" t="s">
        <x:v>491</x:v>
      </x:c>
      <x:c r="E38" s="1" t="s">
        <x:v>133</x:v>
      </x:c>
      <x:c r="F38" s="1">
        <x:v>13.0</x:v>
      </x:c>
      <x:c r="G38" s="1" t="s">
        <x:v>1065</x:v>
      </x:c>
      <x:c r="H38" s="1" t="s">
        <x:v>1066</x:v>
      </x:c>
      <x:c r="I38" s="1" t="s">
        <x:v>1064</x:v>
      </x:c>
      <x:c r="J38" s="1">
        <x:v>1.0</x:v>
      </x:c>
      <x:c r="K38" s="1">
        <x:v>37.0</x:v>
      </x:c>
      <x:c r="L38" s="1" t="str">
        <x:f t="shared" si="1"/>
        <x:v>Lamar Jackson</x:v>
      </x:c>
      <x:c r="M38" s="127" t="n">
        <x:f>IFERROR(VLOOKUP(E38,RISK!A:B,2,FALSE()),"")</x:f>
        <x:v>1.7645999999999997</x:v>
      </x:c>
      <x:c r="N38" s="118">
        <x:f t="shared" si="2"/>
        <x:v>271.7521112</x:v>
      </x:c>
      <x:c r="Q38" s="9" t="s">
        <x:v>277</x:v>
      </x:c>
      <x:c r="R38" s="118" t="n">
        <x:f>Aggregate!BG40</x:f>
        <x:v>16.95924706</x:v>
      </x:c>
      <x:c r="S38" s="9"/>
      <x:c r="T38" s="9"/>
    </x:row>
    <x:row r="39" ht="14.25" customHeight="1">
      <x:c r="A39" s="1">
        <x:v>37.0</x:v>
      </x:c>
      <x:c r="B39" s="1">
        <x:v>3.0</x:v>
      </x:c>
      <x:c r="C39" s="1" t="s">
        <x:v>616</x:v>
      </x:c>
      <x:c r="D39" s="1" t="s">
        <x:v>531</x:v>
      </x:c>
      <x:c r="E39" s="1" t="s">
        <x:v>190</x:v>
      </x:c>
      <x:c r="F39" s="1">
        <x:v>11.0</x:v>
      </x:c>
      <x:c r="G39" s="1" t="s">
        <x:v>1065</x:v>
      </x:c>
      <x:c r="H39" s="1" t="s">
        <x:v>1066</x:v>
      </x:c>
      <x:c r="I39" s="1" t="s">
        <x:v>1061</x:v>
      </x:c>
      <x:c r="J39" s="1">
        <x:v>-7.0</x:v>
      </x:c>
      <x:c r="K39" s="1">
        <x:v>38.0</x:v>
      </x:c>
      <x:c r="L39" s="1" t="str">
        <x:f t="shared" si="1"/>
        <x:v>Josh Jacobs</x:v>
      </x:c>
      <x:c r="M39" s="127" t="n">
        <x:f>IFERROR(VLOOKUP(E39,RISK!A:B,2,FALSE()),"")</x:f>
        <x:v>3</x:v>
      </x:c>
      <x:c r="N39" s="118">
        <x:f t="shared" si="2"/>
        <x:v>170.2311765</x:v>
      </x:c>
      <x:c r="Q39" s="9" t="s">
        <x:v>281</x:v>
      </x:c>
      <x:c r="R39" s="118" t="n">
        <x:f>Aggregate!BG41</x:f>
        <x:v>13.51529412</x:v>
      </x:c>
      <x:c r="S39" s="9"/>
      <x:c r="T39" s="9"/>
    </x:row>
    <x:row r="40" ht="14.25" customHeight="1">
      <x:c r="A40" s="1">
        <x:v>38.0</x:v>
      </x:c>
      <x:c r="B40" s="1">
        <x:v>3.0</x:v>
      </x:c>
      <x:c r="C40" s="1" t="s">
        <x:v>745</x:v>
      </x:c>
      <x:c r="D40" s="1" t="s">
        <x:v>539</x:v>
      </x:c>
      <x:c r="E40" s="1" t="s">
        <x:v>199</x:v>
      </x:c>
      <x:c r="F40" s="1">
        <x:v>13.0</x:v>
      </x:c>
      <x:c r="G40" s="1" t="s">
        <x:v>1065</x:v>
      </x:c>
      <x:c r="H40" s="1" t="s">
        <x:v>1066</x:v>
      </x:c>
      <x:c r="I40" s="1" t="s">
        <x:v>1061</x:v>
      </x:c>
      <x:c r="J40" s="1">
        <x:v>6.0</x:v>
      </x:c>
      <x:c r="K40" s="1">
        <x:v>39.0</x:v>
      </x:c>
      <x:c r="L40" s="1" t="str">
        <x:f t="shared" si="1"/>
        <x:v>Garrett Wilson</x:v>
      </x:c>
      <x:c r="M40" s="127" t="n">
        <x:f>IFERROR(VLOOKUP(E40,RISK!A:B,2,FALSE()),"")</x:f>
        <x:v>2.807599999999999</x:v>
      </x:c>
      <x:c r="N40" s="118">
        <x:f t="shared" si="2"/>
        <x:v>146.4769868</x:v>
      </x:c>
      <x:c r="Q40" s="9" t="s">
        <x:v>285</x:v>
      </x:c>
      <x:c r="R40" s="118" t="n">
        <x:f>Aggregate!BG42</x:f>
        <x:v>9.372611765</x:v>
      </x:c>
      <x:c r="S40" s="9"/>
      <x:c r="T40" s="9"/>
    </x:row>
    <x:row r="41" ht="14.25" customHeight="1">
      <x:c r="A41" s="1">
        <x:v>39.0</x:v>
      </x:c>
      <x:c r="B41" s="1">
        <x:v>4.0</x:v>
      </x:c>
      <x:c r="C41" s="1" t="s">
        <x:v>755</x:v>
      </x:c>
      <x:c r="D41" s="1" t="s">
        <x:v>515</x:v>
      </x:c>
      <x:c r="E41" s="1" t="s">
        <x:v>203</x:v>
      </x:c>
      <x:c r="F41" s="1">
        <x:v>10.0</x:v>
      </x:c>
      <x:c r="G41" s="1" t="s">
        <x:v>1065</x:v>
      </x:c>
      <x:c r="H41" s="1" t="s">
        <x:v>1066</x:v>
      </x:c>
      <x:c r="I41" s="1" t="s">
        <x:v>1060</x:v>
      </x:c>
      <x:c r="J41" s="1">
        <x:v>7.0</x:v>
      </x:c>
      <x:c r="K41" s="1">
        <x:v>40.0</x:v>
      </x:c>
      <x:c r="L41" s="1" t="str">
        <x:f t="shared" si="1"/>
        <x:v>Jaylen Waddle</x:v>
      </x:c>
      <x:c r="M41" s="127" t="n">
        <x:f>IFERROR(VLOOKUP(E41,RISK!A:B,2,FALSE()),"")</x:f>
        <x:v>2.871699999999999</x:v>
      </x:c>
      <x:c r="N41" s="118">
        <x:f t="shared" si="2"/>
        <x:v>145.8790129</x:v>
      </x:c>
      <x:c r="Q41" s="9" t="s">
        <x:v>289</x:v>
      </x:c>
      <x:c r="R41" s="118" t="n">
        <x:f>Aggregate!BG43</x:f>
        <x:v>9.307858824</x:v>
      </x:c>
      <x:c r="S41" s="9"/>
      <x:c r="T41" s="9"/>
    </x:row>
    <x:row r="42" ht="14.25" customHeight="1">
      <x:c r="A42" s="1">
        <x:v>40.0</x:v>
      </x:c>
      <x:c r="B42" s="1">
        <x:v>4.0</x:v>
      </x:c>
      <x:c r="C42" s="1" t="s">
        <x:v>753</x:v>
      </x:c>
      <x:c r="D42" s="1" t="s">
        <x:v>513</x:v>
      </x:c>
      <x:c r="E42" s="1" t="s">
        <x:v>207</x:v>
      </x:c>
      <x:c r="F42" s="1">
        <x:v>7.0</x:v>
      </x:c>
      <x:c r="G42" s="1" t="s">
        <x:v>1065</x:v>
      </x:c>
      <x:c r="H42" s="1" t="s">
        <x:v>1065</x:v>
      </x:c>
      <x:c r="I42" s="1" t="s">
        <x:v>1060</x:v>
      </x:c>
      <x:c r="J42" s="1">
        <x:v>3.0</x:v>
      </x:c>
      <x:c r="K42" s="1">
        <x:v>41.0</x:v>
      </x:c>
      <x:c r="L42" s="1" t="str">
        <x:f t="shared" si="1"/>
        <x:v>Ladd McConkey</x:v>
      </x:c>
      <x:c r="M42" s="127" t="n">
        <x:f>IFERROR(VLOOKUP(E42,RISK!A:B,2,FALSE()),"")</x:f>
        <x:v>2.9349999999999987</x:v>
      </x:c>
      <x:c r="N42" s="118">
        <x:f t="shared" si="2"/>
        <x:v>142.1865196</x:v>
      </x:c>
      <x:c r="Q42" s="9" t="s">
        <x:v>293</x:v>
      </x:c>
      <x:c r="R42" s="118" t="n">
        <x:f>Aggregate!BG44</x:f>
        <x:v>8.717552941</x:v>
      </x:c>
      <x:c r="S42" s="9"/>
      <x:c r="T42" s="9"/>
    </x:row>
    <x:row r="43" ht="14.25" customHeight="1">
      <x:c r="A43" s="1">
        <x:v>41.0</x:v>
      </x:c>
      <x:c r="B43" s="1">
        <x:v>4.0</x:v>
      </x:c>
      <x:c r="C43" s="1" t="s">
        <x:v>926</x:v>
      </x:c>
      <x:c r="D43" s="1" t="s">
        <x:v>511</x:v>
      </x:c>
      <x:c r="E43" s="1" t="s">
        <x:v>140</x:v>
      </x:c>
      <x:c r="F43" s="1">
        <x:v>10.0</x:v>
      </x:c>
      <x:c r="G43" s="1" t="s">
        <x:v>1057</x:v>
      </x:c>
      <x:c r="H43" s="1" t="s">
        <x:v>1062</x:v>
      </x:c>
      <x:c r="I43" s="1" t="s">
        <x:v>1060</x:v>
      </x:c>
      <x:c r="J43" s="1">
        <x:v>1.0</x:v>
      </x:c>
      <x:c r="K43" s="1">
        <x:v>42.0</x:v>
      </x:c>
      <x:c r="L43" s="1" t="str">
        <x:f t="shared" si="1"/>
        <x:v>Colston Loveland</x:v>
      </x:c>
      <x:c r="M43" s="127" t="n">
        <x:f>IFERROR(VLOOKUP(E43,RISK!A:B,2,FALSE()),"")</x:f>
        <x:v>2.4313000000000002</x:v>
      </x:c>
      <x:c r="N43" s="118">
        <x:f t="shared" si="2"/>
        <x:v>137.3312072</x:v>
      </x:c>
      <x:c r="Q43" s="9" t="s">
        <x:v>297</x:v>
      </x:c>
      <x:c r="R43" s="118" t="n">
        <x:f>Aggregate!BG45</x:f>
        <x:v>8.717552941</x:v>
      </x:c>
      <x:c r="S43" s="9"/>
      <x:c r="T43" s="9"/>
    </x:row>
    <x:row r="44" ht="14.25" customHeight="1">
      <x:c r="A44" s="1">
        <x:v>42.0</x:v>
      </x:c>
      <x:c r="B44" s="1">
        <x:v>4.0</x:v>
      </x:c>
      <x:c r="C44" s="1" t="s">
        <x:v>750</x:v>
      </x:c>
      <x:c r="D44" s="1" t="s">
        <x:v>523</x:v>
      </x:c>
      <x:c r="E44" s="1" t="s">
        <x:v>211</x:v>
      </x:c>
      <x:c r="F44" s="1">
        <x:v>10.0</x:v>
      </x:c>
      <x:c r="G44" s="1" t="s">
        <x:v>1057</x:v>
      </x:c>
      <x:c r="H44" s="1" t="s">
        <x:v>1066</x:v>
      </x:c>
      <x:c r="I44" s="1" t="s">
        <x:v>1061</x:v>
      </x:c>
      <x:c r="J44" s="1">
        <x:v>-1.0</x:v>
      </x:c>
      <x:c r="K44" s="1">
        <x:v>43.0</x:v>
      </x:c>
      <x:c r="L44" s="1" t="str">
        <x:f t="shared" si="1"/>
        <x:v>Emeka Egbuka</x:v>
      </x:c>
      <x:c r="M44" s="127" t="n">
        <x:f>IFERROR(VLOOKUP(E44,RISK!A:B,2,FALSE()),"")</x:f>
        <x:v>2.9974999999999987</x:v>
      </x:c>
      <x:c r="N44" s="118">
        <x:f t="shared" si="2"/>
        <x:v>138.9693512</x:v>
      </x:c>
      <x:c r="Q44" s="9" t="s">
        <x:v>301</x:v>
      </x:c>
      <x:c r="R44" s="118" t="n">
        <x:f>Aggregate!BG46</x:f>
        <x:v>7.942023529</x:v>
      </x:c>
      <x:c r="S44" s="9"/>
      <x:c r="T44" s="9"/>
    </x:row>
    <x:row r="45" ht="14.25" customHeight="1">
      <x:c r="A45" s="1">
        <x:v>43.0</x:v>
      </x:c>
      <x:c r="B45" s="1">
        <x:v>4.0</x:v>
      </x:c>
      <x:c r="C45" s="1" t="s">
        <x:v>614</x:v>
      </x:c>
      <x:c r="D45" s="1" t="s">
        <x:v>543</x:v>
      </x:c>
      <x:c r="E45" s="1" t="s">
        <x:v>194</x:v>
      </x:c>
      <x:c r="F45" s="1">
        <x:v>14.0</x:v>
      </x:c>
      <x:c r="G45" s="1" t="s">
        <x:v>1057</x:v>
      </x:c>
      <x:c r="H45" s="1" t="s">
        <x:v>1066</x:v>
      </x:c>
      <x:c r="I45" s="1" t="s">
        <x:v>1060</x:v>
      </x:c>
      <x:c r="J45" s="1">
        <x:v>-16.0</x:v>
      </x:c>
      <x:c r="K45" s="1">
        <x:v>44.0</x:v>
      </x:c>
      <x:c r="L45" s="1" t="str">
        <x:f t="shared" si="1"/>
        <x:v>Jeremiyah Love</x:v>
      </x:c>
      <x:c r="M45" s="127" t="n">
        <x:f>IFERROR(VLOOKUP(E45,RISK!A:B,2,FALSE()),"")</x:f>
        <x:v>3</x:v>
      </x:c>
      <x:c r="N45" s="118">
        <x:f t="shared" si="2"/>
        <x:v>166.8129412</x:v>
      </x:c>
      <x:c r="Q45" s="9" t="s">
        <x:v>305</x:v>
      </x:c>
      <x:c r="R45" s="118" t="n">
        <x:f>Aggregate!BG47</x:f>
        <x:v>7.857694118</x:v>
      </x:c>
      <x:c r="S45" s="9"/>
      <x:c r="T45" s="9"/>
    </x:row>
    <x:row r="46" ht="14.25" customHeight="1">
      <x:c r="A46" s="1">
        <x:v>44.0</x:v>
      </x:c>
      <x:c r="B46" s="1">
        <x:v>4.0</x:v>
      </x:c>
      <x:c r="C46" s="1" t="s">
        <x:v>492</x:v>
      </x:c>
      <x:c r="D46" s="1" t="s">
        <x:v>493</x:v>
      </x:c>
      <x:c r="E46" s="1" t="s">
        <x:v>137</x:v>
      </x:c>
      <x:c r="F46" s="1">
        <x:v>11.0</x:v>
      </x:c>
      <x:c r="G46" s="1" t="s">
        <x:v>1057</x:v>
      </x:c>
      <x:c r="H46" s="1" t="s">
        <x:v>1062</x:v>
      </x:c>
      <x:c r="I46" s="1" t="s">
        <x:v>1060</x:v>
      </x:c>
      <x:c r="J46" s="1">
        <x:v>8.0</x:v>
      </x:c>
      <x:c r="K46" s="1">
        <x:v>45.0</x:v>
      </x:c>
      <x:c r="L46" s="1" t="str">
        <x:f t="shared" si="1"/>
        <x:v>Drake Maye</x:v>
      </x:c>
      <x:c r="M46" s="127" t="n">
        <x:f>IFERROR(VLOOKUP(E46,RISK!A:B,2,FALSE()),"")</x:f>
        <x:v>1.7403000000000013</x:v>
      </x:c>
      <x:c r="N46" s="118">
        <x:f t="shared" si="2"/>
        <x:v>270.9074582</x:v>
      </x:c>
      <x:c r="Q46" s="9" t="s">
        <x:v>309</x:v>
      </x:c>
      <x:c r="R46" s="118" t="n">
        <x:f>Aggregate!BG48</x:f>
        <x:v>7.800470588</x:v>
      </x:c>
      <x:c r="S46" s="9"/>
      <x:c r="T46" s="9"/>
    </x:row>
    <x:row r="47" ht="14.25" customHeight="1">
      <x:c r="A47" s="1">
        <x:v>45.0</x:v>
      </x:c>
      <x:c r="B47" s="1">
        <x:v>4.0</x:v>
      </x:c>
      <x:c r="C47" s="1" t="s">
        <x:v>619</x:v>
      </x:c>
      <x:c r="D47" s="1" t="s">
        <x:v>521</x:v>
      </x:c>
      <x:c r="E47" s="1" t="s">
        <x:v>198</x:v>
      </x:c>
      <x:c r="F47" s="1">
        <x:v>8.0</x:v>
      </x:c>
      <x:c r="G47" s="1" t="s">
        <x:v>1065</x:v>
      </x:c>
      <x:c r="H47" s="1" t="s">
        <x:v>1066</x:v>
      </x:c>
      <x:c r="I47" s="1" t="s">
        <x:v>1064</x:v>
      </x:c>
      <x:c r="J47" s="1">
        <x:v>-5.0</x:v>
      </x:c>
      <x:c r="K47" s="1">
        <x:v>46.0</x:v>
      </x:c>
      <x:c r="L47" s="1" t="str">
        <x:f t="shared" si="1"/>
        <x:v>Travis Etienne Jr.</x:v>
      </x:c>
      <x:c r="M47" s="127" t="n">
        <x:f>IFERROR(VLOOKUP(E47,RISK!A:B,2,FALSE()),"")</x:f>
        <x:v>3</x:v>
      </x:c>
      <x:c r="N47" s="118">
        <x:f t="shared" si="2"/>
        <x:v>163.1576471</x:v>
      </x:c>
      <x:c r="Q47" s="9" t="s">
        <x:v>313</x:v>
      </x:c>
      <x:c r="R47" s="118" t="n">
        <x:f>Aggregate!BG49</x:f>
        <x:v>6.845741176</x:v>
      </x:c>
      <x:c r="S47" s="9"/>
      <x:c r="T47" s="9"/>
    </x:row>
    <x:row r="48" ht="14.25" customHeight="1">
      <x:c r="A48" s="1">
        <x:v>46.0</x:v>
      </x:c>
      <x:c r="B48" s="1">
        <x:v>4.0</x:v>
      </x:c>
      <x:c r="C48" s="1" t="s">
        <x:v>756</x:v>
      </x:c>
      <x:c r="D48" s="1" t="s">
        <x:v>495</x:v>
      </x:c>
      <x:c r="E48" s="1" t="s">
        <x:v>215</x:v>
      </x:c>
      <x:c r="F48" s="1">
        <x:v>7.0</x:v>
      </x:c>
      <x:c r="G48" s="1" t="s">
        <x:v>1065</x:v>
      </x:c>
      <x:c r="H48" s="1" t="s">
        <x:v>1062</x:v>
      </x:c>
      <x:c r="I48" s="1" t="s">
        <x:v>1060</x:v>
      </x:c>
      <x:c r="J48" s="1">
        <x:v>10.0</x:v>
      </x:c>
      <x:c r="K48" s="1">
        <x:v>47.0</x:v>
      </x:c>
      <x:c r="L48" s="1" t="str">
        <x:f t="shared" si="1"/>
        <x:v>Terry McLaurin</x:v>
      </x:c>
      <x:c r="M48" s="127" t="n">
        <x:f>IFERROR(VLOOKUP(E48,RISK!A:B,2,FALSE()),"")</x:f>
        <x:v>3.059199999999999</x:v>
      </x:c>
      <x:c r="N48" s="118">
        <x:f t="shared" si="2"/>
        <x:v>138.9578029</x:v>
      </x:c>
      <x:c r="Q48" s="9" t="s">
        <x:v>317</x:v>
      </x:c>
      <x:c r="R48" s="118" t="n">
        <x:f>Aggregate!BG50</x:f>
        <x:v>6.552094118</x:v>
      </x:c>
      <x:c r="S48" s="9"/>
      <x:c r="T48" s="9"/>
    </x:row>
    <x:row r="49" ht="14.25" customHeight="1">
      <x:c r="A49" s="1">
        <x:v>47.0</x:v>
      </x:c>
      <x:c r="B49" s="1">
        <x:v>4.0</x:v>
      </x:c>
      <x:c r="C49" s="1" t="s">
        <x:v>751</x:v>
      </x:c>
      <x:c r="D49" s="1" t="s">
        <x:v>517</x:v>
      </x:c>
      <x:c r="E49" s="1" t="s">
        <x:v>219</x:v>
      </x:c>
      <x:c r="F49" s="1">
        <x:v>11.0</x:v>
      </x:c>
      <x:c r="G49" s="1" t="s">
        <x:v>1066</x:v>
      </x:c>
      <x:c r="H49" s="1" t="s">
        <x:v>1065</x:v>
      </x:c>
      <x:c r="I49" s="1" t="s">
        <x:v>1063</x:v>
      </x:c>
      <x:c r="J49" s="1">
        <x:v>10.0</x:v>
      </x:c>
      <x:c r="K49" s="1">
        <x:v>48.0</x:v>
      </x:c>
      <x:c r="L49" s="1" t="str">
        <x:f t="shared" si="1"/>
        <x:v>Davante Adams</x:v>
      </x:c>
      <x:c r="M49" s="127" t="n">
        <x:f>IFERROR(VLOOKUP(E49,RISK!A:B,2,FALSE()),"")</x:f>
        <x:v>3.120099999999999</x:v>
      </x:c>
      <x:c r="N49" s="118">
        <x:f t="shared" si="2"/>
        <x:v>133.6251784</x:v>
      </x:c>
      <x:c r="Q49" s="9" t="s">
        <x:v>130</x:v>
      </x:c>
      <x:c r="R49" s="118" t="n">
        <x:f>Aggregate!BL3</x:f>
        <x:v>257.8588235294118</x:v>
      </x:c>
      <x:c r="S49" s="9"/>
      <x:c r="T49" s="9"/>
    </x:row>
    <x:row r="50" ht="14.25" customHeight="1">
      <x:c r="A50" s="1">
        <x:v>48.0</x:v>
      </x:c>
      <x:c r="B50" s="1">
        <x:v>4.0</x:v>
      </x:c>
      <x:c r="C50" s="1" t="s">
        <x:v>623</x:v>
      </x:c>
      <x:c r="D50" s="1" t="s">
        <x:v>511</x:v>
      </x:c>
      <x:c r="E50" s="1" t="s">
        <x:v>202</x:v>
      </x:c>
      <x:c r="F50" s="1">
        <x:v>10.0</x:v>
      </x:c>
      <x:c r="G50" s="1" t="s">
        <x:v>1066</x:v>
      </x:c>
      <x:c r="H50" s="1" t="s">
        <x:v>1066</x:v>
      </x:c>
      <x:c r="I50" s="1" t="s">
        <x:v>1060</x:v>
      </x:c>
      <x:c r="J50" s="1">
        <x:v>1.0</x:v>
      </x:c>
      <x:c r="K50" s="1">
        <x:v>49.0</x:v>
      </x:c>
      <x:c r="L50" s="1" t="str">
        <x:f t="shared" si="1"/>
        <x:v>D'Andre Swift</x:v>
      </x:c>
      <x:c r="M50" s="127" t="n">
        <x:f>IFERROR(VLOOKUP(E50,RISK!A:B,2,FALSE()),"")</x:f>
        <x:v>3</x:v>
      </x:c>
      <x:c r="N50" s="118">
        <x:f t="shared" si="2"/>
        <x:v>162.3164706</x:v>
      </x:c>
      <x:c r="Q50" s="9" t="s">
        <x:v>134</x:v>
      </x:c>
      <x:c r="R50" s="118" t="n">
        <x:f>Aggregate!BL4</x:f>
        <x:v>243.62</x:v>
      </x:c>
      <x:c r="S50" s="9"/>
      <x:c r="T50" s="9"/>
    </x:row>
    <x:row r="51" ht="14.25" customHeight="1">
      <x:c r="A51" s="1">
        <x:v>49.0</x:v>
      </x:c>
      <x:c r="B51" s="1">
        <x:v>4.0</x:v>
      </x:c>
      <x:c r="C51" s="1" t="s">
        <x:v>498</x:v>
      </x:c>
      <x:c r="D51" s="1" t="s">
        <x:v>499</x:v>
      </x:c>
      <x:c r="E51" s="1" t="s">
        <x:v>141</x:v>
      </x:c>
      <x:c r="F51" s="1">
        <x:v>6.0</x:v>
      </x:c>
      <x:c r="G51" s="1" t="s">
        <x:v>1065</x:v>
      </x:c>
      <x:c r="H51" s="1" t="s">
        <x:v>1066</x:v>
      </x:c>
      <x:c r="I51" s="1" t="s">
        <x:v>1064</x:v>
      </x:c>
      <x:c r="J51" s="1">
        <x:v>4.0</x:v>
      </x:c>
      <x:c r="K51" s="1">
        <x:v>50.0</x:v>
      </x:c>
      <x:c r="L51" s="1" t="str">
        <x:f t="shared" si="1"/>
        <x:v>Joe Burrow</x:v>
      </x:c>
      <x:c r="M51" s="127" t="n">
        <x:f>IFERROR(VLOOKUP(E51,RISK!A:B,2,FALSE()),"")</x:f>
        <x:v>1.7256</x:v>
      </x:c>
      <x:c r="N51" s="118">
        <x:f t="shared" si="2"/>
        <x:v>269.3390206</x:v>
      </x:c>
      <x:c r="Q51" s="9" t="s">
        <x:v>138</x:v>
      </x:c>
      <x:c r="R51" s="118" t="n">
        <x:f>Aggregate!BL5</x:f>
        <x:v>225.9858824</x:v>
      </x:c>
      <x:c r="S51" s="9"/>
      <x:c r="T51" s="9"/>
    </x:row>
    <x:row r="52" ht="14.25" customHeight="1">
      <x:c r="A52" s="1">
        <x:v>50.0</x:v>
      </x:c>
      <x:c r="B52" s="1">
        <x:v>4.0</x:v>
      </x:c>
      <x:c r="C52" s="1" t="s">
        <x:v>758</x:v>
      </x:c>
      <x:c r="D52" s="1" t="s">
        <x:v>511</x:v>
      </x:c>
      <x:c r="E52" s="1" t="s">
        <x:v>223</x:v>
      </x:c>
      <x:c r="F52" s="1">
        <x:v>10.0</x:v>
      </x:c>
      <x:c r="G52" s="1" t="s">
        <x:v>1065</x:v>
      </x:c>
      <x:c r="H52" s="1" t="s">
        <x:v>1065</x:v>
      </x:c>
      <x:c r="I52" s="1" t="s">
        <x:v>1064</x:v>
      </x:c>
      <x:c r="J52" s="1">
        <x:v>4.0</x:v>
      </x:c>
      <x:c r="K52" s="1">
        <x:v>51.0</x:v>
      </x:c>
      <x:c r="L52" s="1" t="str">
        <x:f t="shared" si="1"/>
        <x:v>Luther Burden III</x:v>
      </x:c>
      <x:c r="M52" s="127" t="n">
        <x:f>IFERROR(VLOOKUP(E52,RISK!A:B,2,FALSE()),"")</x:f>
        <x:v>3.1801999999999992</x:v>
      </x:c>
      <x:c r="N52" s="118">
        <x:f t="shared" si="2"/>
        <x:v>133.5457011</x:v>
      </x:c>
      <x:c r="Q52" s="9" t="s">
        <x:v>142</x:v>
      </x:c>
      <x:c r="R52" s="118" t="n">
        <x:f>Aggregate!BL6</x:f>
        <x:v>221.0458824</x:v>
      </x:c>
      <x:c r="S52" s="9"/>
      <x:c r="T52" s="9"/>
    </x:row>
    <x:row r="53" ht="14.25" customHeight="1">
      <x:c r="A53" s="1">
        <x:v>51.0</x:v>
      </x:c>
      <x:c r="B53" s="1">
        <x:v>4.0</x:v>
      </x:c>
      <x:c r="C53" s="1" t="s">
        <x:v>620</x:v>
      </x:c>
      <x:c r="D53" s="1" t="s">
        <x:v>501</x:v>
      </x:c>
      <x:c r="E53" s="1" t="s">
        <x:v>206</x:v>
      </x:c>
      <x:c r="F53" s="1">
        <x:v>8.0</x:v>
      </x:c>
      <x:c r="G53" s="1" t="s">
        <x:v>1065</x:v>
      </x:c>
      <x:c r="H53" s="1" t="s">
        <x:v>1065</x:v>
      </x:c>
      <x:c r="I53" s="1" t="s">
        <x:v>1061</x:v>
      </x:c>
      <x:c r="J53" s="1">
        <x:v>-15.0</x:v>
      </x:c>
      <x:c r="K53" s="1">
        <x:v>52.0</x:v>
      </x:c>
      <x:c r="L53" s="1" t="str">
        <x:f t="shared" si="1"/>
        <x:v>Cam Skattebo</x:v>
      </x:c>
      <x:c r="M53" s="127" t="n">
        <x:f>IFERROR(VLOOKUP(E53,RISK!A:B,2,FALSE()),"")</x:f>
        <x:v>3</x:v>
      </x:c>
      <x:c r="N53" s="118">
        <x:f t="shared" si="2"/>
        <x:v>157.0247059</x:v>
      </x:c>
      <x:c r="Q53" s="9" t="s">
        <x:v>146</x:v>
      </x:c>
      <x:c r="R53" s="118" t="n">
        <x:f>Aggregate!BL7</x:f>
        <x:v>202.4482353</x:v>
      </x:c>
      <x:c r="S53" s="9"/>
      <x:c r="T53" s="9"/>
    </x:row>
    <x:row r="54" ht="14.25" customHeight="1">
      <x:c r="A54" s="1">
        <x:v>52.0</x:v>
      </x:c>
      <x:c r="B54" s="1">
        <x:v>4.0</x:v>
      </x:c>
      <x:c r="C54" s="1" t="s">
        <x:v>927</x:v>
      </x:c>
      <x:c r="D54" s="1" t="s">
        <x:v>527</x:v>
      </x:c>
      <x:c r="E54" s="1" t="s">
        <x:v>144</x:v>
      </x:c>
      <x:c r="F54" s="1">
        <x:v>13.0</x:v>
      </x:c>
      <x:c r="G54" s="1" t="s">
        <x:v>1057</x:v>
      </x:c>
      <x:c r="H54" s="1" t="s">
        <x:v>1062</x:v>
      </x:c>
      <x:c r="I54" s="1" t="s">
        <x:v>1064</x:v>
      </x:c>
      <x:c r="J54" s="1">
        <x:v>-1.0</x:v>
      </x:c>
      <x:c r="K54" s="1">
        <x:v>53.0</x:v>
      </x:c>
      <x:c r="L54" s="1" t="str">
        <x:f t="shared" si="1"/>
        <x:v>Tyler Warren</x:v>
      </x:c>
      <x:c r="M54" s="127" t="n">
        <x:f>IFERROR(VLOOKUP(E54,RISK!A:B,2,FALSE()),"")</x:f>
        <x:v>2.4986000000000015</x:v>
      </x:c>
      <x:c r="N54" s="118">
        <x:f t="shared" si="2"/>
        <x:v>126.87345</x:v>
      </x:c>
      <x:c r="Q54" s="9" t="s">
        <x:v>150</x:v>
      </x:c>
      <x:c r="R54" s="118" t="n">
        <x:f>Aggregate!BL8</x:f>
        <x:v>198.6247059</x:v>
      </x:c>
      <x:c r="S54" s="9"/>
      <x:c r="T54" s="9"/>
    </x:row>
    <x:row r="55" ht="14.25" customHeight="1">
      <x:c r="A55" s="1">
        <x:v>53.0</x:v>
      </x:c>
      <x:c r="B55" s="1">
        <x:v>4.0</x:v>
      </x:c>
      <x:c r="C55" s="1" t="s">
        <x:v>754</x:v>
      </x:c>
      <x:c r="D55" s="1" t="s">
        <x:v>519</x:v>
      </x:c>
      <x:c r="E55" s="1" t="s">
        <x:v>227</x:v>
      </x:c>
      <x:c r="F55" s="1">
        <x:v>6.0</x:v>
      </x:c>
      <x:c r="G55" s="1" t="s">
        <x:v>1065</x:v>
      </x:c>
      <x:c r="H55" s="1" t="s">
        <x:v>1066</x:v>
      </x:c>
      <x:c r="I55" s="1" t="s">
        <x:v>1061</x:v>
      </x:c>
      <x:c r="J55" s="1">
        <x:v>7.0</x:v>
      </x:c>
      <x:c r="K55" s="1">
        <x:v>54.0</x:v>
      </x:c>
      <x:c r="L55" s="1" t="str">
        <x:f t="shared" si="1"/>
        <x:v>Jameson Williams</x:v>
      </x:c>
      <x:c r="M55" s="127" t="n">
        <x:f>IFERROR(VLOOKUP(E55,RISK!A:B,2,FALSE()),"")</x:f>
        <x:v>3.2394999999999996</x:v>
      </x:c>
      <x:c r="N55" s="118">
        <x:f t="shared" si="2"/>
        <x:v>130.0161776</x:v>
      </x:c>
      <x:c r="Q55" s="9" t="s">
        <x:v>154</x:v>
      </x:c>
      <x:c r="R55" s="118" t="n">
        <x:f>Aggregate!BL9</x:f>
        <x:v>194.1817647</x:v>
      </x:c>
      <x:c r="S55" s="9"/>
      <x:c r="T55" s="9"/>
    </x:row>
    <x:row r="56" ht="14.25" customHeight="1">
      <x:c r="A56" s="1">
        <x:v>54.0</x:v>
      </x:c>
      <x:c r="B56" s="1">
        <x:v>4.0</x:v>
      </x:c>
      <x:c r="C56" s="1" t="s">
        <x:v>622</x:v>
      </x:c>
      <x:c r="D56" s="1" t="s">
        <x:v>523</x:v>
      </x:c>
      <x:c r="E56" s="1" t="s">
        <x:v>210</x:v>
      </x:c>
      <x:c r="F56" s="1">
        <x:v>10.0</x:v>
      </x:c>
      <x:c r="G56" s="1" t="s">
        <x:v>1066</x:v>
      </x:c>
      <x:c r="H56" s="1" t="s">
        <x:v>1065</x:v>
      </x:c>
      <x:c r="I56" s="1" t="s">
        <x:v>1060</x:v>
      </x:c>
      <x:c r="J56" s="1">
        <x:v>-7.0</x:v>
      </x:c>
      <x:c r="K56" s="1">
        <x:v>55.0</x:v>
      </x:c>
      <x:c r="L56" s="1" t="str">
        <x:f t="shared" si="1"/>
        <x:v>Bucky Irving</x:v>
      </x:c>
      <x:c r="M56" s="127" t="n">
        <x:f>IFERROR(VLOOKUP(E56,RISK!A:B,2,FALSE()),"")</x:f>
        <x:v>3</x:v>
      </x:c>
      <x:c r="N56" s="118">
        <x:f t="shared" si="2"/>
        <x:v>155.6635294</x:v>
      </x:c>
      <x:c r="Q56" s="9" t="s">
        <x:v>158</x:v>
      </x:c>
      <x:c r="R56" s="118" t="n">
        <x:f>Aggregate!BL10</x:f>
        <x:v>188.89</x:v>
      </x:c>
      <x:c r="S56" s="9"/>
      <x:c r="T56" s="9"/>
    </x:row>
    <x:row r="57" ht="14.25" customHeight="1">
      <x:c r="A57" s="1">
        <x:v>55.0</x:v>
      </x:c>
      <x:c r="B57" s="1">
        <x:v>4.0</x:v>
      </x:c>
      <x:c r="C57" s="1" t="s">
        <x:v>624</x:v>
      </x:c>
      <x:c r="D57" s="1" t="s">
        <x:v>549</x:v>
      </x:c>
      <x:c r="E57" s="1" t="s">
        <x:v>214</x:v>
      </x:c>
      <x:c r="F57" s="1">
        <x:v>11.0</x:v>
      </x:c>
      <x:c r="G57" s="1" t="s">
        <x:v>1065</x:v>
      </x:c>
      <x:c r="H57" s="1" t="s">
        <x:v>1065</x:v>
      </x:c>
      <x:c r="I57" s="1" t="s">
        <x:v>1064</x:v>
      </x:c>
      <x:c r="J57" s="1">
        <x:v>-10.0</x:v>
      </x:c>
      <x:c r="K57" s="1">
        <x:v>56.0</x:v>
      </x:c>
      <x:c r="L57" s="1" t="str">
        <x:f t="shared" si="1"/>
        <x:v>Quinshon Judkins</x:v>
      </x:c>
      <x:c r="M57" s="127" t="n">
        <x:f>IFERROR(VLOOKUP(E57,RISK!A:B,2,FALSE()),"")</x:f>
        <x:v>3</x:v>
      </x:c>
      <x:c r="N57" s="118">
        <x:f t="shared" si="2"/>
        <x:v>152.0464706</x:v>
      </x:c>
      <x:c r="Q57" s="9" t="s">
        <x:v>162</x:v>
      </x:c>
      <x:c r="R57" s="118" t="n">
        <x:f>Aggregate!BL11</x:f>
        <x:v>186.2823529</x:v>
      </x:c>
      <x:c r="S57" s="9"/>
      <x:c r="T57" s="9"/>
    </x:row>
    <x:row r="58" ht="14.25" customHeight="1">
      <x:c r="A58" s="1">
        <x:v>56.0</x:v>
      </x:c>
      <x:c r="B58" s="1">
        <x:v>4.0</x:v>
      </x:c>
      <x:c r="C58" s="1" t="s">
        <x:v>626</x:v>
      </x:c>
      <x:c r="D58" s="1" t="s">
        <x:v>535</x:v>
      </x:c>
      <x:c r="E58" s="1" t="s">
        <x:v>218</x:v>
      </x:c>
      <x:c r="F58" s="1">
        <x:v>8.0</x:v>
      </x:c>
      <x:c r="G58" s="1" t="s">
        <x:v>1065</x:v>
      </x:c>
      <x:c r="H58" s="1" t="s">
        <x:v>1062</x:v>
      </x:c>
      <x:c r="I58" s="1" t="s">
        <x:v>1061</x:v>
      </x:c>
      <x:c r="J58" s="1">
        <x:v>-8.0</x:v>
      </x:c>
      <x:c r="K58" s="1">
        <x:v>57.0</x:v>
      </x:c>
      <x:c r="L58" s="1" t="str">
        <x:f t="shared" si="1"/>
        <x:v>David Montgomery</x:v>
      </x:c>
      <x:c r="M58" s="127" t="n">
        <x:f>IFERROR(VLOOKUP(E58,RISK!A:B,2,FALSE()),"")</x:f>
        <x:v>2.9581999999999997</x:v>
      </x:c>
      <x:c r="N58" s="118">
        <x:f t="shared" si="2"/>
        <x:v>150.1237235</x:v>
      </x:c>
      <x:c r="Q58" s="9" t="s">
        <x:v>166</x:v>
      </x:c>
      <x:c r="R58" s="118" t="n">
        <x:f>Aggregate!BL12</x:f>
        <x:v>179.7211765</x:v>
      </x:c>
      <x:c r="S58" s="9"/>
      <x:c r="T58" s="9"/>
    </x:row>
    <x:row r="59" ht="14.25" customHeight="1">
      <x:c r="A59" s="1">
        <x:v>57.0</x:v>
      </x:c>
      <x:c r="B59" s="1">
        <x:v>4.0</x:v>
      </x:c>
      <x:c r="C59" s="1" t="s">
        <x:v>757</x:v>
      </x:c>
      <x:c r="D59" s="1" t="s">
        <x:v>487</x:v>
      </x:c>
      <x:c r="E59" s="1" t="s">
        <x:v>231</x:v>
      </x:c>
      <x:c r="F59" s="1">
        <x:v>7.0</x:v>
      </x:c>
      <x:c r="G59" s="1" t="s">
        <x:v>1065</x:v>
      </x:c>
      <x:c r="H59" s="1" t="s">
        <x:v>1062</x:v>
      </x:c>
      <x:c r="I59" s="1" t="s">
        <x:v>1061</x:v>
      </x:c>
      <x:c r="J59" s="1">
        <x:v>-7.0</x:v>
      </x:c>
      <x:c r="K59" s="1">
        <x:v>58.0</x:v>
      </x:c>
      <x:c r="L59" s="1" t="str">
        <x:f t="shared" si="1"/>
        <x:v>DJ Moore</x:v>
      </x:c>
      <x:c r="M59" s="127" t="n">
        <x:f>IFERROR(VLOOKUP(E59,RISK!A:B,2,FALSE()),"")</x:f>
        <x:v>3.298</x:v>
      </x:c>
      <x:c r="N59" s="118">
        <x:f t="shared" si="2"/>
        <x:v>129.4347336</x:v>
      </x:c>
      <x:c r="Q59" s="9" t="s">
        <x:v>170</x:v>
      </x:c>
      <x:c r="R59" s="118" t="n">
        <x:f>Aggregate!BL13</x:f>
        <x:v>179.6565588</x:v>
      </x:c>
      <x:c r="S59" s="9"/>
      <x:c r="T59" s="9"/>
    </x:row>
    <x:row r="60" ht="14.25" customHeight="1">
      <x:c r="A60" s="1">
        <x:v>58.0</x:v>
      </x:c>
      <x:c r="B60" s="1">
        <x:v>4.0</x:v>
      </x:c>
      <x:c r="C60" s="1" t="s">
        <x:v>763</x:v>
      </x:c>
      <x:c r="D60" s="1" t="s">
        <x:v>531</x:v>
      </x:c>
      <x:c r="E60" s="1" t="s">
        <x:v>235</x:v>
      </x:c>
      <x:c r="F60" s="1">
        <x:v>11.0</x:v>
      </x:c>
      <x:c r="G60" s="1" t="s">
        <x:v>1065</x:v>
      </x:c>
      <x:c r="H60" s="1" t="s">
        <x:v>1065</x:v>
      </x:c>
      <x:c r="I60" s="1" t="s">
        <x:v>1059</x:v>
      </x:c>
      <x:c r="J60" s="1">
        <x:v>8.0</x:v>
      </x:c>
      <x:c r="K60" s="1">
        <x:v>59.0</x:v>
      </x:c>
      <x:c r="L60" s="1" t="str">
        <x:f t="shared" si="1"/>
        <x:v>Christian Watson</x:v>
      </x:c>
      <x:c r="M60" s="127" t="n">
        <x:f>IFERROR(VLOOKUP(E60,RISK!A:B,2,FALSE()),"")</x:f>
        <x:v>3.355699999999999</x:v>
      </x:c>
      <x:c r="N60" s="118">
        <x:f t="shared" si="2"/>
        <x:v>128.1583422</x:v>
      </x:c>
      <x:c r="Q60" s="9" t="s">
        <x:v>174</x:v>
      </x:c>
      <x:c r="R60" s="118" t="n">
        <x:f>Aggregate!BL14</x:f>
        <x:v>178.4058824</x:v>
      </x:c>
      <x:c r="S60" s="9"/>
      <x:c r="T60" s="9"/>
    </x:row>
    <x:row r="61" ht="14.25" customHeight="1">
      <x:c r="A61" s="1">
        <x:v>59.0</x:v>
      </x:c>
      <x:c r="B61" s="1">
        <x:v>4.0</x:v>
      </x:c>
      <x:c r="C61" s="1" t="s">
        <x:v>494</x:v>
      </x:c>
      <x:c r="D61" s="1" t="s">
        <x:v>495</x:v>
      </x:c>
      <x:c r="E61" s="1" t="s">
        <x:v>145</x:v>
      </x:c>
      <x:c r="F61" s="1">
        <x:v>7.0</x:v>
      </x:c>
      <x:c r="G61" s="1" t="s">
        <x:v>1065</x:v>
      </x:c>
      <x:c r="H61" s="1" t="s">
        <x:v>1065</x:v>
      </x:c>
      <x:c r="I61" s="1" t="s">
        <x:v>1060</x:v>
      </x:c>
      <x:c r="J61" s="1">
        <x:v>2.0</x:v>
      </x:c>
      <x:c r="K61" s="1">
        <x:v>60.0</x:v>
      </x:c>
      <x:c r="L61" s="1" t="str">
        <x:f t="shared" si="1"/>
        <x:v>Jayden Daniels</x:v>
      </x:c>
      <x:c r="M61" s="127" t="n">
        <x:f>IFERROR(VLOOKUP(E61,RISK!A:B,2,FALSE()),"")</x:f>
        <x:v>1.7205000000000013</x:v>
      </x:c>
      <x:c r="N61" s="118">
        <x:f t="shared" si="2"/>
        <x:v>269.2811311</x:v>
      </x:c>
      <x:c r="Q61" s="9" t="s">
        <x:v>178</x:v>
      </x:c>
      <x:c r="R61" s="118" t="n">
        <x:f>Aggregate!BL15</x:f>
        <x:v>176.3947059</x:v>
      </x:c>
      <x:c r="S61" s="9"/>
      <x:c r="T61" s="9"/>
    </x:row>
    <x:row r="62" ht="14.25" customHeight="1">
      <x:c r="A62" s="1">
        <x:v>60.0</x:v>
      </x:c>
      <x:c r="B62" s="1">
        <x:v>4.0</x:v>
      </x:c>
      <x:c r="C62" s="1" t="s">
        <x:v>760</x:v>
      </x:c>
      <x:c r="D62" s="1" t="s">
        <x:v>503</x:v>
      </x:c>
      <x:c r="E62" s="1" t="s">
        <x:v>239</x:v>
      </x:c>
      <x:c r="F62" s="1">
        <x:v>8.0</x:v>
      </x:c>
      <x:c r="G62" s="1" t="s">
        <x:v>1065</x:v>
      </x:c>
      <x:c r="H62" s="1" t="s">
        <x:v>1066</x:v>
      </x:c>
      <x:c r="I62" s="1" t="s">
        <x:v>1060</x:v>
      </x:c>
      <x:c r="J62" s="1">
        <x:v>4.0</x:v>
      </x:c>
      <x:c r="K62" s="1">
        <x:v>61.0</x:v>
      </x:c>
      <x:c r="L62" s="1" t="str">
        <x:f t="shared" si="1"/>
        <x:v>Mike Evans</x:v>
      </x:c>
      <x:c r="M62" s="127" t="n">
        <x:f>IFERROR(VLOOKUP(E62,RISK!A:B,2,FALSE()),"")</x:f>
        <x:v>3.4125999999999994</x:v>
      </x:c>
      <x:c r="N62" s="118">
        <x:f t="shared" si="2"/>
        <x:v>125.999874</x:v>
      </x:c>
      <x:c r="Q62" s="9" t="s">
        <x:v>182</x:v>
      </x:c>
      <x:c r="R62" s="118" t="n">
        <x:f>Aggregate!BL16</x:f>
        <x:v>175.3164706</x:v>
      </x:c>
      <x:c r="S62" s="9"/>
      <x:c r="T62" s="9"/>
    </x:row>
    <x:row r="63" ht="14.25" customHeight="1">
      <x:c r="A63" s="1">
        <x:v>61.0</x:v>
      </x:c>
      <x:c r="B63" s="1">
        <x:v>4.0</x:v>
      </x:c>
      <x:c r="C63" s="1" t="s">
        <x:v>759</x:v>
      </x:c>
      <x:c r="D63" s="1" t="s">
        <x:v>511</x:v>
      </x:c>
      <x:c r="E63" s="1" t="s">
        <x:v>243</x:v>
      </x:c>
      <x:c r="F63" s="1">
        <x:v>10.0</x:v>
      </x:c>
      <x:c r="G63" s="1" t="s">
        <x:v>1065</x:v>
      </x:c>
      <x:c r="H63" s="1" t="s">
        <x:v>1066</x:v>
      </x:c>
      <x:c r="I63" s="1" t="s">
        <x:v>1064</x:v>
      </x:c>
      <x:c r="J63" s="1">
        <x:v>2.0</x:v>
      </x:c>
      <x:c r="K63" s="1">
        <x:v>62.0</x:v>
      </x:c>
      <x:c r="L63" s="1" t="str">
        <x:f t="shared" si="1"/>
        <x:v>Rome Odunze</x:v>
      </x:c>
      <x:c r="M63" s="127" t="n">
        <x:f>IFERROR(VLOOKUP(E63,RISK!A:B,2,FALSE()),"")</x:f>
        <x:v>3.4687</x:v>
      </x:c>
      <x:c r="N63" s="118">
        <x:f t="shared" si="2"/>
        <x:v>123.4306815</x:v>
      </x:c>
      <x:c r="Q63" s="9" t="s">
        <x:v>186</x:v>
      </x:c>
      <x:c r="R63" s="118" t="n">
        <x:f>Aggregate!BL17</x:f>
        <x:v>170.9117647</x:v>
      </x:c>
      <x:c r="S63" s="9"/>
      <x:c r="T63" s="9"/>
    </x:row>
    <x:row r="64" ht="14.25" customHeight="1">
      <x:c r="A64" s="1">
        <x:v>62.0</x:v>
      </x:c>
      <x:c r="B64" s="1">
        <x:v>4.0</x:v>
      </x:c>
      <x:c r="C64" s="1" t="s">
        <x:v>496</x:v>
      </x:c>
      <x:c r="D64" s="1" t="s">
        <x:v>497</x:v>
      </x:c>
      <x:c r="E64" s="1" t="s">
        <x:v>149</x:v>
      </x:c>
      <x:c r="F64" s="1">
        <x:v>10.0</x:v>
      </x:c>
      <x:c r="G64" s="1" t="s">
        <x:v>1065</x:v>
      </x:c>
      <x:c r="H64" s="1" t="s">
        <x:v>1066</x:v>
      </x:c>
      <x:c r="I64" s="1" t="s">
        <x:v>1059</x:v>
      </x:c>
      <x:c r="J64" s="1">
        <x:v>0.0</x:v>
      </x:c>
      <x:c r="K64" s="1">
        <x:v>63.0</x:v>
      </x:c>
      <x:c r="L64" s="1" t="str">
        <x:f t="shared" si="1"/>
        <x:v>Jalen Hurts</x:v>
      </x:c>
      <x:c r="M64" s="127" t="n">
        <x:f>IFERROR(VLOOKUP(E64,RISK!A:B,2,FALSE()),"")</x:f>
        <x:v>1.7249999999999996</x:v>
      </x:c>
      <x:c r="N64" s="118">
        <x:f t="shared" si="2"/>
        <x:v>261.1744984</x:v>
      </x:c>
      <x:c r="Q64" s="9" t="s">
        <x:v>190</x:v>
      </x:c>
      <x:c r="R64" s="118" t="n">
        <x:f>Aggregate!BL18</x:f>
        <x:v>170.2311765</x:v>
      </x:c>
      <x:c r="S64" s="9"/>
      <x:c r="T64" s="9"/>
    </x:row>
    <x:row r="65" ht="14.25" customHeight="1">
      <x:c r="A65" s="1">
        <x:v>63.0</x:v>
      </x:c>
      <x:c r="B65" s="1">
        <x:v>5.0</x:v>
      </x:c>
      <x:c r="C65" s="1" t="s">
        <x:v>625</x:v>
      </x:c>
      <x:c r="D65" s="1" t="s">
        <x:v>505</x:v>
      </x:c>
      <x:c r="E65" s="1" t="s">
        <x:v>222</x:v>
      </x:c>
      <x:c r="F65" s="1">
        <x:v>7.0</x:v>
      </x:c>
      <x:c r="G65" s="1" t="s">
        <x:v>1065</x:v>
      </x:c>
      <x:c r="H65" s="1" t="s">
        <x:v>1066</x:v>
      </x:c>
      <x:c r="I65" s="1" t="s">
        <x:v>1061</x:v>
      </x:c>
      <x:c r="J65" s="1">
        <x:v>-5.0</x:v>
      </x:c>
      <x:c r="K65" s="1">
        <x:v>64.0</x:v>
      </x:c>
      <x:c r="L65" s="1" t="str">
        <x:f t="shared" si="1"/>
        <x:v>Bhayshul Tuten</x:v>
      </x:c>
      <x:c r="M65" s="127" t="n">
        <x:f>IFERROR(VLOOKUP(E65,RISK!A:B,2,FALSE()),"")</x:f>
        <x:v>2.9818</x:v>
      </x:c>
      <x:c r="N65" s="118">
        <x:f t="shared" si="2"/>
        <x:v>147.1592644</x:v>
      </x:c>
      <x:c r="Q65" s="9" t="s">
        <x:v>194</x:v>
      </x:c>
      <x:c r="R65" s="118" t="n">
        <x:f>Aggregate!BL19</x:f>
        <x:v>166.8129412</x:v>
      </x:c>
      <x:c r="S65" s="9"/>
      <x:c r="T65" s="9"/>
    </x:row>
    <x:row r="66" ht="14.25" customHeight="1">
      <x:c r="A66" s="1">
        <x:v>64.0</x:v>
      </x:c>
      <x:c r="B66" s="1">
        <x:v>5.0</x:v>
      </x:c>
      <x:c r="C66" s="1" t="s">
        <x:v>628</x:v>
      </x:c>
      <x:c r="D66" s="1" t="s">
        <x:v>493</x:v>
      </x:c>
      <x:c r="E66" s="1" t="s">
        <x:v>226</x:v>
      </x:c>
      <x:c r="F66" s="1">
        <x:v>11.0</x:v>
      </x:c>
      <x:c r="G66" s="1" t="s">
        <x:v>1065</x:v>
      </x:c>
      <x:c r="H66" s="1" t="s">
        <x:v>1065</x:v>
      </x:c>
      <x:c r="I66" s="1" t="s">
        <x:v>1060</x:v>
      </x:c>
      <x:c r="J66" s="1">
        <x:v>-9.0</x:v>
      </x:c>
      <x:c r="K66" s="1">
        <x:v>65.0</x:v>
      </x:c>
      <x:c r="L66" s="1" t="str">
        <x:f t="shared" si="1"/>
        <x:v>TreVeyon Henderson</x:v>
      </x:c>
      <x:c r="M66" s="127" t="n">
        <x:f>IFERROR(VLOOKUP(E66,RISK!A:B,2,FALSE()),"")</x:f>
        <x:v>3.0060000000000002</x:v>
      </x:c>
      <x:c r="N66" s="118">
        <x:f t="shared" si="2"/>
        <x:v>138.4348712</x:v>
      </x:c>
      <x:c r="Q66" s="9" t="s">
        <x:v>198</x:v>
      </x:c>
      <x:c r="R66" s="118" t="n">
        <x:f>Aggregate!BL20</x:f>
        <x:v>163.1576471</x:v>
      </x:c>
      <x:c r="S66" s="9"/>
      <x:c r="T66" s="9"/>
    </x:row>
    <x:row r="67" ht="14.25" customHeight="1">
      <x:c r="A67" s="1">
        <x:v>65.0</x:v>
      </x:c>
      <x:c r="B67" s="1">
        <x:v>5.0</x:v>
      </x:c>
      <x:c r="C67" s="1" t="s">
        <x:v>630</x:v>
      </x:c>
      <x:c r="D67" s="1" t="s">
        <x:v>533</x:v>
      </x:c>
      <x:c r="E67" s="1" t="s">
        <x:v>230</x:v>
      </x:c>
      <x:c r="F67" s="1">
        <x:v>11.0</x:v>
      </x:c>
      <x:c r="G67" s="1" t="s">
        <x:v>1065</x:v>
      </x:c>
      <x:c r="H67" s="1" t="s">
        <x:v>1065</x:v>
      </x:c>
      <x:c r="I67" s="1" t="s">
        <x:v>1061</x:v>
      </x:c>
      <x:c r="J67" s="1">
        <x:v>-6.0</x:v>
      </x:c>
      <x:c r="K67" s="1">
        <x:v>66.0</x:v>
      </x:c>
      <x:c r="L67" s="1" t="str">
        <x:f t="shared" si="1"/>
        <x:v>Jadarian Price</x:v>
      </x:c>
      <x:c r="M67" s="127" t="n">
        <x:f>IFERROR(VLOOKUP(E67,RISK!A:B,2,FALSE()),"")</x:f>
        <x:v>3.0307999999999993</x:v>
      </x:c>
      <x:c r="N67" s="118">
        <x:f t="shared" si="2"/>
        <x:v>133.2649353</x:v>
      </x:c>
      <x:c r="Q67" s="9" t="s">
        <x:v>202</x:v>
      </x:c>
      <x:c r="R67" s="118" t="n">
        <x:f>Aggregate!BL21</x:f>
        <x:v>162.3164706</x:v>
      </x:c>
      <x:c r="S67" s="9"/>
      <x:c r="T67" s="9"/>
    </x:row>
    <x:row r="68" ht="14.25" customHeight="1">
      <x:c r="A68" s="1">
        <x:v>66.0</x:v>
      </x:c>
      <x:c r="B68" s="1">
        <x:v>5.0</x:v>
      </x:c>
      <x:c r="C68" s="1" t="s">
        <x:v>510</x:v>
      </x:c>
      <x:c r="D68" s="1" t="s">
        <x:v>511</x:v>
      </x:c>
      <x:c r="E68" s="1" t="s">
        <x:v>153</x:v>
      </x:c>
      <x:c r="F68" s="1">
        <x:v>10.0</x:v>
      </x:c>
      <x:c r="G68" s="1" t="s">
        <x:v>1057</x:v>
      </x:c>
      <x:c r="H68" s="1" t="s">
        <x:v>1062</x:v>
      </x:c>
      <x:c r="I68" s="1" t="s">
        <x:v>1064</x:v>
      </x:c>
      <x:c r="J68" s="1">
        <x:v>5.0</x:v>
      </x:c>
      <x:c r="K68" s="1">
        <x:v>67.0</x:v>
      </x:c>
      <x:c r="L68" s="1" t="str">
        <x:f t="shared" si="1"/>
        <x:v>Caleb Williams</x:v>
      </x:c>
      <x:c r="M68" s="127" t="n">
        <x:f>IFERROR(VLOOKUP(E68,RISK!A:B,2,FALSE()),"")</x:f>
        <x:v>1.7391000000000005</x:v>
      </x:c>
      <x:c r="N68" s="118">
        <x:f t="shared" si="2"/>
        <x:v>256.0328216</x:v>
      </x:c>
      <x:c r="Q68" s="9" t="s">
        <x:v>206</x:v>
      </x:c>
      <x:c r="R68" s="118" t="n">
        <x:f>Aggregate!BL22</x:f>
        <x:v>157.0247059</x:v>
      </x:c>
      <x:c r="S68" s="9"/>
      <x:c r="T68" s="9"/>
    </x:row>
    <x:row r="69" ht="14.25" customHeight="1">
      <x:c r="A69" s="1">
        <x:v>67.0</x:v>
      </x:c>
      <x:c r="B69" s="1">
        <x:v>5.0</x:v>
      </x:c>
      <x:c r="C69" s="1" t="s">
        <x:v>767</x:v>
      </x:c>
      <x:c r="D69" s="1" t="s">
        <x:v>505</x:v>
      </x:c>
      <x:c r="E69" s="1" t="s">
        <x:v>247</x:v>
      </x:c>
      <x:c r="F69" s="1">
        <x:v>7.0</x:v>
      </x:c>
      <x:c r="G69" s="1" t="s">
        <x:v>1065</x:v>
      </x:c>
      <x:c r="H69" s="1" t="s">
        <x:v>1066</x:v>
      </x:c>
      <x:c r="I69" s="1" t="s">
        <x:v>1061</x:v>
      </x:c>
      <x:c r="J69" s="1">
        <x:v>2.0</x:v>
      </x:c>
      <x:c r="K69" s="1">
        <x:v>68.0</x:v>
      </x:c>
      <x:c r="L69" s="1" t="str">
        <x:f t="shared" si="1"/>
        <x:v>Parker Washington</x:v>
      </x:c>
      <x:c r="M69" s="127" t="n">
        <x:f>IFERROR(VLOOKUP(E69,RISK!A:B,2,FALSE()),"")</x:f>
        <x:v>3.523999999999999</x:v>
      </x:c>
      <x:c r="N69" s="118">
        <x:f t="shared" si="2"/>
        <x:v>120.7004462</x:v>
      </x:c>
      <x:c r="Q69" s="9" t="s">
        <x:v>210</x:v>
      </x:c>
      <x:c r="R69" s="118" t="n">
        <x:f>Aggregate!BL23</x:f>
        <x:v>155.6635294</x:v>
      </x:c>
      <x:c r="S69" s="9"/>
      <x:c r="T69" s="9"/>
    </x:row>
    <x:row r="70" ht="14.25" customHeight="1">
      <x:c r="A70" s="1">
        <x:v>68.0</x:v>
      </x:c>
      <x:c r="B70" s="1">
        <x:v>5.0</x:v>
      </x:c>
      <x:c r="C70" s="1" t="s">
        <x:v>934</x:v>
      </x:c>
      <x:c r="D70" s="1" t="s">
        <x:v>531</x:v>
      </x:c>
      <x:c r="E70" s="1" t="s">
        <x:v>148</x:v>
      </x:c>
      <x:c r="F70" s="1">
        <x:v>11.0</x:v>
      </x:c>
      <x:c r="G70" s="1" t="s">
        <x:v>1057</x:v>
      </x:c>
      <x:c r="H70" s="1" t="s">
        <x:v>1062</x:v>
      </x:c>
      <x:c r="I70" s="1" t="s">
        <x:v>1060</x:v>
      </x:c>
      <x:c r="J70" s="1">
        <x:v>-3.0</x:v>
      </x:c>
      <x:c r="K70" s="1">
        <x:v>69.0</x:v>
      </x:c>
      <x:c r="L70" s="1" t="str">
        <x:f t="shared" si="1"/>
        <x:v>Tucker Kraft</x:v>
      </x:c>
      <x:c r="M70" s="127" t="n">
        <x:f>IFERROR(VLOOKUP(E70,RISK!A:B,2,FALSE()),"")</x:f>
        <x:v>2.5595</x:v>
      </x:c>
      <x:c r="N70" s="118">
        <x:f t="shared" si="2"/>
        <x:v>119.9070635</x:v>
      </x:c>
      <x:c r="Q70" s="9" t="s">
        <x:v>214</x:v>
      </x:c>
      <x:c r="R70" s="118" t="n">
        <x:f>Aggregate!BL24</x:f>
        <x:v>152.0464706</x:v>
      </x:c>
      <x:c r="S70" s="9"/>
      <x:c r="T70" s="9"/>
    </x:row>
    <x:row r="71" ht="14.25" customHeight="1">
      <x:c r="A71" s="1">
        <x:v>69.0</x:v>
      </x:c>
      <x:c r="B71" s="1">
        <x:v>5.0</x:v>
      </x:c>
      <x:c r="C71" s="1" t="s">
        <x:v>512</x:v>
      </x:c>
      <x:c r="D71" s="1" t="s">
        <x:v>513</x:v>
      </x:c>
      <x:c r="E71" s="1" t="s">
        <x:v>157</x:v>
      </x:c>
      <x:c r="F71" s="1">
        <x:v>7.0</x:v>
      </x:c>
      <x:c r="G71" s="1" t="s">
        <x:v>1065</x:v>
      </x:c>
      <x:c r="H71" s="1" t="s">
        <x:v>1062</x:v>
      </x:c>
      <x:c r="I71" s="1" t="s">
        <x:v>1060</x:v>
      </x:c>
      <x:c r="J71" s="1">
        <x:v>10.0</x:v>
      </x:c>
      <x:c r="K71" s="1">
        <x:v>70.0</x:v>
      </x:c>
      <x:c r="L71" s="1" t="str">
        <x:f t="shared" si="1"/>
        <x:v>Justin Herbert</x:v>
      </x:c>
      <x:c r="M71" s="127" t="n">
        <x:f>IFERROR(VLOOKUP(E71,RISK!A:B,2,FALSE()),"")</x:f>
        <x:v>1.7628000000000004</x:v>
      </x:c>
      <x:c r="N71" s="118">
        <x:f t="shared" si="2"/>
        <x:v>255.7788181</x:v>
      </x:c>
      <x:c r="Q71" s="9" t="s">
        <x:v>218</x:v>
      </x:c>
      <x:c r="R71" s="118" t="n">
        <x:f>Aggregate!BL25</x:f>
        <x:v>150.1237235</x:v>
      </x:c>
      <x:c r="S71" s="9"/>
      <x:c r="T71" s="9"/>
    </x:row>
    <x:row r="72" ht="14.25" customHeight="1">
      <x:c r="A72" s="1">
        <x:v>70.0</x:v>
      </x:c>
      <x:c r="B72" s="1">
        <x:v>5.0</x:v>
      </x:c>
      <x:c r="C72" s="1" t="s">
        <x:v>629</x:v>
      </x:c>
      <x:c r="D72" s="1" t="s">
        <x:v>493</x:v>
      </x:c>
      <x:c r="E72" s="1" t="s">
        <x:v>234</x:v>
      </x:c>
      <x:c r="F72" s="1">
        <x:v>11.0</x:v>
      </x:c>
      <x:c r="G72" s="1" t="s">
        <x:v>1065</x:v>
      </x:c>
      <x:c r="H72" s="1" t="s">
        <x:v>1066</x:v>
      </x:c>
      <x:c r="I72" s="1" t="s">
        <x:v>1060</x:v>
      </x:c>
      <x:c r="J72" s="1">
        <x:v>2.0</x:v>
      </x:c>
      <x:c r="K72" s="1">
        <x:v>71.0</x:v>
      </x:c>
      <x:c r="L72" s="1" t="str">
        <x:f t="shared" si="1"/>
        <x:v>Rhamondre Stevenson</x:v>
      </x:c>
      <x:c r="M72" s="127" t="n">
        <x:f>IFERROR(VLOOKUP(E72,RISK!A:B,2,FALSE()),"")</x:f>
        <x:v>3.0561999999999987</x:v>
      </x:c>
      <x:c r="N72" s="118">
        <x:f t="shared" si="2"/>
        <x:v>130.8193205</x:v>
      </x:c>
      <x:c r="Q72" s="9" t="s">
        <x:v>222</x:v>
      </x:c>
      <x:c r="R72" s="118" t="n">
        <x:f>Aggregate!BL26</x:f>
        <x:v>147.1592644</x:v>
      </x:c>
      <x:c r="S72" s="9"/>
      <x:c r="T72" s="9"/>
    </x:row>
    <x:row r="73" ht="14.25" customHeight="1">
      <x:c r="A73" s="1">
        <x:v>71.0</x:v>
      </x:c>
      <x:c r="B73" s="1">
        <x:v>5.0</x:v>
      </x:c>
      <x:c r="C73" s="1" t="s">
        <x:v>761</x:v>
      </x:c>
      <x:c r="D73" s="1" t="s">
        <x:v>543</x:v>
      </x:c>
      <x:c r="E73" s="1" t="s">
        <x:v>251</x:v>
      </x:c>
      <x:c r="F73" s="1">
        <x:v>14.0</x:v>
      </x:c>
      <x:c r="G73" s="1" t="s">
        <x:v>1065</x:v>
      </x:c>
      <x:c r="H73" s="1" t="s">
        <x:v>1065</x:v>
      </x:c>
      <x:c r="I73" s="1" t="s">
        <x:v>1060</x:v>
      </x:c>
      <x:c r="J73" s="1">
        <x:v>5.0</x:v>
      </x:c>
      <x:c r="K73" s="1">
        <x:v>72.0</x:v>
      </x:c>
      <x:c r="L73" s="1" t="str">
        <x:f t="shared" si="1"/>
        <x:v>Marvin Harrison Jr.</x:v>
      </x:c>
      <x:c r="M73" s="127" t="n">
        <x:f>IFERROR(VLOOKUP(E73,RISK!A:B,2,FALSE()),"")</x:f>
        <x:v>3.5785</x:v>
      </x:c>
      <x:c r="N73" s="118">
        <x:f t="shared" si="2"/>
        <x:v>119.3317059</x:v>
      </x:c>
      <x:c r="Q73" s="9" t="s">
        <x:v>226</x:v>
      </x:c>
      <x:c r="R73" s="118" t="n">
        <x:f>Aggregate!BL27</x:f>
        <x:v>138.4348712</x:v>
      </x:c>
      <x:c r="S73" s="9"/>
      <x:c r="T73" s="9"/>
    </x:row>
    <x:row r="74" ht="14.25" customHeight="1">
      <x:c r="A74" s="1">
        <x:v>72.0</x:v>
      </x:c>
      <x:c r="B74" s="1">
        <x:v>5.0</x:v>
      </x:c>
      <x:c r="C74" s="1" t="s">
        <x:v>771</x:v>
      </x:c>
      <x:c r="D74" s="1" t="s">
        <x:v>541</x:v>
      </x:c>
      <x:c r="E74" s="1" t="s">
        <x:v>255</x:v>
      </x:c>
      <x:c r="F74" s="1">
        <x:v>9.0</x:v>
      </x:c>
      <x:c r="G74" s="1" t="s">
        <x:v>1065</x:v>
      </x:c>
      <x:c r="H74" s="1" t="s">
        <x:v>1066</x:v>
      </x:c>
      <x:c r="I74" s="1" t="s">
        <x:v>1064</x:v>
      </x:c>
      <x:c r="J74" s="1">
        <x:v>1.0</x:v>
      </x:c>
      <x:c r="K74" s="1">
        <x:v>73.0</x:v>
      </x:c>
      <x:c r="L74" s="1" t="str">
        <x:f t="shared" si="1"/>
        <x:v>Carnell Tate</x:v>
      </x:c>
      <x:c r="M74" s="127" t="n">
        <x:f>IFERROR(VLOOKUP(E74,RISK!A:B,2,FALSE()),"")</x:f>
        <x:v>3.632199999999999</x:v>
      </x:c>
      <x:c r="N74" s="118">
        <x:f t="shared" si="2"/>
        <x:v>118.4996471</x:v>
      </x:c>
      <x:c r="Q74" s="9" t="s">
        <x:v>230</x:v>
      </x:c>
      <x:c r="R74" s="118" t="n">
        <x:f>Aggregate!BL28</x:f>
        <x:v>133.2649353</x:v>
      </x:c>
      <x:c r="S74" s="9"/>
      <x:c r="T74" s="9"/>
    </x:row>
    <x:row r="75" ht="14.25" customHeight="1">
      <x:c r="A75" s="1">
        <x:v>73.0</x:v>
      </x:c>
      <x:c r="B75" s="1">
        <x:v>5.0</x:v>
      </x:c>
      <x:c r="C75" s="1" t="s">
        <x:v>627</x:v>
      </x:c>
      <x:c r="D75" s="1" t="s">
        <x:v>545</x:v>
      </x:c>
      <x:c r="E75" s="1" t="s">
        <x:v>238</x:v>
      </x:c>
      <x:c r="F75" s="1">
        <x:v>9.0</x:v>
      </x:c>
      <x:c r="G75" s="1" t="s">
        <x:v>1065</x:v>
      </x:c>
      <x:c r="H75" s="1" t="s">
        <x:v>1065</x:v>
      </x:c>
      <x:c r="I75" s="1" t="s">
        <x:v>1060</x:v>
      </x:c>
      <x:c r="J75" s="1">
        <x:v>-5.0</x:v>
      </x:c>
      <x:c r="K75" s="1">
        <x:v>74.0</x:v>
      </x:c>
      <x:c r="L75" s="1" t="str">
        <x:f t="shared" si="1"/>
        <x:v>Jaylen Warren</x:v>
      </x:c>
      <x:c r="M75" s="127" t="n">
        <x:f>IFERROR(VLOOKUP(E75,RISK!A:B,2,FALSE()),"")</x:f>
        <x:v>3.0822000000000003</x:v>
      </x:c>
      <x:c r="N75" s="118">
        <x:f t="shared" si="2"/>
        <x:v>130.77045</x:v>
      </x:c>
      <x:c r="Q75" s="9" t="s">
        <x:v>234</x:v>
      </x:c>
      <x:c r="R75" s="118" t="n">
        <x:f>Aggregate!BL29</x:f>
        <x:v>130.8193205</x:v>
      </x:c>
      <x:c r="S75" s="9"/>
      <x:c r="T75" s="9"/>
    </x:row>
    <x:row r="76" ht="14.25" customHeight="1">
      <x:c r="A76" s="1">
        <x:v>74.0</x:v>
      </x:c>
      <x:c r="B76" s="1">
        <x:v>5.0</x:v>
      </x:c>
      <x:c r="C76" s="1" t="s">
        <x:v>504</x:v>
      </x:c>
      <x:c r="D76" s="1" t="s">
        <x:v>505</x:v>
      </x:c>
      <x:c r="E76" s="1" t="s">
        <x:v>161</x:v>
      </x:c>
      <x:c r="F76" s="1">
        <x:v>7.0</x:v>
      </x:c>
      <x:c r="G76" s="1" t="s">
        <x:v>1057</x:v>
      </x:c>
      <x:c r="H76" s="1" t="s">
        <x:v>1062</x:v>
      </x:c>
      <x:c r="I76" s="1" t="s">
        <x:v>1061</x:v>
      </x:c>
      <x:c r="J76" s="1">
        <x:v>11.0</x:v>
      </x:c>
      <x:c r="K76" s="1">
        <x:v>75.0</x:v>
      </x:c>
      <x:c r="L76" s="1" t="str">
        <x:f t="shared" si="1"/>
        <x:v>Trevor Lawrence</x:v>
      </x:c>
      <x:c r="M76" s="127" t="n">
        <x:f>IFERROR(VLOOKUP(E76,RISK!A:B,2,FALSE()),"")</x:f>
        <x:v>1.796100000000001</x:v>
      </x:c>
      <x:c r="N76" s="118">
        <x:f t="shared" si="2"/>
        <x:v>255.1148765</x:v>
      </x:c>
      <x:c r="Q76" s="9" t="s">
        <x:v>238</x:v>
      </x:c>
      <x:c r="R76" s="118" t="n">
        <x:f>Aggregate!BL30</x:f>
        <x:v>130.77045</x:v>
      </x:c>
      <x:c r="S76" s="9"/>
      <x:c r="T76" s="9"/>
    </x:row>
    <x:row r="77" ht="14.25" customHeight="1">
      <x:c r="A77" s="1">
        <x:v>75.0</x:v>
      </x:c>
      <x:c r="B77" s="1">
        <x:v>5.0</x:v>
      </x:c>
      <x:c r="C77" s="1" t="s">
        <x:v>768</x:v>
      </x:c>
      <x:c r="D77" s="1" t="s">
        <x:v>505</x:v>
      </x:c>
      <x:c r="E77" s="1" t="s">
        <x:v>259</x:v>
      </x:c>
      <x:c r="F77" s="1">
        <x:v>7.0</x:v>
      </x:c>
      <x:c r="G77" s="1" t="s">
        <x:v>1066</x:v>
      </x:c>
      <x:c r="H77" s="1" t="s">
        <x:v>1065</x:v>
      </x:c>
      <x:c r="I77" s="1" t="s">
        <x:v>1061</x:v>
      </x:c>
      <x:c r="J77" s="1">
        <x:v>0.0</x:v>
      </x:c>
      <x:c r="K77" s="1">
        <x:v>76.0</x:v>
      </x:c>
      <x:c r="L77" s="1" t="str">
        <x:f t="shared" si="1"/>
        <x:v>Brian Thomas Jr.</x:v>
      </x:c>
      <x:c r="M77" s="127" t="n">
        <x:f>IFERROR(VLOOKUP(E77,RISK!A:B,2,FALSE()),"")</x:f>
        <x:v>3.6850999999999985</x:v>
      </x:c>
      <x:c r="N77" s="118">
        <x:f t="shared" si="2"/>
        <x:v>118.08</x:v>
      </x:c>
      <x:c r="Q77" s="9" t="s">
        <x:v>242</x:v>
      </x:c>
      <x:c r="R77" s="118" t="n">
        <x:f>Aggregate!BL31</x:f>
        <x:v>130.4134456</x:v>
      </x:c>
      <x:c r="S77" s="9"/>
      <x:c r="T77" s="9"/>
    </x:row>
    <x:row r="78" ht="14.25" customHeight="1">
      <x:c r="A78" s="1">
        <x:v>76.0</x:v>
      </x:c>
      <x:c r="B78" s="1">
        <x:v>5.0</x:v>
      </x:c>
      <x:c r="C78" s="1" t="s">
        <x:v>506</x:v>
      </x:c>
      <x:c r="D78" s="1" t="s">
        <x:v>507</x:v>
      </x:c>
      <x:c r="E78" s="1" t="s">
        <x:v>165</x:v>
      </x:c>
      <x:c r="F78" s="1">
        <x:v>14.0</x:v>
      </x:c>
      <x:c r="G78" s="1" t="s">
        <x:v>1065</x:v>
      </x:c>
      <x:c r="H78" s="1" t="s">
        <x:v>1062</x:v>
      </x:c>
      <x:c r="I78" s="1" t="s">
        <x:v>1060</x:v>
      </x:c>
      <x:c r="J78" s="1">
        <x:v>1.0</x:v>
      </x:c>
      <x:c r="K78" s="1">
        <x:v>77.0</x:v>
      </x:c>
      <x:c r="L78" s="1" t="str">
        <x:f t="shared" si="1"/>
        <x:v>Dak Prescott</x:v>
      </x:c>
      <x:c r="M78" s="127" t="n">
        <x:f>IFERROR(VLOOKUP(E78,RISK!A:B,2,FALSE()),"")</x:f>
        <x:v>1.8390000000000004</x:v>
      </x:c>
      <x:c r="N78" s="118">
        <x:f t="shared" si="2"/>
        <x:v>254.804704</x:v>
      </x:c>
      <x:c r="Q78" s="9" t="s">
        <x:v>246</x:v>
      </x:c>
      <x:c r="R78" s="118" t="n">
        <x:f>Aggregate!BL32</x:f>
        <x:v>125.501372</x:v>
      </x:c>
      <x:c r="S78" s="9"/>
      <x:c r="T78" s="9"/>
    </x:row>
    <x:row r="79" ht="14.25" customHeight="1">
      <x:c r="A79" s="1">
        <x:v>77.0</x:v>
      </x:c>
      <x:c r="B79" s="1">
        <x:v>5.0</x:v>
      </x:c>
      <x:c r="C79" s="1" t="s">
        <x:v>764</x:v>
      </x:c>
      <x:c r="D79" s="1" t="s">
        <x:v>545</x:v>
      </x:c>
      <x:c r="E79" s="1" t="s">
        <x:v>263</x:v>
      </x:c>
      <x:c r="F79" s="1">
        <x:v>9.0</x:v>
      </x:c>
      <x:c r="G79" s="1" t="s">
        <x:v>1065</x:v>
      </x:c>
      <x:c r="H79" s="1" t="s">
        <x:v>1066</x:v>
      </x:c>
      <x:c r="I79" s="1" t="s">
        <x:v>1064</x:v>
      </x:c>
      <x:c r="J79" s="1">
        <x:v>5.0</x:v>
      </x:c>
      <x:c r="K79" s="1">
        <x:v>78.0</x:v>
      </x:c>
      <x:c r="L79" s="1" t="str">
        <x:f t="shared" si="1"/>
        <x:v>DK Metcalf</x:v>
      </x:c>
      <x:c r="M79" s="127" t="n">
        <x:f>IFERROR(VLOOKUP(E79,RISK!A:B,2,FALSE()),"")</x:f>
        <x:v>3.7</x:v>
      </x:c>
      <x:c r="N79" s="118">
        <x:f t="shared" si="2"/>
        <x:v>117.9591293</x:v>
      </x:c>
      <x:c r="Q79" s="9" t="s">
        <x:v>250</x:v>
      </x:c>
      <x:c r="R79" s="118" t="n">
        <x:f>Aggregate!BL33</x:f>
        <x:v>124.0165271</x:v>
      </x:c>
      <x:c r="S79" s="9"/>
      <x:c r="T79" s="9"/>
    </x:row>
    <x:row r="80" ht="14.25" customHeight="1">
      <x:c r="A80" s="1">
        <x:v>78.0</x:v>
      </x:c>
      <x:c r="B80" s="1">
        <x:v>5.0</x:v>
      </x:c>
      <x:c r="C80" s="1" t="s">
        <x:v>631</x:v>
      </x:c>
      <x:c r="D80" s="1" t="s">
        <x:v>541</x:v>
      </x:c>
      <x:c r="E80" s="1" t="s">
        <x:v>242</x:v>
      </x:c>
      <x:c r="F80" s="1">
        <x:v>9.0</x:v>
      </x:c>
      <x:c r="G80" s="1" t="s">
        <x:v>1065</x:v>
      </x:c>
      <x:c r="H80" s="1" t="s">
        <x:v>1062</x:v>
      </x:c>
      <x:c r="I80" s="1" t="s">
        <x:v>1064</x:v>
      </x:c>
      <x:c r="J80" s="1">
        <x:v>2.0</x:v>
      </x:c>
      <x:c r="K80" s="1">
        <x:v>79.0</x:v>
      </x:c>
      <x:c r="L80" s="1" t="str">
        <x:f t="shared" si="1"/>
        <x:v>Tony Pollard</x:v>
      </x:c>
      <x:c r="M80" s="127" t="n">
        <x:f>IFERROR(VLOOKUP(E80,RISK!A:B,2,FALSE()),"")</x:f>
        <x:v>3.1087999999999987</x:v>
      </x:c>
      <x:c r="N80" s="118">
        <x:f t="shared" si="2"/>
        <x:v>130.4134456</x:v>
      </x:c>
      <x:c r="Q80" s="9" t="s">
        <x:v>254</x:v>
      </x:c>
      <x:c r="R80" s="118" t="n">
        <x:f>Aggregate!BL34</x:f>
        <x:v>117.0613249</x:v>
      </x:c>
      <x:c r="S80" s="9"/>
      <x:c r="T80" s="9"/>
    </x:row>
    <x:row r="81" ht="14.25" customHeight="1">
      <x:c r="A81" s="1">
        <x:v>79.0</x:v>
      </x:c>
      <x:c r="B81" s="1">
        <x:v>5.0</x:v>
      </x:c>
      <x:c r="C81" s="1" t="s">
        <x:v>928</x:v>
      </x:c>
      <x:c r="D81" s="1" t="s">
        <x:v>549</x:v>
      </x:c>
      <x:c r="E81" s="1" t="s">
        <x:v>152</x:v>
      </x:c>
      <x:c r="F81" s="1">
        <x:v>11.0</x:v>
      </x:c>
      <x:c r="G81" s="1" t="s">
        <x:v>1065</x:v>
      </x:c>
      <x:c r="H81" s="1" t="s">
        <x:v>1066</x:v>
      </x:c>
      <x:c r="I81" s="1" t="s">
        <x:v>1064</x:v>
      </x:c>
      <x:c r="J81" s="1">
        <x:v>-12.0</x:v>
      </x:c>
      <x:c r="K81" s="1">
        <x:v>80.0</x:v>
      </x:c>
      <x:c r="L81" s="1" t="str">
        <x:f t="shared" si="1"/>
        <x:v>Harold Fannin Jr.</x:v>
      </x:c>
      <x:c r="M81" s="127" t="n">
        <x:f>IFERROR(VLOOKUP(E81,RISK!A:B,2,FALSE()),"")</x:f>
        <x:v>2.6140000000000008</x:v>
      </x:c>
      <x:c r="N81" s="118">
        <x:f t="shared" si="2"/>
        <x:v>117.0518412</x:v>
      </x:c>
      <x:c r="Q81" s="9" t="s">
        <x:v>258</x:v>
      </x:c>
      <x:c r="R81" s="118" t="n">
        <x:f>Aggregate!BL35</x:f>
        <x:v>112.7395895</x:v>
      </x:c>
      <x:c r="S81" s="9"/>
      <x:c r="T81" s="9"/>
    </x:row>
    <x:row r="82" ht="14.25" customHeight="1">
      <x:c r="A82" s="1">
        <x:v>80.0</x:v>
      </x:c>
      <x:c r="B82" s="1">
        <x:v>5.0</x:v>
      </x:c>
      <x:c r="C82" s="1" t="s">
        <x:v>930</x:v>
      </x:c>
      <x:c r="D82" s="1" t="s">
        <x:v>519</x:v>
      </x:c>
      <x:c r="E82" s="1" t="s">
        <x:v>156</x:v>
      </x:c>
      <x:c r="F82" s="1">
        <x:v>6.0</x:v>
      </x:c>
      <x:c r="G82" s="1" t="s">
        <x:v>1065</x:v>
      </x:c>
      <x:c r="H82" s="1" t="s">
        <x:v>1065</x:v>
      </x:c>
      <x:c r="I82" s="1" t="s">
        <x:v>1064</x:v>
      </x:c>
      <x:c r="J82" s="1">
        <x:v>-10.0</x:v>
      </x:c>
      <x:c r="K82" s="1">
        <x:v>81.0</x:v>
      </x:c>
      <x:c r="L82" s="1" t="str">
        <x:f t="shared" si="1"/>
        <x:v>Sam LaPorta</x:v>
      </x:c>
      <x:c r="M82" s="127" t="n">
        <x:f>IFERROR(VLOOKUP(E82,RISK!A:B,2,FALSE()),"")</x:f>
        <x:v>2.6621000000000006</x:v>
      </x:c>
      <x:c r="N82" s="118">
        <x:f t="shared" si="2"/>
        <x:v>116.9560685</x:v>
      </x:c>
      <x:c r="Q82" s="9" t="s">
        <x:v>262</x:v>
      </x:c>
      <x:c r="R82" s="118" t="n">
        <x:f>Aggregate!BL36</x:f>
        <x:v>107.7063765</x:v>
      </x:c>
      <x:c r="S82" s="9"/>
      <x:c r="T82" s="9"/>
    </x:row>
    <x:row r="83" ht="14.25" customHeight="1">
      <x:c r="A83" s="1">
        <x:v>81.0</x:v>
      </x:c>
      <x:c r="B83" s="1">
        <x:v>5.0</x:v>
      </x:c>
      <x:c r="C83" s="1" t="s">
        <x:v>632</x:v>
      </x:c>
      <x:c r="D83" s="1" t="s">
        <x:v>545</x:v>
      </x:c>
      <x:c r="E83" s="1" t="s">
        <x:v>246</x:v>
      </x:c>
      <x:c r="F83" s="1">
        <x:v>9.0</x:v>
      </x:c>
      <x:c r="G83" s="1" t="s">
        <x:v>1065</x:v>
      </x:c>
      <x:c r="H83" s="1" t="s">
        <x:v>1065</x:v>
      </x:c>
      <x:c r="I83" s="1" t="s">
        <x:v>1060</x:v>
      </x:c>
      <x:c r="J83" s="1">
        <x:v>-3.0</x:v>
      </x:c>
      <x:c r="K83" s="1">
        <x:v>82.0</x:v>
      </x:c>
      <x:c r="L83" s="1" t="str">
        <x:f t="shared" si="1"/>
        <x:v>Rico Dowdle</x:v>
      </x:c>
      <x:c r="M83" s="127" t="n">
        <x:f>IFERROR(VLOOKUP(E83,RISK!A:B,2,FALSE()),"")</x:f>
        <x:v>3.1359999999999992</x:v>
      </x:c>
      <x:c r="N83" s="118">
        <x:f t="shared" si="2"/>
        <x:v>125.501372</x:v>
      </x:c>
      <x:c r="Q83" s="9" t="s">
        <x:v>266</x:v>
      </x:c>
      <x:c r="R83" s="118" t="n">
        <x:f>Aggregate!BL37</x:f>
        <x:v>106.7404</x:v>
      </x:c>
      <x:c r="S83" s="9"/>
      <x:c r="T83" s="9"/>
    </x:row>
    <x:row r="84" ht="14.25" customHeight="1">
      <x:c r="A84" s="1">
        <x:v>82.0</x:v>
      </x:c>
      <x:c r="B84" s="1">
        <x:v>5.0</x:v>
      </x:c>
      <x:c r="C84" s="1" t="s">
        <x:v>774</x:v>
      </x:c>
      <x:c r="D84" s="1" t="s">
        <x:v>523</x:v>
      </x:c>
      <x:c r="E84" s="1" t="s">
        <x:v>267</x:v>
      </x:c>
      <x:c r="F84" s="1">
        <x:v>10.0</x:v>
      </x:c>
      <x:c r="G84" s="1" t="s">
        <x:v>1065</x:v>
      </x:c>
      <x:c r="H84" s="1" t="s">
        <x:v>1066</x:v>
      </x:c>
      <x:c r="I84" s="1" t="s">
        <x:v>1061</x:v>
      </x:c>
      <x:c r="J84" s="1">
        <x:v>7.0</x:v>
      </x:c>
      <x:c r="K84" s="1">
        <x:v>83.0</x:v>
      </x:c>
      <x:c r="L84" s="1" t="str">
        <x:f t="shared" si="1"/>
        <x:v>Chris Godwin Jr.</x:v>
      </x:c>
      <x:c r="M84" s="127" t="n">
        <x:f>IFERROR(VLOOKUP(E84,RISK!A:B,2,FALSE()),"")</x:f>
        <x:v>3.7</x:v>
      </x:c>
      <x:c r="N84" s="118">
        <x:f t="shared" si="2"/>
        <x:v>112.2693224</x:v>
      </x:c>
      <x:c r="Q84" s="9" t="s">
        <x:v>270</x:v>
      </x:c>
      <x:c r="R84" s="118" t="n">
        <x:f>Aggregate!BL38</x:f>
        <x:v>106.6512329</x:v>
      </x:c>
      <x:c r="S84" s="9"/>
      <x:c r="T84" s="9"/>
    </x:row>
    <x:row r="85" ht="14.25" customHeight="1">
      <x:c r="A85" s="1">
        <x:v>83.0</x:v>
      </x:c>
      <x:c r="B85" s="1">
        <x:v>5.0</x:v>
      </x:c>
      <x:c r="C85" s="1" t="s">
        <x:v>929</x:v>
      </x:c>
      <x:c r="D85" s="1" t="s">
        <x:v>551</x:v>
      </x:c>
      <x:c r="E85" s="1" t="s">
        <x:v>160</x:v>
      </x:c>
      <x:c r="F85" s="1">
        <x:v>11.0</x:v>
      </x:c>
      <x:c r="G85" s="1" t="s">
        <x:v>1065</x:v>
      </x:c>
      <x:c r="H85" s="1" t="s">
        <x:v>1065</x:v>
      </x:c>
      <x:c r="I85" s="1" t="s">
        <x:v>1064</x:v>
      </x:c>
      <x:c r="J85" s="1">
        <x:v>-9.0</x:v>
      </x:c>
      <x:c r="K85" s="1">
        <x:v>84.0</x:v>
      </x:c>
      <x:c r="L85" s="1" t="str">
        <x:f t="shared" si="1"/>
        <x:v>Kyle Pitts Sr.</x:v>
      </x:c>
      <x:c r="M85" s="127" t="n">
        <x:f>IFERROR(VLOOKUP(E85,RISK!A:B,2,FALSE()),"")</x:f>
        <x:v>2.703800000000001</x:v>
      </x:c>
      <x:c r="N85" s="118">
        <x:f t="shared" si="2"/>
        <x:v>116.7875638</x:v>
      </x:c>
      <x:c r="Q85" s="9" t="s">
        <x:v>274</x:v>
      </x:c>
      <x:c r="R85" s="118" t="n">
        <x:f>Aggregate!BL39</x:f>
        <x:v>105.5677</x:v>
      </x:c>
      <x:c r="S85" s="9"/>
      <x:c r="T85" s="9"/>
    </x:row>
    <x:row r="86" ht="14.25" customHeight="1">
      <x:c r="A86" s="1">
        <x:v>84.0</x:v>
      </x:c>
      <x:c r="B86" s="1">
        <x:v>5.0</x:v>
      </x:c>
      <x:c r="C86" s="1" t="s">
        <x:v>636</x:v>
      </x:c>
      <x:c r="D86" s="1" t="s">
        <x:v>537</x:v>
      </x:c>
      <x:c r="E86" s="1" t="s">
        <x:v>250</x:v>
      </x:c>
      <x:c r="F86" s="1">
        <x:v>5.0</x:v>
      </x:c>
      <x:c r="G86" s="1" t="s">
        <x:v>1065</x:v>
      </x:c>
      <x:c r="H86" s="1" t="s">
        <x:v>1066</x:v>
      </x:c>
      <x:c r="I86" s="1" t="s">
        <x:v>1063</x:v>
      </x:c>
      <x:c r="J86" s="1">
        <x:v>-1.0</x:v>
      </x:c>
      <x:c r="K86" s="1">
        <x:v>85.0</x:v>
      </x:c>
      <x:c r="L86" s="1" t="str">
        <x:f t="shared" si="1"/>
        <x:v>Jonathon Brooks</x:v>
      </x:c>
      <x:c r="M86" s="127" t="n">
        <x:f>IFERROR(VLOOKUP(E86,RISK!A:B,2,FALSE()),"")</x:f>
        <x:v>3.1638</x:v>
      </x:c>
      <x:c r="N86" s="118">
        <x:f t="shared" si="2"/>
        <x:v>124.0165271</x:v>
      </x:c>
      <x:c r="Q86" s="9" t="s">
        <x:v>278</x:v>
      </x:c>
      <x:c r="R86" s="118" t="n">
        <x:f>Aggregate!BL40</x:f>
        <x:v>104.8456</x:v>
      </x:c>
      <x:c r="S86" s="9"/>
      <x:c r="T86" s="9"/>
    </x:row>
    <x:row r="87" ht="14.25" customHeight="1">
      <x:c r="A87" s="1">
        <x:v>85.0</x:v>
      </x:c>
      <x:c r="B87" s="1">
        <x:v>5.0</x:v>
      </x:c>
      <x:c r="C87" s="1" t="s">
        <x:v>762</x:v>
      </x:c>
      <x:c r="D87" s="1" t="s">
        <x:v>515</x:v>
      </x:c>
      <x:c r="E87" s="1" t="s">
        <x:v>271</x:v>
      </x:c>
      <x:c r="F87" s="1">
        <x:v>10.0</x:v>
      </x:c>
      <x:c r="G87" s="1" t="s">
        <x:v>1062</x:v>
      </x:c>
      <x:c r="H87" s="1" t="s">
        <x:v>1065</x:v>
      </x:c>
      <x:c r="I87" s="1" t="s">
        <x:v>1060</x:v>
      </x:c>
      <x:c r="J87" s="1">
        <x:v>1.0</x:v>
      </x:c>
      <x:c r="K87" s="1">
        <x:v>86.0</x:v>
      </x:c>
      <x:c r="L87" s="1" t="str">
        <x:f t="shared" si="1"/>
        <x:v>Courtland Sutton</x:v>
      </x:c>
      <x:c r="M87" s="127" t="n">
        <x:f>IFERROR(VLOOKUP(E87,RISK!A:B,2,FALSE()),"")</x:f>
        <x:v>3.7</x:v>
      </x:c>
      <x:c r="N87" s="118">
        <x:f t="shared" si="2"/>
        <x:v>110.3487481</x:v>
      </x:c>
      <x:c r="Q87" s="9" t="s">
        <x:v>282</x:v>
      </x:c>
      <x:c r="R87" s="118" t="n">
        <x:f>Aggregate!BL41</x:f>
        <x:v>104.1477311</x:v>
      </x:c>
      <x:c r="S87" s="9"/>
      <x:c r="T87" s="9"/>
    </x:row>
    <x:row r="88" ht="14.25" customHeight="1">
      <x:c r="A88" s="1">
        <x:v>86.0</x:v>
      </x:c>
      <x:c r="B88" s="1">
        <x:v>5.0</x:v>
      </x:c>
      <x:c r="C88" s="1" t="s">
        <x:v>633</x:v>
      </x:c>
      <x:c r="D88" s="1" t="s">
        <x:v>515</x:v>
      </x:c>
      <x:c r="E88" s="1" t="s">
        <x:v>254</x:v>
      </x:c>
      <x:c r="F88" s="1">
        <x:v>10.0</x:v>
      </x:c>
      <x:c r="G88" s="1" t="s">
        <x:v>1065</x:v>
      </x:c>
      <x:c r="H88" s="1" t="s">
        <x:v>1065</x:v>
      </x:c>
      <x:c r="I88" s="1" t="s">
        <x:v>1060</x:v>
      </x:c>
      <x:c r="J88" s="1">
        <x:v>2.0</x:v>
      </x:c>
      <x:c r="K88" s="1">
        <x:v>87.0</x:v>
      </x:c>
      <x:c r="L88" s="1" t="str">
        <x:f t="shared" si="1"/>
        <x:v>J.K. Dobbins</x:v>
      </x:c>
      <x:c r="M88" s="127" t="n">
        <x:f>IFERROR(VLOOKUP(E88,RISK!A:B,2,FALSE()),"")</x:f>
        <x:v>3.1921999999999997</x:v>
      </x:c>
      <x:c r="N88" s="118">
        <x:f t="shared" si="2"/>
        <x:v>117.0613249</x:v>
      </x:c>
      <x:c r="Q88" s="9" t="s">
        <x:v>286</x:v>
      </x:c>
      <x:c r="R88" s="118" t="n">
        <x:f>Aggregate!BL42</x:f>
        <x:v>102.52008</x:v>
      </x:c>
      <x:c r="S88" s="9"/>
      <x:c r="T88" s="9"/>
    </x:row>
    <x:row r="89" ht="14.25" customHeight="1">
      <x:c r="A89" s="1">
        <x:v>87.0</x:v>
      </x:c>
      <x:c r="B89" s="1">
        <x:v>6.0</x:v>
      </x:c>
      <x:c r="C89" s="1" t="s">
        <x:v>766</x:v>
      </x:c>
      <x:c r="D89" s="1" t="s">
        <x:v>545</x:v>
      </x:c>
      <x:c r="E89" s="1" t="s">
        <x:v>275</x:v>
      </x:c>
      <x:c r="F89" s="1">
        <x:v>9.0</x:v>
      </x:c>
      <x:c r="G89" s="1" t="s">
        <x:v>1066</x:v>
      </x:c>
      <x:c r="H89" s="1" t="s">
        <x:v>1066</x:v>
      </x:c>
      <x:c r="I89" s="1" t="s">
        <x:v>1064</x:v>
      </x:c>
      <x:c r="J89" s="1">
        <x:v>23.0</x:v>
      </x:c>
      <x:c r="K89" s="1">
        <x:v>88.0</x:v>
      </x:c>
      <x:c r="L89" s="1" t="str">
        <x:f t="shared" si="1"/>
        <x:v>Michael Pittman Jr.</x:v>
      </x:c>
      <x:c r="M89" s="127" t="n">
        <x:f>IFERROR(VLOOKUP(E89,RISK!A:B,2,FALSE()),"")</x:f>
        <x:v>3.7</x:v>
      </x:c>
      <x:c r="N89" s="118">
        <x:f t="shared" si="2"/>
        <x:v>109.1597506</x:v>
      </x:c>
      <x:c r="Q89" s="9" t="s">
        <x:v>290</x:v>
      </x:c>
      <x:c r="R89" s="118" t="n">
        <x:f>Aggregate!BL43</x:f>
        <x:v>99.24877224</x:v>
      </x:c>
      <x:c r="S89" s="9"/>
      <x:c r="T89" s="9"/>
    </x:row>
    <x:row r="90" ht="14.25" customHeight="1">
      <x:c r="A90" s="1">
        <x:v>88.0</x:v>
      </x:c>
      <x:c r="B90" s="1">
        <x:v>6.0</x:v>
      </x:c>
      <x:c r="C90" s="1" t="s">
        <x:v>772</x:v>
      </x:c>
      <x:c r="D90" s="1" t="s">
        <x:v>543</x:v>
      </x:c>
      <x:c r="E90" s="1" t="s">
        <x:v>279</x:v>
      </x:c>
      <x:c r="F90" s="1">
        <x:v>14.0</x:v>
      </x:c>
      <x:c r="G90" s="1" t="s">
        <x:v>1067</x:v>
      </x:c>
      <x:c r="H90" s="1" t="s">
        <x:v>1067</x:v>
      </x:c>
      <x:c r="I90" s="1" t="s">
        <x:v>1060</x:v>
      </x:c>
      <x:c r="J90" s="1">
        <x:v>-1.0</x:v>
      </x:c>
      <x:c r="K90" s="1">
        <x:v>89.0</x:v>
      </x:c>
      <x:c r="L90" s="1" t="str">
        <x:f t="shared" si="1"/>
        <x:v>Michael Wilson</x:v>
      </x:c>
      <x:c r="M90" s="127" t="n">
        <x:f>IFERROR(VLOOKUP(E90,RISK!A:B,2,FALSE()),"")</x:f>
        <x:v>3.7</x:v>
      </x:c>
      <x:c r="N90" s="118">
        <x:f t="shared" si="2"/>
        <x:v>108.7175294</x:v>
      </x:c>
      <x:c r="Q90" s="9" t="s">
        <x:v>294</x:v>
      </x:c>
      <x:c r="R90" s="118" t="n">
        <x:f>Aggregate!BL44</x:f>
        <x:v>99.12421053</x:v>
      </x:c>
      <x:c r="S90" s="9"/>
      <x:c r="T90" s="9"/>
    </x:row>
    <x:row r="91" ht="14.25" customHeight="1">
      <x:c r="A91" s="1">
        <x:v>89.0</x:v>
      </x:c>
      <x:c r="B91" s="1">
        <x:v>6.0</x:v>
      </x:c>
      <x:c r="C91" s="1" t="s">
        <x:v>775</x:v>
      </x:c>
      <x:c r="D91" s="1" t="s">
        <x:v>513</x:v>
      </x:c>
      <x:c r="E91" s="1" t="s">
        <x:v>283</x:v>
      </x:c>
      <x:c r="F91" s="1">
        <x:v>7.0</x:v>
      </x:c>
      <x:c r="G91" s="1" t="s">
        <x:v>1065</x:v>
      </x:c>
      <x:c r="H91" s="1" t="s">
        <x:v>1065</x:v>
      </x:c>
      <x:c r="I91" s="1" t="s">
        <x:v>1060</x:v>
      </x:c>
      <x:c r="J91" s="1">
        <x:v>17.0</x:v>
      </x:c>
      <x:c r="K91" s="1">
        <x:v>90.0</x:v>
      </x:c>
      <x:c r="L91" s="1" t="str">
        <x:f t="shared" si="1"/>
        <x:v>Quentin Johnston</x:v>
      </x:c>
      <x:c r="M91" s="127" t="n">
        <x:f>IFERROR(VLOOKUP(E91,RISK!A:B,2,FALSE()),"")</x:f>
        <x:v>3.7</x:v>
      </x:c>
      <x:c r="N91" s="118">
        <x:f t="shared" si="2"/>
        <x:v>106.7321647</x:v>
      </x:c>
      <x:c r="Q91" s="9" t="s">
        <x:v>298</x:v>
      </x:c>
      <x:c r="R91" s="118" t="n">
        <x:f>Aggregate!BL45</x:f>
        <x:v>94.58108944</x:v>
      </x:c>
      <x:c r="S91" s="9"/>
      <x:c r="T91" s="9"/>
    </x:row>
    <x:row r="92" ht="14.25" customHeight="1">
      <x:c r="A92" s="1">
        <x:v>90.0</x:v>
      </x:c>
      <x:c r="B92" s="1">
        <x:v>6.0</x:v>
      </x:c>
      <x:c r="C92" s="1" t="s">
        <x:v>502</x:v>
      </x:c>
      <x:c r="D92" s="1" t="s">
        <x:v>503</x:v>
      </x:c>
      <x:c r="E92" s="1" t="s">
        <x:v>169</x:v>
      </x:c>
      <x:c r="F92" s="1">
        <x:v>8.0</x:v>
      </x:c>
      <x:c r="G92" s="1" t="s">
        <x:v>1065</x:v>
      </x:c>
      <x:c r="H92" s="1" t="s">
        <x:v>1062</x:v>
      </x:c>
      <x:c r="I92" s="1" t="s">
        <x:v>1063</x:v>
      </x:c>
      <x:c r="J92" s="1">
        <x:v>17.0</x:v>
      </x:c>
      <x:c r="K92" s="1">
        <x:v>91.0</x:v>
      </x:c>
      <x:c r="L92" s="1" t="str">
        <x:f t="shared" si="1"/>
        <x:v>Brock Purdy</x:v>
      </x:c>
      <x:c r="M92" s="127" t="n">
        <x:f>IFERROR(VLOOKUP(E92,RISK!A:B,2,FALSE()),"")</x:f>
        <x:v>1.8915000000000006</x:v>
      </x:c>
      <x:c r="N92" s="118">
        <x:f t="shared" si="2"/>
        <x:v>252.8474348</x:v>
      </x:c>
      <x:c r="Q92" s="9" t="s">
        <x:v>302</x:v>
      </x:c>
      <x:c r="R92" s="118" t="n">
        <x:f>Aggregate!BL46</x:f>
        <x:v>85.68954353</x:v>
      </x:c>
      <x:c r="S92" s="9"/>
      <x:c r="T92" s="9"/>
    </x:row>
    <x:row r="93" ht="14.25" customHeight="1">
      <x:c r="B93" s="1">
        <x:v>6.0</x:v>
      </x:c>
      <x:c r="K93" s="1">
        <x:v>92.0</x:v>
      </x:c>
      <x:c r="L93" s="1" t="str">
        <x:f t="shared" si="1"/>
      </x:c>
      <x:c r="M93" s="127" t="str">
        <x:f>IFERROR(VLOOKUP(E93,RISK!A:B,2,FALSE()),"")</x:f>
      </x:c>
      <x:c r="N93" s="118" t="str">
        <x:f t="shared" si="2"/>
        <x:v>#N/A</x:v>
      </x:c>
      <x:c r="Q93" s="9" t="s">
        <x:v>306</x:v>
      </x:c>
      <x:c r="R93" s="118" t="n">
        <x:f>Aggregate!BL47</x:f>
        <x:v>84.61820132</x:v>
      </x:c>
      <x:c r="S93" s="9"/>
      <x:c r="T93" s="9"/>
    </x:row>
    <x:row r="94" ht="14.25" customHeight="1">
      <x:c r="A94" s="1">
        <x:v>91.0</x:v>
      </x:c>
      <x:c r="B94" s="1">
        <x:v>6.0</x:v>
      </x:c>
      <x:c r="C94" s="1" t="s">
        <x:v>634</x:v>
      </x:c>
      <x:c r="D94" s="1" t="s">
        <x:v>537</x:v>
      </x:c>
      <x:c r="E94" s="1" t="s">
        <x:v>258</x:v>
      </x:c>
      <x:c r="F94" s="1">
        <x:v>5.0</x:v>
      </x:c>
      <x:c r="G94" s="1" t="s">
        <x:v>1062</x:v>
      </x:c>
      <x:c r="H94" s="1" t="s">
        <x:v>1065</x:v>
      </x:c>
      <x:c r="I94" s="1" t="s">
        <x:v>1063</x:v>
      </x:c>
      <x:c r="J94" s="1">
        <x:v>-10.0</x:v>
      </x:c>
      <x:c r="K94" s="1">
        <x:v>93.0</x:v>
      </x:c>
      <x:c r="L94" s="1" t="str">
        <x:f t="shared" si="1"/>
        <x:v>Chuba Hubbard</x:v>
      </x:c>
      <x:c r="M94" s="127" t="n">
        <x:f>IFERROR(VLOOKUP(E94,RISK!A:B,2,FALSE()),"")</x:f>
        <x:v>3.2211999999999996</x:v>
      </x:c>
      <x:c r="N94" s="118">
        <x:f t="shared" si="2"/>
        <x:v>112.7395895</x:v>
      </x:c>
      <x:c r="Q94" s="9" t="s">
        <x:v>310</x:v>
      </x:c>
      <x:c r="R94" s="118" t="n">
        <x:f>Aggregate!BL48</x:f>
        <x:v>84.03995294</x:v>
      </x:c>
      <x:c r="S94" s="9"/>
      <x:c r="T94" s="9"/>
    </x:row>
    <x:row r="95" ht="14.25" customHeight="1">
      <x:c r="A95" s="1">
        <x:v>92.0</x:v>
      </x:c>
      <x:c r="B95" s="1">
        <x:v>6.0</x:v>
      </x:c>
      <x:c r="C95" s="1" t="s">
        <x:v>643</x:v>
      </x:c>
      <x:c r="D95" s="1" t="s">
        <x:v>517</x:v>
      </x:c>
      <x:c r="E95" s="1" t="s">
        <x:v>262</x:v>
      </x:c>
      <x:c r="F95" s="1">
        <x:v>11.0</x:v>
      </x:c>
      <x:c r="G95" s="1" t="s">
        <x:v>1065</x:v>
      </x:c>
      <x:c r="H95" s="1" t="s">
        <x:v>1065</x:v>
      </x:c>
      <x:c r="I95" s="1" t="s">
        <x:v>1059</x:v>
      </x:c>
      <x:c r="J95" s="1">
        <x:v>-1.0</x:v>
      </x:c>
      <x:c r="K95" s="1">
        <x:v>94.0</x:v>
      </x:c>
      <x:c r="L95" s="1" t="str">
        <x:f t="shared" si="1"/>
        <x:v>Blake Corum</x:v>
      </x:c>
      <x:c r="M95" s="127" t="n">
        <x:f>IFERROR(VLOOKUP(E95,RISK!A:B,2,FALSE()),"")</x:f>
        <x:v>3.2508</x:v>
      </x:c>
      <x:c r="N95" s="118">
        <x:f t="shared" si="2"/>
        <x:v>107.7063765</x:v>
      </x:c>
      <x:c r="Q95" s="9" t="s">
        <x:v>314</x:v>
      </x:c>
      <x:c r="R95" s="118" t="n">
        <x:f>Aggregate!BL49</x:f>
        <x:v>83.77245176</x:v>
      </x:c>
      <x:c r="S95" s="9"/>
      <x:c r="T95" s="9"/>
    </x:row>
    <x:row r="96" ht="14.25" customHeight="1">
      <x:c r="A96" s="1">
        <x:v>93.0</x:v>
      </x:c>
      <x:c r="B96" s="1">
        <x:v>6.0</x:v>
      </x:c>
      <x:c r="C96" s="1" t="s">
        <x:v>932</x:v>
      </x:c>
      <x:c r="D96" s="1" t="s">
        <x:v>503</x:v>
      </x:c>
      <x:c r="E96" s="1" t="s">
        <x:v>164</x:v>
      </x:c>
      <x:c r="F96" s="1">
        <x:v>8.0</x:v>
      </x:c>
      <x:c r="G96" s="1" t="s">
        <x:v>1065</x:v>
      </x:c>
      <x:c r="H96" s="1" t="s">
        <x:v>1065</x:v>
      </x:c>
      <x:c r="I96" s="1" t="s">
        <x:v>1064</x:v>
      </x:c>
      <x:c r="J96" s="1">
        <x:v>-3.0</x:v>
      </x:c>
      <x:c r="K96" s="1">
        <x:v>95.0</x:v>
      </x:c>
      <x:c r="L96" s="1" t="str">
        <x:f t="shared" si="1"/>
        <x:v>George Kittle</x:v>
      </x:c>
      <x:c r="M96" s="127" t="n">
        <x:f>IFERROR(VLOOKUP(E96,RISK!A:B,2,FALSE()),"")</x:f>
        <x:v>2.7391000000000005</x:v>
      </x:c>
      <x:c r="N96" s="118">
        <x:f t="shared" si="2"/>
        <x:v>114.8705961</x:v>
      </x:c>
      <x:c r="Q96" s="9" t="s">
        <x:v>318</x:v>
      </x:c>
      <x:c r="R96" s="118" t="n">
        <x:f>Aggregate!BL50</x:f>
        <x:v>82.66642357</x:v>
      </x:c>
      <x:c r="S96" s="9"/>
      <x:c r="T96" s="9"/>
    </x:row>
    <x:row r="97" ht="14.25" customHeight="1">
      <x:c r="A97" s="1">
        <x:v>94.0</x:v>
      </x:c>
      <x:c r="B97" s="1">
        <x:v>6.0</x:v>
      </x:c>
      <x:c r="C97" s="1" t="s">
        <x:v>781</x:v>
      </x:c>
      <x:c r="D97" s="1" t="s">
        <x:v>527</x:v>
      </x:c>
      <x:c r="E97" s="1" t="s">
        <x:v>287</x:v>
      </x:c>
      <x:c r="F97" s="1">
        <x:v>13.0</x:v>
      </x:c>
      <x:c r="G97" s="1" t="s">
        <x:v>1066</x:v>
      </x:c>
      <x:c r="H97" s="1" t="s">
        <x:v>1065</x:v>
      </x:c>
      <x:c r="I97" s="1" t="s">
        <x:v>1061</x:v>
      </x:c>
      <x:c r="J97" s="1">
        <x:v>11.0</x:v>
      </x:c>
      <x:c r="K97" s="1">
        <x:v>96.0</x:v>
      </x:c>
      <x:c r="L97" s="1" t="str">
        <x:f t="shared" si="1"/>
        <x:v>Josh Downs</x:v>
      </x:c>
      <x:c r="M97" s="127" t="n">
        <x:f>IFERROR(VLOOKUP(E97,RISK!A:B,2,FALSE()),"")</x:f>
        <x:v>3.7</x:v>
      </x:c>
      <x:c r="N97" s="118">
        <x:f t="shared" si="2"/>
        <x:v>106.2737365</x:v>
      </x:c>
      <x:c r="Q97" s="9" t="s">
        <x:v>321</x:v>
      </x:c>
      <x:c r="R97" s="118" t="n">
        <x:f>Aggregate!BL51</x:f>
        <x:v>78.3184</x:v>
      </x:c>
      <x:c r="S97" s="9"/>
      <x:c r="T97" s="9"/>
    </x:row>
    <x:row r="98" ht="14.25" customHeight="1">
      <x:c r="A98" s="1">
        <x:v>95.0</x:v>
      </x:c>
      <x:c r="B98" s="1">
        <x:v>6.0</x:v>
      </x:c>
      <x:c r="C98" s="1" t="s">
        <x:v>765</x:v>
      </x:c>
      <x:c r="D98" s="1" t="s">
        <x:v>527</x:v>
      </x:c>
      <x:c r="E98" s="1" t="s">
        <x:v>291</x:v>
      </x:c>
      <x:c r="F98" s="1">
        <x:v>13.0</x:v>
      </x:c>
      <x:c r="G98" s="1" t="s">
        <x:v>1065</x:v>
      </x:c>
      <x:c r="H98" s="1" t="s">
        <x:v>1065</x:v>
      </x:c>
      <x:c r="I98" s="1" t="s">
        <x:v>1061</x:v>
      </x:c>
      <x:c r="J98" s="1">
        <x:v>0.0</x:v>
      </x:c>
      <x:c r="K98" s="1">
        <x:v>97.0</x:v>
      </x:c>
      <x:c r="L98" s="1" t="str">
        <x:f t="shared" si="1"/>
        <x:v>Alec Pierce</x:v>
      </x:c>
      <x:c r="M98" s="127" t="n">
        <x:f>IFERROR(VLOOKUP(E98,RISK!A:B,2,FALSE()),"")</x:f>
        <x:v>3.7</x:v>
      </x:c>
      <x:c r="N98" s="118">
        <x:f t="shared" si="2"/>
        <x:v>104.9870118</x:v>
      </x:c>
      <x:c r="Q98" s="9" t="s">
        <x:v>324</x:v>
      </x:c>
      <x:c r="R98" s="118" t="n">
        <x:f>Aggregate!BL52</x:f>
        <x:v>77.96916235</x:v>
      </x:c>
      <x:c r="S98" s="9"/>
      <x:c r="T98" s="9"/>
    </x:row>
    <x:row r="99" ht="14.25" customHeight="1">
      <x:c r="A99" s="1">
        <x:v>96.0</x:v>
      </x:c>
      <x:c r="B99" s="1">
        <x:v>6.0</x:v>
      </x:c>
      <x:c r="C99" s="1" t="s">
        <x:v>500</x:v>
      </x:c>
      <x:c r="D99" s="1" t="s">
        <x:v>501</x:v>
      </x:c>
      <x:c r="E99" s="1" t="s">
        <x:v>173</x:v>
      </x:c>
      <x:c r="F99" s="1">
        <x:v>8.0</x:v>
      </x:c>
      <x:c r="G99" s="1" t="s">
        <x:v>1065</x:v>
      </x:c>
      <x:c r="H99" s="1" t="s">
        <x:v>1065</x:v>
      </x:c>
      <x:c r="I99" s="1" t="s">
        <x:v>1061</x:v>
      </x:c>
      <x:c r="J99" s="1">
        <x:v>-4.0</x:v>
      </x:c>
      <x:c r="K99" s="1">
        <x:v>98.0</x:v>
      </x:c>
      <x:c r="L99" s="1" t="str">
        <x:f t="shared" si="1"/>
        <x:v>Jaxson Dart</x:v>
      </x:c>
      <x:c r="M99" s="127" t="n">
        <x:f>IFERROR(VLOOKUP(E99,RISK!A:B,2,FALSE()),"")</x:f>
        <x:v>1.9535999999999998</x:v>
      </x:c>
      <x:c r="N99" s="118">
        <x:f t="shared" si="2"/>
        <x:v>250.7757158</x:v>
      </x:c>
      <x:c r="Q99" s="9" t="s">
        <x:v>327</x:v>
      </x:c>
      <x:c r="R99" s="118" t="n">
        <x:f>Aggregate!BL53</x:f>
        <x:v>71.08100706</x:v>
      </x:c>
      <x:c r="S99" s="9"/>
      <x:c r="T99" s="9"/>
    </x:row>
    <x:row r="100" ht="14.25" customHeight="1">
      <x:c r="A100" s="1">
        <x:v>97.0</x:v>
      </x:c>
      <x:c r="B100" s="1">
        <x:v>6.0</x:v>
      </x:c>
      <x:c r="C100" s="1" t="s">
        <x:v>641</x:v>
      </x:c>
      <x:c r="D100" s="1" t="s">
        <x:v>495</x:v>
      </x:c>
      <x:c r="E100" s="1" t="s">
        <x:v>266</x:v>
      </x:c>
      <x:c r="F100" s="1">
        <x:v>7.0</x:v>
      </x:c>
      <x:c r="G100" s="1" t="s">
        <x:v>1065</x:v>
      </x:c>
      <x:c r="H100" s="1" t="s">
        <x:v>1065</x:v>
      </x:c>
      <x:c r="I100" s="1" t="s">
        <x:v>1061</x:v>
      </x:c>
      <x:c r="J100" s="1">
        <x:v>0.0</x:v>
      </x:c>
      <x:c r="K100" s="1">
        <x:v>99.0</x:v>
      </x:c>
      <x:c r="L100" s="1" t="str">
        <x:f t="shared" si="1"/>
        <x:v>Jacory Croskey-Merritt</x:v>
      </x:c>
      <x:c r="M100" s="127" t="n">
        <x:f>IFERROR(VLOOKUP(E100,RISK!A:B,2,FALSE()),"")</x:f>
        <x:v>3.280999999999999</x:v>
      </x:c>
      <x:c r="N100" s="118">
        <x:f t="shared" si="2"/>
        <x:v>106.7404</x:v>
      </x:c>
      <x:c r="Q100" s="9" t="s">
        <x:v>330</x:v>
      </x:c>
      <x:c r="R100" s="118" t="n">
        <x:f>Aggregate!BL54</x:f>
        <x:v>69.14905412</x:v>
      </x:c>
      <x:c r="S100" s="9"/>
      <x:c r="T100" s="9"/>
    </x:row>
    <x:row r="101" ht="14.25" customHeight="1">
      <x:c r="A101" s="1">
        <x:v>98.0</x:v>
      </x:c>
      <x:c r="B101" s="1">
        <x:v>6.0</x:v>
      </x:c>
      <x:c r="C101" s="1" t="s">
        <x:v>637</x:v>
      </x:c>
      <x:c r="D101" s="1" t="s">
        <x:v>515</x:v>
      </x:c>
      <x:c r="E101" s="1" t="s">
        <x:v>270</x:v>
      </x:c>
      <x:c r="F101" s="1">
        <x:v>10.0</x:v>
      </x:c>
      <x:c r="G101" s="1" t="s">
        <x:v>1062</x:v>
      </x:c>
      <x:c r="H101" s="1" t="s">
        <x:v>1065</x:v>
      </x:c>
      <x:c r="I101" s="1" t="s">
        <x:v>1060</x:v>
      </x:c>
      <x:c r="J101" s="1">
        <x:v>-14.0</x:v>
      </x:c>
      <x:c r="K101" s="1">
        <x:v>100.0</x:v>
      </x:c>
      <x:c r="L101" s="1" t="str">
        <x:f t="shared" si="1"/>
        <x:v>RJ Harvey</x:v>
      </x:c>
      <x:c r="M101" s="127" t="n">
        <x:f>IFERROR(VLOOKUP(E101,RISK!A:B,2,FALSE()),"")</x:f>
        <x:v>3.3118</x:v>
      </x:c>
      <x:c r="N101" s="118">
        <x:f t="shared" si="2"/>
        <x:v>106.6512329</x:v>
      </x:c>
      <x:c r="Q101" s="9" t="s">
        <x:v>333</x:v>
      </x:c>
      <x:c r="R101" s="118" t="n">
        <x:f>Aggregate!BL55</x:f>
        <x:v>67.49203294</x:v>
      </x:c>
      <x:c r="S101" s="9"/>
      <x:c r="T101" s="9"/>
    </x:row>
    <x:row r="102" ht="14.25" customHeight="1">
      <x:c r="A102" s="1">
        <x:v>99.0</x:v>
      </x:c>
      <x:c r="B102" s="1">
        <x:v>6.0</x:v>
      </x:c>
      <x:c r="C102" s="1" t="s">
        <x:v>769</x:v>
      </x:c>
      <x:c r="D102" s="1" t="s">
        <x:v>541</x:v>
      </x:c>
      <x:c r="E102" s="1" t="s">
        <x:v>295</x:v>
      </x:c>
      <x:c r="F102" s="1">
        <x:v>9.0</x:v>
      </x:c>
      <x:c r="G102" s="1" t="s">
        <x:v>1066</x:v>
      </x:c>
      <x:c r="H102" s="1" t="s">
        <x:v>1066</x:v>
      </x:c>
      <x:c r="I102" s="1" t="s">
        <x:v>1064</x:v>
      </x:c>
      <x:c r="J102" s="1">
        <x:v>24.0</x:v>
      </x:c>
      <x:c r="K102" s="1">
        <x:v>101.0</x:v>
      </x:c>
      <x:c r="L102" s="1" t="str">
        <x:f t="shared" si="1"/>
        <x:v>Wan'Dale Robinson</x:v>
      </x:c>
      <x:c r="M102" s="127" t="n">
        <x:f>IFERROR(VLOOKUP(E102,RISK!A:B,2,FALSE()),"")</x:f>
        <x:v>3.7</x:v>
      </x:c>
      <x:c r="N102" s="118">
        <x:f t="shared" si="2"/>
        <x:v>104.7598235</x:v>
      </x:c>
      <x:c r="Q102" s="9" t="s">
        <x:v>336</x:v>
      </x:c>
      <x:c r="R102" s="118" t="n">
        <x:f>Aggregate!BL56</x:f>
        <x:v>67.33599059</x:v>
      </x:c>
      <x:c r="S102" s="9"/>
      <x:c r="T102" s="9"/>
    </x:row>
    <x:row r="103" ht="14.25" customHeight="1">
      <x:c r="A103" s="1">
        <x:v>100.0</x:v>
      </x:c>
      <x:c r="B103" s="1">
        <x:v>6.0</x:v>
      </x:c>
      <x:c r="C103" s="1" t="s">
        <x:v>779</x:v>
      </x:c>
      <x:c r="D103" s="1" t="s">
        <x:v>495</x:v>
      </x:c>
      <x:c r="E103" s="1" t="s">
        <x:v>299</x:v>
      </x:c>
      <x:c r="F103" s="1">
        <x:v>7.0</x:v>
      </x:c>
      <x:c r="G103" s="1" t="s">
        <x:v>1065</x:v>
      </x:c>
      <x:c r="H103" s="1" t="s">
        <x:v>1062</x:v>
      </x:c>
      <x:c r="I103" s="1" t="s">
        <x:v>1060</x:v>
      </x:c>
      <x:c r="J103" s="1">
        <x:v>11.0</x:v>
      </x:c>
      <x:c r="K103" s="1">
        <x:v>102.0</x:v>
      </x:c>
      <x:c r="L103" s="1" t="str">
        <x:f t="shared" si="1"/>
        <x:v>Stefon Diggs</x:v>
      </x:c>
      <x:c r="M103" s="127" t="n">
        <x:f>IFERROR(VLOOKUP(E103,RISK!A:B,2,FALSE()),"")</x:f>
        <x:v>3.7</x:v>
      </x:c>
      <x:c r="N103" s="118">
        <x:f t="shared" si="2"/>
        <x:v>104.6295882</x:v>
      </x:c>
      <x:c r="Q103" s="9" t="s">
        <x:v>339</x:v>
      </x:c>
      <x:c r="R103" s="118" t="n">
        <x:f>Aggregate!BL57</x:f>
        <x:v>67.15022588</x:v>
      </x:c>
      <x:c r="S103" s="9"/>
      <x:c r="T103" s="9"/>
    </x:row>
    <x:row r="104" ht="14.25" customHeight="1">
      <x:c r="A104" s="1">
        <x:v>101.0</x:v>
      </x:c>
      <x:c r="B104" s="1">
        <x:v>6.0</x:v>
      </x:c>
      <x:c r="C104" s="1" t="s">
        <x:v>514</x:v>
      </x:c>
      <x:c r="D104" s="1" t="s">
        <x:v>515</x:v>
      </x:c>
      <x:c r="E104" s="1" t="s">
        <x:v>177</x:v>
      </x:c>
      <x:c r="F104" s="1">
        <x:v>10.0</x:v>
      </x:c>
      <x:c r="G104" s="1" t="s">
        <x:v>1065</x:v>
      </x:c>
      <x:c r="H104" s="1" t="s">
        <x:v>1062</x:v>
      </x:c>
      <x:c r="I104" s="1" t="s">
        <x:v>1064</x:v>
      </x:c>
      <x:c r="J104" s="1">
        <x:v>0.0</x:v>
      </x:c>
      <x:c r="K104" s="1">
        <x:v>103.0</x:v>
      </x:c>
      <x:c r="L104" s="1" t="str">
        <x:f t="shared" si="1"/>
        <x:v>Bo Nix</x:v>
      </x:c>
      <x:c r="M104" s="127" t="n">
        <x:f>IFERROR(VLOOKUP(E104,RISK!A:B,2,FALSE()),"")</x:f>
        <x:v>2.0252999999999997</x:v>
      </x:c>
      <x:c r="N104" s="118">
        <x:f t="shared" si="2"/>
        <x:v>247.4283779</x:v>
      </x:c>
      <x:c r="Q104" s="9" t="s">
        <x:v>342</x:v>
      </x:c>
      <x:c r="R104" s="118" t="n">
        <x:f>Aggregate!BL58</x:f>
        <x:v>66.67466824</x:v>
      </x:c>
      <x:c r="S104" s="9"/>
      <x:c r="T104" s="9"/>
    </x:row>
    <x:row r="105" ht="14.25" customHeight="1">
      <x:c r="A105" s="1">
        <x:v>102.0</x:v>
      </x:c>
      <x:c r="B105" s="1">
        <x:v>6.0</x:v>
      </x:c>
      <x:c r="C105" s="1" t="s">
        <x:v>508</x:v>
      </x:c>
      <x:c r="D105" s="1" t="s">
        <x:v>509</x:v>
      </x:c>
      <x:c r="E105" s="1" t="s">
        <x:v>181</x:v>
      </x:c>
      <x:c r="F105" s="1">
        <x:v>5.0</x:v>
      </x:c>
      <x:c r="G105" s="1" t="s">
        <x:v>1062</x:v>
      </x:c>
      <x:c r="H105" s="1" t="s">
        <x:v>1065</x:v>
      </x:c>
      <x:c r="I105" s="1" t="s">
        <x:v>1060</x:v>
      </x:c>
      <x:c r="J105" s="1">
        <x:v>2.0</x:v>
      </x:c>
      <x:c r="K105" s="1">
        <x:v>104.0</x:v>
      </x:c>
      <x:c r="L105" s="1" t="str">
        <x:f t="shared" si="1"/>
        <x:v>Patrick Mahomes II</x:v>
      </x:c>
      <x:c r="M105" s="127" t="n">
        <x:f>IFERROR(VLOOKUP(E105,RISK!A:B,2,FALSE()),"")</x:f>
        <x:v>2.1066000000000003</x:v>
      </x:c>
      <x:c r="N105" s="118">
        <x:f t="shared" si="2"/>
        <x:v>245.2411883</x:v>
      </x:c>
      <x:c r="Q105" s="9" t="s">
        <x:v>345</x:v>
      </x:c>
      <x:c r="R105" s="118" t="n">
        <x:f>Aggregate!BL59</x:f>
        <x:v>66.41814947</x:v>
      </x:c>
      <x:c r="S105" s="9"/>
      <x:c r="T105" s="9"/>
    </x:row>
    <x:row r="106" ht="14.25" customHeight="1">
      <x:c r="A106" s="1">
        <x:v>103.0</x:v>
      </x:c>
      <x:c r="B106" s="1">
        <x:v>6.0</x:v>
      </x:c>
      <x:c r="C106" s="1" t="s">
        <x:v>931</x:v>
      </x:c>
      <x:c r="D106" s="1" t="s">
        <x:v>509</x:v>
      </x:c>
      <x:c r="E106" s="1" t="s">
        <x:v>168</x:v>
      </x:c>
      <x:c r="F106" s="1">
        <x:v>5.0</x:v>
      </x:c>
      <x:c r="G106" s="1" t="s">
        <x:v>1066</x:v>
      </x:c>
      <x:c r="H106" s="1" t="s">
        <x:v>1066</x:v>
      </x:c>
      <x:c r="I106" s="1" t="s">
        <x:v>1061</x:v>
      </x:c>
      <x:c r="J106" s="1">
        <x:v>-10.0</x:v>
      </x:c>
      <x:c r="K106" s="1">
        <x:v>105.0</x:v>
      </x:c>
      <x:c r="L106" s="1" t="str">
        <x:f t="shared" si="1"/>
        <x:v>Travis Kelce</x:v>
      </x:c>
      <x:c r="M106" s="127" t="n">
        <x:f>IFERROR(VLOOKUP(E106,RISK!A:B,2,FALSE()),"")</x:f>
        <x:v>2.7680000000000007</x:v>
      </x:c>
      <x:c r="N106" s="118">
        <x:f t="shared" si="2"/>
        <x:v>113.9832152</x:v>
      </x:c>
      <x:c r="Q106" s="9" t="s">
        <x:v>348</x:v>
      </x:c>
      <x:c r="R106" s="118" t="n">
        <x:f>Aggregate!BL60</x:f>
        <x:v>65.01764706</x:v>
      </x:c>
      <x:c r="S106" s="9"/>
      <x:c r="T106" s="9"/>
    </x:row>
    <x:row r="107" ht="14.25" customHeight="1">
      <x:c r="A107" s="1">
        <x:v>104.0</x:v>
      </x:c>
      <x:c r="B107" s="1">
        <x:v>6.0</x:v>
      </x:c>
      <x:c r="C107" s="1" t="s">
        <x:v>776</x:v>
      </x:c>
      <x:c r="D107" s="1" t="s">
        <x:v>525</x:v>
      </x:c>
      <x:c r="E107" s="1" t="s">
        <x:v>303</x:v>
      </x:c>
      <x:c r="F107" s="1">
        <x:v>6.0</x:v>
      </x:c>
      <x:c r="G107" s="1" t="s">
        <x:v>1065</x:v>
      </x:c>
      <x:c r="H107" s="1" t="s">
        <x:v>1065</x:v>
      </x:c>
      <x:c r="I107" s="1" t="s">
        <x:v>1059</x:v>
      </x:c>
      <x:c r="J107" s="1">
        <x:v>4.0</x:v>
      </x:c>
      <x:c r="K107" s="1">
        <x:v>106.0</x:v>
      </x:c>
      <x:c r="L107" s="1" t="str">
        <x:f t="shared" si="1"/>
        <x:v>Jordan Addison</x:v>
      </x:c>
      <x:c r="M107" s="127" t="n">
        <x:f>IFERROR(VLOOKUP(E107,RISK!A:B,2,FALSE()),"")</x:f>
        <x:v>3.7</x:v>
      </x:c>
      <x:c r="N107" s="118">
        <x:f t="shared" si="2"/>
        <x:v>104.4776471</x:v>
      </x:c>
      <x:c r="Q107" s="9" t="s">
        <x:v>351</x:v>
      </x:c>
      <x:c r="R107" s="118" t="n">
        <x:f>Aggregate!BL61</x:f>
        <x:v>62.25346824</x:v>
      </x:c>
      <x:c r="S107" s="9"/>
      <x:c r="T107" s="9"/>
    </x:row>
    <x:row r="108" ht="14.25" customHeight="1">
      <x:c r="A108" s="1">
        <x:v>105.0</x:v>
      </x:c>
      <x:c r="B108" s="1">
        <x:v>6.0</x:v>
      </x:c>
      <x:c r="C108" s="1" t="s">
        <x:v>642</x:v>
      </x:c>
      <x:c r="D108" s="1" t="s">
        <x:v>525</x:v>
      </x:c>
      <x:c r="E108" s="1" t="s">
        <x:v>274</x:v>
      </x:c>
      <x:c r="F108" s="1">
        <x:v>6.0</x:v>
      </x:c>
      <x:c r="G108" s="1" t="s">
        <x:v>1065</x:v>
      </x:c>
      <x:c r="H108" s="1" t="s">
        <x:v>1066</x:v>
      </x:c>
      <x:c r="I108" s="1" t="s">
        <x:v>1061</x:v>
      </x:c>
      <x:c r="J108" s="1">
        <x:v>-9.0</x:v>
      </x:c>
      <x:c r="K108" s="1">
        <x:v>107.0</x:v>
      </x:c>
      <x:c r="L108" s="1" t="str">
        <x:f t="shared" si="1"/>
        <x:v>Jordan Mason</x:v>
      </x:c>
      <x:c r="M108" s="127" t="n">
        <x:f>IFERROR(VLOOKUP(E108,RISK!A:B,2,FALSE()),"")</x:f>
        <x:v>3.3431999999999995</x:v>
      </x:c>
      <x:c r="N108" s="118">
        <x:f t="shared" si="2"/>
        <x:v>105.5677</x:v>
      </x:c>
      <x:c r="Q108" s="9" t="s">
        <x:v>354</x:v>
      </x:c>
      <x:c r="R108" s="118" t="n">
        <x:f>Aggregate!BL62</x:f>
        <x:v>60.93082353</x:v>
      </x:c>
      <x:c r="S108" s="9"/>
      <x:c r="T108" s="9"/>
    </x:row>
    <x:row r="109" ht="14.25" customHeight="1">
      <x:c r="A109" s="1">
        <x:v>106.0</x:v>
      </x:c>
      <x:c r="B109" s="1">
        <x:v>6.0</x:v>
      </x:c>
      <x:c r="C109" s="1" t="s">
        <x:v>773</x:v>
      </x:c>
      <x:c r="D109" s="1" t="s">
        <x:v>531</x:v>
      </x:c>
      <x:c r="E109" s="1" t="s">
        <x:v>307</x:v>
      </x:c>
      <x:c r="F109" s="1">
        <x:v>11.0</x:v>
      </x:c>
      <x:c r="G109" s="1" t="s">
        <x:v>1065</x:v>
      </x:c>
      <x:c r="H109" s="1" t="s">
        <x:v>1065</x:v>
      </x:c>
      <x:c r="I109" s="1" t="s">
        <x:v>1059</x:v>
      </x:c>
      <x:c r="J109" s="1">
        <x:v>6.0</x:v>
      </x:c>
      <x:c r="K109" s="1">
        <x:v>108.0</x:v>
      </x:c>
      <x:c r="L109" s="1" t="str">
        <x:f t="shared" si="1"/>
        <x:v>Jayden Reed</x:v>
      </x:c>
      <x:c r="M109" s="127" t="n">
        <x:f>IFERROR(VLOOKUP(E109,RISK!A:B,2,FALSE()),"")</x:f>
        <x:v>3.7</x:v>
      </x:c>
      <x:c r="N109" s="118">
        <x:f t="shared" si="2"/>
        <x:v>103.5515294</x:v>
      </x:c>
      <x:c r="Q109" s="9" t="s">
        <x:v>357</x:v>
      </x:c>
      <x:c r="R109" s="118" t="n">
        <x:f>Aggregate!BL63</x:f>
        <x:v>60.56281622</x:v>
      </x:c>
      <x:c r="S109" s="9"/>
      <x:c r="T109" s="9"/>
    </x:row>
    <x:row r="110" ht="14.25" customHeight="1">
      <x:c r="A110" s="1">
        <x:v>107.0</x:v>
      </x:c>
      <x:c r="B110" s="1">
        <x:v>6.0</x:v>
      </x:c>
      <x:c r="C110" s="1" t="s">
        <x:v>635</x:v>
      </x:c>
      <x:c r="D110" s="1" t="s">
        <x:v>523</x:v>
      </x:c>
      <x:c r="E110" s="1" t="s">
        <x:v>278</x:v>
      </x:c>
      <x:c r="F110" s="1">
        <x:v>10.0</x:v>
      </x:c>
      <x:c r="G110" s="1" t="s">
        <x:v>1065</x:v>
      </x:c>
      <x:c r="H110" s="1" t="s">
        <x:v>1066</x:v>
      </x:c>
      <x:c r="I110" s="1" t="s">
        <x:v>1060</x:v>
      </x:c>
      <x:c r="J110" s="1">
        <x:v>2.0</x:v>
      </x:c>
      <x:c r="K110" s="1">
        <x:v>109.0</x:v>
      </x:c>
      <x:c r="L110" s="1" t="str">
        <x:f t="shared" si="1"/>
        <x:v>Kenny Gainwell</x:v>
      </x:c>
      <x:c r="M110" s="127" t="n">
        <x:f>IFERROR(VLOOKUP(E110,RISK!A:B,2,FALSE()),"")</x:f>
        <x:v>3.368</x:v>
      </x:c>
      <x:c r="N110" s="118">
        <x:f t="shared" si="2"/>
        <x:v>104.8456</x:v>
      </x:c>
      <x:c r="Q110" s="9" t="s">
        <x:v>360</x:v>
      </x:c>
      <x:c r="R110" s="118" t="n">
        <x:f>Aggregate!BL64</x:f>
        <x:v>59.86824941</x:v>
      </x:c>
      <x:c r="S110" s="9"/>
      <x:c r="T110" s="9"/>
    </x:row>
    <x:row r="111" ht="14.25" customHeight="1">
      <x:c r="A111" s="1">
        <x:v>108.0</x:v>
      </x:c>
      <x:c r="B111" s="1">
        <x:v>6.0</x:v>
      </x:c>
      <x:c r="C111" s="1" t="s">
        <x:v>516</x:v>
      </x:c>
      <x:c r="D111" s="1" t="s">
        <x:v>517</x:v>
      </x:c>
      <x:c r="E111" s="1" t="s">
        <x:v>185</x:v>
      </x:c>
      <x:c r="F111" s="1">
        <x:v>11.0</x:v>
      </x:c>
      <x:c r="G111" s="1" t="s">
        <x:v>1065</x:v>
      </x:c>
      <x:c r="H111" s="1" t="s">
        <x:v>1062</x:v>
      </x:c>
      <x:c r="I111" s="1" t="s">
        <x:v>1064</x:v>
      </x:c>
      <x:c r="J111" s="1">
        <x:v>-8.0</x:v>
      </x:c>
      <x:c r="K111" s="1">
        <x:v>110.0</x:v>
      </x:c>
      <x:c r="L111" s="1" t="str">
        <x:f t="shared" si="1"/>
        <x:v>Matthew Stafford</x:v>
      </x:c>
      <x:c r="M111" s="127" t="n">
        <x:f>IFERROR(VLOOKUP(E111,RISK!A:B,2,FALSE()),"")</x:f>
        <x:v>2.1975</x:v>
      </x:c>
      <x:c r="N111" s="118">
        <x:f t="shared" si="2"/>
        <x:v>238.6484726</x:v>
      </x:c>
      <x:c r="Q111" s="9" t="s">
        <x:v>363</x:v>
      </x:c>
      <x:c r="R111" s="118" t="n">
        <x:f>Aggregate!BL65</x:f>
        <x:v>59.56487336</x:v>
      </x:c>
      <x:c r="S111" s="9"/>
      <x:c r="T111" s="9"/>
    </x:row>
    <x:row r="112" ht="14.25" customHeight="1">
      <x:c r="A112" s="1">
        <x:v>109.0</x:v>
      </x:c>
      <x:c r="B112" s="1">
        <x:v>6.0</x:v>
      </x:c>
      <x:c r="C112" s="1" t="s">
        <x:v>640</x:v>
      </x:c>
      <x:c r="D112" s="1" t="s">
        <x:v>511</x:v>
      </x:c>
      <x:c r="E112" s="1" t="s">
        <x:v>282</x:v>
      </x:c>
      <x:c r="F112" s="1">
        <x:v>10.0</x:v>
      </x:c>
      <x:c r="G112" s="1" t="s">
        <x:v>1065</x:v>
      </x:c>
      <x:c r="H112" s="1" t="s">
        <x:v>1065</x:v>
      </x:c>
      <x:c r="I112" s="1" t="s">
        <x:v>1060</x:v>
      </x:c>
      <x:c r="J112" s="1">
        <x:v>-15.0</x:v>
      </x:c>
      <x:c r="K112" s="1">
        <x:v>111.0</x:v>
      </x:c>
      <x:c r="L112" s="1" t="str">
        <x:f t="shared" si="1"/>
        <x:v>Kyle Monangai</x:v>
      </x:c>
      <x:c r="M112" s="127" t="n">
        <x:f>IFERROR(VLOOKUP(E112,RISK!A:B,2,FALSE()),"")</x:f>
        <x:v>3.368</x:v>
      </x:c>
      <x:c r="N112" s="118">
        <x:f t="shared" si="2"/>
        <x:v>104.1477311</x:v>
      </x:c>
      <x:c r="Q112" s="9" t="s">
        <x:v>366</x:v>
      </x:c>
      <x:c r="R112" s="118" t="n">
        <x:f>Aggregate!BL66</x:f>
        <x:v>58.80401084</x:v>
      </x:c>
      <x:c r="S112" s="9"/>
      <x:c r="T112" s="9"/>
    </x:row>
    <x:row r="113" ht="14.25" customHeight="1">
      <x:c r="A113" s="1">
        <x:v>110.0</x:v>
      </x:c>
      <x:c r="B113" s="1">
        <x:v>6.0</x:v>
      </x:c>
      <x:c r="C113" s="1" t="s">
        <x:v>518</x:v>
      </x:c>
      <x:c r="D113" s="1" t="s">
        <x:v>519</x:v>
      </x:c>
      <x:c r="E113" s="1" t="s">
        <x:v>189</x:v>
      </x:c>
      <x:c r="F113" s="1">
        <x:v>6.0</x:v>
      </x:c>
      <x:c r="G113" s="1" t="s">
        <x:v>1066</x:v>
      </x:c>
      <x:c r="H113" s="1" t="s">
        <x:v>1062</x:v>
      </x:c>
      <x:c r="I113" s="1" t="s">
        <x:v>1059</x:v>
      </x:c>
      <x:c r="J113" s="1">
        <x:v>9.0</x:v>
      </x:c>
      <x:c r="K113" s="1">
        <x:v>112.0</x:v>
      </x:c>
      <x:c r="L113" s="1" t="str">
        <x:f t="shared" si="1"/>
        <x:v>Jared Goff</x:v>
      </x:c>
      <x:c r="M113" s="127" t="n">
        <x:f>IFERROR(VLOOKUP(E113,RISK!A:B,2,FALSE()),"")</x:f>
        <x:v>2.298</x:v>
      </x:c>
      <x:c r="N113" s="118">
        <x:f t="shared" si="2"/>
        <x:v>231.91844</x:v>
      </x:c>
      <x:c r="Q113" s="9" t="s">
        <x:v>369</x:v>
      </x:c>
      <x:c r="R113" s="118" t="n">
        <x:f>Aggregate!BL67</x:f>
        <x:v>58.561417</x:v>
      </x:c>
      <x:c r="S113" s="9"/>
      <x:c r="T113" s="9"/>
    </x:row>
    <x:row r="114" ht="14.25" customHeight="1">
      <x:c r="A114" s="1">
        <x:v>111.0</x:v>
      </x:c>
      <x:c r="B114" s="1">
        <x:v>6.0</x:v>
      </x:c>
      <x:c r="C114" s="1" t="s">
        <x:v>770</x:v>
      </x:c>
      <x:c r="D114" s="1" t="s">
        <x:v>505</x:v>
      </x:c>
      <x:c r="E114" s="1" t="s">
        <x:v>311</x:v>
      </x:c>
      <x:c r="F114" s="1">
        <x:v>7.0</x:v>
      </x:c>
      <x:c r="G114" s="1" t="s">
        <x:v>1066</x:v>
      </x:c>
      <x:c r="H114" s="1" t="s">
        <x:v>1066</x:v>
      </x:c>
      <x:c r="I114" s="1" t="s">
        <x:v>1061</x:v>
      </x:c>
      <x:c r="J114" s="1">
        <x:v>17.0</x:v>
      </x:c>
      <x:c r="K114" s="1">
        <x:v>113.0</x:v>
      </x:c>
      <x:c r="L114" s="1" t="str">
        <x:f t="shared" si="1"/>
        <x:v>Jakobi Meyers</x:v>
      </x:c>
      <x:c r="M114" s="127" t="n">
        <x:f>IFERROR(VLOOKUP(E114,RISK!A:B,2,FALSE()),"")</x:f>
        <x:v>3.7</x:v>
      </x:c>
      <x:c r="N114" s="118">
        <x:f t="shared" si="2"/>
        <x:v>102.6832941</x:v>
      </x:c>
      <x:c r="Q114" s="9" t="s">
        <x:v>372</x:v>
      </x:c>
      <x:c r="R114" s="118" t="n">
        <x:f>Aggregate!BL68</x:f>
        <x:v>56.97775059</x:v>
      </x:c>
      <x:c r="S114" s="9"/>
      <x:c r="T114" s="9"/>
    </x:row>
    <x:row r="115" ht="14.25" customHeight="1">
      <x:c r="A115" s="1">
        <x:v>112.0</x:v>
      </x:c>
      <x:c r="B115" s="1">
        <x:v>6.0</x:v>
      </x:c>
      <x:c r="C115" s="1" t="s">
        <x:v>638</x:v>
      </x:c>
      <x:c r="D115" s="1" t="s">
        <x:v>495</x:v>
      </x:c>
      <x:c r="E115" s="1" t="s">
        <x:v>286</x:v>
      </x:c>
      <x:c r="F115" s="1">
        <x:v>7.0</x:v>
      </x:c>
      <x:c r="G115" s="1" t="s">
        <x:v>1065</x:v>
      </x:c>
      <x:c r="H115" s="1" t="s">
        <x:v>1066</x:v>
      </x:c>
      <x:c r="I115" s="1" t="s">
        <x:v>1061</x:v>
      </x:c>
      <x:c r="J115" s="1">
        <x:v>2.0</x:v>
      </x:c>
      <x:c r="K115" s="1">
        <x:v>114.0</x:v>
      </x:c>
      <x:c r="L115" s="1" t="str">
        <x:f t="shared" si="1"/>
        <x:v>Rachaad White</x:v>
      </x:c>
      <x:c r="M115" s="127" t="n">
        <x:f>IFERROR(VLOOKUP(E115,RISK!A:B,2,FALSE()),"")</x:f>
        <x:v>3.368</x:v>
      </x:c>
      <x:c r="N115" s="118">
        <x:f t="shared" si="2"/>
        <x:v>102.52008</x:v>
      </x:c>
      <x:c r="Q115" s="9" t="s">
        <x:v>375</x:v>
      </x:c>
      <x:c r="R115" s="118" t="n">
        <x:f>Aggregate!BL69</x:f>
        <x:v>55.37274353</x:v>
      </x:c>
      <x:c r="S115" s="9"/>
      <x:c r="T115" s="9"/>
    </x:row>
    <x:row r="116" ht="14.25" customHeight="1">
      <x:c r="A116" s="1">
        <x:v>113.0</x:v>
      </x:c>
      <x:c r="B116" s="1">
        <x:v>6.0</x:v>
      </x:c>
      <x:c r="C116" s="1" t="s">
        <x:v>938</x:v>
      </x:c>
      <x:c r="D116" s="1" t="s">
        <x:v>487</x:v>
      </x:c>
      <x:c r="E116" s="1" t="s">
        <x:v>172</x:v>
      </x:c>
      <x:c r="F116" s="1">
        <x:v>7.0</x:v>
      </x:c>
      <x:c r="G116" s="1" t="s">
        <x:v>1066</x:v>
      </x:c>
      <x:c r="H116" s="1" t="s">
        <x:v>1065</x:v>
      </x:c>
      <x:c r="I116" s="1" t="s">
        <x:v>1064</x:v>
      </x:c>
      <x:c r="J116" s="1">
        <x:v>-14.0</x:v>
      </x:c>
      <x:c r="K116" s="1">
        <x:v>115.0</x:v>
      </x:c>
      <x:c r="L116" s="1" t="str">
        <x:f t="shared" si="1"/>
        <x:v>Dalton Kincaid</x:v>
      </x:c>
      <x:c r="M116" s="127" t="n">
        <x:f>IFERROR(VLOOKUP(E116,RISK!A:B,2,FALSE()),"")</x:f>
        <x:v>2.7905000000000015</x:v>
      </x:c>
      <x:c r="N116" s="118">
        <x:f t="shared" si="2"/>
        <x:v>112.4097318</x:v>
      </x:c>
      <x:c r="Q116" s="9" t="s">
        <x:v>378</x:v>
      </x:c>
      <x:c r="R116" s="118" t="n">
        <x:f>Aggregate!BL70</x:f>
        <x:v>51.13730824</x:v>
      </x:c>
      <x:c r="S116" s="9"/>
      <x:c r="T116" s="9"/>
    </x:row>
    <x:row r="117" ht="14.25" customHeight="1">
      <x:c r="A117" s="1">
        <x:v>114.0</x:v>
      </x:c>
      <x:c r="B117" s="1">
        <x:v>6.0</x:v>
      </x:c>
      <x:c r="C117" s="1" t="s">
        <x:v>788</x:v>
      </x:c>
      <x:c r="D117" s="1" t="s">
        <x:v>497</x:v>
      </x:c>
      <x:c r="E117" s="1" t="s">
        <x:v>315</x:v>
      </x:c>
      <x:c r="F117" s="1">
        <x:v>10.0</x:v>
      </x:c>
      <x:c r="G117" s="1" t="s">
        <x:v>1065</x:v>
      </x:c>
      <x:c r="H117" s="1" t="s">
        <x:v>1066</x:v>
      </x:c>
      <x:c r="I117" s="1" t="s">
        <x:v>1061</x:v>
      </x:c>
      <x:c r="J117" s="1">
        <x:v>-12.0</x:v>
      </x:c>
      <x:c r="K117" s="1">
        <x:v>116.0</x:v>
      </x:c>
      <x:c r="L117" s="1" t="str">
        <x:f t="shared" si="1"/>
        <x:v>Makai Lemon</x:v>
      </x:c>
      <x:c r="M117" s="127" t="n">
        <x:f>IFERROR(VLOOKUP(E117,RISK!A:B,2,FALSE()),"")</x:f>
        <x:v>3.7</x:v>
      </x:c>
      <x:c r="N117" s="118">
        <x:f t="shared" si="2"/>
        <x:v>102.4155882</x:v>
      </x:c>
      <x:c r="Q117" s="9" t="s">
        <x:v>381</x:v>
      </x:c>
      <x:c r="R117" s="118" t="n">
        <x:f>Aggregate!BL71</x:f>
        <x:v>41.82678118</x:v>
      </x:c>
      <x:c r="S117" s="9"/>
      <x:c r="T117" s="9"/>
    </x:row>
    <x:row r="118" ht="14.25" customHeight="1">
      <x:c r="A118" s="1">
        <x:v>115.0</x:v>
      </x:c>
      <x:c r="B118" s="1">
        <x:v>6.0</x:v>
      </x:c>
      <x:c r="C118" s="1" t="s">
        <x:v>639</x:v>
      </x:c>
      <x:c r="D118" s="1" t="s">
        <x:v>525</x:v>
      </x:c>
      <x:c r="E118" s="1" t="s">
        <x:v>290</x:v>
      </x:c>
      <x:c r="F118" s="1">
        <x:v>6.0</x:v>
      </x:c>
      <x:c r="G118" s="1" t="s">
        <x:v>1058</x:v>
      </x:c>
      <x:c r="H118" s="1" t="s">
        <x:v>1065</x:v>
      </x:c>
      <x:c r="I118" s="1" t="s">
        <x:v>1061</x:v>
      </x:c>
      <x:c r="J118" s="1">
        <x:v>5.0</x:v>
      </x:c>
      <x:c r="K118" s="1">
        <x:v>117.0</x:v>
      </x:c>
      <x:c r="L118" s="1" t="str">
        <x:f t="shared" si="1"/>
        <x:v>Aaron Jones Sr.</x:v>
      </x:c>
      <x:c r="M118" s="127" t="n">
        <x:f>IFERROR(VLOOKUP(E118,RISK!A:B,2,FALSE()),"")</x:f>
        <x:v>3.368</x:v>
      </x:c>
      <x:c r="N118" s="118">
        <x:f t="shared" si="2"/>
        <x:v>99.24877224</x:v>
      </x:c>
      <x:c r="Q118" s="9" t="s">
        <x:v>384</x:v>
      </x:c>
      <x:c r="R118" s="118" t="n">
        <x:f>Aggregate!BL72</x:f>
        <x:v>41.02427765</x:v>
      </x:c>
      <x:c r="S118" s="9"/>
      <x:c r="T118" s="9"/>
    </x:row>
    <x:row r="119" ht="14.25" customHeight="1">
      <x:c r="A119" s="1">
        <x:v>116.0</x:v>
      </x:c>
      <x:c r="B119" s="1">
        <x:v>6.0</x:v>
      </x:c>
      <x:c r="C119" s="1" t="s">
        <x:v>933</x:v>
      </x:c>
      <x:c r="D119" s="1" t="s">
        <x:v>497</x:v>
      </x:c>
      <x:c r="E119" s="1" t="s">
        <x:v>176</x:v>
      </x:c>
      <x:c r="F119" s="1">
        <x:v>10.0</x:v>
      </x:c>
      <x:c r="G119" s="1" t="s">
        <x:v>1065</x:v>
      </x:c>
      <x:c r="H119" s="1" t="s">
        <x:v>1066</x:v>
      </x:c>
      <x:c r="I119" s="1" t="s">
        <x:v>1061</x:v>
      </x:c>
      <x:c r="J119" s="1">
        <x:v>6.0</x:v>
      </x:c>
      <x:c r="K119" s="1">
        <x:v>118.0</x:v>
      </x:c>
      <x:c r="L119" s="1" t="str">
        <x:f t="shared" si="1"/>
        <x:v>Dallas Goedert</x:v>
      </x:c>
      <x:c r="M119" s="127" t="n">
        <x:f>IFERROR(VLOOKUP(E119,RISK!A:B,2,FALSE()),"")</x:f>
        <x:v>2.8066000000000013</x:v>
      </x:c>
      <x:c r="N119" s="118">
        <x:f t="shared" si="2"/>
        <x:v>106.4821256</x:v>
      </x:c>
      <x:c r="Q119" s="9" t="s">
        <x:v>387</x:v>
      </x:c>
      <x:c r="R119" s="118" t="n">
        <x:f>Aggregate!BL73</x:f>
        <x:v>39.65704941</x:v>
      </x:c>
      <x:c r="S119" s="9"/>
      <x:c r="T119" s="9"/>
    </x:row>
    <x:row r="120" ht="14.25" customHeight="1">
      <x:c r="A120" s="1">
        <x:v>117.0</x:v>
      </x:c>
      <x:c r="B120" s="1">
        <x:v>6.0</x:v>
      </x:c>
      <x:c r="C120" s="1" t="s">
        <x:v>937</x:v>
      </x:c>
      <x:c r="D120" s="1" t="s">
        <x:v>501</x:v>
      </x:c>
      <x:c r="E120" s="1" t="s">
        <x:v>180</x:v>
      </x:c>
      <x:c r="F120" s="1">
        <x:v>8.0</x:v>
      </x:c>
      <x:c r="G120" s="1" t="s">
        <x:v>1065</x:v>
      </x:c>
      <x:c r="H120" s="1" t="s">
        <x:v>1065</x:v>
      </x:c>
      <x:c r="I120" s="1" t="s">
        <x:v>1064</x:v>
      </x:c>
      <x:c r="J120" s="1">
        <x:v>-14.0</x:v>
      </x:c>
      <x:c r="K120" s="1">
        <x:v>119.0</x:v>
      </x:c>
      <x:c r="L120" s="1" t="str">
        <x:f t="shared" si="1"/>
        <x:v>Isaiah Likely</x:v>
      </x:c>
      <x:c r="M120" s="127" t="n">
        <x:f>IFERROR(VLOOKUP(E120,RISK!A:B,2,FALSE()),"")</x:f>
        <x:v>2.8163</x:v>
      </x:c>
      <x:c r="N120" s="118">
        <x:f t="shared" si="2"/>
        <x:v>103.2671466</x:v>
      </x:c>
      <x:c r="Q120" s="9" t="s">
        <x:v>390</x:v>
      </x:c>
      <x:c r="R120" s="118" t="n">
        <x:f>Aggregate!BL74</x:f>
        <x:v>39.49357647</x:v>
      </x:c>
      <x:c r="S120" s="9"/>
      <x:c r="T120" s="9"/>
    </x:row>
    <x:row r="121" ht="14.25" customHeight="1">
      <x:c r="A121" s="1">
        <x:v>118.0</x:v>
      </x:c>
      <x:c r="B121" s="1">
        <x:v>6.0</x:v>
      </x:c>
      <x:c r="C121" s="1" t="s">
        <x:v>522</x:v>
      </x:c>
      <x:c r="D121" s="1" t="s">
        <x:v>523</x:v>
      </x:c>
      <x:c r="E121" s="1" t="s">
        <x:v>193</x:v>
      </x:c>
      <x:c r="F121" s="1">
        <x:v>10.0</x:v>
      </x:c>
      <x:c r="G121" s="1" t="s">
        <x:v>1066</x:v>
      </x:c>
      <x:c r="H121" s="1" t="s">
        <x:v>1065</x:v>
      </x:c>
      <x:c r="I121" s="1" t="s">
        <x:v>1060</x:v>
      </x:c>
      <x:c r="J121" s="1">
        <x:v>12.0</x:v>
      </x:c>
      <x:c r="K121" s="1">
        <x:v>120.0</x:v>
      </x:c>
      <x:c r="L121" s="1" t="str">
        <x:f t="shared" si="1"/>
        <x:v>Baker Mayfield</x:v>
      </x:c>
      <x:c r="M121" s="127" t="n">
        <x:f>IFERROR(VLOOKUP(E121,RISK!A:B,2,FALSE()),"")</x:f>
        <x:v>2.408100000000001</x:v>
      </x:c>
      <x:c r="N121" s="118">
        <x:f t="shared" si="2"/>
        <x:v>225.6031533</x:v>
      </x:c>
      <x:c r="Q121" s="9" t="s">
        <x:v>393</x:v>
      </x:c>
      <x:c r="R121" s="118" t="n">
        <x:f>Aggregate!BL75</x:f>
        <x:v>37.16780235</x:v>
      </x:c>
      <x:c r="S121" s="9"/>
      <x:c r="T121" s="9"/>
    </x:row>
    <x:row r="122" ht="14.25" customHeight="1">
      <x:c r="A122" s="1">
        <x:v>119.0</x:v>
      </x:c>
      <x:c r="B122" s="1">
        <x:v>6.0</x:v>
      </x:c>
      <x:c r="C122" s="1" t="s">
        <x:v>784</x:v>
      </x:c>
      <x:c r="D122" s="1" t="s">
        <x:v>549</x:v>
      </x:c>
      <x:c r="E122" s="1" t="s">
        <x:v>319</x:v>
      </x:c>
      <x:c r="F122" s="1">
        <x:v>11.0</x:v>
      </x:c>
      <x:c r="G122" s="1" t="s">
        <x:v>1065</x:v>
      </x:c>
      <x:c r="H122" s="1" t="s">
        <x:v>1066</x:v>
      </x:c>
      <x:c r="I122" s="1" t="s">
        <x:v>1064</x:v>
      </x:c>
      <x:c r="J122" s="1">
        <x:v>8.0</x:v>
      </x:c>
      <x:c r="K122" s="1">
        <x:v>121.0</x:v>
      </x:c>
      <x:c r="L122" s="1" t="str">
        <x:f t="shared" si="1"/>
        <x:v>KC Concepcion</x:v>
      </x:c>
      <x:c r="M122" s="127" t="n">
        <x:f>IFERROR(VLOOKUP(E122,RISK!A:B,2,FALSE()),"")</x:f>
        <x:v>3.7</x:v>
      </x:c>
      <x:c r="N122" s="118">
        <x:f t="shared" si="2"/>
        <x:v>101.3013529</x:v>
      </x:c>
      <x:c r="Q122" s="9" t="s">
        <x:v>396</x:v>
      </x:c>
      <x:c r="R122" s="118" t="n">
        <x:f>Aggregate!BL76</x:f>
        <x:v>37.03405176</x:v>
      </x:c>
      <x:c r="S122" s="9"/>
      <x:c r="T122" s="9"/>
    </x:row>
    <x:row r="123" ht="14.25" customHeight="1">
      <x:c r="A123" s="1">
        <x:v>120.0</x:v>
      </x:c>
      <x:c r="B123" s="1">
        <x:v>6.0</x:v>
      </x:c>
      <x:c r="C123" s="1" t="s">
        <x:v>524</x:v>
      </x:c>
      <x:c r="D123" s="1" t="s">
        <x:v>525</x:v>
      </x:c>
      <x:c r="E123" s="1" t="s">
        <x:v>197</x:v>
      </x:c>
      <x:c r="F123" s="1">
        <x:v>6.0</x:v>
      </x:c>
      <x:c r="G123" s="1" t="s">
        <x:v>1065</x:v>
      </x:c>
      <x:c r="H123" s="1" t="s">
        <x:v>1066</x:v>
      </x:c>
      <x:c r="I123" s="1" t="s">
        <x:v>1059</x:v>
      </x:c>
      <x:c r="J123" s="1">
        <x:v>4.0</x:v>
      </x:c>
      <x:c r="K123" s="1">
        <x:v>122.0</x:v>
      </x:c>
      <x:c r="L123" s="1" t="str">
        <x:f t="shared" si="1"/>
        <x:v>Kyler Murray</x:v>
      </x:c>
      <x:c r="M123" s="127" t="n">
        <x:f>IFERROR(VLOOKUP(E123,RISK!A:B,2,FALSE()),"")</x:f>
        <x:v>2.527800000000001</x:v>
      </x:c>
      <x:c r="N123" s="118">
        <x:f t="shared" si="2"/>
        <x:v>222.2310713</x:v>
      </x:c>
      <x:c r="Q123" s="9" t="s">
        <x:v>399</x:v>
      </x:c>
      <x:c r="R123" s="118" t="n">
        <x:f>Aggregate!BL77</x:f>
        <x:v>35.15411294</x:v>
      </x:c>
      <x:c r="S123" s="9"/>
      <x:c r="T123" s="9"/>
    </x:row>
    <x:row r="124" ht="14.25" customHeight="1">
      <x:c r="A124" s="1">
        <x:v>121.0</x:v>
      </x:c>
      <x:c r="B124" s="1">
        <x:v>6.0</x:v>
      </x:c>
      <x:c r="C124" s="1" t="s">
        <x:v>530</x:v>
      </x:c>
      <x:c r="D124" s="1" t="s">
        <x:v>531</x:v>
      </x:c>
      <x:c r="E124" s="1" t="s">
        <x:v>201</x:v>
      </x:c>
      <x:c r="F124" s="1">
        <x:v>11.0</x:v>
      </x:c>
      <x:c r="G124" s="1" t="s">
        <x:v>1065</x:v>
      </x:c>
      <x:c r="H124" s="1" t="s">
        <x:v>1066</x:v>
      </x:c>
      <x:c r="I124" s="1" t="s">
        <x:v>1061</x:v>
      </x:c>
      <x:c r="J124" s="1">
        <x:v>16.0</x:v>
      </x:c>
      <x:c r="K124" s="1">
        <x:v>123.0</x:v>
      </x:c>
      <x:c r="L124" s="1" t="str">
        <x:f t="shared" si="1"/>
        <x:v>Jordan Love</x:v>
      </x:c>
      <x:c r="M124" s="127" t="n">
        <x:f>IFERROR(VLOOKUP(E124,RISK!A:B,2,FALSE()),"")</x:f>
        <x:v>2.6571</x:v>
      </x:c>
      <x:c r="N124" s="118">
        <x:f t="shared" si="2"/>
        <x:v>221.7650635</x:v>
      </x:c>
      <x:c r="Q124" s="9" t="s">
        <x:v>402</x:v>
      </x:c>
      <x:c r="R124" s="118" t="n">
        <x:f>Aggregate!BL78</x:f>
        <x:v>34.87918118</x:v>
      </x:c>
      <x:c r="S124" s="9"/>
      <x:c r="T124" s="9"/>
    </x:row>
    <x:row r="125" ht="14.25" customHeight="1">
      <x:c r="A125" s="1">
        <x:v>122.0</x:v>
      </x:c>
      <x:c r="B125" s="1">
        <x:v>6.0</x:v>
      </x:c>
      <x:c r="C125" s="1" t="s">
        <x:v>657</x:v>
      </x:c>
      <x:c r="D125" s="1" t="s">
        <x:v>505</x:v>
      </x:c>
      <x:c r="E125" s="1" t="s">
        <x:v>294</x:v>
      </x:c>
      <x:c r="F125" s="1">
        <x:v>7.0</x:v>
      </x:c>
      <x:c r="G125" s="1" t="s">
        <x:v>1062</x:v>
      </x:c>
      <x:c r="H125" s="1" t="s">
        <x:v>1065</x:v>
      </x:c>
      <x:c r="I125" s="1" t="s">
        <x:v>1061</x:v>
      </x:c>
      <x:c r="J125" s="1">
        <x:v>24.0</x:v>
      </x:c>
      <x:c r="K125" s="1">
        <x:v>124.0</x:v>
      </x:c>
      <x:c r="L125" s="1" t="str">
        <x:f t="shared" si="1"/>
        <x:v>Chris Rodriguez Jr.</x:v>
      </x:c>
      <x:c r="M125" s="127" t="n">
        <x:f>IFERROR(VLOOKUP(E125,RISK!A:B,2,FALSE()),"")</x:f>
        <x:v>3.368</x:v>
      </x:c>
      <x:c r="N125" s="118">
        <x:f t="shared" si="2"/>
        <x:v>99.12421053</x:v>
      </x:c>
      <x:c r="Q125" s="9" t="s">
        <x:v>405</x:v>
      </x:c>
      <x:c r="R125" s="118" t="n">
        <x:f>Aggregate!BL79</x:f>
        <x:v>33.21472941</x:v>
      </x:c>
      <x:c r="S125" s="9"/>
      <x:c r="T125" s="9"/>
    </x:row>
    <x:row r="126" ht="14.25" customHeight="1">
      <x:c r="A126" s="1">
        <x:v>123.0</x:v>
      </x:c>
      <x:c r="B126" s="1">
        <x:v>6.0</x:v>
      </x:c>
      <x:c r="C126" s="1" t="s">
        <x:v>936</x:v>
      </x:c>
      <x:c r="D126" s="1" t="s">
        <x:v>491</x:v>
      </x:c>
      <x:c r="E126" s="1" t="s">
        <x:v>184</x:v>
      </x:c>
      <x:c r="F126" s="1">
        <x:v>13.0</x:v>
      </x:c>
      <x:c r="G126" s="1" t="s">
        <x:v>1065</x:v>
      </x:c>
      <x:c r="H126" s="1" t="s">
        <x:v>1065</x:v>
      </x:c>
      <x:c r="I126" s="1" t="s">
        <x:v>1061</x:v>
      </x:c>
      <x:c r="J126" s="1">
        <x:v>-5.0</x:v>
      </x:c>
      <x:c r="K126" s="1">
        <x:v>125.0</x:v>
      </x:c>
      <x:c r="L126" s="1" t="str">
        <x:f t="shared" si="1"/>
        <x:v>Mark Andrews</x:v>
      </x:c>
      <x:c r="M126" s="127" t="n">
        <x:f>IFERROR(VLOOKUP(E126,RISK!A:B,2,FALSE()),"")</x:f>
        <x:v>2.819600000000001</x:v>
      </x:c>
      <x:c r="N126" s="118">
        <x:f t="shared" si="2"/>
        <x:v>102.4357874</x:v>
      </x:c>
      <x:c r="Q126" s="9" t="s">
        <x:v>408</x:v>
      </x:c>
      <x:c r="R126" s="118" t="n">
        <x:f>Aggregate!BL80</x:f>
        <x:v>28.60033412</x:v>
      </x:c>
      <x:c r="S126" s="9"/>
      <x:c r="T126" s="9"/>
    </x:row>
    <x:row r="127" ht="14.25" customHeight="1">
      <x:c r="A127" s="1">
        <x:v>124.0</x:v>
      </x:c>
      <x:c r="B127" s="1">
        <x:v>6.0</x:v>
      </x:c>
      <x:c r="C127" s="1" t="s">
        <x:v>778</x:v>
      </x:c>
      <x:c r="D127" s="1" t="s">
        <x:v>509</x:v>
      </x:c>
      <x:c r="E127" s="1" t="s">
        <x:v>322</x:v>
      </x:c>
      <x:c r="F127" s="1">
        <x:v>5.0</x:v>
      </x:c>
      <x:c r="G127" s="1" t="s">
        <x:v>1065</x:v>
      </x:c>
      <x:c r="H127" s="1" t="s">
        <x:v>1065</x:v>
      </x:c>
      <x:c r="I127" s="1" t="s">
        <x:v>1060</x:v>
      </x:c>
      <x:c r="J127" s="1">
        <x:v>8.0</x:v>
      </x:c>
      <x:c r="K127" s="1">
        <x:v>126.0</x:v>
      </x:c>
      <x:c r="L127" s="1" t="str">
        <x:f t="shared" si="1"/>
        <x:v>Xavier Worthy</x:v>
      </x:c>
      <x:c r="M127" s="127" t="n">
        <x:f>IFERROR(VLOOKUP(E127,RISK!A:B,2,FALSE()),"")</x:f>
        <x:v>3.7</x:v>
      </x:c>
      <x:c r="N127" s="118">
        <x:f t="shared" si="2"/>
        <x:v>100.9974706</x:v>
      </x:c>
      <x:c r="Q127" s="9" t="s">
        <x:v>411</x:v>
      </x:c>
      <x:c r="R127" s="118" t="n">
        <x:f>Aggregate!BL81</x:f>
        <x:v>27.51546824</x:v>
      </x:c>
      <x:c r="S127" s="9"/>
      <x:c r="T127" s="9"/>
    </x:row>
    <x:row r="128" ht="14.25" customHeight="1">
      <x:c r="A128" s="1">
        <x:v>125.0</x:v>
      </x:c>
      <x:c r="B128" s="1">
        <x:v>6.0</x:v>
      </x:c>
      <x:c r="C128" s="1" t="s">
        <x:v>520</x:v>
      </x:c>
      <x:c r="D128" s="1" t="s">
        <x:v>521</x:v>
      </x:c>
      <x:c r="E128" s="1" t="s">
        <x:v>205</x:v>
      </x:c>
      <x:c r="F128" s="1">
        <x:v>8.0</x:v>
      </x:c>
      <x:c r="G128" s="1" t="s">
        <x:v>1065</x:v>
      </x:c>
      <x:c r="H128" s="1" t="s">
        <x:v>1062</x:v>
      </x:c>
      <x:c r="I128" s="1" t="s">
        <x:v>1064</x:v>
      </x:c>
      <x:c r="J128" s="1">
        <x:v>32.0</x:v>
      </x:c>
      <x:c r="K128" s="1">
        <x:v>127.0</x:v>
      </x:c>
      <x:c r="L128" s="1" t="str">
        <x:f t="shared" si="1"/>
        <x:v>Tyler Shough</x:v>
      </x:c>
      <x:c r="M128" s="127" t="n">
        <x:f>IFERROR(VLOOKUP(E128,RISK!A:B,2,FALSE()),"")</x:f>
        <x:v>2.796000000000001</x:v>
      </x:c>
      <x:c r="N128" s="118">
        <x:f t="shared" si="2"/>
        <x:v>209.9842812</x:v>
      </x:c>
      <x:c r="Q128" s="9" t="s">
        <x:v>414</x:v>
      </x:c>
      <x:c r="R128" s="118" t="n">
        <x:f>Aggregate!BL82</x:f>
        <x:v>26.72039529</x:v>
      </x:c>
      <x:c r="S128" s="9"/>
      <x:c r="T128" s="9"/>
    </x:row>
    <x:row r="129" ht="14.25" customHeight="1">
      <x:c r="A129" s="1">
        <x:v>126.0</x:v>
      </x:c>
      <x:c r="B129" s="1">
        <x:v>6.0</x:v>
      </x:c>
      <x:c r="C129" s="1" t="s">
        <x:v>785</x:v>
      </x:c>
      <x:c r="D129" s="1" t="s">
        <x:v>537</x:v>
      </x:c>
      <x:c r="E129" s="1" t="s">
        <x:v>325</x:v>
      </x:c>
      <x:c r="F129" s="1">
        <x:v>5.0</x:v>
      </x:c>
      <x:c r="G129" s="1" t="s">
        <x:v>1065</x:v>
      </x:c>
      <x:c r="H129" s="1" t="s">
        <x:v>1066</x:v>
      </x:c>
      <x:c r="I129" s="1" t="s">
        <x:v>1060</x:v>
      </x:c>
      <x:c r="J129" s="1">
        <x:v>32.0</x:v>
      </x:c>
      <x:c r="K129" s="1">
        <x:v>128.0</x:v>
      </x:c>
      <x:c r="L129" s="1" t="str">
        <x:f t="shared" si="1"/>
        <x:v>Jalen Coker</x:v>
      </x:c>
      <x:c r="M129" s="127" t="n">
        <x:f>IFERROR(VLOOKUP(E129,RISK!A:B,2,FALSE()),"")</x:f>
        <x:v>3.7</x:v>
      </x:c>
      <x:c r="N129" s="118">
        <x:f t="shared" si="2"/>
        <x:v>100.9034118</x:v>
      </x:c>
      <x:c r="Q129" s="9" t="s">
        <x:v>417</x:v>
      </x:c>
      <x:c r="R129" s="118" t="n">
        <x:f>Aggregate!BL83</x:f>
        <x:v>24.12712</x:v>
      </x:c>
      <x:c r="S129" s="9"/>
      <x:c r="T129" s="9"/>
    </x:row>
    <x:row r="130" ht="14.25" customHeight="1">
      <x:c r="A130" s="1">
        <x:v>127.0</x:v>
      </x:c>
      <x:c r="B130" s="1">
        <x:v>6.0</x:v>
      </x:c>
      <x:c r="C130" s="1" t="s">
        <x:v>783</x:v>
      </x:c>
      <x:c r="D130" s="1" t="s">
        <x:v>531</x:v>
      </x:c>
      <x:c r="E130" s="1" t="s">
        <x:v>328</x:v>
      </x:c>
      <x:c r="F130" s="1">
        <x:v>11.0</x:v>
      </x:c>
      <x:c r="G130" s="1" t="s">
        <x:v>1066</x:v>
      </x:c>
      <x:c r="H130" s="1" t="s">
        <x:v>1065</x:v>
      </x:c>
      <x:c r="I130" s="1" t="s">
        <x:v>1059</x:v>
      </x:c>
      <x:c r="J130" s="1">
        <x:v>2.0</x:v>
      </x:c>
      <x:c r="K130" s="1">
        <x:v>129.0</x:v>
      </x:c>
      <x:c r="L130" s="1" t="str">
        <x:f t="shared" si="1"/>
        <x:v>Matthew Golden</x:v>
      </x:c>
      <x:c r="M130" s="127" t="n">
        <x:f>IFERROR(VLOOKUP(E130,RISK!A:B,2,FALSE()),"")</x:f>
        <x:v>3.7</x:v>
      </x:c>
      <x:c r="N130" s="118">
        <x:f t="shared" si="2"/>
        <x:v>97.55347059</x:v>
      </x:c>
      <x:c r="Q130" s="9" t="s">
        <x:v>420</x:v>
      </x:c>
      <x:c r="R130" s="118" t="n">
        <x:f>Aggregate!BL84</x:f>
        <x:v>23.99336941</x:v>
      </x:c>
      <x:c r="S130" s="9"/>
      <x:c r="T130" s="9"/>
    </x:row>
    <x:row r="131" ht="14.25" customHeight="1">
      <x:c r="A131" s="1">
        <x:v>128.0</x:v>
      </x:c>
      <x:c r="B131" s="1">
        <x:v>6.0</x:v>
      </x:c>
      <x:c r="C131" s="1" t="s">
        <x:v>645</x:v>
      </x:c>
      <x:c r="D131" s="1" t="s">
        <x:v>535</x:v>
      </x:c>
      <x:c r="E131" s="1" t="s">
        <x:v>298</x:v>
      </x:c>
      <x:c r="F131" s="1">
        <x:v>8.0</x:v>
      </x:c>
      <x:c r="G131" s="1" t="s">
        <x:v>1066</x:v>
      </x:c>
      <x:c r="H131" s="1" t="s">
        <x:v>1065</x:v>
      </x:c>
      <x:c r="I131" s="1" t="s">
        <x:v>1061</x:v>
      </x:c>
      <x:c r="J131" s="1">
        <x:v>15.0</x:v>
      </x:c>
      <x:c r="K131" s="1">
        <x:v>130.0</x:v>
      </x:c>
      <x:c r="L131" s="1" t="str">
        <x:f t="shared" si="1"/>
        <x:v>Woody Marks</x:v>
      </x:c>
      <x:c r="M131" s="127" t="n">
        <x:f>IFERROR(VLOOKUP(E131,RISK!A:B,2,FALSE()),"")</x:f>
        <x:v>3.368</x:v>
      </x:c>
      <x:c r="N131" s="118">
        <x:f t="shared" si="2"/>
        <x:v>94.58108944</x:v>
      </x:c>
      <x:c r="Q131" s="9" t="s">
        <x:v>423</x:v>
      </x:c>
      <x:c r="R131" s="118" t="n">
        <x:f>Aggregate!BL85</x:f>
        <x:v>23.39149176</x:v>
      </x:c>
      <x:c r="S131" s="9"/>
      <x:c r="T131" s="9"/>
    </x:row>
    <x:row r="132" ht="14.25" customHeight="1">
      <x:c r="A132" s="1">
        <x:v>129.0</x:v>
      </x:c>
      <x:c r="B132" s="1">
        <x:v>6.0</x:v>
      </x:c>
      <x:c r="C132" s="1" t="s">
        <x:v>654</x:v>
      </x:c>
      <x:c r="D132" s="1" t="s">
        <x:v>543</x:v>
      </x:c>
      <x:c r="E132" s="1" t="s">
        <x:v>302</x:v>
      </x:c>
      <x:c r="F132" s="1">
        <x:v>14.0</x:v>
      </x:c>
      <x:c r="G132" s="1" t="s">
        <x:v>1066</x:v>
      </x:c>
      <x:c r="H132" s="1" t="s">
        <x:v>1065</x:v>
      </x:c>
      <x:c r="I132" s="1" t="s">
        <x:v>1060</x:v>
      </x:c>
      <x:c r="J132" s="1">
        <x:v>7.0</x:v>
      </x:c>
      <x:c r="K132" s="1">
        <x:v>131.0</x:v>
      </x:c>
      <x:c r="L132" s="1" t="str">
        <x:f t="shared" si="1"/>
        <x:v>Tyler Allgeier</x:v>
      </x:c>
      <x:c r="M132" s="127" t="n">
        <x:f>IFERROR(VLOOKUP(E132,RISK!A:B,2,FALSE()),"")</x:f>
        <x:v>3.368</x:v>
      </x:c>
      <x:c r="N132" s="118">
        <x:f t="shared" si="2"/>
        <x:v>85.68954353</x:v>
      </x:c>
      <x:c r="Q132" s="9" t="s">
        <x:v>426</x:v>
      </x:c>
      <x:c r="R132" s="118" t="n">
        <x:f>Aggregate!BL86</x:f>
        <x:v>23.13142118</x:v>
      </x:c>
      <x:c r="S132" s="9"/>
      <x:c r="T132" s="9"/>
    </x:row>
    <x:row r="133" ht="14.25" customHeight="1">
      <x:c r="A133" s="1">
        <x:v>130.0</x:v>
      </x:c>
      <x:c r="B133" s="1">
        <x:v>6.0</x:v>
      </x:c>
      <x:c r="C133" s="1" t="s">
        <x:v>935</x:v>
      </x:c>
      <x:c r="D133" s="1" t="s">
        <x:v>507</x:v>
      </x:c>
      <x:c r="E133" s="1" t="s">
        <x:v>188</x:v>
      </x:c>
      <x:c r="F133" s="1">
        <x:v>14.0</x:v>
      </x:c>
      <x:c r="G133" s="1" t="s">
        <x:v>1062</x:v>
      </x:c>
      <x:c r="H133" s="1" t="s">
        <x:v>1065</x:v>
      </x:c>
      <x:c r="I133" s="1" t="s">
        <x:v>1060</x:v>
      </x:c>
      <x:c r="J133" s="1">
        <x:v>-17.0</x:v>
      </x:c>
      <x:c r="K133" s="1">
        <x:v>132.0</x:v>
      </x:c>
      <x:c r="L133" s="1" t="str">
        <x:f t="shared" si="1"/>
        <x:v>Jake Ferguson</x:v>
      </x:c>
      <x:c r="M133" s="127" t="n">
        <x:f>IFERROR(VLOOKUP(E133,RISK!A:B,2,FALSE()),"")</x:f>
        <x:v>2.8165000000000013</x:v>
      </x:c>
      <x:c r="N133" s="118">
        <x:f t="shared" si="2"/>
        <x:v>100.962345</x:v>
      </x:c>
      <x:c r="Q133" s="9" t="s">
        <x:v>429</x:v>
      </x:c>
      <x:c r="R133" s="118" t="n">
        <x:f>Aggregate!BL87</x:f>
        <x:v>20.28550588</x:v>
      </x:c>
      <x:c r="S133" s="9"/>
      <x:c r="T133" s="9"/>
    </x:row>
    <x:row r="134" ht="14.25" customHeight="1">
      <x:c r="A134" s="1">
        <x:v>131.0</x:v>
      </x:c>
      <x:c r="B134" s="1">
        <x:v>6.0</x:v>
      </x:c>
      <x:c r="C134" s="1" t="s">
        <x:v>780</x:v>
      </x:c>
      <x:c r="D134" s="1" t="s">
        <x:v>487</x:v>
      </x:c>
      <x:c r="E134" s="1" t="s">
        <x:v>331</x:v>
      </x:c>
      <x:c r="F134" s="1">
        <x:v>7.0</x:v>
      </x:c>
      <x:c r="G134" s="1" t="s">
        <x:v>1062</x:v>
      </x:c>
      <x:c r="H134" s="1" t="s">
        <x:v>1065</x:v>
      </x:c>
      <x:c r="I134" s="1" t="s">
        <x:v>1061</x:v>
      </x:c>
      <x:c r="J134" s="1">
        <x:v>24.0</x:v>
      </x:c>
      <x:c r="K134" s="1">
        <x:v>133.0</x:v>
      </x:c>
      <x:c r="L134" s="1" t="str">
        <x:f t="shared" si="1"/>
        <x:v>Khalil Shakir</x:v>
      </x:c>
      <x:c r="M134" s="127" t="n">
        <x:f>IFERROR(VLOOKUP(E134,RISK!A:B,2,FALSE()),"")</x:f>
        <x:v>3.7</x:v>
      </x:c>
      <x:c r="N134" s="118">
        <x:f t="shared" si="2"/>
        <x:v>96.91676471</x:v>
      </x:c>
      <x:c r="Q134" s="9" t="s">
        <x:v>432</x:v>
      </x:c>
      <x:c r="R134" s="118" t="n">
        <x:f>Aggregate!BL88</x:f>
        <x:v>16.31757176</x:v>
      </x:c>
      <x:c r="S134" s="9"/>
      <x:c r="T134" s="9"/>
    </x:row>
    <x:row r="135" ht="14.25" customHeight="1">
      <x:c r="A135" s="1">
        <x:v>132.0</x:v>
      </x:c>
      <x:c r="B135" s="1">
        <x:v>7.0</x:v>
      </x:c>
      <x:c r="C135" s="1" t="s">
        <x:v>809</x:v>
      </x:c>
      <x:c r="D135" s="1" t="s">
        <x:v>521</x:v>
      </x:c>
      <x:c r="E135" s="1" t="s">
        <x:v>334</x:v>
      </x:c>
      <x:c r="F135" s="1">
        <x:v>8.0</x:v>
      </x:c>
      <x:c r="G135" s="1" t="s">
        <x:v>1066</x:v>
      </x:c>
      <x:c r="H135" s="1" t="s">
        <x:v>1065</x:v>
      </x:c>
      <x:c r="I135" s="1" t="s">
        <x:v>1064</x:v>
      </x:c>
      <x:c r="J135" s="1">
        <x:v>-34.0</x:v>
      </x:c>
      <x:c r="K135" s="1">
        <x:v>134.0</x:v>
      </x:c>
      <x:c r="L135" s="1" t="str">
        <x:f t="shared" si="1"/>
        <x:v>Jordyn Tyson</x:v>
      </x:c>
      <x:c r="M135" s="127" t="n">
        <x:f>IFERROR(VLOOKUP(E135,RISK!A:B,2,FALSE()),"")</x:f>
        <x:v>3.7</x:v>
      </x:c>
      <x:c r="N135" s="118">
        <x:f t="shared" si="2"/>
        <x:v>96.79781647</x:v>
      </x:c>
      <x:c r="Q135" s="9" t="s">
        <x:v>435</x:v>
      </x:c>
      <x:c r="R135" s="118" t="n">
        <x:f>Aggregate!BL89</x:f>
        <x:v>16.18382118</x:v>
      </x:c>
      <x:c r="S135" s="9"/>
      <x:c r="T135" s="9"/>
    </x:row>
    <x:row r="136" ht="14.25" customHeight="1">
      <x:c r="A136" s="1">
        <x:v>133.0</x:v>
      </x:c>
      <x:c r="B136" s="1">
        <x:v>7.0</x:v>
      </x:c>
      <x:c r="C136" s="1" t="s">
        <x:v>782</x:v>
      </x:c>
      <x:c r="D136" s="1" t="s">
        <x:v>493</x:v>
      </x:c>
      <x:c r="E136" s="1" t="s">
        <x:v>337</x:v>
      </x:c>
      <x:c r="F136" s="1">
        <x:v>11.0</x:v>
      </x:c>
      <x:c r="G136" s="1" t="s">
        <x:v>1065</x:v>
      </x:c>
      <x:c r="H136" s="1" t="s">
        <x:v>1066</x:v>
      </x:c>
      <x:c r="I136" s="1" t="s">
        <x:v>1060</x:v>
      </x:c>
      <x:c r="J136" s="1">
        <x:v>14.0</x:v>
      </x:c>
      <x:c r="K136" s="1">
        <x:v>135.0</x:v>
      </x:c>
      <x:c r="L136" s="1" t="str">
        <x:f t="shared" si="1"/>
        <x:v>Romeo Doubs</x:v>
      </x:c>
      <x:c r="M136" s="127" t="n">
        <x:f>IFERROR(VLOOKUP(E136,RISK!A:B,2,FALSE()),"")</x:f>
        <x:v>3.7</x:v>
      </x:c>
      <x:c r="N136" s="118">
        <x:f t="shared" si="2"/>
        <x:v>96.28729412</x:v>
      </x:c>
      <x:c r="Q136" s="9" t="s">
        <x:v>438</x:v>
      </x:c>
      <x:c r="R136" s="118" t="n">
        <x:f>Aggregate!BL90</x:f>
        <x:v>13.40478118</x:v>
      </x:c>
      <x:c r="S136" s="9"/>
      <x:c r="T136" s="9"/>
    </x:row>
    <x:row r="137" ht="14.25" customHeight="1">
      <x:c r="A137" s="1">
        <x:v>134.0</x:v>
      </x:c>
      <x:c r="B137" s="1">
        <x:v>7.0</x:v>
      </x:c>
      <x:c r="C137" s="1" t="s">
        <x:v>644</x:v>
      </x:c>
      <x:c r="D137" s="1" t="s">
        <x:v>541</x:v>
      </x:c>
      <x:c r="E137" s="1" t="s">
        <x:v>306</x:v>
      </x:c>
      <x:c r="F137" s="1">
        <x:v>9.0</x:v>
      </x:c>
      <x:c r="G137" s="1" t="s">
        <x:v>1066</x:v>
      </x:c>
      <x:c r="H137" s="1" t="s">
        <x:v>1065</x:v>
      </x:c>
      <x:c r="I137" s="1" t="s">
        <x:v>1064</x:v>
      </x:c>
      <x:c r="J137" s="1">
        <x:v>25.0</x:v>
      </x:c>
      <x:c r="K137" s="1">
        <x:v>136.0</x:v>
      </x:c>
      <x:c r="L137" s="1" t="str">
        <x:f t="shared" si="1"/>
        <x:v>Tyjae Spears</x:v>
      </x:c>
      <x:c r="M137" s="127" t="n">
        <x:f>IFERROR(VLOOKUP(E137,RISK!A:B,2,FALSE()),"")</x:f>
        <x:v>3.368</x:v>
      </x:c>
      <x:c r="N137" s="118">
        <x:f t="shared" si="2"/>
        <x:v>84.61820132</x:v>
      </x:c>
      <x:c r="Q137" s="9" t="s">
        <x:v>441</x:v>
      </x:c>
      <x:c r="R137" s="118" t="n">
        <x:f>Aggregate!BL91</x:f>
        <x:v>13.37505882</x:v>
      </x:c>
      <x:c r="S137" s="9"/>
      <x:c r="T137" s="9"/>
    </x:row>
    <x:row r="138" ht="14.25" customHeight="1">
      <x:c r="A138" s="1">
        <x:v>135.0</x:v>
      </x:c>
      <x:c r="B138" s="1">
        <x:v>7.0</x:v>
      </x:c>
      <x:c r="C138" s="1" t="s">
        <x:v>528</x:v>
      </x:c>
      <x:c r="D138" s="1" t="s">
        <x:v>529</x:v>
      </x:c>
      <x:c r="E138" s="1" t="s">
        <x:v>209</x:v>
      </x:c>
      <x:c r="F138" s="1">
        <x:v>6.0</x:v>
      </x:c>
      <x:c r="G138" s="1" t="s">
        <x:v>1065</x:v>
      </x:c>
      <x:c r="H138" s="1" t="s">
        <x:v>1065</x:v>
      </x:c>
      <x:c r="I138" s="1" t="s">
        <x:v>1064</x:v>
      </x:c>
      <x:c r="J138" s="1">
        <x:v>19.0</x:v>
      </x:c>
      <x:c r="K138" s="1">
        <x:v>137.0</x:v>
      </x:c>
      <x:c r="L138" s="1" t="str">
        <x:f t="shared" si="1"/>
        <x:v>Malik Willis</x:v>
      </x:c>
      <x:c r="M138" s="127" t="n">
        <x:f>IFERROR(VLOOKUP(E138,RISK!A:B,2,FALSE()),"")</x:f>
        <x:v>2.9445000000000014</x:v>
      </x:c>
      <x:c r="N138" s="118">
        <x:f t="shared" si="2"/>
        <x:v>207.1953928</x:v>
      </x:c>
      <x:c r="Q138" s="9" t="s">
        <x:v>444</x:v>
      </x:c>
      <x:c r="R138" s="118" t="n">
        <x:f>Aggregate!BL92</x:f>
        <x:v>12.632</x:v>
      </x:c>
      <x:c r="S138" s="9"/>
      <x:c r="T138" s="9"/>
    </x:row>
    <x:row r="139" ht="14.25" customHeight="1">
      <x:c r="A139" s="1">
        <x:v>136.0</x:v>
      </x:c>
      <x:c r="B139" s="1">
        <x:v>7.0</x:v>
      </x:c>
      <x:c r="C139" s="1" t="s">
        <x:v>777</x:v>
      </x:c>
      <x:c r="D139" s="1" t="s">
        <x:v>503</x:v>
      </x:c>
      <x:c r="E139" s="1" t="s">
        <x:v>340</x:v>
      </x:c>
      <x:c r="F139" s="1">
        <x:v>8.0</x:v>
      </x:c>
      <x:c r="G139" s="1" t="s">
        <x:v>1065</x:v>
      </x:c>
      <x:c r="H139" s="1" t="s">
        <x:v>1066</x:v>
      </x:c>
      <x:c r="I139" s="1" t="s">
        <x:v>1060</x:v>
      </x:c>
      <x:c r="J139" s="1">
        <x:v>-5.0</x:v>
      </x:c>
      <x:c r="K139" s="1">
        <x:v>138.0</x:v>
      </x:c>
      <x:c r="L139" s="1" t="str">
        <x:f t="shared" si="1"/>
        <x:v>Deebo Samuel Sr.</x:v>
      </x:c>
      <x:c r="M139" s="127" t="n">
        <x:f>IFERROR(VLOOKUP(E139,RISK!A:B,2,FALSE()),"")</x:f>
        <x:v>3.7</x:v>
      </x:c>
      <x:c r="N139" s="118">
        <x:f t="shared" si="2"/>
        <x:v>95.80976471</x:v>
      </x:c>
      <x:c r="Q139" s="9" t="s">
        <x:v>447</x:v>
      </x:c>
      <x:c r="R139" s="118" t="n">
        <x:f>Aggregate!BL93</x:f>
        <x:v>10.29136471</x:v>
      </x:c>
      <x:c r="S139" s="9"/>
      <x:c r="T139" s="9"/>
    </x:row>
    <x:row r="140" ht="14.25" customHeight="1">
      <x:c r="A140" s="1">
        <x:v>137.0</x:v>
      </x:c>
      <x:c r="B140" s="1">
        <x:v>7.0</x:v>
      </x:c>
      <x:c r="C140" s="1" t="s">
        <x:v>661</x:v>
      </x:c>
      <x:c r="D140" s="1" t="s">
        <x:v>513</x:v>
      </x:c>
      <x:c r="E140" s="1" t="s">
        <x:v>310</x:v>
      </x:c>
      <x:c r="F140" s="1">
        <x:v>7.0</x:v>
      </x:c>
      <x:c r="G140" s="1" t="s">
        <x:v>1065</x:v>
      </x:c>
      <x:c r="H140" s="1" t="s">
        <x:v>1066</x:v>
      </x:c>
      <x:c r="I140" s="1" t="s">
        <x:v>1064</x:v>
      </x:c>
      <x:c r="J140" s="1">
        <x:v>23.0</x:v>
      </x:c>
      <x:c r="K140" s="1">
        <x:v>139.0</x:v>
      </x:c>
      <x:c r="L140" s="1" t="str">
        <x:f t="shared" si="1"/>
        <x:v>Keaton Mitchell</x:v>
      </x:c>
      <x:c r="M140" s="127" t="n">
        <x:f>IFERROR(VLOOKUP(E140,RISK!A:B,2,FALSE()),"")</x:f>
        <x:v>3.368</x:v>
      </x:c>
      <x:c r="N140" s="118">
        <x:f t="shared" si="2"/>
        <x:v>84.03995294</x:v>
      </x:c>
      <x:c r="Q140" s="9" t="s">
        <x:v>450</x:v>
      </x:c>
      <x:c r="R140" s="118" t="n">
        <x:f>Aggregate!BL94</x:f>
        <x:v>9.228790588</x:v>
      </x:c>
      <x:c r="S140" s="9"/>
      <x:c r="T140" s="9"/>
    </x:row>
    <x:row r="141" ht="14.25" customHeight="1">
      <x:c r="A141" s="1">
        <x:v>138.0</x:v>
      </x:c>
      <x:c r="B141" s="1">
        <x:v>7.0</x:v>
      </x:c>
      <x:c r="C141" s="1" t="s">
        <x:v>939</x:v>
      </x:c>
      <x:c r="D141" s="1" t="s">
        <x:v>521</x:v>
      </x:c>
      <x:c r="E141" s="1" t="s">
        <x:v>192</x:v>
      </x:c>
      <x:c r="F141" s="1">
        <x:v>8.0</x:v>
      </x:c>
      <x:c r="G141" s="1" t="s">
        <x:v>1065</x:v>
      </x:c>
      <x:c r="H141" s="1" t="s">
        <x:v>1062</x:v>
      </x:c>
      <x:c r="I141" s="1" t="s">
        <x:v>1060</x:v>
      </x:c>
      <x:c r="J141" s="1">
        <x:v>15.0</x:v>
      </x:c>
      <x:c r="K141" s="1">
        <x:v>140.0</x:v>
      </x:c>
      <x:c r="L141" s="1" t="str">
        <x:f t="shared" si="1"/>
        <x:v>Juwan Johnson</x:v>
      </x:c>
      <x:c r="M141" s="127" t="n">
        <x:f>IFERROR(VLOOKUP(E141,RISK!A:B,2,FALSE()),"")</x:f>
        <x:v>2.8070000000000004</x:v>
      </x:c>
      <x:c r="N141" s="118">
        <x:f t="shared" si="2"/>
        <x:v>97.13980459</x:v>
      </x:c>
      <x:c r="Q141" s="9" t="s">
        <x:v>453</x:v>
      </x:c>
      <x:c r="R141" s="118" t="n">
        <x:f>Aggregate!BL95</x:f>
        <x:v>3.559251765</x:v>
      </x:c>
      <x:c r="S141" s="9"/>
      <x:c r="T141" s="9"/>
    </x:row>
    <x:row r="142" ht="14.25" customHeight="1">
      <x:c r="A142" s="1">
        <x:v>139.0</x:v>
      </x:c>
      <x:c r="B142" s="1">
        <x:v>7.0</x:v>
      </x:c>
      <x:c r="C142" s="1" t="s">
        <x:v>663</x:v>
      </x:c>
      <x:c r="D142" s="1" t="s">
        <x:v>497</x:v>
      </x:c>
      <x:c r="E142" s="1" t="s">
        <x:v>314</x:v>
      </x:c>
      <x:c r="F142" s="1">
        <x:v>10.0</x:v>
      </x:c>
      <x:c r="G142" s="1" t="s">
        <x:v>1065</x:v>
      </x:c>
      <x:c r="H142" s="1" t="s">
        <x:v>1066</x:v>
      </x:c>
      <x:c r="I142" s="1" t="s">
        <x:v>1061</x:v>
      </x:c>
      <x:c r="J142" s="1">
        <x:v>22.0</x:v>
      </x:c>
      <x:c r="K142" s="1">
        <x:v>141.0</x:v>
      </x:c>
      <x:c r="L142" s="1" t="str">
        <x:f t="shared" si="1"/>
        <x:v>Tank Bigsby</x:v>
      </x:c>
      <x:c r="M142" s="127" t="n">
        <x:f>IFERROR(VLOOKUP(E142,RISK!A:B,2,FALSE()),"")</x:f>
        <x:v>3.368</x:v>
      </x:c>
      <x:c r="N142" s="118">
        <x:f t="shared" si="2"/>
        <x:v>83.77245176</x:v>
      </x:c>
      <x:c r="Q142" s="9" t="s">
        <x:v>456</x:v>
      </x:c>
      <x:c r="R142" s="118" t="n">
        <x:f>Aggregate!BL96</x:f>
        <x:v>0</x:v>
      </x:c>
      <x:c r="S142" s="9"/>
      <x:c r="T142" s="9"/>
    </x:row>
    <x:row r="143" ht="14.25" customHeight="1">
      <x:c r="A143" s="1">
        <x:v>140.0</x:v>
      </x:c>
      <x:c r="B143" s="1">
        <x:v>7.0</x:v>
      </x:c>
      <x:c r="C143" s="1" t="s">
        <x:v>532</x:v>
      </x:c>
      <x:c r="D143" s="1" t="s">
        <x:v>533</x:v>
      </x:c>
      <x:c r="E143" s="1" t="s">
        <x:v>213</x:v>
      </x:c>
      <x:c r="F143" s="1">
        <x:v>11.0</x:v>
      </x:c>
      <x:c r="G143" s="1" t="s">
        <x:v>1062</x:v>
      </x:c>
      <x:c r="H143" s="1" t="s">
        <x:v>1065</x:v>
      </x:c>
      <x:c r="I143" s="1" t="s">
        <x:v>1061</x:v>
      </x:c>
      <x:c r="J143" s="1">
        <x:v>5.0</x:v>
      </x:c>
      <x:c r="K143" s="1">
        <x:v>142.0</x:v>
      </x:c>
      <x:c r="L143" s="1" t="str">
        <x:f t="shared" si="1"/>
        <x:v>Sam Darnold</x:v>
      </x:c>
      <x:c r="M143" s="127" t="n">
        <x:f>IFERROR(VLOOKUP(E143,RISK!A:B,2,FALSE()),"")</x:f>
        <x:v>3.1026000000000007</x:v>
      </x:c>
      <x:c r="N143" s="118">
        <x:f t="shared" si="2"/>
        <x:v>206.7049412</x:v>
      </x:c>
      <x:c r="Q143" s="9" t="s">
        <x:v>459</x:v>
      </x:c>
      <x:c r="R143" s="118" t="n">
        <x:f>Aggregate!BL97</x:f>
        <x:v>0</x:v>
      </x:c>
      <x:c r="S143" s="9"/>
      <x:c r="T143" s="9"/>
    </x:row>
    <x:row r="144" ht="14.25" customHeight="1">
      <x:c r="A144" s="1">
        <x:v>141.0</x:v>
      </x:c>
      <x:c r="B144" s="1">
        <x:v>7.0</x:v>
      </x:c>
      <x:c r="C144" s="1" t="s">
        <x:v>665</x:v>
      </x:c>
      <x:c r="D144" s="1" t="s">
        <x:v>515</x:v>
      </x:c>
      <x:c r="E144" s="1" t="s">
        <x:v>318</x:v>
      </x:c>
      <x:c r="F144" s="1">
        <x:v>10.0</x:v>
      </x:c>
      <x:c r="G144" s="1" t="s">
        <x:v>1065</x:v>
      </x:c>
      <x:c r="H144" s="1" t="s">
        <x:v>1065</x:v>
      </x:c>
      <x:c r="I144" s="1" t="s">
        <x:v>1060</x:v>
      </x:c>
      <x:c r="J144" s="1">
        <x:v>8.0</x:v>
      </x:c>
      <x:c r="K144" s="1">
        <x:v>143.0</x:v>
      </x:c>
      <x:c r="L144" s="1" t="str">
        <x:f t="shared" si="1"/>
        <x:v>Jonah Coleman</x:v>
      </x:c>
      <x:c r="M144" s="127" t="n">
        <x:f>IFERROR(VLOOKUP(E144,RISK!A:B,2,FALSE()),"")</x:f>
        <x:v>3.368</x:v>
      </x:c>
      <x:c r="N144" s="118">
        <x:f t="shared" si="2"/>
        <x:v>82.66642357</x:v>
      </x:c>
      <x:c r="Q144" s="9" t="s">
        <x:v>462</x:v>
      </x:c>
      <x:c r="R144" s="118" t="n">
        <x:f>Aggregate!BL98</x:f>
        <x:v>0</x:v>
      </x:c>
      <x:c r="S144" s="9"/>
      <x:c r="T144" s="9"/>
    </x:row>
    <x:row r="145" ht="14.25" customHeight="1">
      <x:c r="A145" s="1">
        <x:v>142.0</x:v>
      </x:c>
      <x:c r="B145" s="1">
        <x:v>7.0</x:v>
      </x:c>
      <x:c r="C145" s="1" t="s">
        <x:v>940</x:v>
      </x:c>
      <x:c r="D145" s="1" t="s">
        <x:v>493</x:v>
      </x:c>
      <x:c r="E145" s="1" t="s">
        <x:v>196</x:v>
      </x:c>
      <x:c r="F145" s="1">
        <x:v>11.0</x:v>
      </x:c>
      <x:c r="G145" s="1" t="s">
        <x:v>1062</x:v>
      </x:c>
      <x:c r="H145" s="1" t="s">
        <x:v>1065</x:v>
      </x:c>
      <x:c r="I145" s="1" t="s">
        <x:v>1061</x:v>
      </x:c>
      <x:c r="J145" s="1">
        <x:v>9.0</x:v>
      </x:c>
      <x:c r="K145" s="1">
        <x:v>144.0</x:v>
      </x:c>
      <x:c r="L145" s="1" t="str">
        <x:f t="shared" si="1"/>
        <x:v>Hunter Henry</x:v>
      </x:c>
      <x:c r="M145" s="127" t="n">
        <x:f>IFERROR(VLOOKUP(E145,RISK!A:B,2,FALSE()),"")</x:f>
        <x:v>2.7911</x:v>
      </x:c>
      <x:c r="N145" s="118">
        <x:f t="shared" si="2"/>
        <x:v>95.12929059</x:v>
      </x:c>
      <x:c r="Q145" s="9" t="s">
        <x:v>465</x:v>
      </x:c>
      <x:c r="R145" s="118" t="n">
        <x:f>Aggregate!BL99</x:f>
        <x:v>0</x:v>
      </x:c>
      <x:c r="S145" s="9"/>
      <x:c r="T145" s="9"/>
    </x:row>
    <x:row r="146" ht="14.25" customHeight="1">
      <x:c r="A146" s="1">
        <x:v>143.0</x:v>
      </x:c>
      <x:c r="B146" s="1">
        <x:v>7.0</x:v>
      </x:c>
      <x:c r="C146" s="1" t="s">
        <x:v>646</x:v>
      </x:c>
      <x:c r="D146" s="1" t="s">
        <x:v>533</x:v>
      </x:c>
      <x:c r="E146" s="1" t="s">
        <x:v>321</x:v>
      </x:c>
      <x:c r="F146" s="1">
        <x:v>11.0</x:v>
      </x:c>
      <x:c r="G146" s="1" t="s">
        <x:v>1066</x:v>
      </x:c>
      <x:c r="H146" s="1" t="s">
        <x:v>1065</x:v>
      </x:c>
      <x:c r="I146" s="1" t="s">
        <x:v>1061</x:v>
      </x:c>
      <x:c r="J146" s="1">
        <x:v>-9.0</x:v>
      </x:c>
      <x:c r="K146" s="1">
        <x:v>145.0</x:v>
      </x:c>
      <x:c r="L146" s="1" t="str">
        <x:f t="shared" si="1"/>
        <x:v>Zach Charbonnet</x:v>
      </x:c>
      <x:c r="M146" s="127" t="n">
        <x:f>IFERROR(VLOOKUP(E146,RISK!A:B,2,FALSE()),"")</x:f>
        <x:v>3.368</x:v>
      </x:c>
      <x:c r="N146" s="118">
        <x:f t="shared" si="2"/>
        <x:v>78.3184</x:v>
      </x:c>
      <x:c r="Q146" s="9" t="s">
        <x:v>468</x:v>
      </x:c>
      <x:c r="R146" s="118" t="n">
        <x:f>Aggregate!BL100</x:f>
        <x:v>0</x:v>
      </x:c>
      <x:c r="S146" s="9"/>
      <x:c r="T146" s="9"/>
    </x:row>
    <x:row r="147" ht="14.25" customHeight="1">
      <x:c r="A147" s="1">
        <x:v>144.0</x:v>
      </x:c>
      <x:c r="B147" s="1">
        <x:v>7.0</x:v>
      </x:c>
      <x:c r="C147" s="1" t="s">
        <x:v>789</x:v>
      </x:c>
      <x:c r="D147" s="1" t="s">
        <x:v>503</x:v>
      </x:c>
      <x:c r="E147" s="1" t="s">
        <x:v>343</x:v>
      </x:c>
      <x:c r="F147" s="1">
        <x:v>8.0</x:v>
      </x:c>
      <x:c r="G147" s="1" t="s">
        <x:v>1066</x:v>
      </x:c>
      <x:c r="H147" s="1" t="s">
        <x:v>1065</x:v>
      </x:c>
      <x:c r="I147" s="1" t="s">
        <x:v>1060</x:v>
      </x:c>
      <x:c r="J147" s="1">
        <x:v>-28.0</x:v>
      </x:c>
      <x:c r="K147" s="1">
        <x:v>146.0</x:v>
      </x:c>
      <x:c r="L147" s="1" t="str">
        <x:f t="shared" si="1"/>
        <x:v>De'Zhaun Stribling</x:v>
      </x:c>
      <x:c r="M147" s="127" t="n">
        <x:f>IFERROR(VLOOKUP(E147,RISK!A:B,2,FALSE()),"")</x:f>
        <x:v>3.7</x:v>
      </x:c>
      <x:c r="N147" s="118">
        <x:f t="shared" si="2"/>
        <x:v>93.93582353</x:v>
      </x:c>
      <x:c r="Q147" s="9" t="s">
        <x:v>471</x:v>
      </x:c>
      <x:c r="R147" s="118" t="n">
        <x:f>Aggregate!BL101</x:f>
        <x:v>0</x:v>
      </x:c>
      <x:c r="S147" s="9"/>
      <x:c r="T147" s="9"/>
    </x:row>
    <x:row r="148" ht="14.25" customHeight="1">
      <x:c r="A148" s="1">
        <x:v>145.0</x:v>
      </x:c>
      <x:c r="B148" s="1">
        <x:v>7.0</x:v>
      </x:c>
      <x:c r="C148" s="1" t="s">
        <x:v>534</x:v>
      </x:c>
      <x:c r="D148" s="1" t="s">
        <x:v>535</x:v>
      </x:c>
      <x:c r="E148" s="1" t="s">
        <x:v>217</x:v>
      </x:c>
      <x:c r="F148" s="1">
        <x:v>8.0</x:v>
      </x:c>
      <x:c r="G148" s="1" t="s">
        <x:v>1066</x:v>
      </x:c>
      <x:c r="H148" s="1" t="s">
        <x:v>1065</x:v>
      </x:c>
      <x:c r="I148" s="1" t="s">
        <x:v>1061</x:v>
      </x:c>
      <x:c r="J148" s="1">
        <x:v>25.0</x:v>
      </x:c>
      <x:c r="K148" s="1">
        <x:v>147.0</x:v>
      </x:c>
      <x:c r="L148" s="1" t="str">
        <x:f t="shared" si="1"/>
        <x:v>C.J. Stroud</x:v>
      </x:c>
      <x:c r="M148" s="127" t="n">
        <x:f>IFERROR(VLOOKUP(E148,RISK!A:B,2,FALSE()),"")</x:f>
        <x:v>3.2</x:v>
      </x:c>
      <x:c r="N148" s="118">
        <x:f t="shared" si="2"/>
        <x:v>201.9930094</x:v>
      </x:c>
      <x:c r="Q148" s="9" t="s">
        <x:v>474</x:v>
      </x:c>
      <x:c r="R148" s="118" t="n">
        <x:f>Aggregate!BL102</x:f>
        <x:v>0</x:v>
      </x:c>
      <x:c r="S148" s="9"/>
      <x:c r="T148" s="9"/>
    </x:row>
    <x:row r="149" ht="14.25" customHeight="1">
      <x:c r="A149" s="1">
        <x:v>146.0</x:v>
      </x:c>
      <x:c r="B149" s="1">
        <x:v>7.0</x:v>
      </x:c>
      <x:c r="C149" s="1" t="s">
        <x:v>650</x:v>
      </x:c>
      <x:c r="D149" s="1" t="s">
        <x:v>549</x:v>
      </x:c>
      <x:c r="E149" s="1" t="s">
        <x:v>324</x:v>
      </x:c>
      <x:c r="F149" s="1">
        <x:v>11.0</x:v>
      </x:c>
      <x:c r="G149" s="1" t="s">
        <x:v>1065</x:v>
      </x:c>
      <x:c r="H149" s="1" t="s">
        <x:v>1062</x:v>
      </x:c>
      <x:c r="I149" s="1" t="s">
        <x:v>1064</x:v>
      </x:c>
      <x:c r="J149" s="1">
        <x:v>59.0</x:v>
      </x:c>
      <x:c r="K149" s="1">
        <x:v>148.0</x:v>
      </x:c>
      <x:c r="L149" s="1" t="str">
        <x:f t="shared" si="1"/>
        <x:v>Dylan Sampson</x:v>
      </x:c>
      <x:c r="M149" s="127" t="n">
        <x:f>IFERROR(VLOOKUP(E149,RISK!A:B,2,FALSE()),"")</x:f>
        <x:v>3.368</x:v>
      </x:c>
      <x:c r="N149" s="118">
        <x:f t="shared" si="2"/>
        <x:v>77.96916235</x:v>
      </x:c>
      <x:c r="Q149" s="9" t="s">
        <x:v>131</x:v>
      </x:c>
      <x:c r="R149" s="118" t="n">
        <x:f>Aggregate!BQ3</x:f>
        <x:v>237.06640235294117</x:v>
      </x:c>
      <x:c r="S149" s="9"/>
      <x:c r="T149" s="9"/>
    </x:row>
    <x:row r="150" ht="14.25" customHeight="1">
      <x:c r="A150" s="1">
        <x:v>147.0</x:v>
      </x:c>
      <x:c r="B150" s="1">
        <x:v>7.0</x:v>
      </x:c>
      <x:c r="C150" s="1" t="s">
        <x:v>651</x:v>
      </x:c>
      <x:c r="D150" s="1" t="s">
        <x:v>501</x:v>
      </x:c>
      <x:c r="E150" s="1" t="s">
        <x:v>327</x:v>
      </x:c>
      <x:c r="F150" s="1">
        <x:v>8.0</x:v>
      </x:c>
      <x:c r="G150" s="1" t="s">
        <x:v>1062</x:v>
      </x:c>
      <x:c r="H150" s="1" t="s">
        <x:v>1065</x:v>
      </x:c>
      <x:c r="I150" s="1" t="s">
        <x:v>1061</x:v>
      </x:c>
      <x:c r="J150" s="1">
        <x:v>-3.0</x:v>
      </x:c>
      <x:c r="K150" s="1">
        <x:v>149.0</x:v>
      </x:c>
      <x:c r="L150" s="1" t="str">
        <x:f t="shared" si="1"/>
        <x:v>Tyrone Tracy Jr.</x:v>
      </x:c>
      <x:c r="M150" s="127" t="n">
        <x:f>IFERROR(VLOOKUP(E150,RISK!A:B,2,FALSE()),"")</x:f>
        <x:v>3.368</x:v>
      </x:c>
      <x:c r="N150" s="118">
        <x:f t="shared" si="2"/>
        <x:v>71.08100706</x:v>
      </x:c>
      <x:c r="Q150" s="9" t="s">
        <x:v>135</x:v>
      </x:c>
      <x:c r="R150" s="118" t="n">
        <x:f>Aggregate!BQ4</x:f>
        <x:v>233.0393903</x:v>
      </x:c>
      <x:c r="S150" s="9"/>
      <x:c r="T150" s="9"/>
    </x:row>
    <x:row r="151" ht="14.25" customHeight="1">
      <x:c r="A151" s="1">
        <x:v>148.0</x:v>
      </x:c>
      <x:c r="B151" s="1">
        <x:v>7.0</x:v>
      </x:c>
      <x:c r="C151" s="1" t="s">
        <x:v>941</x:v>
      </x:c>
      <x:c r="D151" s="1" t="s">
        <x:v>505</x:v>
      </x:c>
      <x:c r="E151" s="1" t="s">
        <x:v>200</x:v>
      </x:c>
      <x:c r="F151" s="1">
        <x:v>7.0</x:v>
      </x:c>
      <x:c r="G151" s="1" t="s">
        <x:v>1065</x:v>
      </x:c>
      <x:c r="H151" s="1" t="s">
        <x:v>1066</x:v>
      </x:c>
      <x:c r="I151" s="1" t="s">
        <x:v>1064</x:v>
      </x:c>
      <x:c r="J151" s="1">
        <x:v>8.0</x:v>
      </x:c>
      <x:c r="K151" s="1">
        <x:v>150.0</x:v>
      </x:c>
      <x:c r="L151" s="1" t="str">
        <x:f t="shared" si="1"/>
        <x:v>Brenton Strange</x:v>
      </x:c>
      <x:c r="M151" s="127" t="n">
        <x:f>IFERROR(VLOOKUP(E151,RISK!A:B,2,FALSE()),"")</x:f>
        <x:v>2.7688000000000006</x:v>
      </x:c>
      <x:c r="N151" s="118">
        <x:f t="shared" si="2"/>
        <x:v>94.57973082</x:v>
      </x:c>
      <x:c r="Q151" s="9" t="s">
        <x:v>139</x:v>
      </x:c>
      <x:c r="R151" s="118" t="n">
        <x:f>Aggregate!BQ5</x:f>
        <x:v>227.0679654</x:v>
      </x:c>
      <x:c r="S151" s="9"/>
      <x:c r="T151" s="9"/>
    </x:row>
    <x:row r="152" ht="14.25" customHeight="1">
      <x:c r="A152" s="1">
        <x:v>149.0</x:v>
      </x:c>
      <x:c r="B152" s="1">
        <x:v>7.0</x:v>
      </x:c>
      <x:c r="C152" s="1" t="s">
        <x:v>647</x:v>
      </x:c>
      <x:c r="D152" s="1" t="s">
        <x:v>521</x:v>
      </x:c>
      <x:c r="E152" s="1" t="s">
        <x:v>330</x:v>
      </x:c>
      <x:c r="F152" s="1">
        <x:v>8.0</x:v>
      </x:c>
      <x:c r="G152" s="1" t="s">
        <x:v>1062</x:v>
      </x:c>
      <x:c r="H152" s="1" t="s">
        <x:v>1065</x:v>
      </x:c>
      <x:c r="I152" s="1" t="s">
        <x:v>1064</x:v>
      </x:c>
      <x:c r="J152" s="1">
        <x:v>-9.0</x:v>
      </x:c>
      <x:c r="K152" s="1">
        <x:v>151.0</x:v>
      </x:c>
      <x:c r="L152" s="1" t="str">
        <x:f t="shared" si="1"/>
        <x:v>Alvin Kamara</x:v>
      </x:c>
      <x:c r="M152" s="127" t="n">
        <x:f>IFERROR(VLOOKUP(E152,RISK!A:B,2,FALSE()),"")</x:f>
        <x:v>3.368</x:v>
      </x:c>
      <x:c r="N152" s="118">
        <x:f t="shared" si="2"/>
        <x:v>69.14905412</x:v>
      </x:c>
      <x:c r="Q152" s="9" t="s">
        <x:v>143</x:v>
      </x:c>
      <x:c r="R152" s="118" t="n">
        <x:f>Aggregate!BQ6</x:f>
        <x:v>217.7512556</x:v>
      </x:c>
      <x:c r="S152" s="9"/>
      <x:c r="T152" s="9"/>
    </x:row>
    <x:row r="153" ht="14.25" customHeight="1">
      <x:c r="A153" s="1">
        <x:v>150.0</x:v>
      </x:c>
      <x:c r="B153" s="1">
        <x:v>7.0</x:v>
      </x:c>
      <x:c r="C153" s="1" t="s">
        <x:v>648</x:v>
      </x:c>
      <x:c r="D153" s="1" t="s">
        <x:v>519</x:v>
      </x:c>
      <x:c r="E153" s="1" t="s">
        <x:v>333</x:v>
      </x:c>
      <x:c r="F153" s="1">
        <x:v>6.0</x:v>
      </x:c>
      <x:c r="G153" s="1" t="s">
        <x:v>1066</x:v>
      </x:c>
      <x:c r="H153" s="1" t="s">
        <x:v>1065</x:v>
      </x:c>
      <x:c r="I153" s="1" t="s">
        <x:v>1059</x:v>
      </x:c>
      <x:c r="J153" s="1">
        <x:v>0.0</x:v>
      </x:c>
      <x:c r="K153" s="1">
        <x:v>152.0</x:v>
      </x:c>
      <x:c r="L153" s="1" t="str">
        <x:f t="shared" si="1"/>
        <x:v>Isiah Pacheco</x:v>
      </x:c>
      <x:c r="M153" s="127" t="n">
        <x:f>IFERROR(VLOOKUP(E153,RISK!A:B,2,FALSE()),"")</x:f>
        <x:v>3.368</x:v>
      </x:c>
      <x:c r="N153" s="118">
        <x:f t="shared" si="2"/>
        <x:v>67.49203294</x:v>
      </x:c>
      <x:c r="Q153" s="9" t="s">
        <x:v>147</x:v>
      </x:c>
      <x:c r="R153" s="118" t="n">
        <x:f>Aggregate!BQ7</x:f>
        <x:v>185.7352976</x:v>
      </x:c>
      <x:c r="S153" s="9"/>
      <x:c r="T153" s="9"/>
    </x:row>
    <x:row r="154" ht="14.25" customHeight="1">
      <x:c r="A154" s="1">
        <x:v>151.0</x:v>
      </x:c>
      <x:c r="B154" s="1">
        <x:v>7.0</x:v>
      </x:c>
      <x:c r="C154" s="1" t="s">
        <x:v>786</x:v>
      </x:c>
      <x:c r="D154" s="1" t="s">
        <x:v>533</x:v>
      </x:c>
      <x:c r="E154" s="1" t="s">
        <x:v>346</x:v>
      </x:c>
      <x:c r="F154" s="1">
        <x:v>11.0</x:v>
      </x:c>
      <x:c r="G154" s="1" t="s">
        <x:v>1066</x:v>
      </x:c>
      <x:c r="H154" s="1" t="s">
        <x:v>1065</x:v>
      </x:c>
      <x:c r="I154" s="1" t="s">
        <x:v>1064</x:v>
      </x:c>
      <x:c r="J154" s="1">
        <x:v>-13.0</x:v>
      </x:c>
      <x:c r="K154" s="1">
        <x:v>153.0</x:v>
      </x:c>
      <x:c r="L154" s="1" t="str">
        <x:f t="shared" si="1"/>
        <x:v>Rashid Shaheed</x:v>
      </x:c>
      <x:c r="M154" s="127" t="n">
        <x:f>IFERROR(VLOOKUP(E154,RISK!A:B,2,FALSE()),"")</x:f>
        <x:v>3.7</x:v>
      </x:c>
      <x:c r="N154" s="118">
        <x:f t="shared" si="2"/>
        <x:v>93.27017647</x:v>
      </x:c>
      <x:c r="Q154" s="9" t="s">
        <x:v>151</x:v>
      </x:c>
      <x:c r="R154" s="118" t="n">
        <x:f>Aggregate!BQ8</x:f>
        <x:v>184.0361271</x:v>
      </x:c>
      <x:c r="S154" s="9"/>
      <x:c r="T154" s="9"/>
    </x:row>
    <x:row r="155" ht="14.25" customHeight="1">
      <x:c r="A155" s="1">
        <x:v>152.0</x:v>
      </x:c>
      <x:c r="B155" s="1">
        <x:v>7.0</x:v>
      </x:c>
      <x:c r="C155" s="1" t="s">
        <x:v>948</x:v>
      </x:c>
      <x:c r="D155" s="1" t="s">
        <x:v>495</x:v>
      </x:c>
      <x:c r="E155" s="1" t="s">
        <x:v>204</x:v>
      </x:c>
      <x:c r="F155" s="1">
        <x:v>7.0</x:v>
      </x:c>
      <x:c r="G155" s="1" t="s">
        <x:v>1065</x:v>
      </x:c>
      <x:c r="H155" s="1" t="s">
        <x:v>1065</x:v>
      </x:c>
      <x:c r="I155" s="1" t="s">
        <x:v>1063</x:v>
      </x:c>
      <x:c r="J155" s="1">
        <x:v>12.0</x:v>
      </x:c>
      <x:c r="K155" s="1">
        <x:v>154.0</x:v>
      </x:c>
      <x:c r="L155" s="1" t="str">
        <x:f t="shared" si="1"/>
        <x:v>Chig Okonkwo</x:v>
      </x:c>
      <x:c r="M155" s="127" t="n">
        <x:f>IFERROR(VLOOKUP(E155,RISK!A:B,2,FALSE()),"")</x:f>
        <x:v>2.7401</x:v>
      </x:c>
      <x:c r="N155" s="118">
        <x:f t="shared" si="2"/>
        <x:v>90.48420588</x:v>
      </x:c>
      <x:c r="Q155" s="9" t="s">
        <x:v>155</x:v>
      </x:c>
      <x:c r="R155" s="118" t="n">
        <x:f>Aggregate!BQ9</x:f>
        <x:v>182.5766028</x:v>
      </x:c>
      <x:c r="S155" s="9"/>
      <x:c r="T155" s="9"/>
    </x:row>
    <x:row r="156" ht="14.25" customHeight="1">
      <x:c r="A156" s="1">
        <x:v>153.0</x:v>
      </x:c>
      <x:c r="B156" s="1">
        <x:v>7.0</x:v>
      </x:c>
      <x:c r="C156" s="1" t="s">
        <x:v>540</x:v>
      </x:c>
      <x:c r="D156" s="1" t="s">
        <x:v>541</x:v>
      </x:c>
      <x:c r="E156" s="1" t="s">
        <x:v>221</x:v>
      </x:c>
      <x:c r="F156" s="1">
        <x:v>9.0</x:v>
      </x:c>
      <x:c r="G156" s="1" t="s">
        <x:v>1065</x:v>
      </x:c>
      <x:c r="H156" s="1" t="s">
        <x:v>1065</x:v>
      </x:c>
      <x:c r="I156" s="1" t="s">
        <x:v>1064</x:v>
      </x:c>
      <x:c r="J156" s="1">
        <x:v>19.0</x:v>
      </x:c>
      <x:c r="K156" s="1">
        <x:v>155.0</x:v>
      </x:c>
      <x:c r="L156" s="1" t="str">
        <x:f t="shared" si="1"/>
        <x:v>Cam Ward</x:v>
      </x:c>
      <x:c r="M156" s="127" t="n">
        <x:f>IFERROR(VLOOKUP(E156,RISK!A:B,2,FALSE()),"")</x:f>
        <x:v>3.2</x:v>
      </x:c>
      <x:c r="N156" s="118">
        <x:f t="shared" si="2"/>
        <x:v>196.2074353</x:v>
      </x:c>
      <x:c r="Q156" s="9" t="s">
        <x:v>159</x:v>
      </x:c>
      <x:c r="R156" s="118" t="n">
        <x:f>Aggregate!BQ10</x:f>
        <x:v>178.6957523</x:v>
      </x:c>
      <x:c r="S156" s="9"/>
      <x:c r="T156" s="9"/>
    </x:row>
    <x:row r="157" ht="14.25" customHeight="1">
      <x:c r="A157" s="1">
        <x:v>154.0</x:v>
      </x:c>
      <x:c r="B157" s="1">
        <x:v>7.0</x:v>
      </x:c>
      <x:c r="C157" s="1" t="s">
        <x:v>942</x:v>
      </x:c>
      <x:c r="D157" s="1" t="s">
        <x:v>535</x:v>
      </x:c>
      <x:c r="E157" s="1" t="s">
        <x:v>208</x:v>
      </x:c>
      <x:c r="F157" s="1">
        <x:v>8.0</x:v>
      </x:c>
      <x:c r="G157" s="1" t="s">
        <x:v>1065</x:v>
      </x:c>
      <x:c r="H157" s="1" t="s">
        <x:v>1062</x:v>
      </x:c>
      <x:c r="I157" s="1" t="s">
        <x:v>1061</x:v>
      </x:c>
      <x:c r="J157" s="1">
        <x:v>28.0</x:v>
      </x:c>
      <x:c r="K157" s="1">
        <x:v>156.0</x:v>
      </x:c>
      <x:c r="L157" s="1" t="str">
        <x:f t="shared" si="1"/>
        <x:v>Dalton Schultz</x:v>
      </x:c>
      <x:c r="M157" s="127" t="n">
        <x:f>IFERROR(VLOOKUP(E157,RISK!A:B,2,FALSE()),"")</x:f>
        <x:v>2.705</x:v>
      </x:c>
      <x:c r="N157" s="118">
        <x:f t="shared" si="2"/>
        <x:v>87.62876353</x:v>
      </x:c>
      <x:c r="Q157" s="9" t="s">
        <x:v>163</x:v>
      </x:c>
      <x:c r="R157" s="118" t="n">
        <x:f>Aggregate!BQ11</x:f>
        <x:v>173.5409686</x:v>
      </x:c>
      <x:c r="S157" s="9"/>
      <x:c r="T157" s="9"/>
    </x:row>
    <x:row r="158" ht="14.25" customHeight="1">
      <x:c r="A158" s="1">
        <x:v>155.0</x:v>
      </x:c>
      <x:c r="B158" s="1">
        <x:v>7.0</x:v>
      </x:c>
      <x:c r="C158" s="1" t="s">
        <x:v>526</x:v>
      </x:c>
      <x:c r="D158" s="1" t="s">
        <x:v>527</x:v>
      </x:c>
      <x:c r="E158" s="1" t="s">
        <x:v>225</x:v>
      </x:c>
      <x:c r="F158" s="1">
        <x:v>13.0</x:v>
      </x:c>
      <x:c r="G158" s="1" t="s">
        <x:v>1065</x:v>
      </x:c>
      <x:c r="H158" s="1" t="s">
        <x:v>1065</x:v>
      </x:c>
      <x:c r="I158" s="1" t="s">
        <x:v>1061</x:v>
      </x:c>
      <x:c r="J158" s="1">
        <x:v>20.0</x:v>
      </x:c>
      <x:c r="K158" s="1">
        <x:v>157.0</x:v>
      </x:c>
      <x:c r="L158" s="1" t="str">
        <x:f t="shared" si="1"/>
        <x:v>Daniel Jones</x:v>
      </x:c>
      <x:c r="M158" s="127" t="n">
        <x:f>IFERROR(VLOOKUP(E158,RISK!A:B,2,FALSE()),"")</x:f>
        <x:v>3.2</x:v>
      </x:c>
      <x:c r="N158" s="118">
        <x:f t="shared" si="2"/>
        <x:v>192.5360941</x:v>
      </x:c>
      <x:c r="Q158" s="9" t="s">
        <x:v>167</x:v>
      </x:c>
      <x:c r="R158" s="118" t="n">
        <x:f>Aggregate!BQ12</x:f>
        <x:v>172.2002868</x:v>
      </x:c>
      <x:c r="S158" s="9"/>
      <x:c r="T158" s="9"/>
    </x:row>
    <x:row r="159" ht="14.25" customHeight="1">
      <x:c r="A159" s="1">
        <x:v>156.0</x:v>
      </x:c>
      <x:c r="B159" s="1">
        <x:v>7.0</x:v>
      </x:c>
      <x:c r="C159" s="1" t="s">
        <x:v>660</x:v>
      </x:c>
      <x:c r="D159" s="1" t="s">
        <x:v>551</x:v>
      </x:c>
      <x:c r="E159" s="1" t="s">
        <x:v>336</x:v>
      </x:c>
      <x:c r="F159" s="1">
        <x:v>11.0</x:v>
      </x:c>
      <x:c r="G159" s="1" t="s">
        <x:v>1062</x:v>
      </x:c>
      <x:c r="H159" s="1" t="s">
        <x:v>1065</x:v>
      </x:c>
      <x:c r="I159" s="1" t="s">
        <x:v>1060</x:v>
      </x:c>
      <x:c r="J159" s="1">
        <x:v>-14.0</x:v>
      </x:c>
      <x:c r="K159" s="1">
        <x:v>158.0</x:v>
      </x:c>
      <x:c r="L159" s="1" t="str">
        <x:f t="shared" si="1"/>
        <x:v>Brian Robinson Jr.</x:v>
      </x:c>
      <x:c r="M159" s="127" t="n">
        <x:f>IFERROR(VLOOKUP(E159,RISK!A:B,2,FALSE()),"")</x:f>
        <x:v>3.368</x:v>
      </x:c>
      <x:c r="N159" s="118">
        <x:f t="shared" si="2"/>
        <x:v>67.33599059</x:v>
      </x:c>
      <x:c r="Q159" s="9" t="s">
        <x:v>171</x:v>
      </x:c>
      <x:c r="R159" s="118" t="n">
        <x:f>Aggregate!BQ13</x:f>
        <x:v>170.3823882</x:v>
      </x:c>
      <x:c r="S159" s="9"/>
      <x:c r="T159" s="9"/>
    </x:row>
    <x:row r="160" ht="14.25" customHeight="1">
      <x:c r="A160" s="1">
        <x:v>157.0</x:v>
      </x:c>
      <x:c r="B160" s="1">
        <x:v>7.0</x:v>
      </x:c>
      <x:c r="C160" s="1" t="s">
        <x:v>802</x:v>
      </x:c>
      <x:c r="D160" s="1" t="s">
        <x:v>539</x:v>
      </x:c>
      <x:c r="E160" s="1" t="s">
        <x:v>349</x:v>
      </x:c>
      <x:c r="F160" s="1">
        <x:v>13.0</x:v>
      </x:c>
      <x:c r="G160" s="1" t="s">
        <x:v>1065</x:v>
      </x:c>
      <x:c r="H160" s="1" t="s">
        <x:v>1065</x:v>
      </x:c>
      <x:c r="I160" s="1" t="s">
        <x:v>1061</x:v>
      </x:c>
      <x:c r="J160" s="1">
        <x:v>76.0</x:v>
      </x:c>
      <x:c r="K160" s="1">
        <x:v>159.0</x:v>
      </x:c>
      <x:c r="L160" s="1" t="str">
        <x:f t="shared" si="1"/>
        <x:v>Adonai Mitchell</x:v>
      </x:c>
      <x:c r="M160" s="127" t="n">
        <x:f>IFERROR(VLOOKUP(E160,RISK!A:B,2,FALSE()),"")</x:f>
        <x:v>3.7</x:v>
      </x:c>
      <x:c r="N160" s="118">
        <x:f t="shared" si="2"/>
        <x:v>92.28617647</x:v>
      </x:c>
      <x:c r="Q160" s="9" t="s">
        <x:v>175</x:v>
      </x:c>
      <x:c r="R160" s="118" t="n">
        <x:f>Aggregate!BQ14</x:f>
        <x:v>168.5221092</x:v>
      </x:c>
      <x:c r="S160" s="9"/>
      <x:c r="T160" s="9"/>
    </x:row>
    <x:row r="161" ht="14.25" customHeight="1">
      <x:c r="A161" s="1">
        <x:v>158.0</x:v>
      </x:c>
      <x:c r="B161" s="1">
        <x:v>7.0</x:v>
      </x:c>
      <x:c r="C161" s="1" t="s">
        <x:v>655</x:v>
      </x:c>
      <x:c r="D161" s="1" t="s">
        <x:v>539</x:v>
      </x:c>
      <x:c r="E161" s="1" t="s">
        <x:v>339</x:v>
      </x:c>
      <x:c r="F161" s="1">
        <x:v>13.0</x:v>
      </x:c>
      <x:c r="G161" s="1" t="s">
        <x:v>1062</x:v>
      </x:c>
      <x:c r="H161" s="1" t="s">
        <x:v>1065</x:v>
      </x:c>
      <x:c r="I161" s="1" t="s">
        <x:v>1064</x:v>
      </x:c>
      <x:c r="J161" s="1">
        <x:v>48.0</x:v>
      </x:c>
      <x:c r="K161" s="1">
        <x:v>160.0</x:v>
      </x:c>
      <x:c r="L161" s="1" t="str">
        <x:f t="shared" si="1"/>
        <x:v>Braelon Allen</x:v>
      </x:c>
      <x:c r="M161" s="127" t="n">
        <x:f>IFERROR(VLOOKUP(E161,RISK!A:B,2,FALSE()),"")</x:f>
        <x:v>3.368</x:v>
      </x:c>
      <x:c r="N161" s="118">
        <x:f t="shared" si="2"/>
        <x:v>67.15022588</x:v>
      </x:c>
      <x:c r="Q161" s="9" t="s">
        <x:v>179</x:v>
      </x:c>
      <x:c r="R161" s="118" t="n">
        <x:f>Aggregate!BQ15</x:f>
        <x:v>159.8311026</x:v>
      </x:c>
      <x:c r="S161" s="9"/>
      <x:c r="T161" s="9"/>
    </x:row>
    <x:row r="162" ht="14.25" customHeight="1">
      <x:c r="A162" s="1">
        <x:v>159.0</x:v>
      </x:c>
      <x:c r="B162" s="1">
        <x:v>7.0</x:v>
      </x:c>
      <x:c r="C162" s="1" t="s">
        <x:v>787</x:v>
      </x:c>
      <x:c r="D162" s="1" t="s">
        <x:v>549</x:v>
      </x:c>
      <x:c r="E162" s="1" t="s">
        <x:v>352</x:v>
      </x:c>
      <x:c r="F162" s="1">
        <x:v>11.0</x:v>
      </x:c>
      <x:c r="G162" s="1" t="s">
        <x:v>1065</x:v>
      </x:c>
      <x:c r="H162" s="1" t="s">
        <x:v>1065</x:v>
      </x:c>
      <x:c r="I162" s="1" t="s">
        <x:v>1064</x:v>
      </x:c>
      <x:c r="J162" s="1">
        <x:v>9.0</x:v>
      </x:c>
      <x:c r="K162" s="1">
        <x:v>161.0</x:v>
      </x:c>
      <x:c r="L162" s="1" t="str">
        <x:f t="shared" si="1"/>
        <x:v>Denzel Boston</x:v>
      </x:c>
      <x:c r="M162" s="127" t="n">
        <x:f>IFERROR(VLOOKUP(E162,RISK!A:B,2,FALSE()),"")</x:f>
        <x:v>3.7</x:v>
      </x:c>
      <x:c r="N162" s="118">
        <x:f t="shared" si="2"/>
        <x:v>90.26029412</x:v>
      </x:c>
      <x:c r="Q162" s="9" t="s">
        <x:v>183</x:v>
      </x:c>
      <x:c r="R162" s="118" t="n">
        <x:f>Aggregate!BQ16</x:f>
        <x:v>158.4922991</x:v>
      </x:c>
      <x:c r="S162" s="9"/>
      <x:c r="T162" s="9"/>
    </x:row>
    <x:row r="163" ht="14.25" customHeight="1">
      <x:c r="A163" s="1">
        <x:v>160.0</x:v>
      </x:c>
      <x:c r="B163" s="1">
        <x:v>7.0</x:v>
      </x:c>
      <x:c r="C163" s="1" t="s">
        <x:v>673</x:v>
      </x:c>
      <x:c r="D163" s="1" t="s">
        <x:v>531</x:v>
      </x:c>
      <x:c r="E163" s="1" t="s">
        <x:v>342</x:v>
      </x:c>
      <x:c r="F163" s="1">
        <x:v>11.0</x:v>
      </x:c>
      <x:c r="G163" s="1" t="s">
        <x:v>1065</x:v>
      </x:c>
      <x:c r="H163" s="1" t="s">
        <x:v>1065</x:v>
      </x:c>
      <x:c r="I163" s="1" t="s">
        <x:v>1061</x:v>
      </x:c>
      <x:c r="J163" s="1">
        <x:v>9.0</x:v>
      </x:c>
      <x:c r="K163" s="1">
        <x:v>162.0</x:v>
      </x:c>
      <x:c r="L163" s="1" t="str">
        <x:f t="shared" si="1"/>
        <x:v>MarShawn Lloyd</x:v>
      </x:c>
      <x:c r="M163" s="127" t="n">
        <x:f>IFERROR(VLOOKUP(E163,RISK!A:B,2,FALSE()),"")</x:f>
        <x:v>3.368</x:v>
      </x:c>
      <x:c r="N163" s="118">
        <x:f t="shared" si="2"/>
        <x:v>66.67466824</x:v>
      </x:c>
      <x:c r="Q163" s="9" t="s">
        <x:v>187</x:v>
      </x:c>
      <x:c r="R163" s="118" t="n">
        <x:f>Aggregate!BQ17</x:f>
        <x:v>152.6159435</x:v>
      </x:c>
      <x:c r="S163" s="9"/>
      <x:c r="T163" s="9"/>
    </x:row>
    <x:row r="164" ht="14.25" customHeight="1">
      <x:c r="A164" s="1">
        <x:v>161.0</x:v>
      </x:c>
      <x:c r="B164" s="1">
        <x:v>7.0</x:v>
      </x:c>
      <x:c r="C164" s="1" t="s">
        <x:v>793</x:v>
      </x:c>
      <x:c r="D164" s="1" t="s">
        <x:v>547</x:v>
      </x:c>
      <x:c r="E164" s="1" t="s">
        <x:v>355</x:v>
      </x:c>
      <x:c r="F164" s="1">
        <x:v>13.0</x:v>
      </x:c>
      <x:c r="G164" s="1" t="s">
        <x:v>1065</x:v>
      </x:c>
      <x:c r="H164" s="1" t="s">
        <x:v>1062</x:v>
      </x:c>
      <x:c r="I164" s="1" t="s">
        <x:v>1060</x:v>
      </x:c>
      <x:c r="J164" s="1">
        <x:v>58.0</x:v>
      </x:c>
      <x:c r="K164" s="1">
        <x:v>163.0</x:v>
      </x:c>
      <x:c r="L164" s="1" t="str">
        <x:f t="shared" si="1"/>
        <x:v>Tre Tucker</x:v>
      </x:c>
      <x:c r="M164" s="127" t="n">
        <x:f>IFERROR(VLOOKUP(E164,RISK!A:B,2,FALSE()),"")</x:f>
        <x:v>3.7</x:v>
      </x:c>
      <x:c r="N164" s="118">
        <x:f t="shared" si="2"/>
        <x:v>87.55429412</x:v>
      </x:c>
      <x:c r="Q164" s="9" t="s">
        <x:v>191</x:v>
      </x:c>
      <x:c r="R164" s="118" t="n">
        <x:f>Aggregate!BQ18</x:f>
        <x:v>150.9831379</x:v>
      </x:c>
      <x:c r="S164" s="9"/>
      <x:c r="T164" s="9"/>
    </x:row>
    <x:row r="165" ht="14.25" customHeight="1">
      <x:c r="A165" s="1">
        <x:v>162.0</x:v>
      </x:c>
      <x:c r="B165" s="1">
        <x:v>7.0</x:v>
      </x:c>
      <x:c r="C165" s="1" t="s">
        <x:v>792</x:v>
      </x:c>
      <x:c r="D165" s="1" t="s">
        <x:v>549</x:v>
      </x:c>
      <x:c r="E165" s="1" t="s">
        <x:v>358</x:v>
      </x:c>
      <x:c r="F165" s="1">
        <x:v>11.0</x:v>
      </x:c>
      <x:c r="G165" s="1" t="s">
        <x:v>1062</x:v>
      </x:c>
      <x:c r="H165" s="1" t="s">
        <x:v>1065</x:v>
      </x:c>
      <x:c r="I165" s="1" t="s">
        <x:v>1064</x:v>
      </x:c>
      <x:c r="J165" s="1">
        <x:v>55.0</x:v>
      </x:c>
      <x:c r="K165" s="1">
        <x:v>164.0</x:v>
      </x:c>
      <x:c r="L165" s="1" t="str">
        <x:f t="shared" si="1"/>
        <x:v>Jerry Jeudy</x:v>
      </x:c>
      <x:c r="M165" s="127" t="n">
        <x:f>IFERROR(VLOOKUP(E165,RISK!A:B,2,FALSE()),"")</x:f>
        <x:v>3.7</x:v>
      </x:c>
      <x:c r="N165" s="118">
        <x:f t="shared" si="2"/>
        <x:v>87.43129412</x:v>
      </x:c>
      <x:c r="Q165" s="9" t="s">
        <x:v>195</x:v>
      </x:c>
      <x:c r="R165" s="118" t="n">
        <x:f>Aggregate!BQ19</x:f>
        <x:v>150.5639359</x:v>
      </x:c>
      <x:c r="S165" s="9"/>
      <x:c r="T165" s="9"/>
    </x:row>
    <x:row r="166" ht="14.25" customHeight="1">
      <x:c r="A166" s="1">
        <x:v>163.0</x:v>
      </x:c>
      <x:c r="B166" s="1">
        <x:v>7.0</x:v>
      </x:c>
      <x:c r="C166" s="1" t="s">
        <x:v>796</x:v>
      </x:c>
      <x:c r="D166" s="1" t="s">
        <x:v>525</x:v>
      </x:c>
      <x:c r="E166" s="1" t="s">
        <x:v>361</x:v>
      </x:c>
      <x:c r="F166" s="1">
        <x:v>6.0</x:v>
      </x:c>
      <x:c r="G166" s="1" t="s">
        <x:v>1062</x:v>
      </x:c>
      <x:c r="H166" s="1" t="s">
        <x:v>1065</x:v>
      </x:c>
      <x:c r="I166" s="1" t="s">
        <x:v>1059</x:v>
      </x:c>
      <x:c r="J166" s="1">
        <x:v>13.0</x:v>
      </x:c>
      <x:c r="K166" s="1">
        <x:v>165.0</x:v>
      </x:c>
      <x:c r="L166" s="1" t="str">
        <x:f t="shared" si="1"/>
        <x:v>Jauan Jennings</x:v>
      </x:c>
      <x:c r="M166" s="127" t="n">
        <x:f>IFERROR(VLOOKUP(E166,RISK!A:B,2,FALSE()),"")</x:f>
        <x:v>3.7</x:v>
      </x:c>
      <x:c r="N166" s="118">
        <x:f t="shared" si="2"/>
        <x:v>87.25417412</x:v>
      </x:c>
      <x:c r="Q166" s="9" t="s">
        <x:v>199</x:v>
      </x:c>
      <x:c r="R166" s="118" t="n">
        <x:f>Aggregate!BQ20</x:f>
        <x:v>146.4769868</x:v>
      </x:c>
      <x:c r="S166" s="9"/>
      <x:c r="T166" s="9"/>
    </x:row>
    <x:row r="167" ht="14.25" customHeight="1">
      <x:c r="A167" s="1">
        <x:v>164.0</x:v>
      </x:c>
      <x:c r="B167" s="1">
        <x:v>7.0</x:v>
      </x:c>
      <x:c r="C167" s="1" t="s">
        <x:v>797</x:v>
      </x:c>
      <x:c r="D167" s="1" t="s">
        <x:v>523</x:v>
      </x:c>
      <x:c r="E167" s="1" t="s">
        <x:v>364</x:v>
      </x:c>
      <x:c r="F167" s="1">
        <x:v>10.0</x:v>
      </x:c>
      <x:c r="G167" s="1" t="s">
        <x:v>1065</x:v>
      </x:c>
      <x:c r="H167" s="1" t="s">
        <x:v>1066</x:v>
      </x:c>
      <x:c r="I167" s="1" t="s">
        <x:v>1061</x:v>
      </x:c>
      <x:c r="J167" s="1">
        <x:v>19.0</x:v>
      </x:c>
      <x:c r="K167" s="1">
        <x:v>166.0</x:v>
      </x:c>
      <x:c r="L167" s="1" t="str">
        <x:f t="shared" si="1"/>
        <x:v>Jalen McMillan</x:v>
      </x:c>
      <x:c r="M167" s="127" t="n">
        <x:f>IFERROR(VLOOKUP(E167,RISK!A:B,2,FALSE()),"")</x:f>
        <x:v>3.7</x:v>
      </x:c>
      <x:c r="N167" s="118">
        <x:f t="shared" si="2"/>
        <x:v>86.17582588</x:v>
      </x:c>
      <x:c r="Q167" s="9" t="s">
        <x:v>203</x:v>
      </x:c>
      <x:c r="R167" s="118" t="n">
        <x:f>Aggregate!BQ21</x:f>
        <x:v>145.8790129</x:v>
      </x:c>
      <x:c r="S167" s="9"/>
      <x:c r="T167" s="9"/>
    </x:row>
    <x:row r="168" ht="14.25" customHeight="1">
      <x:c r="A168" s="1">
        <x:v>165.0</x:v>
      </x:c>
      <x:c r="B168" s="1">
        <x:v>7.0</x:v>
      </x:c>
      <x:c r="C168" s="1" t="s">
        <x:v>652</x:v>
      </x:c>
      <x:c r="D168" s="1" t="s">
        <x:v>547</x:v>
      </x:c>
      <x:c r="E168" s="1" t="s">
        <x:v>345</x:v>
      </x:c>
      <x:c r="F168" s="1">
        <x:v>13.0</x:v>
      </x:c>
      <x:c r="G168" s="1" t="s">
        <x:v>1066</x:v>
      </x:c>
      <x:c r="H168" s="1" t="s">
        <x:v>1065</x:v>
      </x:c>
      <x:c r="I168" s="1" t="s">
        <x:v>1060</x:v>
      </x:c>
      <x:c r="J168" s="1">
        <x:v>-32.0</x:v>
      </x:c>
      <x:c r="K168" s="1">
        <x:v>167.0</x:v>
      </x:c>
      <x:c r="L168" s="1" t="str">
        <x:f t="shared" si="1"/>
        <x:v>Mike Washington Jr.</x:v>
      </x:c>
      <x:c r="M168" s="127" t="n">
        <x:f>IFERROR(VLOOKUP(E168,RISK!A:B,2,FALSE()),"")</x:f>
        <x:v>3.368</x:v>
      </x:c>
      <x:c r="N168" s="118">
        <x:f t="shared" si="2"/>
        <x:v>66.41814947</x:v>
      </x:c>
      <x:c r="Q168" s="9" t="s">
        <x:v>207</x:v>
      </x:c>
      <x:c r="R168" s="118" t="n">
        <x:f>Aggregate!BQ22</x:f>
        <x:v>142.1865196</x:v>
      </x:c>
      <x:c r="S168" s="9"/>
      <x:c r="T168" s="9"/>
    </x:row>
    <x:row r="169" ht="14.25" customHeight="1">
      <x:c r="A169" s="1">
        <x:v>166.0</x:v>
      </x:c>
      <x:c r="B169" s="1">
        <x:v>8.0</x:v>
      </x:c>
      <x:c r="C169" s="1" t="s">
        <x:v>683</x:v>
      </x:c>
      <x:c r="D169" s="1" t="s">
        <x:v>487</x:v>
      </x:c>
      <x:c r="E169" s="1" t="s">
        <x:v>348</x:v>
      </x:c>
      <x:c r="F169" s="1">
        <x:v>7.0</x:v>
      </x:c>
      <x:c r="G169" s="1" t="s">
        <x:v>1065</x:v>
      </x:c>
      <x:c r="H169" s="1" t="s">
        <x:v>1065</x:v>
      </x:c>
      <x:c r="I169" s="1" t="s">
        <x:v>1060</x:v>
      </x:c>
      <x:c r="J169" s="1">
        <x:v>64.0</x:v>
      </x:c>
      <x:c r="K169" s="1">
        <x:v>168.0</x:v>
      </x:c>
      <x:c r="L169" s="1" t="str">
        <x:f t="shared" si="1"/>
        <x:v>Ray Davis</x:v>
      </x:c>
      <x:c r="M169" s="127" t="n">
        <x:f>IFERROR(VLOOKUP(E169,RISK!A:B,2,FALSE()),"")</x:f>
        <x:v>3.368</x:v>
      </x:c>
      <x:c r="N169" s="118">
        <x:f t="shared" si="2"/>
        <x:v>65.01764706</x:v>
      </x:c>
      <x:c r="Q169" s="9" t="s">
        <x:v>211</x:v>
      </x:c>
      <x:c r="R169" s="118" t="n">
        <x:f>Aggregate!BQ23</x:f>
        <x:v>138.9693512</x:v>
      </x:c>
      <x:c r="S169" s="9"/>
      <x:c r="T169" s="9"/>
    </x:row>
    <x:row r="170" ht="14.25" customHeight="1">
      <x:c r="A170" s="1">
        <x:v>167.0</x:v>
      </x:c>
      <x:c r="B170" s="1">
        <x:v>8.0</x:v>
      </x:c>
      <x:c r="C170" s="1" t="s">
        <x:v>949</x:v>
      </x:c>
      <x:c r="D170" s="1" t="s">
        <x:v>533</x:v>
      </x:c>
      <x:c r="E170" s="1" t="s">
        <x:v>212</x:v>
      </x:c>
      <x:c r="F170" s="1">
        <x:v>11.0</x:v>
      </x:c>
      <x:c r="G170" s="1" t="s">
        <x:v>1065</x:v>
      </x:c>
      <x:c r="H170" s="1" t="s">
        <x:v>1062</x:v>
      </x:c>
      <x:c r="I170" s="1" t="s">
        <x:v>1064</x:v>
      </x:c>
      <x:c r="J170" s="1">
        <x:v>21.0</x:v>
      </x:c>
      <x:c r="K170" s="1">
        <x:v>169.0</x:v>
      </x:c>
      <x:c r="L170" s="1" t="str">
        <x:f t="shared" si="1"/>
        <x:v>AJ Barner</x:v>
      </x:c>
      <x:c r="M170" s="127" t="n">
        <x:f>IFERROR(VLOOKUP(E170,RISK!A:B,2,FALSE()),"")</x:f>
        <x:v>2.663500000000001</x:v>
      </x:c>
      <x:c r="N170" s="118">
        <x:f t="shared" si="2"/>
        <x:v>86.16693059</x:v>
      </x:c>
      <x:c r="Q170" s="9" t="s">
        <x:v>215</x:v>
      </x:c>
      <x:c r="R170" s="118" t="n">
        <x:f>Aggregate!BQ24</x:f>
        <x:v>138.9578029</x:v>
      </x:c>
      <x:c r="S170" s="9"/>
      <x:c r="T170" s="9"/>
    </x:row>
    <x:row r="171" ht="14.25" customHeight="1">
      <x:c r="A171" s="1">
        <x:v>168.0</x:v>
      </x:c>
      <x:c r="B171" s="1">
        <x:v>8.0</x:v>
      </x:c>
      <x:c r="C171" s="1" t="s">
        <x:v>822</x:v>
      </x:c>
      <x:c r="D171" s="1" t="s">
        <x:v>513</x:v>
      </x:c>
      <x:c r="E171" s="1" t="s">
        <x:v>367</x:v>
      </x:c>
      <x:c r="F171" s="1">
        <x:v>7.0</x:v>
      </x:c>
      <x:c r="G171" s="1" t="s">
        <x:v>1065</x:v>
      </x:c>
      <x:c r="H171" s="1" t="s">
        <x:v>1062</x:v>
      </x:c>
      <x:c r="I171" s="1" t="s">
        <x:v>1060</x:v>
      </x:c>
      <x:c r="J171" s="1">
        <x:v>55.0</x:v>
      </x:c>
      <x:c r="K171" s="1">
        <x:v>170.0</x:v>
      </x:c>
      <x:c r="L171" s="1" t="str">
        <x:f t="shared" si="1"/>
        <x:v>Tre' Harris</x:v>
      </x:c>
      <x:c r="M171" s="127" t="n">
        <x:f>IFERROR(VLOOKUP(E171,RISK!A:B,2,FALSE()),"")</x:f>
        <x:v>3.7</x:v>
      </x:c>
      <x:c r="N171" s="118">
        <x:f t="shared" si="2"/>
        <x:v>85.96744941</x:v>
      </x:c>
      <x:c r="Q171" s="9" t="s">
        <x:v>219</x:v>
      </x:c>
      <x:c r="R171" s="118" t="n">
        <x:f>Aggregate!BQ25</x:f>
        <x:v>133.6251784</x:v>
      </x:c>
      <x:c r="S171" s="9"/>
      <x:c r="T171" s="9"/>
    </x:row>
    <x:row r="172" ht="14.25" customHeight="1">
      <x:c r="A172" s="1">
        <x:v>169.0</x:v>
      </x:c>
      <x:c r="B172" s="1">
        <x:v>8.0</x:v>
      </x:c>
      <x:c r="C172" s="1" t="s">
        <x:v>808</x:v>
      </x:c>
      <x:c r="D172" s="1" t="s">
        <x:v>497</x:v>
      </x:c>
      <x:c r="E172" s="1" t="s">
        <x:v>370</x:v>
      </x:c>
      <x:c r="F172" s="1">
        <x:v>10.0</x:v>
      </x:c>
      <x:c r="G172" s="1" t="s">
        <x:v>1065</x:v>
      </x:c>
      <x:c r="H172" s="1" t="s">
        <x:v>1065</x:v>
      </x:c>
      <x:c r="I172" s="1" t="s">
        <x:v>1061</x:v>
      </x:c>
      <x:c r="J172" s="1">
        <x:v>53.0</x:v>
      </x:c>
      <x:c r="K172" s="1">
        <x:v>171.0</x:v>
      </x:c>
      <x:c r="L172" s="1" t="str">
        <x:f t="shared" si="1"/>
        <x:v>Dontayvion Wicks</x:v>
      </x:c>
      <x:c r="M172" s="127" t="n">
        <x:f>IFERROR(VLOOKUP(E172,RISK!A:B,2,FALSE()),"")</x:f>
        <x:v>3.7</x:v>
      </x:c>
      <x:c r="N172" s="118">
        <x:f t="shared" si="2"/>
        <x:v>85.91188235</x:v>
      </x:c>
      <x:c r="Q172" s="9" t="s">
        <x:v>223</x:v>
      </x:c>
      <x:c r="R172" s="118" t="n">
        <x:f>Aggregate!BQ26</x:f>
        <x:v>133.5457011</x:v>
      </x:c>
      <x:c r="S172" s="9"/>
      <x:c r="T172" s="9"/>
    </x:row>
    <x:row r="173" ht="14.25" customHeight="1">
      <x:c r="A173" s="1">
        <x:v>170.0</x:v>
      </x:c>
      <x:c r="B173" s="1">
        <x:v>8.0</x:v>
      </x:c>
      <x:c r="C173" s="1" t="s">
        <x:v>536</x:v>
      </x:c>
      <x:c r="D173" s="1" t="s">
        <x:v>537</x:v>
      </x:c>
      <x:c r="E173" s="1" t="s">
        <x:v>229</x:v>
      </x:c>
      <x:c r="F173" s="1">
        <x:v>5.0</x:v>
      </x:c>
      <x:c r="G173" s="1" t="s">
        <x:v>1062</x:v>
      </x:c>
      <x:c r="H173" s="1" t="s">
        <x:v>1065</x:v>
      </x:c>
      <x:c r="I173" s="1" t="s">
        <x:v>1060</x:v>
      </x:c>
      <x:c r="J173" s="1">
        <x:v>4.0</x:v>
      </x:c>
      <x:c r="K173" s="1">
        <x:v>172.0</x:v>
      </x:c>
      <x:c r="L173" s="1" t="str">
        <x:f t="shared" si="1"/>
        <x:v>Bryce Young</x:v>
      </x:c>
      <x:c r="M173" s="127" t="n">
        <x:f>IFERROR(VLOOKUP(E173,RISK!A:B,2,FALSE()),"")</x:f>
        <x:v>3.2</x:v>
      </x:c>
      <x:c r="N173" s="118">
        <x:f t="shared" si="2"/>
        <x:v>176.6746353</x:v>
      </x:c>
      <x:c r="Q173" s="9" t="s">
        <x:v>227</x:v>
      </x:c>
      <x:c r="R173" s="118" t="n">
        <x:f>Aggregate!BQ27</x:f>
        <x:v>130.0161776</x:v>
      </x:c>
      <x:c r="S173" s="9"/>
      <x:c r="T173" s="9"/>
    </x:row>
    <x:row r="174" ht="14.25" customHeight="1">
      <x:c r="A174" s="1">
        <x:v>171.0</x:v>
      </x:c>
      <x:c r="B174" s="1">
        <x:v>8.0</x:v>
      </x:c>
      <x:c r="C174" s="1" t="s">
        <x:v>943</x:v>
      </x:c>
      <x:c r="D174" s="1" t="s">
        <x:v>525</x:v>
      </x:c>
      <x:c r="E174" s="1" t="s">
        <x:v>216</x:v>
      </x:c>
      <x:c r="F174" s="1">
        <x:v>6.0</x:v>
      </x:c>
      <x:c r="G174" s="1" t="s">
        <x:v>1066</x:v>
      </x:c>
      <x:c r="H174" s="1" t="s">
        <x:v>1065</x:v>
      </x:c>
      <x:c r="I174" s="1" t="s">
        <x:v>1061</x:v>
      </x:c>
      <x:c r="J174" s="1">
        <x:v>0.0</x:v>
      </x:c>
      <x:c r="K174" s="1">
        <x:v>173.0</x:v>
      </x:c>
      <x:c r="L174" s="1" t="str">
        <x:f t="shared" si="1"/>
        <x:v>T.J. Hockenson</x:v>
      </x:c>
      <x:c r="M174" s="127" t="n">
        <x:f>IFERROR(VLOOKUP(E174,RISK!A:B,2,FALSE()),"")</x:f>
        <x:v>2.6156000000000006</x:v>
      </x:c>
      <x:c r="N174" s="118">
        <x:f t="shared" si="2"/>
        <x:v>85.66016</x:v>
      </x:c>
      <x:c r="Q174" s="9" t="s">
        <x:v>231</x:v>
      </x:c>
      <x:c r="R174" s="118" t="n">
        <x:f>Aggregate!BQ28</x:f>
        <x:v>129.4347336</x:v>
      </x:c>
      <x:c r="S174" s="9"/>
      <x:c r="T174" s="9"/>
    </x:row>
    <x:row r="175" ht="14.25" customHeight="1">
      <x:c r="A175" s="1">
        <x:v>172.0</x:v>
      </x:c>
      <x:c r="B175" s="1">
        <x:v>8.0</x:v>
      </x:c>
      <x:c r="C175" s="1" t="s">
        <x:v>950</x:v>
      </x:c>
      <x:c r="D175" s="1" t="s">
        <x:v>517</x:v>
      </x:c>
      <x:c r="E175" s="1" t="s">
        <x:v>220</x:v>
      </x:c>
      <x:c r="F175" s="1">
        <x:v>11.0</x:v>
      </x:c>
      <x:c r="G175" s="1" t="s">
        <x:v>1065</x:v>
      </x:c>
      <x:c r="H175" s="1" t="s">
        <x:v>1065</x:v>
      </x:c>
      <x:c r="I175" s="1" t="s">
        <x:v>1061</x:v>
      </x:c>
      <x:c r="J175" s="1">
        <x:v>17.0</x:v>
      </x:c>
      <x:c r="K175" s="1">
        <x:v>174.0</x:v>
      </x:c>
      <x:c r="L175" s="1" t="str">
        <x:f t="shared" si="1"/>
        <x:v>Terrance Ferguson</x:v>
      </x:c>
      <x:c r="M175" s="127" t="n">
        <x:f>IFERROR(VLOOKUP(E175,RISK!A:B,2,FALSE()),"")</x:f>
        <x:v>2.561300000000001</x:v>
      </x:c>
      <x:c r="N175" s="118">
        <x:f t="shared" si="2"/>
        <x:v>81.96560088</x:v>
      </x:c>
      <x:c r="Q175" s="9" t="s">
        <x:v>235</x:v>
      </x:c>
      <x:c r="R175" s="118" t="n">
        <x:f>Aggregate!BQ29</x:f>
        <x:v>128.1583422</x:v>
      </x:c>
      <x:c r="S175" s="9"/>
      <x:c r="T175" s="9"/>
    </x:row>
    <x:row r="176" ht="14.25" customHeight="1">
      <x:c r="A176" s="1">
        <x:v>173.0</x:v>
      </x:c>
      <x:c r="B176" s="1">
        <x:v>8.0</x:v>
      </x:c>
      <x:c r="C176" s="1" t="s">
        <x:v>806</x:v>
      </x:c>
      <x:c r="D176" s="1" t="s">
        <x:v>535</x:v>
      </x:c>
      <x:c r="E176" s="1" t="s">
        <x:v>373</x:v>
      </x:c>
      <x:c r="F176" s="1">
        <x:v>8.0</x:v>
      </x:c>
      <x:c r="G176" s="1" t="s">
        <x:v>1066</x:v>
      </x:c>
      <x:c r="H176" s="1" t="s">
        <x:v>1065</x:v>
      </x:c>
      <x:c r="I176" s="1" t="s">
        <x:v>1064</x:v>
      </x:c>
      <x:c r="J176" s="1">
        <x:v>52.0</x:v>
      </x:c>
      <x:c r="K176" s="1">
        <x:v>175.0</x:v>
      </x:c>
      <x:c r="L176" s="1" t="str">
        <x:f t="shared" si="1"/>
        <x:v>Kayshon Boutte</x:v>
      </x:c>
      <x:c r="M176" s="127" t="n">
        <x:f>IFERROR(VLOOKUP(E176,RISK!A:B,2,FALSE()),"")</x:f>
        <x:v>3.7</x:v>
      </x:c>
      <x:c r="N176" s="118">
        <x:f t="shared" si="2"/>
        <x:v>85.02917647</x:v>
      </x:c>
      <x:c r="Q176" s="9" t="s">
        <x:v>239</x:v>
      </x:c>
      <x:c r="R176" s="118" t="n">
        <x:f>Aggregate!BQ30</x:f>
        <x:v>125.999874</x:v>
      </x:c>
      <x:c r="S176" s="9"/>
      <x:c r="T176" s="9"/>
    </x:row>
    <x:row r="177" ht="14.25" customHeight="1">
      <x:c r="A177" s="1">
        <x:v>174.0</x:v>
      </x:c>
      <x:c r="B177" s="1">
        <x:v>8.0</x:v>
      </x:c>
      <x:c r="C177" s="1" t="s">
        <x:v>685</x:v>
      </x:c>
      <x:c r="D177" s="1" t="s">
        <x:v>509</x:v>
      </x:c>
      <x:c r="E177" s="1" t="s">
        <x:v>351</x:v>
      </x:c>
      <x:c r="F177" s="1">
        <x:v>5.0</x:v>
      </x:c>
      <x:c r="G177" s="1" t="s">
        <x:v>1065</x:v>
      </x:c>
      <x:c r="H177" s="1" t="s">
        <x:v>1065</x:v>
      </x:c>
      <x:c r="I177" s="1" t="s">
        <x:v>1064</x:v>
      </x:c>
      <x:c r="J177" s="1">
        <x:v>47.0</x:v>
      </x:c>
      <x:c r="K177" s="1">
        <x:v>176.0</x:v>
      </x:c>
      <x:c r="L177" s="1" t="str">
        <x:f t="shared" si="1"/>
        <x:v>Emmett Johnson</x:v>
      </x:c>
      <x:c r="M177" s="127" t="n">
        <x:f>IFERROR(VLOOKUP(E177,RISK!A:B,2,FALSE()),"")</x:f>
        <x:v>3.368</x:v>
      </x:c>
      <x:c r="N177" s="118">
        <x:f t="shared" si="2"/>
        <x:v>62.25346824</x:v>
      </x:c>
      <x:c r="Q177" s="9" t="s">
        <x:v>243</x:v>
      </x:c>
      <x:c r="R177" s="118" t="n">
        <x:f>Aggregate!BQ31</x:f>
        <x:v>123.4306815</x:v>
      </x:c>
      <x:c r="S177" s="9"/>
      <x:c r="T177" s="9"/>
    </x:row>
    <x:row r="178" ht="14.25" customHeight="1">
      <x:c r="A178" s="1">
        <x:v>175.0</x:v>
      </x:c>
      <x:c r="B178" s="1">
        <x:v>8.0</x:v>
      </x:c>
      <x:c r="C178" s="1" t="s">
        <x:v>798</x:v>
      </x:c>
      <x:c r="D178" s="1" t="s">
        <x:v>547</x:v>
      </x:c>
      <x:c r="E178" s="1" t="s">
        <x:v>376</x:v>
      </x:c>
      <x:c r="F178" s="1">
        <x:v>13.0</x:v>
      </x:c>
      <x:c r="G178" s="1" t="s">
        <x:v>1067</x:v>
      </x:c>
      <x:c r="H178" s="1" t="s">
        <x:v>1067</x:v>
      </x:c>
      <x:c r="I178" s="1" t="s">
        <x:v>1060</x:v>
      </x:c>
      <x:c r="J178" s="1">
        <x:v>-13.0</x:v>
      </x:c>
      <x:c r="K178" s="1">
        <x:v>177.0</x:v>
      </x:c>
      <x:c r="L178" s="1" t="str">
        <x:f t="shared" si="1"/>
        <x:v>Jalen Nailor</x:v>
      </x:c>
      <x:c r="M178" s="127" t="n">
        <x:f>IFERROR(VLOOKUP(E178,RISK!A:B,2,FALSE()),"")</x:f>
        <x:v>3.7</x:v>
      </x:c>
      <x:c r="N178" s="118">
        <x:f t="shared" si="2"/>
        <x:v>83.10458824</x:v>
      </x:c>
      <x:c r="Q178" s="9" t="s">
        <x:v>247</x:v>
      </x:c>
      <x:c r="R178" s="118" t="n">
        <x:f>Aggregate!BQ32</x:f>
        <x:v>120.7004462</x:v>
      </x:c>
      <x:c r="S178" s="9"/>
      <x:c r="T178" s="9"/>
    </x:row>
    <x:row r="179" ht="14.25" customHeight="1">
      <x:c r="A179" s="1">
        <x:v>176.0</x:v>
      </x:c>
      <x:c r="B179" s="1">
        <x:v>8.0</x:v>
      </x:c>
      <x:c r="C179" s="1" t="s">
        <x:v>956</x:v>
      </x:c>
      <x:c r="D179" s="1" t="s">
        <x:v>513</x:v>
      </x:c>
      <x:c r="E179" s="1" t="s">
        <x:v>224</x:v>
      </x:c>
      <x:c r="F179" s="1">
        <x:v>7.0</x:v>
      </x:c>
      <x:c r="G179" s="1" t="s">
        <x:v>1066</x:v>
      </x:c>
      <x:c r="H179" s="1" t="s">
        <x:v>1065</x:v>
      </x:c>
      <x:c r="I179" s="1" t="s">
        <x:v>1061</x:v>
      </x:c>
      <x:c r="J179" s="1">
        <x:v>-10.0</x:v>
      </x:c>
      <x:c r="K179" s="1">
        <x:v>178.0</x:v>
      </x:c>
      <x:c r="L179" s="1" t="str">
        <x:f t="shared" si="1"/>
        <x:v>Oronde Gadsden II</x:v>
      </x:c>
      <x:c r="M179" s="127" t="n">
        <x:f>IFERROR(VLOOKUP(E179,RISK!A:B,2,FALSE()),"")</x:f>
        <x:v>2.5006000000000004</x:v>
      </x:c>
      <x:c r="N179" s="118">
        <x:f t="shared" si="2"/>
        <x:v>81.94815565</x:v>
      </x:c>
      <x:c r="Q179" s="9" t="s">
        <x:v>251</x:v>
      </x:c>
      <x:c r="R179" s="118" t="n">
        <x:f>Aggregate!BQ33</x:f>
        <x:v>119.3317059</x:v>
      </x:c>
      <x:c r="S179" s="9"/>
      <x:c r="T179" s="9"/>
    </x:row>
    <x:row r="180" ht="14.25" customHeight="1">
      <x:c r="A180" s="1">
        <x:v>177.0</x:v>
      </x:c>
      <x:c r="B180" s="1">
        <x:v>8.0</x:v>
      </x:c>
      <x:c r="C180" s="1" t="s">
        <x:v>835</x:v>
      </x:c>
      <x:c r="D180" s="1" t="s">
        <x:v>515</x:v>
      </x:c>
      <x:c r="E180" s="1" t="s">
        <x:v>379</x:v>
      </x:c>
      <x:c r="F180" s="1">
        <x:v>10.0</x:v>
      </x:c>
      <x:c r="G180" s="1" t="s">
        <x:v>1065</x:v>
      </x:c>
      <x:c r="H180" s="1" t="s">
        <x:v>1065</x:v>
      </x:c>
      <x:c r="I180" s="1" t="s">
        <x:v>1060</x:v>
      </x:c>
      <x:c r="J180" s="1">
        <x:v>63.0</x:v>
      </x:c>
      <x:c r="K180" s="1">
        <x:v>179.0</x:v>
      </x:c>
      <x:c r="L180" s="1" t="str">
        <x:f t="shared" si="1"/>
        <x:v>Pat Bryant</x:v>
      </x:c>
      <x:c r="M180" s="127" t="n">
        <x:f>IFERROR(VLOOKUP(E180,RISK!A:B,2,FALSE()),"")</x:f>
        <x:v>3.7</x:v>
      </x:c>
      <x:c r="N180" s="118">
        <x:f t="shared" si="2"/>
        <x:v>81.56549647</x:v>
      </x:c>
      <x:c r="Q180" s="9" t="s">
        <x:v>255</x:v>
      </x:c>
      <x:c r="R180" s="118" t="n">
        <x:f>Aggregate!BQ34</x:f>
        <x:v>118.4996471</x:v>
      </x:c>
      <x:c r="S180" s="9"/>
      <x:c r="T180" s="9"/>
    </x:row>
    <x:row r="181" ht="14.25" customHeight="1">
      <x:c r="A181" s="1">
        <x:v>178.0</x:v>
      </x:c>
      <x:c r="B181" s="1">
        <x:v>8.0</x:v>
      </x:c>
      <x:c r="C181" s="1" t="s">
        <x:v>824</x:v>
      </x:c>
      <x:c r="D181" s="1" t="s">
        <x:v>507</x:v>
      </x:c>
      <x:c r="E181" s="1" t="s">
        <x:v>382</x:v>
      </x:c>
      <x:c r="F181" s="1">
        <x:v>14.0</x:v>
      </x:c>
      <x:c r="G181" s="1" t="s">
        <x:v>1065</x:v>
      </x:c>
      <x:c r="H181" s="1" t="s">
        <x:v>1062</x:v>
      </x:c>
      <x:c r="I181" s="1" t="s">
        <x:v>1060</x:v>
      </x:c>
      <x:c r="J181" s="1">
        <x:v>76.0</x:v>
      </x:c>
      <x:c r="K181" s="1">
        <x:v>180.0</x:v>
      </x:c>
      <x:c r="L181" s="1" t="str">
        <x:f t="shared" si="1"/>
        <x:v>Ryan Flournoy</x:v>
      </x:c>
      <x:c r="M181" s="127" t="n">
        <x:f>IFERROR(VLOOKUP(E181,RISK!A:B,2,FALSE()),"")</x:f>
        <x:v>3.7</x:v>
      </x:c>
      <x:c r="N181" s="118">
        <x:f t="shared" si="2"/>
        <x:v>81.20170588</x:v>
      </x:c>
      <x:c r="Q181" s="9" t="s">
        <x:v>259</x:v>
      </x:c>
      <x:c r="R181" s="118" t="n">
        <x:f>Aggregate!BQ35</x:f>
        <x:v>118.08</x:v>
      </x:c>
      <x:c r="S181" s="9"/>
      <x:c r="T181" s="9"/>
    </x:row>
    <x:row r="182" ht="14.25" customHeight="1">
      <x:c r="A182" s="1">
        <x:v>179.0</x:v>
      </x:c>
      <x:c r="B182" s="1">
        <x:v>8.0</x:v>
      </x:c>
      <x:c r="C182" s="1" t="s">
        <x:v>818</x:v>
      </x:c>
      <x:c r="D182" s="1" t="s">
        <x:v>539</x:v>
      </x:c>
      <x:c r="E182" s="1" t="s">
        <x:v>385</x:v>
      </x:c>
      <x:c r="F182" s="1">
        <x:v>13.0</x:v>
      </x:c>
      <x:c r="G182" s="1" t="s">
        <x:v>1065</x:v>
      </x:c>
      <x:c r="H182" s="1" t="s">
        <x:v>1065</x:v>
      </x:c>
      <x:c r="I182" s="1" t="s">
        <x:v>1061</x:v>
      </x:c>
      <x:c r="J182" s="1">
        <x:v>5.0</x:v>
      </x:c>
      <x:c r="K182" s="1">
        <x:v>181.0</x:v>
      </x:c>
      <x:c r="L182" s="1" t="str">
        <x:f t="shared" si="1"/>
        <x:v>Omar Cooper Jr.</x:v>
      </x:c>
      <x:c r="M182" s="127" t="n">
        <x:f>IFERROR(VLOOKUP(E182,RISK!A:B,2,FALSE()),"")</x:f>
        <x:v>3.7</x:v>
      </x:c>
      <x:c r="N182" s="118">
        <x:f t="shared" si="2"/>
        <x:v>81.14353412</x:v>
      </x:c>
      <x:c r="Q182" s="9" t="s">
        <x:v>263</x:v>
      </x:c>
      <x:c r="R182" s="118" t="n">
        <x:f>Aggregate!BQ36</x:f>
        <x:v>117.9591293</x:v>
      </x:c>
      <x:c r="S182" s="9"/>
      <x:c r="T182" s="9"/>
    </x:row>
    <x:row r="183" ht="14.25" customHeight="1">
      <x:c r="A183" s="1">
        <x:v>180.0</x:v>
      </x:c>
      <x:c r="B183" s="1">
        <x:v>8.0</x:v>
      </x:c>
      <x:c r="C183" s="1" t="s">
        <x:v>803</x:v>
      </x:c>
      <x:c r="D183" s="1" t="s">
        <x:v>529</x:v>
      </x:c>
      <x:c r="E183" s="1" t="s">
        <x:v>388</x:v>
      </x:c>
      <x:c r="F183" s="1">
        <x:v>6.0</x:v>
      </x:c>
      <x:c r="G183" s="1" t="s">
        <x:v>1066</x:v>
      </x:c>
      <x:c r="H183" s="1" t="s">
        <x:v>1065</x:v>
      </x:c>
      <x:c r="I183" s="1" t="s">
        <x:v>1064</x:v>
      </x:c>
      <x:c r="J183" s="1">
        <x:v>31.0</x:v>
      </x:c>
      <x:c r="K183" s="1">
        <x:v>182.0</x:v>
      </x:c>
      <x:c r="L183" s="1" t="str">
        <x:f t="shared" si="1"/>
        <x:v>Malik Washington</x:v>
      </x:c>
      <x:c r="M183" s="127" t="n">
        <x:f>IFERROR(VLOOKUP(E183,RISK!A:B,2,FALSE()),"")</x:f>
        <x:v>3.7</x:v>
      </x:c>
      <x:c r="N183" s="118">
        <x:f t="shared" si="2"/>
        <x:v>79.81252941</x:v>
      </x:c>
      <x:c r="Q183" s="9" t="s">
        <x:v>267</x:v>
      </x:c>
      <x:c r="R183" s="118" t="n">
        <x:f>Aggregate!BQ37</x:f>
        <x:v>112.2693224</x:v>
      </x:c>
      <x:c r="S183" s="9"/>
      <x:c r="T183" s="9"/>
    </x:row>
    <x:row r="184" ht="14.25" customHeight="1">
      <x:c r="A184" s="1">
        <x:v>181.0</x:v>
      </x:c>
      <x:c r="B184" s="1">
        <x:v>8.0</x:v>
      </x:c>
      <x:c r="C184" s="1" t="s">
        <x:v>690</x:v>
      </x:c>
      <x:c r="D184" s="1" t="s">
        <x:v>523</x:v>
      </x:c>
      <x:c r="E184" s="1" t="s">
        <x:v>354</x:v>
      </x:c>
      <x:c r="F184" s="1">
        <x:v>10.0</x:v>
      </x:c>
      <x:c r="G184" s="1" t="s">
        <x:v>1065</x:v>
      </x:c>
      <x:c r="H184" s="1" t="s">
        <x:v>1065</x:v>
      </x:c>
      <x:c r="I184" s="1" t="s">
        <x:v>1060</x:v>
      </x:c>
      <x:c r="J184" s="1">
        <x:v>60.0</x:v>
      </x:c>
      <x:c r="K184" s="1">
        <x:v>183.0</x:v>
      </x:c>
      <x:c r="L184" s="1" t="str">
        <x:f t="shared" si="1"/>
        <x:v>Sean Tucker</x:v>
      </x:c>
      <x:c r="M184" s="127" t="n">
        <x:f>IFERROR(VLOOKUP(E184,RISK!A:B,2,FALSE()),"")</x:f>
        <x:v>3.368</x:v>
      </x:c>
      <x:c r="N184" s="118">
        <x:f t="shared" si="2"/>
        <x:v>60.93082353</x:v>
      </x:c>
      <x:c r="Q184" s="9" t="s">
        <x:v>271</x:v>
      </x:c>
      <x:c r="R184" s="118" t="n">
        <x:f>Aggregate!BQ38</x:f>
        <x:v>110.3487481</x:v>
      </x:c>
      <x:c r="S184" s="9"/>
      <x:c r="T184" s="9"/>
    </x:row>
    <x:row r="185" ht="14.25" customHeight="1">
      <x:c r="A185" s="1">
        <x:v>182.0</x:v>
      </x:c>
      <x:c r="B185" s="1">
        <x:v>8.0</x:v>
      </x:c>
      <x:c r="C185" s="1" t="s">
        <x:v>542</x:v>
      </x:c>
      <x:c r="D185" s="1" t="s">
        <x:v>543</x:v>
      </x:c>
      <x:c r="E185" s="1" t="s">
        <x:v>233</x:v>
      </x:c>
      <x:c r="F185" s="1">
        <x:v>14.0</x:v>
      </x:c>
      <x:c r="G185" s="1" t="s">
        <x:v>1062</x:v>
      </x:c>
      <x:c r="H185" s="1" t="s">
        <x:v>1065</x:v>
      </x:c>
      <x:c r="I185" s="1" t="s">
        <x:v>1060</x:v>
      </x:c>
      <x:c r="J185" s="1">
        <x:v>52.0</x:v>
      </x:c>
      <x:c r="K185" s="1">
        <x:v>184.0</x:v>
      </x:c>
      <x:c r="L185" s="1" t="str">
        <x:f t="shared" si="1"/>
        <x:v>Jacoby Brissett</x:v>
      </x:c>
      <x:c r="M185" s="127" t="n">
        <x:f>IFERROR(VLOOKUP(E185,RISK!A:B,2,FALSE()),"")</x:f>
        <x:v>3.2</x:v>
      </x:c>
      <x:c r="N185" s="118">
        <x:f t="shared" si="2"/>
        <x:v>175.0091294</x:v>
      </x:c>
      <x:c r="Q185" s="9" t="s">
        <x:v>275</x:v>
      </x:c>
      <x:c r="R185" s="118" t="n">
        <x:f>Aggregate!BQ39</x:f>
        <x:v>109.1597506</x:v>
      </x:c>
      <x:c r="S185" s="9"/>
      <x:c r="T185" s="9"/>
    </x:row>
    <x:row r="186" ht="14.25" customHeight="1">
      <x:c r="A186" s="1">
        <x:v>183.0</x:v>
      </x:c>
      <x:c r="B186" s="1">
        <x:v>8.0</x:v>
      </x:c>
      <x:c r="C186" s="1" t="s">
        <x:v>670</x:v>
      </x:c>
      <x:c r="D186" s="1" t="s">
        <x:v>513</x:v>
      </x:c>
      <x:c r="E186" s="1" t="s">
        <x:v>357</x:v>
      </x:c>
      <x:c r="F186" s="1">
        <x:v>7.0</x:v>
      </x:c>
      <x:c r="G186" s="1" t="s">
        <x:v>1058</x:v>
      </x:c>
      <x:c r="H186" s="1" t="s">
        <x:v>1065</x:v>
      </x:c>
      <x:c r="I186" s="1" t="s">
        <x:v>1064</x:v>
      </x:c>
      <x:c r="J186" s="1">
        <x:v>62.0</x:v>
      </x:c>
      <x:c r="K186" s="1">
        <x:v>185.0</x:v>
      </x:c>
      <x:c r="L186" s="1" t="str">
        <x:f t="shared" si="1"/>
        <x:v>Kimani Vidal</x:v>
      </x:c>
      <x:c r="M186" s="127" t="n">
        <x:f>IFERROR(VLOOKUP(E186,RISK!A:B,2,FALSE()),"")</x:f>
        <x:v>3.368</x:v>
      </x:c>
      <x:c r="N186" s="118">
        <x:f t="shared" si="2"/>
        <x:v>60.56281622</x:v>
      </x:c>
      <x:c r="Q186" s="9" t="s">
        <x:v>279</x:v>
      </x:c>
      <x:c r="R186" s="118" t="n">
        <x:f>Aggregate!BQ40</x:f>
        <x:v>108.7175294</x:v>
      </x:c>
      <x:c r="S186" s="9"/>
      <x:c r="T186" s="9"/>
    </x:row>
    <x:row r="187" ht="14.25" customHeight="1">
      <x:c r="A187" s="1">
        <x:v>184.0</x:v>
      </x:c>
      <x:c r="B187" s="1">
        <x:v>8.0</x:v>
      </x:c>
      <x:c r="C187" s="1" t="s">
        <x:v>790</x:v>
      </x:c>
      <x:c r="D187" s="1" t="s">
        <x:v>541</x:v>
      </x:c>
      <x:c r="E187" s="1" t="s">
        <x:v>391</x:v>
      </x:c>
      <x:c r="F187" s="1">
        <x:v>9.0</x:v>
      </x:c>
      <x:c r="G187" s="1" t="s">
        <x:v>1062</x:v>
      </x:c>
      <x:c r="H187" s="1" t="s">
        <x:v>1065</x:v>
      </x:c>
      <x:c r="I187" s="1" t="s">
        <x:v>1064</x:v>
      </x:c>
      <x:c r="J187" s="1">
        <x:v>40.0</x:v>
      </x:c>
      <x:c r="K187" s="1">
        <x:v>186.0</x:v>
      </x:c>
      <x:c r="L187" s="1" t="str">
        <x:f t="shared" si="1"/>
        <x:v>Calvin Ridley</x:v>
      </x:c>
      <x:c r="M187" s="127" t="n">
        <x:f>IFERROR(VLOOKUP(E187,RISK!A:B,2,FALSE()),"")</x:f>
        <x:v>3.7</x:v>
      </x:c>
      <x:c r="N187" s="118">
        <x:f t="shared" si="2"/>
        <x:v>79.53035294</x:v>
      </x:c>
      <x:c r="Q187" s="9" t="s">
        <x:v>283</x:v>
      </x:c>
      <x:c r="R187" s="118" t="n">
        <x:f>Aggregate!BQ41</x:f>
        <x:v>106.7321647</x:v>
      </x:c>
      <x:c r="S187" s="9"/>
      <x:c r="T187" s="9"/>
    </x:row>
    <x:row r="188" ht="14.25" customHeight="1">
      <x:c r="A188" s="1">
        <x:v>185.0</x:v>
      </x:c>
      <x:c r="B188" s="1">
        <x:v>8.0</x:v>
      </x:c>
      <x:c r="C188" s="1" t="s">
        <x:v>947</x:v>
      </x:c>
      <x:c r="D188" s="1" t="s">
        <x:v>539</x:v>
      </x:c>
      <x:c r="E188" s="1" t="s">
        <x:v>228</x:v>
      </x:c>
      <x:c r="F188" s="1">
        <x:v>13.0</x:v>
      </x:c>
      <x:c r="G188" s="1" t="s">
        <x:v>1066</x:v>
      </x:c>
      <x:c r="H188" s="1" t="s">
        <x:v>1065</x:v>
      </x:c>
      <x:c r="I188" s="1" t="s">
        <x:v>1061</x:v>
      </x:c>
      <x:c r="J188" s="1">
        <x:v>-12.0</x:v>
      </x:c>
      <x:c r="K188" s="1">
        <x:v>187.0</x:v>
      </x:c>
      <x:c r="L188" s="1" t="str">
        <x:f t="shared" si="1"/>
        <x:v>Kenyon Sadiq</x:v>
      </x:c>
      <x:c r="M188" s="127" t="n">
        <x:f>IFERROR(VLOOKUP(E188,RISK!A:B,2,FALSE()),"")</x:f>
        <x:v>2.4335000000000004</x:v>
      </x:c>
      <x:c r="N188" s="118">
        <x:f t="shared" si="2"/>
        <x:v>80.65591535</x:v>
      </x:c>
      <x:c r="Q188" s="9" t="s">
        <x:v>287</x:v>
      </x:c>
      <x:c r="R188" s="118" t="n">
        <x:f>Aggregate!BQ42</x:f>
        <x:v>106.2737365</x:v>
      </x:c>
      <x:c r="S188" s="9"/>
      <x:c r="T188" s="9"/>
    </x:row>
    <x:row r="189" ht="14.25" customHeight="1">
      <x:c r="A189" s="1">
        <x:v>186.0</x:v>
      </x:c>
      <x:c r="B189" s="1">
        <x:v>8.0</x:v>
      </x:c>
      <x:c r="C189" s="1" t="s">
        <x:v>794</x:v>
      </x:c>
      <x:c r="D189" s="1" t="s">
        <x:v>527</x:v>
      </x:c>
      <x:c r="E189" s="1" t="s">
        <x:v>394</x:v>
      </x:c>
      <x:c r="F189" s="1">
        <x:v>13.0</x:v>
      </x:c>
      <x:c r="G189" s="1" t="s">
        <x:v>1066</x:v>
      </x:c>
      <x:c r="H189" s="1" t="s">
        <x:v>1066</x:v>
      </x:c>
      <x:c r="I189" s="1" t="s">
        <x:v>1061</x:v>
      </x:c>
      <x:c r="J189" s="1">
        <x:v>-7.0</x:v>
      </x:c>
      <x:c r="K189" s="1">
        <x:v>188.0</x:v>
      </x:c>
      <x:c r="L189" s="1" t="str">
        <x:f t="shared" si="1"/>
        <x:v>Keenan Allen</x:v>
      </x:c>
      <x:c r="M189" s="127" t="n">
        <x:f>IFERROR(VLOOKUP(E189,RISK!A:B,2,FALSE()),"")</x:f>
        <x:v>3.7</x:v>
      </x:c>
      <x:c r="N189" s="118">
        <x:f t="shared" si="2"/>
        <x:v>77.00726118</x:v>
      </x:c>
      <x:c r="Q189" s="9" t="s">
        <x:v>291</x:v>
      </x:c>
      <x:c r="R189" s="118" t="n">
        <x:f>Aggregate!BQ43</x:f>
        <x:v>104.9870118</x:v>
      </x:c>
      <x:c r="S189" s="9"/>
      <x:c r="T189" s="9"/>
    </x:row>
    <x:row r="190" ht="14.25" customHeight="1">
      <x:c r="A190" s="1">
        <x:v>187.0</x:v>
      </x:c>
      <x:c r="B190" s="1">
        <x:v>8.0</x:v>
      </x:c>
      <x:c r="C190" s="1" t="s">
        <x:v>791</x:v>
      </x:c>
      <x:c r="D190" s="1" t="s">
        <x:v>535</x:v>
      </x:c>
      <x:c r="E190" s="1" t="s">
        <x:v>397</x:v>
      </x:c>
      <x:c r="F190" s="1">
        <x:v>8.0</x:v>
      </x:c>
      <x:c r="G190" s="1" t="s">
        <x:v>1065</x:v>
      </x:c>
      <x:c r="H190" s="1" t="s">
        <x:v>1065</x:v>
      </x:c>
      <x:c r="I190" s="1" t="s">
        <x:v>1064</x:v>
      </x:c>
      <x:c r="J190" s="1">
        <x:v>23.0</x:v>
      </x:c>
      <x:c r="K190" s="1">
        <x:v>189.0</x:v>
      </x:c>
      <x:c r="L190" s="1" t="str">
        <x:f t="shared" si="1"/>
        <x:v>Tank Dell</x:v>
      </x:c>
      <x:c r="M190" s="127" t="n">
        <x:f>IFERROR(VLOOKUP(E190,RISK!A:B,2,FALSE()),"")</x:f>
        <x:v>3.7</x:v>
      </x:c>
      <x:c r="N190" s="118">
        <x:f t="shared" si="2"/>
        <x:v>76.05741176</x:v>
      </x:c>
      <x:c r="Q190" s="9" t="s">
        <x:v>295</x:v>
      </x:c>
      <x:c r="R190" s="118" t="n">
        <x:f>Aggregate!BQ44</x:f>
        <x:v>104.7598235</x:v>
      </x:c>
      <x:c r="S190" s="9"/>
      <x:c r="T190" s="9"/>
    </x:row>
    <x:row r="191" ht="14.25" customHeight="1">
      <x:c r="A191" s="1">
        <x:v>188.0</x:v>
      </x:c>
      <x:c r="B191" s="1">
        <x:v>8.0</x:v>
      </x:c>
      <x:c r="C191" s="1" t="s">
        <x:v>704</x:v>
      </x:c>
      <x:c r="D191" s="1" t="s">
        <x:v>541</x:v>
      </x:c>
      <x:c r="E191" s="1" t="s">
        <x:v>360</x:v>
      </x:c>
      <x:c r="F191" s="1">
        <x:v>9.0</x:v>
      </x:c>
      <x:c r="G191" s="1" t="s">
        <x:v>1066</x:v>
      </x:c>
      <x:c r="H191" s="1" t="s">
        <x:v>1065</x:v>
      </x:c>
      <x:c r="I191" s="1" t="s">
        <x:v>1064</x:v>
      </x:c>
      <x:c r="J191" s="1">
        <x:v>41.0</x:v>
      </x:c>
      <x:c r="K191" s="1">
        <x:v>190.0</x:v>
      </x:c>
      <x:c r="L191" s="1" t="str">
        <x:f t="shared" si="1"/>
        <x:v>Nicholas Singleton</x:v>
      </x:c>
      <x:c r="M191" s="127" t="n">
        <x:f>IFERROR(VLOOKUP(E191,RISK!A:B,2,FALSE()),"")</x:f>
        <x:v>3.368</x:v>
      </x:c>
      <x:c r="N191" s="118">
        <x:f t="shared" si="2"/>
        <x:v>59.86824941</x:v>
      </x:c>
      <x:c r="Q191" s="9" t="s">
        <x:v>299</x:v>
      </x:c>
      <x:c r="R191" s="118" t="n">
        <x:f>Aggregate!BQ45</x:f>
        <x:v>104.6295882</x:v>
      </x:c>
      <x:c r="S191" s="9"/>
      <x:c r="T191" s="9"/>
    </x:row>
    <x:row r="192" ht="14.25" customHeight="1">
      <x:c r="A192" s="1">
        <x:v>189.0</x:v>
      </x:c>
      <x:c r="B192" s="1">
        <x:v>8.0</x:v>
      </x:c>
      <x:c r="C192" s="1" t="s">
        <x:v>805</x:v>
      </x:c>
      <x:c r="D192" s="1" t="s">
        <x:v>535</x:v>
      </x:c>
      <x:c r="E192" s="1" t="s">
        <x:v>400</x:v>
      </x:c>
      <x:c r="F192" s="1">
        <x:v>8.0</x:v>
      </x:c>
      <x:c r="G192" s="1" t="s">
        <x:v>1065</x:v>
      </x:c>
      <x:c r="H192" s="1" t="s">
        <x:v>1065</x:v>
      </x:c>
      <x:c r="I192" s="1" t="s">
        <x:v>1064</x:v>
      </x:c>
      <x:c r="J192" s="1">
        <x:v>108.0</x:v>
      </x:c>
      <x:c r="K192" s="1">
        <x:v>191.0</x:v>
      </x:c>
      <x:c r="L192" s="1" t="str">
        <x:f t="shared" si="1"/>
        <x:v>Jaylin Noel</x:v>
      </x:c>
      <x:c r="M192" s="127" t="n">
        <x:f>IFERROR(VLOOKUP(E192,RISK!A:B,2,FALSE()),"")</x:f>
        <x:v>3.7</x:v>
      </x:c>
      <x:c r="N192" s="118">
        <x:f t="shared" si="2"/>
        <x:v>75.01726588</x:v>
      </x:c>
      <x:c r="Q192" s="9" t="s">
        <x:v>303</x:v>
      </x:c>
      <x:c r="R192" s="118" t="n">
        <x:f>Aggregate!BQ46</x:f>
        <x:v>104.4776471</x:v>
      </x:c>
      <x:c r="S192" s="9"/>
      <x:c r="T192" s="9"/>
    </x:row>
    <x:row r="193" ht="14.25" customHeight="1">
      <x:c r="A193" s="1">
        <x:v>190.0</x:v>
      </x:c>
      <x:c r="B193" s="1">
        <x:v>8.0</x:v>
      </x:c>
      <x:c r="C193" s="1" t="s">
        <x:v>953</x:v>
      </x:c>
      <x:c r="D193" s="1" t="s">
        <x:v>541</x:v>
      </x:c>
      <x:c r="E193" s="1" t="s">
        <x:v>232</x:v>
      </x:c>
      <x:c r="F193" s="1">
        <x:v>9.0</x:v>
      </x:c>
      <x:c r="G193" s="1" t="s">
        <x:v>1066</x:v>
      </x:c>
      <x:c r="H193" s="1" t="s">
        <x:v>1066</x:v>
      </x:c>
      <x:c r="I193" s="1" t="s">
        <x:v>1064</x:v>
      </x:c>
      <x:c r="J193" s="1">
        <x:v>56.0</x:v>
      </x:c>
      <x:c r="K193" s="1">
        <x:v>192.0</x:v>
      </x:c>
      <x:c r="L193" s="1" t="str">
        <x:f t="shared" si="1"/>
        <x:v>Gunnar Helm</x:v>
      </x:c>
      <x:c r="M193" s="127" t="n">
        <x:f>IFERROR(VLOOKUP(E193,RISK!A:B,2,FALSE()),"")</x:f>
        <x:v>2.360000000000001</x:v>
      </x:c>
      <x:c r="N193" s="118">
        <x:f t="shared" si="2"/>
        <x:v>78.677505</x:v>
      </x:c>
      <x:c r="Q193" s="9" t="s">
        <x:v>307</x:v>
      </x:c>
      <x:c r="R193" s="118" t="n">
        <x:f>Aggregate!BQ47</x:f>
        <x:v>103.5515294</x:v>
      </x:c>
      <x:c r="S193" s="9"/>
      <x:c r="T193" s="9"/>
    </x:row>
    <x:row r="194" ht="14.25" customHeight="1">
      <x:c r="A194" s="1">
        <x:v>191.0</x:v>
      </x:c>
      <x:c r="B194" s="1">
        <x:v>8.0</x:v>
      </x:c>
      <x:c r="C194" s="1" t="s">
        <x:v>804</x:v>
      </x:c>
      <x:c r="D194" s="1" t="s">
        <x:v>505</x:v>
      </x:c>
      <x:c r="E194" s="1" t="s">
        <x:v>403</x:v>
      </x:c>
      <x:c r="F194" s="1">
        <x:v>7.0</x:v>
      </x:c>
      <x:c r="G194" s="1" t="s">
        <x:v>1066</x:v>
      </x:c>
      <x:c r="H194" s="1" t="s">
        <x:v>1065</x:v>
      </x:c>
      <x:c r="I194" s="1" t="s">
        <x:v>1061</x:v>
      </x:c>
      <x:c r="J194" s="1">
        <x:v>-10.0</x:v>
      </x:c>
      <x:c r="K194" s="1">
        <x:v>193.0</x:v>
      </x:c>
      <x:c r="L194" s="1" t="str">
        <x:f t="shared" si="1"/>
        <x:v>Travis Hunter</x:v>
      </x:c>
      <x:c r="M194" s="127" t="n">
        <x:f>IFERROR(VLOOKUP(E194,RISK!A:B,2,FALSE()),"")</x:f>
        <x:v>3.7</x:v>
      </x:c>
      <x:c r="N194" s="118">
        <x:f t="shared" si="2"/>
        <x:v>73.95917647</x:v>
      </x:c>
      <x:c r="Q194" s="9" t="s">
        <x:v>311</x:v>
      </x:c>
      <x:c r="R194" s="118" t="n">
        <x:f>Aggregate!BQ48</x:f>
        <x:v>102.6832941</x:v>
      </x:c>
      <x:c r="S194" s="9"/>
      <x:c r="T194" s="9"/>
    </x:row>
    <x:row r="195" ht="14.25" customHeight="1">
      <x:c r="A195" s="1">
        <x:v>192.0</x:v>
      </x:c>
      <x:c r="B195" s="1">
        <x:v>8.0</x:v>
      </x:c>
      <x:c r="C195" s="1" t="s">
        <x:v>1068</x:v>
      </x:c>
      <x:c r="D195" s="1" t="s">
        <x:v>535</x:v>
      </x:c>
      <x:c r="E195" s="1" t="s">
        <x:v>1069</x:v>
      </x:c>
      <x:c r="F195" s="1">
        <x:v>8.0</x:v>
      </x:c>
      <x:c r="G195" s="1" t="s">
        <x:v>1067</x:v>
      </x:c>
      <x:c r="H195" s="1" t="s">
        <x:v>1067</x:v>
      </x:c>
      <x:c r="I195" s="1" t="s">
        <x:v>1060</x:v>
      </x:c>
      <x:c r="J195" s="1">
        <x:v>-75.0</x:v>
      </x:c>
      <x:c r="K195" s="1">
        <x:v>194.0</x:v>
      </x:c>
      <x:c r="L195" s="1" t="str">
        <x:f t="shared" si="1"/>
        <x:v>Houston Texans</x:v>
      </x:c>
      <x:c r="M195" s="127" t="str">
        <x:f>IFERROR(VLOOKUP(E195,RISK!A:B,2,FALSE()),"")</x:f>
      </x:c>
      <x:c r="N195" s="118" t="str">
        <x:f t="shared" si="2"/>
        <x:v>#N/A</x:v>
      </x:c>
      <x:c r="Q195" s="9" t="s">
        <x:v>315</x:v>
      </x:c>
      <x:c r="R195" s="118" t="n">
        <x:f>Aggregate!BQ49</x:f>
        <x:v>102.4155882</x:v>
      </x:c>
      <x:c r="S195" s="9"/>
      <x:c r="T195" s="9"/>
    </x:row>
    <x:row r="196" ht="14.25" customHeight="1">
      <x:c r="A196" s="1">
        <x:v>193.0</x:v>
      </x:c>
      <x:c r="B196" s="1">
        <x:v>8.0</x:v>
      </x:c>
      <x:c r="C196" s="1" t="s">
        <x:v>538</x:v>
      </x:c>
      <x:c r="D196" s="1" t="s">
        <x:v>539</x:v>
      </x:c>
      <x:c r="E196" s="1" t="s">
        <x:v>237</x:v>
      </x:c>
      <x:c r="F196" s="1">
        <x:v>13.0</x:v>
      </x:c>
      <x:c r="G196" s="1" t="s">
        <x:v>1062</x:v>
      </x:c>
      <x:c r="H196" s="1" t="s">
        <x:v>1065</x:v>
      </x:c>
      <x:c r="I196" s="1" t="s">
        <x:v>1061</x:v>
      </x:c>
      <x:c r="J196" s="1">
        <x:v>46.0</x:v>
      </x:c>
      <x:c r="K196" s="1">
        <x:v>195.0</x:v>
      </x:c>
      <x:c r="L196" s="1" t="str">
        <x:f t="shared" si="1"/>
        <x:v>Geno Smith</x:v>
      </x:c>
      <x:c r="M196" s="127" t="n">
        <x:f>IFERROR(VLOOKUP(E196,RISK!A:B,2,FALSE()),"")</x:f>
        <x:v>3.2</x:v>
      </x:c>
      <x:c r="N196" s="118">
        <x:f t="shared" si="2"/>
        <x:v>173.6749176</x:v>
      </x:c>
      <x:c r="Q196" s="9" t="s">
        <x:v>319</x:v>
      </x:c>
      <x:c r="R196" s="118" t="n">
        <x:f>Aggregate!BQ50</x:f>
        <x:v>101.3013529</x:v>
      </x:c>
      <x:c r="S196" s="9"/>
      <x:c r="T196" s="9"/>
    </x:row>
    <x:row r="197" ht="14.25" customHeight="1">
      <x:c r="A197" s="1">
        <x:v>194.0</x:v>
      </x:c>
      <x:c r="B197" s="1">
        <x:v>8.0</x:v>
      </x:c>
      <x:c r="C197" s="1" t="s">
        <x:v>1070</x:v>
      </x:c>
      <x:c r="D197" s="1" t="s">
        <x:v>515</x:v>
      </x:c>
      <x:c r="E197" s="1" t="s">
        <x:v>1071</x:v>
      </x:c>
      <x:c r="F197" s="1">
        <x:v>10.0</x:v>
      </x:c>
      <x:c r="G197" s="1" t="s">
        <x:v>1067</x:v>
      </x:c>
      <x:c r="H197" s="1" t="s">
        <x:v>1067</x:v>
      </x:c>
      <x:c r="I197" s="1" t="s">
        <x:v>1061</x:v>
      </x:c>
      <x:c r="J197" s="1">
        <x:v>-69.0</x:v>
      </x:c>
      <x:c r="K197" s="1">
        <x:v>196.0</x:v>
      </x:c>
      <x:c r="L197" s="1" t="str">
        <x:f t="shared" si="1"/>
        <x:v>Denver Broncos</x:v>
      </x:c>
      <x:c r="M197" s="127" t="str">
        <x:f>IFERROR(VLOOKUP(E197,RISK!A:B,2,FALSE()),"")</x:f>
      </x:c>
      <x:c r="N197" s="118" t="str">
        <x:f t="shared" si="2"/>
        <x:v>#N/A</x:v>
      </x:c>
      <x:c r="Q197" s="9" t="s">
        <x:v>322</x:v>
      </x:c>
      <x:c r="R197" s="118" t="n">
        <x:f>Aggregate!BQ51</x:f>
        <x:v>100.9974706</x:v>
      </x:c>
      <x:c r="S197" s="9"/>
      <x:c r="T197" s="9"/>
    </x:row>
    <x:row r="198" ht="14.25" customHeight="1">
      <x:c r="A198" s="1">
        <x:v>195.0</x:v>
      </x:c>
      <x:c r="B198" s="1">
        <x:v>8.0</x:v>
      </x:c>
      <x:c r="C198" s="1" t="s">
        <x:v>672</x:v>
      </x:c>
      <x:c r="D198" s="1" t="s">
        <x:v>507</x:v>
      </x:c>
      <x:c r="E198" s="1" t="s">
        <x:v>363</x:v>
      </x:c>
      <x:c r="F198" s="1">
        <x:v>14.0</x:v>
      </x:c>
      <x:c r="G198" s="1" t="s">
        <x:v>1065</x:v>
      </x:c>
      <x:c r="H198" s="1" t="s">
        <x:v>1065</x:v>
      </x:c>
      <x:c r="I198" s="1" t="s">
        <x:v>1061</x:v>
      </x:c>
      <x:c r="J198" s="1">
        <x:v>31.0</x:v>
      </x:c>
      <x:c r="K198" s="1">
        <x:v>197.0</x:v>
      </x:c>
      <x:c r="L198" s="1" t="str">
        <x:f t="shared" si="1"/>
        <x:v>Jaydon Blue</x:v>
      </x:c>
      <x:c r="M198" s="127" t="n">
        <x:f>IFERROR(VLOOKUP(E198,RISK!A:B,2,FALSE()),"")</x:f>
        <x:v>3.368</x:v>
      </x:c>
      <x:c r="N198" s="118">
        <x:f t="shared" si="2"/>
        <x:v>59.56487336</x:v>
      </x:c>
      <x:c r="Q198" s="9" t="s">
        <x:v>325</x:v>
      </x:c>
      <x:c r="R198" s="118" t="n">
        <x:f>Aggregate!BQ52</x:f>
        <x:v>100.9034118</x:v>
      </x:c>
      <x:c r="S198" s="9"/>
      <x:c r="T198" s="9"/>
    </x:row>
    <x:row r="199" ht="14.25" customHeight="1">
      <x:c r="A199" s="1">
        <x:v>196.0</x:v>
      </x:c>
      <x:c r="B199" s="1">
        <x:v>8.0</x:v>
      </x:c>
      <x:c r="C199" s="1" t="s">
        <x:v>795</x:v>
      </x:c>
      <x:c r="D199" s="1" t="s">
        <x:v>491</x:v>
      </x:c>
      <x:c r="E199" s="1" t="s">
        <x:v>406</x:v>
      </x:c>
      <x:c r="F199" s="1">
        <x:v>13.0</x:v>
      </x:c>
      <x:c r="G199" s="1" t="s">
        <x:v>1066</x:v>
      </x:c>
      <x:c r="H199" s="1" t="s">
        <x:v>1065</x:v>
      </x:c>
      <x:c r="I199" s="1" t="s">
        <x:v>1061</x:v>
      </x:c>
      <x:c r="J199" s="1">
        <x:v>161.0</x:v>
      </x:c>
      <x:c r="K199" s="1">
        <x:v>198.0</x:v>
      </x:c>
      <x:c r="L199" s="1" t="str">
        <x:f t="shared" si="1"/>
        <x:v>Rashod Bateman</x:v>
      </x:c>
      <x:c r="M199" s="127" t="n">
        <x:f>IFERROR(VLOOKUP(E199,RISK!A:B,2,FALSE()),"")</x:f>
        <x:v>3.7</x:v>
      </x:c>
      <x:c r="N199" s="118">
        <x:f t="shared" si="2"/>
        <x:v>73.31523529</x:v>
      </x:c>
      <x:c r="Q199" s="9" t="s">
        <x:v>328</x:v>
      </x:c>
      <x:c r="R199" s="118" t="n">
        <x:f>Aggregate!BQ53</x:f>
        <x:v>97.55347059</x:v>
      </x:c>
      <x:c r="S199" s="9"/>
      <x:c r="T199" s="9"/>
    </x:row>
    <x:row r="200" ht="14.25" customHeight="1">
      <x:c r="A200" s="1">
        <x:v>197.0</x:v>
      </x:c>
      <x:c r="B200" s="1">
        <x:v>8.0</x:v>
      </x:c>
      <x:c r="C200" s="1" t="s">
        <x:v>826</x:v>
      </x:c>
      <x:c r="D200" s="1" t="s">
        <x:v>519</x:v>
      </x:c>
      <x:c r="E200" s="1" t="s">
        <x:v>409</x:v>
      </x:c>
      <x:c r="F200" s="1">
        <x:v>6.0</x:v>
      </x:c>
      <x:c r="G200" s="1" t="s">
        <x:v>1066</x:v>
      </x:c>
      <x:c r="H200" s="1" t="s">
        <x:v>1065</x:v>
      </x:c>
      <x:c r="I200" s="1" t="s">
        <x:v>1061</x:v>
      </x:c>
      <x:c r="J200" s="1">
        <x:v>-1.0</x:v>
      </x:c>
      <x:c r="K200" s="1">
        <x:v>199.0</x:v>
      </x:c>
      <x:c r="L200" s="1" t="str">
        <x:f t="shared" si="1"/>
        <x:v>Isaac TeSlaa</x:v>
      </x:c>
      <x:c r="M200" s="127" t="n">
        <x:f>IFERROR(VLOOKUP(E200,RISK!A:B,2,FALSE()),"")</x:f>
        <x:v>3.7</x:v>
      </x:c>
      <x:c r="N200" s="118">
        <x:f t="shared" si="2"/>
        <x:v>68.18541176</x:v>
      </x:c>
      <x:c r="Q200" s="9" t="s">
        <x:v>331</x:v>
      </x:c>
      <x:c r="R200" s="118" t="n">
        <x:f>Aggregate!BQ54</x:f>
        <x:v>96.91676471</x:v>
      </x:c>
      <x:c r="S200" s="9"/>
      <x:c r="T200" s="9"/>
    </x:row>
    <x:row r="201" ht="14.25" customHeight="1">
      <x:c r="A201" s="1">
        <x:v>198.0</x:v>
      </x:c>
      <x:c r="B201" s="1">
        <x:v>8.0</x:v>
      </x:c>
      <x:c r="C201" s="1" t="s">
        <x:v>1072</x:v>
      </x:c>
      <x:c r="D201" s="1" t="s">
        <x:v>533</x:v>
      </x:c>
      <x:c r="E201" s="1" t="s">
        <x:v>1073</x:v>
      </x:c>
      <x:c r="F201" s="1">
        <x:v>11.0</x:v>
      </x:c>
      <x:c r="G201" s="1" t="s">
        <x:v>1067</x:v>
      </x:c>
      <x:c r="H201" s="1" t="s">
        <x:v>1067</x:v>
      </x:c>
      <x:c r="I201" s="1" t="s">
        <x:v>1060</x:v>
      </x:c>
      <x:c r="J201" s="1">
        <x:v>-72.0</x:v>
      </x:c>
      <x:c r="K201" s="1">
        <x:v>200.0</x:v>
      </x:c>
      <x:c r="L201" s="1" t="str">
        <x:f t="shared" si="1"/>
        <x:v>Seattle Seahawks</x:v>
      </x:c>
      <x:c r="M201" s="127" t="str">
        <x:f>IFERROR(VLOOKUP(E201,RISK!A:B,2,FALSE()),"")</x:f>
      </x:c>
      <x:c r="N201" s="118" t="str">
        <x:f t="shared" si="2"/>
        <x:v>#N/A</x:v>
      </x:c>
      <x:c r="Q201" s="9" t="s">
        <x:v>334</x:v>
      </x:c>
      <x:c r="R201" s="118" t="n">
        <x:f>Aggregate!BQ55</x:f>
        <x:v>96.79781647</x:v>
      </x:c>
      <x:c r="S201" s="9"/>
      <x:c r="T201" s="9"/>
    </x:row>
    <x:row r="202" ht="14.25" customHeight="1">
      <x:c r="A202" s="1">
        <x:v>199.0</x:v>
      </x:c>
      <x:c r="B202" s="1">
        <x:v>8.0</x:v>
      </x:c>
      <x:c r="C202" s="1" t="s">
        <x:v>1074</x:v>
      </x:c>
      <x:c r="D202" s="1" t="s">
        <x:v>517</x:v>
      </x:c>
      <x:c r="E202" s="1" t="s">
        <x:v>1075</x:v>
      </x:c>
      <x:c r="F202" s="1">
        <x:v>11.0</x:v>
      </x:c>
      <x:c r="G202" s="1" t="s">
        <x:v>1067</x:v>
      </x:c>
      <x:c r="H202" s="1" t="s">
        <x:v>1067</x:v>
      </x:c>
      <x:c r="I202" s="1" t="s">
        <x:v>1060</x:v>
      </x:c>
      <x:c r="J202" s="1">
        <x:v>-84.0</x:v>
      </x:c>
      <x:c r="K202" s="1">
        <x:v>201.0</x:v>
      </x:c>
      <x:c r="L202" s="1" t="str">
        <x:f t="shared" si="1"/>
        <x:v>Los Angeles Rams</x:v>
      </x:c>
      <x:c r="M202" s="127" t="str">
        <x:f>IFERROR(VLOOKUP(E202,RISK!A:B,2,FALSE()),"")</x:f>
      </x:c>
      <x:c r="N202" s="118" t="str">
        <x:f t="shared" si="2"/>
        <x:v>#N/A</x:v>
      </x:c>
      <x:c r="Q202" s="9" t="s">
        <x:v>337</x:v>
      </x:c>
      <x:c r="R202" s="118" t="n">
        <x:f>Aggregate!BQ56</x:f>
        <x:v>96.28729412</x:v>
      </x:c>
      <x:c r="S202" s="9"/>
      <x:c r="T202" s="9"/>
    </x:row>
    <x:row r="203" ht="14.25" customHeight="1">
      <x:c r="A203" s="1">
        <x:v>200.0</x:v>
      </x:c>
      <x:c r="B203" s="1">
        <x:v>8.0</x:v>
      </x:c>
      <x:c r="C203" s="1" t="s">
        <x:v>946</x:v>
      </x:c>
      <x:c r="D203" s="1" t="s">
        <x:v>523</x:v>
      </x:c>
      <x:c r="E203" s="1" t="s">
        <x:v>236</x:v>
      </x:c>
      <x:c r="F203" s="1">
        <x:v>10.0</x:v>
      </x:c>
      <x:c r="G203" s="1" t="s">
        <x:v>1062</x:v>
      </x:c>
      <x:c r="H203" s="1" t="s">
        <x:v>1065</x:v>
      </x:c>
      <x:c r="I203" s="1" t="s">
        <x:v>1060</x:v>
      </x:c>
      <x:c r="J203" s="1">
        <x:v>44.0</x:v>
      </x:c>
      <x:c r="K203" s="1">
        <x:v>202.0</x:v>
      </x:c>
      <x:c r="L203" s="1" t="str">
        <x:f t="shared" si="1"/>
        <x:v>Cade Otton</x:v>
      </x:c>
      <x:c r="M203" s="127" t="n">
        <x:f>IFERROR(VLOOKUP(E203,RISK!A:B,2,FALSE()),"")</x:f>
        <x:v>2.280100000000001</x:v>
      </x:c>
      <x:c r="N203" s="118">
        <x:f t="shared" si="2"/>
        <x:v>77.96041206</x:v>
      </x:c>
      <x:c r="Q203" s="9" t="s">
        <x:v>340</x:v>
      </x:c>
      <x:c r="R203" s="118" t="n">
        <x:f>Aggregate!BQ57</x:f>
        <x:v>95.80976471</x:v>
      </x:c>
      <x:c r="S203" s="9"/>
      <x:c r="T203" s="9"/>
    </x:row>
    <x:row r="204" ht="14.25" customHeight="1">
      <x:c r="A204" s="1">
        <x:v>201.0</x:v>
      </x:c>
      <x:c r="B204" s="1">
        <x:v>8.0</x:v>
      </x:c>
      <x:c r="C204" s="1" t="s">
        <x:v>702</x:v>
      </x:c>
      <x:c r="D204" s="1" t="s">
        <x:v>495</x:v>
      </x:c>
      <x:c r="E204" s="1" t="s">
        <x:v>366</x:v>
      </x:c>
      <x:c r="F204" s="1">
        <x:v>7.0</x:v>
      </x:c>
      <x:c r="G204" s="1" t="s">
        <x:v>1066</x:v>
      </x:c>
      <x:c r="H204" s="1" t="s">
        <x:v>1065</x:v>
      </x:c>
      <x:c r="I204" s="1" t="s">
        <x:v>1061</x:v>
      </x:c>
      <x:c r="J204" s="1">
        <x:v>41.0</x:v>
      </x:c>
      <x:c r="K204" s="1">
        <x:v>203.0</x:v>
      </x:c>
      <x:c r="L204" s="1" t="str">
        <x:f t="shared" si="1"/>
        <x:v>Kaytron Allen</x:v>
      </x:c>
      <x:c r="M204" s="127" t="n">
        <x:f>IFERROR(VLOOKUP(E204,RISK!A:B,2,FALSE()),"")</x:f>
        <x:v>3.368</x:v>
      </x:c>
      <x:c r="N204" s="118">
        <x:f t="shared" si="2"/>
        <x:v>58.80401084</x:v>
      </x:c>
      <x:c r="Q204" s="9" t="s">
        <x:v>343</x:v>
      </x:c>
      <x:c r="R204" s="118" t="n">
        <x:f>Aggregate!BQ58</x:f>
        <x:v>93.93582353</x:v>
      </x:c>
      <x:c r="S204" s="9"/>
      <x:c r="T204" s="9"/>
    </x:row>
    <x:row r="205" ht="14.25" customHeight="1">
      <x:c r="A205" s="1">
        <x:v>202.0</x:v>
      </x:c>
      <x:c r="B205" s="1">
        <x:v>8.0</x:v>
      </x:c>
      <x:c r="C205" s="1" t="s">
        <x:v>944</x:v>
      </x:c>
      <x:c r="D205" s="1" t="s">
        <x:v>545</x:v>
      </x:c>
      <x:c r="E205" s="1" t="s">
        <x:v>240</x:v>
      </x:c>
      <x:c r="F205" s="1">
        <x:v>9.0</x:v>
      </x:c>
      <x:c r="G205" s="1" t="s">
        <x:v>1066</x:v>
      </x:c>
      <x:c r="H205" s="1" t="s">
        <x:v>1065</x:v>
      </x:c>
      <x:c r="I205" s="1" t="s">
        <x:v>1060</x:v>
      </x:c>
      <x:c r="J205" s="1">
        <x:v>-9.0</x:v>
      </x:c>
      <x:c r="K205" s="1">
        <x:v>204.0</x:v>
      </x:c>
      <x:c r="L205" s="1" t="str">
        <x:f t="shared" si="1"/>
        <x:v>Pat Freiermuth</x:v>
      </x:c>
      <x:c r="M205" s="127" t="n">
        <x:f>IFERROR(VLOOKUP(E205,RISK!A:B,2,FALSE()),"")</x:f>
        <x:v>2.1938000000000013</x:v>
      </x:c>
      <x:c r="N205" s="118">
        <x:f t="shared" si="2"/>
        <x:v>74.18802176</x:v>
      </x:c>
      <x:c r="Q205" s="9" t="s">
        <x:v>346</x:v>
      </x:c>
      <x:c r="R205" s="118" t="n">
        <x:f>Aggregate!BQ59</x:f>
        <x:v>93.27017647</x:v>
      </x:c>
      <x:c r="S205" s="9"/>
      <x:c r="T205" s="9"/>
    </x:row>
    <x:row r="206" ht="14.25" customHeight="1">
      <x:c r="A206" s="1">
        <x:v>203.0</x:v>
      </x:c>
      <x:c r="B206" s="1">
        <x:v>8.0</x:v>
      </x:c>
      <x:c r="C206" s="1" t="s">
        <x:v>544</x:v>
      </x:c>
      <x:c r="D206" s="1" t="s">
        <x:v>545</x:v>
      </x:c>
      <x:c r="E206" s="1" t="s">
        <x:v>241</x:v>
      </x:c>
      <x:c r="F206" s="1">
        <x:v>9.0</x:v>
      </x:c>
      <x:c r="G206" s="1" t="s">
        <x:v>1058</x:v>
      </x:c>
      <x:c r="H206" s="1" t="s">
        <x:v>1065</x:v>
      </x:c>
      <x:c r="I206" s="1" t="s">
        <x:v>1060</x:v>
      </x:c>
      <x:c r="J206" s="1">
        <x:v>-25.0</x:v>
      </x:c>
      <x:c r="K206" s="1">
        <x:v>205.0</x:v>
      </x:c>
      <x:c r="L206" s="1" t="str">
        <x:f t="shared" si="1"/>
        <x:v>Aaron Rodgers</x:v>
      </x:c>
      <x:c r="M206" s="127" t="n">
        <x:f>IFERROR(VLOOKUP(E206,RISK!A:B,2,FALSE()),"")</x:f>
        <x:v>3.2</x:v>
      </x:c>
      <x:c r="N206" s="118">
        <x:f t="shared" si="2"/>
        <x:v>168.1167059</x:v>
      </x:c>
      <x:c r="Q206" s="9" t="s">
        <x:v>349</x:v>
      </x:c>
      <x:c r="R206" s="118" t="n">
        <x:f>Aggregate!BQ60</x:f>
        <x:v>92.28617647</x:v>
      </x:c>
      <x:c r="S206" s="9"/>
      <x:c r="T206" s="9"/>
    </x:row>
    <x:row r="207" ht="14.25" customHeight="1">
      <x:c r="A207" s="1">
        <x:v>204.0</x:v>
      </x:c>
      <x:c r="B207" s="1">
        <x:v>8.0</x:v>
      </x:c>
      <x:c r="C207" s="1" t="s">
        <x:v>1076</x:v>
      </x:c>
      <x:c r="D207" s="1" t="s">
        <x:v>497</x:v>
      </x:c>
      <x:c r="E207" s="1" t="s">
        <x:v>1077</x:v>
      </x:c>
      <x:c r="F207" s="1">
        <x:v>10.0</x:v>
      </x:c>
      <x:c r="G207" s="1" t="s">
        <x:v>1067</x:v>
      </x:c>
      <x:c r="H207" s="1" t="s">
        <x:v>1067</x:v>
      </x:c>
      <x:c r="I207" s="1" t="s">
        <x:v>1078</x:v>
      </x:c>
      <x:c r="J207" s="1">
        <x:v>-63.0</x:v>
      </x:c>
      <x:c r="K207" s="1">
        <x:v>206.0</x:v>
      </x:c>
      <x:c r="L207" s="1" t="str">
        <x:f t="shared" si="1"/>
        <x:v>Philadelphia Eagles</x:v>
      </x:c>
      <x:c r="M207" s="127" t="str">
        <x:f>IFERROR(VLOOKUP(E207,RISK!A:B,2,FALSE()),"")</x:f>
      </x:c>
      <x:c r="N207" s="118" t="str">
        <x:f t="shared" si="2"/>
        <x:v>#N/A</x:v>
      </x:c>
      <x:c r="Q207" s="9" t="s">
        <x:v>352</x:v>
      </x:c>
      <x:c r="R207" s="118" t="n">
        <x:f>Aggregate!BQ61</x:f>
        <x:v>90.26029412</x:v>
      </x:c>
      <x:c r="S207" s="9"/>
      <x:c r="T207" s="9"/>
    </x:row>
    <x:row r="208" ht="14.25" customHeight="1">
      <x:c r="A208" s="1">
        <x:v>205.0</x:v>
      </x:c>
      <x:c r="B208" s="1">
        <x:v>8.0</x:v>
      </x:c>
      <x:c r="C208" s="1" t="s">
        <x:v>1079</x:v>
      </x:c>
      <x:c r="D208" s="1" t="s">
        <x:v>505</x:v>
      </x:c>
      <x:c r="E208" s="1" t="s">
        <x:v>1080</x:v>
      </x:c>
      <x:c r="F208" s="1">
        <x:v>7.0</x:v>
      </x:c>
      <x:c r="G208" s="1" t="s">
        <x:v>1067</x:v>
      </x:c>
      <x:c r="H208" s="1" t="s">
        <x:v>1067</x:v>
      </x:c>
      <x:c r="I208" s="1" t="s">
        <x:v>1064</x:v>
      </x:c>
      <x:c r="J208" s="1">
        <x:v>-18.0</x:v>
      </x:c>
      <x:c r="K208" s="1">
        <x:v>207.0</x:v>
      </x:c>
      <x:c r="L208" s="1" t="str">
        <x:f t="shared" si="1"/>
        <x:v>Jacksonville Jaguars</x:v>
      </x:c>
      <x:c r="M208" s="127" t="str">
        <x:f>IFERROR(VLOOKUP(E208,RISK!A:B,2,FALSE()),"")</x:f>
      </x:c>
      <x:c r="N208" s="118" t="str">
        <x:f t="shared" si="2"/>
        <x:v>#N/A</x:v>
      </x:c>
      <x:c r="Q208" s="9" t="s">
        <x:v>355</x:v>
      </x:c>
      <x:c r="R208" s="118" t="n">
        <x:f>Aggregate!BQ62</x:f>
        <x:v>87.55429412</x:v>
      </x:c>
      <x:c r="S208" s="9"/>
      <x:c r="T208" s="9"/>
    </x:row>
    <x:row r="209" ht="14.25" customHeight="1">
      <x:c r="A209" s="1">
        <x:v>206.0</x:v>
      </x:c>
      <x:c r="B209" s="1">
        <x:v>8.0</x:v>
      </x:c>
      <x:c r="C209" s="1" t="s">
        <x:v>674</x:v>
      </x:c>
      <x:c r="D209" s="1" t="s">
        <x:v>533</x:v>
      </x:c>
      <x:c r="E209" s="1" t="s">
        <x:v>369</x:v>
      </x:c>
      <x:c r="F209" s="1">
        <x:v>11.0</x:v>
      </x:c>
      <x:c r="G209" s="1" t="s">
        <x:v>1066</x:v>
      </x:c>
      <x:c r="H209" s="1" t="s">
        <x:v>1065</x:v>
      </x:c>
      <x:c r="I209" s="1" t="s">
        <x:v>1061</x:v>
      </x:c>
      <x:c r="J209" s="1">
        <x:v>66.0</x:v>
      </x:c>
      <x:c r="K209" s="1">
        <x:v>208.0</x:v>
      </x:c>
      <x:c r="L209" s="1" t="str">
        <x:f t="shared" si="1"/>
        <x:v>Emanuel Wilson</x:v>
      </x:c>
      <x:c r="M209" s="127" t="n">
        <x:f>IFERROR(VLOOKUP(E209,RISK!A:B,2,FALSE()),"")</x:f>
        <x:v>3.368</x:v>
      </x:c>
      <x:c r="N209" s="118">
        <x:f t="shared" si="2"/>
        <x:v>58.561417</x:v>
      </x:c>
      <x:c r="Q209" s="9" t="s">
        <x:v>358</x:v>
      </x:c>
      <x:c r="R209" s="118" t="n">
        <x:f>Aggregate!BQ63</x:f>
        <x:v>87.43129412</x:v>
      </x:c>
      <x:c r="S209" s="9"/>
      <x:c r="T209" s="9"/>
    </x:row>
    <x:row r="210" ht="14.25" customHeight="1">
      <x:c r="A210" s="1">
        <x:v>207.0</x:v>
      </x:c>
      <x:c r="B210" s="1">
        <x:v>8.0</x:v>
      </x:c>
      <x:c r="C210" s="1" t="s">
        <x:v>1081</x:v>
      </x:c>
      <x:c r="D210" s="1" t="s">
        <x:v>493</x:v>
      </x:c>
      <x:c r="E210" s="1" t="s">
        <x:v>1082</x:v>
      </x:c>
      <x:c r="F210" s="1">
        <x:v>11.0</x:v>
      </x:c>
      <x:c r="G210" s="1" t="s">
        <x:v>1067</x:v>
      </x:c>
      <x:c r="H210" s="1" t="s">
        <x:v>1067</x:v>
      </x:c>
      <x:c r="I210" s="1" t="s">
        <x:v>1064</x:v>
      </x:c>
      <x:c r="J210" s="1">
        <x:v>-40.0</x:v>
      </x:c>
      <x:c r="K210" s="1">
        <x:v>209.0</x:v>
      </x:c>
      <x:c r="L210" s="1" t="str">
        <x:f t="shared" si="1"/>
        <x:v>New England Patriots</x:v>
      </x:c>
      <x:c r="M210" s="127" t="str">
        <x:f>IFERROR(VLOOKUP(E210,RISK!A:B,2,FALSE()),"")</x:f>
      </x:c>
      <x:c r="N210" s="118" t="str">
        <x:f t="shared" si="2"/>
        <x:v>#N/A</x:v>
      </x:c>
      <x:c r="Q210" s="9" t="s">
        <x:v>361</x:v>
      </x:c>
      <x:c r="R210" s="118" t="n">
        <x:f>Aggregate!BQ64</x:f>
        <x:v>87.25417412</x:v>
      </x:c>
      <x:c r="S210" s="9"/>
      <x:c r="T210" s="9"/>
    </x:row>
    <x:row r="211" ht="14.25" customHeight="1">
      <x:c r="A211" s="1">
        <x:v>208.0</x:v>
      </x:c>
      <x:c r="B211" s="1">
        <x:v>8.0</x:v>
      </x:c>
      <x:c r="C211" s="1" t="s">
        <x:v>1083</x:v>
      </x:c>
      <x:c r="D211" s="1" t="s">
        <x:v>545</x:v>
      </x:c>
      <x:c r="E211" s="1" t="s">
        <x:v>1084</x:v>
      </x:c>
      <x:c r="F211" s="1">
        <x:v>9.0</x:v>
      </x:c>
      <x:c r="G211" s="1" t="s">
        <x:v>1067</x:v>
      </x:c>
      <x:c r="H211" s="1" t="s">
        <x:v>1067</x:v>
      </x:c>
      <x:c r="I211" s="1" t="s">
        <x:v>1059</x:v>
      </x:c>
      <x:c r="J211" s="1">
        <x:v>-18.0</x:v>
      </x:c>
      <x:c r="K211" s="1">
        <x:v>210.0</x:v>
      </x:c>
      <x:c r="L211" s="1" t="str">
        <x:f t="shared" si="1"/>
        <x:v>Pittsburgh Steelers</x:v>
      </x:c>
      <x:c r="M211" s="127" t="str">
        <x:f>IFERROR(VLOOKUP(E211,RISK!A:B,2,FALSE()),"")</x:f>
      </x:c>
      <x:c r="N211" s="118" t="str">
        <x:f t="shared" si="2"/>
        <x:v>#N/A</x:v>
      </x:c>
      <x:c r="Q211" s="9" t="s">
        <x:v>364</x:v>
      </x:c>
      <x:c r="R211" s="118" t="n">
        <x:f>Aggregate!BQ65</x:f>
        <x:v>86.17582588</x:v>
      </x:c>
      <x:c r="S211" s="9"/>
      <x:c r="T211" s="9"/>
    </x:row>
    <x:row r="212" ht="14.25" customHeight="1">
      <x:c r="A212" s="1">
        <x:v>209.0</x:v>
      </x:c>
      <x:c r="B212" s="1">
        <x:v>8.0</x:v>
      </x:c>
      <x:c r="C212" s="1" t="s">
        <x:v>1085</x:v>
      </x:c>
      <x:c r="D212" s="1" t="s">
        <x:v>507</x:v>
      </x:c>
      <x:c r="E212" s="1" t="s">
        <x:v>1086</x:v>
      </x:c>
      <x:c r="F212" s="1">
        <x:v>14.0</x:v>
      </x:c>
      <x:c r="G212" s="1" t="s">
        <x:v>1057</x:v>
      </x:c>
      <x:c r="H212" s="1" t="s">
        <x:v>1058</x:v>
      </x:c>
      <x:c r="I212" s="1" t="s">
        <x:v>1060</x:v>
      </x:c>
      <x:c r="J212" s="1">
        <x:v>-88.0</x:v>
      </x:c>
      <x:c r="K212" s="1">
        <x:v>211.0</x:v>
      </x:c>
      <x:c r="L212" s="1" t="str">
        <x:f t="shared" si="1"/>
        <x:v>Brandon Aubrey</x:v>
      </x:c>
      <x:c r="M212" s="127" t="str">
        <x:f>IFERROR(VLOOKUP(E212,RISK!A:B,2,FALSE()),"")</x:f>
      </x:c>
      <x:c r="N212" s="118" t="str">
        <x:f t="shared" si="2"/>
        <x:v>#N/A</x:v>
      </x:c>
      <x:c r="Q212" s="9" t="s">
        <x:v>367</x:v>
      </x:c>
      <x:c r="R212" s="118" t="n">
        <x:f>Aggregate!BQ66</x:f>
        <x:v>85.96744941</x:v>
      </x:c>
      <x:c r="S212" s="9"/>
      <x:c r="T212" s="9"/>
    </x:row>
    <x:row r="213" ht="14.25" customHeight="1">
      <x:c r="A213" s="1">
        <x:v>210.0</x:v>
      </x:c>
      <x:c r="B213" s="1">
        <x:v>8.0</x:v>
      </x:c>
      <x:c r="C213" s="1" t="s">
        <x:v>1087</x:v>
      </x:c>
      <x:c r="D213" s="1" t="s">
        <x:v>513</x:v>
      </x:c>
      <x:c r="E213" s="1" t="s">
        <x:v>1088</x:v>
      </x:c>
      <x:c r="F213" s="1">
        <x:v>7.0</x:v>
      </x:c>
      <x:c r="G213" s="1" t="s">
        <x:v>1067</x:v>
      </x:c>
      <x:c r="H213" s="1" t="s">
        <x:v>1067</x:v>
      </x:c>
      <x:c r="I213" s="1" t="s">
        <x:v>1064</x:v>
      </x:c>
      <x:c r="J213" s="1">
        <x:v>-18.0</x:v>
      </x:c>
      <x:c r="K213" s="1">
        <x:v>212.0</x:v>
      </x:c>
      <x:c r="L213" s="1" t="str">
        <x:f t="shared" si="1"/>
        <x:v>Los Angeles Chargers</x:v>
      </x:c>
      <x:c r="M213" s="127" t="str">
        <x:f>IFERROR(VLOOKUP(E213,RISK!A:B,2,FALSE()),"")</x:f>
      </x:c>
      <x:c r="N213" s="118" t="str">
        <x:f t="shared" si="2"/>
        <x:v>#N/A</x:v>
      </x:c>
      <x:c r="Q213" s="9" t="s">
        <x:v>370</x:v>
      </x:c>
      <x:c r="R213" s="118" t="n">
        <x:f>Aggregate!BQ67</x:f>
        <x:v>85.91188235</x:v>
      </x:c>
      <x:c r="S213" s="9"/>
      <x:c r="T213" s="9"/>
    </x:row>
    <x:row r="214" ht="14.25" customHeight="1">
      <x:c r="A214" s="1">
        <x:v>211.0</x:v>
      </x:c>
      <x:c r="B214" s="1">
        <x:v>8.0</x:v>
      </x:c>
      <x:c r="C214" s="1" t="s">
        <x:v>668</x:v>
      </x:c>
      <x:c r="D214" s="1" t="s">
        <x:v>543</x:v>
      </x:c>
      <x:c r="E214" s="1" t="s">
        <x:v>372</x:v>
      </x:c>
      <x:c r="F214" s="1">
        <x:v>14.0</x:v>
      </x:c>
      <x:c r="G214" s="1" t="s">
        <x:v>1066</x:v>
      </x:c>
      <x:c r="H214" s="1" t="s">
        <x:v>1065</x:v>
      </x:c>
      <x:c r="I214" s="1" t="s">
        <x:v>1060</x:v>
      </x:c>
      <x:c r="J214" s="1">
        <x:v>-17.0</x:v>
      </x:c>
      <x:c r="K214" s="1">
        <x:v>213.0</x:v>
      </x:c>
      <x:c r="L214" s="1" t="str">
        <x:f t="shared" si="1"/>
        <x:v>James Conner</x:v>
      </x:c>
      <x:c r="M214" s="127" t="n">
        <x:f>IFERROR(VLOOKUP(E214,RISK!A:B,2,FALSE()),"")</x:f>
        <x:v>3.368</x:v>
      </x:c>
      <x:c r="N214" s="118">
        <x:f t="shared" si="2"/>
        <x:v>56.97775059</x:v>
      </x:c>
      <x:c r="Q214" s="9" t="s">
        <x:v>373</x:v>
      </x:c>
      <x:c r="R214" s="118" t="n">
        <x:f>Aggregate!BQ68</x:f>
        <x:v>85.02917647</x:v>
      </x:c>
      <x:c r="S214" s="9"/>
      <x:c r="T214" s="9"/>
    </x:row>
    <x:row r="215" ht="14.25" customHeight="1">
      <x:c r="A215" s="1">
        <x:v>212.0</x:v>
      </x:c>
      <x:c r="B215" s="1">
        <x:v>8.0</x:v>
      </x:c>
      <x:c r="C215" s="1" t="s">
        <x:v>1089</x:v>
      </x:c>
      <x:c r="D215" s="1" t="s">
        <x:v>525</x:v>
      </x:c>
      <x:c r="E215" s="1" t="s">
        <x:v>1090</x:v>
      </x:c>
      <x:c r="F215" s="1">
        <x:v>6.0</x:v>
      </x:c>
      <x:c r="G215" s="1" t="s">
        <x:v>1067</x:v>
      </x:c>
      <x:c r="H215" s="1" t="s">
        <x:v>1067</x:v>
      </x:c>
      <x:c r="I215" s="1" t="s">
        <x:v>1063</x:v>
      </x:c>
      <x:c r="J215" s="1">
        <x:v>-32.0</x:v>
      </x:c>
      <x:c r="K215" s="1">
        <x:v>214.0</x:v>
      </x:c>
      <x:c r="L215" s="1" t="str">
        <x:f t="shared" si="1"/>
        <x:v>Minnesota Vikings</x:v>
      </x:c>
      <x:c r="M215" s="127" t="str">
        <x:f>IFERROR(VLOOKUP(E215,RISK!A:B,2,FALSE()),"")</x:f>
      </x:c>
      <x:c r="N215" s="118" t="str">
        <x:f t="shared" si="2"/>
        <x:v>#N/A</x:v>
      </x:c>
      <x:c r="Q215" s="9" t="s">
        <x:v>376</x:v>
      </x:c>
      <x:c r="R215" s="118" t="n">
        <x:f>Aggregate!BQ69</x:f>
        <x:v>83.10458824</x:v>
      </x:c>
      <x:c r="S215" s="9"/>
      <x:c r="T215" s="9"/>
    </x:row>
    <x:row r="216" ht="14.25" customHeight="1">
      <x:c r="A216" s="1">
        <x:v>213.0</x:v>
      </x:c>
      <x:c r="B216" s="1">
        <x:v>8.0</x:v>
      </x:c>
      <x:c r="C216" s="1" t="s">
        <x:v>1091</x:v>
      </x:c>
      <x:c r="D216" s="1" t="s">
        <x:v>513</x:v>
      </x:c>
      <x:c r="E216" s="1" t="s">
        <x:v>1092</x:v>
      </x:c>
      <x:c r="F216" s="1">
        <x:v>7.0</x:v>
      </x:c>
      <x:c r="G216" s="1" t="s">
        <x:v>1057</x:v>
      </x:c>
      <x:c r="H216" s="1" t="s">
        <x:v>1058</x:v>
      </x:c>
      <x:c r="I216" s="1" t="s">
        <x:v>1060</x:v>
      </x:c>
      <x:c r="J216" s="1">
        <x:v>-74.0</x:v>
      </x:c>
      <x:c r="K216" s="1">
        <x:v>215.0</x:v>
      </x:c>
      <x:c r="L216" s="1" t="str">
        <x:f t="shared" si="1"/>
        <x:v>Cameron Dicker</x:v>
      </x:c>
      <x:c r="M216" s="127" t="str">
        <x:f>IFERROR(VLOOKUP(E216,RISK!A:B,2,FALSE()),"")</x:f>
      </x:c>
      <x:c r="N216" s="118" t="str">
        <x:f t="shared" si="2"/>
        <x:v>#N/A</x:v>
      </x:c>
      <x:c r="Q216" s="9" t="s">
        <x:v>379</x:v>
      </x:c>
      <x:c r="R216" s="118" t="n">
        <x:f>Aggregate!BQ70</x:f>
        <x:v>81.56549647</x:v>
      </x:c>
      <x:c r="S216" s="9"/>
      <x:c r="T216" s="9"/>
    </x:row>
    <x:row r="217" ht="14.25" customHeight="1">
      <x:c r="A217" s="1">
        <x:v>214.0</x:v>
      </x:c>
      <x:c r="B217" s="1">
        <x:v>8.0</x:v>
      </x:c>
      <x:c r="C217" s="1" t="s">
        <x:v>840</x:v>
      </x:c>
      <x:c r="D217" s="1" t="s">
        <x:v>501</x:v>
      </x:c>
      <x:c r="E217" s="1" t="s">
        <x:v>412</x:v>
      </x:c>
      <x:c r="F217" s="1">
        <x:v>8.0</x:v>
      </x:c>
      <x:c r="G217" s="1" t="s">
        <x:v>1066</x:v>
      </x:c>
      <x:c r="H217" s="1" t="s">
        <x:v>1065</x:v>
      </x:c>
      <x:c r="I217" s="1" t="s">
        <x:v>1061</x:v>
      </x:c>
      <x:c r="J217" s="1">
        <x:v>80.0</x:v>
      </x:c>
      <x:c r="K217" s="1">
        <x:v>216.0</x:v>
      </x:c>
      <x:c r="L217" s="1" t="str">
        <x:f t="shared" si="1"/>
        <x:v>Darnell Mooney</x:v>
      </x:c>
      <x:c r="M217" s="127" t="n">
        <x:f>IFERROR(VLOOKUP(E217,RISK!A:B,2,FALSE()),"")</x:f>
        <x:v>3.7</x:v>
      </x:c>
      <x:c r="N217" s="118">
        <x:f t="shared" si="2"/>
        <x:v>67.17970588</x:v>
      </x:c>
      <x:c r="Q217" s="9" t="s">
        <x:v>382</x:v>
      </x:c>
      <x:c r="R217" s="118" t="n">
        <x:f>Aggregate!BQ71</x:f>
        <x:v>81.20170588</x:v>
      </x:c>
      <x:c r="S217" s="9"/>
      <x:c r="T217" s="9"/>
    </x:row>
    <x:row r="218" ht="14.25" customHeight="1">
      <x:c r="A218" s="1">
        <x:v>215.0</x:v>
      </x:c>
      <x:c r="B218" s="1">
        <x:v>8.0</x:v>
      </x:c>
      <x:c r="C218" s="1" t="s">
        <x:v>1093</x:v>
      </x:c>
      <x:c r="D218" s="1" t="s">
        <x:v>535</x:v>
      </x:c>
      <x:c r="E218" s="1" t="s">
        <x:v>1094</x:v>
      </x:c>
      <x:c r="F218" s="1">
        <x:v>8.0</x:v>
      </x:c>
      <x:c r="G218" s="1" t="s">
        <x:v>1057</x:v>
      </x:c>
      <x:c r="H218" s="1" t="s">
        <x:v>1058</x:v>
      </x:c>
      <x:c r="I218" s="1" t="s">
        <x:v>1060</x:v>
      </x:c>
      <x:c r="J218" s="1">
        <x:v>-80.0</x:v>
      </x:c>
      <x:c r="K218" s="1">
        <x:v>217.0</x:v>
      </x:c>
      <x:c r="L218" s="1" t="str">
        <x:f t="shared" si="1"/>
        <x:v>Ka'imi Fairbairn</x:v>
      </x:c>
      <x:c r="M218" s="127" t="str">
        <x:f>IFERROR(VLOOKUP(E218,RISK!A:B,2,FALSE()),"")</x:f>
      </x:c>
      <x:c r="N218" s="118" t="str">
        <x:f t="shared" si="2"/>
        <x:v>#N/A</x:v>
      </x:c>
      <x:c r="Q218" s="9" t="s">
        <x:v>385</x:v>
      </x:c>
      <x:c r="R218" s="118" t="n">
        <x:f>Aggregate!BQ72</x:f>
        <x:v>81.14353412</x:v>
      </x:c>
      <x:c r="S218" s="9"/>
      <x:c r="T218" s="9"/>
    </x:row>
    <x:row r="219" ht="14.25" customHeight="1">
      <x:c r="A219" s="1">
        <x:v>216.0</x:v>
      </x:c>
      <x:c r="B219" s="1">
        <x:v>8.0</x:v>
      </x:c>
      <x:c r="C219" s="1" t="s">
        <x:v>801</x:v>
      </x:c>
      <x:c r="D219" s="1" t="s">
        <x:v>533</x:v>
      </x:c>
      <x:c r="E219" s="1" t="s">
        <x:v>415</x:v>
      </x:c>
      <x:c r="F219" s="1">
        <x:v>11.0</x:v>
      </x:c>
      <x:c r="G219" s="1" t="s">
        <x:v>1066</x:v>
      </x:c>
      <x:c r="H219" s="1" t="s">
        <x:v>1065</x:v>
      </x:c>
      <x:c r="I219" s="1" t="s">
        <x:v>1064</x:v>
      </x:c>
      <x:c r="J219" s="1">
        <x:v>-21.0</x:v>
      </x:c>
      <x:c r="K219" s="1">
        <x:v>218.0</x:v>
      </x:c>
      <x:c r="L219" s="1" t="str">
        <x:f t="shared" si="1"/>
        <x:v>Cooper Kupp</x:v>
      </x:c>
      <x:c r="M219" s="127" t="n">
        <x:f>IFERROR(VLOOKUP(E219,RISK!A:B,2,FALSE()),"")</x:f>
        <x:v>3.7</x:v>
      </x:c>
      <x:c r="N219" s="118">
        <x:f t="shared" si="2"/>
        <x:v>66.38006118</x:v>
      </x:c>
      <x:c r="Q219" s="9" t="s">
        <x:v>388</x:v>
      </x:c>
      <x:c r="R219" s="118" t="n">
        <x:f>Aggregate!BQ73</x:f>
        <x:v>79.81252941</x:v>
      </x:c>
      <x:c r="S219" s="9"/>
      <x:c r="T219" s="9"/>
    </x:row>
    <x:row r="220" ht="14.25" customHeight="1">
      <x:c r="A220" s="1">
        <x:v>217.0</x:v>
      </x:c>
      <x:c r="B220" s="1">
        <x:v>8.0</x:v>
      </x:c>
      <x:c r="C220" s="1" t="s">
        <x:v>680</x:v>
      </x:c>
      <x:c r="D220" s="1" t="s">
        <x:v>533</x:v>
      </x:c>
      <x:c r="E220" s="1" t="s">
        <x:v>375</x:v>
      </x:c>
      <x:c r="F220" s="1">
        <x:v>11.0</x:v>
      </x:c>
      <x:c r="G220" s="1" t="s">
        <x:v>1066</x:v>
      </x:c>
      <x:c r="H220" s="1" t="s">
        <x:v>1065</x:v>
      </x:c>
      <x:c r="I220" s="1" t="s">
        <x:v>1061</x:v>
      </x:c>
      <x:c r="J220" s="1">
        <x:v>45.0</x:v>
      </x:c>
      <x:c r="K220" s="1">
        <x:v>219.0</x:v>
      </x:c>
      <x:c r="L220" s="1" t="str">
        <x:f t="shared" si="1"/>
        <x:v>George Holani</x:v>
      </x:c>
      <x:c r="M220" s="127" t="n">
        <x:f>IFERROR(VLOOKUP(E220,RISK!A:B,2,FALSE()),"")</x:f>
        <x:v>3.368</x:v>
      </x:c>
      <x:c r="N220" s="118">
        <x:f t="shared" si="2"/>
        <x:v>55.37274353</x:v>
      </x:c>
      <x:c r="Q220" s="9" t="s">
        <x:v>391</x:v>
      </x:c>
      <x:c r="R220" s="118" t="n">
        <x:f>Aggregate!BQ74</x:f>
        <x:v>79.53035294</x:v>
      </x:c>
      <x:c r="S220" s="9"/>
      <x:c r="T220" s="9"/>
    </x:row>
    <x:row r="221" ht="14.25" customHeight="1">
      <x:c r="A221" s="1">
        <x:v>218.0</x:v>
      </x:c>
      <x:c r="B221" s="1">
        <x:v>9.0</x:v>
      </x:c>
      <x:c r="C221" s="1" t="s">
        <x:v>1095</x:v>
      </x:c>
      <x:c r="D221" s="1" t="s">
        <x:v>505</x:v>
      </x:c>
      <x:c r="E221" s="1" t="s">
        <x:v>1096</x:v>
      </x:c>
      <x:c r="F221" s="1">
        <x:v>7.0</x:v>
      </x:c>
      <x:c r="G221" s="1" t="s">
        <x:v>1067</x:v>
      </x:c>
      <x:c r="H221" s="1" t="s">
        <x:v>1067</x:v>
      </x:c>
      <x:c r="I221" s="1" t="s">
        <x:v>1061</x:v>
      </x:c>
      <x:c r="J221" s="1">
        <x:v>-55.0</x:v>
      </x:c>
      <x:c r="K221" s="1">
        <x:v>220.0</x:v>
      </x:c>
      <x:c r="L221" s="1" t="str">
        <x:f t="shared" si="1"/>
        <x:v>Cam Little</x:v>
      </x:c>
      <x:c r="M221" s="127" t="str">
        <x:f>IFERROR(VLOOKUP(E221,RISK!A:B,2,FALSE()),"")</x:f>
      </x:c>
      <x:c r="N221" s="118" t="str">
        <x:f t="shared" si="2"/>
        <x:v>#N/A</x:v>
      </x:c>
      <x:c r="Q221" s="9" t="s">
        <x:v>394</x:v>
      </x:c>
      <x:c r="R221" s="118" t="n">
        <x:f>Aggregate!BQ75</x:f>
        <x:v>77.00726118</x:v>
      </x:c>
      <x:c r="S221" s="9"/>
      <x:c r="T221" s="9"/>
    </x:row>
    <x:row r="222" ht="14.25" customHeight="1">
      <x:c r="A222" s="1">
        <x:v>219.0</x:v>
      </x:c>
      <x:c r="B222" s="1">
        <x:v>9.0</x:v>
      </x:c>
      <x:c r="C222" s="1" t="s">
        <x:v>813</x:v>
      </x:c>
      <x:c r="D222" s="1" t="s">
        <x:v>515</x:v>
      </x:c>
      <x:c r="E222" s="1" t="s">
        <x:v>418</x:v>
      </x:c>
      <x:c r="F222" s="1">
        <x:v>10.0</x:v>
      </x:c>
      <x:c r="G222" s="1" t="s">
        <x:v>1058</x:v>
      </x:c>
      <x:c r="H222" s="1" t="s">
        <x:v>1065</x:v>
      </x:c>
      <x:c r="I222" s="1" t="s">
        <x:v>1060</x:v>
      </x:c>
      <x:c r="J222" s="1">
        <x:v>89.0</x:v>
      </x:c>
      <x:c r="K222" s="1">
        <x:v>221.0</x:v>
      </x:c>
      <x:c r="L222" s="1" t="str">
        <x:f t="shared" si="1"/>
        <x:v>Troy Franklin</x:v>
      </x:c>
      <x:c r="M222" s="127" t="n">
        <x:f>IFERROR(VLOOKUP(E222,RISK!A:B,2,FALSE()),"")</x:f>
        <x:v>3.7</x:v>
      </x:c>
      <x:c r="N222" s="118">
        <x:f t="shared" si="2"/>
        <x:v>65.94247059</x:v>
      </x:c>
      <x:c r="Q222" s="9" t="s">
        <x:v>397</x:v>
      </x:c>
      <x:c r="R222" s="118" t="n">
        <x:f>Aggregate!BQ76</x:f>
        <x:v>76.05741176</x:v>
      </x:c>
      <x:c r="S222" s="9"/>
      <x:c r="T222" s="9"/>
    </x:row>
    <x:row r="223" ht="14.25" customHeight="1">
      <x:c r="A223" s="1">
        <x:v>220.0</x:v>
      </x:c>
      <x:c r="B223" s="1">
        <x:v>9.0</x:v>
      </x:c>
      <x:c r="C223" s="1" t="s">
        <x:v>675</x:v>
      </x:c>
      <x:c r="D223" s="1" t="s">
        <x:v>529</x:v>
      </x:c>
      <x:c r="E223" s="1" t="s">
        <x:v>378</x:v>
      </x:c>
      <x:c r="F223" s="1">
        <x:v>6.0</x:v>
      </x:c>
      <x:c r="G223" s="1" t="s">
        <x:v>1067</x:v>
      </x:c>
      <x:c r="H223" s="1" t="s">
        <x:v>1067</x:v>
      </x:c>
      <x:c r="I223" s="1" t="s">
        <x:v>1064</x:v>
      </x:c>
      <x:c r="J223" s="1">
        <x:v>29.0</x:v>
      </x:c>
      <x:c r="K223" s="1">
        <x:v>222.0</x:v>
      </x:c>
      <x:c r="L223" s="1" t="str">
        <x:f t="shared" si="1"/>
        <x:v>Jaylen Wright</x:v>
      </x:c>
      <x:c r="M223" s="127" t="n">
        <x:f>IFERROR(VLOOKUP(E223,RISK!A:B,2,FALSE()),"")</x:f>
        <x:v>3.368</x:v>
      </x:c>
      <x:c r="N223" s="118">
        <x:f t="shared" si="2"/>
        <x:v>51.13730824</x:v>
      </x:c>
      <x:c r="Q223" s="9" t="s">
        <x:v>400</x:v>
      </x:c>
      <x:c r="R223" s="118" t="n">
        <x:f>Aggregate!BQ77</x:f>
        <x:v>75.01726588</x:v>
      </x:c>
      <x:c r="S223" s="9"/>
      <x:c r="T223" s="9"/>
    </x:row>
    <x:row r="224" ht="14.25" customHeight="1">
      <x:c r="A224" s="1">
        <x:v>221.0</x:v>
      </x:c>
      <x:c r="B224" s="1">
        <x:v>9.0</x:v>
      </x:c>
      <x:c r="C224" s="1" t="s">
        <x:v>1097</x:v>
      </x:c>
      <x:c r="D224" s="1" t="s">
        <x:v>491</x:v>
      </x:c>
      <x:c r="E224" s="1" t="s">
        <x:v>1098</x:v>
      </x:c>
      <x:c r="F224" s="1">
        <x:v>13.0</x:v>
      </x:c>
      <x:c r="G224" s="1" t="s">
        <x:v>1067</x:v>
      </x:c>
      <x:c r="H224" s="1" t="s">
        <x:v>1067</x:v>
      </x:c>
      <x:c r="I224" s="1" t="s">
        <x:v>1059</x:v>
      </x:c>
      <x:c r="J224" s="1">
        <x:v>-30.0</x:v>
      </x:c>
      <x:c r="K224" s="1">
        <x:v>223.0</x:v>
      </x:c>
      <x:c r="L224" s="1" t="str">
        <x:f t="shared" si="1"/>
        <x:v>Baltimore Ravens</x:v>
      </x:c>
      <x:c r="M224" s="127" t="str">
        <x:f>IFERROR(VLOOKUP(E224,RISK!A:B,2,FALSE()),"")</x:f>
      </x:c>
      <x:c r="N224" s="118" t="str">
        <x:f t="shared" si="2"/>
        <x:v>#N/A</x:v>
      </x:c>
      <x:c r="Q224" s="9" t="s">
        <x:v>403</x:v>
      </x:c>
      <x:c r="R224" s="118" t="n">
        <x:f>Aggregate!BQ78</x:f>
        <x:v>73.95917647</x:v>
      </x:c>
      <x:c r="S224" s="9"/>
      <x:c r="T224" s="9"/>
    </x:row>
    <x:row r="225" ht="14.25" customHeight="1">
      <x:c r="A225" s="1">
        <x:v>222.0</x:v>
      </x:c>
      <x:c r="B225" s="1">
        <x:v>9.0</x:v>
      </x:c>
      <x:c r="C225" s="1" t="s">
        <x:v>1099</x:v>
      </x:c>
      <x:c r="D225" s="1" t="s">
        <x:v>509</x:v>
      </x:c>
      <x:c r="E225" s="1" t="s">
        <x:v>1100</x:v>
      </x:c>
      <x:c r="F225" s="1">
        <x:v>5.0</x:v>
      </x:c>
      <x:c r="G225" s="1" t="s">
        <x:v>1067</x:v>
      </x:c>
      <x:c r="H225" s="1" t="s">
        <x:v>1067</x:v>
      </x:c>
      <x:c r="I225" s="1" t="s">
        <x:v>1064</x:v>
      </x:c>
      <x:c r="J225" s="1">
        <x:v>6.0</x:v>
      </x:c>
      <x:c r="K225" s="1">
        <x:v>224.0</x:v>
      </x:c>
      <x:c r="L225" s="1" t="str">
        <x:f t="shared" si="1"/>
        <x:v>Kansas City Chiefs</x:v>
      </x:c>
      <x:c r="M225" s="127" t="str">
        <x:f>IFERROR(VLOOKUP(E225,RISK!A:B,2,FALSE()),"")</x:f>
      </x:c>
      <x:c r="N225" s="118" t="str">
        <x:f t="shared" si="2"/>
        <x:v>#N/A</x:v>
      </x:c>
      <x:c r="Q225" s="9" t="s">
        <x:v>406</x:v>
      </x:c>
      <x:c r="R225" s="118" t="n">
        <x:f>Aggregate!BQ79</x:f>
        <x:v>73.31523529</x:v>
      </x:c>
      <x:c r="S225" s="9"/>
      <x:c r="T225" s="9"/>
    </x:row>
    <x:row r="226" ht="14.25" customHeight="1">
      <x:c r="A226" s="1">
        <x:v>223.0</x:v>
      </x:c>
      <x:c r="B226" s="1">
        <x:v>9.0</x:v>
      </x:c>
      <x:c r="C226" s="1" t="s">
        <x:v>1101</x:v>
      </x:c>
      <x:c r="D226" s="1" t="s">
        <x:v>533</x:v>
      </x:c>
      <x:c r="E226" s="1" t="s">
        <x:v>1102</x:v>
      </x:c>
      <x:c r="F226" s="1">
        <x:v>11.0</x:v>
      </x:c>
      <x:c r="G226" s="1" t="s">
        <x:v>1065</x:v>
      </x:c>
      <x:c r="H226" s="1" t="s">
        <x:v>1058</x:v>
      </x:c>
      <x:c r="I226" s="1" t="s">
        <x:v>1061</x:v>
      </x:c>
      <x:c r="J226" s="1">
        <x:v>-75.0</x:v>
      </x:c>
      <x:c r="K226" s="1">
        <x:v>225.0</x:v>
      </x:c>
      <x:c r="L226" s="1" t="str">
        <x:f t="shared" si="1"/>
        <x:v>Jason Myers</x:v>
      </x:c>
      <x:c r="M226" s="127" t="str">
        <x:f>IFERROR(VLOOKUP(E226,RISK!A:B,2,FALSE()),"")</x:f>
      </x:c>
      <x:c r="N226" s="118" t="str">
        <x:f t="shared" si="2"/>
        <x:v>#N/A</x:v>
      </x:c>
      <x:c r="Q226" s="9" t="s">
        <x:v>409</x:v>
      </x:c>
      <x:c r="R226" s="118" t="n">
        <x:f>Aggregate!BQ80</x:f>
        <x:v>68.18541176</x:v>
      </x:c>
      <x:c r="S226" s="9"/>
      <x:c r="T226" s="9"/>
    </x:row>
    <x:row r="227" ht="14.25" customHeight="1">
      <x:c r="A227" s="1">
        <x:v>224.0</x:v>
      </x:c>
      <x:c r="B227" s="1">
        <x:v>9.0</x:v>
      </x:c>
      <x:c r="C227" s="1" t="s">
        <x:v>1103</x:v>
      </x:c>
      <x:c r="D227" s="1" t="s">
        <x:v>491</x:v>
      </x:c>
      <x:c r="E227" s="1" t="s">
        <x:v>1104</x:v>
      </x:c>
      <x:c r="F227" s="1">
        <x:v>13.0</x:v>
      </x:c>
      <x:c r="G227" s="1" t="s">
        <x:v>1067</x:v>
      </x:c>
      <x:c r="H227" s="1" t="s">
        <x:v>1067</x:v>
      </x:c>
      <x:c r="I227" s="1" t="s">
        <x:v>1064</x:v>
      </x:c>
      <x:c r="J227" s="1">
        <x:v>-27.0</x:v>
      </x:c>
      <x:c r="K227" s="1">
        <x:v>226.0</x:v>
      </x:c>
      <x:c r="L227" s="1" t="str">
        <x:f t="shared" si="1"/>
        <x:v>Tyler Loop</x:v>
      </x:c>
      <x:c r="M227" s="127" t="str">
        <x:f>IFERROR(VLOOKUP(E227,RISK!A:B,2,FALSE()),"")</x:f>
      </x:c>
      <x:c r="N227" s="118" t="str">
        <x:f t="shared" si="2"/>
        <x:v>#N/A</x:v>
      </x:c>
      <x:c r="Q227" s="9" t="s">
        <x:v>412</x:v>
      </x:c>
      <x:c r="R227" s="118" t="n">
        <x:f>Aggregate!BQ81</x:f>
        <x:v>67.17970588</x:v>
      </x:c>
      <x:c r="S227" s="9"/>
      <x:c r="T227" s="9"/>
    </x:row>
    <x:row r="228" ht="14.25" customHeight="1">
      <x:c r="A228" s="1">
        <x:v>225.0</x:v>
      </x:c>
      <x:c r="B228" s="1">
        <x:v>9.0</x:v>
      </x:c>
      <x:c r="C228" s="1" t="s">
        <x:v>954</x:v>
      </x:c>
      <x:c r="D228" s="1" t="s">
        <x:v>513</x:v>
      </x:c>
      <x:c r="E228" s="1" t="s">
        <x:v>244</x:v>
      </x:c>
      <x:c r="F228" s="1">
        <x:v>7.0</x:v>
      </x:c>
      <x:c r="G228" s="1" t="s">
        <x:v>1065</x:v>
      </x:c>
      <x:c r="H228" s="1" t="s">
        <x:v>1065</x:v>
      </x:c>
      <x:c r="I228" s="1" t="s">
        <x:v>1061</x:v>
      </x:c>
      <x:c r="J228" s="1">
        <x:v>-48.0</x:v>
      </x:c>
      <x:c r="K228" s="1">
        <x:v>227.0</x:v>
      </x:c>
      <x:c r="L228" s="1" t="str">
        <x:f t="shared" si="1"/>
        <x:v>David Njoku</x:v>
      </x:c>
      <x:c r="M228" s="127" t="n">
        <x:f>IFERROR(VLOOKUP(E228,RISK!A:B,2,FALSE()),"")</x:f>
        <x:v>2.1938</x:v>
      </x:c>
      <x:c r="N228" s="118">
        <x:f t="shared" si="2"/>
        <x:v>73.32716459</x:v>
      </x:c>
      <x:c r="Q228" s="9" t="s">
        <x:v>415</x:v>
      </x:c>
      <x:c r="R228" s="118" t="n">
        <x:f>Aggregate!BQ82</x:f>
        <x:v>66.38006118</x:v>
      </x:c>
      <x:c r="S228" s="9"/>
      <x:c r="T228" s="9"/>
    </x:row>
    <x:row r="229" ht="14.25" customHeight="1">
      <x:c r="A229" s="1">
        <x:v>226.0</x:v>
      </x:c>
      <x:c r="B229" s="1">
        <x:v>9.0</x:v>
      </x:c>
      <x:c r="C229" s="1" t="s">
        <x:v>1105</x:v>
      </x:c>
      <x:c r="D229" s="1" t="s">
        <x:v>503</x:v>
      </x:c>
      <x:c r="E229" s="1" t="s">
        <x:v>1106</x:v>
      </x:c>
      <x:c r="F229" s="1">
        <x:v>8.0</x:v>
      </x:c>
      <x:c r="G229" s="1" t="s">
        <x:v>1065</x:v>
      </x:c>
      <x:c r="H229" s="1" t="s">
        <x:v>1058</x:v>
      </x:c>
      <x:c r="I229" s="1" t="s">
        <x:v>1059</x:v>
      </x:c>
      <x:c r="J229" s="1">
        <x:v>-28.0</x:v>
      </x:c>
      <x:c r="K229" s="1">
        <x:v>228.0</x:v>
      </x:c>
      <x:c r="L229" s="1" t="str">
        <x:f t="shared" si="1"/>
        <x:v>Eddy Pineiro</x:v>
      </x:c>
      <x:c r="M229" s="127" t="str">
        <x:f>IFERROR(VLOOKUP(E229,RISK!A:B,2,FALSE()),"")</x:f>
      </x:c>
      <x:c r="N229" s="118" t="str">
        <x:f t="shared" si="2"/>
        <x:v>#N/A</x:v>
      </x:c>
      <x:c r="Q229" s="9" t="s">
        <x:v>418</x:v>
      </x:c>
      <x:c r="R229" s="118" t="n">
        <x:f>Aggregate!BQ83</x:f>
        <x:v>65.94247059</x:v>
      </x:c>
      <x:c r="S229" s="9"/>
      <x:c r="T229" s="9"/>
    </x:row>
    <x:row r="230" ht="14.25" customHeight="1">
      <x:c r="A230" s="1">
        <x:v>227.0</x:v>
      </x:c>
      <x:c r="B230" s="1">
        <x:v>9.0</x:v>
      </x:c>
      <x:c r="C230" s="1" t="s">
        <x:v>1107</x:v>
      </x:c>
      <x:c r="D230" s="1" t="s">
        <x:v>519</x:v>
      </x:c>
      <x:c r="E230" s="1" t="s">
        <x:v>1108</x:v>
      </x:c>
      <x:c r="F230" s="1">
        <x:v>6.0</x:v>
      </x:c>
      <x:c r="G230" s="1" t="s">
        <x:v>1065</x:v>
      </x:c>
      <x:c r="H230" s="1" t="s">
        <x:v>1062</x:v>
      </x:c>
      <x:c r="I230" s="1" t="s">
        <x:v>1059</x:v>
      </x:c>
      <x:c r="J230" s="1">
        <x:v>-42.0</x:v>
      </x:c>
      <x:c r="K230" s="1">
        <x:v>229.0</x:v>
      </x:c>
      <x:c r="L230" s="1" t="str">
        <x:f t="shared" si="1"/>
        <x:v>Jake Bates</x:v>
      </x:c>
      <x:c r="M230" s="127" t="str">
        <x:f>IFERROR(VLOOKUP(E230,RISK!A:B,2,FALSE()),"")</x:f>
      </x:c>
      <x:c r="N230" s="118" t="str">
        <x:f t="shared" si="2"/>
        <x:v>#N/A</x:v>
      </x:c>
      <x:c r="Q230" s="9" t="s">
        <x:v>421</x:v>
      </x:c>
      <x:c r="R230" s="118" t="n">
        <x:f>Aggregate!BQ84</x:f>
        <x:v>65.39982353</x:v>
      </x:c>
      <x:c r="S230" s="9"/>
      <x:c r="T230" s="9"/>
    </x:row>
    <x:row r="231" ht="14.25" customHeight="1">
      <x:c r="A231" s="1">
        <x:v>228.0</x:v>
      </x:c>
      <x:c r="B231" s="1">
        <x:v>9.0</x:v>
      </x:c>
      <x:c r="C231" s="1" t="s">
        <x:v>546</x:v>
      </x:c>
      <x:c r="D231" s="1" t="s">
        <x:v>547</x:v>
      </x:c>
      <x:c r="E231" s="1" t="s">
        <x:v>245</x:v>
      </x:c>
      <x:c r="F231" s="1">
        <x:v>13.0</x:v>
      </x:c>
      <x:c r="G231" s="1" t="s">
        <x:v>1065</x:v>
      </x:c>
      <x:c r="H231" s="1" t="s">
        <x:v>1066</x:v>
      </x:c>
      <x:c r="I231" s="1" t="s">
        <x:v>1063</x:v>
      </x:c>
      <x:c r="J231" s="1">
        <x:v>-63.0</x:v>
      </x:c>
      <x:c r="K231" s="1">
        <x:v>230.0</x:v>
      </x:c>
      <x:c r="L231" s="1" t="str">
        <x:f t="shared" si="1"/>
        <x:v>Fernando Mendoza</x:v>
      </x:c>
      <x:c r="M231" s="127" t="n">
        <x:f>IFERROR(VLOOKUP(E231,RISK!A:B,2,FALSE()),"")</x:f>
        <x:v>3.2</x:v>
      </x:c>
      <x:c r="N231" s="118">
        <x:f t="shared" si="2"/>
        <x:v>144.2785882</x:v>
      </x:c>
      <x:c r="Q231" s="9" t="s">
        <x:v>424</x:v>
      </x:c>
      <x:c r="R231" s="118" t="n">
        <x:f>Aggregate!BQ85</x:f>
        <x:v>64.61117647</x:v>
      </x:c>
      <x:c r="S231" s="9"/>
      <x:c r="T231" s="9"/>
    </x:row>
    <x:row r="232" ht="14.25" customHeight="1">
      <x:c r="A232" s="1">
        <x:v>229.0</x:v>
      </x:c>
      <x:c r="B232" s="1">
        <x:v>9.0</x:v>
      </x:c>
      <x:c r="C232" s="1" t="s">
        <x:v>1109</x:v>
      </x:c>
      <x:c r="D232" s="1" t="s">
        <x:v>531</x:v>
      </x:c>
      <x:c r="E232" s="1" t="s">
        <x:v>1110</x:v>
      </x:c>
      <x:c r="F232" s="1">
        <x:v>11.0</x:v>
      </x:c>
      <x:c r="G232" s="1" t="s">
        <x:v>1067</x:v>
      </x:c>
      <x:c r="H232" s="1" t="s">
        <x:v>1067</x:v>
      </x:c>
      <x:c r="I232" s="1" t="s">
        <x:v>1060</x:v>
      </x:c>
      <x:c r="J232" s="1">
        <x:v>-27.0</x:v>
      </x:c>
      <x:c r="K232" s="1">
        <x:v>231.0</x:v>
      </x:c>
      <x:c r="L232" s="1" t="str">
        <x:f t="shared" si="1"/>
        <x:v>Green Bay Packers</x:v>
      </x:c>
      <x:c r="M232" s="127" t="str">
        <x:f>IFERROR(VLOOKUP(E232,RISK!A:B,2,FALSE()),"")</x:f>
      </x:c>
      <x:c r="N232" s="118" t="str">
        <x:f t="shared" si="2"/>
        <x:v>#N/A</x:v>
      </x:c>
      <x:c r="Q232" s="9" t="s">
        <x:v>427</x:v>
      </x:c>
      <x:c r="R232" s="118" t="n">
        <x:f>Aggregate!BQ86</x:f>
        <x:v>63.76464706</x:v>
      </x:c>
      <x:c r="S232" s="9"/>
      <x:c r="T232" s="9"/>
    </x:row>
    <x:row r="233" ht="14.25" customHeight="1">
      <x:c r="A233" s="1">
        <x:v>230.0</x:v>
      </x:c>
      <x:c r="B233" s="1">
        <x:v>9.0</x:v>
      </x:c>
      <x:c r="C233" s="1" t="s">
        <x:v>807</x:v>
      </x:c>
      <x:c r="D233" s="1" t="s">
        <x:v>545</x:v>
      </x:c>
      <x:c r="E233" s="1" t="s">
        <x:v>421</x:v>
      </x:c>
      <x:c r="F233" s="1">
        <x:v>9.0</x:v>
      </x:c>
      <x:c r="G233" s="1" t="s">
        <x:v>1062</x:v>
      </x:c>
      <x:c r="H233" s="1" t="s">
        <x:v>1065</x:v>
      </x:c>
      <x:c r="I233" s="1" t="s">
        <x:v>1064</x:v>
      </x:c>
      <x:c r="J233" s="1">
        <x:v>28.0</x:v>
      </x:c>
      <x:c r="K233" s="1">
        <x:v>232.0</x:v>
      </x:c>
      <x:c r="L233" s="1" t="str">
        <x:f t="shared" si="1"/>
        <x:v>Germie Bernard</x:v>
      </x:c>
      <x:c r="M233" s="127" t="n">
        <x:f>IFERROR(VLOOKUP(E233,RISK!A:B,2,FALSE()),"")</x:f>
        <x:v>3.7</x:v>
      </x:c>
      <x:c r="N233" s="118">
        <x:f t="shared" si="2"/>
        <x:v>65.39982353</x:v>
      </x:c>
      <x:c r="Q233" s="9" t="s">
        <x:v>430</x:v>
      </x:c>
      <x:c r="R233" s="118" t="n">
        <x:f>Aggregate!BQ87</x:f>
        <x:v>59.76352941</x:v>
      </x:c>
      <x:c r="S233" s="9"/>
      <x:c r="T233" s="9"/>
    </x:row>
    <x:row r="234" ht="14.25" customHeight="1">
      <x:c r="A234" s="1">
        <x:v>231.0</x:v>
      </x:c>
      <x:c r="B234" s="1">
        <x:v>9.0</x:v>
      </x:c>
      <x:c r="C234" s="1" t="s">
        <x:v>951</x:v>
      </x:c>
      <x:c r="D234" s="1" t="s">
        <x:v>515</x:v>
      </x:c>
      <x:c r="E234" s="1" t="s">
        <x:v>248</x:v>
      </x:c>
      <x:c r="F234" s="1">
        <x:v>10.0</x:v>
      </x:c>
      <x:c r="G234" s="1" t="s">
        <x:v>1067</x:v>
      </x:c>
      <x:c r="H234" s="1" t="s">
        <x:v>1067</x:v>
      </x:c>
      <x:c r="I234" s="1" t="s">
        <x:v>1061</x:v>
      </x:c>
      <x:c r="J234" s="1">
        <x:v>49.0</x:v>
      </x:c>
      <x:c r="K234" s="1">
        <x:v>233.0</x:v>
      </x:c>
      <x:c r="L234" s="1" t="str">
        <x:f t="shared" si="1"/>
        <x:v>Evan Engram</x:v>
      </x:c>
      <x:c r="M234" s="127" t="n">
        <x:f>IFERROR(VLOOKUP(E234,RISK!A:B,2,FALSE()),"")</x:f>
        <x:v>2.1938</x:v>
      </x:c>
      <x:c r="N234" s="118">
        <x:f t="shared" si="2"/>
        <x:v>70.17610247</x:v>
      </x:c>
      <x:c r="Q234" s="9" t="s">
        <x:v>433</x:v>
      </x:c>
      <x:c r="R234" s="118" t="n">
        <x:f>Aggregate!BQ88</x:f>
        <x:v>59.32941176</x:v>
      </x:c>
      <x:c r="S234" s="9"/>
      <x:c r="T234" s="9"/>
    </x:row>
    <x:row r="235" ht="14.25" customHeight="1">
      <x:c r="A235" s="1">
        <x:v>232.0</x:v>
      </x:c>
      <x:c r="B235" s="1">
        <x:v>9.0</x:v>
      </x:c>
      <x:c r="C235" s="1" t="s">
        <x:v>1111</x:v>
      </x:c>
      <x:c r="D235" s="1" t="s">
        <x:v>517</x:v>
      </x:c>
      <x:c r="E235" s="1" t="s">
        <x:v>1112</x:v>
      </x:c>
      <x:c r="F235" s="1">
        <x:v>11.0</x:v>
      </x:c>
      <x:c r="G235" s="1" t="s">
        <x:v>1065</x:v>
      </x:c>
      <x:c r="H235" s="1" t="s">
        <x:v>1062</x:v>
      </x:c>
      <x:c r="I235" s="1" t="s">
        <x:v>1060</x:v>
      </x:c>
      <x:c r="J235" s="1">
        <x:v>-46.0</x:v>
      </x:c>
      <x:c r="K235" s="1">
        <x:v>234.0</x:v>
      </x:c>
      <x:c r="L235" s="1" t="str">
        <x:f t="shared" si="1"/>
        <x:v>Harrison Mevis</x:v>
      </x:c>
      <x:c r="M235" s="127" t="str">
        <x:f>IFERROR(VLOOKUP(E235,RISK!A:B,2,FALSE()),"")</x:f>
      </x:c>
      <x:c r="N235" s="118" t="str">
        <x:f t="shared" si="2"/>
        <x:v>#N/A</x:v>
      </x:c>
      <x:c r="Q235" s="9" t="s">
        <x:v>436</x:v>
      </x:c>
      <x:c r="R235" s="118" t="n">
        <x:f>Aggregate!BQ89</x:f>
        <x:v>59.18470588</x:v>
      </x:c>
      <x:c r="S235" s="9"/>
      <x:c r="T235" s="9"/>
    </x:row>
    <x:row r="236" ht="14.25" customHeight="1">
      <x:c r="A236" s="1">
        <x:v>233.0</x:v>
      </x:c>
      <x:c r="B236" s="1">
        <x:v>9.0</x:v>
      </x:c>
      <x:c r="C236" s="1" t="s">
        <x:v>830</x:v>
      </x:c>
      <x:c r="D236" s="1" t="s">
        <x:v>551</x:v>
      </x:c>
      <x:c r="E236" s="1" t="s">
        <x:v>424</x:v>
      </x:c>
      <x:c r="F236" s="1">
        <x:v>11.0</x:v>
      </x:c>
      <x:c r="G236" s="1" t="s">
        <x:v>1066</x:v>
      </x:c>
      <x:c r="H236" s="1" t="s">
        <x:v>1065</x:v>
      </x:c>
      <x:c r="I236" s="1" t="s">
        <x:v>1064</x:v>
      </x:c>
      <x:c r="J236" s="1">
        <x:v>2.0</x:v>
      </x:c>
      <x:c r="K236" s="1">
        <x:v>235.0</x:v>
      </x:c>
      <x:c r="L236" s="1" t="str">
        <x:f t="shared" si="1"/>
        <x:v>Zachariah Branch</x:v>
      </x:c>
      <x:c r="M236" s="127" t="n">
        <x:f>IFERROR(VLOOKUP(E236,RISK!A:B,2,FALSE()),"")</x:f>
        <x:v>3.7</x:v>
      </x:c>
      <x:c r="N236" s="118">
        <x:f t="shared" si="2"/>
        <x:v>64.61117647</x:v>
      </x:c>
      <x:c r="Q236" s="9" t="s">
        <x:v>439</x:v>
      </x:c>
      <x:c r="R236" s="118" t="n">
        <x:f>Aggregate!BQ90</x:f>
        <x:v>58.03429412</x:v>
      </x:c>
      <x:c r="S236" s="9"/>
      <x:c r="T236" s="9"/>
    </x:row>
    <x:row r="237" ht="14.25" customHeight="1">
      <x:c r="A237" s="1">
        <x:v>234.0</x:v>
      </x:c>
      <x:c r="B237" s="1">
        <x:v>9.0</x:v>
      </x:c>
      <x:c r="C237" s="1" t="s">
        <x:v>844</x:v>
      </x:c>
      <x:c r="D237" s="1" t="s">
        <x:v>501</x:v>
      </x:c>
      <x:c r="E237" s="1" t="s">
        <x:v>427</x:v>
      </x:c>
      <x:c r="F237" s="1">
        <x:v>8.0</x:v>
      </x:c>
      <x:c r="G237" s="1" t="s">
        <x:v>1065</x:v>
      </x:c>
      <x:c r="H237" s="1" t="s">
        <x:v>1065</x:v>
      </x:c>
      <x:c r="I237" s="1" t="s">
        <x:v>1061</x:v>
      </x:c>
      <x:c r="J237" s="1">
        <x:v>-2.0</x:v>
      </x:c>
      <x:c r="K237" s="1">
        <x:v>236.0</x:v>
      </x:c>
      <x:c r="L237" s="1" t="str">
        <x:f t="shared" si="1"/>
        <x:v>Malachi Fields</x:v>
      </x:c>
      <x:c r="M237" s="127" t="n">
        <x:f>IFERROR(VLOOKUP(E237,RISK!A:B,2,FALSE()),"")</x:f>
        <x:v>3.7</x:v>
      </x:c>
      <x:c r="N237" s="118">
        <x:f t="shared" si="2"/>
        <x:v>63.76464706</x:v>
      </x:c>
      <x:c r="Q237" s="9" t="s">
        <x:v>442</x:v>
      </x:c>
      <x:c r="R237" s="118" t="n">
        <x:f>Aggregate!BQ91</x:f>
        <x:v>55.87788706</x:v>
      </x:c>
      <x:c r="S237" s="9"/>
      <x:c r="T237" s="9"/>
    </x:row>
    <x:row r="238" ht="14.25" customHeight="1">
      <x:c r="A238" s="1">
        <x:v>235.0</x:v>
      </x:c>
      <x:c r="B238" s="1">
        <x:v>9.0</x:v>
      </x:c>
      <x:c r="C238" s="1" t="s">
        <x:v>958</x:v>
      </x:c>
      <x:c r="D238" s="1" t="s">
        <x:v>517</x:v>
      </x:c>
      <x:c r="E238" s="1" t="s">
        <x:v>252</x:v>
      </x:c>
      <x:c r="F238" s="1">
        <x:v>11.0</x:v>
      </x:c>
      <x:c r="G238" s="1" t="s">
        <x:v>1067</x:v>
      </x:c>
      <x:c r="H238" s="1" t="s">
        <x:v>1067</x:v>
      </x:c>
      <x:c r="I238" s="1" t="s">
        <x:v>1061</x:v>
      </x:c>
      <x:c r="J238" s="1">
        <x:v>40.0</x:v>
      </x:c>
      <x:c r="K238" s="1">
        <x:v>237.0</x:v>
      </x:c>
      <x:c r="L238" s="1" t="str">
        <x:f t="shared" si="1"/>
        <x:v>Colby Parkinson</x:v>
      </x:c>
      <x:c r="M238" s="127" t="n">
        <x:f>IFERROR(VLOOKUP(E238,RISK!A:B,2,FALSE()),"")</x:f>
        <x:v>2.1938</x:v>
      </x:c>
      <x:c r="N238" s="118">
        <x:f t="shared" si="2"/>
        <x:v>69.85284706</x:v>
      </x:c>
      <x:c r="Q238" s="9" t="s">
        <x:v>445</x:v>
      </x:c>
      <x:c r="R238" s="118" t="n">
        <x:f>Aggregate!BQ92</x:f>
        <x:v>55.11847059</x:v>
      </x:c>
      <x:c r="S238" s="9"/>
      <x:c r="T238" s="9"/>
    </x:row>
    <x:row r="239" ht="14.25" customHeight="1">
      <x:c r="A239" s="1">
        <x:v>236.0</x:v>
      </x:c>
      <x:c r="B239" s="1">
        <x:v>9.0</x:v>
      </x:c>
      <x:c r="C239" s="1" t="s">
        <x:v>799</x:v>
      </x:c>
      <x:c r="D239" s="1" t="s">
        <x:v>521</x:v>
      </x:c>
      <x:c r="E239" s="1" t="s">
        <x:v>430</x:v>
      </x:c>
      <x:c r="F239" s="1">
        <x:v>8.0</x:v>
      </x:c>
      <x:c r="G239" s="1" t="s">
        <x:v>1067</x:v>
      </x:c>
      <x:c r="H239" s="1" t="s">
        <x:v>1067</x:v>
      </x:c>
      <x:c r="I239" s="1" t="s">
        <x:v>1064</x:v>
      </x:c>
      <x:c r="J239" s="1">
        <x:v>38.0</x:v>
      </x:c>
      <x:c r="K239" s="1">
        <x:v>238.0</x:v>
      </x:c>
      <x:c r="L239" s="1" t="str">
        <x:f t="shared" si="1"/>
        <x:v>Devaughn Vele</x:v>
      </x:c>
      <x:c r="M239" s="127" t="n">
        <x:f>IFERROR(VLOOKUP(E239,RISK!A:B,2,FALSE()),"")</x:f>
        <x:v>3.7</x:v>
      </x:c>
      <x:c r="N239" s="118">
        <x:f t="shared" si="2"/>
        <x:v>59.76352941</x:v>
      </x:c>
      <x:c r="Q239" s="9" t="s">
        <x:v>448</x:v>
      </x:c>
      <x:c r="R239" s="118" t="n">
        <x:f>Aggregate!BQ93</x:f>
        <x:v>52.70188235</x:v>
      </x:c>
      <x:c r="S239" s="9"/>
      <x:c r="T239" s="9"/>
    </x:row>
    <x:row r="240" ht="14.25" customHeight="1">
      <x:c r="A240" s="1">
        <x:v>237.0</x:v>
      </x:c>
      <x:c r="B240" s="1">
        <x:v>9.0</x:v>
      </x:c>
      <x:c r="C240" s="1" t="s">
        <x:v>687</x:v>
      </x:c>
      <x:c r="D240" s="1" t="s">
        <x:v>529</x:v>
      </x:c>
      <x:c r="E240" s="1" t="s">
        <x:v>381</x:v>
      </x:c>
      <x:c r="F240" s="1">
        <x:v>6.0</x:v>
      </x:c>
      <x:c r="G240" s="1" t="s">
        <x:v>1066</x:v>
      </x:c>
      <x:c r="H240" s="1" t="s">
        <x:v>1065</x:v>
      </x:c>
      <x:c r="I240" s="1" t="s">
        <x:v>1064</x:v>
      </x:c>
      <x:c r="J240" s="1">
        <x:v>124.0</x:v>
      </x:c>
      <x:c r="K240" s="1">
        <x:v>239.0</x:v>
      </x:c>
      <x:c r="L240" s="1" t="str">
        <x:f t="shared" si="1"/>
        <x:v>Ollie Gordon II</x:v>
      </x:c>
      <x:c r="M240" s="127" t="n">
        <x:f>IFERROR(VLOOKUP(E240,RISK!A:B,2,FALSE()),"")</x:f>
        <x:v>3.368</x:v>
      </x:c>
      <x:c r="N240" s="118">
        <x:f t="shared" si="2"/>
        <x:v>41.82678118</x:v>
      </x:c>
      <x:c r="Q240" s="9" t="s">
        <x:v>451</x:v>
      </x:c>
      <x:c r="R240" s="118" t="n">
        <x:f>Aggregate!BQ94</x:f>
        <x:v>52.45588235</x:v>
      </x:c>
      <x:c r="S240" s="9"/>
      <x:c r="T240" s="9"/>
    </x:row>
    <x:row r="241" ht="14.25" customHeight="1">
      <x:c r="A241" s="1">
        <x:v>238.0</x:v>
      </x:c>
      <x:c r="B241" s="1">
        <x:v>9.0</x:v>
      </x:c>
      <x:c r="C241" s="1" t="s">
        <x:v>1113</x:v>
      </x:c>
      <x:c r="D241" s="1" t="s">
        <x:v>511</x:v>
      </x:c>
      <x:c r="E241" s="1" t="s">
        <x:v>1114</x:v>
      </x:c>
      <x:c r="F241" s="1">
        <x:v>10.0</x:v>
      </x:c>
      <x:c r="G241" s="1" t="s">
        <x:v>1066</x:v>
      </x:c>
      <x:c r="H241" s="1" t="s">
        <x:v>1066</x:v>
      </x:c>
      <x:c r="I241" s="1" t="s">
        <x:v>1078</x:v>
      </x:c>
      <x:c r="J241" s="1">
        <x:v>18.0</x:v>
      </x:c>
      <x:c r="K241" s="1">
        <x:v>240.0</x:v>
      </x:c>
      <x:c r="L241" s="1" t="str">
        <x:f t="shared" si="1"/>
        <x:v>Cairo Santos</x:v>
      </x:c>
      <x:c r="M241" s="127" t="str">
        <x:f>IFERROR(VLOOKUP(E241,RISK!A:B,2,FALSE()),"")</x:f>
      </x:c>
      <x:c r="N241" s="118" t="str">
        <x:f t="shared" si="2"/>
        <x:v>#N/A</x:v>
      </x:c>
      <x:c r="Q241" s="9" t="s">
        <x:v>454</x:v>
      </x:c>
      <x:c r="R241" s="118" t="n">
        <x:f>Aggregate!BQ95</x:f>
        <x:v>52.41247059</x:v>
      </x:c>
      <x:c r="S241" s="9"/>
      <x:c r="T241" s="9"/>
    </x:row>
    <x:row r="242" ht="14.25" customHeight="1">
      <x:c r="A242" s="1">
        <x:v>239.0</x:v>
      </x:c>
      <x:c r="B242" s="1">
        <x:v>9.0</x:v>
      </x:c>
      <x:c r="C242" s="1" t="s">
        <x:v>1115</x:v>
      </x:c>
      <x:c r="D242" s="1" t="s">
        <x:v>487</x:v>
      </x:c>
      <x:c r="E242" s="1" t="s">
        <x:v>1116</x:v>
      </x:c>
      <x:c r="F242" s="1">
        <x:v>7.0</x:v>
      </x:c>
      <x:c r="G242" s="1" t="s">
        <x:v>1067</x:v>
      </x:c>
      <x:c r="H242" s="1" t="s">
        <x:v>1067</x:v>
      </x:c>
      <x:c r="I242" s="1" t="s">
        <x:v>1064</x:v>
      </x:c>
      <x:c r="J242" s="1">
        <x:v>-2.0</x:v>
      </x:c>
      <x:c r="K242" s="1">
        <x:v>241.0</x:v>
      </x:c>
      <x:c r="L242" s="1" t="str">
        <x:f t="shared" si="1"/>
        <x:v>Buffalo Bills</x:v>
      </x:c>
      <x:c r="M242" s="127" t="str">
        <x:f>IFERROR(VLOOKUP(E242,RISK!A:B,2,FALSE()),"")</x:f>
      </x:c>
      <x:c r="N242" s="118" t="str">
        <x:f t="shared" si="2"/>
        <x:v>#N/A</x:v>
      </x:c>
      <x:c r="Q242" s="9" t="s">
        <x:v>457</x:v>
      </x:c>
      <x:c r="R242" s="118" t="n">
        <x:f>Aggregate!BQ96</x:f>
        <x:v>52.34011765</x:v>
      </x:c>
      <x:c r="S242" s="9"/>
      <x:c r="T242" s="9"/>
    </x:row>
    <x:row r="243" ht="14.25" customHeight="1">
      <x:c r="A243" s="1">
        <x:v>240.0</x:v>
      </x:c>
      <x:c r="B243" s="1">
        <x:v>9.0</x:v>
      </x:c>
      <x:c r="C243" s="1" t="s">
        <x:v>1117</x:v>
      </x:c>
      <x:c r="D243" s="1" t="s">
        <x:v>519</x:v>
      </x:c>
      <x:c r="E243" s="1" t="s">
        <x:v>1118</x:v>
      </x:c>
      <x:c r="F243" s="1">
        <x:v>6.0</x:v>
      </x:c>
      <x:c r="G243" s="1" t="s">
        <x:v>1067</x:v>
      </x:c>
      <x:c r="H243" s="1" t="s">
        <x:v>1067</x:v>
      </x:c>
      <x:c r="I243" s="1" t="s">
        <x:v>1059</x:v>
      </x:c>
      <x:c r="J243" s="1">
        <x:v>-31.0</x:v>
      </x:c>
      <x:c r="K243" s="1">
        <x:v>242.0</x:v>
      </x:c>
      <x:c r="L243" s="1" t="str">
        <x:f t="shared" si="1"/>
        <x:v>Detroit Lions</x:v>
      </x:c>
      <x:c r="M243" s="127" t="str">
        <x:f>IFERROR(VLOOKUP(E243,RISK!A:B,2,FALSE()),"")</x:f>
      </x:c>
      <x:c r="N243" s="118" t="str">
        <x:f t="shared" si="2"/>
        <x:v>#N/A</x:v>
      </x:c>
      <x:c r="Q243" s="9" t="s">
        <x:v>460</x:v>
      </x:c>
      <x:c r="R243" s="118" t="n">
        <x:f>Aggregate!BQ97</x:f>
        <x:v>48.31729412</x:v>
      </x:c>
      <x:c r="S243" s="9"/>
      <x:c r="T243" s="9"/>
    </x:row>
    <x:row r="244" ht="14.25" customHeight="1">
      <x:c r="A244" s="1">
        <x:v>241.0</x:v>
      </x:c>
      <x:c r="B244" s="1">
        <x:v>9.0</x:v>
      </x:c>
      <x:c r="C244" s="1" t="s">
        <x:v>659</x:v>
      </x:c>
      <x:c r="D244" s="1" t="s">
        <x:v>503</x:v>
      </x:c>
      <x:c r="E244" s="1" t="s">
        <x:v>384</x:v>
      </x:c>
      <x:c r="F244" s="1">
        <x:v>8.0</x:v>
      </x:c>
      <x:c r="G244" s="1" t="s">
        <x:v>1066</x:v>
      </x:c>
      <x:c r="H244" s="1" t="s">
        <x:v>1065</x:v>
      </x:c>
      <x:c r="I244" s="1" t="s">
        <x:v>1060</x:v>
      </x:c>
      <x:c r="J244" s="1">
        <x:v>-27.0</x:v>
      </x:c>
      <x:c r="K244" s="1">
        <x:v>243.0</x:v>
      </x:c>
      <x:c r="L244" s="1" t="str">
        <x:f t="shared" si="1"/>
        <x:v>Kaelon Black</x:v>
      </x:c>
      <x:c r="M244" s="127" t="n">
        <x:f>IFERROR(VLOOKUP(E244,RISK!A:B,2,FALSE()),"")</x:f>
        <x:v>3.368</x:v>
      </x:c>
      <x:c r="N244" s="118">
        <x:f t="shared" si="2"/>
        <x:v>41.02427765</x:v>
      </x:c>
      <x:c r="Q244" s="9" t="s">
        <x:v>463</x:v>
      </x:c>
      <x:c r="R244" s="118" t="n">
        <x:f>Aggregate!BQ98</x:f>
        <x:v>47.34052941</x:v>
      </x:c>
      <x:c r="S244" s="9"/>
      <x:c r="T244" s="9"/>
    </x:row>
    <x:row r="245" ht="14.25" customHeight="1">
      <x:c r="A245" s="1">
        <x:v>242.0</x:v>
      </x:c>
      <x:c r="B245" s="1">
        <x:v>9.0</x:v>
      </x:c>
      <x:c r="C245" s="1" t="s">
        <x:v>649</x:v>
      </x:c>
      <x:c r="D245" s="1" t="s">
        <x:v>491</x:v>
      </x:c>
      <x:c r="E245" s="1" t="s">
        <x:v>387</x:v>
      </x:c>
      <x:c r="F245" s="1">
        <x:v>13.0</x:v>
      </x:c>
      <x:c r="G245" s="1" t="s">
        <x:v>1067</x:v>
      </x:c>
      <x:c r="H245" s="1" t="s">
        <x:v>1067</x:v>
      </x:c>
      <x:c r="I245" s="1" t="s">
        <x:v>1064</x:v>
      </x:c>
      <x:c r="J245" s="1">
        <x:v>-11.0</x:v>
      </x:c>
      <x:c r="K245" s="1">
        <x:v>244.0</x:v>
      </x:c>
      <x:c r="L245" s="1" t="str">
        <x:f t="shared" si="1"/>
        <x:v>Justice Hill</x:v>
      </x:c>
      <x:c r="M245" s="127" t="n">
        <x:f>IFERROR(VLOOKUP(E245,RISK!A:B,2,FALSE()),"")</x:f>
        <x:v>3.368</x:v>
      </x:c>
      <x:c r="N245" s="118">
        <x:f t="shared" si="2"/>
        <x:v>39.65704941</x:v>
      </x:c>
      <x:c r="Q245" s="9" t="s">
        <x:v>466</x:v>
      </x:c>
      <x:c r="R245" s="118" t="n">
        <x:f>Aggregate!BQ99</x:f>
        <x:v>45.12652941</x:v>
      </x:c>
      <x:c r="S245" s="9"/>
      <x:c r="T245" s="9"/>
    </x:row>
    <x:row r="246" ht="14.25" customHeight="1">
      <x:c r="A246" s="1">
        <x:v>243.0</x:v>
      </x:c>
      <x:c r="B246" s="1">
        <x:v>9.0</x:v>
      </x:c>
      <x:c r="C246" s="1" t="s">
        <x:v>703</x:v>
      </x:c>
      <x:c r="D246" s="1" t="s">
        <x:v>525</x:v>
      </x:c>
      <x:c r="E246" s="1" t="s">
        <x:v>390</x:v>
      </x:c>
      <x:c r="F246" s="1">
        <x:v>6.0</x:v>
      </x:c>
      <x:c r="G246" s="1" t="s">
        <x:v>1066</x:v>
      </x:c>
      <x:c r="H246" s="1" t="s">
        <x:v>1065</x:v>
      </x:c>
      <x:c r="I246" s="1" t="s">
        <x:v>1061</x:v>
      </x:c>
      <x:c r="J246" s="1">
        <x:v>0.0</x:v>
      </x:c>
      <x:c r="K246" s="1">
        <x:v>245.0</x:v>
      </x:c>
      <x:c r="L246" s="1" t="str">
        <x:f t="shared" si="1"/>
        <x:v>Demond Claiborne</x:v>
      </x:c>
      <x:c r="M246" s="127" t="n">
        <x:f>IFERROR(VLOOKUP(E246,RISK!A:B,2,FALSE()),"")</x:f>
        <x:v>3.368</x:v>
      </x:c>
      <x:c r="N246" s="118">
        <x:f t="shared" si="2"/>
        <x:v>39.49357647</x:v>
      </x:c>
      <x:c r="Q246" s="9" t="s">
        <x:v>469</x:v>
      </x:c>
      <x:c r="R246" s="118" t="n">
        <x:f>Aggregate!BQ100</x:f>
        <x:v>42.14558824</x:v>
      </x:c>
      <x:c r="S246" s="9"/>
      <x:c r="T246" s="9"/>
    </x:row>
    <x:row r="247" ht="14.25" customHeight="1">
      <x:c r="A247" s="1">
        <x:v>244.0</x:v>
      </x:c>
      <x:c r="B247" s="1">
        <x:v>9.0</x:v>
      </x:c>
      <x:c r="C247" s="1" t="s">
        <x:v>550</x:v>
      </x:c>
      <x:c r="D247" s="1" t="s">
        <x:v>551</x:v>
      </x:c>
      <x:c r="E247" s="1" t="s">
        <x:v>249</x:v>
      </x:c>
      <x:c r="F247" s="1">
        <x:v>11.0</x:v>
      </x:c>
      <x:c r="G247" s="1" t="s">
        <x:v>1062</x:v>
      </x:c>
      <x:c r="H247" s="1" t="s">
        <x:v>1065</x:v>
      </x:c>
      <x:c r="I247" s="1" t="s">
        <x:v>1061</x:v>
      </x:c>
      <x:c r="J247" s="1">
        <x:v>4.0</x:v>
      </x:c>
      <x:c r="K247" s="1">
        <x:v>246.0</x:v>
      </x:c>
      <x:c r="L247" s="1" t="str">
        <x:f t="shared" si="1"/>
        <x:v>Tua Tagovailoa</x:v>
      </x:c>
      <x:c r="M247" s="127" t="n">
        <x:f>IFERROR(VLOOKUP(E247,RISK!A:B,2,FALSE()),"")</x:f>
        <x:v>3.2</x:v>
      </x:c>
      <x:c r="N247" s="118">
        <x:f t="shared" si="2"/>
        <x:v>113.5375059</x:v>
      </x:c>
      <x:c r="Q247" s="9" t="s">
        <x:v>472</x:v>
      </x:c>
      <x:c r="R247" s="118" t="n">
        <x:f>Aggregate!BQ101</x:f>
        <x:v>38.48452941</x:v>
      </x:c>
      <x:c r="S247" s="9"/>
      <x:c r="T247" s="9"/>
    </x:row>
    <x:row r="248" ht="14.25" customHeight="1">
      <x:c r="A248" s="1">
        <x:v>245.0</x:v>
      </x:c>
      <x:c r="B248" s="1">
        <x:v>9.0</x:v>
      </x:c>
      <x:c r="C248" s="1" t="s">
        <x:v>838</x:v>
      </x:c>
      <x:c r="D248" s="1" t="s">
        <x:v>547</x:v>
      </x:c>
      <x:c r="E248" s="1" t="s">
        <x:v>433</x:v>
      </x:c>
      <x:c r="F248" s="1">
        <x:v>13.0</x:v>
      </x:c>
      <x:c r="G248" s="1" t="s">
        <x:v>1066</x:v>
      </x:c>
      <x:c r="H248" s="1" t="s">
        <x:v>1065</x:v>
      </x:c>
      <x:c r="I248" s="1" t="s">
        <x:v>1060</x:v>
      </x:c>
      <x:c r="J248" s="1">
        <x:v>95.0</x:v>
      </x:c>
      <x:c r="K248" s="1">
        <x:v>247.0</x:v>
      </x:c>
      <x:c r="L248" s="1" t="str">
        <x:f t="shared" si="1"/>
        <x:v>Jack Bech</x:v>
      </x:c>
      <x:c r="M248" s="127" t="n">
        <x:f>IFERROR(VLOOKUP(E248,RISK!A:B,2,FALSE()),"")</x:f>
        <x:v>3.7</x:v>
      </x:c>
      <x:c r="N248" s="118">
        <x:f t="shared" si="2"/>
        <x:v>59.32941176</x:v>
      </x:c>
      <x:c r="Q248" s="9" t="s">
        <x:v>475</x:v>
      </x:c>
      <x:c r="R248" s="118" t="n">
        <x:f>Aggregate!BQ102</x:f>
        <x:v>37.58735294</x:v>
      </x:c>
      <x:c r="S248" s="9"/>
      <x:c r="T248" s="9"/>
    </x:row>
    <x:row r="249" ht="14.25" customHeight="1">
      <x:c r="A249" s="1">
        <x:v>246.0</x:v>
      </x:c>
      <x:c r="B249" s="1">
        <x:v>9.0</x:v>
      </x:c>
      <x:c r="C249" s="1" t="s">
        <x:v>812</x:v>
      </x:c>
      <x:c r="D249" s="1" t="s">
        <x:v>495</x:v>
      </x:c>
      <x:c r="E249" s="1" t="s">
        <x:v>436</x:v>
      </x:c>
      <x:c r="F249" s="1">
        <x:v>7.0</x:v>
      </x:c>
      <x:c r="G249" s="1" t="s">
        <x:v>1065</x:v>
      </x:c>
      <x:c r="H249" s="1" t="s">
        <x:v>1062</x:v>
      </x:c>
      <x:c r="I249" s="1" t="s">
        <x:v>1060</x:v>
      </x:c>
      <x:c r="J249" s="1">
        <x:v>23.0</x:v>
      </x:c>
      <x:c r="K249" s="1">
        <x:v>248.0</x:v>
      </x:c>
      <x:c r="L249" s="1" t="str">
        <x:f t="shared" si="1"/>
        <x:v>Antonio Williams</x:v>
      </x:c>
      <x:c r="M249" s="127" t="n">
        <x:f>IFERROR(VLOOKUP(E249,RISK!A:B,2,FALSE()),"")</x:f>
        <x:v>3.7</x:v>
      </x:c>
      <x:c r="N249" s="118">
        <x:f t="shared" si="2"/>
        <x:v>59.18470588</x:v>
      </x:c>
      <x:c r="Q249" s="9" t="s">
        <x:v>132</x:v>
      </x:c>
      <x:c r="R249" s="118" t="n">
        <x:f>Aggregate!BV3</x:f>
        <x:v>165.55792647058826</x:v>
      </x:c>
      <x:c r="S249" s="9"/>
      <x:c r="T249" s="9"/>
    </x:row>
    <x:row r="250" ht="14.25" customHeight="1">
      <x:c r="A250" s="1">
        <x:v>247.0</x:v>
      </x:c>
      <x:c r="B250" s="1">
        <x:v>9.0</x:v>
      </x:c>
      <x:c r="C250" s="1" t="s">
        <x:v>1119</x:v>
      </x:c>
      <x:c r="D250" s="1" t="s">
        <x:v>523</x:v>
      </x:c>
      <x:c r="E250" s="1" t="s">
        <x:v>1120</x:v>
      </x:c>
      <x:c r="F250" s="1">
        <x:v>10.0</x:v>
      </x:c>
      <x:c r="G250" s="1" t="s">
        <x:v>1065</x:v>
      </x:c>
      <x:c r="H250" s="1" t="s">
        <x:v>1062</x:v>
      </x:c>
      <x:c r="I250" s="1" t="s">
        <x:v>1064</x:v>
      </x:c>
      <x:c r="J250" s="1">
        <x:v>-27.0</x:v>
      </x:c>
      <x:c r="K250" s="1">
        <x:v>249.0</x:v>
      </x:c>
      <x:c r="L250" s="1" t="str">
        <x:f t="shared" si="1"/>
        <x:v>Chase McLaughlin</x:v>
      </x:c>
      <x:c r="M250" s="127" t="str">
        <x:f>IFERROR(VLOOKUP(E250,RISK!A:B,2,FALSE()),"")</x:f>
      </x:c>
      <x:c r="N250" s="118" t="str">
        <x:f t="shared" si="2"/>
        <x:v>#N/A</x:v>
      </x:c>
      <x:c r="Q250" s="9" t="s">
        <x:v>136</x:v>
      </x:c>
      <x:c r="R250" s="118" t="n">
        <x:f>Aggregate!BV4</x:f>
        <x:v>161.9112132</x:v>
      </x:c>
      <x:c r="S250" s="9"/>
      <x:c r="T250" s="9"/>
    </x:row>
    <x:row r="251" ht="14.25" customHeight="1">
      <x:c r="A251" s="1">
        <x:v>248.0</x:v>
      </x:c>
      <x:c r="B251" s="1">
        <x:v>9.0</x:v>
      </x:c>
      <x:c r="C251" s="1" t="s">
        <x:v>679</x:v>
      </x:c>
      <x:c r="D251" s="1" t="s">
        <x:v>539</x:v>
      </x:c>
      <x:c r="E251" s="1" t="s">
        <x:v>393</x:v>
      </x:c>
      <x:c r="F251" s="1">
        <x:v>13.0</x:v>
      </x:c>
      <x:c r="G251" s="1" t="s">
        <x:v>1062</x:v>
      </x:c>
      <x:c r="H251" s="1" t="s">
        <x:v>1065</x:v>
      </x:c>
      <x:c r="I251" s="1" t="s">
        <x:v>1064</x:v>
      </x:c>
      <x:c r="J251" s="1">
        <x:v>131.0</x:v>
      </x:c>
      <x:c r="K251" s="1">
        <x:v>250.0</x:v>
      </x:c>
      <x:c r="L251" s="1" t="str">
        <x:f t="shared" si="1"/>
        <x:v>Isaiah Davis</x:v>
      </x:c>
      <x:c r="M251" s="127" t="n">
        <x:f>IFERROR(VLOOKUP(E251,RISK!A:B,2,FALSE()),"")</x:f>
        <x:v>3.368</x:v>
      </x:c>
      <x:c r="N251" s="118">
        <x:f t="shared" si="2"/>
        <x:v>37.16780235</x:v>
      </x:c>
      <x:c r="Q251" s="9" t="s">
        <x:v>140</x:v>
      </x:c>
      <x:c r="R251" s="118" t="n">
        <x:f>Aggregate!BV5</x:f>
        <x:v>137.3312072</x:v>
      </x:c>
      <x:c r="S251" s="9"/>
      <x:c r="T251" s="9"/>
    </x:row>
    <x:row r="252" ht="14.25" customHeight="1">
      <x:c r="A252" s="1">
        <x:v>249.0</x:v>
      </x:c>
      <x:c r="B252" s="1">
        <x:v>9.0</x:v>
      </x:c>
      <x:c r="C252" s="1" t="s">
        <x:v>834</x:v>
      </x:c>
      <x:c r="D252" s="1" t="s">
        <x:v>487</x:v>
      </x:c>
      <x:c r="E252" s="1" t="s">
        <x:v>439</x:v>
      </x:c>
      <x:c r="F252" s="1">
        <x:v>7.0</x:v>
      </x:c>
      <x:c r="G252" s="1" t="s">
        <x:v>1062</x:v>
      </x:c>
      <x:c r="H252" s="1" t="s">
        <x:v>1065</x:v>
      </x:c>
      <x:c r="I252" s="1" t="s">
        <x:v>1061</x:v>
      </x:c>
      <x:c r="J252" s="1">
        <x:v>15.0</x:v>
      </x:c>
      <x:c r="K252" s="1">
        <x:v>251.0</x:v>
      </x:c>
      <x:c r="L252" s="1" t="str">
        <x:f t="shared" si="1"/>
        <x:v>Keon Coleman</x:v>
      </x:c>
      <x:c r="M252" s="127" t="n">
        <x:f>IFERROR(VLOOKUP(E252,RISK!A:B,2,FALSE()),"")</x:f>
        <x:v>3.7</x:v>
      </x:c>
      <x:c r="N252" s="118">
        <x:f t="shared" si="2"/>
        <x:v>58.03429412</x:v>
      </x:c>
      <x:c r="Q252" s="9" t="s">
        <x:v>144</x:v>
      </x:c>
      <x:c r="R252" s="118" t="n">
        <x:f>Aggregate!BV6</x:f>
        <x:v>126.87345</x:v>
      </x:c>
      <x:c r="S252" s="9"/>
      <x:c r="T252" s="9"/>
    </x:row>
    <x:row r="253" ht="14.25" customHeight="1">
      <x:c r="A253" s="1">
        <x:v>250.0</x:v>
      </x:c>
      <x:c r="B253" s="1">
        <x:v>9.0</x:v>
      </x:c>
      <x:c r="C253" s="1" t="s">
        <x:v>1121</x:v>
      </x:c>
      <x:c r="D253" s="1" t="s">
        <x:v>493</x:v>
      </x:c>
      <x:c r="E253" s="1" t="s">
        <x:v>1122</x:v>
      </x:c>
      <x:c r="F253" s="1">
        <x:v>11.0</x:v>
      </x:c>
      <x:c r="G253" s="1" t="s">
        <x:v>1067</x:v>
      </x:c>
      <x:c r="H253" s="1" t="s">
        <x:v>1067</x:v>
      </x:c>
      <x:c r="I253" s="1" t="s">
        <x:v>1063</x:v>
      </x:c>
      <x:c r="J253" s="1">
        <x:v>-42.0</x:v>
      </x:c>
      <x:c r="K253" s="1">
        <x:v>252.0</x:v>
      </x:c>
      <x:c r="L253" s="1" t="str">
        <x:f t="shared" si="1"/>
        <x:v>Andy Borregales</x:v>
      </x:c>
      <x:c r="M253" s="127" t="str">
        <x:f>IFERROR(VLOOKUP(E253,RISK!A:B,2,FALSE()),"")</x:f>
      </x:c>
      <x:c r="N253" s="118" t="str">
        <x:f t="shared" si="2"/>
        <x:v>#N/A</x:v>
      </x:c>
      <x:c r="Q253" s="9" t="s">
        <x:v>148</x:v>
      </x:c>
      <x:c r="R253" s="118" t="n">
        <x:f>Aggregate!BV7</x:f>
        <x:v>119.9070635</x:v>
      </x:c>
      <x:c r="S253" s="9"/>
      <x:c r="T253" s="9"/>
    </x:row>
    <x:row r="254" ht="14.25" customHeight="1">
      <x:c r="A254" s="1">
        <x:v>251.0</x:v>
      </x:c>
      <x:c r="B254" s="1">
        <x:v>9.0</x:v>
      </x:c>
      <x:c r="C254" s="1" t="s">
        <x:v>815</x:v>
      </x:c>
      <x:c r="D254" s="1" t="s">
        <x:v>533</x:v>
      </x:c>
      <x:c r="E254" s="1" t="s">
        <x:v>442</x:v>
      </x:c>
      <x:c r="F254" s="1">
        <x:v>11.0</x:v>
      </x:c>
      <x:c r="G254" s="1" t="s">
        <x:v>1065</x:v>
      </x:c>
      <x:c r="H254" s="1" t="s">
        <x:v>1065</x:v>
      </x:c>
      <x:c r="I254" s="1" t="s">
        <x:v>1064</x:v>
      </x:c>
      <x:c r="J254" s="1">
        <x:v>49.0</x:v>
      </x:c>
      <x:c r="K254" s="1">
        <x:v>253.0</x:v>
      </x:c>
      <x:c r="L254" s="1" t="str">
        <x:f t="shared" si="1"/>
        <x:v>Tory Horton</x:v>
      </x:c>
      <x:c r="M254" s="127" t="n">
        <x:f>IFERROR(VLOOKUP(E254,RISK!A:B,2,FALSE()),"")</x:f>
        <x:v>3.7</x:v>
      </x:c>
      <x:c r="N254" s="118">
        <x:f t="shared" si="2"/>
        <x:v>55.87788706</x:v>
      </x:c>
      <x:c r="Q254" s="9" t="s">
        <x:v>152</x:v>
      </x:c>
      <x:c r="R254" s="118" t="n">
        <x:f>Aggregate!BV8</x:f>
        <x:v>117.0518412</x:v>
      </x:c>
      <x:c r="S254" s="9"/>
      <x:c r="T254" s="9"/>
    </x:row>
    <x:row r="255" ht="14.25" customHeight="1">
      <x:c r="A255" s="1">
        <x:v>252.0</x:v>
      </x:c>
      <x:c r="B255" s="1">
        <x:v>9.0</x:v>
      </x:c>
      <x:c r="C255" s="1" t="s">
        <x:v>1123</x:v>
      </x:c>
      <x:c r="D255" s="1" t="s">
        <x:v>499</x:v>
      </x:c>
      <x:c r="E255" s="1" t="s">
        <x:v>1124</x:v>
      </x:c>
      <x:c r="F255" s="1">
        <x:v>6.0</x:v>
      </x:c>
      <x:c r="G255" s="1" t="s">
        <x:v>1065</x:v>
      </x:c>
      <x:c r="H255" s="1" t="s">
        <x:v>1062</x:v>
      </x:c>
      <x:c r="I255" s="1" t="s">
        <x:v>1060</x:v>
      </x:c>
      <x:c r="J255" s="1">
        <x:v>-45.0</x:v>
      </x:c>
      <x:c r="K255" s="1">
        <x:v>254.0</x:v>
      </x:c>
      <x:c r="L255" s="1" t="str">
        <x:f t="shared" si="1"/>
        <x:v>Evan McPherson</x:v>
      </x:c>
      <x:c r="M255" s="127" t="str">
        <x:f>IFERROR(VLOOKUP(E255,RISK!A:B,2,FALSE()),"")</x:f>
      </x:c>
      <x:c r="N255" s="118" t="str">
        <x:f t="shared" si="2"/>
        <x:v>#N/A</x:v>
      </x:c>
      <x:c r="Q255" s="9" t="s">
        <x:v>156</x:v>
      </x:c>
      <x:c r="R255" s="118" t="n">
        <x:f>Aggregate!BV9</x:f>
        <x:v>116.9560685</x:v>
      </x:c>
      <x:c r="S255" s="9"/>
      <x:c r="T255" s="9"/>
    </x:row>
    <x:row r="256" ht="14.25" customHeight="1">
      <x:c r="A256" s="1">
        <x:v>253.0</x:v>
      </x:c>
      <x:c r="B256" s="1">
        <x:v>9.0</x:v>
      </x:c>
      <x:c r="C256" s="1" t="s">
        <x:v>667</x:v>
      </x:c>
      <x:c r="D256" s="1" t="s">
        <x:v>531</x:v>
      </x:c>
      <x:c r="E256" s="1" t="s">
        <x:v>396</x:v>
      </x:c>
      <x:c r="F256" s="1">
        <x:v>11.0</x:v>
      </x:c>
      <x:c r="G256" s="1" t="s">
        <x:v>1062</x:v>
      </x:c>
      <x:c r="H256" s="1" t="s">
        <x:v>1065</x:v>
      </x:c>
      <x:c r="I256" s="1" t="s">
        <x:v>1061</x:v>
      </x:c>
      <x:c r="J256" s="1">
        <x:v>110.0</x:v>
      </x:c>
      <x:c r="K256" s="1">
        <x:v>255.0</x:v>
      </x:c>
      <x:c r="L256" s="1" t="str">
        <x:f t="shared" si="1"/>
        <x:v>Chris Brooks</x:v>
      </x:c>
      <x:c r="M256" s="127" t="n">
        <x:f>IFERROR(VLOOKUP(E256,RISK!A:B,2,FALSE()),"")</x:f>
        <x:v>3.368</x:v>
      </x:c>
      <x:c r="N256" s="118">
        <x:f t="shared" si="2"/>
        <x:v>37.03405176</x:v>
      </x:c>
      <x:c r="Q256" s="9" t="s">
        <x:v>160</x:v>
      </x:c>
      <x:c r="R256" s="118" t="n">
        <x:f>Aggregate!BV10</x:f>
        <x:v>116.7875638</x:v>
      </x:c>
      <x:c r="S256" s="9"/>
      <x:c r="T256" s="9"/>
    </x:row>
    <x:row r="257" ht="14.25" customHeight="1">
      <x:c r="A257" s="1">
        <x:v>254.0</x:v>
      </x:c>
      <x:c r="B257" s="1">
        <x:v>9.0</x:v>
      </x:c>
      <x:c r="C257" s="1" t="s">
        <x:v>832</x:v>
      </x:c>
      <x:c r="D257" s="1" t="s">
        <x:v>541</x:v>
      </x:c>
      <x:c r="E257" s="1" t="s">
        <x:v>445</x:v>
      </x:c>
      <x:c r="F257" s="1">
        <x:v>9.0</x:v>
      </x:c>
      <x:c r="G257" s="1" t="s">
        <x:v>1058</x:v>
      </x:c>
      <x:c r="H257" s="1" t="s">
        <x:v>1057</x:v>
      </x:c>
      <x:c r="I257" s="1" t="s">
        <x:v>1064</x:v>
      </x:c>
      <x:c r="J257" s="1" t="s">
        <x:v>1067</x:v>
      </x:c>
      <x:c r="K257" s="1">
        <x:v>256.0</x:v>
      </x:c>
      <x:c r="L257" s="1" t="str">
        <x:f t="shared" si="1"/>
        <x:v>Elic Ayomanor</x:v>
      </x:c>
      <x:c r="M257" s="127" t="n">
        <x:f>IFERROR(VLOOKUP(E257,RISK!A:B,2,FALSE()),"")</x:f>
        <x:v>3.7</x:v>
      </x:c>
      <x:c r="N257" s="118">
        <x:f t="shared" si="2"/>
        <x:v>55.11847059</x:v>
      </x:c>
      <x:c r="Q257" s="9" t="s">
        <x:v>164</x:v>
      </x:c>
      <x:c r="R257" s="118" t="n">
        <x:f>Aggregate!BV11</x:f>
        <x:v>114.8705961</x:v>
      </x:c>
      <x:c r="S257" s="9"/>
      <x:c r="T257" s="9"/>
    </x:row>
    <x:row r="258" ht="14.25" customHeight="1">
      <x:c r="A258" s="1">
        <x:v>255.0</x:v>
      </x:c>
      <x:c r="B258" s="1">
        <x:v>9.0</x:v>
      </x:c>
      <x:c r="C258" s="1" t="s">
        <x:v>800</x:v>
      </x:c>
      <x:c r="D258" s="1" t="s">
        <x:v>491</x:v>
      </x:c>
      <x:c r="E258" s="1" t="s">
        <x:v>448</x:v>
      </x:c>
      <x:c r="F258" s="1">
        <x:v>13.0</x:v>
      </x:c>
      <x:c r="G258" s="1" t="s">
        <x:v>1065</x:v>
      </x:c>
      <x:c r="H258" s="1" t="s">
        <x:v>1065</x:v>
      </x:c>
      <x:c r="I258" s="1" t="s">
        <x:v>1061</x:v>
      </x:c>
      <x:c r="J258" s="1">
        <x:v>-103.0</x:v>
      </x:c>
      <x:c r="K258" s="1">
        <x:v>257.0</x:v>
      </x:c>
      <x:c r="L258" s="1" t="str">
        <x:f t="shared" si="1"/>
        <x:v>Ja'Kobi Lane</x:v>
      </x:c>
      <x:c r="M258" s="127" t="n">
        <x:f>IFERROR(VLOOKUP(E258,RISK!A:B,2,FALSE()),"")</x:f>
        <x:v>3.7</x:v>
      </x:c>
      <x:c r="N258" s="118">
        <x:f t="shared" si="2"/>
        <x:v>52.70188235</x:v>
      </x:c>
      <x:c r="Q258" s="9" t="s">
        <x:v>168</x:v>
      </x:c>
      <x:c r="R258" s="118" t="n">
        <x:f>Aggregate!BV12</x:f>
        <x:v>113.9832152</x:v>
      </x:c>
      <x:c r="S258" s="9"/>
      <x:c r="T258" s="9"/>
    </x:row>
    <x:row r="259" ht="14.25" customHeight="1">
      <x:c r="A259" s="1">
        <x:v>256.0</x:v>
      </x:c>
      <x:c r="B259" s="1">
        <x:v>9.0</x:v>
      </x:c>
      <x:c r="C259" s="1" t="s">
        <x:v>669</x:v>
      </x:c>
      <x:c r="D259" s="1" t="s">
        <x:v>501</x:v>
      </x:c>
      <x:c r="E259" s="1" t="s">
        <x:v>399</x:v>
      </x:c>
      <x:c r="F259" s="1">
        <x:v>8.0</x:v>
      </x:c>
      <x:c r="G259" s="1" t="s">
        <x:v>1062</x:v>
      </x:c>
      <x:c r="H259" s="1" t="s">
        <x:v>1065</x:v>
      </x:c>
      <x:c r="I259" s="1" t="s">
        <x:v>1061</x:v>
      </x:c>
      <x:c r="J259" s="1">
        <x:v>15.0</x:v>
      </x:c>
      <x:c r="K259" s="1">
        <x:v>258.0</x:v>
      </x:c>
      <x:c r="L259" s="1" t="str">
        <x:f t="shared" si="1"/>
        <x:v>Najee Harris</x:v>
      </x:c>
      <x:c r="M259" s="127" t="n">
        <x:f>IFERROR(VLOOKUP(E259,RISK!A:B,2,FALSE()),"")</x:f>
        <x:v>3.368</x:v>
      </x:c>
      <x:c r="N259" s="118">
        <x:f t="shared" si="2"/>
        <x:v>35.15411294</x:v>
      </x:c>
      <x:c r="Q259" s="9" t="s">
        <x:v>172</x:v>
      </x:c>
      <x:c r="R259" s="118" t="n">
        <x:f>Aggregate!BV13</x:f>
        <x:v>112.4097318</x:v>
      </x:c>
      <x:c r="S259" s="9"/>
      <x:c r="T259" s="9"/>
    </x:row>
    <x:row r="260" ht="14.25" customHeight="1">
      <x:c r="A260" s="1">
        <x:v>257.0</x:v>
      </x:c>
      <x:c r="B260" s="1">
        <x:v>9.0</x:v>
      </x:c>
      <x:c r="C260" s="1" t="s">
        <x:v>664</x:v>
      </x:c>
      <x:c r="D260" s="1" t="s">
        <x:v>503</x:v>
      </x:c>
      <x:c r="E260" s="1" t="s">
        <x:v>402</x:v>
      </x:c>
      <x:c r="F260" s="1">
        <x:v>8.0</x:v>
      </x:c>
      <x:c r="G260" s="1" t="s">
        <x:v>1062</x:v>
      </x:c>
      <x:c r="H260" s="1" t="s">
        <x:v>1065</x:v>
      </x:c>
      <x:c r="I260" s="1" t="s">
        <x:v>1060</x:v>
      </x:c>
      <x:c r="J260" s="1">
        <x:v>-10.0</x:v>
      </x:c>
      <x:c r="K260" s="1">
        <x:v>259.0</x:v>
      </x:c>
      <x:c r="L260" s="1" t="str">
        <x:f t="shared" si="1"/>
        <x:v>Jordan James</x:v>
      </x:c>
      <x:c r="M260" s="127" t="n">
        <x:f>IFERROR(VLOOKUP(E260,RISK!A:B,2,FALSE()),"")</x:f>
        <x:v>3.368</x:v>
      </x:c>
      <x:c r="N260" s="118">
        <x:f t="shared" si="2"/>
        <x:v>34.87918118</x:v>
      </x:c>
      <x:c r="Q260" s="9" t="s">
        <x:v>176</x:v>
      </x:c>
      <x:c r="R260" s="118" t="n">
        <x:f>Aggregate!BV14</x:f>
        <x:v>106.4821256</x:v>
      </x:c>
      <x:c r="S260" s="9"/>
      <x:c r="T260" s="9"/>
    </x:row>
    <x:row r="261" ht="14.25" customHeight="1">
      <x:c r="A261" s="1">
        <x:v>258.0</x:v>
      </x:c>
      <x:c r="B261" s="1">
        <x:v>9.0</x:v>
      </x:c>
      <x:c r="C261" s="1" t="s">
        <x:v>656</x:v>
      </x:c>
      <x:c r="D261" s="1" t="s">
        <x:v>499</x:v>
      </x:c>
      <x:c r="E261" s="1" t="s">
        <x:v>405</x:v>
      </x:c>
      <x:c r="F261" s="1">
        <x:v>6.0</x:v>
      </x:c>
      <x:c r="G261" s="1" t="s">
        <x:v>1058</x:v>
      </x:c>
      <x:c r="H261" s="1" t="s">
        <x:v>1065</x:v>
      </x:c>
      <x:c r="I261" s="1" t="s">
        <x:v>1060</x:v>
      </x:c>
      <x:c r="J261" s="1">
        <x:v>20.0</x:v>
      </x:c>
      <x:c r="K261" s="1">
        <x:v>260.0</x:v>
      </x:c>
      <x:c r="L261" s="1" t="str">
        <x:f t="shared" si="1"/>
        <x:v>Samaje Perine</x:v>
      </x:c>
      <x:c r="M261" s="127" t="n">
        <x:f>IFERROR(VLOOKUP(E261,RISK!A:B,2,FALSE()),"")</x:f>
        <x:v>3.368</x:v>
      </x:c>
      <x:c r="N261" s="118">
        <x:f t="shared" si="2"/>
        <x:v>33.21472941</x:v>
      </x:c>
      <x:c r="Q261" s="9" t="s">
        <x:v>180</x:v>
      </x:c>
      <x:c r="R261" s="118" t="n">
        <x:f>Aggregate!BV15</x:f>
        <x:v>103.2671466</x:v>
      </x:c>
      <x:c r="S261" s="9"/>
      <x:c r="T261" s="9"/>
    </x:row>
    <x:row r="262" ht="14.25" customHeight="1">
      <x:c r="A262" s="1">
        <x:v>259.0</x:v>
      </x:c>
      <x:c r="B262" s="1">
        <x:v>9.0</x:v>
      </x:c>
      <x:c r="C262" s="1" t="s">
        <x:v>1125</x:v>
      </x:c>
      <x:c r="D262" s="1" t="s">
        <x:v>549</x:v>
      </x:c>
      <x:c r="E262" s="1" t="s">
        <x:v>1126</x:v>
      </x:c>
      <x:c r="F262" s="1">
        <x:v>11.0</x:v>
      </x:c>
      <x:c r="G262" s="1" t="s">
        <x:v>1067</x:v>
      </x:c>
      <x:c r="H262" s="1" t="s">
        <x:v>1067</x:v>
      </x:c>
      <x:c r="I262" s="1" t="s">
        <x:v>1059</x:v>
      </x:c>
      <x:c r="J262" s="1">
        <x:v>-8.0</x:v>
      </x:c>
      <x:c r="K262" s="1">
        <x:v>261.0</x:v>
      </x:c>
      <x:c r="L262" s="1" t="str">
        <x:f t="shared" si="1"/>
        <x:v>Cleveland Browns</x:v>
      </x:c>
      <x:c r="M262" s="127" t="str">
        <x:f>IFERROR(VLOOKUP(E262,RISK!A:B,2,FALSE()),"")</x:f>
      </x:c>
      <x:c r="N262" s="118" t="str">
        <x:f t="shared" si="2"/>
        <x:v>#N/A</x:v>
      </x:c>
      <x:c r="Q262" s="9" t="s">
        <x:v>184</x:v>
      </x:c>
      <x:c r="R262" s="118" t="n">
        <x:f>Aggregate!BV16</x:f>
        <x:v>102.4357874</x:v>
      </x:c>
      <x:c r="S262" s="9"/>
      <x:c r="T262" s="9"/>
    </x:row>
    <x:row r="263" ht="14.25" customHeight="1">
      <x:c r="A263" s="1">
        <x:v>260.0</x:v>
      </x:c>
      <x:c r="B263" s="1">
        <x:v>9.0</x:v>
      </x:c>
      <x:c r="C263" s="1" t="s">
        <x:v>828</x:v>
      </x:c>
      <x:c r="D263" s="1" t="s">
        <x:v>523</x:v>
      </x:c>
      <x:c r="E263" s="1" t="s">
        <x:v>451</x:v>
      </x:c>
      <x:c r="F263" s="1">
        <x:v>10.0</x:v>
      </x:c>
      <x:c r="G263" s="1" t="s">
        <x:v>1065</x:v>
      </x:c>
      <x:c r="H263" s="1" t="s">
        <x:v>1065</x:v>
      </x:c>
      <x:c r="I263" s="1" t="s">
        <x:v>1061</x:v>
      </x:c>
      <x:c r="J263" s="1">
        <x:v>10.0</x:v>
      </x:c>
      <x:c r="K263" s="1">
        <x:v>262.0</x:v>
      </x:c>
      <x:c r="L263" s="1" t="str">
        <x:f t="shared" si="1"/>
        <x:v>Ted Hurst III</x:v>
      </x:c>
      <x:c r="M263" s="127" t="n">
        <x:f>IFERROR(VLOOKUP(E263,RISK!A:B,2,FALSE()),"")</x:f>
        <x:v>3.7</x:v>
      </x:c>
      <x:c r="N263" s="118">
        <x:f t="shared" si="2"/>
        <x:v>52.45588235</x:v>
      </x:c>
      <x:c r="Q263" s="9" t="s">
        <x:v>188</x:v>
      </x:c>
      <x:c r="R263" s="118" t="n">
        <x:f>Aggregate!BV17</x:f>
        <x:v>100.962345</x:v>
      </x:c>
      <x:c r="S263" s="9"/>
      <x:c r="T263" s="9"/>
    </x:row>
    <x:row r="264" ht="14.25" customHeight="1">
      <x:c r="A264" s="1">
        <x:v>261.0</x:v>
      </x:c>
      <x:c r="B264" s="1">
        <x:v>9.0</x:v>
      </x:c>
      <x:c r="C264" s="1" t="s">
        <x:v>1127</x:v>
      </x:c>
      <x:c r="D264" s="1" t="s">
        <x:v>509</x:v>
      </x:c>
      <x:c r="E264" s="1" t="s">
        <x:v>1128</x:v>
      </x:c>
      <x:c r="F264" s="1">
        <x:v>5.0</x:v>
      </x:c>
      <x:c r="G264" s="1" t="s">
        <x:v>1067</x:v>
      </x:c>
      <x:c r="H264" s="1" t="s">
        <x:v>1067</x:v>
      </x:c>
      <x:c r="I264" s="1" t="s">
        <x:v>1059</x:v>
      </x:c>
      <x:c r="J264" s="1">
        <x:v>-62.0</x:v>
      </x:c>
      <x:c r="K264" s="1">
        <x:v>263.0</x:v>
      </x:c>
      <x:c r="L264" s="1" t="str">
        <x:f t="shared" si="1"/>
        <x:v>Harrison Butker</x:v>
      </x:c>
      <x:c r="M264" s="127" t="str">
        <x:f>IFERROR(VLOOKUP(E264,RISK!A:B,2,FALSE()),"")</x:f>
      </x:c>
      <x:c r="N264" s="118" t="str">
        <x:f t="shared" si="2"/>
        <x:v>#N/A</x:v>
      </x:c>
      <x:c r="Q264" s="9" t="s">
        <x:v>192</x:v>
      </x:c>
      <x:c r="R264" s="118" t="n">
        <x:f>Aggregate!BV18</x:f>
        <x:v>97.13980459</x:v>
      </x:c>
      <x:c r="S264" s="9"/>
      <x:c r="T264" s="9"/>
    </x:row>
    <x:row r="265" ht="14.25" customHeight="1">
      <x:c r="A265" s="1">
        <x:v>262.0</x:v>
      </x:c>
      <x:c r="B265" s="1">
        <x:v>9.0</x:v>
      </x:c>
      <x:c r="C265" s="1" t="s">
        <x:v>658</x:v>
      </x:c>
      <x:c r="D265" s="1" t="s">
        <x:v>487</x:v>
      </x:c>
      <x:c r="E265" s="1" t="s">
        <x:v>408</x:v>
      </x:c>
      <x:c r="F265" s="1">
        <x:v>7.0</x:v>
      </x:c>
      <x:c r="G265" s="1" t="s">
        <x:v>1067</x:v>
      </x:c>
      <x:c r="H265" s="1" t="s">
        <x:v>1067</x:v>
      </x:c>
      <x:c r="I265" s="1" t="s">
        <x:v>1060</x:v>
      </x:c>
      <x:c r="J265" s="1">
        <x:v>11.0</x:v>
      </x:c>
      <x:c r="K265" s="1">
        <x:v>264.0</x:v>
      </x:c>
      <x:c r="L265" s="1" t="str">
        <x:f t="shared" si="1"/>
        <x:v>Ty Johnson</x:v>
      </x:c>
      <x:c r="M265" s="127" t="n">
        <x:f>IFERROR(VLOOKUP(E265,RISK!A:B,2,FALSE()),"")</x:f>
        <x:v>3.368</x:v>
      </x:c>
      <x:c r="N265" s="118">
        <x:f t="shared" si="2"/>
        <x:v>28.60033412</x:v>
      </x:c>
      <x:c r="Q265" s="9" t="s">
        <x:v>196</x:v>
      </x:c>
      <x:c r="R265" s="118" t="n">
        <x:f>Aggregate!BV19</x:f>
        <x:v>95.12929059</x:v>
      </x:c>
      <x:c r="S265" s="9"/>
      <x:c r="T265" s="9"/>
    </x:row>
    <x:row r="266" ht="14.25" customHeight="1">
      <x:c r="A266" s="1">
        <x:v>263.0</x:v>
      </x:c>
      <x:c r="B266" s="1">
        <x:v>9.0</x:v>
      </x:c>
      <x:c r="C266" s="1" t="s">
        <x:v>833</x:v>
      </x:c>
      <x:c r="D266" s="1" t="s">
        <x:v>541</x:v>
      </x:c>
      <x:c r="E266" s="1" t="s">
        <x:v>454</x:v>
      </x:c>
      <x:c r="F266" s="1">
        <x:v>9.0</x:v>
      </x:c>
      <x:c r="G266" s="1" t="s">
        <x:v>1058</x:v>
      </x:c>
      <x:c r="H266" s="1" t="s">
        <x:v>1057</x:v>
      </x:c>
      <x:c r="I266" s="1" t="s">
        <x:v>1064</x:v>
      </x:c>
      <x:c r="J266" s="1" t="s">
        <x:v>1067</x:v>
      </x:c>
      <x:c r="K266" s="1">
        <x:v>265.0</x:v>
      </x:c>
      <x:c r="L266" s="1" t="str">
        <x:f t="shared" si="1"/>
        <x:v>Chimere Dike</x:v>
      </x:c>
      <x:c r="M266" s="127" t="n">
        <x:f>IFERROR(VLOOKUP(E266,RISK!A:B,2,FALSE()),"")</x:f>
        <x:v>3.7</x:v>
      </x:c>
      <x:c r="N266" s="118">
        <x:f t="shared" si="2"/>
        <x:v>52.41247059</x:v>
      </x:c>
      <x:c r="Q266" s="9" t="s">
        <x:v>200</x:v>
      </x:c>
      <x:c r="R266" s="118" t="n">
        <x:f>Aggregate!BV20</x:f>
        <x:v>94.57973082</x:v>
      </x:c>
      <x:c r="S266" s="9"/>
      <x:c r="T266" s="9"/>
    </x:row>
    <x:row r="267" ht="14.25" customHeight="1">
      <x:c r="A267" s="1">
        <x:v>264.0</x:v>
      </x:c>
      <x:c r="B267" s="1">
        <x:v>9.0</x:v>
      </x:c>
      <x:c r="C267" s="1" t="s">
        <x:v>678</x:v>
      </x:c>
      <x:c r="D267" s="1" t="s">
        <x:v>505</x:v>
      </x:c>
      <x:c r="E267" s="1" t="s">
        <x:v>411</x:v>
      </x:c>
      <x:c r="F267" s="1">
        <x:v>7.0</x:v>
      </x:c>
      <x:c r="G267" s="1" t="s">
        <x:v>1062</x:v>
      </x:c>
      <x:c r="H267" s="1" t="s">
        <x:v>1065</x:v>
      </x:c>
      <x:c r="I267" s="1" t="s">
        <x:v>1061</x:v>
      </x:c>
      <x:c r="J267" s="1">
        <x:v>106.0</x:v>
      </x:c>
      <x:c r="K267" s="1">
        <x:v>266.0</x:v>
      </x:c>
      <x:c r="L267" s="1" t="str">
        <x:f t="shared" si="1"/>
        <x:v>LeQuint Allen Jr.</x:v>
      </x:c>
      <x:c r="M267" s="127" t="n">
        <x:f>IFERROR(VLOOKUP(E267,RISK!A:B,2,FALSE()),"")</x:f>
        <x:v>3.368</x:v>
      </x:c>
      <x:c r="N267" s="118">
        <x:f t="shared" si="2"/>
        <x:v>27.51546824</x:v>
      </x:c>
      <x:c r="Q267" s="9" t="s">
        <x:v>204</x:v>
      </x:c>
      <x:c r="R267" s="118" t="n">
        <x:f>Aggregate!BV21</x:f>
        <x:v>90.48420588</x:v>
      </x:c>
      <x:c r="S267" s="9"/>
      <x:c r="T267" s="9"/>
    </x:row>
    <x:row r="268" ht="14.25" customHeight="1">
      <x:c r="A268" s="1">
        <x:v>265.0</x:v>
      </x:c>
      <x:c r="B268" s="1">
        <x:v>9.0</x:v>
      </x:c>
      <x:c r="C268" s="1" t="s">
        <x:v>819</x:v>
      </x:c>
      <x:c r="D268" s="1" t="s">
        <x:v>509</x:v>
      </x:c>
      <x:c r="E268" s="1" t="s">
        <x:v>457</x:v>
      </x:c>
      <x:c r="F268" s="1">
        <x:v>5.0</x:v>
      </x:c>
      <x:c r="G268" s="1" t="s">
        <x:v>1062</x:v>
      </x:c>
      <x:c r="H268" s="1" t="s">
        <x:v>1057</x:v>
      </x:c>
      <x:c r="I268" s="1" t="s">
        <x:v>1060</x:v>
      </x:c>
      <x:c r="J268" s="1">
        <x:v>71.0</x:v>
      </x:c>
      <x:c r="K268" s="1">
        <x:v>267.0</x:v>
      </x:c>
      <x:c r="L268" s="1" t="str">
        <x:f t="shared" si="1"/>
        <x:v>Tyquan Thornton</x:v>
      </x:c>
      <x:c r="M268" s="127" t="n">
        <x:f>IFERROR(VLOOKUP(E268,RISK!A:B,2,FALSE()),"")</x:f>
        <x:v>3.7</x:v>
      </x:c>
      <x:c r="N268" s="118">
        <x:f t="shared" si="2"/>
        <x:v>52.34011765</x:v>
      </x:c>
      <x:c r="Q268" s="9" t="s">
        <x:v>208</x:v>
      </x:c>
      <x:c r="R268" s="118" t="n">
        <x:f>Aggregate!BV22</x:f>
        <x:v>87.62876353</x:v>
      </x:c>
      <x:c r="S268" s="9"/>
      <x:c r="T268" s="9"/>
    </x:row>
    <x:row r="269" ht="14.25" customHeight="1">
      <x:c r="A269" s="1">
        <x:v>266.0</x:v>
      </x:c>
      <x:c r="B269" s="1">
        <x:v>9.0</x:v>
      </x:c>
      <x:c r="C269" s="1" t="s">
        <x:v>552</x:v>
      </x:c>
      <x:c r="D269" s="1" t="s">
        <x:v>551</x:v>
      </x:c>
      <x:c r="E269" s="1" t="s">
        <x:v>253</x:v>
      </x:c>
      <x:c r="F269" s="1">
        <x:v>11.0</x:v>
      </x:c>
      <x:c r="G269" s="1" t="s">
        <x:v>1062</x:v>
      </x:c>
      <x:c r="H269" s="1" t="s">
        <x:v>1057</x:v>
      </x:c>
      <x:c r="I269" s="1" t="s">
        <x:v>1061</x:v>
      </x:c>
      <x:c r="J269" s="1">
        <x:v>-5.0</x:v>
      </x:c>
      <x:c r="K269" s="1">
        <x:v>268.0</x:v>
      </x:c>
      <x:c r="L269" s="1" t="str">
        <x:f t="shared" si="1"/>
        <x:v>Michael Penix Jr.</x:v>
      </x:c>
      <x:c r="M269" s="127" t="n">
        <x:f>IFERROR(VLOOKUP(E269,RISK!A:B,2,FALSE()),"")</x:f>
        <x:v>3.2</x:v>
      </x:c>
      <x:c r="N269" s="118">
        <x:f t="shared" si="2"/>
        <x:v>90.9312</x:v>
      </x:c>
      <x:c r="Q269" s="9" t="s">
        <x:v>212</x:v>
      </x:c>
      <x:c r="R269" s="118" t="n">
        <x:f>Aggregate!BV23</x:f>
        <x:v>86.16693059</x:v>
      </x:c>
      <x:c r="S269" s="9"/>
      <x:c r="T269" s="9"/>
    </x:row>
    <x:row r="270" ht="14.25" customHeight="1">
      <x:c r="A270" s="1">
        <x:v>267.0</x:v>
      </x:c>
      <x:c r="B270" s="1">
        <x:v>9.0</x:v>
      </x:c>
      <x:c r="C270" s="1" t="s">
        <x:v>1129</x:v>
      </x:c>
      <x:c r="D270" s="1" t="s">
        <x:v>545</x:v>
      </x:c>
      <x:c r="E270" s="1" t="s">
        <x:v>1130</x:v>
      </x:c>
      <x:c r="F270" s="1">
        <x:v>9.0</x:v>
      </x:c>
      <x:c r="G270" s="1" t="s">
        <x:v>1065</x:v>
      </x:c>
      <x:c r="H270" s="1" t="s">
        <x:v>1058</x:v>
      </x:c>
      <x:c r="I270" s="1" t="s">
        <x:v>1061</x:v>
      </x:c>
      <x:c r="J270" s="1">
        <x:v>-54.0</x:v>
      </x:c>
      <x:c r="K270" s="1">
        <x:v>269.0</x:v>
      </x:c>
      <x:c r="L270" s="1" t="str">
        <x:f t="shared" si="1"/>
        <x:v>Chris Boswell</x:v>
      </x:c>
      <x:c r="M270" s="127" t="str">
        <x:f>IFERROR(VLOOKUP(E270,RISK!A:B,2,FALSE()),"")</x:f>
      </x:c>
      <x:c r="N270" s="118" t="str">
        <x:f t="shared" si="2"/>
        <x:v>#N/A</x:v>
      </x:c>
      <x:c r="Q270" s="9" t="s">
        <x:v>216</x:v>
      </x:c>
      <x:c r="R270" s="118" t="n">
        <x:f>Aggregate!BV24</x:f>
        <x:v>85.66016</x:v>
      </x:c>
      <x:c r="S270" s="9"/>
      <x:c r="T270" s="9"/>
    </x:row>
    <x:row r="271" ht="14.25" customHeight="1">
      <x:c r="A271" s="1">
        <x:v>268.0</x:v>
      </x:c>
      <x:c r="B271" s="1">
        <x:v>9.0</x:v>
      </x:c>
      <x:c r="C271" s="1" t="s">
        <x:v>554</x:v>
      </x:c>
      <x:c r="D271" s="1" t="s">
        <x:v>547</x:v>
      </x:c>
      <x:c r="E271" s="1" t="s">
        <x:v>257</x:v>
      </x:c>
      <x:c r="F271" s="1">
        <x:v>13.0</x:v>
      </x:c>
      <x:c r="G271" s="1" t="s">
        <x:v>1066</x:v>
      </x:c>
      <x:c r="H271" s="1" t="s">
        <x:v>1065</x:v>
      </x:c>
      <x:c r="I271" s="1" t="s">
        <x:v>1063</x:v>
      </x:c>
      <x:c r="J271" s="1">
        <x:v>-8.0</x:v>
      </x:c>
      <x:c r="K271" s="1">
        <x:v>270.0</x:v>
      </x:c>
      <x:c r="L271" s="1" t="str">
        <x:f t="shared" si="1"/>
        <x:v>Kirk Cousins</x:v>
      </x:c>
      <x:c r="M271" s="127" t="n">
        <x:f>IFERROR(VLOOKUP(E271,RISK!A:B,2,FALSE()),"")</x:f>
        <x:v>3.2</x:v>
      </x:c>
      <x:c r="N271" s="118">
        <x:f t="shared" si="2"/>
        <x:v>89.36056471</x:v>
      </x:c>
      <x:c r="Q271" s="9" t="s">
        <x:v>220</x:v>
      </x:c>
      <x:c r="R271" s="118" t="n">
        <x:f>Aggregate!BV25</x:f>
        <x:v>81.96560088</x:v>
      </x:c>
      <x:c r="S271" s="9"/>
      <x:c r="T271" s="9"/>
    </x:row>
    <x:row r="272" ht="14.25" customHeight="1">
      <x:c r="A272" s="1">
        <x:v>269.0</x:v>
      </x:c>
      <x:c r="B272" s="1">
        <x:v>9.0</x:v>
      </x:c>
      <x:c r="C272" s="1" t="s">
        <x:v>945</x:v>
      </x:c>
      <x:c r="D272" s="1" t="s">
        <x:v>529</x:v>
      </x:c>
      <x:c r="E272" s="1" t="s">
        <x:v>256</x:v>
      </x:c>
      <x:c r="F272" s="1">
        <x:v>6.0</x:v>
      </x:c>
      <x:c r="G272" s="1" t="s">
        <x:v>1065</x:v>
      </x:c>
      <x:c r="H272" s="1" t="s">
        <x:v>1065</x:v>
      </x:c>
      <x:c r="I272" s="1" t="s">
        <x:v>1059</x:v>
      </x:c>
      <x:c r="J272" s="1">
        <x:v>-65.0</x:v>
      </x:c>
      <x:c r="K272" s="1">
        <x:v>271.0</x:v>
      </x:c>
      <x:c r="L272" s="1" t="str">
        <x:f t="shared" si="1"/>
        <x:v>Greg Dulcich</x:v>
      </x:c>
      <x:c r="M272" s="127" t="n">
        <x:f>IFERROR(VLOOKUP(E272,RISK!A:B,2,FALSE()),"")</x:f>
        <x:v>2.1938</x:v>
      </x:c>
      <x:c r="N272" s="118">
        <x:f t="shared" si="2"/>
        <x:v>69.46142859</x:v>
      </x:c>
      <x:c r="Q272" s="9" t="s">
        <x:v>224</x:v>
      </x:c>
      <x:c r="R272" s="118" t="n">
        <x:f>Aggregate!BV26</x:f>
        <x:v>81.94815565</x:v>
      </x:c>
      <x:c r="S272" s="9"/>
      <x:c r="T272" s="9"/>
    </x:row>
    <x:row r="273" ht="14.25" customHeight="1">
      <x:c r="A273" s="1">
        <x:v>270.0</x:v>
      </x:c>
      <x:c r="B273" s="1">
        <x:v>9.0</x:v>
      </x:c>
      <x:c r="C273" s="1" t="s">
        <x:v>816</x:v>
      </x:c>
      <x:c r="D273" s="1" t="s">
        <x:v>529</x:v>
      </x:c>
      <x:c r="E273" s="1" t="s">
        <x:v>460</x:v>
      </x:c>
      <x:c r="F273" s="1">
        <x:v>6.0</x:v>
      </x:c>
      <x:c r="G273" s="1" t="s">
        <x:v>1065</x:v>
      </x:c>
      <x:c r="H273" s="1" t="s">
        <x:v>1065</x:v>
      </x:c>
      <x:c r="I273" s="1" t="s">
        <x:v>1064</x:v>
      </x:c>
      <x:c r="J273" s="1">
        <x:v>-11.0</x:v>
      </x:c>
      <x:c r="K273" s="1">
        <x:v>272.0</x:v>
      </x:c>
      <x:c r="L273" s="1" t="str">
        <x:f t="shared" si="1"/>
        <x:v>Chris Bell</x:v>
      </x:c>
      <x:c r="M273" s="127" t="n">
        <x:f>IFERROR(VLOOKUP(E273,RISK!A:B,2,FALSE()),"")</x:f>
        <x:v>3.7</x:v>
      </x:c>
      <x:c r="N273" s="118">
        <x:f t="shared" si="2"/>
        <x:v>48.31729412</x:v>
      </x:c>
      <x:c r="Q273" s="9" t="s">
        <x:v>228</x:v>
      </x:c>
      <x:c r="R273" s="118" t="n">
        <x:f>Aggregate!BV27</x:f>
        <x:v>80.65591535</x:v>
      </x:c>
      <x:c r="S273" s="9"/>
      <x:c r="T273" s="9"/>
    </x:row>
    <x:row r="274" ht="14.25" customHeight="1">
      <x:c r="A274" s="1">
        <x:v>271.0</x:v>
      </x:c>
      <x:c r="B274" s="1">
        <x:v>9.0</x:v>
      </x:c>
      <x:c r="C274" s="1" t="s">
        <x:v>1131</x:v>
      </x:c>
      <x:c r="D274" s="1" t="s">
        <x:v>515</x:v>
      </x:c>
      <x:c r="E274" s="1" t="s">
        <x:v>1132</x:v>
      </x:c>
      <x:c r="F274" s="1">
        <x:v>10.0</x:v>
      </x:c>
      <x:c r="G274" s="1" t="s">
        <x:v>1067</x:v>
      </x:c>
      <x:c r="H274" s="1" t="s">
        <x:v>1067</x:v>
      </x:c>
      <x:c r="I274" s="1" t="s">
        <x:v>1063</x:v>
      </x:c>
      <x:c r="J274" s="1">
        <x:v>-18.0</x:v>
      </x:c>
      <x:c r="K274" s="1">
        <x:v>273.0</x:v>
      </x:c>
      <x:c r="L274" s="1" t="str">
        <x:f t="shared" si="1"/>
        <x:v>Wil Lutz</x:v>
      </x:c>
      <x:c r="M274" s="127" t="str">
        <x:f>IFERROR(VLOOKUP(E274,RISK!A:B,2,FALSE()),"")</x:f>
      </x:c>
      <x:c r="N274" s="118" t="str">
        <x:f t="shared" si="2"/>
        <x:v>#N/A</x:v>
      </x:c>
      <x:c r="Q274" s="9" t="s">
        <x:v>232</x:v>
      </x:c>
      <x:c r="R274" s="118" t="n">
        <x:f>Aggregate!BV28</x:f>
        <x:v>78.677505</x:v>
      </x:c>
      <x:c r="S274" s="9"/>
      <x:c r="T274" s="9"/>
    </x:row>
    <x:row r="275" ht="14.25" customHeight="1">
      <x:c r="A275" s="1">
        <x:v>272.0</x:v>
      </x:c>
      <x:c r="B275" s="1">
        <x:v>9.0</x:v>
      </x:c>
      <x:c r="C275" s="1" t="s">
        <x:v>677</x:v>
      </x:c>
      <x:c r="D275" s="1" t="s">
        <x:v>507</x:v>
      </x:c>
      <x:c r="E275" s="1" t="s">
        <x:v>414</x:v>
      </x:c>
      <x:c r="F275" s="1">
        <x:v>14.0</x:v>
      </x:c>
      <x:c r="G275" s="1" t="s">
        <x:v>1067</x:v>
      </x:c>
      <x:c r="H275" s="1" t="s">
        <x:v>1067</x:v>
      </x:c>
      <x:c r="I275" s="1" t="s">
        <x:v>1061</x:v>
      </x:c>
      <x:c r="J275" s="1">
        <x:v>93.0</x:v>
      </x:c>
      <x:c r="K275" s="1">
        <x:v>274.0</x:v>
      </x:c>
      <x:c r="L275" s="1" t="str">
        <x:f t="shared" si="1"/>
        <x:v>Malik Davis</x:v>
      </x:c>
      <x:c r="M275" s="127" t="n">
        <x:f>IFERROR(VLOOKUP(E275,RISK!A:B,2,FALSE()),"")</x:f>
        <x:v>3.368</x:v>
      </x:c>
      <x:c r="N275" s="118">
        <x:f t="shared" si="2"/>
        <x:v>26.72039529</x:v>
      </x:c>
      <x:c r="Q275" s="9" t="s">
        <x:v>236</x:v>
      </x:c>
      <x:c r="R275" s="118" t="n">
        <x:f>Aggregate!BV29</x:f>
        <x:v>77.96041206</x:v>
      </x:c>
      <x:c r="S275" s="9"/>
      <x:c r="T275" s="9"/>
    </x:row>
    <x:row r="276" ht="14.25" customHeight="1">
      <x:c r="A276" s="1">
        <x:v>273.0</x:v>
      </x:c>
      <x:c r="B276" s="1">
        <x:v>9.0</x:v>
      </x:c>
      <x:c r="C276" s="1" t="s">
        <x:v>684</x:v>
      </x:c>
      <x:c r="D276" s="1" t="s">
        <x:v>527</x:v>
      </x:c>
      <x:c r="E276" s="1" t="s">
        <x:v>417</x:v>
      </x:c>
      <x:c r="F276" s="1">
        <x:v>13.0</x:v>
      </x:c>
      <x:c r="G276" s="1" t="s">
        <x:v>1062</x:v>
      </x:c>
      <x:c r="H276" s="1" t="s">
        <x:v>1065</x:v>
      </x:c>
      <x:c r="I276" s="1" t="s">
        <x:v>1061</x:v>
      </x:c>
      <x:c r="J276" s="1">
        <x:v>93.0</x:v>
      </x:c>
      <x:c r="K276" s="1">
        <x:v>275.0</x:v>
      </x:c>
      <x:c r="L276" s="1" t="str">
        <x:f t="shared" si="1"/>
        <x:v>DJ Giddens</x:v>
      </x:c>
      <x:c r="M276" s="127" t="n">
        <x:f>IFERROR(VLOOKUP(E276,RISK!A:B,2,FALSE()),"")</x:f>
        <x:v>3.368</x:v>
      </x:c>
      <x:c r="N276" s="118">
        <x:f t="shared" si="2"/>
        <x:v>24.12712</x:v>
      </x:c>
      <x:c r="Q276" s="9" t="s">
        <x:v>240</x:v>
      </x:c>
      <x:c r="R276" s="118" t="n">
        <x:f>Aggregate!BV30</x:f>
        <x:v>74.18802176</x:v>
      </x:c>
      <x:c r="S276" s="9"/>
      <x:c r="T276" s="9"/>
    </x:row>
    <x:row r="277" ht="14.25" customHeight="1">
      <x:c r="A277" s="1">
        <x:v>274.0</x:v>
      </x:c>
      <x:c r="B277" s="1">
        <x:v>9.0</x:v>
      </x:c>
      <x:c r="C277" s="1" t="s">
        <x:v>814</x:v>
      </x:c>
      <x:c r="D277" s="1" t="s">
        <x:v>501</x:v>
      </x:c>
      <x:c r="E277" s="1" t="s">
        <x:v>463</x:v>
      </x:c>
      <x:c r="F277" s="1">
        <x:v>8.0</x:v>
      </x:c>
      <x:c r="G277" s="1" t="s">
        <x:v>1062</x:v>
      </x:c>
      <x:c r="H277" s="1" t="s">
        <x:v>1065</x:v>
      </x:c>
      <x:c r="I277" s="1" t="s">
        <x:v>1061</x:v>
      </x:c>
      <x:c r="J277" s="1" t="s">
        <x:v>1067</x:v>
      </x:c>
      <x:c r="K277" s="1">
        <x:v>276.0</x:v>
      </x:c>
      <x:c r="L277" s="1" t="str">
        <x:f t="shared" si="1"/>
        <x:v>Darius Slayton</x:v>
      </x:c>
      <x:c r="M277" s="127" t="n">
        <x:f>IFERROR(VLOOKUP(E277,RISK!A:B,2,FALSE()),"")</x:f>
        <x:v>3.7</x:v>
      </x:c>
      <x:c r="N277" s="118">
        <x:f t="shared" si="2"/>
        <x:v>47.34052941</x:v>
      </x:c>
      <x:c r="Q277" s="9" t="s">
        <x:v>244</x:v>
      </x:c>
      <x:c r="R277" s="118" t="n">
        <x:f>Aggregate!BV31</x:f>
        <x:v>73.32716459</x:v>
      </x:c>
      <x:c r="S277" s="9"/>
      <x:c r="T277" s="9"/>
    </x:row>
    <x:row r="278" ht="14.25" customHeight="1">
      <x:c r="A278" s="1">
        <x:v>275.0</x:v>
      </x:c>
      <x:c r="B278" s="1">
        <x:v>9.0</x:v>
      </x:c>
      <x:c r="C278" s="1" t="s">
        <x:v>823</x:v>
      </x:c>
      <x:c r="D278" s="1" t="s">
        <x:v>503</x:v>
      </x:c>
      <x:c r="E278" s="1" t="s">
        <x:v>466</x:v>
      </x:c>
      <x:c r="F278" s="1">
        <x:v>8.0</x:v>
      </x:c>
      <x:c r="G278" s="1" t="s">
        <x:v>1062</x:v>
      </x:c>
      <x:c r="H278" s="1" t="s">
        <x:v>1065</x:v>
      </x:c>
      <x:c r="I278" s="1" t="s">
        <x:v>1060</x:v>
      </x:c>
      <x:c r="J278" s="1">
        <x:v>40.0</x:v>
      </x:c>
      <x:c r="K278" s="1">
        <x:v>277.0</x:v>
      </x:c>
      <x:c r="L278" s="1" t="str">
        <x:f t="shared" si="1"/>
        <x:v>Christian Kirk</x:v>
      </x:c>
      <x:c r="M278" s="127" t="n">
        <x:f>IFERROR(VLOOKUP(E278,RISK!A:B,2,FALSE()),"")</x:f>
        <x:v>3.7</x:v>
      </x:c>
      <x:c r="N278" s="118">
        <x:f t="shared" si="2"/>
        <x:v>45.12652941</x:v>
      </x:c>
      <x:c r="Q278" s="9" t="s">
        <x:v>248</x:v>
      </x:c>
      <x:c r="R278" s="118" t="n">
        <x:f>Aggregate!BV32</x:f>
        <x:v>70.17610247</x:v>
      </x:c>
      <x:c r="S278" s="9"/>
      <x:c r="T278" s="9"/>
    </x:row>
    <x:row r="279" ht="14.25" customHeight="1">
      <x:c r="A279" s="1">
        <x:v>276.0</x:v>
      </x:c>
      <x:c r="B279" s="1">
        <x:v>9.0</x:v>
      </x:c>
      <x:c r="C279" s="1" t="s">
        <x:v>817</x:v>
      </x:c>
      <x:c r="D279" s="1" t="s">
        <x:v>537</x:v>
      </x:c>
      <x:c r="E279" s="1" t="s">
        <x:v>469</x:v>
      </x:c>
      <x:c r="F279" s="1">
        <x:v>5.0</x:v>
      </x:c>
      <x:c r="G279" s="1" t="s">
        <x:v>1062</x:v>
      </x:c>
      <x:c r="H279" s="1" t="s">
        <x:v>1065</x:v>
      </x:c>
      <x:c r="I279" s="1" t="s">
        <x:v>1060</x:v>
      </x:c>
      <x:c r="J279" s="1">
        <x:v>95.0</x:v>
      </x:c>
      <x:c r="K279" s="1">
        <x:v>278.0</x:v>
      </x:c>
      <x:c r="L279" s="1" t="str">
        <x:f t="shared" si="1"/>
        <x:v>Xavier Legette</x:v>
      </x:c>
      <x:c r="M279" s="127" t="n">
        <x:f>IFERROR(VLOOKUP(E279,RISK!A:B,2,FALSE()),"")</x:f>
        <x:v>3.7</x:v>
      </x:c>
      <x:c r="N279" s="118">
        <x:f t="shared" si="2"/>
        <x:v>42.14558824</x:v>
      </x:c>
      <x:c r="Q279" s="9" t="s">
        <x:v>252</x:v>
      </x:c>
      <x:c r="R279" s="118" t="n">
        <x:f>Aggregate!BV33</x:f>
        <x:v>69.85284706</x:v>
      </x:c>
      <x:c r="S279" s="9"/>
      <x:c r="T279" s="9"/>
    </x:row>
    <x:row r="280" ht="14.25" customHeight="1">
      <x:c r="A280" s="1">
        <x:v>277.0</x:v>
      </x:c>
      <x:c r="B280" s="1">
        <x:v>9.0</x:v>
      </x:c>
      <x:c r="C280" s="1" t="s">
        <x:v>548</x:v>
      </x:c>
      <x:c r="D280" s="1" t="s">
        <x:v>549</x:v>
      </x:c>
      <x:c r="E280" s="1" t="s">
        <x:v>261</x:v>
      </x:c>
      <x:c r="F280" s="1">
        <x:v>11.0</x:v>
      </x:c>
      <x:c r="G280" s="1" t="s">
        <x:v>1058</x:v>
      </x:c>
      <x:c r="H280" s="1" t="s">
        <x:v>1057</x:v>
      </x:c>
      <x:c r="I280" s="1" t="s">
        <x:v>1061</x:v>
      </x:c>
      <x:c r="J280" s="1">
        <x:v>-14.0</x:v>
      </x:c>
      <x:c r="K280" s="1">
        <x:v>279.0</x:v>
      </x:c>
      <x:c r="L280" s="1" t="str">
        <x:f t="shared" si="1"/>
        <x:v>Deshaun Watson</x:v>
      </x:c>
      <x:c r="M280" s="127" t="n">
        <x:f>IFERROR(VLOOKUP(E280,RISK!A:B,2,FALSE()),"")</x:f>
        <x:v>3.2</x:v>
      </x:c>
      <x:c r="N280" s="118">
        <x:f t="shared" si="2"/>
        <x:v>67.98607059</x:v>
      </x:c>
      <x:c r="Q280" s="9" t="s">
        <x:v>256</x:v>
      </x:c>
      <x:c r="R280" s="118" t="n">
        <x:f>Aggregate!BV34</x:f>
        <x:v>69.46142859</x:v>
      </x:c>
      <x:c r="S280" s="9"/>
      <x:c r="T280" s="9"/>
    </x:row>
    <x:row r="281" ht="14.25" customHeight="1">
      <x:c r="A281" s="1">
        <x:v>278.0</x:v>
      </x:c>
      <x:c r="B281" s="1">
        <x:v>9.0</x:v>
      </x:c>
      <x:c r="C281" s="1" t="s">
        <x:v>957</x:v>
      </x:c>
      <x:c r="D281" s="1" t="s">
        <x:v>539</x:v>
      </x:c>
      <x:c r="E281" s="1" t="s">
        <x:v>260</x:v>
      </x:c>
      <x:c r="F281" s="1">
        <x:v>13.0</x:v>
      </x:c>
      <x:c r="G281" s="1" t="s">
        <x:v>1058</x:v>
      </x:c>
      <x:c r="H281" s="1" t="s">
        <x:v>1065</x:v>
      </x:c>
      <x:c r="I281" s="1" t="s">
        <x:v>1061</x:v>
      </x:c>
      <x:c r="J281" s="1">
        <x:v>68.0</x:v>
      </x:c>
      <x:c r="K281" s="1">
        <x:v>280.0</x:v>
      </x:c>
      <x:c r="L281" s="1" t="str">
        <x:f t="shared" si="1"/>
        <x:v>Mason Taylor</x:v>
      </x:c>
      <x:c r="M281" s="127" t="n">
        <x:f>IFERROR(VLOOKUP(E281,RISK!A:B,2,FALSE()),"")</x:f>
        <x:v>2.1938</x:v>
      </x:c>
      <x:c r="N281" s="118">
        <x:f t="shared" si="2"/>
        <x:v>65.10681212</x:v>
      </x:c>
      <x:c r="Q281" s="9" t="s">
        <x:v>260</x:v>
      </x:c>
      <x:c r="R281" s="118" t="n">
        <x:f>Aggregate!BV35</x:f>
        <x:v>65.10681212</x:v>
      </x:c>
      <x:c r="S281" s="9"/>
      <x:c r="T281" s="9"/>
    </x:row>
    <x:row r="282" ht="14.25" customHeight="1">
      <x:c r="A282" s="1">
        <x:v>279.0</x:v>
      </x:c>
      <x:c r="B282" s="1">
        <x:v>9.0</x:v>
      </x:c>
      <x:c r="C282" s="1" t="s">
        <x:v>863</x:v>
      </x:c>
      <x:c r="D282" s="1" t="s">
        <x:v>491</x:v>
      </x:c>
      <x:c r="E282" s="1" t="s">
        <x:v>472</x:v>
      </x:c>
      <x:c r="F282" s="1">
        <x:v>13.0</x:v>
      </x:c>
      <x:c r="G282" s="1" t="s">
        <x:v>1066</x:v>
      </x:c>
      <x:c r="H282" s="1" t="s">
        <x:v>1065</x:v>
      </x:c>
      <x:c r="I282" s="1" t="s">
        <x:v>1061</x:v>
      </x:c>
      <x:c r="J282" s="1">
        <x:v>89.0</x:v>
      </x:c>
      <x:c r="K282" s="1">
        <x:v>281.0</x:v>
      </x:c>
      <x:c r="L282" s="1" t="str">
        <x:f t="shared" si="1"/>
        <x:v>Elijah Sarratt</x:v>
      </x:c>
      <x:c r="M282" s="127" t="n">
        <x:f>IFERROR(VLOOKUP(E282,RISK!A:B,2,FALSE()),"")</x:f>
        <x:v>3.7</x:v>
      </x:c>
      <x:c r="N282" s="118">
        <x:f t="shared" si="2"/>
        <x:v>38.48452941</x:v>
      </x:c>
      <x:c r="Q282" s="9" t="s">
        <x:v>264</x:v>
      </x:c>
      <x:c r="R282" s="118" t="n">
        <x:f>Aggregate!BV36</x:f>
        <x:v>62.89942294</x:v>
      </x:c>
      <x:c r="S282" s="9"/>
      <x:c r="T282" s="9"/>
    </x:row>
    <x:row r="283" ht="14.25" customHeight="1">
      <x:c r="A283" s="1">
        <x:v>280.0</x:v>
      </x:c>
      <x:c r="B283" s="1">
        <x:v>9.0</x:v>
      </x:c>
      <x:c r="C283" s="1" t="s">
        <x:v>553</x:v>
      </x:c>
      <x:c r="D283" s="1" t="s">
        <x:v>549</x:v>
      </x:c>
      <x:c r="E283" s="1" t="s">
        <x:v>265</x:v>
      </x:c>
      <x:c r="F283" s="1">
        <x:v>11.0</x:v>
      </x:c>
      <x:c r="G283" s="1" t="s">
        <x:v>1066</x:v>
      </x:c>
      <x:c r="H283" s="1" t="s">
        <x:v>1065</x:v>
      </x:c>
      <x:c r="I283" s="1" t="s">
        <x:v>1061</x:v>
      </x:c>
      <x:c r="J283" s="1">
        <x:v>-15.0</x:v>
      </x:c>
      <x:c r="K283" s="1">
        <x:v>282.0</x:v>
      </x:c>
      <x:c r="L283" s="1" t="str">
        <x:f t="shared" si="1"/>
        <x:v>Shedeur Sanders</x:v>
      </x:c>
      <x:c r="M283" s="127" t="n">
        <x:f>IFERROR(VLOOKUP(E283,RISK!A:B,2,FALSE()),"")</x:f>
        <x:v>3.2</x:v>
      </x:c>
      <x:c r="N283" s="118">
        <x:f t="shared" si="2"/>
        <x:v>35.41232941</x:v>
      </x:c>
      <x:c r="Q283" s="9" t="s">
        <x:v>268</x:v>
      </x:c>
      <x:c r="R283" s="118" t="n">
        <x:f>Aggregate!BV37</x:f>
        <x:v>60.68230965</x:v>
      </x:c>
      <x:c r="S283" s="9"/>
      <x:c r="T283" s="9"/>
    </x:row>
    <x:row r="284" ht="14.25" customHeight="1">
      <x:c r="A284" s="1">
        <x:v>281.0</x:v>
      </x:c>
      <x:c r="B284" s="1">
        <x:v>9.0</x:v>
      </x:c>
      <x:c r="C284" s="1" t="s">
        <x:v>961</x:v>
      </x:c>
      <x:c r="D284" s="1" t="s">
        <x:v>501</x:v>
      </x:c>
      <x:c r="E284" s="1" t="s">
        <x:v>264</x:v>
      </x:c>
      <x:c r="F284" s="1">
        <x:v>8.0</x:v>
      </x:c>
      <x:c r="G284" s="1" t="s">
        <x:v>1058</x:v>
      </x:c>
      <x:c r="H284" s="1" t="s">
        <x:v>1057</x:v>
      </x:c>
      <x:c r="I284" s="1" t="s">
        <x:v>1064</x:v>
      </x:c>
      <x:c r="J284" s="1">
        <x:v>24.0</x:v>
      </x:c>
      <x:c r="K284" s="1">
        <x:v>283.0</x:v>
      </x:c>
      <x:c r="L284" s="1" t="str">
        <x:f t="shared" si="1"/>
        <x:v>Theo Johnson</x:v>
      </x:c>
      <x:c r="M284" s="127" t="n">
        <x:f>IFERROR(VLOOKUP(E284,RISK!A:B,2,FALSE()),"")</x:f>
        <x:v>2.1938</x:v>
      </x:c>
      <x:c r="N284" s="118">
        <x:f t="shared" si="2"/>
        <x:v>62.89942294</x:v>
      </x:c>
      <x:c r="Q284" s="9" t="s">
        <x:v>272</x:v>
      </x:c>
      <x:c r="R284" s="118" t="n">
        <x:f>Aggregate!BV38</x:f>
        <x:v>56.87342271</x:v>
      </x:c>
      <x:c r="S284" s="9"/>
      <x:c r="T284" s="9"/>
    </x:row>
    <x:row r="285" ht="14.25" customHeight="1">
      <x:c r="A285" s="1">
        <x:v>282.0</x:v>
      </x:c>
      <x:c r="B285" s="1">
        <x:v>9.0</x:v>
      </x:c>
      <x:c r="C285" s="1" t="s">
        <x:v>696</x:v>
      </x:c>
      <x:c r="D285" s="1" t="s">
        <x:v>527</x:v>
      </x:c>
      <x:c r="E285" s="1" t="s">
        <x:v>420</x:v>
      </x:c>
      <x:c r="F285" s="1">
        <x:v>13.0</x:v>
      </x:c>
      <x:c r="G285" s="1" t="s">
        <x:v>1065</x:v>
      </x:c>
      <x:c r="H285" s="1" t="s">
        <x:v>1065</x:v>
      </x:c>
      <x:c r="I285" s="1" t="s">
        <x:v>1061</x:v>
      </x:c>
      <x:c r="J285" s="1">
        <x:v>90.0</x:v>
      </x:c>
      <x:c r="K285" s="1">
        <x:v>284.0</x:v>
      </x:c>
      <x:c r="L285" s="1" t="str">
        <x:f t="shared" si="1"/>
        <x:v>Seth McGowan</x:v>
      </x:c>
      <x:c r="M285" s="127" t="n">
        <x:f>IFERROR(VLOOKUP(E285,RISK!A:B,2,FALSE()),"")</x:f>
        <x:v>3.368</x:v>
      </x:c>
      <x:c r="N285" s="118">
        <x:f t="shared" si="2"/>
        <x:v>23.99336941</x:v>
      </x:c>
      <x:c r="Q285" s="9" t="s">
        <x:v>276</x:v>
      </x:c>
      <x:c r="R285" s="118" t="n">
        <x:f>Aggregate!BV39</x:f>
        <x:v>52.52040906</x:v>
      </x:c>
      <x:c r="S285" s="9"/>
      <x:c r="T285" s="9"/>
    </x:row>
    <x:row r="286" ht="14.25" customHeight="1">
      <x:c r="A286" s="1">
        <x:v>283.0</x:v>
      </x:c>
      <x:c r="B286" s="1">
        <x:v>9.0</x:v>
      </x:c>
      <x:c r="C286" s="1" t="s">
        <x:v>1133</x:v>
      </x:c>
      <x:c r="D286" s="1" t="s">
        <x:v>525</x:v>
      </x:c>
      <x:c r="E286" s="1" t="s">
        <x:v>1134</x:v>
      </x:c>
      <x:c r="F286" s="1">
        <x:v>6.0</x:v>
      </x:c>
      <x:c r="G286" s="1" t="s">
        <x:v>1067</x:v>
      </x:c>
      <x:c r="H286" s="1" t="s">
        <x:v>1067</x:v>
      </x:c>
      <x:c r="I286" s="1" t="s">
        <x:v>1060</x:v>
      </x:c>
      <x:c r="J286" s="1">
        <x:v>-83.0</x:v>
      </x:c>
      <x:c r="K286" s="1">
        <x:v>285.0</x:v>
      </x:c>
      <x:c r="L286" s="1" t="str">
        <x:f t="shared" si="1"/>
        <x:v>Will Reichard</x:v>
      </x:c>
      <x:c r="M286" s="127" t="str">
        <x:f>IFERROR(VLOOKUP(E286,RISK!A:B,2,FALSE()),"")</x:f>
      </x:c>
      <x:c r="N286" s="118" t="str">
        <x:f t="shared" si="2"/>
        <x:v>#N/A</x:v>
      </x:c>
      <x:c r="Q286" s="9" t="s">
        <x:v>280</x:v>
      </x:c>
      <x:c r="R286" s="118" t="n">
        <x:f>Aggregate!BV40</x:f>
        <x:v>50.62002624</x:v>
      </x:c>
      <x:c r="S286" s="9"/>
      <x:c r="T286" s="9"/>
    </x:row>
    <x:row r="287" ht="14.25" customHeight="1">
      <x:c r="A287" s="1">
        <x:v>284.0</x:v>
      </x:c>
      <x:c r="B287" s="1">
        <x:v>9.0</x:v>
      </x:c>
      <x:c r="C287" s="1" t="s">
        <x:v>811</x:v>
      </x:c>
      <x:c r="D287" s="1" t="s">
        <x:v>529</x:v>
      </x:c>
      <x:c r="E287" s="1" t="s">
        <x:v>475</x:v>
      </x:c>
      <x:c r="F287" s="1">
        <x:v>6.0</x:v>
      </x:c>
      <x:c r="G287" s="1" t="s">
        <x:v>1062</x:v>
      </x:c>
      <x:c r="H287" s="1" t="s">
        <x:v>1065</x:v>
      </x:c>
      <x:c r="I287" s="1" t="s">
        <x:v>1064</x:v>
      </x:c>
      <x:c r="J287" s="1">
        <x:v>-57.0</x:v>
      </x:c>
      <x:c r="K287" s="1">
        <x:v>286.0</x:v>
      </x:c>
      <x:c r="L287" s="1" t="str">
        <x:f t="shared" si="1"/>
        <x:v>Caleb Douglas</x:v>
      </x:c>
      <x:c r="M287" s="127" t="n">
        <x:f>IFERROR(VLOOKUP(E287,RISK!A:B,2,FALSE()),"")</x:f>
        <x:v>3.7</x:v>
      </x:c>
      <x:c r="N287" s="118">
        <x:f t="shared" si="2"/>
        <x:v>37.58735294</x:v>
      </x:c>
      <x:c r="Q287" s="9" t="s">
        <x:v>284</x:v>
      </x:c>
      <x:c r="R287" s="118" t="n">
        <x:f>Aggregate!BV41</x:f>
        <x:v>47.96436306</x:v>
      </x:c>
      <x:c r="S287" s="9"/>
      <x:c r="T287" s="9"/>
    </x:row>
    <x:row r="288" ht="14.25" customHeight="1">
      <x:c r="A288" s="1">
        <x:v>285.0</x:v>
      </x:c>
      <x:c r="B288" s="1">
        <x:v>9.0</x:v>
      </x:c>
      <x:c r="C288" s="1" t="s">
        <x:v>837</x:v>
      </x:c>
      <x:c r="D288" s="1" t="s">
        <x:v>515</x:v>
      </x:c>
      <x:c r="E288" s="1" t="s">
        <x:v>1135</x:v>
      </x:c>
      <x:c r="F288" s="1">
        <x:v>10.0</x:v>
      </x:c>
      <x:c r="G288" s="1" t="s">
        <x:v>1066</x:v>
      </x:c>
      <x:c r="H288" s="1" t="s">
        <x:v>1065</x:v>
      </x:c>
      <x:c r="I288" s="1" t="s">
        <x:v>1060</x:v>
      </x:c>
      <x:c r="J288" s="1" t="s">
        <x:v>1067</x:v>
      </x:c>
      <x:c r="K288" s="1">
        <x:v>287.0</x:v>
      </x:c>
      <x:c r="L288" s="1" t="str">
        <x:f t="shared" si="1"/>
        <x:v>Marvin Mims Jr.</x:v>
      </x:c>
      <x:c r="M288" s="127" t="n">
        <x:f>IFERROR(VLOOKUP(E288,RISK!A:B,2,FALSE()),"")</x:f>
        <x:v>3.7</x:v>
      </x:c>
      <x:c r="N288" s="118" t="str">
        <x:f t="shared" si="2"/>
        <x:v>#N/A</x:v>
      </x:c>
      <x:c r="Q288" s="9" t="s">
        <x:v>288</x:v>
      </x:c>
      <x:c r="R288" s="118" t="n">
        <x:f>Aggregate!BV42</x:f>
        <x:v>45.96652471</x:v>
      </x:c>
      <x:c r="S288" s="9"/>
      <x:c r="T288" s="9"/>
    </x:row>
    <x:row r="289" ht="14.25" customHeight="1">
      <x:c r="A289" s="1">
        <x:v>286.0</x:v>
      </x:c>
      <x:c r="B289" s="1">
        <x:v>9.0</x:v>
      </x:c>
      <x:c r="C289" s="1" t="s">
        <x:v>705</x:v>
      </x:c>
      <x:c r="D289" s="1" t="s">
        <x:v>521</x:v>
      </x:c>
      <x:c r="E289" s="1" t="s">
        <x:v>423</x:v>
      </x:c>
      <x:c r="F289" s="1">
        <x:v>8.0</x:v>
      </x:c>
      <x:c r="G289" s="1" t="s">
        <x:v>1062</x:v>
      </x:c>
      <x:c r="H289" s="1" t="s">
        <x:v>1065</x:v>
      </x:c>
      <x:c r="I289" s="1" t="s">
        <x:v>1064</x:v>
      </x:c>
      <x:c r="J289" s="1">
        <x:v>42.0</x:v>
      </x:c>
      <x:c r="K289" s="1">
        <x:v>288.0</x:v>
      </x:c>
      <x:c r="L289" s="1" t="str">
        <x:f t="shared" si="1"/>
        <x:v>Devin Neal</x:v>
      </x:c>
      <x:c r="M289" s="127" t="n">
        <x:f>IFERROR(VLOOKUP(E289,RISK!A:B,2,FALSE()),"")</x:f>
        <x:v>3.368</x:v>
      </x:c>
      <x:c r="N289" s="118">
        <x:f t="shared" si="2"/>
        <x:v>23.39149176</x:v>
      </x:c>
      <x:c r="Q289" s="9" t="s">
        <x:v>292</x:v>
      </x:c>
      <x:c r="R289" s="118" t="n">
        <x:f>Aggregate!BV43</x:f>
        <x:v>43.45704482</x:v>
      </x:c>
      <x:c r="S289" s="9"/>
      <x:c r="T289" s="9"/>
    </x:row>
    <x:row r="290" ht="14.25" customHeight="1">
      <x:c r="A290" s="1">
        <x:v>287.0</x:v>
      </x:c>
      <x:c r="B290" s="1">
        <x:v>9.0</x:v>
      </x:c>
      <x:c r="C290" s="1" t="s">
        <x:v>699</x:v>
      </x:c>
      <x:c r="D290" s="1" t="s">
        <x:v>521</x:v>
      </x:c>
      <x:c r="E290" s="1" t="s">
        <x:v>426</x:v>
      </x:c>
      <x:c r="F290" s="1">
        <x:v>8.0</x:v>
      </x:c>
      <x:c r="G290" s="1" t="s">
        <x:v>1062</x:v>
      </x:c>
      <x:c r="H290" s="1" t="s">
        <x:v>1065</x:v>
      </x:c>
      <x:c r="I290" s="1" t="s">
        <x:v>1064</x:v>
      </x:c>
      <x:c r="J290" s="1" t="s">
        <x:v>1067</x:v>
      </x:c>
      <x:c r="K290" s="1">
        <x:v>289.0</x:v>
      </x:c>
      <x:c r="L290" s="1" t="str">
        <x:f t="shared" si="1"/>
        <x:v>Kendre Miller</x:v>
      </x:c>
      <x:c r="M290" s="127" t="n">
        <x:f>IFERROR(VLOOKUP(E290,RISK!A:B,2,FALSE()),"")</x:f>
        <x:v>3.368</x:v>
      </x:c>
      <x:c r="N290" s="118">
        <x:f t="shared" si="2"/>
        <x:v>23.13142118</x:v>
      </x:c>
      <x:c r="Q290" s="9" t="s">
        <x:v>296</x:v>
      </x:c>
      <x:c r="R290" s="118" t="n">
        <x:f>Aggregate!BV44</x:f>
        <x:v>43.25401247</x:v>
      </x:c>
      <x:c r="S290" s="9"/>
      <x:c r="T290" s="9"/>
    </x:row>
    <x:row r="291" ht="14.25" customHeight="1">
      <x:c r="A291" s="1">
        <x:v>288.0</x:v>
      </x:c>
      <x:c r="B291" s="1">
        <x:v>9.0</x:v>
      </x:c>
      <x:c r="C291" s="1" t="s">
        <x:v>666</x:v>
      </x:c>
      <x:c r="D291" s="1" t="s">
        <x:v>491</x:v>
      </x:c>
      <x:c r="E291" s="1" t="s">
        <x:v>429</x:v>
      </x:c>
      <x:c r="F291" s="1">
        <x:v>13.0</x:v>
      </x:c>
      <x:c r="G291" s="1" t="s">
        <x:v>1066</x:v>
      </x:c>
      <x:c r="H291" s="1" t="s">
        <x:v>1065</x:v>
      </x:c>
      <x:c r="I291" s="1" t="s">
        <x:v>1064</x:v>
      </x:c>
      <x:c r="J291" s="1">
        <x:v>62.0</x:v>
      </x:c>
      <x:c r="K291" s="1">
        <x:v>290.0</x:v>
      </x:c>
      <x:c r="L291" s="1" t="str">
        <x:f t="shared" si="1"/>
        <x:v>Adam Randall</x:v>
      </x:c>
      <x:c r="M291" s="127" t="n">
        <x:f>IFERROR(VLOOKUP(E291,RISK!A:B,2,FALSE()),"")</x:f>
        <x:v>3.368</x:v>
      </x:c>
      <x:c r="N291" s="118">
        <x:f t="shared" si="2"/>
        <x:v>20.28550588</x:v>
      </x:c>
      <x:c r="Q291" s="9" t="s">
        <x:v>300</x:v>
      </x:c>
      <x:c r="R291" s="118" t="n">
        <x:f>Aggregate!BV45</x:f>
        <x:v>38.01577776</x:v>
      </x:c>
      <x:c r="S291" s="9"/>
      <x:c r="T291" s="9"/>
    </x:row>
    <x:row r="292" ht="14.25" customHeight="1">
      <x:c r="A292" s="1">
        <x:v>289.0</x:v>
      </x:c>
      <x:c r="B292" s="1">
        <x:v>9.0</x:v>
      </x:c>
      <x:c r="C292" s="1" t="s">
        <x:v>689</x:v>
      </x:c>
      <x:c r="D292" s="1" t="s">
        <x:v>509</x:v>
      </x:c>
      <x:c r="E292" s="1" t="s">
        <x:v>432</x:v>
      </x:c>
      <x:c r="F292" s="1">
        <x:v>5.0</x:v>
      </x:c>
      <x:c r="G292" s="1" t="s">
        <x:v>1067</x:v>
      </x:c>
      <x:c r="H292" s="1" t="s">
        <x:v>1067</x:v>
      </x:c>
      <x:c r="I292" s="1" t="s">
        <x:v>1064</x:v>
      </x:c>
      <x:c r="J292" s="1">
        <x:v>59.0</x:v>
      </x:c>
      <x:c r="K292" s="1">
        <x:v>291.0</x:v>
      </x:c>
      <x:c r="L292" s="1" t="str">
        <x:f t="shared" si="1"/>
        <x:v>Brashard Smith</x:v>
      </x:c>
      <x:c r="M292" s="127" t="n">
        <x:f>IFERROR(VLOOKUP(E292,RISK!A:B,2,FALSE()),"")</x:f>
        <x:v>3.368</x:v>
      </x:c>
      <x:c r="N292" s="118">
        <x:f t="shared" si="2"/>
        <x:v>16.31757176</x:v>
      </x:c>
      <x:c r="Q292" s="9" t="s">
        <x:v>304</x:v>
      </x:c>
      <x:c r="R292" s="118" t="n">
        <x:f>Aggregate!BV46</x:f>
        <x:v>36.48897447</x:v>
      </x:c>
      <x:c r="S292" s="9"/>
      <x:c r="T292" s="9"/>
    </x:row>
    <x:row r="293" ht="14.25" customHeight="1">
      <x:c r="A293" s="1">
        <x:v>290.0</x:v>
      </x:c>
      <x:c r="B293" s="1">
        <x:v>9.0</x:v>
      </x:c>
      <x:c r="C293" s="1" t="s">
        <x:v>662</x:v>
      </x:c>
      <x:c r="D293" s="1" t="s">
        <x:v>509</x:v>
      </x:c>
      <x:c r="E293" s="1" t="s">
        <x:v>435</x:v>
      </x:c>
      <x:c r="F293" s="1">
        <x:v>5.0</x:v>
      </x:c>
      <x:c r="G293" s="1" t="s">
        <x:v>1058</x:v>
      </x:c>
      <x:c r="H293" s="1" t="s">
        <x:v>1057</x:v>
      </x:c>
      <x:c r="I293" s="1" t="s">
        <x:v>1064</x:v>
      </x:c>
      <x:c r="J293" s="1">
        <x:v>87.0</x:v>
      </x:c>
      <x:c r="K293" s="1">
        <x:v>292.0</x:v>
      </x:c>
      <x:c r="L293" s="1" t="str">
        <x:f t="shared" si="1"/>
        <x:v>Emari Demercado</x:v>
      </x:c>
      <x:c r="M293" s="127" t="n">
        <x:f>IFERROR(VLOOKUP(E293,RISK!A:B,2,FALSE()),"")</x:f>
        <x:v>3.368</x:v>
      </x:c>
      <x:c r="N293" s="118">
        <x:f t="shared" si="2"/>
        <x:v>16.18382118</x:v>
      </x:c>
      <x:c r="Q293" s="9" t="s">
        <x:v>308</x:v>
      </x:c>
      <x:c r="R293" s="118" t="n">
        <x:f>Aggregate!BV47</x:f>
        <x:v>32.87499859</x:v>
      </x:c>
      <x:c r="S293" s="9"/>
      <x:c r="T293" s="9"/>
    </x:row>
    <x:row r="294" ht="14.25" customHeight="1">
      <x:c r="A294" s="1">
        <x:v>291.0</x:v>
      </x:c>
      <x:c r="B294" s="1">
        <x:v>9.0</x:v>
      </x:c>
      <x:c r="C294" s="1" t="s">
        <x:v>726</x:v>
      </x:c>
      <x:c r="D294" s="1" t="s">
        <x:v>1136</x:v>
      </x:c>
      <x:c r="E294" s="1" t="s">
        <x:v>438</x:v>
      </x:c>
      <x:c r="F294" s="1" t="s">
        <x:v>1067</x:v>
      </x:c>
      <x:c r="G294" s="1" t="s">
        <x:v>1062</x:v>
      </x:c>
      <x:c r="H294" s="1" t="s">
        <x:v>1065</x:v>
      </x:c>
      <x:c r="I294" s="1" t="s">
        <x:v>1067</x:v>
      </x:c>
      <x:c r="J294" s="1">
        <x:v>16.0</x:v>
      </x:c>
      <x:c r="K294" s="1">
        <x:v>293.0</x:v>
      </x:c>
      <x:c r="L294" s="1" t="str">
        <x:f t="shared" si="1"/>
        <x:v>Trey Benson</x:v>
      </x:c>
      <x:c r="M294" s="127" t="n">
        <x:f>IFERROR(VLOOKUP(E294,RISK!A:B,2,FALSE()),"")</x:f>
        <x:v>3.368</x:v>
      </x:c>
      <x:c r="N294" s="118">
        <x:f t="shared" si="2"/>
        <x:v>13.40478118</x:v>
      </x:c>
      <x:c r="Q294" s="9" t="s">
        <x:v>312</x:v>
      </x:c>
      <x:c r="R294" s="118" t="n">
        <x:f>Aggregate!BV48</x:f>
        <x:v>31.75426</x:v>
      </x:c>
      <x:c r="S294" s="9"/>
      <x:c r="T294" s="9"/>
    </x:row>
    <x:row r="295" ht="14.25" customHeight="1">
      <x:c r="A295" s="1">
        <x:v>292.0</x:v>
      </x:c>
      <x:c r="B295" s="1">
        <x:v>9.0</x:v>
      </x:c>
      <x:c r="C295" s="1" t="s">
        <x:v>1137</x:v>
      </x:c>
      <x:c r="D295" s="1" t="s">
        <x:v>503</x:v>
      </x:c>
      <x:c r="E295" s="1" t="s">
        <x:v>1138</x:v>
      </x:c>
      <x:c r="F295" s="1">
        <x:v>8.0</x:v>
      </x:c>
      <x:c r="G295" s="1" t="s">
        <x:v>1067</x:v>
      </x:c>
      <x:c r="H295" s="1" t="s">
        <x:v>1067</x:v>
      </x:c>
      <x:c r="I295" s="1" t="s">
        <x:v>1064</x:v>
      </x:c>
      <x:c r="J295" s="1">
        <x:v>-74.0</x:v>
      </x:c>
      <x:c r="K295" s="1">
        <x:v>294.0</x:v>
      </x:c>
      <x:c r="L295" s="1" t="str">
        <x:f t="shared" si="1"/>
        <x:v>San Francisco 49ers</x:v>
      </x:c>
      <x:c r="M295" s="127" t="str">
        <x:f>IFERROR(VLOOKUP(E295,RISK!A:B,2,FALSE()),"")</x:f>
      </x:c>
      <x:c r="N295" s="118" t="str">
        <x:f t="shared" si="2"/>
        <x:v>#N/A</x:v>
      </x:c>
      <x:c r="Q295" s="9" t="s">
        <x:v>316</x:v>
      </x:c>
      <x:c r="R295" s="118" t="n">
        <x:f>Aggregate!BV49</x:f>
        <x:v>31.13704165</x:v>
      </x:c>
      <x:c r="S295" s="9"/>
      <x:c r="T295" s="9"/>
    </x:row>
    <x:row r="296" ht="14.25" customHeight="1">
      <x:c r="A296" s="1">
        <x:v>293.0</x:v>
      </x:c>
      <x:c r="B296" s="1">
        <x:v>9.0</x:v>
      </x:c>
      <x:c r="C296" s="1" t="s">
        <x:v>721</x:v>
      </x:c>
      <x:c r="D296" s="1" t="s">
        <x:v>501</x:v>
      </x:c>
      <x:c r="E296" s="1" t="s">
        <x:v>441</x:v>
      </x:c>
      <x:c r="F296" s="1">
        <x:v>8.0</x:v>
      </x:c>
      <x:c r="G296" s="1" t="s">
        <x:v>1067</x:v>
      </x:c>
      <x:c r="H296" s="1" t="s">
        <x:v>1067</x:v>
      </x:c>
      <x:c r="I296" s="1" t="s">
        <x:v>1061</x:v>
      </x:c>
      <x:c r="J296" s="1">
        <x:v>-25.0</x:v>
      </x:c>
      <x:c r="K296" s="1">
        <x:v>295.0</x:v>
      </x:c>
      <x:c r="L296" s="1" t="str">
        <x:f t="shared" si="1"/>
        <x:v>Devin Singletary</x:v>
      </x:c>
      <x:c r="M296" s="127" t="n">
        <x:f>IFERROR(VLOOKUP(E296,RISK!A:B,2,FALSE()),"")</x:f>
        <x:v>3.368</x:v>
      </x:c>
      <x:c r="N296" s="118">
        <x:f t="shared" si="2"/>
        <x:v>13.37505882</x:v>
      </x:c>
      <x:c r="Q296" s="9" t="s">
        <x:v>320</x:v>
      </x:c>
      <x:c r="R296" s="118" t="n">
        <x:f>Aggregate!BV50</x:f>
        <x:v>29.82951329</x:v>
      </x:c>
      <x:c r="S296" s="9"/>
      <x:c r="T296" s="9"/>
    </x:row>
    <x:row r="297" ht="14.25" customHeight="1">
      <x:c r="A297" s="1">
        <x:v>294.0</x:v>
      </x:c>
      <x:c r="B297" s="1">
        <x:v>10.0</x:v>
      </x:c>
      <x:c r="C297" s="1" t="s">
        <x:v>975</x:v>
      </x:c>
      <x:c r="D297" s="1" t="s">
        <x:v>497</x:v>
      </x:c>
      <x:c r="E297" s="1" t="s">
        <x:v>268</x:v>
      </x:c>
      <x:c r="F297" s="1">
        <x:v>10.0</x:v>
      </x:c>
      <x:c r="G297" s="1" t="s">
        <x:v>1065</x:v>
      </x:c>
      <x:c r="H297" s="1" t="s">
        <x:v>1065</x:v>
      </x:c>
      <x:c r="I297" s="1" t="s">
        <x:v>1061</x:v>
      </x:c>
      <x:c r="J297" s="1">
        <x:v>-28.0</x:v>
      </x:c>
      <x:c r="K297" s="1">
        <x:v>296.0</x:v>
      </x:c>
      <x:c r="L297" s="1" t="str">
        <x:f t="shared" si="1"/>
        <x:v>Eli Stowers</x:v>
      </x:c>
      <x:c r="M297" s="127" t="n">
        <x:f>IFERROR(VLOOKUP(E297,RISK!A:B,2,FALSE()),"")</x:f>
        <x:v>2.1938</x:v>
      </x:c>
      <x:c r="N297" s="118">
        <x:f t="shared" si="2"/>
        <x:v>60.68230965</x:v>
      </x:c>
      <x:c r="Q297" s="9" t="s">
        <x:v>323</x:v>
      </x:c>
      <x:c r="R297" s="118" t="n">
        <x:f>Aggregate!BV51</x:f>
        <x:v>14.95130247</x:v>
      </x:c>
      <x:c r="S297" s="9"/>
      <x:c r="T297" s="9"/>
    </x:row>
    <x:row r="298" ht="14.25" customHeight="1">
      <x:c r="A298" s="1">
        <x:v>295.0</x:v>
      </x:c>
      <x:c r="B298" s="1">
        <x:v>10.0</x:v>
      </x:c>
      <x:c r="C298" s="1" t="s">
        <x:v>1139</x:v>
      </x:c>
      <x:c r="D298" s="1" t="s">
        <x:v>551</x:v>
      </x:c>
      <x:c r="E298" s="1" t="s">
        <x:v>1140</x:v>
      </x:c>
      <x:c r="F298" s="1">
        <x:v>11.0</x:v>
      </x:c>
      <x:c r="G298" s="1" t="s">
        <x:v>1067</x:v>
      </x:c>
      <x:c r="H298" s="1" t="s">
        <x:v>1067</x:v>
      </x:c>
      <x:c r="I298" s="1" t="s">
        <x:v>1061</x:v>
      </x:c>
      <x:c r="J298" s="1">
        <x:v>-40.0</x:v>
      </x:c>
      <x:c r="K298" s="1">
        <x:v>297.0</x:v>
      </x:c>
      <x:c r="L298" s="1" t="str">
        <x:f t="shared" si="1"/>
        <x:v>Atlanta Falcons</x:v>
      </x:c>
      <x:c r="M298" s="127" t="str">
        <x:f>IFERROR(VLOOKUP(E298,RISK!A:B,2,FALSE()),"")</x:f>
      </x:c>
      <x:c r="N298" s="118" t="str">
        <x:f t="shared" si="2"/>
        <x:v>#N/A</x:v>
      </x:c>
      <x:c r="Q298" s="9" t="s">
        <x:v>326</x:v>
      </x:c>
      <x:c r="R298" s="118" t="n">
        <x:f>Aggregate!BV52</x:f>
        <x:v>13.36765012</x:v>
      </x:c>
      <x:c r="S298" s="9"/>
      <x:c r="T298" s="9"/>
    </x:row>
    <x:row r="299" ht="14.25" customHeight="1">
      <x:c r="A299" s="1">
        <x:v>296.0</x:v>
      </x:c>
      <x:c r="B299" s="1">
        <x:v>10.0</x:v>
      </x:c>
      <x:c r="C299" s="1" t="s">
        <x:v>712</x:v>
      </x:c>
      <x:c r="D299" s="1" t="s">
        <x:v>537</x:v>
      </x:c>
      <x:c r="E299" s="1" t="s">
        <x:v>444</x:v>
      </x:c>
      <x:c r="F299" s="1">
        <x:v>5.0</x:v>
      </x:c>
      <x:c r="G299" s="1" t="s">
        <x:v>1067</x:v>
      </x:c>
      <x:c r="H299" s="1" t="s">
        <x:v>1067</x:v>
      </x:c>
      <x:c r="I299" s="1" t="s">
        <x:v>1063</x:v>
      </x:c>
      <x:c r="J299" s="1" t="s">
        <x:v>1067</x:v>
      </x:c>
      <x:c r="K299" s="1">
        <x:v>298.0</x:v>
      </x:c>
      <x:c r="L299" s="1" t="str">
        <x:f t="shared" si="1"/>
        <x:v>Trevor Etienne</x:v>
      </x:c>
      <x:c r="M299" s="127" t="n">
        <x:f>IFERROR(VLOOKUP(E299,RISK!A:B,2,FALSE()),"")</x:f>
        <x:v>3.368</x:v>
      </x:c>
      <x:c r="N299" s="118">
        <x:f t="shared" si="2"/>
        <x:v>12.632</x:v>
      </x:c>
      <x:c r="Q299" s="9"/>
      <x:c r="R299" s="9"/>
      <x:c r="S299" s="9"/>
      <x:c r="T299" s="9"/>
    </x:row>
    <x:row r="300" ht="14.25" customHeight="1">
      <x:c r="A300" s="1">
        <x:v>297.0</x:v>
      </x:c>
      <x:c r="B300" s="1">
        <x:v>10.0</x:v>
      </x:c>
      <x:c r="C300" s="1" t="s">
        <x:v>829</x:v>
      </x:c>
      <x:c r="D300" s="1" t="s">
        <x:v>497</x:v>
      </x:c>
      <x:c r="E300" s="1" t="s">
        <x:v>1141</x:v>
      </x:c>
      <x:c r="F300" s="1">
        <x:v>10.0</x:v>
      </x:c>
      <x:c r="G300" s="1" t="s">
        <x:v>1067</x:v>
      </x:c>
      <x:c r="H300" s="1" t="s">
        <x:v>1067</x:v>
      </x:c>
      <x:c r="I300" s="1" t="s">
        <x:v>1061</x:v>
      </x:c>
      <x:c r="J300" s="1">
        <x:v>30.0</x:v>
      </x:c>
      <x:c r="K300" s="1">
        <x:v>299.0</x:v>
      </x:c>
      <x:c r="L300" s="1" t="str">
        <x:f t="shared" si="1"/>
        <x:v>Hollywood Brown</x:v>
      </x:c>
      <x:c r="M300" s="127" t="n">
        <x:f>IFERROR(VLOOKUP(E300,RISK!A:B,2,FALSE()),"")</x:f>
        <x:v>3.7</x:v>
      </x:c>
      <x:c r="N300" s="118" t="str">
        <x:f t="shared" si="2"/>
        <x:v>#N/A</x:v>
      </x:c>
      <x:c r="Q300" s="9"/>
      <x:c r="R300" s="9"/>
      <x:c r="S300" s="9"/>
      <x:c r="T300" s="9"/>
    </x:row>
    <x:row r="301" ht="14.25" customHeight="1">
      <x:c r="A301" s="1">
        <x:v>298.0</x:v>
      </x:c>
      <x:c r="B301" s="1">
        <x:v>10.0</x:v>
      </x:c>
      <x:c r="C301" s="1" t="s">
        <x:v>857</x:v>
      </x:c>
      <x:c r="D301" s="1" t="s">
        <x:v>509</x:v>
      </x:c>
      <x:c r="E301" s="1" t="s">
        <x:v>1142</x:v>
      </x:c>
      <x:c r="F301" s="1">
        <x:v>5.0</x:v>
      </x:c>
      <x:c r="G301" s="1" t="s">
        <x:v>1065</x:v>
      </x:c>
      <x:c r="H301" s="1" t="s">
        <x:v>1065</x:v>
      </x:c>
      <x:c r="I301" s="1" t="s">
        <x:v>1060</x:v>
      </x:c>
      <x:c r="J301" s="1">
        <x:v>-83.0</x:v>
      </x:c>
      <x:c r="K301" s="1">
        <x:v>300.0</x:v>
      </x:c>
      <x:c r="L301" s="1" t="str">
        <x:f t="shared" si="1"/>
        <x:v>Cyrus Allen</x:v>
      </x:c>
      <x:c r="M301" s="127" t="n">
        <x:f>IFERROR(VLOOKUP(E301,RISK!A:B,2,FALSE()),"")</x:f>
        <x:v>3.7</x:v>
      </x:c>
      <x:c r="N301" s="118" t="str">
        <x:f t="shared" si="2"/>
        <x:v>#N/A</x:v>
      </x:c>
      <x:c r="Q301" s="9"/>
      <x:c r="R301" s="9"/>
      <x:c r="S301" s="9"/>
      <x:c r="T301" s="9"/>
    </x:row>
    <x:row r="302" ht="14.25" customHeight="1">
      <x:c r="A302" s="1">
        <x:v>299.0</x:v>
      </x:c>
      <x:c r="B302" s="1">
        <x:v>10.0</x:v>
      </x:c>
      <x:c r="C302" s="1" t="s">
        <x:v>707</x:v>
      </x:c>
      <x:c r="D302" s="1" t="s">
        <x:v>499</x:v>
      </x:c>
      <x:c r="E302" s="1" t="s">
        <x:v>447</x:v>
      </x:c>
      <x:c r="F302" s="1">
        <x:v>6.0</x:v>
      </x:c>
      <x:c r="G302" s="1" t="s">
        <x:v>1067</x:v>
      </x:c>
      <x:c r="H302" s="1" t="s">
        <x:v>1067</x:v>
      </x:c>
      <x:c r="I302" s="1" t="s">
        <x:v>1060</x:v>
      </x:c>
      <x:c r="J302" s="1" t="s">
        <x:v>1067</x:v>
      </x:c>
      <x:c r="K302" s="1">
        <x:v>301.0</x:v>
      </x:c>
      <x:c r="L302" s="1" t="str">
        <x:f t="shared" si="1"/>
        <x:v>Tahj Brooks</x:v>
      </x:c>
      <x:c r="M302" s="127" t="n">
        <x:f>IFERROR(VLOOKUP(E302,RISK!A:B,2,FALSE()),"")</x:f>
        <x:v>3.368</x:v>
      </x:c>
      <x:c r="N302" s="118">
        <x:f t="shared" si="2"/>
        <x:v>10.29136471</x:v>
      </x:c>
      <x:c r="Q302" s="9"/>
      <x:c r="R302" s="9"/>
      <x:c r="S302" s="9"/>
      <x:c r="T302" s="9"/>
    </x:row>
    <x:row r="303" ht="14.25" customHeight="1">
      <x:c r="A303" s="1">
        <x:v>300.0</x:v>
      </x:c>
      <x:c r="B303" s="1">
        <x:v>10.0</x:v>
      </x:c>
      <x:c r="C303" s="1" t="s">
        <x:v>875</x:v>
      </x:c>
      <x:c r="D303" s="1" t="s">
        <x:v>493</x:v>
      </x:c>
      <x:c r="E303" s="1" t="s">
        <x:v>1143</x:v>
      </x:c>
      <x:c r="F303" s="1">
        <x:v>11.0</x:v>
      </x:c>
      <x:c r="G303" s="1" t="s">
        <x:v>1067</x:v>
      </x:c>
      <x:c r="H303" s="1" t="s">
        <x:v>1067</x:v>
      </x:c>
      <x:c r="I303" s="1" t="s">
        <x:v>1060</x:v>
      </x:c>
      <x:c r="J303" s="1" t="s">
        <x:v>1067</x:v>
      </x:c>
      <x:c r="K303" s="1">
        <x:v>302.0</x:v>
      </x:c>
      <x:c r="L303" s="1" t="str">
        <x:f t="shared" si="1"/>
        <x:v>Kyle Williams</x:v>
      </x:c>
      <x:c r="M303" s="127" t="n">
        <x:f>IFERROR(VLOOKUP(E303,RISK!A:B,2,FALSE()),"")</x:f>
        <x:v>3.7</x:v>
      </x:c>
      <x:c r="N303" s="118" t="str">
        <x:f t="shared" si="2"/>
        <x:v>#N/A</x:v>
      </x:c>
      <x:c r="Q303" s="9"/>
      <x:c r="R303" s="9"/>
      <x:c r="S303" s="9"/>
      <x:c r="T303" s="9"/>
    </x:row>
    <x:row r="304" ht="14.25" customHeight="1">
      <x:c r="A304" s="1">
        <x:v>301.0</x:v>
      </x:c>
      <x:c r="B304" s="1">
        <x:v>10.0</x:v>
      </x:c>
      <x:c r="C304" s="1" t="s">
        <x:v>871</x:v>
      </x:c>
      <x:c r="D304" s="1" t="s">
        <x:v>493</x:v>
      </x:c>
      <x:c r="E304" s="1" t="s">
        <x:v>1144</x:v>
      </x:c>
      <x:c r="F304" s="1">
        <x:v>11.0</x:v>
      </x:c>
      <x:c r="G304" s="1" t="s">
        <x:v>1067</x:v>
      </x:c>
      <x:c r="H304" s="1" t="s">
        <x:v>1067</x:v>
      </x:c>
      <x:c r="I304" s="1" t="s">
        <x:v>1060</x:v>
      </x:c>
      <x:c r="J304" s="1" t="s">
        <x:v>1067</x:v>
      </x:c>
      <x:c r="K304" s="1">
        <x:v>303.0</x:v>
      </x:c>
      <x:c r="L304" s="1" t="str">
        <x:f t="shared" si="1"/>
        <x:v>Mack Hollins</x:v>
      </x:c>
      <x:c r="M304" s="127" t="n">
        <x:f>IFERROR(VLOOKUP(E304,RISK!A:B,2,FALSE()),"")</x:f>
        <x:v>3.7</x:v>
      </x:c>
      <x:c r="N304" s="118" t="str">
        <x:f t="shared" si="2"/>
        <x:v>#N/A</x:v>
      </x:c>
      <x:c r="Q304" s="9"/>
      <x:c r="R304" s="9"/>
      <x:c r="S304" s="9"/>
      <x:c r="T304" s="9"/>
    </x:row>
    <x:row r="305" ht="14.25" customHeight="1">
      <x:c r="A305" s="1">
        <x:v>302.0</x:v>
      </x:c>
      <x:c r="B305" s="1">
        <x:v>10.0</x:v>
      </x:c>
      <x:c r="C305" s="1" t="s">
        <x:v>1145</x:v>
      </x:c>
      <x:c r="D305" s="1" t="s">
        <x:v>521</x:v>
      </x:c>
      <x:c r="E305" s="1" t="s">
        <x:v>1146</x:v>
      </x:c>
      <x:c r="F305" s="1">
        <x:v>8.0</x:v>
      </x:c>
      <x:c r="G305" s="1" t="s">
        <x:v>1067</x:v>
      </x:c>
      <x:c r="H305" s="1" t="s">
        <x:v>1067</x:v>
      </x:c>
      <x:c r="I305" s="1" t="s">
        <x:v>1059</x:v>
      </x:c>
      <x:c r="J305" s="1">
        <x:v>-1.0</x:v>
      </x:c>
      <x:c r="K305" s="1">
        <x:v>304.0</x:v>
      </x:c>
      <x:c r="L305" s="1" t="str">
        <x:f t="shared" si="1"/>
        <x:v>New Orleans Saints</x:v>
      </x:c>
      <x:c r="M305" s="127" t="str">
        <x:f>IFERROR(VLOOKUP(E305,RISK!A:B,2,FALSE()),"")</x:f>
      </x:c>
      <x:c r="N305" s="118" t="str">
        <x:f t="shared" si="2"/>
        <x:v>#N/A</x:v>
      </x:c>
      <x:c r="Q305" s="9"/>
      <x:c r="R305" s="9"/>
      <x:c r="S305" s="9"/>
      <x:c r="T305" s="9"/>
    </x:row>
    <x:row r="306" ht="14.25" customHeight="1">
      <x:c r="A306" s="1">
        <x:v>303.0</x:v>
      </x:c>
      <x:c r="B306" s="1">
        <x:v>10.0</x:v>
      </x:c>
      <x:c r="C306" s="1" t="s">
        <x:v>955</x:v>
      </x:c>
      <x:c r="D306" s="1" t="s">
        <x:v>499</x:v>
      </x:c>
      <x:c r="E306" s="1" t="s">
        <x:v>272</x:v>
      </x:c>
      <x:c r="F306" s="1">
        <x:v>6.0</x:v>
      </x:c>
      <x:c r="G306" s="1" t="s">
        <x:v>1067</x:v>
      </x:c>
      <x:c r="H306" s="1" t="s">
        <x:v>1067</x:v>
      </x:c>
      <x:c r="I306" s="1" t="s">
        <x:v>1064</x:v>
      </x:c>
      <x:c r="J306" s="1">
        <x:v>0.0</x:v>
      </x:c>
      <x:c r="K306" s="1">
        <x:v>305.0</x:v>
      </x:c>
      <x:c r="L306" s="1" t="str">
        <x:f t="shared" si="1"/>
        <x:v>Mike Gesicki</x:v>
      </x:c>
      <x:c r="M306" s="127" t="n">
        <x:f>IFERROR(VLOOKUP(E306,RISK!A:B,2,FALSE()),"")</x:f>
        <x:v>2.1938</x:v>
      </x:c>
      <x:c r="N306" s="118">
        <x:f t="shared" si="2"/>
        <x:v>56.87342271</x:v>
      </x:c>
      <x:c r="Q306" s="9"/>
      <x:c r="R306" s="9"/>
      <x:c r="S306" s="9"/>
      <x:c r="T306" s="9"/>
    </x:row>
    <x:row r="307" ht="14.25" customHeight="1">
      <x:c r="A307" s="1">
        <x:v>304.0</x:v>
      </x:c>
      <x:c r="B307" s="1">
        <x:v>10.0</x:v>
      </x:c>
      <x:c r="C307" s="1" t="s">
        <x:v>719</x:v>
      </x:c>
      <x:c r="D307" s="1" t="s">
        <x:v>545</x:v>
      </x:c>
      <x:c r="E307" s="1" t="s">
        <x:v>450</x:v>
      </x:c>
      <x:c r="F307" s="1">
        <x:v>9.0</x:v>
      </x:c>
      <x:c r="G307" s="1" t="s">
        <x:v>1062</x:v>
      </x:c>
      <x:c r="H307" s="1" t="s">
        <x:v>1057</x:v>
      </x:c>
      <x:c r="I307" s="1" t="s">
        <x:v>1060</x:v>
      </x:c>
      <x:c r="J307" s="1">
        <x:v>14.0</x:v>
      </x:c>
      <x:c r="K307" s="1">
        <x:v>306.0</x:v>
      </x:c>
      <x:c r="L307" s="1" t="str">
        <x:f t="shared" si="1"/>
        <x:v>Kaleb Johnson</x:v>
      </x:c>
      <x:c r="M307" s="127" t="n">
        <x:f>IFERROR(VLOOKUP(E307,RISK!A:B,2,FALSE()),"")</x:f>
        <x:v>3.368</x:v>
      </x:c>
      <x:c r="N307" s="118">
        <x:f t="shared" si="2"/>
        <x:v>9.228790588</x:v>
      </x:c>
      <x:c r="Q307" s="9"/>
      <x:c r="R307" s="9"/>
      <x:c r="S307" s="9"/>
      <x:c r="T307" s="9"/>
    </x:row>
    <x:row r="308" ht="14.25" customHeight="1">
      <x:c r="A308" s="1">
        <x:v>305.0</x:v>
      </x:c>
      <x:c r="B308" s="1">
        <x:v>10.0</x:v>
      </x:c>
      <x:c r="C308" s="1" t="s">
        <x:v>710</x:v>
      </x:c>
      <x:c r="D308" s="1" t="s">
        <x:v>503</x:v>
      </x:c>
      <x:c r="E308" s="1" t="s">
        <x:v>453</x:v>
      </x:c>
      <x:c r="F308" s="1">
        <x:v>8.0</x:v>
      </x:c>
      <x:c r="G308" s="1" t="s">
        <x:v>1067</x:v>
      </x:c>
      <x:c r="H308" s="1" t="s">
        <x:v>1067</x:v>
      </x:c>
      <x:c r="I308" s="1" t="s">
        <x:v>1060</x:v>
      </x:c>
      <x:c r="J308" s="1" t="s">
        <x:v>1067</x:v>
      </x:c>
      <x:c r="K308" s="1">
        <x:v>307.0</x:v>
      </x:c>
      <x:c r="L308" s="1" t="str">
        <x:f t="shared" si="1"/>
        <x:v>Isaac Guerendo</x:v>
      </x:c>
      <x:c r="M308" s="127" t="n">
        <x:f>IFERROR(VLOOKUP(E308,RISK!A:B,2,FALSE()),"")</x:f>
        <x:v>3.368</x:v>
      </x:c>
      <x:c r="N308" s="118">
        <x:f t="shared" si="2"/>
        <x:v>3.559251765</x:v>
      </x:c>
      <x:c r="Q308" s="9"/>
      <x:c r="R308" s="9"/>
      <x:c r="S308" s="9"/>
      <x:c r="T308" s="9"/>
    </x:row>
    <x:row r="309" ht="14.25" customHeight="1">
      <x:c r="A309" s="1">
        <x:v>306.0</x:v>
      </x:c>
      <x:c r="B309" s="1">
        <x:v>10.0</x:v>
      </x:c>
      <x:c r="C309" s="1" t="s">
        <x:v>867</x:v>
      </x:c>
      <x:c r="D309" s="1" t="s">
        <x:v>549</x:v>
      </x:c>
      <x:c r="E309" s="1" t="s">
        <x:v>1147</x:v>
      </x:c>
      <x:c r="F309" s="1">
        <x:v>11.0</x:v>
      </x:c>
      <x:c r="G309" s="1" t="s">
        <x:v>1067</x:v>
      </x:c>
      <x:c r="H309" s="1" t="s">
        <x:v>1067</x:v>
      </x:c>
      <x:c r="I309" s="1" t="s">
        <x:v>1064</x:v>
      </x:c>
      <x:c r="J309" s="1" t="s">
        <x:v>1067</x:v>
      </x:c>
      <x:c r="K309" s="1">
        <x:v>308.0</x:v>
      </x:c>
      <x:c r="L309" s="1" t="str">
        <x:f t="shared" si="1"/>
        <x:v>Isaiah Bond</x:v>
      </x:c>
      <x:c r="M309" s="127" t="n">
        <x:f>IFERROR(VLOOKUP(E309,RISK!A:B,2,FALSE()),"")</x:f>
        <x:v>3.7</x:v>
      </x:c>
      <x:c r="N309" s="118" t="str">
        <x:f t="shared" si="2"/>
        <x:v>#N/A</x:v>
      </x:c>
      <x:c r="Q309" s="9"/>
      <x:c r="R309" s="9"/>
      <x:c r="S309" s="9"/>
      <x:c r="T309" s="9"/>
    </x:row>
    <x:row r="310" ht="14.25" customHeight="1">
      <x:c r="A310" s="1">
        <x:v>307.0</x:v>
      </x:c>
      <x:c r="B310" s="1">
        <x:v>10.0</x:v>
      </x:c>
      <x:c r="C310" s="1" t="s">
        <x:v>706</x:v>
      </x:c>
      <x:c r="D310" s="1" t="s">
        <x:v>495</x:v>
      </x:c>
      <x:c r="E310" s="1" t="s">
        <x:v>456</x:v>
      </x:c>
      <x:c r="F310" s="1">
        <x:v>7.0</x:v>
      </x:c>
      <x:c r="G310" s="1" t="s">
        <x:v>1062</x:v>
      </x:c>
      <x:c r="H310" s="1" t="s">
        <x:v>1065</x:v>
      </x:c>
      <x:c r="I310" s="1" t="s">
        <x:v>1061</x:v>
      </x:c>
      <x:c r="J310" s="1">
        <x:v>22.0</x:v>
      </x:c>
      <x:c r="K310" s="1">
        <x:v>309.0</x:v>
      </x:c>
      <x:c r="L310" s="1" t="str">
        <x:f t="shared" si="1"/>
        <x:v>Jerome Ford</x:v>
      </x:c>
      <x:c r="M310" s="127" t="n">
        <x:f>IFERROR(VLOOKUP(E310,RISK!A:B,2,FALSE()),"")</x:f>
        <x:v>3.368</x:v>
      </x:c>
      <x:c r="N310" s="118">
        <x:f t="shared" si="2"/>
        <x:v>0</x:v>
      </x:c>
      <x:c r="Q310" s="9"/>
      <x:c r="R310" s="9"/>
      <x:c r="S310" s="9"/>
      <x:c r="T310" s="9"/>
    </x:row>
    <x:row r="311" ht="14.25" customHeight="1">
      <x:c r="A311" s="1">
        <x:v>308.0</x:v>
      </x:c>
      <x:c r="B311" s="1">
        <x:v>10.0</x:v>
      </x:c>
      <x:c r="C311" s="1" t="s">
        <x:v>1148</x:v>
      </x:c>
      <x:c r="D311" s="1" t="s">
        <x:v>517</x:v>
      </x:c>
      <x:c r="E311" s="1" t="s">
        <x:v>459</x:v>
      </x:c>
      <x:c r="F311" s="1">
        <x:v>11.0</x:v>
      </x:c>
      <x:c r="G311" s="1" t="s">
        <x:v>1067</x:v>
      </x:c>
      <x:c r="H311" s="1" t="s">
        <x:v>1067</x:v>
      </x:c>
      <x:c r="I311" s="1" t="s">
        <x:v>1059</x:v>
      </x:c>
      <x:c r="J311" s="1" t="s">
        <x:v>1067</x:v>
      </x:c>
      <x:c r="K311" s="1">
        <x:v>310.0</x:v>
      </x:c>
      <x:c r="L311" s="1" t="str">
        <x:f t="shared" si="1"/>
        <x:v>Jarquez Hunter</x:v>
      </x:c>
      <x:c r="M311" s="127" t="n">
        <x:f>IFERROR(VLOOKUP(E311,RISK!A:B,2,FALSE()),"")</x:f>
        <x:v>3.368</x:v>
      </x:c>
      <x:c r="N311" s="118">
        <x:f t="shared" si="2"/>
        <x:v>0</x:v>
      </x:c>
      <x:c r="Q311" s="9"/>
      <x:c r="R311" s="9"/>
      <x:c r="S311" s="9"/>
      <x:c r="T311" s="9"/>
    </x:row>
    <x:row r="312" ht="14.25" customHeight="1">
      <x:c r="A312" s="1">
        <x:v>309.0</x:v>
      </x:c>
      <x:c r="B312" s="1">
        <x:v>10.0</x:v>
      </x:c>
      <x:c r="C312" s="1" t="s">
        <x:v>1149</x:v>
      </x:c>
      <x:c r="D312" s="1" t="s">
        <x:v>521</x:v>
      </x:c>
      <x:c r="E312" s="1" t="s">
        <x:v>462</x:v>
      </x:c>
      <x:c r="F312" s="1">
        <x:v>8.0</x:v>
      </x:c>
      <x:c r="G312" s="1" t="s">
        <x:v>1067</x:v>
      </x:c>
      <x:c r="H312" s="1" t="s">
        <x:v>1067</x:v>
      </x:c>
      <x:c r="I312" s="1" t="s">
        <x:v>1064</x:v>
      </x:c>
      <x:c r="J312" s="1" t="s">
        <x:v>1067</x:v>
      </x:c>
      <x:c r="K312" s="1">
        <x:v>311.0</x:v>
      </x:c>
      <x:c r="L312" s="1" t="str">
        <x:f t="shared" si="1"/>
        <x:v>Audric Estime</x:v>
      </x:c>
      <x:c r="M312" s="127" t="n">
        <x:f>IFERROR(VLOOKUP(E312,RISK!A:B,2,FALSE()),"")</x:f>
        <x:v>3.368</x:v>
      </x:c>
      <x:c r="N312" s="118">
        <x:f t="shared" si="2"/>
        <x:v>0</x:v>
      </x:c>
      <x:c r="Q312" s="9"/>
      <x:c r="R312" s="9"/>
      <x:c r="S312" s="9"/>
      <x:c r="T312" s="9"/>
    </x:row>
    <x:row r="313" ht="14.25" customHeight="1">
      <x:c r="A313" s="1">
        <x:v>310.0</x:v>
      </x:c>
      <x:c r="B313" s="1">
        <x:v>10.0</x:v>
      </x:c>
      <x:c r="C313" s="1" t="s">
        <x:v>1150</x:v>
      </x:c>
      <x:c r="D313" s="1" t="s">
        <x:v>515</x:v>
      </x:c>
      <x:c r="E313" s="1" t="s">
        <x:v>465</x:v>
      </x:c>
      <x:c r="F313" s="1">
        <x:v>10.0</x:v>
      </x:c>
      <x:c r="G313" s="1" t="s">
        <x:v>1067</x:v>
      </x:c>
      <x:c r="H313" s="1" t="s">
        <x:v>1067</x:v>
      </x:c>
      <x:c r="I313" s="1" t="s">
        <x:v>1060</x:v>
      </x:c>
      <x:c r="J313" s="1" t="s">
        <x:v>1067</x:v>
      </x:c>
      <x:c r="K313" s="1">
        <x:v>312.0</x:v>
      </x:c>
      <x:c r="L313" s="1" t="str">
        <x:f t="shared" si="1"/>
        <x:v>Jaleel McLaughlin</x:v>
      </x:c>
      <x:c r="M313" s="127" t="n">
        <x:f>IFERROR(VLOOKUP(E313,RISK!A:B,2,FALSE()),"")</x:f>
        <x:v>3.368</x:v>
      </x:c>
      <x:c r="N313" s="118">
        <x:f t="shared" si="2"/>
        <x:v>0</x:v>
      </x:c>
      <x:c r="Q313" s="9"/>
      <x:c r="R313" s="9"/>
      <x:c r="S313" s="9"/>
      <x:c r="T313" s="9"/>
    </x:row>
    <x:row r="314" ht="14.25" customHeight="1">
      <x:c r="A314" s="1">
        <x:v>311.0</x:v>
      </x:c>
      <x:c r="B314" s="1">
        <x:v>10.0</x:v>
      </x:c>
      <x:c r="C314" s="1" t="s">
        <x:v>870</x:v>
      </x:c>
      <x:c r="D314" s="1" t="s">
        <x:v>487</x:v>
      </x:c>
      <x:c r="E314" s="1" t="s">
        <x:v>1151</x:v>
      </x:c>
      <x:c r="F314" s="1">
        <x:v>7.0</x:v>
      </x:c>
      <x:c r="G314" s="1" t="s">
        <x:v>1067</x:v>
      </x:c>
      <x:c r="H314" s="1" t="s">
        <x:v>1067</x:v>
      </x:c>
      <x:c r="I314" s="1" t="s">
        <x:v>1061</x:v>
      </x:c>
      <x:c r="J314" s="1">
        <x:v>70.0</x:v>
      </x:c>
      <x:c r="K314" s="1">
        <x:v>313.0</x:v>
      </x:c>
      <x:c r="L314" s="1" t="str">
        <x:f t="shared" si="1"/>
        <x:v>Skyler Bell</x:v>
      </x:c>
      <x:c r="M314" s="127" t="n">
        <x:f>IFERROR(VLOOKUP(E314,RISK!A:B,2,FALSE()),"")</x:f>
        <x:v>3.7</x:v>
      </x:c>
      <x:c r="N314" s="118" t="str">
        <x:f t="shared" si="2"/>
        <x:v>#N/A</x:v>
      </x:c>
      <x:c r="Q314" s="9"/>
      <x:c r="R314" s="9"/>
      <x:c r="S314" s="9"/>
      <x:c r="T314" s="9"/>
    </x:row>
    <x:row r="315" ht="14.25" customHeight="1">
      <x:c r="A315" s="1">
        <x:v>312.0</x:v>
      </x:c>
      <x:c r="B315" s="1">
        <x:v>10.0</x:v>
      </x:c>
      <x:c r="C315" s="1" t="s">
        <x:v>1152</x:v>
      </x:c>
      <x:c r="D315" s="1" t="s">
        <x:v>521</x:v>
      </x:c>
      <x:c r="E315" s="1" t="s">
        <x:v>1153</x:v>
      </x:c>
      <x:c r="F315" s="1">
        <x:v>8.0</x:v>
      </x:c>
      <x:c r="G315" s="1" t="s">
        <x:v>1067</x:v>
      </x:c>
      <x:c r="H315" s="1" t="s">
        <x:v>1067</x:v>
      </x:c>
      <x:c r="I315" s="1" t="s">
        <x:v>1059</x:v>
      </x:c>
      <x:c r="J315" s="1">
        <x:v>-20.0</x:v>
      </x:c>
      <x:c r="K315" s="1">
        <x:v>314.0</x:v>
      </x:c>
      <x:c r="L315" s="1" t="str">
        <x:f t="shared" si="1"/>
        <x:v>Charlie Smyth</x:v>
      </x:c>
      <x:c r="M315" s="127" t="str">
        <x:f>IFERROR(VLOOKUP(E315,RISK!A:B,2,FALSE()),"")</x:f>
      </x:c>
      <x:c r="N315" s="118" t="str">
        <x:f t="shared" si="2"/>
        <x:v>#N/A</x:v>
      </x:c>
      <x:c r="Q315" s="9"/>
      <x:c r="R315" s="9"/>
      <x:c r="S315" s="9"/>
      <x:c r="T315" s="9"/>
    </x:row>
    <x:row r="316" ht="14.25" customHeight="1">
      <x:c r="A316" s="1">
        <x:v>313.0</x:v>
      </x:c>
      <x:c r="B316" s="1">
        <x:v>10.0</x:v>
      </x:c>
      <x:c r="C316" s="1" t="s">
        <x:v>1154</x:v>
      </x:c>
      <x:c r="D316" s="1" t="s">
        <x:v>503</x:v>
      </x:c>
      <x:c r="E316" s="1" t="s">
        <x:v>1155</x:v>
      </x:c>
      <x:c r="F316" s="1">
        <x:v>8.0</x:v>
      </x:c>
      <x:c r="G316" s="1" t="s">
        <x:v>1062</x:v>
      </x:c>
      <x:c r="H316" s="1" t="s">
        <x:v>1057</x:v>
      </x:c>
      <x:c r="I316" s="1" t="s">
        <x:v>1060</x:v>
      </x:c>
      <x:c r="J316" s="1">
        <x:v>-18.0</x:v>
      </x:c>
      <x:c r="K316" s="1">
        <x:v>315.0</x:v>
      </x:c>
      <x:c r="L316" s="1" t="str">
        <x:f t="shared" si="1"/>
        <x:v>Brandon Aiyuk</x:v>
      </x:c>
      <x:c r="M316" s="127" t="n">
        <x:f>IFERROR(VLOOKUP(E316,RISK!A:B,2,FALSE()),"")</x:f>
        <x:v>3.7</x:v>
      </x:c>
      <x:c r="N316" s="118" t="str">
        <x:f t="shared" si="2"/>
        <x:v>#N/A</x:v>
      </x:c>
      <x:c r="Q316" s="9"/>
      <x:c r="R316" s="9"/>
      <x:c r="S316" s="9"/>
      <x:c r="T316" s="9"/>
    </x:row>
    <x:row r="317" ht="14.25" customHeight="1">
      <x:c r="A317" s="1">
        <x:v>314.0</x:v>
      </x:c>
      <x:c r="B317" s="1">
        <x:v>10.0</x:v>
      </x:c>
      <x:c r="C317" s="1" t="s">
        <x:v>1156</x:v>
      </x:c>
      <x:c r="D317" s="1" t="s">
        <x:v>527</x:v>
      </x:c>
      <x:c r="E317" s="1" t="s">
        <x:v>1157</x:v>
      </x:c>
      <x:c r="F317" s="1">
        <x:v>13.0</x:v>
      </x:c>
      <x:c r="G317" s="1" t="s">
        <x:v>1067</x:v>
      </x:c>
      <x:c r="H317" s="1" t="s">
        <x:v>1067</x:v>
      </x:c>
      <x:c r="I317" s="1" t="s">
        <x:v>1059</x:v>
      </x:c>
      <x:c r="J317" s="1">
        <x:v>66.0</x:v>
      </x:c>
      <x:c r="K317" s="1">
        <x:v>316.0</x:v>
      </x:c>
      <x:c r="L317" s="1" t="str">
        <x:f t="shared" si="1"/>
        <x:v>Indianapolis Colts</x:v>
      </x:c>
      <x:c r="M317" s="127" t="str">
        <x:f>IFERROR(VLOOKUP(E317,RISK!A:B,2,FALSE()),"")</x:f>
      </x:c>
      <x:c r="N317" s="118" t="str">
        <x:f t="shared" si="2"/>
        <x:v>#N/A</x:v>
      </x:c>
      <x:c r="Q317" s="9"/>
      <x:c r="R317" s="9"/>
      <x:c r="S317" s="9"/>
      <x:c r="T317" s="9"/>
    </x:row>
    <x:row r="318" ht="14.25" customHeight="1">
      <x:c r="A318" s="1">
        <x:v>315.0</x:v>
      </x:c>
      <x:c r="B318" s="1">
        <x:v>10.0</x:v>
      </x:c>
      <x:c r="C318" s="1" t="s">
        <x:v>692</x:v>
      </x:c>
      <x:c r="D318" s="1" t="s">
        <x:v>497</x:v>
      </x:c>
      <x:c r="E318" s="1" t="s">
        <x:v>468</x:v>
      </x:c>
      <x:c r="F318" s="1">
        <x:v>10.0</x:v>
      </x:c>
      <x:c r="G318" s="1" t="s">
        <x:v>1067</x:v>
      </x:c>
      <x:c r="H318" s="1" t="s">
        <x:v>1067</x:v>
      </x:c>
      <x:c r="I318" s="1" t="s">
        <x:v>1061</x:v>
      </x:c>
      <x:c r="J318" s="1" t="s">
        <x:v>1067</x:v>
      </x:c>
      <x:c r="K318" s="1">
        <x:v>317.0</x:v>
      </x:c>
      <x:c r="L318" s="1" t="str">
        <x:f t="shared" si="1"/>
        <x:v>Will Shipley</x:v>
      </x:c>
      <x:c r="M318" s="127" t="n">
        <x:f>IFERROR(VLOOKUP(E318,RISK!A:B,2,FALSE()),"")</x:f>
        <x:v>3.368</x:v>
      </x:c>
      <x:c r="N318" s="118">
        <x:f t="shared" si="2"/>
        <x:v>0</x:v>
      </x:c>
      <x:c r="Q318" s="9"/>
      <x:c r="R318" s="9"/>
      <x:c r="S318" s="9"/>
      <x:c r="T318" s="9"/>
    </x:row>
    <x:row r="319" ht="14.25" customHeight="1">
      <x:c r="A319" s="1">
        <x:v>316.0</x:v>
      </x:c>
      <x:c r="B319" s="1">
        <x:v>10.0</x:v>
      </x:c>
      <x:c r="C319" s="1" t="s">
        <x:v>831</x:v>
      </x:c>
      <x:c r="D319" s="1" t="s">
        <x:v>499</x:v>
      </x:c>
      <x:c r="E319" s="1" t="s">
        <x:v>1158</x:v>
      </x:c>
      <x:c r="F319" s="1">
        <x:v>6.0</x:v>
      </x:c>
      <x:c r="G319" s="1" t="s">
        <x:v>1067</x:v>
      </x:c>
      <x:c r="H319" s="1" t="s">
        <x:v>1067</x:v>
      </x:c>
      <x:c r="I319" s="1" t="s">
        <x:v>1061</x:v>
      </x:c>
      <x:c r="J319" s="1">
        <x:v>57.0</x:v>
      </x:c>
      <x:c r="K319" s="1">
        <x:v>318.0</x:v>
      </x:c>
      <x:c r="L319" s="1" t="str">
        <x:f t="shared" si="1"/>
        <x:v>Andrei Iosivas</x:v>
      </x:c>
      <x:c r="M319" s="127" t="n">
        <x:f>IFERROR(VLOOKUP(E319,RISK!A:B,2,FALSE()),"")</x:f>
        <x:v>3.7</x:v>
      </x:c>
      <x:c r="N319" s="118" t="str">
        <x:f t="shared" si="2"/>
        <x:v>#N/A</x:v>
      </x:c>
      <x:c r="Q319" s="9"/>
      <x:c r="R319" s="9"/>
      <x:c r="S319" s="9"/>
      <x:c r="T319" s="9"/>
    </x:row>
    <x:row r="320" ht="14.25" customHeight="1">
      <x:c r="A320" s="1">
        <x:v>317.0</x:v>
      </x:c>
      <x:c r="B320" s="1">
        <x:v>10.0</x:v>
      </x:c>
      <x:c r="C320" s="1" t="s">
        <x:v>1159</x:v>
      </x:c>
      <x:c r="D320" s="1" t="s">
        <x:v>511</x:v>
      </x:c>
      <x:c r="E320" s="1" t="s">
        <x:v>1160</x:v>
      </x:c>
      <x:c r="F320" s="1">
        <x:v>10.0</x:v>
      </x:c>
      <x:c r="G320" s="1" t="s">
        <x:v>1067</x:v>
      </x:c>
      <x:c r="H320" s="1" t="s">
        <x:v>1067</x:v>
      </x:c>
      <x:c r="I320" s="1" t="s">
        <x:v>1060</x:v>
      </x:c>
      <x:c r="J320" s="1">
        <x:v>-101.0</x:v>
      </x:c>
      <x:c r="K320" s="1">
        <x:v>319.0</x:v>
      </x:c>
      <x:c r="L320" s="1" t="str">
        <x:f t="shared" si="1"/>
        <x:v>Chicago Bears</x:v>
      </x:c>
      <x:c r="M320" s="127" t="str">
        <x:f>IFERROR(VLOOKUP(E320,RISK!A:B,2,FALSE()),"")</x:f>
      </x:c>
      <x:c r="N320" s="118" t="str">
        <x:f t="shared" si="2"/>
        <x:v>#N/A</x:v>
      </x:c>
      <x:c r="Q320" s="9"/>
      <x:c r="R320" s="9"/>
      <x:c r="S320" s="9"/>
      <x:c r="T320" s="9"/>
    </x:row>
    <x:row r="321" ht="14.25" customHeight="1">
      <x:c r="A321" s="1">
        <x:v>318.0</x:v>
      </x:c>
      <x:c r="B321" s="1">
        <x:v>10.0</x:v>
      </x:c>
      <x:c r="C321" s="1" t="s">
        <x:v>1161</x:v>
      </x:c>
      <x:c r="D321" s="1" t="s">
        <x:v>1136</x:v>
      </x:c>
      <x:c r="E321" s="1" t="s">
        <x:v>1162</x:v>
      </x:c>
      <x:c r="F321" s="1" t="s">
        <x:v>1067</x:v>
      </x:c>
      <x:c r="G321" s="1" t="s">
        <x:v>1058</x:v>
      </x:c>
      <x:c r="H321" s="1" t="s">
        <x:v>1057</x:v>
      </x:c>
      <x:c r="I321" s="1" t="s">
        <x:v>1067</x:v>
      </x:c>
      <x:c r="J321" s="1">
        <x:v>-115.0</x:v>
      </x:c>
      <x:c r="K321" s="1">
        <x:v>320.0</x:v>
      </x:c>
      <x:c r="L321" s="1" t="str">
        <x:f t="shared" si="1"/>
        <x:v>Tyreek Hill</x:v>
      </x:c>
      <x:c r="M321" s="127" t="n">
        <x:f>IFERROR(VLOOKUP(E321,RISK!A:B,2,FALSE()),"")</x:f>
        <x:v>3.7</x:v>
      </x:c>
      <x:c r="N321" s="118" t="str">
        <x:f t="shared" si="2"/>
        <x:v>#N/A</x:v>
      </x:c>
      <x:c r="Q321" s="9"/>
      <x:c r="R321" s="9"/>
      <x:c r="S321" s="9"/>
      <x:c r="T321" s="9"/>
    </x:row>
    <x:row r="322" ht="14.25" customHeight="1">
      <x:c r="A322" s="1">
        <x:v>319.0</x:v>
      </x:c>
      <x:c r="B322" s="1">
        <x:v>10.0</x:v>
      </x:c>
      <x:c r="C322" s="1" t="s">
        <x:v>977</x:v>
      </x:c>
      <x:c r="D322" s="1" t="s">
        <x:v>503</x:v>
      </x:c>
      <x:c r="E322" s="1" t="s">
        <x:v>276</x:v>
      </x:c>
      <x:c r="F322" s="1">
        <x:v>8.0</x:v>
      </x:c>
      <x:c r="G322" s="1" t="s">
        <x:v>1067</x:v>
      </x:c>
      <x:c r="H322" s="1" t="s">
        <x:v>1067</x:v>
      </x:c>
      <x:c r="I322" s="1" t="s">
        <x:v>1064</x:v>
      </x:c>
      <x:c r="J322" s="1">
        <x:v>-62.0</x:v>
      </x:c>
      <x:c r="K322" s="1">
        <x:v>321.0</x:v>
      </x:c>
      <x:c r="L322" s="1" t="str">
        <x:f t="shared" si="1"/>
        <x:v>Jake Tonges</x:v>
      </x:c>
      <x:c r="M322" s="127" t="n">
        <x:f>IFERROR(VLOOKUP(E322,RISK!A:B,2,FALSE()),"")</x:f>
        <x:v>2.1938</x:v>
      </x:c>
      <x:c r="N322" s="118">
        <x:f t="shared" si="2"/>
        <x:v>52.52040906</x:v>
      </x:c>
      <x:c r="Q322" s="9"/>
      <x:c r="R322" s="9"/>
      <x:c r="S322" s="9"/>
      <x:c r="T322" s="9"/>
    </x:row>
    <x:row r="323" ht="14.25" customHeight="1">
      <x:c r="A323" s="1">
        <x:v>320.0</x:v>
      </x:c>
      <x:c r="B323" s="1">
        <x:v>10.0</x:v>
      </x:c>
      <x:c r="C323" s="1" t="s">
        <x:v>962</x:v>
      </x:c>
      <x:c r="D323" s="1" t="s">
        <x:v>545</x:v>
      </x:c>
      <x:c r="E323" s="1" t="s">
        <x:v>280</x:v>
      </x:c>
      <x:c r="F323" s="1">
        <x:v>9.0</x:v>
      </x:c>
      <x:c r="G323" s="1" t="s">
        <x:v>1067</x:v>
      </x:c>
      <x:c r="H323" s="1" t="s">
        <x:v>1067</x:v>
      </x:c>
      <x:c r="I323" s="1" t="s">
        <x:v>1060</x:v>
      </x:c>
      <x:c r="J323" s="1">
        <x:v>36.0</x:v>
      </x:c>
      <x:c r="K323" s="1">
        <x:v>322.0</x:v>
      </x:c>
      <x:c r="L323" s="1" t="str">
        <x:f t="shared" si="1"/>
        <x:v>Darnell Washington</x:v>
      </x:c>
      <x:c r="M323" s="127" t="n">
        <x:f>IFERROR(VLOOKUP(E323,RISK!A:B,2,FALSE()),"")</x:f>
        <x:v>2.1938</x:v>
      </x:c>
      <x:c r="N323" s="118">
        <x:f t="shared" si="2"/>
        <x:v>50.62002624</x:v>
      </x:c>
      <x:c r="Q323" s="9"/>
      <x:c r="R323" s="9"/>
      <x:c r="S323" s="9"/>
      <x:c r="T323" s="9"/>
    </x:row>
    <x:row r="324" ht="14.25" customHeight="1">
      <x:c r="A324" s="1">
        <x:v>321.0</x:v>
      </x:c>
      <x:c r="B324" s="1">
        <x:v>10.0</x:v>
      </x:c>
      <x:c r="C324" s="1" t="s">
        <x:v>952</x:v>
      </x:c>
      <x:c r="D324" s="1" t="s">
        <x:v>537</x:v>
      </x:c>
      <x:c r="E324" s="1" t="s">
        <x:v>284</x:v>
      </x:c>
      <x:c r="F324" s="1">
        <x:v>5.0</x:v>
      </x:c>
      <x:c r="G324" s="1" t="s">
        <x:v>1067</x:v>
      </x:c>
      <x:c r="H324" s="1" t="s">
        <x:v>1067</x:v>
      </x:c>
      <x:c r="I324" s="1" t="s">
        <x:v>1060</x:v>
      </x:c>
      <x:c r="J324" s="1">
        <x:v>4.0</x:v>
      </x:c>
      <x:c r="K324" s="1">
        <x:v>323.0</x:v>
      </x:c>
      <x:c r="L324" s="1" t="str">
        <x:f t="shared" si="1"/>
        <x:v>Darren Waller</x:v>
      </x:c>
      <x:c r="M324" s="127" t="n">
        <x:f>IFERROR(VLOOKUP(E324,RISK!A:B,2,FALSE()),"")</x:f>
        <x:v>2.1938</x:v>
      </x:c>
      <x:c r="N324" s="118">
        <x:f t="shared" si="2"/>
        <x:v>47.96436306</x:v>
      </x:c>
      <x:c r="Q324" s="9"/>
      <x:c r="R324" s="9"/>
      <x:c r="S324" s="9"/>
      <x:c r="T324" s="9"/>
    </x:row>
    <x:row r="325" ht="14.25" customHeight="1">
      <x:c r="A325" s="1">
        <x:v>322.0</x:v>
      </x:c>
      <x:c r="B325" s="1">
        <x:v>10.0</x:v>
      </x:c>
      <x:c r="C325" s="1" t="s">
        <x:v>1014</x:v>
      </x:c>
      <x:c r="D325" s="1" t="s">
        <x:v>521</x:v>
      </x:c>
      <x:c r="E325" s="1" t="s">
        <x:v>288</x:v>
      </x:c>
      <x:c r="F325" s="1">
        <x:v>8.0</x:v>
      </x:c>
      <x:c r="G325" s="1" t="s">
        <x:v>1065</x:v>
      </x:c>
      <x:c r="H325" s="1" t="s">
        <x:v>1065</x:v>
      </x:c>
      <x:c r="I325" s="1" t="s">
        <x:v>1060</x:v>
      </x:c>
      <x:c r="J325" s="1" t="s">
        <x:v>1067</x:v>
      </x:c>
      <x:c r="K325" s="1">
        <x:v>324.0</x:v>
      </x:c>
      <x:c r="L325" s="1" t="str">
        <x:f t="shared" si="1"/>
        <x:v>Oscar Delp</x:v>
      </x:c>
      <x:c r="M325" s="127" t="n">
        <x:f>IFERROR(VLOOKUP(E325,RISK!A:B,2,FALSE()),"")</x:f>
        <x:v>2.1938</x:v>
      </x:c>
      <x:c r="N325" s="118">
        <x:f t="shared" si="2"/>
        <x:v>45.96652471</x:v>
      </x:c>
      <x:c r="Q325" s="9"/>
      <x:c r="R325" s="9"/>
      <x:c r="S325" s="9"/>
      <x:c r="T325" s="9"/>
    </x:row>
    <x:row r="326" ht="14.25" customHeight="1">
      <x:c r="A326" s="1">
        <x:v>323.0</x:v>
      </x:c>
      <x:c r="B326" s="1">
        <x:v>10.0</x:v>
      </x:c>
      <x:c r="C326" s="1" t="s">
        <x:v>959</x:v>
      </x:c>
      <x:c r="D326" s="1" t="s">
        <x:v>547</x:v>
      </x:c>
      <x:c r="E326" s="1" t="s">
        <x:v>292</x:v>
      </x:c>
      <x:c r="F326" s="1">
        <x:v>13.0</x:v>
      </x:c>
      <x:c r="G326" s="1" t="s">
        <x:v>1067</x:v>
      </x:c>
      <x:c r="H326" s="1" t="s">
        <x:v>1067</x:v>
      </x:c>
      <x:c r="I326" s="1" t="s">
        <x:v>1064</x:v>
      </x:c>
      <x:c r="J326" s="1">
        <x:v>11.0</x:v>
      </x:c>
      <x:c r="K326" s="1">
        <x:v>325.0</x:v>
      </x:c>
      <x:c r="L326" s="1" t="str">
        <x:f t="shared" si="1"/>
        <x:v>Michael Mayer</x:v>
      </x:c>
      <x:c r="M326" s="127" t="n">
        <x:f>IFERROR(VLOOKUP(E326,RISK!A:B,2,FALSE()),"")</x:f>
        <x:v>2.1938</x:v>
      </x:c>
      <x:c r="N326" s="118">
        <x:f t="shared" si="2"/>
        <x:v>43.45704482</x:v>
      </x:c>
      <x:c r="Q326" s="9"/>
      <x:c r="R326" s="9"/>
      <x:c r="S326" s="9"/>
      <x:c r="T326" s="9"/>
    </x:row>
    <x:row r="327" ht="14.25" customHeight="1">
      <x:c r="A327" s="1">
        <x:v>324.0</x:v>
      </x:c>
      <x:c r="B327" s="1">
        <x:v>10.0</x:v>
      </x:c>
      <x:c r="C327" s="1" t="s">
        <x:v>820</x:v>
      </x:c>
      <x:c r="D327" s="1" t="s">
        <x:v>551</x:v>
      </x:c>
      <x:c r="E327" s="1" t="s">
        <x:v>1163</x:v>
      </x:c>
      <x:c r="F327" s="1">
        <x:v>11.0</x:v>
      </x:c>
      <x:c r="G327" s="1" t="s">
        <x:v>1067</x:v>
      </x:c>
      <x:c r="H327" s="1" t="s">
        <x:v>1067</x:v>
      </x:c>
      <x:c r="I327" s="1" t="s">
        <x:v>1064</x:v>
      </x:c>
      <x:c r="J327" s="1">
        <x:v>38.0</x:v>
      </x:c>
      <x:c r="K327" s="1">
        <x:v>326.0</x:v>
      </x:c>
      <x:c r="L327" s="1" t="str">
        <x:f t="shared" si="1"/>
        <x:v>Jahan Dotson</x:v>
      </x:c>
      <x:c r="M327" s="127" t="n">
        <x:f>IFERROR(VLOOKUP(E327,RISK!A:B,2,FALSE()),"")</x:f>
        <x:v>3.7</x:v>
      </x:c>
      <x:c r="N327" s="118" t="str">
        <x:f t="shared" si="2"/>
        <x:v>#N/A</x:v>
      </x:c>
      <x:c r="Q327" s="9"/>
      <x:c r="R327" s="9"/>
      <x:c r="S327" s="9"/>
      <x:c r="T327" s="9"/>
    </x:row>
    <x:row r="328" ht="14.25" customHeight="1">
      <x:c r="A328" s="1">
        <x:v>325.0</x:v>
      </x:c>
      <x:c r="B328" s="1">
        <x:v>10.0</x:v>
      </x:c>
      <x:c r="C328" s="1" t="s">
        <x:v>842</x:v>
      </x:c>
      <x:c r="D328" s="1" t="s">
        <x:v>493</x:v>
      </x:c>
      <x:c r="E328" s="1" t="s">
        <x:v>1164</x:v>
      </x:c>
      <x:c r="F328" s="1">
        <x:v>11.0</x:v>
      </x:c>
      <x:c r="G328" s="1" t="s">
        <x:v>1067</x:v>
      </x:c>
      <x:c r="H328" s="1" t="s">
        <x:v>1067</x:v>
      </x:c>
      <x:c r="I328" s="1" t="s">
        <x:v>1060</x:v>
      </x:c>
      <x:c r="J328" s="1">
        <x:v>44.0</x:v>
      </x:c>
      <x:c r="K328" s="1">
        <x:v>327.0</x:v>
      </x:c>
      <x:c r="L328" s="1" t="str">
        <x:f t="shared" si="1"/>
        <x:v>DeMario Douglas</x:v>
      </x:c>
      <x:c r="M328" s="127" t="n">
        <x:f>IFERROR(VLOOKUP(E328,RISK!A:B,2,FALSE()),"")</x:f>
        <x:v>3.7</x:v>
      </x:c>
      <x:c r="N328" s="118" t="str">
        <x:f t="shared" si="2"/>
        <x:v>#N/A</x:v>
      </x:c>
      <x:c r="Q328" s="9"/>
      <x:c r="R328" s="9"/>
      <x:c r="S328" s="9"/>
      <x:c r="T328" s="9"/>
    </x:row>
    <x:row r="329" ht="14.25" customHeight="1">
      <x:c r="A329" s="1">
        <x:v>326.0</x:v>
      </x:c>
      <x:c r="B329" s="1">
        <x:v>11.0</x:v>
      </x:c>
      <x:c r="C329" s="1" t="s">
        <x:v>1165</x:v>
      </x:c>
      <x:c r="D329" s="1" t="s">
        <x:v>1136</x:v>
      </x:c>
      <x:c r="E329" s="1" t="s">
        <x:v>471</x:v>
      </x:c>
      <x:c r="F329" s="1" t="s">
        <x:v>1067</x:v>
      </x:c>
      <x:c r="G329" s="1" t="s">
        <x:v>1067</x:v>
      </x:c>
      <x:c r="H329" s="1" t="s">
        <x:v>1067</x:v>
      </x:c>
      <x:c r="I329" s="1" t="s">
        <x:v>1067</x:v>
      </x:c>
      <x:c r="J329" s="1">
        <x:v>-41.0</x:v>
      </x:c>
      <x:c r="K329" s="1">
        <x:v>328.0</x:v>
      </x:c>
      <x:c r="L329" s="1" t="str">
        <x:f t="shared" si="1"/>
        <x:v>Kareem Hunt</x:v>
      </x:c>
      <x:c r="M329" s="127" t="n">
        <x:f>IFERROR(VLOOKUP(E329,RISK!A:B,2,FALSE()),"")</x:f>
        <x:v>3.368</x:v>
      </x:c>
      <x:c r="N329" s="118">
        <x:f t="shared" si="2"/>
        <x:v>0</x:v>
      </x:c>
      <x:c r="Q329" s="9"/>
      <x:c r="R329" s="9"/>
      <x:c r="S329" s="9"/>
      <x:c r="T329" s="9"/>
    </x:row>
    <x:row r="330" ht="14.25" customHeight="1">
      <x:c r="A330" s="1">
        <x:v>327.0</x:v>
      </x:c>
      <x:c r="B330" s="1">
        <x:v>11.0</x:v>
      </x:c>
      <x:c r="C330" s="1" t="s">
        <x:v>556</x:v>
      </x:c>
      <x:c r="D330" s="1" t="s">
        <x:v>543</x:v>
      </x:c>
      <x:c r="E330" s="1" t="s">
        <x:v>269</x:v>
      </x:c>
      <x:c r="F330" s="1">
        <x:v>14.0</x:v>
      </x:c>
      <x:c r="G330" s="1" t="s">
        <x:v>1067</x:v>
      </x:c>
      <x:c r="H330" s="1" t="s">
        <x:v>1067</x:v>
      </x:c>
      <x:c r="I330" s="1" t="s">
        <x:v>1060</x:v>
      </x:c>
      <x:c r="J330" s="1">
        <x:v>-50.0</x:v>
      </x:c>
      <x:c r="K330" s="1">
        <x:v>329.0</x:v>
      </x:c>
      <x:c r="L330" s="1" t="str">
        <x:f t="shared" si="1"/>
        <x:v>Carson Beck</x:v>
      </x:c>
      <x:c r="M330" s="127" t="n">
        <x:f>IFERROR(VLOOKUP(E330,RISK!A:B,2,FALSE()),"")</x:f>
        <x:v>3.2</x:v>
      </x:c>
      <x:c r="N330" s="118">
        <x:f t="shared" si="2"/>
        <x:v>17.57214118</x:v>
      </x:c>
      <x:c r="Q330" s="9"/>
      <x:c r="R330" s="9"/>
      <x:c r="S330" s="9"/>
      <x:c r="T330" s="9"/>
    </x:row>
    <x:row r="331" ht="14.25" customHeight="1">
      <x:c r="A331" s="1">
        <x:v>328.0</x:v>
      </x:c>
      <x:c r="B331" s="1">
        <x:v>11.0</x:v>
      </x:c>
      <x:c r="C331" s="1" t="s">
        <x:v>968</x:v>
      </x:c>
      <x:c r="D331" s="1" t="s">
        <x:v>533</x:v>
      </x:c>
      <x:c r="E331" s="1" t="s">
        <x:v>296</x:v>
      </x:c>
      <x:c r="F331" s="1">
        <x:v>11.0</x:v>
      </x:c>
      <x:c r="G331" s="1" t="s">
        <x:v>1067</x:v>
      </x:c>
      <x:c r="H331" s="1" t="s">
        <x:v>1067</x:v>
      </x:c>
      <x:c r="I331" s="1" t="s">
        <x:v>1064</x:v>
      </x:c>
      <x:c r="J331" s="1">
        <x:v>36.0</x:v>
      </x:c>
      <x:c r="K331" s="1">
        <x:v>330.0</x:v>
      </x:c>
      <x:c r="L331" s="1" t="str">
        <x:f t="shared" si="1"/>
        <x:v>Elijah Arroyo</x:v>
      </x:c>
      <x:c r="M331" s="127" t="n">
        <x:f>IFERROR(VLOOKUP(E331,RISK!A:B,2,FALSE()),"")</x:f>
        <x:v>2.1938</x:v>
      </x:c>
      <x:c r="N331" s="118">
        <x:f t="shared" si="2"/>
        <x:v>43.25401247</x:v>
      </x:c>
      <x:c r="Q331" s="9"/>
      <x:c r="R331" s="9"/>
      <x:c r="S331" s="9"/>
      <x:c r="T331" s="9"/>
    </x:row>
    <x:row r="332" ht="14.25" customHeight="1">
      <x:c r="A332" s="1">
        <x:v>329.0</x:v>
      </x:c>
      <x:c r="B332" s="1">
        <x:v>11.0</x:v>
      </x:c>
      <x:c r="C332" s="1" t="s">
        <x:v>825</x:v>
      </x:c>
      <x:c r="D332" s="1" t="s">
        <x:v>529</x:v>
      </x:c>
      <x:c r="E332" s="1" t="s">
        <x:v>1166</x:v>
      </x:c>
      <x:c r="F332" s="1">
        <x:v>6.0</x:v>
      </x:c>
      <x:c r="G332" s="1" t="s">
        <x:v>1067</x:v>
      </x:c>
      <x:c r="H332" s="1" t="s">
        <x:v>1067</x:v>
      </x:c>
      <x:c r="I332" s="1" t="s">
        <x:v>1064</x:v>
      </x:c>
      <x:c r="J332" s="1">
        <x:v>-46.0</x:v>
      </x:c>
      <x:c r="K332" s="1">
        <x:v>331.0</x:v>
      </x:c>
      <x:c r="L332" s="1" t="str">
        <x:f t="shared" si="1"/>
        <x:v>Jalen Tolbert</x:v>
      </x:c>
      <x:c r="M332" s="127" t="n">
        <x:f>IFERROR(VLOOKUP(E332,RISK!A:B,2,FALSE()),"")</x:f>
        <x:v>3.7</x:v>
      </x:c>
      <x:c r="N332" s="118" t="str">
        <x:f t="shared" si="2"/>
        <x:v>#N/A</x:v>
      </x:c>
      <x:c r="Q332" s="9"/>
      <x:c r="R332" s="9"/>
      <x:c r="S332" s="9"/>
      <x:c r="T332" s="9"/>
    </x:row>
    <x:row r="333" ht="14.25" customHeight="1">
      <x:c r="A333" s="1">
        <x:v>330.0</x:v>
      </x:c>
      <x:c r="B333" s="1">
        <x:v>11.0</x:v>
      </x:c>
      <x:c r="C333" s="1" t="s">
        <x:v>860</x:v>
      </x:c>
      <x:c r="D333" s="1" t="s">
        <x:v>521</x:v>
      </x:c>
      <x:c r="E333" s="1" t="s">
        <x:v>1167</x:v>
      </x:c>
      <x:c r="F333" s="1">
        <x:v>8.0</x:v>
      </x:c>
      <x:c r="G333" s="1" t="s">
        <x:v>1067</x:v>
      </x:c>
      <x:c r="H333" s="1" t="s">
        <x:v>1067</x:v>
      </x:c>
      <x:c r="I333" s="1" t="s">
        <x:v>1064</x:v>
      </x:c>
      <x:c r="J333" s="1">
        <x:v>24.0</x:v>
      </x:c>
      <x:c r="K333" s="1">
        <x:v>332.0</x:v>
      </x:c>
      <x:c r="L333" s="1" t="str">
        <x:f t="shared" si="1"/>
        <x:v>Bryce Lance</x:v>
      </x:c>
      <x:c r="M333" s="127" t="n">
        <x:f>IFERROR(VLOOKUP(E333,RISK!A:B,2,FALSE()),"")</x:f>
        <x:v>3.7</x:v>
      </x:c>
      <x:c r="N333" s="118" t="str">
        <x:f t="shared" si="2"/>
        <x:v>#N/A</x:v>
      </x:c>
      <x:c r="Q333" s="9"/>
      <x:c r="R333" s="9"/>
      <x:c r="S333" s="9"/>
      <x:c r="T333" s="9"/>
    </x:row>
    <x:row r="334" ht="14.25" customHeight="1">
      <x:c r="A334" s="1">
        <x:v>331.0</x:v>
      </x:c>
      <x:c r="B334" s="1">
        <x:v>11.0</x:v>
      </x:c>
      <x:c r="C334" s="1" t="s">
        <x:v>557</x:v>
      </x:c>
      <x:c r="D334" s="1" t="s">
        <x:v>525</x:v>
      </x:c>
      <x:c r="E334" s="1" t="s">
        <x:v>273</x:v>
      </x:c>
      <x:c r="F334" s="1">
        <x:v>6.0</x:v>
      </x:c>
      <x:c r="G334" s="1" t="s">
        <x:v>1067</x:v>
      </x:c>
      <x:c r="H334" s="1" t="s">
        <x:v>1067</x:v>
      </x:c>
      <x:c r="I334" s="1" t="s">
        <x:v>1059</x:v>
      </x:c>
      <x:c r="J334" s="1">
        <x:v>-50.0</x:v>
      </x:c>
      <x:c r="K334" s="1">
        <x:v>333.0</x:v>
      </x:c>
      <x:c r="L334" s="1" t="str">
        <x:f t="shared" si="1"/>
        <x:v>J.J. McCarthy</x:v>
      </x:c>
      <x:c r="M334" s="127" t="n">
        <x:f>IFERROR(VLOOKUP(E334,RISK!A:B,2,FALSE()),"")</x:f>
        <x:v>3.2</x:v>
      </x:c>
      <x:c r="N334" s="118">
        <x:f t="shared" si="2"/>
        <x:v>17.44414118</x:v>
      </x:c>
      <x:c r="Q334" s="9"/>
      <x:c r="R334" s="9"/>
      <x:c r="S334" s="9"/>
      <x:c r="T334" s="9"/>
    </x:row>
    <x:row r="335" ht="14.25" customHeight="1">
      <x:c r="A335" s="1">
        <x:v>332.0</x:v>
      </x:c>
      <x:c r="B335" s="1">
        <x:v>11.0</x:v>
      </x:c>
      <x:c r="C335" s="1" t="s">
        <x:v>1168</x:v>
      </x:c>
      <x:c r="D335" s="1" t="s">
        <x:v>1136</x:v>
      </x:c>
      <x:c r="E335" s="1" t="s">
        <x:v>474</x:v>
      </x:c>
      <x:c r="F335" s="1" t="s">
        <x:v>1067</x:v>
      </x:c>
      <x:c r="G335" s="1" t="s">
        <x:v>1067</x:v>
      </x:c>
      <x:c r="H335" s="1" t="s">
        <x:v>1067</x:v>
      </x:c>
      <x:c r="I335" s="1" t="s">
        <x:v>1067</x:v>
      </x:c>
      <x:c r="J335" s="1" t="s">
        <x:v>1067</x:v>
      </x:c>
      <x:c r="K335" s="1">
        <x:v>334.0</x:v>
      </x:c>
      <x:c r="L335" s="1" t="str">
        <x:f t="shared" si="1"/>
        <x:v>Joe Mixon</x:v>
      </x:c>
      <x:c r="M335" s="127" t="n">
        <x:f>IFERROR(VLOOKUP(E335,RISK!A:B,2,FALSE()),"")</x:f>
        <x:v>3.368</x:v>
      </x:c>
      <x:c r="N335" s="118">
        <x:f t="shared" si="2"/>
        <x:v>0</x:v>
      </x:c>
      <x:c r="Q335" s="9"/>
      <x:c r="R335" s="9"/>
      <x:c r="S335" s="9"/>
      <x:c r="T335" s="9"/>
    </x:row>
    <x:row r="336" ht="14.25" customHeight="1">
      <x:c r="A336" s="1">
        <x:v>333.0</x:v>
      </x:c>
      <x:c r="B336" s="1">
        <x:v>11.0</x:v>
      </x:c>
      <x:c r="C336" s="1" t="s">
        <x:v>964</x:v>
      </x:c>
      <x:c r="D336" s="1" t="s">
        <x:v>499</x:v>
      </x:c>
      <x:c r="E336" s="1" t="s">
        <x:v>300</x:v>
      </x:c>
      <x:c r="F336" s="1">
        <x:v>6.0</x:v>
      </x:c>
      <x:c r="G336" s="1" t="s">
        <x:v>1067</x:v>
      </x:c>
      <x:c r="H336" s="1" t="s">
        <x:v>1067</x:v>
      </x:c>
      <x:c r="I336" s="1" t="s">
        <x:v>1064</x:v>
      </x:c>
      <x:c r="J336" s="1" t="s">
        <x:v>1067</x:v>
      </x:c>
      <x:c r="K336" s="1">
        <x:v>335.0</x:v>
      </x:c>
      <x:c r="L336" s="1" t="str">
        <x:f t="shared" si="1"/>
        <x:v>Erick All Jr.</x:v>
      </x:c>
      <x:c r="M336" s="127" t="n">
        <x:f>IFERROR(VLOOKUP(E336,RISK!A:B,2,FALSE()),"")</x:f>
        <x:v>2.1938</x:v>
      </x:c>
      <x:c r="N336" s="118">
        <x:f t="shared" si="2"/>
        <x:v>38.01577776</x:v>
      </x:c>
      <x:c r="Q336" s="9"/>
      <x:c r="R336" s="9"/>
      <x:c r="S336" s="9"/>
      <x:c r="T336" s="9"/>
    </x:row>
    <x:row r="337" ht="14.25" customHeight="1">
      <x:c r="A337" s="1">
        <x:v>334.0</x:v>
      </x:c>
      <x:c r="B337" s="1">
        <x:v>11.0</x:v>
      </x:c>
      <x:c r="C337" s="1" t="s">
        <x:v>969</x:v>
      </x:c>
      <x:c r="D337" s="1" t="s">
        <x:v>513</x:v>
      </x:c>
      <x:c r="E337" s="1" t="s">
        <x:v>304</x:v>
      </x:c>
      <x:c r="F337" s="1">
        <x:v>7.0</x:v>
      </x:c>
      <x:c r="G337" s="1" t="s">
        <x:v>1067</x:v>
      </x:c>
      <x:c r="H337" s="1" t="s">
        <x:v>1067</x:v>
      </x:c>
      <x:c r="I337" s="1" t="s">
        <x:v>1061</x:v>
      </x:c>
      <x:c r="J337" s="1">
        <x:v>-58.0</x:v>
      </x:c>
      <x:c r="K337" s="1">
        <x:v>336.0</x:v>
      </x:c>
      <x:c r="L337" s="1" t="str">
        <x:f t="shared" si="1"/>
        <x:v>Charlie Kolar</x:v>
      </x:c>
      <x:c r="M337" s="127" t="n">
        <x:f>IFERROR(VLOOKUP(E337,RISK!A:B,2,FALSE()),"")</x:f>
        <x:v>2.1938</x:v>
      </x:c>
      <x:c r="N337" s="118">
        <x:f t="shared" si="2"/>
        <x:v>36.48897447</x:v>
      </x:c>
      <x:c r="Q337" s="9"/>
      <x:c r="R337" s="9"/>
      <x:c r="S337" s="9"/>
      <x:c r="T337" s="9"/>
    </x:row>
    <x:row r="338" ht="14.25" customHeight="1">
      <x:c r="A338" s="1">
        <x:v>335.0</x:v>
      </x:c>
      <x:c r="B338" s="1">
        <x:v>11.0</x:v>
      </x:c>
      <x:c r="C338" s="1" t="s">
        <x:v>868</x:v>
      </x:c>
      <x:c r="D338" s="1" t="s">
        <x:v>517</x:v>
      </x:c>
      <x:c r="E338" s="1" t="s">
        <x:v>1169</x:v>
      </x:c>
      <x:c r="F338" s="1">
        <x:v>11.0</x:v>
      </x:c>
      <x:c r="G338" s="1" t="s">
        <x:v>1067</x:v>
      </x:c>
      <x:c r="H338" s="1" t="s">
        <x:v>1067</x:v>
      </x:c>
      <x:c r="I338" s="1" t="s">
        <x:v>1063</x:v>
      </x:c>
      <x:c r="J338" s="1" t="s">
        <x:v>1067</x:v>
      </x:c>
      <x:c r="K338" s="1">
        <x:v>337.0</x:v>
      </x:c>
      <x:c r="L338" s="1" t="str">
        <x:f t="shared" si="1"/>
        <x:v>Konata Mumpfield</x:v>
      </x:c>
      <x:c r="M338" s="127" t="n">
        <x:f>IFERROR(VLOOKUP(E338,RISK!A:B,2,FALSE()),"")</x:f>
        <x:v>3.7</x:v>
      </x:c>
      <x:c r="N338" s="118" t="str">
        <x:f t="shared" si="2"/>
        <x:v>#N/A</x:v>
      </x:c>
      <x:c r="Q338" s="9"/>
      <x:c r="R338" s="9"/>
      <x:c r="S338" s="9"/>
      <x:c r="T338" s="9"/>
    </x:row>
    <x:row r="339" ht="14.25" customHeight="1">
      <x:c r="A339" s="1">
        <x:v>336.0</x:v>
      </x:c>
      <x:c r="B339" s="1">
        <x:v>11.0</x:v>
      </x:c>
      <x:c r="C339" s="1" t="s">
        <x:v>821</x:v>
      </x:c>
      <x:c r="D339" s="1" t="s">
        <x:v>535</x:v>
      </x:c>
      <x:c r="E339" s="1" t="s">
        <x:v>1170</x:v>
      </x:c>
      <x:c r="F339" s="1">
        <x:v>8.0</x:v>
      </x:c>
      <x:c r="G339" s="1" t="s">
        <x:v>1067</x:v>
      </x:c>
      <x:c r="H339" s="1" t="s">
        <x:v>1067</x:v>
      </x:c>
      <x:c r="I339" s="1" t="s">
        <x:v>1064</x:v>
      </x:c>
      <x:c r="J339" s="1">
        <x:v>23.0</x:v>
      </x:c>
      <x:c r="K339" s="1">
        <x:v>338.0</x:v>
      </x:c>
      <x:c r="L339" s="1" t="str">
        <x:f t="shared" si="1"/>
        <x:v>Xavier Hutchinson</x:v>
      </x:c>
      <x:c r="M339" s="127" t="n">
        <x:f>IFERROR(VLOOKUP(E339,RISK!A:B,2,FALSE()),"")</x:f>
        <x:v>3.7</x:v>
      </x:c>
      <x:c r="N339" s="118" t="str">
        <x:f t="shared" si="2"/>
        <x:v>#N/A</x:v>
      </x:c>
      <x:c r="Q339" s="9"/>
      <x:c r="R339" s="9"/>
      <x:c r="S339" s="9"/>
      <x:c r="T339" s="9"/>
    </x:row>
    <x:row r="340" ht="14.25" customHeight="1">
      <x:c r="A340" s="1">
        <x:v>337.0</x:v>
      </x:c>
      <x:c r="B340" s="1">
        <x:v>11.0</x:v>
      </x:c>
      <x:c r="C340" s="1" t="s">
        <x:v>1171</x:v>
      </x:c>
      <x:c r="D340" s="1" t="s">
        <x:v>507</x:v>
      </x:c>
      <x:c r="E340" s="1" t="s">
        <x:v>1172</x:v>
      </x:c>
      <x:c r="F340" s="1">
        <x:v>14.0</x:v>
      </x:c>
      <x:c r="G340" s="1" t="s">
        <x:v>1067</x:v>
      </x:c>
      <x:c r="H340" s="1" t="s">
        <x:v>1067</x:v>
      </x:c>
      <x:c r="I340" s="1" t="s">
        <x:v>1063</x:v>
      </x:c>
      <x:c r="J340" s="1">
        <x:v>-136.0</x:v>
      </x:c>
      <x:c r="K340" s="1">
        <x:v>339.0</x:v>
      </x:c>
      <x:c r="L340" s="1" t="str">
        <x:f t="shared" si="1"/>
        <x:v>Dallas Cowboys</x:v>
      </x:c>
      <x:c r="M340" s="127" t="str">
        <x:f>IFERROR(VLOOKUP(E340,RISK!A:B,2,FALSE()),"")</x:f>
      </x:c>
      <x:c r="N340" s="118" t="str">
        <x:f t="shared" si="2"/>
        <x:v>#N/A</x:v>
      </x:c>
      <x:c r="Q340" s="9"/>
      <x:c r="R340" s="9"/>
      <x:c r="S340" s="9"/>
      <x:c r="T340" s="9"/>
    </x:row>
    <x:row r="341" ht="14.25" customHeight="1">
      <x:c r="A341" s="1">
        <x:v>338.0</x:v>
      </x:c>
      <x:c r="B341" s="1">
        <x:v>11.0</x:v>
      </x:c>
      <x:c r="C341" s="1" t="s">
        <x:v>980</x:v>
      </x:c>
      <x:c r="D341" s="1" t="s">
        <x:v>493</x:v>
      </x:c>
      <x:c r="E341" s="1" t="s">
        <x:v>308</x:v>
      </x:c>
      <x:c r="F341" s="1">
        <x:v>11.0</x:v>
      </x:c>
      <x:c r="G341" s="1" t="s">
        <x:v>1067</x:v>
      </x:c>
      <x:c r="H341" s="1" t="s">
        <x:v>1067</x:v>
      </x:c>
      <x:c r="I341" s="1" t="s">
        <x:v>1061</x:v>
      </x:c>
      <x:c r="J341" s="1" t="s">
        <x:v>1067</x:v>
      </x:c>
      <x:c r="K341" s="1">
        <x:v>340.0</x:v>
      </x:c>
      <x:c r="L341" s="1" t="str">
        <x:f t="shared" si="1"/>
        <x:v>Eli Raridon</x:v>
      </x:c>
      <x:c r="M341" s="127" t="n">
        <x:f>IFERROR(VLOOKUP(E341,RISK!A:B,2,FALSE()),"")</x:f>
        <x:v>2.1938</x:v>
      </x:c>
      <x:c r="N341" s="118">
        <x:f t="shared" si="2"/>
        <x:v>32.87499859</x:v>
      </x:c>
      <x:c r="Q341" s="9"/>
      <x:c r="R341" s="9"/>
      <x:c r="S341" s="9"/>
      <x:c r="T341" s="9"/>
    </x:row>
    <x:row r="342" ht="14.25" customHeight="1">
      <x:c r="A342" s="1">
        <x:v>339.0</x:v>
      </x:c>
      <x:c r="B342" s="1">
        <x:v>11.0</x:v>
      </x:c>
      <x:c r="C342" s="1" t="s">
        <x:v>848</x:v>
      </x:c>
      <x:c r="D342" s="1" t="s">
        <x:v>549</x:v>
      </x:c>
      <x:c r="E342" s="1" t="s">
        <x:v>1173</x:v>
      </x:c>
      <x:c r="F342" s="1">
        <x:v>11.0</x:v>
      </x:c>
      <x:c r="G342" s="1" t="s">
        <x:v>1067</x:v>
      </x:c>
      <x:c r="H342" s="1" t="s">
        <x:v>1067</x:v>
      </x:c>
      <x:c r="I342" s="1" t="s">
        <x:v>1064</x:v>
      </x:c>
      <x:c r="J342" s="1" t="s">
        <x:v>1067</x:v>
      </x:c>
      <x:c r="K342" s="1">
        <x:v>341.0</x:v>
      </x:c>
      <x:c r="L342" s="1" t="str">
        <x:f t="shared" si="1"/>
        <x:v>Cedric Tillman</x:v>
      </x:c>
      <x:c r="M342" s="127" t="n">
        <x:f>IFERROR(VLOOKUP(E342,RISK!A:B,2,FALSE()),"")</x:f>
        <x:v>3.7</x:v>
      </x:c>
      <x:c r="N342" s="118" t="str">
        <x:f t="shared" si="2"/>
        <x:v>#N/A</x:v>
      </x:c>
      <x:c r="Q342" s="9"/>
      <x:c r="R342" s="9"/>
      <x:c r="S342" s="9"/>
      <x:c r="T342" s="9"/>
    </x:row>
    <x:row r="343" ht="14.25" customHeight="1">
      <x:c r="A343" s="1">
        <x:v>340.0</x:v>
      </x:c>
      <x:c r="B343" s="1">
        <x:v>11.0</x:v>
      </x:c>
      <x:c r="C343" s="1" t="s">
        <x:v>965</x:v>
      </x:c>
      <x:c r="D343" s="1" t="s">
        <x:v>511</x:v>
      </x:c>
      <x:c r="E343" s="1" t="s">
        <x:v>312</x:v>
      </x:c>
      <x:c r="F343" s="1">
        <x:v>10.0</x:v>
      </x:c>
      <x:c r="G343" s="1" t="s">
        <x:v>1067</x:v>
      </x:c>
      <x:c r="H343" s="1" t="s">
        <x:v>1067</x:v>
      </x:c>
      <x:c r="I343" s="1" t="s">
        <x:v>1060</x:v>
      </x:c>
      <x:c r="J343" s="1" t="s">
        <x:v>1067</x:v>
      </x:c>
      <x:c r="K343" s="1">
        <x:v>342.0</x:v>
      </x:c>
      <x:c r="L343" s="1" t="str">
        <x:f t="shared" si="1"/>
        <x:v>Cole Kmet</x:v>
      </x:c>
      <x:c r="M343" s="127" t="n">
        <x:f>IFERROR(VLOOKUP(E343,RISK!A:B,2,FALSE()),"")</x:f>
        <x:v>2.1938</x:v>
      </x:c>
      <x:c r="N343" s="118">
        <x:f t="shared" si="2"/>
        <x:v>31.75426</x:v>
      </x:c>
      <x:c r="Q343" s="9"/>
      <x:c r="R343" s="9"/>
      <x:c r="S343" s="9"/>
      <x:c r="T343" s="9"/>
    </x:row>
    <x:row r="344" ht="14.25" customHeight="1">
      <x:c r="A344" s="1">
        <x:v>341.0</x:v>
      </x:c>
      <x:c r="B344" s="1">
        <x:v>11.0</x:v>
      </x:c>
      <x:c r="C344" s="1" t="s">
        <x:v>960</x:v>
      </x:c>
      <x:c r="D344" s="1" t="s">
        <x:v>487</x:v>
      </x:c>
      <x:c r="E344" s="1" t="s">
        <x:v>316</x:v>
      </x:c>
      <x:c r="F344" s="1">
        <x:v>7.0</x:v>
      </x:c>
      <x:c r="G344" s="1" t="s">
        <x:v>1067</x:v>
      </x:c>
      <x:c r="H344" s="1" t="s">
        <x:v>1067</x:v>
      </x:c>
      <x:c r="I344" s="1" t="s">
        <x:v>1064</x:v>
      </x:c>
      <x:c r="J344" s="1">
        <x:v>-19.0</x:v>
      </x:c>
      <x:c r="K344" s="1">
        <x:v>343.0</x:v>
      </x:c>
      <x:c r="L344" s="1" t="str">
        <x:f t="shared" si="1"/>
        <x:v>Dawson Knox</x:v>
      </x:c>
      <x:c r="M344" s="127" t="n">
        <x:f>IFERROR(VLOOKUP(E344,RISK!A:B,2,FALSE()),"")</x:f>
        <x:v>2.1938</x:v>
      </x:c>
      <x:c r="N344" s="118">
        <x:f t="shared" si="2"/>
        <x:v>31.13704165</x:v>
      </x:c>
      <x:c r="Q344" s="9"/>
      <x:c r="R344" s="9"/>
      <x:c r="S344" s="9"/>
      <x:c r="T344" s="9"/>
    </x:row>
    <x:row r="345" ht="14.25" customHeight="1">
      <x:c r="A345" s="1">
        <x:v>342.0</x:v>
      </x:c>
      <x:c r="B345" s="1">
        <x:v>11.0</x:v>
      </x:c>
      <x:c r="C345" s="1" t="s">
        <x:v>963</x:v>
      </x:c>
      <x:c r="D345" s="1" t="s">
        <x:v>517</x:v>
      </x:c>
      <x:c r="E345" s="1" t="s">
        <x:v>320</x:v>
      </x:c>
      <x:c r="F345" s="1">
        <x:v>11.0</x:v>
      </x:c>
      <x:c r="G345" s="1" t="s">
        <x:v>1067</x:v>
      </x:c>
      <x:c r="H345" s="1" t="s">
        <x:v>1067</x:v>
      </x:c>
      <x:c r="I345" s="1" t="s">
        <x:v>1061</x:v>
      </x:c>
      <x:c r="J345" s="1" t="s">
        <x:v>1067</x:v>
      </x:c>
      <x:c r="K345" s="1">
        <x:v>344.0</x:v>
      </x:c>
      <x:c r="L345" s="1" t="str">
        <x:f t="shared" si="1"/>
        <x:v>Tyler Higbee</x:v>
      </x:c>
      <x:c r="M345" s="127" t="n">
        <x:f>IFERROR(VLOOKUP(E345,RISK!A:B,2,FALSE()),"")</x:f>
        <x:v>2.1938</x:v>
      </x:c>
      <x:c r="N345" s="118">
        <x:f t="shared" si="2"/>
        <x:v>29.82951329</x:v>
      </x:c>
      <x:c r="Q345" s="9"/>
      <x:c r="R345" s="9"/>
      <x:c r="S345" s="9"/>
      <x:c r="T345" s="9"/>
    </x:row>
    <x:row r="346" ht="14.25" customHeight="1">
      <x:c r="A346" s="1">
        <x:v>343.0</x:v>
      </x:c>
      <x:c r="B346" s="1">
        <x:v>11.0</x:v>
      </x:c>
      <x:c r="C346" s="1" t="s">
        <x:v>851</x:v>
      </x:c>
      <x:c r="D346" s="1" t="s">
        <x:v>495</x:v>
      </x:c>
      <x:c r="E346" s="1" t="s">
        <x:v>1174</x:v>
      </x:c>
      <x:c r="F346" s="1">
        <x:v>7.0</x:v>
      </x:c>
      <x:c r="G346" s="1" t="s">
        <x:v>1067</x:v>
      </x:c>
      <x:c r="H346" s="1" t="s">
        <x:v>1067</x:v>
      </x:c>
      <x:c r="I346" s="1" t="s">
        <x:v>1060</x:v>
      </x:c>
      <x:c r="J346" s="1" t="s">
        <x:v>1067</x:v>
      </x:c>
      <x:c r="K346" s="1">
        <x:v>345.0</x:v>
      </x:c>
      <x:c r="L346" s="1" t="str">
        <x:f t="shared" si="1"/>
        <x:v>Luke McCaffrey</x:v>
      </x:c>
      <x:c r="M346" s="127" t="n">
        <x:f>IFERROR(VLOOKUP(E346,RISK!A:B,2,FALSE()),"")</x:f>
        <x:v>3.7</x:v>
      </x:c>
      <x:c r="N346" s="118" t="str">
        <x:f t="shared" si="2"/>
        <x:v>#N/A</x:v>
      </x:c>
      <x:c r="Q346" s="9"/>
      <x:c r="R346" s="9"/>
      <x:c r="S346" s="9"/>
      <x:c r="T346" s="9"/>
    </x:row>
    <x:row r="347" ht="14.25" customHeight="1">
      <x:c r="A347" s="1">
        <x:v>344.0</x:v>
      </x:c>
      <x:c r="B347" s="1">
        <x:v>11.0</x:v>
      </x:c>
      <x:c r="C347" s="1" t="s">
        <x:v>573</x:v>
      </x:c>
      <x:c r="D347" s="1" t="s">
        <x:v>503</x:v>
      </x:c>
      <x:c r="E347" s="1" t="s">
        <x:v>277</x:v>
      </x:c>
      <x:c r="F347" s="1">
        <x:v>8.0</x:v>
      </x:c>
      <x:c r="G347" s="1" t="s">
        <x:v>1067</x:v>
      </x:c>
      <x:c r="H347" s="1" t="s">
        <x:v>1067</x:v>
      </x:c>
      <x:c r="I347" s="1" t="s">
        <x:v>1063</x:v>
      </x:c>
      <x:c r="J347" s="1" t="s">
        <x:v>1067</x:v>
      </x:c>
      <x:c r="K347" s="1">
        <x:v>346.0</x:v>
      </x:c>
      <x:c r="L347" s="1" t="str">
        <x:f t="shared" si="1"/>
        <x:v>Mac Jones</x:v>
      </x:c>
      <x:c r="M347" s="127" t="n">
        <x:f>IFERROR(VLOOKUP(E347,RISK!A:B,2,FALSE()),"")</x:f>
        <x:v>3.2</x:v>
      </x:c>
      <x:c r="N347" s="118">
        <x:f t="shared" si="2"/>
        <x:v>16.95924706</x:v>
      </x:c>
      <x:c r="Q347" s="9"/>
      <x:c r="R347" s="9"/>
      <x:c r="S347" s="9"/>
      <x:c r="T347" s="9"/>
    </x:row>
    <x:row r="348" ht="14.25" customHeight="1">
      <x:c r="A348" s="1">
        <x:v>345.0</x:v>
      </x:c>
      <x:c r="B348" s="1">
        <x:v>11.0</x:v>
      </x:c>
      <x:c r="C348" s="1" t="s">
        <x:v>872</x:v>
      </x:c>
      <x:c r="D348" s="1" t="s">
        <x:v>513</x:v>
      </x:c>
      <x:c r="E348" s="1" t="s">
        <x:v>1175</x:v>
      </x:c>
      <x:c r="F348" s="1">
        <x:v>7.0</x:v>
      </x:c>
      <x:c r="G348" s="1" t="s">
        <x:v>1067</x:v>
      </x:c>
      <x:c r="H348" s="1" t="s">
        <x:v>1067</x:v>
      </x:c>
      <x:c r="I348" s="1" t="s">
        <x:v>1060</x:v>
      </x:c>
      <x:c r="J348" s="1">
        <x:v>30.0</x:v>
      </x:c>
      <x:c r="K348" s="1">
        <x:v>347.0</x:v>
      </x:c>
      <x:c r="L348" s="1" t="str">
        <x:f t="shared" si="1"/>
        <x:v>Brenen Thompson</x:v>
      </x:c>
      <x:c r="M348" s="127" t="n">
        <x:f>IFERROR(VLOOKUP(E348,RISK!A:B,2,FALSE()),"")</x:f>
        <x:v>3.7</x:v>
      </x:c>
      <x:c r="N348" s="118" t="str">
        <x:f t="shared" si="2"/>
        <x:v>#N/A</x:v>
      </x:c>
      <x:c r="Q348" s="9"/>
      <x:c r="R348" s="9"/>
      <x:c r="S348" s="9"/>
      <x:c r="T348" s="9"/>
    </x:row>
    <x:row r="349" ht="14.25" customHeight="1">
      <x:c r="A349" s="1">
        <x:v>346.0</x:v>
      </x:c>
      <x:c r="B349" s="1">
        <x:v>11.0</x:v>
      </x:c>
      <x:c r="C349" s="1" t="s">
        <x:v>845</x:v>
      </x:c>
      <x:c r="D349" s="1" t="s">
        <x:v>501</x:v>
      </x:c>
      <x:c r="E349" s="1" t="s">
        <x:v>1176</x:v>
      </x:c>
      <x:c r="F349" s="1">
        <x:v>8.0</x:v>
      </x:c>
      <x:c r="G349" s="1" t="s">
        <x:v>1067</x:v>
      </x:c>
      <x:c r="H349" s="1" t="s">
        <x:v>1067</x:v>
      </x:c>
      <x:c r="I349" s="1" t="s">
        <x:v>1061</x:v>
      </x:c>
      <x:c r="J349" s="1" t="s">
        <x:v>1067</x:v>
      </x:c>
      <x:c r="K349" s="1">
        <x:v>348.0</x:v>
      </x:c>
      <x:c r="L349" s="1" t="str">
        <x:f t="shared" si="1"/>
        <x:v>Calvin Austin III</x:v>
      </x:c>
      <x:c r="M349" s="127" t="n">
        <x:f>IFERROR(VLOOKUP(E349,RISK!A:B,2,FALSE()),"")</x:f>
        <x:v>3.7</x:v>
      </x:c>
      <x:c r="N349" s="118" t="str">
        <x:f t="shared" si="2"/>
        <x:v>#N/A</x:v>
      </x:c>
      <x:c r="Q349" s="9"/>
      <x:c r="R349" s="9"/>
      <x:c r="S349" s="9"/>
      <x:c r="T349" s="9"/>
    </x:row>
    <x:row r="350" ht="14.25" customHeight="1">
      <x:c r="A350" s="1">
        <x:v>347.0</x:v>
      </x:c>
      <x:c r="B350" s="1">
        <x:v>11.0</x:v>
      </x:c>
      <x:c r="C350" s="1" t="s">
        <x:v>974</x:v>
      </x:c>
      <x:c r="D350" s="1" t="s">
        <x:v>509</x:v>
      </x:c>
      <x:c r="E350" s="1" t="s">
        <x:v>323</x:v>
      </x:c>
      <x:c r="F350" s="1">
        <x:v>5.0</x:v>
      </x:c>
      <x:c r="G350" s="1" t="s">
        <x:v>1067</x:v>
      </x:c>
      <x:c r="H350" s="1" t="s">
        <x:v>1067</x:v>
      </x:c>
      <x:c r="I350" s="1" t="s">
        <x:v>1061</x:v>
      </x:c>
      <x:c r="J350" s="1" t="s">
        <x:v>1067</x:v>
      </x:c>
      <x:c r="K350" s="1">
        <x:v>349.0</x:v>
      </x:c>
      <x:c r="L350" s="1" t="str">
        <x:f t="shared" si="1"/>
        <x:v>Noah Gray</x:v>
      </x:c>
      <x:c r="M350" s="127" t="n">
        <x:f>IFERROR(VLOOKUP(E350,RISK!A:B,2,FALSE()),"")</x:f>
        <x:v>2.1938</x:v>
      </x:c>
      <x:c r="N350" s="118">
        <x:f t="shared" si="2"/>
        <x:v>14.95130247</x:v>
      </x:c>
      <x:c r="Q350" s="9"/>
      <x:c r="R350" s="9"/>
      <x:c r="S350" s="9"/>
      <x:c r="T350" s="9"/>
    </x:row>
    <x:row r="351" ht="14.25" customHeight="1">
      <x:c r="A351" s="1">
        <x:v>348.0</x:v>
      </x:c>
      <x:c r="B351" s="1">
        <x:v>11.0</x:v>
      </x:c>
      <x:c r="C351" s="1" t="s">
        <x:v>876</x:v>
      </x:c>
      <x:c r="D351" s="1" t="s">
        <x:v>523</x:v>
      </x:c>
      <x:c r="E351" s="1" t="s">
        <x:v>1177</x:v>
      </x:c>
      <x:c r="F351" s="1">
        <x:v>10.0</x:v>
      </x:c>
      <x:c r="G351" s="1" t="s">
        <x:v>1067</x:v>
      </x:c>
      <x:c r="H351" s="1" t="s">
        <x:v>1067</x:v>
      </x:c>
      <x:c r="I351" s="1" t="s">
        <x:v>1061</x:v>
      </x:c>
      <x:c r="J351" s="1" t="s">
        <x:v>1067</x:v>
      </x:c>
      <x:c r="K351" s="1">
        <x:v>350.0</x:v>
      </x:c>
      <x:c r="L351" s="1" t="str">
        <x:f t="shared" si="1"/>
        <x:v>Tez Johnson</x:v>
      </x:c>
      <x:c r="M351" s="127" t="n">
        <x:f>IFERROR(VLOOKUP(E351,RISK!A:B,2,FALSE()),"")</x:f>
        <x:v>3.7</x:v>
      </x:c>
      <x:c r="N351" s="118" t="str">
        <x:f t="shared" si="2"/>
        <x:v>#N/A</x:v>
      </x:c>
      <x:c r="Q351" s="9"/>
      <x:c r="R351" s="9"/>
      <x:c r="S351" s="9"/>
      <x:c r="T351" s="9"/>
    </x:row>
    <x:row r="352" ht="14.25" customHeight="1">
      <x:c r="A352" s="1">
        <x:v>349.0</x:v>
      </x:c>
      <x:c r="B352" s="1">
        <x:v>11.0</x:v>
      </x:c>
      <x:c r="C352" s="1" t="s">
        <x:v>878</x:v>
      </x:c>
      <x:c r="D352" s="1" t="s">
        <x:v>509</x:v>
      </x:c>
      <x:c r="E352" s="1" t="s">
        <x:v>1178</x:v>
      </x:c>
      <x:c r="F352" s="1">
        <x:v>5.0</x:v>
      </x:c>
      <x:c r="G352" s="1" t="s">
        <x:v>1067</x:v>
      </x:c>
      <x:c r="H352" s="1" t="s">
        <x:v>1067</x:v>
      </x:c>
      <x:c r="I352" s="1" t="s">
        <x:v>1060</x:v>
      </x:c>
      <x:c r="J352" s="1" t="s">
        <x:v>1067</x:v>
      </x:c>
      <x:c r="K352" s="1">
        <x:v>351.0</x:v>
      </x:c>
      <x:c r="L352" s="1" t="str">
        <x:f t="shared" si="1"/>
        <x:v>Jalen Royals</x:v>
      </x:c>
      <x:c r="M352" s="127" t="n">
        <x:f>IFERROR(VLOOKUP(E352,RISK!A:B,2,FALSE()),"")</x:f>
        <x:v>3.7</x:v>
      </x:c>
      <x:c r="N352" s="118" t="str">
        <x:f t="shared" si="2"/>
        <x:v>#N/A</x:v>
      </x:c>
      <x:c r="Q352" s="9"/>
      <x:c r="R352" s="9"/>
      <x:c r="S352" s="9"/>
      <x:c r="T352" s="9"/>
    </x:row>
    <x:row r="353" ht="14.25" customHeight="1">
      <x:c r="A353" s="1">
        <x:v>350.0</x:v>
      </x:c>
      <x:c r="B353" s="1">
        <x:v>11.0</x:v>
      </x:c>
      <x:c r="C353" s="1" t="s">
        <x:v>1017</x:v>
      </x:c>
      <x:c r="D353" s="1" t="s">
        <x:v>517</x:v>
      </x:c>
      <x:c r="E353" s="1" t="s">
        <x:v>326</x:v>
      </x:c>
      <x:c r="F353" s="1">
        <x:v>11.0</x:v>
      </x:c>
      <x:c r="G353" s="1" t="s">
        <x:v>1067</x:v>
      </x:c>
      <x:c r="H353" s="1" t="s">
        <x:v>1067</x:v>
      </x:c>
      <x:c r="I353" s="1" t="s">
        <x:v>1061</x:v>
      </x:c>
      <x:c r="J353" s="1" t="s">
        <x:v>1067</x:v>
      </x:c>
      <x:c r="K353" s="1">
        <x:v>352.0</x:v>
      </x:c>
      <x:c r="L353" s="1" t="str">
        <x:f t="shared" si="1"/>
        <x:v>Max Klare</x:v>
      </x:c>
      <x:c r="M353" s="127" t="n">
        <x:f>IFERROR(VLOOKUP(E353,RISK!A:B,2,FALSE()),"")</x:f>
        <x:v>2.1938</x:v>
      </x:c>
      <x:c r="N353" s="118">
        <x:f t="shared" si="2"/>
        <x:v>13.36765012</x:v>
      </x:c>
      <x:c r="Q353" s="9"/>
      <x:c r="R353" s="9"/>
      <x:c r="S353" s="9"/>
      <x:c r="T353" s="9"/>
    </x:row>
    <x:row r="354" ht="14.25" customHeight="1">
      <x:c r="A354" s="1">
        <x:v>351.0</x:v>
      </x:c>
      <x:c r="B354" s="1">
        <x:v>11.0</x:v>
      </x:c>
      <x:c r="C354" s="1" t="s">
        <x:v>725</x:v>
      </x:c>
      <x:c r="D354" s="1" t="s">
        <x:v>543</x:v>
      </x:c>
      <x:c r="E354" s="1" t="s">
        <x:v>1179</x:v>
      </x:c>
      <x:c r="F354" s="1">
        <x:v>14.0</x:v>
      </x:c>
      <x:c r="G354" s="1" t="s">
        <x:v>1067</x:v>
      </x:c>
      <x:c r="H354" s="1" t="s">
        <x:v>1067</x:v>
      </x:c>
      <x:c r="I354" s="1" t="s">
        <x:v>1060</x:v>
      </x:c>
      <x:c r="J354" s="1">
        <x:v>-12.0</x:v>
      </x:c>
      <x:c r="K354" s="1">
        <x:v>353.0</x:v>
      </x:c>
      <x:c r="L354" s="1" t="str">
        <x:f t="shared" si="1"/>
        <x:v>Bam Knight</x:v>
      </x:c>
      <x:c r="M354" s="127" t="n">
        <x:f>IFERROR(VLOOKUP(E354,RISK!A:B,2,FALSE()),"")</x:f>
        <x:v>3.368</x:v>
      </x:c>
      <x:c r="N354" s="118" t="str">
        <x:f t="shared" si="2"/>
        <x:v>#N/A</x:v>
      </x:c>
      <x:c r="Q354" s="9"/>
      <x:c r="R354" s="9"/>
      <x:c r="S354" s="9"/>
      <x:c r="T354" s="9"/>
    </x:row>
    <x:row r="355" ht="14.25" customHeight="1">
      <x:c r="A355" s="1">
        <x:v>352.0</x:v>
      </x:c>
      <x:c r="B355" s="1">
        <x:v>11.0</x:v>
      </x:c>
      <x:c r="C355" s="1" t="s">
        <x:v>1180</x:v>
      </x:c>
      <x:c r="D355" s="1" t="s">
        <x:v>537</x:v>
      </x:c>
      <x:c r="E355" s="1" t="s">
        <x:v>1181</x:v>
      </x:c>
      <x:c r="F355" s="1">
        <x:v>5.0</x:v>
      </x:c>
      <x:c r="G355" s="1" t="s">
        <x:v>1067</x:v>
      </x:c>
      <x:c r="H355" s="1" t="s">
        <x:v>1067</x:v>
      </x:c>
      <x:c r="I355" s="1" t="s">
        <x:v>1060</x:v>
      </x:c>
      <x:c r="J355" s="1" t="s">
        <x:v>1067</x:v>
      </x:c>
      <x:c r="K355" s="1">
        <x:v>354.0</x:v>
      </x:c>
      <x:c r="L355" s="1" t="str">
        <x:f t="shared" si="1"/>
        <x:v>Chris Brazzell II</x:v>
      </x:c>
      <x:c r="M355" s="127" t="n">
        <x:f>IFERROR(VLOOKUP(E355,RISK!A:B,2,FALSE()),"")</x:f>
        <x:v>3.7</x:v>
      </x:c>
      <x:c r="N355" s="118" t="str">
        <x:f t="shared" si="2"/>
        <x:v>#N/A</x:v>
      </x:c>
      <x:c r="Q355" s="9"/>
      <x:c r="R355" s="9"/>
      <x:c r="S355" s="9"/>
      <x:c r="T355" s="9"/>
    </x:row>
    <x:row r="356" ht="14.25" customHeight="1">
      <x:c r="A356" s="1">
        <x:v>353.0</x:v>
      </x:c>
      <x:c r="B356" s="1">
        <x:v>11.0</x:v>
      </x:c>
      <x:c r="C356" s="1" t="s">
        <x:v>865</x:v>
      </x:c>
      <x:c r="D356" s="1" t="s">
        <x:v>551</x:v>
      </x:c>
      <x:c r="E356" s="1" t="s">
        <x:v>1182</x:v>
      </x:c>
      <x:c r="F356" s="1">
        <x:v>11.0</x:v>
      </x:c>
      <x:c r="G356" s="1" t="s">
        <x:v>1067</x:v>
      </x:c>
      <x:c r="H356" s="1" t="s">
        <x:v>1067</x:v>
      </x:c>
      <x:c r="I356" s="1" t="s">
        <x:v>1064</x:v>
      </x:c>
      <x:c r="J356" s="1" t="s">
        <x:v>1067</x:v>
      </x:c>
      <x:c r="K356" s="1">
        <x:v>355.0</x:v>
      </x:c>
      <x:c r="L356" s="1" t="str">
        <x:f t="shared" si="1"/>
        <x:v>Olamide Zaccheaus</x:v>
      </x:c>
      <x:c r="M356" s="127" t="n">
        <x:f>IFERROR(VLOOKUP(E356,RISK!A:B,2,FALSE()),"")</x:f>
        <x:v>3.7</x:v>
      </x:c>
      <x:c r="N356" s="118" t="str">
        <x:f t="shared" si="2"/>
        <x:v>#N/A</x:v>
      </x:c>
      <x:c r="Q356" s="9"/>
      <x:c r="R356" s="9"/>
      <x:c r="S356" s="9"/>
      <x:c r="T356" s="9"/>
    </x:row>
    <x:row r="357" ht="14.25" customHeight="1">
      <x:c r="A357" s="1">
        <x:v>354.0</x:v>
      </x:c>
      <x:c r="B357" s="1">
        <x:v>11.0</x:v>
      </x:c>
      <x:c r="C357" s="1" t="s">
        <x:v>850</x:v>
      </x:c>
      <x:c r="D357" s="1" t="s">
        <x:v>543</x:v>
      </x:c>
      <x:c r="E357" s="1" t="s">
        <x:v>1183</x:v>
      </x:c>
      <x:c r="F357" s="1">
        <x:v>14.0</x:v>
      </x:c>
      <x:c r="G357" s="1" t="s">
        <x:v>1067</x:v>
      </x:c>
      <x:c r="H357" s="1" t="s">
        <x:v>1067</x:v>
      </x:c>
      <x:c r="I357" s="1" t="s">
        <x:v>1060</x:v>
      </x:c>
      <x:c r="J357" s="1" t="s">
        <x:v>1067</x:v>
      </x:c>
      <x:c r="K357" s="1">
        <x:v>356.0</x:v>
      </x:c>
      <x:c r="L357" s="1" t="str">
        <x:f t="shared" si="1"/>
        <x:v>Kendrick Bourne</x:v>
      </x:c>
      <x:c r="M357" s="127" t="n">
        <x:f>IFERROR(VLOOKUP(E357,RISK!A:B,2,FALSE()),"")</x:f>
        <x:v>3.7</x:v>
      </x:c>
      <x:c r="N357" s="118" t="str">
        <x:f t="shared" si="2"/>
        <x:v>#N/A</x:v>
      </x:c>
      <x:c r="Q357" s="9"/>
      <x:c r="R357" s="9"/>
      <x:c r="S357" s="9"/>
      <x:c r="T357" s="9"/>
    </x:row>
    <x:row r="358" ht="14.25" customHeight="1">
      <x:c r="A358" s="1">
        <x:v>355.0</x:v>
      </x:c>
      <x:c r="B358" s="1">
        <x:v>11.0</x:v>
      </x:c>
      <x:c r="C358" s="1" t="s">
        <x:v>560</x:v>
      </x:c>
      <x:c r="D358" s="1" t="s">
        <x:v>509</x:v>
      </x:c>
      <x:c r="E358" s="1" t="s">
        <x:v>281</x:v>
      </x:c>
      <x:c r="F358" s="1">
        <x:v>5.0</x:v>
      </x:c>
      <x:c r="G358" s="1" t="s">
        <x:v>1067</x:v>
      </x:c>
      <x:c r="H358" s="1" t="s">
        <x:v>1067</x:v>
      </x:c>
      <x:c r="I358" s="1" t="s">
        <x:v>1060</x:v>
      </x:c>
      <x:c r="J358" s="1">
        <x:v>-71.0</x:v>
      </x:c>
      <x:c r="K358" s="1">
        <x:v>357.0</x:v>
      </x:c>
      <x:c r="L358" s="1" t="str">
        <x:f t="shared" si="1"/>
        <x:v>Justin Fields</x:v>
      </x:c>
      <x:c r="M358" s="127" t="n">
        <x:f>IFERROR(VLOOKUP(E358,RISK!A:B,2,FALSE()),"")</x:f>
        <x:v>3.2</x:v>
      </x:c>
      <x:c r="N358" s="118">
        <x:f t="shared" si="2"/>
        <x:v>13.51529412</x:v>
      </x:c>
      <x:c r="Q358" s="9"/>
      <x:c r="R358" s="9"/>
      <x:c r="S358" s="9"/>
      <x:c r="T358" s="9"/>
    </x:row>
    <x:row r="359" ht="14.25" customHeight="1">
      <x:c r="A359" s="1">
        <x:v>356.0</x:v>
      </x:c>
      <x:c r="B359" s="1">
        <x:v>11.0</x:v>
      </x:c>
      <x:c r="C359" s="1" t="s">
        <x:v>836</x:v>
      </x:c>
      <x:c r="D359" s="1" t="s">
        <x:v>487</x:v>
      </x:c>
      <x:c r="E359" s="1" t="s">
        <x:v>1184</x:v>
      </x:c>
      <x:c r="F359" s="1">
        <x:v>7.0</x:v>
      </x:c>
      <x:c r="G359" s="1" t="s">
        <x:v>1067</x:v>
      </x:c>
      <x:c r="H359" s="1" t="s">
        <x:v>1067</x:v>
      </x:c>
      <x:c r="I359" s="1" t="s">
        <x:v>1061</x:v>
      </x:c>
      <x:c r="J359" s="1">
        <x:v>22.0</x:v>
      </x:c>
      <x:c r="K359" s="1">
        <x:v>358.0</x:v>
      </x:c>
      <x:c r="L359" s="1" t="str">
        <x:f t="shared" si="1"/>
        <x:v>Joshua Palmer</x:v>
      </x:c>
      <x:c r="M359" s="127" t="n">
        <x:f>IFERROR(VLOOKUP(E359,RISK!A:B,2,FALSE()),"")</x:f>
        <x:v>3.7</x:v>
      </x:c>
      <x:c r="N359" s="118" t="str">
        <x:f t="shared" si="2"/>
        <x:v>#N/A</x:v>
      </x:c>
      <x:c r="Q359" s="9"/>
      <x:c r="R359" s="9"/>
      <x:c r="S359" s="9"/>
      <x:c r="T359" s="9"/>
    </x:row>
    <x:row r="360" ht="14.25" customHeight="1">
      <x:c r="A360" s="1">
        <x:v>357.0</x:v>
      </x:c>
      <x:c r="B360" s="1">
        <x:v>11.0</x:v>
      </x:c>
      <x:c r="C360" s="1" t="s">
        <x:v>981</x:v>
      </x:c>
      <x:c r="D360" s="1" t="s">
        <x:v>537</x:v>
      </x:c>
      <x:c r="E360" s="1" t="s">
        <x:v>329</x:v>
      </x:c>
      <x:c r="F360" s="1">
        <x:v>5.0</x:v>
      </x:c>
      <x:c r="G360" s="1" t="s">
        <x:v>1067</x:v>
      </x:c>
      <x:c r="H360" s="1" t="s">
        <x:v>1067</x:v>
      </x:c>
      <x:c r="I360" s="1" t="s">
        <x:v>1060</x:v>
      </x:c>
      <x:c r="J360" s="1" t="s">
        <x:v>1067</x:v>
      </x:c>
      <x:c r="K360" s="1">
        <x:v>359.0</x:v>
      </x:c>
      <x:c r="L360" s="1" t="str">
        <x:f t="shared" si="1"/>
        <x:v>Ja'Tavion Sanders</x:v>
      </x:c>
      <x:c r="M360" s="127" t="n">
        <x:f>IFERROR(VLOOKUP(E360,RISK!A:B,2,FALSE()),"")</x:f>
        <x:v>2.2775</x:v>
      </x:c>
      <x:c r="N360" s="118" t="str">
        <x:f t="shared" si="2"/>
        <x:v>#N/A</x:v>
      </x:c>
      <x:c r="Q360" s="9"/>
      <x:c r="R360" s="9"/>
      <x:c r="S360" s="9"/>
      <x:c r="T360" s="9"/>
    </x:row>
    <x:row r="361" ht="14.25" customHeight="1">
      <x:c r="A361" s="1">
        <x:v>358.0</x:v>
      </x:c>
      <x:c r="B361" s="1">
        <x:v>11.0</x:v>
      </x:c>
      <x:c r="C361" s="1" t="s">
        <x:v>855</x:v>
      </x:c>
      <x:c r="D361" s="1" t="s">
        <x:v>495</x:v>
      </x:c>
      <x:c r="E361" s="1" t="s">
        <x:v>1185</x:v>
      </x:c>
      <x:c r="F361" s="1">
        <x:v>7.0</x:v>
      </x:c>
      <x:c r="G361" s="1" t="s">
        <x:v>1067</x:v>
      </x:c>
      <x:c r="H361" s="1" t="s">
        <x:v>1067</x:v>
      </x:c>
      <x:c r="I361" s="1" t="s">
        <x:v>1060</x:v>
      </x:c>
      <x:c r="J361" s="1" t="s">
        <x:v>1067</x:v>
      </x:c>
      <x:c r="K361" s="1">
        <x:v>360.0</x:v>
      </x:c>
      <x:c r="L361" s="1" t="str">
        <x:f t="shared" si="1"/>
        <x:v>Treylon Burks</x:v>
      </x:c>
      <x:c r="M361" s="127" t="n">
        <x:f>IFERROR(VLOOKUP(E361,RISK!A:B,2,FALSE()),"")</x:f>
        <x:v>3.7</x:v>
      </x:c>
      <x:c r="N361" s="118" t="str">
        <x:f t="shared" si="2"/>
        <x:v>#N/A</x:v>
      </x:c>
      <x:c r="Q361" s="9"/>
      <x:c r="R361" s="9"/>
      <x:c r="S361" s="9"/>
      <x:c r="T361" s="9"/>
    </x:row>
    <x:row r="362" ht="14.25" customHeight="1">
      <x:c r="A362" s="1">
        <x:v>359.0</x:v>
      </x:c>
      <x:c r="B362" s="1">
        <x:v>11.0</x:v>
      </x:c>
      <x:c r="C362" s="1" t="s">
        <x:v>555</x:v>
      </x:c>
      <x:c r="D362" s="1" t="s">
        <x:v>517</x:v>
      </x:c>
      <x:c r="E362" s="1" t="s">
        <x:v>285</x:v>
      </x:c>
      <x:c r="F362" s="1">
        <x:v>11.0</x:v>
      </x:c>
      <x:c r="G362" s="1" t="s">
        <x:v>1067</x:v>
      </x:c>
      <x:c r="H362" s="1" t="s">
        <x:v>1067</x:v>
      </x:c>
      <x:c r="I362" s="1" t="s">
        <x:v>1064</x:v>
      </x:c>
      <x:c r="J362" s="1">
        <x:v>-68.0</x:v>
      </x:c>
      <x:c r="K362" s="1">
        <x:v>361.0</x:v>
      </x:c>
      <x:c r="L362" s="1" t="str">
        <x:f t="shared" si="1"/>
        <x:v>Ty Simpson</x:v>
      </x:c>
      <x:c r="M362" s="127" t="n">
        <x:f>IFERROR(VLOOKUP(E362,RISK!A:B,2,FALSE()),"")</x:f>
        <x:v>3.2</x:v>
      </x:c>
      <x:c r="N362" s="118">
        <x:f t="shared" si="2"/>
        <x:v>9.372611765</x:v>
      </x:c>
      <x:c r="Q362" s="9"/>
      <x:c r="R362" s="9"/>
      <x:c r="S362" s="9"/>
      <x:c r="T362" s="9"/>
    </x:row>
    <x:row r="363" ht="14.25" customHeight="1">
      <x:c r="A363" s="1">
        <x:v>360.0</x:v>
      </x:c>
      <x:c r="B363" s="1">
        <x:v>11.0</x:v>
      </x:c>
      <x:c r="C363" s="1" t="s">
        <x:v>1186</x:v>
      </x:c>
      <x:c r="D363" s="1" t="s">
        <x:v>497</x:v>
      </x:c>
      <x:c r="E363" s="1" t="s">
        <x:v>1187</x:v>
      </x:c>
      <x:c r="F363" s="1">
        <x:v>10.0</x:v>
      </x:c>
      <x:c r="G363" s="1" t="s">
        <x:v>1067</x:v>
      </x:c>
      <x:c r="H363" s="1" t="s">
        <x:v>1067</x:v>
      </x:c>
      <x:c r="I363" s="1" t="s">
        <x:v>1059</x:v>
      </x:c>
      <x:c r="J363" s="1">
        <x:v>-122.0</x:v>
      </x:c>
      <x:c r="K363" s="1">
        <x:v>362.0</x:v>
      </x:c>
      <x:c r="L363" s="1" t="str">
        <x:f t="shared" si="1"/>
        <x:v>Jake Elliott</x:v>
      </x:c>
      <x:c r="M363" s="127" t="str">
        <x:f>IFERROR(VLOOKUP(E363,RISK!A:B,2,FALSE()),"")</x:f>
      </x:c>
      <x:c r="N363" s="118" t="str">
        <x:f t="shared" si="2"/>
        <x:v>#N/A</x:v>
      </x:c>
      <x:c r="Q363" s="9"/>
      <x:c r="R363" s="9"/>
      <x:c r="S363" s="9"/>
      <x:c r="T363" s="9"/>
    </x:row>
    <x:row r="364" ht="14.25" customHeight="1">
      <x:c r="A364" s="1">
        <x:v>361.0</x:v>
      </x:c>
      <x:c r="B364" s="1">
        <x:v>11.0</x:v>
      </x:c>
      <x:c r="C364" s="1" t="s">
        <x:v>1188</x:v>
      </x:c>
      <x:c r="D364" s="1" t="s">
        <x:v>545</x:v>
      </x:c>
      <x:c r="E364" s="1" t="s">
        <x:v>1189</x:v>
      </x:c>
      <x:c r="F364" s="1">
        <x:v>9.0</x:v>
      </x:c>
      <x:c r="G364" s="1" t="s">
        <x:v>1067</x:v>
      </x:c>
      <x:c r="H364" s="1" t="s">
        <x:v>1067</x:v>
      </x:c>
      <x:c r="I364" s="1" t="s">
        <x:v>1060</x:v>
      </x:c>
      <x:c r="J364" s="1" t="s">
        <x:v>1067</x:v>
      </x:c>
      <x:c r="K364" s="1">
        <x:v>363.0</x:v>
      </x:c>
      <x:c r="L364" s="1" t="str">
        <x:f t="shared" si="1"/>
        <x:v>Eli Heidenreich</x:v>
      </x:c>
      <x:c r="M364" s="127" t="n">
        <x:f>IFERROR(VLOOKUP(E364,RISK!A:B,2,FALSE()),"")</x:f>
        <x:v>3.368</x:v>
      </x:c>
      <x:c r="N364" s="118" t="str">
        <x:f t="shared" si="2"/>
        <x:v>#N/A</x:v>
      </x:c>
      <x:c r="Q364" s="9"/>
      <x:c r="R364" s="9"/>
      <x:c r="S364" s="9"/>
      <x:c r="T364" s="9"/>
    </x:row>
    <x:row r="365" ht="14.25" customHeight="1">
      <x:c r="A365" s="1">
        <x:v>362.0</x:v>
      </x:c>
      <x:c r="B365" s="1">
        <x:v>11.0</x:v>
      </x:c>
      <x:c r="C365" s="1" t="s">
        <x:v>1190</x:v>
      </x:c>
      <x:c r="D365" s="1" t="s">
        <x:v>541</x:v>
      </x:c>
      <x:c r="E365" s="1" t="s">
        <x:v>1191</x:v>
      </x:c>
      <x:c r="F365" s="1">
        <x:v>9.0</x:v>
      </x:c>
      <x:c r="G365" s="1" t="s">
        <x:v>1067</x:v>
      </x:c>
      <x:c r="H365" s="1" t="s">
        <x:v>1067</x:v>
      </x:c>
      <x:c r="I365" s="1" t="s">
        <x:v>1064</x:v>
      </x:c>
      <x:c r="J365" s="1" t="s">
        <x:v>1067</x:v>
      </x:c>
      <x:c r="K365" s="1">
        <x:v>364.0</x:v>
      </x:c>
      <x:c r="L365" s="1" t="str">
        <x:f t="shared" si="1"/>
        <x:v>Michael Carter</x:v>
      </x:c>
      <x:c r="M365" s="127" t="n">
        <x:f>IFERROR(VLOOKUP(E365,RISK!A:B,2,FALSE()),"")</x:f>
        <x:v>3.368</x:v>
      </x:c>
      <x:c r="N365" s="118" t="str">
        <x:f t="shared" si="2"/>
        <x:v>#N/A</x:v>
      </x:c>
      <x:c r="Q365" s="9"/>
      <x:c r="R365" s="9"/>
      <x:c r="S365" s="9"/>
      <x:c r="T365" s="9"/>
    </x:row>
    <x:row r="366" ht="14.25" customHeight="1">
      <x:c r="A366" s="1">
        <x:v>363.0</x:v>
      </x:c>
      <x:c r="B366" s="1">
        <x:v>11.0</x:v>
      </x:c>
      <x:c r="C366" s="1" t="s">
        <x:v>676</x:v>
      </x:c>
      <x:c r="D366" s="1" t="s">
        <x:v>535</x:v>
      </x:c>
      <x:c r="E366" s="1" t="s">
        <x:v>1192</x:v>
      </x:c>
      <x:c r="F366" s="1">
        <x:v>8.0</x:v>
      </x:c>
      <x:c r="G366" s="1" t="s">
        <x:v>1067</x:v>
      </x:c>
      <x:c r="H366" s="1" t="s">
        <x:v>1067</x:v>
      </x:c>
      <x:c r="I366" s="1" t="s">
        <x:v>1061</x:v>
      </x:c>
      <x:c r="J366" s="1" t="s">
        <x:v>1067</x:v>
      </x:c>
      <x:c r="K366" s="1">
        <x:v>365.0</x:v>
      </x:c>
      <x:c r="L366" s="1" t="str">
        <x:f t="shared" si="1"/>
        <x:v>Jawhar Jordan</x:v>
      </x:c>
      <x:c r="M366" s="127" t="n">
        <x:f>IFERROR(VLOOKUP(E366,RISK!A:B,2,FALSE()),"")</x:f>
        <x:v>3.368</x:v>
      </x:c>
      <x:c r="N366" s="118" t="str">
        <x:f t="shared" si="2"/>
        <x:v>#N/A</x:v>
      </x:c>
      <x:c r="Q366" s="9"/>
      <x:c r="R366" s="9"/>
      <x:c r="S366" s="9"/>
      <x:c r="T366" s="9"/>
    </x:row>
    <x:row r="367" ht="14.25" customHeight="1">
      <x:c r="A367" s="1">
        <x:v>364.0</x:v>
      </x:c>
      <x:c r="B367" s="1">
        <x:v>11.0</x:v>
      </x:c>
      <x:c r="C367" s="1" t="s">
        <x:v>1018</x:v>
      </x:c>
      <x:c r="D367" s="1" t="s">
        <x:v>515</x:v>
      </x:c>
      <x:c r="E367" s="1" t="s">
        <x:v>332</x:v>
      </x:c>
      <x:c r="F367" s="1">
        <x:v>10.0</x:v>
      </x:c>
      <x:c r="G367" s="1" t="s">
        <x:v>1067</x:v>
      </x:c>
      <x:c r="H367" s="1" t="s">
        <x:v>1067</x:v>
      </x:c>
      <x:c r="I367" s="1" t="s">
        <x:v>1061</x:v>
      </x:c>
      <x:c r="J367" s="1" t="s">
        <x:v>1067</x:v>
      </x:c>
      <x:c r="K367" s="1">
        <x:v>366.0</x:v>
      </x:c>
      <x:c r="L367" s="1" t="str">
        <x:f t="shared" si="1"/>
        <x:v>Justin Joly</x:v>
      </x:c>
      <x:c r="M367" s="127" t="n">
        <x:f>IFERROR(VLOOKUP(E367,RISK!A:B,2,FALSE()),"")</x:f>
        <x:v>2.2775</x:v>
      </x:c>
      <x:c r="N367" s="118" t="str">
        <x:f t="shared" si="2"/>
        <x:v>#N/A</x:v>
      </x:c>
      <x:c r="Q367" s="9"/>
      <x:c r="R367" s="9"/>
      <x:c r="S367" s="9"/>
      <x:c r="T367" s="9"/>
    </x:row>
    <x:row r="368" ht="14.25" customHeight="1">
      <x:c r="A368" s="1">
        <x:v>365.0</x:v>
      </x:c>
      <x:c r="B368" s="1">
        <x:v>11.0</x:v>
      </x:c>
      <x:c r="C368" s="1" t="s">
        <x:v>1193</x:v>
      </x:c>
      <x:c r="D368" s="1" t="s">
        <x:v>537</x:v>
      </x:c>
      <x:c r="E368" s="1" t="s">
        <x:v>1194</x:v>
      </x:c>
      <x:c r="F368" s="1">
        <x:v>5.0</x:v>
      </x:c>
      <x:c r="G368" s="1" t="s">
        <x:v>1067</x:v>
      </x:c>
      <x:c r="H368" s="1" t="s">
        <x:v>1067</x:v>
      </x:c>
      <x:c r="I368" s="1" t="s">
        <x:v>1064</x:v>
      </x:c>
      <x:c r="J368" s="1" t="s">
        <x:v>1067</x:v>
      </x:c>
      <x:c r="K368" s="1">
        <x:v>367.0</x:v>
      </x:c>
      <x:c r="L368" s="1" t="str">
        <x:f t="shared" si="1"/>
        <x:v>Carolina Panthers</x:v>
      </x:c>
      <x:c r="M368" s="127" t="str">
        <x:f>IFERROR(VLOOKUP(E368,RISK!A:B,2,FALSE()),"")</x:f>
      </x:c>
      <x:c r="N368" s="118" t="str">
        <x:f t="shared" si="2"/>
        <x:v>#N/A</x:v>
      </x:c>
      <x:c r="Q368" s="9"/>
      <x:c r="R368" s="9"/>
      <x:c r="S368" s="9"/>
      <x:c r="T368" s="9"/>
    </x:row>
    <x:row r="369" ht="14.25" customHeight="1">
      <x:c r="A369" s="1">
        <x:v>366.0</x:v>
      </x:c>
      <x:c r="B369" s="1">
        <x:v>11.0</x:v>
      </x:c>
      <x:c r="C369" s="1" t="s">
        <x:v>1195</x:v>
      </x:c>
      <x:c r="D369" s="1" t="s">
        <x:v>487</x:v>
      </x:c>
      <x:c r="E369" s="1" t="s">
        <x:v>1196</x:v>
      </x:c>
      <x:c r="F369" s="1">
        <x:v>7.0</x:v>
      </x:c>
      <x:c r="G369" s="1" t="s">
        <x:v>1067</x:v>
      </x:c>
      <x:c r="H369" s="1" t="s">
        <x:v>1067</x:v>
      </x:c>
      <x:c r="I369" s="1" t="s">
        <x:v>1060</x:v>
      </x:c>
      <x:c r="J369" s="1">
        <x:v>-114.0</x:v>
      </x:c>
      <x:c r="K369" s="1">
        <x:v>368.0</x:v>
      </x:c>
      <x:c r="L369" s="1" t="str">
        <x:f t="shared" si="1"/>
        <x:v>Tyler Bass</x:v>
      </x:c>
      <x:c r="M369" s="127" t="str">
        <x:f>IFERROR(VLOOKUP(E369,RISK!A:B,2,FALSE()),"")</x:f>
      </x:c>
      <x:c r="N369" s="118" t="str">
        <x:f t="shared" si="2"/>
        <x:v>#N/A</x:v>
      </x:c>
      <x:c r="Q369" s="9"/>
      <x:c r="R369" s="9"/>
      <x:c r="S369" s="9"/>
      <x:c r="T369" s="9"/>
    </x:row>
    <x:row r="370" ht="14.25" customHeight="1">
      <x:c r="A370" s="1">
        <x:v>367.0</x:v>
      </x:c>
      <x:c r="B370" s="1">
        <x:v>11.0</x:v>
      </x:c>
      <x:c r="C370" s="1" t="s">
        <x:v>575</x:v>
      </x:c>
      <x:c r="D370" s="1" t="s">
        <x:v>527</x:v>
      </x:c>
      <x:c r="E370" s="1" t="s">
        <x:v>289</x:v>
      </x:c>
      <x:c r="F370" s="1">
        <x:v>13.0</x:v>
      </x:c>
      <x:c r="G370" s="1" t="s">
        <x:v>1067</x:v>
      </x:c>
      <x:c r="H370" s="1" t="s">
        <x:v>1067</x:v>
      </x:c>
      <x:c r="I370" s="1" t="s">
        <x:v>1061</x:v>
      </x:c>
      <x:c r="J370" s="1" t="s">
        <x:v>1067</x:v>
      </x:c>
      <x:c r="K370" s="1">
        <x:v>369.0</x:v>
      </x:c>
      <x:c r="L370" s="1" t="str">
        <x:f t="shared" si="1"/>
        <x:v>Anthony Richardson Sr.</x:v>
      </x:c>
      <x:c r="M370" s="127" t="n">
        <x:f>IFERROR(VLOOKUP(E370,RISK!A:B,2,FALSE()),"")</x:f>
        <x:v>3.2</x:v>
      </x:c>
      <x:c r="N370" s="118">
        <x:f t="shared" si="2"/>
        <x:v>9.307858824</x:v>
      </x:c>
      <x:c r="Q370" s="9"/>
      <x:c r="R370" s="9"/>
      <x:c r="S370" s="9"/>
      <x:c r="T370" s="9"/>
    </x:row>
    <x:row r="371" ht="14.25" customHeight="1">
      <x:c r="A371" s="1">
        <x:v>368.0</x:v>
      </x:c>
      <x:c r="B371" s="1">
        <x:v>11.0</x:v>
      </x:c>
      <x:c r="C371" s="1" t="s">
        <x:v>843</x:v>
      </x:c>
      <x:c r="D371" s="1" t="s">
        <x:v>531</x:v>
      </x:c>
      <x:c r="E371" s="1" t="s">
        <x:v>1197</x:v>
      </x:c>
      <x:c r="F371" s="1">
        <x:v>11.0</x:v>
      </x:c>
      <x:c r="G371" s="1" t="s">
        <x:v>1067</x:v>
      </x:c>
      <x:c r="H371" s="1" t="s">
        <x:v>1067</x:v>
      </x:c>
      <x:c r="I371" s="1" t="s">
        <x:v>1059</x:v>
      </x:c>
      <x:c r="J371" s="1" t="s">
        <x:v>1067</x:v>
      </x:c>
      <x:c r="K371" s="1">
        <x:v>370.0</x:v>
      </x:c>
      <x:c r="L371" s="1" t="str">
        <x:f t="shared" si="1"/>
        <x:v>Savion Williams</x:v>
      </x:c>
      <x:c r="M371" s="127" t="n">
        <x:f>IFERROR(VLOOKUP(E371,RISK!A:B,2,FALSE()),"")</x:f>
        <x:v>3.7</x:v>
      </x:c>
      <x:c r="N371" s="118" t="str">
        <x:f t="shared" si="2"/>
        <x:v>#N/A</x:v>
      </x:c>
      <x:c r="Q371" s="9"/>
      <x:c r="R371" s="9"/>
      <x:c r="S371" s="9"/>
      <x:c r="T371" s="9"/>
    </x:row>
    <x:row r="372" ht="14.25" customHeight="1">
      <x:c r="A372" s="1">
        <x:v>369.0</x:v>
      </x:c>
      <x:c r="B372" s="1">
        <x:v>11.0</x:v>
      </x:c>
      <x:c r="C372" s="1" t="s">
        <x:v>854</x:v>
      </x:c>
      <x:c r="D372" s="1" t="s">
        <x:v>511</x:v>
      </x:c>
      <x:c r="E372" s="1" t="s">
        <x:v>1198</x:v>
      </x:c>
      <x:c r="F372" s="1">
        <x:v>10.0</x:v>
      </x:c>
      <x:c r="G372" s="1" t="s">
        <x:v>1067</x:v>
      </x:c>
      <x:c r="H372" s="1" t="s">
        <x:v>1067</x:v>
      </x:c>
      <x:c r="I372" s="1" t="s">
        <x:v>1064</x:v>
      </x:c>
      <x:c r="J372" s="1" t="s">
        <x:v>1067</x:v>
      </x:c>
      <x:c r="K372" s="1">
        <x:v>371.0</x:v>
      </x:c>
      <x:c r="L372" s="1" t="str">
        <x:f t="shared" si="1"/>
        <x:v>Kalif Raymond</x:v>
      </x:c>
      <x:c r="M372" s="127" t="n">
        <x:f>IFERROR(VLOOKUP(E372,RISK!A:B,2,FALSE()),"")</x:f>
        <x:v>3.7</x:v>
      </x:c>
      <x:c r="N372" s="118" t="str">
        <x:f t="shared" si="2"/>
        <x:v>#N/A</x:v>
      </x:c>
      <x:c r="Q372" s="9"/>
      <x:c r="R372" s="9"/>
      <x:c r="S372" s="9"/>
      <x:c r="T372" s="9"/>
    </x:row>
    <x:row r="373" ht="14.25" customHeight="1">
      <x:c r="A373" s="1">
        <x:v>370.0</x:v>
      </x:c>
      <x:c r="B373" s="1">
        <x:v>11.0</x:v>
      </x:c>
      <x:c r="C373" s="1" t="s">
        <x:v>827</x:v>
      </x:c>
      <x:c r="D373" s="1" t="s">
        <x:v>547</x:v>
      </x:c>
      <x:c r="E373" s="1" t="s">
        <x:v>1199</x:v>
      </x:c>
      <x:c r="F373" s="1">
        <x:v>13.0</x:v>
      </x:c>
      <x:c r="G373" s="1" t="s">
        <x:v>1067</x:v>
      </x:c>
      <x:c r="H373" s="1" t="s">
        <x:v>1067</x:v>
      </x:c>
      <x:c r="I373" s="1" t="s">
        <x:v>1060</x:v>
      </x:c>
      <x:c r="J373" s="1">
        <x:v>-71.0</x:v>
      </x:c>
      <x:c r="K373" s="1">
        <x:v>372.0</x:v>
      </x:c>
      <x:c r="L373" s="1" t="str">
        <x:f t="shared" si="1"/>
        <x:v>Malik Benson</x:v>
      </x:c>
      <x:c r="M373" s="127" t="n">
        <x:f>IFERROR(VLOOKUP(E373,RISK!A:B,2,FALSE()),"")</x:f>
        <x:v>3.7</x:v>
      </x:c>
      <x:c r="N373" s="118" t="str">
        <x:f t="shared" si="2"/>
        <x:v>#N/A</x:v>
      </x:c>
      <x:c r="Q373" s="9"/>
      <x:c r="R373" s="9"/>
      <x:c r="S373" s="9"/>
      <x:c r="T373" s="9"/>
    </x:row>
    <x:row r="374" ht="14.25" customHeight="1">
      <x:c r="A374" s="1">
        <x:v>371.0</x:v>
      </x:c>
      <x:c r="B374" s="1">
        <x:v>11.0</x:v>
      </x:c>
      <x:c r="C374" s="1" t="s">
        <x:v>882</x:v>
      </x:c>
      <x:c r="D374" s="1" t="s">
        <x:v>547</x:v>
      </x:c>
      <x:c r="E374" s="1" t="s">
        <x:v>1200</x:v>
      </x:c>
      <x:c r="F374" s="1">
        <x:v>13.0</x:v>
      </x:c>
      <x:c r="G374" s="1" t="s">
        <x:v>1067</x:v>
      </x:c>
      <x:c r="H374" s="1" t="s">
        <x:v>1067</x:v>
      </x:c>
      <x:c r="I374" s="1" t="s">
        <x:v>1060</x:v>
      </x:c>
      <x:c r="J374" s="1" t="s">
        <x:v>1067</x:v>
      </x:c>
      <x:c r="K374" s="1">
        <x:v>373.0</x:v>
      </x:c>
      <x:c r="L374" s="1" t="str">
        <x:f t="shared" si="1"/>
        <x:v>Dont'e Thornton Jr.</x:v>
      </x:c>
      <x:c r="M374" s="127" t="n">
        <x:f>IFERROR(VLOOKUP(E374,RISK!A:B,2,FALSE()),"")</x:f>
        <x:v>3.7</x:v>
      </x:c>
      <x:c r="N374" s="118" t="str">
        <x:f t="shared" si="2"/>
        <x:v>#N/A</x:v>
      </x:c>
      <x:c r="Q374" s="9"/>
      <x:c r="R374" s="9"/>
      <x:c r="S374" s="9"/>
      <x:c r="T374" s="9"/>
    </x:row>
    <x:row r="375" ht="14.25" customHeight="1">
      <x:c r="A375" s="1">
        <x:v>372.0</x:v>
      </x:c>
      <x:c r="B375" s="1">
        <x:v>11.0</x:v>
      </x:c>
      <x:c r="C375" s="1" t="s">
        <x:v>864</x:v>
      </x:c>
      <x:c r="D375" s="1" t="s">
        <x:v>529</x:v>
      </x:c>
      <x:c r="E375" s="1" t="s">
        <x:v>1201</x:v>
      </x:c>
      <x:c r="F375" s="1">
        <x:v>6.0</x:v>
      </x:c>
      <x:c r="G375" s="1" t="s">
        <x:v>1067</x:v>
      </x:c>
      <x:c r="H375" s="1" t="s">
        <x:v>1067</x:v>
      </x:c>
      <x:c r="I375" s="1" t="s">
        <x:v>1064</x:v>
      </x:c>
      <x:c r="J375" s="1" t="s">
        <x:v>1067</x:v>
      </x:c>
      <x:c r="K375" s="1">
        <x:v>374.0</x:v>
      </x:c>
      <x:c r="L375" s="1" t="str">
        <x:f t="shared" si="1"/>
        <x:v>Kevin Coleman Jr.</x:v>
      </x:c>
      <x:c r="M375" s="127" t="n">
        <x:f>IFERROR(VLOOKUP(E375,RISK!A:B,2,FALSE()),"")</x:f>
        <x:v>3.7</x:v>
      </x:c>
      <x:c r="N375" s="118" t="str">
        <x:f t="shared" si="2"/>
        <x:v>#N/A</x:v>
      </x:c>
      <x:c r="Q375" s="9"/>
      <x:c r="R375" s="9"/>
      <x:c r="S375" s="9"/>
      <x:c r="T375" s="9"/>
    </x:row>
    <x:row r="376" ht="14.25" customHeight="1">
      <x:c r="A376" s="1">
        <x:v>373.0</x:v>
      </x:c>
      <x:c r="B376" s="1">
        <x:v>11.0</x:v>
      </x:c>
      <x:c r="C376" s="1" t="s">
        <x:v>869</x:v>
      </x:c>
      <x:c r="D376" s="1" t="s">
        <x:v>545</x:v>
      </x:c>
      <x:c r="E376" s="1" t="s">
        <x:v>1202</x:v>
      </x:c>
      <x:c r="F376" s="1">
        <x:v>9.0</x:v>
      </x:c>
      <x:c r="G376" s="1" t="s">
        <x:v>1067</x:v>
      </x:c>
      <x:c r="H376" s="1" t="s">
        <x:v>1067</x:v>
      </x:c>
      <x:c r="I376" s="1" t="s">
        <x:v>1064</x:v>
      </x:c>
      <x:c r="J376" s="1" t="s">
        <x:v>1067</x:v>
      </x:c>
      <x:c r="K376" s="1">
        <x:v>375.0</x:v>
      </x:c>
      <x:c r="L376" s="1" t="str">
        <x:f t="shared" si="1"/>
        <x:v>Roman Wilson</x:v>
      </x:c>
      <x:c r="M376" s="127" t="n">
        <x:f>IFERROR(VLOOKUP(E376,RISK!A:B,2,FALSE()),"")</x:f>
        <x:v>3.7</x:v>
      </x:c>
      <x:c r="N376" s="118" t="str">
        <x:f t="shared" si="2"/>
        <x:v>#N/A</x:v>
      </x:c>
      <x:c r="Q376" s="9"/>
      <x:c r="R376" s="9"/>
      <x:c r="S376" s="9"/>
      <x:c r="T376" s="9"/>
    </x:row>
    <x:row r="377" ht="14.25" customHeight="1">
      <x:c r="A377" s="1">
        <x:v>374.0</x:v>
      </x:c>
      <x:c r="B377" s="1">
        <x:v>11.0</x:v>
      </x:c>
      <x:c r="C377" s="1" t="s">
        <x:v>1203</x:v>
      </x:c>
      <x:c r="D377" s="1" t="s">
        <x:v>501</x:v>
      </x:c>
      <x:c r="E377" s="1" t="s">
        <x:v>1204</x:v>
      </x:c>
      <x:c r="F377" s="1">
        <x:v>8.0</x:v>
      </x:c>
      <x:c r="G377" s="1" t="s">
        <x:v>1067</x:v>
      </x:c>
      <x:c r="H377" s="1" t="s">
        <x:v>1067</x:v>
      </x:c>
      <x:c r="I377" s="1" t="s">
        <x:v>1063</x:v>
      </x:c>
      <x:c r="J377" s="1">
        <x:v>-138.0</x:v>
      </x:c>
      <x:c r="K377" s="1">
        <x:v>376.0</x:v>
      </x:c>
      <x:c r="L377" s="1" t="str">
        <x:f t="shared" si="1"/>
        <x:v>New York Giants</x:v>
      </x:c>
      <x:c r="M377" s="127" t="str">
        <x:f>IFERROR(VLOOKUP(E377,RISK!A:B,2,FALSE()),"")</x:f>
      </x:c>
      <x:c r="N377" s="118" t="str">
        <x:f t="shared" si="2"/>
        <x:v>#N/A</x:v>
      </x:c>
      <x:c r="Q377" s="9"/>
      <x:c r="R377" s="9"/>
      <x:c r="S377" s="9"/>
      <x:c r="T377" s="9"/>
    </x:row>
    <x:row r="378" ht="14.25" customHeight="1">
      <x:c r="A378" s="1">
        <x:v>375.0</x:v>
      </x:c>
      <x:c r="B378" s="1">
        <x:v>11.0</x:v>
      </x:c>
      <x:c r="C378" s="1" t="s">
        <x:v>841</x:v>
      </x:c>
      <x:c r="D378" s="1" t="s">
        <x:v>507</x:v>
      </x:c>
      <x:c r="E378" s="1" t="s">
        <x:v>1205</x:v>
      </x:c>
      <x:c r="F378" s="1">
        <x:v>14.0</x:v>
      </x:c>
      <x:c r="G378" s="1" t="s">
        <x:v>1067</x:v>
      </x:c>
      <x:c r="H378" s="1" t="s">
        <x:v>1067</x:v>
      </x:c>
      <x:c r="I378" s="1" t="s">
        <x:v>1060</x:v>
      </x:c>
      <x:c r="J378" s="1" t="s">
        <x:v>1067</x:v>
      </x:c>
      <x:c r="K378" s="1">
        <x:v>377.0</x:v>
      </x:c>
      <x:c r="L378" s="1" t="str">
        <x:f t="shared" si="1"/>
        <x:v>KaVontae Turpin</x:v>
      </x:c>
      <x:c r="M378" s="127" t="n">
        <x:f>IFERROR(VLOOKUP(E378,RISK!A:B,2,FALSE()),"")</x:f>
        <x:v>3.7</x:v>
      </x:c>
      <x:c r="N378" s="118" t="str">
        <x:f t="shared" si="2"/>
        <x:v>#N/A</x:v>
      </x:c>
      <x:c r="Q378" s="9"/>
      <x:c r="R378" s="9"/>
      <x:c r="S378" s="9"/>
      <x:c r="T378" s="9"/>
    </x:row>
    <x:row r="379" ht="14.25" customHeight="1">
      <x:c r="A379" s="1">
        <x:v>376.0</x:v>
      </x:c>
      <x:c r="B379" s="1">
        <x:v>11.0</x:v>
      </x:c>
      <x:c r="C379" s="1" t="s">
        <x:v>1206</x:v>
      </x:c>
      <x:c r="D379" s="1" t="s">
        <x:v>537</x:v>
      </x:c>
      <x:c r="E379" s="1" t="s">
        <x:v>1207</x:v>
      </x:c>
      <x:c r="F379" s="1">
        <x:v>5.0</x:v>
      </x:c>
      <x:c r="G379" s="1" t="s">
        <x:v>1067</x:v>
      </x:c>
      <x:c r="H379" s="1" t="s">
        <x:v>1067</x:v>
      </x:c>
      <x:c r="I379" s="1" t="s">
        <x:v>1060</x:v>
      </x:c>
      <x:c r="J379" s="1" t="s">
        <x:v>1067</x:v>
      </x:c>
      <x:c r="K379" s="1">
        <x:v>378.0</x:v>
      </x:c>
      <x:c r="L379" s="1" t="str">
        <x:f t="shared" si="1"/>
        <x:v>John Metchie III</x:v>
      </x:c>
      <x:c r="M379" s="127" t="n">
        <x:f>IFERROR(VLOOKUP(E379,RISK!A:B,2,FALSE()),"")</x:f>
        <x:v>3.7</x:v>
      </x:c>
      <x:c r="N379" s="118" t="str">
        <x:f t="shared" si="2"/>
        <x:v>#N/A</x:v>
      </x:c>
      <x:c r="Q379" s="9"/>
      <x:c r="R379" s="9"/>
      <x:c r="S379" s="9"/>
      <x:c r="T379" s="9"/>
    </x:row>
    <x:row r="380" ht="14.25" customHeight="1">
      <x:c r="A380" s="1">
        <x:v>377.0</x:v>
      </x:c>
      <x:c r="B380" s="1">
        <x:v>11.0</x:v>
      </x:c>
      <x:c r="C380" s="1" t="s">
        <x:v>688</x:v>
      </x:c>
      <x:c r="D380" s="1" t="s">
        <x:v>511</x:v>
      </x:c>
      <x:c r="E380" s="1" t="s">
        <x:v>1208</x:v>
      </x:c>
      <x:c r="F380" s="1">
        <x:v>10.0</x:v>
      </x:c>
      <x:c r="G380" s="1" t="s">
        <x:v>1067</x:v>
      </x:c>
      <x:c r="H380" s="1" t="s">
        <x:v>1067</x:v>
      </x:c>
      <x:c r="I380" s="1" t="s">
        <x:v>1060</x:v>
      </x:c>
      <x:c r="J380" s="1" t="s">
        <x:v>1067</x:v>
      </x:c>
      <x:c r="K380" s="1">
        <x:v>379.0</x:v>
      </x:c>
      <x:c r="L380" s="1" t="str">
        <x:f t="shared" si="1"/>
        <x:v>Roschon Johnson</x:v>
      </x:c>
      <x:c r="M380" s="127" t="n">
        <x:f>IFERROR(VLOOKUP(E380,RISK!A:B,2,FALSE()),"")</x:f>
        <x:v>3.368</x:v>
      </x:c>
      <x:c r="N380" s="118" t="str">
        <x:f t="shared" si="2"/>
        <x:v>#N/A</x:v>
      </x:c>
      <x:c r="Q380" s="9"/>
      <x:c r="R380" s="9"/>
      <x:c r="S380" s="9"/>
      <x:c r="T380" s="9"/>
    </x:row>
    <x:row r="381" ht="14.25" customHeight="1">
      <x:c r="A381" s="1">
        <x:v>378.0</x:v>
      </x:c>
      <x:c r="B381" s="1">
        <x:v>11.0</x:v>
      </x:c>
      <x:c r="C381" s="1" t="s">
        <x:v>1209</x:v>
      </x:c>
      <x:c r="D381" s="1" t="s">
        <x:v>549</x:v>
      </x:c>
      <x:c r="E381" s="1" t="s">
        <x:v>1210</x:v>
      </x:c>
      <x:c r="F381" s="1">
        <x:v>11.0</x:v>
      </x:c>
      <x:c r="G381" s="1" t="s">
        <x:v>1067</x:v>
      </x:c>
      <x:c r="H381" s="1" t="s">
        <x:v>1067</x:v>
      </x:c>
      <x:c r="I381" s="1" t="s">
        <x:v>1064</x:v>
      </x:c>
      <x:c r="J381" s="1" t="s">
        <x:v>1067</x:v>
      </x:c>
      <x:c r="K381" s="1">
        <x:v>380.0</x:v>
      </x:c>
      <x:c r="L381" s="1" t="str">
        <x:f t="shared" si="1"/>
        <x:v>Raheim Sanders</x:v>
      </x:c>
      <x:c r="M381" s="127" t="n">
        <x:f>IFERROR(VLOOKUP(E381,RISK!A:B,2,FALSE()),"")</x:f>
        <x:v>3.368</x:v>
      </x:c>
      <x:c r="N381" s="118" t="str">
        <x:f t="shared" si="2"/>
        <x:v>#N/A</x:v>
      </x:c>
      <x:c r="Q381" s="9"/>
      <x:c r="R381" s="9"/>
      <x:c r="S381" s="9"/>
      <x:c r="T381" s="9"/>
    </x:row>
    <x:row r="382" ht="14.25" customHeight="1">
      <x:c r="A382" s="1">
        <x:v>379.0</x:v>
      </x:c>
      <x:c r="B382" s="1">
        <x:v>11.0</x:v>
      </x:c>
      <x:c r="C382" s="1" t="s">
        <x:v>576</x:v>
      </x:c>
      <x:c r="D382" s="1" t="s">
        <x:v>499</x:v>
      </x:c>
      <x:c r="E382" s="1" t="s">
        <x:v>293</x:v>
      </x:c>
      <x:c r="F382" s="1">
        <x:v>6.0</x:v>
      </x:c>
      <x:c r="G382" s="1" t="s">
        <x:v>1067</x:v>
      </x:c>
      <x:c r="H382" s="1" t="s">
        <x:v>1067</x:v>
      </x:c>
      <x:c r="I382" s="1" t="s">
        <x:v>1064</x:v>
      </x:c>
      <x:c r="J382" s="1">
        <x:v>-60.0</x:v>
      </x:c>
      <x:c r="K382" s="1">
        <x:v>381.0</x:v>
      </x:c>
      <x:c r="L382" s="1" t="str">
        <x:f t="shared" si="1"/>
        <x:v>Joe Flacco</x:v>
      </x:c>
      <x:c r="M382" s="127" t="n">
        <x:f>IFERROR(VLOOKUP(E382,RISK!A:B,2,FALSE()),"")</x:f>
        <x:v>3.2</x:v>
      </x:c>
      <x:c r="N382" s="118">
        <x:f t="shared" si="2"/>
        <x:v>8.717552941</x:v>
      </x:c>
      <x:c r="Q382" s="9"/>
      <x:c r="R382" s="9"/>
      <x:c r="S382" s="9"/>
      <x:c r="T382" s="9"/>
    </x:row>
    <x:row r="383" ht="14.25" customHeight="1">
      <x:c r="A383" s="1">
        <x:v>380.0</x:v>
      </x:c>
      <x:c r="B383" s="1">
        <x:v>11.0</x:v>
      </x:c>
      <x:c r="C383" s="1" t="s">
        <x:v>966</x:v>
      </x:c>
      <x:c r="D383" s="1" t="s">
        <x:v>521</x:v>
      </x:c>
      <x:c r="E383" s="1" t="s">
        <x:v>335</x:v>
      </x:c>
      <x:c r="F383" s="1">
        <x:v>8.0</x:v>
      </x:c>
      <x:c r="G383" s="1" t="s">
        <x:v>1067</x:v>
      </x:c>
      <x:c r="H383" s="1" t="s">
        <x:v>1067</x:v>
      </x:c>
      <x:c r="I383" s="1" t="s">
        <x:v>1060</x:v>
      </x:c>
      <x:c r="J383" s="1" t="s">
        <x:v>1067</x:v>
      </x:c>
      <x:c r="K383" s="1">
        <x:v>382.0</x:v>
      </x:c>
      <x:c r="L383" s="1" t="str">
        <x:f t="shared" si="1"/>
        <x:v>Noah Fant</x:v>
      </x:c>
      <x:c r="M383" s="127" t="n">
        <x:f>IFERROR(VLOOKUP(E383,RISK!A:B,2,FALSE()),"")</x:f>
        <x:v>2.2775</x:v>
      </x:c>
      <x:c r="N383" s="118" t="str">
        <x:f t="shared" si="2"/>
        <x:v>#N/A</x:v>
      </x:c>
      <x:c r="Q383" s="9"/>
      <x:c r="R383" s="9"/>
      <x:c r="S383" s="9"/>
      <x:c r="T383" s="9"/>
    </x:row>
    <x:row r="384" ht="14.25" customHeight="1">
      <x:c r="A384" s="1">
        <x:v>381.0</x:v>
      </x:c>
      <x:c r="B384" s="1">
        <x:v>11.0</x:v>
      </x:c>
      <x:c r="C384" s="1" t="s">
        <x:v>1211</x:v>
      </x:c>
      <x:c r="D384" s="1" t="s">
        <x:v>523</x:v>
      </x:c>
      <x:c r="E384" s="1" t="s">
        <x:v>1212</x:v>
      </x:c>
      <x:c r="F384" s="1">
        <x:v>10.0</x:v>
      </x:c>
      <x:c r="G384" s="1" t="s">
        <x:v>1067</x:v>
      </x:c>
      <x:c r="H384" s="1" t="s">
        <x:v>1067</x:v>
      </x:c>
      <x:c r="I384" s="1" t="s">
        <x:v>1061</x:v>
      </x:c>
      <x:c r="J384" s="1">
        <x:v>-93.0</x:v>
      </x:c>
      <x:c r="K384" s="1">
        <x:v>383.0</x:v>
      </x:c>
      <x:c r="L384" s="1" t="str">
        <x:f t="shared" si="1"/>
        <x:v>Tampa Bay Buccaneers</x:v>
      </x:c>
      <x:c r="M384" s="127" t="str">
        <x:f>IFERROR(VLOOKUP(E384,RISK!A:B,2,FALSE()),"")</x:f>
      </x:c>
      <x:c r="N384" s="118" t="str">
        <x:f t="shared" si="2"/>
        <x:v>#N/A</x:v>
      </x:c>
      <x:c r="Q384" s="9"/>
      <x:c r="R384" s="9"/>
      <x:c r="S384" s="9"/>
      <x:c r="T384" s="9"/>
    </x:row>
    <x:row r="385" ht="14.25" customHeight="1">
      <x:c r="A385" s="1">
        <x:v>382.0</x:v>
      </x:c>
      <x:c r="B385" s="1">
        <x:v>11.0</x:v>
      </x:c>
      <x:c r="C385" s="1" t="s">
        <x:v>691</x:v>
      </x:c>
      <x:c r="D385" s="1" t="s">
        <x:v>507</x:v>
      </x:c>
      <x:c r="E385" s="1" t="s">
        <x:v>1213</x:v>
      </x:c>
      <x:c r="F385" s="1">
        <x:v>14.0</x:v>
      </x:c>
      <x:c r="G385" s="1" t="s">
        <x:v>1067</x:v>
      </x:c>
      <x:c r="H385" s="1" t="s">
        <x:v>1067</x:v>
      </x:c>
      <x:c r="I385" s="1" t="s">
        <x:v>1061</x:v>
      </x:c>
      <x:c r="J385" s="1" t="s">
        <x:v>1067</x:v>
      </x:c>
      <x:c r="K385" s="1">
        <x:v>384.0</x:v>
      </x:c>
      <x:c r="L385" s="1" t="str">
        <x:f t="shared" si="1"/>
        <x:v>Phil Mafah</x:v>
      </x:c>
      <x:c r="M385" s="127" t="n">
        <x:f>IFERROR(VLOOKUP(E385,RISK!A:B,2,FALSE()),"")</x:f>
        <x:v>3.368</x:v>
      </x:c>
      <x:c r="N385" s="118" t="str">
        <x:f t="shared" si="2"/>
        <x:v>#N/A</x:v>
      </x:c>
      <x:c r="Q385" s="9"/>
      <x:c r="R385" s="9"/>
      <x:c r="S385" s="9"/>
      <x:c r="T385" s="9"/>
    </x:row>
    <x:row r="386" ht="14.25" customHeight="1">
      <x:c r="A386" s="1">
        <x:v>383.0</x:v>
      </x:c>
      <x:c r="B386" s="1">
        <x:v>11.0</x:v>
      </x:c>
      <x:c r="C386" s="1" t="s">
        <x:v>976</x:v>
      </x:c>
      <x:c r="D386" s="1" t="s">
        <x:v>537</x:v>
      </x:c>
      <x:c r="E386" s="1" t="s">
        <x:v>338</x:v>
      </x:c>
      <x:c r="F386" s="1">
        <x:v>5.0</x:v>
      </x:c>
      <x:c r="G386" s="1" t="s">
        <x:v>1067</x:v>
      </x:c>
      <x:c r="H386" s="1" t="s">
        <x:v>1067</x:v>
      </x:c>
      <x:c r="I386" s="1" t="s">
        <x:v>1060</x:v>
      </x:c>
      <x:c r="J386" s="1" t="s">
        <x:v>1067</x:v>
      </x:c>
      <x:c r="K386" s="1">
        <x:v>385.0</x:v>
      </x:c>
      <x:c r="L386" s="1" t="str">
        <x:f t="shared" si="1"/>
        <x:v>Tommy Tremble</x:v>
      </x:c>
      <x:c r="M386" s="127" t="n">
        <x:f>IFERROR(VLOOKUP(E386,RISK!A:B,2,FALSE()),"")</x:f>
        <x:v>2.2775</x:v>
      </x:c>
      <x:c r="N386" s="118" t="str">
        <x:f t="shared" si="2"/>
        <x:v>#N/A</x:v>
      </x:c>
      <x:c r="Q386" s="9"/>
      <x:c r="R386" s="9"/>
      <x:c r="S386" s="9"/>
      <x:c r="T386" s="9"/>
    </x:row>
    <x:row r="387" ht="14.25" customHeight="1">
      <x:c r="A387" s="1">
        <x:v>384.0</x:v>
      </x:c>
      <x:c r="B387" s="1">
        <x:v>11.0</x:v>
      </x:c>
      <x:c r="C387" s="1" t="s">
        <x:v>861</x:v>
      </x:c>
      <x:c r="D387" s="1" t="s">
        <x:v>511</x:v>
      </x:c>
      <x:c r="E387" s="1" t="s">
        <x:v>1214</x:v>
      </x:c>
      <x:c r="F387" s="1">
        <x:v>10.0</x:v>
      </x:c>
      <x:c r="G387" s="1" t="s">
        <x:v>1067</x:v>
      </x:c>
      <x:c r="H387" s="1" t="s">
        <x:v>1067</x:v>
      </x:c>
      <x:c r="I387" s="1" t="s">
        <x:v>1064</x:v>
      </x:c>
      <x:c r="J387" s="1" t="s">
        <x:v>1067</x:v>
      </x:c>
      <x:c r="K387" s="1">
        <x:v>386.0</x:v>
      </x:c>
      <x:c r="L387" s="1" t="str">
        <x:f t="shared" si="1"/>
        <x:v>Zavion Thomas</x:v>
      </x:c>
      <x:c r="M387" s="127" t="n">
        <x:f>IFERROR(VLOOKUP(E387,RISK!A:B,2,FALSE()),"")</x:f>
        <x:v>3.7</x:v>
      </x:c>
      <x:c r="N387" s="118" t="str">
        <x:f t="shared" si="2"/>
        <x:v>#N/A</x:v>
      </x:c>
      <x:c r="Q387" s="9"/>
      <x:c r="R387" s="9"/>
      <x:c r="S387" s="9"/>
      <x:c r="T387" s="9"/>
    </x:row>
    <x:row r="388" ht="14.25" customHeight="1">
      <x:c r="A388" s="1">
        <x:v>385.0</x:v>
      </x:c>
      <x:c r="B388" s="1">
        <x:v>11.0</x:v>
      </x:c>
      <x:c r="C388" s="1" t="s">
        <x:v>979</x:v>
      </x:c>
      <x:c r="D388" s="1" t="s">
        <x:v>531</x:v>
      </x:c>
      <x:c r="E388" s="1" t="s">
        <x:v>341</x:v>
      </x:c>
      <x:c r="F388" s="1">
        <x:v>11.0</x:v>
      </x:c>
      <x:c r="G388" s="1" t="s">
        <x:v>1067</x:v>
      </x:c>
      <x:c r="H388" s="1" t="s">
        <x:v>1067</x:v>
      </x:c>
      <x:c r="I388" s="1" t="s">
        <x:v>1060</x:v>
      </x:c>
      <x:c r="J388" s="1" t="s">
        <x:v>1067</x:v>
      </x:c>
      <x:c r="K388" s="1">
        <x:v>387.0</x:v>
      </x:c>
      <x:c r="L388" s="1" t="str">
        <x:f t="shared" si="1"/>
        <x:v>Luke Musgrave</x:v>
      </x:c>
      <x:c r="M388" s="127" t="n">
        <x:f>IFERROR(VLOOKUP(E388,RISK!A:B,2,FALSE()),"")</x:f>
        <x:v>2.2775</x:v>
      </x:c>
      <x:c r="N388" s="118" t="str">
        <x:f t="shared" si="2"/>
        <x:v>#N/A</x:v>
      </x:c>
      <x:c r="Q388" s="9"/>
      <x:c r="R388" s="9"/>
      <x:c r="S388" s="9"/>
      <x:c r="T388" s="9"/>
    </x:row>
    <x:row r="389" ht="14.25" customHeight="1">
      <x:c r="A389" s="1">
        <x:v>386.0</x:v>
      </x:c>
      <x:c r="B389" s="1">
        <x:v>11.0</x:v>
      </x:c>
      <x:c r="C389" s="1" t="s">
        <x:v>859</x:v>
      </x:c>
      <x:c r="D389" s="1" t="s">
        <x:v>499</x:v>
      </x:c>
      <x:c r="E389" s="1" t="s">
        <x:v>1215</x:v>
      </x:c>
      <x:c r="F389" s="1">
        <x:v>6.0</x:v>
      </x:c>
      <x:c r="G389" s="1" t="s">
        <x:v>1067</x:v>
      </x:c>
      <x:c r="H389" s="1" t="s">
        <x:v>1067</x:v>
      </x:c>
      <x:c r="I389" s="1" t="s">
        <x:v>1061</x:v>
      </x:c>
      <x:c r="J389" s="1" t="s">
        <x:v>1067</x:v>
      </x:c>
      <x:c r="K389" s="1">
        <x:v>388.0</x:v>
      </x:c>
      <x:c r="L389" s="1" t="str">
        <x:f t="shared" si="1"/>
        <x:v>Colbie Young</x:v>
      </x:c>
      <x:c r="M389" s="127" t="n">
        <x:f>IFERROR(VLOOKUP(E389,RISK!A:B,2,FALSE()),"")</x:f>
        <x:v>3.7</x:v>
      </x:c>
      <x:c r="N389" s="118" t="str">
        <x:f t="shared" si="2"/>
        <x:v>#N/A</x:v>
      </x:c>
      <x:c r="Q389" s="9"/>
      <x:c r="R389" s="9"/>
      <x:c r="S389" s="9"/>
      <x:c r="T389" s="9"/>
    </x:row>
    <x:row r="390" ht="14.25" customHeight="1">
      <x:c r="A390" s="1">
        <x:v>387.0</x:v>
      </x:c>
      <x:c r="B390" s="1">
        <x:v>11.0</x:v>
      </x:c>
      <x:c r="C390" s="1" t="s">
        <x:v>862</x:v>
      </x:c>
      <x:c r="D390" s="1" t="s">
        <x:v>495</x:v>
      </x:c>
      <x:c r="E390" s="1" t="s">
        <x:v>1216</x:v>
      </x:c>
      <x:c r="F390" s="1">
        <x:v>7.0</x:v>
      </x:c>
      <x:c r="G390" s="1" t="s">
        <x:v>1067</x:v>
      </x:c>
      <x:c r="H390" s="1" t="s">
        <x:v>1067</x:v>
      </x:c>
      <x:c r="I390" s="1" t="s">
        <x:v>1060</x:v>
      </x:c>
      <x:c r="J390" s="1" t="s">
        <x:v>1067</x:v>
      </x:c>
      <x:c r="K390" s="1">
        <x:v>389.0</x:v>
      </x:c>
      <x:c r="L390" s="1" t="str">
        <x:f t="shared" si="1"/>
        <x:v>Jaylin Lane</x:v>
      </x:c>
      <x:c r="M390" s="127" t="n">
        <x:f>IFERROR(VLOOKUP(E390,RISK!A:B,2,FALSE()),"")</x:f>
        <x:v>3.7</x:v>
      </x:c>
      <x:c r="N390" s="118" t="str">
        <x:f t="shared" si="2"/>
        <x:v>#N/A</x:v>
      </x:c>
      <x:c r="Q390" s="9"/>
      <x:c r="R390" s="9"/>
      <x:c r="S390" s="9"/>
      <x:c r="T390" s="9"/>
    </x:row>
    <x:row r="391" ht="14.25" customHeight="1">
      <x:c r="A391" s="1">
        <x:v>388.0</x:v>
      </x:c>
      <x:c r="B391" s="1">
        <x:v>11.0</x:v>
      </x:c>
      <x:c r="C391" s="1" t="s">
        <x:v>890</x:v>
      </x:c>
      <x:c r="D391" s="1" t="s">
        <x:v>517</x:v>
      </x:c>
      <x:c r="E391" s="1" t="s">
        <x:v>1217</x:v>
      </x:c>
      <x:c r="F391" s="1">
        <x:v>11.0</x:v>
      </x:c>
      <x:c r="G391" s="1" t="s">
        <x:v>1067</x:v>
      </x:c>
      <x:c r="H391" s="1" t="s">
        <x:v>1067</x:v>
      </x:c>
      <x:c r="I391" s="1" t="s">
        <x:v>1063</x:v>
      </x:c>
      <x:c r="J391" s="1" t="s">
        <x:v>1067</x:v>
      </x:c>
      <x:c r="K391" s="1">
        <x:v>390.0</x:v>
      </x:c>
      <x:c r="L391" s="1" t="str">
        <x:f t="shared" si="1"/>
        <x:v>CJ Daniels</x:v>
      </x:c>
      <x:c r="M391" s="127" t="n">
        <x:f>IFERROR(VLOOKUP(E391,RISK!A:B,2,FALSE()),"")</x:f>
        <x:v>3.7</x:v>
      </x:c>
      <x:c r="N391" s="118" t="str">
        <x:f t="shared" si="2"/>
        <x:v>#N/A</x:v>
      </x:c>
      <x:c r="Q391" s="9"/>
      <x:c r="R391" s="9"/>
      <x:c r="S391" s="9"/>
      <x:c r="T391" s="9"/>
    </x:row>
    <x:row r="392" ht="14.25" customHeight="1">
      <x:c r="A392" s="1">
        <x:v>389.0</x:v>
      </x:c>
      <x:c r="B392" s="1">
        <x:v>11.0</x:v>
      </x:c>
      <x:c r="C392" s="1" t="s">
        <x:v>1218</x:v>
      </x:c>
      <x:c r="D392" s="1" t="s">
        <x:v>531</x:v>
      </x:c>
      <x:c r="E392" s="1" t="s">
        <x:v>1219</x:v>
      </x:c>
      <x:c r="F392" s="1">
        <x:v>11.0</x:v>
      </x:c>
      <x:c r="G392" s="1" t="s">
        <x:v>1067</x:v>
      </x:c>
      <x:c r="H392" s="1" t="s">
        <x:v>1067</x:v>
      </x:c>
      <x:c r="I392" s="1" t="s">
        <x:v>1061</x:v>
      </x:c>
      <x:c r="J392" s="1">
        <x:v>-177.0</x:v>
      </x:c>
      <x:c r="K392" s="1">
        <x:v>391.0</x:v>
      </x:c>
      <x:c r="L392" s="1" t="str">
        <x:f t="shared" si="1"/>
        <x:v>Trey Smack</x:v>
      </x:c>
      <x:c r="M392" s="127" t="str">
        <x:f>IFERROR(VLOOKUP(E392,RISK!A:B,2,FALSE()),"")</x:f>
      </x:c>
      <x:c r="N392" s="118" t="str">
        <x:f t="shared" si="2"/>
        <x:v>#N/A</x:v>
      </x:c>
      <x:c r="Q392" s="9"/>
      <x:c r="R392" s="9"/>
      <x:c r="S392" s="9"/>
      <x:c r="T392" s="9"/>
    </x:row>
    <x:row r="393" ht="14.25" customHeight="1">
      <x:c r="A393" s="1">
        <x:v>390.0</x:v>
      </x:c>
      <x:c r="B393" s="1">
        <x:v>11.0</x:v>
      </x:c>
      <x:c r="C393" s="1" t="s">
        <x:v>1220</x:v>
      </x:c>
      <x:c r="D393" s="1" t="s">
        <x:v>499</x:v>
      </x:c>
      <x:c r="E393" s="1" t="s">
        <x:v>1221</x:v>
      </x:c>
      <x:c r="F393" s="1">
        <x:v>6.0</x:v>
      </x:c>
      <x:c r="G393" s="1" t="s">
        <x:v>1067</x:v>
      </x:c>
      <x:c r="H393" s="1" t="s">
        <x:v>1067</x:v>
      </x:c>
      <x:c r="I393" s="1" t="s">
        <x:v>1061</x:v>
      </x:c>
      <x:c r="J393" s="1" t="s">
        <x:v>1067</x:v>
      </x:c>
      <x:c r="K393" s="1">
        <x:v>392.0</x:v>
      </x:c>
      <x:c r="L393" s="1" t="str">
        <x:f t="shared" si="1"/>
        <x:v>Cincinnati Bengals</x:v>
      </x:c>
      <x:c r="M393" s="127" t="str">
        <x:f>IFERROR(VLOOKUP(E393,RISK!A:B,2,FALSE()),"")</x:f>
      </x:c>
      <x:c r="N393" s="118" t="str">
        <x:f t="shared" si="2"/>
        <x:v>#N/A</x:v>
      </x:c>
      <x:c r="Q393" s="9"/>
      <x:c r="R393" s="9"/>
      <x:c r="S393" s="9"/>
      <x:c r="T393" s="9"/>
    </x:row>
    <x:row r="394" ht="14.25" customHeight="1">
      <x:c r="A394" s="1">
        <x:v>391.0</x:v>
      </x:c>
      <x:c r="B394" s="1">
        <x:v>11.0</x:v>
      </x:c>
      <x:c r="C394" s="1" t="s">
        <x:v>1222</x:v>
      </x:c>
      <x:c r="D394" s="1" t="s">
        <x:v>505</x:v>
      </x:c>
      <x:c r="E394" s="1" t="s">
        <x:v>1223</x:v>
      </x:c>
      <x:c r="F394" s="1">
        <x:v>7.0</x:v>
      </x:c>
      <x:c r="G394" s="1" t="s">
        <x:v>1067</x:v>
      </x:c>
      <x:c r="H394" s="1" t="s">
        <x:v>1067</x:v>
      </x:c>
      <x:c r="I394" s="1" t="s">
        <x:v>1061</x:v>
      </x:c>
      <x:c r="J394" s="1" t="s">
        <x:v>1067</x:v>
      </x:c>
      <x:c r="K394" s="1">
        <x:v>393.0</x:v>
      </x:c>
      <x:c r="L394" s="1" t="str">
        <x:f t="shared" si="1"/>
        <x:v>J'Mari Taylor</x:v>
      </x:c>
      <x:c r="M394" s="127" t="n">
        <x:f>IFERROR(VLOOKUP(E394,RISK!A:B,2,FALSE()),"")</x:f>
        <x:v>3.368</x:v>
      </x:c>
      <x:c r="N394" s="118" t="str">
        <x:f t="shared" si="2"/>
        <x:v>#N/A</x:v>
      </x:c>
      <x:c r="Q394" s="9"/>
      <x:c r="R394" s="9"/>
      <x:c r="S394" s="9"/>
      <x:c r="T394" s="9"/>
    </x:row>
    <x:row r="395" ht="14.25" customHeight="1">
      <x:c r="A395" s="1">
        <x:v>392.0</x:v>
      </x:c>
      <x:c r="B395" s="1">
        <x:v>11.0</x:v>
      </x:c>
      <x:c r="C395" s="1" t="s">
        <x:v>1224</x:v>
      </x:c>
      <x:c r="D395" s="1" t="s">
        <x:v>1136</x:v>
      </x:c>
      <x:c r="E395" s="1" t="s">
        <x:v>1225</x:v>
      </x:c>
      <x:c r="F395" s="1" t="s">
        <x:v>1067</x:v>
      </x:c>
      <x:c r="G395" s="1" t="s">
        <x:v>1067</x:v>
      </x:c>
      <x:c r="H395" s="1" t="s">
        <x:v>1067</x:v>
      </x:c>
      <x:c r="I395" s="1" t="s">
        <x:v>1067</x:v>
      </x:c>
      <x:c r="J395" s="1" t="s">
        <x:v>1067</x:v>
      </x:c>
      <x:c r="K395" s="1">
        <x:v>394.0</x:v>
      </x:c>
      <x:c r="L395" s="1" t="str">
        <x:f t="shared" si="1"/>
        <x:v>Zane Gonzalez</x:v>
      </x:c>
      <x:c r="M395" s="127" t="str">
        <x:f>IFERROR(VLOOKUP(E395,RISK!A:B,2,FALSE()),"")</x:f>
      </x:c>
      <x:c r="N395" s="118" t="str">
        <x:f t="shared" si="2"/>
        <x:v>#N/A</x:v>
      </x:c>
      <x:c r="Q395" s="9"/>
      <x:c r="R395" s="9"/>
      <x:c r="S395" s="9"/>
      <x:c r="T395" s="9"/>
    </x:row>
    <x:row r="396" ht="14.25" customHeight="1">
      <x:c r="A396" s="1">
        <x:v>393.0</x:v>
      </x:c>
      <x:c r="B396" s="1">
        <x:v>11.0</x:v>
      </x:c>
      <x:c r="C396" s="1" t="s">
        <x:v>595</x:v>
      </x:c>
      <x:c r="D396" s="1" t="s">
        <x:v>507</x:v>
      </x:c>
      <x:c r="E396" s="1" t="s">
        <x:v>297</x:v>
      </x:c>
      <x:c r="F396" s="1">
        <x:v>14.0</x:v>
      </x:c>
      <x:c r="G396" s="1" t="s">
        <x:v>1067</x:v>
      </x:c>
      <x:c r="H396" s="1" t="s">
        <x:v>1067</x:v>
      </x:c>
      <x:c r="I396" s="1" t="s">
        <x:v>1060</x:v>
      </x:c>
      <x:c r="J396" s="1" t="s">
        <x:v>1067</x:v>
      </x:c>
      <x:c r="K396" s="1">
        <x:v>395.0</x:v>
      </x:c>
      <x:c r="L396" s="1" t="str">
        <x:f t="shared" si="1"/>
        <x:v>Joe Milton III</x:v>
      </x:c>
      <x:c r="M396" s="127" t="n">
        <x:f>IFERROR(VLOOKUP(E396,RISK!A:B,2,FALSE()),"")</x:f>
        <x:v>3.2</x:v>
      </x:c>
      <x:c r="N396" s="118">
        <x:f t="shared" si="2"/>
        <x:v>8.717552941</x:v>
      </x:c>
      <x:c r="Q396" s="9"/>
      <x:c r="R396" s="9"/>
      <x:c r="S396" s="9"/>
      <x:c r="T396" s="9"/>
    </x:row>
    <x:row r="397" ht="14.25" customHeight="1">
      <x:c r="A397" s="1">
        <x:v>394.0</x:v>
      </x:c>
      <x:c r="B397" s="1">
        <x:v>11.0</x:v>
      </x:c>
      <x:c r="C397" s="1" t="s">
        <x:v>693</x:v>
      </x:c>
      <x:c r="D397" s="1" t="s">
        <x:v>493</x:v>
      </x:c>
      <x:c r="E397" s="1" t="s">
        <x:v>1226</x:v>
      </x:c>
      <x:c r="F397" s="1">
        <x:v>11.0</x:v>
      </x:c>
      <x:c r="G397" s="1" t="s">
        <x:v>1067</x:v>
      </x:c>
      <x:c r="H397" s="1" t="s">
        <x:v>1067</x:v>
      </x:c>
      <x:c r="I397" s="1" t="s">
        <x:v>1060</x:v>
      </x:c>
      <x:c r="J397" s="1" t="s">
        <x:v>1067</x:v>
      </x:c>
      <x:c r="K397" s="1">
        <x:v>396.0</x:v>
      </x:c>
      <x:c r="L397" s="1" t="str">
        <x:f t="shared" si="1"/>
        <x:v>Jam Miller</x:v>
      </x:c>
      <x:c r="M397" s="127" t="n">
        <x:f>IFERROR(VLOOKUP(E397,RISK!A:B,2,FALSE()),"")</x:f>
        <x:v>3.368</x:v>
      </x:c>
      <x:c r="N397" s="118" t="str">
        <x:f t="shared" si="2"/>
        <x:v>#N/A</x:v>
      </x:c>
      <x:c r="Q397" s="9"/>
      <x:c r="R397" s="9"/>
      <x:c r="S397" s="9"/>
      <x:c r="T397" s="9"/>
    </x:row>
    <x:row r="398" ht="14.25" customHeight="1">
      <x:c r="A398" s="1">
        <x:v>395.0</x:v>
      </x:c>
      <x:c r="B398" s="1">
        <x:v>11.0</x:v>
      </x:c>
      <x:c r="C398" s="1" t="s">
        <x:v>1227</x:v>
      </x:c>
      <x:c r="D398" s="1" t="s">
        <x:v>541</x:v>
      </x:c>
      <x:c r="E398" s="1" t="s">
        <x:v>1228</x:v>
      </x:c>
      <x:c r="F398" s="1">
        <x:v>9.0</x:v>
      </x:c>
      <x:c r="G398" s="1" t="s">
        <x:v>1067</x:v>
      </x:c>
      <x:c r="H398" s="1" t="s">
        <x:v>1067</x:v>
      </x:c>
      <x:c r="I398" s="1" t="s">
        <x:v>1060</x:v>
      </x:c>
      <x:c r="J398" s="1">
        <x:v>-54.0</x:v>
      </x:c>
      <x:c r="K398" s="1">
        <x:v>397.0</x:v>
      </x:c>
      <x:c r="L398" s="1" t="str">
        <x:f t="shared" si="1"/>
        <x:v>Tennessee Titans</x:v>
      </x:c>
      <x:c r="M398" s="127" t="str">
        <x:f>IFERROR(VLOOKUP(E398,RISK!A:B,2,FALSE()),"")</x:f>
      </x:c>
      <x:c r="N398" s="118" t="str">
        <x:f t="shared" si="2"/>
        <x:v>#N/A</x:v>
      </x:c>
      <x:c r="Q398" s="9"/>
      <x:c r="R398" s="9"/>
      <x:c r="S398" s="9"/>
      <x:c r="T398" s="9"/>
    </x:row>
    <x:row r="399" ht="14.25" customHeight="1">
      <x:c r="A399" s="1">
        <x:v>396.0</x:v>
      </x:c>
      <x:c r="B399" s="1">
        <x:v>11.0</x:v>
      </x:c>
      <x:c r="C399" s="1" t="s">
        <x:v>866</x:v>
      </x:c>
      <x:c r="D399" s="1" t="s">
        <x:v>517</x:v>
      </x:c>
      <x:c r="E399" s="1" t="s">
        <x:v>1229</x:v>
      </x:c>
      <x:c r="F399" s="1">
        <x:v>11.0</x:v>
      </x:c>
      <x:c r="G399" s="1" t="s">
        <x:v>1067</x:v>
      </x:c>
      <x:c r="H399" s="1" t="s">
        <x:v>1067</x:v>
      </x:c>
      <x:c r="I399" s="1" t="s">
        <x:v>1063</x:v>
      </x:c>
      <x:c r="J399" s="1" t="s">
        <x:v>1067</x:v>
      </x:c>
      <x:c r="K399" s="1">
        <x:v>398.0</x:v>
      </x:c>
      <x:c r="L399" s="1" t="str">
        <x:f t="shared" si="1"/>
        <x:v>Jordan Whittington</x:v>
      </x:c>
      <x:c r="M399" s="127" t="n">
        <x:f>IFERROR(VLOOKUP(E399,RISK!A:B,2,FALSE()),"")</x:f>
        <x:v>3.7</x:v>
      </x:c>
      <x:c r="N399" s="118" t="str">
        <x:f t="shared" si="2"/>
        <x:v>#N/A</x:v>
      </x:c>
      <x:c r="Q399" s="9"/>
      <x:c r="R399" s="9"/>
      <x:c r="S399" s="9"/>
      <x:c r="T399" s="9"/>
    </x:row>
    <x:row r="400" ht="14.25" customHeight="1">
      <x:c r="A400" s="1">
        <x:v>397.0</x:v>
      </x:c>
      <x:c r="B400" s="1">
        <x:v>11.0</x:v>
      </x:c>
      <x:c r="C400" s="1" t="s">
        <x:v>995</x:v>
      </x:c>
      <x:c r="D400" s="1" t="s">
        <x:v>495</x:v>
      </x:c>
      <x:c r="E400" s="1" t="s">
        <x:v>344</x:v>
      </x:c>
      <x:c r="F400" s="1">
        <x:v>7.0</x:v>
      </x:c>
      <x:c r="G400" s="1" t="s">
        <x:v>1067</x:v>
      </x:c>
      <x:c r="H400" s="1" t="s">
        <x:v>1067</x:v>
      </x:c>
      <x:c r="I400" s="1" t="s">
        <x:v>1063</x:v>
      </x:c>
      <x:c r="J400" s="1" t="s">
        <x:v>1067</x:v>
      </x:c>
      <x:c r="K400" s="1">
        <x:v>399.0</x:v>
      </x:c>
      <x:c r="L400" s="1" t="str">
        <x:f t="shared" si="1"/>
        <x:v>Ben Sinnott</x:v>
      </x:c>
      <x:c r="M400" s="127" t="n">
        <x:f>IFERROR(VLOOKUP(E400,RISK!A:B,2,FALSE()),"")</x:f>
        <x:v>2.2775</x:v>
      </x:c>
      <x:c r="N400" s="118" t="str">
        <x:f t="shared" si="2"/>
        <x:v>#N/A</x:v>
      </x:c>
      <x:c r="Q400" s="9"/>
      <x:c r="R400" s="9"/>
      <x:c r="S400" s="9"/>
      <x:c r="T400" s="9"/>
    </x:row>
    <x:row r="401" ht="14.25" customHeight="1">
      <x:c r="A401" s="1">
        <x:v>398.0</x:v>
      </x:c>
      <x:c r="B401" s="1">
        <x:v>11.0</x:v>
      </x:c>
      <x:c r="C401" s="1" t="s">
        <x:v>856</x:v>
      </x:c>
      <x:c r="D401" s="1" t="s">
        <x:v>491</x:v>
      </x:c>
      <x:c r="E401" s="1" t="s">
        <x:v>1230</x:v>
      </x:c>
      <x:c r="F401" s="1">
        <x:v>13.0</x:v>
      </x:c>
      <x:c r="G401" s="1" t="s">
        <x:v>1067</x:v>
      </x:c>
      <x:c r="H401" s="1" t="s">
        <x:v>1067</x:v>
      </x:c>
      <x:c r="I401" s="1" t="s">
        <x:v>1061</x:v>
      </x:c>
      <x:c r="J401" s="1" t="s">
        <x:v>1067</x:v>
      </x:c>
      <x:c r="K401" s="1">
        <x:v>400.0</x:v>
      </x:c>
      <x:c r="L401" s="1" t="str">
        <x:f t="shared" si="1"/>
        <x:v>Devontez Walker</x:v>
      </x:c>
      <x:c r="M401" s="127" t="n">
        <x:f>IFERROR(VLOOKUP(E401,RISK!A:B,2,FALSE()),"")</x:f>
        <x:v>3.7</x:v>
      </x:c>
      <x:c r="N401" s="118" t="str">
        <x:f t="shared" si="2"/>
        <x:v>#N/A</x:v>
      </x:c>
      <x:c r="Q401" s="9"/>
      <x:c r="R401" s="9"/>
      <x:c r="S401" s="9"/>
      <x:c r="T401" s="9"/>
    </x:row>
    <x:row r="402" ht="14.25" customHeight="1">
      <x:c r="A402" s="1">
        <x:v>399.0</x:v>
      </x:c>
      <x:c r="B402" s="1">
        <x:v>11.0</x:v>
      </x:c>
      <x:c r="C402" s="1" t="s">
        <x:v>973</x:v>
      </x:c>
      <x:c r="D402" s="1" t="s">
        <x:v>551</x:v>
      </x:c>
      <x:c r="E402" s="1" t="s">
        <x:v>347</x:v>
      </x:c>
      <x:c r="F402" s="1">
        <x:v>11.0</x:v>
      </x:c>
      <x:c r="G402" s="1" t="s">
        <x:v>1067</x:v>
      </x:c>
      <x:c r="H402" s="1" t="s">
        <x:v>1067</x:v>
      </x:c>
      <x:c r="I402" s="1" t="s">
        <x:v>1064</x:v>
      </x:c>
      <x:c r="J402" s="1" t="s">
        <x:v>1067</x:v>
      </x:c>
      <x:c r="K402" s="1">
        <x:v>401.0</x:v>
      </x:c>
      <x:c r="L402" s="1" t="str">
        <x:f t="shared" si="1"/>
        <x:v>Austin Hooper</x:v>
      </x:c>
      <x:c r="M402" s="127" t="n">
        <x:f>IFERROR(VLOOKUP(E402,RISK!A:B,2,FALSE()),"")</x:f>
        <x:v>2.2775</x:v>
      </x:c>
      <x:c r="N402" s="118" t="str">
        <x:f t="shared" si="2"/>
        <x:v>#N/A</x:v>
      </x:c>
      <x:c r="Q402" s="9"/>
      <x:c r="R402" s="9"/>
      <x:c r="S402" s="9"/>
      <x:c r="T402" s="9"/>
    </x:row>
    <x:row r="403" ht="14.25" customHeight="1">
      <x:c r="A403" s="1">
        <x:v>400.0</x:v>
      </x:c>
      <x:c r="B403" s="1">
        <x:v>11.0</x:v>
      </x:c>
      <x:c r="C403" s="1" t="s">
        <x:v>880</x:v>
      </x:c>
      <x:c r="D403" s="1" t="s">
        <x:v>527</x:v>
      </x:c>
      <x:c r="E403" s="1" t="s">
        <x:v>1231</x:v>
      </x:c>
      <x:c r="F403" s="1">
        <x:v>13.0</x:v>
      </x:c>
      <x:c r="G403" s="1" t="s">
        <x:v>1067</x:v>
      </x:c>
      <x:c r="H403" s="1" t="s">
        <x:v>1067</x:v>
      </x:c>
      <x:c r="I403" s="1" t="s">
        <x:v>1061</x:v>
      </x:c>
      <x:c r="J403" s="1" t="s">
        <x:v>1067</x:v>
      </x:c>
      <x:c r="K403" s="1">
        <x:v>402.0</x:v>
      </x:c>
      <x:c r="L403" s="1" t="str">
        <x:f t="shared" si="1"/>
        <x:v>Nick Westbrook-Ikhine</x:v>
      </x:c>
      <x:c r="M403" s="127" t="n">
        <x:f>IFERROR(VLOOKUP(E403,RISK!A:B,2,FALSE()),"")</x:f>
        <x:v>3.7</x:v>
      </x:c>
      <x:c r="N403" s="118" t="str">
        <x:f t="shared" si="2"/>
        <x:v>#N/A</x:v>
      </x:c>
      <x:c r="Q403" s="9"/>
      <x:c r="R403" s="9"/>
      <x:c r="S403" s="9"/>
      <x:c r="T403" s="9"/>
    </x:row>
    <x:row r="404" ht="14.25" customHeight="1">
      <x:c r="A404" s="1">
        <x:v>401.0</x:v>
      </x:c>
      <x:c r="B404" s="1">
        <x:v>11.0</x:v>
      </x:c>
      <x:c r="C404" s="1" t="s">
        <x:v>849</x:v>
      </x:c>
      <x:c r="D404" s="1" t="s">
        <x:v>503</x:v>
      </x:c>
      <x:c r="E404" s="1" t="s">
        <x:v>1232</x:v>
      </x:c>
      <x:c r="F404" s="1">
        <x:v>8.0</x:v>
      </x:c>
      <x:c r="G404" s="1" t="s">
        <x:v>1067</x:v>
      </x:c>
      <x:c r="H404" s="1" t="s">
        <x:v>1067</x:v>
      </x:c>
      <x:c r="I404" s="1" t="s">
        <x:v>1060</x:v>
      </x:c>
      <x:c r="J404" s="1" t="s">
        <x:v>1067</x:v>
      </x:c>
      <x:c r="K404" s="1">
        <x:v>403.0</x:v>
      </x:c>
      <x:c r="L404" s="1" t="str">
        <x:f t="shared" si="1"/>
        <x:v>Demarcus Robinson</x:v>
      </x:c>
      <x:c r="M404" s="127" t="n">
        <x:f>IFERROR(VLOOKUP(E404,RISK!A:B,2,FALSE()),"")</x:f>
        <x:v>3.7</x:v>
      </x:c>
      <x:c r="N404" s="118" t="str">
        <x:f t="shared" si="2"/>
        <x:v>#N/A</x:v>
      </x:c>
      <x:c r="Q404" s="9"/>
      <x:c r="R404" s="9"/>
      <x:c r="S404" s="9"/>
      <x:c r="T404" s="9"/>
    </x:row>
    <x:row r="405" ht="14.25" customHeight="1">
      <x:c r="A405" s="1">
        <x:v>402.0</x:v>
      </x:c>
      <x:c r="B405" s="1">
        <x:v>11.0</x:v>
      </x:c>
      <x:c r="C405" s="1" t="s">
        <x:v>1015</x:v>
      </x:c>
      <x:c r="D405" s="1" t="s">
        <x:v>537</x:v>
      </x:c>
      <x:c r="E405" s="1" t="s">
        <x:v>350</x:v>
      </x:c>
      <x:c r="F405" s="1">
        <x:v>5.0</x:v>
      </x:c>
      <x:c r="G405" s="1" t="s">
        <x:v>1067</x:v>
      </x:c>
      <x:c r="H405" s="1" t="s">
        <x:v>1067</x:v>
      </x:c>
      <x:c r="I405" s="1" t="s">
        <x:v>1060</x:v>
      </x:c>
      <x:c r="J405" s="1" t="s">
        <x:v>1067</x:v>
      </x:c>
      <x:c r="K405" s="1">
        <x:v>404.0</x:v>
      </x:c>
      <x:c r="L405" s="1" t="str">
        <x:f t="shared" si="1"/>
        <x:v>Mitchell Evans</x:v>
      </x:c>
      <x:c r="M405" s="127" t="n">
        <x:f>IFERROR(VLOOKUP(E405,RISK!A:B,2,FALSE()),"")</x:f>
        <x:v>2.2775</x:v>
      </x:c>
      <x:c r="N405" s="118" t="str">
        <x:f t="shared" si="2"/>
        <x:v>#N/A</x:v>
      </x:c>
      <x:c r="Q405" s="9"/>
      <x:c r="R405" s="9"/>
      <x:c r="S405" s="9"/>
      <x:c r="T405" s="9"/>
    </x:row>
    <x:row r="406" ht="14.25" customHeight="1">
      <x:c r="A406" s="1">
        <x:v>403.0</x:v>
      </x:c>
      <x:c r="B406" s="1">
        <x:v>11.0</x:v>
      </x:c>
      <x:c r="C406" s="1" t="s">
        <x:v>558</x:v>
      </x:c>
      <x:c r="D406" s="1" t="s">
        <x:v>495</x:v>
      </x:c>
      <x:c r="E406" s="1" t="s">
        <x:v>301</x:v>
      </x:c>
      <x:c r="F406" s="1">
        <x:v>7.0</x:v>
      </x:c>
      <x:c r="G406" s="1" t="s">
        <x:v>1067</x:v>
      </x:c>
      <x:c r="H406" s="1" t="s">
        <x:v>1067</x:v>
      </x:c>
      <x:c r="I406" s="1" t="s">
        <x:v>1060</x:v>
      </x:c>
      <x:c r="J406" s="1" t="s">
        <x:v>1067</x:v>
      </x:c>
      <x:c r="K406" s="1">
        <x:v>405.0</x:v>
      </x:c>
      <x:c r="L406" s="1" t="str">
        <x:f t="shared" si="1"/>
        <x:v>Marcus Mariota</x:v>
      </x:c>
      <x:c r="M406" s="127" t="n">
        <x:f>IFERROR(VLOOKUP(E406,RISK!A:B,2,FALSE()),"")</x:f>
        <x:v>3.2</x:v>
      </x:c>
      <x:c r="N406" s="118">
        <x:f t="shared" si="2"/>
        <x:v>7.942023529</x:v>
      </x:c>
      <x:c r="Q406" s="9"/>
      <x:c r="R406" s="9"/>
      <x:c r="S406" s="9"/>
      <x:c r="T406" s="9"/>
    </x:row>
    <x:row r="407" ht="14.25" customHeight="1">
      <x:c r="A407" s="1">
        <x:v>404.0</x:v>
      </x:c>
      <x:c r="B407" s="1">
        <x:v>12.0</x:v>
      </x:c>
      <x:c r="C407" s="1" t="s">
        <x:v>729</x:v>
      </x:c>
      <x:c r="D407" s="1" t="s">
        <x:v>491</x:v>
      </x:c>
      <x:c r="E407" s="1" t="s">
        <x:v>1233</x:v>
      </x:c>
      <x:c r="F407" s="1">
        <x:v>13.0</x:v>
      </x:c>
      <x:c r="G407" s="1" t="s">
        <x:v>1067</x:v>
      </x:c>
      <x:c r="H407" s="1" t="s">
        <x:v>1067</x:v>
      </x:c>
      <x:c r="I407" s="1" t="s">
        <x:v>1064</x:v>
      </x:c>
      <x:c r="J407" s="1" t="s">
        <x:v>1067</x:v>
      </x:c>
      <x:c r="K407" s="1">
        <x:v>406.0</x:v>
      </x:c>
      <x:c r="L407" s="1" t="str">
        <x:f t="shared" si="1"/>
        <x:v>Rasheen Ali</x:v>
      </x:c>
      <x:c r="M407" s="127" t="n">
        <x:f>IFERROR(VLOOKUP(E407,RISK!A:B,2,FALSE()),"")</x:f>
        <x:v>3.368</x:v>
      </x:c>
      <x:c r="N407" s="118" t="str">
        <x:f t="shared" si="2"/>
        <x:v>#N/A</x:v>
      </x:c>
      <x:c r="Q407" s="9"/>
      <x:c r="R407" s="9"/>
      <x:c r="S407" s="9"/>
      <x:c r="T407" s="9"/>
    </x:row>
    <x:row r="408" ht="14.25" customHeight="1">
      <x:c r="A408" s="1">
        <x:v>405.0</x:v>
      </x:c>
      <x:c r="B408" s="1">
        <x:v>12.0</x:v>
      </x:c>
      <x:c r="C408" s="1" t="s">
        <x:v>1234</x:v>
      </x:c>
      <x:c r="D408" s="1" t="s">
        <x:v>529</x:v>
      </x:c>
      <x:c r="E408" s="1" t="s">
        <x:v>1235</x:v>
      </x:c>
      <x:c r="F408" s="1">
        <x:v>6.0</x:v>
      </x:c>
      <x:c r="G408" s="1" t="s">
        <x:v>1067</x:v>
      </x:c>
      <x:c r="H408" s="1" t="s">
        <x:v>1067</x:v>
      </x:c>
      <x:c r="I408" s="1" t="s">
        <x:v>1064</x:v>
      </x:c>
      <x:c r="J408" s="1" t="s">
        <x:v>1067</x:v>
      </x:c>
      <x:c r="K408" s="1">
        <x:v>407.0</x:v>
      </x:c>
      <x:c r="L408" s="1" t="str">
        <x:f t="shared" si="1"/>
        <x:v>Miami Dolphins</x:v>
      </x:c>
      <x:c r="M408" s="127" t="str">
        <x:f>IFERROR(VLOOKUP(E408,RISK!A:B,2,FALSE()),"")</x:f>
      </x:c>
      <x:c r="N408" s="118" t="str">
        <x:f t="shared" si="2"/>
        <x:v>#N/A</x:v>
      </x:c>
      <x:c r="Q408" s="9"/>
      <x:c r="R408" s="9"/>
      <x:c r="S408" s="9"/>
      <x:c r="T408" s="9"/>
    </x:row>
    <x:row r="409" ht="14.25" customHeight="1">
      <x:c r="A409" s="1">
        <x:v>406.0</x:v>
      </x:c>
      <x:c r="B409" s="1">
        <x:v>12.0</x:v>
      </x:c>
      <x:c r="C409" s="1" t="s">
        <x:v>972</x:v>
      </x:c>
      <x:c r="D409" s="1" t="s">
        <x:v>541</x:v>
      </x:c>
      <x:c r="E409" s="1" t="s">
        <x:v>353</x:v>
      </x:c>
      <x:c r="F409" s="1">
        <x:v>9.0</x:v>
      </x:c>
      <x:c r="G409" s="1" t="s">
        <x:v>1067</x:v>
      </x:c>
      <x:c r="H409" s="1" t="s">
        <x:v>1067</x:v>
      </x:c>
      <x:c r="I409" s="1" t="s">
        <x:v>1064</x:v>
      </x:c>
      <x:c r="J409" s="1" t="s">
        <x:v>1067</x:v>
      </x:c>
      <x:c r="K409" s="1">
        <x:v>408.0</x:v>
      </x:c>
      <x:c r="L409" s="1" t="str">
        <x:f t="shared" si="1"/>
        <x:v>Daniel Bellinger</x:v>
      </x:c>
      <x:c r="M409" s="127" t="n">
        <x:f>IFERROR(VLOOKUP(E409,RISK!A:B,2,FALSE()),"")</x:f>
        <x:v>2.2775</x:v>
      </x:c>
      <x:c r="N409" s="118" t="str">
        <x:f t="shared" si="2"/>
        <x:v>#N/A</x:v>
      </x:c>
      <x:c r="Q409" s="9"/>
      <x:c r="R409" s="9"/>
      <x:c r="S409" s="9"/>
      <x:c r="T409" s="9"/>
    </x:row>
    <x:row r="410" ht="14.25" customHeight="1">
      <x:c r="A410" s="1">
        <x:v>407.0</x:v>
      </x:c>
      <x:c r="B410" s="1">
        <x:v>12.0</x:v>
      </x:c>
      <x:c r="C410" s="1" t="s">
        <x:v>587</x:v>
      </x:c>
      <x:c r="D410" s="1" t="s">
        <x:v>539</x:v>
      </x:c>
      <x:c r="E410" s="1" t="s">
        <x:v>305</x:v>
      </x:c>
      <x:c r="F410" s="1">
        <x:v>13.0</x:v>
      </x:c>
      <x:c r="G410" s="1" t="s">
        <x:v>1067</x:v>
      </x:c>
      <x:c r="H410" s="1" t="s">
        <x:v>1067</x:v>
      </x:c>
      <x:c r="I410" s="1" t="s">
        <x:v>1061</x:v>
      </x:c>
      <x:c r="J410" s="1" t="s">
        <x:v>1067</x:v>
      </x:c>
      <x:c r="K410" s="1">
        <x:v>409.0</x:v>
      </x:c>
      <x:c r="L410" s="1" t="str">
        <x:f t="shared" si="1"/>
        <x:v>Cade Klubnik</x:v>
      </x:c>
      <x:c r="M410" s="127" t="n">
        <x:f>IFERROR(VLOOKUP(E410,RISK!A:B,2,FALSE()),"")</x:f>
        <x:v>3.2</x:v>
      </x:c>
      <x:c r="N410" s="118">
        <x:f t="shared" si="2"/>
        <x:v>7.857694118</x:v>
      </x:c>
      <x:c r="Q410" s="9"/>
      <x:c r="R410" s="9"/>
      <x:c r="S410" s="9"/>
      <x:c r="T410" s="9"/>
    </x:row>
    <x:row r="411" ht="14.25" customHeight="1">
      <x:c r="A411" s="1">
        <x:v>408.0</x:v>
      </x:c>
      <x:c r="B411" s="1">
        <x:v>12.0</x:v>
      </x:c>
      <x:c r="C411" s="1" t="s">
        <x:v>884</x:v>
      </x:c>
      <x:c r="D411" s="1" t="s">
        <x:v>521</x:v>
      </x:c>
      <x:c r="E411" s="1" t="s">
        <x:v>1236</x:v>
      </x:c>
      <x:c r="F411" s="1">
        <x:v>8.0</x:v>
      </x:c>
      <x:c r="G411" s="1" t="s">
        <x:v>1067</x:v>
      </x:c>
      <x:c r="H411" s="1" t="s">
        <x:v>1067</x:v>
      </x:c>
      <x:c r="I411" s="1" t="s">
        <x:v>1064</x:v>
      </x:c>
      <x:c r="J411" s="1" t="s">
        <x:v>1067</x:v>
      </x:c>
      <x:c r="K411" s="1">
        <x:v>410.0</x:v>
      </x:c>
      <x:c r="L411" s="1" t="str">
        <x:f t="shared" si="1"/>
        <x:v>Barion Brown</x:v>
      </x:c>
      <x:c r="M411" s="127" t="n">
        <x:f>IFERROR(VLOOKUP(E411,RISK!A:B,2,FALSE()),"")</x:f>
        <x:v>3.7</x:v>
      </x:c>
      <x:c r="N411" s="118" t="str">
        <x:f t="shared" si="2"/>
        <x:v>#N/A</x:v>
      </x:c>
      <x:c r="Q411" s="9"/>
      <x:c r="R411" s="9"/>
      <x:c r="S411" s="9"/>
      <x:c r="T411" s="9"/>
    </x:row>
    <x:row r="412" ht="14.25" customHeight="1">
      <x:c r="A412" s="1">
        <x:v>409.0</x:v>
      </x:c>
      <x:c r="B412" s="1">
        <x:v>12.0</x:v>
      </x:c>
      <x:c r="C412" s="1" t="s">
        <x:v>986</x:v>
      </x:c>
      <x:c r="D412" s="1" t="s">
        <x:v>495</x:v>
      </x:c>
      <x:c r="E412" s="1" t="s">
        <x:v>356</x:v>
      </x:c>
      <x:c r="F412" s="1">
        <x:v>7.0</x:v>
      </x:c>
      <x:c r="G412" s="1" t="s">
        <x:v>1067</x:v>
      </x:c>
      <x:c r="H412" s="1" t="s">
        <x:v>1067</x:v>
      </x:c>
      <x:c r="I412" s="1" t="s">
        <x:v>1063</x:v>
      </x:c>
      <x:c r="J412" s="1" t="s">
        <x:v>1067</x:v>
      </x:c>
      <x:c r="K412" s="1">
        <x:v>411.0</x:v>
      </x:c>
      <x:c r="L412" s="1" t="str">
        <x:f t="shared" si="1"/>
        <x:v>John Bates</x:v>
      </x:c>
      <x:c r="M412" s="127" t="n">
        <x:f>IFERROR(VLOOKUP(E412,RISK!A:B,2,FALSE()),"")</x:f>
        <x:v>2.2775</x:v>
      </x:c>
      <x:c r="N412" s="118" t="str">
        <x:f t="shared" si="2"/>
        <x:v>#N/A</x:v>
      </x:c>
      <x:c r="Q412" s="9"/>
      <x:c r="R412" s="9"/>
      <x:c r="S412" s="9"/>
      <x:c r="T412" s="9"/>
    </x:row>
    <x:row r="413" ht="14.25" customHeight="1">
      <x:c r="A413" s="1">
        <x:v>410.0</x:v>
      </x:c>
      <x:c r="B413" s="1">
        <x:v>12.0</x:v>
      </x:c>
      <x:c r="C413" s="1" t="s">
        <x:v>562</x:v>
      </x:c>
      <x:c r="D413" s="1" t="s">
        <x:v>501</x:v>
      </x:c>
      <x:c r="E413" s="1" t="s">
        <x:v>309</x:v>
      </x:c>
      <x:c r="F413" s="1">
        <x:v>8.0</x:v>
      </x:c>
      <x:c r="G413" s="1" t="s">
        <x:v>1067</x:v>
      </x:c>
      <x:c r="H413" s="1" t="s">
        <x:v>1067</x:v>
      </x:c>
      <x:c r="I413" s="1" t="s">
        <x:v>1061</x:v>
      </x:c>
      <x:c r="J413" s="1" t="s">
        <x:v>1067</x:v>
      </x:c>
      <x:c r="K413" s="1">
        <x:v>412.0</x:v>
      </x:c>
      <x:c r="L413" s="1" t="str">
        <x:f t="shared" si="1"/>
        <x:v>Jameis Winston</x:v>
      </x:c>
      <x:c r="M413" s="127" t="n">
        <x:f>IFERROR(VLOOKUP(E413,RISK!A:B,2,FALSE()),"")</x:f>
        <x:v>3.2</x:v>
      </x:c>
      <x:c r="N413" s="118">
        <x:f t="shared" si="2"/>
        <x:v>7.800470588</x:v>
      </x:c>
      <x:c r="Q413" s="9"/>
      <x:c r="R413" s="9"/>
      <x:c r="S413" s="9"/>
      <x:c r="T413" s="9"/>
    </x:row>
    <x:row r="414" ht="14.25" customHeight="1">
      <x:c r="A414" s="1">
        <x:v>411.0</x:v>
      </x:c>
      <x:c r="B414" s="1">
        <x:v>12.0</x:v>
      </x:c>
      <x:c r="C414" s="1" t="s">
        <x:v>671</x:v>
      </x:c>
      <x:c r="D414" s="1" t="s">
        <x:v>503</x:v>
      </x:c>
      <x:c r="E414" s="1" t="s">
        <x:v>1237</x:v>
      </x:c>
      <x:c r="F414" s="1">
        <x:v>8.0</x:v>
      </x:c>
      <x:c r="G414" s="1" t="s">
        <x:v>1067</x:v>
      </x:c>
      <x:c r="H414" s="1" t="s">
        <x:v>1067</x:v>
      </x:c>
      <x:c r="I414" s="1" t="s">
        <x:v>1060</x:v>
      </x:c>
      <x:c r="J414" s="1" t="s">
        <x:v>1067</x:v>
      </x:c>
      <x:c r="K414" s="1">
        <x:v>413.0</x:v>
      </x:c>
      <x:c r="L414" s="1" t="str">
        <x:f t="shared" si="1"/>
        <x:v>Kyle Juszczyk</x:v>
      </x:c>
      <x:c r="M414" s="127" t="n">
        <x:f>IFERROR(VLOOKUP(E414,RISK!A:B,2,FALSE()),"")</x:f>
        <x:v>3.368</x:v>
      </x:c>
      <x:c r="N414" s="118" t="str">
        <x:f t="shared" si="2"/>
        <x:v>#N/A</x:v>
      </x:c>
      <x:c r="Q414" s="9"/>
      <x:c r="R414" s="9"/>
      <x:c r="S414" s="9"/>
      <x:c r="T414" s="9"/>
    </x:row>
    <x:row r="415" ht="14.25" customHeight="1">
      <x:c r="A415" s="1">
        <x:v>412.0</x:v>
      </x:c>
      <x:c r="B415" s="1">
        <x:v>12.0</x:v>
      </x:c>
      <x:c r="C415" s="1" t="s">
        <x:v>1238</x:v>
      </x:c>
      <x:c r="D415" s="1" t="s">
        <x:v>551</x:v>
      </x:c>
      <x:c r="E415" s="1" t="s">
        <x:v>1239</x:v>
      </x:c>
      <x:c r="F415" s="1">
        <x:v>11.0</x:v>
      </x:c>
      <x:c r="G415" s="1" t="s">
        <x:v>1067</x:v>
      </x:c>
      <x:c r="H415" s="1" t="s">
        <x:v>1067</x:v>
      </x:c>
      <x:c r="I415" s="1" t="s">
        <x:v>1078</x:v>
      </x:c>
      <x:c r="J415" s="1">
        <x:v>-162.0</x:v>
      </x:c>
      <x:c r="K415" s="1">
        <x:v>414.0</x:v>
      </x:c>
      <x:c r="L415" s="1" t="str">
        <x:f t="shared" si="1"/>
        <x:v>Nick Folk</x:v>
      </x:c>
      <x:c r="M415" s="127" t="str">
        <x:f>IFERROR(VLOOKUP(E415,RISK!A:B,2,FALSE()),"")</x:f>
      </x:c>
      <x:c r="N415" s="118" t="str">
        <x:f t="shared" si="2"/>
        <x:v>#N/A</x:v>
      </x:c>
      <x:c r="Q415" s="9"/>
      <x:c r="R415" s="9"/>
      <x:c r="S415" s="9"/>
      <x:c r="T415" s="9"/>
    </x:row>
    <x:row r="416" ht="14.25" customHeight="1">
      <x:c r="A416" s="1">
        <x:v>413.0</x:v>
      </x:c>
      <x:c r="B416" s="1">
        <x:v>12.0</x:v>
      </x:c>
      <x:c r="C416" s="1" t="s">
        <x:v>839</x:v>
      </x:c>
      <x:c r="D416" s="1" t="s">
        <x:v>527</x:v>
      </x:c>
      <x:c r="E416" s="1" t="s">
        <x:v>1240</x:v>
      </x:c>
      <x:c r="F416" s="1">
        <x:v>13.0</x:v>
      </x:c>
      <x:c r="G416" s="1" t="s">
        <x:v>1067</x:v>
      </x:c>
      <x:c r="H416" s="1" t="s">
        <x:v>1067</x:v>
      </x:c>
      <x:c r="I416" s="1" t="s">
        <x:v>1061</x:v>
      </x:c>
      <x:c r="J416" s="1" t="s">
        <x:v>1067</x:v>
      </x:c>
      <x:c r="K416" s="1">
        <x:v>415.0</x:v>
      </x:c>
      <x:c r="L416" s="1" t="str">
        <x:f t="shared" si="1"/>
        <x:v>Ashton Dulin</x:v>
      </x:c>
      <x:c r="M416" s="127" t="n">
        <x:f>IFERROR(VLOOKUP(E416,RISK!A:B,2,FALSE()),"")</x:f>
        <x:v>3.7</x:v>
      </x:c>
      <x:c r="N416" s="118" t="str">
        <x:f t="shared" si="2"/>
        <x:v>#N/A</x:v>
      </x:c>
      <x:c r="Q416" s="9"/>
      <x:c r="R416" s="9"/>
      <x:c r="S416" s="9"/>
      <x:c r="T416" s="9"/>
    </x:row>
    <x:row r="417" ht="14.25" customHeight="1">
      <x:c r="A417" s="1">
        <x:v>414.0</x:v>
      </x:c>
      <x:c r="B417" s="1">
        <x:v>12.0</x:v>
      </x:c>
      <x:c r="C417" s="1" t="s">
        <x:v>1241</x:v>
      </x:c>
      <x:c r="D417" s="1" t="s">
        <x:v>1136</x:v>
      </x:c>
      <x:c r="E417" s="1" t="s">
        <x:v>1242</x:v>
      </x:c>
      <x:c r="F417" s="1" t="s">
        <x:v>1067</x:v>
      </x:c>
      <x:c r="G417" s="1" t="s">
        <x:v>1067</x:v>
      </x:c>
      <x:c r="H417" s="1" t="s">
        <x:v>1067</x:v>
      </x:c>
      <x:c r="I417" s="1" t="s">
        <x:v>1067</x:v>
      </x:c>
      <x:c r="J417" s="1">
        <x:v>-147.0</x:v>
      </x:c>
      <x:c r="K417" s="1">
        <x:v>416.0</x:v>
      </x:c>
      <x:c r="L417" s="1" t="str">
        <x:f t="shared" si="1"/>
        <x:v>Austin Ekeler</x:v>
      </x:c>
      <x:c r="M417" s="127" t="n">
        <x:f>IFERROR(VLOOKUP(E417,RISK!A:B,2,FALSE()),"")</x:f>
        <x:v>3.368</x:v>
      </x:c>
      <x:c r="N417" s="118" t="str">
        <x:f t="shared" si="2"/>
        <x:v>#N/A</x:v>
      </x:c>
      <x:c r="Q417" s="9"/>
      <x:c r="R417" s="9"/>
      <x:c r="S417" s="9"/>
      <x:c r="T417" s="9"/>
    </x:row>
    <x:row r="418" ht="14.25" customHeight="1">
      <x:c r="A418" s="1">
        <x:v>415.0</x:v>
      </x:c>
      <x:c r="B418" s="1">
        <x:v>12.0</x:v>
      </x:c>
      <x:c r="C418" s="1" t="s">
        <x:v>1243</x:v>
      </x:c>
      <x:c r="D418" s="1" t="s">
        <x:v>519</x:v>
      </x:c>
      <x:c r="E418" s="1" t="s">
        <x:v>1244</x:v>
      </x:c>
      <x:c r="F418" s="1">
        <x:v>6.0</x:v>
      </x:c>
      <x:c r="G418" s="1" t="s">
        <x:v>1067</x:v>
      </x:c>
      <x:c r="H418" s="1" t="s">
        <x:v>1067</x:v>
      </x:c>
      <x:c r="I418" s="1" t="s">
        <x:v>1059</x:v>
      </x:c>
      <x:c r="J418" s="1" t="s">
        <x:v>1067</x:v>
      </x:c>
      <x:c r="K418" s="1">
        <x:v>417.0</x:v>
      </x:c>
      <x:c r="L418" s="1" t="str">
        <x:f t="shared" si="1"/>
        <x:v>Sione Vaki</x:v>
      </x:c>
      <x:c r="M418" s="127" t="n">
        <x:f>IFERROR(VLOOKUP(E418,RISK!A:B,2,FALSE()),"")</x:f>
        <x:v>3.368</x:v>
      </x:c>
      <x:c r="N418" s="118" t="str">
        <x:f t="shared" si="2"/>
        <x:v>#N/A</x:v>
      </x:c>
      <x:c r="Q418" s="9"/>
      <x:c r="R418" s="9"/>
      <x:c r="S418" s="9"/>
      <x:c r="T418" s="9"/>
    </x:row>
    <x:row r="419" ht="14.25" customHeight="1">
      <x:c r="A419" s="1">
        <x:v>416.0</x:v>
      </x:c>
      <x:c r="B419" s="1">
        <x:v>12.0</x:v>
      </x:c>
      <x:c r="C419" s="1" t="s">
        <x:v>1245</x:v>
      </x:c>
      <x:c r="D419" s="1" t="s">
        <x:v>531</x:v>
      </x:c>
      <x:c r="E419" s="1" t="s">
        <x:v>1246</x:v>
      </x:c>
      <x:c r="F419" s="1">
        <x:v>11.0</x:v>
      </x:c>
      <x:c r="G419" s="1" t="s">
        <x:v>1067</x:v>
      </x:c>
      <x:c r="H419" s="1" t="s">
        <x:v>1067</x:v>
      </x:c>
      <x:c r="I419" s="1" t="s">
        <x:v>1061</x:v>
      </x:c>
      <x:c r="J419" s="1" t="s">
        <x:v>1067</x:v>
      </x:c>
      <x:c r="K419" s="1">
        <x:v>418.0</x:v>
      </x:c>
      <x:c r="L419" s="1" t="str">
        <x:f t="shared" si="1"/>
        <x:v>Damien Martinez</x:v>
      </x:c>
      <x:c r="M419" s="127" t="n">
        <x:f>IFERROR(VLOOKUP(E419,RISK!A:B,2,FALSE()),"")</x:f>
        <x:v>3.368</x:v>
      </x:c>
      <x:c r="N419" s="118" t="str">
        <x:f t="shared" si="2"/>
        <x:v>#N/A</x:v>
      </x:c>
      <x:c r="Q419" s="9"/>
      <x:c r="R419" s="9"/>
      <x:c r="S419" s="9"/>
      <x:c r="T419" s="9"/>
    </x:row>
    <x:row r="420" ht="14.25" customHeight="1">
      <x:c r="A420" s="1">
        <x:v>417.0</x:v>
      </x:c>
      <x:c r="B420" s="1">
        <x:v>12.0</x:v>
      </x:c>
      <x:c r="C420" s="1" t="s">
        <x:v>847</x:v>
      </x:c>
      <x:c r="D420" s="1" t="s">
        <x:v>529</x:v>
      </x:c>
      <x:c r="E420" s="1" t="s">
        <x:v>1247</x:v>
      </x:c>
      <x:c r="F420" s="1">
        <x:v>6.0</x:v>
      </x:c>
      <x:c r="G420" s="1" t="s">
        <x:v>1067</x:v>
      </x:c>
      <x:c r="H420" s="1" t="s">
        <x:v>1067</x:v>
      </x:c>
      <x:c r="I420" s="1" t="s">
        <x:v>1064</x:v>
      </x:c>
      <x:c r="J420" s="1">
        <x:v>-57.0</x:v>
      </x:c>
      <x:c r="K420" s="1">
        <x:v>419.0</x:v>
      </x:c>
      <x:c r="L420" s="1" t="str">
        <x:f t="shared" si="1"/>
        <x:v>Tutu Atwell</x:v>
      </x:c>
      <x:c r="M420" s="127" t="n">
        <x:f>IFERROR(VLOOKUP(E420,RISK!A:B,2,FALSE()),"")</x:f>
        <x:v>3.7</x:v>
      </x:c>
      <x:c r="N420" s="118" t="str">
        <x:f t="shared" si="2"/>
        <x:v>#N/A</x:v>
      </x:c>
      <x:c r="Q420" s="9"/>
      <x:c r="R420" s="9"/>
      <x:c r="S420" s="9"/>
      <x:c r="T420" s="9"/>
    </x:row>
    <x:row r="421" ht="14.25" customHeight="1">
      <x:c r="A421" s="1">
        <x:v>418.0</x:v>
      </x:c>
      <x:c r="B421" s="1">
        <x:v>12.0</x:v>
      </x:c>
      <x:c r="C421" s="1" t="s">
        <x:v>1248</x:v>
      </x:c>
      <x:c r="D421" s="1" t="s">
        <x:v>527</x:v>
      </x:c>
      <x:c r="E421" s="1" t="s">
        <x:v>1249</x:v>
      </x:c>
      <x:c r="F421" s="1">
        <x:v>13.0</x:v>
      </x:c>
      <x:c r="G421" s="1" t="s">
        <x:v>1067</x:v>
      </x:c>
      <x:c r="H421" s="1" t="s">
        <x:v>1067</x:v>
      </x:c>
      <x:c r="I421" s="1" t="s">
        <x:v>1061</x:v>
      </x:c>
      <x:c r="J421" s="1" t="s">
        <x:v>1067</x:v>
      </x:c>
      <x:c r="K421" s="1">
        <x:v>420.0</x:v>
      </x:c>
      <x:c r="L421" s="1" t="str">
        <x:f t="shared" si="1"/>
        <x:v>Deion Burks</x:v>
      </x:c>
      <x:c r="M421" s="127" t="n">
        <x:f>IFERROR(VLOOKUP(E421,RISK!A:B,2,FALSE()),"")</x:f>
        <x:v>3.7</x:v>
      </x:c>
      <x:c r="N421" s="118" t="str">
        <x:f t="shared" si="2"/>
        <x:v>#N/A</x:v>
      </x:c>
      <x:c r="Q421" s="9"/>
      <x:c r="R421" s="9"/>
      <x:c r="S421" s="9"/>
      <x:c r="T421" s="9"/>
    </x:row>
    <x:row r="422" ht="14.25" customHeight="1">
      <x:c r="A422" s="1">
        <x:v>419.0</x:v>
      </x:c>
      <x:c r="B422" s="1">
        <x:v>12.0</x:v>
      </x:c>
      <x:c r="C422" s="1" t="s">
        <x:v>883</x:v>
      </x:c>
      <x:c r="D422" s="1" t="s">
        <x:v>519</x:v>
      </x:c>
      <x:c r="E422" s="1" t="s">
        <x:v>1250</x:v>
      </x:c>
      <x:c r="F422" s="1">
        <x:v>6.0</x:v>
      </x:c>
      <x:c r="G422" s="1" t="s">
        <x:v>1067</x:v>
      </x:c>
      <x:c r="H422" s="1" t="s">
        <x:v>1067</x:v>
      </x:c>
      <x:c r="I422" s="1" t="s">
        <x:v>1061</x:v>
      </x:c>
      <x:c r="J422" s="1" t="s">
        <x:v>1067</x:v>
      </x:c>
      <x:c r="K422" s="1">
        <x:v>421.0</x:v>
      </x:c>
      <x:c r="L422" s="1" t="str">
        <x:f t="shared" si="1"/>
        <x:v>Greg Dortch</x:v>
      </x:c>
      <x:c r="M422" s="127" t="n">
        <x:f>IFERROR(VLOOKUP(E422,RISK!A:B,2,FALSE()),"")</x:f>
        <x:v>3.7</x:v>
      </x:c>
      <x:c r="N422" s="118" t="str">
        <x:f t="shared" si="2"/>
        <x:v>#N/A</x:v>
      </x:c>
      <x:c r="Q422" s="9"/>
      <x:c r="R422" s="9"/>
      <x:c r="S422" s="9"/>
      <x:c r="T422" s="9"/>
    </x:row>
    <x:row r="423" ht="14.25" customHeight="1">
      <x:c r="A423" s="1">
        <x:v>420.0</x:v>
      </x:c>
      <x:c r="B423" s="1">
        <x:v>12.0</x:v>
      </x:c>
      <x:c r="C423" s="1" t="s">
        <x:v>982</x:v>
      </x:c>
      <x:c r="D423" s="1" t="s">
        <x:v>543</x:v>
      </x:c>
      <x:c r="E423" s="1" t="s">
        <x:v>359</x:v>
      </x:c>
      <x:c r="F423" s="1">
        <x:v>14.0</x:v>
      </x:c>
      <x:c r="G423" s="1" t="s">
        <x:v>1067</x:v>
      </x:c>
      <x:c r="H423" s="1" t="s">
        <x:v>1067</x:v>
      </x:c>
      <x:c r="I423" s="1" t="s">
        <x:v>1060</x:v>
      </x:c>
      <x:c r="J423" s="1" t="s">
        <x:v>1067</x:v>
      </x:c>
      <x:c r="K423" s="1">
        <x:v>422.0</x:v>
      </x:c>
      <x:c r="L423" s="1" t="str">
        <x:f t="shared" si="1"/>
        <x:v>Elijah Higgins</x:v>
      </x:c>
      <x:c r="M423" s="127" t="n">
        <x:f>IFERROR(VLOOKUP(E423,RISK!A:B,2,FALSE()),"")</x:f>
        <x:v>2.2775</x:v>
      </x:c>
      <x:c r="N423" s="118" t="str">
        <x:f t="shared" si="2"/>
        <x:v>#N/A</x:v>
      </x:c>
      <x:c r="Q423" s="9"/>
      <x:c r="R423" s="9"/>
      <x:c r="S423" s="9"/>
      <x:c r="T423" s="9"/>
    </x:row>
    <x:row r="424" ht="14.25" customHeight="1">
      <x:c r="A424" s="1">
        <x:v>421.0</x:v>
      </x:c>
      <x:c r="B424" s="1">
        <x:v>12.0</x:v>
      </x:c>
      <x:c r="C424" s="1" t="s">
        <x:v>700</x:v>
      </x:c>
      <x:c r="D424" s="1" t="s">
        <x:v>497</x:v>
      </x:c>
      <x:c r="E424" s="1" t="s">
        <x:v>1251</x:v>
      </x:c>
      <x:c r="F424" s="1">
        <x:v>10.0</x:v>
      </x:c>
      <x:c r="G424" s="1" t="s">
        <x:v>1067</x:v>
      </x:c>
      <x:c r="H424" s="1" t="s">
        <x:v>1067</x:v>
      </x:c>
      <x:c r="I424" s="1" t="s">
        <x:v>1061</x:v>
      </x:c>
      <x:c r="J424" s="1" t="s">
        <x:v>1067</x:v>
      </x:c>
      <x:c r="K424" s="1">
        <x:v>423.0</x:v>
      </x:c>
      <x:c r="L424" s="1" t="str">
        <x:f t="shared" si="1"/>
        <x:v>Dameon Pierce</x:v>
      </x:c>
      <x:c r="M424" s="127" t="n">
        <x:f>IFERROR(VLOOKUP(E424,RISK!A:B,2,FALSE()),"")</x:f>
        <x:v>3.368</x:v>
      </x:c>
      <x:c r="N424" s="118" t="str">
        <x:f t="shared" si="2"/>
        <x:v>#N/A</x:v>
      </x:c>
      <x:c r="Q424" s="9"/>
      <x:c r="R424" s="9"/>
      <x:c r="S424" s="9"/>
      <x:c r="T424" s="9"/>
    </x:row>
    <x:row r="425" ht="14.25" customHeight="1">
      <x:c r="A425" s="1">
        <x:v>422.0</x:v>
      </x:c>
      <x:c r="B425" s="1">
        <x:v>12.0</x:v>
      </x:c>
      <x:c r="C425" s="1" t="s">
        <x:v>1252</x:v>
      </x:c>
      <x:c r="D425" s="1" t="s">
        <x:v>527</x:v>
      </x:c>
      <x:c r="E425" s="1" t="s">
        <x:v>1253</x:v>
      </x:c>
      <x:c r="F425" s="1">
        <x:v>13.0</x:v>
      </x:c>
      <x:c r="G425" s="1" t="s">
        <x:v>1067</x:v>
      </x:c>
      <x:c r="H425" s="1" t="s">
        <x:v>1067</x:v>
      </x:c>
      <x:c r="I425" s="1" t="s">
        <x:v>1061</x:v>
      </x:c>
      <x:c r="J425" s="1">
        <x:v>-109.0</x:v>
      </x:c>
      <x:c r="K425" s="1">
        <x:v>424.0</x:v>
      </x:c>
      <x:c r="L425" s="1" t="str">
        <x:f t="shared" si="1"/>
        <x:v>Blake Grupe</x:v>
      </x:c>
      <x:c r="M425" s="127" t="str">
        <x:f>IFERROR(VLOOKUP(E425,RISK!A:B,2,FALSE()),"")</x:f>
      </x:c>
      <x:c r="N425" s="118" t="str">
        <x:f t="shared" si="2"/>
        <x:v>#N/A</x:v>
      </x:c>
      <x:c r="Q425" s="9"/>
      <x:c r="R425" s="9"/>
      <x:c r="S425" s="9"/>
      <x:c r="T425" s="9"/>
    </x:row>
    <x:row r="426" ht="14.25" customHeight="1">
      <x:c r="A426" s="1">
        <x:v>423.0</x:v>
      </x:c>
      <x:c r="B426" s="1">
        <x:v>12.0</x:v>
      </x:c>
      <x:c r="C426" s="1" t="s">
        <x:v>853</x:v>
      </x:c>
      <x:c r="D426" s="1" t="s">
        <x:v>495</x:v>
      </x:c>
      <x:c r="E426" s="1" t="s">
        <x:v>1254</x:v>
      </x:c>
      <x:c r="F426" s="1">
        <x:v>7.0</x:v>
      </x:c>
      <x:c r="G426" s="1" t="s">
        <x:v>1067</x:v>
      </x:c>
      <x:c r="H426" s="1" t="s">
        <x:v>1067</x:v>
      </x:c>
      <x:c r="I426" s="1" t="s">
        <x:v>1060</x:v>
      </x:c>
      <x:c r="J426" s="1" t="s">
        <x:v>1067</x:v>
      </x:c>
      <x:c r="K426" s="1">
        <x:v>425.0</x:v>
      </x:c>
      <x:c r="L426" s="1" t="str">
        <x:f t="shared" si="1"/>
        <x:v>Dyami Brown</x:v>
      </x:c>
      <x:c r="M426" s="127" t="n">
        <x:f>IFERROR(VLOOKUP(E426,RISK!A:B,2,FALSE()),"")</x:f>
        <x:v>3.7</x:v>
      </x:c>
      <x:c r="N426" s="118" t="str">
        <x:f t="shared" si="2"/>
        <x:v>#N/A</x:v>
      </x:c>
      <x:c r="Q426" s="9"/>
      <x:c r="R426" s="9"/>
      <x:c r="S426" s="9"/>
      <x:c r="T426" s="9"/>
    </x:row>
    <x:row r="427" ht="14.25" customHeight="1">
      <x:c r="A427" s="1">
        <x:v>424.0</x:v>
      </x:c>
      <x:c r="B427" s="1">
        <x:v>12.0</x:v>
      </x:c>
      <x:c r="C427" s="1" t="s">
        <x:v>1255</x:v>
      </x:c>
      <x:c r="D427" s="1" t="s">
        <x:v>1136</x:v>
      </x:c>
      <x:c r="E427" s="1" t="s">
        <x:v>1256</x:v>
      </x:c>
      <x:c r="F427" s="1" t="s">
        <x:v>1067</x:v>
      </x:c>
      <x:c r="G427" s="1" t="s">
        <x:v>1067</x:v>
      </x:c>
      <x:c r="H427" s="1" t="s">
        <x:v>1067</x:v>
      </x:c>
      <x:c r="I427" s="1" t="s">
        <x:v>1067</x:v>
      </x:c>
      <x:c r="J427" s="1" t="s">
        <x:v>1067</x:v>
      </x:c>
      <x:c r="K427" s="1">
        <x:v>426.0</x:v>
      </x:c>
      <x:c r="L427" s="1" t="str">
        <x:f t="shared" si="1"/>
        <x:v>Terrell Jennings</x:v>
      </x:c>
      <x:c r="M427" s="127" t="n">
        <x:f>IFERROR(VLOOKUP(E427,RISK!A:B,2,FALSE()),"")</x:f>
        <x:v>3.368</x:v>
      </x:c>
      <x:c r="N427" s="118" t="str">
        <x:f t="shared" si="2"/>
        <x:v>#N/A</x:v>
      </x:c>
      <x:c r="Q427" s="9"/>
      <x:c r="R427" s="9"/>
      <x:c r="S427" s="9"/>
      <x:c r="T427" s="9"/>
    </x:row>
    <x:row r="428" ht="14.25" customHeight="1">
      <x:c r="A428" s="1">
        <x:v>425.0</x:v>
      </x:c>
      <x:c r="B428" s="1">
        <x:v>12.0</x:v>
      </x:c>
      <x:c r="C428" s="1" t="s">
        <x:v>1257</x:v>
      </x:c>
      <x:c r="D428" s="1" t="s">
        <x:v>539</x:v>
      </x:c>
      <x:c r="E428" s="1" t="s">
        <x:v>1258</x:v>
      </x:c>
      <x:c r="F428" s="1">
        <x:v>13.0</x:v>
      </x:c>
      <x:c r="G428" s="1" t="s">
        <x:v>1067</x:v>
      </x:c>
      <x:c r="H428" s="1" t="s">
        <x:v>1067</x:v>
      </x:c>
      <x:c r="I428" s="1" t="s">
        <x:v>1061</x:v>
      </x:c>
      <x:c r="J428" s="1" t="s">
        <x:v>1067</x:v>
      </x:c>
      <x:c r="K428" s="1">
        <x:v>427.0</x:v>
      </x:c>
      <x:c r="L428" s="1" t="str">
        <x:f t="shared" si="1"/>
        <x:v>Tim Patrick</x:v>
      </x:c>
      <x:c r="M428" s="127" t="n">
        <x:f>IFERROR(VLOOKUP(E428,RISK!A:B,2,FALSE()),"")</x:f>
        <x:v>3.7</x:v>
      </x:c>
      <x:c r="N428" s="118" t="str">
        <x:f t="shared" si="2"/>
        <x:v>#N/A</x:v>
      </x:c>
      <x:c r="Q428" s="9"/>
      <x:c r="R428" s="9"/>
      <x:c r="S428" s="9"/>
      <x:c r="T428" s="9"/>
    </x:row>
    <x:row r="429" ht="14.25" customHeight="1">
      <x:c r="A429" s="1">
        <x:v>426.0</x:v>
      </x:c>
      <x:c r="B429" s="1">
        <x:v>12.0</x:v>
      </x:c>
      <x:c r="C429" s="1" t="s">
        <x:v>1259</x:v>
      </x:c>
      <x:c r="D429" s="1" t="s">
        <x:v>1136</x:v>
      </x:c>
      <x:c r="E429" s="1" t="s">
        <x:v>362</x:v>
      </x:c>
      <x:c r="F429" s="1" t="s">
        <x:v>1067</x:v>
      </x:c>
      <x:c r="G429" s="1" t="s">
        <x:v>1067</x:v>
      </x:c>
      <x:c r="H429" s="1" t="s">
        <x:v>1067</x:v>
      </x:c>
      <x:c r="I429" s="1" t="s">
        <x:v>1067</x:v>
      </x:c>
      <x:c r="J429" s="1" t="s">
        <x:v>1067</x:v>
      </x:c>
      <x:c r="K429" s="1">
        <x:v>428.0</x:v>
      </x:c>
      <x:c r="L429" s="1" t="str">
        <x:f t="shared" si="1"/>
        <x:v>Tommy Myers</x:v>
      </x:c>
      <x:c r="M429" s="127" t="n">
        <x:f>IFERROR(VLOOKUP(E429,RISK!A:B,2,FALSE()),"")</x:f>
        <x:v>2.2775</x:v>
      </x:c>
      <x:c r="N429" s="118" t="str">
        <x:f t="shared" si="2"/>
        <x:v>#N/A</x:v>
      </x:c>
      <x:c r="Q429" s="9"/>
      <x:c r="R429" s="9"/>
      <x:c r="S429" s="9"/>
      <x:c r="T429" s="9"/>
    </x:row>
    <x:row r="430" ht="14.25" customHeight="1">
      <x:c r="A430" s="1">
        <x:v>427.0</x:v>
      </x:c>
      <x:c r="B430" s="1">
        <x:v>12.0</x:v>
      </x:c>
      <x:c r="C430" s="1" t="s">
        <x:v>1260</x:v>
      </x:c>
      <x:c r="D430" s="1" t="s">
        <x:v>541</x:v>
      </x:c>
      <x:c r="E430" s="1" t="s">
        <x:v>1261</x:v>
      </x:c>
      <x:c r="F430" s="1">
        <x:v>9.0</x:v>
      </x:c>
      <x:c r="G430" s="1" t="s">
        <x:v>1067</x:v>
      </x:c>
      <x:c r="H430" s="1" t="s">
        <x:v>1067</x:v>
      </x:c>
      <x:c r="I430" s="1" t="s">
        <x:v>1061</x:v>
      </x:c>
      <x:c r="J430" s="1">
        <x:v>-95.0</x:v>
      </x:c>
      <x:c r="K430" s="1">
        <x:v>429.0</x:v>
      </x:c>
      <x:c r="L430" s="1" t="str">
        <x:f t="shared" si="1"/>
        <x:v>Joey Slye</x:v>
      </x:c>
      <x:c r="M430" s="127" t="str">
        <x:f>IFERROR(VLOOKUP(E430,RISK!A:B,2,FALSE()),"")</x:f>
      </x:c>
      <x:c r="N430" s="118" t="str">
        <x:f t="shared" si="2"/>
        <x:v>#N/A</x:v>
      </x:c>
      <x:c r="Q430" s="9"/>
      <x:c r="R430" s="9"/>
      <x:c r="S430" s="9"/>
      <x:c r="T430" s="9"/>
    </x:row>
    <x:row r="431" ht="14.25" customHeight="1">
      <x:c r="A431" s="1">
        <x:v>428.0</x:v>
      </x:c>
      <x:c r="B431" s="1">
        <x:v>12.0</x:v>
      </x:c>
      <x:c r="C431" s="1" t="s">
        <x:v>1262</x:v>
      </x:c>
      <x:c r="D431" s="1" t="s">
        <x:v>551</x:v>
      </x:c>
      <x:c r="E431" s="1" t="s">
        <x:v>1263</x:v>
      </x:c>
      <x:c r="F431" s="1">
        <x:v>11.0</x:v>
      </x:c>
      <x:c r="G431" s="1" t="s">
        <x:v>1067</x:v>
      </x:c>
      <x:c r="H431" s="1" t="s">
        <x:v>1067</x:v>
      </x:c>
      <x:c r="I431" s="1" t="s">
        <x:v>1060</x:v>
      </x:c>
      <x:c r="J431" s="1" t="s">
        <x:v>1067</x:v>
      </x:c>
      <x:c r="K431" s="1">
        <x:v>430.0</x:v>
      </x:c>
      <x:c r="L431" s="1" t="str">
        <x:f t="shared" si="1"/>
        <x:v>Tyler Goodson</x:v>
      </x:c>
      <x:c r="M431" s="127" t="n">
        <x:f>IFERROR(VLOOKUP(E431,RISK!A:B,2,FALSE()),"")</x:f>
        <x:v>3.368</x:v>
      </x:c>
      <x:c r="N431" s="118" t="str">
        <x:f t="shared" si="2"/>
        <x:v>#N/A</x:v>
      </x:c>
      <x:c r="Q431" s="9"/>
      <x:c r="R431" s="9"/>
      <x:c r="S431" s="9"/>
      <x:c r="T431" s="9"/>
    </x:row>
    <x:row r="432" ht="14.25" customHeight="1">
      <x:c r="A432" s="1">
        <x:v>429.0</x:v>
      </x:c>
      <x:c r="B432" s="1">
        <x:v>12.0</x:v>
      </x:c>
      <x:c r="C432" s="1" t="s">
        <x:v>1264</x:v>
      </x:c>
      <x:c r="D432" s="1" t="s">
        <x:v>495</x:v>
      </x:c>
      <x:c r="E432" s="1" t="s">
        <x:v>1265</x:v>
      </x:c>
      <x:c r="F432" s="1">
        <x:v>7.0</x:v>
      </x:c>
      <x:c r="G432" s="1" t="s">
        <x:v>1067</x:v>
      </x:c>
      <x:c r="H432" s="1" t="s">
        <x:v>1067</x:v>
      </x:c>
      <x:c r="I432" s="1" t="s">
        <x:v>1061</x:v>
      </x:c>
      <x:c r="J432" s="1">
        <x:v>-55.0</x:v>
      </x:c>
      <x:c r="K432" s="1">
        <x:v>431.0</x:v>
      </x:c>
      <x:c r="L432" s="1" t="str">
        <x:f t="shared" si="1"/>
        <x:v>Robert Henry Jr.</x:v>
      </x:c>
      <x:c r="M432" s="127" t="n">
        <x:f>IFERROR(VLOOKUP(E432,RISK!A:B,2,FALSE()),"")</x:f>
        <x:v>3.368</x:v>
      </x:c>
      <x:c r="N432" s="118" t="str">
        <x:f t="shared" si="2"/>
        <x:v>#N/A</x:v>
      </x:c>
      <x:c r="Q432" s="9"/>
      <x:c r="R432" s="9"/>
      <x:c r="S432" s="9"/>
      <x:c r="T432" s="9"/>
    </x:row>
    <x:row r="433" ht="14.25" customHeight="1">
      <x:c r="A433" s="1">
        <x:v>430.0</x:v>
      </x:c>
      <x:c r="B433" s="1">
        <x:v>12.0</x:v>
      </x:c>
      <x:c r="C433" s="1" t="s">
        <x:v>967</x:v>
      </x:c>
      <x:c r="D433" s="1" t="s">
        <x:v>529</x:v>
      </x:c>
      <x:c r="E433" s="1" t="s">
        <x:v>365</x:v>
      </x:c>
      <x:c r="F433" s="1">
        <x:v>6.0</x:v>
      </x:c>
      <x:c r="G433" s="1" t="s">
        <x:v>1067</x:v>
      </x:c>
      <x:c r="H433" s="1" t="s">
        <x:v>1067</x:v>
      </x:c>
      <x:c r="I433" s="1" t="s">
        <x:v>1059</x:v>
      </x:c>
      <x:c r="J433" s="1" t="s">
        <x:v>1067</x:v>
      </x:c>
      <x:c r="K433" s="1">
        <x:v>432.0</x:v>
      </x:c>
      <x:c r="L433" s="1" t="str">
        <x:f t="shared" si="1"/>
        <x:v>Will Kacmarek</x:v>
      </x:c>
      <x:c r="M433" s="127" t="n">
        <x:f>IFERROR(VLOOKUP(E433,RISK!A:B,2,FALSE()),"")</x:f>
        <x:v>2.2775</x:v>
      </x:c>
      <x:c r="N433" s="118" t="str">
        <x:f t="shared" si="2"/>
        <x:v>#N/A</x:v>
      </x:c>
      <x:c r="Q433" s="9"/>
      <x:c r="R433" s="9"/>
      <x:c r="S433" s="9"/>
      <x:c r="T433" s="9"/>
    </x:row>
    <x:row r="434" ht="14.25" customHeight="1">
      <x:c r="A434" s="1">
        <x:v>431.0</x:v>
      </x:c>
      <x:c r="B434" s="1">
        <x:v>12.0</x:v>
      </x:c>
      <x:c r="C434" s="1" t="s">
        <x:v>1266</x:v>
      </x:c>
      <x:c r="D434" s="1" t="s">
        <x:v>501</x:v>
      </x:c>
      <x:c r="E434" s="1" t="s">
        <x:v>1267</x:v>
      </x:c>
      <x:c r="F434" s="1">
        <x:v>8.0</x:v>
      </x:c>
      <x:c r="G434" s="1" t="s">
        <x:v>1067</x:v>
      </x:c>
      <x:c r="H434" s="1" t="s">
        <x:v>1067</x:v>
      </x:c>
      <x:c r="I434" s="1" t="s">
        <x:v>1060</x:v>
      </x:c>
      <x:c r="J434" s="1" t="s">
        <x:v>1067</x:v>
      </x:c>
      <x:c r="K434" s="1">
        <x:v>433.0</x:v>
      </x:c>
      <x:c r="L434" s="1" t="str">
        <x:f t="shared" si="1"/>
        <x:v>Ben Sauls</x:v>
      </x:c>
      <x:c r="M434" s="127" t="str">
        <x:f>IFERROR(VLOOKUP(E434,RISK!A:B,2,FALSE()),"")</x:f>
      </x:c>
      <x:c r="N434" s="118" t="str">
        <x:f t="shared" si="2"/>
        <x:v>#N/A</x:v>
      </x:c>
      <x:c r="Q434" s="9"/>
      <x:c r="R434" s="9"/>
      <x:c r="S434" s="9"/>
      <x:c r="T434" s="9"/>
    </x:row>
    <x:row r="435" ht="14.25" customHeight="1">
      <x:c r="A435" s="1">
        <x:v>432.0</x:v>
      </x:c>
      <x:c r="B435" s="1">
        <x:v>12.0</x:v>
      </x:c>
      <x:c r="C435" s="1" t="s">
        <x:v>971</x:v>
      </x:c>
      <x:c r="D435" s="1" t="s">
        <x:v>525</x:v>
      </x:c>
      <x:c r="E435" s="1" t="s">
        <x:v>368</x:v>
      </x:c>
      <x:c r="F435" s="1">
        <x:v>6.0</x:v>
      </x:c>
      <x:c r="G435" s="1" t="s">
        <x:v>1067</x:v>
      </x:c>
      <x:c r="H435" s="1" t="s">
        <x:v>1067</x:v>
      </x:c>
      <x:c r="I435" s="1" t="s">
        <x:v>1061</x:v>
      </x:c>
      <x:c r="J435" s="1">
        <x:v>-128.0</x:v>
      </x:c>
      <x:c r="K435" s="1">
        <x:v>434.0</x:v>
      </x:c>
      <x:c r="L435" s="1" t="str">
        <x:f t="shared" si="1"/>
        <x:v>Josh Oliver</x:v>
      </x:c>
      <x:c r="M435" s="127" t="n">
        <x:f>IFERROR(VLOOKUP(E435,RISK!A:B,2,FALSE()),"")</x:f>
        <x:v>2.2775</x:v>
      </x:c>
      <x:c r="N435" s="118" t="str">
        <x:f t="shared" si="2"/>
        <x:v>#N/A</x:v>
      </x:c>
      <x:c r="Q435" s="9"/>
      <x:c r="R435" s="9"/>
      <x:c r="S435" s="9"/>
      <x:c r="T435" s="9"/>
    </x:row>
    <x:row r="436" ht="14.25" customHeight="1">
      <x:c r="A436" s="1">
        <x:v>433.0</x:v>
      </x:c>
      <x:c r="B436" s="1">
        <x:v>12.0</x:v>
      </x:c>
      <x:c r="C436" s="1" t="s">
        <x:v>984</x:v>
      </x:c>
      <x:c r="D436" s="1" t="s">
        <x:v>535</x:v>
      </x:c>
      <x:c r="E436" s="1" t="s">
        <x:v>371</x:v>
      </x:c>
      <x:c r="F436" s="1">
        <x:v>8.0</x:v>
      </x:c>
      <x:c r="G436" s="1" t="s">
        <x:v>1067</x:v>
      </x:c>
      <x:c r="H436" s="1" t="s">
        <x:v>1067</x:v>
      </x:c>
      <x:c r="I436" s="1" t="s">
        <x:v>1061</x:v>
      </x:c>
      <x:c r="J436" s="1" t="s">
        <x:v>1067</x:v>
      </x:c>
      <x:c r="K436" s="1">
        <x:v>435.0</x:v>
      </x:c>
      <x:c r="L436" s="1" t="str">
        <x:f t="shared" si="1"/>
        <x:v>Marlin Klein</x:v>
      </x:c>
      <x:c r="M436" s="127" t="n">
        <x:f>IFERROR(VLOOKUP(E436,RISK!A:B,2,FALSE()),"")</x:f>
        <x:v>2.2775</x:v>
      </x:c>
      <x:c r="N436" s="118" t="str">
        <x:f t="shared" si="2"/>
        <x:v>#N/A</x:v>
      </x:c>
      <x:c r="Q436" s="9"/>
      <x:c r="R436" s="9"/>
      <x:c r="S436" s="9"/>
      <x:c r="T436" s="9"/>
    </x:row>
    <x:row r="437" ht="14.25" customHeight="1">
      <x:c r="A437" s="1">
        <x:v>434.0</x:v>
      </x:c>
      <x:c r="B437" s="1">
        <x:v>12.0</x:v>
      </x:c>
      <x:c r="C437" s="1" t="s">
        <x:v>1268</x:v>
      </x:c>
      <x:c r="D437" s="1" t="s">
        <x:v>1136</x:v>
      </x:c>
      <x:c r="E437" s="1" t="s">
        <x:v>1269</x:v>
      </x:c>
      <x:c r="F437" s="1" t="s">
        <x:v>1067</x:v>
      </x:c>
      <x:c r="G437" s="1" t="s">
        <x:v>1067</x:v>
      </x:c>
      <x:c r="H437" s="1" t="s">
        <x:v>1067</x:v>
      </x:c>
      <x:c r="I437" s="1" t="s">
        <x:v>1067</x:v>
      </x:c>
      <x:c r="J437" s="1" t="s">
        <x:v>1067</x:v>
      </x:c>
      <x:c r="K437" s="1">
        <x:v>436.0</x:v>
      </x:c>
      <x:c r="L437" s="1" t="str">
        <x:f t="shared" si="1"/>
        <x:v>Brandon McManus</x:v>
      </x:c>
      <x:c r="M437" s="127" t="str">
        <x:f>IFERROR(VLOOKUP(E437,RISK!A:B,2,FALSE()),"")</x:f>
      </x:c>
      <x:c r="N437" s="118" t="str">
        <x:f t="shared" si="2"/>
        <x:v>#N/A</x:v>
      </x:c>
      <x:c r="Q437" s="9"/>
      <x:c r="R437" s="9"/>
      <x:c r="S437" s="9"/>
      <x:c r="T437" s="9"/>
    </x:row>
    <x:row r="438" ht="14.25" customHeight="1">
      <x:c r="A438" s="1">
        <x:v>435.0</x:v>
      </x:c>
      <x:c r="B438" s="1">
        <x:v>12.0</x:v>
      </x:c>
      <x:c r="C438" s="1" t="s">
        <x:v>1270</x:v>
      </x:c>
      <x:c r="D438" s="1" t="s">
        <x:v>521</x:v>
      </x:c>
      <x:c r="E438" s="1" t="s">
        <x:v>1271</x:v>
      </x:c>
      <x:c r="F438" s="1">
        <x:v>8.0</x:v>
      </x:c>
      <x:c r="G438" s="1" t="s">
        <x:v>1067</x:v>
      </x:c>
      <x:c r="H438" s="1" t="s">
        <x:v>1067</x:v>
      </x:c>
      <x:c r="I438" s="1" t="s">
        <x:v>1059</x:v>
      </x:c>
      <x:c r="J438" s="1" t="s">
        <x:v>1067</x:v>
      </x:c>
      <x:c r="K438" s="1">
        <x:v>437.0</x:v>
      </x:c>
      <x:c r="L438" s="1" t="str">
        <x:f t="shared" si="1"/>
        <x:v>Daniel Carlson</x:v>
      </x:c>
      <x:c r="M438" s="127" t="str">
        <x:f>IFERROR(VLOOKUP(E438,RISK!A:B,2,FALSE()),"")</x:f>
      </x:c>
      <x:c r="N438" s="118" t="str">
        <x:f t="shared" si="2"/>
        <x:v>#N/A</x:v>
      </x:c>
      <x:c r="Q438" s="9"/>
      <x:c r="R438" s="9"/>
      <x:c r="S438" s="9"/>
      <x:c r="T438" s="9"/>
    </x:row>
    <x:row r="439" ht="14.25" customHeight="1">
      <x:c r="A439" s="1">
        <x:v>436.0</x:v>
      </x:c>
      <x:c r="B439" s="1">
        <x:v>12.0</x:v>
      </x:c>
      <x:c r="C439" s="1" t="s">
        <x:v>1272</x:v>
      </x:c>
      <x:c r="D439" s="1" t="s">
        <x:v>495</x:v>
      </x:c>
      <x:c r="E439" s="1" t="s">
        <x:v>1273</x:v>
      </x:c>
      <x:c r="F439" s="1">
        <x:v>7.0</x:v>
      </x:c>
      <x:c r="G439" s="1" t="s">
        <x:v>1067</x:v>
      </x:c>
      <x:c r="H439" s="1" t="s">
        <x:v>1067</x:v>
      </x:c>
      <x:c r="I439" s="1" t="s">
        <x:v>1060</x:v>
      </x:c>
      <x:c r="J439" s="1" t="s">
        <x:v>1067</x:v>
      </x:c>
      <x:c r="K439" s="1">
        <x:v>438.0</x:v>
      </x:c>
      <x:c r="L439" s="1" t="str">
        <x:f t="shared" si="1"/>
        <x:v>Washington Commanders</x:v>
      </x:c>
      <x:c r="M439" s="127" t="str">
        <x:f>IFERROR(VLOOKUP(E439,RISK!A:B,2,FALSE()),"")</x:f>
      </x:c>
      <x:c r="N439" s="118" t="str">
        <x:f t="shared" si="2"/>
        <x:v>#N/A</x:v>
      </x:c>
      <x:c r="Q439" s="9"/>
      <x:c r="R439" s="9"/>
      <x:c r="S439" s="9"/>
      <x:c r="T439" s="9"/>
    </x:row>
    <x:row r="440" ht="14.25" customHeight="1">
      <x:c r="A440" s="1">
        <x:v>437.0</x:v>
      </x:c>
      <x:c r="B440" s="1">
        <x:v>12.0</x:v>
      </x:c>
      <x:c r="C440" s="1" t="s">
        <x:v>728</x:v>
      </x:c>
      <x:c r="D440" s="1" t="s">
        <x:v>525</x:v>
      </x:c>
      <x:c r="E440" s="1" t="s">
        <x:v>1274</x:v>
      </x:c>
      <x:c r="F440" s="1">
        <x:v>6.0</x:v>
      </x:c>
      <x:c r="G440" s="1" t="s">
        <x:v>1067</x:v>
      </x:c>
      <x:c r="H440" s="1" t="s">
        <x:v>1067</x:v>
      </x:c>
      <x:c r="I440" s="1" t="s">
        <x:v>1061</x:v>
      </x:c>
      <x:c r="J440" s="1" t="s">
        <x:v>1067</x:v>
      </x:c>
      <x:c r="K440" s="1">
        <x:v>439.0</x:v>
      </x:c>
      <x:c r="L440" s="1" t="str">
        <x:f t="shared" si="1"/>
        <x:v>Zavier Scott</x:v>
      </x:c>
      <x:c r="M440" s="127" t="n">
        <x:f>IFERROR(VLOOKUP(E440,RISK!A:B,2,FALSE()),"")</x:f>
        <x:v>3.368</x:v>
      </x:c>
      <x:c r="N440" s="118" t="str">
        <x:f t="shared" si="2"/>
        <x:v>#N/A</x:v>
      </x:c>
      <x:c r="Q440" s="9"/>
      <x:c r="R440" s="9"/>
      <x:c r="S440" s="9"/>
      <x:c r="T440" s="9"/>
    </x:row>
    <x:row r="441" ht="14.25" customHeight="1">
      <x:c r="A441" s="1">
        <x:v>438.0</x:v>
      </x:c>
      <x:c r="B441" s="1">
        <x:v>12.0</x:v>
      </x:c>
      <x:c r="C441" s="1" t="s">
        <x:v>892</x:v>
      </x:c>
      <x:c r="D441" s="1" t="s">
        <x:v>525</x:v>
      </x:c>
      <x:c r="E441" s="1" t="s">
        <x:v>1275</x:v>
      </x:c>
      <x:c r="F441" s="1">
        <x:v>6.0</x:v>
      </x:c>
      <x:c r="G441" s="1" t="s">
        <x:v>1067</x:v>
      </x:c>
      <x:c r="H441" s="1" t="s">
        <x:v>1067</x:v>
      </x:c>
      <x:c r="I441" s="1" t="s">
        <x:v>1059</x:v>
      </x:c>
      <x:c r="J441" s="1" t="s">
        <x:v>1067</x:v>
      </x:c>
      <x:c r="K441" s="1">
        <x:v>440.0</x:v>
      </x:c>
      <x:c r="L441" s="1" t="str">
        <x:f t="shared" si="1"/>
        <x:v>Tai Felton</x:v>
      </x:c>
      <x:c r="M441" s="127" t="n">
        <x:f>IFERROR(VLOOKUP(E441,RISK!A:B,2,FALSE()),"")</x:f>
        <x:v>3.7</x:v>
      </x:c>
      <x:c r="N441" s="118" t="str">
        <x:f t="shared" si="2"/>
        <x:v>#N/A</x:v>
      </x:c>
      <x:c r="Q441" s="9"/>
      <x:c r="R441" s="9"/>
      <x:c r="S441" s="9"/>
      <x:c r="T441" s="9"/>
    </x:row>
    <x:row r="442" ht="14.25" customHeight="1">
      <x:c r="A442" s="1">
        <x:v>439.0</x:v>
      </x:c>
      <x:c r="B442" s="1">
        <x:v>12.0</x:v>
      </x:c>
      <x:c r="C442" s="1" t="s">
        <x:v>1276</x:v>
      </x:c>
      <x:c r="D442" s="1" t="s">
        <x:v>1136</x:v>
      </x:c>
      <x:c r="E442" s="1" t="s">
        <x:v>1277</x:v>
      </x:c>
      <x:c r="F442" s="1" t="s">
        <x:v>1067</x:v>
      </x:c>
      <x:c r="G442" s="1" t="s">
        <x:v>1067</x:v>
      </x:c>
      <x:c r="H442" s="1" t="s">
        <x:v>1067</x:v>
      </x:c>
      <x:c r="I442" s="1" t="s">
        <x:v>1067</x:v>
      </x:c>
      <x:c r="J442" s="1" t="s">
        <x:v>1067</x:v>
      </x:c>
      <x:c r="K442" s="1">
        <x:v>441.0</x:v>
      </x:c>
      <x:c r="L442" s="1" t="str">
        <x:f t="shared" si="1"/>
        <x:v>Jake Moody</x:v>
      </x:c>
      <x:c r="M442" s="127" t="str">
        <x:f>IFERROR(VLOOKUP(E442,RISK!A:B,2,FALSE()),"")</x:f>
      </x:c>
      <x:c r="N442" s="118" t="str">
        <x:f t="shared" si="2"/>
        <x:v>#N/A</x:v>
      </x:c>
      <x:c r="Q442" s="9"/>
      <x:c r="R442" s="9"/>
      <x:c r="S442" s="9"/>
      <x:c r="T442" s="9"/>
    </x:row>
    <x:row r="443" ht="14.25" customHeight="1">
      <x:c r="A443" s="1">
        <x:v>440.0</x:v>
      </x:c>
      <x:c r="B443" s="1">
        <x:v>12.0</x:v>
      </x:c>
      <x:c r="C443" s="1" t="s">
        <x:v>1278</x:v>
      </x:c>
      <x:c r="D443" s="1" t="s">
        <x:v>539</x:v>
      </x:c>
      <x:c r="E443" s="1" t="s">
        <x:v>1279</x:v>
      </x:c>
      <x:c r="F443" s="1">
        <x:v>13.0</x:v>
      </x:c>
      <x:c r="G443" s="1" t="s">
        <x:v>1067</x:v>
      </x:c>
      <x:c r="H443" s="1" t="s">
        <x:v>1067</x:v>
      </x:c>
      <x:c r="I443" s="1" t="s">
        <x:v>1061</x:v>
      </x:c>
      <x:c r="J443" s="1">
        <x:v>-73.0</x:v>
      </x:c>
      <x:c r="K443" s="1">
        <x:v>442.0</x:v>
      </x:c>
      <x:c r="L443" s="1" t="str">
        <x:f t="shared" si="1"/>
        <x:v>New York Jets</x:v>
      </x:c>
      <x:c r="M443" s="127" t="str">
        <x:f>IFERROR(VLOOKUP(E443,RISK!A:B,2,FALSE()),"")</x:f>
      </x:c>
      <x:c r="N443" s="118" t="str">
        <x:f t="shared" si="2"/>
        <x:v>#N/A</x:v>
      </x:c>
      <x:c r="Q443" s="9"/>
      <x:c r="R443" s="9"/>
      <x:c r="S443" s="9"/>
      <x:c r="T443" s="9"/>
    </x:row>
    <x:row r="444" ht="14.25" customHeight="1">
      <x:c r="A444" s="1">
        <x:v>441.0</x:v>
      </x:c>
      <x:c r="B444" s="1">
        <x:v>12.0</x:v>
      </x:c>
      <x:c r="C444" s="1" t="s">
        <x:v>1280</x:v>
      </x:c>
      <x:c r="D444" s="1" t="s">
        <x:v>547</x:v>
      </x:c>
      <x:c r="E444" s="1" t="s">
        <x:v>1281</x:v>
      </x:c>
      <x:c r="F444" s="1">
        <x:v>13.0</x:v>
      </x:c>
      <x:c r="G444" s="1" t="s">
        <x:v>1067</x:v>
      </x:c>
      <x:c r="H444" s="1" t="s">
        <x:v>1067</x:v>
      </x:c>
      <x:c r="I444" s="1" t="s">
        <x:v>1061</x:v>
      </x:c>
      <x:c r="J444" s="1">
        <x:v>-115.0</x:v>
      </x:c>
      <x:c r="K444" s="1">
        <x:v>443.0</x:v>
      </x:c>
      <x:c r="L444" s="1" t="str">
        <x:f t="shared" si="1"/>
        <x:v>Las Vegas Raiders</x:v>
      </x:c>
      <x:c r="M444" s="127" t="str">
        <x:f>IFERROR(VLOOKUP(E444,RISK!A:B,2,FALSE()),"")</x:f>
      </x:c>
      <x:c r="N444" s="118" t="str">
        <x:f t="shared" si="2"/>
        <x:v>#N/A</x:v>
      </x:c>
      <x:c r="Q444" s="9"/>
      <x:c r="R444" s="9"/>
      <x:c r="S444" s="9"/>
      <x:c r="T444" s="9"/>
    </x:row>
    <x:row r="445" ht="14.25" customHeight="1">
      <x:c r="A445" s="1">
        <x:v>442.0</x:v>
      </x:c>
      <x:c r="B445" s="1">
        <x:v>12.0</x:v>
      </x:c>
      <x:c r="C445" s="1" t="s">
        <x:v>874</x:v>
      </x:c>
      <x:c r="D445" s="1" t="s">
        <x:v>501</x:v>
      </x:c>
      <x:c r="E445" s="1" t="s">
        <x:v>1282</x:v>
      </x:c>
      <x:c r="F445" s="1">
        <x:v>8.0</x:v>
      </x:c>
      <x:c r="G445" s="1" t="s">
        <x:v>1067</x:v>
      </x:c>
      <x:c r="H445" s="1" t="s">
        <x:v>1067</x:v>
      </x:c>
      <x:c r="I445" s="1" t="s">
        <x:v>1061</x:v>
      </x:c>
      <x:c r="J445" s="1" t="s">
        <x:v>1067</x:v>
      </x:c>
      <x:c r="K445" s="1">
        <x:v>444.0</x:v>
      </x:c>
      <x:c r="L445" s="1" t="str">
        <x:f t="shared" si="1"/>
        <x:v>Odell Beckham Jr.</x:v>
      </x:c>
      <x:c r="M445" s="127" t="n">
        <x:f>IFERROR(VLOOKUP(E445,RISK!A:B,2,FALSE()),"")</x:f>
        <x:v>3.7</x:v>
      </x:c>
      <x:c r="N445" s="118" t="str">
        <x:f t="shared" si="2"/>
        <x:v>#N/A</x:v>
      </x:c>
      <x:c r="Q445" s="9"/>
      <x:c r="R445" s="9"/>
      <x:c r="S445" s="9"/>
      <x:c r="T445" s="9"/>
    </x:row>
    <x:row r="446" ht="14.25" customHeight="1">
      <x:c r="A446" s="1">
        <x:v>443.0</x:v>
      </x:c>
      <x:c r="B446" s="1">
        <x:v>12.0</x:v>
      </x:c>
      <x:c r="C446" s="1" t="s">
        <x:v>1283</x:v>
      </x:c>
      <x:c r="D446" s="1" t="s">
        <x:v>1136</x:v>
      </x:c>
      <x:c r="E446" s="1" t="s">
        <x:v>374</x:v>
      </x:c>
      <x:c r="F446" s="1" t="s">
        <x:v>1067</x:v>
      </x:c>
      <x:c r="G446" s="1" t="s">
        <x:v>1067</x:v>
      </x:c>
      <x:c r="H446" s="1" t="s">
        <x:v>1067</x:v>
      </x:c>
      <x:c r="I446" s="1" t="s">
        <x:v>1067</x:v>
      </x:c>
      <x:c r="J446" s="1" t="s">
        <x:v>1067</x:v>
      </x:c>
      <x:c r="K446" s="1">
        <x:v>445.0</x:v>
      </x:c>
      <x:c r="L446" s="1" t="str">
        <x:f t="shared" si="1"/>
        <x:v>Zach Ertz</x:v>
      </x:c>
      <x:c r="M446" s="127" t="n">
        <x:f>IFERROR(VLOOKUP(E446,RISK!A:B,2,FALSE()),"")</x:f>
        <x:v>2.2775</x:v>
      </x:c>
      <x:c r="N446" s="118" t="str">
        <x:f t="shared" si="2"/>
        <x:v>#N/A</x:v>
      </x:c>
      <x:c r="Q446" s="9"/>
      <x:c r="R446" s="9"/>
      <x:c r="S446" s="9"/>
      <x:c r="T446" s="9"/>
    </x:row>
    <x:row r="447" ht="14.25" customHeight="1">
      <x:c r="A447" s="1">
        <x:v>444.0</x:v>
      </x:c>
      <x:c r="B447" s="1">
        <x:v>12.0</x:v>
      </x:c>
      <x:c r="C447" s="1" t="s">
        <x:v>1284</x:v>
      </x:c>
      <x:c r="D447" s="1" t="s">
        <x:v>491</x:v>
      </x:c>
      <x:c r="E447" s="1" t="s">
        <x:v>377</x:v>
      </x:c>
      <x:c r="F447" s="1">
        <x:v>13.0</x:v>
      </x:c>
      <x:c r="G447" s="1" t="s">
        <x:v>1067</x:v>
      </x:c>
      <x:c r="H447" s="1" t="s">
        <x:v>1067</x:v>
      </x:c>
      <x:c r="I447" s="1" t="s">
        <x:v>1061</x:v>
      </x:c>
      <x:c r="J447" s="1" t="s">
        <x:v>1067</x:v>
      </x:c>
      <x:c r="K447" s="1">
        <x:v>446.0</x:v>
      </x:c>
      <x:c r="L447" s="1" t="str">
        <x:f t="shared" si="1"/>
        <x:v>Matt Hibner</x:v>
      </x:c>
      <x:c r="M447" s="127" t="n">
        <x:f>IFERROR(VLOOKUP(E447,RISK!A:B,2,FALSE()),"")</x:f>
        <x:v>2.2775</x:v>
      </x:c>
      <x:c r="N447" s="118" t="str">
        <x:f t="shared" si="2"/>
        <x:v>#N/A</x:v>
      </x:c>
      <x:c r="Q447" s="9"/>
      <x:c r="R447" s="9"/>
      <x:c r="S447" s="9"/>
      <x:c r="T447" s="9"/>
    </x:row>
    <x:row r="448" ht="14.25" customHeight="1">
      <x:c r="A448" s="1">
        <x:v>445.0</x:v>
      </x:c>
      <x:c r="B448" s="1">
        <x:v>12.0</x:v>
      </x:c>
      <x:c r="C448" s="1" t="s">
        <x:v>1285</x:v>
      </x:c>
      <x:c r="D448" s="1" t="s">
        <x:v>503</x:v>
      </x:c>
      <x:c r="E448" s="1" t="s">
        <x:v>1286</x:v>
      </x:c>
      <x:c r="F448" s="1">
        <x:v>8.0</x:v>
      </x:c>
      <x:c r="G448" s="1" t="s">
        <x:v>1067</x:v>
      </x:c>
      <x:c r="H448" s="1" t="s">
        <x:v>1067</x:v>
      </x:c>
      <x:c r="I448" s="1" t="s">
        <x:v>1060</x:v>
      </x:c>
      <x:c r="J448" s="1" t="s">
        <x:v>1067</x:v>
      </x:c>
      <x:c r="K448" s="1">
        <x:v>447.0</x:v>
      </x:c>
      <x:c r="L448" s="1" t="str">
        <x:f t="shared" si="1"/>
        <x:v>Khalil Herbert</x:v>
      </x:c>
      <x:c r="M448" s="127" t="n">
        <x:f>IFERROR(VLOOKUP(E448,RISK!A:B,2,FALSE()),"")</x:f>
        <x:v>3.368</x:v>
      </x:c>
      <x:c r="N448" s="118" t="str">
        <x:f t="shared" si="2"/>
        <x:v>#N/A</x:v>
      </x:c>
      <x:c r="Q448" s="9"/>
      <x:c r="R448" s="9"/>
      <x:c r="S448" s="9"/>
      <x:c r="T448" s="9"/>
    </x:row>
    <x:row r="449" ht="14.25" customHeight="1">
      <x:c r="A449" s="1">
        <x:v>446.0</x:v>
      </x:c>
      <x:c r="B449" s="1">
        <x:v>12.0</x:v>
      </x:c>
      <x:c r="C449" s="1" t="s">
        <x:v>1287</x:v>
      </x:c>
      <x:c r="D449" s="1" t="s">
        <x:v>541</x:v>
      </x:c>
      <x:c r="E449" s="1" t="s">
        <x:v>1288</x:v>
      </x:c>
      <x:c r="F449" s="1">
        <x:v>9.0</x:v>
      </x:c>
      <x:c r="G449" s="1" t="s">
        <x:v>1067</x:v>
      </x:c>
      <x:c r="H449" s="1" t="s">
        <x:v>1067</x:v>
      </x:c>
      <x:c r="I449" s="1" t="s">
        <x:v>1064</x:v>
      </x:c>
      <x:c r="J449" s="1" t="s">
        <x:v>1067</x:v>
      </x:c>
      <x:c r="K449" s="1">
        <x:v>448.0</x:v>
      </x:c>
      <x:c r="L449" s="1" t="str">
        <x:f t="shared" si="1"/>
        <x:v>Xavier Restrepo</x:v>
      </x:c>
      <x:c r="M449" s="127" t="n">
        <x:f>IFERROR(VLOOKUP(E449,RISK!A:B,2,FALSE()),"")</x:f>
        <x:v>3.7</x:v>
      </x:c>
      <x:c r="N449" s="118" t="str">
        <x:f t="shared" si="2"/>
        <x:v>#N/A</x:v>
      </x:c>
      <x:c r="Q449" s="9"/>
      <x:c r="R449" s="9"/>
      <x:c r="S449" s="9"/>
      <x:c r="T449" s="9"/>
    </x:row>
    <x:row r="450" ht="14.25" customHeight="1">
      <x:c r="A450" s="1">
        <x:v>447.0</x:v>
      </x:c>
      <x:c r="B450" s="1">
        <x:v>12.0</x:v>
      </x:c>
      <x:c r="C450" s="1" t="s">
        <x:v>559</x:v>
      </x:c>
      <x:c r="D450" s="1" t="s">
        <x:v>527</x:v>
      </x:c>
      <x:c r="E450" s="1" t="s">
        <x:v>313</x:v>
      </x:c>
      <x:c r="F450" s="1">
        <x:v>13.0</x:v>
      </x:c>
      <x:c r="G450" s="1" t="s">
        <x:v>1067</x:v>
      </x:c>
      <x:c r="H450" s="1" t="s">
        <x:v>1067</x:v>
      </x:c>
      <x:c r="I450" s="1" t="s">
        <x:v>1061</x:v>
      </x:c>
      <x:c r="J450" s="1" t="s">
        <x:v>1067</x:v>
      </x:c>
      <x:c r="K450" s="1">
        <x:v>449.0</x:v>
      </x:c>
      <x:c r="L450" s="1" t="str">
        <x:f t="shared" si="1"/>
        <x:v>Riley Leonard</x:v>
      </x:c>
      <x:c r="M450" s="127" t="n">
        <x:f>IFERROR(VLOOKUP(E450,RISK!A:B,2,FALSE()),"")</x:f>
        <x:v>3.2</x:v>
      </x:c>
      <x:c r="N450" s="118">
        <x:f t="shared" si="2"/>
        <x:v>6.845741176</x:v>
      </x:c>
      <x:c r="Q450" s="9"/>
      <x:c r="R450" s="9"/>
      <x:c r="S450" s="9"/>
      <x:c r="T450" s="9"/>
    </x:row>
    <x:row r="451" ht="14.25" customHeight="1">
      <x:c r="A451" s="1">
        <x:v>448.0</x:v>
      </x:c>
      <x:c r="B451" s="1">
        <x:v>12.0</x:v>
      </x:c>
      <x:c r="C451" s="1" t="s">
        <x:v>1289</x:v>
      </x:c>
      <x:c r="D451" s="1" t="s">
        <x:v>1136</x:v>
      </x:c>
      <x:c r="E451" s="1" t="s">
        <x:v>380</x:v>
      </x:c>
      <x:c r="F451" s="1" t="s">
        <x:v>1067</x:v>
      </x:c>
      <x:c r="G451" s="1" t="s">
        <x:v>1067</x:v>
      </x:c>
      <x:c r="H451" s="1" t="s">
        <x:v>1067</x:v>
      </x:c>
      <x:c r="I451" s="1" t="s">
        <x:v>1067</x:v>
      </x:c>
      <x:c r="J451" s="1" t="s">
        <x:v>1067</x:v>
      </x:c>
      <x:c r="K451" s="1">
        <x:v>450.0</x:v>
      </x:c>
      <x:c r="L451" s="1" t="str">
        <x:f t="shared" si="1"/>
        <x:v>Jonnu Smith</x:v>
      </x:c>
      <x:c r="M451" s="127" t="n">
        <x:f>IFERROR(VLOOKUP(E451,RISK!A:B,2,FALSE()),"")</x:f>
        <x:v>2.2775</x:v>
      </x:c>
      <x:c r="N451" s="118" t="str">
        <x:f t="shared" si="2"/>
        <x:v>#N/A</x:v>
      </x:c>
      <x:c r="Q451" s="9"/>
      <x:c r="R451" s="9"/>
      <x:c r="S451" s="9"/>
      <x:c r="T451" s="9"/>
    </x:row>
    <x:row r="452" ht="14.25" customHeight="1">
      <x:c r="A452" s="1">
        <x:v>449.0</x:v>
      </x:c>
      <x:c r="B452" s="1">
        <x:v>12.0</x:v>
      </x:c>
      <x:c r="C452" s="1" t="s">
        <x:v>563</x:v>
      </x:c>
      <x:c r="D452" s="1" t="s">
        <x:v>529</x:v>
      </x:c>
      <x:c r="E452" s="1" t="s">
        <x:v>317</x:v>
      </x:c>
      <x:c r="F452" s="1">
        <x:v>6.0</x:v>
      </x:c>
      <x:c r="G452" s="1" t="s">
        <x:v>1067</x:v>
      </x:c>
      <x:c r="H452" s="1" t="s">
        <x:v>1067</x:v>
      </x:c>
      <x:c r="I452" s="1" t="s">
        <x:v>1064</x:v>
      </x:c>
      <x:c r="J452" s="1" t="s">
        <x:v>1067</x:v>
      </x:c>
      <x:c r="K452" s="1">
        <x:v>451.0</x:v>
      </x:c>
      <x:c r="L452" s="1" t="str">
        <x:f t="shared" si="1"/>
        <x:v>Quinn Ewers</x:v>
      </x:c>
      <x:c r="M452" s="127" t="n">
        <x:f>IFERROR(VLOOKUP(E452,RISK!A:B,2,FALSE()),"")</x:f>
        <x:v>3.2</x:v>
      </x:c>
      <x:c r="N452" s="118">
        <x:f t="shared" si="2"/>
        <x:v>6.552094118</x:v>
      </x:c>
      <x:c r="Q452" s="9"/>
      <x:c r="R452" s="9"/>
      <x:c r="S452" s="9"/>
      <x:c r="T452" s="9"/>
    </x:row>
    <x:row r="453" ht="14.25" customHeight="1">
      <x:c r="A453" s="1">
        <x:v>450.0</x:v>
      </x:c>
      <x:c r="B453" s="1">
        <x:v>12.0</x:v>
      </x:c>
      <x:c r="C453" s="1" t="s">
        <x:v>1290</x:v>
      </x:c>
      <x:c r="D453" s="1" t="s">
        <x:v>495</x:v>
      </x:c>
      <x:c r="E453" s="1" t="s">
        <x:v>1291</x:v>
      </x:c>
      <x:c r="F453" s="1">
        <x:v>7.0</x:v>
      </x:c>
      <x:c r="G453" s="1" t="s">
        <x:v>1067</x:v>
      </x:c>
      <x:c r="H453" s="1" t="s">
        <x:v>1067</x:v>
      </x:c>
      <x:c r="I453" s="1" t="s">
        <x:v>1061</x:v>
      </x:c>
      <x:c r="J453" s="1" t="s">
        <x:v>1067</x:v>
      </x:c>
      <x:c r="K453" s="1">
        <x:v>452.0</x:v>
      </x:c>
      <x:c r="L453" s="1" t="str">
        <x:f t="shared" si="1"/>
        <x:v>Jeremy McNichols</x:v>
      </x:c>
      <x:c r="M453" s="127" t="n">
        <x:f>IFERROR(VLOOKUP(E453,RISK!A:B,2,FALSE()),"")</x:f>
        <x:v>3.368</x:v>
      </x:c>
      <x:c r="N453" s="118" t="str">
        <x:f t="shared" si="2"/>
        <x:v>#N/A</x:v>
      </x:c>
      <x:c r="Q453" s="9"/>
      <x:c r="R453" s="9"/>
      <x:c r="S453" s="9"/>
      <x:c r="T453" s="9"/>
    </x:row>
    <x:row r="454" ht="14.25" customHeight="1">
      <x:c r="A454" s="1">
        <x:v>451.0</x:v>
      </x:c>
      <x:c r="B454" s="1">
        <x:v>12.0</x:v>
      </x:c>
      <x:c r="C454" s="1" t="s">
        <x:v>1020</x:v>
      </x:c>
      <x:c r="D454" s="1" t="s">
        <x:v>505</x:v>
      </x:c>
      <x:c r="E454" s="1" t="s">
        <x:v>383</x:v>
      </x:c>
      <x:c r="F454" s="1">
        <x:v>7.0</x:v>
      </x:c>
      <x:c r="G454" s="1" t="s">
        <x:v>1067</x:v>
      </x:c>
      <x:c r="H454" s="1" t="s">
        <x:v>1067</x:v>
      </x:c>
      <x:c r="I454" s="1" t="s">
        <x:v>1064</x:v>
      </x:c>
      <x:c r="J454" s="1" t="s">
        <x:v>1067</x:v>
      </x:c>
      <x:c r="K454" s="1">
        <x:v>453.0</x:v>
      </x:c>
      <x:c r="L454" s="1" t="str">
        <x:f t="shared" si="1"/>
        <x:v>Tanner Koziol</x:v>
      </x:c>
      <x:c r="M454" s="127" t="n">
        <x:f>IFERROR(VLOOKUP(E454,RISK!A:B,2,FALSE()),"")</x:f>
        <x:v>2.2775</x:v>
      </x:c>
      <x:c r="N454" s="118" t="str">
        <x:f t="shared" si="2"/>
        <x:v>#N/A</x:v>
      </x:c>
      <x:c r="Q454" s="9"/>
      <x:c r="R454" s="9"/>
      <x:c r="S454" s="9"/>
      <x:c r="T454" s="9"/>
    </x:row>
    <x:row r="455" ht="14.25" customHeight="1">
      <x:c r="A455" s="1">
        <x:v>452.0</x:v>
      </x:c>
      <x:c r="B455" s="1">
        <x:v>12.0</x:v>
      </x:c>
      <x:c r="C455" s="1" t="s">
        <x:v>1292</x:v>
      </x:c>
      <x:c r="D455" s="1" t="s">
        <x:v>517</x:v>
      </x:c>
      <x:c r="E455" s="1" t="s">
        <x:v>1293</x:v>
      </x:c>
      <x:c r="F455" s="1">
        <x:v>11.0</x:v>
      </x:c>
      <x:c r="G455" s="1" t="s">
        <x:v>1067</x:v>
      </x:c>
      <x:c r="H455" s="1" t="s">
        <x:v>1067</x:v>
      </x:c>
      <x:c r="I455" s="1" t="s">
        <x:v>1059</x:v>
      </x:c>
      <x:c r="J455" s="1" t="s">
        <x:v>1067</x:v>
      </x:c>
      <x:c r="K455" s="1">
        <x:v>454.0</x:v>
      </x:c>
      <x:c r="L455" s="1" t="str">
        <x:f t="shared" si="1"/>
        <x:v>Ronnie Rivers</x:v>
      </x:c>
      <x:c r="M455" s="127" t="n">
        <x:f>IFERROR(VLOOKUP(E455,RISK!A:B,2,FALSE()),"")</x:f>
        <x:v>3.368</x:v>
      </x:c>
      <x:c r="N455" s="118" t="str">
        <x:f t="shared" si="2"/>
        <x:v>#N/A</x:v>
      </x:c>
      <x:c r="Q455" s="9"/>
      <x:c r="R455" s="9"/>
      <x:c r="S455" s="9"/>
      <x:c r="T455" s="9"/>
    </x:row>
    <x:row r="456" ht="14.25" customHeight="1">
      <x:c r="A456" s="1">
        <x:v>453.0</x:v>
      </x:c>
      <x:c r="B456" s="1">
        <x:v>12.0</x:v>
      </x:c>
      <x:c r="C456" s="1" t="s">
        <x:v>889</x:v>
      </x:c>
      <x:c r="D456" s="1" t="s">
        <x:v>499</x:v>
      </x:c>
      <x:c r="E456" s="1" t="s">
        <x:v>1294</x:v>
      </x:c>
      <x:c r="F456" s="1">
        <x:v>6.0</x:v>
      </x:c>
      <x:c r="G456" s="1" t="s">
        <x:v>1067</x:v>
      </x:c>
      <x:c r="H456" s="1" t="s">
        <x:v>1067</x:v>
      </x:c>
      <x:c r="I456" s="1" t="s">
        <x:v>1061</x:v>
      </x:c>
      <x:c r="J456" s="1">
        <x:v>-163.0</x:v>
      </x:c>
      <x:c r="K456" s="1">
        <x:v>455.0</x:v>
      </x:c>
      <x:c r="L456" s="1" t="str">
        <x:f t="shared" si="1"/>
        <x:v>Mitch Tinsley</x:v>
      </x:c>
      <x:c r="M456" s="127" t="n">
        <x:f>IFERROR(VLOOKUP(E456,RISK!A:B,2,FALSE()),"")</x:f>
        <x:v>3.7</x:v>
      </x:c>
      <x:c r="N456" s="118" t="str">
        <x:f t="shared" si="2"/>
        <x:v>#N/A</x:v>
      </x:c>
      <x:c r="Q456" s="9"/>
      <x:c r="R456" s="9"/>
      <x:c r="S456" s="9"/>
      <x:c r="T456" s="9"/>
    </x:row>
    <x:row r="457" ht="14.25" customHeight="1">
      <x:c r="A457" s="1">
        <x:v>454.0</x:v>
      </x:c>
      <x:c r="B457" s="1">
        <x:v>12.0</x:v>
      </x:c>
      <x:c r="C457" s="1" t="s">
        <x:v>730</x:v>
      </x:c>
      <x:c r="D457" s="1" t="s">
        <x:v>547</x:v>
      </x:c>
      <x:c r="E457" s="1" t="s">
        <x:v>1295</x:v>
      </x:c>
      <x:c r="F457" s="1">
        <x:v>13.0</x:v>
      </x:c>
      <x:c r="G457" s="1" t="s">
        <x:v>1067</x:v>
      </x:c>
      <x:c r="H457" s="1" t="s">
        <x:v>1067</x:v>
      </x:c>
      <x:c r="I457" s="1" t="s">
        <x:v>1060</x:v>
      </x:c>
      <x:c r="J457" s="1" t="s">
        <x:v>1067</x:v>
      </x:c>
      <x:c r="K457" s="1">
        <x:v>456.0</x:v>
      </x:c>
      <x:c r="L457" s="1" t="str">
        <x:f t="shared" si="1"/>
        <x:v>Dylan Laube</x:v>
      </x:c>
      <x:c r="M457" s="127" t="n">
        <x:f>IFERROR(VLOOKUP(E457,RISK!A:B,2,FALSE()),"")</x:f>
        <x:v>3.368</x:v>
      </x:c>
      <x:c r="N457" s="118" t="str">
        <x:f t="shared" si="2"/>
        <x:v>#N/A</x:v>
      </x:c>
      <x:c r="Q457" s="9"/>
      <x:c r="R457" s="9"/>
      <x:c r="S457" s="9"/>
      <x:c r="T457" s="9"/>
    </x:row>
    <x:row r="458" ht="14.25" customHeight="1">
      <x:c r="A458" s="1">
        <x:v>455.0</x:v>
      </x:c>
      <x:c r="B458" s="1">
        <x:v>12.0</x:v>
      </x:c>
      <x:c r="C458" s="1" t="s">
        <x:v>694</x:v>
      </x:c>
      <x:c r="D458" s="1" t="s">
        <x:v>507</x:v>
      </x:c>
      <x:c r="E458" s="1" t="s">
        <x:v>1296</x:v>
      </x:c>
      <x:c r="F458" s="1">
        <x:v>14.0</x:v>
      </x:c>
      <x:c r="G458" s="1" t="s">
        <x:v>1067</x:v>
      </x:c>
      <x:c r="H458" s="1" t="s">
        <x:v>1067</x:v>
      </x:c>
      <x:c r="I458" s="1" t="s">
        <x:v>1061</x:v>
      </x:c>
      <x:c r="J458" s="1" t="s">
        <x:v>1067</x:v>
      </x:c>
      <x:c r="K458" s="1">
        <x:v>457.0</x:v>
      </x:c>
      <x:c r="L458" s="1" t="str">
        <x:f t="shared" si="1"/>
        <x:v>Hunter Luepke</x:v>
      </x:c>
      <x:c r="M458" s="127" t="n">
        <x:f>IFERROR(VLOOKUP(E458,RISK!A:B,2,FALSE()),"")</x:f>
        <x:v>3.368</x:v>
      </x:c>
      <x:c r="N458" s="118" t="str">
        <x:f t="shared" si="2"/>
        <x:v>#N/A</x:v>
      </x:c>
      <x:c r="Q458" s="9"/>
      <x:c r="R458" s="9"/>
      <x:c r="S458" s="9"/>
      <x:c r="T458" s="9"/>
    </x:row>
    <x:row r="459" ht="14.25" customHeight="1">
      <x:c r="A459" s="1">
        <x:v>456.0</x:v>
      </x:c>
      <x:c r="B459" s="1">
        <x:v>12.0</x:v>
      </x:c>
      <x:c r="C459" s="1" t="s">
        <x:v>997</x:v>
      </x:c>
      <x:c r="D459" s="1" t="s">
        <x:v>487</x:v>
      </x:c>
      <x:c r="E459" s="1" t="s">
        <x:v>386</x:v>
      </x:c>
      <x:c r="F459" s="1">
        <x:v>7.0</x:v>
      </x:c>
      <x:c r="G459" s="1" t="s">
        <x:v>1067</x:v>
      </x:c>
      <x:c r="H459" s="1" t="s">
        <x:v>1067</x:v>
      </x:c>
      <x:c r="I459" s="1" t="s">
        <x:v>1064</x:v>
      </x:c>
      <x:c r="J459" s="1" t="s">
        <x:v>1067</x:v>
      </x:c>
      <x:c r="K459" s="1">
        <x:v>458.0</x:v>
      </x:c>
      <x:c r="L459" s="1" t="str">
        <x:f t="shared" si="1"/>
        <x:v>Jackson Hawes</x:v>
      </x:c>
      <x:c r="M459" s="127" t="n">
        <x:f>IFERROR(VLOOKUP(E459,RISK!A:B,2,FALSE()),"")</x:f>
        <x:v>2.2775</x:v>
      </x:c>
      <x:c r="N459" s="118" t="str">
        <x:f t="shared" si="2"/>
        <x:v>#N/A</x:v>
      </x:c>
      <x:c r="Q459" s="9"/>
      <x:c r="R459" s="9"/>
      <x:c r="S459" s="9"/>
      <x:c r="T459" s="9"/>
    </x:row>
    <x:row r="460" ht="14.25" customHeight="1">
      <x:c r="A460" s="1">
        <x:v>457.0</x:v>
      </x:c>
      <x:c r="B460" s="1">
        <x:v>12.0</x:v>
      </x:c>
      <x:c r="C460" s="1" t="s">
        <x:v>994</x:v>
      </x:c>
      <x:c r="D460" s="1" t="s">
        <x:v>507</x:v>
      </x:c>
      <x:c r="E460" s="1" t="s">
        <x:v>389</x:v>
      </x:c>
      <x:c r="F460" s="1">
        <x:v>14.0</x:v>
      </x:c>
      <x:c r="G460" s="1" t="s">
        <x:v>1067</x:v>
      </x:c>
      <x:c r="H460" s="1" t="s">
        <x:v>1067</x:v>
      </x:c>
      <x:c r="I460" s="1" t="s">
        <x:v>1060</x:v>
      </x:c>
      <x:c r="J460" s="1" t="s">
        <x:v>1067</x:v>
      </x:c>
      <x:c r="K460" s="1">
        <x:v>459.0</x:v>
      </x:c>
      <x:c r="L460" s="1" t="str">
        <x:f t="shared" si="1"/>
        <x:v>Luke Schoonmaker</x:v>
      </x:c>
      <x:c r="M460" s="127" t="n">
        <x:f>IFERROR(VLOOKUP(E460,RISK!A:B,2,FALSE()),"")</x:f>
        <x:v>2.2775</x:v>
      </x:c>
      <x:c r="N460" s="118" t="str">
        <x:f t="shared" si="2"/>
        <x:v>#N/A</x:v>
      </x:c>
      <x:c r="Q460" s="9"/>
      <x:c r="R460" s="9"/>
      <x:c r="S460" s="9"/>
      <x:c r="T460" s="9"/>
    </x:row>
    <x:row r="461" ht="14.25" customHeight="1">
      <x:c r="A461" s="1">
        <x:v>458.0</x:v>
      </x:c>
      <x:c r="B461" s="1">
        <x:v>12.0</x:v>
      </x:c>
      <x:c r="C461" s="1" t="s">
        <x:v>1297</x:v>
      </x:c>
      <x:c r="D461" s="1" t="s">
        <x:v>543</x:v>
      </x:c>
      <x:c r="E461" s="1" t="s">
        <x:v>1298</x:v>
      </x:c>
      <x:c r="F461" s="1">
        <x:v>14.0</x:v>
      </x:c>
      <x:c r="G461" s="1" t="s">
        <x:v>1067</x:v>
      </x:c>
      <x:c r="H461" s="1" t="s">
        <x:v>1067</x:v>
      </x:c>
      <x:c r="I461" s="1" t="s">
        <x:v>1060</x:v>
      </x:c>
      <x:c r="J461" s="1" t="s">
        <x:v>1067</x:v>
      </x:c>
      <x:c r="K461" s="1">
        <x:v>460.0</x:v>
      </x:c>
      <x:c r="L461" s="1" t="str">
        <x:f t="shared" si="1"/>
        <x:v>Chad Ryland</x:v>
      </x:c>
      <x:c r="M461" s="127" t="str">
        <x:f>IFERROR(VLOOKUP(E461,RISK!A:B,2,FALSE()),"")</x:f>
      </x:c>
      <x:c r="N461" s="118" t="str">
        <x:f t="shared" si="2"/>
        <x:v>#N/A</x:v>
      </x:c>
      <x:c r="Q461" s="9"/>
      <x:c r="R461" s="9"/>
      <x:c r="S461" s="9"/>
      <x:c r="T461" s="9"/>
    </x:row>
    <x:row r="462" ht="14.25" customHeight="1">
      <x:c r="A462" s="1">
        <x:v>459.0</x:v>
      </x:c>
      <x:c r="B462" s="1">
        <x:v>12.0</x:v>
      </x:c>
      <x:c r="C462" s="1" t="s">
        <x:v>1013</x:v>
      </x:c>
      <x:c r="D462" s="1" t="s">
        <x:v>491</x:v>
      </x:c>
      <x:c r="E462" s="1" t="s">
        <x:v>392</x:v>
      </x:c>
      <x:c r="F462" s="1">
        <x:v>13.0</x:v>
      </x:c>
      <x:c r="G462" s="1" t="s">
        <x:v>1067</x:v>
      </x:c>
      <x:c r="H462" s="1" t="s">
        <x:v>1067</x:v>
      </x:c>
      <x:c r="I462" s="1" t="s">
        <x:v>1061</x:v>
      </x:c>
      <x:c r="J462" s="1" t="s">
        <x:v>1067</x:v>
      </x:c>
      <x:c r="K462" s="1">
        <x:v>461.0</x:v>
      </x:c>
      <x:c r="L462" s="1" t="str">
        <x:f t="shared" si="1"/>
        <x:v>Durham Smythe</x:v>
      </x:c>
      <x:c r="M462" s="127" t="n">
        <x:f>IFERROR(VLOOKUP(E462,RISK!A:B,2,FALSE()),"")</x:f>
        <x:v>2.2775</x:v>
      </x:c>
      <x:c r="N462" s="118" t="str">
        <x:f t="shared" si="2"/>
        <x:v>#N/A</x:v>
      </x:c>
      <x:c r="Q462" s="9"/>
      <x:c r="R462" s="9"/>
      <x:c r="S462" s="9"/>
      <x:c r="T462" s="9"/>
    </x:row>
    <x:row r="463" ht="14.25" customHeight="1">
      <x:c r="A463" s="1">
        <x:v>460.0</x:v>
      </x:c>
      <x:c r="B463" s="1">
        <x:v>12.0</x:v>
      </x:c>
      <x:c r="C463" s="1" t="s">
        <x:v>978</x:v>
      </x:c>
      <x:c r="D463" s="1" t="s">
        <x:v>515</x:v>
      </x:c>
      <x:c r="E463" s="1" t="s">
        <x:v>395</x:v>
      </x:c>
      <x:c r="F463" s="1">
        <x:v>10.0</x:v>
      </x:c>
      <x:c r="G463" s="1" t="s">
        <x:v>1067</x:v>
      </x:c>
      <x:c r="H463" s="1" t="s">
        <x:v>1067</x:v>
      </x:c>
      <x:c r="I463" s="1" t="s">
        <x:v>1061</x:v>
      </x:c>
      <x:c r="J463" s="1">
        <x:v>-118.0</x:v>
      </x:c>
      <x:c r="K463" s="1">
        <x:v>462.0</x:v>
      </x:c>
      <x:c r="L463" s="1" t="str">
        <x:f t="shared" si="1"/>
        <x:v>Adam Trautman</x:v>
      </x:c>
      <x:c r="M463" s="127" t="n">
        <x:f>IFERROR(VLOOKUP(E463,RISK!A:B,2,FALSE()),"")</x:f>
        <x:v>2.2775</x:v>
      </x:c>
      <x:c r="N463" s="118" t="str">
        <x:f t="shared" si="2"/>
        <x:v>#N/A</x:v>
      </x:c>
      <x:c r="Q463" s="9"/>
      <x:c r="R463" s="9"/>
      <x:c r="S463" s="9"/>
      <x:c r="T463" s="9"/>
    </x:row>
    <x:row r="464" ht="14.25" customHeight="1">
      <x:c r="A464" s="1">
        <x:v>461.0</x:v>
      </x:c>
      <x:c r="B464" s="1">
        <x:v>12.0</x:v>
      </x:c>
      <x:c r="C464" s="1" t="s">
        <x:v>1299</x:v>
      </x:c>
      <x:c r="D464" s="1" t="s">
        <x:v>495</x:v>
      </x:c>
      <x:c r="E464" s="1" t="s">
        <x:v>1300</x:v>
      </x:c>
      <x:c r="F464" s="1">
        <x:v>7.0</x:v>
      </x:c>
      <x:c r="G464" s="1" t="s">
        <x:v>1067</x:v>
      </x:c>
      <x:c r="H464" s="1" t="s">
        <x:v>1067</x:v>
      </x:c>
      <x:c r="I464" s="1" t="s">
        <x:v>1060</x:v>
      </x:c>
      <x:c r="J464" s="1" t="s">
        <x:v>1067</x:v>
      </x:c>
      <x:c r="K464" s="1">
        <x:v>463.0</x:v>
      </x:c>
      <x:c r="L464" s="1" t="str">
        <x:f t="shared" si="1"/>
        <x:v>Van Jefferson</x:v>
      </x:c>
      <x:c r="M464" s="127" t="n">
        <x:f>IFERROR(VLOOKUP(E464,RISK!A:B,2,FALSE()),"")</x:f>
        <x:v>3.7</x:v>
      </x:c>
      <x:c r="N464" s="118" t="str">
        <x:f t="shared" si="2"/>
        <x:v>#N/A</x:v>
      </x:c>
      <x:c r="Q464" s="9"/>
      <x:c r="R464" s="9"/>
      <x:c r="S464" s="9"/>
      <x:c r="T464" s="9"/>
    </x:row>
    <x:row r="465" ht="14.25" customHeight="1">
      <x:c r="A465" s="1">
        <x:v>462.0</x:v>
      </x:c>
      <x:c r="B465" s="1">
        <x:v>12.0</x:v>
      </x:c>
      <x:c r="C465" s="1" t="s">
        <x:v>1301</x:v>
      </x:c>
      <x:c r="D465" s="1" t="s">
        <x:v>537</x:v>
      </x:c>
      <x:c r="E465" s="1" t="s">
        <x:v>1302</x:v>
      </x:c>
      <x:c r="F465" s="1">
        <x:v>5.0</x:v>
      </x:c>
      <x:c r="G465" s="1" t="s">
        <x:v>1067</x:v>
      </x:c>
      <x:c r="H465" s="1" t="s">
        <x:v>1067</x:v>
      </x:c>
      <x:c r="I465" s="1" t="s">
        <x:v>1078</x:v>
      </x:c>
      <x:c r="J465" s="1" t="s">
        <x:v>1067</x:v>
      </x:c>
      <x:c r="K465" s="1">
        <x:v>464.0</x:v>
      </x:c>
      <x:c r="L465" s="1" t="str">
        <x:f t="shared" si="1"/>
        <x:v>Ryan Fitzgerald</x:v>
      </x:c>
      <x:c r="M465" s="127" t="str">
        <x:f>IFERROR(VLOOKUP(E465,RISK!A:B,2,FALSE()),"")</x:f>
      </x:c>
      <x:c r="N465" s="118" t="str">
        <x:f t="shared" si="2"/>
        <x:v>#N/A</x:v>
      </x:c>
      <x:c r="Q465" s="9"/>
      <x:c r="R465" s="9"/>
      <x:c r="S465" s="9"/>
      <x:c r="T465" s="9"/>
    </x:row>
    <x:row r="466" ht="14.25" customHeight="1">
      <x:c r="A466" s="1">
        <x:v>463.0</x:v>
      </x:c>
      <x:c r="B466" s="1">
        <x:v>12.0</x:v>
      </x:c>
      <x:c r="C466" s="1" t="s">
        <x:v>717</x:v>
      </x:c>
      <x:c r="D466" s="1" t="s">
        <x:v>493</x:v>
      </x:c>
      <x:c r="E466" s="1" t="s">
        <x:v>1303</x:v>
      </x:c>
      <x:c r="F466" s="1">
        <x:v>11.0</x:v>
      </x:c>
      <x:c r="G466" s="1" t="s">
        <x:v>1067</x:v>
      </x:c>
      <x:c r="H466" s="1" t="s">
        <x:v>1067</x:v>
      </x:c>
      <x:c r="I466" s="1" t="s">
        <x:v>1060</x:v>
      </x:c>
      <x:c r="J466" s="1">
        <x:v>-108.0</x:v>
      </x:c>
      <x:c r="K466" s="1">
        <x:v>465.0</x:v>
      </x:c>
      <x:c r="L466" s="1" t="str">
        <x:f t="shared" si="1"/>
        <x:v>Reggie Gilliam</x:v>
      </x:c>
      <x:c r="M466" s="127" t="n">
        <x:f>IFERROR(VLOOKUP(E466,RISK!A:B,2,FALSE()),"")</x:f>
        <x:v>3.368</x:v>
      </x:c>
      <x:c r="N466" s="118" t="str">
        <x:f t="shared" si="2"/>
        <x:v>#N/A</x:v>
      </x:c>
      <x:c r="Q466" s="9"/>
      <x:c r="R466" s="9"/>
      <x:c r="S466" s="9"/>
      <x:c r="T466" s="9"/>
    </x:row>
    <x:row r="467" ht="14.25" customHeight="1">
      <x:c r="A467" s="1">
        <x:v>464.0</x:v>
      </x:c>
      <x:c r="B467" s="1">
        <x:v>12.0</x:v>
      </x:c>
      <x:c r="C467" s="1" t="s">
        <x:v>1000</x:v>
      </x:c>
      <x:c r="D467" s="1" t="s">
        <x:v>499</x:v>
      </x:c>
      <x:c r="E467" s="1" t="s">
        <x:v>398</x:v>
      </x:c>
      <x:c r="F467" s="1">
        <x:v>6.0</x:v>
      </x:c>
      <x:c r="G467" s="1" t="s">
        <x:v>1067</x:v>
      </x:c>
      <x:c r="H467" s="1" t="s">
        <x:v>1067</x:v>
      </x:c>
      <x:c r="I467" s="1" t="s">
        <x:v>1064</x:v>
      </x:c>
      <x:c r="J467" s="1" t="s">
        <x:v>1067</x:v>
      </x:c>
      <x:c r="K467" s="1">
        <x:v>466.0</x:v>
      </x:c>
      <x:c r="L467" s="1" t="str">
        <x:f t="shared" si="1"/>
        <x:v>Tanner Hudson</x:v>
      </x:c>
      <x:c r="M467" s="127" t="n">
        <x:f>IFERROR(VLOOKUP(E467,RISK!A:B,2,FALSE()),"")</x:f>
        <x:v>2.2775</x:v>
      </x:c>
      <x:c r="N467" s="118" t="str">
        <x:f t="shared" si="2"/>
        <x:v>#N/A</x:v>
      </x:c>
      <x:c r="Q467" s="9"/>
      <x:c r="R467" s="9"/>
      <x:c r="S467" s="9"/>
      <x:c r="T467" s="9"/>
    </x:row>
    <x:row r="468" ht="14.25" customHeight="1">
      <x:c r="A468" s="1">
        <x:v>465.0</x:v>
      </x:c>
      <x:c r="B468" s="1">
        <x:v>12.0</x:v>
      </x:c>
      <x:c r="C468" s="1" t="s">
        <x:v>1304</x:v>
      </x:c>
      <x:c r="D468" s="1" t="s">
        <x:v>527</x:v>
      </x:c>
      <x:c r="E468" s="1" t="s">
        <x:v>1305</x:v>
      </x:c>
      <x:c r="F468" s="1">
        <x:v>13.0</x:v>
      </x:c>
      <x:c r="G468" s="1" t="s">
        <x:v>1067</x:v>
      </x:c>
      <x:c r="H468" s="1" t="s">
        <x:v>1067</x:v>
      </x:c>
      <x:c r="I468" s="1" t="s">
        <x:v>1061</x:v>
      </x:c>
      <x:c r="J468" s="1" t="s">
        <x:v>1067</x:v>
      </x:c>
      <x:c r="K468" s="1">
        <x:v>467.0</x:v>
      </x:c>
      <x:c r="L468" s="1" t="str">
        <x:f t="shared" si="1"/>
        <x:v>Spencer Shrader</x:v>
      </x:c>
      <x:c r="M468" s="127" t="str">
        <x:f>IFERROR(VLOOKUP(E468,RISK!A:B,2,FALSE()),"")</x:f>
      </x:c>
      <x:c r="N468" s="118" t="str">
        <x:f t="shared" si="2"/>
        <x:v>#N/A</x:v>
      </x:c>
      <x:c r="Q468" s="9"/>
      <x:c r="R468" s="9"/>
      <x:c r="S468" s="9"/>
      <x:c r="T468" s="9"/>
    </x:row>
    <x:row r="469" ht="14.25" customHeight="1">
      <x:c r="A469" s="1">
        <x:v>466.0</x:v>
      </x:c>
      <x:c r="B469" s="1">
        <x:v>12.0</x:v>
      </x:c>
      <x:c r="C469" s="1" t="s">
        <x:v>846</x:v>
      </x:c>
      <x:c r="D469" s="1" t="s">
        <x:v>511</x:v>
      </x:c>
      <x:c r="E469" s="1" t="s">
        <x:v>1306</x:v>
      </x:c>
      <x:c r="F469" s="1">
        <x:v>10.0</x:v>
      </x:c>
      <x:c r="G469" s="1" t="s">
        <x:v>1067</x:v>
      </x:c>
      <x:c r="H469" s="1" t="s">
        <x:v>1067</x:v>
      </x:c>
      <x:c r="I469" s="1" t="s">
        <x:v>1064</x:v>
      </x:c>
      <x:c r="J469" s="1" t="s">
        <x:v>1067</x:v>
      </x:c>
      <x:c r="K469" s="1">
        <x:v>468.0</x:v>
      </x:c>
      <x:c r="L469" s="1" t="str">
        <x:f t="shared" si="1"/>
        <x:v>Jahdae Walker</x:v>
      </x:c>
      <x:c r="M469" s="127" t="n">
        <x:f>IFERROR(VLOOKUP(E469,RISK!A:B,2,FALSE()),"")</x:f>
        <x:v>3.7</x:v>
      </x:c>
      <x:c r="N469" s="118" t="str">
        <x:f t="shared" si="2"/>
        <x:v>#N/A</x:v>
      </x:c>
      <x:c r="Q469" s="9"/>
      <x:c r="R469" s="9"/>
      <x:c r="S469" s="9"/>
      <x:c r="T469" s="9"/>
    </x:row>
    <x:row r="470" ht="14.25" customHeight="1">
      <x:c r="A470" s="1">
        <x:v>467.0</x:v>
      </x:c>
      <x:c r="B470" s="1">
        <x:v>12.0</x:v>
      </x:c>
      <x:c r="C470" s="1" t="s">
        <x:v>912</x:v>
      </x:c>
      <x:c r="D470" s="1" t="s">
        <x:v>503</x:v>
      </x:c>
      <x:c r="E470" s="1" t="s">
        <x:v>1307</x:v>
      </x:c>
      <x:c r="F470" s="1">
        <x:v>8.0</x:v>
      </x:c>
      <x:c r="G470" s="1" t="s">
        <x:v>1067</x:v>
      </x:c>
      <x:c r="H470" s="1" t="s">
        <x:v>1067</x:v>
      </x:c>
      <x:c r="I470" s="1" t="s">
        <x:v>1060</x:v>
      </x:c>
      <x:c r="J470" s="1" t="s">
        <x:v>1067</x:v>
      </x:c>
      <x:c r="K470" s="1">
        <x:v>469.0</x:v>
      </x:c>
      <x:c r="L470" s="1" t="str">
        <x:f t="shared" si="1"/>
        <x:v>Jacob Cowing</x:v>
      </x:c>
      <x:c r="M470" s="127" t="n">
        <x:f>IFERROR(VLOOKUP(E470,RISK!A:B,2,FALSE()),"")</x:f>
        <x:v>3.7</x:v>
      </x:c>
      <x:c r="N470" s="118" t="str">
        <x:f t="shared" si="2"/>
        <x:v>#N/A</x:v>
      </x:c>
      <x:c r="Q470" s="9"/>
      <x:c r="R470" s="9"/>
      <x:c r="S470" s="9"/>
      <x:c r="T470" s="9"/>
    </x:row>
    <x:row r="471" ht="14.25" customHeight="1">
      <x:c r="A471" s="1">
        <x:v>468.0</x:v>
      </x:c>
      <x:c r="B471" s="1">
        <x:v>12.0</x:v>
      </x:c>
      <x:c r="C471" s="1" t="s">
        <x:v>879</x:v>
      </x:c>
      <x:c r="D471" s="1" t="s">
        <x:v>513</x:v>
      </x:c>
      <x:c r="E471" s="1" t="s">
        <x:v>1308</x:v>
      </x:c>
      <x:c r="F471" s="1">
        <x:v>7.0</x:v>
      </x:c>
      <x:c r="G471" s="1" t="s">
        <x:v>1067</x:v>
      </x:c>
      <x:c r="H471" s="1" t="s">
        <x:v>1067</x:v>
      </x:c>
      <x:c r="I471" s="1" t="s">
        <x:v>1060</x:v>
      </x:c>
      <x:c r="J471" s="1" t="s">
        <x:v>1067</x:v>
      </x:c>
      <x:c r="K471" s="1">
        <x:v>470.0</x:v>
      </x:c>
      <x:c r="L471" s="1" t="str">
        <x:f t="shared" si="1"/>
        <x:v>KeAndre Lambert-Smith</x:v>
      </x:c>
      <x:c r="M471" s="127" t="n">
        <x:f>IFERROR(VLOOKUP(E471,RISK!A:B,2,FALSE()),"")</x:f>
        <x:v>3.7</x:v>
      </x:c>
      <x:c r="N471" s="118" t="str">
        <x:f t="shared" si="2"/>
        <x:v>#N/A</x:v>
      </x:c>
      <x:c r="Q471" s="9"/>
      <x:c r="R471" s="9"/>
      <x:c r="S471" s="9"/>
      <x:c r="T471" s="9"/>
    </x:row>
    <x:row r="472" ht="14.25" customHeight="1">
      <x:c r="A472" s="1">
        <x:v>469.0</x:v>
      </x:c>
      <x:c r="B472" s="1">
        <x:v>12.0</x:v>
      </x:c>
      <x:c r="C472" s="1" t="s">
        <x:v>877</x:v>
      </x:c>
      <x:c r="D472" s="1" t="s">
        <x:v>537</x:v>
      </x:c>
      <x:c r="E472" s="1" t="s">
        <x:v>1309</x:v>
      </x:c>
      <x:c r="F472" s="1">
        <x:v>5.0</x:v>
      </x:c>
      <x:c r="G472" s="1" t="s">
        <x:v>1067</x:v>
      </x:c>
      <x:c r="H472" s="1" t="s">
        <x:v>1067</x:v>
      </x:c>
      <x:c r="I472" s="1" t="s">
        <x:v>1060</x:v>
      </x:c>
      <x:c r="J472" s="1" t="s">
        <x:v>1067</x:v>
      </x:c>
      <x:c r="K472" s="1">
        <x:v>471.0</x:v>
      </x:c>
      <x:c r="L472" s="1" t="str">
        <x:f t="shared" si="1"/>
        <x:v>Jimmy Horn Jr.</x:v>
      </x:c>
      <x:c r="M472" s="127" t="n">
        <x:f>IFERROR(VLOOKUP(E472,RISK!A:B,2,FALSE()),"")</x:f>
        <x:v>3.7</x:v>
      </x:c>
      <x:c r="N472" s="118" t="str">
        <x:f t="shared" si="2"/>
        <x:v>#N/A</x:v>
      </x:c>
      <x:c r="Q472" s="9"/>
      <x:c r="R472" s="9"/>
      <x:c r="S472" s="9"/>
      <x:c r="T472" s="9"/>
    </x:row>
    <x:row r="473" ht="14.25" customHeight="1">
      <x:c r="A473" s="1">
        <x:v>470.0</x:v>
      </x:c>
      <x:c r="B473" s="1">
        <x:v>12.0</x:v>
      </x:c>
      <x:c r="C473" s="1" t="s">
        <x:v>858</x:v>
      </x:c>
      <x:c r="D473" s="1" t="s">
        <x:v>1136</x:v>
      </x:c>
      <x:c r="E473" s="1" t="s">
        <x:v>1310</x:v>
      </x:c>
      <x:c r="F473" s="1" t="s">
        <x:v>1067</x:v>
      </x:c>
      <x:c r="G473" s="1" t="s">
        <x:v>1067</x:v>
      </x:c>
      <x:c r="H473" s="1" t="s">
        <x:v>1067</x:v>
      </x:c>
      <x:c r="I473" s="1" t="s">
        <x:v>1067</x:v>
      </x:c>
      <x:c r="J473" s="1" t="s">
        <x:v>1067</x:v>
      </x:c>
      <x:c r="K473" s="1">
        <x:v>472.0</x:v>
      </x:c>
      <x:c r="L473" s="1" t="str">
        <x:f t="shared" si="1"/>
        <x:v>Isaiah Williams</x:v>
      </x:c>
      <x:c r="M473" s="127" t="n">
        <x:f>IFERROR(VLOOKUP(E473,RISK!A:B,2,FALSE()),"")</x:f>
        <x:v>3.7</x:v>
      </x:c>
      <x:c r="N473" s="118" t="str">
        <x:f t="shared" si="2"/>
        <x:v>#N/A</x:v>
      </x:c>
      <x:c r="Q473" s="9"/>
      <x:c r="R473" s="9"/>
      <x:c r="S473" s="9"/>
      <x:c r="T473" s="9"/>
    </x:row>
    <x:row r="474" ht="14.25" customHeight="1">
      <x:c r="A474" s="1">
        <x:v>471.0</x:v>
      </x:c>
      <x:c r="B474" s="1">
        <x:v>12.0</x:v>
      </x:c>
      <x:c r="C474" s="1" t="s">
        <x:v>1311</x:v>
      </x:c>
      <x:c r="D474" s="1" t="s">
        <x:v>543</x:v>
      </x:c>
      <x:c r="E474" s="1" t="s">
        <x:v>1312</x:v>
      </x:c>
      <x:c r="F474" s="1">
        <x:v>14.0</x:v>
      </x:c>
      <x:c r="G474" s="1" t="s">
        <x:v>1067</x:v>
      </x:c>
      <x:c r="H474" s="1" t="s">
        <x:v>1067</x:v>
      </x:c>
      <x:c r="I474" s="1" t="s">
        <x:v>1060</x:v>
      </x:c>
      <x:c r="J474" s="1" t="s">
        <x:v>1067</x:v>
      </x:c>
      <x:c r="K474" s="1">
        <x:v>473.0</x:v>
      </x:c>
      <x:c r="L474" s="1" t="str">
        <x:f t="shared" si="1"/>
        <x:v>Arizona Cardinals</x:v>
      </x:c>
      <x:c r="M474" s="127" t="str">
        <x:f>IFERROR(VLOOKUP(E474,RISK!A:B,2,FALSE()),"")</x:f>
      </x:c>
      <x:c r="N474" s="118" t="str">
        <x:f t="shared" si="2"/>
        <x:v>#N/A</x:v>
      </x:c>
      <x:c r="Q474" s="9"/>
      <x:c r="R474" s="9"/>
      <x:c r="S474" s="9"/>
      <x:c r="T474" s="9"/>
    </x:row>
    <x:row r="475" ht="14.25" customHeight="1">
      <x:c r="A475" s="1">
        <x:v>472.0</x:v>
      </x:c>
      <x:c r="B475" s="1">
        <x:v>12.0</x:v>
      </x:c>
      <x:c r="C475" s="1" t="s">
        <x:v>1313</x:v>
      </x:c>
      <x:c r="D475" s="1" t="s">
        <x:v>515</x:v>
      </x:c>
      <x:c r="E475" s="1" t="s">
        <x:v>1314</x:v>
      </x:c>
      <x:c r="F475" s="1">
        <x:v>10.0</x:v>
      </x:c>
      <x:c r="G475" s="1" t="s">
        <x:v>1067</x:v>
      </x:c>
      <x:c r="H475" s="1" t="s">
        <x:v>1067</x:v>
      </x:c>
      <x:c r="I475" s="1" t="s">
        <x:v>1060</x:v>
      </x:c>
      <x:c r="J475" s="1" t="s">
        <x:v>1067</x:v>
      </x:c>
      <x:c r="K475" s="1">
        <x:v>474.0</x:v>
      </x:c>
      <x:c r="L475" s="1" t="str">
        <x:f t="shared" si="1"/>
        <x:v>Lil'Jordan Humphrey</x:v>
      </x:c>
      <x:c r="M475" s="127" t="n">
        <x:f>IFERROR(VLOOKUP(E475,RISK!A:B,2,FALSE()),"")</x:f>
        <x:v>3.7</x:v>
      </x:c>
      <x:c r="N475" s="118" t="str">
        <x:f t="shared" si="2"/>
        <x:v>#N/A</x:v>
      </x:c>
      <x:c r="Q475" s="9"/>
      <x:c r="R475" s="9"/>
      <x:c r="S475" s="9"/>
      <x:c r="T475" s="9"/>
    </x:row>
    <x:row r="476" ht="14.25" customHeight="1">
      <x:c r="A476" s="1">
        <x:v>473.0</x:v>
      </x:c>
      <x:c r="B476" s="1">
        <x:v>12.0</x:v>
      </x:c>
      <x:c r="C476" s="1" t="s">
        <x:v>1315</x:v>
      </x:c>
      <x:c r="D476" s="1" t="s">
        <x:v>507</x:v>
      </x:c>
      <x:c r="E476" s="1" t="s">
        <x:v>1316</x:v>
      </x:c>
      <x:c r="F476" s="1">
        <x:v>14.0</x:v>
      </x:c>
      <x:c r="G476" s="1" t="s">
        <x:v>1067</x:v>
      </x:c>
      <x:c r="H476" s="1" t="s">
        <x:v>1067</x:v>
      </x:c>
      <x:c r="I476" s="1" t="s">
        <x:v>1060</x:v>
      </x:c>
      <x:c r="J476" s="1" t="s">
        <x:v>1067</x:v>
      </x:c>
      <x:c r="K476" s="1">
        <x:v>475.0</x:v>
      </x:c>
      <x:c r="L476" s="1" t="str">
        <x:f t="shared" si="1"/>
        <x:v>Marquez Valdes-Scantling</x:v>
      </x:c>
      <x:c r="M476" s="127" t="n">
        <x:f>IFERROR(VLOOKUP(E476,RISK!A:B,2,FALSE()),"")</x:f>
        <x:v>3.7</x:v>
      </x:c>
      <x:c r="N476" s="118" t="str">
        <x:f t="shared" si="2"/>
        <x:v>#N/A</x:v>
      </x:c>
      <x:c r="Q476" s="9"/>
      <x:c r="R476" s="9"/>
      <x:c r="S476" s="9"/>
      <x:c r="T476" s="9"/>
    </x:row>
    <x:row r="477" ht="14.25" customHeight="1">
      <x:c r="A477" s="1">
        <x:v>474.0</x:v>
      </x:c>
      <x:c r="B477" s="1">
        <x:v>12.0</x:v>
      </x:c>
      <x:c r="C477" s="1" t="s">
        <x:v>569</x:v>
      </x:c>
      <x:c r="D477" s="1" t="s">
        <x:v>531</x:v>
      </x:c>
      <x:c r="E477" s="1" t="s">
        <x:v>1317</x:v>
      </x:c>
      <x:c r="F477" s="1">
        <x:v>11.0</x:v>
      </x:c>
      <x:c r="G477" s="1" t="s">
        <x:v>1067</x:v>
      </x:c>
      <x:c r="H477" s="1" t="s">
        <x:v>1067</x:v>
      </x:c>
      <x:c r="I477" s="1" t="s">
        <x:v>1061</x:v>
      </x:c>
      <x:c r="J477" s="1" t="s">
        <x:v>1067</x:v>
      </x:c>
      <x:c r="K477" s="1">
        <x:v>476.0</x:v>
      </x:c>
      <x:c r="L477" s="1" t="str">
        <x:f t="shared" si="1"/>
        <x:v>Tyrod Taylor</x:v>
      </x:c>
      <x:c r="M477" s="127" t="n">
        <x:f>IFERROR(VLOOKUP(E477,RISK!A:B,2,FALSE()),"")</x:f>
        <x:v>3.2</x:v>
      </x:c>
      <x:c r="N477" s="118" t="str">
        <x:f t="shared" si="2"/>
        <x:v>#N/A</x:v>
      </x:c>
      <x:c r="Q477" s="9"/>
      <x:c r="R477" s="9"/>
      <x:c r="S477" s="9"/>
      <x:c r="T477" s="9"/>
    </x:row>
    <x:row r="478" ht="14.25" customHeight="1">
      <x:c r="A478" s="1">
        <x:v>475.0</x:v>
      </x:c>
      <x:c r="B478" s="1">
        <x:v>12.0</x:v>
      </x:c>
      <x:c r="C478" s="1" t="s">
        <x:v>585</x:v>
      </x:c>
      <x:c r="D478" s="1" t="s">
        <x:v>543</x:v>
      </x:c>
      <x:c r="E478" s="1" t="s">
        <x:v>1318</x:v>
      </x:c>
      <x:c r="F478" s="1">
        <x:v>14.0</x:v>
      </x:c>
      <x:c r="G478" s="1" t="s">
        <x:v>1067</x:v>
      </x:c>
      <x:c r="H478" s="1" t="s">
        <x:v>1067</x:v>
      </x:c>
      <x:c r="I478" s="1" t="s">
        <x:v>1060</x:v>
      </x:c>
      <x:c r="J478" s="1" t="s">
        <x:v>1067</x:v>
      </x:c>
      <x:c r="K478" s="1">
        <x:v>477.0</x:v>
      </x:c>
      <x:c r="L478" s="1" t="str">
        <x:f t="shared" si="1"/>
        <x:v>Gardner Minshew II</x:v>
      </x:c>
      <x:c r="M478" s="127" t="n">
        <x:f>IFERROR(VLOOKUP(E478,RISK!A:B,2,FALSE()),"")</x:f>
        <x:v>3.2</x:v>
      </x:c>
      <x:c r="N478" s="118" t="str">
        <x:f t="shared" si="2"/>
        <x:v>#N/A</x:v>
      </x:c>
      <x:c r="Q478" s="9"/>
      <x:c r="R478" s="9"/>
      <x:c r="S478" s="9"/>
      <x:c r="T478" s="9"/>
    </x:row>
    <x:row r="479" ht="14.25" customHeight="1">
      <x:c r="A479" s="1">
        <x:v>476.0</x:v>
      </x:c>
      <x:c r="B479" s="1">
        <x:v>12.0</x:v>
      </x:c>
      <x:c r="C479" s="1" t="s">
        <x:v>1319</x:v>
      </x:c>
      <x:c r="D479" s="1" t="s">
        <x:v>547</x:v>
      </x:c>
      <x:c r="E479" s="1" t="s">
        <x:v>1320</x:v>
      </x:c>
      <x:c r="F479" s="1">
        <x:v>13.0</x:v>
      </x:c>
      <x:c r="G479" s="1" t="s">
        <x:v>1067</x:v>
      </x:c>
      <x:c r="H479" s="1" t="s">
        <x:v>1067</x:v>
      </x:c>
      <x:c r="I479" s="1" t="s">
        <x:v>1060</x:v>
      </x:c>
      <x:c r="J479" s="1" t="s">
        <x:v>1067</x:v>
      </x:c>
      <x:c r="K479" s="1">
        <x:v>478.0</x:v>
      </x:c>
      <x:c r="L479" s="1" t="str">
        <x:f t="shared" si="1"/>
        <x:v>Roman Hemby</x:v>
      </x:c>
      <x:c r="M479" s="127" t="n">
        <x:f>IFERROR(VLOOKUP(E479,RISK!A:B,2,FALSE()),"")</x:f>
        <x:v>3.368</x:v>
      </x:c>
      <x:c r="N479" s="118" t="str">
        <x:f t="shared" si="2"/>
        <x:v>#N/A</x:v>
      </x:c>
      <x:c r="Q479" s="9"/>
      <x:c r="R479" s="9"/>
      <x:c r="S479" s="9"/>
      <x:c r="T479" s="9"/>
    </x:row>
    <x:row r="480" ht="14.25" customHeight="1">
      <x:c r="A480" s="1">
        <x:v>477.0</x:v>
      </x:c>
      <x:c r="B480" s="1">
        <x:v>12.0</x:v>
      </x:c>
      <x:c r="C480" s="1" t="s">
        <x:v>1007</x:v>
      </x:c>
      <x:c r="D480" s="1" t="s">
        <x:v>535</x:v>
      </x:c>
      <x:c r="E480" s="1" t="s">
        <x:v>401</x:v>
      </x:c>
      <x:c r="F480" s="1">
        <x:v>8.0</x:v>
      </x:c>
      <x:c r="G480" s="1" t="s">
        <x:v>1067</x:v>
      </x:c>
      <x:c r="H480" s="1" t="s">
        <x:v>1067</x:v>
      </x:c>
      <x:c r="I480" s="1" t="s">
        <x:v>1061</x:v>
      </x:c>
      <x:c r="J480" s="1">
        <x:v>-154.0</x:v>
      </x:c>
      <x:c r="K480" s="1">
        <x:v>479.0</x:v>
      </x:c>
      <x:c r="L480" s="1" t="str">
        <x:f t="shared" si="1"/>
        <x:v>Foster Moreau</x:v>
      </x:c>
      <x:c r="M480" s="127" t="n">
        <x:f>IFERROR(VLOOKUP(E480,RISK!A:B,2,FALSE()),"")</x:f>
        <x:v>2.2775</x:v>
      </x:c>
      <x:c r="N480" s="118" t="str">
        <x:f t="shared" si="2"/>
        <x:v>#N/A</x:v>
      </x:c>
      <x:c r="Q480" s="9"/>
      <x:c r="R480" s="9"/>
      <x:c r="S480" s="9"/>
      <x:c r="T480" s="9"/>
    </x:row>
    <x:row r="481" ht="14.25" customHeight="1">
      <x:c r="A481" s="1">
        <x:v>478.0</x:v>
      </x:c>
      <x:c r="B481" s="1">
        <x:v>12.0</x:v>
      </x:c>
      <x:c r="C481" s="1" t="s">
        <x:v>1021</x:v>
      </x:c>
      <x:c r="D481" s="1" t="s">
        <x:v>511</x:v>
      </x:c>
      <x:c r="E481" s="1" t="s">
        <x:v>404</x:v>
      </x:c>
      <x:c r="F481" s="1">
        <x:v>10.0</x:v>
      </x:c>
      <x:c r="G481" s="1" t="s">
        <x:v>1067</x:v>
      </x:c>
      <x:c r="H481" s="1" t="s">
        <x:v>1067</x:v>
      </x:c>
      <x:c r="I481" s="1" t="s">
        <x:v>1060</x:v>
      </x:c>
      <x:c r="J481" s="1" t="s">
        <x:v>1067</x:v>
      </x:c>
      <x:c r="K481" s="1">
        <x:v>480.0</x:v>
      </x:c>
      <x:c r="L481" s="1" t="str">
        <x:f t="shared" si="1"/>
        <x:v>Sam Roush</x:v>
      </x:c>
      <x:c r="M481" s="127" t="n">
        <x:f>IFERROR(VLOOKUP(E481,RISK!A:B,2,FALSE()),"")</x:f>
        <x:v>2.2775</x:v>
      </x:c>
      <x:c r="N481" s="118" t="str">
        <x:f t="shared" si="2"/>
        <x:v>#N/A</x:v>
      </x:c>
      <x:c r="Q481" s="9"/>
      <x:c r="R481" s="9"/>
      <x:c r="S481" s="9"/>
      <x:c r="T481" s="9"/>
    </x:row>
    <x:row r="482" ht="14.25" customHeight="1">
      <x:c r="A482" s="1">
        <x:v>479.0</x:v>
      </x:c>
      <x:c r="B482" s="1">
        <x:v>12.0</x:v>
      </x:c>
      <x:c r="C482" s="1" t="s">
        <x:v>681</x:v>
      </x:c>
      <x:c r="D482" s="1" t="s">
        <x:v>521</x:v>
      </x:c>
      <x:c r="E482" s="1" t="s">
        <x:v>1321</x:v>
      </x:c>
      <x:c r="F482" s="1">
        <x:v>8.0</x:v>
      </x:c>
      <x:c r="G482" s="1" t="s">
        <x:v>1067</x:v>
      </x:c>
      <x:c r="H482" s="1" t="s">
        <x:v>1067</x:v>
      </x:c>
      <x:c r="I482" s="1" t="s">
        <x:v>1064</x:v>
      </x:c>
      <x:c r="J482" s="1" t="s">
        <x:v>1067</x:v>
      </x:c>
      <x:c r="K482" s="1">
        <x:v>481.0</x:v>
      </x:c>
      <x:c r="L482" s="1" t="str">
        <x:f t="shared" si="1"/>
        <x:v>Ty Chandler</x:v>
      </x:c>
      <x:c r="M482" s="127" t="n">
        <x:f>IFERROR(VLOOKUP(E482,RISK!A:B,2,FALSE()),"")</x:f>
        <x:v>3.368</x:v>
      </x:c>
      <x:c r="N482" s="118" t="str">
        <x:f t="shared" si="2"/>
        <x:v>#N/A</x:v>
      </x:c>
      <x:c r="Q482" s="9"/>
      <x:c r="R482" s="9"/>
      <x:c r="S482" s="9"/>
      <x:c r="T482" s="9"/>
    </x:row>
    <x:row r="483" ht="14.25" customHeight="1">
      <x:c r="A483" s="1">
        <x:v>480.0</x:v>
      </x:c>
      <x:c r="B483" s="1">
        <x:v>12.0</x:v>
      </x:c>
      <x:c r="C483" s="1" t="s">
        <x:v>727</x:v>
      </x:c>
      <x:c r="D483" s="1" t="s">
        <x:v>519</x:v>
      </x:c>
      <x:c r="E483" s="1" t="s">
        <x:v>1322</x:v>
      </x:c>
      <x:c r="F483" s="1">
        <x:v>6.0</x:v>
      </x:c>
      <x:c r="G483" s="1" t="s">
        <x:v>1067</x:v>
      </x:c>
      <x:c r="H483" s="1" t="s">
        <x:v>1067</x:v>
      </x:c>
      <x:c r="I483" s="1" t="s">
        <x:v>1059</x:v>
      </x:c>
      <x:c r="J483" s="1" t="s">
        <x:v>1067</x:v>
      </x:c>
      <x:c r="K483" s="1">
        <x:v>482.0</x:v>
      </x:c>
      <x:c r="L483" s="1" t="str">
        <x:f t="shared" si="1"/>
        <x:v>Jacob Saylors</x:v>
      </x:c>
      <x:c r="M483" s="127" t="n">
        <x:f>IFERROR(VLOOKUP(E483,RISK!A:B,2,FALSE()),"")</x:f>
        <x:v>3.368</x:v>
      </x:c>
      <x:c r="N483" s="118" t="str">
        <x:f t="shared" si="2"/>
        <x:v>#N/A</x:v>
      </x:c>
      <x:c r="Q483" s="9"/>
      <x:c r="R483" s="9"/>
      <x:c r="S483" s="9"/>
      <x:c r="T483" s="9"/>
    </x:row>
    <x:row r="484" ht="14.25" customHeight="1">
      <x:c r="A484" s="1">
        <x:v>481.0</x:v>
      </x:c>
      <x:c r="B484" s="1">
        <x:v>12.0</x:v>
      </x:c>
      <x:c r="C484" s="1" t="s">
        <x:v>1030</x:v>
      </x:c>
      <x:c r="D484" s="1" t="s">
        <x:v>519</x:v>
      </x:c>
      <x:c r="E484" s="1" t="s">
        <x:v>407</x:v>
      </x:c>
      <x:c r="F484" s="1">
        <x:v>6.0</x:v>
      </x:c>
      <x:c r="G484" s="1" t="s">
        <x:v>1067</x:v>
      </x:c>
      <x:c r="H484" s="1" t="s">
        <x:v>1067</x:v>
      </x:c>
      <x:c r="I484" s="1" t="s">
        <x:v>1064</x:v>
      </x:c>
      <x:c r="J484" s="1" t="s">
        <x:v>1067</x:v>
      </x:c>
      <x:c r="K484" s="1">
        <x:v>483.0</x:v>
      </x:c>
      <x:c r="L484" s="1" t="str">
        <x:f t="shared" si="1"/>
        <x:v>Tyler Conklin</x:v>
      </x:c>
      <x:c r="M484" s="127" t="n">
        <x:f>IFERROR(VLOOKUP(E484,RISK!A:B,2,FALSE()),"")</x:f>
        <x:v>2.2775</x:v>
      </x:c>
      <x:c r="N484" s="118" t="str">
        <x:f t="shared" si="2"/>
        <x:v>#N/A</x:v>
      </x:c>
      <x:c r="Q484" s="9"/>
      <x:c r="R484" s="9"/>
      <x:c r="S484" s="9"/>
      <x:c r="T484" s="9"/>
    </x:row>
    <x:row r="485" ht="14.25" customHeight="1">
      <x:c r="A485" s="1">
        <x:v>482.0</x:v>
      </x:c>
      <x:c r="B485" s="1">
        <x:v>12.0</x:v>
      </x:c>
      <x:c r="C485" s="1" t="s">
        <x:v>1008</x:v>
      </x:c>
      <x:c r="D485" s="1" t="s">
        <x:v>527</x:v>
      </x:c>
      <x:c r="E485" s="1" t="s">
        <x:v>410</x:v>
      </x:c>
      <x:c r="F485" s="1">
        <x:v>13.0</x:v>
      </x:c>
      <x:c r="G485" s="1" t="s">
        <x:v>1067</x:v>
      </x:c>
      <x:c r="H485" s="1" t="s">
        <x:v>1067</x:v>
      </x:c>
      <x:c r="I485" s="1" t="s">
        <x:v>1064</x:v>
      </x:c>
      <x:c r="J485" s="1" t="s">
        <x:v>1067</x:v>
      </x:c>
      <x:c r="K485" s="1">
        <x:v>484.0</x:v>
      </x:c>
      <x:c r="L485" s="1" t="str">
        <x:f t="shared" si="1"/>
        <x:v>Mo Alie-Cox</x:v>
      </x:c>
      <x:c r="M485" s="127" t="n">
        <x:f>IFERROR(VLOOKUP(E485,RISK!A:B,2,FALSE()),"")</x:f>
        <x:v>2.2775</x:v>
      </x:c>
      <x:c r="N485" s="118" t="str">
        <x:f t="shared" si="2"/>
        <x:v>#N/A</x:v>
      </x:c>
      <x:c r="Q485" s="9"/>
      <x:c r="R485" s="9"/>
      <x:c r="S485" s="9"/>
      <x:c r="T485" s="9"/>
    </x:row>
    <x:row r="486" ht="14.25" customHeight="1">
      <x:c r="A486" s="1">
        <x:v>483.0</x:v>
      </x:c>
      <x:c r="B486" s="1">
        <x:v>12.0</x:v>
      </x:c>
      <x:c r="C486" s="1" t="s">
        <x:v>1323</x:v>
      </x:c>
      <x:c r="D486" s="1" t="s">
        <x:v>1136</x:v>
      </x:c>
      <x:c r="E486" s="1" t="s">
        <x:v>1324</x:v>
      </x:c>
      <x:c r="F486" s="1" t="s">
        <x:v>1067</x:v>
      </x:c>
      <x:c r="G486" s="1" t="s">
        <x:v>1067</x:v>
      </x:c>
      <x:c r="H486" s="1" t="s">
        <x:v>1067</x:v>
      </x:c>
      <x:c r="I486" s="1" t="s">
        <x:v>1067</x:v>
      </x:c>
      <x:c r="J486" s="1">
        <x:v>-107.0</x:v>
      </x:c>
      <x:c r="K486" s="1">
        <x:v>485.0</x:v>
      </x:c>
      <x:c r="L486" s="1" t="str">
        <x:f t="shared" si="1"/>
        <x:v>Antonio Gibson</x:v>
      </x:c>
      <x:c r="M486" s="127" t="n">
        <x:f>IFERROR(VLOOKUP(E486,RISK!A:B,2,FALSE()),"")</x:f>
        <x:v>3.368</x:v>
      </x:c>
      <x:c r="N486" s="118" t="str">
        <x:f t="shared" si="2"/>
        <x:v>#N/A</x:v>
      </x:c>
      <x:c r="Q486" s="9"/>
      <x:c r="R486" s="9"/>
      <x:c r="S486" s="9"/>
      <x:c r="T486" s="9"/>
    </x:row>
    <x:row r="487" ht="14.25" customHeight="1">
      <x:c r="A487" s="1">
        <x:v>484.0</x:v>
      </x:c>
      <x:c r="B487" s="1">
        <x:v>12.0</x:v>
      </x:c>
      <x:c r="C487" s="1" t="s">
        <x:v>990</x:v>
      </x:c>
      <x:c r="D487" s="1" t="s">
        <x:v>535</x:v>
      </x:c>
      <x:c r="E487" s="1" t="s">
        <x:v>413</x:v>
      </x:c>
      <x:c r="F487" s="1">
        <x:v>8.0</x:v>
      </x:c>
      <x:c r="G487" s="1" t="s">
        <x:v>1067</x:v>
      </x:c>
      <x:c r="H487" s="1" t="s">
        <x:v>1067</x:v>
      </x:c>
      <x:c r="I487" s="1" t="s">
        <x:v>1061</x:v>
      </x:c>
      <x:c r="J487" s="1" t="s">
        <x:v>1067</x:v>
      </x:c>
      <x:c r="K487" s="1">
        <x:v>486.0</x:v>
      </x:c>
      <x:c r="L487" s="1" t="str">
        <x:f t="shared" si="1"/>
        <x:v>Cade Stover</x:v>
      </x:c>
      <x:c r="M487" s="127" t="n">
        <x:f>IFERROR(VLOOKUP(E487,RISK!A:B,2,FALSE()),"")</x:f>
        <x:v>2.2775</x:v>
      </x:c>
      <x:c r="N487" s="118" t="str">
        <x:f t="shared" si="2"/>
        <x:v>#N/A</x:v>
      </x:c>
      <x:c r="Q487" s="9"/>
      <x:c r="R487" s="9"/>
      <x:c r="S487" s="9"/>
      <x:c r="T487" s="9"/>
    </x:row>
    <x:row r="488" ht="14.25" customHeight="1">
      <x:c r="A488" s="1">
        <x:v>485.0</x:v>
      </x:c>
      <x:c r="B488" s="1">
        <x:v>12.0</x:v>
      </x:c>
      <x:c r="C488" s="1" t="s">
        <x:v>1041</x:v>
      </x:c>
      <x:c r="D488" s="1" t="s">
        <x:v>539</x:v>
      </x:c>
      <x:c r="E488" s="1" t="s">
        <x:v>416</x:v>
      </x:c>
      <x:c r="F488" s="1">
        <x:v>13.0</x:v>
      </x:c>
      <x:c r="G488" s="1" t="s">
        <x:v>1067</x:v>
      </x:c>
      <x:c r="H488" s="1" t="s">
        <x:v>1067</x:v>
      </x:c>
      <x:c r="I488" s="1" t="s">
        <x:v>1061</x:v>
      </x:c>
      <x:c r="J488" s="1" t="s">
        <x:v>1067</x:v>
      </x:c>
      <x:c r="K488" s="1">
        <x:v>487.0</x:v>
      </x:c>
      <x:c r="L488" s="1" t="str">
        <x:f t="shared" si="1"/>
        <x:v>Jelani Woods</x:v>
      </x:c>
      <x:c r="M488" s="127" t="n">
        <x:f>IFERROR(VLOOKUP(E488,RISK!A:B,2,FALSE()),"")</x:f>
        <x:v>2.2775</x:v>
      </x:c>
      <x:c r="N488" s="118" t="str">
        <x:f t="shared" si="2"/>
        <x:v>#N/A</x:v>
      </x:c>
      <x:c r="Q488" s="9"/>
      <x:c r="R488" s="9"/>
      <x:c r="S488" s="9"/>
      <x:c r="T488" s="9"/>
    </x:row>
    <x:row r="489" ht="14.25" customHeight="1">
      <x:c r="A489" s="1">
        <x:v>486.0</x:v>
      </x:c>
      <x:c r="B489" s="1">
        <x:v>12.0</x:v>
      </x:c>
      <x:c r="C489" s="1" t="s">
        <x:v>709</x:v>
      </x:c>
      <x:c r="D489" s="1" t="s">
        <x:v>513</x:v>
      </x:c>
      <x:c r="E489" s="1" t="s">
        <x:v>1325</x:v>
      </x:c>
      <x:c r="F489" s="1">
        <x:v>7.0</x:v>
      </x:c>
      <x:c r="G489" s="1" t="s">
        <x:v>1067</x:v>
      </x:c>
      <x:c r="H489" s="1" t="s">
        <x:v>1067</x:v>
      </x:c>
      <x:c r="I489" s="1" t="s">
        <x:v>1064</x:v>
      </x:c>
      <x:c r="J489" s="1" t="s">
        <x:v>1067</x:v>
      </x:c>
      <x:c r="K489" s="1">
        <x:v>488.0</x:v>
      </x:c>
      <x:c r="L489" s="1" t="str">
        <x:f t="shared" si="1"/>
        <x:v>Alec Ingold</x:v>
      </x:c>
      <x:c r="M489" s="127" t="n">
        <x:f>IFERROR(VLOOKUP(E489,RISK!A:B,2,FALSE()),"")</x:f>
        <x:v>3.368</x:v>
      </x:c>
      <x:c r="N489" s="118" t="str">
        <x:f t="shared" si="2"/>
        <x:v>#N/A</x:v>
      </x:c>
      <x:c r="Q489" s="9"/>
      <x:c r="R489" s="9"/>
      <x:c r="S489" s="9"/>
      <x:c r="T489" s="9"/>
    </x:row>
    <x:row r="490" ht="14.25" customHeight="1">
      <x:c r="A490" s="1">
        <x:v>487.0</x:v>
      </x:c>
      <x:c r="B490" s="1">
        <x:v>12.0</x:v>
      </x:c>
      <x:c r="C490" s="1" t="s">
        <x:v>987</x:v>
      </x:c>
      <x:c r="D490" s="1" t="s">
        <x:v>539</x:v>
      </x:c>
      <x:c r="E490" s="1" t="s">
        <x:v>419</x:v>
      </x:c>
      <x:c r="F490" s="1">
        <x:v>13.0</x:v>
      </x:c>
      <x:c r="G490" s="1" t="s">
        <x:v>1067</x:v>
      </x:c>
      <x:c r="H490" s="1" t="s">
        <x:v>1067</x:v>
      </x:c>
      <x:c r="I490" s="1" t="s">
        <x:v>1061</x:v>
      </x:c>
      <x:c r="J490" s="1" t="s">
        <x:v>1067</x:v>
      </x:c>
      <x:c r="K490" s="1">
        <x:v>489.0</x:v>
      </x:c>
      <x:c r="L490" s="1" t="str">
        <x:f t="shared" si="1"/>
        <x:v>Jeremy Ruckert</x:v>
      </x:c>
      <x:c r="M490" s="127" t="n">
        <x:f>IFERROR(VLOOKUP(E490,RISK!A:B,2,FALSE()),"")</x:f>
        <x:v>2.2775</x:v>
      </x:c>
      <x:c r="N490" s="118" t="str">
        <x:f t="shared" si="2"/>
        <x:v>#N/A</x:v>
      </x:c>
      <x:c r="Q490" s="9"/>
      <x:c r="R490" s="9"/>
      <x:c r="S490" s="9"/>
      <x:c r="T490" s="9"/>
    </x:row>
    <x:row r="491" ht="14.25" customHeight="1">
      <x:c r="A491" s="1">
        <x:v>488.0</x:v>
      </x:c>
      <x:c r="B491" s="1">
        <x:v>12.0</x:v>
      </x:c>
      <x:c r="C491" s="1" t="s">
        <x:v>989</x:v>
      </x:c>
      <x:c r="D491" s="1" t="s">
        <x:v>505</x:v>
      </x:c>
      <x:c r="E491" s="1" t="s">
        <x:v>422</x:v>
      </x:c>
      <x:c r="F491" s="1">
        <x:v>7.0</x:v>
      </x:c>
      <x:c r="G491" s="1" t="s">
        <x:v>1067</x:v>
      </x:c>
      <x:c r="H491" s="1" t="s">
        <x:v>1067</x:v>
      </x:c>
      <x:c r="I491" s="1" t="s">
        <x:v>1064</x:v>
      </x:c>
      <x:c r="J491" s="1" t="s">
        <x:v>1067</x:v>
      </x:c>
      <x:c r="K491" s="1">
        <x:v>490.0</x:v>
      </x:c>
      <x:c r="L491" s="1" t="str">
        <x:f t="shared" si="1"/>
        <x:v>Nate Boerkircher</x:v>
      </x:c>
      <x:c r="M491" s="127" t="n">
        <x:f>IFERROR(VLOOKUP(E491,RISK!A:B,2,FALSE()),"")</x:f>
        <x:v>2.2775</x:v>
      </x:c>
      <x:c r="N491" s="118" t="str">
        <x:f t="shared" si="2"/>
        <x:v>#N/A</x:v>
      </x:c>
      <x:c r="Q491" s="9"/>
      <x:c r="R491" s="9"/>
      <x:c r="S491" s="9"/>
      <x:c r="T491" s="9"/>
    </x:row>
    <x:row r="492" ht="14.25" customHeight="1">
      <x:c r="A492" s="1">
        <x:v>489.0</x:v>
      </x:c>
      <x:c r="B492" s="1">
        <x:v>12.0</x:v>
      </x:c>
      <x:c r="C492" s="1" t="s">
        <x:v>1326</x:v>
      </x:c>
      <x:c r="D492" s="1" t="s">
        <x:v>545</x:v>
      </x:c>
      <x:c r="E492" s="1" t="s">
        <x:v>1327</x:v>
      </x:c>
      <x:c r="F492" s="1">
        <x:v>9.0</x:v>
      </x:c>
      <x:c r="G492" s="1" t="s">
        <x:v>1067</x:v>
      </x:c>
      <x:c r="H492" s="1" t="s">
        <x:v>1067</x:v>
      </x:c>
      <x:c r="I492" s="1" t="s">
        <x:v>1060</x:v>
      </x:c>
      <x:c r="J492" s="1" t="s">
        <x:v>1067</x:v>
      </x:c>
      <x:c r="K492" s="1">
        <x:v>491.0</x:v>
      </x:c>
      <x:c r="L492" s="1" t="str">
        <x:f t="shared" si="1"/>
        <x:v>Travis Homer</x:v>
      </x:c>
      <x:c r="M492" s="127" t="n">
        <x:f>IFERROR(VLOOKUP(E492,RISK!A:B,2,FALSE()),"")</x:f>
        <x:v>3.368</x:v>
      </x:c>
      <x:c r="N492" s="118" t="str">
        <x:f t="shared" si="2"/>
        <x:v>#N/A</x:v>
      </x:c>
      <x:c r="Q492" s="9"/>
      <x:c r="R492" s="9"/>
      <x:c r="S492" s="9"/>
      <x:c r="T492" s="9"/>
    </x:row>
    <x:row r="493" ht="14.25" customHeight="1">
      <x:c r="A493" s="1">
        <x:v>490.0</x:v>
      </x:c>
      <x:c r="B493" s="1">
        <x:v>12.0</x:v>
      </x:c>
      <x:c r="C493" s="1" t="s">
        <x:v>1024</x:v>
      </x:c>
      <x:c r="D493" s="1" t="s">
        <x:v>491</x:v>
      </x:c>
      <x:c r="E493" s="1" t="s">
        <x:v>425</x:v>
      </x:c>
      <x:c r="F493" s="1">
        <x:v>13.0</x:v>
      </x:c>
      <x:c r="G493" s="1" t="s">
        <x:v>1067</x:v>
      </x:c>
      <x:c r="H493" s="1" t="s">
        <x:v>1067</x:v>
      </x:c>
      <x:c r="I493" s="1" t="s">
        <x:v>1061</x:v>
      </x:c>
      <x:c r="J493" s="1" t="s">
        <x:v>1067</x:v>
      </x:c>
      <x:c r="K493" s="1">
        <x:v>492.0</x:v>
      </x:c>
      <x:c r="L493" s="1" t="str">
        <x:f t="shared" si="1"/>
        <x:v>Josh Cuevas</x:v>
      </x:c>
      <x:c r="M493" s="127" t="n">
        <x:f>IFERROR(VLOOKUP(E493,RISK!A:B,2,FALSE()),"")</x:f>
        <x:v>2.2775</x:v>
      </x:c>
      <x:c r="N493" s="118" t="str">
        <x:f t="shared" si="2"/>
        <x:v>#N/A</x:v>
      </x:c>
      <x:c r="Q493" s="9"/>
      <x:c r="R493" s="9"/>
      <x:c r="S493" s="9"/>
      <x:c r="T493" s="9"/>
    </x:row>
    <x:row r="494" ht="14.25" customHeight="1">
      <x:c r="A494" s="1">
        <x:v>491.0</x:v>
      </x:c>
      <x:c r="B494" s="1">
        <x:v>12.0</x:v>
      </x:c>
      <x:c r="C494" s="1" t="s">
        <x:v>991</x:v>
      </x:c>
      <x:c r="D494" s="1" t="s">
        <x:v>515</x:v>
      </x:c>
      <x:c r="E494" s="1" t="s">
        <x:v>428</x:v>
      </x:c>
      <x:c r="F494" s="1">
        <x:v>10.0</x:v>
      </x:c>
      <x:c r="G494" s="1" t="s">
        <x:v>1067</x:v>
      </x:c>
      <x:c r="H494" s="1" t="s">
        <x:v>1067</x:v>
      </x:c>
      <x:c r="I494" s="1" t="s">
        <x:v>1061</x:v>
      </x:c>
      <x:c r="J494" s="1" t="s">
        <x:v>1067</x:v>
      </x:c>
      <x:c r="K494" s="1">
        <x:v>493.0</x:v>
      </x:c>
      <x:c r="L494" s="1" t="str">
        <x:f t="shared" si="1"/>
        <x:v>Nate Adkins</x:v>
      </x:c>
      <x:c r="M494" s="127" t="n">
        <x:f>IFERROR(VLOOKUP(E494,RISK!A:B,2,FALSE()),"")</x:f>
        <x:v>2.2775</x:v>
      </x:c>
      <x:c r="N494" s="118" t="str">
        <x:f t="shared" si="2"/>
        <x:v>#N/A</x:v>
      </x:c>
      <x:c r="Q494" s="9"/>
      <x:c r="R494" s="9"/>
      <x:c r="S494" s="9"/>
      <x:c r="T494" s="9"/>
    </x:row>
    <x:row r="495" ht="14.25" customHeight="1">
      <x:c r="A495" s="1">
        <x:v>492.0</x:v>
      </x:c>
      <x:c r="B495" s="1">
        <x:v>12.0</x:v>
      </x:c>
      <x:c r="C495" s="1" t="s">
        <x:v>715</x:v>
      </x:c>
      <x:c r="D495" s="1" t="s">
        <x:v>525</x:v>
      </x:c>
      <x:c r="E495" s="1" t="s">
        <x:v>1328</x:v>
      </x:c>
      <x:c r="F495" s="1">
        <x:v>6.0</x:v>
      </x:c>
      <x:c r="G495" s="1" t="s">
        <x:v>1067</x:v>
      </x:c>
      <x:c r="H495" s="1" t="s">
        <x:v>1067</x:v>
      </x:c>
      <x:c r="I495" s="1" t="s">
        <x:v>1061</x:v>
      </x:c>
      <x:c r="J495" s="1" t="s">
        <x:v>1067</x:v>
      </x:c>
      <x:c r="K495" s="1">
        <x:v>494.0</x:v>
      </x:c>
      <x:c r="L495" s="1" t="str">
        <x:f t="shared" si="1"/>
        <x:v>Max Bredeson</x:v>
      </x:c>
      <x:c r="M495" s="127" t="n">
        <x:f>IFERROR(VLOOKUP(E495,RISK!A:B,2,FALSE()),"")</x:f>
        <x:v>3.368</x:v>
      </x:c>
      <x:c r="N495" s="118" t="str">
        <x:f t="shared" si="2"/>
        <x:v>#N/A</x:v>
      </x:c>
      <x:c r="Q495" s="9"/>
      <x:c r="R495" s="9"/>
      <x:c r="S495" s="9"/>
      <x:c r="T495" s="9"/>
    </x:row>
    <x:row r="496" ht="14.25" customHeight="1">
      <x:c r="A496" s="1">
        <x:v>493.0</x:v>
      </x:c>
      <x:c r="B496" s="1">
        <x:v>12.0</x:v>
      </x:c>
      <x:c r="C496" s="1" t="s">
        <x:v>988</x:v>
      </x:c>
      <x:c r="D496" s="1" t="s">
        <x:v>499</x:v>
      </x:c>
      <x:c r="E496" s="1" t="s">
        <x:v>431</x:v>
      </x:c>
      <x:c r="F496" s="1">
        <x:v>6.0</x:v>
      </x:c>
      <x:c r="G496" s="1" t="s">
        <x:v>1067</x:v>
      </x:c>
      <x:c r="H496" s="1" t="s">
        <x:v>1067</x:v>
      </x:c>
      <x:c r="I496" s="1" t="s">
        <x:v>1064</x:v>
      </x:c>
      <x:c r="J496" s="1" t="s">
        <x:v>1067</x:v>
      </x:c>
      <x:c r="K496" s="1">
        <x:v>495.0</x:v>
      </x:c>
      <x:c r="L496" s="1" t="str">
        <x:f t="shared" si="1"/>
        <x:v>Drew Sample</x:v>
      </x:c>
      <x:c r="M496" s="127" t="n">
        <x:f>IFERROR(VLOOKUP(E496,RISK!A:B,2,FALSE()),"")</x:f>
        <x:v>2.2775</x:v>
      </x:c>
      <x:c r="N496" s="118" t="str">
        <x:f t="shared" si="2"/>
        <x:v>#N/A</x:v>
      </x:c>
      <x:c r="Q496" s="9"/>
      <x:c r="R496" s="9"/>
      <x:c r="S496" s="9"/>
      <x:c r="T496" s="9"/>
    </x:row>
    <x:row r="497" ht="14.25" customHeight="1">
      <x:c r="A497" s="1">
        <x:v>494.0</x:v>
      </x:c>
      <x:c r="B497" s="1">
        <x:v>12.0</x:v>
      </x:c>
      <x:c r="C497" s="1" t="s">
        <x:v>718</x:v>
      </x:c>
      <x:c r="D497" s="1" t="s">
        <x:v>501</x:v>
      </x:c>
      <x:c r="E497" s="1" t="s">
        <x:v>1329</x:v>
      </x:c>
      <x:c r="F497" s="1">
        <x:v>8.0</x:v>
      </x:c>
      <x:c r="G497" s="1" t="s">
        <x:v>1067</x:v>
      </x:c>
      <x:c r="H497" s="1" t="s">
        <x:v>1067</x:v>
      </x:c>
      <x:c r="I497" s="1" t="s">
        <x:v>1061</x:v>
      </x:c>
      <x:c r="J497" s="1" t="s">
        <x:v>1067</x:v>
      </x:c>
      <x:c r="K497" s="1">
        <x:v>496.0</x:v>
      </x:c>
      <x:c r="L497" s="1" t="str">
        <x:f t="shared" si="1"/>
        <x:v>Patrick Ricard</x:v>
      </x:c>
      <x:c r="M497" s="127" t="n">
        <x:f>IFERROR(VLOOKUP(E497,RISK!A:B,2,FALSE()),"")</x:f>
        <x:v>3.368</x:v>
      </x:c>
      <x:c r="N497" s="118" t="str">
        <x:f t="shared" si="2"/>
        <x:v>#N/A</x:v>
      </x:c>
      <x:c r="Q497" s="9"/>
      <x:c r="R497" s="9"/>
      <x:c r="S497" s="9"/>
      <x:c r="T497" s="9"/>
    </x:row>
    <x:row r="498" ht="14.25" customHeight="1">
      <x:c r="A498" s="1">
        <x:v>495.0</x:v>
      </x:c>
      <x:c r="B498" s="1">
        <x:v>12.0</x:v>
      </x:c>
      <x:c r="C498" s="1" t="s">
        <x:v>713</x:v>
      </x:c>
      <x:c r="D498" s="1" t="s">
        <x:v>515</x:v>
      </x:c>
      <x:c r="E498" s="1" t="s">
        <x:v>1330</x:v>
      </x:c>
      <x:c r="F498" s="1">
        <x:v>10.0</x:v>
      </x:c>
      <x:c r="G498" s="1" t="s">
        <x:v>1067</x:v>
      </x:c>
      <x:c r="H498" s="1" t="s">
        <x:v>1067</x:v>
      </x:c>
      <x:c r="I498" s="1" t="s">
        <x:v>1060</x:v>
      </x:c>
      <x:c r="J498" s="1" t="s">
        <x:v>1067</x:v>
      </x:c>
      <x:c r="K498" s="1">
        <x:v>497.0</x:v>
      </x:c>
      <x:c r="L498" s="1" t="str">
        <x:f t="shared" si="1"/>
        <x:v>Adam Prentice</x:v>
      </x:c>
      <x:c r="M498" s="127" t="n">
        <x:f>IFERROR(VLOOKUP(E498,RISK!A:B,2,FALSE()),"")</x:f>
        <x:v>3.368</x:v>
      </x:c>
      <x:c r="N498" s="118" t="str">
        <x:f t="shared" si="2"/>
        <x:v>#N/A</x:v>
      </x:c>
      <x:c r="Q498" s="9"/>
      <x:c r="R498" s="9"/>
      <x:c r="S498" s="9"/>
      <x:c r="T498" s="9"/>
    </x:row>
    <x:row r="499" ht="14.25" customHeight="1">
      <x:c r="A499" s="1">
        <x:v>496.0</x:v>
      </x:c>
      <x:c r="B499" s="1">
        <x:v>12.0</x:v>
      </x:c>
      <x:c r="C499" s="1" t="s">
        <x:v>888</x:v>
      </x:c>
      <x:c r="D499" s="1" t="s">
        <x:v>517</x:v>
      </x:c>
      <x:c r="E499" s="1" t="s">
        <x:v>1331</x:v>
      </x:c>
      <x:c r="F499" s="1">
        <x:v>11.0</x:v>
      </x:c>
      <x:c r="G499" s="1" t="s">
        <x:v>1067</x:v>
      </x:c>
      <x:c r="H499" s="1" t="s">
        <x:v>1067</x:v>
      </x:c>
      <x:c r="I499" s="1" t="s">
        <x:v>1063</x:v>
      </x:c>
      <x:c r="J499" s="1" t="s">
        <x:v>1067</x:v>
      </x:c>
      <x:c r="K499" s="1">
        <x:v>498.0</x:v>
      </x:c>
      <x:c r="L499" s="1" t="str">
        <x:f t="shared" si="1"/>
        <x:v>Xavier Smith</x:v>
      </x:c>
      <x:c r="M499" s="127" t="n">
        <x:f>IFERROR(VLOOKUP(E499,RISK!A:B,2,FALSE()),"")</x:f>
        <x:v>3.7</x:v>
      </x:c>
      <x:c r="N499" s="118" t="str">
        <x:f t="shared" si="2"/>
        <x:v>#N/A</x:v>
      </x:c>
      <x:c r="Q499" s="9"/>
      <x:c r="R499" s="9"/>
      <x:c r="S499" s="9"/>
      <x:c r="T499" s="9"/>
    </x:row>
    <x:row r="500" ht="14.25" customHeight="1">
      <x:c r="A500" s="1">
        <x:v>497.0</x:v>
      </x:c>
      <x:c r="B500" s="1">
        <x:v>12.0</x:v>
      </x:c>
      <x:c r="C500" s="1" t="s">
        <x:v>1332</x:v>
      </x:c>
      <x:c r="D500" s="1" t="s">
        <x:v>497</x:v>
      </x:c>
      <x:c r="E500" s="1" t="s">
        <x:v>1333</x:v>
      </x:c>
      <x:c r="F500" s="1">
        <x:v>10.0</x:v>
      </x:c>
      <x:c r="G500" s="1" t="s">
        <x:v>1067</x:v>
      </x:c>
      <x:c r="H500" s="1" t="s">
        <x:v>1067</x:v>
      </x:c>
      <x:c r="I500" s="1" t="s">
        <x:v>1061</x:v>
      </x:c>
      <x:c r="J500" s="1" t="s">
        <x:v>1067</x:v>
      </x:c>
      <x:c r="K500" s="1">
        <x:v>499.0</x:v>
      </x:c>
      <x:c r="L500" s="1" t="str">
        <x:f t="shared" si="1"/>
        <x:v>Elijah Moore</x:v>
      </x:c>
      <x:c r="M500" s="127" t="n">
        <x:f>IFERROR(VLOOKUP(E500,RISK!A:B,2,FALSE()),"")</x:f>
        <x:v>3.7</x:v>
      </x:c>
      <x:c r="N500" s="118" t="str">
        <x:f t="shared" si="2"/>
        <x:v>#N/A</x:v>
      </x:c>
      <x:c r="Q500" s="9"/>
      <x:c r="R500" s="9"/>
      <x:c r="S500" s="9"/>
      <x:c r="T500" s="9"/>
    </x:row>
    <x:row r="501" ht="14.25" customHeight="1">
      <x:c r="A501" s="1">
        <x:v>498.0</x:v>
      </x:c>
      <x:c r="B501" s="1">
        <x:v>12.0</x:v>
      </x:c>
      <x:c r="C501" s="1" t="s">
        <x:v>686</x:v>
      </x:c>
      <x:c r="D501" s="1" t="s">
        <x:v>487</x:v>
      </x:c>
      <x:c r="E501" s="1" t="s">
        <x:v>1334</x:v>
      </x:c>
      <x:c r="F501" s="1">
        <x:v>7.0</x:v>
      </x:c>
      <x:c r="G501" s="1" t="s">
        <x:v>1067</x:v>
      </x:c>
      <x:c r="H501" s="1" t="s">
        <x:v>1067</x:v>
      </x:c>
      <x:c r="I501" s="1" t="s">
        <x:v>1060</x:v>
      </x:c>
      <x:c r="J501" s="1" t="s">
        <x:v>1067</x:v>
      </x:c>
      <x:c r="K501" s="1">
        <x:v>500.0</x:v>
      </x:c>
      <x:c r="L501" s="1" t="str">
        <x:f t="shared" si="1"/>
        <x:v>Frank Gore Jr.</x:v>
      </x:c>
      <x:c r="M501" s="127" t="n">
        <x:f>IFERROR(VLOOKUP(E501,RISK!A:B,2,FALSE()),"")</x:f>
        <x:v>3.368</x:v>
      </x:c>
      <x:c r="N501" s="118" t="str">
        <x:f t="shared" si="2"/>
        <x:v>#N/A</x:v>
      </x:c>
      <x:c r="Q501" s="9"/>
      <x:c r="R501" s="9"/>
      <x:c r="S501" s="9"/>
      <x:c r="T501" s="9"/>
    </x:row>
    <x:row r="502" ht="14.25" customHeight="1">
      <x:c r="A502" s="1">
        <x:v>499.0</x:v>
      </x:c>
      <x:c r="B502" s="1">
        <x:v>12.0</x:v>
      </x:c>
      <x:c r="C502" s="1" t="s">
        <x:v>1335</x:v>
      </x:c>
      <x:c r="D502" s="1" t="s">
        <x:v>541</x:v>
      </x:c>
      <x:c r="E502" s="1" t="s">
        <x:v>1336</x:v>
      </x:c>
      <x:c r="F502" s="1">
        <x:v>9.0</x:v>
      </x:c>
      <x:c r="G502" s="1" t="s">
        <x:v>1067</x:v>
      </x:c>
      <x:c r="H502" s="1" t="s">
        <x:v>1067</x:v>
      </x:c>
      <x:c r="I502" s="1" t="s">
        <x:v>1064</x:v>
      </x:c>
      <x:c r="J502" s="1" t="s">
        <x:v>1067</x:v>
      </x:c>
      <x:c r="K502" s="1">
        <x:v>501.0</x:v>
      </x:c>
      <x:c r="L502" s="1" t="str">
        <x:f t="shared" si="1"/>
        <x:v>Kalel Mullings</x:v>
      </x:c>
      <x:c r="M502" s="127" t="n">
        <x:f>IFERROR(VLOOKUP(E502,RISK!A:B,2,FALSE()),"")</x:f>
        <x:v>3.368</x:v>
      </x:c>
      <x:c r="N502" s="118" t="str">
        <x:f t="shared" si="2"/>
        <x:v>#N/A</x:v>
      </x:c>
      <x:c r="Q502" s="9"/>
      <x:c r="R502" s="9"/>
      <x:c r="S502" s="9"/>
      <x:c r="T502" s="9"/>
    </x:row>
    <x:row r="503" ht="14.25" customHeight="1">
      <x:c r="A503" s="1">
        <x:v>500.0</x:v>
      </x:c>
      <x:c r="B503" s="1">
        <x:v>12.0</x:v>
      </x:c>
      <x:c r="C503" s="1" t="s">
        <x:v>708</x:v>
      </x:c>
      <x:c r="D503" s="1" t="s">
        <x:v>549</x:v>
      </x:c>
      <x:c r="E503" s="1" t="s">
        <x:v>1337</x:v>
      </x:c>
      <x:c r="F503" s="1">
        <x:v>11.0</x:v>
      </x:c>
      <x:c r="G503" s="1" t="s">
        <x:v>1067</x:v>
      </x:c>
      <x:c r="H503" s="1" t="s">
        <x:v>1067</x:v>
      </x:c>
      <x:c r="I503" s="1" t="s">
        <x:v>1064</x:v>
      </x:c>
      <x:c r="J503" s="1">
        <x:v>-188.0</x:v>
      </x:c>
      <x:c r="K503" s="1">
        <x:v>502.0</x:v>
      </x:c>
      <x:c r="L503" s="1" t="str">
        <x:f t="shared" si="1"/>
        <x:v>Michael Burton</x:v>
      </x:c>
      <x:c r="M503" s="127" t="n">
        <x:f>IFERROR(VLOOKUP(E503,RISK!A:B,2,FALSE()),"")</x:f>
        <x:v>3.368</x:v>
      </x:c>
      <x:c r="N503" s="118" t="str">
        <x:f t="shared" si="2"/>
        <x:v>#N/A</x:v>
      </x:c>
      <x:c r="Q503" s="9"/>
      <x:c r="R503" s="9"/>
      <x:c r="S503" s="9"/>
      <x:c r="T503" s="9"/>
    </x:row>
    <x:row r="504" ht="14.25" customHeight="1">
      <x:c r="A504" s="1">
        <x:v>501.0</x:v>
      </x:c>
      <x:c r="B504" s="1">
        <x:v>12.0</x:v>
      </x:c>
      <x:c r="C504" s="1" t="s">
        <x:v>1338</x:v>
      </x:c>
      <x:c r="D504" s="1" t="s">
        <x:v>513</x:v>
      </x:c>
      <x:c r="E504" s="1" t="s">
        <x:v>1339</x:v>
      </x:c>
      <x:c r="F504" s="1">
        <x:v>7.0</x:v>
      </x:c>
      <x:c r="G504" s="1" t="s">
        <x:v>1067</x:v>
      </x:c>
      <x:c r="H504" s="1" t="s">
        <x:v>1067</x:v>
      </x:c>
      <x:c r="I504" s="1" t="s">
        <x:v>1064</x:v>
      </x:c>
      <x:c r="J504" s="1" t="s">
        <x:v>1067</x:v>
      </x:c>
      <x:c r="K504" s="1">
        <x:v>503.0</x:v>
      </x:c>
      <x:c r="L504" s="1" t="str">
        <x:f t="shared" si="1"/>
        <x:v>Jaret Patterson</x:v>
      </x:c>
      <x:c r="M504" s="127" t="n">
        <x:f>IFERROR(VLOOKUP(E504,RISK!A:B,2,FALSE()),"")</x:f>
        <x:v>3.368</x:v>
      </x:c>
      <x:c r="N504" s="118" t="str">
        <x:f t="shared" si="2"/>
        <x:v>#N/A</x:v>
      </x:c>
      <x:c r="Q504" s="9"/>
      <x:c r="R504" s="9"/>
      <x:c r="S504" s="9"/>
      <x:c r="T504" s="9"/>
    </x:row>
    <x:row r="505" ht="14.25" customHeight="1">
      <x:c r="A505" s="1">
        <x:v>502.0</x:v>
      </x:c>
      <x:c r="B505" s="1">
        <x:v>12.0</x:v>
      </x:c>
      <x:c r="C505" s="1" t="s">
        <x:v>1340</x:v>
      </x:c>
      <x:c r="D505" s="1" t="s">
        <x:v>519</x:v>
      </x:c>
      <x:c r="E505" s="1" t="s">
        <x:v>1341</x:v>
      </x:c>
      <x:c r="F505" s="1">
        <x:v>6.0</x:v>
      </x:c>
      <x:c r="G505" s="1" t="s">
        <x:v>1067</x:v>
      </x:c>
      <x:c r="H505" s="1" t="s">
        <x:v>1067</x:v>
      </x:c>
      <x:c r="I505" s="1" t="s">
        <x:v>1061</x:v>
      </x:c>
      <x:c r="J505" s="1" t="s">
        <x:v>1067</x:v>
      </x:c>
      <x:c r="K505" s="1">
        <x:v>504.0</x:v>
      </x:c>
      <x:c r="L505" s="1" t="str">
        <x:f t="shared" si="1"/>
        <x:v>Cedrick Wilson Jr.</x:v>
      </x:c>
      <x:c r="M505" s="127" t="n">
        <x:f>IFERROR(VLOOKUP(E505,RISK!A:B,2,FALSE()),"")</x:f>
        <x:v>3.7</x:v>
      </x:c>
      <x:c r="N505" s="118" t="str">
        <x:f t="shared" si="2"/>
        <x:v>#N/A</x:v>
      </x:c>
      <x:c r="Q505" s="9"/>
      <x:c r="R505" s="9"/>
      <x:c r="S505" s="9"/>
      <x:c r="T505" s="9"/>
    </x:row>
    <x:row r="506" ht="14.25" customHeight="1">
      <x:c r="A506" s="1">
        <x:v>503.0</x:v>
      </x:c>
      <x:c r="B506" s="1">
        <x:v>12.0</x:v>
      </x:c>
      <x:c r="C506" s="1" t="s">
        <x:v>720</x:v>
      </x:c>
      <x:c r="D506" s="1" t="s">
        <x:v>535</x:v>
      </x:c>
      <x:c r="E506" s="1" t="s">
        <x:v>1342</x:v>
      </x:c>
      <x:c r="F506" s="1">
        <x:v>8.0</x:v>
      </x:c>
      <x:c r="G506" s="1" t="s">
        <x:v>1067</x:v>
      </x:c>
      <x:c r="H506" s="1" t="s">
        <x:v>1067</x:v>
      </x:c>
      <x:c r="I506" s="1" t="s">
        <x:v>1061</x:v>
      </x:c>
      <x:c r="J506" s="1" t="s">
        <x:v>1067</x:v>
      </x:c>
      <x:c r="K506" s="1">
        <x:v>505.0</x:v>
      </x:c>
      <x:c r="L506" s="1" t="str">
        <x:f t="shared" si="1"/>
        <x:v>British Brooks</x:v>
      </x:c>
      <x:c r="M506" s="127" t="n">
        <x:f>IFERROR(VLOOKUP(E506,RISK!A:B,2,FALSE()),"")</x:f>
        <x:v>3.368</x:v>
      </x:c>
      <x:c r="N506" s="118" t="str">
        <x:f t="shared" si="2"/>
        <x:v>#N/A</x:v>
      </x:c>
      <x:c r="Q506" s="9"/>
      <x:c r="R506" s="9"/>
      <x:c r="S506" s="9"/>
      <x:c r="T506" s="9"/>
    </x:row>
    <x:row r="507" ht="14.25" customHeight="1">
      <x:c r="A507" s="1">
        <x:v>504.0</x:v>
      </x:c>
      <x:c r="B507" s="1">
        <x:v>12.0</x:v>
      </x:c>
      <x:c r="C507" s="1" t="s">
        <x:v>970</x:v>
      </x:c>
      <x:c r="D507" s="1" t="s">
        <x:v>519</x:v>
      </x:c>
      <x:c r="E507" s="1" t="s">
        <x:v>434</x:v>
      </x:c>
      <x:c r="F507" s="1">
        <x:v>6.0</x:v>
      </x:c>
      <x:c r="G507" s="1" t="s">
        <x:v>1067</x:v>
      </x:c>
      <x:c r="H507" s="1" t="s">
        <x:v>1067</x:v>
      </x:c>
      <x:c r="I507" s="1" t="s">
        <x:v>1064</x:v>
      </x:c>
      <x:c r="J507" s="1" t="s">
        <x:v>1067</x:v>
      </x:c>
      <x:c r="K507" s="1">
        <x:v>506.0</x:v>
      </x:c>
      <x:c r="L507" s="1" t="str">
        <x:f t="shared" si="1"/>
        <x:v>Brock Wright</x:v>
      </x:c>
      <x:c r="M507" s="127" t="n">
        <x:f>IFERROR(VLOOKUP(E507,RISK!A:B,2,FALSE()),"")</x:f>
        <x:v>2.2775</x:v>
      </x:c>
      <x:c r="N507" s="118" t="str">
        <x:f t="shared" si="2"/>
        <x:v>#N/A</x:v>
      </x:c>
      <x:c r="Q507" s="9"/>
      <x:c r="R507" s="9"/>
      <x:c r="S507" s="9"/>
      <x:c r="T507" s="9"/>
    </x:row>
    <x:row r="508" ht="14.25" customHeight="1">
      <x:c r="A508" s="1">
        <x:v>505.0</x:v>
      </x:c>
      <x:c r="B508" s="1">
        <x:v>12.0</x:v>
      </x:c>
      <x:c r="C508" s="1" t="s">
        <x:v>896</x:v>
      </x:c>
      <x:c r="D508" s="1" t="s">
        <x:v>543</x:v>
      </x:c>
      <x:c r="E508" s="1" t="s">
        <x:v>1343</x:v>
      </x:c>
      <x:c r="F508" s="1">
        <x:v>14.0</x:v>
      </x:c>
      <x:c r="G508" s="1" t="s">
        <x:v>1067</x:v>
      </x:c>
      <x:c r="H508" s="1" t="s">
        <x:v>1067</x:v>
      </x:c>
      <x:c r="I508" s="1" t="s">
        <x:v>1060</x:v>
      </x:c>
      <x:c r="J508" s="1" t="s">
        <x:v>1067</x:v>
      </x:c>
      <x:c r="K508" s="1">
        <x:v>507.0</x:v>
      </x:c>
      <x:c r="L508" s="1" t="str">
        <x:f t="shared" si="1"/>
        <x:v>Reggie Virgil</x:v>
      </x:c>
      <x:c r="M508" s="127" t="n">
        <x:f>IFERROR(VLOOKUP(E508,RISK!A:B,2,FALSE()),"")</x:f>
        <x:v>3.7</x:v>
      </x:c>
      <x:c r="N508" s="118" t="str">
        <x:f t="shared" si="2"/>
        <x:v>#N/A</x:v>
      </x:c>
      <x:c r="Q508" s="9"/>
      <x:c r="R508" s="9"/>
      <x:c r="S508" s="9"/>
      <x:c r="T508" s="9"/>
    </x:row>
    <x:row r="509" ht="14.25" customHeight="1">
      <x:c r="A509" s="1">
        <x:v>506.0</x:v>
      </x:c>
      <x:c r="B509" s="1">
        <x:v>13.0</x:v>
      </x:c>
      <x:c r="C509" s="1" t="s">
        <x:v>1344</x:v>
      </x:c>
      <x:c r="D509" s="1" t="s">
        <x:v>539</x:v>
      </x:c>
      <x:c r="E509" s="1" t="s">
        <x:v>1345</x:v>
      </x:c>
      <x:c r="F509" s="1">
        <x:v>13.0</x:v>
      </x:c>
      <x:c r="G509" s="1" t="s">
        <x:v>1067</x:v>
      </x:c>
      <x:c r="H509" s="1" t="s">
        <x:v>1067</x:v>
      </x:c>
      <x:c r="I509" s="1" t="s">
        <x:v>1060</x:v>
      </x:c>
      <x:c r="J509" s="1" t="s">
        <x:v>1067</x:v>
      </x:c>
      <x:c r="K509" s="1">
        <x:v>508.0</x:v>
      </x:c>
      <x:c r="L509" s="1" t="str">
        <x:f t="shared" si="1"/>
        <x:v>Jason Sanders</x:v>
      </x:c>
      <x:c r="M509" s="127" t="str">
        <x:f>IFERROR(VLOOKUP(E509,RISK!A:B,2,FALSE()),"")</x:f>
      </x:c>
      <x:c r="N509" s="118" t="str">
        <x:f t="shared" si="2"/>
        <x:v>#N/A</x:v>
      </x:c>
      <x:c r="Q509" s="9"/>
      <x:c r="R509" s="9"/>
      <x:c r="S509" s="9"/>
      <x:c r="T509" s="9"/>
    </x:row>
    <x:row r="510" ht="14.25" customHeight="1">
      <x:c r="A510" s="1">
        <x:v>507.0</x:v>
      </x:c>
      <x:c r="B510" s="1">
        <x:v>13.0</x:v>
      </x:c>
      <x:c r="C510" s="1" t="s">
        <x:v>566</x:v>
      </x:c>
      <x:c r="D510" s="1" t="s">
        <x:v>523</x:v>
      </x:c>
      <x:c r="E510" s="1" t="s">
        <x:v>1346</x:v>
      </x:c>
      <x:c r="F510" s="1">
        <x:v>10.0</x:v>
      </x:c>
      <x:c r="G510" s="1" t="s">
        <x:v>1067</x:v>
      </x:c>
      <x:c r="H510" s="1" t="s">
        <x:v>1067</x:v>
      </x:c>
      <x:c r="I510" s="1" t="s">
        <x:v>1060</x:v>
      </x:c>
      <x:c r="J510" s="1" t="s">
        <x:v>1067</x:v>
      </x:c>
      <x:c r="K510" s="1">
        <x:v>509.0</x:v>
      </x:c>
      <x:c r="L510" s="1" t="str">
        <x:f t="shared" si="1"/>
        <x:v>Jake Browning</x:v>
      </x:c>
      <x:c r="M510" s="127" t="n">
        <x:f>IFERROR(VLOOKUP(E510,RISK!A:B,2,FALSE()),"")</x:f>
        <x:v>3.2</x:v>
      </x:c>
      <x:c r="N510" s="118" t="str">
        <x:f t="shared" si="2"/>
        <x:v>#N/A</x:v>
      </x:c>
      <x:c r="Q510" s="9"/>
      <x:c r="R510" s="9"/>
      <x:c r="S510" s="9"/>
      <x:c r="T510" s="9"/>
    </x:row>
    <x:row r="511" ht="14.25" customHeight="1">
      <x:c r="A511" s="1">
        <x:v>508.0</x:v>
      </x:c>
      <x:c r="B511" s="1">
        <x:v>13.0</x:v>
      </x:c>
      <x:c r="C511" s="1" t="s">
        <x:v>1347</x:v>
      </x:c>
      <x:c r="D511" s="1" t="s">
        <x:v>495</x:v>
      </x:c>
      <x:c r="E511" s="1" t="s">
        <x:v>1348</x:v>
      </x:c>
      <x:c r="F511" s="1">
        <x:v>7.0</x:v>
      </x:c>
      <x:c r="G511" s="1" t="s">
        <x:v>1067</x:v>
      </x:c>
      <x:c r="H511" s="1" t="s">
        <x:v>1067</x:v>
      </x:c>
      <x:c r="I511" s="1" t="s">
        <x:v>1059</x:v>
      </x:c>
      <x:c r="J511" s="1" t="s">
        <x:v>1067</x:v>
      </x:c>
      <x:c r="K511" s="1">
        <x:v>510.0</x:v>
      </x:c>
      <x:c r="L511" s="1" t="str">
        <x:f t="shared" si="1"/>
        <x:v>Drew Stevens</x:v>
      </x:c>
      <x:c r="M511" s="127" t="str">
        <x:f>IFERROR(VLOOKUP(E511,RISK!A:B,2,FALSE()),"")</x:f>
      </x:c>
      <x:c r="N511" s="118" t="str">
        <x:f t="shared" si="2"/>
        <x:v>#N/A</x:v>
      </x:c>
      <x:c r="Q511" s="9"/>
      <x:c r="R511" s="9"/>
      <x:c r="S511" s="9"/>
      <x:c r="T511" s="9"/>
    </x:row>
    <x:row r="512" ht="14.25" customHeight="1">
      <x:c r="A512" s="1">
        <x:v>509.0</x:v>
      </x:c>
      <x:c r="B512" s="1">
        <x:v>13.0</x:v>
      </x:c>
      <x:c r="C512" s="1" t="s">
        <x:v>873</x:v>
      </x:c>
      <x:c r="D512" s="1" t="s">
        <x:v>535</x:v>
      </x:c>
      <x:c r="E512" s="1" t="s">
        <x:v>1349</x:v>
      </x:c>
      <x:c r="F512" s="1">
        <x:v>8.0</x:v>
      </x:c>
      <x:c r="G512" s="1" t="s">
        <x:v>1067</x:v>
      </x:c>
      <x:c r="H512" s="1" t="s">
        <x:v>1067</x:v>
      </x:c>
      <x:c r="I512" s="1" t="s">
        <x:v>1064</x:v>
      </x:c>
      <x:c r="J512" s="1" t="s">
        <x:v>1067</x:v>
      </x:c>
      <x:c r="K512" s="1">
        <x:v>511.0</x:v>
      </x:c>
      <x:c r="L512" s="1" t="str">
        <x:f t="shared" si="1"/>
        <x:v>Justin Watson</x:v>
      </x:c>
      <x:c r="M512" s="127" t="n">
        <x:f>IFERROR(VLOOKUP(E512,RISK!A:B,2,FALSE()),"")</x:f>
        <x:v>3.7</x:v>
      </x:c>
      <x:c r="N512" s="118" t="str">
        <x:f t="shared" si="2"/>
        <x:v>#N/A</x:v>
      </x:c>
      <x:c r="Q512" s="9"/>
      <x:c r="R512" s="9"/>
      <x:c r="S512" s="9"/>
      <x:c r="T512" s="9"/>
    </x:row>
    <x:row r="513" ht="14.25" customHeight="1">
      <x:c r="A513" s="1">
        <x:v>510.0</x:v>
      </x:c>
      <x:c r="B513" s="1">
        <x:v>13.0</x:v>
      </x:c>
      <x:c r="C513" s="1" t="s">
        <x:v>921</x:v>
      </x:c>
      <x:c r="D513" s="1" t="s">
        <x:v>525</x:v>
      </x:c>
      <x:c r="E513" s="1" t="s">
        <x:v>1350</x:v>
      </x:c>
      <x:c r="F513" s="1">
        <x:v>6.0</x:v>
      </x:c>
      <x:c r="G513" s="1" t="s">
        <x:v>1067</x:v>
      </x:c>
      <x:c r="H513" s="1" t="s">
        <x:v>1067</x:v>
      </x:c>
      <x:c r="I513" s="1" t="s">
        <x:v>1059</x:v>
      </x:c>
      <x:c r="J513" s="1" t="s">
        <x:v>1067</x:v>
      </x:c>
      <x:c r="K513" s="1">
        <x:v>512.0</x:v>
      </x:c>
      <x:c r="L513" s="1" t="str">
        <x:f t="shared" si="1"/>
        <x:v>Myles Price</x:v>
      </x:c>
      <x:c r="M513" s="127" t="n">
        <x:f>IFERROR(VLOOKUP(E513,RISK!A:B,2,FALSE()),"")</x:f>
        <x:v>3.7</x:v>
      </x:c>
      <x:c r="N513" s="118" t="str">
        <x:f t="shared" si="2"/>
        <x:v>#N/A</x:v>
      </x:c>
      <x:c r="Q513" s="9"/>
      <x:c r="R513" s="9"/>
      <x:c r="S513" s="9"/>
      <x:c r="T513" s="9"/>
    </x:row>
    <x:row r="514" ht="14.25" customHeight="1">
      <x:c r="A514" s="1">
        <x:v>511.0</x:v>
      </x:c>
      <x:c r="B514" s="1">
        <x:v>13.0</x:v>
      </x:c>
      <x:c r="C514" s="1" t="s">
        <x:v>1351</x:v>
      </x:c>
      <x:c r="D514" s="1" t="s">
        <x:v>493</x:v>
      </x:c>
      <x:c r="E514" s="1" t="s">
        <x:v>1352</x:v>
      </x:c>
      <x:c r="F514" s="1">
        <x:v>11.0</x:v>
      </x:c>
      <x:c r="G514" s="1" t="s">
        <x:v>1067</x:v>
      </x:c>
      <x:c r="H514" s="1" t="s">
        <x:v>1067</x:v>
      </x:c>
      <x:c r="I514" s="1" t="s">
        <x:v>1060</x:v>
      </x:c>
      <x:c r="J514" s="1" t="s">
        <x:v>1067</x:v>
      </x:c>
      <x:c r="K514" s="1">
        <x:v>513.0</x:v>
      </x:c>
      <x:c r="L514" s="1" t="str">
        <x:f t="shared" si="1"/>
        <x:v>Lan Larison</x:v>
      </x:c>
      <x:c r="M514" s="127" t="n">
        <x:f>IFERROR(VLOOKUP(E514,RISK!A:B,2,FALSE()),"")</x:f>
        <x:v>3.368</x:v>
      </x:c>
      <x:c r="N514" s="118" t="str">
        <x:f t="shared" si="2"/>
        <x:v>#N/A</x:v>
      </x:c>
      <x:c r="Q514" s="9"/>
      <x:c r="R514" s="9"/>
      <x:c r="S514" s="9"/>
      <x:c r="T514" s="9"/>
    </x:row>
    <x:row r="515" ht="14.25" customHeight="1">
      <x:c r="A515" s="1">
        <x:v>512.0</x:v>
      </x:c>
      <x:c r="B515" s="1">
        <x:v>13.0</x:v>
      </x:c>
      <x:c r="C515" s="1" t="s">
        <x:v>918</x:v>
      </x:c>
      <x:c r="D515" s="1" t="s">
        <x:v>493</x:v>
      </x:c>
      <x:c r="E515" s="1" t="s">
        <x:v>1353</x:v>
      </x:c>
      <x:c r="F515" s="1">
        <x:v>11.0</x:v>
      </x:c>
      <x:c r="G515" s="1" t="s">
        <x:v>1067</x:v>
      </x:c>
      <x:c r="H515" s="1" t="s">
        <x:v>1067</x:v>
      </x:c>
      <x:c r="I515" s="1" t="s">
        <x:v>1060</x:v>
      </x:c>
      <x:c r="J515" s="1" t="s">
        <x:v>1067</x:v>
      </x:c>
      <x:c r="K515" s="1">
        <x:v>514.0</x:v>
      </x:c>
      <x:c r="L515" s="1" t="str">
        <x:f t="shared" si="1"/>
        <x:v>Efton Chism III</x:v>
      </x:c>
      <x:c r="M515" s="127" t="n">
        <x:f>IFERROR(VLOOKUP(E515,RISK!A:B,2,FALSE()),"")</x:f>
        <x:v>3.7</x:v>
      </x:c>
      <x:c r="N515" s="118" t="str">
        <x:f t="shared" si="2"/>
        <x:v>#N/A</x:v>
      </x:c>
      <x:c r="Q515" s="9"/>
      <x:c r="R515" s="9"/>
      <x:c r="S515" s="9"/>
      <x:c r="T515" s="9"/>
    </x:row>
    <x:row r="516" ht="14.25" customHeight="1">
      <x:c r="A516" s="1">
        <x:v>513.0</x:v>
      </x:c>
      <x:c r="B516" s="1">
        <x:v>13.0</x:v>
      </x:c>
      <x:c r="C516" s="1" t="s">
        <x:v>897</x:v>
      </x:c>
      <x:c r="D516" s="1" t="s">
        <x:v>537</x:v>
      </x:c>
      <x:c r="E516" s="1" t="s">
        <x:v>1354</x:v>
      </x:c>
      <x:c r="F516" s="1">
        <x:v>5.0</x:v>
      </x:c>
      <x:c r="G516" s="1" t="s">
        <x:v>1067</x:v>
      </x:c>
      <x:c r="H516" s="1" t="s">
        <x:v>1067</x:v>
      </x:c>
      <x:c r="I516" s="1" t="s">
        <x:v>1060</x:v>
      </x:c>
      <x:c r="J516" s="1" t="s">
        <x:v>1067</x:v>
      </x:c>
      <x:c r="K516" s="1">
        <x:v>515.0</x:v>
      </x:c>
      <x:c r="L516" s="1" t="str">
        <x:f t="shared" si="1"/>
        <x:v>Brycen Tremayne</x:v>
      </x:c>
      <x:c r="M516" s="127" t="n">
        <x:f>IFERROR(VLOOKUP(E516,RISK!A:B,2,FALSE()),"")</x:f>
        <x:v>3.7</x:v>
      </x:c>
      <x:c r="N516" s="118" t="str">
        <x:f t="shared" si="2"/>
        <x:v>#N/A</x:v>
      </x:c>
      <x:c r="Q516" s="9"/>
      <x:c r="R516" s="9"/>
      <x:c r="S516" s="9"/>
      <x:c r="T516" s="9"/>
    </x:row>
    <x:row r="517" ht="14.25" customHeight="1">
      <x:c r="A517" s="1">
        <x:v>514.0</x:v>
      </x:c>
      <x:c r="B517" s="1">
        <x:v>13.0</x:v>
      </x:c>
      <x:c r="C517" s="1" t="s">
        <x:v>914</x:v>
      </x:c>
      <x:c r="D517" s="1" t="s">
        <x:v>543</x:v>
      </x:c>
      <x:c r="E517" s="1" t="s">
        <x:v>1355</x:v>
      </x:c>
      <x:c r="F517" s="1">
        <x:v>14.0</x:v>
      </x:c>
      <x:c r="G517" s="1" t="s">
        <x:v>1067</x:v>
      </x:c>
      <x:c r="H517" s="1" t="s">
        <x:v>1067</x:v>
      </x:c>
      <x:c r="I517" s="1" t="s">
        <x:v>1060</x:v>
      </x:c>
      <x:c r="J517" s="1" t="s">
        <x:v>1067</x:v>
      </x:c>
      <x:c r="K517" s="1">
        <x:v>516.0</x:v>
      </x:c>
      <x:c r="L517" s="1" t="str">
        <x:f t="shared" si="1"/>
        <x:v>Jalen Brooks</x:v>
      </x:c>
      <x:c r="M517" s="127" t="n">
        <x:f>IFERROR(VLOOKUP(E517,RISK!A:B,2,FALSE()),"")</x:f>
        <x:v>3.7</x:v>
      </x:c>
      <x:c r="N517" s="118" t="str">
        <x:f t="shared" si="2"/>
        <x:v>#N/A</x:v>
      </x:c>
      <x:c r="Q517" s="9"/>
      <x:c r="R517" s="9"/>
      <x:c r="S517" s="9"/>
      <x:c r="T517" s="9"/>
    </x:row>
    <x:row r="518" ht="14.25" customHeight="1">
      <x:c r="A518" s="1">
        <x:v>515.0</x:v>
      </x:c>
      <x:c r="B518" s="1">
        <x:v>13.0</x:v>
      </x:c>
      <x:c r="C518" s="1" t="s">
        <x:v>852</x:v>
      </x:c>
      <x:c r="D518" s="1" t="s">
        <x:v>529</x:v>
      </x:c>
      <x:c r="E518" s="1" t="s">
        <x:v>1356</x:v>
      </x:c>
      <x:c r="F518" s="1">
        <x:v>6.0</x:v>
      </x:c>
      <x:c r="G518" s="1" t="s">
        <x:v>1067</x:v>
      </x:c>
      <x:c r="H518" s="1" t="s">
        <x:v>1067</x:v>
      </x:c>
      <x:c r="I518" s="1" t="s">
        <x:v>1064</x:v>
      </x:c>
      <x:c r="J518" s="1" t="s">
        <x:v>1067</x:v>
      </x:c>
      <x:c r="K518" s="1">
        <x:v>517.0</x:v>
      </x:c>
      <x:c r="L518" s="1" t="str">
        <x:f t="shared" si="1"/>
        <x:v>Theo Wease Jr.</x:v>
      </x:c>
      <x:c r="M518" s="127" t="n">
        <x:f>IFERROR(VLOOKUP(E518,RISK!A:B,2,FALSE()),"")</x:f>
        <x:v>3.7</x:v>
      </x:c>
      <x:c r="N518" s="118" t="str">
        <x:f t="shared" si="2"/>
        <x:v>#N/A</x:v>
      </x:c>
      <x:c r="Q518" s="9"/>
      <x:c r="R518" s="9"/>
      <x:c r="S518" s="9"/>
      <x:c r="T518" s="9"/>
    </x:row>
    <x:row r="519" ht="14.25" customHeight="1">
      <x:c r="A519" s="1">
        <x:v>516.0</x:v>
      </x:c>
      <x:c r="B519" s="1">
        <x:v>13.0</x:v>
      </x:c>
      <x:c r="C519" s="1" t="s">
        <x:v>900</x:v>
      </x:c>
      <x:c r="D519" s="1" t="s">
        <x:v>529</x:v>
      </x:c>
      <x:c r="E519" s="1" t="s">
        <x:v>1357</x:v>
      </x:c>
      <x:c r="F519" s="1">
        <x:v>6.0</x:v>
      </x:c>
      <x:c r="G519" s="1" t="s">
        <x:v>1067</x:v>
      </x:c>
      <x:c r="H519" s="1" t="s">
        <x:v>1067</x:v>
      </x:c>
      <x:c r="I519" s="1" t="s">
        <x:v>1064</x:v>
      </x:c>
      <x:c r="J519" s="1" t="s">
        <x:v>1067</x:v>
      </x:c>
      <x:c r="K519" s="1">
        <x:v>518.0</x:v>
      </x:c>
      <x:c r="L519" s="1" t="str">
        <x:f t="shared" si="1"/>
        <x:v>Jalen Reagor</x:v>
      </x:c>
      <x:c r="M519" s="127" t="n">
        <x:f>IFERROR(VLOOKUP(E519,RISK!A:B,2,FALSE()),"")</x:f>
        <x:v>3.7</x:v>
      </x:c>
      <x:c r="N519" s="118" t="str">
        <x:f t="shared" si="2"/>
        <x:v>#N/A</x:v>
      </x:c>
      <x:c r="Q519" s="9"/>
      <x:c r="R519" s="9"/>
      <x:c r="S519" s="9"/>
      <x:c r="T519" s="9"/>
    </x:row>
    <x:row r="520" ht="14.25" customHeight="1">
      <x:c r="A520" s="1">
        <x:v>517.0</x:v>
      </x:c>
      <x:c r="B520" s="1">
        <x:v>13.0</x:v>
      </x:c>
      <x:c r="C520" s="1" t="s">
        <x:v>732</x:v>
      </x:c>
      <x:c r="D520" s="1" t="s">
        <x:v>523</x:v>
      </x:c>
      <x:c r="E520" s="1" t="s">
        <x:v>1358</x:v>
      </x:c>
      <x:c r="F520" s="1">
        <x:v>10.0</x:v>
      </x:c>
      <x:c r="G520" s="1" t="s">
        <x:v>1067</x:v>
      </x:c>
      <x:c r="H520" s="1" t="s">
        <x:v>1067</x:v>
      </x:c>
      <x:c r="I520" s="1" t="s">
        <x:v>1060</x:v>
      </x:c>
      <x:c r="J520" s="1" t="s">
        <x:v>1067</x:v>
      </x:c>
      <x:c r="K520" s="1">
        <x:v>519.0</x:v>
      </x:c>
      <x:c r="L520" s="1" t="str">
        <x:f t="shared" si="1"/>
        <x:v>Josh Williams</x:v>
      </x:c>
      <x:c r="M520" s="127" t="n">
        <x:f>IFERROR(VLOOKUP(E520,RISK!A:B,2,FALSE()),"")</x:f>
        <x:v>3.368</x:v>
      </x:c>
      <x:c r="N520" s="118" t="str">
        <x:f t="shared" si="2"/>
        <x:v>#N/A</x:v>
      </x:c>
      <x:c r="Q520" s="9"/>
      <x:c r="R520" s="9"/>
      <x:c r="S520" s="9"/>
      <x:c r="T520" s="9"/>
    </x:row>
    <x:row r="521" ht="14.25" customHeight="1">
      <x:c r="A521" s="1">
        <x:v>518.0</x:v>
      </x:c>
      <x:c r="B521" s="1">
        <x:v>13.0</x:v>
      </x:c>
      <x:c r="C521" s="1" t="s">
        <x:v>1359</x:v>
      </x:c>
      <x:c r="D521" s="1" t="s">
        <x:v>515</x:v>
      </x:c>
      <x:c r="E521" s="1" t="s">
        <x:v>1360</x:v>
      </x:c>
      <x:c r="F521" s="1">
        <x:v>10.0</x:v>
      </x:c>
      <x:c r="G521" s="1" t="s">
        <x:v>1067</x:v>
      </x:c>
      <x:c r="H521" s="1" t="s">
        <x:v>1067</x:v>
      </x:c>
      <x:c r="I521" s="1" t="s">
        <x:v>1060</x:v>
      </x:c>
      <x:c r="J521" s="1" t="s">
        <x:v>1067</x:v>
      </x:c>
      <x:c r="K521" s="1">
        <x:v>520.0</x:v>
      </x:c>
      <x:c r="L521" s="1" t="str">
        <x:f t="shared" si="1"/>
        <x:v>Michael Woods II</x:v>
      </x:c>
      <x:c r="M521" s="127" t="n">
        <x:f>IFERROR(VLOOKUP(E521,RISK!A:B,2,FALSE()),"")</x:f>
        <x:v>3.7</x:v>
      </x:c>
      <x:c r="N521" s="118" t="str">
        <x:f t="shared" si="2"/>
        <x:v>#N/A</x:v>
      </x:c>
      <x:c r="Q521" s="9"/>
      <x:c r="R521" s="9"/>
      <x:c r="S521" s="9"/>
      <x:c r="T521" s="9"/>
    </x:row>
    <x:row r="522" ht="14.25" customHeight="1">
      <x:c r="A522" s="1">
        <x:v>519.0</x:v>
      </x:c>
      <x:c r="B522" s="1">
        <x:v>13.0</x:v>
      </x:c>
      <x:c r="C522" s="1" t="s">
        <x:v>1361</x:v>
      </x:c>
      <x:c r="D522" s="1" t="s">
        <x:v>551</x:v>
      </x:c>
      <x:c r="E522" s="1" t="s">
        <x:v>1362</x:v>
      </x:c>
      <x:c r="F522" s="1">
        <x:v>11.0</x:v>
      </x:c>
      <x:c r="G522" s="1" t="s">
        <x:v>1067</x:v>
      </x:c>
      <x:c r="H522" s="1" t="s">
        <x:v>1067</x:v>
      </x:c>
      <x:c r="I522" s="1" t="s">
        <x:v>1064</x:v>
      </x:c>
      <x:c r="J522" s="1" t="s">
        <x:v>1067</x:v>
      </x:c>
      <x:c r="K522" s="1">
        <x:v>521.0</x:v>
      </x:c>
      <x:c r="L522" s="1" t="str">
        <x:f t="shared" si="1"/>
        <x:v>Chris Blair</x:v>
      </x:c>
      <x:c r="M522" s="127" t="n">
        <x:f>IFERROR(VLOOKUP(E522,RISK!A:B,2,FALSE()),"")</x:f>
        <x:v>3.7</x:v>
      </x:c>
      <x:c r="N522" s="118" t="str">
        <x:f t="shared" si="2"/>
        <x:v>#N/A</x:v>
      </x:c>
      <x:c r="Q522" s="9"/>
      <x:c r="R522" s="9"/>
      <x:c r="S522" s="9"/>
      <x:c r="T522" s="9"/>
    </x:row>
    <x:row r="523" ht="14.25" customHeight="1">
      <x:c r="A523" s="1">
        <x:v>520.0</x:v>
      </x:c>
      <x:c r="B523" s="1">
        <x:v>13.0</x:v>
      </x:c>
      <x:c r="C523" s="1" t="s">
        <x:v>1363</x:v>
      </x:c>
      <x:c r="D523" s="1" t="s">
        <x:v>491</x:v>
      </x:c>
      <x:c r="E523" s="1" t="s">
        <x:v>1364</x:v>
      </x:c>
      <x:c r="F523" s="1">
        <x:v>13.0</x:v>
      </x:c>
      <x:c r="G523" s="1" t="s">
        <x:v>1067</x:v>
      </x:c>
      <x:c r="H523" s="1" t="s">
        <x:v>1067</x:v>
      </x:c>
      <x:c r="I523" s="1" t="s">
        <x:v>1061</x:v>
      </x:c>
      <x:c r="J523" s="1" t="s">
        <x:v>1067</x:v>
      </x:c>
      <x:c r="K523" s="1">
        <x:v>522.0</x:v>
      </x:c>
      <x:c r="L523" s="1" t="str">
        <x:f t="shared" si="1"/>
        <x:v>DeAndre Hopkins</x:v>
      </x:c>
      <x:c r="M523" s="127" t="n">
        <x:f>IFERROR(VLOOKUP(E523,RISK!A:B,2,FALSE()),"")</x:f>
        <x:v>3.7</x:v>
      </x:c>
      <x:c r="N523" s="118" t="str">
        <x:f t="shared" si="2"/>
        <x:v>#N/A</x:v>
      </x:c>
      <x:c r="Q523" s="9"/>
      <x:c r="R523" s="9"/>
      <x:c r="S523" s="9"/>
      <x:c r="T523" s="9"/>
    </x:row>
    <x:row r="524" ht="14.25" customHeight="1">
      <x:c r="A524" s="1">
        <x:v>521.0</x:v>
      </x:c>
      <x:c r="B524" s="1">
        <x:v>13.0</x:v>
      </x:c>
      <x:c r="C524" s="1" t="s">
        <x:v>1365</x:v>
      </x:c>
      <x:c r="D524" s="1" t="s">
        <x:v>547</x:v>
      </x:c>
      <x:c r="E524" s="1" t="s">
        <x:v>1366</x:v>
      </x:c>
      <x:c r="F524" s="1">
        <x:v>13.0</x:v>
      </x:c>
      <x:c r="G524" s="1" t="s">
        <x:v>1067</x:v>
      </x:c>
      <x:c r="H524" s="1" t="s">
        <x:v>1067</x:v>
      </x:c>
      <x:c r="I524" s="1" t="s">
        <x:v>1060</x:v>
      </x:c>
      <x:c r="J524" s="1" t="s">
        <x:v>1067</x:v>
      </x:c>
      <x:c r="K524" s="1">
        <x:v>523.0</x:v>
      </x:c>
      <x:c r="L524" s="1" t="str">
        <x:f t="shared" si="1"/>
        <x:v>Tyler Lockett</x:v>
      </x:c>
      <x:c r="M524" s="127" t="n">
        <x:f>IFERROR(VLOOKUP(E524,RISK!A:B,2,FALSE()),"")</x:f>
        <x:v>3.7</x:v>
      </x:c>
      <x:c r="N524" s="118" t="str">
        <x:f t="shared" si="2"/>
        <x:v>#N/A</x:v>
      </x:c>
      <x:c r="Q524" s="9"/>
      <x:c r="R524" s="9"/>
      <x:c r="S524" s="9"/>
      <x:c r="T524" s="9"/>
    </x:row>
    <x:row r="525" ht="14.25" customHeight="1">
      <x:c r="A525" s="1">
        <x:v>522.0</x:v>
      </x:c>
      <x:c r="B525" s="1">
        <x:v>13.0</x:v>
      </x:c>
      <x:c r="C525" s="1" t="s">
        <x:v>1367</x:v>
      </x:c>
      <x:c r="D525" s="1" t="s">
        <x:v>523</x:v>
      </x:c>
      <x:c r="E525" s="1" t="s">
        <x:v>1368</x:v>
      </x:c>
      <x:c r="F525" s="1">
        <x:v>10.0</x:v>
      </x:c>
      <x:c r="G525" s="1" t="s">
        <x:v>1067</x:v>
      </x:c>
      <x:c r="H525" s="1" t="s">
        <x:v>1067</x:v>
      </x:c>
      <x:c r="I525" s="1" t="s">
        <x:v>1061</x:v>
      </x:c>
      <x:c r="J525" s="1" t="s">
        <x:v>1067</x:v>
      </x:c>
      <x:c r="K525" s="1">
        <x:v>524.0</x:v>
      </x:c>
      <x:c r="L525" s="1" t="str">
        <x:f t="shared" si="1"/>
        <x:v>David Sills V</x:v>
      </x:c>
      <x:c r="M525" s="127" t="n">
        <x:f>IFERROR(VLOOKUP(E525,RISK!A:B,2,FALSE()),"")</x:f>
        <x:v>3.7</x:v>
      </x:c>
      <x:c r="N525" s="118" t="str">
        <x:f t="shared" si="2"/>
        <x:v>#N/A</x:v>
      </x:c>
      <x:c r="Q525" s="9"/>
      <x:c r="R525" s="9"/>
      <x:c r="S525" s="9"/>
      <x:c r="T525" s="9"/>
    </x:row>
    <x:row r="526" ht="14.25" customHeight="1">
      <x:c r="A526" s="1">
        <x:v>523.0</x:v>
      </x:c>
      <x:c r="B526" s="1">
        <x:v>13.0</x:v>
      </x:c>
      <x:c r="C526" s="1" t="s">
        <x:v>592</x:v>
      </x:c>
      <x:c r="D526" s="1" t="s">
        <x:v>533</x:v>
      </x:c>
      <x:c r="E526" s="1" t="s">
        <x:v>1369</x:v>
      </x:c>
      <x:c r="F526" s="1">
        <x:v>11.0</x:v>
      </x:c>
      <x:c r="G526" s="1" t="s">
        <x:v>1067</x:v>
      </x:c>
      <x:c r="H526" s="1" t="s">
        <x:v>1067</x:v>
      </x:c>
      <x:c r="I526" s="1" t="s">
        <x:v>1061</x:v>
      </x:c>
      <x:c r="J526" s="1" t="s">
        <x:v>1067</x:v>
      </x:c>
      <x:c r="K526" s="1">
        <x:v>525.0</x:v>
      </x:c>
      <x:c r="L526" s="1" t="str">
        <x:f t="shared" si="1"/>
        <x:v>Jalen Milroe</x:v>
      </x:c>
      <x:c r="M526" s="127" t="n">
        <x:f>IFERROR(VLOOKUP(E526,RISK!A:B,2,FALSE()),"")</x:f>
        <x:v>3.2</x:v>
      </x:c>
      <x:c r="N526" s="118" t="str">
        <x:f t="shared" si="2"/>
        <x:v>#N/A</x:v>
      </x:c>
      <x:c r="Q526" s="9"/>
      <x:c r="R526" s="9"/>
      <x:c r="S526" s="9"/>
      <x:c r="T526" s="9"/>
    </x:row>
    <x:row r="527" ht="14.25" customHeight="1">
      <x:c r="A527" s="1">
        <x:v>524.0</x:v>
      </x:c>
      <x:c r="B527" s="1">
        <x:v>13.0</x:v>
      </x:c>
      <x:c r="C527" s="1" t="s">
        <x:v>568</x:v>
      </x:c>
      <x:c r="D527" s="1" t="s">
        <x:v>535</x:v>
      </x:c>
      <x:c r="E527" s="1" t="s">
        <x:v>1370</x:v>
      </x:c>
      <x:c r="F527" s="1">
        <x:v>8.0</x:v>
      </x:c>
      <x:c r="G527" s="1" t="s">
        <x:v>1067</x:v>
      </x:c>
      <x:c r="H527" s="1" t="s">
        <x:v>1067</x:v>
      </x:c>
      <x:c r="I527" s="1" t="s">
        <x:v>1061</x:v>
      </x:c>
      <x:c r="J527" s="1" t="s">
        <x:v>1067</x:v>
      </x:c>
      <x:c r="K527" s="1">
        <x:v>526.0</x:v>
      </x:c>
      <x:c r="L527" s="1" t="str">
        <x:f t="shared" si="1"/>
        <x:v>Davis Mills</x:v>
      </x:c>
      <x:c r="M527" s="127" t="n">
        <x:f>IFERROR(VLOOKUP(E527,RISK!A:B,2,FALSE()),"")</x:f>
        <x:v>3.2</x:v>
      </x:c>
      <x:c r="N527" s="118" t="str">
        <x:f t="shared" si="2"/>
        <x:v>#N/A</x:v>
      </x:c>
      <x:c r="Q527" s="9"/>
      <x:c r="R527" s="9"/>
      <x:c r="S527" s="9"/>
      <x:c r="T527" s="9"/>
    </x:row>
    <x:row r="528" ht="14.25" customHeight="1">
      <x:c r="A528" s="1">
        <x:v>525.0</x:v>
      </x:c>
      <x:c r="B528" s="1">
        <x:v>13.0</x:v>
      </x:c>
      <x:c r="C528" s="1" t="s">
        <x:v>917</x:v>
      </x:c>
      <x:c r="D528" s="1" t="s">
        <x:v>525</x:v>
      </x:c>
      <x:c r="E528" s="1" t="s">
        <x:v>1371</x:v>
      </x:c>
      <x:c r="F528" s="1">
        <x:v>6.0</x:v>
      </x:c>
      <x:c r="G528" s="1" t="s">
        <x:v>1067</x:v>
      </x:c>
      <x:c r="H528" s="1" t="s">
        <x:v>1067</x:v>
      </x:c>
      <x:c r="I528" s="1" t="s">
        <x:v>1059</x:v>
      </x:c>
      <x:c r="J528" s="1">
        <x:v>-195.0</x:v>
      </x:c>
      <x:c r="K528" s="1">
        <x:v>527.0</x:v>
      </x:c>
      <x:c r="L528" s="1" t="str">
        <x:f t="shared" si="1"/>
        <x:v>Jeshaun Jones</x:v>
      </x:c>
      <x:c r="M528" s="127" t="n">
        <x:f>IFERROR(VLOOKUP(E528,RISK!A:B,2,FALSE()),"")</x:f>
        <x:v>3.7</x:v>
      </x:c>
      <x:c r="N528" s="118" t="str">
        <x:f t="shared" si="2"/>
        <x:v>#N/A</x:v>
      </x:c>
      <x:c r="Q528" s="9"/>
      <x:c r="R528" s="9"/>
      <x:c r="S528" s="9"/>
      <x:c r="T528" s="9"/>
    </x:row>
    <x:row r="529" ht="14.25" customHeight="1">
      <x:c r="A529" s="1">
        <x:v>526.0</x:v>
      </x:c>
      <x:c r="B529" s="1">
        <x:v>13.0</x:v>
      </x:c>
      <x:c r="C529" s="1" t="s">
        <x:v>564</x:v>
      </x:c>
      <x:c r="D529" s="1" t="s">
        <x:v>511</x:v>
      </x:c>
      <x:c r="E529" s="1" t="s">
        <x:v>1372</x:v>
      </x:c>
      <x:c r="F529" s="1">
        <x:v>10.0</x:v>
      </x:c>
      <x:c r="G529" s="1" t="s">
        <x:v>1067</x:v>
      </x:c>
      <x:c r="H529" s="1" t="s">
        <x:v>1067</x:v>
      </x:c>
      <x:c r="I529" s="1" t="s">
        <x:v>1064</x:v>
      </x:c>
      <x:c r="J529" s="1" t="s">
        <x:v>1067</x:v>
      </x:c>
      <x:c r="K529" s="1">
        <x:v>528.0</x:v>
      </x:c>
      <x:c r="L529" s="1" t="str">
        <x:f t="shared" si="1"/>
        <x:v>Tyson Bagent</x:v>
      </x:c>
      <x:c r="M529" s="127" t="n">
        <x:f>IFERROR(VLOOKUP(E529,RISK!A:B,2,FALSE()),"")</x:f>
        <x:v>3.2</x:v>
      </x:c>
      <x:c r="N529" s="118" t="str">
        <x:f t="shared" si="2"/>
        <x:v>#N/A</x:v>
      </x:c>
      <x:c r="Q529" s="9"/>
      <x:c r="R529" s="9"/>
      <x:c r="S529" s="9"/>
      <x:c r="T529" s="9"/>
    </x:row>
    <x:row r="530" ht="14.25" customHeight="1">
      <x:c r="A530" s="1">
        <x:v>527.0</x:v>
      </x:c>
      <x:c r="B530" s="1">
        <x:v>13.0</x:v>
      </x:c>
      <x:c r="C530" s="1" t="s">
        <x:v>574</x:v>
      </x:c>
      <x:c r="D530" s="1" t="s">
        <x:v>513</x:v>
      </x:c>
      <x:c r="E530" s="1" t="s">
        <x:v>1373</x:v>
      </x:c>
      <x:c r="F530" s="1">
        <x:v>7.0</x:v>
      </x:c>
      <x:c r="G530" s="1" t="s">
        <x:v>1067</x:v>
      </x:c>
      <x:c r="H530" s="1" t="s">
        <x:v>1067</x:v>
      </x:c>
      <x:c r="I530" s="1" t="s">
        <x:v>1060</x:v>
      </x:c>
      <x:c r="J530" s="1" t="s">
        <x:v>1067</x:v>
      </x:c>
      <x:c r="K530" s="1">
        <x:v>529.0</x:v>
      </x:c>
      <x:c r="L530" s="1" t="str">
        <x:f t="shared" si="1"/>
        <x:v>Trey Lance</x:v>
      </x:c>
      <x:c r="M530" s="127" t="n">
        <x:f>IFERROR(VLOOKUP(E530,RISK!A:B,2,FALSE()),"")</x:f>
        <x:v>3.2</x:v>
      </x:c>
      <x:c r="N530" s="118" t="str">
        <x:f t="shared" si="2"/>
        <x:v>#N/A</x:v>
      </x:c>
      <x:c r="Q530" s="9"/>
      <x:c r="R530" s="9"/>
      <x:c r="S530" s="9"/>
      <x:c r="T530" s="9"/>
    </x:row>
    <x:row r="531" ht="14.25" customHeight="1">
      <x:c r="A531" s="1">
        <x:v>528.0</x:v>
      </x:c>
      <x:c r="B531" s="1">
        <x:v>13.0</x:v>
      </x:c>
      <x:c r="C531" s="1" t="s">
        <x:v>723</x:v>
      </x:c>
      <x:c r="D531" s="1" t="s">
        <x:v>539</x:v>
      </x:c>
      <x:c r="E531" s="1" t="s">
        <x:v>1374</x:v>
      </x:c>
      <x:c r="F531" s="1">
        <x:v>13.0</x:v>
      </x:c>
      <x:c r="G531" s="1" t="s">
        <x:v>1067</x:v>
      </x:c>
      <x:c r="H531" s="1" t="s">
        <x:v>1067</x:v>
      </x:c>
      <x:c r="I531" s="1" t="s">
        <x:v>1064</x:v>
      </x:c>
      <x:c r="J531" s="1" t="s">
        <x:v>1067</x:v>
      </x:c>
      <x:c r="K531" s="1">
        <x:v>530.0</x:v>
      </x:c>
      <x:c r="L531" s="1" t="str">
        <x:f t="shared" si="1"/>
        <x:v>Kene Nwangwu</x:v>
      </x:c>
      <x:c r="M531" s="127" t="n">
        <x:f>IFERROR(VLOOKUP(E531,RISK!A:B,2,FALSE()),"")</x:f>
        <x:v>3.368</x:v>
      </x:c>
      <x:c r="N531" s="118" t="str">
        <x:f t="shared" si="2"/>
        <x:v>#N/A</x:v>
      </x:c>
      <x:c r="Q531" s="9"/>
      <x:c r="R531" s="9"/>
      <x:c r="S531" s="9"/>
      <x:c r="T531" s="9"/>
    </x:row>
    <x:row r="532" ht="14.25" customHeight="1">
      <x:c r="A532" s="1">
        <x:v>529.0</x:v>
      </x:c>
      <x:c r="B532" s="1">
        <x:v>13.0</x:v>
      </x:c>
      <x:c r="C532" s="1" t="s">
        <x:v>858</x:v>
      </x:c>
      <x:c r="D532" s="1" t="s">
        <x:v>539</x:v>
      </x:c>
      <x:c r="E532" s="1" t="s">
        <x:v>1375</x:v>
      </x:c>
      <x:c r="F532" s="1">
        <x:v>13.0</x:v>
      </x:c>
      <x:c r="G532" s="1" t="s">
        <x:v>1067</x:v>
      </x:c>
      <x:c r="H532" s="1" t="s">
        <x:v>1067</x:v>
      </x:c>
      <x:c r="I532" s="1" t="s">
        <x:v>1061</x:v>
      </x:c>
      <x:c r="J532" s="1" t="s">
        <x:v>1067</x:v>
      </x:c>
      <x:c r="K532" s="1">
        <x:v>531.0</x:v>
      </x:c>
      <x:c r="L532" s="1" t="str">
        <x:f t="shared" si="1"/>
        <x:v>Isaiah Williams</x:v>
      </x:c>
      <x:c r="M532" s="127" t="n">
        <x:f>IFERROR(VLOOKUP(E532,RISK!A:B,2,FALSE()),"")</x:f>
        <x:v>3.7</x:v>
      </x:c>
      <x:c r="N532" s="118" t="str">
        <x:f t="shared" si="2"/>
        <x:v>#N/A</x:v>
      </x:c>
      <x:c r="Q532" s="9"/>
      <x:c r="R532" s="9"/>
      <x:c r="S532" s="9"/>
      <x:c r="T532" s="9"/>
    </x:row>
    <x:row r="533" ht="14.25" customHeight="1">
      <x:c r="A533" s="1">
        <x:v>530.0</x:v>
      </x:c>
      <x:c r="B533" s="1">
        <x:v>13.0</x:v>
      </x:c>
      <x:c r="C533" s="1" t="s">
        <x:v>565</x:v>
      </x:c>
      <x:c r="D533" s="1" t="s">
        <x:v>541</x:v>
      </x:c>
      <x:c r="E533" s="1" t="s">
        <x:v>1376</x:v>
      </x:c>
      <x:c r="F533" s="1">
        <x:v>9.0</x:v>
      </x:c>
      <x:c r="G533" s="1" t="s">
        <x:v>1067</x:v>
      </x:c>
      <x:c r="H533" s="1" t="s">
        <x:v>1067</x:v>
      </x:c>
      <x:c r="I533" s="1" t="s">
        <x:v>1064</x:v>
      </x:c>
      <x:c r="J533" s="1" t="s">
        <x:v>1067</x:v>
      </x:c>
      <x:c r="K533" s="1">
        <x:v>532.0</x:v>
      </x:c>
      <x:c r="L533" s="1" t="str">
        <x:f t="shared" si="1"/>
        <x:v>Will Levis</x:v>
      </x:c>
      <x:c r="M533" s="127" t="n">
        <x:f>IFERROR(VLOOKUP(E533,RISK!A:B,2,FALSE()),"")</x:f>
        <x:v>3.2</x:v>
      </x:c>
      <x:c r="N533" s="118" t="str">
        <x:f t="shared" si="2"/>
        <x:v>#N/A</x:v>
      </x:c>
      <x:c r="Q533" s="9"/>
      <x:c r="R533" s="9"/>
      <x:c r="S533" s="9"/>
      <x:c r="T533" s="9"/>
    </x:row>
    <x:row r="534" ht="14.25" customHeight="1">
      <x:c r="A534" s="1">
        <x:v>531.0</x:v>
      </x:c>
      <x:c r="B534" s="1">
        <x:v>13.0</x:v>
      </x:c>
      <x:c r="C534" s="1" t="s">
        <x:v>1377</x:v>
      </x:c>
      <x:c r="D534" s="1" t="s">
        <x:v>1136</x:v>
      </x:c>
      <x:c r="E534" s="1" t="s">
        <x:v>1378</x:v>
      </x:c>
      <x:c r="F534" s="1" t="s">
        <x:v>1067</x:v>
      </x:c>
      <x:c r="G534" s="1" t="s">
        <x:v>1067</x:v>
      </x:c>
      <x:c r="H534" s="1" t="s">
        <x:v>1067</x:v>
      </x:c>
      <x:c r="I534" s="1" t="s">
        <x:v>1067</x:v>
      </x:c>
      <x:c r="J534" s="1" t="s">
        <x:v>1067</x:v>
      </x:c>
      <x:c r="K534" s="1">
        <x:v>533.0</x:v>
      </x:c>
      <x:c r="L534" s="1" t="str">
        <x:f t="shared" si="1"/>
        <x:v>Miles Sanders</x:v>
      </x:c>
      <x:c r="M534" s="127" t="n">
        <x:f>IFERROR(VLOOKUP(E534,RISK!A:B,2,FALSE()),"")</x:f>
        <x:v>3.368</x:v>
      </x:c>
      <x:c r="N534" s="118" t="str">
        <x:f t="shared" si="2"/>
        <x:v>#N/A</x:v>
      </x:c>
      <x:c r="Q534" s="9"/>
      <x:c r="R534" s="9"/>
      <x:c r="S534" s="9"/>
      <x:c r="T534" s="9"/>
    </x:row>
    <x:row r="535" ht="14.25" customHeight="1">
      <x:c r="A535" s="1">
        <x:v>532.0</x:v>
      </x:c>
      <x:c r="B535" s="1">
        <x:v>13.0</x:v>
      </x:c>
      <x:c r="C535" s="1" t="s">
        <x:v>1379</x:v>
      </x:c>
      <x:c r="D535" s="1" t="s">
        <x:v>507</x:v>
      </x:c>
      <x:c r="E535" s="1" t="s">
        <x:v>437</x:v>
      </x:c>
      <x:c r="F535" s="1">
        <x:v>14.0</x:v>
      </x:c>
      <x:c r="G535" s="1" t="s">
        <x:v>1067</x:v>
      </x:c>
      <x:c r="H535" s="1" t="s">
        <x:v>1067</x:v>
      </x:c>
      <x:c r="I535" s="1" t="s">
        <x:v>1060</x:v>
      </x:c>
      <x:c r="J535" s="1" t="s">
        <x:v>1067</x:v>
      </x:c>
      <x:c r="K535" s="1">
        <x:v>534.0</x:v>
      </x:c>
      <x:c r="L535" s="1" t="str">
        <x:f t="shared" si="1"/>
        <x:v>Michael Trigg</x:v>
      </x:c>
      <x:c r="M535" s="127" t="n">
        <x:f>IFERROR(VLOOKUP(E535,RISK!A:B,2,FALSE()),"")</x:f>
        <x:v>2.2775</x:v>
      </x:c>
      <x:c r="N535" s="118" t="str">
        <x:f t="shared" si="2"/>
        <x:v>#N/A</x:v>
      </x:c>
      <x:c r="Q535" s="9"/>
      <x:c r="R535" s="9"/>
      <x:c r="S535" s="9"/>
      <x:c r="T535" s="9"/>
    </x:row>
    <x:row r="536" ht="14.25" customHeight="1">
      <x:c r="A536" s="1">
        <x:v>533.0</x:v>
      </x:c>
      <x:c r="B536" s="1">
        <x:v>13.0</x:v>
      </x:c>
      <x:c r="C536" s="1" t="s">
        <x:v>1380</x:v>
      </x:c>
      <x:c r="D536" s="1" t="s">
        <x:v>521</x:v>
      </x:c>
      <x:c r="E536" s="1" t="s">
        <x:v>440</x:v>
      </x:c>
      <x:c r="F536" s="1">
        <x:v>8.0</x:v>
      </x:c>
      <x:c r="G536" s="1" t="s">
        <x:v>1067</x:v>
      </x:c>
      <x:c r="H536" s="1" t="s">
        <x:v>1067</x:v>
      </x:c>
      <x:c r="I536" s="1" t="s">
        <x:v>1060</x:v>
      </x:c>
      <x:c r="J536" s="1" t="s">
        <x:v>1067</x:v>
      </x:c>
      <x:c r="K536" s="1">
        <x:v>535.0</x:v>
      </x:c>
      <x:c r="L536" s="1" t="str">
        <x:f t="shared" si="1"/>
        <x:v>Moliki Matavao</x:v>
      </x:c>
      <x:c r="M536" s="127" t="n">
        <x:f>IFERROR(VLOOKUP(E536,RISK!A:B,2,FALSE()),"")</x:f>
        <x:v>2.2775</x:v>
      </x:c>
      <x:c r="N536" s="118" t="str">
        <x:f t="shared" si="2"/>
        <x:v>#N/A</x:v>
      </x:c>
      <x:c r="Q536" s="9"/>
      <x:c r="R536" s="9"/>
      <x:c r="S536" s="9"/>
      <x:c r="T536" s="9"/>
    </x:row>
    <x:row r="537" ht="14.25" customHeight="1">
      <x:c r="A537" s="1">
        <x:v>534.0</x:v>
      </x:c>
      <x:c r="B537" s="1">
        <x:v>13.0</x:v>
      </x:c>
      <x:c r="C537" s="1" t="s">
        <x:v>1381</x:v>
      </x:c>
      <x:c r="D537" s="1" t="s">
        <x:v>535</x:v>
      </x:c>
      <x:c r="E537" s="1" t="s">
        <x:v>1382</x:v>
      </x:c>
      <x:c r="F537" s="1">
        <x:v>8.0</x:v>
      </x:c>
      <x:c r="G537" s="1" t="s">
        <x:v>1067</x:v>
      </x:c>
      <x:c r="H537" s="1" t="s">
        <x:v>1067</x:v>
      </x:c>
      <x:c r="I537" s="1" t="s">
        <x:v>1061</x:v>
      </x:c>
      <x:c r="J537" s="1" t="s">
        <x:v>1067</x:v>
      </x:c>
      <x:c r="K537" s="1">
        <x:v>536.0</x:v>
      </x:c>
      <x:c r="L537" s="1" t="str">
        <x:f t="shared" si="1"/>
        <x:v>Noah Whittington</x:v>
      </x:c>
      <x:c r="M537" s="127" t="n">
        <x:f>IFERROR(VLOOKUP(E537,RISK!A:B,2,FALSE()),"")</x:f>
        <x:v>3.368</x:v>
      </x:c>
      <x:c r="N537" s="118" t="str">
        <x:f t="shared" si="2"/>
        <x:v>#N/A</x:v>
      </x:c>
      <x:c r="Q537" s="9"/>
      <x:c r="R537" s="9"/>
      <x:c r="S537" s="9"/>
      <x:c r="T537" s="9"/>
    </x:row>
    <x:row r="538" ht="14.25" customHeight="1">
      <x:c r="A538" s="1">
        <x:v>535.0</x:v>
      </x:c>
      <x:c r="B538" s="1">
        <x:v>13.0</x:v>
      </x:c>
      <x:c r="C538" s="1" t="s">
        <x:v>993</x:v>
      </x:c>
      <x:c r="D538" s="1" t="s">
        <x:v>499</x:v>
      </x:c>
      <x:c r="E538" s="1" t="s">
        <x:v>443</x:v>
      </x:c>
      <x:c r="F538" s="1">
        <x:v>6.0</x:v>
      </x:c>
      <x:c r="G538" s="1" t="s">
        <x:v>1067</x:v>
      </x:c>
      <x:c r="H538" s="1" t="s">
        <x:v>1067</x:v>
      </x:c>
      <x:c r="I538" s="1" t="s">
        <x:v>1064</x:v>
      </x:c>
      <x:c r="J538" s="1" t="s">
        <x:v>1067</x:v>
      </x:c>
      <x:c r="K538" s="1">
        <x:v>537.0</x:v>
      </x:c>
      <x:c r="L538" s="1" t="str">
        <x:f t="shared" si="1"/>
        <x:v>Jack Endries</x:v>
      </x:c>
      <x:c r="M538" s="127" t="n">
        <x:f>IFERROR(VLOOKUP(E538,RISK!A:B,2,FALSE()),"")</x:f>
        <x:v>2.2775</x:v>
      </x:c>
      <x:c r="N538" s="118" t="str">
        <x:f t="shared" si="2"/>
        <x:v>#N/A</x:v>
      </x:c>
      <x:c r="Q538" s="9"/>
      <x:c r="R538" s="9"/>
      <x:c r="S538" s="9"/>
      <x:c r="T538" s="9"/>
    </x:row>
    <x:row r="539" ht="14.25" customHeight="1">
      <x:c r="A539" s="1">
        <x:v>536.0</x:v>
      </x:c>
      <x:c r="B539" s="1">
        <x:v>13.0</x:v>
      </x:c>
      <x:c r="C539" s="1" t="s">
        <x:v>1383</x:v>
      </x:c>
      <x:c r="D539" s="1" t="s">
        <x:v>1136</x:v>
      </x:c>
      <x:c r="E539" s="1" t="s">
        <x:v>446</x:v>
      </x:c>
      <x:c r="F539" s="1" t="s">
        <x:v>1067</x:v>
      </x:c>
      <x:c r="G539" s="1" t="s">
        <x:v>1067</x:v>
      </x:c>
      <x:c r="H539" s="1" t="s">
        <x:v>1067</x:v>
      </x:c>
      <x:c r="I539" s="1" t="s">
        <x:v>1067</x:v>
      </x:c>
      <x:c r="J539" s="1" t="s">
        <x:v>1067</x:v>
      </x:c>
      <x:c r="K539" s="1">
        <x:v>538.0</x:v>
      </x:c>
      <x:c r="L539" s="1" t="str">
        <x:f t="shared" si="1"/>
        <x:v>Miles Kitselman</x:v>
      </x:c>
      <x:c r="M539" s="127" t="n">
        <x:f>IFERROR(VLOOKUP(E539,RISK!A:B,2,FALSE()),"")</x:f>
        <x:v>2.2775</x:v>
      </x:c>
      <x:c r="N539" s="118" t="str">
        <x:f t="shared" si="2"/>
        <x:v>#N/A</x:v>
      </x:c>
      <x:c r="Q539" s="9"/>
      <x:c r="R539" s="9"/>
      <x:c r="S539" s="9"/>
      <x:c r="T539" s="9"/>
    </x:row>
    <x:row r="540" ht="14.25" customHeight="1">
      <x:c r="A540" s="1">
        <x:v>537.0</x:v>
      </x:c>
      <x:c r="B540" s="1">
        <x:v>13.0</x:v>
      </x:c>
      <x:c r="C540" s="1" t="s">
        <x:v>1384</x:v>
      </x:c>
      <x:c r="D540" s="1" t="s">
        <x:v>529</x:v>
      </x:c>
      <x:c r="E540" s="1" t="s">
        <x:v>1385</x:v>
      </x:c>
      <x:c r="F540" s="1">
        <x:v>6.0</x:v>
      </x:c>
      <x:c r="G540" s="1" t="s">
        <x:v>1067</x:v>
      </x:c>
      <x:c r="H540" s="1" t="s">
        <x:v>1067</x:v>
      </x:c>
      <x:c r="I540" s="1" t="s">
        <x:v>1064</x:v>
      </x:c>
      <x:c r="J540" s="1" t="s">
        <x:v>1067</x:v>
      </x:c>
      <x:c r="K540" s="1">
        <x:v>539.0</x:v>
      </x:c>
      <x:c r="L540" s="1" t="str">
        <x:f t="shared" si="1"/>
        <x:v>Donovan Edwards</x:v>
      </x:c>
      <x:c r="M540" s="127" t="n">
        <x:f>IFERROR(VLOOKUP(E540,RISK!A:B,2,FALSE()),"")</x:f>
        <x:v>3.368</x:v>
      </x:c>
      <x:c r="N540" s="118" t="str">
        <x:f t="shared" si="2"/>
        <x:v>#N/A</x:v>
      </x:c>
      <x:c r="Q540" s="9"/>
      <x:c r="R540" s="9"/>
      <x:c r="S540" s="9"/>
      <x:c r="T540" s="9"/>
    </x:row>
    <x:row r="541" ht="14.25" customHeight="1">
      <x:c r="A541" s="1">
        <x:v>538.0</x:v>
      </x:c>
      <x:c r="B541" s="1">
        <x:v>13.0</x:v>
      </x:c>
      <x:c r="C541" s="1" t="s">
        <x:v>1386</x:v>
      </x:c>
      <x:c r="D541" s="1" t="s">
        <x:v>1136</x:v>
      </x:c>
      <x:c r="E541" s="1" t="s">
        <x:v>449</x:v>
      </x:c>
      <x:c r="F541" s="1" t="s">
        <x:v>1067</x:v>
      </x:c>
      <x:c r="G541" s="1" t="s">
        <x:v>1067</x:v>
      </x:c>
      <x:c r="H541" s="1" t="s">
        <x:v>1067</x:v>
      </x:c>
      <x:c r="I541" s="1" t="s">
        <x:v>1067</x:v>
      </x:c>
      <x:c r="J541" s="1" t="s">
        <x:v>1067</x:v>
      </x:c>
      <x:c r="K541" s="1">
        <x:v>540.0</x:v>
      </x:c>
      <x:c r="L541" s="1" t="str">
        <x:f t="shared" si="1"/>
        <x:v>Will Dissly</x:v>
      </x:c>
      <x:c r="M541" s="127" t="n">
        <x:f>IFERROR(VLOOKUP(E541,RISK!A:B,2,FALSE()),"")</x:f>
        <x:v>2.2775</x:v>
      </x:c>
      <x:c r="N541" s="118" t="str">
        <x:f t="shared" si="2"/>
        <x:v>#N/A</x:v>
      </x:c>
      <x:c r="Q541" s="9"/>
      <x:c r="R541" s="9"/>
      <x:c r="S541" s="9"/>
      <x:c r="T541" s="9"/>
    </x:row>
    <x:row r="542" ht="14.25" customHeight="1">
      <x:c r="A542" s="1">
        <x:v>539.0</x:v>
      </x:c>
      <x:c r="B542" s="1">
        <x:v>13.0</x:v>
      </x:c>
      <x:c r="C542" s="1" t="s">
        <x:v>1387</x:v>
      </x:c>
      <x:c r="D542" s="1" t="s">
        <x:v>509</x:v>
      </x:c>
      <x:c r="E542" s="1" t="s">
        <x:v>1388</x:v>
      </x:c>
      <x:c r="F542" s="1">
        <x:v>5.0</x:v>
      </x:c>
      <x:c r="G542" s="1" t="s">
        <x:v>1067</x:v>
      </x:c>
      <x:c r="H542" s="1" t="s">
        <x:v>1067</x:v>
      </x:c>
      <x:c r="I542" s="1" t="s">
        <x:v>1064</x:v>
      </x:c>
      <x:c r="J542" s="1" t="s">
        <x:v>1067</x:v>
      </x:c>
      <x:c r="K542" s="1">
        <x:v>541.0</x:v>
      </x:c>
      <x:c r="L542" s="1" t="str">
        <x:f t="shared" si="1"/>
        <x:v>Jaydn Ott</x:v>
      </x:c>
      <x:c r="M542" s="127" t="n">
        <x:f>IFERROR(VLOOKUP(E542,RISK!A:B,2,FALSE()),"")</x:f>
        <x:v>3.368</x:v>
      </x:c>
      <x:c r="N542" s="118" t="str">
        <x:f t="shared" si="2"/>
        <x:v>#N/A</x:v>
      </x:c>
      <x:c r="Q542" s="9"/>
      <x:c r="R542" s="9"/>
      <x:c r="S542" s="9"/>
      <x:c r="T542" s="9"/>
    </x:row>
    <x:row r="543" ht="14.25" customHeight="1">
      <x:c r="A543" s="1">
        <x:v>540.0</x:v>
      </x:c>
      <x:c r="B543" s="1">
        <x:v>13.0</x:v>
      </x:c>
      <x:c r="C543" s="1" t="s">
        <x:v>1389</x:v>
      </x:c>
      <x:c r="D543" s="1" t="s">
        <x:v>503</x:v>
      </x:c>
      <x:c r="E543" s="1" t="s">
        <x:v>452</x:v>
      </x:c>
      <x:c r="F543" s="1">
        <x:v>8.0</x:v>
      </x:c>
      <x:c r="G543" s="1" t="s">
        <x:v>1067</x:v>
      </x:c>
      <x:c r="H543" s="1" t="s">
        <x:v>1067</x:v>
      </x:c>
      <x:c r="I543" s="1" t="s">
        <x:v>1064</x:v>
      </x:c>
      <x:c r="J543" s="1" t="s">
        <x:v>1067</x:v>
      </x:c>
      <x:c r="K543" s="1">
        <x:v>542.0</x:v>
      </x:c>
      <x:c r="L543" s="1" t="str">
        <x:f t="shared" si="1"/>
        <x:v>Khalil Dinkins</x:v>
      </x:c>
      <x:c r="M543" s="127" t="n">
        <x:f>IFERROR(VLOOKUP(E543,RISK!A:B,2,FALSE()),"")</x:f>
        <x:v>2.2775</x:v>
      </x:c>
      <x:c r="N543" s="118" t="str">
        <x:f t="shared" si="2"/>
        <x:v>#N/A</x:v>
      </x:c>
      <x:c r="Q543" s="9"/>
      <x:c r="R543" s="9"/>
      <x:c r="S543" s="9"/>
      <x:c r="T543" s="9"/>
    </x:row>
    <x:row r="544" ht="14.25" customHeight="1">
      <x:c r="A544" s="1">
        <x:v>541.0</x:v>
      </x:c>
      <x:c r="B544" s="1">
        <x:v>13.0</x:v>
      </x:c>
      <x:c r="C544" s="1" t="s">
        <x:v>1390</x:v>
      </x:c>
      <x:c r="D544" s="1" t="s">
        <x:v>1136</x:v>
      </x:c>
      <x:c r="E544" s="1" t="s">
        <x:v>1391</x:v>
      </x:c>
      <x:c r="F544" s="1" t="s">
        <x:v>1067</x:v>
      </x:c>
      <x:c r="G544" s="1" t="s">
        <x:v>1067</x:v>
      </x:c>
      <x:c r="H544" s="1" t="s">
        <x:v>1067</x:v>
      </x:c>
      <x:c r="I544" s="1" t="s">
        <x:v>1067</x:v>
      </x:c>
      <x:c r="J544" s="1" t="s">
        <x:v>1067</x:v>
      </x:c>
      <x:c r="K544" s="1">
        <x:v>543.0</x:v>
      </x:c>
      <x:c r="L544" s="1" t="str">
        <x:f t="shared" si="1"/>
        <x:v>Myles Montgomery</x:v>
      </x:c>
      <x:c r="M544" s="127" t="n">
        <x:f>IFERROR(VLOOKUP(E544,RISK!A:B,2,FALSE()),"")</x:f>
        <x:v>3.368</x:v>
      </x:c>
      <x:c r="N544" s="118" t="str">
        <x:f t="shared" si="2"/>
        <x:v>#N/A</x:v>
      </x:c>
      <x:c r="Q544" s="9"/>
      <x:c r="R544" s="9"/>
      <x:c r="S544" s="9"/>
      <x:c r="T544" s="9"/>
    </x:row>
    <x:row r="545" ht="14.25" customHeight="1">
      <x:c r="A545" s="1">
        <x:v>542.0</x:v>
      </x:c>
      <x:c r="B545" s="1">
        <x:v>13.0</x:v>
      </x:c>
      <x:c r="C545" s="1" t="s">
        <x:v>1392</x:v>
      </x:c>
      <x:c r="D545" s="1" t="s">
        <x:v>1136</x:v>
      </x:c>
      <x:c r="E545" s="1" t="s">
        <x:v>1393</x:v>
      </x:c>
      <x:c r="F545" s="1" t="s">
        <x:v>1067</x:v>
      </x:c>
      <x:c r="G545" s="1" t="s">
        <x:v>1067</x:v>
      </x:c>
      <x:c r="H545" s="1" t="s">
        <x:v>1067</x:v>
      </x:c>
      <x:c r="I545" s="1" t="s">
        <x:v>1067</x:v>
      </x:c>
      <x:c r="J545" s="1">
        <x:v>-190.0</x:v>
      </x:c>
      <x:c r="K545" s="1">
        <x:v>544.0</x:v>
      </x:c>
      <x:c r="L545" s="1" t="str">
        <x:f t="shared" si="1"/>
        <x:v>Alexander Mattison</x:v>
      </x:c>
      <x:c r="M545" s="127" t="n">
        <x:f>IFERROR(VLOOKUP(E545,RISK!A:B,2,FALSE()),"")</x:f>
        <x:v>3.368</x:v>
      </x:c>
      <x:c r="N545" s="118" t="str">
        <x:f t="shared" si="2"/>
        <x:v>#N/A</x:v>
      </x:c>
      <x:c r="Q545" s="9"/>
      <x:c r="R545" s="9"/>
      <x:c r="S545" s="9"/>
      <x:c r="T545" s="9"/>
    </x:row>
    <x:row r="546" ht="14.25" customHeight="1">
      <x:c r="A546" s="1">
        <x:v>543.0</x:v>
      </x:c>
      <x:c r="B546" s="1">
        <x:v>13.0</x:v>
      </x:c>
      <x:c r="C546" s="1" t="s">
        <x:v>724</x:v>
      </x:c>
      <x:c r="D546" s="1" t="s">
        <x:v>515</x:v>
      </x:c>
      <x:c r="E546" s="1" t="s">
        <x:v>1394</x:v>
      </x:c>
      <x:c r="F546" s="1">
        <x:v>10.0</x:v>
      </x:c>
      <x:c r="G546" s="1" t="s">
        <x:v>1067</x:v>
      </x:c>
      <x:c r="H546" s="1" t="s">
        <x:v>1067</x:v>
      </x:c>
      <x:c r="I546" s="1" t="s">
        <x:v>1060</x:v>
      </x:c>
      <x:c r="J546" s="1" t="s">
        <x:v>1067</x:v>
      </x:c>
      <x:c r="K546" s="1">
        <x:v>545.0</x:v>
      </x:c>
      <x:c r="L546" s="1" t="str">
        <x:f t="shared" si="1"/>
        <x:v>Tyler Badie</x:v>
      </x:c>
      <x:c r="M546" s="127" t="n">
        <x:f>IFERROR(VLOOKUP(E546,RISK!A:B,2,FALSE()),"")</x:f>
        <x:v>3.368</x:v>
      </x:c>
      <x:c r="N546" s="118" t="str">
        <x:f t="shared" si="2"/>
        <x:v>#N/A</x:v>
      </x:c>
      <x:c r="Q546" s="9"/>
      <x:c r="R546" s="9"/>
      <x:c r="S546" s="9"/>
      <x:c r="T546" s="9"/>
    </x:row>
    <x:row r="547" ht="14.25" customHeight="1">
      <x:c r="A547" s="1">
        <x:v>544.0</x:v>
      </x:c>
      <x:c r="B547" s="1">
        <x:v>13.0</x:v>
      </x:c>
      <x:c r="C547" s="1" t="s">
        <x:v>1395</x:v>
      </x:c>
      <x:c r="D547" s="1" t="s">
        <x:v>547</x:v>
      </x:c>
      <x:c r="E547" s="1" t="s">
        <x:v>1396</x:v>
      </x:c>
      <x:c r="F547" s="1">
        <x:v>13.0</x:v>
      </x:c>
      <x:c r="G547" s="1" t="s">
        <x:v>1067</x:v>
      </x:c>
      <x:c r="H547" s="1" t="s">
        <x:v>1067</x:v>
      </x:c>
      <x:c r="I547" s="1" t="s">
        <x:v>1060</x:v>
      </x:c>
      <x:c r="J547" s="1" t="s">
        <x:v>1067</x:v>
      </x:c>
      <x:c r="K547" s="1">
        <x:v>546.0</x:v>
      </x:c>
      <x:c r="L547" s="1" t="str">
        <x:f t="shared" si="1"/>
        <x:v>Raheem Mostert</x:v>
      </x:c>
      <x:c r="M547" s="127" t="n">
        <x:f>IFERROR(VLOOKUP(E547,RISK!A:B,2,FALSE()),"")</x:f>
        <x:v>3.368</x:v>
      </x:c>
      <x:c r="N547" s="118" t="str">
        <x:f t="shared" si="2"/>
        <x:v>#N/A</x:v>
      </x:c>
      <x:c r="Q547" s="9"/>
      <x:c r="R547" s="9"/>
      <x:c r="S547" s="9"/>
      <x:c r="T547" s="9"/>
    </x:row>
    <x:row r="548" ht="14.25" customHeight="1">
      <x:c r="A548" s="1">
        <x:v>545.0</x:v>
      </x:c>
      <x:c r="B548" s="1">
        <x:v>13.0</x:v>
      </x:c>
      <x:c r="C548" s="1" t="s">
        <x:v>1397</x:v>
      </x:c>
      <x:c r="D548" s="1" t="s">
        <x:v>545</x:v>
      </x:c>
      <x:c r="E548" s="1" t="s">
        <x:v>1398</x:v>
      </x:c>
      <x:c r="F548" s="1">
        <x:v>9.0</x:v>
      </x:c>
      <x:c r="G548" s="1" t="s">
        <x:v>1067</x:v>
      </x:c>
      <x:c r="H548" s="1" t="s">
        <x:v>1067</x:v>
      </x:c>
      <x:c r="I548" s="1" t="s">
        <x:v>1060</x:v>
      </x:c>
      <x:c r="J548" s="1" t="s">
        <x:v>1067</x:v>
      </x:c>
      <x:c r="K548" s="1">
        <x:v>547.0</x:v>
      </x:c>
      <x:c r="L548" s="1" t="str">
        <x:f t="shared" si="1"/>
        <x:v>Lew Nichols III</x:v>
      </x:c>
      <x:c r="M548" s="127" t="n">
        <x:f>IFERROR(VLOOKUP(E548,RISK!A:B,2,FALSE()),"")</x:f>
        <x:v>3.368</x:v>
      </x:c>
      <x:c r="N548" s="118" t="str">
        <x:f t="shared" si="2"/>
        <x:v>#N/A</x:v>
      </x:c>
      <x:c r="Q548" s="9"/>
      <x:c r="R548" s="9"/>
      <x:c r="S548" s="9"/>
      <x:c r="T548" s="9"/>
    </x:row>
    <x:row r="549" ht="14.25" customHeight="1">
      <x:c r="A549" s="1">
        <x:v>546.0</x:v>
      </x:c>
      <x:c r="B549" s="1">
        <x:v>13.0</x:v>
      </x:c>
      <x:c r="C549" s="1" t="s">
        <x:v>1032</x:v>
      </x:c>
      <x:c r="D549" s="1" t="s">
        <x:v>531</x:v>
      </x:c>
      <x:c r="E549" s="1" t="s">
        <x:v>455</x:v>
      </x:c>
      <x:c r="F549" s="1">
        <x:v>11.0</x:v>
      </x:c>
      <x:c r="G549" s="1" t="s">
        <x:v>1067</x:v>
      </x:c>
      <x:c r="H549" s="1" t="s">
        <x:v>1067</x:v>
      </x:c>
      <x:c r="I549" s="1" t="s">
        <x:v>1060</x:v>
      </x:c>
      <x:c r="J549" s="1" t="s">
        <x:v>1067</x:v>
      </x:c>
      <x:c r="K549" s="1">
        <x:v>548.0</x:v>
      </x:c>
      <x:c r="L549" s="1" t="str">
        <x:f t="shared" si="1"/>
        <x:v>Josh Whyle</x:v>
      </x:c>
      <x:c r="M549" s="127" t="n">
        <x:f>IFERROR(VLOOKUP(E549,RISK!A:B,2,FALSE()),"")</x:f>
        <x:v>2.2775</x:v>
      </x:c>
      <x:c r="N549" s="118" t="str">
        <x:f t="shared" si="2"/>
        <x:v>#N/A</x:v>
      </x:c>
      <x:c r="Q549" s="9"/>
      <x:c r="R549" s="9"/>
      <x:c r="S549" s="9"/>
      <x:c r="T549" s="9"/>
    </x:row>
    <x:row r="550" ht="14.25" customHeight="1">
      <x:c r="A550" s="1">
        <x:v>547.0</x:v>
      </x:c>
      <x:c r="B550" s="1">
        <x:v>13.0</x:v>
      </x:c>
      <x:c r="C550" s="1" t="s">
        <x:v>1399</x:v>
      </x:c>
      <x:c r="D550" s="1" t="s">
        <x:v>527</x:v>
      </x:c>
      <x:c r="E550" s="1" t="s">
        <x:v>1400</x:v>
      </x:c>
      <x:c r="F550" s="1">
        <x:v>13.0</x:v>
      </x:c>
      <x:c r="G550" s="1" t="s">
        <x:v>1067</x:v>
      </x:c>
      <x:c r="H550" s="1" t="s">
        <x:v>1067</x:v>
      </x:c>
      <x:c r="I550" s="1" t="s">
        <x:v>1061</x:v>
      </x:c>
      <x:c r="J550" s="1" t="s">
        <x:v>1067</x:v>
      </x:c>
      <x:c r="K550" s="1">
        <x:v>549.0</x:v>
      </x:c>
      <x:c r="L550" s="1" t="str">
        <x:f t="shared" si="1"/>
        <x:v>Ulysses Bentley IV</x:v>
      </x:c>
      <x:c r="M550" s="127" t="n">
        <x:f>IFERROR(VLOOKUP(E550,RISK!A:B,2,FALSE()),"")</x:f>
        <x:v>3.368</x:v>
      </x:c>
      <x:c r="N550" s="118" t="str">
        <x:f t="shared" si="2"/>
        <x:v>#N/A</x:v>
      </x:c>
      <x:c r="Q550" s="9"/>
      <x:c r="R550" s="9"/>
      <x:c r="S550" s="9"/>
      <x:c r="T550" s="9"/>
    </x:row>
    <x:row r="551" ht="14.25" customHeight="1">
      <x:c r="A551" s="1">
        <x:v>548.0</x:v>
      </x:c>
      <x:c r="B551" s="1">
        <x:v>13.0</x:v>
      </x:c>
      <x:c r="C551" s="1" t="s">
        <x:v>1401</x:v>
      </x:c>
      <x:c r="D551" s="1" t="s">
        <x:v>511</x:v>
      </x:c>
      <x:c r="E551" s="1" t="s">
        <x:v>1402</x:v>
      </x:c>
      <x:c r="F551" s="1">
        <x:v>10.0</x:v>
      </x:c>
      <x:c r="G551" s="1" t="s">
        <x:v>1067</x:v>
      </x:c>
      <x:c r="H551" s="1" t="s">
        <x:v>1067</x:v>
      </x:c>
      <x:c r="I551" s="1" t="s">
        <x:v>1064</x:v>
      </x:c>
      <x:c r="J551" s="1" t="s">
        <x:v>1067</x:v>
      </x:c>
      <x:c r="K551" s="1">
        <x:v>550.0</x:v>
      </x:c>
      <x:c r="L551" s="1" t="str">
        <x:f t="shared" si="1"/>
        <x:v>Scotty Miller</x:v>
      </x:c>
      <x:c r="M551" s="127" t="n">
        <x:f>IFERROR(VLOOKUP(E551,RISK!A:B,2,FALSE()),"")</x:f>
        <x:v>3.7</x:v>
      </x:c>
      <x:c r="N551" s="118" t="str">
        <x:f t="shared" si="2"/>
        <x:v>#N/A</x:v>
      </x:c>
      <x:c r="Q551" s="9"/>
      <x:c r="R551" s="9"/>
      <x:c r="S551" s="9"/>
      <x:c r="T551" s="9"/>
    </x:row>
    <x:row r="552" ht="14.25" customHeight="1">
      <x:c r="A552" s="1">
        <x:v>549.0</x:v>
      </x:c>
      <x:c r="B552" s="1">
        <x:v>13.0</x:v>
      </x:c>
      <x:c r="C552" s="1" t="s">
        <x:v>985</x:v>
      </x:c>
      <x:c r="D552" s="1" t="s">
        <x:v>517</x:v>
      </x:c>
      <x:c r="E552" s="1" t="s">
        <x:v>458</x:v>
      </x:c>
      <x:c r="F552" s="1">
        <x:v>11.0</x:v>
      </x:c>
      <x:c r="G552" s="1" t="s">
        <x:v>1067</x:v>
      </x:c>
      <x:c r="H552" s="1" t="s">
        <x:v>1067</x:v>
      </x:c>
      <x:c r="I552" s="1" t="s">
        <x:v>1061</x:v>
      </x:c>
      <x:c r="J552" s="1" t="s">
        <x:v>1067</x:v>
      </x:c>
      <x:c r="K552" s="1">
        <x:v>551.0</x:v>
      </x:c>
      <x:c r="L552" s="1" t="str">
        <x:f t="shared" si="1"/>
        <x:v>Davis Allen</x:v>
      </x:c>
      <x:c r="M552" s="127" t="n">
        <x:f>IFERROR(VLOOKUP(E552,RISK!A:B,2,FALSE()),"")</x:f>
        <x:v>2.2775</x:v>
      </x:c>
      <x:c r="N552" s="118" t="str">
        <x:f t="shared" si="2"/>
        <x:v>#N/A</x:v>
      </x:c>
      <x:c r="Q552" s="9"/>
      <x:c r="R552" s="9"/>
      <x:c r="S552" s="9"/>
      <x:c r="T552" s="9"/>
    </x:row>
    <x:row r="553" ht="14.25" customHeight="1">
      <x:c r="A553" s="1">
        <x:v>550.0</x:v>
      </x:c>
      <x:c r="B553" s="1">
        <x:v>13.0</x:v>
      </x:c>
      <x:c r="C553" s="1" t="s">
        <x:v>1403</x:v>
      </x:c>
      <x:c r="D553" s="1" t="s">
        <x:v>537</x:v>
      </x:c>
      <x:c r="E553" s="1" t="s">
        <x:v>1404</x:v>
      </x:c>
      <x:c r="F553" s="1">
        <x:v>5.0</x:v>
      </x:c>
      <x:c r="G553" s="1" t="s">
        <x:v>1067</x:v>
      </x:c>
      <x:c r="H553" s="1" t="s">
        <x:v>1067</x:v>
      </x:c>
      <x:c r="I553" s="1" t="s">
        <x:v>1063</x:v>
      </x:c>
      <x:c r="J553" s="1" t="s">
        <x:v>1067</x:v>
      </x:c>
      <x:c r="K553" s="1">
        <x:v>552.0</x:v>
      </x:c>
      <x:c r="L553" s="1" t="str">
        <x:f t="shared" si="1"/>
        <x:v>Miles Davis</x:v>
      </x:c>
      <x:c r="M553" s="127" t="n">
        <x:f>IFERROR(VLOOKUP(E553,RISK!A:B,2,FALSE()),"")</x:f>
        <x:v>3.368</x:v>
      </x:c>
      <x:c r="N553" s="118" t="str">
        <x:f t="shared" si="2"/>
        <x:v>#N/A</x:v>
      </x:c>
      <x:c r="Q553" s="9"/>
      <x:c r="R553" s="9"/>
      <x:c r="S553" s="9"/>
      <x:c r="T553" s="9"/>
    </x:row>
    <x:row r="554" ht="14.25" customHeight="1">
      <x:c r="A554" s="1">
        <x:v>551.0</x:v>
      </x:c>
      <x:c r="B554" s="1">
        <x:v>13.0</x:v>
      </x:c>
      <x:c r="C554" s="1" t="s">
        <x:v>1016</x:v>
      </x:c>
      <x:c r="D554" s="1" t="s">
        <x:v>523</x:v>
      </x:c>
      <x:c r="E554" s="1" t="s">
        <x:v>461</x:v>
      </x:c>
      <x:c r="F554" s="1">
        <x:v>10.0</x:v>
      </x:c>
      <x:c r="G554" s="1" t="s">
        <x:v>1067</x:v>
      </x:c>
      <x:c r="H554" s="1" t="s">
        <x:v>1067</x:v>
      </x:c>
      <x:c r="I554" s="1" t="s">
        <x:v>1060</x:v>
      </x:c>
      <x:c r="J554" s="1" t="s">
        <x:v>1067</x:v>
      </x:c>
      <x:c r="K554" s="1">
        <x:v>553.0</x:v>
      </x:c>
      <x:c r="L554" s="1" t="str">
        <x:f t="shared" si="1"/>
        <x:v>Payne Durham</x:v>
      </x:c>
      <x:c r="M554" s="127" t="n">
        <x:f>IFERROR(VLOOKUP(E554,RISK!A:B,2,FALSE()),"")</x:f>
        <x:v>2.2775</x:v>
      </x:c>
      <x:c r="N554" s="118" t="str">
        <x:f t="shared" si="2"/>
        <x:v>#N/A</x:v>
      </x:c>
      <x:c r="Q554" s="9"/>
      <x:c r="R554" s="9"/>
      <x:c r="S554" s="9"/>
      <x:c r="T554" s="9"/>
    </x:row>
    <x:row r="555" ht="14.25" customHeight="1">
      <x:c r="A555" s="1">
        <x:v>552.0</x:v>
      </x:c>
      <x:c r="B555" s="1">
        <x:v>13.0</x:v>
      </x:c>
      <x:c r="C555" s="1" t="s">
        <x:v>983</x:v>
      </x:c>
      <x:c r="D555" s="1" t="s">
        <x:v>529</x:v>
      </x:c>
      <x:c r="E555" s="1" t="s">
        <x:v>464</x:v>
      </x:c>
      <x:c r="F555" s="1">
        <x:v>6.0</x:v>
      </x:c>
      <x:c r="G555" s="1" t="s">
        <x:v>1067</x:v>
      </x:c>
      <x:c r="H555" s="1" t="s">
        <x:v>1067</x:v>
      </x:c>
      <x:c r="I555" s="1" t="s">
        <x:v>1059</x:v>
      </x:c>
      <x:c r="J555" s="1" t="s">
        <x:v>1067</x:v>
      </x:c>
      <x:c r="K555" s="1">
        <x:v>554.0</x:v>
      </x:c>
      <x:c r="L555" s="1" t="str">
        <x:f t="shared" si="1"/>
        <x:v>Ben Sims</x:v>
      </x:c>
      <x:c r="M555" s="127" t="n">
        <x:f>IFERROR(VLOOKUP(E555,RISK!A:B,2,FALSE()),"")</x:f>
        <x:v>2.2775</x:v>
      </x:c>
      <x:c r="N555" s="118" t="str">
        <x:f t="shared" si="2"/>
        <x:v>#N/A</x:v>
      </x:c>
      <x:c r="Q555" s="9"/>
      <x:c r="R555" s="9"/>
      <x:c r="S555" s="9"/>
      <x:c r="T555" s="9"/>
    </x:row>
    <x:row r="556" ht="14.25" customHeight="1">
      <x:c r="A556" s="1">
        <x:v>553.0</x:v>
      </x:c>
      <x:c r="B556" s="1">
        <x:v>13.0</x:v>
      </x:c>
      <x:c r="C556" s="1" t="s">
        <x:v>1405</x:v>
      </x:c>
      <x:c r="D556" s="1" t="s">
        <x:v>549</x:v>
      </x:c>
      <x:c r="E556" s="1" t="s">
        <x:v>1406</x:v>
      </x:c>
      <x:c r="F556" s="1">
        <x:v>11.0</x:v>
      </x:c>
      <x:c r="G556" s="1" t="s">
        <x:v>1067</x:v>
      </x:c>
      <x:c r="H556" s="1" t="s">
        <x:v>1067</x:v>
      </x:c>
      <x:c r="I556" s="1" t="s">
        <x:v>1064</x:v>
      </x:c>
      <x:c r="J556" s="1" t="s">
        <x:v>1067</x:v>
      </x:c>
      <x:c r="K556" s="1">
        <x:v>555.0</x:v>
      </x:c>
      <x:c r="L556" s="1" t="str">
        <x:f t="shared" si="1"/>
        <x:v>Ahmani Marshall</x:v>
      </x:c>
      <x:c r="M556" s="127" t="n">
        <x:f>IFERROR(VLOOKUP(E556,RISK!A:B,2,FALSE()),"")</x:f>
        <x:v>3.368</x:v>
      </x:c>
      <x:c r="N556" s="118" t="str">
        <x:f t="shared" si="2"/>
        <x:v>#N/A</x:v>
      </x:c>
      <x:c r="Q556" s="9"/>
      <x:c r="R556" s="9"/>
      <x:c r="S556" s="9"/>
      <x:c r="T556" s="9"/>
    </x:row>
    <x:row r="557" ht="14.25" customHeight="1">
      <x:c r="A557" s="1">
        <x:v>554.0</x:v>
      </x:c>
      <x:c r="B557" s="1">
        <x:v>13.0</x:v>
      </x:c>
      <x:c r="C557" s="1" t="s">
        <x:v>1407</x:v>
      </x:c>
      <x:c r="D557" s="1" t="s">
        <x:v>533</x:v>
      </x:c>
      <x:c r="E557" s="1" t="s">
        <x:v>1408</x:v>
      </x:c>
      <x:c r="F557" s="1">
        <x:v>11.0</x:v>
      </x:c>
      <x:c r="G557" s="1" t="s">
        <x:v>1067</x:v>
      </x:c>
      <x:c r="H557" s="1" t="s">
        <x:v>1067</x:v>
      </x:c>
      <x:c r="I557" s="1" t="s">
        <x:v>1064</x:v>
      </x:c>
      <x:c r="J557" s="1" t="s">
        <x:v>1067</x:v>
      </x:c>
      <x:c r="K557" s="1">
        <x:v>556.0</x:v>
      </x:c>
      <x:c r="L557" s="1" t="str">
        <x:f t="shared" si="1"/>
        <x:v>Jake Bobo</x:v>
      </x:c>
      <x:c r="M557" s="127" t="n">
        <x:f>IFERROR(VLOOKUP(E557,RISK!A:B,2,FALSE()),"")</x:f>
        <x:v>3.7</x:v>
      </x:c>
      <x:c r="N557" s="118" t="str">
        <x:f t="shared" si="2"/>
        <x:v>#N/A</x:v>
      </x:c>
      <x:c r="Q557" s="9"/>
      <x:c r="R557" s="9"/>
      <x:c r="S557" s="9"/>
      <x:c r="T557" s="9"/>
    </x:row>
    <x:row r="558" ht="14.25" customHeight="1">
      <x:c r="A558" s="1">
        <x:v>555.0</x:v>
      </x:c>
      <x:c r="B558" s="1">
        <x:v>13.0</x:v>
      </x:c>
      <x:c r="C558" s="1" t="s">
        <x:v>1019</x:v>
      </x:c>
      <x:c r="D558" s="1" t="s">
        <x:v>507</x:v>
      </x:c>
      <x:c r="E558" s="1" t="s">
        <x:v>467</x:v>
      </x:c>
      <x:c r="F558" s="1">
        <x:v>14.0</x:v>
      </x:c>
      <x:c r="G558" s="1" t="s">
        <x:v>1067</x:v>
      </x:c>
      <x:c r="H558" s="1" t="s">
        <x:v>1067</x:v>
      </x:c>
      <x:c r="I558" s="1" t="s">
        <x:v>1060</x:v>
      </x:c>
      <x:c r="J558" s="1" t="s">
        <x:v>1067</x:v>
      </x:c>
      <x:c r="K558" s="1">
        <x:v>557.0</x:v>
      </x:c>
      <x:c r="L558" s="1" t="str">
        <x:f t="shared" si="1"/>
        <x:v>Brevyn Spann-Ford</x:v>
      </x:c>
      <x:c r="M558" s="127" t="n">
        <x:f>IFERROR(VLOOKUP(E558,RISK!A:B,2,FALSE()),"")</x:f>
        <x:v>2.2775</x:v>
      </x:c>
      <x:c r="N558" s="118" t="str">
        <x:f t="shared" si="2"/>
        <x:v>#N/A</x:v>
      </x:c>
      <x:c r="Q558" s="9"/>
      <x:c r="R558" s="9"/>
      <x:c r="S558" s="9"/>
      <x:c r="T558" s="9"/>
    </x:row>
    <x:row r="559" ht="14.25" customHeight="1">
      <x:c r="A559" s="1">
        <x:v>556.0</x:v>
      </x:c>
      <x:c r="B559" s="1">
        <x:v>13.0</x:v>
      </x:c>
      <x:c r="C559" s="1" t="s">
        <x:v>1027</x:v>
      </x:c>
      <x:c r="D559" s="1" t="s">
        <x:v>503</x:v>
      </x:c>
      <x:c r="E559" s="1" t="s">
        <x:v>470</x:v>
      </x:c>
      <x:c r="F559" s="1">
        <x:v>8.0</x:v>
      </x:c>
      <x:c r="G559" s="1" t="s">
        <x:v>1067</x:v>
      </x:c>
      <x:c r="H559" s="1" t="s">
        <x:v>1067</x:v>
      </x:c>
      <x:c r="I559" s="1" t="s">
        <x:v>1064</x:v>
      </x:c>
      <x:c r="J559" s="1" t="s">
        <x:v>1067</x:v>
      </x:c>
      <x:c r="K559" s="1">
        <x:v>558.0</x:v>
      </x:c>
      <x:c r="L559" s="1" t="str">
        <x:f t="shared" si="1"/>
        <x:v>Luke Farrell</x:v>
      </x:c>
      <x:c r="M559" s="127" t="n">
        <x:f>IFERROR(VLOOKUP(E559,RISK!A:B,2,FALSE()),"")</x:f>
        <x:v>2.2775</x:v>
      </x:c>
      <x:c r="N559" s="118" t="str">
        <x:f t="shared" si="2"/>
        <x:v>#N/A</x:v>
      </x:c>
      <x:c r="Q559" s="9"/>
      <x:c r="R559" s="9"/>
      <x:c r="S559" s="9"/>
      <x:c r="T559" s="9"/>
    </x:row>
    <x:row r="560" ht="14.25" customHeight="1">
      <x:c r="A560" s="1">
        <x:v>557.0</x:v>
      </x:c>
      <x:c r="B560" s="1">
        <x:v>13.0</x:v>
      </x:c>
      <x:c r="C560" s="1" t="s">
        <x:v>1409</x:v>
      </x:c>
      <x:c r="D560" s="1" t="s">
        <x:v>551</x:v>
      </x:c>
      <x:c r="E560" s="1" t="s">
        <x:v>1410</x:v>
      </x:c>
      <x:c r="F560" s="1">
        <x:v>11.0</x:v>
      </x:c>
      <x:c r="G560" s="1" t="s">
        <x:v>1067</x:v>
      </x:c>
      <x:c r="H560" s="1" t="s">
        <x:v>1067</x:v>
      </x:c>
      <x:c r="I560" s="1" t="s">
        <x:v>1060</x:v>
      </x:c>
      <x:c r="J560" s="1" t="s">
        <x:v>1067</x:v>
      </x:c>
      <x:c r="K560" s="1">
        <x:v>559.0</x:v>
      </x:c>
      <x:c r="L560" s="1" t="str">
        <x:f t="shared" si="1"/>
        <x:v>Nathan Carter</x:v>
      </x:c>
      <x:c r="M560" s="127" t="n">
        <x:f>IFERROR(VLOOKUP(E560,RISK!A:B,2,FALSE()),"")</x:f>
        <x:v>3.368</x:v>
      </x:c>
      <x:c r="N560" s="118" t="str">
        <x:f t="shared" si="2"/>
        <x:v>#N/A</x:v>
      </x:c>
      <x:c r="Q560" s="9"/>
      <x:c r="R560" s="9"/>
      <x:c r="S560" s="9"/>
      <x:c r="T560" s="9"/>
    </x:row>
    <x:row r="561" ht="14.25" customHeight="1">
      <x:c r="A561" s="1">
        <x:v>558.0</x:v>
      </x:c>
      <x:c r="B561" s="1">
        <x:v>13.0</x:v>
      </x:c>
      <x:c r="C561" s="1" t="s">
        <x:v>1042</x:v>
      </x:c>
      <x:c r="D561" s="1" t="s">
        <x:v>549</x:v>
      </x:c>
      <x:c r="E561" s="1" t="s">
        <x:v>473</x:v>
      </x:c>
      <x:c r="F561" s="1">
        <x:v>11.0</x:v>
      </x:c>
      <x:c r="G561" s="1" t="s">
        <x:v>1067</x:v>
      </x:c>
      <x:c r="H561" s="1" t="s">
        <x:v>1067</x:v>
      </x:c>
      <x:c r="I561" s="1" t="s">
        <x:v>1064</x:v>
      </x:c>
      <x:c r="J561" s="1" t="s">
        <x:v>1067</x:v>
      </x:c>
      <x:c r="K561" s="1">
        <x:v>560.0</x:v>
      </x:c>
      <x:c r="L561" s="1" t="str">
        <x:f t="shared" si="1"/>
        <x:v>Blake Whiteheart</x:v>
      </x:c>
      <x:c r="M561" s="127" t="n">
        <x:f>IFERROR(VLOOKUP(E561,RISK!A:B,2,FALSE()),"")</x:f>
        <x:v>2.2775</x:v>
      </x:c>
      <x:c r="N561" s="118" t="str">
        <x:f t="shared" si="2"/>
        <x:v>#N/A</x:v>
      </x:c>
      <x:c r="Q561" s="9"/>
      <x:c r="R561" s="9"/>
      <x:c r="S561" s="9"/>
      <x:c r="T561" s="9"/>
    </x:row>
    <x:row r="562" ht="14.25" customHeight="1">
      <x:c r="A562" s="1">
        <x:v>559.0</x:v>
      </x:c>
      <x:c r="B562" s="1">
        <x:v>13.0</x:v>
      </x:c>
      <x:c r="C562" s="1" t="s">
        <x:v>1411</x:v>
      </x:c>
      <x:c r="D562" s="1" t="s">
        <x:v>1136</x:v>
      </x:c>
      <x:c r="E562" s="1" t="s">
        <x:v>1412</x:v>
      </x:c>
      <x:c r="F562" s="1" t="s">
        <x:v>1067</x:v>
      </x:c>
      <x:c r="G562" s="1" t="s">
        <x:v>1067</x:v>
      </x:c>
      <x:c r="H562" s="1" t="s">
        <x:v>1067</x:v>
      </x:c>
      <x:c r="I562" s="1" t="s">
        <x:v>1067</x:v>
      </x:c>
      <x:c r="J562" s="1" t="s">
        <x:v>1067</x:v>
      </x:c>
      <x:c r="K562" s="1">
        <x:v>561.0</x:v>
      </x:c>
      <x:c r="L562" s="1" t="str">
        <x:f t="shared" si="1"/>
        <x:v>Elijah Mitchell</x:v>
      </x:c>
      <x:c r="M562" s="127" t="n">
        <x:f>IFERROR(VLOOKUP(E562,RISK!A:B,2,FALSE()),"")</x:f>
        <x:v>3.368</x:v>
      </x:c>
      <x:c r="N562" s="118" t="str">
        <x:f t="shared" si="2"/>
        <x:v>#N/A</x:v>
      </x:c>
      <x:c r="Q562" s="9"/>
      <x:c r="R562" s="9"/>
      <x:c r="S562" s="9"/>
      <x:c r="T562" s="9"/>
    </x:row>
    <x:row r="563" ht="14.25" customHeight="1">
      <x:c r="A563" s="1">
        <x:v>560.0</x:v>
      </x:c>
      <x:c r="B563" s="1">
        <x:v>13.0</x:v>
      </x:c>
      <x:c r="C563" s="1" t="s">
        <x:v>1413</x:v>
      </x:c>
      <x:c r="D563" s="1" t="s">
        <x:v>499</x:v>
      </x:c>
      <x:c r="E563" s="1" t="s">
        <x:v>1414</x:v>
      </x:c>
      <x:c r="F563" s="1">
        <x:v>6.0</x:v>
      </x:c>
      <x:c r="G563" s="1" t="s">
        <x:v>1067</x:v>
      </x:c>
      <x:c r="H563" s="1" t="s">
        <x:v>1067</x:v>
      </x:c>
      <x:c r="I563" s="1" t="s">
        <x:v>1061</x:v>
      </x:c>
      <x:c r="J563" s="1" t="s">
        <x:v>1067</x:v>
      </x:c>
      <x:c r="K563" s="1">
        <x:v>562.0</x:v>
      </x:c>
      <x:c r="L563" s="1" t="str">
        <x:f t="shared" si="1"/>
        <x:v>Dohnte Meyers</x:v>
      </x:c>
      <x:c r="M563" s="127" t="n">
        <x:f>IFERROR(VLOOKUP(E563,RISK!A:B,2,FALSE()),"")</x:f>
        <x:v>3.7</x:v>
      </x:c>
      <x:c r="N563" s="118" t="str">
        <x:f t="shared" si="2"/>
        <x:v>#N/A</x:v>
      </x:c>
      <x:c r="Q563" s="9"/>
      <x:c r="R563" s="9"/>
      <x:c r="S563" s="9"/>
      <x:c r="T563" s="9"/>
    </x:row>
    <x:row r="564" ht="14.25" customHeight="1">
      <x:c r="A564" s="1">
        <x:v>561.0</x:v>
      </x:c>
      <x:c r="B564" s="1">
        <x:v>13.0</x:v>
      </x:c>
      <x:c r="C564" s="1" t="s">
        <x:v>887</x:v>
      </x:c>
      <x:c r="D564" s="1" t="s">
        <x:v>513</x:v>
      </x:c>
      <x:c r="E564" s="1" t="s">
        <x:v>1415</x:v>
      </x:c>
      <x:c r="F564" s="1">
        <x:v>7.0</x:v>
      </x:c>
      <x:c r="G564" s="1" t="s">
        <x:v>1067</x:v>
      </x:c>
      <x:c r="H564" s="1" t="s">
        <x:v>1067</x:v>
      </x:c>
      <x:c r="I564" s="1" t="s">
        <x:v>1060</x:v>
      </x:c>
      <x:c r="J564" s="1" t="s">
        <x:v>1067</x:v>
      </x:c>
      <x:c r="K564" s="1">
        <x:v>563.0</x:v>
      </x:c>
      <x:c r="L564" s="1" t="str">
        <x:f t="shared" si="1"/>
        <x:v>Derius Davis</x:v>
      </x:c>
      <x:c r="M564" s="127" t="n">
        <x:f>IFERROR(VLOOKUP(E564,RISK!A:B,2,FALSE()),"")</x:f>
        <x:v>3.7</x:v>
      </x:c>
      <x:c r="N564" s="118" t="str">
        <x:f t="shared" si="2"/>
        <x:v>#N/A</x:v>
      </x:c>
      <x:c r="Q564" s="9"/>
      <x:c r="R564" s="9"/>
      <x:c r="S564" s="9"/>
      <x:c r="T564" s="9"/>
    </x:row>
    <x:row r="565" ht="14.25" customHeight="1">
      <x:c r="A565" s="1">
        <x:v>562.0</x:v>
      </x:c>
      <x:c r="B565" s="1">
        <x:v>13.0</x:v>
      </x:c>
      <x:c r="C565" s="1" t="s">
        <x:v>1416</x:v>
      </x:c>
      <x:c r="D565" s="1" t="s">
        <x:v>551</x:v>
      </x:c>
      <x:c r="E565" s="1" t="s">
        <x:v>1417</x:v>
      </x:c>
      <x:c r="F565" s="1">
        <x:v>11.0</x:v>
      </x:c>
      <x:c r="G565" s="1" t="s">
        <x:v>1067</x:v>
      </x:c>
      <x:c r="H565" s="1" t="s">
        <x:v>1067</x:v>
      </x:c>
      <x:c r="I565" s="1" t="s">
        <x:v>1060</x:v>
      </x:c>
      <x:c r="J565" s="1" t="s">
        <x:v>1067</x:v>
      </x:c>
      <x:c r="K565" s="1">
        <x:v>564.0</x:v>
      </x:c>
      <x:c r="L565" s="1" t="str">
        <x:f t="shared" si="1"/>
        <x:v>Cash Jones</x:v>
      </x:c>
      <x:c r="M565" s="127" t="n">
        <x:f>IFERROR(VLOOKUP(E565,RISK!A:B,2,FALSE()),"")</x:f>
        <x:v>3.368</x:v>
      </x:c>
      <x:c r="N565" s="118" t="str">
        <x:f t="shared" si="2"/>
        <x:v>#N/A</x:v>
      </x:c>
      <x:c r="Q565" s="9"/>
      <x:c r="R565" s="9"/>
      <x:c r="S565" s="9"/>
      <x:c r="T565" s="9"/>
    </x:row>
    <x:row r="566" ht="14.25" customHeight="1">
      <x:c r="A566" s="1">
        <x:v>563.0</x:v>
      </x:c>
      <x:c r="B566" s="1">
        <x:v>13.0</x:v>
      </x:c>
      <x:c r="C566" s="1" t="s">
        <x:v>1418</x:v>
      </x:c>
      <x:c r="D566" s="1" t="s">
        <x:v>1136</x:v>
      </x:c>
      <x:c r="E566" s="1" t="s">
        <x:v>1419</x:v>
      </x:c>
      <x:c r="F566" s="1" t="s">
        <x:v>1067</x:v>
      </x:c>
      <x:c r="G566" s="1" t="s">
        <x:v>1067</x:v>
      </x:c>
      <x:c r="H566" s="1" t="s">
        <x:v>1067</x:v>
      </x:c>
      <x:c r="I566" s="1" t="s">
        <x:v>1067</x:v>
      </x:c>
      <x:c r="J566" s="1" t="s">
        <x:v>1067</x:v>
      </x:c>
      <x:c r="K566" s="1">
        <x:v>565.0</x:v>
      </x:c>
      <x:c r="L566" s="1" t="str">
        <x:f t="shared" si="1"/>
        <x:v>Cam Akers</x:v>
      </x:c>
      <x:c r="M566" s="127" t="n">
        <x:f>IFERROR(VLOOKUP(E566,RISK!A:B,2,FALSE()),"")</x:f>
        <x:v>3.368</x:v>
      </x:c>
      <x:c r="N566" s="118" t="str">
        <x:f t="shared" si="2"/>
        <x:v>#N/A</x:v>
      </x:c>
      <x:c r="Q566" s="9"/>
      <x:c r="R566" s="9"/>
      <x:c r="S566" s="9"/>
      <x:c r="T566" s="9"/>
    </x:row>
    <x:row r="567" ht="14.25" customHeight="1">
      <x:c r="A567" s="1">
        <x:v>564.0</x:v>
      </x:c>
      <x:c r="B567" s="1">
        <x:v>13.0</x:v>
      </x:c>
      <x:c r="C567" s="1" t="s">
        <x:v>1420</x:v>
      </x:c>
      <x:c r="D567" s="1" t="s">
        <x:v>503</x:v>
      </x:c>
      <x:c r="E567" s="1" t="s">
        <x:v>1421</x:v>
      </x:c>
      <x:c r="F567" s="1">
        <x:v>8.0</x:v>
      </x:c>
      <x:c r="G567" s="1" t="s">
        <x:v>1067</x:v>
      </x:c>
      <x:c r="H567" s="1" t="s">
        <x:v>1067</x:v>
      </x:c>
      <x:c r="I567" s="1" t="s">
        <x:v>1060</x:v>
      </x:c>
      <x:c r="J567" s="1">
        <x:v>-182.0</x:v>
      </x:c>
      <x:c r="K567" s="1">
        <x:v>566.0</x:v>
      </x:c>
      <x:c r="L567" s="1" t="str">
        <x:f t="shared" si="1"/>
        <x:v>Sincere McCormick</x:v>
      </x:c>
      <x:c r="M567" s="127" t="n">
        <x:f>IFERROR(VLOOKUP(E567,RISK!A:B,2,FALSE()),"")</x:f>
        <x:v>3.368</x:v>
      </x:c>
      <x:c r="N567" s="118" t="str">
        <x:f t="shared" si="2"/>
        <x:v>#N/A</x:v>
      </x:c>
      <x:c r="Q567" s="9"/>
      <x:c r="R567" s="9"/>
      <x:c r="S567" s="9"/>
      <x:c r="T567" s="9"/>
    </x:row>
    <x:row r="568" ht="14.25" customHeight="1">
      <x:c r="A568" s="1">
        <x:v>565.0</x:v>
      </x:c>
      <x:c r="B568" s="1">
        <x:v>13.0</x:v>
      </x:c>
      <x:c r="C568" s="1" t="s">
        <x:v>1422</x:v>
      </x:c>
      <x:c r="D568" s="1" t="s">
        <x:v>1136</x:v>
      </x:c>
      <x:c r="E568" s="1" t="s">
        <x:v>1423</x:v>
      </x:c>
      <x:c r="F568" s="1" t="s">
        <x:v>1067</x:v>
      </x:c>
      <x:c r="G568" s="1" t="s">
        <x:v>1067</x:v>
      </x:c>
      <x:c r="H568" s="1" t="s">
        <x:v>1067</x:v>
      </x:c>
      <x:c r="I568" s="1" t="s">
        <x:v>1067</x:v>
      </x:c>
      <x:c r="J568" s="1" t="s">
        <x:v>1067</x:v>
      </x:c>
      <x:c r="K568" s="1">
        <x:v>567.0</x:v>
      </x:c>
      <x:c r="L568" s="1" t="str">
        <x:f t="shared" si="1"/>
        <x:v>Brandin Cooks</x:v>
      </x:c>
      <x:c r="M568" s="127" t="n">
        <x:f>IFERROR(VLOOKUP(E568,RISK!A:B,2,FALSE()),"")</x:f>
        <x:v>3.7</x:v>
      </x:c>
      <x:c r="N568" s="118" t="str">
        <x:f t="shared" si="2"/>
        <x:v>#N/A</x:v>
      </x:c>
      <x:c r="Q568" s="9"/>
      <x:c r="R568" s="9"/>
      <x:c r="S568" s="9"/>
      <x:c r="T568" s="9"/>
    </x:row>
    <x:row r="569" ht="14.25" customHeight="1">
      <x:c r="A569" s="1">
        <x:v>566.0</x:v>
      </x:c>
      <x:c r="B569" s="1">
        <x:v>13.0</x:v>
      </x:c>
      <x:c r="C569" s="1" t="s">
        <x:v>1424</x:v>
      </x:c>
      <x:c r="D569" s="1" t="s">
        <x:v>1136</x:v>
      </x:c>
      <x:c r="E569" s="1" t="s">
        <x:v>1425</x:v>
      </x:c>
      <x:c r="F569" s="1" t="s">
        <x:v>1067</x:v>
      </x:c>
      <x:c r="G569" s="1" t="s">
        <x:v>1067</x:v>
      </x:c>
      <x:c r="H569" s="1" t="s">
        <x:v>1067</x:v>
      </x:c>
      <x:c r="I569" s="1" t="s">
        <x:v>1067</x:v>
      </x:c>
      <x:c r="J569" s="1" t="s">
        <x:v>1067</x:v>
      </x:c>
      <x:c r="K569" s="1">
        <x:v>568.0</x:v>
      </x:c>
      <x:c r="L569" s="1" t="str">
        <x:f t="shared" si="1"/>
        <x:v>Noah Brown</x:v>
      </x:c>
      <x:c r="M569" s="127" t="n">
        <x:f>IFERROR(VLOOKUP(E569,RISK!A:B,2,FALSE()),"")</x:f>
        <x:v>3.7</x:v>
      </x:c>
      <x:c r="N569" s="118" t="str">
        <x:f t="shared" si="2"/>
        <x:v>#N/A</x:v>
      </x:c>
      <x:c r="Q569" s="9"/>
      <x:c r="R569" s="9"/>
      <x:c r="S569" s="9"/>
      <x:c r="T569" s="9"/>
    </x:row>
    <x:row r="570" ht="14.25" customHeight="1">
      <x:c r="A570" s="1">
        <x:v>567.0</x:v>
      </x:c>
      <x:c r="B570" s="1">
        <x:v>13.0</x:v>
      </x:c>
      <x:c r="C570" s="1" t="s">
        <x:v>1426</x:v>
      </x:c>
      <x:c r="D570" s="1" t="s">
        <x:v>493</x:v>
      </x:c>
      <x:c r="E570" s="1" t="s">
        <x:v>1427</x:v>
      </x:c>
      <x:c r="F570" s="1">
        <x:v>11.0</x:v>
      </x:c>
      <x:c r="G570" s="1" t="s">
        <x:v>1067</x:v>
      </x:c>
      <x:c r="H570" s="1" t="s">
        <x:v>1067</x:v>
      </x:c>
      <x:c r="I570" s="1" t="s">
        <x:v>1060</x:v>
      </x:c>
      <x:c r="J570" s="1" t="s">
        <x:v>1067</x:v>
      </x:c>
      <x:c r="K570" s="1">
        <x:v>569.0</x:v>
      </x:c>
      <x:c r="L570" s="1" t="str">
        <x:f t="shared" si="1"/>
        <x:v>JaMycal Hasty</x:v>
      </x:c>
      <x:c r="M570" s="127" t="n">
        <x:f>IFERROR(VLOOKUP(E570,RISK!A:B,2,FALSE()),"")</x:f>
        <x:v>3.368</x:v>
      </x:c>
      <x:c r="N570" s="118" t="str">
        <x:f t="shared" si="2"/>
        <x:v>#N/A</x:v>
      </x:c>
      <x:c r="Q570" s="9"/>
      <x:c r="R570" s="9"/>
      <x:c r="S570" s="9"/>
      <x:c r="T570" s="9"/>
    </x:row>
    <x:row r="571" ht="14.25" customHeight="1">
      <x:c r="A571" s="1">
        <x:v>568.0</x:v>
      </x:c>
      <x:c r="B571" s="1">
        <x:v>13.0</x:v>
      </x:c>
      <x:c r="C571" s="1" t="s">
        <x:v>1428</x:v>
      </x:c>
      <x:c r="D571" s="1" t="s">
        <x:v>527</x:v>
      </x:c>
      <x:c r="E571" s="1" t="s">
        <x:v>1429</x:v>
      </x:c>
      <x:c r="F571" s="1">
        <x:v>13.0</x:v>
      </x:c>
      <x:c r="G571" s="1" t="s">
        <x:v>1067</x:v>
      </x:c>
      <x:c r="H571" s="1" t="s">
        <x:v>1067</x:v>
      </x:c>
      <x:c r="I571" s="1" t="s">
        <x:v>1061</x:v>
      </x:c>
      <x:c r="J571" s="1" t="s">
        <x:v>1067</x:v>
      </x:c>
      <x:c r="K571" s="1">
        <x:v>570.0</x:v>
      </x:c>
      <x:c r="L571" s="1" t="str">
        <x:f t="shared" si="1"/>
        <x:v>Anderson Castle</x:v>
      </x:c>
      <x:c r="M571" s="127" t="str">
        <x:f>IFERROR(VLOOKUP(E571,RISK!A:B,2,FALSE()),"")</x:f>
      </x:c>
      <x:c r="N571" s="118" t="str">
        <x:f t="shared" si="2"/>
        <x:v>#N/A</x:v>
      </x:c>
      <x:c r="Q571" s="9"/>
      <x:c r="R571" s="9"/>
      <x:c r="S571" s="9"/>
      <x:c r="T571" s="9"/>
    </x:row>
    <x:row r="572" ht="14.25" customHeight="1">
      <x:c r="A572" s="1">
        <x:v>569.0</x:v>
      </x:c>
      <x:c r="B572" s="1">
        <x:v>13.0</x:v>
      </x:c>
      <x:c r="C572" s="1" t="s">
        <x:v>1430</x:v>
      </x:c>
      <x:c r="D572" s="1" t="s">
        <x:v>501</x:v>
      </x:c>
      <x:c r="E572" s="1" t="s">
        <x:v>1431</x:v>
      </x:c>
      <x:c r="F572" s="1">
        <x:v>8.0</x:v>
      </x:c>
      <x:c r="G572" s="1" t="s">
        <x:v>1067</x:v>
      </x:c>
      <x:c r="H572" s="1" t="s">
        <x:v>1067</x:v>
      </x:c>
      <x:c r="I572" s="1" t="s">
        <x:v>1060</x:v>
      </x:c>
      <x:c r="J572" s="1" t="s">
        <x:v>1067</x:v>
      </x:c>
      <x:c r="K572" s="1">
        <x:v>571.0</x:v>
      </x:c>
      <x:c r="L572" s="1" t="str">
        <x:f t="shared" si="1"/>
        <x:v>Dominic Zvada</x:v>
      </x:c>
      <x:c r="M572" s="127" t="str">
        <x:f>IFERROR(VLOOKUP(E572,RISK!A:B,2,FALSE()),"")</x:f>
      </x:c>
      <x:c r="N572" s="118" t="str">
        <x:f t="shared" si="2"/>
        <x:v>#N/A</x:v>
      </x:c>
      <x:c r="Q572" s="9"/>
      <x:c r="R572" s="9"/>
      <x:c r="S572" s="9"/>
      <x:c r="T572" s="9"/>
    </x:row>
    <x:row r="573" ht="14.25" customHeight="1">
      <x:c r="A573" s="1">
        <x:v>570.0</x:v>
      </x:c>
      <x:c r="B573" s="1">
        <x:v>13.0</x:v>
      </x:c>
      <x:c r="C573" s="1" t="s">
        <x:v>1432</x:v>
      </x:c>
      <x:c r="D573" s="1" t="s">
        <x:v>495</x:v>
      </x:c>
      <x:c r="E573" s="1" t="s">
        <x:v>1433</x:v>
      </x:c>
      <x:c r="F573" s="1">
        <x:v>7.0</x:v>
      </x:c>
      <x:c r="G573" s="1" t="s">
        <x:v>1067</x:v>
      </x:c>
      <x:c r="H573" s="1" t="s">
        <x:v>1067</x:v>
      </x:c>
      <x:c r="I573" s="1" t="s">
        <x:v>1061</x:v>
      </x:c>
      <x:c r="J573" s="1" t="s">
        <x:v>1067</x:v>
      </x:c>
      <x:c r="K573" s="1">
        <x:v>572.0</x:v>
      </x:c>
      <x:c r="L573" s="1" t="str">
        <x:f t="shared" si="1"/>
        <x:v>Craig Reynolds</x:v>
      </x:c>
      <x:c r="M573" s="127" t="str">
        <x:f>IFERROR(VLOOKUP(E573,RISK!A:B,2,FALSE()),"")</x:f>
      </x:c>
      <x:c r="N573" s="118" t="str">
        <x:f t="shared" si="2"/>
        <x:v>#N/A</x:v>
      </x:c>
      <x:c r="Q573" s="9"/>
      <x:c r="R573" s="9"/>
      <x:c r="S573" s="9"/>
      <x:c r="T573" s="9"/>
    </x:row>
    <x:row r="574" ht="14.25" customHeight="1">
      <x:c r="A574" s="1">
        <x:v>571.0</x:v>
      </x:c>
      <x:c r="B574" s="1">
        <x:v>13.0</x:v>
      </x:c>
      <x:c r="C574" s="1" t="s">
        <x:v>1434</x:v>
      </x:c>
      <x:c r="D574" s="1" t="s">
        <x:v>1136</x:v>
      </x:c>
      <x:c r="E574" s="1" t="s">
        <x:v>1435</x:v>
      </x:c>
      <x:c r="F574" s="1" t="s">
        <x:v>1067</x:v>
      </x:c>
      <x:c r="G574" s="1" t="s">
        <x:v>1067</x:v>
      </x:c>
      <x:c r="H574" s="1" t="s">
        <x:v>1067</x:v>
      </x:c>
      <x:c r="I574" s="1" t="s">
        <x:v>1067</x:v>
      </x:c>
      <x:c r="J574" s="1" t="s">
        <x:v>1067</x:v>
      </x:c>
      <x:c r="K574" s="1">
        <x:v>573.0</x:v>
      </x:c>
      <x:c r="L574" s="1" t="str">
        <x:f t="shared" si="1"/>
        <x:v>Kenny McIntosh</x:v>
      </x:c>
      <x:c r="M574" s="127" t="str">
        <x:f>IFERROR(VLOOKUP(E574,RISK!A:B,2,FALSE()),"")</x:f>
      </x:c>
      <x:c r="N574" s="118" t="str">
        <x:f t="shared" si="2"/>
        <x:v>#N/A</x:v>
      </x:c>
      <x:c r="Q574" s="9"/>
      <x:c r="R574" s="9"/>
      <x:c r="S574" s="9"/>
      <x:c r="T574" s="9"/>
    </x:row>
    <x:row r="575" ht="14.25" customHeight="1">
      <x:c r="A575" s="1">
        <x:v>572.0</x:v>
      </x:c>
      <x:c r="B575" s="1">
        <x:v>13.0</x:v>
      </x:c>
      <x:c r="C575" s="1" t="s">
        <x:v>1436</x:v>
      </x:c>
      <x:c r="D575" s="1" t="s">
        <x:v>525</x:v>
      </x:c>
      <x:c r="E575" s="1" t="s">
        <x:v>1437</x:v>
      </x:c>
      <x:c r="F575" s="1">
        <x:v>6.0</x:v>
      </x:c>
      <x:c r="G575" s="1" t="s">
        <x:v>1067</x:v>
      </x:c>
      <x:c r="H575" s="1" t="s">
        <x:v>1067</x:v>
      </x:c>
      <x:c r="I575" s="1" t="s">
        <x:v>1061</x:v>
      </x:c>
      <x:c r="J575" s="1" t="s">
        <x:v>1067</x:v>
      </x:c>
      <x:c r="K575" s="1">
        <x:v>574.0</x:v>
      </x:c>
      <x:c r="L575" s="1" t="str">
        <x:f t="shared" si="1"/>
        <x:v>Jermar Jefferson</x:v>
      </x:c>
      <x:c r="M575" s="127" t="str">
        <x:f>IFERROR(VLOOKUP(E575,RISK!A:B,2,FALSE()),"")</x:f>
      </x:c>
      <x:c r="N575" s="118" t="str">
        <x:f t="shared" si="2"/>
        <x:v>#N/A</x:v>
      </x:c>
      <x:c r="Q575" s="9"/>
      <x:c r="R575" s="9"/>
      <x:c r="S575" s="9"/>
      <x:c r="T575" s="9"/>
    </x:row>
    <x:row r="576" ht="14.25" customHeight="1">
      <x:c r="A576" s="1">
        <x:v>573.0</x:v>
      </x:c>
      <x:c r="B576" s="1">
        <x:v>13.0</x:v>
      </x:c>
      <x:c r="C576" s="1" t="s">
        <x:v>1043</x:v>
      </x:c>
      <x:c r="D576" s="1" t="s">
        <x:v>493</x:v>
      </x:c>
      <x:c r="E576" s="1" t="s">
        <x:v>476</x:v>
      </x:c>
      <x:c r="F576" s="1">
        <x:v>11.0</x:v>
      </x:c>
      <x:c r="G576" s="1" t="s">
        <x:v>1067</x:v>
      </x:c>
      <x:c r="H576" s="1" t="s">
        <x:v>1067</x:v>
      </x:c>
      <x:c r="I576" s="1" t="s">
        <x:v>1061</x:v>
      </x:c>
      <x:c r="J576" s="1" t="s">
        <x:v>1067</x:v>
      </x:c>
      <x:c r="K576" s="1">
        <x:v>575.0</x:v>
      </x:c>
      <x:c r="L576" s="1" t="str">
        <x:f t="shared" si="1"/>
        <x:v>Julian Hill</x:v>
      </x:c>
      <x:c r="M576" s="127" t="n">
        <x:f>IFERROR(VLOOKUP(E576,RISK!A:B,2,FALSE()),"")</x:f>
        <x:v>2.2775</x:v>
      </x:c>
      <x:c r="N576" s="118" t="str">
        <x:f t="shared" si="2"/>
        <x:v>#N/A</x:v>
      </x:c>
      <x:c r="Q576" s="9"/>
      <x:c r="R576" s="9"/>
      <x:c r="S576" s="9"/>
      <x:c r="T576" s="9"/>
    </x:row>
    <x:row r="577" ht="14.25" customHeight="1">
      <x:c r="A577" s="1">
        <x:v>574.0</x:v>
      </x:c>
      <x:c r="B577" s="1">
        <x:v>13.0</x:v>
      </x:c>
      <x:c r="C577" s="1" t="s">
        <x:v>1438</x:v>
      </x:c>
      <x:c r="D577" s="1" t="s">
        <x:v>501</x:v>
      </x:c>
      <x:c r="E577" s="1" t="s">
        <x:v>1439</x:v>
      </x:c>
      <x:c r="F577" s="1">
        <x:v>8.0</x:v>
      </x:c>
      <x:c r="G577" s="1" t="s">
        <x:v>1067</x:v>
      </x:c>
      <x:c r="H577" s="1" t="s">
        <x:v>1067</x:v>
      </x:c>
      <x:c r="I577" s="1" t="s">
        <x:v>1061</x:v>
      </x:c>
      <x:c r="J577" s="1" t="s">
        <x:v>1067</x:v>
      </x:c>
      <x:c r="K577" s="1">
        <x:v>576.0</x:v>
      </x:c>
      <x:c r="L577" s="1" t="str">
        <x:f t="shared" si="1"/>
        <x:v>Eric Gray</x:v>
      </x:c>
      <x:c r="M577" s="127" t="str">
        <x:f>IFERROR(VLOOKUP(E577,RISK!A:B,2,FALSE()),"")</x:f>
      </x:c>
      <x:c r="N577" s="118" t="str">
        <x:f t="shared" si="2"/>
        <x:v>#N/A</x:v>
      </x:c>
      <x:c r="Q577" s="9"/>
      <x:c r="R577" s="9"/>
      <x:c r="S577" s="9"/>
      <x:c r="T577" s="9"/>
    </x:row>
    <x:row r="578" ht="14.25" customHeight="1">
      <x:c r="A578" s="1">
        <x:v>575.0</x:v>
      </x:c>
      <x:c r="B578" s="1">
        <x:v>13.0</x:v>
      </x:c>
      <x:c r="C578" s="1" t="s">
        <x:v>579</x:v>
      </x:c>
      <x:c r="D578" s="1" t="s">
        <x:v>521</x:v>
      </x:c>
      <x:c r="E578" s="1" t="s">
        <x:v>1440</x:v>
      </x:c>
      <x:c r="F578" s="1">
        <x:v>8.0</x:v>
      </x:c>
      <x:c r="G578" s="1" t="s">
        <x:v>1067</x:v>
      </x:c>
      <x:c r="H578" s="1" t="s">
        <x:v>1067</x:v>
      </x:c>
      <x:c r="I578" s="1" t="s">
        <x:v>1064</x:v>
      </x:c>
      <x:c r="J578" s="1" t="s">
        <x:v>1067</x:v>
      </x:c>
      <x:c r="K578" s="1">
        <x:v>577.0</x:v>
      </x:c>
      <x:c r="L578" s="1" t="str">
        <x:f t="shared" si="1"/>
        <x:v>Spencer Rattler</x:v>
      </x:c>
      <x:c r="M578" s="127" t="n">
        <x:f>IFERROR(VLOOKUP(E578,RISK!A:B,2,FALSE()),"")</x:f>
        <x:v>3.2</x:v>
      </x:c>
      <x:c r="N578" s="118" t="str">
        <x:f t="shared" si="2"/>
        <x:v>#N/A</x:v>
      </x:c>
      <x:c r="Q578" s="9"/>
      <x:c r="R578" s="9"/>
      <x:c r="S578" s="9"/>
      <x:c r="T578" s="9"/>
    </x:row>
    <x:row r="579" ht="14.25" customHeight="1">
      <x:c r="A579" s="1">
        <x:v>576.0</x:v>
      </x:c>
      <x:c r="B579" s="1">
        <x:v>13.0</x:v>
      </x:c>
      <x:c r="C579" s="1" t="s">
        <x:v>1441</x:v>
      </x:c>
      <x:c r="D579" s="1" t="s">
        <x:v>1136</x:v>
      </x:c>
      <x:c r="E579" s="1" t="s">
        <x:v>1442</x:v>
      </x:c>
      <x:c r="F579" s="1" t="s">
        <x:v>1067</x:v>
      </x:c>
      <x:c r="G579" s="1" t="s">
        <x:v>1067</x:v>
      </x:c>
      <x:c r="H579" s="1" t="s">
        <x:v>1067</x:v>
      </x:c>
      <x:c r="I579" s="1" t="s">
        <x:v>1067</x:v>
      </x:c>
      <x:c r="J579" s="1" t="s">
        <x:v>1067</x:v>
      </x:c>
      <x:c r="K579" s="1">
        <x:v>578.0</x:v>
      </x:c>
      <x:c r="L579" s="1" t="str">
        <x:f t="shared" si="1"/>
        <x:v>Diontae Johnson</x:v>
      </x:c>
      <x:c r="M579" s="127" t="n">
        <x:f>IFERROR(VLOOKUP(E579,RISK!A:B,2,FALSE()),"")</x:f>
        <x:v>3.7</x:v>
      </x:c>
      <x:c r="N579" s="118" t="str">
        <x:f t="shared" si="2"/>
        <x:v>#N/A</x:v>
      </x:c>
      <x:c r="Q579" s="9"/>
      <x:c r="R579" s="9"/>
      <x:c r="S579" s="9"/>
      <x:c r="T579" s="9"/>
    </x:row>
    <x:row r="580" ht="14.25" customHeight="1">
      <x:c r="A580" s="1">
        <x:v>577.0</x:v>
      </x:c>
      <x:c r="B580" s="1">
        <x:v>13.0</x:v>
      </x:c>
      <x:c r="C580" s="1" t="s">
        <x:v>1443</x:v>
      </x:c>
      <x:c r="D580" s="1" t="s">
        <x:v>487</x:v>
      </x:c>
      <x:c r="E580" s="1" t="s">
        <x:v>1444</x:v>
      </x:c>
      <x:c r="F580" s="1">
        <x:v>7.0</x:v>
      </x:c>
      <x:c r="G580" s="1" t="s">
        <x:v>1067</x:v>
      </x:c>
      <x:c r="H580" s="1" t="s">
        <x:v>1067</x:v>
      </x:c>
      <x:c r="I580" s="1" t="s">
        <x:v>1061</x:v>
      </x:c>
      <x:c r="J580" s="1" t="s">
        <x:v>1067</x:v>
      </x:c>
      <x:c r="K580" s="1">
        <x:v>579.0</x:v>
      </x:c>
      <x:c r="L580" s="1" t="str">
        <x:f t="shared" si="1"/>
        <x:v>Mecole Hardman Jr.</x:v>
      </x:c>
      <x:c r="M580" s="127" t="n">
        <x:f>IFERROR(VLOOKUP(E580,RISK!A:B,2,FALSE()),"")</x:f>
        <x:v>3.7</x:v>
      </x:c>
      <x:c r="N580" s="118" t="str">
        <x:f t="shared" si="2"/>
        <x:v>#N/A</x:v>
      </x:c>
      <x:c r="Q580" s="9"/>
      <x:c r="R580" s="9"/>
      <x:c r="S580" s="9"/>
      <x:c r="T580" s="9"/>
    </x:row>
    <x:row r="581" ht="14.25" customHeight="1">
      <x:c r="A581" s="1">
        <x:v>578.0</x:v>
      </x:c>
      <x:c r="B581" s="1">
        <x:v>13.0</x:v>
      </x:c>
      <x:c r="C581" s="1" t="s">
        <x:v>1445</x:v>
      </x:c>
      <x:c r="D581" s="1" t="s">
        <x:v>1136</x:v>
      </x:c>
      <x:c r="E581" s="1" t="s">
        <x:v>1446</x:v>
      </x:c>
      <x:c r="F581" s="1" t="s">
        <x:v>1067</x:v>
      </x:c>
      <x:c r="G581" s="1" t="s">
        <x:v>1067</x:v>
      </x:c>
      <x:c r="H581" s="1" t="s">
        <x:v>1067</x:v>
      </x:c>
      <x:c r="I581" s="1" t="s">
        <x:v>1067</x:v>
      </x:c>
      <x:c r="J581" s="1" t="s">
        <x:v>1067</x:v>
      </x:c>
      <x:c r="K581" s="1">
        <x:v>580.0</x:v>
      </x:c>
      <x:c r="L581" s="1" t="str">
        <x:f t="shared" si="1"/>
        <x:v>Curtis Samuel</x:v>
      </x:c>
      <x:c r="M581" s="127" t="n">
        <x:f>IFERROR(VLOOKUP(E581,RISK!A:B,2,FALSE()),"")</x:f>
        <x:v>3.7</x:v>
      </x:c>
      <x:c r="N581" s="118" t="str">
        <x:f t="shared" si="2"/>
        <x:v>#N/A</x:v>
      </x:c>
      <x:c r="Q581" s="9"/>
      <x:c r="R581" s="9"/>
      <x:c r="S581" s="9"/>
      <x:c r="T581" s="9"/>
    </x:row>
    <x:row r="582" ht="14.25" customHeight="1">
      <x:c r="A582" s="1">
        <x:v>579.0</x:v>
      </x:c>
      <x:c r="B582" s="1">
        <x:v>13.0</x:v>
      </x:c>
      <x:c r="C582" s="1" t="s">
        <x:v>1447</x:v>
      </x:c>
      <x:c r="D582" s="1" t="s">
        <x:v>551</x:v>
      </x:c>
      <x:c r="E582" s="1" t="s">
        <x:v>1448</x:v>
      </x:c>
      <x:c r="F582" s="1">
        <x:v>11.0</x:v>
      </x:c>
      <x:c r="G582" s="1" t="s">
        <x:v>1067</x:v>
      </x:c>
      <x:c r="H582" s="1" t="s">
        <x:v>1067</x:v>
      </x:c>
      <x:c r="I582" s="1" t="s">
        <x:v>1064</x:v>
      </x:c>
      <x:c r="J582" s="1" t="s">
        <x:v>1067</x:v>
      </x:c>
      <x:c r="K582" s="1">
        <x:v>581.0</x:v>
      </x:c>
      <x:c r="L582" s="1" t="str">
        <x:f t="shared" si="1"/>
        <x:v>Vinny Anthony II</x:v>
      </x:c>
      <x:c r="M582" s="127" t="n">
        <x:f>IFERROR(VLOOKUP(E582,RISK!A:B,2,FALSE()),"")</x:f>
        <x:v>3.7</x:v>
      </x:c>
      <x:c r="N582" s="118" t="str">
        <x:f t="shared" si="2"/>
        <x:v>#N/A</x:v>
      </x:c>
      <x:c r="Q582" s="9"/>
      <x:c r="R582" s="9"/>
      <x:c r="S582" s="9"/>
      <x:c r="T582" s="9"/>
    </x:row>
    <x:row r="583" ht="14.25" customHeight="1">
      <x:c r="A583" s="1">
        <x:v>580.0</x:v>
      </x:c>
      <x:c r="B583" s="1">
        <x:v>13.0</x:v>
      </x:c>
      <x:c r="C583" s="1" t="s">
        <x:v>1449</x:v>
      </x:c>
      <x:c r="D583" s="1" t="s">
        <x:v>527</x:v>
      </x:c>
      <x:c r="E583" s="1" t="s">
        <x:v>1450</x:v>
      </x:c>
      <x:c r="F583" s="1">
        <x:v>13.0</x:v>
      </x:c>
      <x:c r="G583" s="1" t="s">
        <x:v>1067</x:v>
      </x:c>
      <x:c r="H583" s="1" t="s">
        <x:v>1067</x:v>
      </x:c>
      <x:c r="I583" s="1" t="s">
        <x:v>1061</x:v>
      </x:c>
      <x:c r="J583" s="1" t="s">
        <x:v>1067</x:v>
      </x:c>
      <x:c r="K583" s="1">
        <x:v>582.0</x:v>
      </x:c>
      <x:c r="L583" s="1" t="str">
        <x:f t="shared" si="1"/>
        <x:v>Coleman Owen</x:v>
      </x:c>
      <x:c r="M583" s="127" t="n">
        <x:f>IFERROR(VLOOKUP(E583,RISK!A:B,2,FALSE()),"")</x:f>
        <x:v>3.7</x:v>
      </x:c>
      <x:c r="N583" s="118" t="str">
        <x:f t="shared" si="2"/>
        <x:v>#N/A</x:v>
      </x:c>
      <x:c r="Q583" s="9"/>
      <x:c r="R583" s="9"/>
      <x:c r="S583" s="9"/>
      <x:c r="T583" s="9"/>
    </x:row>
    <x:row r="584" ht="14.25" customHeight="1">
      <x:c r="A584" s="1">
        <x:v>581.0</x:v>
      </x:c>
      <x:c r="B584" s="1">
        <x:v>13.0</x:v>
      </x:c>
      <x:c r="C584" s="1" t="s">
        <x:v>588</x:v>
      </x:c>
      <x:c r="D584" s="1" t="s">
        <x:v>545</x:v>
      </x:c>
      <x:c r="E584" s="1" t="s">
        <x:v>1451</x:v>
      </x:c>
      <x:c r="F584" s="1">
        <x:v>9.0</x:v>
      </x:c>
      <x:c r="G584" s="1" t="s">
        <x:v>1067</x:v>
      </x:c>
      <x:c r="H584" s="1" t="s">
        <x:v>1067</x:v>
      </x:c>
      <x:c r="I584" s="1" t="s">
        <x:v>1060</x:v>
      </x:c>
      <x:c r="J584" s="1" t="s">
        <x:v>1067</x:v>
      </x:c>
      <x:c r="K584" s="1">
        <x:v>583.0</x:v>
      </x:c>
      <x:c r="L584" s="1" t="str">
        <x:f t="shared" si="1"/>
        <x:v>Drew Allar</x:v>
      </x:c>
      <x:c r="M584" s="127" t="n">
        <x:f>IFERROR(VLOOKUP(E584,RISK!A:B,2,FALSE()),"")</x:f>
        <x:v>3.2</x:v>
      </x:c>
      <x:c r="N584" s="118" t="str">
        <x:f t="shared" si="2"/>
        <x:v>#N/A</x:v>
      </x:c>
      <x:c r="Q584" s="9"/>
      <x:c r="R584" s="9"/>
      <x:c r="S584" s="9"/>
      <x:c r="T584" s="9"/>
    </x:row>
    <x:row r="585" ht="14.25" customHeight="1">
      <x:c r="A585" s="1">
        <x:v>582.0</x:v>
      </x:c>
      <x:c r="B585" s="1">
        <x:v>13.0</x:v>
      </x:c>
      <x:c r="C585" s="1" t="s">
        <x:v>1452</x:v>
      </x:c>
      <x:c r="D585" s="1" t="s">
        <x:v>1136</x:v>
      </x:c>
      <x:c r="E585" s="1" t="s">
        <x:v>1453</x:v>
      </x:c>
      <x:c r="F585" s="1" t="s">
        <x:v>1067</x:v>
      </x:c>
      <x:c r="G585" s="1" t="s">
        <x:v>1067</x:v>
      </x:c>
      <x:c r="H585" s="1" t="s">
        <x:v>1067</x:v>
      </x:c>
      <x:c r="I585" s="1" t="s">
        <x:v>1067</x:v>
      </x:c>
      <x:c r="J585" s="1" t="s">
        <x:v>1067</x:v>
      </x:c>
      <x:c r="K585" s="1">
        <x:v>584.0</x:v>
      </x:c>
      <x:c r="L585" s="1" t="str">
        <x:f t="shared" si="1"/>
        <x:v>Tahj Washington</x:v>
      </x:c>
      <x:c r="M585" s="127" t="n">
        <x:f>IFERROR(VLOOKUP(E585,RISK!A:B,2,FALSE()),"")</x:f>
        <x:v>3.7</x:v>
      </x:c>
      <x:c r="N585" s="118" t="str">
        <x:f t="shared" si="2"/>
        <x:v>#N/A</x:v>
      </x:c>
      <x:c r="Q585" s="9"/>
      <x:c r="R585" s="9"/>
      <x:c r="S585" s="9"/>
      <x:c r="T585" s="9"/>
    </x:row>
    <x:row r="586" ht="14.25" customHeight="1">
      <x:c r="A586" s="1">
        <x:v>583.0</x:v>
      </x:c>
      <x:c r="B586" s="1">
        <x:v>13.0</x:v>
      </x:c>
      <x:c r="C586" s="1" t="s">
        <x:v>1454</x:v>
      </x:c>
      <x:c r="D586" s="1" t="s">
        <x:v>535</x:v>
      </x:c>
      <x:c r="E586" s="1" t="s">
        <x:v>1455</x:v>
      </x:c>
      <x:c r="F586" s="1">
        <x:v>8.0</x:v>
      </x:c>
      <x:c r="G586" s="1" t="s">
        <x:v>1067</x:v>
      </x:c>
      <x:c r="H586" s="1" t="s">
        <x:v>1067</x:v>
      </x:c>
      <x:c r="I586" s="1" t="s">
        <x:v>1064</x:v>
      </x:c>
      <x:c r="J586" s="1" t="s">
        <x:v>1067</x:v>
      </x:c>
      <x:c r="K586" s="1">
        <x:v>585.0</x:v>
      </x:c>
      <x:c r="L586" s="1" t="str">
        <x:f t="shared" si="1"/>
        <x:v>Jared Wayne</x:v>
      </x:c>
      <x:c r="M586" s="127" t="n">
        <x:f>IFERROR(VLOOKUP(E586,RISK!A:B,2,FALSE()),"")</x:f>
        <x:v>3.7</x:v>
      </x:c>
      <x:c r="N586" s="118" t="str">
        <x:f t="shared" si="2"/>
        <x:v>#N/A</x:v>
      </x:c>
      <x:c r="Q586" s="9"/>
      <x:c r="R586" s="9"/>
      <x:c r="S586" s="9"/>
      <x:c r="T586" s="9"/>
    </x:row>
    <x:row r="587" ht="14.25" customHeight="1">
      <x:c r="A587" s="1">
        <x:v>584.0</x:v>
      </x:c>
      <x:c r="B587" s="1">
        <x:v>13.0</x:v>
      </x:c>
      <x:c r="C587" s="1" t="s">
        <x:v>1456</x:v>
      </x:c>
      <x:c r="D587" s="1" t="s">
        <x:v>1136</x:v>
      </x:c>
      <x:c r="E587" s="1" t="s">
        <x:v>1457</x:v>
      </x:c>
      <x:c r="F587" s="1" t="s">
        <x:v>1067</x:v>
      </x:c>
      <x:c r="G587" s="1" t="s">
        <x:v>1067</x:v>
      </x:c>
      <x:c r="H587" s="1" t="s">
        <x:v>1067</x:v>
      </x:c>
      <x:c r="I587" s="1" t="s">
        <x:v>1067</x:v>
      </x:c>
      <x:c r="J587" s="1" t="s">
        <x:v>1067</x:v>
      </x:c>
      <x:c r="K587" s="1">
        <x:v>586.0</x:v>
      </x:c>
      <x:c r="L587" s="1" t="str">
        <x:f t="shared" si="1"/>
        <x:v>JuJu Smith-Schuster</x:v>
      </x:c>
      <x:c r="M587" s="127" t="n">
        <x:f>IFERROR(VLOOKUP(E587,RISK!A:B,2,FALSE()),"")</x:f>
        <x:v>3.7</x:v>
      </x:c>
      <x:c r="N587" s="118" t="str">
        <x:f t="shared" si="2"/>
        <x:v>#N/A</x:v>
      </x:c>
      <x:c r="Q587" s="9"/>
      <x:c r="R587" s="9"/>
      <x:c r="S587" s="9"/>
      <x:c r="T587" s="9"/>
    </x:row>
    <x:row r="588" ht="14.25" customHeight="1">
      <x:c r="A588" s="1">
        <x:v>585.0</x:v>
      </x:c>
      <x:c r="B588" s="1">
        <x:v>13.0</x:v>
      </x:c>
      <x:c r="C588" s="1" t="s">
        <x:v>1458</x:v>
      </x:c>
      <x:c r="D588" s="1" t="s">
        <x:v>531</x:v>
      </x:c>
      <x:c r="E588" s="1" t="s">
        <x:v>1459</x:v>
      </x:c>
      <x:c r="F588" s="1">
        <x:v>11.0</x:v>
      </x:c>
      <x:c r="G588" s="1" t="s">
        <x:v>1067</x:v>
      </x:c>
      <x:c r="H588" s="1" t="s">
        <x:v>1067</x:v>
      </x:c>
      <x:c r="I588" s="1" t="s">
        <x:v>1059</x:v>
      </x:c>
      <x:c r="J588" s="1" t="s">
        <x:v>1067</x:v>
      </x:c>
      <x:c r="K588" s="1">
        <x:v>587.0</x:v>
      </x:c>
      <x:c r="L588" s="1" t="str">
        <x:f t="shared" si="1"/>
        <x:v>J. Michael Sturdivant</x:v>
      </x:c>
      <x:c r="M588" s="127" t="n">
        <x:f>IFERROR(VLOOKUP(E588,RISK!A:B,2,FALSE()),"")</x:f>
        <x:v>3.7</x:v>
      </x:c>
      <x:c r="N588" s="118" t="str">
        <x:f t="shared" si="2"/>
        <x:v>#N/A</x:v>
      </x:c>
      <x:c r="Q588" s="9"/>
      <x:c r="R588" s="9"/>
      <x:c r="S588" s="9"/>
      <x:c r="T588" s="9"/>
    </x:row>
    <x:row r="589" ht="14.25" customHeight="1">
      <x:c r="A589" s="1">
        <x:v>586.0</x:v>
      </x:c>
      <x:c r="B589" s="1">
        <x:v>13.0</x:v>
      </x:c>
      <x:c r="C589" s="1" t="s">
        <x:v>1460</x:v>
      </x:c>
      <x:c r="D589" s="1" t="s">
        <x:v>533</x:v>
      </x:c>
      <x:c r="E589" s="1" t="s">
        <x:v>1461</x:v>
      </x:c>
      <x:c r="F589" s="1">
        <x:v>11.0</x:v>
      </x:c>
      <x:c r="G589" s="1" t="s">
        <x:v>1067</x:v>
      </x:c>
      <x:c r="H589" s="1" t="s">
        <x:v>1067</x:v>
      </x:c>
      <x:c r="I589" s="1" t="s">
        <x:v>1064</x:v>
      </x:c>
      <x:c r="J589" s="1" t="s">
        <x:v>1067</x:v>
      </x:c>
      <x:c r="K589" s="1">
        <x:v>588.0</x:v>
      </x:c>
      <x:c r="L589" s="1" t="str">
        <x:f t="shared" si="1"/>
        <x:v>Velus Jones Jr.</x:v>
      </x:c>
      <x:c r="M589" s="127" t="n">
        <x:f>IFERROR(VLOOKUP(E589,RISK!A:B,2,FALSE()),"")</x:f>
        <x:v>3.7</x:v>
      </x:c>
      <x:c r="N589" s="118" t="str">
        <x:f t="shared" si="2"/>
        <x:v>#N/A</x:v>
      </x:c>
      <x:c r="Q589" s="9"/>
      <x:c r="R589" s="9"/>
      <x:c r="S589" s="9"/>
      <x:c r="T589" s="9"/>
    </x:row>
    <x:row r="590" ht="14.25" customHeight="1">
      <x:c r="A590" s="1">
        <x:v>587.0</x:v>
      </x:c>
      <x:c r="B590" s="1">
        <x:v>13.0</x:v>
      </x:c>
      <x:c r="C590" s="1" t="s">
        <x:v>722</x:v>
      </x:c>
      <x:c r="D590" s="1" t="s">
        <x:v>505</x:v>
      </x:c>
      <x:c r="E590" s="1" t="s">
        <x:v>1462</x:v>
      </x:c>
      <x:c r="F590" s="1">
        <x:v>7.0</x:v>
      </x:c>
      <x:c r="G590" s="1" t="s">
        <x:v>1067</x:v>
      </x:c>
      <x:c r="H590" s="1" t="s">
        <x:v>1067</x:v>
      </x:c>
      <x:c r="I590" s="1" t="s">
        <x:v>1061</x:v>
      </x:c>
      <x:c r="J590" s="1" t="s">
        <x:v>1067</x:v>
      </x:c>
      <x:c r="K590" s="1">
        <x:v>589.0</x:v>
      </x:c>
      <x:c r="L590" s="1" t="str">
        <x:f t="shared" si="1"/>
        <x:v>DeeJay Dallas</x:v>
      </x:c>
      <x:c r="M590" s="127" t="str">
        <x:f>IFERROR(VLOOKUP(E590,RISK!A:B,2,FALSE()),"")</x:f>
      </x:c>
      <x:c r="N590" s="118" t="str">
        <x:f t="shared" si="2"/>
        <x:v>#N/A</x:v>
      </x:c>
      <x:c r="Q590" s="9"/>
      <x:c r="R590" s="9"/>
      <x:c r="S590" s="9"/>
      <x:c r="T590" s="9"/>
    </x:row>
    <x:row r="591" ht="14.25" customHeight="1">
      <x:c r="A591" s="1">
        <x:v>588.0</x:v>
      </x:c>
      <x:c r="B591" s="1">
        <x:v>13.0</x:v>
      </x:c>
      <x:c r="C591" s="1" t="s">
        <x:v>1463</x:v>
      </x:c>
      <x:c r="D591" s="1" t="s">
        <x:v>533</x:v>
      </x:c>
      <x:c r="E591" s="1" t="s">
        <x:v>1464</x:v>
      </x:c>
      <x:c r="F591" s="1">
        <x:v>11.0</x:v>
      </x:c>
      <x:c r="G591" s="1" t="s">
        <x:v>1067</x:v>
      </x:c>
      <x:c r="H591" s="1" t="s">
        <x:v>1067</x:v>
      </x:c>
      <x:c r="I591" s="1" t="s">
        <x:v>1064</x:v>
      </x:c>
      <x:c r="J591" s="1" t="s">
        <x:v>1067</x:v>
      </x:c>
      <x:c r="K591" s="1">
        <x:v>590.0</x:v>
      </x:c>
      <x:c r="L591" s="1" t="str">
        <x:f t="shared" si="1"/>
        <x:v>Montorie Foster Jr.</x:v>
      </x:c>
      <x:c r="M591" s="127" t="n">
        <x:f>IFERROR(VLOOKUP(E591,RISK!A:B,2,FALSE()),"")</x:f>
        <x:v>3.7</x:v>
      </x:c>
      <x:c r="N591" s="118" t="str">
        <x:f t="shared" si="2"/>
        <x:v>#N/A</x:v>
      </x:c>
      <x:c r="Q591" s="9"/>
      <x:c r="R591" s="9"/>
      <x:c r="S591" s="9"/>
      <x:c r="T591" s="9"/>
    </x:row>
    <x:row r="592" ht="14.25" customHeight="1">
      <x:c r="A592" s="1">
        <x:v>589.0</x:v>
      </x:c>
      <x:c r="B592" s="1">
        <x:v>13.0</x:v>
      </x:c>
      <x:c r="C592" s="1" t="s">
        <x:v>1465</x:v>
      </x:c>
      <x:c r="D592" s="1" t="s">
        <x:v>537</x:v>
      </x:c>
      <x:c r="E592" s="1" t="s">
        <x:v>1466</x:v>
      </x:c>
      <x:c r="F592" s="1">
        <x:v>5.0</x:v>
      </x:c>
      <x:c r="G592" s="1" t="s">
        <x:v>1067</x:v>
      </x:c>
      <x:c r="H592" s="1" t="s">
        <x:v>1067</x:v>
      </x:c>
      <x:c r="I592" s="1" t="s">
        <x:v>1060</x:v>
      </x:c>
      <x:c r="J592" s="1" t="s">
        <x:v>1067</x:v>
      </x:c>
      <x:c r="K592" s="1">
        <x:v>591.0</x:v>
      </x:c>
      <x:c r="L592" s="1" t="str">
        <x:f t="shared" si="1"/>
        <x:v>Casey Washington</x:v>
      </x:c>
      <x:c r="M592" s="127" t="n">
        <x:f>IFERROR(VLOOKUP(E592,RISK!A:B,2,FALSE()),"")</x:f>
        <x:v>3.7</x:v>
      </x:c>
      <x:c r="N592" s="118" t="str">
        <x:f t="shared" si="2"/>
        <x:v>#N/A</x:v>
      </x:c>
      <x:c r="Q592" s="9"/>
      <x:c r="R592" s="9"/>
      <x:c r="S592" s="9"/>
      <x:c r="T592" s="9"/>
    </x:row>
    <x:row r="593" ht="14.25" customHeight="1">
      <x:c r="A593" s="1">
        <x:v>590.0</x:v>
      </x:c>
      <x:c r="B593" s="1">
        <x:v>13.0</x:v>
      </x:c>
      <x:c r="C593" s="1" t="s">
        <x:v>1467</x:v>
      </x:c>
      <x:c r="D593" s="1" t="s">
        <x:v>511</x:v>
      </x:c>
      <x:c r="E593" s="1" t="s">
        <x:v>1468</x:v>
      </x:c>
      <x:c r="F593" s="1">
        <x:v>10.0</x:v>
      </x:c>
      <x:c r="G593" s="1" t="s">
        <x:v>1067</x:v>
      </x:c>
      <x:c r="H593" s="1" t="s">
        <x:v>1067</x:v>
      </x:c>
      <x:c r="I593" s="1" t="s">
        <x:v>1064</x:v>
      </x:c>
      <x:c r="J593" s="1" t="s">
        <x:v>1067</x:v>
      </x:c>
      <x:c r="K593" s="1">
        <x:v>592.0</x:v>
      </x:c>
      <x:c r="L593" s="1" t="str">
        <x:f t="shared" si="1"/>
        <x:v>Maurice Alexander</x:v>
      </x:c>
      <x:c r="M593" s="127" t="n">
        <x:f>IFERROR(VLOOKUP(E593,RISK!A:B,2,FALSE()),"")</x:f>
        <x:v>3.7</x:v>
      </x:c>
      <x:c r="N593" s="118" t="str">
        <x:f t="shared" si="2"/>
        <x:v>#N/A</x:v>
      </x:c>
      <x:c r="Q593" s="9"/>
      <x:c r="R593" s="9"/>
      <x:c r="S593" s="9"/>
      <x:c r="T593" s="9"/>
    </x:row>
    <x:row r="594" ht="14.25" customHeight="1">
      <x:c r="A594" s="1">
        <x:v>591.0</x:v>
      </x:c>
      <x:c r="B594" s="1">
        <x:v>13.0</x:v>
      </x:c>
      <x:c r="C594" s="1" t="s">
        <x:v>881</x:v>
      </x:c>
      <x:c r="D594" s="1" t="s">
        <x:v>521</x:v>
      </x:c>
      <x:c r="E594" s="1" t="s">
        <x:v>1469</x:v>
      </x:c>
      <x:c r="F594" s="1">
        <x:v>8.0</x:v>
      </x:c>
      <x:c r="G594" s="1" t="s">
        <x:v>1067</x:v>
      </x:c>
      <x:c r="H594" s="1" t="s">
        <x:v>1067</x:v>
      </x:c>
      <x:c r="I594" s="1" t="s">
        <x:v>1064</x:v>
      </x:c>
      <x:c r="J594" s="1" t="s">
        <x:v>1067</x:v>
      </x:c>
      <x:c r="K594" s="1">
        <x:v>593.0</x:v>
      </x:c>
      <x:c r="L594" s="1" t="str">
        <x:f t="shared" si="1"/>
        <x:v>Mason Tipton</x:v>
      </x:c>
      <x:c r="M594" s="127" t="n">
        <x:f>IFERROR(VLOOKUP(E594,RISK!A:B,2,FALSE()),"")</x:f>
        <x:v>3.7</x:v>
      </x:c>
      <x:c r="N594" s="118" t="str">
        <x:f t="shared" si="2"/>
        <x:v>#N/A</x:v>
      </x:c>
      <x:c r="Q594" s="9"/>
      <x:c r="R594" s="9"/>
      <x:c r="S594" s="9"/>
      <x:c r="T594" s="9"/>
    </x:row>
    <x:row r="595" ht="14.25" customHeight="1">
      <x:c r="A595" s="1">
        <x:v>592.0</x:v>
      </x:c>
      <x:c r="B595" s="1">
        <x:v>13.0</x:v>
      </x:c>
      <x:c r="C595" s="1" t="s">
        <x:v>1470</x:v>
      </x:c>
      <x:c r="D595" s="1" t="s">
        <x:v>531</x:v>
      </x:c>
      <x:c r="E595" s="1" t="s">
        <x:v>1471</x:v>
      </x:c>
      <x:c r="F595" s="1">
        <x:v>11.0</x:v>
      </x:c>
      <x:c r="G595" s="1" t="s">
        <x:v>1067</x:v>
      </x:c>
      <x:c r="H595" s="1" t="s">
        <x:v>1067</x:v>
      </x:c>
      <x:c r="I595" s="1" t="s">
        <x:v>1061</x:v>
      </x:c>
      <x:c r="J595" s="1" t="s">
        <x:v>1067</x:v>
      </x:c>
      <x:c r="K595" s="1">
        <x:v>594.0</x:v>
      </x:c>
      <x:c r="L595" s="1" t="str">
        <x:f t="shared" si="1"/>
        <x:v>Pierre Strong Jr.</x:v>
      </x:c>
      <x:c r="M595" s="127" t="str">
        <x:f>IFERROR(VLOOKUP(E595,RISK!A:B,2,FALSE()),"")</x:f>
      </x:c>
      <x:c r="N595" s="118" t="str">
        <x:f t="shared" si="2"/>
        <x:v>#N/A</x:v>
      </x:c>
      <x:c r="Q595" s="9"/>
      <x:c r="R595" s="9"/>
      <x:c r="S595" s="9"/>
      <x:c r="T595" s="9"/>
    </x:row>
    <x:row r="596" ht="14.25" customHeight="1">
      <x:c r="A596" s="1">
        <x:v>593.0</x:v>
      </x:c>
      <x:c r="B596" s="1">
        <x:v>13.0</x:v>
      </x:c>
      <x:c r="C596" s="1" t="s">
        <x:v>1472</x:v>
      </x:c>
      <x:c r="D596" s="1" t="s">
        <x:v>487</x:v>
      </x:c>
      <x:c r="E596" s="1" t="s">
        <x:v>1473</x:v>
      </x:c>
      <x:c r="F596" s="1">
        <x:v>7.0</x:v>
      </x:c>
      <x:c r="G596" s="1" t="s">
        <x:v>1067</x:v>
      </x:c>
      <x:c r="H596" s="1" t="s">
        <x:v>1067</x:v>
      </x:c>
      <x:c r="I596" s="1" t="s">
        <x:v>1061</x:v>
      </x:c>
      <x:c r="J596" s="1" t="s">
        <x:v>1067</x:v>
      </x:c>
      <x:c r="K596" s="1">
        <x:v>595.0</x:v>
      </x:c>
      <x:c r="L596" s="1" t="str">
        <x:f t="shared" si="1"/>
        <x:v>Quentin Skinner</x:v>
      </x:c>
      <x:c r="M596" s="127" t="n">
        <x:f>IFERROR(VLOOKUP(E596,RISK!A:B,2,FALSE()),"")</x:f>
        <x:v>3.7</x:v>
      </x:c>
      <x:c r="N596" s="118" t="str">
        <x:f t="shared" si="2"/>
        <x:v>#N/A</x:v>
      </x:c>
      <x:c r="Q596" s="9"/>
      <x:c r="R596" s="9"/>
      <x:c r="S596" s="9"/>
      <x:c r="T596" s="9"/>
    </x:row>
    <x:row r="597" ht="14.25" customHeight="1">
      <x:c r="A597" s="1">
        <x:v>594.0</x:v>
      </x:c>
      <x:c r="B597" s="1">
        <x:v>13.0</x:v>
      </x:c>
      <x:c r="C597" s="1" t="s">
        <x:v>923</x:v>
      </x:c>
      <x:c r="D597" s="1" t="s">
        <x:v>505</x:v>
      </x:c>
      <x:c r="E597" s="1" t="s">
        <x:v>1474</x:v>
      </x:c>
      <x:c r="F597" s="1">
        <x:v>7.0</x:v>
      </x:c>
      <x:c r="G597" s="1" t="s">
        <x:v>1067</x:v>
      </x:c>
      <x:c r="H597" s="1" t="s">
        <x:v>1067</x:v>
      </x:c>
      <x:c r="I597" s="1" t="s">
        <x:v>1061</x:v>
      </x:c>
      <x:c r="J597" s="1" t="s">
        <x:v>1067</x:v>
      </x:c>
      <x:c r="K597" s="1">
        <x:v>596.0</x:v>
      </x:c>
      <x:c r="L597" s="1" t="str">
        <x:f t="shared" si="1"/>
        <x:v>Josh Cameron</x:v>
      </x:c>
      <x:c r="M597" s="127" t="n">
        <x:f>IFERROR(VLOOKUP(E597,RISK!A:B,2,FALSE()),"")</x:f>
        <x:v>3.7</x:v>
      </x:c>
      <x:c r="N597" s="118" t="str">
        <x:f t="shared" si="2"/>
        <x:v>#N/A</x:v>
      </x:c>
      <x:c r="Q597" s="9"/>
      <x:c r="R597" s="9"/>
      <x:c r="S597" s="9"/>
      <x:c r="T597" s="9"/>
    </x:row>
    <x:row r="598" ht="14.25" customHeight="1">
      <x:c r="A598" s="1">
        <x:v>595.0</x:v>
      </x:c>
      <x:c r="B598" s="1">
        <x:v>13.0</x:v>
      </x:c>
      <x:c r="C598" s="1" t="s">
        <x:v>1011</x:v>
      </x:c>
      <x:c r="D598" s="1" t="s">
        <x:v>531</x:v>
      </x:c>
      <x:c r="E598" s="1" t="s">
        <x:v>1475</x:v>
      </x:c>
      <x:c r="F598" s="1">
        <x:v>11.0</x:v>
      </x:c>
      <x:c r="G598" s="1" t="s">
        <x:v>1067</x:v>
      </x:c>
      <x:c r="H598" s="1" t="s">
        <x:v>1067</x:v>
      </x:c>
      <x:c r="I598" s="1" t="s">
        <x:v>1060</x:v>
      </x:c>
      <x:c r="J598" s="1" t="s">
        <x:v>1067</x:v>
      </x:c>
      <x:c r="K598" s="1">
        <x:v>597.0</x:v>
      </x:c>
      <x:c r="L598" s="1" t="str">
        <x:f t="shared" si="1"/>
        <x:v>Drake Dabney</x:v>
      </x:c>
      <x:c r="M598" s="127" t="n">
        <x:f>IFERROR(VLOOKUP(E598,RISK!A:B,2,FALSE()),"")</x:f>
        <x:v>2.2775</x:v>
      </x:c>
      <x:c r="N598" s="118" t="str">
        <x:f t="shared" si="2"/>
        <x:v>#N/A</x:v>
      </x:c>
      <x:c r="Q598" s="9"/>
      <x:c r="R598" s="9"/>
      <x:c r="S598" s="9"/>
      <x:c r="T598" s="9"/>
    </x:row>
    <x:row r="599" ht="14.25" customHeight="1">
      <x:c r="A599" s="1">
        <x:v>596.0</x:v>
      </x:c>
      <x:c r="B599" s="1">
        <x:v>13.0</x:v>
      </x:c>
      <x:c r="C599" s="1" t="s">
        <x:v>810</x:v>
      </x:c>
      <x:c r="D599" s="1" t="s">
        <x:v>521</x:v>
      </x:c>
      <x:c r="E599" s="1" t="s">
        <x:v>1476</x:v>
      </x:c>
      <x:c r="F599" s="1">
        <x:v>8.0</x:v>
      </x:c>
      <x:c r="G599" s="1" t="s">
        <x:v>1067</x:v>
      </x:c>
      <x:c r="H599" s="1" t="s">
        <x:v>1067</x:v>
      </x:c>
      <x:c r="I599" s="1" t="s">
        <x:v>1064</x:v>
      </x:c>
      <x:c r="J599" s="1" t="s">
        <x:v>1067</x:v>
      </x:c>
      <x:c r="K599" s="1">
        <x:v>598.0</x:v>
      </x:c>
      <x:c r="L599" s="1" t="str">
        <x:f t="shared" si="1"/>
        <x:v>Bub Means</x:v>
      </x:c>
      <x:c r="M599" s="127" t="n">
        <x:f>IFERROR(VLOOKUP(E599,RISK!A:B,2,FALSE()),"")</x:f>
        <x:v>3.7</x:v>
      </x:c>
      <x:c r="N599" s="118" t="str">
        <x:f t="shared" si="2"/>
        <x:v>#N/A</x:v>
      </x:c>
      <x:c r="Q599" s="9"/>
      <x:c r="R599" s="9"/>
      <x:c r="S599" s="9"/>
      <x:c r="T599" s="9"/>
    </x:row>
    <x:row r="600" ht="14.25" customHeight="1">
      <x:c r="A600" s="1">
        <x:v>597.0</x:v>
      </x:c>
      <x:c r="B600" s="1">
        <x:v>13.0</x:v>
      </x:c>
      <x:c r="C600" s="1" t="s">
        <x:v>1477</x:v>
      </x:c>
      <x:c r="D600" s="1" t="s">
        <x:v>501</x:v>
      </x:c>
      <x:c r="E600" s="1" t="s">
        <x:v>1478</x:v>
      </x:c>
      <x:c r="F600" s="1">
        <x:v>8.0</x:v>
      </x:c>
      <x:c r="G600" s="1" t="s">
        <x:v>1067</x:v>
      </x:c>
      <x:c r="H600" s="1" t="s">
        <x:v>1067</x:v>
      </x:c>
      <x:c r="I600" s="1" t="s">
        <x:v>1061</x:v>
      </x:c>
      <x:c r="J600" s="1" t="s">
        <x:v>1067</x:v>
      </x:c>
      <x:c r="K600" s="1">
        <x:v>599.0</x:v>
      </x:c>
      <x:c r="L600" s="1" t="str">
        <x:f t="shared" si="1"/>
        <x:v>Isaiah Hodgins</x:v>
      </x:c>
      <x:c r="M600" s="127" t="n">
        <x:f>IFERROR(VLOOKUP(E600,RISK!A:B,2,FALSE()),"")</x:f>
        <x:v>3.7</x:v>
      </x:c>
      <x:c r="N600" s="118" t="str">
        <x:f t="shared" si="2"/>
        <x:v>#N/A</x:v>
      </x:c>
      <x:c r="Q600" s="9"/>
      <x:c r="R600" s="9"/>
      <x:c r="S600" s="9"/>
      <x:c r="T600" s="9"/>
    </x:row>
    <x:row r="601" ht="14.25" customHeight="1">
      <x:c r="A601" s="1">
        <x:v>598.0</x:v>
      </x:c>
      <x:c r="B601" s="1">
        <x:v>13.0</x:v>
      </x:c>
      <x:c r="C601" s="1" t="s">
        <x:v>1479</x:v>
      </x:c>
      <x:c r="D601" s="1" t="s">
        <x:v>521</x:v>
      </x:c>
      <x:c r="E601" s="1" t="s">
        <x:v>1480</x:v>
      </x:c>
      <x:c r="F601" s="1">
        <x:v>8.0</x:v>
      </x:c>
      <x:c r="G601" s="1" t="s">
        <x:v>1067</x:v>
      </x:c>
      <x:c r="H601" s="1" t="s">
        <x:v>1067</x:v>
      </x:c>
      <x:c r="I601" s="1" t="s">
        <x:v>1064</x:v>
      </x:c>
      <x:c r="J601" s="1" t="s">
        <x:v>1067</x:v>
      </x:c>
      <x:c r="K601" s="1">
        <x:v>600.0</x:v>
      </x:c>
      <x:c r="L601" s="1" t="str">
        <x:f t="shared" si="1"/>
        <x:v>Kevin Austin Jr.</x:v>
      </x:c>
      <x:c r="M601" s="127" t="n">
        <x:f>IFERROR(VLOOKUP(E601,RISK!A:B,2,FALSE()),"")</x:f>
        <x:v>3.7</x:v>
      </x:c>
      <x:c r="N601" s="118" t="str">
        <x:f t="shared" si="2"/>
        <x:v>#N/A</x:v>
      </x:c>
      <x:c r="Q601" s="9"/>
      <x:c r="R601" s="9"/>
      <x:c r="S601" s="9"/>
      <x:c r="T601" s="9"/>
    </x:row>
    <x:row r="602" ht="14.25" customHeight="1">
      <x:c r="A602" s="1">
        <x:v>599.0</x:v>
      </x:c>
      <x:c r="B602" s="1">
        <x:v>13.0</x:v>
      </x:c>
      <x:c r="C602" s="1" t="s">
        <x:v>1010</x:v>
      </x:c>
      <x:c r="D602" s="1" t="s">
        <x:v>545</x:v>
      </x:c>
      <x:c r="E602" s="1" t="s">
        <x:v>1481</x:v>
      </x:c>
      <x:c r="F602" s="1">
        <x:v>9.0</x:v>
      </x:c>
      <x:c r="G602" s="1" t="s">
        <x:v>1067</x:v>
      </x:c>
      <x:c r="H602" s="1" t="s">
        <x:v>1067</x:v>
      </x:c>
      <x:c r="I602" s="1" t="s">
        <x:v>1060</x:v>
      </x:c>
      <x:c r="J602" s="1" t="s">
        <x:v>1067</x:v>
      </x:c>
      <x:c r="K602" s="1">
        <x:v>601.0</x:v>
      </x:c>
      <x:c r="L602" s="1" t="str">
        <x:f t="shared" si="1"/>
        <x:v>Jaheim Bell</x:v>
      </x:c>
      <x:c r="M602" s="127" t="n">
        <x:f>IFERROR(VLOOKUP(E602,RISK!A:B,2,FALSE()),"")</x:f>
        <x:v>2.2775</x:v>
      </x:c>
      <x:c r="N602" s="118" t="str">
        <x:f t="shared" si="2"/>
        <x:v>#N/A</x:v>
      </x:c>
      <x:c r="Q602" s="9"/>
      <x:c r="R602" s="9"/>
      <x:c r="S602" s="9"/>
      <x:c r="T602" s="9"/>
    </x:row>
    <x:row r="603" ht="14.25" customHeight="1">
      <x:c r="A603" s="1">
        <x:v>600.0</x:v>
      </x:c>
      <x:c r="B603" s="1">
        <x:v>13.0</x:v>
      </x:c>
      <x:c r="C603" s="1" t="s">
        <x:v>916</x:v>
      </x:c>
      <x:c r="D603" s="1" t="s">
        <x:v>527</x:v>
      </x:c>
      <x:c r="E603" s="1" t="s">
        <x:v>1482</x:v>
      </x:c>
      <x:c r="F603" s="1">
        <x:v>13.0</x:v>
      </x:c>
      <x:c r="G603" s="1" t="s">
        <x:v>1067</x:v>
      </x:c>
      <x:c r="H603" s="1" t="s">
        <x:v>1067</x:v>
      </x:c>
      <x:c r="I603" s="1" t="s">
        <x:v>1061</x:v>
      </x:c>
      <x:c r="J603" s="1" t="s">
        <x:v>1067</x:v>
      </x:c>
      <x:c r="K603" s="1">
        <x:v>602.0</x:v>
      </x:c>
      <x:c r="L603" s="1" t="str">
        <x:f t="shared" si="1"/>
        <x:v>Anthony Gould</x:v>
      </x:c>
      <x:c r="M603" s="127" t="n">
        <x:f>IFERROR(VLOOKUP(E603,RISK!A:B,2,FALSE()),"")</x:f>
        <x:v>3.7</x:v>
      </x:c>
      <x:c r="N603" s="118" t="str">
        <x:f t="shared" si="2"/>
        <x:v>#N/A</x:v>
      </x:c>
      <x:c r="Q603" s="9"/>
      <x:c r="R603" s="9"/>
      <x:c r="S603" s="9"/>
      <x:c r="T603" s="9"/>
    </x:row>
    <x:row r="604" ht="14.25" customHeight="1">
      <x:c r="A604" s="1">
        <x:v>601.0</x:v>
      </x:c>
      <x:c r="B604" s="1">
        <x:v>13.0</x:v>
      </x:c>
      <x:c r="C604" s="1" t="s">
        <x:v>1483</x:v>
      </x:c>
      <x:c r="D604" s="1" t="s">
        <x:v>499</x:v>
      </x:c>
      <x:c r="E604" s="1" t="s">
        <x:v>1484</x:v>
      </x:c>
      <x:c r="F604" s="1">
        <x:v>6.0</x:v>
      </x:c>
      <x:c r="G604" s="1" t="s">
        <x:v>1067</x:v>
      </x:c>
      <x:c r="H604" s="1" t="s">
        <x:v>1067</x:v>
      </x:c>
      <x:c r="I604" s="1" t="s">
        <x:v>1061</x:v>
      </x:c>
      <x:c r="J604" s="1" t="s">
        <x:v>1067</x:v>
      </x:c>
      <x:c r="K604" s="1">
        <x:v>603.0</x:v>
      </x:c>
      <x:c r="L604" s="1" t="str">
        <x:f t="shared" si="1"/>
        <x:v>Kendric Pryor</x:v>
      </x:c>
      <x:c r="M604" s="127" t="n">
        <x:f>IFERROR(VLOOKUP(E604,RISK!A:B,2,FALSE()),"")</x:f>
        <x:v>3.7</x:v>
      </x:c>
      <x:c r="N604" s="118" t="str">
        <x:f t="shared" si="2"/>
        <x:v>#N/A</x:v>
      </x:c>
      <x:c r="Q604" s="9"/>
      <x:c r="R604" s="9"/>
      <x:c r="S604" s="9"/>
      <x:c r="T604" s="9"/>
    </x:row>
    <x:row r="605" ht="14.25" customHeight="1">
      <x:c r="A605" s="1">
        <x:v>602.0</x:v>
      </x:c>
      <x:c r="B605" s="1">
        <x:v>13.0</x:v>
      </x:c>
      <x:c r="C605" s="1" t="s">
        <x:v>1485</x:v>
      </x:c>
      <x:c r="D605" s="1" t="s">
        <x:v>525</x:v>
      </x:c>
      <x:c r="E605" s="1" t="s">
        <x:v>1486</x:v>
      </x:c>
      <x:c r="F605" s="1">
        <x:v>6.0</x:v>
      </x:c>
      <x:c r="G605" s="1" t="s">
        <x:v>1067</x:v>
      </x:c>
      <x:c r="H605" s="1" t="s">
        <x:v>1067</x:v>
      </x:c>
      <x:c r="I605" s="1" t="s">
        <x:v>1059</x:v>
      </x:c>
      <x:c r="J605" s="1" t="s">
        <x:v>1067</x:v>
      </x:c>
      <x:c r="K605" s="1">
        <x:v>604.0</x:v>
      </x:c>
      <x:c r="L605" s="1" t="str">
        <x:f t="shared" si="1"/>
        <x:v>Michael Briscoe</x:v>
      </x:c>
      <x:c r="M605" s="127" t="n">
        <x:f>IFERROR(VLOOKUP(E605,RISK!A:B,2,FALSE()),"")</x:f>
        <x:v>3.7</x:v>
      </x:c>
      <x:c r="N605" s="118" t="str">
        <x:f t="shared" si="2"/>
        <x:v>#N/A</x:v>
      </x:c>
      <x:c r="Q605" s="9"/>
      <x:c r="R605" s="9"/>
      <x:c r="S605" s="9"/>
      <x:c r="T605" s="9"/>
    </x:row>
    <x:row r="606" ht="14.25" customHeight="1">
      <x:c r="A606" s="1">
        <x:v>603.0</x:v>
      </x:c>
      <x:c r="B606" s="1">
        <x:v>13.0</x:v>
      </x:c>
      <x:c r="C606" s="1" t="s">
        <x:v>1487</x:v>
      </x:c>
      <x:c r="D606" s="1" t="s">
        <x:v>503</x:v>
      </x:c>
      <x:c r="E606" s="1" t="s">
        <x:v>1488</x:v>
      </x:c>
      <x:c r="F606" s="1">
        <x:v>8.0</x:v>
      </x:c>
      <x:c r="G606" s="1" t="s">
        <x:v>1067</x:v>
      </x:c>
      <x:c r="H606" s="1" t="s">
        <x:v>1067</x:v>
      </x:c>
      <x:c r="I606" s="1" t="s">
        <x:v>1060</x:v>
      </x:c>
      <x:c r="J606" s="1" t="s">
        <x:v>1067</x:v>
      </x:c>
      <x:c r="K606" s="1">
        <x:v>605.0</x:v>
      </x:c>
      <x:c r="L606" s="1" t="str">
        <x:f t="shared" si="1"/>
        <x:v>Jordan Watkins</x:v>
      </x:c>
      <x:c r="M606" s="127" t="n">
        <x:f>IFERROR(VLOOKUP(E606,RISK!A:B,2,FALSE()),"")</x:f>
        <x:v>3.7</x:v>
      </x:c>
      <x:c r="N606" s="118" t="str">
        <x:f t="shared" si="2"/>
        <x:v>#N/A</x:v>
      </x:c>
      <x:c r="Q606" s="9"/>
      <x:c r="R606" s="9"/>
      <x:c r="S606" s="9"/>
      <x:c r="T606" s="9"/>
    </x:row>
    <x:row r="607" ht="14.25" customHeight="1">
      <x:c r="A607" s="1">
        <x:v>604.0</x:v>
      </x:c>
      <x:c r="B607" s="1">
        <x:v>13.0</x:v>
      </x:c>
      <x:c r="C607" s="1" t="s">
        <x:v>1489</x:v>
      </x:c>
      <x:c r="D607" s="1" t="s">
        <x:v>549</x:v>
      </x:c>
      <x:c r="E607" s="1" t="s">
        <x:v>1490</x:v>
      </x:c>
      <x:c r="F607" s="1">
        <x:v>11.0</x:v>
      </x:c>
      <x:c r="G607" s="1" t="s">
        <x:v>1067</x:v>
      </x:c>
      <x:c r="H607" s="1" t="s">
        <x:v>1067</x:v>
      </x:c>
      <x:c r="I607" s="1" t="s">
        <x:v>1061</x:v>
      </x:c>
      <x:c r="J607" s="1" t="s">
        <x:v>1067</x:v>
      </x:c>
      <x:c r="K607" s="1">
        <x:v>606.0</x:v>
      </x:c>
      <x:c r="L607" s="1" t="str">
        <x:f t="shared" si="1"/>
        <x:v>Taylen Green</x:v>
      </x:c>
      <x:c r="M607" s="127" t="n">
        <x:f>IFERROR(VLOOKUP(E607,RISK!A:B,2,FALSE()),"")</x:f>
        <x:v>3.2</x:v>
      </x:c>
      <x:c r="N607" s="118" t="str">
        <x:f t="shared" si="2"/>
        <x:v>#N/A</x:v>
      </x:c>
      <x:c r="Q607" s="9"/>
      <x:c r="R607" s="9"/>
      <x:c r="S607" s="9"/>
      <x:c r="T607" s="9"/>
    </x:row>
    <x:row r="608" ht="14.25" customHeight="1">
      <x:c r="A608" s="1">
        <x:v>605.0</x:v>
      </x:c>
      <x:c r="B608" s="1">
        <x:v>13.0</x:v>
      </x:c>
      <x:c r="C608" s="1" t="s">
        <x:v>1491</x:v>
      </x:c>
      <x:c r="D608" s="1" t="s">
        <x:v>541</x:v>
      </x:c>
      <x:c r="E608" s="1" t="s">
        <x:v>1492</x:v>
      </x:c>
      <x:c r="F608" s="1">
        <x:v>9.0</x:v>
      </x:c>
      <x:c r="G608" s="1" t="s">
        <x:v>1067</x:v>
      </x:c>
      <x:c r="H608" s="1" t="s">
        <x:v>1067</x:v>
      </x:c>
      <x:c r="I608" s="1" t="s">
        <x:v>1064</x:v>
      </x:c>
      <x:c r="J608" s="1" t="s">
        <x:v>1067</x:v>
      </x:c>
      <x:c r="K608" s="1">
        <x:v>607.0</x:v>
      </x:c>
      <x:c r="L608" s="1" t="str">
        <x:f t="shared" si="1"/>
        <x:v>K.J. Osborn</x:v>
      </x:c>
      <x:c r="M608" s="127" t="n">
        <x:f>IFERROR(VLOOKUP(E608,RISK!A:B,2,FALSE()),"")</x:f>
        <x:v>3.7</x:v>
      </x:c>
      <x:c r="N608" s="118" t="str">
        <x:f t="shared" si="2"/>
        <x:v>#N/A</x:v>
      </x:c>
      <x:c r="Q608" s="9"/>
      <x:c r="R608" s="9"/>
      <x:c r="S608" s="9"/>
      <x:c r="T608" s="9"/>
    </x:row>
    <x:row r="609" ht="14.25" customHeight="1">
      <x:c r="A609" s="1">
        <x:v>606.0</x:v>
      </x:c>
      <x:c r="B609" s="1">
        <x:v>13.0</x:v>
      </x:c>
      <x:c r="C609" s="1" t="s">
        <x:v>894</x:v>
      </x:c>
      <x:c r="D609" s="1" t="s">
        <x:v>507</x:v>
      </x:c>
      <x:c r="E609" s="1" t="s">
        <x:v>1493</x:v>
      </x:c>
      <x:c r="F609" s="1">
        <x:v>14.0</x:v>
      </x:c>
      <x:c r="G609" s="1" t="s">
        <x:v>1067</x:v>
      </x:c>
      <x:c r="H609" s="1" t="s">
        <x:v>1067</x:v>
      </x:c>
      <x:c r="I609" s="1" t="s">
        <x:v>1060</x:v>
      </x:c>
      <x:c r="J609" s="1" t="s">
        <x:v>1067</x:v>
      </x:c>
      <x:c r="K609" s="1">
        <x:v>608.0</x:v>
      </x:c>
      <x:c r="L609" s="1" t="str">
        <x:f t="shared" si="1"/>
        <x:v>Jonathan Mingo</x:v>
      </x:c>
      <x:c r="M609" s="127" t="n">
        <x:f>IFERROR(VLOOKUP(E609,RISK!A:B,2,FALSE()),"")</x:f>
        <x:v>3.7</x:v>
      </x:c>
      <x:c r="N609" s="118" t="str">
        <x:f t="shared" si="2"/>
        <x:v>#N/A</x:v>
      </x:c>
      <x:c r="Q609" s="9"/>
      <x:c r="R609" s="9"/>
      <x:c r="S609" s="9"/>
      <x:c r="T609" s="9"/>
    </x:row>
    <x:row r="610" ht="14.25" customHeight="1">
      <x:c r="A610" s="1">
        <x:v>607.0</x:v>
      </x:c>
      <x:c r="B610" s="1">
        <x:v>13.0</x:v>
      </x:c>
      <x:c r="C610" s="1" t="s">
        <x:v>1494</x:v>
      </x:c>
      <x:c r="D610" s="1" t="s">
        <x:v>1136</x:v>
      </x:c>
      <x:c r="E610" s="1" t="s">
        <x:v>1495</x:v>
      </x:c>
      <x:c r="F610" s="1" t="s">
        <x:v>1067</x:v>
      </x:c>
      <x:c r="G610" s="1" t="s">
        <x:v>1067</x:v>
      </x:c>
      <x:c r="H610" s="1" t="s">
        <x:v>1067</x:v>
      </x:c>
      <x:c r="I610" s="1" t="s">
        <x:v>1067</x:v>
      </x:c>
      <x:c r="J610" s="1" t="s">
        <x:v>1067</x:v>
      </x:c>
      <x:c r="K610" s="1">
        <x:v>609.0</x:v>
      </x:c>
      <x:c r="L610" s="1" t="str">
        <x:f t="shared" si="1"/>
        <x:v>Joshua Cephus</x:v>
      </x:c>
      <x:c r="M610" s="127" t="n">
        <x:f>IFERROR(VLOOKUP(E610,RISK!A:B,2,FALSE()),"")</x:f>
        <x:v>3.7</x:v>
      </x:c>
      <x:c r="N610" s="118" t="str">
        <x:f t="shared" si="2"/>
        <x:v>#N/A</x:v>
      </x:c>
      <x:c r="Q610" s="9"/>
      <x:c r="R610" s="9"/>
      <x:c r="S610" s="9"/>
      <x:c r="T610" s="9"/>
    </x:row>
    <x:row r="611" ht="14.25" customHeight="1">
      <x:c r="A611" s="1">
        <x:v>608.0</x:v>
      </x:c>
      <x:c r="B611" s="1">
        <x:v>13.0</x:v>
      </x:c>
      <x:c r="C611" s="1" t="s">
        <x:v>1496</x:v>
      </x:c>
      <x:c r="D611" s="1" t="s">
        <x:v>551</x:v>
      </x:c>
      <x:c r="E611" s="1" t="s">
        <x:v>1497</x:v>
      </x:c>
      <x:c r="F611" s="1">
        <x:v>11.0</x:v>
      </x:c>
      <x:c r="G611" s="1" t="s">
        <x:v>1067</x:v>
      </x:c>
      <x:c r="H611" s="1" t="s">
        <x:v>1067</x:v>
      </x:c>
      <x:c r="I611" s="1" t="s">
        <x:v>1061</x:v>
      </x:c>
      <x:c r="J611" s="1" t="s">
        <x:v>1067</x:v>
      </x:c>
      <x:c r="K611" s="1">
        <x:v>610.0</x:v>
      </x:c>
      <x:c r="L611" s="1" t="str">
        <x:f t="shared" si="1"/>
        <x:v>Cooper Rush</x:v>
      </x:c>
      <x:c r="M611" s="127" t="n">
        <x:f>IFERROR(VLOOKUP(E611,RISK!A:B,2,FALSE()),"")</x:f>
        <x:v>3.2</x:v>
      </x:c>
      <x:c r="N611" s="118" t="str">
        <x:f t="shared" si="2"/>
        <x:v>#N/A</x:v>
      </x:c>
      <x:c r="Q611" s="9"/>
      <x:c r="R611" s="9"/>
      <x:c r="S611" s="9"/>
      <x:c r="T611" s="9"/>
    </x:row>
    <x:row r="612" ht="14.25" customHeight="1">
      <x:c r="A612" s="1">
        <x:v>609.0</x:v>
      </x:c>
      <x:c r="B612" s="1">
        <x:v>13.0</x:v>
      </x:c>
      <x:c r="C612" s="1" t="s">
        <x:v>1498</x:v>
      </x:c>
      <x:c r="D612" s="1" t="s">
        <x:v>519</x:v>
      </x:c>
      <x:c r="E612" s="1" t="s">
        <x:v>1499</x:v>
      </x:c>
      <x:c r="F612" s="1">
        <x:v>6.0</x:v>
      </x:c>
      <x:c r="G612" s="1" t="s">
        <x:v>1067</x:v>
      </x:c>
      <x:c r="H612" s="1" t="s">
        <x:v>1067</x:v>
      </x:c>
      <x:c r="I612" s="1" t="s">
        <x:v>1061</x:v>
      </x:c>
      <x:c r="J612" s="1" t="s">
        <x:v>1067</x:v>
      </x:c>
      <x:c r="K612" s="1">
        <x:v>611.0</x:v>
      </x:c>
      <x:c r="L612" s="1" t="str">
        <x:f t="shared" si="1"/>
        <x:v>Dominic Lovett</x:v>
      </x:c>
      <x:c r="M612" s="127" t="n">
        <x:f>IFERROR(VLOOKUP(E612,RISK!A:B,2,FALSE()),"")</x:f>
        <x:v>3.7</x:v>
      </x:c>
      <x:c r="N612" s="118" t="str">
        <x:f t="shared" si="2"/>
        <x:v>#N/A</x:v>
      </x:c>
      <x:c r="Q612" s="9"/>
      <x:c r="R612" s="9"/>
      <x:c r="S612" s="9"/>
      <x:c r="T612" s="9"/>
    </x:row>
    <x:row r="613" ht="14.25" customHeight="1">
      <x:c r="A613" s="1">
        <x:v>610.0</x:v>
      </x:c>
      <x:c r="B613" s="1">
        <x:v>13.0</x:v>
      </x:c>
      <x:c r="C613" s="1" t="s">
        <x:v>1500</x:v>
      </x:c>
      <x:c r="D613" s="1" t="s">
        <x:v>1136</x:v>
      </x:c>
      <x:c r="E613" s="1" t="s">
        <x:v>1501</x:v>
      </x:c>
      <x:c r="F613" s="1" t="s">
        <x:v>1067</x:v>
      </x:c>
      <x:c r="G613" s="1" t="s">
        <x:v>1067</x:v>
      </x:c>
      <x:c r="H613" s="1" t="s">
        <x:v>1067</x:v>
      </x:c>
      <x:c r="I613" s="1" t="s">
        <x:v>1067</x:v>
      </x:c>
      <x:c r="J613" s="1" t="s">
        <x:v>1067</x:v>
      </x:c>
      <x:c r="K613" s="1">
        <x:v>612.0</x:v>
      </x:c>
      <x:c r="L613" s="1" t="str">
        <x:f t="shared" si="1"/>
        <x:v>Deontay Burnett</x:v>
      </x:c>
      <x:c r="M613" s="127" t="n">
        <x:f>IFERROR(VLOOKUP(E613,RISK!A:B,2,FALSE()),"")</x:f>
        <x:v>3.7</x:v>
      </x:c>
      <x:c r="N613" s="118" t="str">
        <x:f t="shared" si="2"/>
        <x:v>#N/A</x:v>
      </x:c>
      <x:c r="Q613" s="9"/>
      <x:c r="R613" s="9"/>
      <x:c r="S613" s="9"/>
      <x:c r="T613" s="9"/>
    </x:row>
    <x:row r="614" ht="14.25" customHeight="1">
      <x:c r="A614" s="1">
        <x:v>611.0</x:v>
      </x:c>
      <x:c r="B614" s="1">
        <x:v>13.0</x:v>
      </x:c>
      <x:c r="C614" s="1" t="s">
        <x:v>908</x:v>
      </x:c>
      <x:c r="D614" s="1" t="s">
        <x:v>515</x:v>
      </x:c>
      <x:c r="E614" s="1" t="s">
        <x:v>1502</x:v>
      </x:c>
      <x:c r="F614" s="1">
        <x:v>10.0</x:v>
      </x:c>
      <x:c r="G614" s="1" t="s">
        <x:v>1067</x:v>
      </x:c>
      <x:c r="H614" s="1" t="s">
        <x:v>1067</x:v>
      </x:c>
      <x:c r="I614" s="1" t="s">
        <x:v>1060</x:v>
      </x:c>
      <x:c r="J614" s="1" t="s">
        <x:v>1067</x:v>
      </x:c>
      <x:c r="K614" s="1">
        <x:v>613.0</x:v>
      </x:c>
      <x:c r="L614" s="1" t="str">
        <x:f t="shared" si="1"/>
        <x:v>Michael Bandy</x:v>
      </x:c>
      <x:c r="M614" s="127" t="str">
        <x:f>IFERROR(VLOOKUP(E614,RISK!A:B,2,FALSE()),"")</x:f>
      </x:c>
      <x:c r="N614" s="118" t="str">
        <x:f t="shared" si="2"/>
        <x:v>#N/A</x:v>
      </x:c>
      <x:c r="Q614" s="9"/>
      <x:c r="R614" s="9"/>
      <x:c r="S614" s="9"/>
      <x:c r="T614" s="9"/>
    </x:row>
    <x:row r="615" ht="14.25" customHeight="1">
      <x:c r="A615" s="1">
        <x:v>612.0</x:v>
      </x:c>
      <x:c r="B615" s="1">
        <x:v>13.0</x:v>
      </x:c>
      <x:c r="C615" s="1" t="s">
        <x:v>1503</x:v>
      </x:c>
      <x:c r="D615" s="1" t="s">
        <x:v>533</x:v>
      </x:c>
      <x:c r="E615" s="1" t="s">
        <x:v>1504</x:v>
      </x:c>
      <x:c r="F615" s="1">
        <x:v>11.0</x:v>
      </x:c>
      <x:c r="G615" s="1" t="s">
        <x:v>1067</x:v>
      </x:c>
      <x:c r="H615" s="1" t="s">
        <x:v>1067</x:v>
      </x:c>
      <x:c r="I615" s="1" t="s">
        <x:v>1064</x:v>
      </x:c>
      <x:c r="J615" s="1" t="s">
        <x:v>1067</x:v>
      </x:c>
      <x:c r="K615" s="1">
        <x:v>614.0</x:v>
      </x:c>
      <x:c r="L615" s="1" t="str">
        <x:f t="shared" si="1"/>
        <x:v>Ricky White III</x:v>
      </x:c>
      <x:c r="M615" s="127" t="str">
        <x:f>IFERROR(VLOOKUP(E615,RISK!A:B,2,FALSE()),"")</x:f>
      </x:c>
      <x:c r="N615" s="118" t="str">
        <x:f t="shared" si="2"/>
        <x:v>#N/A</x:v>
      </x:c>
      <x:c r="Q615" s="9"/>
      <x:c r="R615" s="9"/>
      <x:c r="S615" s="9"/>
      <x:c r="T615" s="9"/>
    </x:row>
    <x:row r="616" ht="14.25" customHeight="1">
      <x:c r="A616" s="1">
        <x:v>613.0</x:v>
      </x:c>
      <x:c r="B616" s="1">
        <x:v>13.0</x:v>
      </x:c>
      <x:c r="C616" s="1" t="s">
        <x:v>899</x:v>
      </x:c>
      <x:c r="D616" s="1" t="s">
        <x:v>539</x:v>
      </x:c>
      <x:c r="E616" s="1" t="s">
        <x:v>1505</x:v>
      </x:c>
      <x:c r="F616" s="1">
        <x:v>13.0</x:v>
      </x:c>
      <x:c r="G616" s="1" t="s">
        <x:v>1067</x:v>
      </x:c>
      <x:c r="H616" s="1" t="s">
        <x:v>1067</x:v>
      </x:c>
      <x:c r="I616" s="1" t="s">
        <x:v>1061</x:v>
      </x:c>
      <x:c r="J616" s="1" t="s">
        <x:v>1067</x:v>
      </x:c>
      <x:c r="K616" s="1">
        <x:v>615.0</x:v>
      </x:c>
      <x:c r="L616" s="1" t="str">
        <x:f t="shared" si="1"/>
        <x:v>Arian Smith</x:v>
      </x:c>
      <x:c r="M616" s="127" t="str">
        <x:f>IFERROR(VLOOKUP(E616,RISK!A:B,2,FALSE()),"")</x:f>
      </x:c>
      <x:c r="N616" s="118" t="str">
        <x:f t="shared" si="2"/>
        <x:v>#N/A</x:v>
      </x:c>
      <x:c r="Q616" s="9"/>
      <x:c r="R616" s="9"/>
      <x:c r="S616" s="9"/>
      <x:c r="T616" s="9"/>
    </x:row>
    <x:row r="617" ht="14.25" customHeight="1">
      <x:c r="A617" s="1">
        <x:v>614.0</x:v>
      </x:c>
      <x:c r="B617" s="1">
        <x:v>13.0</x:v>
      </x:c>
      <x:c r="C617" s="1" t="s">
        <x:v>1506</x:v>
      </x:c>
      <x:c r="D617" s="1" t="s">
        <x:v>1136</x:v>
      </x:c>
      <x:c r="E617" s="1" t="s">
        <x:v>1507</x:v>
      </x:c>
      <x:c r="F617" s="1" t="s">
        <x:v>1067</x:v>
      </x:c>
      <x:c r="G617" s="1" t="s">
        <x:v>1067</x:v>
      </x:c>
      <x:c r="H617" s="1" t="s">
        <x:v>1067</x:v>
      </x:c>
      <x:c r="I617" s="1" t="s">
        <x:v>1067</x:v>
      </x:c>
      <x:c r="J617" s="1" t="s">
        <x:v>1067</x:v>
      </x:c>
      <x:c r="K617" s="1">
        <x:v>616.0</x:v>
      </x:c>
      <x:c r="L617" s="1" t="str">
        <x:f t="shared" si="1"/>
        <x:v>Jermaine Burton</x:v>
      </x:c>
      <x:c r="M617" s="127" t="str">
        <x:f>IFERROR(VLOOKUP(E617,RISK!A:B,2,FALSE()),"")</x:f>
      </x:c>
      <x:c r="N617" s="118" t="str">
        <x:f t="shared" si="2"/>
        <x:v>#N/A</x:v>
      </x:c>
      <x:c r="Q617" s="9"/>
      <x:c r="R617" s="9"/>
      <x:c r="S617" s="9"/>
      <x:c r="T617" s="9"/>
    </x:row>
    <x:row r="618" ht="14.25" customHeight="1">
      <x:c r="A618" s="1">
        <x:v>615.0</x:v>
      </x:c>
      <x:c r="B618" s="1">
        <x:v>13.0</x:v>
      </x:c>
      <x:c r="C618" s="1" t="s">
        <x:v>1508</x:v>
      </x:c>
      <x:c r="D618" s="1" t="s">
        <x:v>529</x:v>
      </x:c>
      <x:c r="E618" s="1" t="s">
        <x:v>1509</x:v>
      </x:c>
      <x:c r="F618" s="1">
        <x:v>6.0</x:v>
      </x:c>
      <x:c r="G618" s="1" t="s">
        <x:v>1067</x:v>
      </x:c>
      <x:c r="H618" s="1" t="s">
        <x:v>1067</x:v>
      </x:c>
      <x:c r="I618" s="1" t="s">
        <x:v>1064</x:v>
      </x:c>
      <x:c r="J618" s="1" t="s">
        <x:v>1067</x:v>
      </x:c>
      <x:c r="K618" s="1">
        <x:v>617.0</x:v>
      </x:c>
      <x:c r="L618" s="1" t="str">
        <x:f t="shared" si="1"/>
        <x:v>Terrace Marshall Jr.</x:v>
      </x:c>
      <x:c r="M618" s="127" t="str">
        <x:f>IFERROR(VLOOKUP(E618,RISK!A:B,2,FALSE()),"")</x:f>
      </x:c>
      <x:c r="N618" s="118" t="str">
        <x:f t="shared" si="2"/>
        <x:v>#N/A</x:v>
      </x:c>
      <x:c r="Q618" s="9"/>
      <x:c r="R618" s="9"/>
      <x:c r="S618" s="9"/>
      <x:c r="T618" s="9"/>
    </x:row>
    <x:row r="619" ht="14.25" customHeight="1">
      <x:c r="A619" s="1">
        <x:v>616.0</x:v>
      </x:c>
      <x:c r="B619" s="1">
        <x:v>13.0</x:v>
      </x:c>
      <x:c r="C619" s="1" t="s">
        <x:v>901</x:v>
      </x:c>
      <x:c r="D619" s="1" t="s">
        <x:v>523</x:v>
      </x:c>
      <x:c r="E619" s="1" t="s">
        <x:v>1510</x:v>
      </x:c>
      <x:c r="F619" s="1">
        <x:v>10.0</x:v>
      </x:c>
      <x:c r="G619" s="1" t="s">
        <x:v>1067</x:v>
      </x:c>
      <x:c r="H619" s="1" t="s">
        <x:v>1067</x:v>
      </x:c>
      <x:c r="I619" s="1" t="s">
        <x:v>1061</x:v>
      </x:c>
      <x:c r="J619" s="1" t="s">
        <x:v>1067</x:v>
      </x:c>
      <x:c r="K619" s="1">
        <x:v>618.0</x:v>
      </x:c>
      <x:c r="L619" s="1" t="str">
        <x:f t="shared" si="1"/>
        <x:v>Kameron Johnson</x:v>
      </x:c>
      <x:c r="M619" s="127" t="str">
        <x:f>IFERROR(VLOOKUP(E619,RISK!A:B,2,FALSE()),"")</x:f>
      </x:c>
      <x:c r="N619" s="118" t="str">
        <x:f t="shared" si="2"/>
        <x:v>#N/A</x:v>
      </x:c>
      <x:c r="Q619" s="9"/>
      <x:c r="R619" s="9"/>
      <x:c r="S619" s="9"/>
      <x:c r="T619" s="9"/>
    </x:row>
    <x:row r="620" ht="14.25" customHeight="1">
      <x:c r="A620" s="1">
        <x:v>617.0</x:v>
      </x:c>
      <x:c r="B620" s="1">
        <x:v>13.0</x:v>
      </x:c>
      <x:c r="C620" s="1" t="s">
        <x:v>893</x:v>
      </x:c>
      <x:c r="D620" s="1" t="s">
        <x:v>497</x:v>
      </x:c>
      <x:c r="E620" s="1" t="s">
        <x:v>1511</x:v>
      </x:c>
      <x:c r="F620" s="1">
        <x:v>10.0</x:v>
      </x:c>
      <x:c r="G620" s="1" t="s">
        <x:v>1067</x:v>
      </x:c>
      <x:c r="H620" s="1" t="s">
        <x:v>1067</x:v>
      </x:c>
      <x:c r="I620" s="1" t="s">
        <x:v>1061</x:v>
      </x:c>
      <x:c r="J620" s="1" t="s">
        <x:v>1067</x:v>
      </x:c>
      <x:c r="K620" s="1">
        <x:v>619.0</x:v>
      </x:c>
      <x:c r="L620" s="1" t="str">
        <x:f t="shared" si="1"/>
        <x:v>Darius Cooper</x:v>
      </x:c>
      <x:c r="M620" s="127" t="str">
        <x:f>IFERROR(VLOOKUP(E620,RISK!A:B,2,FALSE()),"")</x:f>
      </x:c>
      <x:c r="N620" s="118" t="str">
        <x:f t="shared" si="2"/>
        <x:v>#N/A</x:v>
      </x:c>
      <x:c r="Q620" s="9"/>
      <x:c r="R620" s="9"/>
      <x:c r="S620" s="9"/>
      <x:c r="T620" s="9"/>
    </x:row>
    <x:row r="621" ht="14.25" customHeight="1">
      <x:c r="A621" s="1">
        <x:v>618.0</x:v>
      </x:c>
      <x:c r="B621" s="1">
        <x:v>13.0</x:v>
      </x:c>
      <x:c r="C621" s="1" t="s">
        <x:v>597</x:v>
      </x:c>
      <x:c r="D621" s="1" t="s">
        <x:v>545</x:v>
      </x:c>
      <x:c r="E621" s="1" t="s">
        <x:v>1512</x:v>
      </x:c>
      <x:c r="F621" s="1">
        <x:v>9.0</x:v>
      </x:c>
      <x:c r="G621" s="1" t="s">
        <x:v>1067</x:v>
      </x:c>
      <x:c r="H621" s="1" t="s">
        <x:v>1067</x:v>
      </x:c>
      <x:c r="I621" s="1" t="s">
        <x:v>1060</x:v>
      </x:c>
      <x:c r="J621" s="1" t="s">
        <x:v>1067</x:v>
      </x:c>
      <x:c r="K621" s="1">
        <x:v>620.0</x:v>
      </x:c>
      <x:c r="L621" s="1" t="str">
        <x:f t="shared" si="1"/>
        <x:v>Mason Rudolph</x:v>
      </x:c>
      <x:c r="M621" s="127" t="n">
        <x:f>IFERROR(VLOOKUP(E621,RISK!A:B,2,FALSE()),"")</x:f>
        <x:v>3.2</x:v>
      </x:c>
      <x:c r="N621" s="118" t="str">
        <x:f t="shared" si="2"/>
        <x:v>#N/A</x:v>
      </x:c>
      <x:c r="Q621" s="9"/>
      <x:c r="R621" s="9"/>
      <x:c r="S621" s="9"/>
      <x:c r="T621" s="9"/>
    </x:row>
    <x:row r="622" ht="14.25" customHeight="1">
      <x:c r="A622" s="1">
        <x:v>619.0</x:v>
      </x:c>
      <x:c r="B622" s="1">
        <x:v>13.0</x:v>
      </x:c>
      <x:c r="C622" s="1" t="s">
        <x:v>1513</x:v>
      </x:c>
      <x:c r="D622" s="1" t="s">
        <x:v>517</x:v>
      </x:c>
      <x:c r="E622" s="1" t="s">
        <x:v>1514</x:v>
      </x:c>
      <x:c r="F622" s="1">
        <x:v>11.0</x:v>
      </x:c>
      <x:c r="G622" s="1" t="s">
        <x:v>1067</x:v>
      </x:c>
      <x:c r="H622" s="1" t="s">
        <x:v>1067</x:v>
      </x:c>
      <x:c r="I622" s="1" t="s">
        <x:v>1063</x:v>
      </x:c>
      <x:c r="J622" s="1" t="s">
        <x:v>1067</x:v>
      </x:c>
      <x:c r="K622" s="1">
        <x:v>621.0</x:v>
      </x:c>
      <x:c r="L622" s="1" t="str">
        <x:f t="shared" si="1"/>
        <x:v>Tyler Scott</x:v>
      </x:c>
      <x:c r="M622" s="127" t="str">
        <x:f>IFERROR(VLOOKUP(E622,RISK!A:B,2,FALSE()),"")</x:f>
      </x:c>
      <x:c r="N622" s="118" t="str">
        <x:f t="shared" si="2"/>
        <x:v>#N/A</x:v>
      </x:c>
      <x:c r="Q622" s="9"/>
      <x:c r="R622" s="9"/>
      <x:c r="S622" s="9"/>
      <x:c r="T622" s="9"/>
    </x:row>
    <x:row r="623" ht="14.25" customHeight="1">
      <x:c r="A623" s="1">
        <x:v>620.0</x:v>
      </x:c>
      <x:c r="B623" s="1">
        <x:v>13.0</x:v>
      </x:c>
      <x:c r="C623" s="1" t="s">
        <x:v>909</x:v>
      </x:c>
      <x:c r="D623" s="1" t="s">
        <x:v>531</x:v>
      </x:c>
      <x:c r="E623" s="1" t="s">
        <x:v>1515</x:v>
      </x:c>
      <x:c r="F623" s="1">
        <x:v>11.0</x:v>
      </x:c>
      <x:c r="G623" s="1" t="s">
        <x:v>1067</x:v>
      </x:c>
      <x:c r="H623" s="1" t="s">
        <x:v>1067</x:v>
      </x:c>
      <x:c r="I623" s="1" t="s">
        <x:v>1059</x:v>
      </x:c>
      <x:c r="J623" s="1" t="s">
        <x:v>1067</x:v>
      </x:c>
      <x:c r="K623" s="1">
        <x:v>622.0</x:v>
      </x:c>
      <x:c r="L623" s="1" t="str">
        <x:f t="shared" si="1"/>
        <x:v>Skyy Moore</x:v>
      </x:c>
      <x:c r="M623" s="127" t="str">
        <x:f>IFERROR(VLOOKUP(E623,RISK!A:B,2,FALSE()),"")</x:f>
      </x:c>
      <x:c r="N623" s="118" t="str">
        <x:f t="shared" si="2"/>
        <x:v>#N/A</x:v>
      </x:c>
      <x:c r="Q623" s="9"/>
      <x:c r="R623" s="9"/>
      <x:c r="S623" s="9"/>
      <x:c r="T623" s="9"/>
    </x:row>
    <x:row r="624" ht="14.25" customHeight="1">
      <x:c r="A624" s="1">
        <x:v>621.0</x:v>
      </x:c>
      <x:c r="B624" s="1">
        <x:v>13.0</x:v>
      </x:c>
      <x:c r="C624" s="1" t="s">
        <x:v>572</x:v>
      </x:c>
      <x:c r="D624" s="1" t="s">
        <x:v>491</x:v>
      </x:c>
      <x:c r="E624" s="1" t="s">
        <x:v>1516</x:v>
      </x:c>
      <x:c r="F624" s="1">
        <x:v>13.0</x:v>
      </x:c>
      <x:c r="G624" s="1" t="s">
        <x:v>1067</x:v>
      </x:c>
      <x:c r="H624" s="1" t="s">
        <x:v>1067</x:v>
      </x:c>
      <x:c r="I624" s="1" t="s">
        <x:v>1064</x:v>
      </x:c>
      <x:c r="J624" s="1" t="s">
        <x:v>1067</x:v>
      </x:c>
      <x:c r="K624" s="1">
        <x:v>623.0</x:v>
      </x:c>
      <x:c r="L624" s="1" t="str">
        <x:f t="shared" si="1"/>
        <x:v>Tyler Huntley</x:v>
      </x:c>
      <x:c r="M624" s="127" t="n">
        <x:f>IFERROR(VLOOKUP(E624,RISK!A:B,2,FALSE()),"")</x:f>
        <x:v>3.2</x:v>
      </x:c>
      <x:c r="N624" s="118" t="str">
        <x:f t="shared" si="2"/>
        <x:v>#N/A</x:v>
      </x:c>
      <x:c r="Q624" s="9"/>
      <x:c r="R624" s="9"/>
      <x:c r="S624" s="9"/>
      <x:c r="T624" s="9"/>
    </x:row>
    <x:row r="625" ht="14.25" customHeight="1">
      <x:c r="A625" s="1">
        <x:v>622.0</x:v>
      </x:c>
      <x:c r="B625" s="1">
        <x:v>13.0</x:v>
      </x:c>
      <x:c r="C625" s="1" t="s">
        <x:v>886</x:v>
      </x:c>
      <x:c r="D625" s="1" t="s">
        <x:v>487</x:v>
      </x:c>
      <x:c r="E625" s="1" t="s">
        <x:v>1517</x:v>
      </x:c>
      <x:c r="F625" s="1">
        <x:v>7.0</x:v>
      </x:c>
      <x:c r="G625" s="1" t="s">
        <x:v>1067</x:v>
      </x:c>
      <x:c r="H625" s="1" t="s">
        <x:v>1067</x:v>
      </x:c>
      <x:c r="I625" s="1" t="s">
        <x:v>1061</x:v>
      </x:c>
      <x:c r="J625" s="1" t="s">
        <x:v>1067</x:v>
      </x:c>
      <x:c r="K625" s="1">
        <x:v>624.0</x:v>
      </x:c>
      <x:c r="L625" s="1" t="str">
        <x:f t="shared" si="1"/>
        <x:v>Tyrell Shavers</x:v>
      </x:c>
      <x:c r="M625" s="127" t="str">
        <x:f>IFERROR(VLOOKUP(E625,RISK!A:B,2,FALSE()),"")</x:f>
      </x:c>
      <x:c r="N625" s="118" t="str">
        <x:f t="shared" si="2"/>
        <x:v>#N/A</x:v>
      </x:c>
      <x:c r="Q625" s="9"/>
      <x:c r="R625" s="9"/>
      <x:c r="S625" s="9"/>
      <x:c r="T625" s="9"/>
    </x:row>
    <x:row r="626" ht="14.25" customHeight="1">
      <x:c r="A626" s="1">
        <x:v>623.0</x:v>
      </x:c>
      <x:c r="B626" s="1">
        <x:v>13.0</x:v>
      </x:c>
      <x:c r="C626" s="1" t="s">
        <x:v>577</x:v>
      </x:c>
      <x:c r="D626" s="1" t="s">
        <x:v>497</x:v>
      </x:c>
      <x:c r="E626" s="1" t="s">
        <x:v>1518</x:v>
      </x:c>
      <x:c r="F626" s="1">
        <x:v>10.0</x:v>
      </x:c>
      <x:c r="G626" s="1" t="s">
        <x:v>1067</x:v>
      </x:c>
      <x:c r="H626" s="1" t="s">
        <x:v>1067</x:v>
      </x:c>
      <x:c r="I626" s="1" t="s">
        <x:v>1059</x:v>
      </x:c>
      <x:c r="J626" s="1" t="s">
        <x:v>1067</x:v>
      </x:c>
      <x:c r="K626" s="1">
        <x:v>625.0</x:v>
      </x:c>
      <x:c r="L626" s="1" t="str">
        <x:f t="shared" si="1"/>
        <x:v>Tanner McKee</x:v>
      </x:c>
      <x:c r="M626" s="127" t="n">
        <x:f>IFERROR(VLOOKUP(E626,RISK!A:B,2,FALSE()),"")</x:f>
        <x:v>3.2</x:v>
      </x:c>
      <x:c r="N626" s="118" t="str">
        <x:f t="shared" si="2"/>
        <x:v>#N/A</x:v>
      </x:c>
      <x:c r="Q626" s="9"/>
      <x:c r="R626" s="9"/>
      <x:c r="S626" s="9"/>
      <x:c r="T626" s="9"/>
    </x:row>
    <x:row r="627" ht="14.25" customHeight="1">
      <x:c r="A627" s="1">
        <x:v>624.0</x:v>
      </x:c>
      <x:c r="B627" s="1">
        <x:v>13.0</x:v>
      </x:c>
      <x:c r="C627" s="1" t="s">
        <x:v>1519</x:v>
      </x:c>
      <x:c r="D627" s="1" t="s">
        <x:v>493</x:v>
      </x:c>
      <x:c r="E627" s="1" t="s">
        <x:v>1520</x:v>
      </x:c>
      <x:c r="F627" s="1">
        <x:v>11.0</x:v>
      </x:c>
      <x:c r="G627" s="1" t="s">
        <x:v>1067</x:v>
      </x:c>
      <x:c r="H627" s="1" t="s">
        <x:v>1067</x:v>
      </x:c>
      <x:c r="I627" s="1" t="s">
        <x:v>1060</x:v>
      </x:c>
      <x:c r="J627" s="1" t="s">
        <x:v>1067</x:v>
      </x:c>
      <x:c r="K627" s="1">
        <x:v>626.0</x:v>
      </x:c>
      <x:c r="L627" s="1" t="str">
        <x:f t="shared" si="1"/>
        <x:v>Hassan Haskins</x:v>
      </x:c>
      <x:c r="M627" s="127" t="str">
        <x:f>IFERROR(VLOOKUP(E627,RISK!A:B,2,FALSE()),"")</x:f>
      </x:c>
      <x:c r="N627" s="118" t="str">
        <x:f t="shared" si="2"/>
        <x:v>#N/A</x:v>
      </x:c>
      <x:c r="Q627" s="9"/>
      <x:c r="R627" s="9"/>
      <x:c r="S627" s="9"/>
      <x:c r="T627" s="9"/>
    </x:row>
    <x:row r="628" ht="14.25" customHeight="1">
      <x:c r="A628" s="1">
        <x:v>625.0</x:v>
      </x:c>
      <x:c r="B628" s="1">
        <x:v>13.0</x:v>
      </x:c>
      <x:c r="C628" s="1" t="s">
        <x:v>915</x:v>
      </x:c>
      <x:c r="D628" s="1" t="s">
        <x:v>509</x:v>
      </x:c>
      <x:c r="E628" s="1" t="s">
        <x:v>1521</x:v>
      </x:c>
      <x:c r="F628" s="1">
        <x:v>5.0</x:v>
      </x:c>
      <x:c r="G628" s="1" t="s">
        <x:v>1067</x:v>
      </x:c>
      <x:c r="H628" s="1" t="s">
        <x:v>1067</x:v>
      </x:c>
      <x:c r="I628" s="1" t="s">
        <x:v>1060</x:v>
      </x:c>
      <x:c r="J628" s="1" t="s">
        <x:v>1067</x:v>
      </x:c>
      <x:c r="K628" s="1">
        <x:v>627.0</x:v>
      </x:c>
      <x:c r="L628" s="1" t="str">
        <x:f t="shared" si="1"/>
        <x:v>Nikko Remigio</x:v>
      </x:c>
      <x:c r="M628" s="127" t="str">
        <x:f>IFERROR(VLOOKUP(E628,RISK!A:B,2,FALSE()),"")</x:f>
      </x:c>
      <x:c r="N628" s="118" t="str">
        <x:f t="shared" si="2"/>
        <x:v>#N/A</x:v>
      </x:c>
      <x:c r="Q628" s="9"/>
      <x:c r="R628" s="9"/>
      <x:c r="S628" s="9"/>
      <x:c r="T628" s="9"/>
    </x:row>
    <x:row r="629" ht="14.25" customHeight="1">
      <x:c r="A629" s="1">
        <x:v>626.0</x:v>
      </x:c>
      <x:c r="B629" s="1">
        <x:v>13.0</x:v>
      </x:c>
      <x:c r="C629" s="1" t="s">
        <x:v>898</x:v>
      </x:c>
      <x:c r="D629" s="1" t="s">
        <x:v>545</x:v>
      </x:c>
      <x:c r="E629" s="1" t="s">
        <x:v>1522</x:v>
      </x:c>
      <x:c r="F629" s="1">
        <x:v>9.0</x:v>
      </x:c>
      <x:c r="G629" s="1" t="s">
        <x:v>1067</x:v>
      </x:c>
      <x:c r="H629" s="1" t="s">
        <x:v>1067</x:v>
      </x:c>
      <x:c r="I629" s="1" t="s">
        <x:v>1064</x:v>
      </x:c>
      <x:c r="J629" s="1" t="s">
        <x:v>1067</x:v>
      </x:c>
      <x:c r="K629" s="1">
        <x:v>628.0</x:v>
      </x:c>
      <x:c r="L629" s="1" t="str">
        <x:f t="shared" si="1"/>
        <x:v>Ben Skowronek</x:v>
      </x:c>
      <x:c r="M629" s="127" t="str">
        <x:f>IFERROR(VLOOKUP(E629,RISK!A:B,2,FALSE()),"")</x:f>
      </x:c>
      <x:c r="N629" s="118" t="str">
        <x:f t="shared" si="2"/>
        <x:v>#N/A</x:v>
      </x:c>
      <x:c r="Q629" s="9"/>
      <x:c r="R629" s="9"/>
      <x:c r="S629" s="9"/>
      <x:c r="T629" s="9"/>
    </x:row>
    <x:row r="630" ht="14.25" customHeight="1">
      <x:c r="A630" s="1">
        <x:v>627.0</x:v>
      </x:c>
      <x:c r="B630" s="1">
        <x:v>13.0</x:v>
      </x:c>
      <x:c r="C630" s="1" t="s">
        <x:v>904</x:v>
      </x:c>
      <x:c r="D630" s="1" t="s">
        <x:v>537</x:v>
      </x:c>
      <x:c r="E630" s="1" t="s">
        <x:v>1523</x:v>
      </x:c>
      <x:c r="F630" s="1">
        <x:v>5.0</x:v>
      </x:c>
      <x:c r="G630" s="1" t="s">
        <x:v>1067</x:v>
      </x:c>
      <x:c r="H630" s="1" t="s">
        <x:v>1067</x:v>
      </x:c>
      <x:c r="I630" s="1" t="s">
        <x:v>1060</x:v>
      </x:c>
      <x:c r="J630" s="1" t="s">
        <x:v>1067</x:v>
      </x:c>
      <x:c r="K630" s="1">
        <x:v>629.0</x:v>
      </x:c>
      <x:c r="L630" s="1" t="str">
        <x:f t="shared" si="1"/>
        <x:v>David Moore</x:v>
      </x:c>
      <x:c r="M630" s="127" t="str">
        <x:f>IFERROR(VLOOKUP(E630,RISK!A:B,2,FALSE()),"")</x:f>
      </x:c>
      <x:c r="N630" s="118" t="str">
        <x:f t="shared" si="2"/>
        <x:v>#N/A</x:v>
      </x:c>
      <x:c r="Q630" s="9"/>
      <x:c r="R630" s="9"/>
      <x:c r="S630" s="9"/>
      <x:c r="T630" s="9"/>
    </x:row>
    <x:row r="631" ht="14.25" customHeight="1">
      <x:c r="A631" s="1">
        <x:v>628.0</x:v>
      </x:c>
      <x:c r="B631" s="1">
        <x:v>13.0</x:v>
      </x:c>
      <x:c r="C631" s="1" t="s">
        <x:v>582</x:v>
      </x:c>
      <x:c r="D631" s="1" t="s">
        <x:v>497</x:v>
      </x:c>
      <x:c r="E631" s="1" t="s">
        <x:v>1524</x:v>
      </x:c>
      <x:c r="F631" s="1">
        <x:v>10.0</x:v>
      </x:c>
      <x:c r="G631" s="1" t="s">
        <x:v>1067</x:v>
      </x:c>
      <x:c r="H631" s="1" t="s">
        <x:v>1067</x:v>
      </x:c>
      <x:c r="I631" s="1" t="s">
        <x:v>1059</x:v>
      </x:c>
      <x:c r="J631" s="1" t="s">
        <x:v>1067</x:v>
      </x:c>
      <x:c r="K631" s="1">
        <x:v>630.0</x:v>
      </x:c>
      <x:c r="L631" s="1" t="str">
        <x:f t="shared" si="1"/>
        <x:v>Andy Dalton</x:v>
      </x:c>
      <x:c r="M631" s="127" t="n">
        <x:f>IFERROR(VLOOKUP(E631,RISK!A:B,2,FALSE()),"")</x:f>
        <x:v>3.2</x:v>
      </x:c>
      <x:c r="N631" s="118" t="str">
        <x:f t="shared" si="2"/>
        <x:v>#N/A</x:v>
      </x:c>
      <x:c r="Q631" s="9"/>
      <x:c r="R631" s="9"/>
      <x:c r="S631" s="9"/>
      <x:c r="T631" s="9"/>
    </x:row>
    <x:row r="632" ht="14.25" customHeight="1">
      <x:c r="A632" s="1">
        <x:v>629.0</x:v>
      </x:c>
      <x:c r="B632" s="1">
        <x:v>14.0</x:v>
      </x:c>
      <x:c r="C632" s="1" t="s">
        <x:v>902</x:v>
      </x:c>
      <x:c r="D632" s="1" t="s">
        <x:v>545</x:v>
      </x:c>
      <x:c r="E632" s="1" t="s">
        <x:v>1525</x:v>
      </x:c>
      <x:c r="F632" s="1">
        <x:v>9.0</x:v>
      </x:c>
      <x:c r="G632" s="1" t="s">
        <x:v>1067</x:v>
      </x:c>
      <x:c r="H632" s="1" t="s">
        <x:v>1067</x:v>
      </x:c>
      <x:c r="I632" s="1" t="s">
        <x:v>1064</x:v>
      </x:c>
      <x:c r="J632" s="1" t="s">
        <x:v>1067</x:v>
      </x:c>
      <x:c r="K632" s="1">
        <x:v>631.0</x:v>
      </x:c>
      <x:c r="L632" s="1" t="str">
        <x:f t="shared" si="1"/>
        <x:v>Kaden Wetjen</x:v>
      </x:c>
      <x:c r="M632" s="127" t="str">
        <x:f>IFERROR(VLOOKUP(E632,RISK!A:B,2,FALSE()),"")</x:f>
      </x:c>
      <x:c r="N632" s="118" t="str">
        <x:f t="shared" si="2"/>
        <x:v>#N/A</x:v>
      </x:c>
      <x:c r="Q632" s="9"/>
      <x:c r="R632" s="9"/>
      <x:c r="S632" s="9"/>
      <x:c r="T632" s="9"/>
    </x:row>
    <x:row r="633" ht="14.25" customHeight="1">
      <x:c r="A633" s="1">
        <x:v>630.0</x:v>
      </x:c>
      <x:c r="B633" s="1">
        <x:v>14.0</x:v>
      </x:c>
      <x:c r="C633" s="1" t="s">
        <x:v>885</x:v>
      </x:c>
      <x:c r="D633" s="1" t="s">
        <x:v>531</x:v>
      </x:c>
      <x:c r="E633" s="1" t="s">
        <x:v>1526</x:v>
      </x:c>
      <x:c r="F633" s="1">
        <x:v>11.0</x:v>
      </x:c>
      <x:c r="G633" s="1" t="s">
        <x:v>1067</x:v>
      </x:c>
      <x:c r="H633" s="1" t="s">
        <x:v>1067</x:v>
      </x:c>
      <x:c r="I633" s="1" t="s">
        <x:v>1059</x:v>
      </x:c>
      <x:c r="J633" s="1" t="s">
        <x:v>1067</x:v>
      </x:c>
      <x:c r="K633" s="1">
        <x:v>632.0</x:v>
      </x:c>
      <x:c r="L633" s="1" t="str">
        <x:f t="shared" si="1"/>
        <x:v>Bo Melton</x:v>
      </x:c>
      <x:c r="M633" s="127" t="str">
        <x:f>IFERROR(VLOOKUP(E633,RISK!A:B,2,FALSE()),"")</x:f>
      </x:c>
      <x:c r="N633" s="118" t="str">
        <x:f t="shared" si="2"/>
        <x:v>#N/A</x:v>
      </x:c>
      <x:c r="Q633" s="9"/>
      <x:c r="R633" s="9"/>
      <x:c r="S633" s="9"/>
      <x:c r="T633" s="9"/>
    </x:row>
    <x:row r="634" ht="14.25" customHeight="1">
      <x:c r="A634" s="1">
        <x:v>631.0</x:v>
      </x:c>
      <x:c r="B634" s="1">
        <x:v>14.0</x:v>
      </x:c>
      <x:c r="C634" s="1" t="s">
        <x:v>891</x:v>
      </x:c>
      <x:c r="D634" s="1" t="s">
        <x:v>549</x:v>
      </x:c>
      <x:c r="E634" s="1" t="s">
        <x:v>1527</x:v>
      </x:c>
      <x:c r="F634" s="1">
        <x:v>11.0</x:v>
      </x:c>
      <x:c r="G634" s="1" t="s">
        <x:v>1067</x:v>
      </x:c>
      <x:c r="H634" s="1" t="s">
        <x:v>1067</x:v>
      </x:c>
      <x:c r="I634" s="1" t="s">
        <x:v>1064</x:v>
      </x:c>
      <x:c r="J634" s="1" t="s">
        <x:v>1067</x:v>
      </x:c>
      <x:c r="K634" s="1">
        <x:v>633.0</x:v>
      </x:c>
      <x:c r="L634" s="1" t="str">
        <x:f t="shared" si="1"/>
        <x:v>Malachi Corley</x:v>
      </x:c>
      <x:c r="M634" s="127" t="str">
        <x:f>IFERROR(VLOOKUP(E634,RISK!A:B,2,FALSE()),"")</x:f>
      </x:c>
      <x:c r="N634" s="118" t="str">
        <x:f t="shared" si="2"/>
        <x:v>#N/A</x:v>
      </x:c>
      <x:c r="Q634" s="9"/>
      <x:c r="R634" s="9"/>
      <x:c r="S634" s="9"/>
      <x:c r="T634" s="9"/>
    </x:row>
    <x:row r="635" ht="14.25" customHeight="1">
      <x:c r="A635" s="1">
        <x:v>632.0</x:v>
      </x:c>
      <x:c r="B635" s="1">
        <x:v>14.0</x:v>
      </x:c>
      <x:c r="C635" s="1" t="s">
        <x:v>922</x:v>
      </x:c>
      <x:c r="D635" s="1" t="s">
        <x:v>549</x:v>
      </x:c>
      <x:c r="E635" s="1" t="s">
        <x:v>1528</x:v>
      </x:c>
      <x:c r="F635" s="1">
        <x:v>11.0</x:v>
      </x:c>
      <x:c r="G635" s="1" t="s">
        <x:v>1067</x:v>
      </x:c>
      <x:c r="H635" s="1" t="s">
        <x:v>1067</x:v>
      </x:c>
      <x:c r="I635" s="1" t="s">
        <x:v>1064</x:v>
      </x:c>
      <x:c r="J635" s="1" t="s">
        <x:v>1067</x:v>
      </x:c>
      <x:c r="K635" s="1">
        <x:v>634.0</x:v>
      </x:c>
      <x:c r="L635" s="1" t="str">
        <x:f t="shared" si="1"/>
        <x:v>Gage Larvadain</x:v>
      </x:c>
      <x:c r="M635" s="127" t="str">
        <x:f>IFERROR(VLOOKUP(E635,RISK!A:B,2,FALSE()),"")</x:f>
      </x:c>
      <x:c r="N635" s="118" t="str">
        <x:f t="shared" si="2"/>
        <x:v>#N/A</x:v>
      </x:c>
      <x:c r="Q635" s="9"/>
      <x:c r="R635" s="9"/>
      <x:c r="S635" s="9"/>
      <x:c r="T635" s="9"/>
    </x:row>
    <x:row r="636" ht="14.25" customHeight="1">
      <x:c r="A636" s="1">
        <x:v>633.0</x:v>
      </x:c>
      <x:c r="B636" s="1">
        <x:v>14.0</x:v>
      </x:c>
      <x:c r="C636" s="1" t="s">
        <x:v>1529</x:v>
      </x:c>
      <x:c r="D636" s="1" t="s">
        <x:v>533</x:v>
      </x:c>
      <x:c r="E636" s="1" t="s">
        <x:v>1530</x:v>
      </x:c>
      <x:c r="F636" s="1">
        <x:v>11.0</x:v>
      </x:c>
      <x:c r="G636" s="1" t="s">
        <x:v>1067</x:v>
      </x:c>
      <x:c r="H636" s="1" t="s">
        <x:v>1067</x:v>
      </x:c>
      <x:c r="I636" s="1" t="s">
        <x:v>1064</x:v>
      </x:c>
      <x:c r="J636" s="1" t="s">
        <x:v>1067</x:v>
      </x:c>
      <x:c r="K636" s="1">
        <x:v>635.0</x:v>
      </x:c>
      <x:c r="L636" s="1" t="str">
        <x:f t="shared" si="1"/>
        <x:v>Cody White</x:v>
      </x:c>
      <x:c r="M636" s="127" t="str">
        <x:f>IFERROR(VLOOKUP(E636,RISK!A:B,2,FALSE()),"")</x:f>
      </x:c>
      <x:c r="N636" s="118" t="str">
        <x:f t="shared" si="2"/>
        <x:v>#N/A</x:v>
      </x:c>
      <x:c r="Q636" s="9"/>
      <x:c r="R636" s="9"/>
      <x:c r="S636" s="9"/>
      <x:c r="T636" s="9"/>
    </x:row>
    <x:row r="637" ht="14.25" customHeight="1">
      <x:c r="A637" s="1">
        <x:v>634.0</x:v>
      </x:c>
      <x:c r="B637" s="1">
        <x:v>14.0</x:v>
      </x:c>
      <x:c r="C637" s="1" t="s">
        <x:v>906</x:v>
      </x:c>
      <x:c r="D637" s="1" t="s">
        <x:v>543</x:v>
      </x:c>
      <x:c r="E637" s="1" t="s">
        <x:v>1531</x:v>
      </x:c>
      <x:c r="F637" s="1">
        <x:v>14.0</x:v>
      </x:c>
      <x:c r="G637" s="1" t="s">
        <x:v>1067</x:v>
      </x:c>
      <x:c r="H637" s="1" t="s">
        <x:v>1067</x:v>
      </x:c>
      <x:c r="I637" s="1" t="s">
        <x:v>1060</x:v>
      </x:c>
      <x:c r="J637" s="1" t="s">
        <x:v>1067</x:v>
      </x:c>
      <x:c r="K637" s="1">
        <x:v>636.0</x:v>
      </x:c>
      <x:c r="L637" s="1" t="str">
        <x:f t="shared" si="1"/>
        <x:v>Devin Duvernay</x:v>
      </x:c>
      <x:c r="M637" s="127" t="str">
        <x:f>IFERROR(VLOOKUP(E637,RISK!A:B,2,FALSE()),"")</x:f>
      </x:c>
      <x:c r="N637" s="118" t="str">
        <x:f t="shared" si="2"/>
        <x:v>#N/A</x:v>
      </x:c>
      <x:c r="Q637" s="9"/>
      <x:c r="R637" s="9"/>
      <x:c r="S637" s="9"/>
      <x:c r="T637" s="9"/>
    </x:row>
    <x:row r="638" ht="14.25" customHeight="1">
      <x:c r="A638" s="1">
        <x:v>635.0</x:v>
      </x:c>
      <x:c r="B638" s="1">
        <x:v>14.0</x:v>
      </x:c>
      <x:c r="C638" s="1" t="s">
        <x:v>911</x:v>
      </x:c>
      <x:c r="D638" s="1" t="s">
        <x:v>547</x:v>
      </x:c>
      <x:c r="E638" s="1" t="s">
        <x:v>1532</x:v>
      </x:c>
      <x:c r="F638" s="1">
        <x:v>13.0</x:v>
      </x:c>
      <x:c r="G638" s="1" t="s">
        <x:v>1067</x:v>
      </x:c>
      <x:c r="H638" s="1" t="s">
        <x:v>1067</x:v>
      </x:c>
      <x:c r="I638" s="1" t="s">
        <x:v>1060</x:v>
      </x:c>
      <x:c r="J638" s="1" t="s">
        <x:v>1067</x:v>
      </x:c>
      <x:c r="K638" s="1">
        <x:v>637.0</x:v>
      </x:c>
      <x:c r="L638" s="1" t="str">
        <x:f t="shared" si="1"/>
        <x:v>Dareke Young</x:v>
      </x:c>
      <x:c r="M638" s="127" t="str">
        <x:f>IFERROR(VLOOKUP(E638,RISK!A:B,2,FALSE()),"")</x:f>
      </x:c>
      <x:c r="N638" s="118" t="str">
        <x:f t="shared" si="2"/>
        <x:v>#N/A</x:v>
      </x:c>
      <x:c r="Q638" s="9"/>
      <x:c r="R638" s="9"/>
      <x:c r="S638" s="9"/>
      <x:c r="T638" s="9"/>
    </x:row>
    <x:row r="639" ht="14.25" customHeight="1">
      <x:c r="A639" s="1">
        <x:v>636.0</x:v>
      </x:c>
      <x:c r="B639" s="1">
        <x:v>14.0</x:v>
      </x:c>
      <x:c r="C639" s="1" t="s">
        <x:v>920</x:v>
      </x:c>
      <x:c r="D639" s="1" t="s">
        <x:v>499</x:v>
      </x:c>
      <x:c r="E639" s="1" t="s">
        <x:v>1533</x:v>
      </x:c>
      <x:c r="F639" s="1">
        <x:v>6.0</x:v>
      </x:c>
      <x:c r="G639" s="1" t="s">
        <x:v>1067</x:v>
      </x:c>
      <x:c r="H639" s="1" t="s">
        <x:v>1067</x:v>
      </x:c>
      <x:c r="I639" s="1" t="s">
        <x:v>1061</x:v>
      </x:c>
      <x:c r="J639" s="1" t="s">
        <x:v>1067</x:v>
      </x:c>
      <x:c r="K639" s="1">
        <x:v>638.0</x:v>
      </x:c>
      <x:c r="L639" s="1" t="str">
        <x:f t="shared" si="1"/>
        <x:v>Ke'Shawn Williams</x:v>
      </x:c>
      <x:c r="M639" s="127" t="str">
        <x:f>IFERROR(VLOOKUP(E639,RISK!A:B,2,FALSE()),"")</x:f>
      </x:c>
      <x:c r="N639" s="118" t="str">
        <x:f t="shared" si="2"/>
        <x:v>#N/A</x:v>
      </x:c>
      <x:c r="Q639" s="9"/>
      <x:c r="R639" s="9"/>
      <x:c r="S639" s="9"/>
      <x:c r="T639" s="9"/>
    </x:row>
    <x:row r="640" ht="14.25" customHeight="1">
      <x:c r="A640" s="1">
        <x:v>637.0</x:v>
      </x:c>
      <x:c r="B640" s="1">
        <x:v>14.0</x:v>
      </x:c>
      <x:c r="C640" s="1" t="s">
        <x:v>913</x:v>
      </x:c>
      <x:c r="D640" s="1" t="s">
        <x:v>499</x:v>
      </x:c>
      <x:c r="E640" s="1" t="s">
        <x:v>1534</x:v>
      </x:c>
      <x:c r="F640" s="1">
        <x:v>6.0</x:v>
      </x:c>
      <x:c r="G640" s="1" t="s">
        <x:v>1067</x:v>
      </x:c>
      <x:c r="H640" s="1" t="s">
        <x:v>1067</x:v>
      </x:c>
      <x:c r="I640" s="1" t="s">
        <x:v>1061</x:v>
      </x:c>
      <x:c r="J640" s="1" t="s">
        <x:v>1067</x:v>
      </x:c>
      <x:c r="K640" s="1">
        <x:v>639.0</x:v>
      </x:c>
      <x:c r="L640" s="1" t="str">
        <x:f t="shared" si="1"/>
        <x:v>Charlie Jones</x:v>
      </x:c>
      <x:c r="M640" s="127" t="str">
        <x:f>IFERROR(VLOOKUP(E640,RISK!A:B,2,FALSE()),"")</x:f>
      </x:c>
      <x:c r="N640" s="118" t="str">
        <x:f t="shared" si="2"/>
        <x:v>#N/A</x:v>
      </x:c>
      <x:c r="Q640" s="9"/>
      <x:c r="R640" s="9"/>
      <x:c r="S640" s="9"/>
      <x:c r="T640" s="9"/>
    </x:row>
    <x:row r="641" ht="14.25" customHeight="1">
      <x:c r="A641" s="1">
        <x:v>638.0</x:v>
      </x:c>
      <x:c r="B641" s="1">
        <x:v>14.0</x:v>
      </x:c>
      <x:c r="C641" s="1" t="s">
        <x:v>1535</x:v>
      </x:c>
      <x:c r="D641" s="1" t="s">
        <x:v>1136</x:v>
      </x:c>
      <x:c r="E641" s="1" t="s">
        <x:v>1536</x:v>
      </x:c>
      <x:c r="F641" s="1" t="s">
        <x:v>1067</x:v>
      </x:c>
      <x:c r="G641" s="1" t="s">
        <x:v>1067</x:v>
      </x:c>
      <x:c r="H641" s="1" t="s">
        <x:v>1067</x:v>
      </x:c>
      <x:c r="I641" s="1" t="s">
        <x:v>1067</x:v>
      </x:c>
      <x:c r="J641" s="1" t="s">
        <x:v>1067</x:v>
      </x:c>
      <x:c r="K641" s="1">
        <x:v>640.0</x:v>
      </x:c>
      <x:c r="L641" s="1" t="str">
        <x:f t="shared" si="1"/>
        <x:v>Taysom Hill</x:v>
      </x:c>
      <x:c r="M641" s="127" t="n">
        <x:f>IFERROR(VLOOKUP(E641,RISK!A:B,2,FALSE()),"")</x:f>
        <x:v>2.2775</x:v>
      </x:c>
      <x:c r="N641" s="118" t="str">
        <x:f t="shared" si="2"/>
        <x:v>#N/A</x:v>
      </x:c>
      <x:c r="Q641" s="9"/>
      <x:c r="R641" s="9"/>
      <x:c r="S641" s="9"/>
      <x:c r="T641" s="9"/>
    </x:row>
    <x:row r="642" ht="14.25" customHeight="1">
      <x:c r="A642" s="1">
        <x:v>639.0</x:v>
      </x:c>
      <x:c r="B642" s="1">
        <x:v>14.0</x:v>
      </x:c>
      <x:c r="C642" s="1" t="s">
        <x:v>910</x:v>
      </x:c>
      <x:c r="D642" s="1" t="s">
        <x:v>497</x:v>
      </x:c>
      <x:c r="E642" s="1" t="s">
        <x:v>1537</x:v>
      </x:c>
      <x:c r="F642" s="1">
        <x:v>10.0</x:v>
      </x:c>
      <x:c r="G642" s="1" t="s">
        <x:v>1067</x:v>
      </x:c>
      <x:c r="H642" s="1" t="s">
        <x:v>1067</x:v>
      </x:c>
      <x:c r="I642" s="1" t="s">
        <x:v>1061</x:v>
      </x:c>
      <x:c r="J642" s="1" t="s">
        <x:v>1067</x:v>
      </x:c>
      <x:c r="K642" s="1">
        <x:v>641.0</x:v>
      </x:c>
      <x:c r="L642" s="1" t="str">
        <x:f t="shared" si="1"/>
        <x:v>Britain Covey</x:v>
      </x:c>
      <x:c r="M642" s="127" t="str">
        <x:f>IFERROR(VLOOKUP(E642,RISK!A:B,2,FALSE()),"")</x:f>
      </x:c>
      <x:c r="N642" s="118" t="str">
        <x:f t="shared" si="2"/>
        <x:v>#N/A</x:v>
      </x:c>
      <x:c r="Q642" s="9"/>
      <x:c r="R642" s="9"/>
      <x:c r="S642" s="9"/>
      <x:c r="T642" s="9"/>
    </x:row>
    <x:row r="643" ht="14.25" customHeight="1">
      <x:c r="A643" s="1">
        <x:v>640.0</x:v>
      </x:c>
      <x:c r="B643" s="1">
        <x:v>14.0</x:v>
      </x:c>
      <x:c r="C643" s="1" t="s">
        <x:v>1005</x:v>
      </x:c>
      <x:c r="D643" s="1" t="s">
        <x:v>523</x:v>
      </x:c>
      <x:c r="E643" s="1" t="s">
        <x:v>1538</x:v>
      </x:c>
      <x:c r="F643" s="1">
        <x:v>10.0</x:v>
      </x:c>
      <x:c r="G643" s="1" t="s">
        <x:v>1067</x:v>
      </x:c>
      <x:c r="H643" s="1" t="s">
        <x:v>1067</x:v>
      </x:c>
      <x:c r="I643" s="1" t="s">
        <x:v>1060</x:v>
      </x:c>
      <x:c r="J643" s="1" t="s">
        <x:v>1067</x:v>
      </x:c>
      <x:c r="K643" s="1">
        <x:v>642.0</x:v>
      </x:c>
      <x:c r="L643" s="1" t="str">
        <x:f t="shared" si="1"/>
        <x:v>Bauer Sharp</x:v>
      </x:c>
      <x:c r="M643" s="127" t="n">
        <x:f>IFERROR(VLOOKUP(E643,RISK!A:B,2,FALSE()),"")</x:f>
        <x:v>2.2775</x:v>
      </x:c>
      <x:c r="N643" s="118" t="str">
        <x:f t="shared" si="2"/>
        <x:v>#N/A</x:v>
      </x:c>
      <x:c r="Q643" s="9"/>
      <x:c r="R643" s="9"/>
      <x:c r="S643" s="9"/>
      <x:c r="T643" s="9"/>
    </x:row>
    <x:row r="644" ht="14.25" customHeight="1">
      <x:c r="A644" s="1">
        <x:v>641.0</x:v>
      </x:c>
      <x:c r="B644" s="1">
        <x:v>14.0</x:v>
      </x:c>
      <x:c r="C644" s="1" t="s">
        <x:v>919</x:v>
      </x:c>
      <x:c r="D644" s="1" t="s">
        <x:v>491</x:v>
      </x:c>
      <x:c r="E644" s="1" t="s">
        <x:v>1539</x:v>
      </x:c>
      <x:c r="F644" s="1">
        <x:v>13.0</x:v>
      </x:c>
      <x:c r="G644" s="1" t="s">
        <x:v>1067</x:v>
      </x:c>
      <x:c r="H644" s="1" t="s">
        <x:v>1067</x:v>
      </x:c>
      <x:c r="I644" s="1" t="s">
        <x:v>1061</x:v>
      </x:c>
      <x:c r="J644" s="1" t="s">
        <x:v>1067</x:v>
      </x:c>
      <x:c r="K644" s="1">
        <x:v>643.0</x:v>
      </x:c>
      <x:c r="L644" s="1" t="str">
        <x:f t="shared" si="1"/>
        <x:v>LaJohntay Wester</x:v>
      </x:c>
      <x:c r="M644" s="127" t="str">
        <x:f>IFERROR(VLOOKUP(E644,RISK!A:B,2,FALSE()),"")</x:f>
      </x:c>
      <x:c r="N644" s="118" t="str">
        <x:f t="shared" si="2"/>
        <x:v>#N/A</x:v>
      </x:c>
      <x:c r="Q644" s="9"/>
      <x:c r="R644" s="9"/>
      <x:c r="S644" s="9"/>
      <x:c r="T644" s="9"/>
    </x:row>
    <x:row r="645" ht="14.25" customHeight="1">
      <x:c r="A645" s="1">
        <x:v>642.0</x:v>
      </x:c>
      <x:c r="B645" s="1">
        <x:v>14.0</x:v>
      </x:c>
      <x:c r="C645" s="1" t="s">
        <x:v>1023</x:v>
      </x:c>
      <x:c r="D645" s="1" t="s">
        <x:v>549</x:v>
      </x:c>
      <x:c r="E645" s="1" t="s">
        <x:v>1540</x:v>
      </x:c>
      <x:c r="F645" s="1">
        <x:v>11.0</x:v>
      </x:c>
      <x:c r="G645" s="1" t="s">
        <x:v>1067</x:v>
      </x:c>
      <x:c r="H645" s="1" t="s">
        <x:v>1067</x:v>
      </x:c>
      <x:c r="I645" s="1" t="s">
        <x:v>1064</x:v>
      </x:c>
      <x:c r="J645" s="1" t="s">
        <x:v>1067</x:v>
      </x:c>
      <x:c r="K645" s="1">
        <x:v>644.0</x:v>
      </x:c>
      <x:c r="L645" s="1" t="str">
        <x:f t="shared" si="1"/>
        <x:v>Joe Royer</x:v>
      </x:c>
      <x:c r="M645" s="127" t="n">
        <x:f>IFERROR(VLOOKUP(E645,RISK!A:B,2,FALSE()),"")</x:f>
        <x:v>2.2775</x:v>
      </x:c>
      <x:c r="N645" s="118" t="str">
        <x:f t="shared" si="2"/>
        <x:v>#N/A</x:v>
      </x:c>
      <x:c r="Q645" s="9"/>
      <x:c r="R645" s="9"/>
      <x:c r="S645" s="9"/>
      <x:c r="T645" s="9"/>
    </x:row>
    <x:row r="646" ht="14.25" customHeight="1">
      <x:c r="A646" s="1">
        <x:v>643.0</x:v>
      </x:c>
      <x:c r="B646" s="1">
        <x:v>14.0</x:v>
      </x:c>
      <x:c r="C646" s="1" t="s">
        <x:v>1012</x:v>
      </x:c>
      <x:c r="D646" s="1" t="s">
        <x:v>529</x:v>
      </x:c>
      <x:c r="E646" s="1" t="s">
        <x:v>1541</x:v>
      </x:c>
      <x:c r="F646" s="1">
        <x:v>6.0</x:v>
      </x:c>
      <x:c r="G646" s="1" t="s">
        <x:v>1067</x:v>
      </x:c>
      <x:c r="H646" s="1" t="s">
        <x:v>1067</x:v>
      </x:c>
      <x:c r="I646" s="1" t="s">
        <x:v>1059</x:v>
      </x:c>
      <x:c r="J646" s="1" t="s">
        <x:v>1067</x:v>
      </x:c>
      <x:c r="K646" s="1">
        <x:v>645.0</x:v>
      </x:c>
      <x:c r="L646" s="1" t="str">
        <x:f t="shared" si="1"/>
        <x:v>Seydou Traore</x:v>
      </x:c>
      <x:c r="M646" s="127" t="n">
        <x:f>IFERROR(VLOOKUP(E646,RISK!A:B,2,FALSE()),"")</x:f>
        <x:v>2.2775</x:v>
      </x:c>
      <x:c r="N646" s="118" t="str">
        <x:f t="shared" si="2"/>
        <x:v>#N/A</x:v>
      </x:c>
      <x:c r="Q646" s="9"/>
      <x:c r="R646" s="9"/>
      <x:c r="S646" s="9"/>
      <x:c r="T646" s="9"/>
    </x:row>
    <x:row r="647" ht="14.25" customHeight="1">
      <x:c r="A647" s="1">
        <x:v>644.0</x:v>
      </x:c>
      <x:c r="B647" s="1">
        <x:v>14.0</x:v>
      </x:c>
      <x:c r="C647" s="1" t="s">
        <x:v>1542</x:v>
      </x:c>
      <x:c r="D647" s="1" t="s">
        <x:v>501</x:v>
      </x:c>
      <x:c r="E647" s="1" t="s">
        <x:v>1543</x:v>
      </x:c>
      <x:c r="F647" s="1">
        <x:v>8.0</x:v>
      </x:c>
      <x:c r="G647" s="1" t="s">
        <x:v>1067</x:v>
      </x:c>
      <x:c r="H647" s="1" t="s">
        <x:v>1067</x:v>
      </x:c>
      <x:c r="I647" s="1" t="s">
        <x:v>1064</x:v>
      </x:c>
      <x:c r="J647" s="1" t="s">
        <x:v>1067</x:v>
      </x:c>
      <x:c r="K647" s="1">
        <x:v>646.0</x:v>
      </x:c>
      <x:c r="L647" s="1" t="str">
        <x:f t="shared" si="1"/>
        <x:v>Thomas Fidone II</x:v>
      </x:c>
      <x:c r="M647" s="127" t="n">
        <x:f>IFERROR(VLOOKUP(E647,RISK!A:B,2,FALSE()),"")</x:f>
        <x:v>2.2775</x:v>
      </x:c>
      <x:c r="N647" s="118" t="str">
        <x:f t="shared" si="2"/>
        <x:v>#N/A</x:v>
      </x:c>
      <x:c r="Q647" s="9"/>
      <x:c r="R647" s="9"/>
      <x:c r="S647" s="9"/>
      <x:c r="T647" s="9"/>
    </x:row>
    <x:row r="648" ht="14.25" customHeight="1">
      <x:c r="A648" s="1">
        <x:v>645.0</x:v>
      </x:c>
      <x:c r="B648" s="1">
        <x:v>14.0</x:v>
      </x:c>
      <x:c r="C648" s="1" t="s">
        <x:v>907</x:v>
      </x:c>
      <x:c r="D648" s="1" t="s">
        <x:v>541</x:v>
      </x:c>
      <x:c r="E648" s="1" t="s">
        <x:v>1544</x:v>
      </x:c>
      <x:c r="F648" s="1">
        <x:v>9.0</x:v>
      </x:c>
      <x:c r="G648" s="1" t="s">
        <x:v>1067</x:v>
      </x:c>
      <x:c r="H648" s="1" t="s">
        <x:v>1067</x:v>
      </x:c>
      <x:c r="I648" s="1" t="s">
        <x:v>1064</x:v>
      </x:c>
      <x:c r="J648" s="1" t="s">
        <x:v>1067</x:v>
      </x:c>
      <x:c r="K648" s="1">
        <x:v>647.0</x:v>
      </x:c>
      <x:c r="L648" s="1" t="str">
        <x:f t="shared" si="1"/>
        <x:v>Mason Kinsey</x:v>
      </x:c>
      <x:c r="M648" s="127" t="str">
        <x:f>IFERROR(VLOOKUP(E648,RISK!A:B,2,FALSE()),"")</x:f>
      </x:c>
      <x:c r="N648" s="118" t="str">
        <x:f t="shared" si="2"/>
        <x:v>#N/A</x:v>
      </x:c>
      <x:c r="Q648" s="9"/>
      <x:c r="R648" s="9"/>
      <x:c r="S648" s="9"/>
      <x:c r="T648" s="9"/>
    </x:row>
    <x:row r="649" ht="14.25" customHeight="1">
      <x:c r="A649" s="1">
        <x:v>646.0</x:v>
      </x:c>
      <x:c r="B649" s="1">
        <x:v>14.0</x:v>
      </x:c>
      <x:c r="C649" s="1" t="s">
        <x:v>1545</x:v>
      </x:c>
      <x:c r="D649" s="1" t="s">
        <x:v>509</x:v>
      </x:c>
      <x:c r="E649" s="1" t="s">
        <x:v>1546</x:v>
      </x:c>
      <x:c r="F649" s="1">
        <x:v>5.0</x:v>
      </x:c>
      <x:c r="G649" s="1" t="s">
        <x:v>1067</x:v>
      </x:c>
      <x:c r="H649" s="1" t="s">
        <x:v>1067</x:v>
      </x:c>
      <x:c r="I649" s="1" t="s">
        <x:v>1061</x:v>
      </x:c>
      <x:c r="J649" s="1" t="s">
        <x:v>1067</x:v>
      </x:c>
      <x:c r="K649" s="1">
        <x:v>648.0</x:v>
      </x:c>
      <x:c r="L649" s="1" t="str">
        <x:f t="shared" si="1"/>
        <x:v>Jared Wiley</x:v>
      </x:c>
      <x:c r="M649" s="127" t="n">
        <x:f>IFERROR(VLOOKUP(E649,RISK!A:B,2,FALSE()),"")</x:f>
        <x:v>2.2775</x:v>
      </x:c>
      <x:c r="N649" s="118" t="str">
        <x:f t="shared" si="2"/>
        <x:v>#N/A</x:v>
      </x:c>
      <x:c r="Q649" s="9"/>
      <x:c r="R649" s="9"/>
      <x:c r="S649" s="9"/>
      <x:c r="T649" s="9"/>
    </x:row>
    <x:row r="650" ht="14.25" customHeight="1">
      <x:c r="A650" s="1">
        <x:v>647.0</x:v>
      </x:c>
      <x:c r="B650" s="1">
        <x:v>14.0</x:v>
      </x:c>
      <x:c r="C650" s="1" t="s">
        <x:v>1035</x:v>
      </x:c>
      <x:c r="D650" s="1" t="s">
        <x:v>547</x:v>
      </x:c>
      <x:c r="E650" s="1" t="s">
        <x:v>1547</x:v>
      </x:c>
      <x:c r="F650" s="1">
        <x:v>13.0</x:v>
      </x:c>
      <x:c r="G650" s="1" t="s">
        <x:v>1067</x:v>
      </x:c>
      <x:c r="H650" s="1" t="s">
        <x:v>1067</x:v>
      </x:c>
      <x:c r="I650" s="1" t="s">
        <x:v>1064</x:v>
      </x:c>
      <x:c r="J650" s="1" t="s">
        <x:v>1067</x:v>
      </x:c>
      <x:c r="K650" s="1">
        <x:v>649.0</x:v>
      </x:c>
      <x:c r="L650" s="1" t="str">
        <x:f t="shared" si="1"/>
        <x:v>Ian Thomas</x:v>
      </x:c>
      <x:c r="M650" s="127" t="n">
        <x:f>IFERROR(VLOOKUP(E650,RISK!A:B,2,FALSE()),"")</x:f>
        <x:v>2.2775</x:v>
      </x:c>
      <x:c r="N650" s="118" t="str">
        <x:f t="shared" si="2"/>
        <x:v>#N/A</x:v>
      </x:c>
      <x:c r="Q650" s="9"/>
      <x:c r="R650" s="9"/>
      <x:c r="S650" s="9"/>
      <x:c r="T650" s="9"/>
    </x:row>
    <x:row r="651" ht="14.25" customHeight="1">
      <x:c r="A651" s="1">
        <x:v>648.0</x:v>
      </x:c>
      <x:c r="B651" s="1">
        <x:v>14.0</x:v>
      </x:c>
      <x:c r="C651" s="1" t="s">
        <x:v>1037</x:v>
      </x:c>
      <x:c r="D651" s="1" t="s">
        <x:v>549</x:v>
      </x:c>
      <x:c r="E651" s="1" t="s">
        <x:v>1548</x:v>
      </x:c>
      <x:c r="F651" s="1">
        <x:v>11.0</x:v>
      </x:c>
      <x:c r="G651" s="1" t="s">
        <x:v>1067</x:v>
      </x:c>
      <x:c r="H651" s="1" t="s">
        <x:v>1067</x:v>
      </x:c>
      <x:c r="I651" s="1" t="s">
        <x:v>1064</x:v>
      </x:c>
      <x:c r="J651" s="1" t="s">
        <x:v>1067</x:v>
      </x:c>
      <x:c r="K651" s="1">
        <x:v>650.0</x:v>
      </x:c>
      <x:c r="L651" s="1" t="str">
        <x:f t="shared" si="1"/>
        <x:v>Jack Stoll</x:v>
      </x:c>
      <x:c r="M651" s="127" t="n">
        <x:f>IFERROR(VLOOKUP(E651,RISK!A:B,2,FALSE()),"")</x:f>
        <x:v>2.2775</x:v>
      </x:c>
      <x:c r="N651" s="118" t="str">
        <x:f t="shared" si="2"/>
        <x:v>#N/A</x:v>
      </x:c>
      <x:c r="Q651" s="9"/>
      <x:c r="R651" s="9"/>
      <x:c r="S651" s="9"/>
      <x:c r="T651" s="9"/>
    </x:row>
    <x:row r="652" ht="14.25" customHeight="1">
      <x:c r="A652" s="1">
        <x:v>649.0</x:v>
      </x:c>
      <x:c r="B652" s="1">
        <x:v>14.0</x:v>
      </x:c>
      <x:c r="C652" s="1" t="s">
        <x:v>1033</x:v>
      </x:c>
      <x:c r="D652" s="1" t="s">
        <x:v>533</x:v>
      </x:c>
      <x:c r="E652" s="1" t="s">
        <x:v>1549</x:v>
      </x:c>
      <x:c r="F652" s="1">
        <x:v>11.0</x:v>
      </x:c>
      <x:c r="G652" s="1" t="s">
        <x:v>1067</x:v>
      </x:c>
      <x:c r="H652" s="1" t="s">
        <x:v>1067</x:v>
      </x:c>
      <x:c r="I652" s="1" t="s">
        <x:v>1064</x:v>
      </x:c>
      <x:c r="J652" s="1" t="s">
        <x:v>1067</x:v>
      </x:c>
      <x:c r="K652" s="1">
        <x:v>651.0</x:v>
      </x:c>
      <x:c r="L652" s="1" t="str">
        <x:f t="shared" si="1"/>
        <x:v>Eric Saubert</x:v>
      </x:c>
      <x:c r="M652" s="127" t="n">
        <x:f>IFERROR(VLOOKUP(E652,RISK!A:B,2,FALSE()),"")</x:f>
        <x:v>2.2775</x:v>
      </x:c>
      <x:c r="N652" s="118" t="str">
        <x:f t="shared" si="2"/>
        <x:v>#N/A</x:v>
      </x:c>
      <x:c r="Q652" s="9"/>
      <x:c r="R652" s="9"/>
      <x:c r="S652" s="9"/>
      <x:c r="T652" s="9"/>
    </x:row>
    <x:row r="653" ht="14.25" customHeight="1">
      <x:c r="A653" s="1">
        <x:v>650.0</x:v>
      </x:c>
      <x:c r="B653" s="1">
        <x:v>14.0</x:v>
      </x:c>
      <x:c r="C653" s="1" t="s">
        <x:v>1031</x:v>
      </x:c>
      <x:c r="D653" s="1" t="s">
        <x:v>527</x:v>
      </x:c>
      <x:c r="E653" s="1" t="s">
        <x:v>1550</x:v>
      </x:c>
      <x:c r="F653" s="1">
        <x:v>13.0</x:v>
      </x:c>
      <x:c r="G653" s="1" t="s">
        <x:v>1067</x:v>
      </x:c>
      <x:c r="H653" s="1" t="s">
        <x:v>1067</x:v>
      </x:c>
      <x:c r="I653" s="1" t="s">
        <x:v>1064</x:v>
      </x:c>
      <x:c r="J653" s="1" t="s">
        <x:v>1067</x:v>
      </x:c>
      <x:c r="K653" s="1">
        <x:v>652.0</x:v>
      </x:c>
      <x:c r="L653" s="1" t="str">
        <x:f t="shared" si="1"/>
        <x:v>Drew Ogletree</x:v>
      </x:c>
      <x:c r="M653" s="127" t="n">
        <x:f>IFERROR(VLOOKUP(E653,RISK!A:B,2,FALSE()),"")</x:f>
        <x:v>2.2775</x:v>
      </x:c>
      <x:c r="N653" s="118" t="str">
        <x:f t="shared" si="2"/>
        <x:v>#N/A</x:v>
      </x:c>
      <x:c r="Q653" s="9"/>
      <x:c r="R653" s="9"/>
      <x:c r="S653" s="9"/>
      <x:c r="T653" s="9"/>
    </x:row>
    <x:row r="654" ht="14.25" customHeight="1">
      <x:c r="A654" s="1">
        <x:v>651.0</x:v>
      </x:c>
      <x:c r="B654" s="1">
        <x:v>14.0</x:v>
      </x:c>
      <x:c r="C654" s="1" t="s">
        <x:v>1551</x:v>
      </x:c>
      <x:c r="D654" s="1" t="s">
        <x:v>497</x:v>
      </x:c>
      <x:c r="E654" s="1" t="s">
        <x:v>1552</x:v>
      </x:c>
      <x:c r="F654" s="1">
        <x:v>10.0</x:v>
      </x:c>
      <x:c r="G654" s="1" t="s">
        <x:v>1067</x:v>
      </x:c>
      <x:c r="H654" s="1" t="s">
        <x:v>1067</x:v>
      </x:c>
      <x:c r="I654" s="1" t="s">
        <x:v>1061</x:v>
      </x:c>
      <x:c r="J654" s="1" t="s">
        <x:v>1067</x:v>
      </x:c>
      <x:c r="K654" s="1">
        <x:v>653.0</x:v>
      </x:c>
      <x:c r="L654" s="1" t="str">
        <x:f t="shared" si="1"/>
        <x:v>Stone Smartt</x:v>
      </x:c>
      <x:c r="M654" s="127" t="n">
        <x:f>IFERROR(VLOOKUP(E654,RISK!A:B,2,FALSE()),"")</x:f>
        <x:v>2.2775</x:v>
      </x:c>
      <x:c r="N654" s="118" t="str">
        <x:f t="shared" si="2"/>
        <x:v>#N/A</x:v>
      </x:c>
      <x:c r="Q654" s="9"/>
      <x:c r="R654" s="9"/>
      <x:c r="S654" s="9"/>
      <x:c r="T654" s="9"/>
    </x:row>
    <x:row r="655" ht="14.25" customHeight="1">
      <x:c r="A655" s="1">
        <x:v>652.0</x:v>
      </x:c>
      <x:c r="B655" s="1">
        <x:v>14.0</x:v>
      </x:c>
      <x:c r="C655" s="1" t="s">
        <x:v>1034</x:v>
      </x:c>
      <x:c r="D655" s="1" t="s">
        <x:v>543</x:v>
      </x:c>
      <x:c r="E655" s="1" t="s">
        <x:v>1553</x:v>
      </x:c>
      <x:c r="F655" s="1">
        <x:v>14.0</x:v>
      </x:c>
      <x:c r="G655" s="1" t="s">
        <x:v>1067</x:v>
      </x:c>
      <x:c r="H655" s="1" t="s">
        <x:v>1067</x:v>
      </x:c>
      <x:c r="I655" s="1" t="s">
        <x:v>1060</x:v>
      </x:c>
      <x:c r="J655" s="1" t="s">
        <x:v>1067</x:v>
      </x:c>
      <x:c r="K655" s="1">
        <x:v>654.0</x:v>
      </x:c>
      <x:c r="L655" s="1" t="str">
        <x:f t="shared" si="1"/>
        <x:v>Tip Reiman</x:v>
      </x:c>
      <x:c r="M655" s="127" t="str">
        <x:f>IFERROR(VLOOKUP(E655,RISK!A:B,2,FALSE()),"")</x:f>
      </x:c>
      <x:c r="N655" s="118" t="str">
        <x:f t="shared" si="2"/>
        <x:v>#N/A</x:v>
      </x:c>
      <x:c r="Q655" s="9"/>
      <x:c r="R655" s="9"/>
      <x:c r="S655" s="9"/>
      <x:c r="T655" s="9"/>
    </x:row>
    <x:row r="656" ht="14.25" customHeight="1">
      <x:c r="A656" s="1">
        <x:v>653.0</x:v>
      </x:c>
      <x:c r="B656" s="1">
        <x:v>14.0</x:v>
      </x:c>
      <x:c r="C656" s="1" t="s">
        <x:v>1554</x:v>
      </x:c>
      <x:c r="D656" s="1" t="s">
        <x:v>541</x:v>
      </x:c>
      <x:c r="E656" s="1" t="s">
        <x:v>1555</x:v>
      </x:c>
      <x:c r="F656" s="1">
        <x:v>9.0</x:v>
      </x:c>
      <x:c r="G656" s="1" t="s">
        <x:v>1067</x:v>
      </x:c>
      <x:c r="H656" s="1" t="s">
        <x:v>1067</x:v>
      </x:c>
      <x:c r="I656" s="1" t="s">
        <x:v>1064</x:v>
      </x:c>
      <x:c r="J656" s="1" t="s">
        <x:v>1067</x:v>
      </x:c>
      <x:c r="K656" s="1">
        <x:v>655.0</x:v>
      </x:c>
      <x:c r="L656" s="1" t="str">
        <x:f t="shared" si="1"/>
        <x:v>Kylen Granson</x:v>
      </x:c>
      <x:c r="M656" s="127" t="str">
        <x:f>IFERROR(VLOOKUP(E656,RISK!A:B,2,FALSE()),"")</x:f>
      </x:c>
      <x:c r="N656" s="118" t="str">
        <x:f t="shared" si="2"/>
        <x:v>#N/A</x:v>
      </x:c>
      <x:c r="Q656" s="9"/>
      <x:c r="R656" s="9"/>
      <x:c r="S656" s="9"/>
      <x:c r="T656" s="9"/>
    </x:row>
    <x:row r="657" ht="14.25" customHeight="1">
      <x:c r="A657" s="1">
        <x:v>654.0</x:v>
      </x:c>
      <x:c r="B657" s="1">
        <x:v>14.0</x:v>
      </x:c>
      <x:c r="C657" s="1" t="s">
        <x:v>1556</x:v>
      </x:c>
      <x:c r="D657" s="1" t="s">
        <x:v>491</x:v>
      </x:c>
      <x:c r="E657" s="1" t="s">
        <x:v>1557</x:v>
      </x:c>
      <x:c r="F657" s="1">
        <x:v>13.0</x:v>
      </x:c>
      <x:c r="G657" s="1" t="s">
        <x:v>1067</x:v>
      </x:c>
      <x:c r="H657" s="1" t="s">
        <x:v>1067</x:v>
      </x:c>
      <x:c r="I657" s="1" t="s">
        <x:v>1064</x:v>
      </x:c>
      <x:c r="J657" s="1" t="s">
        <x:v>1067</x:v>
      </x:c>
      <x:c r="K657" s="1">
        <x:v>656.0</x:v>
      </x:c>
      <x:c r="L657" s="1" t="str">
        <x:f t="shared" si="1"/>
        <x:v>Elijah Tau-Tolliver</x:v>
      </x:c>
      <x:c r="M657" s="127" t="str">
        <x:f>IFERROR(VLOOKUP(E657,RISK!A:B,2,FALSE()),"")</x:f>
      </x:c>
      <x:c r="N657" s="118" t="str">
        <x:f t="shared" si="2"/>
        <x:v>#N/A</x:v>
      </x:c>
      <x:c r="Q657" s="9"/>
      <x:c r="R657" s="9"/>
      <x:c r="S657" s="9"/>
      <x:c r="T657" s="9"/>
    </x:row>
    <x:row r="658" ht="14.25" customHeight="1">
      <x:c r="A658" s="1">
        <x:v>655.0</x:v>
      </x:c>
      <x:c r="B658" s="1">
        <x:v>14.0</x:v>
      </x:c>
      <x:c r="C658" s="1" t="s">
        <x:v>1558</x:v>
      </x:c>
      <x:c r="D658" s="1" t="s">
        <x:v>543</x:v>
      </x:c>
      <x:c r="E658" s="1" t="s">
        <x:v>1559</x:v>
      </x:c>
      <x:c r="F658" s="1">
        <x:v>14.0</x:v>
      </x:c>
      <x:c r="G658" s="1" t="s">
        <x:v>1067</x:v>
      </x:c>
      <x:c r="H658" s="1" t="s">
        <x:v>1067</x:v>
      </x:c>
      <x:c r="I658" s="1" t="s">
        <x:v>1060</x:v>
      </x:c>
      <x:c r="J658" s="1">
        <x:v>-335.0</x:v>
      </x:c>
      <x:c r="K658" s="1">
        <x:v>657.0</x:v>
      </x:c>
      <x:c r="L658" s="1" t="str">
        <x:f t="shared" si="1"/>
        <x:v>Teagan Quitoriano</x:v>
      </x:c>
      <x:c r="M658" s="127" t="str">
        <x:f>IFERROR(VLOOKUP(E658,RISK!A:B,2,FALSE()),"")</x:f>
      </x:c>
      <x:c r="N658" s="118" t="str">
        <x:f t="shared" si="2"/>
        <x:v>#N/A</x:v>
      </x:c>
      <x:c r="Q658" s="9"/>
      <x:c r="R658" s="9"/>
      <x:c r="S658" s="9"/>
      <x:c r="T658" s="9"/>
    </x:row>
    <x:row r="659" ht="14.25" customHeight="1">
      <x:c r="A659" s="1">
        <x:v>656.0</x:v>
      </x:c>
      <x:c r="B659" s="1">
        <x:v>14.0</x:v>
      </x:c>
      <x:c r="C659" s="1" t="s">
        <x:v>1002</x:v>
      </x:c>
      <x:c r="D659" s="1" t="s">
        <x:v>497</x:v>
      </x:c>
      <x:c r="E659" s="1" t="s">
        <x:v>1560</x:v>
      </x:c>
      <x:c r="F659" s="1">
        <x:v>10.0</x:v>
      </x:c>
      <x:c r="G659" s="1" t="s">
        <x:v>1067</x:v>
      </x:c>
      <x:c r="H659" s="1" t="s">
        <x:v>1067</x:v>
      </x:c>
      <x:c r="I659" s="1" t="s">
        <x:v>1061</x:v>
      </x:c>
      <x:c r="J659" s="1" t="s">
        <x:v>1067</x:v>
      </x:c>
      <x:c r="K659" s="1">
        <x:v>658.0</x:v>
      </x:c>
      <x:c r="L659" s="1" t="str">
        <x:f t="shared" si="1"/>
        <x:v>Grant Calcaterra</x:v>
      </x:c>
      <x:c r="M659" s="127" t="str">
        <x:f>IFERROR(VLOOKUP(E659,RISK!A:B,2,FALSE()),"")</x:f>
      </x:c>
      <x:c r="N659" s="118" t="str">
        <x:f t="shared" si="2"/>
        <x:v>#N/A</x:v>
      </x:c>
      <x:c r="Q659" s="9"/>
      <x:c r="R659" s="9"/>
      <x:c r="S659" s="9"/>
      <x:c r="T659" s="9"/>
    </x:row>
    <x:row r="660" ht="14.25" customHeight="1">
      <x:c r="A660" s="1">
        <x:v>657.0</x:v>
      </x:c>
      <x:c r="B660" s="1">
        <x:v>14.0</x:v>
      </x:c>
      <x:c r="C660" s="1" t="s">
        <x:v>1561</x:v>
      </x:c>
      <x:c r="D660" s="1" t="s">
        <x:v>509</x:v>
      </x:c>
      <x:c r="E660" s="1" t="s">
        <x:v>1562</x:v>
      </x:c>
      <x:c r="F660" s="1">
        <x:v>5.0</x:v>
      </x:c>
      <x:c r="G660" s="1" t="s">
        <x:v>1067</x:v>
      </x:c>
      <x:c r="H660" s="1" t="s">
        <x:v>1067</x:v>
      </x:c>
      <x:c r="I660" s="1" t="s">
        <x:v>1061</x:v>
      </x:c>
      <x:c r="J660" s="1" t="s">
        <x:v>1067</x:v>
      </x:c>
      <x:c r="K660" s="1">
        <x:v>659.0</x:v>
      </x:c>
      <x:c r="L660" s="1" t="str">
        <x:f t="shared" si="1"/>
        <x:v>Jake Briningstool</x:v>
      </x:c>
      <x:c r="M660" s="127" t="str">
        <x:f>IFERROR(VLOOKUP(E660,RISK!A:B,2,FALSE()),"")</x:f>
      </x:c>
      <x:c r="N660" s="118" t="str">
        <x:f t="shared" si="2"/>
        <x:v>#N/A</x:v>
      </x:c>
      <x:c r="Q660" s="9"/>
      <x:c r="R660" s="9"/>
      <x:c r="S660" s="9"/>
      <x:c r="T660" s="9"/>
    </x:row>
    <x:row r="661" ht="14.25" customHeight="1">
      <x:c r="A661" s="1">
        <x:v>658.0</x:v>
      </x:c>
      <x:c r="B661" s="1">
        <x:v>14.0</x:v>
      </x:c>
      <x:c r="C661" s="1" t="s">
        <x:v>1026</x:v>
      </x:c>
      <x:c r="D661" s="1" t="s">
        <x:v>515</x:v>
      </x:c>
      <x:c r="E661" s="1" t="s">
        <x:v>1563</x:v>
      </x:c>
      <x:c r="F661" s="1">
        <x:v>10.0</x:v>
      </x:c>
      <x:c r="G661" s="1" t="s">
        <x:v>1067</x:v>
      </x:c>
      <x:c r="H661" s="1" t="s">
        <x:v>1067</x:v>
      </x:c>
      <x:c r="I661" s="1" t="s">
        <x:v>1061</x:v>
      </x:c>
      <x:c r="J661" s="1" t="s">
        <x:v>1067</x:v>
      </x:c>
      <x:c r="K661" s="1">
        <x:v>660.0</x:v>
      </x:c>
      <x:c r="L661" s="1" t="str">
        <x:f t="shared" si="1"/>
        <x:v>Lucas Krull</x:v>
      </x:c>
      <x:c r="M661" s="127" t="str">
        <x:f>IFERROR(VLOOKUP(E661,RISK!A:B,2,FALSE()),"")</x:f>
      </x:c>
      <x:c r="N661" s="118" t="str">
        <x:f t="shared" si="2"/>
        <x:v>#N/A</x:v>
      </x:c>
      <x:c r="Q661" s="9"/>
      <x:c r="R661" s="9"/>
      <x:c r="S661" s="9"/>
      <x:c r="T661" s="9"/>
    </x:row>
    <x:row r="662" ht="14.25" customHeight="1">
      <x:c r="A662" s="1">
        <x:v>659.0</x:v>
      </x:c>
      <x:c r="B662" s="1">
        <x:v>14.0</x:v>
      </x:c>
      <x:c r="C662" s="1" t="s">
        <x:v>1564</x:v>
      </x:c>
      <x:c r="D662" s="1" t="s">
        <x:v>525</x:v>
      </x:c>
      <x:c r="E662" s="1" t="s">
        <x:v>1565</x:v>
      </x:c>
      <x:c r="F662" s="1">
        <x:v>6.0</x:v>
      </x:c>
      <x:c r="G662" s="1" t="s">
        <x:v>1067</x:v>
      </x:c>
      <x:c r="H662" s="1" t="s">
        <x:v>1067</x:v>
      </x:c>
      <x:c r="I662" s="1" t="s">
        <x:v>1061</x:v>
      </x:c>
      <x:c r="J662" s="1" t="s">
        <x:v>1067</x:v>
      </x:c>
      <x:c r="K662" s="1">
        <x:v>661.0</x:v>
      </x:c>
      <x:c r="L662" s="1" t="str">
        <x:f t="shared" si="1"/>
        <x:v>Ben Yurosek</x:v>
      </x:c>
      <x:c r="M662" s="127" t="str">
        <x:f>IFERROR(VLOOKUP(E662,RISK!A:B,2,FALSE()),"")</x:f>
      </x:c>
      <x:c r="N662" s="118" t="str">
        <x:f t="shared" si="2"/>
        <x:v>#N/A</x:v>
      </x:c>
      <x:c r="Q662" s="9"/>
      <x:c r="R662" s="9"/>
      <x:c r="S662" s="9"/>
      <x:c r="T662" s="9"/>
    </x:row>
    <x:row r="663" ht="14.25" customHeight="1">
      <x:c r="A663" s="1">
        <x:v>660.0</x:v>
      </x:c>
      <x:c r="B663" s="1">
        <x:v>14.0</x:v>
      </x:c>
      <x:c r="C663" s="1" t="s">
        <x:v>1009</x:v>
      </x:c>
      <x:c r="D663" s="1" t="s">
        <x:v>501</x:v>
      </x:c>
      <x:c r="E663" s="1" t="s">
        <x:v>1566</x:v>
      </x:c>
      <x:c r="F663" s="1">
        <x:v>8.0</x:v>
      </x:c>
      <x:c r="G663" s="1" t="s">
        <x:v>1067</x:v>
      </x:c>
      <x:c r="H663" s="1" t="s">
        <x:v>1067</x:v>
      </x:c>
      <x:c r="I663" s="1" t="s">
        <x:v>1064</x:v>
      </x:c>
      <x:c r="J663" s="1" t="s">
        <x:v>1067</x:v>
      </x:c>
      <x:c r="K663" s="1">
        <x:v>662.0</x:v>
      </x:c>
      <x:c r="L663" s="1" t="str">
        <x:f t="shared" si="1"/>
        <x:v>Tanner Conner</x:v>
      </x:c>
      <x:c r="M663" s="127" t="str">
        <x:f>IFERROR(VLOOKUP(E663,RISK!A:B,2,FALSE()),"")</x:f>
      </x:c>
      <x:c r="N663" s="118" t="str">
        <x:f t="shared" si="2"/>
        <x:v>#N/A</x:v>
      </x:c>
      <x:c r="Q663" s="9"/>
      <x:c r="R663" s="9"/>
      <x:c r="S663" s="9"/>
      <x:c r="T663" s="9"/>
    </x:row>
    <x:row r="664" ht="14.25" customHeight="1">
      <x:c r="A664" s="1">
        <x:v>661.0</x:v>
      </x:c>
      <x:c r="B664" s="1">
        <x:v>14.0</x:v>
      </x:c>
      <x:c r="C664" s="1" t="s">
        <x:v>1567</x:v>
      </x:c>
      <x:c r="D664" s="1" t="s">
        <x:v>547</x:v>
      </x:c>
      <x:c r="E664" s="1" t="s">
        <x:v>1568</x:v>
      </x:c>
      <x:c r="F664" s="1">
        <x:v>13.0</x:v>
      </x:c>
      <x:c r="G664" s="1" t="s">
        <x:v>1067</x:v>
      </x:c>
      <x:c r="H664" s="1" t="s">
        <x:v>1067</x:v>
      </x:c>
      <x:c r="I664" s="1" t="s">
        <x:v>1064</x:v>
      </x:c>
      <x:c r="J664" s="1" t="s">
        <x:v>1067</x:v>
      </x:c>
      <x:c r="K664" s="1">
        <x:v>663.0</x:v>
      </x:c>
      <x:c r="L664" s="1" t="str">
        <x:f t="shared" si="1"/>
        <x:v>Albert Okwuegbunam Jr.</x:v>
      </x:c>
      <x:c r="M664" s="127" t="str">
        <x:f>IFERROR(VLOOKUP(E664,RISK!A:B,2,FALSE()),"")</x:f>
      </x:c>
      <x:c r="N664" s="118" t="str">
        <x:f t="shared" si="2"/>
        <x:v>#N/A</x:v>
      </x:c>
      <x:c r="Q664" s="9"/>
      <x:c r="R664" s="9"/>
      <x:c r="S664" s="9"/>
      <x:c r="T664" s="9"/>
    </x:row>
    <x:row r="665" ht="14.25" customHeight="1">
      <x:c r="A665" s="1">
        <x:v>662.0</x:v>
      </x:c>
      <x:c r="B665" s="1">
        <x:v>14.0</x:v>
      </x:c>
      <x:c r="C665" s="1" t="s">
        <x:v>999</x:v>
      </x:c>
      <x:c r="D665" s="1" t="s">
        <x:v>527</x:v>
      </x:c>
      <x:c r="E665" s="1" t="s">
        <x:v>1569</x:v>
      </x:c>
      <x:c r="F665" s="1">
        <x:v>13.0</x:v>
      </x:c>
      <x:c r="G665" s="1" t="s">
        <x:v>1067</x:v>
      </x:c>
      <x:c r="H665" s="1" t="s">
        <x:v>1067</x:v>
      </x:c>
      <x:c r="I665" s="1" t="s">
        <x:v>1064</x:v>
      </x:c>
      <x:c r="J665" s="1" t="s">
        <x:v>1067</x:v>
      </x:c>
      <x:c r="K665" s="1">
        <x:v>664.0</x:v>
      </x:c>
      <x:c r="L665" s="1" t="str">
        <x:f t="shared" si="1"/>
        <x:v>Will Mallory</x:v>
      </x:c>
      <x:c r="M665" s="127" t="str">
        <x:f>IFERROR(VLOOKUP(E665,RISK!A:B,2,FALSE()),"")</x:f>
      </x:c>
      <x:c r="N665" s="118" t="str">
        <x:f t="shared" si="2"/>
        <x:v>#N/A</x:v>
      </x:c>
      <x:c r="Q665" s="9"/>
      <x:c r="R665" s="9"/>
      <x:c r="S665" s="9"/>
      <x:c r="T665" s="9"/>
    </x:row>
    <x:row r="666" ht="14.25" customHeight="1">
      <x:c r="A666" s="1">
        <x:v>663.0</x:v>
      </x:c>
      <x:c r="B666" s="1">
        <x:v>14.0</x:v>
      </x:c>
      <x:c r="C666" s="1" t="s">
        <x:v>1036</x:v>
      </x:c>
      <x:c r="D666" s="1" t="s">
        <x:v>497</x:v>
      </x:c>
      <x:c r="E666" s="1" t="s">
        <x:v>1570</x:v>
      </x:c>
      <x:c r="F666" s="1">
        <x:v>10.0</x:v>
      </x:c>
      <x:c r="G666" s="1" t="s">
        <x:v>1067</x:v>
      </x:c>
      <x:c r="H666" s="1" t="s">
        <x:v>1067</x:v>
      </x:c>
      <x:c r="I666" s="1" t="s">
        <x:v>1061</x:v>
      </x:c>
      <x:c r="J666" s="1" t="s">
        <x:v>1067</x:v>
      </x:c>
      <x:c r="K666" s="1">
        <x:v>665.0</x:v>
      </x:c>
      <x:c r="L666" s="1" t="str">
        <x:f t="shared" si="1"/>
        <x:v>Johnny Mundt</x:v>
      </x:c>
      <x:c r="M666" s="127" t="str">
        <x:f>IFERROR(VLOOKUP(E666,RISK!A:B,2,FALSE()),"")</x:f>
      </x:c>
      <x:c r="N666" s="118" t="str">
        <x:f t="shared" si="2"/>
        <x:v>#N/A</x:v>
      </x:c>
      <x:c r="Q666" s="9"/>
      <x:c r="R666" s="9"/>
      <x:c r="S666" s="9"/>
      <x:c r="T666" s="9"/>
    </x:row>
    <x:row r="667" ht="14.25" customHeight="1">
      <x:c r="A667" s="1">
        <x:v>664.0</x:v>
      </x:c>
      <x:c r="B667" s="1">
        <x:v>14.0</x:v>
      </x:c>
      <x:c r="C667" s="1" t="s">
        <x:v>1004</x:v>
      </x:c>
      <x:c r="D667" s="1" t="s">
        <x:v>551</x:v>
      </x:c>
      <x:c r="E667" s="1" t="s">
        <x:v>1571</x:v>
      </x:c>
      <x:c r="F667" s="1">
        <x:v>11.0</x:v>
      </x:c>
      <x:c r="G667" s="1" t="s">
        <x:v>1067</x:v>
      </x:c>
      <x:c r="H667" s="1" t="s">
        <x:v>1067</x:v>
      </x:c>
      <x:c r="I667" s="1" t="s">
        <x:v>1064</x:v>
      </x:c>
      <x:c r="J667" s="1" t="s">
        <x:v>1067</x:v>
      </x:c>
      <x:c r="K667" s="1">
        <x:v>666.0</x:v>
      </x:c>
      <x:c r="L667" s="1" t="str">
        <x:f t="shared" si="1"/>
        <x:v>Charlie Woerner</x:v>
      </x:c>
      <x:c r="M667" s="127" t="str">
        <x:f>IFERROR(VLOOKUP(E667,RISK!A:B,2,FALSE()),"")</x:f>
      </x:c>
      <x:c r="N667" s="118" t="str">
        <x:f t="shared" si="2"/>
        <x:v>#N/A</x:v>
      </x:c>
      <x:c r="Q667" s="9"/>
      <x:c r="R667" s="9"/>
      <x:c r="S667" s="9"/>
      <x:c r="T667" s="9"/>
    </x:row>
    <x:row r="668" ht="14.25" customHeight="1">
      <x:c r="A668" s="1">
        <x:v>665.0</x:v>
      </x:c>
      <x:c r="B668" s="1">
        <x:v>14.0</x:v>
      </x:c>
      <x:c r="C668" s="1" t="s">
        <x:v>1572</x:v>
      </x:c>
      <x:c r="D668" s="1" t="s">
        <x:v>541</x:v>
      </x:c>
      <x:c r="E668" s="1" t="s">
        <x:v>1573</x:v>
      </x:c>
      <x:c r="F668" s="1">
        <x:v>9.0</x:v>
      </x:c>
      <x:c r="G668" s="1" t="s">
        <x:v>1067</x:v>
      </x:c>
      <x:c r="H668" s="1" t="s">
        <x:v>1067</x:v>
      </x:c>
      <x:c r="I668" s="1" t="s">
        <x:v>1064</x:v>
      </x:c>
      <x:c r="J668" s="1" t="s">
        <x:v>1067</x:v>
      </x:c>
      <x:c r="K668" s="1">
        <x:v>667.0</x:v>
      </x:c>
      <x:c r="L668" s="1" t="str">
        <x:f t="shared" si="1"/>
        <x:v>David Martin-Robinson</x:v>
      </x:c>
      <x:c r="M668" s="127" t="str">
        <x:f>IFERROR(VLOOKUP(E668,RISK!A:B,2,FALSE()),"")</x:f>
      </x:c>
      <x:c r="N668" s="118" t="str">
        <x:f t="shared" si="2"/>
        <x:v>#N/A</x:v>
      </x:c>
      <x:c r="Q668" s="9"/>
      <x:c r="R668" s="9"/>
      <x:c r="S668" s="9"/>
      <x:c r="T668" s="9"/>
    </x:row>
    <x:row r="669" ht="14.25" customHeight="1">
      <x:c r="A669" s="1">
        <x:v>666.0</x:v>
      </x:c>
      <x:c r="B669" s="1">
        <x:v>14.0</x:v>
      </x:c>
      <x:c r="C669" s="1" t="s">
        <x:v>1574</x:v>
      </x:c>
      <x:c r="D669" s="1" t="s">
        <x:v>543</x:v>
      </x:c>
      <x:c r="E669" s="1" t="s">
        <x:v>1575</x:v>
      </x:c>
      <x:c r="F669" s="1">
        <x:v>14.0</x:v>
      </x:c>
      <x:c r="G669" s="1" t="s">
        <x:v>1067</x:v>
      </x:c>
      <x:c r="H669" s="1" t="s">
        <x:v>1067</x:v>
      </x:c>
      <x:c r="I669" s="1" t="s">
        <x:v>1060</x:v>
      </x:c>
      <x:c r="J669" s="1" t="s">
        <x:v>1067</x:v>
      </x:c>
      <x:c r="K669" s="1">
        <x:v>668.0</x:v>
      </x:c>
      <x:c r="L669" s="1" t="str">
        <x:f t="shared" si="1"/>
        <x:v>Corey Kiner</x:v>
      </x:c>
      <x:c r="M669" s="127" t="str">
        <x:f>IFERROR(VLOOKUP(E669,RISK!A:B,2,FALSE()),"")</x:f>
      </x:c>
      <x:c r="N669" s="118" t="str">
        <x:f t="shared" si="2"/>
        <x:v>#N/A</x:v>
      </x:c>
      <x:c r="Q669" s="9"/>
      <x:c r="R669" s="9"/>
      <x:c r="S669" s="9"/>
      <x:c r="T669" s="9"/>
    </x:row>
    <x:row r="670" ht="14.25" customHeight="1">
      <x:c r="A670" s="1">
        <x:v>667.0</x:v>
      </x:c>
      <x:c r="B670" s="1">
        <x:v>14.0</x:v>
      </x:c>
      <x:c r="C670" s="1" t="s">
        <x:v>1028</x:v>
      </x:c>
      <x:c r="D670" s="1" t="s">
        <x:v>493</x:v>
      </x:c>
      <x:c r="E670" s="1" t="s">
        <x:v>1576</x:v>
      </x:c>
      <x:c r="F670" s="1">
        <x:v>11.0</x:v>
      </x:c>
      <x:c r="G670" s="1" t="s">
        <x:v>1067</x:v>
      </x:c>
      <x:c r="H670" s="1" t="s">
        <x:v>1067</x:v>
      </x:c>
      <x:c r="I670" s="1" t="s">
        <x:v>1061</x:v>
      </x:c>
      <x:c r="J670" s="1" t="s">
        <x:v>1067</x:v>
      </x:c>
      <x:c r="K670" s="1">
        <x:v>669.0</x:v>
      </x:c>
      <x:c r="L670" s="1" t="str">
        <x:f t="shared" si="1"/>
        <x:v>CJ Dippre</x:v>
      </x:c>
      <x:c r="M670" s="127" t="str">
        <x:f>IFERROR(VLOOKUP(E670,RISK!A:B,2,FALSE()),"")</x:f>
      </x:c>
      <x:c r="N670" s="118" t="str">
        <x:f t="shared" si="2"/>
        <x:v>#N/A</x:v>
      </x:c>
      <x:c r="Q670" s="9"/>
      <x:c r="R670" s="9"/>
      <x:c r="S670" s="9"/>
      <x:c r="T670" s="9"/>
    </x:row>
    <x:row r="671" ht="14.25" customHeight="1">
      <x:c r="A671" s="1">
        <x:v>668.0</x:v>
      </x:c>
      <x:c r="B671" s="1">
        <x:v>14.0</x:v>
      </x:c>
      <x:c r="C671" s="1" t="s">
        <x:v>1577</x:v>
      </x:c>
      <x:c r="D671" s="1" t="s">
        <x:v>503</x:v>
      </x:c>
      <x:c r="E671" s="1" t="s">
        <x:v>1578</x:v>
      </x:c>
      <x:c r="F671" s="1">
        <x:v>8.0</x:v>
      </x:c>
      <x:c r="G671" s="1" t="s">
        <x:v>1067</x:v>
      </x:c>
      <x:c r="H671" s="1" t="s">
        <x:v>1067</x:v>
      </x:c>
      <x:c r="I671" s="1" t="s">
        <x:v>1064</x:v>
      </x:c>
      <x:c r="J671" s="1" t="s">
        <x:v>1067</x:v>
      </x:c>
      <x:c r="K671" s="1">
        <x:v>670.0</x:v>
      </x:c>
      <x:c r="L671" s="1" t="str">
        <x:f t="shared" si="1"/>
        <x:v>Brayden Willis</x:v>
      </x:c>
      <x:c r="M671" s="127" t="str">
        <x:f>IFERROR(VLOOKUP(E671,RISK!A:B,2,FALSE()),"")</x:f>
      </x:c>
      <x:c r="N671" s="118" t="str">
        <x:f t="shared" si="2"/>
        <x:v>#N/A</x:v>
      </x:c>
      <x:c r="Q671" s="9"/>
      <x:c r="R671" s="9"/>
      <x:c r="S671" s="9"/>
      <x:c r="T671" s="9"/>
    </x:row>
    <x:row r="672" ht="14.25" customHeight="1">
      <x:c r="A672" s="1">
        <x:v>669.0</x:v>
      </x:c>
      <x:c r="B672" s="1">
        <x:v>14.0</x:v>
      </x:c>
      <x:c r="C672" s="1" t="s">
        <x:v>1579</x:v>
      </x:c>
      <x:c r="D672" s="1" t="s">
        <x:v>535</x:v>
      </x:c>
      <x:c r="E672" s="1" t="s">
        <x:v>1580</x:v>
      </x:c>
      <x:c r="F672" s="1">
        <x:v>8.0</x:v>
      </x:c>
      <x:c r="G672" s="1" t="s">
        <x:v>1067</x:v>
      </x:c>
      <x:c r="H672" s="1" t="s">
        <x:v>1067</x:v>
      </x:c>
      <x:c r="I672" s="1" t="s">
        <x:v>1061</x:v>
      </x:c>
      <x:c r="J672" s="1" t="s">
        <x:v>1067</x:v>
      </x:c>
      <x:c r="K672" s="1">
        <x:v>671.0</x:v>
      </x:c>
      <x:c r="L672" s="1" t="str">
        <x:f t="shared" si="1"/>
        <x:v>Brevin Jordan</x:v>
      </x:c>
      <x:c r="M672" s="127" t="str">
        <x:f>IFERROR(VLOOKUP(E672,RISK!A:B,2,FALSE()),"")</x:f>
      </x:c>
      <x:c r="N672" s="118" t="str">
        <x:f t="shared" si="2"/>
        <x:v>#N/A</x:v>
      </x:c>
      <x:c r="Q672" s="9"/>
      <x:c r="R672" s="9"/>
      <x:c r="S672" s="9"/>
      <x:c r="T672" s="9"/>
    </x:row>
    <x:row r="673" ht="14.25" customHeight="1">
      <x:c r="A673" s="1">
        <x:v>670.0</x:v>
      </x:c>
      <x:c r="B673" s="1">
        <x:v>14.0</x:v>
      </x:c>
      <x:c r="C673" s="1" t="s">
        <x:v>1581</x:v>
      </x:c>
      <x:c r="D673" s="1" t="s">
        <x:v>495</x:v>
      </x:c>
      <x:c r="E673" s="1" t="s">
        <x:v>1582</x:v>
      </x:c>
      <x:c r="F673" s="1">
        <x:v>7.0</x:v>
      </x:c>
      <x:c r="G673" s="1" t="s">
        <x:v>1067</x:v>
      </x:c>
      <x:c r="H673" s="1" t="s">
        <x:v>1067</x:v>
      </x:c>
      <x:c r="I673" s="1" t="s">
        <x:v>1063</x:v>
      </x:c>
      <x:c r="J673" s="1" t="s">
        <x:v>1067</x:v>
      </x:c>
      <x:c r="K673" s="1">
        <x:v>672.0</x:v>
      </x:c>
      <x:c r="L673" s="1" t="str">
        <x:f t="shared" si="1"/>
        <x:v>Colson Yankoff</x:v>
      </x:c>
      <x:c r="M673" s="127" t="str">
        <x:f>IFERROR(VLOOKUP(E673,RISK!A:B,2,FALSE()),"")</x:f>
      </x:c>
      <x:c r="N673" s="118" t="str">
        <x:f t="shared" si="2"/>
        <x:v>#N/A</x:v>
      </x:c>
      <x:c r="Q673" s="9"/>
      <x:c r="R673" s="9"/>
      <x:c r="S673" s="9"/>
      <x:c r="T673" s="9"/>
    </x:row>
    <x:row r="674" ht="14.25" customHeight="1">
      <x:c r="A674" s="1">
        <x:v>671.0</x:v>
      </x:c>
      <x:c r="B674" s="1">
        <x:v>14.0</x:v>
      </x:c>
      <x:c r="C674" s="1" t="s">
        <x:v>1583</x:v>
      </x:c>
      <x:c r="D674" s="1" t="s">
        <x:v>497</x:v>
      </x:c>
      <x:c r="E674" s="1" t="s">
        <x:v>1584</x:v>
      </x:c>
      <x:c r="F674" s="1">
        <x:v>10.0</x:v>
      </x:c>
      <x:c r="G674" s="1" t="s">
        <x:v>1067</x:v>
      </x:c>
      <x:c r="H674" s="1" t="s">
        <x:v>1067</x:v>
      </x:c>
      <x:c r="I674" s="1" t="s">
        <x:v>1061</x:v>
      </x:c>
      <x:c r="J674" s="1" t="s">
        <x:v>1067</x:v>
      </x:c>
      <x:c r="K674" s="1">
        <x:v>673.0</x:v>
      </x:c>
      <x:c r="L674" s="1" t="str">
        <x:f t="shared" si="1"/>
        <x:v>Cameron Latu</x:v>
      </x:c>
      <x:c r="M674" s="127" t="str">
        <x:f>IFERROR(VLOOKUP(E674,RISK!A:B,2,FALSE()),"")</x:f>
      </x:c>
      <x:c r="N674" s="118" t="str">
        <x:f t="shared" si="2"/>
        <x:v>#N/A</x:v>
      </x:c>
      <x:c r="Q674" s="9"/>
      <x:c r="R674" s="9"/>
      <x:c r="S674" s="9"/>
      <x:c r="T674" s="9"/>
    </x:row>
    <x:row r="675" ht="14.25" customHeight="1">
      <x:c r="A675" s="1">
        <x:v>672.0</x:v>
      </x:c>
      <x:c r="B675" s="1">
        <x:v>14.0</x:v>
      </x:c>
      <x:c r="C675" s="1" t="s">
        <x:v>998</x:v>
      </x:c>
      <x:c r="D675" s="1" t="s">
        <x:v>503</x:v>
      </x:c>
      <x:c r="E675" s="1" t="s">
        <x:v>1585</x:v>
      </x:c>
      <x:c r="F675" s="1">
        <x:v>8.0</x:v>
      </x:c>
      <x:c r="G675" s="1" t="s">
        <x:v>1067</x:v>
      </x:c>
      <x:c r="H675" s="1" t="s">
        <x:v>1067</x:v>
      </x:c>
      <x:c r="I675" s="1" t="s">
        <x:v>1064</x:v>
      </x:c>
      <x:c r="J675" s="1" t="s">
        <x:v>1067</x:v>
      </x:c>
      <x:c r="K675" s="1">
        <x:v>674.0</x:v>
      </x:c>
      <x:c r="L675" s="1" t="str">
        <x:f t="shared" si="1"/>
        <x:v>Hayden Rucci</x:v>
      </x:c>
      <x:c r="M675" s="127" t="str">
        <x:f>IFERROR(VLOOKUP(E675,RISK!A:B,2,FALSE()),"")</x:f>
      </x:c>
      <x:c r="N675" s="118" t="str">
        <x:f t="shared" si="2"/>
        <x:v>#N/A</x:v>
      </x:c>
      <x:c r="Q675" s="9"/>
      <x:c r="R675" s="9"/>
      <x:c r="S675" s="9"/>
      <x:c r="T675" s="9"/>
    </x:row>
    <x:row r="676" ht="14.25" customHeight="1">
      <x:c r="A676" s="1">
        <x:v>673.0</x:v>
      </x:c>
      <x:c r="B676" s="1">
        <x:v>14.0</x:v>
      </x:c>
      <x:c r="C676" s="1" t="s">
        <x:v>1586</x:v>
      </x:c>
      <x:c r="D676" s="1" t="s">
        <x:v>525</x:v>
      </x:c>
      <x:c r="E676" s="1" t="s">
        <x:v>1587</x:v>
      </x:c>
      <x:c r="F676" s="1">
        <x:v>6.0</x:v>
      </x:c>
      <x:c r="G676" s="1" t="s">
        <x:v>1067</x:v>
      </x:c>
      <x:c r="H676" s="1" t="s">
        <x:v>1067</x:v>
      </x:c>
      <x:c r="I676" s="1" t="s">
        <x:v>1061</x:v>
      </x:c>
      <x:c r="J676" s="1" t="s">
        <x:v>1067</x:v>
      </x:c>
      <x:c r="K676" s="1">
        <x:v>675.0</x:v>
      </x:c>
      <x:c r="L676" s="1" t="str">
        <x:f t="shared" si="1"/>
        <x:v>Gavin Bartholomew</x:v>
      </x:c>
      <x:c r="M676" s="127" t="str">
        <x:f>IFERROR(VLOOKUP(E676,RISK!A:B,2,FALSE()),"")</x:f>
      </x:c>
      <x:c r="N676" s="118" t="str">
        <x:f t="shared" si="2"/>
        <x:v>#N/A</x:v>
      </x:c>
      <x:c r="Q676" s="9"/>
      <x:c r="R676" s="9"/>
      <x:c r="S676" s="9"/>
      <x:c r="T676" s="9"/>
    </x:row>
    <x:row r="677" ht="14.25" customHeight="1">
      <x:c r="A677" s="1">
        <x:v>674.0</x:v>
      </x:c>
      <x:c r="B677" s="1">
        <x:v>14.0</x:v>
      </x:c>
      <x:c r="C677" s="1" t="s">
        <x:v>1022</x:v>
      </x:c>
      <x:c r="D677" s="1" t="s">
        <x:v>523</x:v>
      </x:c>
      <x:c r="E677" s="1" t="s">
        <x:v>1588</x:v>
      </x:c>
      <x:c r="F677" s="1">
        <x:v>10.0</x:v>
      </x:c>
      <x:c r="G677" s="1" t="s">
        <x:v>1067</x:v>
      </x:c>
      <x:c r="H677" s="1" t="s">
        <x:v>1067</x:v>
      </x:c>
      <x:c r="I677" s="1" t="s">
        <x:v>1060</x:v>
      </x:c>
      <x:c r="J677" s="1" t="s">
        <x:v>1067</x:v>
      </x:c>
      <x:c r="K677" s="1">
        <x:v>676.0</x:v>
      </x:c>
      <x:c r="L677" s="1" t="str">
        <x:f t="shared" si="1"/>
        <x:v>Devin Culp</x:v>
      </x:c>
      <x:c r="M677" s="127" t="str">
        <x:f>IFERROR(VLOOKUP(E677,RISK!A:B,2,FALSE()),"")</x:f>
      </x:c>
      <x:c r="N677" s="118" t="str">
        <x:f t="shared" si="2"/>
        <x:v>#N/A</x:v>
      </x:c>
      <x:c r="Q677" s="9"/>
      <x:c r="R677" s="9"/>
      <x:c r="S677" s="9"/>
      <x:c r="T677" s="9"/>
    </x:row>
    <x:row r="678" ht="14.25" customHeight="1">
      <x:c r="A678" s="1">
        <x:v>675.0</x:v>
      </x:c>
      <x:c r="B678" s="1">
        <x:v>14.0</x:v>
      </x:c>
      <x:c r="C678" s="1" t="s">
        <x:v>1025</x:v>
      </x:c>
      <x:c r="D678" s="1" t="s">
        <x:v>505</x:v>
      </x:c>
      <x:c r="E678" s="1" t="s">
        <x:v>1589</x:v>
      </x:c>
      <x:c r="F678" s="1">
        <x:v>7.0</x:v>
      </x:c>
      <x:c r="G678" s="1" t="s">
        <x:v>1067</x:v>
      </x:c>
      <x:c r="H678" s="1" t="s">
        <x:v>1067</x:v>
      </x:c>
      <x:c r="I678" s="1" t="s">
        <x:v>1064</x:v>
      </x:c>
      <x:c r="J678" s="1" t="s">
        <x:v>1067</x:v>
      </x:c>
      <x:c r="K678" s="1">
        <x:v>677.0</x:v>
      </x:c>
      <x:c r="L678" s="1" t="str">
        <x:f t="shared" si="1"/>
        <x:v>Hunter Long</x:v>
      </x:c>
      <x:c r="M678" s="127" t="str">
        <x:f>IFERROR(VLOOKUP(E678,RISK!A:B,2,FALSE()),"")</x:f>
      </x:c>
      <x:c r="N678" s="118" t="str">
        <x:f t="shared" si="2"/>
        <x:v>#N/A</x:v>
      </x:c>
      <x:c r="Q678" s="9"/>
      <x:c r="R678" s="9"/>
      <x:c r="S678" s="9"/>
      <x:c r="T678" s="9"/>
    </x:row>
    <x:row r="679" ht="14.25" customHeight="1">
      <x:c r="A679" s="1">
        <x:v>676.0</x:v>
      </x:c>
      <x:c r="B679" s="1">
        <x:v>14.0</x:v>
      </x:c>
      <x:c r="C679" s="1" t="s">
        <x:v>1038</x:v>
      </x:c>
      <x:c r="D679" s="1" t="s">
        <x:v>501</x:v>
      </x:c>
      <x:c r="E679" s="1" t="s">
        <x:v>1590</x:v>
      </x:c>
      <x:c r="F679" s="1">
        <x:v>8.0</x:v>
      </x:c>
      <x:c r="G679" s="1" t="s">
        <x:v>1067</x:v>
      </x:c>
      <x:c r="H679" s="1" t="s">
        <x:v>1067</x:v>
      </x:c>
      <x:c r="I679" s="1" t="s">
        <x:v>1064</x:v>
      </x:c>
      <x:c r="J679" s="1" t="s">
        <x:v>1067</x:v>
      </x:c>
      <x:c r="K679" s="1">
        <x:v>678.0</x:v>
      </x:c>
      <x:c r="L679" s="1" t="str">
        <x:f t="shared" si="1"/>
        <x:v>Chris Manhertz</x:v>
      </x:c>
      <x:c r="M679" s="127" t="str">
        <x:f>IFERROR(VLOOKUP(E679,RISK!A:B,2,FALSE()),"")</x:f>
      </x:c>
      <x:c r="N679" s="118" t="str">
        <x:f t="shared" si="2"/>
        <x:v>#N/A</x:v>
      </x:c>
      <x:c r="Q679" s="9"/>
      <x:c r="R679" s="9"/>
      <x:c r="S679" s="9"/>
      <x:c r="T679" s="9"/>
    </x:row>
    <x:row r="680" ht="14.25" customHeight="1">
      <x:c r="A680" s="1">
        <x:v>677.0</x:v>
      </x:c>
      <x:c r="B680" s="1">
        <x:v>14.0</x:v>
      </x:c>
      <x:c r="C680" s="1" t="s">
        <x:v>1029</x:v>
      </x:c>
      <x:c r="D680" s="1" t="s">
        <x:v>523</x:v>
      </x:c>
      <x:c r="E680" s="1" t="s">
        <x:v>1591</x:v>
      </x:c>
      <x:c r="F680" s="1">
        <x:v>10.0</x:v>
      </x:c>
      <x:c r="G680" s="1" t="s">
        <x:v>1067</x:v>
      </x:c>
      <x:c r="H680" s="1" t="s">
        <x:v>1067</x:v>
      </x:c>
      <x:c r="I680" s="1" t="s">
        <x:v>1060</x:v>
      </x:c>
      <x:c r="J680" s="1" t="s">
        <x:v>1067</x:v>
      </x:c>
      <x:c r="K680" s="1">
        <x:v>679.0</x:v>
      </x:c>
      <x:c r="L680" s="1" t="str">
        <x:f t="shared" si="1"/>
        <x:v>Ko Kieft</x:v>
      </x:c>
      <x:c r="M680" s="127" t="str">
        <x:f>IFERROR(VLOOKUP(E680,RISK!A:B,2,FALSE()),"")</x:f>
      </x:c>
      <x:c r="N680" s="118" t="str">
        <x:f t="shared" si="2"/>
        <x:v>#N/A</x:v>
      </x:c>
      <x:c r="Q680" s="9"/>
      <x:c r="R680" s="9"/>
      <x:c r="S680" s="9"/>
      <x:c r="T680" s="9"/>
    </x:row>
    <x:row r="681" ht="14.25" customHeight="1">
      <x:c r="A681" s="1">
        <x:v>678.0</x:v>
      </x:c>
      <x:c r="B681" s="1">
        <x:v>14.0</x:v>
      </x:c>
      <x:c r="C681" s="1" t="s">
        <x:v>1592</x:v>
      </x:c>
      <x:c r="D681" s="1" t="s">
        <x:v>491</x:v>
      </x:c>
      <x:c r="E681" s="1" t="s">
        <x:v>1593</x:v>
      </x:c>
      <x:c r="F681" s="1">
        <x:v>13.0</x:v>
      </x:c>
      <x:c r="G681" s="1" t="s">
        <x:v>1067</x:v>
      </x:c>
      <x:c r="H681" s="1" t="s">
        <x:v>1067</x:v>
      </x:c>
      <x:c r="I681" s="1" t="s">
        <x:v>1061</x:v>
      </x:c>
      <x:c r="J681" s="1" t="s">
        <x:v>1067</x:v>
      </x:c>
      <x:c r="K681" s="1">
        <x:v>680.0</x:v>
      </x:c>
      <x:c r="L681" s="1" t="str">
        <x:f t="shared" si="1"/>
        <x:v>Ty Pezza</x:v>
      </x:c>
      <x:c r="M681" s="127" t="str">
        <x:f>IFERROR(VLOOKUP(E681,RISK!A:B,2,FALSE()),"")</x:f>
      </x:c>
      <x:c r="N681" s="118" t="str">
        <x:f t="shared" si="2"/>
        <x:v>#N/A</x:v>
      </x:c>
      <x:c r="Q681" s="9"/>
      <x:c r="R681" s="9"/>
      <x:c r="S681" s="9"/>
      <x:c r="T681" s="9"/>
    </x:row>
    <x:row r="682" ht="14.25" customHeight="1">
      <x:c r="A682" s="1">
        <x:v>679.0</x:v>
      </x:c>
      <x:c r="B682" s="1">
        <x:v>14.0</x:v>
      </x:c>
      <x:c r="C682" s="1" t="s">
        <x:v>1040</x:v>
      </x:c>
      <x:c r="D682" s="1" t="s">
        <x:v>529</x:v>
      </x:c>
      <x:c r="E682" s="1" t="s">
        <x:v>1594</x:v>
      </x:c>
      <x:c r="F682" s="1">
        <x:v>6.0</x:v>
      </x:c>
      <x:c r="G682" s="1" t="s">
        <x:v>1067</x:v>
      </x:c>
      <x:c r="H682" s="1" t="s">
        <x:v>1067</x:v>
      </x:c>
      <x:c r="I682" s="1" t="s">
        <x:v>1059</x:v>
      </x:c>
      <x:c r="J682" s="1" t="s">
        <x:v>1067</x:v>
      </x:c>
      <x:c r="K682" s="1">
        <x:v>681.0</x:v>
      </x:c>
      <x:c r="L682" s="1" t="str">
        <x:f t="shared" si="1"/>
        <x:v>Cole Turner</x:v>
      </x:c>
      <x:c r="M682" s="127" t="str">
        <x:f>IFERROR(VLOOKUP(E682,RISK!A:B,2,FALSE()),"")</x:f>
      </x:c>
      <x:c r="N682" s="118" t="str">
        <x:f t="shared" si="2"/>
        <x:v>#N/A</x:v>
      </x:c>
      <x:c r="Q682" s="9"/>
      <x:c r="R682" s="9"/>
      <x:c r="S682" s="9"/>
      <x:c r="T682" s="9"/>
    </x:row>
    <x:row r="683" ht="14.25" customHeight="1">
      <x:c r="A683" s="1">
        <x:v>680.0</x:v>
      </x:c>
      <x:c r="B683" s="1">
        <x:v>14.0</x:v>
      </x:c>
      <x:c r="C683" s="1" t="s">
        <x:v>1595</x:v>
      </x:c>
      <x:c r="D683" s="1" t="s">
        <x:v>519</x:v>
      </x:c>
      <x:c r="E683" s="1" t="s">
        <x:v>1596</x:v>
      </x:c>
      <x:c r="F683" s="1">
        <x:v>6.0</x:v>
      </x:c>
      <x:c r="G683" s="1" t="s">
        <x:v>1067</x:v>
      </x:c>
      <x:c r="H683" s="1" t="s">
        <x:v>1067</x:v>
      </x:c>
      <x:c r="I683" s="1" t="s">
        <x:v>1059</x:v>
      </x:c>
      <x:c r="J683" s="1" t="s">
        <x:v>1067</x:v>
      </x:c>
      <x:c r="K683" s="1">
        <x:v>682.0</x:v>
      </x:c>
      <x:c r="L683" s="1" t="str">
        <x:f t="shared" si="1"/>
        <x:v>Raheem Blackshear</x:v>
      </x:c>
      <x:c r="M683" s="127" t="str">
        <x:f>IFERROR(VLOOKUP(E683,RISK!A:B,2,FALSE()),"")</x:f>
      </x:c>
      <x:c r="N683" s="118" t="str">
        <x:f t="shared" si="2"/>
        <x:v>#N/A</x:v>
      </x:c>
      <x:c r="Q683" s="9"/>
      <x:c r="R683" s="9"/>
      <x:c r="S683" s="9"/>
      <x:c r="T683" s="9"/>
    </x:row>
    <x:row r="684" ht="14.25" customHeight="1">
      <x:c r="A684" s="1">
        <x:v>681.0</x:v>
      </x:c>
      <x:c r="B684" s="1">
        <x:v>14.0</x:v>
      </x:c>
      <x:c r="C684" s="1" t="s">
        <x:v>1597</x:v>
      </x:c>
      <x:c r="D684" s="1" t="s">
        <x:v>1136</x:v>
      </x:c>
      <x:c r="E684" s="1" t="s">
        <x:v>1598</x:v>
      </x:c>
      <x:c r="F684" s="1" t="s">
        <x:v>1067</x:v>
      </x:c>
      <x:c r="G684" s="1" t="s">
        <x:v>1067</x:v>
      </x:c>
      <x:c r="H684" s="1" t="s">
        <x:v>1067</x:v>
      </x:c>
      <x:c r="I684" s="1" t="s">
        <x:v>1067</x:v>
      </x:c>
      <x:c r="J684" s="1" t="s">
        <x:v>1067</x:v>
      </x:c>
      <x:c r="K684" s="1">
        <x:v>683.0</x:v>
      </x:c>
      <x:c r="L684" s="1" t="str">
        <x:f t="shared" si="1"/>
        <x:v>Mario Williams</x:v>
      </x:c>
      <x:c r="M684" s="127" t="str">
        <x:f>IFERROR(VLOOKUP(E684,RISK!A:B,2,FALSE()),"")</x:f>
      </x:c>
      <x:c r="N684" s="118" t="str">
        <x:f t="shared" si="2"/>
        <x:v>#N/A</x:v>
      </x:c>
      <x:c r="Q684" s="9"/>
      <x:c r="R684" s="9"/>
      <x:c r="S684" s="9"/>
      <x:c r="T684" s="9"/>
    </x:row>
    <x:row r="685" ht="14.25" customHeight="1">
      <x:c r="A685" s="1">
        <x:v>682.0</x:v>
      </x:c>
      <x:c r="B685" s="1">
        <x:v>14.0</x:v>
      </x:c>
      <x:c r="C685" s="1" t="s">
        <x:v>1599</x:v>
      </x:c>
      <x:c r="D685" s="1" t="s">
        <x:v>541</x:v>
      </x:c>
      <x:c r="E685" s="1" t="s">
        <x:v>1600</x:v>
      </x:c>
      <x:c r="F685" s="1">
        <x:v>9.0</x:v>
      </x:c>
      <x:c r="G685" s="1" t="s">
        <x:v>1067</x:v>
      </x:c>
      <x:c r="H685" s="1" t="s">
        <x:v>1067</x:v>
      </x:c>
      <x:c r="I685" s="1" t="s">
        <x:v>1064</x:v>
      </x:c>
      <x:c r="J685" s="1" t="s">
        <x:v>1067</x:v>
      </x:c>
      <x:c r="K685" s="1">
        <x:v>684.0</x:v>
      </x:c>
      <x:c r="L685" s="1" t="str">
        <x:f t="shared" si="1"/>
        <x:v>Joel Wilson</x:v>
      </x:c>
      <x:c r="M685" s="127" t="str">
        <x:f>IFERROR(VLOOKUP(E685,RISK!A:B,2,FALSE()),"")</x:f>
      </x:c>
      <x:c r="N685" s="118" t="str">
        <x:f t="shared" si="2"/>
        <x:v>#N/A</x:v>
      </x:c>
      <x:c r="Q685" s="9"/>
      <x:c r="R685" s="9"/>
      <x:c r="S685" s="9"/>
      <x:c r="T685" s="9"/>
    </x:row>
    <x:row r="686" ht="14.25" customHeight="1">
      <x:c r="A686" s="1">
        <x:v>683.0</x:v>
      </x:c>
      <x:c r="B686" s="1">
        <x:v>14.0</x:v>
      </x:c>
      <x:c r="C686" s="1" t="s">
        <x:v>1601</x:v>
      </x:c>
      <x:c r="D686" s="1" t="s">
        <x:v>551</x:v>
      </x:c>
      <x:c r="E686" s="1" t="s">
        <x:v>1602</x:v>
      </x:c>
      <x:c r="F686" s="1">
        <x:v>11.0</x:v>
      </x:c>
      <x:c r="G686" s="1" t="s">
        <x:v>1067</x:v>
      </x:c>
      <x:c r="H686" s="1" t="s">
        <x:v>1067</x:v>
      </x:c>
      <x:c r="I686" s="1" t="s">
        <x:v>1064</x:v>
      </x:c>
      <x:c r="J686" s="1" t="s">
        <x:v>1067</x:v>
      </x:c>
      <x:c r="K686" s="1">
        <x:v>685.0</x:v>
      </x:c>
      <x:c r="L686" s="1" t="str">
        <x:f t="shared" si="1"/>
        <x:v>Juice Wells Jr.</x:v>
      </x:c>
      <x:c r="M686" s="127" t="str">
        <x:f>IFERROR(VLOOKUP(E686,RISK!A:B,2,FALSE()),"")</x:f>
      </x:c>
      <x:c r="N686" s="118" t="str">
        <x:f t="shared" si="2"/>
        <x:v>#N/A</x:v>
      </x:c>
      <x:c r="Q686" s="9"/>
      <x:c r="R686" s="9"/>
      <x:c r="S686" s="9"/>
      <x:c r="T686" s="9"/>
    </x:row>
    <x:row r="687" ht="14.25" customHeight="1">
      <x:c r="A687" s="1">
        <x:v>684.0</x:v>
      </x:c>
      <x:c r="B687" s="1">
        <x:v>14.0</x:v>
      </x:c>
      <x:c r="C687" s="1" t="s">
        <x:v>695</x:v>
      </x:c>
      <x:c r="D687" s="1" t="s">
        <x:v>511</x:v>
      </x:c>
      <x:c r="E687" s="1" t="s">
        <x:v>1603</x:v>
      </x:c>
      <x:c r="F687" s="1">
        <x:v>10.0</x:v>
      </x:c>
      <x:c r="G687" s="1" t="s">
        <x:v>1067</x:v>
      </x:c>
      <x:c r="H687" s="1" t="s">
        <x:v>1067</x:v>
      </x:c>
      <x:c r="I687" s="1" t="s">
        <x:v>1060</x:v>
      </x:c>
      <x:c r="J687" s="1" t="s">
        <x:v>1067</x:v>
      </x:c>
      <x:c r="K687" s="1">
        <x:v>686.0</x:v>
      </x:c>
      <x:c r="L687" s="1" t="str">
        <x:f t="shared" si="1"/>
        <x:v>Salvon Ahmed</x:v>
      </x:c>
      <x:c r="M687" s="127" t="str">
        <x:f>IFERROR(VLOOKUP(E687,RISK!A:B,2,FALSE()),"")</x:f>
      </x:c>
      <x:c r="N687" s="118" t="str">
        <x:f t="shared" si="2"/>
        <x:v>#N/A</x:v>
      </x:c>
      <x:c r="Q687" s="9"/>
      <x:c r="R687" s="9"/>
      <x:c r="S687" s="9"/>
      <x:c r="T687" s="9"/>
    </x:row>
    <x:row r="688" ht="14.25" customHeight="1">
      <x:c r="A688" s="1">
        <x:v>685.0</x:v>
      </x:c>
      <x:c r="B688" s="1">
        <x:v>14.0</x:v>
      </x:c>
      <x:c r="C688" s="1" t="s">
        <x:v>1604</x:v>
      </x:c>
      <x:c r="D688" s="1" t="s">
        <x:v>519</x:v>
      </x:c>
      <x:c r="E688" s="1" t="s">
        <x:v>1605</x:v>
      </x:c>
      <x:c r="F688" s="1">
        <x:v>6.0</x:v>
      </x:c>
      <x:c r="G688" s="1" t="s">
        <x:v>1067</x:v>
      </x:c>
      <x:c r="H688" s="1" t="s">
        <x:v>1067</x:v>
      </x:c>
      <x:c r="I688" s="1" t="s">
        <x:v>1064</x:v>
      </x:c>
      <x:c r="J688" s="1" t="s">
        <x:v>1067</x:v>
      </x:c>
      <x:c r="K688" s="1">
        <x:v>687.0</x:v>
      </x:c>
      <x:c r="L688" s="1" t="str">
        <x:f t="shared" si="1"/>
        <x:v>Zach Horton</x:v>
      </x:c>
      <x:c r="M688" s="127" t="str">
        <x:f>IFERROR(VLOOKUP(E688,RISK!A:B,2,FALSE()),"")</x:f>
      </x:c>
      <x:c r="N688" s="118" t="str">
        <x:f t="shared" si="2"/>
        <x:v>#N/A</x:v>
      </x:c>
      <x:c r="Q688" s="9"/>
      <x:c r="R688" s="9"/>
      <x:c r="S688" s="9"/>
      <x:c r="T688" s="9"/>
    </x:row>
    <x:row r="689" ht="14.25" customHeight="1">
      <x:c r="A689" s="1">
        <x:v>686.0</x:v>
      </x:c>
      <x:c r="B689" s="1">
        <x:v>14.0</x:v>
      </x:c>
      <x:c r="C689" s="1" t="s">
        <x:v>1606</x:v>
      </x:c>
      <x:c r="D689" s="1" t="s">
        <x:v>549</x:v>
      </x:c>
      <x:c r="E689" s="1" t="s">
        <x:v>1607</x:v>
      </x:c>
      <x:c r="F689" s="1">
        <x:v>11.0</x:v>
      </x:c>
      <x:c r="G689" s="1" t="s">
        <x:v>1067</x:v>
      </x:c>
      <x:c r="H689" s="1" t="s">
        <x:v>1067</x:v>
      </x:c>
      <x:c r="I689" s="1" t="s">
        <x:v>1064</x:v>
      </x:c>
      <x:c r="J689" s="1" t="s">
        <x:v>1067</x:v>
      </x:c>
      <x:c r="K689" s="1">
        <x:v>688.0</x:v>
      </x:c>
      <x:c r="L689" s="1" t="str">
        <x:f t="shared" si="1"/>
        <x:v>Carsen Ryan</x:v>
      </x:c>
      <x:c r="M689" s="127" t="str">
        <x:f>IFERROR(VLOOKUP(E689,RISK!A:B,2,FALSE()),"")</x:f>
      </x:c>
      <x:c r="N689" s="118" t="str">
        <x:f t="shared" si="2"/>
        <x:v>#N/A</x:v>
      </x:c>
      <x:c r="Q689" s="9"/>
      <x:c r="R689" s="9"/>
      <x:c r="S689" s="9"/>
      <x:c r="T689" s="9"/>
    </x:row>
    <x:row r="690" ht="14.25" customHeight="1">
      <x:c r="A690" s="1">
        <x:v>687.0</x:v>
      </x:c>
      <x:c r="B690" s="1">
        <x:v>14.0</x:v>
      </x:c>
      <x:c r="C690" s="1" t="s">
        <x:v>1608</x:v>
      </x:c>
      <x:c r="D690" s="1" t="s">
        <x:v>549</x:v>
      </x:c>
      <x:c r="E690" s="1" t="s">
        <x:v>1609</x:v>
      </x:c>
      <x:c r="F690" s="1">
        <x:v>11.0</x:v>
      </x:c>
      <x:c r="G690" s="1" t="s">
        <x:v>1067</x:v>
      </x:c>
      <x:c r="H690" s="1" t="s">
        <x:v>1067</x:v>
      </x:c>
      <x:c r="I690" s="1" t="s">
        <x:v>1064</x:v>
      </x:c>
      <x:c r="J690" s="1" t="s">
        <x:v>1067</x:v>
      </x:c>
      <x:c r="K690" s="1">
        <x:v>689.0</x:v>
      </x:c>
      <x:c r="L690" s="1" t="str">
        <x:f t="shared" si="1"/>
        <x:v>Brenden Bates</x:v>
      </x:c>
      <x:c r="M690" s="127" t="str">
        <x:f>IFERROR(VLOOKUP(E690,RISK!A:B,2,FALSE()),"")</x:f>
      </x:c>
      <x:c r="N690" s="118" t="str">
        <x:f t="shared" si="2"/>
        <x:v>#N/A</x:v>
      </x:c>
      <x:c r="Q690" s="9"/>
      <x:c r="R690" s="9"/>
      <x:c r="S690" s="9"/>
      <x:c r="T690" s="9"/>
    </x:row>
    <x:row r="691" ht="14.25" customHeight="1">
      <x:c r="A691" s="1">
        <x:v>688.0</x:v>
      </x:c>
      <x:c r="B691" s="1">
        <x:v>14.0</x:v>
      </x:c>
      <x:c r="C691" s="1" t="s">
        <x:v>1610</x:v>
      </x:c>
      <x:c r="D691" s="1" t="s">
        <x:v>1136</x:v>
      </x:c>
      <x:c r="E691" s="1" t="s">
        <x:v>1611</x:v>
      </x:c>
      <x:c r="F691" s="1" t="s">
        <x:v>1067</x:v>
      </x:c>
      <x:c r="G691" s="1" t="s">
        <x:v>1067</x:v>
      </x:c>
      <x:c r="H691" s="1" t="s">
        <x:v>1067</x:v>
      </x:c>
      <x:c r="I691" s="1" t="s">
        <x:v>1067</x:v>
      </x:c>
      <x:c r="J691" s="1" t="s">
        <x:v>1067</x:v>
      </x:c>
      <x:c r="K691" s="1">
        <x:v>690.0</x:v>
      </x:c>
      <x:c r="L691" s="1" t="str">
        <x:f t="shared" si="1"/>
        <x:v>Josiah Deguara</x:v>
      </x:c>
      <x:c r="M691" s="127" t="str">
        <x:f>IFERROR(VLOOKUP(E691,RISK!A:B,2,FALSE()),"")</x:f>
      </x:c>
      <x:c r="N691" s="118" t="str">
        <x:f t="shared" si="2"/>
        <x:v>#N/A</x:v>
      </x:c>
      <x:c r="Q691" s="9"/>
      <x:c r="R691" s="9"/>
      <x:c r="S691" s="9"/>
      <x:c r="T691" s="9"/>
    </x:row>
    <x:row r="692" ht="14.25" customHeight="1">
      <x:c r="A692" s="1">
        <x:v>689.0</x:v>
      </x:c>
      <x:c r="B692" s="1">
        <x:v>14.0</x:v>
      </x:c>
      <x:c r="C692" s="1" t="s">
        <x:v>1612</x:v>
      </x:c>
      <x:c r="D692" s="1" t="s">
        <x:v>1136</x:v>
      </x:c>
      <x:c r="E692" s="1" t="s">
        <x:v>1613</x:v>
      </x:c>
      <x:c r="F692" s="1" t="s">
        <x:v>1067</x:v>
      </x:c>
      <x:c r="G692" s="1" t="s">
        <x:v>1067</x:v>
      </x:c>
      <x:c r="H692" s="1" t="s">
        <x:v>1067</x:v>
      </x:c>
      <x:c r="I692" s="1" t="s">
        <x:v>1067</x:v>
      </x:c>
      <x:c r="J692" s="1" t="s">
        <x:v>1067</x:v>
      </x:c>
      <x:c r="K692" s="1">
        <x:v>691.0</x:v>
      </x:c>
      <x:c r="L692" s="1" t="str">
        <x:f t="shared" si="1"/>
        <x:v>Anthony Hankerson</x:v>
      </x:c>
      <x:c r="M692" s="127" t="str">
        <x:f>IFERROR(VLOOKUP(E692,RISK!A:B,2,FALSE()),"")</x:f>
      </x:c>
      <x:c r="N692" s="118" t="str">
        <x:f t="shared" si="2"/>
        <x:v>#N/A</x:v>
      </x:c>
      <x:c r="Q692" s="9"/>
      <x:c r="R692" s="9"/>
      <x:c r="S692" s="9"/>
      <x:c r="T692" s="9"/>
    </x:row>
    <x:row r="693" ht="14.25" customHeight="1">
      <x:c r="A693" s="1">
        <x:v>690.0</x:v>
      </x:c>
      <x:c r="B693" s="1">
        <x:v>14.0</x:v>
      </x:c>
      <x:c r="C693" s="1" t="s">
        <x:v>1039</x:v>
      </x:c>
      <x:c r="D693" s="1" t="s">
        <x:v>505</x:v>
      </x:c>
      <x:c r="E693" s="1" t="s">
        <x:v>1614</x:v>
      </x:c>
      <x:c r="F693" s="1">
        <x:v>7.0</x:v>
      </x:c>
      <x:c r="G693" s="1" t="s">
        <x:v>1067</x:v>
      </x:c>
      <x:c r="H693" s="1" t="s">
        <x:v>1067</x:v>
      </x:c>
      <x:c r="I693" s="1" t="s">
        <x:v>1064</x:v>
      </x:c>
      <x:c r="J693" s="1" t="s">
        <x:v>1067</x:v>
      </x:c>
      <x:c r="K693" s="1">
        <x:v>692.0</x:v>
      </x:c>
      <x:c r="L693" s="1" t="str">
        <x:f t="shared" si="1"/>
        <x:v>Quintin Morris</x:v>
      </x:c>
      <x:c r="M693" s="127" t="str">
        <x:f>IFERROR(VLOOKUP(E693,RISK!A:B,2,FALSE()),"")</x:f>
      </x:c>
      <x:c r="N693" s="118" t="str">
        <x:f t="shared" si="2"/>
        <x:v>#N/A</x:v>
      </x:c>
      <x:c r="Q693" s="9"/>
      <x:c r="R693" s="9"/>
      <x:c r="S693" s="9"/>
      <x:c r="T693" s="9"/>
    </x:row>
    <x:row r="694" ht="14.25" customHeight="1">
      <x:c r="A694" s="1">
        <x:v>691.0</x:v>
      </x:c>
      <x:c r="B694" s="1">
        <x:v>14.0</x:v>
      </x:c>
      <x:c r="C694" s="1" t="s">
        <x:v>1615</x:v>
      </x:c>
      <x:c r="D694" s="1" t="s">
        <x:v>525</x:v>
      </x:c>
      <x:c r="E694" s="1" t="s">
        <x:v>1616</x:v>
      </x:c>
      <x:c r="F694" s="1">
        <x:v>6.0</x:v>
      </x:c>
      <x:c r="G694" s="1" t="s">
        <x:v>1067</x:v>
      </x:c>
      <x:c r="H694" s="1" t="s">
        <x:v>1067</x:v>
      </x:c>
      <x:c r="I694" s="1" t="s">
        <x:v>1061</x:v>
      </x:c>
      <x:c r="J694" s="1" t="s">
        <x:v>1067</x:v>
      </x:c>
      <x:c r="K694" s="1">
        <x:v>693.0</x:v>
      </x:c>
      <x:c r="L694" s="1" t="str">
        <x:f t="shared" si="1"/>
        <x:v>Bryson Nesbit</x:v>
      </x:c>
      <x:c r="M694" s="127" t="str">
        <x:f>IFERROR(VLOOKUP(E694,RISK!A:B,2,FALSE()),"")</x:f>
      </x:c>
      <x:c r="N694" s="118" t="str">
        <x:f t="shared" si="2"/>
        <x:v>#N/A</x:v>
      </x:c>
      <x:c r="Q694" s="9"/>
      <x:c r="R694" s="9"/>
      <x:c r="S694" s="9"/>
      <x:c r="T694" s="9"/>
    </x:row>
    <x:row r="695" ht="14.25" customHeight="1">
      <x:c r="A695" s="1">
        <x:v>692.0</x:v>
      </x:c>
      <x:c r="B695" s="1">
        <x:v>14.0</x:v>
      </x:c>
      <x:c r="C695" s="1" t="s">
        <x:v>1617</x:v>
      </x:c>
      <x:c r="D695" s="1" t="s">
        <x:v>497</x:v>
      </x:c>
      <x:c r="E695" s="1" t="s">
        <x:v>1618</x:v>
      </x:c>
      <x:c r="F695" s="1">
        <x:v>10.0</x:v>
      </x:c>
      <x:c r="G695" s="1" t="s">
        <x:v>1067</x:v>
      </x:c>
      <x:c r="H695" s="1" t="s">
        <x:v>1067</x:v>
      </x:c>
      <x:c r="I695" s="1" t="s">
        <x:v>1061</x:v>
      </x:c>
      <x:c r="J695" s="1" t="s">
        <x:v>1067</x:v>
      </x:c>
      <x:c r="K695" s="1">
        <x:v>694.0</x:v>
      </x:c>
      <x:c r="L695" s="1" t="str">
        <x:f t="shared" si="1"/>
        <x:v>E.J. Jenkins</x:v>
      </x:c>
      <x:c r="M695" s="127" t="str">
        <x:f>IFERROR(VLOOKUP(E695,RISK!A:B,2,FALSE()),"")</x:f>
      </x:c>
      <x:c r="N695" s="118" t="str">
        <x:f t="shared" si="2"/>
        <x:v>#N/A</x:v>
      </x:c>
      <x:c r="Q695" s="9"/>
      <x:c r="R695" s="9"/>
      <x:c r="S695" s="9"/>
      <x:c r="T695" s="9"/>
    </x:row>
    <x:row r="696" ht="14.25" customHeight="1">
      <x:c r="A696" s="1">
        <x:v>693.0</x:v>
      </x:c>
      <x:c r="B696" s="1">
        <x:v>14.0</x:v>
      </x:c>
      <x:c r="C696" s="1" t="s">
        <x:v>1619</x:v>
      </x:c>
      <x:c r="D696" s="1" t="s">
        <x:v>551</x:v>
      </x:c>
      <x:c r="E696" s="1" t="s">
        <x:v>1620</x:v>
      </x:c>
      <x:c r="F696" s="1">
        <x:v>11.0</x:v>
      </x:c>
      <x:c r="G696" s="1" t="s">
        <x:v>1067</x:v>
      </x:c>
      <x:c r="H696" s="1" t="s">
        <x:v>1067</x:v>
      </x:c>
      <x:c r="I696" s="1" t="s">
        <x:v>1064</x:v>
      </x:c>
      <x:c r="J696" s="1" t="s">
        <x:v>1067</x:v>
      </x:c>
      <x:c r="K696" s="1">
        <x:v>695.0</x:v>
      </x:c>
      <x:c r="L696" s="1" t="str">
        <x:f t="shared" si="1"/>
        <x:v>Joshua Simon</x:v>
      </x:c>
      <x:c r="M696" s="127" t="str">
        <x:f>IFERROR(VLOOKUP(E696,RISK!A:B,2,FALSE()),"")</x:f>
      </x:c>
      <x:c r="N696" s="118" t="str">
        <x:f t="shared" si="2"/>
        <x:v>#N/A</x:v>
      </x:c>
      <x:c r="Q696" s="9"/>
      <x:c r="R696" s="9"/>
      <x:c r="S696" s="9"/>
      <x:c r="T696" s="9"/>
    </x:row>
    <x:row r="697" ht="14.25" customHeight="1">
      <x:c r="A697" s="1">
        <x:v>694.0</x:v>
      </x:c>
      <x:c r="B697" s="1">
        <x:v>14.0</x:v>
      </x:c>
      <x:c r="C697" s="1" t="s">
        <x:v>1001</x:v>
      </x:c>
      <x:c r="D697" s="1" t="s">
        <x:v>499</x:v>
      </x:c>
      <x:c r="E697" s="1" t="s">
        <x:v>1621</x:v>
      </x:c>
      <x:c r="F697" s="1">
        <x:v>6.0</x:v>
      </x:c>
      <x:c r="G697" s="1" t="s">
        <x:v>1067</x:v>
      </x:c>
      <x:c r="H697" s="1" t="s">
        <x:v>1067</x:v>
      </x:c>
      <x:c r="I697" s="1" t="s">
        <x:v>1064</x:v>
      </x:c>
      <x:c r="J697" s="1" t="s">
        <x:v>1067</x:v>
      </x:c>
      <x:c r="K697" s="1">
        <x:v>696.0</x:v>
      </x:c>
      <x:c r="L697" s="1" t="str">
        <x:f t="shared" si="1"/>
        <x:v>Cam Grandy</x:v>
      </x:c>
      <x:c r="M697" s="127" t="str">
        <x:f>IFERROR(VLOOKUP(E697,RISK!A:B,2,FALSE()),"")</x:f>
      </x:c>
      <x:c r="N697" s="118" t="str">
        <x:f t="shared" si="2"/>
        <x:v>#N/A</x:v>
      </x:c>
      <x:c r="Q697" s="9"/>
      <x:c r="R697" s="9"/>
      <x:c r="S697" s="9"/>
      <x:c r="T697" s="9"/>
    </x:row>
    <x:row r="698" ht="14.25" customHeight="1">
      <x:c r="A698" s="1">
        <x:v>695.0</x:v>
      </x:c>
      <x:c r="B698" s="1">
        <x:v>14.0</x:v>
      </x:c>
      <x:c r="C698" s="1" t="s">
        <x:v>711</x:v>
      </x:c>
      <x:c r="D698" s="1" t="s">
        <x:v>539</x:v>
      </x:c>
      <x:c r="E698" s="1" t="s">
        <x:v>1622</x:v>
      </x:c>
      <x:c r="F698" s="1">
        <x:v>13.0</x:v>
      </x:c>
      <x:c r="G698" s="1" t="s">
        <x:v>1067</x:v>
      </x:c>
      <x:c r="H698" s="1" t="s">
        <x:v>1067</x:v>
      </x:c>
      <x:c r="I698" s="1" t="s">
        <x:v>1061</x:v>
      </x:c>
      <x:c r="J698" s="1" t="s">
        <x:v>1067</x:v>
      </x:c>
      <x:c r="K698" s="1">
        <x:v>697.0</x:v>
      </x:c>
      <x:c r="L698" s="1" t="str">
        <x:f t="shared" si="1"/>
        <x:v>Andrew Beck</x:v>
      </x:c>
      <x:c r="M698" s="127" t="str">
        <x:f>IFERROR(VLOOKUP(E698,RISK!A:B,2,FALSE()),"")</x:f>
      </x:c>
      <x:c r="N698" s="118" t="str">
        <x:f t="shared" si="2"/>
        <x:v>#N/A</x:v>
      </x:c>
      <x:c r="Q698" s="9"/>
      <x:c r="R698" s="9"/>
      <x:c r="S698" s="9"/>
      <x:c r="T698" s="9"/>
    </x:row>
    <x:row r="699" ht="14.25" customHeight="1">
      <x:c r="A699" s="1">
        <x:v>696.0</x:v>
      </x:c>
      <x:c r="B699" s="1">
        <x:v>14.0</x:v>
      </x:c>
      <x:c r="C699" s="1" t="s">
        <x:v>1623</x:v>
      </x:c>
      <x:c r="D699" s="1" t="s">
        <x:v>543</x:v>
      </x:c>
      <x:c r="E699" s="1" t="s">
        <x:v>1624</x:v>
      </x:c>
      <x:c r="F699" s="1">
        <x:v>14.0</x:v>
      </x:c>
      <x:c r="G699" s="1" t="s">
        <x:v>1067</x:v>
      </x:c>
      <x:c r="H699" s="1" t="s">
        <x:v>1067</x:v>
      </x:c>
      <x:c r="I699" s="1" t="s">
        <x:v>1060</x:v>
      </x:c>
      <x:c r="J699" s="1" t="s">
        <x:v>1067</x:v>
      </x:c>
      <x:c r="K699" s="1">
        <x:v>698.0</x:v>
      </x:c>
      <x:c r="L699" s="1" t="str">
        <x:f t="shared" si="1"/>
        <x:v>Rivaldo Fairweather</x:v>
      </x:c>
      <x:c r="M699" s="127" t="str">
        <x:f>IFERROR(VLOOKUP(E699,RISK!A:B,2,FALSE()),"")</x:f>
      </x:c>
      <x:c r="N699" s="118" t="str">
        <x:f t="shared" si="2"/>
        <x:v>#N/A</x:v>
      </x:c>
      <x:c r="Q699" s="9"/>
      <x:c r="R699" s="9"/>
      <x:c r="S699" s="9"/>
      <x:c r="T699" s="9"/>
    </x:row>
    <x:row r="700" ht="14.25" customHeight="1">
      <x:c r="A700" s="1">
        <x:v>697.0</x:v>
      </x:c>
      <x:c r="B700" s="1">
        <x:v>14.0</x:v>
      </x:c>
      <x:c r="C700" s="1" t="s">
        <x:v>1625</x:v>
      </x:c>
      <x:c r="D700" s="1" t="s">
        <x:v>551</x:v>
      </x:c>
      <x:c r="E700" s="1" t="s">
        <x:v>1626</x:v>
      </x:c>
      <x:c r="F700" s="1">
        <x:v>11.0</x:v>
      </x:c>
      <x:c r="G700" s="1" t="s">
        <x:v>1067</x:v>
      </x:c>
      <x:c r="H700" s="1" t="s">
        <x:v>1067</x:v>
      </x:c>
      <x:c r="I700" s="1" t="s">
        <x:v>1064</x:v>
      </x:c>
      <x:c r="J700" s="1" t="s">
        <x:v>1067</x:v>
      </x:c>
      <x:c r="K700" s="1">
        <x:v>699.0</x:v>
      </x:c>
      <x:c r="L700" s="1" t="str">
        <x:f t="shared" si="1"/>
        <x:v>Jack Velling</x:v>
      </x:c>
      <x:c r="M700" s="127" t="str">
        <x:f>IFERROR(VLOOKUP(E700,RISK!A:B,2,FALSE()),"")</x:f>
      </x:c>
      <x:c r="N700" s="118" t="str">
        <x:f t="shared" si="2"/>
        <x:v>#N/A</x:v>
      </x:c>
      <x:c r="Q700" s="9"/>
      <x:c r="R700" s="9"/>
      <x:c r="S700" s="9"/>
      <x:c r="T700" s="9"/>
    </x:row>
    <x:row r="701" ht="14.25" customHeight="1">
      <x:c r="A701" s="1">
        <x:v>698.0</x:v>
      </x:c>
      <x:c r="B701" s="1">
        <x:v>14.0</x:v>
      </x:c>
      <x:c r="C701" s="1" t="s">
        <x:v>1627</x:v>
      </x:c>
      <x:c r="D701" s="1" t="s">
        <x:v>507</x:v>
      </x:c>
      <x:c r="E701" s="1" t="s">
        <x:v>1628</x:v>
      </x:c>
      <x:c r="F701" s="1">
        <x:v>14.0</x:v>
      </x:c>
      <x:c r="G701" s="1" t="s">
        <x:v>1067</x:v>
      </x:c>
      <x:c r="H701" s="1" t="s">
        <x:v>1067</x:v>
      </x:c>
      <x:c r="I701" s="1" t="s">
        <x:v>1060</x:v>
      </x:c>
      <x:c r="J701" s="1" t="s">
        <x:v>1067</x:v>
      </x:c>
      <x:c r="K701" s="1">
        <x:v>700.0</x:v>
      </x:c>
      <x:c r="L701" s="1" t="str">
        <x:f t="shared" si="1"/>
        <x:v>Princeton Fant</x:v>
      </x:c>
      <x:c r="M701" s="127" t="str">
        <x:f>IFERROR(VLOOKUP(E701,RISK!A:B,2,FALSE()),"")</x:f>
      </x:c>
      <x:c r="N701" s="118" t="str">
        <x:f t="shared" si="2"/>
        <x:v>#N/A</x:v>
      </x:c>
      <x:c r="Q701" s="9"/>
      <x:c r="R701" s="9"/>
      <x:c r="S701" s="9"/>
      <x:c r="T701" s="9"/>
    </x:row>
    <x:row r="702" ht="14.25" customHeight="1">
      <x:c r="A702" s="1">
        <x:v>699.0</x:v>
      </x:c>
      <x:c r="B702" s="1">
        <x:v>14.0</x:v>
      </x:c>
      <x:c r="C702" s="1" t="s">
        <x:v>1629</x:v>
      </x:c>
      <x:c r="D702" s="1" t="s">
        <x:v>545</x:v>
      </x:c>
      <x:c r="E702" s="1" t="s">
        <x:v>1630</x:v>
      </x:c>
      <x:c r="F702" s="1">
        <x:v>9.0</x:v>
      </x:c>
      <x:c r="G702" s="1" t="s">
        <x:v>1067</x:v>
      </x:c>
      <x:c r="H702" s="1" t="s">
        <x:v>1067</x:v>
      </x:c>
      <x:c r="I702" s="1" t="s">
        <x:v>1060</x:v>
      </x:c>
      <x:c r="J702" s="1" t="s">
        <x:v>1067</x:v>
      </x:c>
      <x:c r="K702" s="1">
        <x:v>701.0</x:v>
      </x:c>
      <x:c r="L702" s="1" t="str">
        <x:f t="shared" si="1"/>
        <x:v>Lance Mason</x:v>
      </x:c>
      <x:c r="M702" s="127" t="str">
        <x:f>IFERROR(VLOOKUP(E702,RISK!A:B,2,FALSE()),"")</x:f>
      </x:c>
      <x:c r="N702" s="118" t="str">
        <x:f t="shared" si="2"/>
        <x:v>#N/A</x:v>
      </x:c>
      <x:c r="Q702" s="9"/>
      <x:c r="R702" s="9"/>
      <x:c r="S702" s="9"/>
      <x:c r="T702" s="9"/>
    </x:row>
    <x:row r="703" ht="14.25" customHeight="1">
      <x:c r="A703" s="1">
        <x:v>700.0</x:v>
      </x:c>
      <x:c r="B703" s="1">
        <x:v>14.0</x:v>
      </x:c>
      <x:c r="C703" s="1" t="s">
        <x:v>1631</x:v>
      </x:c>
      <x:c r="D703" s="1" t="s">
        <x:v>487</x:v>
      </x:c>
      <x:c r="E703" s="1" t="s">
        <x:v>1632</x:v>
      </x:c>
      <x:c r="F703" s="1">
        <x:v>7.0</x:v>
      </x:c>
      <x:c r="G703" s="1" t="s">
        <x:v>1067</x:v>
      </x:c>
      <x:c r="H703" s="1" t="s">
        <x:v>1067</x:v>
      </x:c>
      <x:c r="I703" s="1" t="s">
        <x:v>1064</x:v>
      </x:c>
      <x:c r="J703" s="1" t="s">
        <x:v>1067</x:v>
      </x:c>
      <x:c r="K703" s="1">
        <x:v>702.0</x:v>
      </x:c>
      <x:c r="L703" s="1" t="str">
        <x:f t="shared" si="1"/>
        <x:v>Shane Zylstra</x:v>
      </x:c>
      <x:c r="M703" s="127" t="str">
        <x:f>IFERROR(VLOOKUP(E703,RISK!A:B,2,FALSE()),"")</x:f>
      </x:c>
      <x:c r="N703" s="118" t="str">
        <x:f t="shared" si="2"/>
        <x:v>#N/A</x:v>
      </x:c>
      <x:c r="Q703" s="9"/>
      <x:c r="R703" s="9"/>
      <x:c r="S703" s="9"/>
      <x:c r="T703" s="9"/>
    </x:row>
    <x:row r="704" ht="14.25" customHeight="1">
      <x:c r="A704" s="1">
        <x:v>701.0</x:v>
      </x:c>
      <x:c r="B704" s="1">
        <x:v>14.0</x:v>
      </x:c>
      <x:c r="C704" s="1" t="s">
        <x:v>1633</x:v>
      </x:c>
      <x:c r="D704" s="1" t="s">
        <x:v>499</x:v>
      </x:c>
      <x:c r="E704" s="1" t="s">
        <x:v>1634</x:v>
      </x:c>
      <x:c r="F704" s="1">
        <x:v>6.0</x:v>
      </x:c>
      <x:c r="G704" s="1" t="s">
        <x:v>1067</x:v>
      </x:c>
      <x:c r="H704" s="1" t="s">
        <x:v>1067</x:v>
      </x:c>
      <x:c r="I704" s="1" t="s">
        <x:v>1060</x:v>
      </x:c>
      <x:c r="J704" s="1" t="s">
        <x:v>1067</x:v>
      </x:c>
      <x:c r="K704" s="1">
        <x:v>703.0</x:v>
      </x:c>
      <x:c r="L704" s="1" t="str">
        <x:f t="shared" si="1"/>
        <x:v>Jamal Haynes</x:v>
      </x:c>
      <x:c r="M704" s="127" t="str">
        <x:f>IFERROR(VLOOKUP(E704,RISK!A:B,2,FALSE()),"")</x:f>
      </x:c>
      <x:c r="N704" s="118" t="str">
        <x:f t="shared" si="2"/>
        <x:v>#N/A</x:v>
      </x:c>
      <x:c r="Q704" s="9"/>
      <x:c r="R704" s="9"/>
      <x:c r="S704" s="9"/>
      <x:c r="T704" s="9"/>
    </x:row>
    <x:row r="705" ht="14.25" customHeight="1">
      <x:c r="A705" s="1">
        <x:v>702.0</x:v>
      </x:c>
      <x:c r="B705" s="1">
        <x:v>14.0</x:v>
      </x:c>
      <x:c r="C705" s="1" t="s">
        <x:v>1635</x:v>
      </x:c>
      <x:c r="D705" s="1" t="s">
        <x:v>507</x:v>
      </x:c>
      <x:c r="E705" s="1" t="s">
        <x:v>1636</x:v>
      </x:c>
      <x:c r="F705" s="1">
        <x:v>14.0</x:v>
      </x:c>
      <x:c r="G705" s="1" t="s">
        <x:v>1067</x:v>
      </x:c>
      <x:c r="H705" s="1" t="s">
        <x:v>1067</x:v>
      </x:c>
      <x:c r="I705" s="1" t="s">
        <x:v>1060</x:v>
      </x:c>
      <x:c r="J705" s="1" t="s">
        <x:v>1067</x:v>
      </x:c>
      <x:c r="K705" s="1">
        <x:v>704.0</x:v>
      </x:c>
      <x:c r="L705" s="1" t="str">
        <x:f t="shared" si="1"/>
        <x:v>DJ Rogers</x:v>
      </x:c>
      <x:c r="M705" s="127" t="str">
        <x:f>IFERROR(VLOOKUP(E705,RISK!A:B,2,FALSE()),"")</x:f>
      </x:c>
      <x:c r="N705" s="118" t="str">
        <x:f t="shared" si="2"/>
        <x:v>#N/A</x:v>
      </x:c>
      <x:c r="Q705" s="9"/>
      <x:c r="R705" s="9"/>
      <x:c r="S705" s="9"/>
      <x:c r="T705" s="9"/>
    </x:row>
    <x:row r="706" ht="14.25" customHeight="1">
      <x:c r="A706" s="1">
        <x:v>703.0</x:v>
      </x:c>
      <x:c r="B706" s="1">
        <x:v>14.0</x:v>
      </x:c>
      <x:c r="C706" s="1" t="s">
        <x:v>1637</x:v>
      </x:c>
      <x:c r="D706" s="1" t="s">
        <x:v>493</x:v>
      </x:c>
      <x:c r="E706" s="1" t="s">
        <x:v>1638</x:v>
      </x:c>
      <x:c r="F706" s="1">
        <x:v>11.0</x:v>
      </x:c>
      <x:c r="G706" s="1" t="s">
        <x:v>1067</x:v>
      </x:c>
      <x:c r="H706" s="1" t="s">
        <x:v>1067</x:v>
      </x:c>
      <x:c r="I706" s="1" t="s">
        <x:v>1061</x:v>
      </x:c>
      <x:c r="J706" s="1" t="s">
        <x:v>1067</x:v>
      </x:c>
      <x:c r="K706" s="1">
        <x:v>705.0</x:v>
      </x:c>
      <x:c r="L706" s="1" t="str">
        <x:f t="shared" si="1"/>
        <x:v>Tanner Arkin</x:v>
      </x:c>
      <x:c r="M706" s="127" t="str">
        <x:f>IFERROR(VLOOKUP(E706,RISK!A:B,2,FALSE()),"")</x:f>
      </x:c>
      <x:c r="N706" s="118" t="str">
        <x:f t="shared" si="2"/>
        <x:v>#N/A</x:v>
      </x:c>
      <x:c r="Q706" s="9"/>
      <x:c r="R706" s="9"/>
      <x:c r="S706" s="9"/>
      <x:c r="T706" s="9"/>
    </x:row>
    <x:row r="707" ht="14.25" customHeight="1">
      <x:c r="A707" s="1">
        <x:v>704.0</x:v>
      </x:c>
      <x:c r="B707" s="1">
        <x:v>14.0</x:v>
      </x:c>
      <x:c r="C707" s="1" t="s">
        <x:v>1639</x:v>
      </x:c>
      <x:c r="D707" s="1" t="s">
        <x:v>545</x:v>
      </x:c>
      <x:c r="E707" s="1" t="s">
        <x:v>1640</x:v>
      </x:c>
      <x:c r="F707" s="1">
        <x:v>9.0</x:v>
      </x:c>
      <x:c r="G707" s="1" t="s">
        <x:v>1067</x:v>
      </x:c>
      <x:c r="H707" s="1" t="s">
        <x:v>1067</x:v>
      </x:c>
      <x:c r="I707" s="1" t="s">
        <x:v>1060</x:v>
      </x:c>
      <x:c r="J707" s="1" t="s">
        <x:v>1067</x:v>
      </x:c>
      <x:c r="K707" s="1">
        <x:v>706.0</x:v>
      </x:c>
      <x:c r="L707" s="1" t="str">
        <x:f t="shared" si="1"/>
        <x:v>Lake McRee</x:v>
      </x:c>
      <x:c r="M707" s="127" t="str">
        <x:f>IFERROR(VLOOKUP(E707,RISK!A:B,2,FALSE()),"")</x:f>
      </x:c>
      <x:c r="N707" s="118" t="str">
        <x:f t="shared" si="2"/>
        <x:v>#N/A</x:v>
      </x:c>
      <x:c r="Q707" s="9"/>
      <x:c r="R707" s="9"/>
      <x:c r="S707" s="9"/>
      <x:c r="T707" s="9"/>
    </x:row>
    <x:row r="708" ht="14.25" customHeight="1">
      <x:c r="A708" s="1">
        <x:v>705.0</x:v>
      </x:c>
      <x:c r="B708" s="1">
        <x:v>14.0</x:v>
      </x:c>
      <x:c r="C708" s="1" t="s">
        <x:v>1641</x:v>
      </x:c>
      <x:c r="D708" s="1" t="s">
        <x:v>533</x:v>
      </x:c>
      <x:c r="E708" s="1" t="s">
        <x:v>1642</x:v>
      </x:c>
      <x:c r="F708" s="1">
        <x:v>11.0</x:v>
      </x:c>
      <x:c r="G708" s="1" t="s">
        <x:v>1067</x:v>
      </x:c>
      <x:c r="H708" s="1" t="s">
        <x:v>1067</x:v>
      </x:c>
      <x:c r="I708" s="1" t="s">
        <x:v>1064</x:v>
      </x:c>
      <x:c r="J708" s="1" t="s">
        <x:v>1067</x:v>
      </x:c>
      <x:c r="K708" s="1">
        <x:v>707.0</x:v>
      </x:c>
      <x:c r="L708" s="1" t="str">
        <x:f t="shared" si="1"/>
        <x:v>Nick Kallerup</x:v>
      </x:c>
      <x:c r="M708" s="127" t="str">
        <x:f>IFERROR(VLOOKUP(E708,RISK!A:B,2,FALSE()),"")</x:f>
      </x:c>
      <x:c r="N708" s="118" t="str">
        <x:f t="shared" si="2"/>
        <x:v>#N/A</x:v>
      </x:c>
      <x:c r="Q708" s="9"/>
      <x:c r="R708" s="9"/>
      <x:c r="S708" s="9"/>
      <x:c r="T708" s="9"/>
    </x:row>
    <x:row r="709" ht="14.25" customHeight="1">
      <x:c r="A709" s="1">
        <x:v>706.0</x:v>
      </x:c>
      <x:c r="B709" s="1">
        <x:v>14.0</x:v>
      </x:c>
      <x:c r="C709" s="1" t="s">
        <x:v>1643</x:v>
      </x:c>
      <x:c r="D709" s="1" t="s">
        <x:v>493</x:v>
      </x:c>
      <x:c r="E709" s="1" t="s">
        <x:v>1644</x:v>
      </x:c>
      <x:c r="F709" s="1">
        <x:v>11.0</x:v>
      </x:c>
      <x:c r="G709" s="1" t="s">
        <x:v>1067</x:v>
      </x:c>
      <x:c r="H709" s="1" t="s">
        <x:v>1067</x:v>
      </x:c>
      <x:c r="I709" s="1" t="s">
        <x:v>1061</x:v>
      </x:c>
      <x:c r="J709" s="1" t="s">
        <x:v>1067</x:v>
      </x:c>
      <x:c r="K709" s="1">
        <x:v>708.0</x:v>
      </x:c>
      <x:c r="L709" s="1" t="str">
        <x:f t="shared" si="1"/>
        <x:v>Jack Westover</x:v>
      </x:c>
      <x:c r="M709" s="127" t="str">
        <x:f>IFERROR(VLOOKUP(E709,RISK!A:B,2,FALSE()),"")</x:f>
      </x:c>
      <x:c r="N709" s="118" t="str">
        <x:f t="shared" si="2"/>
        <x:v>#N/A</x:v>
      </x:c>
      <x:c r="Q709" s="9"/>
      <x:c r="R709" s="9"/>
      <x:c r="S709" s="9"/>
      <x:c r="T709" s="9"/>
    </x:row>
    <x:row r="710" ht="14.25" customHeight="1">
      <x:c r="A710" s="1">
        <x:v>707.0</x:v>
      </x:c>
      <x:c r="B710" s="1">
        <x:v>14.0</x:v>
      </x:c>
      <x:c r="C710" s="1" t="s">
        <x:v>1645</x:v>
      </x:c>
      <x:c r="D710" s="1" t="s">
        <x:v>535</x:v>
      </x:c>
      <x:c r="E710" s="1" t="s">
        <x:v>1646</x:v>
      </x:c>
      <x:c r="F710" s="1">
        <x:v>8.0</x:v>
      </x:c>
      <x:c r="G710" s="1" t="s">
        <x:v>1067</x:v>
      </x:c>
      <x:c r="H710" s="1" t="s">
        <x:v>1067</x:v>
      </x:c>
      <x:c r="I710" s="1" t="s">
        <x:v>1061</x:v>
      </x:c>
      <x:c r="J710" s="1" t="s">
        <x:v>1067</x:v>
      </x:c>
      <x:c r="K710" s="1">
        <x:v>709.0</x:v>
      </x:c>
      <x:c r="L710" s="1" t="str">
        <x:f t="shared" si="1"/>
        <x:v>Owen Wright</x:v>
      </x:c>
      <x:c r="M710" s="127" t="str">
        <x:f>IFERROR(VLOOKUP(E710,RISK!A:B,2,FALSE()),"")</x:f>
      </x:c>
      <x:c r="N710" s="118" t="str">
        <x:f t="shared" si="2"/>
        <x:v>#N/A</x:v>
      </x:c>
      <x:c r="Q710" s="9"/>
      <x:c r="R710" s="9"/>
      <x:c r="S710" s="9"/>
      <x:c r="T710" s="9"/>
    </x:row>
    <x:row r="711" ht="14.25" customHeight="1">
      <x:c r="A711" s="1">
        <x:v>708.0</x:v>
      </x:c>
      <x:c r="B711" s="1">
        <x:v>14.0</x:v>
      </x:c>
      <x:c r="C711" s="1" t="s">
        <x:v>1647</x:v>
      </x:c>
      <x:c r="D711" s="1" t="s">
        <x:v>527</x:v>
      </x:c>
      <x:c r="E711" s="1" t="s">
        <x:v>1648</x:v>
      </x:c>
      <x:c r="F711" s="1">
        <x:v>13.0</x:v>
      </x:c>
      <x:c r="G711" s="1" t="s">
        <x:v>1067</x:v>
      </x:c>
      <x:c r="H711" s="1" t="s">
        <x:v>1067</x:v>
      </x:c>
      <x:c r="I711" s="1" t="s">
        <x:v>1064</x:v>
      </x:c>
      <x:c r="J711" s="1" t="s">
        <x:v>1067</x:v>
      </x:c>
      <x:c r="K711" s="1">
        <x:v>710.0</x:v>
      </x:c>
      <x:c r="L711" s="1" t="str">
        <x:f t="shared" si="1"/>
        <x:v>Pharaoh Brown</x:v>
      </x:c>
      <x:c r="M711" s="127" t="str">
        <x:f>IFERROR(VLOOKUP(E711,RISK!A:B,2,FALSE()),"")</x:f>
      </x:c>
      <x:c r="N711" s="118" t="str">
        <x:f t="shared" si="2"/>
        <x:v>#N/A</x:v>
      </x:c>
      <x:c r="Q711" s="9"/>
      <x:c r="R711" s="9"/>
      <x:c r="S711" s="9"/>
      <x:c r="T711" s="9"/>
    </x:row>
    <x:row r="712" ht="14.25" customHeight="1">
      <x:c r="A712" s="1">
        <x:v>709.0</x:v>
      </x:c>
      <x:c r="B712" s="1">
        <x:v>14.0</x:v>
      </x:c>
      <x:c r="C712" s="1" t="s">
        <x:v>1649</x:v>
      </x:c>
      <x:c r="D712" s="1" t="s">
        <x:v>523</x:v>
      </x:c>
      <x:c r="E712" s="1" t="s">
        <x:v>1650</x:v>
      </x:c>
      <x:c r="F712" s="1">
        <x:v>10.0</x:v>
      </x:c>
      <x:c r="G712" s="1" t="s">
        <x:v>1067</x:v>
      </x:c>
      <x:c r="H712" s="1" t="s">
        <x:v>1067</x:v>
      </x:c>
      <x:c r="I712" s="1" t="s">
        <x:v>1060</x:v>
      </x:c>
      <x:c r="J712" s="1" t="s">
        <x:v>1067</x:v>
      </x:c>
      <x:c r="K712" s="1">
        <x:v>711.0</x:v>
      </x:c>
      <x:c r="L712" s="1" t="str">
        <x:f t="shared" si="1"/>
        <x:v>Kenny Fletcher Jr.</x:v>
      </x:c>
      <x:c r="M712" s="127" t="str">
        <x:f>IFERROR(VLOOKUP(E712,RISK!A:B,2,FALSE()),"")</x:f>
      </x:c>
      <x:c r="N712" s="118" t="str">
        <x:f t="shared" si="2"/>
        <x:v>#N/A</x:v>
      </x:c>
      <x:c r="Q712" s="9"/>
      <x:c r="R712" s="9"/>
      <x:c r="S712" s="9"/>
      <x:c r="T712" s="9"/>
    </x:row>
    <x:row r="713" ht="14.25" customHeight="1">
      <x:c r="A713" s="1">
        <x:v>710.0</x:v>
      </x:c>
      <x:c r="B713" s="1">
        <x:v>14.0</x:v>
      </x:c>
      <x:c r="C713" s="1" t="s">
        <x:v>1651</x:v>
      </x:c>
      <x:c r="D713" s="1" t="s">
        <x:v>537</x:v>
      </x:c>
      <x:c r="E713" s="1" t="s">
        <x:v>1652</x:v>
      </x:c>
      <x:c r="F713" s="1">
        <x:v>5.0</x:v>
      </x:c>
      <x:c r="G713" s="1" t="s">
        <x:v>1067</x:v>
      </x:c>
      <x:c r="H713" s="1" t="s">
        <x:v>1067</x:v>
      </x:c>
      <x:c r="I713" s="1" t="s">
        <x:v>1060</x:v>
      </x:c>
      <x:c r="J713" s="1" t="s">
        <x:v>1067</x:v>
      </x:c>
      <x:c r="K713" s="1">
        <x:v>712.0</x:v>
      </x:c>
      <x:c r="L713" s="1" t="str">
        <x:f t="shared" si="1"/>
        <x:v>James Mitchell</x:v>
      </x:c>
      <x:c r="M713" s="127" t="str">
        <x:f>IFERROR(VLOOKUP(E713,RISK!A:B,2,FALSE()),"")</x:f>
      </x:c>
      <x:c r="N713" s="118" t="str">
        <x:f t="shared" si="2"/>
        <x:v>#N/A</x:v>
      </x:c>
      <x:c r="Q713" s="9"/>
      <x:c r="R713" s="9"/>
      <x:c r="S713" s="9"/>
      <x:c r="T713" s="9"/>
    </x:row>
    <x:row r="714" ht="14.25" customHeight="1">
      <x:c r="A714" s="1">
        <x:v>711.0</x:v>
      </x:c>
      <x:c r="B714" s="1">
        <x:v>14.0</x:v>
      </x:c>
      <x:c r="C714" s="1" t="s">
        <x:v>1006</x:v>
      </x:c>
      <x:c r="D714" s="1" t="s">
        <x:v>521</x:v>
      </x:c>
      <x:c r="E714" s="1" t="s">
        <x:v>1653</x:v>
      </x:c>
      <x:c r="F714" s="1">
        <x:v>8.0</x:v>
      </x:c>
      <x:c r="G714" s="1" t="s">
        <x:v>1067</x:v>
      </x:c>
      <x:c r="H714" s="1" t="s">
        <x:v>1067</x:v>
      </x:c>
      <x:c r="I714" s="1" t="s">
        <x:v>1060</x:v>
      </x:c>
      <x:c r="J714" s="1" t="s">
        <x:v>1067</x:v>
      </x:c>
      <x:c r="K714" s="1">
        <x:v>713.0</x:v>
      </x:c>
      <x:c r="L714" s="1" t="str">
        <x:f t="shared" si="1"/>
        <x:v>Zaire Mitchell-Paden</x:v>
      </x:c>
      <x:c r="M714" s="127" t="str">
        <x:f>IFERROR(VLOOKUP(E714,RISK!A:B,2,FALSE()),"")</x:f>
      </x:c>
      <x:c r="N714" s="118" t="str">
        <x:f t="shared" si="2"/>
        <x:v>#N/A</x:v>
      </x:c>
      <x:c r="Q714" s="9"/>
      <x:c r="R714" s="9"/>
      <x:c r="S714" s="9"/>
      <x:c r="T714" s="9"/>
    </x:row>
    <x:row r="715" ht="14.25" customHeight="1">
      <x:c r="A715" s="1">
        <x:v>712.0</x:v>
      </x:c>
      <x:c r="B715" s="1">
        <x:v>14.0</x:v>
      </x:c>
      <x:c r="C715" s="1" t="s">
        <x:v>1654</x:v>
      </x:c>
      <x:c r="D715" s="1" t="s">
        <x:v>517</x:v>
      </x:c>
      <x:c r="E715" s="1" t="s">
        <x:v>1655</x:v>
      </x:c>
      <x:c r="F715" s="1">
        <x:v>11.0</x:v>
      </x:c>
      <x:c r="G715" s="1" t="s">
        <x:v>1067</x:v>
      </x:c>
      <x:c r="H715" s="1" t="s">
        <x:v>1067</x:v>
      </x:c>
      <x:c r="I715" s="1" t="s">
        <x:v>1059</x:v>
      </x:c>
      <x:c r="J715" s="1" t="s">
        <x:v>1067</x:v>
      </x:c>
      <x:c r="K715" s="1">
        <x:v>714.0</x:v>
      </x:c>
      <x:c r="L715" s="1" t="str">
        <x:f t="shared" si="1"/>
        <x:v>Dean Connors</x:v>
      </x:c>
      <x:c r="M715" s="127" t="str">
        <x:f>IFERROR(VLOOKUP(E715,RISK!A:B,2,FALSE()),"")</x:f>
      </x:c>
      <x:c r="N715" s="118" t="str">
        <x:f t="shared" si="2"/>
        <x:v>#N/A</x:v>
      </x:c>
      <x:c r="Q715" s="9"/>
      <x:c r="R715" s="9"/>
      <x:c r="S715" s="9"/>
      <x:c r="T715" s="9"/>
    </x:row>
    <x:row r="716" ht="14.25" customHeight="1">
      <x:c r="A716" s="1">
        <x:v>713.0</x:v>
      </x:c>
      <x:c r="B716" s="1">
        <x:v>14.0</x:v>
      </x:c>
      <x:c r="C716" s="1" t="s">
        <x:v>1656</x:v>
      </x:c>
      <x:c r="D716" s="1" t="s">
        <x:v>495</x:v>
      </x:c>
      <x:c r="E716" s="1" t="s">
        <x:v>1657</x:v>
      </x:c>
      <x:c r="F716" s="1">
        <x:v>7.0</x:v>
      </x:c>
      <x:c r="G716" s="1" t="s">
        <x:v>1067</x:v>
      </x:c>
      <x:c r="H716" s="1" t="s">
        <x:v>1067</x:v>
      </x:c>
      <x:c r="I716" s="1" t="s">
        <x:v>1063</x:v>
      </x:c>
      <x:c r="J716" s="1" t="s">
        <x:v>1067</x:v>
      </x:c>
      <x:c r="K716" s="1">
        <x:v>715.0</x:v>
      </x:c>
      <x:c r="L716" s="1" t="str">
        <x:f t="shared" si="1"/>
        <x:v>Quentin Moore</x:v>
      </x:c>
      <x:c r="M716" s="127" t="str">
        <x:f>IFERROR(VLOOKUP(E716,RISK!A:B,2,FALSE()),"")</x:f>
      </x:c>
      <x:c r="N716" s="118" t="str">
        <x:f t="shared" si="2"/>
        <x:v>#N/A</x:v>
      </x:c>
      <x:c r="Q716" s="9"/>
      <x:c r="R716" s="9"/>
      <x:c r="S716" s="9"/>
      <x:c r="T716" s="9"/>
    </x:row>
    <x:row r="717" ht="14.25" customHeight="1">
      <x:c r="A717" s="1">
        <x:v>714.0</x:v>
      </x:c>
      <x:c r="B717" s="1">
        <x:v>14.0</x:v>
      </x:c>
      <x:c r="C717" s="1" t="s">
        <x:v>653</x:v>
      </x:c>
      <x:c r="D717" s="1" t="s">
        <x:v>537</x:v>
      </x:c>
      <x:c r="E717" s="1" t="s">
        <x:v>1658</x:v>
      </x:c>
      <x:c r="F717" s="1">
        <x:v>5.0</x:v>
      </x:c>
      <x:c r="G717" s="1" t="s">
        <x:v>1067</x:v>
      </x:c>
      <x:c r="H717" s="1" t="s">
        <x:v>1067</x:v>
      </x:c>
      <x:c r="I717" s="1" t="s">
        <x:v>1063</x:v>
      </x:c>
      <x:c r="J717" s="1" t="s">
        <x:v>1067</x:v>
      </x:c>
      <x:c r="K717" s="1">
        <x:v>716.0</x:v>
      </x:c>
      <x:c r="L717" s="1" t="str">
        <x:f t="shared" si="1"/>
        <x:v>AJ Dillon</x:v>
      </x:c>
      <x:c r="M717" s="127" t="str">
        <x:f>IFERROR(VLOOKUP(E717,RISK!A:B,2,FALSE()),"")</x:f>
      </x:c>
      <x:c r="N717" s="118" t="str">
        <x:f t="shared" si="2"/>
        <x:v>#N/A</x:v>
      </x:c>
      <x:c r="Q717" s="9"/>
      <x:c r="R717" s="9"/>
      <x:c r="S717" s="9"/>
      <x:c r="T717" s="9"/>
    </x:row>
    <x:row r="718" ht="14.25" customHeight="1">
      <x:c r="A718" s="1">
        <x:v>715.0</x:v>
      </x:c>
      <x:c r="B718" s="1">
        <x:v>14.0</x:v>
      </x:c>
      <x:c r="C718" s="1" t="s">
        <x:v>1659</x:v>
      </x:c>
      <x:c r="D718" s="1" t="s">
        <x:v>491</x:v>
      </x:c>
      <x:c r="E718" s="1" t="s">
        <x:v>1660</x:v>
      </x:c>
      <x:c r="F718" s="1">
        <x:v>13.0</x:v>
      </x:c>
      <x:c r="G718" s="1" t="s">
        <x:v>1067</x:v>
      </x:c>
      <x:c r="H718" s="1" t="s">
        <x:v>1067</x:v>
      </x:c>
      <x:c r="I718" s="1" t="s">
        <x:v>1064</x:v>
      </x:c>
      <x:c r="J718" s="1" t="s">
        <x:v>1067</x:v>
      </x:c>
      <x:c r="K718" s="1">
        <x:v>717.0</x:v>
      </x:c>
      <x:c r="L718" s="1" t="str">
        <x:f t="shared" si="1"/>
        <x:v>Dontae McMillan</x:v>
      </x:c>
      <x:c r="M718" s="127" t="str">
        <x:f>IFERROR(VLOOKUP(E718,RISK!A:B,2,FALSE()),"")</x:f>
      </x:c>
      <x:c r="N718" s="118" t="str">
        <x:f t="shared" si="2"/>
        <x:v>#N/A</x:v>
      </x:c>
      <x:c r="Q718" s="9"/>
      <x:c r="R718" s="9"/>
      <x:c r="S718" s="9"/>
      <x:c r="T718" s="9"/>
    </x:row>
    <x:row r="719" ht="14.25" customHeight="1">
      <x:c r="A719" s="1">
        <x:v>716.0</x:v>
      </x:c>
      <x:c r="B719" s="1">
        <x:v>14.0</x:v>
      </x:c>
      <x:c r="C719" s="1" t="s">
        <x:v>1661</x:v>
      </x:c>
      <x:c r="D719" s="1" t="s">
        <x:v>505</x:v>
      </x:c>
      <x:c r="E719" s="1" t="s">
        <x:v>1662</x:v>
      </x:c>
      <x:c r="F719" s="1">
        <x:v>7.0</x:v>
      </x:c>
      <x:c r="G719" s="1" t="s">
        <x:v>1067</x:v>
      </x:c>
      <x:c r="H719" s="1" t="s">
        <x:v>1067</x:v>
      </x:c>
      <x:c r="I719" s="1" t="s">
        <x:v>1064</x:v>
      </x:c>
      <x:c r="J719" s="1" t="s">
        <x:v>1067</x:v>
      </x:c>
      <x:c r="K719" s="1">
        <x:v>718.0</x:v>
      </x:c>
      <x:c r="L719" s="1" t="str">
        <x:f t="shared" si="1"/>
        <x:v>Patrick Herbert</x:v>
      </x:c>
      <x:c r="M719" s="127" t="str">
        <x:f>IFERROR(VLOOKUP(E719,RISK!A:B,2,FALSE()),"")</x:f>
      </x:c>
      <x:c r="N719" s="118" t="str">
        <x:f t="shared" si="2"/>
        <x:v>#N/A</x:v>
      </x:c>
      <x:c r="Q719" s="9"/>
      <x:c r="R719" s="9"/>
      <x:c r="S719" s="9"/>
      <x:c r="T719" s="9"/>
    </x:row>
    <x:row r="720" ht="14.25" customHeight="1">
      <x:c r="A720" s="1">
        <x:v>717.0</x:v>
      </x:c>
      <x:c r="B720" s="1">
        <x:v>14.0</x:v>
      </x:c>
      <x:c r="C720" s="1" t="s">
        <x:v>1663</x:v>
      </x:c>
      <x:c r="D720" s="1" t="s">
        <x:v>531</x:v>
      </x:c>
      <x:c r="E720" s="1" t="s">
        <x:v>1664</x:v>
      </x:c>
      <x:c r="F720" s="1">
        <x:v>11.0</x:v>
      </x:c>
      <x:c r="G720" s="1" t="s">
        <x:v>1067</x:v>
      </x:c>
      <x:c r="H720" s="1" t="s">
        <x:v>1067</x:v>
      </x:c>
      <x:c r="I720" s="1" t="s">
        <x:v>1060</x:v>
      </x:c>
      <x:c r="J720" s="1" t="s">
        <x:v>1067</x:v>
      </x:c>
      <x:c r="K720" s="1">
        <x:v>719.0</x:v>
      </x:c>
      <x:c r="L720" s="1" t="str">
        <x:f t="shared" si="1"/>
        <x:v>Messiah Swinson</x:v>
      </x:c>
      <x:c r="M720" s="127" t="str">
        <x:f>IFERROR(VLOOKUP(E720,RISK!A:B,2,FALSE()),"")</x:f>
      </x:c>
      <x:c r="N720" s="118" t="str">
        <x:f t="shared" si="2"/>
        <x:v>#N/A</x:v>
      </x:c>
      <x:c r="Q720" s="9"/>
      <x:c r="R720" s="9"/>
      <x:c r="S720" s="9"/>
      <x:c r="T720" s="9"/>
    </x:row>
    <x:row r="721" ht="14.25" customHeight="1">
      <x:c r="A721" s="1">
        <x:v>718.0</x:v>
      </x:c>
      <x:c r="B721" s="1">
        <x:v>14.0</x:v>
      </x:c>
      <x:c r="C721" s="1" t="s">
        <x:v>1665</x:v>
      </x:c>
      <x:c r="D721" s="1" t="s">
        <x:v>547</x:v>
      </x:c>
      <x:c r="E721" s="1" t="s">
        <x:v>1666</x:v>
      </x:c>
      <x:c r="F721" s="1">
        <x:v>13.0</x:v>
      </x:c>
      <x:c r="G721" s="1" t="s">
        <x:v>1067</x:v>
      </x:c>
      <x:c r="H721" s="1" t="s">
        <x:v>1067</x:v>
      </x:c>
      <x:c r="I721" s="1" t="s">
        <x:v>1064</x:v>
      </x:c>
      <x:c r="J721" s="1" t="s">
        <x:v>1067</x:v>
      </x:c>
      <x:c r="K721" s="1">
        <x:v>720.0</x:v>
      </x:c>
      <x:c r="L721" s="1" t="str">
        <x:f t="shared" si="1"/>
        <x:v>Chris Myarick</x:v>
      </x:c>
      <x:c r="M721" s="127" t="str">
        <x:f>IFERROR(VLOOKUP(E721,RISK!A:B,2,FALSE()),"")</x:f>
      </x:c>
      <x:c r="N721" s="118" t="str">
        <x:f t="shared" si="2"/>
        <x:v>#N/A</x:v>
      </x:c>
      <x:c r="Q721" s="9"/>
      <x:c r="R721" s="9"/>
      <x:c r="S721" s="9"/>
      <x:c r="T721" s="9"/>
    </x:row>
    <x:row r="722" ht="14.25" customHeight="1">
      <x:c r="A722" s="1">
        <x:v>719.0</x:v>
      </x:c>
      <x:c r="B722" s="1">
        <x:v>14.0</x:v>
      </x:c>
      <x:c r="C722" s="1" t="s">
        <x:v>1667</x:v>
      </x:c>
      <x:c r="D722" s="1" t="s">
        <x:v>521</x:v>
      </x:c>
      <x:c r="E722" s="1" t="s">
        <x:v>1668</x:v>
      </x:c>
      <x:c r="F722" s="1">
        <x:v>8.0</x:v>
      </x:c>
      <x:c r="G722" s="1" t="s">
        <x:v>1067</x:v>
      </x:c>
      <x:c r="H722" s="1" t="s">
        <x:v>1067</x:v>
      </x:c>
      <x:c r="I722" s="1" t="s">
        <x:v>1064</x:v>
      </x:c>
      <x:c r="J722" s="1" t="s">
        <x:v>1067</x:v>
      </x:c>
      <x:c r="K722" s="1">
        <x:v>721.0</x:v>
      </x:c>
      <x:c r="L722" s="1" t="str">
        <x:f t="shared" si="1"/>
        <x:v>CJ Donaldson</x:v>
      </x:c>
      <x:c r="M722" s="127" t="str">
        <x:f>IFERROR(VLOOKUP(E722,RISK!A:B,2,FALSE()),"")</x:f>
      </x:c>
      <x:c r="N722" s="118" t="str">
        <x:f t="shared" si="2"/>
        <x:v>#N/A</x:v>
      </x:c>
      <x:c r="Q722" s="9"/>
      <x:c r="R722" s="9"/>
      <x:c r="S722" s="9"/>
      <x:c r="T722" s="9"/>
    </x:row>
    <x:row r="723" ht="14.25" customHeight="1">
      <x:c r="A723" s="1">
        <x:v>720.0</x:v>
      </x:c>
      <x:c r="B723" s="1">
        <x:v>14.0</x:v>
      </x:c>
      <x:c r="C723" s="1" t="s">
        <x:v>1669</x:v>
      </x:c>
      <x:c r="D723" s="1" t="s">
        <x:v>539</x:v>
      </x:c>
      <x:c r="E723" s="1" t="s">
        <x:v>1670</x:v>
      </x:c>
      <x:c r="F723" s="1">
        <x:v>13.0</x:v>
      </x:c>
      <x:c r="G723" s="1" t="s">
        <x:v>1067</x:v>
      </x:c>
      <x:c r="H723" s="1" t="s">
        <x:v>1067</x:v>
      </x:c>
      <x:c r="I723" s="1" t="s">
        <x:v>1061</x:v>
      </x:c>
      <x:c r="J723" s="1" t="s">
        <x:v>1067</x:v>
      </x:c>
      <x:c r="K723" s="1">
        <x:v>722.0</x:v>
      </x:c>
      <x:c r="L723" s="1" t="str">
        <x:f t="shared" si="1"/>
        <x:v>Chase Curtis</x:v>
      </x:c>
      <x:c r="M723" s="127" t="str">
        <x:f>IFERROR(VLOOKUP(E723,RISK!A:B,2,FALSE()),"")</x:f>
      </x:c>
      <x:c r="N723" s="118" t="str">
        <x:f t="shared" si="2"/>
        <x:v>#N/A</x:v>
      </x:c>
      <x:c r="Q723" s="9"/>
      <x:c r="R723" s="9"/>
      <x:c r="S723" s="9"/>
      <x:c r="T723" s="9"/>
    </x:row>
    <x:row r="724" ht="14.25" customHeight="1">
      <x:c r="A724" s="1">
        <x:v>721.0</x:v>
      </x:c>
      <x:c r="B724" s="1">
        <x:v>14.0</x:v>
      </x:c>
      <x:c r="C724" s="1" t="s">
        <x:v>1671</x:v>
      </x:c>
      <x:c r="D724" s="1" t="s">
        <x:v>539</x:v>
      </x:c>
      <x:c r="E724" s="1" t="s">
        <x:v>1672</x:v>
      </x:c>
      <x:c r="F724" s="1">
        <x:v>13.0</x:v>
      </x:c>
      <x:c r="G724" s="1" t="s">
        <x:v>1067</x:v>
      </x:c>
      <x:c r="H724" s="1" t="s">
        <x:v>1067</x:v>
      </x:c>
      <x:c r="I724" s="1" t="s">
        <x:v>1064</x:v>
      </x:c>
      <x:c r="J724" s="1" t="s">
        <x:v>1067</x:v>
      </x:c>
      <x:c r="K724" s="1">
        <x:v>723.0</x:v>
      </x:c>
      <x:c r="L724" s="1" t="str">
        <x:f t="shared" si="1"/>
        <x:v>Chip Trayanum</x:v>
      </x:c>
      <x:c r="M724" s="127" t="str">
        <x:f>IFERROR(VLOOKUP(E724,RISK!A:B,2,FALSE()),"")</x:f>
      </x:c>
      <x:c r="N724" s="118" t="str">
        <x:f t="shared" si="2"/>
        <x:v>#N/A</x:v>
      </x:c>
      <x:c r="Q724" s="9"/>
      <x:c r="R724" s="9"/>
      <x:c r="S724" s="9"/>
      <x:c r="T724" s="9"/>
    </x:row>
    <x:row r="725" ht="14.25" customHeight="1">
      <x:c r="A725" s="1">
        <x:v>722.0</x:v>
      </x:c>
      <x:c r="B725" s="1">
        <x:v>14.0</x:v>
      </x:c>
      <x:c r="C725" s="1" t="s">
        <x:v>1673</x:v>
      </x:c>
      <x:c r="D725" s="1" t="s">
        <x:v>487</x:v>
      </x:c>
      <x:c r="E725" s="1" t="s">
        <x:v>1674</x:v>
      </x:c>
      <x:c r="F725" s="1">
        <x:v>7.0</x:v>
      </x:c>
      <x:c r="G725" s="1" t="s">
        <x:v>1067</x:v>
      </x:c>
      <x:c r="H725" s="1" t="s">
        <x:v>1067</x:v>
      </x:c>
      <x:c r="I725" s="1" t="s">
        <x:v>1064</x:v>
      </x:c>
      <x:c r="J725" s="1" t="s">
        <x:v>1067</x:v>
      </x:c>
      <x:c r="K725" s="1">
        <x:v>724.0</x:v>
      </x:c>
      <x:c r="L725" s="1" t="str">
        <x:f t="shared" si="1"/>
        <x:v>Keleki Latu</x:v>
      </x:c>
      <x:c r="M725" s="127" t="str">
        <x:f>IFERROR(VLOOKUP(E725,RISK!A:B,2,FALSE()),"")</x:f>
      </x:c>
      <x:c r="N725" s="118" t="str">
        <x:f t="shared" si="2"/>
        <x:v>#N/A</x:v>
      </x:c>
      <x:c r="Q725" s="9"/>
      <x:c r="R725" s="9"/>
      <x:c r="S725" s="9"/>
      <x:c r="T725" s="9"/>
    </x:row>
    <x:row r="726" ht="14.25" customHeight="1">
      <x:c r="A726" s="1">
        <x:v>723.0</x:v>
      </x:c>
      <x:c r="B726" s="1">
        <x:v>14.0</x:v>
      </x:c>
      <x:c r="C726" s="1" t="s">
        <x:v>714</x:v>
      </x:c>
      <x:c r="D726" s="1" t="s">
        <x:v>547</x:v>
      </x:c>
      <x:c r="E726" s="1" t="s">
        <x:v>1675</x:v>
      </x:c>
      <x:c r="F726" s="1">
        <x:v>13.0</x:v>
      </x:c>
      <x:c r="G726" s="1" t="s">
        <x:v>1067</x:v>
      </x:c>
      <x:c r="H726" s="1" t="s">
        <x:v>1067</x:v>
      </x:c>
      <x:c r="I726" s="1" t="s">
        <x:v>1064</x:v>
      </x:c>
      <x:c r="J726" s="1" t="s">
        <x:v>1067</x:v>
      </x:c>
      <x:c r="K726" s="1">
        <x:v>725.0</x:v>
      </x:c>
      <x:c r="L726" s="1" t="str">
        <x:f t="shared" si="1"/>
        <x:v>Connor Heyward</x:v>
      </x:c>
      <x:c r="M726" s="127" t="str">
        <x:f>IFERROR(VLOOKUP(E726,RISK!A:B,2,FALSE()),"")</x:f>
      </x:c>
      <x:c r="N726" s="118" t="str">
        <x:f t="shared" si="2"/>
        <x:v>#N/A</x:v>
      </x:c>
      <x:c r="Q726" s="9"/>
      <x:c r="R726" s="9"/>
      <x:c r="S726" s="9"/>
      <x:c r="T726" s="9"/>
    </x:row>
    <x:row r="727" ht="14.25" customHeight="1">
      <x:c r="A727" s="1">
        <x:v>724.0</x:v>
      </x:c>
      <x:c r="B727" s="1">
        <x:v>14.0</x:v>
      </x:c>
      <x:c r="C727" s="1" t="s">
        <x:v>1676</x:v>
      </x:c>
      <x:c r="D727" s="1" t="s">
        <x:v>505</x:v>
      </x:c>
      <x:c r="E727" s="1" t="s">
        <x:v>1677</x:v>
      </x:c>
      <x:c r="F727" s="1">
        <x:v>7.0</x:v>
      </x:c>
      <x:c r="G727" s="1" t="s">
        <x:v>1067</x:v>
      </x:c>
      <x:c r="H727" s="1" t="s">
        <x:v>1067</x:v>
      </x:c>
      <x:c r="I727" s="1" t="s">
        <x:v>1061</x:v>
      </x:c>
      <x:c r="J727" s="1" t="s">
        <x:v>1067</x:v>
      </x:c>
      <x:c r="K727" s="1">
        <x:v>726.0</x:v>
      </x:c>
      <x:c r="L727" s="1" t="str">
        <x:f t="shared" si="1"/>
        <x:v>Ameer Abdullah</x:v>
      </x:c>
      <x:c r="M727" s="127" t="str">
        <x:f>IFERROR(VLOOKUP(E727,RISK!A:B,2,FALSE()),"")</x:f>
      </x:c>
      <x:c r="N727" s="118" t="str">
        <x:f t="shared" si="2"/>
        <x:v>#N/A</x:v>
      </x:c>
      <x:c r="Q727" s="9"/>
      <x:c r="R727" s="9"/>
      <x:c r="S727" s="9"/>
      <x:c r="T727" s="9"/>
    </x:row>
    <x:row r="728" ht="14.25" customHeight="1">
      <x:c r="A728" s="1">
        <x:v>725.0</x:v>
      </x:c>
      <x:c r="B728" s="1">
        <x:v>14.0</x:v>
      </x:c>
      <x:c r="C728" s="1" t="s">
        <x:v>1678</x:v>
      </x:c>
      <x:c r="D728" s="1" t="s">
        <x:v>1136</x:v>
      </x:c>
      <x:c r="E728" s="1" t="s">
        <x:v>1679</x:v>
      </x:c>
      <x:c r="F728" s="1" t="s">
        <x:v>1067</x:v>
      </x:c>
      <x:c r="G728" s="1" t="s">
        <x:v>1067</x:v>
      </x:c>
      <x:c r="H728" s="1" t="s">
        <x:v>1067</x:v>
      </x:c>
      <x:c r="I728" s="1" t="s">
        <x:v>1067</x:v>
      </x:c>
      <x:c r="J728" s="1" t="s">
        <x:v>1067</x:v>
      </x:c>
      <x:c r="K728" s="1">
        <x:v>727.0</x:v>
      </x:c>
      <x:c r="L728" s="1" t="str">
        <x:f t="shared" si="1"/>
        <x:v>Dae'Quan Wright</x:v>
      </x:c>
      <x:c r="M728" s="127" t="str">
        <x:f>IFERROR(VLOOKUP(E728,RISK!A:B,2,FALSE()),"")</x:f>
      </x:c>
      <x:c r="N728" s="118" t="str">
        <x:f t="shared" si="2"/>
        <x:v>#N/A</x:v>
      </x:c>
      <x:c r="Q728" s="9"/>
      <x:c r="R728" s="9"/>
      <x:c r="S728" s="9"/>
      <x:c r="T728" s="9"/>
    </x:row>
    <x:row r="729" ht="14.25" customHeight="1">
      <x:c r="A729" s="1">
        <x:v>726.0</x:v>
      </x:c>
      <x:c r="B729" s="1">
        <x:v>14.0</x:v>
      </x:c>
      <x:c r="C729" s="1" t="s">
        <x:v>1680</x:v>
      </x:c>
      <x:c r="D729" s="1" t="s">
        <x:v>547</x:v>
      </x:c>
      <x:c r="E729" s="1" t="s">
        <x:v>1681</x:v>
      </x:c>
      <x:c r="F729" s="1">
        <x:v>13.0</x:v>
      </x:c>
      <x:c r="G729" s="1" t="s">
        <x:v>1067</x:v>
      </x:c>
      <x:c r="H729" s="1" t="s">
        <x:v>1067</x:v>
      </x:c>
      <x:c r="I729" s="1" t="s">
        <x:v>1064</x:v>
      </x:c>
      <x:c r="J729" s="1" t="s">
        <x:v>1067</x:v>
      </x:c>
      <x:c r="K729" s="1">
        <x:v>728.0</x:v>
      </x:c>
      <x:c r="L729" s="1" t="str">
        <x:f t="shared" si="1"/>
        <x:v>Carter Runyon</x:v>
      </x:c>
      <x:c r="M729" s="127" t="str">
        <x:f>IFERROR(VLOOKUP(E729,RISK!A:B,2,FALSE()),"")</x:f>
      </x:c>
      <x:c r="N729" s="118" t="str">
        <x:f t="shared" si="2"/>
        <x:v>#N/A</x:v>
      </x:c>
      <x:c r="Q729" s="9"/>
      <x:c r="R729" s="9"/>
      <x:c r="S729" s="9"/>
      <x:c r="T729" s="9"/>
    </x:row>
    <x:row r="730" ht="14.25" customHeight="1">
      <x:c r="A730" s="1">
        <x:v>727.0</x:v>
      </x:c>
      <x:c r="B730" s="1">
        <x:v>15.0</x:v>
      </x:c>
      <x:c r="C730" s="1" t="s">
        <x:v>1682</x:v>
      </x:c>
      <x:c r="D730" s="1" t="s">
        <x:v>511</x:v>
      </x:c>
      <x:c r="E730" s="1" t="s">
        <x:v>1683</x:v>
      </x:c>
      <x:c r="F730" s="1">
        <x:v>10.0</x:v>
      </x:c>
      <x:c r="G730" s="1" t="s">
        <x:v>1067</x:v>
      </x:c>
      <x:c r="H730" s="1" t="s">
        <x:v>1067</x:v>
      </x:c>
      <x:c r="I730" s="1" t="s">
        <x:v>1060</x:v>
      </x:c>
      <x:c r="J730" s="1" t="s">
        <x:v>1067</x:v>
      </x:c>
      <x:c r="K730" s="1">
        <x:v>729.0</x:v>
      </x:c>
      <x:c r="L730" s="1" t="str">
        <x:f t="shared" si="1"/>
        <x:v>Stephen Carlson</x:v>
      </x:c>
      <x:c r="M730" s="127" t="str">
        <x:f>IFERROR(VLOOKUP(E730,RISK!A:B,2,FALSE()),"")</x:f>
      </x:c>
      <x:c r="N730" s="118" t="str">
        <x:f t="shared" si="2"/>
        <x:v>#N/A</x:v>
      </x:c>
      <x:c r="Q730" s="9"/>
      <x:c r="R730" s="9"/>
      <x:c r="S730" s="9"/>
      <x:c r="T730" s="9"/>
    </x:row>
    <x:row r="731" ht="14.25" customHeight="1">
      <x:c r="A731" s="1">
        <x:v>728.0</x:v>
      </x:c>
      <x:c r="B731" s="1">
        <x:v>15.0</x:v>
      </x:c>
      <x:c r="C731" s="1" t="s">
        <x:v>1684</x:v>
      </x:c>
      <x:c r="D731" s="1" t="s">
        <x:v>521</x:v>
      </x:c>
      <x:c r="E731" s="1" t="s">
        <x:v>1685</x:v>
      </x:c>
      <x:c r="F731" s="1">
        <x:v>8.0</x:v>
      </x:c>
      <x:c r="G731" s="1" t="s">
        <x:v>1067</x:v>
      </x:c>
      <x:c r="H731" s="1" t="s">
        <x:v>1067</x:v>
      </x:c>
      <x:c r="I731" s="1" t="s">
        <x:v>1060</x:v>
      </x:c>
      <x:c r="J731" s="1" t="s">
        <x:v>1067</x:v>
      </x:c>
      <x:c r="K731" s="1">
        <x:v>730.0</x:v>
      </x:c>
      <x:c r="L731" s="1" t="str">
        <x:f t="shared" si="1"/>
        <x:v>Treyton Welch</x:v>
      </x:c>
      <x:c r="M731" s="127" t="str">
        <x:f>IFERROR(VLOOKUP(E731,RISK!A:B,2,FALSE()),"")</x:f>
      </x:c>
      <x:c r="N731" s="118" t="str">
        <x:f t="shared" si="2"/>
        <x:v>#N/A</x:v>
      </x:c>
      <x:c r="Q731" s="9"/>
      <x:c r="R731" s="9"/>
      <x:c r="S731" s="9"/>
      <x:c r="T731" s="9"/>
    </x:row>
    <x:row r="732" ht="14.25" customHeight="1">
      <x:c r="A732" s="1">
        <x:v>729.0</x:v>
      </x:c>
      <x:c r="B732" s="1">
        <x:v>15.0</x:v>
      </x:c>
      <x:c r="C732" s="1" t="s">
        <x:v>1686</x:v>
      </x:c>
      <x:c r="D732" s="1" t="s">
        <x:v>1136</x:v>
      </x:c>
      <x:c r="E732" s="1" t="s">
        <x:v>1687</x:v>
      </x:c>
      <x:c r="F732" s="1" t="s">
        <x:v>1067</x:v>
      </x:c>
      <x:c r="G732" s="1" t="s">
        <x:v>1067</x:v>
      </x:c>
      <x:c r="H732" s="1" t="s">
        <x:v>1067</x:v>
      </x:c>
      <x:c r="I732" s="1" t="s">
        <x:v>1067</x:v>
      </x:c>
      <x:c r="J732" s="1" t="s">
        <x:v>1067</x:v>
      </x:c>
      <x:c r="K732" s="1">
        <x:v>731.0</x:v>
      </x:c>
      <x:c r="L732" s="1" t="str">
        <x:f t="shared" si="1"/>
        <x:v>Ja'Quinden Jackson</x:v>
      </x:c>
      <x:c r="M732" s="127" t="str">
        <x:f>IFERROR(VLOOKUP(E732,RISK!A:B,2,FALSE()),"")</x:f>
      </x:c>
      <x:c r="N732" s="118" t="str">
        <x:f t="shared" si="2"/>
        <x:v>#N/A</x:v>
      </x:c>
      <x:c r="Q732" s="9"/>
      <x:c r="R732" s="9"/>
      <x:c r="S732" s="9"/>
      <x:c r="T732" s="9"/>
    </x:row>
    <x:row r="733" ht="14.25" customHeight="1">
      <x:c r="A733" s="1">
        <x:v>730.0</x:v>
      </x:c>
      <x:c r="B733" s="1">
        <x:v>15.0</x:v>
      </x:c>
      <x:c r="C733" s="1" t="s">
        <x:v>1688</x:v>
      </x:c>
      <x:c r="D733" s="1" t="s">
        <x:v>519</x:v>
      </x:c>
      <x:c r="E733" s="1" t="s">
        <x:v>1689</x:v>
      </x:c>
      <x:c r="F733" s="1">
        <x:v>6.0</x:v>
      </x:c>
      <x:c r="G733" s="1" t="s">
        <x:v>1067</x:v>
      </x:c>
      <x:c r="H733" s="1" t="s">
        <x:v>1067</x:v>
      </x:c>
      <x:c r="I733" s="1" t="s">
        <x:v>1061</x:v>
      </x:c>
      <x:c r="J733" s="1" t="s">
        <x:v>1067</x:v>
      </x:c>
      <x:c r="K733" s="1">
        <x:v>732.0</x:v>
      </x:c>
      <x:c r="L733" s="1" t="str">
        <x:f t="shared" si="1"/>
        <x:v>Kendrick Law</x:v>
      </x:c>
      <x:c r="M733" s="127" t="str">
        <x:f>IFERROR(VLOOKUP(E733,RISK!A:B,2,FALSE()),"")</x:f>
      </x:c>
      <x:c r="N733" s="118" t="str">
        <x:f t="shared" si="2"/>
        <x:v>#N/A</x:v>
      </x:c>
      <x:c r="Q733" s="9"/>
      <x:c r="R733" s="9"/>
      <x:c r="S733" s="9"/>
      <x:c r="T733" s="9"/>
    </x:row>
    <x:row r="734" ht="14.25" customHeight="1">
      <x:c r="A734" s="1">
        <x:v>731.0</x:v>
      </x:c>
      <x:c r="B734" s="1">
        <x:v>15.0</x:v>
      </x:c>
      <x:c r="C734" s="1" t="s">
        <x:v>1690</x:v>
      </x:c>
      <x:c r="D734" s="1" t="s">
        <x:v>513</x:v>
      </x:c>
      <x:c r="E734" s="1" t="s">
        <x:v>1691</x:v>
      </x:c>
      <x:c r="F734" s="1">
        <x:v>7.0</x:v>
      </x:c>
      <x:c r="G734" s="1" t="s">
        <x:v>1067</x:v>
      </x:c>
      <x:c r="H734" s="1" t="s">
        <x:v>1067</x:v>
      </x:c>
      <x:c r="I734" s="1" t="s">
        <x:v>1061</x:v>
      </x:c>
      <x:c r="J734" s="1" t="s">
        <x:v>1067</x:v>
      </x:c>
      <x:c r="K734" s="1">
        <x:v>733.0</x:v>
      </x:c>
      <x:c r="L734" s="1" t="str">
        <x:f t="shared" si="1"/>
        <x:v>Evan Svoboda</x:v>
      </x:c>
      <x:c r="M734" s="127" t="str">
        <x:f>IFERROR(VLOOKUP(E734,RISK!A:B,2,FALSE()),"")</x:f>
      </x:c>
      <x:c r="N734" s="118" t="str">
        <x:f t="shared" si="2"/>
        <x:v>#N/A</x:v>
      </x:c>
      <x:c r="Q734" s="9"/>
      <x:c r="R734" s="9"/>
      <x:c r="S734" s="9"/>
      <x:c r="T734" s="9"/>
    </x:row>
    <x:row r="735" ht="14.25" customHeight="1">
      <x:c r="A735" s="1">
        <x:v>732.0</x:v>
      </x:c>
      <x:c r="B735" s="1">
        <x:v>15.0</x:v>
      </x:c>
      <x:c r="C735" s="1" t="s">
        <x:v>1003</x:v>
      </x:c>
      <x:c r="D735" s="1" t="s">
        <x:v>515</x:v>
      </x:c>
      <x:c r="E735" s="1" t="s">
        <x:v>1692</x:v>
      </x:c>
      <x:c r="F735" s="1">
        <x:v>10.0</x:v>
      </x:c>
      <x:c r="G735" s="1" t="s">
        <x:v>1067</x:v>
      </x:c>
      <x:c r="H735" s="1" t="s">
        <x:v>1067</x:v>
      </x:c>
      <x:c r="I735" s="1" t="s">
        <x:v>1061</x:v>
      </x:c>
      <x:c r="J735" s="1" t="s">
        <x:v>1067</x:v>
      </x:c>
      <x:c r="K735" s="1">
        <x:v>734.0</x:v>
      </x:c>
      <x:c r="L735" s="1" t="str">
        <x:f t="shared" si="1"/>
        <x:v>Dallen Bentley</x:v>
      </x:c>
      <x:c r="M735" s="127" t="str">
        <x:f>IFERROR(VLOOKUP(E735,RISK!A:B,2,FALSE()),"")</x:f>
      </x:c>
      <x:c r="N735" s="118" t="str">
        <x:f t="shared" si="2"/>
        <x:v>#N/A</x:v>
      </x:c>
      <x:c r="Q735" s="9"/>
      <x:c r="R735" s="9"/>
      <x:c r="S735" s="9"/>
      <x:c r="T735" s="9"/>
    </x:row>
    <x:row r="736" ht="14.25" customHeight="1">
      <x:c r="A736" s="1">
        <x:v>733.0</x:v>
      </x:c>
      <x:c r="B736" s="1">
        <x:v>15.0</x:v>
      </x:c>
      <x:c r="C736" s="1" t="s">
        <x:v>1693</x:v>
      </x:c>
      <x:c r="D736" s="1" t="s">
        <x:v>511</x:v>
      </x:c>
      <x:c r="E736" s="1" t="s">
        <x:v>1694</x:v>
      </x:c>
      <x:c r="F736" s="1">
        <x:v>10.0</x:v>
      </x:c>
      <x:c r="G736" s="1" t="s">
        <x:v>1067</x:v>
      </x:c>
      <x:c r="H736" s="1" t="s">
        <x:v>1067</x:v>
      </x:c>
      <x:c r="I736" s="1" t="s">
        <x:v>1060</x:v>
      </x:c>
      <x:c r="J736" s="1" t="s">
        <x:v>1067</x:v>
      </x:c>
      <x:c r="K736" s="1">
        <x:v>735.0</x:v>
      </x:c>
      <x:c r="L736" s="1" t="str">
        <x:f t="shared" si="1"/>
        <x:v>Brittain Brown</x:v>
      </x:c>
      <x:c r="M736" s="127" t="str">
        <x:f>IFERROR(VLOOKUP(E736,RISK!A:B,2,FALSE()),"")</x:f>
      </x:c>
      <x:c r="N736" s="118" t="str">
        <x:f t="shared" si="2"/>
        <x:v>#N/A</x:v>
      </x:c>
      <x:c r="Q736" s="9"/>
      <x:c r="R736" s="9"/>
      <x:c r="S736" s="9"/>
      <x:c r="T736" s="9"/>
    </x:row>
    <x:row r="737" ht="14.25" customHeight="1">
      <x:c r="A737" s="1">
        <x:v>734.0</x:v>
      </x:c>
      <x:c r="B737" s="1">
        <x:v>15.0</x:v>
      </x:c>
      <x:c r="C737" s="1" t="s">
        <x:v>1695</x:v>
      </x:c>
      <x:c r="D737" s="1" t="s">
        <x:v>521</x:v>
      </x:c>
      <x:c r="E737" s="1" t="s">
        <x:v>1696</x:v>
      </x:c>
      <x:c r="F737" s="1">
        <x:v>8.0</x:v>
      </x:c>
      <x:c r="G737" s="1" t="s">
        <x:v>1067</x:v>
      </x:c>
      <x:c r="H737" s="1" t="s">
        <x:v>1067</x:v>
      </x:c>
      <x:c r="I737" s="1" t="s">
        <x:v>1060</x:v>
      </x:c>
      <x:c r="J737" s="1" t="s">
        <x:v>1067</x:v>
      </x:c>
      <x:c r="K737" s="1">
        <x:v>736.0</x:v>
      </x:c>
      <x:c r="L737" s="1" t="str">
        <x:f t="shared" si="1"/>
        <x:v>Cody Hardy</x:v>
      </x:c>
      <x:c r="M737" s="127" t="str">
        <x:f>IFERROR(VLOOKUP(E737,RISK!A:B,2,FALSE()),"")</x:f>
      </x:c>
      <x:c r="N737" s="118" t="str">
        <x:f t="shared" si="2"/>
        <x:v>#N/A</x:v>
      </x:c>
      <x:c r="Q737" s="9"/>
      <x:c r="R737" s="9"/>
      <x:c r="S737" s="9"/>
      <x:c r="T737" s="9"/>
    </x:row>
    <x:row r="738" ht="14.25" customHeight="1">
      <x:c r="A738" s="1">
        <x:v>735.0</x:v>
      </x:c>
      <x:c r="B738" s="1">
        <x:v>15.0</x:v>
      </x:c>
      <x:c r="C738" s="1" t="s">
        <x:v>1697</x:v>
      </x:c>
      <x:c r="D738" s="1" t="s">
        <x:v>499</x:v>
      </x:c>
      <x:c r="E738" s="1" t="s">
        <x:v>1698</x:v>
      </x:c>
      <x:c r="F738" s="1">
        <x:v>6.0</x:v>
      </x:c>
      <x:c r="G738" s="1" t="s">
        <x:v>1067</x:v>
      </x:c>
      <x:c r="H738" s="1" t="s">
        <x:v>1067</x:v>
      </x:c>
      <x:c r="I738" s="1" t="s">
        <x:v>1060</x:v>
      </x:c>
      <x:c r="J738" s="1" t="s">
        <x:v>1067</x:v>
      </x:c>
      <x:c r="K738" s="1">
        <x:v>737.0</x:v>
      </x:c>
      <x:c r="L738" s="1" t="str">
        <x:f t="shared" si="1"/>
        <x:v>Kentrel Bullock</x:v>
      </x:c>
      <x:c r="M738" s="127" t="str">
        <x:f>IFERROR(VLOOKUP(E738,RISK!A:B,2,FALSE()),"")</x:f>
      </x:c>
      <x:c r="N738" s="118" t="str">
        <x:f t="shared" si="2"/>
        <x:v>#N/A</x:v>
      </x:c>
      <x:c r="Q738" s="9"/>
      <x:c r="R738" s="9"/>
      <x:c r="S738" s="9"/>
      <x:c r="T738" s="9"/>
    </x:row>
    <x:row r="739" ht="14.25" customHeight="1">
      <x:c r="A739" s="1">
        <x:v>736.0</x:v>
      </x:c>
      <x:c r="B739" s="1">
        <x:v>15.0</x:v>
      </x:c>
      <x:c r="C739" s="1" t="s">
        <x:v>1699</x:v>
      </x:c>
      <x:c r="D739" s="1" t="s">
        <x:v>547</x:v>
      </x:c>
      <x:c r="E739" s="1" t="s">
        <x:v>1700</x:v>
      </x:c>
      <x:c r="F739" s="1">
        <x:v>13.0</x:v>
      </x:c>
      <x:c r="G739" s="1" t="s">
        <x:v>1067</x:v>
      </x:c>
      <x:c r="H739" s="1" t="s">
        <x:v>1067</x:v>
      </x:c>
      <x:c r="I739" s="1" t="s">
        <x:v>1064</x:v>
      </x:c>
      <x:c r="J739" s="1" t="s">
        <x:v>1067</x:v>
      </x:c>
      <x:c r="K739" s="1">
        <x:v>738.0</x:v>
      </x:c>
      <x:c r="L739" s="1" t="str">
        <x:f t="shared" si="1"/>
        <x:v>Patrick Gurd</x:v>
      </x:c>
      <x:c r="M739" s="127" t="str">
        <x:f>IFERROR(VLOOKUP(E739,RISK!A:B,2,FALSE()),"")</x:f>
      </x:c>
      <x:c r="N739" s="118" t="str">
        <x:f t="shared" si="2"/>
        <x:v>#N/A</x:v>
      </x:c>
      <x:c r="Q739" s="9"/>
      <x:c r="R739" s="9"/>
      <x:c r="S739" s="9"/>
      <x:c r="T739" s="9"/>
    </x:row>
    <x:row r="740" ht="14.25" customHeight="1">
      <x:c r="A740" s="1">
        <x:v>737.0</x:v>
      </x:c>
      <x:c r="B740" s="1">
        <x:v>15.0</x:v>
      </x:c>
      <x:c r="C740" s="1" t="s">
        <x:v>1701</x:v>
      </x:c>
      <x:c r="D740" s="1" t="s">
        <x:v>505</x:v>
      </x:c>
      <x:c r="E740" s="1" t="s">
        <x:v>1702</x:v>
      </x:c>
      <x:c r="F740" s="1">
        <x:v>7.0</x:v>
      </x:c>
      <x:c r="G740" s="1" t="s">
        <x:v>1067</x:v>
      </x:c>
      <x:c r="H740" s="1" t="s">
        <x:v>1067</x:v>
      </x:c>
      <x:c r="I740" s="1" t="s">
        <x:v>1061</x:v>
      </x:c>
      <x:c r="J740" s="1" t="s">
        <x:v>1067</x:v>
      </x:c>
      <x:c r="K740" s="1">
        <x:v>739.0</x:v>
      </x:c>
      <x:c r="L740" s="1" t="str">
        <x:f t="shared" si="1"/>
        <x:v>Michael Wortham</x:v>
      </x:c>
      <x:c r="M740" s="127" t="str">
        <x:f>IFERROR(VLOOKUP(E740,RISK!A:B,2,FALSE()),"")</x:f>
      </x:c>
      <x:c r="N740" s="118" t="str">
        <x:f t="shared" si="2"/>
        <x:v>#N/A</x:v>
      </x:c>
      <x:c r="Q740" s="9"/>
      <x:c r="R740" s="9"/>
      <x:c r="S740" s="9"/>
      <x:c r="T740" s="9"/>
    </x:row>
    <x:row r="741" ht="14.25" customHeight="1">
      <x:c r="A741" s="1">
        <x:v>738.0</x:v>
      </x:c>
      <x:c r="B741" s="1">
        <x:v>15.0</x:v>
      </x:c>
      <x:c r="C741" s="1" t="s">
        <x:v>1703</x:v>
      </x:c>
      <x:c r="D741" s="1" t="s">
        <x:v>517</x:v>
      </x:c>
      <x:c r="E741" s="1" t="s">
        <x:v>1704</x:v>
      </x:c>
      <x:c r="F741" s="1">
        <x:v>11.0</x:v>
      </x:c>
      <x:c r="G741" s="1" t="s">
        <x:v>1067</x:v>
      </x:c>
      <x:c r="H741" s="1" t="s">
        <x:v>1067</x:v>
      </x:c>
      <x:c r="I741" s="1" t="s">
        <x:v>1061</x:v>
      </x:c>
      <x:c r="J741" s="1" t="s">
        <x:v>1067</x:v>
      </x:c>
      <x:c r="K741" s="1">
        <x:v>740.0</x:v>
      </x:c>
      <x:c r="L741" s="1" t="str">
        <x:f t="shared" si="1"/>
        <x:v>Mark Redman</x:v>
      </x:c>
      <x:c r="M741" s="127" t="str">
        <x:f>IFERROR(VLOOKUP(E741,RISK!A:B,2,FALSE()),"")</x:f>
      </x:c>
      <x:c r="N741" s="118" t="str">
        <x:f t="shared" si="2"/>
        <x:v>#N/A</x:v>
      </x:c>
      <x:c r="Q741" s="9"/>
      <x:c r="R741" s="9"/>
      <x:c r="S741" s="9"/>
      <x:c r="T741" s="9"/>
    </x:row>
    <x:row r="742" ht="14.25" customHeight="1">
      <x:c r="A742" s="1">
        <x:v>739.0</x:v>
      </x:c>
      <x:c r="B742" s="1">
        <x:v>15.0</x:v>
      </x:c>
      <x:c r="C742" s="1" t="s">
        <x:v>1705</x:v>
      </x:c>
      <x:c r="D742" s="1" t="s">
        <x:v>507</x:v>
      </x:c>
      <x:c r="E742" s="1" t="s">
        <x:v>1706</x:v>
      </x:c>
      <x:c r="F742" s="1">
        <x:v>14.0</x:v>
      </x:c>
      <x:c r="G742" s="1" t="s">
        <x:v>1067</x:v>
      </x:c>
      <x:c r="H742" s="1" t="s">
        <x:v>1067</x:v>
      </x:c>
      <x:c r="I742" s="1" t="s">
        <x:v>1060</x:v>
      </x:c>
      <x:c r="J742" s="1" t="s">
        <x:v>1067</x:v>
      </x:c>
      <x:c r="K742" s="1">
        <x:v>741.0</x:v>
      </x:c>
      <x:c r="L742" s="1" t="str">
        <x:f t="shared" si="1"/>
        <x:v>Tyler Johnson</x:v>
      </x:c>
      <x:c r="M742" s="127" t="str">
        <x:f>IFERROR(VLOOKUP(E742,RISK!A:B,2,FALSE()),"")</x:f>
      </x:c>
      <x:c r="N742" s="118" t="str">
        <x:f t="shared" si="2"/>
        <x:v>#N/A</x:v>
      </x:c>
      <x:c r="Q742" s="9"/>
      <x:c r="R742" s="9"/>
      <x:c r="S742" s="9"/>
      <x:c r="T742" s="9"/>
    </x:row>
    <x:row r="743" ht="14.25" customHeight="1">
      <x:c r="A743" s="1">
        <x:v>740.0</x:v>
      </x:c>
      <x:c r="B743" s="1">
        <x:v>15.0</x:v>
      </x:c>
      <x:c r="C743" s="1" t="s">
        <x:v>1707</x:v>
      </x:c>
      <x:c r="D743" s="1" t="s">
        <x:v>517</x:v>
      </x:c>
      <x:c r="E743" s="1" t="s">
        <x:v>1708</x:v>
      </x:c>
      <x:c r="F743" s="1">
        <x:v>11.0</x:v>
      </x:c>
      <x:c r="G743" s="1" t="s">
        <x:v>1067</x:v>
      </x:c>
      <x:c r="H743" s="1" t="s">
        <x:v>1067</x:v>
      </x:c>
      <x:c r="I743" s="1" t="s">
        <x:v>1061</x:v>
      </x:c>
      <x:c r="J743" s="1" t="s">
        <x:v>1067</x:v>
      </x:c>
      <x:c r="K743" s="1">
        <x:v>742.0</x:v>
      </x:c>
      <x:c r="L743" s="1" t="str">
        <x:f t="shared" si="1"/>
        <x:v>Dan Villari</x:v>
      </x:c>
      <x:c r="M743" s="127" t="str">
        <x:f>IFERROR(VLOOKUP(E743,RISK!A:B,2,FALSE()),"")</x:f>
      </x:c>
      <x:c r="N743" s="118" t="str">
        <x:f t="shared" si="2"/>
        <x:v>#N/A</x:v>
      </x:c>
      <x:c r="Q743" s="9"/>
      <x:c r="R743" s="9"/>
      <x:c r="S743" s="9"/>
      <x:c r="T743" s="9"/>
    </x:row>
    <x:row r="744" ht="14.25" customHeight="1">
      <x:c r="A744" s="1">
        <x:v>741.0</x:v>
      </x:c>
      <x:c r="B744" s="1">
        <x:v>15.0</x:v>
      </x:c>
      <x:c r="C744" s="1" t="s">
        <x:v>1709</x:v>
      </x:c>
      <x:c r="D744" s="1" t="s">
        <x:v>509</x:v>
      </x:c>
      <x:c r="E744" s="1" t="s">
        <x:v>1710</x:v>
      </x:c>
      <x:c r="F744" s="1">
        <x:v>5.0</x:v>
      </x:c>
      <x:c r="G744" s="1" t="s">
        <x:v>1067</x:v>
      </x:c>
      <x:c r="H744" s="1" t="s">
        <x:v>1067</x:v>
      </x:c>
      <x:c r="I744" s="1" t="s">
        <x:v>1064</x:v>
      </x:c>
      <x:c r="J744" s="1" t="s">
        <x:v>1067</x:v>
      </x:c>
      <x:c r="K744" s="1">
        <x:v>743.0</x:v>
      </x:c>
      <x:c r="L744" s="1" t="str">
        <x:f t="shared" si="1"/>
        <x:v>Terion Stewart</x:v>
      </x:c>
      <x:c r="M744" s="127" t="str">
        <x:f>IFERROR(VLOOKUP(E744,RISK!A:B,2,FALSE()),"")</x:f>
      </x:c>
      <x:c r="N744" s="118" t="str">
        <x:f t="shared" si="2"/>
        <x:v>#N/A</x:v>
      </x:c>
      <x:c r="Q744" s="9"/>
      <x:c r="R744" s="9"/>
      <x:c r="S744" s="9"/>
      <x:c r="T744" s="9"/>
    </x:row>
    <x:row r="745" ht="14.25" customHeight="1">
      <x:c r="A745" s="1">
        <x:v>742.0</x:v>
      </x:c>
      <x:c r="B745" s="1">
        <x:v>15.0</x:v>
      </x:c>
      <x:c r="C745" s="1" t="s">
        <x:v>1711</x:v>
      </x:c>
      <x:c r="D745" s="1" t="s">
        <x:v>513</x:v>
      </x:c>
      <x:c r="E745" s="1" t="s">
        <x:v>1712</x:v>
      </x:c>
      <x:c r="F745" s="1">
        <x:v>7.0</x:v>
      </x:c>
      <x:c r="G745" s="1" t="s">
        <x:v>1067</x:v>
      </x:c>
      <x:c r="H745" s="1" t="s">
        <x:v>1067</x:v>
      </x:c>
      <x:c r="I745" s="1" t="s">
        <x:v>1061</x:v>
      </x:c>
      <x:c r="J745" s="1" t="s">
        <x:v>1067</x:v>
      </x:c>
      <x:c r="K745" s="1">
        <x:v>744.0</x:v>
      </x:c>
      <x:c r="L745" s="1" t="str">
        <x:f t="shared" si="1"/>
        <x:v>Johnny Pascuzzi</x:v>
      </x:c>
      <x:c r="M745" s="127" t="str">
        <x:f>IFERROR(VLOOKUP(E745,RISK!A:B,2,FALSE()),"")</x:f>
      </x:c>
      <x:c r="N745" s="118" t="str">
        <x:f t="shared" si="2"/>
        <x:v>#N/A</x:v>
      </x:c>
      <x:c r="Q745" s="9"/>
      <x:c r="R745" s="9"/>
      <x:c r="S745" s="9"/>
      <x:c r="T745" s="9"/>
    </x:row>
    <x:row r="746" ht="14.25" customHeight="1">
      <x:c r="A746" s="1">
        <x:v>743.0</x:v>
      </x:c>
      <x:c r="B746" s="1">
        <x:v>15.0</x:v>
      </x:c>
      <x:c r="C746" s="1" t="s">
        <x:v>1713</x:v>
      </x:c>
      <x:c r="D746" s="1" t="s">
        <x:v>499</x:v>
      </x:c>
      <x:c r="E746" s="1" t="s">
        <x:v>1714</x:v>
      </x:c>
      <x:c r="F746" s="1">
        <x:v>6.0</x:v>
      </x:c>
      <x:c r="G746" s="1" t="s">
        <x:v>1067</x:v>
      </x:c>
      <x:c r="H746" s="1" t="s">
        <x:v>1067</x:v>
      </x:c>
      <x:c r="I746" s="1" t="s">
        <x:v>1060</x:v>
      </x:c>
      <x:c r="J746" s="1" t="s">
        <x:v>1067</x:v>
      </x:c>
      <x:c r="K746" s="1">
        <x:v>745.0</x:v>
      </x:c>
      <x:c r="L746" s="1" t="str">
        <x:f t="shared" si="1"/>
        <x:v>Gary Brightwell</x:v>
      </x:c>
      <x:c r="M746" s="127" t="str">
        <x:f>IFERROR(VLOOKUP(E746,RISK!A:B,2,FALSE()),"")</x:f>
      </x:c>
      <x:c r="N746" s="118" t="str">
        <x:f t="shared" si="2"/>
        <x:v>#N/A</x:v>
      </x:c>
      <x:c r="Q746" s="9"/>
      <x:c r="R746" s="9"/>
      <x:c r="S746" s="9"/>
      <x:c r="T746" s="9"/>
    </x:row>
    <x:row r="747" ht="14.25" customHeight="1">
      <x:c r="A747" s="1">
        <x:v>744.0</x:v>
      </x:c>
      <x:c r="B747" s="1">
        <x:v>15.0</x:v>
      </x:c>
      <x:c r="C747" s="1" t="s">
        <x:v>1715</x:v>
      </x:c>
      <x:c r="D747" s="1" t="s">
        <x:v>511</x:v>
      </x:c>
      <x:c r="E747" s="1" t="s">
        <x:v>1716</x:v>
      </x:c>
      <x:c r="F747" s="1">
        <x:v>10.0</x:v>
      </x:c>
      <x:c r="G747" s="1" t="s">
        <x:v>1067</x:v>
      </x:c>
      <x:c r="H747" s="1" t="s">
        <x:v>1067</x:v>
      </x:c>
      <x:c r="I747" s="1" t="s">
        <x:v>1060</x:v>
      </x:c>
      <x:c r="J747" s="1" t="s">
        <x:v>1067</x:v>
      </x:c>
      <x:c r="K747" s="1">
        <x:v>746.0</x:v>
      </x:c>
      <x:c r="L747" s="1" t="str">
        <x:f t="shared" si="1"/>
        <x:v>Hayden Large</x:v>
      </x:c>
      <x:c r="M747" s="127" t="str">
        <x:f>IFERROR(VLOOKUP(E747,RISK!A:B,2,FALSE()),"")</x:f>
      </x:c>
      <x:c r="N747" s="118" t="str">
        <x:f t="shared" si="2"/>
        <x:v>#N/A</x:v>
      </x:c>
      <x:c r="Q747" s="9"/>
      <x:c r="R747" s="9"/>
      <x:c r="S747" s="9"/>
      <x:c r="T747" s="9"/>
    </x:row>
    <x:row r="748" ht="14.25" customHeight="1">
      <x:c r="A748" s="1">
        <x:v>745.0</x:v>
      </x:c>
      <x:c r="B748" s="1">
        <x:v>15.0</x:v>
      </x:c>
      <x:c r="C748" s="1" t="s">
        <x:v>1717</x:v>
      </x:c>
      <x:c r="D748" s="1" t="s">
        <x:v>517</x:v>
      </x:c>
      <x:c r="E748" s="1" t="s">
        <x:v>1718</x:v>
      </x:c>
      <x:c r="F748" s="1">
        <x:v>11.0</x:v>
      </x:c>
      <x:c r="G748" s="1" t="s">
        <x:v>1067</x:v>
      </x:c>
      <x:c r="H748" s="1" t="s">
        <x:v>1067</x:v>
      </x:c>
      <x:c r="I748" s="1" t="s">
        <x:v>1061</x:v>
      </x:c>
      <x:c r="J748" s="1" t="s">
        <x:v>1067</x:v>
      </x:c>
      <x:c r="K748" s="1">
        <x:v>747.0</x:v>
      </x:c>
      <x:c r="L748" s="1" t="str">
        <x:f t="shared" si="1"/>
        <x:v>Rohan Jones</x:v>
      </x:c>
      <x:c r="M748" s="127" t="str">
        <x:f>IFERROR(VLOOKUP(E748,RISK!A:B,2,FALSE()),"")</x:f>
      </x:c>
      <x:c r="N748" s="118" t="str">
        <x:f t="shared" si="2"/>
        <x:v>#N/A</x:v>
      </x:c>
      <x:c r="Q748" s="9"/>
      <x:c r="R748" s="9"/>
      <x:c r="S748" s="9"/>
      <x:c r="T748" s="9"/>
    </x:row>
    <x:row r="749" ht="14.25" customHeight="1">
      <x:c r="A749" s="1">
        <x:v>746.0</x:v>
      </x:c>
      <x:c r="B749" s="1">
        <x:v>15.0</x:v>
      </x:c>
      <x:c r="C749" s="1" t="s">
        <x:v>1719</x:v>
      </x:c>
      <x:c r="D749" s="1" t="s">
        <x:v>1136</x:v>
      </x:c>
      <x:c r="E749" s="1" t="s">
        <x:v>1720</x:v>
      </x:c>
      <x:c r="F749" s="1" t="s">
        <x:v>1067</x:v>
      </x:c>
      <x:c r="G749" s="1" t="s">
        <x:v>1067</x:v>
      </x:c>
      <x:c r="H749" s="1" t="s">
        <x:v>1067</x:v>
      </x:c>
      <x:c r="I749" s="1" t="s">
        <x:v>1067</x:v>
      </x:c>
      <x:c r="J749" s="1" t="s">
        <x:v>1067</x:v>
      </x:c>
      <x:c r="K749" s="1">
        <x:v>748.0</x:v>
      </x:c>
      <x:c r="L749" s="1" t="str">
        <x:f t="shared" si="1"/>
        <x:v>Desmond Reid</x:v>
      </x:c>
      <x:c r="M749" s="127" t="str">
        <x:f>IFERROR(VLOOKUP(E749,RISK!A:B,2,FALSE()),"")</x:f>
      </x:c>
      <x:c r="N749" s="118" t="str">
        <x:f t="shared" si="2"/>
        <x:v>#N/A</x:v>
      </x:c>
      <x:c r="Q749" s="9"/>
      <x:c r="R749" s="9"/>
      <x:c r="S749" s="9"/>
      <x:c r="T749" s="9"/>
    </x:row>
    <x:row r="750" ht="14.25" customHeight="1">
      <x:c r="A750" s="1">
        <x:v>747.0</x:v>
      </x:c>
      <x:c r="B750" s="1">
        <x:v>15.0</x:v>
      </x:c>
      <x:c r="C750" s="1" t="s">
        <x:v>1721</x:v>
      </x:c>
      <x:c r="D750" s="1" t="s">
        <x:v>1136</x:v>
      </x:c>
      <x:c r="E750" s="1" t="s">
        <x:v>1722</x:v>
      </x:c>
      <x:c r="F750" s="1" t="s">
        <x:v>1067</x:v>
      </x:c>
      <x:c r="G750" s="1" t="s">
        <x:v>1067</x:v>
      </x:c>
      <x:c r="H750" s="1" t="s">
        <x:v>1067</x:v>
      </x:c>
      <x:c r="I750" s="1" t="s">
        <x:v>1067</x:v>
      </x:c>
      <x:c r="J750" s="1">
        <x:v>-414.0</x:v>
      </x:c>
      <x:c r="K750" s="1">
        <x:v>749.0</x:v>
      </x:c>
      <x:c r="L750" s="1" t="str">
        <x:f t="shared" si="1"/>
        <x:v>Gus Edwards</x:v>
      </x:c>
      <x:c r="M750" s="127" t="str">
        <x:f>IFERROR(VLOOKUP(E750,RISK!A:B,2,FALSE()),"")</x:f>
      </x:c>
      <x:c r="N750" s="118" t="str">
        <x:f t="shared" si="2"/>
        <x:v>#N/A</x:v>
      </x:c>
      <x:c r="Q750" s="9"/>
      <x:c r="R750" s="9"/>
      <x:c r="S750" s="9"/>
      <x:c r="T750" s="9"/>
    </x:row>
    <x:row r="751" ht="14.25" customHeight="1">
      <x:c r="A751" s="1">
        <x:v>748.0</x:v>
      </x:c>
      <x:c r="B751" s="1">
        <x:v>15.0</x:v>
      </x:c>
      <x:c r="C751" s="1" t="s">
        <x:v>1723</x:v>
      </x:c>
      <x:c r="D751" s="1" t="s">
        <x:v>551</x:v>
      </x:c>
      <x:c r="E751" s="1" t="s">
        <x:v>1724</x:v>
      </x:c>
      <x:c r="F751" s="1">
        <x:v>11.0</x:v>
      </x:c>
      <x:c r="G751" s="1" t="s">
        <x:v>1067</x:v>
      </x:c>
      <x:c r="H751" s="1" t="s">
        <x:v>1067</x:v>
      </x:c>
      <x:c r="I751" s="1" t="s">
        <x:v>1064</x:v>
      </x:c>
      <x:c r="J751" s="1" t="s">
        <x:v>1067</x:v>
      </x:c>
      <x:c r="K751" s="1">
        <x:v>750.0</x:v>
      </x:c>
      <x:c r="L751" s="1" t="str">
        <x:f t="shared" si="1"/>
        <x:v>Dylan Drummond</x:v>
      </x:c>
      <x:c r="M751" s="127" t="str">
        <x:f>IFERROR(VLOOKUP(E751,RISK!A:B,2,FALSE()),"")</x:f>
      </x:c>
      <x:c r="N751" s="118" t="str">
        <x:f t="shared" si="2"/>
        <x:v>#N/A</x:v>
      </x:c>
      <x:c r="Q751" s="9"/>
      <x:c r="R751" s="9"/>
      <x:c r="S751" s="9"/>
      <x:c r="T751" s="9"/>
    </x:row>
    <x:row r="752" ht="14.25" customHeight="1">
      <x:c r="A752" s="1">
        <x:v>749.0</x:v>
      </x:c>
      <x:c r="B752" s="1">
        <x:v>15.0</x:v>
      </x:c>
      <x:c r="C752" s="1" t="s">
        <x:v>1725</x:v>
      </x:c>
      <x:c r="D752" s="1" t="s">
        <x:v>511</x:v>
      </x:c>
      <x:c r="E752" s="1" t="s">
        <x:v>1726</x:v>
      </x:c>
      <x:c r="F752" s="1">
        <x:v>10.0</x:v>
      </x:c>
      <x:c r="G752" s="1" t="s">
        <x:v>1067</x:v>
      </x:c>
      <x:c r="H752" s="1" t="s">
        <x:v>1067</x:v>
      </x:c>
      <x:c r="I752" s="1" t="s">
        <x:v>1064</x:v>
      </x:c>
      <x:c r="J752" s="1" t="s">
        <x:v>1067</x:v>
      </x:c>
      <x:c r="K752" s="1">
        <x:v>751.0</x:v>
      </x:c>
      <x:c r="L752" s="1" t="str">
        <x:f t="shared" si="1"/>
        <x:v>Ray-Ray McCloud III</x:v>
      </x:c>
      <x:c r="M752" s="127" t="str">
        <x:f>IFERROR(VLOOKUP(E752,RISK!A:B,2,FALSE()),"")</x:f>
      </x:c>
      <x:c r="N752" s="118" t="str">
        <x:f t="shared" si="2"/>
        <x:v>#N/A</x:v>
      </x:c>
      <x:c r="Q752" s="9"/>
      <x:c r="R752" s="9"/>
      <x:c r="S752" s="9"/>
      <x:c r="T752" s="9"/>
    </x:row>
    <x:row r="753" ht="14.25" customHeight="1">
      <x:c r="A753" s="1">
        <x:v>750.0</x:v>
      </x:c>
      <x:c r="B753" s="1">
        <x:v>15.0</x:v>
      </x:c>
      <x:c r="C753" s="1" t="s">
        <x:v>1727</x:v>
      </x:c>
      <x:c r="D753" s="1" t="s">
        <x:v>499</x:v>
      </x:c>
      <x:c r="E753" s="1" t="s">
        <x:v>1728</x:v>
      </x:c>
      <x:c r="F753" s="1">
        <x:v>6.0</x:v>
      </x:c>
      <x:c r="G753" s="1" t="s">
        <x:v>1067</x:v>
      </x:c>
      <x:c r="H753" s="1" t="s">
        <x:v>1067</x:v>
      </x:c>
      <x:c r="I753" s="1" t="s">
        <x:v>1064</x:v>
      </x:c>
      <x:c r="J753" s="1" t="s">
        <x:v>1067</x:v>
      </x:c>
      <x:c r="K753" s="1">
        <x:v>752.0</x:v>
      </x:c>
      <x:c r="L753" s="1" t="str">
        <x:f t="shared" si="1"/>
        <x:v>Josh Kattus</x:v>
      </x:c>
      <x:c r="M753" s="127" t="str">
        <x:f>IFERROR(VLOOKUP(E753,RISK!A:B,2,FALSE()),"")</x:f>
      </x:c>
      <x:c r="N753" s="118" t="str">
        <x:f t="shared" si="2"/>
        <x:v>#N/A</x:v>
      </x:c>
      <x:c r="Q753" s="9"/>
      <x:c r="R753" s="9"/>
      <x:c r="S753" s="9"/>
      <x:c r="T753" s="9"/>
    </x:row>
    <x:row r="754" ht="14.25" customHeight="1">
      <x:c r="A754" s="1">
        <x:v>751.0</x:v>
      </x:c>
      <x:c r="B754" s="1">
        <x:v>15.0</x:v>
      </x:c>
      <x:c r="C754" s="1" t="s">
        <x:v>1729</x:v>
      </x:c>
      <x:c r="D754" s="1" t="s">
        <x:v>513</x:v>
      </x:c>
      <x:c r="E754" s="1" t="s">
        <x:v>1730</x:v>
      </x:c>
      <x:c r="F754" s="1">
        <x:v>7.0</x:v>
      </x:c>
      <x:c r="G754" s="1" t="s">
        <x:v>1067</x:v>
      </x:c>
      <x:c r="H754" s="1" t="s">
        <x:v>1067</x:v>
      </x:c>
      <x:c r="I754" s="1" t="s">
        <x:v>1064</x:v>
      </x:c>
      <x:c r="J754" s="1" t="s">
        <x:v>1067</x:v>
      </x:c>
      <x:c r="K754" s="1">
        <x:v>753.0</x:v>
      </x:c>
      <x:c r="L754" s="1" t="str">
        <x:f t="shared" si="1"/>
        <x:v>Amar Johnson</x:v>
      </x:c>
      <x:c r="M754" s="127" t="str">
        <x:f>IFERROR(VLOOKUP(E754,RISK!A:B,2,FALSE()),"")</x:f>
      </x:c>
      <x:c r="N754" s="118" t="str">
        <x:f t="shared" si="2"/>
        <x:v>#N/A</x:v>
      </x:c>
      <x:c r="Q754" s="9"/>
      <x:c r="R754" s="9"/>
      <x:c r="S754" s="9"/>
      <x:c r="T754" s="9"/>
    </x:row>
    <x:row r="755" ht="14.25" customHeight="1">
      <x:c r="A755" s="1">
        <x:v>752.0</x:v>
      </x:c>
      <x:c r="B755" s="1">
        <x:v>15.0</x:v>
      </x:c>
      <x:c r="C755" s="1" t="s">
        <x:v>1731</x:v>
      </x:c>
      <x:c r="D755" s="1" t="s">
        <x:v>549</x:v>
      </x:c>
      <x:c r="E755" s="1" t="s">
        <x:v>1732</x:v>
      </x:c>
      <x:c r="F755" s="1">
        <x:v>11.0</x:v>
      </x:c>
      <x:c r="G755" s="1" t="s">
        <x:v>1067</x:v>
      </x:c>
      <x:c r="H755" s="1" t="s">
        <x:v>1067</x:v>
      </x:c>
      <x:c r="I755" s="1" t="s">
        <x:v>1064</x:v>
      </x:c>
      <x:c r="J755" s="1" t="s">
        <x:v>1067</x:v>
      </x:c>
      <x:c r="K755" s="1">
        <x:v>754.0</x:v>
      </x:c>
      <x:c r="L755" s="1" t="str">
        <x:f t="shared" si="1"/>
        <x:v>Davon Booth</x:v>
      </x:c>
      <x:c r="M755" s="127" t="str">
        <x:f>IFERROR(VLOOKUP(E755,RISK!A:B,2,FALSE()),"")</x:f>
      </x:c>
      <x:c r="N755" s="118" t="str">
        <x:f t="shared" si="2"/>
        <x:v>#N/A</x:v>
      </x:c>
      <x:c r="Q755" s="9"/>
      <x:c r="R755" s="9"/>
      <x:c r="S755" s="9"/>
      <x:c r="T755" s="9"/>
    </x:row>
    <x:row r="756" ht="14.25" customHeight="1">
      <x:c r="A756" s="1">
        <x:v>753.0</x:v>
      </x:c>
      <x:c r="B756" s="1">
        <x:v>15.0</x:v>
      </x:c>
      <x:c r="C756" s="1" t="s">
        <x:v>1733</x:v>
      </x:c>
      <x:c r="D756" s="1" t="s">
        <x:v>1136</x:v>
      </x:c>
      <x:c r="E756" s="1" t="s">
        <x:v>1734</x:v>
      </x:c>
      <x:c r="F756" s="1" t="s">
        <x:v>1067</x:v>
      </x:c>
      <x:c r="G756" s="1" t="s">
        <x:v>1067</x:v>
      </x:c>
      <x:c r="H756" s="1" t="s">
        <x:v>1067</x:v>
      </x:c>
      <x:c r="I756" s="1" t="s">
        <x:v>1067</x:v>
      </x:c>
      <x:c r="J756" s="1" t="s">
        <x:v>1067</x:v>
      </x:c>
      <x:c r="K756" s="1">
        <x:v>755.0</x:v>
      </x:c>
      <x:c r="L756" s="1" t="str">
        <x:f t="shared" si="1"/>
        <x:v>Zack Moss</x:v>
      </x:c>
      <x:c r="M756" s="127" t="str">
        <x:f>IFERROR(VLOOKUP(E756,RISK!A:B,2,FALSE()),"")</x:f>
      </x:c>
      <x:c r="N756" s="118" t="str">
        <x:f t="shared" si="2"/>
        <x:v>#N/A</x:v>
      </x:c>
      <x:c r="Q756" s="9"/>
      <x:c r="R756" s="9"/>
      <x:c r="S756" s="9"/>
      <x:c r="T756" s="9"/>
    </x:row>
    <x:row r="757" ht="14.25" customHeight="1">
      <x:c r="A757" s="1">
        <x:v>754.0</x:v>
      </x:c>
      <x:c r="B757" s="1">
        <x:v>15.0</x:v>
      </x:c>
      <x:c r="C757" s="1" t="s">
        <x:v>1735</x:v>
      </x:c>
      <x:c r="D757" s="1" t="s">
        <x:v>1136</x:v>
      </x:c>
      <x:c r="E757" s="1" t="s">
        <x:v>1736</x:v>
      </x:c>
      <x:c r="F757" s="1" t="s">
        <x:v>1067</x:v>
      </x:c>
      <x:c r="G757" s="1" t="s">
        <x:v>1067</x:v>
      </x:c>
      <x:c r="H757" s="1" t="s">
        <x:v>1067</x:v>
      </x:c>
      <x:c r="I757" s="1" t="s">
        <x:v>1067</x:v>
      </x:c>
      <x:c r="J757" s="1" t="s">
        <x:v>1067</x:v>
      </x:c>
      <x:c r="K757" s="1">
        <x:v>756.0</x:v>
      </x:c>
      <x:c r="L757" s="1" t="str">
        <x:f t="shared" si="1"/>
        <x:v>Jeff Caldwell</x:v>
      </x:c>
      <x:c r="M757" s="127" t="str">
        <x:f>IFERROR(VLOOKUP(E757,RISK!A:B,2,FALSE()),"")</x:f>
      </x:c>
      <x:c r="N757" s="118" t="str">
        <x:f t="shared" si="2"/>
        <x:v>#N/A</x:v>
      </x:c>
      <x:c r="Q757" s="9"/>
      <x:c r="R757" s="9"/>
      <x:c r="S757" s="9"/>
      <x:c r="T757" s="9"/>
    </x:row>
    <x:row r="758" ht="14.25" customHeight="1">
      <x:c r="A758" s="1">
        <x:v>755.0</x:v>
      </x:c>
      <x:c r="B758" s="1">
        <x:v>15.0</x:v>
      </x:c>
      <x:c r="C758" s="1" t="s">
        <x:v>1737</x:v>
      </x:c>
      <x:c r="D758" s="1" t="s">
        <x:v>509</x:v>
      </x:c>
      <x:c r="E758" s="1" t="s">
        <x:v>1738</x:v>
      </x:c>
      <x:c r="F758" s="1">
        <x:v>5.0</x:v>
      </x:c>
      <x:c r="G758" s="1" t="s">
        <x:v>1067</x:v>
      </x:c>
      <x:c r="H758" s="1" t="s">
        <x:v>1067</x:v>
      </x:c>
      <x:c r="I758" s="1" t="s">
        <x:v>1064</x:v>
      </x:c>
      <x:c r="J758" s="1" t="s">
        <x:v>1067</x:v>
      </x:c>
      <x:c r="K758" s="1">
        <x:v>757.0</x:v>
      </x:c>
      <x:c r="L758" s="1" t="str">
        <x:f t="shared" si="1"/>
        <x:v>EJ Smith</x:v>
      </x:c>
      <x:c r="M758" s="127" t="str">
        <x:f>IFERROR(VLOOKUP(E758,RISK!A:B,2,FALSE()),"")</x:f>
      </x:c>
      <x:c r="N758" s="118" t="str">
        <x:f t="shared" si="2"/>
        <x:v>#N/A</x:v>
      </x:c>
      <x:c r="Q758" s="9"/>
      <x:c r="R758" s="9"/>
      <x:c r="S758" s="9"/>
      <x:c r="T758" s="9"/>
    </x:row>
    <x:row r="759" ht="14.25" customHeight="1">
      <x:c r="A759" s="1">
        <x:v>756.0</x:v>
      </x:c>
      <x:c r="B759" s="1">
        <x:v>15.0</x:v>
      </x:c>
      <x:c r="C759" s="1" t="s">
        <x:v>1739</x:v>
      </x:c>
      <x:c r="D759" s="1" t="s">
        <x:v>521</x:v>
      </x:c>
      <x:c r="E759" s="1" t="s">
        <x:v>1740</x:v>
      </x:c>
      <x:c r="F759" s="1">
        <x:v>8.0</x:v>
      </x:c>
      <x:c r="G759" s="1" t="s">
        <x:v>1067</x:v>
      </x:c>
      <x:c r="H759" s="1" t="s">
        <x:v>1067</x:v>
      </x:c>
      <x:c r="I759" s="1" t="s">
        <x:v>1064</x:v>
      </x:c>
      <x:c r="J759" s="1" t="s">
        <x:v>1067</x:v>
      </x:c>
      <x:c r="K759" s="1">
        <x:v>758.0</x:v>
      </x:c>
      <x:c r="L759" s="1" t="str">
        <x:f t="shared" si="1"/>
        <x:v>Ronnie Bell</x:v>
      </x:c>
      <x:c r="M759" s="127" t="str">
        <x:f>IFERROR(VLOOKUP(E759,RISK!A:B,2,FALSE()),"")</x:f>
      </x:c>
      <x:c r="N759" s="118" t="str">
        <x:f t="shared" si="2"/>
        <x:v>#N/A</x:v>
      </x:c>
      <x:c r="Q759" s="9"/>
      <x:c r="R759" s="9"/>
      <x:c r="S759" s="9"/>
      <x:c r="T759" s="9"/>
    </x:row>
    <x:row r="760" ht="14.25" customHeight="1">
      <x:c r="A760" s="1">
        <x:v>757.0</x:v>
      </x:c>
      <x:c r="B760" s="1">
        <x:v>15.0</x:v>
      </x:c>
      <x:c r="C760" s="1" t="s">
        <x:v>1741</x:v>
      </x:c>
      <x:c r="D760" s="1" t="s">
        <x:v>551</x:v>
      </x:c>
      <x:c r="E760" s="1" t="s">
        <x:v>1742</x:v>
      </x:c>
      <x:c r="F760" s="1">
        <x:v>11.0</x:v>
      </x:c>
      <x:c r="G760" s="1" t="s">
        <x:v>1067</x:v>
      </x:c>
      <x:c r="H760" s="1" t="s">
        <x:v>1067</x:v>
      </x:c>
      <x:c r="I760" s="1" t="s">
        <x:v>1060</x:v>
      </x:c>
      <x:c r="J760" s="1" t="s">
        <x:v>1067</x:v>
      </x:c>
      <x:c r="K760" s="1">
        <x:v>759.0</x:v>
      </x:c>
      <x:c r="L760" s="1" t="str">
        <x:f t="shared" si="1"/>
        <x:v>Trey Sermon</x:v>
      </x:c>
      <x:c r="M760" s="127" t="str">
        <x:f>IFERROR(VLOOKUP(E760,RISK!A:B,2,FALSE()),"")</x:f>
      </x:c>
      <x:c r="N760" s="118" t="str">
        <x:f t="shared" si="2"/>
        <x:v>#N/A</x:v>
      </x:c>
      <x:c r="Q760" s="9"/>
      <x:c r="R760" s="9"/>
      <x:c r="S760" s="9"/>
      <x:c r="T760" s="9"/>
    </x:row>
    <x:row r="761" ht="14.25" customHeight="1">
      <x:c r="A761" s="1">
        <x:v>758.0</x:v>
      </x:c>
      <x:c r="B761" s="1">
        <x:v>15.0</x:v>
      </x:c>
      <x:c r="C761" s="1" t="s">
        <x:v>1743</x:v>
      </x:c>
      <x:c r="D761" s="1" t="s">
        <x:v>547</x:v>
      </x:c>
      <x:c r="E761" s="1" t="s">
        <x:v>1744</x:v>
      </x:c>
      <x:c r="F761" s="1">
        <x:v>13.0</x:v>
      </x:c>
      <x:c r="G761" s="1" t="s">
        <x:v>1067</x:v>
      </x:c>
      <x:c r="H761" s="1" t="s">
        <x:v>1067</x:v>
      </x:c>
      <x:c r="I761" s="1" t="s">
        <x:v>1060</x:v>
      </x:c>
      <x:c r="J761" s="1" t="s">
        <x:v>1067</x:v>
      </x:c>
      <x:c r="K761" s="1">
        <x:v>760.0</x:v>
      </x:c>
      <x:c r="L761" s="1" t="str">
        <x:f t="shared" si="1"/>
        <x:v>Shedrick Jackson</x:v>
      </x:c>
      <x:c r="M761" s="127" t="str">
        <x:f>IFERROR(VLOOKUP(E761,RISK!A:B,2,FALSE()),"")</x:f>
      </x:c>
      <x:c r="N761" s="118" t="str">
        <x:f t="shared" si="2"/>
        <x:v>#N/A</x:v>
      </x:c>
      <x:c r="Q761" s="9"/>
      <x:c r="R761" s="9"/>
      <x:c r="S761" s="9"/>
      <x:c r="T761" s="9"/>
    </x:row>
    <x:row r="762" ht="14.25" customHeight="1">
      <x:c r="A762" s="1">
        <x:v>759.0</x:v>
      </x:c>
      <x:c r="B762" s="1">
        <x:v>15.0</x:v>
      </x:c>
      <x:c r="C762" s="1" t="s">
        <x:v>1745</x:v>
      </x:c>
      <x:c r="D762" s="1" t="s">
        <x:v>1136</x:v>
      </x:c>
      <x:c r="E762" s="1" t="s">
        <x:v>1746</x:v>
      </x:c>
      <x:c r="F762" s="1" t="s">
        <x:v>1067</x:v>
      </x:c>
      <x:c r="G762" s="1" t="s">
        <x:v>1067</x:v>
      </x:c>
      <x:c r="H762" s="1" t="s">
        <x:v>1067</x:v>
      </x:c>
      <x:c r="I762" s="1" t="s">
        <x:v>1067</x:v>
      </x:c>
      <x:c r="J762" s="1" t="s">
        <x:v>1067</x:v>
      </x:c>
      <x:c r="K762" s="1">
        <x:v>761.0</x:v>
      </x:c>
      <x:c r="L762" s="1" t="str">
        <x:f t="shared" si="1"/>
        <x:v>Jeff Wilson Jr.</x:v>
      </x:c>
      <x:c r="M762" s="127" t="str">
        <x:f>IFERROR(VLOOKUP(E762,RISK!A:B,2,FALSE()),"")</x:f>
      </x:c>
      <x:c r="N762" s="118" t="str">
        <x:f t="shared" si="2"/>
        <x:v>#N/A</x:v>
      </x:c>
      <x:c r="Q762" s="9"/>
      <x:c r="R762" s="9"/>
      <x:c r="S762" s="9"/>
      <x:c r="T762" s="9"/>
    </x:row>
    <x:row r="763" ht="14.25" customHeight="1">
      <x:c r="A763" s="1">
        <x:v>760.0</x:v>
      </x:c>
      <x:c r="B763" s="1">
        <x:v>15.0</x:v>
      </x:c>
      <x:c r="C763" s="1" t="s">
        <x:v>1747</x:v>
      </x:c>
      <x:c r="D763" s="1" t="s">
        <x:v>547</x:v>
      </x:c>
      <x:c r="E763" s="1" t="s">
        <x:v>1748</x:v>
      </x:c>
      <x:c r="F763" s="1">
        <x:v>13.0</x:v>
      </x:c>
      <x:c r="G763" s="1" t="s">
        <x:v>1067</x:v>
      </x:c>
      <x:c r="H763" s="1" t="s">
        <x:v>1067</x:v>
      </x:c>
      <x:c r="I763" s="1" t="s">
        <x:v>1060</x:v>
      </x:c>
      <x:c r="J763" s="1" t="s">
        <x:v>1067</x:v>
      </x:c>
      <x:c r="K763" s="1">
        <x:v>762.0</x:v>
      </x:c>
      <x:c r="L763" s="1" t="str">
        <x:f t="shared" si="1"/>
        <x:v>Deven Thompkins</x:v>
      </x:c>
      <x:c r="M763" s="127" t="str">
        <x:f>IFERROR(VLOOKUP(E763,RISK!A:B,2,FALSE()),"")</x:f>
      </x:c>
      <x:c r="N763" s="118" t="str">
        <x:f t="shared" si="2"/>
        <x:v>#N/A</x:v>
      </x:c>
      <x:c r="Q763" s="9"/>
      <x:c r="R763" s="9"/>
      <x:c r="S763" s="9"/>
      <x:c r="T763" s="9"/>
    </x:row>
    <x:row r="764" ht="14.25" customHeight="1">
      <x:c r="A764" s="1">
        <x:v>761.0</x:v>
      </x:c>
      <x:c r="B764" s="1">
        <x:v>15.0</x:v>
      </x:c>
      <x:c r="C764" s="1" t="s">
        <x:v>1749</x:v>
      </x:c>
      <x:c r="D764" s="1" t="s">
        <x:v>487</x:v>
      </x:c>
      <x:c r="E764" s="1" t="s">
        <x:v>1750</x:v>
      </x:c>
      <x:c r="F764" s="1">
        <x:v>7.0</x:v>
      </x:c>
      <x:c r="G764" s="1" t="s">
        <x:v>1067</x:v>
      </x:c>
      <x:c r="H764" s="1" t="s">
        <x:v>1067</x:v>
      </x:c>
      <x:c r="I764" s="1" t="s">
        <x:v>1061</x:v>
      </x:c>
      <x:c r="J764" s="1" t="s">
        <x:v>1067</x:v>
      </x:c>
      <x:c r="K764" s="1">
        <x:v>763.0</x:v>
      </x:c>
      <x:c r="L764" s="1" t="str">
        <x:f t="shared" si="1"/>
        <x:v>Dante Pettis</x:v>
      </x:c>
      <x:c r="M764" s="127" t="str">
        <x:f>IFERROR(VLOOKUP(E764,RISK!A:B,2,FALSE()),"")</x:f>
      </x:c>
      <x:c r="N764" s="118" t="str">
        <x:f t="shared" si="2"/>
        <x:v>#N/A</x:v>
      </x:c>
      <x:c r="Q764" s="9"/>
      <x:c r="R764" s="9"/>
      <x:c r="S764" s="9"/>
      <x:c r="T764" s="9"/>
    </x:row>
    <x:row r="765" ht="14.25" customHeight="1">
      <x:c r="A765" s="1">
        <x:v>762.0</x:v>
      </x:c>
      <x:c r="B765" s="1">
        <x:v>15.0</x:v>
      </x:c>
      <x:c r="C765" s="1" t="s">
        <x:v>1751</x:v>
      </x:c>
      <x:c r="D765" s="1" t="s">
        <x:v>1136</x:v>
      </x:c>
      <x:c r="E765" s="1" t="s">
        <x:v>1752</x:v>
      </x:c>
      <x:c r="F765" s="1" t="s">
        <x:v>1067</x:v>
      </x:c>
      <x:c r="G765" s="1" t="s">
        <x:v>1067</x:v>
      </x:c>
      <x:c r="H765" s="1" t="s">
        <x:v>1067</x:v>
      </x:c>
      <x:c r="I765" s="1" t="s">
        <x:v>1067</x:v>
      </x:c>
      <x:c r="J765" s="1" t="s">
        <x:v>1067</x:v>
      </x:c>
      <x:c r="K765" s="1">
        <x:v>764.0</x:v>
      </x:c>
      <x:c r="L765" s="1" t="str">
        <x:f t="shared" si="1"/>
        <x:v>Royce Freeman</x:v>
      </x:c>
      <x:c r="M765" s="127" t="str">
        <x:f>IFERROR(VLOOKUP(E765,RISK!A:B,2,FALSE()),"")</x:f>
      </x:c>
      <x:c r="N765" s="118" t="str">
        <x:f t="shared" si="2"/>
        <x:v>#N/A</x:v>
      </x:c>
      <x:c r="Q765" s="9"/>
      <x:c r="R765" s="9"/>
      <x:c r="S765" s="9"/>
      <x:c r="T765" s="9"/>
    </x:row>
    <x:row r="766" ht="14.25" customHeight="1">
      <x:c r="A766" s="1">
        <x:v>763.0</x:v>
      </x:c>
      <x:c r="B766" s="1">
        <x:v>15.0</x:v>
      </x:c>
      <x:c r="C766" s="1" t="s">
        <x:v>992</x:v>
      </x:c>
      <x:c r="D766" s="1" t="s">
        <x:v>533</x:v>
      </x:c>
      <x:c r="E766" s="1" t="s">
        <x:v>1753</x:v>
      </x:c>
      <x:c r="F766" s="1">
        <x:v>11.0</x:v>
      </x:c>
      <x:c r="G766" s="1" t="s">
        <x:v>1067</x:v>
      </x:c>
      <x:c r="H766" s="1" t="s">
        <x:v>1067</x:v>
      </x:c>
      <x:c r="I766" s="1" t="s">
        <x:v>1064</x:v>
      </x:c>
      <x:c r="J766" s="1" t="s">
        <x:v>1067</x:v>
      </x:c>
      <x:c r="K766" s="1">
        <x:v>765.0</x:v>
      </x:c>
      <x:c r="L766" s="1" t="str">
        <x:f t="shared" si="1"/>
        <x:v>Nick Vannett</x:v>
      </x:c>
      <x:c r="M766" s="127" t="str">
        <x:f>IFERROR(VLOOKUP(E766,RISK!A:B,2,FALSE()),"")</x:f>
      </x:c>
      <x:c r="N766" s="118" t="str">
        <x:f t="shared" si="2"/>
        <x:v>#N/A</x:v>
      </x:c>
      <x:c r="Q766" s="9"/>
      <x:c r="R766" s="9"/>
      <x:c r="S766" s="9"/>
      <x:c r="T766" s="9"/>
    </x:row>
    <x:row r="767" ht="14.25" customHeight="1">
      <x:c r="A767" s="1">
        <x:v>764.0</x:v>
      </x:c>
      <x:c r="B767" s="1">
        <x:v>15.0</x:v>
      </x:c>
      <x:c r="C767" s="1" t="s">
        <x:v>1754</x:v>
      </x:c>
      <x:c r="D767" s="1" t="s">
        <x:v>541</x:v>
      </x:c>
      <x:c r="E767" s="1" t="s">
        <x:v>1755</x:v>
      </x:c>
      <x:c r="F767" s="1">
        <x:v>9.0</x:v>
      </x:c>
      <x:c r="G767" s="1" t="s">
        <x:v>1067</x:v>
      </x:c>
      <x:c r="H767" s="1" t="s">
        <x:v>1067</x:v>
      </x:c>
      <x:c r="I767" s="1" t="s">
        <x:v>1064</x:v>
      </x:c>
      <x:c r="J767" s="1" t="s">
        <x:v>1067</x:v>
      </x:c>
      <x:c r="K767" s="1">
        <x:v>766.0</x:v>
      </x:c>
      <x:c r="L767" s="1" t="str">
        <x:f t="shared" si="1"/>
        <x:v>Julius Chestnut</x:v>
      </x:c>
      <x:c r="M767" s="127" t="str">
        <x:f>IFERROR(VLOOKUP(E767,RISK!A:B,2,FALSE()),"")</x:f>
      </x:c>
      <x:c r="N767" s="118" t="str">
        <x:f t="shared" si="2"/>
        <x:v>#N/A</x:v>
      </x:c>
      <x:c r="Q767" s="9"/>
      <x:c r="R767" s="9"/>
      <x:c r="S767" s="9"/>
      <x:c r="T767" s="9"/>
    </x:row>
    <x:row r="768" ht="14.25" customHeight="1">
      <x:c r="A768" s="1">
        <x:v>765.0</x:v>
      </x:c>
      <x:c r="B768" s="1">
        <x:v>15.0</x:v>
      </x:c>
      <x:c r="C768" s="1" t="s">
        <x:v>1756</x:v>
      </x:c>
      <x:c r="D768" s="1" t="s">
        <x:v>543</x:v>
      </x:c>
      <x:c r="E768" s="1" t="s">
        <x:v>1757</x:v>
      </x:c>
      <x:c r="F768" s="1">
        <x:v>14.0</x:v>
      </x:c>
      <x:c r="G768" s="1" t="s">
        <x:v>1067</x:v>
      </x:c>
      <x:c r="H768" s="1" t="s">
        <x:v>1067</x:v>
      </x:c>
      <x:c r="I768" s="1" t="s">
        <x:v>1060</x:v>
      </x:c>
      <x:c r="J768" s="1" t="s">
        <x:v>1067</x:v>
      </x:c>
      <x:c r="K768" s="1">
        <x:v>767.0</x:v>
      </x:c>
      <x:c r="L768" s="1" t="str">
        <x:f t="shared" si="1"/>
        <x:v>Simi Fehoko</x:v>
      </x:c>
      <x:c r="M768" s="127" t="str">
        <x:f>IFERROR(VLOOKUP(E768,RISK!A:B,2,FALSE()),"")</x:f>
      </x:c>
      <x:c r="N768" s="118" t="str">
        <x:f t="shared" si="2"/>
        <x:v>#N/A</x:v>
      </x:c>
      <x:c r="Q768" s="9"/>
      <x:c r="R768" s="9"/>
      <x:c r="S768" s="9"/>
      <x:c r="T768" s="9"/>
    </x:row>
    <x:row r="769" ht="14.25" customHeight="1">
      <x:c r="A769" s="1">
        <x:v>766.0</x:v>
      </x:c>
      <x:c r="B769" s="1">
        <x:v>15.0</x:v>
      </x:c>
      <x:c r="C769" s="1" t="s">
        <x:v>1758</x:v>
      </x:c>
      <x:c r="D769" s="1" t="s">
        <x:v>549</x:v>
      </x:c>
      <x:c r="E769" s="1" t="s">
        <x:v>1759</x:v>
      </x:c>
      <x:c r="F769" s="1">
        <x:v>11.0</x:v>
      </x:c>
      <x:c r="G769" s="1" t="s">
        <x:v>1067</x:v>
      </x:c>
      <x:c r="H769" s="1" t="s">
        <x:v>1067</x:v>
      </x:c>
      <x:c r="I769" s="1" t="s">
        <x:v>1064</x:v>
      </x:c>
      <x:c r="J769" s="1" t="s">
        <x:v>1067</x:v>
      </x:c>
      <x:c r="K769" s="1">
        <x:v>768.0</x:v>
      </x:c>
      <x:c r="L769" s="1" t="str">
        <x:f t="shared" si="1"/>
        <x:v>Tylan Wallace</x:v>
      </x:c>
      <x:c r="M769" s="127" t="str">
        <x:f>IFERROR(VLOOKUP(E769,RISK!A:B,2,FALSE()),"")</x:f>
      </x:c>
      <x:c r="N769" s="118" t="str">
        <x:f t="shared" si="2"/>
        <x:v>#N/A</x:v>
      </x:c>
      <x:c r="Q769" s="9"/>
      <x:c r="R769" s="9"/>
      <x:c r="S769" s="9"/>
      <x:c r="T769" s="9"/>
    </x:row>
    <x:row r="770" ht="14.25" customHeight="1">
      <x:c r="A770" s="1">
        <x:v>767.0</x:v>
      </x:c>
      <x:c r="B770" s="1">
        <x:v>15.0</x:v>
      </x:c>
      <x:c r="C770" s="1" t="s">
        <x:v>1760</x:v>
      </x:c>
      <x:c r="D770" s="1" t="s">
        <x:v>515</x:v>
      </x:c>
      <x:c r="E770" s="1" t="s">
        <x:v>1761</x:v>
      </x:c>
      <x:c r="F770" s="1">
        <x:v>10.0</x:v>
      </x:c>
      <x:c r="G770" s="1" t="s">
        <x:v>1067</x:v>
      </x:c>
      <x:c r="H770" s="1" t="s">
        <x:v>1067</x:v>
      </x:c>
      <x:c r="I770" s="1" t="s">
        <x:v>1060</x:v>
      </x:c>
      <x:c r="J770" s="1" t="s">
        <x:v>1067</x:v>
      </x:c>
      <x:c r="K770" s="1">
        <x:v>769.0</x:v>
      </x:c>
      <x:c r="L770" s="1" t="str">
        <x:f t="shared" si="1"/>
        <x:v>Cody Schrader</x:v>
      </x:c>
      <x:c r="M770" s="127" t="str">
        <x:f>IFERROR(VLOOKUP(E770,RISK!A:B,2,FALSE()),"")</x:f>
      </x:c>
      <x:c r="N770" s="118" t="str">
        <x:f t="shared" si="2"/>
        <x:v>#N/A</x:v>
      </x:c>
      <x:c r="Q770" s="9"/>
      <x:c r="R770" s="9"/>
      <x:c r="S770" s="9"/>
      <x:c r="T770" s="9"/>
    </x:row>
    <x:row r="771" ht="14.25" customHeight="1">
      <x:c r="A771" s="1">
        <x:v>768.0</x:v>
      </x:c>
      <x:c r="B771" s="1">
        <x:v>15.0</x:v>
      </x:c>
      <x:c r="C771" s="1" t="s">
        <x:v>682</x:v>
      </x:c>
      <x:c r="D771" s="1" t="s">
        <x:v>519</x:v>
      </x:c>
      <x:c r="E771" s="1" t="s">
        <x:v>1762</x:v>
      </x:c>
      <x:c r="F771" s="1">
        <x:v>6.0</x:v>
      </x:c>
      <x:c r="G771" s="1" t="s">
        <x:v>1067</x:v>
      </x:c>
      <x:c r="H771" s="1" t="s">
        <x:v>1067</x:v>
      </x:c>
      <x:c r="I771" s="1" t="s">
        <x:v>1059</x:v>
      </x:c>
      <x:c r="J771" s="1" t="s">
        <x:v>1067</x:v>
      </x:c>
      <x:c r="K771" s="1">
        <x:v>770.0</x:v>
      </x:c>
      <x:c r="L771" s="1" t="str">
        <x:f t="shared" si="1"/>
        <x:v>Trayveon Williams</x:v>
      </x:c>
      <x:c r="M771" s="127" t="str">
        <x:f>IFERROR(VLOOKUP(E771,RISK!A:B,2,FALSE()),"")</x:f>
      </x:c>
      <x:c r="N771" s="118" t="str">
        <x:f t="shared" si="2"/>
        <x:v>#N/A</x:v>
      </x:c>
      <x:c r="Q771" s="9"/>
      <x:c r="R771" s="9"/>
      <x:c r="S771" s="9"/>
      <x:c r="T771" s="9"/>
    </x:row>
    <x:row r="772" ht="14.25" customHeight="1">
      <x:c r="A772" s="1">
        <x:v>769.0</x:v>
      </x:c>
      <x:c r="B772" s="1">
        <x:v>15.0</x:v>
      </x:c>
      <x:c r="C772" s="1" t="s">
        <x:v>1763</x:v>
      </x:c>
      <x:c r="D772" s="1" t="s">
        <x:v>519</x:v>
      </x:c>
      <x:c r="E772" s="1" t="s">
        <x:v>1764</x:v>
      </x:c>
      <x:c r="F772" s="1">
        <x:v>6.0</x:v>
      </x:c>
      <x:c r="G772" s="1" t="s">
        <x:v>1067</x:v>
      </x:c>
      <x:c r="H772" s="1" t="s">
        <x:v>1067</x:v>
      </x:c>
      <x:c r="I772" s="1" t="s">
        <x:v>1061</x:v>
      </x:c>
      <x:c r="J772" s="1" t="s">
        <x:v>1067</x:v>
      </x:c>
      <x:c r="K772" s="1">
        <x:v>771.0</x:v>
      </x:c>
      <x:c r="L772" s="1" t="str">
        <x:f t="shared" si="1"/>
        <x:v>Tom Kennedy</x:v>
      </x:c>
      <x:c r="M772" s="127" t="str">
        <x:f>IFERROR(VLOOKUP(E772,RISK!A:B,2,FALSE()),"")</x:f>
      </x:c>
      <x:c r="N772" s="118" t="str">
        <x:f t="shared" si="2"/>
        <x:v>#N/A</x:v>
      </x:c>
      <x:c r="Q772" s="9"/>
      <x:c r="R772" s="9"/>
      <x:c r="S772" s="9"/>
      <x:c r="T772" s="9"/>
    </x:row>
    <x:row r="773" ht="14.25" customHeight="1">
      <x:c r="A773" s="1">
        <x:v>770.0</x:v>
      </x:c>
      <x:c r="B773" s="1">
        <x:v>15.0</x:v>
      </x:c>
      <x:c r="C773" s="1" t="s">
        <x:v>1765</x:v>
      </x:c>
      <x:c r="D773" s="1" t="s">
        <x:v>531</x:v>
      </x:c>
      <x:c r="E773" s="1" t="s">
        <x:v>1766</x:v>
      </x:c>
      <x:c r="F773" s="1">
        <x:v>11.0</x:v>
      </x:c>
      <x:c r="G773" s="1" t="s">
        <x:v>1067</x:v>
      </x:c>
      <x:c r="H773" s="1" t="s">
        <x:v>1067</x:v>
      </x:c>
      <x:c r="I773" s="1" t="s">
        <x:v>1061</x:v>
      </x:c>
      <x:c r="J773" s="1" t="s">
        <x:v>1067</x:v>
      </x:c>
      <x:c r="K773" s="1">
        <x:v>772.0</x:v>
      </x:c>
      <x:c r="L773" s="1" t="str">
        <x:f t="shared" si="1"/>
        <x:v>Jaden Nixon</x:v>
      </x:c>
      <x:c r="M773" s="127" t="str">
        <x:f>IFERROR(VLOOKUP(E773,RISK!A:B,2,FALSE()),"")</x:f>
      </x:c>
      <x:c r="N773" s="118" t="str">
        <x:f t="shared" si="2"/>
        <x:v>#N/A</x:v>
      </x:c>
      <x:c r="Q773" s="9"/>
      <x:c r="R773" s="9"/>
      <x:c r="S773" s="9"/>
      <x:c r="T773" s="9"/>
    </x:row>
    <x:row r="774" ht="14.25" customHeight="1">
      <x:c r="A774" s="1">
        <x:v>771.0</x:v>
      </x:c>
      <x:c r="B774" s="1">
        <x:v>15.0</x:v>
      </x:c>
      <x:c r="C774" s="1" t="s">
        <x:v>1767</x:v>
      </x:c>
      <x:c r="D774" s="1" t="s">
        <x:v>1136</x:v>
      </x:c>
      <x:c r="E774" s="1" t="s">
        <x:v>1768</x:v>
      </x:c>
      <x:c r="F774" s="1" t="s">
        <x:v>1067</x:v>
      </x:c>
      <x:c r="G774" s="1" t="s">
        <x:v>1067</x:v>
      </x:c>
      <x:c r="H774" s="1" t="s">
        <x:v>1067</x:v>
      </x:c>
      <x:c r="I774" s="1" t="s">
        <x:v>1067</x:v>
      </x:c>
      <x:c r="J774" s="1" t="s">
        <x:v>1067</x:v>
      </x:c>
      <x:c r="K774" s="1">
        <x:v>773.0</x:v>
      </x:c>
      <x:c r="L774" s="1" t="str">
        <x:f t="shared" si="1"/>
        <x:v>D'Onta Foreman</x:v>
      </x:c>
      <x:c r="M774" s="127" t="str">
        <x:f>IFERROR(VLOOKUP(E774,RISK!A:B,2,FALSE()),"")</x:f>
      </x:c>
      <x:c r="N774" s="118" t="str">
        <x:f t="shared" si="2"/>
        <x:v>#N/A</x:v>
      </x:c>
      <x:c r="Q774" s="9"/>
      <x:c r="R774" s="9"/>
      <x:c r="S774" s="9"/>
      <x:c r="T774" s="9"/>
    </x:row>
    <x:row r="775" ht="14.25" customHeight="1">
      <x:c r="A775" s="1">
        <x:v>772.0</x:v>
      </x:c>
      <x:c r="B775" s="1">
        <x:v>15.0</x:v>
      </x:c>
      <x:c r="C775" s="1" t="s">
        <x:v>1769</x:v>
      </x:c>
      <x:c r="D775" s="1" t="s">
        <x:v>543</x:v>
      </x:c>
      <x:c r="E775" s="1" t="s">
        <x:v>1770</x:v>
      </x:c>
      <x:c r="F775" s="1">
        <x:v>14.0</x:v>
      </x:c>
      <x:c r="G775" s="1" t="s">
        <x:v>1067</x:v>
      </x:c>
      <x:c r="H775" s="1" t="s">
        <x:v>1067</x:v>
      </x:c>
      <x:c r="I775" s="1" t="s">
        <x:v>1060</x:v>
      </x:c>
      <x:c r="J775" s="1" t="s">
        <x:v>1067</x:v>
      </x:c>
      <x:c r="K775" s="1">
        <x:v>774.0</x:v>
      </x:c>
      <x:c r="L775" s="1" t="str">
        <x:f t="shared" si="1"/>
        <x:v>Xavier Weaver</x:v>
      </x:c>
      <x:c r="M775" s="127" t="str">
        <x:f>IFERROR(VLOOKUP(E775,RISK!A:B,2,FALSE()),"")</x:f>
      </x:c>
      <x:c r="N775" s="118" t="str">
        <x:f t="shared" si="2"/>
        <x:v>#N/A</x:v>
      </x:c>
      <x:c r="Q775" s="9"/>
      <x:c r="R775" s="9"/>
      <x:c r="S775" s="9"/>
      <x:c r="T775" s="9"/>
    </x:row>
    <x:row r="776" ht="14.25" customHeight="1">
      <x:c r="A776" s="1">
        <x:v>773.0</x:v>
      </x:c>
      <x:c r="B776" s="1">
        <x:v>15.0</x:v>
      </x:c>
      <x:c r="C776" s="1" t="s">
        <x:v>1771</x:v>
      </x:c>
      <x:c r="D776" s="1" t="s">
        <x:v>497</x:v>
      </x:c>
      <x:c r="E776" s="1" t="s">
        <x:v>1772</x:v>
      </x:c>
      <x:c r="F776" s="1">
        <x:v>10.0</x:v>
      </x:c>
      <x:c r="G776" s="1" t="s">
        <x:v>1067</x:v>
      </x:c>
      <x:c r="H776" s="1" t="s">
        <x:v>1067</x:v>
      </x:c>
      <x:c r="I776" s="1" t="s">
        <x:v>1061</x:v>
      </x:c>
      <x:c r="J776" s="1" t="s">
        <x:v>1067</x:v>
      </x:c>
      <x:c r="K776" s="1">
        <x:v>775.0</x:v>
      </x:c>
      <x:c r="L776" s="1" t="str">
        <x:f t="shared" si="1"/>
        <x:v>Carson Steele</x:v>
      </x:c>
      <x:c r="M776" s="127" t="str">
        <x:f>IFERROR(VLOOKUP(E776,RISK!A:B,2,FALSE()),"")</x:f>
      </x:c>
      <x:c r="N776" s="118" t="str">
        <x:f t="shared" si="2"/>
        <x:v>#N/A</x:v>
      </x:c>
      <x:c r="Q776" s="9"/>
      <x:c r="R776" s="9"/>
      <x:c r="S776" s="9"/>
      <x:c r="T776" s="9"/>
    </x:row>
    <x:row r="777" ht="14.25" customHeight="1">
      <x:c r="A777" s="1">
        <x:v>774.0</x:v>
      </x:c>
      <x:c r="B777" s="1">
        <x:v>15.0</x:v>
      </x:c>
      <x:c r="C777" s="1" t="s">
        <x:v>698</x:v>
      </x:c>
      <x:c r="D777" s="1" t="s">
        <x:v>529</x:v>
      </x:c>
      <x:c r="E777" s="1" t="s">
        <x:v>1773</x:v>
      </x:c>
      <x:c r="F777" s="1">
        <x:v>6.0</x:v>
      </x:c>
      <x:c r="G777" s="1" t="s">
        <x:v>1067</x:v>
      </x:c>
      <x:c r="H777" s="1" t="s">
        <x:v>1067</x:v>
      </x:c>
      <x:c r="I777" s="1" t="s">
        <x:v>1064</x:v>
      </x:c>
      <x:c r="J777" s="1" t="s">
        <x:v>1067</x:v>
      </x:c>
      <x:c r="K777" s="1">
        <x:v>776.0</x:v>
      </x:c>
      <x:c r="L777" s="1" t="str">
        <x:f t="shared" si="1"/>
        <x:v>Carlos Washington Jr.</x:v>
      </x:c>
      <x:c r="M777" s="127" t="str">
        <x:f>IFERROR(VLOOKUP(E777,RISK!A:B,2,FALSE()),"")</x:f>
      </x:c>
      <x:c r="N777" s="118" t="str">
        <x:f t="shared" si="2"/>
        <x:v>#N/A</x:v>
      </x:c>
      <x:c r="Q777" s="9"/>
      <x:c r="R777" s="9"/>
      <x:c r="S777" s="9"/>
      <x:c r="T777" s="9"/>
    </x:row>
    <x:row r="778" ht="14.25" customHeight="1">
      <x:c r="A778" s="1">
        <x:v>775.0</x:v>
      </x:c>
      <x:c r="B778" s="1">
        <x:v>15.0</x:v>
      </x:c>
      <x:c r="C778" s="1" t="s">
        <x:v>1774</x:v>
      </x:c>
      <x:c r="D778" s="1" t="s">
        <x:v>501</x:v>
      </x:c>
      <x:c r="E778" s="1" t="s">
        <x:v>1775</x:v>
      </x:c>
      <x:c r="F778" s="1">
        <x:v>8.0</x:v>
      </x:c>
      <x:c r="G778" s="1" t="s">
        <x:v>1067</x:v>
      </x:c>
      <x:c r="H778" s="1" t="s">
        <x:v>1067</x:v>
      </x:c>
      <x:c r="I778" s="1" t="s">
        <x:v>1061</x:v>
      </x:c>
      <x:c r="J778" s="1" t="s">
        <x:v>1067</x:v>
      </x:c>
      <x:c r="K778" s="1">
        <x:v>777.0</x:v>
      </x:c>
      <x:c r="L778" s="1" t="str">
        <x:f t="shared" si="1"/>
        <x:v>Jalin Hyatt</x:v>
      </x:c>
      <x:c r="M778" s="127" t="str">
        <x:f>IFERROR(VLOOKUP(E778,RISK!A:B,2,FALSE()),"")</x:f>
      </x:c>
      <x:c r="N778" s="118" t="str">
        <x:f t="shared" si="2"/>
        <x:v>#N/A</x:v>
      </x:c>
      <x:c r="Q778" s="9"/>
      <x:c r="R778" s="9"/>
      <x:c r="S778" s="9"/>
      <x:c r="T778" s="9"/>
    </x:row>
    <x:row r="779" ht="14.25" customHeight="1">
      <x:c r="A779" s="1">
        <x:v>776.0</x:v>
      </x:c>
      <x:c r="B779" s="1">
        <x:v>15.0</x:v>
      </x:c>
      <x:c r="C779" s="1" t="s">
        <x:v>1776</x:v>
      </x:c>
      <x:c r="D779" s="1" t="s">
        <x:v>547</x:v>
      </x:c>
      <x:c r="E779" s="1" t="s">
        <x:v>1777</x:v>
      </x:c>
      <x:c r="F779" s="1">
        <x:v>13.0</x:v>
      </x:c>
      <x:c r="G779" s="1" t="s">
        <x:v>1067</x:v>
      </x:c>
      <x:c r="H779" s="1" t="s">
        <x:v>1067</x:v>
      </x:c>
      <x:c r="I779" s="1" t="s">
        <x:v>1060</x:v>
      </x:c>
      <x:c r="J779" s="1" t="s">
        <x:v>1067</x:v>
      </x:c>
      <x:c r="K779" s="1">
        <x:v>778.0</x:v>
      </x:c>
      <x:c r="L779" s="1" t="str">
        <x:f t="shared" si="1"/>
        <x:v>Dare Ogunbowale</x:v>
      </x:c>
      <x:c r="M779" s="127" t="str">
        <x:f>IFERROR(VLOOKUP(E779,RISK!A:B,2,FALSE()),"")</x:f>
      </x:c>
      <x:c r="N779" s="118" t="str">
        <x:f t="shared" si="2"/>
        <x:v>#N/A</x:v>
      </x:c>
      <x:c r="Q779" s="9"/>
      <x:c r="R779" s="9"/>
      <x:c r="S779" s="9"/>
      <x:c r="T779" s="9"/>
    </x:row>
    <x:row r="780" ht="14.25" customHeight="1">
      <x:c r="A780" s="1">
        <x:v>777.0</x:v>
      </x:c>
      <x:c r="B780" s="1">
        <x:v>15.0</x:v>
      </x:c>
      <x:c r="C780" s="1" t="s">
        <x:v>1778</x:v>
      </x:c>
      <x:c r="D780" s="1" t="s">
        <x:v>521</x:v>
      </x:c>
      <x:c r="E780" s="1" t="s">
        <x:v>1779</x:v>
      </x:c>
      <x:c r="F780" s="1">
        <x:v>8.0</x:v>
      </x:c>
      <x:c r="G780" s="1" t="s">
        <x:v>1067</x:v>
      </x:c>
      <x:c r="H780" s="1" t="s">
        <x:v>1067</x:v>
      </x:c>
      <x:c r="I780" s="1" t="s">
        <x:v>1064</x:v>
      </x:c>
      <x:c r="J780" s="1" t="s">
        <x:v>1067</x:v>
      </x:c>
      <x:c r="K780" s="1">
        <x:v>779.0</x:v>
      </x:c>
      <x:c r="L780" s="1" t="str">
        <x:f t="shared" si="1"/>
        <x:v>Zamir White</x:v>
      </x:c>
      <x:c r="M780" s="127" t="str">
        <x:f>IFERROR(VLOOKUP(E780,RISK!A:B,2,FALSE()),"")</x:f>
      </x:c>
      <x:c r="N780" s="118" t="str">
        <x:f t="shared" si="2"/>
        <x:v>#N/A</x:v>
      </x:c>
      <x:c r="Q780" s="9"/>
      <x:c r="R780" s="9"/>
      <x:c r="S780" s="9"/>
      <x:c r="T780" s="9"/>
    </x:row>
    <x:row r="781" ht="14.25" customHeight="1">
      <x:c r="A781" s="1">
        <x:v>778.0</x:v>
      </x:c>
      <x:c r="B781" s="1">
        <x:v>15.0</x:v>
      </x:c>
      <x:c r="C781" s="1" t="s">
        <x:v>1780</x:v>
      </x:c>
      <x:c r="D781" s="1" t="s">
        <x:v>519</x:v>
      </x:c>
      <x:c r="E781" s="1" t="s">
        <x:v>1781</x:v>
      </x:c>
      <x:c r="F781" s="1">
        <x:v>6.0</x:v>
      </x:c>
      <x:c r="G781" s="1" t="s">
        <x:v>1067</x:v>
      </x:c>
      <x:c r="H781" s="1" t="s">
        <x:v>1067</x:v>
      </x:c>
      <x:c r="I781" s="1" t="s">
        <x:v>1061</x:v>
      </x:c>
      <x:c r="J781" s="1" t="s">
        <x:v>1067</x:v>
      </x:c>
      <x:c r="K781" s="1">
        <x:v>780.0</x:v>
      </x:c>
      <x:c r="L781" s="1" t="str">
        <x:f t="shared" si="1"/>
        <x:v>Tay Martin</x:v>
      </x:c>
      <x:c r="M781" s="127" t="str">
        <x:f>IFERROR(VLOOKUP(E781,RISK!A:B,2,FALSE()),"")</x:f>
      </x:c>
      <x:c r="N781" s="118" t="str">
        <x:f t="shared" si="2"/>
        <x:v>#N/A</x:v>
      </x:c>
      <x:c r="Q781" s="9"/>
      <x:c r="R781" s="9"/>
      <x:c r="S781" s="9"/>
      <x:c r="T781" s="9"/>
    </x:row>
    <x:row r="782" ht="14.25" customHeight="1">
      <x:c r="A782" s="1">
        <x:v>779.0</x:v>
      </x:c>
      <x:c r="B782" s="1">
        <x:v>15.0</x:v>
      </x:c>
      <x:c r="C782" s="1" t="s">
        <x:v>1782</x:v>
      </x:c>
      <x:c r="D782" s="1" t="s">
        <x:v>491</x:v>
      </x:c>
      <x:c r="E782" s="1" t="s">
        <x:v>1783</x:v>
      </x:c>
      <x:c r="F782" s="1">
        <x:v>13.0</x:v>
      </x:c>
      <x:c r="G782" s="1" t="s">
        <x:v>1067</x:v>
      </x:c>
      <x:c r="H782" s="1" t="s">
        <x:v>1067</x:v>
      </x:c>
      <x:c r="I782" s="1" t="s">
        <x:v>1061</x:v>
      </x:c>
      <x:c r="J782" s="1" t="s">
        <x:v>1067</x:v>
      </x:c>
      <x:c r="K782" s="1">
        <x:v>781.0</x:v>
      </x:c>
      <x:c r="L782" s="1" t="str">
        <x:f t="shared" si="1"/>
        <x:v>Chris Moore</x:v>
      </x:c>
      <x:c r="M782" s="127" t="str">
        <x:f>IFERROR(VLOOKUP(E782,RISK!A:B,2,FALSE()),"")</x:f>
      </x:c>
      <x:c r="N782" s="118" t="str">
        <x:f t="shared" si="2"/>
        <x:v>#N/A</x:v>
      </x:c>
      <x:c r="Q782" s="9"/>
      <x:c r="R782" s="9"/>
      <x:c r="S782" s="9"/>
      <x:c r="T782" s="9"/>
    </x:row>
    <x:row r="783" ht="14.25" customHeight="1">
      <x:c r="A783" s="1">
        <x:v>780.0</x:v>
      </x:c>
      <x:c r="B783" s="1">
        <x:v>15.0</x:v>
      </x:c>
      <x:c r="C783" s="1" t="s">
        <x:v>903</x:v>
      </x:c>
      <x:c r="D783" s="1" t="s">
        <x:v>527</x:v>
      </x:c>
      <x:c r="E783" s="1" t="s">
        <x:v>1784</x:v>
      </x:c>
      <x:c r="F783" s="1">
        <x:v>13.0</x:v>
      </x:c>
      <x:c r="G783" s="1" t="s">
        <x:v>1067</x:v>
      </x:c>
      <x:c r="H783" s="1" t="s">
        <x:v>1067</x:v>
      </x:c>
      <x:c r="I783" s="1" t="s">
        <x:v>1061</x:v>
      </x:c>
      <x:c r="J783" s="1">
        <x:v>-498.0</x:v>
      </x:c>
      <x:c r="K783" s="1">
        <x:v>782.0</x:v>
      </x:c>
      <x:c r="L783" s="1" t="str">
        <x:f t="shared" si="1"/>
        <x:v>Laquon Treadwell</x:v>
      </x:c>
      <x:c r="M783" s="127" t="str">
        <x:f>IFERROR(VLOOKUP(E783,RISK!A:B,2,FALSE()),"")</x:f>
      </x:c>
      <x:c r="N783" s="118" t="str">
        <x:f t="shared" si="2"/>
        <x:v>#N/A</x:v>
      </x:c>
      <x:c r="Q783" s="9"/>
      <x:c r="R783" s="9"/>
      <x:c r="S783" s="9"/>
      <x:c r="T783" s="9"/>
    </x:row>
    <x:row r="784" ht="14.25" customHeight="1">
      <x:c r="A784" s="1">
        <x:v>781.0</x:v>
      </x:c>
      <x:c r="B784" s="1">
        <x:v>15.0</x:v>
      </x:c>
      <x:c r="C784" s="1" t="s">
        <x:v>1785</x:v>
      </x:c>
      <x:c r="D784" s="1" t="s">
        <x:v>513</x:v>
      </x:c>
      <x:c r="E784" s="1" t="s">
        <x:v>1786</x:v>
      </x:c>
      <x:c r="F784" s="1">
        <x:v>7.0</x:v>
      </x:c>
      <x:c r="G784" s="1" t="s">
        <x:v>1067</x:v>
      </x:c>
      <x:c r="H784" s="1" t="s">
        <x:v>1067</x:v>
      </x:c>
      <x:c r="I784" s="1" t="s">
        <x:v>1064</x:v>
      </x:c>
      <x:c r="J784" s="1" t="s">
        <x:v>1067</x:v>
      </x:c>
      <x:c r="K784" s="1">
        <x:v>783.0</x:v>
      </x:c>
      <x:c r="L784" s="1" t="str">
        <x:f t="shared" si="1"/>
        <x:v>Gregory Desrosiers</x:v>
      </x:c>
      <x:c r="M784" s="127" t="str">
        <x:f>IFERROR(VLOOKUP(E784,RISK!A:B,2,FALSE()),"")</x:f>
      </x:c>
      <x:c r="N784" s="118" t="str">
        <x:f t="shared" si="2"/>
        <x:v>#N/A</x:v>
      </x:c>
      <x:c r="Q784" s="9"/>
      <x:c r="R784" s="9"/>
      <x:c r="S784" s="9"/>
      <x:c r="T784" s="9"/>
    </x:row>
    <x:row r="785" ht="14.25" customHeight="1">
      <x:c r="A785" s="1">
        <x:v>782.0</x:v>
      </x:c>
      <x:c r="B785" s="1">
        <x:v>15.0</x:v>
      </x:c>
      <x:c r="C785" s="1" t="s">
        <x:v>1787</x:v>
      </x:c>
      <x:c r="D785" s="1" t="s">
        <x:v>543</x:v>
      </x:c>
      <x:c r="E785" s="1" t="s">
        <x:v>1788</x:v>
      </x:c>
      <x:c r="F785" s="1">
        <x:v>14.0</x:v>
      </x:c>
      <x:c r="G785" s="1" t="s">
        <x:v>1067</x:v>
      </x:c>
      <x:c r="H785" s="1" t="s">
        <x:v>1067</x:v>
      </x:c>
      <x:c r="I785" s="1" t="s">
        <x:v>1060</x:v>
      </x:c>
      <x:c r="J785" s="1" t="s">
        <x:v>1067</x:v>
      </x:c>
      <x:c r="K785" s="1">
        <x:v>784.0</x:v>
      </x:c>
      <x:c r="L785" s="1" t="str">
        <x:f t="shared" si="1"/>
        <x:v>Evan Hull</x:v>
      </x:c>
      <x:c r="M785" s="127" t="str">
        <x:f>IFERROR(VLOOKUP(E785,RISK!A:B,2,FALSE()),"")</x:f>
      </x:c>
      <x:c r="N785" s="118" t="str">
        <x:f t="shared" si="2"/>
        <x:v>#N/A</x:v>
      </x:c>
      <x:c r="Q785" s="9"/>
      <x:c r="R785" s="9"/>
      <x:c r="S785" s="9"/>
      <x:c r="T785" s="9"/>
    </x:row>
    <x:row r="786" ht="14.25" customHeight="1">
      <x:c r="A786" s="1">
        <x:v>783.0</x:v>
      </x:c>
      <x:c r="B786" s="1">
        <x:v>15.0</x:v>
      </x:c>
      <x:c r="C786" s="1" t="s">
        <x:v>1789</x:v>
      </x:c>
      <x:c r="D786" s="1" t="s">
        <x:v>1136</x:v>
      </x:c>
      <x:c r="E786" s="1" t="s">
        <x:v>1790</x:v>
      </x:c>
      <x:c r="F786" s="1" t="s">
        <x:v>1067</x:v>
      </x:c>
      <x:c r="G786" s="1" t="s">
        <x:v>1067</x:v>
      </x:c>
      <x:c r="H786" s="1" t="s">
        <x:v>1067</x:v>
      </x:c>
      <x:c r="I786" s="1" t="s">
        <x:v>1067</x:v>
      </x:c>
      <x:c r="J786" s="1" t="s">
        <x:v>1067</x:v>
      </x:c>
      <x:c r="K786" s="1">
        <x:v>785.0</x:v>
      </x:c>
      <x:c r="L786" s="1" t="str">
        <x:f t="shared" si="1"/>
        <x:v>Clyde Edwards-Helaire</x:v>
      </x:c>
      <x:c r="M786" s="127" t="str">
        <x:f>IFERROR(VLOOKUP(E786,RISK!A:B,2,FALSE()),"")</x:f>
      </x:c>
      <x:c r="N786" s="118" t="str">
        <x:f t="shared" si="2"/>
        <x:v>#N/A</x:v>
      </x:c>
      <x:c r="Q786" s="9"/>
      <x:c r="R786" s="9"/>
      <x:c r="S786" s="9"/>
      <x:c r="T786" s="9"/>
    </x:row>
    <x:row r="787" ht="14.25" customHeight="1">
      <x:c r="A787" s="1">
        <x:v>784.0</x:v>
      </x:c>
      <x:c r="B787" s="1">
        <x:v>15.0</x:v>
      </x:c>
      <x:c r="C787" s="1" t="s">
        <x:v>1791</x:v>
      </x:c>
      <x:c r="D787" s="1" t="s">
        <x:v>541</x:v>
      </x:c>
      <x:c r="E787" s="1" t="s">
        <x:v>1792</x:v>
      </x:c>
      <x:c r="F787" s="1">
        <x:v>9.0</x:v>
      </x:c>
      <x:c r="G787" s="1" t="s">
        <x:v>1067</x:v>
      </x:c>
      <x:c r="H787" s="1" t="s">
        <x:v>1067</x:v>
      </x:c>
      <x:c r="I787" s="1" t="s">
        <x:v>1064</x:v>
      </x:c>
      <x:c r="J787" s="1" t="s">
        <x:v>1067</x:v>
      </x:c>
      <x:c r="K787" s="1">
        <x:v>786.0</x:v>
      </x:c>
      <x:c r="L787" s="1" t="str">
        <x:f t="shared" si="1"/>
        <x:v>Bryce Oliver</x:v>
      </x:c>
      <x:c r="M787" s="127" t="str">
        <x:f>IFERROR(VLOOKUP(E787,RISK!A:B,2,FALSE()),"")</x:f>
      </x:c>
      <x:c r="N787" s="118" t="str">
        <x:f t="shared" si="2"/>
        <x:v>#N/A</x:v>
      </x:c>
      <x:c r="Q787" s="9"/>
      <x:c r="R787" s="9"/>
      <x:c r="S787" s="9"/>
      <x:c r="T787" s="9"/>
    </x:row>
    <x:row r="788" ht="14.25" customHeight="1">
      <x:c r="A788" s="1">
        <x:v>785.0</x:v>
      </x:c>
      <x:c r="B788" s="1">
        <x:v>15.0</x:v>
      </x:c>
      <x:c r="C788" s="1" t="s">
        <x:v>1793</x:v>
      </x:c>
      <x:c r="D788" s="1" t="s">
        <x:v>509</x:v>
      </x:c>
      <x:c r="E788" s="1" t="s">
        <x:v>1794</x:v>
      </x:c>
      <x:c r="F788" s="1">
        <x:v>5.0</x:v>
      </x:c>
      <x:c r="G788" s="1" t="s">
        <x:v>1067</x:v>
      </x:c>
      <x:c r="H788" s="1" t="s">
        <x:v>1067</x:v>
      </x:c>
      <x:c r="I788" s="1" t="s">
        <x:v>1060</x:v>
      </x:c>
      <x:c r="J788" s="1" t="s">
        <x:v>1067</x:v>
      </x:c>
      <x:c r="K788" s="1">
        <x:v>787.0</x:v>
      </x:c>
      <x:c r="L788" s="1" t="str">
        <x:f t="shared" si="1"/>
        <x:v>Jason Brownlee</x:v>
      </x:c>
      <x:c r="M788" s="127" t="str">
        <x:f>IFERROR(VLOOKUP(E788,RISK!A:B,2,FALSE()),"")</x:f>
      </x:c>
      <x:c r="N788" s="118" t="str">
        <x:f t="shared" si="2"/>
        <x:v>#N/A</x:v>
      </x:c>
      <x:c r="Q788" s="9"/>
      <x:c r="R788" s="9"/>
      <x:c r="S788" s="9"/>
      <x:c r="T788" s="9"/>
    </x:row>
    <x:row r="789" ht="14.25" customHeight="1">
      <x:c r="A789" s="1">
        <x:v>786.0</x:v>
      </x:c>
      <x:c r="B789" s="1">
        <x:v>15.0</x:v>
      </x:c>
      <x:c r="C789" s="1" t="s">
        <x:v>1795</x:v>
      </x:c>
      <x:c r="D789" s="1" t="s">
        <x:v>1136</x:v>
      </x:c>
      <x:c r="E789" s="1" t="s">
        <x:v>1796</x:v>
      </x:c>
      <x:c r="F789" s="1" t="s">
        <x:v>1067</x:v>
      </x:c>
      <x:c r="G789" s="1" t="s">
        <x:v>1067</x:v>
      </x:c>
      <x:c r="H789" s="1" t="s">
        <x:v>1067</x:v>
      </x:c>
      <x:c r="I789" s="1" t="s">
        <x:v>1067</x:v>
      </x:c>
      <x:c r="J789" s="1" t="s">
        <x:v>1067</x:v>
      </x:c>
      <x:c r="K789" s="1">
        <x:v>788.0</x:v>
      </x:c>
      <x:c r="L789" s="1" t="str">
        <x:f t="shared" si="1"/>
        <x:v>Myles Gaskin</x:v>
      </x:c>
      <x:c r="M789" s="127" t="str">
        <x:f>IFERROR(VLOOKUP(E789,RISK!A:B,2,FALSE()),"")</x:f>
      </x:c>
      <x:c r="N789" s="118" t="str">
        <x:f t="shared" si="2"/>
        <x:v>#N/A</x:v>
      </x:c>
      <x:c r="Q789" s="9"/>
      <x:c r="R789" s="9"/>
      <x:c r="S789" s="9"/>
      <x:c r="T789" s="9"/>
    </x:row>
    <x:row r="790" ht="14.25" customHeight="1">
      <x:c r="A790" s="1">
        <x:v>787.0</x:v>
      </x:c>
      <x:c r="B790" s="1">
        <x:v>15.0</x:v>
      </x:c>
      <x:c r="C790" s="1" t="s">
        <x:v>1797</x:v>
      </x:c>
      <x:c r="D790" s="1" t="s">
        <x:v>1136</x:v>
      </x:c>
      <x:c r="E790" s="1" t="s">
        <x:v>1798</x:v>
      </x:c>
      <x:c r="F790" s="1" t="s">
        <x:v>1067</x:v>
      </x:c>
      <x:c r="G790" s="1" t="s">
        <x:v>1067</x:v>
      </x:c>
      <x:c r="H790" s="1" t="s">
        <x:v>1067</x:v>
      </x:c>
      <x:c r="I790" s="1" t="s">
        <x:v>1067</x:v>
      </x:c>
      <x:c r="J790" s="1" t="s">
        <x:v>1067</x:v>
      </x:c>
      <x:c r="K790" s="1">
        <x:v>789.0</x:v>
      </x:c>
      <x:c r="L790" s="1" t="str">
        <x:f t="shared" si="1"/>
        <x:v>Sam Scott</x:v>
      </x:c>
      <x:c r="M790" s="127" t="str">
        <x:f>IFERROR(VLOOKUP(E790,RISK!A:B,2,FALSE()),"")</x:f>
      </x:c>
      <x:c r="N790" s="118" t="str">
        <x:f t="shared" si="2"/>
        <x:v>#N/A</x:v>
      </x:c>
      <x:c r="Q790" s="9"/>
      <x:c r="R790" s="9"/>
      <x:c r="S790" s="9"/>
      <x:c r="T790" s="9"/>
    </x:row>
    <x:row r="791" ht="14.25" customHeight="1">
      <x:c r="A791" s="1">
        <x:v>788.0</x:v>
      </x:c>
      <x:c r="B791" s="1">
        <x:v>15.0</x:v>
      </x:c>
      <x:c r="C791" s="1" t="s">
        <x:v>1799</x:v>
      </x:c>
      <x:c r="D791" s="1" t="s">
        <x:v>1136</x:v>
      </x:c>
      <x:c r="E791" s="1" t="s">
        <x:v>1800</x:v>
      </x:c>
      <x:c r="F791" s="1" t="s">
        <x:v>1067</x:v>
      </x:c>
      <x:c r="G791" s="1" t="s">
        <x:v>1067</x:v>
      </x:c>
      <x:c r="H791" s="1" t="s">
        <x:v>1067</x:v>
      </x:c>
      <x:c r="I791" s="1" t="s">
        <x:v>1067</x:v>
      </x:c>
      <x:c r="J791" s="1" t="s">
        <x:v>1067</x:v>
      </x:c>
      <x:c r="K791" s="1">
        <x:v>790.0</x:v>
      </x:c>
      <x:c r="L791" s="1" t="str">
        <x:f t="shared" si="1"/>
        <x:v>Darrynton Evans</x:v>
      </x:c>
      <x:c r="M791" s="127" t="str">
        <x:f>IFERROR(VLOOKUP(E791,RISK!A:B,2,FALSE()),"")</x:f>
      </x:c>
      <x:c r="N791" s="118" t="str">
        <x:f t="shared" si="2"/>
        <x:v>#N/A</x:v>
      </x:c>
      <x:c r="Q791" s="9"/>
      <x:c r="R791" s="9"/>
      <x:c r="S791" s="9"/>
      <x:c r="T791" s="9"/>
    </x:row>
    <x:row r="792" ht="14.25" customHeight="1">
      <x:c r="A792" s="1">
        <x:v>789.0</x:v>
      </x:c>
      <x:c r="B792" s="1">
        <x:v>15.0</x:v>
      </x:c>
      <x:c r="C792" s="1" t="s">
        <x:v>1801</x:v>
      </x:c>
      <x:c r="D792" s="1" t="s">
        <x:v>503</x:v>
      </x:c>
      <x:c r="E792" s="1" t="s">
        <x:v>1802</x:v>
      </x:c>
      <x:c r="F792" s="1">
        <x:v>8.0</x:v>
      </x:c>
      <x:c r="G792" s="1" t="s">
        <x:v>1067</x:v>
      </x:c>
      <x:c r="H792" s="1" t="s">
        <x:v>1067</x:v>
      </x:c>
      <x:c r="I792" s="1" t="s">
        <x:v>1060</x:v>
      </x:c>
      <x:c r="J792" s="1" t="s">
        <x:v>1067</x:v>
      </x:c>
      <x:c r="K792" s="1">
        <x:v>791.0</x:v>
      </x:c>
      <x:c r="L792" s="1" t="str">
        <x:f t="shared" si="1"/>
        <x:v>KhaDarel Hodge</x:v>
      </x:c>
      <x:c r="M792" s="127" t="str">
        <x:f>IFERROR(VLOOKUP(E792,RISK!A:B,2,FALSE()),"")</x:f>
      </x:c>
      <x:c r="N792" s="118" t="str">
        <x:f t="shared" si="2"/>
        <x:v>#N/A</x:v>
      </x:c>
      <x:c r="Q792" s="9"/>
      <x:c r="R792" s="9"/>
      <x:c r="S792" s="9"/>
      <x:c r="T792" s="9"/>
    </x:row>
    <x:row r="793" ht="14.25" customHeight="1">
      <x:c r="A793" s="1">
        <x:v>790.0</x:v>
      </x:c>
      <x:c r="B793" s="1">
        <x:v>15.0</x:v>
      </x:c>
      <x:c r="C793" s="1" t="s">
        <x:v>1803</x:v>
      </x:c>
      <x:c r="D793" s="1" t="s">
        <x:v>1136</x:v>
      </x:c>
      <x:c r="E793" s="1" t="s">
        <x:v>1804</x:v>
      </x:c>
      <x:c r="F793" s="1" t="s">
        <x:v>1067</x:v>
      </x:c>
      <x:c r="G793" s="1" t="s">
        <x:v>1067</x:v>
      </x:c>
      <x:c r="H793" s="1" t="s">
        <x:v>1067</x:v>
      </x:c>
      <x:c r="I793" s="1" t="s">
        <x:v>1067</x:v>
      </x:c>
      <x:c r="J793" s="1" t="s">
        <x:v>1067</x:v>
      </x:c>
      <x:c r="K793" s="1">
        <x:v>792.0</x:v>
      </x:c>
      <x:c r="L793" s="1" t="str">
        <x:f t="shared" si="1"/>
        <x:v>Tyrion Davis-Price</x:v>
      </x:c>
      <x:c r="M793" s="127" t="str">
        <x:f>IFERROR(VLOOKUP(E793,RISK!A:B,2,FALSE()),"")</x:f>
      </x:c>
      <x:c r="N793" s="118" t="str">
        <x:f t="shared" si="2"/>
        <x:v>#N/A</x:v>
      </x:c>
      <x:c r="Q793" s="9"/>
      <x:c r="R793" s="9"/>
      <x:c r="S793" s="9"/>
      <x:c r="T793" s="9"/>
    </x:row>
    <x:row r="794" ht="14.25" customHeight="1">
      <x:c r="A794" s="1">
        <x:v>791.0</x:v>
      </x:c>
      <x:c r="B794" s="1">
        <x:v>15.0</x:v>
      </x:c>
      <x:c r="C794" s="1" t="s">
        <x:v>1805</x:v>
      </x:c>
      <x:c r="D794" s="1" t="s">
        <x:v>507</x:v>
      </x:c>
      <x:c r="E794" s="1" t="s">
        <x:v>1806</x:v>
      </x:c>
      <x:c r="F794" s="1">
        <x:v>14.0</x:v>
      </x:c>
      <x:c r="G794" s="1" t="s">
        <x:v>1067</x:v>
      </x:c>
      <x:c r="H794" s="1" t="s">
        <x:v>1067</x:v>
      </x:c>
      <x:c r="I794" s="1" t="s">
        <x:v>1060</x:v>
      </x:c>
      <x:c r="J794" s="1" t="s">
        <x:v>1067</x:v>
      </x:c>
      <x:c r="K794" s="1">
        <x:v>793.0</x:v>
      </x:c>
      <x:c r="L794" s="1" t="str">
        <x:f t="shared" si="1"/>
        <x:v>Camden Brown</x:v>
      </x:c>
      <x:c r="M794" s="127" t="str">
        <x:f>IFERROR(VLOOKUP(E794,RISK!A:B,2,FALSE()),"")</x:f>
      </x:c>
      <x:c r="N794" s="118" t="str">
        <x:f t="shared" si="2"/>
        <x:v>#N/A</x:v>
      </x:c>
      <x:c r="Q794" s="9"/>
      <x:c r="R794" s="9"/>
      <x:c r="S794" s="9"/>
      <x:c r="T794" s="9"/>
    </x:row>
    <x:row r="795" ht="14.25" customHeight="1">
      <x:c r="A795" s="1">
        <x:v>792.0</x:v>
      </x:c>
      <x:c r="B795" s="1">
        <x:v>15.0</x:v>
      </x:c>
      <x:c r="C795" s="1" t="s">
        <x:v>1807</x:v>
      </x:c>
      <x:c r="D795" s="1" t="s">
        <x:v>507</x:v>
      </x:c>
      <x:c r="E795" s="1" t="s">
        <x:v>1808</x:v>
      </x:c>
      <x:c r="F795" s="1">
        <x:v>14.0</x:v>
      </x:c>
      <x:c r="G795" s="1" t="s">
        <x:v>1067</x:v>
      </x:c>
      <x:c r="H795" s="1" t="s">
        <x:v>1067</x:v>
      </x:c>
      <x:c r="I795" s="1" t="s">
        <x:v>1061</x:v>
      </x:c>
      <x:c r="J795" s="1" t="s">
        <x:v>1067</x:v>
      </x:c>
      <x:c r="K795" s="1">
        <x:v>794.0</x:v>
      </x:c>
      <x:c r="L795" s="1" t="str">
        <x:f t="shared" si="1"/>
        <x:v>Jashaun Corbin</x:v>
      </x:c>
      <x:c r="M795" s="127" t="str">
        <x:f>IFERROR(VLOOKUP(E795,RISK!A:B,2,FALSE()),"")</x:f>
      </x:c>
      <x:c r="N795" s="118" t="str">
        <x:f t="shared" si="2"/>
        <x:v>#N/A</x:v>
      </x:c>
      <x:c r="Q795" s="9"/>
      <x:c r="R795" s="9"/>
      <x:c r="S795" s="9"/>
      <x:c r="T795" s="9"/>
    </x:row>
    <x:row r="796" ht="14.25" customHeight="1">
      <x:c r="A796" s="1">
        <x:v>793.0</x:v>
      </x:c>
      <x:c r="B796" s="1">
        <x:v>15.0</x:v>
      </x:c>
      <x:c r="C796" s="1" t="s">
        <x:v>1809</x:v>
      </x:c>
      <x:c r="D796" s="1" t="s">
        <x:v>517</x:v>
      </x:c>
      <x:c r="E796" s="1" t="s">
        <x:v>1810</x:v>
      </x:c>
      <x:c r="F796" s="1">
        <x:v>11.0</x:v>
      </x:c>
      <x:c r="G796" s="1" t="s">
        <x:v>1067</x:v>
      </x:c>
      <x:c r="H796" s="1" t="s">
        <x:v>1067</x:v>
      </x:c>
      <x:c r="I796" s="1" t="s">
        <x:v>1063</x:v>
      </x:c>
      <x:c r="J796" s="1" t="s">
        <x:v>1067</x:v>
      </x:c>
      <x:c r="K796" s="1">
        <x:v>795.0</x:v>
      </x:c>
      <x:c r="L796" s="1" t="str">
        <x:f t="shared" si="1"/>
        <x:v>Alex Bachman</x:v>
      </x:c>
      <x:c r="M796" s="127" t="str">
        <x:f>IFERROR(VLOOKUP(E796,RISK!A:B,2,FALSE()),"")</x:f>
      </x:c>
      <x:c r="N796" s="118" t="str">
        <x:f t="shared" si="2"/>
        <x:v>#N/A</x:v>
      </x:c>
      <x:c r="Q796" s="9"/>
      <x:c r="R796" s="9"/>
      <x:c r="S796" s="9"/>
      <x:c r="T796" s="9"/>
    </x:row>
    <x:row r="797" ht="14.25" customHeight="1">
      <x:c r="A797" s="1">
        <x:v>794.0</x:v>
      </x:c>
      <x:c r="B797" s="1">
        <x:v>15.0</x:v>
      </x:c>
      <x:c r="C797" s="1" t="s">
        <x:v>1811</x:v>
      </x:c>
      <x:c r="D797" s="1" t="s">
        <x:v>1136</x:v>
      </x:c>
      <x:c r="E797" s="1" t="s">
        <x:v>1812</x:v>
      </x:c>
      <x:c r="F797" s="1" t="s">
        <x:v>1067</x:v>
      </x:c>
      <x:c r="G797" s="1" t="s">
        <x:v>1067</x:v>
      </x:c>
      <x:c r="H797" s="1" t="s">
        <x:v>1067</x:v>
      </x:c>
      <x:c r="I797" s="1" t="s">
        <x:v>1067</x:v>
      </x:c>
      <x:c r="J797" s="1" t="s">
        <x:v>1067</x:v>
      </x:c>
      <x:c r="K797" s="1">
        <x:v>796.0</x:v>
      </x:c>
      <x:c r="L797" s="1" t="str">
        <x:f t="shared" si="1"/>
        <x:v>Gabe Davis</x:v>
      </x:c>
      <x:c r="M797" s="127" t="str">
        <x:f>IFERROR(VLOOKUP(E797,RISK!A:B,2,FALSE()),"")</x:f>
      </x:c>
      <x:c r="N797" s="118" t="str">
        <x:f t="shared" si="2"/>
        <x:v>#N/A</x:v>
      </x:c>
      <x:c r="Q797" s="9"/>
      <x:c r="R797" s="9"/>
      <x:c r="S797" s="9"/>
      <x:c r="T797" s="9"/>
    </x:row>
    <x:row r="798" ht="14.25" customHeight="1">
      <x:c r="A798" s="1">
        <x:v>795.0</x:v>
      </x:c>
      <x:c r="B798" s="1">
        <x:v>15.0</x:v>
      </x:c>
      <x:c r="C798" s="1" t="s">
        <x:v>905</x:v>
      </x:c>
      <x:c r="D798" s="1" t="s">
        <x:v>501</x:v>
      </x:c>
      <x:c r="E798" s="1" t="s">
        <x:v>1813</x:v>
      </x:c>
      <x:c r="F798" s="1">
        <x:v>8.0</x:v>
      </x:c>
      <x:c r="G798" s="1" t="s">
        <x:v>1067</x:v>
      </x:c>
      <x:c r="H798" s="1" t="s">
        <x:v>1067</x:v>
      </x:c>
      <x:c r="I798" s="1" t="s">
        <x:v>1061</x:v>
      </x:c>
      <x:c r="J798" s="1" t="s">
        <x:v>1067</x:v>
      </x:c>
      <x:c r="K798" s="1">
        <x:v>797.0</x:v>
      </x:c>
      <x:c r="L798" s="1" t="str">
        <x:f t="shared" si="1"/>
        <x:v>Braxton Berrios</x:v>
      </x:c>
      <x:c r="M798" s="127" t="str">
        <x:f>IFERROR(VLOOKUP(E798,RISK!A:B,2,FALSE()),"")</x:f>
      </x:c>
      <x:c r="N798" s="118" t="str">
        <x:f t="shared" si="2"/>
        <x:v>#N/A</x:v>
      </x:c>
      <x:c r="Q798" s="9"/>
      <x:c r="R798" s="9"/>
      <x:c r="S798" s="9"/>
      <x:c r="T798" s="9"/>
    </x:row>
    <x:row r="799" ht="14.25" customHeight="1">
      <x:c r="A799" s="1">
        <x:v>796.0</x:v>
      </x:c>
      <x:c r="B799" s="1">
        <x:v>15.0</x:v>
      </x:c>
      <x:c r="C799" s="1" t="s">
        <x:v>1814</x:v>
      </x:c>
      <x:c r="D799" s="1" t="s">
        <x:v>509</x:v>
      </x:c>
      <x:c r="E799" s="1" t="s">
        <x:v>1815</x:v>
      </x:c>
      <x:c r="F799" s="1">
        <x:v>5.0</x:v>
      </x:c>
      <x:c r="G799" s="1" t="s">
        <x:v>1067</x:v>
      </x:c>
      <x:c r="H799" s="1" t="s">
        <x:v>1067</x:v>
      </x:c>
      <x:c r="I799" s="1" t="s">
        <x:v>1060</x:v>
      </x:c>
      <x:c r="J799" s="1" t="s">
        <x:v>1067</x:v>
      </x:c>
      <x:c r="K799" s="1">
        <x:v>798.0</x:v>
      </x:c>
      <x:c r="L799" s="1" t="str">
        <x:f t="shared" si="1"/>
        <x:v>Jimmy Holiday</x:v>
      </x:c>
      <x:c r="M799" s="127" t="str">
        <x:f>IFERROR(VLOOKUP(E799,RISK!A:B,2,FALSE()),"")</x:f>
      </x:c>
      <x:c r="N799" s="118" t="str">
        <x:f t="shared" si="2"/>
        <x:v>#N/A</x:v>
      </x:c>
      <x:c r="Q799" s="9"/>
      <x:c r="R799" s="9"/>
      <x:c r="S799" s="9"/>
      <x:c r="T799" s="9"/>
    </x:row>
    <x:row r="800" ht="14.25" customHeight="1">
      <x:c r="A800" s="1">
        <x:v>797.0</x:v>
      </x:c>
      <x:c r="B800" s="1">
        <x:v>15.0</x:v>
      </x:c>
      <x:c r="C800" s="1" t="s">
        <x:v>1816</x:v>
      </x:c>
      <x:c r="D800" s="1" t="s">
        <x:v>541</x:v>
      </x:c>
      <x:c r="E800" s="1" t="s">
        <x:v>1817</x:v>
      </x:c>
      <x:c r="F800" s="1">
        <x:v>9.0</x:v>
      </x:c>
      <x:c r="G800" s="1" t="s">
        <x:v>1067</x:v>
      </x:c>
      <x:c r="H800" s="1" t="s">
        <x:v>1067</x:v>
      </x:c>
      <x:c r="I800" s="1" t="s">
        <x:v>1064</x:v>
      </x:c>
      <x:c r="J800" s="1" t="s">
        <x:v>1067</x:v>
      </x:c>
      <x:c r="K800" s="1">
        <x:v>799.0</x:v>
      </x:c>
      <x:c r="L800" s="1" t="str">
        <x:f t="shared" si="1"/>
        <x:v>D'Ernest Johnson</x:v>
      </x:c>
      <x:c r="M800" s="127" t="str">
        <x:f>IFERROR(VLOOKUP(E800,RISK!A:B,2,FALSE()),"")</x:f>
      </x:c>
      <x:c r="N800" s="118" t="str">
        <x:f t="shared" si="2"/>
        <x:v>#N/A</x:v>
      </x:c>
      <x:c r="Q800" s="9"/>
      <x:c r="R800" s="9"/>
      <x:c r="S800" s="9"/>
      <x:c r="T800" s="9"/>
    </x:row>
    <x:row r="801" ht="14.25" customHeight="1">
      <x:c r="A801" s="1">
        <x:v>798.0</x:v>
      </x:c>
      <x:c r="B801" s="1">
        <x:v>15.0</x:v>
      </x:c>
      <x:c r="C801" s="1" t="s">
        <x:v>1818</x:v>
      </x:c>
      <x:c r="D801" s="1" t="s">
        <x:v>497</x:v>
      </x:c>
      <x:c r="E801" s="1" t="s">
        <x:v>1819</x:v>
      </x:c>
      <x:c r="F801" s="1">
        <x:v>10.0</x:v>
      </x:c>
      <x:c r="G801" s="1" t="s">
        <x:v>1067</x:v>
      </x:c>
      <x:c r="H801" s="1" t="s">
        <x:v>1067</x:v>
      </x:c>
      <x:c r="I801" s="1" t="s">
        <x:v>1061</x:v>
      </x:c>
      <x:c r="J801" s="1" t="s">
        <x:v>1067</x:v>
      </x:c>
      <x:c r="K801" s="1">
        <x:v>800.0</x:v>
      </x:c>
      <x:c r="L801" s="1" t="str">
        <x:f t="shared" si="1"/>
        <x:v>Samori Toure</x:v>
      </x:c>
      <x:c r="M801" s="127" t="str">
        <x:f>IFERROR(VLOOKUP(E801,RISK!A:B,2,FALSE()),"")</x:f>
      </x:c>
      <x:c r="N801" s="118" t="str">
        <x:f t="shared" si="2"/>
        <x:v>#N/A</x:v>
      </x:c>
      <x:c r="Q801" s="9"/>
      <x:c r="R801" s="9"/>
      <x:c r="S801" s="9"/>
      <x:c r="T801" s="9"/>
    </x:row>
    <x:row r="802" ht="14.25" customHeight="1">
      <x:c r="A802" s="1">
        <x:v>799.0</x:v>
      </x:c>
      <x:c r="B802" s="1">
        <x:v>15.0</x:v>
      </x:c>
      <x:c r="C802" s="1" t="s">
        <x:v>1820</x:v>
      </x:c>
      <x:c r="D802" s="1" t="s">
        <x:v>487</x:v>
      </x:c>
      <x:c r="E802" s="1" t="s">
        <x:v>1821</x:v>
      </x:c>
      <x:c r="F802" s="1">
        <x:v>7.0</x:v>
      </x:c>
      <x:c r="G802" s="1" t="s">
        <x:v>1067</x:v>
      </x:c>
      <x:c r="H802" s="1" t="s">
        <x:v>1067</x:v>
      </x:c>
      <x:c r="I802" s="1" t="s">
        <x:v>1061</x:v>
      </x:c>
      <x:c r="J802" s="1" t="s">
        <x:v>1067</x:v>
      </x:c>
      <x:c r="K802" s="1">
        <x:v>801.0</x:v>
      </x:c>
      <x:c r="L802" s="1" t="str">
        <x:f t="shared" si="1"/>
        <x:v>Trent Sherfield Sr.</x:v>
      </x:c>
      <x:c r="M802" s="127" t="str">
        <x:f>IFERROR(VLOOKUP(E802,RISK!A:B,2,FALSE()),"")</x:f>
      </x:c>
      <x:c r="N802" s="118" t="str">
        <x:f t="shared" si="2"/>
        <x:v>#N/A</x:v>
      </x:c>
      <x:c r="Q802" s="9"/>
      <x:c r="R802" s="9"/>
      <x:c r="S802" s="9"/>
      <x:c r="T802" s="9"/>
    </x:row>
    <x:row r="803" ht="14.25" customHeight="1">
      <x:c r="A803" s="1">
        <x:v>800.0</x:v>
      </x:c>
      <x:c r="B803" s="1">
        <x:v>15.0</x:v>
      </x:c>
      <x:c r="C803" s="1" t="s">
        <x:v>1822</x:v>
      </x:c>
      <x:c r="D803" s="1" t="s">
        <x:v>527</x:v>
      </x:c>
      <x:c r="E803" s="1" t="s">
        <x:v>1823</x:v>
      </x:c>
      <x:c r="F803" s="1">
        <x:v>13.0</x:v>
      </x:c>
      <x:c r="G803" s="1" t="s">
        <x:v>1067</x:v>
      </x:c>
      <x:c r="H803" s="1" t="s">
        <x:v>1067</x:v>
      </x:c>
      <x:c r="I803" s="1" t="s">
        <x:v>1061</x:v>
      </x:c>
      <x:c r="J803" s="1" t="s">
        <x:v>1067</x:v>
      </x:c>
      <x:c r="K803" s="1">
        <x:v>802.0</x:v>
      </x:c>
      <x:c r="L803" s="1" t="str">
        <x:f t="shared" si="1"/>
        <x:v>Eli Pancol</x:v>
      </x:c>
      <x:c r="M803" s="127" t="str">
        <x:f>IFERROR(VLOOKUP(E803,RISK!A:B,2,FALSE()),"")</x:f>
      </x:c>
      <x:c r="N803" s="118" t="str">
        <x:f t="shared" si="2"/>
        <x:v>#N/A</x:v>
      </x:c>
      <x:c r="Q803" s="9"/>
      <x:c r="R803" s="9"/>
      <x:c r="S803" s="9"/>
      <x:c r="T803" s="9"/>
    </x:row>
    <x:row r="804" ht="14.25" customHeight="1">
      <x:c r="A804" s="1">
        <x:v>801.0</x:v>
      </x:c>
      <x:c r="B804" s="1">
        <x:v>15.0</x:v>
      </x:c>
      <x:c r="C804" s="1" t="s">
        <x:v>1824</x:v>
      </x:c>
      <x:c r="D804" s="1" t="s">
        <x:v>535</x:v>
      </x:c>
      <x:c r="E804" s="1" t="s">
        <x:v>1825</x:v>
      </x:c>
      <x:c r="F804" s="1">
        <x:v>8.0</x:v>
      </x:c>
      <x:c r="G804" s="1" t="s">
        <x:v>1067</x:v>
      </x:c>
      <x:c r="H804" s="1" t="s">
        <x:v>1067</x:v>
      </x:c>
      <x:c r="I804" s="1" t="s">
        <x:v>1064</x:v>
      </x:c>
      <x:c r="J804" s="1">
        <x:v>-450.0</x:v>
      </x:c>
      <x:c r="K804" s="1">
        <x:v>803.0</x:v>
      </x:c>
      <x:c r="L804" s="1" t="str">
        <x:f t="shared" si="1"/>
        <x:v>Zay Jones</x:v>
      </x:c>
      <x:c r="M804" s="127" t="str">
        <x:f>IFERROR(VLOOKUP(E804,RISK!A:B,2,FALSE()),"")</x:f>
      </x:c>
      <x:c r="N804" s="118" t="str">
        <x:f t="shared" si="2"/>
        <x:v>#N/A</x:v>
      </x:c>
      <x:c r="Q804" s="9"/>
      <x:c r="R804" s="9"/>
      <x:c r="S804" s="9"/>
      <x:c r="T804" s="9"/>
    </x:row>
    <x:row r="805" ht="14.25" customHeight="1">
      <x:c r="A805" s="1">
        <x:v>802.0</x:v>
      </x:c>
      <x:c r="B805" s="1">
        <x:v>15.0</x:v>
      </x:c>
      <x:c r="C805" s="1" t="s">
        <x:v>1826</x:v>
      </x:c>
      <x:c r="D805" s="1" t="s">
        <x:v>533</x:v>
      </x:c>
      <x:c r="E805" s="1" t="s">
        <x:v>1827</x:v>
      </x:c>
      <x:c r="F805" s="1">
        <x:v>11.0</x:v>
      </x:c>
      <x:c r="G805" s="1" t="s">
        <x:v>1067</x:v>
      </x:c>
      <x:c r="H805" s="1" t="s">
        <x:v>1067</x:v>
      </x:c>
      <x:c r="I805" s="1" t="s">
        <x:v>1064</x:v>
      </x:c>
      <x:c r="J805" s="1" t="s">
        <x:v>1067</x:v>
      </x:c>
      <x:c r="K805" s="1">
        <x:v>804.0</x:v>
      </x:c>
      <x:c r="L805" s="1" t="str">
        <x:f t="shared" si="1"/>
        <x:v>Emmanuel Henderson Jr.</x:v>
      </x:c>
      <x:c r="M805" s="127" t="str">
        <x:f>IFERROR(VLOOKUP(E805,RISK!A:B,2,FALSE()),"")</x:f>
      </x:c>
      <x:c r="N805" s="118" t="str">
        <x:f t="shared" si="2"/>
        <x:v>#N/A</x:v>
      </x:c>
      <x:c r="Q805" s="9"/>
      <x:c r="R805" s="9"/>
      <x:c r="S805" s="9"/>
      <x:c r="T805" s="9"/>
    </x:row>
    <x:row r="806" ht="14.25" customHeight="1">
      <x:c r="A806" s="1">
        <x:v>803.0</x:v>
      </x:c>
      <x:c r="B806" s="1">
        <x:v>15.0</x:v>
      </x:c>
      <x:c r="C806" s="1" t="s">
        <x:v>1828</x:v>
      </x:c>
      <x:c r="D806" s="1" t="s">
        <x:v>493</x:v>
      </x:c>
      <x:c r="E806" s="1" t="s">
        <x:v>1829</x:v>
      </x:c>
      <x:c r="F806" s="1">
        <x:v>11.0</x:v>
      </x:c>
      <x:c r="G806" s="1" t="s">
        <x:v>1067</x:v>
      </x:c>
      <x:c r="H806" s="1" t="s">
        <x:v>1067</x:v>
      </x:c>
      <x:c r="I806" s="1" t="s">
        <x:v>1060</x:v>
      </x:c>
      <x:c r="J806" s="1" t="s">
        <x:v>1067</x:v>
      </x:c>
      <x:c r="K806" s="1">
        <x:v>805.0</x:v>
      </x:c>
      <x:c r="L806" s="1" t="str">
        <x:f t="shared" si="1"/>
        <x:v>Tejhaun Palmer</x:v>
      </x:c>
      <x:c r="M806" s="127" t="str">
        <x:f>IFERROR(VLOOKUP(E806,RISK!A:B,2,FALSE()),"")</x:f>
      </x:c>
      <x:c r="N806" s="118" t="str">
        <x:f t="shared" si="2"/>
        <x:v>#N/A</x:v>
      </x:c>
      <x:c r="Q806" s="9"/>
      <x:c r="R806" s="9"/>
      <x:c r="S806" s="9"/>
      <x:c r="T806" s="9"/>
    </x:row>
    <x:row r="807" ht="14.25" customHeight="1">
      <x:c r="A807" s="1">
        <x:v>804.0</x:v>
      </x:c>
      <x:c r="B807" s="1">
        <x:v>15.0</x:v>
      </x:c>
      <x:c r="C807" s="1" t="s">
        <x:v>1830</x:v>
      </x:c>
      <x:c r="D807" s="1" t="s">
        <x:v>501</x:v>
      </x:c>
      <x:c r="E807" s="1" t="s">
        <x:v>1831</x:v>
      </x:c>
      <x:c r="F807" s="1">
        <x:v>8.0</x:v>
      </x:c>
      <x:c r="G807" s="1" t="s">
        <x:v>1067</x:v>
      </x:c>
      <x:c r="H807" s="1" t="s">
        <x:v>1067</x:v>
      </x:c>
      <x:c r="I807" s="1" t="s">
        <x:v>1061</x:v>
      </x:c>
      <x:c r="J807" s="1" t="s">
        <x:v>1067</x:v>
      </x:c>
      <x:c r="K807" s="1">
        <x:v>806.0</x:v>
      </x:c>
      <x:c r="L807" s="1" t="str">
        <x:f t="shared" si="1"/>
        <x:v>Xavier Gipson</x:v>
      </x:c>
      <x:c r="M807" s="127" t="str">
        <x:f>IFERROR(VLOOKUP(E807,RISK!A:B,2,FALSE()),"")</x:f>
      </x:c>
      <x:c r="N807" s="118" t="str">
        <x:f t="shared" si="2"/>
        <x:v>#N/A</x:v>
      </x:c>
      <x:c r="Q807" s="9"/>
      <x:c r="R807" s="9"/>
      <x:c r="S807" s="9"/>
      <x:c r="T807" s="9"/>
    </x:row>
    <x:row r="808" ht="14.25" customHeight="1">
      <x:c r="A808" s="1">
        <x:v>805.0</x:v>
      </x:c>
      <x:c r="B808" s="1">
        <x:v>15.0</x:v>
      </x:c>
      <x:c r="C808" s="1" t="s">
        <x:v>1832</x:v>
      </x:c>
      <x:c r="D808" s="1" t="s">
        <x:v>531</x:v>
      </x:c>
      <x:c r="E808" s="1" t="s">
        <x:v>1833</x:v>
      </x:c>
      <x:c r="F808" s="1">
        <x:v>11.0</x:v>
      </x:c>
      <x:c r="G808" s="1" t="s">
        <x:v>1067</x:v>
      </x:c>
      <x:c r="H808" s="1" t="s">
        <x:v>1067</x:v>
      </x:c>
      <x:c r="I808" s="1" t="s">
        <x:v>1059</x:v>
      </x:c>
      <x:c r="J808" s="1" t="s">
        <x:v>1067</x:v>
      </x:c>
      <x:c r="K808" s="1">
        <x:v>807.0</x:v>
      </x:c>
      <x:c r="L808" s="1" t="str">
        <x:f t="shared" si="1"/>
        <x:v>Isaiah Neyor</x:v>
      </x:c>
      <x:c r="M808" s="127" t="str">
        <x:f>IFERROR(VLOOKUP(E808,RISK!A:B,2,FALSE()),"")</x:f>
      </x:c>
      <x:c r="N808" s="118" t="str">
        <x:f t="shared" si="2"/>
        <x:v>#N/A</x:v>
      </x:c>
      <x:c r="Q808" s="9"/>
      <x:c r="R808" s="9"/>
      <x:c r="S808" s="9"/>
      <x:c r="T808" s="9"/>
    </x:row>
    <x:row r="809" ht="14.25" customHeight="1">
      <x:c r="A809" s="1">
        <x:v>806.0</x:v>
      </x:c>
      <x:c r="B809" s="1">
        <x:v>15.0</x:v>
      </x:c>
      <x:c r="C809" s="1" t="s">
        <x:v>1834</x:v>
      </x:c>
      <x:c r="D809" s="1" t="s">
        <x:v>509</x:v>
      </x:c>
      <x:c r="E809" s="1" t="s">
        <x:v>1835</x:v>
      </x:c>
      <x:c r="F809" s="1">
        <x:v>5.0</x:v>
      </x:c>
      <x:c r="G809" s="1" t="s">
        <x:v>1067</x:v>
      </x:c>
      <x:c r="H809" s="1" t="s">
        <x:v>1067</x:v>
      </x:c>
      <x:c r="I809" s="1" t="s">
        <x:v>1060</x:v>
      </x:c>
      <x:c r="J809" s="1" t="s">
        <x:v>1067</x:v>
      </x:c>
      <x:c r="K809" s="1">
        <x:v>808.0</x:v>
      </x:c>
      <x:c r="L809" s="1" t="str">
        <x:f t="shared" si="1"/>
        <x:v>Andrew Armstrong</x:v>
      </x:c>
      <x:c r="M809" s="127" t="str">
        <x:f>IFERROR(VLOOKUP(E809,RISK!A:B,2,FALSE()),"")</x:f>
      </x:c>
      <x:c r="N809" s="118" t="str">
        <x:f t="shared" si="2"/>
        <x:v>#N/A</x:v>
      </x:c>
      <x:c r="Q809" s="9"/>
      <x:c r="R809" s="9"/>
      <x:c r="S809" s="9"/>
      <x:c r="T809" s="9"/>
    </x:row>
    <x:row r="810" ht="14.25" customHeight="1">
      <x:c r="A810" s="1">
        <x:v>807.0</x:v>
      </x:c>
      <x:c r="B810" s="1">
        <x:v>15.0</x:v>
      </x:c>
      <x:c r="C810" s="1" t="s">
        <x:v>1836</x:v>
      </x:c>
      <x:c r="D810" s="1" t="s">
        <x:v>527</x:v>
      </x:c>
      <x:c r="E810" s="1" t="s">
        <x:v>1837</x:v>
      </x:c>
      <x:c r="F810" s="1">
        <x:v>13.0</x:v>
      </x:c>
      <x:c r="G810" s="1" t="s">
        <x:v>1067</x:v>
      </x:c>
      <x:c r="H810" s="1" t="s">
        <x:v>1067</x:v>
      </x:c>
      <x:c r="I810" s="1" t="s">
        <x:v>1061</x:v>
      </x:c>
      <x:c r="J810" s="1" t="s">
        <x:v>1067</x:v>
      </x:c>
      <x:c r="K810" s="1">
        <x:v>809.0</x:v>
      </x:c>
      <x:c r="L810" s="1" t="str">
        <x:f t="shared" si="1"/>
        <x:v>Raylen Sharpe</x:v>
      </x:c>
      <x:c r="M810" s="127" t="str">
        <x:f>IFERROR(VLOOKUP(E810,RISK!A:B,2,FALSE()),"")</x:f>
      </x:c>
      <x:c r="N810" s="118" t="str">
        <x:f t="shared" si="2"/>
        <x:v>#N/A</x:v>
      </x:c>
      <x:c r="Q810" s="9"/>
      <x:c r="R810" s="9"/>
      <x:c r="S810" s="9"/>
      <x:c r="T810" s="9"/>
    </x:row>
    <x:row r="811" ht="14.25" customHeight="1">
      <x:c r="A811" s="1">
        <x:v>808.0</x:v>
      </x:c>
      <x:c r="B811" s="1">
        <x:v>15.0</x:v>
      </x:c>
      <x:c r="C811" s="1" t="s">
        <x:v>1838</x:v>
      </x:c>
      <x:c r="D811" s="1" t="s">
        <x:v>1136</x:v>
      </x:c>
      <x:c r="E811" s="1" t="s">
        <x:v>1839</x:v>
      </x:c>
      <x:c r="F811" s="1" t="s">
        <x:v>1067</x:v>
      </x:c>
      <x:c r="G811" s="1" t="s">
        <x:v>1067</x:v>
      </x:c>
      <x:c r="H811" s="1" t="s">
        <x:v>1067</x:v>
      </x:c>
      <x:c r="I811" s="1" t="s">
        <x:v>1067</x:v>
      </x:c>
      <x:c r="J811" s="1" t="s">
        <x:v>1067</x:v>
      </x:c>
      <x:c r="K811" s="1">
        <x:v>810.0</x:v>
      </x:c>
      <x:c r="L811" s="1" t="str">
        <x:f t="shared" si="1"/>
        <x:v>Sederrick Cunningham</x:v>
      </x:c>
      <x:c r="M811" s="127" t="str">
        <x:f>IFERROR(VLOOKUP(E811,RISK!A:B,2,FALSE()),"")</x:f>
      </x:c>
      <x:c r="N811" s="118" t="str">
        <x:f t="shared" si="2"/>
        <x:v>#N/A</x:v>
      </x:c>
      <x:c r="Q811" s="9"/>
      <x:c r="R811" s="9"/>
      <x:c r="S811" s="9"/>
      <x:c r="T811" s="9"/>
    </x:row>
    <x:row r="812" ht="14.25" customHeight="1">
      <x:c r="A812" s="1">
        <x:v>809.0</x:v>
      </x:c>
      <x:c r="B812" s="1">
        <x:v>15.0</x:v>
      </x:c>
      <x:c r="C812" s="1" t="s">
        <x:v>1840</x:v>
      </x:c>
      <x:c r="D812" s="1" t="s">
        <x:v>509</x:v>
      </x:c>
      <x:c r="E812" s="1" t="s">
        <x:v>1841</x:v>
      </x:c>
      <x:c r="F812" s="1">
        <x:v>5.0</x:v>
      </x:c>
      <x:c r="G812" s="1" t="s">
        <x:v>1067</x:v>
      </x:c>
      <x:c r="H812" s="1" t="s">
        <x:v>1067</x:v>
      </x:c>
      <x:c r="I812" s="1" t="s">
        <x:v>1060</x:v>
      </x:c>
      <x:c r="J812" s="1" t="s">
        <x:v>1067</x:v>
      </x:c>
      <x:c r="K812" s="1">
        <x:v>811.0</x:v>
      </x:c>
      <x:c r="L812" s="1" t="str">
        <x:f t="shared" si="1"/>
        <x:v>Jacob De Jesus</x:v>
      </x:c>
      <x:c r="M812" s="127" t="str">
        <x:f>IFERROR(VLOOKUP(E812,RISK!A:B,2,FALSE()),"")</x:f>
      </x:c>
      <x:c r="N812" s="118" t="str">
        <x:f t="shared" si="2"/>
        <x:v>#N/A</x:v>
      </x:c>
      <x:c r="Q812" s="9"/>
      <x:c r="R812" s="9"/>
      <x:c r="S812" s="9"/>
      <x:c r="T812" s="9"/>
    </x:row>
    <x:row r="813" ht="14.25" customHeight="1">
      <x:c r="A813" s="1">
        <x:v>810.0</x:v>
      </x:c>
      <x:c r="B813" s="1">
        <x:v>15.0</x:v>
      </x:c>
      <x:c r="C813" s="1" t="s">
        <x:v>1842</x:v>
      </x:c>
      <x:c r="D813" s="1" t="s">
        <x:v>527</x:v>
      </x:c>
      <x:c r="E813" s="1" t="s">
        <x:v>1843</x:v>
      </x:c>
      <x:c r="F813" s="1">
        <x:v>13.0</x:v>
      </x:c>
      <x:c r="G813" s="1" t="s">
        <x:v>1067</x:v>
      </x:c>
      <x:c r="H813" s="1" t="s">
        <x:v>1067</x:v>
      </x:c>
      <x:c r="I813" s="1" t="s">
        <x:v>1061</x:v>
      </x:c>
      <x:c r="J813" s="1" t="s">
        <x:v>1067</x:v>
      </x:c>
      <x:c r="K813" s="1">
        <x:v>812.0</x:v>
      </x:c>
      <x:c r="L813" s="1" t="str">
        <x:f t="shared" si="1"/>
        <x:v>Sahmir Hagans</x:v>
      </x:c>
      <x:c r="M813" s="127" t="str">
        <x:f>IFERROR(VLOOKUP(E813,RISK!A:B,2,FALSE()),"")</x:f>
      </x:c>
      <x:c r="N813" s="118" t="str">
        <x:f t="shared" si="2"/>
        <x:v>#N/A</x:v>
      </x:c>
      <x:c r="Q813" s="9"/>
      <x:c r="R813" s="9"/>
      <x:c r="S813" s="9"/>
      <x:c r="T813" s="9"/>
    </x:row>
    <x:row r="814" ht="14.25" customHeight="1">
      <x:c r="A814" s="1">
        <x:v>811.0</x:v>
      </x:c>
      <x:c r="B814" s="1">
        <x:v>15.0</x:v>
      </x:c>
      <x:c r="C814" s="1" t="s">
        <x:v>1844</x:v>
      </x:c>
      <x:c r="D814" s="1" t="s">
        <x:v>511</x:v>
      </x:c>
      <x:c r="E814" s="1" t="s">
        <x:v>1845</x:v>
      </x:c>
      <x:c r="F814" s="1">
        <x:v>10.0</x:v>
      </x:c>
      <x:c r="G814" s="1" t="s">
        <x:v>1067</x:v>
      </x:c>
      <x:c r="H814" s="1" t="s">
        <x:v>1067</x:v>
      </x:c>
      <x:c r="I814" s="1" t="s">
        <x:v>1064</x:v>
      </x:c>
      <x:c r="J814" s="1" t="s">
        <x:v>1067</x:v>
      </x:c>
      <x:c r="K814" s="1">
        <x:v>813.0</x:v>
      </x:c>
      <x:c r="L814" s="1" t="str">
        <x:f t="shared" si="1"/>
        <x:v>Omari Kelly</x:v>
      </x:c>
      <x:c r="M814" s="127" t="str">
        <x:f>IFERROR(VLOOKUP(E814,RISK!A:B,2,FALSE()),"")</x:f>
      </x:c>
      <x:c r="N814" s="118" t="str">
        <x:f t="shared" si="2"/>
        <x:v>#N/A</x:v>
      </x:c>
      <x:c r="Q814" s="9"/>
      <x:c r="R814" s="9"/>
      <x:c r="S814" s="9"/>
      <x:c r="T814" s="9"/>
    </x:row>
    <x:row r="815" ht="14.25" customHeight="1">
      <x:c r="A815" s="1">
        <x:v>812.0</x:v>
      </x:c>
      <x:c r="B815" s="1">
        <x:v>15.0</x:v>
      </x:c>
      <x:c r="C815" s="1" t="s">
        <x:v>1846</x:v>
      </x:c>
      <x:c r="D815" s="1" t="s">
        <x:v>503</x:v>
      </x:c>
      <x:c r="E815" s="1" t="s">
        <x:v>1847</x:v>
      </x:c>
      <x:c r="F815" s="1">
        <x:v>8.0</x:v>
      </x:c>
      <x:c r="G815" s="1" t="s">
        <x:v>1067</x:v>
      </x:c>
      <x:c r="H815" s="1" t="s">
        <x:v>1067</x:v>
      </x:c>
      <x:c r="I815" s="1" t="s">
        <x:v>1060</x:v>
      </x:c>
      <x:c r="J815" s="1" t="s">
        <x:v>1067</x:v>
      </x:c>
      <x:c r="K815" s="1">
        <x:v>814.0</x:v>
      </x:c>
      <x:c r="L815" s="1" t="str">
        <x:f t="shared" si="1"/>
        <x:v>Malik Turner</x:v>
      </x:c>
      <x:c r="M815" s="127" t="str">
        <x:f>IFERROR(VLOOKUP(E815,RISK!A:B,2,FALSE()),"")</x:f>
      </x:c>
      <x:c r="N815" s="118" t="str">
        <x:f t="shared" si="2"/>
        <x:v>#N/A</x:v>
      </x:c>
      <x:c r="Q815" s="9"/>
      <x:c r="R815" s="9"/>
      <x:c r="S815" s="9"/>
      <x:c r="T815" s="9"/>
    </x:row>
    <x:row r="816" ht="14.25" customHeight="1">
      <x:c r="A816" s="1">
        <x:v>813.0</x:v>
      </x:c>
      <x:c r="B816" s="1">
        <x:v>15.0</x:v>
      </x:c>
      <x:c r="C816" s="1" t="s">
        <x:v>1848</x:v>
      </x:c>
      <x:c r="D816" s="1" t="s">
        <x:v>507</x:v>
      </x:c>
      <x:c r="E816" s="1" t="s">
        <x:v>1849</x:v>
      </x:c>
      <x:c r="F816" s="1">
        <x:v>14.0</x:v>
      </x:c>
      <x:c r="G816" s="1" t="s">
        <x:v>1067</x:v>
      </x:c>
      <x:c r="H816" s="1" t="s">
        <x:v>1067</x:v>
      </x:c>
      <x:c r="I816" s="1" t="s">
        <x:v>1060</x:v>
      </x:c>
      <x:c r="J816" s="1" t="s">
        <x:v>1067</x:v>
      </x:c>
      <x:c r="K816" s="1">
        <x:v>815.0</x:v>
      </x:c>
      <x:c r="L816" s="1" t="str">
        <x:f t="shared" si="1"/>
        <x:v>Anthony Smith</x:v>
      </x:c>
      <x:c r="M816" s="127" t="str">
        <x:f>IFERROR(VLOOKUP(E816,RISK!A:B,2,FALSE()),"")</x:f>
      </x:c>
      <x:c r="N816" s="118" t="str">
        <x:f t="shared" si="2"/>
        <x:v>#N/A</x:v>
      </x:c>
      <x:c r="Q816" s="9"/>
      <x:c r="R816" s="9"/>
      <x:c r="S816" s="9"/>
      <x:c r="T816" s="9"/>
    </x:row>
    <x:row r="817" ht="14.25" customHeight="1">
      <x:c r="A817" s="1">
        <x:v>814.0</x:v>
      </x:c>
      <x:c r="B817" s="1">
        <x:v>15.0</x:v>
      </x:c>
      <x:c r="C817" s="1" t="s">
        <x:v>1850</x:v>
      </x:c>
      <x:c r="D817" s="1" t="s">
        <x:v>517</x:v>
      </x:c>
      <x:c r="E817" s="1" t="s">
        <x:v>1851</x:v>
      </x:c>
      <x:c r="F817" s="1">
        <x:v>11.0</x:v>
      </x:c>
      <x:c r="G817" s="1" t="s">
        <x:v>1067</x:v>
      </x:c>
      <x:c r="H817" s="1" t="s">
        <x:v>1067</x:v>
      </x:c>
      <x:c r="I817" s="1" t="s">
        <x:v>1063</x:v>
      </x:c>
      <x:c r="J817" s="1" t="s">
        <x:v>1067</x:v>
      </x:c>
      <x:c r="K817" s="1">
        <x:v>816.0</x:v>
      </x:c>
      <x:c r="L817" s="1" t="str">
        <x:f t="shared" si="1"/>
        <x:v>Brennan Presley</x:v>
      </x:c>
      <x:c r="M817" s="127" t="str">
        <x:f>IFERROR(VLOOKUP(E817,RISK!A:B,2,FALSE()),"")</x:f>
      </x:c>
      <x:c r="N817" s="118" t="str">
        <x:f t="shared" si="2"/>
        <x:v>#N/A</x:v>
      </x:c>
      <x:c r="Q817" s="9"/>
      <x:c r="R817" s="9"/>
      <x:c r="S817" s="9"/>
      <x:c r="T817" s="9"/>
    </x:row>
    <x:row r="818" ht="14.25" customHeight="1">
      <x:c r="A818" s="1">
        <x:v>815.0</x:v>
      </x:c>
      <x:c r="B818" s="1">
        <x:v>15.0</x:v>
      </x:c>
      <x:c r="C818" s="1" t="s">
        <x:v>1852</x:v>
      </x:c>
      <x:c r="D818" s="1" t="s">
        <x:v>531</x:v>
      </x:c>
      <x:c r="E818" s="1" t="s">
        <x:v>1853</x:v>
      </x:c>
      <x:c r="F818" s="1">
        <x:v>11.0</x:v>
      </x:c>
      <x:c r="G818" s="1" t="s">
        <x:v>1067</x:v>
      </x:c>
      <x:c r="H818" s="1" t="s">
        <x:v>1067</x:v>
      </x:c>
      <x:c r="I818" s="1" t="s">
        <x:v>1059</x:v>
      </x:c>
      <x:c r="J818" s="1" t="s">
        <x:v>1067</x:v>
      </x:c>
      <x:c r="K818" s="1">
        <x:v>817.0</x:v>
      </x:c>
      <x:c r="L818" s="1" t="str">
        <x:f t="shared" si="1"/>
        <x:v>Kaden Prather</x:v>
      </x:c>
      <x:c r="M818" s="127" t="str">
        <x:f>IFERROR(VLOOKUP(E818,RISK!A:B,2,FALSE()),"")</x:f>
      </x:c>
      <x:c r="N818" s="118" t="str">
        <x:f t="shared" si="2"/>
        <x:v>#N/A</x:v>
      </x:c>
      <x:c r="Q818" s="9"/>
      <x:c r="R818" s="9"/>
      <x:c r="S818" s="9"/>
      <x:c r="T818" s="9"/>
    </x:row>
    <x:row r="819" ht="14.25" customHeight="1">
      <x:c r="A819" s="1">
        <x:v>816.0</x:v>
      </x:c>
      <x:c r="B819" s="1">
        <x:v>15.0</x:v>
      </x:c>
      <x:c r="C819" s="1" t="s">
        <x:v>1854</x:v>
      </x:c>
      <x:c r="D819" s="1" t="s">
        <x:v>509</x:v>
      </x:c>
      <x:c r="E819" s="1" t="s">
        <x:v>1855</x:v>
      </x:c>
      <x:c r="F819" s="1">
        <x:v>5.0</x:v>
      </x:c>
      <x:c r="G819" s="1" t="s">
        <x:v>1067</x:v>
      </x:c>
      <x:c r="H819" s="1" t="s">
        <x:v>1067</x:v>
      </x:c>
      <x:c r="I819" s="1" t="s">
        <x:v>1060</x:v>
      </x:c>
      <x:c r="J819" s="1" t="s">
        <x:v>1067</x:v>
      </x:c>
      <x:c r="K819" s="1">
        <x:v>818.0</x:v>
      </x:c>
      <x:c r="L819" s="1" t="str">
        <x:f t="shared" si="1"/>
        <x:v>Omari Evans</x:v>
      </x:c>
      <x:c r="M819" s="127" t="str">
        <x:f>IFERROR(VLOOKUP(E819,RISK!A:B,2,FALSE()),"")</x:f>
      </x:c>
      <x:c r="N819" s="118" t="str">
        <x:f t="shared" si="2"/>
        <x:v>#N/A</x:v>
      </x:c>
      <x:c r="Q819" s="9"/>
      <x:c r="R819" s="9"/>
      <x:c r="S819" s="9"/>
      <x:c r="T819" s="9"/>
    </x:row>
    <x:row r="820" ht="14.25" customHeight="1">
      <x:c r="A820" s="1">
        <x:v>817.0</x:v>
      </x:c>
      <x:c r="B820" s="1">
        <x:v>15.0</x:v>
      </x:c>
      <x:c r="C820" s="1" t="s">
        <x:v>1856</x:v>
      </x:c>
      <x:c r="D820" s="1" t="s">
        <x:v>517</x:v>
      </x:c>
      <x:c r="E820" s="1" t="s">
        <x:v>1857</x:v>
      </x:c>
      <x:c r="F820" s="1">
        <x:v>11.0</x:v>
      </x:c>
      <x:c r="G820" s="1" t="s">
        <x:v>1067</x:v>
      </x:c>
      <x:c r="H820" s="1" t="s">
        <x:v>1067</x:v>
      </x:c>
      <x:c r="I820" s="1" t="s">
        <x:v>1063</x:v>
      </x:c>
      <x:c r="J820" s="1" t="s">
        <x:v>1067</x:v>
      </x:c>
      <x:c r="K820" s="1">
        <x:v>819.0</x:v>
      </x:c>
      <x:c r="L820" s="1" t="str">
        <x:f t="shared" si="1"/>
        <x:v>Tru Edwards</x:v>
      </x:c>
      <x:c r="M820" s="9"/>
      <x:c r="N820" s="118" t="str">
        <x:f t="shared" si="2"/>
        <x:v>#N/A</x:v>
      </x:c>
      <x:c r="Q820" s="9"/>
      <x:c r="R820" s="9"/>
      <x:c r="S820" s="9"/>
      <x:c r="T820" s="9"/>
    </x:row>
    <x:row r="821" ht="14.25" customHeight="1">
      <x:c r="A821" s="1">
        <x:v>818.0</x:v>
      </x:c>
      <x:c r="B821" s="1">
        <x:v>15.0</x:v>
      </x:c>
      <x:c r="C821" s="1" t="s">
        <x:v>1858</x:v>
      </x:c>
      <x:c r="D821" s="1" t="s">
        <x:v>511</x:v>
      </x:c>
      <x:c r="E821" s="1" t="s">
        <x:v>1859</x:v>
      </x:c>
      <x:c r="F821" s="1">
        <x:v>10.0</x:v>
      </x:c>
      <x:c r="G821" s="1" t="s">
        <x:v>1067</x:v>
      </x:c>
      <x:c r="H821" s="1" t="s">
        <x:v>1067</x:v>
      </x:c>
      <x:c r="I821" s="1" t="s">
        <x:v>1064</x:v>
      </x:c>
      <x:c r="J821" s="1" t="s">
        <x:v>1067</x:v>
      </x:c>
      <x:c r="K821" s="1">
        <x:v>820.0</x:v>
      </x:c>
      <x:c r="L821" s="1" t="str">
        <x:f t="shared" si="1"/>
        <x:v>JP Richardson</x:v>
      </x:c>
      <x:c r="M821" s="9"/>
      <x:c r="N821" s="118" t="str">
        <x:f t="shared" si="2"/>
        <x:v>#N/A</x:v>
      </x:c>
      <x:c r="Q821" s="9"/>
      <x:c r="R821" s="9"/>
      <x:c r="S821" s="9"/>
      <x:c r="T821" s="9"/>
    </x:row>
    <x:row r="822" ht="14.25" customHeight="1">
      <x:c r="A822" s="1">
        <x:v>819.0</x:v>
      </x:c>
      <x:c r="B822" s="1">
        <x:v>15.0</x:v>
      </x:c>
      <x:c r="C822" s="1" t="s">
        <x:v>1860</x:v>
      </x:c>
      <x:c r="D822" s="1" t="s">
        <x:v>509</x:v>
      </x:c>
      <x:c r="E822" s="1" t="s">
        <x:v>1861</x:v>
      </x:c>
      <x:c r="F822" s="1">
        <x:v>5.0</x:v>
      </x:c>
      <x:c r="G822" s="1" t="s">
        <x:v>1067</x:v>
      </x:c>
      <x:c r="H822" s="1" t="s">
        <x:v>1067</x:v>
      </x:c>
      <x:c r="I822" s="1" t="s">
        <x:v>1060</x:v>
      </x:c>
      <x:c r="J822" s="1" t="s">
        <x:v>1067</x:v>
      </x:c>
      <x:c r="K822" s="1">
        <x:v>821.0</x:v>
      </x:c>
      <x:c r="L822" s="1" t="str">
        <x:f t="shared" si="1"/>
        <x:v>Xavier Loyd</x:v>
      </x:c>
      <x:c r="M822" s="9"/>
      <x:c r="N822" s="118" t="str">
        <x:f t="shared" si="2"/>
        <x:v>#N/A</x:v>
      </x:c>
      <x:c r="Q822" s="9"/>
      <x:c r="R822" s="9"/>
      <x:c r="S822" s="9"/>
      <x:c r="T822" s="9"/>
    </x:row>
    <x:row r="823" ht="14.25" customHeight="1">
      <x:c r="A823" s="1">
        <x:v>820.0</x:v>
      </x:c>
      <x:c r="B823" s="1">
        <x:v>15.0</x:v>
      </x:c>
      <x:c r="C823" s="1" t="s">
        <x:v>895</x:v>
      </x:c>
      <x:c r="D823" s="1" t="s">
        <x:v>535</x:v>
      </x:c>
      <x:c r="E823" s="1" t="s">
        <x:v>1862</x:v>
      </x:c>
      <x:c r="F823" s="1">
        <x:v>8.0</x:v>
      </x:c>
      <x:c r="G823" s="1" t="s">
        <x:v>1067</x:v>
      </x:c>
      <x:c r="H823" s="1" t="s">
        <x:v>1067</x:v>
      </x:c>
      <x:c r="I823" s="1" t="s">
        <x:v>1064</x:v>
      </x:c>
      <x:c r="J823" s="1" t="s">
        <x:v>1067</x:v>
      </x:c>
      <x:c r="K823" s="1">
        <x:v>822.0</x:v>
      </x:c>
      <x:c r="L823" s="1" t="str">
        <x:f t="shared" si="1"/>
        <x:v>Lewis Bond</x:v>
      </x:c>
      <x:c r="M823" s="9"/>
      <x:c r="N823" s="118" t="str">
        <x:f t="shared" si="2"/>
        <x:v>#N/A</x:v>
      </x:c>
      <x:c r="Q823" s="9"/>
      <x:c r="R823" s="9"/>
      <x:c r="S823" s="9"/>
      <x:c r="T823" s="9"/>
    </x:row>
    <x:row r="824" ht="14.25" customHeight="1">
      <x:c r="A824" s="1">
        <x:v>821.0</x:v>
      </x:c>
      <x:c r="B824" s="1">
        <x:v>15.0</x:v>
      </x:c>
      <x:c r="C824" s="1" t="s">
        <x:v>1863</x:v>
      </x:c>
      <x:c r="D824" s="1" t="s">
        <x:v>501</x:v>
      </x:c>
      <x:c r="E824" s="1" t="s">
        <x:v>1864</x:v>
      </x:c>
      <x:c r="F824" s="1">
        <x:v>8.0</x:v>
      </x:c>
      <x:c r="G824" s="1" t="s">
        <x:v>1067</x:v>
      </x:c>
      <x:c r="H824" s="1" t="s">
        <x:v>1067</x:v>
      </x:c>
      <x:c r="I824" s="1" t="s">
        <x:v>1061</x:v>
      </x:c>
      <x:c r="J824" s="1" t="s">
        <x:v>1067</x:v>
      </x:c>
      <x:c r="K824" s="1">
        <x:v>823.0</x:v>
      </x:c>
      <x:c r="L824" s="1" t="str">
        <x:f t="shared" si="1"/>
        <x:v>Dalen Cambre</x:v>
      </x:c>
      <x:c r="M824" s="9"/>
      <x:c r="N824" s="118" t="str">
        <x:f t="shared" si="2"/>
        <x:v>#N/A</x:v>
      </x:c>
      <x:c r="Q824" s="9"/>
      <x:c r="R824" s="9"/>
      <x:c r="S824" s="9"/>
      <x:c r="T824" s="9"/>
    </x:row>
    <x:row r="825" ht="14.25" customHeight="1">
      <x:c r="A825" s="1">
        <x:v>822.0</x:v>
      </x:c>
      <x:c r="B825" s="1">
        <x:v>15.0</x:v>
      </x:c>
      <x:c r="C825" s="1" t="s">
        <x:v>1865</x:v>
      </x:c>
      <x:c r="D825" s="1" t="s">
        <x:v>513</x:v>
      </x:c>
      <x:c r="E825" s="1" t="s">
        <x:v>1866</x:v>
      </x:c>
      <x:c r="F825" s="1">
        <x:v>7.0</x:v>
      </x:c>
      <x:c r="G825" s="1" t="s">
        <x:v>1067</x:v>
      </x:c>
      <x:c r="H825" s="1" t="s">
        <x:v>1067</x:v>
      </x:c>
      <x:c r="I825" s="1" t="s">
        <x:v>1060</x:v>
      </x:c>
      <x:c r="J825" s="1" t="s">
        <x:v>1067</x:v>
      </x:c>
      <x:c r="K825" s="1">
        <x:v>824.0</x:v>
      </x:c>
      <x:c r="L825" s="1" t="str">
        <x:f t="shared" si="1"/>
        <x:v>Devonte Ross</x:v>
      </x:c>
      <x:c r="M825" s="9"/>
      <x:c r="N825" s="118" t="str">
        <x:f t="shared" si="2"/>
        <x:v>#N/A</x:v>
      </x:c>
      <x:c r="Q825" s="9"/>
      <x:c r="R825" s="9"/>
      <x:c r="S825" s="9"/>
      <x:c r="T825" s="9"/>
    </x:row>
    <x:row r="826" ht="14.25" customHeight="1">
      <x:c r="A826" s="1">
        <x:v>823.0</x:v>
      </x:c>
      <x:c r="B826" s="1">
        <x:v>15.0</x:v>
      </x:c>
      <x:c r="C826" s="1" t="s">
        <x:v>1867</x:v>
      </x:c>
      <x:c r="D826" s="1" t="s">
        <x:v>495</x:v>
      </x:c>
      <x:c r="E826" s="1" t="s">
        <x:v>1868</x:v>
      </x:c>
      <x:c r="F826" s="1">
        <x:v>7.0</x:v>
      </x:c>
      <x:c r="G826" s="1" t="s">
        <x:v>1067</x:v>
      </x:c>
      <x:c r="H826" s="1" t="s">
        <x:v>1067</x:v>
      </x:c>
      <x:c r="I826" s="1" t="s">
        <x:v>1060</x:v>
      </x:c>
      <x:c r="J826" s="1" t="s">
        <x:v>1067</x:v>
      </x:c>
      <x:c r="M826" s="9"/>
      <x:c r="N826" s="118" t="str">
        <x:f t="shared" si="2"/>
        <x:v>#N/A</x:v>
      </x:c>
      <x:c r="Q826" s="9"/>
      <x:c r="R826" s="9"/>
      <x:c r="S826" s="9"/>
      <x:c r="T826" s="9"/>
    </x:row>
    <x:row r="827" ht="14.25" customHeight="1">
      <x:c r="A827" s="1">
        <x:v>824.0</x:v>
      </x:c>
      <x:c r="B827" s="1">
        <x:v>15.0</x:v>
      </x:c>
      <x:c r="C827" s="1" t="s">
        <x:v>1869</x:v>
      </x:c>
      <x:c r="D827" s="1" t="s">
        <x:v>499</x:v>
      </x:c>
      <x:c r="E827" s="1" t="s">
        <x:v>1870</x:v>
      </x:c>
      <x:c r="F827" s="1">
        <x:v>6.0</x:v>
      </x:c>
      <x:c r="G827" s="1" t="s">
        <x:v>1067</x:v>
      </x:c>
      <x:c r="H827" s="1" t="s">
        <x:v>1067</x:v>
      </x:c>
      <x:c r="I827" s="1" t="s">
        <x:v>1061</x:v>
      </x:c>
      <x:c r="J827" s="1" t="s">
        <x:v>1067</x:v>
      </x:c>
      <x:c r="M827" s="9"/>
      <x:c r="N827" s="118" t="str">
        <x:f t="shared" si="2"/>
        <x:v>#N/A</x:v>
      </x:c>
      <x:c r="Q827" s="9"/>
      <x:c r="R827" s="9"/>
      <x:c r="S827" s="9"/>
      <x:c r="T827" s="9"/>
    </x:row>
    <x:row r="828" ht="14.25" customHeight="1">
      <x:c r="A828" s="1">
        <x:v>825.0</x:v>
      </x:c>
      <x:c r="B828" s="1">
        <x:v>15.0</x:v>
      </x:c>
      <x:c r="C828" s="1" t="s">
        <x:v>1871</x:v>
      </x:c>
      <x:c r="D828" s="1" t="s">
        <x:v>531</x:v>
      </x:c>
      <x:c r="E828" s="1" t="s">
        <x:v>1872</x:v>
      </x:c>
      <x:c r="F828" s="1">
        <x:v>11.0</x:v>
      </x:c>
      <x:c r="G828" s="1" t="s">
        <x:v>1067</x:v>
      </x:c>
      <x:c r="H828" s="1" t="s">
        <x:v>1067</x:v>
      </x:c>
      <x:c r="I828" s="1" t="s">
        <x:v>1059</x:v>
      </x:c>
      <x:c r="J828" s="1" t="s">
        <x:v>1067</x:v>
      </x:c>
      <x:c r="M828" s="9"/>
      <x:c r="N828" s="118" t="str">
        <x:f t="shared" si="2"/>
        <x:v>#N/A</x:v>
      </x:c>
      <x:c r="Q828" s="9"/>
      <x:c r="R828" s="9"/>
      <x:c r="S828" s="9"/>
      <x:c r="T828" s="9"/>
    </x:row>
    <x:row r="829" ht="14.25" customHeight="1">
      <x:c r="A829" s="1">
        <x:v>826.0</x:v>
      </x:c>
      <x:c r="B829" s="1">
        <x:v>15.0</x:v>
      </x:c>
      <x:c r="C829" s="1" t="s">
        <x:v>1873</x:v>
      </x:c>
      <x:c r="D829" s="1" t="s">
        <x:v>545</x:v>
      </x:c>
      <x:c r="E829" s="1" t="s">
        <x:v>1874</x:v>
      </x:c>
      <x:c r="F829" s="1">
        <x:v>9.0</x:v>
      </x:c>
      <x:c r="G829" s="1" t="s">
        <x:v>1067</x:v>
      </x:c>
      <x:c r="H829" s="1" t="s">
        <x:v>1067</x:v>
      </x:c>
      <x:c r="I829" s="1" t="s">
        <x:v>1064</x:v>
      </x:c>
      <x:c r="J829" s="1" t="s">
        <x:v>1067</x:v>
      </x:c>
      <x:c r="M829" s="9"/>
      <x:c r="N829" s="118" t="str">
        <x:f t="shared" si="2"/>
        <x:v>#N/A</x:v>
      </x:c>
      <x:c r="Q829" s="9"/>
      <x:c r="R829" s="9"/>
      <x:c r="S829" s="9"/>
      <x:c r="T829" s="9"/>
    </x:row>
    <x:row r="830" ht="14.25" customHeight="1">
      <x:c r="A830" s="1">
        <x:v>827.0</x:v>
      </x:c>
      <x:c r="B830" s="1">
        <x:v>16.0</x:v>
      </x:c>
      <x:c r="C830" s="1" t="s">
        <x:v>1875</x:v>
      </x:c>
      <x:c r="D830" s="1" t="s">
        <x:v>513</x:v>
      </x:c>
      <x:c r="E830" s="1" t="s">
        <x:v>1876</x:v>
      </x:c>
      <x:c r="F830" s="1">
        <x:v>7.0</x:v>
      </x:c>
      <x:c r="G830" s="1" t="s">
        <x:v>1067</x:v>
      </x:c>
      <x:c r="H830" s="1" t="s">
        <x:v>1067</x:v>
      </x:c>
      <x:c r="I830" s="1" t="s">
        <x:v>1060</x:v>
      </x:c>
      <x:c r="J830" s="1" t="s">
        <x:v>1067</x:v>
      </x:c>
      <x:c r="M830" s="9"/>
      <x:c r="N830" s="118" t="str">
        <x:f t="shared" si="2"/>
        <x:v>#N/A</x:v>
      </x:c>
      <x:c r="Q830" s="9"/>
      <x:c r="R830" s="9"/>
      <x:c r="S830" s="9"/>
      <x:c r="T830" s="9"/>
    </x:row>
    <x:row r="831" ht="14.25" customHeight="1">
      <x:c r="A831" s="1">
        <x:v>828.0</x:v>
      </x:c>
      <x:c r="B831" s="1">
        <x:v>16.0</x:v>
      </x:c>
      <x:c r="C831" s="1" t="s">
        <x:v>1877</x:v>
      </x:c>
      <x:c r="D831" s="1" t="s">
        <x:v>539</x:v>
      </x:c>
      <x:c r="E831" s="1" t="s">
        <x:v>1878</x:v>
      </x:c>
      <x:c r="F831" s="1">
        <x:v>13.0</x:v>
      </x:c>
      <x:c r="G831" s="1" t="s">
        <x:v>1067</x:v>
      </x:c>
      <x:c r="H831" s="1" t="s">
        <x:v>1067</x:v>
      </x:c>
      <x:c r="I831" s="1" t="s">
        <x:v>1061</x:v>
      </x:c>
      <x:c r="J831" s="1" t="s">
        <x:v>1067</x:v>
      </x:c>
      <x:c r="M831" s="9"/>
      <x:c r="N831" s="118" t="str">
        <x:f t="shared" si="2"/>
        <x:v>#N/A</x:v>
      </x:c>
      <x:c r="Q831" s="9"/>
      <x:c r="R831" s="9"/>
      <x:c r="S831" s="9"/>
      <x:c r="T831" s="9"/>
    </x:row>
    <x:row r="832" ht="14.25" customHeight="1">
      <x:c r="A832" s="1">
        <x:v>829.0</x:v>
      </x:c>
      <x:c r="B832" s="1">
        <x:v>16.0</x:v>
      </x:c>
      <x:c r="C832" s="1" t="s">
        <x:v>1879</x:v>
      </x:c>
      <x:c r="D832" s="1" t="s">
        <x:v>495</x:v>
      </x:c>
      <x:c r="E832" s="1" t="s">
        <x:v>1880</x:v>
      </x:c>
      <x:c r="F832" s="1">
        <x:v>7.0</x:v>
      </x:c>
      <x:c r="G832" s="1" t="s">
        <x:v>1067</x:v>
      </x:c>
      <x:c r="H832" s="1" t="s">
        <x:v>1067</x:v>
      </x:c>
      <x:c r="I832" s="1" t="s">
        <x:v>1060</x:v>
      </x:c>
      <x:c r="J832" s="1" t="s">
        <x:v>1067</x:v>
      </x:c>
      <x:c r="M832" s="9"/>
      <x:c r="N832" s="118" t="str">
        <x:f t="shared" si="2"/>
        <x:v>#N/A</x:v>
      </x:c>
      <x:c r="Q832" s="9"/>
      <x:c r="R832" s="9"/>
      <x:c r="S832" s="9"/>
      <x:c r="T832" s="9"/>
    </x:row>
    <x:row r="833" ht="14.25" customHeight="1">
      <x:c r="A833" s="1">
        <x:v>830.0</x:v>
      </x:c>
      <x:c r="B833" s="1">
        <x:v>16.0</x:v>
      </x:c>
      <x:c r="C833" s="1" t="s">
        <x:v>1881</x:v>
      </x:c>
      <x:c r="D833" s="1" t="s">
        <x:v>499</x:v>
      </x:c>
      <x:c r="E833" s="1" t="s">
        <x:v>1882</x:v>
      </x:c>
      <x:c r="F833" s="1">
        <x:v>6.0</x:v>
      </x:c>
      <x:c r="G833" s="1" t="s">
        <x:v>1067</x:v>
      </x:c>
      <x:c r="H833" s="1" t="s">
        <x:v>1067</x:v>
      </x:c>
      <x:c r="I833" s="1" t="s">
        <x:v>1061</x:v>
      </x:c>
      <x:c r="J833" s="1" t="s">
        <x:v>1067</x:v>
      </x:c>
      <x:c r="M833" s="9"/>
      <x:c r="N833" s="118" t="str">
        <x:f t="shared" si="2"/>
        <x:v>#N/A</x:v>
      </x:c>
      <x:c r="Q833" s="9"/>
      <x:c r="R833" s="9"/>
      <x:c r="S833" s="9"/>
      <x:c r="T833" s="9"/>
    </x:row>
    <x:row r="834" ht="14.25" customHeight="1">
      <x:c r="A834" s="1">
        <x:v>831.0</x:v>
      </x:c>
      <x:c r="B834" s="1">
        <x:v>16.0</x:v>
      </x:c>
      <x:c r="C834" s="1" t="s">
        <x:v>1883</x:v>
      </x:c>
      <x:c r="D834" s="1" t="s">
        <x:v>541</x:v>
      </x:c>
      <x:c r="E834" s="1" t="s">
        <x:v>1884</x:v>
      </x:c>
      <x:c r="F834" s="1">
        <x:v>9.0</x:v>
      </x:c>
      <x:c r="G834" s="1" t="s">
        <x:v>1067</x:v>
      </x:c>
      <x:c r="H834" s="1" t="s">
        <x:v>1067</x:v>
      </x:c>
      <x:c r="I834" s="1" t="s">
        <x:v>1064</x:v>
      </x:c>
      <x:c r="J834" s="1" t="s">
        <x:v>1067</x:v>
      </x:c>
      <x:c r="M834" s="9"/>
      <x:c r="N834" s="118" t="str">
        <x:f t="shared" si="2"/>
        <x:v>#N/A</x:v>
      </x:c>
      <x:c r="Q834" s="9"/>
      <x:c r="R834" s="9"/>
      <x:c r="S834" s="9"/>
      <x:c r="T834" s="9"/>
    </x:row>
    <x:row r="835" ht="14.25" customHeight="1">
      <x:c r="A835" s="1">
        <x:v>832.0</x:v>
      </x:c>
      <x:c r="B835" s="1">
        <x:v>16.0</x:v>
      </x:c>
      <x:c r="C835" s="1" t="s">
        <x:v>1885</x:v>
      </x:c>
      <x:c r="D835" s="1" t="s">
        <x:v>533</x:v>
      </x:c>
      <x:c r="E835" s="1" t="s">
        <x:v>1886</x:v>
      </x:c>
      <x:c r="F835" s="1">
        <x:v>11.0</x:v>
      </x:c>
      <x:c r="G835" s="1" t="s">
        <x:v>1067</x:v>
      </x:c>
      <x:c r="H835" s="1" t="s">
        <x:v>1067</x:v>
      </x:c>
      <x:c r="I835" s="1" t="s">
        <x:v>1064</x:v>
      </x:c>
      <x:c r="J835" s="1" t="s">
        <x:v>1067</x:v>
      </x:c>
      <x:c r="M835" s="9"/>
      <x:c r="N835" s="118" t="str">
        <x:f t="shared" si="2"/>
        <x:v>#N/A</x:v>
      </x:c>
      <x:c r="Q835" s="9"/>
      <x:c r="R835" s="9"/>
      <x:c r="S835" s="9"/>
      <x:c r="T835" s="9"/>
    </x:row>
    <x:row r="836" ht="14.25" customHeight="1">
      <x:c r="A836" s="1">
        <x:v>833.0</x:v>
      </x:c>
      <x:c r="B836" s="1">
        <x:v>16.0</x:v>
      </x:c>
      <x:c r="C836" s="1" t="s">
        <x:v>1887</x:v>
      </x:c>
      <x:c r="D836" s="1" t="s">
        <x:v>547</x:v>
      </x:c>
      <x:c r="E836" s="1" t="s">
        <x:v>1888</x:v>
      </x:c>
      <x:c r="F836" s="1">
        <x:v>13.0</x:v>
      </x:c>
      <x:c r="G836" s="1" t="s">
        <x:v>1067</x:v>
      </x:c>
      <x:c r="H836" s="1" t="s">
        <x:v>1067</x:v>
      </x:c>
      <x:c r="I836" s="1" t="s">
        <x:v>1060</x:v>
      </x:c>
      <x:c r="J836" s="1" t="s">
        <x:v>1067</x:v>
      </x:c>
      <x:c r="M836" s="9"/>
      <x:c r="N836" s="118" t="str">
        <x:f t="shared" si="2"/>
        <x:v>#N/A</x:v>
      </x:c>
      <x:c r="Q836" s="9"/>
      <x:c r="R836" s="9"/>
      <x:c r="S836" s="9"/>
      <x:c r="T836" s="9"/>
    </x:row>
    <x:row r="837" ht="14.25" customHeight="1">
      <x:c r="A837" s="1">
        <x:v>834.0</x:v>
      </x:c>
      <x:c r="B837" s="1">
        <x:v>16.0</x:v>
      </x:c>
      <x:c r="C837" s="1" t="s">
        <x:v>1889</x:v>
      </x:c>
      <x:c r="D837" s="1" t="s">
        <x:v>535</x:v>
      </x:c>
      <x:c r="E837" s="1" t="s">
        <x:v>1890</x:v>
      </x:c>
      <x:c r="F837" s="1">
        <x:v>8.0</x:v>
      </x:c>
      <x:c r="G837" s="1" t="s">
        <x:v>1067</x:v>
      </x:c>
      <x:c r="H837" s="1" t="s">
        <x:v>1067</x:v>
      </x:c>
      <x:c r="I837" s="1" t="s">
        <x:v>1064</x:v>
      </x:c>
      <x:c r="J837" s="1" t="s">
        <x:v>1067</x:v>
      </x:c>
      <x:c r="M837" s="9"/>
      <x:c r="N837" s="118" t="str">
        <x:f t="shared" si="2"/>
        <x:v>#N/A</x:v>
      </x:c>
      <x:c r="Q837" s="9"/>
      <x:c r="R837" s="9"/>
      <x:c r="S837" s="9"/>
      <x:c r="T837" s="9"/>
    </x:row>
    <x:row r="838" ht="14.25" customHeight="1">
      <x:c r="A838" s="1">
        <x:v>835.0</x:v>
      </x:c>
      <x:c r="B838" s="1">
        <x:v>16.0</x:v>
      </x:c>
      <x:c r="C838" s="1" t="s">
        <x:v>1891</x:v>
      </x:c>
      <x:c r="D838" s="1" t="s">
        <x:v>547</x:v>
      </x:c>
      <x:c r="E838" s="1" t="s">
        <x:v>1892</x:v>
      </x:c>
      <x:c r="F838" s="1">
        <x:v>13.0</x:v>
      </x:c>
      <x:c r="G838" s="1" t="s">
        <x:v>1067</x:v>
      </x:c>
      <x:c r="H838" s="1" t="s">
        <x:v>1067</x:v>
      </x:c>
      <x:c r="I838" s="1" t="s">
        <x:v>1060</x:v>
      </x:c>
      <x:c r="J838" s="1" t="s">
        <x:v>1067</x:v>
      </x:c>
      <x:c r="M838" s="9"/>
      <x:c r="N838" s="118" t="str">
        <x:f t="shared" si="2"/>
        <x:v>#N/A</x:v>
      </x:c>
      <x:c r="Q838" s="9"/>
      <x:c r="R838" s="9"/>
      <x:c r="S838" s="9"/>
      <x:c r="T838" s="9"/>
    </x:row>
    <x:row r="839" ht="14.25" customHeight="1">
      <x:c r="A839" s="1">
        <x:v>836.0</x:v>
      </x:c>
      <x:c r="B839" s="1">
        <x:v>16.0</x:v>
      </x:c>
      <x:c r="C839" s="1" t="s">
        <x:v>1893</x:v>
      </x:c>
      <x:c r="D839" s="1" t="s">
        <x:v>551</x:v>
      </x:c>
      <x:c r="E839" s="1" t="s">
        <x:v>1894</x:v>
      </x:c>
      <x:c r="F839" s="1">
        <x:v>11.0</x:v>
      </x:c>
      <x:c r="G839" s="1" t="s">
        <x:v>1067</x:v>
      </x:c>
      <x:c r="H839" s="1" t="s">
        <x:v>1067</x:v>
      </x:c>
      <x:c r="I839" s="1" t="s">
        <x:v>1064</x:v>
      </x:c>
      <x:c r="J839" s="1" t="s">
        <x:v>1067</x:v>
      </x:c>
      <x:c r="M839" s="9"/>
      <x:c r="N839" s="118" t="str">
        <x:f t="shared" si="2"/>
        <x:v>#N/A</x:v>
      </x:c>
      <x:c r="Q839" s="9"/>
      <x:c r="R839" s="9"/>
      <x:c r="S839" s="9"/>
      <x:c r="T839" s="9"/>
    </x:row>
    <x:row r="840" ht="14.25" customHeight="1">
      <x:c r="A840" s="1">
        <x:v>837.0</x:v>
      </x:c>
      <x:c r="B840" s="1">
        <x:v>16.0</x:v>
      </x:c>
      <x:c r="C840" s="1" t="s">
        <x:v>1895</x:v>
      </x:c>
      <x:c r="D840" s="1" t="s">
        <x:v>529</x:v>
      </x:c>
      <x:c r="E840" s="1" t="s">
        <x:v>1896</x:v>
      </x:c>
      <x:c r="F840" s="1">
        <x:v>6.0</x:v>
      </x:c>
      <x:c r="G840" s="1" t="s">
        <x:v>1067</x:v>
      </x:c>
      <x:c r="H840" s="1" t="s">
        <x:v>1067</x:v>
      </x:c>
      <x:c r="I840" s="1" t="s">
        <x:v>1064</x:v>
      </x:c>
      <x:c r="J840" s="1" t="s">
        <x:v>1067</x:v>
      </x:c>
      <x:c r="M840" s="9"/>
      <x:c r="N840" s="118" t="str">
        <x:f t="shared" si="2"/>
        <x:v>#N/A</x:v>
      </x:c>
      <x:c r="Q840" s="9"/>
      <x:c r="R840" s="9"/>
      <x:c r="S840" s="9"/>
      <x:c r="T840" s="9"/>
    </x:row>
    <x:row r="841" ht="14.25" customHeight="1">
      <x:c r="A841" s="1">
        <x:v>838.0</x:v>
      </x:c>
      <x:c r="B841" s="1">
        <x:v>16.0</x:v>
      </x:c>
      <x:c r="C841" s="1" t="s">
        <x:v>1897</x:v>
      </x:c>
      <x:c r="D841" s="1" t="s">
        <x:v>539</x:v>
      </x:c>
      <x:c r="E841" s="1" t="s">
        <x:v>1898</x:v>
      </x:c>
      <x:c r="F841" s="1">
        <x:v>13.0</x:v>
      </x:c>
      <x:c r="G841" s="1" t="s">
        <x:v>1067</x:v>
      </x:c>
      <x:c r="H841" s="1" t="s">
        <x:v>1067</x:v>
      </x:c>
      <x:c r="I841" s="1" t="s">
        <x:v>1061</x:v>
      </x:c>
      <x:c r="J841" s="1" t="s">
        <x:v>1067</x:v>
      </x:c>
      <x:c r="M841" s="9"/>
      <x:c r="N841" s="118" t="str">
        <x:f t="shared" si="2"/>
        <x:v>#N/A</x:v>
      </x:c>
      <x:c r="Q841" s="9"/>
      <x:c r="R841" s="9"/>
      <x:c r="S841" s="9"/>
      <x:c r="T841" s="9"/>
    </x:row>
    <x:row r="842" ht="14.25" customHeight="1">
      <x:c r="A842" s="1">
        <x:v>839.0</x:v>
      </x:c>
      <x:c r="B842" s="1">
        <x:v>16.0</x:v>
      </x:c>
      <x:c r="C842" s="1" t="s">
        <x:v>1899</x:v>
      </x:c>
      <x:c r="D842" s="1" t="s">
        <x:v>539</x:v>
      </x:c>
      <x:c r="E842" s="1" t="s">
        <x:v>1900</x:v>
      </x:c>
      <x:c r="F842" s="1">
        <x:v>13.0</x:v>
      </x:c>
      <x:c r="G842" s="1" t="s">
        <x:v>1067</x:v>
      </x:c>
      <x:c r="H842" s="1" t="s">
        <x:v>1067</x:v>
      </x:c>
      <x:c r="I842" s="1" t="s">
        <x:v>1061</x:v>
      </x:c>
      <x:c r="J842" s="1" t="s">
        <x:v>1067</x:v>
      </x:c>
      <x:c r="M842" s="9"/>
      <x:c r="N842" s="118" t="str">
        <x:f t="shared" si="2"/>
        <x:v>#N/A</x:v>
      </x:c>
      <x:c r="Q842" s="9"/>
      <x:c r="R842" s="9"/>
      <x:c r="S842" s="9"/>
      <x:c r="T842" s="9"/>
    </x:row>
    <x:row r="843" ht="14.25" customHeight="1">
      <x:c r="A843" s="1">
        <x:v>840.0</x:v>
      </x:c>
      <x:c r="B843" s="1">
        <x:v>16.0</x:v>
      </x:c>
      <x:c r="C843" s="1" t="s">
        <x:v>1901</x:v>
      </x:c>
      <x:c r="D843" s="1" t="s">
        <x:v>525</x:v>
      </x:c>
      <x:c r="E843" s="1" t="s">
        <x:v>1902</x:v>
      </x:c>
      <x:c r="F843" s="1">
        <x:v>6.0</x:v>
      </x:c>
      <x:c r="G843" s="1" t="s">
        <x:v>1067</x:v>
      </x:c>
      <x:c r="H843" s="1" t="s">
        <x:v>1067</x:v>
      </x:c>
      <x:c r="I843" s="1" t="s">
        <x:v>1059</x:v>
      </x:c>
      <x:c r="J843" s="1" t="s">
        <x:v>1067</x:v>
      </x:c>
      <x:c r="M843" s="9"/>
      <x:c r="N843" s="118" t="str">
        <x:f t="shared" si="2"/>
        <x:v>#N/A</x:v>
      </x:c>
      <x:c r="Q843" s="9"/>
      <x:c r="R843" s="9"/>
      <x:c r="S843" s="9"/>
      <x:c r="T843" s="9"/>
    </x:row>
    <x:row r="844" ht="14.25" customHeight="1">
      <x:c r="A844" s="1">
        <x:v>841.0</x:v>
      </x:c>
      <x:c r="B844" s="1">
        <x:v>16.0</x:v>
      </x:c>
      <x:c r="C844" s="1" t="s">
        <x:v>1903</x:v>
      </x:c>
      <x:c r="D844" s="1" t="s">
        <x:v>523</x:v>
      </x:c>
      <x:c r="E844" s="1" t="s">
        <x:v>1904</x:v>
      </x:c>
      <x:c r="F844" s="1">
        <x:v>10.0</x:v>
      </x:c>
      <x:c r="G844" s="1" t="s">
        <x:v>1067</x:v>
      </x:c>
      <x:c r="H844" s="1" t="s">
        <x:v>1067</x:v>
      </x:c>
      <x:c r="I844" s="1" t="s">
        <x:v>1061</x:v>
      </x:c>
      <x:c r="J844" s="1" t="s">
        <x:v>1067</x:v>
      </x:c>
      <x:c r="M844" s="9"/>
      <x:c r="N844" s="118" t="str">
        <x:f t="shared" si="2"/>
        <x:v>#N/A</x:v>
      </x:c>
      <x:c r="Q844" s="9"/>
      <x:c r="R844" s="9"/>
      <x:c r="S844" s="9"/>
      <x:c r="T844" s="9"/>
    </x:row>
    <x:row r="845" ht="14.25" customHeight="1">
      <x:c r="A845" s="1">
        <x:v>842.0</x:v>
      </x:c>
      <x:c r="B845" s="1">
        <x:v>16.0</x:v>
      </x:c>
      <x:c r="C845" s="1" t="s">
        <x:v>1905</x:v>
      </x:c>
      <x:c r="D845" s="1" t="s">
        <x:v>539</x:v>
      </x:c>
      <x:c r="E845" s="1" t="s">
        <x:v>1906</x:v>
      </x:c>
      <x:c r="F845" s="1">
        <x:v>13.0</x:v>
      </x:c>
      <x:c r="G845" s="1" t="s">
        <x:v>1067</x:v>
      </x:c>
      <x:c r="H845" s="1" t="s">
        <x:v>1067</x:v>
      </x:c>
      <x:c r="I845" s="1" t="s">
        <x:v>1061</x:v>
      </x:c>
      <x:c r="J845" s="1" t="s">
        <x:v>1067</x:v>
      </x:c>
      <x:c r="M845" s="9"/>
      <x:c r="N845" s="118" t="str">
        <x:f t="shared" si="2"/>
        <x:v>#N/A</x:v>
      </x:c>
      <x:c r="Q845" s="9"/>
      <x:c r="R845" s="9"/>
      <x:c r="S845" s="9"/>
      <x:c r="T845" s="9"/>
    </x:row>
    <x:row r="846" ht="14.25" customHeight="1">
      <x:c r="A846" s="1">
        <x:v>843.0</x:v>
      </x:c>
      <x:c r="B846" s="1">
        <x:v>16.0</x:v>
      </x:c>
      <x:c r="C846" s="1" t="s">
        <x:v>1907</x:v>
      </x:c>
      <x:c r="D846" s="1" t="s">
        <x:v>1136</x:v>
      </x:c>
      <x:c r="E846" s="1" t="s">
        <x:v>1908</x:v>
      </x:c>
      <x:c r="F846" s="1" t="s">
        <x:v>1067</x:v>
      </x:c>
      <x:c r="G846" s="1" t="s">
        <x:v>1067</x:v>
      </x:c>
      <x:c r="H846" s="1" t="s">
        <x:v>1067</x:v>
      </x:c>
      <x:c r="I846" s="1" t="s">
        <x:v>1067</x:v>
      </x:c>
      <x:c r="J846" s="1" t="s">
        <x:v>1067</x:v>
      </x:c>
      <x:c r="M846" s="9"/>
      <x:c r="N846" s="118" t="str">
        <x:f t="shared" si="2"/>
        <x:v>#N/A</x:v>
      </x:c>
      <x:c r="Q846" s="9"/>
      <x:c r="R846" s="9"/>
      <x:c r="S846" s="9"/>
      <x:c r="T846" s="9"/>
    </x:row>
    <x:row r="847" ht="14.25" customHeight="1">
      <x:c r="A847" s="1">
        <x:v>844.0</x:v>
      </x:c>
      <x:c r="B847" s="1">
        <x:v>16.0</x:v>
      </x:c>
      <x:c r="C847" s="1" t="s">
        <x:v>1909</x:v>
      </x:c>
      <x:c r="D847" s="1" t="s">
        <x:v>525</x:v>
      </x:c>
      <x:c r="E847" s="1" t="s">
        <x:v>1910</x:v>
      </x:c>
      <x:c r="F847" s="1">
        <x:v>6.0</x:v>
      </x:c>
      <x:c r="G847" s="1" t="s">
        <x:v>1067</x:v>
      </x:c>
      <x:c r="H847" s="1" t="s">
        <x:v>1067</x:v>
      </x:c>
      <x:c r="I847" s="1" t="s">
        <x:v>1059</x:v>
      </x:c>
      <x:c r="J847" s="1" t="s">
        <x:v>1067</x:v>
      </x:c>
      <x:c r="M847" s="9"/>
      <x:c r="N847" s="118" t="str">
        <x:f t="shared" si="2"/>
        <x:v>#N/A</x:v>
      </x:c>
      <x:c r="Q847" s="9"/>
      <x:c r="R847" s="9"/>
      <x:c r="S847" s="9"/>
      <x:c r="T847" s="9"/>
    </x:row>
    <x:row r="848" ht="14.25" customHeight="1">
      <x:c r="A848" s="1">
        <x:v>845.0</x:v>
      </x:c>
      <x:c r="B848" s="1">
        <x:v>16.0</x:v>
      </x:c>
      <x:c r="C848" s="1" t="s">
        <x:v>1911</x:v>
      </x:c>
      <x:c r="D848" s="1" t="s">
        <x:v>515</x:v>
      </x:c>
      <x:c r="E848" s="1" t="s">
        <x:v>1912</x:v>
      </x:c>
      <x:c r="F848" s="1">
        <x:v>10.0</x:v>
      </x:c>
      <x:c r="G848" s="1" t="s">
        <x:v>1067</x:v>
      </x:c>
      <x:c r="H848" s="1" t="s">
        <x:v>1067</x:v>
      </x:c>
      <x:c r="I848" s="1" t="s">
        <x:v>1060</x:v>
      </x:c>
      <x:c r="J848" s="1" t="s">
        <x:v>1067</x:v>
      </x:c>
      <x:c r="M848" s="9"/>
      <x:c r="N848" s="118" t="str">
        <x:f t="shared" si="2"/>
        <x:v>#N/A</x:v>
      </x:c>
      <x:c r="Q848" s="9"/>
      <x:c r="R848" s="9"/>
      <x:c r="S848" s="9"/>
      <x:c r="T848" s="9"/>
    </x:row>
    <x:row r="849" ht="14.25" customHeight="1">
      <x:c r="A849" s="1">
        <x:v>846.0</x:v>
      </x:c>
      <x:c r="B849" s="1">
        <x:v>16.0</x:v>
      </x:c>
      <x:c r="C849" s="1" t="s">
        <x:v>1913</x:v>
      </x:c>
      <x:c r="D849" s="1" t="s">
        <x:v>529</x:v>
      </x:c>
      <x:c r="E849" s="1" t="s">
        <x:v>1914</x:v>
      </x:c>
      <x:c r="F849" s="1">
        <x:v>6.0</x:v>
      </x:c>
      <x:c r="G849" s="1" t="s">
        <x:v>1067</x:v>
      </x:c>
      <x:c r="H849" s="1" t="s">
        <x:v>1067</x:v>
      </x:c>
      <x:c r="I849" s="1" t="s">
        <x:v>1064</x:v>
      </x:c>
      <x:c r="J849" s="1" t="s">
        <x:v>1067</x:v>
      </x:c>
      <x:c r="M849" s="9"/>
      <x:c r="N849" s="118" t="str">
        <x:f t="shared" si="2"/>
        <x:v>#N/A</x:v>
      </x:c>
      <x:c r="Q849" s="9"/>
      <x:c r="R849" s="9"/>
      <x:c r="S849" s="9"/>
      <x:c r="T849" s="9"/>
    </x:row>
    <x:row r="850" ht="14.25" customHeight="1">
      <x:c r="A850" s="1">
        <x:v>847.0</x:v>
      </x:c>
      <x:c r="B850" s="1">
        <x:v>16.0</x:v>
      </x:c>
      <x:c r="C850" s="1" t="s">
        <x:v>1915</x:v>
      </x:c>
      <x:c r="D850" s="1" t="s">
        <x:v>507</x:v>
      </x:c>
      <x:c r="E850" s="1" t="s">
        <x:v>1916</x:v>
      </x:c>
      <x:c r="F850" s="1">
        <x:v>14.0</x:v>
      </x:c>
      <x:c r="G850" s="1" t="s">
        <x:v>1067</x:v>
      </x:c>
      <x:c r="H850" s="1" t="s">
        <x:v>1067</x:v>
      </x:c>
      <x:c r="I850" s="1" t="s">
        <x:v>1060</x:v>
      </x:c>
      <x:c r="J850" s="1" t="s">
        <x:v>1067</x:v>
      </x:c>
      <x:c r="M850" s="9"/>
      <x:c r="N850" s="118" t="str">
        <x:f t="shared" si="2"/>
        <x:v>#N/A</x:v>
      </x:c>
      <x:c r="Q850" s="9"/>
      <x:c r="R850" s="9"/>
      <x:c r="S850" s="9"/>
      <x:c r="T850" s="9"/>
    </x:row>
    <x:row r="851" ht="14.25" customHeight="1">
      <x:c r="A851" s="1">
        <x:v>848.0</x:v>
      </x:c>
      <x:c r="B851" s="1">
        <x:v>16.0</x:v>
      </x:c>
      <x:c r="C851" s="1" t="s">
        <x:v>1917</x:v>
      </x:c>
      <x:c r="D851" s="1" t="s">
        <x:v>497</x:v>
      </x:c>
      <x:c r="E851" s="1" t="s">
        <x:v>1918</x:v>
      </x:c>
      <x:c r="F851" s="1">
        <x:v>10.0</x:v>
      </x:c>
      <x:c r="G851" s="1" t="s">
        <x:v>1067</x:v>
      </x:c>
      <x:c r="H851" s="1" t="s">
        <x:v>1067</x:v>
      </x:c>
      <x:c r="I851" s="1" t="s">
        <x:v>1061</x:v>
      </x:c>
      <x:c r="J851" s="1" t="s">
        <x:v>1067</x:v>
      </x:c>
      <x:c r="M851" s="9"/>
      <x:c r="N851" s="118" t="str">
        <x:f t="shared" si="2"/>
        <x:v>#N/A</x:v>
      </x:c>
      <x:c r="Q851" s="9"/>
      <x:c r="R851" s="9"/>
      <x:c r="S851" s="9"/>
      <x:c r="T851" s="9"/>
    </x:row>
    <x:row r="852" ht="14.25" customHeight="1">
      <x:c r="A852" s="1">
        <x:v>849.0</x:v>
      </x:c>
      <x:c r="B852" s="1">
        <x:v>16.0</x:v>
      </x:c>
      <x:c r="C852" s="1" t="s">
        <x:v>1919</x:v>
      </x:c>
      <x:c r="D852" s="1" t="s">
        <x:v>497</x:v>
      </x:c>
      <x:c r="E852" s="1" t="s">
        <x:v>1920</x:v>
      </x:c>
      <x:c r="F852" s="1">
        <x:v>10.0</x:v>
      </x:c>
      <x:c r="G852" s="1" t="s">
        <x:v>1067</x:v>
      </x:c>
      <x:c r="H852" s="1" t="s">
        <x:v>1067</x:v>
      </x:c>
      <x:c r="I852" s="1" t="s">
        <x:v>1061</x:v>
      </x:c>
      <x:c r="J852" s="1" t="s">
        <x:v>1067</x:v>
      </x:c>
      <x:c r="M852" s="9"/>
      <x:c r="N852" s="118" t="str">
        <x:f t="shared" si="2"/>
        <x:v>#N/A</x:v>
      </x:c>
      <x:c r="Q852" s="9"/>
      <x:c r="R852" s="9"/>
      <x:c r="S852" s="9"/>
      <x:c r="T852" s="9"/>
    </x:row>
    <x:row r="853" ht="14.25" customHeight="1">
      <x:c r="A853" s="1">
        <x:v>850.0</x:v>
      </x:c>
      <x:c r="B853" s="1">
        <x:v>16.0</x:v>
      </x:c>
      <x:c r="C853" s="1" t="s">
        <x:v>1921</x:v>
      </x:c>
      <x:c r="D853" s="1" t="s">
        <x:v>487</x:v>
      </x:c>
      <x:c r="E853" s="1" t="s">
        <x:v>1922</x:v>
      </x:c>
      <x:c r="F853" s="1">
        <x:v>7.0</x:v>
      </x:c>
      <x:c r="G853" s="1" t="s">
        <x:v>1067</x:v>
      </x:c>
      <x:c r="H853" s="1" t="s">
        <x:v>1067</x:v>
      </x:c>
      <x:c r="I853" s="1" t="s">
        <x:v>1061</x:v>
      </x:c>
      <x:c r="J853" s="1" t="s">
        <x:v>1067</x:v>
      </x:c>
      <x:c r="M853" s="9"/>
      <x:c r="N853" s="118" t="str">
        <x:f t="shared" si="2"/>
        <x:v>#N/A</x:v>
      </x:c>
      <x:c r="Q853" s="9"/>
      <x:c r="R853" s="9"/>
      <x:c r="S853" s="9"/>
      <x:c r="T853" s="9"/>
    </x:row>
    <x:row r="854" ht="14.25" customHeight="1">
      <x:c r="A854" s="1">
        <x:v>851.0</x:v>
      </x:c>
      <x:c r="B854" s="1">
        <x:v>16.0</x:v>
      </x:c>
      <x:c r="C854" s="1" t="s">
        <x:v>1923</x:v>
      </x:c>
      <x:c r="D854" s="1" t="s">
        <x:v>535</x:v>
      </x:c>
      <x:c r="E854" s="1" t="s">
        <x:v>1924</x:v>
      </x:c>
      <x:c r="F854" s="1">
        <x:v>8.0</x:v>
      </x:c>
      <x:c r="G854" s="1" t="s">
        <x:v>1067</x:v>
      </x:c>
      <x:c r="H854" s="1" t="s">
        <x:v>1067</x:v>
      </x:c>
      <x:c r="I854" s="1" t="s">
        <x:v>1064</x:v>
      </x:c>
      <x:c r="J854" s="1" t="s">
        <x:v>1067</x:v>
      </x:c>
      <x:c r="M854" s="9"/>
      <x:c r="N854" s="118" t="str">
        <x:f t="shared" si="2"/>
        <x:v>#N/A</x:v>
      </x:c>
      <x:c r="Q854" s="9"/>
      <x:c r="R854" s="9"/>
      <x:c r="S854" s="9"/>
      <x:c r="T854" s="9"/>
    </x:row>
    <x:row r="855" ht="14.25" customHeight="1">
      <x:c r="A855" s="1">
        <x:v>852.0</x:v>
      </x:c>
      <x:c r="B855" s="1">
        <x:v>16.0</x:v>
      </x:c>
      <x:c r="C855" s="1" t="s">
        <x:v>1925</x:v>
      </x:c>
      <x:c r="D855" s="1" t="s">
        <x:v>521</x:v>
      </x:c>
      <x:c r="E855" s="1" t="s">
        <x:v>1926</x:v>
      </x:c>
      <x:c r="F855" s="1">
        <x:v>8.0</x:v>
      </x:c>
      <x:c r="G855" s="1" t="s">
        <x:v>1067</x:v>
      </x:c>
      <x:c r="H855" s="1" t="s">
        <x:v>1067</x:v>
      </x:c>
      <x:c r="I855" s="1" t="s">
        <x:v>1064</x:v>
      </x:c>
      <x:c r="J855" s="1" t="s">
        <x:v>1067</x:v>
      </x:c>
      <x:c r="M855" s="9"/>
      <x:c r="N855" s="118" t="str">
        <x:f t="shared" si="2"/>
        <x:v>#N/A</x:v>
      </x:c>
      <x:c r="Q855" s="9"/>
      <x:c r="R855" s="9"/>
      <x:c r="S855" s="9"/>
      <x:c r="T855" s="9"/>
    </x:row>
    <x:row r="856" ht="14.25" customHeight="1">
      <x:c r="A856" s="1">
        <x:v>853.0</x:v>
      </x:c>
      <x:c r="B856" s="1">
        <x:v>16.0</x:v>
      </x:c>
      <x:c r="C856" s="1" t="s">
        <x:v>1927</x:v>
      </x:c>
      <x:c r="D856" s="1" t="s">
        <x:v>535</x:v>
      </x:c>
      <x:c r="E856" s="1" t="s">
        <x:v>1928</x:v>
      </x:c>
      <x:c r="F856" s="1">
        <x:v>8.0</x:v>
      </x:c>
      <x:c r="G856" s="1" t="s">
        <x:v>1067</x:v>
      </x:c>
      <x:c r="H856" s="1" t="s">
        <x:v>1067</x:v>
      </x:c>
      <x:c r="I856" s="1" t="s">
        <x:v>1064</x:v>
      </x:c>
      <x:c r="J856" s="1" t="s">
        <x:v>1067</x:v>
      </x:c>
      <x:c r="M856" s="9"/>
      <x:c r="N856" s="118" t="str">
        <x:f t="shared" si="2"/>
        <x:v>#N/A</x:v>
      </x:c>
      <x:c r="Q856" s="9"/>
      <x:c r="R856" s="9"/>
      <x:c r="S856" s="9"/>
      <x:c r="T856" s="9"/>
    </x:row>
    <x:row r="857" ht="14.25" customHeight="1">
      <x:c r="A857" s="1">
        <x:v>854.0</x:v>
      </x:c>
      <x:c r="B857" s="1">
        <x:v>16.0</x:v>
      </x:c>
      <x:c r="C857" s="1" t="s">
        <x:v>1929</x:v>
      </x:c>
      <x:c r="D857" s="1" t="s">
        <x:v>523</x:v>
      </x:c>
      <x:c r="E857" s="1" t="s">
        <x:v>1930</x:v>
      </x:c>
      <x:c r="F857" s="1">
        <x:v>10.0</x:v>
      </x:c>
      <x:c r="G857" s="1" t="s">
        <x:v>1067</x:v>
      </x:c>
      <x:c r="H857" s="1" t="s">
        <x:v>1067</x:v>
      </x:c>
      <x:c r="I857" s="1" t="s">
        <x:v>1061</x:v>
      </x:c>
      <x:c r="J857" s="1" t="s">
        <x:v>1067</x:v>
      </x:c>
      <x:c r="M857" s="9"/>
      <x:c r="N857" s="118" t="str">
        <x:f t="shared" si="2"/>
        <x:v>#N/A</x:v>
      </x:c>
      <x:c r="Q857" s="9"/>
      <x:c r="R857" s="9"/>
      <x:c r="S857" s="9"/>
      <x:c r="T857" s="9"/>
    </x:row>
    <x:row r="858" ht="14.25" customHeight="1">
      <x:c r="A858" s="1">
        <x:v>855.0</x:v>
      </x:c>
      <x:c r="B858" s="1">
        <x:v>16.0</x:v>
      </x:c>
      <x:c r="C858" s="1" t="s">
        <x:v>1931</x:v>
      </x:c>
      <x:c r="D858" s="1" t="s">
        <x:v>503</x:v>
      </x:c>
      <x:c r="E858" s="1" t="s">
        <x:v>1932</x:v>
      </x:c>
      <x:c r="F858" s="1">
        <x:v>8.0</x:v>
      </x:c>
      <x:c r="G858" s="1" t="s">
        <x:v>1067</x:v>
      </x:c>
      <x:c r="H858" s="1" t="s">
        <x:v>1067</x:v>
      </x:c>
      <x:c r="I858" s="1" t="s">
        <x:v>1060</x:v>
      </x:c>
      <x:c r="J858" s="1" t="s">
        <x:v>1067</x:v>
      </x:c>
      <x:c r="M858" s="9"/>
      <x:c r="N858" s="118" t="str">
        <x:f t="shared" si="2"/>
        <x:v>#N/A</x:v>
      </x:c>
      <x:c r="Q858" s="9"/>
      <x:c r="R858" s="9"/>
      <x:c r="S858" s="9"/>
      <x:c r="T858" s="9"/>
    </x:row>
    <x:row r="859" ht="14.25" customHeight="1">
      <x:c r="A859" s="1">
        <x:v>856.0</x:v>
      </x:c>
      <x:c r="B859" s="1">
        <x:v>16.0</x:v>
      </x:c>
      <x:c r="C859" s="1" t="s">
        <x:v>1933</x:v>
      </x:c>
      <x:c r="D859" s="1" t="s">
        <x:v>515</x:v>
      </x:c>
      <x:c r="E859" s="1" t="s">
        <x:v>1934</x:v>
      </x:c>
      <x:c r="F859" s="1">
        <x:v>10.0</x:v>
      </x:c>
      <x:c r="G859" s="1" t="s">
        <x:v>1067</x:v>
      </x:c>
      <x:c r="H859" s="1" t="s">
        <x:v>1067</x:v>
      </x:c>
      <x:c r="I859" s="1" t="s">
        <x:v>1060</x:v>
      </x:c>
      <x:c r="J859" s="1" t="s">
        <x:v>1067</x:v>
      </x:c>
      <x:c r="M859" s="9"/>
      <x:c r="N859" s="118" t="str">
        <x:f t="shared" si="2"/>
        <x:v>#N/A</x:v>
      </x:c>
      <x:c r="Q859" s="9"/>
      <x:c r="R859" s="9"/>
      <x:c r="S859" s="9"/>
      <x:c r="T859" s="9"/>
    </x:row>
    <x:row r="860" ht="14.25" customHeight="1">
      <x:c r="A860" s="1">
        <x:v>857.0</x:v>
      </x:c>
      <x:c r="B860" s="1">
        <x:v>16.0</x:v>
      </x:c>
      <x:c r="C860" s="1" t="s">
        <x:v>1935</x:v>
      </x:c>
      <x:c r="D860" s="1" t="s">
        <x:v>493</x:v>
      </x:c>
      <x:c r="E860" s="1" t="s">
        <x:v>1936</x:v>
      </x:c>
      <x:c r="F860" s="1">
        <x:v>11.0</x:v>
      </x:c>
      <x:c r="G860" s="1" t="s">
        <x:v>1067</x:v>
      </x:c>
      <x:c r="H860" s="1" t="s">
        <x:v>1067</x:v>
      </x:c>
      <x:c r="I860" s="1" t="s">
        <x:v>1060</x:v>
      </x:c>
      <x:c r="J860" s="1" t="s">
        <x:v>1067</x:v>
      </x:c>
      <x:c r="M860" s="9"/>
      <x:c r="N860" s="118" t="str">
        <x:f t="shared" si="2"/>
        <x:v>#N/A</x:v>
      </x:c>
      <x:c r="Q860" s="9"/>
      <x:c r="R860" s="9"/>
      <x:c r="S860" s="9"/>
      <x:c r="T860" s="9"/>
    </x:row>
    <x:row r="861" ht="14.25" customHeight="1">
      <x:c r="A861" s="1">
        <x:v>858.0</x:v>
      </x:c>
      <x:c r="B861" s="1">
        <x:v>16.0</x:v>
      </x:c>
      <x:c r="C861" s="1" t="s">
        <x:v>1937</x:v>
      </x:c>
      <x:c r="D861" s="1" t="s">
        <x:v>523</x:v>
      </x:c>
      <x:c r="E861" s="1" t="s">
        <x:v>1938</x:v>
      </x:c>
      <x:c r="F861" s="1">
        <x:v>10.0</x:v>
      </x:c>
      <x:c r="G861" s="1" t="s">
        <x:v>1067</x:v>
      </x:c>
      <x:c r="H861" s="1" t="s">
        <x:v>1067</x:v>
      </x:c>
      <x:c r="I861" s="1" t="s">
        <x:v>1061</x:v>
      </x:c>
      <x:c r="J861" s="1" t="s">
        <x:v>1067</x:v>
      </x:c>
      <x:c r="M861" s="9"/>
      <x:c r="N861" s="118" t="str">
        <x:f t="shared" si="2"/>
        <x:v>#N/A</x:v>
      </x:c>
      <x:c r="Q861" s="9"/>
      <x:c r="R861" s="9"/>
      <x:c r="S861" s="9"/>
      <x:c r="T861" s="9"/>
    </x:row>
    <x:row r="862" ht="14.25" customHeight="1">
      <x:c r="A862" s="1">
        <x:v>859.0</x:v>
      </x:c>
      <x:c r="B862" s="1">
        <x:v>16.0</x:v>
      </x:c>
      <x:c r="C862" s="1" t="s">
        <x:v>1939</x:v>
      </x:c>
      <x:c r="D862" s="1" t="s">
        <x:v>493</x:v>
      </x:c>
      <x:c r="E862" s="1" t="s">
        <x:v>1940</x:v>
      </x:c>
      <x:c r="F862" s="1">
        <x:v>11.0</x:v>
      </x:c>
      <x:c r="G862" s="1" t="s">
        <x:v>1067</x:v>
      </x:c>
      <x:c r="H862" s="1" t="s">
        <x:v>1067</x:v>
      </x:c>
      <x:c r="I862" s="1" t="s">
        <x:v>1060</x:v>
      </x:c>
      <x:c r="J862" s="1" t="s">
        <x:v>1067</x:v>
      </x:c>
      <x:c r="M862" s="9"/>
      <x:c r="N862" s="118" t="str">
        <x:f t="shared" si="2"/>
        <x:v>#N/A</x:v>
      </x:c>
      <x:c r="Q862" s="9"/>
      <x:c r="R862" s="9"/>
      <x:c r="S862" s="9"/>
      <x:c r="T862" s="9"/>
    </x:row>
    <x:row r="863" ht="14.25" customHeight="1">
      <x:c r="A863" s="1">
        <x:v>860.0</x:v>
      </x:c>
      <x:c r="B863" s="1">
        <x:v>16.0</x:v>
      </x:c>
      <x:c r="C863" s="1" t="s">
        <x:v>1941</x:v>
      </x:c>
      <x:c r="D863" s="1" t="s">
        <x:v>515</x:v>
      </x:c>
      <x:c r="E863" s="1" t="s">
        <x:v>1942</x:v>
      </x:c>
      <x:c r="F863" s="1">
        <x:v>10.0</x:v>
      </x:c>
      <x:c r="G863" s="1" t="s">
        <x:v>1067</x:v>
      </x:c>
      <x:c r="H863" s="1" t="s">
        <x:v>1067</x:v>
      </x:c>
      <x:c r="I863" s="1" t="s">
        <x:v>1060</x:v>
      </x:c>
      <x:c r="J863" s="1" t="s">
        <x:v>1067</x:v>
      </x:c>
      <x:c r="M863" s="9"/>
      <x:c r="N863" s="118" t="str">
        <x:f t="shared" si="2"/>
        <x:v>#N/A</x:v>
      </x:c>
      <x:c r="Q863" s="9"/>
      <x:c r="R863" s="9"/>
      <x:c r="S863" s="9"/>
      <x:c r="T863" s="9"/>
    </x:row>
    <x:row r="864" ht="14.25" customHeight="1">
      <x:c r="A864" s="1">
        <x:v>861.0</x:v>
      </x:c>
      <x:c r="B864" s="1">
        <x:v>16.0</x:v>
      </x:c>
      <x:c r="C864" s="1" t="s">
        <x:v>1943</x:v>
      </x:c>
      <x:c r="D864" s="1" t="s">
        <x:v>1136</x:v>
      </x:c>
      <x:c r="E864" s="1" t="s">
        <x:v>1944</x:v>
      </x:c>
      <x:c r="F864" s="1" t="s">
        <x:v>1067</x:v>
      </x:c>
      <x:c r="G864" s="1" t="s">
        <x:v>1067</x:v>
      </x:c>
      <x:c r="H864" s="1" t="s">
        <x:v>1067</x:v>
      </x:c>
      <x:c r="I864" s="1" t="s">
        <x:v>1067</x:v>
      </x:c>
      <x:c r="J864" s="1" t="s">
        <x:v>1067</x:v>
      </x:c>
      <x:c r="M864" s="9"/>
      <x:c r="N864" s="118" t="str">
        <x:f t="shared" si="2"/>
        <x:v>#N/A</x:v>
      </x:c>
      <x:c r="Q864" s="9"/>
      <x:c r="R864" s="9"/>
      <x:c r="S864" s="9"/>
      <x:c r="T864" s="9"/>
    </x:row>
    <x:row r="865" ht="14.25" customHeight="1">
      <x:c r="A865" s="1">
        <x:v>862.0</x:v>
      </x:c>
      <x:c r="B865" s="1">
        <x:v>16.0</x:v>
      </x:c>
      <x:c r="C865" s="1" t="s">
        <x:v>1945</x:v>
      </x:c>
      <x:c r="D865" s="1" t="s">
        <x:v>551</x:v>
      </x:c>
      <x:c r="E865" s="1" t="s">
        <x:v>1946</x:v>
      </x:c>
      <x:c r="F865" s="1">
        <x:v>11.0</x:v>
      </x:c>
      <x:c r="G865" s="1" t="s">
        <x:v>1067</x:v>
      </x:c>
      <x:c r="H865" s="1" t="s">
        <x:v>1067</x:v>
      </x:c>
      <x:c r="I865" s="1" t="s">
        <x:v>1064</x:v>
      </x:c>
      <x:c r="J865" s="1" t="s">
        <x:v>1067</x:v>
      </x:c>
      <x:c r="M865" s="9"/>
      <x:c r="N865" s="118" t="str">
        <x:f t="shared" si="2"/>
        <x:v>#N/A</x:v>
      </x:c>
      <x:c r="Q865" s="9"/>
      <x:c r="R865" s="9"/>
      <x:c r="S865" s="9"/>
      <x:c r="T865" s="9"/>
    </x:row>
    <x:row r="866" ht="14.25" customHeight="1">
      <x:c r="A866" s="1">
        <x:v>863.0</x:v>
      </x:c>
      <x:c r="B866" s="1">
        <x:v>16.0</x:v>
      </x:c>
      <x:c r="C866" s="1" t="s">
        <x:v>1947</x:v>
      </x:c>
      <x:c r="D866" s="1" t="s">
        <x:v>487</x:v>
      </x:c>
      <x:c r="E866" s="1" t="s">
        <x:v>1948</x:v>
      </x:c>
      <x:c r="F866" s="1">
        <x:v>7.0</x:v>
      </x:c>
      <x:c r="G866" s="1" t="s">
        <x:v>1067</x:v>
      </x:c>
      <x:c r="H866" s="1" t="s">
        <x:v>1067</x:v>
      </x:c>
      <x:c r="I866" s="1" t="s">
        <x:v>1061</x:v>
      </x:c>
      <x:c r="J866" s="1" t="s">
        <x:v>1067</x:v>
      </x:c>
      <x:c r="M866" s="9"/>
      <x:c r="N866" s="118" t="str">
        <x:f t="shared" si="2"/>
        <x:v>#N/A</x:v>
      </x:c>
      <x:c r="Q866" s="9"/>
      <x:c r="R866" s="9"/>
      <x:c r="S866" s="9"/>
      <x:c r="T866" s="9"/>
    </x:row>
    <x:row r="867" ht="14.25" customHeight="1">
      <x:c r="A867" s="1">
        <x:v>864.0</x:v>
      </x:c>
      <x:c r="B867" s="1">
        <x:v>16.0</x:v>
      </x:c>
      <x:c r="C867" s="1" t="s">
        <x:v>1949</x:v>
      </x:c>
      <x:c r="D867" s="1" t="s">
        <x:v>497</x:v>
      </x:c>
      <x:c r="E867" s="1" t="s">
        <x:v>1950</x:v>
      </x:c>
      <x:c r="F867" s="1">
        <x:v>10.0</x:v>
      </x:c>
      <x:c r="G867" s="1" t="s">
        <x:v>1067</x:v>
      </x:c>
      <x:c r="H867" s="1" t="s">
        <x:v>1067</x:v>
      </x:c>
      <x:c r="I867" s="1" t="s">
        <x:v>1061</x:v>
      </x:c>
      <x:c r="J867" s="1" t="s">
        <x:v>1067</x:v>
      </x:c>
      <x:c r="M867" s="9"/>
      <x:c r="N867" s="118" t="str">
        <x:f t="shared" si="2"/>
        <x:v>#N/A</x:v>
      </x:c>
      <x:c r="Q867" s="9"/>
      <x:c r="R867" s="9"/>
      <x:c r="S867" s="9"/>
      <x:c r="T867" s="9"/>
    </x:row>
    <x:row r="868" ht="14.25" customHeight="1">
      <x:c r="A868" s="1">
        <x:v>865.0</x:v>
      </x:c>
      <x:c r="B868" s="1">
        <x:v>16.0</x:v>
      </x:c>
      <x:c r="C868" s="1" t="s">
        <x:v>1951</x:v>
      </x:c>
      <x:c r="D868" s="1" t="s">
        <x:v>541</x:v>
      </x:c>
      <x:c r="E868" s="1" t="s">
        <x:v>1952</x:v>
      </x:c>
      <x:c r="F868" s="1">
        <x:v>9.0</x:v>
      </x:c>
      <x:c r="G868" s="1" t="s">
        <x:v>1067</x:v>
      </x:c>
      <x:c r="H868" s="1" t="s">
        <x:v>1067</x:v>
      </x:c>
      <x:c r="I868" s="1" t="s">
        <x:v>1064</x:v>
      </x:c>
      <x:c r="J868" s="1" t="s">
        <x:v>1067</x:v>
      </x:c>
      <x:c r="M868" s="9"/>
      <x:c r="N868" s="118" t="str">
        <x:f t="shared" si="2"/>
        <x:v>#N/A</x:v>
      </x:c>
      <x:c r="Q868" s="9"/>
      <x:c r="R868" s="9"/>
      <x:c r="S868" s="9"/>
      <x:c r="T868" s="9"/>
    </x:row>
    <x:row r="869" ht="14.25" customHeight="1">
      <x:c r="A869" s="1">
        <x:v>866.0</x:v>
      </x:c>
      <x:c r="B869" s="1">
        <x:v>16.0</x:v>
      </x:c>
      <x:c r="C869" s="1" t="s">
        <x:v>1953</x:v>
      </x:c>
      <x:c r="D869" s="1" t="s">
        <x:v>493</x:v>
      </x:c>
      <x:c r="E869" s="1" t="s">
        <x:v>1954</x:v>
      </x:c>
      <x:c r="F869" s="1">
        <x:v>11.0</x:v>
      </x:c>
      <x:c r="G869" s="1" t="s">
        <x:v>1067</x:v>
      </x:c>
      <x:c r="H869" s="1" t="s">
        <x:v>1067</x:v>
      </x:c>
      <x:c r="I869" s="1" t="s">
        <x:v>1060</x:v>
      </x:c>
      <x:c r="J869" s="1" t="s">
        <x:v>1067</x:v>
      </x:c>
      <x:c r="M869" s="9"/>
      <x:c r="N869" s="118" t="str">
        <x:f t="shared" si="2"/>
        <x:v>#N/A</x:v>
      </x:c>
      <x:c r="Q869" s="9"/>
      <x:c r="R869" s="9"/>
      <x:c r="S869" s="9"/>
      <x:c r="T869" s="9"/>
    </x:row>
    <x:row r="870" ht="14.25" customHeight="1">
      <x:c r="A870" s="1">
        <x:v>867.0</x:v>
      </x:c>
      <x:c r="B870" s="1">
        <x:v>16.0</x:v>
      </x:c>
      <x:c r="C870" s="1" t="s">
        <x:v>1955</x:v>
      </x:c>
      <x:c r="D870" s="1" t="s">
        <x:v>487</x:v>
      </x:c>
      <x:c r="E870" s="1" t="s">
        <x:v>1956</x:v>
      </x:c>
      <x:c r="F870" s="1">
        <x:v>7.0</x:v>
      </x:c>
      <x:c r="G870" s="1" t="s">
        <x:v>1067</x:v>
      </x:c>
      <x:c r="H870" s="1" t="s">
        <x:v>1067</x:v>
      </x:c>
      <x:c r="I870" s="1" t="s">
        <x:v>1061</x:v>
      </x:c>
      <x:c r="J870" s="1" t="s">
        <x:v>1067</x:v>
      </x:c>
      <x:c r="M870" s="9"/>
      <x:c r="N870" s="118" t="str">
        <x:f t="shared" si="2"/>
        <x:v>#N/A</x:v>
      </x:c>
      <x:c r="Q870" s="9"/>
      <x:c r="R870" s="9"/>
      <x:c r="S870" s="9"/>
      <x:c r="T870" s="9"/>
    </x:row>
    <x:row r="871" ht="14.25" customHeight="1">
      <x:c r="A871" s="1">
        <x:v>868.0</x:v>
      </x:c>
      <x:c r="B871" s="1">
        <x:v>16.0</x:v>
      </x:c>
      <x:c r="C871" s="1" t="s">
        <x:v>1957</x:v>
      </x:c>
      <x:c r="D871" s="1" t="s">
        <x:v>519</x:v>
      </x:c>
      <x:c r="E871" s="1" t="s">
        <x:v>1958</x:v>
      </x:c>
      <x:c r="F871" s="1">
        <x:v>6.0</x:v>
      </x:c>
      <x:c r="G871" s="1" t="s">
        <x:v>1067</x:v>
      </x:c>
      <x:c r="H871" s="1" t="s">
        <x:v>1067</x:v>
      </x:c>
      <x:c r="I871" s="1" t="s">
        <x:v>1061</x:v>
      </x:c>
      <x:c r="J871" s="1" t="s">
        <x:v>1067</x:v>
      </x:c>
      <x:c r="M871" s="9"/>
      <x:c r="N871" s="118" t="str">
        <x:f t="shared" si="2"/>
        <x:v>#N/A</x:v>
      </x:c>
      <x:c r="Q871" s="9"/>
      <x:c r="R871" s="9"/>
      <x:c r="S871" s="9"/>
      <x:c r="T871" s="9"/>
    </x:row>
    <x:row r="872" ht="14.25" customHeight="1">
      <x:c r="A872" s="1">
        <x:v>869.0</x:v>
      </x:c>
      <x:c r="B872" s="1">
        <x:v>16.0</x:v>
      </x:c>
      <x:c r="C872" s="1" t="s">
        <x:v>1959</x:v>
      </x:c>
      <x:c r="D872" s="1" t="s">
        <x:v>541</x:v>
      </x:c>
      <x:c r="E872" s="1" t="s">
        <x:v>1960</x:v>
      </x:c>
      <x:c r="F872" s="1">
        <x:v>9.0</x:v>
      </x:c>
      <x:c r="G872" s="1" t="s">
        <x:v>1067</x:v>
      </x:c>
      <x:c r="H872" s="1" t="s">
        <x:v>1067</x:v>
      </x:c>
      <x:c r="I872" s="1" t="s">
        <x:v>1064</x:v>
      </x:c>
      <x:c r="J872" s="1" t="s">
        <x:v>1067</x:v>
      </x:c>
      <x:c r="M872" s="9"/>
      <x:c r="N872" s="118" t="str">
        <x:f t="shared" si="2"/>
        <x:v>#N/A</x:v>
      </x:c>
      <x:c r="Q872" s="9"/>
      <x:c r="R872" s="9"/>
      <x:c r="S872" s="9"/>
      <x:c r="T872" s="9"/>
    </x:row>
    <x:row r="873" ht="14.25" customHeight="1">
      <x:c r="A873" s="1">
        <x:v>870.0</x:v>
      </x:c>
      <x:c r="B873" s="1">
        <x:v>16.0</x:v>
      </x:c>
      <x:c r="C873" s="1" t="s">
        <x:v>1961</x:v>
      </x:c>
      <x:c r="D873" s="1" t="s">
        <x:v>541</x:v>
      </x:c>
      <x:c r="E873" s="1" t="s">
        <x:v>1962</x:v>
      </x:c>
      <x:c r="F873" s="1">
        <x:v>9.0</x:v>
      </x:c>
      <x:c r="G873" s="1" t="s">
        <x:v>1067</x:v>
      </x:c>
      <x:c r="H873" s="1" t="s">
        <x:v>1067</x:v>
      </x:c>
      <x:c r="I873" s="1" t="s">
        <x:v>1064</x:v>
      </x:c>
      <x:c r="J873" s="1" t="s">
        <x:v>1067</x:v>
      </x:c>
      <x:c r="M873" s="9"/>
      <x:c r="N873" s="118" t="str">
        <x:f t="shared" si="2"/>
        <x:v>#N/A</x:v>
      </x:c>
      <x:c r="Q873" s="9"/>
      <x:c r="R873" s="9"/>
      <x:c r="S873" s="9"/>
      <x:c r="T873" s="9"/>
    </x:row>
    <x:row r="874" ht="14.25" customHeight="1">
      <x:c r="A874" s="1">
        <x:v>871.0</x:v>
      </x:c>
      <x:c r="B874" s="1">
        <x:v>16.0</x:v>
      </x:c>
      <x:c r="C874" s="1" t="s">
        <x:v>1963</x:v>
      </x:c>
      <x:c r="D874" s="1" t="s">
        <x:v>549</x:v>
      </x:c>
      <x:c r="E874" s="1" t="s">
        <x:v>1964</x:v>
      </x:c>
      <x:c r="F874" s="1">
        <x:v>11.0</x:v>
      </x:c>
      <x:c r="G874" s="1" t="s">
        <x:v>1067</x:v>
      </x:c>
      <x:c r="H874" s="1" t="s">
        <x:v>1067</x:v>
      </x:c>
      <x:c r="I874" s="1" t="s">
        <x:v>1064</x:v>
      </x:c>
      <x:c r="J874" s="1" t="s">
        <x:v>1067</x:v>
      </x:c>
      <x:c r="M874" s="9"/>
      <x:c r="N874" s="118" t="str">
        <x:f t="shared" si="2"/>
        <x:v>#N/A</x:v>
      </x:c>
      <x:c r="Q874" s="9"/>
      <x:c r="R874" s="9"/>
      <x:c r="S874" s="9"/>
      <x:c r="T874" s="9"/>
    </x:row>
    <x:row r="875" ht="14.25" customHeight="1">
      <x:c r="A875" s="1">
        <x:v>872.0</x:v>
      </x:c>
      <x:c r="B875" s="1">
        <x:v>16.0</x:v>
      </x:c>
      <x:c r="C875" s="1" t="s">
        <x:v>1965</x:v>
      </x:c>
      <x:c r="D875" s="1" t="s">
        <x:v>521</x:v>
      </x:c>
      <x:c r="E875" s="1" t="s">
        <x:v>1966</x:v>
      </x:c>
      <x:c r="F875" s="1">
        <x:v>8.0</x:v>
      </x:c>
      <x:c r="G875" s="1" t="s">
        <x:v>1067</x:v>
      </x:c>
      <x:c r="H875" s="1" t="s">
        <x:v>1067</x:v>
      </x:c>
      <x:c r="I875" s="1" t="s">
        <x:v>1064</x:v>
      </x:c>
      <x:c r="J875" s="1" t="s">
        <x:v>1067</x:v>
      </x:c>
      <x:c r="M875" s="9"/>
      <x:c r="N875" s="118" t="str">
        <x:f t="shared" si="2"/>
        <x:v>#N/A</x:v>
      </x:c>
      <x:c r="Q875" s="9"/>
      <x:c r="R875" s="9"/>
      <x:c r="S875" s="9"/>
      <x:c r="T875" s="9"/>
    </x:row>
    <x:row r="876" ht="14.25" customHeight="1">
      <x:c r="A876" s="1">
        <x:v>873.0</x:v>
      </x:c>
      <x:c r="B876" s="1">
        <x:v>16.0</x:v>
      </x:c>
      <x:c r="C876" s="1" t="s">
        <x:v>1967</x:v>
      </x:c>
      <x:c r="D876" s="1" t="s">
        <x:v>549</x:v>
      </x:c>
      <x:c r="E876" s="1" t="s">
        <x:v>1968</x:v>
      </x:c>
      <x:c r="F876" s="1">
        <x:v>11.0</x:v>
      </x:c>
      <x:c r="G876" s="1" t="s">
        <x:v>1067</x:v>
      </x:c>
      <x:c r="H876" s="1" t="s">
        <x:v>1067</x:v>
      </x:c>
      <x:c r="I876" s="1" t="s">
        <x:v>1064</x:v>
      </x:c>
      <x:c r="J876" s="1" t="s">
        <x:v>1067</x:v>
      </x:c>
      <x:c r="M876" s="9"/>
      <x:c r="N876" s="118" t="str">
        <x:f t="shared" si="2"/>
        <x:v>#N/A</x:v>
      </x:c>
      <x:c r="Q876" s="9"/>
      <x:c r="R876" s="9"/>
      <x:c r="S876" s="9"/>
      <x:c r="T876" s="9"/>
    </x:row>
    <x:row r="877" ht="14.25" customHeight="1">
      <x:c r="A877" s="1">
        <x:v>874.0</x:v>
      </x:c>
      <x:c r="B877" s="1">
        <x:v>16.0</x:v>
      </x:c>
      <x:c r="C877" s="1" t="s">
        <x:v>1969</x:v>
      </x:c>
      <x:c r="D877" s="1" t="s">
        <x:v>1136</x:v>
      </x:c>
      <x:c r="E877" s="1" t="s">
        <x:v>1970</x:v>
      </x:c>
      <x:c r="F877" s="1" t="s">
        <x:v>1067</x:v>
      </x:c>
      <x:c r="G877" s="1" t="s">
        <x:v>1067</x:v>
      </x:c>
      <x:c r="H877" s="1" t="s">
        <x:v>1067</x:v>
      </x:c>
      <x:c r="I877" s="1" t="s">
        <x:v>1067</x:v>
      </x:c>
      <x:c r="J877" s="1" t="s">
        <x:v>1067</x:v>
      </x:c>
      <x:c r="M877" s="9"/>
      <x:c r="N877" s="118" t="str">
        <x:f t="shared" si="2"/>
        <x:v>#N/A</x:v>
      </x:c>
      <x:c r="Q877" s="9"/>
      <x:c r="R877" s="9"/>
      <x:c r="S877" s="9"/>
      <x:c r="T877" s="9"/>
    </x:row>
    <x:row r="878" ht="14.25" customHeight="1">
      <x:c r="A878" s="1">
        <x:v>875.0</x:v>
      </x:c>
      <x:c r="B878" s="1">
        <x:v>16.0</x:v>
      </x:c>
      <x:c r="C878" s="1" t="s">
        <x:v>1971</x:v>
      </x:c>
      <x:c r="D878" s="1" t="s">
        <x:v>491</x:v>
      </x:c>
      <x:c r="E878" s="1" t="s">
        <x:v>1972</x:v>
      </x:c>
      <x:c r="F878" s="1">
        <x:v>13.0</x:v>
      </x:c>
      <x:c r="G878" s="1" t="s">
        <x:v>1067</x:v>
      </x:c>
      <x:c r="H878" s="1" t="s">
        <x:v>1067</x:v>
      </x:c>
      <x:c r="I878" s="1" t="s">
        <x:v>1061</x:v>
      </x:c>
      <x:c r="J878" s="1" t="s">
        <x:v>1067</x:v>
      </x:c>
      <x:c r="M878" s="9"/>
      <x:c r="N878" s="118" t="str">
        <x:f t="shared" si="2"/>
        <x:v>#N/A</x:v>
      </x:c>
      <x:c r="Q878" s="9"/>
      <x:c r="R878" s="9"/>
      <x:c r="S878" s="9"/>
      <x:c r="T878" s="9"/>
    </x:row>
    <x:row r="879" ht="14.25" customHeight="1">
      <x:c r="A879" s="1">
        <x:v>876.0</x:v>
      </x:c>
      <x:c r="B879" s="1">
        <x:v>16.0</x:v>
      </x:c>
      <x:c r="C879" s="1" t="s">
        <x:v>1973</x:v>
      </x:c>
      <x:c r="D879" s="1" t="s">
        <x:v>491</x:v>
      </x:c>
      <x:c r="E879" s="1" t="s">
        <x:v>1974</x:v>
      </x:c>
      <x:c r="F879" s="1">
        <x:v>13.0</x:v>
      </x:c>
      <x:c r="G879" s="1" t="s">
        <x:v>1067</x:v>
      </x:c>
      <x:c r="H879" s="1" t="s">
        <x:v>1067</x:v>
      </x:c>
      <x:c r="I879" s="1" t="s">
        <x:v>1061</x:v>
      </x:c>
      <x:c r="J879" s="1" t="s">
        <x:v>1067</x:v>
      </x:c>
      <x:c r="M879" s="9"/>
      <x:c r="N879" s="118" t="str">
        <x:f t="shared" si="2"/>
        <x:v>#N/A</x:v>
      </x:c>
      <x:c r="Q879" s="9"/>
      <x:c r="R879" s="9"/>
      <x:c r="S879" s="9"/>
      <x:c r="T879" s="9"/>
    </x:row>
    <x:row r="880" ht="14.25" customHeight="1">
      <x:c r="A880" s="1">
        <x:v>877.0</x:v>
      </x:c>
      <x:c r="B880" s="1">
        <x:v>16.0</x:v>
      </x:c>
      <x:c r="C880" s="1" t="s">
        <x:v>1975</x:v>
      </x:c>
      <x:c r="D880" s="1" t="s">
        <x:v>491</x:v>
      </x:c>
      <x:c r="E880" s="1" t="s">
        <x:v>1976</x:v>
      </x:c>
      <x:c r="F880" s="1">
        <x:v>13.0</x:v>
      </x:c>
      <x:c r="G880" s="1" t="s">
        <x:v>1067</x:v>
      </x:c>
      <x:c r="H880" s="1" t="s">
        <x:v>1067</x:v>
      </x:c>
      <x:c r="I880" s="1" t="s">
        <x:v>1061</x:v>
      </x:c>
      <x:c r="J880" s="1" t="s">
        <x:v>1067</x:v>
      </x:c>
      <x:c r="M880" s="9"/>
      <x:c r="N880" s="118" t="str">
        <x:f t="shared" si="2"/>
        <x:v>#N/A</x:v>
      </x:c>
      <x:c r="Q880" s="9"/>
      <x:c r="R880" s="9"/>
      <x:c r="S880" s="9"/>
      <x:c r="T880" s="9"/>
    </x:row>
    <x:row r="881" ht="14.25" customHeight="1">
      <x:c r="A881" s="1">
        <x:v>878.0</x:v>
      </x:c>
      <x:c r="B881" s="1">
        <x:v>16.0</x:v>
      </x:c>
      <x:c r="C881" s="1" t="s">
        <x:v>1977</x:v>
      </x:c>
      <x:c r="D881" s="1" t="s">
        <x:v>543</x:v>
      </x:c>
      <x:c r="E881" s="1" t="s">
        <x:v>1978</x:v>
      </x:c>
      <x:c r="F881" s="1">
        <x:v>14.0</x:v>
      </x:c>
      <x:c r="G881" s="1" t="s">
        <x:v>1067</x:v>
      </x:c>
      <x:c r="H881" s="1" t="s">
        <x:v>1067</x:v>
      </x:c>
      <x:c r="I881" s="1" t="s">
        <x:v>1060</x:v>
      </x:c>
      <x:c r="J881" s="1" t="s">
        <x:v>1067</x:v>
      </x:c>
      <x:c r="M881" s="9"/>
      <x:c r="N881" s="118" t="str">
        <x:f t="shared" si="2"/>
        <x:v>#N/A</x:v>
      </x:c>
      <x:c r="Q881" s="9"/>
      <x:c r="R881" s="9"/>
      <x:c r="S881" s="9"/>
      <x:c r="T881" s="9"/>
    </x:row>
    <x:row r="882" ht="14.25" customHeight="1">
      <x:c r="A882" s="1">
        <x:v>879.0</x:v>
      </x:c>
      <x:c r="B882" s="1">
        <x:v>16.0</x:v>
      </x:c>
      <x:c r="C882" s="1" t="s">
        <x:v>1979</x:v>
      </x:c>
      <x:c r="D882" s="1" t="s">
        <x:v>491</x:v>
      </x:c>
      <x:c r="E882" s="1" t="s">
        <x:v>1980</x:v>
      </x:c>
      <x:c r="F882" s="1">
        <x:v>13.0</x:v>
      </x:c>
      <x:c r="G882" s="1" t="s">
        <x:v>1067</x:v>
      </x:c>
      <x:c r="H882" s="1" t="s">
        <x:v>1067</x:v>
      </x:c>
      <x:c r="I882" s="1" t="s">
        <x:v>1061</x:v>
      </x:c>
      <x:c r="J882" s="1" t="s">
        <x:v>1067</x:v>
      </x:c>
      <x:c r="M882" s="9"/>
      <x:c r="N882" s="118" t="str">
        <x:f t="shared" si="2"/>
        <x:v>#N/A</x:v>
      </x:c>
      <x:c r="Q882" s="9"/>
      <x:c r="R882" s="9"/>
      <x:c r="S882" s="9"/>
      <x:c r="T882" s="9"/>
    </x:row>
    <x:row r="883" ht="14.25" customHeight="1">
      <x:c r="A883" s="1">
        <x:v>880.0</x:v>
      </x:c>
      <x:c r="B883" s="1">
        <x:v>16.0</x:v>
      </x:c>
      <x:c r="C883" s="1" t="s">
        <x:v>1981</x:v>
      </x:c>
      <x:c r="D883" s="1" t="s">
        <x:v>533</x:v>
      </x:c>
      <x:c r="E883" s="1" t="s">
        <x:v>1982</x:v>
      </x:c>
      <x:c r="F883" s="1">
        <x:v>11.0</x:v>
      </x:c>
      <x:c r="G883" s="1" t="s">
        <x:v>1067</x:v>
      </x:c>
      <x:c r="H883" s="1" t="s">
        <x:v>1067</x:v>
      </x:c>
      <x:c r="I883" s="1" t="s">
        <x:v>1064</x:v>
      </x:c>
      <x:c r="J883" s="1" t="s">
        <x:v>1067</x:v>
      </x:c>
      <x:c r="M883" s="9"/>
      <x:c r="N883" s="118" t="str">
        <x:f t="shared" si="2"/>
        <x:v>#N/A</x:v>
      </x:c>
      <x:c r="Q883" s="9"/>
      <x:c r="R883" s="9"/>
      <x:c r="S883" s="9"/>
      <x:c r="T883" s="9"/>
    </x:row>
    <x:row r="884" ht="14.25" customHeight="1">
      <x:c r="A884" s="1">
        <x:v>881.0</x:v>
      </x:c>
      <x:c r="B884" s="1">
        <x:v>16.0</x:v>
      </x:c>
      <x:c r="C884" s="1" t="s">
        <x:v>1983</x:v>
      </x:c>
      <x:c r="D884" s="1" t="s">
        <x:v>547</x:v>
      </x:c>
      <x:c r="E884" s="1" t="s">
        <x:v>1984</x:v>
      </x:c>
      <x:c r="F884" s="1">
        <x:v>13.0</x:v>
      </x:c>
      <x:c r="G884" s="1" t="s">
        <x:v>1067</x:v>
      </x:c>
      <x:c r="H884" s="1" t="s">
        <x:v>1067</x:v>
      </x:c>
      <x:c r="I884" s="1" t="s">
        <x:v>1060</x:v>
      </x:c>
      <x:c r="J884" s="1" t="s">
        <x:v>1067</x:v>
      </x:c>
      <x:c r="M884" s="9"/>
      <x:c r="N884" s="118" t="str">
        <x:f t="shared" si="2"/>
        <x:v>#N/A</x:v>
      </x:c>
      <x:c r="Q884" s="9"/>
      <x:c r="R884" s="9"/>
      <x:c r="S884" s="9"/>
      <x:c r="T884" s="9"/>
    </x:row>
    <x:row r="885" ht="14.25" customHeight="1">
      <x:c r="A885" s="1">
        <x:v>882.0</x:v>
      </x:c>
      <x:c r="B885" s="1">
        <x:v>16.0</x:v>
      </x:c>
      <x:c r="C885" s="1" t="s">
        <x:v>1985</x:v>
      </x:c>
      <x:c r="D885" s="1" t="s">
        <x:v>503</x:v>
      </x:c>
      <x:c r="E885" s="1" t="s">
        <x:v>1986</x:v>
      </x:c>
      <x:c r="F885" s="1">
        <x:v>8.0</x:v>
      </x:c>
      <x:c r="G885" s="1" t="s">
        <x:v>1067</x:v>
      </x:c>
      <x:c r="H885" s="1" t="s">
        <x:v>1067</x:v>
      </x:c>
      <x:c r="I885" s="1" t="s">
        <x:v>1060</x:v>
      </x:c>
      <x:c r="J885" s="1" t="s">
        <x:v>1067</x:v>
      </x:c>
      <x:c r="M885" s="9"/>
      <x:c r="N885" s="118" t="str">
        <x:f t="shared" si="2"/>
        <x:v>#N/A</x:v>
      </x:c>
      <x:c r="Q885" s="9"/>
      <x:c r="R885" s="9"/>
      <x:c r="S885" s="9"/>
      <x:c r="T885" s="9"/>
    </x:row>
    <x:row r="886" ht="14.25" customHeight="1">
      <x:c r="A886" s="1">
        <x:v>883.0</x:v>
      </x:c>
      <x:c r="B886" s="1">
        <x:v>16.0</x:v>
      </x:c>
      <x:c r="C886" s="1" t="s">
        <x:v>1987</x:v>
      </x:c>
      <x:c r="D886" s="1" t="s">
        <x:v>543</x:v>
      </x:c>
      <x:c r="E886" s="1" t="s">
        <x:v>1988</x:v>
      </x:c>
      <x:c r="F886" s="1">
        <x:v>14.0</x:v>
      </x:c>
      <x:c r="G886" s="1" t="s">
        <x:v>1067</x:v>
      </x:c>
      <x:c r="H886" s="1" t="s">
        <x:v>1067</x:v>
      </x:c>
      <x:c r="I886" s="1" t="s">
        <x:v>1060</x:v>
      </x:c>
      <x:c r="J886" s="1" t="s">
        <x:v>1067</x:v>
      </x:c>
      <x:c r="M886" s="9"/>
      <x:c r="N886" s="118" t="str">
        <x:f t="shared" si="2"/>
        <x:v>#N/A</x:v>
      </x:c>
      <x:c r="Q886" s="9"/>
      <x:c r="R886" s="9"/>
      <x:c r="S886" s="9"/>
      <x:c r="T886" s="9"/>
    </x:row>
    <x:row r="887" ht="14.25" customHeight="1">
      <x:c r="M887" s="9"/>
      <x:c r="N887" s="9"/>
      <x:c r="Q887" s="9"/>
      <x:c r="R887" s="9"/>
      <x:c r="S887" s="9"/>
      <x:c r="T887" s="9"/>
    </x:row>
    <x:row r="888" ht="14.25" customHeight="1">
      <x:c r="M888" s="9"/>
      <x:c r="N888" s="9"/>
      <x:c r="Q888" s="9"/>
      <x:c r="R888" s="9"/>
      <x:c r="S888" s="9"/>
      <x:c r="T888" s="9"/>
    </x:row>
    <x:row r="889" ht="14.25" customHeight="1">
      <x:c r="M889" s="9"/>
      <x:c r="N889" s="9"/>
      <x:c r="Q889" s="9"/>
      <x:c r="R889" s="9"/>
      <x:c r="S889" s="9"/>
      <x:c r="T889" s="9"/>
    </x:row>
    <x:row r="890" ht="14.25" customHeight="1">
      <x:c r="M890" s="9"/>
      <x:c r="N890" s="9"/>
      <x:c r="Q890" s="9"/>
      <x:c r="R890" s="9"/>
      <x:c r="S890" s="9"/>
      <x:c r="T890" s="9"/>
    </x:row>
    <x:row r="891" ht="14.25" customHeight="1">
      <x:c r="M891" s="9"/>
      <x:c r="N891" s="9"/>
      <x:c r="Q891" s="9"/>
      <x:c r="R891" s="9"/>
      <x:c r="S891" s="9"/>
      <x:c r="T891" s="9"/>
    </x:row>
    <x:row r="892" ht="14.25" customHeight="1">
      <x:c r="M892" s="9"/>
      <x:c r="N892" s="9"/>
      <x:c r="Q892" s="9"/>
      <x:c r="R892" s="9"/>
      <x:c r="S892" s="9"/>
      <x:c r="T892" s="9"/>
    </x:row>
    <x:row r="893" ht="14.25" customHeight="1">
      <x:c r="M893" s="9"/>
      <x:c r="N893" s="9"/>
      <x:c r="Q893" s="9"/>
      <x:c r="R893" s="9"/>
      <x:c r="S893" s="9"/>
      <x:c r="T893" s="9"/>
    </x:row>
    <x:row r="894" ht="14.25" customHeight="1">
      <x:c r="M894" s="9"/>
      <x:c r="N894" s="9"/>
      <x:c r="Q894" s="9"/>
      <x:c r="R894" s="9"/>
      <x:c r="S894" s="9"/>
      <x:c r="T894" s="9"/>
    </x:row>
    <x:row r="895" ht="14.25" customHeight="1">
      <x:c r="M895" s="9"/>
      <x:c r="N895" s="9"/>
      <x:c r="Q895" s="9"/>
      <x:c r="R895" s="9"/>
      <x:c r="S895" s="9"/>
      <x:c r="T895" s="9"/>
    </x:row>
    <x:row r="896" ht="14.25" customHeight="1">
      <x:c r="M896" s="9"/>
      <x:c r="N896" s="9"/>
      <x:c r="Q896" s="9"/>
      <x:c r="R896" s="9"/>
      <x:c r="S896" s="9"/>
      <x:c r="T896" s="9"/>
    </x:row>
    <x:row r="897" ht="14.25" customHeight="1">
      <x:c r="M897" s="9"/>
      <x:c r="N897" s="9"/>
      <x:c r="Q897" s="9"/>
      <x:c r="R897" s="9"/>
      <x:c r="S897" s="9"/>
      <x:c r="T897" s="9"/>
    </x:row>
    <x:row r="898" ht="14.25" customHeight="1">
      <x:c r="M898" s="9"/>
      <x:c r="N898" s="9"/>
      <x:c r="Q898" s="9"/>
      <x:c r="R898" s="9"/>
      <x:c r="S898" s="9"/>
      <x:c r="T898" s="9"/>
    </x:row>
    <x:row r="899" ht="14.25" customHeight="1">
      <x:c r="M899" s="9"/>
      <x:c r="N899" s="9"/>
      <x:c r="Q899" s="9"/>
      <x:c r="R899" s="9"/>
      <x:c r="S899" s="9"/>
      <x:c r="T899" s="9"/>
    </x:row>
    <x:row r="900" ht="14.25" customHeight="1">
      <x:c r="M900" s="9"/>
      <x:c r="N900" s="9"/>
      <x:c r="Q900" s="9"/>
      <x:c r="R900" s="9"/>
      <x:c r="S900" s="9"/>
      <x:c r="T900" s="9"/>
    </x:row>
    <x:row r="901" ht="14.25" customHeight="1">
      <x:c r="M901" s="9"/>
      <x:c r="N901" s="9"/>
      <x:c r="Q901" s="9"/>
      <x:c r="R901" s="9"/>
      <x:c r="S901" s="9"/>
      <x:c r="T901" s="9"/>
    </x:row>
    <x:row r="902" ht="14.25" customHeight="1">
      <x:c r="M902" s="9"/>
      <x:c r="N902" s="9"/>
      <x:c r="Q902" s="9"/>
      <x:c r="R902" s="9"/>
      <x:c r="S902" s="9"/>
      <x:c r="T902" s="9"/>
    </x:row>
    <x:row r="903" ht="14.25" customHeight="1">
      <x:c r="M903" s="9"/>
      <x:c r="N903" s="9"/>
      <x:c r="Q903" s="9"/>
      <x:c r="R903" s="9"/>
      <x:c r="S903" s="9"/>
      <x:c r="T903" s="9"/>
    </x:row>
    <x:row r="904" ht="14.25" customHeight="1">
      <x:c r="M904" s="9"/>
      <x:c r="N904" s="9"/>
      <x:c r="Q904" s="9"/>
      <x:c r="R904" s="9"/>
      <x:c r="S904" s="9"/>
      <x:c r="T904" s="9"/>
    </x:row>
    <x:row r="905" ht="14.25" customHeight="1">
      <x:c r="M905" s="9"/>
      <x:c r="N905" s="9"/>
      <x:c r="Q905" s="9"/>
      <x:c r="R905" s="9"/>
      <x:c r="S905" s="9"/>
      <x:c r="T905" s="9"/>
    </x:row>
    <x:row r="906" ht="14.25" customHeight="1">
      <x:c r="M906" s="9"/>
      <x:c r="N906" s="9"/>
      <x:c r="Q906" s="9"/>
      <x:c r="R906" s="9"/>
      <x:c r="S906" s="9"/>
      <x:c r="T906" s="9"/>
    </x:row>
    <x:row r="907" ht="14.25" customHeight="1">
      <x:c r="M907" s="9"/>
      <x:c r="N907" s="9"/>
      <x:c r="Q907" s="9"/>
      <x:c r="R907" s="9"/>
      <x:c r="S907" s="9"/>
      <x:c r="T907" s="9"/>
    </x:row>
    <x:row r="908" ht="14.25" customHeight="1">
      <x:c r="M908" s="9"/>
      <x:c r="N908" s="9"/>
      <x:c r="Q908" s="9"/>
      <x:c r="R908" s="9"/>
      <x:c r="S908" s="9"/>
      <x:c r="T908" s="9"/>
    </x:row>
    <x:row r="909" ht="14.25" customHeight="1">
      <x:c r="M909" s="9"/>
      <x:c r="N909" s="9"/>
      <x:c r="Q909" s="9"/>
      <x:c r="R909" s="9"/>
      <x:c r="S909" s="9"/>
      <x:c r="T909" s="9"/>
    </x:row>
    <x:row r="910" ht="14.25" customHeight="1">
      <x:c r="M910" s="9"/>
      <x:c r="N910" s="9"/>
      <x:c r="Q910" s="9"/>
      <x:c r="R910" s="9"/>
      <x:c r="S910" s="9"/>
      <x:c r="T910" s="9"/>
    </x:row>
    <x:row r="911" ht="14.25" customHeight="1">
      <x:c r="M911" s="9"/>
      <x:c r="N911" s="9"/>
      <x:c r="Q911" s="9"/>
      <x:c r="R911" s="9"/>
      <x:c r="S911" s="9"/>
      <x:c r="T911" s="9"/>
    </x:row>
    <x:row r="912" ht="14.25" customHeight="1">
      <x:c r="M912" s="9"/>
      <x:c r="N912" s="9"/>
      <x:c r="Q912" s="9"/>
      <x:c r="R912" s="9"/>
      <x:c r="S912" s="9"/>
      <x:c r="T912" s="9"/>
    </x:row>
    <x:row r="913" ht="14.25" customHeight="1">
      <x:c r="M913" s="9"/>
      <x:c r="N913" s="9"/>
      <x:c r="Q913" s="9"/>
      <x:c r="R913" s="9"/>
      <x:c r="S913" s="9"/>
      <x:c r="T913" s="9"/>
    </x:row>
    <x:row r="914" ht="14.25" customHeight="1">
      <x:c r="M914" s="9"/>
      <x:c r="N914" s="9"/>
      <x:c r="Q914" s="9"/>
      <x:c r="R914" s="9"/>
      <x:c r="S914" s="9"/>
      <x:c r="T914" s="9"/>
    </x:row>
    <x:row r="915" ht="14.25" customHeight="1">
      <x:c r="M915" s="9"/>
      <x:c r="N915" s="9"/>
      <x:c r="Q915" s="9"/>
      <x:c r="R915" s="9"/>
      <x:c r="S915" s="9"/>
      <x:c r="T915" s="9"/>
    </x:row>
    <x:row r="916" ht="14.25" customHeight="1">
      <x:c r="M916" s="9"/>
      <x:c r="N916" s="9"/>
      <x:c r="Q916" s="9"/>
      <x:c r="R916" s="9"/>
      <x:c r="S916" s="9"/>
      <x:c r="T916" s="9"/>
    </x:row>
    <x:row r="917" ht="14.25" customHeight="1">
      <x:c r="M917" s="9"/>
      <x:c r="N917" s="9"/>
      <x:c r="Q917" s="9"/>
      <x:c r="R917" s="9"/>
      <x:c r="S917" s="9"/>
      <x:c r="T917" s="9"/>
    </x:row>
    <x:row r="918" ht="14.25" customHeight="1">
      <x:c r="M918" s="9"/>
      <x:c r="N918" s="9"/>
      <x:c r="Q918" s="9"/>
      <x:c r="R918" s="9"/>
      <x:c r="S918" s="9"/>
      <x:c r="T918" s="9"/>
    </x:row>
    <x:row r="919" ht="14.25" customHeight="1">
      <x:c r="M919" s="9"/>
      <x:c r="N919" s="9"/>
      <x:c r="Q919" s="9"/>
      <x:c r="R919" s="9"/>
      <x:c r="S919" s="9"/>
      <x:c r="T919" s="9"/>
    </x:row>
    <x:row r="920" ht="14.25" customHeight="1">
      <x:c r="M920" s="9"/>
      <x:c r="N920" s="9"/>
      <x:c r="Q920" s="9"/>
      <x:c r="R920" s="9"/>
      <x:c r="S920" s="9"/>
      <x:c r="T920" s="9"/>
    </x:row>
    <x:row r="921" ht="14.25" customHeight="1">
      <x:c r="M921" s="9"/>
      <x:c r="N921" s="9"/>
      <x:c r="Q921" s="9"/>
      <x:c r="R921" s="9"/>
      <x:c r="S921" s="9"/>
      <x:c r="T921" s="9"/>
    </x:row>
    <x:row r="922" ht="14.25" customHeight="1">
      <x:c r="M922" s="9"/>
      <x:c r="N922" s="9"/>
      <x:c r="Q922" s="9"/>
      <x:c r="R922" s="9"/>
      <x:c r="S922" s="9"/>
      <x:c r="T922" s="9"/>
    </x:row>
    <x:row r="923" ht="14.25" customHeight="1">
      <x:c r="M923" s="9"/>
      <x:c r="N923" s="9"/>
      <x:c r="Q923" s="9"/>
      <x:c r="R923" s="9"/>
      <x:c r="S923" s="9"/>
      <x:c r="T923" s="9"/>
    </x:row>
    <x:row r="924" ht="14.25" customHeight="1">
      <x:c r="M924" s="9"/>
      <x:c r="N924" s="9"/>
      <x:c r="Q924" s="9"/>
      <x:c r="R924" s="9"/>
      <x:c r="S924" s="9"/>
      <x:c r="T924" s="9"/>
    </x:row>
    <x:row r="925" ht="14.25" customHeight="1">
      <x:c r="M925" s="9"/>
      <x:c r="N925" s="9"/>
      <x:c r="Q925" s="9"/>
      <x:c r="R925" s="9"/>
      <x:c r="S925" s="9"/>
      <x:c r="T925" s="9"/>
    </x:row>
    <x:row r="926" ht="14.25" customHeight="1">
      <x:c r="M926" s="9"/>
      <x:c r="N926" s="9"/>
      <x:c r="Q926" s="9"/>
      <x:c r="R926" s="9"/>
      <x:c r="S926" s="9"/>
      <x:c r="T926" s="9"/>
    </x:row>
    <x:row r="927" ht="14.25" customHeight="1">
      <x:c r="M927" s="9"/>
      <x:c r="N927" s="9"/>
      <x:c r="Q927" s="9"/>
      <x:c r="R927" s="9"/>
      <x:c r="S927" s="9"/>
      <x:c r="T927" s="9"/>
    </x:row>
    <x:row r="928" ht="14.25" customHeight="1">
      <x:c r="M928" s="9"/>
      <x:c r="N928" s="9"/>
      <x:c r="Q928" s="9"/>
      <x:c r="R928" s="9"/>
      <x:c r="S928" s="9"/>
      <x:c r="T928" s="9"/>
    </x:row>
    <x:row r="929" ht="14.25" customHeight="1">
      <x:c r="M929" s="9"/>
      <x:c r="N929" s="9"/>
      <x:c r="Q929" s="9"/>
      <x:c r="R929" s="9"/>
      <x:c r="S929" s="9"/>
      <x:c r="T929" s="9"/>
    </x:row>
    <x:row r="930" ht="14.25" customHeight="1">
      <x:c r="M930" s="9"/>
      <x:c r="N930" s="9"/>
      <x:c r="Q930" s="9"/>
      <x:c r="R930" s="9"/>
      <x:c r="S930" s="9"/>
      <x:c r="T930" s="9"/>
    </x:row>
    <x:row r="931" ht="14.25" customHeight="1">
      <x:c r="M931" s="9"/>
      <x:c r="N931" s="9"/>
      <x:c r="Q931" s="9"/>
      <x:c r="R931" s="9"/>
      <x:c r="S931" s="9"/>
      <x:c r="T931" s="9"/>
    </x:row>
    <x:row r="932" ht="14.25" customHeight="1">
      <x:c r="M932" s="9"/>
      <x:c r="N932" s="9"/>
      <x:c r="Q932" s="9"/>
      <x:c r="R932" s="9"/>
      <x:c r="S932" s="9"/>
      <x:c r="T932" s="9"/>
    </x:row>
    <x:row r="933" ht="14.25" customHeight="1">
      <x:c r="M933" s="9"/>
      <x:c r="N933" s="9"/>
      <x:c r="Q933" s="9"/>
      <x:c r="R933" s="9"/>
      <x:c r="S933" s="9"/>
      <x:c r="T933" s="9"/>
    </x:row>
    <x:row r="934" ht="14.25" customHeight="1">
      <x:c r="M934" s="9"/>
      <x:c r="N934" s="9"/>
      <x:c r="Q934" s="9"/>
      <x:c r="R934" s="9"/>
      <x:c r="S934" s="9"/>
      <x:c r="T934" s="9"/>
    </x:row>
    <x:row r="935" ht="14.25" customHeight="1">
      <x:c r="M935" s="9"/>
      <x:c r="N935" s="9"/>
      <x:c r="Q935" s="9"/>
      <x:c r="R935" s="9"/>
      <x:c r="S935" s="9"/>
      <x:c r="T935" s="9"/>
    </x:row>
    <x:row r="936" ht="14.25" customHeight="1">
      <x:c r="M936" s="9"/>
      <x:c r="N936" s="9"/>
      <x:c r="Q936" s="9"/>
      <x:c r="R936" s="9"/>
      <x:c r="S936" s="9"/>
      <x:c r="T936" s="9"/>
    </x:row>
    <x:row r="937" ht="14.25" customHeight="1">
      <x:c r="M937" s="9"/>
      <x:c r="N937" s="9"/>
      <x:c r="Q937" s="9"/>
      <x:c r="R937" s="9"/>
      <x:c r="S937" s="9"/>
      <x:c r="T937" s="9"/>
    </x:row>
    <x:row r="938" ht="14.25" customHeight="1">
      <x:c r="M938" s="9"/>
      <x:c r="N938" s="9"/>
      <x:c r="Q938" s="9"/>
      <x:c r="R938" s="9"/>
      <x:c r="S938" s="9"/>
      <x:c r="T938" s="9"/>
    </x:row>
    <x:row r="939" ht="14.25" customHeight="1">
      <x:c r="M939" s="9"/>
      <x:c r="N939" s="9"/>
      <x:c r="Q939" s="9"/>
      <x:c r="R939" s="9"/>
      <x:c r="S939" s="9"/>
      <x:c r="T939" s="9"/>
    </x:row>
    <x:row r="940" ht="14.25" customHeight="1">
      <x:c r="M940" s="9"/>
      <x:c r="N940" s="9"/>
      <x:c r="Q940" s="9"/>
      <x:c r="R940" s="9"/>
      <x:c r="S940" s="9"/>
      <x:c r="T940" s="9"/>
    </x:row>
    <x:row r="941" ht="14.25" customHeight="1">
      <x:c r="M941" s="9"/>
      <x:c r="N941" s="9"/>
      <x:c r="Q941" s="9"/>
      <x:c r="R941" s="9"/>
      <x:c r="S941" s="9"/>
      <x:c r="T941" s="9"/>
    </x:row>
    <x:row r="942" ht="14.25" customHeight="1">
      <x:c r="M942" s="9"/>
      <x:c r="N942" s="9"/>
      <x:c r="Q942" s="9"/>
      <x:c r="R942" s="9"/>
      <x:c r="S942" s="9"/>
      <x:c r="T942" s="9"/>
    </x:row>
    <x:row r="943" ht="14.25" customHeight="1">
      <x:c r="M943" s="9"/>
      <x:c r="N943" s="9"/>
      <x:c r="Q943" s="9"/>
      <x:c r="R943" s="9"/>
      <x:c r="S943" s="9"/>
      <x:c r="T943" s="9"/>
    </x:row>
    <x:row r="944" ht="14.25" customHeight="1">
      <x:c r="M944" s="9"/>
      <x:c r="N944" s="9"/>
      <x:c r="Q944" s="9"/>
      <x:c r="R944" s="9"/>
      <x:c r="S944" s="9"/>
      <x:c r="T944" s="9"/>
    </x:row>
    <x:row r="945" ht="14.25" customHeight="1">
      <x:c r="M945" s="9"/>
      <x:c r="N945" s="9"/>
      <x:c r="Q945" s="9"/>
      <x:c r="R945" s="9"/>
      <x:c r="S945" s="9"/>
      <x:c r="T945" s="9"/>
    </x:row>
    <x:row r="946" ht="14.25" customHeight="1">
      <x:c r="M946" s="9"/>
      <x:c r="N946" s="9"/>
      <x:c r="Q946" s="9"/>
      <x:c r="R946" s="9"/>
      <x:c r="S946" s="9"/>
      <x:c r="T946" s="9"/>
    </x:row>
    <x:row r="947" ht="14.25" customHeight="1">
      <x:c r="M947" s="9"/>
      <x:c r="N947" s="9"/>
      <x:c r="Q947" s="9"/>
      <x:c r="R947" s="9"/>
      <x:c r="S947" s="9"/>
      <x:c r="T947" s="9"/>
    </x:row>
    <x:row r="948" ht="14.25" customHeight="1">
      <x:c r="M948" s="9"/>
      <x:c r="N948" s="9"/>
      <x:c r="Q948" s="9"/>
      <x:c r="R948" s="9"/>
      <x:c r="S948" s="9"/>
      <x:c r="T948" s="9"/>
    </x:row>
    <x:row r="949" ht="14.25" customHeight="1">
      <x:c r="M949" s="9"/>
      <x:c r="N949" s="9"/>
      <x:c r="Q949" s="9"/>
      <x:c r="R949" s="9"/>
      <x:c r="S949" s="9"/>
      <x:c r="T949" s="9"/>
    </x:row>
    <x:row r="950" ht="14.25" customHeight="1">
      <x:c r="M950" s="9"/>
      <x:c r="N950" s="9"/>
      <x:c r="Q950" s="9"/>
      <x:c r="R950" s="9"/>
      <x:c r="S950" s="9"/>
      <x:c r="T950" s="9"/>
    </x:row>
    <x:row r="951" ht="14.25" customHeight="1">
      <x:c r="M951" s="9"/>
      <x:c r="N951" s="9"/>
      <x:c r="Q951" s="9"/>
      <x:c r="R951" s="9"/>
      <x:c r="S951" s="9"/>
      <x:c r="T951" s="9"/>
    </x:row>
    <x:row r="952" ht="14.25" customHeight="1">
      <x:c r="M952" s="9"/>
      <x:c r="N952" s="9"/>
      <x:c r="Q952" s="9"/>
      <x:c r="R952" s="9"/>
      <x:c r="S952" s="9"/>
      <x:c r="T952" s="9"/>
    </x:row>
    <x:row r="953" ht="14.25" customHeight="1">
      <x:c r="M953" s="9"/>
      <x:c r="N953" s="9"/>
      <x:c r="Q953" s="9"/>
      <x:c r="R953" s="9"/>
      <x:c r="S953" s="9"/>
      <x:c r="T953" s="9"/>
    </x:row>
    <x:row r="954" ht="14.25" customHeight="1">
      <x:c r="M954" s="9"/>
      <x:c r="N954" s="9"/>
      <x:c r="Q954" s="9"/>
      <x:c r="R954" s="9"/>
      <x:c r="S954" s="9"/>
      <x:c r="T954" s="9"/>
    </x:row>
    <x:row r="955" ht="14.25" customHeight="1">
      <x:c r="M955" s="9"/>
      <x:c r="N955" s="9"/>
      <x:c r="Q955" s="9"/>
      <x:c r="R955" s="9"/>
      <x:c r="S955" s="9"/>
      <x:c r="T955" s="9"/>
    </x:row>
    <x:row r="956" ht="14.25" customHeight="1">
      <x:c r="M956" s="9"/>
      <x:c r="N956" s="9"/>
      <x:c r="Q956" s="9"/>
      <x:c r="R956" s="9"/>
      <x:c r="S956" s="9"/>
      <x:c r="T956" s="9"/>
    </x:row>
    <x:row r="957" ht="14.25" customHeight="1">
      <x:c r="M957" s="9"/>
      <x:c r="N957" s="9"/>
      <x:c r="Q957" s="9"/>
      <x:c r="R957" s="9"/>
      <x:c r="S957" s="9"/>
      <x:c r="T957" s="9"/>
    </x:row>
    <x:row r="958" ht="14.25" customHeight="1">
      <x:c r="M958" s="9"/>
      <x:c r="N958" s="9"/>
      <x:c r="Q958" s="9"/>
      <x:c r="R958" s="9"/>
      <x:c r="S958" s="9"/>
      <x:c r="T958" s="9"/>
    </x:row>
    <x:row r="959" ht="14.25" customHeight="1">
      <x:c r="M959" s="9"/>
      <x:c r="N959" s="9"/>
      <x:c r="Q959" s="9"/>
      <x:c r="R959" s="9"/>
      <x:c r="S959" s="9"/>
      <x:c r="T959" s="9"/>
    </x:row>
    <x:row r="960" ht="14.25" customHeight="1">
      <x:c r="M960" s="9"/>
      <x:c r="N960" s="9"/>
      <x:c r="Q960" s="9"/>
      <x:c r="R960" s="9"/>
      <x:c r="S960" s="9"/>
      <x:c r="T960" s="9"/>
    </x:row>
    <x:row r="961" ht="14.25" customHeight="1">
      <x:c r="M961" s="9"/>
      <x:c r="N961" s="9"/>
      <x:c r="Q961" s="9"/>
      <x:c r="R961" s="9"/>
      <x:c r="S961" s="9"/>
      <x:c r="T961" s="9"/>
    </x:row>
    <x:row r="962" ht="14.25" customHeight="1">
      <x:c r="M962" s="9"/>
      <x:c r="N962" s="9"/>
      <x:c r="Q962" s="9"/>
      <x:c r="R962" s="9"/>
      <x:c r="S962" s="9"/>
      <x:c r="T962" s="9"/>
    </x:row>
    <x:row r="963" ht="14.25" customHeight="1">
      <x:c r="M963" s="9"/>
      <x:c r="N963" s="9"/>
      <x:c r="Q963" s="9"/>
      <x:c r="R963" s="9"/>
      <x:c r="S963" s="9"/>
      <x:c r="T963" s="9"/>
    </x:row>
    <x:row r="964" ht="14.25" customHeight="1">
      <x:c r="M964" s="9"/>
      <x:c r="N964" s="9"/>
      <x:c r="Q964" s="9"/>
      <x:c r="R964" s="9"/>
      <x:c r="S964" s="9"/>
      <x:c r="T964" s="9"/>
    </x:row>
    <x:row r="965" ht="14.25" customHeight="1">
      <x:c r="M965" s="9"/>
      <x:c r="N965" s="9"/>
      <x:c r="Q965" s="9"/>
      <x:c r="R965" s="9"/>
      <x:c r="S965" s="9"/>
      <x:c r="T965" s="9"/>
    </x:row>
    <x:row r="966" ht="14.25" customHeight="1">
      <x:c r="M966" s="9"/>
      <x:c r="N966" s="9"/>
      <x:c r="Q966" s="9"/>
      <x:c r="R966" s="9"/>
      <x:c r="S966" s="9"/>
      <x:c r="T966" s="9"/>
    </x:row>
    <x:row r="967" ht="14.25" customHeight="1">
      <x:c r="M967" s="9"/>
      <x:c r="N967" s="9"/>
      <x:c r="Q967" s="9"/>
      <x:c r="R967" s="9"/>
      <x:c r="S967" s="9"/>
      <x:c r="T967" s="9"/>
    </x:row>
    <x:row r="968" ht="14.25" customHeight="1">
      <x:c r="M968" s="9"/>
      <x:c r="N968" s="9"/>
      <x:c r="Q968" s="9"/>
      <x:c r="R968" s="9"/>
      <x:c r="S968" s="9"/>
      <x:c r="T968" s="9"/>
    </x:row>
    <x:row r="969" ht="14.25" customHeight="1">
      <x:c r="M969" s="9"/>
      <x:c r="N969" s="9"/>
      <x:c r="Q969" s="9"/>
      <x:c r="R969" s="9"/>
      <x:c r="S969" s="9"/>
      <x:c r="T969" s="9"/>
    </x:row>
    <x:row r="970" ht="14.25" customHeight="1">
      <x:c r="M970" s="9"/>
      <x:c r="N970" s="9"/>
      <x:c r="Q970" s="9"/>
      <x:c r="R970" s="9"/>
      <x:c r="S970" s="9"/>
      <x:c r="T970" s="9"/>
    </x:row>
    <x:row r="971" ht="14.25" customHeight="1">
      <x:c r="M971" s="9"/>
      <x:c r="N971" s="9"/>
      <x:c r="Q971" s="9"/>
      <x:c r="R971" s="9"/>
      <x:c r="S971" s="9"/>
      <x:c r="T971" s="9"/>
    </x:row>
    <x:row r="972" ht="14.25" customHeight="1">
      <x:c r="M972" s="9"/>
      <x:c r="N972" s="9"/>
      <x:c r="Q972" s="9"/>
      <x:c r="R972" s="9"/>
      <x:c r="S972" s="9"/>
      <x:c r="T972" s="9"/>
    </x:row>
    <x:row r="973" ht="14.25" customHeight="1">
      <x:c r="M973" s="9"/>
      <x:c r="N973" s="9"/>
      <x:c r="Q973" s="9"/>
      <x:c r="R973" s="9"/>
      <x:c r="S973" s="9"/>
      <x:c r="T973" s="9"/>
    </x:row>
    <x:row r="974" ht="14.25" customHeight="1">
      <x:c r="M974" s="9"/>
      <x:c r="N974" s="9"/>
      <x:c r="Q974" s="9"/>
      <x:c r="R974" s="9"/>
      <x:c r="S974" s="9"/>
      <x:c r="T974" s="9"/>
    </x:row>
    <x:row r="975" ht="14.25" customHeight="1">
      <x:c r="M975" s="9"/>
      <x:c r="N975" s="9"/>
      <x:c r="Q975" s="9"/>
      <x:c r="R975" s="9"/>
      <x:c r="S975" s="9"/>
      <x:c r="T975" s="9"/>
    </x:row>
    <x:row r="976" ht="14.25" customHeight="1">
      <x:c r="M976" s="9"/>
      <x:c r="N976" s="9"/>
      <x:c r="Q976" s="9"/>
      <x:c r="R976" s="9"/>
      <x:c r="S976" s="9"/>
      <x:c r="T976" s="9"/>
    </x:row>
    <x:row r="977" ht="14.25" customHeight="1">
      <x:c r="M977" s="9"/>
      <x:c r="N977" s="9"/>
      <x:c r="Q977" s="9"/>
      <x:c r="R977" s="9"/>
      <x:c r="S977" s="9"/>
      <x:c r="T977" s="9"/>
    </x:row>
    <x:row r="978" ht="14.25" customHeight="1">
      <x:c r="M978" s="9"/>
      <x:c r="N978" s="9"/>
      <x:c r="Q978" s="9"/>
      <x:c r="R978" s="9"/>
      <x:c r="S978" s="9"/>
      <x:c r="T978" s="9"/>
    </x:row>
    <x:row r="979" ht="14.25" customHeight="1">
      <x:c r="M979" s="9"/>
      <x:c r="N979" s="9"/>
      <x:c r="Q979" s="9"/>
      <x:c r="R979" s="9"/>
      <x:c r="S979" s="9"/>
      <x:c r="T979" s="9"/>
    </x:row>
    <x:row r="980" ht="14.25" customHeight="1">
      <x:c r="M980" s="9"/>
      <x:c r="N980" s="9"/>
      <x:c r="Q980" s="9"/>
      <x:c r="R980" s="9"/>
      <x:c r="S980" s="9"/>
      <x:c r="T980" s="9"/>
    </x:row>
    <x:row r="981" ht="14.25" customHeight="1">
      <x:c r="M981" s="9"/>
      <x:c r="N981" s="9"/>
      <x:c r="Q981" s="9"/>
      <x:c r="R981" s="9"/>
      <x:c r="S981" s="9"/>
      <x:c r="T981" s="9"/>
    </x:row>
    <x:row r="982" ht="14.25" customHeight="1">
      <x:c r="M982" s="9"/>
      <x:c r="N982" s="9"/>
      <x:c r="Q982" s="9"/>
      <x:c r="R982" s="9"/>
      <x:c r="S982" s="9"/>
      <x:c r="T982" s="9"/>
    </x:row>
    <x:row r="983" ht="14.25" customHeight="1">
      <x:c r="M983" s="9"/>
      <x:c r="N983" s="9"/>
      <x:c r="Q983" s="9"/>
      <x:c r="R983" s="9"/>
      <x:c r="S983" s="9"/>
      <x:c r="T983" s="9"/>
    </x:row>
    <x:row r="984" ht="14.25" customHeight="1">
      <x:c r="M984" s="9"/>
      <x:c r="N984" s="9"/>
      <x:c r="Q984" s="9"/>
      <x:c r="R984" s="9"/>
      <x:c r="S984" s="9"/>
      <x:c r="T984" s="9"/>
    </x:row>
    <x:row r="985" ht="14.25" customHeight="1">
      <x:c r="M985" s="9"/>
      <x:c r="N985" s="9"/>
      <x:c r="Q985" s="9"/>
      <x:c r="R985" s="9"/>
      <x:c r="S985" s="9"/>
      <x:c r="T985" s="9"/>
    </x:row>
    <x:row r="986" ht="14.25" customHeight="1">
      <x:c r="M986" s="9"/>
      <x:c r="N986" s="9"/>
      <x:c r="Q986" s="9"/>
      <x:c r="R986" s="9"/>
      <x:c r="S986" s="9"/>
      <x:c r="T986" s="9"/>
    </x:row>
    <x:row r="987" ht="14.25" customHeight="1">
      <x:c r="M987" s="9"/>
      <x:c r="N987" s="9"/>
      <x:c r="Q987" s="9"/>
      <x:c r="R987" s="9"/>
      <x:c r="S987" s="9"/>
      <x:c r="T987" s="9"/>
    </x:row>
    <x:row r="988" ht="14.25" customHeight="1">
      <x:c r="M988" s="9"/>
      <x:c r="N988" s="9"/>
      <x:c r="Q988" s="9"/>
      <x:c r="R988" s="9"/>
      <x:c r="S988" s="9"/>
      <x:c r="T988" s="9"/>
    </x:row>
    <x:row r="989" ht="14.25" customHeight="1">
      <x:c r="M989" s="9"/>
      <x:c r="N989" s="9"/>
      <x:c r="Q989" s="9"/>
      <x:c r="R989" s="9"/>
      <x:c r="S989" s="9"/>
      <x:c r="T989" s="9"/>
    </x:row>
    <x:row r="990" ht="14.25" customHeight="1">
      <x:c r="M990" s="9"/>
      <x:c r="N990" s="9"/>
      <x:c r="Q990" s="9"/>
      <x:c r="R990" s="9"/>
      <x:c r="S990" s="9"/>
      <x:c r="T990" s="9"/>
    </x:row>
    <x:row r="991" ht="14.25" customHeight="1">
      <x:c r="M991" s="9"/>
      <x:c r="N991" s="9"/>
      <x:c r="Q991" s="9"/>
      <x:c r="R991" s="9"/>
      <x:c r="S991" s="9"/>
      <x:c r="T991" s="9"/>
    </x:row>
    <x:row r="992" ht="14.25" customHeight="1">
      <x:c r="M992" s="9"/>
      <x:c r="N992" s="9"/>
      <x:c r="Q992" s="9"/>
      <x:c r="R992" s="9"/>
      <x:c r="S992" s="9"/>
      <x:c r="T992" s="9"/>
    </x:row>
    <x:row r="993" ht="14.25" customHeight="1">
      <x:c r="M993" s="9"/>
      <x:c r="N993" s="9"/>
      <x:c r="Q993" s="9"/>
      <x:c r="R993" s="9"/>
      <x:c r="S993" s="9"/>
      <x:c r="T993" s="9"/>
    </x:row>
    <x:row r="994" ht="14.25" customHeight="1">
      <x:c r="M994" s="9"/>
      <x:c r="N994" s="9"/>
      <x:c r="Q994" s="9"/>
      <x:c r="R994" s="9"/>
      <x:c r="S994" s="9"/>
      <x:c r="T994" s="9"/>
    </x:row>
    <x:row r="995" ht="14.25" customHeight="1">
      <x:c r="M995" s="9"/>
      <x:c r="N995" s="9"/>
      <x:c r="Q995" s="9"/>
      <x:c r="R995" s="9"/>
      <x:c r="S995" s="9"/>
      <x:c r="T995" s="9"/>
    </x:row>
    <x:row r="996" ht="14.25" customHeight="1">
      <x:c r="M996" s="9"/>
      <x:c r="N996" s="9"/>
      <x:c r="Q996" s="9"/>
      <x:c r="R996" s="9"/>
      <x:c r="S996" s="9"/>
      <x:c r="T996" s="9"/>
    </x:row>
    <x:row r="997" ht="14.25" customHeight="1">
      <x:c r="M997" s="9"/>
      <x:c r="N997" s="9"/>
      <x:c r="Q997" s="9"/>
      <x:c r="R997" s="9"/>
      <x:c r="S997" s="9"/>
      <x:c r="T997" s="9"/>
    </x:row>
    <x:row r="998" ht="14.25" customHeight="1">
      <x:c r="M998" s="9"/>
      <x:c r="N998" s="9"/>
      <x:c r="Q998" s="9"/>
      <x:c r="R998" s="9"/>
      <x:c r="S998" s="9"/>
      <x:c r="T998" s="9"/>
    </x:row>
    <x:row r="999" ht="14.25" customHeight="1">
      <x:c r="M999" s="9"/>
      <x:c r="N999" s="9"/>
      <x:c r="Q999" s="9"/>
      <x:c r="R999" s="9"/>
      <x:c r="S999" s="9"/>
      <x:c r="T999" s="9"/>
    </x:row>
    <x:row r="1000" ht="14.25" customHeight="1">
      <x:c r="M1000" s="9"/>
      <x:c r="N1000" s="9"/>
      <x:c r="Q1000" s="9"/>
      <x:c r="R1000" s="9"/>
      <x:c r="S1000" s="9"/>
      <x:c r="T1000" s="9"/>
    </x:row>
  </x:sheetData>
  <x:conditionalFormatting sqref="M2:M819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1" max="1" width="8.5" customWidth="1"/>
    <x:col min="2" max="2" width="21.25" customWidth="1"/>
    <x:col min="3" max="3" width="8.880000114440918" customWidth="1"/>
    <x:col min="4" max="4" width="15.5" customWidth="1"/>
    <x:col min="5" max="10" width="8.880000114440918" customWidth="1"/>
    <x:col min="11" max="11" width="20.3799991607666" customWidth="1"/>
    <x:col min="12" max="12" width="19.8799991607666" customWidth="1"/>
    <x:col min="13" max="13" width="19" customWidth="1"/>
    <x:col min="14" max="14" width="17" customWidth="1"/>
    <x:col min="15" max="15" width="19.6299991607666" customWidth="1"/>
    <x:col min="16" max="26" width="8.5" customWidth="1"/>
  </x:cols>
  <x:sheetData>
    <x:row r="1" ht="14.25" customHeight="1">
      <x:c r="A1" s="1" t="s">
        <x:v>1989</x:v>
      </x:c>
      <x:c r="B1" s="1" t="s">
        <x:v>1990</x:v>
      </x:c>
    </x:row>
    <x:row r="2" ht="14.25" customHeight="1">
      <x:c r="A2" s="9" t="s">
        <x:v>129</x:v>
      </x:c>
      <x:c r="B2" s="127">
        <x:v>1.7985000000000007</x:v>
      </x:c>
      <x:c r="D2" s="129"/>
      <x:c r="N2" s="9"/>
      <x:c r="O2" s="128"/>
    </x:row>
    <x:row r="3" ht="14.25" customHeight="1">
      <x:c r="A3" s="9" t="s">
        <x:v>133</x:v>
      </x:c>
      <x:c r="B3" s="127">
        <x:v>1.7645999999999997</x:v>
      </x:c>
      <x:c r="D3" s="129"/>
      <x:c r="G3" s="130"/>
      <x:c r="H3" s="131"/>
      <x:c r="N3" s="9"/>
      <x:c r="O3" s="128"/>
    </x:row>
    <x:row r="4" ht="14.25" customHeight="1">
      <x:c r="A4" s="9" t="s">
        <x:v>137</x:v>
      </x:c>
      <x:c r="B4" s="127">
        <x:v>1.7403000000000013</x:v>
      </x:c>
      <x:c r="D4" s="129"/>
      <x:c r="G4" s="130"/>
      <x:c r="H4" s="131"/>
      <x:c r="N4" s="9"/>
      <x:c r="O4" s="128"/>
    </x:row>
    <x:row r="5" ht="14.25" customHeight="1">
      <x:c r="A5" s="9" t="s">
        <x:v>141</x:v>
      </x:c>
      <x:c r="B5" s="127">
        <x:v>1.7256</x:v>
      </x:c>
      <x:c r="D5" s="129"/>
      <x:c r="G5" s="130"/>
      <x:c r="H5" s="131"/>
      <x:c r="N5" s="9"/>
      <x:c r="O5" s="128"/>
    </x:row>
    <x:row r="6" ht="14.25" customHeight="1">
      <x:c r="A6" s="9" t="s">
        <x:v>145</x:v>
      </x:c>
      <x:c r="B6" s="127">
        <x:v>1.7205000000000013</x:v>
      </x:c>
      <x:c r="D6" s="129"/>
      <x:c r="G6" s="130"/>
      <x:c r="H6" s="131"/>
    </x:row>
    <x:row r="7" ht="14.25" customHeight="1">
      <x:c r="A7" s="9" t="s">
        <x:v>149</x:v>
      </x:c>
      <x:c r="B7" s="127">
        <x:v>1.7249999999999996</x:v>
      </x:c>
      <x:c r="D7" s="129"/>
      <x:c r="G7" s="130"/>
      <x:c r="H7" s="131"/>
    </x:row>
    <x:row r="8" ht="14.25" customHeight="1">
      <x:c r="A8" s="9" t="s">
        <x:v>153</x:v>
      </x:c>
      <x:c r="B8" s="127">
        <x:v>1.7391000000000005</x:v>
      </x:c>
      <x:c r="D8" s="129"/>
      <x:c r="G8" s="130"/>
      <x:c r="H8" s="131"/>
    </x:row>
    <x:row r="9" ht="14.25" customHeight="1">
      <x:c r="A9" s="9" t="s">
        <x:v>157</x:v>
      </x:c>
      <x:c r="B9" s="127">
        <x:v>1.7628000000000004</x:v>
      </x:c>
      <x:c r="D9" s="129"/>
      <x:c r="G9" s="130"/>
      <x:c r="H9" s="131"/>
    </x:row>
    <x:row r="10" ht="14.25" customHeight="1">
      <x:c r="A10" s="9" t="s">
        <x:v>161</x:v>
      </x:c>
      <x:c r="B10" s="127">
        <x:v>1.796100000000001</x:v>
      </x:c>
      <x:c r="D10" s="129"/>
      <x:c r="G10" s="130"/>
      <x:c r="H10" s="131"/>
    </x:row>
    <x:row r="11" ht="14.25" customHeight="1">
      <x:c r="A11" s="9" t="s">
        <x:v>165</x:v>
      </x:c>
      <x:c r="B11" s="127">
        <x:v>1.8390000000000004</x:v>
      </x:c>
      <x:c r="D11" s="129"/>
      <x:c r="G11" s="130"/>
      <x:c r="H11" s="131"/>
    </x:row>
    <x:row r="12" ht="14.25" customHeight="1">
      <x:c r="A12" s="9" t="s">
        <x:v>169</x:v>
      </x:c>
      <x:c r="B12" s="127">
        <x:v>1.8915000000000006</x:v>
      </x:c>
      <x:c r="D12" s="129"/>
      <x:c r="G12" s="130"/>
      <x:c r="H12" s="131"/>
    </x:row>
    <x:row r="13" ht="14.25" customHeight="1">
      <x:c r="A13" s="9" t="s">
        <x:v>173</x:v>
      </x:c>
      <x:c r="B13" s="127">
        <x:v>1.9535999999999998</x:v>
      </x:c>
      <x:c r="D13" s="129"/>
      <x:c r="G13" s="130"/>
      <x:c r="H13" s="131"/>
    </x:row>
    <x:row r="14" ht="14.25" customHeight="1">
      <x:c r="A14" s="9" t="s">
        <x:v>177</x:v>
      </x:c>
      <x:c r="B14" s="127">
        <x:v>2.0252999999999997</x:v>
      </x:c>
      <x:c r="D14" s="129"/>
      <x:c r="G14" s="130"/>
      <x:c r="H14" s="131"/>
    </x:row>
    <x:row r="15" ht="14.25" customHeight="1">
      <x:c r="A15" s="9" t="s">
        <x:v>181</x:v>
      </x:c>
      <x:c r="B15" s="127">
        <x:v>2.1066000000000003</x:v>
      </x:c>
      <x:c r="D15" s="129"/>
      <x:c r="G15" s="130"/>
      <x:c r="H15" s="131"/>
    </x:row>
    <x:row r="16" ht="14.25" customHeight="1">
      <x:c r="A16" s="9" t="s">
        <x:v>185</x:v>
      </x:c>
      <x:c r="B16" s="127">
        <x:v>2.1975</x:v>
      </x:c>
      <x:c r="D16" s="129"/>
      <x:c r="G16" s="130"/>
      <x:c r="H16" s="131"/>
    </x:row>
    <x:row r="17" ht="14.25" customHeight="1">
      <x:c r="A17" s="9" t="s">
        <x:v>189</x:v>
      </x:c>
      <x:c r="B17" s="127">
        <x:v>2.298</x:v>
      </x:c>
      <x:c r="D17" s="129"/>
      <x:c r="G17" s="130"/>
      <x:c r="H17" s="131"/>
    </x:row>
    <x:row r="18" ht="14.25" customHeight="1">
      <x:c r="A18" s="9" t="s">
        <x:v>193</x:v>
      </x:c>
      <x:c r="B18" s="127">
        <x:v>2.408100000000001</x:v>
      </x:c>
      <x:c r="D18" s="129"/>
      <x:c r="G18" s="130"/>
      <x:c r="H18" s="131"/>
    </x:row>
    <x:row r="19" ht="14.25" customHeight="1">
      <x:c r="A19" s="9" t="s">
        <x:v>197</x:v>
      </x:c>
      <x:c r="B19" s="127">
        <x:v>2.527800000000001</x:v>
      </x:c>
      <x:c r="D19" s="129"/>
      <x:c r="G19" s="130"/>
      <x:c r="H19" s="131"/>
    </x:row>
    <x:row r="20" ht="14.25" customHeight="1">
      <x:c r="A20" s="9" t="s">
        <x:v>201</x:v>
      </x:c>
      <x:c r="B20" s="127">
        <x:v>2.6571</x:v>
      </x:c>
      <x:c r="D20" s="129"/>
      <x:c r="G20" s="130"/>
      <x:c r="H20" s="131"/>
    </x:row>
    <x:row r="21" ht="14.25" customHeight="1">
      <x:c r="A21" s="9" t="s">
        <x:v>205</x:v>
      </x:c>
      <x:c r="B21" s="127">
        <x:v>2.796000000000001</x:v>
      </x:c>
      <x:c r="D21" s="129"/>
      <x:c r="G21" s="130"/>
      <x:c r="H21" s="131"/>
    </x:row>
    <x:row r="22" ht="14.25" customHeight="1">
      <x:c r="A22" s="9" t="s">
        <x:v>209</x:v>
      </x:c>
      <x:c r="B22" s="127">
        <x:v>2.9445000000000014</x:v>
      </x:c>
      <x:c r="D22" s="129"/>
      <x:c r="G22" s="130"/>
      <x:c r="H22" s="131"/>
    </x:row>
    <x:row r="23" ht="14.25" customHeight="1">
      <x:c r="A23" s="9" t="s">
        <x:v>213</x:v>
      </x:c>
      <x:c r="B23" s="127">
        <x:v>3.1026000000000007</x:v>
      </x:c>
      <x:c r="D23" s="129"/>
      <x:c r="G23" s="130"/>
      <x:c r="H23" s="131"/>
    </x:row>
    <x:row r="24" ht="14.25" customHeight="1">
      <x:c r="A24" s="9" t="s">
        <x:v>217</x:v>
      </x:c>
      <x:c r="B24" s="127">
        <x:v>3.2</x:v>
      </x:c>
      <x:c r="D24" s="129"/>
      <x:c r="G24" s="130"/>
      <x:c r="H24" s="131"/>
    </x:row>
    <x:row r="25" ht="14.25" customHeight="1">
      <x:c r="A25" s="9" t="s">
        <x:v>221</x:v>
      </x:c>
      <x:c r="B25" s="127">
        <x:v>3.2</x:v>
      </x:c>
      <x:c r="D25" s="129"/>
      <x:c r="G25" s="130"/>
      <x:c r="H25" s="131"/>
    </x:row>
    <x:row r="26" ht="14.25" customHeight="1">
      <x:c r="A26" s="9" t="s">
        <x:v>225</x:v>
      </x:c>
      <x:c r="B26" s="127">
        <x:v>3.2</x:v>
      </x:c>
      <x:c r="D26" s="129"/>
      <x:c r="G26" s="130"/>
      <x:c r="H26" s="131"/>
    </x:row>
    <x:row r="27" ht="14.25" customHeight="1">
      <x:c r="A27" s="9" t="s">
        <x:v>229</x:v>
      </x:c>
      <x:c r="B27" s="127">
        <x:v>3.2</x:v>
      </x:c>
      <x:c r="D27" s="129"/>
      <x:c r="G27" s="130"/>
      <x:c r="H27" s="131"/>
    </x:row>
    <x:row r="28" ht="14.25" customHeight="1">
      <x:c r="A28" s="9" t="s">
        <x:v>233</x:v>
      </x:c>
      <x:c r="B28" s="127">
        <x:v>3.2</x:v>
      </x:c>
      <x:c r="D28" s="129"/>
      <x:c r="G28" s="130"/>
      <x:c r="H28" s="131"/>
    </x:row>
    <x:row r="29" ht="14.25" customHeight="1">
      <x:c r="A29" s="9" t="s">
        <x:v>237</x:v>
      </x:c>
      <x:c r="B29" s="127">
        <x:v>3.2</x:v>
      </x:c>
      <x:c r="D29" s="129"/>
      <x:c r="G29" s="130"/>
      <x:c r="H29" s="131"/>
    </x:row>
    <x:row r="30" ht="14.25" customHeight="1">
      <x:c r="A30" s="9" t="s">
        <x:v>241</x:v>
      </x:c>
      <x:c r="B30" s="127">
        <x:v>3.2</x:v>
      </x:c>
      <x:c r="D30" s="129"/>
      <x:c r="G30" s="130"/>
      <x:c r="H30" s="131"/>
    </x:row>
    <x:row r="31" ht="14.25" customHeight="1">
      <x:c r="A31" s="9" t="s">
        <x:v>245</x:v>
      </x:c>
      <x:c r="B31" s="127">
        <x:v>3.2</x:v>
      </x:c>
      <x:c r="D31" s="129"/>
      <x:c r="G31" s="130"/>
      <x:c r="H31" s="131"/>
    </x:row>
    <x:row r="32" ht="14.25" customHeight="1">
      <x:c r="A32" s="9" t="s">
        <x:v>249</x:v>
      </x:c>
      <x:c r="B32" s="127">
        <x:v>3.2</x:v>
      </x:c>
      <x:c r="D32" s="129"/>
      <x:c r="G32" s="130"/>
      <x:c r="H32" s="131"/>
    </x:row>
    <x:row r="33" ht="14.25" customHeight="1">
      <x:c r="A33" s="9" t="s">
        <x:v>253</x:v>
      </x:c>
      <x:c r="B33" s="127">
        <x:v>3.2</x:v>
      </x:c>
      <x:c r="D33" s="129"/>
      <x:c r="G33" s="130"/>
      <x:c r="H33" s="131"/>
    </x:row>
    <x:row r="34" ht="14.25" customHeight="1">
      <x:c r="A34" s="9" t="s">
        <x:v>257</x:v>
      </x:c>
      <x:c r="B34" s="127">
        <x:v>3.2</x:v>
      </x:c>
      <x:c r="D34" s="129"/>
      <x:c r="G34" s="130"/>
      <x:c r="H34" s="131"/>
    </x:row>
    <x:row r="35" ht="14.25" customHeight="1">
      <x:c r="A35" s="9" t="s">
        <x:v>261</x:v>
      </x:c>
      <x:c r="B35" s="127">
        <x:v>3.2</x:v>
      </x:c>
      <x:c r="D35" s="129"/>
      <x:c r="G35" s="130"/>
      <x:c r="H35" s="130"/>
    </x:row>
    <x:row r="36" ht="14.25" customHeight="1">
      <x:c r="A36" s="9" t="s">
        <x:v>265</x:v>
      </x:c>
      <x:c r="B36" s="127">
        <x:v>3.2</x:v>
      </x:c>
      <x:c r="D36" s="129"/>
      <x:c r="G36" s="130"/>
      <x:c r="H36" s="130"/>
    </x:row>
    <x:row r="37" ht="14.25" customHeight="1">
      <x:c r="A37" s="9" t="s">
        <x:v>269</x:v>
      </x:c>
      <x:c r="B37" s="127">
        <x:v>3.2</x:v>
      </x:c>
      <x:c r="D37" s="129"/>
      <x:c r="G37" s="130"/>
      <x:c r="H37" s="130"/>
    </x:row>
    <x:row r="38" ht="14.25" customHeight="1">
      <x:c r="A38" s="9" t="s">
        <x:v>273</x:v>
      </x:c>
      <x:c r="B38" s="127">
        <x:v>3.2</x:v>
      </x:c>
      <x:c r="D38" s="129"/>
      <x:c r="G38" s="130"/>
      <x:c r="H38" s="130"/>
    </x:row>
    <x:row r="39" ht="14.25" customHeight="1">
      <x:c r="A39" s="9" t="s">
        <x:v>277</x:v>
      </x:c>
      <x:c r="B39" s="127">
        <x:v>3.2</x:v>
      </x:c>
      <x:c r="D39" s="129"/>
      <x:c r="G39" s="130"/>
      <x:c r="H39" s="130"/>
    </x:row>
    <x:row r="40" ht="14.25" customHeight="1">
      <x:c r="A40" s="9" t="s">
        <x:v>281</x:v>
      </x:c>
      <x:c r="B40" s="127">
        <x:v>3.2</x:v>
      </x:c>
      <x:c r="D40" s="129"/>
      <x:c r="G40" s="130"/>
      <x:c r="H40" s="130"/>
    </x:row>
    <x:row r="41" ht="14.25" customHeight="1">
      <x:c r="A41" s="9" t="s">
        <x:v>285</x:v>
      </x:c>
      <x:c r="B41" s="127">
        <x:v>3.2</x:v>
      </x:c>
      <x:c r="D41" s="129"/>
      <x:c r="G41" s="130"/>
      <x:c r="H41" s="130"/>
    </x:row>
    <x:row r="42" ht="14.25" customHeight="1">
      <x:c r="A42" s="9" t="s">
        <x:v>289</x:v>
      </x:c>
      <x:c r="B42" s="127">
        <x:v>3.2</x:v>
      </x:c>
      <x:c r="D42" s="129"/>
      <x:c r="G42" s="130"/>
      <x:c r="H42" s="130"/>
    </x:row>
    <x:row r="43" ht="14.25" customHeight="1">
      <x:c r="A43" s="9" t="s">
        <x:v>293</x:v>
      </x:c>
      <x:c r="B43" s="127">
        <x:v>3.2</x:v>
      </x:c>
      <x:c r="D43" s="129"/>
      <x:c r="G43" s="130"/>
      <x:c r="H43" s="130"/>
    </x:row>
    <x:row r="44" ht="14.25" customHeight="1">
      <x:c r="A44" s="9" t="s">
        <x:v>297</x:v>
      </x:c>
      <x:c r="B44" s="127">
        <x:v>3.2</x:v>
      </x:c>
      <x:c r="D44" s="129"/>
      <x:c r="G44" s="130"/>
      <x:c r="H44" s="130"/>
    </x:row>
    <x:row r="45" ht="14.25" customHeight="1">
      <x:c r="A45" s="9" t="s">
        <x:v>301</x:v>
      </x:c>
      <x:c r="B45" s="127">
        <x:v>3.2</x:v>
      </x:c>
      <x:c r="D45" s="129"/>
      <x:c r="G45" s="130"/>
      <x:c r="H45" s="130"/>
    </x:row>
    <x:row r="46" ht="14.25" customHeight="1">
      <x:c r="A46" s="9" t="s">
        <x:v>305</x:v>
      </x:c>
      <x:c r="B46" s="127">
        <x:v>3.2</x:v>
      </x:c>
      <x:c r="D46" s="129"/>
      <x:c r="G46" s="130"/>
      <x:c r="H46" s="130"/>
    </x:row>
    <x:row r="47" ht="14.25" customHeight="1">
      <x:c r="A47" s="9" t="s">
        <x:v>309</x:v>
      </x:c>
      <x:c r="B47" s="127">
        <x:v>3.2</x:v>
      </x:c>
      <x:c r="D47" s="129"/>
      <x:c r="G47" s="130"/>
      <x:c r="H47" s="130"/>
    </x:row>
    <x:row r="48" ht="14.25" customHeight="1">
      <x:c r="A48" s="9" t="s">
        <x:v>313</x:v>
      </x:c>
      <x:c r="B48" s="127">
        <x:v>3.2</x:v>
      </x:c>
      <x:c r="D48" s="129"/>
      <x:c r="G48" s="130"/>
      <x:c r="H48" s="130"/>
    </x:row>
    <x:row r="49" ht="14.25" customHeight="1">
      <x:c r="A49" s="9" t="s">
        <x:v>317</x:v>
      </x:c>
      <x:c r="B49" s="127">
        <x:v>3.2</x:v>
      </x:c>
      <x:c r="D49" s="129"/>
      <x:c r="G49" s="130"/>
      <x:c r="H49" s="130"/>
    </x:row>
    <x:row r="50" ht="14.25" customHeight="1">
      <x:c r="A50" s="9" t="s">
        <x:v>1317</x:v>
      </x:c>
      <x:c r="B50" s="127">
        <x:v>3.2</x:v>
      </x:c>
      <x:c r="D50" s="129"/>
      <x:c r="G50" s="130"/>
      <x:c r="H50" s="130"/>
    </x:row>
    <x:row r="51" ht="14.25" customHeight="1">
      <x:c r="A51" s="9" t="s">
        <x:v>1318</x:v>
      </x:c>
      <x:c r="B51" s="127">
        <x:v>3.2</x:v>
      </x:c>
      <x:c r="D51" s="129"/>
      <x:c r="G51" s="130"/>
      <x:c r="H51" s="130"/>
    </x:row>
    <x:row r="52" ht="14.25" customHeight="1">
      <x:c r="A52" s="9" t="s">
        <x:v>130</x:v>
      </x:c>
      <x:c r="B52" s="127">
        <x:v>3.0</x:v>
      </x:c>
      <x:c r="D52" s="129"/>
      <x:c r="G52" s="130"/>
      <x:c r="H52" s="130"/>
    </x:row>
    <x:row r="53" ht="14.25" customHeight="1">
      <x:c r="A53" s="9" t="s">
        <x:v>134</x:v>
      </x:c>
      <x:c r="B53" s="127">
        <x:v>3.0</x:v>
      </x:c>
      <x:c r="D53" s="129"/>
      <x:c r="G53" s="130"/>
      <x:c r="H53" s="130"/>
    </x:row>
    <x:row r="54" ht="14.25" customHeight="1">
      <x:c r="A54" s="9" t="s">
        <x:v>138</x:v>
      </x:c>
      <x:c r="B54" s="127">
        <x:v>3.0</x:v>
      </x:c>
      <x:c r="D54" s="129"/>
      <x:c r="G54" s="130"/>
      <x:c r="H54" s="130"/>
    </x:row>
    <x:row r="55" ht="14.25" customHeight="1">
      <x:c r="A55" s="9" t="s">
        <x:v>142</x:v>
      </x:c>
      <x:c r="B55" s="127">
        <x:v>3.0</x:v>
      </x:c>
      <x:c r="D55" s="129"/>
      <x:c r="G55" s="130"/>
      <x:c r="H55" s="130"/>
    </x:row>
    <x:row r="56" ht="14.25" customHeight="1">
      <x:c r="A56" s="9" t="s">
        <x:v>146</x:v>
      </x:c>
      <x:c r="B56" s="127">
        <x:v>3.0</x:v>
      </x:c>
      <x:c r="D56" s="129"/>
      <x:c r="G56" s="130"/>
      <x:c r="H56" s="130"/>
    </x:row>
    <x:row r="57" ht="14.25" customHeight="1">
      <x:c r="A57" s="9" t="s">
        <x:v>150</x:v>
      </x:c>
      <x:c r="B57" s="127">
        <x:v>3.0</x:v>
      </x:c>
      <x:c r="D57" s="129"/>
      <x:c r="G57" s="130"/>
      <x:c r="H57" s="130"/>
    </x:row>
    <x:row r="58" ht="14.25" customHeight="1">
      <x:c r="A58" s="9" t="s">
        <x:v>154</x:v>
      </x:c>
      <x:c r="B58" s="127">
        <x:v>3.0</x:v>
      </x:c>
      <x:c r="D58" s="129"/>
      <x:c r="G58" s="130"/>
      <x:c r="H58" s="130"/>
    </x:row>
    <x:row r="59" ht="14.25" customHeight="1">
      <x:c r="A59" s="9" t="s">
        <x:v>158</x:v>
      </x:c>
      <x:c r="B59" s="127">
        <x:v>3.0</x:v>
      </x:c>
      <x:c r="D59" s="129"/>
      <x:c r="G59" s="130"/>
      <x:c r="H59" s="130"/>
    </x:row>
    <x:row r="60" ht="14.25" customHeight="1">
      <x:c r="A60" s="9" t="s">
        <x:v>162</x:v>
      </x:c>
      <x:c r="B60" s="127">
        <x:v>3.0</x:v>
      </x:c>
      <x:c r="D60" s="129"/>
      <x:c r="G60" s="130"/>
      <x:c r="H60" s="130"/>
    </x:row>
    <x:row r="61" ht="14.25" customHeight="1">
      <x:c r="A61" s="9" t="s">
        <x:v>166</x:v>
      </x:c>
      <x:c r="B61" s="127">
        <x:v>3.0</x:v>
      </x:c>
      <x:c r="D61" s="129"/>
      <x:c r="G61" s="130"/>
      <x:c r="H61" s="130"/>
    </x:row>
    <x:row r="62" ht="14.25" customHeight="1">
      <x:c r="A62" s="9" t="s">
        <x:v>170</x:v>
      </x:c>
      <x:c r="B62" s="127">
        <x:v>3.0</x:v>
      </x:c>
      <x:c r="D62" s="129"/>
      <x:c r="G62" s="130"/>
      <x:c r="H62" s="130"/>
    </x:row>
    <x:row r="63" ht="14.25" customHeight="1">
      <x:c r="A63" s="9" t="s">
        <x:v>174</x:v>
      </x:c>
      <x:c r="B63" s="127">
        <x:v>3.0</x:v>
      </x:c>
      <x:c r="D63" s="129"/>
      <x:c r="G63" s="130"/>
      <x:c r="H63" s="130"/>
    </x:row>
    <x:row r="64" ht="14.25" customHeight="1">
      <x:c r="A64" s="9" t="s">
        <x:v>178</x:v>
      </x:c>
      <x:c r="B64" s="127">
        <x:v>3.0</x:v>
      </x:c>
      <x:c r="D64" s="129"/>
      <x:c r="G64" s="130"/>
      <x:c r="H64" s="130"/>
    </x:row>
    <x:row r="65" ht="14.25" customHeight="1">
      <x:c r="A65" s="9" t="s">
        <x:v>182</x:v>
      </x:c>
      <x:c r="B65" s="127">
        <x:v>3.0</x:v>
      </x:c>
      <x:c r="D65" s="129"/>
      <x:c r="G65" s="130"/>
      <x:c r="H65" s="130"/>
    </x:row>
    <x:row r="66" ht="14.25" customHeight="1">
      <x:c r="A66" s="9" t="s">
        <x:v>186</x:v>
      </x:c>
      <x:c r="B66" s="127">
        <x:v>3.0</x:v>
      </x:c>
      <x:c r="D66" s="129"/>
      <x:c r="G66" s="130"/>
      <x:c r="H66" s="130"/>
    </x:row>
    <x:row r="67" ht="14.25" customHeight="1">
      <x:c r="A67" s="9" t="s">
        <x:v>190</x:v>
      </x:c>
      <x:c r="B67" s="127">
        <x:v>3.0</x:v>
      </x:c>
      <x:c r="D67" s="129"/>
      <x:c r="G67" s="130"/>
      <x:c r="H67" s="130"/>
    </x:row>
    <x:row r="68" ht="14.25" customHeight="1">
      <x:c r="A68" s="9" t="s">
        <x:v>194</x:v>
      </x:c>
      <x:c r="B68" s="127">
        <x:v>3.0</x:v>
      </x:c>
      <x:c r="D68" s="129"/>
      <x:c r="G68" s="130"/>
      <x:c r="H68" s="130"/>
    </x:row>
    <x:row r="69" ht="14.25" customHeight="1">
      <x:c r="A69" s="9" t="s">
        <x:v>198</x:v>
      </x:c>
      <x:c r="B69" s="127">
        <x:v>3.0</x:v>
      </x:c>
      <x:c r="D69" s="129"/>
      <x:c r="G69" s="130"/>
      <x:c r="H69" s="130"/>
    </x:row>
    <x:row r="70" ht="14.25" customHeight="1">
      <x:c r="A70" s="9" t="s">
        <x:v>202</x:v>
      </x:c>
      <x:c r="B70" s="127">
        <x:v>3.0</x:v>
      </x:c>
      <x:c r="D70" s="129"/>
      <x:c r="G70" s="130"/>
      <x:c r="H70" s="130"/>
    </x:row>
    <x:row r="71" ht="14.25" customHeight="1">
      <x:c r="A71" s="9" t="s">
        <x:v>206</x:v>
      </x:c>
      <x:c r="B71" s="127">
        <x:v>3.0</x:v>
      </x:c>
      <x:c r="D71" s="129"/>
      <x:c r="G71" s="130"/>
      <x:c r="H71" s="130"/>
    </x:row>
    <x:row r="72" ht="14.25" customHeight="1">
      <x:c r="A72" s="9" t="s">
        <x:v>210</x:v>
      </x:c>
      <x:c r="B72" s="127">
        <x:v>3.0</x:v>
      </x:c>
      <x:c r="D72" s="129"/>
      <x:c r="G72" s="130"/>
      <x:c r="H72" s="130"/>
    </x:row>
    <x:row r="73" ht="14.25" customHeight="1">
      <x:c r="A73" s="9" t="s">
        <x:v>214</x:v>
      </x:c>
      <x:c r="B73" s="127">
        <x:v>3.0</x:v>
      </x:c>
      <x:c r="D73" s="129"/>
      <x:c r="G73" s="130"/>
      <x:c r="H73" s="130"/>
    </x:row>
    <x:row r="74" ht="14.25" customHeight="1">
      <x:c r="A74" s="9" t="s">
        <x:v>218</x:v>
      </x:c>
      <x:c r="B74" s="127">
        <x:v>2.9581999999999997</x:v>
      </x:c>
      <x:c r="D74" s="129"/>
      <x:c r="G74" s="130"/>
      <x:c r="H74" s="130"/>
    </x:row>
    <x:row r="75" ht="14.25" customHeight="1">
      <x:c r="A75" s="9" t="s">
        <x:v>222</x:v>
      </x:c>
      <x:c r="B75" s="127">
        <x:v>2.9818</x:v>
      </x:c>
      <x:c r="D75" s="129"/>
      <x:c r="G75" s="130"/>
      <x:c r="H75" s="130"/>
    </x:row>
    <x:row r="76" ht="14.25" customHeight="1">
      <x:c r="A76" s="9" t="s">
        <x:v>226</x:v>
      </x:c>
      <x:c r="B76" s="127">
        <x:v>3.0060000000000002</x:v>
      </x:c>
      <x:c r="D76" s="129"/>
      <x:c r="G76" s="130"/>
      <x:c r="H76" s="130"/>
    </x:row>
    <x:row r="77" ht="14.25" customHeight="1">
      <x:c r="A77" s="9" t="s">
        <x:v>230</x:v>
      </x:c>
      <x:c r="B77" s="127">
        <x:v>3.0307999999999993</x:v>
      </x:c>
      <x:c r="D77" s="129"/>
      <x:c r="G77" s="130"/>
      <x:c r="H77" s="130"/>
    </x:row>
    <x:row r="78" ht="14.25" customHeight="1">
      <x:c r="A78" s="9" t="s">
        <x:v>234</x:v>
      </x:c>
      <x:c r="B78" s="127">
        <x:v>3.0561999999999987</x:v>
      </x:c>
      <x:c r="D78" s="129"/>
      <x:c r="G78" s="130"/>
      <x:c r="H78" s="130"/>
    </x:row>
    <x:row r="79" ht="14.25" customHeight="1">
      <x:c r="A79" s="9" t="s">
        <x:v>238</x:v>
      </x:c>
      <x:c r="B79" s="127">
        <x:v>3.0822000000000003</x:v>
      </x:c>
      <x:c r="D79" s="129"/>
      <x:c r="G79" s="130"/>
      <x:c r="H79" s="130"/>
    </x:row>
    <x:row r="80" ht="14.25" customHeight="1">
      <x:c r="A80" s="9" t="s">
        <x:v>242</x:v>
      </x:c>
      <x:c r="B80" s="127">
        <x:v>3.1087999999999987</x:v>
      </x:c>
      <x:c r="D80" s="129"/>
      <x:c r="G80" s="130"/>
      <x:c r="H80" s="130"/>
    </x:row>
    <x:row r="81" ht="14.25" customHeight="1">
      <x:c r="A81" s="9" t="s">
        <x:v>246</x:v>
      </x:c>
      <x:c r="B81" s="127">
        <x:v>3.1359999999999992</x:v>
      </x:c>
      <x:c r="D81" s="129"/>
      <x:c r="G81" s="130"/>
      <x:c r="H81" s="130"/>
    </x:row>
    <x:row r="82" ht="14.25" customHeight="1">
      <x:c r="A82" s="9" t="s">
        <x:v>250</x:v>
      </x:c>
      <x:c r="B82" s="127">
        <x:v>3.1638</x:v>
      </x:c>
      <x:c r="D82" s="129"/>
      <x:c r="G82" s="130"/>
      <x:c r="H82" s="130"/>
    </x:row>
    <x:row r="83" ht="14.25" customHeight="1">
      <x:c r="A83" s="9" t="s">
        <x:v>254</x:v>
      </x:c>
      <x:c r="B83" s="127">
        <x:v>3.1921999999999997</x:v>
      </x:c>
      <x:c r="D83" s="129"/>
      <x:c r="G83" s="130"/>
      <x:c r="H83" s="130"/>
    </x:row>
    <x:row r="84" ht="14.25" customHeight="1">
      <x:c r="A84" s="9" t="s">
        <x:v>258</x:v>
      </x:c>
      <x:c r="B84" s="127">
        <x:v>3.2211999999999996</x:v>
      </x:c>
      <x:c r="D84" s="129"/>
      <x:c r="G84" s="130"/>
      <x:c r="H84" s="130"/>
    </x:row>
    <x:row r="85" ht="14.25" customHeight="1">
      <x:c r="A85" s="9" t="s">
        <x:v>262</x:v>
      </x:c>
      <x:c r="B85" s="127">
        <x:v>3.2508</x:v>
      </x:c>
      <x:c r="D85" s="129"/>
      <x:c r="G85" s="130"/>
      <x:c r="H85" s="130"/>
    </x:row>
    <x:row r="86" ht="14.25" customHeight="1">
      <x:c r="A86" s="9" t="s">
        <x:v>266</x:v>
      </x:c>
      <x:c r="B86" s="127">
        <x:v>3.280999999999999</x:v>
      </x:c>
      <x:c r="D86" s="129"/>
      <x:c r="G86" s="130"/>
      <x:c r="H86" s="130"/>
    </x:row>
    <x:row r="87" ht="14.25" customHeight="1">
      <x:c r="A87" s="9" t="s">
        <x:v>270</x:v>
      </x:c>
      <x:c r="B87" s="127">
        <x:v>3.3118</x:v>
      </x:c>
      <x:c r="D87" s="129"/>
      <x:c r="G87" s="130"/>
      <x:c r="H87" s="130"/>
    </x:row>
    <x:row r="88" ht="14.25" customHeight="1">
      <x:c r="A88" s="9" t="s">
        <x:v>274</x:v>
      </x:c>
      <x:c r="B88" s="127">
        <x:v>3.3431999999999995</x:v>
      </x:c>
      <x:c r="D88" s="129"/>
      <x:c r="G88" s="130"/>
      <x:c r="H88" s="130"/>
    </x:row>
    <x:row r="89" ht="14.25" customHeight="1">
      <x:c r="A89" s="9" t="s">
        <x:v>278</x:v>
      </x:c>
      <x:c r="B89" s="127">
        <x:v>3.368</x:v>
      </x:c>
      <x:c r="D89" s="129"/>
      <x:c r="G89" s="130"/>
      <x:c r="H89" s="130"/>
    </x:row>
    <x:row r="90" ht="14.25" customHeight="1">
      <x:c r="A90" s="9" t="s">
        <x:v>282</x:v>
      </x:c>
      <x:c r="B90" s="127">
        <x:v>3.368</x:v>
      </x:c>
      <x:c r="D90" s="129"/>
      <x:c r="G90" s="130"/>
      <x:c r="H90" s="130"/>
    </x:row>
    <x:row r="91" ht="14.25" customHeight="1">
      <x:c r="A91" s="9" t="s">
        <x:v>286</x:v>
      </x:c>
      <x:c r="B91" s="127">
        <x:v>3.368</x:v>
      </x:c>
      <x:c r="D91" s="129"/>
      <x:c r="G91" s="130"/>
      <x:c r="H91" s="130"/>
    </x:row>
    <x:row r="92" ht="14.25" customHeight="1">
      <x:c r="A92" s="9" t="s">
        <x:v>290</x:v>
      </x:c>
      <x:c r="B92" s="127">
        <x:v>3.368</x:v>
      </x:c>
      <x:c r="D92" s="129"/>
      <x:c r="G92" s="130"/>
      <x:c r="H92" s="130"/>
    </x:row>
    <x:row r="93" ht="14.25" customHeight="1">
      <x:c r="A93" s="9" t="s">
        <x:v>294</x:v>
      </x:c>
      <x:c r="B93" s="127">
        <x:v>3.368</x:v>
      </x:c>
      <x:c r="D93" s="129"/>
      <x:c r="G93" s="130"/>
      <x:c r="H93" s="130"/>
    </x:row>
    <x:row r="94" ht="14.25" customHeight="1">
      <x:c r="A94" s="9" t="s">
        <x:v>298</x:v>
      </x:c>
      <x:c r="B94" s="127">
        <x:v>3.368</x:v>
      </x:c>
      <x:c r="D94" s="129"/>
      <x:c r="G94" s="130"/>
      <x:c r="H94" s="130"/>
    </x:row>
    <x:row r="95" ht="14.25" customHeight="1">
      <x:c r="A95" s="9" t="s">
        <x:v>302</x:v>
      </x:c>
      <x:c r="B95" s="127">
        <x:v>3.368</x:v>
      </x:c>
      <x:c r="D95" s="129"/>
      <x:c r="G95" s="130"/>
      <x:c r="H95" s="130"/>
    </x:row>
    <x:row r="96" ht="14.25" customHeight="1">
      <x:c r="A96" s="9" t="s">
        <x:v>306</x:v>
      </x:c>
      <x:c r="B96" s="127">
        <x:v>3.368</x:v>
      </x:c>
      <x:c r="D96" s="129"/>
      <x:c r="G96" s="130"/>
      <x:c r="H96" s="130"/>
    </x:row>
    <x:row r="97" ht="14.25" customHeight="1">
      <x:c r="A97" s="9" t="s">
        <x:v>310</x:v>
      </x:c>
      <x:c r="B97" s="127">
        <x:v>3.368</x:v>
      </x:c>
      <x:c r="D97" s="129"/>
      <x:c r="G97" s="130"/>
      <x:c r="H97" s="130"/>
    </x:row>
    <x:row r="98" ht="14.25" customHeight="1">
      <x:c r="A98" s="9" t="s">
        <x:v>314</x:v>
      </x:c>
      <x:c r="B98" s="127">
        <x:v>3.368</x:v>
      </x:c>
      <x:c r="D98" s="129"/>
      <x:c r="G98" s="130"/>
      <x:c r="H98" s="130"/>
    </x:row>
    <x:row r="99" ht="14.25" customHeight="1">
      <x:c r="A99" s="9" t="s">
        <x:v>318</x:v>
      </x:c>
      <x:c r="B99" s="127">
        <x:v>3.368</x:v>
      </x:c>
      <x:c r="D99" s="129"/>
      <x:c r="G99" s="130"/>
      <x:c r="H99" s="130"/>
    </x:row>
    <x:row r="100" ht="14.25" customHeight="1">
      <x:c r="A100" s="9" t="s">
        <x:v>321</x:v>
      </x:c>
      <x:c r="B100" s="127">
        <x:v>3.368</x:v>
      </x:c>
      <x:c r="D100" s="129"/>
      <x:c r="G100" s="130"/>
      <x:c r="H100" s="130"/>
    </x:row>
    <x:row r="101" ht="14.25" customHeight="1">
      <x:c r="A101" s="9" t="s">
        <x:v>324</x:v>
      </x:c>
      <x:c r="B101" s="127">
        <x:v>3.368</x:v>
      </x:c>
      <x:c r="D101" s="129"/>
      <x:c r="G101" s="130"/>
      <x:c r="H101" s="130"/>
    </x:row>
    <x:row r="102" ht="14.25" customHeight="1">
      <x:c r="A102" s="9" t="s">
        <x:v>327</x:v>
      </x:c>
      <x:c r="B102" s="127">
        <x:v>3.368</x:v>
      </x:c>
      <x:c r="D102" s="129"/>
      <x:c r="G102" s="130"/>
      <x:c r="H102" s="130"/>
    </x:row>
    <x:row r="103" ht="14.25" customHeight="1">
      <x:c r="A103" s="9" t="s">
        <x:v>330</x:v>
      </x:c>
      <x:c r="B103" s="127">
        <x:v>3.368</x:v>
      </x:c>
      <x:c r="D103" s="129"/>
      <x:c r="G103" s="130"/>
      <x:c r="H103" s="130"/>
    </x:row>
    <x:row r="104" ht="14.25" customHeight="1">
      <x:c r="A104" s="9" t="s">
        <x:v>333</x:v>
      </x:c>
      <x:c r="B104" s="127">
        <x:v>3.368</x:v>
      </x:c>
      <x:c r="D104" s="129"/>
      <x:c r="G104" s="130"/>
      <x:c r="H104" s="130"/>
    </x:row>
    <x:row r="105" ht="14.25" customHeight="1">
      <x:c r="A105" s="9" t="s">
        <x:v>336</x:v>
      </x:c>
      <x:c r="B105" s="127">
        <x:v>3.368</x:v>
      </x:c>
      <x:c r="D105" s="129"/>
      <x:c r="G105" s="130"/>
      <x:c r="H105" s="130"/>
    </x:row>
    <x:row r="106" ht="14.25" customHeight="1">
      <x:c r="A106" s="9" t="s">
        <x:v>339</x:v>
      </x:c>
      <x:c r="B106" s="127">
        <x:v>3.368</x:v>
      </x:c>
      <x:c r="D106" s="129"/>
      <x:c r="G106" s="130"/>
      <x:c r="H106" s="130"/>
    </x:row>
    <x:row r="107" ht="14.25" customHeight="1">
      <x:c r="A107" s="9" t="s">
        <x:v>342</x:v>
      </x:c>
      <x:c r="B107" s="127">
        <x:v>3.368</x:v>
      </x:c>
      <x:c r="D107" s="129"/>
      <x:c r="G107" s="130"/>
      <x:c r="H107" s="130"/>
    </x:row>
    <x:row r="108" ht="14.25" customHeight="1">
      <x:c r="A108" s="9" t="s">
        <x:v>345</x:v>
      </x:c>
      <x:c r="B108" s="127">
        <x:v>3.368</x:v>
      </x:c>
      <x:c r="D108" s="129"/>
      <x:c r="G108" s="130"/>
      <x:c r="H108" s="130"/>
    </x:row>
    <x:row r="109" ht="14.25" customHeight="1">
      <x:c r="A109" s="9" t="s">
        <x:v>348</x:v>
      </x:c>
      <x:c r="B109" s="127">
        <x:v>3.368</x:v>
      </x:c>
      <x:c r="D109" s="129"/>
      <x:c r="G109" s="130"/>
      <x:c r="H109" s="130"/>
    </x:row>
    <x:row r="110" ht="14.25" customHeight="1">
      <x:c r="A110" s="9" t="s">
        <x:v>351</x:v>
      </x:c>
      <x:c r="B110" s="127">
        <x:v>3.368</x:v>
      </x:c>
      <x:c r="D110" s="129"/>
      <x:c r="G110" s="130"/>
      <x:c r="H110" s="130"/>
    </x:row>
    <x:row r="111" ht="14.25" customHeight="1">
      <x:c r="A111" s="9" t="s">
        <x:v>354</x:v>
      </x:c>
      <x:c r="B111" s="127">
        <x:v>3.368</x:v>
      </x:c>
      <x:c r="D111" s="129"/>
      <x:c r="G111" s="130"/>
      <x:c r="H111" s="130"/>
    </x:row>
    <x:row r="112" ht="14.25" customHeight="1">
      <x:c r="A112" s="9" t="s">
        <x:v>357</x:v>
      </x:c>
      <x:c r="B112" s="127">
        <x:v>3.368</x:v>
      </x:c>
      <x:c r="D112" s="129"/>
      <x:c r="G112" s="130"/>
      <x:c r="H112" s="130"/>
    </x:row>
    <x:row r="113" ht="14.25" customHeight="1">
      <x:c r="A113" s="9" t="s">
        <x:v>360</x:v>
      </x:c>
      <x:c r="B113" s="127">
        <x:v>3.368</x:v>
      </x:c>
      <x:c r="D113" s="129"/>
      <x:c r="G113" s="130"/>
      <x:c r="H113" s="130"/>
    </x:row>
    <x:row r="114" ht="14.25" customHeight="1">
      <x:c r="A114" s="9" t="s">
        <x:v>363</x:v>
      </x:c>
      <x:c r="B114" s="127">
        <x:v>3.368</x:v>
      </x:c>
      <x:c r="D114" s="129"/>
      <x:c r="G114" s="130"/>
      <x:c r="H114" s="130"/>
    </x:row>
    <x:row r="115" ht="14.25" customHeight="1">
      <x:c r="A115" s="9" t="s">
        <x:v>366</x:v>
      </x:c>
      <x:c r="B115" s="127">
        <x:v>3.368</x:v>
      </x:c>
      <x:c r="D115" s="129"/>
      <x:c r="G115" s="130"/>
      <x:c r="H115" s="130"/>
    </x:row>
    <x:row r="116" ht="14.25" customHeight="1">
      <x:c r="A116" s="9" t="s">
        <x:v>369</x:v>
      </x:c>
      <x:c r="B116" s="127">
        <x:v>3.368</x:v>
      </x:c>
      <x:c r="D116" s="129"/>
      <x:c r="G116" s="130"/>
      <x:c r="H116" s="130"/>
    </x:row>
    <x:row r="117" ht="14.25" customHeight="1">
      <x:c r="A117" s="9" t="s">
        <x:v>372</x:v>
      </x:c>
      <x:c r="B117" s="127">
        <x:v>3.368</x:v>
      </x:c>
      <x:c r="D117" s="129"/>
      <x:c r="G117" s="130"/>
      <x:c r="H117" s="130"/>
    </x:row>
    <x:row r="118" ht="14.25" customHeight="1">
      <x:c r="A118" s="9" t="s">
        <x:v>375</x:v>
      </x:c>
      <x:c r="B118" s="127">
        <x:v>3.368</x:v>
      </x:c>
      <x:c r="D118" s="129"/>
      <x:c r="G118" s="130"/>
      <x:c r="H118" s="130"/>
    </x:row>
    <x:row r="119" ht="14.25" customHeight="1">
      <x:c r="A119" s="9" t="s">
        <x:v>378</x:v>
      </x:c>
      <x:c r="B119" s="127">
        <x:v>3.368</x:v>
      </x:c>
      <x:c r="D119" s="129"/>
      <x:c r="G119" s="130"/>
      <x:c r="H119" s="130"/>
    </x:row>
    <x:row r="120" ht="14.25" customHeight="1">
      <x:c r="A120" s="9" t="s">
        <x:v>381</x:v>
      </x:c>
      <x:c r="B120" s="127">
        <x:v>3.368</x:v>
      </x:c>
      <x:c r="D120" s="129"/>
      <x:c r="G120" s="130"/>
      <x:c r="H120" s="130"/>
    </x:row>
    <x:row r="121" ht="14.25" customHeight="1">
      <x:c r="A121" s="9" t="s">
        <x:v>384</x:v>
      </x:c>
      <x:c r="B121" s="127">
        <x:v>3.368</x:v>
      </x:c>
      <x:c r="D121" s="129"/>
      <x:c r="G121" s="130"/>
      <x:c r="H121" s="130"/>
    </x:row>
    <x:row r="122" ht="14.25" customHeight="1">
      <x:c r="A122" s="9" t="s">
        <x:v>387</x:v>
      </x:c>
      <x:c r="B122" s="127">
        <x:v>3.368</x:v>
      </x:c>
      <x:c r="D122" s="129"/>
      <x:c r="G122" s="130"/>
      <x:c r="H122" s="130"/>
    </x:row>
    <x:row r="123" ht="14.25" customHeight="1">
      <x:c r="A123" s="9" t="s">
        <x:v>390</x:v>
      </x:c>
      <x:c r="B123" s="127">
        <x:v>3.368</x:v>
      </x:c>
      <x:c r="D123" s="129"/>
      <x:c r="G123" s="130"/>
      <x:c r="H123" s="130"/>
    </x:row>
    <x:row r="124" ht="14.25" customHeight="1">
      <x:c r="A124" s="9" t="s">
        <x:v>393</x:v>
      </x:c>
      <x:c r="B124" s="127">
        <x:v>3.368</x:v>
      </x:c>
      <x:c r="D124" s="129"/>
      <x:c r="G124" s="130"/>
      <x:c r="H124" s="130"/>
    </x:row>
    <x:row r="125" ht="14.25" customHeight="1">
      <x:c r="A125" s="9" t="s">
        <x:v>396</x:v>
      </x:c>
      <x:c r="B125" s="127">
        <x:v>3.368</x:v>
      </x:c>
      <x:c r="D125" s="129"/>
      <x:c r="G125" s="130"/>
      <x:c r="H125" s="130"/>
    </x:row>
    <x:row r="126" ht="14.25" customHeight="1">
      <x:c r="A126" s="9" t="s">
        <x:v>399</x:v>
      </x:c>
      <x:c r="B126" s="127">
        <x:v>3.368</x:v>
      </x:c>
      <x:c r="D126" s="129"/>
      <x:c r="G126" s="130"/>
      <x:c r="H126" s="130"/>
    </x:row>
    <x:row r="127" ht="14.25" customHeight="1">
      <x:c r="A127" s="9" t="s">
        <x:v>402</x:v>
      </x:c>
      <x:c r="B127" s="127">
        <x:v>3.368</x:v>
      </x:c>
      <x:c r="D127" s="129"/>
      <x:c r="G127" s="130"/>
      <x:c r="H127" s="130"/>
    </x:row>
    <x:row r="128" ht="14.25" customHeight="1">
      <x:c r="A128" s="9" t="s">
        <x:v>405</x:v>
      </x:c>
      <x:c r="B128" s="127">
        <x:v>3.368</x:v>
      </x:c>
      <x:c r="D128" s="129"/>
      <x:c r="G128" s="130"/>
      <x:c r="H128" s="130"/>
    </x:row>
    <x:row r="129" ht="14.25" customHeight="1">
      <x:c r="A129" s="9" t="s">
        <x:v>408</x:v>
      </x:c>
      <x:c r="B129" s="127">
        <x:v>3.368</x:v>
      </x:c>
      <x:c r="D129" s="129"/>
      <x:c r="G129" s="130"/>
      <x:c r="H129" s="130"/>
    </x:row>
    <x:row r="130" ht="14.25" customHeight="1">
      <x:c r="A130" s="9" t="s">
        <x:v>411</x:v>
      </x:c>
      <x:c r="B130" s="127">
        <x:v>3.368</x:v>
      </x:c>
      <x:c r="D130" s="129"/>
      <x:c r="G130" s="130"/>
      <x:c r="H130" s="130"/>
    </x:row>
    <x:row r="131" ht="14.25" customHeight="1">
      <x:c r="A131" s="9" t="s">
        <x:v>414</x:v>
      </x:c>
      <x:c r="B131" s="127">
        <x:v>3.368</x:v>
      </x:c>
      <x:c r="D131" s="129"/>
      <x:c r="G131" s="130"/>
      <x:c r="H131" s="130"/>
    </x:row>
    <x:row r="132" ht="14.25" customHeight="1">
      <x:c r="A132" s="9" t="s">
        <x:v>417</x:v>
      </x:c>
      <x:c r="B132" s="127">
        <x:v>3.368</x:v>
      </x:c>
      <x:c r="D132" s="129"/>
      <x:c r="G132" s="130"/>
      <x:c r="H132" s="130"/>
    </x:row>
    <x:row r="133" ht="14.25" customHeight="1">
      <x:c r="A133" s="9" t="s">
        <x:v>420</x:v>
      </x:c>
      <x:c r="B133" s="127">
        <x:v>3.368</x:v>
      </x:c>
      <x:c r="D133" s="129"/>
      <x:c r="G133" s="130"/>
      <x:c r="H133" s="130"/>
    </x:row>
    <x:row r="134" ht="14.25" customHeight="1">
      <x:c r="A134" s="9" t="s">
        <x:v>423</x:v>
      </x:c>
      <x:c r="B134" s="127">
        <x:v>3.368</x:v>
      </x:c>
      <x:c r="D134" s="129"/>
      <x:c r="G134" s="130"/>
      <x:c r="H134" s="130"/>
    </x:row>
    <x:row r="135" ht="14.25" customHeight="1">
      <x:c r="A135" s="9" t="s">
        <x:v>426</x:v>
      </x:c>
      <x:c r="B135" s="127">
        <x:v>3.368</x:v>
      </x:c>
      <x:c r="D135" s="129"/>
      <x:c r="G135" s="130"/>
      <x:c r="H135" s="130"/>
    </x:row>
    <x:row r="136" ht="14.25" customHeight="1">
      <x:c r="A136" s="9" t="s">
        <x:v>429</x:v>
      </x:c>
      <x:c r="B136" s="127">
        <x:v>3.368</x:v>
      </x:c>
      <x:c r="D136" s="129"/>
      <x:c r="G136" s="130"/>
      <x:c r="H136" s="130"/>
    </x:row>
    <x:row r="137" ht="14.25" customHeight="1">
      <x:c r="A137" s="9" t="s">
        <x:v>432</x:v>
      </x:c>
      <x:c r="B137" s="127">
        <x:v>3.368</x:v>
      </x:c>
      <x:c r="D137" s="129"/>
      <x:c r="G137" s="130"/>
      <x:c r="H137" s="130"/>
    </x:row>
    <x:row r="138" ht="14.25" customHeight="1">
      <x:c r="A138" s="9" t="s">
        <x:v>435</x:v>
      </x:c>
      <x:c r="B138" s="127">
        <x:v>3.368</x:v>
      </x:c>
      <x:c r="D138" s="129"/>
      <x:c r="G138" s="130"/>
      <x:c r="H138" s="130"/>
    </x:row>
    <x:row r="139" ht="14.25" customHeight="1">
      <x:c r="A139" s="9" t="s">
        <x:v>438</x:v>
      </x:c>
      <x:c r="B139" s="127">
        <x:v>3.368</x:v>
      </x:c>
      <x:c r="D139" s="129"/>
      <x:c r="G139" s="130"/>
      <x:c r="H139" s="130"/>
    </x:row>
    <x:row r="140" ht="14.25" customHeight="1">
      <x:c r="A140" s="9" t="s">
        <x:v>441</x:v>
      </x:c>
      <x:c r="B140" s="127">
        <x:v>3.368</x:v>
      </x:c>
      <x:c r="D140" s="129"/>
      <x:c r="G140" s="130"/>
      <x:c r="H140" s="130"/>
    </x:row>
    <x:row r="141" ht="14.25" customHeight="1">
      <x:c r="A141" s="9" t="s">
        <x:v>444</x:v>
      </x:c>
      <x:c r="B141" s="127">
        <x:v>3.368</x:v>
      </x:c>
      <x:c r="D141" s="129"/>
      <x:c r="G141" s="130"/>
      <x:c r="H141" s="130"/>
    </x:row>
    <x:row r="142" ht="14.25" customHeight="1">
      <x:c r="A142" s="9" t="s">
        <x:v>447</x:v>
      </x:c>
      <x:c r="B142" s="127">
        <x:v>3.368</x:v>
      </x:c>
      <x:c r="D142" s="129"/>
      <x:c r="G142" s="130"/>
      <x:c r="H142" s="130"/>
    </x:row>
    <x:row r="143" ht="14.25" customHeight="1">
      <x:c r="A143" s="9" t="s">
        <x:v>450</x:v>
      </x:c>
      <x:c r="B143" s="127">
        <x:v>3.368</x:v>
      </x:c>
      <x:c r="D143" s="129"/>
      <x:c r="G143" s="130"/>
      <x:c r="H143" s="130"/>
    </x:row>
    <x:row r="144" ht="14.25" customHeight="1">
      <x:c r="A144" s="9" t="s">
        <x:v>453</x:v>
      </x:c>
      <x:c r="B144" s="127">
        <x:v>3.368</x:v>
      </x:c>
      <x:c r="D144" s="129"/>
      <x:c r="G144" s="130"/>
      <x:c r="H144" s="130"/>
    </x:row>
    <x:row r="145" ht="14.25" customHeight="1">
      <x:c r="A145" s="9" t="s">
        <x:v>456</x:v>
      </x:c>
      <x:c r="B145" s="127">
        <x:v>3.368</x:v>
      </x:c>
      <x:c r="D145" s="129"/>
      <x:c r="G145" s="130"/>
      <x:c r="H145" s="130"/>
    </x:row>
    <x:row r="146" ht="14.25" customHeight="1">
      <x:c r="A146" s="9" t="s">
        <x:v>459</x:v>
      </x:c>
      <x:c r="B146" s="127">
        <x:v>3.368</x:v>
      </x:c>
      <x:c r="D146" s="129"/>
      <x:c r="G146" s="130"/>
      <x:c r="H146" s="130"/>
    </x:row>
    <x:row r="147" ht="14.25" customHeight="1">
      <x:c r="A147" s="9" t="s">
        <x:v>462</x:v>
      </x:c>
      <x:c r="B147" s="127">
        <x:v>3.368</x:v>
      </x:c>
      <x:c r="D147" s="129"/>
      <x:c r="G147" s="130"/>
      <x:c r="H147" s="130"/>
    </x:row>
    <x:row r="148" ht="14.25" customHeight="1">
      <x:c r="A148" s="9" t="s">
        <x:v>465</x:v>
      </x:c>
      <x:c r="B148" s="127">
        <x:v>3.368</x:v>
      </x:c>
      <x:c r="D148" s="129"/>
      <x:c r="G148" s="130"/>
      <x:c r="H148" s="130"/>
    </x:row>
    <x:row r="149" ht="14.25" customHeight="1">
      <x:c r="A149" s="9" t="s">
        <x:v>468</x:v>
      </x:c>
      <x:c r="B149" s="127">
        <x:v>3.368</x:v>
      </x:c>
      <x:c r="D149" s="129"/>
      <x:c r="G149" s="130"/>
      <x:c r="H149" s="130"/>
    </x:row>
    <x:row r="150" ht="14.25" customHeight="1">
      <x:c r="A150" s="9" t="s">
        <x:v>471</x:v>
      </x:c>
      <x:c r="B150" s="127">
        <x:v>3.368</x:v>
      </x:c>
      <x:c r="D150" s="129"/>
      <x:c r="G150" s="130"/>
      <x:c r="H150" s="130"/>
    </x:row>
    <x:row r="151" ht="14.25" customHeight="1">
      <x:c r="A151" s="9" t="s">
        <x:v>474</x:v>
      </x:c>
      <x:c r="B151" s="127">
        <x:v>3.368</x:v>
      </x:c>
      <x:c r="D151" s="129"/>
      <x:c r="G151" s="130"/>
      <x:c r="H151" s="130"/>
    </x:row>
    <x:row r="152" ht="14.25" customHeight="1">
      <x:c r="A152" s="9" t="s">
        <x:v>1179</x:v>
      </x:c>
      <x:c r="B152" s="127">
        <x:v>3.368</x:v>
      </x:c>
      <x:c r="D152" s="129"/>
      <x:c r="G152" s="130"/>
      <x:c r="H152" s="130"/>
    </x:row>
    <x:row r="153" ht="14.25" customHeight="1">
      <x:c r="A153" s="9" t="s">
        <x:v>1189</x:v>
      </x:c>
      <x:c r="B153" s="127">
        <x:v>3.368</x:v>
      </x:c>
      <x:c r="D153" s="129"/>
      <x:c r="G153" s="130"/>
      <x:c r="H153" s="130"/>
    </x:row>
    <x:row r="154" ht="14.25" customHeight="1">
      <x:c r="A154" s="9" t="s">
        <x:v>1191</x:v>
      </x:c>
      <x:c r="B154" s="127">
        <x:v>3.368</x:v>
      </x:c>
      <x:c r="D154" s="129"/>
      <x:c r="G154" s="130"/>
      <x:c r="H154" s="130"/>
    </x:row>
    <x:row r="155" ht="14.25" customHeight="1">
      <x:c r="A155" s="9" t="s">
        <x:v>1192</x:v>
      </x:c>
      <x:c r="B155" s="127">
        <x:v>3.368</x:v>
      </x:c>
      <x:c r="D155" s="129"/>
      <x:c r="G155" s="130"/>
      <x:c r="H155" s="130"/>
    </x:row>
    <x:row r="156" ht="14.25" customHeight="1">
      <x:c r="A156" s="9" t="s">
        <x:v>1208</x:v>
      </x:c>
      <x:c r="B156" s="127">
        <x:v>3.368</x:v>
      </x:c>
      <x:c r="D156" s="129"/>
      <x:c r="G156" s="130"/>
      <x:c r="H156" s="130"/>
    </x:row>
    <x:row r="157" ht="14.25" customHeight="1">
      <x:c r="A157" s="9" t="s">
        <x:v>1210</x:v>
      </x:c>
      <x:c r="B157" s="127">
        <x:v>3.368</x:v>
      </x:c>
      <x:c r="D157" s="129"/>
      <x:c r="G157" s="130"/>
      <x:c r="H157" s="130"/>
    </x:row>
    <x:row r="158" ht="14.25" customHeight="1">
      <x:c r="A158" s="9" t="s">
        <x:v>1213</x:v>
      </x:c>
      <x:c r="B158" s="127">
        <x:v>3.368</x:v>
      </x:c>
      <x:c r="D158" s="129"/>
      <x:c r="G158" s="130"/>
      <x:c r="H158" s="130"/>
    </x:row>
    <x:row r="159" ht="14.25" customHeight="1">
      <x:c r="A159" s="9" t="s">
        <x:v>1223</x:v>
      </x:c>
      <x:c r="B159" s="127">
        <x:v>3.368</x:v>
      </x:c>
      <x:c r="D159" s="129"/>
      <x:c r="G159" s="130"/>
      <x:c r="H159" s="130"/>
    </x:row>
    <x:row r="160" ht="14.25" customHeight="1">
      <x:c r="A160" s="9" t="s">
        <x:v>1226</x:v>
      </x:c>
      <x:c r="B160" s="127">
        <x:v>3.368</x:v>
      </x:c>
      <x:c r="D160" s="129"/>
      <x:c r="G160" s="130"/>
      <x:c r="H160" s="130"/>
    </x:row>
    <x:row r="161" ht="14.25" customHeight="1">
      <x:c r="A161" s="9" t="s">
        <x:v>1233</x:v>
      </x:c>
      <x:c r="B161" s="127">
        <x:v>3.368</x:v>
      </x:c>
      <x:c r="D161" s="129"/>
      <x:c r="G161" s="130"/>
      <x:c r="H161" s="130"/>
    </x:row>
    <x:row r="162" ht="14.25" customHeight="1">
      <x:c r="A162" s="9" t="s">
        <x:v>1237</x:v>
      </x:c>
      <x:c r="B162" s="127">
        <x:v>3.368</x:v>
      </x:c>
      <x:c r="D162" s="129"/>
      <x:c r="G162" s="130"/>
      <x:c r="H162" s="130"/>
    </x:row>
    <x:row r="163" ht="14.25" customHeight="1">
      <x:c r="A163" s="9" t="s">
        <x:v>1242</x:v>
      </x:c>
      <x:c r="B163" s="127">
        <x:v>3.368</x:v>
      </x:c>
      <x:c r="D163" s="129"/>
      <x:c r="G163" s="130"/>
      <x:c r="H163" s="130"/>
    </x:row>
    <x:row r="164" ht="14.25" customHeight="1">
      <x:c r="A164" s="9" t="s">
        <x:v>1244</x:v>
      </x:c>
      <x:c r="B164" s="127">
        <x:v>3.368</x:v>
      </x:c>
      <x:c r="D164" s="129"/>
      <x:c r="G164" s="130"/>
      <x:c r="H164" s="130"/>
    </x:row>
    <x:row r="165" ht="14.25" customHeight="1">
      <x:c r="A165" s="9" t="s">
        <x:v>1246</x:v>
      </x:c>
      <x:c r="B165" s="127">
        <x:v>3.368</x:v>
      </x:c>
      <x:c r="D165" s="129"/>
      <x:c r="G165" s="130"/>
      <x:c r="H165" s="130"/>
    </x:row>
    <x:row r="166" ht="14.25" customHeight="1">
      <x:c r="A166" s="9" t="s">
        <x:v>1251</x:v>
      </x:c>
      <x:c r="B166" s="127">
        <x:v>3.368</x:v>
      </x:c>
      <x:c r="D166" s="129"/>
      <x:c r="G166" s="130"/>
      <x:c r="H166" s="130"/>
    </x:row>
    <x:row r="167" ht="14.25" customHeight="1">
      <x:c r="A167" s="9" t="s">
        <x:v>1256</x:v>
      </x:c>
      <x:c r="B167" s="127">
        <x:v>3.368</x:v>
      </x:c>
      <x:c r="D167" s="129"/>
      <x:c r="G167" s="130"/>
      <x:c r="H167" s="130"/>
    </x:row>
    <x:row r="168" ht="14.25" customHeight="1">
      <x:c r="A168" s="9" t="s">
        <x:v>1263</x:v>
      </x:c>
      <x:c r="B168" s="127">
        <x:v>3.368</x:v>
      </x:c>
      <x:c r="D168" s="129"/>
      <x:c r="G168" s="130"/>
      <x:c r="H168" s="130"/>
    </x:row>
    <x:row r="169" ht="14.25" customHeight="1">
      <x:c r="A169" s="9" t="s">
        <x:v>1265</x:v>
      </x:c>
      <x:c r="B169" s="127">
        <x:v>3.368</x:v>
      </x:c>
      <x:c r="D169" s="129"/>
      <x:c r="G169" s="130"/>
      <x:c r="H169" s="130"/>
    </x:row>
    <x:row r="170" ht="14.25" customHeight="1">
      <x:c r="A170" s="9" t="s">
        <x:v>1274</x:v>
      </x:c>
      <x:c r="B170" s="127">
        <x:v>3.368</x:v>
      </x:c>
      <x:c r="D170" s="129"/>
      <x:c r="G170" s="130"/>
      <x:c r="H170" s="130"/>
    </x:row>
    <x:row r="171" ht="14.25" customHeight="1">
      <x:c r="A171" s="9" t="s">
        <x:v>1286</x:v>
      </x:c>
      <x:c r="B171" s="127">
        <x:v>3.368</x:v>
      </x:c>
      <x:c r="D171" s="129"/>
      <x:c r="G171" s="130"/>
      <x:c r="H171" s="130"/>
    </x:row>
    <x:row r="172" ht="14.25" customHeight="1">
      <x:c r="A172" s="9" t="s">
        <x:v>131</x:v>
      </x:c>
      <x:c r="B172" s="127">
        <x:v>1.5954999999999995</x:v>
      </x:c>
      <x:c r="D172" s="129"/>
      <x:c r="G172" s="130"/>
      <x:c r="H172" s="130"/>
    </x:row>
    <x:row r="173" ht="14.25" customHeight="1">
      <x:c r="A173" s="9" t="s">
        <x:v>135</x:v>
      </x:c>
      <x:c r="B173" s="127">
        <x:v>1.6731999999999996</x:v>
      </x:c>
      <x:c r="D173" s="129"/>
      <x:c r="G173" s="130"/>
      <x:c r="H173" s="130"/>
    </x:row>
    <x:row r="174" ht="14.25" customHeight="1">
      <x:c r="A174" s="9" t="s">
        <x:v>139</x:v>
      </x:c>
      <x:c r="B174" s="127">
        <x:v>1.7500999999999998</x:v>
      </x:c>
      <x:c r="D174" s="129"/>
      <x:c r="G174" s="130"/>
      <x:c r="H174" s="130"/>
    </x:row>
    <x:row r="175" ht="14.25" customHeight="1">
      <x:c r="A175" s="9" t="s">
        <x:v>143</x:v>
      </x:c>
      <x:c r="B175" s="127">
        <x:v>1.8262</x:v>
      </x:c>
      <x:c r="D175" s="129"/>
      <x:c r="G175" s="130"/>
      <x:c r="H175" s="130"/>
    </x:row>
    <x:row r="176" ht="14.25" customHeight="1">
      <x:c r="A176" s="9" t="s">
        <x:v>147</x:v>
      </x:c>
      <x:c r="B176" s="127">
        <x:v>1.9014999999999986</x:v>
      </x:c>
      <x:c r="D176" s="129"/>
      <x:c r="G176" s="130"/>
      <x:c r="H176" s="130"/>
    </x:row>
    <x:row r="177" ht="14.25" customHeight="1">
      <x:c r="A177" s="9" t="s">
        <x:v>151</x:v>
      </x:c>
      <x:c r="B177" s="127">
        <x:v>1.975999999999999</x:v>
      </x:c>
      <x:c r="D177" s="129"/>
      <x:c r="G177" s="130"/>
      <x:c r="H177" s="130"/>
    </x:row>
    <x:row r="178" ht="14.25" customHeight="1">
      <x:c r="A178" s="9" t="s">
        <x:v>155</x:v>
      </x:c>
      <x:c r="B178" s="127">
        <x:v>2.0496999999999996</x:v>
      </x:c>
      <x:c r="D178" s="129"/>
      <x:c r="G178" s="130"/>
      <x:c r="H178" s="130"/>
    </x:row>
    <x:row r="179" ht="14.25" customHeight="1">
      <x:c r="A179" s="9" t="s">
        <x:v>159</x:v>
      </x:c>
      <x:c r="B179" s="127">
        <x:v>2.1226000000000003</x:v>
      </x:c>
      <x:c r="D179" s="129"/>
      <x:c r="G179" s="130"/>
      <x:c r="H179" s="130"/>
    </x:row>
    <x:row r="180" ht="14.25" customHeight="1">
      <x:c r="A180" s="9" t="s">
        <x:v>163</x:v>
      </x:c>
      <x:c r="B180" s="127">
        <x:v>2.194699999999999</x:v>
      </x:c>
      <x:c r="D180" s="129"/>
      <x:c r="G180" s="130"/>
      <x:c r="H180" s="130"/>
    </x:row>
    <x:row r="181" ht="14.25" customHeight="1">
      <x:c r="A181" s="9" t="s">
        <x:v>167</x:v>
      </x:c>
      <x:c r="B181" s="127">
        <x:v>2.266</x:v>
      </x:c>
      <x:c r="D181" s="129"/>
      <x:c r="G181" s="130"/>
      <x:c r="H181" s="130"/>
    </x:row>
    <x:row r="182" ht="14.25" customHeight="1">
      <x:c r="A182" s="9" t="s">
        <x:v>171</x:v>
      </x:c>
      <x:c r="B182" s="127">
        <x:v>2.336499999999999</x:v>
      </x:c>
      <x:c r="D182" s="129"/>
      <x:c r="G182" s="130"/>
      <x:c r="H182" s="130"/>
    </x:row>
    <x:row r="183" ht="14.25" customHeight="1">
      <x:c r="A183" s="9" t="s">
        <x:v>175</x:v>
      </x:c>
      <x:c r="B183" s="127">
        <x:v>2.4062</x:v>
      </x:c>
      <x:c r="D183" s="129"/>
      <x:c r="G183" s="130"/>
      <x:c r="H183" s="130"/>
    </x:row>
    <x:row r="184" ht="14.25" customHeight="1">
      <x:c r="A184" s="9" t="s">
        <x:v>179</x:v>
      </x:c>
      <x:c r="B184" s="127">
        <x:v>2.4750999999999994</x:v>
      </x:c>
      <x:c r="D184" s="129"/>
      <x:c r="G184" s="130"/>
      <x:c r="H184" s="130"/>
    </x:row>
    <x:row r="185" ht="14.25" customHeight="1">
      <x:c r="A185" s="9" t="s">
        <x:v>183</x:v>
      </x:c>
      <x:c r="B185" s="127">
        <x:v>2.543199999999999</x:v>
      </x:c>
      <x:c r="D185" s="129"/>
      <x:c r="G185" s="130"/>
      <x:c r="H185" s="130"/>
    </x:row>
    <x:row r="186" ht="14.25" customHeight="1">
      <x:c r="A186" s="9" t="s">
        <x:v>187</x:v>
      </x:c>
      <x:c r="B186" s="127">
        <x:v>2.6105</x:v>
      </x:c>
      <x:c r="D186" s="129"/>
      <x:c r="G186" s="130"/>
      <x:c r="H186" s="130"/>
    </x:row>
    <x:row r="187" ht="14.25" customHeight="1">
      <x:c r="A187" s="9" t="s">
        <x:v>191</x:v>
      </x:c>
      <x:c r="B187" s="127">
        <x:v>2.6769999999999996</x:v>
      </x:c>
      <x:c r="D187" s="129"/>
      <x:c r="G187" s="130"/>
      <x:c r="H187" s="130"/>
    </x:row>
    <x:row r="188" ht="14.25" customHeight="1">
      <x:c r="A188" s="9" t="s">
        <x:v>195</x:v>
      </x:c>
      <x:c r="B188" s="127">
        <x:v>2.7426999999999992</x:v>
      </x:c>
      <x:c r="D188" s="129"/>
      <x:c r="G188" s="130"/>
      <x:c r="H188" s="130"/>
    </x:row>
    <x:row r="189" ht="14.25" customHeight="1">
      <x:c r="A189" s="9" t="s">
        <x:v>199</x:v>
      </x:c>
      <x:c r="B189" s="127">
        <x:v>2.807599999999999</x:v>
      </x:c>
      <x:c r="D189" s="129"/>
      <x:c r="G189" s="130"/>
      <x:c r="H189" s="130"/>
    </x:row>
    <x:row r="190" ht="14.25" customHeight="1">
      <x:c r="A190" s="9" t="s">
        <x:v>203</x:v>
      </x:c>
      <x:c r="B190" s="127">
        <x:v>2.871699999999999</x:v>
      </x:c>
      <x:c r="D190" s="129"/>
      <x:c r="G190" s="130"/>
      <x:c r="H190" s="130"/>
    </x:row>
    <x:row r="191" ht="14.25" customHeight="1">
      <x:c r="A191" s="9" t="s">
        <x:v>207</x:v>
      </x:c>
      <x:c r="B191" s="127">
        <x:v>2.9349999999999987</x:v>
      </x:c>
      <x:c r="D191" s="129"/>
      <x:c r="G191" s="130"/>
      <x:c r="H191" s="130"/>
    </x:row>
    <x:row r="192" ht="14.25" customHeight="1">
      <x:c r="A192" s="9" t="s">
        <x:v>211</x:v>
      </x:c>
      <x:c r="B192" s="127">
        <x:v>2.9974999999999987</x:v>
      </x:c>
      <x:c r="D192" s="129"/>
      <x:c r="G192" s="130"/>
      <x:c r="H192" s="130"/>
    </x:row>
    <x:row r="193" ht="14.25" customHeight="1">
      <x:c r="A193" s="9" t="s">
        <x:v>215</x:v>
      </x:c>
      <x:c r="B193" s="127">
        <x:v>3.059199999999999</x:v>
      </x:c>
      <x:c r="D193" s="129"/>
      <x:c r="G193" s="130"/>
      <x:c r="H193" s="130"/>
    </x:row>
    <x:row r="194" ht="14.25" customHeight="1">
      <x:c r="A194" s="9" t="s">
        <x:v>219</x:v>
      </x:c>
      <x:c r="B194" s="127">
        <x:v>3.120099999999999</x:v>
      </x:c>
      <x:c r="D194" s="129"/>
      <x:c r="G194" s="130"/>
      <x:c r="H194" s="130"/>
    </x:row>
    <x:row r="195" ht="14.25" customHeight="1">
      <x:c r="A195" s="9" t="s">
        <x:v>223</x:v>
      </x:c>
      <x:c r="B195" s="127">
        <x:v>3.1801999999999992</x:v>
      </x:c>
      <x:c r="D195" s="129"/>
      <x:c r="G195" s="130"/>
      <x:c r="H195" s="130"/>
    </x:row>
    <x:row r="196" ht="14.25" customHeight="1">
      <x:c r="A196" s="9" t="s">
        <x:v>227</x:v>
      </x:c>
      <x:c r="B196" s="127">
        <x:v>3.2394999999999996</x:v>
      </x:c>
      <x:c r="D196" s="129"/>
      <x:c r="G196" s="130"/>
      <x:c r="H196" s="130"/>
    </x:row>
    <x:row r="197" ht="14.25" customHeight="1">
      <x:c r="A197" s="9" t="s">
        <x:v>231</x:v>
      </x:c>
      <x:c r="B197" s="127">
        <x:v>3.298</x:v>
      </x:c>
      <x:c r="D197" s="129"/>
      <x:c r="G197" s="130"/>
      <x:c r="H197" s="130"/>
    </x:row>
    <x:row r="198" ht="14.25" customHeight="1">
      <x:c r="A198" s="9" t="s">
        <x:v>235</x:v>
      </x:c>
      <x:c r="B198" s="127">
        <x:v>3.355699999999999</x:v>
      </x:c>
      <x:c r="D198" s="129"/>
      <x:c r="G198" s="130"/>
      <x:c r="H198" s="130"/>
    </x:row>
    <x:row r="199" ht="14.25" customHeight="1">
      <x:c r="A199" s="9" t="s">
        <x:v>239</x:v>
      </x:c>
      <x:c r="B199" s="127">
        <x:v>3.4125999999999994</x:v>
      </x:c>
      <x:c r="D199" s="129"/>
      <x:c r="G199" s="130"/>
      <x:c r="H199" s="130"/>
    </x:row>
    <x:row r="200" ht="14.25" customHeight="1">
      <x:c r="A200" s="9" t="s">
        <x:v>243</x:v>
      </x:c>
      <x:c r="B200" s="127">
        <x:v>3.4687</x:v>
      </x:c>
      <x:c r="D200" s="129"/>
      <x:c r="G200" s="130"/>
      <x:c r="H200" s="130"/>
    </x:row>
    <x:row r="201" ht="14.25" customHeight="1">
      <x:c r="A201" s="9" t="s">
        <x:v>247</x:v>
      </x:c>
      <x:c r="B201" s="127">
        <x:v>3.523999999999999</x:v>
      </x:c>
      <x:c r="D201" s="129"/>
      <x:c r="G201" s="130"/>
      <x:c r="H201" s="130"/>
    </x:row>
    <x:row r="202" ht="14.25" customHeight="1">
      <x:c r="A202" s="9" t="s">
        <x:v>251</x:v>
      </x:c>
      <x:c r="B202" s="127">
        <x:v>3.5785</x:v>
      </x:c>
      <x:c r="D202" s="129"/>
      <x:c r="G202" s="130"/>
      <x:c r="H202" s="130"/>
    </x:row>
    <x:row r="203" ht="14.25" customHeight="1">
      <x:c r="A203" s="9" t="s">
        <x:v>255</x:v>
      </x:c>
      <x:c r="B203" s="127">
        <x:v>3.632199999999999</x:v>
      </x:c>
      <x:c r="D203" s="129"/>
      <x:c r="G203" s="130"/>
      <x:c r="H203" s="130"/>
    </x:row>
    <x:row r="204" ht="14.25" customHeight="1">
      <x:c r="A204" s="9" t="s">
        <x:v>259</x:v>
      </x:c>
      <x:c r="B204" s="127">
        <x:v>3.6850999999999985</x:v>
      </x:c>
      <x:c r="D204" s="129"/>
      <x:c r="G204" s="130"/>
      <x:c r="H204" s="130"/>
    </x:row>
    <x:row r="205" ht="14.25" customHeight="1">
      <x:c r="A205" s="9" t="s">
        <x:v>263</x:v>
      </x:c>
      <x:c r="B205" s="127">
        <x:v>3.7</x:v>
      </x:c>
      <x:c r="D205" s="129"/>
      <x:c r="G205" s="130"/>
      <x:c r="H205" s="130"/>
    </x:row>
    <x:row r="206" ht="14.25" customHeight="1">
      <x:c r="A206" s="9" t="s">
        <x:v>267</x:v>
      </x:c>
      <x:c r="B206" s="127">
        <x:v>3.7</x:v>
      </x:c>
      <x:c r="D206" s="129"/>
      <x:c r="G206" s="130"/>
      <x:c r="H206" s="130"/>
    </x:row>
    <x:row r="207" ht="14.25" customHeight="1">
      <x:c r="A207" s="9" t="s">
        <x:v>271</x:v>
      </x:c>
      <x:c r="B207" s="127">
        <x:v>3.7</x:v>
      </x:c>
      <x:c r="D207" s="129"/>
      <x:c r="G207" s="130"/>
      <x:c r="H207" s="130"/>
    </x:row>
    <x:row r="208" ht="14.25" customHeight="1">
      <x:c r="A208" s="9" t="s">
        <x:v>275</x:v>
      </x:c>
      <x:c r="B208" s="127">
        <x:v>3.7</x:v>
      </x:c>
      <x:c r="D208" s="129"/>
      <x:c r="G208" s="130"/>
      <x:c r="H208" s="130"/>
    </x:row>
    <x:row r="209" ht="14.25" customHeight="1">
      <x:c r="A209" s="9" t="s">
        <x:v>279</x:v>
      </x:c>
      <x:c r="B209" s="127">
        <x:v>3.7</x:v>
      </x:c>
      <x:c r="D209" s="129"/>
      <x:c r="G209" s="130"/>
      <x:c r="H209" s="130"/>
    </x:row>
    <x:row r="210" ht="14.25" customHeight="1">
      <x:c r="A210" s="9" t="s">
        <x:v>283</x:v>
      </x:c>
      <x:c r="B210" s="127">
        <x:v>3.7</x:v>
      </x:c>
      <x:c r="D210" s="129"/>
      <x:c r="G210" s="130"/>
      <x:c r="H210" s="130"/>
    </x:row>
    <x:row r="211" ht="14.25" customHeight="1">
      <x:c r="A211" s="9" t="s">
        <x:v>287</x:v>
      </x:c>
      <x:c r="B211" s="127">
        <x:v>3.7</x:v>
      </x:c>
      <x:c r="D211" s="129"/>
      <x:c r="G211" s="130"/>
      <x:c r="H211" s="130"/>
    </x:row>
    <x:row r="212" ht="14.25" customHeight="1">
      <x:c r="A212" s="9" t="s">
        <x:v>291</x:v>
      </x:c>
      <x:c r="B212" s="127">
        <x:v>3.7</x:v>
      </x:c>
      <x:c r="D212" s="129"/>
      <x:c r="G212" s="130"/>
      <x:c r="H212" s="130"/>
    </x:row>
    <x:row r="213" ht="14.25" customHeight="1">
      <x:c r="A213" s="9" t="s">
        <x:v>295</x:v>
      </x:c>
      <x:c r="B213" s="127">
        <x:v>3.7</x:v>
      </x:c>
      <x:c r="D213" s="129"/>
      <x:c r="G213" s="130"/>
      <x:c r="H213" s="130"/>
    </x:row>
    <x:row r="214" ht="14.25" customHeight="1">
      <x:c r="A214" s="9" t="s">
        <x:v>299</x:v>
      </x:c>
      <x:c r="B214" s="127">
        <x:v>3.7</x:v>
      </x:c>
      <x:c r="D214" s="129"/>
      <x:c r="G214" s="130"/>
      <x:c r="H214" s="130"/>
    </x:row>
    <x:row r="215" ht="14.25" customHeight="1">
      <x:c r="A215" s="9" t="s">
        <x:v>303</x:v>
      </x:c>
      <x:c r="B215" s="127">
        <x:v>3.7</x:v>
      </x:c>
      <x:c r="D215" s="129"/>
      <x:c r="G215" s="130"/>
      <x:c r="H215" s="130"/>
    </x:row>
    <x:row r="216" ht="14.25" customHeight="1">
      <x:c r="A216" s="9" t="s">
        <x:v>307</x:v>
      </x:c>
      <x:c r="B216" s="127">
        <x:v>3.7</x:v>
      </x:c>
      <x:c r="D216" s="129"/>
      <x:c r="G216" s="130"/>
      <x:c r="H216" s="130"/>
    </x:row>
    <x:row r="217" ht="14.25" customHeight="1">
      <x:c r="A217" s="9" t="s">
        <x:v>311</x:v>
      </x:c>
      <x:c r="B217" s="127">
        <x:v>3.7</x:v>
      </x:c>
      <x:c r="D217" s="129"/>
      <x:c r="G217" s="130"/>
      <x:c r="H217" s="130"/>
    </x:row>
    <x:row r="218" ht="14.25" customHeight="1">
      <x:c r="A218" s="9" t="s">
        <x:v>315</x:v>
      </x:c>
      <x:c r="B218" s="127">
        <x:v>3.7</x:v>
      </x:c>
      <x:c r="D218" s="129"/>
      <x:c r="G218" s="130"/>
      <x:c r="H218" s="130"/>
    </x:row>
    <x:row r="219" ht="14.25" customHeight="1">
      <x:c r="A219" s="9" t="s">
        <x:v>319</x:v>
      </x:c>
      <x:c r="B219" s="127">
        <x:v>3.7</x:v>
      </x:c>
      <x:c r="D219" s="129"/>
      <x:c r="G219" s="130"/>
      <x:c r="H219" s="130"/>
    </x:row>
    <x:row r="220" ht="14.25" customHeight="1">
      <x:c r="A220" s="9" t="s">
        <x:v>322</x:v>
      </x:c>
      <x:c r="B220" s="127">
        <x:v>3.7</x:v>
      </x:c>
      <x:c r="D220" s="129"/>
      <x:c r="G220" s="130"/>
      <x:c r="H220" s="130"/>
    </x:row>
    <x:row r="221" ht="14.25" customHeight="1">
      <x:c r="A221" s="9" t="s">
        <x:v>325</x:v>
      </x:c>
      <x:c r="B221" s="127">
        <x:v>3.7</x:v>
      </x:c>
      <x:c r="D221" s="129"/>
      <x:c r="G221" s="130"/>
      <x:c r="H221" s="130"/>
    </x:row>
    <x:row r="222" ht="14.25" customHeight="1">
      <x:c r="A222" s="9" t="s">
        <x:v>328</x:v>
      </x:c>
      <x:c r="B222" s="127">
        <x:v>3.7</x:v>
      </x:c>
      <x:c r="D222" s="129"/>
      <x:c r="G222" s="130"/>
      <x:c r="H222" s="130"/>
    </x:row>
    <x:row r="223" ht="14.25" customHeight="1">
      <x:c r="A223" s="9" t="s">
        <x:v>331</x:v>
      </x:c>
      <x:c r="B223" s="127">
        <x:v>3.7</x:v>
      </x:c>
      <x:c r="D223" s="129"/>
      <x:c r="G223" s="130"/>
      <x:c r="H223" s="130"/>
    </x:row>
    <x:row r="224" ht="14.25" customHeight="1">
      <x:c r="A224" s="9" t="s">
        <x:v>334</x:v>
      </x:c>
      <x:c r="B224" s="127">
        <x:v>3.7</x:v>
      </x:c>
      <x:c r="D224" s="129"/>
      <x:c r="G224" s="130"/>
      <x:c r="H224" s="130"/>
    </x:row>
    <x:row r="225" ht="14.25" customHeight="1">
      <x:c r="A225" s="9" t="s">
        <x:v>337</x:v>
      </x:c>
      <x:c r="B225" s="127">
        <x:v>3.7</x:v>
      </x:c>
      <x:c r="D225" s="129"/>
      <x:c r="G225" s="130"/>
      <x:c r="H225" s="130"/>
    </x:row>
    <x:row r="226" ht="14.25" customHeight="1">
      <x:c r="A226" s="9" t="s">
        <x:v>340</x:v>
      </x:c>
      <x:c r="B226" s="127">
        <x:v>3.7</x:v>
      </x:c>
      <x:c r="D226" s="129"/>
      <x:c r="G226" s="130"/>
      <x:c r="H226" s="130"/>
    </x:row>
    <x:row r="227" ht="14.25" customHeight="1">
      <x:c r="A227" s="9" t="s">
        <x:v>343</x:v>
      </x:c>
      <x:c r="B227" s="127">
        <x:v>3.7</x:v>
      </x:c>
      <x:c r="D227" s="129"/>
      <x:c r="G227" s="130"/>
      <x:c r="H227" s="130"/>
    </x:row>
    <x:row r="228" ht="14.25" customHeight="1">
      <x:c r="A228" s="9" t="s">
        <x:v>346</x:v>
      </x:c>
      <x:c r="B228" s="127">
        <x:v>3.7</x:v>
      </x:c>
      <x:c r="D228" s="129"/>
      <x:c r="G228" s="130"/>
      <x:c r="H228" s="130"/>
    </x:row>
    <x:row r="229" ht="14.25" customHeight="1">
      <x:c r="A229" s="9" t="s">
        <x:v>349</x:v>
      </x:c>
      <x:c r="B229" s="127">
        <x:v>3.7</x:v>
      </x:c>
      <x:c r="D229" s="129"/>
      <x:c r="G229" s="130"/>
      <x:c r="H229" s="130"/>
    </x:row>
    <x:row r="230" ht="14.25" customHeight="1">
      <x:c r="A230" s="9" t="s">
        <x:v>352</x:v>
      </x:c>
      <x:c r="B230" s="127">
        <x:v>3.7</x:v>
      </x:c>
      <x:c r="D230" s="129"/>
      <x:c r="G230" s="130"/>
      <x:c r="H230" s="130"/>
    </x:row>
    <x:row r="231" ht="14.25" customHeight="1">
      <x:c r="A231" s="9" t="s">
        <x:v>355</x:v>
      </x:c>
      <x:c r="B231" s="127">
        <x:v>3.7</x:v>
      </x:c>
      <x:c r="D231" s="129"/>
      <x:c r="G231" s="130"/>
      <x:c r="H231" s="130"/>
    </x:row>
    <x:row r="232" ht="14.25" customHeight="1">
      <x:c r="A232" s="9" t="s">
        <x:v>358</x:v>
      </x:c>
      <x:c r="B232" s="127">
        <x:v>3.7</x:v>
      </x:c>
      <x:c r="D232" s="129"/>
      <x:c r="G232" s="130"/>
      <x:c r="H232" s="130"/>
    </x:row>
    <x:row r="233" ht="14.25" customHeight="1">
      <x:c r="A233" s="9" t="s">
        <x:v>361</x:v>
      </x:c>
      <x:c r="B233" s="127">
        <x:v>3.7</x:v>
      </x:c>
      <x:c r="D233" s="129"/>
      <x:c r="G233" s="130"/>
      <x:c r="H233" s="130"/>
    </x:row>
    <x:row r="234" ht="14.25" customHeight="1">
      <x:c r="A234" s="9" t="s">
        <x:v>364</x:v>
      </x:c>
      <x:c r="B234" s="127">
        <x:v>3.7</x:v>
      </x:c>
      <x:c r="D234" s="129"/>
      <x:c r="G234" s="130"/>
      <x:c r="H234" s="130"/>
    </x:row>
    <x:row r="235" ht="14.25" customHeight="1">
      <x:c r="A235" s="9" t="s">
        <x:v>367</x:v>
      </x:c>
      <x:c r="B235" s="127">
        <x:v>3.7</x:v>
      </x:c>
      <x:c r="D235" s="129"/>
      <x:c r="G235" s="130"/>
      <x:c r="H235" s="130"/>
    </x:row>
    <x:row r="236" ht="14.25" customHeight="1">
      <x:c r="A236" s="9" t="s">
        <x:v>370</x:v>
      </x:c>
      <x:c r="B236" s="127">
        <x:v>3.7</x:v>
      </x:c>
      <x:c r="D236" s="129"/>
      <x:c r="G236" s="130"/>
      <x:c r="H236" s="130"/>
    </x:row>
    <x:row r="237" ht="14.25" customHeight="1">
      <x:c r="A237" s="9" t="s">
        <x:v>373</x:v>
      </x:c>
      <x:c r="B237" s="127">
        <x:v>3.7</x:v>
      </x:c>
      <x:c r="D237" s="129"/>
      <x:c r="G237" s="130"/>
      <x:c r="H237" s="130"/>
    </x:row>
    <x:row r="238" ht="14.25" customHeight="1">
      <x:c r="A238" s="9" t="s">
        <x:v>376</x:v>
      </x:c>
      <x:c r="B238" s="127">
        <x:v>3.7</x:v>
      </x:c>
      <x:c r="D238" s="129"/>
      <x:c r="G238" s="130"/>
      <x:c r="H238" s="130"/>
    </x:row>
    <x:row r="239" ht="14.25" customHeight="1">
      <x:c r="A239" s="9" t="s">
        <x:v>379</x:v>
      </x:c>
      <x:c r="B239" s="127">
        <x:v>3.7</x:v>
      </x:c>
      <x:c r="D239" s="129"/>
      <x:c r="G239" s="130"/>
      <x:c r="H239" s="130"/>
    </x:row>
    <x:row r="240" ht="14.25" customHeight="1">
      <x:c r="A240" s="9" t="s">
        <x:v>382</x:v>
      </x:c>
      <x:c r="B240" s="127">
        <x:v>3.7</x:v>
      </x:c>
      <x:c r="D240" s="129"/>
      <x:c r="G240" s="130"/>
      <x:c r="H240" s="130"/>
    </x:row>
    <x:row r="241" ht="14.25" customHeight="1">
      <x:c r="A241" s="9" t="s">
        <x:v>385</x:v>
      </x:c>
      <x:c r="B241" s="127">
        <x:v>3.7</x:v>
      </x:c>
      <x:c r="D241" s="129"/>
      <x:c r="G241" s="130"/>
      <x:c r="H241" s="130"/>
    </x:row>
    <x:row r="242" ht="14.25" customHeight="1">
      <x:c r="A242" s="9" t="s">
        <x:v>388</x:v>
      </x:c>
      <x:c r="B242" s="127">
        <x:v>3.7</x:v>
      </x:c>
      <x:c r="D242" s="129"/>
      <x:c r="G242" s="130"/>
      <x:c r="H242" s="130"/>
    </x:row>
    <x:row r="243" ht="14.25" customHeight="1">
      <x:c r="A243" s="9" t="s">
        <x:v>391</x:v>
      </x:c>
      <x:c r="B243" s="127">
        <x:v>3.7</x:v>
      </x:c>
      <x:c r="D243" s="129"/>
      <x:c r="G243" s="130"/>
      <x:c r="H243" s="130"/>
    </x:row>
    <x:row r="244" ht="14.25" customHeight="1">
      <x:c r="A244" s="9" t="s">
        <x:v>394</x:v>
      </x:c>
      <x:c r="B244" s="127">
        <x:v>3.7</x:v>
      </x:c>
      <x:c r="D244" s="129"/>
      <x:c r="G244" s="130"/>
      <x:c r="H244" s="130"/>
    </x:row>
    <x:row r="245" ht="14.25" customHeight="1">
      <x:c r="A245" s="9" t="s">
        <x:v>397</x:v>
      </x:c>
      <x:c r="B245" s="127">
        <x:v>3.7</x:v>
      </x:c>
      <x:c r="D245" s="129"/>
      <x:c r="G245" s="130"/>
      <x:c r="H245" s="130"/>
    </x:row>
    <x:row r="246" ht="14.25" customHeight="1">
      <x:c r="A246" s="9" t="s">
        <x:v>400</x:v>
      </x:c>
      <x:c r="B246" s="127">
        <x:v>3.7</x:v>
      </x:c>
      <x:c r="D246" s="129"/>
      <x:c r="G246" s="130"/>
      <x:c r="H246" s="130"/>
    </x:row>
    <x:row r="247" ht="14.25" customHeight="1">
      <x:c r="A247" s="9" t="s">
        <x:v>403</x:v>
      </x:c>
      <x:c r="B247" s="127">
        <x:v>3.7</x:v>
      </x:c>
      <x:c r="D247" s="129"/>
      <x:c r="G247" s="130"/>
      <x:c r="H247" s="130"/>
    </x:row>
    <x:row r="248" ht="14.25" customHeight="1">
      <x:c r="A248" s="9" t="s">
        <x:v>406</x:v>
      </x:c>
      <x:c r="B248" s="127">
        <x:v>3.7</x:v>
      </x:c>
      <x:c r="D248" s="129"/>
      <x:c r="G248" s="130"/>
      <x:c r="H248" s="130"/>
    </x:row>
    <x:row r="249" ht="14.25" customHeight="1">
      <x:c r="A249" s="9" t="s">
        <x:v>409</x:v>
      </x:c>
      <x:c r="B249" s="127">
        <x:v>3.7</x:v>
      </x:c>
      <x:c r="D249" s="129"/>
      <x:c r="G249" s="130"/>
      <x:c r="H249" s="130"/>
    </x:row>
    <x:row r="250" ht="14.25" customHeight="1">
      <x:c r="A250" s="9" t="s">
        <x:v>412</x:v>
      </x:c>
      <x:c r="B250" s="127">
        <x:v>3.7</x:v>
      </x:c>
      <x:c r="D250" s="129"/>
      <x:c r="G250" s="130"/>
      <x:c r="H250" s="130"/>
    </x:row>
    <x:row r="251" ht="14.25" customHeight="1">
      <x:c r="A251" s="9" t="s">
        <x:v>415</x:v>
      </x:c>
      <x:c r="B251" s="127">
        <x:v>3.7</x:v>
      </x:c>
      <x:c r="D251" s="129"/>
      <x:c r="G251" s="130"/>
      <x:c r="H251" s="130"/>
    </x:row>
    <x:row r="252" ht="14.25" customHeight="1">
      <x:c r="A252" s="9" t="s">
        <x:v>418</x:v>
      </x:c>
      <x:c r="B252" s="127">
        <x:v>3.7</x:v>
      </x:c>
      <x:c r="D252" s="129"/>
      <x:c r="G252" s="130"/>
      <x:c r="H252" s="130"/>
    </x:row>
    <x:row r="253" ht="14.25" customHeight="1">
      <x:c r="A253" s="9" t="s">
        <x:v>421</x:v>
      </x:c>
      <x:c r="B253" s="127">
        <x:v>3.7</x:v>
      </x:c>
      <x:c r="D253" s="129"/>
      <x:c r="G253" s="130"/>
      <x:c r="H253" s="130"/>
    </x:row>
    <x:row r="254" ht="14.25" customHeight="1">
      <x:c r="A254" s="9" t="s">
        <x:v>424</x:v>
      </x:c>
      <x:c r="B254" s="127">
        <x:v>3.7</x:v>
      </x:c>
      <x:c r="D254" s="129"/>
      <x:c r="G254" s="130"/>
      <x:c r="H254" s="130"/>
    </x:row>
    <x:row r="255" ht="14.25" customHeight="1">
      <x:c r="A255" s="9" t="s">
        <x:v>427</x:v>
      </x:c>
      <x:c r="B255" s="127">
        <x:v>3.7</x:v>
      </x:c>
      <x:c r="D255" s="129"/>
      <x:c r="G255" s="130"/>
      <x:c r="H255" s="130"/>
    </x:row>
    <x:row r="256" ht="14.25" customHeight="1">
      <x:c r="A256" s="9" t="s">
        <x:v>430</x:v>
      </x:c>
      <x:c r="B256" s="127">
        <x:v>3.7</x:v>
      </x:c>
      <x:c r="D256" s="129"/>
      <x:c r="G256" s="130"/>
      <x:c r="H256" s="130"/>
    </x:row>
    <x:row r="257" ht="14.25" customHeight="1">
      <x:c r="A257" s="9" t="s">
        <x:v>433</x:v>
      </x:c>
      <x:c r="B257" s="127">
        <x:v>3.7</x:v>
      </x:c>
      <x:c r="D257" s="129"/>
      <x:c r="G257" s="130"/>
      <x:c r="H257" s="130"/>
    </x:row>
    <x:row r="258" ht="14.25" customHeight="1">
      <x:c r="A258" s="9" t="s">
        <x:v>436</x:v>
      </x:c>
      <x:c r="B258" s="127">
        <x:v>3.7</x:v>
      </x:c>
      <x:c r="D258" s="129"/>
      <x:c r="G258" s="130"/>
      <x:c r="H258" s="130"/>
    </x:row>
    <x:row r="259" ht="14.25" customHeight="1">
      <x:c r="A259" s="9" t="s">
        <x:v>439</x:v>
      </x:c>
      <x:c r="B259" s="127">
        <x:v>3.7</x:v>
      </x:c>
      <x:c r="D259" s="129"/>
      <x:c r="G259" s="130"/>
      <x:c r="H259" s="130"/>
    </x:row>
    <x:row r="260" ht="14.25" customHeight="1">
      <x:c r="A260" s="9" t="s">
        <x:v>442</x:v>
      </x:c>
      <x:c r="B260" s="127">
        <x:v>3.7</x:v>
      </x:c>
      <x:c r="D260" s="129"/>
      <x:c r="G260" s="130"/>
      <x:c r="H260" s="130"/>
    </x:row>
    <x:row r="261" ht="14.25" customHeight="1">
      <x:c r="A261" s="9" t="s">
        <x:v>445</x:v>
      </x:c>
      <x:c r="B261" s="127">
        <x:v>3.7</x:v>
      </x:c>
      <x:c r="D261" s="129"/>
      <x:c r="G261" s="130"/>
      <x:c r="H261" s="130"/>
    </x:row>
    <x:row r="262" ht="14.25" customHeight="1">
      <x:c r="A262" s="9" t="s">
        <x:v>448</x:v>
      </x:c>
      <x:c r="B262" s="127">
        <x:v>3.7</x:v>
      </x:c>
      <x:c r="D262" s="129"/>
      <x:c r="G262" s="130"/>
      <x:c r="H262" s="130"/>
    </x:row>
    <x:row r="263" ht="14.25" customHeight="1">
      <x:c r="A263" s="9" t="s">
        <x:v>451</x:v>
      </x:c>
      <x:c r="B263" s="127">
        <x:v>3.7</x:v>
      </x:c>
      <x:c r="D263" s="129"/>
      <x:c r="G263" s="130"/>
      <x:c r="H263" s="130"/>
    </x:row>
    <x:row r="264" ht="14.25" customHeight="1">
      <x:c r="A264" s="9" t="s">
        <x:v>454</x:v>
      </x:c>
      <x:c r="B264" s="127">
        <x:v>3.7</x:v>
      </x:c>
      <x:c r="D264" s="129"/>
      <x:c r="G264" s="130"/>
      <x:c r="H264" s="130"/>
    </x:row>
    <x:row r="265" ht="14.25" customHeight="1">
      <x:c r="A265" s="9" t="s">
        <x:v>457</x:v>
      </x:c>
      <x:c r="B265" s="127">
        <x:v>3.7</x:v>
      </x:c>
      <x:c r="D265" s="129"/>
      <x:c r="G265" s="130"/>
      <x:c r="H265" s="130"/>
    </x:row>
    <x:row r="266" ht="14.25" customHeight="1">
      <x:c r="A266" s="9" t="s">
        <x:v>460</x:v>
      </x:c>
      <x:c r="B266" s="127">
        <x:v>3.7</x:v>
      </x:c>
      <x:c r="D266" s="129"/>
      <x:c r="G266" s="130"/>
      <x:c r="H266" s="130"/>
    </x:row>
    <x:row r="267" ht="14.25" customHeight="1">
      <x:c r="A267" s="9" t="s">
        <x:v>463</x:v>
      </x:c>
      <x:c r="B267" s="127">
        <x:v>3.7</x:v>
      </x:c>
      <x:c r="D267" s="129"/>
      <x:c r="G267" s="130"/>
      <x:c r="H267" s="130"/>
    </x:row>
    <x:row r="268" ht="14.25" customHeight="1">
      <x:c r="A268" s="9" t="s">
        <x:v>466</x:v>
      </x:c>
      <x:c r="B268" s="127">
        <x:v>3.7</x:v>
      </x:c>
      <x:c r="D268" s="129"/>
      <x:c r="G268" s="130"/>
      <x:c r="H268" s="130"/>
    </x:row>
    <x:row r="269" ht="14.25" customHeight="1">
      <x:c r="A269" s="9" t="s">
        <x:v>469</x:v>
      </x:c>
      <x:c r="B269" s="127">
        <x:v>3.7</x:v>
      </x:c>
      <x:c r="D269" s="129"/>
      <x:c r="G269" s="130"/>
      <x:c r="H269" s="130"/>
    </x:row>
    <x:row r="270" ht="14.25" customHeight="1">
      <x:c r="A270" s="9" t="s">
        <x:v>472</x:v>
      </x:c>
      <x:c r="B270" s="127">
        <x:v>3.7</x:v>
      </x:c>
      <x:c r="D270" s="129"/>
      <x:c r="G270" s="130"/>
      <x:c r="H270" s="130"/>
    </x:row>
    <x:row r="271" ht="14.25" customHeight="1">
      <x:c r="A271" s="9" t="s">
        <x:v>475</x:v>
      </x:c>
      <x:c r="B271" s="127">
        <x:v>3.7</x:v>
      </x:c>
      <x:c r="D271" s="129"/>
      <x:c r="G271" s="130"/>
      <x:c r="H271" s="130"/>
    </x:row>
    <x:row r="272" ht="14.25" customHeight="1">
      <x:c r="A272" s="9" t="s">
        <x:v>1135</x:v>
      </x:c>
      <x:c r="B272" s="127">
        <x:v>3.7</x:v>
      </x:c>
      <x:c r="D272" s="129"/>
      <x:c r="G272" s="130"/>
      <x:c r="H272" s="130"/>
    </x:row>
    <x:row r="273" ht="14.25" customHeight="1">
      <x:c r="A273" s="9" t="s">
        <x:v>1141</x:v>
      </x:c>
      <x:c r="B273" s="127">
        <x:v>3.7</x:v>
      </x:c>
      <x:c r="D273" s="129"/>
      <x:c r="G273" s="130"/>
      <x:c r="H273" s="130"/>
    </x:row>
    <x:row r="274" ht="14.25" customHeight="1">
      <x:c r="A274" s="9" t="s">
        <x:v>1142</x:v>
      </x:c>
      <x:c r="B274" s="127">
        <x:v>3.7</x:v>
      </x:c>
      <x:c r="D274" s="129"/>
      <x:c r="G274" s="130"/>
      <x:c r="H274" s="130"/>
    </x:row>
    <x:row r="275" ht="14.25" customHeight="1">
      <x:c r="A275" s="9" t="s">
        <x:v>1143</x:v>
      </x:c>
      <x:c r="B275" s="127">
        <x:v>3.7</x:v>
      </x:c>
      <x:c r="D275" s="129"/>
      <x:c r="G275" s="130"/>
      <x:c r="H275" s="130"/>
    </x:row>
    <x:row r="276" ht="14.25" customHeight="1">
      <x:c r="A276" s="9" t="s">
        <x:v>1144</x:v>
      </x:c>
      <x:c r="B276" s="127">
        <x:v>3.7</x:v>
      </x:c>
      <x:c r="D276" s="129"/>
      <x:c r="G276" s="130"/>
      <x:c r="H276" s="130"/>
    </x:row>
    <x:row r="277" ht="14.25" customHeight="1">
      <x:c r="A277" s="9" t="s">
        <x:v>1147</x:v>
      </x:c>
      <x:c r="B277" s="127">
        <x:v>3.7</x:v>
      </x:c>
      <x:c r="D277" s="129"/>
      <x:c r="G277" s="130"/>
      <x:c r="H277" s="130"/>
    </x:row>
    <x:row r="278" ht="14.25" customHeight="1">
      <x:c r="A278" s="9" t="s">
        <x:v>1151</x:v>
      </x:c>
      <x:c r="B278" s="127">
        <x:v>3.7</x:v>
      </x:c>
      <x:c r="D278" s="129"/>
      <x:c r="G278" s="130"/>
      <x:c r="H278" s="130"/>
    </x:row>
    <x:row r="279" ht="14.25" customHeight="1">
      <x:c r="A279" s="9" t="s">
        <x:v>1155</x:v>
      </x:c>
      <x:c r="B279" s="127">
        <x:v>3.7</x:v>
      </x:c>
      <x:c r="D279" s="129"/>
      <x:c r="G279" s="130"/>
      <x:c r="H279" s="130"/>
    </x:row>
    <x:row r="280" ht="14.25" customHeight="1">
      <x:c r="A280" s="9" t="s">
        <x:v>1158</x:v>
      </x:c>
      <x:c r="B280" s="127">
        <x:v>3.7</x:v>
      </x:c>
      <x:c r="D280" s="129"/>
      <x:c r="G280" s="130"/>
      <x:c r="H280" s="130"/>
    </x:row>
    <x:row r="281" ht="14.25" customHeight="1">
      <x:c r="A281" s="9" t="s">
        <x:v>1162</x:v>
      </x:c>
      <x:c r="B281" s="127">
        <x:v>3.7</x:v>
      </x:c>
      <x:c r="D281" s="129"/>
      <x:c r="G281" s="130"/>
      <x:c r="H281" s="130"/>
    </x:row>
    <x:row r="282" ht="14.25" customHeight="1">
      <x:c r="A282" s="9" t="s">
        <x:v>1163</x:v>
      </x:c>
      <x:c r="B282" s="127">
        <x:v>3.7</x:v>
      </x:c>
      <x:c r="D282" s="129"/>
      <x:c r="G282" s="130"/>
      <x:c r="H282" s="130"/>
    </x:row>
    <x:row r="283" ht="14.25" customHeight="1">
      <x:c r="A283" s="9" t="s">
        <x:v>1164</x:v>
      </x:c>
      <x:c r="B283" s="127">
        <x:v>3.7</x:v>
      </x:c>
      <x:c r="D283" s="129"/>
      <x:c r="G283" s="130"/>
      <x:c r="H283" s="130"/>
    </x:row>
    <x:row r="284" ht="14.25" customHeight="1">
      <x:c r="A284" s="9" t="s">
        <x:v>1166</x:v>
      </x:c>
      <x:c r="B284" s="127">
        <x:v>3.7</x:v>
      </x:c>
      <x:c r="D284" s="129"/>
      <x:c r="G284" s="130"/>
      <x:c r="H284" s="130"/>
    </x:row>
    <x:row r="285" ht="14.25" customHeight="1">
      <x:c r="A285" s="9" t="s">
        <x:v>1167</x:v>
      </x:c>
      <x:c r="B285" s="127">
        <x:v>3.7</x:v>
      </x:c>
      <x:c r="D285" s="129"/>
      <x:c r="G285" s="130"/>
      <x:c r="H285" s="130"/>
    </x:row>
    <x:row r="286" ht="14.25" customHeight="1">
      <x:c r="A286" s="9" t="s">
        <x:v>1169</x:v>
      </x:c>
      <x:c r="B286" s="127">
        <x:v>3.7</x:v>
      </x:c>
      <x:c r="D286" s="129"/>
      <x:c r="G286" s="130"/>
      <x:c r="H286" s="130"/>
    </x:row>
    <x:row r="287" ht="14.25" customHeight="1">
      <x:c r="A287" s="9" t="s">
        <x:v>1170</x:v>
      </x:c>
      <x:c r="B287" s="127">
        <x:v>3.7</x:v>
      </x:c>
      <x:c r="D287" s="129"/>
      <x:c r="G287" s="130"/>
      <x:c r="H287" s="130"/>
    </x:row>
    <x:row r="288" ht="14.25" customHeight="1">
      <x:c r="A288" s="9" t="s">
        <x:v>1173</x:v>
      </x:c>
      <x:c r="B288" s="127">
        <x:v>3.7</x:v>
      </x:c>
      <x:c r="D288" s="129"/>
      <x:c r="G288" s="130"/>
      <x:c r="H288" s="130"/>
    </x:row>
    <x:row r="289" ht="14.25" customHeight="1">
      <x:c r="A289" s="9" t="s">
        <x:v>1174</x:v>
      </x:c>
      <x:c r="B289" s="127">
        <x:v>3.7</x:v>
      </x:c>
      <x:c r="D289" s="129"/>
      <x:c r="G289" s="130"/>
      <x:c r="H289" s="130"/>
    </x:row>
    <x:row r="290" ht="14.25" customHeight="1">
      <x:c r="A290" s="9" t="s">
        <x:v>1175</x:v>
      </x:c>
      <x:c r="B290" s="127">
        <x:v>3.7</x:v>
      </x:c>
      <x:c r="D290" s="129"/>
      <x:c r="G290" s="130"/>
      <x:c r="H290" s="130"/>
    </x:row>
    <x:row r="291" ht="14.25" customHeight="1">
      <x:c r="A291" s="9" t="s">
        <x:v>1176</x:v>
      </x:c>
      <x:c r="B291" s="127">
        <x:v>3.7</x:v>
      </x:c>
      <x:c r="D291" s="129"/>
      <x:c r="G291" s="130"/>
      <x:c r="H291" s="130"/>
    </x:row>
    <x:row r="292" ht="14.25" customHeight="1">
      <x:c r="A292" s="9" t="s">
        <x:v>1177</x:v>
      </x:c>
      <x:c r="B292" s="127">
        <x:v>3.7</x:v>
      </x:c>
      <x:c r="D292" s="129"/>
      <x:c r="G292" s="130"/>
      <x:c r="H292" s="130"/>
    </x:row>
    <x:row r="293" ht="14.25" customHeight="1">
      <x:c r="A293" s="9" t="s">
        <x:v>1178</x:v>
      </x:c>
      <x:c r="B293" s="127">
        <x:v>3.7</x:v>
      </x:c>
      <x:c r="D293" s="129"/>
      <x:c r="G293" s="130"/>
      <x:c r="H293" s="130"/>
    </x:row>
    <x:row r="294" ht="14.25" customHeight="1">
      <x:c r="A294" s="9" t="s">
        <x:v>1181</x:v>
      </x:c>
      <x:c r="B294" s="127">
        <x:v>3.7</x:v>
      </x:c>
      <x:c r="D294" s="129"/>
      <x:c r="G294" s="130"/>
      <x:c r="H294" s="130"/>
    </x:row>
    <x:row r="295" ht="14.25" customHeight="1">
      <x:c r="A295" s="9" t="s">
        <x:v>1182</x:v>
      </x:c>
      <x:c r="B295" s="127">
        <x:v>3.7</x:v>
      </x:c>
      <x:c r="D295" s="129"/>
      <x:c r="G295" s="130"/>
      <x:c r="H295" s="130"/>
    </x:row>
    <x:row r="296" ht="14.25" customHeight="1">
      <x:c r="A296" s="9" t="s">
        <x:v>1183</x:v>
      </x:c>
      <x:c r="B296" s="127">
        <x:v>3.7</x:v>
      </x:c>
      <x:c r="D296" s="129"/>
      <x:c r="G296" s="130"/>
      <x:c r="H296" s="130"/>
    </x:row>
    <x:row r="297" ht="14.25" customHeight="1">
      <x:c r="A297" s="9" t="s">
        <x:v>1184</x:v>
      </x:c>
      <x:c r="B297" s="127">
        <x:v>3.7</x:v>
      </x:c>
      <x:c r="D297" s="129"/>
      <x:c r="G297" s="130"/>
      <x:c r="H297" s="130"/>
    </x:row>
    <x:row r="298" ht="14.25" customHeight="1">
      <x:c r="A298" s="9" t="s">
        <x:v>1185</x:v>
      </x:c>
      <x:c r="B298" s="127">
        <x:v>3.7</x:v>
      </x:c>
      <x:c r="D298" s="129"/>
      <x:c r="G298" s="130"/>
      <x:c r="H298" s="130"/>
    </x:row>
    <x:row r="299" ht="14.25" customHeight="1">
      <x:c r="A299" s="9" t="s">
        <x:v>1197</x:v>
      </x:c>
      <x:c r="B299" s="127">
        <x:v>3.7</x:v>
      </x:c>
      <x:c r="D299" s="129"/>
      <x:c r="G299" s="130"/>
      <x:c r="H299" s="130"/>
    </x:row>
    <x:row r="300" ht="14.25" customHeight="1">
      <x:c r="A300" s="9" t="s">
        <x:v>1198</x:v>
      </x:c>
      <x:c r="B300" s="127">
        <x:v>3.7</x:v>
      </x:c>
      <x:c r="D300" s="129"/>
      <x:c r="G300" s="130"/>
      <x:c r="H300" s="130"/>
    </x:row>
    <x:row r="301" ht="14.25" customHeight="1">
      <x:c r="A301" s="9" t="s">
        <x:v>1199</x:v>
      </x:c>
      <x:c r="B301" s="127">
        <x:v>3.7</x:v>
      </x:c>
      <x:c r="D301" s="129"/>
      <x:c r="G301" s="130"/>
      <x:c r="H301" s="130"/>
    </x:row>
    <x:row r="302" ht="14.25" customHeight="1">
      <x:c r="A302" s="9" t="s">
        <x:v>1200</x:v>
      </x:c>
      <x:c r="B302" s="127">
        <x:v>3.7</x:v>
      </x:c>
      <x:c r="D302" s="129"/>
      <x:c r="G302" s="130"/>
      <x:c r="H302" s="130"/>
    </x:row>
    <x:row r="303" ht="14.25" customHeight="1">
      <x:c r="A303" s="9" t="s">
        <x:v>1201</x:v>
      </x:c>
      <x:c r="B303" s="127">
        <x:v>3.7</x:v>
      </x:c>
      <x:c r="D303" s="129"/>
      <x:c r="G303" s="130"/>
      <x:c r="H303" s="130"/>
    </x:row>
    <x:row r="304" ht="14.25" customHeight="1">
      <x:c r="A304" s="9" t="s">
        <x:v>1202</x:v>
      </x:c>
      <x:c r="B304" s="127">
        <x:v>3.7</x:v>
      </x:c>
      <x:c r="D304" s="129"/>
      <x:c r="G304" s="130"/>
      <x:c r="H304" s="130"/>
    </x:row>
    <x:row r="305" ht="14.25" customHeight="1">
      <x:c r="A305" s="9" t="s">
        <x:v>1205</x:v>
      </x:c>
      <x:c r="B305" s="127">
        <x:v>3.7</x:v>
      </x:c>
      <x:c r="D305" s="129"/>
      <x:c r="G305" s="130"/>
      <x:c r="H305" s="130"/>
    </x:row>
    <x:row r="306" ht="14.25" customHeight="1">
      <x:c r="A306" s="9" t="s">
        <x:v>1207</x:v>
      </x:c>
      <x:c r="B306" s="127">
        <x:v>3.7</x:v>
      </x:c>
      <x:c r="D306" s="129"/>
      <x:c r="G306" s="130"/>
      <x:c r="H306" s="130"/>
    </x:row>
    <x:row r="307" ht="14.25" customHeight="1">
      <x:c r="A307" s="9" t="s">
        <x:v>1214</x:v>
      </x:c>
      <x:c r="B307" s="127">
        <x:v>3.7</x:v>
      </x:c>
      <x:c r="D307" s="129"/>
      <x:c r="G307" s="130"/>
      <x:c r="H307" s="130"/>
    </x:row>
    <x:row r="308" ht="14.25" customHeight="1">
      <x:c r="A308" s="9" t="s">
        <x:v>1215</x:v>
      </x:c>
      <x:c r="B308" s="127">
        <x:v>3.7</x:v>
      </x:c>
      <x:c r="D308" s="129"/>
      <x:c r="G308" s="130"/>
      <x:c r="H308" s="130"/>
    </x:row>
    <x:row r="309" ht="14.25" customHeight="1">
      <x:c r="A309" s="9" t="s">
        <x:v>1216</x:v>
      </x:c>
      <x:c r="B309" s="127">
        <x:v>3.7</x:v>
      </x:c>
      <x:c r="D309" s="129"/>
      <x:c r="G309" s="130"/>
      <x:c r="H309" s="130"/>
    </x:row>
    <x:row r="310" ht="14.25" customHeight="1">
      <x:c r="A310" s="9" t="s">
        <x:v>1217</x:v>
      </x:c>
      <x:c r="B310" s="127">
        <x:v>3.7</x:v>
      </x:c>
      <x:c r="D310" s="129"/>
      <x:c r="G310" s="130"/>
      <x:c r="H310" s="130"/>
    </x:row>
    <x:row r="311" ht="14.25" customHeight="1">
      <x:c r="A311" s="9" t="s">
        <x:v>1229</x:v>
      </x:c>
      <x:c r="B311" s="127">
        <x:v>3.7</x:v>
      </x:c>
      <x:c r="D311" s="129"/>
      <x:c r="G311" s="130"/>
      <x:c r="H311" s="130"/>
    </x:row>
    <x:row r="312" ht="14.25" customHeight="1">
      <x:c r="A312" s="9" t="s">
        <x:v>1230</x:v>
      </x:c>
      <x:c r="B312" s="127">
        <x:v>3.7</x:v>
      </x:c>
      <x:c r="D312" s="129"/>
      <x:c r="G312" s="130"/>
      <x:c r="H312" s="130"/>
    </x:row>
    <x:row r="313" ht="14.25" customHeight="1">
      <x:c r="A313" s="9" t="s">
        <x:v>1231</x:v>
      </x:c>
      <x:c r="B313" s="127">
        <x:v>3.7</x:v>
      </x:c>
      <x:c r="D313" s="129"/>
      <x:c r="G313" s="130"/>
      <x:c r="H313" s="130"/>
    </x:row>
    <x:row r="314" ht="14.25" customHeight="1">
      <x:c r="A314" s="9" t="s">
        <x:v>1232</x:v>
      </x:c>
      <x:c r="B314" s="127">
        <x:v>3.7</x:v>
      </x:c>
      <x:c r="D314" s="129"/>
      <x:c r="G314" s="130"/>
      <x:c r="H314" s="130"/>
    </x:row>
    <x:row r="315" ht="14.25" customHeight="1">
      <x:c r="A315" s="9" t="s">
        <x:v>1236</x:v>
      </x:c>
      <x:c r="B315" s="127">
        <x:v>3.7</x:v>
      </x:c>
      <x:c r="D315" s="129"/>
      <x:c r="G315" s="130"/>
      <x:c r="H315" s="130"/>
    </x:row>
    <x:row r="316" ht="14.25" customHeight="1">
      <x:c r="A316" s="9" t="s">
        <x:v>1240</x:v>
      </x:c>
      <x:c r="B316" s="127">
        <x:v>3.7</x:v>
      </x:c>
      <x:c r="D316" s="129"/>
      <x:c r="G316" s="130"/>
      <x:c r="H316" s="130"/>
    </x:row>
    <x:row r="317" ht="14.25" customHeight="1">
      <x:c r="A317" s="9" t="s">
        <x:v>1247</x:v>
      </x:c>
      <x:c r="B317" s="127">
        <x:v>3.7</x:v>
      </x:c>
      <x:c r="D317" s="129"/>
      <x:c r="G317" s="130"/>
      <x:c r="H317" s="130"/>
    </x:row>
    <x:row r="318" ht="14.25" customHeight="1">
      <x:c r="A318" s="9" t="s">
        <x:v>1249</x:v>
      </x:c>
      <x:c r="B318" s="127">
        <x:v>3.7</x:v>
      </x:c>
      <x:c r="D318" s="129"/>
      <x:c r="G318" s="130"/>
      <x:c r="H318" s="130"/>
    </x:row>
    <x:row r="319" ht="14.25" customHeight="1">
      <x:c r="A319" s="9" t="s">
        <x:v>1250</x:v>
      </x:c>
      <x:c r="B319" s="127">
        <x:v>3.7</x:v>
      </x:c>
      <x:c r="D319" s="129"/>
      <x:c r="G319" s="130"/>
      <x:c r="H319" s="130"/>
    </x:row>
    <x:row r="320" ht="14.25" customHeight="1">
      <x:c r="A320" s="9" t="s">
        <x:v>1254</x:v>
      </x:c>
      <x:c r="B320" s="127">
        <x:v>3.7</x:v>
      </x:c>
      <x:c r="D320" s="129"/>
      <x:c r="G320" s="130"/>
      <x:c r="H320" s="130"/>
    </x:row>
    <x:row r="321" ht="14.25" customHeight="1">
      <x:c r="A321" s="9" t="s">
        <x:v>1258</x:v>
      </x:c>
      <x:c r="B321" s="127">
        <x:v>3.7</x:v>
      </x:c>
      <x:c r="D321" s="129"/>
      <x:c r="G321" s="130"/>
      <x:c r="H321" s="130"/>
    </x:row>
    <x:row r="322" ht="14.25" customHeight="1">
      <x:c r="A322" s="9" t="s">
        <x:v>1275</x:v>
      </x:c>
      <x:c r="B322" s="127">
        <x:v>3.7</x:v>
      </x:c>
      <x:c r="D322" s="129"/>
      <x:c r="G322" s="130"/>
      <x:c r="H322" s="130"/>
    </x:row>
    <x:row r="323" ht="14.25" customHeight="1">
      <x:c r="A323" s="9" t="s">
        <x:v>1282</x:v>
      </x:c>
      <x:c r="B323" s="127">
        <x:v>3.7</x:v>
      </x:c>
      <x:c r="D323" s="129"/>
      <x:c r="G323" s="130"/>
      <x:c r="H323" s="130"/>
    </x:row>
    <x:row r="324" ht="14.25" customHeight="1">
      <x:c r="A324" s="9" t="s">
        <x:v>1288</x:v>
      </x:c>
      <x:c r="B324" s="127">
        <x:v>3.7</x:v>
      </x:c>
      <x:c r="D324" s="129"/>
      <x:c r="G324" s="130"/>
      <x:c r="H324" s="130"/>
    </x:row>
    <x:row r="325" ht="14.25" customHeight="1">
      <x:c r="A325" s="9" t="s">
        <x:v>1294</x:v>
      </x:c>
      <x:c r="B325" s="127">
        <x:v>3.7</x:v>
      </x:c>
      <x:c r="D325" s="129"/>
      <x:c r="G325" s="130"/>
      <x:c r="H325" s="130"/>
    </x:row>
    <x:row r="326" ht="14.25" customHeight="1">
      <x:c r="A326" s="9" t="s">
        <x:v>1300</x:v>
      </x:c>
      <x:c r="B326" s="127">
        <x:v>3.7</x:v>
      </x:c>
      <x:c r="D326" s="129"/>
      <x:c r="G326" s="130"/>
      <x:c r="H326" s="130"/>
    </x:row>
    <x:row r="327" ht="14.25" customHeight="1">
      <x:c r="A327" s="9" t="s">
        <x:v>1306</x:v>
      </x:c>
      <x:c r="B327" s="127">
        <x:v>3.7</x:v>
      </x:c>
      <x:c r="D327" s="129"/>
      <x:c r="G327" s="130"/>
      <x:c r="H327" s="130"/>
    </x:row>
    <x:row r="328" ht="14.25" customHeight="1">
      <x:c r="A328" s="9" t="s">
        <x:v>1307</x:v>
      </x:c>
      <x:c r="B328" s="127">
        <x:v>3.7</x:v>
      </x:c>
      <x:c r="D328" s="129"/>
      <x:c r="G328" s="130"/>
      <x:c r="H328" s="130"/>
    </x:row>
    <x:row r="329" ht="14.25" customHeight="1">
      <x:c r="A329" s="9" t="s">
        <x:v>1308</x:v>
      </x:c>
      <x:c r="B329" s="127">
        <x:v>3.7</x:v>
      </x:c>
      <x:c r="D329" s="129"/>
      <x:c r="G329" s="130"/>
      <x:c r="H329" s="130"/>
    </x:row>
    <x:row r="330" ht="14.25" customHeight="1">
      <x:c r="A330" s="9" t="s">
        <x:v>1309</x:v>
      </x:c>
      <x:c r="B330" s="127">
        <x:v>3.7</x:v>
      </x:c>
      <x:c r="D330" s="129"/>
      <x:c r="G330" s="130"/>
      <x:c r="H330" s="130"/>
    </x:row>
    <x:row r="331" ht="14.25" customHeight="1">
      <x:c r="A331" s="9" t="s">
        <x:v>1310</x:v>
      </x:c>
      <x:c r="B331" s="127">
        <x:v>3.7</x:v>
      </x:c>
      <x:c r="D331" s="129"/>
      <x:c r="G331" s="130"/>
      <x:c r="H331" s="130"/>
    </x:row>
    <x:row r="332" ht="14.25" customHeight="1">
      <x:c r="A332" s="9" t="s">
        <x:v>1314</x:v>
      </x:c>
      <x:c r="B332" s="127">
        <x:v>3.7</x:v>
      </x:c>
      <x:c r="D332" s="129"/>
      <x:c r="G332" s="130"/>
      <x:c r="H332" s="130"/>
    </x:row>
    <x:row r="333" ht="14.25" customHeight="1">
      <x:c r="A333" s="9" t="s">
        <x:v>1316</x:v>
      </x:c>
      <x:c r="B333" s="127">
        <x:v>3.7</x:v>
      </x:c>
      <x:c r="D333" s="129"/>
      <x:c r="G333" s="130"/>
      <x:c r="H333" s="130"/>
    </x:row>
    <x:row r="334" ht="14.25" customHeight="1">
      <x:c r="A334" s="9" t="s">
        <x:v>1331</x:v>
      </x:c>
      <x:c r="B334" s="127">
        <x:v>3.7</x:v>
      </x:c>
      <x:c r="D334" s="129"/>
      <x:c r="G334" s="130"/>
      <x:c r="H334" s="130"/>
    </x:row>
    <x:row r="335" ht="14.25" customHeight="1">
      <x:c r="A335" s="9" t="s">
        <x:v>1333</x:v>
      </x:c>
      <x:c r="B335" s="127">
        <x:v>3.7</x:v>
      </x:c>
      <x:c r="D335" s="129"/>
      <x:c r="G335" s="130"/>
      <x:c r="H335" s="130"/>
    </x:row>
    <x:row r="336" ht="14.25" customHeight="1">
      <x:c r="A336" s="9" t="s">
        <x:v>1341</x:v>
      </x:c>
      <x:c r="B336" s="127">
        <x:v>3.7</x:v>
      </x:c>
      <x:c r="D336" s="129"/>
      <x:c r="G336" s="130"/>
      <x:c r="H336" s="130"/>
    </x:row>
    <x:row r="337" ht="14.25" customHeight="1">
      <x:c r="A337" s="9" t="s">
        <x:v>1343</x:v>
      </x:c>
      <x:c r="B337" s="127">
        <x:v>3.7</x:v>
      </x:c>
      <x:c r="D337" s="129"/>
      <x:c r="G337" s="130"/>
      <x:c r="H337" s="130"/>
    </x:row>
    <x:row r="338" ht="14.25" customHeight="1">
      <x:c r="A338" s="9" t="s">
        <x:v>1349</x:v>
      </x:c>
      <x:c r="B338" s="127">
        <x:v>3.7</x:v>
      </x:c>
      <x:c r="D338" s="129"/>
      <x:c r="G338" s="130"/>
      <x:c r="H338" s="130"/>
    </x:row>
    <x:row r="339" ht="14.25" customHeight="1">
      <x:c r="A339" s="9" t="s">
        <x:v>1350</x:v>
      </x:c>
      <x:c r="B339" s="127">
        <x:v>3.7</x:v>
      </x:c>
      <x:c r="D339" s="129"/>
      <x:c r="G339" s="130"/>
      <x:c r="H339" s="130"/>
    </x:row>
    <x:row r="340" ht="14.25" customHeight="1">
      <x:c r="A340" s="9" t="s">
        <x:v>1353</x:v>
      </x:c>
      <x:c r="B340" s="127">
        <x:v>3.7</x:v>
      </x:c>
      <x:c r="D340" s="129"/>
      <x:c r="G340" s="130"/>
      <x:c r="H340" s="130"/>
    </x:row>
    <x:row r="341" ht="14.25" customHeight="1">
      <x:c r="A341" s="9" t="s">
        <x:v>1354</x:v>
      </x:c>
      <x:c r="B341" s="127">
        <x:v>3.7</x:v>
      </x:c>
      <x:c r="D341" s="129"/>
      <x:c r="G341" s="130"/>
      <x:c r="H341" s="130"/>
    </x:row>
    <x:row r="342" ht="14.25" customHeight="1">
      <x:c r="A342" s="9" t="s">
        <x:v>1355</x:v>
      </x:c>
      <x:c r="B342" s="127">
        <x:v>3.7</x:v>
      </x:c>
      <x:c r="D342" s="129"/>
      <x:c r="G342" s="130"/>
      <x:c r="H342" s="130"/>
    </x:row>
    <x:row r="343" ht="14.25" customHeight="1">
      <x:c r="A343" s="9" t="s">
        <x:v>1356</x:v>
      </x:c>
      <x:c r="B343" s="127">
        <x:v>3.7</x:v>
      </x:c>
      <x:c r="D343" s="129"/>
      <x:c r="G343" s="130"/>
      <x:c r="H343" s="130"/>
    </x:row>
    <x:row r="344" ht="14.25" customHeight="1">
      <x:c r="A344" s="9" t="s">
        <x:v>1357</x:v>
      </x:c>
      <x:c r="B344" s="127">
        <x:v>3.7</x:v>
      </x:c>
      <x:c r="D344" s="129"/>
      <x:c r="G344" s="130"/>
      <x:c r="H344" s="130"/>
    </x:row>
    <x:row r="345" ht="14.25" customHeight="1">
      <x:c r="A345" s="9" t="s">
        <x:v>1360</x:v>
      </x:c>
      <x:c r="B345" s="127">
        <x:v>3.7</x:v>
      </x:c>
      <x:c r="D345" s="129"/>
      <x:c r="G345" s="130"/>
      <x:c r="H345" s="130"/>
    </x:row>
    <x:row r="346" ht="14.25" customHeight="1">
      <x:c r="A346" s="9" t="s">
        <x:v>1362</x:v>
      </x:c>
      <x:c r="B346" s="127">
        <x:v>3.7</x:v>
      </x:c>
      <x:c r="D346" s="129"/>
      <x:c r="G346" s="130"/>
      <x:c r="H346" s="130"/>
    </x:row>
    <x:row r="347" ht="14.25" customHeight="1">
      <x:c r="A347" s="9" t="s">
        <x:v>1364</x:v>
      </x:c>
      <x:c r="B347" s="127">
        <x:v>3.7</x:v>
      </x:c>
      <x:c r="D347" s="129"/>
      <x:c r="G347" s="130"/>
      <x:c r="H347" s="130"/>
    </x:row>
    <x:row r="348" ht="14.25" customHeight="1">
      <x:c r="A348" s="9" t="s">
        <x:v>1366</x:v>
      </x:c>
      <x:c r="B348" s="127">
        <x:v>3.7</x:v>
      </x:c>
      <x:c r="D348" s="129"/>
      <x:c r="G348" s="130"/>
      <x:c r="H348" s="130"/>
    </x:row>
    <x:row r="349" ht="14.25" customHeight="1">
      <x:c r="A349" s="9" t="s">
        <x:v>1368</x:v>
      </x:c>
      <x:c r="B349" s="127">
        <x:v>3.7</x:v>
      </x:c>
      <x:c r="D349" s="129"/>
      <x:c r="G349" s="130"/>
      <x:c r="H349" s="130"/>
    </x:row>
    <x:row r="350" ht="14.25" customHeight="1">
      <x:c r="A350" s="9" t="s">
        <x:v>1371</x:v>
      </x:c>
      <x:c r="B350" s="127">
        <x:v>3.7</x:v>
      </x:c>
      <x:c r="D350" s="129"/>
      <x:c r="G350" s="130"/>
      <x:c r="H350" s="130"/>
    </x:row>
    <x:row r="351" ht="14.25" customHeight="1">
      <x:c r="A351" s="9" t="s">
        <x:v>1375</x:v>
      </x:c>
      <x:c r="B351" s="127">
        <x:v>3.7</x:v>
      </x:c>
      <x:c r="D351" s="129"/>
      <x:c r="G351" s="130"/>
      <x:c r="H351" s="130"/>
    </x:row>
    <x:row r="352" ht="14.25" customHeight="1">
      <x:c r="A352" s="9" t="s">
        <x:v>1402</x:v>
      </x:c>
      <x:c r="B352" s="127">
        <x:v>3.7</x:v>
      </x:c>
      <x:c r="D352" s="129"/>
      <x:c r="G352" s="130"/>
      <x:c r="H352" s="130"/>
    </x:row>
    <x:row r="353" ht="14.25" customHeight="1">
      <x:c r="A353" s="9" t="s">
        <x:v>1408</x:v>
      </x:c>
      <x:c r="B353" s="127">
        <x:v>3.7</x:v>
      </x:c>
      <x:c r="D353" s="129"/>
      <x:c r="G353" s="130"/>
      <x:c r="H353" s="130"/>
    </x:row>
    <x:row r="354" ht="14.25" customHeight="1">
      <x:c r="A354" s="9" t="s">
        <x:v>1414</x:v>
      </x:c>
      <x:c r="B354" s="127">
        <x:v>3.7</x:v>
      </x:c>
      <x:c r="D354" s="129"/>
      <x:c r="G354" s="130"/>
      <x:c r="H354" s="130"/>
    </x:row>
    <x:row r="355" ht="14.25" customHeight="1">
      <x:c r="A355" s="9" t="s">
        <x:v>1415</x:v>
      </x:c>
      <x:c r="B355" s="127">
        <x:v>3.7</x:v>
      </x:c>
      <x:c r="D355" s="129"/>
      <x:c r="G355" s="130"/>
      <x:c r="H355" s="130"/>
    </x:row>
    <x:row r="356" ht="14.25" customHeight="1">
      <x:c r="A356" s="9" t="s">
        <x:v>1423</x:v>
      </x:c>
      <x:c r="B356" s="127">
        <x:v>3.7</x:v>
      </x:c>
      <x:c r="D356" s="129"/>
      <x:c r="G356" s="130"/>
      <x:c r="H356" s="130"/>
    </x:row>
    <x:row r="357" ht="14.25" customHeight="1">
      <x:c r="A357" s="9" t="s">
        <x:v>1425</x:v>
      </x:c>
      <x:c r="B357" s="127">
        <x:v>3.7</x:v>
      </x:c>
      <x:c r="D357" s="129"/>
      <x:c r="G357" s="130"/>
      <x:c r="H357" s="130"/>
    </x:row>
    <x:row r="358" ht="14.25" customHeight="1">
      <x:c r="A358" s="9" t="s">
        <x:v>1442</x:v>
      </x:c>
      <x:c r="B358" s="127">
        <x:v>3.7</x:v>
      </x:c>
      <x:c r="D358" s="129"/>
      <x:c r="G358" s="130"/>
      <x:c r="H358" s="130"/>
    </x:row>
    <x:row r="359" ht="14.25" customHeight="1">
      <x:c r="A359" s="9" t="s">
        <x:v>1444</x:v>
      </x:c>
      <x:c r="B359" s="127">
        <x:v>3.7</x:v>
      </x:c>
      <x:c r="D359" s="129"/>
      <x:c r="G359" s="130"/>
      <x:c r="H359" s="130"/>
    </x:row>
    <x:row r="360" ht="14.25" customHeight="1">
      <x:c r="A360" s="9" t="s">
        <x:v>1446</x:v>
      </x:c>
      <x:c r="B360" s="127">
        <x:v>3.7</x:v>
      </x:c>
      <x:c r="D360" s="129"/>
      <x:c r="G360" s="130"/>
      <x:c r="H360" s="130"/>
    </x:row>
    <x:row r="361" ht="14.25" customHeight="1">
      <x:c r="A361" s="9" t="s">
        <x:v>1448</x:v>
      </x:c>
      <x:c r="B361" s="127">
        <x:v>3.7</x:v>
      </x:c>
      <x:c r="D361" s="129"/>
      <x:c r="G361" s="130"/>
      <x:c r="H361" s="130"/>
    </x:row>
    <x:row r="362" ht="14.25" customHeight="1">
      <x:c r="A362" s="9" t="s">
        <x:v>1450</x:v>
      </x:c>
      <x:c r="B362" s="127">
        <x:v>3.7</x:v>
      </x:c>
      <x:c r="D362" s="129"/>
      <x:c r="G362" s="130"/>
      <x:c r="H362" s="130"/>
    </x:row>
    <x:row r="363" ht="14.25" customHeight="1">
      <x:c r="A363" s="9" t="s">
        <x:v>1453</x:v>
      </x:c>
      <x:c r="B363" s="127">
        <x:v>3.7</x:v>
      </x:c>
      <x:c r="D363" s="129"/>
      <x:c r="G363" s="130"/>
      <x:c r="H363" s="130"/>
    </x:row>
    <x:row r="364" ht="14.25" customHeight="1">
      <x:c r="A364" s="9" t="s">
        <x:v>1455</x:v>
      </x:c>
      <x:c r="B364" s="127">
        <x:v>3.7</x:v>
      </x:c>
      <x:c r="D364" s="129"/>
      <x:c r="G364" s="130"/>
      <x:c r="H364" s="130"/>
    </x:row>
    <x:row r="365" ht="14.25" customHeight="1">
      <x:c r="A365" s="9" t="s">
        <x:v>1457</x:v>
      </x:c>
      <x:c r="B365" s="127">
        <x:v>3.7</x:v>
      </x:c>
      <x:c r="D365" s="129"/>
      <x:c r="G365" s="130"/>
      <x:c r="H365" s="130"/>
    </x:row>
    <x:row r="366" ht="14.25" customHeight="1">
      <x:c r="A366" s="9" t="s">
        <x:v>1459</x:v>
      </x:c>
      <x:c r="B366" s="127">
        <x:v>3.7</x:v>
      </x:c>
      <x:c r="D366" s="129"/>
      <x:c r="G366" s="130"/>
      <x:c r="H366" s="130"/>
    </x:row>
    <x:row r="367" ht="14.25" customHeight="1">
      <x:c r="A367" s="9" t="s">
        <x:v>1461</x:v>
      </x:c>
      <x:c r="B367" s="127">
        <x:v>3.7</x:v>
      </x:c>
      <x:c r="D367" s="129"/>
      <x:c r="G367" s="130"/>
      <x:c r="H367" s="130"/>
    </x:row>
    <x:row r="368" ht="14.25" customHeight="1">
      <x:c r="A368" s="9" t="s">
        <x:v>1464</x:v>
      </x:c>
      <x:c r="B368" s="127">
        <x:v>3.7</x:v>
      </x:c>
      <x:c r="D368" s="129"/>
      <x:c r="G368" s="130"/>
      <x:c r="H368" s="130"/>
    </x:row>
    <x:row r="369" ht="14.25" customHeight="1">
      <x:c r="A369" s="9" t="s">
        <x:v>1466</x:v>
      </x:c>
      <x:c r="B369" s="127">
        <x:v>3.7</x:v>
      </x:c>
      <x:c r="D369" s="129"/>
      <x:c r="G369" s="130"/>
      <x:c r="H369" s="130"/>
    </x:row>
    <x:row r="370" ht="14.25" customHeight="1">
      <x:c r="A370" s="9" t="s">
        <x:v>1468</x:v>
      </x:c>
      <x:c r="B370" s="127">
        <x:v>3.7</x:v>
      </x:c>
      <x:c r="D370" s="129"/>
      <x:c r="G370" s="130"/>
      <x:c r="H370" s="130"/>
    </x:row>
    <x:row r="371" ht="14.25" customHeight="1">
      <x:c r="A371" s="9" t="s">
        <x:v>1469</x:v>
      </x:c>
      <x:c r="B371" s="127">
        <x:v>3.7</x:v>
      </x:c>
      <x:c r="D371" s="129"/>
      <x:c r="G371" s="130"/>
      <x:c r="H371" s="130"/>
    </x:row>
    <x:row r="372" ht="14.25" customHeight="1">
      <x:c r="A372" s="9" t="s">
        <x:v>132</x:v>
      </x:c>
      <x:c r="B372" s="128">
        <x:v>2.2775</x:v>
      </x:c>
      <x:c r="D372" s="129"/>
      <x:c r="G372" s="130"/>
      <x:c r="H372" s="130"/>
    </x:row>
    <x:row r="373" ht="14.25" customHeight="1">
      <x:c r="A373" s="9" t="s">
        <x:v>136</x:v>
      </x:c>
      <x:c r="B373" s="128">
        <x:v>2.3576000000000015</x:v>
      </x:c>
      <x:c r="D373" s="129"/>
      <x:c r="G373" s="130"/>
      <x:c r="H373" s="130"/>
    </x:row>
    <x:row r="374" ht="14.25" customHeight="1">
      <x:c r="A374" s="9" t="s">
        <x:v>140</x:v>
      </x:c>
      <x:c r="B374" s="128">
        <x:v>2.4313000000000002</x:v>
      </x:c>
      <x:c r="D374" s="129"/>
      <x:c r="G374" s="130"/>
      <x:c r="H374" s="130"/>
    </x:row>
    <x:row r="375" ht="14.25" customHeight="1">
      <x:c r="A375" s="9" t="s">
        <x:v>144</x:v>
      </x:c>
      <x:c r="B375" s="128">
        <x:v>2.4986000000000015</x:v>
      </x:c>
      <x:c r="D375" s="129"/>
      <x:c r="G375" s="130"/>
      <x:c r="H375" s="130"/>
    </x:row>
    <x:row r="376" ht="14.25" customHeight="1">
      <x:c r="A376" s="9" t="s">
        <x:v>148</x:v>
      </x:c>
      <x:c r="B376" s="128">
        <x:v>2.5595</x:v>
      </x:c>
      <x:c r="D376" s="129"/>
      <x:c r="G376" s="130"/>
      <x:c r="H376" s="130"/>
    </x:row>
    <x:row r="377" ht="14.25" customHeight="1">
      <x:c r="A377" s="9" t="s">
        <x:v>152</x:v>
      </x:c>
      <x:c r="B377" s="128">
        <x:v>2.6140000000000008</x:v>
      </x:c>
      <x:c r="D377" s="129"/>
      <x:c r="G377" s="130"/>
      <x:c r="H377" s="130"/>
    </x:row>
    <x:row r="378" ht="14.25" customHeight="1">
      <x:c r="A378" s="9" t="s">
        <x:v>156</x:v>
      </x:c>
      <x:c r="B378" s="128">
        <x:v>2.6621000000000006</x:v>
      </x:c>
      <x:c r="D378" s="129"/>
      <x:c r="G378" s="130"/>
      <x:c r="H378" s="130"/>
    </x:row>
    <x:row r="379" ht="14.25" customHeight="1">
      <x:c r="A379" s="9" t="s">
        <x:v>160</x:v>
      </x:c>
      <x:c r="B379" s="128">
        <x:v>2.703800000000001</x:v>
      </x:c>
      <x:c r="D379" s="129"/>
      <x:c r="G379" s="130"/>
      <x:c r="H379" s="130"/>
    </x:row>
    <x:row r="380" ht="14.25" customHeight="1">
      <x:c r="A380" s="9" t="s">
        <x:v>164</x:v>
      </x:c>
      <x:c r="B380" s="128">
        <x:v>2.7391000000000005</x:v>
      </x:c>
      <x:c r="D380" s="129"/>
      <x:c r="G380" s="130"/>
      <x:c r="H380" s="130"/>
    </x:row>
    <x:row r="381" ht="14.25" customHeight="1">
      <x:c r="A381" s="9" t="s">
        <x:v>168</x:v>
      </x:c>
      <x:c r="B381" s="128">
        <x:v>2.7680000000000007</x:v>
      </x:c>
      <x:c r="D381" s="129"/>
      <x:c r="G381" s="130"/>
      <x:c r="H381" s="130"/>
    </x:row>
    <x:row r="382" ht="14.25" customHeight="1">
      <x:c r="A382" s="9" t="s">
        <x:v>172</x:v>
      </x:c>
      <x:c r="B382" s="128">
        <x:v>2.7905000000000015</x:v>
      </x:c>
      <x:c r="D382" s="129"/>
      <x:c r="G382" s="130"/>
      <x:c r="H382" s="130"/>
    </x:row>
    <x:row r="383" ht="14.25" customHeight="1">
      <x:c r="A383" s="9" t="s">
        <x:v>176</x:v>
      </x:c>
      <x:c r="B383" s="128">
        <x:v>2.8066000000000013</x:v>
      </x:c>
      <x:c r="D383" s="129"/>
      <x:c r="G383" s="130"/>
      <x:c r="H383" s="130"/>
    </x:row>
    <x:row r="384" ht="14.25" customHeight="1">
      <x:c r="A384" s="9" t="s">
        <x:v>180</x:v>
      </x:c>
      <x:c r="B384" s="128">
        <x:v>2.8163</x:v>
      </x:c>
      <x:c r="D384" s="129"/>
      <x:c r="G384" s="130"/>
      <x:c r="H384" s="130"/>
    </x:row>
    <x:row r="385" ht="14.25" customHeight="1">
      <x:c r="A385" s="9" t="s">
        <x:v>184</x:v>
      </x:c>
      <x:c r="B385" s="128">
        <x:v>2.819600000000001</x:v>
      </x:c>
      <x:c r="D385" s="129"/>
      <x:c r="G385" s="130"/>
      <x:c r="H385" s="130"/>
    </x:row>
    <x:row r="386" ht="14.25" customHeight="1">
      <x:c r="A386" s="9" t="s">
        <x:v>188</x:v>
      </x:c>
      <x:c r="B386" s="128">
        <x:v>2.8165000000000013</x:v>
      </x:c>
      <x:c r="D386" s="129"/>
      <x:c r="G386" s="130"/>
      <x:c r="H386" s="130"/>
    </x:row>
    <x:row r="387" ht="14.25" customHeight="1">
      <x:c r="A387" s="9" t="s">
        <x:v>192</x:v>
      </x:c>
      <x:c r="B387" s="128">
        <x:v>2.8070000000000004</x:v>
      </x:c>
      <x:c r="D387" s="129"/>
      <x:c r="G387" s="130"/>
      <x:c r="H387" s="130"/>
    </x:row>
    <x:row r="388" ht="14.25" customHeight="1">
      <x:c r="A388" s="9" t="s">
        <x:v>196</x:v>
      </x:c>
      <x:c r="B388" s="128">
        <x:v>2.7911</x:v>
      </x:c>
      <x:c r="D388" s="129"/>
      <x:c r="G388" s="130"/>
      <x:c r="H388" s="130"/>
    </x:row>
    <x:row r="389" ht="14.25" customHeight="1">
      <x:c r="A389" s="9" t="s">
        <x:v>200</x:v>
      </x:c>
      <x:c r="B389" s="128">
        <x:v>2.7688000000000006</x:v>
      </x:c>
      <x:c r="D389" s="129"/>
      <x:c r="G389" s="130"/>
      <x:c r="H389" s="130"/>
    </x:row>
    <x:row r="390" ht="14.25" customHeight="1">
      <x:c r="A390" s="9" t="s">
        <x:v>204</x:v>
      </x:c>
      <x:c r="B390" s="128">
        <x:v>2.7401</x:v>
      </x:c>
      <x:c r="D390" s="129"/>
      <x:c r="G390" s="130"/>
      <x:c r="H390" s="130"/>
    </x:row>
    <x:row r="391" ht="14.25" customHeight="1">
      <x:c r="A391" s="9" t="s">
        <x:v>208</x:v>
      </x:c>
      <x:c r="B391" s="128">
        <x:v>2.705</x:v>
      </x:c>
      <x:c r="D391" s="129"/>
      <x:c r="G391" s="130"/>
      <x:c r="H391" s="130"/>
    </x:row>
    <x:row r="392" ht="14.25" customHeight="1">
      <x:c r="A392" s="9" t="s">
        <x:v>212</x:v>
      </x:c>
      <x:c r="B392" s="128">
        <x:v>2.663500000000001</x:v>
      </x:c>
      <x:c r="D392" s="129"/>
      <x:c r="G392" s="130"/>
      <x:c r="H392" s="130"/>
    </x:row>
    <x:row r="393" ht="14.25" customHeight="1">
      <x:c r="A393" s="9" t="s">
        <x:v>216</x:v>
      </x:c>
      <x:c r="B393" s="128">
        <x:v>2.6156000000000006</x:v>
      </x:c>
      <x:c r="D393" s="129"/>
      <x:c r="G393" s="130"/>
      <x:c r="H393" s="130"/>
    </x:row>
    <x:row r="394" ht="14.25" customHeight="1">
      <x:c r="A394" s="9" t="s">
        <x:v>220</x:v>
      </x:c>
      <x:c r="B394" s="128">
        <x:v>2.561300000000001</x:v>
      </x:c>
      <x:c r="D394" s="129"/>
      <x:c r="G394" s="130"/>
      <x:c r="H394" s="130"/>
    </x:row>
    <x:row r="395" ht="14.25" customHeight="1">
      <x:c r="A395" s="9" t="s">
        <x:v>224</x:v>
      </x:c>
      <x:c r="B395" s="128">
        <x:v>2.5006000000000004</x:v>
      </x:c>
      <x:c r="D395" s="129"/>
      <x:c r="G395" s="130"/>
      <x:c r="H395" s="130"/>
    </x:row>
    <x:row r="396" ht="14.25" customHeight="1">
      <x:c r="A396" s="9" t="s">
        <x:v>228</x:v>
      </x:c>
      <x:c r="B396" s="128">
        <x:v>2.4335000000000004</x:v>
      </x:c>
      <x:c r="D396" s="129"/>
      <x:c r="G396" s="130"/>
      <x:c r="H396" s="130"/>
    </x:row>
    <x:row r="397" ht="14.25" customHeight="1">
      <x:c r="A397" s="9" t="s">
        <x:v>232</x:v>
      </x:c>
      <x:c r="B397" s="128">
        <x:v>2.360000000000001</x:v>
      </x:c>
      <x:c r="D397" s="129"/>
      <x:c r="G397" s="130"/>
      <x:c r="H397" s="130"/>
    </x:row>
    <x:row r="398" ht="14.25" customHeight="1">
      <x:c r="A398" s="9" t="s">
        <x:v>236</x:v>
      </x:c>
      <x:c r="B398" s="128">
        <x:v>2.280100000000001</x:v>
      </x:c>
      <x:c r="D398" s="129"/>
      <x:c r="G398" s="130"/>
      <x:c r="H398" s="130"/>
    </x:row>
    <x:row r="399" ht="14.25" customHeight="1">
      <x:c r="A399" s="9" t="s">
        <x:v>240</x:v>
      </x:c>
      <x:c r="B399" s="128">
        <x:v>2.1938000000000013</x:v>
      </x:c>
      <x:c r="D399" s="129"/>
      <x:c r="G399" s="130"/>
      <x:c r="H399" s="130"/>
    </x:row>
    <x:row r="400" ht="14.25" customHeight="1">
      <x:c r="A400" s="9" t="s">
        <x:v>244</x:v>
      </x:c>
      <x:c r="B400" s="128" t="n">
        <x:f t="shared" ref="B400:B421" si="1">B399</x:f>
        <x:v>2.1938000000000013</x:v>
      </x:c>
      <x:c r="D400" s="129"/>
      <x:c r="G400" s="130"/>
      <x:c r="H400" s="130"/>
    </x:row>
    <x:row r="401" ht="14.25" customHeight="1">
      <x:c r="A401" s="9" t="s">
        <x:v>248</x:v>
      </x:c>
      <x:c r="B401" s="128">
        <x:f t="shared" si="1"/>
        <x:v>2.1938</x:v>
      </x:c>
      <x:c r="D401" s="129"/>
      <x:c r="G401" s="130"/>
      <x:c r="H401" s="130"/>
    </x:row>
    <x:row r="402" ht="14.25" customHeight="1">
      <x:c r="A402" s="9" t="s">
        <x:v>252</x:v>
      </x:c>
      <x:c r="B402" s="128">
        <x:f t="shared" si="1"/>
        <x:v>2.1938</x:v>
      </x:c>
      <x:c r="D402" s="129"/>
      <x:c r="G402" s="130"/>
      <x:c r="H402" s="130"/>
    </x:row>
    <x:row r="403" ht="14.25" customHeight="1">
      <x:c r="A403" s="9" t="s">
        <x:v>256</x:v>
      </x:c>
      <x:c r="B403" s="128">
        <x:f t="shared" si="1"/>
        <x:v>2.1938</x:v>
      </x:c>
      <x:c r="D403" s="129"/>
      <x:c r="G403" s="130"/>
      <x:c r="H403" s="130"/>
    </x:row>
    <x:row r="404" ht="14.25" customHeight="1">
      <x:c r="A404" s="9" t="s">
        <x:v>260</x:v>
      </x:c>
      <x:c r="B404" s="128">
        <x:f t="shared" si="1"/>
        <x:v>2.1938</x:v>
      </x:c>
      <x:c r="D404" s="129"/>
      <x:c r="G404" s="130"/>
      <x:c r="H404" s="130"/>
    </x:row>
    <x:row r="405" ht="14.25" customHeight="1">
      <x:c r="A405" s="9" t="s">
        <x:v>264</x:v>
      </x:c>
      <x:c r="B405" s="128">
        <x:f t="shared" si="1"/>
        <x:v>2.1938</x:v>
      </x:c>
      <x:c r="D405" s="129"/>
      <x:c r="G405" s="130"/>
      <x:c r="H405" s="130"/>
    </x:row>
    <x:row r="406" ht="14.25" customHeight="1">
      <x:c r="A406" s="9" t="s">
        <x:v>268</x:v>
      </x:c>
      <x:c r="B406" s="128">
        <x:f t="shared" si="1"/>
        <x:v>2.1938</x:v>
      </x:c>
      <x:c r="D406" s="129"/>
      <x:c r="G406" s="130"/>
      <x:c r="H406" s="130"/>
    </x:row>
    <x:row r="407" ht="14.25" customHeight="1">
      <x:c r="A407" s="9" t="s">
        <x:v>272</x:v>
      </x:c>
      <x:c r="B407" s="128">
        <x:f t="shared" si="1"/>
        <x:v>2.1938</x:v>
      </x:c>
      <x:c r="D407" s="129"/>
      <x:c r="G407" s="130"/>
      <x:c r="H407" s="130"/>
    </x:row>
    <x:row r="408" ht="14.25" customHeight="1">
      <x:c r="A408" s="9" t="s">
        <x:v>276</x:v>
      </x:c>
      <x:c r="B408" s="128">
        <x:f t="shared" si="1"/>
        <x:v>2.1938</x:v>
      </x:c>
      <x:c r="D408" s="129"/>
      <x:c r="G408" s="130"/>
      <x:c r="H408" s="130"/>
    </x:row>
    <x:row r="409" ht="14.25" customHeight="1">
      <x:c r="A409" s="9" t="s">
        <x:v>280</x:v>
      </x:c>
      <x:c r="B409" s="128">
        <x:f t="shared" si="1"/>
        <x:v>2.1938</x:v>
      </x:c>
      <x:c r="D409" s="129"/>
      <x:c r="G409" s="130"/>
      <x:c r="H409" s="130"/>
    </x:row>
    <x:row r="410" ht="14.25" customHeight="1">
      <x:c r="A410" s="9" t="s">
        <x:v>284</x:v>
      </x:c>
      <x:c r="B410" s="128">
        <x:f t="shared" si="1"/>
        <x:v>2.1938</x:v>
      </x:c>
      <x:c r="D410" s="129"/>
      <x:c r="G410" s="130"/>
      <x:c r="H410" s="130"/>
    </x:row>
    <x:row r="411" ht="14.25" customHeight="1">
      <x:c r="A411" s="9" t="s">
        <x:v>288</x:v>
      </x:c>
      <x:c r="B411" s="128">
        <x:f t="shared" si="1"/>
        <x:v>2.1938</x:v>
      </x:c>
      <x:c r="D411" s="129"/>
      <x:c r="G411" s="130"/>
      <x:c r="H411" s="130"/>
    </x:row>
    <x:row r="412" ht="14.25" customHeight="1">
      <x:c r="A412" s="9" t="s">
        <x:v>292</x:v>
      </x:c>
      <x:c r="B412" s="128">
        <x:f t="shared" si="1"/>
        <x:v>2.1938</x:v>
      </x:c>
      <x:c r="D412" s="129"/>
      <x:c r="G412" s="130"/>
      <x:c r="H412" s="130"/>
    </x:row>
    <x:row r="413" ht="14.25" customHeight="1">
      <x:c r="A413" s="9" t="s">
        <x:v>296</x:v>
      </x:c>
      <x:c r="B413" s="128">
        <x:f t="shared" si="1"/>
        <x:v>2.1938</x:v>
      </x:c>
      <x:c r="D413" s="129"/>
      <x:c r="G413" s="130"/>
      <x:c r="H413" s="130"/>
    </x:row>
    <x:row r="414" ht="14.25" customHeight="1">
      <x:c r="A414" s="9" t="s">
        <x:v>300</x:v>
      </x:c>
      <x:c r="B414" s="128">
        <x:f t="shared" si="1"/>
        <x:v>2.1938</x:v>
      </x:c>
      <x:c r="D414" s="129"/>
      <x:c r="G414" s="130"/>
      <x:c r="H414" s="130"/>
    </x:row>
    <x:row r="415" ht="14.25" customHeight="1">
      <x:c r="A415" s="9" t="s">
        <x:v>304</x:v>
      </x:c>
      <x:c r="B415" s="128">
        <x:f t="shared" si="1"/>
        <x:v>2.1938</x:v>
      </x:c>
      <x:c r="D415" s="129"/>
      <x:c r="G415" s="130"/>
      <x:c r="H415" s="130"/>
    </x:row>
    <x:row r="416" ht="14.25" customHeight="1">
      <x:c r="A416" s="9" t="s">
        <x:v>308</x:v>
      </x:c>
      <x:c r="B416" s="128">
        <x:f t="shared" si="1"/>
        <x:v>2.1938</x:v>
      </x:c>
      <x:c r="D416" s="129"/>
      <x:c r="G416" s="130"/>
      <x:c r="H416" s="130"/>
    </x:row>
    <x:row r="417" ht="14.25" customHeight="1">
      <x:c r="A417" s="9" t="s">
        <x:v>312</x:v>
      </x:c>
      <x:c r="B417" s="128">
        <x:f t="shared" si="1"/>
        <x:v>2.1938</x:v>
      </x:c>
      <x:c r="D417" s="129"/>
      <x:c r="G417" s="130"/>
      <x:c r="H417" s="130"/>
    </x:row>
    <x:row r="418" ht="14.25" customHeight="1">
      <x:c r="A418" s="9" t="s">
        <x:v>316</x:v>
      </x:c>
      <x:c r="B418" s="128">
        <x:f t="shared" si="1"/>
        <x:v>2.1938</x:v>
      </x:c>
      <x:c r="D418" s="129"/>
      <x:c r="G418" s="130"/>
      <x:c r="H418" s="130"/>
    </x:row>
    <x:row r="419" ht="14.25" customHeight="1">
      <x:c r="A419" s="9" t="s">
        <x:v>320</x:v>
      </x:c>
      <x:c r="B419" s="128">
        <x:f t="shared" si="1"/>
        <x:v>2.1938</x:v>
      </x:c>
      <x:c r="D419" s="129"/>
      <x:c r="G419" s="130"/>
      <x:c r="H419" s="130"/>
    </x:row>
    <x:row r="420" ht="14.25" customHeight="1">
      <x:c r="A420" s="9" t="s">
        <x:v>323</x:v>
      </x:c>
      <x:c r="B420" s="128">
        <x:f t="shared" si="1"/>
        <x:v>2.1938</x:v>
      </x:c>
      <x:c r="D420" s="129"/>
      <x:c r="G420" s="130"/>
      <x:c r="H420" s="130"/>
    </x:row>
    <x:row r="421" ht="14.25" customHeight="1">
      <x:c r="A421" s="9" t="s">
        <x:v>326</x:v>
      </x:c>
      <x:c r="B421" s="128">
        <x:f t="shared" si="1"/>
        <x:v>2.1938</x:v>
      </x:c>
      <x:c r="D421" s="129"/>
      <x:c r="G421" s="130"/>
      <x:c r="H421" s="130"/>
    </x:row>
    <x:row r="422" ht="14.25" customHeight="1">
      <x:c r="A422" s="1" t="s">
        <x:v>1346</x:v>
      </x:c>
      <x:c r="B422" s="132" t="n">
        <x:f t="shared" ref="B422:B446" si="2">$B$34</x:f>
        <x:v>3.2</x:v>
      </x:c>
      <x:c r="G422" s="130"/>
      <x:c r="H422" s="130"/>
    </x:row>
    <x:row r="423" ht="14.25" customHeight="1">
      <x:c r="A423" s="1" t="s">
        <x:v>1369</x:v>
      </x:c>
      <x:c r="B423" s="132">
        <x:f t="shared" si="2"/>
        <x:v>3.2</x:v>
      </x:c>
      <x:c r="G423" s="130"/>
      <x:c r="H423" s="130"/>
    </x:row>
    <x:row r="424" ht="14.25" customHeight="1">
      <x:c r="A424" s="1" t="s">
        <x:v>1370</x:v>
      </x:c>
      <x:c r="B424" s="132">
        <x:f t="shared" si="2"/>
        <x:v>3.2</x:v>
      </x:c>
      <x:c r="G424" s="130"/>
      <x:c r="H424" s="130"/>
    </x:row>
    <x:row r="425" ht="14.25" customHeight="1">
      <x:c r="A425" s="1" t="s">
        <x:v>1372</x:v>
      </x:c>
      <x:c r="B425" s="132">
        <x:f t="shared" si="2"/>
        <x:v>3.2</x:v>
      </x:c>
      <x:c r="G425" s="130"/>
      <x:c r="H425" s="130"/>
    </x:row>
    <x:row r="426" ht="14.25" customHeight="1">
      <x:c r="A426" s="1" t="s">
        <x:v>1373</x:v>
      </x:c>
      <x:c r="B426" s="132">
        <x:f t="shared" si="2"/>
        <x:v>3.2</x:v>
      </x:c>
      <x:c r="G426" s="130"/>
      <x:c r="H426" s="130"/>
    </x:row>
    <x:row r="427" ht="14.25" customHeight="1">
      <x:c r="A427" s="1" t="s">
        <x:v>1376</x:v>
      </x:c>
      <x:c r="B427" s="132">
        <x:f t="shared" si="2"/>
        <x:v>3.2</x:v>
      </x:c>
      <x:c r="G427" s="130"/>
      <x:c r="H427" s="130"/>
    </x:row>
    <x:row r="428" ht="14.25" customHeight="1">
      <x:c r="A428" s="1" t="s">
        <x:v>1440</x:v>
      </x:c>
      <x:c r="B428" s="132">
        <x:f t="shared" si="2"/>
        <x:v>3.2</x:v>
      </x:c>
      <x:c r="G428" s="130"/>
      <x:c r="H428" s="130"/>
    </x:row>
    <x:row r="429" ht="14.25" customHeight="1">
      <x:c r="A429" s="1" t="s">
        <x:v>1451</x:v>
      </x:c>
      <x:c r="B429" s="132">
        <x:f t="shared" si="2"/>
        <x:v>3.2</x:v>
      </x:c>
      <x:c r="G429" s="130"/>
      <x:c r="H429" s="130"/>
    </x:row>
    <x:row r="430" ht="14.25" customHeight="1">
      <x:c r="A430" s="1" t="s">
        <x:v>1490</x:v>
      </x:c>
      <x:c r="B430" s="132">
        <x:f t="shared" si="2"/>
        <x:v>3.2</x:v>
      </x:c>
      <x:c r="G430" s="130"/>
      <x:c r="H430" s="130"/>
    </x:row>
    <x:row r="431" ht="14.25" customHeight="1">
      <x:c r="A431" s="1" t="s">
        <x:v>1497</x:v>
      </x:c>
      <x:c r="B431" s="132">
        <x:f t="shared" si="2"/>
        <x:v>3.2</x:v>
      </x:c>
      <x:c r="G431" s="130"/>
      <x:c r="H431" s="130"/>
    </x:row>
    <x:row r="432" ht="14.25" customHeight="1">
      <x:c r="A432" s="1" t="s">
        <x:v>1512</x:v>
      </x:c>
      <x:c r="B432" s="132">
        <x:f t="shared" si="2"/>
        <x:v>3.2</x:v>
      </x:c>
      <x:c r="G432" s="130"/>
      <x:c r="H432" s="130"/>
    </x:row>
    <x:row r="433" ht="14.25" customHeight="1">
      <x:c r="A433" s="1" t="s">
        <x:v>1516</x:v>
      </x:c>
      <x:c r="B433" s="132">
        <x:f t="shared" si="2"/>
        <x:v>3.2</x:v>
      </x:c>
      <x:c r="G433" s="130"/>
      <x:c r="H433" s="130"/>
    </x:row>
    <x:row r="434" ht="14.25" customHeight="1">
      <x:c r="A434" s="1" t="s">
        <x:v>1518</x:v>
      </x:c>
      <x:c r="B434" s="132">
        <x:f t="shared" si="2"/>
        <x:v>3.2</x:v>
      </x:c>
      <x:c r="G434" s="130"/>
      <x:c r="H434" s="130"/>
    </x:row>
    <x:row r="435" ht="14.25" customHeight="1">
      <x:c r="A435" s="1" t="s">
        <x:v>1524</x:v>
      </x:c>
      <x:c r="B435" s="132">
        <x:f t="shared" si="2"/>
        <x:v>3.2</x:v>
      </x:c>
      <x:c r="G435" s="130"/>
      <x:c r="H435" s="130"/>
    </x:row>
    <x:row r="436" ht="14.25" customHeight="1">
      <x:c r="A436" s="1" t="s">
        <x:v>1991</x:v>
      </x:c>
      <x:c r="B436" s="132">
        <x:f t="shared" si="2"/>
        <x:v>3.2</x:v>
      </x:c>
      <x:c r="G436" s="130"/>
      <x:c r="H436" s="130"/>
    </x:row>
    <x:row r="437" ht="14.25" customHeight="1">
      <x:c r="A437" s="1" t="s">
        <x:v>1992</x:v>
      </x:c>
      <x:c r="B437" s="132">
        <x:f t="shared" si="2"/>
        <x:v>3.2</x:v>
      </x:c>
      <x:c r="G437" s="130"/>
      <x:c r="H437" s="130"/>
    </x:row>
    <x:row r="438" ht="14.25" customHeight="1">
      <x:c r="A438" s="1" t="s">
        <x:v>1993</x:v>
      </x:c>
      <x:c r="B438" s="132">
        <x:f t="shared" si="2"/>
        <x:v>3.2</x:v>
      </x:c>
      <x:c r="G438" s="130"/>
      <x:c r="H438" s="130"/>
    </x:row>
    <x:row r="439" ht="14.25" customHeight="1">
      <x:c r="A439" s="1" t="s">
        <x:v>1994</x:v>
      </x:c>
      <x:c r="B439" s="132">
        <x:f t="shared" si="2"/>
        <x:v>3.2</x:v>
      </x:c>
      <x:c r="G439" s="130"/>
      <x:c r="H439" s="130"/>
    </x:row>
    <x:row r="440" ht="14.25" customHeight="1">
      <x:c r="A440" s="1" t="s">
        <x:v>1995</x:v>
      </x:c>
      <x:c r="B440" s="132">
        <x:f t="shared" si="2"/>
        <x:v>3.2</x:v>
      </x:c>
      <x:c r="G440" s="130"/>
      <x:c r="H440" s="130"/>
    </x:row>
    <x:row r="441" ht="14.25" customHeight="1">
      <x:c r="A441" s="1" t="s">
        <x:v>1996</x:v>
      </x:c>
      <x:c r="B441" s="132">
        <x:f t="shared" si="2"/>
        <x:v>3.2</x:v>
      </x:c>
      <x:c r="G441" s="130"/>
      <x:c r="H441" s="130"/>
    </x:row>
    <x:row r="442" ht="14.25" customHeight="1">
      <x:c r="A442" s="1" t="s">
        <x:v>1997</x:v>
      </x:c>
      <x:c r="B442" s="132">
        <x:f t="shared" si="2"/>
        <x:v>3.2</x:v>
      </x:c>
      <x:c r="G442" s="130"/>
      <x:c r="H442" s="130"/>
    </x:row>
    <x:row r="443" ht="14.25" customHeight="1">
      <x:c r="A443" s="1" t="s">
        <x:v>1998</x:v>
      </x:c>
      <x:c r="B443" s="132">
        <x:f t="shared" si="2"/>
        <x:v>3.2</x:v>
      </x:c>
    </x:row>
    <x:row r="444" ht="14.25" customHeight="1">
      <x:c r="A444" s="1" t="s">
        <x:v>1999</x:v>
      </x:c>
      <x:c r="B444" s="132">
        <x:f t="shared" si="2"/>
        <x:v>3.2</x:v>
      </x:c>
    </x:row>
    <x:row r="445" ht="14.25" customHeight="1">
      <x:c r="A445" s="1" t="s">
        <x:v>2000</x:v>
      </x:c>
      <x:c r="B445" s="132">
        <x:f t="shared" si="2"/>
        <x:v>3.2</x:v>
      </x:c>
    </x:row>
    <x:row r="446" ht="14.25" customHeight="1">
      <x:c r="A446" s="1" t="s">
        <x:v>2001</x:v>
      </x:c>
      <x:c r="B446" s="132">
        <x:f t="shared" si="2"/>
        <x:v>3.2</x:v>
      </x:c>
    </x:row>
    <x:row r="447" ht="14.25" customHeight="1">
      <x:c r="A447" s="1" t="s">
        <x:v>1291</x:v>
      </x:c>
      <x:c r="B447" s="132" t="n">
        <x:f t="shared" ref="B447:B486" si="3">$B$112</x:f>
        <x:v>3.368</x:v>
      </x:c>
    </x:row>
    <x:row r="448" ht="14.25" customHeight="1">
      <x:c r="A448" s="1" t="s">
        <x:v>1293</x:v>
      </x:c>
      <x:c r="B448" s="132">
        <x:f t="shared" si="3"/>
        <x:v>3.368</x:v>
      </x:c>
    </x:row>
    <x:row r="449" ht="14.25" customHeight="1">
      <x:c r="A449" s="1" t="s">
        <x:v>1295</x:v>
      </x:c>
      <x:c r="B449" s="132">
        <x:f t="shared" si="3"/>
        <x:v>3.368</x:v>
      </x:c>
    </x:row>
    <x:row r="450" ht="14.25" customHeight="1">
      <x:c r="A450" s="1" t="s">
        <x:v>1296</x:v>
      </x:c>
      <x:c r="B450" s="132">
        <x:f t="shared" si="3"/>
        <x:v>3.368</x:v>
      </x:c>
    </x:row>
    <x:row r="451" ht="14.25" customHeight="1">
      <x:c r="A451" s="1" t="s">
        <x:v>1303</x:v>
      </x:c>
      <x:c r="B451" s="132">
        <x:f t="shared" si="3"/>
        <x:v>3.368</x:v>
      </x:c>
    </x:row>
    <x:row r="452" ht="14.25" customHeight="1">
      <x:c r="A452" s="1" t="s">
        <x:v>1320</x:v>
      </x:c>
      <x:c r="B452" s="132">
        <x:f t="shared" si="3"/>
        <x:v>3.368</x:v>
      </x:c>
    </x:row>
    <x:row r="453" ht="14.25" customHeight="1">
      <x:c r="A453" s="1" t="s">
        <x:v>1321</x:v>
      </x:c>
      <x:c r="B453" s="132">
        <x:f t="shared" si="3"/>
        <x:v>3.368</x:v>
      </x:c>
    </x:row>
    <x:row r="454" ht="14.25" customHeight="1">
      <x:c r="A454" s="1" t="s">
        <x:v>1322</x:v>
      </x:c>
      <x:c r="B454" s="132">
        <x:f t="shared" si="3"/>
        <x:v>3.368</x:v>
      </x:c>
    </x:row>
    <x:row r="455" ht="14.25" customHeight="1">
      <x:c r="A455" s="1" t="s">
        <x:v>1324</x:v>
      </x:c>
      <x:c r="B455" s="132">
        <x:f t="shared" si="3"/>
        <x:v>3.368</x:v>
      </x:c>
    </x:row>
    <x:row r="456" ht="14.25" customHeight="1">
      <x:c r="A456" s="1" t="s">
        <x:v>1325</x:v>
      </x:c>
      <x:c r="B456" s="132">
        <x:f t="shared" si="3"/>
        <x:v>3.368</x:v>
      </x:c>
    </x:row>
    <x:row r="457" ht="14.25" customHeight="1">
      <x:c r="A457" s="1" t="s">
        <x:v>1327</x:v>
      </x:c>
      <x:c r="B457" s="132">
        <x:f t="shared" si="3"/>
        <x:v>3.368</x:v>
      </x:c>
    </x:row>
    <x:row r="458" ht="14.25" customHeight="1">
      <x:c r="A458" s="1" t="s">
        <x:v>1328</x:v>
      </x:c>
      <x:c r="B458" s="132">
        <x:f t="shared" si="3"/>
        <x:v>3.368</x:v>
      </x:c>
    </x:row>
    <x:row r="459" ht="14.25" customHeight="1">
      <x:c r="A459" s="1" t="s">
        <x:v>1329</x:v>
      </x:c>
      <x:c r="B459" s="132">
        <x:f t="shared" si="3"/>
        <x:v>3.368</x:v>
      </x:c>
    </x:row>
    <x:row r="460" ht="14.25" customHeight="1">
      <x:c r="A460" s="1" t="s">
        <x:v>1330</x:v>
      </x:c>
      <x:c r="B460" s="132">
        <x:f t="shared" si="3"/>
        <x:v>3.368</x:v>
      </x:c>
    </x:row>
    <x:row r="461" ht="14.25" customHeight="1">
      <x:c r="A461" s="1" t="s">
        <x:v>1334</x:v>
      </x:c>
      <x:c r="B461" s="132">
        <x:f t="shared" si="3"/>
        <x:v>3.368</x:v>
      </x:c>
    </x:row>
    <x:row r="462" ht="14.25" customHeight="1">
      <x:c r="A462" s="1" t="s">
        <x:v>1336</x:v>
      </x:c>
      <x:c r="B462" s="132">
        <x:f t="shared" si="3"/>
        <x:v>3.368</x:v>
      </x:c>
    </x:row>
    <x:row r="463" ht="14.25" customHeight="1">
      <x:c r="A463" s="1" t="s">
        <x:v>1337</x:v>
      </x:c>
      <x:c r="B463" s="132">
        <x:f t="shared" si="3"/>
        <x:v>3.368</x:v>
      </x:c>
    </x:row>
    <x:row r="464" ht="14.25" customHeight="1">
      <x:c r="A464" s="1" t="s">
        <x:v>1339</x:v>
      </x:c>
      <x:c r="B464" s="132">
        <x:f t="shared" si="3"/>
        <x:v>3.368</x:v>
      </x:c>
    </x:row>
    <x:row r="465" ht="14.25" customHeight="1">
      <x:c r="A465" s="1" t="s">
        <x:v>1342</x:v>
      </x:c>
      <x:c r="B465" s="132">
        <x:f t="shared" si="3"/>
        <x:v>3.368</x:v>
      </x:c>
    </x:row>
    <x:row r="466" ht="14.25" customHeight="1">
      <x:c r="A466" s="1" t="s">
        <x:v>1352</x:v>
      </x:c>
      <x:c r="B466" s="132">
        <x:f t="shared" si="3"/>
        <x:v>3.368</x:v>
      </x:c>
    </x:row>
    <x:row r="467" ht="14.25" customHeight="1">
      <x:c r="A467" s="1" t="s">
        <x:v>1358</x:v>
      </x:c>
      <x:c r="B467" s="132">
        <x:f t="shared" si="3"/>
        <x:v>3.368</x:v>
      </x:c>
    </x:row>
    <x:row r="468" ht="14.25" customHeight="1">
      <x:c r="A468" s="1" t="s">
        <x:v>1374</x:v>
      </x:c>
      <x:c r="B468" s="132">
        <x:f t="shared" si="3"/>
        <x:v>3.368</x:v>
      </x:c>
    </x:row>
    <x:row r="469" ht="14.25" customHeight="1">
      <x:c r="A469" s="1" t="s">
        <x:v>1378</x:v>
      </x:c>
      <x:c r="B469" s="132">
        <x:f t="shared" si="3"/>
        <x:v>3.368</x:v>
      </x:c>
    </x:row>
    <x:row r="470" ht="14.25" customHeight="1">
      <x:c r="A470" s="1" t="s">
        <x:v>1382</x:v>
      </x:c>
      <x:c r="B470" s="132">
        <x:f t="shared" si="3"/>
        <x:v>3.368</x:v>
      </x:c>
    </x:row>
    <x:row r="471" ht="14.25" customHeight="1">
      <x:c r="A471" s="1" t="s">
        <x:v>1385</x:v>
      </x:c>
      <x:c r="B471" s="132">
        <x:f t="shared" si="3"/>
        <x:v>3.368</x:v>
      </x:c>
    </x:row>
    <x:row r="472" ht="14.25" customHeight="1">
      <x:c r="A472" s="1" t="s">
        <x:v>1388</x:v>
      </x:c>
      <x:c r="B472" s="132">
        <x:f t="shared" si="3"/>
        <x:v>3.368</x:v>
      </x:c>
    </x:row>
    <x:row r="473" ht="14.25" customHeight="1">
      <x:c r="A473" s="1" t="s">
        <x:v>1391</x:v>
      </x:c>
      <x:c r="B473" s="132">
        <x:f t="shared" si="3"/>
        <x:v>3.368</x:v>
      </x:c>
    </x:row>
    <x:row r="474" ht="14.25" customHeight="1">
      <x:c r="A474" s="1" t="s">
        <x:v>1393</x:v>
      </x:c>
      <x:c r="B474" s="132">
        <x:f t="shared" si="3"/>
        <x:v>3.368</x:v>
      </x:c>
    </x:row>
    <x:row r="475" ht="14.25" customHeight="1">
      <x:c r="A475" s="1" t="s">
        <x:v>1394</x:v>
      </x:c>
      <x:c r="B475" s="132">
        <x:f t="shared" si="3"/>
        <x:v>3.368</x:v>
      </x:c>
    </x:row>
    <x:row r="476" ht="14.25" customHeight="1">
      <x:c r="A476" s="1" t="s">
        <x:v>1396</x:v>
      </x:c>
      <x:c r="B476" s="132">
        <x:f t="shared" si="3"/>
        <x:v>3.368</x:v>
      </x:c>
    </x:row>
    <x:row r="477" ht="14.25" customHeight="1">
      <x:c r="A477" s="1" t="s">
        <x:v>1398</x:v>
      </x:c>
      <x:c r="B477" s="132">
        <x:f t="shared" si="3"/>
        <x:v>3.368</x:v>
      </x:c>
    </x:row>
    <x:row r="478" ht="14.25" customHeight="1">
      <x:c r="A478" s="1" t="s">
        <x:v>1400</x:v>
      </x:c>
      <x:c r="B478" s="132">
        <x:f t="shared" si="3"/>
        <x:v>3.368</x:v>
      </x:c>
    </x:row>
    <x:row r="479" ht="14.25" customHeight="1">
      <x:c r="A479" s="1" t="s">
        <x:v>1404</x:v>
      </x:c>
      <x:c r="B479" s="132">
        <x:f t="shared" si="3"/>
        <x:v>3.368</x:v>
      </x:c>
    </x:row>
    <x:row r="480" ht="14.25" customHeight="1">
      <x:c r="A480" s="1" t="s">
        <x:v>1406</x:v>
      </x:c>
      <x:c r="B480" s="132">
        <x:f t="shared" si="3"/>
        <x:v>3.368</x:v>
      </x:c>
    </x:row>
    <x:row r="481" ht="14.25" customHeight="1">
      <x:c r="A481" s="1" t="s">
        <x:v>1410</x:v>
      </x:c>
      <x:c r="B481" s="132">
        <x:f t="shared" si="3"/>
        <x:v>3.368</x:v>
      </x:c>
    </x:row>
    <x:row r="482" ht="14.25" customHeight="1">
      <x:c r="A482" s="1" t="s">
        <x:v>1412</x:v>
      </x:c>
      <x:c r="B482" s="132">
        <x:f t="shared" si="3"/>
        <x:v>3.368</x:v>
      </x:c>
    </x:row>
    <x:row r="483" ht="14.25" customHeight="1">
      <x:c r="A483" s="1" t="s">
        <x:v>1417</x:v>
      </x:c>
      <x:c r="B483" s="132">
        <x:f t="shared" si="3"/>
        <x:v>3.368</x:v>
      </x:c>
    </x:row>
    <x:row r="484" ht="14.25" customHeight="1">
      <x:c r="A484" s="1" t="s">
        <x:v>1419</x:v>
      </x:c>
      <x:c r="B484" s="132">
        <x:f t="shared" si="3"/>
        <x:v>3.368</x:v>
      </x:c>
    </x:row>
    <x:row r="485" ht="14.25" customHeight="1">
      <x:c r="A485" s="1" t="s">
        <x:v>1421</x:v>
      </x:c>
      <x:c r="B485" s="132">
        <x:f t="shared" si="3"/>
        <x:v>3.368</x:v>
      </x:c>
    </x:row>
    <x:row r="486" ht="14.25" customHeight="1">
      <x:c r="A486" s="1" t="s">
        <x:v>1427</x:v>
      </x:c>
      <x:c r="B486" s="132">
        <x:f t="shared" si="3"/>
        <x:v>3.368</x:v>
      </x:c>
    </x:row>
    <x:row r="487" ht="14.25" customHeight="1">
      <x:c r="A487" s="1" t="s">
        <x:v>1473</x:v>
      </x:c>
      <x:c r="B487" s="132" t="n">
        <x:f t="shared" ref="B487:B500" si="4">$B$252</x:f>
        <x:v>3.7</x:v>
      </x:c>
    </x:row>
    <x:row r="488" ht="14.25" customHeight="1">
      <x:c r="A488" s="1" t="s">
        <x:v>1474</x:v>
      </x:c>
      <x:c r="B488" s="132">
        <x:f t="shared" si="4"/>
        <x:v>3.7</x:v>
      </x:c>
    </x:row>
    <x:row r="489" ht="14.25" customHeight="1">
      <x:c r="A489" s="1" t="s">
        <x:v>1476</x:v>
      </x:c>
      <x:c r="B489" s="132">
        <x:f t="shared" si="4"/>
        <x:v>3.7</x:v>
      </x:c>
    </x:row>
    <x:row r="490" ht="14.25" customHeight="1">
      <x:c r="A490" s="1" t="s">
        <x:v>1478</x:v>
      </x:c>
      <x:c r="B490" s="132">
        <x:f t="shared" si="4"/>
        <x:v>3.7</x:v>
      </x:c>
    </x:row>
    <x:row r="491" ht="14.25" customHeight="1">
      <x:c r="A491" s="1" t="s">
        <x:v>1480</x:v>
      </x:c>
      <x:c r="B491" s="132">
        <x:f t="shared" si="4"/>
        <x:v>3.7</x:v>
      </x:c>
    </x:row>
    <x:row r="492" ht="14.25" customHeight="1">
      <x:c r="A492" s="1" t="s">
        <x:v>1482</x:v>
      </x:c>
      <x:c r="B492" s="132">
        <x:f t="shared" si="4"/>
        <x:v>3.7</x:v>
      </x:c>
    </x:row>
    <x:row r="493" ht="14.25" customHeight="1">
      <x:c r="A493" s="1" t="s">
        <x:v>1484</x:v>
      </x:c>
      <x:c r="B493" s="132">
        <x:f t="shared" si="4"/>
        <x:v>3.7</x:v>
      </x:c>
    </x:row>
    <x:row r="494" ht="14.25" customHeight="1">
      <x:c r="A494" s="1" t="s">
        <x:v>1486</x:v>
      </x:c>
      <x:c r="B494" s="132">
        <x:f t="shared" si="4"/>
        <x:v>3.7</x:v>
      </x:c>
    </x:row>
    <x:row r="495" ht="14.25" customHeight="1">
      <x:c r="A495" s="1" t="s">
        <x:v>1488</x:v>
      </x:c>
      <x:c r="B495" s="132">
        <x:f t="shared" si="4"/>
        <x:v>3.7</x:v>
      </x:c>
    </x:row>
    <x:row r="496" ht="14.25" customHeight="1">
      <x:c r="A496" s="1" t="s">
        <x:v>1492</x:v>
      </x:c>
      <x:c r="B496" s="132">
        <x:f t="shared" si="4"/>
        <x:v>3.7</x:v>
      </x:c>
    </x:row>
    <x:row r="497" ht="14.25" customHeight="1">
      <x:c r="A497" s="1" t="s">
        <x:v>1493</x:v>
      </x:c>
      <x:c r="B497" s="132">
        <x:f t="shared" si="4"/>
        <x:v>3.7</x:v>
      </x:c>
    </x:row>
    <x:row r="498" ht="14.25" customHeight="1">
      <x:c r="A498" s="1" t="s">
        <x:v>1495</x:v>
      </x:c>
      <x:c r="B498" s="132">
        <x:f t="shared" si="4"/>
        <x:v>3.7</x:v>
      </x:c>
    </x:row>
    <x:row r="499" ht="14.25" customHeight="1">
      <x:c r="A499" s="1" t="s">
        <x:v>1499</x:v>
      </x:c>
      <x:c r="B499" s="132">
        <x:f t="shared" si="4"/>
        <x:v>3.7</x:v>
      </x:c>
    </x:row>
    <x:row r="500" ht="14.25" customHeight="1">
      <x:c r="A500" s="1" t="s">
        <x:v>1501</x:v>
      </x:c>
      <x:c r="B500" s="132">
        <x:f t="shared" si="4"/>
        <x:v>3.7</x:v>
      </x:c>
    </x:row>
    <x:row r="501" ht="14.25" customHeight="1">
      <x:c r="A501" s="1" t="s">
        <x:v>329</x:v>
      </x:c>
      <x:c r="B501" s="133" t="n">
        <x:f t="shared" ref="B501:B563" si="5">$B$372</x:f>
        <x:v>2.2775</x:v>
      </x:c>
    </x:row>
    <x:row r="502" ht="14.25" customHeight="1">
      <x:c r="A502" s="1" t="s">
        <x:v>332</x:v>
      </x:c>
      <x:c r="B502" s="133">
        <x:f t="shared" si="5"/>
        <x:v>2.2775</x:v>
      </x:c>
    </x:row>
    <x:row r="503" ht="14.25" customHeight="1">
      <x:c r="A503" s="1" t="s">
        <x:v>335</x:v>
      </x:c>
      <x:c r="B503" s="133">
        <x:f t="shared" si="5"/>
        <x:v>2.2775</x:v>
      </x:c>
    </x:row>
    <x:row r="504" ht="14.25" customHeight="1">
      <x:c r="A504" s="1" t="s">
        <x:v>338</x:v>
      </x:c>
      <x:c r="B504" s="133">
        <x:f t="shared" si="5"/>
        <x:v>2.2775</x:v>
      </x:c>
    </x:row>
    <x:row r="505" ht="14.25" customHeight="1">
      <x:c r="A505" s="1" t="s">
        <x:v>341</x:v>
      </x:c>
      <x:c r="B505" s="133">
        <x:f t="shared" si="5"/>
        <x:v>2.2775</x:v>
      </x:c>
    </x:row>
    <x:row r="506" ht="14.25" customHeight="1">
      <x:c r="A506" s="1" t="s">
        <x:v>344</x:v>
      </x:c>
      <x:c r="B506" s="133">
        <x:f t="shared" si="5"/>
        <x:v>2.2775</x:v>
      </x:c>
    </x:row>
    <x:row r="507" ht="14.25" customHeight="1">
      <x:c r="A507" s="1" t="s">
        <x:v>347</x:v>
      </x:c>
      <x:c r="B507" s="133">
        <x:f t="shared" si="5"/>
        <x:v>2.2775</x:v>
      </x:c>
    </x:row>
    <x:row r="508" ht="14.25" customHeight="1">
      <x:c r="A508" s="1" t="s">
        <x:v>350</x:v>
      </x:c>
      <x:c r="B508" s="133">
        <x:f t="shared" si="5"/>
        <x:v>2.2775</x:v>
      </x:c>
    </x:row>
    <x:row r="509" ht="14.25" customHeight="1">
      <x:c r="A509" s="1" t="s">
        <x:v>353</x:v>
      </x:c>
      <x:c r="B509" s="133">
        <x:f t="shared" si="5"/>
        <x:v>2.2775</x:v>
      </x:c>
    </x:row>
    <x:row r="510" ht="14.25" customHeight="1">
      <x:c r="A510" s="1" t="s">
        <x:v>356</x:v>
      </x:c>
      <x:c r="B510" s="133">
        <x:f t="shared" si="5"/>
        <x:v>2.2775</x:v>
      </x:c>
    </x:row>
    <x:row r="511" ht="14.25" customHeight="1">
      <x:c r="A511" s="1" t="s">
        <x:v>359</x:v>
      </x:c>
      <x:c r="B511" s="133">
        <x:f t="shared" si="5"/>
        <x:v>2.2775</x:v>
      </x:c>
    </x:row>
    <x:row r="512" ht="14.25" customHeight="1">
      <x:c r="A512" s="1" t="s">
        <x:v>362</x:v>
      </x:c>
      <x:c r="B512" s="133">
        <x:f t="shared" si="5"/>
        <x:v>2.2775</x:v>
      </x:c>
    </x:row>
    <x:row r="513" ht="14.25" customHeight="1">
      <x:c r="A513" s="1" t="s">
        <x:v>365</x:v>
      </x:c>
      <x:c r="B513" s="133">
        <x:f t="shared" si="5"/>
        <x:v>2.2775</x:v>
      </x:c>
    </x:row>
    <x:row r="514" ht="14.25" customHeight="1">
      <x:c r="A514" s="1" t="s">
        <x:v>368</x:v>
      </x:c>
      <x:c r="B514" s="133">
        <x:f t="shared" si="5"/>
        <x:v>2.2775</x:v>
      </x:c>
    </x:row>
    <x:row r="515" ht="14.25" customHeight="1">
      <x:c r="A515" s="1" t="s">
        <x:v>371</x:v>
      </x:c>
      <x:c r="B515" s="133">
        <x:f t="shared" si="5"/>
        <x:v>2.2775</x:v>
      </x:c>
    </x:row>
    <x:row r="516" ht="14.25" customHeight="1">
      <x:c r="A516" s="1" t="s">
        <x:v>374</x:v>
      </x:c>
      <x:c r="B516" s="133">
        <x:f t="shared" si="5"/>
        <x:v>2.2775</x:v>
      </x:c>
    </x:row>
    <x:row r="517" ht="14.25" customHeight="1">
      <x:c r="A517" s="1" t="s">
        <x:v>377</x:v>
      </x:c>
      <x:c r="B517" s="133">
        <x:f t="shared" si="5"/>
        <x:v>2.2775</x:v>
      </x:c>
    </x:row>
    <x:row r="518" ht="14.25" customHeight="1">
      <x:c r="A518" s="1" t="s">
        <x:v>380</x:v>
      </x:c>
      <x:c r="B518" s="133">
        <x:f t="shared" si="5"/>
        <x:v>2.2775</x:v>
      </x:c>
    </x:row>
    <x:row r="519" ht="14.25" customHeight="1">
      <x:c r="A519" s="1" t="s">
        <x:v>383</x:v>
      </x:c>
      <x:c r="B519" s="133">
        <x:f t="shared" si="5"/>
        <x:v>2.2775</x:v>
      </x:c>
    </x:row>
    <x:row r="520" ht="14.25" customHeight="1">
      <x:c r="A520" s="1" t="s">
        <x:v>386</x:v>
      </x:c>
      <x:c r="B520" s="133">
        <x:f t="shared" si="5"/>
        <x:v>2.2775</x:v>
      </x:c>
    </x:row>
    <x:row r="521" ht="14.25" customHeight="1">
      <x:c r="A521" s="1" t="s">
        <x:v>389</x:v>
      </x:c>
      <x:c r="B521" s="133">
        <x:f t="shared" si="5"/>
        <x:v>2.2775</x:v>
      </x:c>
    </x:row>
    <x:row r="522" ht="14.25" customHeight="1">
      <x:c r="A522" s="1" t="s">
        <x:v>392</x:v>
      </x:c>
      <x:c r="B522" s="133">
        <x:f t="shared" si="5"/>
        <x:v>2.2775</x:v>
      </x:c>
    </x:row>
    <x:row r="523" ht="14.25" customHeight="1">
      <x:c r="A523" s="1" t="s">
        <x:v>395</x:v>
      </x:c>
      <x:c r="B523" s="133">
        <x:f t="shared" si="5"/>
        <x:v>2.2775</x:v>
      </x:c>
    </x:row>
    <x:row r="524" ht="14.25" customHeight="1">
      <x:c r="A524" s="1" t="s">
        <x:v>398</x:v>
      </x:c>
      <x:c r="B524" s="133">
        <x:f t="shared" si="5"/>
        <x:v>2.2775</x:v>
      </x:c>
    </x:row>
    <x:row r="525" ht="14.25" customHeight="1">
      <x:c r="A525" s="1" t="s">
        <x:v>401</x:v>
      </x:c>
      <x:c r="B525" s="133">
        <x:f t="shared" si="5"/>
        <x:v>2.2775</x:v>
      </x:c>
    </x:row>
    <x:row r="526" ht="14.25" customHeight="1">
      <x:c r="A526" s="1" t="s">
        <x:v>404</x:v>
      </x:c>
      <x:c r="B526" s="133">
        <x:f t="shared" si="5"/>
        <x:v>2.2775</x:v>
      </x:c>
    </x:row>
    <x:row r="527" ht="14.25" customHeight="1">
      <x:c r="A527" s="1" t="s">
        <x:v>407</x:v>
      </x:c>
      <x:c r="B527" s="133">
        <x:f t="shared" si="5"/>
        <x:v>2.2775</x:v>
      </x:c>
    </x:row>
    <x:row r="528" ht="14.25" customHeight="1">
      <x:c r="A528" s="1" t="s">
        <x:v>410</x:v>
      </x:c>
      <x:c r="B528" s="133">
        <x:f t="shared" si="5"/>
        <x:v>2.2775</x:v>
      </x:c>
    </x:row>
    <x:row r="529" ht="14.25" customHeight="1">
      <x:c r="A529" s="1" t="s">
        <x:v>413</x:v>
      </x:c>
      <x:c r="B529" s="133">
        <x:f t="shared" si="5"/>
        <x:v>2.2775</x:v>
      </x:c>
    </x:row>
    <x:row r="530" ht="14.25" customHeight="1">
      <x:c r="A530" s="1" t="s">
        <x:v>416</x:v>
      </x:c>
      <x:c r="B530" s="133">
        <x:f t="shared" si="5"/>
        <x:v>2.2775</x:v>
      </x:c>
    </x:row>
    <x:row r="531" ht="14.25" customHeight="1">
      <x:c r="A531" s="1" t="s">
        <x:v>419</x:v>
      </x:c>
      <x:c r="B531" s="133">
        <x:f t="shared" si="5"/>
        <x:v>2.2775</x:v>
      </x:c>
    </x:row>
    <x:row r="532" ht="14.25" customHeight="1">
      <x:c r="A532" s="1" t="s">
        <x:v>422</x:v>
      </x:c>
      <x:c r="B532" s="133">
        <x:f t="shared" si="5"/>
        <x:v>2.2775</x:v>
      </x:c>
    </x:row>
    <x:row r="533" ht="14.25" customHeight="1">
      <x:c r="A533" s="1" t="s">
        <x:v>425</x:v>
      </x:c>
      <x:c r="B533" s="133">
        <x:f t="shared" si="5"/>
        <x:v>2.2775</x:v>
      </x:c>
    </x:row>
    <x:row r="534" ht="14.25" customHeight="1">
      <x:c r="A534" s="1" t="s">
        <x:v>428</x:v>
      </x:c>
      <x:c r="B534" s="133">
        <x:f t="shared" si="5"/>
        <x:v>2.2775</x:v>
      </x:c>
    </x:row>
    <x:row r="535" ht="14.25" customHeight="1">
      <x:c r="A535" s="1" t="s">
        <x:v>431</x:v>
      </x:c>
      <x:c r="B535" s="133">
        <x:f t="shared" si="5"/>
        <x:v>2.2775</x:v>
      </x:c>
    </x:row>
    <x:row r="536" ht="14.25" customHeight="1">
      <x:c r="A536" s="1" t="s">
        <x:v>434</x:v>
      </x:c>
      <x:c r="B536" s="133">
        <x:f t="shared" si="5"/>
        <x:v>2.2775</x:v>
      </x:c>
    </x:row>
    <x:row r="537" ht="14.25" customHeight="1">
      <x:c r="A537" s="1" t="s">
        <x:v>437</x:v>
      </x:c>
      <x:c r="B537" s="133">
        <x:f t="shared" si="5"/>
        <x:v>2.2775</x:v>
      </x:c>
    </x:row>
    <x:row r="538" ht="14.25" customHeight="1">
      <x:c r="A538" s="1" t="s">
        <x:v>440</x:v>
      </x:c>
      <x:c r="B538" s="133">
        <x:f t="shared" si="5"/>
        <x:v>2.2775</x:v>
      </x:c>
    </x:row>
    <x:row r="539" ht="14.25" customHeight="1">
      <x:c r="A539" s="1" t="s">
        <x:v>443</x:v>
      </x:c>
      <x:c r="B539" s="133">
        <x:f t="shared" si="5"/>
        <x:v>2.2775</x:v>
      </x:c>
    </x:row>
    <x:row r="540" ht="14.25" customHeight="1">
      <x:c r="A540" s="1" t="s">
        <x:v>446</x:v>
      </x:c>
      <x:c r="B540" s="133">
        <x:f t="shared" si="5"/>
        <x:v>2.2775</x:v>
      </x:c>
    </x:row>
    <x:row r="541" ht="14.25" customHeight="1">
      <x:c r="A541" s="1" t="s">
        <x:v>449</x:v>
      </x:c>
      <x:c r="B541" s="133">
        <x:f t="shared" si="5"/>
        <x:v>2.2775</x:v>
      </x:c>
    </x:row>
    <x:row r="542" ht="14.25" customHeight="1">
      <x:c r="A542" s="1" t="s">
        <x:v>452</x:v>
      </x:c>
      <x:c r="B542" s="133">
        <x:f t="shared" si="5"/>
        <x:v>2.2775</x:v>
      </x:c>
    </x:row>
    <x:row r="543" ht="14.25" customHeight="1">
      <x:c r="A543" s="1" t="s">
        <x:v>455</x:v>
      </x:c>
      <x:c r="B543" s="133">
        <x:f t="shared" si="5"/>
        <x:v>2.2775</x:v>
      </x:c>
    </x:row>
    <x:row r="544" ht="14.25" customHeight="1">
      <x:c r="A544" s="1" t="s">
        <x:v>458</x:v>
      </x:c>
      <x:c r="B544" s="133">
        <x:f t="shared" si="5"/>
        <x:v>2.2775</x:v>
      </x:c>
    </x:row>
    <x:row r="545" ht="14.25" customHeight="1">
      <x:c r="A545" s="1" t="s">
        <x:v>461</x:v>
      </x:c>
      <x:c r="B545" s="133">
        <x:f t="shared" si="5"/>
        <x:v>2.2775</x:v>
      </x:c>
    </x:row>
    <x:row r="546" ht="14.25" customHeight="1">
      <x:c r="A546" s="1" t="s">
        <x:v>464</x:v>
      </x:c>
      <x:c r="B546" s="133">
        <x:f t="shared" si="5"/>
        <x:v>2.2775</x:v>
      </x:c>
    </x:row>
    <x:row r="547" ht="14.25" customHeight="1">
      <x:c r="A547" s="1" t="s">
        <x:v>467</x:v>
      </x:c>
      <x:c r="B547" s="133">
        <x:f t="shared" si="5"/>
        <x:v>2.2775</x:v>
      </x:c>
    </x:row>
    <x:row r="548" ht="14.25" customHeight="1">
      <x:c r="A548" s="1" t="s">
        <x:v>470</x:v>
      </x:c>
      <x:c r="B548" s="133">
        <x:f t="shared" si="5"/>
        <x:v>2.2775</x:v>
      </x:c>
    </x:row>
    <x:row r="549" ht="14.25" customHeight="1">
      <x:c r="A549" s="1" t="s">
        <x:v>473</x:v>
      </x:c>
      <x:c r="B549" s="133">
        <x:f t="shared" si="5"/>
        <x:v>2.2775</x:v>
      </x:c>
    </x:row>
    <x:row r="550" ht="14.25" customHeight="1">
      <x:c r="A550" s="1" t="s">
        <x:v>476</x:v>
      </x:c>
      <x:c r="B550" s="133">
        <x:f t="shared" si="5"/>
        <x:v>2.2775</x:v>
      </x:c>
    </x:row>
    <x:row r="551" ht="14.25" customHeight="1">
      <x:c r="A551" s="1" t="s">
        <x:v>1475</x:v>
      </x:c>
      <x:c r="B551" s="133">
        <x:f t="shared" si="5"/>
        <x:v>2.2775</x:v>
      </x:c>
    </x:row>
    <x:row r="552" ht="14.25" customHeight="1">
      <x:c r="A552" s="1" t="s">
        <x:v>1481</x:v>
      </x:c>
      <x:c r="B552" s="133">
        <x:f t="shared" si="5"/>
        <x:v>2.2775</x:v>
      </x:c>
    </x:row>
    <x:row r="553" ht="14.25" customHeight="1">
      <x:c r="A553" s="1" t="s">
        <x:v>1536</x:v>
      </x:c>
      <x:c r="B553" s="133">
        <x:f t="shared" si="5"/>
        <x:v>2.2775</x:v>
      </x:c>
    </x:row>
    <x:row r="554" ht="14.25" customHeight="1">
      <x:c r="A554" s="1" t="s">
        <x:v>1538</x:v>
      </x:c>
      <x:c r="B554" s="133">
        <x:f t="shared" si="5"/>
        <x:v>2.2775</x:v>
      </x:c>
    </x:row>
    <x:row r="555" ht="14.25" customHeight="1">
      <x:c r="A555" s="1" t="s">
        <x:v>1540</x:v>
      </x:c>
      <x:c r="B555" s="133">
        <x:f t="shared" si="5"/>
        <x:v>2.2775</x:v>
      </x:c>
    </x:row>
    <x:row r="556" ht="14.25" customHeight="1">
      <x:c r="A556" s="1" t="s">
        <x:v>1541</x:v>
      </x:c>
      <x:c r="B556" s="133">
        <x:f t="shared" si="5"/>
        <x:v>2.2775</x:v>
      </x:c>
    </x:row>
    <x:row r="557" ht="14.25" customHeight="1">
      <x:c r="A557" s="1" t="s">
        <x:v>1543</x:v>
      </x:c>
      <x:c r="B557" s="133">
        <x:f t="shared" si="5"/>
        <x:v>2.2775</x:v>
      </x:c>
    </x:row>
    <x:row r="558" ht="14.25" customHeight="1">
      <x:c r="A558" s="1" t="s">
        <x:v>1546</x:v>
      </x:c>
      <x:c r="B558" s="133">
        <x:f t="shared" si="5"/>
        <x:v>2.2775</x:v>
      </x:c>
    </x:row>
    <x:row r="559" ht="14.25" customHeight="1">
      <x:c r="A559" s="1" t="s">
        <x:v>1547</x:v>
      </x:c>
      <x:c r="B559" s="133">
        <x:f t="shared" si="5"/>
        <x:v>2.2775</x:v>
      </x:c>
    </x:row>
    <x:row r="560" ht="14.25" customHeight="1">
      <x:c r="A560" s="1" t="s">
        <x:v>1548</x:v>
      </x:c>
      <x:c r="B560" s="133">
        <x:f t="shared" si="5"/>
        <x:v>2.2775</x:v>
      </x:c>
    </x:row>
    <x:row r="561" ht="14.25" customHeight="1">
      <x:c r="A561" s="1" t="s">
        <x:v>1549</x:v>
      </x:c>
      <x:c r="B561" s="133">
        <x:f t="shared" si="5"/>
        <x:v>2.2775</x:v>
      </x:c>
    </x:row>
    <x:row r="562" ht="14.25" customHeight="1">
      <x:c r="A562" s="1" t="s">
        <x:v>1550</x:v>
      </x:c>
      <x:c r="B562" s="133">
        <x:f t="shared" si="5"/>
        <x:v>2.2775</x:v>
      </x:c>
    </x:row>
    <x:row r="563" ht="14.25" customHeight="1">
      <x:c r="A563" s="1" t="s">
        <x:v>1552</x:v>
      </x:c>
      <x:c r="B563" s="133">
        <x:f t="shared" si="5"/>
        <x:v>2.2775</x:v>
      </x:c>
    </x:row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conditionalFormatting sqref="K1:K1000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L1:L1000 M2:M2">
    <x:cfRule type="expression" dxfId="5" priority="2">
      <x:formula>ISERROR(L1)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8.880000114440918" customWidth="1"/>
    <x:col min="2" max="26" width="8.5" customWidth="1"/>
  </x:cols>
  <x:sheetData>
    <x:row r="1" ht="15" customHeight="1">
      <x:c r="A1" s="1" t="s">
        <x:v>1046</x:v>
      </x:c>
      <x:c r="B1" s="1" t="s">
        <x:v>1048</x:v>
      </x:c>
    </x:row>
    <x:row r="2" ht="15" customHeight="1">
      <x:c r="A2" s="1" t="s">
        <x:v>614</x:v>
      </x:c>
      <x:c r="B2" s="1" t="s">
        <x:v>130</x:v>
      </x:c>
    </x:row>
    <x:row r="3" ht="15" customHeight="1">
      <x:c r="A3" s="1" t="s">
        <x:v>771</x:v>
      </x:c>
      <x:c r="B3" s="1" t="s">
        <x:v>131</x:v>
      </x:c>
    </x:row>
    <x:row r="4" ht="15" customHeight="1">
      <x:c r="A4" s="1" t="s">
        <x:v>809</x:v>
      </x:c>
      <x:c r="B4" s="1" t="s">
        <x:v>135</x:v>
      </x:c>
    </x:row>
    <x:row r="5" ht="15" customHeight="1">
      <x:c r="A5" s="1" t="s">
        <x:v>788</x:v>
      </x:c>
      <x:c r="B5" s="1" t="s">
        <x:v>139</x:v>
      </x:c>
    </x:row>
    <x:row r="6" ht="15" customHeight="1">
      <x:c r="A6" s="1" t="s">
        <x:v>630</x:v>
      </x:c>
      <x:c r="B6" s="1" t="s">
        <x:v>134</x:v>
      </x:c>
    </x:row>
    <x:row r="7" ht="15" customHeight="1">
      <x:c r="A7" s="1" t="s">
        <x:v>784</x:v>
      </x:c>
      <x:c r="B7" s="1" t="s">
        <x:v>143</x:v>
      </x:c>
    </x:row>
    <x:row r="8" ht="15" customHeight="1">
      <x:c r="A8" s="1" t="s">
        <x:v>947</x:v>
      </x:c>
      <x:c r="B8" s="1" t="s">
        <x:v>132</x:v>
      </x:c>
    </x:row>
    <x:row r="9" ht="15" customHeight="1">
      <x:c r="A9" s="1" t="s">
        <x:v>818</x:v>
      </x:c>
      <x:c r="B9" s="1" t="s">
        <x:v>147</x:v>
      </x:c>
    </x:row>
    <x:row r="10" ht="15" customHeight="1">
      <x:c r="A10" s="1" t="s">
        <x:v>546</x:v>
      </x:c>
      <x:c r="B10" s="1" t="s">
        <x:v>129</x:v>
      </x:c>
    </x:row>
    <x:row r="11" ht="15" customHeight="1">
      <x:c r="A11" s="1" t="s">
        <x:v>975</x:v>
      </x:c>
      <x:c r="B11" s="1" t="s">
        <x:v>136</x:v>
      </x:c>
    </x:row>
    <x:row r="12" ht="15" customHeight="1">
      <x:c r="A12" s="1" t="s">
        <x:v>787</x:v>
      </x:c>
      <x:c r="B12" s="1" t="s">
        <x:v>151</x:v>
      </x:c>
    </x:row>
    <x:row r="13" ht="15" customHeight="1">
      <x:c r="A13" s="1" t="s">
        <x:v>665</x:v>
      </x:c>
      <x:c r="B13" s="1" t="s">
        <x:v>138</x:v>
      </x:c>
    </x:row>
    <x:row r="14" ht="15" customHeight="1">
      <x:c r="A14" s="1" t="s">
        <x:v>816</x:v>
      </x:c>
      <x:c r="B14" s="1" t="s">
        <x:v>155</x:v>
      </x:c>
    </x:row>
    <x:row r="15" ht="15" customHeight="1">
      <x:c r="A15" s="1" t="s">
        <x:v>807</x:v>
      </x:c>
      <x:c r="B15" s="1" t="s">
        <x:v>159</x:v>
      </x:c>
    </x:row>
    <x:row r="16" ht="15" customHeight="1">
      <x:c r="A16" s="1" t="s">
        <x:v>812</x:v>
      </x:c>
      <x:c r="B16" s="1" t="s">
        <x:v>163</x:v>
      </x:c>
    </x:row>
    <x:row r="17" ht="15" customHeight="1">
      <x:c r="A17" s="1" t="s">
        <x:v>704</x:v>
      </x:c>
      <x:c r="B17" s="1" t="s">
        <x:v>142</x:v>
      </x:c>
    </x:row>
    <x:row r="18" ht="15" customHeight="1">
      <x:c r="A18" s="1" t="s">
        <x:v>685</x:v>
      </x:c>
      <x:c r="B18" s="1" t="s">
        <x:v>146</x:v>
      </x:c>
    </x:row>
    <x:row r="19" ht="15" customHeight="1">
      <x:c r="A19" s="1" t="s">
        <x:v>789</x:v>
      </x:c>
      <x:c r="B19" s="1" t="s">
        <x:v>167</x:v>
      </x:c>
    </x:row>
    <x:row r="20" ht="15" customHeight="1">
      <x:c r="A20" s="1" t="s">
        <x:v>702</x:v>
      </x:c>
      <x:c r="B20" s="1" t="s">
        <x:v>150</x:v>
      </x:c>
    </x:row>
    <x:row r="21" ht="15" customHeight="1">
      <x:c r="A21" s="1" t="s">
        <x:v>1180</x:v>
      </x:c>
      <x:c r="B21" s="1" t="s">
        <x:v>171</x:v>
      </x:c>
    </x:row>
    <x:row r="22" ht="15" customHeight="1">
      <x:c r="A22" s="1" t="s">
        <x:v>863</x:v>
      </x:c>
      <x:c r="B22" s="1" t="s">
        <x:v>175</x:v>
      </x:c>
    </x:row>
    <x:row r="23" ht="15" customHeight="1">
      <x:c r="A23" s="1" t="s">
        <x:v>555</x:v>
      </x:c>
      <x:c r="B23" s="1" t="s">
        <x:v>133</x:v>
      </x:c>
    </x:row>
    <x:row r="24" ht="15" customHeight="1">
      <x:c r="A24" s="1" t="s">
        <x:v>830</x:v>
      </x:c>
      <x:c r="B24" s="1" t="s">
        <x:v>179</x:v>
      </x:c>
    </x:row>
    <x:row r="25" ht="15" customHeight="1">
      <x:c r="A25" s="1" t="s">
        <x:v>828</x:v>
      </x:c>
      <x:c r="B25" s="1" t="s">
        <x:v>183</x:v>
      </x:c>
    </x:row>
    <x:row r="26" ht="15" customHeight="1">
      <x:c r="A26" s="1" t="s">
        <x:v>844</x:v>
      </x:c>
      <x:c r="B26" s="1" t="s">
        <x:v>187</x:v>
      </x:c>
    </x:row>
    <x:row r="27" ht="15" customHeight="1">
      <x:c r="A27" s="1" t="s">
        <x:v>800</x:v>
      </x:c>
      <x:c r="B27" s="1" t="s">
        <x:v>191</x:v>
      </x:c>
    </x:row>
    <x:row r="28" ht="15" customHeight="1"/>
    <x:row r="29" ht="15" customHeight="1">
      <x:c r="A29" s="1" t="s">
        <x:v>659</x:v>
      </x:c>
      <x:c r="B29" s="1" t="s">
        <x:v>154</x:v>
      </x:c>
    </x:row>
    <x:row r="30" ht="15" customHeight="1">
      <x:c r="A30" s="1" t="s">
        <x:v>652</x:v>
      </x:c>
      <x:c r="B30" s="1" t="s">
        <x:v>158</x:v>
      </x:c>
    </x:row>
    <x:row r="31" ht="15" customHeight="1">
      <x:c r="A31" s="1" t="s">
        <x:v>703</x:v>
      </x:c>
      <x:c r="B31" s="1" t="s">
        <x:v>162</x:v>
      </x:c>
    </x:row>
    <x:row r="32" ht="15" customHeight="1">
      <x:c r="A32" s="1" t="s">
        <x:v>1014</x:v>
      </x:c>
      <x:c r="B32" s="1" t="s">
        <x:v>140</x:v>
      </x:c>
    </x:row>
    <x:row r="33" ht="15" customHeight="1">
      <x:c r="A33" s="1" t="s">
        <x:v>980</x:v>
      </x:c>
      <x:c r="B33" s="1" t="s">
        <x:v>144</x:v>
      </x:c>
    </x:row>
    <x:row r="34" ht="15" customHeight="1">
      <x:c r="A34" s="1" t="s">
        <x:v>1017</x:v>
      </x:c>
      <x:c r="B34" s="1" t="s">
        <x:v>148</x:v>
      </x:c>
    </x:row>
    <x:row r="35" ht="15" customHeight="1">
      <x:c r="A35" s="1" t="s">
        <x:v>870</x:v>
      </x:c>
      <x:c r="B35" s="1" t="s">
        <x:v>195</x:v>
      </x:c>
    </x:row>
    <x:row r="36" ht="15" customHeight="1">
      <x:c r="A36" s="1" t="s">
        <x:v>556</x:v>
      </x:c>
      <x:c r="B36" s="1" t="s">
        <x:v>137</x:v>
      </x:c>
    </x:row>
    <x:row r="37" ht="15" customHeight="1">
      <x:c r="A37" s="1" t="s">
        <x:v>666</x:v>
      </x:c>
      <x:c r="B37" s="1" t="s">
        <x:v>166</x:v>
      </x:c>
    </x:row>
    <x:row r="38" ht="15" customHeight="1">
      <x:c r="A38" s="1" t="s">
        <x:v>860</x:v>
      </x:c>
      <x:c r="B38" s="1" t="s">
        <x:v>199</x:v>
      </x:c>
    </x:row>
    <x:row r="39" ht="15" customHeight="1">
      <x:c r="A39" s="1" t="s">
        <x:v>696</x:v>
      </x:c>
      <x:c r="B39" s="1" t="s">
        <x:v>170</x:v>
      </x:c>
    </x:row>
    <x:row r="40" ht="15" customHeight="1">
      <x:c r="A40" s="1" t="s">
        <x:v>872</x:v>
      </x:c>
      <x:c r="B40" s="1" t="s">
        <x:v>203</x:v>
      </x:c>
    </x:row>
    <x:row r="41" ht="15" customHeight="1">
      <x:c r="A41" s="1" t="s">
        <x:v>1188</x:v>
      </x:c>
      <x:c r="B41" s="1" t="s">
        <x:v>174</x:v>
      </x:c>
    </x:row>
    <x:row r="42" ht="15" customHeight="1">
      <x:c r="A42" s="1" t="s">
        <x:v>588</x:v>
      </x:c>
      <x:c r="B42" s="1" t="s">
        <x:v>141</x:v>
      </x:c>
    </x:row>
    <x:row r="43" ht="15" customHeight="1">
      <x:c r="A43" s="1" t="s">
        <x:v>864</x:v>
      </x:c>
      <x:c r="B43" s="1" t="s">
        <x:v>207</x:v>
      </x:c>
    </x:row>
    <x:row r="44" ht="15" customHeight="1">
      <x:c r="A44" s="1" t="s">
        <x:v>1018</x:v>
      </x:c>
      <x:c r="B44" s="1" t="s">
        <x:v>152</x:v>
      </x:c>
    </x:row>
    <x:row r="45" ht="15" customHeight="1">
      <x:c r="A45" s="1" t="s">
        <x:v>693</x:v>
      </x:c>
      <x:c r="B45" s="1" t="s">
        <x:v>178</x:v>
      </x:c>
    </x:row>
    <x:row r="46" ht="15" customHeight="1">
      <x:c r="A46" s="1" t="s">
        <x:v>591</x:v>
      </x:c>
      <x:c r="B46" s="1" t="s">
        <x:v>145</x:v>
      </x:c>
    </x:row>
    <x:row r="47" ht="15" customHeight="1">
      <x:c r="A47" s="1" t="s">
        <x:v>587</x:v>
      </x:c>
      <x:c r="B47" s="1" t="s">
        <x:v>149</x:v>
      </x:c>
    </x:row>
    <x:row r="48" ht="15" customHeight="1">
      <x:c r="A48" s="1" t="s">
        <x:v>984</x:v>
      </x:c>
      <x:c r="B48" s="1" t="s">
        <x:v>156</x:v>
      </x:c>
    </x:row>
    <x:row r="49" ht="15" customHeight="1">
      <x:c r="A49" s="1" t="s">
        <x:v>861</x:v>
      </x:c>
      <x:c r="B49" s="1" t="s">
        <x:v>211</x:v>
      </x:c>
    </x:row>
    <x:row r="50" ht="15" customHeight="1">
      <x:c r="A50" s="1" t="s">
        <x:v>811</x:v>
      </x:c>
      <x:c r="B50" s="1" t="s">
        <x:v>215</x:v>
      </x:c>
    </x:row>
    <x:row r="51" ht="15" customHeight="1">
      <x:c r="A51" s="1" t="s">
        <x:v>1222</x:v>
      </x:c>
      <x:c r="B51" s="1" t="s">
        <x:v>182</x:v>
      </x:c>
    </x:row>
    <x:row r="52" ht="15" customHeight="1">
      <x:c r="A52" s="1" t="s">
        <x:v>1489</x:v>
      </x:c>
      <x:c r="B52" s="1" t="s">
        <x:v>153</x:v>
      </x:c>
    </x:row>
    <x:row r="53" ht="15" customHeight="1">
      <x:c r="A53" s="1" t="s">
        <x:v>1021</x:v>
      </x:c>
      <x:c r="B53" s="1" t="s">
        <x:v>160</x:v>
      </x:c>
    </x:row>
    <x:row r="54" ht="15" customHeight="1">
      <x:c r="A54" s="1" t="s">
        <x:v>590</x:v>
      </x:c>
      <x:c r="B54" s="1" t="s">
        <x:v>157</x:v>
      </x:c>
    </x:row>
    <x:row r="55" ht="15" customHeight="1">
      <x:c r="A55" s="1" t="s">
        <x:v>1387</x:v>
      </x:c>
      <x:c r="B55" s="1" t="s">
        <x:v>186</x:v>
      </x:c>
    </x:row>
    <x:row r="56" ht="15" customHeight="1">
      <x:c r="A56" s="1" t="s">
        <x:v>1248</x:v>
      </x:c>
      <x:c r="B56" s="1" t="s">
        <x:v>219</x:v>
      </x:c>
    </x:row>
    <x:row r="57" ht="15" customHeight="1">
      <x:c r="A57" s="1" t="s">
        <x:v>857</x:v>
      </x:c>
      <x:c r="B57" s="1" t="s">
        <x:v>223</x:v>
      </x:c>
    </x:row>
    <x:row r="58" ht="15" customHeight="1">
      <x:c r="A58" s="1" t="s">
        <x:v>884</x:v>
      </x:c>
      <x:c r="B58" s="1" t="s">
        <x:v>227</x:v>
      </x:c>
    </x:row>
    <x:row r="59" ht="15" customHeight="1">
      <x:c r="A59" s="1" t="s">
        <x:v>1020</x:v>
      </x:c>
      <x:c r="B59" s="1" t="s">
        <x:v>164</x:v>
      </x:c>
    </x:row>
    <x:row r="60" ht="15" customHeight="1">
      <x:c r="A60" s="1" t="s">
        <x:v>890</x:v>
      </x:c>
      <x:c r="B60" s="1" t="s">
        <x:v>231</x:v>
      </x:c>
    </x:row>
    <x:row r="61" ht="15" customHeight="1">
      <x:c r="A61" s="1" t="s">
        <x:v>1319</x:v>
      </x:c>
      <x:c r="B61" s="1" t="s">
        <x:v>190</x:v>
      </x:c>
    </x:row>
    <x:row r="62" ht="15" customHeight="1">
      <x:c r="A62" s="1" t="s">
        <x:v>896</x:v>
      </x:c>
      <x:c r="B62" s="1" t="s">
        <x:v>235</x:v>
      </x:c>
    </x:row>
    <x:row r="63" ht="15" customHeight="1">
      <x:c r="A63" s="1" t="s">
        <x:v>1264</x:v>
      </x:c>
      <x:c r="B63" s="1" t="s">
        <x:v>194</x:v>
      </x:c>
    </x:row>
    <x:row r="64" ht="15" customHeight="1">
      <x:c r="A64" s="1" t="s">
        <x:v>827</x:v>
      </x:c>
      <x:c r="B64" s="1" t="s">
        <x:v>239</x:v>
      </x:c>
    </x:row>
    <x:row r="65" ht="15" customHeight="1">
      <x:c r="A65" s="1" t="s">
        <x:v>859</x:v>
      </x:c>
      <x:c r="B65" s="1" t="s">
        <x:v>243</x:v>
      </x:c>
    </x:row>
    <x:row r="66" ht="15" customHeight="1">
      <x:c r="A66" s="1" t="s">
        <x:v>1654</x:v>
      </x:c>
      <x:c r="B66" s="1" t="s">
        <x:v>198</x:v>
      </x:c>
    </x:row>
    <x:row r="67" ht="15" customHeight="1">
      <x:c r="A67" s="1" t="s">
        <x:v>989</x:v>
      </x:c>
      <x:c r="B67" s="1" t="s">
        <x:v>168</x:v>
      </x:c>
    </x:row>
    <x:row r="68" ht="15" customHeight="1">
      <x:c r="A68" s="1" t="s">
        <x:v>993</x:v>
      </x:c>
      <x:c r="B68" s="1" t="s">
        <x:v>172</x:v>
      </x:c>
    </x:row>
    <x:row r="69" ht="15" customHeight="1">
      <x:c r="A69" s="1" t="s">
        <x:v>1709</x:v>
      </x:c>
      <x:c r="B69" s="1" t="s">
        <x:v>202</x:v>
      </x:c>
    </x:row>
    <x:row r="70" ht="15" customHeight="1">
      <x:c r="A70" s="1" t="s">
        <x:v>923</x:v>
      </x:c>
      <x:c r="B70" s="1" t="s">
        <x:v>247</x:v>
      </x:c>
    </x:row>
    <x:row r="71" ht="15" customHeight="1">
      <x:c r="A71" s="1" t="s">
        <x:v>1381</x:v>
      </x:c>
      <x:c r="B71" s="1" t="s">
        <x:v>206</x:v>
      </x:c>
    </x:row>
    <x:row r="72" ht="15" customHeight="1">
      <x:c r="A72" s="1" t="s">
        <x:v>1688</x:v>
      </x:c>
      <x:c r="B72" s="1" t="s">
        <x:v>251</x:v>
      </x:c>
    </x:row>
    <x:row r="73" ht="15" customHeight="1">
      <x:c r="A73" s="1" t="s">
        <x:v>1379</x:v>
      </x:c>
      <x:c r="B73" s="1" t="s">
        <x:v>176</x:v>
      </x:c>
    </x:row>
    <x:row r="74" ht="15" customHeight="1">
      <x:c r="A74" s="1" t="s">
        <x:v>1284</x:v>
      </x:c>
      <x:c r="B74" s="1" t="s">
        <x:v>180</x:v>
      </x:c>
    </x:row>
    <x:row r="75" ht="15" customHeight="1">
      <x:c r="A75" s="1" t="s">
        <x:v>1735</x:v>
      </x:c>
      <x:c r="B75" s="1" t="s">
        <x:v>255</x:v>
      </x:c>
    </x:row>
    <x:row r="76" ht="15" customHeight="1">
      <x:c r="A76" s="1" t="s">
        <x:v>1719</x:v>
      </x:c>
      <x:c r="B76" s="1" t="s">
        <x:v>210</x:v>
      </x:c>
    </x:row>
    <x:row r="77" ht="15" customHeight="1">
      <x:c r="A77" s="1" t="s">
        <x:v>1023</x:v>
      </x:c>
      <x:c r="B77" s="1" t="s">
        <x:v>184</x:v>
      </x:c>
    </x:row>
    <x:row r="78" ht="15" customHeight="1">
      <x:c r="A78" s="1" t="s">
        <x:v>1633</x:v>
      </x:c>
      <x:c r="B78" s="1" t="s">
        <x:v>214</x:v>
      </x:c>
    </x:row>
    <x:row r="79" ht="15" customHeight="1">
      <x:c r="A79" s="1" t="s">
        <x:v>2002</x:v>
      </x:c>
      <x:c r="B79" s="1" t="s">
        <x:v>161</x:v>
      </x:c>
    </x:row>
    <x:row r="80" ht="15" customHeight="1">
      <x:c r="A80" s="1" t="s">
        <x:v>1671</x:v>
      </x:c>
      <x:c r="B80" s="1" t="s">
        <x:v>218</x:v>
      </x:c>
    </x:row>
    <x:row r="81" ht="15" customHeight="1">
      <x:c r="A81" s="1" t="s">
        <x:v>902</x:v>
      </x:c>
      <x:c r="B81" s="1" t="s">
        <x:v>259</x:v>
      </x:c>
    </x:row>
    <x:row r="82" ht="15" customHeight="1">
      <x:c r="A82" s="1" t="s">
        <x:v>2003</x:v>
      </x:c>
      <x:c r="B82" s="1" t="s">
        <x:v>165</x:v>
      </x:c>
    </x:row>
    <x:row r="83" ht="15" customHeight="1">
      <x:c r="A83" s="1" t="s">
        <x:v>1903</x:v>
      </x:c>
      <x:c r="B83" s="1" t="s">
        <x:v>263</x:v>
      </x:c>
    </x:row>
    <x:row r="84" ht="15" customHeight="1">
      <x:c r="A84" s="1" t="s">
        <x:v>1667</x:v>
      </x:c>
      <x:c r="B84" s="1" t="s">
        <x:v>222</x:v>
      </x:c>
    </x:row>
    <x:row r="85" ht="15" customHeight="1">
      <x:c r="A85" s="1" t="s">
        <x:v>2004</x:v>
      </x:c>
      <x:c r="B85" s="1" t="s">
        <x:v>267</x:v>
      </x:c>
    </x:row>
    <x:row r="86" ht="15" customHeight="1">
      <x:c r="A86" s="1" t="s">
        <x:v>2005</x:v>
      </x:c>
      <x:c r="B86" s="1" t="s">
        <x:v>271</x:v>
      </x:c>
    </x:row>
    <x:row r="87" ht="15" customHeight="1">
      <x:c r="A87" s="1" t="s">
        <x:v>967</x:v>
      </x:c>
      <x:c r="B87" s="1" t="s">
        <x:v>188</x:v>
      </x:c>
    </x:row>
    <x:row r="88" ht="15" customHeight="1">
      <x:c r="A88" s="1" t="s">
        <x:v>1911</x:v>
      </x:c>
      <x:c r="B88" s="1" t="s">
        <x:v>275</x:v>
      </x:c>
    </x:row>
    <x:row r="89" ht="15" customHeight="1">
      <x:c r="A89" s="1" t="s">
        <x:v>1883</x:v>
      </x:c>
      <x:c r="B89" s="1" t="s">
        <x:v>279</x:v>
      </x:c>
    </x:row>
    <x:row r="90" ht="15" customHeight="1">
      <x:c r="A90" s="1" t="s">
        <x:v>1024</x:v>
      </x:c>
      <x:c r="B90" s="1" t="s">
        <x:v>192</x:v>
      </x:c>
    </x:row>
    <x:row r="91" ht="15" customHeight="1">
      <x:c r="A91" s="1" t="s">
        <x:v>2006</x:v>
      </x:c>
      <x:c r="B91" s="1" t="s">
        <x:v>226</x:v>
      </x:c>
    </x:row>
    <x:row r="92" ht="15" customHeight="1">
      <x:c r="A92" s="1" t="s">
        <x:v>2007</x:v>
      </x:c>
      <x:c r="B92" s="1" t="s">
        <x:v>196</x:v>
      </x:c>
    </x:row>
    <x:row r="93" ht="15" customHeight="1"/>
    <x:row r="94" ht="15" customHeight="1">
      <x:c r="A94" s="1" t="s">
        <x:v>895</x:v>
      </x:c>
      <x:c r="B94" s="1" t="s">
        <x:v>283</x:v>
      </x:c>
    </x:row>
    <x:row r="95" ht="15" customHeight="1">
      <x:c r="A95" s="1" t="s">
        <x:v>716</x:v>
      </x:c>
      <x:c r="B95" s="1" t="s">
        <x:v>200</x:v>
      </x:c>
    </x:row>
    <x:row r="96" ht="15" customHeight="1">
      <x:c r="A96" s="1" t="s">
        <x:v>1881</x:v>
      </x:c>
      <x:c r="B96" s="1" t="s">
        <x:v>287</x:v>
      </x:c>
    </x:row>
    <x:row r="97" ht="15" customHeight="1">
      <x:c r="A97" s="1" t="s">
        <x:v>2008</x:v>
      </x:c>
      <x:c r="B97" s="1" t="s">
        <x:v>169</x:v>
      </x:c>
    </x:row>
    <x:row r="98" ht="15" customHeight="1">
      <x:c r="A98" s="1" t="s">
        <x:v>2009</x:v>
      </x:c>
      <x:c r="B98" s="1" t="s">
        <x:v>173</x:v>
      </x:c>
    </x:row>
    <x:row r="99" ht="15" customHeight="1">
      <x:c r="A99" s="1" t="s">
        <x:v>1003</x:v>
      </x:c>
      <x:c r="B99" s="1" t="s">
        <x:v>204</x:v>
      </x:c>
    </x:row>
    <x:row r="100" ht="15" customHeight="1">
      <x:c r="A100" s="1" t="s">
        <x:v>2010</x:v>
      </x:c>
      <x:c r="B100" s="1" t="s">
        <x:v>230</x:v>
      </x:c>
    </x:row>
    <x:row r="101" ht="15" customHeight="1">
      <x:c r="A101" s="1" t="s">
        <x:v>1678</x:v>
      </x:c>
      <x:c r="B101" s="1" t="s">
        <x:v>208</x:v>
      </x:c>
    </x:row>
    <x:row r="102" ht="15" customHeight="1">
      <x:c r="A102" s="1" t="s">
        <x:v>2011</x:v>
      </x:c>
      <x:c r="B102" s="1" t="s">
        <x:v>291</x:v>
      </x:c>
    </x:row>
    <x:row r="103" ht="15" customHeight="1">
      <x:c r="A103" s="1" t="s">
        <x:v>2012</x:v>
      </x:c>
      <x:c r="B103" s="1" t="s">
        <x:v>177</x:v>
      </x:c>
    </x:row>
    <x:row r="104" ht="15" customHeight="1">
      <x:c r="A104" s="1" t="s">
        <x:v>2013</x:v>
      </x:c>
      <x:c r="B104" s="1" t="s">
        <x:v>181</x:v>
      </x:c>
    </x:row>
    <x:row r="105" ht="15" customHeight="1">
      <x:c r="A105" s="1" t="s">
        <x:v>2014</x:v>
      </x:c>
      <x:c r="B105" s="1" t="s">
        <x:v>185</x:v>
      </x:c>
    </x:row>
    <x:row r="106" ht="15" customHeight="1">
      <x:c r="A106" s="1" t="s">
        <x:v>715</x:v>
      </x:c>
      <x:c r="B106" s="1" t="s">
        <x:v>234</x:v>
      </x:c>
    </x:row>
    <x:row r="107" ht="15" customHeight="1">
      <x:c r="A107" s="1" t="s">
        <x:v>2015</x:v>
      </x:c>
      <x:c r="B107" s="1" t="s">
        <x:v>189</x:v>
      </x:c>
    </x:row>
    <x:row r="108" ht="15" customHeight="1">
      <x:c r="A108" s="1" t="s">
        <x:v>1458</x:v>
      </x:c>
      <x:c r="B108" s="1" t="s">
        <x:v>295</x:v>
      </x:c>
    </x:row>
    <x:row r="109" ht="15" customHeight="1">
      <x:c r="A109" s="1" t="s">
        <x:v>1625</x:v>
      </x:c>
      <x:c r="B109" s="1" t="s">
        <x:v>212</x:v>
      </x:c>
    </x:row>
    <x:row r="110" ht="15" customHeight="1">
      <x:c r="A110" s="1" t="s">
        <x:v>2016</x:v>
      </x:c>
      <x:c r="B110" s="1" t="s">
        <x:v>193</x:v>
      </x:c>
    </x:row>
    <x:row r="111" ht="15" customHeight="1">
      <x:c r="A111" s="1" t="s">
        <x:v>2017</x:v>
      </x:c>
      <x:c r="B111" s="1" t="s">
        <x:v>299</x:v>
      </x:c>
    </x:row>
    <x:row r="112" ht="15" customHeight="1">
      <x:c r="A112" s="1" t="s">
        <x:v>1977</x:v>
      </x:c>
      <x:c r="B112" s="1" t="s">
        <x:v>303</x:v>
      </x:c>
    </x:row>
    <x:row r="113" ht="15" customHeight="1">
      <x:c r="A113" s="1" t="s">
        <x:v>1697</x:v>
      </x:c>
      <x:c r="B113" s="1" t="s">
        <x:v>238</x:v>
      </x:c>
    </x:row>
    <x:row r="114" ht="15" customHeight="1">
      <x:c r="A114" s="1" t="s">
        <x:v>2018</x:v>
      </x:c>
      <x:c r="B114" s="1" t="s">
        <x:v>242</x:v>
      </x:c>
    </x:row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  <x:row r="151" ht="15" customHeight="1"/>
    <x:row r="152" ht="15" customHeight="1"/>
    <x:row r="153" ht="15" customHeight="1"/>
    <x:row r="154" ht="14.25" customHeight="1"/>
    <x:row r="155" ht="14.25" customHeight="1"/>
    <x:row r="156" ht="14.25" customHeight="1"/>
    <x:row r="157" ht="14.25" customHeight="1"/>
    <x:row r="158" ht="14.25" customHeight="1"/>
    <x:row r="159" ht="14.25" customHeight="1"/>
    <x:row r="160" ht="14.25" customHeight="1"/>
    <x:row r="161" ht="14.25" customHeight="1"/>
    <x:row r="162" ht="14.25" customHeight="1"/>
    <x:row r="163" ht="14.25" customHeight="1"/>
    <x:row r="164" ht="14.25" customHeight="1"/>
    <x:row r="165" ht="14.25" customHeight="1"/>
    <x:row r="166" ht="14.25" customHeight="1"/>
    <x:row r="167" ht="14.25" customHeight="1"/>
    <x:row r="168" ht="14.25" customHeight="1"/>
    <x:row r="169" ht="14.25" customHeight="1"/>
    <x:row r="170" ht="14.25" customHeight="1"/>
    <x:row r="171" ht="14.25" customHeight="1"/>
    <x:row r="172" ht="14.25" customHeight="1"/>
    <x:row r="173" ht="14.25" customHeight="1"/>
    <x:row r="174" ht="14.25" customHeight="1"/>
    <x:row r="175" ht="14.25" customHeight="1"/>
    <x:row r="176" ht="14.25" customHeight="1"/>
    <x:row r="177" ht="14.25" customHeight="1"/>
    <x:row r="178" ht="14.25" customHeight="1"/>
    <x:row r="179" ht="14.25" customHeight="1"/>
    <x:row r="180" ht="14.25" customHeight="1"/>
    <x:row r="181" ht="14.25" customHeight="1"/>
    <x:row r="182" ht="14.25" customHeight="1"/>
    <x:row r="183" ht="14.25" customHeight="1"/>
    <x:row r="184" ht="14.25" customHeight="1"/>
    <x:row r="185" ht="14.25" customHeight="1"/>
    <x:row r="186" ht="14.25" customHeight="1"/>
    <x:row r="187" ht="14.25" customHeight="1"/>
    <x:row r="188" ht="14.25" customHeight="1"/>
    <x:row r="189" ht="14.25" customHeight="1"/>
    <x:row r="190" ht="14.25" customHeight="1"/>
    <x:row r="191" ht="14.25" customHeight="1"/>
    <x:row r="192" ht="14.25" customHeight="1"/>
    <x:row r="193" ht="14.25" customHeight="1"/>
    <x:row r="194" ht="14.25" customHeight="1"/>
    <x:row r="195" ht="14.25" customHeight="1"/>
    <x:row r="196" ht="14.25" customHeight="1"/>
    <x:row r="197" ht="14.25" customHeight="1"/>
    <x:row r="198" ht="14.25" customHeight="1"/>
    <x:row r="199" ht="14.25" customHeight="1"/>
    <x:row r="200" ht="14.25" customHeight="1"/>
    <x:row r="201" ht="14.25" customHeight="1"/>
    <x:row r="202" ht="14.25" customHeight="1"/>
    <x:row r="203" ht="14.25" customHeight="1"/>
    <x:row r="204" ht="14.25" customHeight="1"/>
    <x:row r="205" ht="14.25" customHeight="1"/>
    <x:row r="206" ht="14.25" customHeight="1"/>
    <x:row r="207" ht="14.25" customHeight="1"/>
    <x:row r="208" ht="14.25" customHeight="1"/>
    <x:row r="209" ht="14.25" customHeight="1"/>
    <x:row r="210" ht="14.25" customHeight="1"/>
    <x:row r="211" ht="14.25" customHeight="1"/>
    <x:row r="212" ht="14.25" customHeight="1"/>
    <x:row r="213" ht="14.25" customHeight="1"/>
    <x:row r="214" ht="14.25" customHeight="1"/>
    <x:row r="215" ht="14.25" customHeight="1"/>
    <x:row r="216" ht="14.25" customHeight="1"/>
    <x:row r="217" ht="14.25" customHeight="1"/>
    <x:row r="218" ht="14.25" customHeight="1"/>
    <x:row r="219" ht="14.25" customHeight="1"/>
    <x:row r="220" ht="14.25" customHeight="1"/>
    <x:row r="221" ht="14.25" customHeight="1"/>
    <x:row r="222" ht="14.25" customHeight="1"/>
    <x:row r="223" ht="14.25" customHeight="1"/>
    <x:row r="224" ht="14.25" customHeight="1"/>
    <x:row r="225" ht="14.25" customHeight="1"/>
    <x:row r="226" ht="14.25" customHeight="1"/>
    <x:row r="227" ht="14.25" customHeight="1"/>
    <x:row r="228" ht="14.25" customHeight="1"/>
    <x:row r="229" ht="14.25" customHeight="1"/>
    <x:row r="230" ht="14.25" customHeight="1"/>
    <x:row r="231" ht="14.25" customHeight="1"/>
    <x:row r="232" ht="14.25" customHeight="1"/>
    <x:row r="233" ht="14.25" customHeight="1"/>
    <x:row r="234" ht="14.25" customHeight="1"/>
    <x:row r="235" ht="14.25" customHeight="1"/>
    <x:row r="236" ht="14.25" customHeight="1"/>
    <x:row r="237" ht="14.25" customHeight="1"/>
    <x:row r="238" ht="14.25" customHeight="1"/>
    <x:row r="239" ht="14.25" customHeight="1"/>
    <x:row r="240" ht="14.25" customHeight="1"/>
    <x:row r="241" ht="14.25" customHeight="1"/>
    <x:row r="242" ht="14.25" customHeight="1"/>
    <x:row r="243" ht="14.25" customHeight="1"/>
    <x:row r="244" ht="14.25" customHeight="1"/>
    <x:row r="245" ht="14.25" customHeight="1"/>
    <x:row r="246" ht="14.25" customHeight="1"/>
    <x:row r="247" ht="14.25" customHeight="1"/>
    <x:row r="248" ht="14.25" customHeight="1"/>
    <x:row r="249" ht="14.25" customHeight="1"/>
    <x:row r="250" ht="14.25" customHeight="1"/>
    <x:row r="251" ht="14.25" customHeight="1"/>
    <x:row r="252" ht="14.25" customHeight="1"/>
    <x:row r="253" ht="14.25" customHeight="1"/>
    <x:row r="254" ht="14.25" customHeight="1"/>
    <x:row r="255" ht="14.25" customHeight="1"/>
    <x:row r="256" ht="14.25" customHeight="1"/>
    <x:row r="257" ht="14.25" customHeight="1"/>
    <x:row r="258" ht="14.25" customHeight="1"/>
    <x:row r="259" ht="14.25" customHeight="1"/>
    <x:row r="260" ht="14.25" customHeight="1"/>
    <x:row r="261" ht="14.25" customHeight="1"/>
    <x:row r="262" ht="14.25" customHeight="1"/>
    <x:row r="263" ht="14.25" customHeight="1"/>
    <x:row r="264" ht="14.25" customHeight="1"/>
    <x:row r="265" ht="14.25" customHeight="1"/>
    <x:row r="266" ht="14.25" customHeight="1"/>
    <x:row r="267" ht="14.25" customHeight="1"/>
    <x:row r="268" ht="14.25" customHeight="1"/>
    <x:row r="269" ht="14.25" customHeight="1"/>
    <x:row r="270" ht="14.25" customHeight="1"/>
    <x:row r="271" ht="14.25" customHeight="1"/>
    <x:row r="272" ht="14.25" customHeight="1"/>
    <x:row r="273" ht="14.25" customHeight="1"/>
    <x:row r="274" ht="14.25" customHeight="1"/>
    <x:row r="275" ht="14.25" customHeight="1"/>
    <x:row r="276" ht="14.25" customHeight="1"/>
    <x:row r="277" ht="14.25" customHeight="1"/>
    <x:row r="278" ht="14.25" customHeight="1"/>
    <x:row r="279" ht="14.25" customHeight="1"/>
    <x:row r="280" ht="14.25" customHeight="1"/>
    <x:row r="281" ht="14.25" customHeight="1"/>
    <x:row r="282" ht="14.25" customHeight="1"/>
    <x:row r="283" ht="14.25" customHeight="1"/>
    <x:row r="284" ht="14.25" customHeight="1"/>
    <x:row r="285" ht="14.25" customHeight="1"/>
    <x:row r="286" ht="14.25" customHeight="1"/>
    <x:row r="287" ht="14.25" customHeight="1"/>
    <x:row r="288" ht="14.25" customHeight="1"/>
    <x:row r="289" ht="14.25" customHeight="1"/>
    <x:row r="290" ht="14.25" customHeight="1"/>
    <x:row r="291" ht="14.25" customHeight="1"/>
    <x:row r="292" ht="14.25" customHeight="1"/>
    <x:row r="293" ht="14.25" customHeight="1"/>
    <x:row r="294" ht="14.25" customHeight="1"/>
    <x:row r="295" ht="14.25" customHeight="1"/>
    <x:row r="296" ht="14.25" customHeight="1"/>
    <x:row r="297" ht="14.25" customHeight="1"/>
    <x:row r="298" ht="14.25" customHeight="1"/>
    <x:row r="299" ht="14.25" customHeight="1"/>
    <x:row r="300" ht="14.25" customHeight="1"/>
    <x:row r="301" ht="14.25" customHeight="1"/>
    <x:row r="302" ht="14.25" customHeight="1"/>
    <x:row r="303" ht="14.25" customHeight="1"/>
    <x:row r="304" ht="14.25" customHeight="1"/>
    <x:row r="305" ht="14.25" customHeight="1"/>
    <x:row r="306" ht="14.25" customHeight="1"/>
    <x:row r="307" ht="14.25" customHeight="1"/>
    <x:row r="308" ht="14.25" customHeight="1"/>
    <x:row r="309" ht="14.25" customHeight="1"/>
    <x:row r="310" ht="14.25" customHeight="1"/>
    <x:row r="311" ht="14.25" customHeight="1"/>
    <x:row r="312" ht="14.25" customHeight="1"/>
    <x:row r="313" ht="14.25" customHeight="1"/>
    <x:row r="314" ht="14.25" customHeight="1"/>
    <x:row r="315" ht="14.25" customHeight="1"/>
    <x:row r="316" ht="14.25" customHeight="1"/>
    <x:row r="317" ht="14.25" customHeight="1"/>
    <x:row r="318" ht="14.25" customHeight="1"/>
    <x:row r="319" ht="14.25" customHeight="1"/>
    <x:row r="320" ht="14.25" customHeight="1"/>
    <x:row r="321" ht="14.25" customHeight="1"/>
    <x:row r="322" ht="14.25" customHeight="1"/>
    <x:row r="323" ht="14.25" customHeight="1"/>
    <x:row r="324" ht="14.25" customHeight="1"/>
    <x:row r="325" ht="14.25" customHeight="1"/>
    <x:row r="326" ht="14.25" customHeight="1"/>
    <x:row r="327" ht="14.25" customHeight="1"/>
    <x:row r="328" ht="14.25" customHeight="1"/>
    <x:row r="329" ht="14.25" customHeight="1"/>
    <x:row r="330" ht="14.25" customHeight="1"/>
    <x:row r="331" ht="14.25" customHeight="1"/>
    <x:row r="332" ht="14.25" customHeight="1"/>
    <x:row r="333" ht="14.25" customHeight="1"/>
    <x:row r="334" ht="14.25" customHeight="1"/>
    <x:row r="335" ht="14.25" customHeight="1"/>
    <x:row r="336" ht="14.25" customHeight="1"/>
    <x:row r="337" ht="14.25" customHeight="1"/>
    <x:row r="338" ht="14.25" customHeight="1"/>
    <x:row r="339" ht="14.25" customHeight="1"/>
    <x:row r="340" ht="14.25" customHeight="1"/>
    <x:row r="341" ht="14.25" customHeight="1"/>
    <x:row r="342" ht="14.25" customHeight="1"/>
    <x:row r="343" ht="14.25" customHeight="1"/>
    <x:row r="344" ht="14.25" customHeight="1"/>
    <x:row r="345" ht="14.25" customHeight="1"/>
    <x:row r="346" ht="14.25" customHeight="1"/>
    <x:row r="347" ht="14.25" customHeight="1"/>
    <x:row r="348" ht="14.25" customHeight="1"/>
    <x:row r="349" ht="14.25" customHeight="1"/>
    <x:row r="350" ht="14.25" customHeight="1"/>
    <x:row r="351" ht="14.25" customHeight="1"/>
    <x:row r="352" ht="14.25" customHeight="1"/>
    <x:row r="353" ht="14.25" customHeight="1"/>
    <x:row r="354" ht="14.25" customHeight="1"/>
    <x:row r="355" ht="14.25" customHeight="1"/>
    <x:row r="356" ht="14.25" customHeight="1"/>
    <x:row r="357" ht="14.25" customHeight="1"/>
    <x:row r="358" ht="14.25" customHeight="1"/>
    <x:row r="359" ht="14.25" customHeight="1"/>
    <x:row r="360" ht="14.25" customHeight="1"/>
    <x:row r="361" ht="14.25" customHeight="1"/>
    <x:row r="362" ht="14.25" customHeight="1"/>
    <x:row r="363" ht="14.25" customHeight="1"/>
    <x:row r="364" ht="14.25" customHeight="1"/>
    <x:row r="365" ht="14.25" customHeight="1"/>
    <x:row r="366" ht="14.25" customHeight="1"/>
    <x:row r="367" ht="14.25" customHeight="1"/>
    <x:row r="368" ht="14.25" customHeight="1"/>
    <x:row r="369" ht="14.25" customHeight="1"/>
    <x:row r="370" ht="14.25" customHeight="1"/>
    <x:row r="371" ht="14.25" customHeight="1"/>
    <x:row r="372" ht="14.25" customHeight="1"/>
    <x:row r="373" ht="14.25" customHeight="1"/>
    <x:row r="374" ht="14.25" customHeight="1"/>
    <x:row r="375" ht="14.25" customHeight="1"/>
    <x:row r="376" ht="14.25" customHeight="1"/>
    <x:row r="377" ht="14.25" customHeight="1"/>
    <x:row r="378" ht="14.25" customHeight="1"/>
    <x:row r="379" ht="14.25" customHeight="1"/>
    <x:row r="380" ht="14.25" customHeight="1"/>
    <x:row r="381" ht="14.25" customHeight="1"/>
    <x:row r="382" ht="14.25" customHeight="1"/>
    <x:row r="383" ht="14.25" customHeight="1"/>
    <x:row r="384" ht="14.25" customHeight="1"/>
    <x:row r="385" ht="14.25" customHeight="1"/>
    <x:row r="386" ht="14.25" customHeight="1"/>
    <x:row r="387" ht="14.25" customHeight="1"/>
    <x:row r="388" ht="14.25" customHeight="1"/>
    <x:row r="389" ht="14.25" customHeight="1"/>
    <x:row r="390" ht="14.25" customHeight="1"/>
    <x:row r="391" ht="14.25" customHeight="1"/>
    <x:row r="392" ht="14.25" customHeight="1"/>
    <x:row r="393" ht="14.25" customHeight="1"/>
    <x:row r="394" ht="14.25" customHeight="1"/>
    <x:row r="395" ht="14.25" customHeight="1"/>
    <x:row r="396" ht="14.25" customHeight="1"/>
    <x:row r="397" ht="14.25" customHeight="1"/>
    <x:row r="398" ht="14.25" customHeight="1"/>
    <x:row r="399" ht="14.25" customHeight="1"/>
    <x:row r="400" ht="14.25" customHeight="1"/>
    <x:row r="401" ht="14.25" customHeight="1"/>
    <x:row r="402" ht="14.25" customHeight="1"/>
    <x:row r="403" ht="14.25" customHeight="1"/>
    <x:row r="404" ht="14.25" customHeight="1"/>
    <x:row r="405" ht="14.25" customHeight="1"/>
    <x:row r="406" ht="14.25" customHeight="1"/>
    <x:row r="407" ht="14.25" customHeight="1"/>
    <x:row r="408" ht="14.25" customHeight="1"/>
    <x:row r="409" ht="14.25" customHeight="1"/>
    <x:row r="410" ht="14.25" customHeight="1"/>
    <x:row r="411" ht="14.25" customHeight="1"/>
    <x:row r="412" ht="14.25" customHeight="1"/>
    <x:row r="413" ht="14.25" customHeight="1"/>
    <x:row r="414" ht="14.25" customHeight="1"/>
    <x:row r="415" ht="14.25" customHeight="1"/>
    <x:row r="416" ht="14.25" customHeight="1"/>
    <x:row r="417" ht="14.25" customHeight="1"/>
    <x:row r="418" ht="14.25" customHeight="1"/>
    <x:row r="419" ht="14.25" customHeight="1"/>
    <x:row r="420" ht="14.25" customHeight="1"/>
    <x:row r="421" ht="14.25" customHeight="1"/>
    <x:row r="422" ht="14.25" customHeight="1"/>
    <x:row r="423" ht="14.25" customHeight="1"/>
    <x:row r="424" ht="14.25" customHeight="1"/>
    <x:row r="425" ht="14.25" customHeight="1"/>
    <x:row r="426" ht="14.25" customHeight="1"/>
    <x:row r="427" ht="14.25" customHeight="1"/>
    <x:row r="428" ht="14.25" customHeight="1"/>
    <x:row r="429" ht="14.25" customHeight="1"/>
    <x:row r="430" ht="14.25" customHeight="1"/>
    <x:row r="431" ht="14.25" customHeight="1"/>
    <x:row r="432" ht="14.25" customHeight="1"/>
    <x:row r="433" ht="14.25" customHeight="1"/>
    <x:row r="434" ht="14.25" customHeight="1"/>
    <x:row r="435" ht="14.25" customHeight="1"/>
    <x:row r="436" ht="14.25" customHeight="1"/>
    <x:row r="437" ht="14.25" customHeight="1"/>
    <x:row r="438" ht="14.25" customHeight="1"/>
    <x:row r="439" ht="14.25" customHeight="1"/>
    <x:row r="440" ht="14.25" customHeight="1"/>
    <x:row r="441" ht="14.25" customHeight="1"/>
    <x:row r="442" ht="14.25" customHeight="1"/>
    <x:row r="443" ht="14.25" customHeight="1"/>
    <x:row r="444" ht="14.25" customHeight="1"/>
    <x:row r="445" ht="14.25" customHeight="1"/>
    <x:row r="446" ht="14.25" customHeight="1"/>
    <x:row r="447" ht="14.25" customHeight="1"/>
    <x:row r="448" ht="14.25" customHeight="1"/>
    <x:row r="449" ht="14.25" customHeight="1"/>
    <x:row r="450" ht="14.25" customHeight="1"/>
    <x:row r="451" ht="14.25" customHeight="1"/>
    <x:row r="452" ht="14.25" customHeight="1"/>
    <x:row r="453" ht="14.25" customHeight="1"/>
    <x:row r="454" ht="14.25" customHeight="1"/>
    <x:row r="455" ht="14.25" customHeight="1"/>
    <x:row r="456" ht="14.25" customHeight="1"/>
    <x:row r="457" ht="14.25" customHeight="1"/>
    <x:row r="458" ht="14.25" customHeight="1"/>
    <x:row r="459" ht="14.25" customHeight="1"/>
    <x:row r="460" ht="14.25" customHeight="1"/>
    <x:row r="461" ht="14.25" customHeight="1"/>
    <x:row r="462" ht="14.25" customHeight="1"/>
    <x:row r="463" ht="14.25" customHeight="1"/>
    <x:row r="464" ht="14.25" customHeight="1"/>
    <x:row r="465" ht="14.25" customHeight="1"/>
    <x:row r="466" ht="14.25" customHeight="1"/>
    <x:row r="467" ht="14.25" customHeight="1"/>
    <x:row r="468" ht="14.25" customHeight="1"/>
    <x:row r="469" ht="14.25" customHeight="1"/>
    <x:row r="470" ht="14.25" customHeight="1"/>
    <x:row r="471" ht="14.25" customHeight="1"/>
    <x:row r="472" ht="14.25" customHeight="1"/>
    <x:row r="473" ht="14.25" customHeight="1"/>
    <x:row r="474" ht="14.25" customHeight="1"/>
    <x:row r="475" ht="14.25" customHeight="1"/>
    <x:row r="476" ht="14.25" customHeight="1"/>
    <x:row r="477" ht="14.25" customHeight="1"/>
    <x:row r="478" ht="14.25" customHeight="1"/>
    <x:row r="479" ht="14.25" customHeight="1"/>
    <x:row r="480" ht="14.25" customHeight="1"/>
    <x:row r="481" ht="14.25" customHeight="1"/>
    <x:row r="482" ht="14.25" customHeight="1"/>
    <x:row r="483" ht="14.25" customHeight="1"/>
    <x:row r="484" ht="14.25" customHeight="1"/>
    <x:row r="485" ht="14.25" customHeight="1"/>
    <x:row r="486" ht="14.25" customHeight="1"/>
    <x:row r="487" ht="14.25" customHeight="1"/>
    <x:row r="488" ht="14.25" customHeight="1"/>
    <x:row r="489" ht="14.25" customHeight="1"/>
    <x:row r="490" ht="14.25" customHeight="1"/>
    <x:row r="491" ht="14.25" customHeight="1"/>
    <x:row r="492" ht="14.25" customHeight="1"/>
    <x:row r="493" ht="14.25" customHeight="1"/>
    <x:row r="494" ht="14.25" customHeight="1"/>
    <x:row r="495" ht="14.25" customHeight="1"/>
    <x:row r="496" ht="14.25" customHeight="1"/>
    <x:row r="497" ht="14.25" customHeight="1"/>
    <x:row r="498" ht="14.25" customHeight="1"/>
    <x:row r="499" ht="14.25" customHeight="1"/>
    <x:row r="500" ht="14.25" customHeight="1"/>
    <x:row r="501" ht="14.25" customHeight="1"/>
    <x:row r="502" ht="14.25" customHeight="1"/>
    <x:row r="503" ht="14.25" customHeight="1"/>
    <x:row r="504" ht="14.25" customHeight="1"/>
    <x:row r="505" ht="14.25" customHeight="1"/>
    <x:row r="506" ht="14.25" customHeight="1"/>
    <x:row r="507" ht="14.25" customHeight="1"/>
    <x:row r="508" ht="14.25" customHeight="1"/>
    <x:row r="509" ht="14.25" customHeight="1"/>
    <x:row r="510" ht="14.25" customHeight="1"/>
    <x:row r="511" ht="14.25" customHeight="1"/>
    <x:row r="512" ht="14.25" customHeight="1"/>
    <x:row r="513" ht="14.25" customHeight="1"/>
    <x:row r="514" ht="14.25" customHeight="1"/>
    <x:row r="515" ht="14.25" customHeight="1"/>
    <x:row r="516" ht="14.25" customHeight="1"/>
    <x:row r="517" ht="14.25" customHeight="1"/>
    <x:row r="518" ht="14.25" customHeight="1"/>
    <x:row r="519" ht="14.25" customHeight="1"/>
    <x:row r="520" ht="14.25" customHeight="1"/>
    <x:row r="521" ht="14.25" customHeight="1"/>
    <x:row r="522" ht="14.25" customHeight="1"/>
    <x:row r="523" ht="14.25" customHeight="1"/>
    <x:row r="524" ht="14.25" customHeight="1"/>
    <x:row r="525" ht="14.25" customHeight="1"/>
    <x:row r="526" ht="14.25" customHeight="1"/>
    <x:row r="527" ht="14.25" customHeight="1"/>
    <x:row r="528" ht="14.25" customHeight="1"/>
    <x:row r="529" ht="14.25" customHeight="1"/>
    <x:row r="530" ht="14.25" customHeight="1"/>
    <x:row r="531" ht="14.25" customHeight="1"/>
    <x:row r="532" ht="14.25" customHeight="1"/>
    <x:row r="533" ht="14.25" customHeight="1"/>
    <x:row r="534" ht="14.25" customHeight="1"/>
    <x:row r="535" ht="14.25" customHeight="1"/>
    <x:row r="536" ht="14.25" customHeight="1"/>
    <x:row r="537" ht="14.25" customHeight="1"/>
    <x:row r="538" ht="14.25" customHeight="1"/>
    <x:row r="539" ht="14.25" customHeight="1"/>
    <x:row r="540" ht="14.25" customHeight="1"/>
    <x:row r="541" ht="14.25" customHeight="1"/>
    <x:row r="542" ht="14.25" customHeight="1"/>
    <x:row r="543" ht="14.25" customHeight="1"/>
    <x:row r="544" ht="14.25" customHeight="1"/>
    <x:row r="545" ht="14.25" customHeight="1"/>
    <x:row r="546" ht="14.25" customHeight="1"/>
    <x:row r="547" ht="14.25" customHeight="1"/>
    <x:row r="548" ht="14.25" customHeight="1"/>
    <x:row r="549" ht="14.25" customHeight="1"/>
    <x:row r="550" ht="14.25" customHeight="1"/>
    <x:row r="551" ht="14.25" customHeight="1"/>
    <x:row r="552" ht="14.25" customHeight="1"/>
    <x:row r="553" ht="14.25" customHeight="1"/>
    <x:row r="554" ht="14.25" customHeight="1"/>
    <x:row r="555" ht="14.25" customHeight="1"/>
    <x:row r="556" ht="14.25" customHeight="1"/>
    <x:row r="557" ht="14.25" customHeight="1"/>
    <x:row r="558" ht="14.25" customHeight="1"/>
    <x:row r="559" ht="14.25" customHeight="1"/>
    <x:row r="560" ht="14.25" customHeight="1"/>
    <x:row r="561" ht="14.25" customHeight="1"/>
    <x:row r="562" ht="14.25" customHeight="1"/>
    <x:row r="563" ht="14.25" customHeight="1"/>
    <x:row r="564" ht="14.25" customHeight="1"/>
    <x:row r="565" ht="14.25" customHeight="1"/>
    <x:row r="566" ht="14.25" customHeight="1"/>
    <x:row r="567" ht="14.25" customHeight="1"/>
    <x:row r="568" ht="14.25" customHeight="1"/>
    <x:row r="569" ht="14.25" customHeight="1"/>
    <x:row r="570" ht="14.25" customHeight="1"/>
    <x:row r="571" ht="14.25" customHeight="1"/>
    <x:row r="572" ht="14.25" customHeight="1"/>
    <x:row r="573" ht="14.25" customHeight="1"/>
    <x:row r="574" ht="14.25" customHeight="1"/>
    <x:row r="575" ht="14.25" customHeight="1"/>
    <x:row r="576" ht="14.25" customHeight="1"/>
    <x:row r="577" ht="14.25" customHeight="1"/>
    <x:row r="578" ht="14.25" customHeight="1"/>
    <x:row r="579" ht="14.25" customHeight="1"/>
    <x:row r="580" ht="14.25" customHeight="1"/>
    <x:row r="581" ht="14.25" customHeight="1"/>
    <x:row r="582" ht="14.25" customHeight="1"/>
    <x:row r="583" ht="14.25" customHeight="1"/>
    <x:row r="584" ht="14.25" customHeight="1"/>
    <x:row r="585" ht="14.25" customHeight="1"/>
    <x:row r="586" ht="14.25" customHeight="1"/>
    <x:row r="587" ht="14.25" customHeight="1"/>
    <x:row r="588" ht="14.25" customHeight="1"/>
    <x:row r="589" ht="14.25" customHeight="1"/>
    <x:row r="590" ht="14.25" customHeight="1"/>
    <x:row r="591" ht="14.25" customHeight="1"/>
    <x:row r="592" ht="14.25" customHeight="1"/>
    <x:row r="593" ht="14.25" customHeight="1"/>
    <x:row r="594" ht="14.25" customHeight="1"/>
    <x:row r="595" ht="14.25" customHeight="1"/>
    <x:row r="596" ht="14.25" customHeight="1"/>
    <x:row r="597" ht="14.25" customHeight="1"/>
    <x:row r="598" ht="14.25" customHeight="1"/>
    <x:row r="599" ht="14.25" customHeight="1"/>
    <x:row r="600" ht="14.25" customHeight="1"/>
    <x:row r="601" ht="14.25" customHeight="1"/>
    <x:row r="602" ht="14.25" customHeight="1"/>
    <x:row r="603" ht="14.25" customHeight="1"/>
    <x:row r="604" ht="14.25" customHeight="1"/>
    <x:row r="605" ht="14.25" customHeight="1"/>
    <x:row r="606" ht="14.25" customHeight="1"/>
    <x:row r="607" ht="14.25" customHeight="1"/>
    <x:row r="608" ht="14.25" customHeight="1"/>
    <x:row r="609" ht="14.25" customHeight="1"/>
    <x:row r="610" ht="14.25" customHeight="1"/>
    <x:row r="611" ht="14.25" customHeight="1"/>
    <x:row r="612" ht="14.25" customHeight="1"/>
    <x:row r="613" ht="14.25" customHeight="1"/>
    <x:row r="614" ht="14.25" customHeight="1"/>
    <x:row r="615" ht="14.25" customHeight="1"/>
    <x:row r="616" ht="14.25" customHeight="1"/>
    <x:row r="617" ht="14.25" customHeight="1"/>
    <x:row r="618" ht="14.25" customHeight="1"/>
    <x:row r="619" ht="14.25" customHeight="1"/>
    <x:row r="620" ht="14.25" customHeight="1"/>
    <x:row r="621" ht="14.25" customHeight="1"/>
    <x:row r="622" ht="14.25" customHeight="1"/>
    <x:row r="623" ht="14.25" customHeight="1"/>
    <x:row r="624" ht="14.25" customHeight="1"/>
    <x:row r="625" ht="14.25" customHeight="1"/>
    <x:row r="626" ht="14.25" customHeight="1"/>
    <x:row r="627" ht="14.25" customHeight="1"/>
    <x:row r="628" ht="14.25" customHeight="1"/>
    <x:row r="629" ht="14.25" customHeight="1"/>
    <x:row r="630" ht="14.25" customHeight="1"/>
    <x:row r="631" ht="14.25" customHeight="1"/>
    <x:row r="632" ht="14.25" customHeight="1"/>
    <x:row r="633" ht="14.25" customHeight="1"/>
    <x:row r="634" ht="14.25" customHeight="1"/>
    <x:row r="635" ht="14.25" customHeight="1"/>
    <x:row r="636" ht="14.25" customHeight="1"/>
    <x:row r="637" ht="14.25" customHeight="1"/>
    <x:row r="638" ht="14.25" customHeight="1"/>
    <x:row r="639" ht="14.25" customHeight="1"/>
    <x:row r="640" ht="14.25" customHeight="1"/>
    <x:row r="641" ht="14.25" customHeight="1"/>
    <x:row r="642" ht="14.25" customHeight="1"/>
    <x:row r="643" ht="14.25" customHeight="1"/>
    <x:row r="644" ht="14.25" customHeight="1"/>
    <x:row r="645" ht="14.25" customHeight="1"/>
    <x:row r="646" ht="14.25" customHeight="1"/>
    <x:row r="647" ht="14.25" customHeight="1"/>
    <x:row r="648" ht="14.25" customHeight="1"/>
    <x:row r="649" ht="14.25" customHeight="1"/>
    <x:row r="650" ht="14.25" customHeight="1"/>
    <x:row r="651" ht="14.25" customHeight="1"/>
    <x:row r="652" ht="14.25" customHeight="1"/>
    <x:row r="653" ht="14.25" customHeight="1"/>
    <x:row r="654" ht="14.25" customHeight="1"/>
    <x:row r="655" ht="14.25" customHeight="1"/>
    <x:row r="656" ht="14.25" customHeight="1"/>
    <x:row r="657" ht="14.25" customHeight="1"/>
    <x:row r="658" ht="14.25" customHeight="1"/>
    <x:row r="659" ht="14.25" customHeight="1"/>
    <x:row r="660" ht="14.25" customHeight="1"/>
    <x:row r="661" ht="14.25" customHeight="1"/>
    <x:row r="662" ht="14.25" customHeight="1"/>
    <x:row r="663" ht="14.25" customHeight="1"/>
    <x:row r="664" ht="14.25" customHeight="1"/>
    <x:row r="665" ht="14.25" customHeight="1"/>
    <x:row r="666" ht="14.25" customHeight="1"/>
    <x:row r="667" ht="14.25" customHeight="1"/>
    <x:row r="668" ht="14.25" customHeight="1"/>
    <x:row r="669" ht="14.25" customHeight="1"/>
    <x:row r="670" ht="14.25" customHeight="1"/>
    <x:row r="671" ht="14.25" customHeight="1"/>
    <x:row r="672" ht="14.25" customHeight="1"/>
    <x:row r="673" ht="14.25" customHeight="1"/>
    <x:row r="674" ht="14.25" customHeight="1"/>
    <x:row r="675" ht="14.25" customHeight="1"/>
    <x:row r="676" ht="14.25" customHeight="1"/>
    <x:row r="677" ht="14.25" customHeight="1"/>
    <x:row r="678" ht="14.25" customHeight="1"/>
    <x:row r="679" ht="14.25" customHeight="1"/>
    <x:row r="680" ht="14.25" customHeight="1"/>
    <x:row r="681" ht="14.25" customHeight="1"/>
    <x:row r="682" ht="14.25" customHeight="1"/>
    <x:row r="683" ht="14.25" customHeight="1"/>
    <x:row r="684" ht="14.25" customHeight="1"/>
    <x:row r="685" ht="14.25" customHeight="1"/>
    <x:row r="686" ht="14.25" customHeight="1"/>
    <x:row r="687" ht="14.25" customHeight="1"/>
    <x:row r="688" ht="14.25" customHeight="1"/>
    <x:row r="689" ht="14.25" customHeight="1"/>
    <x:row r="690" ht="14.25" customHeight="1"/>
    <x:row r="691" ht="14.25" customHeight="1"/>
    <x:row r="692" ht="14.25" customHeight="1"/>
    <x:row r="693" ht="14.25" customHeight="1"/>
    <x:row r="694" ht="14.25" customHeight="1"/>
    <x:row r="695" ht="14.25" customHeight="1"/>
    <x:row r="696" ht="14.25" customHeight="1"/>
    <x:row r="697" ht="14.25" customHeight="1"/>
    <x:row r="698" ht="14.25" customHeight="1"/>
    <x:row r="699" ht="14.25" customHeight="1"/>
    <x:row r="700" ht="14.25" customHeight="1"/>
    <x:row r="701" ht="14.25" customHeight="1"/>
    <x:row r="702" ht="14.25" customHeight="1"/>
    <x:row r="703" ht="14.25" customHeight="1"/>
    <x:row r="704" ht="14.25" customHeight="1"/>
    <x:row r="705" ht="14.25" customHeight="1"/>
    <x:row r="706" ht="14.25" customHeight="1"/>
    <x:row r="707" ht="14.25" customHeight="1"/>
    <x:row r="708" ht="14.25" customHeight="1"/>
    <x:row r="709" ht="14.25" customHeight="1"/>
    <x:row r="710" ht="14.25" customHeight="1"/>
    <x:row r="711" ht="14.25" customHeight="1"/>
    <x:row r="712" ht="14.25" customHeight="1"/>
    <x:row r="713" ht="14.25" customHeight="1"/>
    <x:row r="714" ht="14.25" customHeight="1"/>
    <x:row r="715" ht="14.25" customHeight="1"/>
    <x:row r="716" ht="14.25" customHeight="1"/>
    <x:row r="717" ht="14.25" customHeight="1"/>
    <x:row r="718" ht="14.25" customHeight="1"/>
    <x:row r="719" ht="14.25" customHeight="1"/>
    <x:row r="720" ht="14.25" customHeight="1"/>
    <x:row r="721" ht="14.25" customHeight="1"/>
    <x:row r="722" ht="14.25" customHeight="1"/>
    <x:row r="723" ht="14.25" customHeight="1"/>
    <x:row r="724" ht="14.25" customHeight="1"/>
    <x:row r="725" ht="14.25" customHeight="1"/>
    <x:row r="726" ht="14.25" customHeight="1"/>
    <x:row r="727" ht="14.25" customHeight="1"/>
    <x:row r="728" ht="14.25" customHeight="1"/>
    <x:row r="729" ht="14.25" customHeight="1"/>
    <x:row r="730" ht="14.25" customHeight="1"/>
    <x:row r="731" ht="14.25" customHeight="1"/>
    <x:row r="732" ht="14.25" customHeight="1"/>
    <x:row r="733" ht="14.25" customHeight="1"/>
    <x:row r="734" ht="14.25" customHeight="1"/>
    <x:row r="735" ht="14.25" customHeight="1"/>
    <x:row r="736" ht="14.25" customHeight="1"/>
    <x:row r="737" ht="14.25" customHeight="1"/>
    <x:row r="738" ht="14.25" customHeight="1"/>
    <x:row r="739" ht="14.25" customHeight="1"/>
    <x:row r="740" ht="14.25" customHeight="1"/>
    <x:row r="741" ht="14.25" customHeight="1"/>
    <x:row r="742" ht="14.25" customHeight="1"/>
    <x:row r="743" ht="14.25" customHeight="1"/>
    <x:row r="744" ht="14.25" customHeight="1"/>
    <x:row r="745" ht="14.25" customHeight="1"/>
    <x:row r="746" ht="14.25" customHeight="1"/>
    <x:row r="747" ht="14.25" customHeight="1"/>
    <x:row r="748" ht="14.25" customHeight="1"/>
    <x:row r="749" ht="14.25" customHeight="1"/>
    <x:row r="750" ht="14.25" customHeight="1"/>
    <x:row r="751" ht="14.25" customHeight="1"/>
    <x:row r="752" ht="14.25" customHeight="1"/>
    <x:row r="753" ht="14.25" customHeight="1"/>
    <x:row r="754" ht="14.25" customHeight="1"/>
    <x:row r="755" ht="14.25" customHeight="1"/>
    <x:row r="756" ht="14.25" customHeight="1"/>
    <x:row r="757" ht="14.25" customHeight="1"/>
    <x:row r="758" ht="14.25" customHeight="1"/>
    <x:row r="759" ht="14.25" customHeight="1"/>
    <x:row r="760" ht="14.25" customHeight="1"/>
    <x:row r="761" ht="14.25" customHeight="1"/>
    <x:row r="762" ht="14.25" customHeight="1"/>
    <x:row r="763" ht="14.25" customHeight="1"/>
    <x:row r="764" ht="14.25" customHeight="1"/>
    <x:row r="765" ht="14.25" customHeight="1"/>
    <x:row r="766" ht="14.25" customHeight="1"/>
    <x:row r="767" ht="14.25" customHeight="1"/>
    <x:row r="768" ht="14.25" customHeight="1"/>
    <x:row r="769" ht="14.25" customHeight="1"/>
    <x:row r="770" ht="14.25" customHeight="1"/>
    <x:row r="771" ht="14.25" customHeight="1"/>
    <x:row r="772" ht="14.25" customHeight="1"/>
    <x:row r="773" ht="14.25" customHeight="1"/>
    <x:row r="774" ht="14.25" customHeight="1"/>
    <x:row r="775" ht="14.25" customHeight="1"/>
    <x:row r="776" ht="14.25" customHeight="1"/>
    <x:row r="777" ht="14.25" customHeight="1"/>
    <x:row r="778" ht="14.25" customHeight="1"/>
    <x:row r="779" ht="14.25" customHeight="1"/>
    <x:row r="780" ht="14.25" customHeight="1"/>
    <x:row r="781" ht="14.25" customHeight="1"/>
    <x:row r="782" ht="14.25" customHeight="1"/>
    <x:row r="783" ht="14.25" customHeight="1"/>
    <x:row r="784" ht="14.25" customHeight="1"/>
    <x:row r="785" ht="14.25" customHeight="1"/>
    <x:row r="786" ht="14.25" customHeight="1"/>
    <x:row r="787" ht="14.25" customHeight="1"/>
    <x:row r="788" ht="14.25" customHeight="1"/>
    <x:row r="789" ht="14.25" customHeight="1"/>
    <x:row r="790" ht="14.25" customHeight="1"/>
    <x:row r="791" ht="14.25" customHeight="1"/>
    <x:row r="792" ht="14.25" customHeight="1"/>
    <x:row r="793" ht="14.25" customHeight="1"/>
    <x:row r="794" ht="14.25" customHeight="1"/>
    <x:row r="795" ht="14.25" customHeight="1"/>
    <x:row r="796" ht="14.25" customHeight="1"/>
    <x:row r="797" ht="14.25" customHeight="1"/>
    <x:row r="798" ht="14.25" customHeight="1"/>
    <x:row r="799" ht="14.25" customHeight="1"/>
    <x:row r="800" ht="14.25" customHeight="1"/>
    <x:row r="801" ht="14.25" customHeight="1"/>
    <x:row r="802" ht="14.25" customHeight="1"/>
    <x:row r="803" ht="14.25" customHeight="1"/>
    <x:row r="804" ht="14.25" customHeight="1"/>
    <x:row r="805" ht="14.25" customHeight="1"/>
    <x:row r="806" ht="14.25" customHeight="1"/>
    <x:row r="807" ht="14.25" customHeight="1"/>
    <x:row r="808" ht="14.25" customHeight="1"/>
    <x:row r="809" ht="14.25" customHeight="1"/>
    <x:row r="810" ht="14.25" customHeight="1"/>
    <x:row r="811" ht="14.25" customHeight="1"/>
    <x:row r="812" ht="14.25" customHeight="1"/>
    <x:row r="813" ht="14.25" customHeight="1"/>
    <x:row r="814" ht="14.25" customHeight="1"/>
    <x:row r="815" ht="14.25" customHeight="1"/>
    <x:row r="816" ht="14.25" customHeight="1"/>
    <x:row r="817" ht="14.25" customHeight="1"/>
    <x:row r="818" ht="14.25" customHeight="1"/>
    <x:row r="819" ht="14.25" customHeight="1"/>
    <x:row r="820" ht="14.25" customHeight="1"/>
    <x:row r="821" ht="14.25" customHeight="1"/>
    <x:row r="822" ht="14.25" customHeight="1"/>
    <x:row r="823" ht="14.25" customHeight="1"/>
    <x:row r="824" ht="14.25" customHeight="1"/>
    <x:row r="825" ht="14.25" customHeight="1"/>
    <x:row r="826" ht="14.25" customHeight="1"/>
    <x:row r="827" ht="14.25" customHeight="1"/>
    <x:row r="828" ht="14.25" customHeight="1"/>
    <x:row r="829" ht="14.25" customHeight="1"/>
    <x:row r="830" ht="14.25" customHeight="1"/>
    <x:row r="831" ht="14.25" customHeight="1"/>
    <x:row r="832" ht="14.25" customHeight="1"/>
    <x:row r="833" ht="14.25" customHeight="1"/>
    <x:row r="834" ht="14.25" customHeight="1"/>
    <x:row r="835" ht="14.25" customHeight="1"/>
    <x:row r="836" ht="14.25" customHeight="1"/>
    <x:row r="837" ht="14.25" customHeight="1"/>
    <x:row r="838" ht="14.25" customHeight="1"/>
    <x:row r="839" ht="14.25" customHeight="1"/>
    <x:row r="840" ht="14.25" customHeight="1"/>
    <x:row r="841" ht="14.25" customHeight="1"/>
    <x:row r="842" ht="14.25" customHeight="1"/>
    <x:row r="843" ht="14.25" customHeight="1"/>
    <x:row r="844" ht="14.25" customHeight="1"/>
    <x:row r="845" ht="14.25" customHeight="1"/>
    <x:row r="846" ht="14.25" customHeight="1"/>
    <x:row r="847" ht="14.25" customHeight="1"/>
    <x:row r="848" ht="14.25" customHeight="1"/>
    <x:row r="849" ht="14.25" customHeight="1"/>
    <x:row r="850" ht="14.25" customHeight="1"/>
    <x:row r="851" ht="14.25" customHeight="1"/>
    <x:row r="852" ht="14.25" customHeight="1"/>
    <x:row r="853" ht="14.25" customHeight="1"/>
    <x:row r="854" ht="14.25" customHeight="1"/>
    <x:row r="855" ht="14.25" customHeight="1"/>
    <x:row r="856" ht="14.25" customHeight="1"/>
    <x:row r="857" ht="14.25" customHeight="1"/>
    <x:row r="858" ht="14.25" customHeight="1"/>
    <x:row r="859" ht="14.25" customHeight="1"/>
    <x:row r="860" ht="14.25" customHeight="1"/>
    <x:row r="861" ht="14.25" customHeight="1"/>
    <x:row r="862" ht="14.25" customHeight="1"/>
    <x:row r="863" ht="14.25" customHeight="1"/>
    <x:row r="864" ht="14.25" customHeight="1"/>
    <x:row r="865" ht="14.25" customHeight="1"/>
    <x:row r="866" ht="14.25" customHeight="1"/>
    <x:row r="867" ht="14.25" customHeight="1"/>
    <x:row r="868" ht="14.25" customHeight="1"/>
    <x:row r="869" ht="14.25" customHeight="1"/>
    <x:row r="870" ht="14.25" customHeight="1"/>
    <x:row r="871" ht="14.25" customHeight="1"/>
    <x:row r="872" ht="14.25" customHeight="1"/>
    <x:row r="873" ht="14.25" customHeight="1"/>
    <x:row r="874" ht="14.25" customHeight="1"/>
    <x:row r="875" ht="14.25" customHeight="1"/>
    <x:row r="876" ht="14.25" customHeight="1"/>
    <x:row r="877" ht="14.25" customHeight="1"/>
    <x:row r="878" ht="14.25" customHeight="1"/>
    <x:row r="879" ht="14.25" customHeight="1"/>
    <x:row r="880" ht="14.25" customHeight="1"/>
    <x:row r="881" ht="14.25" customHeight="1"/>
    <x:row r="882" ht="14.25" customHeight="1"/>
    <x:row r="883" ht="14.25" customHeight="1"/>
    <x:row r="884" ht="14.25" customHeight="1"/>
    <x:row r="885" ht="14.25" customHeight="1"/>
    <x:row r="886" ht="14.25" customHeight="1"/>
    <x:row r="887" ht="14.25" customHeight="1"/>
    <x:row r="888" ht="14.25" customHeight="1"/>
    <x:row r="889" ht="14.25" customHeight="1"/>
    <x:row r="890" ht="14.25" customHeight="1"/>
    <x:row r="891" ht="14.25" customHeight="1"/>
    <x:row r="892" ht="14.25" customHeight="1"/>
    <x:row r="893" ht="14.25" customHeight="1"/>
    <x:row r="894" ht="14.25" customHeight="1"/>
    <x:row r="895" ht="14.25" customHeight="1"/>
    <x:row r="896" ht="14.25" customHeight="1"/>
    <x:row r="897" ht="14.25" customHeight="1"/>
    <x:row r="898" ht="14.25" customHeight="1"/>
    <x:row r="899" ht="14.25" customHeight="1"/>
    <x:row r="900" ht="14.25" customHeight="1"/>
    <x:row r="901" ht="14.25" customHeight="1"/>
    <x:row r="902" ht="14.25" customHeight="1"/>
    <x:row r="903" ht="14.25" customHeight="1"/>
    <x:row r="904" ht="14.25" customHeight="1"/>
    <x:row r="905" ht="14.25" customHeight="1"/>
    <x:row r="906" ht="14.25" customHeight="1"/>
    <x:row r="907" ht="14.25" customHeight="1"/>
    <x:row r="908" ht="14.25" customHeight="1"/>
    <x:row r="909" ht="14.25" customHeight="1"/>
    <x:row r="910" ht="14.25" customHeight="1"/>
    <x:row r="911" ht="14.25" customHeight="1"/>
    <x:row r="912" ht="14.25" customHeight="1"/>
    <x:row r="913" ht="14.25" customHeight="1"/>
    <x:row r="914" ht="14.25" customHeight="1"/>
    <x:row r="915" ht="14.25" customHeight="1"/>
    <x:row r="916" ht="14.25" customHeight="1"/>
    <x:row r="917" ht="14.25" customHeight="1"/>
    <x:row r="918" ht="14.25" customHeight="1"/>
    <x:row r="919" ht="14.25" customHeight="1"/>
    <x:row r="920" ht="14.25" customHeight="1"/>
    <x:row r="921" ht="14.25" customHeight="1"/>
    <x:row r="922" ht="14.25" customHeight="1"/>
    <x:row r="923" ht="14.25" customHeight="1"/>
    <x:row r="924" ht="14.25" customHeight="1"/>
    <x:row r="925" ht="14.25" customHeight="1"/>
    <x:row r="926" ht="14.25" customHeight="1"/>
    <x:row r="927" ht="14.25" customHeight="1"/>
    <x:row r="928" ht="14.25" customHeight="1"/>
    <x:row r="929" ht="14.25" customHeight="1"/>
    <x:row r="930" ht="14.25" customHeight="1"/>
    <x:row r="931" ht="14.25" customHeight="1"/>
    <x:row r="932" ht="14.25" customHeight="1"/>
    <x:row r="933" ht="14.25" customHeight="1"/>
    <x:row r="934" ht="14.25" customHeight="1"/>
    <x:row r="935" ht="14.25" customHeight="1"/>
    <x:row r="936" ht="14.25" customHeight="1"/>
    <x:row r="937" ht="14.25" customHeight="1"/>
    <x:row r="938" ht="14.25" customHeight="1"/>
    <x:row r="939" ht="14.25" customHeight="1"/>
    <x:row r="940" ht="14.25" customHeight="1"/>
    <x:row r="941" ht="14.25" customHeight="1"/>
    <x:row r="942" ht="14.25" customHeight="1"/>
    <x:row r="943" ht="14.25" customHeight="1"/>
    <x:row r="944" ht="14.25" customHeight="1"/>
    <x:row r="945" ht="14.25" customHeight="1"/>
    <x:row r="946" ht="14.25" customHeight="1"/>
    <x:row r="947" ht="14.25" customHeight="1"/>
    <x:row r="948" ht="14.25" customHeight="1"/>
    <x:row r="949" ht="14.25" customHeight="1"/>
    <x:row r="950" ht="14.25" customHeight="1"/>
    <x:row r="951" ht="14.25" customHeight="1"/>
    <x:row r="952" ht="14.25" customHeight="1"/>
    <x:row r="953" ht="14.25" customHeight="1"/>
    <x:row r="954" ht="14.25" customHeight="1"/>
    <x:row r="955" ht="14.25" customHeight="1"/>
    <x:row r="956" ht="14.25" customHeight="1"/>
    <x:row r="957" ht="14.25" customHeight="1"/>
    <x:row r="958" ht="14.25" customHeight="1"/>
    <x:row r="959" ht="14.25" customHeight="1"/>
    <x:row r="960" ht="14.25" customHeight="1"/>
    <x:row r="961" ht="14.25" customHeight="1"/>
    <x:row r="962" ht="14.25" customHeight="1"/>
    <x:row r="963" ht="14.25" customHeight="1"/>
    <x:row r="964" ht="14.25" customHeight="1"/>
    <x:row r="965" ht="14.25" customHeight="1"/>
    <x:row r="966" ht="14.25" customHeight="1"/>
    <x:row r="967" ht="14.25" customHeight="1"/>
    <x:row r="968" ht="14.25" customHeight="1"/>
    <x:row r="969" ht="14.25" customHeight="1"/>
    <x:row r="970" ht="14.25" customHeight="1"/>
    <x:row r="971" ht="14.25" customHeight="1"/>
    <x:row r="972" ht="14.25" customHeight="1"/>
    <x:row r="973" ht="14.25" customHeight="1"/>
    <x:row r="974" ht="14.25" customHeight="1"/>
    <x:row r="975" ht="14.25" customHeight="1"/>
    <x:row r="976" ht="14.25" customHeight="1"/>
    <x:row r="977" ht="14.25" customHeight="1"/>
    <x:row r="978" ht="14.25" customHeight="1"/>
    <x:row r="979" ht="14.25" customHeight="1"/>
    <x:row r="980" ht="14.25" customHeight="1"/>
    <x:row r="981" ht="14.25" customHeight="1"/>
    <x:row r="982" ht="14.25" customHeight="1"/>
    <x:row r="983" ht="14.25" customHeight="1"/>
    <x:row r="984" ht="14.25" customHeight="1"/>
    <x:row r="985" ht="14.25" customHeight="1"/>
    <x:row r="986" ht="14.25" customHeight="1"/>
    <x:row r="987" ht="14.25" customHeight="1"/>
    <x:row r="988" ht="14.25" customHeight="1"/>
    <x:row r="989" ht="14.25" customHeight="1"/>
    <x:row r="990" ht="14.25" customHeight="1"/>
    <x:row r="991" ht="14.25" customHeight="1"/>
    <x:row r="992" ht="14.25" customHeight="1"/>
    <x:row r="993" ht="14.25" customHeight="1"/>
    <x:row r="994" ht="14.25" customHeight="1"/>
    <x:row r="995" ht="14.25" customHeight="1"/>
    <x:row r="996" ht="14.25" customHeight="1"/>
    <x:row r="997" ht="14.25" customHeight="1"/>
    <x:row r="998" ht="14.25" customHeight="1"/>
    <x:row r="999" ht="14.25" customHeight="1"/>
    <x:row r="1000" ht="14.25" customHeight="1"/>
  </x:sheetData>
  <x:pageMargins left="0.7" right="0.7" top="0.75" bottom="0.75" header="0.3" footer="0.3"/>
</x:worksheet>
</file>